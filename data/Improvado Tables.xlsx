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a4bd18c46c6a5a1/Saul ZM/Power BI/Demos/Improvado/"/>
    </mc:Choice>
  </mc:AlternateContent>
  <xr:revisionPtr revIDLastSave="4" documentId="8_{82D7830F-F6DF-4FED-A8E6-405836757AC9}" xr6:coauthVersionLast="47" xr6:coauthVersionMax="47" xr10:uidLastSave="{E5DABCF1-3505-4579-ABC1-EB104D295675}"/>
  <bookViews>
    <workbookView xWindow="-28920" yWindow="-120" windowWidth="29040" windowHeight="15720" activeTab="3" xr2:uid="{0234235D-3AE8-4359-8596-F1D7C124BFF2}"/>
  </bookViews>
  <sheets>
    <sheet name="Dimentions" sheetId="1" r:id="rId1"/>
    <sheet name="Facts 2024-01" sheetId="2" r:id="rId2"/>
    <sheet name="Facts 2023-01" sheetId="3" r:id="rId3"/>
    <sheet name="Facts 2023-02" sheetId="15" r:id="rId4"/>
    <sheet name="Facts 2023-03" sheetId="16" r:id="rId5"/>
    <sheet name="Facts 2023-04" sheetId="17" r:id="rId6"/>
    <sheet name="Facts 2023-05" sheetId="18" r:id="rId7"/>
    <sheet name="Facts 2023-06" sheetId="19" r:id="rId8"/>
    <sheet name="Facts 2023-07" sheetId="20" r:id="rId9"/>
    <sheet name="Facts 2023-08" sheetId="21" r:id="rId10"/>
    <sheet name="Facts 2023-09" sheetId="22" r:id="rId11"/>
    <sheet name="Facts 2023-10" sheetId="23" r:id="rId12"/>
    <sheet name="Facts 2023-11" sheetId="24" r:id="rId13"/>
    <sheet name="Facts 2023-12" sheetId="25" r:id="rId1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O17" i="3" l="1"/>
  <c r="AL6" i="3"/>
  <c r="AW4" i="2"/>
  <c r="AY3" i="25"/>
  <c r="AY4" i="25"/>
  <c r="AY5" i="25"/>
  <c r="AY6" i="25"/>
  <c r="AY7" i="25"/>
  <c r="AY8" i="25"/>
  <c r="AY9" i="25"/>
  <c r="AY10" i="25"/>
  <c r="AY11" i="25"/>
  <c r="AY12" i="25"/>
  <c r="AY13" i="25"/>
  <c r="AY14" i="25"/>
  <c r="AY15" i="25"/>
  <c r="AY16" i="25"/>
  <c r="AY17" i="25"/>
  <c r="AY18" i="25"/>
  <c r="AY19" i="25"/>
  <c r="AY20" i="25"/>
  <c r="AY21" i="25"/>
  <c r="AY22" i="25"/>
  <c r="AY23" i="25"/>
  <c r="AY24" i="25"/>
  <c r="AY25" i="25"/>
  <c r="AY26" i="25"/>
  <c r="AY27" i="25"/>
  <c r="AY28" i="25"/>
  <c r="AY29" i="25"/>
  <c r="AY30" i="25"/>
  <c r="AY31" i="25"/>
  <c r="AY32" i="25"/>
  <c r="AY33" i="25"/>
  <c r="AY34" i="25"/>
  <c r="AY35" i="25"/>
  <c r="AY36" i="25"/>
  <c r="AY37" i="25"/>
  <c r="AY38" i="25"/>
  <c r="AY39" i="25"/>
  <c r="AY40" i="25"/>
  <c r="AY41" i="25"/>
  <c r="AY42" i="25"/>
  <c r="AY43" i="25"/>
  <c r="AY44" i="25"/>
  <c r="AY45" i="25"/>
  <c r="AY46" i="25"/>
  <c r="AY47" i="25"/>
  <c r="AY48" i="25"/>
  <c r="AY49" i="25"/>
  <c r="AY50" i="25"/>
  <c r="AY51" i="25"/>
  <c r="AY52" i="25"/>
  <c r="AY53" i="25"/>
  <c r="AY54" i="25"/>
  <c r="AY55" i="25"/>
  <c r="AY56" i="25"/>
  <c r="AY57" i="25"/>
  <c r="AY58" i="25"/>
  <c r="AY59" i="25"/>
  <c r="AY60" i="25"/>
  <c r="AY61" i="25"/>
  <c r="AY62" i="25"/>
  <c r="AY63" i="25"/>
  <c r="AY64" i="25"/>
  <c r="AY65" i="25"/>
  <c r="AY66" i="25"/>
  <c r="AY67" i="25"/>
  <c r="AY68" i="25"/>
  <c r="AY69" i="25"/>
  <c r="AY70" i="25"/>
  <c r="AY71" i="25"/>
  <c r="AY72" i="25"/>
  <c r="AY73" i="25"/>
  <c r="AY74" i="25"/>
  <c r="AY75" i="25"/>
  <c r="AY76" i="25"/>
  <c r="AY77" i="25"/>
  <c r="AY78" i="25"/>
  <c r="AY79" i="25"/>
  <c r="AY80" i="25"/>
  <c r="AY81" i="25"/>
  <c r="AY82" i="25"/>
  <c r="AY83" i="25"/>
  <c r="AY84" i="25"/>
  <c r="AY85" i="25"/>
  <c r="AY86" i="25"/>
  <c r="AY87" i="25"/>
  <c r="AY88" i="25"/>
  <c r="AY89" i="25"/>
  <c r="AY90" i="25"/>
  <c r="AY91" i="25"/>
  <c r="AY92" i="25"/>
  <c r="AY93" i="25"/>
  <c r="AY94" i="25"/>
  <c r="AY95" i="25"/>
  <c r="AY96" i="25"/>
  <c r="AY97" i="25"/>
  <c r="AY98" i="25"/>
  <c r="AY99" i="25"/>
  <c r="AY100" i="25"/>
  <c r="AY101" i="25"/>
  <c r="AY102" i="25"/>
  <c r="AY103" i="25"/>
  <c r="AY104" i="25"/>
  <c r="AY105" i="25"/>
  <c r="AY106" i="25"/>
  <c r="AY107" i="25"/>
  <c r="AY108" i="25"/>
  <c r="AY109" i="25"/>
  <c r="AY110" i="25"/>
  <c r="AY111" i="25"/>
  <c r="AY3" i="24"/>
  <c r="AY4" i="24"/>
  <c r="AY5" i="24"/>
  <c r="AY6" i="24"/>
  <c r="AY7" i="24"/>
  <c r="AY8" i="24"/>
  <c r="AY9" i="24"/>
  <c r="AY10" i="24"/>
  <c r="AY11" i="24"/>
  <c r="AY12" i="24"/>
  <c r="AY13" i="24"/>
  <c r="AY14" i="24"/>
  <c r="AY15" i="24"/>
  <c r="AY16" i="24"/>
  <c r="AY17" i="24"/>
  <c r="AY18" i="24"/>
  <c r="AY19" i="24"/>
  <c r="AY20" i="24"/>
  <c r="AY21" i="24"/>
  <c r="AY22" i="24"/>
  <c r="AY23" i="24"/>
  <c r="AY24" i="24"/>
  <c r="AY25" i="24"/>
  <c r="AY26" i="24"/>
  <c r="AY27" i="24"/>
  <c r="AY28" i="24"/>
  <c r="AY29" i="24"/>
  <c r="AY30" i="24"/>
  <c r="AY31" i="24"/>
  <c r="AY32" i="24"/>
  <c r="AY33" i="24"/>
  <c r="AY34" i="24"/>
  <c r="AY35" i="24"/>
  <c r="AY36" i="24"/>
  <c r="AY37" i="24"/>
  <c r="AY38" i="24"/>
  <c r="AY39" i="24"/>
  <c r="AY40" i="24"/>
  <c r="AY41" i="24"/>
  <c r="AY42" i="24"/>
  <c r="AY43" i="24"/>
  <c r="AY44" i="24"/>
  <c r="AY45" i="24"/>
  <c r="AY46" i="24"/>
  <c r="AY47" i="24"/>
  <c r="AY48" i="24"/>
  <c r="AY49" i="24"/>
  <c r="AY50" i="24"/>
  <c r="AY51" i="24"/>
  <c r="AY52" i="24"/>
  <c r="AY53" i="24"/>
  <c r="AY54" i="24"/>
  <c r="AY55" i="24"/>
  <c r="AY56" i="24"/>
  <c r="AY57" i="24"/>
  <c r="AY58" i="24"/>
  <c r="AY59" i="24"/>
  <c r="AY60" i="24"/>
  <c r="AY61" i="24"/>
  <c r="AY62" i="24"/>
  <c r="AY63" i="24"/>
  <c r="AY64" i="24"/>
  <c r="AY65" i="24"/>
  <c r="AY66" i="24"/>
  <c r="AY67" i="24"/>
  <c r="AY68" i="24"/>
  <c r="AY69" i="24"/>
  <c r="AY70" i="24"/>
  <c r="AY71" i="24"/>
  <c r="AY72" i="24"/>
  <c r="AY73" i="24"/>
  <c r="AY74" i="24"/>
  <c r="AY75" i="24"/>
  <c r="AY76" i="24"/>
  <c r="AY77" i="24"/>
  <c r="AY78" i="24"/>
  <c r="AY79" i="24"/>
  <c r="AY80" i="24"/>
  <c r="AY81" i="24"/>
  <c r="AY82" i="24"/>
  <c r="AY83" i="24"/>
  <c r="AY84" i="24"/>
  <c r="AY85" i="24"/>
  <c r="AY86" i="24"/>
  <c r="AY87" i="24"/>
  <c r="AY88" i="24"/>
  <c r="AY89" i="24"/>
  <c r="AY90" i="24"/>
  <c r="AY91" i="24"/>
  <c r="AY92" i="24"/>
  <c r="AY93" i="24"/>
  <c r="AY94" i="24"/>
  <c r="AY95" i="24"/>
  <c r="AY96" i="24"/>
  <c r="AY97" i="24"/>
  <c r="AY98" i="24"/>
  <c r="AY99" i="24"/>
  <c r="AY100" i="24"/>
  <c r="AY101" i="24"/>
  <c r="AY102" i="24"/>
  <c r="AY103" i="24"/>
  <c r="AY104" i="24"/>
  <c r="AY105" i="24"/>
  <c r="AY106" i="24"/>
  <c r="AY107" i="24"/>
  <c r="AY108" i="24"/>
  <c r="AY109" i="24"/>
  <c r="AY110" i="24"/>
  <c r="AY111" i="24"/>
  <c r="AY3" i="23"/>
  <c r="AY4" i="23"/>
  <c r="AY5" i="23"/>
  <c r="AY6" i="23"/>
  <c r="AY7" i="23"/>
  <c r="AY8" i="23"/>
  <c r="AY9" i="23"/>
  <c r="AY10" i="23"/>
  <c r="AY11" i="23"/>
  <c r="AY12" i="23"/>
  <c r="AY13" i="23"/>
  <c r="AY14" i="23"/>
  <c r="AY15" i="23"/>
  <c r="AY16" i="23"/>
  <c r="AY17" i="23"/>
  <c r="AY18" i="23"/>
  <c r="AY19" i="23"/>
  <c r="AY20" i="23"/>
  <c r="AY21" i="23"/>
  <c r="AY22" i="23"/>
  <c r="AY23" i="23"/>
  <c r="AY24" i="23"/>
  <c r="AY25" i="23"/>
  <c r="AY26" i="23"/>
  <c r="AY27" i="23"/>
  <c r="AY28" i="23"/>
  <c r="AY29" i="23"/>
  <c r="AY30" i="23"/>
  <c r="AY31" i="23"/>
  <c r="AY32" i="23"/>
  <c r="AY33" i="23"/>
  <c r="AY34" i="23"/>
  <c r="AY35" i="23"/>
  <c r="AY36" i="23"/>
  <c r="AY37" i="23"/>
  <c r="AY38" i="23"/>
  <c r="AY39" i="23"/>
  <c r="AY40" i="23"/>
  <c r="AY41" i="23"/>
  <c r="AY42" i="23"/>
  <c r="AY43" i="23"/>
  <c r="AY44" i="23"/>
  <c r="AY45" i="23"/>
  <c r="AY46" i="23"/>
  <c r="AY47" i="23"/>
  <c r="AY48" i="23"/>
  <c r="AY49" i="23"/>
  <c r="AY50" i="23"/>
  <c r="AY51" i="23"/>
  <c r="AY52" i="23"/>
  <c r="AY53" i="23"/>
  <c r="AY54" i="23"/>
  <c r="AY55" i="23"/>
  <c r="AY56" i="23"/>
  <c r="AY57" i="23"/>
  <c r="AY58" i="23"/>
  <c r="AY59" i="23"/>
  <c r="AY60" i="23"/>
  <c r="AY61" i="23"/>
  <c r="AY62" i="23"/>
  <c r="AY63" i="23"/>
  <c r="AY64" i="23"/>
  <c r="AY65" i="23"/>
  <c r="AY66" i="23"/>
  <c r="AY67" i="23"/>
  <c r="AY68" i="23"/>
  <c r="AY69" i="23"/>
  <c r="AY70" i="23"/>
  <c r="AY71" i="23"/>
  <c r="AY72" i="23"/>
  <c r="AY73" i="23"/>
  <c r="AY74" i="23"/>
  <c r="AY75" i="23"/>
  <c r="AY76" i="23"/>
  <c r="AY77" i="23"/>
  <c r="AY78" i="23"/>
  <c r="AY79" i="23"/>
  <c r="AY80" i="23"/>
  <c r="AY81" i="23"/>
  <c r="AY82" i="23"/>
  <c r="AY83" i="23"/>
  <c r="AY84" i="23"/>
  <c r="AY85" i="23"/>
  <c r="AY86" i="23"/>
  <c r="AY87" i="23"/>
  <c r="AY88" i="23"/>
  <c r="AY89" i="23"/>
  <c r="AY90" i="23"/>
  <c r="AY91" i="23"/>
  <c r="AY92" i="23"/>
  <c r="AY93" i="23"/>
  <c r="AY94" i="23"/>
  <c r="AY95" i="23"/>
  <c r="AY96" i="23"/>
  <c r="AY97" i="23"/>
  <c r="AY98" i="23"/>
  <c r="AY99" i="23"/>
  <c r="AY100" i="23"/>
  <c r="AY101" i="23"/>
  <c r="AY102" i="23"/>
  <c r="AY103" i="23"/>
  <c r="AY104" i="23"/>
  <c r="AY105" i="23"/>
  <c r="AY106" i="23"/>
  <c r="AY107" i="23"/>
  <c r="AY108" i="23"/>
  <c r="AY109" i="23"/>
  <c r="AY110" i="23"/>
  <c r="AY111" i="23"/>
  <c r="AY3" i="22"/>
  <c r="AY4" i="22"/>
  <c r="AY5" i="22"/>
  <c r="AY6" i="22"/>
  <c r="AY7" i="22"/>
  <c r="AY8" i="22"/>
  <c r="AY9" i="22"/>
  <c r="AY10" i="22"/>
  <c r="AY11" i="22"/>
  <c r="AY12" i="22"/>
  <c r="AY13" i="22"/>
  <c r="AY14" i="22"/>
  <c r="AY15" i="22"/>
  <c r="AY16" i="22"/>
  <c r="AY17" i="22"/>
  <c r="AY18" i="22"/>
  <c r="AY19" i="22"/>
  <c r="AY20" i="22"/>
  <c r="AY21" i="22"/>
  <c r="AY22" i="22"/>
  <c r="AY23" i="22"/>
  <c r="AY24" i="22"/>
  <c r="AY25" i="22"/>
  <c r="AY26" i="22"/>
  <c r="AY27" i="22"/>
  <c r="AY28" i="22"/>
  <c r="AY29" i="22"/>
  <c r="AY30" i="22"/>
  <c r="AY31" i="22"/>
  <c r="AY32" i="22"/>
  <c r="AY33" i="22"/>
  <c r="AY34" i="22"/>
  <c r="AY35" i="22"/>
  <c r="AY36" i="22"/>
  <c r="AY37" i="22"/>
  <c r="AY38" i="22"/>
  <c r="AY39" i="22"/>
  <c r="AY40" i="22"/>
  <c r="AY41" i="22"/>
  <c r="AY42" i="22"/>
  <c r="AY43" i="22"/>
  <c r="AY44" i="22"/>
  <c r="AY45" i="22"/>
  <c r="AY46" i="22"/>
  <c r="AY47" i="22"/>
  <c r="AY48" i="22"/>
  <c r="AY49" i="22"/>
  <c r="AY50" i="22"/>
  <c r="AY51" i="22"/>
  <c r="AY52" i="22"/>
  <c r="AY53" i="22"/>
  <c r="AY54" i="22"/>
  <c r="AY55" i="22"/>
  <c r="AY56" i="22"/>
  <c r="AY57" i="22"/>
  <c r="AY58" i="22"/>
  <c r="AY59" i="22"/>
  <c r="AY60" i="22"/>
  <c r="AY61" i="22"/>
  <c r="AY62" i="22"/>
  <c r="AY63" i="22"/>
  <c r="AY64" i="22"/>
  <c r="AY65" i="22"/>
  <c r="AY66" i="22"/>
  <c r="AY67" i="22"/>
  <c r="AY68" i="22"/>
  <c r="AY69" i="22"/>
  <c r="AY70" i="22"/>
  <c r="AY71" i="22"/>
  <c r="AY72" i="22"/>
  <c r="AY73" i="22"/>
  <c r="AY74" i="22"/>
  <c r="AY75" i="22"/>
  <c r="AY76" i="22"/>
  <c r="AY77" i="22"/>
  <c r="AY78" i="22"/>
  <c r="AY79" i="22"/>
  <c r="AY80" i="22"/>
  <c r="AY81" i="22"/>
  <c r="AY82" i="22"/>
  <c r="AY83" i="22"/>
  <c r="AY84" i="22"/>
  <c r="AY85" i="22"/>
  <c r="AY86" i="22"/>
  <c r="AY87" i="22"/>
  <c r="AY88" i="22"/>
  <c r="AY89" i="22"/>
  <c r="AY90" i="22"/>
  <c r="AY91" i="22"/>
  <c r="AY92" i="22"/>
  <c r="AY93" i="22"/>
  <c r="AY94" i="22"/>
  <c r="AY95" i="22"/>
  <c r="AY96" i="22"/>
  <c r="AY97" i="22"/>
  <c r="AY98" i="22"/>
  <c r="AY99" i="22"/>
  <c r="AY100" i="22"/>
  <c r="AY101" i="22"/>
  <c r="AY102" i="22"/>
  <c r="AY103" i="22"/>
  <c r="AY104" i="22"/>
  <c r="AY105" i="22"/>
  <c r="AY106" i="22"/>
  <c r="AY107" i="22"/>
  <c r="AY108" i="22"/>
  <c r="AY109" i="22"/>
  <c r="AY110" i="22"/>
  <c r="AY111" i="22"/>
  <c r="AY3" i="21"/>
  <c r="AY4" i="21"/>
  <c r="AY5" i="21"/>
  <c r="AY6" i="21"/>
  <c r="AY7" i="21"/>
  <c r="AY8" i="21"/>
  <c r="AY9" i="21"/>
  <c r="AY10" i="21"/>
  <c r="AY11" i="21"/>
  <c r="AY12" i="21"/>
  <c r="AY13" i="21"/>
  <c r="AY14" i="21"/>
  <c r="AY15" i="21"/>
  <c r="AY16" i="21"/>
  <c r="AY17" i="21"/>
  <c r="AY18" i="21"/>
  <c r="AY19" i="21"/>
  <c r="AY20" i="21"/>
  <c r="AY21" i="21"/>
  <c r="AY22" i="21"/>
  <c r="AY23" i="21"/>
  <c r="AY24" i="21"/>
  <c r="AY25" i="21"/>
  <c r="AY26" i="21"/>
  <c r="AY27" i="21"/>
  <c r="AY28" i="21"/>
  <c r="AY29" i="21"/>
  <c r="AY30" i="21"/>
  <c r="AY31" i="21"/>
  <c r="AY32" i="21"/>
  <c r="AY33" i="21"/>
  <c r="AY34" i="21"/>
  <c r="AY35" i="21"/>
  <c r="AY36" i="21"/>
  <c r="AY37" i="21"/>
  <c r="AY38" i="21"/>
  <c r="AY39" i="21"/>
  <c r="AY40" i="21"/>
  <c r="AY41" i="21"/>
  <c r="AY42" i="21"/>
  <c r="AY43" i="21"/>
  <c r="AY44" i="21"/>
  <c r="AY45" i="21"/>
  <c r="AY46" i="21"/>
  <c r="AY47" i="21"/>
  <c r="AY48" i="21"/>
  <c r="AY49" i="21"/>
  <c r="AY50" i="21"/>
  <c r="AY51" i="21"/>
  <c r="AY52" i="21"/>
  <c r="AY53" i="21"/>
  <c r="AY54" i="21"/>
  <c r="AY55" i="21"/>
  <c r="AY56" i="21"/>
  <c r="AY57" i="21"/>
  <c r="AY58" i="21"/>
  <c r="AY59" i="21"/>
  <c r="AY60" i="21"/>
  <c r="AY61" i="21"/>
  <c r="AY62" i="21"/>
  <c r="AY63" i="21"/>
  <c r="AY64" i="21"/>
  <c r="AY65" i="21"/>
  <c r="AY66" i="21"/>
  <c r="AY67" i="21"/>
  <c r="AY68" i="21"/>
  <c r="AY69" i="21"/>
  <c r="AY70" i="21"/>
  <c r="AY71" i="21"/>
  <c r="AY72" i="21"/>
  <c r="AY73" i="21"/>
  <c r="AY74" i="21"/>
  <c r="AY75" i="21"/>
  <c r="AY76" i="21"/>
  <c r="AY77" i="21"/>
  <c r="AY78" i="21"/>
  <c r="AY79" i="21"/>
  <c r="AY80" i="21"/>
  <c r="AY81" i="21"/>
  <c r="AY82" i="21"/>
  <c r="AY83" i="21"/>
  <c r="AY84" i="21"/>
  <c r="AY85" i="21"/>
  <c r="AY86" i="21"/>
  <c r="AY87" i="21"/>
  <c r="AY88" i="21"/>
  <c r="AY89" i="21"/>
  <c r="AY90" i="21"/>
  <c r="AY91" i="21"/>
  <c r="AY92" i="21"/>
  <c r="AY93" i="21"/>
  <c r="AY94" i="21"/>
  <c r="AY95" i="21"/>
  <c r="AY96" i="21"/>
  <c r="AY97" i="21"/>
  <c r="AY98" i="21"/>
  <c r="AY99" i="21"/>
  <c r="AY100" i="21"/>
  <c r="AY101" i="21"/>
  <c r="AY102" i="21"/>
  <c r="AY103" i="21"/>
  <c r="AY104" i="21"/>
  <c r="AY105" i="21"/>
  <c r="AY106" i="21"/>
  <c r="AY107" i="21"/>
  <c r="AY108" i="21"/>
  <c r="AY109" i="21"/>
  <c r="AY110" i="21"/>
  <c r="AY111" i="21"/>
  <c r="AY3" i="20"/>
  <c r="AY4" i="20"/>
  <c r="AY5" i="20"/>
  <c r="AY6" i="20"/>
  <c r="AY7" i="20"/>
  <c r="AY8" i="20"/>
  <c r="AY9" i="20"/>
  <c r="AY10" i="20"/>
  <c r="AY11" i="20"/>
  <c r="AY12" i="20"/>
  <c r="AY13" i="20"/>
  <c r="AY14" i="20"/>
  <c r="AY15" i="20"/>
  <c r="AY16" i="20"/>
  <c r="AY17" i="20"/>
  <c r="AY18" i="20"/>
  <c r="AY19" i="20"/>
  <c r="AY20" i="20"/>
  <c r="AY21" i="20"/>
  <c r="AY22" i="20"/>
  <c r="AY23" i="20"/>
  <c r="AY24" i="20"/>
  <c r="AY25" i="20"/>
  <c r="AY26" i="20"/>
  <c r="AY27" i="20"/>
  <c r="AY28" i="20"/>
  <c r="AY29" i="20"/>
  <c r="AY30" i="20"/>
  <c r="AY31" i="20"/>
  <c r="AY32" i="20"/>
  <c r="AY33" i="20"/>
  <c r="AY34" i="20"/>
  <c r="AY35" i="20"/>
  <c r="AY36" i="20"/>
  <c r="AY37" i="20"/>
  <c r="AY38" i="20"/>
  <c r="AY39" i="20"/>
  <c r="AY40" i="20"/>
  <c r="AY41" i="20"/>
  <c r="AY42" i="20"/>
  <c r="AY43" i="20"/>
  <c r="AY44" i="20"/>
  <c r="AY45" i="20"/>
  <c r="AY46" i="20"/>
  <c r="AY47" i="20"/>
  <c r="AY48" i="20"/>
  <c r="AY49" i="20"/>
  <c r="AY50" i="20"/>
  <c r="AY51" i="20"/>
  <c r="AY52" i="20"/>
  <c r="AY53" i="20"/>
  <c r="AY54" i="20"/>
  <c r="AY55" i="20"/>
  <c r="AY56" i="20"/>
  <c r="AY57" i="20"/>
  <c r="AY58" i="20"/>
  <c r="AY59" i="20"/>
  <c r="AY60" i="20"/>
  <c r="AY61" i="20"/>
  <c r="AY62" i="20"/>
  <c r="AY63" i="20"/>
  <c r="AY64" i="20"/>
  <c r="AY65" i="20"/>
  <c r="AY66" i="20"/>
  <c r="AY67" i="20"/>
  <c r="AY68" i="20"/>
  <c r="AY69" i="20"/>
  <c r="AY70" i="20"/>
  <c r="AY71" i="20"/>
  <c r="AY72" i="20"/>
  <c r="AY73" i="20"/>
  <c r="AY74" i="20"/>
  <c r="AY75" i="20"/>
  <c r="AY76" i="20"/>
  <c r="AY77" i="20"/>
  <c r="AY78" i="20"/>
  <c r="AY79" i="20"/>
  <c r="AY80" i="20"/>
  <c r="AY81" i="20"/>
  <c r="AY82" i="20"/>
  <c r="AY83" i="20"/>
  <c r="AY84" i="20"/>
  <c r="AY85" i="20"/>
  <c r="AY86" i="20"/>
  <c r="AY87" i="20"/>
  <c r="AY88" i="20"/>
  <c r="AY89" i="20"/>
  <c r="AY90" i="20"/>
  <c r="AY91" i="20"/>
  <c r="AY92" i="20"/>
  <c r="AY93" i="20"/>
  <c r="AY94" i="20"/>
  <c r="AY95" i="20"/>
  <c r="AY96" i="20"/>
  <c r="AY97" i="20"/>
  <c r="AY98" i="20"/>
  <c r="AY99" i="20"/>
  <c r="AY100" i="20"/>
  <c r="AY101" i="20"/>
  <c r="AY102" i="20"/>
  <c r="AY103" i="20"/>
  <c r="AY104" i="20"/>
  <c r="AY105" i="20"/>
  <c r="AY106" i="20"/>
  <c r="AY107" i="20"/>
  <c r="AY108" i="20"/>
  <c r="AY109" i="20"/>
  <c r="AY110" i="20"/>
  <c r="AY111" i="20"/>
  <c r="AY3" i="19"/>
  <c r="AY4" i="19"/>
  <c r="AY5" i="19"/>
  <c r="AY6" i="19"/>
  <c r="AY7" i="19"/>
  <c r="AY8" i="19"/>
  <c r="AY9" i="19"/>
  <c r="AY10" i="19"/>
  <c r="AY11" i="19"/>
  <c r="AY12" i="19"/>
  <c r="AY13" i="19"/>
  <c r="AY14" i="19"/>
  <c r="AY15" i="19"/>
  <c r="AY16" i="19"/>
  <c r="AY17" i="19"/>
  <c r="AY18" i="19"/>
  <c r="AY19" i="19"/>
  <c r="AY20" i="19"/>
  <c r="AY21" i="19"/>
  <c r="AY22" i="19"/>
  <c r="AY23" i="19"/>
  <c r="AY24" i="19"/>
  <c r="AY25" i="19"/>
  <c r="AY26" i="19"/>
  <c r="AY27" i="19"/>
  <c r="AY28" i="19"/>
  <c r="AY29" i="19"/>
  <c r="AY30" i="19"/>
  <c r="AY31" i="19"/>
  <c r="AY32" i="19"/>
  <c r="AY33" i="19"/>
  <c r="AY34" i="19"/>
  <c r="AY35" i="19"/>
  <c r="AY36" i="19"/>
  <c r="AY37" i="19"/>
  <c r="AY38" i="19"/>
  <c r="AY39" i="19"/>
  <c r="AY40" i="19"/>
  <c r="AY41" i="19"/>
  <c r="AY42" i="19"/>
  <c r="AY43" i="19"/>
  <c r="AY44" i="19"/>
  <c r="AY45" i="19"/>
  <c r="AY46" i="19"/>
  <c r="AY47" i="19"/>
  <c r="AY48" i="19"/>
  <c r="AY49" i="19"/>
  <c r="AY50" i="19"/>
  <c r="AY51" i="19"/>
  <c r="AY52" i="19"/>
  <c r="AY53" i="19"/>
  <c r="AY54" i="19"/>
  <c r="AY55" i="19"/>
  <c r="AY56" i="19"/>
  <c r="AY57" i="19"/>
  <c r="AY58" i="19"/>
  <c r="AY59" i="19"/>
  <c r="AY60" i="19"/>
  <c r="AY61" i="19"/>
  <c r="AY62" i="19"/>
  <c r="AY63" i="19"/>
  <c r="AY64" i="19"/>
  <c r="AY65" i="19"/>
  <c r="AY66" i="19"/>
  <c r="AY67" i="19"/>
  <c r="AY68" i="19"/>
  <c r="AY69" i="19"/>
  <c r="AY70" i="19"/>
  <c r="AY71" i="19"/>
  <c r="AY72" i="19"/>
  <c r="AY73" i="19"/>
  <c r="AY74" i="19"/>
  <c r="AY75" i="19"/>
  <c r="AY76" i="19"/>
  <c r="AY77" i="19"/>
  <c r="AY78" i="19"/>
  <c r="AY79" i="19"/>
  <c r="AY80" i="19"/>
  <c r="AY81" i="19"/>
  <c r="AY82" i="19"/>
  <c r="AY83" i="19"/>
  <c r="AY84" i="19"/>
  <c r="AY85" i="19"/>
  <c r="AY86" i="19"/>
  <c r="AY87" i="19"/>
  <c r="AY88" i="19"/>
  <c r="AY89" i="19"/>
  <c r="AY90" i="19"/>
  <c r="AY91" i="19"/>
  <c r="AY92" i="19"/>
  <c r="AY93" i="19"/>
  <c r="AY94" i="19"/>
  <c r="AY95" i="19"/>
  <c r="AY96" i="19"/>
  <c r="AY97" i="19"/>
  <c r="AY98" i="19"/>
  <c r="AY99" i="19"/>
  <c r="AY100" i="19"/>
  <c r="AY101" i="19"/>
  <c r="AY102" i="19"/>
  <c r="AY103" i="19"/>
  <c r="AY104" i="19"/>
  <c r="AY105" i="19"/>
  <c r="AY106" i="19"/>
  <c r="AY107" i="19"/>
  <c r="AY108" i="19"/>
  <c r="AY109" i="19"/>
  <c r="AY110" i="19"/>
  <c r="AY111" i="19"/>
  <c r="AY3" i="18"/>
  <c r="AY4" i="18"/>
  <c r="AY5" i="18"/>
  <c r="AY6" i="18"/>
  <c r="AY7" i="18"/>
  <c r="AY8" i="18"/>
  <c r="AY9" i="18"/>
  <c r="AY10" i="18"/>
  <c r="AY11" i="18"/>
  <c r="AY12" i="18"/>
  <c r="AY13" i="18"/>
  <c r="AY14" i="18"/>
  <c r="AY15" i="18"/>
  <c r="AY16" i="18"/>
  <c r="AY17" i="18"/>
  <c r="AY18" i="18"/>
  <c r="AY19" i="18"/>
  <c r="AY20" i="18"/>
  <c r="AY21" i="18"/>
  <c r="AY22" i="18"/>
  <c r="AY23" i="18"/>
  <c r="AY24" i="18"/>
  <c r="AY25" i="18"/>
  <c r="AY26" i="18"/>
  <c r="AY27" i="18"/>
  <c r="AY28" i="18"/>
  <c r="AY29" i="18"/>
  <c r="AY30" i="18"/>
  <c r="AY31" i="18"/>
  <c r="AY32" i="18"/>
  <c r="AY33" i="18"/>
  <c r="AY34" i="18"/>
  <c r="AY35" i="18"/>
  <c r="AY36" i="18"/>
  <c r="AY37" i="18"/>
  <c r="AY38" i="18"/>
  <c r="AY39" i="18"/>
  <c r="AY40" i="18"/>
  <c r="AY41" i="18"/>
  <c r="AY42" i="18"/>
  <c r="AY43" i="18"/>
  <c r="AY44" i="18"/>
  <c r="AY45" i="18"/>
  <c r="AY46" i="18"/>
  <c r="AY47" i="18"/>
  <c r="AY48" i="18"/>
  <c r="AY49" i="18"/>
  <c r="AY50" i="18"/>
  <c r="AY51" i="18"/>
  <c r="AY52" i="18"/>
  <c r="AY53" i="18"/>
  <c r="AY54" i="18"/>
  <c r="AY55" i="18"/>
  <c r="AY56" i="18"/>
  <c r="AY57" i="18"/>
  <c r="AY58" i="18"/>
  <c r="AY59" i="18"/>
  <c r="AY60" i="18"/>
  <c r="AY61" i="18"/>
  <c r="AY62" i="18"/>
  <c r="AY63" i="18"/>
  <c r="AY64" i="18"/>
  <c r="AY65" i="18"/>
  <c r="AY66" i="18"/>
  <c r="AY67" i="18"/>
  <c r="AY68" i="18"/>
  <c r="AY69" i="18"/>
  <c r="AY70" i="18"/>
  <c r="AY71" i="18"/>
  <c r="AY72" i="18"/>
  <c r="AY73" i="18"/>
  <c r="AY74" i="18"/>
  <c r="AY75" i="18"/>
  <c r="AY76" i="18"/>
  <c r="AY77" i="18"/>
  <c r="AY78" i="18"/>
  <c r="AY79" i="18"/>
  <c r="AY80" i="18"/>
  <c r="AY81" i="18"/>
  <c r="AY82" i="18"/>
  <c r="AY83" i="18"/>
  <c r="AY84" i="18"/>
  <c r="AY85" i="18"/>
  <c r="AY86" i="18"/>
  <c r="AY87" i="18"/>
  <c r="AY88" i="18"/>
  <c r="AY89" i="18"/>
  <c r="AY90" i="18"/>
  <c r="AY91" i="18"/>
  <c r="AY92" i="18"/>
  <c r="AY93" i="18"/>
  <c r="AY94" i="18"/>
  <c r="AY95" i="18"/>
  <c r="AY96" i="18"/>
  <c r="AY97" i="18"/>
  <c r="AY98" i="18"/>
  <c r="AY99" i="18"/>
  <c r="AY100" i="18"/>
  <c r="AY101" i="18"/>
  <c r="AY102" i="18"/>
  <c r="AY103" i="18"/>
  <c r="AY104" i="18"/>
  <c r="AY105" i="18"/>
  <c r="AY106" i="18"/>
  <c r="AY107" i="18"/>
  <c r="AY108" i="18"/>
  <c r="AY109" i="18"/>
  <c r="AY110" i="18"/>
  <c r="AY111" i="18"/>
  <c r="AY3" i="17"/>
  <c r="AY4" i="17"/>
  <c r="AY5" i="17"/>
  <c r="AY6" i="17"/>
  <c r="AY7" i="17"/>
  <c r="AY8" i="17"/>
  <c r="AY9" i="17"/>
  <c r="AY10" i="17"/>
  <c r="AY11" i="17"/>
  <c r="AY12" i="17"/>
  <c r="AY13" i="17"/>
  <c r="AY14" i="17"/>
  <c r="AY15" i="17"/>
  <c r="AY16" i="17"/>
  <c r="AY17" i="17"/>
  <c r="AY18" i="17"/>
  <c r="AY19" i="17"/>
  <c r="AY20" i="17"/>
  <c r="AY21" i="17"/>
  <c r="AY22" i="17"/>
  <c r="AY23" i="17"/>
  <c r="AY24" i="17"/>
  <c r="AY25" i="17"/>
  <c r="AY26" i="17"/>
  <c r="AY27" i="17"/>
  <c r="AY28" i="17"/>
  <c r="AY29" i="17"/>
  <c r="AY30" i="17"/>
  <c r="AY31" i="17"/>
  <c r="AY32" i="17"/>
  <c r="AY33" i="17"/>
  <c r="AY34" i="17"/>
  <c r="AY35" i="17"/>
  <c r="AY36" i="17"/>
  <c r="AY37" i="17"/>
  <c r="AY38" i="17"/>
  <c r="AY39" i="17"/>
  <c r="AY40" i="17"/>
  <c r="AY41" i="17"/>
  <c r="AY42" i="17"/>
  <c r="AY43" i="17"/>
  <c r="AY44" i="17"/>
  <c r="AY45" i="17"/>
  <c r="AY46" i="17"/>
  <c r="AY47" i="17"/>
  <c r="AY48" i="17"/>
  <c r="AY49" i="17"/>
  <c r="AY50" i="17"/>
  <c r="AY51" i="17"/>
  <c r="AY52" i="17"/>
  <c r="AY53" i="17"/>
  <c r="AY54" i="17"/>
  <c r="AY55" i="17"/>
  <c r="AY56" i="17"/>
  <c r="AY57" i="17"/>
  <c r="AY58" i="17"/>
  <c r="AY59" i="17"/>
  <c r="AY60" i="17"/>
  <c r="AY61" i="17"/>
  <c r="AY62" i="17"/>
  <c r="AY63" i="17"/>
  <c r="AY64" i="17"/>
  <c r="AY65" i="17"/>
  <c r="AY66" i="17"/>
  <c r="AY67" i="17"/>
  <c r="AY68" i="17"/>
  <c r="AY69" i="17"/>
  <c r="AY70" i="17"/>
  <c r="AY71" i="17"/>
  <c r="AY72" i="17"/>
  <c r="AY73" i="17"/>
  <c r="AY74" i="17"/>
  <c r="AY75" i="17"/>
  <c r="AY76" i="17"/>
  <c r="AY77" i="17"/>
  <c r="AY78" i="17"/>
  <c r="AY79" i="17"/>
  <c r="AY80" i="17"/>
  <c r="AY81" i="17"/>
  <c r="AY82" i="17"/>
  <c r="AY83" i="17"/>
  <c r="AY84" i="17"/>
  <c r="AY85" i="17"/>
  <c r="AY86" i="17"/>
  <c r="AY87" i="17"/>
  <c r="AY88" i="17"/>
  <c r="AY89" i="17"/>
  <c r="AY90" i="17"/>
  <c r="AY91" i="17"/>
  <c r="AY92" i="17"/>
  <c r="AY93" i="17"/>
  <c r="AY94" i="17"/>
  <c r="AY95" i="17"/>
  <c r="AY96" i="17"/>
  <c r="AY97" i="17"/>
  <c r="AY98" i="17"/>
  <c r="AY99" i="17"/>
  <c r="AY100" i="17"/>
  <c r="AY101" i="17"/>
  <c r="AY102" i="17"/>
  <c r="AY103" i="17"/>
  <c r="AY104" i="17"/>
  <c r="AY105" i="17"/>
  <c r="AY106" i="17"/>
  <c r="AY107" i="17"/>
  <c r="AY108" i="17"/>
  <c r="AY109" i="17"/>
  <c r="AY110" i="17"/>
  <c r="AY111" i="17"/>
  <c r="AY3" i="16"/>
  <c r="AY4" i="16"/>
  <c r="AY5" i="16"/>
  <c r="AY6" i="16"/>
  <c r="AY7" i="16"/>
  <c r="AY8" i="16"/>
  <c r="AY9" i="16"/>
  <c r="AY10" i="16"/>
  <c r="AY11" i="16"/>
  <c r="AY12" i="16"/>
  <c r="AY13" i="16"/>
  <c r="AY14" i="16"/>
  <c r="AY15" i="16"/>
  <c r="AY16" i="16"/>
  <c r="AY17" i="16"/>
  <c r="AY18" i="16"/>
  <c r="AY19" i="16"/>
  <c r="AY20" i="16"/>
  <c r="AY21" i="16"/>
  <c r="AY22" i="16"/>
  <c r="AY23" i="16"/>
  <c r="AY24" i="16"/>
  <c r="AY25" i="16"/>
  <c r="AY26" i="16"/>
  <c r="AY27" i="16"/>
  <c r="AY28" i="16"/>
  <c r="AY29" i="16"/>
  <c r="AY30" i="16"/>
  <c r="AY31" i="16"/>
  <c r="AY32" i="16"/>
  <c r="AY33" i="16"/>
  <c r="AY34" i="16"/>
  <c r="AY35" i="16"/>
  <c r="AY36" i="16"/>
  <c r="AY37" i="16"/>
  <c r="AY38" i="16"/>
  <c r="AY39" i="16"/>
  <c r="AY40" i="16"/>
  <c r="AY41" i="16"/>
  <c r="AY42" i="16"/>
  <c r="AY43" i="16"/>
  <c r="AY44" i="16"/>
  <c r="AY45" i="16"/>
  <c r="AY46" i="16"/>
  <c r="AY47" i="16"/>
  <c r="AY48" i="16"/>
  <c r="AY49" i="16"/>
  <c r="AY50" i="16"/>
  <c r="AY51" i="16"/>
  <c r="AY52" i="16"/>
  <c r="AY53" i="16"/>
  <c r="AY54" i="16"/>
  <c r="AY55" i="16"/>
  <c r="AY56" i="16"/>
  <c r="AY57" i="16"/>
  <c r="AY58" i="16"/>
  <c r="AY59" i="16"/>
  <c r="AY60" i="16"/>
  <c r="AY61" i="16"/>
  <c r="AY62" i="16"/>
  <c r="AY63" i="16"/>
  <c r="AY64" i="16"/>
  <c r="AY65" i="16"/>
  <c r="AY66" i="16"/>
  <c r="AY67" i="16"/>
  <c r="AY68" i="16"/>
  <c r="AY69" i="16"/>
  <c r="AY70" i="16"/>
  <c r="AY71" i="16"/>
  <c r="AY72" i="16"/>
  <c r="AY73" i="16"/>
  <c r="AY74" i="16"/>
  <c r="AY75" i="16"/>
  <c r="AY76" i="16"/>
  <c r="AY77" i="16"/>
  <c r="AY78" i="16"/>
  <c r="AY79" i="16"/>
  <c r="AY80" i="16"/>
  <c r="AY81" i="16"/>
  <c r="AY82" i="16"/>
  <c r="AY83" i="16"/>
  <c r="AY84" i="16"/>
  <c r="AY85" i="16"/>
  <c r="AY86" i="16"/>
  <c r="AY87" i="16"/>
  <c r="AY88" i="16"/>
  <c r="AY89" i="16"/>
  <c r="AY90" i="16"/>
  <c r="AY91" i="16"/>
  <c r="AY92" i="16"/>
  <c r="AY93" i="16"/>
  <c r="AY94" i="16"/>
  <c r="AY95" i="16"/>
  <c r="AY96" i="16"/>
  <c r="AY97" i="16"/>
  <c r="AY98" i="16"/>
  <c r="AY99" i="16"/>
  <c r="AY100" i="16"/>
  <c r="AY101" i="16"/>
  <c r="AY102" i="16"/>
  <c r="AY103" i="16"/>
  <c r="AY104" i="16"/>
  <c r="AY105" i="16"/>
  <c r="AY106" i="16"/>
  <c r="AY107" i="16"/>
  <c r="AY108" i="16"/>
  <c r="AY109" i="16"/>
  <c r="AY110" i="16"/>
  <c r="AY111" i="16"/>
  <c r="AY3" i="15"/>
  <c r="AY4" i="15"/>
  <c r="AY5" i="15"/>
  <c r="AY6" i="15"/>
  <c r="AY7" i="15"/>
  <c r="AY8" i="15"/>
  <c r="AY9" i="15"/>
  <c r="AY10" i="15"/>
  <c r="AY11" i="15"/>
  <c r="AY12" i="15"/>
  <c r="AY13" i="15"/>
  <c r="AY14" i="15"/>
  <c r="AY15" i="15"/>
  <c r="AY16" i="15"/>
  <c r="AY17" i="15"/>
  <c r="AY18" i="15"/>
  <c r="AY19" i="15"/>
  <c r="AY20" i="15"/>
  <c r="AY21" i="15"/>
  <c r="AY22" i="15"/>
  <c r="AY23" i="15"/>
  <c r="AY24" i="15"/>
  <c r="AY25" i="15"/>
  <c r="AY26" i="15"/>
  <c r="AY27" i="15"/>
  <c r="AY28" i="15"/>
  <c r="AY29" i="15"/>
  <c r="AY30" i="15"/>
  <c r="AY31" i="15"/>
  <c r="AY32" i="15"/>
  <c r="AY33" i="15"/>
  <c r="AY34" i="15"/>
  <c r="AY35" i="15"/>
  <c r="AY36" i="15"/>
  <c r="AY37" i="15"/>
  <c r="AY38" i="15"/>
  <c r="AY39" i="15"/>
  <c r="AY40" i="15"/>
  <c r="AY41" i="15"/>
  <c r="AY42" i="15"/>
  <c r="AY43" i="15"/>
  <c r="AY44" i="15"/>
  <c r="AY45" i="15"/>
  <c r="AY46" i="15"/>
  <c r="AY47" i="15"/>
  <c r="AY48" i="15"/>
  <c r="AY49" i="15"/>
  <c r="AY50" i="15"/>
  <c r="AY51" i="15"/>
  <c r="AY52" i="15"/>
  <c r="AY53" i="15"/>
  <c r="AY54" i="15"/>
  <c r="AY55" i="15"/>
  <c r="AY56" i="15"/>
  <c r="AY57" i="15"/>
  <c r="AY58" i="15"/>
  <c r="AY59" i="15"/>
  <c r="AY60" i="15"/>
  <c r="AY61" i="15"/>
  <c r="AY62" i="15"/>
  <c r="AY63" i="15"/>
  <c r="AY64" i="15"/>
  <c r="AY65" i="15"/>
  <c r="AY66" i="15"/>
  <c r="AY67" i="15"/>
  <c r="AY68" i="15"/>
  <c r="AY69" i="15"/>
  <c r="AY70" i="15"/>
  <c r="AY71" i="15"/>
  <c r="AY72" i="15"/>
  <c r="AY73" i="15"/>
  <c r="AY74" i="15"/>
  <c r="AY75" i="15"/>
  <c r="AY76" i="15"/>
  <c r="AY77" i="15"/>
  <c r="AY78" i="15"/>
  <c r="AY79" i="15"/>
  <c r="AY80" i="15"/>
  <c r="AY81" i="15"/>
  <c r="AY82" i="15"/>
  <c r="AY83" i="15"/>
  <c r="AY84" i="15"/>
  <c r="AY85" i="15"/>
  <c r="AY86" i="15"/>
  <c r="AY87" i="15"/>
  <c r="AY88" i="15"/>
  <c r="AY89" i="15"/>
  <c r="AY90" i="15"/>
  <c r="AY91" i="15"/>
  <c r="AY92" i="15"/>
  <c r="AY93" i="15"/>
  <c r="AY94" i="15"/>
  <c r="AY95" i="15"/>
  <c r="AY96" i="15"/>
  <c r="AY97" i="15"/>
  <c r="AY98" i="15"/>
  <c r="AY99" i="15"/>
  <c r="AY100" i="15"/>
  <c r="AY101" i="15"/>
  <c r="AY102" i="15"/>
  <c r="AY103" i="15"/>
  <c r="AY104" i="15"/>
  <c r="AY105" i="15"/>
  <c r="AY106" i="15"/>
  <c r="AY107" i="15"/>
  <c r="AY108" i="15"/>
  <c r="AY109" i="15"/>
  <c r="AY110" i="15"/>
  <c r="AY111" i="15"/>
  <c r="AY3" i="3"/>
  <c r="AY4" i="3"/>
  <c r="AY5" i="3"/>
  <c r="AY6" i="3"/>
  <c r="AY7" i="3"/>
  <c r="AY8" i="3"/>
  <c r="AY9" i="3"/>
  <c r="AY10" i="3"/>
  <c r="AY11" i="3"/>
  <c r="AY12" i="3"/>
  <c r="AY13" i="3"/>
  <c r="AY14" i="3"/>
  <c r="AY15" i="3"/>
  <c r="AY16" i="3"/>
  <c r="AY17" i="3"/>
  <c r="AY18" i="3"/>
  <c r="AY19" i="3"/>
  <c r="AY20" i="3"/>
  <c r="AY21" i="3"/>
  <c r="AY22" i="3"/>
  <c r="AY23" i="3"/>
  <c r="AY24" i="3"/>
  <c r="AY25" i="3"/>
  <c r="AY26" i="3"/>
  <c r="AY27" i="3"/>
  <c r="AY28" i="3"/>
  <c r="AY29" i="3"/>
  <c r="AY30" i="3"/>
  <c r="AY31" i="3"/>
  <c r="AY32" i="3"/>
  <c r="AY33" i="3"/>
  <c r="AY34" i="3"/>
  <c r="AY35" i="3"/>
  <c r="AY36" i="3"/>
  <c r="AY37" i="3"/>
  <c r="AY38" i="3"/>
  <c r="AY39" i="3"/>
  <c r="AY40" i="3"/>
  <c r="AY41" i="3"/>
  <c r="AY42" i="3"/>
  <c r="AY43" i="3"/>
  <c r="AY44" i="3"/>
  <c r="AY45" i="3"/>
  <c r="AY46" i="3"/>
  <c r="AY47" i="3"/>
  <c r="AY48" i="3"/>
  <c r="AY49" i="3"/>
  <c r="AY50" i="3"/>
  <c r="AY51" i="3"/>
  <c r="AY52" i="3"/>
  <c r="AY53" i="3"/>
  <c r="AY54" i="3"/>
  <c r="AY55" i="3"/>
  <c r="AY56" i="3"/>
  <c r="AY57" i="3"/>
  <c r="AY58" i="3"/>
  <c r="AY59" i="3"/>
  <c r="AY60" i="3"/>
  <c r="AY61" i="3"/>
  <c r="AY62" i="3"/>
  <c r="AY63" i="3"/>
  <c r="AY64" i="3"/>
  <c r="AY65" i="3"/>
  <c r="AY66" i="3"/>
  <c r="AY67" i="3"/>
  <c r="AY68" i="3"/>
  <c r="AY69" i="3"/>
  <c r="AY70" i="3"/>
  <c r="AY71" i="3"/>
  <c r="AY72" i="3"/>
  <c r="AY73" i="3"/>
  <c r="AY74" i="3"/>
  <c r="AY75" i="3"/>
  <c r="AY76" i="3"/>
  <c r="AY77" i="3"/>
  <c r="AY78" i="3"/>
  <c r="AY79" i="3"/>
  <c r="AY80" i="3"/>
  <c r="AY81" i="3"/>
  <c r="AY82" i="3"/>
  <c r="AY83" i="3"/>
  <c r="AY84" i="3"/>
  <c r="AY85" i="3"/>
  <c r="AY86" i="3"/>
  <c r="AY87" i="3"/>
  <c r="AY88" i="3"/>
  <c r="AY89" i="3"/>
  <c r="AY90" i="3"/>
  <c r="AY91" i="3"/>
  <c r="AY92" i="3"/>
  <c r="AY93" i="3"/>
  <c r="AY94" i="3"/>
  <c r="AY95" i="3"/>
  <c r="AY96" i="3"/>
  <c r="AY97" i="3"/>
  <c r="AY98" i="3"/>
  <c r="AY99" i="3"/>
  <c r="AY100" i="3"/>
  <c r="AY101" i="3"/>
  <c r="AY102" i="3"/>
  <c r="AY103" i="3"/>
  <c r="AY104" i="3"/>
  <c r="AY105" i="3"/>
  <c r="AY106" i="3"/>
  <c r="AY107" i="3"/>
  <c r="AY108" i="3"/>
  <c r="AY109" i="3"/>
  <c r="AY110" i="3"/>
  <c r="AY111" i="3"/>
  <c r="AY2" i="2"/>
  <c r="AY3" i="2"/>
  <c r="AY4" i="2"/>
  <c r="AY5" i="2"/>
  <c r="AY6" i="2"/>
  <c r="AY7" i="2"/>
  <c r="AY8" i="2"/>
  <c r="AY9" i="2"/>
  <c r="AY10" i="2"/>
  <c r="AY11" i="2"/>
  <c r="AY12" i="2"/>
  <c r="AY13" i="2"/>
  <c r="AY14" i="2"/>
  <c r="AY15" i="2"/>
  <c r="AY16" i="2"/>
  <c r="AY17" i="2"/>
  <c r="AY18" i="2"/>
  <c r="AY19" i="2"/>
  <c r="AY20" i="2"/>
  <c r="AY21" i="2"/>
  <c r="AY22" i="2"/>
  <c r="AY23" i="2"/>
  <c r="AY24" i="2"/>
  <c r="AY25" i="2"/>
  <c r="AY26" i="2"/>
  <c r="AY27" i="2"/>
  <c r="AY28" i="2"/>
  <c r="AY29" i="2"/>
  <c r="AY30" i="2"/>
  <c r="AY31" i="2"/>
  <c r="AY32" i="2"/>
  <c r="AY33" i="2"/>
  <c r="AY34" i="2"/>
  <c r="AY35" i="2"/>
  <c r="AY36" i="2"/>
  <c r="AY37" i="2"/>
  <c r="AY38" i="2"/>
  <c r="AY39" i="2"/>
  <c r="AY40" i="2"/>
  <c r="AY41" i="2"/>
  <c r="AY42" i="2"/>
  <c r="AY43" i="2"/>
  <c r="AY44" i="2"/>
  <c r="AY45" i="2"/>
  <c r="AY46" i="2"/>
  <c r="AY47" i="2"/>
  <c r="AY48" i="2"/>
  <c r="AY49" i="2"/>
  <c r="AY50" i="2"/>
  <c r="AY51" i="2"/>
  <c r="AY52" i="2"/>
  <c r="AY53" i="2"/>
  <c r="AY54" i="2"/>
  <c r="AY55" i="2"/>
  <c r="AY56" i="2"/>
  <c r="AY57" i="2"/>
  <c r="AY58" i="2"/>
  <c r="AY59" i="2"/>
  <c r="AY60" i="2"/>
  <c r="AY61" i="2"/>
  <c r="AY62" i="2"/>
  <c r="AY63" i="2"/>
  <c r="AY64" i="2"/>
  <c r="AY65" i="2"/>
  <c r="AY66" i="2"/>
  <c r="AY67" i="2"/>
  <c r="AY68" i="2"/>
  <c r="AY69" i="2"/>
  <c r="AY70" i="2"/>
  <c r="AY71" i="2"/>
  <c r="AY72" i="2"/>
  <c r="AY73" i="2"/>
  <c r="AY74" i="2"/>
  <c r="AY75" i="2"/>
  <c r="AY76" i="2"/>
  <c r="AY77" i="2"/>
  <c r="AY78" i="2"/>
  <c r="AY79" i="2"/>
  <c r="AY80" i="2"/>
  <c r="AY81" i="2"/>
  <c r="AY82" i="2"/>
  <c r="AY83" i="2"/>
  <c r="AY84" i="2"/>
  <c r="AY85" i="2"/>
  <c r="AY86" i="2"/>
  <c r="AY87" i="2"/>
  <c r="AY88" i="2"/>
  <c r="AY89" i="2"/>
  <c r="AY90" i="2"/>
  <c r="AY91" i="2"/>
  <c r="AY92" i="2"/>
  <c r="AY93" i="2"/>
  <c r="AY94" i="2"/>
  <c r="AY95" i="2"/>
  <c r="AY96" i="2"/>
  <c r="AY97" i="2"/>
  <c r="AY98" i="2"/>
  <c r="AY99" i="2"/>
  <c r="AY100" i="2"/>
  <c r="AY101" i="2"/>
  <c r="AY102" i="2"/>
  <c r="AY103" i="2"/>
  <c r="AY104" i="2"/>
  <c r="AY105" i="2"/>
  <c r="AY106" i="2"/>
  <c r="AY107" i="2"/>
  <c r="AY108" i="2"/>
  <c r="AY109" i="2"/>
  <c r="AY110" i="2"/>
  <c r="AY111" i="2"/>
  <c r="AX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X40" i="2"/>
  <c r="AX41" i="2"/>
  <c r="AX42" i="2"/>
  <c r="AX43" i="2"/>
  <c r="AX44" i="2"/>
  <c r="AX45" i="2"/>
  <c r="AX46" i="2"/>
  <c r="AX47" i="2"/>
  <c r="AX48" i="2"/>
  <c r="AX49" i="2"/>
  <c r="AX50" i="2"/>
  <c r="AX51" i="2"/>
  <c r="AX52" i="2"/>
  <c r="AX53" i="2"/>
  <c r="AX54" i="2"/>
  <c r="AX55" i="2"/>
  <c r="AX56" i="2"/>
  <c r="AX57" i="2"/>
  <c r="AX58" i="2"/>
  <c r="AX59" i="2"/>
  <c r="AX60" i="2"/>
  <c r="AX61" i="2"/>
  <c r="AX62" i="2"/>
  <c r="AX63" i="2"/>
  <c r="AX64" i="2"/>
  <c r="AX65" i="2"/>
  <c r="AX66" i="2"/>
  <c r="AX67" i="2"/>
  <c r="AX68" i="2"/>
  <c r="AX69" i="2"/>
  <c r="AX70" i="2"/>
  <c r="AX71" i="2"/>
  <c r="AX72" i="2"/>
  <c r="AX73" i="2"/>
  <c r="AX74" i="2"/>
  <c r="AX75" i="2"/>
  <c r="AX76" i="2"/>
  <c r="AX77" i="2"/>
  <c r="AX78" i="2"/>
  <c r="AX79" i="2"/>
  <c r="AX80" i="2"/>
  <c r="AX81" i="2"/>
  <c r="AX82" i="2"/>
  <c r="AX83" i="2"/>
  <c r="AX84" i="2"/>
  <c r="AX85" i="2"/>
  <c r="AX86" i="2"/>
  <c r="AX87" i="2"/>
  <c r="AX88" i="2"/>
  <c r="AX89" i="2"/>
  <c r="AX90" i="2"/>
  <c r="AX91" i="2"/>
  <c r="AX92" i="2"/>
  <c r="AX93" i="2"/>
  <c r="AX94" i="2"/>
  <c r="AX95" i="2"/>
  <c r="AX96" i="2"/>
  <c r="AX97" i="2"/>
  <c r="AX98" i="2"/>
  <c r="AX99" i="2"/>
  <c r="AX100" i="2"/>
  <c r="AX101" i="2"/>
  <c r="AX102" i="2"/>
  <c r="AX103" i="2"/>
  <c r="AX104" i="2"/>
  <c r="AX105" i="2"/>
  <c r="AX106" i="2"/>
  <c r="AX107" i="2"/>
  <c r="AX108" i="2"/>
  <c r="AX109" i="2"/>
  <c r="AX110" i="2"/>
  <c r="AX111" i="2"/>
  <c r="AV2" i="25"/>
  <c r="AV3" i="25"/>
  <c r="AV4" i="25"/>
  <c r="AV5" i="25"/>
  <c r="AV6" i="25"/>
  <c r="AV7" i="25"/>
  <c r="AV8" i="25"/>
  <c r="AV9" i="25"/>
  <c r="AV10" i="25"/>
  <c r="AV11" i="25"/>
  <c r="AV12" i="25"/>
  <c r="AV13" i="25"/>
  <c r="AV14" i="25"/>
  <c r="AV15" i="25"/>
  <c r="AV16" i="25"/>
  <c r="AV17" i="25"/>
  <c r="AV18" i="25"/>
  <c r="AV19" i="25"/>
  <c r="AV20" i="25"/>
  <c r="AV21" i="25"/>
  <c r="AV22" i="25"/>
  <c r="AV23" i="25"/>
  <c r="AV24" i="25"/>
  <c r="AV25" i="25"/>
  <c r="AV26" i="25"/>
  <c r="AV27" i="25"/>
  <c r="AV28" i="25"/>
  <c r="AV29" i="25"/>
  <c r="AV30" i="25"/>
  <c r="AV31" i="25"/>
  <c r="AV32" i="25"/>
  <c r="AV33" i="25"/>
  <c r="AV34" i="25"/>
  <c r="AV35" i="25"/>
  <c r="AV36" i="25"/>
  <c r="AV37" i="25"/>
  <c r="AV38" i="25"/>
  <c r="AV39" i="25"/>
  <c r="AV40" i="25"/>
  <c r="AV41" i="25"/>
  <c r="AV42" i="25"/>
  <c r="AV43" i="25"/>
  <c r="AV44" i="25"/>
  <c r="AV45" i="25"/>
  <c r="AV46" i="25"/>
  <c r="AV47" i="25"/>
  <c r="AV48" i="25"/>
  <c r="AV49" i="25"/>
  <c r="AV50" i="25"/>
  <c r="AV51" i="25"/>
  <c r="AV52" i="25"/>
  <c r="AV53" i="25"/>
  <c r="AV54" i="25"/>
  <c r="AV55" i="25"/>
  <c r="AV56" i="25"/>
  <c r="AV57" i="25"/>
  <c r="AV58" i="25"/>
  <c r="AV59" i="25"/>
  <c r="AV60" i="25"/>
  <c r="AV61" i="25"/>
  <c r="AV62" i="25"/>
  <c r="AV63" i="25"/>
  <c r="AV64" i="25"/>
  <c r="AV65" i="25"/>
  <c r="AV66" i="25"/>
  <c r="AV67" i="25"/>
  <c r="AV68" i="25"/>
  <c r="AV69" i="25"/>
  <c r="AV70" i="25"/>
  <c r="AV71" i="25"/>
  <c r="AV72" i="25"/>
  <c r="AV73" i="25"/>
  <c r="AV74" i="25"/>
  <c r="AV75" i="25"/>
  <c r="AV76" i="25"/>
  <c r="AV77" i="25"/>
  <c r="AV78" i="25"/>
  <c r="AV79" i="25"/>
  <c r="AV80" i="25"/>
  <c r="AV81" i="25"/>
  <c r="AV82" i="25"/>
  <c r="AV83" i="25"/>
  <c r="AV84" i="25"/>
  <c r="AV85" i="25"/>
  <c r="AV86" i="25"/>
  <c r="AV87" i="25"/>
  <c r="AV88" i="25"/>
  <c r="AV89" i="25"/>
  <c r="AV90" i="25"/>
  <c r="AV91" i="25"/>
  <c r="AV92" i="25"/>
  <c r="AV93" i="25"/>
  <c r="AV94" i="25"/>
  <c r="AV95" i="25"/>
  <c r="AV96" i="25"/>
  <c r="AV97" i="25"/>
  <c r="AV98" i="25"/>
  <c r="AV99" i="25"/>
  <c r="AV100" i="25"/>
  <c r="AV101" i="25"/>
  <c r="AV102" i="25"/>
  <c r="AV103" i="25"/>
  <c r="AV104" i="25"/>
  <c r="AV105" i="25"/>
  <c r="AV106" i="25"/>
  <c r="AV107" i="25"/>
  <c r="AV108" i="25"/>
  <c r="AV109" i="25"/>
  <c r="AV110" i="25"/>
  <c r="AV111" i="25"/>
  <c r="AD2" i="25"/>
  <c r="AD3" i="25"/>
  <c r="AD4" i="25"/>
  <c r="AD5" i="25"/>
  <c r="AD6" i="25"/>
  <c r="AD7" i="25"/>
  <c r="AD8" i="25"/>
  <c r="AD9" i="25"/>
  <c r="AD10" i="25"/>
  <c r="AD11" i="25"/>
  <c r="AD12" i="25"/>
  <c r="AD13" i="25"/>
  <c r="AD14" i="25"/>
  <c r="AD15" i="25"/>
  <c r="AD16" i="25"/>
  <c r="AD17" i="25"/>
  <c r="AD18" i="25"/>
  <c r="AD19" i="25"/>
  <c r="AD20" i="25"/>
  <c r="AD21" i="25"/>
  <c r="AD22" i="25"/>
  <c r="AD23" i="25"/>
  <c r="AD24" i="25"/>
  <c r="AD25" i="25"/>
  <c r="AD26" i="25"/>
  <c r="AD27" i="25"/>
  <c r="AD28" i="25"/>
  <c r="AD29" i="25"/>
  <c r="AD30" i="25"/>
  <c r="AD31" i="25"/>
  <c r="AD32" i="25"/>
  <c r="AD33" i="25"/>
  <c r="AD34" i="25"/>
  <c r="AD35" i="25"/>
  <c r="AD36" i="25"/>
  <c r="AD37" i="25"/>
  <c r="AD38" i="25"/>
  <c r="AD39" i="25"/>
  <c r="AD40" i="25"/>
  <c r="AD41" i="25"/>
  <c r="AD42" i="25"/>
  <c r="AD43" i="25"/>
  <c r="AD44" i="25"/>
  <c r="AD45" i="25"/>
  <c r="AD46" i="25"/>
  <c r="AD47" i="25"/>
  <c r="AD48" i="25"/>
  <c r="AD49" i="25"/>
  <c r="AD50" i="25"/>
  <c r="AD51" i="25"/>
  <c r="AD52" i="25"/>
  <c r="AD53" i="25"/>
  <c r="AD54" i="25"/>
  <c r="AD55" i="25"/>
  <c r="AD56" i="25"/>
  <c r="AD57" i="25"/>
  <c r="AD58" i="25"/>
  <c r="AD59" i="25"/>
  <c r="AD60" i="25"/>
  <c r="AD61" i="25"/>
  <c r="AD62" i="25"/>
  <c r="AD63" i="25"/>
  <c r="AD64" i="25"/>
  <c r="AD65" i="25"/>
  <c r="AD66" i="25"/>
  <c r="AD67" i="25"/>
  <c r="AD68" i="25"/>
  <c r="AD69" i="25"/>
  <c r="AD70" i="25"/>
  <c r="AD71" i="25"/>
  <c r="AD72" i="25"/>
  <c r="AD73" i="25"/>
  <c r="AD74" i="25"/>
  <c r="AD75" i="25"/>
  <c r="AD76" i="25"/>
  <c r="AD77" i="25"/>
  <c r="AD78" i="25"/>
  <c r="AD79" i="25"/>
  <c r="AD80" i="25"/>
  <c r="AD81" i="25"/>
  <c r="AD82" i="25"/>
  <c r="AD83" i="25"/>
  <c r="AD84" i="25"/>
  <c r="AD85" i="25"/>
  <c r="AD86" i="25"/>
  <c r="AD87" i="25"/>
  <c r="AD88" i="25"/>
  <c r="AD89" i="25"/>
  <c r="AD90" i="25"/>
  <c r="AD91" i="25"/>
  <c r="AD92" i="25"/>
  <c r="AD93" i="25"/>
  <c r="AD94" i="25"/>
  <c r="AD95" i="25"/>
  <c r="AD96" i="25"/>
  <c r="AD97" i="25"/>
  <c r="AD98" i="25"/>
  <c r="AD99" i="25"/>
  <c r="AD100" i="25"/>
  <c r="AD101" i="25"/>
  <c r="AD102" i="25"/>
  <c r="AD103" i="25"/>
  <c r="AD104" i="25"/>
  <c r="AD105" i="25"/>
  <c r="AD106" i="25"/>
  <c r="AD107" i="25"/>
  <c r="AD108" i="25"/>
  <c r="AD109" i="25"/>
  <c r="AD110" i="25"/>
  <c r="AD111" i="25"/>
  <c r="A2" i="25"/>
  <c r="A3" i="25"/>
  <c r="A4" i="25"/>
  <c r="A5" i="25"/>
  <c r="A6" i="25"/>
  <c r="A7" i="25"/>
  <c r="A8" i="25"/>
  <c r="A9" i="25"/>
  <c r="A10" i="25"/>
  <c r="A11" i="25"/>
  <c r="A12" i="25"/>
  <c r="A13" i="25"/>
  <c r="A14" i="25"/>
  <c r="A15" i="25"/>
  <c r="A16" i="25"/>
  <c r="A17" i="25"/>
  <c r="A18" i="25"/>
  <c r="A19" i="25"/>
  <c r="A20" i="25"/>
  <c r="A21" i="25"/>
  <c r="A22" i="25"/>
  <c r="A23" i="25"/>
  <c r="A24" i="25"/>
  <c r="A25" i="25"/>
  <c r="A26" i="25"/>
  <c r="A27" i="25"/>
  <c r="A28" i="25"/>
  <c r="A29" i="25"/>
  <c r="A30" i="25"/>
  <c r="A31" i="25"/>
  <c r="A32" i="25"/>
  <c r="A33" i="25"/>
  <c r="A34" i="25"/>
  <c r="A35" i="25"/>
  <c r="A36" i="25"/>
  <c r="A37" i="25"/>
  <c r="A38" i="25"/>
  <c r="A39" i="25"/>
  <c r="A40" i="25"/>
  <c r="A41" i="25"/>
  <c r="A42" i="25"/>
  <c r="A43" i="25"/>
  <c r="A44" i="25"/>
  <c r="A45" i="25"/>
  <c r="A46" i="25"/>
  <c r="A47" i="25"/>
  <c r="A48" i="25"/>
  <c r="A49" i="25"/>
  <c r="A50" i="25"/>
  <c r="A51" i="25"/>
  <c r="A52" i="25"/>
  <c r="A53" i="25"/>
  <c r="A54" i="25"/>
  <c r="A55" i="25"/>
  <c r="A56" i="25"/>
  <c r="A57" i="25"/>
  <c r="A58" i="25"/>
  <c r="A59" i="25"/>
  <c r="A60" i="25"/>
  <c r="A61" i="25"/>
  <c r="A62" i="25"/>
  <c r="A63" i="25"/>
  <c r="A64" i="25"/>
  <c r="A65" i="25"/>
  <c r="A66" i="25"/>
  <c r="A67" i="25"/>
  <c r="A68" i="25"/>
  <c r="A69" i="25"/>
  <c r="A70" i="25"/>
  <c r="A71" i="25"/>
  <c r="A72" i="25"/>
  <c r="A73" i="25"/>
  <c r="A74" i="25"/>
  <c r="A75" i="25"/>
  <c r="A76" i="25"/>
  <c r="A77" i="25"/>
  <c r="A78" i="25"/>
  <c r="A79" i="25"/>
  <c r="A80" i="25"/>
  <c r="A81" i="25"/>
  <c r="A82" i="25"/>
  <c r="A83" i="25"/>
  <c r="A84" i="25"/>
  <c r="A85" i="25"/>
  <c r="A86" i="25"/>
  <c r="A87" i="25"/>
  <c r="A88" i="25"/>
  <c r="A89" i="25"/>
  <c r="A90" i="25"/>
  <c r="A91" i="25"/>
  <c r="A92" i="25"/>
  <c r="A93" i="25"/>
  <c r="A94" i="25"/>
  <c r="A95" i="25"/>
  <c r="A96" i="25"/>
  <c r="A97" i="25"/>
  <c r="A98" i="25"/>
  <c r="A99" i="25"/>
  <c r="A100" i="25"/>
  <c r="A101" i="25"/>
  <c r="A102" i="25"/>
  <c r="A103" i="25"/>
  <c r="A104" i="25"/>
  <c r="A105" i="25"/>
  <c r="A106" i="25"/>
  <c r="A107" i="25"/>
  <c r="A108" i="25"/>
  <c r="A109" i="25"/>
  <c r="A110" i="25"/>
  <c r="A111" i="25"/>
  <c r="O2" i="25"/>
  <c r="O3" i="25"/>
  <c r="O4" i="25"/>
  <c r="O5" i="25"/>
  <c r="O6" i="25"/>
  <c r="O7" i="25"/>
  <c r="O8" i="25"/>
  <c r="O9" i="25"/>
  <c r="O10" i="25"/>
  <c r="O11" i="25"/>
  <c r="O12" i="25"/>
  <c r="O13" i="25"/>
  <c r="O14" i="25"/>
  <c r="O15" i="25"/>
  <c r="O16" i="25"/>
  <c r="O17" i="25"/>
  <c r="O18" i="25"/>
  <c r="O19" i="25"/>
  <c r="O20" i="25"/>
  <c r="O21" i="25"/>
  <c r="O22" i="25"/>
  <c r="O23" i="25"/>
  <c r="O24" i="25"/>
  <c r="O25" i="25"/>
  <c r="O26" i="25"/>
  <c r="O27" i="25"/>
  <c r="O28" i="25"/>
  <c r="O29" i="25"/>
  <c r="O30" i="25"/>
  <c r="O31" i="25"/>
  <c r="O32" i="25"/>
  <c r="O33" i="25"/>
  <c r="O34" i="25"/>
  <c r="O35" i="25"/>
  <c r="O36" i="25"/>
  <c r="O37" i="25"/>
  <c r="O38" i="25"/>
  <c r="O39" i="25"/>
  <c r="O40" i="25"/>
  <c r="O41" i="25"/>
  <c r="O42" i="25"/>
  <c r="O43" i="25"/>
  <c r="O44" i="25"/>
  <c r="O45" i="25"/>
  <c r="O46" i="25"/>
  <c r="O47" i="25"/>
  <c r="O48" i="25"/>
  <c r="O49" i="25"/>
  <c r="O50" i="25"/>
  <c r="O51" i="25"/>
  <c r="O52" i="25"/>
  <c r="O53" i="25"/>
  <c r="O54" i="25"/>
  <c r="O55" i="25"/>
  <c r="O56" i="25"/>
  <c r="O57" i="25"/>
  <c r="O58" i="25"/>
  <c r="O59" i="25"/>
  <c r="O60" i="25"/>
  <c r="O61" i="25"/>
  <c r="O62" i="25"/>
  <c r="O63" i="25"/>
  <c r="O64" i="25"/>
  <c r="O65" i="25"/>
  <c r="O66" i="25"/>
  <c r="O67" i="25"/>
  <c r="O68" i="25"/>
  <c r="O69" i="25"/>
  <c r="O70" i="25"/>
  <c r="O71" i="25"/>
  <c r="O72" i="25"/>
  <c r="O73" i="25"/>
  <c r="O74" i="25"/>
  <c r="O75" i="25"/>
  <c r="O76" i="25"/>
  <c r="O77" i="25"/>
  <c r="O78" i="25"/>
  <c r="O79" i="25"/>
  <c r="O80" i="25"/>
  <c r="O81" i="25"/>
  <c r="O82" i="25"/>
  <c r="O83" i="25"/>
  <c r="O84" i="25"/>
  <c r="O85" i="25"/>
  <c r="O86" i="25"/>
  <c r="O87" i="25"/>
  <c r="O88" i="25"/>
  <c r="O89" i="25"/>
  <c r="O90" i="25"/>
  <c r="O91" i="25"/>
  <c r="O92" i="25"/>
  <c r="O93" i="25"/>
  <c r="O94" i="25"/>
  <c r="O95" i="25"/>
  <c r="O96" i="25"/>
  <c r="O97" i="25"/>
  <c r="O98" i="25"/>
  <c r="O99" i="25"/>
  <c r="O100" i="25"/>
  <c r="O101" i="25"/>
  <c r="O102" i="25"/>
  <c r="O103" i="25"/>
  <c r="O104" i="25"/>
  <c r="O105" i="25"/>
  <c r="O106" i="25"/>
  <c r="O107" i="25"/>
  <c r="O108" i="25"/>
  <c r="O109" i="25"/>
  <c r="O110" i="25"/>
  <c r="O111" i="25"/>
  <c r="AW111" i="25"/>
  <c r="AT111" i="25"/>
  <c r="AS111" i="25"/>
  <c r="AR111" i="25"/>
  <c r="AQ111" i="25"/>
  <c r="AP111" i="25"/>
  <c r="AO111" i="25"/>
  <c r="AN111" i="25"/>
  <c r="AM111" i="25"/>
  <c r="AL111" i="25"/>
  <c r="AJ111" i="25"/>
  <c r="AI111" i="25"/>
  <c r="AB111" i="25"/>
  <c r="AA111" i="25"/>
  <c r="Z111" i="25"/>
  <c r="Y111" i="25"/>
  <c r="X111" i="25"/>
  <c r="W111" i="25"/>
  <c r="V111" i="25"/>
  <c r="U111" i="25"/>
  <c r="T111" i="25"/>
  <c r="M111" i="25"/>
  <c r="L111" i="25"/>
  <c r="K111" i="25"/>
  <c r="J111" i="25"/>
  <c r="BB111" i="25" s="1"/>
  <c r="I111" i="25"/>
  <c r="BA111" i="25" s="1"/>
  <c r="H111" i="25"/>
  <c r="AZ111" i="25" s="1"/>
  <c r="F111" i="25"/>
  <c r="AX111" i="25" s="1"/>
  <c r="AW110" i="25"/>
  <c r="AT110" i="25"/>
  <c r="AS110" i="25"/>
  <c r="AR110" i="25"/>
  <c r="AQ110" i="25"/>
  <c r="AP110" i="25"/>
  <c r="AO110" i="25"/>
  <c r="AN110" i="25"/>
  <c r="AM110" i="25"/>
  <c r="AL110" i="25"/>
  <c r="AJ110" i="25"/>
  <c r="AI110" i="25"/>
  <c r="AB110" i="25"/>
  <c r="AA110" i="25"/>
  <c r="Z110" i="25"/>
  <c r="Y110" i="25"/>
  <c r="X110" i="25"/>
  <c r="W110" i="25"/>
  <c r="V110" i="25"/>
  <c r="U110" i="25"/>
  <c r="T110" i="25"/>
  <c r="M110" i="25"/>
  <c r="L110" i="25"/>
  <c r="K110" i="25"/>
  <c r="J110" i="25"/>
  <c r="BB110" i="25" s="1"/>
  <c r="I110" i="25"/>
  <c r="BA110" i="25" s="1"/>
  <c r="H110" i="25"/>
  <c r="AZ110" i="25" s="1"/>
  <c r="F110" i="25"/>
  <c r="AX110" i="25" s="1"/>
  <c r="AW109" i="25"/>
  <c r="AT109" i="25"/>
  <c r="AS109" i="25"/>
  <c r="AR109" i="25"/>
  <c r="AQ109" i="25"/>
  <c r="AP109" i="25"/>
  <c r="AO109" i="25"/>
  <c r="AN109" i="25"/>
  <c r="AM109" i="25"/>
  <c r="AL109" i="25"/>
  <c r="AJ109" i="25"/>
  <c r="AI109" i="25"/>
  <c r="AB109" i="25"/>
  <c r="AA109" i="25"/>
  <c r="Z109" i="25"/>
  <c r="Y109" i="25"/>
  <c r="X109" i="25"/>
  <c r="W109" i="25"/>
  <c r="V109" i="25"/>
  <c r="U109" i="25"/>
  <c r="T109" i="25"/>
  <c r="M109" i="25"/>
  <c r="L109" i="25"/>
  <c r="K109" i="25"/>
  <c r="J109" i="25"/>
  <c r="BB109" i="25" s="1"/>
  <c r="I109" i="25"/>
  <c r="BA109" i="25" s="1"/>
  <c r="H109" i="25"/>
  <c r="AZ109" i="25" s="1"/>
  <c r="F109" i="25"/>
  <c r="AX109" i="25" s="1"/>
  <c r="AW108" i="25"/>
  <c r="AT108" i="25"/>
  <c r="AS108" i="25"/>
  <c r="AR108" i="25"/>
  <c r="AQ108" i="25"/>
  <c r="AP108" i="25"/>
  <c r="AO108" i="25"/>
  <c r="AN108" i="25"/>
  <c r="AM108" i="25"/>
  <c r="AL108" i="25"/>
  <c r="AJ108" i="25"/>
  <c r="AI108" i="25"/>
  <c r="AB108" i="25"/>
  <c r="AA108" i="25"/>
  <c r="Z108" i="25"/>
  <c r="Y108" i="25"/>
  <c r="X108" i="25"/>
  <c r="W108" i="25"/>
  <c r="V108" i="25"/>
  <c r="U108" i="25"/>
  <c r="T108" i="25"/>
  <c r="M108" i="25"/>
  <c r="L108" i="25"/>
  <c r="K108" i="25"/>
  <c r="J108" i="25"/>
  <c r="BB108" i="25" s="1"/>
  <c r="I108" i="25"/>
  <c r="BA108" i="25" s="1"/>
  <c r="H108" i="25"/>
  <c r="AZ108" i="25" s="1"/>
  <c r="F108" i="25"/>
  <c r="AX108" i="25" s="1"/>
  <c r="AW107" i="25"/>
  <c r="AT107" i="25"/>
  <c r="AS107" i="25"/>
  <c r="AR107" i="25"/>
  <c r="AQ107" i="25"/>
  <c r="AP107" i="25"/>
  <c r="AO107" i="25"/>
  <c r="AN107" i="25"/>
  <c r="AM107" i="25"/>
  <c r="AL107" i="25"/>
  <c r="AJ107" i="25"/>
  <c r="AI107" i="25"/>
  <c r="AB107" i="25"/>
  <c r="AA107" i="25"/>
  <c r="Z107" i="25"/>
  <c r="Y107" i="25"/>
  <c r="X107" i="25"/>
  <c r="W107" i="25"/>
  <c r="V107" i="25"/>
  <c r="U107" i="25"/>
  <c r="T107" i="25"/>
  <c r="M107" i="25"/>
  <c r="L107" i="25"/>
  <c r="K107" i="25"/>
  <c r="J107" i="25"/>
  <c r="BB107" i="25" s="1"/>
  <c r="I107" i="25"/>
  <c r="BA107" i="25" s="1"/>
  <c r="H107" i="25"/>
  <c r="AZ107" i="25" s="1"/>
  <c r="F107" i="25"/>
  <c r="AX107" i="25" s="1"/>
  <c r="AW106" i="25"/>
  <c r="AT106" i="25"/>
  <c r="AS106" i="25"/>
  <c r="AR106" i="25"/>
  <c r="AQ106" i="25"/>
  <c r="AP106" i="25"/>
  <c r="AO106" i="25"/>
  <c r="AN106" i="25"/>
  <c r="AM106" i="25"/>
  <c r="AL106" i="25"/>
  <c r="AJ106" i="25"/>
  <c r="AI106" i="25"/>
  <c r="AB106" i="25"/>
  <c r="AA106" i="25"/>
  <c r="Z106" i="25"/>
  <c r="Y106" i="25"/>
  <c r="X106" i="25"/>
  <c r="W106" i="25"/>
  <c r="V106" i="25"/>
  <c r="U106" i="25"/>
  <c r="T106" i="25"/>
  <c r="M106" i="25"/>
  <c r="L106" i="25"/>
  <c r="K106" i="25"/>
  <c r="J106" i="25"/>
  <c r="BB106" i="25" s="1"/>
  <c r="I106" i="25"/>
  <c r="BA106" i="25" s="1"/>
  <c r="H106" i="25"/>
  <c r="AZ106" i="25" s="1"/>
  <c r="F106" i="25"/>
  <c r="AX106" i="25" s="1"/>
  <c r="AW105" i="25"/>
  <c r="AT105" i="25"/>
  <c r="AS105" i="25"/>
  <c r="AR105" i="25"/>
  <c r="AQ105" i="25"/>
  <c r="AP105" i="25"/>
  <c r="AO105" i="25"/>
  <c r="AN105" i="25"/>
  <c r="AM105" i="25"/>
  <c r="AL105" i="25"/>
  <c r="AJ105" i="25"/>
  <c r="AI105" i="25"/>
  <c r="AB105" i="25"/>
  <c r="AA105" i="25"/>
  <c r="Z105" i="25"/>
  <c r="Y105" i="25"/>
  <c r="X105" i="25"/>
  <c r="W105" i="25"/>
  <c r="V105" i="25"/>
  <c r="U105" i="25"/>
  <c r="T105" i="25"/>
  <c r="M105" i="25"/>
  <c r="L105" i="25"/>
  <c r="K105" i="25"/>
  <c r="J105" i="25"/>
  <c r="BB105" i="25" s="1"/>
  <c r="I105" i="25"/>
  <c r="BA105" i="25" s="1"/>
  <c r="H105" i="25"/>
  <c r="AZ105" i="25" s="1"/>
  <c r="F105" i="25"/>
  <c r="AX105" i="25" s="1"/>
  <c r="AW104" i="25"/>
  <c r="AT104" i="25"/>
  <c r="AS104" i="25"/>
  <c r="AR104" i="25"/>
  <c r="AQ104" i="25"/>
  <c r="AP104" i="25"/>
  <c r="AO104" i="25"/>
  <c r="AN104" i="25"/>
  <c r="AM104" i="25"/>
  <c r="AL104" i="25"/>
  <c r="AJ104" i="25"/>
  <c r="AI104" i="25"/>
  <c r="AB104" i="25"/>
  <c r="AA104" i="25"/>
  <c r="Z104" i="25"/>
  <c r="Y104" i="25"/>
  <c r="X104" i="25"/>
  <c r="W104" i="25"/>
  <c r="V104" i="25"/>
  <c r="U104" i="25"/>
  <c r="T104" i="25"/>
  <c r="M104" i="25"/>
  <c r="L104" i="25"/>
  <c r="K104" i="25"/>
  <c r="J104" i="25"/>
  <c r="BB104" i="25" s="1"/>
  <c r="I104" i="25"/>
  <c r="BA104" i="25" s="1"/>
  <c r="H104" i="25"/>
  <c r="AZ104" i="25" s="1"/>
  <c r="F104" i="25"/>
  <c r="AX104" i="25" s="1"/>
  <c r="AW103" i="25"/>
  <c r="AT103" i="25"/>
  <c r="AS103" i="25"/>
  <c r="AR103" i="25"/>
  <c r="AQ103" i="25"/>
  <c r="AP103" i="25"/>
  <c r="AO103" i="25"/>
  <c r="AN103" i="25"/>
  <c r="AM103" i="25"/>
  <c r="AL103" i="25"/>
  <c r="AJ103" i="25"/>
  <c r="AI103" i="25"/>
  <c r="AB103" i="25"/>
  <c r="AA103" i="25"/>
  <c r="Z103" i="25"/>
  <c r="Y103" i="25"/>
  <c r="X103" i="25"/>
  <c r="W103" i="25"/>
  <c r="V103" i="25"/>
  <c r="U103" i="25"/>
  <c r="T103" i="25"/>
  <c r="M103" i="25"/>
  <c r="L103" i="25"/>
  <c r="K103" i="25"/>
  <c r="J103" i="25"/>
  <c r="BB103" i="25" s="1"/>
  <c r="I103" i="25"/>
  <c r="BA103" i="25" s="1"/>
  <c r="H103" i="25"/>
  <c r="AZ103" i="25" s="1"/>
  <c r="F103" i="25"/>
  <c r="AX103" i="25" s="1"/>
  <c r="AW102" i="25"/>
  <c r="AT102" i="25"/>
  <c r="AS102" i="25"/>
  <c r="AR102" i="25"/>
  <c r="AQ102" i="25"/>
  <c r="AP102" i="25"/>
  <c r="AO102" i="25"/>
  <c r="AN102" i="25"/>
  <c r="AM102" i="25"/>
  <c r="AL102" i="25"/>
  <c r="AJ102" i="25"/>
  <c r="AI102" i="25"/>
  <c r="AB102" i="25"/>
  <c r="AA102" i="25"/>
  <c r="Z102" i="25"/>
  <c r="Y102" i="25"/>
  <c r="X102" i="25"/>
  <c r="W102" i="25"/>
  <c r="V102" i="25"/>
  <c r="U102" i="25"/>
  <c r="T102" i="25"/>
  <c r="M102" i="25"/>
  <c r="L102" i="25"/>
  <c r="K102" i="25"/>
  <c r="J102" i="25"/>
  <c r="BB102" i="25" s="1"/>
  <c r="I102" i="25"/>
  <c r="BA102" i="25" s="1"/>
  <c r="H102" i="25"/>
  <c r="AZ102" i="25" s="1"/>
  <c r="F102" i="25"/>
  <c r="AX102" i="25" s="1"/>
  <c r="AW101" i="25"/>
  <c r="AT101" i="25"/>
  <c r="AS101" i="25"/>
  <c r="AR101" i="25"/>
  <c r="AQ101" i="25"/>
  <c r="AP101" i="25"/>
  <c r="AO101" i="25"/>
  <c r="AN101" i="25"/>
  <c r="AM101" i="25"/>
  <c r="AL101" i="25"/>
  <c r="AJ101" i="25"/>
  <c r="AI101" i="25"/>
  <c r="AB101" i="25"/>
  <c r="AA101" i="25"/>
  <c r="Z101" i="25"/>
  <c r="Y101" i="25"/>
  <c r="X101" i="25"/>
  <c r="W101" i="25"/>
  <c r="V101" i="25"/>
  <c r="U101" i="25"/>
  <c r="T101" i="25"/>
  <c r="M101" i="25"/>
  <c r="L101" i="25"/>
  <c r="K101" i="25"/>
  <c r="J101" i="25"/>
  <c r="BB101" i="25" s="1"/>
  <c r="I101" i="25"/>
  <c r="BA101" i="25" s="1"/>
  <c r="H101" i="25"/>
  <c r="AZ101" i="25" s="1"/>
  <c r="F101" i="25"/>
  <c r="AX101" i="25" s="1"/>
  <c r="AW100" i="25"/>
  <c r="AT100" i="25"/>
  <c r="AS100" i="25"/>
  <c r="AR100" i="25"/>
  <c r="AQ100" i="25"/>
  <c r="AP100" i="25"/>
  <c r="AO100" i="25"/>
  <c r="AN100" i="25"/>
  <c r="AM100" i="25"/>
  <c r="AL100" i="25"/>
  <c r="AJ100" i="25"/>
  <c r="AI100" i="25"/>
  <c r="AB100" i="25"/>
  <c r="AA100" i="25"/>
  <c r="Z100" i="25"/>
  <c r="Y100" i="25"/>
  <c r="X100" i="25"/>
  <c r="W100" i="25"/>
  <c r="V100" i="25"/>
  <c r="U100" i="25"/>
  <c r="T100" i="25"/>
  <c r="M100" i="25"/>
  <c r="L100" i="25"/>
  <c r="K100" i="25"/>
  <c r="J100" i="25"/>
  <c r="BB100" i="25" s="1"/>
  <c r="I100" i="25"/>
  <c r="BA100" i="25" s="1"/>
  <c r="H100" i="25"/>
  <c r="AZ100" i="25" s="1"/>
  <c r="F100" i="25"/>
  <c r="AX100" i="25" s="1"/>
  <c r="AW99" i="25"/>
  <c r="AT99" i="25"/>
  <c r="AS99" i="25"/>
  <c r="AR99" i="25"/>
  <c r="AQ99" i="25"/>
  <c r="AP99" i="25"/>
  <c r="AO99" i="25"/>
  <c r="AN99" i="25"/>
  <c r="AM99" i="25"/>
  <c r="AL99" i="25"/>
  <c r="AJ99" i="25"/>
  <c r="AI99" i="25"/>
  <c r="AB99" i="25"/>
  <c r="AA99" i="25"/>
  <c r="Z99" i="25"/>
  <c r="Y99" i="25"/>
  <c r="X99" i="25"/>
  <c r="W99" i="25"/>
  <c r="V99" i="25"/>
  <c r="U99" i="25"/>
  <c r="T99" i="25"/>
  <c r="M99" i="25"/>
  <c r="L99" i="25"/>
  <c r="K99" i="25"/>
  <c r="J99" i="25"/>
  <c r="BB99" i="25" s="1"/>
  <c r="I99" i="25"/>
  <c r="BA99" i="25" s="1"/>
  <c r="H99" i="25"/>
  <c r="AZ99" i="25" s="1"/>
  <c r="F99" i="25"/>
  <c r="AX99" i="25" s="1"/>
  <c r="AW98" i="25"/>
  <c r="AT98" i="25"/>
  <c r="AS98" i="25"/>
  <c r="AR98" i="25"/>
  <c r="AQ98" i="25"/>
  <c r="AP98" i="25"/>
  <c r="AO98" i="25"/>
  <c r="AN98" i="25"/>
  <c r="AM98" i="25"/>
  <c r="AL98" i="25"/>
  <c r="AJ98" i="25"/>
  <c r="AI98" i="25"/>
  <c r="AB98" i="25"/>
  <c r="AA98" i="25"/>
  <c r="Z98" i="25"/>
  <c r="Y98" i="25"/>
  <c r="X98" i="25"/>
  <c r="W98" i="25"/>
  <c r="V98" i="25"/>
  <c r="U98" i="25"/>
  <c r="T98" i="25"/>
  <c r="M98" i="25"/>
  <c r="L98" i="25"/>
  <c r="K98" i="25"/>
  <c r="J98" i="25"/>
  <c r="BB98" i="25" s="1"/>
  <c r="I98" i="25"/>
  <c r="BA98" i="25" s="1"/>
  <c r="H98" i="25"/>
  <c r="AZ98" i="25" s="1"/>
  <c r="F98" i="25"/>
  <c r="AX98" i="25" s="1"/>
  <c r="AW97" i="25"/>
  <c r="AT97" i="25"/>
  <c r="AS97" i="25"/>
  <c r="AR97" i="25"/>
  <c r="AQ97" i="25"/>
  <c r="AP97" i="25"/>
  <c r="AO97" i="25"/>
  <c r="AN97" i="25"/>
  <c r="AM97" i="25"/>
  <c r="AL97" i="25"/>
  <c r="AJ97" i="25"/>
  <c r="AI97" i="25"/>
  <c r="AB97" i="25"/>
  <c r="AA97" i="25"/>
  <c r="Z97" i="25"/>
  <c r="Y97" i="25"/>
  <c r="X97" i="25"/>
  <c r="W97" i="25"/>
  <c r="V97" i="25"/>
  <c r="U97" i="25"/>
  <c r="T97" i="25"/>
  <c r="M97" i="25"/>
  <c r="L97" i="25"/>
  <c r="K97" i="25"/>
  <c r="J97" i="25"/>
  <c r="BB97" i="25" s="1"/>
  <c r="I97" i="25"/>
  <c r="BA97" i="25" s="1"/>
  <c r="H97" i="25"/>
  <c r="AZ97" i="25" s="1"/>
  <c r="F97" i="25"/>
  <c r="AX97" i="25" s="1"/>
  <c r="AW96" i="25"/>
  <c r="AT96" i="25"/>
  <c r="AS96" i="25"/>
  <c r="AR96" i="25"/>
  <c r="AQ96" i="25"/>
  <c r="AP96" i="25"/>
  <c r="AO96" i="25"/>
  <c r="AN96" i="25"/>
  <c r="AM96" i="25"/>
  <c r="AL96" i="25"/>
  <c r="AJ96" i="25"/>
  <c r="AI96" i="25"/>
  <c r="AB96" i="25"/>
  <c r="AA96" i="25"/>
  <c r="Z96" i="25"/>
  <c r="Y96" i="25"/>
  <c r="X96" i="25"/>
  <c r="W96" i="25"/>
  <c r="V96" i="25"/>
  <c r="U96" i="25"/>
  <c r="T96" i="25"/>
  <c r="M96" i="25"/>
  <c r="L96" i="25"/>
  <c r="K96" i="25"/>
  <c r="J96" i="25"/>
  <c r="BB96" i="25" s="1"/>
  <c r="I96" i="25"/>
  <c r="BA96" i="25" s="1"/>
  <c r="H96" i="25"/>
  <c r="AZ96" i="25" s="1"/>
  <c r="F96" i="25"/>
  <c r="AX96" i="25" s="1"/>
  <c r="AW95" i="25"/>
  <c r="AT95" i="25"/>
  <c r="AS95" i="25"/>
  <c r="AR95" i="25"/>
  <c r="AQ95" i="25"/>
  <c r="AP95" i="25"/>
  <c r="AO95" i="25"/>
  <c r="AN95" i="25"/>
  <c r="AM95" i="25"/>
  <c r="AL95" i="25"/>
  <c r="AJ95" i="25"/>
  <c r="AI95" i="25"/>
  <c r="AB95" i="25"/>
  <c r="AA95" i="25"/>
  <c r="Z95" i="25"/>
  <c r="Y95" i="25"/>
  <c r="X95" i="25"/>
  <c r="W95" i="25"/>
  <c r="V95" i="25"/>
  <c r="U95" i="25"/>
  <c r="T95" i="25"/>
  <c r="M95" i="25"/>
  <c r="L95" i="25"/>
  <c r="K95" i="25"/>
  <c r="J95" i="25"/>
  <c r="BB95" i="25" s="1"/>
  <c r="I95" i="25"/>
  <c r="BA95" i="25" s="1"/>
  <c r="H95" i="25"/>
  <c r="AZ95" i="25" s="1"/>
  <c r="F95" i="25"/>
  <c r="AX95" i="25" s="1"/>
  <c r="AW94" i="25"/>
  <c r="AT94" i="25"/>
  <c r="AS94" i="25"/>
  <c r="AR94" i="25"/>
  <c r="AQ94" i="25"/>
  <c r="AP94" i="25"/>
  <c r="AO94" i="25"/>
  <c r="AN94" i="25"/>
  <c r="AM94" i="25"/>
  <c r="AL94" i="25"/>
  <c r="AJ94" i="25"/>
  <c r="AI94" i="25"/>
  <c r="AB94" i="25"/>
  <c r="AA94" i="25"/>
  <c r="Z94" i="25"/>
  <c r="Y94" i="25"/>
  <c r="X94" i="25"/>
  <c r="W94" i="25"/>
  <c r="V94" i="25"/>
  <c r="U94" i="25"/>
  <c r="T94" i="25"/>
  <c r="M94" i="25"/>
  <c r="L94" i="25"/>
  <c r="K94" i="25"/>
  <c r="J94" i="25"/>
  <c r="BB94" i="25" s="1"/>
  <c r="I94" i="25"/>
  <c r="BA94" i="25" s="1"/>
  <c r="H94" i="25"/>
  <c r="AZ94" i="25" s="1"/>
  <c r="F94" i="25"/>
  <c r="AX94" i="25" s="1"/>
  <c r="AW93" i="25"/>
  <c r="AT93" i="25"/>
  <c r="AS93" i="25"/>
  <c r="AR93" i="25"/>
  <c r="AQ93" i="25"/>
  <c r="AP93" i="25"/>
  <c r="AO93" i="25"/>
  <c r="AN93" i="25"/>
  <c r="AM93" i="25"/>
  <c r="AL93" i="25"/>
  <c r="AJ93" i="25"/>
  <c r="AI93" i="25"/>
  <c r="AB93" i="25"/>
  <c r="AA93" i="25"/>
  <c r="Z93" i="25"/>
  <c r="Y93" i="25"/>
  <c r="X93" i="25"/>
  <c r="W93" i="25"/>
  <c r="V93" i="25"/>
  <c r="U93" i="25"/>
  <c r="T93" i="25"/>
  <c r="M93" i="25"/>
  <c r="L93" i="25"/>
  <c r="K93" i="25"/>
  <c r="J93" i="25"/>
  <c r="BB93" i="25" s="1"/>
  <c r="I93" i="25"/>
  <c r="BA93" i="25" s="1"/>
  <c r="H93" i="25"/>
  <c r="AZ93" i="25" s="1"/>
  <c r="F93" i="25"/>
  <c r="AX93" i="25" s="1"/>
  <c r="AW92" i="25"/>
  <c r="AT92" i="25"/>
  <c r="AS92" i="25"/>
  <c r="AR92" i="25"/>
  <c r="AQ92" i="25"/>
  <c r="AP92" i="25"/>
  <c r="AO92" i="25"/>
  <c r="AN92" i="25"/>
  <c r="AM92" i="25"/>
  <c r="AL92" i="25"/>
  <c r="AJ92" i="25"/>
  <c r="AI92" i="25"/>
  <c r="AB92" i="25"/>
  <c r="AA92" i="25"/>
  <c r="Z92" i="25"/>
  <c r="Y92" i="25"/>
  <c r="X92" i="25"/>
  <c r="W92" i="25"/>
  <c r="V92" i="25"/>
  <c r="U92" i="25"/>
  <c r="T92" i="25"/>
  <c r="M92" i="25"/>
  <c r="L92" i="25"/>
  <c r="K92" i="25"/>
  <c r="J92" i="25"/>
  <c r="BB92" i="25" s="1"/>
  <c r="I92" i="25"/>
  <c r="BA92" i="25" s="1"/>
  <c r="H92" i="25"/>
  <c r="AZ92" i="25" s="1"/>
  <c r="F92" i="25"/>
  <c r="AX92" i="25" s="1"/>
  <c r="AW91" i="25"/>
  <c r="AT91" i="25"/>
  <c r="AS91" i="25"/>
  <c r="AR91" i="25"/>
  <c r="AQ91" i="25"/>
  <c r="AP91" i="25"/>
  <c r="AO91" i="25"/>
  <c r="AN91" i="25"/>
  <c r="AM91" i="25"/>
  <c r="AL91" i="25"/>
  <c r="AJ91" i="25"/>
  <c r="AI91" i="25"/>
  <c r="AB91" i="25"/>
  <c r="AA91" i="25"/>
  <c r="Z91" i="25"/>
  <c r="Y91" i="25"/>
  <c r="X91" i="25"/>
  <c r="W91" i="25"/>
  <c r="V91" i="25"/>
  <c r="U91" i="25"/>
  <c r="T91" i="25"/>
  <c r="M91" i="25"/>
  <c r="L91" i="25"/>
  <c r="K91" i="25"/>
  <c r="J91" i="25"/>
  <c r="BB91" i="25" s="1"/>
  <c r="I91" i="25"/>
  <c r="BA91" i="25" s="1"/>
  <c r="H91" i="25"/>
  <c r="AZ91" i="25" s="1"/>
  <c r="F91" i="25"/>
  <c r="AX91" i="25" s="1"/>
  <c r="AW90" i="25"/>
  <c r="AT90" i="25"/>
  <c r="AS90" i="25"/>
  <c r="AR90" i="25"/>
  <c r="AQ90" i="25"/>
  <c r="AP90" i="25"/>
  <c r="AO90" i="25"/>
  <c r="AN90" i="25"/>
  <c r="AM90" i="25"/>
  <c r="AL90" i="25"/>
  <c r="AJ90" i="25"/>
  <c r="AI90" i="25"/>
  <c r="AB90" i="25"/>
  <c r="AA90" i="25"/>
  <c r="Z90" i="25"/>
  <c r="Y90" i="25"/>
  <c r="X90" i="25"/>
  <c r="W90" i="25"/>
  <c r="V90" i="25"/>
  <c r="U90" i="25"/>
  <c r="T90" i="25"/>
  <c r="M90" i="25"/>
  <c r="L90" i="25"/>
  <c r="K90" i="25"/>
  <c r="J90" i="25"/>
  <c r="BB90" i="25" s="1"/>
  <c r="I90" i="25"/>
  <c r="BA90" i="25" s="1"/>
  <c r="H90" i="25"/>
  <c r="AZ90" i="25" s="1"/>
  <c r="F90" i="25"/>
  <c r="AX90" i="25" s="1"/>
  <c r="AW89" i="25"/>
  <c r="AT89" i="25"/>
  <c r="AS89" i="25"/>
  <c r="AR89" i="25"/>
  <c r="AQ89" i="25"/>
  <c r="AP89" i="25"/>
  <c r="AO89" i="25"/>
  <c r="AN89" i="25"/>
  <c r="AM89" i="25"/>
  <c r="AL89" i="25"/>
  <c r="AJ89" i="25"/>
  <c r="AI89" i="25"/>
  <c r="AB89" i="25"/>
  <c r="AA89" i="25"/>
  <c r="Z89" i="25"/>
  <c r="Y89" i="25"/>
  <c r="X89" i="25"/>
  <c r="W89" i="25"/>
  <c r="V89" i="25"/>
  <c r="U89" i="25"/>
  <c r="T89" i="25"/>
  <c r="M89" i="25"/>
  <c r="L89" i="25"/>
  <c r="K89" i="25"/>
  <c r="J89" i="25"/>
  <c r="BB89" i="25" s="1"/>
  <c r="I89" i="25"/>
  <c r="BA89" i="25" s="1"/>
  <c r="H89" i="25"/>
  <c r="AZ89" i="25" s="1"/>
  <c r="F89" i="25"/>
  <c r="AX89" i="25" s="1"/>
  <c r="AW88" i="25"/>
  <c r="AT88" i="25"/>
  <c r="AS88" i="25"/>
  <c r="AR88" i="25"/>
  <c r="AQ88" i="25"/>
  <c r="AP88" i="25"/>
  <c r="AO88" i="25"/>
  <c r="AN88" i="25"/>
  <c r="AM88" i="25"/>
  <c r="AL88" i="25"/>
  <c r="AJ88" i="25"/>
  <c r="AI88" i="25"/>
  <c r="AB88" i="25"/>
  <c r="AA88" i="25"/>
  <c r="Z88" i="25"/>
  <c r="Y88" i="25"/>
  <c r="X88" i="25"/>
  <c r="W88" i="25"/>
  <c r="V88" i="25"/>
  <c r="U88" i="25"/>
  <c r="T88" i="25"/>
  <c r="M88" i="25"/>
  <c r="L88" i="25"/>
  <c r="K88" i="25"/>
  <c r="J88" i="25"/>
  <c r="BB88" i="25" s="1"/>
  <c r="I88" i="25"/>
  <c r="BA88" i="25" s="1"/>
  <c r="H88" i="25"/>
  <c r="AZ88" i="25" s="1"/>
  <c r="F88" i="25"/>
  <c r="AX88" i="25" s="1"/>
  <c r="AW87" i="25"/>
  <c r="AT87" i="25"/>
  <c r="AS87" i="25"/>
  <c r="AR87" i="25"/>
  <c r="AQ87" i="25"/>
  <c r="AP87" i="25"/>
  <c r="AO87" i="25"/>
  <c r="AN87" i="25"/>
  <c r="AM87" i="25"/>
  <c r="AL87" i="25"/>
  <c r="AJ87" i="25"/>
  <c r="AI87" i="25"/>
  <c r="AB87" i="25"/>
  <c r="AA87" i="25"/>
  <c r="Z87" i="25"/>
  <c r="Y87" i="25"/>
  <c r="X87" i="25"/>
  <c r="W87" i="25"/>
  <c r="V87" i="25"/>
  <c r="U87" i="25"/>
  <c r="T87" i="25"/>
  <c r="M87" i="25"/>
  <c r="L87" i="25"/>
  <c r="K87" i="25"/>
  <c r="J87" i="25"/>
  <c r="BB87" i="25" s="1"/>
  <c r="I87" i="25"/>
  <c r="BA87" i="25" s="1"/>
  <c r="H87" i="25"/>
  <c r="AZ87" i="25" s="1"/>
  <c r="F87" i="25"/>
  <c r="AX87" i="25" s="1"/>
  <c r="AW86" i="25"/>
  <c r="AT86" i="25"/>
  <c r="AS86" i="25"/>
  <c r="AR86" i="25"/>
  <c r="AQ86" i="25"/>
  <c r="AP86" i="25"/>
  <c r="AO86" i="25"/>
  <c r="AN86" i="25"/>
  <c r="AM86" i="25"/>
  <c r="AL86" i="25"/>
  <c r="AJ86" i="25"/>
  <c r="AI86" i="25"/>
  <c r="AB86" i="25"/>
  <c r="AA86" i="25"/>
  <c r="Z86" i="25"/>
  <c r="Y86" i="25"/>
  <c r="X86" i="25"/>
  <c r="W86" i="25"/>
  <c r="V86" i="25"/>
  <c r="U86" i="25"/>
  <c r="T86" i="25"/>
  <c r="M86" i="25"/>
  <c r="L86" i="25"/>
  <c r="K86" i="25"/>
  <c r="J86" i="25"/>
  <c r="BB86" i="25" s="1"/>
  <c r="I86" i="25"/>
  <c r="BA86" i="25" s="1"/>
  <c r="H86" i="25"/>
  <c r="AZ86" i="25" s="1"/>
  <c r="F86" i="25"/>
  <c r="AX86" i="25" s="1"/>
  <c r="AW85" i="25"/>
  <c r="AT85" i="25"/>
  <c r="AS85" i="25"/>
  <c r="AR85" i="25"/>
  <c r="AQ85" i="25"/>
  <c r="AP85" i="25"/>
  <c r="AO85" i="25"/>
  <c r="AN85" i="25"/>
  <c r="AM85" i="25"/>
  <c r="AL85" i="25"/>
  <c r="AJ85" i="25"/>
  <c r="AI85" i="25"/>
  <c r="AB85" i="25"/>
  <c r="AA85" i="25"/>
  <c r="Z85" i="25"/>
  <c r="Y85" i="25"/>
  <c r="X85" i="25"/>
  <c r="W85" i="25"/>
  <c r="V85" i="25"/>
  <c r="U85" i="25"/>
  <c r="T85" i="25"/>
  <c r="M85" i="25"/>
  <c r="L85" i="25"/>
  <c r="K85" i="25"/>
  <c r="J85" i="25"/>
  <c r="BB85" i="25" s="1"/>
  <c r="I85" i="25"/>
  <c r="BA85" i="25" s="1"/>
  <c r="H85" i="25"/>
  <c r="AZ85" i="25" s="1"/>
  <c r="F85" i="25"/>
  <c r="AX85" i="25" s="1"/>
  <c r="AW84" i="25"/>
  <c r="AT84" i="25"/>
  <c r="AS84" i="25"/>
  <c r="AR84" i="25"/>
  <c r="AQ84" i="25"/>
  <c r="AP84" i="25"/>
  <c r="AO84" i="25"/>
  <c r="AN84" i="25"/>
  <c r="AM84" i="25"/>
  <c r="AL84" i="25"/>
  <c r="AJ84" i="25"/>
  <c r="AI84" i="25"/>
  <c r="AB84" i="25"/>
  <c r="AA84" i="25"/>
  <c r="Z84" i="25"/>
  <c r="Y84" i="25"/>
  <c r="X84" i="25"/>
  <c r="W84" i="25"/>
  <c r="V84" i="25"/>
  <c r="U84" i="25"/>
  <c r="T84" i="25"/>
  <c r="M84" i="25"/>
  <c r="L84" i="25"/>
  <c r="K84" i="25"/>
  <c r="J84" i="25"/>
  <c r="BB84" i="25" s="1"/>
  <c r="I84" i="25"/>
  <c r="BA84" i="25" s="1"/>
  <c r="H84" i="25"/>
  <c r="AZ84" i="25" s="1"/>
  <c r="F84" i="25"/>
  <c r="AX84" i="25" s="1"/>
  <c r="AW83" i="25"/>
  <c r="AT83" i="25"/>
  <c r="AS83" i="25"/>
  <c r="AR83" i="25"/>
  <c r="AQ83" i="25"/>
  <c r="AP83" i="25"/>
  <c r="AO83" i="25"/>
  <c r="AN83" i="25"/>
  <c r="AM83" i="25"/>
  <c r="AL83" i="25"/>
  <c r="AJ83" i="25"/>
  <c r="AI83" i="25"/>
  <c r="AB83" i="25"/>
  <c r="AA83" i="25"/>
  <c r="Z83" i="25"/>
  <c r="Y83" i="25"/>
  <c r="X83" i="25"/>
  <c r="W83" i="25"/>
  <c r="V83" i="25"/>
  <c r="U83" i="25"/>
  <c r="T83" i="25"/>
  <c r="M83" i="25"/>
  <c r="L83" i="25"/>
  <c r="K83" i="25"/>
  <c r="J83" i="25"/>
  <c r="BB83" i="25" s="1"/>
  <c r="I83" i="25"/>
  <c r="BA83" i="25" s="1"/>
  <c r="H83" i="25"/>
  <c r="AZ83" i="25" s="1"/>
  <c r="F83" i="25"/>
  <c r="AX83" i="25" s="1"/>
  <c r="AW82" i="25"/>
  <c r="AT82" i="25"/>
  <c r="AS82" i="25"/>
  <c r="AR82" i="25"/>
  <c r="AQ82" i="25"/>
  <c r="AP82" i="25"/>
  <c r="AO82" i="25"/>
  <c r="AN82" i="25"/>
  <c r="AM82" i="25"/>
  <c r="AL82" i="25"/>
  <c r="AJ82" i="25"/>
  <c r="AI82" i="25"/>
  <c r="AB82" i="25"/>
  <c r="AA82" i="25"/>
  <c r="Z82" i="25"/>
  <c r="Y82" i="25"/>
  <c r="X82" i="25"/>
  <c r="W82" i="25"/>
  <c r="V82" i="25"/>
  <c r="U82" i="25"/>
  <c r="T82" i="25"/>
  <c r="M82" i="25"/>
  <c r="L82" i="25"/>
  <c r="K82" i="25"/>
  <c r="J82" i="25"/>
  <c r="BB82" i="25" s="1"/>
  <c r="I82" i="25"/>
  <c r="BA82" i="25" s="1"/>
  <c r="H82" i="25"/>
  <c r="AZ82" i="25" s="1"/>
  <c r="F82" i="25"/>
  <c r="AX82" i="25" s="1"/>
  <c r="AW81" i="25"/>
  <c r="AT81" i="25"/>
  <c r="AS81" i="25"/>
  <c r="AR81" i="25"/>
  <c r="AQ81" i="25"/>
  <c r="AP81" i="25"/>
  <c r="AO81" i="25"/>
  <c r="AN81" i="25"/>
  <c r="AM81" i="25"/>
  <c r="AL81" i="25"/>
  <c r="AJ81" i="25"/>
  <c r="AI81" i="25"/>
  <c r="AB81" i="25"/>
  <c r="AA81" i="25"/>
  <c r="Z81" i="25"/>
  <c r="Y81" i="25"/>
  <c r="X81" i="25"/>
  <c r="W81" i="25"/>
  <c r="V81" i="25"/>
  <c r="U81" i="25"/>
  <c r="T81" i="25"/>
  <c r="M81" i="25"/>
  <c r="L81" i="25"/>
  <c r="K81" i="25"/>
  <c r="J81" i="25"/>
  <c r="BB81" i="25" s="1"/>
  <c r="I81" i="25"/>
  <c r="BA81" i="25" s="1"/>
  <c r="H81" i="25"/>
  <c r="AZ81" i="25" s="1"/>
  <c r="F81" i="25"/>
  <c r="AX81" i="25" s="1"/>
  <c r="AW80" i="25"/>
  <c r="AT80" i="25"/>
  <c r="AS80" i="25"/>
  <c r="AR80" i="25"/>
  <c r="AQ80" i="25"/>
  <c r="AP80" i="25"/>
  <c r="AO80" i="25"/>
  <c r="AN80" i="25"/>
  <c r="AM80" i="25"/>
  <c r="AL80" i="25"/>
  <c r="AJ80" i="25"/>
  <c r="AI80" i="25"/>
  <c r="AB80" i="25"/>
  <c r="AA80" i="25"/>
  <c r="Z80" i="25"/>
  <c r="Y80" i="25"/>
  <c r="X80" i="25"/>
  <c r="W80" i="25"/>
  <c r="V80" i="25"/>
  <c r="U80" i="25"/>
  <c r="T80" i="25"/>
  <c r="M80" i="25"/>
  <c r="L80" i="25"/>
  <c r="K80" i="25"/>
  <c r="J80" i="25"/>
  <c r="BB80" i="25" s="1"/>
  <c r="I80" i="25"/>
  <c r="BA80" i="25" s="1"/>
  <c r="H80" i="25"/>
  <c r="AZ80" i="25" s="1"/>
  <c r="F80" i="25"/>
  <c r="AX80" i="25" s="1"/>
  <c r="AW79" i="25"/>
  <c r="AT79" i="25"/>
  <c r="AS79" i="25"/>
  <c r="AR79" i="25"/>
  <c r="AQ79" i="25"/>
  <c r="AP79" i="25"/>
  <c r="AO79" i="25"/>
  <c r="AN79" i="25"/>
  <c r="AM79" i="25"/>
  <c r="AL79" i="25"/>
  <c r="AJ79" i="25"/>
  <c r="AI79" i="25"/>
  <c r="AB79" i="25"/>
  <c r="AA79" i="25"/>
  <c r="Z79" i="25"/>
  <c r="Y79" i="25"/>
  <c r="X79" i="25"/>
  <c r="W79" i="25"/>
  <c r="V79" i="25"/>
  <c r="U79" i="25"/>
  <c r="T79" i="25"/>
  <c r="M79" i="25"/>
  <c r="L79" i="25"/>
  <c r="K79" i="25"/>
  <c r="J79" i="25"/>
  <c r="BB79" i="25" s="1"/>
  <c r="I79" i="25"/>
  <c r="BA79" i="25" s="1"/>
  <c r="H79" i="25"/>
  <c r="AZ79" i="25" s="1"/>
  <c r="F79" i="25"/>
  <c r="AX79" i="25" s="1"/>
  <c r="AW78" i="25"/>
  <c r="AT78" i="25"/>
  <c r="AS78" i="25"/>
  <c r="AR78" i="25"/>
  <c r="AQ78" i="25"/>
  <c r="AP78" i="25"/>
  <c r="AO78" i="25"/>
  <c r="AN78" i="25"/>
  <c r="AM78" i="25"/>
  <c r="AL78" i="25"/>
  <c r="AJ78" i="25"/>
  <c r="AI78" i="25"/>
  <c r="AB78" i="25"/>
  <c r="AA78" i="25"/>
  <c r="Z78" i="25"/>
  <c r="Y78" i="25"/>
  <c r="X78" i="25"/>
  <c r="W78" i="25"/>
  <c r="V78" i="25"/>
  <c r="U78" i="25"/>
  <c r="T78" i="25"/>
  <c r="M78" i="25"/>
  <c r="L78" i="25"/>
  <c r="K78" i="25"/>
  <c r="J78" i="25"/>
  <c r="BB78" i="25" s="1"/>
  <c r="I78" i="25"/>
  <c r="BA78" i="25" s="1"/>
  <c r="H78" i="25"/>
  <c r="AZ78" i="25" s="1"/>
  <c r="F78" i="25"/>
  <c r="AX78" i="25" s="1"/>
  <c r="AW77" i="25"/>
  <c r="AT77" i="25"/>
  <c r="AS77" i="25"/>
  <c r="AR77" i="25"/>
  <c r="AQ77" i="25"/>
  <c r="AP77" i="25"/>
  <c r="AO77" i="25"/>
  <c r="AN77" i="25"/>
  <c r="AM77" i="25"/>
  <c r="AL77" i="25"/>
  <c r="AJ77" i="25"/>
  <c r="AI77" i="25"/>
  <c r="AB77" i="25"/>
  <c r="AA77" i="25"/>
  <c r="Z77" i="25"/>
  <c r="Y77" i="25"/>
  <c r="X77" i="25"/>
  <c r="W77" i="25"/>
  <c r="V77" i="25"/>
  <c r="U77" i="25"/>
  <c r="T77" i="25"/>
  <c r="M77" i="25"/>
  <c r="L77" i="25"/>
  <c r="K77" i="25"/>
  <c r="J77" i="25"/>
  <c r="BB77" i="25" s="1"/>
  <c r="I77" i="25"/>
  <c r="BA77" i="25" s="1"/>
  <c r="H77" i="25"/>
  <c r="AZ77" i="25" s="1"/>
  <c r="F77" i="25"/>
  <c r="AX77" i="25" s="1"/>
  <c r="AW76" i="25"/>
  <c r="AT76" i="25"/>
  <c r="AS76" i="25"/>
  <c r="AR76" i="25"/>
  <c r="AQ76" i="25"/>
  <c r="AP76" i="25"/>
  <c r="AO76" i="25"/>
  <c r="AN76" i="25"/>
  <c r="AM76" i="25"/>
  <c r="AL76" i="25"/>
  <c r="AJ76" i="25"/>
  <c r="AI76" i="25"/>
  <c r="AB76" i="25"/>
  <c r="AA76" i="25"/>
  <c r="Z76" i="25"/>
  <c r="Y76" i="25"/>
  <c r="X76" i="25"/>
  <c r="W76" i="25"/>
  <c r="V76" i="25"/>
  <c r="U76" i="25"/>
  <c r="T76" i="25"/>
  <c r="M76" i="25"/>
  <c r="L76" i="25"/>
  <c r="K76" i="25"/>
  <c r="J76" i="25"/>
  <c r="BB76" i="25" s="1"/>
  <c r="I76" i="25"/>
  <c r="BA76" i="25" s="1"/>
  <c r="H76" i="25"/>
  <c r="AZ76" i="25" s="1"/>
  <c r="F76" i="25"/>
  <c r="AX76" i="25" s="1"/>
  <c r="AW75" i="25"/>
  <c r="AT75" i="25"/>
  <c r="AS75" i="25"/>
  <c r="AR75" i="25"/>
  <c r="AQ75" i="25"/>
  <c r="AP75" i="25"/>
  <c r="AO75" i="25"/>
  <c r="AN75" i="25"/>
  <c r="AM75" i="25"/>
  <c r="AL75" i="25"/>
  <c r="AJ75" i="25"/>
  <c r="AI75" i="25"/>
  <c r="AB75" i="25"/>
  <c r="AA75" i="25"/>
  <c r="Z75" i="25"/>
  <c r="Y75" i="25"/>
  <c r="X75" i="25"/>
  <c r="W75" i="25"/>
  <c r="V75" i="25"/>
  <c r="U75" i="25"/>
  <c r="T75" i="25"/>
  <c r="M75" i="25"/>
  <c r="L75" i="25"/>
  <c r="K75" i="25"/>
  <c r="J75" i="25"/>
  <c r="BB75" i="25" s="1"/>
  <c r="I75" i="25"/>
  <c r="BA75" i="25" s="1"/>
  <c r="H75" i="25"/>
  <c r="AZ75" i="25" s="1"/>
  <c r="F75" i="25"/>
  <c r="AX75" i="25" s="1"/>
  <c r="AW74" i="25"/>
  <c r="AT74" i="25"/>
  <c r="AS74" i="25"/>
  <c r="AR74" i="25"/>
  <c r="AQ74" i="25"/>
  <c r="AP74" i="25"/>
  <c r="AO74" i="25"/>
  <c r="AN74" i="25"/>
  <c r="AM74" i="25"/>
  <c r="AL74" i="25"/>
  <c r="AJ74" i="25"/>
  <c r="AI74" i="25"/>
  <c r="AB74" i="25"/>
  <c r="AA74" i="25"/>
  <c r="Z74" i="25"/>
  <c r="Y74" i="25"/>
  <c r="X74" i="25"/>
  <c r="W74" i="25"/>
  <c r="V74" i="25"/>
  <c r="U74" i="25"/>
  <c r="T74" i="25"/>
  <c r="M74" i="25"/>
  <c r="L74" i="25"/>
  <c r="K74" i="25"/>
  <c r="J74" i="25"/>
  <c r="BB74" i="25" s="1"/>
  <c r="I74" i="25"/>
  <c r="BA74" i="25" s="1"/>
  <c r="H74" i="25"/>
  <c r="AZ74" i="25" s="1"/>
  <c r="F74" i="25"/>
  <c r="AX74" i="25" s="1"/>
  <c r="AW73" i="25"/>
  <c r="AT73" i="25"/>
  <c r="AS73" i="25"/>
  <c r="AR73" i="25"/>
  <c r="AQ73" i="25"/>
  <c r="AP73" i="25"/>
  <c r="AO73" i="25"/>
  <c r="AN73" i="25"/>
  <c r="AM73" i="25"/>
  <c r="AL73" i="25"/>
  <c r="AJ73" i="25"/>
  <c r="AI73" i="25"/>
  <c r="AB73" i="25"/>
  <c r="AA73" i="25"/>
  <c r="Z73" i="25"/>
  <c r="Y73" i="25"/>
  <c r="X73" i="25"/>
  <c r="W73" i="25"/>
  <c r="V73" i="25"/>
  <c r="U73" i="25"/>
  <c r="T73" i="25"/>
  <c r="M73" i="25"/>
  <c r="L73" i="25"/>
  <c r="K73" i="25"/>
  <c r="J73" i="25"/>
  <c r="BB73" i="25" s="1"/>
  <c r="I73" i="25"/>
  <c r="BA73" i="25" s="1"/>
  <c r="H73" i="25"/>
  <c r="AZ73" i="25" s="1"/>
  <c r="F73" i="25"/>
  <c r="AX73" i="25" s="1"/>
  <c r="AW72" i="25"/>
  <c r="AT72" i="25"/>
  <c r="AS72" i="25"/>
  <c r="AR72" i="25"/>
  <c r="AQ72" i="25"/>
  <c r="AP72" i="25"/>
  <c r="AO72" i="25"/>
  <c r="AN72" i="25"/>
  <c r="AM72" i="25"/>
  <c r="AL72" i="25"/>
  <c r="AJ72" i="25"/>
  <c r="AI72" i="25"/>
  <c r="AB72" i="25"/>
  <c r="AA72" i="25"/>
  <c r="Z72" i="25"/>
  <c r="Y72" i="25"/>
  <c r="X72" i="25"/>
  <c r="W72" i="25"/>
  <c r="V72" i="25"/>
  <c r="U72" i="25"/>
  <c r="T72" i="25"/>
  <c r="M72" i="25"/>
  <c r="L72" i="25"/>
  <c r="K72" i="25"/>
  <c r="J72" i="25"/>
  <c r="BB72" i="25" s="1"/>
  <c r="I72" i="25"/>
  <c r="BA72" i="25" s="1"/>
  <c r="H72" i="25"/>
  <c r="AZ72" i="25" s="1"/>
  <c r="F72" i="25"/>
  <c r="AX72" i="25" s="1"/>
  <c r="AW71" i="25"/>
  <c r="AT71" i="25"/>
  <c r="AS71" i="25"/>
  <c r="AR71" i="25"/>
  <c r="AQ71" i="25"/>
  <c r="AP71" i="25"/>
  <c r="AO71" i="25"/>
  <c r="AN71" i="25"/>
  <c r="AM71" i="25"/>
  <c r="AL71" i="25"/>
  <c r="AJ71" i="25"/>
  <c r="AI71" i="25"/>
  <c r="AB71" i="25"/>
  <c r="AA71" i="25"/>
  <c r="Z71" i="25"/>
  <c r="Y71" i="25"/>
  <c r="X71" i="25"/>
  <c r="W71" i="25"/>
  <c r="V71" i="25"/>
  <c r="U71" i="25"/>
  <c r="T71" i="25"/>
  <c r="M71" i="25"/>
  <c r="L71" i="25"/>
  <c r="K71" i="25"/>
  <c r="J71" i="25"/>
  <c r="BB71" i="25" s="1"/>
  <c r="I71" i="25"/>
  <c r="BA71" i="25" s="1"/>
  <c r="H71" i="25"/>
  <c r="AZ71" i="25" s="1"/>
  <c r="F71" i="25"/>
  <c r="AX71" i="25" s="1"/>
  <c r="AW70" i="25"/>
  <c r="AT70" i="25"/>
  <c r="AS70" i="25"/>
  <c r="AR70" i="25"/>
  <c r="AQ70" i="25"/>
  <c r="AP70" i="25"/>
  <c r="AO70" i="25"/>
  <c r="AN70" i="25"/>
  <c r="AM70" i="25"/>
  <c r="AL70" i="25"/>
  <c r="AJ70" i="25"/>
  <c r="AI70" i="25"/>
  <c r="AB70" i="25"/>
  <c r="AA70" i="25"/>
  <c r="Z70" i="25"/>
  <c r="Y70" i="25"/>
  <c r="X70" i="25"/>
  <c r="W70" i="25"/>
  <c r="V70" i="25"/>
  <c r="U70" i="25"/>
  <c r="T70" i="25"/>
  <c r="M70" i="25"/>
  <c r="L70" i="25"/>
  <c r="K70" i="25"/>
  <c r="J70" i="25"/>
  <c r="BB70" i="25" s="1"/>
  <c r="I70" i="25"/>
  <c r="BA70" i="25" s="1"/>
  <c r="H70" i="25"/>
  <c r="AZ70" i="25" s="1"/>
  <c r="F70" i="25"/>
  <c r="AX70" i="25" s="1"/>
  <c r="AW69" i="25"/>
  <c r="AT69" i="25"/>
  <c r="AS69" i="25"/>
  <c r="AR69" i="25"/>
  <c r="AQ69" i="25"/>
  <c r="AP69" i="25"/>
  <c r="AO69" i="25"/>
  <c r="AN69" i="25"/>
  <c r="AM69" i="25"/>
  <c r="AL69" i="25"/>
  <c r="AJ69" i="25"/>
  <c r="AI69" i="25"/>
  <c r="AB69" i="25"/>
  <c r="AA69" i="25"/>
  <c r="Z69" i="25"/>
  <c r="Y69" i="25"/>
  <c r="X69" i="25"/>
  <c r="W69" i="25"/>
  <c r="V69" i="25"/>
  <c r="U69" i="25"/>
  <c r="T69" i="25"/>
  <c r="M69" i="25"/>
  <c r="L69" i="25"/>
  <c r="K69" i="25"/>
  <c r="J69" i="25"/>
  <c r="BB69" i="25" s="1"/>
  <c r="I69" i="25"/>
  <c r="BA69" i="25" s="1"/>
  <c r="H69" i="25"/>
  <c r="AZ69" i="25" s="1"/>
  <c r="F69" i="25"/>
  <c r="AX69" i="25" s="1"/>
  <c r="AW68" i="25"/>
  <c r="AT68" i="25"/>
  <c r="AS68" i="25"/>
  <c r="AR68" i="25"/>
  <c r="AQ68" i="25"/>
  <c r="AP68" i="25"/>
  <c r="AO68" i="25"/>
  <c r="AN68" i="25"/>
  <c r="AM68" i="25"/>
  <c r="AL68" i="25"/>
  <c r="AJ68" i="25"/>
  <c r="AI68" i="25"/>
  <c r="AB68" i="25"/>
  <c r="AA68" i="25"/>
  <c r="Z68" i="25"/>
  <c r="Y68" i="25"/>
  <c r="X68" i="25"/>
  <c r="W68" i="25"/>
  <c r="V68" i="25"/>
  <c r="U68" i="25"/>
  <c r="T68" i="25"/>
  <c r="M68" i="25"/>
  <c r="L68" i="25"/>
  <c r="K68" i="25"/>
  <c r="J68" i="25"/>
  <c r="BB68" i="25" s="1"/>
  <c r="I68" i="25"/>
  <c r="BA68" i="25" s="1"/>
  <c r="H68" i="25"/>
  <c r="AZ68" i="25" s="1"/>
  <c r="F68" i="25"/>
  <c r="AX68" i="25" s="1"/>
  <c r="AW67" i="25"/>
  <c r="AT67" i="25"/>
  <c r="AS67" i="25"/>
  <c r="AR67" i="25"/>
  <c r="AQ67" i="25"/>
  <c r="AP67" i="25"/>
  <c r="AO67" i="25"/>
  <c r="AN67" i="25"/>
  <c r="AM67" i="25"/>
  <c r="AL67" i="25"/>
  <c r="AJ67" i="25"/>
  <c r="AI67" i="25"/>
  <c r="AB67" i="25"/>
  <c r="AA67" i="25"/>
  <c r="Z67" i="25"/>
  <c r="Y67" i="25"/>
  <c r="X67" i="25"/>
  <c r="W67" i="25"/>
  <c r="V67" i="25"/>
  <c r="U67" i="25"/>
  <c r="T67" i="25"/>
  <c r="M67" i="25"/>
  <c r="L67" i="25"/>
  <c r="K67" i="25"/>
  <c r="J67" i="25"/>
  <c r="BB67" i="25" s="1"/>
  <c r="I67" i="25"/>
  <c r="BA67" i="25" s="1"/>
  <c r="H67" i="25"/>
  <c r="AZ67" i="25" s="1"/>
  <c r="F67" i="25"/>
  <c r="AX67" i="25" s="1"/>
  <c r="AW66" i="25"/>
  <c r="AT66" i="25"/>
  <c r="AS66" i="25"/>
  <c r="AR66" i="25"/>
  <c r="AQ66" i="25"/>
  <c r="AP66" i="25"/>
  <c r="AO66" i="25"/>
  <c r="AN66" i="25"/>
  <c r="AM66" i="25"/>
  <c r="AL66" i="25"/>
  <c r="AJ66" i="25"/>
  <c r="AI66" i="25"/>
  <c r="AB66" i="25"/>
  <c r="AA66" i="25"/>
  <c r="Z66" i="25"/>
  <c r="Y66" i="25"/>
  <c r="X66" i="25"/>
  <c r="W66" i="25"/>
  <c r="V66" i="25"/>
  <c r="U66" i="25"/>
  <c r="T66" i="25"/>
  <c r="M66" i="25"/>
  <c r="L66" i="25"/>
  <c r="K66" i="25"/>
  <c r="J66" i="25"/>
  <c r="BB66" i="25" s="1"/>
  <c r="I66" i="25"/>
  <c r="BA66" i="25" s="1"/>
  <c r="H66" i="25"/>
  <c r="AZ66" i="25" s="1"/>
  <c r="F66" i="25"/>
  <c r="AX66" i="25" s="1"/>
  <c r="AW65" i="25"/>
  <c r="AT65" i="25"/>
  <c r="AS65" i="25"/>
  <c r="AR65" i="25"/>
  <c r="AQ65" i="25"/>
  <c r="AP65" i="25"/>
  <c r="AO65" i="25"/>
  <c r="AN65" i="25"/>
  <c r="AM65" i="25"/>
  <c r="AL65" i="25"/>
  <c r="AJ65" i="25"/>
  <c r="AI65" i="25"/>
  <c r="AB65" i="25"/>
  <c r="AA65" i="25"/>
  <c r="Z65" i="25"/>
  <c r="Y65" i="25"/>
  <c r="X65" i="25"/>
  <c r="W65" i="25"/>
  <c r="V65" i="25"/>
  <c r="U65" i="25"/>
  <c r="T65" i="25"/>
  <c r="M65" i="25"/>
  <c r="L65" i="25"/>
  <c r="K65" i="25"/>
  <c r="J65" i="25"/>
  <c r="BB65" i="25" s="1"/>
  <c r="I65" i="25"/>
  <c r="BA65" i="25" s="1"/>
  <c r="H65" i="25"/>
  <c r="AZ65" i="25" s="1"/>
  <c r="F65" i="25"/>
  <c r="AX65" i="25" s="1"/>
  <c r="AW64" i="25"/>
  <c r="AT64" i="25"/>
  <c r="AS64" i="25"/>
  <c r="AR64" i="25"/>
  <c r="AQ64" i="25"/>
  <c r="AP64" i="25"/>
  <c r="AO64" i="25"/>
  <c r="AN64" i="25"/>
  <c r="AM64" i="25"/>
  <c r="AL64" i="25"/>
  <c r="AJ64" i="25"/>
  <c r="AI64" i="25"/>
  <c r="AB64" i="25"/>
  <c r="AA64" i="25"/>
  <c r="Z64" i="25"/>
  <c r="Y64" i="25"/>
  <c r="X64" i="25"/>
  <c r="W64" i="25"/>
  <c r="V64" i="25"/>
  <c r="U64" i="25"/>
  <c r="T64" i="25"/>
  <c r="M64" i="25"/>
  <c r="L64" i="25"/>
  <c r="K64" i="25"/>
  <c r="J64" i="25"/>
  <c r="BB64" i="25" s="1"/>
  <c r="I64" i="25"/>
  <c r="BA64" i="25" s="1"/>
  <c r="H64" i="25"/>
  <c r="AZ64" i="25" s="1"/>
  <c r="F64" i="25"/>
  <c r="AX64" i="25" s="1"/>
  <c r="AW63" i="25"/>
  <c r="AT63" i="25"/>
  <c r="AS63" i="25"/>
  <c r="AR63" i="25"/>
  <c r="AQ63" i="25"/>
  <c r="AP63" i="25"/>
  <c r="AO63" i="25"/>
  <c r="AN63" i="25"/>
  <c r="AM63" i="25"/>
  <c r="AL63" i="25"/>
  <c r="AJ63" i="25"/>
  <c r="AI63" i="25"/>
  <c r="AB63" i="25"/>
  <c r="AA63" i="25"/>
  <c r="Z63" i="25"/>
  <c r="Y63" i="25"/>
  <c r="X63" i="25"/>
  <c r="W63" i="25"/>
  <c r="V63" i="25"/>
  <c r="U63" i="25"/>
  <c r="T63" i="25"/>
  <c r="M63" i="25"/>
  <c r="L63" i="25"/>
  <c r="K63" i="25"/>
  <c r="J63" i="25"/>
  <c r="BB63" i="25" s="1"/>
  <c r="I63" i="25"/>
  <c r="BA63" i="25" s="1"/>
  <c r="H63" i="25"/>
  <c r="AZ63" i="25" s="1"/>
  <c r="F63" i="25"/>
  <c r="AX63" i="25" s="1"/>
  <c r="AW62" i="25"/>
  <c r="AT62" i="25"/>
  <c r="AS62" i="25"/>
  <c r="AR62" i="25"/>
  <c r="AQ62" i="25"/>
  <c r="AP62" i="25"/>
  <c r="AO62" i="25"/>
  <c r="AN62" i="25"/>
  <c r="AM62" i="25"/>
  <c r="AL62" i="25"/>
  <c r="AJ62" i="25"/>
  <c r="AI62" i="25"/>
  <c r="AB62" i="25"/>
  <c r="AA62" i="25"/>
  <c r="Z62" i="25"/>
  <c r="Y62" i="25"/>
  <c r="X62" i="25"/>
  <c r="W62" i="25"/>
  <c r="V62" i="25"/>
  <c r="U62" i="25"/>
  <c r="T62" i="25"/>
  <c r="M62" i="25"/>
  <c r="L62" i="25"/>
  <c r="K62" i="25"/>
  <c r="J62" i="25"/>
  <c r="BB62" i="25" s="1"/>
  <c r="I62" i="25"/>
  <c r="BA62" i="25" s="1"/>
  <c r="H62" i="25"/>
  <c r="AZ62" i="25" s="1"/>
  <c r="F62" i="25"/>
  <c r="AX62" i="25" s="1"/>
  <c r="AW61" i="25"/>
  <c r="AT61" i="25"/>
  <c r="AS61" i="25"/>
  <c r="AR61" i="25"/>
  <c r="AQ61" i="25"/>
  <c r="AP61" i="25"/>
  <c r="AO61" i="25"/>
  <c r="AN61" i="25"/>
  <c r="AM61" i="25"/>
  <c r="AL61" i="25"/>
  <c r="AJ61" i="25"/>
  <c r="AI61" i="25"/>
  <c r="AB61" i="25"/>
  <c r="AA61" i="25"/>
  <c r="Z61" i="25"/>
  <c r="Y61" i="25"/>
  <c r="X61" i="25"/>
  <c r="W61" i="25"/>
  <c r="V61" i="25"/>
  <c r="U61" i="25"/>
  <c r="T61" i="25"/>
  <c r="M61" i="25"/>
  <c r="L61" i="25"/>
  <c r="K61" i="25"/>
  <c r="J61" i="25"/>
  <c r="BB61" i="25" s="1"/>
  <c r="I61" i="25"/>
  <c r="BA61" i="25" s="1"/>
  <c r="H61" i="25"/>
  <c r="AZ61" i="25" s="1"/>
  <c r="F61" i="25"/>
  <c r="AX61" i="25" s="1"/>
  <c r="AW60" i="25"/>
  <c r="AT60" i="25"/>
  <c r="AS60" i="25"/>
  <c r="AR60" i="25"/>
  <c r="AQ60" i="25"/>
  <c r="AP60" i="25"/>
  <c r="AO60" i="25"/>
  <c r="AN60" i="25"/>
  <c r="AM60" i="25"/>
  <c r="AL60" i="25"/>
  <c r="AJ60" i="25"/>
  <c r="AI60" i="25"/>
  <c r="AB60" i="25"/>
  <c r="AA60" i="25"/>
  <c r="Z60" i="25"/>
  <c r="Y60" i="25"/>
  <c r="X60" i="25"/>
  <c r="W60" i="25"/>
  <c r="V60" i="25"/>
  <c r="U60" i="25"/>
  <c r="T60" i="25"/>
  <c r="M60" i="25"/>
  <c r="L60" i="25"/>
  <c r="K60" i="25"/>
  <c r="J60" i="25"/>
  <c r="BB60" i="25" s="1"/>
  <c r="I60" i="25"/>
  <c r="BA60" i="25" s="1"/>
  <c r="H60" i="25"/>
  <c r="AZ60" i="25" s="1"/>
  <c r="F60" i="25"/>
  <c r="AX60" i="25" s="1"/>
  <c r="AW59" i="25"/>
  <c r="AT59" i="25"/>
  <c r="AS59" i="25"/>
  <c r="AR59" i="25"/>
  <c r="AQ59" i="25"/>
  <c r="AP59" i="25"/>
  <c r="AO59" i="25"/>
  <c r="AN59" i="25"/>
  <c r="AM59" i="25"/>
  <c r="AL59" i="25"/>
  <c r="AJ59" i="25"/>
  <c r="AI59" i="25"/>
  <c r="AB59" i="25"/>
  <c r="AA59" i="25"/>
  <c r="Z59" i="25"/>
  <c r="Y59" i="25"/>
  <c r="X59" i="25"/>
  <c r="W59" i="25"/>
  <c r="V59" i="25"/>
  <c r="U59" i="25"/>
  <c r="T59" i="25"/>
  <c r="M59" i="25"/>
  <c r="L59" i="25"/>
  <c r="K59" i="25"/>
  <c r="J59" i="25"/>
  <c r="BB59" i="25" s="1"/>
  <c r="I59" i="25"/>
  <c r="BA59" i="25" s="1"/>
  <c r="H59" i="25"/>
  <c r="AZ59" i="25" s="1"/>
  <c r="F59" i="25"/>
  <c r="AX59" i="25" s="1"/>
  <c r="AW58" i="25"/>
  <c r="AT58" i="25"/>
  <c r="AS58" i="25"/>
  <c r="AR58" i="25"/>
  <c r="AQ58" i="25"/>
  <c r="AP58" i="25"/>
  <c r="AO58" i="25"/>
  <c r="AN58" i="25"/>
  <c r="AM58" i="25"/>
  <c r="AL58" i="25"/>
  <c r="AJ58" i="25"/>
  <c r="AI58" i="25"/>
  <c r="AB58" i="25"/>
  <c r="AA58" i="25"/>
  <c r="Z58" i="25"/>
  <c r="Y58" i="25"/>
  <c r="X58" i="25"/>
  <c r="W58" i="25"/>
  <c r="V58" i="25"/>
  <c r="U58" i="25"/>
  <c r="T58" i="25"/>
  <c r="M58" i="25"/>
  <c r="L58" i="25"/>
  <c r="K58" i="25"/>
  <c r="J58" i="25"/>
  <c r="BB58" i="25" s="1"/>
  <c r="I58" i="25"/>
  <c r="BA58" i="25" s="1"/>
  <c r="H58" i="25"/>
  <c r="AZ58" i="25" s="1"/>
  <c r="F58" i="25"/>
  <c r="AX58" i="25" s="1"/>
  <c r="AW57" i="25"/>
  <c r="AT57" i="25"/>
  <c r="AS57" i="25"/>
  <c r="AR57" i="25"/>
  <c r="AQ57" i="25"/>
  <c r="AP57" i="25"/>
  <c r="AO57" i="25"/>
  <c r="AN57" i="25"/>
  <c r="AM57" i="25"/>
  <c r="AL57" i="25"/>
  <c r="AJ57" i="25"/>
  <c r="AI57" i="25"/>
  <c r="AB57" i="25"/>
  <c r="AA57" i="25"/>
  <c r="Z57" i="25"/>
  <c r="Y57" i="25"/>
  <c r="X57" i="25"/>
  <c r="W57" i="25"/>
  <c r="V57" i="25"/>
  <c r="U57" i="25"/>
  <c r="T57" i="25"/>
  <c r="M57" i="25"/>
  <c r="L57" i="25"/>
  <c r="K57" i="25"/>
  <c r="J57" i="25"/>
  <c r="BB57" i="25" s="1"/>
  <c r="I57" i="25"/>
  <c r="BA57" i="25" s="1"/>
  <c r="H57" i="25"/>
  <c r="AZ57" i="25" s="1"/>
  <c r="F57" i="25"/>
  <c r="AX57" i="25" s="1"/>
  <c r="AW56" i="25"/>
  <c r="AT56" i="25"/>
  <c r="AS56" i="25"/>
  <c r="AR56" i="25"/>
  <c r="AQ56" i="25"/>
  <c r="AP56" i="25"/>
  <c r="AO56" i="25"/>
  <c r="AN56" i="25"/>
  <c r="AM56" i="25"/>
  <c r="AL56" i="25"/>
  <c r="AJ56" i="25"/>
  <c r="AI56" i="25"/>
  <c r="AB56" i="25"/>
  <c r="AA56" i="25"/>
  <c r="Z56" i="25"/>
  <c r="Y56" i="25"/>
  <c r="X56" i="25"/>
  <c r="W56" i="25"/>
  <c r="V56" i="25"/>
  <c r="U56" i="25"/>
  <c r="T56" i="25"/>
  <c r="M56" i="25"/>
  <c r="L56" i="25"/>
  <c r="K56" i="25"/>
  <c r="J56" i="25"/>
  <c r="BB56" i="25" s="1"/>
  <c r="I56" i="25"/>
  <c r="BA56" i="25" s="1"/>
  <c r="H56" i="25"/>
  <c r="AZ56" i="25" s="1"/>
  <c r="F56" i="25"/>
  <c r="AX56" i="25" s="1"/>
  <c r="AW55" i="25"/>
  <c r="AT55" i="25"/>
  <c r="AS55" i="25"/>
  <c r="AR55" i="25"/>
  <c r="AQ55" i="25"/>
  <c r="AP55" i="25"/>
  <c r="AO55" i="25"/>
  <c r="AN55" i="25"/>
  <c r="AM55" i="25"/>
  <c r="AL55" i="25"/>
  <c r="AJ55" i="25"/>
  <c r="AI55" i="25"/>
  <c r="AB55" i="25"/>
  <c r="AA55" i="25"/>
  <c r="Z55" i="25"/>
  <c r="Y55" i="25"/>
  <c r="X55" i="25"/>
  <c r="W55" i="25"/>
  <c r="V55" i="25"/>
  <c r="U55" i="25"/>
  <c r="T55" i="25"/>
  <c r="M55" i="25"/>
  <c r="L55" i="25"/>
  <c r="K55" i="25"/>
  <c r="J55" i="25"/>
  <c r="BB55" i="25" s="1"/>
  <c r="I55" i="25"/>
  <c r="BA55" i="25" s="1"/>
  <c r="H55" i="25"/>
  <c r="AZ55" i="25" s="1"/>
  <c r="F55" i="25"/>
  <c r="AX55" i="25" s="1"/>
  <c r="AW54" i="25"/>
  <c r="AT54" i="25"/>
  <c r="AS54" i="25"/>
  <c r="AR54" i="25"/>
  <c r="AQ54" i="25"/>
  <c r="AP54" i="25"/>
  <c r="AO54" i="25"/>
  <c r="AN54" i="25"/>
  <c r="AM54" i="25"/>
  <c r="AL54" i="25"/>
  <c r="AJ54" i="25"/>
  <c r="AI54" i="25"/>
  <c r="AB54" i="25"/>
  <c r="AA54" i="25"/>
  <c r="Z54" i="25"/>
  <c r="Y54" i="25"/>
  <c r="X54" i="25"/>
  <c r="W54" i="25"/>
  <c r="V54" i="25"/>
  <c r="U54" i="25"/>
  <c r="T54" i="25"/>
  <c r="M54" i="25"/>
  <c r="L54" i="25"/>
  <c r="K54" i="25"/>
  <c r="J54" i="25"/>
  <c r="BB54" i="25" s="1"/>
  <c r="I54" i="25"/>
  <c r="BA54" i="25" s="1"/>
  <c r="H54" i="25"/>
  <c r="AZ54" i="25" s="1"/>
  <c r="F54" i="25"/>
  <c r="AX54" i="25" s="1"/>
  <c r="AW53" i="25"/>
  <c r="AT53" i="25"/>
  <c r="AS53" i="25"/>
  <c r="AR53" i="25"/>
  <c r="AQ53" i="25"/>
  <c r="AP53" i="25"/>
  <c r="AO53" i="25"/>
  <c r="AN53" i="25"/>
  <c r="AM53" i="25"/>
  <c r="AL53" i="25"/>
  <c r="AJ53" i="25"/>
  <c r="AI53" i="25"/>
  <c r="AB53" i="25"/>
  <c r="AA53" i="25"/>
  <c r="Z53" i="25"/>
  <c r="Y53" i="25"/>
  <c r="X53" i="25"/>
  <c r="W53" i="25"/>
  <c r="V53" i="25"/>
  <c r="U53" i="25"/>
  <c r="T53" i="25"/>
  <c r="M53" i="25"/>
  <c r="L53" i="25"/>
  <c r="K53" i="25"/>
  <c r="J53" i="25"/>
  <c r="BB53" i="25" s="1"/>
  <c r="I53" i="25"/>
  <c r="BA53" i="25" s="1"/>
  <c r="H53" i="25"/>
  <c r="AZ53" i="25" s="1"/>
  <c r="F53" i="25"/>
  <c r="AX53" i="25" s="1"/>
  <c r="AW52" i="25"/>
  <c r="AT52" i="25"/>
  <c r="AS52" i="25"/>
  <c r="AR52" i="25"/>
  <c r="AQ52" i="25"/>
  <c r="AP52" i="25"/>
  <c r="AO52" i="25"/>
  <c r="AN52" i="25"/>
  <c r="AM52" i="25"/>
  <c r="AL52" i="25"/>
  <c r="AJ52" i="25"/>
  <c r="AI52" i="25"/>
  <c r="AB52" i="25"/>
  <c r="AA52" i="25"/>
  <c r="Z52" i="25"/>
  <c r="Y52" i="25"/>
  <c r="X52" i="25"/>
  <c r="W52" i="25"/>
  <c r="V52" i="25"/>
  <c r="U52" i="25"/>
  <c r="T52" i="25"/>
  <c r="M52" i="25"/>
  <c r="L52" i="25"/>
  <c r="K52" i="25"/>
  <c r="J52" i="25"/>
  <c r="BB52" i="25" s="1"/>
  <c r="I52" i="25"/>
  <c r="BA52" i="25" s="1"/>
  <c r="H52" i="25"/>
  <c r="AZ52" i="25" s="1"/>
  <c r="F52" i="25"/>
  <c r="AX52" i="25" s="1"/>
  <c r="AW51" i="25"/>
  <c r="AT51" i="25"/>
  <c r="AS51" i="25"/>
  <c r="AR51" i="25"/>
  <c r="AQ51" i="25"/>
  <c r="AP51" i="25"/>
  <c r="AO51" i="25"/>
  <c r="AN51" i="25"/>
  <c r="AM51" i="25"/>
  <c r="AL51" i="25"/>
  <c r="AJ51" i="25"/>
  <c r="AI51" i="25"/>
  <c r="AB51" i="25"/>
  <c r="AA51" i="25"/>
  <c r="Z51" i="25"/>
  <c r="Y51" i="25"/>
  <c r="X51" i="25"/>
  <c r="W51" i="25"/>
  <c r="V51" i="25"/>
  <c r="U51" i="25"/>
  <c r="T51" i="25"/>
  <c r="M51" i="25"/>
  <c r="L51" i="25"/>
  <c r="K51" i="25"/>
  <c r="J51" i="25"/>
  <c r="BB51" i="25" s="1"/>
  <c r="I51" i="25"/>
  <c r="BA51" i="25" s="1"/>
  <c r="H51" i="25"/>
  <c r="AZ51" i="25" s="1"/>
  <c r="F51" i="25"/>
  <c r="AX51" i="25" s="1"/>
  <c r="AW50" i="25"/>
  <c r="AT50" i="25"/>
  <c r="AS50" i="25"/>
  <c r="AR50" i="25"/>
  <c r="AQ50" i="25"/>
  <c r="AP50" i="25"/>
  <c r="AO50" i="25"/>
  <c r="AN50" i="25"/>
  <c r="AM50" i="25"/>
  <c r="AL50" i="25"/>
  <c r="AJ50" i="25"/>
  <c r="AI50" i="25"/>
  <c r="AB50" i="25"/>
  <c r="AA50" i="25"/>
  <c r="Z50" i="25"/>
  <c r="Y50" i="25"/>
  <c r="X50" i="25"/>
  <c r="W50" i="25"/>
  <c r="V50" i="25"/>
  <c r="U50" i="25"/>
  <c r="T50" i="25"/>
  <c r="M50" i="25"/>
  <c r="L50" i="25"/>
  <c r="K50" i="25"/>
  <c r="J50" i="25"/>
  <c r="BB50" i="25" s="1"/>
  <c r="I50" i="25"/>
  <c r="BA50" i="25" s="1"/>
  <c r="H50" i="25"/>
  <c r="AZ50" i="25" s="1"/>
  <c r="F50" i="25"/>
  <c r="AX50" i="25" s="1"/>
  <c r="AW49" i="25"/>
  <c r="AT49" i="25"/>
  <c r="AS49" i="25"/>
  <c r="AR49" i="25"/>
  <c r="AQ49" i="25"/>
  <c r="AP49" i="25"/>
  <c r="AO49" i="25"/>
  <c r="AN49" i="25"/>
  <c r="AM49" i="25"/>
  <c r="AL49" i="25"/>
  <c r="AJ49" i="25"/>
  <c r="AI49" i="25"/>
  <c r="AB49" i="25"/>
  <c r="AA49" i="25"/>
  <c r="Z49" i="25"/>
  <c r="Y49" i="25"/>
  <c r="X49" i="25"/>
  <c r="W49" i="25"/>
  <c r="V49" i="25"/>
  <c r="U49" i="25"/>
  <c r="T49" i="25"/>
  <c r="M49" i="25"/>
  <c r="L49" i="25"/>
  <c r="K49" i="25"/>
  <c r="J49" i="25"/>
  <c r="BB49" i="25" s="1"/>
  <c r="I49" i="25"/>
  <c r="BA49" i="25" s="1"/>
  <c r="H49" i="25"/>
  <c r="AZ49" i="25" s="1"/>
  <c r="F49" i="25"/>
  <c r="AX49" i="25" s="1"/>
  <c r="AW48" i="25"/>
  <c r="AT48" i="25"/>
  <c r="AS48" i="25"/>
  <c r="AR48" i="25"/>
  <c r="AQ48" i="25"/>
  <c r="AP48" i="25"/>
  <c r="AO48" i="25"/>
  <c r="AN48" i="25"/>
  <c r="AM48" i="25"/>
  <c r="AL48" i="25"/>
  <c r="AJ48" i="25"/>
  <c r="AI48" i="25"/>
  <c r="AB48" i="25"/>
  <c r="AA48" i="25"/>
  <c r="Z48" i="25"/>
  <c r="Y48" i="25"/>
  <c r="X48" i="25"/>
  <c r="W48" i="25"/>
  <c r="V48" i="25"/>
  <c r="U48" i="25"/>
  <c r="T48" i="25"/>
  <c r="M48" i="25"/>
  <c r="L48" i="25"/>
  <c r="K48" i="25"/>
  <c r="J48" i="25"/>
  <c r="BB48" i="25" s="1"/>
  <c r="I48" i="25"/>
  <c r="BA48" i="25" s="1"/>
  <c r="H48" i="25"/>
  <c r="AZ48" i="25" s="1"/>
  <c r="F48" i="25"/>
  <c r="AX48" i="25" s="1"/>
  <c r="AW47" i="25"/>
  <c r="AT47" i="25"/>
  <c r="AS47" i="25"/>
  <c r="AR47" i="25"/>
  <c r="AQ47" i="25"/>
  <c r="AP47" i="25"/>
  <c r="AO47" i="25"/>
  <c r="AN47" i="25"/>
  <c r="AM47" i="25"/>
  <c r="AL47" i="25"/>
  <c r="AJ47" i="25"/>
  <c r="AI47" i="25"/>
  <c r="AB47" i="25"/>
  <c r="AA47" i="25"/>
  <c r="Z47" i="25"/>
  <c r="Y47" i="25"/>
  <c r="X47" i="25"/>
  <c r="W47" i="25"/>
  <c r="V47" i="25"/>
  <c r="U47" i="25"/>
  <c r="T47" i="25"/>
  <c r="M47" i="25"/>
  <c r="L47" i="25"/>
  <c r="K47" i="25"/>
  <c r="J47" i="25"/>
  <c r="BB47" i="25" s="1"/>
  <c r="I47" i="25"/>
  <c r="BA47" i="25" s="1"/>
  <c r="H47" i="25"/>
  <c r="AZ47" i="25" s="1"/>
  <c r="F47" i="25"/>
  <c r="AX47" i="25" s="1"/>
  <c r="AW46" i="25"/>
  <c r="AT46" i="25"/>
  <c r="AS46" i="25"/>
  <c r="AR46" i="25"/>
  <c r="AQ46" i="25"/>
  <c r="AP46" i="25"/>
  <c r="AO46" i="25"/>
  <c r="AN46" i="25"/>
  <c r="AM46" i="25"/>
  <c r="AL46" i="25"/>
  <c r="AJ46" i="25"/>
  <c r="AI46" i="25"/>
  <c r="AB46" i="25"/>
  <c r="AA46" i="25"/>
  <c r="Z46" i="25"/>
  <c r="Y46" i="25"/>
  <c r="X46" i="25"/>
  <c r="W46" i="25"/>
  <c r="V46" i="25"/>
  <c r="U46" i="25"/>
  <c r="T46" i="25"/>
  <c r="M46" i="25"/>
  <c r="L46" i="25"/>
  <c r="K46" i="25"/>
  <c r="J46" i="25"/>
  <c r="BB46" i="25" s="1"/>
  <c r="I46" i="25"/>
  <c r="BA46" i="25" s="1"/>
  <c r="H46" i="25"/>
  <c r="AZ46" i="25" s="1"/>
  <c r="F46" i="25"/>
  <c r="AX46" i="25" s="1"/>
  <c r="AW45" i="25"/>
  <c r="AT45" i="25"/>
  <c r="AS45" i="25"/>
  <c r="AR45" i="25"/>
  <c r="AQ45" i="25"/>
  <c r="AP45" i="25"/>
  <c r="AO45" i="25"/>
  <c r="AN45" i="25"/>
  <c r="AM45" i="25"/>
  <c r="AL45" i="25"/>
  <c r="AJ45" i="25"/>
  <c r="AI45" i="25"/>
  <c r="AB45" i="25"/>
  <c r="AA45" i="25"/>
  <c r="Z45" i="25"/>
  <c r="Y45" i="25"/>
  <c r="X45" i="25"/>
  <c r="W45" i="25"/>
  <c r="V45" i="25"/>
  <c r="U45" i="25"/>
  <c r="T45" i="25"/>
  <c r="M45" i="25"/>
  <c r="L45" i="25"/>
  <c r="K45" i="25"/>
  <c r="J45" i="25"/>
  <c r="BB45" i="25" s="1"/>
  <c r="I45" i="25"/>
  <c r="BA45" i="25" s="1"/>
  <c r="H45" i="25"/>
  <c r="AZ45" i="25" s="1"/>
  <c r="F45" i="25"/>
  <c r="AX45" i="25" s="1"/>
  <c r="AW44" i="25"/>
  <c r="AT44" i="25"/>
  <c r="AS44" i="25"/>
  <c r="AR44" i="25"/>
  <c r="AQ44" i="25"/>
  <c r="AP44" i="25"/>
  <c r="AO44" i="25"/>
  <c r="AN44" i="25"/>
  <c r="AM44" i="25"/>
  <c r="AL44" i="25"/>
  <c r="AJ44" i="25"/>
  <c r="AI44" i="25"/>
  <c r="AB44" i="25"/>
  <c r="AA44" i="25"/>
  <c r="Z44" i="25"/>
  <c r="Y44" i="25"/>
  <c r="X44" i="25"/>
  <c r="W44" i="25"/>
  <c r="V44" i="25"/>
  <c r="U44" i="25"/>
  <c r="T44" i="25"/>
  <c r="M44" i="25"/>
  <c r="L44" i="25"/>
  <c r="K44" i="25"/>
  <c r="J44" i="25"/>
  <c r="BB44" i="25" s="1"/>
  <c r="I44" i="25"/>
  <c r="BA44" i="25" s="1"/>
  <c r="H44" i="25"/>
  <c r="AZ44" i="25" s="1"/>
  <c r="F44" i="25"/>
  <c r="AX44" i="25" s="1"/>
  <c r="AW43" i="25"/>
  <c r="AT43" i="25"/>
  <c r="AS43" i="25"/>
  <c r="AR43" i="25"/>
  <c r="AQ43" i="25"/>
  <c r="AP43" i="25"/>
  <c r="AO43" i="25"/>
  <c r="AN43" i="25"/>
  <c r="AM43" i="25"/>
  <c r="AL43" i="25"/>
  <c r="AJ43" i="25"/>
  <c r="AI43" i="25"/>
  <c r="AB43" i="25"/>
  <c r="AA43" i="25"/>
  <c r="Z43" i="25"/>
  <c r="Y43" i="25"/>
  <c r="X43" i="25"/>
  <c r="W43" i="25"/>
  <c r="V43" i="25"/>
  <c r="U43" i="25"/>
  <c r="T43" i="25"/>
  <c r="M43" i="25"/>
  <c r="L43" i="25"/>
  <c r="K43" i="25"/>
  <c r="J43" i="25"/>
  <c r="BB43" i="25" s="1"/>
  <c r="I43" i="25"/>
  <c r="BA43" i="25" s="1"/>
  <c r="H43" i="25"/>
  <c r="AZ43" i="25" s="1"/>
  <c r="F43" i="25"/>
  <c r="AX43" i="25" s="1"/>
  <c r="AW42" i="25"/>
  <c r="AT42" i="25"/>
  <c r="AS42" i="25"/>
  <c r="AR42" i="25"/>
  <c r="AQ42" i="25"/>
  <c r="AP42" i="25"/>
  <c r="AO42" i="25"/>
  <c r="AN42" i="25"/>
  <c r="AM42" i="25"/>
  <c r="AL42" i="25"/>
  <c r="AJ42" i="25"/>
  <c r="AI42" i="25"/>
  <c r="AB42" i="25"/>
  <c r="AA42" i="25"/>
  <c r="Z42" i="25"/>
  <c r="Y42" i="25"/>
  <c r="X42" i="25"/>
  <c r="W42" i="25"/>
  <c r="V42" i="25"/>
  <c r="U42" i="25"/>
  <c r="T42" i="25"/>
  <c r="M42" i="25"/>
  <c r="L42" i="25"/>
  <c r="K42" i="25"/>
  <c r="J42" i="25"/>
  <c r="BB42" i="25" s="1"/>
  <c r="I42" i="25"/>
  <c r="BA42" i="25" s="1"/>
  <c r="H42" i="25"/>
  <c r="AZ42" i="25" s="1"/>
  <c r="F42" i="25"/>
  <c r="AX42" i="25" s="1"/>
  <c r="AW41" i="25"/>
  <c r="AT41" i="25"/>
  <c r="AS41" i="25"/>
  <c r="AR41" i="25"/>
  <c r="AQ41" i="25"/>
  <c r="AP41" i="25"/>
  <c r="AO41" i="25"/>
  <c r="AN41" i="25"/>
  <c r="AM41" i="25"/>
  <c r="AL41" i="25"/>
  <c r="AJ41" i="25"/>
  <c r="AI41" i="25"/>
  <c r="AB41" i="25"/>
  <c r="AA41" i="25"/>
  <c r="Z41" i="25"/>
  <c r="Y41" i="25"/>
  <c r="X41" i="25"/>
  <c r="W41" i="25"/>
  <c r="V41" i="25"/>
  <c r="U41" i="25"/>
  <c r="T41" i="25"/>
  <c r="M41" i="25"/>
  <c r="L41" i="25"/>
  <c r="K41" i="25"/>
  <c r="J41" i="25"/>
  <c r="BB41" i="25" s="1"/>
  <c r="I41" i="25"/>
  <c r="BA41" i="25" s="1"/>
  <c r="H41" i="25"/>
  <c r="AZ41" i="25" s="1"/>
  <c r="F41" i="25"/>
  <c r="AX41" i="25" s="1"/>
  <c r="AW40" i="25"/>
  <c r="AT40" i="25"/>
  <c r="AS40" i="25"/>
  <c r="AR40" i="25"/>
  <c r="AQ40" i="25"/>
  <c r="AP40" i="25"/>
  <c r="AO40" i="25"/>
  <c r="AN40" i="25"/>
  <c r="AM40" i="25"/>
  <c r="AL40" i="25"/>
  <c r="AJ40" i="25"/>
  <c r="AI40" i="25"/>
  <c r="AB40" i="25"/>
  <c r="AA40" i="25"/>
  <c r="Z40" i="25"/>
  <c r="Y40" i="25"/>
  <c r="X40" i="25"/>
  <c r="W40" i="25"/>
  <c r="V40" i="25"/>
  <c r="U40" i="25"/>
  <c r="T40" i="25"/>
  <c r="M40" i="25"/>
  <c r="L40" i="25"/>
  <c r="K40" i="25"/>
  <c r="J40" i="25"/>
  <c r="BB40" i="25" s="1"/>
  <c r="I40" i="25"/>
  <c r="BA40" i="25" s="1"/>
  <c r="H40" i="25"/>
  <c r="AZ40" i="25" s="1"/>
  <c r="F40" i="25"/>
  <c r="AX40" i="25" s="1"/>
  <c r="AW39" i="25"/>
  <c r="AT39" i="25"/>
  <c r="AS39" i="25"/>
  <c r="AR39" i="25"/>
  <c r="AQ39" i="25"/>
  <c r="AP39" i="25"/>
  <c r="AO39" i="25"/>
  <c r="AN39" i="25"/>
  <c r="AM39" i="25"/>
  <c r="AL39" i="25"/>
  <c r="AJ39" i="25"/>
  <c r="AI39" i="25"/>
  <c r="AB39" i="25"/>
  <c r="AA39" i="25"/>
  <c r="Z39" i="25"/>
  <c r="Y39" i="25"/>
  <c r="X39" i="25"/>
  <c r="W39" i="25"/>
  <c r="V39" i="25"/>
  <c r="U39" i="25"/>
  <c r="T39" i="25"/>
  <c r="M39" i="25"/>
  <c r="L39" i="25"/>
  <c r="K39" i="25"/>
  <c r="J39" i="25"/>
  <c r="BB39" i="25" s="1"/>
  <c r="I39" i="25"/>
  <c r="BA39" i="25" s="1"/>
  <c r="H39" i="25"/>
  <c r="AZ39" i="25" s="1"/>
  <c r="F39" i="25"/>
  <c r="AX39" i="25" s="1"/>
  <c r="AW38" i="25"/>
  <c r="AT38" i="25"/>
  <c r="AS38" i="25"/>
  <c r="AR38" i="25"/>
  <c r="AQ38" i="25"/>
  <c r="AP38" i="25"/>
  <c r="AO38" i="25"/>
  <c r="AN38" i="25"/>
  <c r="AM38" i="25"/>
  <c r="AL38" i="25"/>
  <c r="AJ38" i="25"/>
  <c r="AI38" i="25"/>
  <c r="AB38" i="25"/>
  <c r="AA38" i="25"/>
  <c r="Z38" i="25"/>
  <c r="Y38" i="25"/>
  <c r="X38" i="25"/>
  <c r="W38" i="25"/>
  <c r="V38" i="25"/>
  <c r="U38" i="25"/>
  <c r="T38" i="25"/>
  <c r="M38" i="25"/>
  <c r="L38" i="25"/>
  <c r="K38" i="25"/>
  <c r="J38" i="25"/>
  <c r="BB38" i="25" s="1"/>
  <c r="I38" i="25"/>
  <c r="BA38" i="25" s="1"/>
  <c r="H38" i="25"/>
  <c r="AZ38" i="25" s="1"/>
  <c r="F38" i="25"/>
  <c r="AX38" i="25" s="1"/>
  <c r="AW37" i="25"/>
  <c r="AT37" i="25"/>
  <c r="AS37" i="25"/>
  <c r="AR37" i="25"/>
  <c r="AQ37" i="25"/>
  <c r="AP37" i="25"/>
  <c r="AO37" i="25"/>
  <c r="AN37" i="25"/>
  <c r="AM37" i="25"/>
  <c r="AL37" i="25"/>
  <c r="AJ37" i="25"/>
  <c r="AI37" i="25"/>
  <c r="AB37" i="25"/>
  <c r="AA37" i="25"/>
  <c r="Z37" i="25"/>
  <c r="Y37" i="25"/>
  <c r="X37" i="25"/>
  <c r="W37" i="25"/>
  <c r="V37" i="25"/>
  <c r="U37" i="25"/>
  <c r="T37" i="25"/>
  <c r="M37" i="25"/>
  <c r="L37" i="25"/>
  <c r="K37" i="25"/>
  <c r="J37" i="25"/>
  <c r="BB37" i="25" s="1"/>
  <c r="I37" i="25"/>
  <c r="BA37" i="25" s="1"/>
  <c r="H37" i="25"/>
  <c r="AZ37" i="25" s="1"/>
  <c r="F37" i="25"/>
  <c r="AX37" i="25" s="1"/>
  <c r="AW36" i="25"/>
  <c r="AT36" i="25"/>
  <c r="AS36" i="25"/>
  <c r="AR36" i="25"/>
  <c r="AQ36" i="25"/>
  <c r="AP36" i="25"/>
  <c r="AO36" i="25"/>
  <c r="AN36" i="25"/>
  <c r="AM36" i="25"/>
  <c r="AL36" i="25"/>
  <c r="AJ36" i="25"/>
  <c r="AI36" i="25"/>
  <c r="AB36" i="25"/>
  <c r="AA36" i="25"/>
  <c r="Z36" i="25"/>
  <c r="Y36" i="25"/>
  <c r="X36" i="25"/>
  <c r="W36" i="25"/>
  <c r="V36" i="25"/>
  <c r="U36" i="25"/>
  <c r="T36" i="25"/>
  <c r="M36" i="25"/>
  <c r="L36" i="25"/>
  <c r="K36" i="25"/>
  <c r="J36" i="25"/>
  <c r="BB36" i="25" s="1"/>
  <c r="I36" i="25"/>
  <c r="BA36" i="25" s="1"/>
  <c r="H36" i="25"/>
  <c r="AZ36" i="25" s="1"/>
  <c r="F36" i="25"/>
  <c r="AX36" i="25" s="1"/>
  <c r="AW35" i="25"/>
  <c r="AT35" i="25"/>
  <c r="AS35" i="25"/>
  <c r="AR35" i="25"/>
  <c r="AQ35" i="25"/>
  <c r="AP35" i="25"/>
  <c r="AO35" i="25"/>
  <c r="AN35" i="25"/>
  <c r="AM35" i="25"/>
  <c r="AL35" i="25"/>
  <c r="AJ35" i="25"/>
  <c r="AI35" i="25"/>
  <c r="AB35" i="25"/>
  <c r="AA35" i="25"/>
  <c r="Z35" i="25"/>
  <c r="Y35" i="25"/>
  <c r="X35" i="25"/>
  <c r="W35" i="25"/>
  <c r="V35" i="25"/>
  <c r="U35" i="25"/>
  <c r="T35" i="25"/>
  <c r="M35" i="25"/>
  <c r="L35" i="25"/>
  <c r="K35" i="25"/>
  <c r="J35" i="25"/>
  <c r="BB35" i="25" s="1"/>
  <c r="I35" i="25"/>
  <c r="BA35" i="25" s="1"/>
  <c r="H35" i="25"/>
  <c r="AZ35" i="25" s="1"/>
  <c r="F35" i="25"/>
  <c r="AX35" i="25" s="1"/>
  <c r="AW34" i="25"/>
  <c r="AT34" i="25"/>
  <c r="AS34" i="25"/>
  <c r="AR34" i="25"/>
  <c r="AQ34" i="25"/>
  <c r="AP34" i="25"/>
  <c r="AO34" i="25"/>
  <c r="AN34" i="25"/>
  <c r="AM34" i="25"/>
  <c r="AL34" i="25"/>
  <c r="AJ34" i="25"/>
  <c r="AI34" i="25"/>
  <c r="AB34" i="25"/>
  <c r="AA34" i="25"/>
  <c r="Z34" i="25"/>
  <c r="Y34" i="25"/>
  <c r="X34" i="25"/>
  <c r="W34" i="25"/>
  <c r="V34" i="25"/>
  <c r="U34" i="25"/>
  <c r="T34" i="25"/>
  <c r="M34" i="25"/>
  <c r="L34" i="25"/>
  <c r="K34" i="25"/>
  <c r="J34" i="25"/>
  <c r="BB34" i="25" s="1"/>
  <c r="I34" i="25"/>
  <c r="BA34" i="25" s="1"/>
  <c r="H34" i="25"/>
  <c r="AZ34" i="25" s="1"/>
  <c r="F34" i="25"/>
  <c r="AX34" i="25" s="1"/>
  <c r="AW33" i="25"/>
  <c r="AT33" i="25"/>
  <c r="AS33" i="25"/>
  <c r="AR33" i="25"/>
  <c r="AQ33" i="25"/>
  <c r="AP33" i="25"/>
  <c r="AO33" i="25"/>
  <c r="AN33" i="25"/>
  <c r="AM33" i="25"/>
  <c r="AL33" i="25"/>
  <c r="AJ33" i="25"/>
  <c r="AI33" i="25"/>
  <c r="AB33" i="25"/>
  <c r="AA33" i="25"/>
  <c r="Z33" i="25"/>
  <c r="Y33" i="25"/>
  <c r="X33" i="25"/>
  <c r="W33" i="25"/>
  <c r="V33" i="25"/>
  <c r="U33" i="25"/>
  <c r="T33" i="25"/>
  <c r="M33" i="25"/>
  <c r="L33" i="25"/>
  <c r="K33" i="25"/>
  <c r="J33" i="25"/>
  <c r="BB33" i="25" s="1"/>
  <c r="I33" i="25"/>
  <c r="BA33" i="25" s="1"/>
  <c r="H33" i="25"/>
  <c r="AZ33" i="25" s="1"/>
  <c r="F33" i="25"/>
  <c r="AX33" i="25" s="1"/>
  <c r="AW32" i="25"/>
  <c r="AT32" i="25"/>
  <c r="AS32" i="25"/>
  <c r="AR32" i="25"/>
  <c r="AQ32" i="25"/>
  <c r="AP32" i="25"/>
  <c r="AO32" i="25"/>
  <c r="AN32" i="25"/>
  <c r="AM32" i="25"/>
  <c r="AL32" i="25"/>
  <c r="AJ32" i="25"/>
  <c r="AI32" i="25"/>
  <c r="AB32" i="25"/>
  <c r="AA32" i="25"/>
  <c r="Z32" i="25"/>
  <c r="Y32" i="25"/>
  <c r="X32" i="25"/>
  <c r="W32" i="25"/>
  <c r="V32" i="25"/>
  <c r="U32" i="25"/>
  <c r="T32" i="25"/>
  <c r="M32" i="25"/>
  <c r="L32" i="25"/>
  <c r="K32" i="25"/>
  <c r="J32" i="25"/>
  <c r="BB32" i="25" s="1"/>
  <c r="I32" i="25"/>
  <c r="BA32" i="25" s="1"/>
  <c r="H32" i="25"/>
  <c r="AZ32" i="25" s="1"/>
  <c r="F32" i="25"/>
  <c r="AX32" i="25" s="1"/>
  <c r="AW31" i="25"/>
  <c r="AT31" i="25"/>
  <c r="AS31" i="25"/>
  <c r="AR31" i="25"/>
  <c r="AQ31" i="25"/>
  <c r="AP31" i="25"/>
  <c r="AO31" i="25"/>
  <c r="AN31" i="25"/>
  <c r="AM31" i="25"/>
  <c r="AL31" i="25"/>
  <c r="AJ31" i="25"/>
  <c r="AI31" i="25"/>
  <c r="AB31" i="25"/>
  <c r="AA31" i="25"/>
  <c r="Z31" i="25"/>
  <c r="Y31" i="25"/>
  <c r="X31" i="25"/>
  <c r="W31" i="25"/>
  <c r="V31" i="25"/>
  <c r="U31" i="25"/>
  <c r="T31" i="25"/>
  <c r="M31" i="25"/>
  <c r="L31" i="25"/>
  <c r="K31" i="25"/>
  <c r="J31" i="25"/>
  <c r="BB31" i="25" s="1"/>
  <c r="I31" i="25"/>
  <c r="BA31" i="25" s="1"/>
  <c r="H31" i="25"/>
  <c r="AZ31" i="25" s="1"/>
  <c r="F31" i="25"/>
  <c r="AX31" i="25" s="1"/>
  <c r="AW30" i="25"/>
  <c r="AT30" i="25"/>
  <c r="AS30" i="25"/>
  <c r="AR30" i="25"/>
  <c r="AQ30" i="25"/>
  <c r="AP30" i="25"/>
  <c r="AO30" i="25"/>
  <c r="AN30" i="25"/>
  <c r="AM30" i="25"/>
  <c r="AL30" i="25"/>
  <c r="AJ30" i="25"/>
  <c r="AI30" i="25"/>
  <c r="AB30" i="25"/>
  <c r="AA30" i="25"/>
  <c r="Z30" i="25"/>
  <c r="Y30" i="25"/>
  <c r="X30" i="25"/>
  <c r="W30" i="25"/>
  <c r="V30" i="25"/>
  <c r="U30" i="25"/>
  <c r="T30" i="25"/>
  <c r="M30" i="25"/>
  <c r="L30" i="25"/>
  <c r="K30" i="25"/>
  <c r="J30" i="25"/>
  <c r="BB30" i="25" s="1"/>
  <c r="I30" i="25"/>
  <c r="BA30" i="25" s="1"/>
  <c r="H30" i="25"/>
  <c r="AZ30" i="25" s="1"/>
  <c r="F30" i="25"/>
  <c r="AX30" i="25" s="1"/>
  <c r="AW29" i="25"/>
  <c r="AT29" i="25"/>
  <c r="AS29" i="25"/>
  <c r="AR29" i="25"/>
  <c r="AQ29" i="25"/>
  <c r="AP29" i="25"/>
  <c r="AO29" i="25"/>
  <c r="AN29" i="25"/>
  <c r="AM29" i="25"/>
  <c r="AL29" i="25"/>
  <c r="AJ29" i="25"/>
  <c r="AI29" i="25"/>
  <c r="AB29" i="25"/>
  <c r="AA29" i="25"/>
  <c r="Z29" i="25"/>
  <c r="Y29" i="25"/>
  <c r="X29" i="25"/>
  <c r="W29" i="25"/>
  <c r="V29" i="25"/>
  <c r="U29" i="25"/>
  <c r="T29" i="25"/>
  <c r="M29" i="25"/>
  <c r="L29" i="25"/>
  <c r="K29" i="25"/>
  <c r="J29" i="25"/>
  <c r="BB29" i="25" s="1"/>
  <c r="I29" i="25"/>
  <c r="BA29" i="25" s="1"/>
  <c r="H29" i="25"/>
  <c r="AZ29" i="25" s="1"/>
  <c r="F29" i="25"/>
  <c r="AX29" i="25" s="1"/>
  <c r="AW28" i="25"/>
  <c r="AT28" i="25"/>
  <c r="AS28" i="25"/>
  <c r="AR28" i="25"/>
  <c r="AQ28" i="25"/>
  <c r="AP28" i="25"/>
  <c r="AO28" i="25"/>
  <c r="AN28" i="25"/>
  <c r="AM28" i="25"/>
  <c r="AL28" i="25"/>
  <c r="AJ28" i="25"/>
  <c r="AI28" i="25"/>
  <c r="AB28" i="25"/>
  <c r="AA28" i="25"/>
  <c r="Z28" i="25"/>
  <c r="Y28" i="25"/>
  <c r="X28" i="25"/>
  <c r="W28" i="25"/>
  <c r="V28" i="25"/>
  <c r="U28" i="25"/>
  <c r="T28" i="25"/>
  <c r="M28" i="25"/>
  <c r="L28" i="25"/>
  <c r="K28" i="25"/>
  <c r="J28" i="25"/>
  <c r="BB28" i="25" s="1"/>
  <c r="I28" i="25"/>
  <c r="BA28" i="25" s="1"/>
  <c r="H28" i="25"/>
  <c r="AZ28" i="25" s="1"/>
  <c r="F28" i="25"/>
  <c r="AX28" i="25" s="1"/>
  <c r="AW27" i="25"/>
  <c r="AT27" i="25"/>
  <c r="AS27" i="25"/>
  <c r="AR27" i="25"/>
  <c r="AQ27" i="25"/>
  <c r="AP27" i="25"/>
  <c r="AO27" i="25"/>
  <c r="AN27" i="25"/>
  <c r="AM27" i="25"/>
  <c r="AL27" i="25"/>
  <c r="AJ27" i="25"/>
  <c r="AI27" i="25"/>
  <c r="AB27" i="25"/>
  <c r="AA27" i="25"/>
  <c r="Z27" i="25"/>
  <c r="Y27" i="25"/>
  <c r="X27" i="25"/>
  <c r="W27" i="25"/>
  <c r="V27" i="25"/>
  <c r="U27" i="25"/>
  <c r="T27" i="25"/>
  <c r="M27" i="25"/>
  <c r="L27" i="25"/>
  <c r="K27" i="25"/>
  <c r="J27" i="25"/>
  <c r="BB27" i="25" s="1"/>
  <c r="I27" i="25"/>
  <c r="BA27" i="25" s="1"/>
  <c r="H27" i="25"/>
  <c r="AZ27" i="25" s="1"/>
  <c r="F27" i="25"/>
  <c r="AX27" i="25" s="1"/>
  <c r="AW26" i="25"/>
  <c r="AT26" i="25"/>
  <c r="AS26" i="25"/>
  <c r="AR26" i="25"/>
  <c r="AQ26" i="25"/>
  <c r="AP26" i="25"/>
  <c r="AO26" i="25"/>
  <c r="AN26" i="25"/>
  <c r="AM26" i="25"/>
  <c r="AL26" i="25"/>
  <c r="AJ26" i="25"/>
  <c r="AI26" i="25"/>
  <c r="AB26" i="25"/>
  <c r="AA26" i="25"/>
  <c r="Z26" i="25"/>
  <c r="Y26" i="25"/>
  <c r="X26" i="25"/>
  <c r="W26" i="25"/>
  <c r="V26" i="25"/>
  <c r="U26" i="25"/>
  <c r="T26" i="25"/>
  <c r="M26" i="25"/>
  <c r="L26" i="25"/>
  <c r="K26" i="25"/>
  <c r="J26" i="25"/>
  <c r="BB26" i="25" s="1"/>
  <c r="I26" i="25"/>
  <c r="BA26" i="25" s="1"/>
  <c r="H26" i="25"/>
  <c r="AZ26" i="25" s="1"/>
  <c r="F26" i="25"/>
  <c r="AX26" i="25" s="1"/>
  <c r="AW25" i="25"/>
  <c r="AT25" i="25"/>
  <c r="AS25" i="25"/>
  <c r="AR25" i="25"/>
  <c r="AQ25" i="25"/>
  <c r="AP25" i="25"/>
  <c r="AO25" i="25"/>
  <c r="AN25" i="25"/>
  <c r="AM25" i="25"/>
  <c r="AL25" i="25"/>
  <c r="AJ25" i="25"/>
  <c r="AI25" i="25"/>
  <c r="AB25" i="25"/>
  <c r="AA25" i="25"/>
  <c r="Z25" i="25"/>
  <c r="Y25" i="25"/>
  <c r="X25" i="25"/>
  <c r="W25" i="25"/>
  <c r="V25" i="25"/>
  <c r="U25" i="25"/>
  <c r="T25" i="25"/>
  <c r="M25" i="25"/>
  <c r="L25" i="25"/>
  <c r="K25" i="25"/>
  <c r="J25" i="25"/>
  <c r="BB25" i="25" s="1"/>
  <c r="I25" i="25"/>
  <c r="BA25" i="25" s="1"/>
  <c r="H25" i="25"/>
  <c r="AZ25" i="25" s="1"/>
  <c r="F25" i="25"/>
  <c r="AX25" i="25" s="1"/>
  <c r="AW24" i="25"/>
  <c r="AT24" i="25"/>
  <c r="AS24" i="25"/>
  <c r="AR24" i="25"/>
  <c r="AQ24" i="25"/>
  <c r="AP24" i="25"/>
  <c r="AO24" i="25"/>
  <c r="AN24" i="25"/>
  <c r="AM24" i="25"/>
  <c r="AL24" i="25"/>
  <c r="AJ24" i="25"/>
  <c r="AI24" i="25"/>
  <c r="AB24" i="25"/>
  <c r="AA24" i="25"/>
  <c r="Z24" i="25"/>
  <c r="Y24" i="25"/>
  <c r="X24" i="25"/>
  <c r="W24" i="25"/>
  <c r="V24" i="25"/>
  <c r="U24" i="25"/>
  <c r="T24" i="25"/>
  <c r="M24" i="25"/>
  <c r="L24" i="25"/>
  <c r="K24" i="25"/>
  <c r="J24" i="25"/>
  <c r="BB24" i="25" s="1"/>
  <c r="I24" i="25"/>
  <c r="BA24" i="25" s="1"/>
  <c r="H24" i="25"/>
  <c r="AZ24" i="25" s="1"/>
  <c r="F24" i="25"/>
  <c r="AX24" i="25" s="1"/>
  <c r="AW23" i="25"/>
  <c r="AT23" i="25"/>
  <c r="AS23" i="25"/>
  <c r="AR23" i="25"/>
  <c r="AQ23" i="25"/>
  <c r="AP23" i="25"/>
  <c r="AO23" i="25"/>
  <c r="AN23" i="25"/>
  <c r="AM23" i="25"/>
  <c r="AL23" i="25"/>
  <c r="AJ23" i="25"/>
  <c r="AI23" i="25"/>
  <c r="AB23" i="25"/>
  <c r="AA23" i="25"/>
  <c r="Z23" i="25"/>
  <c r="Y23" i="25"/>
  <c r="X23" i="25"/>
  <c r="W23" i="25"/>
  <c r="V23" i="25"/>
  <c r="U23" i="25"/>
  <c r="T23" i="25"/>
  <c r="M23" i="25"/>
  <c r="L23" i="25"/>
  <c r="K23" i="25"/>
  <c r="J23" i="25"/>
  <c r="BB23" i="25" s="1"/>
  <c r="I23" i="25"/>
  <c r="BA23" i="25" s="1"/>
  <c r="H23" i="25"/>
  <c r="AZ23" i="25" s="1"/>
  <c r="F23" i="25"/>
  <c r="AX23" i="25" s="1"/>
  <c r="AW22" i="25"/>
  <c r="AT22" i="25"/>
  <c r="AS22" i="25"/>
  <c r="AR22" i="25"/>
  <c r="AQ22" i="25"/>
  <c r="AP22" i="25"/>
  <c r="AO22" i="25"/>
  <c r="AN22" i="25"/>
  <c r="AM22" i="25"/>
  <c r="AL22" i="25"/>
  <c r="AJ22" i="25"/>
  <c r="AI22" i="25"/>
  <c r="AB22" i="25"/>
  <c r="AA22" i="25"/>
  <c r="Z22" i="25"/>
  <c r="Y22" i="25"/>
  <c r="X22" i="25"/>
  <c r="W22" i="25"/>
  <c r="V22" i="25"/>
  <c r="U22" i="25"/>
  <c r="T22" i="25"/>
  <c r="M22" i="25"/>
  <c r="L22" i="25"/>
  <c r="K22" i="25"/>
  <c r="J22" i="25"/>
  <c r="BB22" i="25" s="1"/>
  <c r="I22" i="25"/>
  <c r="BA22" i="25" s="1"/>
  <c r="H22" i="25"/>
  <c r="AZ22" i="25" s="1"/>
  <c r="F22" i="25"/>
  <c r="AX22" i="25" s="1"/>
  <c r="AW21" i="25"/>
  <c r="AT21" i="25"/>
  <c r="AS21" i="25"/>
  <c r="AR21" i="25"/>
  <c r="AQ21" i="25"/>
  <c r="AP21" i="25"/>
  <c r="AO21" i="25"/>
  <c r="AN21" i="25"/>
  <c r="AM21" i="25"/>
  <c r="AL21" i="25"/>
  <c r="AJ21" i="25"/>
  <c r="AI21" i="25"/>
  <c r="AB21" i="25"/>
  <c r="AA21" i="25"/>
  <c r="Z21" i="25"/>
  <c r="Y21" i="25"/>
  <c r="X21" i="25"/>
  <c r="W21" i="25"/>
  <c r="V21" i="25"/>
  <c r="U21" i="25"/>
  <c r="T21" i="25"/>
  <c r="M21" i="25"/>
  <c r="L21" i="25"/>
  <c r="K21" i="25"/>
  <c r="J21" i="25"/>
  <c r="BB21" i="25" s="1"/>
  <c r="I21" i="25"/>
  <c r="BA21" i="25" s="1"/>
  <c r="H21" i="25"/>
  <c r="AZ21" i="25" s="1"/>
  <c r="F21" i="25"/>
  <c r="AX21" i="25" s="1"/>
  <c r="AW20" i="25"/>
  <c r="AT20" i="25"/>
  <c r="AS20" i="25"/>
  <c r="AR20" i="25"/>
  <c r="AQ20" i="25"/>
  <c r="AP20" i="25"/>
  <c r="AO20" i="25"/>
  <c r="AN20" i="25"/>
  <c r="AM20" i="25"/>
  <c r="AL20" i="25"/>
  <c r="AJ20" i="25"/>
  <c r="AI20" i="25"/>
  <c r="AB20" i="25"/>
  <c r="AA20" i="25"/>
  <c r="Z20" i="25"/>
  <c r="Y20" i="25"/>
  <c r="X20" i="25"/>
  <c r="W20" i="25"/>
  <c r="V20" i="25"/>
  <c r="U20" i="25"/>
  <c r="T20" i="25"/>
  <c r="M20" i="25"/>
  <c r="L20" i="25"/>
  <c r="K20" i="25"/>
  <c r="J20" i="25"/>
  <c r="BB20" i="25" s="1"/>
  <c r="I20" i="25"/>
  <c r="BA20" i="25" s="1"/>
  <c r="H20" i="25"/>
  <c r="AZ20" i="25" s="1"/>
  <c r="F20" i="25"/>
  <c r="AX20" i="25" s="1"/>
  <c r="AW19" i="25"/>
  <c r="AT19" i="25"/>
  <c r="AS19" i="25"/>
  <c r="AR19" i="25"/>
  <c r="AQ19" i="25"/>
  <c r="AP19" i="25"/>
  <c r="AO19" i="25"/>
  <c r="AN19" i="25"/>
  <c r="AM19" i="25"/>
  <c r="AL19" i="25"/>
  <c r="AJ19" i="25"/>
  <c r="AI19" i="25"/>
  <c r="AB19" i="25"/>
  <c r="AA19" i="25"/>
  <c r="Z19" i="25"/>
  <c r="Y19" i="25"/>
  <c r="X19" i="25"/>
  <c r="W19" i="25"/>
  <c r="V19" i="25"/>
  <c r="U19" i="25"/>
  <c r="T19" i="25"/>
  <c r="M19" i="25"/>
  <c r="L19" i="25"/>
  <c r="K19" i="25"/>
  <c r="J19" i="25"/>
  <c r="BB19" i="25" s="1"/>
  <c r="I19" i="25"/>
  <c r="BA19" i="25" s="1"/>
  <c r="H19" i="25"/>
  <c r="AZ19" i="25" s="1"/>
  <c r="F19" i="25"/>
  <c r="AX19" i="25" s="1"/>
  <c r="AW18" i="25"/>
  <c r="AT18" i="25"/>
  <c r="AS18" i="25"/>
  <c r="AR18" i="25"/>
  <c r="AQ18" i="25"/>
  <c r="AP18" i="25"/>
  <c r="AO18" i="25"/>
  <c r="AN18" i="25"/>
  <c r="AM18" i="25"/>
  <c r="AL18" i="25"/>
  <c r="AJ18" i="25"/>
  <c r="AI18" i="25"/>
  <c r="AB18" i="25"/>
  <c r="AA18" i="25"/>
  <c r="Z18" i="25"/>
  <c r="Y18" i="25"/>
  <c r="X18" i="25"/>
  <c r="W18" i="25"/>
  <c r="V18" i="25"/>
  <c r="U18" i="25"/>
  <c r="T18" i="25"/>
  <c r="M18" i="25"/>
  <c r="L18" i="25"/>
  <c r="K18" i="25"/>
  <c r="J18" i="25"/>
  <c r="BB18" i="25" s="1"/>
  <c r="I18" i="25"/>
  <c r="BA18" i="25" s="1"/>
  <c r="H18" i="25"/>
  <c r="AZ18" i="25" s="1"/>
  <c r="F18" i="25"/>
  <c r="AX18" i="25" s="1"/>
  <c r="AW17" i="25"/>
  <c r="AT17" i="25"/>
  <c r="AS17" i="25"/>
  <c r="AR17" i="25"/>
  <c r="AQ17" i="25"/>
  <c r="AP17" i="25"/>
  <c r="AO17" i="25"/>
  <c r="AN17" i="25"/>
  <c r="AM17" i="25"/>
  <c r="AL17" i="25"/>
  <c r="AJ17" i="25"/>
  <c r="AI17" i="25"/>
  <c r="AB17" i="25"/>
  <c r="AA17" i="25"/>
  <c r="Z17" i="25"/>
  <c r="Y17" i="25"/>
  <c r="X17" i="25"/>
  <c r="W17" i="25"/>
  <c r="V17" i="25"/>
  <c r="U17" i="25"/>
  <c r="T17" i="25"/>
  <c r="M17" i="25"/>
  <c r="L17" i="25"/>
  <c r="K17" i="25"/>
  <c r="J17" i="25"/>
  <c r="BB17" i="25" s="1"/>
  <c r="I17" i="25"/>
  <c r="BA17" i="25" s="1"/>
  <c r="H17" i="25"/>
  <c r="AZ17" i="25" s="1"/>
  <c r="F17" i="25"/>
  <c r="AX17" i="25" s="1"/>
  <c r="AW16" i="25"/>
  <c r="AT16" i="25"/>
  <c r="AS16" i="25"/>
  <c r="AR16" i="25"/>
  <c r="AQ16" i="25"/>
  <c r="AP16" i="25"/>
  <c r="AO16" i="25"/>
  <c r="AN16" i="25"/>
  <c r="AM16" i="25"/>
  <c r="AL16" i="25"/>
  <c r="AJ16" i="25"/>
  <c r="AI16" i="25"/>
  <c r="AB16" i="25"/>
  <c r="AA16" i="25"/>
  <c r="Z16" i="25"/>
  <c r="Y16" i="25"/>
  <c r="X16" i="25"/>
  <c r="W16" i="25"/>
  <c r="V16" i="25"/>
  <c r="U16" i="25"/>
  <c r="T16" i="25"/>
  <c r="M16" i="25"/>
  <c r="L16" i="25"/>
  <c r="K16" i="25"/>
  <c r="J16" i="25"/>
  <c r="BB16" i="25" s="1"/>
  <c r="I16" i="25"/>
  <c r="BA16" i="25" s="1"/>
  <c r="H16" i="25"/>
  <c r="AZ16" i="25" s="1"/>
  <c r="F16" i="25"/>
  <c r="AX16" i="25" s="1"/>
  <c r="AW15" i="25"/>
  <c r="AT15" i="25"/>
  <c r="AS15" i="25"/>
  <c r="AR15" i="25"/>
  <c r="AQ15" i="25"/>
  <c r="AP15" i="25"/>
  <c r="AO15" i="25"/>
  <c r="AN15" i="25"/>
  <c r="AM15" i="25"/>
  <c r="AL15" i="25"/>
  <c r="AJ15" i="25"/>
  <c r="AI15" i="25"/>
  <c r="AB15" i="25"/>
  <c r="AA15" i="25"/>
  <c r="Z15" i="25"/>
  <c r="Y15" i="25"/>
  <c r="X15" i="25"/>
  <c r="W15" i="25"/>
  <c r="V15" i="25"/>
  <c r="U15" i="25"/>
  <c r="T15" i="25"/>
  <c r="M15" i="25"/>
  <c r="L15" i="25"/>
  <c r="K15" i="25"/>
  <c r="J15" i="25"/>
  <c r="BB15" i="25" s="1"/>
  <c r="I15" i="25"/>
  <c r="BA15" i="25" s="1"/>
  <c r="H15" i="25"/>
  <c r="AZ15" i="25" s="1"/>
  <c r="F15" i="25"/>
  <c r="AX15" i="25" s="1"/>
  <c r="AW14" i="25"/>
  <c r="AT14" i="25"/>
  <c r="AS14" i="25"/>
  <c r="AR14" i="25"/>
  <c r="AQ14" i="25"/>
  <c r="AP14" i="25"/>
  <c r="AO14" i="25"/>
  <c r="AN14" i="25"/>
  <c r="AM14" i="25"/>
  <c r="AL14" i="25"/>
  <c r="AJ14" i="25"/>
  <c r="AI14" i="25"/>
  <c r="AB14" i="25"/>
  <c r="AA14" i="25"/>
  <c r="Z14" i="25"/>
  <c r="Y14" i="25"/>
  <c r="X14" i="25"/>
  <c r="W14" i="25"/>
  <c r="V14" i="25"/>
  <c r="U14" i="25"/>
  <c r="T14" i="25"/>
  <c r="M14" i="25"/>
  <c r="L14" i="25"/>
  <c r="K14" i="25"/>
  <c r="J14" i="25"/>
  <c r="BB14" i="25" s="1"/>
  <c r="I14" i="25"/>
  <c r="BA14" i="25" s="1"/>
  <c r="H14" i="25"/>
  <c r="AZ14" i="25" s="1"/>
  <c r="F14" i="25"/>
  <c r="AX14" i="25" s="1"/>
  <c r="AW13" i="25"/>
  <c r="AT13" i="25"/>
  <c r="AS13" i="25"/>
  <c r="AR13" i="25"/>
  <c r="AQ13" i="25"/>
  <c r="AP13" i="25"/>
  <c r="AO13" i="25"/>
  <c r="AN13" i="25"/>
  <c r="AM13" i="25"/>
  <c r="AL13" i="25"/>
  <c r="AJ13" i="25"/>
  <c r="AI13" i="25"/>
  <c r="AB13" i="25"/>
  <c r="AA13" i="25"/>
  <c r="Z13" i="25"/>
  <c r="Y13" i="25"/>
  <c r="X13" i="25"/>
  <c r="W13" i="25"/>
  <c r="V13" i="25"/>
  <c r="U13" i="25"/>
  <c r="T13" i="25"/>
  <c r="M13" i="25"/>
  <c r="L13" i="25"/>
  <c r="K13" i="25"/>
  <c r="J13" i="25"/>
  <c r="BB13" i="25" s="1"/>
  <c r="I13" i="25"/>
  <c r="BA13" i="25" s="1"/>
  <c r="H13" i="25"/>
  <c r="AZ13" i="25" s="1"/>
  <c r="F13" i="25"/>
  <c r="AX13" i="25" s="1"/>
  <c r="AW12" i="25"/>
  <c r="AT12" i="25"/>
  <c r="AS12" i="25"/>
  <c r="AR12" i="25"/>
  <c r="AQ12" i="25"/>
  <c r="AP12" i="25"/>
  <c r="AO12" i="25"/>
  <c r="AN12" i="25"/>
  <c r="AM12" i="25"/>
  <c r="AL12" i="25"/>
  <c r="AJ12" i="25"/>
  <c r="AI12" i="25"/>
  <c r="AB12" i="25"/>
  <c r="AA12" i="25"/>
  <c r="Z12" i="25"/>
  <c r="Y12" i="25"/>
  <c r="X12" i="25"/>
  <c r="W12" i="25"/>
  <c r="V12" i="25"/>
  <c r="U12" i="25"/>
  <c r="T12" i="25"/>
  <c r="M12" i="25"/>
  <c r="L12" i="25"/>
  <c r="K12" i="25"/>
  <c r="J12" i="25"/>
  <c r="BB12" i="25" s="1"/>
  <c r="I12" i="25"/>
  <c r="BA12" i="25" s="1"/>
  <c r="H12" i="25"/>
  <c r="AZ12" i="25" s="1"/>
  <c r="F12" i="25"/>
  <c r="AX12" i="25" s="1"/>
  <c r="AW11" i="25"/>
  <c r="AT11" i="25"/>
  <c r="AS11" i="25"/>
  <c r="AR11" i="25"/>
  <c r="AQ11" i="25"/>
  <c r="AP11" i="25"/>
  <c r="AO11" i="25"/>
  <c r="AN11" i="25"/>
  <c r="AM11" i="25"/>
  <c r="AL11" i="25"/>
  <c r="AJ11" i="25"/>
  <c r="AI11" i="25"/>
  <c r="AB11" i="25"/>
  <c r="AA11" i="25"/>
  <c r="Z11" i="25"/>
  <c r="Y11" i="25"/>
  <c r="X11" i="25"/>
  <c r="W11" i="25"/>
  <c r="V11" i="25"/>
  <c r="U11" i="25"/>
  <c r="T11" i="25"/>
  <c r="M11" i="25"/>
  <c r="L11" i="25"/>
  <c r="K11" i="25"/>
  <c r="J11" i="25"/>
  <c r="BB11" i="25" s="1"/>
  <c r="I11" i="25"/>
  <c r="BA11" i="25" s="1"/>
  <c r="H11" i="25"/>
  <c r="AZ11" i="25" s="1"/>
  <c r="F11" i="25"/>
  <c r="AX11" i="25" s="1"/>
  <c r="AW10" i="25"/>
  <c r="AT10" i="25"/>
  <c r="AS10" i="25"/>
  <c r="AR10" i="25"/>
  <c r="AQ10" i="25"/>
  <c r="AP10" i="25"/>
  <c r="AO10" i="25"/>
  <c r="AN10" i="25"/>
  <c r="AM10" i="25"/>
  <c r="AL10" i="25"/>
  <c r="AJ10" i="25"/>
  <c r="AI10" i="25"/>
  <c r="AB10" i="25"/>
  <c r="AA10" i="25"/>
  <c r="Z10" i="25"/>
  <c r="Y10" i="25"/>
  <c r="X10" i="25"/>
  <c r="W10" i="25"/>
  <c r="V10" i="25"/>
  <c r="U10" i="25"/>
  <c r="T10" i="25"/>
  <c r="M10" i="25"/>
  <c r="L10" i="25"/>
  <c r="K10" i="25"/>
  <c r="J10" i="25"/>
  <c r="BB10" i="25" s="1"/>
  <c r="I10" i="25"/>
  <c r="BA10" i="25" s="1"/>
  <c r="H10" i="25"/>
  <c r="AZ10" i="25" s="1"/>
  <c r="F10" i="25"/>
  <c r="AX10" i="25" s="1"/>
  <c r="AW9" i="25"/>
  <c r="AT9" i="25"/>
  <c r="AS9" i="25"/>
  <c r="AR9" i="25"/>
  <c r="AQ9" i="25"/>
  <c r="AP9" i="25"/>
  <c r="AO9" i="25"/>
  <c r="AN9" i="25"/>
  <c r="AM9" i="25"/>
  <c r="AL9" i="25"/>
  <c r="AJ9" i="25"/>
  <c r="AI9" i="25"/>
  <c r="AB9" i="25"/>
  <c r="AA9" i="25"/>
  <c r="Z9" i="25"/>
  <c r="Y9" i="25"/>
  <c r="X9" i="25"/>
  <c r="W9" i="25"/>
  <c r="V9" i="25"/>
  <c r="U9" i="25"/>
  <c r="T9" i="25"/>
  <c r="M9" i="25"/>
  <c r="L9" i="25"/>
  <c r="K9" i="25"/>
  <c r="J9" i="25"/>
  <c r="BB9" i="25" s="1"/>
  <c r="I9" i="25"/>
  <c r="BA9" i="25" s="1"/>
  <c r="H9" i="25"/>
  <c r="AZ9" i="25" s="1"/>
  <c r="F9" i="25"/>
  <c r="AX9" i="25" s="1"/>
  <c r="AW8" i="25"/>
  <c r="AT8" i="25"/>
  <c r="AS8" i="25"/>
  <c r="AR8" i="25"/>
  <c r="AQ8" i="25"/>
  <c r="AP8" i="25"/>
  <c r="AO8" i="25"/>
  <c r="AN8" i="25"/>
  <c r="AM8" i="25"/>
  <c r="AL8" i="25"/>
  <c r="AJ8" i="25"/>
  <c r="AI8" i="25"/>
  <c r="AB8" i="25"/>
  <c r="AA8" i="25"/>
  <c r="Z8" i="25"/>
  <c r="Y8" i="25"/>
  <c r="X8" i="25"/>
  <c r="W8" i="25"/>
  <c r="V8" i="25"/>
  <c r="U8" i="25"/>
  <c r="T8" i="25"/>
  <c r="M8" i="25"/>
  <c r="L8" i="25"/>
  <c r="K8" i="25"/>
  <c r="J8" i="25"/>
  <c r="BB8" i="25" s="1"/>
  <c r="I8" i="25"/>
  <c r="BA8" i="25" s="1"/>
  <c r="H8" i="25"/>
  <c r="AZ8" i="25" s="1"/>
  <c r="F8" i="25"/>
  <c r="AX8" i="25" s="1"/>
  <c r="AW7" i="25"/>
  <c r="AT7" i="25"/>
  <c r="AS7" i="25"/>
  <c r="AR7" i="25"/>
  <c r="AQ7" i="25"/>
  <c r="AP7" i="25"/>
  <c r="AO7" i="25"/>
  <c r="AN7" i="25"/>
  <c r="AM7" i="25"/>
  <c r="AL7" i="25"/>
  <c r="AJ7" i="25"/>
  <c r="AI7" i="25"/>
  <c r="AB7" i="25"/>
  <c r="AA7" i="25"/>
  <c r="Z7" i="25"/>
  <c r="Y7" i="25"/>
  <c r="X7" i="25"/>
  <c r="W7" i="25"/>
  <c r="V7" i="25"/>
  <c r="U7" i="25"/>
  <c r="T7" i="25"/>
  <c r="M7" i="25"/>
  <c r="L7" i="25"/>
  <c r="K7" i="25"/>
  <c r="J7" i="25"/>
  <c r="BB7" i="25" s="1"/>
  <c r="I7" i="25"/>
  <c r="BA7" i="25" s="1"/>
  <c r="H7" i="25"/>
  <c r="AZ7" i="25" s="1"/>
  <c r="F7" i="25"/>
  <c r="AX7" i="25" s="1"/>
  <c r="AW6" i="25"/>
  <c r="AT6" i="25"/>
  <c r="AS6" i="25"/>
  <c r="AR6" i="25"/>
  <c r="AQ6" i="25"/>
  <c r="AP6" i="25"/>
  <c r="AO6" i="25"/>
  <c r="AN6" i="25"/>
  <c r="AM6" i="25"/>
  <c r="AL6" i="25"/>
  <c r="AJ6" i="25"/>
  <c r="AI6" i="25"/>
  <c r="AB6" i="25"/>
  <c r="AA6" i="25"/>
  <c r="Z6" i="25"/>
  <c r="Y6" i="25"/>
  <c r="X6" i="25"/>
  <c r="W6" i="25"/>
  <c r="V6" i="25"/>
  <c r="U6" i="25"/>
  <c r="T6" i="25"/>
  <c r="M6" i="25"/>
  <c r="L6" i="25"/>
  <c r="K6" i="25"/>
  <c r="J6" i="25"/>
  <c r="BB6" i="25" s="1"/>
  <c r="I6" i="25"/>
  <c r="BA6" i="25" s="1"/>
  <c r="H6" i="25"/>
  <c r="AZ6" i="25" s="1"/>
  <c r="F6" i="25"/>
  <c r="AX6" i="25" s="1"/>
  <c r="AW5" i="25"/>
  <c r="AT5" i="25"/>
  <c r="AS5" i="25"/>
  <c r="AR5" i="25"/>
  <c r="AQ5" i="25"/>
  <c r="AP5" i="25"/>
  <c r="AO5" i="25"/>
  <c r="AN5" i="25"/>
  <c r="AM5" i="25"/>
  <c r="AL5" i="25"/>
  <c r="AJ5" i="25"/>
  <c r="AI5" i="25"/>
  <c r="AB5" i="25"/>
  <c r="AA5" i="25"/>
  <c r="Z5" i="25"/>
  <c r="Y5" i="25"/>
  <c r="X5" i="25"/>
  <c r="W5" i="25"/>
  <c r="V5" i="25"/>
  <c r="U5" i="25"/>
  <c r="T5" i="25"/>
  <c r="M5" i="25"/>
  <c r="L5" i="25"/>
  <c r="K5" i="25"/>
  <c r="J5" i="25"/>
  <c r="BB5" i="25" s="1"/>
  <c r="I5" i="25"/>
  <c r="BA5" i="25" s="1"/>
  <c r="H5" i="25"/>
  <c r="AZ5" i="25" s="1"/>
  <c r="F5" i="25"/>
  <c r="AX5" i="25" s="1"/>
  <c r="AW4" i="25"/>
  <c r="AT4" i="25"/>
  <c r="AS4" i="25"/>
  <c r="AR4" i="25"/>
  <c r="AQ4" i="25"/>
  <c r="AP4" i="25"/>
  <c r="AO4" i="25"/>
  <c r="AN4" i="25"/>
  <c r="AM4" i="25"/>
  <c r="AL4" i="25"/>
  <c r="AJ4" i="25"/>
  <c r="AI4" i="25"/>
  <c r="AB4" i="25"/>
  <c r="AA4" i="25"/>
  <c r="Z4" i="25"/>
  <c r="Y4" i="25"/>
  <c r="X4" i="25"/>
  <c r="W4" i="25"/>
  <c r="V4" i="25"/>
  <c r="U4" i="25"/>
  <c r="T4" i="25"/>
  <c r="M4" i="25"/>
  <c r="L4" i="25"/>
  <c r="K4" i="25"/>
  <c r="J4" i="25"/>
  <c r="BB4" i="25" s="1"/>
  <c r="I4" i="25"/>
  <c r="BA4" i="25" s="1"/>
  <c r="H4" i="25"/>
  <c r="AZ4" i="25" s="1"/>
  <c r="F4" i="25"/>
  <c r="AX4" i="25" s="1"/>
  <c r="AW3" i="25"/>
  <c r="AT3" i="25"/>
  <c r="AS3" i="25"/>
  <c r="AR3" i="25"/>
  <c r="AQ3" i="25"/>
  <c r="AP3" i="25"/>
  <c r="AO3" i="25"/>
  <c r="AN3" i="25"/>
  <c r="AM3" i="25"/>
  <c r="AL3" i="25"/>
  <c r="AJ3" i="25"/>
  <c r="AI3" i="25"/>
  <c r="AB3" i="25"/>
  <c r="AA3" i="25"/>
  <c r="Z3" i="25"/>
  <c r="Y3" i="25"/>
  <c r="X3" i="25"/>
  <c r="W3" i="25"/>
  <c r="V3" i="25"/>
  <c r="U3" i="25"/>
  <c r="T3" i="25"/>
  <c r="M3" i="25"/>
  <c r="L3" i="25"/>
  <c r="K3" i="25"/>
  <c r="J3" i="25"/>
  <c r="BB3" i="25" s="1"/>
  <c r="I3" i="25"/>
  <c r="BA3" i="25" s="1"/>
  <c r="H3" i="25"/>
  <c r="AZ3" i="25" s="1"/>
  <c r="F3" i="25"/>
  <c r="AX3" i="25" s="1"/>
  <c r="AW2" i="25"/>
  <c r="AT2" i="25"/>
  <c r="AS2" i="25"/>
  <c r="AR2" i="25"/>
  <c r="AQ2" i="25"/>
  <c r="AP2" i="25"/>
  <c r="AO2" i="25"/>
  <c r="AN2" i="25"/>
  <c r="AM2" i="25"/>
  <c r="AL2" i="25"/>
  <c r="AK2" i="25"/>
  <c r="AJ2" i="25"/>
  <c r="AI2" i="25"/>
  <c r="AB2" i="25"/>
  <c r="AA2" i="25"/>
  <c r="Z2" i="25"/>
  <c r="Y2" i="25"/>
  <c r="X2" i="25"/>
  <c r="W2" i="25"/>
  <c r="V2" i="25"/>
  <c r="U2" i="25"/>
  <c r="T2" i="25"/>
  <c r="M2" i="25"/>
  <c r="L2" i="25"/>
  <c r="K2" i="25"/>
  <c r="J2" i="25"/>
  <c r="BB2" i="25" s="1"/>
  <c r="I2" i="25"/>
  <c r="BA2" i="25" s="1"/>
  <c r="H2" i="25"/>
  <c r="AZ2" i="25" s="1"/>
  <c r="G2" i="25"/>
  <c r="AY2" i="25" s="1"/>
  <c r="F2" i="25"/>
  <c r="AX2" i="25" s="1"/>
  <c r="O2" i="24"/>
  <c r="O3" i="24"/>
  <c r="O4" i="24"/>
  <c r="O5" i="24"/>
  <c r="O6" i="24"/>
  <c r="O7" i="24"/>
  <c r="O8" i="24"/>
  <c r="O9" i="24"/>
  <c r="O10" i="24"/>
  <c r="O11" i="24"/>
  <c r="O12" i="24"/>
  <c r="O13" i="24"/>
  <c r="O14" i="24"/>
  <c r="O15" i="24"/>
  <c r="O16" i="24"/>
  <c r="O17" i="24"/>
  <c r="O18" i="24"/>
  <c r="O19" i="24"/>
  <c r="O20" i="24"/>
  <c r="O21" i="24"/>
  <c r="O22" i="24"/>
  <c r="O23" i="24"/>
  <c r="O24" i="24"/>
  <c r="O25" i="24"/>
  <c r="O26" i="24"/>
  <c r="O27" i="24"/>
  <c r="O28" i="24"/>
  <c r="O29" i="24"/>
  <c r="O30" i="24"/>
  <c r="O31" i="24"/>
  <c r="O32" i="24"/>
  <c r="O33" i="24"/>
  <c r="O34" i="24"/>
  <c r="O35" i="24"/>
  <c r="O36" i="24"/>
  <c r="O37" i="24"/>
  <c r="O38" i="24"/>
  <c r="O39" i="24"/>
  <c r="O40" i="24"/>
  <c r="O41" i="24"/>
  <c r="O42" i="24"/>
  <c r="O43" i="24"/>
  <c r="O44" i="24"/>
  <c r="O45" i="24"/>
  <c r="O46" i="24"/>
  <c r="O47" i="24"/>
  <c r="O48" i="24"/>
  <c r="O49" i="24"/>
  <c r="O50" i="24"/>
  <c r="O51" i="24"/>
  <c r="O52" i="24"/>
  <c r="O53" i="24"/>
  <c r="O54" i="24"/>
  <c r="O55" i="24"/>
  <c r="O56" i="24"/>
  <c r="O57" i="24"/>
  <c r="O58" i="24"/>
  <c r="O59" i="24"/>
  <c r="O60" i="24"/>
  <c r="O61" i="24"/>
  <c r="O62" i="24"/>
  <c r="O63" i="24"/>
  <c r="O64" i="24"/>
  <c r="O65" i="24"/>
  <c r="O66" i="24"/>
  <c r="O67" i="24"/>
  <c r="O68" i="24"/>
  <c r="O69" i="24"/>
  <c r="O70" i="24"/>
  <c r="O71" i="24"/>
  <c r="O72" i="24"/>
  <c r="O73" i="24"/>
  <c r="O74" i="24"/>
  <c r="O75" i="24"/>
  <c r="O76" i="24"/>
  <c r="O77" i="24"/>
  <c r="O78" i="24"/>
  <c r="O79" i="24"/>
  <c r="O80" i="24"/>
  <c r="O81" i="24"/>
  <c r="O82" i="24"/>
  <c r="O83" i="24"/>
  <c r="O84" i="24"/>
  <c r="O85" i="24"/>
  <c r="O86" i="24"/>
  <c r="O87" i="24"/>
  <c r="O88" i="24"/>
  <c r="O89" i="24"/>
  <c r="O90" i="24"/>
  <c r="O91" i="24"/>
  <c r="O92" i="24"/>
  <c r="O93" i="24"/>
  <c r="O94" i="24"/>
  <c r="O95" i="24"/>
  <c r="O96" i="24"/>
  <c r="O97" i="24"/>
  <c r="O98" i="24"/>
  <c r="O99" i="24"/>
  <c r="O100" i="24"/>
  <c r="O101" i="24"/>
  <c r="O102" i="24"/>
  <c r="O103" i="24"/>
  <c r="O104" i="24"/>
  <c r="O105" i="24"/>
  <c r="O106" i="24"/>
  <c r="O107" i="24"/>
  <c r="O108" i="24"/>
  <c r="O109" i="24"/>
  <c r="O110" i="24"/>
  <c r="O111" i="24"/>
  <c r="A2" i="24"/>
  <c r="A3" i="24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D2" i="24"/>
  <c r="AD3" i="24"/>
  <c r="AD4" i="24"/>
  <c r="AD5" i="24"/>
  <c r="AD6" i="24"/>
  <c r="AD7" i="24"/>
  <c r="AD8" i="24"/>
  <c r="AD9" i="24"/>
  <c r="AD10" i="24"/>
  <c r="AD11" i="24"/>
  <c r="AD12" i="24"/>
  <c r="AD13" i="24"/>
  <c r="AD14" i="24"/>
  <c r="AD15" i="24"/>
  <c r="AD16" i="24"/>
  <c r="AD17" i="24"/>
  <c r="AD18" i="24"/>
  <c r="AD19" i="24"/>
  <c r="AD20" i="24"/>
  <c r="AD21" i="24"/>
  <c r="AD22" i="24"/>
  <c r="AD23" i="24"/>
  <c r="AD24" i="24"/>
  <c r="AD25" i="24"/>
  <c r="AD26" i="24"/>
  <c r="AD27" i="24"/>
  <c r="AD28" i="24"/>
  <c r="AD29" i="24"/>
  <c r="AD30" i="24"/>
  <c r="AD31" i="24"/>
  <c r="AD32" i="24"/>
  <c r="AD33" i="24"/>
  <c r="AD34" i="24"/>
  <c r="AD35" i="24"/>
  <c r="AD36" i="24"/>
  <c r="AD37" i="24"/>
  <c r="AD38" i="24"/>
  <c r="AD39" i="24"/>
  <c r="AD40" i="24"/>
  <c r="AD41" i="24"/>
  <c r="AD42" i="24"/>
  <c r="AD43" i="24"/>
  <c r="AD44" i="24"/>
  <c r="AD45" i="24"/>
  <c r="AD46" i="24"/>
  <c r="AD47" i="24"/>
  <c r="AD48" i="24"/>
  <c r="AD49" i="24"/>
  <c r="AD50" i="24"/>
  <c r="AD51" i="24"/>
  <c r="AD52" i="24"/>
  <c r="AD53" i="24"/>
  <c r="AD54" i="24"/>
  <c r="AD55" i="24"/>
  <c r="AD56" i="24"/>
  <c r="AD57" i="24"/>
  <c r="AD58" i="24"/>
  <c r="AD59" i="24"/>
  <c r="AD60" i="24"/>
  <c r="AD61" i="24"/>
  <c r="AD62" i="24"/>
  <c r="AD63" i="24"/>
  <c r="AD64" i="24"/>
  <c r="AD65" i="24"/>
  <c r="AD66" i="24"/>
  <c r="AD67" i="24"/>
  <c r="AD68" i="24"/>
  <c r="AD69" i="24"/>
  <c r="AD70" i="24"/>
  <c r="AD71" i="24"/>
  <c r="AD72" i="24"/>
  <c r="AD73" i="24"/>
  <c r="AD74" i="24"/>
  <c r="AD75" i="24"/>
  <c r="AD76" i="24"/>
  <c r="AD77" i="24"/>
  <c r="AD78" i="24"/>
  <c r="AD79" i="24"/>
  <c r="AD80" i="24"/>
  <c r="AD81" i="24"/>
  <c r="AD82" i="24"/>
  <c r="AD83" i="24"/>
  <c r="AD84" i="24"/>
  <c r="AD85" i="24"/>
  <c r="AD86" i="24"/>
  <c r="AD87" i="24"/>
  <c r="AD88" i="24"/>
  <c r="AD89" i="24"/>
  <c r="AD90" i="24"/>
  <c r="AD91" i="24"/>
  <c r="AD92" i="24"/>
  <c r="AD93" i="24"/>
  <c r="AD94" i="24"/>
  <c r="AD95" i="24"/>
  <c r="AD96" i="24"/>
  <c r="AD97" i="24"/>
  <c r="AD98" i="24"/>
  <c r="AD99" i="24"/>
  <c r="AD100" i="24"/>
  <c r="AD101" i="24"/>
  <c r="AD102" i="24"/>
  <c r="AD103" i="24"/>
  <c r="AD104" i="24"/>
  <c r="AD105" i="24"/>
  <c r="AD106" i="24"/>
  <c r="AD107" i="24"/>
  <c r="AD108" i="24"/>
  <c r="AD109" i="24"/>
  <c r="AD110" i="24"/>
  <c r="AD111" i="24"/>
  <c r="AV2" i="24"/>
  <c r="AV3" i="24"/>
  <c r="AV4" i="24"/>
  <c r="AV5" i="24"/>
  <c r="AV6" i="24"/>
  <c r="AV7" i="24"/>
  <c r="AV8" i="24"/>
  <c r="AV9" i="24"/>
  <c r="AV10" i="24"/>
  <c r="AV11" i="24"/>
  <c r="AV12" i="24"/>
  <c r="AV13" i="24"/>
  <c r="AV14" i="24"/>
  <c r="AV15" i="24"/>
  <c r="AV16" i="24"/>
  <c r="AV17" i="24"/>
  <c r="AV18" i="24"/>
  <c r="AV19" i="24"/>
  <c r="AV20" i="24"/>
  <c r="AV21" i="24"/>
  <c r="AV22" i="24"/>
  <c r="AV23" i="24"/>
  <c r="AV24" i="24"/>
  <c r="AV25" i="24"/>
  <c r="AV26" i="24"/>
  <c r="AV27" i="24"/>
  <c r="AV28" i="24"/>
  <c r="AV29" i="24"/>
  <c r="AV30" i="24"/>
  <c r="AV31" i="24"/>
  <c r="AV32" i="24"/>
  <c r="AV33" i="24"/>
  <c r="AV34" i="24"/>
  <c r="AV35" i="24"/>
  <c r="AV36" i="24"/>
  <c r="AV37" i="24"/>
  <c r="AV38" i="24"/>
  <c r="AV39" i="24"/>
  <c r="AV40" i="24"/>
  <c r="AV41" i="24"/>
  <c r="AV42" i="24"/>
  <c r="AV43" i="24"/>
  <c r="AV44" i="24"/>
  <c r="AV45" i="24"/>
  <c r="AV46" i="24"/>
  <c r="AV47" i="24"/>
  <c r="AV48" i="24"/>
  <c r="AV49" i="24"/>
  <c r="AV50" i="24"/>
  <c r="AV51" i="24"/>
  <c r="AV52" i="24"/>
  <c r="AV53" i="24"/>
  <c r="AV54" i="24"/>
  <c r="AV55" i="24"/>
  <c r="AV56" i="24"/>
  <c r="AV57" i="24"/>
  <c r="AV58" i="24"/>
  <c r="AV59" i="24"/>
  <c r="AV60" i="24"/>
  <c r="AV61" i="24"/>
  <c r="AV62" i="24"/>
  <c r="AV63" i="24"/>
  <c r="AV64" i="24"/>
  <c r="AV65" i="24"/>
  <c r="AV66" i="24"/>
  <c r="AV67" i="24"/>
  <c r="AV68" i="24"/>
  <c r="AV69" i="24"/>
  <c r="AV70" i="24"/>
  <c r="AV71" i="24"/>
  <c r="AV72" i="24"/>
  <c r="AV73" i="24"/>
  <c r="AV74" i="24"/>
  <c r="AV75" i="24"/>
  <c r="AV76" i="24"/>
  <c r="AV77" i="24"/>
  <c r="AV78" i="24"/>
  <c r="AV79" i="24"/>
  <c r="AV80" i="24"/>
  <c r="AV81" i="24"/>
  <c r="AV82" i="24"/>
  <c r="AV83" i="24"/>
  <c r="AV84" i="24"/>
  <c r="AV85" i="24"/>
  <c r="AV86" i="24"/>
  <c r="AV87" i="24"/>
  <c r="AV88" i="24"/>
  <c r="AV89" i="24"/>
  <c r="AV90" i="24"/>
  <c r="AV91" i="24"/>
  <c r="AV92" i="24"/>
  <c r="AV93" i="24"/>
  <c r="AV94" i="24"/>
  <c r="AV95" i="24"/>
  <c r="AV96" i="24"/>
  <c r="AV97" i="24"/>
  <c r="AV98" i="24"/>
  <c r="AV99" i="24"/>
  <c r="AV100" i="24"/>
  <c r="AV101" i="24"/>
  <c r="AV102" i="24"/>
  <c r="AV103" i="24"/>
  <c r="AV104" i="24"/>
  <c r="AV105" i="24"/>
  <c r="AV106" i="24"/>
  <c r="AV107" i="24"/>
  <c r="AV108" i="24"/>
  <c r="AV109" i="24"/>
  <c r="AV110" i="24"/>
  <c r="AV111" i="24"/>
  <c r="AW111" i="24"/>
  <c r="AT111" i="24"/>
  <c r="AS111" i="24"/>
  <c r="AR111" i="24"/>
  <c r="AQ111" i="24"/>
  <c r="AP111" i="24"/>
  <c r="AO111" i="24"/>
  <c r="AN111" i="24"/>
  <c r="AM111" i="24"/>
  <c r="AL111" i="24"/>
  <c r="AJ111" i="24"/>
  <c r="AI111" i="24"/>
  <c r="AB111" i="24"/>
  <c r="AA111" i="24"/>
  <c r="Z111" i="24"/>
  <c r="Y111" i="24"/>
  <c r="X111" i="24"/>
  <c r="W111" i="24"/>
  <c r="V111" i="24"/>
  <c r="U111" i="24"/>
  <c r="T111" i="24"/>
  <c r="M111" i="24"/>
  <c r="L111" i="24"/>
  <c r="K111" i="24"/>
  <c r="J111" i="24"/>
  <c r="BB111" i="24" s="1"/>
  <c r="I111" i="24"/>
  <c r="BA111" i="24" s="1"/>
  <c r="H111" i="24"/>
  <c r="AZ111" i="24" s="1"/>
  <c r="F111" i="24"/>
  <c r="AX111" i="24" s="1"/>
  <c r="AW110" i="24"/>
  <c r="AT110" i="24"/>
  <c r="AS110" i="24"/>
  <c r="AR110" i="24"/>
  <c r="AQ110" i="24"/>
  <c r="AP110" i="24"/>
  <c r="AO110" i="24"/>
  <c r="AN110" i="24"/>
  <c r="AM110" i="24"/>
  <c r="AL110" i="24"/>
  <c r="AJ110" i="24"/>
  <c r="AI110" i="24"/>
  <c r="AB110" i="24"/>
  <c r="AA110" i="24"/>
  <c r="Z110" i="24"/>
  <c r="Y110" i="24"/>
  <c r="X110" i="24"/>
  <c r="W110" i="24"/>
  <c r="V110" i="24"/>
  <c r="U110" i="24"/>
  <c r="T110" i="24"/>
  <c r="M110" i="24"/>
  <c r="L110" i="24"/>
  <c r="K110" i="24"/>
  <c r="J110" i="24"/>
  <c r="BB110" i="24" s="1"/>
  <c r="I110" i="24"/>
  <c r="BA110" i="24" s="1"/>
  <c r="H110" i="24"/>
  <c r="AZ110" i="24" s="1"/>
  <c r="F110" i="24"/>
  <c r="AX110" i="24" s="1"/>
  <c r="AW109" i="24"/>
  <c r="AT109" i="24"/>
  <c r="AS109" i="24"/>
  <c r="AR109" i="24"/>
  <c r="AQ109" i="24"/>
  <c r="AP109" i="24"/>
  <c r="AO109" i="24"/>
  <c r="AN109" i="24"/>
  <c r="AM109" i="24"/>
  <c r="AL109" i="24"/>
  <c r="AJ109" i="24"/>
  <c r="AI109" i="24"/>
  <c r="AB109" i="24"/>
  <c r="AA109" i="24"/>
  <c r="Z109" i="24"/>
  <c r="Y109" i="24"/>
  <c r="X109" i="24"/>
  <c r="W109" i="24"/>
  <c r="V109" i="24"/>
  <c r="U109" i="24"/>
  <c r="T109" i="24"/>
  <c r="M109" i="24"/>
  <c r="L109" i="24"/>
  <c r="K109" i="24"/>
  <c r="J109" i="24"/>
  <c r="BB109" i="24" s="1"/>
  <c r="I109" i="24"/>
  <c r="BA109" i="24" s="1"/>
  <c r="H109" i="24"/>
  <c r="AZ109" i="24" s="1"/>
  <c r="F109" i="24"/>
  <c r="AX109" i="24" s="1"/>
  <c r="AW108" i="24"/>
  <c r="AT108" i="24"/>
  <c r="AS108" i="24"/>
  <c r="AR108" i="24"/>
  <c r="AQ108" i="24"/>
  <c r="AP108" i="24"/>
  <c r="AO108" i="24"/>
  <c r="AN108" i="24"/>
  <c r="AM108" i="24"/>
  <c r="AL108" i="24"/>
  <c r="AJ108" i="24"/>
  <c r="AI108" i="24"/>
  <c r="AB108" i="24"/>
  <c r="AA108" i="24"/>
  <c r="Z108" i="24"/>
  <c r="Y108" i="24"/>
  <c r="X108" i="24"/>
  <c r="W108" i="24"/>
  <c r="V108" i="24"/>
  <c r="U108" i="24"/>
  <c r="T108" i="24"/>
  <c r="M108" i="24"/>
  <c r="L108" i="24"/>
  <c r="K108" i="24"/>
  <c r="J108" i="24"/>
  <c r="BB108" i="24" s="1"/>
  <c r="I108" i="24"/>
  <c r="BA108" i="24" s="1"/>
  <c r="H108" i="24"/>
  <c r="AZ108" i="24" s="1"/>
  <c r="F108" i="24"/>
  <c r="AX108" i="24" s="1"/>
  <c r="AW107" i="24"/>
  <c r="AT107" i="24"/>
  <c r="AS107" i="24"/>
  <c r="AR107" i="24"/>
  <c r="AQ107" i="24"/>
  <c r="AP107" i="24"/>
  <c r="AO107" i="24"/>
  <c r="AN107" i="24"/>
  <c r="AM107" i="24"/>
  <c r="AL107" i="24"/>
  <c r="AJ107" i="24"/>
  <c r="AI107" i="24"/>
  <c r="AB107" i="24"/>
  <c r="AA107" i="24"/>
  <c r="Z107" i="24"/>
  <c r="Y107" i="24"/>
  <c r="X107" i="24"/>
  <c r="W107" i="24"/>
  <c r="V107" i="24"/>
  <c r="U107" i="24"/>
  <c r="T107" i="24"/>
  <c r="M107" i="24"/>
  <c r="L107" i="24"/>
  <c r="K107" i="24"/>
  <c r="J107" i="24"/>
  <c r="BB107" i="24" s="1"/>
  <c r="I107" i="24"/>
  <c r="BA107" i="24" s="1"/>
  <c r="H107" i="24"/>
  <c r="AZ107" i="24" s="1"/>
  <c r="F107" i="24"/>
  <c r="AX107" i="24" s="1"/>
  <c r="AW106" i="24"/>
  <c r="AT106" i="24"/>
  <c r="AS106" i="24"/>
  <c r="AR106" i="24"/>
  <c r="AQ106" i="24"/>
  <c r="AP106" i="24"/>
  <c r="AO106" i="24"/>
  <c r="AN106" i="24"/>
  <c r="AM106" i="24"/>
  <c r="AL106" i="24"/>
  <c r="AJ106" i="24"/>
  <c r="AI106" i="24"/>
  <c r="AB106" i="24"/>
  <c r="AA106" i="24"/>
  <c r="Z106" i="24"/>
  <c r="Y106" i="24"/>
  <c r="X106" i="24"/>
  <c r="W106" i="24"/>
  <c r="V106" i="24"/>
  <c r="U106" i="24"/>
  <c r="T106" i="24"/>
  <c r="M106" i="24"/>
  <c r="L106" i="24"/>
  <c r="K106" i="24"/>
  <c r="J106" i="24"/>
  <c r="BB106" i="24" s="1"/>
  <c r="I106" i="24"/>
  <c r="BA106" i="24" s="1"/>
  <c r="H106" i="24"/>
  <c r="AZ106" i="24" s="1"/>
  <c r="F106" i="24"/>
  <c r="AX106" i="24" s="1"/>
  <c r="AW105" i="24"/>
  <c r="AT105" i="24"/>
  <c r="AS105" i="24"/>
  <c r="AR105" i="24"/>
  <c r="AQ105" i="24"/>
  <c r="AP105" i="24"/>
  <c r="AO105" i="24"/>
  <c r="AN105" i="24"/>
  <c r="AM105" i="24"/>
  <c r="AL105" i="24"/>
  <c r="AJ105" i="24"/>
  <c r="AI105" i="24"/>
  <c r="AB105" i="24"/>
  <c r="AA105" i="24"/>
  <c r="Z105" i="24"/>
  <c r="Y105" i="24"/>
  <c r="X105" i="24"/>
  <c r="W105" i="24"/>
  <c r="V105" i="24"/>
  <c r="U105" i="24"/>
  <c r="T105" i="24"/>
  <c r="M105" i="24"/>
  <c r="L105" i="24"/>
  <c r="K105" i="24"/>
  <c r="J105" i="24"/>
  <c r="BB105" i="24" s="1"/>
  <c r="I105" i="24"/>
  <c r="BA105" i="24" s="1"/>
  <c r="H105" i="24"/>
  <c r="AZ105" i="24" s="1"/>
  <c r="F105" i="24"/>
  <c r="AX105" i="24" s="1"/>
  <c r="AW104" i="24"/>
  <c r="AT104" i="24"/>
  <c r="AS104" i="24"/>
  <c r="AR104" i="24"/>
  <c r="AQ104" i="24"/>
  <c r="AP104" i="24"/>
  <c r="AO104" i="24"/>
  <c r="AN104" i="24"/>
  <c r="AM104" i="24"/>
  <c r="AL104" i="24"/>
  <c r="AJ104" i="24"/>
  <c r="AI104" i="24"/>
  <c r="AB104" i="24"/>
  <c r="AA104" i="24"/>
  <c r="Z104" i="24"/>
  <c r="Y104" i="24"/>
  <c r="X104" i="24"/>
  <c r="W104" i="24"/>
  <c r="V104" i="24"/>
  <c r="U104" i="24"/>
  <c r="T104" i="24"/>
  <c r="M104" i="24"/>
  <c r="L104" i="24"/>
  <c r="K104" i="24"/>
  <c r="J104" i="24"/>
  <c r="BB104" i="24" s="1"/>
  <c r="I104" i="24"/>
  <c r="BA104" i="24" s="1"/>
  <c r="H104" i="24"/>
  <c r="AZ104" i="24" s="1"/>
  <c r="F104" i="24"/>
  <c r="AX104" i="24" s="1"/>
  <c r="AW103" i="24"/>
  <c r="AT103" i="24"/>
  <c r="AS103" i="24"/>
  <c r="AR103" i="24"/>
  <c r="AQ103" i="24"/>
  <c r="AP103" i="24"/>
  <c r="AO103" i="24"/>
  <c r="AN103" i="24"/>
  <c r="AM103" i="24"/>
  <c r="AL103" i="24"/>
  <c r="AJ103" i="24"/>
  <c r="AI103" i="24"/>
  <c r="AB103" i="24"/>
  <c r="AA103" i="24"/>
  <c r="Z103" i="24"/>
  <c r="Y103" i="24"/>
  <c r="X103" i="24"/>
  <c r="W103" i="24"/>
  <c r="V103" i="24"/>
  <c r="U103" i="24"/>
  <c r="T103" i="24"/>
  <c r="M103" i="24"/>
  <c r="L103" i="24"/>
  <c r="K103" i="24"/>
  <c r="J103" i="24"/>
  <c r="BB103" i="24" s="1"/>
  <c r="I103" i="24"/>
  <c r="BA103" i="24" s="1"/>
  <c r="H103" i="24"/>
  <c r="AZ103" i="24" s="1"/>
  <c r="F103" i="24"/>
  <c r="AX103" i="24" s="1"/>
  <c r="AW102" i="24"/>
  <c r="AT102" i="24"/>
  <c r="AS102" i="24"/>
  <c r="AR102" i="24"/>
  <c r="AQ102" i="24"/>
  <c r="AP102" i="24"/>
  <c r="AO102" i="24"/>
  <c r="AN102" i="24"/>
  <c r="AM102" i="24"/>
  <c r="AL102" i="24"/>
  <c r="AJ102" i="24"/>
  <c r="AI102" i="24"/>
  <c r="AB102" i="24"/>
  <c r="AA102" i="24"/>
  <c r="Z102" i="24"/>
  <c r="Y102" i="24"/>
  <c r="X102" i="24"/>
  <c r="W102" i="24"/>
  <c r="V102" i="24"/>
  <c r="U102" i="24"/>
  <c r="T102" i="24"/>
  <c r="M102" i="24"/>
  <c r="L102" i="24"/>
  <c r="K102" i="24"/>
  <c r="J102" i="24"/>
  <c r="BB102" i="24" s="1"/>
  <c r="I102" i="24"/>
  <c r="BA102" i="24" s="1"/>
  <c r="H102" i="24"/>
  <c r="AZ102" i="24" s="1"/>
  <c r="F102" i="24"/>
  <c r="AX102" i="24" s="1"/>
  <c r="AW101" i="24"/>
  <c r="AT101" i="24"/>
  <c r="AS101" i="24"/>
  <c r="AR101" i="24"/>
  <c r="AQ101" i="24"/>
  <c r="AP101" i="24"/>
  <c r="AO101" i="24"/>
  <c r="AN101" i="24"/>
  <c r="AM101" i="24"/>
  <c r="AL101" i="24"/>
  <c r="AJ101" i="24"/>
  <c r="AI101" i="24"/>
  <c r="AB101" i="24"/>
  <c r="AA101" i="24"/>
  <c r="Z101" i="24"/>
  <c r="Y101" i="24"/>
  <c r="X101" i="24"/>
  <c r="W101" i="24"/>
  <c r="V101" i="24"/>
  <c r="U101" i="24"/>
  <c r="T101" i="24"/>
  <c r="M101" i="24"/>
  <c r="L101" i="24"/>
  <c r="K101" i="24"/>
  <c r="J101" i="24"/>
  <c r="BB101" i="24" s="1"/>
  <c r="I101" i="24"/>
  <c r="BA101" i="24" s="1"/>
  <c r="H101" i="24"/>
  <c r="AZ101" i="24" s="1"/>
  <c r="F101" i="24"/>
  <c r="AX101" i="24" s="1"/>
  <c r="AW100" i="24"/>
  <c r="AT100" i="24"/>
  <c r="AS100" i="24"/>
  <c r="AR100" i="24"/>
  <c r="AQ100" i="24"/>
  <c r="AP100" i="24"/>
  <c r="AO100" i="24"/>
  <c r="AN100" i="24"/>
  <c r="AM100" i="24"/>
  <c r="AL100" i="24"/>
  <c r="AJ100" i="24"/>
  <c r="AI100" i="24"/>
  <c r="AB100" i="24"/>
  <c r="AA100" i="24"/>
  <c r="Z100" i="24"/>
  <c r="Y100" i="24"/>
  <c r="X100" i="24"/>
  <c r="W100" i="24"/>
  <c r="V100" i="24"/>
  <c r="U100" i="24"/>
  <c r="T100" i="24"/>
  <c r="M100" i="24"/>
  <c r="L100" i="24"/>
  <c r="K100" i="24"/>
  <c r="J100" i="24"/>
  <c r="BB100" i="24" s="1"/>
  <c r="I100" i="24"/>
  <c r="BA100" i="24" s="1"/>
  <c r="H100" i="24"/>
  <c r="AZ100" i="24" s="1"/>
  <c r="F100" i="24"/>
  <c r="AX100" i="24" s="1"/>
  <c r="AW99" i="24"/>
  <c r="AT99" i="24"/>
  <c r="AS99" i="24"/>
  <c r="AR99" i="24"/>
  <c r="AQ99" i="24"/>
  <c r="AP99" i="24"/>
  <c r="AO99" i="24"/>
  <c r="AN99" i="24"/>
  <c r="AM99" i="24"/>
  <c r="AL99" i="24"/>
  <c r="AJ99" i="24"/>
  <c r="AI99" i="24"/>
  <c r="AB99" i="24"/>
  <c r="AA99" i="24"/>
  <c r="Z99" i="24"/>
  <c r="Y99" i="24"/>
  <c r="X99" i="24"/>
  <c r="W99" i="24"/>
  <c r="V99" i="24"/>
  <c r="U99" i="24"/>
  <c r="T99" i="24"/>
  <c r="M99" i="24"/>
  <c r="L99" i="24"/>
  <c r="K99" i="24"/>
  <c r="J99" i="24"/>
  <c r="BB99" i="24" s="1"/>
  <c r="I99" i="24"/>
  <c r="BA99" i="24" s="1"/>
  <c r="H99" i="24"/>
  <c r="AZ99" i="24" s="1"/>
  <c r="F99" i="24"/>
  <c r="AX99" i="24" s="1"/>
  <c r="AW98" i="24"/>
  <c r="AT98" i="24"/>
  <c r="AS98" i="24"/>
  <c r="AR98" i="24"/>
  <c r="AQ98" i="24"/>
  <c r="AP98" i="24"/>
  <c r="AO98" i="24"/>
  <c r="AN98" i="24"/>
  <c r="AM98" i="24"/>
  <c r="AL98" i="24"/>
  <c r="AJ98" i="24"/>
  <c r="AI98" i="24"/>
  <c r="AB98" i="24"/>
  <c r="AA98" i="24"/>
  <c r="Z98" i="24"/>
  <c r="Y98" i="24"/>
  <c r="X98" i="24"/>
  <c r="W98" i="24"/>
  <c r="V98" i="24"/>
  <c r="U98" i="24"/>
  <c r="T98" i="24"/>
  <c r="M98" i="24"/>
  <c r="L98" i="24"/>
  <c r="K98" i="24"/>
  <c r="J98" i="24"/>
  <c r="BB98" i="24" s="1"/>
  <c r="I98" i="24"/>
  <c r="BA98" i="24" s="1"/>
  <c r="H98" i="24"/>
  <c r="AZ98" i="24" s="1"/>
  <c r="F98" i="24"/>
  <c r="AX98" i="24" s="1"/>
  <c r="AW97" i="24"/>
  <c r="AT97" i="24"/>
  <c r="AS97" i="24"/>
  <c r="AR97" i="24"/>
  <c r="AQ97" i="24"/>
  <c r="AP97" i="24"/>
  <c r="AO97" i="24"/>
  <c r="AN97" i="24"/>
  <c r="AM97" i="24"/>
  <c r="AL97" i="24"/>
  <c r="AJ97" i="24"/>
  <c r="AI97" i="24"/>
  <c r="AB97" i="24"/>
  <c r="AA97" i="24"/>
  <c r="Z97" i="24"/>
  <c r="Y97" i="24"/>
  <c r="X97" i="24"/>
  <c r="W97" i="24"/>
  <c r="V97" i="24"/>
  <c r="U97" i="24"/>
  <c r="T97" i="24"/>
  <c r="M97" i="24"/>
  <c r="L97" i="24"/>
  <c r="K97" i="24"/>
  <c r="J97" i="24"/>
  <c r="BB97" i="24" s="1"/>
  <c r="I97" i="24"/>
  <c r="BA97" i="24" s="1"/>
  <c r="H97" i="24"/>
  <c r="AZ97" i="24" s="1"/>
  <c r="F97" i="24"/>
  <c r="AX97" i="24" s="1"/>
  <c r="AW96" i="24"/>
  <c r="AT96" i="24"/>
  <c r="AS96" i="24"/>
  <c r="AR96" i="24"/>
  <c r="AQ96" i="24"/>
  <c r="AP96" i="24"/>
  <c r="AO96" i="24"/>
  <c r="AN96" i="24"/>
  <c r="AM96" i="24"/>
  <c r="AL96" i="24"/>
  <c r="AJ96" i="24"/>
  <c r="AI96" i="24"/>
  <c r="AB96" i="24"/>
  <c r="AA96" i="24"/>
  <c r="Z96" i="24"/>
  <c r="Y96" i="24"/>
  <c r="X96" i="24"/>
  <c r="W96" i="24"/>
  <c r="V96" i="24"/>
  <c r="U96" i="24"/>
  <c r="T96" i="24"/>
  <c r="M96" i="24"/>
  <c r="L96" i="24"/>
  <c r="K96" i="24"/>
  <c r="J96" i="24"/>
  <c r="BB96" i="24" s="1"/>
  <c r="I96" i="24"/>
  <c r="BA96" i="24" s="1"/>
  <c r="H96" i="24"/>
  <c r="AZ96" i="24" s="1"/>
  <c r="F96" i="24"/>
  <c r="AX96" i="24" s="1"/>
  <c r="AW95" i="24"/>
  <c r="AT95" i="24"/>
  <c r="AS95" i="24"/>
  <c r="AR95" i="24"/>
  <c r="AQ95" i="24"/>
  <c r="AP95" i="24"/>
  <c r="AO95" i="24"/>
  <c r="AN95" i="24"/>
  <c r="AM95" i="24"/>
  <c r="AL95" i="24"/>
  <c r="AJ95" i="24"/>
  <c r="AI95" i="24"/>
  <c r="AB95" i="24"/>
  <c r="AA95" i="24"/>
  <c r="Z95" i="24"/>
  <c r="Y95" i="24"/>
  <c r="X95" i="24"/>
  <c r="W95" i="24"/>
  <c r="V95" i="24"/>
  <c r="U95" i="24"/>
  <c r="T95" i="24"/>
  <c r="M95" i="24"/>
  <c r="L95" i="24"/>
  <c r="K95" i="24"/>
  <c r="J95" i="24"/>
  <c r="BB95" i="24" s="1"/>
  <c r="I95" i="24"/>
  <c r="BA95" i="24" s="1"/>
  <c r="H95" i="24"/>
  <c r="AZ95" i="24" s="1"/>
  <c r="F95" i="24"/>
  <c r="AX95" i="24" s="1"/>
  <c r="AW94" i="24"/>
  <c r="AT94" i="24"/>
  <c r="AS94" i="24"/>
  <c r="AR94" i="24"/>
  <c r="AQ94" i="24"/>
  <c r="AP94" i="24"/>
  <c r="AO94" i="24"/>
  <c r="AN94" i="24"/>
  <c r="AM94" i="24"/>
  <c r="AL94" i="24"/>
  <c r="AJ94" i="24"/>
  <c r="AI94" i="24"/>
  <c r="AB94" i="24"/>
  <c r="AA94" i="24"/>
  <c r="Z94" i="24"/>
  <c r="Y94" i="24"/>
  <c r="X94" i="24"/>
  <c r="W94" i="24"/>
  <c r="V94" i="24"/>
  <c r="U94" i="24"/>
  <c r="T94" i="24"/>
  <c r="M94" i="24"/>
  <c r="L94" i="24"/>
  <c r="K94" i="24"/>
  <c r="J94" i="24"/>
  <c r="BB94" i="24" s="1"/>
  <c r="I94" i="24"/>
  <c r="BA94" i="24" s="1"/>
  <c r="H94" i="24"/>
  <c r="AZ94" i="24" s="1"/>
  <c r="F94" i="24"/>
  <c r="AX94" i="24" s="1"/>
  <c r="AW93" i="24"/>
  <c r="AT93" i="24"/>
  <c r="AS93" i="24"/>
  <c r="AR93" i="24"/>
  <c r="AQ93" i="24"/>
  <c r="AP93" i="24"/>
  <c r="AO93" i="24"/>
  <c r="AN93" i="24"/>
  <c r="AM93" i="24"/>
  <c r="AL93" i="24"/>
  <c r="AJ93" i="24"/>
  <c r="AI93" i="24"/>
  <c r="AB93" i="24"/>
  <c r="AA93" i="24"/>
  <c r="Z93" i="24"/>
  <c r="Y93" i="24"/>
  <c r="X93" i="24"/>
  <c r="W93" i="24"/>
  <c r="V93" i="24"/>
  <c r="U93" i="24"/>
  <c r="T93" i="24"/>
  <c r="M93" i="24"/>
  <c r="L93" i="24"/>
  <c r="K93" i="24"/>
  <c r="J93" i="24"/>
  <c r="BB93" i="24" s="1"/>
  <c r="I93" i="24"/>
  <c r="BA93" i="24" s="1"/>
  <c r="H93" i="24"/>
  <c r="AZ93" i="24" s="1"/>
  <c r="F93" i="24"/>
  <c r="AX93" i="24" s="1"/>
  <c r="AW92" i="24"/>
  <c r="AT92" i="24"/>
  <c r="AS92" i="24"/>
  <c r="AR92" i="24"/>
  <c r="AQ92" i="24"/>
  <c r="AP92" i="24"/>
  <c r="AO92" i="24"/>
  <c r="AN92" i="24"/>
  <c r="AM92" i="24"/>
  <c r="AL92" i="24"/>
  <c r="AJ92" i="24"/>
  <c r="AI92" i="24"/>
  <c r="AB92" i="24"/>
  <c r="AA92" i="24"/>
  <c r="Z92" i="24"/>
  <c r="Y92" i="24"/>
  <c r="X92" i="24"/>
  <c r="W92" i="24"/>
  <c r="V92" i="24"/>
  <c r="U92" i="24"/>
  <c r="T92" i="24"/>
  <c r="M92" i="24"/>
  <c r="L92" i="24"/>
  <c r="K92" i="24"/>
  <c r="J92" i="24"/>
  <c r="BB92" i="24" s="1"/>
  <c r="I92" i="24"/>
  <c r="BA92" i="24" s="1"/>
  <c r="H92" i="24"/>
  <c r="AZ92" i="24" s="1"/>
  <c r="F92" i="24"/>
  <c r="AX92" i="24" s="1"/>
  <c r="AW91" i="24"/>
  <c r="AT91" i="24"/>
  <c r="AS91" i="24"/>
  <c r="AR91" i="24"/>
  <c r="AQ91" i="24"/>
  <c r="AP91" i="24"/>
  <c r="AO91" i="24"/>
  <c r="AN91" i="24"/>
  <c r="AM91" i="24"/>
  <c r="AL91" i="24"/>
  <c r="AJ91" i="24"/>
  <c r="AI91" i="24"/>
  <c r="AB91" i="24"/>
  <c r="AA91" i="24"/>
  <c r="Z91" i="24"/>
  <c r="Y91" i="24"/>
  <c r="X91" i="24"/>
  <c r="W91" i="24"/>
  <c r="V91" i="24"/>
  <c r="U91" i="24"/>
  <c r="T91" i="24"/>
  <c r="M91" i="24"/>
  <c r="L91" i="24"/>
  <c r="K91" i="24"/>
  <c r="J91" i="24"/>
  <c r="BB91" i="24" s="1"/>
  <c r="I91" i="24"/>
  <c r="BA91" i="24" s="1"/>
  <c r="H91" i="24"/>
  <c r="AZ91" i="24" s="1"/>
  <c r="F91" i="24"/>
  <c r="AX91" i="24" s="1"/>
  <c r="AW90" i="24"/>
  <c r="AT90" i="24"/>
  <c r="AS90" i="24"/>
  <c r="AR90" i="24"/>
  <c r="AQ90" i="24"/>
  <c r="AP90" i="24"/>
  <c r="AO90" i="24"/>
  <c r="AN90" i="24"/>
  <c r="AM90" i="24"/>
  <c r="AL90" i="24"/>
  <c r="AJ90" i="24"/>
  <c r="AI90" i="24"/>
  <c r="AB90" i="24"/>
  <c r="AA90" i="24"/>
  <c r="Z90" i="24"/>
  <c r="Y90" i="24"/>
  <c r="X90" i="24"/>
  <c r="W90" i="24"/>
  <c r="V90" i="24"/>
  <c r="U90" i="24"/>
  <c r="T90" i="24"/>
  <c r="M90" i="24"/>
  <c r="L90" i="24"/>
  <c r="K90" i="24"/>
  <c r="J90" i="24"/>
  <c r="BB90" i="24" s="1"/>
  <c r="I90" i="24"/>
  <c r="BA90" i="24" s="1"/>
  <c r="H90" i="24"/>
  <c r="AZ90" i="24" s="1"/>
  <c r="F90" i="24"/>
  <c r="AX90" i="24" s="1"/>
  <c r="AW89" i="24"/>
  <c r="AT89" i="24"/>
  <c r="AS89" i="24"/>
  <c r="AR89" i="24"/>
  <c r="AQ89" i="24"/>
  <c r="AP89" i="24"/>
  <c r="AO89" i="24"/>
  <c r="AN89" i="24"/>
  <c r="AM89" i="24"/>
  <c r="AL89" i="24"/>
  <c r="AJ89" i="24"/>
  <c r="AI89" i="24"/>
  <c r="AB89" i="24"/>
  <c r="AA89" i="24"/>
  <c r="Z89" i="24"/>
  <c r="Y89" i="24"/>
  <c r="X89" i="24"/>
  <c r="W89" i="24"/>
  <c r="V89" i="24"/>
  <c r="U89" i="24"/>
  <c r="T89" i="24"/>
  <c r="M89" i="24"/>
  <c r="L89" i="24"/>
  <c r="K89" i="24"/>
  <c r="J89" i="24"/>
  <c r="BB89" i="24" s="1"/>
  <c r="I89" i="24"/>
  <c r="BA89" i="24" s="1"/>
  <c r="H89" i="24"/>
  <c r="AZ89" i="24" s="1"/>
  <c r="F89" i="24"/>
  <c r="AX89" i="24" s="1"/>
  <c r="AW88" i="24"/>
  <c r="AT88" i="24"/>
  <c r="AS88" i="24"/>
  <c r="AR88" i="24"/>
  <c r="AQ88" i="24"/>
  <c r="AP88" i="24"/>
  <c r="AO88" i="24"/>
  <c r="AN88" i="24"/>
  <c r="AM88" i="24"/>
  <c r="AL88" i="24"/>
  <c r="AJ88" i="24"/>
  <c r="AI88" i="24"/>
  <c r="AB88" i="24"/>
  <c r="AA88" i="24"/>
  <c r="Z88" i="24"/>
  <c r="Y88" i="24"/>
  <c r="X88" i="24"/>
  <c r="W88" i="24"/>
  <c r="V88" i="24"/>
  <c r="U88" i="24"/>
  <c r="T88" i="24"/>
  <c r="M88" i="24"/>
  <c r="L88" i="24"/>
  <c r="K88" i="24"/>
  <c r="J88" i="24"/>
  <c r="BB88" i="24" s="1"/>
  <c r="I88" i="24"/>
  <c r="BA88" i="24" s="1"/>
  <c r="H88" i="24"/>
  <c r="AZ88" i="24" s="1"/>
  <c r="F88" i="24"/>
  <c r="AX88" i="24" s="1"/>
  <c r="AW87" i="24"/>
  <c r="AT87" i="24"/>
  <c r="AS87" i="24"/>
  <c r="AR87" i="24"/>
  <c r="AQ87" i="24"/>
  <c r="AP87" i="24"/>
  <c r="AO87" i="24"/>
  <c r="AN87" i="24"/>
  <c r="AM87" i="24"/>
  <c r="AL87" i="24"/>
  <c r="AJ87" i="24"/>
  <c r="AI87" i="24"/>
  <c r="AB87" i="24"/>
  <c r="AA87" i="24"/>
  <c r="Z87" i="24"/>
  <c r="Y87" i="24"/>
  <c r="X87" i="24"/>
  <c r="W87" i="24"/>
  <c r="V87" i="24"/>
  <c r="U87" i="24"/>
  <c r="T87" i="24"/>
  <c r="M87" i="24"/>
  <c r="L87" i="24"/>
  <c r="K87" i="24"/>
  <c r="J87" i="24"/>
  <c r="BB87" i="24" s="1"/>
  <c r="I87" i="24"/>
  <c r="BA87" i="24" s="1"/>
  <c r="H87" i="24"/>
  <c r="AZ87" i="24" s="1"/>
  <c r="F87" i="24"/>
  <c r="AX87" i="24" s="1"/>
  <c r="AW86" i="24"/>
  <c r="AT86" i="24"/>
  <c r="AS86" i="24"/>
  <c r="AR86" i="24"/>
  <c r="AQ86" i="24"/>
  <c r="AP86" i="24"/>
  <c r="AO86" i="24"/>
  <c r="AN86" i="24"/>
  <c r="AM86" i="24"/>
  <c r="AL86" i="24"/>
  <c r="AJ86" i="24"/>
  <c r="AI86" i="24"/>
  <c r="AB86" i="24"/>
  <c r="AA86" i="24"/>
  <c r="Z86" i="24"/>
  <c r="Y86" i="24"/>
  <c r="X86" i="24"/>
  <c r="W86" i="24"/>
  <c r="V86" i="24"/>
  <c r="U86" i="24"/>
  <c r="T86" i="24"/>
  <c r="M86" i="24"/>
  <c r="L86" i="24"/>
  <c r="K86" i="24"/>
  <c r="J86" i="24"/>
  <c r="BB86" i="24" s="1"/>
  <c r="I86" i="24"/>
  <c r="BA86" i="24" s="1"/>
  <c r="H86" i="24"/>
  <c r="AZ86" i="24" s="1"/>
  <c r="F86" i="24"/>
  <c r="AX86" i="24" s="1"/>
  <c r="AW85" i="24"/>
  <c r="AT85" i="24"/>
  <c r="AS85" i="24"/>
  <c r="AR85" i="24"/>
  <c r="AQ85" i="24"/>
  <c r="AP85" i="24"/>
  <c r="AO85" i="24"/>
  <c r="AN85" i="24"/>
  <c r="AM85" i="24"/>
  <c r="AL85" i="24"/>
  <c r="AJ85" i="24"/>
  <c r="AI85" i="24"/>
  <c r="AB85" i="24"/>
  <c r="AA85" i="24"/>
  <c r="Z85" i="24"/>
  <c r="Y85" i="24"/>
  <c r="X85" i="24"/>
  <c r="W85" i="24"/>
  <c r="V85" i="24"/>
  <c r="U85" i="24"/>
  <c r="T85" i="24"/>
  <c r="M85" i="24"/>
  <c r="L85" i="24"/>
  <c r="K85" i="24"/>
  <c r="J85" i="24"/>
  <c r="BB85" i="24" s="1"/>
  <c r="I85" i="24"/>
  <c r="BA85" i="24" s="1"/>
  <c r="H85" i="24"/>
  <c r="AZ85" i="24" s="1"/>
  <c r="F85" i="24"/>
  <c r="AX85" i="24" s="1"/>
  <c r="AW84" i="24"/>
  <c r="AT84" i="24"/>
  <c r="AS84" i="24"/>
  <c r="AR84" i="24"/>
  <c r="AQ84" i="24"/>
  <c r="AP84" i="24"/>
  <c r="AO84" i="24"/>
  <c r="AN84" i="24"/>
  <c r="AM84" i="24"/>
  <c r="AL84" i="24"/>
  <c r="AJ84" i="24"/>
  <c r="AI84" i="24"/>
  <c r="AB84" i="24"/>
  <c r="AA84" i="24"/>
  <c r="Z84" i="24"/>
  <c r="Y84" i="24"/>
  <c r="X84" i="24"/>
  <c r="W84" i="24"/>
  <c r="V84" i="24"/>
  <c r="U84" i="24"/>
  <c r="T84" i="24"/>
  <c r="M84" i="24"/>
  <c r="L84" i="24"/>
  <c r="K84" i="24"/>
  <c r="J84" i="24"/>
  <c r="BB84" i="24" s="1"/>
  <c r="I84" i="24"/>
  <c r="BA84" i="24" s="1"/>
  <c r="H84" i="24"/>
  <c r="AZ84" i="24" s="1"/>
  <c r="F84" i="24"/>
  <c r="AX84" i="24" s="1"/>
  <c r="AW83" i="24"/>
  <c r="AT83" i="24"/>
  <c r="AS83" i="24"/>
  <c r="AR83" i="24"/>
  <c r="AQ83" i="24"/>
  <c r="AP83" i="24"/>
  <c r="AO83" i="24"/>
  <c r="AN83" i="24"/>
  <c r="AM83" i="24"/>
  <c r="AL83" i="24"/>
  <c r="AJ83" i="24"/>
  <c r="AI83" i="24"/>
  <c r="AB83" i="24"/>
  <c r="AA83" i="24"/>
  <c r="Z83" i="24"/>
  <c r="Y83" i="24"/>
  <c r="X83" i="24"/>
  <c r="W83" i="24"/>
  <c r="V83" i="24"/>
  <c r="U83" i="24"/>
  <c r="T83" i="24"/>
  <c r="M83" i="24"/>
  <c r="L83" i="24"/>
  <c r="K83" i="24"/>
  <c r="J83" i="24"/>
  <c r="BB83" i="24" s="1"/>
  <c r="I83" i="24"/>
  <c r="BA83" i="24" s="1"/>
  <c r="H83" i="24"/>
  <c r="AZ83" i="24" s="1"/>
  <c r="F83" i="24"/>
  <c r="AX83" i="24" s="1"/>
  <c r="AW82" i="24"/>
  <c r="AT82" i="24"/>
  <c r="AS82" i="24"/>
  <c r="AR82" i="24"/>
  <c r="AQ82" i="24"/>
  <c r="AP82" i="24"/>
  <c r="AO82" i="24"/>
  <c r="AN82" i="24"/>
  <c r="AM82" i="24"/>
  <c r="AL82" i="24"/>
  <c r="AJ82" i="24"/>
  <c r="AI82" i="24"/>
  <c r="AB82" i="24"/>
  <c r="AA82" i="24"/>
  <c r="Z82" i="24"/>
  <c r="Y82" i="24"/>
  <c r="X82" i="24"/>
  <c r="W82" i="24"/>
  <c r="V82" i="24"/>
  <c r="U82" i="24"/>
  <c r="T82" i="24"/>
  <c r="M82" i="24"/>
  <c r="L82" i="24"/>
  <c r="K82" i="24"/>
  <c r="J82" i="24"/>
  <c r="BB82" i="24" s="1"/>
  <c r="I82" i="24"/>
  <c r="BA82" i="24" s="1"/>
  <c r="H82" i="24"/>
  <c r="AZ82" i="24" s="1"/>
  <c r="F82" i="24"/>
  <c r="AX82" i="24" s="1"/>
  <c r="AW81" i="24"/>
  <c r="AT81" i="24"/>
  <c r="AS81" i="24"/>
  <c r="AR81" i="24"/>
  <c r="AQ81" i="24"/>
  <c r="AP81" i="24"/>
  <c r="AO81" i="24"/>
  <c r="AN81" i="24"/>
  <c r="AM81" i="24"/>
  <c r="AL81" i="24"/>
  <c r="AJ81" i="24"/>
  <c r="AI81" i="24"/>
  <c r="AB81" i="24"/>
  <c r="AA81" i="24"/>
  <c r="Z81" i="24"/>
  <c r="Y81" i="24"/>
  <c r="X81" i="24"/>
  <c r="W81" i="24"/>
  <c r="V81" i="24"/>
  <c r="U81" i="24"/>
  <c r="T81" i="24"/>
  <c r="M81" i="24"/>
  <c r="L81" i="24"/>
  <c r="K81" i="24"/>
  <c r="J81" i="24"/>
  <c r="BB81" i="24" s="1"/>
  <c r="I81" i="24"/>
  <c r="BA81" i="24" s="1"/>
  <c r="H81" i="24"/>
  <c r="AZ81" i="24" s="1"/>
  <c r="F81" i="24"/>
  <c r="AX81" i="24" s="1"/>
  <c r="AW80" i="24"/>
  <c r="AT80" i="24"/>
  <c r="AS80" i="24"/>
  <c r="AR80" i="24"/>
  <c r="AQ80" i="24"/>
  <c r="AP80" i="24"/>
  <c r="AO80" i="24"/>
  <c r="AN80" i="24"/>
  <c r="AM80" i="24"/>
  <c r="AL80" i="24"/>
  <c r="AJ80" i="24"/>
  <c r="AI80" i="24"/>
  <c r="AB80" i="24"/>
  <c r="AA80" i="24"/>
  <c r="Z80" i="24"/>
  <c r="Y80" i="24"/>
  <c r="X80" i="24"/>
  <c r="W80" i="24"/>
  <c r="V80" i="24"/>
  <c r="U80" i="24"/>
  <c r="T80" i="24"/>
  <c r="M80" i="24"/>
  <c r="L80" i="24"/>
  <c r="K80" i="24"/>
  <c r="J80" i="24"/>
  <c r="BB80" i="24" s="1"/>
  <c r="I80" i="24"/>
  <c r="BA80" i="24" s="1"/>
  <c r="H80" i="24"/>
  <c r="AZ80" i="24" s="1"/>
  <c r="F80" i="24"/>
  <c r="AX80" i="24" s="1"/>
  <c r="AW79" i="24"/>
  <c r="AT79" i="24"/>
  <c r="AS79" i="24"/>
  <c r="AR79" i="24"/>
  <c r="AQ79" i="24"/>
  <c r="AP79" i="24"/>
  <c r="AO79" i="24"/>
  <c r="AN79" i="24"/>
  <c r="AM79" i="24"/>
  <c r="AL79" i="24"/>
  <c r="AJ79" i="24"/>
  <c r="AI79" i="24"/>
  <c r="AB79" i="24"/>
  <c r="AA79" i="24"/>
  <c r="Z79" i="24"/>
  <c r="Y79" i="24"/>
  <c r="X79" i="24"/>
  <c r="W79" i="24"/>
  <c r="V79" i="24"/>
  <c r="U79" i="24"/>
  <c r="T79" i="24"/>
  <c r="M79" i="24"/>
  <c r="L79" i="24"/>
  <c r="K79" i="24"/>
  <c r="J79" i="24"/>
  <c r="BB79" i="24" s="1"/>
  <c r="I79" i="24"/>
  <c r="BA79" i="24" s="1"/>
  <c r="H79" i="24"/>
  <c r="AZ79" i="24" s="1"/>
  <c r="F79" i="24"/>
  <c r="AX79" i="24" s="1"/>
  <c r="AW78" i="24"/>
  <c r="AT78" i="24"/>
  <c r="AS78" i="24"/>
  <c r="AR78" i="24"/>
  <c r="AQ78" i="24"/>
  <c r="AP78" i="24"/>
  <c r="AO78" i="24"/>
  <c r="AN78" i="24"/>
  <c r="AM78" i="24"/>
  <c r="AL78" i="24"/>
  <c r="AJ78" i="24"/>
  <c r="AI78" i="24"/>
  <c r="AB78" i="24"/>
  <c r="AA78" i="24"/>
  <c r="Z78" i="24"/>
  <c r="Y78" i="24"/>
  <c r="X78" i="24"/>
  <c r="W78" i="24"/>
  <c r="V78" i="24"/>
  <c r="U78" i="24"/>
  <c r="T78" i="24"/>
  <c r="M78" i="24"/>
  <c r="L78" i="24"/>
  <c r="K78" i="24"/>
  <c r="J78" i="24"/>
  <c r="BB78" i="24" s="1"/>
  <c r="I78" i="24"/>
  <c r="BA78" i="24" s="1"/>
  <c r="H78" i="24"/>
  <c r="AZ78" i="24" s="1"/>
  <c r="F78" i="24"/>
  <c r="AX78" i="24" s="1"/>
  <c r="AW77" i="24"/>
  <c r="AT77" i="24"/>
  <c r="AS77" i="24"/>
  <c r="AR77" i="24"/>
  <c r="AQ77" i="24"/>
  <c r="AP77" i="24"/>
  <c r="AO77" i="24"/>
  <c r="AN77" i="24"/>
  <c r="AM77" i="24"/>
  <c r="AL77" i="24"/>
  <c r="AJ77" i="24"/>
  <c r="AI77" i="24"/>
  <c r="AB77" i="24"/>
  <c r="AA77" i="24"/>
  <c r="Z77" i="24"/>
  <c r="Y77" i="24"/>
  <c r="X77" i="24"/>
  <c r="W77" i="24"/>
  <c r="V77" i="24"/>
  <c r="U77" i="24"/>
  <c r="T77" i="24"/>
  <c r="M77" i="24"/>
  <c r="L77" i="24"/>
  <c r="K77" i="24"/>
  <c r="J77" i="24"/>
  <c r="BB77" i="24" s="1"/>
  <c r="I77" i="24"/>
  <c r="BA77" i="24" s="1"/>
  <c r="H77" i="24"/>
  <c r="AZ77" i="24" s="1"/>
  <c r="F77" i="24"/>
  <c r="AX77" i="24" s="1"/>
  <c r="AW76" i="24"/>
  <c r="AT76" i="24"/>
  <c r="AS76" i="24"/>
  <c r="AR76" i="24"/>
  <c r="AQ76" i="24"/>
  <c r="AP76" i="24"/>
  <c r="AO76" i="24"/>
  <c r="AN76" i="24"/>
  <c r="AM76" i="24"/>
  <c r="AL76" i="24"/>
  <c r="AJ76" i="24"/>
  <c r="AI76" i="24"/>
  <c r="AB76" i="24"/>
  <c r="AA76" i="24"/>
  <c r="Z76" i="24"/>
  <c r="Y76" i="24"/>
  <c r="X76" i="24"/>
  <c r="W76" i="24"/>
  <c r="V76" i="24"/>
  <c r="U76" i="24"/>
  <c r="T76" i="24"/>
  <c r="M76" i="24"/>
  <c r="L76" i="24"/>
  <c r="K76" i="24"/>
  <c r="J76" i="24"/>
  <c r="BB76" i="24" s="1"/>
  <c r="I76" i="24"/>
  <c r="BA76" i="24" s="1"/>
  <c r="H76" i="24"/>
  <c r="AZ76" i="24" s="1"/>
  <c r="F76" i="24"/>
  <c r="AX76" i="24" s="1"/>
  <c r="AW75" i="24"/>
  <c r="AT75" i="24"/>
  <c r="AS75" i="24"/>
  <c r="AR75" i="24"/>
  <c r="AQ75" i="24"/>
  <c r="AP75" i="24"/>
  <c r="AO75" i="24"/>
  <c r="AN75" i="24"/>
  <c r="AM75" i="24"/>
  <c r="AL75" i="24"/>
  <c r="AJ75" i="24"/>
  <c r="AI75" i="24"/>
  <c r="AB75" i="24"/>
  <c r="AA75" i="24"/>
  <c r="Z75" i="24"/>
  <c r="Y75" i="24"/>
  <c r="X75" i="24"/>
  <c r="W75" i="24"/>
  <c r="V75" i="24"/>
  <c r="U75" i="24"/>
  <c r="T75" i="24"/>
  <c r="M75" i="24"/>
  <c r="L75" i="24"/>
  <c r="K75" i="24"/>
  <c r="J75" i="24"/>
  <c r="BB75" i="24" s="1"/>
  <c r="I75" i="24"/>
  <c r="BA75" i="24" s="1"/>
  <c r="H75" i="24"/>
  <c r="AZ75" i="24" s="1"/>
  <c r="F75" i="24"/>
  <c r="AX75" i="24" s="1"/>
  <c r="AW74" i="24"/>
  <c r="AT74" i="24"/>
  <c r="AS74" i="24"/>
  <c r="AR74" i="24"/>
  <c r="AQ74" i="24"/>
  <c r="AP74" i="24"/>
  <c r="AO74" i="24"/>
  <c r="AN74" i="24"/>
  <c r="AM74" i="24"/>
  <c r="AL74" i="24"/>
  <c r="AJ74" i="24"/>
  <c r="AI74" i="24"/>
  <c r="AB74" i="24"/>
  <c r="AA74" i="24"/>
  <c r="Z74" i="24"/>
  <c r="Y74" i="24"/>
  <c r="X74" i="24"/>
  <c r="W74" i="24"/>
  <c r="V74" i="24"/>
  <c r="U74" i="24"/>
  <c r="T74" i="24"/>
  <c r="M74" i="24"/>
  <c r="L74" i="24"/>
  <c r="K74" i="24"/>
  <c r="J74" i="24"/>
  <c r="BB74" i="24" s="1"/>
  <c r="I74" i="24"/>
  <c r="BA74" i="24" s="1"/>
  <c r="H74" i="24"/>
  <c r="AZ74" i="24" s="1"/>
  <c r="F74" i="24"/>
  <c r="AX74" i="24" s="1"/>
  <c r="AW73" i="24"/>
  <c r="AT73" i="24"/>
  <c r="AS73" i="24"/>
  <c r="AR73" i="24"/>
  <c r="AQ73" i="24"/>
  <c r="AP73" i="24"/>
  <c r="AO73" i="24"/>
  <c r="AN73" i="24"/>
  <c r="AM73" i="24"/>
  <c r="AL73" i="24"/>
  <c r="AJ73" i="24"/>
  <c r="AI73" i="24"/>
  <c r="AB73" i="24"/>
  <c r="AA73" i="24"/>
  <c r="Z73" i="24"/>
  <c r="Y73" i="24"/>
  <c r="X73" i="24"/>
  <c r="W73" i="24"/>
  <c r="V73" i="24"/>
  <c r="U73" i="24"/>
  <c r="T73" i="24"/>
  <c r="M73" i="24"/>
  <c r="L73" i="24"/>
  <c r="K73" i="24"/>
  <c r="J73" i="24"/>
  <c r="BB73" i="24" s="1"/>
  <c r="I73" i="24"/>
  <c r="BA73" i="24" s="1"/>
  <c r="H73" i="24"/>
  <c r="AZ73" i="24" s="1"/>
  <c r="F73" i="24"/>
  <c r="AX73" i="24" s="1"/>
  <c r="AW72" i="24"/>
  <c r="AT72" i="24"/>
  <c r="AS72" i="24"/>
  <c r="AR72" i="24"/>
  <c r="AQ72" i="24"/>
  <c r="AP72" i="24"/>
  <c r="AO72" i="24"/>
  <c r="AN72" i="24"/>
  <c r="AM72" i="24"/>
  <c r="AL72" i="24"/>
  <c r="AJ72" i="24"/>
  <c r="AI72" i="24"/>
  <c r="AB72" i="24"/>
  <c r="AA72" i="24"/>
  <c r="Z72" i="24"/>
  <c r="Y72" i="24"/>
  <c r="X72" i="24"/>
  <c r="W72" i="24"/>
  <c r="V72" i="24"/>
  <c r="U72" i="24"/>
  <c r="T72" i="24"/>
  <c r="M72" i="24"/>
  <c r="L72" i="24"/>
  <c r="K72" i="24"/>
  <c r="J72" i="24"/>
  <c r="BB72" i="24" s="1"/>
  <c r="I72" i="24"/>
  <c r="BA72" i="24" s="1"/>
  <c r="H72" i="24"/>
  <c r="AZ72" i="24" s="1"/>
  <c r="F72" i="24"/>
  <c r="AX72" i="24" s="1"/>
  <c r="AW71" i="24"/>
  <c r="AT71" i="24"/>
  <c r="AS71" i="24"/>
  <c r="AR71" i="24"/>
  <c r="AQ71" i="24"/>
  <c r="AP71" i="24"/>
  <c r="AO71" i="24"/>
  <c r="AN71" i="24"/>
  <c r="AM71" i="24"/>
  <c r="AL71" i="24"/>
  <c r="AJ71" i="24"/>
  <c r="AI71" i="24"/>
  <c r="AB71" i="24"/>
  <c r="AA71" i="24"/>
  <c r="Z71" i="24"/>
  <c r="Y71" i="24"/>
  <c r="X71" i="24"/>
  <c r="W71" i="24"/>
  <c r="V71" i="24"/>
  <c r="U71" i="24"/>
  <c r="T71" i="24"/>
  <c r="M71" i="24"/>
  <c r="L71" i="24"/>
  <c r="K71" i="24"/>
  <c r="J71" i="24"/>
  <c r="BB71" i="24" s="1"/>
  <c r="I71" i="24"/>
  <c r="BA71" i="24" s="1"/>
  <c r="H71" i="24"/>
  <c r="AZ71" i="24" s="1"/>
  <c r="F71" i="24"/>
  <c r="AX71" i="24" s="1"/>
  <c r="AW70" i="24"/>
  <c r="AT70" i="24"/>
  <c r="AS70" i="24"/>
  <c r="AR70" i="24"/>
  <c r="AQ70" i="24"/>
  <c r="AP70" i="24"/>
  <c r="AO70" i="24"/>
  <c r="AN70" i="24"/>
  <c r="AM70" i="24"/>
  <c r="AL70" i="24"/>
  <c r="AJ70" i="24"/>
  <c r="AI70" i="24"/>
  <c r="AB70" i="24"/>
  <c r="AA70" i="24"/>
  <c r="Z70" i="24"/>
  <c r="Y70" i="24"/>
  <c r="X70" i="24"/>
  <c r="W70" i="24"/>
  <c r="V70" i="24"/>
  <c r="U70" i="24"/>
  <c r="T70" i="24"/>
  <c r="M70" i="24"/>
  <c r="L70" i="24"/>
  <c r="K70" i="24"/>
  <c r="J70" i="24"/>
  <c r="BB70" i="24" s="1"/>
  <c r="I70" i="24"/>
  <c r="BA70" i="24" s="1"/>
  <c r="H70" i="24"/>
  <c r="AZ70" i="24" s="1"/>
  <c r="F70" i="24"/>
  <c r="AX70" i="24" s="1"/>
  <c r="AW69" i="24"/>
  <c r="AT69" i="24"/>
  <c r="AS69" i="24"/>
  <c r="AR69" i="24"/>
  <c r="AQ69" i="24"/>
  <c r="AP69" i="24"/>
  <c r="AO69" i="24"/>
  <c r="AN69" i="24"/>
  <c r="AM69" i="24"/>
  <c r="AL69" i="24"/>
  <c r="AJ69" i="24"/>
  <c r="AI69" i="24"/>
  <c r="AB69" i="24"/>
  <c r="AA69" i="24"/>
  <c r="Z69" i="24"/>
  <c r="Y69" i="24"/>
  <c r="X69" i="24"/>
  <c r="W69" i="24"/>
  <c r="V69" i="24"/>
  <c r="U69" i="24"/>
  <c r="T69" i="24"/>
  <c r="M69" i="24"/>
  <c r="L69" i="24"/>
  <c r="K69" i="24"/>
  <c r="J69" i="24"/>
  <c r="BB69" i="24" s="1"/>
  <c r="I69" i="24"/>
  <c r="BA69" i="24" s="1"/>
  <c r="H69" i="24"/>
  <c r="AZ69" i="24" s="1"/>
  <c r="F69" i="24"/>
  <c r="AX69" i="24" s="1"/>
  <c r="AW68" i="24"/>
  <c r="AT68" i="24"/>
  <c r="AS68" i="24"/>
  <c r="AR68" i="24"/>
  <c r="AQ68" i="24"/>
  <c r="AP68" i="24"/>
  <c r="AO68" i="24"/>
  <c r="AN68" i="24"/>
  <c r="AM68" i="24"/>
  <c r="AL68" i="24"/>
  <c r="AJ68" i="24"/>
  <c r="AI68" i="24"/>
  <c r="AB68" i="24"/>
  <c r="AA68" i="24"/>
  <c r="Z68" i="24"/>
  <c r="Y68" i="24"/>
  <c r="X68" i="24"/>
  <c r="W68" i="24"/>
  <c r="V68" i="24"/>
  <c r="U68" i="24"/>
  <c r="T68" i="24"/>
  <c r="M68" i="24"/>
  <c r="L68" i="24"/>
  <c r="K68" i="24"/>
  <c r="J68" i="24"/>
  <c r="BB68" i="24" s="1"/>
  <c r="I68" i="24"/>
  <c r="BA68" i="24" s="1"/>
  <c r="H68" i="24"/>
  <c r="AZ68" i="24" s="1"/>
  <c r="F68" i="24"/>
  <c r="AX68" i="24" s="1"/>
  <c r="AW67" i="24"/>
  <c r="AT67" i="24"/>
  <c r="AS67" i="24"/>
  <c r="AR67" i="24"/>
  <c r="AQ67" i="24"/>
  <c r="AP67" i="24"/>
  <c r="AO67" i="24"/>
  <c r="AN67" i="24"/>
  <c r="AM67" i="24"/>
  <c r="AL67" i="24"/>
  <c r="AJ67" i="24"/>
  <c r="AI67" i="24"/>
  <c r="AB67" i="24"/>
  <c r="AA67" i="24"/>
  <c r="Z67" i="24"/>
  <c r="Y67" i="24"/>
  <c r="X67" i="24"/>
  <c r="W67" i="24"/>
  <c r="V67" i="24"/>
  <c r="U67" i="24"/>
  <c r="T67" i="24"/>
  <c r="M67" i="24"/>
  <c r="L67" i="24"/>
  <c r="K67" i="24"/>
  <c r="J67" i="24"/>
  <c r="BB67" i="24" s="1"/>
  <c r="I67" i="24"/>
  <c r="BA67" i="24" s="1"/>
  <c r="H67" i="24"/>
  <c r="AZ67" i="24" s="1"/>
  <c r="F67" i="24"/>
  <c r="AX67" i="24" s="1"/>
  <c r="AW66" i="24"/>
  <c r="AT66" i="24"/>
  <c r="AS66" i="24"/>
  <c r="AR66" i="24"/>
  <c r="AQ66" i="24"/>
  <c r="AP66" i="24"/>
  <c r="AO66" i="24"/>
  <c r="AN66" i="24"/>
  <c r="AM66" i="24"/>
  <c r="AL66" i="24"/>
  <c r="AJ66" i="24"/>
  <c r="AI66" i="24"/>
  <c r="AB66" i="24"/>
  <c r="AA66" i="24"/>
  <c r="Z66" i="24"/>
  <c r="Y66" i="24"/>
  <c r="X66" i="24"/>
  <c r="W66" i="24"/>
  <c r="V66" i="24"/>
  <c r="U66" i="24"/>
  <c r="T66" i="24"/>
  <c r="M66" i="24"/>
  <c r="L66" i="24"/>
  <c r="K66" i="24"/>
  <c r="J66" i="24"/>
  <c r="BB66" i="24" s="1"/>
  <c r="I66" i="24"/>
  <c r="BA66" i="24" s="1"/>
  <c r="H66" i="24"/>
  <c r="AZ66" i="24" s="1"/>
  <c r="F66" i="24"/>
  <c r="AX66" i="24" s="1"/>
  <c r="AW65" i="24"/>
  <c r="AT65" i="24"/>
  <c r="AS65" i="24"/>
  <c r="AR65" i="24"/>
  <c r="AQ65" i="24"/>
  <c r="AP65" i="24"/>
  <c r="AO65" i="24"/>
  <c r="AN65" i="24"/>
  <c r="AM65" i="24"/>
  <c r="AL65" i="24"/>
  <c r="AJ65" i="24"/>
  <c r="AI65" i="24"/>
  <c r="AB65" i="24"/>
  <c r="AA65" i="24"/>
  <c r="Z65" i="24"/>
  <c r="Y65" i="24"/>
  <c r="X65" i="24"/>
  <c r="W65" i="24"/>
  <c r="V65" i="24"/>
  <c r="U65" i="24"/>
  <c r="T65" i="24"/>
  <c r="M65" i="24"/>
  <c r="L65" i="24"/>
  <c r="K65" i="24"/>
  <c r="J65" i="24"/>
  <c r="BB65" i="24" s="1"/>
  <c r="I65" i="24"/>
  <c r="BA65" i="24" s="1"/>
  <c r="H65" i="24"/>
  <c r="AZ65" i="24" s="1"/>
  <c r="F65" i="24"/>
  <c r="AX65" i="24" s="1"/>
  <c r="AW64" i="24"/>
  <c r="AT64" i="24"/>
  <c r="AS64" i="24"/>
  <c r="AR64" i="24"/>
  <c r="AQ64" i="24"/>
  <c r="AP64" i="24"/>
  <c r="AO64" i="24"/>
  <c r="AN64" i="24"/>
  <c r="AM64" i="24"/>
  <c r="AL64" i="24"/>
  <c r="AJ64" i="24"/>
  <c r="AI64" i="24"/>
  <c r="AB64" i="24"/>
  <c r="AA64" i="24"/>
  <c r="Z64" i="24"/>
  <c r="Y64" i="24"/>
  <c r="X64" i="24"/>
  <c r="W64" i="24"/>
  <c r="V64" i="24"/>
  <c r="U64" i="24"/>
  <c r="T64" i="24"/>
  <c r="M64" i="24"/>
  <c r="L64" i="24"/>
  <c r="K64" i="24"/>
  <c r="J64" i="24"/>
  <c r="BB64" i="24" s="1"/>
  <c r="I64" i="24"/>
  <c r="BA64" i="24" s="1"/>
  <c r="H64" i="24"/>
  <c r="AZ64" i="24" s="1"/>
  <c r="F64" i="24"/>
  <c r="AX64" i="24" s="1"/>
  <c r="AW63" i="24"/>
  <c r="AT63" i="24"/>
  <c r="AS63" i="24"/>
  <c r="AR63" i="24"/>
  <c r="AQ63" i="24"/>
  <c r="AP63" i="24"/>
  <c r="AO63" i="24"/>
  <c r="AN63" i="24"/>
  <c r="AM63" i="24"/>
  <c r="AL63" i="24"/>
  <c r="AJ63" i="24"/>
  <c r="AI63" i="24"/>
  <c r="AB63" i="24"/>
  <c r="AA63" i="24"/>
  <c r="Z63" i="24"/>
  <c r="Y63" i="24"/>
  <c r="X63" i="24"/>
  <c r="W63" i="24"/>
  <c r="V63" i="24"/>
  <c r="U63" i="24"/>
  <c r="T63" i="24"/>
  <c r="M63" i="24"/>
  <c r="L63" i="24"/>
  <c r="K63" i="24"/>
  <c r="J63" i="24"/>
  <c r="BB63" i="24" s="1"/>
  <c r="I63" i="24"/>
  <c r="BA63" i="24" s="1"/>
  <c r="H63" i="24"/>
  <c r="AZ63" i="24" s="1"/>
  <c r="F63" i="24"/>
  <c r="AX63" i="24" s="1"/>
  <c r="AW62" i="24"/>
  <c r="AT62" i="24"/>
  <c r="AS62" i="24"/>
  <c r="AR62" i="24"/>
  <c r="AQ62" i="24"/>
  <c r="AP62" i="24"/>
  <c r="AO62" i="24"/>
  <c r="AN62" i="24"/>
  <c r="AM62" i="24"/>
  <c r="AL62" i="24"/>
  <c r="AJ62" i="24"/>
  <c r="AI62" i="24"/>
  <c r="AB62" i="24"/>
  <c r="AA62" i="24"/>
  <c r="Z62" i="24"/>
  <c r="Y62" i="24"/>
  <c r="X62" i="24"/>
  <c r="W62" i="24"/>
  <c r="V62" i="24"/>
  <c r="U62" i="24"/>
  <c r="T62" i="24"/>
  <c r="M62" i="24"/>
  <c r="L62" i="24"/>
  <c r="K62" i="24"/>
  <c r="J62" i="24"/>
  <c r="BB62" i="24" s="1"/>
  <c r="I62" i="24"/>
  <c r="BA62" i="24" s="1"/>
  <c r="H62" i="24"/>
  <c r="AZ62" i="24" s="1"/>
  <c r="F62" i="24"/>
  <c r="AX62" i="24" s="1"/>
  <c r="AW61" i="24"/>
  <c r="AT61" i="24"/>
  <c r="AS61" i="24"/>
  <c r="AR61" i="24"/>
  <c r="AQ61" i="24"/>
  <c r="AP61" i="24"/>
  <c r="AO61" i="24"/>
  <c r="AN61" i="24"/>
  <c r="AM61" i="24"/>
  <c r="AL61" i="24"/>
  <c r="AJ61" i="24"/>
  <c r="AI61" i="24"/>
  <c r="AB61" i="24"/>
  <c r="AA61" i="24"/>
  <c r="Z61" i="24"/>
  <c r="Y61" i="24"/>
  <c r="X61" i="24"/>
  <c r="W61" i="24"/>
  <c r="V61" i="24"/>
  <c r="U61" i="24"/>
  <c r="T61" i="24"/>
  <c r="M61" i="24"/>
  <c r="L61" i="24"/>
  <c r="K61" i="24"/>
  <c r="J61" i="24"/>
  <c r="BB61" i="24" s="1"/>
  <c r="I61" i="24"/>
  <c r="BA61" i="24" s="1"/>
  <c r="H61" i="24"/>
  <c r="AZ61" i="24" s="1"/>
  <c r="F61" i="24"/>
  <c r="AX61" i="24" s="1"/>
  <c r="AW60" i="24"/>
  <c r="AT60" i="24"/>
  <c r="AS60" i="24"/>
  <c r="AR60" i="24"/>
  <c r="AQ60" i="24"/>
  <c r="AP60" i="24"/>
  <c r="AO60" i="24"/>
  <c r="AN60" i="24"/>
  <c r="AM60" i="24"/>
  <c r="AL60" i="24"/>
  <c r="AJ60" i="24"/>
  <c r="AI60" i="24"/>
  <c r="AB60" i="24"/>
  <c r="AA60" i="24"/>
  <c r="Z60" i="24"/>
  <c r="Y60" i="24"/>
  <c r="X60" i="24"/>
  <c r="W60" i="24"/>
  <c r="V60" i="24"/>
  <c r="U60" i="24"/>
  <c r="T60" i="24"/>
  <c r="M60" i="24"/>
  <c r="L60" i="24"/>
  <c r="K60" i="24"/>
  <c r="J60" i="24"/>
  <c r="BB60" i="24" s="1"/>
  <c r="I60" i="24"/>
  <c r="BA60" i="24" s="1"/>
  <c r="H60" i="24"/>
  <c r="AZ60" i="24" s="1"/>
  <c r="F60" i="24"/>
  <c r="AX60" i="24" s="1"/>
  <c r="AW59" i="24"/>
  <c r="AT59" i="24"/>
  <c r="AS59" i="24"/>
  <c r="AR59" i="24"/>
  <c r="AQ59" i="24"/>
  <c r="AP59" i="24"/>
  <c r="AO59" i="24"/>
  <c r="AN59" i="24"/>
  <c r="AM59" i="24"/>
  <c r="AL59" i="24"/>
  <c r="AJ59" i="24"/>
  <c r="AI59" i="24"/>
  <c r="AB59" i="24"/>
  <c r="AA59" i="24"/>
  <c r="Z59" i="24"/>
  <c r="Y59" i="24"/>
  <c r="X59" i="24"/>
  <c r="W59" i="24"/>
  <c r="V59" i="24"/>
  <c r="U59" i="24"/>
  <c r="T59" i="24"/>
  <c r="M59" i="24"/>
  <c r="L59" i="24"/>
  <c r="K59" i="24"/>
  <c r="J59" i="24"/>
  <c r="BB59" i="24" s="1"/>
  <c r="I59" i="24"/>
  <c r="BA59" i="24" s="1"/>
  <c r="H59" i="24"/>
  <c r="AZ59" i="24" s="1"/>
  <c r="F59" i="24"/>
  <c r="AX59" i="24" s="1"/>
  <c r="AW58" i="24"/>
  <c r="AT58" i="24"/>
  <c r="AS58" i="24"/>
  <c r="AR58" i="24"/>
  <c r="AQ58" i="24"/>
  <c r="AP58" i="24"/>
  <c r="AO58" i="24"/>
  <c r="AN58" i="24"/>
  <c r="AM58" i="24"/>
  <c r="AL58" i="24"/>
  <c r="AJ58" i="24"/>
  <c r="AI58" i="24"/>
  <c r="AB58" i="24"/>
  <c r="AA58" i="24"/>
  <c r="Z58" i="24"/>
  <c r="Y58" i="24"/>
  <c r="X58" i="24"/>
  <c r="W58" i="24"/>
  <c r="V58" i="24"/>
  <c r="U58" i="24"/>
  <c r="T58" i="24"/>
  <c r="M58" i="24"/>
  <c r="L58" i="24"/>
  <c r="K58" i="24"/>
  <c r="J58" i="24"/>
  <c r="BB58" i="24" s="1"/>
  <c r="I58" i="24"/>
  <c r="BA58" i="24" s="1"/>
  <c r="H58" i="24"/>
  <c r="AZ58" i="24" s="1"/>
  <c r="F58" i="24"/>
  <c r="AX58" i="24" s="1"/>
  <c r="AW57" i="24"/>
  <c r="AT57" i="24"/>
  <c r="AS57" i="24"/>
  <c r="AR57" i="24"/>
  <c r="AQ57" i="24"/>
  <c r="AP57" i="24"/>
  <c r="AO57" i="24"/>
  <c r="AN57" i="24"/>
  <c r="AM57" i="24"/>
  <c r="AL57" i="24"/>
  <c r="AJ57" i="24"/>
  <c r="AI57" i="24"/>
  <c r="AB57" i="24"/>
  <c r="AA57" i="24"/>
  <c r="Z57" i="24"/>
  <c r="Y57" i="24"/>
  <c r="X57" i="24"/>
  <c r="W57" i="24"/>
  <c r="V57" i="24"/>
  <c r="U57" i="24"/>
  <c r="T57" i="24"/>
  <c r="M57" i="24"/>
  <c r="L57" i="24"/>
  <c r="K57" i="24"/>
  <c r="J57" i="24"/>
  <c r="BB57" i="24" s="1"/>
  <c r="I57" i="24"/>
  <c r="BA57" i="24" s="1"/>
  <c r="H57" i="24"/>
  <c r="AZ57" i="24" s="1"/>
  <c r="F57" i="24"/>
  <c r="AX57" i="24" s="1"/>
  <c r="AW56" i="24"/>
  <c r="AT56" i="24"/>
  <c r="AS56" i="24"/>
  <c r="AR56" i="24"/>
  <c r="AQ56" i="24"/>
  <c r="AP56" i="24"/>
  <c r="AO56" i="24"/>
  <c r="AN56" i="24"/>
  <c r="AM56" i="24"/>
  <c r="AL56" i="24"/>
  <c r="AJ56" i="24"/>
  <c r="AI56" i="24"/>
  <c r="AB56" i="24"/>
  <c r="AA56" i="24"/>
  <c r="Z56" i="24"/>
  <c r="Y56" i="24"/>
  <c r="X56" i="24"/>
  <c r="W56" i="24"/>
  <c r="V56" i="24"/>
  <c r="U56" i="24"/>
  <c r="T56" i="24"/>
  <c r="M56" i="24"/>
  <c r="L56" i="24"/>
  <c r="K56" i="24"/>
  <c r="J56" i="24"/>
  <c r="BB56" i="24" s="1"/>
  <c r="I56" i="24"/>
  <c r="BA56" i="24" s="1"/>
  <c r="H56" i="24"/>
  <c r="AZ56" i="24" s="1"/>
  <c r="F56" i="24"/>
  <c r="AX56" i="24" s="1"/>
  <c r="AW55" i="24"/>
  <c r="AT55" i="24"/>
  <c r="AS55" i="24"/>
  <c r="AR55" i="24"/>
  <c r="AQ55" i="24"/>
  <c r="AP55" i="24"/>
  <c r="AO55" i="24"/>
  <c r="AN55" i="24"/>
  <c r="AM55" i="24"/>
  <c r="AL55" i="24"/>
  <c r="AJ55" i="24"/>
  <c r="AI55" i="24"/>
  <c r="AB55" i="24"/>
  <c r="AA55" i="24"/>
  <c r="Z55" i="24"/>
  <c r="Y55" i="24"/>
  <c r="X55" i="24"/>
  <c r="W55" i="24"/>
  <c r="V55" i="24"/>
  <c r="U55" i="24"/>
  <c r="T55" i="24"/>
  <c r="M55" i="24"/>
  <c r="L55" i="24"/>
  <c r="K55" i="24"/>
  <c r="J55" i="24"/>
  <c r="BB55" i="24" s="1"/>
  <c r="I55" i="24"/>
  <c r="BA55" i="24" s="1"/>
  <c r="H55" i="24"/>
  <c r="AZ55" i="24" s="1"/>
  <c r="F55" i="24"/>
  <c r="AX55" i="24" s="1"/>
  <c r="AW54" i="24"/>
  <c r="AT54" i="24"/>
  <c r="AS54" i="24"/>
  <c r="AR54" i="24"/>
  <c r="AQ54" i="24"/>
  <c r="AP54" i="24"/>
  <c r="AO54" i="24"/>
  <c r="AN54" i="24"/>
  <c r="AM54" i="24"/>
  <c r="AL54" i="24"/>
  <c r="AJ54" i="24"/>
  <c r="AI54" i="24"/>
  <c r="AB54" i="24"/>
  <c r="AA54" i="24"/>
  <c r="Z54" i="24"/>
  <c r="Y54" i="24"/>
  <c r="X54" i="24"/>
  <c r="W54" i="24"/>
  <c r="V54" i="24"/>
  <c r="U54" i="24"/>
  <c r="T54" i="24"/>
  <c r="M54" i="24"/>
  <c r="L54" i="24"/>
  <c r="K54" i="24"/>
  <c r="J54" i="24"/>
  <c r="BB54" i="24" s="1"/>
  <c r="I54" i="24"/>
  <c r="BA54" i="24" s="1"/>
  <c r="H54" i="24"/>
  <c r="AZ54" i="24" s="1"/>
  <c r="F54" i="24"/>
  <c r="AX54" i="24" s="1"/>
  <c r="AW53" i="24"/>
  <c r="AT53" i="24"/>
  <c r="AS53" i="24"/>
  <c r="AR53" i="24"/>
  <c r="AQ53" i="24"/>
  <c r="AP53" i="24"/>
  <c r="AO53" i="24"/>
  <c r="AN53" i="24"/>
  <c r="AM53" i="24"/>
  <c r="AL53" i="24"/>
  <c r="AJ53" i="24"/>
  <c r="AI53" i="24"/>
  <c r="AB53" i="24"/>
  <c r="AA53" i="24"/>
  <c r="Z53" i="24"/>
  <c r="Y53" i="24"/>
  <c r="X53" i="24"/>
  <c r="W53" i="24"/>
  <c r="V53" i="24"/>
  <c r="U53" i="24"/>
  <c r="T53" i="24"/>
  <c r="M53" i="24"/>
  <c r="L53" i="24"/>
  <c r="K53" i="24"/>
  <c r="J53" i="24"/>
  <c r="BB53" i="24" s="1"/>
  <c r="I53" i="24"/>
  <c r="BA53" i="24" s="1"/>
  <c r="H53" i="24"/>
  <c r="AZ53" i="24" s="1"/>
  <c r="F53" i="24"/>
  <c r="AX53" i="24" s="1"/>
  <c r="AW52" i="24"/>
  <c r="AT52" i="24"/>
  <c r="AS52" i="24"/>
  <c r="AR52" i="24"/>
  <c r="AQ52" i="24"/>
  <c r="AP52" i="24"/>
  <c r="AO52" i="24"/>
  <c r="AN52" i="24"/>
  <c r="AM52" i="24"/>
  <c r="AL52" i="24"/>
  <c r="AJ52" i="24"/>
  <c r="AI52" i="24"/>
  <c r="AB52" i="24"/>
  <c r="AA52" i="24"/>
  <c r="Z52" i="24"/>
  <c r="Y52" i="24"/>
  <c r="X52" i="24"/>
  <c r="W52" i="24"/>
  <c r="V52" i="24"/>
  <c r="U52" i="24"/>
  <c r="T52" i="24"/>
  <c r="M52" i="24"/>
  <c r="L52" i="24"/>
  <c r="K52" i="24"/>
  <c r="J52" i="24"/>
  <c r="BB52" i="24" s="1"/>
  <c r="I52" i="24"/>
  <c r="BA52" i="24" s="1"/>
  <c r="H52" i="24"/>
  <c r="AZ52" i="24" s="1"/>
  <c r="F52" i="24"/>
  <c r="AX52" i="24" s="1"/>
  <c r="AW51" i="24"/>
  <c r="AT51" i="24"/>
  <c r="AS51" i="24"/>
  <c r="AR51" i="24"/>
  <c r="AQ51" i="24"/>
  <c r="AP51" i="24"/>
  <c r="AO51" i="24"/>
  <c r="AN51" i="24"/>
  <c r="AM51" i="24"/>
  <c r="AL51" i="24"/>
  <c r="AJ51" i="24"/>
  <c r="AI51" i="24"/>
  <c r="AB51" i="24"/>
  <c r="AA51" i="24"/>
  <c r="Z51" i="24"/>
  <c r="Y51" i="24"/>
  <c r="X51" i="24"/>
  <c r="W51" i="24"/>
  <c r="V51" i="24"/>
  <c r="U51" i="24"/>
  <c r="T51" i="24"/>
  <c r="M51" i="24"/>
  <c r="L51" i="24"/>
  <c r="K51" i="24"/>
  <c r="J51" i="24"/>
  <c r="BB51" i="24" s="1"/>
  <c r="I51" i="24"/>
  <c r="BA51" i="24" s="1"/>
  <c r="H51" i="24"/>
  <c r="AZ51" i="24" s="1"/>
  <c r="F51" i="24"/>
  <c r="AX51" i="24" s="1"/>
  <c r="AW50" i="24"/>
  <c r="AT50" i="24"/>
  <c r="AS50" i="24"/>
  <c r="AR50" i="24"/>
  <c r="AQ50" i="24"/>
  <c r="AP50" i="24"/>
  <c r="AO50" i="24"/>
  <c r="AN50" i="24"/>
  <c r="AM50" i="24"/>
  <c r="AL50" i="24"/>
  <c r="AJ50" i="24"/>
  <c r="AI50" i="24"/>
  <c r="AB50" i="24"/>
  <c r="AA50" i="24"/>
  <c r="Z50" i="24"/>
  <c r="Y50" i="24"/>
  <c r="X50" i="24"/>
  <c r="W50" i="24"/>
  <c r="V50" i="24"/>
  <c r="U50" i="24"/>
  <c r="T50" i="24"/>
  <c r="M50" i="24"/>
  <c r="L50" i="24"/>
  <c r="K50" i="24"/>
  <c r="J50" i="24"/>
  <c r="BB50" i="24" s="1"/>
  <c r="I50" i="24"/>
  <c r="BA50" i="24" s="1"/>
  <c r="H50" i="24"/>
  <c r="AZ50" i="24" s="1"/>
  <c r="F50" i="24"/>
  <c r="AX50" i="24" s="1"/>
  <c r="AW49" i="24"/>
  <c r="AT49" i="24"/>
  <c r="AS49" i="24"/>
  <c r="AR49" i="24"/>
  <c r="AQ49" i="24"/>
  <c r="AP49" i="24"/>
  <c r="AO49" i="24"/>
  <c r="AN49" i="24"/>
  <c r="AM49" i="24"/>
  <c r="AL49" i="24"/>
  <c r="AJ49" i="24"/>
  <c r="AI49" i="24"/>
  <c r="AB49" i="24"/>
  <c r="AA49" i="24"/>
  <c r="Z49" i="24"/>
  <c r="Y49" i="24"/>
  <c r="X49" i="24"/>
  <c r="W49" i="24"/>
  <c r="V49" i="24"/>
  <c r="U49" i="24"/>
  <c r="T49" i="24"/>
  <c r="M49" i="24"/>
  <c r="L49" i="24"/>
  <c r="K49" i="24"/>
  <c r="J49" i="24"/>
  <c r="BB49" i="24" s="1"/>
  <c r="I49" i="24"/>
  <c r="BA49" i="24" s="1"/>
  <c r="H49" i="24"/>
  <c r="AZ49" i="24" s="1"/>
  <c r="F49" i="24"/>
  <c r="AX49" i="24" s="1"/>
  <c r="AW48" i="24"/>
  <c r="AT48" i="24"/>
  <c r="AS48" i="24"/>
  <c r="AR48" i="24"/>
  <c r="AQ48" i="24"/>
  <c r="AP48" i="24"/>
  <c r="AO48" i="24"/>
  <c r="AN48" i="24"/>
  <c r="AM48" i="24"/>
  <c r="AL48" i="24"/>
  <c r="AJ48" i="24"/>
  <c r="AI48" i="24"/>
  <c r="AB48" i="24"/>
  <c r="AA48" i="24"/>
  <c r="Z48" i="24"/>
  <c r="Y48" i="24"/>
  <c r="X48" i="24"/>
  <c r="W48" i="24"/>
  <c r="V48" i="24"/>
  <c r="U48" i="24"/>
  <c r="T48" i="24"/>
  <c r="M48" i="24"/>
  <c r="L48" i="24"/>
  <c r="K48" i="24"/>
  <c r="J48" i="24"/>
  <c r="BB48" i="24" s="1"/>
  <c r="I48" i="24"/>
  <c r="BA48" i="24" s="1"/>
  <c r="H48" i="24"/>
  <c r="AZ48" i="24" s="1"/>
  <c r="F48" i="24"/>
  <c r="AX48" i="24" s="1"/>
  <c r="AW47" i="24"/>
  <c r="AT47" i="24"/>
  <c r="AS47" i="24"/>
  <c r="AR47" i="24"/>
  <c r="AQ47" i="24"/>
  <c r="AP47" i="24"/>
  <c r="AO47" i="24"/>
  <c r="AN47" i="24"/>
  <c r="AM47" i="24"/>
  <c r="AL47" i="24"/>
  <c r="AJ47" i="24"/>
  <c r="AI47" i="24"/>
  <c r="AB47" i="24"/>
  <c r="AA47" i="24"/>
  <c r="Z47" i="24"/>
  <c r="Y47" i="24"/>
  <c r="X47" i="24"/>
  <c r="W47" i="24"/>
  <c r="V47" i="24"/>
  <c r="U47" i="24"/>
  <c r="T47" i="24"/>
  <c r="M47" i="24"/>
  <c r="L47" i="24"/>
  <c r="K47" i="24"/>
  <c r="J47" i="24"/>
  <c r="BB47" i="24" s="1"/>
  <c r="I47" i="24"/>
  <c r="BA47" i="24" s="1"/>
  <c r="H47" i="24"/>
  <c r="AZ47" i="24" s="1"/>
  <c r="F47" i="24"/>
  <c r="AX47" i="24" s="1"/>
  <c r="AW46" i="24"/>
  <c r="AT46" i="24"/>
  <c r="AS46" i="24"/>
  <c r="AR46" i="24"/>
  <c r="AQ46" i="24"/>
  <c r="AP46" i="24"/>
  <c r="AO46" i="24"/>
  <c r="AN46" i="24"/>
  <c r="AM46" i="24"/>
  <c r="AL46" i="24"/>
  <c r="AJ46" i="24"/>
  <c r="AI46" i="24"/>
  <c r="AB46" i="24"/>
  <c r="AA46" i="24"/>
  <c r="Z46" i="24"/>
  <c r="Y46" i="24"/>
  <c r="X46" i="24"/>
  <c r="W46" i="24"/>
  <c r="V46" i="24"/>
  <c r="U46" i="24"/>
  <c r="T46" i="24"/>
  <c r="M46" i="24"/>
  <c r="L46" i="24"/>
  <c r="K46" i="24"/>
  <c r="J46" i="24"/>
  <c r="BB46" i="24" s="1"/>
  <c r="I46" i="24"/>
  <c r="BA46" i="24" s="1"/>
  <c r="H46" i="24"/>
  <c r="AZ46" i="24" s="1"/>
  <c r="F46" i="24"/>
  <c r="AX46" i="24" s="1"/>
  <c r="AW45" i="24"/>
  <c r="AT45" i="24"/>
  <c r="AS45" i="24"/>
  <c r="AR45" i="24"/>
  <c r="AQ45" i="24"/>
  <c r="AP45" i="24"/>
  <c r="AO45" i="24"/>
  <c r="AN45" i="24"/>
  <c r="AM45" i="24"/>
  <c r="AL45" i="24"/>
  <c r="AJ45" i="24"/>
  <c r="AI45" i="24"/>
  <c r="AB45" i="24"/>
  <c r="AA45" i="24"/>
  <c r="Z45" i="24"/>
  <c r="Y45" i="24"/>
  <c r="X45" i="24"/>
  <c r="W45" i="24"/>
  <c r="V45" i="24"/>
  <c r="U45" i="24"/>
  <c r="T45" i="24"/>
  <c r="M45" i="24"/>
  <c r="L45" i="24"/>
  <c r="K45" i="24"/>
  <c r="J45" i="24"/>
  <c r="BB45" i="24" s="1"/>
  <c r="I45" i="24"/>
  <c r="BA45" i="24" s="1"/>
  <c r="H45" i="24"/>
  <c r="AZ45" i="24" s="1"/>
  <c r="F45" i="24"/>
  <c r="AX45" i="24" s="1"/>
  <c r="AW44" i="24"/>
  <c r="AT44" i="24"/>
  <c r="AS44" i="24"/>
  <c r="AR44" i="24"/>
  <c r="AQ44" i="24"/>
  <c r="AP44" i="24"/>
  <c r="AO44" i="24"/>
  <c r="AN44" i="24"/>
  <c r="AM44" i="24"/>
  <c r="AL44" i="24"/>
  <c r="AJ44" i="24"/>
  <c r="AI44" i="24"/>
  <c r="AB44" i="24"/>
  <c r="AA44" i="24"/>
  <c r="Z44" i="24"/>
  <c r="Y44" i="24"/>
  <c r="X44" i="24"/>
  <c r="W44" i="24"/>
  <c r="V44" i="24"/>
  <c r="U44" i="24"/>
  <c r="T44" i="24"/>
  <c r="M44" i="24"/>
  <c r="L44" i="24"/>
  <c r="K44" i="24"/>
  <c r="J44" i="24"/>
  <c r="BB44" i="24" s="1"/>
  <c r="I44" i="24"/>
  <c r="BA44" i="24" s="1"/>
  <c r="H44" i="24"/>
  <c r="AZ44" i="24" s="1"/>
  <c r="F44" i="24"/>
  <c r="AX44" i="24" s="1"/>
  <c r="AW43" i="24"/>
  <c r="AT43" i="24"/>
  <c r="AS43" i="24"/>
  <c r="AR43" i="24"/>
  <c r="AQ43" i="24"/>
  <c r="AP43" i="24"/>
  <c r="AO43" i="24"/>
  <c r="AN43" i="24"/>
  <c r="AM43" i="24"/>
  <c r="AL43" i="24"/>
  <c r="AJ43" i="24"/>
  <c r="AI43" i="24"/>
  <c r="AB43" i="24"/>
  <c r="AA43" i="24"/>
  <c r="Z43" i="24"/>
  <c r="Y43" i="24"/>
  <c r="X43" i="24"/>
  <c r="W43" i="24"/>
  <c r="V43" i="24"/>
  <c r="U43" i="24"/>
  <c r="T43" i="24"/>
  <c r="M43" i="24"/>
  <c r="L43" i="24"/>
  <c r="K43" i="24"/>
  <c r="J43" i="24"/>
  <c r="BB43" i="24" s="1"/>
  <c r="I43" i="24"/>
  <c r="BA43" i="24" s="1"/>
  <c r="H43" i="24"/>
  <c r="AZ43" i="24" s="1"/>
  <c r="F43" i="24"/>
  <c r="AX43" i="24" s="1"/>
  <c r="AW42" i="24"/>
  <c r="AT42" i="24"/>
  <c r="AS42" i="24"/>
  <c r="AR42" i="24"/>
  <c r="AQ42" i="24"/>
  <c r="AP42" i="24"/>
  <c r="AO42" i="24"/>
  <c r="AN42" i="24"/>
  <c r="AM42" i="24"/>
  <c r="AL42" i="24"/>
  <c r="AJ42" i="24"/>
  <c r="AI42" i="24"/>
  <c r="AB42" i="24"/>
  <c r="AA42" i="24"/>
  <c r="Z42" i="24"/>
  <c r="Y42" i="24"/>
  <c r="X42" i="24"/>
  <c r="W42" i="24"/>
  <c r="V42" i="24"/>
  <c r="U42" i="24"/>
  <c r="T42" i="24"/>
  <c r="M42" i="24"/>
  <c r="L42" i="24"/>
  <c r="K42" i="24"/>
  <c r="J42" i="24"/>
  <c r="BB42" i="24" s="1"/>
  <c r="I42" i="24"/>
  <c r="BA42" i="24" s="1"/>
  <c r="H42" i="24"/>
  <c r="AZ42" i="24" s="1"/>
  <c r="F42" i="24"/>
  <c r="AX42" i="24" s="1"/>
  <c r="AW41" i="24"/>
  <c r="AT41" i="24"/>
  <c r="AS41" i="24"/>
  <c r="AR41" i="24"/>
  <c r="AQ41" i="24"/>
  <c r="AP41" i="24"/>
  <c r="AO41" i="24"/>
  <c r="AN41" i="24"/>
  <c r="AM41" i="24"/>
  <c r="AL41" i="24"/>
  <c r="AJ41" i="24"/>
  <c r="AI41" i="24"/>
  <c r="AB41" i="24"/>
  <c r="AA41" i="24"/>
  <c r="Z41" i="24"/>
  <c r="Y41" i="24"/>
  <c r="X41" i="24"/>
  <c r="W41" i="24"/>
  <c r="V41" i="24"/>
  <c r="U41" i="24"/>
  <c r="T41" i="24"/>
  <c r="M41" i="24"/>
  <c r="L41" i="24"/>
  <c r="K41" i="24"/>
  <c r="J41" i="24"/>
  <c r="BB41" i="24" s="1"/>
  <c r="I41" i="24"/>
  <c r="BA41" i="24" s="1"/>
  <c r="H41" i="24"/>
  <c r="AZ41" i="24" s="1"/>
  <c r="F41" i="24"/>
  <c r="AX41" i="24" s="1"/>
  <c r="AW40" i="24"/>
  <c r="AT40" i="24"/>
  <c r="AS40" i="24"/>
  <c r="AR40" i="24"/>
  <c r="AQ40" i="24"/>
  <c r="AP40" i="24"/>
  <c r="AO40" i="24"/>
  <c r="AN40" i="24"/>
  <c r="AM40" i="24"/>
  <c r="AL40" i="24"/>
  <c r="AJ40" i="24"/>
  <c r="AI40" i="24"/>
  <c r="AB40" i="24"/>
  <c r="AA40" i="24"/>
  <c r="Z40" i="24"/>
  <c r="Y40" i="24"/>
  <c r="X40" i="24"/>
  <c r="W40" i="24"/>
  <c r="V40" i="24"/>
  <c r="U40" i="24"/>
  <c r="T40" i="24"/>
  <c r="M40" i="24"/>
  <c r="L40" i="24"/>
  <c r="K40" i="24"/>
  <c r="J40" i="24"/>
  <c r="BB40" i="24" s="1"/>
  <c r="I40" i="24"/>
  <c r="BA40" i="24" s="1"/>
  <c r="H40" i="24"/>
  <c r="AZ40" i="24" s="1"/>
  <c r="F40" i="24"/>
  <c r="AX40" i="24" s="1"/>
  <c r="AW39" i="24"/>
  <c r="AT39" i="24"/>
  <c r="AS39" i="24"/>
  <c r="AR39" i="24"/>
  <c r="AQ39" i="24"/>
  <c r="AP39" i="24"/>
  <c r="AO39" i="24"/>
  <c r="AN39" i="24"/>
  <c r="AM39" i="24"/>
  <c r="AL39" i="24"/>
  <c r="AJ39" i="24"/>
  <c r="AI39" i="24"/>
  <c r="AB39" i="24"/>
  <c r="AA39" i="24"/>
  <c r="Z39" i="24"/>
  <c r="Y39" i="24"/>
  <c r="X39" i="24"/>
  <c r="W39" i="24"/>
  <c r="V39" i="24"/>
  <c r="U39" i="24"/>
  <c r="T39" i="24"/>
  <c r="M39" i="24"/>
  <c r="L39" i="24"/>
  <c r="K39" i="24"/>
  <c r="J39" i="24"/>
  <c r="BB39" i="24" s="1"/>
  <c r="I39" i="24"/>
  <c r="BA39" i="24" s="1"/>
  <c r="H39" i="24"/>
  <c r="AZ39" i="24" s="1"/>
  <c r="F39" i="24"/>
  <c r="AX39" i="24" s="1"/>
  <c r="AW38" i="24"/>
  <c r="AT38" i="24"/>
  <c r="AS38" i="24"/>
  <c r="AR38" i="24"/>
  <c r="AQ38" i="24"/>
  <c r="AP38" i="24"/>
  <c r="AO38" i="24"/>
  <c r="AN38" i="24"/>
  <c r="AM38" i="24"/>
  <c r="AL38" i="24"/>
  <c r="AJ38" i="24"/>
  <c r="AI38" i="24"/>
  <c r="AB38" i="24"/>
  <c r="AA38" i="24"/>
  <c r="Z38" i="24"/>
  <c r="Y38" i="24"/>
  <c r="X38" i="24"/>
  <c r="W38" i="24"/>
  <c r="V38" i="24"/>
  <c r="U38" i="24"/>
  <c r="T38" i="24"/>
  <c r="M38" i="24"/>
  <c r="L38" i="24"/>
  <c r="K38" i="24"/>
  <c r="J38" i="24"/>
  <c r="BB38" i="24" s="1"/>
  <c r="I38" i="24"/>
  <c r="BA38" i="24" s="1"/>
  <c r="H38" i="24"/>
  <c r="AZ38" i="24" s="1"/>
  <c r="F38" i="24"/>
  <c r="AX38" i="24" s="1"/>
  <c r="AW37" i="24"/>
  <c r="AT37" i="24"/>
  <c r="AS37" i="24"/>
  <c r="AR37" i="24"/>
  <c r="AQ37" i="24"/>
  <c r="AP37" i="24"/>
  <c r="AO37" i="24"/>
  <c r="AN37" i="24"/>
  <c r="AM37" i="24"/>
  <c r="AL37" i="24"/>
  <c r="AJ37" i="24"/>
  <c r="AI37" i="24"/>
  <c r="AB37" i="24"/>
  <c r="AA37" i="24"/>
  <c r="Z37" i="24"/>
  <c r="Y37" i="24"/>
  <c r="X37" i="24"/>
  <c r="W37" i="24"/>
  <c r="V37" i="24"/>
  <c r="U37" i="24"/>
  <c r="T37" i="24"/>
  <c r="M37" i="24"/>
  <c r="L37" i="24"/>
  <c r="K37" i="24"/>
  <c r="J37" i="24"/>
  <c r="BB37" i="24" s="1"/>
  <c r="I37" i="24"/>
  <c r="BA37" i="24" s="1"/>
  <c r="H37" i="24"/>
  <c r="AZ37" i="24" s="1"/>
  <c r="F37" i="24"/>
  <c r="AX37" i="24" s="1"/>
  <c r="AW36" i="24"/>
  <c r="AT36" i="24"/>
  <c r="AS36" i="24"/>
  <c r="AR36" i="24"/>
  <c r="AQ36" i="24"/>
  <c r="AP36" i="24"/>
  <c r="AO36" i="24"/>
  <c r="AN36" i="24"/>
  <c r="AM36" i="24"/>
  <c r="AL36" i="24"/>
  <c r="AJ36" i="24"/>
  <c r="AI36" i="24"/>
  <c r="AB36" i="24"/>
  <c r="AA36" i="24"/>
  <c r="Z36" i="24"/>
  <c r="Y36" i="24"/>
  <c r="X36" i="24"/>
  <c r="W36" i="24"/>
  <c r="V36" i="24"/>
  <c r="U36" i="24"/>
  <c r="T36" i="24"/>
  <c r="M36" i="24"/>
  <c r="L36" i="24"/>
  <c r="K36" i="24"/>
  <c r="J36" i="24"/>
  <c r="BB36" i="24" s="1"/>
  <c r="I36" i="24"/>
  <c r="BA36" i="24" s="1"/>
  <c r="H36" i="24"/>
  <c r="AZ36" i="24" s="1"/>
  <c r="F36" i="24"/>
  <c r="AX36" i="24" s="1"/>
  <c r="AW35" i="24"/>
  <c r="AT35" i="24"/>
  <c r="AS35" i="24"/>
  <c r="AR35" i="24"/>
  <c r="AQ35" i="24"/>
  <c r="AP35" i="24"/>
  <c r="AO35" i="24"/>
  <c r="AN35" i="24"/>
  <c r="AM35" i="24"/>
  <c r="AL35" i="24"/>
  <c r="AJ35" i="24"/>
  <c r="AI35" i="24"/>
  <c r="AB35" i="24"/>
  <c r="AA35" i="24"/>
  <c r="Z35" i="24"/>
  <c r="Y35" i="24"/>
  <c r="X35" i="24"/>
  <c r="W35" i="24"/>
  <c r="V35" i="24"/>
  <c r="U35" i="24"/>
  <c r="T35" i="24"/>
  <c r="M35" i="24"/>
  <c r="L35" i="24"/>
  <c r="K35" i="24"/>
  <c r="J35" i="24"/>
  <c r="BB35" i="24" s="1"/>
  <c r="I35" i="24"/>
  <c r="BA35" i="24" s="1"/>
  <c r="H35" i="24"/>
  <c r="AZ35" i="24" s="1"/>
  <c r="F35" i="24"/>
  <c r="AX35" i="24" s="1"/>
  <c r="AW34" i="24"/>
  <c r="AT34" i="24"/>
  <c r="AS34" i="24"/>
  <c r="AR34" i="24"/>
  <c r="AQ34" i="24"/>
  <c r="AP34" i="24"/>
  <c r="AO34" i="24"/>
  <c r="AN34" i="24"/>
  <c r="AM34" i="24"/>
  <c r="AL34" i="24"/>
  <c r="AJ34" i="24"/>
  <c r="AI34" i="24"/>
  <c r="AB34" i="24"/>
  <c r="AA34" i="24"/>
  <c r="Z34" i="24"/>
  <c r="Y34" i="24"/>
  <c r="X34" i="24"/>
  <c r="W34" i="24"/>
  <c r="V34" i="24"/>
  <c r="U34" i="24"/>
  <c r="T34" i="24"/>
  <c r="M34" i="24"/>
  <c r="L34" i="24"/>
  <c r="K34" i="24"/>
  <c r="J34" i="24"/>
  <c r="BB34" i="24" s="1"/>
  <c r="I34" i="24"/>
  <c r="BA34" i="24" s="1"/>
  <c r="H34" i="24"/>
  <c r="AZ34" i="24" s="1"/>
  <c r="F34" i="24"/>
  <c r="AX34" i="24" s="1"/>
  <c r="AW33" i="24"/>
  <c r="AT33" i="24"/>
  <c r="AS33" i="24"/>
  <c r="AR33" i="24"/>
  <c r="AQ33" i="24"/>
  <c r="AP33" i="24"/>
  <c r="AO33" i="24"/>
  <c r="AN33" i="24"/>
  <c r="AM33" i="24"/>
  <c r="AL33" i="24"/>
  <c r="AJ33" i="24"/>
  <c r="AI33" i="24"/>
  <c r="AB33" i="24"/>
  <c r="AA33" i="24"/>
  <c r="Z33" i="24"/>
  <c r="Y33" i="24"/>
  <c r="X33" i="24"/>
  <c r="W33" i="24"/>
  <c r="V33" i="24"/>
  <c r="U33" i="24"/>
  <c r="T33" i="24"/>
  <c r="M33" i="24"/>
  <c r="L33" i="24"/>
  <c r="K33" i="24"/>
  <c r="J33" i="24"/>
  <c r="BB33" i="24" s="1"/>
  <c r="I33" i="24"/>
  <c r="BA33" i="24" s="1"/>
  <c r="H33" i="24"/>
  <c r="AZ33" i="24" s="1"/>
  <c r="F33" i="24"/>
  <c r="AX33" i="24" s="1"/>
  <c r="AW32" i="24"/>
  <c r="AT32" i="24"/>
  <c r="AS32" i="24"/>
  <c r="AR32" i="24"/>
  <c r="AQ32" i="24"/>
  <c r="AP32" i="24"/>
  <c r="AO32" i="24"/>
  <c r="AN32" i="24"/>
  <c r="AM32" i="24"/>
  <c r="AL32" i="24"/>
  <c r="AJ32" i="24"/>
  <c r="AI32" i="24"/>
  <c r="AB32" i="24"/>
  <c r="AA32" i="24"/>
  <c r="Z32" i="24"/>
  <c r="Y32" i="24"/>
  <c r="X32" i="24"/>
  <c r="W32" i="24"/>
  <c r="V32" i="24"/>
  <c r="U32" i="24"/>
  <c r="T32" i="24"/>
  <c r="M32" i="24"/>
  <c r="L32" i="24"/>
  <c r="K32" i="24"/>
  <c r="J32" i="24"/>
  <c r="BB32" i="24" s="1"/>
  <c r="I32" i="24"/>
  <c r="BA32" i="24" s="1"/>
  <c r="H32" i="24"/>
  <c r="AZ32" i="24" s="1"/>
  <c r="F32" i="24"/>
  <c r="AX32" i="24" s="1"/>
  <c r="AW31" i="24"/>
  <c r="AT31" i="24"/>
  <c r="AS31" i="24"/>
  <c r="AR31" i="24"/>
  <c r="AQ31" i="24"/>
  <c r="AP31" i="24"/>
  <c r="AO31" i="24"/>
  <c r="AN31" i="24"/>
  <c r="AM31" i="24"/>
  <c r="AL31" i="24"/>
  <c r="AJ31" i="24"/>
  <c r="AI31" i="24"/>
  <c r="AB31" i="24"/>
  <c r="AA31" i="24"/>
  <c r="Z31" i="24"/>
  <c r="Y31" i="24"/>
  <c r="X31" i="24"/>
  <c r="W31" i="24"/>
  <c r="V31" i="24"/>
  <c r="U31" i="24"/>
  <c r="T31" i="24"/>
  <c r="M31" i="24"/>
  <c r="L31" i="24"/>
  <c r="K31" i="24"/>
  <c r="J31" i="24"/>
  <c r="BB31" i="24" s="1"/>
  <c r="I31" i="24"/>
  <c r="BA31" i="24" s="1"/>
  <c r="H31" i="24"/>
  <c r="AZ31" i="24" s="1"/>
  <c r="F31" i="24"/>
  <c r="AX31" i="24" s="1"/>
  <c r="AW30" i="24"/>
  <c r="AT30" i="24"/>
  <c r="AS30" i="24"/>
  <c r="AR30" i="24"/>
  <c r="AQ30" i="24"/>
  <c r="AP30" i="24"/>
  <c r="AO30" i="24"/>
  <c r="AN30" i="24"/>
  <c r="AM30" i="24"/>
  <c r="AL30" i="24"/>
  <c r="AJ30" i="24"/>
  <c r="AI30" i="24"/>
  <c r="AB30" i="24"/>
  <c r="AA30" i="24"/>
  <c r="Z30" i="24"/>
  <c r="Y30" i="24"/>
  <c r="X30" i="24"/>
  <c r="W30" i="24"/>
  <c r="V30" i="24"/>
  <c r="U30" i="24"/>
  <c r="T30" i="24"/>
  <c r="M30" i="24"/>
  <c r="L30" i="24"/>
  <c r="K30" i="24"/>
  <c r="J30" i="24"/>
  <c r="BB30" i="24" s="1"/>
  <c r="I30" i="24"/>
  <c r="BA30" i="24" s="1"/>
  <c r="H30" i="24"/>
  <c r="AZ30" i="24" s="1"/>
  <c r="F30" i="24"/>
  <c r="AX30" i="24" s="1"/>
  <c r="AW29" i="24"/>
  <c r="AT29" i="24"/>
  <c r="AS29" i="24"/>
  <c r="AR29" i="24"/>
  <c r="AQ29" i="24"/>
  <c r="AP29" i="24"/>
  <c r="AO29" i="24"/>
  <c r="AN29" i="24"/>
  <c r="AM29" i="24"/>
  <c r="AL29" i="24"/>
  <c r="AJ29" i="24"/>
  <c r="AI29" i="24"/>
  <c r="AB29" i="24"/>
  <c r="AA29" i="24"/>
  <c r="Z29" i="24"/>
  <c r="Y29" i="24"/>
  <c r="X29" i="24"/>
  <c r="W29" i="24"/>
  <c r="V29" i="24"/>
  <c r="U29" i="24"/>
  <c r="T29" i="24"/>
  <c r="M29" i="24"/>
  <c r="L29" i="24"/>
  <c r="K29" i="24"/>
  <c r="J29" i="24"/>
  <c r="BB29" i="24" s="1"/>
  <c r="I29" i="24"/>
  <c r="BA29" i="24" s="1"/>
  <c r="H29" i="24"/>
  <c r="AZ29" i="24" s="1"/>
  <c r="F29" i="24"/>
  <c r="AX29" i="24" s="1"/>
  <c r="AW28" i="24"/>
  <c r="AT28" i="24"/>
  <c r="AS28" i="24"/>
  <c r="AR28" i="24"/>
  <c r="AQ28" i="24"/>
  <c r="AP28" i="24"/>
  <c r="AO28" i="24"/>
  <c r="AN28" i="24"/>
  <c r="AM28" i="24"/>
  <c r="AL28" i="24"/>
  <c r="AJ28" i="24"/>
  <c r="AI28" i="24"/>
  <c r="AB28" i="24"/>
  <c r="AA28" i="24"/>
  <c r="Z28" i="24"/>
  <c r="Y28" i="24"/>
  <c r="X28" i="24"/>
  <c r="W28" i="24"/>
  <c r="V28" i="24"/>
  <c r="U28" i="24"/>
  <c r="T28" i="24"/>
  <c r="M28" i="24"/>
  <c r="L28" i="24"/>
  <c r="K28" i="24"/>
  <c r="J28" i="24"/>
  <c r="BB28" i="24" s="1"/>
  <c r="I28" i="24"/>
  <c r="BA28" i="24" s="1"/>
  <c r="H28" i="24"/>
  <c r="AZ28" i="24" s="1"/>
  <c r="F28" i="24"/>
  <c r="AX28" i="24" s="1"/>
  <c r="AW27" i="24"/>
  <c r="AT27" i="24"/>
  <c r="AS27" i="24"/>
  <c r="AR27" i="24"/>
  <c r="AQ27" i="24"/>
  <c r="AP27" i="24"/>
  <c r="AO27" i="24"/>
  <c r="AN27" i="24"/>
  <c r="AM27" i="24"/>
  <c r="AL27" i="24"/>
  <c r="AJ27" i="24"/>
  <c r="AI27" i="24"/>
  <c r="AB27" i="24"/>
  <c r="AA27" i="24"/>
  <c r="Z27" i="24"/>
  <c r="Y27" i="24"/>
  <c r="X27" i="24"/>
  <c r="W27" i="24"/>
  <c r="V27" i="24"/>
  <c r="U27" i="24"/>
  <c r="T27" i="24"/>
  <c r="M27" i="24"/>
  <c r="L27" i="24"/>
  <c r="K27" i="24"/>
  <c r="J27" i="24"/>
  <c r="BB27" i="24" s="1"/>
  <c r="I27" i="24"/>
  <c r="BA27" i="24" s="1"/>
  <c r="H27" i="24"/>
  <c r="AZ27" i="24" s="1"/>
  <c r="F27" i="24"/>
  <c r="AX27" i="24" s="1"/>
  <c r="AW26" i="24"/>
  <c r="AT26" i="24"/>
  <c r="AS26" i="24"/>
  <c r="AR26" i="24"/>
  <c r="AQ26" i="24"/>
  <c r="AP26" i="24"/>
  <c r="AO26" i="24"/>
  <c r="AN26" i="24"/>
  <c r="AM26" i="24"/>
  <c r="AL26" i="24"/>
  <c r="AJ26" i="24"/>
  <c r="AI26" i="24"/>
  <c r="AB26" i="24"/>
  <c r="AA26" i="24"/>
  <c r="Z26" i="24"/>
  <c r="Y26" i="24"/>
  <c r="X26" i="24"/>
  <c r="W26" i="24"/>
  <c r="V26" i="24"/>
  <c r="U26" i="24"/>
  <c r="T26" i="24"/>
  <c r="M26" i="24"/>
  <c r="L26" i="24"/>
  <c r="K26" i="24"/>
  <c r="J26" i="24"/>
  <c r="BB26" i="24" s="1"/>
  <c r="I26" i="24"/>
  <c r="BA26" i="24" s="1"/>
  <c r="H26" i="24"/>
  <c r="AZ26" i="24" s="1"/>
  <c r="F26" i="24"/>
  <c r="AX26" i="24" s="1"/>
  <c r="AW25" i="24"/>
  <c r="AT25" i="24"/>
  <c r="AS25" i="24"/>
  <c r="AR25" i="24"/>
  <c r="AQ25" i="24"/>
  <c r="AP25" i="24"/>
  <c r="AO25" i="24"/>
  <c r="AN25" i="24"/>
  <c r="AM25" i="24"/>
  <c r="AL25" i="24"/>
  <c r="AJ25" i="24"/>
  <c r="AI25" i="24"/>
  <c r="AB25" i="24"/>
  <c r="AA25" i="24"/>
  <c r="Z25" i="24"/>
  <c r="Y25" i="24"/>
  <c r="X25" i="24"/>
  <c r="W25" i="24"/>
  <c r="V25" i="24"/>
  <c r="U25" i="24"/>
  <c r="T25" i="24"/>
  <c r="M25" i="24"/>
  <c r="L25" i="24"/>
  <c r="K25" i="24"/>
  <c r="J25" i="24"/>
  <c r="BB25" i="24" s="1"/>
  <c r="I25" i="24"/>
  <c r="BA25" i="24" s="1"/>
  <c r="H25" i="24"/>
  <c r="AZ25" i="24" s="1"/>
  <c r="F25" i="24"/>
  <c r="AX25" i="24" s="1"/>
  <c r="AW24" i="24"/>
  <c r="AT24" i="24"/>
  <c r="AS24" i="24"/>
  <c r="AR24" i="24"/>
  <c r="AQ24" i="24"/>
  <c r="AP24" i="24"/>
  <c r="AO24" i="24"/>
  <c r="AN24" i="24"/>
  <c r="AM24" i="24"/>
  <c r="AL24" i="24"/>
  <c r="AJ24" i="24"/>
  <c r="AI24" i="24"/>
  <c r="AB24" i="24"/>
  <c r="AA24" i="24"/>
  <c r="Z24" i="24"/>
  <c r="Y24" i="24"/>
  <c r="X24" i="24"/>
  <c r="W24" i="24"/>
  <c r="V24" i="24"/>
  <c r="U24" i="24"/>
  <c r="T24" i="24"/>
  <c r="M24" i="24"/>
  <c r="L24" i="24"/>
  <c r="K24" i="24"/>
  <c r="J24" i="24"/>
  <c r="BB24" i="24" s="1"/>
  <c r="I24" i="24"/>
  <c r="BA24" i="24" s="1"/>
  <c r="H24" i="24"/>
  <c r="AZ24" i="24" s="1"/>
  <c r="F24" i="24"/>
  <c r="AX24" i="24" s="1"/>
  <c r="AW23" i="24"/>
  <c r="AT23" i="24"/>
  <c r="AS23" i="24"/>
  <c r="AR23" i="24"/>
  <c r="AQ23" i="24"/>
  <c r="AP23" i="24"/>
  <c r="AO23" i="24"/>
  <c r="AN23" i="24"/>
  <c r="AM23" i="24"/>
  <c r="AL23" i="24"/>
  <c r="AJ23" i="24"/>
  <c r="AI23" i="24"/>
  <c r="AB23" i="24"/>
  <c r="AA23" i="24"/>
  <c r="Z23" i="24"/>
  <c r="Y23" i="24"/>
  <c r="X23" i="24"/>
  <c r="W23" i="24"/>
  <c r="V23" i="24"/>
  <c r="U23" i="24"/>
  <c r="T23" i="24"/>
  <c r="M23" i="24"/>
  <c r="L23" i="24"/>
  <c r="K23" i="24"/>
  <c r="J23" i="24"/>
  <c r="BB23" i="24" s="1"/>
  <c r="I23" i="24"/>
  <c r="BA23" i="24" s="1"/>
  <c r="H23" i="24"/>
  <c r="AZ23" i="24" s="1"/>
  <c r="F23" i="24"/>
  <c r="AX23" i="24" s="1"/>
  <c r="AW22" i="24"/>
  <c r="AT22" i="24"/>
  <c r="AS22" i="24"/>
  <c r="AR22" i="24"/>
  <c r="AQ22" i="24"/>
  <c r="AP22" i="24"/>
  <c r="AO22" i="24"/>
  <c r="AN22" i="24"/>
  <c r="AM22" i="24"/>
  <c r="AL22" i="24"/>
  <c r="AJ22" i="24"/>
  <c r="AI22" i="24"/>
  <c r="AB22" i="24"/>
  <c r="AA22" i="24"/>
  <c r="Z22" i="24"/>
  <c r="Y22" i="24"/>
  <c r="X22" i="24"/>
  <c r="W22" i="24"/>
  <c r="V22" i="24"/>
  <c r="U22" i="24"/>
  <c r="T22" i="24"/>
  <c r="M22" i="24"/>
  <c r="L22" i="24"/>
  <c r="K22" i="24"/>
  <c r="J22" i="24"/>
  <c r="BB22" i="24" s="1"/>
  <c r="I22" i="24"/>
  <c r="BA22" i="24" s="1"/>
  <c r="H22" i="24"/>
  <c r="AZ22" i="24" s="1"/>
  <c r="F22" i="24"/>
  <c r="AX22" i="24" s="1"/>
  <c r="AW21" i="24"/>
  <c r="AT21" i="24"/>
  <c r="AS21" i="24"/>
  <c r="AR21" i="24"/>
  <c r="AQ21" i="24"/>
  <c r="AP21" i="24"/>
  <c r="AO21" i="24"/>
  <c r="AN21" i="24"/>
  <c r="AM21" i="24"/>
  <c r="AL21" i="24"/>
  <c r="AJ21" i="24"/>
  <c r="AI21" i="24"/>
  <c r="AB21" i="24"/>
  <c r="AA21" i="24"/>
  <c r="Z21" i="24"/>
  <c r="Y21" i="24"/>
  <c r="X21" i="24"/>
  <c r="W21" i="24"/>
  <c r="V21" i="24"/>
  <c r="U21" i="24"/>
  <c r="T21" i="24"/>
  <c r="M21" i="24"/>
  <c r="L21" i="24"/>
  <c r="K21" i="24"/>
  <c r="J21" i="24"/>
  <c r="BB21" i="24" s="1"/>
  <c r="I21" i="24"/>
  <c r="BA21" i="24" s="1"/>
  <c r="H21" i="24"/>
  <c r="AZ21" i="24" s="1"/>
  <c r="F21" i="24"/>
  <c r="AX21" i="24" s="1"/>
  <c r="AW20" i="24"/>
  <c r="AT20" i="24"/>
  <c r="AS20" i="24"/>
  <c r="AR20" i="24"/>
  <c r="AQ20" i="24"/>
  <c r="AP20" i="24"/>
  <c r="AO20" i="24"/>
  <c r="AN20" i="24"/>
  <c r="AM20" i="24"/>
  <c r="AL20" i="24"/>
  <c r="AJ20" i="24"/>
  <c r="AI20" i="24"/>
  <c r="AB20" i="24"/>
  <c r="AA20" i="24"/>
  <c r="Z20" i="24"/>
  <c r="Y20" i="24"/>
  <c r="X20" i="24"/>
  <c r="W20" i="24"/>
  <c r="V20" i="24"/>
  <c r="U20" i="24"/>
  <c r="T20" i="24"/>
  <c r="M20" i="24"/>
  <c r="L20" i="24"/>
  <c r="K20" i="24"/>
  <c r="J20" i="24"/>
  <c r="BB20" i="24" s="1"/>
  <c r="I20" i="24"/>
  <c r="BA20" i="24" s="1"/>
  <c r="H20" i="24"/>
  <c r="AZ20" i="24" s="1"/>
  <c r="F20" i="24"/>
  <c r="AX20" i="24" s="1"/>
  <c r="AW19" i="24"/>
  <c r="AT19" i="24"/>
  <c r="AS19" i="24"/>
  <c r="AR19" i="24"/>
  <c r="AQ19" i="24"/>
  <c r="AP19" i="24"/>
  <c r="AO19" i="24"/>
  <c r="AN19" i="24"/>
  <c r="AM19" i="24"/>
  <c r="AL19" i="24"/>
  <c r="AJ19" i="24"/>
  <c r="AI19" i="24"/>
  <c r="AB19" i="24"/>
  <c r="AA19" i="24"/>
  <c r="Z19" i="24"/>
  <c r="Y19" i="24"/>
  <c r="X19" i="24"/>
  <c r="W19" i="24"/>
  <c r="V19" i="24"/>
  <c r="U19" i="24"/>
  <c r="T19" i="24"/>
  <c r="M19" i="24"/>
  <c r="L19" i="24"/>
  <c r="K19" i="24"/>
  <c r="J19" i="24"/>
  <c r="BB19" i="24" s="1"/>
  <c r="I19" i="24"/>
  <c r="BA19" i="24" s="1"/>
  <c r="H19" i="24"/>
  <c r="AZ19" i="24" s="1"/>
  <c r="F19" i="24"/>
  <c r="AX19" i="24" s="1"/>
  <c r="AW18" i="24"/>
  <c r="AT18" i="24"/>
  <c r="AS18" i="24"/>
  <c r="AR18" i="24"/>
  <c r="AQ18" i="24"/>
  <c r="AP18" i="24"/>
  <c r="AO18" i="24"/>
  <c r="AN18" i="24"/>
  <c r="AM18" i="24"/>
  <c r="AL18" i="24"/>
  <c r="AJ18" i="24"/>
  <c r="AI18" i="24"/>
  <c r="AB18" i="24"/>
  <c r="AA18" i="24"/>
  <c r="Z18" i="24"/>
  <c r="Y18" i="24"/>
  <c r="X18" i="24"/>
  <c r="W18" i="24"/>
  <c r="V18" i="24"/>
  <c r="U18" i="24"/>
  <c r="T18" i="24"/>
  <c r="M18" i="24"/>
  <c r="L18" i="24"/>
  <c r="K18" i="24"/>
  <c r="J18" i="24"/>
  <c r="BB18" i="24" s="1"/>
  <c r="I18" i="24"/>
  <c r="BA18" i="24" s="1"/>
  <c r="H18" i="24"/>
  <c r="AZ18" i="24" s="1"/>
  <c r="F18" i="24"/>
  <c r="AX18" i="24" s="1"/>
  <c r="AW17" i="24"/>
  <c r="AT17" i="24"/>
  <c r="AS17" i="24"/>
  <c r="AR17" i="24"/>
  <c r="AQ17" i="24"/>
  <c r="AP17" i="24"/>
  <c r="AO17" i="24"/>
  <c r="AN17" i="24"/>
  <c r="AM17" i="24"/>
  <c r="AL17" i="24"/>
  <c r="AJ17" i="24"/>
  <c r="AI17" i="24"/>
  <c r="AB17" i="24"/>
  <c r="AA17" i="24"/>
  <c r="Z17" i="24"/>
  <c r="Y17" i="24"/>
  <c r="X17" i="24"/>
  <c r="W17" i="24"/>
  <c r="V17" i="24"/>
  <c r="U17" i="24"/>
  <c r="T17" i="24"/>
  <c r="M17" i="24"/>
  <c r="L17" i="24"/>
  <c r="K17" i="24"/>
  <c r="J17" i="24"/>
  <c r="BB17" i="24" s="1"/>
  <c r="I17" i="24"/>
  <c r="BA17" i="24" s="1"/>
  <c r="H17" i="24"/>
  <c r="AZ17" i="24" s="1"/>
  <c r="F17" i="24"/>
  <c r="AX17" i="24" s="1"/>
  <c r="AW16" i="24"/>
  <c r="AT16" i="24"/>
  <c r="AS16" i="24"/>
  <c r="AR16" i="24"/>
  <c r="AQ16" i="24"/>
  <c r="AP16" i="24"/>
  <c r="AO16" i="24"/>
  <c r="AN16" i="24"/>
  <c r="AM16" i="24"/>
  <c r="AL16" i="24"/>
  <c r="AJ16" i="24"/>
  <c r="AI16" i="24"/>
  <c r="AB16" i="24"/>
  <c r="AA16" i="24"/>
  <c r="Z16" i="24"/>
  <c r="Y16" i="24"/>
  <c r="X16" i="24"/>
  <c r="W16" i="24"/>
  <c r="V16" i="24"/>
  <c r="U16" i="24"/>
  <c r="T16" i="24"/>
  <c r="M16" i="24"/>
  <c r="L16" i="24"/>
  <c r="K16" i="24"/>
  <c r="J16" i="24"/>
  <c r="BB16" i="24" s="1"/>
  <c r="I16" i="24"/>
  <c r="BA16" i="24" s="1"/>
  <c r="H16" i="24"/>
  <c r="AZ16" i="24" s="1"/>
  <c r="F16" i="24"/>
  <c r="AX16" i="24" s="1"/>
  <c r="AW15" i="24"/>
  <c r="AT15" i="24"/>
  <c r="AS15" i="24"/>
  <c r="AR15" i="24"/>
  <c r="AQ15" i="24"/>
  <c r="AP15" i="24"/>
  <c r="AO15" i="24"/>
  <c r="AN15" i="24"/>
  <c r="AM15" i="24"/>
  <c r="AL15" i="24"/>
  <c r="AJ15" i="24"/>
  <c r="AI15" i="24"/>
  <c r="AB15" i="24"/>
  <c r="AA15" i="24"/>
  <c r="Z15" i="24"/>
  <c r="Y15" i="24"/>
  <c r="X15" i="24"/>
  <c r="W15" i="24"/>
  <c r="V15" i="24"/>
  <c r="U15" i="24"/>
  <c r="T15" i="24"/>
  <c r="M15" i="24"/>
  <c r="L15" i="24"/>
  <c r="K15" i="24"/>
  <c r="J15" i="24"/>
  <c r="BB15" i="24" s="1"/>
  <c r="I15" i="24"/>
  <c r="BA15" i="24" s="1"/>
  <c r="H15" i="24"/>
  <c r="AZ15" i="24" s="1"/>
  <c r="F15" i="24"/>
  <c r="AX15" i="24" s="1"/>
  <c r="AW14" i="24"/>
  <c r="AT14" i="24"/>
  <c r="AS14" i="24"/>
  <c r="AR14" i="24"/>
  <c r="AQ14" i="24"/>
  <c r="AP14" i="24"/>
  <c r="AO14" i="24"/>
  <c r="AN14" i="24"/>
  <c r="AM14" i="24"/>
  <c r="AL14" i="24"/>
  <c r="AJ14" i="24"/>
  <c r="AI14" i="24"/>
  <c r="AB14" i="24"/>
  <c r="AA14" i="24"/>
  <c r="Z14" i="24"/>
  <c r="Y14" i="24"/>
  <c r="X14" i="24"/>
  <c r="W14" i="24"/>
  <c r="V14" i="24"/>
  <c r="U14" i="24"/>
  <c r="T14" i="24"/>
  <c r="M14" i="24"/>
  <c r="L14" i="24"/>
  <c r="K14" i="24"/>
  <c r="J14" i="24"/>
  <c r="BB14" i="24" s="1"/>
  <c r="I14" i="24"/>
  <c r="BA14" i="24" s="1"/>
  <c r="H14" i="24"/>
  <c r="AZ14" i="24" s="1"/>
  <c r="F14" i="24"/>
  <c r="AX14" i="24" s="1"/>
  <c r="AW13" i="24"/>
  <c r="AT13" i="24"/>
  <c r="AS13" i="24"/>
  <c r="AR13" i="24"/>
  <c r="AQ13" i="24"/>
  <c r="AP13" i="24"/>
  <c r="AO13" i="24"/>
  <c r="AN13" i="24"/>
  <c r="AM13" i="24"/>
  <c r="AL13" i="24"/>
  <c r="AJ13" i="24"/>
  <c r="AI13" i="24"/>
  <c r="AB13" i="24"/>
  <c r="AA13" i="24"/>
  <c r="Z13" i="24"/>
  <c r="Y13" i="24"/>
  <c r="X13" i="24"/>
  <c r="W13" i="24"/>
  <c r="V13" i="24"/>
  <c r="U13" i="24"/>
  <c r="T13" i="24"/>
  <c r="M13" i="24"/>
  <c r="L13" i="24"/>
  <c r="K13" i="24"/>
  <c r="J13" i="24"/>
  <c r="BB13" i="24" s="1"/>
  <c r="I13" i="24"/>
  <c r="BA13" i="24" s="1"/>
  <c r="H13" i="24"/>
  <c r="AZ13" i="24" s="1"/>
  <c r="F13" i="24"/>
  <c r="AX13" i="24" s="1"/>
  <c r="AW12" i="24"/>
  <c r="AT12" i="24"/>
  <c r="AS12" i="24"/>
  <c r="AR12" i="24"/>
  <c r="AQ12" i="24"/>
  <c r="AP12" i="24"/>
  <c r="AO12" i="24"/>
  <c r="AN12" i="24"/>
  <c r="AM12" i="24"/>
  <c r="AL12" i="24"/>
  <c r="AJ12" i="24"/>
  <c r="AI12" i="24"/>
  <c r="AB12" i="24"/>
  <c r="AA12" i="24"/>
  <c r="Z12" i="24"/>
  <c r="Y12" i="24"/>
  <c r="X12" i="24"/>
  <c r="W12" i="24"/>
  <c r="V12" i="24"/>
  <c r="U12" i="24"/>
  <c r="T12" i="24"/>
  <c r="M12" i="24"/>
  <c r="L12" i="24"/>
  <c r="K12" i="24"/>
  <c r="J12" i="24"/>
  <c r="BB12" i="24" s="1"/>
  <c r="I12" i="24"/>
  <c r="BA12" i="24" s="1"/>
  <c r="H12" i="24"/>
  <c r="AZ12" i="24" s="1"/>
  <c r="F12" i="24"/>
  <c r="AX12" i="24" s="1"/>
  <c r="AW11" i="24"/>
  <c r="AT11" i="24"/>
  <c r="AS11" i="24"/>
  <c r="AR11" i="24"/>
  <c r="AQ11" i="24"/>
  <c r="AP11" i="24"/>
  <c r="AO11" i="24"/>
  <c r="AN11" i="24"/>
  <c r="AM11" i="24"/>
  <c r="AL11" i="24"/>
  <c r="AJ11" i="24"/>
  <c r="AI11" i="24"/>
  <c r="AB11" i="24"/>
  <c r="AA11" i="24"/>
  <c r="Z11" i="24"/>
  <c r="Y11" i="24"/>
  <c r="X11" i="24"/>
  <c r="W11" i="24"/>
  <c r="V11" i="24"/>
  <c r="U11" i="24"/>
  <c r="T11" i="24"/>
  <c r="M11" i="24"/>
  <c r="L11" i="24"/>
  <c r="K11" i="24"/>
  <c r="J11" i="24"/>
  <c r="BB11" i="24" s="1"/>
  <c r="I11" i="24"/>
  <c r="BA11" i="24" s="1"/>
  <c r="H11" i="24"/>
  <c r="AZ11" i="24" s="1"/>
  <c r="F11" i="24"/>
  <c r="AX11" i="24" s="1"/>
  <c r="AW10" i="24"/>
  <c r="AT10" i="24"/>
  <c r="AS10" i="24"/>
  <c r="AR10" i="24"/>
  <c r="AQ10" i="24"/>
  <c r="AP10" i="24"/>
  <c r="AO10" i="24"/>
  <c r="AN10" i="24"/>
  <c r="AM10" i="24"/>
  <c r="AL10" i="24"/>
  <c r="AJ10" i="24"/>
  <c r="AI10" i="24"/>
  <c r="AB10" i="24"/>
  <c r="AA10" i="24"/>
  <c r="Z10" i="24"/>
  <c r="Y10" i="24"/>
  <c r="X10" i="24"/>
  <c r="W10" i="24"/>
  <c r="V10" i="24"/>
  <c r="U10" i="24"/>
  <c r="T10" i="24"/>
  <c r="M10" i="24"/>
  <c r="L10" i="24"/>
  <c r="K10" i="24"/>
  <c r="J10" i="24"/>
  <c r="BB10" i="24" s="1"/>
  <c r="I10" i="24"/>
  <c r="BA10" i="24" s="1"/>
  <c r="H10" i="24"/>
  <c r="AZ10" i="24" s="1"/>
  <c r="F10" i="24"/>
  <c r="AX10" i="24" s="1"/>
  <c r="AW9" i="24"/>
  <c r="AT9" i="24"/>
  <c r="AS9" i="24"/>
  <c r="AR9" i="24"/>
  <c r="AQ9" i="24"/>
  <c r="AP9" i="24"/>
  <c r="AO9" i="24"/>
  <c r="AN9" i="24"/>
  <c r="AM9" i="24"/>
  <c r="AL9" i="24"/>
  <c r="AJ9" i="24"/>
  <c r="AI9" i="24"/>
  <c r="AB9" i="24"/>
  <c r="AA9" i="24"/>
  <c r="Z9" i="24"/>
  <c r="Y9" i="24"/>
  <c r="X9" i="24"/>
  <c r="W9" i="24"/>
  <c r="V9" i="24"/>
  <c r="U9" i="24"/>
  <c r="T9" i="24"/>
  <c r="M9" i="24"/>
  <c r="L9" i="24"/>
  <c r="K9" i="24"/>
  <c r="J9" i="24"/>
  <c r="BB9" i="24" s="1"/>
  <c r="I9" i="24"/>
  <c r="BA9" i="24" s="1"/>
  <c r="H9" i="24"/>
  <c r="AZ9" i="24" s="1"/>
  <c r="F9" i="24"/>
  <c r="AX9" i="24" s="1"/>
  <c r="AW8" i="24"/>
  <c r="AT8" i="24"/>
  <c r="AS8" i="24"/>
  <c r="AR8" i="24"/>
  <c r="AQ8" i="24"/>
  <c r="AP8" i="24"/>
  <c r="AO8" i="24"/>
  <c r="AN8" i="24"/>
  <c r="AM8" i="24"/>
  <c r="AL8" i="24"/>
  <c r="AJ8" i="24"/>
  <c r="AI8" i="24"/>
  <c r="AB8" i="24"/>
  <c r="AA8" i="24"/>
  <c r="Z8" i="24"/>
  <c r="Y8" i="24"/>
  <c r="X8" i="24"/>
  <c r="W8" i="24"/>
  <c r="V8" i="24"/>
  <c r="U8" i="24"/>
  <c r="T8" i="24"/>
  <c r="M8" i="24"/>
  <c r="L8" i="24"/>
  <c r="K8" i="24"/>
  <c r="J8" i="24"/>
  <c r="BB8" i="24" s="1"/>
  <c r="I8" i="24"/>
  <c r="BA8" i="24" s="1"/>
  <c r="H8" i="24"/>
  <c r="AZ8" i="24" s="1"/>
  <c r="F8" i="24"/>
  <c r="AX8" i="24" s="1"/>
  <c r="AW7" i="24"/>
  <c r="AT7" i="24"/>
  <c r="AS7" i="24"/>
  <c r="AR7" i="24"/>
  <c r="AQ7" i="24"/>
  <c r="AP7" i="24"/>
  <c r="AO7" i="24"/>
  <c r="AN7" i="24"/>
  <c r="AM7" i="24"/>
  <c r="AL7" i="24"/>
  <c r="AJ7" i="24"/>
  <c r="AI7" i="24"/>
  <c r="AB7" i="24"/>
  <c r="AA7" i="24"/>
  <c r="Z7" i="24"/>
  <c r="Y7" i="24"/>
  <c r="X7" i="24"/>
  <c r="W7" i="24"/>
  <c r="V7" i="24"/>
  <c r="U7" i="24"/>
  <c r="T7" i="24"/>
  <c r="M7" i="24"/>
  <c r="L7" i="24"/>
  <c r="K7" i="24"/>
  <c r="J7" i="24"/>
  <c r="BB7" i="24" s="1"/>
  <c r="I7" i="24"/>
  <c r="BA7" i="24" s="1"/>
  <c r="H7" i="24"/>
  <c r="AZ7" i="24" s="1"/>
  <c r="F7" i="24"/>
  <c r="AX7" i="24" s="1"/>
  <c r="AW6" i="24"/>
  <c r="AT6" i="24"/>
  <c r="AS6" i="24"/>
  <c r="AR6" i="24"/>
  <c r="AQ6" i="24"/>
  <c r="AP6" i="24"/>
  <c r="AO6" i="24"/>
  <c r="AN6" i="24"/>
  <c r="AM6" i="24"/>
  <c r="AL6" i="24"/>
  <c r="AJ6" i="24"/>
  <c r="AI6" i="24"/>
  <c r="AB6" i="24"/>
  <c r="AA6" i="24"/>
  <c r="Z6" i="24"/>
  <c r="Y6" i="24"/>
  <c r="X6" i="24"/>
  <c r="W6" i="24"/>
  <c r="V6" i="24"/>
  <c r="U6" i="24"/>
  <c r="T6" i="24"/>
  <c r="M6" i="24"/>
  <c r="L6" i="24"/>
  <c r="K6" i="24"/>
  <c r="J6" i="24"/>
  <c r="BB6" i="24" s="1"/>
  <c r="I6" i="24"/>
  <c r="BA6" i="24" s="1"/>
  <c r="H6" i="24"/>
  <c r="AZ6" i="24" s="1"/>
  <c r="F6" i="24"/>
  <c r="AX6" i="24" s="1"/>
  <c r="AW5" i="24"/>
  <c r="AT5" i="24"/>
  <c r="AS5" i="24"/>
  <c r="AR5" i="24"/>
  <c r="AQ5" i="24"/>
  <c r="AP5" i="24"/>
  <c r="AO5" i="24"/>
  <c r="AN5" i="24"/>
  <c r="AM5" i="24"/>
  <c r="AL5" i="24"/>
  <c r="AJ5" i="24"/>
  <c r="AI5" i="24"/>
  <c r="AB5" i="24"/>
  <c r="AA5" i="24"/>
  <c r="Z5" i="24"/>
  <c r="Y5" i="24"/>
  <c r="X5" i="24"/>
  <c r="W5" i="24"/>
  <c r="V5" i="24"/>
  <c r="U5" i="24"/>
  <c r="T5" i="24"/>
  <c r="M5" i="24"/>
  <c r="L5" i="24"/>
  <c r="K5" i="24"/>
  <c r="J5" i="24"/>
  <c r="BB5" i="24" s="1"/>
  <c r="I5" i="24"/>
  <c r="BA5" i="24" s="1"/>
  <c r="H5" i="24"/>
  <c r="AZ5" i="24" s="1"/>
  <c r="F5" i="24"/>
  <c r="AX5" i="24" s="1"/>
  <c r="AW4" i="24"/>
  <c r="AT4" i="24"/>
  <c r="AS4" i="24"/>
  <c r="AR4" i="24"/>
  <c r="AQ4" i="24"/>
  <c r="AP4" i="24"/>
  <c r="AO4" i="24"/>
  <c r="AN4" i="24"/>
  <c r="AM4" i="24"/>
  <c r="AL4" i="24"/>
  <c r="AJ4" i="24"/>
  <c r="AI4" i="24"/>
  <c r="AB4" i="24"/>
  <c r="AA4" i="24"/>
  <c r="Z4" i="24"/>
  <c r="Y4" i="24"/>
  <c r="X4" i="24"/>
  <c r="W4" i="24"/>
  <c r="V4" i="24"/>
  <c r="U4" i="24"/>
  <c r="T4" i="24"/>
  <c r="M4" i="24"/>
  <c r="L4" i="24"/>
  <c r="K4" i="24"/>
  <c r="J4" i="24"/>
  <c r="BB4" i="24" s="1"/>
  <c r="I4" i="24"/>
  <c r="BA4" i="24" s="1"/>
  <c r="H4" i="24"/>
  <c r="AZ4" i="24" s="1"/>
  <c r="F4" i="24"/>
  <c r="AX4" i="24" s="1"/>
  <c r="AW3" i="24"/>
  <c r="AT3" i="24"/>
  <c r="AS3" i="24"/>
  <c r="AR3" i="24"/>
  <c r="AQ3" i="24"/>
  <c r="AP3" i="24"/>
  <c r="AO3" i="24"/>
  <c r="AN3" i="24"/>
  <c r="AM3" i="24"/>
  <c r="AL3" i="24"/>
  <c r="AJ3" i="24"/>
  <c r="AI3" i="24"/>
  <c r="AB3" i="24"/>
  <c r="AA3" i="24"/>
  <c r="Z3" i="24"/>
  <c r="Y3" i="24"/>
  <c r="X3" i="24"/>
  <c r="W3" i="24"/>
  <c r="V3" i="24"/>
  <c r="U3" i="24"/>
  <c r="T3" i="24"/>
  <c r="M3" i="24"/>
  <c r="L3" i="24"/>
  <c r="K3" i="24"/>
  <c r="J3" i="24"/>
  <c r="BB3" i="24" s="1"/>
  <c r="I3" i="24"/>
  <c r="BA3" i="24" s="1"/>
  <c r="H3" i="24"/>
  <c r="AZ3" i="24" s="1"/>
  <c r="F3" i="24"/>
  <c r="AX3" i="24" s="1"/>
  <c r="AW2" i="24"/>
  <c r="AT2" i="24"/>
  <c r="AS2" i="24"/>
  <c r="AR2" i="24"/>
  <c r="AQ2" i="24"/>
  <c r="AP2" i="24"/>
  <c r="AO2" i="24"/>
  <c r="AN2" i="24"/>
  <c r="AM2" i="24"/>
  <c r="AL2" i="24"/>
  <c r="AK2" i="24"/>
  <c r="AJ2" i="24"/>
  <c r="AI2" i="24"/>
  <c r="AB2" i="24"/>
  <c r="AA2" i="24"/>
  <c r="Z2" i="24"/>
  <c r="Y2" i="24"/>
  <c r="X2" i="24"/>
  <c r="W2" i="24"/>
  <c r="V2" i="24"/>
  <c r="U2" i="24"/>
  <c r="T2" i="24"/>
  <c r="M2" i="24"/>
  <c r="L2" i="24"/>
  <c r="K2" i="24"/>
  <c r="J2" i="24"/>
  <c r="BB2" i="24" s="1"/>
  <c r="I2" i="24"/>
  <c r="BA2" i="24" s="1"/>
  <c r="H2" i="24"/>
  <c r="AZ2" i="24" s="1"/>
  <c r="G2" i="24"/>
  <c r="AY2" i="24" s="1"/>
  <c r="F2" i="24"/>
  <c r="AX2" i="24" s="1"/>
  <c r="AV2" i="23"/>
  <c r="AV3" i="23"/>
  <c r="AV4" i="23"/>
  <c r="AV5" i="23"/>
  <c r="AV6" i="23"/>
  <c r="AV7" i="23"/>
  <c r="AV8" i="23"/>
  <c r="AV9" i="23"/>
  <c r="AV10" i="23"/>
  <c r="AV11" i="23"/>
  <c r="AV12" i="23"/>
  <c r="AV13" i="23"/>
  <c r="AV14" i="23"/>
  <c r="AV15" i="23"/>
  <c r="AV16" i="23"/>
  <c r="AV17" i="23"/>
  <c r="AV18" i="23"/>
  <c r="AV19" i="23"/>
  <c r="AV20" i="23"/>
  <c r="AV21" i="23"/>
  <c r="AV22" i="23"/>
  <c r="AV23" i="23"/>
  <c r="AV24" i="23"/>
  <c r="AV25" i="23"/>
  <c r="AV26" i="23"/>
  <c r="AV27" i="23"/>
  <c r="AV28" i="23"/>
  <c r="AV29" i="23"/>
  <c r="AV30" i="23"/>
  <c r="AV31" i="23"/>
  <c r="AV32" i="23"/>
  <c r="AV33" i="23"/>
  <c r="AV34" i="23"/>
  <c r="AV35" i="23"/>
  <c r="AV36" i="23"/>
  <c r="AV37" i="23"/>
  <c r="AV38" i="23"/>
  <c r="AV39" i="23"/>
  <c r="AV40" i="23"/>
  <c r="AV41" i="23"/>
  <c r="AV42" i="23"/>
  <c r="AV43" i="23"/>
  <c r="AV44" i="23"/>
  <c r="AV45" i="23"/>
  <c r="AV46" i="23"/>
  <c r="AV47" i="23"/>
  <c r="AV48" i="23"/>
  <c r="AV49" i="23"/>
  <c r="AV50" i="23"/>
  <c r="AV51" i="23"/>
  <c r="AV52" i="23"/>
  <c r="AV53" i="23"/>
  <c r="AV54" i="23"/>
  <c r="AV55" i="23"/>
  <c r="AV56" i="23"/>
  <c r="AV57" i="23"/>
  <c r="AV58" i="23"/>
  <c r="AV59" i="23"/>
  <c r="AV60" i="23"/>
  <c r="AV61" i="23"/>
  <c r="AV62" i="23"/>
  <c r="AV63" i="23"/>
  <c r="AV64" i="23"/>
  <c r="AV65" i="23"/>
  <c r="AV66" i="23"/>
  <c r="AV67" i="23"/>
  <c r="AV68" i="23"/>
  <c r="AV69" i="23"/>
  <c r="AV70" i="23"/>
  <c r="AV71" i="23"/>
  <c r="AV72" i="23"/>
  <c r="AV73" i="23"/>
  <c r="AV74" i="23"/>
  <c r="AV75" i="23"/>
  <c r="AV76" i="23"/>
  <c r="AV77" i="23"/>
  <c r="AV78" i="23"/>
  <c r="AV79" i="23"/>
  <c r="AV80" i="23"/>
  <c r="AV81" i="23"/>
  <c r="AV82" i="23"/>
  <c r="AV83" i="23"/>
  <c r="AV84" i="23"/>
  <c r="AV85" i="23"/>
  <c r="AV86" i="23"/>
  <c r="AV87" i="23"/>
  <c r="AV88" i="23"/>
  <c r="AV89" i="23"/>
  <c r="AV90" i="23"/>
  <c r="AV91" i="23"/>
  <c r="AV92" i="23"/>
  <c r="AV93" i="23"/>
  <c r="AV94" i="23"/>
  <c r="AV95" i="23"/>
  <c r="AV96" i="23"/>
  <c r="AV97" i="23"/>
  <c r="AV98" i="23"/>
  <c r="AV99" i="23"/>
  <c r="AV100" i="23"/>
  <c r="AV101" i="23"/>
  <c r="AV102" i="23"/>
  <c r="AV103" i="23"/>
  <c r="AV104" i="23"/>
  <c r="AV105" i="23"/>
  <c r="AV106" i="23"/>
  <c r="AV107" i="23"/>
  <c r="AV108" i="23"/>
  <c r="AV109" i="23"/>
  <c r="AV110" i="23"/>
  <c r="AV111" i="23"/>
  <c r="AD2" i="23"/>
  <c r="AD3" i="23"/>
  <c r="AD4" i="23"/>
  <c r="AD5" i="23"/>
  <c r="AD6" i="23"/>
  <c r="AD7" i="23"/>
  <c r="AD8" i="23"/>
  <c r="AD9" i="23"/>
  <c r="AD10" i="23"/>
  <c r="AD11" i="23"/>
  <c r="AD12" i="23"/>
  <c r="AD13" i="23"/>
  <c r="AD14" i="23"/>
  <c r="AD15" i="23"/>
  <c r="AD16" i="23"/>
  <c r="AD17" i="23"/>
  <c r="AD18" i="23"/>
  <c r="AD19" i="23"/>
  <c r="AD20" i="23"/>
  <c r="AD21" i="23"/>
  <c r="AD22" i="23"/>
  <c r="AD23" i="23"/>
  <c r="AD24" i="23"/>
  <c r="AD25" i="23"/>
  <c r="AD26" i="23"/>
  <c r="AD27" i="23"/>
  <c r="AD28" i="23"/>
  <c r="AD29" i="23"/>
  <c r="AD30" i="23"/>
  <c r="AD31" i="23"/>
  <c r="AD32" i="23"/>
  <c r="AD33" i="23"/>
  <c r="AD34" i="23"/>
  <c r="AD35" i="23"/>
  <c r="AD36" i="23"/>
  <c r="AD37" i="23"/>
  <c r="AD38" i="23"/>
  <c r="AD39" i="23"/>
  <c r="AD40" i="23"/>
  <c r="AD41" i="23"/>
  <c r="AD42" i="23"/>
  <c r="AD43" i="23"/>
  <c r="AD44" i="23"/>
  <c r="AD45" i="23"/>
  <c r="AD46" i="23"/>
  <c r="AD47" i="23"/>
  <c r="AD48" i="23"/>
  <c r="AD49" i="23"/>
  <c r="AD50" i="23"/>
  <c r="AD51" i="23"/>
  <c r="AD52" i="23"/>
  <c r="AD53" i="23"/>
  <c r="AD54" i="23"/>
  <c r="AD55" i="23"/>
  <c r="AD56" i="23"/>
  <c r="AD57" i="23"/>
  <c r="AD58" i="23"/>
  <c r="AD59" i="23"/>
  <c r="AD60" i="23"/>
  <c r="AD61" i="23"/>
  <c r="AD62" i="23"/>
  <c r="AD63" i="23"/>
  <c r="AD64" i="23"/>
  <c r="AD65" i="23"/>
  <c r="AD66" i="23"/>
  <c r="AD67" i="23"/>
  <c r="AD68" i="23"/>
  <c r="AD69" i="23"/>
  <c r="AD70" i="23"/>
  <c r="AD71" i="23"/>
  <c r="AD72" i="23"/>
  <c r="AD73" i="23"/>
  <c r="AD74" i="23"/>
  <c r="AD75" i="23"/>
  <c r="AD76" i="23"/>
  <c r="AD77" i="23"/>
  <c r="AD78" i="23"/>
  <c r="AD79" i="23"/>
  <c r="AD80" i="23"/>
  <c r="AD81" i="23"/>
  <c r="AD82" i="23"/>
  <c r="AD83" i="23"/>
  <c r="AD84" i="23"/>
  <c r="AD85" i="23"/>
  <c r="AD86" i="23"/>
  <c r="AD87" i="23"/>
  <c r="AD88" i="23"/>
  <c r="AD89" i="23"/>
  <c r="AD90" i="23"/>
  <c r="AD91" i="23"/>
  <c r="AD92" i="23"/>
  <c r="AD93" i="23"/>
  <c r="AD94" i="23"/>
  <c r="AD95" i="23"/>
  <c r="AD96" i="23"/>
  <c r="AD97" i="23"/>
  <c r="AD98" i="23"/>
  <c r="AD99" i="23"/>
  <c r="AD100" i="23"/>
  <c r="AD101" i="23"/>
  <c r="AD102" i="23"/>
  <c r="AD103" i="23"/>
  <c r="AD104" i="23"/>
  <c r="AD105" i="23"/>
  <c r="AD106" i="23"/>
  <c r="AD107" i="23"/>
  <c r="AD108" i="23"/>
  <c r="AD109" i="23"/>
  <c r="AD110" i="23"/>
  <c r="AD111" i="23"/>
  <c r="O2" i="23"/>
  <c r="O3" i="23"/>
  <c r="O4" i="23"/>
  <c r="O5" i="23"/>
  <c r="O6" i="23"/>
  <c r="O7" i="23"/>
  <c r="O8" i="23"/>
  <c r="O9" i="23"/>
  <c r="O10" i="23"/>
  <c r="O11" i="23"/>
  <c r="O12" i="23"/>
  <c r="O13" i="23"/>
  <c r="O14" i="23"/>
  <c r="O15" i="23"/>
  <c r="O16" i="23"/>
  <c r="O17" i="23"/>
  <c r="O18" i="23"/>
  <c r="O19" i="23"/>
  <c r="O20" i="23"/>
  <c r="O21" i="23"/>
  <c r="O22" i="23"/>
  <c r="O23" i="23"/>
  <c r="O24" i="23"/>
  <c r="O25" i="23"/>
  <c r="O26" i="23"/>
  <c r="O27" i="23"/>
  <c r="O28" i="23"/>
  <c r="O29" i="23"/>
  <c r="O30" i="23"/>
  <c r="O31" i="23"/>
  <c r="O32" i="23"/>
  <c r="O33" i="23"/>
  <c r="O34" i="23"/>
  <c r="O35" i="23"/>
  <c r="O36" i="23"/>
  <c r="O37" i="23"/>
  <c r="O38" i="23"/>
  <c r="O39" i="23"/>
  <c r="O40" i="23"/>
  <c r="O41" i="23"/>
  <c r="O42" i="23"/>
  <c r="O43" i="23"/>
  <c r="O44" i="23"/>
  <c r="O45" i="23"/>
  <c r="O46" i="23"/>
  <c r="O47" i="23"/>
  <c r="O48" i="23"/>
  <c r="O49" i="23"/>
  <c r="O50" i="23"/>
  <c r="O51" i="23"/>
  <c r="O52" i="23"/>
  <c r="O53" i="23"/>
  <c r="O54" i="23"/>
  <c r="O55" i="23"/>
  <c r="O56" i="23"/>
  <c r="O57" i="23"/>
  <c r="O58" i="23"/>
  <c r="O59" i="23"/>
  <c r="O60" i="23"/>
  <c r="O61" i="23"/>
  <c r="O62" i="23"/>
  <c r="O63" i="23"/>
  <c r="O64" i="23"/>
  <c r="O65" i="23"/>
  <c r="O66" i="23"/>
  <c r="O67" i="23"/>
  <c r="O68" i="23"/>
  <c r="O69" i="23"/>
  <c r="O70" i="23"/>
  <c r="O71" i="23"/>
  <c r="O72" i="23"/>
  <c r="O73" i="23"/>
  <c r="O74" i="23"/>
  <c r="O75" i="23"/>
  <c r="O76" i="23"/>
  <c r="O77" i="23"/>
  <c r="O78" i="23"/>
  <c r="O79" i="23"/>
  <c r="O80" i="23"/>
  <c r="O81" i="23"/>
  <c r="O82" i="23"/>
  <c r="O83" i="23"/>
  <c r="O84" i="23"/>
  <c r="O85" i="23"/>
  <c r="O86" i="23"/>
  <c r="O87" i="23"/>
  <c r="O88" i="23"/>
  <c r="O89" i="23"/>
  <c r="O90" i="23"/>
  <c r="O91" i="23"/>
  <c r="O92" i="23"/>
  <c r="O93" i="23"/>
  <c r="O94" i="23"/>
  <c r="O95" i="23"/>
  <c r="O96" i="23"/>
  <c r="O97" i="23"/>
  <c r="O98" i="23"/>
  <c r="O99" i="23"/>
  <c r="O100" i="23"/>
  <c r="O101" i="23"/>
  <c r="O102" i="23"/>
  <c r="O103" i="23"/>
  <c r="O104" i="23"/>
  <c r="O105" i="23"/>
  <c r="O106" i="23"/>
  <c r="O107" i="23"/>
  <c r="O108" i="23"/>
  <c r="O109" i="23"/>
  <c r="O110" i="23"/>
  <c r="O111" i="23"/>
  <c r="A2" i="23"/>
  <c r="A3" i="23"/>
  <c r="A4" i="23"/>
  <c r="A5" i="23"/>
  <c r="A6" i="23"/>
  <c r="A7" i="23"/>
  <c r="A8" i="23"/>
  <c r="A9" i="23"/>
  <c r="A10" i="23"/>
  <c r="A11" i="23"/>
  <c r="A12" i="23"/>
  <c r="A13" i="23"/>
  <c r="A14" i="23"/>
  <c r="A15" i="23"/>
  <c r="A16" i="23"/>
  <c r="A17" i="23"/>
  <c r="A18" i="23"/>
  <c r="A19" i="23"/>
  <c r="A20" i="23"/>
  <c r="A21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A43" i="23"/>
  <c r="A44" i="23"/>
  <c r="A45" i="23"/>
  <c r="A46" i="23"/>
  <c r="A47" i="23"/>
  <c r="A48" i="23"/>
  <c r="A49" i="23"/>
  <c r="A50" i="23"/>
  <c r="A51" i="23"/>
  <c r="A52" i="23"/>
  <c r="A53" i="23"/>
  <c r="A54" i="23"/>
  <c r="A55" i="23"/>
  <c r="A56" i="23"/>
  <c r="A57" i="23"/>
  <c r="A58" i="23"/>
  <c r="A59" i="23"/>
  <c r="A60" i="23"/>
  <c r="A61" i="23"/>
  <c r="A62" i="23"/>
  <c r="A63" i="23"/>
  <c r="A64" i="23"/>
  <c r="A65" i="23"/>
  <c r="A66" i="23"/>
  <c r="A67" i="23"/>
  <c r="A68" i="23"/>
  <c r="A69" i="23"/>
  <c r="A70" i="23"/>
  <c r="A71" i="23"/>
  <c r="A72" i="23"/>
  <c r="A73" i="23"/>
  <c r="A74" i="23"/>
  <c r="A75" i="23"/>
  <c r="A76" i="23"/>
  <c r="A77" i="23"/>
  <c r="A78" i="23"/>
  <c r="A79" i="23"/>
  <c r="A80" i="23"/>
  <c r="A81" i="23"/>
  <c r="A82" i="23"/>
  <c r="A83" i="23"/>
  <c r="A84" i="23"/>
  <c r="A85" i="23"/>
  <c r="A86" i="23"/>
  <c r="A87" i="23"/>
  <c r="A88" i="23"/>
  <c r="A89" i="23"/>
  <c r="A90" i="23"/>
  <c r="A91" i="23"/>
  <c r="A92" i="23"/>
  <c r="A93" i="23"/>
  <c r="A94" i="23"/>
  <c r="A95" i="23"/>
  <c r="A96" i="23"/>
  <c r="A97" i="23"/>
  <c r="A98" i="23"/>
  <c r="A99" i="23"/>
  <c r="A100" i="23"/>
  <c r="A101" i="23"/>
  <c r="A102" i="23"/>
  <c r="A103" i="23"/>
  <c r="A104" i="23"/>
  <c r="A105" i="23"/>
  <c r="A106" i="23"/>
  <c r="A107" i="23"/>
  <c r="A108" i="23"/>
  <c r="A109" i="23"/>
  <c r="A110" i="23"/>
  <c r="A111" i="23"/>
  <c r="AW111" i="23"/>
  <c r="AT111" i="23"/>
  <c r="AS111" i="23"/>
  <c r="AR111" i="23"/>
  <c r="AQ111" i="23"/>
  <c r="AP111" i="23"/>
  <c r="AO111" i="23"/>
  <c r="AN111" i="23"/>
  <c r="AM111" i="23"/>
  <c r="AL111" i="23"/>
  <c r="AJ111" i="23"/>
  <c r="AI111" i="23"/>
  <c r="AB111" i="23"/>
  <c r="AA111" i="23"/>
  <c r="Z111" i="23"/>
  <c r="Y111" i="23"/>
  <c r="X111" i="23"/>
  <c r="W111" i="23"/>
  <c r="V111" i="23"/>
  <c r="U111" i="23"/>
  <c r="T111" i="23"/>
  <c r="M111" i="23"/>
  <c r="L111" i="23"/>
  <c r="K111" i="23"/>
  <c r="J111" i="23"/>
  <c r="BB111" i="23" s="1"/>
  <c r="I111" i="23"/>
  <c r="BA111" i="23" s="1"/>
  <c r="H111" i="23"/>
  <c r="AZ111" i="23" s="1"/>
  <c r="F111" i="23"/>
  <c r="AX111" i="23" s="1"/>
  <c r="AW110" i="23"/>
  <c r="AT110" i="23"/>
  <c r="AS110" i="23"/>
  <c r="AR110" i="23"/>
  <c r="AQ110" i="23"/>
  <c r="AP110" i="23"/>
  <c r="AO110" i="23"/>
  <c r="AN110" i="23"/>
  <c r="AM110" i="23"/>
  <c r="AL110" i="23"/>
  <c r="AJ110" i="23"/>
  <c r="AI110" i="23"/>
  <c r="AB110" i="23"/>
  <c r="AA110" i="23"/>
  <c r="Z110" i="23"/>
  <c r="Y110" i="23"/>
  <c r="X110" i="23"/>
  <c r="W110" i="23"/>
  <c r="V110" i="23"/>
  <c r="U110" i="23"/>
  <c r="T110" i="23"/>
  <c r="M110" i="23"/>
  <c r="L110" i="23"/>
  <c r="K110" i="23"/>
  <c r="J110" i="23"/>
  <c r="BB110" i="23" s="1"/>
  <c r="I110" i="23"/>
  <c r="BA110" i="23" s="1"/>
  <c r="H110" i="23"/>
  <c r="AZ110" i="23" s="1"/>
  <c r="F110" i="23"/>
  <c r="AX110" i="23" s="1"/>
  <c r="AW109" i="23"/>
  <c r="AT109" i="23"/>
  <c r="AS109" i="23"/>
  <c r="AR109" i="23"/>
  <c r="AQ109" i="23"/>
  <c r="AP109" i="23"/>
  <c r="AO109" i="23"/>
  <c r="AN109" i="23"/>
  <c r="AM109" i="23"/>
  <c r="AL109" i="23"/>
  <c r="AJ109" i="23"/>
  <c r="AI109" i="23"/>
  <c r="AB109" i="23"/>
  <c r="AA109" i="23"/>
  <c r="Z109" i="23"/>
  <c r="Y109" i="23"/>
  <c r="X109" i="23"/>
  <c r="W109" i="23"/>
  <c r="V109" i="23"/>
  <c r="U109" i="23"/>
  <c r="T109" i="23"/>
  <c r="M109" i="23"/>
  <c r="L109" i="23"/>
  <c r="K109" i="23"/>
  <c r="J109" i="23"/>
  <c r="BB109" i="23" s="1"/>
  <c r="I109" i="23"/>
  <c r="BA109" i="23" s="1"/>
  <c r="H109" i="23"/>
  <c r="AZ109" i="23" s="1"/>
  <c r="F109" i="23"/>
  <c r="AX109" i="23" s="1"/>
  <c r="AW108" i="23"/>
  <c r="AT108" i="23"/>
  <c r="AS108" i="23"/>
  <c r="AR108" i="23"/>
  <c r="AQ108" i="23"/>
  <c r="AP108" i="23"/>
  <c r="AO108" i="23"/>
  <c r="AN108" i="23"/>
  <c r="AM108" i="23"/>
  <c r="AL108" i="23"/>
  <c r="AJ108" i="23"/>
  <c r="AI108" i="23"/>
  <c r="AB108" i="23"/>
  <c r="AA108" i="23"/>
  <c r="Z108" i="23"/>
  <c r="Y108" i="23"/>
  <c r="X108" i="23"/>
  <c r="W108" i="23"/>
  <c r="V108" i="23"/>
  <c r="U108" i="23"/>
  <c r="T108" i="23"/>
  <c r="M108" i="23"/>
  <c r="L108" i="23"/>
  <c r="K108" i="23"/>
  <c r="J108" i="23"/>
  <c r="BB108" i="23" s="1"/>
  <c r="I108" i="23"/>
  <c r="BA108" i="23" s="1"/>
  <c r="H108" i="23"/>
  <c r="AZ108" i="23" s="1"/>
  <c r="F108" i="23"/>
  <c r="AX108" i="23" s="1"/>
  <c r="AW107" i="23"/>
  <c r="AT107" i="23"/>
  <c r="AS107" i="23"/>
  <c r="AR107" i="23"/>
  <c r="AQ107" i="23"/>
  <c r="AP107" i="23"/>
  <c r="AO107" i="23"/>
  <c r="AN107" i="23"/>
  <c r="AM107" i="23"/>
  <c r="AL107" i="23"/>
  <c r="AJ107" i="23"/>
  <c r="AI107" i="23"/>
  <c r="AB107" i="23"/>
  <c r="AA107" i="23"/>
  <c r="Z107" i="23"/>
  <c r="Y107" i="23"/>
  <c r="X107" i="23"/>
  <c r="W107" i="23"/>
  <c r="V107" i="23"/>
  <c r="U107" i="23"/>
  <c r="T107" i="23"/>
  <c r="M107" i="23"/>
  <c r="L107" i="23"/>
  <c r="K107" i="23"/>
  <c r="J107" i="23"/>
  <c r="BB107" i="23" s="1"/>
  <c r="I107" i="23"/>
  <c r="BA107" i="23" s="1"/>
  <c r="H107" i="23"/>
  <c r="AZ107" i="23" s="1"/>
  <c r="F107" i="23"/>
  <c r="AX107" i="23" s="1"/>
  <c r="AW106" i="23"/>
  <c r="AT106" i="23"/>
  <c r="AS106" i="23"/>
  <c r="AR106" i="23"/>
  <c r="AQ106" i="23"/>
  <c r="AP106" i="23"/>
  <c r="AO106" i="23"/>
  <c r="AN106" i="23"/>
  <c r="AM106" i="23"/>
  <c r="AL106" i="23"/>
  <c r="AJ106" i="23"/>
  <c r="AI106" i="23"/>
  <c r="AB106" i="23"/>
  <c r="AA106" i="23"/>
  <c r="Z106" i="23"/>
  <c r="Y106" i="23"/>
  <c r="X106" i="23"/>
  <c r="W106" i="23"/>
  <c r="V106" i="23"/>
  <c r="U106" i="23"/>
  <c r="T106" i="23"/>
  <c r="M106" i="23"/>
  <c r="L106" i="23"/>
  <c r="K106" i="23"/>
  <c r="J106" i="23"/>
  <c r="BB106" i="23" s="1"/>
  <c r="I106" i="23"/>
  <c r="BA106" i="23" s="1"/>
  <c r="H106" i="23"/>
  <c r="AZ106" i="23" s="1"/>
  <c r="F106" i="23"/>
  <c r="AX106" i="23" s="1"/>
  <c r="AW105" i="23"/>
  <c r="AT105" i="23"/>
  <c r="AS105" i="23"/>
  <c r="AR105" i="23"/>
  <c r="AQ105" i="23"/>
  <c r="AP105" i="23"/>
  <c r="AO105" i="23"/>
  <c r="AN105" i="23"/>
  <c r="AM105" i="23"/>
  <c r="AL105" i="23"/>
  <c r="AJ105" i="23"/>
  <c r="AI105" i="23"/>
  <c r="AB105" i="23"/>
  <c r="AA105" i="23"/>
  <c r="Z105" i="23"/>
  <c r="Y105" i="23"/>
  <c r="X105" i="23"/>
  <c r="W105" i="23"/>
  <c r="V105" i="23"/>
  <c r="U105" i="23"/>
  <c r="T105" i="23"/>
  <c r="M105" i="23"/>
  <c r="L105" i="23"/>
  <c r="K105" i="23"/>
  <c r="J105" i="23"/>
  <c r="BB105" i="23" s="1"/>
  <c r="I105" i="23"/>
  <c r="BA105" i="23" s="1"/>
  <c r="H105" i="23"/>
  <c r="AZ105" i="23" s="1"/>
  <c r="F105" i="23"/>
  <c r="AX105" i="23" s="1"/>
  <c r="AW104" i="23"/>
  <c r="AT104" i="23"/>
  <c r="AS104" i="23"/>
  <c r="AR104" i="23"/>
  <c r="AQ104" i="23"/>
  <c r="AP104" i="23"/>
  <c r="AO104" i="23"/>
  <c r="AN104" i="23"/>
  <c r="AM104" i="23"/>
  <c r="AL104" i="23"/>
  <c r="AJ104" i="23"/>
  <c r="AI104" i="23"/>
  <c r="AB104" i="23"/>
  <c r="AA104" i="23"/>
  <c r="Z104" i="23"/>
  <c r="Y104" i="23"/>
  <c r="X104" i="23"/>
  <c r="W104" i="23"/>
  <c r="V104" i="23"/>
  <c r="U104" i="23"/>
  <c r="T104" i="23"/>
  <c r="M104" i="23"/>
  <c r="L104" i="23"/>
  <c r="K104" i="23"/>
  <c r="J104" i="23"/>
  <c r="BB104" i="23" s="1"/>
  <c r="I104" i="23"/>
  <c r="BA104" i="23" s="1"/>
  <c r="H104" i="23"/>
  <c r="AZ104" i="23" s="1"/>
  <c r="F104" i="23"/>
  <c r="AX104" i="23" s="1"/>
  <c r="AW103" i="23"/>
  <c r="AT103" i="23"/>
  <c r="AS103" i="23"/>
  <c r="AR103" i="23"/>
  <c r="AQ103" i="23"/>
  <c r="AP103" i="23"/>
  <c r="AO103" i="23"/>
  <c r="AN103" i="23"/>
  <c r="AM103" i="23"/>
  <c r="AL103" i="23"/>
  <c r="AJ103" i="23"/>
  <c r="AI103" i="23"/>
  <c r="AB103" i="23"/>
  <c r="AA103" i="23"/>
  <c r="Z103" i="23"/>
  <c r="Y103" i="23"/>
  <c r="X103" i="23"/>
  <c r="W103" i="23"/>
  <c r="V103" i="23"/>
  <c r="U103" i="23"/>
  <c r="T103" i="23"/>
  <c r="M103" i="23"/>
  <c r="L103" i="23"/>
  <c r="K103" i="23"/>
  <c r="J103" i="23"/>
  <c r="BB103" i="23" s="1"/>
  <c r="I103" i="23"/>
  <c r="BA103" i="23" s="1"/>
  <c r="H103" i="23"/>
  <c r="AZ103" i="23" s="1"/>
  <c r="F103" i="23"/>
  <c r="AX103" i="23" s="1"/>
  <c r="AW102" i="23"/>
  <c r="AT102" i="23"/>
  <c r="AS102" i="23"/>
  <c r="AR102" i="23"/>
  <c r="AQ102" i="23"/>
  <c r="AP102" i="23"/>
  <c r="AO102" i="23"/>
  <c r="AN102" i="23"/>
  <c r="AM102" i="23"/>
  <c r="AL102" i="23"/>
  <c r="AJ102" i="23"/>
  <c r="AI102" i="23"/>
  <c r="AB102" i="23"/>
  <c r="AA102" i="23"/>
  <c r="Z102" i="23"/>
  <c r="Y102" i="23"/>
  <c r="X102" i="23"/>
  <c r="W102" i="23"/>
  <c r="V102" i="23"/>
  <c r="U102" i="23"/>
  <c r="T102" i="23"/>
  <c r="M102" i="23"/>
  <c r="L102" i="23"/>
  <c r="K102" i="23"/>
  <c r="J102" i="23"/>
  <c r="BB102" i="23" s="1"/>
  <c r="I102" i="23"/>
  <c r="BA102" i="23" s="1"/>
  <c r="H102" i="23"/>
  <c r="AZ102" i="23" s="1"/>
  <c r="F102" i="23"/>
  <c r="AX102" i="23" s="1"/>
  <c r="AW101" i="23"/>
  <c r="AT101" i="23"/>
  <c r="AS101" i="23"/>
  <c r="AR101" i="23"/>
  <c r="AQ101" i="23"/>
  <c r="AP101" i="23"/>
  <c r="AO101" i="23"/>
  <c r="AN101" i="23"/>
  <c r="AM101" i="23"/>
  <c r="AL101" i="23"/>
  <c r="AJ101" i="23"/>
  <c r="AI101" i="23"/>
  <c r="AB101" i="23"/>
  <c r="AA101" i="23"/>
  <c r="Z101" i="23"/>
  <c r="Y101" i="23"/>
  <c r="X101" i="23"/>
  <c r="W101" i="23"/>
  <c r="V101" i="23"/>
  <c r="U101" i="23"/>
  <c r="T101" i="23"/>
  <c r="M101" i="23"/>
  <c r="L101" i="23"/>
  <c r="K101" i="23"/>
  <c r="J101" i="23"/>
  <c r="BB101" i="23" s="1"/>
  <c r="I101" i="23"/>
  <c r="BA101" i="23" s="1"/>
  <c r="H101" i="23"/>
  <c r="AZ101" i="23" s="1"/>
  <c r="F101" i="23"/>
  <c r="AX101" i="23" s="1"/>
  <c r="AW100" i="23"/>
  <c r="AT100" i="23"/>
  <c r="AS100" i="23"/>
  <c r="AR100" i="23"/>
  <c r="AQ100" i="23"/>
  <c r="AP100" i="23"/>
  <c r="AO100" i="23"/>
  <c r="AN100" i="23"/>
  <c r="AM100" i="23"/>
  <c r="AL100" i="23"/>
  <c r="AJ100" i="23"/>
  <c r="AI100" i="23"/>
  <c r="AB100" i="23"/>
  <c r="AA100" i="23"/>
  <c r="Z100" i="23"/>
  <c r="Y100" i="23"/>
  <c r="X100" i="23"/>
  <c r="W100" i="23"/>
  <c r="V100" i="23"/>
  <c r="U100" i="23"/>
  <c r="T100" i="23"/>
  <c r="M100" i="23"/>
  <c r="L100" i="23"/>
  <c r="K100" i="23"/>
  <c r="J100" i="23"/>
  <c r="BB100" i="23" s="1"/>
  <c r="I100" i="23"/>
  <c r="BA100" i="23" s="1"/>
  <c r="H100" i="23"/>
  <c r="AZ100" i="23" s="1"/>
  <c r="F100" i="23"/>
  <c r="AX100" i="23" s="1"/>
  <c r="AW99" i="23"/>
  <c r="AT99" i="23"/>
  <c r="AS99" i="23"/>
  <c r="AR99" i="23"/>
  <c r="AQ99" i="23"/>
  <c r="AP99" i="23"/>
  <c r="AO99" i="23"/>
  <c r="AN99" i="23"/>
  <c r="AM99" i="23"/>
  <c r="AL99" i="23"/>
  <c r="AJ99" i="23"/>
  <c r="AI99" i="23"/>
  <c r="AB99" i="23"/>
  <c r="AA99" i="23"/>
  <c r="Z99" i="23"/>
  <c r="Y99" i="23"/>
  <c r="X99" i="23"/>
  <c r="W99" i="23"/>
  <c r="V99" i="23"/>
  <c r="U99" i="23"/>
  <c r="T99" i="23"/>
  <c r="M99" i="23"/>
  <c r="L99" i="23"/>
  <c r="K99" i="23"/>
  <c r="J99" i="23"/>
  <c r="BB99" i="23" s="1"/>
  <c r="I99" i="23"/>
  <c r="BA99" i="23" s="1"/>
  <c r="H99" i="23"/>
  <c r="AZ99" i="23" s="1"/>
  <c r="F99" i="23"/>
  <c r="AX99" i="23" s="1"/>
  <c r="AW98" i="23"/>
  <c r="AT98" i="23"/>
  <c r="AS98" i="23"/>
  <c r="AR98" i="23"/>
  <c r="AQ98" i="23"/>
  <c r="AP98" i="23"/>
  <c r="AO98" i="23"/>
  <c r="AN98" i="23"/>
  <c r="AM98" i="23"/>
  <c r="AL98" i="23"/>
  <c r="AJ98" i="23"/>
  <c r="AI98" i="23"/>
  <c r="AB98" i="23"/>
  <c r="AA98" i="23"/>
  <c r="Z98" i="23"/>
  <c r="Y98" i="23"/>
  <c r="X98" i="23"/>
  <c r="W98" i="23"/>
  <c r="V98" i="23"/>
  <c r="U98" i="23"/>
  <c r="T98" i="23"/>
  <c r="M98" i="23"/>
  <c r="L98" i="23"/>
  <c r="K98" i="23"/>
  <c r="J98" i="23"/>
  <c r="BB98" i="23" s="1"/>
  <c r="I98" i="23"/>
  <c r="BA98" i="23" s="1"/>
  <c r="H98" i="23"/>
  <c r="AZ98" i="23" s="1"/>
  <c r="F98" i="23"/>
  <c r="AX98" i="23" s="1"/>
  <c r="AW97" i="23"/>
  <c r="AT97" i="23"/>
  <c r="AS97" i="23"/>
  <c r="AR97" i="23"/>
  <c r="AQ97" i="23"/>
  <c r="AP97" i="23"/>
  <c r="AO97" i="23"/>
  <c r="AN97" i="23"/>
  <c r="AM97" i="23"/>
  <c r="AL97" i="23"/>
  <c r="AJ97" i="23"/>
  <c r="AI97" i="23"/>
  <c r="AB97" i="23"/>
  <c r="AA97" i="23"/>
  <c r="Z97" i="23"/>
  <c r="Y97" i="23"/>
  <c r="X97" i="23"/>
  <c r="W97" i="23"/>
  <c r="V97" i="23"/>
  <c r="U97" i="23"/>
  <c r="T97" i="23"/>
  <c r="M97" i="23"/>
  <c r="L97" i="23"/>
  <c r="K97" i="23"/>
  <c r="J97" i="23"/>
  <c r="BB97" i="23" s="1"/>
  <c r="I97" i="23"/>
  <c r="BA97" i="23" s="1"/>
  <c r="H97" i="23"/>
  <c r="AZ97" i="23" s="1"/>
  <c r="F97" i="23"/>
  <c r="AX97" i="23" s="1"/>
  <c r="AW96" i="23"/>
  <c r="AT96" i="23"/>
  <c r="AS96" i="23"/>
  <c r="AR96" i="23"/>
  <c r="AQ96" i="23"/>
  <c r="AP96" i="23"/>
  <c r="AO96" i="23"/>
  <c r="AN96" i="23"/>
  <c r="AM96" i="23"/>
  <c r="AL96" i="23"/>
  <c r="AJ96" i="23"/>
  <c r="AI96" i="23"/>
  <c r="AB96" i="23"/>
  <c r="AA96" i="23"/>
  <c r="Z96" i="23"/>
  <c r="Y96" i="23"/>
  <c r="X96" i="23"/>
  <c r="W96" i="23"/>
  <c r="V96" i="23"/>
  <c r="U96" i="23"/>
  <c r="T96" i="23"/>
  <c r="M96" i="23"/>
  <c r="L96" i="23"/>
  <c r="K96" i="23"/>
  <c r="J96" i="23"/>
  <c r="BB96" i="23" s="1"/>
  <c r="I96" i="23"/>
  <c r="BA96" i="23" s="1"/>
  <c r="H96" i="23"/>
  <c r="AZ96" i="23" s="1"/>
  <c r="F96" i="23"/>
  <c r="AX96" i="23" s="1"/>
  <c r="AW95" i="23"/>
  <c r="AT95" i="23"/>
  <c r="AS95" i="23"/>
  <c r="AR95" i="23"/>
  <c r="AQ95" i="23"/>
  <c r="AP95" i="23"/>
  <c r="AO95" i="23"/>
  <c r="AN95" i="23"/>
  <c r="AM95" i="23"/>
  <c r="AL95" i="23"/>
  <c r="AJ95" i="23"/>
  <c r="AI95" i="23"/>
  <c r="AB95" i="23"/>
  <c r="AA95" i="23"/>
  <c r="Z95" i="23"/>
  <c r="Y95" i="23"/>
  <c r="X95" i="23"/>
  <c r="W95" i="23"/>
  <c r="V95" i="23"/>
  <c r="U95" i="23"/>
  <c r="T95" i="23"/>
  <c r="M95" i="23"/>
  <c r="L95" i="23"/>
  <c r="K95" i="23"/>
  <c r="J95" i="23"/>
  <c r="BB95" i="23" s="1"/>
  <c r="I95" i="23"/>
  <c r="BA95" i="23" s="1"/>
  <c r="H95" i="23"/>
  <c r="AZ95" i="23" s="1"/>
  <c r="F95" i="23"/>
  <c r="AX95" i="23" s="1"/>
  <c r="AW94" i="23"/>
  <c r="AT94" i="23"/>
  <c r="AS94" i="23"/>
  <c r="AR94" i="23"/>
  <c r="AQ94" i="23"/>
  <c r="AP94" i="23"/>
  <c r="AO94" i="23"/>
  <c r="AN94" i="23"/>
  <c r="AM94" i="23"/>
  <c r="AL94" i="23"/>
  <c r="AJ94" i="23"/>
  <c r="AI94" i="23"/>
  <c r="AB94" i="23"/>
  <c r="AA94" i="23"/>
  <c r="Z94" i="23"/>
  <c r="Y94" i="23"/>
  <c r="X94" i="23"/>
  <c r="W94" i="23"/>
  <c r="V94" i="23"/>
  <c r="U94" i="23"/>
  <c r="T94" i="23"/>
  <c r="M94" i="23"/>
  <c r="L94" i="23"/>
  <c r="K94" i="23"/>
  <c r="J94" i="23"/>
  <c r="BB94" i="23" s="1"/>
  <c r="I94" i="23"/>
  <c r="BA94" i="23" s="1"/>
  <c r="H94" i="23"/>
  <c r="AZ94" i="23" s="1"/>
  <c r="F94" i="23"/>
  <c r="AX94" i="23" s="1"/>
  <c r="AW93" i="23"/>
  <c r="AT93" i="23"/>
  <c r="AS93" i="23"/>
  <c r="AR93" i="23"/>
  <c r="AQ93" i="23"/>
  <c r="AP93" i="23"/>
  <c r="AO93" i="23"/>
  <c r="AN93" i="23"/>
  <c r="AM93" i="23"/>
  <c r="AL93" i="23"/>
  <c r="AJ93" i="23"/>
  <c r="AI93" i="23"/>
  <c r="AB93" i="23"/>
  <c r="AA93" i="23"/>
  <c r="Z93" i="23"/>
  <c r="Y93" i="23"/>
  <c r="X93" i="23"/>
  <c r="W93" i="23"/>
  <c r="V93" i="23"/>
  <c r="U93" i="23"/>
  <c r="T93" i="23"/>
  <c r="M93" i="23"/>
  <c r="L93" i="23"/>
  <c r="K93" i="23"/>
  <c r="J93" i="23"/>
  <c r="BB93" i="23" s="1"/>
  <c r="I93" i="23"/>
  <c r="BA93" i="23" s="1"/>
  <c r="H93" i="23"/>
  <c r="AZ93" i="23" s="1"/>
  <c r="F93" i="23"/>
  <c r="AX93" i="23" s="1"/>
  <c r="AW92" i="23"/>
  <c r="AT92" i="23"/>
  <c r="AS92" i="23"/>
  <c r="AR92" i="23"/>
  <c r="AQ92" i="23"/>
  <c r="AP92" i="23"/>
  <c r="AO92" i="23"/>
  <c r="AN92" i="23"/>
  <c r="AM92" i="23"/>
  <c r="AL92" i="23"/>
  <c r="AJ92" i="23"/>
  <c r="AI92" i="23"/>
  <c r="AB92" i="23"/>
  <c r="AA92" i="23"/>
  <c r="Z92" i="23"/>
  <c r="Y92" i="23"/>
  <c r="X92" i="23"/>
  <c r="W92" i="23"/>
  <c r="V92" i="23"/>
  <c r="U92" i="23"/>
  <c r="T92" i="23"/>
  <c r="M92" i="23"/>
  <c r="L92" i="23"/>
  <c r="K92" i="23"/>
  <c r="J92" i="23"/>
  <c r="BB92" i="23" s="1"/>
  <c r="I92" i="23"/>
  <c r="BA92" i="23" s="1"/>
  <c r="H92" i="23"/>
  <c r="AZ92" i="23" s="1"/>
  <c r="F92" i="23"/>
  <c r="AX92" i="23" s="1"/>
  <c r="AW91" i="23"/>
  <c r="AT91" i="23"/>
  <c r="AS91" i="23"/>
  <c r="AR91" i="23"/>
  <c r="AQ91" i="23"/>
  <c r="AP91" i="23"/>
  <c r="AO91" i="23"/>
  <c r="AN91" i="23"/>
  <c r="AM91" i="23"/>
  <c r="AL91" i="23"/>
  <c r="AJ91" i="23"/>
  <c r="AI91" i="23"/>
  <c r="AB91" i="23"/>
  <c r="AA91" i="23"/>
  <c r="Z91" i="23"/>
  <c r="Y91" i="23"/>
  <c r="X91" i="23"/>
  <c r="W91" i="23"/>
  <c r="V91" i="23"/>
  <c r="U91" i="23"/>
  <c r="T91" i="23"/>
  <c r="M91" i="23"/>
  <c r="L91" i="23"/>
  <c r="K91" i="23"/>
  <c r="J91" i="23"/>
  <c r="BB91" i="23" s="1"/>
  <c r="I91" i="23"/>
  <c r="BA91" i="23" s="1"/>
  <c r="H91" i="23"/>
  <c r="AZ91" i="23" s="1"/>
  <c r="F91" i="23"/>
  <c r="AX91" i="23" s="1"/>
  <c r="AW90" i="23"/>
  <c r="AT90" i="23"/>
  <c r="AS90" i="23"/>
  <c r="AR90" i="23"/>
  <c r="AQ90" i="23"/>
  <c r="AP90" i="23"/>
  <c r="AO90" i="23"/>
  <c r="AN90" i="23"/>
  <c r="AM90" i="23"/>
  <c r="AL90" i="23"/>
  <c r="AJ90" i="23"/>
  <c r="AI90" i="23"/>
  <c r="AB90" i="23"/>
  <c r="AA90" i="23"/>
  <c r="Z90" i="23"/>
  <c r="Y90" i="23"/>
  <c r="X90" i="23"/>
  <c r="W90" i="23"/>
  <c r="V90" i="23"/>
  <c r="U90" i="23"/>
  <c r="T90" i="23"/>
  <c r="M90" i="23"/>
  <c r="L90" i="23"/>
  <c r="K90" i="23"/>
  <c r="J90" i="23"/>
  <c r="BB90" i="23" s="1"/>
  <c r="I90" i="23"/>
  <c r="BA90" i="23" s="1"/>
  <c r="H90" i="23"/>
  <c r="AZ90" i="23" s="1"/>
  <c r="F90" i="23"/>
  <c r="AX90" i="23" s="1"/>
  <c r="AW89" i="23"/>
  <c r="AT89" i="23"/>
  <c r="AS89" i="23"/>
  <c r="AR89" i="23"/>
  <c r="AQ89" i="23"/>
  <c r="AP89" i="23"/>
  <c r="AO89" i="23"/>
  <c r="AN89" i="23"/>
  <c r="AM89" i="23"/>
  <c r="AL89" i="23"/>
  <c r="AJ89" i="23"/>
  <c r="AI89" i="23"/>
  <c r="AB89" i="23"/>
  <c r="AA89" i="23"/>
  <c r="Z89" i="23"/>
  <c r="Y89" i="23"/>
  <c r="X89" i="23"/>
  <c r="W89" i="23"/>
  <c r="V89" i="23"/>
  <c r="U89" i="23"/>
  <c r="T89" i="23"/>
  <c r="M89" i="23"/>
  <c r="L89" i="23"/>
  <c r="K89" i="23"/>
  <c r="J89" i="23"/>
  <c r="BB89" i="23" s="1"/>
  <c r="I89" i="23"/>
  <c r="BA89" i="23" s="1"/>
  <c r="H89" i="23"/>
  <c r="AZ89" i="23" s="1"/>
  <c r="F89" i="23"/>
  <c r="AX89" i="23" s="1"/>
  <c r="AW88" i="23"/>
  <c r="AT88" i="23"/>
  <c r="AS88" i="23"/>
  <c r="AR88" i="23"/>
  <c r="AQ88" i="23"/>
  <c r="AP88" i="23"/>
  <c r="AO88" i="23"/>
  <c r="AN88" i="23"/>
  <c r="AM88" i="23"/>
  <c r="AL88" i="23"/>
  <c r="AJ88" i="23"/>
  <c r="AI88" i="23"/>
  <c r="AB88" i="23"/>
  <c r="AA88" i="23"/>
  <c r="Z88" i="23"/>
  <c r="Y88" i="23"/>
  <c r="X88" i="23"/>
  <c r="W88" i="23"/>
  <c r="V88" i="23"/>
  <c r="U88" i="23"/>
  <c r="T88" i="23"/>
  <c r="M88" i="23"/>
  <c r="L88" i="23"/>
  <c r="K88" i="23"/>
  <c r="J88" i="23"/>
  <c r="BB88" i="23" s="1"/>
  <c r="I88" i="23"/>
  <c r="BA88" i="23" s="1"/>
  <c r="H88" i="23"/>
  <c r="AZ88" i="23" s="1"/>
  <c r="F88" i="23"/>
  <c r="AX88" i="23" s="1"/>
  <c r="AW87" i="23"/>
  <c r="AT87" i="23"/>
  <c r="AS87" i="23"/>
  <c r="AR87" i="23"/>
  <c r="AQ87" i="23"/>
  <c r="AP87" i="23"/>
  <c r="AO87" i="23"/>
  <c r="AN87" i="23"/>
  <c r="AM87" i="23"/>
  <c r="AL87" i="23"/>
  <c r="AJ87" i="23"/>
  <c r="AI87" i="23"/>
  <c r="AB87" i="23"/>
  <c r="AA87" i="23"/>
  <c r="Z87" i="23"/>
  <c r="Y87" i="23"/>
  <c r="X87" i="23"/>
  <c r="W87" i="23"/>
  <c r="V87" i="23"/>
  <c r="U87" i="23"/>
  <c r="T87" i="23"/>
  <c r="M87" i="23"/>
  <c r="L87" i="23"/>
  <c r="K87" i="23"/>
  <c r="J87" i="23"/>
  <c r="BB87" i="23" s="1"/>
  <c r="I87" i="23"/>
  <c r="BA87" i="23" s="1"/>
  <c r="H87" i="23"/>
  <c r="AZ87" i="23" s="1"/>
  <c r="F87" i="23"/>
  <c r="AX87" i="23" s="1"/>
  <c r="AW86" i="23"/>
  <c r="AT86" i="23"/>
  <c r="AS86" i="23"/>
  <c r="AR86" i="23"/>
  <c r="AQ86" i="23"/>
  <c r="AP86" i="23"/>
  <c r="AO86" i="23"/>
  <c r="AN86" i="23"/>
  <c r="AM86" i="23"/>
  <c r="AL86" i="23"/>
  <c r="AJ86" i="23"/>
  <c r="AI86" i="23"/>
  <c r="AB86" i="23"/>
  <c r="AA86" i="23"/>
  <c r="Z86" i="23"/>
  <c r="Y86" i="23"/>
  <c r="X86" i="23"/>
  <c r="W86" i="23"/>
  <c r="V86" i="23"/>
  <c r="U86" i="23"/>
  <c r="T86" i="23"/>
  <c r="M86" i="23"/>
  <c r="L86" i="23"/>
  <c r="K86" i="23"/>
  <c r="J86" i="23"/>
  <c r="BB86" i="23" s="1"/>
  <c r="I86" i="23"/>
  <c r="BA86" i="23" s="1"/>
  <c r="H86" i="23"/>
  <c r="AZ86" i="23" s="1"/>
  <c r="F86" i="23"/>
  <c r="AX86" i="23" s="1"/>
  <c r="AW85" i="23"/>
  <c r="AT85" i="23"/>
  <c r="AS85" i="23"/>
  <c r="AR85" i="23"/>
  <c r="AQ85" i="23"/>
  <c r="AP85" i="23"/>
  <c r="AO85" i="23"/>
  <c r="AN85" i="23"/>
  <c r="AM85" i="23"/>
  <c r="AL85" i="23"/>
  <c r="AJ85" i="23"/>
  <c r="AI85" i="23"/>
  <c r="AB85" i="23"/>
  <c r="AA85" i="23"/>
  <c r="Z85" i="23"/>
  <c r="Y85" i="23"/>
  <c r="X85" i="23"/>
  <c r="W85" i="23"/>
  <c r="V85" i="23"/>
  <c r="U85" i="23"/>
  <c r="T85" i="23"/>
  <c r="M85" i="23"/>
  <c r="L85" i="23"/>
  <c r="K85" i="23"/>
  <c r="J85" i="23"/>
  <c r="BB85" i="23" s="1"/>
  <c r="I85" i="23"/>
  <c r="BA85" i="23" s="1"/>
  <c r="H85" i="23"/>
  <c r="AZ85" i="23" s="1"/>
  <c r="F85" i="23"/>
  <c r="AX85" i="23" s="1"/>
  <c r="AW84" i="23"/>
  <c r="AT84" i="23"/>
  <c r="AS84" i="23"/>
  <c r="AR84" i="23"/>
  <c r="AQ84" i="23"/>
  <c r="AP84" i="23"/>
  <c r="AO84" i="23"/>
  <c r="AN84" i="23"/>
  <c r="AM84" i="23"/>
  <c r="AL84" i="23"/>
  <c r="AJ84" i="23"/>
  <c r="AI84" i="23"/>
  <c r="AB84" i="23"/>
  <c r="AA84" i="23"/>
  <c r="Z84" i="23"/>
  <c r="Y84" i="23"/>
  <c r="X84" i="23"/>
  <c r="W84" i="23"/>
  <c r="V84" i="23"/>
  <c r="U84" i="23"/>
  <c r="T84" i="23"/>
  <c r="M84" i="23"/>
  <c r="L84" i="23"/>
  <c r="K84" i="23"/>
  <c r="J84" i="23"/>
  <c r="BB84" i="23" s="1"/>
  <c r="I84" i="23"/>
  <c r="BA84" i="23" s="1"/>
  <c r="H84" i="23"/>
  <c r="AZ84" i="23" s="1"/>
  <c r="F84" i="23"/>
  <c r="AX84" i="23" s="1"/>
  <c r="AW83" i="23"/>
  <c r="AT83" i="23"/>
  <c r="AS83" i="23"/>
  <c r="AR83" i="23"/>
  <c r="AQ83" i="23"/>
  <c r="AP83" i="23"/>
  <c r="AO83" i="23"/>
  <c r="AN83" i="23"/>
  <c r="AM83" i="23"/>
  <c r="AL83" i="23"/>
  <c r="AJ83" i="23"/>
  <c r="AI83" i="23"/>
  <c r="AB83" i="23"/>
  <c r="AA83" i="23"/>
  <c r="Z83" i="23"/>
  <c r="Y83" i="23"/>
  <c r="X83" i="23"/>
  <c r="W83" i="23"/>
  <c r="V83" i="23"/>
  <c r="U83" i="23"/>
  <c r="T83" i="23"/>
  <c r="M83" i="23"/>
  <c r="L83" i="23"/>
  <c r="K83" i="23"/>
  <c r="J83" i="23"/>
  <c r="BB83" i="23" s="1"/>
  <c r="I83" i="23"/>
  <c r="BA83" i="23" s="1"/>
  <c r="H83" i="23"/>
  <c r="AZ83" i="23" s="1"/>
  <c r="F83" i="23"/>
  <c r="AX83" i="23" s="1"/>
  <c r="AW82" i="23"/>
  <c r="AT82" i="23"/>
  <c r="AS82" i="23"/>
  <c r="AR82" i="23"/>
  <c r="AQ82" i="23"/>
  <c r="AP82" i="23"/>
  <c r="AO82" i="23"/>
  <c r="AN82" i="23"/>
  <c r="AM82" i="23"/>
  <c r="AL82" i="23"/>
  <c r="AJ82" i="23"/>
  <c r="AI82" i="23"/>
  <c r="AB82" i="23"/>
  <c r="AA82" i="23"/>
  <c r="Z82" i="23"/>
  <c r="Y82" i="23"/>
  <c r="X82" i="23"/>
  <c r="W82" i="23"/>
  <c r="V82" i="23"/>
  <c r="U82" i="23"/>
  <c r="T82" i="23"/>
  <c r="M82" i="23"/>
  <c r="L82" i="23"/>
  <c r="K82" i="23"/>
  <c r="J82" i="23"/>
  <c r="BB82" i="23" s="1"/>
  <c r="I82" i="23"/>
  <c r="BA82" i="23" s="1"/>
  <c r="H82" i="23"/>
  <c r="AZ82" i="23" s="1"/>
  <c r="F82" i="23"/>
  <c r="AX82" i="23" s="1"/>
  <c r="AW81" i="23"/>
  <c r="AT81" i="23"/>
  <c r="AS81" i="23"/>
  <c r="AR81" i="23"/>
  <c r="AQ81" i="23"/>
  <c r="AP81" i="23"/>
  <c r="AO81" i="23"/>
  <c r="AN81" i="23"/>
  <c r="AM81" i="23"/>
  <c r="AL81" i="23"/>
  <c r="AJ81" i="23"/>
  <c r="AI81" i="23"/>
  <c r="AB81" i="23"/>
  <c r="AA81" i="23"/>
  <c r="Z81" i="23"/>
  <c r="Y81" i="23"/>
  <c r="X81" i="23"/>
  <c r="W81" i="23"/>
  <c r="V81" i="23"/>
  <c r="U81" i="23"/>
  <c r="T81" i="23"/>
  <c r="M81" i="23"/>
  <c r="L81" i="23"/>
  <c r="K81" i="23"/>
  <c r="J81" i="23"/>
  <c r="BB81" i="23" s="1"/>
  <c r="I81" i="23"/>
  <c r="BA81" i="23" s="1"/>
  <c r="H81" i="23"/>
  <c r="AZ81" i="23" s="1"/>
  <c r="F81" i="23"/>
  <c r="AX81" i="23" s="1"/>
  <c r="AW80" i="23"/>
  <c r="AT80" i="23"/>
  <c r="AS80" i="23"/>
  <c r="AR80" i="23"/>
  <c r="AQ80" i="23"/>
  <c r="AP80" i="23"/>
  <c r="AO80" i="23"/>
  <c r="AN80" i="23"/>
  <c r="AM80" i="23"/>
  <c r="AL80" i="23"/>
  <c r="AJ80" i="23"/>
  <c r="AI80" i="23"/>
  <c r="AB80" i="23"/>
  <c r="AA80" i="23"/>
  <c r="Z80" i="23"/>
  <c r="Y80" i="23"/>
  <c r="X80" i="23"/>
  <c r="W80" i="23"/>
  <c r="V80" i="23"/>
  <c r="U80" i="23"/>
  <c r="T80" i="23"/>
  <c r="M80" i="23"/>
  <c r="L80" i="23"/>
  <c r="K80" i="23"/>
  <c r="J80" i="23"/>
  <c r="BB80" i="23" s="1"/>
  <c r="I80" i="23"/>
  <c r="BA80" i="23" s="1"/>
  <c r="H80" i="23"/>
  <c r="AZ80" i="23" s="1"/>
  <c r="F80" i="23"/>
  <c r="AX80" i="23" s="1"/>
  <c r="AW79" i="23"/>
  <c r="AT79" i="23"/>
  <c r="AS79" i="23"/>
  <c r="AR79" i="23"/>
  <c r="AQ79" i="23"/>
  <c r="AP79" i="23"/>
  <c r="AO79" i="23"/>
  <c r="AN79" i="23"/>
  <c r="AM79" i="23"/>
  <c r="AL79" i="23"/>
  <c r="AJ79" i="23"/>
  <c r="AI79" i="23"/>
  <c r="AB79" i="23"/>
  <c r="AA79" i="23"/>
  <c r="Z79" i="23"/>
  <c r="Y79" i="23"/>
  <c r="X79" i="23"/>
  <c r="W79" i="23"/>
  <c r="V79" i="23"/>
  <c r="U79" i="23"/>
  <c r="T79" i="23"/>
  <c r="M79" i="23"/>
  <c r="L79" i="23"/>
  <c r="K79" i="23"/>
  <c r="J79" i="23"/>
  <c r="BB79" i="23" s="1"/>
  <c r="I79" i="23"/>
  <c r="BA79" i="23" s="1"/>
  <c r="H79" i="23"/>
  <c r="AZ79" i="23" s="1"/>
  <c r="F79" i="23"/>
  <c r="AX79" i="23" s="1"/>
  <c r="AW78" i="23"/>
  <c r="AT78" i="23"/>
  <c r="AS78" i="23"/>
  <c r="AR78" i="23"/>
  <c r="AQ78" i="23"/>
  <c r="AP78" i="23"/>
  <c r="AO78" i="23"/>
  <c r="AN78" i="23"/>
  <c r="AM78" i="23"/>
  <c r="AL78" i="23"/>
  <c r="AJ78" i="23"/>
  <c r="AI78" i="23"/>
  <c r="AB78" i="23"/>
  <c r="AA78" i="23"/>
  <c r="Z78" i="23"/>
  <c r="Y78" i="23"/>
  <c r="X78" i="23"/>
  <c r="W78" i="23"/>
  <c r="V78" i="23"/>
  <c r="U78" i="23"/>
  <c r="T78" i="23"/>
  <c r="M78" i="23"/>
  <c r="L78" i="23"/>
  <c r="K78" i="23"/>
  <c r="J78" i="23"/>
  <c r="BB78" i="23" s="1"/>
  <c r="I78" i="23"/>
  <c r="BA78" i="23" s="1"/>
  <c r="H78" i="23"/>
  <c r="AZ78" i="23" s="1"/>
  <c r="F78" i="23"/>
  <c r="AX78" i="23" s="1"/>
  <c r="AW77" i="23"/>
  <c r="AT77" i="23"/>
  <c r="AS77" i="23"/>
  <c r="AR77" i="23"/>
  <c r="AQ77" i="23"/>
  <c r="AP77" i="23"/>
  <c r="AO77" i="23"/>
  <c r="AN77" i="23"/>
  <c r="AM77" i="23"/>
  <c r="AL77" i="23"/>
  <c r="AJ77" i="23"/>
  <c r="AI77" i="23"/>
  <c r="AB77" i="23"/>
  <c r="AA77" i="23"/>
  <c r="Z77" i="23"/>
  <c r="Y77" i="23"/>
  <c r="X77" i="23"/>
  <c r="W77" i="23"/>
  <c r="V77" i="23"/>
  <c r="U77" i="23"/>
  <c r="T77" i="23"/>
  <c r="M77" i="23"/>
  <c r="L77" i="23"/>
  <c r="K77" i="23"/>
  <c r="J77" i="23"/>
  <c r="BB77" i="23" s="1"/>
  <c r="I77" i="23"/>
  <c r="BA77" i="23" s="1"/>
  <c r="H77" i="23"/>
  <c r="AZ77" i="23" s="1"/>
  <c r="F77" i="23"/>
  <c r="AX77" i="23" s="1"/>
  <c r="AW76" i="23"/>
  <c r="AT76" i="23"/>
  <c r="AS76" i="23"/>
  <c r="AR76" i="23"/>
  <c r="AQ76" i="23"/>
  <c r="AP76" i="23"/>
  <c r="AO76" i="23"/>
  <c r="AN76" i="23"/>
  <c r="AM76" i="23"/>
  <c r="AL76" i="23"/>
  <c r="AJ76" i="23"/>
  <c r="AI76" i="23"/>
  <c r="AB76" i="23"/>
  <c r="AA76" i="23"/>
  <c r="Z76" i="23"/>
  <c r="Y76" i="23"/>
  <c r="X76" i="23"/>
  <c r="W76" i="23"/>
  <c r="V76" i="23"/>
  <c r="U76" i="23"/>
  <c r="T76" i="23"/>
  <c r="M76" i="23"/>
  <c r="L76" i="23"/>
  <c r="K76" i="23"/>
  <c r="J76" i="23"/>
  <c r="BB76" i="23" s="1"/>
  <c r="I76" i="23"/>
  <c r="BA76" i="23" s="1"/>
  <c r="H76" i="23"/>
  <c r="AZ76" i="23" s="1"/>
  <c r="F76" i="23"/>
  <c r="AX76" i="23" s="1"/>
  <c r="AW75" i="23"/>
  <c r="AT75" i="23"/>
  <c r="AS75" i="23"/>
  <c r="AR75" i="23"/>
  <c r="AQ75" i="23"/>
  <c r="AP75" i="23"/>
  <c r="AO75" i="23"/>
  <c r="AN75" i="23"/>
  <c r="AM75" i="23"/>
  <c r="AL75" i="23"/>
  <c r="AJ75" i="23"/>
  <c r="AI75" i="23"/>
  <c r="AB75" i="23"/>
  <c r="AA75" i="23"/>
  <c r="Z75" i="23"/>
  <c r="Y75" i="23"/>
  <c r="X75" i="23"/>
  <c r="W75" i="23"/>
  <c r="V75" i="23"/>
  <c r="U75" i="23"/>
  <c r="T75" i="23"/>
  <c r="M75" i="23"/>
  <c r="L75" i="23"/>
  <c r="K75" i="23"/>
  <c r="J75" i="23"/>
  <c r="BB75" i="23" s="1"/>
  <c r="I75" i="23"/>
  <c r="BA75" i="23" s="1"/>
  <c r="H75" i="23"/>
  <c r="AZ75" i="23" s="1"/>
  <c r="F75" i="23"/>
  <c r="AX75" i="23" s="1"/>
  <c r="AW74" i="23"/>
  <c r="AT74" i="23"/>
  <c r="AS74" i="23"/>
  <c r="AR74" i="23"/>
  <c r="AQ74" i="23"/>
  <c r="AP74" i="23"/>
  <c r="AO74" i="23"/>
  <c r="AN74" i="23"/>
  <c r="AM74" i="23"/>
  <c r="AL74" i="23"/>
  <c r="AJ74" i="23"/>
  <c r="AI74" i="23"/>
  <c r="AB74" i="23"/>
  <c r="AA74" i="23"/>
  <c r="Z74" i="23"/>
  <c r="Y74" i="23"/>
  <c r="X74" i="23"/>
  <c r="W74" i="23"/>
  <c r="V74" i="23"/>
  <c r="U74" i="23"/>
  <c r="T74" i="23"/>
  <c r="M74" i="23"/>
  <c r="L74" i="23"/>
  <c r="K74" i="23"/>
  <c r="J74" i="23"/>
  <c r="BB74" i="23" s="1"/>
  <c r="I74" i="23"/>
  <c r="BA74" i="23" s="1"/>
  <c r="H74" i="23"/>
  <c r="AZ74" i="23" s="1"/>
  <c r="F74" i="23"/>
  <c r="AX74" i="23" s="1"/>
  <c r="AW73" i="23"/>
  <c r="AT73" i="23"/>
  <c r="AS73" i="23"/>
  <c r="AR73" i="23"/>
  <c r="AQ73" i="23"/>
  <c r="AP73" i="23"/>
  <c r="AO73" i="23"/>
  <c r="AN73" i="23"/>
  <c r="AM73" i="23"/>
  <c r="AL73" i="23"/>
  <c r="AJ73" i="23"/>
  <c r="AI73" i="23"/>
  <c r="AB73" i="23"/>
  <c r="AA73" i="23"/>
  <c r="Z73" i="23"/>
  <c r="Y73" i="23"/>
  <c r="X73" i="23"/>
  <c r="W73" i="23"/>
  <c r="V73" i="23"/>
  <c r="U73" i="23"/>
  <c r="T73" i="23"/>
  <c r="M73" i="23"/>
  <c r="L73" i="23"/>
  <c r="K73" i="23"/>
  <c r="J73" i="23"/>
  <c r="BB73" i="23" s="1"/>
  <c r="I73" i="23"/>
  <c r="BA73" i="23" s="1"/>
  <c r="H73" i="23"/>
  <c r="AZ73" i="23" s="1"/>
  <c r="F73" i="23"/>
  <c r="AX73" i="23" s="1"/>
  <c r="AW72" i="23"/>
  <c r="AT72" i="23"/>
  <c r="AS72" i="23"/>
  <c r="AR72" i="23"/>
  <c r="AQ72" i="23"/>
  <c r="AP72" i="23"/>
  <c r="AO72" i="23"/>
  <c r="AN72" i="23"/>
  <c r="AM72" i="23"/>
  <c r="AL72" i="23"/>
  <c r="AJ72" i="23"/>
  <c r="AI72" i="23"/>
  <c r="AB72" i="23"/>
  <c r="AA72" i="23"/>
  <c r="Z72" i="23"/>
  <c r="Y72" i="23"/>
  <c r="X72" i="23"/>
  <c r="W72" i="23"/>
  <c r="V72" i="23"/>
  <c r="U72" i="23"/>
  <c r="T72" i="23"/>
  <c r="M72" i="23"/>
  <c r="L72" i="23"/>
  <c r="K72" i="23"/>
  <c r="J72" i="23"/>
  <c r="BB72" i="23" s="1"/>
  <c r="I72" i="23"/>
  <c r="BA72" i="23" s="1"/>
  <c r="H72" i="23"/>
  <c r="AZ72" i="23" s="1"/>
  <c r="F72" i="23"/>
  <c r="AX72" i="23" s="1"/>
  <c r="AW71" i="23"/>
  <c r="AT71" i="23"/>
  <c r="AS71" i="23"/>
  <c r="AR71" i="23"/>
  <c r="AQ71" i="23"/>
  <c r="AP71" i="23"/>
  <c r="AO71" i="23"/>
  <c r="AN71" i="23"/>
  <c r="AM71" i="23"/>
  <c r="AL71" i="23"/>
  <c r="AJ71" i="23"/>
  <c r="AI71" i="23"/>
  <c r="AB71" i="23"/>
  <c r="AA71" i="23"/>
  <c r="Z71" i="23"/>
  <c r="Y71" i="23"/>
  <c r="X71" i="23"/>
  <c r="W71" i="23"/>
  <c r="V71" i="23"/>
  <c r="U71" i="23"/>
  <c r="T71" i="23"/>
  <c r="M71" i="23"/>
  <c r="L71" i="23"/>
  <c r="K71" i="23"/>
  <c r="J71" i="23"/>
  <c r="BB71" i="23" s="1"/>
  <c r="I71" i="23"/>
  <c r="BA71" i="23" s="1"/>
  <c r="H71" i="23"/>
  <c r="AZ71" i="23" s="1"/>
  <c r="F71" i="23"/>
  <c r="AX71" i="23" s="1"/>
  <c r="AW70" i="23"/>
  <c r="AT70" i="23"/>
  <c r="AS70" i="23"/>
  <c r="AR70" i="23"/>
  <c r="AQ70" i="23"/>
  <c r="AP70" i="23"/>
  <c r="AO70" i="23"/>
  <c r="AN70" i="23"/>
  <c r="AM70" i="23"/>
  <c r="AL70" i="23"/>
  <c r="AJ70" i="23"/>
  <c r="AI70" i="23"/>
  <c r="AB70" i="23"/>
  <c r="AA70" i="23"/>
  <c r="Z70" i="23"/>
  <c r="Y70" i="23"/>
  <c r="X70" i="23"/>
  <c r="W70" i="23"/>
  <c r="V70" i="23"/>
  <c r="U70" i="23"/>
  <c r="T70" i="23"/>
  <c r="M70" i="23"/>
  <c r="L70" i="23"/>
  <c r="K70" i="23"/>
  <c r="J70" i="23"/>
  <c r="BB70" i="23" s="1"/>
  <c r="I70" i="23"/>
  <c r="BA70" i="23" s="1"/>
  <c r="H70" i="23"/>
  <c r="AZ70" i="23" s="1"/>
  <c r="F70" i="23"/>
  <c r="AX70" i="23" s="1"/>
  <c r="AW69" i="23"/>
  <c r="AT69" i="23"/>
  <c r="AS69" i="23"/>
  <c r="AR69" i="23"/>
  <c r="AQ69" i="23"/>
  <c r="AP69" i="23"/>
  <c r="AO69" i="23"/>
  <c r="AN69" i="23"/>
  <c r="AM69" i="23"/>
  <c r="AL69" i="23"/>
  <c r="AJ69" i="23"/>
  <c r="AI69" i="23"/>
  <c r="AB69" i="23"/>
  <c r="AA69" i="23"/>
  <c r="Z69" i="23"/>
  <c r="Y69" i="23"/>
  <c r="X69" i="23"/>
  <c r="W69" i="23"/>
  <c r="V69" i="23"/>
  <c r="U69" i="23"/>
  <c r="T69" i="23"/>
  <c r="M69" i="23"/>
  <c r="L69" i="23"/>
  <c r="K69" i="23"/>
  <c r="J69" i="23"/>
  <c r="BB69" i="23" s="1"/>
  <c r="I69" i="23"/>
  <c r="BA69" i="23" s="1"/>
  <c r="H69" i="23"/>
  <c r="AZ69" i="23" s="1"/>
  <c r="F69" i="23"/>
  <c r="AX69" i="23" s="1"/>
  <c r="AW68" i="23"/>
  <c r="AT68" i="23"/>
  <c r="AS68" i="23"/>
  <c r="AR68" i="23"/>
  <c r="AQ68" i="23"/>
  <c r="AP68" i="23"/>
  <c r="AO68" i="23"/>
  <c r="AN68" i="23"/>
  <c r="AM68" i="23"/>
  <c r="AL68" i="23"/>
  <c r="AJ68" i="23"/>
  <c r="AI68" i="23"/>
  <c r="AB68" i="23"/>
  <c r="AA68" i="23"/>
  <c r="Z68" i="23"/>
  <c r="Y68" i="23"/>
  <c r="X68" i="23"/>
  <c r="W68" i="23"/>
  <c r="V68" i="23"/>
  <c r="U68" i="23"/>
  <c r="T68" i="23"/>
  <c r="M68" i="23"/>
  <c r="L68" i="23"/>
  <c r="K68" i="23"/>
  <c r="J68" i="23"/>
  <c r="BB68" i="23" s="1"/>
  <c r="I68" i="23"/>
  <c r="BA68" i="23" s="1"/>
  <c r="H68" i="23"/>
  <c r="AZ68" i="23" s="1"/>
  <c r="F68" i="23"/>
  <c r="AX68" i="23" s="1"/>
  <c r="AW67" i="23"/>
  <c r="AT67" i="23"/>
  <c r="AS67" i="23"/>
  <c r="AR67" i="23"/>
  <c r="AQ67" i="23"/>
  <c r="AP67" i="23"/>
  <c r="AO67" i="23"/>
  <c r="AN67" i="23"/>
  <c r="AM67" i="23"/>
  <c r="AL67" i="23"/>
  <c r="AJ67" i="23"/>
  <c r="AI67" i="23"/>
  <c r="AB67" i="23"/>
  <c r="AA67" i="23"/>
  <c r="Z67" i="23"/>
  <c r="Y67" i="23"/>
  <c r="X67" i="23"/>
  <c r="W67" i="23"/>
  <c r="V67" i="23"/>
  <c r="U67" i="23"/>
  <c r="T67" i="23"/>
  <c r="M67" i="23"/>
  <c r="L67" i="23"/>
  <c r="K67" i="23"/>
  <c r="J67" i="23"/>
  <c r="BB67" i="23" s="1"/>
  <c r="I67" i="23"/>
  <c r="BA67" i="23" s="1"/>
  <c r="H67" i="23"/>
  <c r="AZ67" i="23" s="1"/>
  <c r="F67" i="23"/>
  <c r="AX67" i="23" s="1"/>
  <c r="AW66" i="23"/>
  <c r="AT66" i="23"/>
  <c r="AS66" i="23"/>
  <c r="AR66" i="23"/>
  <c r="AQ66" i="23"/>
  <c r="AP66" i="23"/>
  <c r="AO66" i="23"/>
  <c r="AN66" i="23"/>
  <c r="AM66" i="23"/>
  <c r="AL66" i="23"/>
  <c r="AJ66" i="23"/>
  <c r="AI66" i="23"/>
  <c r="AB66" i="23"/>
  <c r="AA66" i="23"/>
  <c r="Z66" i="23"/>
  <c r="Y66" i="23"/>
  <c r="X66" i="23"/>
  <c r="W66" i="23"/>
  <c r="V66" i="23"/>
  <c r="U66" i="23"/>
  <c r="T66" i="23"/>
  <c r="M66" i="23"/>
  <c r="L66" i="23"/>
  <c r="K66" i="23"/>
  <c r="J66" i="23"/>
  <c r="BB66" i="23" s="1"/>
  <c r="I66" i="23"/>
  <c r="BA66" i="23" s="1"/>
  <c r="H66" i="23"/>
  <c r="AZ66" i="23" s="1"/>
  <c r="F66" i="23"/>
  <c r="AX66" i="23" s="1"/>
  <c r="AW65" i="23"/>
  <c r="AT65" i="23"/>
  <c r="AS65" i="23"/>
  <c r="AR65" i="23"/>
  <c r="AQ65" i="23"/>
  <c r="AP65" i="23"/>
  <c r="AO65" i="23"/>
  <c r="AN65" i="23"/>
  <c r="AM65" i="23"/>
  <c r="AL65" i="23"/>
  <c r="AJ65" i="23"/>
  <c r="AI65" i="23"/>
  <c r="AB65" i="23"/>
  <c r="AA65" i="23"/>
  <c r="Z65" i="23"/>
  <c r="Y65" i="23"/>
  <c r="X65" i="23"/>
  <c r="W65" i="23"/>
  <c r="V65" i="23"/>
  <c r="U65" i="23"/>
  <c r="T65" i="23"/>
  <c r="M65" i="23"/>
  <c r="L65" i="23"/>
  <c r="K65" i="23"/>
  <c r="J65" i="23"/>
  <c r="BB65" i="23" s="1"/>
  <c r="I65" i="23"/>
  <c r="BA65" i="23" s="1"/>
  <c r="H65" i="23"/>
  <c r="AZ65" i="23" s="1"/>
  <c r="F65" i="23"/>
  <c r="AX65" i="23" s="1"/>
  <c r="AW64" i="23"/>
  <c r="AT64" i="23"/>
  <c r="AS64" i="23"/>
  <c r="AR64" i="23"/>
  <c r="AQ64" i="23"/>
  <c r="AP64" i="23"/>
  <c r="AO64" i="23"/>
  <c r="AN64" i="23"/>
  <c r="AM64" i="23"/>
  <c r="AL64" i="23"/>
  <c r="AJ64" i="23"/>
  <c r="AI64" i="23"/>
  <c r="AB64" i="23"/>
  <c r="AA64" i="23"/>
  <c r="Z64" i="23"/>
  <c r="Y64" i="23"/>
  <c r="X64" i="23"/>
  <c r="W64" i="23"/>
  <c r="V64" i="23"/>
  <c r="U64" i="23"/>
  <c r="T64" i="23"/>
  <c r="M64" i="23"/>
  <c r="L64" i="23"/>
  <c r="K64" i="23"/>
  <c r="J64" i="23"/>
  <c r="BB64" i="23" s="1"/>
  <c r="I64" i="23"/>
  <c r="BA64" i="23" s="1"/>
  <c r="H64" i="23"/>
  <c r="AZ64" i="23" s="1"/>
  <c r="F64" i="23"/>
  <c r="AX64" i="23" s="1"/>
  <c r="AW63" i="23"/>
  <c r="AT63" i="23"/>
  <c r="AS63" i="23"/>
  <c r="AR63" i="23"/>
  <c r="AQ63" i="23"/>
  <c r="AP63" i="23"/>
  <c r="AO63" i="23"/>
  <c r="AN63" i="23"/>
  <c r="AM63" i="23"/>
  <c r="AL63" i="23"/>
  <c r="AJ63" i="23"/>
  <c r="AI63" i="23"/>
  <c r="AB63" i="23"/>
  <c r="AA63" i="23"/>
  <c r="Z63" i="23"/>
  <c r="Y63" i="23"/>
  <c r="X63" i="23"/>
  <c r="W63" i="23"/>
  <c r="V63" i="23"/>
  <c r="U63" i="23"/>
  <c r="T63" i="23"/>
  <c r="M63" i="23"/>
  <c r="L63" i="23"/>
  <c r="K63" i="23"/>
  <c r="J63" i="23"/>
  <c r="BB63" i="23" s="1"/>
  <c r="I63" i="23"/>
  <c r="BA63" i="23" s="1"/>
  <c r="H63" i="23"/>
  <c r="AZ63" i="23" s="1"/>
  <c r="F63" i="23"/>
  <c r="AX63" i="23" s="1"/>
  <c r="AW62" i="23"/>
  <c r="AT62" i="23"/>
  <c r="AS62" i="23"/>
  <c r="AR62" i="23"/>
  <c r="AQ62" i="23"/>
  <c r="AP62" i="23"/>
  <c r="AO62" i="23"/>
  <c r="AN62" i="23"/>
  <c r="AM62" i="23"/>
  <c r="AL62" i="23"/>
  <c r="AJ62" i="23"/>
  <c r="AI62" i="23"/>
  <c r="AB62" i="23"/>
  <c r="AA62" i="23"/>
  <c r="Z62" i="23"/>
  <c r="Y62" i="23"/>
  <c r="X62" i="23"/>
  <c r="W62" i="23"/>
  <c r="V62" i="23"/>
  <c r="U62" i="23"/>
  <c r="T62" i="23"/>
  <c r="M62" i="23"/>
  <c r="L62" i="23"/>
  <c r="K62" i="23"/>
  <c r="J62" i="23"/>
  <c r="BB62" i="23" s="1"/>
  <c r="I62" i="23"/>
  <c r="BA62" i="23" s="1"/>
  <c r="H62" i="23"/>
  <c r="AZ62" i="23" s="1"/>
  <c r="F62" i="23"/>
  <c r="AX62" i="23" s="1"/>
  <c r="AW61" i="23"/>
  <c r="AT61" i="23"/>
  <c r="AS61" i="23"/>
  <c r="AR61" i="23"/>
  <c r="AQ61" i="23"/>
  <c r="AP61" i="23"/>
  <c r="AO61" i="23"/>
  <c r="AN61" i="23"/>
  <c r="AM61" i="23"/>
  <c r="AL61" i="23"/>
  <c r="AJ61" i="23"/>
  <c r="AI61" i="23"/>
  <c r="AB61" i="23"/>
  <c r="AA61" i="23"/>
  <c r="Z61" i="23"/>
  <c r="Y61" i="23"/>
  <c r="X61" i="23"/>
  <c r="W61" i="23"/>
  <c r="V61" i="23"/>
  <c r="U61" i="23"/>
  <c r="T61" i="23"/>
  <c r="M61" i="23"/>
  <c r="L61" i="23"/>
  <c r="K61" i="23"/>
  <c r="J61" i="23"/>
  <c r="BB61" i="23" s="1"/>
  <c r="I61" i="23"/>
  <c r="BA61" i="23" s="1"/>
  <c r="H61" i="23"/>
  <c r="AZ61" i="23" s="1"/>
  <c r="F61" i="23"/>
  <c r="AX61" i="23" s="1"/>
  <c r="AW60" i="23"/>
  <c r="AT60" i="23"/>
  <c r="AS60" i="23"/>
  <c r="AR60" i="23"/>
  <c r="AQ60" i="23"/>
  <c r="AP60" i="23"/>
  <c r="AO60" i="23"/>
  <c r="AN60" i="23"/>
  <c r="AM60" i="23"/>
  <c r="AL60" i="23"/>
  <c r="AJ60" i="23"/>
  <c r="AI60" i="23"/>
  <c r="AB60" i="23"/>
  <c r="AA60" i="23"/>
  <c r="Z60" i="23"/>
  <c r="Y60" i="23"/>
  <c r="X60" i="23"/>
  <c r="W60" i="23"/>
  <c r="V60" i="23"/>
  <c r="U60" i="23"/>
  <c r="T60" i="23"/>
  <c r="M60" i="23"/>
  <c r="L60" i="23"/>
  <c r="K60" i="23"/>
  <c r="J60" i="23"/>
  <c r="BB60" i="23" s="1"/>
  <c r="I60" i="23"/>
  <c r="BA60" i="23" s="1"/>
  <c r="H60" i="23"/>
  <c r="AZ60" i="23" s="1"/>
  <c r="F60" i="23"/>
  <c r="AX60" i="23" s="1"/>
  <c r="AW59" i="23"/>
  <c r="AT59" i="23"/>
  <c r="AS59" i="23"/>
  <c r="AR59" i="23"/>
  <c r="AQ59" i="23"/>
  <c r="AP59" i="23"/>
  <c r="AO59" i="23"/>
  <c r="AN59" i="23"/>
  <c r="AM59" i="23"/>
  <c r="AL59" i="23"/>
  <c r="AJ59" i="23"/>
  <c r="AI59" i="23"/>
  <c r="AB59" i="23"/>
  <c r="AA59" i="23"/>
  <c r="Z59" i="23"/>
  <c r="Y59" i="23"/>
  <c r="X59" i="23"/>
  <c r="W59" i="23"/>
  <c r="V59" i="23"/>
  <c r="U59" i="23"/>
  <c r="T59" i="23"/>
  <c r="M59" i="23"/>
  <c r="L59" i="23"/>
  <c r="K59" i="23"/>
  <c r="J59" i="23"/>
  <c r="BB59" i="23" s="1"/>
  <c r="I59" i="23"/>
  <c r="BA59" i="23" s="1"/>
  <c r="H59" i="23"/>
  <c r="AZ59" i="23" s="1"/>
  <c r="F59" i="23"/>
  <c r="AX59" i="23" s="1"/>
  <c r="AW58" i="23"/>
  <c r="AT58" i="23"/>
  <c r="AS58" i="23"/>
  <c r="AR58" i="23"/>
  <c r="AQ58" i="23"/>
  <c r="AP58" i="23"/>
  <c r="AO58" i="23"/>
  <c r="AN58" i="23"/>
  <c r="AM58" i="23"/>
  <c r="AL58" i="23"/>
  <c r="AJ58" i="23"/>
  <c r="AI58" i="23"/>
  <c r="AB58" i="23"/>
  <c r="AA58" i="23"/>
  <c r="Z58" i="23"/>
  <c r="Y58" i="23"/>
  <c r="X58" i="23"/>
  <c r="W58" i="23"/>
  <c r="V58" i="23"/>
  <c r="U58" i="23"/>
  <c r="T58" i="23"/>
  <c r="M58" i="23"/>
  <c r="L58" i="23"/>
  <c r="K58" i="23"/>
  <c r="J58" i="23"/>
  <c r="BB58" i="23" s="1"/>
  <c r="I58" i="23"/>
  <c r="BA58" i="23" s="1"/>
  <c r="H58" i="23"/>
  <c r="AZ58" i="23" s="1"/>
  <c r="F58" i="23"/>
  <c r="AX58" i="23" s="1"/>
  <c r="AW57" i="23"/>
  <c r="AT57" i="23"/>
  <c r="AS57" i="23"/>
  <c r="AR57" i="23"/>
  <c r="AQ57" i="23"/>
  <c r="AP57" i="23"/>
  <c r="AO57" i="23"/>
  <c r="AN57" i="23"/>
  <c r="AM57" i="23"/>
  <c r="AL57" i="23"/>
  <c r="AJ57" i="23"/>
  <c r="AI57" i="23"/>
  <c r="AB57" i="23"/>
  <c r="AA57" i="23"/>
  <c r="Z57" i="23"/>
  <c r="Y57" i="23"/>
  <c r="X57" i="23"/>
  <c r="W57" i="23"/>
  <c r="V57" i="23"/>
  <c r="U57" i="23"/>
  <c r="T57" i="23"/>
  <c r="M57" i="23"/>
  <c r="L57" i="23"/>
  <c r="K57" i="23"/>
  <c r="J57" i="23"/>
  <c r="BB57" i="23" s="1"/>
  <c r="I57" i="23"/>
  <c r="BA57" i="23" s="1"/>
  <c r="H57" i="23"/>
  <c r="AZ57" i="23" s="1"/>
  <c r="F57" i="23"/>
  <c r="AX57" i="23" s="1"/>
  <c r="AW56" i="23"/>
  <c r="AT56" i="23"/>
  <c r="AS56" i="23"/>
  <c r="AR56" i="23"/>
  <c r="AQ56" i="23"/>
  <c r="AP56" i="23"/>
  <c r="AO56" i="23"/>
  <c r="AN56" i="23"/>
  <c r="AM56" i="23"/>
  <c r="AL56" i="23"/>
  <c r="AJ56" i="23"/>
  <c r="AI56" i="23"/>
  <c r="AB56" i="23"/>
  <c r="AA56" i="23"/>
  <c r="Z56" i="23"/>
  <c r="Y56" i="23"/>
  <c r="X56" i="23"/>
  <c r="W56" i="23"/>
  <c r="V56" i="23"/>
  <c r="U56" i="23"/>
  <c r="T56" i="23"/>
  <c r="M56" i="23"/>
  <c r="L56" i="23"/>
  <c r="K56" i="23"/>
  <c r="J56" i="23"/>
  <c r="BB56" i="23" s="1"/>
  <c r="I56" i="23"/>
  <c r="BA56" i="23" s="1"/>
  <c r="H56" i="23"/>
  <c r="AZ56" i="23" s="1"/>
  <c r="F56" i="23"/>
  <c r="AX56" i="23" s="1"/>
  <c r="AW55" i="23"/>
  <c r="AT55" i="23"/>
  <c r="AS55" i="23"/>
  <c r="AR55" i="23"/>
  <c r="AQ55" i="23"/>
  <c r="AP55" i="23"/>
  <c r="AO55" i="23"/>
  <c r="AN55" i="23"/>
  <c r="AM55" i="23"/>
  <c r="AL55" i="23"/>
  <c r="AJ55" i="23"/>
  <c r="AI55" i="23"/>
  <c r="AB55" i="23"/>
  <c r="AA55" i="23"/>
  <c r="Z55" i="23"/>
  <c r="Y55" i="23"/>
  <c r="X55" i="23"/>
  <c r="W55" i="23"/>
  <c r="V55" i="23"/>
  <c r="U55" i="23"/>
  <c r="T55" i="23"/>
  <c r="M55" i="23"/>
  <c r="L55" i="23"/>
  <c r="K55" i="23"/>
  <c r="J55" i="23"/>
  <c r="BB55" i="23" s="1"/>
  <c r="I55" i="23"/>
  <c r="BA55" i="23" s="1"/>
  <c r="H55" i="23"/>
  <c r="AZ55" i="23" s="1"/>
  <c r="F55" i="23"/>
  <c r="AX55" i="23" s="1"/>
  <c r="AW54" i="23"/>
  <c r="AT54" i="23"/>
  <c r="AS54" i="23"/>
  <c r="AR54" i="23"/>
  <c r="AQ54" i="23"/>
  <c r="AP54" i="23"/>
  <c r="AO54" i="23"/>
  <c r="AN54" i="23"/>
  <c r="AM54" i="23"/>
  <c r="AL54" i="23"/>
  <c r="AJ54" i="23"/>
  <c r="AI54" i="23"/>
  <c r="AB54" i="23"/>
  <c r="AA54" i="23"/>
  <c r="Z54" i="23"/>
  <c r="Y54" i="23"/>
  <c r="X54" i="23"/>
  <c r="W54" i="23"/>
  <c r="V54" i="23"/>
  <c r="U54" i="23"/>
  <c r="T54" i="23"/>
  <c r="M54" i="23"/>
  <c r="L54" i="23"/>
  <c r="K54" i="23"/>
  <c r="J54" i="23"/>
  <c r="BB54" i="23" s="1"/>
  <c r="I54" i="23"/>
  <c r="BA54" i="23" s="1"/>
  <c r="H54" i="23"/>
  <c r="AZ54" i="23" s="1"/>
  <c r="F54" i="23"/>
  <c r="AX54" i="23" s="1"/>
  <c r="AW53" i="23"/>
  <c r="AT53" i="23"/>
  <c r="AS53" i="23"/>
  <c r="AR53" i="23"/>
  <c r="AQ53" i="23"/>
  <c r="AP53" i="23"/>
  <c r="AO53" i="23"/>
  <c r="AN53" i="23"/>
  <c r="AM53" i="23"/>
  <c r="AL53" i="23"/>
  <c r="AJ53" i="23"/>
  <c r="AI53" i="23"/>
  <c r="AB53" i="23"/>
  <c r="AA53" i="23"/>
  <c r="Z53" i="23"/>
  <c r="Y53" i="23"/>
  <c r="X53" i="23"/>
  <c r="W53" i="23"/>
  <c r="V53" i="23"/>
  <c r="U53" i="23"/>
  <c r="T53" i="23"/>
  <c r="M53" i="23"/>
  <c r="L53" i="23"/>
  <c r="K53" i="23"/>
  <c r="J53" i="23"/>
  <c r="BB53" i="23" s="1"/>
  <c r="I53" i="23"/>
  <c r="BA53" i="23" s="1"/>
  <c r="H53" i="23"/>
  <c r="AZ53" i="23" s="1"/>
  <c r="F53" i="23"/>
  <c r="AX53" i="23" s="1"/>
  <c r="AW52" i="23"/>
  <c r="AT52" i="23"/>
  <c r="AS52" i="23"/>
  <c r="AR52" i="23"/>
  <c r="AQ52" i="23"/>
  <c r="AP52" i="23"/>
  <c r="AO52" i="23"/>
  <c r="AN52" i="23"/>
  <c r="AM52" i="23"/>
  <c r="AL52" i="23"/>
  <c r="AJ52" i="23"/>
  <c r="AI52" i="23"/>
  <c r="AB52" i="23"/>
  <c r="AA52" i="23"/>
  <c r="Z52" i="23"/>
  <c r="Y52" i="23"/>
  <c r="X52" i="23"/>
  <c r="W52" i="23"/>
  <c r="V52" i="23"/>
  <c r="U52" i="23"/>
  <c r="T52" i="23"/>
  <c r="M52" i="23"/>
  <c r="L52" i="23"/>
  <c r="K52" i="23"/>
  <c r="J52" i="23"/>
  <c r="BB52" i="23" s="1"/>
  <c r="I52" i="23"/>
  <c r="BA52" i="23" s="1"/>
  <c r="H52" i="23"/>
  <c r="AZ52" i="23" s="1"/>
  <c r="F52" i="23"/>
  <c r="AX52" i="23" s="1"/>
  <c r="AW51" i="23"/>
  <c r="AT51" i="23"/>
  <c r="AS51" i="23"/>
  <c r="AR51" i="23"/>
  <c r="AQ51" i="23"/>
  <c r="AP51" i="23"/>
  <c r="AO51" i="23"/>
  <c r="AN51" i="23"/>
  <c r="AM51" i="23"/>
  <c r="AL51" i="23"/>
  <c r="AJ51" i="23"/>
  <c r="AI51" i="23"/>
  <c r="AB51" i="23"/>
  <c r="AA51" i="23"/>
  <c r="Z51" i="23"/>
  <c r="Y51" i="23"/>
  <c r="X51" i="23"/>
  <c r="W51" i="23"/>
  <c r="V51" i="23"/>
  <c r="U51" i="23"/>
  <c r="T51" i="23"/>
  <c r="M51" i="23"/>
  <c r="L51" i="23"/>
  <c r="K51" i="23"/>
  <c r="J51" i="23"/>
  <c r="BB51" i="23" s="1"/>
  <c r="I51" i="23"/>
  <c r="BA51" i="23" s="1"/>
  <c r="H51" i="23"/>
  <c r="AZ51" i="23" s="1"/>
  <c r="F51" i="23"/>
  <c r="AX51" i="23" s="1"/>
  <c r="AW50" i="23"/>
  <c r="AT50" i="23"/>
  <c r="AS50" i="23"/>
  <c r="AR50" i="23"/>
  <c r="AQ50" i="23"/>
  <c r="AP50" i="23"/>
  <c r="AO50" i="23"/>
  <c r="AN50" i="23"/>
  <c r="AM50" i="23"/>
  <c r="AL50" i="23"/>
  <c r="AJ50" i="23"/>
  <c r="AI50" i="23"/>
  <c r="AB50" i="23"/>
  <c r="AA50" i="23"/>
  <c r="Z50" i="23"/>
  <c r="Y50" i="23"/>
  <c r="X50" i="23"/>
  <c r="W50" i="23"/>
  <c r="V50" i="23"/>
  <c r="U50" i="23"/>
  <c r="T50" i="23"/>
  <c r="M50" i="23"/>
  <c r="L50" i="23"/>
  <c r="K50" i="23"/>
  <c r="J50" i="23"/>
  <c r="BB50" i="23" s="1"/>
  <c r="I50" i="23"/>
  <c r="BA50" i="23" s="1"/>
  <c r="H50" i="23"/>
  <c r="AZ50" i="23" s="1"/>
  <c r="F50" i="23"/>
  <c r="AX50" i="23" s="1"/>
  <c r="AW49" i="23"/>
  <c r="AT49" i="23"/>
  <c r="AS49" i="23"/>
  <c r="AR49" i="23"/>
  <c r="AQ49" i="23"/>
  <c r="AP49" i="23"/>
  <c r="AO49" i="23"/>
  <c r="AN49" i="23"/>
  <c r="AM49" i="23"/>
  <c r="AL49" i="23"/>
  <c r="AJ49" i="23"/>
  <c r="AI49" i="23"/>
  <c r="AB49" i="23"/>
  <c r="AA49" i="23"/>
  <c r="Z49" i="23"/>
  <c r="Y49" i="23"/>
  <c r="X49" i="23"/>
  <c r="W49" i="23"/>
  <c r="V49" i="23"/>
  <c r="U49" i="23"/>
  <c r="T49" i="23"/>
  <c r="M49" i="23"/>
  <c r="L49" i="23"/>
  <c r="K49" i="23"/>
  <c r="J49" i="23"/>
  <c r="BB49" i="23" s="1"/>
  <c r="I49" i="23"/>
  <c r="BA49" i="23" s="1"/>
  <c r="H49" i="23"/>
  <c r="AZ49" i="23" s="1"/>
  <c r="F49" i="23"/>
  <c r="AX49" i="23" s="1"/>
  <c r="AW48" i="23"/>
  <c r="AT48" i="23"/>
  <c r="AS48" i="23"/>
  <c r="AR48" i="23"/>
  <c r="AQ48" i="23"/>
  <c r="AP48" i="23"/>
  <c r="AO48" i="23"/>
  <c r="AN48" i="23"/>
  <c r="AM48" i="23"/>
  <c r="AL48" i="23"/>
  <c r="AJ48" i="23"/>
  <c r="AI48" i="23"/>
  <c r="AB48" i="23"/>
  <c r="AA48" i="23"/>
  <c r="Z48" i="23"/>
  <c r="Y48" i="23"/>
  <c r="X48" i="23"/>
  <c r="W48" i="23"/>
  <c r="V48" i="23"/>
  <c r="U48" i="23"/>
  <c r="T48" i="23"/>
  <c r="M48" i="23"/>
  <c r="L48" i="23"/>
  <c r="K48" i="23"/>
  <c r="J48" i="23"/>
  <c r="BB48" i="23" s="1"/>
  <c r="I48" i="23"/>
  <c r="BA48" i="23" s="1"/>
  <c r="H48" i="23"/>
  <c r="AZ48" i="23" s="1"/>
  <c r="F48" i="23"/>
  <c r="AX48" i="23" s="1"/>
  <c r="AW47" i="23"/>
  <c r="AT47" i="23"/>
  <c r="AS47" i="23"/>
  <c r="AR47" i="23"/>
  <c r="AQ47" i="23"/>
  <c r="AP47" i="23"/>
  <c r="AO47" i="23"/>
  <c r="AN47" i="23"/>
  <c r="AM47" i="23"/>
  <c r="AL47" i="23"/>
  <c r="AJ47" i="23"/>
  <c r="AI47" i="23"/>
  <c r="AB47" i="23"/>
  <c r="AA47" i="23"/>
  <c r="Z47" i="23"/>
  <c r="Y47" i="23"/>
  <c r="X47" i="23"/>
  <c r="W47" i="23"/>
  <c r="V47" i="23"/>
  <c r="U47" i="23"/>
  <c r="T47" i="23"/>
  <c r="M47" i="23"/>
  <c r="L47" i="23"/>
  <c r="K47" i="23"/>
  <c r="J47" i="23"/>
  <c r="BB47" i="23" s="1"/>
  <c r="I47" i="23"/>
  <c r="BA47" i="23" s="1"/>
  <c r="H47" i="23"/>
  <c r="AZ47" i="23" s="1"/>
  <c r="F47" i="23"/>
  <c r="AX47" i="23" s="1"/>
  <c r="AW46" i="23"/>
  <c r="AT46" i="23"/>
  <c r="AS46" i="23"/>
  <c r="AR46" i="23"/>
  <c r="AQ46" i="23"/>
  <c r="AP46" i="23"/>
  <c r="AO46" i="23"/>
  <c r="AN46" i="23"/>
  <c r="AM46" i="23"/>
  <c r="AL46" i="23"/>
  <c r="AJ46" i="23"/>
  <c r="AI46" i="23"/>
  <c r="AB46" i="23"/>
  <c r="AA46" i="23"/>
  <c r="Z46" i="23"/>
  <c r="Y46" i="23"/>
  <c r="X46" i="23"/>
  <c r="W46" i="23"/>
  <c r="V46" i="23"/>
  <c r="U46" i="23"/>
  <c r="T46" i="23"/>
  <c r="M46" i="23"/>
  <c r="L46" i="23"/>
  <c r="K46" i="23"/>
  <c r="J46" i="23"/>
  <c r="BB46" i="23" s="1"/>
  <c r="I46" i="23"/>
  <c r="BA46" i="23" s="1"/>
  <c r="H46" i="23"/>
  <c r="AZ46" i="23" s="1"/>
  <c r="F46" i="23"/>
  <c r="AX46" i="23" s="1"/>
  <c r="AW45" i="23"/>
  <c r="AT45" i="23"/>
  <c r="AS45" i="23"/>
  <c r="AR45" i="23"/>
  <c r="AQ45" i="23"/>
  <c r="AP45" i="23"/>
  <c r="AO45" i="23"/>
  <c r="AN45" i="23"/>
  <c r="AM45" i="23"/>
  <c r="AL45" i="23"/>
  <c r="AJ45" i="23"/>
  <c r="AI45" i="23"/>
  <c r="AB45" i="23"/>
  <c r="AA45" i="23"/>
  <c r="Z45" i="23"/>
  <c r="Y45" i="23"/>
  <c r="X45" i="23"/>
  <c r="W45" i="23"/>
  <c r="V45" i="23"/>
  <c r="U45" i="23"/>
  <c r="T45" i="23"/>
  <c r="M45" i="23"/>
  <c r="L45" i="23"/>
  <c r="K45" i="23"/>
  <c r="J45" i="23"/>
  <c r="BB45" i="23" s="1"/>
  <c r="I45" i="23"/>
  <c r="BA45" i="23" s="1"/>
  <c r="H45" i="23"/>
  <c r="AZ45" i="23" s="1"/>
  <c r="F45" i="23"/>
  <c r="AX45" i="23" s="1"/>
  <c r="AW44" i="23"/>
  <c r="AT44" i="23"/>
  <c r="AS44" i="23"/>
  <c r="AR44" i="23"/>
  <c r="AQ44" i="23"/>
  <c r="AP44" i="23"/>
  <c r="AO44" i="23"/>
  <c r="AN44" i="23"/>
  <c r="AM44" i="23"/>
  <c r="AL44" i="23"/>
  <c r="AJ44" i="23"/>
  <c r="AI44" i="23"/>
  <c r="AB44" i="23"/>
  <c r="AA44" i="23"/>
  <c r="Z44" i="23"/>
  <c r="Y44" i="23"/>
  <c r="X44" i="23"/>
  <c r="W44" i="23"/>
  <c r="V44" i="23"/>
  <c r="U44" i="23"/>
  <c r="T44" i="23"/>
  <c r="M44" i="23"/>
  <c r="L44" i="23"/>
  <c r="K44" i="23"/>
  <c r="J44" i="23"/>
  <c r="BB44" i="23" s="1"/>
  <c r="I44" i="23"/>
  <c r="BA44" i="23" s="1"/>
  <c r="H44" i="23"/>
  <c r="AZ44" i="23" s="1"/>
  <c r="F44" i="23"/>
  <c r="AX44" i="23" s="1"/>
  <c r="AW43" i="23"/>
  <c r="AT43" i="23"/>
  <c r="AS43" i="23"/>
  <c r="AR43" i="23"/>
  <c r="AQ43" i="23"/>
  <c r="AP43" i="23"/>
  <c r="AO43" i="23"/>
  <c r="AN43" i="23"/>
  <c r="AM43" i="23"/>
  <c r="AL43" i="23"/>
  <c r="AJ43" i="23"/>
  <c r="AI43" i="23"/>
  <c r="AB43" i="23"/>
  <c r="AA43" i="23"/>
  <c r="Z43" i="23"/>
  <c r="Y43" i="23"/>
  <c r="X43" i="23"/>
  <c r="W43" i="23"/>
  <c r="V43" i="23"/>
  <c r="U43" i="23"/>
  <c r="T43" i="23"/>
  <c r="M43" i="23"/>
  <c r="L43" i="23"/>
  <c r="K43" i="23"/>
  <c r="J43" i="23"/>
  <c r="BB43" i="23" s="1"/>
  <c r="I43" i="23"/>
  <c r="BA43" i="23" s="1"/>
  <c r="H43" i="23"/>
  <c r="AZ43" i="23" s="1"/>
  <c r="F43" i="23"/>
  <c r="AX43" i="23" s="1"/>
  <c r="AW42" i="23"/>
  <c r="AT42" i="23"/>
  <c r="AS42" i="23"/>
  <c r="AR42" i="23"/>
  <c r="AQ42" i="23"/>
  <c r="AP42" i="23"/>
  <c r="AO42" i="23"/>
  <c r="AN42" i="23"/>
  <c r="AM42" i="23"/>
  <c r="AL42" i="23"/>
  <c r="AJ42" i="23"/>
  <c r="AI42" i="23"/>
  <c r="AB42" i="23"/>
  <c r="AA42" i="23"/>
  <c r="Z42" i="23"/>
  <c r="Y42" i="23"/>
  <c r="X42" i="23"/>
  <c r="W42" i="23"/>
  <c r="V42" i="23"/>
  <c r="U42" i="23"/>
  <c r="T42" i="23"/>
  <c r="M42" i="23"/>
  <c r="L42" i="23"/>
  <c r="K42" i="23"/>
  <c r="J42" i="23"/>
  <c r="BB42" i="23" s="1"/>
  <c r="I42" i="23"/>
  <c r="BA42" i="23" s="1"/>
  <c r="H42" i="23"/>
  <c r="AZ42" i="23" s="1"/>
  <c r="F42" i="23"/>
  <c r="AX42" i="23" s="1"/>
  <c r="AW41" i="23"/>
  <c r="AT41" i="23"/>
  <c r="AS41" i="23"/>
  <c r="AR41" i="23"/>
  <c r="AQ41" i="23"/>
  <c r="AP41" i="23"/>
  <c r="AO41" i="23"/>
  <c r="AN41" i="23"/>
  <c r="AM41" i="23"/>
  <c r="AL41" i="23"/>
  <c r="AJ41" i="23"/>
  <c r="AI41" i="23"/>
  <c r="AB41" i="23"/>
  <c r="AA41" i="23"/>
  <c r="Z41" i="23"/>
  <c r="Y41" i="23"/>
  <c r="X41" i="23"/>
  <c r="W41" i="23"/>
  <c r="V41" i="23"/>
  <c r="U41" i="23"/>
  <c r="T41" i="23"/>
  <c r="M41" i="23"/>
  <c r="L41" i="23"/>
  <c r="K41" i="23"/>
  <c r="J41" i="23"/>
  <c r="BB41" i="23" s="1"/>
  <c r="I41" i="23"/>
  <c r="BA41" i="23" s="1"/>
  <c r="H41" i="23"/>
  <c r="AZ41" i="23" s="1"/>
  <c r="F41" i="23"/>
  <c r="AX41" i="23" s="1"/>
  <c r="AW40" i="23"/>
  <c r="AT40" i="23"/>
  <c r="AS40" i="23"/>
  <c r="AR40" i="23"/>
  <c r="AQ40" i="23"/>
  <c r="AP40" i="23"/>
  <c r="AO40" i="23"/>
  <c r="AN40" i="23"/>
  <c r="AM40" i="23"/>
  <c r="AL40" i="23"/>
  <c r="AJ40" i="23"/>
  <c r="AI40" i="23"/>
  <c r="AB40" i="23"/>
  <c r="AA40" i="23"/>
  <c r="Z40" i="23"/>
  <c r="Y40" i="23"/>
  <c r="X40" i="23"/>
  <c r="W40" i="23"/>
  <c r="V40" i="23"/>
  <c r="U40" i="23"/>
  <c r="T40" i="23"/>
  <c r="M40" i="23"/>
  <c r="L40" i="23"/>
  <c r="K40" i="23"/>
  <c r="J40" i="23"/>
  <c r="BB40" i="23" s="1"/>
  <c r="I40" i="23"/>
  <c r="BA40" i="23" s="1"/>
  <c r="H40" i="23"/>
  <c r="AZ40" i="23" s="1"/>
  <c r="F40" i="23"/>
  <c r="AX40" i="23" s="1"/>
  <c r="AW39" i="23"/>
  <c r="AT39" i="23"/>
  <c r="AS39" i="23"/>
  <c r="AR39" i="23"/>
  <c r="AQ39" i="23"/>
  <c r="AP39" i="23"/>
  <c r="AO39" i="23"/>
  <c r="AN39" i="23"/>
  <c r="AM39" i="23"/>
  <c r="AL39" i="23"/>
  <c r="AJ39" i="23"/>
  <c r="AI39" i="23"/>
  <c r="AB39" i="23"/>
  <c r="AA39" i="23"/>
  <c r="Z39" i="23"/>
  <c r="Y39" i="23"/>
  <c r="X39" i="23"/>
  <c r="W39" i="23"/>
  <c r="V39" i="23"/>
  <c r="U39" i="23"/>
  <c r="T39" i="23"/>
  <c r="M39" i="23"/>
  <c r="L39" i="23"/>
  <c r="K39" i="23"/>
  <c r="J39" i="23"/>
  <c r="BB39" i="23" s="1"/>
  <c r="I39" i="23"/>
  <c r="BA39" i="23" s="1"/>
  <c r="H39" i="23"/>
  <c r="AZ39" i="23" s="1"/>
  <c r="F39" i="23"/>
  <c r="AX39" i="23" s="1"/>
  <c r="AW38" i="23"/>
  <c r="AT38" i="23"/>
  <c r="AS38" i="23"/>
  <c r="AR38" i="23"/>
  <c r="AQ38" i="23"/>
  <c r="AP38" i="23"/>
  <c r="AO38" i="23"/>
  <c r="AN38" i="23"/>
  <c r="AM38" i="23"/>
  <c r="AL38" i="23"/>
  <c r="AJ38" i="23"/>
  <c r="AI38" i="23"/>
  <c r="AB38" i="23"/>
  <c r="AA38" i="23"/>
  <c r="Z38" i="23"/>
  <c r="Y38" i="23"/>
  <c r="X38" i="23"/>
  <c r="W38" i="23"/>
  <c r="V38" i="23"/>
  <c r="U38" i="23"/>
  <c r="T38" i="23"/>
  <c r="M38" i="23"/>
  <c r="L38" i="23"/>
  <c r="K38" i="23"/>
  <c r="J38" i="23"/>
  <c r="BB38" i="23" s="1"/>
  <c r="I38" i="23"/>
  <c r="BA38" i="23" s="1"/>
  <c r="H38" i="23"/>
  <c r="AZ38" i="23" s="1"/>
  <c r="F38" i="23"/>
  <c r="AX38" i="23" s="1"/>
  <c r="AW37" i="23"/>
  <c r="AT37" i="23"/>
  <c r="AS37" i="23"/>
  <c r="AR37" i="23"/>
  <c r="AQ37" i="23"/>
  <c r="AP37" i="23"/>
  <c r="AO37" i="23"/>
  <c r="AN37" i="23"/>
  <c r="AM37" i="23"/>
  <c r="AL37" i="23"/>
  <c r="AJ37" i="23"/>
  <c r="AI37" i="23"/>
  <c r="AB37" i="23"/>
  <c r="AA37" i="23"/>
  <c r="Z37" i="23"/>
  <c r="Y37" i="23"/>
  <c r="X37" i="23"/>
  <c r="W37" i="23"/>
  <c r="V37" i="23"/>
  <c r="U37" i="23"/>
  <c r="T37" i="23"/>
  <c r="M37" i="23"/>
  <c r="L37" i="23"/>
  <c r="K37" i="23"/>
  <c r="J37" i="23"/>
  <c r="BB37" i="23" s="1"/>
  <c r="I37" i="23"/>
  <c r="BA37" i="23" s="1"/>
  <c r="H37" i="23"/>
  <c r="AZ37" i="23" s="1"/>
  <c r="F37" i="23"/>
  <c r="AX37" i="23" s="1"/>
  <c r="AW36" i="23"/>
  <c r="AT36" i="23"/>
  <c r="AS36" i="23"/>
  <c r="AR36" i="23"/>
  <c r="AQ36" i="23"/>
  <c r="AP36" i="23"/>
  <c r="AO36" i="23"/>
  <c r="AN36" i="23"/>
  <c r="AM36" i="23"/>
  <c r="AL36" i="23"/>
  <c r="AJ36" i="23"/>
  <c r="AI36" i="23"/>
  <c r="AB36" i="23"/>
  <c r="AA36" i="23"/>
  <c r="Z36" i="23"/>
  <c r="Y36" i="23"/>
  <c r="X36" i="23"/>
  <c r="W36" i="23"/>
  <c r="V36" i="23"/>
  <c r="U36" i="23"/>
  <c r="T36" i="23"/>
  <c r="M36" i="23"/>
  <c r="L36" i="23"/>
  <c r="K36" i="23"/>
  <c r="J36" i="23"/>
  <c r="BB36" i="23" s="1"/>
  <c r="I36" i="23"/>
  <c r="BA36" i="23" s="1"/>
  <c r="H36" i="23"/>
  <c r="AZ36" i="23" s="1"/>
  <c r="F36" i="23"/>
  <c r="AX36" i="23" s="1"/>
  <c r="AW35" i="23"/>
  <c r="AT35" i="23"/>
  <c r="AS35" i="23"/>
  <c r="AR35" i="23"/>
  <c r="AQ35" i="23"/>
  <c r="AP35" i="23"/>
  <c r="AO35" i="23"/>
  <c r="AN35" i="23"/>
  <c r="AM35" i="23"/>
  <c r="AL35" i="23"/>
  <c r="AJ35" i="23"/>
  <c r="AI35" i="23"/>
  <c r="AB35" i="23"/>
  <c r="AA35" i="23"/>
  <c r="Z35" i="23"/>
  <c r="Y35" i="23"/>
  <c r="X35" i="23"/>
  <c r="W35" i="23"/>
  <c r="V35" i="23"/>
  <c r="U35" i="23"/>
  <c r="T35" i="23"/>
  <c r="M35" i="23"/>
  <c r="L35" i="23"/>
  <c r="K35" i="23"/>
  <c r="J35" i="23"/>
  <c r="BB35" i="23" s="1"/>
  <c r="I35" i="23"/>
  <c r="BA35" i="23" s="1"/>
  <c r="H35" i="23"/>
  <c r="AZ35" i="23" s="1"/>
  <c r="F35" i="23"/>
  <c r="AX35" i="23" s="1"/>
  <c r="AW34" i="23"/>
  <c r="AT34" i="23"/>
  <c r="AS34" i="23"/>
  <c r="AR34" i="23"/>
  <c r="AQ34" i="23"/>
  <c r="AP34" i="23"/>
  <c r="AO34" i="23"/>
  <c r="AN34" i="23"/>
  <c r="AM34" i="23"/>
  <c r="AL34" i="23"/>
  <c r="AJ34" i="23"/>
  <c r="AI34" i="23"/>
  <c r="AB34" i="23"/>
  <c r="AA34" i="23"/>
  <c r="Z34" i="23"/>
  <c r="Y34" i="23"/>
  <c r="X34" i="23"/>
  <c r="W34" i="23"/>
  <c r="V34" i="23"/>
  <c r="U34" i="23"/>
  <c r="T34" i="23"/>
  <c r="M34" i="23"/>
  <c r="L34" i="23"/>
  <c r="K34" i="23"/>
  <c r="J34" i="23"/>
  <c r="BB34" i="23" s="1"/>
  <c r="I34" i="23"/>
  <c r="BA34" i="23" s="1"/>
  <c r="H34" i="23"/>
  <c r="AZ34" i="23" s="1"/>
  <c r="F34" i="23"/>
  <c r="AX34" i="23" s="1"/>
  <c r="AW33" i="23"/>
  <c r="AT33" i="23"/>
  <c r="AS33" i="23"/>
  <c r="AR33" i="23"/>
  <c r="AQ33" i="23"/>
  <c r="AP33" i="23"/>
  <c r="AO33" i="23"/>
  <c r="AN33" i="23"/>
  <c r="AM33" i="23"/>
  <c r="AL33" i="23"/>
  <c r="AJ33" i="23"/>
  <c r="AI33" i="23"/>
  <c r="AB33" i="23"/>
  <c r="AA33" i="23"/>
  <c r="Z33" i="23"/>
  <c r="Y33" i="23"/>
  <c r="X33" i="23"/>
  <c r="W33" i="23"/>
  <c r="V33" i="23"/>
  <c r="U33" i="23"/>
  <c r="T33" i="23"/>
  <c r="M33" i="23"/>
  <c r="L33" i="23"/>
  <c r="K33" i="23"/>
  <c r="J33" i="23"/>
  <c r="BB33" i="23" s="1"/>
  <c r="I33" i="23"/>
  <c r="BA33" i="23" s="1"/>
  <c r="H33" i="23"/>
  <c r="AZ33" i="23" s="1"/>
  <c r="F33" i="23"/>
  <c r="AX33" i="23" s="1"/>
  <c r="AW32" i="23"/>
  <c r="AT32" i="23"/>
  <c r="AS32" i="23"/>
  <c r="AR32" i="23"/>
  <c r="AQ32" i="23"/>
  <c r="AP32" i="23"/>
  <c r="AO32" i="23"/>
  <c r="AN32" i="23"/>
  <c r="AM32" i="23"/>
  <c r="AL32" i="23"/>
  <c r="AJ32" i="23"/>
  <c r="AI32" i="23"/>
  <c r="AB32" i="23"/>
  <c r="AA32" i="23"/>
  <c r="Z32" i="23"/>
  <c r="Y32" i="23"/>
  <c r="X32" i="23"/>
  <c r="W32" i="23"/>
  <c r="V32" i="23"/>
  <c r="U32" i="23"/>
  <c r="T32" i="23"/>
  <c r="M32" i="23"/>
  <c r="L32" i="23"/>
  <c r="K32" i="23"/>
  <c r="J32" i="23"/>
  <c r="BB32" i="23" s="1"/>
  <c r="I32" i="23"/>
  <c r="BA32" i="23" s="1"/>
  <c r="H32" i="23"/>
  <c r="AZ32" i="23" s="1"/>
  <c r="F32" i="23"/>
  <c r="AX32" i="23" s="1"/>
  <c r="AW31" i="23"/>
  <c r="AT31" i="23"/>
  <c r="AS31" i="23"/>
  <c r="AR31" i="23"/>
  <c r="AQ31" i="23"/>
  <c r="AP31" i="23"/>
  <c r="AO31" i="23"/>
  <c r="AN31" i="23"/>
  <c r="AM31" i="23"/>
  <c r="AL31" i="23"/>
  <c r="AJ31" i="23"/>
  <c r="AI31" i="23"/>
  <c r="AB31" i="23"/>
  <c r="AA31" i="23"/>
  <c r="Z31" i="23"/>
  <c r="Y31" i="23"/>
  <c r="X31" i="23"/>
  <c r="W31" i="23"/>
  <c r="V31" i="23"/>
  <c r="U31" i="23"/>
  <c r="T31" i="23"/>
  <c r="M31" i="23"/>
  <c r="L31" i="23"/>
  <c r="K31" i="23"/>
  <c r="J31" i="23"/>
  <c r="BB31" i="23" s="1"/>
  <c r="I31" i="23"/>
  <c r="BA31" i="23" s="1"/>
  <c r="H31" i="23"/>
  <c r="AZ31" i="23" s="1"/>
  <c r="F31" i="23"/>
  <c r="AX31" i="23" s="1"/>
  <c r="AW30" i="23"/>
  <c r="AT30" i="23"/>
  <c r="AS30" i="23"/>
  <c r="AR30" i="23"/>
  <c r="AQ30" i="23"/>
  <c r="AP30" i="23"/>
  <c r="AO30" i="23"/>
  <c r="AN30" i="23"/>
  <c r="AM30" i="23"/>
  <c r="AL30" i="23"/>
  <c r="AJ30" i="23"/>
  <c r="AI30" i="23"/>
  <c r="AB30" i="23"/>
  <c r="AA30" i="23"/>
  <c r="Z30" i="23"/>
  <c r="Y30" i="23"/>
  <c r="X30" i="23"/>
  <c r="W30" i="23"/>
  <c r="V30" i="23"/>
  <c r="U30" i="23"/>
  <c r="T30" i="23"/>
  <c r="M30" i="23"/>
  <c r="L30" i="23"/>
  <c r="K30" i="23"/>
  <c r="J30" i="23"/>
  <c r="BB30" i="23" s="1"/>
  <c r="I30" i="23"/>
  <c r="BA30" i="23" s="1"/>
  <c r="H30" i="23"/>
  <c r="AZ30" i="23" s="1"/>
  <c r="F30" i="23"/>
  <c r="AX30" i="23" s="1"/>
  <c r="AW29" i="23"/>
  <c r="AT29" i="23"/>
  <c r="AS29" i="23"/>
  <c r="AR29" i="23"/>
  <c r="AQ29" i="23"/>
  <c r="AP29" i="23"/>
  <c r="AO29" i="23"/>
  <c r="AN29" i="23"/>
  <c r="AM29" i="23"/>
  <c r="AL29" i="23"/>
  <c r="AJ29" i="23"/>
  <c r="AI29" i="23"/>
  <c r="AB29" i="23"/>
  <c r="AA29" i="23"/>
  <c r="Z29" i="23"/>
  <c r="Y29" i="23"/>
  <c r="X29" i="23"/>
  <c r="W29" i="23"/>
  <c r="V29" i="23"/>
  <c r="U29" i="23"/>
  <c r="T29" i="23"/>
  <c r="M29" i="23"/>
  <c r="L29" i="23"/>
  <c r="K29" i="23"/>
  <c r="J29" i="23"/>
  <c r="BB29" i="23" s="1"/>
  <c r="I29" i="23"/>
  <c r="BA29" i="23" s="1"/>
  <c r="H29" i="23"/>
  <c r="AZ29" i="23" s="1"/>
  <c r="F29" i="23"/>
  <c r="AX29" i="23" s="1"/>
  <c r="AW28" i="23"/>
  <c r="AT28" i="23"/>
  <c r="AS28" i="23"/>
  <c r="AR28" i="23"/>
  <c r="AQ28" i="23"/>
  <c r="AP28" i="23"/>
  <c r="AO28" i="23"/>
  <c r="AN28" i="23"/>
  <c r="AM28" i="23"/>
  <c r="AL28" i="23"/>
  <c r="AJ28" i="23"/>
  <c r="AI28" i="23"/>
  <c r="AB28" i="23"/>
  <c r="AA28" i="23"/>
  <c r="Z28" i="23"/>
  <c r="Y28" i="23"/>
  <c r="X28" i="23"/>
  <c r="W28" i="23"/>
  <c r="V28" i="23"/>
  <c r="U28" i="23"/>
  <c r="T28" i="23"/>
  <c r="M28" i="23"/>
  <c r="L28" i="23"/>
  <c r="K28" i="23"/>
  <c r="J28" i="23"/>
  <c r="BB28" i="23" s="1"/>
  <c r="I28" i="23"/>
  <c r="BA28" i="23" s="1"/>
  <c r="H28" i="23"/>
  <c r="AZ28" i="23" s="1"/>
  <c r="F28" i="23"/>
  <c r="AX28" i="23" s="1"/>
  <c r="AW27" i="23"/>
  <c r="AT27" i="23"/>
  <c r="AS27" i="23"/>
  <c r="AR27" i="23"/>
  <c r="AQ27" i="23"/>
  <c r="AP27" i="23"/>
  <c r="AO27" i="23"/>
  <c r="AN27" i="23"/>
  <c r="AM27" i="23"/>
  <c r="AL27" i="23"/>
  <c r="AJ27" i="23"/>
  <c r="AI27" i="23"/>
  <c r="AB27" i="23"/>
  <c r="AA27" i="23"/>
  <c r="Z27" i="23"/>
  <c r="Y27" i="23"/>
  <c r="X27" i="23"/>
  <c r="W27" i="23"/>
  <c r="V27" i="23"/>
  <c r="U27" i="23"/>
  <c r="T27" i="23"/>
  <c r="M27" i="23"/>
  <c r="L27" i="23"/>
  <c r="K27" i="23"/>
  <c r="J27" i="23"/>
  <c r="BB27" i="23" s="1"/>
  <c r="I27" i="23"/>
  <c r="BA27" i="23" s="1"/>
  <c r="H27" i="23"/>
  <c r="AZ27" i="23" s="1"/>
  <c r="F27" i="23"/>
  <c r="AX27" i="23" s="1"/>
  <c r="AW26" i="23"/>
  <c r="AT26" i="23"/>
  <c r="AS26" i="23"/>
  <c r="AR26" i="23"/>
  <c r="AQ26" i="23"/>
  <c r="AP26" i="23"/>
  <c r="AO26" i="23"/>
  <c r="AN26" i="23"/>
  <c r="AM26" i="23"/>
  <c r="AL26" i="23"/>
  <c r="AJ26" i="23"/>
  <c r="AI26" i="23"/>
  <c r="AB26" i="23"/>
  <c r="AA26" i="23"/>
  <c r="Z26" i="23"/>
  <c r="Y26" i="23"/>
  <c r="X26" i="23"/>
  <c r="W26" i="23"/>
  <c r="V26" i="23"/>
  <c r="U26" i="23"/>
  <c r="T26" i="23"/>
  <c r="M26" i="23"/>
  <c r="L26" i="23"/>
  <c r="K26" i="23"/>
  <c r="J26" i="23"/>
  <c r="BB26" i="23" s="1"/>
  <c r="I26" i="23"/>
  <c r="BA26" i="23" s="1"/>
  <c r="H26" i="23"/>
  <c r="AZ26" i="23" s="1"/>
  <c r="F26" i="23"/>
  <c r="AX26" i="23" s="1"/>
  <c r="AW25" i="23"/>
  <c r="AT25" i="23"/>
  <c r="AS25" i="23"/>
  <c r="AR25" i="23"/>
  <c r="AQ25" i="23"/>
  <c r="AP25" i="23"/>
  <c r="AO25" i="23"/>
  <c r="AN25" i="23"/>
  <c r="AM25" i="23"/>
  <c r="AL25" i="23"/>
  <c r="AJ25" i="23"/>
  <c r="AI25" i="23"/>
  <c r="AB25" i="23"/>
  <c r="AA25" i="23"/>
  <c r="Z25" i="23"/>
  <c r="Y25" i="23"/>
  <c r="X25" i="23"/>
  <c r="W25" i="23"/>
  <c r="V25" i="23"/>
  <c r="U25" i="23"/>
  <c r="T25" i="23"/>
  <c r="M25" i="23"/>
  <c r="L25" i="23"/>
  <c r="K25" i="23"/>
  <c r="J25" i="23"/>
  <c r="BB25" i="23" s="1"/>
  <c r="I25" i="23"/>
  <c r="BA25" i="23" s="1"/>
  <c r="H25" i="23"/>
  <c r="AZ25" i="23" s="1"/>
  <c r="F25" i="23"/>
  <c r="AX25" i="23" s="1"/>
  <c r="AW24" i="23"/>
  <c r="AT24" i="23"/>
  <c r="AS24" i="23"/>
  <c r="AR24" i="23"/>
  <c r="AQ24" i="23"/>
  <c r="AP24" i="23"/>
  <c r="AO24" i="23"/>
  <c r="AN24" i="23"/>
  <c r="AM24" i="23"/>
  <c r="AL24" i="23"/>
  <c r="AJ24" i="23"/>
  <c r="AI24" i="23"/>
  <c r="AB24" i="23"/>
  <c r="AA24" i="23"/>
  <c r="Z24" i="23"/>
  <c r="Y24" i="23"/>
  <c r="X24" i="23"/>
  <c r="W24" i="23"/>
  <c r="V24" i="23"/>
  <c r="U24" i="23"/>
  <c r="T24" i="23"/>
  <c r="M24" i="23"/>
  <c r="L24" i="23"/>
  <c r="K24" i="23"/>
  <c r="J24" i="23"/>
  <c r="BB24" i="23" s="1"/>
  <c r="I24" i="23"/>
  <c r="BA24" i="23" s="1"/>
  <c r="H24" i="23"/>
  <c r="AZ24" i="23" s="1"/>
  <c r="F24" i="23"/>
  <c r="AX24" i="23" s="1"/>
  <c r="AW23" i="23"/>
  <c r="AT23" i="23"/>
  <c r="AS23" i="23"/>
  <c r="AR23" i="23"/>
  <c r="AQ23" i="23"/>
  <c r="AP23" i="23"/>
  <c r="AO23" i="23"/>
  <c r="AN23" i="23"/>
  <c r="AM23" i="23"/>
  <c r="AL23" i="23"/>
  <c r="AJ23" i="23"/>
  <c r="AI23" i="23"/>
  <c r="AB23" i="23"/>
  <c r="AA23" i="23"/>
  <c r="Z23" i="23"/>
  <c r="Y23" i="23"/>
  <c r="X23" i="23"/>
  <c r="W23" i="23"/>
  <c r="V23" i="23"/>
  <c r="U23" i="23"/>
  <c r="T23" i="23"/>
  <c r="M23" i="23"/>
  <c r="L23" i="23"/>
  <c r="K23" i="23"/>
  <c r="J23" i="23"/>
  <c r="BB23" i="23" s="1"/>
  <c r="I23" i="23"/>
  <c r="BA23" i="23" s="1"/>
  <c r="H23" i="23"/>
  <c r="AZ23" i="23" s="1"/>
  <c r="F23" i="23"/>
  <c r="AX23" i="23" s="1"/>
  <c r="AW22" i="23"/>
  <c r="AT22" i="23"/>
  <c r="AS22" i="23"/>
  <c r="AR22" i="23"/>
  <c r="AQ22" i="23"/>
  <c r="AP22" i="23"/>
  <c r="AO22" i="23"/>
  <c r="AN22" i="23"/>
  <c r="AM22" i="23"/>
  <c r="AL22" i="23"/>
  <c r="AJ22" i="23"/>
  <c r="AI22" i="23"/>
  <c r="AB22" i="23"/>
  <c r="AA22" i="23"/>
  <c r="Z22" i="23"/>
  <c r="Y22" i="23"/>
  <c r="X22" i="23"/>
  <c r="W22" i="23"/>
  <c r="V22" i="23"/>
  <c r="U22" i="23"/>
  <c r="T22" i="23"/>
  <c r="M22" i="23"/>
  <c r="L22" i="23"/>
  <c r="K22" i="23"/>
  <c r="J22" i="23"/>
  <c r="BB22" i="23" s="1"/>
  <c r="I22" i="23"/>
  <c r="BA22" i="23" s="1"/>
  <c r="H22" i="23"/>
  <c r="AZ22" i="23" s="1"/>
  <c r="F22" i="23"/>
  <c r="AX22" i="23" s="1"/>
  <c r="AW21" i="23"/>
  <c r="AT21" i="23"/>
  <c r="AS21" i="23"/>
  <c r="AR21" i="23"/>
  <c r="AQ21" i="23"/>
  <c r="AP21" i="23"/>
  <c r="AO21" i="23"/>
  <c r="AN21" i="23"/>
  <c r="AM21" i="23"/>
  <c r="AL21" i="23"/>
  <c r="AJ21" i="23"/>
  <c r="AI21" i="23"/>
  <c r="AB21" i="23"/>
  <c r="AA21" i="23"/>
  <c r="Z21" i="23"/>
  <c r="Y21" i="23"/>
  <c r="X21" i="23"/>
  <c r="W21" i="23"/>
  <c r="V21" i="23"/>
  <c r="U21" i="23"/>
  <c r="T21" i="23"/>
  <c r="M21" i="23"/>
  <c r="L21" i="23"/>
  <c r="K21" i="23"/>
  <c r="J21" i="23"/>
  <c r="BB21" i="23" s="1"/>
  <c r="I21" i="23"/>
  <c r="BA21" i="23" s="1"/>
  <c r="H21" i="23"/>
  <c r="AZ21" i="23" s="1"/>
  <c r="F21" i="23"/>
  <c r="AX21" i="23" s="1"/>
  <c r="AW20" i="23"/>
  <c r="AT20" i="23"/>
  <c r="AS20" i="23"/>
  <c r="AR20" i="23"/>
  <c r="AQ20" i="23"/>
  <c r="AP20" i="23"/>
  <c r="AO20" i="23"/>
  <c r="AN20" i="23"/>
  <c r="AM20" i="23"/>
  <c r="AL20" i="23"/>
  <c r="AJ20" i="23"/>
  <c r="AI20" i="23"/>
  <c r="AB20" i="23"/>
  <c r="AA20" i="23"/>
  <c r="Z20" i="23"/>
  <c r="Y20" i="23"/>
  <c r="X20" i="23"/>
  <c r="W20" i="23"/>
  <c r="V20" i="23"/>
  <c r="U20" i="23"/>
  <c r="T20" i="23"/>
  <c r="M20" i="23"/>
  <c r="L20" i="23"/>
  <c r="K20" i="23"/>
  <c r="J20" i="23"/>
  <c r="BB20" i="23" s="1"/>
  <c r="I20" i="23"/>
  <c r="BA20" i="23" s="1"/>
  <c r="H20" i="23"/>
  <c r="AZ20" i="23" s="1"/>
  <c r="F20" i="23"/>
  <c r="AX20" i="23" s="1"/>
  <c r="AW19" i="23"/>
  <c r="AT19" i="23"/>
  <c r="AS19" i="23"/>
  <c r="AR19" i="23"/>
  <c r="AQ19" i="23"/>
  <c r="AP19" i="23"/>
  <c r="AO19" i="23"/>
  <c r="AN19" i="23"/>
  <c r="AM19" i="23"/>
  <c r="AL19" i="23"/>
  <c r="AJ19" i="23"/>
  <c r="AI19" i="23"/>
  <c r="AB19" i="23"/>
  <c r="AA19" i="23"/>
  <c r="Z19" i="23"/>
  <c r="Y19" i="23"/>
  <c r="X19" i="23"/>
  <c r="W19" i="23"/>
  <c r="V19" i="23"/>
  <c r="U19" i="23"/>
  <c r="T19" i="23"/>
  <c r="M19" i="23"/>
  <c r="L19" i="23"/>
  <c r="K19" i="23"/>
  <c r="J19" i="23"/>
  <c r="BB19" i="23" s="1"/>
  <c r="I19" i="23"/>
  <c r="BA19" i="23" s="1"/>
  <c r="H19" i="23"/>
  <c r="AZ19" i="23" s="1"/>
  <c r="F19" i="23"/>
  <c r="AX19" i="23" s="1"/>
  <c r="AW18" i="23"/>
  <c r="AT18" i="23"/>
  <c r="AS18" i="23"/>
  <c r="AR18" i="23"/>
  <c r="AQ18" i="23"/>
  <c r="AP18" i="23"/>
  <c r="AO18" i="23"/>
  <c r="AN18" i="23"/>
  <c r="AM18" i="23"/>
  <c r="AL18" i="23"/>
  <c r="AJ18" i="23"/>
  <c r="AI18" i="23"/>
  <c r="AB18" i="23"/>
  <c r="AA18" i="23"/>
  <c r="Z18" i="23"/>
  <c r="Y18" i="23"/>
  <c r="X18" i="23"/>
  <c r="W18" i="23"/>
  <c r="V18" i="23"/>
  <c r="U18" i="23"/>
  <c r="T18" i="23"/>
  <c r="M18" i="23"/>
  <c r="L18" i="23"/>
  <c r="K18" i="23"/>
  <c r="J18" i="23"/>
  <c r="BB18" i="23" s="1"/>
  <c r="I18" i="23"/>
  <c r="BA18" i="23" s="1"/>
  <c r="H18" i="23"/>
  <c r="AZ18" i="23" s="1"/>
  <c r="F18" i="23"/>
  <c r="AX18" i="23" s="1"/>
  <c r="AW17" i="23"/>
  <c r="AT17" i="23"/>
  <c r="AS17" i="23"/>
  <c r="AR17" i="23"/>
  <c r="AQ17" i="23"/>
  <c r="AP17" i="23"/>
  <c r="AO17" i="23"/>
  <c r="AN17" i="23"/>
  <c r="AM17" i="23"/>
  <c r="AL17" i="23"/>
  <c r="AJ17" i="23"/>
  <c r="AI17" i="23"/>
  <c r="AB17" i="23"/>
  <c r="AA17" i="23"/>
  <c r="Z17" i="23"/>
  <c r="Y17" i="23"/>
  <c r="X17" i="23"/>
  <c r="W17" i="23"/>
  <c r="V17" i="23"/>
  <c r="U17" i="23"/>
  <c r="T17" i="23"/>
  <c r="M17" i="23"/>
  <c r="L17" i="23"/>
  <c r="K17" i="23"/>
  <c r="J17" i="23"/>
  <c r="BB17" i="23" s="1"/>
  <c r="I17" i="23"/>
  <c r="BA17" i="23" s="1"/>
  <c r="H17" i="23"/>
  <c r="AZ17" i="23" s="1"/>
  <c r="F17" i="23"/>
  <c r="AX17" i="23" s="1"/>
  <c r="AW16" i="23"/>
  <c r="AT16" i="23"/>
  <c r="AS16" i="23"/>
  <c r="AR16" i="23"/>
  <c r="AQ16" i="23"/>
  <c r="AP16" i="23"/>
  <c r="AO16" i="23"/>
  <c r="AN16" i="23"/>
  <c r="AM16" i="23"/>
  <c r="AL16" i="23"/>
  <c r="AJ16" i="23"/>
  <c r="AI16" i="23"/>
  <c r="AB16" i="23"/>
  <c r="AA16" i="23"/>
  <c r="Z16" i="23"/>
  <c r="Y16" i="23"/>
  <c r="X16" i="23"/>
  <c r="W16" i="23"/>
  <c r="V16" i="23"/>
  <c r="U16" i="23"/>
  <c r="T16" i="23"/>
  <c r="M16" i="23"/>
  <c r="L16" i="23"/>
  <c r="K16" i="23"/>
  <c r="J16" i="23"/>
  <c r="BB16" i="23" s="1"/>
  <c r="I16" i="23"/>
  <c r="BA16" i="23" s="1"/>
  <c r="H16" i="23"/>
  <c r="AZ16" i="23" s="1"/>
  <c r="F16" i="23"/>
  <c r="AX16" i="23" s="1"/>
  <c r="AW15" i="23"/>
  <c r="AT15" i="23"/>
  <c r="AS15" i="23"/>
  <c r="AR15" i="23"/>
  <c r="AQ15" i="23"/>
  <c r="AP15" i="23"/>
  <c r="AO15" i="23"/>
  <c r="AN15" i="23"/>
  <c r="AM15" i="23"/>
  <c r="AL15" i="23"/>
  <c r="AJ15" i="23"/>
  <c r="AI15" i="23"/>
  <c r="AB15" i="23"/>
  <c r="AA15" i="23"/>
  <c r="Z15" i="23"/>
  <c r="Y15" i="23"/>
  <c r="X15" i="23"/>
  <c r="W15" i="23"/>
  <c r="V15" i="23"/>
  <c r="U15" i="23"/>
  <c r="T15" i="23"/>
  <c r="M15" i="23"/>
  <c r="L15" i="23"/>
  <c r="K15" i="23"/>
  <c r="J15" i="23"/>
  <c r="BB15" i="23" s="1"/>
  <c r="I15" i="23"/>
  <c r="BA15" i="23" s="1"/>
  <c r="H15" i="23"/>
  <c r="AZ15" i="23" s="1"/>
  <c r="F15" i="23"/>
  <c r="AX15" i="23" s="1"/>
  <c r="AW14" i="23"/>
  <c r="AT14" i="23"/>
  <c r="AS14" i="23"/>
  <c r="AR14" i="23"/>
  <c r="AQ14" i="23"/>
  <c r="AP14" i="23"/>
  <c r="AO14" i="23"/>
  <c r="AN14" i="23"/>
  <c r="AM14" i="23"/>
  <c r="AL14" i="23"/>
  <c r="AJ14" i="23"/>
  <c r="AI14" i="23"/>
  <c r="AB14" i="23"/>
  <c r="AA14" i="23"/>
  <c r="Z14" i="23"/>
  <c r="Y14" i="23"/>
  <c r="X14" i="23"/>
  <c r="W14" i="23"/>
  <c r="V14" i="23"/>
  <c r="U14" i="23"/>
  <c r="T14" i="23"/>
  <c r="M14" i="23"/>
  <c r="L14" i="23"/>
  <c r="K14" i="23"/>
  <c r="J14" i="23"/>
  <c r="BB14" i="23" s="1"/>
  <c r="I14" i="23"/>
  <c r="BA14" i="23" s="1"/>
  <c r="H14" i="23"/>
  <c r="AZ14" i="23" s="1"/>
  <c r="F14" i="23"/>
  <c r="AX14" i="23" s="1"/>
  <c r="AW13" i="23"/>
  <c r="AT13" i="23"/>
  <c r="AS13" i="23"/>
  <c r="AR13" i="23"/>
  <c r="AQ13" i="23"/>
  <c r="AP13" i="23"/>
  <c r="AO13" i="23"/>
  <c r="AN13" i="23"/>
  <c r="AM13" i="23"/>
  <c r="AL13" i="23"/>
  <c r="AJ13" i="23"/>
  <c r="AI13" i="23"/>
  <c r="AB13" i="23"/>
  <c r="AA13" i="23"/>
  <c r="Z13" i="23"/>
  <c r="Y13" i="23"/>
  <c r="X13" i="23"/>
  <c r="W13" i="23"/>
  <c r="V13" i="23"/>
  <c r="U13" i="23"/>
  <c r="T13" i="23"/>
  <c r="M13" i="23"/>
  <c r="L13" i="23"/>
  <c r="K13" i="23"/>
  <c r="J13" i="23"/>
  <c r="BB13" i="23" s="1"/>
  <c r="I13" i="23"/>
  <c r="BA13" i="23" s="1"/>
  <c r="H13" i="23"/>
  <c r="AZ13" i="23" s="1"/>
  <c r="F13" i="23"/>
  <c r="AX13" i="23" s="1"/>
  <c r="AW12" i="23"/>
  <c r="AT12" i="23"/>
  <c r="AS12" i="23"/>
  <c r="AR12" i="23"/>
  <c r="AQ12" i="23"/>
  <c r="AP12" i="23"/>
  <c r="AO12" i="23"/>
  <c r="AN12" i="23"/>
  <c r="AM12" i="23"/>
  <c r="AL12" i="23"/>
  <c r="AJ12" i="23"/>
  <c r="AI12" i="23"/>
  <c r="AB12" i="23"/>
  <c r="AA12" i="23"/>
  <c r="Z12" i="23"/>
  <c r="Y12" i="23"/>
  <c r="X12" i="23"/>
  <c r="W12" i="23"/>
  <c r="V12" i="23"/>
  <c r="U12" i="23"/>
  <c r="T12" i="23"/>
  <c r="M12" i="23"/>
  <c r="L12" i="23"/>
  <c r="K12" i="23"/>
  <c r="J12" i="23"/>
  <c r="BB12" i="23" s="1"/>
  <c r="I12" i="23"/>
  <c r="BA12" i="23" s="1"/>
  <c r="H12" i="23"/>
  <c r="AZ12" i="23" s="1"/>
  <c r="F12" i="23"/>
  <c r="AX12" i="23" s="1"/>
  <c r="AW11" i="23"/>
  <c r="AT11" i="23"/>
  <c r="AS11" i="23"/>
  <c r="AR11" i="23"/>
  <c r="AQ11" i="23"/>
  <c r="AP11" i="23"/>
  <c r="AO11" i="23"/>
  <c r="AN11" i="23"/>
  <c r="AM11" i="23"/>
  <c r="AL11" i="23"/>
  <c r="AJ11" i="23"/>
  <c r="AI11" i="23"/>
  <c r="AB11" i="23"/>
  <c r="AA11" i="23"/>
  <c r="Z11" i="23"/>
  <c r="Y11" i="23"/>
  <c r="X11" i="23"/>
  <c r="W11" i="23"/>
  <c r="V11" i="23"/>
  <c r="U11" i="23"/>
  <c r="T11" i="23"/>
  <c r="M11" i="23"/>
  <c r="L11" i="23"/>
  <c r="K11" i="23"/>
  <c r="J11" i="23"/>
  <c r="BB11" i="23" s="1"/>
  <c r="I11" i="23"/>
  <c r="BA11" i="23" s="1"/>
  <c r="H11" i="23"/>
  <c r="AZ11" i="23" s="1"/>
  <c r="F11" i="23"/>
  <c r="AX11" i="23" s="1"/>
  <c r="AW10" i="23"/>
  <c r="AT10" i="23"/>
  <c r="AS10" i="23"/>
  <c r="AR10" i="23"/>
  <c r="AQ10" i="23"/>
  <c r="AP10" i="23"/>
  <c r="AO10" i="23"/>
  <c r="AN10" i="23"/>
  <c r="AM10" i="23"/>
  <c r="AL10" i="23"/>
  <c r="AJ10" i="23"/>
  <c r="AI10" i="23"/>
  <c r="AB10" i="23"/>
  <c r="AA10" i="23"/>
  <c r="Z10" i="23"/>
  <c r="Y10" i="23"/>
  <c r="X10" i="23"/>
  <c r="W10" i="23"/>
  <c r="V10" i="23"/>
  <c r="U10" i="23"/>
  <c r="T10" i="23"/>
  <c r="M10" i="23"/>
  <c r="L10" i="23"/>
  <c r="K10" i="23"/>
  <c r="J10" i="23"/>
  <c r="BB10" i="23" s="1"/>
  <c r="I10" i="23"/>
  <c r="BA10" i="23" s="1"/>
  <c r="H10" i="23"/>
  <c r="AZ10" i="23" s="1"/>
  <c r="F10" i="23"/>
  <c r="AX10" i="23" s="1"/>
  <c r="AW9" i="23"/>
  <c r="AT9" i="23"/>
  <c r="AS9" i="23"/>
  <c r="AR9" i="23"/>
  <c r="AQ9" i="23"/>
  <c r="AP9" i="23"/>
  <c r="AO9" i="23"/>
  <c r="AN9" i="23"/>
  <c r="AM9" i="23"/>
  <c r="AL9" i="23"/>
  <c r="AJ9" i="23"/>
  <c r="AI9" i="23"/>
  <c r="AB9" i="23"/>
  <c r="AA9" i="23"/>
  <c r="Z9" i="23"/>
  <c r="Y9" i="23"/>
  <c r="X9" i="23"/>
  <c r="W9" i="23"/>
  <c r="V9" i="23"/>
  <c r="U9" i="23"/>
  <c r="T9" i="23"/>
  <c r="M9" i="23"/>
  <c r="L9" i="23"/>
  <c r="K9" i="23"/>
  <c r="J9" i="23"/>
  <c r="BB9" i="23" s="1"/>
  <c r="I9" i="23"/>
  <c r="BA9" i="23" s="1"/>
  <c r="H9" i="23"/>
  <c r="AZ9" i="23" s="1"/>
  <c r="F9" i="23"/>
  <c r="AX9" i="23" s="1"/>
  <c r="AW8" i="23"/>
  <c r="AT8" i="23"/>
  <c r="AS8" i="23"/>
  <c r="AR8" i="23"/>
  <c r="AQ8" i="23"/>
  <c r="AP8" i="23"/>
  <c r="AO8" i="23"/>
  <c r="AN8" i="23"/>
  <c r="AM8" i="23"/>
  <c r="AL8" i="23"/>
  <c r="AJ8" i="23"/>
  <c r="AI8" i="23"/>
  <c r="AB8" i="23"/>
  <c r="AA8" i="23"/>
  <c r="Z8" i="23"/>
  <c r="Y8" i="23"/>
  <c r="X8" i="23"/>
  <c r="W8" i="23"/>
  <c r="V8" i="23"/>
  <c r="U8" i="23"/>
  <c r="T8" i="23"/>
  <c r="M8" i="23"/>
  <c r="L8" i="23"/>
  <c r="K8" i="23"/>
  <c r="J8" i="23"/>
  <c r="BB8" i="23" s="1"/>
  <c r="I8" i="23"/>
  <c r="BA8" i="23" s="1"/>
  <c r="H8" i="23"/>
  <c r="AZ8" i="23" s="1"/>
  <c r="F8" i="23"/>
  <c r="AX8" i="23" s="1"/>
  <c r="AW7" i="23"/>
  <c r="AT7" i="23"/>
  <c r="AS7" i="23"/>
  <c r="AR7" i="23"/>
  <c r="AQ7" i="23"/>
  <c r="AP7" i="23"/>
  <c r="AO7" i="23"/>
  <c r="AN7" i="23"/>
  <c r="AM7" i="23"/>
  <c r="AL7" i="23"/>
  <c r="AJ7" i="23"/>
  <c r="AI7" i="23"/>
  <c r="AB7" i="23"/>
  <c r="AA7" i="23"/>
  <c r="Z7" i="23"/>
  <c r="Y7" i="23"/>
  <c r="X7" i="23"/>
  <c r="W7" i="23"/>
  <c r="V7" i="23"/>
  <c r="U7" i="23"/>
  <c r="T7" i="23"/>
  <c r="M7" i="23"/>
  <c r="L7" i="23"/>
  <c r="K7" i="23"/>
  <c r="J7" i="23"/>
  <c r="BB7" i="23" s="1"/>
  <c r="I7" i="23"/>
  <c r="BA7" i="23" s="1"/>
  <c r="H7" i="23"/>
  <c r="AZ7" i="23" s="1"/>
  <c r="F7" i="23"/>
  <c r="AX7" i="23" s="1"/>
  <c r="AW6" i="23"/>
  <c r="AT6" i="23"/>
  <c r="AS6" i="23"/>
  <c r="AR6" i="23"/>
  <c r="AQ6" i="23"/>
  <c r="AP6" i="23"/>
  <c r="AO6" i="23"/>
  <c r="AN6" i="23"/>
  <c r="AM6" i="23"/>
  <c r="AL6" i="23"/>
  <c r="AJ6" i="23"/>
  <c r="AI6" i="23"/>
  <c r="AB6" i="23"/>
  <c r="AA6" i="23"/>
  <c r="Z6" i="23"/>
  <c r="Y6" i="23"/>
  <c r="X6" i="23"/>
  <c r="W6" i="23"/>
  <c r="V6" i="23"/>
  <c r="U6" i="23"/>
  <c r="T6" i="23"/>
  <c r="M6" i="23"/>
  <c r="L6" i="23"/>
  <c r="K6" i="23"/>
  <c r="J6" i="23"/>
  <c r="BB6" i="23" s="1"/>
  <c r="I6" i="23"/>
  <c r="BA6" i="23" s="1"/>
  <c r="H6" i="23"/>
  <c r="AZ6" i="23" s="1"/>
  <c r="F6" i="23"/>
  <c r="AX6" i="23" s="1"/>
  <c r="AW5" i="23"/>
  <c r="AT5" i="23"/>
  <c r="AS5" i="23"/>
  <c r="AR5" i="23"/>
  <c r="AQ5" i="23"/>
  <c r="AP5" i="23"/>
  <c r="AO5" i="23"/>
  <c r="AN5" i="23"/>
  <c r="AM5" i="23"/>
  <c r="AL5" i="23"/>
  <c r="AJ5" i="23"/>
  <c r="AI5" i="23"/>
  <c r="AB5" i="23"/>
  <c r="AA5" i="23"/>
  <c r="Z5" i="23"/>
  <c r="Y5" i="23"/>
  <c r="X5" i="23"/>
  <c r="W5" i="23"/>
  <c r="V5" i="23"/>
  <c r="U5" i="23"/>
  <c r="T5" i="23"/>
  <c r="M5" i="23"/>
  <c r="L5" i="23"/>
  <c r="K5" i="23"/>
  <c r="J5" i="23"/>
  <c r="BB5" i="23" s="1"/>
  <c r="I5" i="23"/>
  <c r="BA5" i="23" s="1"/>
  <c r="H5" i="23"/>
  <c r="AZ5" i="23" s="1"/>
  <c r="F5" i="23"/>
  <c r="AX5" i="23" s="1"/>
  <c r="AW4" i="23"/>
  <c r="AT4" i="23"/>
  <c r="AS4" i="23"/>
  <c r="AR4" i="23"/>
  <c r="AQ4" i="23"/>
  <c r="AP4" i="23"/>
  <c r="AO4" i="23"/>
  <c r="AN4" i="23"/>
  <c r="AM4" i="23"/>
  <c r="AL4" i="23"/>
  <c r="AJ4" i="23"/>
  <c r="AI4" i="23"/>
  <c r="AB4" i="23"/>
  <c r="AA4" i="23"/>
  <c r="Z4" i="23"/>
  <c r="Y4" i="23"/>
  <c r="X4" i="23"/>
  <c r="W4" i="23"/>
  <c r="V4" i="23"/>
  <c r="U4" i="23"/>
  <c r="T4" i="23"/>
  <c r="M4" i="23"/>
  <c r="L4" i="23"/>
  <c r="K4" i="23"/>
  <c r="J4" i="23"/>
  <c r="BB4" i="23" s="1"/>
  <c r="I4" i="23"/>
  <c r="BA4" i="23" s="1"/>
  <c r="H4" i="23"/>
  <c r="AZ4" i="23" s="1"/>
  <c r="F4" i="23"/>
  <c r="AX4" i="23" s="1"/>
  <c r="AW3" i="23"/>
  <c r="AT3" i="23"/>
  <c r="AS3" i="23"/>
  <c r="AR3" i="23"/>
  <c r="AQ3" i="23"/>
  <c r="AP3" i="23"/>
  <c r="AO3" i="23"/>
  <c r="AN3" i="23"/>
  <c r="AM3" i="23"/>
  <c r="AL3" i="23"/>
  <c r="AJ3" i="23"/>
  <c r="AI3" i="23"/>
  <c r="AB3" i="23"/>
  <c r="AA3" i="23"/>
  <c r="Z3" i="23"/>
  <c r="Y3" i="23"/>
  <c r="X3" i="23"/>
  <c r="W3" i="23"/>
  <c r="V3" i="23"/>
  <c r="U3" i="23"/>
  <c r="T3" i="23"/>
  <c r="M3" i="23"/>
  <c r="L3" i="23"/>
  <c r="K3" i="23"/>
  <c r="J3" i="23"/>
  <c r="BB3" i="23" s="1"/>
  <c r="I3" i="23"/>
  <c r="BA3" i="23" s="1"/>
  <c r="H3" i="23"/>
  <c r="AZ3" i="23" s="1"/>
  <c r="F3" i="23"/>
  <c r="AX3" i="23" s="1"/>
  <c r="AW2" i="23"/>
  <c r="AT2" i="23"/>
  <c r="AS2" i="23"/>
  <c r="AR2" i="23"/>
  <c r="AQ2" i="23"/>
  <c r="AP2" i="23"/>
  <c r="AO2" i="23"/>
  <c r="AN2" i="23"/>
  <c r="AM2" i="23"/>
  <c r="AL2" i="23"/>
  <c r="AK2" i="23"/>
  <c r="AJ2" i="23"/>
  <c r="AI2" i="23"/>
  <c r="AB2" i="23"/>
  <c r="AA2" i="23"/>
  <c r="Z2" i="23"/>
  <c r="Y2" i="23"/>
  <c r="X2" i="23"/>
  <c r="W2" i="23"/>
  <c r="V2" i="23"/>
  <c r="U2" i="23"/>
  <c r="T2" i="23"/>
  <c r="M2" i="23"/>
  <c r="L2" i="23"/>
  <c r="K2" i="23"/>
  <c r="J2" i="23"/>
  <c r="BB2" i="23" s="1"/>
  <c r="I2" i="23"/>
  <c r="BA2" i="23" s="1"/>
  <c r="H2" i="23"/>
  <c r="AZ2" i="23" s="1"/>
  <c r="G2" i="23"/>
  <c r="AY2" i="23" s="1"/>
  <c r="F2" i="23"/>
  <c r="AX2" i="23" s="1"/>
  <c r="A2" i="22"/>
  <c r="A3" i="22"/>
  <c r="A4" i="22"/>
  <c r="A5" i="22"/>
  <c r="A6" i="22"/>
  <c r="A7" i="22"/>
  <c r="A8" i="22"/>
  <c r="A9" i="22"/>
  <c r="A10" i="22"/>
  <c r="A11" i="22"/>
  <c r="A12" i="22"/>
  <c r="A13" i="22"/>
  <c r="A14" i="22"/>
  <c r="A15" i="22"/>
  <c r="A16" i="22"/>
  <c r="A17" i="22"/>
  <c r="A18" i="22"/>
  <c r="A19" i="22"/>
  <c r="A20" i="22"/>
  <c r="A21" i="22"/>
  <c r="A22" i="22"/>
  <c r="A23" i="22"/>
  <c r="A24" i="22"/>
  <c r="A25" i="22"/>
  <c r="A26" i="22"/>
  <c r="A27" i="22"/>
  <c r="A28" i="22"/>
  <c r="A29" i="22"/>
  <c r="A30" i="22"/>
  <c r="A31" i="22"/>
  <c r="A32" i="22"/>
  <c r="A33" i="22"/>
  <c r="A34" i="22"/>
  <c r="A35" i="22"/>
  <c r="A36" i="22"/>
  <c r="A37" i="22"/>
  <c r="A38" i="22"/>
  <c r="A39" i="22"/>
  <c r="A40" i="22"/>
  <c r="A41" i="22"/>
  <c r="A42" i="22"/>
  <c r="A43" i="22"/>
  <c r="A44" i="22"/>
  <c r="A45" i="22"/>
  <c r="A46" i="22"/>
  <c r="A47" i="22"/>
  <c r="A48" i="22"/>
  <c r="A49" i="22"/>
  <c r="A50" i="22"/>
  <c r="A51" i="22"/>
  <c r="A52" i="22"/>
  <c r="A53" i="22"/>
  <c r="A54" i="22"/>
  <c r="A55" i="22"/>
  <c r="A56" i="22"/>
  <c r="A57" i="22"/>
  <c r="A58" i="22"/>
  <c r="A59" i="22"/>
  <c r="A60" i="22"/>
  <c r="A61" i="22"/>
  <c r="A62" i="22"/>
  <c r="A63" i="22"/>
  <c r="A64" i="22"/>
  <c r="A65" i="22"/>
  <c r="A66" i="22"/>
  <c r="A67" i="22"/>
  <c r="A68" i="22"/>
  <c r="A69" i="22"/>
  <c r="A70" i="22"/>
  <c r="A71" i="22"/>
  <c r="A72" i="22"/>
  <c r="A73" i="22"/>
  <c r="A74" i="22"/>
  <c r="A75" i="22"/>
  <c r="A76" i="22"/>
  <c r="A77" i="22"/>
  <c r="A78" i="22"/>
  <c r="A79" i="22"/>
  <c r="A80" i="22"/>
  <c r="A81" i="22"/>
  <c r="A82" i="22"/>
  <c r="A83" i="22"/>
  <c r="A84" i="22"/>
  <c r="A85" i="22"/>
  <c r="A86" i="22"/>
  <c r="A87" i="22"/>
  <c r="A88" i="22"/>
  <c r="A89" i="22"/>
  <c r="A90" i="22"/>
  <c r="A91" i="22"/>
  <c r="A92" i="22"/>
  <c r="A93" i="22"/>
  <c r="A94" i="22"/>
  <c r="A95" i="22"/>
  <c r="A96" i="22"/>
  <c r="A97" i="22"/>
  <c r="A98" i="22"/>
  <c r="A99" i="22"/>
  <c r="A100" i="22"/>
  <c r="A101" i="22"/>
  <c r="A102" i="22"/>
  <c r="A103" i="22"/>
  <c r="A104" i="22"/>
  <c r="A105" i="22"/>
  <c r="A106" i="22"/>
  <c r="A107" i="22"/>
  <c r="A108" i="22"/>
  <c r="A109" i="22"/>
  <c r="A110" i="22"/>
  <c r="A111" i="22"/>
  <c r="O2" i="22"/>
  <c r="O3" i="22"/>
  <c r="O4" i="22"/>
  <c r="O5" i="22"/>
  <c r="O6" i="22"/>
  <c r="O7" i="22"/>
  <c r="O8" i="22"/>
  <c r="O9" i="22"/>
  <c r="O10" i="22"/>
  <c r="O11" i="22"/>
  <c r="O12" i="22"/>
  <c r="O13" i="22"/>
  <c r="O14" i="22"/>
  <c r="O15" i="22"/>
  <c r="O16" i="22"/>
  <c r="O17" i="22"/>
  <c r="O18" i="22"/>
  <c r="O19" i="22"/>
  <c r="O20" i="22"/>
  <c r="O21" i="22"/>
  <c r="O22" i="22"/>
  <c r="O23" i="22"/>
  <c r="O24" i="22"/>
  <c r="O25" i="22"/>
  <c r="O26" i="22"/>
  <c r="O27" i="22"/>
  <c r="O28" i="22"/>
  <c r="O29" i="22"/>
  <c r="O30" i="22"/>
  <c r="O31" i="22"/>
  <c r="O32" i="22"/>
  <c r="O33" i="22"/>
  <c r="O34" i="22"/>
  <c r="O35" i="22"/>
  <c r="O36" i="22"/>
  <c r="O37" i="22"/>
  <c r="O38" i="22"/>
  <c r="O39" i="22"/>
  <c r="O40" i="22"/>
  <c r="O41" i="22"/>
  <c r="O42" i="22"/>
  <c r="O43" i="22"/>
  <c r="O44" i="22"/>
  <c r="O45" i="22"/>
  <c r="O46" i="22"/>
  <c r="O47" i="22"/>
  <c r="O48" i="22"/>
  <c r="O49" i="22"/>
  <c r="O50" i="22"/>
  <c r="O51" i="22"/>
  <c r="O52" i="22"/>
  <c r="O53" i="22"/>
  <c r="O54" i="22"/>
  <c r="O55" i="22"/>
  <c r="O56" i="22"/>
  <c r="O57" i="22"/>
  <c r="O58" i="22"/>
  <c r="O59" i="22"/>
  <c r="O60" i="22"/>
  <c r="O61" i="22"/>
  <c r="O62" i="22"/>
  <c r="O63" i="22"/>
  <c r="O64" i="22"/>
  <c r="O65" i="22"/>
  <c r="O66" i="22"/>
  <c r="O67" i="22"/>
  <c r="O68" i="22"/>
  <c r="O69" i="22"/>
  <c r="O70" i="22"/>
  <c r="O71" i="22"/>
  <c r="O72" i="22"/>
  <c r="O73" i="22"/>
  <c r="O74" i="22"/>
  <c r="O75" i="22"/>
  <c r="O76" i="22"/>
  <c r="O77" i="22"/>
  <c r="O78" i="22"/>
  <c r="O79" i="22"/>
  <c r="O80" i="22"/>
  <c r="O81" i="22"/>
  <c r="O82" i="22"/>
  <c r="O83" i="22"/>
  <c r="O84" i="22"/>
  <c r="O85" i="22"/>
  <c r="O86" i="22"/>
  <c r="O87" i="22"/>
  <c r="O88" i="22"/>
  <c r="O89" i="22"/>
  <c r="O90" i="22"/>
  <c r="O91" i="22"/>
  <c r="O92" i="22"/>
  <c r="O93" i="22"/>
  <c r="O94" i="22"/>
  <c r="O95" i="22"/>
  <c r="O96" i="22"/>
  <c r="O97" i="22"/>
  <c r="O98" i="22"/>
  <c r="O99" i="22"/>
  <c r="O100" i="22"/>
  <c r="O101" i="22"/>
  <c r="O102" i="22"/>
  <c r="O103" i="22"/>
  <c r="O104" i="22"/>
  <c r="O105" i="22"/>
  <c r="O106" i="22"/>
  <c r="O107" i="22"/>
  <c r="O108" i="22"/>
  <c r="O109" i="22"/>
  <c r="O110" i="22"/>
  <c r="O111" i="22"/>
  <c r="AD2" i="22"/>
  <c r="AD3" i="22"/>
  <c r="AD4" i="22"/>
  <c r="AD5" i="22"/>
  <c r="AD6" i="22"/>
  <c r="AD7" i="22"/>
  <c r="AD8" i="22"/>
  <c r="AD9" i="22"/>
  <c r="AD10" i="22"/>
  <c r="AD11" i="22"/>
  <c r="AD12" i="22"/>
  <c r="AD13" i="22"/>
  <c r="AD14" i="22"/>
  <c r="AD15" i="22"/>
  <c r="AD16" i="22"/>
  <c r="AD17" i="22"/>
  <c r="AD18" i="22"/>
  <c r="AD19" i="22"/>
  <c r="AD20" i="22"/>
  <c r="AD21" i="22"/>
  <c r="AD22" i="22"/>
  <c r="AD23" i="22"/>
  <c r="AD24" i="22"/>
  <c r="AD25" i="22"/>
  <c r="AD26" i="22"/>
  <c r="AD27" i="22"/>
  <c r="AD28" i="22"/>
  <c r="AD29" i="22"/>
  <c r="AD30" i="22"/>
  <c r="AD31" i="22"/>
  <c r="AD32" i="22"/>
  <c r="AD33" i="22"/>
  <c r="AD34" i="22"/>
  <c r="AD35" i="22"/>
  <c r="AD36" i="22"/>
  <c r="AD37" i="22"/>
  <c r="AD38" i="22"/>
  <c r="AD39" i="22"/>
  <c r="AD40" i="22"/>
  <c r="AD41" i="22"/>
  <c r="AD42" i="22"/>
  <c r="AD43" i="22"/>
  <c r="AD44" i="22"/>
  <c r="AD45" i="22"/>
  <c r="AD46" i="22"/>
  <c r="AD47" i="22"/>
  <c r="AD48" i="22"/>
  <c r="AD49" i="22"/>
  <c r="AD50" i="22"/>
  <c r="AD51" i="22"/>
  <c r="AD52" i="22"/>
  <c r="AD53" i="22"/>
  <c r="AD54" i="22"/>
  <c r="AD55" i="22"/>
  <c r="AD56" i="22"/>
  <c r="AD57" i="22"/>
  <c r="AD58" i="22"/>
  <c r="AD59" i="22"/>
  <c r="AD60" i="22"/>
  <c r="AD61" i="22"/>
  <c r="AD62" i="22"/>
  <c r="AD63" i="22"/>
  <c r="AD64" i="22"/>
  <c r="AD65" i="22"/>
  <c r="AD66" i="22"/>
  <c r="AD67" i="22"/>
  <c r="AD68" i="22"/>
  <c r="AD69" i="22"/>
  <c r="AD70" i="22"/>
  <c r="AD71" i="22"/>
  <c r="AD72" i="22"/>
  <c r="AD73" i="22"/>
  <c r="AD74" i="22"/>
  <c r="AD75" i="22"/>
  <c r="AD76" i="22"/>
  <c r="AD77" i="22"/>
  <c r="AD78" i="22"/>
  <c r="AD79" i="22"/>
  <c r="AD80" i="22"/>
  <c r="AD81" i="22"/>
  <c r="AD82" i="22"/>
  <c r="AD83" i="22"/>
  <c r="AD84" i="22"/>
  <c r="AD85" i="22"/>
  <c r="AD86" i="22"/>
  <c r="AD87" i="22"/>
  <c r="AD88" i="22"/>
  <c r="AD89" i="22"/>
  <c r="AD90" i="22"/>
  <c r="AD91" i="22"/>
  <c r="AD92" i="22"/>
  <c r="AD93" i="22"/>
  <c r="AD94" i="22"/>
  <c r="AD95" i="22"/>
  <c r="AD96" i="22"/>
  <c r="AD97" i="22"/>
  <c r="AD98" i="22"/>
  <c r="AD99" i="22"/>
  <c r="AD100" i="22"/>
  <c r="AD101" i="22"/>
  <c r="AD102" i="22"/>
  <c r="AD103" i="22"/>
  <c r="AD104" i="22"/>
  <c r="AD105" i="22"/>
  <c r="AD106" i="22"/>
  <c r="AD107" i="22"/>
  <c r="AD108" i="22"/>
  <c r="AD109" i="22"/>
  <c r="AD110" i="22"/>
  <c r="AD111" i="22"/>
  <c r="AV2" i="22"/>
  <c r="AV3" i="22"/>
  <c r="AV4" i="22"/>
  <c r="AV5" i="22"/>
  <c r="AV6" i="22"/>
  <c r="AV7" i="22"/>
  <c r="AV8" i="22"/>
  <c r="AV9" i="22"/>
  <c r="AV10" i="22"/>
  <c r="AV11" i="22"/>
  <c r="AV12" i="22"/>
  <c r="AV13" i="22"/>
  <c r="AV14" i="22"/>
  <c r="AV15" i="22"/>
  <c r="AV16" i="22"/>
  <c r="AV17" i="22"/>
  <c r="AV18" i="22"/>
  <c r="AV19" i="22"/>
  <c r="AV20" i="22"/>
  <c r="AV21" i="22"/>
  <c r="AV22" i="22"/>
  <c r="AV23" i="22"/>
  <c r="AV24" i="22"/>
  <c r="AV25" i="22"/>
  <c r="AV26" i="22"/>
  <c r="AV27" i="22"/>
  <c r="AV28" i="22"/>
  <c r="AV29" i="22"/>
  <c r="AV30" i="22"/>
  <c r="AV31" i="22"/>
  <c r="AV32" i="22"/>
  <c r="AV33" i="22"/>
  <c r="AV34" i="22"/>
  <c r="AV35" i="22"/>
  <c r="AV36" i="22"/>
  <c r="AV37" i="22"/>
  <c r="AV38" i="22"/>
  <c r="AV39" i="22"/>
  <c r="AV40" i="22"/>
  <c r="AV41" i="22"/>
  <c r="AV42" i="22"/>
  <c r="AV43" i="22"/>
  <c r="AV44" i="22"/>
  <c r="AV45" i="22"/>
  <c r="AV46" i="22"/>
  <c r="AV47" i="22"/>
  <c r="AV48" i="22"/>
  <c r="AV49" i="22"/>
  <c r="AV50" i="22"/>
  <c r="AV51" i="22"/>
  <c r="AV52" i="22"/>
  <c r="AV53" i="22"/>
  <c r="AV54" i="22"/>
  <c r="AV55" i="22"/>
  <c r="AV56" i="22"/>
  <c r="AV57" i="22"/>
  <c r="AV58" i="22"/>
  <c r="AV59" i="22"/>
  <c r="AV60" i="22"/>
  <c r="AV61" i="22"/>
  <c r="AV62" i="22"/>
  <c r="AV63" i="22"/>
  <c r="AV64" i="22"/>
  <c r="AV65" i="22"/>
  <c r="AV66" i="22"/>
  <c r="AV67" i="22"/>
  <c r="AV68" i="22"/>
  <c r="AV69" i="22"/>
  <c r="AV70" i="22"/>
  <c r="AV71" i="22"/>
  <c r="AV72" i="22"/>
  <c r="AV73" i="22"/>
  <c r="AV74" i="22"/>
  <c r="AV75" i="22"/>
  <c r="AV76" i="22"/>
  <c r="AV77" i="22"/>
  <c r="AV78" i="22"/>
  <c r="AV79" i="22"/>
  <c r="AV80" i="22"/>
  <c r="AV81" i="22"/>
  <c r="AV82" i="22"/>
  <c r="AV83" i="22"/>
  <c r="AV84" i="22"/>
  <c r="AV85" i="22"/>
  <c r="AV86" i="22"/>
  <c r="AV87" i="22"/>
  <c r="AV88" i="22"/>
  <c r="AV89" i="22"/>
  <c r="AV90" i="22"/>
  <c r="AV91" i="22"/>
  <c r="AV92" i="22"/>
  <c r="AV93" i="22"/>
  <c r="AV94" i="22"/>
  <c r="AV95" i="22"/>
  <c r="AV96" i="22"/>
  <c r="AV97" i="22"/>
  <c r="AV98" i="22"/>
  <c r="AV99" i="22"/>
  <c r="AV100" i="22"/>
  <c r="AV101" i="22"/>
  <c r="AV102" i="22"/>
  <c r="AV103" i="22"/>
  <c r="AV104" i="22"/>
  <c r="AV105" i="22"/>
  <c r="AV106" i="22"/>
  <c r="AV107" i="22"/>
  <c r="AV108" i="22"/>
  <c r="AV109" i="22"/>
  <c r="AV110" i="22"/>
  <c r="AV111" i="22"/>
  <c r="AW111" i="22"/>
  <c r="AT111" i="22"/>
  <c r="AS111" i="22"/>
  <c r="AR111" i="22"/>
  <c r="AQ111" i="22"/>
  <c r="AP111" i="22"/>
  <c r="AO111" i="22"/>
  <c r="AN111" i="22"/>
  <c r="AM111" i="22"/>
  <c r="AL111" i="22"/>
  <c r="AJ111" i="22"/>
  <c r="AI111" i="22"/>
  <c r="AB111" i="22"/>
  <c r="AA111" i="22"/>
  <c r="Z111" i="22"/>
  <c r="Y111" i="22"/>
  <c r="X111" i="22"/>
  <c r="W111" i="22"/>
  <c r="V111" i="22"/>
  <c r="U111" i="22"/>
  <c r="T111" i="22"/>
  <c r="M111" i="22"/>
  <c r="L111" i="22"/>
  <c r="K111" i="22"/>
  <c r="J111" i="22"/>
  <c r="BB111" i="22" s="1"/>
  <c r="I111" i="22"/>
  <c r="BA111" i="22" s="1"/>
  <c r="H111" i="22"/>
  <c r="AZ111" i="22" s="1"/>
  <c r="F111" i="22"/>
  <c r="AX111" i="22" s="1"/>
  <c r="AW110" i="22"/>
  <c r="AT110" i="22"/>
  <c r="AS110" i="22"/>
  <c r="AR110" i="22"/>
  <c r="AQ110" i="22"/>
  <c r="AP110" i="22"/>
  <c r="AO110" i="22"/>
  <c r="AN110" i="22"/>
  <c r="AM110" i="22"/>
  <c r="AL110" i="22"/>
  <c r="AJ110" i="22"/>
  <c r="AI110" i="22"/>
  <c r="AB110" i="22"/>
  <c r="AA110" i="22"/>
  <c r="Z110" i="22"/>
  <c r="Y110" i="22"/>
  <c r="X110" i="22"/>
  <c r="W110" i="22"/>
  <c r="V110" i="22"/>
  <c r="U110" i="22"/>
  <c r="T110" i="22"/>
  <c r="M110" i="22"/>
  <c r="L110" i="22"/>
  <c r="K110" i="22"/>
  <c r="J110" i="22"/>
  <c r="BB110" i="22" s="1"/>
  <c r="I110" i="22"/>
  <c r="BA110" i="22" s="1"/>
  <c r="H110" i="22"/>
  <c r="AZ110" i="22" s="1"/>
  <c r="F110" i="22"/>
  <c r="AX110" i="22" s="1"/>
  <c r="AW109" i="22"/>
  <c r="AT109" i="22"/>
  <c r="AS109" i="22"/>
  <c r="AR109" i="22"/>
  <c r="AQ109" i="22"/>
  <c r="AP109" i="22"/>
  <c r="AO109" i="22"/>
  <c r="AN109" i="22"/>
  <c r="AM109" i="22"/>
  <c r="AL109" i="22"/>
  <c r="AJ109" i="22"/>
  <c r="AI109" i="22"/>
  <c r="AB109" i="22"/>
  <c r="AA109" i="22"/>
  <c r="Z109" i="22"/>
  <c r="Y109" i="22"/>
  <c r="X109" i="22"/>
  <c r="W109" i="22"/>
  <c r="V109" i="22"/>
  <c r="U109" i="22"/>
  <c r="T109" i="22"/>
  <c r="M109" i="22"/>
  <c r="L109" i="22"/>
  <c r="K109" i="22"/>
  <c r="J109" i="22"/>
  <c r="BB109" i="22" s="1"/>
  <c r="I109" i="22"/>
  <c r="BA109" i="22" s="1"/>
  <c r="H109" i="22"/>
  <c r="AZ109" i="22" s="1"/>
  <c r="F109" i="22"/>
  <c r="AX109" i="22" s="1"/>
  <c r="AW108" i="22"/>
  <c r="AT108" i="22"/>
  <c r="AS108" i="22"/>
  <c r="AR108" i="22"/>
  <c r="AQ108" i="22"/>
  <c r="AP108" i="22"/>
  <c r="AO108" i="22"/>
  <c r="AN108" i="22"/>
  <c r="AM108" i="22"/>
  <c r="AL108" i="22"/>
  <c r="AJ108" i="22"/>
  <c r="AI108" i="22"/>
  <c r="AB108" i="22"/>
  <c r="AA108" i="22"/>
  <c r="Z108" i="22"/>
  <c r="Y108" i="22"/>
  <c r="X108" i="22"/>
  <c r="W108" i="22"/>
  <c r="V108" i="22"/>
  <c r="U108" i="22"/>
  <c r="T108" i="22"/>
  <c r="M108" i="22"/>
  <c r="L108" i="22"/>
  <c r="K108" i="22"/>
  <c r="J108" i="22"/>
  <c r="BB108" i="22" s="1"/>
  <c r="I108" i="22"/>
  <c r="BA108" i="22" s="1"/>
  <c r="H108" i="22"/>
  <c r="AZ108" i="22" s="1"/>
  <c r="F108" i="22"/>
  <c r="AX108" i="22" s="1"/>
  <c r="AW107" i="22"/>
  <c r="AT107" i="22"/>
  <c r="AS107" i="22"/>
  <c r="AR107" i="22"/>
  <c r="AQ107" i="22"/>
  <c r="AP107" i="22"/>
  <c r="AO107" i="22"/>
  <c r="AN107" i="22"/>
  <c r="AM107" i="22"/>
  <c r="AL107" i="22"/>
  <c r="AJ107" i="22"/>
  <c r="AI107" i="22"/>
  <c r="AB107" i="22"/>
  <c r="AA107" i="22"/>
  <c r="Z107" i="22"/>
  <c r="Y107" i="22"/>
  <c r="X107" i="22"/>
  <c r="W107" i="22"/>
  <c r="V107" i="22"/>
  <c r="U107" i="22"/>
  <c r="T107" i="22"/>
  <c r="M107" i="22"/>
  <c r="L107" i="22"/>
  <c r="K107" i="22"/>
  <c r="J107" i="22"/>
  <c r="BB107" i="22" s="1"/>
  <c r="I107" i="22"/>
  <c r="BA107" i="22" s="1"/>
  <c r="H107" i="22"/>
  <c r="AZ107" i="22" s="1"/>
  <c r="F107" i="22"/>
  <c r="AX107" i="22" s="1"/>
  <c r="AW106" i="22"/>
  <c r="AT106" i="22"/>
  <c r="AS106" i="22"/>
  <c r="AR106" i="22"/>
  <c r="AQ106" i="22"/>
  <c r="AP106" i="22"/>
  <c r="AO106" i="22"/>
  <c r="AN106" i="22"/>
  <c r="AM106" i="22"/>
  <c r="AL106" i="22"/>
  <c r="AJ106" i="22"/>
  <c r="AI106" i="22"/>
  <c r="AB106" i="22"/>
  <c r="AA106" i="22"/>
  <c r="Z106" i="22"/>
  <c r="Y106" i="22"/>
  <c r="X106" i="22"/>
  <c r="W106" i="22"/>
  <c r="V106" i="22"/>
  <c r="U106" i="22"/>
  <c r="T106" i="22"/>
  <c r="M106" i="22"/>
  <c r="L106" i="22"/>
  <c r="K106" i="22"/>
  <c r="J106" i="22"/>
  <c r="BB106" i="22" s="1"/>
  <c r="I106" i="22"/>
  <c r="BA106" i="22" s="1"/>
  <c r="H106" i="22"/>
  <c r="AZ106" i="22" s="1"/>
  <c r="F106" i="22"/>
  <c r="AX106" i="22" s="1"/>
  <c r="AW105" i="22"/>
  <c r="AT105" i="22"/>
  <c r="AS105" i="22"/>
  <c r="AR105" i="22"/>
  <c r="AQ105" i="22"/>
  <c r="AP105" i="22"/>
  <c r="AO105" i="22"/>
  <c r="AN105" i="22"/>
  <c r="AM105" i="22"/>
  <c r="AL105" i="22"/>
  <c r="AJ105" i="22"/>
  <c r="AI105" i="22"/>
  <c r="AB105" i="22"/>
  <c r="AA105" i="22"/>
  <c r="Z105" i="22"/>
  <c r="Y105" i="22"/>
  <c r="X105" i="22"/>
  <c r="W105" i="22"/>
  <c r="V105" i="22"/>
  <c r="U105" i="22"/>
  <c r="T105" i="22"/>
  <c r="M105" i="22"/>
  <c r="L105" i="22"/>
  <c r="K105" i="22"/>
  <c r="J105" i="22"/>
  <c r="BB105" i="22" s="1"/>
  <c r="I105" i="22"/>
  <c r="BA105" i="22" s="1"/>
  <c r="H105" i="22"/>
  <c r="AZ105" i="22" s="1"/>
  <c r="F105" i="22"/>
  <c r="AX105" i="22" s="1"/>
  <c r="AW104" i="22"/>
  <c r="AT104" i="22"/>
  <c r="AS104" i="22"/>
  <c r="AR104" i="22"/>
  <c r="AQ104" i="22"/>
  <c r="AP104" i="22"/>
  <c r="AO104" i="22"/>
  <c r="AN104" i="22"/>
  <c r="AM104" i="22"/>
  <c r="AL104" i="22"/>
  <c r="AJ104" i="22"/>
  <c r="AI104" i="22"/>
  <c r="AB104" i="22"/>
  <c r="AA104" i="22"/>
  <c r="Z104" i="22"/>
  <c r="Y104" i="22"/>
  <c r="X104" i="22"/>
  <c r="W104" i="22"/>
  <c r="V104" i="22"/>
  <c r="U104" i="22"/>
  <c r="T104" i="22"/>
  <c r="M104" i="22"/>
  <c r="L104" i="22"/>
  <c r="K104" i="22"/>
  <c r="J104" i="22"/>
  <c r="BB104" i="22" s="1"/>
  <c r="I104" i="22"/>
  <c r="BA104" i="22" s="1"/>
  <c r="H104" i="22"/>
  <c r="AZ104" i="22" s="1"/>
  <c r="F104" i="22"/>
  <c r="AX104" i="22" s="1"/>
  <c r="AW103" i="22"/>
  <c r="AT103" i="22"/>
  <c r="AS103" i="22"/>
  <c r="AR103" i="22"/>
  <c r="AQ103" i="22"/>
  <c r="AP103" i="22"/>
  <c r="AO103" i="22"/>
  <c r="AN103" i="22"/>
  <c r="AM103" i="22"/>
  <c r="AL103" i="22"/>
  <c r="AJ103" i="22"/>
  <c r="AI103" i="22"/>
  <c r="AB103" i="22"/>
  <c r="AA103" i="22"/>
  <c r="Z103" i="22"/>
  <c r="Y103" i="22"/>
  <c r="X103" i="22"/>
  <c r="W103" i="22"/>
  <c r="V103" i="22"/>
  <c r="U103" i="22"/>
  <c r="T103" i="22"/>
  <c r="M103" i="22"/>
  <c r="L103" i="22"/>
  <c r="K103" i="22"/>
  <c r="J103" i="22"/>
  <c r="BB103" i="22" s="1"/>
  <c r="I103" i="22"/>
  <c r="BA103" i="22" s="1"/>
  <c r="H103" i="22"/>
  <c r="AZ103" i="22" s="1"/>
  <c r="F103" i="22"/>
  <c r="AX103" i="22" s="1"/>
  <c r="AW102" i="22"/>
  <c r="AT102" i="22"/>
  <c r="AS102" i="22"/>
  <c r="AR102" i="22"/>
  <c r="AQ102" i="22"/>
  <c r="AP102" i="22"/>
  <c r="AO102" i="22"/>
  <c r="AN102" i="22"/>
  <c r="AM102" i="22"/>
  <c r="AL102" i="22"/>
  <c r="AJ102" i="22"/>
  <c r="AI102" i="22"/>
  <c r="AB102" i="22"/>
  <c r="AA102" i="22"/>
  <c r="Z102" i="22"/>
  <c r="Y102" i="22"/>
  <c r="X102" i="22"/>
  <c r="W102" i="22"/>
  <c r="V102" i="22"/>
  <c r="U102" i="22"/>
  <c r="T102" i="22"/>
  <c r="M102" i="22"/>
  <c r="L102" i="22"/>
  <c r="K102" i="22"/>
  <c r="J102" i="22"/>
  <c r="BB102" i="22" s="1"/>
  <c r="I102" i="22"/>
  <c r="BA102" i="22" s="1"/>
  <c r="H102" i="22"/>
  <c r="AZ102" i="22" s="1"/>
  <c r="F102" i="22"/>
  <c r="AX102" i="22" s="1"/>
  <c r="AW101" i="22"/>
  <c r="AT101" i="22"/>
  <c r="AS101" i="22"/>
  <c r="AR101" i="22"/>
  <c r="AQ101" i="22"/>
  <c r="AP101" i="22"/>
  <c r="AO101" i="22"/>
  <c r="AN101" i="22"/>
  <c r="AM101" i="22"/>
  <c r="AL101" i="22"/>
  <c r="AJ101" i="22"/>
  <c r="AI101" i="22"/>
  <c r="AB101" i="22"/>
  <c r="AA101" i="22"/>
  <c r="Z101" i="22"/>
  <c r="Y101" i="22"/>
  <c r="X101" i="22"/>
  <c r="W101" i="22"/>
  <c r="V101" i="22"/>
  <c r="U101" i="22"/>
  <c r="T101" i="22"/>
  <c r="M101" i="22"/>
  <c r="L101" i="22"/>
  <c r="K101" i="22"/>
  <c r="J101" i="22"/>
  <c r="BB101" i="22" s="1"/>
  <c r="I101" i="22"/>
  <c r="BA101" i="22" s="1"/>
  <c r="H101" i="22"/>
  <c r="AZ101" i="22" s="1"/>
  <c r="F101" i="22"/>
  <c r="AX101" i="22" s="1"/>
  <c r="AW100" i="22"/>
  <c r="AT100" i="22"/>
  <c r="AS100" i="22"/>
  <c r="AR100" i="22"/>
  <c r="AQ100" i="22"/>
  <c r="AP100" i="22"/>
  <c r="AO100" i="22"/>
  <c r="AN100" i="22"/>
  <c r="AM100" i="22"/>
  <c r="AL100" i="22"/>
  <c r="AJ100" i="22"/>
  <c r="AI100" i="22"/>
  <c r="AB100" i="22"/>
  <c r="AA100" i="22"/>
  <c r="Z100" i="22"/>
  <c r="Y100" i="22"/>
  <c r="X100" i="22"/>
  <c r="W100" i="22"/>
  <c r="V100" i="22"/>
  <c r="U100" i="22"/>
  <c r="T100" i="22"/>
  <c r="M100" i="22"/>
  <c r="L100" i="22"/>
  <c r="K100" i="22"/>
  <c r="J100" i="22"/>
  <c r="BB100" i="22" s="1"/>
  <c r="I100" i="22"/>
  <c r="BA100" i="22" s="1"/>
  <c r="H100" i="22"/>
  <c r="AZ100" i="22" s="1"/>
  <c r="F100" i="22"/>
  <c r="AX100" i="22" s="1"/>
  <c r="AW99" i="22"/>
  <c r="AT99" i="22"/>
  <c r="AS99" i="22"/>
  <c r="AR99" i="22"/>
  <c r="AQ99" i="22"/>
  <c r="AP99" i="22"/>
  <c r="AO99" i="22"/>
  <c r="AN99" i="22"/>
  <c r="AM99" i="22"/>
  <c r="AL99" i="22"/>
  <c r="AJ99" i="22"/>
  <c r="AI99" i="22"/>
  <c r="AB99" i="22"/>
  <c r="AA99" i="22"/>
  <c r="Z99" i="22"/>
  <c r="Y99" i="22"/>
  <c r="X99" i="22"/>
  <c r="W99" i="22"/>
  <c r="V99" i="22"/>
  <c r="U99" i="22"/>
  <c r="T99" i="22"/>
  <c r="M99" i="22"/>
  <c r="L99" i="22"/>
  <c r="K99" i="22"/>
  <c r="J99" i="22"/>
  <c r="BB99" i="22" s="1"/>
  <c r="I99" i="22"/>
  <c r="BA99" i="22" s="1"/>
  <c r="H99" i="22"/>
  <c r="AZ99" i="22" s="1"/>
  <c r="F99" i="22"/>
  <c r="AX99" i="22" s="1"/>
  <c r="AW98" i="22"/>
  <c r="AT98" i="22"/>
  <c r="AS98" i="22"/>
  <c r="AR98" i="22"/>
  <c r="AQ98" i="22"/>
  <c r="AP98" i="22"/>
  <c r="AO98" i="22"/>
  <c r="AN98" i="22"/>
  <c r="AM98" i="22"/>
  <c r="AL98" i="22"/>
  <c r="AJ98" i="22"/>
  <c r="AI98" i="22"/>
  <c r="AB98" i="22"/>
  <c r="AA98" i="22"/>
  <c r="Z98" i="22"/>
  <c r="Y98" i="22"/>
  <c r="X98" i="22"/>
  <c r="W98" i="22"/>
  <c r="V98" i="22"/>
  <c r="U98" i="22"/>
  <c r="T98" i="22"/>
  <c r="M98" i="22"/>
  <c r="L98" i="22"/>
  <c r="K98" i="22"/>
  <c r="J98" i="22"/>
  <c r="BB98" i="22" s="1"/>
  <c r="I98" i="22"/>
  <c r="BA98" i="22" s="1"/>
  <c r="H98" i="22"/>
  <c r="AZ98" i="22" s="1"/>
  <c r="F98" i="22"/>
  <c r="AX98" i="22" s="1"/>
  <c r="AW97" i="22"/>
  <c r="AT97" i="22"/>
  <c r="AS97" i="22"/>
  <c r="AR97" i="22"/>
  <c r="AQ97" i="22"/>
  <c r="AP97" i="22"/>
  <c r="AO97" i="22"/>
  <c r="AN97" i="22"/>
  <c r="AM97" i="22"/>
  <c r="AL97" i="22"/>
  <c r="AJ97" i="22"/>
  <c r="AI97" i="22"/>
  <c r="AB97" i="22"/>
  <c r="AA97" i="22"/>
  <c r="Z97" i="22"/>
  <c r="Y97" i="22"/>
  <c r="X97" i="22"/>
  <c r="W97" i="22"/>
  <c r="V97" i="22"/>
  <c r="U97" i="22"/>
  <c r="T97" i="22"/>
  <c r="M97" i="22"/>
  <c r="L97" i="22"/>
  <c r="K97" i="22"/>
  <c r="J97" i="22"/>
  <c r="BB97" i="22" s="1"/>
  <c r="I97" i="22"/>
  <c r="BA97" i="22" s="1"/>
  <c r="H97" i="22"/>
  <c r="AZ97" i="22" s="1"/>
  <c r="F97" i="22"/>
  <c r="AX97" i="22" s="1"/>
  <c r="AW96" i="22"/>
  <c r="AT96" i="22"/>
  <c r="AS96" i="22"/>
  <c r="AR96" i="22"/>
  <c r="AQ96" i="22"/>
  <c r="AP96" i="22"/>
  <c r="AO96" i="22"/>
  <c r="AN96" i="22"/>
  <c r="AM96" i="22"/>
  <c r="AL96" i="22"/>
  <c r="AJ96" i="22"/>
  <c r="AI96" i="22"/>
  <c r="AB96" i="22"/>
  <c r="AA96" i="22"/>
  <c r="Z96" i="22"/>
  <c r="Y96" i="22"/>
  <c r="X96" i="22"/>
  <c r="W96" i="22"/>
  <c r="V96" i="22"/>
  <c r="U96" i="22"/>
  <c r="T96" i="22"/>
  <c r="M96" i="22"/>
  <c r="L96" i="22"/>
  <c r="K96" i="22"/>
  <c r="J96" i="22"/>
  <c r="BB96" i="22" s="1"/>
  <c r="I96" i="22"/>
  <c r="BA96" i="22" s="1"/>
  <c r="H96" i="22"/>
  <c r="AZ96" i="22" s="1"/>
  <c r="F96" i="22"/>
  <c r="AX96" i="22" s="1"/>
  <c r="AW95" i="22"/>
  <c r="AT95" i="22"/>
  <c r="AS95" i="22"/>
  <c r="AR95" i="22"/>
  <c r="AQ95" i="22"/>
  <c r="AP95" i="22"/>
  <c r="AO95" i="22"/>
  <c r="AN95" i="22"/>
  <c r="AM95" i="22"/>
  <c r="AL95" i="22"/>
  <c r="AJ95" i="22"/>
  <c r="AI95" i="22"/>
  <c r="AB95" i="22"/>
  <c r="AA95" i="22"/>
  <c r="Z95" i="22"/>
  <c r="Y95" i="22"/>
  <c r="X95" i="22"/>
  <c r="W95" i="22"/>
  <c r="V95" i="22"/>
  <c r="U95" i="22"/>
  <c r="T95" i="22"/>
  <c r="M95" i="22"/>
  <c r="L95" i="22"/>
  <c r="K95" i="22"/>
  <c r="J95" i="22"/>
  <c r="BB95" i="22" s="1"/>
  <c r="I95" i="22"/>
  <c r="BA95" i="22" s="1"/>
  <c r="H95" i="22"/>
  <c r="AZ95" i="22" s="1"/>
  <c r="F95" i="22"/>
  <c r="AX95" i="22" s="1"/>
  <c r="AW94" i="22"/>
  <c r="AT94" i="22"/>
  <c r="AS94" i="22"/>
  <c r="AR94" i="22"/>
  <c r="AQ94" i="22"/>
  <c r="AP94" i="22"/>
  <c r="AO94" i="22"/>
  <c r="AN94" i="22"/>
  <c r="AM94" i="22"/>
  <c r="AL94" i="22"/>
  <c r="AJ94" i="22"/>
  <c r="AI94" i="22"/>
  <c r="AB94" i="22"/>
  <c r="AA94" i="22"/>
  <c r="Z94" i="22"/>
  <c r="Y94" i="22"/>
  <c r="X94" i="22"/>
  <c r="W94" i="22"/>
  <c r="V94" i="22"/>
  <c r="U94" i="22"/>
  <c r="T94" i="22"/>
  <c r="M94" i="22"/>
  <c r="L94" i="22"/>
  <c r="K94" i="22"/>
  <c r="J94" i="22"/>
  <c r="BB94" i="22" s="1"/>
  <c r="I94" i="22"/>
  <c r="BA94" i="22" s="1"/>
  <c r="H94" i="22"/>
  <c r="AZ94" i="22" s="1"/>
  <c r="F94" i="22"/>
  <c r="AX94" i="22" s="1"/>
  <c r="AW93" i="22"/>
  <c r="AT93" i="22"/>
  <c r="AS93" i="22"/>
  <c r="AR93" i="22"/>
  <c r="AQ93" i="22"/>
  <c r="AP93" i="22"/>
  <c r="AO93" i="22"/>
  <c r="AN93" i="22"/>
  <c r="AM93" i="22"/>
  <c r="AL93" i="22"/>
  <c r="AJ93" i="22"/>
  <c r="AI93" i="22"/>
  <c r="AB93" i="22"/>
  <c r="AA93" i="22"/>
  <c r="Z93" i="22"/>
  <c r="Y93" i="22"/>
  <c r="X93" i="22"/>
  <c r="W93" i="22"/>
  <c r="V93" i="22"/>
  <c r="U93" i="22"/>
  <c r="T93" i="22"/>
  <c r="M93" i="22"/>
  <c r="L93" i="22"/>
  <c r="K93" i="22"/>
  <c r="J93" i="22"/>
  <c r="BB93" i="22" s="1"/>
  <c r="I93" i="22"/>
  <c r="BA93" i="22" s="1"/>
  <c r="H93" i="22"/>
  <c r="AZ93" i="22" s="1"/>
  <c r="F93" i="22"/>
  <c r="AX93" i="22" s="1"/>
  <c r="AW92" i="22"/>
  <c r="AT92" i="22"/>
  <c r="AS92" i="22"/>
  <c r="AR92" i="22"/>
  <c r="AQ92" i="22"/>
  <c r="AP92" i="22"/>
  <c r="AO92" i="22"/>
  <c r="AN92" i="22"/>
  <c r="AM92" i="22"/>
  <c r="AL92" i="22"/>
  <c r="AJ92" i="22"/>
  <c r="AI92" i="22"/>
  <c r="AB92" i="22"/>
  <c r="AA92" i="22"/>
  <c r="Z92" i="22"/>
  <c r="Y92" i="22"/>
  <c r="X92" i="22"/>
  <c r="W92" i="22"/>
  <c r="V92" i="22"/>
  <c r="U92" i="22"/>
  <c r="T92" i="22"/>
  <c r="M92" i="22"/>
  <c r="L92" i="22"/>
  <c r="K92" i="22"/>
  <c r="J92" i="22"/>
  <c r="BB92" i="22" s="1"/>
  <c r="I92" i="22"/>
  <c r="BA92" i="22" s="1"/>
  <c r="H92" i="22"/>
  <c r="AZ92" i="22" s="1"/>
  <c r="F92" i="22"/>
  <c r="AX92" i="22" s="1"/>
  <c r="AW91" i="22"/>
  <c r="AT91" i="22"/>
  <c r="AS91" i="22"/>
  <c r="AR91" i="22"/>
  <c r="AQ91" i="22"/>
  <c r="AP91" i="22"/>
  <c r="AO91" i="22"/>
  <c r="AN91" i="22"/>
  <c r="AM91" i="22"/>
  <c r="AL91" i="22"/>
  <c r="AJ91" i="22"/>
  <c r="AI91" i="22"/>
  <c r="AB91" i="22"/>
  <c r="AA91" i="22"/>
  <c r="Z91" i="22"/>
  <c r="Y91" i="22"/>
  <c r="X91" i="22"/>
  <c r="W91" i="22"/>
  <c r="V91" i="22"/>
  <c r="U91" i="22"/>
  <c r="T91" i="22"/>
  <c r="M91" i="22"/>
  <c r="L91" i="22"/>
  <c r="K91" i="22"/>
  <c r="J91" i="22"/>
  <c r="BB91" i="22" s="1"/>
  <c r="I91" i="22"/>
  <c r="BA91" i="22" s="1"/>
  <c r="H91" i="22"/>
  <c r="AZ91" i="22" s="1"/>
  <c r="F91" i="22"/>
  <c r="AX91" i="22" s="1"/>
  <c r="AW90" i="22"/>
  <c r="AT90" i="22"/>
  <c r="AS90" i="22"/>
  <c r="AR90" i="22"/>
  <c r="AQ90" i="22"/>
  <c r="AP90" i="22"/>
  <c r="AO90" i="22"/>
  <c r="AN90" i="22"/>
  <c r="AM90" i="22"/>
  <c r="AL90" i="22"/>
  <c r="AJ90" i="22"/>
  <c r="AI90" i="22"/>
  <c r="AB90" i="22"/>
  <c r="AA90" i="22"/>
  <c r="Z90" i="22"/>
  <c r="Y90" i="22"/>
  <c r="X90" i="22"/>
  <c r="W90" i="22"/>
  <c r="V90" i="22"/>
  <c r="U90" i="22"/>
  <c r="T90" i="22"/>
  <c r="M90" i="22"/>
  <c r="L90" i="22"/>
  <c r="K90" i="22"/>
  <c r="J90" i="22"/>
  <c r="BB90" i="22" s="1"/>
  <c r="I90" i="22"/>
  <c r="BA90" i="22" s="1"/>
  <c r="H90" i="22"/>
  <c r="AZ90" i="22" s="1"/>
  <c r="F90" i="22"/>
  <c r="AX90" i="22" s="1"/>
  <c r="AW89" i="22"/>
  <c r="AT89" i="22"/>
  <c r="AS89" i="22"/>
  <c r="AR89" i="22"/>
  <c r="AQ89" i="22"/>
  <c r="AP89" i="22"/>
  <c r="AO89" i="22"/>
  <c r="AN89" i="22"/>
  <c r="AM89" i="22"/>
  <c r="AL89" i="22"/>
  <c r="AJ89" i="22"/>
  <c r="AI89" i="22"/>
  <c r="AB89" i="22"/>
  <c r="AA89" i="22"/>
  <c r="Z89" i="22"/>
  <c r="Y89" i="22"/>
  <c r="X89" i="22"/>
  <c r="W89" i="22"/>
  <c r="V89" i="22"/>
  <c r="U89" i="22"/>
  <c r="T89" i="22"/>
  <c r="M89" i="22"/>
  <c r="L89" i="22"/>
  <c r="K89" i="22"/>
  <c r="J89" i="22"/>
  <c r="BB89" i="22" s="1"/>
  <c r="I89" i="22"/>
  <c r="BA89" i="22" s="1"/>
  <c r="H89" i="22"/>
  <c r="AZ89" i="22" s="1"/>
  <c r="F89" i="22"/>
  <c r="AX89" i="22" s="1"/>
  <c r="AW88" i="22"/>
  <c r="AT88" i="22"/>
  <c r="AS88" i="22"/>
  <c r="AR88" i="22"/>
  <c r="AQ88" i="22"/>
  <c r="AP88" i="22"/>
  <c r="AO88" i="22"/>
  <c r="AN88" i="22"/>
  <c r="AM88" i="22"/>
  <c r="AL88" i="22"/>
  <c r="AJ88" i="22"/>
  <c r="AI88" i="22"/>
  <c r="AB88" i="22"/>
  <c r="AA88" i="22"/>
  <c r="Z88" i="22"/>
  <c r="Y88" i="22"/>
  <c r="X88" i="22"/>
  <c r="W88" i="22"/>
  <c r="V88" i="22"/>
  <c r="U88" i="22"/>
  <c r="T88" i="22"/>
  <c r="M88" i="22"/>
  <c r="L88" i="22"/>
  <c r="K88" i="22"/>
  <c r="J88" i="22"/>
  <c r="BB88" i="22" s="1"/>
  <c r="I88" i="22"/>
  <c r="BA88" i="22" s="1"/>
  <c r="H88" i="22"/>
  <c r="AZ88" i="22" s="1"/>
  <c r="F88" i="22"/>
  <c r="AX88" i="22" s="1"/>
  <c r="AW87" i="22"/>
  <c r="AT87" i="22"/>
  <c r="AS87" i="22"/>
  <c r="AR87" i="22"/>
  <c r="AQ87" i="22"/>
  <c r="AP87" i="22"/>
  <c r="AO87" i="22"/>
  <c r="AN87" i="22"/>
  <c r="AM87" i="22"/>
  <c r="AL87" i="22"/>
  <c r="AJ87" i="22"/>
  <c r="AI87" i="22"/>
  <c r="AB87" i="22"/>
  <c r="AA87" i="22"/>
  <c r="Z87" i="22"/>
  <c r="Y87" i="22"/>
  <c r="X87" i="22"/>
  <c r="W87" i="22"/>
  <c r="V87" i="22"/>
  <c r="U87" i="22"/>
  <c r="T87" i="22"/>
  <c r="M87" i="22"/>
  <c r="L87" i="22"/>
  <c r="K87" i="22"/>
  <c r="J87" i="22"/>
  <c r="BB87" i="22" s="1"/>
  <c r="I87" i="22"/>
  <c r="BA87" i="22" s="1"/>
  <c r="H87" i="22"/>
  <c r="AZ87" i="22" s="1"/>
  <c r="F87" i="22"/>
  <c r="AX87" i="22" s="1"/>
  <c r="AW86" i="22"/>
  <c r="AT86" i="22"/>
  <c r="AS86" i="22"/>
  <c r="AR86" i="22"/>
  <c r="AQ86" i="22"/>
  <c r="AP86" i="22"/>
  <c r="AO86" i="22"/>
  <c r="AN86" i="22"/>
  <c r="AM86" i="22"/>
  <c r="AL86" i="22"/>
  <c r="AJ86" i="22"/>
  <c r="AI86" i="22"/>
  <c r="AB86" i="22"/>
  <c r="AA86" i="22"/>
  <c r="Z86" i="22"/>
  <c r="Y86" i="22"/>
  <c r="X86" i="22"/>
  <c r="W86" i="22"/>
  <c r="V86" i="22"/>
  <c r="U86" i="22"/>
  <c r="T86" i="22"/>
  <c r="M86" i="22"/>
  <c r="L86" i="22"/>
  <c r="K86" i="22"/>
  <c r="J86" i="22"/>
  <c r="BB86" i="22" s="1"/>
  <c r="I86" i="22"/>
  <c r="BA86" i="22" s="1"/>
  <c r="H86" i="22"/>
  <c r="AZ86" i="22" s="1"/>
  <c r="F86" i="22"/>
  <c r="AX86" i="22" s="1"/>
  <c r="AW85" i="22"/>
  <c r="AT85" i="22"/>
  <c r="AS85" i="22"/>
  <c r="AR85" i="22"/>
  <c r="AQ85" i="22"/>
  <c r="AP85" i="22"/>
  <c r="AO85" i="22"/>
  <c r="AN85" i="22"/>
  <c r="AM85" i="22"/>
  <c r="AL85" i="22"/>
  <c r="AJ85" i="22"/>
  <c r="AI85" i="22"/>
  <c r="AB85" i="22"/>
  <c r="AA85" i="22"/>
  <c r="Z85" i="22"/>
  <c r="Y85" i="22"/>
  <c r="X85" i="22"/>
  <c r="W85" i="22"/>
  <c r="V85" i="22"/>
  <c r="U85" i="22"/>
  <c r="T85" i="22"/>
  <c r="M85" i="22"/>
  <c r="L85" i="22"/>
  <c r="K85" i="22"/>
  <c r="J85" i="22"/>
  <c r="BB85" i="22" s="1"/>
  <c r="I85" i="22"/>
  <c r="BA85" i="22" s="1"/>
  <c r="H85" i="22"/>
  <c r="AZ85" i="22" s="1"/>
  <c r="F85" i="22"/>
  <c r="AX85" i="22" s="1"/>
  <c r="AW84" i="22"/>
  <c r="AT84" i="22"/>
  <c r="AS84" i="22"/>
  <c r="AR84" i="22"/>
  <c r="AQ84" i="22"/>
  <c r="AP84" i="22"/>
  <c r="AO84" i="22"/>
  <c r="AN84" i="22"/>
  <c r="AM84" i="22"/>
  <c r="AL84" i="22"/>
  <c r="AJ84" i="22"/>
  <c r="AI84" i="22"/>
  <c r="AB84" i="22"/>
  <c r="AA84" i="22"/>
  <c r="Z84" i="22"/>
  <c r="Y84" i="22"/>
  <c r="X84" i="22"/>
  <c r="W84" i="22"/>
  <c r="V84" i="22"/>
  <c r="U84" i="22"/>
  <c r="T84" i="22"/>
  <c r="M84" i="22"/>
  <c r="L84" i="22"/>
  <c r="K84" i="22"/>
  <c r="J84" i="22"/>
  <c r="BB84" i="22" s="1"/>
  <c r="I84" i="22"/>
  <c r="BA84" i="22" s="1"/>
  <c r="H84" i="22"/>
  <c r="AZ84" i="22" s="1"/>
  <c r="F84" i="22"/>
  <c r="AX84" i="22" s="1"/>
  <c r="AW83" i="22"/>
  <c r="AT83" i="22"/>
  <c r="AS83" i="22"/>
  <c r="AR83" i="22"/>
  <c r="AQ83" i="22"/>
  <c r="AP83" i="22"/>
  <c r="AO83" i="22"/>
  <c r="AN83" i="22"/>
  <c r="AM83" i="22"/>
  <c r="AL83" i="22"/>
  <c r="AJ83" i="22"/>
  <c r="AI83" i="22"/>
  <c r="AB83" i="22"/>
  <c r="AA83" i="22"/>
  <c r="Z83" i="22"/>
  <c r="Y83" i="22"/>
  <c r="X83" i="22"/>
  <c r="W83" i="22"/>
  <c r="V83" i="22"/>
  <c r="U83" i="22"/>
  <c r="T83" i="22"/>
  <c r="M83" i="22"/>
  <c r="L83" i="22"/>
  <c r="K83" i="22"/>
  <c r="J83" i="22"/>
  <c r="BB83" i="22" s="1"/>
  <c r="I83" i="22"/>
  <c r="BA83" i="22" s="1"/>
  <c r="H83" i="22"/>
  <c r="AZ83" i="22" s="1"/>
  <c r="F83" i="22"/>
  <c r="AX83" i="22" s="1"/>
  <c r="AW82" i="22"/>
  <c r="AT82" i="22"/>
  <c r="AS82" i="22"/>
  <c r="AR82" i="22"/>
  <c r="AQ82" i="22"/>
  <c r="AP82" i="22"/>
  <c r="AO82" i="22"/>
  <c r="AN82" i="22"/>
  <c r="AM82" i="22"/>
  <c r="AL82" i="22"/>
  <c r="AJ82" i="22"/>
  <c r="AI82" i="22"/>
  <c r="AB82" i="22"/>
  <c r="AA82" i="22"/>
  <c r="Z82" i="22"/>
  <c r="Y82" i="22"/>
  <c r="X82" i="22"/>
  <c r="W82" i="22"/>
  <c r="V82" i="22"/>
  <c r="U82" i="22"/>
  <c r="T82" i="22"/>
  <c r="M82" i="22"/>
  <c r="L82" i="22"/>
  <c r="K82" i="22"/>
  <c r="J82" i="22"/>
  <c r="BB82" i="22" s="1"/>
  <c r="I82" i="22"/>
  <c r="BA82" i="22" s="1"/>
  <c r="H82" i="22"/>
  <c r="AZ82" i="22" s="1"/>
  <c r="F82" i="22"/>
  <c r="AX82" i="22" s="1"/>
  <c r="AW81" i="22"/>
  <c r="AT81" i="22"/>
  <c r="AS81" i="22"/>
  <c r="AR81" i="22"/>
  <c r="AQ81" i="22"/>
  <c r="AP81" i="22"/>
  <c r="AO81" i="22"/>
  <c r="AN81" i="22"/>
  <c r="AM81" i="22"/>
  <c r="AL81" i="22"/>
  <c r="AJ81" i="22"/>
  <c r="AI81" i="22"/>
  <c r="AB81" i="22"/>
  <c r="AA81" i="22"/>
  <c r="Z81" i="22"/>
  <c r="Y81" i="22"/>
  <c r="X81" i="22"/>
  <c r="W81" i="22"/>
  <c r="V81" i="22"/>
  <c r="U81" i="22"/>
  <c r="T81" i="22"/>
  <c r="M81" i="22"/>
  <c r="L81" i="22"/>
  <c r="K81" i="22"/>
  <c r="J81" i="22"/>
  <c r="BB81" i="22" s="1"/>
  <c r="I81" i="22"/>
  <c r="BA81" i="22" s="1"/>
  <c r="H81" i="22"/>
  <c r="AZ81" i="22" s="1"/>
  <c r="F81" i="22"/>
  <c r="AX81" i="22" s="1"/>
  <c r="AW80" i="22"/>
  <c r="AT80" i="22"/>
  <c r="AS80" i="22"/>
  <c r="AR80" i="22"/>
  <c r="AQ80" i="22"/>
  <c r="AP80" i="22"/>
  <c r="AO80" i="22"/>
  <c r="AN80" i="22"/>
  <c r="AM80" i="22"/>
  <c r="AL80" i="22"/>
  <c r="AJ80" i="22"/>
  <c r="AI80" i="22"/>
  <c r="AB80" i="22"/>
  <c r="AA80" i="22"/>
  <c r="Z80" i="22"/>
  <c r="Y80" i="22"/>
  <c r="X80" i="22"/>
  <c r="W80" i="22"/>
  <c r="V80" i="22"/>
  <c r="U80" i="22"/>
  <c r="T80" i="22"/>
  <c r="M80" i="22"/>
  <c r="L80" i="22"/>
  <c r="K80" i="22"/>
  <c r="J80" i="22"/>
  <c r="BB80" i="22" s="1"/>
  <c r="I80" i="22"/>
  <c r="BA80" i="22" s="1"/>
  <c r="H80" i="22"/>
  <c r="AZ80" i="22" s="1"/>
  <c r="F80" i="22"/>
  <c r="AX80" i="22" s="1"/>
  <c r="AW79" i="22"/>
  <c r="AT79" i="22"/>
  <c r="AS79" i="22"/>
  <c r="AR79" i="22"/>
  <c r="AQ79" i="22"/>
  <c r="AP79" i="22"/>
  <c r="AO79" i="22"/>
  <c r="AN79" i="22"/>
  <c r="AM79" i="22"/>
  <c r="AL79" i="22"/>
  <c r="AJ79" i="22"/>
  <c r="AI79" i="22"/>
  <c r="AB79" i="22"/>
  <c r="AA79" i="22"/>
  <c r="Z79" i="22"/>
  <c r="Y79" i="22"/>
  <c r="X79" i="22"/>
  <c r="W79" i="22"/>
  <c r="V79" i="22"/>
  <c r="U79" i="22"/>
  <c r="T79" i="22"/>
  <c r="M79" i="22"/>
  <c r="L79" i="22"/>
  <c r="K79" i="22"/>
  <c r="J79" i="22"/>
  <c r="BB79" i="22" s="1"/>
  <c r="I79" i="22"/>
  <c r="BA79" i="22" s="1"/>
  <c r="H79" i="22"/>
  <c r="AZ79" i="22" s="1"/>
  <c r="F79" i="22"/>
  <c r="AX79" i="22" s="1"/>
  <c r="AW78" i="22"/>
  <c r="AT78" i="22"/>
  <c r="AS78" i="22"/>
  <c r="AR78" i="22"/>
  <c r="AQ78" i="22"/>
  <c r="AP78" i="22"/>
  <c r="AO78" i="22"/>
  <c r="AN78" i="22"/>
  <c r="AM78" i="22"/>
  <c r="AL78" i="22"/>
  <c r="AJ78" i="22"/>
  <c r="AI78" i="22"/>
  <c r="AB78" i="22"/>
  <c r="AA78" i="22"/>
  <c r="Z78" i="22"/>
  <c r="Y78" i="22"/>
  <c r="X78" i="22"/>
  <c r="W78" i="22"/>
  <c r="V78" i="22"/>
  <c r="U78" i="22"/>
  <c r="T78" i="22"/>
  <c r="M78" i="22"/>
  <c r="L78" i="22"/>
  <c r="K78" i="22"/>
  <c r="J78" i="22"/>
  <c r="BB78" i="22" s="1"/>
  <c r="I78" i="22"/>
  <c r="BA78" i="22" s="1"/>
  <c r="H78" i="22"/>
  <c r="AZ78" i="22" s="1"/>
  <c r="F78" i="22"/>
  <c r="AX78" i="22" s="1"/>
  <c r="AW77" i="22"/>
  <c r="AT77" i="22"/>
  <c r="AS77" i="22"/>
  <c r="AR77" i="22"/>
  <c r="AQ77" i="22"/>
  <c r="AP77" i="22"/>
  <c r="AO77" i="22"/>
  <c r="AN77" i="22"/>
  <c r="AM77" i="22"/>
  <c r="AL77" i="22"/>
  <c r="AJ77" i="22"/>
  <c r="AI77" i="22"/>
  <c r="AB77" i="22"/>
  <c r="AA77" i="22"/>
  <c r="Z77" i="22"/>
  <c r="Y77" i="22"/>
  <c r="X77" i="22"/>
  <c r="W77" i="22"/>
  <c r="V77" i="22"/>
  <c r="U77" i="22"/>
  <c r="T77" i="22"/>
  <c r="M77" i="22"/>
  <c r="L77" i="22"/>
  <c r="K77" i="22"/>
  <c r="J77" i="22"/>
  <c r="BB77" i="22" s="1"/>
  <c r="I77" i="22"/>
  <c r="BA77" i="22" s="1"/>
  <c r="H77" i="22"/>
  <c r="AZ77" i="22" s="1"/>
  <c r="F77" i="22"/>
  <c r="AX77" i="22" s="1"/>
  <c r="AW76" i="22"/>
  <c r="AT76" i="22"/>
  <c r="AS76" i="22"/>
  <c r="AR76" i="22"/>
  <c r="AQ76" i="22"/>
  <c r="AP76" i="22"/>
  <c r="AO76" i="22"/>
  <c r="AN76" i="22"/>
  <c r="AM76" i="22"/>
  <c r="AL76" i="22"/>
  <c r="AJ76" i="22"/>
  <c r="AI76" i="22"/>
  <c r="AB76" i="22"/>
  <c r="AA76" i="22"/>
  <c r="Z76" i="22"/>
  <c r="Y76" i="22"/>
  <c r="X76" i="22"/>
  <c r="W76" i="22"/>
  <c r="V76" i="22"/>
  <c r="U76" i="22"/>
  <c r="T76" i="22"/>
  <c r="M76" i="22"/>
  <c r="L76" i="22"/>
  <c r="K76" i="22"/>
  <c r="J76" i="22"/>
  <c r="BB76" i="22" s="1"/>
  <c r="I76" i="22"/>
  <c r="BA76" i="22" s="1"/>
  <c r="H76" i="22"/>
  <c r="AZ76" i="22" s="1"/>
  <c r="F76" i="22"/>
  <c r="AX76" i="22" s="1"/>
  <c r="AW75" i="22"/>
  <c r="AT75" i="22"/>
  <c r="AS75" i="22"/>
  <c r="AR75" i="22"/>
  <c r="AQ75" i="22"/>
  <c r="AP75" i="22"/>
  <c r="AO75" i="22"/>
  <c r="AN75" i="22"/>
  <c r="AM75" i="22"/>
  <c r="AL75" i="22"/>
  <c r="AJ75" i="22"/>
  <c r="AI75" i="22"/>
  <c r="AB75" i="22"/>
  <c r="AA75" i="22"/>
  <c r="Z75" i="22"/>
  <c r="Y75" i="22"/>
  <c r="X75" i="22"/>
  <c r="W75" i="22"/>
  <c r="V75" i="22"/>
  <c r="U75" i="22"/>
  <c r="T75" i="22"/>
  <c r="M75" i="22"/>
  <c r="L75" i="22"/>
  <c r="K75" i="22"/>
  <c r="J75" i="22"/>
  <c r="BB75" i="22" s="1"/>
  <c r="I75" i="22"/>
  <c r="BA75" i="22" s="1"/>
  <c r="H75" i="22"/>
  <c r="AZ75" i="22" s="1"/>
  <c r="F75" i="22"/>
  <c r="AX75" i="22" s="1"/>
  <c r="AW74" i="22"/>
  <c r="AT74" i="22"/>
  <c r="AS74" i="22"/>
  <c r="AR74" i="22"/>
  <c r="AQ74" i="22"/>
  <c r="AP74" i="22"/>
  <c r="AO74" i="22"/>
  <c r="AN74" i="22"/>
  <c r="AM74" i="22"/>
  <c r="AL74" i="22"/>
  <c r="AJ74" i="22"/>
  <c r="AI74" i="22"/>
  <c r="AB74" i="22"/>
  <c r="AA74" i="22"/>
  <c r="Z74" i="22"/>
  <c r="Y74" i="22"/>
  <c r="X74" i="22"/>
  <c r="W74" i="22"/>
  <c r="V74" i="22"/>
  <c r="U74" i="22"/>
  <c r="T74" i="22"/>
  <c r="M74" i="22"/>
  <c r="L74" i="22"/>
  <c r="K74" i="22"/>
  <c r="J74" i="22"/>
  <c r="BB74" i="22" s="1"/>
  <c r="I74" i="22"/>
  <c r="BA74" i="22" s="1"/>
  <c r="H74" i="22"/>
  <c r="AZ74" i="22" s="1"/>
  <c r="F74" i="22"/>
  <c r="AX74" i="22" s="1"/>
  <c r="AW73" i="22"/>
  <c r="AT73" i="22"/>
  <c r="AS73" i="22"/>
  <c r="AR73" i="22"/>
  <c r="AQ73" i="22"/>
  <c r="AP73" i="22"/>
  <c r="AO73" i="22"/>
  <c r="AN73" i="22"/>
  <c r="AM73" i="22"/>
  <c r="AL73" i="22"/>
  <c r="AJ73" i="22"/>
  <c r="AI73" i="22"/>
  <c r="AB73" i="22"/>
  <c r="AA73" i="22"/>
  <c r="Z73" i="22"/>
  <c r="Y73" i="22"/>
  <c r="X73" i="22"/>
  <c r="W73" i="22"/>
  <c r="V73" i="22"/>
  <c r="U73" i="22"/>
  <c r="T73" i="22"/>
  <c r="M73" i="22"/>
  <c r="L73" i="22"/>
  <c r="K73" i="22"/>
  <c r="J73" i="22"/>
  <c r="BB73" i="22" s="1"/>
  <c r="I73" i="22"/>
  <c r="BA73" i="22" s="1"/>
  <c r="H73" i="22"/>
  <c r="AZ73" i="22" s="1"/>
  <c r="F73" i="22"/>
  <c r="AX73" i="22" s="1"/>
  <c r="AW72" i="22"/>
  <c r="AT72" i="22"/>
  <c r="AS72" i="22"/>
  <c r="AR72" i="22"/>
  <c r="AQ72" i="22"/>
  <c r="AP72" i="22"/>
  <c r="AO72" i="22"/>
  <c r="AN72" i="22"/>
  <c r="AM72" i="22"/>
  <c r="AL72" i="22"/>
  <c r="AJ72" i="22"/>
  <c r="AI72" i="22"/>
  <c r="AB72" i="22"/>
  <c r="AA72" i="22"/>
  <c r="Z72" i="22"/>
  <c r="Y72" i="22"/>
  <c r="X72" i="22"/>
  <c r="W72" i="22"/>
  <c r="V72" i="22"/>
  <c r="U72" i="22"/>
  <c r="T72" i="22"/>
  <c r="M72" i="22"/>
  <c r="L72" i="22"/>
  <c r="K72" i="22"/>
  <c r="J72" i="22"/>
  <c r="BB72" i="22" s="1"/>
  <c r="I72" i="22"/>
  <c r="BA72" i="22" s="1"/>
  <c r="H72" i="22"/>
  <c r="AZ72" i="22" s="1"/>
  <c r="F72" i="22"/>
  <c r="AX72" i="22" s="1"/>
  <c r="AW71" i="22"/>
  <c r="AT71" i="22"/>
  <c r="AS71" i="22"/>
  <c r="AR71" i="22"/>
  <c r="AQ71" i="22"/>
  <c r="AP71" i="22"/>
  <c r="AO71" i="22"/>
  <c r="AN71" i="22"/>
  <c r="AM71" i="22"/>
  <c r="AL71" i="22"/>
  <c r="AJ71" i="22"/>
  <c r="AI71" i="22"/>
  <c r="AB71" i="22"/>
  <c r="AA71" i="22"/>
  <c r="Z71" i="22"/>
  <c r="Y71" i="22"/>
  <c r="X71" i="22"/>
  <c r="W71" i="22"/>
  <c r="V71" i="22"/>
  <c r="U71" i="22"/>
  <c r="T71" i="22"/>
  <c r="M71" i="22"/>
  <c r="L71" i="22"/>
  <c r="K71" i="22"/>
  <c r="J71" i="22"/>
  <c r="BB71" i="22" s="1"/>
  <c r="I71" i="22"/>
  <c r="BA71" i="22" s="1"/>
  <c r="H71" i="22"/>
  <c r="AZ71" i="22" s="1"/>
  <c r="F71" i="22"/>
  <c r="AX71" i="22" s="1"/>
  <c r="AW70" i="22"/>
  <c r="AT70" i="22"/>
  <c r="AS70" i="22"/>
  <c r="AR70" i="22"/>
  <c r="AQ70" i="22"/>
  <c r="AP70" i="22"/>
  <c r="AO70" i="22"/>
  <c r="AN70" i="22"/>
  <c r="AM70" i="22"/>
  <c r="AL70" i="22"/>
  <c r="AJ70" i="22"/>
  <c r="AI70" i="22"/>
  <c r="AB70" i="22"/>
  <c r="AA70" i="22"/>
  <c r="Z70" i="22"/>
  <c r="Y70" i="22"/>
  <c r="X70" i="22"/>
  <c r="W70" i="22"/>
  <c r="V70" i="22"/>
  <c r="U70" i="22"/>
  <c r="T70" i="22"/>
  <c r="M70" i="22"/>
  <c r="L70" i="22"/>
  <c r="K70" i="22"/>
  <c r="J70" i="22"/>
  <c r="BB70" i="22" s="1"/>
  <c r="I70" i="22"/>
  <c r="BA70" i="22" s="1"/>
  <c r="H70" i="22"/>
  <c r="AZ70" i="22" s="1"/>
  <c r="F70" i="22"/>
  <c r="AX70" i="22" s="1"/>
  <c r="AW69" i="22"/>
  <c r="AT69" i="22"/>
  <c r="AS69" i="22"/>
  <c r="AR69" i="22"/>
  <c r="AQ69" i="22"/>
  <c r="AP69" i="22"/>
  <c r="AO69" i="22"/>
  <c r="AN69" i="22"/>
  <c r="AM69" i="22"/>
  <c r="AL69" i="22"/>
  <c r="AJ69" i="22"/>
  <c r="AI69" i="22"/>
  <c r="AB69" i="22"/>
  <c r="AA69" i="22"/>
  <c r="Z69" i="22"/>
  <c r="Y69" i="22"/>
  <c r="X69" i="22"/>
  <c r="W69" i="22"/>
  <c r="V69" i="22"/>
  <c r="U69" i="22"/>
  <c r="T69" i="22"/>
  <c r="M69" i="22"/>
  <c r="L69" i="22"/>
  <c r="K69" i="22"/>
  <c r="J69" i="22"/>
  <c r="BB69" i="22" s="1"/>
  <c r="I69" i="22"/>
  <c r="BA69" i="22" s="1"/>
  <c r="H69" i="22"/>
  <c r="AZ69" i="22" s="1"/>
  <c r="F69" i="22"/>
  <c r="AX69" i="22" s="1"/>
  <c r="AW68" i="22"/>
  <c r="AT68" i="22"/>
  <c r="AS68" i="22"/>
  <c r="AR68" i="22"/>
  <c r="AQ68" i="22"/>
  <c r="AP68" i="22"/>
  <c r="AO68" i="22"/>
  <c r="AN68" i="22"/>
  <c r="AM68" i="22"/>
  <c r="AL68" i="22"/>
  <c r="AJ68" i="22"/>
  <c r="AI68" i="22"/>
  <c r="AB68" i="22"/>
  <c r="AA68" i="22"/>
  <c r="Z68" i="22"/>
  <c r="Y68" i="22"/>
  <c r="X68" i="22"/>
  <c r="W68" i="22"/>
  <c r="V68" i="22"/>
  <c r="U68" i="22"/>
  <c r="T68" i="22"/>
  <c r="M68" i="22"/>
  <c r="L68" i="22"/>
  <c r="K68" i="22"/>
  <c r="J68" i="22"/>
  <c r="BB68" i="22" s="1"/>
  <c r="I68" i="22"/>
  <c r="BA68" i="22" s="1"/>
  <c r="H68" i="22"/>
  <c r="AZ68" i="22" s="1"/>
  <c r="F68" i="22"/>
  <c r="AX68" i="22" s="1"/>
  <c r="AW67" i="22"/>
  <c r="AT67" i="22"/>
  <c r="AS67" i="22"/>
  <c r="AR67" i="22"/>
  <c r="AQ67" i="22"/>
  <c r="AP67" i="22"/>
  <c r="AO67" i="22"/>
  <c r="AN67" i="22"/>
  <c r="AM67" i="22"/>
  <c r="AL67" i="22"/>
  <c r="AJ67" i="22"/>
  <c r="AI67" i="22"/>
  <c r="AB67" i="22"/>
  <c r="AA67" i="22"/>
  <c r="Z67" i="22"/>
  <c r="Y67" i="22"/>
  <c r="X67" i="22"/>
  <c r="W67" i="22"/>
  <c r="V67" i="22"/>
  <c r="U67" i="22"/>
  <c r="T67" i="22"/>
  <c r="M67" i="22"/>
  <c r="L67" i="22"/>
  <c r="K67" i="22"/>
  <c r="J67" i="22"/>
  <c r="BB67" i="22" s="1"/>
  <c r="I67" i="22"/>
  <c r="BA67" i="22" s="1"/>
  <c r="H67" i="22"/>
  <c r="AZ67" i="22" s="1"/>
  <c r="F67" i="22"/>
  <c r="AX67" i="22" s="1"/>
  <c r="AW66" i="22"/>
  <c r="AT66" i="22"/>
  <c r="AS66" i="22"/>
  <c r="AR66" i="22"/>
  <c r="AQ66" i="22"/>
  <c r="AP66" i="22"/>
  <c r="AO66" i="22"/>
  <c r="AN66" i="22"/>
  <c r="AM66" i="22"/>
  <c r="AL66" i="22"/>
  <c r="AJ66" i="22"/>
  <c r="AI66" i="22"/>
  <c r="AB66" i="22"/>
  <c r="AA66" i="22"/>
  <c r="Z66" i="22"/>
  <c r="Y66" i="22"/>
  <c r="X66" i="22"/>
  <c r="W66" i="22"/>
  <c r="V66" i="22"/>
  <c r="U66" i="22"/>
  <c r="T66" i="22"/>
  <c r="M66" i="22"/>
  <c r="L66" i="22"/>
  <c r="K66" i="22"/>
  <c r="J66" i="22"/>
  <c r="BB66" i="22" s="1"/>
  <c r="I66" i="22"/>
  <c r="BA66" i="22" s="1"/>
  <c r="H66" i="22"/>
  <c r="AZ66" i="22" s="1"/>
  <c r="F66" i="22"/>
  <c r="AX66" i="22" s="1"/>
  <c r="AW65" i="22"/>
  <c r="AT65" i="22"/>
  <c r="AS65" i="22"/>
  <c r="AR65" i="22"/>
  <c r="AQ65" i="22"/>
  <c r="AP65" i="22"/>
  <c r="AO65" i="22"/>
  <c r="AN65" i="22"/>
  <c r="AM65" i="22"/>
  <c r="AL65" i="22"/>
  <c r="AJ65" i="22"/>
  <c r="AI65" i="22"/>
  <c r="AB65" i="22"/>
  <c r="AA65" i="22"/>
  <c r="Z65" i="22"/>
  <c r="Y65" i="22"/>
  <c r="X65" i="22"/>
  <c r="W65" i="22"/>
  <c r="V65" i="22"/>
  <c r="U65" i="22"/>
  <c r="T65" i="22"/>
  <c r="M65" i="22"/>
  <c r="L65" i="22"/>
  <c r="K65" i="22"/>
  <c r="J65" i="22"/>
  <c r="BB65" i="22" s="1"/>
  <c r="I65" i="22"/>
  <c r="BA65" i="22" s="1"/>
  <c r="H65" i="22"/>
  <c r="AZ65" i="22" s="1"/>
  <c r="F65" i="22"/>
  <c r="AX65" i="22" s="1"/>
  <c r="AW64" i="22"/>
  <c r="AT64" i="22"/>
  <c r="AS64" i="22"/>
  <c r="AR64" i="22"/>
  <c r="AQ64" i="22"/>
  <c r="AP64" i="22"/>
  <c r="AO64" i="22"/>
  <c r="AN64" i="22"/>
  <c r="AM64" i="22"/>
  <c r="AL64" i="22"/>
  <c r="AJ64" i="22"/>
  <c r="AI64" i="22"/>
  <c r="AB64" i="22"/>
  <c r="AA64" i="22"/>
  <c r="Z64" i="22"/>
  <c r="Y64" i="22"/>
  <c r="X64" i="22"/>
  <c r="W64" i="22"/>
  <c r="V64" i="22"/>
  <c r="U64" i="22"/>
  <c r="T64" i="22"/>
  <c r="M64" i="22"/>
  <c r="L64" i="22"/>
  <c r="K64" i="22"/>
  <c r="J64" i="22"/>
  <c r="BB64" i="22" s="1"/>
  <c r="I64" i="22"/>
  <c r="BA64" i="22" s="1"/>
  <c r="H64" i="22"/>
  <c r="AZ64" i="22" s="1"/>
  <c r="F64" i="22"/>
  <c r="AX64" i="22" s="1"/>
  <c r="AW63" i="22"/>
  <c r="AT63" i="22"/>
  <c r="AS63" i="22"/>
  <c r="AR63" i="22"/>
  <c r="AQ63" i="22"/>
  <c r="AP63" i="22"/>
  <c r="AO63" i="22"/>
  <c r="AN63" i="22"/>
  <c r="AM63" i="22"/>
  <c r="AL63" i="22"/>
  <c r="AJ63" i="22"/>
  <c r="AI63" i="22"/>
  <c r="AB63" i="22"/>
  <c r="AA63" i="22"/>
  <c r="Z63" i="22"/>
  <c r="Y63" i="22"/>
  <c r="X63" i="22"/>
  <c r="W63" i="22"/>
  <c r="V63" i="22"/>
  <c r="U63" i="22"/>
  <c r="T63" i="22"/>
  <c r="M63" i="22"/>
  <c r="L63" i="22"/>
  <c r="K63" i="22"/>
  <c r="J63" i="22"/>
  <c r="BB63" i="22" s="1"/>
  <c r="I63" i="22"/>
  <c r="BA63" i="22" s="1"/>
  <c r="H63" i="22"/>
  <c r="AZ63" i="22" s="1"/>
  <c r="F63" i="22"/>
  <c r="AX63" i="22" s="1"/>
  <c r="AW62" i="22"/>
  <c r="AT62" i="22"/>
  <c r="AS62" i="22"/>
  <c r="AR62" i="22"/>
  <c r="AQ62" i="22"/>
  <c r="AP62" i="22"/>
  <c r="AO62" i="22"/>
  <c r="AN62" i="22"/>
  <c r="AM62" i="22"/>
  <c r="AL62" i="22"/>
  <c r="AJ62" i="22"/>
  <c r="AI62" i="22"/>
  <c r="AB62" i="22"/>
  <c r="AA62" i="22"/>
  <c r="Z62" i="22"/>
  <c r="Y62" i="22"/>
  <c r="X62" i="22"/>
  <c r="W62" i="22"/>
  <c r="V62" i="22"/>
  <c r="U62" i="22"/>
  <c r="T62" i="22"/>
  <c r="M62" i="22"/>
  <c r="L62" i="22"/>
  <c r="K62" i="22"/>
  <c r="J62" i="22"/>
  <c r="BB62" i="22" s="1"/>
  <c r="I62" i="22"/>
  <c r="BA62" i="22" s="1"/>
  <c r="H62" i="22"/>
  <c r="AZ62" i="22" s="1"/>
  <c r="F62" i="22"/>
  <c r="AX62" i="22" s="1"/>
  <c r="AW61" i="22"/>
  <c r="AT61" i="22"/>
  <c r="AS61" i="22"/>
  <c r="AR61" i="22"/>
  <c r="AQ61" i="22"/>
  <c r="AP61" i="22"/>
  <c r="AO61" i="22"/>
  <c r="AN61" i="22"/>
  <c r="AM61" i="22"/>
  <c r="AL61" i="22"/>
  <c r="AJ61" i="22"/>
  <c r="AI61" i="22"/>
  <c r="AB61" i="22"/>
  <c r="AA61" i="22"/>
  <c r="Z61" i="22"/>
  <c r="Y61" i="22"/>
  <c r="X61" i="22"/>
  <c r="W61" i="22"/>
  <c r="V61" i="22"/>
  <c r="U61" i="22"/>
  <c r="T61" i="22"/>
  <c r="M61" i="22"/>
  <c r="L61" i="22"/>
  <c r="K61" i="22"/>
  <c r="J61" i="22"/>
  <c r="BB61" i="22" s="1"/>
  <c r="I61" i="22"/>
  <c r="BA61" i="22" s="1"/>
  <c r="H61" i="22"/>
  <c r="AZ61" i="22" s="1"/>
  <c r="F61" i="22"/>
  <c r="AX61" i="22" s="1"/>
  <c r="AW60" i="22"/>
  <c r="AT60" i="22"/>
  <c r="AS60" i="22"/>
  <c r="AR60" i="22"/>
  <c r="AQ60" i="22"/>
  <c r="AP60" i="22"/>
  <c r="AO60" i="22"/>
  <c r="AN60" i="22"/>
  <c r="AM60" i="22"/>
  <c r="AL60" i="22"/>
  <c r="AJ60" i="22"/>
  <c r="AI60" i="22"/>
  <c r="AB60" i="22"/>
  <c r="AA60" i="22"/>
  <c r="Z60" i="22"/>
  <c r="Y60" i="22"/>
  <c r="X60" i="22"/>
  <c r="W60" i="22"/>
  <c r="V60" i="22"/>
  <c r="U60" i="22"/>
  <c r="T60" i="22"/>
  <c r="M60" i="22"/>
  <c r="L60" i="22"/>
  <c r="K60" i="22"/>
  <c r="J60" i="22"/>
  <c r="BB60" i="22" s="1"/>
  <c r="I60" i="22"/>
  <c r="BA60" i="22" s="1"/>
  <c r="H60" i="22"/>
  <c r="AZ60" i="22" s="1"/>
  <c r="F60" i="22"/>
  <c r="AX60" i="22" s="1"/>
  <c r="AW59" i="22"/>
  <c r="AT59" i="22"/>
  <c r="AS59" i="22"/>
  <c r="AR59" i="22"/>
  <c r="AQ59" i="22"/>
  <c r="AP59" i="22"/>
  <c r="AO59" i="22"/>
  <c r="AN59" i="22"/>
  <c r="AM59" i="22"/>
  <c r="AL59" i="22"/>
  <c r="AJ59" i="22"/>
  <c r="AI59" i="22"/>
  <c r="AB59" i="22"/>
  <c r="AA59" i="22"/>
  <c r="Z59" i="22"/>
  <c r="Y59" i="22"/>
  <c r="X59" i="22"/>
  <c r="W59" i="22"/>
  <c r="V59" i="22"/>
  <c r="U59" i="22"/>
  <c r="T59" i="22"/>
  <c r="M59" i="22"/>
  <c r="L59" i="22"/>
  <c r="K59" i="22"/>
  <c r="J59" i="22"/>
  <c r="BB59" i="22" s="1"/>
  <c r="I59" i="22"/>
  <c r="BA59" i="22" s="1"/>
  <c r="H59" i="22"/>
  <c r="AZ59" i="22" s="1"/>
  <c r="F59" i="22"/>
  <c r="AX59" i="22" s="1"/>
  <c r="AW58" i="22"/>
  <c r="AT58" i="22"/>
  <c r="AS58" i="22"/>
  <c r="AR58" i="22"/>
  <c r="AQ58" i="22"/>
  <c r="AP58" i="22"/>
  <c r="AO58" i="22"/>
  <c r="AN58" i="22"/>
  <c r="AM58" i="22"/>
  <c r="AL58" i="22"/>
  <c r="AJ58" i="22"/>
  <c r="AI58" i="22"/>
  <c r="AB58" i="22"/>
  <c r="AA58" i="22"/>
  <c r="Z58" i="22"/>
  <c r="Y58" i="22"/>
  <c r="X58" i="22"/>
  <c r="W58" i="22"/>
  <c r="V58" i="22"/>
  <c r="U58" i="22"/>
  <c r="T58" i="22"/>
  <c r="M58" i="22"/>
  <c r="L58" i="22"/>
  <c r="K58" i="22"/>
  <c r="J58" i="22"/>
  <c r="BB58" i="22" s="1"/>
  <c r="I58" i="22"/>
  <c r="BA58" i="22" s="1"/>
  <c r="H58" i="22"/>
  <c r="AZ58" i="22" s="1"/>
  <c r="F58" i="22"/>
  <c r="AX58" i="22" s="1"/>
  <c r="AW57" i="22"/>
  <c r="AT57" i="22"/>
  <c r="AS57" i="22"/>
  <c r="AR57" i="22"/>
  <c r="AQ57" i="22"/>
  <c r="AP57" i="22"/>
  <c r="AO57" i="22"/>
  <c r="AN57" i="22"/>
  <c r="AM57" i="22"/>
  <c r="AL57" i="22"/>
  <c r="AJ57" i="22"/>
  <c r="AI57" i="22"/>
  <c r="AB57" i="22"/>
  <c r="AA57" i="22"/>
  <c r="Z57" i="22"/>
  <c r="Y57" i="22"/>
  <c r="X57" i="22"/>
  <c r="W57" i="22"/>
  <c r="V57" i="22"/>
  <c r="U57" i="22"/>
  <c r="T57" i="22"/>
  <c r="M57" i="22"/>
  <c r="L57" i="22"/>
  <c r="K57" i="22"/>
  <c r="J57" i="22"/>
  <c r="BB57" i="22" s="1"/>
  <c r="I57" i="22"/>
  <c r="BA57" i="22" s="1"/>
  <c r="H57" i="22"/>
  <c r="AZ57" i="22" s="1"/>
  <c r="F57" i="22"/>
  <c r="AX57" i="22" s="1"/>
  <c r="AW56" i="22"/>
  <c r="AT56" i="22"/>
  <c r="AS56" i="22"/>
  <c r="AR56" i="22"/>
  <c r="AQ56" i="22"/>
  <c r="AP56" i="22"/>
  <c r="AO56" i="22"/>
  <c r="AN56" i="22"/>
  <c r="AM56" i="22"/>
  <c r="AL56" i="22"/>
  <c r="AJ56" i="22"/>
  <c r="AI56" i="22"/>
  <c r="AB56" i="22"/>
  <c r="AA56" i="22"/>
  <c r="Z56" i="22"/>
  <c r="Y56" i="22"/>
  <c r="X56" i="22"/>
  <c r="W56" i="22"/>
  <c r="V56" i="22"/>
  <c r="U56" i="22"/>
  <c r="T56" i="22"/>
  <c r="M56" i="22"/>
  <c r="L56" i="22"/>
  <c r="K56" i="22"/>
  <c r="J56" i="22"/>
  <c r="BB56" i="22" s="1"/>
  <c r="I56" i="22"/>
  <c r="BA56" i="22" s="1"/>
  <c r="H56" i="22"/>
  <c r="AZ56" i="22" s="1"/>
  <c r="F56" i="22"/>
  <c r="AX56" i="22" s="1"/>
  <c r="AW55" i="22"/>
  <c r="AT55" i="22"/>
  <c r="AS55" i="22"/>
  <c r="AR55" i="22"/>
  <c r="AQ55" i="22"/>
  <c r="AP55" i="22"/>
  <c r="AO55" i="22"/>
  <c r="AN55" i="22"/>
  <c r="AM55" i="22"/>
  <c r="AL55" i="22"/>
  <c r="AJ55" i="22"/>
  <c r="AI55" i="22"/>
  <c r="AB55" i="22"/>
  <c r="AA55" i="22"/>
  <c r="Z55" i="22"/>
  <c r="Y55" i="22"/>
  <c r="X55" i="22"/>
  <c r="W55" i="22"/>
  <c r="V55" i="22"/>
  <c r="U55" i="22"/>
  <c r="T55" i="22"/>
  <c r="M55" i="22"/>
  <c r="L55" i="22"/>
  <c r="K55" i="22"/>
  <c r="J55" i="22"/>
  <c r="BB55" i="22" s="1"/>
  <c r="I55" i="22"/>
  <c r="BA55" i="22" s="1"/>
  <c r="H55" i="22"/>
  <c r="AZ55" i="22" s="1"/>
  <c r="F55" i="22"/>
  <c r="AX55" i="22" s="1"/>
  <c r="AW54" i="22"/>
  <c r="AT54" i="22"/>
  <c r="AS54" i="22"/>
  <c r="AR54" i="22"/>
  <c r="AQ54" i="22"/>
  <c r="AP54" i="22"/>
  <c r="AO54" i="22"/>
  <c r="AN54" i="22"/>
  <c r="AM54" i="22"/>
  <c r="AL54" i="22"/>
  <c r="AJ54" i="22"/>
  <c r="AI54" i="22"/>
  <c r="AB54" i="22"/>
  <c r="AA54" i="22"/>
  <c r="Z54" i="22"/>
  <c r="Y54" i="22"/>
  <c r="X54" i="22"/>
  <c r="W54" i="22"/>
  <c r="V54" i="22"/>
  <c r="U54" i="22"/>
  <c r="T54" i="22"/>
  <c r="M54" i="22"/>
  <c r="L54" i="22"/>
  <c r="K54" i="22"/>
  <c r="J54" i="22"/>
  <c r="BB54" i="22" s="1"/>
  <c r="I54" i="22"/>
  <c r="BA54" i="22" s="1"/>
  <c r="H54" i="22"/>
  <c r="AZ54" i="22" s="1"/>
  <c r="F54" i="22"/>
  <c r="AX54" i="22" s="1"/>
  <c r="AW53" i="22"/>
  <c r="AT53" i="22"/>
  <c r="AS53" i="22"/>
  <c r="AR53" i="22"/>
  <c r="AQ53" i="22"/>
  <c r="AP53" i="22"/>
  <c r="AO53" i="22"/>
  <c r="AN53" i="22"/>
  <c r="AM53" i="22"/>
  <c r="AL53" i="22"/>
  <c r="AJ53" i="22"/>
  <c r="AI53" i="22"/>
  <c r="AB53" i="22"/>
  <c r="AA53" i="22"/>
  <c r="Z53" i="22"/>
  <c r="Y53" i="22"/>
  <c r="X53" i="22"/>
  <c r="W53" i="22"/>
  <c r="V53" i="22"/>
  <c r="U53" i="22"/>
  <c r="T53" i="22"/>
  <c r="M53" i="22"/>
  <c r="L53" i="22"/>
  <c r="K53" i="22"/>
  <c r="J53" i="22"/>
  <c r="BB53" i="22" s="1"/>
  <c r="I53" i="22"/>
  <c r="BA53" i="22" s="1"/>
  <c r="H53" i="22"/>
  <c r="AZ53" i="22" s="1"/>
  <c r="F53" i="22"/>
  <c r="AX53" i="22" s="1"/>
  <c r="AW52" i="22"/>
  <c r="AT52" i="22"/>
  <c r="AS52" i="22"/>
  <c r="AR52" i="22"/>
  <c r="AQ52" i="22"/>
  <c r="AP52" i="22"/>
  <c r="AO52" i="22"/>
  <c r="AN52" i="22"/>
  <c r="AM52" i="22"/>
  <c r="AL52" i="22"/>
  <c r="AJ52" i="22"/>
  <c r="AI52" i="22"/>
  <c r="AB52" i="22"/>
  <c r="AA52" i="22"/>
  <c r="Z52" i="22"/>
  <c r="Y52" i="22"/>
  <c r="X52" i="22"/>
  <c r="W52" i="22"/>
  <c r="V52" i="22"/>
  <c r="U52" i="22"/>
  <c r="T52" i="22"/>
  <c r="M52" i="22"/>
  <c r="L52" i="22"/>
  <c r="K52" i="22"/>
  <c r="J52" i="22"/>
  <c r="BB52" i="22" s="1"/>
  <c r="I52" i="22"/>
  <c r="BA52" i="22" s="1"/>
  <c r="H52" i="22"/>
  <c r="AZ52" i="22" s="1"/>
  <c r="F52" i="22"/>
  <c r="AX52" i="22" s="1"/>
  <c r="AW51" i="22"/>
  <c r="AT51" i="22"/>
  <c r="AS51" i="22"/>
  <c r="AR51" i="22"/>
  <c r="AQ51" i="22"/>
  <c r="AP51" i="22"/>
  <c r="AO51" i="22"/>
  <c r="AN51" i="22"/>
  <c r="AM51" i="22"/>
  <c r="AL51" i="22"/>
  <c r="AJ51" i="22"/>
  <c r="AI51" i="22"/>
  <c r="AB51" i="22"/>
  <c r="AA51" i="22"/>
  <c r="Z51" i="22"/>
  <c r="Y51" i="22"/>
  <c r="X51" i="22"/>
  <c r="W51" i="22"/>
  <c r="V51" i="22"/>
  <c r="U51" i="22"/>
  <c r="T51" i="22"/>
  <c r="M51" i="22"/>
  <c r="L51" i="22"/>
  <c r="K51" i="22"/>
  <c r="J51" i="22"/>
  <c r="BB51" i="22" s="1"/>
  <c r="I51" i="22"/>
  <c r="BA51" i="22" s="1"/>
  <c r="H51" i="22"/>
  <c r="AZ51" i="22" s="1"/>
  <c r="F51" i="22"/>
  <c r="AX51" i="22" s="1"/>
  <c r="AW50" i="22"/>
  <c r="AT50" i="22"/>
  <c r="AS50" i="22"/>
  <c r="AR50" i="22"/>
  <c r="AQ50" i="22"/>
  <c r="AP50" i="22"/>
  <c r="AO50" i="22"/>
  <c r="AN50" i="22"/>
  <c r="AM50" i="22"/>
  <c r="AL50" i="22"/>
  <c r="AJ50" i="22"/>
  <c r="AI50" i="22"/>
  <c r="AB50" i="22"/>
  <c r="AA50" i="22"/>
  <c r="Z50" i="22"/>
  <c r="Y50" i="22"/>
  <c r="X50" i="22"/>
  <c r="W50" i="22"/>
  <c r="V50" i="22"/>
  <c r="U50" i="22"/>
  <c r="T50" i="22"/>
  <c r="M50" i="22"/>
  <c r="L50" i="22"/>
  <c r="K50" i="22"/>
  <c r="J50" i="22"/>
  <c r="BB50" i="22" s="1"/>
  <c r="I50" i="22"/>
  <c r="BA50" i="22" s="1"/>
  <c r="H50" i="22"/>
  <c r="AZ50" i="22" s="1"/>
  <c r="F50" i="22"/>
  <c r="AX50" i="22" s="1"/>
  <c r="AW49" i="22"/>
  <c r="AT49" i="22"/>
  <c r="AS49" i="22"/>
  <c r="AR49" i="22"/>
  <c r="AQ49" i="22"/>
  <c r="AP49" i="22"/>
  <c r="AO49" i="22"/>
  <c r="AN49" i="22"/>
  <c r="AM49" i="22"/>
  <c r="AL49" i="22"/>
  <c r="AJ49" i="22"/>
  <c r="AI49" i="22"/>
  <c r="AB49" i="22"/>
  <c r="AA49" i="22"/>
  <c r="Z49" i="22"/>
  <c r="Y49" i="22"/>
  <c r="X49" i="22"/>
  <c r="W49" i="22"/>
  <c r="V49" i="22"/>
  <c r="U49" i="22"/>
  <c r="T49" i="22"/>
  <c r="M49" i="22"/>
  <c r="L49" i="22"/>
  <c r="K49" i="22"/>
  <c r="J49" i="22"/>
  <c r="BB49" i="22" s="1"/>
  <c r="I49" i="22"/>
  <c r="BA49" i="22" s="1"/>
  <c r="H49" i="22"/>
  <c r="AZ49" i="22" s="1"/>
  <c r="F49" i="22"/>
  <c r="AX49" i="22" s="1"/>
  <c r="AW48" i="22"/>
  <c r="AT48" i="22"/>
  <c r="AS48" i="22"/>
  <c r="AR48" i="22"/>
  <c r="AQ48" i="22"/>
  <c r="AP48" i="22"/>
  <c r="AO48" i="22"/>
  <c r="AN48" i="22"/>
  <c r="AM48" i="22"/>
  <c r="AL48" i="22"/>
  <c r="AJ48" i="22"/>
  <c r="AI48" i="22"/>
  <c r="AB48" i="22"/>
  <c r="AA48" i="22"/>
  <c r="Z48" i="22"/>
  <c r="Y48" i="22"/>
  <c r="X48" i="22"/>
  <c r="W48" i="22"/>
  <c r="V48" i="22"/>
  <c r="U48" i="22"/>
  <c r="T48" i="22"/>
  <c r="M48" i="22"/>
  <c r="L48" i="22"/>
  <c r="K48" i="22"/>
  <c r="J48" i="22"/>
  <c r="BB48" i="22" s="1"/>
  <c r="I48" i="22"/>
  <c r="BA48" i="22" s="1"/>
  <c r="H48" i="22"/>
  <c r="AZ48" i="22" s="1"/>
  <c r="F48" i="22"/>
  <c r="AX48" i="22" s="1"/>
  <c r="AW47" i="22"/>
  <c r="AT47" i="22"/>
  <c r="AS47" i="22"/>
  <c r="AR47" i="22"/>
  <c r="AQ47" i="22"/>
  <c r="AP47" i="22"/>
  <c r="AO47" i="22"/>
  <c r="AN47" i="22"/>
  <c r="AM47" i="22"/>
  <c r="AL47" i="22"/>
  <c r="AJ47" i="22"/>
  <c r="AI47" i="22"/>
  <c r="AB47" i="22"/>
  <c r="AA47" i="22"/>
  <c r="Z47" i="22"/>
  <c r="Y47" i="22"/>
  <c r="X47" i="22"/>
  <c r="W47" i="22"/>
  <c r="V47" i="22"/>
  <c r="U47" i="22"/>
  <c r="T47" i="22"/>
  <c r="M47" i="22"/>
  <c r="L47" i="22"/>
  <c r="K47" i="22"/>
  <c r="J47" i="22"/>
  <c r="BB47" i="22" s="1"/>
  <c r="I47" i="22"/>
  <c r="BA47" i="22" s="1"/>
  <c r="H47" i="22"/>
  <c r="AZ47" i="22" s="1"/>
  <c r="F47" i="22"/>
  <c r="AX47" i="22" s="1"/>
  <c r="AW46" i="22"/>
  <c r="AT46" i="22"/>
  <c r="AS46" i="22"/>
  <c r="AR46" i="22"/>
  <c r="AQ46" i="22"/>
  <c r="AP46" i="22"/>
  <c r="AO46" i="22"/>
  <c r="AN46" i="22"/>
  <c r="AM46" i="22"/>
  <c r="AL46" i="22"/>
  <c r="AJ46" i="22"/>
  <c r="AI46" i="22"/>
  <c r="AB46" i="22"/>
  <c r="AA46" i="22"/>
  <c r="Z46" i="22"/>
  <c r="Y46" i="22"/>
  <c r="X46" i="22"/>
  <c r="W46" i="22"/>
  <c r="V46" i="22"/>
  <c r="U46" i="22"/>
  <c r="T46" i="22"/>
  <c r="M46" i="22"/>
  <c r="L46" i="22"/>
  <c r="K46" i="22"/>
  <c r="J46" i="22"/>
  <c r="BB46" i="22" s="1"/>
  <c r="I46" i="22"/>
  <c r="BA46" i="22" s="1"/>
  <c r="H46" i="22"/>
  <c r="AZ46" i="22" s="1"/>
  <c r="F46" i="22"/>
  <c r="AX46" i="22" s="1"/>
  <c r="AW45" i="22"/>
  <c r="AT45" i="22"/>
  <c r="AS45" i="22"/>
  <c r="AR45" i="22"/>
  <c r="AQ45" i="22"/>
  <c r="AP45" i="22"/>
  <c r="AO45" i="22"/>
  <c r="AN45" i="22"/>
  <c r="AM45" i="22"/>
  <c r="AL45" i="22"/>
  <c r="AJ45" i="22"/>
  <c r="AI45" i="22"/>
  <c r="AB45" i="22"/>
  <c r="AA45" i="22"/>
  <c r="Z45" i="22"/>
  <c r="Y45" i="22"/>
  <c r="X45" i="22"/>
  <c r="W45" i="22"/>
  <c r="V45" i="22"/>
  <c r="U45" i="22"/>
  <c r="T45" i="22"/>
  <c r="M45" i="22"/>
  <c r="L45" i="22"/>
  <c r="K45" i="22"/>
  <c r="J45" i="22"/>
  <c r="BB45" i="22" s="1"/>
  <c r="I45" i="22"/>
  <c r="BA45" i="22" s="1"/>
  <c r="H45" i="22"/>
  <c r="AZ45" i="22" s="1"/>
  <c r="F45" i="22"/>
  <c r="AX45" i="22" s="1"/>
  <c r="AW44" i="22"/>
  <c r="AT44" i="22"/>
  <c r="AS44" i="22"/>
  <c r="AR44" i="22"/>
  <c r="AQ44" i="22"/>
  <c r="AP44" i="22"/>
  <c r="AO44" i="22"/>
  <c r="AN44" i="22"/>
  <c r="AM44" i="22"/>
  <c r="AL44" i="22"/>
  <c r="AJ44" i="22"/>
  <c r="AI44" i="22"/>
  <c r="AB44" i="22"/>
  <c r="AA44" i="22"/>
  <c r="Z44" i="22"/>
  <c r="Y44" i="22"/>
  <c r="X44" i="22"/>
  <c r="W44" i="22"/>
  <c r="V44" i="22"/>
  <c r="U44" i="22"/>
  <c r="T44" i="22"/>
  <c r="M44" i="22"/>
  <c r="L44" i="22"/>
  <c r="K44" i="22"/>
  <c r="J44" i="22"/>
  <c r="BB44" i="22" s="1"/>
  <c r="I44" i="22"/>
  <c r="BA44" i="22" s="1"/>
  <c r="H44" i="22"/>
  <c r="AZ44" i="22" s="1"/>
  <c r="F44" i="22"/>
  <c r="AX44" i="22" s="1"/>
  <c r="AW43" i="22"/>
  <c r="AT43" i="22"/>
  <c r="AS43" i="22"/>
  <c r="AR43" i="22"/>
  <c r="AQ43" i="22"/>
  <c r="AP43" i="22"/>
  <c r="AO43" i="22"/>
  <c r="AN43" i="22"/>
  <c r="AM43" i="22"/>
  <c r="AL43" i="22"/>
  <c r="AJ43" i="22"/>
  <c r="AI43" i="22"/>
  <c r="AB43" i="22"/>
  <c r="AA43" i="22"/>
  <c r="Z43" i="22"/>
  <c r="Y43" i="22"/>
  <c r="X43" i="22"/>
  <c r="W43" i="22"/>
  <c r="V43" i="22"/>
  <c r="U43" i="22"/>
  <c r="T43" i="22"/>
  <c r="M43" i="22"/>
  <c r="L43" i="22"/>
  <c r="K43" i="22"/>
  <c r="J43" i="22"/>
  <c r="BB43" i="22" s="1"/>
  <c r="I43" i="22"/>
  <c r="BA43" i="22" s="1"/>
  <c r="H43" i="22"/>
  <c r="AZ43" i="22" s="1"/>
  <c r="F43" i="22"/>
  <c r="AX43" i="22" s="1"/>
  <c r="AW42" i="22"/>
  <c r="AT42" i="22"/>
  <c r="AS42" i="22"/>
  <c r="AR42" i="22"/>
  <c r="AQ42" i="22"/>
  <c r="AP42" i="22"/>
  <c r="AO42" i="22"/>
  <c r="AN42" i="22"/>
  <c r="AM42" i="22"/>
  <c r="AL42" i="22"/>
  <c r="AJ42" i="22"/>
  <c r="AI42" i="22"/>
  <c r="AB42" i="22"/>
  <c r="AA42" i="22"/>
  <c r="Z42" i="22"/>
  <c r="Y42" i="22"/>
  <c r="X42" i="22"/>
  <c r="W42" i="22"/>
  <c r="V42" i="22"/>
  <c r="U42" i="22"/>
  <c r="T42" i="22"/>
  <c r="M42" i="22"/>
  <c r="L42" i="22"/>
  <c r="K42" i="22"/>
  <c r="J42" i="22"/>
  <c r="BB42" i="22" s="1"/>
  <c r="I42" i="22"/>
  <c r="BA42" i="22" s="1"/>
  <c r="H42" i="22"/>
  <c r="AZ42" i="22" s="1"/>
  <c r="F42" i="22"/>
  <c r="AX42" i="22" s="1"/>
  <c r="AW41" i="22"/>
  <c r="AT41" i="22"/>
  <c r="AS41" i="22"/>
  <c r="AR41" i="22"/>
  <c r="AQ41" i="22"/>
  <c r="AP41" i="22"/>
  <c r="AO41" i="22"/>
  <c r="AN41" i="22"/>
  <c r="AM41" i="22"/>
  <c r="AL41" i="22"/>
  <c r="AJ41" i="22"/>
  <c r="AI41" i="22"/>
  <c r="AB41" i="22"/>
  <c r="AA41" i="22"/>
  <c r="Z41" i="22"/>
  <c r="Y41" i="22"/>
  <c r="X41" i="22"/>
  <c r="W41" i="22"/>
  <c r="V41" i="22"/>
  <c r="U41" i="22"/>
  <c r="T41" i="22"/>
  <c r="M41" i="22"/>
  <c r="L41" i="22"/>
  <c r="K41" i="22"/>
  <c r="J41" i="22"/>
  <c r="BB41" i="22" s="1"/>
  <c r="I41" i="22"/>
  <c r="BA41" i="22" s="1"/>
  <c r="H41" i="22"/>
  <c r="AZ41" i="22" s="1"/>
  <c r="F41" i="22"/>
  <c r="AX41" i="22" s="1"/>
  <c r="AW40" i="22"/>
  <c r="AT40" i="22"/>
  <c r="AS40" i="22"/>
  <c r="AR40" i="22"/>
  <c r="AQ40" i="22"/>
  <c r="AP40" i="22"/>
  <c r="AO40" i="22"/>
  <c r="AN40" i="22"/>
  <c r="AM40" i="22"/>
  <c r="AL40" i="22"/>
  <c r="AJ40" i="22"/>
  <c r="AI40" i="22"/>
  <c r="AB40" i="22"/>
  <c r="AA40" i="22"/>
  <c r="Z40" i="22"/>
  <c r="Y40" i="22"/>
  <c r="X40" i="22"/>
  <c r="W40" i="22"/>
  <c r="V40" i="22"/>
  <c r="U40" i="22"/>
  <c r="T40" i="22"/>
  <c r="M40" i="22"/>
  <c r="L40" i="22"/>
  <c r="K40" i="22"/>
  <c r="J40" i="22"/>
  <c r="BB40" i="22" s="1"/>
  <c r="I40" i="22"/>
  <c r="BA40" i="22" s="1"/>
  <c r="H40" i="22"/>
  <c r="AZ40" i="22" s="1"/>
  <c r="F40" i="22"/>
  <c r="AX40" i="22" s="1"/>
  <c r="AW39" i="22"/>
  <c r="AT39" i="22"/>
  <c r="AS39" i="22"/>
  <c r="AR39" i="22"/>
  <c r="AQ39" i="22"/>
  <c r="AP39" i="22"/>
  <c r="AO39" i="22"/>
  <c r="AN39" i="22"/>
  <c r="AM39" i="22"/>
  <c r="AL39" i="22"/>
  <c r="AJ39" i="22"/>
  <c r="AI39" i="22"/>
  <c r="AB39" i="22"/>
  <c r="AA39" i="22"/>
  <c r="Z39" i="22"/>
  <c r="Y39" i="22"/>
  <c r="X39" i="22"/>
  <c r="W39" i="22"/>
  <c r="V39" i="22"/>
  <c r="U39" i="22"/>
  <c r="T39" i="22"/>
  <c r="M39" i="22"/>
  <c r="L39" i="22"/>
  <c r="K39" i="22"/>
  <c r="J39" i="22"/>
  <c r="BB39" i="22" s="1"/>
  <c r="I39" i="22"/>
  <c r="BA39" i="22" s="1"/>
  <c r="H39" i="22"/>
  <c r="AZ39" i="22" s="1"/>
  <c r="F39" i="22"/>
  <c r="AX39" i="22" s="1"/>
  <c r="AW38" i="22"/>
  <c r="AT38" i="22"/>
  <c r="AS38" i="22"/>
  <c r="AR38" i="22"/>
  <c r="AQ38" i="22"/>
  <c r="AP38" i="22"/>
  <c r="AO38" i="22"/>
  <c r="AN38" i="22"/>
  <c r="AM38" i="22"/>
  <c r="AL38" i="22"/>
  <c r="AJ38" i="22"/>
  <c r="AI38" i="22"/>
  <c r="AB38" i="22"/>
  <c r="AA38" i="22"/>
  <c r="Z38" i="22"/>
  <c r="Y38" i="22"/>
  <c r="X38" i="22"/>
  <c r="W38" i="22"/>
  <c r="V38" i="22"/>
  <c r="U38" i="22"/>
  <c r="T38" i="22"/>
  <c r="M38" i="22"/>
  <c r="L38" i="22"/>
  <c r="K38" i="22"/>
  <c r="J38" i="22"/>
  <c r="BB38" i="22" s="1"/>
  <c r="I38" i="22"/>
  <c r="BA38" i="22" s="1"/>
  <c r="H38" i="22"/>
  <c r="AZ38" i="22" s="1"/>
  <c r="F38" i="22"/>
  <c r="AX38" i="22" s="1"/>
  <c r="AW37" i="22"/>
  <c r="AT37" i="22"/>
  <c r="AS37" i="22"/>
  <c r="AR37" i="22"/>
  <c r="AQ37" i="22"/>
  <c r="AP37" i="22"/>
  <c r="AO37" i="22"/>
  <c r="AN37" i="22"/>
  <c r="AM37" i="22"/>
  <c r="AL37" i="22"/>
  <c r="AJ37" i="22"/>
  <c r="AI37" i="22"/>
  <c r="AB37" i="22"/>
  <c r="AA37" i="22"/>
  <c r="Z37" i="22"/>
  <c r="Y37" i="22"/>
  <c r="X37" i="22"/>
  <c r="W37" i="22"/>
  <c r="V37" i="22"/>
  <c r="U37" i="22"/>
  <c r="T37" i="22"/>
  <c r="M37" i="22"/>
  <c r="L37" i="22"/>
  <c r="K37" i="22"/>
  <c r="J37" i="22"/>
  <c r="BB37" i="22" s="1"/>
  <c r="I37" i="22"/>
  <c r="BA37" i="22" s="1"/>
  <c r="H37" i="22"/>
  <c r="AZ37" i="22" s="1"/>
  <c r="F37" i="22"/>
  <c r="AX37" i="22" s="1"/>
  <c r="AW36" i="22"/>
  <c r="AT36" i="22"/>
  <c r="AS36" i="22"/>
  <c r="AR36" i="22"/>
  <c r="AQ36" i="22"/>
  <c r="AP36" i="22"/>
  <c r="AO36" i="22"/>
  <c r="AN36" i="22"/>
  <c r="AM36" i="22"/>
  <c r="AL36" i="22"/>
  <c r="AJ36" i="22"/>
  <c r="AI36" i="22"/>
  <c r="AB36" i="22"/>
  <c r="AA36" i="22"/>
  <c r="Z36" i="22"/>
  <c r="Y36" i="22"/>
  <c r="X36" i="22"/>
  <c r="W36" i="22"/>
  <c r="V36" i="22"/>
  <c r="U36" i="22"/>
  <c r="T36" i="22"/>
  <c r="M36" i="22"/>
  <c r="L36" i="22"/>
  <c r="K36" i="22"/>
  <c r="J36" i="22"/>
  <c r="BB36" i="22" s="1"/>
  <c r="I36" i="22"/>
  <c r="BA36" i="22" s="1"/>
  <c r="H36" i="22"/>
  <c r="AZ36" i="22" s="1"/>
  <c r="F36" i="22"/>
  <c r="AX36" i="22" s="1"/>
  <c r="AW35" i="22"/>
  <c r="AT35" i="22"/>
  <c r="AS35" i="22"/>
  <c r="AR35" i="22"/>
  <c r="AQ35" i="22"/>
  <c r="AP35" i="22"/>
  <c r="AO35" i="22"/>
  <c r="AN35" i="22"/>
  <c r="AM35" i="22"/>
  <c r="AL35" i="22"/>
  <c r="AJ35" i="22"/>
  <c r="AI35" i="22"/>
  <c r="AB35" i="22"/>
  <c r="AA35" i="22"/>
  <c r="Z35" i="22"/>
  <c r="Y35" i="22"/>
  <c r="X35" i="22"/>
  <c r="W35" i="22"/>
  <c r="V35" i="22"/>
  <c r="U35" i="22"/>
  <c r="T35" i="22"/>
  <c r="M35" i="22"/>
  <c r="L35" i="22"/>
  <c r="K35" i="22"/>
  <c r="J35" i="22"/>
  <c r="BB35" i="22" s="1"/>
  <c r="I35" i="22"/>
  <c r="BA35" i="22" s="1"/>
  <c r="H35" i="22"/>
  <c r="AZ35" i="22" s="1"/>
  <c r="F35" i="22"/>
  <c r="AX35" i="22" s="1"/>
  <c r="AW34" i="22"/>
  <c r="AT34" i="22"/>
  <c r="AS34" i="22"/>
  <c r="AR34" i="22"/>
  <c r="AQ34" i="22"/>
  <c r="AP34" i="22"/>
  <c r="AO34" i="22"/>
  <c r="AN34" i="22"/>
  <c r="AM34" i="22"/>
  <c r="AL34" i="22"/>
  <c r="AJ34" i="22"/>
  <c r="AI34" i="22"/>
  <c r="AB34" i="22"/>
  <c r="AA34" i="22"/>
  <c r="Z34" i="22"/>
  <c r="Y34" i="22"/>
  <c r="X34" i="22"/>
  <c r="W34" i="22"/>
  <c r="V34" i="22"/>
  <c r="U34" i="22"/>
  <c r="T34" i="22"/>
  <c r="M34" i="22"/>
  <c r="L34" i="22"/>
  <c r="K34" i="22"/>
  <c r="J34" i="22"/>
  <c r="BB34" i="22" s="1"/>
  <c r="I34" i="22"/>
  <c r="BA34" i="22" s="1"/>
  <c r="H34" i="22"/>
  <c r="AZ34" i="22" s="1"/>
  <c r="F34" i="22"/>
  <c r="AX34" i="22" s="1"/>
  <c r="AW33" i="22"/>
  <c r="AT33" i="22"/>
  <c r="AS33" i="22"/>
  <c r="AR33" i="22"/>
  <c r="AQ33" i="22"/>
  <c r="AP33" i="22"/>
  <c r="AO33" i="22"/>
  <c r="AN33" i="22"/>
  <c r="AM33" i="22"/>
  <c r="AL33" i="22"/>
  <c r="AJ33" i="22"/>
  <c r="AI33" i="22"/>
  <c r="AB33" i="22"/>
  <c r="AA33" i="22"/>
  <c r="Z33" i="22"/>
  <c r="Y33" i="22"/>
  <c r="X33" i="22"/>
  <c r="W33" i="22"/>
  <c r="V33" i="22"/>
  <c r="U33" i="22"/>
  <c r="T33" i="22"/>
  <c r="M33" i="22"/>
  <c r="L33" i="22"/>
  <c r="K33" i="22"/>
  <c r="J33" i="22"/>
  <c r="BB33" i="22" s="1"/>
  <c r="I33" i="22"/>
  <c r="BA33" i="22" s="1"/>
  <c r="H33" i="22"/>
  <c r="AZ33" i="22" s="1"/>
  <c r="F33" i="22"/>
  <c r="AX33" i="22" s="1"/>
  <c r="AW32" i="22"/>
  <c r="AT32" i="22"/>
  <c r="AS32" i="22"/>
  <c r="AR32" i="22"/>
  <c r="AQ32" i="22"/>
  <c r="AP32" i="22"/>
  <c r="AO32" i="22"/>
  <c r="AN32" i="22"/>
  <c r="AM32" i="22"/>
  <c r="AL32" i="22"/>
  <c r="AJ32" i="22"/>
  <c r="AI32" i="22"/>
  <c r="AB32" i="22"/>
  <c r="AA32" i="22"/>
  <c r="Z32" i="22"/>
  <c r="Y32" i="22"/>
  <c r="X32" i="22"/>
  <c r="W32" i="22"/>
  <c r="V32" i="22"/>
  <c r="U32" i="22"/>
  <c r="T32" i="22"/>
  <c r="M32" i="22"/>
  <c r="L32" i="22"/>
  <c r="K32" i="22"/>
  <c r="J32" i="22"/>
  <c r="BB32" i="22" s="1"/>
  <c r="I32" i="22"/>
  <c r="BA32" i="22" s="1"/>
  <c r="H32" i="22"/>
  <c r="AZ32" i="22" s="1"/>
  <c r="F32" i="22"/>
  <c r="AX32" i="22" s="1"/>
  <c r="AW31" i="22"/>
  <c r="AT31" i="22"/>
  <c r="AS31" i="22"/>
  <c r="AR31" i="22"/>
  <c r="AQ31" i="22"/>
  <c r="AP31" i="22"/>
  <c r="AO31" i="22"/>
  <c r="AN31" i="22"/>
  <c r="AM31" i="22"/>
  <c r="AL31" i="22"/>
  <c r="AJ31" i="22"/>
  <c r="AI31" i="22"/>
  <c r="AB31" i="22"/>
  <c r="AA31" i="22"/>
  <c r="Z31" i="22"/>
  <c r="Y31" i="22"/>
  <c r="X31" i="22"/>
  <c r="W31" i="22"/>
  <c r="V31" i="22"/>
  <c r="U31" i="22"/>
  <c r="T31" i="22"/>
  <c r="M31" i="22"/>
  <c r="L31" i="22"/>
  <c r="K31" i="22"/>
  <c r="J31" i="22"/>
  <c r="BB31" i="22" s="1"/>
  <c r="I31" i="22"/>
  <c r="BA31" i="22" s="1"/>
  <c r="H31" i="22"/>
  <c r="AZ31" i="22" s="1"/>
  <c r="F31" i="22"/>
  <c r="AX31" i="22" s="1"/>
  <c r="AW30" i="22"/>
  <c r="AT30" i="22"/>
  <c r="AS30" i="22"/>
  <c r="AR30" i="22"/>
  <c r="AQ30" i="22"/>
  <c r="AP30" i="22"/>
  <c r="AO30" i="22"/>
  <c r="AN30" i="22"/>
  <c r="AM30" i="22"/>
  <c r="AL30" i="22"/>
  <c r="AJ30" i="22"/>
  <c r="AI30" i="22"/>
  <c r="AB30" i="22"/>
  <c r="AA30" i="22"/>
  <c r="Z30" i="22"/>
  <c r="Y30" i="22"/>
  <c r="X30" i="22"/>
  <c r="W30" i="22"/>
  <c r="V30" i="22"/>
  <c r="U30" i="22"/>
  <c r="T30" i="22"/>
  <c r="M30" i="22"/>
  <c r="L30" i="22"/>
  <c r="K30" i="22"/>
  <c r="J30" i="22"/>
  <c r="BB30" i="22" s="1"/>
  <c r="I30" i="22"/>
  <c r="BA30" i="22" s="1"/>
  <c r="H30" i="22"/>
  <c r="AZ30" i="22" s="1"/>
  <c r="F30" i="22"/>
  <c r="AX30" i="22" s="1"/>
  <c r="AW29" i="22"/>
  <c r="AT29" i="22"/>
  <c r="AS29" i="22"/>
  <c r="AR29" i="22"/>
  <c r="AQ29" i="22"/>
  <c r="AP29" i="22"/>
  <c r="AO29" i="22"/>
  <c r="AN29" i="22"/>
  <c r="AM29" i="22"/>
  <c r="AL29" i="22"/>
  <c r="AJ29" i="22"/>
  <c r="AI29" i="22"/>
  <c r="AB29" i="22"/>
  <c r="AA29" i="22"/>
  <c r="Z29" i="22"/>
  <c r="Y29" i="22"/>
  <c r="X29" i="22"/>
  <c r="W29" i="22"/>
  <c r="V29" i="22"/>
  <c r="U29" i="22"/>
  <c r="T29" i="22"/>
  <c r="M29" i="22"/>
  <c r="L29" i="22"/>
  <c r="K29" i="22"/>
  <c r="J29" i="22"/>
  <c r="BB29" i="22" s="1"/>
  <c r="I29" i="22"/>
  <c r="BA29" i="22" s="1"/>
  <c r="H29" i="22"/>
  <c r="AZ29" i="22" s="1"/>
  <c r="F29" i="22"/>
  <c r="AX29" i="22" s="1"/>
  <c r="AW28" i="22"/>
  <c r="AT28" i="22"/>
  <c r="AS28" i="22"/>
  <c r="AR28" i="22"/>
  <c r="AQ28" i="22"/>
  <c r="AP28" i="22"/>
  <c r="AO28" i="22"/>
  <c r="AN28" i="22"/>
  <c r="AM28" i="22"/>
  <c r="AL28" i="22"/>
  <c r="AJ28" i="22"/>
  <c r="AI28" i="22"/>
  <c r="AB28" i="22"/>
  <c r="AA28" i="22"/>
  <c r="Z28" i="22"/>
  <c r="Y28" i="22"/>
  <c r="X28" i="22"/>
  <c r="W28" i="22"/>
  <c r="V28" i="22"/>
  <c r="U28" i="22"/>
  <c r="T28" i="22"/>
  <c r="M28" i="22"/>
  <c r="L28" i="22"/>
  <c r="K28" i="22"/>
  <c r="J28" i="22"/>
  <c r="BB28" i="22" s="1"/>
  <c r="I28" i="22"/>
  <c r="BA28" i="22" s="1"/>
  <c r="H28" i="22"/>
  <c r="AZ28" i="22" s="1"/>
  <c r="F28" i="22"/>
  <c r="AX28" i="22" s="1"/>
  <c r="AW27" i="22"/>
  <c r="AT27" i="22"/>
  <c r="AS27" i="22"/>
  <c r="AR27" i="22"/>
  <c r="AQ27" i="22"/>
  <c r="AP27" i="22"/>
  <c r="AO27" i="22"/>
  <c r="AN27" i="22"/>
  <c r="AM27" i="22"/>
  <c r="AL27" i="22"/>
  <c r="AJ27" i="22"/>
  <c r="AI27" i="22"/>
  <c r="AB27" i="22"/>
  <c r="AA27" i="22"/>
  <c r="Z27" i="22"/>
  <c r="Y27" i="22"/>
  <c r="X27" i="22"/>
  <c r="W27" i="22"/>
  <c r="V27" i="22"/>
  <c r="U27" i="22"/>
  <c r="T27" i="22"/>
  <c r="M27" i="22"/>
  <c r="L27" i="22"/>
  <c r="K27" i="22"/>
  <c r="J27" i="22"/>
  <c r="BB27" i="22" s="1"/>
  <c r="I27" i="22"/>
  <c r="BA27" i="22" s="1"/>
  <c r="H27" i="22"/>
  <c r="AZ27" i="22" s="1"/>
  <c r="F27" i="22"/>
  <c r="AX27" i="22" s="1"/>
  <c r="AW26" i="22"/>
  <c r="AT26" i="22"/>
  <c r="AS26" i="22"/>
  <c r="AR26" i="22"/>
  <c r="AQ26" i="22"/>
  <c r="AP26" i="22"/>
  <c r="AO26" i="22"/>
  <c r="AN26" i="22"/>
  <c r="AM26" i="22"/>
  <c r="AL26" i="22"/>
  <c r="AJ26" i="22"/>
  <c r="AI26" i="22"/>
  <c r="AB26" i="22"/>
  <c r="AA26" i="22"/>
  <c r="Z26" i="22"/>
  <c r="Y26" i="22"/>
  <c r="X26" i="22"/>
  <c r="W26" i="22"/>
  <c r="V26" i="22"/>
  <c r="U26" i="22"/>
  <c r="T26" i="22"/>
  <c r="M26" i="22"/>
  <c r="L26" i="22"/>
  <c r="K26" i="22"/>
  <c r="J26" i="22"/>
  <c r="BB26" i="22" s="1"/>
  <c r="I26" i="22"/>
  <c r="BA26" i="22" s="1"/>
  <c r="H26" i="22"/>
  <c r="AZ26" i="22" s="1"/>
  <c r="F26" i="22"/>
  <c r="AX26" i="22" s="1"/>
  <c r="AW25" i="22"/>
  <c r="AT25" i="22"/>
  <c r="AS25" i="22"/>
  <c r="AR25" i="22"/>
  <c r="AQ25" i="22"/>
  <c r="AP25" i="22"/>
  <c r="AO25" i="22"/>
  <c r="AN25" i="22"/>
  <c r="AM25" i="22"/>
  <c r="AL25" i="22"/>
  <c r="AJ25" i="22"/>
  <c r="AI25" i="22"/>
  <c r="AB25" i="22"/>
  <c r="AA25" i="22"/>
  <c r="Z25" i="22"/>
  <c r="Y25" i="22"/>
  <c r="X25" i="22"/>
  <c r="W25" i="22"/>
  <c r="V25" i="22"/>
  <c r="U25" i="22"/>
  <c r="T25" i="22"/>
  <c r="M25" i="22"/>
  <c r="L25" i="22"/>
  <c r="K25" i="22"/>
  <c r="J25" i="22"/>
  <c r="BB25" i="22" s="1"/>
  <c r="I25" i="22"/>
  <c r="BA25" i="22" s="1"/>
  <c r="H25" i="22"/>
  <c r="AZ25" i="22" s="1"/>
  <c r="F25" i="22"/>
  <c r="AX25" i="22" s="1"/>
  <c r="AW24" i="22"/>
  <c r="AT24" i="22"/>
  <c r="AS24" i="22"/>
  <c r="AR24" i="22"/>
  <c r="AQ24" i="22"/>
  <c r="AP24" i="22"/>
  <c r="AO24" i="22"/>
  <c r="AN24" i="22"/>
  <c r="AM24" i="22"/>
  <c r="AL24" i="22"/>
  <c r="AJ24" i="22"/>
  <c r="AI24" i="22"/>
  <c r="AB24" i="22"/>
  <c r="AA24" i="22"/>
  <c r="Z24" i="22"/>
  <c r="Y24" i="22"/>
  <c r="X24" i="22"/>
  <c r="W24" i="22"/>
  <c r="V24" i="22"/>
  <c r="U24" i="22"/>
  <c r="T24" i="22"/>
  <c r="M24" i="22"/>
  <c r="L24" i="22"/>
  <c r="K24" i="22"/>
  <c r="J24" i="22"/>
  <c r="BB24" i="22" s="1"/>
  <c r="I24" i="22"/>
  <c r="BA24" i="22" s="1"/>
  <c r="H24" i="22"/>
  <c r="AZ24" i="22" s="1"/>
  <c r="F24" i="22"/>
  <c r="AX24" i="22" s="1"/>
  <c r="AW23" i="22"/>
  <c r="AT23" i="22"/>
  <c r="AS23" i="22"/>
  <c r="AR23" i="22"/>
  <c r="AQ23" i="22"/>
  <c r="AP23" i="22"/>
  <c r="AO23" i="22"/>
  <c r="AN23" i="22"/>
  <c r="AM23" i="22"/>
  <c r="AL23" i="22"/>
  <c r="AJ23" i="22"/>
  <c r="AI23" i="22"/>
  <c r="AB23" i="22"/>
  <c r="AA23" i="22"/>
  <c r="Z23" i="22"/>
  <c r="Y23" i="22"/>
  <c r="X23" i="22"/>
  <c r="W23" i="22"/>
  <c r="V23" i="22"/>
  <c r="U23" i="22"/>
  <c r="T23" i="22"/>
  <c r="M23" i="22"/>
  <c r="L23" i="22"/>
  <c r="K23" i="22"/>
  <c r="J23" i="22"/>
  <c r="BB23" i="22" s="1"/>
  <c r="I23" i="22"/>
  <c r="BA23" i="22" s="1"/>
  <c r="H23" i="22"/>
  <c r="AZ23" i="22" s="1"/>
  <c r="F23" i="22"/>
  <c r="AX23" i="22" s="1"/>
  <c r="AW22" i="22"/>
  <c r="AT22" i="22"/>
  <c r="AS22" i="22"/>
  <c r="AR22" i="22"/>
  <c r="AQ22" i="22"/>
  <c r="AP22" i="22"/>
  <c r="AO22" i="22"/>
  <c r="AN22" i="22"/>
  <c r="AM22" i="22"/>
  <c r="AL22" i="22"/>
  <c r="AJ22" i="22"/>
  <c r="AI22" i="22"/>
  <c r="AB22" i="22"/>
  <c r="AA22" i="22"/>
  <c r="Z22" i="22"/>
  <c r="Y22" i="22"/>
  <c r="X22" i="22"/>
  <c r="W22" i="22"/>
  <c r="V22" i="22"/>
  <c r="U22" i="22"/>
  <c r="T22" i="22"/>
  <c r="M22" i="22"/>
  <c r="L22" i="22"/>
  <c r="K22" i="22"/>
  <c r="J22" i="22"/>
  <c r="BB22" i="22" s="1"/>
  <c r="I22" i="22"/>
  <c r="BA22" i="22" s="1"/>
  <c r="H22" i="22"/>
  <c r="AZ22" i="22" s="1"/>
  <c r="F22" i="22"/>
  <c r="AX22" i="22" s="1"/>
  <c r="AW21" i="22"/>
  <c r="AT21" i="22"/>
  <c r="AS21" i="22"/>
  <c r="AR21" i="22"/>
  <c r="AQ21" i="22"/>
  <c r="AP21" i="22"/>
  <c r="AO21" i="22"/>
  <c r="AN21" i="22"/>
  <c r="AM21" i="22"/>
  <c r="AL21" i="22"/>
  <c r="AJ21" i="22"/>
  <c r="AI21" i="22"/>
  <c r="AB21" i="22"/>
  <c r="AA21" i="22"/>
  <c r="Z21" i="22"/>
  <c r="Y21" i="22"/>
  <c r="X21" i="22"/>
  <c r="W21" i="22"/>
  <c r="V21" i="22"/>
  <c r="U21" i="22"/>
  <c r="T21" i="22"/>
  <c r="M21" i="22"/>
  <c r="L21" i="22"/>
  <c r="K21" i="22"/>
  <c r="J21" i="22"/>
  <c r="BB21" i="22" s="1"/>
  <c r="I21" i="22"/>
  <c r="BA21" i="22" s="1"/>
  <c r="H21" i="22"/>
  <c r="AZ21" i="22" s="1"/>
  <c r="F21" i="22"/>
  <c r="AX21" i="22" s="1"/>
  <c r="AW20" i="22"/>
  <c r="AT20" i="22"/>
  <c r="AS20" i="22"/>
  <c r="AR20" i="22"/>
  <c r="AQ20" i="22"/>
  <c r="AP20" i="22"/>
  <c r="AO20" i="22"/>
  <c r="AN20" i="22"/>
  <c r="AM20" i="22"/>
  <c r="AL20" i="22"/>
  <c r="AJ20" i="22"/>
  <c r="AI20" i="22"/>
  <c r="AB20" i="22"/>
  <c r="AA20" i="22"/>
  <c r="Z20" i="22"/>
  <c r="Y20" i="22"/>
  <c r="X20" i="22"/>
  <c r="W20" i="22"/>
  <c r="V20" i="22"/>
  <c r="U20" i="22"/>
  <c r="T20" i="22"/>
  <c r="M20" i="22"/>
  <c r="L20" i="22"/>
  <c r="K20" i="22"/>
  <c r="J20" i="22"/>
  <c r="BB20" i="22" s="1"/>
  <c r="I20" i="22"/>
  <c r="BA20" i="22" s="1"/>
  <c r="H20" i="22"/>
  <c r="AZ20" i="22" s="1"/>
  <c r="F20" i="22"/>
  <c r="AX20" i="22" s="1"/>
  <c r="AW19" i="22"/>
  <c r="AT19" i="22"/>
  <c r="AS19" i="22"/>
  <c r="AR19" i="22"/>
  <c r="AQ19" i="22"/>
  <c r="AP19" i="22"/>
  <c r="AO19" i="22"/>
  <c r="AN19" i="22"/>
  <c r="AM19" i="22"/>
  <c r="AL19" i="22"/>
  <c r="AJ19" i="22"/>
  <c r="AI19" i="22"/>
  <c r="AB19" i="22"/>
  <c r="AA19" i="22"/>
  <c r="Z19" i="22"/>
  <c r="Y19" i="22"/>
  <c r="X19" i="22"/>
  <c r="W19" i="22"/>
  <c r="V19" i="22"/>
  <c r="U19" i="22"/>
  <c r="T19" i="22"/>
  <c r="M19" i="22"/>
  <c r="L19" i="22"/>
  <c r="K19" i="22"/>
  <c r="J19" i="22"/>
  <c r="BB19" i="22" s="1"/>
  <c r="I19" i="22"/>
  <c r="BA19" i="22" s="1"/>
  <c r="H19" i="22"/>
  <c r="AZ19" i="22" s="1"/>
  <c r="F19" i="22"/>
  <c r="AX19" i="22" s="1"/>
  <c r="AW18" i="22"/>
  <c r="AT18" i="22"/>
  <c r="AS18" i="22"/>
  <c r="AR18" i="22"/>
  <c r="AQ18" i="22"/>
  <c r="AP18" i="22"/>
  <c r="AO18" i="22"/>
  <c r="AN18" i="22"/>
  <c r="AM18" i="22"/>
  <c r="AL18" i="22"/>
  <c r="AJ18" i="22"/>
  <c r="AI18" i="22"/>
  <c r="AB18" i="22"/>
  <c r="AA18" i="22"/>
  <c r="Z18" i="22"/>
  <c r="Y18" i="22"/>
  <c r="X18" i="22"/>
  <c r="W18" i="22"/>
  <c r="V18" i="22"/>
  <c r="U18" i="22"/>
  <c r="T18" i="22"/>
  <c r="M18" i="22"/>
  <c r="L18" i="22"/>
  <c r="K18" i="22"/>
  <c r="J18" i="22"/>
  <c r="BB18" i="22" s="1"/>
  <c r="I18" i="22"/>
  <c r="BA18" i="22" s="1"/>
  <c r="H18" i="22"/>
  <c r="AZ18" i="22" s="1"/>
  <c r="F18" i="22"/>
  <c r="AX18" i="22" s="1"/>
  <c r="AW17" i="22"/>
  <c r="AT17" i="22"/>
  <c r="AS17" i="22"/>
  <c r="AR17" i="22"/>
  <c r="AQ17" i="22"/>
  <c r="AP17" i="22"/>
  <c r="AO17" i="22"/>
  <c r="AN17" i="22"/>
  <c r="AM17" i="22"/>
  <c r="AL17" i="22"/>
  <c r="AJ17" i="22"/>
  <c r="AI17" i="22"/>
  <c r="AB17" i="22"/>
  <c r="AA17" i="22"/>
  <c r="Z17" i="22"/>
  <c r="Y17" i="22"/>
  <c r="X17" i="22"/>
  <c r="W17" i="22"/>
  <c r="V17" i="22"/>
  <c r="U17" i="22"/>
  <c r="T17" i="22"/>
  <c r="M17" i="22"/>
  <c r="L17" i="22"/>
  <c r="K17" i="22"/>
  <c r="J17" i="22"/>
  <c r="BB17" i="22" s="1"/>
  <c r="I17" i="22"/>
  <c r="BA17" i="22" s="1"/>
  <c r="H17" i="22"/>
  <c r="AZ17" i="22" s="1"/>
  <c r="F17" i="22"/>
  <c r="AX17" i="22" s="1"/>
  <c r="AW16" i="22"/>
  <c r="AT16" i="22"/>
  <c r="AS16" i="22"/>
  <c r="AR16" i="22"/>
  <c r="AQ16" i="22"/>
  <c r="AP16" i="22"/>
  <c r="AO16" i="22"/>
  <c r="AN16" i="22"/>
  <c r="AM16" i="22"/>
  <c r="AL16" i="22"/>
  <c r="AJ16" i="22"/>
  <c r="AI16" i="22"/>
  <c r="AB16" i="22"/>
  <c r="AA16" i="22"/>
  <c r="Z16" i="22"/>
  <c r="Y16" i="22"/>
  <c r="X16" i="22"/>
  <c r="W16" i="22"/>
  <c r="V16" i="22"/>
  <c r="U16" i="22"/>
  <c r="T16" i="22"/>
  <c r="M16" i="22"/>
  <c r="L16" i="22"/>
  <c r="K16" i="22"/>
  <c r="J16" i="22"/>
  <c r="BB16" i="22" s="1"/>
  <c r="I16" i="22"/>
  <c r="BA16" i="22" s="1"/>
  <c r="H16" i="22"/>
  <c r="AZ16" i="22" s="1"/>
  <c r="F16" i="22"/>
  <c r="AX16" i="22" s="1"/>
  <c r="AW15" i="22"/>
  <c r="AT15" i="22"/>
  <c r="AS15" i="22"/>
  <c r="AR15" i="22"/>
  <c r="AQ15" i="22"/>
  <c r="AP15" i="22"/>
  <c r="AO15" i="22"/>
  <c r="AN15" i="22"/>
  <c r="AM15" i="22"/>
  <c r="AL15" i="22"/>
  <c r="AJ15" i="22"/>
  <c r="AI15" i="22"/>
  <c r="AB15" i="22"/>
  <c r="AA15" i="22"/>
  <c r="Z15" i="22"/>
  <c r="Y15" i="22"/>
  <c r="X15" i="22"/>
  <c r="W15" i="22"/>
  <c r="V15" i="22"/>
  <c r="U15" i="22"/>
  <c r="T15" i="22"/>
  <c r="M15" i="22"/>
  <c r="L15" i="22"/>
  <c r="K15" i="22"/>
  <c r="J15" i="22"/>
  <c r="BB15" i="22" s="1"/>
  <c r="I15" i="22"/>
  <c r="BA15" i="22" s="1"/>
  <c r="H15" i="22"/>
  <c r="AZ15" i="22" s="1"/>
  <c r="F15" i="22"/>
  <c r="AX15" i="22" s="1"/>
  <c r="AW14" i="22"/>
  <c r="AT14" i="22"/>
  <c r="AS14" i="22"/>
  <c r="AR14" i="22"/>
  <c r="AQ14" i="22"/>
  <c r="AP14" i="22"/>
  <c r="AO14" i="22"/>
  <c r="AN14" i="22"/>
  <c r="AM14" i="22"/>
  <c r="AL14" i="22"/>
  <c r="AJ14" i="22"/>
  <c r="AI14" i="22"/>
  <c r="AB14" i="22"/>
  <c r="AA14" i="22"/>
  <c r="Z14" i="22"/>
  <c r="Y14" i="22"/>
  <c r="X14" i="22"/>
  <c r="W14" i="22"/>
  <c r="V14" i="22"/>
  <c r="U14" i="22"/>
  <c r="T14" i="22"/>
  <c r="M14" i="22"/>
  <c r="L14" i="22"/>
  <c r="K14" i="22"/>
  <c r="J14" i="22"/>
  <c r="BB14" i="22" s="1"/>
  <c r="I14" i="22"/>
  <c r="BA14" i="22" s="1"/>
  <c r="H14" i="22"/>
  <c r="AZ14" i="22" s="1"/>
  <c r="F14" i="22"/>
  <c r="AX14" i="22" s="1"/>
  <c r="AW13" i="22"/>
  <c r="AT13" i="22"/>
  <c r="AS13" i="22"/>
  <c r="AR13" i="22"/>
  <c r="AQ13" i="22"/>
  <c r="AP13" i="22"/>
  <c r="AO13" i="22"/>
  <c r="AN13" i="22"/>
  <c r="AM13" i="22"/>
  <c r="AL13" i="22"/>
  <c r="AJ13" i="22"/>
  <c r="AI13" i="22"/>
  <c r="AB13" i="22"/>
  <c r="AA13" i="22"/>
  <c r="Z13" i="22"/>
  <c r="Y13" i="22"/>
  <c r="X13" i="22"/>
  <c r="W13" i="22"/>
  <c r="V13" i="22"/>
  <c r="U13" i="22"/>
  <c r="T13" i="22"/>
  <c r="M13" i="22"/>
  <c r="L13" i="22"/>
  <c r="K13" i="22"/>
  <c r="J13" i="22"/>
  <c r="BB13" i="22" s="1"/>
  <c r="I13" i="22"/>
  <c r="BA13" i="22" s="1"/>
  <c r="H13" i="22"/>
  <c r="AZ13" i="22" s="1"/>
  <c r="F13" i="22"/>
  <c r="AX13" i="22" s="1"/>
  <c r="AW12" i="22"/>
  <c r="AT12" i="22"/>
  <c r="AS12" i="22"/>
  <c r="AR12" i="22"/>
  <c r="AQ12" i="22"/>
  <c r="AP12" i="22"/>
  <c r="AO12" i="22"/>
  <c r="AN12" i="22"/>
  <c r="AM12" i="22"/>
  <c r="AL12" i="22"/>
  <c r="AJ12" i="22"/>
  <c r="AI12" i="22"/>
  <c r="AB12" i="22"/>
  <c r="AA12" i="22"/>
  <c r="Z12" i="22"/>
  <c r="Y12" i="22"/>
  <c r="X12" i="22"/>
  <c r="W12" i="22"/>
  <c r="V12" i="22"/>
  <c r="U12" i="22"/>
  <c r="T12" i="22"/>
  <c r="M12" i="22"/>
  <c r="L12" i="22"/>
  <c r="K12" i="22"/>
  <c r="J12" i="22"/>
  <c r="BB12" i="22" s="1"/>
  <c r="I12" i="22"/>
  <c r="BA12" i="22" s="1"/>
  <c r="H12" i="22"/>
  <c r="AZ12" i="22" s="1"/>
  <c r="F12" i="22"/>
  <c r="AX12" i="22" s="1"/>
  <c r="AW11" i="22"/>
  <c r="AT11" i="22"/>
  <c r="AS11" i="22"/>
  <c r="AR11" i="22"/>
  <c r="AQ11" i="22"/>
  <c r="AP11" i="22"/>
  <c r="AO11" i="22"/>
  <c r="AN11" i="22"/>
  <c r="AM11" i="22"/>
  <c r="AL11" i="22"/>
  <c r="AJ11" i="22"/>
  <c r="AI11" i="22"/>
  <c r="AB11" i="22"/>
  <c r="AA11" i="22"/>
  <c r="Z11" i="22"/>
  <c r="Y11" i="22"/>
  <c r="X11" i="22"/>
  <c r="W11" i="22"/>
  <c r="V11" i="22"/>
  <c r="U11" i="22"/>
  <c r="T11" i="22"/>
  <c r="M11" i="22"/>
  <c r="L11" i="22"/>
  <c r="K11" i="22"/>
  <c r="J11" i="22"/>
  <c r="BB11" i="22" s="1"/>
  <c r="I11" i="22"/>
  <c r="BA11" i="22" s="1"/>
  <c r="H11" i="22"/>
  <c r="AZ11" i="22" s="1"/>
  <c r="F11" i="22"/>
  <c r="AX11" i="22" s="1"/>
  <c r="AW10" i="22"/>
  <c r="AT10" i="22"/>
  <c r="AS10" i="22"/>
  <c r="AR10" i="22"/>
  <c r="AQ10" i="22"/>
  <c r="AP10" i="22"/>
  <c r="AO10" i="22"/>
  <c r="AN10" i="22"/>
  <c r="AM10" i="22"/>
  <c r="AL10" i="22"/>
  <c r="AJ10" i="22"/>
  <c r="AI10" i="22"/>
  <c r="AB10" i="22"/>
  <c r="AA10" i="22"/>
  <c r="Z10" i="22"/>
  <c r="Y10" i="22"/>
  <c r="X10" i="22"/>
  <c r="W10" i="22"/>
  <c r="V10" i="22"/>
  <c r="U10" i="22"/>
  <c r="T10" i="22"/>
  <c r="M10" i="22"/>
  <c r="L10" i="22"/>
  <c r="K10" i="22"/>
  <c r="J10" i="22"/>
  <c r="BB10" i="22" s="1"/>
  <c r="I10" i="22"/>
  <c r="BA10" i="22" s="1"/>
  <c r="H10" i="22"/>
  <c r="AZ10" i="22" s="1"/>
  <c r="F10" i="22"/>
  <c r="AX10" i="22" s="1"/>
  <c r="AW9" i="22"/>
  <c r="AT9" i="22"/>
  <c r="AS9" i="22"/>
  <c r="AR9" i="22"/>
  <c r="AQ9" i="22"/>
  <c r="AP9" i="22"/>
  <c r="AO9" i="22"/>
  <c r="AN9" i="22"/>
  <c r="AM9" i="22"/>
  <c r="AL9" i="22"/>
  <c r="AJ9" i="22"/>
  <c r="AI9" i="22"/>
  <c r="AB9" i="22"/>
  <c r="AA9" i="22"/>
  <c r="Z9" i="22"/>
  <c r="Y9" i="22"/>
  <c r="X9" i="22"/>
  <c r="W9" i="22"/>
  <c r="V9" i="22"/>
  <c r="U9" i="22"/>
  <c r="T9" i="22"/>
  <c r="M9" i="22"/>
  <c r="L9" i="22"/>
  <c r="K9" i="22"/>
  <c r="J9" i="22"/>
  <c r="BB9" i="22" s="1"/>
  <c r="I9" i="22"/>
  <c r="BA9" i="22" s="1"/>
  <c r="H9" i="22"/>
  <c r="AZ9" i="22" s="1"/>
  <c r="F9" i="22"/>
  <c r="AX9" i="22" s="1"/>
  <c r="AW8" i="22"/>
  <c r="AT8" i="22"/>
  <c r="AS8" i="22"/>
  <c r="AR8" i="22"/>
  <c r="AQ8" i="22"/>
  <c r="AP8" i="22"/>
  <c r="AO8" i="22"/>
  <c r="AN8" i="22"/>
  <c r="AM8" i="22"/>
  <c r="AL8" i="22"/>
  <c r="AJ8" i="22"/>
  <c r="AI8" i="22"/>
  <c r="AB8" i="22"/>
  <c r="AA8" i="22"/>
  <c r="Z8" i="22"/>
  <c r="Y8" i="22"/>
  <c r="X8" i="22"/>
  <c r="W8" i="22"/>
  <c r="V8" i="22"/>
  <c r="U8" i="22"/>
  <c r="T8" i="22"/>
  <c r="M8" i="22"/>
  <c r="L8" i="22"/>
  <c r="K8" i="22"/>
  <c r="J8" i="22"/>
  <c r="BB8" i="22" s="1"/>
  <c r="I8" i="22"/>
  <c r="BA8" i="22" s="1"/>
  <c r="H8" i="22"/>
  <c r="AZ8" i="22" s="1"/>
  <c r="F8" i="22"/>
  <c r="AX8" i="22" s="1"/>
  <c r="AW7" i="22"/>
  <c r="AT7" i="22"/>
  <c r="AS7" i="22"/>
  <c r="AR7" i="22"/>
  <c r="AQ7" i="22"/>
  <c r="AP7" i="22"/>
  <c r="AO7" i="22"/>
  <c r="AN7" i="22"/>
  <c r="AM7" i="22"/>
  <c r="AL7" i="22"/>
  <c r="AJ7" i="22"/>
  <c r="AI7" i="22"/>
  <c r="AB7" i="22"/>
  <c r="AA7" i="22"/>
  <c r="Z7" i="22"/>
  <c r="Y7" i="22"/>
  <c r="X7" i="22"/>
  <c r="W7" i="22"/>
  <c r="V7" i="22"/>
  <c r="U7" i="22"/>
  <c r="T7" i="22"/>
  <c r="M7" i="22"/>
  <c r="L7" i="22"/>
  <c r="K7" i="22"/>
  <c r="J7" i="22"/>
  <c r="BB7" i="22" s="1"/>
  <c r="I7" i="22"/>
  <c r="BA7" i="22" s="1"/>
  <c r="H7" i="22"/>
  <c r="AZ7" i="22" s="1"/>
  <c r="F7" i="22"/>
  <c r="AX7" i="22" s="1"/>
  <c r="AW6" i="22"/>
  <c r="AT6" i="22"/>
  <c r="AS6" i="22"/>
  <c r="AR6" i="22"/>
  <c r="AQ6" i="22"/>
  <c r="AP6" i="22"/>
  <c r="AO6" i="22"/>
  <c r="AN6" i="22"/>
  <c r="AM6" i="22"/>
  <c r="AL6" i="22"/>
  <c r="AJ6" i="22"/>
  <c r="AI6" i="22"/>
  <c r="AB6" i="22"/>
  <c r="AA6" i="22"/>
  <c r="Z6" i="22"/>
  <c r="Y6" i="22"/>
  <c r="X6" i="22"/>
  <c r="W6" i="22"/>
  <c r="V6" i="22"/>
  <c r="U6" i="22"/>
  <c r="T6" i="22"/>
  <c r="M6" i="22"/>
  <c r="L6" i="22"/>
  <c r="K6" i="22"/>
  <c r="J6" i="22"/>
  <c r="BB6" i="22" s="1"/>
  <c r="I6" i="22"/>
  <c r="BA6" i="22" s="1"/>
  <c r="H6" i="22"/>
  <c r="AZ6" i="22" s="1"/>
  <c r="F6" i="22"/>
  <c r="AX6" i="22" s="1"/>
  <c r="AW5" i="22"/>
  <c r="AT5" i="22"/>
  <c r="AS5" i="22"/>
  <c r="AR5" i="22"/>
  <c r="AQ5" i="22"/>
  <c r="AP5" i="22"/>
  <c r="AO5" i="22"/>
  <c r="AN5" i="22"/>
  <c r="AM5" i="22"/>
  <c r="AL5" i="22"/>
  <c r="AJ5" i="22"/>
  <c r="AI5" i="22"/>
  <c r="AB5" i="22"/>
  <c r="AA5" i="22"/>
  <c r="Z5" i="22"/>
  <c r="Y5" i="22"/>
  <c r="X5" i="22"/>
  <c r="W5" i="22"/>
  <c r="V5" i="22"/>
  <c r="U5" i="22"/>
  <c r="T5" i="22"/>
  <c r="M5" i="22"/>
  <c r="L5" i="22"/>
  <c r="K5" i="22"/>
  <c r="J5" i="22"/>
  <c r="BB5" i="22" s="1"/>
  <c r="I5" i="22"/>
  <c r="BA5" i="22" s="1"/>
  <c r="H5" i="22"/>
  <c r="AZ5" i="22" s="1"/>
  <c r="F5" i="22"/>
  <c r="AX5" i="22" s="1"/>
  <c r="AW4" i="22"/>
  <c r="AT4" i="22"/>
  <c r="AS4" i="22"/>
  <c r="AR4" i="22"/>
  <c r="AQ4" i="22"/>
  <c r="AP4" i="22"/>
  <c r="AO4" i="22"/>
  <c r="AN4" i="22"/>
  <c r="AM4" i="22"/>
  <c r="AL4" i="22"/>
  <c r="AJ4" i="22"/>
  <c r="AI4" i="22"/>
  <c r="AB4" i="22"/>
  <c r="AA4" i="22"/>
  <c r="Z4" i="22"/>
  <c r="Y4" i="22"/>
  <c r="X4" i="22"/>
  <c r="W4" i="22"/>
  <c r="V4" i="22"/>
  <c r="U4" i="22"/>
  <c r="T4" i="22"/>
  <c r="M4" i="22"/>
  <c r="L4" i="22"/>
  <c r="K4" i="22"/>
  <c r="J4" i="22"/>
  <c r="BB4" i="22" s="1"/>
  <c r="I4" i="22"/>
  <c r="BA4" i="22" s="1"/>
  <c r="H4" i="22"/>
  <c r="AZ4" i="22" s="1"/>
  <c r="F4" i="22"/>
  <c r="AX4" i="22" s="1"/>
  <c r="AW3" i="22"/>
  <c r="AT3" i="22"/>
  <c r="AS3" i="22"/>
  <c r="AR3" i="22"/>
  <c r="AQ3" i="22"/>
  <c r="AP3" i="22"/>
  <c r="AO3" i="22"/>
  <c r="AN3" i="22"/>
  <c r="AM3" i="22"/>
  <c r="AL3" i="22"/>
  <c r="AJ3" i="22"/>
  <c r="AI3" i="22"/>
  <c r="AB3" i="22"/>
  <c r="AA3" i="22"/>
  <c r="Z3" i="22"/>
  <c r="Y3" i="22"/>
  <c r="X3" i="22"/>
  <c r="W3" i="22"/>
  <c r="V3" i="22"/>
  <c r="U3" i="22"/>
  <c r="T3" i="22"/>
  <c r="M3" i="22"/>
  <c r="L3" i="22"/>
  <c r="K3" i="22"/>
  <c r="J3" i="22"/>
  <c r="BB3" i="22" s="1"/>
  <c r="I3" i="22"/>
  <c r="BA3" i="22" s="1"/>
  <c r="H3" i="22"/>
  <c r="AZ3" i="22" s="1"/>
  <c r="F3" i="22"/>
  <c r="AX3" i="22" s="1"/>
  <c r="AW2" i="22"/>
  <c r="AT2" i="22"/>
  <c r="AS2" i="22"/>
  <c r="AR2" i="22"/>
  <c r="AQ2" i="22"/>
  <c r="AP2" i="22"/>
  <c r="AO2" i="22"/>
  <c r="AN2" i="22"/>
  <c r="AM2" i="22"/>
  <c r="AL2" i="22"/>
  <c r="AK2" i="22"/>
  <c r="AJ2" i="22"/>
  <c r="AI2" i="22"/>
  <c r="AB2" i="22"/>
  <c r="AA2" i="22"/>
  <c r="Z2" i="22"/>
  <c r="Y2" i="22"/>
  <c r="X2" i="22"/>
  <c r="W2" i="22"/>
  <c r="V2" i="22"/>
  <c r="U2" i="22"/>
  <c r="T2" i="22"/>
  <c r="M2" i="22"/>
  <c r="L2" i="22"/>
  <c r="K2" i="22"/>
  <c r="J2" i="22"/>
  <c r="BB2" i="22" s="1"/>
  <c r="I2" i="22"/>
  <c r="BA2" i="22" s="1"/>
  <c r="H2" i="22"/>
  <c r="AZ2" i="22" s="1"/>
  <c r="G2" i="22"/>
  <c r="AY2" i="22" s="1"/>
  <c r="F2" i="22"/>
  <c r="AX2" i="22" s="1"/>
  <c r="AV2" i="21"/>
  <c r="AV3" i="21"/>
  <c r="AV4" i="21"/>
  <c r="AV5" i="21"/>
  <c r="AV6" i="21"/>
  <c r="AV7" i="21"/>
  <c r="AV8" i="21"/>
  <c r="AV9" i="21"/>
  <c r="AV10" i="21"/>
  <c r="AV11" i="21"/>
  <c r="AV12" i="21"/>
  <c r="AV13" i="21"/>
  <c r="AV14" i="21"/>
  <c r="AV15" i="21"/>
  <c r="AV16" i="21"/>
  <c r="AV17" i="21"/>
  <c r="AV18" i="21"/>
  <c r="AV19" i="21"/>
  <c r="AV20" i="21"/>
  <c r="AV21" i="21"/>
  <c r="AV22" i="21"/>
  <c r="AV23" i="21"/>
  <c r="AV24" i="21"/>
  <c r="AV25" i="21"/>
  <c r="AV26" i="21"/>
  <c r="AV27" i="21"/>
  <c r="AV28" i="21"/>
  <c r="AV29" i="21"/>
  <c r="AV30" i="21"/>
  <c r="AV31" i="21"/>
  <c r="AV32" i="21"/>
  <c r="AV33" i="21"/>
  <c r="AV34" i="21"/>
  <c r="AV35" i="21"/>
  <c r="AV36" i="21"/>
  <c r="AV37" i="21"/>
  <c r="AV38" i="21"/>
  <c r="AV39" i="21"/>
  <c r="AV40" i="21"/>
  <c r="AV41" i="21"/>
  <c r="AV42" i="21"/>
  <c r="AV43" i="21"/>
  <c r="AV44" i="21"/>
  <c r="AV45" i="21"/>
  <c r="AV46" i="21"/>
  <c r="AV47" i="21"/>
  <c r="AV48" i="21"/>
  <c r="AV49" i="21"/>
  <c r="AV50" i="21"/>
  <c r="AV51" i="21"/>
  <c r="AV52" i="21"/>
  <c r="AV53" i="21"/>
  <c r="AV54" i="21"/>
  <c r="AV55" i="21"/>
  <c r="AV56" i="21"/>
  <c r="AV57" i="21"/>
  <c r="AV58" i="21"/>
  <c r="AV59" i="21"/>
  <c r="AV60" i="21"/>
  <c r="AV61" i="21"/>
  <c r="AV62" i="21"/>
  <c r="AV63" i="21"/>
  <c r="AV64" i="21"/>
  <c r="AV65" i="21"/>
  <c r="AV66" i="21"/>
  <c r="AV67" i="21"/>
  <c r="AV68" i="21"/>
  <c r="AV69" i="21"/>
  <c r="AV70" i="21"/>
  <c r="AV71" i="21"/>
  <c r="AV72" i="21"/>
  <c r="AV73" i="21"/>
  <c r="AV74" i="21"/>
  <c r="AV75" i="21"/>
  <c r="AV76" i="21"/>
  <c r="AV77" i="21"/>
  <c r="AV78" i="21"/>
  <c r="AV79" i="21"/>
  <c r="AV80" i="21"/>
  <c r="AV81" i="21"/>
  <c r="AV82" i="21"/>
  <c r="AV83" i="21"/>
  <c r="AV84" i="21"/>
  <c r="AV85" i="21"/>
  <c r="AV86" i="21"/>
  <c r="AV87" i="21"/>
  <c r="AV88" i="21"/>
  <c r="AV89" i="21"/>
  <c r="AV90" i="21"/>
  <c r="AV91" i="21"/>
  <c r="AV92" i="21"/>
  <c r="AV93" i="21"/>
  <c r="AV94" i="21"/>
  <c r="AV95" i="21"/>
  <c r="AV96" i="21"/>
  <c r="AV97" i="21"/>
  <c r="AV98" i="21"/>
  <c r="AV99" i="21"/>
  <c r="AV100" i="21"/>
  <c r="AV101" i="21"/>
  <c r="AV102" i="21"/>
  <c r="AV103" i="21"/>
  <c r="AV104" i="21"/>
  <c r="AV105" i="21"/>
  <c r="AV106" i="21"/>
  <c r="AV107" i="21"/>
  <c r="AV108" i="21"/>
  <c r="AV109" i="21"/>
  <c r="AV110" i="21"/>
  <c r="AV111" i="21"/>
  <c r="AD2" i="21"/>
  <c r="AD3" i="21"/>
  <c r="AD4" i="21"/>
  <c r="AD5" i="21"/>
  <c r="AD6" i="21"/>
  <c r="AD7" i="21"/>
  <c r="AD8" i="21"/>
  <c r="AD9" i="21"/>
  <c r="AD10" i="21"/>
  <c r="AD11" i="21"/>
  <c r="AD12" i="21"/>
  <c r="AD13" i="21"/>
  <c r="AD14" i="21"/>
  <c r="AD15" i="21"/>
  <c r="AD16" i="21"/>
  <c r="AD17" i="21"/>
  <c r="AD18" i="21"/>
  <c r="AD19" i="21"/>
  <c r="AD20" i="21"/>
  <c r="AD21" i="21"/>
  <c r="AD22" i="21"/>
  <c r="AD23" i="21"/>
  <c r="AD24" i="21"/>
  <c r="AD25" i="21"/>
  <c r="AD26" i="21"/>
  <c r="AD27" i="21"/>
  <c r="AD28" i="21"/>
  <c r="AD29" i="21"/>
  <c r="AD30" i="21"/>
  <c r="AD31" i="21"/>
  <c r="AD32" i="21"/>
  <c r="AD33" i="21"/>
  <c r="AD34" i="21"/>
  <c r="AD35" i="21"/>
  <c r="AD36" i="21"/>
  <c r="AD37" i="21"/>
  <c r="AD38" i="21"/>
  <c r="AD39" i="21"/>
  <c r="AD40" i="21"/>
  <c r="AD41" i="21"/>
  <c r="AD42" i="21"/>
  <c r="AD43" i="21"/>
  <c r="AD44" i="21"/>
  <c r="AD45" i="21"/>
  <c r="AD46" i="21"/>
  <c r="AD47" i="21"/>
  <c r="AD48" i="21"/>
  <c r="AD49" i="21"/>
  <c r="AD50" i="21"/>
  <c r="AD51" i="21"/>
  <c r="AD52" i="21"/>
  <c r="AD53" i="21"/>
  <c r="AD54" i="21"/>
  <c r="AD55" i="21"/>
  <c r="AD56" i="21"/>
  <c r="AD57" i="21"/>
  <c r="AD58" i="21"/>
  <c r="AD59" i="21"/>
  <c r="AD60" i="21"/>
  <c r="AD61" i="21"/>
  <c r="AD62" i="21"/>
  <c r="AD63" i="21"/>
  <c r="AD64" i="21"/>
  <c r="AD65" i="21"/>
  <c r="AD66" i="21"/>
  <c r="AD67" i="21"/>
  <c r="AD68" i="21"/>
  <c r="AD69" i="21"/>
  <c r="AD70" i="21"/>
  <c r="AD71" i="21"/>
  <c r="AD72" i="21"/>
  <c r="AD73" i="21"/>
  <c r="AD74" i="21"/>
  <c r="AD75" i="21"/>
  <c r="AD76" i="21"/>
  <c r="AD77" i="21"/>
  <c r="AD78" i="21"/>
  <c r="AD79" i="21"/>
  <c r="AD80" i="21"/>
  <c r="AD81" i="21"/>
  <c r="AD82" i="21"/>
  <c r="AD83" i="21"/>
  <c r="AD84" i="21"/>
  <c r="AD85" i="21"/>
  <c r="AD86" i="21"/>
  <c r="AD87" i="21"/>
  <c r="AD88" i="21"/>
  <c r="AD89" i="21"/>
  <c r="AD90" i="21"/>
  <c r="AD91" i="21"/>
  <c r="AD92" i="21"/>
  <c r="AD93" i="21"/>
  <c r="AD94" i="21"/>
  <c r="AD95" i="21"/>
  <c r="AD96" i="21"/>
  <c r="AD97" i="21"/>
  <c r="AD98" i="21"/>
  <c r="AD99" i="21"/>
  <c r="AD100" i="21"/>
  <c r="AD101" i="21"/>
  <c r="AD102" i="21"/>
  <c r="AD103" i="21"/>
  <c r="AD104" i="21"/>
  <c r="AD105" i="21"/>
  <c r="AD106" i="21"/>
  <c r="AD107" i="21"/>
  <c r="AD108" i="21"/>
  <c r="AD109" i="21"/>
  <c r="AD110" i="21"/>
  <c r="AD111" i="21"/>
  <c r="O2" i="21"/>
  <c r="O3" i="21"/>
  <c r="O4" i="21"/>
  <c r="O5" i="21"/>
  <c r="O6" i="21"/>
  <c r="O7" i="21"/>
  <c r="O8" i="21"/>
  <c r="O9" i="21"/>
  <c r="O10" i="21"/>
  <c r="O11" i="21"/>
  <c r="O12" i="21"/>
  <c r="O13" i="21"/>
  <c r="O14" i="21"/>
  <c r="O15" i="21"/>
  <c r="O16" i="21"/>
  <c r="O17" i="21"/>
  <c r="O18" i="21"/>
  <c r="O19" i="21"/>
  <c r="O20" i="21"/>
  <c r="O21" i="21"/>
  <c r="O22" i="21"/>
  <c r="O23" i="21"/>
  <c r="O24" i="21"/>
  <c r="O25" i="21"/>
  <c r="O26" i="21"/>
  <c r="O27" i="21"/>
  <c r="O28" i="21"/>
  <c r="O29" i="21"/>
  <c r="O30" i="21"/>
  <c r="O31" i="21"/>
  <c r="O32" i="21"/>
  <c r="O33" i="21"/>
  <c r="O34" i="21"/>
  <c r="O35" i="21"/>
  <c r="O36" i="21"/>
  <c r="O37" i="21"/>
  <c r="O38" i="21"/>
  <c r="O39" i="21"/>
  <c r="O40" i="21"/>
  <c r="O41" i="21"/>
  <c r="O42" i="21"/>
  <c r="O43" i="21"/>
  <c r="O44" i="21"/>
  <c r="O45" i="21"/>
  <c r="O46" i="21"/>
  <c r="O47" i="21"/>
  <c r="O48" i="21"/>
  <c r="O49" i="21"/>
  <c r="O50" i="21"/>
  <c r="O51" i="21"/>
  <c r="O52" i="21"/>
  <c r="O53" i="21"/>
  <c r="O54" i="21"/>
  <c r="O55" i="21"/>
  <c r="O56" i="21"/>
  <c r="O57" i="21"/>
  <c r="O58" i="21"/>
  <c r="O59" i="21"/>
  <c r="O60" i="21"/>
  <c r="O61" i="21"/>
  <c r="O62" i="21"/>
  <c r="O63" i="21"/>
  <c r="O64" i="21"/>
  <c r="O65" i="21"/>
  <c r="O66" i="21"/>
  <c r="O67" i="21"/>
  <c r="O68" i="21"/>
  <c r="O69" i="21"/>
  <c r="O70" i="21"/>
  <c r="O71" i="21"/>
  <c r="O72" i="21"/>
  <c r="O73" i="21"/>
  <c r="O74" i="21"/>
  <c r="O75" i="21"/>
  <c r="O76" i="21"/>
  <c r="O77" i="21"/>
  <c r="O78" i="21"/>
  <c r="O79" i="21"/>
  <c r="O80" i="21"/>
  <c r="O81" i="21"/>
  <c r="O82" i="21"/>
  <c r="O83" i="21"/>
  <c r="O84" i="21"/>
  <c r="O85" i="21"/>
  <c r="O86" i="21"/>
  <c r="O87" i="21"/>
  <c r="O88" i="21"/>
  <c r="O89" i="21"/>
  <c r="O90" i="21"/>
  <c r="O91" i="21"/>
  <c r="O92" i="21"/>
  <c r="O93" i="21"/>
  <c r="O94" i="21"/>
  <c r="O95" i="21"/>
  <c r="O96" i="21"/>
  <c r="O97" i="21"/>
  <c r="O98" i="21"/>
  <c r="O99" i="21"/>
  <c r="O100" i="21"/>
  <c r="O101" i="21"/>
  <c r="O102" i="21"/>
  <c r="O103" i="21"/>
  <c r="O104" i="21"/>
  <c r="O105" i="21"/>
  <c r="O106" i="21"/>
  <c r="O107" i="21"/>
  <c r="O108" i="21"/>
  <c r="O109" i="21"/>
  <c r="O110" i="21"/>
  <c r="O111" i="21"/>
  <c r="A2" i="21"/>
  <c r="A3" i="21"/>
  <c r="A4" i="21"/>
  <c r="A5" i="21"/>
  <c r="A6" i="21"/>
  <c r="A7" i="21"/>
  <c r="A8" i="21"/>
  <c r="A9" i="21"/>
  <c r="A10" i="21"/>
  <c r="A11" i="21"/>
  <c r="A12" i="21"/>
  <c r="A13" i="21"/>
  <c r="A14" i="21"/>
  <c r="A15" i="21"/>
  <c r="A16" i="21"/>
  <c r="A17" i="21"/>
  <c r="A18" i="21"/>
  <c r="A19" i="21"/>
  <c r="A20" i="21"/>
  <c r="A21" i="21"/>
  <c r="A22" i="21"/>
  <c r="A23" i="21"/>
  <c r="A24" i="21"/>
  <c r="A25" i="21"/>
  <c r="A26" i="21"/>
  <c r="A27" i="21"/>
  <c r="A28" i="21"/>
  <c r="A29" i="21"/>
  <c r="A30" i="21"/>
  <c r="A31" i="21"/>
  <c r="A32" i="21"/>
  <c r="A33" i="21"/>
  <c r="A34" i="21"/>
  <c r="A35" i="21"/>
  <c r="A36" i="21"/>
  <c r="A37" i="21"/>
  <c r="A38" i="21"/>
  <c r="A39" i="21"/>
  <c r="A40" i="21"/>
  <c r="A41" i="21"/>
  <c r="A42" i="21"/>
  <c r="A43" i="21"/>
  <c r="A44" i="21"/>
  <c r="A45" i="21"/>
  <c r="A46" i="21"/>
  <c r="A47" i="21"/>
  <c r="A48" i="21"/>
  <c r="A49" i="21"/>
  <c r="A50" i="21"/>
  <c r="A51" i="21"/>
  <c r="A52" i="21"/>
  <c r="A53" i="21"/>
  <c r="A54" i="21"/>
  <c r="A55" i="21"/>
  <c r="A56" i="21"/>
  <c r="A57" i="21"/>
  <c r="A58" i="21"/>
  <c r="A59" i="21"/>
  <c r="A60" i="21"/>
  <c r="A61" i="21"/>
  <c r="A62" i="21"/>
  <c r="A63" i="21"/>
  <c r="A64" i="21"/>
  <c r="A65" i="21"/>
  <c r="A66" i="21"/>
  <c r="A67" i="21"/>
  <c r="A68" i="21"/>
  <c r="A69" i="21"/>
  <c r="A70" i="21"/>
  <c r="A71" i="21"/>
  <c r="A72" i="21"/>
  <c r="A73" i="21"/>
  <c r="A74" i="21"/>
  <c r="A75" i="21"/>
  <c r="A76" i="21"/>
  <c r="A77" i="21"/>
  <c r="A78" i="21"/>
  <c r="A79" i="21"/>
  <c r="A80" i="21"/>
  <c r="A81" i="21"/>
  <c r="A82" i="21"/>
  <c r="A83" i="21"/>
  <c r="A84" i="21"/>
  <c r="A85" i="21"/>
  <c r="A86" i="21"/>
  <c r="A87" i="21"/>
  <c r="A88" i="21"/>
  <c r="A89" i="21"/>
  <c r="A90" i="21"/>
  <c r="A91" i="21"/>
  <c r="A92" i="21"/>
  <c r="A93" i="21"/>
  <c r="A94" i="21"/>
  <c r="A95" i="21"/>
  <c r="A96" i="21"/>
  <c r="A97" i="21"/>
  <c r="A98" i="21"/>
  <c r="A99" i="21"/>
  <c r="A100" i="21"/>
  <c r="A101" i="21"/>
  <c r="A102" i="21"/>
  <c r="A103" i="21"/>
  <c r="A104" i="21"/>
  <c r="A105" i="21"/>
  <c r="A106" i="21"/>
  <c r="A107" i="21"/>
  <c r="A108" i="21"/>
  <c r="A109" i="21"/>
  <c r="A110" i="21"/>
  <c r="A111" i="21"/>
  <c r="AW111" i="21"/>
  <c r="AT111" i="21"/>
  <c r="AS111" i="21"/>
  <c r="AR111" i="21"/>
  <c r="AQ111" i="21"/>
  <c r="AP111" i="21"/>
  <c r="AO111" i="21"/>
  <c r="AN111" i="21"/>
  <c r="AM111" i="21"/>
  <c r="AL111" i="21"/>
  <c r="AJ111" i="21"/>
  <c r="AI111" i="21"/>
  <c r="AB111" i="21"/>
  <c r="AA111" i="21"/>
  <c r="Z111" i="21"/>
  <c r="Y111" i="21"/>
  <c r="X111" i="21"/>
  <c r="W111" i="21"/>
  <c r="V111" i="21"/>
  <c r="U111" i="21"/>
  <c r="T111" i="21"/>
  <c r="M111" i="21"/>
  <c r="L111" i="21"/>
  <c r="K111" i="21"/>
  <c r="J111" i="21"/>
  <c r="BB111" i="21" s="1"/>
  <c r="I111" i="21"/>
  <c r="BA111" i="21" s="1"/>
  <c r="H111" i="21"/>
  <c r="AZ111" i="21" s="1"/>
  <c r="F111" i="21"/>
  <c r="AX111" i="21" s="1"/>
  <c r="AW110" i="21"/>
  <c r="AT110" i="21"/>
  <c r="AS110" i="21"/>
  <c r="AR110" i="21"/>
  <c r="AQ110" i="21"/>
  <c r="AP110" i="21"/>
  <c r="AO110" i="21"/>
  <c r="AN110" i="21"/>
  <c r="AM110" i="21"/>
  <c r="AL110" i="21"/>
  <c r="AJ110" i="21"/>
  <c r="AI110" i="21"/>
  <c r="AB110" i="21"/>
  <c r="AA110" i="21"/>
  <c r="Z110" i="21"/>
  <c r="Y110" i="21"/>
  <c r="X110" i="21"/>
  <c r="W110" i="21"/>
  <c r="V110" i="21"/>
  <c r="U110" i="21"/>
  <c r="T110" i="21"/>
  <c r="M110" i="21"/>
  <c r="L110" i="21"/>
  <c r="K110" i="21"/>
  <c r="J110" i="21"/>
  <c r="BB110" i="21" s="1"/>
  <c r="I110" i="21"/>
  <c r="BA110" i="21" s="1"/>
  <c r="H110" i="21"/>
  <c r="AZ110" i="21" s="1"/>
  <c r="F110" i="21"/>
  <c r="AX110" i="21" s="1"/>
  <c r="AW109" i="21"/>
  <c r="AT109" i="21"/>
  <c r="AS109" i="21"/>
  <c r="AR109" i="21"/>
  <c r="AQ109" i="21"/>
  <c r="AP109" i="21"/>
  <c r="AO109" i="21"/>
  <c r="AN109" i="21"/>
  <c r="AM109" i="21"/>
  <c r="AL109" i="21"/>
  <c r="AJ109" i="21"/>
  <c r="AI109" i="21"/>
  <c r="AB109" i="21"/>
  <c r="AA109" i="21"/>
  <c r="Z109" i="21"/>
  <c r="Y109" i="21"/>
  <c r="X109" i="21"/>
  <c r="W109" i="21"/>
  <c r="V109" i="21"/>
  <c r="U109" i="21"/>
  <c r="T109" i="21"/>
  <c r="M109" i="21"/>
  <c r="L109" i="21"/>
  <c r="K109" i="21"/>
  <c r="J109" i="21"/>
  <c r="BB109" i="21" s="1"/>
  <c r="I109" i="21"/>
  <c r="BA109" i="21" s="1"/>
  <c r="H109" i="21"/>
  <c r="AZ109" i="21" s="1"/>
  <c r="F109" i="21"/>
  <c r="AX109" i="21" s="1"/>
  <c r="AW108" i="21"/>
  <c r="AT108" i="21"/>
  <c r="AS108" i="21"/>
  <c r="AR108" i="21"/>
  <c r="AQ108" i="21"/>
  <c r="AP108" i="21"/>
  <c r="AO108" i="21"/>
  <c r="AN108" i="21"/>
  <c r="AM108" i="21"/>
  <c r="AL108" i="21"/>
  <c r="AJ108" i="21"/>
  <c r="AI108" i="21"/>
  <c r="AB108" i="21"/>
  <c r="AA108" i="21"/>
  <c r="Z108" i="21"/>
  <c r="Y108" i="21"/>
  <c r="X108" i="21"/>
  <c r="W108" i="21"/>
  <c r="V108" i="21"/>
  <c r="U108" i="21"/>
  <c r="T108" i="21"/>
  <c r="M108" i="21"/>
  <c r="L108" i="21"/>
  <c r="K108" i="21"/>
  <c r="J108" i="21"/>
  <c r="BB108" i="21" s="1"/>
  <c r="I108" i="21"/>
  <c r="BA108" i="21" s="1"/>
  <c r="H108" i="21"/>
  <c r="AZ108" i="21" s="1"/>
  <c r="F108" i="21"/>
  <c r="AX108" i="21" s="1"/>
  <c r="AW107" i="21"/>
  <c r="AT107" i="21"/>
  <c r="AS107" i="21"/>
  <c r="AR107" i="21"/>
  <c r="AQ107" i="21"/>
  <c r="AP107" i="21"/>
  <c r="AO107" i="21"/>
  <c r="AN107" i="21"/>
  <c r="AM107" i="21"/>
  <c r="AL107" i="21"/>
  <c r="AJ107" i="21"/>
  <c r="AI107" i="21"/>
  <c r="AB107" i="21"/>
  <c r="AA107" i="21"/>
  <c r="Z107" i="21"/>
  <c r="Y107" i="21"/>
  <c r="X107" i="21"/>
  <c r="W107" i="21"/>
  <c r="V107" i="21"/>
  <c r="U107" i="21"/>
  <c r="T107" i="21"/>
  <c r="M107" i="21"/>
  <c r="L107" i="21"/>
  <c r="K107" i="21"/>
  <c r="J107" i="21"/>
  <c r="BB107" i="21" s="1"/>
  <c r="I107" i="21"/>
  <c r="BA107" i="21" s="1"/>
  <c r="H107" i="21"/>
  <c r="AZ107" i="21" s="1"/>
  <c r="F107" i="21"/>
  <c r="AX107" i="21" s="1"/>
  <c r="AW106" i="21"/>
  <c r="AT106" i="21"/>
  <c r="AS106" i="21"/>
  <c r="AR106" i="21"/>
  <c r="AQ106" i="21"/>
  <c r="AP106" i="21"/>
  <c r="AO106" i="21"/>
  <c r="AN106" i="21"/>
  <c r="AM106" i="21"/>
  <c r="AL106" i="21"/>
  <c r="AJ106" i="21"/>
  <c r="AI106" i="21"/>
  <c r="AB106" i="21"/>
  <c r="AA106" i="21"/>
  <c r="Z106" i="21"/>
  <c r="Y106" i="21"/>
  <c r="X106" i="21"/>
  <c r="W106" i="21"/>
  <c r="V106" i="21"/>
  <c r="U106" i="21"/>
  <c r="T106" i="21"/>
  <c r="M106" i="21"/>
  <c r="L106" i="21"/>
  <c r="K106" i="21"/>
  <c r="J106" i="21"/>
  <c r="BB106" i="21" s="1"/>
  <c r="I106" i="21"/>
  <c r="BA106" i="21" s="1"/>
  <c r="H106" i="21"/>
  <c r="AZ106" i="21" s="1"/>
  <c r="F106" i="21"/>
  <c r="AX106" i="21" s="1"/>
  <c r="AW105" i="21"/>
  <c r="AT105" i="21"/>
  <c r="AS105" i="21"/>
  <c r="AR105" i="21"/>
  <c r="AQ105" i="21"/>
  <c r="AP105" i="21"/>
  <c r="AO105" i="21"/>
  <c r="AN105" i="21"/>
  <c r="AM105" i="21"/>
  <c r="AL105" i="21"/>
  <c r="AJ105" i="21"/>
  <c r="AI105" i="21"/>
  <c r="AB105" i="21"/>
  <c r="AA105" i="21"/>
  <c r="Z105" i="21"/>
  <c r="Y105" i="21"/>
  <c r="X105" i="21"/>
  <c r="W105" i="21"/>
  <c r="V105" i="21"/>
  <c r="U105" i="21"/>
  <c r="T105" i="21"/>
  <c r="M105" i="21"/>
  <c r="L105" i="21"/>
  <c r="K105" i="21"/>
  <c r="J105" i="21"/>
  <c r="BB105" i="21" s="1"/>
  <c r="I105" i="21"/>
  <c r="BA105" i="21" s="1"/>
  <c r="H105" i="21"/>
  <c r="AZ105" i="21" s="1"/>
  <c r="F105" i="21"/>
  <c r="AX105" i="21" s="1"/>
  <c r="AW104" i="21"/>
  <c r="AT104" i="21"/>
  <c r="AS104" i="21"/>
  <c r="AR104" i="21"/>
  <c r="AQ104" i="21"/>
  <c r="AP104" i="21"/>
  <c r="AO104" i="21"/>
  <c r="AN104" i="21"/>
  <c r="AM104" i="21"/>
  <c r="AL104" i="21"/>
  <c r="AJ104" i="21"/>
  <c r="AI104" i="21"/>
  <c r="AB104" i="21"/>
  <c r="AA104" i="21"/>
  <c r="Z104" i="21"/>
  <c r="Y104" i="21"/>
  <c r="X104" i="21"/>
  <c r="W104" i="21"/>
  <c r="V104" i="21"/>
  <c r="U104" i="21"/>
  <c r="T104" i="21"/>
  <c r="M104" i="21"/>
  <c r="L104" i="21"/>
  <c r="K104" i="21"/>
  <c r="J104" i="21"/>
  <c r="BB104" i="21" s="1"/>
  <c r="I104" i="21"/>
  <c r="BA104" i="21" s="1"/>
  <c r="H104" i="21"/>
  <c r="AZ104" i="21" s="1"/>
  <c r="F104" i="21"/>
  <c r="AX104" i="21" s="1"/>
  <c r="AW103" i="21"/>
  <c r="AT103" i="21"/>
  <c r="AS103" i="21"/>
  <c r="AR103" i="21"/>
  <c r="AQ103" i="21"/>
  <c r="AP103" i="21"/>
  <c r="AO103" i="21"/>
  <c r="AN103" i="21"/>
  <c r="AM103" i="21"/>
  <c r="AL103" i="21"/>
  <c r="AJ103" i="21"/>
  <c r="AI103" i="21"/>
  <c r="AB103" i="21"/>
  <c r="AA103" i="21"/>
  <c r="Z103" i="21"/>
  <c r="Y103" i="21"/>
  <c r="X103" i="21"/>
  <c r="W103" i="21"/>
  <c r="V103" i="21"/>
  <c r="U103" i="21"/>
  <c r="T103" i="21"/>
  <c r="M103" i="21"/>
  <c r="L103" i="21"/>
  <c r="K103" i="21"/>
  <c r="J103" i="21"/>
  <c r="BB103" i="21" s="1"/>
  <c r="I103" i="21"/>
  <c r="BA103" i="21" s="1"/>
  <c r="H103" i="21"/>
  <c r="AZ103" i="21" s="1"/>
  <c r="F103" i="21"/>
  <c r="AX103" i="21" s="1"/>
  <c r="AW102" i="21"/>
  <c r="AT102" i="21"/>
  <c r="AS102" i="21"/>
  <c r="AR102" i="21"/>
  <c r="AQ102" i="21"/>
  <c r="AP102" i="21"/>
  <c r="AO102" i="21"/>
  <c r="AN102" i="21"/>
  <c r="AM102" i="21"/>
  <c r="AL102" i="21"/>
  <c r="AJ102" i="21"/>
  <c r="AI102" i="21"/>
  <c r="AB102" i="21"/>
  <c r="AA102" i="21"/>
  <c r="Z102" i="21"/>
  <c r="Y102" i="21"/>
  <c r="X102" i="21"/>
  <c r="W102" i="21"/>
  <c r="V102" i="21"/>
  <c r="U102" i="21"/>
  <c r="T102" i="21"/>
  <c r="M102" i="21"/>
  <c r="L102" i="21"/>
  <c r="K102" i="21"/>
  <c r="J102" i="21"/>
  <c r="BB102" i="21" s="1"/>
  <c r="I102" i="21"/>
  <c r="BA102" i="21" s="1"/>
  <c r="H102" i="21"/>
  <c r="AZ102" i="21" s="1"/>
  <c r="F102" i="21"/>
  <c r="AX102" i="21" s="1"/>
  <c r="AW101" i="21"/>
  <c r="AT101" i="21"/>
  <c r="AS101" i="21"/>
  <c r="AR101" i="21"/>
  <c r="AQ101" i="21"/>
  <c r="AP101" i="21"/>
  <c r="AO101" i="21"/>
  <c r="AN101" i="21"/>
  <c r="AM101" i="21"/>
  <c r="AL101" i="21"/>
  <c r="AJ101" i="21"/>
  <c r="AI101" i="21"/>
  <c r="AB101" i="21"/>
  <c r="AA101" i="21"/>
  <c r="Z101" i="21"/>
  <c r="Y101" i="21"/>
  <c r="X101" i="21"/>
  <c r="W101" i="21"/>
  <c r="V101" i="21"/>
  <c r="U101" i="21"/>
  <c r="T101" i="21"/>
  <c r="M101" i="21"/>
  <c r="L101" i="21"/>
  <c r="K101" i="21"/>
  <c r="J101" i="21"/>
  <c r="BB101" i="21" s="1"/>
  <c r="I101" i="21"/>
  <c r="BA101" i="21" s="1"/>
  <c r="H101" i="21"/>
  <c r="AZ101" i="21" s="1"/>
  <c r="F101" i="21"/>
  <c r="AX101" i="21" s="1"/>
  <c r="AW100" i="21"/>
  <c r="AT100" i="21"/>
  <c r="AS100" i="21"/>
  <c r="AR100" i="21"/>
  <c r="AQ100" i="21"/>
  <c r="AP100" i="21"/>
  <c r="AO100" i="21"/>
  <c r="AN100" i="21"/>
  <c r="AM100" i="21"/>
  <c r="AL100" i="21"/>
  <c r="AJ100" i="21"/>
  <c r="AI100" i="21"/>
  <c r="AB100" i="21"/>
  <c r="AA100" i="21"/>
  <c r="Z100" i="21"/>
  <c r="Y100" i="21"/>
  <c r="X100" i="21"/>
  <c r="W100" i="21"/>
  <c r="V100" i="21"/>
  <c r="U100" i="21"/>
  <c r="T100" i="21"/>
  <c r="M100" i="21"/>
  <c r="L100" i="21"/>
  <c r="K100" i="21"/>
  <c r="J100" i="21"/>
  <c r="BB100" i="21" s="1"/>
  <c r="I100" i="21"/>
  <c r="BA100" i="21" s="1"/>
  <c r="H100" i="21"/>
  <c r="AZ100" i="21" s="1"/>
  <c r="F100" i="21"/>
  <c r="AX100" i="21" s="1"/>
  <c r="AW99" i="21"/>
  <c r="AT99" i="21"/>
  <c r="AS99" i="21"/>
  <c r="AR99" i="21"/>
  <c r="AQ99" i="21"/>
  <c r="AP99" i="21"/>
  <c r="AO99" i="21"/>
  <c r="AN99" i="21"/>
  <c r="AM99" i="21"/>
  <c r="AL99" i="21"/>
  <c r="AJ99" i="21"/>
  <c r="AI99" i="21"/>
  <c r="AB99" i="21"/>
  <c r="AA99" i="21"/>
  <c r="Z99" i="21"/>
  <c r="Y99" i="21"/>
  <c r="X99" i="21"/>
  <c r="W99" i="21"/>
  <c r="V99" i="21"/>
  <c r="U99" i="21"/>
  <c r="T99" i="21"/>
  <c r="M99" i="21"/>
  <c r="L99" i="21"/>
  <c r="K99" i="21"/>
  <c r="J99" i="21"/>
  <c r="BB99" i="21" s="1"/>
  <c r="I99" i="21"/>
  <c r="BA99" i="21" s="1"/>
  <c r="H99" i="21"/>
  <c r="AZ99" i="21" s="1"/>
  <c r="F99" i="21"/>
  <c r="AX99" i="21" s="1"/>
  <c r="AW98" i="21"/>
  <c r="AT98" i="21"/>
  <c r="AS98" i="21"/>
  <c r="AR98" i="21"/>
  <c r="AQ98" i="21"/>
  <c r="AP98" i="21"/>
  <c r="AO98" i="21"/>
  <c r="AN98" i="21"/>
  <c r="AM98" i="21"/>
  <c r="AL98" i="21"/>
  <c r="AJ98" i="21"/>
  <c r="AI98" i="21"/>
  <c r="AB98" i="21"/>
  <c r="AA98" i="21"/>
  <c r="Z98" i="21"/>
  <c r="Y98" i="21"/>
  <c r="X98" i="21"/>
  <c r="W98" i="21"/>
  <c r="V98" i="21"/>
  <c r="U98" i="21"/>
  <c r="T98" i="21"/>
  <c r="M98" i="21"/>
  <c r="L98" i="21"/>
  <c r="K98" i="21"/>
  <c r="J98" i="21"/>
  <c r="BB98" i="21" s="1"/>
  <c r="I98" i="21"/>
  <c r="BA98" i="21" s="1"/>
  <c r="H98" i="21"/>
  <c r="AZ98" i="21" s="1"/>
  <c r="F98" i="21"/>
  <c r="AX98" i="21" s="1"/>
  <c r="AW97" i="21"/>
  <c r="AT97" i="21"/>
  <c r="AS97" i="21"/>
  <c r="AR97" i="21"/>
  <c r="AQ97" i="21"/>
  <c r="AP97" i="21"/>
  <c r="AO97" i="21"/>
  <c r="AN97" i="21"/>
  <c r="AM97" i="21"/>
  <c r="AL97" i="21"/>
  <c r="AJ97" i="21"/>
  <c r="AI97" i="21"/>
  <c r="AB97" i="21"/>
  <c r="AA97" i="21"/>
  <c r="Z97" i="21"/>
  <c r="Y97" i="21"/>
  <c r="X97" i="21"/>
  <c r="W97" i="21"/>
  <c r="V97" i="21"/>
  <c r="U97" i="21"/>
  <c r="T97" i="21"/>
  <c r="M97" i="21"/>
  <c r="L97" i="21"/>
  <c r="K97" i="21"/>
  <c r="J97" i="21"/>
  <c r="BB97" i="21" s="1"/>
  <c r="I97" i="21"/>
  <c r="BA97" i="21" s="1"/>
  <c r="H97" i="21"/>
  <c r="AZ97" i="21" s="1"/>
  <c r="F97" i="21"/>
  <c r="AX97" i="21" s="1"/>
  <c r="AW96" i="21"/>
  <c r="AT96" i="21"/>
  <c r="AS96" i="21"/>
  <c r="AR96" i="21"/>
  <c r="AQ96" i="21"/>
  <c r="AP96" i="21"/>
  <c r="AO96" i="21"/>
  <c r="AN96" i="21"/>
  <c r="AM96" i="21"/>
  <c r="AL96" i="21"/>
  <c r="AJ96" i="21"/>
  <c r="AI96" i="21"/>
  <c r="AB96" i="21"/>
  <c r="AA96" i="21"/>
  <c r="Z96" i="21"/>
  <c r="Y96" i="21"/>
  <c r="X96" i="21"/>
  <c r="W96" i="21"/>
  <c r="V96" i="21"/>
  <c r="U96" i="21"/>
  <c r="T96" i="21"/>
  <c r="M96" i="21"/>
  <c r="L96" i="21"/>
  <c r="K96" i="21"/>
  <c r="J96" i="21"/>
  <c r="BB96" i="21" s="1"/>
  <c r="I96" i="21"/>
  <c r="BA96" i="21" s="1"/>
  <c r="H96" i="21"/>
  <c r="AZ96" i="21" s="1"/>
  <c r="F96" i="21"/>
  <c r="AX96" i="21" s="1"/>
  <c r="AW95" i="21"/>
  <c r="AT95" i="21"/>
  <c r="AS95" i="21"/>
  <c r="AR95" i="21"/>
  <c r="AQ95" i="21"/>
  <c r="AP95" i="21"/>
  <c r="AO95" i="21"/>
  <c r="AN95" i="21"/>
  <c r="AM95" i="21"/>
  <c r="AL95" i="21"/>
  <c r="AJ95" i="21"/>
  <c r="AI95" i="21"/>
  <c r="AB95" i="21"/>
  <c r="AA95" i="21"/>
  <c r="Z95" i="21"/>
  <c r="Y95" i="21"/>
  <c r="X95" i="21"/>
  <c r="W95" i="21"/>
  <c r="V95" i="21"/>
  <c r="U95" i="21"/>
  <c r="T95" i="21"/>
  <c r="M95" i="21"/>
  <c r="L95" i="21"/>
  <c r="K95" i="21"/>
  <c r="J95" i="21"/>
  <c r="BB95" i="21" s="1"/>
  <c r="I95" i="21"/>
  <c r="BA95" i="21" s="1"/>
  <c r="H95" i="21"/>
  <c r="AZ95" i="21" s="1"/>
  <c r="F95" i="21"/>
  <c r="AX95" i="21" s="1"/>
  <c r="AW94" i="21"/>
  <c r="AT94" i="21"/>
  <c r="AS94" i="21"/>
  <c r="AR94" i="21"/>
  <c r="AQ94" i="21"/>
  <c r="AP94" i="21"/>
  <c r="AO94" i="21"/>
  <c r="AN94" i="21"/>
  <c r="AM94" i="21"/>
  <c r="AL94" i="21"/>
  <c r="AJ94" i="21"/>
  <c r="AI94" i="21"/>
  <c r="AB94" i="21"/>
  <c r="AA94" i="21"/>
  <c r="Z94" i="21"/>
  <c r="Y94" i="21"/>
  <c r="X94" i="21"/>
  <c r="W94" i="21"/>
  <c r="V94" i="21"/>
  <c r="U94" i="21"/>
  <c r="T94" i="21"/>
  <c r="M94" i="21"/>
  <c r="L94" i="21"/>
  <c r="K94" i="21"/>
  <c r="J94" i="21"/>
  <c r="BB94" i="21" s="1"/>
  <c r="I94" i="21"/>
  <c r="BA94" i="21" s="1"/>
  <c r="H94" i="21"/>
  <c r="AZ94" i="21" s="1"/>
  <c r="F94" i="21"/>
  <c r="AX94" i="21" s="1"/>
  <c r="AW93" i="21"/>
  <c r="AT93" i="21"/>
  <c r="AS93" i="21"/>
  <c r="AR93" i="21"/>
  <c r="AQ93" i="21"/>
  <c r="AP93" i="21"/>
  <c r="AO93" i="21"/>
  <c r="AN93" i="21"/>
  <c r="AM93" i="21"/>
  <c r="AL93" i="21"/>
  <c r="AJ93" i="21"/>
  <c r="AI93" i="21"/>
  <c r="AB93" i="21"/>
  <c r="AA93" i="21"/>
  <c r="Z93" i="21"/>
  <c r="Y93" i="21"/>
  <c r="X93" i="21"/>
  <c r="W93" i="21"/>
  <c r="V93" i="21"/>
  <c r="U93" i="21"/>
  <c r="T93" i="21"/>
  <c r="M93" i="21"/>
  <c r="L93" i="21"/>
  <c r="K93" i="21"/>
  <c r="J93" i="21"/>
  <c r="BB93" i="21" s="1"/>
  <c r="I93" i="21"/>
  <c r="BA93" i="21" s="1"/>
  <c r="H93" i="21"/>
  <c r="AZ93" i="21" s="1"/>
  <c r="F93" i="21"/>
  <c r="AX93" i="21" s="1"/>
  <c r="AW92" i="21"/>
  <c r="AT92" i="21"/>
  <c r="AS92" i="21"/>
  <c r="AR92" i="21"/>
  <c r="AQ92" i="21"/>
  <c r="AP92" i="21"/>
  <c r="AO92" i="21"/>
  <c r="AN92" i="21"/>
  <c r="AM92" i="21"/>
  <c r="AL92" i="21"/>
  <c r="AJ92" i="21"/>
  <c r="AI92" i="21"/>
  <c r="AB92" i="21"/>
  <c r="AA92" i="21"/>
  <c r="Z92" i="21"/>
  <c r="Y92" i="21"/>
  <c r="X92" i="21"/>
  <c r="W92" i="21"/>
  <c r="V92" i="21"/>
  <c r="U92" i="21"/>
  <c r="T92" i="21"/>
  <c r="M92" i="21"/>
  <c r="L92" i="21"/>
  <c r="K92" i="21"/>
  <c r="J92" i="21"/>
  <c r="BB92" i="21" s="1"/>
  <c r="I92" i="21"/>
  <c r="BA92" i="21" s="1"/>
  <c r="H92" i="21"/>
  <c r="AZ92" i="21" s="1"/>
  <c r="F92" i="21"/>
  <c r="AX92" i="21" s="1"/>
  <c r="AW91" i="21"/>
  <c r="AT91" i="21"/>
  <c r="AS91" i="21"/>
  <c r="AR91" i="21"/>
  <c r="AQ91" i="21"/>
  <c r="AP91" i="21"/>
  <c r="AO91" i="21"/>
  <c r="AN91" i="21"/>
  <c r="AM91" i="21"/>
  <c r="AL91" i="21"/>
  <c r="AJ91" i="21"/>
  <c r="AI91" i="21"/>
  <c r="AB91" i="21"/>
  <c r="AA91" i="21"/>
  <c r="Z91" i="21"/>
  <c r="Y91" i="21"/>
  <c r="X91" i="21"/>
  <c r="W91" i="21"/>
  <c r="V91" i="21"/>
  <c r="U91" i="21"/>
  <c r="T91" i="21"/>
  <c r="M91" i="21"/>
  <c r="L91" i="21"/>
  <c r="K91" i="21"/>
  <c r="J91" i="21"/>
  <c r="BB91" i="21" s="1"/>
  <c r="I91" i="21"/>
  <c r="BA91" i="21" s="1"/>
  <c r="H91" i="21"/>
  <c r="AZ91" i="21" s="1"/>
  <c r="F91" i="21"/>
  <c r="AX91" i="21" s="1"/>
  <c r="AW90" i="21"/>
  <c r="AT90" i="21"/>
  <c r="AS90" i="21"/>
  <c r="AR90" i="21"/>
  <c r="AQ90" i="21"/>
  <c r="AP90" i="21"/>
  <c r="AO90" i="21"/>
  <c r="AN90" i="21"/>
  <c r="AM90" i="21"/>
  <c r="AL90" i="21"/>
  <c r="AJ90" i="21"/>
  <c r="AI90" i="21"/>
  <c r="AB90" i="21"/>
  <c r="AA90" i="21"/>
  <c r="Z90" i="21"/>
  <c r="Y90" i="21"/>
  <c r="X90" i="21"/>
  <c r="W90" i="21"/>
  <c r="V90" i="21"/>
  <c r="U90" i="21"/>
  <c r="T90" i="21"/>
  <c r="M90" i="21"/>
  <c r="L90" i="21"/>
  <c r="K90" i="21"/>
  <c r="J90" i="21"/>
  <c r="BB90" i="21" s="1"/>
  <c r="I90" i="21"/>
  <c r="BA90" i="21" s="1"/>
  <c r="H90" i="21"/>
  <c r="AZ90" i="21" s="1"/>
  <c r="F90" i="21"/>
  <c r="AX90" i="21" s="1"/>
  <c r="AW89" i="21"/>
  <c r="AT89" i="21"/>
  <c r="AS89" i="21"/>
  <c r="AR89" i="21"/>
  <c r="AQ89" i="21"/>
  <c r="AP89" i="21"/>
  <c r="AO89" i="21"/>
  <c r="AN89" i="21"/>
  <c r="AM89" i="21"/>
  <c r="AL89" i="21"/>
  <c r="AJ89" i="21"/>
  <c r="AI89" i="21"/>
  <c r="AB89" i="21"/>
  <c r="AA89" i="21"/>
  <c r="Z89" i="21"/>
  <c r="Y89" i="21"/>
  <c r="X89" i="21"/>
  <c r="W89" i="21"/>
  <c r="V89" i="21"/>
  <c r="U89" i="21"/>
  <c r="T89" i="21"/>
  <c r="M89" i="21"/>
  <c r="L89" i="21"/>
  <c r="K89" i="21"/>
  <c r="J89" i="21"/>
  <c r="BB89" i="21" s="1"/>
  <c r="I89" i="21"/>
  <c r="BA89" i="21" s="1"/>
  <c r="H89" i="21"/>
  <c r="AZ89" i="21" s="1"/>
  <c r="F89" i="21"/>
  <c r="AX89" i="21" s="1"/>
  <c r="AW88" i="21"/>
  <c r="AT88" i="21"/>
  <c r="AS88" i="21"/>
  <c r="AR88" i="21"/>
  <c r="AQ88" i="21"/>
  <c r="AP88" i="21"/>
  <c r="AO88" i="21"/>
  <c r="AN88" i="21"/>
  <c r="AM88" i="21"/>
  <c r="AL88" i="21"/>
  <c r="AJ88" i="21"/>
  <c r="AI88" i="21"/>
  <c r="AB88" i="21"/>
  <c r="AA88" i="21"/>
  <c r="Z88" i="21"/>
  <c r="Y88" i="21"/>
  <c r="X88" i="21"/>
  <c r="W88" i="21"/>
  <c r="V88" i="21"/>
  <c r="U88" i="21"/>
  <c r="T88" i="21"/>
  <c r="M88" i="21"/>
  <c r="L88" i="21"/>
  <c r="K88" i="21"/>
  <c r="J88" i="21"/>
  <c r="BB88" i="21" s="1"/>
  <c r="I88" i="21"/>
  <c r="BA88" i="21" s="1"/>
  <c r="H88" i="21"/>
  <c r="AZ88" i="21" s="1"/>
  <c r="F88" i="21"/>
  <c r="AX88" i="21" s="1"/>
  <c r="AW87" i="21"/>
  <c r="AT87" i="21"/>
  <c r="AS87" i="21"/>
  <c r="AR87" i="21"/>
  <c r="AQ87" i="21"/>
  <c r="AP87" i="21"/>
  <c r="AO87" i="21"/>
  <c r="AN87" i="21"/>
  <c r="AM87" i="21"/>
  <c r="AL87" i="21"/>
  <c r="AJ87" i="21"/>
  <c r="AI87" i="21"/>
  <c r="AB87" i="21"/>
  <c r="AA87" i="21"/>
  <c r="Z87" i="21"/>
  <c r="Y87" i="21"/>
  <c r="X87" i="21"/>
  <c r="W87" i="21"/>
  <c r="V87" i="21"/>
  <c r="U87" i="21"/>
  <c r="T87" i="21"/>
  <c r="M87" i="21"/>
  <c r="L87" i="21"/>
  <c r="K87" i="21"/>
  <c r="J87" i="21"/>
  <c r="BB87" i="21" s="1"/>
  <c r="I87" i="21"/>
  <c r="BA87" i="21" s="1"/>
  <c r="H87" i="21"/>
  <c r="AZ87" i="21" s="1"/>
  <c r="F87" i="21"/>
  <c r="AX87" i="21" s="1"/>
  <c r="AW86" i="21"/>
  <c r="AT86" i="21"/>
  <c r="AS86" i="21"/>
  <c r="AR86" i="21"/>
  <c r="AQ86" i="21"/>
  <c r="AP86" i="21"/>
  <c r="AO86" i="21"/>
  <c r="AN86" i="21"/>
  <c r="AM86" i="21"/>
  <c r="AL86" i="21"/>
  <c r="AJ86" i="21"/>
  <c r="AI86" i="21"/>
  <c r="AB86" i="21"/>
  <c r="AA86" i="21"/>
  <c r="Z86" i="21"/>
  <c r="Y86" i="21"/>
  <c r="X86" i="21"/>
  <c r="W86" i="21"/>
  <c r="V86" i="21"/>
  <c r="U86" i="21"/>
  <c r="T86" i="21"/>
  <c r="M86" i="21"/>
  <c r="L86" i="21"/>
  <c r="K86" i="21"/>
  <c r="J86" i="21"/>
  <c r="BB86" i="21" s="1"/>
  <c r="I86" i="21"/>
  <c r="BA86" i="21" s="1"/>
  <c r="H86" i="21"/>
  <c r="AZ86" i="21" s="1"/>
  <c r="F86" i="21"/>
  <c r="AX86" i="21" s="1"/>
  <c r="AW85" i="21"/>
  <c r="AT85" i="21"/>
  <c r="AS85" i="21"/>
  <c r="AR85" i="21"/>
  <c r="AQ85" i="21"/>
  <c r="AP85" i="21"/>
  <c r="AO85" i="21"/>
  <c r="AN85" i="21"/>
  <c r="AM85" i="21"/>
  <c r="AL85" i="21"/>
  <c r="AJ85" i="21"/>
  <c r="AI85" i="21"/>
  <c r="AB85" i="21"/>
  <c r="AA85" i="21"/>
  <c r="Z85" i="21"/>
  <c r="Y85" i="21"/>
  <c r="X85" i="21"/>
  <c r="W85" i="21"/>
  <c r="V85" i="21"/>
  <c r="U85" i="21"/>
  <c r="T85" i="21"/>
  <c r="M85" i="21"/>
  <c r="L85" i="21"/>
  <c r="K85" i="21"/>
  <c r="J85" i="21"/>
  <c r="BB85" i="21" s="1"/>
  <c r="I85" i="21"/>
  <c r="BA85" i="21" s="1"/>
  <c r="H85" i="21"/>
  <c r="AZ85" i="21" s="1"/>
  <c r="F85" i="21"/>
  <c r="AX85" i="21" s="1"/>
  <c r="AW84" i="21"/>
  <c r="AT84" i="21"/>
  <c r="AS84" i="21"/>
  <c r="AR84" i="21"/>
  <c r="AQ84" i="21"/>
  <c r="AP84" i="21"/>
  <c r="AO84" i="21"/>
  <c r="AN84" i="21"/>
  <c r="AM84" i="21"/>
  <c r="AL84" i="21"/>
  <c r="AJ84" i="21"/>
  <c r="AI84" i="21"/>
  <c r="AB84" i="21"/>
  <c r="AA84" i="21"/>
  <c r="Z84" i="21"/>
  <c r="Y84" i="21"/>
  <c r="X84" i="21"/>
  <c r="W84" i="21"/>
  <c r="V84" i="21"/>
  <c r="U84" i="21"/>
  <c r="T84" i="21"/>
  <c r="M84" i="21"/>
  <c r="L84" i="21"/>
  <c r="K84" i="21"/>
  <c r="J84" i="21"/>
  <c r="BB84" i="21" s="1"/>
  <c r="I84" i="21"/>
  <c r="BA84" i="21" s="1"/>
  <c r="H84" i="21"/>
  <c r="AZ84" i="21" s="1"/>
  <c r="F84" i="21"/>
  <c r="AX84" i="21" s="1"/>
  <c r="AW83" i="21"/>
  <c r="AT83" i="21"/>
  <c r="AS83" i="21"/>
  <c r="AR83" i="21"/>
  <c r="AQ83" i="21"/>
  <c r="AP83" i="21"/>
  <c r="AO83" i="21"/>
  <c r="AN83" i="21"/>
  <c r="AM83" i="21"/>
  <c r="AL83" i="21"/>
  <c r="AJ83" i="21"/>
  <c r="AI83" i="21"/>
  <c r="AB83" i="21"/>
  <c r="AA83" i="21"/>
  <c r="Z83" i="21"/>
  <c r="Y83" i="21"/>
  <c r="X83" i="21"/>
  <c r="W83" i="21"/>
  <c r="V83" i="21"/>
  <c r="U83" i="21"/>
  <c r="T83" i="21"/>
  <c r="M83" i="21"/>
  <c r="L83" i="21"/>
  <c r="K83" i="21"/>
  <c r="J83" i="21"/>
  <c r="BB83" i="21" s="1"/>
  <c r="I83" i="21"/>
  <c r="BA83" i="21" s="1"/>
  <c r="H83" i="21"/>
  <c r="AZ83" i="21" s="1"/>
  <c r="F83" i="21"/>
  <c r="AX83" i="21" s="1"/>
  <c r="AW82" i="21"/>
  <c r="AT82" i="21"/>
  <c r="AS82" i="21"/>
  <c r="AR82" i="21"/>
  <c r="AQ82" i="21"/>
  <c r="AP82" i="21"/>
  <c r="AO82" i="21"/>
  <c r="AN82" i="21"/>
  <c r="AM82" i="21"/>
  <c r="AL82" i="21"/>
  <c r="AJ82" i="21"/>
  <c r="AI82" i="21"/>
  <c r="AB82" i="21"/>
  <c r="AA82" i="21"/>
  <c r="Z82" i="21"/>
  <c r="Y82" i="21"/>
  <c r="X82" i="21"/>
  <c r="W82" i="21"/>
  <c r="V82" i="21"/>
  <c r="U82" i="21"/>
  <c r="T82" i="21"/>
  <c r="M82" i="21"/>
  <c r="L82" i="21"/>
  <c r="K82" i="21"/>
  <c r="J82" i="21"/>
  <c r="BB82" i="21" s="1"/>
  <c r="I82" i="21"/>
  <c r="BA82" i="21" s="1"/>
  <c r="H82" i="21"/>
  <c r="AZ82" i="21" s="1"/>
  <c r="F82" i="21"/>
  <c r="AX82" i="21" s="1"/>
  <c r="AW81" i="21"/>
  <c r="AT81" i="21"/>
  <c r="AS81" i="21"/>
  <c r="AR81" i="21"/>
  <c r="AQ81" i="21"/>
  <c r="AP81" i="21"/>
  <c r="AO81" i="21"/>
  <c r="AN81" i="21"/>
  <c r="AM81" i="21"/>
  <c r="AL81" i="21"/>
  <c r="AJ81" i="21"/>
  <c r="AI81" i="21"/>
  <c r="AB81" i="21"/>
  <c r="AA81" i="21"/>
  <c r="Z81" i="21"/>
  <c r="Y81" i="21"/>
  <c r="X81" i="21"/>
  <c r="W81" i="21"/>
  <c r="V81" i="21"/>
  <c r="U81" i="21"/>
  <c r="T81" i="21"/>
  <c r="M81" i="21"/>
  <c r="L81" i="21"/>
  <c r="K81" i="21"/>
  <c r="J81" i="21"/>
  <c r="BB81" i="21" s="1"/>
  <c r="I81" i="21"/>
  <c r="BA81" i="21" s="1"/>
  <c r="H81" i="21"/>
  <c r="AZ81" i="21" s="1"/>
  <c r="F81" i="21"/>
  <c r="AX81" i="21" s="1"/>
  <c r="AW80" i="21"/>
  <c r="AT80" i="21"/>
  <c r="AS80" i="21"/>
  <c r="AR80" i="21"/>
  <c r="AQ80" i="21"/>
  <c r="AP80" i="21"/>
  <c r="AO80" i="21"/>
  <c r="AN80" i="21"/>
  <c r="AM80" i="21"/>
  <c r="AL80" i="21"/>
  <c r="AJ80" i="21"/>
  <c r="AI80" i="21"/>
  <c r="AB80" i="21"/>
  <c r="AA80" i="21"/>
  <c r="Z80" i="21"/>
  <c r="Y80" i="21"/>
  <c r="X80" i="21"/>
  <c r="W80" i="21"/>
  <c r="V80" i="21"/>
  <c r="U80" i="21"/>
  <c r="T80" i="21"/>
  <c r="M80" i="21"/>
  <c r="L80" i="21"/>
  <c r="K80" i="21"/>
  <c r="J80" i="21"/>
  <c r="BB80" i="21" s="1"/>
  <c r="I80" i="21"/>
  <c r="BA80" i="21" s="1"/>
  <c r="H80" i="21"/>
  <c r="AZ80" i="21" s="1"/>
  <c r="F80" i="21"/>
  <c r="AX80" i="21" s="1"/>
  <c r="AW79" i="21"/>
  <c r="AT79" i="21"/>
  <c r="AS79" i="21"/>
  <c r="AR79" i="21"/>
  <c r="AQ79" i="21"/>
  <c r="AP79" i="21"/>
  <c r="AO79" i="21"/>
  <c r="AN79" i="21"/>
  <c r="AM79" i="21"/>
  <c r="AL79" i="21"/>
  <c r="AJ79" i="21"/>
  <c r="AI79" i="21"/>
  <c r="AB79" i="21"/>
  <c r="AA79" i="21"/>
  <c r="Z79" i="21"/>
  <c r="Y79" i="21"/>
  <c r="X79" i="21"/>
  <c r="W79" i="21"/>
  <c r="V79" i="21"/>
  <c r="U79" i="21"/>
  <c r="T79" i="21"/>
  <c r="M79" i="21"/>
  <c r="L79" i="21"/>
  <c r="K79" i="21"/>
  <c r="J79" i="21"/>
  <c r="BB79" i="21" s="1"/>
  <c r="I79" i="21"/>
  <c r="BA79" i="21" s="1"/>
  <c r="H79" i="21"/>
  <c r="AZ79" i="21" s="1"/>
  <c r="F79" i="21"/>
  <c r="AX79" i="21" s="1"/>
  <c r="AW78" i="21"/>
  <c r="AT78" i="21"/>
  <c r="AS78" i="21"/>
  <c r="AR78" i="21"/>
  <c r="AQ78" i="21"/>
  <c r="AP78" i="21"/>
  <c r="AO78" i="21"/>
  <c r="AN78" i="21"/>
  <c r="AM78" i="21"/>
  <c r="AL78" i="21"/>
  <c r="AJ78" i="21"/>
  <c r="AI78" i="21"/>
  <c r="AB78" i="21"/>
  <c r="AA78" i="21"/>
  <c r="Z78" i="21"/>
  <c r="Y78" i="21"/>
  <c r="X78" i="21"/>
  <c r="W78" i="21"/>
  <c r="V78" i="21"/>
  <c r="U78" i="21"/>
  <c r="T78" i="21"/>
  <c r="M78" i="21"/>
  <c r="L78" i="21"/>
  <c r="K78" i="21"/>
  <c r="J78" i="21"/>
  <c r="BB78" i="21" s="1"/>
  <c r="I78" i="21"/>
  <c r="BA78" i="21" s="1"/>
  <c r="H78" i="21"/>
  <c r="AZ78" i="21" s="1"/>
  <c r="F78" i="21"/>
  <c r="AX78" i="21" s="1"/>
  <c r="AW77" i="21"/>
  <c r="AT77" i="21"/>
  <c r="AS77" i="21"/>
  <c r="AR77" i="21"/>
  <c r="AQ77" i="21"/>
  <c r="AP77" i="21"/>
  <c r="AO77" i="21"/>
  <c r="AN77" i="21"/>
  <c r="AM77" i="21"/>
  <c r="AL77" i="21"/>
  <c r="AJ77" i="21"/>
  <c r="AI77" i="21"/>
  <c r="AB77" i="21"/>
  <c r="AA77" i="21"/>
  <c r="Z77" i="21"/>
  <c r="Y77" i="21"/>
  <c r="X77" i="21"/>
  <c r="W77" i="21"/>
  <c r="V77" i="21"/>
  <c r="U77" i="21"/>
  <c r="T77" i="21"/>
  <c r="M77" i="21"/>
  <c r="L77" i="21"/>
  <c r="K77" i="21"/>
  <c r="J77" i="21"/>
  <c r="BB77" i="21" s="1"/>
  <c r="I77" i="21"/>
  <c r="BA77" i="21" s="1"/>
  <c r="H77" i="21"/>
  <c r="AZ77" i="21" s="1"/>
  <c r="F77" i="21"/>
  <c r="AX77" i="21" s="1"/>
  <c r="AW76" i="21"/>
  <c r="AT76" i="21"/>
  <c r="AS76" i="21"/>
  <c r="AR76" i="21"/>
  <c r="AQ76" i="21"/>
  <c r="AP76" i="21"/>
  <c r="AO76" i="21"/>
  <c r="AN76" i="21"/>
  <c r="AM76" i="21"/>
  <c r="AL76" i="21"/>
  <c r="AJ76" i="21"/>
  <c r="AI76" i="21"/>
  <c r="AB76" i="21"/>
  <c r="AA76" i="21"/>
  <c r="Z76" i="21"/>
  <c r="Y76" i="21"/>
  <c r="X76" i="21"/>
  <c r="W76" i="21"/>
  <c r="V76" i="21"/>
  <c r="U76" i="21"/>
  <c r="T76" i="21"/>
  <c r="M76" i="21"/>
  <c r="L76" i="21"/>
  <c r="K76" i="21"/>
  <c r="J76" i="21"/>
  <c r="BB76" i="21" s="1"/>
  <c r="I76" i="21"/>
  <c r="BA76" i="21" s="1"/>
  <c r="H76" i="21"/>
  <c r="AZ76" i="21" s="1"/>
  <c r="F76" i="21"/>
  <c r="AX76" i="21" s="1"/>
  <c r="AW75" i="21"/>
  <c r="AT75" i="21"/>
  <c r="AS75" i="21"/>
  <c r="AR75" i="21"/>
  <c r="AQ75" i="21"/>
  <c r="AP75" i="21"/>
  <c r="AO75" i="21"/>
  <c r="AN75" i="21"/>
  <c r="AM75" i="21"/>
  <c r="AL75" i="21"/>
  <c r="AJ75" i="21"/>
  <c r="AI75" i="21"/>
  <c r="AB75" i="21"/>
  <c r="AA75" i="21"/>
  <c r="Z75" i="21"/>
  <c r="Y75" i="21"/>
  <c r="X75" i="21"/>
  <c r="W75" i="21"/>
  <c r="V75" i="21"/>
  <c r="U75" i="21"/>
  <c r="T75" i="21"/>
  <c r="M75" i="21"/>
  <c r="L75" i="21"/>
  <c r="K75" i="21"/>
  <c r="J75" i="21"/>
  <c r="BB75" i="21" s="1"/>
  <c r="I75" i="21"/>
  <c r="BA75" i="21" s="1"/>
  <c r="H75" i="21"/>
  <c r="AZ75" i="21" s="1"/>
  <c r="F75" i="21"/>
  <c r="AX75" i="21" s="1"/>
  <c r="AW74" i="21"/>
  <c r="AT74" i="21"/>
  <c r="AS74" i="21"/>
  <c r="AR74" i="21"/>
  <c r="AQ74" i="21"/>
  <c r="AP74" i="21"/>
  <c r="AO74" i="21"/>
  <c r="AN74" i="21"/>
  <c r="AM74" i="21"/>
  <c r="AL74" i="21"/>
  <c r="AJ74" i="21"/>
  <c r="AI74" i="21"/>
  <c r="AB74" i="21"/>
  <c r="AA74" i="21"/>
  <c r="Z74" i="21"/>
  <c r="Y74" i="21"/>
  <c r="X74" i="21"/>
  <c r="W74" i="21"/>
  <c r="V74" i="21"/>
  <c r="U74" i="21"/>
  <c r="T74" i="21"/>
  <c r="M74" i="21"/>
  <c r="L74" i="21"/>
  <c r="K74" i="21"/>
  <c r="J74" i="21"/>
  <c r="BB74" i="21" s="1"/>
  <c r="I74" i="21"/>
  <c r="BA74" i="21" s="1"/>
  <c r="H74" i="21"/>
  <c r="AZ74" i="21" s="1"/>
  <c r="F74" i="21"/>
  <c r="AX74" i="21" s="1"/>
  <c r="AW73" i="21"/>
  <c r="AT73" i="21"/>
  <c r="AS73" i="21"/>
  <c r="AR73" i="21"/>
  <c r="AQ73" i="21"/>
  <c r="AP73" i="21"/>
  <c r="AO73" i="21"/>
  <c r="AN73" i="21"/>
  <c r="AM73" i="21"/>
  <c r="AL73" i="21"/>
  <c r="AJ73" i="21"/>
  <c r="AI73" i="21"/>
  <c r="AB73" i="21"/>
  <c r="AA73" i="21"/>
  <c r="Z73" i="21"/>
  <c r="Y73" i="21"/>
  <c r="X73" i="21"/>
  <c r="W73" i="21"/>
  <c r="V73" i="21"/>
  <c r="U73" i="21"/>
  <c r="T73" i="21"/>
  <c r="M73" i="21"/>
  <c r="L73" i="21"/>
  <c r="K73" i="21"/>
  <c r="J73" i="21"/>
  <c r="BB73" i="21" s="1"/>
  <c r="I73" i="21"/>
  <c r="BA73" i="21" s="1"/>
  <c r="H73" i="21"/>
  <c r="AZ73" i="21" s="1"/>
  <c r="F73" i="21"/>
  <c r="AX73" i="21" s="1"/>
  <c r="AW72" i="21"/>
  <c r="AT72" i="21"/>
  <c r="AS72" i="21"/>
  <c r="AR72" i="21"/>
  <c r="AQ72" i="21"/>
  <c r="AP72" i="21"/>
  <c r="AO72" i="21"/>
  <c r="AN72" i="21"/>
  <c r="AM72" i="21"/>
  <c r="AL72" i="21"/>
  <c r="AJ72" i="21"/>
  <c r="AI72" i="21"/>
  <c r="AB72" i="21"/>
  <c r="AA72" i="21"/>
  <c r="Z72" i="21"/>
  <c r="Y72" i="21"/>
  <c r="X72" i="21"/>
  <c r="W72" i="21"/>
  <c r="V72" i="21"/>
  <c r="U72" i="21"/>
  <c r="T72" i="21"/>
  <c r="M72" i="21"/>
  <c r="L72" i="21"/>
  <c r="K72" i="21"/>
  <c r="J72" i="21"/>
  <c r="BB72" i="21" s="1"/>
  <c r="I72" i="21"/>
  <c r="BA72" i="21" s="1"/>
  <c r="H72" i="21"/>
  <c r="AZ72" i="21" s="1"/>
  <c r="F72" i="21"/>
  <c r="AX72" i="21" s="1"/>
  <c r="AW71" i="21"/>
  <c r="AT71" i="21"/>
  <c r="AS71" i="21"/>
  <c r="AR71" i="21"/>
  <c r="AQ71" i="21"/>
  <c r="AP71" i="21"/>
  <c r="AO71" i="21"/>
  <c r="AN71" i="21"/>
  <c r="AM71" i="21"/>
  <c r="AL71" i="21"/>
  <c r="AJ71" i="21"/>
  <c r="AI71" i="21"/>
  <c r="AB71" i="21"/>
  <c r="AA71" i="21"/>
  <c r="Z71" i="21"/>
  <c r="Y71" i="21"/>
  <c r="X71" i="21"/>
  <c r="W71" i="21"/>
  <c r="V71" i="21"/>
  <c r="U71" i="21"/>
  <c r="T71" i="21"/>
  <c r="M71" i="21"/>
  <c r="L71" i="21"/>
  <c r="K71" i="21"/>
  <c r="J71" i="21"/>
  <c r="BB71" i="21" s="1"/>
  <c r="I71" i="21"/>
  <c r="BA71" i="21" s="1"/>
  <c r="H71" i="21"/>
  <c r="AZ71" i="21" s="1"/>
  <c r="F71" i="21"/>
  <c r="AX71" i="21" s="1"/>
  <c r="AW70" i="21"/>
  <c r="AT70" i="21"/>
  <c r="AS70" i="21"/>
  <c r="AR70" i="21"/>
  <c r="AQ70" i="21"/>
  <c r="AP70" i="21"/>
  <c r="AO70" i="21"/>
  <c r="AN70" i="21"/>
  <c r="AM70" i="21"/>
  <c r="AL70" i="21"/>
  <c r="AJ70" i="21"/>
  <c r="AI70" i="21"/>
  <c r="AB70" i="21"/>
  <c r="AA70" i="21"/>
  <c r="Z70" i="21"/>
  <c r="Y70" i="21"/>
  <c r="X70" i="21"/>
  <c r="W70" i="21"/>
  <c r="V70" i="21"/>
  <c r="U70" i="21"/>
  <c r="T70" i="21"/>
  <c r="M70" i="21"/>
  <c r="L70" i="21"/>
  <c r="K70" i="21"/>
  <c r="J70" i="21"/>
  <c r="BB70" i="21" s="1"/>
  <c r="I70" i="21"/>
  <c r="BA70" i="21" s="1"/>
  <c r="H70" i="21"/>
  <c r="AZ70" i="21" s="1"/>
  <c r="F70" i="21"/>
  <c r="AX70" i="21" s="1"/>
  <c r="AW69" i="21"/>
  <c r="AT69" i="21"/>
  <c r="AS69" i="21"/>
  <c r="AR69" i="21"/>
  <c r="AQ69" i="21"/>
  <c r="AP69" i="21"/>
  <c r="AO69" i="21"/>
  <c r="AN69" i="21"/>
  <c r="AM69" i="21"/>
  <c r="AL69" i="21"/>
  <c r="AJ69" i="21"/>
  <c r="AI69" i="21"/>
  <c r="AB69" i="21"/>
  <c r="AA69" i="21"/>
  <c r="Z69" i="21"/>
  <c r="Y69" i="21"/>
  <c r="X69" i="21"/>
  <c r="W69" i="21"/>
  <c r="V69" i="21"/>
  <c r="U69" i="21"/>
  <c r="T69" i="21"/>
  <c r="M69" i="21"/>
  <c r="L69" i="21"/>
  <c r="K69" i="21"/>
  <c r="J69" i="21"/>
  <c r="BB69" i="21" s="1"/>
  <c r="I69" i="21"/>
  <c r="BA69" i="21" s="1"/>
  <c r="H69" i="21"/>
  <c r="AZ69" i="21" s="1"/>
  <c r="F69" i="21"/>
  <c r="AX69" i="21" s="1"/>
  <c r="AW68" i="21"/>
  <c r="AT68" i="21"/>
  <c r="AS68" i="21"/>
  <c r="AR68" i="21"/>
  <c r="AQ68" i="21"/>
  <c r="AP68" i="21"/>
  <c r="AO68" i="21"/>
  <c r="AN68" i="21"/>
  <c r="AM68" i="21"/>
  <c r="AL68" i="21"/>
  <c r="AJ68" i="21"/>
  <c r="AI68" i="21"/>
  <c r="AB68" i="21"/>
  <c r="AA68" i="21"/>
  <c r="Z68" i="21"/>
  <c r="Y68" i="21"/>
  <c r="X68" i="21"/>
  <c r="W68" i="21"/>
  <c r="V68" i="21"/>
  <c r="U68" i="21"/>
  <c r="T68" i="21"/>
  <c r="M68" i="21"/>
  <c r="L68" i="21"/>
  <c r="K68" i="21"/>
  <c r="J68" i="21"/>
  <c r="BB68" i="21" s="1"/>
  <c r="I68" i="21"/>
  <c r="BA68" i="21" s="1"/>
  <c r="H68" i="21"/>
  <c r="AZ68" i="21" s="1"/>
  <c r="F68" i="21"/>
  <c r="AX68" i="21" s="1"/>
  <c r="AW67" i="21"/>
  <c r="AT67" i="21"/>
  <c r="AS67" i="21"/>
  <c r="AR67" i="21"/>
  <c r="AQ67" i="21"/>
  <c r="AP67" i="21"/>
  <c r="AO67" i="21"/>
  <c r="AN67" i="21"/>
  <c r="AM67" i="21"/>
  <c r="AL67" i="21"/>
  <c r="AJ67" i="21"/>
  <c r="AI67" i="21"/>
  <c r="AB67" i="21"/>
  <c r="AA67" i="21"/>
  <c r="Z67" i="21"/>
  <c r="Y67" i="21"/>
  <c r="X67" i="21"/>
  <c r="W67" i="21"/>
  <c r="V67" i="21"/>
  <c r="U67" i="21"/>
  <c r="T67" i="21"/>
  <c r="M67" i="21"/>
  <c r="L67" i="21"/>
  <c r="K67" i="21"/>
  <c r="J67" i="21"/>
  <c r="BB67" i="21" s="1"/>
  <c r="I67" i="21"/>
  <c r="BA67" i="21" s="1"/>
  <c r="H67" i="21"/>
  <c r="AZ67" i="21" s="1"/>
  <c r="F67" i="21"/>
  <c r="AX67" i="21" s="1"/>
  <c r="AW66" i="21"/>
  <c r="AT66" i="21"/>
  <c r="AS66" i="21"/>
  <c r="AR66" i="21"/>
  <c r="AQ66" i="21"/>
  <c r="AP66" i="21"/>
  <c r="AO66" i="21"/>
  <c r="AN66" i="21"/>
  <c r="AM66" i="21"/>
  <c r="AL66" i="21"/>
  <c r="AJ66" i="21"/>
  <c r="AI66" i="21"/>
  <c r="AB66" i="21"/>
  <c r="AA66" i="21"/>
  <c r="Z66" i="21"/>
  <c r="Y66" i="21"/>
  <c r="X66" i="21"/>
  <c r="W66" i="21"/>
  <c r="V66" i="21"/>
  <c r="U66" i="21"/>
  <c r="T66" i="21"/>
  <c r="M66" i="21"/>
  <c r="L66" i="21"/>
  <c r="K66" i="21"/>
  <c r="J66" i="21"/>
  <c r="BB66" i="21" s="1"/>
  <c r="I66" i="21"/>
  <c r="BA66" i="21" s="1"/>
  <c r="H66" i="21"/>
  <c r="AZ66" i="21" s="1"/>
  <c r="F66" i="21"/>
  <c r="AX66" i="21" s="1"/>
  <c r="AW65" i="21"/>
  <c r="AT65" i="21"/>
  <c r="AS65" i="21"/>
  <c r="AR65" i="21"/>
  <c r="AQ65" i="21"/>
  <c r="AP65" i="21"/>
  <c r="AO65" i="21"/>
  <c r="AN65" i="21"/>
  <c r="AM65" i="21"/>
  <c r="AL65" i="21"/>
  <c r="AJ65" i="21"/>
  <c r="AI65" i="21"/>
  <c r="AB65" i="21"/>
  <c r="AA65" i="21"/>
  <c r="Z65" i="21"/>
  <c r="Y65" i="21"/>
  <c r="X65" i="21"/>
  <c r="W65" i="21"/>
  <c r="V65" i="21"/>
  <c r="U65" i="21"/>
  <c r="T65" i="21"/>
  <c r="M65" i="21"/>
  <c r="L65" i="21"/>
  <c r="K65" i="21"/>
  <c r="J65" i="21"/>
  <c r="BB65" i="21" s="1"/>
  <c r="I65" i="21"/>
  <c r="BA65" i="21" s="1"/>
  <c r="H65" i="21"/>
  <c r="AZ65" i="21" s="1"/>
  <c r="F65" i="21"/>
  <c r="AX65" i="21" s="1"/>
  <c r="AW64" i="21"/>
  <c r="AT64" i="21"/>
  <c r="AS64" i="21"/>
  <c r="AR64" i="21"/>
  <c r="AQ64" i="21"/>
  <c r="AP64" i="21"/>
  <c r="AO64" i="21"/>
  <c r="AN64" i="21"/>
  <c r="AM64" i="21"/>
  <c r="AL64" i="21"/>
  <c r="AJ64" i="21"/>
  <c r="AI64" i="21"/>
  <c r="AB64" i="21"/>
  <c r="AA64" i="21"/>
  <c r="Z64" i="21"/>
  <c r="Y64" i="21"/>
  <c r="X64" i="21"/>
  <c r="W64" i="21"/>
  <c r="V64" i="21"/>
  <c r="U64" i="21"/>
  <c r="T64" i="21"/>
  <c r="M64" i="21"/>
  <c r="L64" i="21"/>
  <c r="K64" i="21"/>
  <c r="J64" i="21"/>
  <c r="BB64" i="21" s="1"/>
  <c r="I64" i="21"/>
  <c r="BA64" i="21" s="1"/>
  <c r="H64" i="21"/>
  <c r="AZ64" i="21" s="1"/>
  <c r="F64" i="21"/>
  <c r="AX64" i="21" s="1"/>
  <c r="AW63" i="21"/>
  <c r="AT63" i="21"/>
  <c r="AS63" i="21"/>
  <c r="AR63" i="21"/>
  <c r="AQ63" i="21"/>
  <c r="AP63" i="21"/>
  <c r="AO63" i="21"/>
  <c r="AN63" i="21"/>
  <c r="AM63" i="21"/>
  <c r="AL63" i="21"/>
  <c r="AJ63" i="21"/>
  <c r="AI63" i="21"/>
  <c r="AB63" i="21"/>
  <c r="AA63" i="21"/>
  <c r="Z63" i="21"/>
  <c r="Y63" i="21"/>
  <c r="X63" i="21"/>
  <c r="W63" i="21"/>
  <c r="V63" i="21"/>
  <c r="U63" i="21"/>
  <c r="T63" i="21"/>
  <c r="M63" i="21"/>
  <c r="L63" i="21"/>
  <c r="K63" i="21"/>
  <c r="J63" i="21"/>
  <c r="BB63" i="21" s="1"/>
  <c r="I63" i="21"/>
  <c r="BA63" i="21" s="1"/>
  <c r="H63" i="21"/>
  <c r="AZ63" i="21" s="1"/>
  <c r="F63" i="21"/>
  <c r="AX63" i="21" s="1"/>
  <c r="AW62" i="21"/>
  <c r="AT62" i="21"/>
  <c r="AS62" i="21"/>
  <c r="AR62" i="21"/>
  <c r="AQ62" i="21"/>
  <c r="AP62" i="21"/>
  <c r="AO62" i="21"/>
  <c r="AN62" i="21"/>
  <c r="AM62" i="21"/>
  <c r="AL62" i="21"/>
  <c r="AJ62" i="21"/>
  <c r="AI62" i="21"/>
  <c r="AB62" i="21"/>
  <c r="AA62" i="21"/>
  <c r="Z62" i="21"/>
  <c r="Y62" i="21"/>
  <c r="X62" i="21"/>
  <c r="W62" i="21"/>
  <c r="V62" i="21"/>
  <c r="U62" i="21"/>
  <c r="T62" i="21"/>
  <c r="M62" i="21"/>
  <c r="L62" i="21"/>
  <c r="K62" i="21"/>
  <c r="J62" i="21"/>
  <c r="BB62" i="21" s="1"/>
  <c r="I62" i="21"/>
  <c r="BA62" i="21" s="1"/>
  <c r="H62" i="21"/>
  <c r="AZ62" i="21" s="1"/>
  <c r="F62" i="21"/>
  <c r="AX62" i="21" s="1"/>
  <c r="AW61" i="21"/>
  <c r="AT61" i="21"/>
  <c r="AS61" i="21"/>
  <c r="AR61" i="21"/>
  <c r="AQ61" i="21"/>
  <c r="AP61" i="21"/>
  <c r="AO61" i="21"/>
  <c r="AN61" i="21"/>
  <c r="AM61" i="21"/>
  <c r="AL61" i="21"/>
  <c r="AJ61" i="21"/>
  <c r="AI61" i="21"/>
  <c r="AB61" i="21"/>
  <c r="AA61" i="21"/>
  <c r="Z61" i="21"/>
  <c r="Y61" i="21"/>
  <c r="X61" i="21"/>
  <c r="W61" i="21"/>
  <c r="V61" i="21"/>
  <c r="U61" i="21"/>
  <c r="T61" i="21"/>
  <c r="M61" i="21"/>
  <c r="L61" i="21"/>
  <c r="K61" i="21"/>
  <c r="J61" i="21"/>
  <c r="BB61" i="21" s="1"/>
  <c r="I61" i="21"/>
  <c r="BA61" i="21" s="1"/>
  <c r="H61" i="21"/>
  <c r="AZ61" i="21" s="1"/>
  <c r="F61" i="21"/>
  <c r="AX61" i="21" s="1"/>
  <c r="AW60" i="21"/>
  <c r="AT60" i="21"/>
  <c r="AS60" i="21"/>
  <c r="AR60" i="21"/>
  <c r="AQ60" i="21"/>
  <c r="AP60" i="21"/>
  <c r="AO60" i="21"/>
  <c r="AN60" i="21"/>
  <c r="AM60" i="21"/>
  <c r="AL60" i="21"/>
  <c r="AJ60" i="21"/>
  <c r="AI60" i="21"/>
  <c r="AB60" i="21"/>
  <c r="AA60" i="21"/>
  <c r="Z60" i="21"/>
  <c r="Y60" i="21"/>
  <c r="X60" i="21"/>
  <c r="W60" i="21"/>
  <c r="V60" i="21"/>
  <c r="U60" i="21"/>
  <c r="T60" i="21"/>
  <c r="M60" i="21"/>
  <c r="L60" i="21"/>
  <c r="K60" i="21"/>
  <c r="J60" i="21"/>
  <c r="BB60" i="21" s="1"/>
  <c r="I60" i="21"/>
  <c r="BA60" i="21" s="1"/>
  <c r="H60" i="21"/>
  <c r="AZ60" i="21" s="1"/>
  <c r="F60" i="21"/>
  <c r="AX60" i="21" s="1"/>
  <c r="AW59" i="21"/>
  <c r="AT59" i="21"/>
  <c r="AS59" i="21"/>
  <c r="AR59" i="21"/>
  <c r="AQ59" i="21"/>
  <c r="AP59" i="21"/>
  <c r="AO59" i="21"/>
  <c r="AN59" i="21"/>
  <c r="AM59" i="21"/>
  <c r="AL59" i="21"/>
  <c r="AJ59" i="21"/>
  <c r="AI59" i="21"/>
  <c r="AB59" i="21"/>
  <c r="AA59" i="21"/>
  <c r="Z59" i="21"/>
  <c r="Y59" i="21"/>
  <c r="X59" i="21"/>
  <c r="W59" i="21"/>
  <c r="V59" i="21"/>
  <c r="U59" i="21"/>
  <c r="T59" i="21"/>
  <c r="M59" i="21"/>
  <c r="L59" i="21"/>
  <c r="K59" i="21"/>
  <c r="J59" i="21"/>
  <c r="BB59" i="21" s="1"/>
  <c r="I59" i="21"/>
  <c r="BA59" i="21" s="1"/>
  <c r="H59" i="21"/>
  <c r="AZ59" i="21" s="1"/>
  <c r="F59" i="21"/>
  <c r="AX59" i="21" s="1"/>
  <c r="AW58" i="21"/>
  <c r="AT58" i="21"/>
  <c r="AS58" i="21"/>
  <c r="AR58" i="21"/>
  <c r="AQ58" i="21"/>
  <c r="AP58" i="21"/>
  <c r="AO58" i="21"/>
  <c r="AN58" i="21"/>
  <c r="AM58" i="21"/>
  <c r="AL58" i="21"/>
  <c r="AJ58" i="21"/>
  <c r="AI58" i="21"/>
  <c r="AB58" i="21"/>
  <c r="AA58" i="21"/>
  <c r="Z58" i="21"/>
  <c r="Y58" i="21"/>
  <c r="X58" i="21"/>
  <c r="W58" i="21"/>
  <c r="V58" i="21"/>
  <c r="U58" i="21"/>
  <c r="T58" i="21"/>
  <c r="M58" i="21"/>
  <c r="L58" i="21"/>
  <c r="K58" i="21"/>
  <c r="J58" i="21"/>
  <c r="BB58" i="21" s="1"/>
  <c r="I58" i="21"/>
  <c r="BA58" i="21" s="1"/>
  <c r="H58" i="21"/>
  <c r="AZ58" i="21" s="1"/>
  <c r="F58" i="21"/>
  <c r="AX58" i="21" s="1"/>
  <c r="AW57" i="21"/>
  <c r="AT57" i="21"/>
  <c r="AS57" i="21"/>
  <c r="AR57" i="21"/>
  <c r="AQ57" i="21"/>
  <c r="AP57" i="21"/>
  <c r="AO57" i="21"/>
  <c r="AN57" i="21"/>
  <c r="AM57" i="21"/>
  <c r="AL57" i="21"/>
  <c r="AJ57" i="21"/>
  <c r="AI57" i="21"/>
  <c r="AB57" i="21"/>
  <c r="AA57" i="21"/>
  <c r="Z57" i="21"/>
  <c r="Y57" i="21"/>
  <c r="X57" i="21"/>
  <c r="W57" i="21"/>
  <c r="V57" i="21"/>
  <c r="U57" i="21"/>
  <c r="T57" i="21"/>
  <c r="M57" i="21"/>
  <c r="L57" i="21"/>
  <c r="K57" i="21"/>
  <c r="J57" i="21"/>
  <c r="BB57" i="21" s="1"/>
  <c r="I57" i="21"/>
  <c r="BA57" i="21" s="1"/>
  <c r="H57" i="21"/>
  <c r="AZ57" i="21" s="1"/>
  <c r="F57" i="21"/>
  <c r="AX57" i="21" s="1"/>
  <c r="AW56" i="21"/>
  <c r="AT56" i="21"/>
  <c r="AS56" i="21"/>
  <c r="AR56" i="21"/>
  <c r="AQ56" i="21"/>
  <c r="AP56" i="21"/>
  <c r="AO56" i="21"/>
  <c r="AN56" i="21"/>
  <c r="AM56" i="21"/>
  <c r="AL56" i="21"/>
  <c r="AJ56" i="21"/>
  <c r="AI56" i="21"/>
  <c r="AB56" i="21"/>
  <c r="AA56" i="21"/>
  <c r="Z56" i="21"/>
  <c r="Y56" i="21"/>
  <c r="X56" i="21"/>
  <c r="W56" i="21"/>
  <c r="V56" i="21"/>
  <c r="U56" i="21"/>
  <c r="T56" i="21"/>
  <c r="M56" i="21"/>
  <c r="L56" i="21"/>
  <c r="K56" i="21"/>
  <c r="J56" i="21"/>
  <c r="BB56" i="21" s="1"/>
  <c r="I56" i="21"/>
  <c r="BA56" i="21" s="1"/>
  <c r="H56" i="21"/>
  <c r="AZ56" i="21" s="1"/>
  <c r="F56" i="21"/>
  <c r="AX56" i="21" s="1"/>
  <c r="AW55" i="21"/>
  <c r="AT55" i="21"/>
  <c r="AS55" i="21"/>
  <c r="AR55" i="21"/>
  <c r="AQ55" i="21"/>
  <c r="AP55" i="21"/>
  <c r="AO55" i="21"/>
  <c r="AN55" i="21"/>
  <c r="AM55" i="21"/>
  <c r="AL55" i="21"/>
  <c r="AJ55" i="21"/>
  <c r="AI55" i="21"/>
  <c r="AB55" i="21"/>
  <c r="AA55" i="21"/>
  <c r="Z55" i="21"/>
  <c r="Y55" i="21"/>
  <c r="X55" i="21"/>
  <c r="W55" i="21"/>
  <c r="V55" i="21"/>
  <c r="U55" i="21"/>
  <c r="T55" i="21"/>
  <c r="M55" i="21"/>
  <c r="L55" i="21"/>
  <c r="K55" i="21"/>
  <c r="J55" i="21"/>
  <c r="BB55" i="21" s="1"/>
  <c r="I55" i="21"/>
  <c r="BA55" i="21" s="1"/>
  <c r="H55" i="21"/>
  <c r="AZ55" i="21" s="1"/>
  <c r="F55" i="21"/>
  <c r="AX55" i="21" s="1"/>
  <c r="AW54" i="21"/>
  <c r="AT54" i="21"/>
  <c r="AS54" i="21"/>
  <c r="AR54" i="21"/>
  <c r="AQ54" i="21"/>
  <c r="AP54" i="21"/>
  <c r="AO54" i="21"/>
  <c r="AN54" i="21"/>
  <c r="AM54" i="21"/>
  <c r="AL54" i="21"/>
  <c r="AJ54" i="21"/>
  <c r="AI54" i="21"/>
  <c r="AB54" i="21"/>
  <c r="AA54" i="21"/>
  <c r="Z54" i="21"/>
  <c r="Y54" i="21"/>
  <c r="X54" i="21"/>
  <c r="W54" i="21"/>
  <c r="V54" i="21"/>
  <c r="U54" i="21"/>
  <c r="T54" i="21"/>
  <c r="M54" i="21"/>
  <c r="L54" i="21"/>
  <c r="K54" i="21"/>
  <c r="J54" i="21"/>
  <c r="BB54" i="21" s="1"/>
  <c r="I54" i="21"/>
  <c r="BA54" i="21" s="1"/>
  <c r="H54" i="21"/>
  <c r="AZ54" i="21" s="1"/>
  <c r="F54" i="21"/>
  <c r="AX54" i="21" s="1"/>
  <c r="AW53" i="21"/>
  <c r="AT53" i="21"/>
  <c r="AS53" i="21"/>
  <c r="AR53" i="21"/>
  <c r="AQ53" i="21"/>
  <c r="AP53" i="21"/>
  <c r="AO53" i="21"/>
  <c r="AN53" i="21"/>
  <c r="AM53" i="21"/>
  <c r="AL53" i="21"/>
  <c r="AJ53" i="21"/>
  <c r="AI53" i="21"/>
  <c r="AB53" i="21"/>
  <c r="AA53" i="21"/>
  <c r="Z53" i="21"/>
  <c r="Y53" i="21"/>
  <c r="X53" i="21"/>
  <c r="W53" i="21"/>
  <c r="V53" i="21"/>
  <c r="U53" i="21"/>
  <c r="T53" i="21"/>
  <c r="M53" i="21"/>
  <c r="L53" i="21"/>
  <c r="K53" i="21"/>
  <c r="J53" i="21"/>
  <c r="BB53" i="21" s="1"/>
  <c r="I53" i="21"/>
  <c r="BA53" i="21" s="1"/>
  <c r="H53" i="21"/>
  <c r="AZ53" i="21" s="1"/>
  <c r="F53" i="21"/>
  <c r="AX53" i="21" s="1"/>
  <c r="AW52" i="21"/>
  <c r="AT52" i="21"/>
  <c r="AS52" i="21"/>
  <c r="AR52" i="21"/>
  <c r="AQ52" i="21"/>
  <c r="AP52" i="21"/>
  <c r="AO52" i="21"/>
  <c r="AN52" i="21"/>
  <c r="AM52" i="21"/>
  <c r="AL52" i="21"/>
  <c r="AJ52" i="21"/>
  <c r="AI52" i="21"/>
  <c r="AB52" i="21"/>
  <c r="AA52" i="21"/>
  <c r="Z52" i="21"/>
  <c r="Y52" i="21"/>
  <c r="X52" i="21"/>
  <c r="W52" i="21"/>
  <c r="V52" i="21"/>
  <c r="U52" i="21"/>
  <c r="T52" i="21"/>
  <c r="M52" i="21"/>
  <c r="L52" i="21"/>
  <c r="K52" i="21"/>
  <c r="J52" i="21"/>
  <c r="BB52" i="21" s="1"/>
  <c r="I52" i="21"/>
  <c r="BA52" i="21" s="1"/>
  <c r="H52" i="21"/>
  <c r="AZ52" i="21" s="1"/>
  <c r="F52" i="21"/>
  <c r="AX52" i="21" s="1"/>
  <c r="AW51" i="21"/>
  <c r="AT51" i="21"/>
  <c r="AS51" i="21"/>
  <c r="AR51" i="21"/>
  <c r="AQ51" i="21"/>
  <c r="AP51" i="21"/>
  <c r="AO51" i="21"/>
  <c r="AN51" i="21"/>
  <c r="AM51" i="21"/>
  <c r="AL51" i="21"/>
  <c r="AJ51" i="21"/>
  <c r="AI51" i="21"/>
  <c r="AB51" i="21"/>
  <c r="AA51" i="21"/>
  <c r="Z51" i="21"/>
  <c r="Y51" i="21"/>
  <c r="X51" i="21"/>
  <c r="W51" i="21"/>
  <c r="V51" i="21"/>
  <c r="U51" i="21"/>
  <c r="T51" i="21"/>
  <c r="M51" i="21"/>
  <c r="L51" i="21"/>
  <c r="K51" i="21"/>
  <c r="J51" i="21"/>
  <c r="BB51" i="21" s="1"/>
  <c r="I51" i="21"/>
  <c r="BA51" i="21" s="1"/>
  <c r="H51" i="21"/>
  <c r="AZ51" i="21" s="1"/>
  <c r="F51" i="21"/>
  <c r="AX51" i="21" s="1"/>
  <c r="AW50" i="21"/>
  <c r="AT50" i="21"/>
  <c r="AS50" i="21"/>
  <c r="AR50" i="21"/>
  <c r="AQ50" i="21"/>
  <c r="AP50" i="21"/>
  <c r="AO50" i="21"/>
  <c r="AN50" i="21"/>
  <c r="AM50" i="21"/>
  <c r="AL50" i="21"/>
  <c r="AJ50" i="21"/>
  <c r="AI50" i="21"/>
  <c r="AB50" i="21"/>
  <c r="AA50" i="21"/>
  <c r="Z50" i="21"/>
  <c r="Y50" i="21"/>
  <c r="X50" i="21"/>
  <c r="W50" i="21"/>
  <c r="V50" i="21"/>
  <c r="U50" i="21"/>
  <c r="T50" i="21"/>
  <c r="M50" i="21"/>
  <c r="L50" i="21"/>
  <c r="K50" i="21"/>
  <c r="J50" i="21"/>
  <c r="BB50" i="21" s="1"/>
  <c r="I50" i="21"/>
  <c r="BA50" i="21" s="1"/>
  <c r="H50" i="21"/>
  <c r="AZ50" i="21" s="1"/>
  <c r="F50" i="21"/>
  <c r="AX50" i="21" s="1"/>
  <c r="AW49" i="21"/>
  <c r="AT49" i="21"/>
  <c r="AS49" i="21"/>
  <c r="AR49" i="21"/>
  <c r="AQ49" i="21"/>
  <c r="AP49" i="21"/>
  <c r="AO49" i="21"/>
  <c r="AN49" i="21"/>
  <c r="AM49" i="21"/>
  <c r="AL49" i="21"/>
  <c r="AJ49" i="21"/>
  <c r="AI49" i="21"/>
  <c r="AB49" i="21"/>
  <c r="AA49" i="21"/>
  <c r="Z49" i="21"/>
  <c r="Y49" i="21"/>
  <c r="X49" i="21"/>
  <c r="W49" i="21"/>
  <c r="V49" i="21"/>
  <c r="U49" i="21"/>
  <c r="T49" i="21"/>
  <c r="M49" i="21"/>
  <c r="L49" i="21"/>
  <c r="K49" i="21"/>
  <c r="J49" i="21"/>
  <c r="BB49" i="21" s="1"/>
  <c r="I49" i="21"/>
  <c r="BA49" i="21" s="1"/>
  <c r="H49" i="21"/>
  <c r="AZ49" i="21" s="1"/>
  <c r="F49" i="21"/>
  <c r="AX49" i="21" s="1"/>
  <c r="AW48" i="21"/>
  <c r="AT48" i="21"/>
  <c r="AS48" i="21"/>
  <c r="AR48" i="21"/>
  <c r="AQ48" i="21"/>
  <c r="AP48" i="21"/>
  <c r="AO48" i="21"/>
  <c r="AN48" i="21"/>
  <c r="AM48" i="21"/>
  <c r="AL48" i="21"/>
  <c r="AJ48" i="21"/>
  <c r="AI48" i="21"/>
  <c r="AB48" i="21"/>
  <c r="AA48" i="21"/>
  <c r="Z48" i="21"/>
  <c r="Y48" i="21"/>
  <c r="X48" i="21"/>
  <c r="W48" i="21"/>
  <c r="V48" i="21"/>
  <c r="U48" i="21"/>
  <c r="T48" i="21"/>
  <c r="M48" i="21"/>
  <c r="L48" i="21"/>
  <c r="K48" i="21"/>
  <c r="J48" i="21"/>
  <c r="BB48" i="21" s="1"/>
  <c r="I48" i="21"/>
  <c r="BA48" i="21" s="1"/>
  <c r="H48" i="21"/>
  <c r="AZ48" i="21" s="1"/>
  <c r="F48" i="21"/>
  <c r="AX48" i="21" s="1"/>
  <c r="AW47" i="21"/>
  <c r="AT47" i="21"/>
  <c r="AS47" i="21"/>
  <c r="AR47" i="21"/>
  <c r="AQ47" i="21"/>
  <c r="AP47" i="21"/>
  <c r="AO47" i="21"/>
  <c r="AN47" i="21"/>
  <c r="AM47" i="21"/>
  <c r="AL47" i="21"/>
  <c r="AJ47" i="21"/>
  <c r="AI47" i="21"/>
  <c r="AB47" i="21"/>
  <c r="AA47" i="21"/>
  <c r="Z47" i="21"/>
  <c r="Y47" i="21"/>
  <c r="X47" i="21"/>
  <c r="W47" i="21"/>
  <c r="V47" i="21"/>
  <c r="U47" i="21"/>
  <c r="T47" i="21"/>
  <c r="M47" i="21"/>
  <c r="L47" i="21"/>
  <c r="K47" i="21"/>
  <c r="J47" i="21"/>
  <c r="BB47" i="21" s="1"/>
  <c r="I47" i="21"/>
  <c r="BA47" i="21" s="1"/>
  <c r="H47" i="21"/>
  <c r="AZ47" i="21" s="1"/>
  <c r="F47" i="21"/>
  <c r="AX47" i="21" s="1"/>
  <c r="AW46" i="21"/>
  <c r="AT46" i="21"/>
  <c r="AS46" i="21"/>
  <c r="AR46" i="21"/>
  <c r="AQ46" i="21"/>
  <c r="AP46" i="21"/>
  <c r="AO46" i="21"/>
  <c r="AN46" i="21"/>
  <c r="AM46" i="21"/>
  <c r="AL46" i="21"/>
  <c r="AJ46" i="21"/>
  <c r="AI46" i="21"/>
  <c r="AB46" i="21"/>
  <c r="AA46" i="21"/>
  <c r="Z46" i="21"/>
  <c r="Y46" i="21"/>
  <c r="X46" i="21"/>
  <c r="W46" i="21"/>
  <c r="V46" i="21"/>
  <c r="U46" i="21"/>
  <c r="T46" i="21"/>
  <c r="M46" i="21"/>
  <c r="L46" i="21"/>
  <c r="K46" i="21"/>
  <c r="J46" i="21"/>
  <c r="BB46" i="21" s="1"/>
  <c r="I46" i="21"/>
  <c r="BA46" i="21" s="1"/>
  <c r="H46" i="21"/>
  <c r="AZ46" i="21" s="1"/>
  <c r="F46" i="21"/>
  <c r="AX46" i="21" s="1"/>
  <c r="AW45" i="21"/>
  <c r="AT45" i="21"/>
  <c r="AS45" i="21"/>
  <c r="AR45" i="21"/>
  <c r="AQ45" i="21"/>
  <c r="AP45" i="21"/>
  <c r="AO45" i="21"/>
  <c r="AN45" i="21"/>
  <c r="AM45" i="21"/>
  <c r="AL45" i="21"/>
  <c r="AJ45" i="21"/>
  <c r="AI45" i="21"/>
  <c r="AB45" i="21"/>
  <c r="AA45" i="21"/>
  <c r="Z45" i="21"/>
  <c r="Y45" i="21"/>
  <c r="X45" i="21"/>
  <c r="W45" i="21"/>
  <c r="V45" i="21"/>
  <c r="U45" i="21"/>
  <c r="T45" i="21"/>
  <c r="M45" i="21"/>
  <c r="L45" i="21"/>
  <c r="K45" i="21"/>
  <c r="J45" i="21"/>
  <c r="BB45" i="21" s="1"/>
  <c r="I45" i="21"/>
  <c r="BA45" i="21" s="1"/>
  <c r="H45" i="21"/>
  <c r="AZ45" i="21" s="1"/>
  <c r="F45" i="21"/>
  <c r="AX45" i="21" s="1"/>
  <c r="AW44" i="21"/>
  <c r="AT44" i="21"/>
  <c r="AS44" i="21"/>
  <c r="AR44" i="21"/>
  <c r="AQ44" i="21"/>
  <c r="AP44" i="21"/>
  <c r="AO44" i="21"/>
  <c r="AN44" i="21"/>
  <c r="AM44" i="21"/>
  <c r="AL44" i="21"/>
  <c r="AJ44" i="21"/>
  <c r="AI44" i="21"/>
  <c r="AB44" i="21"/>
  <c r="AA44" i="21"/>
  <c r="Z44" i="21"/>
  <c r="Y44" i="21"/>
  <c r="X44" i="21"/>
  <c r="W44" i="21"/>
  <c r="V44" i="21"/>
  <c r="U44" i="21"/>
  <c r="T44" i="21"/>
  <c r="M44" i="21"/>
  <c r="L44" i="21"/>
  <c r="K44" i="21"/>
  <c r="J44" i="21"/>
  <c r="BB44" i="21" s="1"/>
  <c r="I44" i="21"/>
  <c r="BA44" i="21" s="1"/>
  <c r="H44" i="21"/>
  <c r="AZ44" i="21" s="1"/>
  <c r="F44" i="21"/>
  <c r="AX44" i="21" s="1"/>
  <c r="AW43" i="21"/>
  <c r="AT43" i="21"/>
  <c r="AS43" i="21"/>
  <c r="AR43" i="21"/>
  <c r="AQ43" i="21"/>
  <c r="AP43" i="21"/>
  <c r="AO43" i="21"/>
  <c r="AN43" i="21"/>
  <c r="AM43" i="21"/>
  <c r="AL43" i="21"/>
  <c r="AJ43" i="21"/>
  <c r="AI43" i="21"/>
  <c r="AB43" i="21"/>
  <c r="AA43" i="21"/>
  <c r="Z43" i="21"/>
  <c r="Y43" i="21"/>
  <c r="X43" i="21"/>
  <c r="W43" i="21"/>
  <c r="V43" i="21"/>
  <c r="U43" i="21"/>
  <c r="T43" i="21"/>
  <c r="M43" i="21"/>
  <c r="L43" i="21"/>
  <c r="K43" i="21"/>
  <c r="J43" i="21"/>
  <c r="BB43" i="21" s="1"/>
  <c r="I43" i="21"/>
  <c r="BA43" i="21" s="1"/>
  <c r="H43" i="21"/>
  <c r="AZ43" i="21" s="1"/>
  <c r="F43" i="21"/>
  <c r="AX43" i="21" s="1"/>
  <c r="AW42" i="21"/>
  <c r="AT42" i="21"/>
  <c r="AS42" i="21"/>
  <c r="AR42" i="21"/>
  <c r="AQ42" i="21"/>
  <c r="AP42" i="21"/>
  <c r="AO42" i="21"/>
  <c r="AN42" i="21"/>
  <c r="AM42" i="21"/>
  <c r="AL42" i="21"/>
  <c r="AJ42" i="21"/>
  <c r="AI42" i="21"/>
  <c r="AB42" i="21"/>
  <c r="AA42" i="21"/>
  <c r="Z42" i="21"/>
  <c r="Y42" i="21"/>
  <c r="X42" i="21"/>
  <c r="W42" i="21"/>
  <c r="V42" i="21"/>
  <c r="U42" i="21"/>
  <c r="T42" i="21"/>
  <c r="M42" i="21"/>
  <c r="L42" i="21"/>
  <c r="K42" i="21"/>
  <c r="J42" i="21"/>
  <c r="BB42" i="21" s="1"/>
  <c r="I42" i="21"/>
  <c r="BA42" i="21" s="1"/>
  <c r="H42" i="21"/>
  <c r="AZ42" i="21" s="1"/>
  <c r="F42" i="21"/>
  <c r="AX42" i="21" s="1"/>
  <c r="AW41" i="21"/>
  <c r="AT41" i="21"/>
  <c r="AS41" i="21"/>
  <c r="AR41" i="21"/>
  <c r="AQ41" i="21"/>
  <c r="AP41" i="21"/>
  <c r="AO41" i="21"/>
  <c r="AN41" i="21"/>
  <c r="AM41" i="21"/>
  <c r="AL41" i="21"/>
  <c r="AJ41" i="21"/>
  <c r="AI41" i="21"/>
  <c r="AB41" i="21"/>
  <c r="AA41" i="21"/>
  <c r="Z41" i="21"/>
  <c r="Y41" i="21"/>
  <c r="X41" i="21"/>
  <c r="W41" i="21"/>
  <c r="V41" i="21"/>
  <c r="U41" i="21"/>
  <c r="T41" i="21"/>
  <c r="M41" i="21"/>
  <c r="L41" i="21"/>
  <c r="K41" i="21"/>
  <c r="J41" i="21"/>
  <c r="BB41" i="21" s="1"/>
  <c r="I41" i="21"/>
  <c r="BA41" i="21" s="1"/>
  <c r="H41" i="21"/>
  <c r="AZ41" i="21" s="1"/>
  <c r="F41" i="21"/>
  <c r="AX41" i="21" s="1"/>
  <c r="AW40" i="21"/>
  <c r="AT40" i="21"/>
  <c r="AS40" i="21"/>
  <c r="AR40" i="21"/>
  <c r="AQ40" i="21"/>
  <c r="AP40" i="21"/>
  <c r="AO40" i="21"/>
  <c r="AN40" i="21"/>
  <c r="AM40" i="21"/>
  <c r="AL40" i="21"/>
  <c r="AJ40" i="21"/>
  <c r="AI40" i="21"/>
  <c r="AB40" i="21"/>
  <c r="AA40" i="21"/>
  <c r="Z40" i="21"/>
  <c r="Y40" i="21"/>
  <c r="X40" i="21"/>
  <c r="W40" i="21"/>
  <c r="V40" i="21"/>
  <c r="U40" i="21"/>
  <c r="T40" i="21"/>
  <c r="M40" i="21"/>
  <c r="L40" i="21"/>
  <c r="K40" i="21"/>
  <c r="J40" i="21"/>
  <c r="BB40" i="21" s="1"/>
  <c r="I40" i="21"/>
  <c r="BA40" i="21" s="1"/>
  <c r="H40" i="21"/>
  <c r="AZ40" i="21" s="1"/>
  <c r="F40" i="21"/>
  <c r="AX40" i="21" s="1"/>
  <c r="AW39" i="21"/>
  <c r="AT39" i="21"/>
  <c r="AS39" i="21"/>
  <c r="AR39" i="21"/>
  <c r="AQ39" i="21"/>
  <c r="AP39" i="21"/>
  <c r="AO39" i="21"/>
  <c r="AN39" i="21"/>
  <c r="AM39" i="21"/>
  <c r="AL39" i="21"/>
  <c r="AJ39" i="21"/>
  <c r="AI39" i="21"/>
  <c r="AB39" i="21"/>
  <c r="AA39" i="21"/>
  <c r="Z39" i="21"/>
  <c r="Y39" i="21"/>
  <c r="X39" i="21"/>
  <c r="W39" i="21"/>
  <c r="V39" i="21"/>
  <c r="U39" i="21"/>
  <c r="T39" i="21"/>
  <c r="M39" i="21"/>
  <c r="L39" i="21"/>
  <c r="K39" i="21"/>
  <c r="J39" i="21"/>
  <c r="BB39" i="21" s="1"/>
  <c r="I39" i="21"/>
  <c r="BA39" i="21" s="1"/>
  <c r="H39" i="21"/>
  <c r="AZ39" i="21" s="1"/>
  <c r="F39" i="21"/>
  <c r="AX39" i="21" s="1"/>
  <c r="AW38" i="21"/>
  <c r="AT38" i="21"/>
  <c r="AS38" i="21"/>
  <c r="AR38" i="21"/>
  <c r="AQ38" i="21"/>
  <c r="AP38" i="21"/>
  <c r="AO38" i="21"/>
  <c r="AN38" i="21"/>
  <c r="AM38" i="21"/>
  <c r="AL38" i="21"/>
  <c r="AJ38" i="21"/>
  <c r="AI38" i="21"/>
  <c r="AB38" i="21"/>
  <c r="AA38" i="21"/>
  <c r="Z38" i="21"/>
  <c r="Y38" i="21"/>
  <c r="X38" i="21"/>
  <c r="W38" i="21"/>
  <c r="V38" i="21"/>
  <c r="U38" i="21"/>
  <c r="T38" i="21"/>
  <c r="M38" i="21"/>
  <c r="L38" i="21"/>
  <c r="K38" i="21"/>
  <c r="J38" i="21"/>
  <c r="BB38" i="21" s="1"/>
  <c r="I38" i="21"/>
  <c r="BA38" i="21" s="1"/>
  <c r="H38" i="21"/>
  <c r="AZ38" i="21" s="1"/>
  <c r="F38" i="21"/>
  <c r="AX38" i="21" s="1"/>
  <c r="AW37" i="21"/>
  <c r="AT37" i="21"/>
  <c r="AS37" i="21"/>
  <c r="AR37" i="21"/>
  <c r="AQ37" i="21"/>
  <c r="AP37" i="21"/>
  <c r="AO37" i="21"/>
  <c r="AN37" i="21"/>
  <c r="AM37" i="21"/>
  <c r="AL37" i="21"/>
  <c r="AJ37" i="21"/>
  <c r="AI37" i="21"/>
  <c r="AB37" i="21"/>
  <c r="AA37" i="21"/>
  <c r="Z37" i="21"/>
  <c r="Y37" i="21"/>
  <c r="X37" i="21"/>
  <c r="W37" i="21"/>
  <c r="V37" i="21"/>
  <c r="U37" i="21"/>
  <c r="T37" i="21"/>
  <c r="M37" i="21"/>
  <c r="L37" i="21"/>
  <c r="K37" i="21"/>
  <c r="J37" i="21"/>
  <c r="BB37" i="21" s="1"/>
  <c r="I37" i="21"/>
  <c r="BA37" i="21" s="1"/>
  <c r="H37" i="21"/>
  <c r="AZ37" i="21" s="1"/>
  <c r="F37" i="21"/>
  <c r="AX37" i="21" s="1"/>
  <c r="AW36" i="21"/>
  <c r="AT36" i="21"/>
  <c r="AS36" i="21"/>
  <c r="AR36" i="21"/>
  <c r="AQ36" i="21"/>
  <c r="AP36" i="21"/>
  <c r="AO36" i="21"/>
  <c r="AN36" i="21"/>
  <c r="AM36" i="21"/>
  <c r="AL36" i="21"/>
  <c r="AJ36" i="21"/>
  <c r="AI36" i="21"/>
  <c r="AB36" i="21"/>
  <c r="AA36" i="21"/>
  <c r="Z36" i="21"/>
  <c r="Y36" i="21"/>
  <c r="X36" i="21"/>
  <c r="W36" i="21"/>
  <c r="V36" i="21"/>
  <c r="U36" i="21"/>
  <c r="T36" i="21"/>
  <c r="M36" i="21"/>
  <c r="L36" i="21"/>
  <c r="K36" i="21"/>
  <c r="J36" i="21"/>
  <c r="BB36" i="21" s="1"/>
  <c r="I36" i="21"/>
  <c r="BA36" i="21" s="1"/>
  <c r="H36" i="21"/>
  <c r="AZ36" i="21" s="1"/>
  <c r="F36" i="21"/>
  <c r="AX36" i="21" s="1"/>
  <c r="AW35" i="21"/>
  <c r="AT35" i="21"/>
  <c r="AS35" i="21"/>
  <c r="AR35" i="21"/>
  <c r="AQ35" i="21"/>
  <c r="AP35" i="21"/>
  <c r="AO35" i="21"/>
  <c r="AN35" i="21"/>
  <c r="AM35" i="21"/>
  <c r="AL35" i="21"/>
  <c r="AJ35" i="21"/>
  <c r="AI35" i="21"/>
  <c r="AB35" i="21"/>
  <c r="AA35" i="21"/>
  <c r="Z35" i="21"/>
  <c r="Y35" i="21"/>
  <c r="X35" i="21"/>
  <c r="W35" i="21"/>
  <c r="V35" i="21"/>
  <c r="U35" i="21"/>
  <c r="T35" i="21"/>
  <c r="M35" i="21"/>
  <c r="L35" i="21"/>
  <c r="K35" i="21"/>
  <c r="J35" i="21"/>
  <c r="BB35" i="21" s="1"/>
  <c r="I35" i="21"/>
  <c r="BA35" i="21" s="1"/>
  <c r="H35" i="21"/>
  <c r="AZ35" i="21" s="1"/>
  <c r="F35" i="21"/>
  <c r="AX35" i="21" s="1"/>
  <c r="AW34" i="21"/>
  <c r="AT34" i="21"/>
  <c r="AS34" i="21"/>
  <c r="AR34" i="21"/>
  <c r="AQ34" i="21"/>
  <c r="AP34" i="21"/>
  <c r="AO34" i="21"/>
  <c r="AN34" i="21"/>
  <c r="AM34" i="21"/>
  <c r="AL34" i="21"/>
  <c r="AJ34" i="21"/>
  <c r="AI34" i="21"/>
  <c r="AB34" i="21"/>
  <c r="AA34" i="21"/>
  <c r="Z34" i="21"/>
  <c r="Y34" i="21"/>
  <c r="X34" i="21"/>
  <c r="W34" i="21"/>
  <c r="V34" i="21"/>
  <c r="U34" i="21"/>
  <c r="T34" i="21"/>
  <c r="M34" i="21"/>
  <c r="L34" i="21"/>
  <c r="K34" i="21"/>
  <c r="J34" i="21"/>
  <c r="BB34" i="21" s="1"/>
  <c r="I34" i="21"/>
  <c r="BA34" i="21" s="1"/>
  <c r="H34" i="21"/>
  <c r="AZ34" i="21" s="1"/>
  <c r="F34" i="21"/>
  <c r="AX34" i="21" s="1"/>
  <c r="AW33" i="21"/>
  <c r="AT33" i="21"/>
  <c r="AS33" i="21"/>
  <c r="AR33" i="21"/>
  <c r="AQ33" i="21"/>
  <c r="AP33" i="21"/>
  <c r="AO33" i="21"/>
  <c r="AN33" i="21"/>
  <c r="AM33" i="21"/>
  <c r="AL33" i="21"/>
  <c r="AJ33" i="21"/>
  <c r="AI33" i="21"/>
  <c r="AB33" i="21"/>
  <c r="AA33" i="21"/>
  <c r="Z33" i="21"/>
  <c r="Y33" i="21"/>
  <c r="X33" i="21"/>
  <c r="W33" i="21"/>
  <c r="V33" i="21"/>
  <c r="U33" i="21"/>
  <c r="T33" i="21"/>
  <c r="M33" i="21"/>
  <c r="L33" i="21"/>
  <c r="K33" i="21"/>
  <c r="J33" i="21"/>
  <c r="BB33" i="21" s="1"/>
  <c r="I33" i="21"/>
  <c r="BA33" i="21" s="1"/>
  <c r="H33" i="21"/>
  <c r="AZ33" i="21" s="1"/>
  <c r="F33" i="21"/>
  <c r="AX33" i="21" s="1"/>
  <c r="AW32" i="21"/>
  <c r="AT32" i="21"/>
  <c r="AS32" i="21"/>
  <c r="AR32" i="21"/>
  <c r="AQ32" i="21"/>
  <c r="AP32" i="21"/>
  <c r="AO32" i="21"/>
  <c r="AN32" i="21"/>
  <c r="AM32" i="21"/>
  <c r="AL32" i="21"/>
  <c r="AJ32" i="21"/>
  <c r="AI32" i="21"/>
  <c r="AB32" i="21"/>
  <c r="AA32" i="21"/>
  <c r="Z32" i="21"/>
  <c r="Y32" i="21"/>
  <c r="X32" i="21"/>
  <c r="W32" i="21"/>
  <c r="V32" i="21"/>
  <c r="U32" i="21"/>
  <c r="T32" i="21"/>
  <c r="M32" i="21"/>
  <c r="L32" i="21"/>
  <c r="K32" i="21"/>
  <c r="J32" i="21"/>
  <c r="BB32" i="21" s="1"/>
  <c r="I32" i="21"/>
  <c r="BA32" i="21" s="1"/>
  <c r="H32" i="21"/>
  <c r="AZ32" i="21" s="1"/>
  <c r="F32" i="21"/>
  <c r="AX32" i="21" s="1"/>
  <c r="AW31" i="21"/>
  <c r="AT31" i="21"/>
  <c r="AS31" i="21"/>
  <c r="AR31" i="21"/>
  <c r="AQ31" i="21"/>
  <c r="AP31" i="21"/>
  <c r="AO31" i="21"/>
  <c r="AN31" i="21"/>
  <c r="AM31" i="21"/>
  <c r="AL31" i="21"/>
  <c r="AJ31" i="21"/>
  <c r="AI31" i="21"/>
  <c r="AB31" i="21"/>
  <c r="AA31" i="21"/>
  <c r="Z31" i="21"/>
  <c r="Y31" i="21"/>
  <c r="X31" i="21"/>
  <c r="W31" i="21"/>
  <c r="V31" i="21"/>
  <c r="U31" i="21"/>
  <c r="T31" i="21"/>
  <c r="M31" i="21"/>
  <c r="L31" i="21"/>
  <c r="K31" i="21"/>
  <c r="J31" i="21"/>
  <c r="BB31" i="21" s="1"/>
  <c r="I31" i="21"/>
  <c r="BA31" i="21" s="1"/>
  <c r="H31" i="21"/>
  <c r="AZ31" i="21" s="1"/>
  <c r="F31" i="21"/>
  <c r="AX31" i="21" s="1"/>
  <c r="AW30" i="21"/>
  <c r="AT30" i="21"/>
  <c r="AS30" i="21"/>
  <c r="AR30" i="21"/>
  <c r="AQ30" i="21"/>
  <c r="AP30" i="21"/>
  <c r="AO30" i="21"/>
  <c r="AN30" i="21"/>
  <c r="AM30" i="21"/>
  <c r="AL30" i="21"/>
  <c r="AJ30" i="21"/>
  <c r="AI30" i="21"/>
  <c r="AB30" i="21"/>
  <c r="AA30" i="21"/>
  <c r="Z30" i="21"/>
  <c r="Y30" i="21"/>
  <c r="X30" i="21"/>
  <c r="W30" i="21"/>
  <c r="V30" i="21"/>
  <c r="U30" i="21"/>
  <c r="T30" i="21"/>
  <c r="M30" i="21"/>
  <c r="L30" i="21"/>
  <c r="K30" i="21"/>
  <c r="J30" i="21"/>
  <c r="BB30" i="21" s="1"/>
  <c r="I30" i="21"/>
  <c r="BA30" i="21" s="1"/>
  <c r="H30" i="21"/>
  <c r="AZ30" i="21" s="1"/>
  <c r="F30" i="21"/>
  <c r="AX30" i="21" s="1"/>
  <c r="AW29" i="21"/>
  <c r="AT29" i="21"/>
  <c r="AS29" i="21"/>
  <c r="AR29" i="21"/>
  <c r="AQ29" i="21"/>
  <c r="AP29" i="21"/>
  <c r="AO29" i="21"/>
  <c r="AN29" i="21"/>
  <c r="AM29" i="21"/>
  <c r="AL29" i="21"/>
  <c r="AJ29" i="21"/>
  <c r="AI29" i="21"/>
  <c r="AB29" i="21"/>
  <c r="AA29" i="21"/>
  <c r="Z29" i="21"/>
  <c r="Y29" i="21"/>
  <c r="X29" i="21"/>
  <c r="W29" i="21"/>
  <c r="V29" i="21"/>
  <c r="U29" i="21"/>
  <c r="T29" i="21"/>
  <c r="M29" i="21"/>
  <c r="L29" i="21"/>
  <c r="K29" i="21"/>
  <c r="J29" i="21"/>
  <c r="BB29" i="21" s="1"/>
  <c r="I29" i="21"/>
  <c r="BA29" i="21" s="1"/>
  <c r="H29" i="21"/>
  <c r="AZ29" i="21" s="1"/>
  <c r="F29" i="21"/>
  <c r="AX29" i="21" s="1"/>
  <c r="AW28" i="21"/>
  <c r="AT28" i="21"/>
  <c r="AS28" i="21"/>
  <c r="AR28" i="21"/>
  <c r="AQ28" i="21"/>
  <c r="AP28" i="21"/>
  <c r="AO28" i="21"/>
  <c r="AN28" i="21"/>
  <c r="AM28" i="21"/>
  <c r="AL28" i="21"/>
  <c r="AJ28" i="21"/>
  <c r="AI28" i="21"/>
  <c r="AB28" i="21"/>
  <c r="AA28" i="21"/>
  <c r="Z28" i="21"/>
  <c r="Y28" i="21"/>
  <c r="X28" i="21"/>
  <c r="W28" i="21"/>
  <c r="V28" i="21"/>
  <c r="U28" i="21"/>
  <c r="T28" i="21"/>
  <c r="M28" i="21"/>
  <c r="L28" i="21"/>
  <c r="K28" i="21"/>
  <c r="J28" i="21"/>
  <c r="BB28" i="21" s="1"/>
  <c r="I28" i="21"/>
  <c r="BA28" i="21" s="1"/>
  <c r="H28" i="21"/>
  <c r="AZ28" i="21" s="1"/>
  <c r="F28" i="21"/>
  <c r="AX28" i="21" s="1"/>
  <c r="AW27" i="21"/>
  <c r="AT27" i="21"/>
  <c r="AS27" i="21"/>
  <c r="AR27" i="21"/>
  <c r="AQ27" i="21"/>
  <c r="AP27" i="21"/>
  <c r="AO27" i="21"/>
  <c r="AN27" i="21"/>
  <c r="AM27" i="21"/>
  <c r="AL27" i="21"/>
  <c r="AJ27" i="21"/>
  <c r="AI27" i="21"/>
  <c r="AB27" i="21"/>
  <c r="AA27" i="21"/>
  <c r="Z27" i="21"/>
  <c r="Y27" i="21"/>
  <c r="X27" i="21"/>
  <c r="W27" i="21"/>
  <c r="V27" i="21"/>
  <c r="U27" i="21"/>
  <c r="T27" i="21"/>
  <c r="M27" i="21"/>
  <c r="L27" i="21"/>
  <c r="K27" i="21"/>
  <c r="J27" i="21"/>
  <c r="BB27" i="21" s="1"/>
  <c r="I27" i="21"/>
  <c r="BA27" i="21" s="1"/>
  <c r="H27" i="21"/>
  <c r="AZ27" i="21" s="1"/>
  <c r="F27" i="21"/>
  <c r="AX27" i="21" s="1"/>
  <c r="AW26" i="21"/>
  <c r="AT26" i="21"/>
  <c r="AS26" i="21"/>
  <c r="AR26" i="21"/>
  <c r="AQ26" i="21"/>
  <c r="AP26" i="21"/>
  <c r="AO26" i="21"/>
  <c r="AN26" i="21"/>
  <c r="AM26" i="21"/>
  <c r="AL26" i="21"/>
  <c r="AJ26" i="21"/>
  <c r="AI26" i="21"/>
  <c r="AB26" i="21"/>
  <c r="AA26" i="21"/>
  <c r="Z26" i="21"/>
  <c r="Y26" i="21"/>
  <c r="X26" i="21"/>
  <c r="W26" i="21"/>
  <c r="V26" i="21"/>
  <c r="U26" i="21"/>
  <c r="T26" i="21"/>
  <c r="M26" i="21"/>
  <c r="L26" i="21"/>
  <c r="K26" i="21"/>
  <c r="J26" i="21"/>
  <c r="BB26" i="21" s="1"/>
  <c r="I26" i="21"/>
  <c r="BA26" i="21" s="1"/>
  <c r="H26" i="21"/>
  <c r="AZ26" i="21" s="1"/>
  <c r="F26" i="21"/>
  <c r="AX26" i="21" s="1"/>
  <c r="AW25" i="21"/>
  <c r="AT25" i="21"/>
  <c r="AS25" i="21"/>
  <c r="AR25" i="21"/>
  <c r="AQ25" i="21"/>
  <c r="AP25" i="21"/>
  <c r="AO25" i="21"/>
  <c r="AN25" i="21"/>
  <c r="AM25" i="21"/>
  <c r="AL25" i="21"/>
  <c r="AJ25" i="21"/>
  <c r="AI25" i="21"/>
  <c r="AB25" i="21"/>
  <c r="AA25" i="21"/>
  <c r="Z25" i="21"/>
  <c r="Y25" i="21"/>
  <c r="X25" i="21"/>
  <c r="W25" i="21"/>
  <c r="V25" i="21"/>
  <c r="U25" i="21"/>
  <c r="T25" i="21"/>
  <c r="M25" i="21"/>
  <c r="L25" i="21"/>
  <c r="K25" i="21"/>
  <c r="J25" i="21"/>
  <c r="BB25" i="21" s="1"/>
  <c r="I25" i="21"/>
  <c r="BA25" i="21" s="1"/>
  <c r="H25" i="21"/>
  <c r="AZ25" i="21" s="1"/>
  <c r="F25" i="21"/>
  <c r="AX25" i="21" s="1"/>
  <c r="AW24" i="21"/>
  <c r="AT24" i="21"/>
  <c r="AS24" i="21"/>
  <c r="AR24" i="21"/>
  <c r="AQ24" i="21"/>
  <c r="AP24" i="21"/>
  <c r="AO24" i="21"/>
  <c r="AN24" i="21"/>
  <c r="AM24" i="21"/>
  <c r="AL24" i="21"/>
  <c r="AJ24" i="21"/>
  <c r="AI24" i="21"/>
  <c r="AB24" i="21"/>
  <c r="AA24" i="21"/>
  <c r="Z24" i="21"/>
  <c r="Y24" i="21"/>
  <c r="X24" i="21"/>
  <c r="W24" i="21"/>
  <c r="V24" i="21"/>
  <c r="U24" i="21"/>
  <c r="T24" i="21"/>
  <c r="M24" i="21"/>
  <c r="L24" i="21"/>
  <c r="K24" i="21"/>
  <c r="J24" i="21"/>
  <c r="BB24" i="21" s="1"/>
  <c r="I24" i="21"/>
  <c r="BA24" i="21" s="1"/>
  <c r="H24" i="21"/>
  <c r="AZ24" i="21" s="1"/>
  <c r="F24" i="21"/>
  <c r="AX24" i="21" s="1"/>
  <c r="AW23" i="21"/>
  <c r="AT23" i="21"/>
  <c r="AS23" i="21"/>
  <c r="AR23" i="21"/>
  <c r="AQ23" i="21"/>
  <c r="AP23" i="21"/>
  <c r="AO23" i="21"/>
  <c r="AN23" i="21"/>
  <c r="AM23" i="21"/>
  <c r="AL23" i="21"/>
  <c r="AJ23" i="21"/>
  <c r="AI23" i="21"/>
  <c r="AB23" i="21"/>
  <c r="AA23" i="21"/>
  <c r="Z23" i="21"/>
  <c r="Y23" i="21"/>
  <c r="X23" i="21"/>
  <c r="W23" i="21"/>
  <c r="V23" i="21"/>
  <c r="U23" i="21"/>
  <c r="T23" i="21"/>
  <c r="M23" i="21"/>
  <c r="L23" i="21"/>
  <c r="K23" i="21"/>
  <c r="J23" i="21"/>
  <c r="BB23" i="21" s="1"/>
  <c r="I23" i="21"/>
  <c r="BA23" i="21" s="1"/>
  <c r="H23" i="21"/>
  <c r="AZ23" i="21" s="1"/>
  <c r="F23" i="21"/>
  <c r="AX23" i="21" s="1"/>
  <c r="AW22" i="21"/>
  <c r="AT22" i="21"/>
  <c r="AS22" i="21"/>
  <c r="AR22" i="21"/>
  <c r="AQ22" i="21"/>
  <c r="AP22" i="21"/>
  <c r="AO22" i="21"/>
  <c r="AN22" i="21"/>
  <c r="AM22" i="21"/>
  <c r="AL22" i="21"/>
  <c r="AJ22" i="21"/>
  <c r="AI22" i="21"/>
  <c r="AB22" i="21"/>
  <c r="AA22" i="21"/>
  <c r="Z22" i="21"/>
  <c r="Y22" i="21"/>
  <c r="X22" i="21"/>
  <c r="W22" i="21"/>
  <c r="V22" i="21"/>
  <c r="U22" i="21"/>
  <c r="T22" i="21"/>
  <c r="M22" i="21"/>
  <c r="L22" i="21"/>
  <c r="K22" i="21"/>
  <c r="J22" i="21"/>
  <c r="BB22" i="21" s="1"/>
  <c r="I22" i="21"/>
  <c r="BA22" i="21" s="1"/>
  <c r="H22" i="21"/>
  <c r="AZ22" i="21" s="1"/>
  <c r="F22" i="21"/>
  <c r="AX22" i="21" s="1"/>
  <c r="AW21" i="21"/>
  <c r="AT21" i="21"/>
  <c r="AS21" i="21"/>
  <c r="AR21" i="21"/>
  <c r="AQ21" i="21"/>
  <c r="AP21" i="21"/>
  <c r="AO21" i="21"/>
  <c r="AN21" i="21"/>
  <c r="AM21" i="21"/>
  <c r="AL21" i="21"/>
  <c r="AJ21" i="21"/>
  <c r="AI21" i="21"/>
  <c r="AB21" i="21"/>
  <c r="AA21" i="21"/>
  <c r="Z21" i="21"/>
  <c r="Y21" i="21"/>
  <c r="X21" i="21"/>
  <c r="W21" i="21"/>
  <c r="V21" i="21"/>
  <c r="U21" i="21"/>
  <c r="T21" i="21"/>
  <c r="M21" i="21"/>
  <c r="L21" i="21"/>
  <c r="K21" i="21"/>
  <c r="J21" i="21"/>
  <c r="BB21" i="21" s="1"/>
  <c r="I21" i="21"/>
  <c r="BA21" i="21" s="1"/>
  <c r="H21" i="21"/>
  <c r="AZ21" i="21" s="1"/>
  <c r="F21" i="21"/>
  <c r="AX21" i="21" s="1"/>
  <c r="AW20" i="21"/>
  <c r="AT20" i="21"/>
  <c r="AS20" i="21"/>
  <c r="AR20" i="21"/>
  <c r="AQ20" i="21"/>
  <c r="AP20" i="21"/>
  <c r="AO20" i="21"/>
  <c r="AN20" i="21"/>
  <c r="AM20" i="21"/>
  <c r="AL20" i="21"/>
  <c r="AJ20" i="21"/>
  <c r="AI20" i="21"/>
  <c r="AB20" i="21"/>
  <c r="AA20" i="21"/>
  <c r="Z20" i="21"/>
  <c r="Y20" i="21"/>
  <c r="X20" i="21"/>
  <c r="W20" i="21"/>
  <c r="V20" i="21"/>
  <c r="U20" i="21"/>
  <c r="T20" i="21"/>
  <c r="M20" i="21"/>
  <c r="L20" i="21"/>
  <c r="K20" i="21"/>
  <c r="J20" i="21"/>
  <c r="BB20" i="21" s="1"/>
  <c r="I20" i="21"/>
  <c r="BA20" i="21" s="1"/>
  <c r="H20" i="21"/>
  <c r="AZ20" i="21" s="1"/>
  <c r="F20" i="21"/>
  <c r="AX20" i="21" s="1"/>
  <c r="AW19" i="21"/>
  <c r="AT19" i="21"/>
  <c r="AS19" i="21"/>
  <c r="AR19" i="21"/>
  <c r="AQ19" i="21"/>
  <c r="AP19" i="21"/>
  <c r="AO19" i="21"/>
  <c r="AN19" i="21"/>
  <c r="AM19" i="21"/>
  <c r="AL19" i="21"/>
  <c r="AJ19" i="21"/>
  <c r="AI19" i="21"/>
  <c r="AB19" i="21"/>
  <c r="AA19" i="21"/>
  <c r="Z19" i="21"/>
  <c r="Y19" i="21"/>
  <c r="X19" i="21"/>
  <c r="W19" i="21"/>
  <c r="V19" i="21"/>
  <c r="U19" i="21"/>
  <c r="T19" i="21"/>
  <c r="M19" i="21"/>
  <c r="L19" i="21"/>
  <c r="K19" i="21"/>
  <c r="J19" i="21"/>
  <c r="BB19" i="21" s="1"/>
  <c r="I19" i="21"/>
  <c r="BA19" i="21" s="1"/>
  <c r="H19" i="21"/>
  <c r="AZ19" i="21" s="1"/>
  <c r="F19" i="21"/>
  <c r="AX19" i="21" s="1"/>
  <c r="AW18" i="21"/>
  <c r="AT18" i="21"/>
  <c r="AS18" i="21"/>
  <c r="AR18" i="21"/>
  <c r="AQ18" i="21"/>
  <c r="AP18" i="21"/>
  <c r="AO18" i="21"/>
  <c r="AN18" i="21"/>
  <c r="AM18" i="21"/>
  <c r="AL18" i="21"/>
  <c r="AJ18" i="21"/>
  <c r="AI18" i="21"/>
  <c r="AB18" i="21"/>
  <c r="AA18" i="21"/>
  <c r="Z18" i="21"/>
  <c r="Y18" i="21"/>
  <c r="X18" i="21"/>
  <c r="W18" i="21"/>
  <c r="V18" i="21"/>
  <c r="U18" i="21"/>
  <c r="T18" i="21"/>
  <c r="M18" i="21"/>
  <c r="L18" i="21"/>
  <c r="K18" i="21"/>
  <c r="J18" i="21"/>
  <c r="BB18" i="21" s="1"/>
  <c r="I18" i="21"/>
  <c r="BA18" i="21" s="1"/>
  <c r="H18" i="21"/>
  <c r="AZ18" i="21" s="1"/>
  <c r="F18" i="21"/>
  <c r="AX18" i="21" s="1"/>
  <c r="AW17" i="21"/>
  <c r="AT17" i="21"/>
  <c r="AS17" i="21"/>
  <c r="AR17" i="21"/>
  <c r="AQ17" i="21"/>
  <c r="AP17" i="21"/>
  <c r="AO17" i="21"/>
  <c r="AN17" i="21"/>
  <c r="AM17" i="21"/>
  <c r="AL17" i="21"/>
  <c r="AJ17" i="21"/>
  <c r="AI17" i="21"/>
  <c r="AB17" i="21"/>
  <c r="AA17" i="21"/>
  <c r="Z17" i="21"/>
  <c r="Y17" i="21"/>
  <c r="X17" i="21"/>
  <c r="W17" i="21"/>
  <c r="V17" i="21"/>
  <c r="U17" i="21"/>
  <c r="T17" i="21"/>
  <c r="M17" i="21"/>
  <c r="L17" i="21"/>
  <c r="K17" i="21"/>
  <c r="J17" i="21"/>
  <c r="BB17" i="21" s="1"/>
  <c r="I17" i="21"/>
  <c r="BA17" i="21" s="1"/>
  <c r="H17" i="21"/>
  <c r="AZ17" i="21" s="1"/>
  <c r="F17" i="21"/>
  <c r="AX17" i="21" s="1"/>
  <c r="AW16" i="21"/>
  <c r="AT16" i="21"/>
  <c r="AS16" i="21"/>
  <c r="AR16" i="21"/>
  <c r="AQ16" i="21"/>
  <c r="AP16" i="21"/>
  <c r="AO16" i="21"/>
  <c r="AN16" i="21"/>
  <c r="AM16" i="21"/>
  <c r="AL16" i="21"/>
  <c r="AJ16" i="21"/>
  <c r="AI16" i="21"/>
  <c r="AB16" i="21"/>
  <c r="AA16" i="21"/>
  <c r="Z16" i="21"/>
  <c r="Y16" i="21"/>
  <c r="X16" i="21"/>
  <c r="W16" i="21"/>
  <c r="V16" i="21"/>
  <c r="U16" i="21"/>
  <c r="T16" i="21"/>
  <c r="M16" i="21"/>
  <c r="L16" i="21"/>
  <c r="K16" i="21"/>
  <c r="J16" i="21"/>
  <c r="BB16" i="21" s="1"/>
  <c r="I16" i="21"/>
  <c r="BA16" i="21" s="1"/>
  <c r="H16" i="21"/>
  <c r="AZ16" i="21" s="1"/>
  <c r="F16" i="21"/>
  <c r="AX16" i="21" s="1"/>
  <c r="AW15" i="21"/>
  <c r="AT15" i="21"/>
  <c r="AS15" i="21"/>
  <c r="AR15" i="21"/>
  <c r="AQ15" i="21"/>
  <c r="AP15" i="21"/>
  <c r="AO15" i="21"/>
  <c r="AN15" i="21"/>
  <c r="AM15" i="21"/>
  <c r="AL15" i="21"/>
  <c r="AJ15" i="21"/>
  <c r="AI15" i="21"/>
  <c r="AB15" i="21"/>
  <c r="AA15" i="21"/>
  <c r="Z15" i="21"/>
  <c r="Y15" i="21"/>
  <c r="X15" i="21"/>
  <c r="W15" i="21"/>
  <c r="V15" i="21"/>
  <c r="U15" i="21"/>
  <c r="T15" i="21"/>
  <c r="M15" i="21"/>
  <c r="L15" i="21"/>
  <c r="K15" i="21"/>
  <c r="J15" i="21"/>
  <c r="BB15" i="21" s="1"/>
  <c r="I15" i="21"/>
  <c r="BA15" i="21" s="1"/>
  <c r="H15" i="21"/>
  <c r="AZ15" i="21" s="1"/>
  <c r="F15" i="21"/>
  <c r="AX15" i="21" s="1"/>
  <c r="AW14" i="21"/>
  <c r="AT14" i="21"/>
  <c r="AS14" i="21"/>
  <c r="AR14" i="21"/>
  <c r="AQ14" i="21"/>
  <c r="AP14" i="21"/>
  <c r="AO14" i="21"/>
  <c r="AN14" i="21"/>
  <c r="AM14" i="21"/>
  <c r="AL14" i="21"/>
  <c r="AJ14" i="21"/>
  <c r="AI14" i="21"/>
  <c r="AB14" i="21"/>
  <c r="AA14" i="21"/>
  <c r="Z14" i="21"/>
  <c r="Y14" i="21"/>
  <c r="X14" i="21"/>
  <c r="W14" i="21"/>
  <c r="V14" i="21"/>
  <c r="U14" i="21"/>
  <c r="T14" i="21"/>
  <c r="M14" i="21"/>
  <c r="L14" i="21"/>
  <c r="K14" i="21"/>
  <c r="J14" i="21"/>
  <c r="BB14" i="21" s="1"/>
  <c r="I14" i="21"/>
  <c r="BA14" i="21" s="1"/>
  <c r="H14" i="21"/>
  <c r="AZ14" i="21" s="1"/>
  <c r="F14" i="21"/>
  <c r="AX14" i="21" s="1"/>
  <c r="AW13" i="21"/>
  <c r="AT13" i="21"/>
  <c r="AS13" i="21"/>
  <c r="AR13" i="21"/>
  <c r="AQ13" i="21"/>
  <c r="AP13" i="21"/>
  <c r="AO13" i="21"/>
  <c r="AN13" i="21"/>
  <c r="AM13" i="21"/>
  <c r="AL13" i="21"/>
  <c r="AJ13" i="21"/>
  <c r="AI13" i="21"/>
  <c r="AB13" i="21"/>
  <c r="AA13" i="21"/>
  <c r="Z13" i="21"/>
  <c r="Y13" i="21"/>
  <c r="X13" i="21"/>
  <c r="W13" i="21"/>
  <c r="V13" i="21"/>
  <c r="U13" i="21"/>
  <c r="T13" i="21"/>
  <c r="M13" i="21"/>
  <c r="L13" i="21"/>
  <c r="K13" i="21"/>
  <c r="J13" i="21"/>
  <c r="BB13" i="21" s="1"/>
  <c r="I13" i="21"/>
  <c r="BA13" i="21" s="1"/>
  <c r="H13" i="21"/>
  <c r="AZ13" i="21" s="1"/>
  <c r="F13" i="21"/>
  <c r="AX13" i="21" s="1"/>
  <c r="AW12" i="21"/>
  <c r="AT12" i="21"/>
  <c r="AS12" i="21"/>
  <c r="AR12" i="21"/>
  <c r="AQ12" i="21"/>
  <c r="AP12" i="21"/>
  <c r="AO12" i="21"/>
  <c r="AN12" i="21"/>
  <c r="AM12" i="21"/>
  <c r="AL12" i="21"/>
  <c r="AJ12" i="21"/>
  <c r="AI12" i="21"/>
  <c r="AB12" i="21"/>
  <c r="AA12" i="21"/>
  <c r="Z12" i="21"/>
  <c r="Y12" i="21"/>
  <c r="X12" i="21"/>
  <c r="W12" i="21"/>
  <c r="V12" i="21"/>
  <c r="U12" i="21"/>
  <c r="T12" i="21"/>
  <c r="M12" i="21"/>
  <c r="L12" i="21"/>
  <c r="K12" i="21"/>
  <c r="J12" i="21"/>
  <c r="BB12" i="21" s="1"/>
  <c r="I12" i="21"/>
  <c r="BA12" i="21" s="1"/>
  <c r="H12" i="21"/>
  <c r="AZ12" i="21" s="1"/>
  <c r="F12" i="21"/>
  <c r="AX12" i="21" s="1"/>
  <c r="AW11" i="21"/>
  <c r="AT11" i="21"/>
  <c r="AS11" i="21"/>
  <c r="AR11" i="21"/>
  <c r="AQ11" i="21"/>
  <c r="AP11" i="21"/>
  <c r="AO11" i="21"/>
  <c r="AN11" i="21"/>
  <c r="AM11" i="21"/>
  <c r="AL11" i="21"/>
  <c r="AJ11" i="21"/>
  <c r="AI11" i="21"/>
  <c r="AB11" i="21"/>
  <c r="AA11" i="21"/>
  <c r="Z11" i="21"/>
  <c r="Y11" i="21"/>
  <c r="X11" i="21"/>
  <c r="W11" i="21"/>
  <c r="V11" i="21"/>
  <c r="U11" i="21"/>
  <c r="T11" i="21"/>
  <c r="M11" i="21"/>
  <c r="L11" i="21"/>
  <c r="K11" i="21"/>
  <c r="J11" i="21"/>
  <c r="BB11" i="21" s="1"/>
  <c r="I11" i="21"/>
  <c r="BA11" i="21" s="1"/>
  <c r="H11" i="21"/>
  <c r="AZ11" i="21" s="1"/>
  <c r="F11" i="21"/>
  <c r="AX11" i="21" s="1"/>
  <c r="AW10" i="21"/>
  <c r="AT10" i="21"/>
  <c r="AS10" i="21"/>
  <c r="AR10" i="21"/>
  <c r="AQ10" i="21"/>
  <c r="AP10" i="21"/>
  <c r="AO10" i="21"/>
  <c r="AN10" i="21"/>
  <c r="AM10" i="21"/>
  <c r="AL10" i="21"/>
  <c r="AJ10" i="21"/>
  <c r="AI10" i="21"/>
  <c r="AB10" i="21"/>
  <c r="AA10" i="21"/>
  <c r="Z10" i="21"/>
  <c r="Y10" i="21"/>
  <c r="X10" i="21"/>
  <c r="W10" i="21"/>
  <c r="V10" i="21"/>
  <c r="U10" i="21"/>
  <c r="T10" i="21"/>
  <c r="M10" i="21"/>
  <c r="L10" i="21"/>
  <c r="K10" i="21"/>
  <c r="J10" i="21"/>
  <c r="BB10" i="21" s="1"/>
  <c r="I10" i="21"/>
  <c r="BA10" i="21" s="1"/>
  <c r="H10" i="21"/>
  <c r="AZ10" i="21" s="1"/>
  <c r="F10" i="21"/>
  <c r="AX10" i="21" s="1"/>
  <c r="AW9" i="21"/>
  <c r="AT9" i="21"/>
  <c r="AS9" i="21"/>
  <c r="AR9" i="21"/>
  <c r="AQ9" i="21"/>
  <c r="AP9" i="21"/>
  <c r="AO9" i="21"/>
  <c r="AN9" i="21"/>
  <c r="AM9" i="21"/>
  <c r="AL9" i="21"/>
  <c r="AJ9" i="21"/>
  <c r="AI9" i="21"/>
  <c r="AB9" i="21"/>
  <c r="AA9" i="21"/>
  <c r="Z9" i="21"/>
  <c r="Y9" i="21"/>
  <c r="X9" i="21"/>
  <c r="W9" i="21"/>
  <c r="V9" i="21"/>
  <c r="U9" i="21"/>
  <c r="T9" i="21"/>
  <c r="M9" i="21"/>
  <c r="L9" i="21"/>
  <c r="K9" i="21"/>
  <c r="J9" i="21"/>
  <c r="BB9" i="21" s="1"/>
  <c r="I9" i="21"/>
  <c r="BA9" i="21" s="1"/>
  <c r="H9" i="21"/>
  <c r="AZ9" i="21" s="1"/>
  <c r="F9" i="21"/>
  <c r="AX9" i="21" s="1"/>
  <c r="AW8" i="21"/>
  <c r="AT8" i="21"/>
  <c r="AS8" i="21"/>
  <c r="AR8" i="21"/>
  <c r="AQ8" i="21"/>
  <c r="AP8" i="21"/>
  <c r="AO8" i="21"/>
  <c r="AN8" i="21"/>
  <c r="AM8" i="21"/>
  <c r="AL8" i="21"/>
  <c r="AJ8" i="21"/>
  <c r="AI8" i="21"/>
  <c r="AB8" i="21"/>
  <c r="AA8" i="21"/>
  <c r="Z8" i="21"/>
  <c r="Y8" i="21"/>
  <c r="X8" i="21"/>
  <c r="W8" i="21"/>
  <c r="V8" i="21"/>
  <c r="U8" i="21"/>
  <c r="T8" i="21"/>
  <c r="M8" i="21"/>
  <c r="L8" i="21"/>
  <c r="K8" i="21"/>
  <c r="J8" i="21"/>
  <c r="BB8" i="21" s="1"/>
  <c r="I8" i="21"/>
  <c r="BA8" i="21" s="1"/>
  <c r="H8" i="21"/>
  <c r="AZ8" i="21" s="1"/>
  <c r="F8" i="21"/>
  <c r="AX8" i="21" s="1"/>
  <c r="AW7" i="21"/>
  <c r="AT7" i="21"/>
  <c r="AS7" i="21"/>
  <c r="AR7" i="21"/>
  <c r="AQ7" i="21"/>
  <c r="AP7" i="21"/>
  <c r="AO7" i="21"/>
  <c r="AN7" i="21"/>
  <c r="AM7" i="21"/>
  <c r="AL7" i="21"/>
  <c r="AJ7" i="21"/>
  <c r="AI7" i="21"/>
  <c r="AB7" i="21"/>
  <c r="AA7" i="21"/>
  <c r="Z7" i="21"/>
  <c r="Y7" i="21"/>
  <c r="X7" i="21"/>
  <c r="W7" i="21"/>
  <c r="V7" i="21"/>
  <c r="U7" i="21"/>
  <c r="T7" i="21"/>
  <c r="M7" i="21"/>
  <c r="L7" i="21"/>
  <c r="K7" i="21"/>
  <c r="J7" i="21"/>
  <c r="BB7" i="21" s="1"/>
  <c r="I7" i="21"/>
  <c r="BA7" i="21" s="1"/>
  <c r="H7" i="21"/>
  <c r="AZ7" i="21" s="1"/>
  <c r="F7" i="21"/>
  <c r="AX7" i="21" s="1"/>
  <c r="AW6" i="21"/>
  <c r="AT6" i="21"/>
  <c r="AS6" i="21"/>
  <c r="AR6" i="21"/>
  <c r="AQ6" i="21"/>
  <c r="AP6" i="21"/>
  <c r="AO6" i="21"/>
  <c r="AN6" i="21"/>
  <c r="AM6" i="21"/>
  <c r="AL6" i="21"/>
  <c r="AJ6" i="21"/>
  <c r="AI6" i="21"/>
  <c r="AB6" i="21"/>
  <c r="AA6" i="21"/>
  <c r="Z6" i="21"/>
  <c r="Y6" i="21"/>
  <c r="X6" i="21"/>
  <c r="W6" i="21"/>
  <c r="V6" i="21"/>
  <c r="U6" i="21"/>
  <c r="T6" i="21"/>
  <c r="M6" i="21"/>
  <c r="L6" i="21"/>
  <c r="K6" i="21"/>
  <c r="J6" i="21"/>
  <c r="BB6" i="21" s="1"/>
  <c r="I6" i="21"/>
  <c r="BA6" i="21" s="1"/>
  <c r="H6" i="21"/>
  <c r="AZ6" i="21" s="1"/>
  <c r="F6" i="21"/>
  <c r="AX6" i="21" s="1"/>
  <c r="AW5" i="21"/>
  <c r="AT5" i="21"/>
  <c r="AS5" i="21"/>
  <c r="AR5" i="21"/>
  <c r="AQ5" i="21"/>
  <c r="AP5" i="21"/>
  <c r="AO5" i="21"/>
  <c r="AN5" i="21"/>
  <c r="AM5" i="21"/>
  <c r="AL5" i="21"/>
  <c r="AJ5" i="21"/>
  <c r="AI5" i="21"/>
  <c r="AB5" i="21"/>
  <c r="AA5" i="21"/>
  <c r="Z5" i="21"/>
  <c r="Y5" i="21"/>
  <c r="X5" i="21"/>
  <c r="W5" i="21"/>
  <c r="V5" i="21"/>
  <c r="U5" i="21"/>
  <c r="T5" i="21"/>
  <c r="M5" i="21"/>
  <c r="L5" i="21"/>
  <c r="K5" i="21"/>
  <c r="J5" i="21"/>
  <c r="BB5" i="21" s="1"/>
  <c r="I5" i="21"/>
  <c r="BA5" i="21" s="1"/>
  <c r="H5" i="21"/>
  <c r="AZ5" i="21" s="1"/>
  <c r="F5" i="21"/>
  <c r="AX5" i="21" s="1"/>
  <c r="AW4" i="21"/>
  <c r="AT4" i="21"/>
  <c r="AS4" i="21"/>
  <c r="AR4" i="21"/>
  <c r="AQ4" i="21"/>
  <c r="AP4" i="21"/>
  <c r="AO4" i="21"/>
  <c r="AN4" i="21"/>
  <c r="AM4" i="21"/>
  <c r="AL4" i="21"/>
  <c r="AJ4" i="21"/>
  <c r="AI4" i="21"/>
  <c r="AB4" i="21"/>
  <c r="AA4" i="21"/>
  <c r="Z4" i="21"/>
  <c r="Y4" i="21"/>
  <c r="X4" i="21"/>
  <c r="W4" i="21"/>
  <c r="V4" i="21"/>
  <c r="U4" i="21"/>
  <c r="T4" i="21"/>
  <c r="M4" i="21"/>
  <c r="L4" i="21"/>
  <c r="K4" i="21"/>
  <c r="J4" i="21"/>
  <c r="BB4" i="21" s="1"/>
  <c r="I4" i="21"/>
  <c r="BA4" i="21" s="1"/>
  <c r="H4" i="21"/>
  <c r="AZ4" i="21" s="1"/>
  <c r="F4" i="21"/>
  <c r="AX4" i="21" s="1"/>
  <c r="AW3" i="21"/>
  <c r="AT3" i="21"/>
  <c r="AS3" i="21"/>
  <c r="AR3" i="21"/>
  <c r="AQ3" i="21"/>
  <c r="AP3" i="21"/>
  <c r="AO3" i="21"/>
  <c r="AN3" i="21"/>
  <c r="AM3" i="21"/>
  <c r="AL3" i="21"/>
  <c r="AJ3" i="21"/>
  <c r="AI3" i="21"/>
  <c r="AB3" i="21"/>
  <c r="AA3" i="21"/>
  <c r="Z3" i="21"/>
  <c r="Y3" i="21"/>
  <c r="X3" i="21"/>
  <c r="W3" i="21"/>
  <c r="V3" i="21"/>
  <c r="U3" i="21"/>
  <c r="T3" i="21"/>
  <c r="M3" i="21"/>
  <c r="L3" i="21"/>
  <c r="K3" i="21"/>
  <c r="J3" i="21"/>
  <c r="BB3" i="21" s="1"/>
  <c r="I3" i="21"/>
  <c r="BA3" i="21" s="1"/>
  <c r="H3" i="21"/>
  <c r="AZ3" i="21" s="1"/>
  <c r="F3" i="21"/>
  <c r="AX3" i="21" s="1"/>
  <c r="AW2" i="21"/>
  <c r="AT2" i="21"/>
  <c r="AS2" i="21"/>
  <c r="AR2" i="21"/>
  <c r="AQ2" i="21"/>
  <c r="AP2" i="21"/>
  <c r="AO2" i="21"/>
  <c r="AN2" i="21"/>
  <c r="AM2" i="21"/>
  <c r="AL2" i="21"/>
  <c r="AK2" i="21"/>
  <c r="AJ2" i="21"/>
  <c r="AI2" i="21"/>
  <c r="AB2" i="21"/>
  <c r="AA2" i="21"/>
  <c r="Z2" i="21"/>
  <c r="Y2" i="21"/>
  <c r="X2" i="21"/>
  <c r="W2" i="21"/>
  <c r="V2" i="21"/>
  <c r="U2" i="21"/>
  <c r="T2" i="21"/>
  <c r="M2" i="21"/>
  <c r="L2" i="21"/>
  <c r="K2" i="21"/>
  <c r="J2" i="21"/>
  <c r="BB2" i="21" s="1"/>
  <c r="I2" i="21"/>
  <c r="BA2" i="21" s="1"/>
  <c r="H2" i="21"/>
  <c r="AZ2" i="21" s="1"/>
  <c r="G2" i="21"/>
  <c r="AY2" i="21" s="1"/>
  <c r="F2" i="21"/>
  <c r="AX2" i="21" s="1"/>
  <c r="A2" i="20"/>
  <c r="A3" i="20"/>
  <c r="A4" i="20"/>
  <c r="A5" i="20"/>
  <c r="A6" i="20"/>
  <c r="A7" i="20"/>
  <c r="A8" i="20"/>
  <c r="A9" i="20"/>
  <c r="A10" i="20"/>
  <c r="A11" i="20"/>
  <c r="A12" i="20"/>
  <c r="A13" i="20"/>
  <c r="A14" i="20"/>
  <c r="A15" i="20"/>
  <c r="A16" i="20"/>
  <c r="A17" i="20"/>
  <c r="A18" i="20"/>
  <c r="A19" i="20"/>
  <c r="A20" i="20"/>
  <c r="A21" i="20"/>
  <c r="A22" i="20"/>
  <c r="A23" i="20"/>
  <c r="A24" i="20"/>
  <c r="A25" i="20"/>
  <c r="A26" i="20"/>
  <c r="A27" i="20"/>
  <c r="A28" i="20"/>
  <c r="A29" i="20"/>
  <c r="A30" i="20"/>
  <c r="A31" i="20"/>
  <c r="A32" i="20"/>
  <c r="A33" i="20"/>
  <c r="A34" i="20"/>
  <c r="A35" i="20"/>
  <c r="A36" i="20"/>
  <c r="A37" i="20"/>
  <c r="A38" i="20"/>
  <c r="A39" i="20"/>
  <c r="A40" i="20"/>
  <c r="A41" i="20"/>
  <c r="A42" i="20"/>
  <c r="A43" i="20"/>
  <c r="A44" i="20"/>
  <c r="A45" i="20"/>
  <c r="A46" i="20"/>
  <c r="A47" i="20"/>
  <c r="A48" i="20"/>
  <c r="A49" i="20"/>
  <c r="A50" i="20"/>
  <c r="A51" i="20"/>
  <c r="A52" i="20"/>
  <c r="A53" i="20"/>
  <c r="A54" i="20"/>
  <c r="A55" i="20"/>
  <c r="A56" i="20"/>
  <c r="A57" i="20"/>
  <c r="A58" i="20"/>
  <c r="A59" i="20"/>
  <c r="A60" i="20"/>
  <c r="A61" i="20"/>
  <c r="A62" i="20"/>
  <c r="A63" i="20"/>
  <c r="A64" i="20"/>
  <c r="A65" i="20"/>
  <c r="A66" i="20"/>
  <c r="A67" i="20"/>
  <c r="A68" i="20"/>
  <c r="A69" i="20"/>
  <c r="A70" i="20"/>
  <c r="A71" i="20"/>
  <c r="A72" i="20"/>
  <c r="A73" i="20"/>
  <c r="A74" i="20"/>
  <c r="A75" i="20"/>
  <c r="A76" i="20"/>
  <c r="A77" i="20"/>
  <c r="A78" i="20"/>
  <c r="A79" i="20"/>
  <c r="A80" i="20"/>
  <c r="A81" i="20"/>
  <c r="A82" i="20"/>
  <c r="A83" i="20"/>
  <c r="A84" i="20"/>
  <c r="A85" i="20"/>
  <c r="A86" i="20"/>
  <c r="A87" i="20"/>
  <c r="A88" i="20"/>
  <c r="A89" i="20"/>
  <c r="A90" i="20"/>
  <c r="A91" i="20"/>
  <c r="A92" i="20"/>
  <c r="A93" i="20"/>
  <c r="A94" i="20"/>
  <c r="A95" i="20"/>
  <c r="A96" i="20"/>
  <c r="A97" i="20"/>
  <c r="A98" i="20"/>
  <c r="A99" i="20"/>
  <c r="A100" i="20"/>
  <c r="A101" i="20"/>
  <c r="A102" i="20"/>
  <c r="A103" i="20"/>
  <c r="A104" i="20"/>
  <c r="A105" i="20"/>
  <c r="A106" i="20"/>
  <c r="A107" i="20"/>
  <c r="A108" i="20"/>
  <c r="A109" i="20"/>
  <c r="A110" i="20"/>
  <c r="A111" i="20"/>
  <c r="O2" i="20"/>
  <c r="O3" i="20"/>
  <c r="O4" i="20"/>
  <c r="O5" i="20"/>
  <c r="O6" i="20"/>
  <c r="O7" i="20"/>
  <c r="O8" i="20"/>
  <c r="O9" i="20"/>
  <c r="O10" i="20"/>
  <c r="O11" i="20"/>
  <c r="O12" i="20"/>
  <c r="O13" i="20"/>
  <c r="O14" i="20"/>
  <c r="O15" i="20"/>
  <c r="O16" i="20"/>
  <c r="O17" i="20"/>
  <c r="O18" i="20"/>
  <c r="O19" i="20"/>
  <c r="O20" i="20"/>
  <c r="O21" i="20"/>
  <c r="O22" i="20"/>
  <c r="O23" i="20"/>
  <c r="O24" i="20"/>
  <c r="O25" i="20"/>
  <c r="O26" i="20"/>
  <c r="O27" i="20"/>
  <c r="O28" i="20"/>
  <c r="O29" i="20"/>
  <c r="O30" i="20"/>
  <c r="O31" i="20"/>
  <c r="O32" i="20"/>
  <c r="O33" i="20"/>
  <c r="O34" i="20"/>
  <c r="O35" i="20"/>
  <c r="O36" i="20"/>
  <c r="O37" i="20"/>
  <c r="O38" i="20"/>
  <c r="O39" i="20"/>
  <c r="O40" i="20"/>
  <c r="O41" i="20"/>
  <c r="O42" i="20"/>
  <c r="O43" i="20"/>
  <c r="O44" i="20"/>
  <c r="O45" i="20"/>
  <c r="O46" i="20"/>
  <c r="O47" i="20"/>
  <c r="O48" i="20"/>
  <c r="O49" i="20"/>
  <c r="O50" i="20"/>
  <c r="O51" i="20"/>
  <c r="O52" i="20"/>
  <c r="O53" i="20"/>
  <c r="O54" i="20"/>
  <c r="O55" i="20"/>
  <c r="O56" i="20"/>
  <c r="O57" i="20"/>
  <c r="O58" i="20"/>
  <c r="O59" i="20"/>
  <c r="O60" i="20"/>
  <c r="O61" i="20"/>
  <c r="O62" i="20"/>
  <c r="O63" i="20"/>
  <c r="O64" i="20"/>
  <c r="O65" i="20"/>
  <c r="O66" i="20"/>
  <c r="O67" i="20"/>
  <c r="O68" i="20"/>
  <c r="O69" i="20"/>
  <c r="O70" i="20"/>
  <c r="O71" i="20"/>
  <c r="O72" i="20"/>
  <c r="O73" i="20"/>
  <c r="O74" i="20"/>
  <c r="O75" i="20"/>
  <c r="O76" i="20"/>
  <c r="O77" i="20"/>
  <c r="O78" i="20"/>
  <c r="O79" i="20"/>
  <c r="O80" i="20"/>
  <c r="O81" i="20"/>
  <c r="O82" i="20"/>
  <c r="O83" i="20"/>
  <c r="O84" i="20"/>
  <c r="O85" i="20"/>
  <c r="O86" i="20"/>
  <c r="O87" i="20"/>
  <c r="O88" i="20"/>
  <c r="O89" i="20"/>
  <c r="O90" i="20"/>
  <c r="O91" i="20"/>
  <c r="O92" i="20"/>
  <c r="O93" i="20"/>
  <c r="O94" i="20"/>
  <c r="O95" i="20"/>
  <c r="O96" i="20"/>
  <c r="O97" i="20"/>
  <c r="O98" i="20"/>
  <c r="O99" i="20"/>
  <c r="O100" i="20"/>
  <c r="O101" i="20"/>
  <c r="O102" i="20"/>
  <c r="O103" i="20"/>
  <c r="O104" i="20"/>
  <c r="O105" i="20"/>
  <c r="O106" i="20"/>
  <c r="O107" i="20"/>
  <c r="O108" i="20"/>
  <c r="O109" i="20"/>
  <c r="O110" i="20"/>
  <c r="O111" i="20"/>
  <c r="AD2" i="20"/>
  <c r="AD3" i="20"/>
  <c r="AD4" i="20"/>
  <c r="AD5" i="20"/>
  <c r="AD6" i="20"/>
  <c r="AD7" i="20"/>
  <c r="AD8" i="20"/>
  <c r="AD9" i="20"/>
  <c r="AD10" i="20"/>
  <c r="AD11" i="20"/>
  <c r="AD12" i="20"/>
  <c r="AD13" i="20"/>
  <c r="AD14" i="20"/>
  <c r="AD15" i="20"/>
  <c r="AD16" i="20"/>
  <c r="AD17" i="20"/>
  <c r="AD18" i="20"/>
  <c r="AD19" i="20"/>
  <c r="AD20" i="20"/>
  <c r="AD21" i="20"/>
  <c r="AD22" i="20"/>
  <c r="AD23" i="20"/>
  <c r="AD24" i="20"/>
  <c r="AD25" i="20"/>
  <c r="AD26" i="20"/>
  <c r="AD27" i="20"/>
  <c r="AD28" i="20"/>
  <c r="AD29" i="20"/>
  <c r="AD30" i="20"/>
  <c r="AD31" i="20"/>
  <c r="AD32" i="20"/>
  <c r="AD33" i="20"/>
  <c r="AD34" i="20"/>
  <c r="AD35" i="20"/>
  <c r="AD36" i="20"/>
  <c r="AD37" i="20"/>
  <c r="AD38" i="20"/>
  <c r="AD39" i="20"/>
  <c r="AD40" i="20"/>
  <c r="AD41" i="20"/>
  <c r="AD42" i="20"/>
  <c r="AD43" i="20"/>
  <c r="AD44" i="20"/>
  <c r="AD45" i="20"/>
  <c r="AD46" i="20"/>
  <c r="AD47" i="20"/>
  <c r="AD48" i="20"/>
  <c r="AD49" i="20"/>
  <c r="AD50" i="20"/>
  <c r="AD51" i="20"/>
  <c r="AD52" i="20"/>
  <c r="AD53" i="20"/>
  <c r="AD54" i="20"/>
  <c r="AD55" i="20"/>
  <c r="AD56" i="20"/>
  <c r="AD57" i="20"/>
  <c r="AD58" i="20"/>
  <c r="AD59" i="20"/>
  <c r="AD60" i="20"/>
  <c r="AD61" i="20"/>
  <c r="AD62" i="20"/>
  <c r="AD63" i="20"/>
  <c r="AD64" i="20"/>
  <c r="AD65" i="20"/>
  <c r="AD66" i="20"/>
  <c r="AD67" i="20"/>
  <c r="AD68" i="20"/>
  <c r="AD69" i="20"/>
  <c r="AD70" i="20"/>
  <c r="AD71" i="20"/>
  <c r="AD72" i="20"/>
  <c r="AD73" i="20"/>
  <c r="AD74" i="20"/>
  <c r="AD75" i="20"/>
  <c r="AD76" i="20"/>
  <c r="AD77" i="20"/>
  <c r="AD78" i="20"/>
  <c r="AD79" i="20"/>
  <c r="AD80" i="20"/>
  <c r="AD81" i="20"/>
  <c r="AD82" i="20"/>
  <c r="AD83" i="20"/>
  <c r="AD84" i="20"/>
  <c r="AD85" i="20"/>
  <c r="AD86" i="20"/>
  <c r="AD87" i="20"/>
  <c r="AD88" i="20"/>
  <c r="AD89" i="20"/>
  <c r="AD90" i="20"/>
  <c r="AD91" i="20"/>
  <c r="AD92" i="20"/>
  <c r="AD93" i="20"/>
  <c r="AD94" i="20"/>
  <c r="AD95" i="20"/>
  <c r="AD96" i="20"/>
  <c r="AD97" i="20"/>
  <c r="AD98" i="20"/>
  <c r="AD99" i="20"/>
  <c r="AD100" i="20"/>
  <c r="AD101" i="20"/>
  <c r="AD102" i="20"/>
  <c r="AD103" i="20"/>
  <c r="AD104" i="20"/>
  <c r="AD105" i="20"/>
  <c r="AD106" i="20"/>
  <c r="AD107" i="20"/>
  <c r="AD108" i="20"/>
  <c r="AD109" i="20"/>
  <c r="AD110" i="20"/>
  <c r="AD111" i="20"/>
  <c r="AV2" i="20"/>
  <c r="AV3" i="20"/>
  <c r="AV4" i="20"/>
  <c r="AV5" i="20"/>
  <c r="AV6" i="20"/>
  <c r="AV7" i="20"/>
  <c r="AV8" i="20"/>
  <c r="AV9" i="20"/>
  <c r="AV10" i="20"/>
  <c r="AV11" i="20"/>
  <c r="AV12" i="20"/>
  <c r="AV13" i="20"/>
  <c r="AV14" i="20"/>
  <c r="AV15" i="20"/>
  <c r="AV16" i="20"/>
  <c r="AV17" i="20"/>
  <c r="AV18" i="20"/>
  <c r="AV19" i="20"/>
  <c r="AV20" i="20"/>
  <c r="AV21" i="20"/>
  <c r="AV22" i="20"/>
  <c r="AV23" i="20"/>
  <c r="AV24" i="20"/>
  <c r="AV25" i="20"/>
  <c r="AV26" i="20"/>
  <c r="AV27" i="20"/>
  <c r="AV28" i="20"/>
  <c r="AV29" i="20"/>
  <c r="AV30" i="20"/>
  <c r="AV31" i="20"/>
  <c r="AV32" i="20"/>
  <c r="AV33" i="20"/>
  <c r="AV34" i="20"/>
  <c r="AV35" i="20"/>
  <c r="AV36" i="20"/>
  <c r="AV37" i="20"/>
  <c r="AV38" i="20"/>
  <c r="AV39" i="20"/>
  <c r="AV40" i="20"/>
  <c r="AV41" i="20"/>
  <c r="AV42" i="20"/>
  <c r="AV43" i="20"/>
  <c r="AV44" i="20"/>
  <c r="AV45" i="20"/>
  <c r="AV46" i="20"/>
  <c r="AV47" i="20"/>
  <c r="AV48" i="20"/>
  <c r="AV49" i="20"/>
  <c r="AV50" i="20"/>
  <c r="AV51" i="20"/>
  <c r="AV52" i="20"/>
  <c r="AV53" i="20"/>
  <c r="AV54" i="20"/>
  <c r="AV55" i="20"/>
  <c r="AV56" i="20"/>
  <c r="AV57" i="20"/>
  <c r="AV58" i="20"/>
  <c r="AV59" i="20"/>
  <c r="AV60" i="20"/>
  <c r="AV61" i="20"/>
  <c r="AV62" i="20"/>
  <c r="AV63" i="20"/>
  <c r="AV64" i="20"/>
  <c r="AV65" i="20"/>
  <c r="AV66" i="20"/>
  <c r="AV67" i="20"/>
  <c r="AV68" i="20"/>
  <c r="AV69" i="20"/>
  <c r="AV70" i="20"/>
  <c r="AV71" i="20"/>
  <c r="AV72" i="20"/>
  <c r="AV73" i="20"/>
  <c r="AV74" i="20"/>
  <c r="AV75" i="20"/>
  <c r="AV76" i="20"/>
  <c r="AV77" i="20"/>
  <c r="AV78" i="20"/>
  <c r="AV79" i="20"/>
  <c r="AV80" i="20"/>
  <c r="AV81" i="20"/>
  <c r="AV82" i="20"/>
  <c r="AV83" i="20"/>
  <c r="AV84" i="20"/>
  <c r="AV85" i="20"/>
  <c r="AV86" i="20"/>
  <c r="AV87" i="20"/>
  <c r="AV88" i="20"/>
  <c r="AV89" i="20"/>
  <c r="AV90" i="20"/>
  <c r="AV91" i="20"/>
  <c r="AV92" i="20"/>
  <c r="AV93" i="20"/>
  <c r="AV94" i="20"/>
  <c r="AV95" i="20"/>
  <c r="AV96" i="20"/>
  <c r="AV97" i="20"/>
  <c r="AV98" i="20"/>
  <c r="AV99" i="20"/>
  <c r="AV100" i="20"/>
  <c r="AV101" i="20"/>
  <c r="AV102" i="20"/>
  <c r="AV103" i="20"/>
  <c r="AV104" i="20"/>
  <c r="AV105" i="20"/>
  <c r="AV106" i="20"/>
  <c r="AV107" i="20"/>
  <c r="AV108" i="20"/>
  <c r="AV109" i="20"/>
  <c r="AV110" i="20"/>
  <c r="AV111" i="20"/>
  <c r="AW111" i="20"/>
  <c r="AT111" i="20"/>
  <c r="AS111" i="20"/>
  <c r="AR111" i="20"/>
  <c r="AQ111" i="20"/>
  <c r="AP111" i="20"/>
  <c r="AO111" i="20"/>
  <c r="AN111" i="20"/>
  <c r="AM111" i="20"/>
  <c r="AL111" i="20"/>
  <c r="AJ111" i="20"/>
  <c r="AI111" i="20"/>
  <c r="AB111" i="20"/>
  <c r="AA111" i="20"/>
  <c r="Z111" i="20"/>
  <c r="Y111" i="20"/>
  <c r="X111" i="20"/>
  <c r="W111" i="20"/>
  <c r="V111" i="20"/>
  <c r="U111" i="20"/>
  <c r="T111" i="20"/>
  <c r="M111" i="20"/>
  <c r="L111" i="20"/>
  <c r="K111" i="20"/>
  <c r="J111" i="20"/>
  <c r="BB111" i="20" s="1"/>
  <c r="I111" i="20"/>
  <c r="BA111" i="20" s="1"/>
  <c r="H111" i="20"/>
  <c r="AZ111" i="20" s="1"/>
  <c r="F111" i="20"/>
  <c r="AX111" i="20" s="1"/>
  <c r="AW110" i="20"/>
  <c r="AT110" i="20"/>
  <c r="AS110" i="20"/>
  <c r="AR110" i="20"/>
  <c r="AQ110" i="20"/>
  <c r="AP110" i="20"/>
  <c r="AO110" i="20"/>
  <c r="AN110" i="20"/>
  <c r="AM110" i="20"/>
  <c r="AL110" i="20"/>
  <c r="AJ110" i="20"/>
  <c r="AI110" i="20"/>
  <c r="AB110" i="20"/>
  <c r="AA110" i="20"/>
  <c r="Z110" i="20"/>
  <c r="Y110" i="20"/>
  <c r="X110" i="20"/>
  <c r="W110" i="20"/>
  <c r="V110" i="20"/>
  <c r="U110" i="20"/>
  <c r="T110" i="20"/>
  <c r="M110" i="20"/>
  <c r="L110" i="20"/>
  <c r="K110" i="20"/>
  <c r="J110" i="20"/>
  <c r="BB110" i="20" s="1"/>
  <c r="I110" i="20"/>
  <c r="BA110" i="20" s="1"/>
  <c r="H110" i="20"/>
  <c r="AZ110" i="20" s="1"/>
  <c r="F110" i="20"/>
  <c r="AX110" i="20" s="1"/>
  <c r="AW109" i="20"/>
  <c r="AT109" i="20"/>
  <c r="AS109" i="20"/>
  <c r="AR109" i="20"/>
  <c r="AQ109" i="20"/>
  <c r="AP109" i="20"/>
  <c r="AO109" i="20"/>
  <c r="AN109" i="20"/>
  <c r="AM109" i="20"/>
  <c r="AL109" i="20"/>
  <c r="AJ109" i="20"/>
  <c r="AI109" i="20"/>
  <c r="AB109" i="20"/>
  <c r="AA109" i="20"/>
  <c r="Z109" i="20"/>
  <c r="Y109" i="20"/>
  <c r="X109" i="20"/>
  <c r="W109" i="20"/>
  <c r="V109" i="20"/>
  <c r="U109" i="20"/>
  <c r="T109" i="20"/>
  <c r="M109" i="20"/>
  <c r="L109" i="20"/>
  <c r="K109" i="20"/>
  <c r="J109" i="20"/>
  <c r="BB109" i="20" s="1"/>
  <c r="I109" i="20"/>
  <c r="BA109" i="20" s="1"/>
  <c r="H109" i="20"/>
  <c r="AZ109" i="20" s="1"/>
  <c r="F109" i="20"/>
  <c r="AX109" i="20" s="1"/>
  <c r="AW108" i="20"/>
  <c r="AT108" i="20"/>
  <c r="AS108" i="20"/>
  <c r="AR108" i="20"/>
  <c r="AQ108" i="20"/>
  <c r="AP108" i="20"/>
  <c r="AO108" i="20"/>
  <c r="AN108" i="20"/>
  <c r="AM108" i="20"/>
  <c r="AL108" i="20"/>
  <c r="AJ108" i="20"/>
  <c r="AI108" i="20"/>
  <c r="AB108" i="20"/>
  <c r="AA108" i="20"/>
  <c r="Z108" i="20"/>
  <c r="Y108" i="20"/>
  <c r="X108" i="20"/>
  <c r="W108" i="20"/>
  <c r="V108" i="20"/>
  <c r="U108" i="20"/>
  <c r="T108" i="20"/>
  <c r="M108" i="20"/>
  <c r="L108" i="20"/>
  <c r="K108" i="20"/>
  <c r="J108" i="20"/>
  <c r="BB108" i="20" s="1"/>
  <c r="I108" i="20"/>
  <c r="BA108" i="20" s="1"/>
  <c r="H108" i="20"/>
  <c r="AZ108" i="20" s="1"/>
  <c r="F108" i="20"/>
  <c r="AX108" i="20" s="1"/>
  <c r="AW107" i="20"/>
  <c r="AT107" i="20"/>
  <c r="AS107" i="20"/>
  <c r="AR107" i="20"/>
  <c r="AQ107" i="20"/>
  <c r="AP107" i="20"/>
  <c r="AO107" i="20"/>
  <c r="AN107" i="20"/>
  <c r="AM107" i="20"/>
  <c r="AL107" i="20"/>
  <c r="AJ107" i="20"/>
  <c r="AI107" i="20"/>
  <c r="AB107" i="20"/>
  <c r="AA107" i="20"/>
  <c r="Z107" i="20"/>
  <c r="Y107" i="20"/>
  <c r="X107" i="20"/>
  <c r="W107" i="20"/>
  <c r="V107" i="20"/>
  <c r="U107" i="20"/>
  <c r="T107" i="20"/>
  <c r="M107" i="20"/>
  <c r="L107" i="20"/>
  <c r="K107" i="20"/>
  <c r="J107" i="20"/>
  <c r="BB107" i="20" s="1"/>
  <c r="I107" i="20"/>
  <c r="BA107" i="20" s="1"/>
  <c r="H107" i="20"/>
  <c r="AZ107" i="20" s="1"/>
  <c r="F107" i="20"/>
  <c r="AX107" i="20" s="1"/>
  <c r="AW106" i="20"/>
  <c r="AT106" i="20"/>
  <c r="AS106" i="20"/>
  <c r="AR106" i="20"/>
  <c r="AQ106" i="20"/>
  <c r="AP106" i="20"/>
  <c r="AO106" i="20"/>
  <c r="AN106" i="20"/>
  <c r="AM106" i="20"/>
  <c r="AL106" i="20"/>
  <c r="AJ106" i="20"/>
  <c r="AI106" i="20"/>
  <c r="AB106" i="20"/>
  <c r="AA106" i="20"/>
  <c r="Z106" i="20"/>
  <c r="Y106" i="20"/>
  <c r="X106" i="20"/>
  <c r="W106" i="20"/>
  <c r="V106" i="20"/>
  <c r="U106" i="20"/>
  <c r="T106" i="20"/>
  <c r="M106" i="20"/>
  <c r="L106" i="20"/>
  <c r="K106" i="20"/>
  <c r="J106" i="20"/>
  <c r="BB106" i="20" s="1"/>
  <c r="I106" i="20"/>
  <c r="BA106" i="20" s="1"/>
  <c r="H106" i="20"/>
  <c r="AZ106" i="20" s="1"/>
  <c r="F106" i="20"/>
  <c r="AX106" i="20" s="1"/>
  <c r="AW105" i="20"/>
  <c r="AT105" i="20"/>
  <c r="AS105" i="20"/>
  <c r="AR105" i="20"/>
  <c r="AQ105" i="20"/>
  <c r="AP105" i="20"/>
  <c r="AO105" i="20"/>
  <c r="AN105" i="20"/>
  <c r="AM105" i="20"/>
  <c r="AL105" i="20"/>
  <c r="AJ105" i="20"/>
  <c r="AI105" i="20"/>
  <c r="AB105" i="20"/>
  <c r="AA105" i="20"/>
  <c r="Z105" i="20"/>
  <c r="Y105" i="20"/>
  <c r="X105" i="20"/>
  <c r="W105" i="20"/>
  <c r="V105" i="20"/>
  <c r="U105" i="20"/>
  <c r="T105" i="20"/>
  <c r="M105" i="20"/>
  <c r="L105" i="20"/>
  <c r="K105" i="20"/>
  <c r="J105" i="20"/>
  <c r="BB105" i="20" s="1"/>
  <c r="I105" i="20"/>
  <c r="BA105" i="20" s="1"/>
  <c r="H105" i="20"/>
  <c r="AZ105" i="20" s="1"/>
  <c r="F105" i="20"/>
  <c r="AX105" i="20" s="1"/>
  <c r="AW104" i="20"/>
  <c r="AT104" i="20"/>
  <c r="AS104" i="20"/>
  <c r="AR104" i="20"/>
  <c r="AQ104" i="20"/>
  <c r="AP104" i="20"/>
  <c r="AO104" i="20"/>
  <c r="AN104" i="20"/>
  <c r="AM104" i="20"/>
  <c r="AL104" i="20"/>
  <c r="AJ104" i="20"/>
  <c r="AI104" i="20"/>
  <c r="AB104" i="20"/>
  <c r="AA104" i="20"/>
  <c r="Z104" i="20"/>
  <c r="Y104" i="20"/>
  <c r="X104" i="20"/>
  <c r="W104" i="20"/>
  <c r="V104" i="20"/>
  <c r="U104" i="20"/>
  <c r="T104" i="20"/>
  <c r="M104" i="20"/>
  <c r="L104" i="20"/>
  <c r="K104" i="20"/>
  <c r="J104" i="20"/>
  <c r="BB104" i="20" s="1"/>
  <c r="I104" i="20"/>
  <c r="BA104" i="20" s="1"/>
  <c r="H104" i="20"/>
  <c r="AZ104" i="20" s="1"/>
  <c r="F104" i="20"/>
  <c r="AX104" i="20" s="1"/>
  <c r="AW103" i="20"/>
  <c r="AT103" i="20"/>
  <c r="AS103" i="20"/>
  <c r="AR103" i="20"/>
  <c r="AQ103" i="20"/>
  <c r="AP103" i="20"/>
  <c r="AO103" i="20"/>
  <c r="AN103" i="20"/>
  <c r="AM103" i="20"/>
  <c r="AL103" i="20"/>
  <c r="AJ103" i="20"/>
  <c r="AI103" i="20"/>
  <c r="AB103" i="20"/>
  <c r="AA103" i="20"/>
  <c r="Z103" i="20"/>
  <c r="Y103" i="20"/>
  <c r="X103" i="20"/>
  <c r="W103" i="20"/>
  <c r="V103" i="20"/>
  <c r="U103" i="20"/>
  <c r="T103" i="20"/>
  <c r="M103" i="20"/>
  <c r="L103" i="20"/>
  <c r="K103" i="20"/>
  <c r="J103" i="20"/>
  <c r="BB103" i="20" s="1"/>
  <c r="I103" i="20"/>
  <c r="BA103" i="20" s="1"/>
  <c r="H103" i="20"/>
  <c r="AZ103" i="20" s="1"/>
  <c r="F103" i="20"/>
  <c r="AX103" i="20" s="1"/>
  <c r="AW102" i="20"/>
  <c r="AT102" i="20"/>
  <c r="AS102" i="20"/>
  <c r="AR102" i="20"/>
  <c r="AQ102" i="20"/>
  <c r="AP102" i="20"/>
  <c r="AO102" i="20"/>
  <c r="AN102" i="20"/>
  <c r="AM102" i="20"/>
  <c r="AL102" i="20"/>
  <c r="AJ102" i="20"/>
  <c r="AI102" i="20"/>
  <c r="AB102" i="20"/>
  <c r="AA102" i="20"/>
  <c r="Z102" i="20"/>
  <c r="Y102" i="20"/>
  <c r="X102" i="20"/>
  <c r="W102" i="20"/>
  <c r="V102" i="20"/>
  <c r="U102" i="20"/>
  <c r="T102" i="20"/>
  <c r="M102" i="20"/>
  <c r="L102" i="20"/>
  <c r="K102" i="20"/>
  <c r="J102" i="20"/>
  <c r="BB102" i="20" s="1"/>
  <c r="I102" i="20"/>
  <c r="BA102" i="20" s="1"/>
  <c r="H102" i="20"/>
  <c r="AZ102" i="20" s="1"/>
  <c r="F102" i="20"/>
  <c r="AX102" i="20" s="1"/>
  <c r="AW101" i="20"/>
  <c r="AT101" i="20"/>
  <c r="AS101" i="20"/>
  <c r="AR101" i="20"/>
  <c r="AQ101" i="20"/>
  <c r="AP101" i="20"/>
  <c r="AO101" i="20"/>
  <c r="AN101" i="20"/>
  <c r="AM101" i="20"/>
  <c r="AL101" i="20"/>
  <c r="AJ101" i="20"/>
  <c r="AI101" i="20"/>
  <c r="AB101" i="20"/>
  <c r="AA101" i="20"/>
  <c r="Z101" i="20"/>
  <c r="Y101" i="20"/>
  <c r="X101" i="20"/>
  <c r="W101" i="20"/>
  <c r="V101" i="20"/>
  <c r="U101" i="20"/>
  <c r="T101" i="20"/>
  <c r="M101" i="20"/>
  <c r="L101" i="20"/>
  <c r="K101" i="20"/>
  <c r="J101" i="20"/>
  <c r="BB101" i="20" s="1"/>
  <c r="I101" i="20"/>
  <c r="BA101" i="20" s="1"/>
  <c r="H101" i="20"/>
  <c r="AZ101" i="20" s="1"/>
  <c r="F101" i="20"/>
  <c r="AX101" i="20" s="1"/>
  <c r="AW100" i="20"/>
  <c r="AT100" i="20"/>
  <c r="AS100" i="20"/>
  <c r="AR100" i="20"/>
  <c r="AQ100" i="20"/>
  <c r="AP100" i="20"/>
  <c r="AO100" i="20"/>
  <c r="AN100" i="20"/>
  <c r="AM100" i="20"/>
  <c r="AL100" i="20"/>
  <c r="AJ100" i="20"/>
  <c r="AI100" i="20"/>
  <c r="AB100" i="20"/>
  <c r="AA100" i="20"/>
  <c r="Z100" i="20"/>
  <c r="Y100" i="20"/>
  <c r="X100" i="20"/>
  <c r="W100" i="20"/>
  <c r="V100" i="20"/>
  <c r="U100" i="20"/>
  <c r="T100" i="20"/>
  <c r="M100" i="20"/>
  <c r="L100" i="20"/>
  <c r="K100" i="20"/>
  <c r="J100" i="20"/>
  <c r="BB100" i="20" s="1"/>
  <c r="I100" i="20"/>
  <c r="BA100" i="20" s="1"/>
  <c r="H100" i="20"/>
  <c r="AZ100" i="20" s="1"/>
  <c r="F100" i="20"/>
  <c r="AX100" i="20" s="1"/>
  <c r="AW99" i="20"/>
  <c r="AT99" i="20"/>
  <c r="AS99" i="20"/>
  <c r="AR99" i="20"/>
  <c r="AQ99" i="20"/>
  <c r="AP99" i="20"/>
  <c r="AO99" i="20"/>
  <c r="AN99" i="20"/>
  <c r="AM99" i="20"/>
  <c r="AL99" i="20"/>
  <c r="AJ99" i="20"/>
  <c r="AI99" i="20"/>
  <c r="AB99" i="20"/>
  <c r="AA99" i="20"/>
  <c r="Z99" i="20"/>
  <c r="Y99" i="20"/>
  <c r="X99" i="20"/>
  <c r="W99" i="20"/>
  <c r="V99" i="20"/>
  <c r="U99" i="20"/>
  <c r="T99" i="20"/>
  <c r="M99" i="20"/>
  <c r="L99" i="20"/>
  <c r="K99" i="20"/>
  <c r="J99" i="20"/>
  <c r="BB99" i="20" s="1"/>
  <c r="I99" i="20"/>
  <c r="BA99" i="20" s="1"/>
  <c r="H99" i="20"/>
  <c r="AZ99" i="20" s="1"/>
  <c r="F99" i="20"/>
  <c r="AX99" i="20" s="1"/>
  <c r="AW98" i="20"/>
  <c r="AT98" i="20"/>
  <c r="AS98" i="20"/>
  <c r="AR98" i="20"/>
  <c r="AQ98" i="20"/>
  <c r="AP98" i="20"/>
  <c r="AO98" i="20"/>
  <c r="AN98" i="20"/>
  <c r="AM98" i="20"/>
  <c r="AL98" i="20"/>
  <c r="AJ98" i="20"/>
  <c r="AI98" i="20"/>
  <c r="AB98" i="20"/>
  <c r="AA98" i="20"/>
  <c r="Z98" i="20"/>
  <c r="Y98" i="20"/>
  <c r="X98" i="20"/>
  <c r="W98" i="20"/>
  <c r="V98" i="20"/>
  <c r="U98" i="20"/>
  <c r="T98" i="20"/>
  <c r="M98" i="20"/>
  <c r="L98" i="20"/>
  <c r="K98" i="20"/>
  <c r="J98" i="20"/>
  <c r="BB98" i="20" s="1"/>
  <c r="I98" i="20"/>
  <c r="BA98" i="20" s="1"/>
  <c r="H98" i="20"/>
  <c r="AZ98" i="20" s="1"/>
  <c r="F98" i="20"/>
  <c r="AX98" i="20" s="1"/>
  <c r="AW97" i="20"/>
  <c r="AT97" i="20"/>
  <c r="AS97" i="20"/>
  <c r="AR97" i="20"/>
  <c r="AQ97" i="20"/>
  <c r="AP97" i="20"/>
  <c r="AO97" i="20"/>
  <c r="AN97" i="20"/>
  <c r="AM97" i="20"/>
  <c r="AL97" i="20"/>
  <c r="AJ97" i="20"/>
  <c r="AI97" i="20"/>
  <c r="AB97" i="20"/>
  <c r="AA97" i="20"/>
  <c r="Z97" i="20"/>
  <c r="Y97" i="20"/>
  <c r="X97" i="20"/>
  <c r="W97" i="20"/>
  <c r="V97" i="20"/>
  <c r="U97" i="20"/>
  <c r="T97" i="20"/>
  <c r="M97" i="20"/>
  <c r="L97" i="20"/>
  <c r="K97" i="20"/>
  <c r="J97" i="20"/>
  <c r="BB97" i="20" s="1"/>
  <c r="I97" i="20"/>
  <c r="BA97" i="20" s="1"/>
  <c r="H97" i="20"/>
  <c r="AZ97" i="20" s="1"/>
  <c r="F97" i="20"/>
  <c r="AX97" i="20" s="1"/>
  <c r="AW96" i="20"/>
  <c r="AT96" i="20"/>
  <c r="AS96" i="20"/>
  <c r="AR96" i="20"/>
  <c r="AQ96" i="20"/>
  <c r="AP96" i="20"/>
  <c r="AO96" i="20"/>
  <c r="AN96" i="20"/>
  <c r="AM96" i="20"/>
  <c r="AL96" i="20"/>
  <c r="AJ96" i="20"/>
  <c r="AI96" i="20"/>
  <c r="AB96" i="20"/>
  <c r="AA96" i="20"/>
  <c r="Z96" i="20"/>
  <c r="Y96" i="20"/>
  <c r="X96" i="20"/>
  <c r="W96" i="20"/>
  <c r="V96" i="20"/>
  <c r="U96" i="20"/>
  <c r="T96" i="20"/>
  <c r="M96" i="20"/>
  <c r="L96" i="20"/>
  <c r="K96" i="20"/>
  <c r="J96" i="20"/>
  <c r="BB96" i="20" s="1"/>
  <c r="I96" i="20"/>
  <c r="BA96" i="20" s="1"/>
  <c r="H96" i="20"/>
  <c r="AZ96" i="20" s="1"/>
  <c r="F96" i="20"/>
  <c r="AX96" i="20" s="1"/>
  <c r="AW95" i="20"/>
  <c r="AT95" i="20"/>
  <c r="AS95" i="20"/>
  <c r="AR95" i="20"/>
  <c r="AQ95" i="20"/>
  <c r="AP95" i="20"/>
  <c r="AO95" i="20"/>
  <c r="AN95" i="20"/>
  <c r="AM95" i="20"/>
  <c r="AL95" i="20"/>
  <c r="AJ95" i="20"/>
  <c r="AI95" i="20"/>
  <c r="AB95" i="20"/>
  <c r="AA95" i="20"/>
  <c r="Z95" i="20"/>
  <c r="Y95" i="20"/>
  <c r="X95" i="20"/>
  <c r="W95" i="20"/>
  <c r="V95" i="20"/>
  <c r="U95" i="20"/>
  <c r="T95" i="20"/>
  <c r="M95" i="20"/>
  <c r="L95" i="20"/>
  <c r="K95" i="20"/>
  <c r="J95" i="20"/>
  <c r="BB95" i="20" s="1"/>
  <c r="I95" i="20"/>
  <c r="BA95" i="20" s="1"/>
  <c r="H95" i="20"/>
  <c r="AZ95" i="20" s="1"/>
  <c r="F95" i="20"/>
  <c r="AX95" i="20" s="1"/>
  <c r="AW94" i="20"/>
  <c r="AT94" i="20"/>
  <c r="AS94" i="20"/>
  <c r="AR94" i="20"/>
  <c r="AQ94" i="20"/>
  <c r="AP94" i="20"/>
  <c r="AO94" i="20"/>
  <c r="AN94" i="20"/>
  <c r="AM94" i="20"/>
  <c r="AL94" i="20"/>
  <c r="AJ94" i="20"/>
  <c r="AI94" i="20"/>
  <c r="AB94" i="20"/>
  <c r="AA94" i="20"/>
  <c r="Z94" i="20"/>
  <c r="Y94" i="20"/>
  <c r="X94" i="20"/>
  <c r="W94" i="20"/>
  <c r="V94" i="20"/>
  <c r="U94" i="20"/>
  <c r="T94" i="20"/>
  <c r="M94" i="20"/>
  <c r="L94" i="20"/>
  <c r="K94" i="20"/>
  <c r="J94" i="20"/>
  <c r="BB94" i="20" s="1"/>
  <c r="I94" i="20"/>
  <c r="BA94" i="20" s="1"/>
  <c r="H94" i="20"/>
  <c r="AZ94" i="20" s="1"/>
  <c r="F94" i="20"/>
  <c r="AX94" i="20" s="1"/>
  <c r="AW93" i="20"/>
  <c r="AT93" i="20"/>
  <c r="AS93" i="20"/>
  <c r="AR93" i="20"/>
  <c r="AQ93" i="20"/>
  <c r="AP93" i="20"/>
  <c r="AO93" i="20"/>
  <c r="AN93" i="20"/>
  <c r="AM93" i="20"/>
  <c r="AL93" i="20"/>
  <c r="AJ93" i="20"/>
  <c r="AI93" i="20"/>
  <c r="AB93" i="20"/>
  <c r="AA93" i="20"/>
  <c r="Z93" i="20"/>
  <c r="Y93" i="20"/>
  <c r="X93" i="20"/>
  <c r="W93" i="20"/>
  <c r="V93" i="20"/>
  <c r="U93" i="20"/>
  <c r="T93" i="20"/>
  <c r="M93" i="20"/>
  <c r="L93" i="20"/>
  <c r="K93" i="20"/>
  <c r="J93" i="20"/>
  <c r="BB93" i="20" s="1"/>
  <c r="I93" i="20"/>
  <c r="BA93" i="20" s="1"/>
  <c r="H93" i="20"/>
  <c r="AZ93" i="20" s="1"/>
  <c r="F93" i="20"/>
  <c r="AX93" i="20" s="1"/>
  <c r="AW92" i="20"/>
  <c r="AT92" i="20"/>
  <c r="AS92" i="20"/>
  <c r="AR92" i="20"/>
  <c r="AQ92" i="20"/>
  <c r="AP92" i="20"/>
  <c r="AO92" i="20"/>
  <c r="AN92" i="20"/>
  <c r="AM92" i="20"/>
  <c r="AL92" i="20"/>
  <c r="AJ92" i="20"/>
  <c r="AI92" i="20"/>
  <c r="AB92" i="20"/>
  <c r="AA92" i="20"/>
  <c r="Z92" i="20"/>
  <c r="Y92" i="20"/>
  <c r="X92" i="20"/>
  <c r="W92" i="20"/>
  <c r="V92" i="20"/>
  <c r="U92" i="20"/>
  <c r="T92" i="20"/>
  <c r="M92" i="20"/>
  <c r="L92" i="20"/>
  <c r="K92" i="20"/>
  <c r="J92" i="20"/>
  <c r="BB92" i="20" s="1"/>
  <c r="I92" i="20"/>
  <c r="BA92" i="20" s="1"/>
  <c r="H92" i="20"/>
  <c r="AZ92" i="20" s="1"/>
  <c r="F92" i="20"/>
  <c r="AX92" i="20" s="1"/>
  <c r="AW91" i="20"/>
  <c r="AT91" i="20"/>
  <c r="AS91" i="20"/>
  <c r="AR91" i="20"/>
  <c r="AQ91" i="20"/>
  <c r="AP91" i="20"/>
  <c r="AO91" i="20"/>
  <c r="AN91" i="20"/>
  <c r="AM91" i="20"/>
  <c r="AL91" i="20"/>
  <c r="AJ91" i="20"/>
  <c r="AI91" i="20"/>
  <c r="AB91" i="20"/>
  <c r="AA91" i="20"/>
  <c r="Z91" i="20"/>
  <c r="Y91" i="20"/>
  <c r="X91" i="20"/>
  <c r="W91" i="20"/>
  <c r="V91" i="20"/>
  <c r="U91" i="20"/>
  <c r="T91" i="20"/>
  <c r="M91" i="20"/>
  <c r="L91" i="20"/>
  <c r="K91" i="20"/>
  <c r="J91" i="20"/>
  <c r="BB91" i="20" s="1"/>
  <c r="I91" i="20"/>
  <c r="BA91" i="20" s="1"/>
  <c r="H91" i="20"/>
  <c r="AZ91" i="20" s="1"/>
  <c r="F91" i="20"/>
  <c r="AX91" i="20" s="1"/>
  <c r="AW90" i="20"/>
  <c r="AT90" i="20"/>
  <c r="AS90" i="20"/>
  <c r="AR90" i="20"/>
  <c r="AQ90" i="20"/>
  <c r="AP90" i="20"/>
  <c r="AO90" i="20"/>
  <c r="AN90" i="20"/>
  <c r="AM90" i="20"/>
  <c r="AL90" i="20"/>
  <c r="AJ90" i="20"/>
  <c r="AI90" i="20"/>
  <c r="AB90" i="20"/>
  <c r="AA90" i="20"/>
  <c r="Z90" i="20"/>
  <c r="Y90" i="20"/>
  <c r="X90" i="20"/>
  <c r="W90" i="20"/>
  <c r="V90" i="20"/>
  <c r="U90" i="20"/>
  <c r="T90" i="20"/>
  <c r="M90" i="20"/>
  <c r="L90" i="20"/>
  <c r="K90" i="20"/>
  <c r="J90" i="20"/>
  <c r="BB90" i="20" s="1"/>
  <c r="I90" i="20"/>
  <c r="BA90" i="20" s="1"/>
  <c r="H90" i="20"/>
  <c r="AZ90" i="20" s="1"/>
  <c r="F90" i="20"/>
  <c r="AX90" i="20" s="1"/>
  <c r="AW89" i="20"/>
  <c r="AT89" i="20"/>
  <c r="AS89" i="20"/>
  <c r="AR89" i="20"/>
  <c r="AQ89" i="20"/>
  <c r="AP89" i="20"/>
  <c r="AO89" i="20"/>
  <c r="AN89" i="20"/>
  <c r="AM89" i="20"/>
  <c r="AL89" i="20"/>
  <c r="AJ89" i="20"/>
  <c r="AI89" i="20"/>
  <c r="AB89" i="20"/>
  <c r="AA89" i="20"/>
  <c r="Z89" i="20"/>
  <c r="Y89" i="20"/>
  <c r="X89" i="20"/>
  <c r="W89" i="20"/>
  <c r="V89" i="20"/>
  <c r="U89" i="20"/>
  <c r="T89" i="20"/>
  <c r="M89" i="20"/>
  <c r="L89" i="20"/>
  <c r="K89" i="20"/>
  <c r="J89" i="20"/>
  <c r="BB89" i="20" s="1"/>
  <c r="I89" i="20"/>
  <c r="BA89" i="20" s="1"/>
  <c r="H89" i="20"/>
  <c r="AZ89" i="20" s="1"/>
  <c r="F89" i="20"/>
  <c r="AX89" i="20" s="1"/>
  <c r="AW88" i="20"/>
  <c r="AT88" i="20"/>
  <c r="AS88" i="20"/>
  <c r="AR88" i="20"/>
  <c r="AQ88" i="20"/>
  <c r="AP88" i="20"/>
  <c r="AO88" i="20"/>
  <c r="AN88" i="20"/>
  <c r="AM88" i="20"/>
  <c r="AL88" i="20"/>
  <c r="AJ88" i="20"/>
  <c r="AI88" i="20"/>
  <c r="AB88" i="20"/>
  <c r="AA88" i="20"/>
  <c r="Z88" i="20"/>
  <c r="Y88" i="20"/>
  <c r="X88" i="20"/>
  <c r="W88" i="20"/>
  <c r="V88" i="20"/>
  <c r="U88" i="20"/>
  <c r="T88" i="20"/>
  <c r="M88" i="20"/>
  <c r="L88" i="20"/>
  <c r="K88" i="20"/>
  <c r="J88" i="20"/>
  <c r="BB88" i="20" s="1"/>
  <c r="I88" i="20"/>
  <c r="BA88" i="20" s="1"/>
  <c r="H88" i="20"/>
  <c r="AZ88" i="20" s="1"/>
  <c r="F88" i="20"/>
  <c r="AX88" i="20" s="1"/>
  <c r="AW87" i="20"/>
  <c r="AT87" i="20"/>
  <c r="AS87" i="20"/>
  <c r="AR87" i="20"/>
  <c r="AQ87" i="20"/>
  <c r="AP87" i="20"/>
  <c r="AO87" i="20"/>
  <c r="AN87" i="20"/>
  <c r="AM87" i="20"/>
  <c r="AL87" i="20"/>
  <c r="AJ87" i="20"/>
  <c r="AI87" i="20"/>
  <c r="AB87" i="20"/>
  <c r="AA87" i="20"/>
  <c r="Z87" i="20"/>
  <c r="Y87" i="20"/>
  <c r="X87" i="20"/>
  <c r="W87" i="20"/>
  <c r="V87" i="20"/>
  <c r="U87" i="20"/>
  <c r="T87" i="20"/>
  <c r="M87" i="20"/>
  <c r="L87" i="20"/>
  <c r="K87" i="20"/>
  <c r="J87" i="20"/>
  <c r="BB87" i="20" s="1"/>
  <c r="I87" i="20"/>
  <c r="BA87" i="20" s="1"/>
  <c r="H87" i="20"/>
  <c r="AZ87" i="20" s="1"/>
  <c r="F87" i="20"/>
  <c r="AX87" i="20" s="1"/>
  <c r="AW86" i="20"/>
  <c r="AT86" i="20"/>
  <c r="AS86" i="20"/>
  <c r="AR86" i="20"/>
  <c r="AQ86" i="20"/>
  <c r="AP86" i="20"/>
  <c r="AO86" i="20"/>
  <c r="AN86" i="20"/>
  <c r="AM86" i="20"/>
  <c r="AL86" i="20"/>
  <c r="AJ86" i="20"/>
  <c r="AI86" i="20"/>
  <c r="AB86" i="20"/>
  <c r="AA86" i="20"/>
  <c r="Z86" i="20"/>
  <c r="Y86" i="20"/>
  <c r="X86" i="20"/>
  <c r="W86" i="20"/>
  <c r="V86" i="20"/>
  <c r="U86" i="20"/>
  <c r="T86" i="20"/>
  <c r="M86" i="20"/>
  <c r="L86" i="20"/>
  <c r="K86" i="20"/>
  <c r="J86" i="20"/>
  <c r="BB86" i="20" s="1"/>
  <c r="I86" i="20"/>
  <c r="BA86" i="20" s="1"/>
  <c r="H86" i="20"/>
  <c r="AZ86" i="20" s="1"/>
  <c r="F86" i="20"/>
  <c r="AX86" i="20" s="1"/>
  <c r="AW85" i="20"/>
  <c r="AT85" i="20"/>
  <c r="AS85" i="20"/>
  <c r="AR85" i="20"/>
  <c r="AQ85" i="20"/>
  <c r="AP85" i="20"/>
  <c r="AO85" i="20"/>
  <c r="AN85" i="20"/>
  <c r="AM85" i="20"/>
  <c r="AL85" i="20"/>
  <c r="AJ85" i="20"/>
  <c r="AI85" i="20"/>
  <c r="AB85" i="20"/>
  <c r="AA85" i="20"/>
  <c r="Z85" i="20"/>
  <c r="Y85" i="20"/>
  <c r="X85" i="20"/>
  <c r="W85" i="20"/>
  <c r="V85" i="20"/>
  <c r="U85" i="20"/>
  <c r="T85" i="20"/>
  <c r="M85" i="20"/>
  <c r="L85" i="20"/>
  <c r="K85" i="20"/>
  <c r="J85" i="20"/>
  <c r="BB85" i="20" s="1"/>
  <c r="I85" i="20"/>
  <c r="BA85" i="20" s="1"/>
  <c r="H85" i="20"/>
  <c r="AZ85" i="20" s="1"/>
  <c r="F85" i="20"/>
  <c r="AX85" i="20" s="1"/>
  <c r="AW84" i="20"/>
  <c r="AT84" i="20"/>
  <c r="AS84" i="20"/>
  <c r="AR84" i="20"/>
  <c r="AQ84" i="20"/>
  <c r="AP84" i="20"/>
  <c r="AO84" i="20"/>
  <c r="AN84" i="20"/>
  <c r="AM84" i="20"/>
  <c r="AL84" i="20"/>
  <c r="AJ84" i="20"/>
  <c r="AI84" i="20"/>
  <c r="AB84" i="20"/>
  <c r="AA84" i="20"/>
  <c r="Z84" i="20"/>
  <c r="Y84" i="20"/>
  <c r="X84" i="20"/>
  <c r="W84" i="20"/>
  <c r="V84" i="20"/>
  <c r="U84" i="20"/>
  <c r="T84" i="20"/>
  <c r="M84" i="20"/>
  <c r="L84" i="20"/>
  <c r="K84" i="20"/>
  <c r="J84" i="20"/>
  <c r="BB84" i="20" s="1"/>
  <c r="I84" i="20"/>
  <c r="BA84" i="20" s="1"/>
  <c r="H84" i="20"/>
  <c r="AZ84" i="20" s="1"/>
  <c r="F84" i="20"/>
  <c r="AX84" i="20" s="1"/>
  <c r="AW83" i="20"/>
  <c r="AT83" i="20"/>
  <c r="AS83" i="20"/>
  <c r="AR83" i="20"/>
  <c r="AQ83" i="20"/>
  <c r="AP83" i="20"/>
  <c r="AO83" i="20"/>
  <c r="AN83" i="20"/>
  <c r="AM83" i="20"/>
  <c r="AL83" i="20"/>
  <c r="AJ83" i="20"/>
  <c r="AI83" i="20"/>
  <c r="AB83" i="20"/>
  <c r="AA83" i="20"/>
  <c r="Z83" i="20"/>
  <c r="Y83" i="20"/>
  <c r="X83" i="20"/>
  <c r="W83" i="20"/>
  <c r="V83" i="20"/>
  <c r="U83" i="20"/>
  <c r="T83" i="20"/>
  <c r="M83" i="20"/>
  <c r="L83" i="20"/>
  <c r="K83" i="20"/>
  <c r="J83" i="20"/>
  <c r="BB83" i="20" s="1"/>
  <c r="I83" i="20"/>
  <c r="BA83" i="20" s="1"/>
  <c r="H83" i="20"/>
  <c r="AZ83" i="20" s="1"/>
  <c r="F83" i="20"/>
  <c r="AX83" i="20" s="1"/>
  <c r="AW82" i="20"/>
  <c r="AT82" i="20"/>
  <c r="AS82" i="20"/>
  <c r="AR82" i="20"/>
  <c r="AQ82" i="20"/>
  <c r="AP82" i="20"/>
  <c r="AO82" i="20"/>
  <c r="AN82" i="20"/>
  <c r="AM82" i="20"/>
  <c r="AL82" i="20"/>
  <c r="AJ82" i="20"/>
  <c r="AI82" i="20"/>
  <c r="AB82" i="20"/>
  <c r="AA82" i="20"/>
  <c r="Z82" i="20"/>
  <c r="Y82" i="20"/>
  <c r="X82" i="20"/>
  <c r="W82" i="20"/>
  <c r="V82" i="20"/>
  <c r="U82" i="20"/>
  <c r="T82" i="20"/>
  <c r="M82" i="20"/>
  <c r="L82" i="20"/>
  <c r="K82" i="20"/>
  <c r="J82" i="20"/>
  <c r="BB82" i="20" s="1"/>
  <c r="I82" i="20"/>
  <c r="BA82" i="20" s="1"/>
  <c r="H82" i="20"/>
  <c r="AZ82" i="20" s="1"/>
  <c r="F82" i="20"/>
  <c r="AX82" i="20" s="1"/>
  <c r="AW81" i="20"/>
  <c r="AT81" i="20"/>
  <c r="AS81" i="20"/>
  <c r="AR81" i="20"/>
  <c r="AQ81" i="20"/>
  <c r="AP81" i="20"/>
  <c r="AO81" i="20"/>
  <c r="AN81" i="20"/>
  <c r="AM81" i="20"/>
  <c r="AL81" i="20"/>
  <c r="AJ81" i="20"/>
  <c r="AI81" i="20"/>
  <c r="AB81" i="20"/>
  <c r="AA81" i="20"/>
  <c r="Z81" i="20"/>
  <c r="Y81" i="20"/>
  <c r="X81" i="20"/>
  <c r="W81" i="20"/>
  <c r="V81" i="20"/>
  <c r="U81" i="20"/>
  <c r="T81" i="20"/>
  <c r="M81" i="20"/>
  <c r="L81" i="20"/>
  <c r="K81" i="20"/>
  <c r="J81" i="20"/>
  <c r="BB81" i="20" s="1"/>
  <c r="I81" i="20"/>
  <c r="BA81" i="20" s="1"/>
  <c r="H81" i="20"/>
  <c r="AZ81" i="20" s="1"/>
  <c r="F81" i="20"/>
  <c r="AX81" i="20" s="1"/>
  <c r="AW80" i="20"/>
  <c r="AT80" i="20"/>
  <c r="AS80" i="20"/>
  <c r="AR80" i="20"/>
  <c r="AQ80" i="20"/>
  <c r="AP80" i="20"/>
  <c r="AO80" i="20"/>
  <c r="AN80" i="20"/>
  <c r="AM80" i="20"/>
  <c r="AL80" i="20"/>
  <c r="AJ80" i="20"/>
  <c r="AI80" i="20"/>
  <c r="AB80" i="20"/>
  <c r="AA80" i="20"/>
  <c r="Z80" i="20"/>
  <c r="Y80" i="20"/>
  <c r="X80" i="20"/>
  <c r="W80" i="20"/>
  <c r="V80" i="20"/>
  <c r="U80" i="20"/>
  <c r="T80" i="20"/>
  <c r="M80" i="20"/>
  <c r="L80" i="20"/>
  <c r="K80" i="20"/>
  <c r="J80" i="20"/>
  <c r="BB80" i="20" s="1"/>
  <c r="I80" i="20"/>
  <c r="BA80" i="20" s="1"/>
  <c r="H80" i="20"/>
  <c r="AZ80" i="20" s="1"/>
  <c r="F80" i="20"/>
  <c r="AX80" i="20" s="1"/>
  <c r="AW79" i="20"/>
  <c r="AT79" i="20"/>
  <c r="AS79" i="20"/>
  <c r="AR79" i="20"/>
  <c r="AQ79" i="20"/>
  <c r="AP79" i="20"/>
  <c r="AO79" i="20"/>
  <c r="AN79" i="20"/>
  <c r="AM79" i="20"/>
  <c r="AL79" i="20"/>
  <c r="AJ79" i="20"/>
  <c r="AI79" i="20"/>
  <c r="AB79" i="20"/>
  <c r="AA79" i="20"/>
  <c r="Z79" i="20"/>
  <c r="Y79" i="20"/>
  <c r="X79" i="20"/>
  <c r="W79" i="20"/>
  <c r="V79" i="20"/>
  <c r="U79" i="20"/>
  <c r="T79" i="20"/>
  <c r="M79" i="20"/>
  <c r="L79" i="20"/>
  <c r="K79" i="20"/>
  <c r="J79" i="20"/>
  <c r="BB79" i="20" s="1"/>
  <c r="I79" i="20"/>
  <c r="BA79" i="20" s="1"/>
  <c r="H79" i="20"/>
  <c r="AZ79" i="20" s="1"/>
  <c r="F79" i="20"/>
  <c r="AX79" i="20" s="1"/>
  <c r="AW78" i="20"/>
  <c r="AT78" i="20"/>
  <c r="AS78" i="20"/>
  <c r="AR78" i="20"/>
  <c r="AQ78" i="20"/>
  <c r="AP78" i="20"/>
  <c r="AO78" i="20"/>
  <c r="AN78" i="20"/>
  <c r="AM78" i="20"/>
  <c r="AL78" i="20"/>
  <c r="AJ78" i="20"/>
  <c r="AI78" i="20"/>
  <c r="AB78" i="20"/>
  <c r="AA78" i="20"/>
  <c r="Z78" i="20"/>
  <c r="Y78" i="20"/>
  <c r="X78" i="20"/>
  <c r="W78" i="20"/>
  <c r="V78" i="20"/>
  <c r="U78" i="20"/>
  <c r="T78" i="20"/>
  <c r="M78" i="20"/>
  <c r="L78" i="20"/>
  <c r="K78" i="20"/>
  <c r="J78" i="20"/>
  <c r="BB78" i="20" s="1"/>
  <c r="I78" i="20"/>
  <c r="BA78" i="20" s="1"/>
  <c r="H78" i="20"/>
  <c r="AZ78" i="20" s="1"/>
  <c r="F78" i="20"/>
  <c r="AX78" i="20" s="1"/>
  <c r="AW77" i="20"/>
  <c r="AT77" i="20"/>
  <c r="AS77" i="20"/>
  <c r="AR77" i="20"/>
  <c r="AQ77" i="20"/>
  <c r="AP77" i="20"/>
  <c r="AO77" i="20"/>
  <c r="AN77" i="20"/>
  <c r="AM77" i="20"/>
  <c r="AL77" i="20"/>
  <c r="AJ77" i="20"/>
  <c r="AI77" i="20"/>
  <c r="AB77" i="20"/>
  <c r="AA77" i="20"/>
  <c r="Z77" i="20"/>
  <c r="Y77" i="20"/>
  <c r="X77" i="20"/>
  <c r="W77" i="20"/>
  <c r="V77" i="20"/>
  <c r="U77" i="20"/>
  <c r="T77" i="20"/>
  <c r="M77" i="20"/>
  <c r="L77" i="20"/>
  <c r="K77" i="20"/>
  <c r="J77" i="20"/>
  <c r="BB77" i="20" s="1"/>
  <c r="I77" i="20"/>
  <c r="BA77" i="20" s="1"/>
  <c r="H77" i="20"/>
  <c r="AZ77" i="20" s="1"/>
  <c r="F77" i="20"/>
  <c r="AX77" i="20" s="1"/>
  <c r="AW76" i="20"/>
  <c r="AT76" i="20"/>
  <c r="AS76" i="20"/>
  <c r="AR76" i="20"/>
  <c r="AQ76" i="20"/>
  <c r="AP76" i="20"/>
  <c r="AO76" i="20"/>
  <c r="AN76" i="20"/>
  <c r="AM76" i="20"/>
  <c r="AL76" i="20"/>
  <c r="AJ76" i="20"/>
  <c r="AI76" i="20"/>
  <c r="AB76" i="20"/>
  <c r="AA76" i="20"/>
  <c r="Z76" i="20"/>
  <c r="Y76" i="20"/>
  <c r="X76" i="20"/>
  <c r="W76" i="20"/>
  <c r="V76" i="20"/>
  <c r="U76" i="20"/>
  <c r="T76" i="20"/>
  <c r="M76" i="20"/>
  <c r="L76" i="20"/>
  <c r="K76" i="20"/>
  <c r="J76" i="20"/>
  <c r="BB76" i="20" s="1"/>
  <c r="I76" i="20"/>
  <c r="BA76" i="20" s="1"/>
  <c r="H76" i="20"/>
  <c r="AZ76" i="20" s="1"/>
  <c r="F76" i="20"/>
  <c r="AX76" i="20" s="1"/>
  <c r="AW75" i="20"/>
  <c r="AT75" i="20"/>
  <c r="AS75" i="20"/>
  <c r="AR75" i="20"/>
  <c r="AQ75" i="20"/>
  <c r="AP75" i="20"/>
  <c r="AO75" i="20"/>
  <c r="AN75" i="20"/>
  <c r="AM75" i="20"/>
  <c r="AL75" i="20"/>
  <c r="AJ75" i="20"/>
  <c r="AI75" i="20"/>
  <c r="AB75" i="20"/>
  <c r="AA75" i="20"/>
  <c r="Z75" i="20"/>
  <c r="Y75" i="20"/>
  <c r="X75" i="20"/>
  <c r="W75" i="20"/>
  <c r="V75" i="20"/>
  <c r="U75" i="20"/>
  <c r="T75" i="20"/>
  <c r="M75" i="20"/>
  <c r="L75" i="20"/>
  <c r="K75" i="20"/>
  <c r="J75" i="20"/>
  <c r="BB75" i="20" s="1"/>
  <c r="I75" i="20"/>
  <c r="BA75" i="20" s="1"/>
  <c r="H75" i="20"/>
  <c r="AZ75" i="20" s="1"/>
  <c r="F75" i="20"/>
  <c r="AX75" i="20" s="1"/>
  <c r="AW74" i="20"/>
  <c r="AT74" i="20"/>
  <c r="AS74" i="20"/>
  <c r="AR74" i="20"/>
  <c r="AQ74" i="20"/>
  <c r="AP74" i="20"/>
  <c r="AO74" i="20"/>
  <c r="AN74" i="20"/>
  <c r="AM74" i="20"/>
  <c r="AL74" i="20"/>
  <c r="AJ74" i="20"/>
  <c r="AI74" i="20"/>
  <c r="AB74" i="20"/>
  <c r="AA74" i="20"/>
  <c r="Z74" i="20"/>
  <c r="Y74" i="20"/>
  <c r="X74" i="20"/>
  <c r="W74" i="20"/>
  <c r="V74" i="20"/>
  <c r="U74" i="20"/>
  <c r="T74" i="20"/>
  <c r="M74" i="20"/>
  <c r="L74" i="20"/>
  <c r="K74" i="20"/>
  <c r="J74" i="20"/>
  <c r="BB74" i="20" s="1"/>
  <c r="I74" i="20"/>
  <c r="BA74" i="20" s="1"/>
  <c r="H74" i="20"/>
  <c r="AZ74" i="20" s="1"/>
  <c r="F74" i="20"/>
  <c r="AX74" i="20" s="1"/>
  <c r="AW73" i="20"/>
  <c r="AT73" i="20"/>
  <c r="AS73" i="20"/>
  <c r="AR73" i="20"/>
  <c r="AQ73" i="20"/>
  <c r="AP73" i="20"/>
  <c r="AO73" i="20"/>
  <c r="AN73" i="20"/>
  <c r="AM73" i="20"/>
  <c r="AL73" i="20"/>
  <c r="AJ73" i="20"/>
  <c r="AI73" i="20"/>
  <c r="AB73" i="20"/>
  <c r="AA73" i="20"/>
  <c r="Z73" i="20"/>
  <c r="Y73" i="20"/>
  <c r="X73" i="20"/>
  <c r="W73" i="20"/>
  <c r="V73" i="20"/>
  <c r="U73" i="20"/>
  <c r="T73" i="20"/>
  <c r="M73" i="20"/>
  <c r="L73" i="20"/>
  <c r="K73" i="20"/>
  <c r="J73" i="20"/>
  <c r="BB73" i="20" s="1"/>
  <c r="I73" i="20"/>
  <c r="BA73" i="20" s="1"/>
  <c r="H73" i="20"/>
  <c r="AZ73" i="20" s="1"/>
  <c r="F73" i="20"/>
  <c r="AX73" i="20" s="1"/>
  <c r="AW72" i="20"/>
  <c r="AT72" i="20"/>
  <c r="AS72" i="20"/>
  <c r="AR72" i="20"/>
  <c r="AQ72" i="20"/>
  <c r="AP72" i="20"/>
  <c r="AO72" i="20"/>
  <c r="AN72" i="20"/>
  <c r="AM72" i="20"/>
  <c r="AL72" i="20"/>
  <c r="AJ72" i="20"/>
  <c r="AI72" i="20"/>
  <c r="AB72" i="20"/>
  <c r="AA72" i="20"/>
  <c r="Z72" i="20"/>
  <c r="Y72" i="20"/>
  <c r="X72" i="20"/>
  <c r="W72" i="20"/>
  <c r="V72" i="20"/>
  <c r="U72" i="20"/>
  <c r="T72" i="20"/>
  <c r="M72" i="20"/>
  <c r="L72" i="20"/>
  <c r="K72" i="20"/>
  <c r="J72" i="20"/>
  <c r="BB72" i="20" s="1"/>
  <c r="I72" i="20"/>
  <c r="BA72" i="20" s="1"/>
  <c r="H72" i="20"/>
  <c r="AZ72" i="20" s="1"/>
  <c r="F72" i="20"/>
  <c r="AX72" i="20" s="1"/>
  <c r="AW71" i="20"/>
  <c r="AT71" i="20"/>
  <c r="AS71" i="20"/>
  <c r="AR71" i="20"/>
  <c r="AQ71" i="20"/>
  <c r="AP71" i="20"/>
  <c r="AO71" i="20"/>
  <c r="AN71" i="20"/>
  <c r="AM71" i="20"/>
  <c r="AL71" i="20"/>
  <c r="AJ71" i="20"/>
  <c r="AI71" i="20"/>
  <c r="AB71" i="20"/>
  <c r="AA71" i="20"/>
  <c r="Z71" i="20"/>
  <c r="Y71" i="20"/>
  <c r="X71" i="20"/>
  <c r="W71" i="20"/>
  <c r="V71" i="20"/>
  <c r="U71" i="20"/>
  <c r="T71" i="20"/>
  <c r="M71" i="20"/>
  <c r="L71" i="20"/>
  <c r="K71" i="20"/>
  <c r="J71" i="20"/>
  <c r="BB71" i="20" s="1"/>
  <c r="I71" i="20"/>
  <c r="BA71" i="20" s="1"/>
  <c r="H71" i="20"/>
  <c r="AZ71" i="20" s="1"/>
  <c r="F71" i="20"/>
  <c r="AX71" i="20" s="1"/>
  <c r="AW70" i="20"/>
  <c r="AT70" i="20"/>
  <c r="AS70" i="20"/>
  <c r="AR70" i="20"/>
  <c r="AQ70" i="20"/>
  <c r="AP70" i="20"/>
  <c r="AO70" i="20"/>
  <c r="AN70" i="20"/>
  <c r="AM70" i="20"/>
  <c r="AL70" i="20"/>
  <c r="AJ70" i="20"/>
  <c r="AI70" i="20"/>
  <c r="AB70" i="20"/>
  <c r="AA70" i="20"/>
  <c r="Z70" i="20"/>
  <c r="Y70" i="20"/>
  <c r="X70" i="20"/>
  <c r="W70" i="20"/>
  <c r="V70" i="20"/>
  <c r="U70" i="20"/>
  <c r="T70" i="20"/>
  <c r="M70" i="20"/>
  <c r="L70" i="20"/>
  <c r="K70" i="20"/>
  <c r="J70" i="20"/>
  <c r="BB70" i="20" s="1"/>
  <c r="I70" i="20"/>
  <c r="BA70" i="20" s="1"/>
  <c r="H70" i="20"/>
  <c r="AZ70" i="20" s="1"/>
  <c r="F70" i="20"/>
  <c r="AX70" i="20" s="1"/>
  <c r="AW69" i="20"/>
  <c r="AT69" i="20"/>
  <c r="AS69" i="20"/>
  <c r="AR69" i="20"/>
  <c r="AQ69" i="20"/>
  <c r="AP69" i="20"/>
  <c r="AO69" i="20"/>
  <c r="AN69" i="20"/>
  <c r="AM69" i="20"/>
  <c r="AL69" i="20"/>
  <c r="AJ69" i="20"/>
  <c r="AI69" i="20"/>
  <c r="AB69" i="20"/>
  <c r="AA69" i="20"/>
  <c r="Z69" i="20"/>
  <c r="Y69" i="20"/>
  <c r="X69" i="20"/>
  <c r="W69" i="20"/>
  <c r="V69" i="20"/>
  <c r="U69" i="20"/>
  <c r="T69" i="20"/>
  <c r="M69" i="20"/>
  <c r="L69" i="20"/>
  <c r="K69" i="20"/>
  <c r="J69" i="20"/>
  <c r="BB69" i="20" s="1"/>
  <c r="I69" i="20"/>
  <c r="BA69" i="20" s="1"/>
  <c r="H69" i="20"/>
  <c r="AZ69" i="20" s="1"/>
  <c r="F69" i="20"/>
  <c r="AX69" i="20" s="1"/>
  <c r="AW68" i="20"/>
  <c r="AT68" i="20"/>
  <c r="AS68" i="20"/>
  <c r="AR68" i="20"/>
  <c r="AQ68" i="20"/>
  <c r="AP68" i="20"/>
  <c r="AO68" i="20"/>
  <c r="AN68" i="20"/>
  <c r="AM68" i="20"/>
  <c r="AL68" i="20"/>
  <c r="AJ68" i="20"/>
  <c r="AI68" i="20"/>
  <c r="AB68" i="20"/>
  <c r="AA68" i="20"/>
  <c r="Z68" i="20"/>
  <c r="Y68" i="20"/>
  <c r="X68" i="20"/>
  <c r="W68" i="20"/>
  <c r="V68" i="20"/>
  <c r="U68" i="20"/>
  <c r="T68" i="20"/>
  <c r="M68" i="20"/>
  <c r="L68" i="20"/>
  <c r="K68" i="20"/>
  <c r="J68" i="20"/>
  <c r="BB68" i="20" s="1"/>
  <c r="I68" i="20"/>
  <c r="BA68" i="20" s="1"/>
  <c r="H68" i="20"/>
  <c r="AZ68" i="20" s="1"/>
  <c r="F68" i="20"/>
  <c r="AX68" i="20" s="1"/>
  <c r="AW67" i="20"/>
  <c r="AT67" i="20"/>
  <c r="AS67" i="20"/>
  <c r="AR67" i="20"/>
  <c r="AQ67" i="20"/>
  <c r="AP67" i="20"/>
  <c r="AO67" i="20"/>
  <c r="AN67" i="20"/>
  <c r="AM67" i="20"/>
  <c r="AL67" i="20"/>
  <c r="AJ67" i="20"/>
  <c r="AI67" i="20"/>
  <c r="AB67" i="20"/>
  <c r="AA67" i="20"/>
  <c r="Z67" i="20"/>
  <c r="Y67" i="20"/>
  <c r="X67" i="20"/>
  <c r="W67" i="20"/>
  <c r="V67" i="20"/>
  <c r="U67" i="20"/>
  <c r="T67" i="20"/>
  <c r="M67" i="20"/>
  <c r="L67" i="20"/>
  <c r="K67" i="20"/>
  <c r="J67" i="20"/>
  <c r="BB67" i="20" s="1"/>
  <c r="I67" i="20"/>
  <c r="BA67" i="20" s="1"/>
  <c r="H67" i="20"/>
  <c r="AZ67" i="20" s="1"/>
  <c r="F67" i="20"/>
  <c r="AX67" i="20" s="1"/>
  <c r="AW66" i="20"/>
  <c r="AT66" i="20"/>
  <c r="AS66" i="20"/>
  <c r="AR66" i="20"/>
  <c r="AQ66" i="20"/>
  <c r="AP66" i="20"/>
  <c r="AO66" i="20"/>
  <c r="AN66" i="20"/>
  <c r="AM66" i="20"/>
  <c r="AL66" i="20"/>
  <c r="AJ66" i="20"/>
  <c r="AI66" i="20"/>
  <c r="AB66" i="20"/>
  <c r="AA66" i="20"/>
  <c r="Z66" i="20"/>
  <c r="Y66" i="20"/>
  <c r="X66" i="20"/>
  <c r="W66" i="20"/>
  <c r="V66" i="20"/>
  <c r="U66" i="20"/>
  <c r="T66" i="20"/>
  <c r="M66" i="20"/>
  <c r="L66" i="20"/>
  <c r="K66" i="20"/>
  <c r="J66" i="20"/>
  <c r="BB66" i="20" s="1"/>
  <c r="I66" i="20"/>
  <c r="BA66" i="20" s="1"/>
  <c r="H66" i="20"/>
  <c r="AZ66" i="20" s="1"/>
  <c r="F66" i="20"/>
  <c r="AX66" i="20" s="1"/>
  <c r="AW65" i="20"/>
  <c r="AT65" i="20"/>
  <c r="AS65" i="20"/>
  <c r="AR65" i="20"/>
  <c r="AQ65" i="20"/>
  <c r="AP65" i="20"/>
  <c r="AO65" i="20"/>
  <c r="AN65" i="20"/>
  <c r="AM65" i="20"/>
  <c r="AL65" i="20"/>
  <c r="AJ65" i="20"/>
  <c r="AI65" i="20"/>
  <c r="AB65" i="20"/>
  <c r="AA65" i="20"/>
  <c r="Z65" i="20"/>
  <c r="Y65" i="20"/>
  <c r="X65" i="20"/>
  <c r="W65" i="20"/>
  <c r="V65" i="20"/>
  <c r="U65" i="20"/>
  <c r="T65" i="20"/>
  <c r="M65" i="20"/>
  <c r="L65" i="20"/>
  <c r="K65" i="20"/>
  <c r="J65" i="20"/>
  <c r="BB65" i="20" s="1"/>
  <c r="I65" i="20"/>
  <c r="BA65" i="20" s="1"/>
  <c r="H65" i="20"/>
  <c r="AZ65" i="20" s="1"/>
  <c r="F65" i="20"/>
  <c r="AX65" i="20" s="1"/>
  <c r="AW64" i="20"/>
  <c r="AT64" i="20"/>
  <c r="AS64" i="20"/>
  <c r="AR64" i="20"/>
  <c r="AQ64" i="20"/>
  <c r="AP64" i="20"/>
  <c r="AO64" i="20"/>
  <c r="AN64" i="20"/>
  <c r="AM64" i="20"/>
  <c r="AL64" i="20"/>
  <c r="AJ64" i="20"/>
  <c r="AI64" i="20"/>
  <c r="AB64" i="20"/>
  <c r="AA64" i="20"/>
  <c r="Z64" i="20"/>
  <c r="Y64" i="20"/>
  <c r="X64" i="20"/>
  <c r="W64" i="20"/>
  <c r="V64" i="20"/>
  <c r="U64" i="20"/>
  <c r="T64" i="20"/>
  <c r="M64" i="20"/>
  <c r="L64" i="20"/>
  <c r="K64" i="20"/>
  <c r="J64" i="20"/>
  <c r="BB64" i="20" s="1"/>
  <c r="I64" i="20"/>
  <c r="BA64" i="20" s="1"/>
  <c r="H64" i="20"/>
  <c r="AZ64" i="20" s="1"/>
  <c r="F64" i="20"/>
  <c r="AX64" i="20" s="1"/>
  <c r="AW63" i="20"/>
  <c r="AT63" i="20"/>
  <c r="AS63" i="20"/>
  <c r="AR63" i="20"/>
  <c r="AQ63" i="20"/>
  <c r="AP63" i="20"/>
  <c r="AO63" i="20"/>
  <c r="AN63" i="20"/>
  <c r="AM63" i="20"/>
  <c r="AL63" i="20"/>
  <c r="AJ63" i="20"/>
  <c r="AI63" i="20"/>
  <c r="AB63" i="20"/>
  <c r="AA63" i="20"/>
  <c r="Z63" i="20"/>
  <c r="Y63" i="20"/>
  <c r="X63" i="20"/>
  <c r="W63" i="20"/>
  <c r="V63" i="20"/>
  <c r="U63" i="20"/>
  <c r="T63" i="20"/>
  <c r="M63" i="20"/>
  <c r="L63" i="20"/>
  <c r="K63" i="20"/>
  <c r="J63" i="20"/>
  <c r="BB63" i="20" s="1"/>
  <c r="I63" i="20"/>
  <c r="BA63" i="20" s="1"/>
  <c r="H63" i="20"/>
  <c r="AZ63" i="20" s="1"/>
  <c r="F63" i="20"/>
  <c r="AX63" i="20" s="1"/>
  <c r="AW62" i="20"/>
  <c r="AT62" i="20"/>
  <c r="AS62" i="20"/>
  <c r="AR62" i="20"/>
  <c r="AQ62" i="20"/>
  <c r="AP62" i="20"/>
  <c r="AO62" i="20"/>
  <c r="AN62" i="20"/>
  <c r="AM62" i="20"/>
  <c r="AL62" i="20"/>
  <c r="AJ62" i="20"/>
  <c r="AI62" i="20"/>
  <c r="AB62" i="20"/>
  <c r="AA62" i="20"/>
  <c r="Z62" i="20"/>
  <c r="Y62" i="20"/>
  <c r="X62" i="20"/>
  <c r="W62" i="20"/>
  <c r="V62" i="20"/>
  <c r="U62" i="20"/>
  <c r="T62" i="20"/>
  <c r="M62" i="20"/>
  <c r="L62" i="20"/>
  <c r="K62" i="20"/>
  <c r="J62" i="20"/>
  <c r="BB62" i="20" s="1"/>
  <c r="I62" i="20"/>
  <c r="BA62" i="20" s="1"/>
  <c r="H62" i="20"/>
  <c r="AZ62" i="20" s="1"/>
  <c r="F62" i="20"/>
  <c r="AX62" i="20" s="1"/>
  <c r="AW61" i="20"/>
  <c r="AT61" i="20"/>
  <c r="AS61" i="20"/>
  <c r="AR61" i="20"/>
  <c r="AQ61" i="20"/>
  <c r="AP61" i="20"/>
  <c r="AO61" i="20"/>
  <c r="AN61" i="20"/>
  <c r="AM61" i="20"/>
  <c r="AL61" i="20"/>
  <c r="AJ61" i="20"/>
  <c r="AI61" i="20"/>
  <c r="AB61" i="20"/>
  <c r="AA61" i="20"/>
  <c r="Z61" i="20"/>
  <c r="Y61" i="20"/>
  <c r="X61" i="20"/>
  <c r="W61" i="20"/>
  <c r="V61" i="20"/>
  <c r="U61" i="20"/>
  <c r="T61" i="20"/>
  <c r="M61" i="20"/>
  <c r="L61" i="20"/>
  <c r="K61" i="20"/>
  <c r="J61" i="20"/>
  <c r="BB61" i="20" s="1"/>
  <c r="I61" i="20"/>
  <c r="BA61" i="20" s="1"/>
  <c r="H61" i="20"/>
  <c r="AZ61" i="20" s="1"/>
  <c r="F61" i="20"/>
  <c r="AX61" i="20" s="1"/>
  <c r="AW60" i="20"/>
  <c r="AT60" i="20"/>
  <c r="AS60" i="20"/>
  <c r="AR60" i="20"/>
  <c r="AQ60" i="20"/>
  <c r="AP60" i="20"/>
  <c r="AO60" i="20"/>
  <c r="AN60" i="20"/>
  <c r="AM60" i="20"/>
  <c r="AL60" i="20"/>
  <c r="AJ60" i="20"/>
  <c r="AI60" i="20"/>
  <c r="AB60" i="20"/>
  <c r="AA60" i="20"/>
  <c r="Z60" i="20"/>
  <c r="Y60" i="20"/>
  <c r="X60" i="20"/>
  <c r="W60" i="20"/>
  <c r="V60" i="20"/>
  <c r="U60" i="20"/>
  <c r="T60" i="20"/>
  <c r="M60" i="20"/>
  <c r="L60" i="20"/>
  <c r="K60" i="20"/>
  <c r="J60" i="20"/>
  <c r="BB60" i="20" s="1"/>
  <c r="I60" i="20"/>
  <c r="BA60" i="20" s="1"/>
  <c r="H60" i="20"/>
  <c r="AZ60" i="20" s="1"/>
  <c r="F60" i="20"/>
  <c r="AX60" i="20" s="1"/>
  <c r="AW59" i="20"/>
  <c r="AT59" i="20"/>
  <c r="AS59" i="20"/>
  <c r="AR59" i="20"/>
  <c r="AQ59" i="20"/>
  <c r="AP59" i="20"/>
  <c r="AO59" i="20"/>
  <c r="AN59" i="20"/>
  <c r="AM59" i="20"/>
  <c r="AL59" i="20"/>
  <c r="AJ59" i="20"/>
  <c r="AI59" i="20"/>
  <c r="AB59" i="20"/>
  <c r="AA59" i="20"/>
  <c r="Z59" i="20"/>
  <c r="Y59" i="20"/>
  <c r="X59" i="20"/>
  <c r="W59" i="20"/>
  <c r="V59" i="20"/>
  <c r="U59" i="20"/>
  <c r="T59" i="20"/>
  <c r="M59" i="20"/>
  <c r="L59" i="20"/>
  <c r="K59" i="20"/>
  <c r="J59" i="20"/>
  <c r="BB59" i="20" s="1"/>
  <c r="I59" i="20"/>
  <c r="BA59" i="20" s="1"/>
  <c r="H59" i="20"/>
  <c r="AZ59" i="20" s="1"/>
  <c r="F59" i="20"/>
  <c r="AX59" i="20" s="1"/>
  <c r="AW58" i="20"/>
  <c r="AT58" i="20"/>
  <c r="AS58" i="20"/>
  <c r="AR58" i="20"/>
  <c r="AQ58" i="20"/>
  <c r="AP58" i="20"/>
  <c r="AO58" i="20"/>
  <c r="AN58" i="20"/>
  <c r="AM58" i="20"/>
  <c r="AL58" i="20"/>
  <c r="AJ58" i="20"/>
  <c r="AI58" i="20"/>
  <c r="AB58" i="20"/>
  <c r="AA58" i="20"/>
  <c r="Z58" i="20"/>
  <c r="Y58" i="20"/>
  <c r="X58" i="20"/>
  <c r="W58" i="20"/>
  <c r="V58" i="20"/>
  <c r="U58" i="20"/>
  <c r="T58" i="20"/>
  <c r="M58" i="20"/>
  <c r="L58" i="20"/>
  <c r="K58" i="20"/>
  <c r="J58" i="20"/>
  <c r="BB58" i="20" s="1"/>
  <c r="I58" i="20"/>
  <c r="BA58" i="20" s="1"/>
  <c r="H58" i="20"/>
  <c r="AZ58" i="20" s="1"/>
  <c r="F58" i="20"/>
  <c r="AX58" i="20" s="1"/>
  <c r="AW57" i="20"/>
  <c r="AT57" i="20"/>
  <c r="AS57" i="20"/>
  <c r="AR57" i="20"/>
  <c r="AQ57" i="20"/>
  <c r="AP57" i="20"/>
  <c r="AO57" i="20"/>
  <c r="AN57" i="20"/>
  <c r="AM57" i="20"/>
  <c r="AL57" i="20"/>
  <c r="AJ57" i="20"/>
  <c r="AI57" i="20"/>
  <c r="AB57" i="20"/>
  <c r="AA57" i="20"/>
  <c r="Z57" i="20"/>
  <c r="Y57" i="20"/>
  <c r="X57" i="20"/>
  <c r="W57" i="20"/>
  <c r="V57" i="20"/>
  <c r="U57" i="20"/>
  <c r="T57" i="20"/>
  <c r="M57" i="20"/>
  <c r="L57" i="20"/>
  <c r="K57" i="20"/>
  <c r="J57" i="20"/>
  <c r="BB57" i="20" s="1"/>
  <c r="I57" i="20"/>
  <c r="BA57" i="20" s="1"/>
  <c r="H57" i="20"/>
  <c r="AZ57" i="20" s="1"/>
  <c r="F57" i="20"/>
  <c r="AX57" i="20" s="1"/>
  <c r="AW56" i="20"/>
  <c r="AT56" i="20"/>
  <c r="AS56" i="20"/>
  <c r="AR56" i="20"/>
  <c r="AQ56" i="20"/>
  <c r="AP56" i="20"/>
  <c r="AO56" i="20"/>
  <c r="AN56" i="20"/>
  <c r="AM56" i="20"/>
  <c r="AL56" i="20"/>
  <c r="AJ56" i="20"/>
  <c r="AI56" i="20"/>
  <c r="AB56" i="20"/>
  <c r="AA56" i="20"/>
  <c r="Z56" i="20"/>
  <c r="Y56" i="20"/>
  <c r="X56" i="20"/>
  <c r="W56" i="20"/>
  <c r="V56" i="20"/>
  <c r="U56" i="20"/>
  <c r="T56" i="20"/>
  <c r="M56" i="20"/>
  <c r="L56" i="20"/>
  <c r="K56" i="20"/>
  <c r="J56" i="20"/>
  <c r="BB56" i="20" s="1"/>
  <c r="I56" i="20"/>
  <c r="BA56" i="20" s="1"/>
  <c r="H56" i="20"/>
  <c r="AZ56" i="20" s="1"/>
  <c r="F56" i="20"/>
  <c r="AX56" i="20" s="1"/>
  <c r="AW55" i="20"/>
  <c r="AT55" i="20"/>
  <c r="AS55" i="20"/>
  <c r="AR55" i="20"/>
  <c r="AQ55" i="20"/>
  <c r="AP55" i="20"/>
  <c r="AO55" i="20"/>
  <c r="AN55" i="20"/>
  <c r="AM55" i="20"/>
  <c r="AL55" i="20"/>
  <c r="AJ55" i="20"/>
  <c r="AI55" i="20"/>
  <c r="AB55" i="20"/>
  <c r="AA55" i="20"/>
  <c r="Z55" i="20"/>
  <c r="Y55" i="20"/>
  <c r="X55" i="20"/>
  <c r="W55" i="20"/>
  <c r="V55" i="20"/>
  <c r="U55" i="20"/>
  <c r="T55" i="20"/>
  <c r="M55" i="20"/>
  <c r="L55" i="20"/>
  <c r="K55" i="20"/>
  <c r="J55" i="20"/>
  <c r="BB55" i="20" s="1"/>
  <c r="I55" i="20"/>
  <c r="BA55" i="20" s="1"/>
  <c r="H55" i="20"/>
  <c r="AZ55" i="20" s="1"/>
  <c r="F55" i="20"/>
  <c r="AX55" i="20" s="1"/>
  <c r="AW54" i="20"/>
  <c r="AT54" i="20"/>
  <c r="AS54" i="20"/>
  <c r="AR54" i="20"/>
  <c r="AQ54" i="20"/>
  <c r="AP54" i="20"/>
  <c r="AO54" i="20"/>
  <c r="AN54" i="20"/>
  <c r="AM54" i="20"/>
  <c r="AL54" i="20"/>
  <c r="AJ54" i="20"/>
  <c r="AI54" i="20"/>
  <c r="AB54" i="20"/>
  <c r="AA54" i="20"/>
  <c r="Z54" i="20"/>
  <c r="Y54" i="20"/>
  <c r="X54" i="20"/>
  <c r="W54" i="20"/>
  <c r="V54" i="20"/>
  <c r="U54" i="20"/>
  <c r="T54" i="20"/>
  <c r="M54" i="20"/>
  <c r="L54" i="20"/>
  <c r="K54" i="20"/>
  <c r="J54" i="20"/>
  <c r="BB54" i="20" s="1"/>
  <c r="I54" i="20"/>
  <c r="BA54" i="20" s="1"/>
  <c r="H54" i="20"/>
  <c r="AZ54" i="20" s="1"/>
  <c r="F54" i="20"/>
  <c r="AX54" i="20" s="1"/>
  <c r="AW53" i="20"/>
  <c r="AT53" i="20"/>
  <c r="AS53" i="20"/>
  <c r="AR53" i="20"/>
  <c r="AQ53" i="20"/>
  <c r="AP53" i="20"/>
  <c r="AO53" i="20"/>
  <c r="AN53" i="20"/>
  <c r="AM53" i="20"/>
  <c r="AL53" i="20"/>
  <c r="AJ53" i="20"/>
  <c r="AI53" i="20"/>
  <c r="AB53" i="20"/>
  <c r="AA53" i="20"/>
  <c r="Z53" i="20"/>
  <c r="Y53" i="20"/>
  <c r="X53" i="20"/>
  <c r="W53" i="20"/>
  <c r="V53" i="20"/>
  <c r="U53" i="20"/>
  <c r="T53" i="20"/>
  <c r="M53" i="20"/>
  <c r="L53" i="20"/>
  <c r="K53" i="20"/>
  <c r="J53" i="20"/>
  <c r="BB53" i="20" s="1"/>
  <c r="I53" i="20"/>
  <c r="BA53" i="20" s="1"/>
  <c r="H53" i="20"/>
  <c r="AZ53" i="20" s="1"/>
  <c r="F53" i="20"/>
  <c r="AX53" i="20" s="1"/>
  <c r="AW52" i="20"/>
  <c r="AT52" i="20"/>
  <c r="AS52" i="20"/>
  <c r="AR52" i="20"/>
  <c r="AQ52" i="20"/>
  <c r="AP52" i="20"/>
  <c r="AO52" i="20"/>
  <c r="AN52" i="20"/>
  <c r="AM52" i="20"/>
  <c r="AL52" i="20"/>
  <c r="AJ52" i="20"/>
  <c r="AI52" i="20"/>
  <c r="AB52" i="20"/>
  <c r="AA52" i="20"/>
  <c r="Z52" i="20"/>
  <c r="Y52" i="20"/>
  <c r="X52" i="20"/>
  <c r="W52" i="20"/>
  <c r="V52" i="20"/>
  <c r="U52" i="20"/>
  <c r="T52" i="20"/>
  <c r="M52" i="20"/>
  <c r="L52" i="20"/>
  <c r="K52" i="20"/>
  <c r="J52" i="20"/>
  <c r="BB52" i="20" s="1"/>
  <c r="I52" i="20"/>
  <c r="BA52" i="20" s="1"/>
  <c r="H52" i="20"/>
  <c r="AZ52" i="20" s="1"/>
  <c r="F52" i="20"/>
  <c r="AX52" i="20" s="1"/>
  <c r="AW51" i="20"/>
  <c r="AT51" i="20"/>
  <c r="AS51" i="20"/>
  <c r="AR51" i="20"/>
  <c r="AQ51" i="20"/>
  <c r="AP51" i="20"/>
  <c r="AO51" i="20"/>
  <c r="AN51" i="20"/>
  <c r="AM51" i="20"/>
  <c r="AL51" i="20"/>
  <c r="AJ51" i="20"/>
  <c r="AI51" i="20"/>
  <c r="AB51" i="20"/>
  <c r="AA51" i="20"/>
  <c r="Z51" i="20"/>
  <c r="Y51" i="20"/>
  <c r="X51" i="20"/>
  <c r="W51" i="20"/>
  <c r="V51" i="20"/>
  <c r="U51" i="20"/>
  <c r="T51" i="20"/>
  <c r="M51" i="20"/>
  <c r="L51" i="20"/>
  <c r="K51" i="20"/>
  <c r="J51" i="20"/>
  <c r="BB51" i="20" s="1"/>
  <c r="I51" i="20"/>
  <c r="BA51" i="20" s="1"/>
  <c r="H51" i="20"/>
  <c r="AZ51" i="20" s="1"/>
  <c r="F51" i="20"/>
  <c r="AX51" i="20" s="1"/>
  <c r="AW50" i="20"/>
  <c r="AT50" i="20"/>
  <c r="AS50" i="20"/>
  <c r="AR50" i="20"/>
  <c r="AQ50" i="20"/>
  <c r="AP50" i="20"/>
  <c r="AO50" i="20"/>
  <c r="AN50" i="20"/>
  <c r="AM50" i="20"/>
  <c r="AL50" i="20"/>
  <c r="AJ50" i="20"/>
  <c r="AI50" i="20"/>
  <c r="AB50" i="20"/>
  <c r="AA50" i="20"/>
  <c r="Z50" i="20"/>
  <c r="Y50" i="20"/>
  <c r="X50" i="20"/>
  <c r="W50" i="20"/>
  <c r="V50" i="20"/>
  <c r="U50" i="20"/>
  <c r="T50" i="20"/>
  <c r="M50" i="20"/>
  <c r="L50" i="20"/>
  <c r="K50" i="20"/>
  <c r="J50" i="20"/>
  <c r="BB50" i="20" s="1"/>
  <c r="I50" i="20"/>
  <c r="BA50" i="20" s="1"/>
  <c r="H50" i="20"/>
  <c r="AZ50" i="20" s="1"/>
  <c r="F50" i="20"/>
  <c r="AX50" i="20" s="1"/>
  <c r="AW49" i="20"/>
  <c r="AT49" i="20"/>
  <c r="AS49" i="20"/>
  <c r="AR49" i="20"/>
  <c r="AQ49" i="20"/>
  <c r="AP49" i="20"/>
  <c r="AO49" i="20"/>
  <c r="AN49" i="20"/>
  <c r="AM49" i="20"/>
  <c r="AL49" i="20"/>
  <c r="AJ49" i="20"/>
  <c r="AI49" i="20"/>
  <c r="AB49" i="20"/>
  <c r="AA49" i="20"/>
  <c r="Z49" i="20"/>
  <c r="Y49" i="20"/>
  <c r="X49" i="20"/>
  <c r="W49" i="20"/>
  <c r="V49" i="20"/>
  <c r="U49" i="20"/>
  <c r="T49" i="20"/>
  <c r="M49" i="20"/>
  <c r="L49" i="20"/>
  <c r="K49" i="20"/>
  <c r="J49" i="20"/>
  <c r="BB49" i="20" s="1"/>
  <c r="I49" i="20"/>
  <c r="BA49" i="20" s="1"/>
  <c r="H49" i="20"/>
  <c r="AZ49" i="20" s="1"/>
  <c r="F49" i="20"/>
  <c r="AX49" i="20" s="1"/>
  <c r="AW48" i="20"/>
  <c r="AT48" i="20"/>
  <c r="AS48" i="20"/>
  <c r="AR48" i="20"/>
  <c r="AQ48" i="20"/>
  <c r="AP48" i="20"/>
  <c r="AO48" i="20"/>
  <c r="AN48" i="20"/>
  <c r="AM48" i="20"/>
  <c r="AL48" i="20"/>
  <c r="AJ48" i="20"/>
  <c r="AI48" i="20"/>
  <c r="AB48" i="20"/>
  <c r="AA48" i="20"/>
  <c r="Z48" i="20"/>
  <c r="Y48" i="20"/>
  <c r="X48" i="20"/>
  <c r="W48" i="20"/>
  <c r="V48" i="20"/>
  <c r="U48" i="20"/>
  <c r="T48" i="20"/>
  <c r="M48" i="20"/>
  <c r="L48" i="20"/>
  <c r="K48" i="20"/>
  <c r="J48" i="20"/>
  <c r="BB48" i="20" s="1"/>
  <c r="I48" i="20"/>
  <c r="BA48" i="20" s="1"/>
  <c r="H48" i="20"/>
  <c r="AZ48" i="20" s="1"/>
  <c r="F48" i="20"/>
  <c r="AX48" i="20" s="1"/>
  <c r="AW47" i="20"/>
  <c r="AT47" i="20"/>
  <c r="AS47" i="20"/>
  <c r="AR47" i="20"/>
  <c r="AQ47" i="20"/>
  <c r="AP47" i="20"/>
  <c r="AO47" i="20"/>
  <c r="AN47" i="20"/>
  <c r="AM47" i="20"/>
  <c r="AL47" i="20"/>
  <c r="AJ47" i="20"/>
  <c r="AI47" i="20"/>
  <c r="AB47" i="20"/>
  <c r="AA47" i="20"/>
  <c r="Z47" i="20"/>
  <c r="Y47" i="20"/>
  <c r="X47" i="20"/>
  <c r="W47" i="20"/>
  <c r="V47" i="20"/>
  <c r="U47" i="20"/>
  <c r="T47" i="20"/>
  <c r="M47" i="20"/>
  <c r="L47" i="20"/>
  <c r="K47" i="20"/>
  <c r="J47" i="20"/>
  <c r="BB47" i="20" s="1"/>
  <c r="I47" i="20"/>
  <c r="BA47" i="20" s="1"/>
  <c r="H47" i="20"/>
  <c r="AZ47" i="20" s="1"/>
  <c r="F47" i="20"/>
  <c r="AX47" i="20" s="1"/>
  <c r="AW46" i="20"/>
  <c r="AT46" i="20"/>
  <c r="AS46" i="20"/>
  <c r="AR46" i="20"/>
  <c r="AQ46" i="20"/>
  <c r="AP46" i="20"/>
  <c r="AO46" i="20"/>
  <c r="AN46" i="20"/>
  <c r="AM46" i="20"/>
  <c r="AL46" i="20"/>
  <c r="AJ46" i="20"/>
  <c r="AI46" i="20"/>
  <c r="AB46" i="20"/>
  <c r="AA46" i="20"/>
  <c r="Z46" i="20"/>
  <c r="Y46" i="20"/>
  <c r="X46" i="20"/>
  <c r="W46" i="20"/>
  <c r="V46" i="20"/>
  <c r="U46" i="20"/>
  <c r="T46" i="20"/>
  <c r="M46" i="20"/>
  <c r="L46" i="20"/>
  <c r="K46" i="20"/>
  <c r="J46" i="20"/>
  <c r="BB46" i="20" s="1"/>
  <c r="I46" i="20"/>
  <c r="BA46" i="20" s="1"/>
  <c r="H46" i="20"/>
  <c r="AZ46" i="20" s="1"/>
  <c r="F46" i="20"/>
  <c r="AX46" i="20" s="1"/>
  <c r="AW45" i="20"/>
  <c r="AT45" i="20"/>
  <c r="AS45" i="20"/>
  <c r="AR45" i="20"/>
  <c r="AQ45" i="20"/>
  <c r="AP45" i="20"/>
  <c r="AO45" i="20"/>
  <c r="AN45" i="20"/>
  <c r="AM45" i="20"/>
  <c r="AL45" i="20"/>
  <c r="AJ45" i="20"/>
  <c r="AI45" i="20"/>
  <c r="AB45" i="20"/>
  <c r="AA45" i="20"/>
  <c r="Z45" i="20"/>
  <c r="Y45" i="20"/>
  <c r="X45" i="20"/>
  <c r="W45" i="20"/>
  <c r="V45" i="20"/>
  <c r="U45" i="20"/>
  <c r="T45" i="20"/>
  <c r="M45" i="20"/>
  <c r="L45" i="20"/>
  <c r="K45" i="20"/>
  <c r="J45" i="20"/>
  <c r="BB45" i="20" s="1"/>
  <c r="I45" i="20"/>
  <c r="BA45" i="20" s="1"/>
  <c r="H45" i="20"/>
  <c r="AZ45" i="20" s="1"/>
  <c r="F45" i="20"/>
  <c r="AX45" i="20" s="1"/>
  <c r="AW44" i="20"/>
  <c r="AT44" i="20"/>
  <c r="AS44" i="20"/>
  <c r="AR44" i="20"/>
  <c r="AQ44" i="20"/>
  <c r="AP44" i="20"/>
  <c r="AO44" i="20"/>
  <c r="AN44" i="20"/>
  <c r="AM44" i="20"/>
  <c r="AL44" i="20"/>
  <c r="AJ44" i="20"/>
  <c r="AI44" i="20"/>
  <c r="AB44" i="20"/>
  <c r="AA44" i="20"/>
  <c r="Z44" i="20"/>
  <c r="Y44" i="20"/>
  <c r="X44" i="20"/>
  <c r="W44" i="20"/>
  <c r="V44" i="20"/>
  <c r="U44" i="20"/>
  <c r="T44" i="20"/>
  <c r="M44" i="20"/>
  <c r="L44" i="20"/>
  <c r="K44" i="20"/>
  <c r="J44" i="20"/>
  <c r="BB44" i="20" s="1"/>
  <c r="I44" i="20"/>
  <c r="BA44" i="20" s="1"/>
  <c r="H44" i="20"/>
  <c r="AZ44" i="20" s="1"/>
  <c r="F44" i="20"/>
  <c r="AX44" i="20" s="1"/>
  <c r="AW43" i="20"/>
  <c r="AT43" i="20"/>
  <c r="AS43" i="20"/>
  <c r="AR43" i="20"/>
  <c r="AQ43" i="20"/>
  <c r="AP43" i="20"/>
  <c r="AO43" i="20"/>
  <c r="AN43" i="20"/>
  <c r="AM43" i="20"/>
  <c r="AL43" i="20"/>
  <c r="AJ43" i="20"/>
  <c r="AI43" i="20"/>
  <c r="AB43" i="20"/>
  <c r="AA43" i="20"/>
  <c r="Z43" i="20"/>
  <c r="Y43" i="20"/>
  <c r="X43" i="20"/>
  <c r="W43" i="20"/>
  <c r="V43" i="20"/>
  <c r="U43" i="20"/>
  <c r="T43" i="20"/>
  <c r="M43" i="20"/>
  <c r="L43" i="20"/>
  <c r="K43" i="20"/>
  <c r="J43" i="20"/>
  <c r="BB43" i="20" s="1"/>
  <c r="I43" i="20"/>
  <c r="BA43" i="20" s="1"/>
  <c r="H43" i="20"/>
  <c r="AZ43" i="20" s="1"/>
  <c r="F43" i="20"/>
  <c r="AX43" i="20" s="1"/>
  <c r="AW42" i="20"/>
  <c r="AT42" i="20"/>
  <c r="AS42" i="20"/>
  <c r="AR42" i="20"/>
  <c r="AQ42" i="20"/>
  <c r="AP42" i="20"/>
  <c r="AO42" i="20"/>
  <c r="AN42" i="20"/>
  <c r="AM42" i="20"/>
  <c r="AL42" i="20"/>
  <c r="AJ42" i="20"/>
  <c r="AI42" i="20"/>
  <c r="AB42" i="20"/>
  <c r="AA42" i="20"/>
  <c r="Z42" i="20"/>
  <c r="Y42" i="20"/>
  <c r="X42" i="20"/>
  <c r="W42" i="20"/>
  <c r="V42" i="20"/>
  <c r="U42" i="20"/>
  <c r="T42" i="20"/>
  <c r="M42" i="20"/>
  <c r="L42" i="20"/>
  <c r="K42" i="20"/>
  <c r="J42" i="20"/>
  <c r="BB42" i="20" s="1"/>
  <c r="I42" i="20"/>
  <c r="BA42" i="20" s="1"/>
  <c r="H42" i="20"/>
  <c r="AZ42" i="20" s="1"/>
  <c r="F42" i="20"/>
  <c r="AX42" i="20" s="1"/>
  <c r="AW41" i="20"/>
  <c r="AT41" i="20"/>
  <c r="AS41" i="20"/>
  <c r="AR41" i="20"/>
  <c r="AQ41" i="20"/>
  <c r="AP41" i="20"/>
  <c r="AO41" i="20"/>
  <c r="AN41" i="20"/>
  <c r="AM41" i="20"/>
  <c r="AL41" i="20"/>
  <c r="AJ41" i="20"/>
  <c r="AI41" i="20"/>
  <c r="AB41" i="20"/>
  <c r="AA41" i="20"/>
  <c r="Z41" i="20"/>
  <c r="Y41" i="20"/>
  <c r="X41" i="20"/>
  <c r="W41" i="20"/>
  <c r="V41" i="20"/>
  <c r="U41" i="20"/>
  <c r="T41" i="20"/>
  <c r="M41" i="20"/>
  <c r="L41" i="20"/>
  <c r="K41" i="20"/>
  <c r="J41" i="20"/>
  <c r="BB41" i="20" s="1"/>
  <c r="I41" i="20"/>
  <c r="BA41" i="20" s="1"/>
  <c r="H41" i="20"/>
  <c r="AZ41" i="20" s="1"/>
  <c r="F41" i="20"/>
  <c r="AX41" i="20" s="1"/>
  <c r="AW40" i="20"/>
  <c r="AT40" i="20"/>
  <c r="AS40" i="20"/>
  <c r="AR40" i="20"/>
  <c r="AQ40" i="20"/>
  <c r="AP40" i="20"/>
  <c r="AO40" i="20"/>
  <c r="AN40" i="20"/>
  <c r="AM40" i="20"/>
  <c r="AL40" i="20"/>
  <c r="AJ40" i="20"/>
  <c r="AI40" i="20"/>
  <c r="AB40" i="20"/>
  <c r="AA40" i="20"/>
  <c r="Z40" i="20"/>
  <c r="Y40" i="20"/>
  <c r="X40" i="20"/>
  <c r="W40" i="20"/>
  <c r="V40" i="20"/>
  <c r="U40" i="20"/>
  <c r="T40" i="20"/>
  <c r="M40" i="20"/>
  <c r="L40" i="20"/>
  <c r="K40" i="20"/>
  <c r="J40" i="20"/>
  <c r="BB40" i="20" s="1"/>
  <c r="I40" i="20"/>
  <c r="BA40" i="20" s="1"/>
  <c r="H40" i="20"/>
  <c r="AZ40" i="20" s="1"/>
  <c r="F40" i="20"/>
  <c r="AX40" i="20" s="1"/>
  <c r="AW39" i="20"/>
  <c r="AT39" i="20"/>
  <c r="AS39" i="20"/>
  <c r="AR39" i="20"/>
  <c r="AQ39" i="20"/>
  <c r="AP39" i="20"/>
  <c r="AO39" i="20"/>
  <c r="AN39" i="20"/>
  <c r="AM39" i="20"/>
  <c r="AL39" i="20"/>
  <c r="AJ39" i="20"/>
  <c r="AI39" i="20"/>
  <c r="AB39" i="20"/>
  <c r="AA39" i="20"/>
  <c r="Z39" i="20"/>
  <c r="Y39" i="20"/>
  <c r="X39" i="20"/>
  <c r="W39" i="20"/>
  <c r="V39" i="20"/>
  <c r="U39" i="20"/>
  <c r="T39" i="20"/>
  <c r="M39" i="20"/>
  <c r="L39" i="20"/>
  <c r="K39" i="20"/>
  <c r="J39" i="20"/>
  <c r="BB39" i="20" s="1"/>
  <c r="I39" i="20"/>
  <c r="BA39" i="20" s="1"/>
  <c r="H39" i="20"/>
  <c r="AZ39" i="20" s="1"/>
  <c r="F39" i="20"/>
  <c r="AX39" i="20" s="1"/>
  <c r="AW38" i="20"/>
  <c r="AT38" i="20"/>
  <c r="AS38" i="20"/>
  <c r="AR38" i="20"/>
  <c r="AQ38" i="20"/>
  <c r="AP38" i="20"/>
  <c r="AO38" i="20"/>
  <c r="AN38" i="20"/>
  <c r="AM38" i="20"/>
  <c r="AL38" i="20"/>
  <c r="AJ38" i="20"/>
  <c r="AI38" i="20"/>
  <c r="AB38" i="20"/>
  <c r="AA38" i="20"/>
  <c r="Z38" i="20"/>
  <c r="Y38" i="20"/>
  <c r="X38" i="20"/>
  <c r="W38" i="20"/>
  <c r="V38" i="20"/>
  <c r="U38" i="20"/>
  <c r="T38" i="20"/>
  <c r="M38" i="20"/>
  <c r="L38" i="20"/>
  <c r="K38" i="20"/>
  <c r="J38" i="20"/>
  <c r="BB38" i="20" s="1"/>
  <c r="I38" i="20"/>
  <c r="BA38" i="20" s="1"/>
  <c r="H38" i="20"/>
  <c r="AZ38" i="20" s="1"/>
  <c r="F38" i="20"/>
  <c r="AX38" i="20" s="1"/>
  <c r="AW37" i="20"/>
  <c r="AT37" i="20"/>
  <c r="AS37" i="20"/>
  <c r="AR37" i="20"/>
  <c r="AQ37" i="20"/>
  <c r="AP37" i="20"/>
  <c r="AO37" i="20"/>
  <c r="AN37" i="20"/>
  <c r="AM37" i="20"/>
  <c r="AL37" i="20"/>
  <c r="AJ37" i="20"/>
  <c r="AI37" i="20"/>
  <c r="AB37" i="20"/>
  <c r="AA37" i="20"/>
  <c r="Z37" i="20"/>
  <c r="Y37" i="20"/>
  <c r="X37" i="20"/>
  <c r="W37" i="20"/>
  <c r="V37" i="20"/>
  <c r="U37" i="20"/>
  <c r="T37" i="20"/>
  <c r="M37" i="20"/>
  <c r="L37" i="20"/>
  <c r="K37" i="20"/>
  <c r="J37" i="20"/>
  <c r="BB37" i="20" s="1"/>
  <c r="I37" i="20"/>
  <c r="BA37" i="20" s="1"/>
  <c r="H37" i="20"/>
  <c r="AZ37" i="20" s="1"/>
  <c r="F37" i="20"/>
  <c r="AX37" i="20" s="1"/>
  <c r="AW36" i="20"/>
  <c r="AT36" i="20"/>
  <c r="AS36" i="20"/>
  <c r="AR36" i="20"/>
  <c r="AQ36" i="20"/>
  <c r="AP36" i="20"/>
  <c r="AO36" i="20"/>
  <c r="AN36" i="20"/>
  <c r="AM36" i="20"/>
  <c r="AL36" i="20"/>
  <c r="AJ36" i="20"/>
  <c r="AI36" i="20"/>
  <c r="AB36" i="20"/>
  <c r="AA36" i="20"/>
  <c r="Z36" i="20"/>
  <c r="Y36" i="20"/>
  <c r="X36" i="20"/>
  <c r="W36" i="20"/>
  <c r="V36" i="20"/>
  <c r="U36" i="20"/>
  <c r="T36" i="20"/>
  <c r="M36" i="20"/>
  <c r="L36" i="20"/>
  <c r="K36" i="20"/>
  <c r="J36" i="20"/>
  <c r="BB36" i="20" s="1"/>
  <c r="I36" i="20"/>
  <c r="BA36" i="20" s="1"/>
  <c r="H36" i="20"/>
  <c r="AZ36" i="20" s="1"/>
  <c r="F36" i="20"/>
  <c r="AX36" i="20" s="1"/>
  <c r="AW35" i="20"/>
  <c r="AT35" i="20"/>
  <c r="AS35" i="20"/>
  <c r="AR35" i="20"/>
  <c r="AQ35" i="20"/>
  <c r="AP35" i="20"/>
  <c r="AO35" i="20"/>
  <c r="AN35" i="20"/>
  <c r="AM35" i="20"/>
  <c r="AL35" i="20"/>
  <c r="AJ35" i="20"/>
  <c r="AI35" i="20"/>
  <c r="AB35" i="20"/>
  <c r="AA35" i="20"/>
  <c r="Z35" i="20"/>
  <c r="Y35" i="20"/>
  <c r="X35" i="20"/>
  <c r="W35" i="20"/>
  <c r="V35" i="20"/>
  <c r="U35" i="20"/>
  <c r="T35" i="20"/>
  <c r="M35" i="20"/>
  <c r="L35" i="20"/>
  <c r="K35" i="20"/>
  <c r="J35" i="20"/>
  <c r="BB35" i="20" s="1"/>
  <c r="I35" i="20"/>
  <c r="BA35" i="20" s="1"/>
  <c r="H35" i="20"/>
  <c r="AZ35" i="20" s="1"/>
  <c r="F35" i="20"/>
  <c r="AX35" i="20" s="1"/>
  <c r="AW34" i="20"/>
  <c r="AT34" i="20"/>
  <c r="AS34" i="20"/>
  <c r="AR34" i="20"/>
  <c r="AQ34" i="20"/>
  <c r="AP34" i="20"/>
  <c r="AO34" i="20"/>
  <c r="AN34" i="20"/>
  <c r="AM34" i="20"/>
  <c r="AL34" i="20"/>
  <c r="AJ34" i="20"/>
  <c r="AI34" i="20"/>
  <c r="AB34" i="20"/>
  <c r="AA34" i="20"/>
  <c r="Z34" i="20"/>
  <c r="Y34" i="20"/>
  <c r="X34" i="20"/>
  <c r="W34" i="20"/>
  <c r="V34" i="20"/>
  <c r="U34" i="20"/>
  <c r="T34" i="20"/>
  <c r="M34" i="20"/>
  <c r="L34" i="20"/>
  <c r="K34" i="20"/>
  <c r="J34" i="20"/>
  <c r="BB34" i="20" s="1"/>
  <c r="I34" i="20"/>
  <c r="BA34" i="20" s="1"/>
  <c r="H34" i="20"/>
  <c r="AZ34" i="20" s="1"/>
  <c r="F34" i="20"/>
  <c r="AX34" i="20" s="1"/>
  <c r="AW33" i="20"/>
  <c r="AT33" i="20"/>
  <c r="AS33" i="20"/>
  <c r="AR33" i="20"/>
  <c r="AQ33" i="20"/>
  <c r="AP33" i="20"/>
  <c r="AO33" i="20"/>
  <c r="AN33" i="20"/>
  <c r="AM33" i="20"/>
  <c r="AL33" i="20"/>
  <c r="AJ33" i="20"/>
  <c r="AI33" i="20"/>
  <c r="AB33" i="20"/>
  <c r="AA33" i="20"/>
  <c r="Z33" i="20"/>
  <c r="Y33" i="20"/>
  <c r="X33" i="20"/>
  <c r="W33" i="20"/>
  <c r="V33" i="20"/>
  <c r="U33" i="20"/>
  <c r="T33" i="20"/>
  <c r="M33" i="20"/>
  <c r="L33" i="20"/>
  <c r="K33" i="20"/>
  <c r="J33" i="20"/>
  <c r="BB33" i="20" s="1"/>
  <c r="I33" i="20"/>
  <c r="BA33" i="20" s="1"/>
  <c r="H33" i="20"/>
  <c r="AZ33" i="20" s="1"/>
  <c r="F33" i="20"/>
  <c r="AX33" i="20" s="1"/>
  <c r="AW32" i="20"/>
  <c r="AT32" i="20"/>
  <c r="AS32" i="20"/>
  <c r="AR32" i="20"/>
  <c r="AQ32" i="20"/>
  <c r="AP32" i="20"/>
  <c r="AO32" i="20"/>
  <c r="AN32" i="20"/>
  <c r="AM32" i="20"/>
  <c r="AL32" i="20"/>
  <c r="AJ32" i="20"/>
  <c r="AI32" i="20"/>
  <c r="AB32" i="20"/>
  <c r="AA32" i="20"/>
  <c r="Z32" i="20"/>
  <c r="Y32" i="20"/>
  <c r="X32" i="20"/>
  <c r="W32" i="20"/>
  <c r="V32" i="20"/>
  <c r="U32" i="20"/>
  <c r="T32" i="20"/>
  <c r="M32" i="20"/>
  <c r="L32" i="20"/>
  <c r="K32" i="20"/>
  <c r="J32" i="20"/>
  <c r="BB32" i="20" s="1"/>
  <c r="I32" i="20"/>
  <c r="BA32" i="20" s="1"/>
  <c r="H32" i="20"/>
  <c r="AZ32" i="20" s="1"/>
  <c r="F32" i="20"/>
  <c r="AX32" i="20" s="1"/>
  <c r="AW31" i="20"/>
  <c r="AT31" i="20"/>
  <c r="AS31" i="20"/>
  <c r="AR31" i="20"/>
  <c r="AQ31" i="20"/>
  <c r="AP31" i="20"/>
  <c r="AO31" i="20"/>
  <c r="AN31" i="20"/>
  <c r="AM31" i="20"/>
  <c r="AL31" i="20"/>
  <c r="AJ31" i="20"/>
  <c r="AI31" i="20"/>
  <c r="AB31" i="20"/>
  <c r="AA31" i="20"/>
  <c r="Z31" i="20"/>
  <c r="Y31" i="20"/>
  <c r="X31" i="20"/>
  <c r="W31" i="20"/>
  <c r="V31" i="20"/>
  <c r="U31" i="20"/>
  <c r="T31" i="20"/>
  <c r="M31" i="20"/>
  <c r="L31" i="20"/>
  <c r="K31" i="20"/>
  <c r="J31" i="20"/>
  <c r="BB31" i="20" s="1"/>
  <c r="I31" i="20"/>
  <c r="BA31" i="20" s="1"/>
  <c r="H31" i="20"/>
  <c r="AZ31" i="20" s="1"/>
  <c r="F31" i="20"/>
  <c r="AX31" i="20" s="1"/>
  <c r="AW30" i="20"/>
  <c r="AT30" i="20"/>
  <c r="AS30" i="20"/>
  <c r="AR30" i="20"/>
  <c r="AQ30" i="20"/>
  <c r="AP30" i="20"/>
  <c r="AO30" i="20"/>
  <c r="AN30" i="20"/>
  <c r="AM30" i="20"/>
  <c r="AL30" i="20"/>
  <c r="AJ30" i="20"/>
  <c r="AI30" i="20"/>
  <c r="AB30" i="20"/>
  <c r="AA30" i="20"/>
  <c r="Z30" i="20"/>
  <c r="Y30" i="20"/>
  <c r="X30" i="20"/>
  <c r="W30" i="20"/>
  <c r="V30" i="20"/>
  <c r="U30" i="20"/>
  <c r="T30" i="20"/>
  <c r="M30" i="20"/>
  <c r="L30" i="20"/>
  <c r="K30" i="20"/>
  <c r="J30" i="20"/>
  <c r="BB30" i="20" s="1"/>
  <c r="I30" i="20"/>
  <c r="BA30" i="20" s="1"/>
  <c r="H30" i="20"/>
  <c r="AZ30" i="20" s="1"/>
  <c r="F30" i="20"/>
  <c r="AX30" i="20" s="1"/>
  <c r="AW29" i="20"/>
  <c r="AT29" i="20"/>
  <c r="AS29" i="20"/>
  <c r="AR29" i="20"/>
  <c r="AQ29" i="20"/>
  <c r="AP29" i="20"/>
  <c r="AO29" i="20"/>
  <c r="AN29" i="20"/>
  <c r="AM29" i="20"/>
  <c r="AL29" i="20"/>
  <c r="AJ29" i="20"/>
  <c r="AI29" i="20"/>
  <c r="AB29" i="20"/>
  <c r="AA29" i="20"/>
  <c r="Z29" i="20"/>
  <c r="Y29" i="20"/>
  <c r="X29" i="20"/>
  <c r="W29" i="20"/>
  <c r="V29" i="20"/>
  <c r="U29" i="20"/>
  <c r="T29" i="20"/>
  <c r="M29" i="20"/>
  <c r="L29" i="20"/>
  <c r="K29" i="20"/>
  <c r="J29" i="20"/>
  <c r="BB29" i="20" s="1"/>
  <c r="I29" i="20"/>
  <c r="BA29" i="20" s="1"/>
  <c r="H29" i="20"/>
  <c r="AZ29" i="20" s="1"/>
  <c r="F29" i="20"/>
  <c r="AX29" i="20" s="1"/>
  <c r="AW28" i="20"/>
  <c r="AT28" i="20"/>
  <c r="AS28" i="20"/>
  <c r="AR28" i="20"/>
  <c r="AQ28" i="20"/>
  <c r="AP28" i="20"/>
  <c r="AO28" i="20"/>
  <c r="AN28" i="20"/>
  <c r="AM28" i="20"/>
  <c r="AL28" i="20"/>
  <c r="AJ28" i="20"/>
  <c r="AI28" i="20"/>
  <c r="AB28" i="20"/>
  <c r="AA28" i="20"/>
  <c r="Z28" i="20"/>
  <c r="Y28" i="20"/>
  <c r="X28" i="20"/>
  <c r="W28" i="20"/>
  <c r="V28" i="20"/>
  <c r="U28" i="20"/>
  <c r="T28" i="20"/>
  <c r="M28" i="20"/>
  <c r="L28" i="20"/>
  <c r="K28" i="20"/>
  <c r="J28" i="20"/>
  <c r="BB28" i="20" s="1"/>
  <c r="I28" i="20"/>
  <c r="BA28" i="20" s="1"/>
  <c r="H28" i="20"/>
  <c r="AZ28" i="20" s="1"/>
  <c r="F28" i="20"/>
  <c r="AX28" i="20" s="1"/>
  <c r="AW27" i="20"/>
  <c r="AT27" i="20"/>
  <c r="AS27" i="20"/>
  <c r="AR27" i="20"/>
  <c r="AQ27" i="20"/>
  <c r="AP27" i="20"/>
  <c r="AO27" i="20"/>
  <c r="AN27" i="20"/>
  <c r="AM27" i="20"/>
  <c r="AL27" i="20"/>
  <c r="AJ27" i="20"/>
  <c r="AI27" i="20"/>
  <c r="AB27" i="20"/>
  <c r="AA27" i="20"/>
  <c r="Z27" i="20"/>
  <c r="Y27" i="20"/>
  <c r="X27" i="20"/>
  <c r="W27" i="20"/>
  <c r="V27" i="20"/>
  <c r="U27" i="20"/>
  <c r="T27" i="20"/>
  <c r="M27" i="20"/>
  <c r="L27" i="20"/>
  <c r="K27" i="20"/>
  <c r="J27" i="20"/>
  <c r="BB27" i="20" s="1"/>
  <c r="I27" i="20"/>
  <c r="BA27" i="20" s="1"/>
  <c r="H27" i="20"/>
  <c r="AZ27" i="20" s="1"/>
  <c r="F27" i="20"/>
  <c r="AX27" i="20" s="1"/>
  <c r="AW26" i="20"/>
  <c r="AT26" i="20"/>
  <c r="AS26" i="20"/>
  <c r="AR26" i="20"/>
  <c r="AQ26" i="20"/>
  <c r="AP26" i="20"/>
  <c r="AO26" i="20"/>
  <c r="AN26" i="20"/>
  <c r="AM26" i="20"/>
  <c r="AL26" i="20"/>
  <c r="AJ26" i="20"/>
  <c r="AI26" i="20"/>
  <c r="AB26" i="20"/>
  <c r="AA26" i="20"/>
  <c r="Z26" i="20"/>
  <c r="Y26" i="20"/>
  <c r="X26" i="20"/>
  <c r="W26" i="20"/>
  <c r="V26" i="20"/>
  <c r="U26" i="20"/>
  <c r="T26" i="20"/>
  <c r="M26" i="20"/>
  <c r="L26" i="20"/>
  <c r="K26" i="20"/>
  <c r="J26" i="20"/>
  <c r="BB26" i="20" s="1"/>
  <c r="I26" i="20"/>
  <c r="BA26" i="20" s="1"/>
  <c r="H26" i="20"/>
  <c r="AZ26" i="20" s="1"/>
  <c r="F26" i="20"/>
  <c r="AX26" i="20" s="1"/>
  <c r="AW25" i="20"/>
  <c r="AT25" i="20"/>
  <c r="AS25" i="20"/>
  <c r="AR25" i="20"/>
  <c r="AQ25" i="20"/>
  <c r="AP25" i="20"/>
  <c r="AO25" i="20"/>
  <c r="AN25" i="20"/>
  <c r="AM25" i="20"/>
  <c r="AL25" i="20"/>
  <c r="AJ25" i="20"/>
  <c r="AI25" i="20"/>
  <c r="AB25" i="20"/>
  <c r="AA25" i="20"/>
  <c r="Z25" i="20"/>
  <c r="Y25" i="20"/>
  <c r="X25" i="20"/>
  <c r="W25" i="20"/>
  <c r="V25" i="20"/>
  <c r="U25" i="20"/>
  <c r="T25" i="20"/>
  <c r="M25" i="20"/>
  <c r="L25" i="20"/>
  <c r="K25" i="20"/>
  <c r="J25" i="20"/>
  <c r="BB25" i="20" s="1"/>
  <c r="I25" i="20"/>
  <c r="BA25" i="20" s="1"/>
  <c r="H25" i="20"/>
  <c r="AZ25" i="20" s="1"/>
  <c r="F25" i="20"/>
  <c r="AX25" i="20" s="1"/>
  <c r="AW24" i="20"/>
  <c r="AT24" i="20"/>
  <c r="AS24" i="20"/>
  <c r="AR24" i="20"/>
  <c r="AQ24" i="20"/>
  <c r="AP24" i="20"/>
  <c r="AO24" i="20"/>
  <c r="AN24" i="20"/>
  <c r="AM24" i="20"/>
  <c r="AL24" i="20"/>
  <c r="AJ24" i="20"/>
  <c r="AI24" i="20"/>
  <c r="AB24" i="20"/>
  <c r="AA24" i="20"/>
  <c r="Z24" i="20"/>
  <c r="Y24" i="20"/>
  <c r="X24" i="20"/>
  <c r="W24" i="20"/>
  <c r="V24" i="20"/>
  <c r="U24" i="20"/>
  <c r="T24" i="20"/>
  <c r="M24" i="20"/>
  <c r="L24" i="20"/>
  <c r="K24" i="20"/>
  <c r="J24" i="20"/>
  <c r="BB24" i="20" s="1"/>
  <c r="I24" i="20"/>
  <c r="BA24" i="20" s="1"/>
  <c r="H24" i="20"/>
  <c r="AZ24" i="20" s="1"/>
  <c r="F24" i="20"/>
  <c r="AX24" i="20" s="1"/>
  <c r="AW23" i="20"/>
  <c r="AT23" i="20"/>
  <c r="AS23" i="20"/>
  <c r="AR23" i="20"/>
  <c r="AQ23" i="20"/>
  <c r="AP23" i="20"/>
  <c r="AO23" i="20"/>
  <c r="AN23" i="20"/>
  <c r="AM23" i="20"/>
  <c r="AL23" i="20"/>
  <c r="AJ23" i="20"/>
  <c r="AI23" i="20"/>
  <c r="AB23" i="20"/>
  <c r="AA23" i="20"/>
  <c r="Z23" i="20"/>
  <c r="Y23" i="20"/>
  <c r="X23" i="20"/>
  <c r="W23" i="20"/>
  <c r="V23" i="20"/>
  <c r="U23" i="20"/>
  <c r="T23" i="20"/>
  <c r="M23" i="20"/>
  <c r="L23" i="20"/>
  <c r="K23" i="20"/>
  <c r="J23" i="20"/>
  <c r="BB23" i="20" s="1"/>
  <c r="I23" i="20"/>
  <c r="BA23" i="20" s="1"/>
  <c r="H23" i="20"/>
  <c r="AZ23" i="20" s="1"/>
  <c r="F23" i="20"/>
  <c r="AX23" i="20" s="1"/>
  <c r="AW22" i="20"/>
  <c r="AT22" i="20"/>
  <c r="AS22" i="20"/>
  <c r="AR22" i="20"/>
  <c r="AQ22" i="20"/>
  <c r="AP22" i="20"/>
  <c r="AO22" i="20"/>
  <c r="AN22" i="20"/>
  <c r="AM22" i="20"/>
  <c r="AL22" i="20"/>
  <c r="AJ22" i="20"/>
  <c r="AI22" i="20"/>
  <c r="AB22" i="20"/>
  <c r="AA22" i="20"/>
  <c r="Z22" i="20"/>
  <c r="Y22" i="20"/>
  <c r="X22" i="20"/>
  <c r="W22" i="20"/>
  <c r="V22" i="20"/>
  <c r="U22" i="20"/>
  <c r="T22" i="20"/>
  <c r="M22" i="20"/>
  <c r="L22" i="20"/>
  <c r="K22" i="20"/>
  <c r="J22" i="20"/>
  <c r="BB22" i="20" s="1"/>
  <c r="I22" i="20"/>
  <c r="BA22" i="20" s="1"/>
  <c r="H22" i="20"/>
  <c r="AZ22" i="20" s="1"/>
  <c r="F22" i="20"/>
  <c r="AX22" i="20" s="1"/>
  <c r="AW21" i="20"/>
  <c r="AT21" i="20"/>
  <c r="AS21" i="20"/>
  <c r="AR21" i="20"/>
  <c r="AQ21" i="20"/>
  <c r="AP21" i="20"/>
  <c r="AO21" i="20"/>
  <c r="AN21" i="20"/>
  <c r="AM21" i="20"/>
  <c r="AL21" i="20"/>
  <c r="AJ21" i="20"/>
  <c r="AI21" i="20"/>
  <c r="AB21" i="20"/>
  <c r="AA21" i="20"/>
  <c r="Z21" i="20"/>
  <c r="Y21" i="20"/>
  <c r="X21" i="20"/>
  <c r="W21" i="20"/>
  <c r="V21" i="20"/>
  <c r="U21" i="20"/>
  <c r="T21" i="20"/>
  <c r="M21" i="20"/>
  <c r="L21" i="20"/>
  <c r="K21" i="20"/>
  <c r="J21" i="20"/>
  <c r="BB21" i="20" s="1"/>
  <c r="I21" i="20"/>
  <c r="BA21" i="20" s="1"/>
  <c r="H21" i="20"/>
  <c r="AZ21" i="20" s="1"/>
  <c r="F21" i="20"/>
  <c r="AX21" i="20" s="1"/>
  <c r="AW20" i="20"/>
  <c r="AT20" i="20"/>
  <c r="AS20" i="20"/>
  <c r="AR20" i="20"/>
  <c r="AQ20" i="20"/>
  <c r="AP20" i="20"/>
  <c r="AO20" i="20"/>
  <c r="AN20" i="20"/>
  <c r="AM20" i="20"/>
  <c r="AL20" i="20"/>
  <c r="AJ20" i="20"/>
  <c r="AI20" i="20"/>
  <c r="AB20" i="20"/>
  <c r="AA20" i="20"/>
  <c r="Z20" i="20"/>
  <c r="Y20" i="20"/>
  <c r="X20" i="20"/>
  <c r="W20" i="20"/>
  <c r="V20" i="20"/>
  <c r="U20" i="20"/>
  <c r="T20" i="20"/>
  <c r="M20" i="20"/>
  <c r="L20" i="20"/>
  <c r="K20" i="20"/>
  <c r="J20" i="20"/>
  <c r="BB20" i="20" s="1"/>
  <c r="I20" i="20"/>
  <c r="BA20" i="20" s="1"/>
  <c r="H20" i="20"/>
  <c r="AZ20" i="20" s="1"/>
  <c r="F20" i="20"/>
  <c r="AX20" i="20" s="1"/>
  <c r="AW19" i="20"/>
  <c r="AT19" i="20"/>
  <c r="AS19" i="20"/>
  <c r="AR19" i="20"/>
  <c r="AQ19" i="20"/>
  <c r="AP19" i="20"/>
  <c r="AO19" i="20"/>
  <c r="AN19" i="20"/>
  <c r="AM19" i="20"/>
  <c r="AL19" i="20"/>
  <c r="AJ19" i="20"/>
  <c r="AI19" i="20"/>
  <c r="AB19" i="20"/>
  <c r="AA19" i="20"/>
  <c r="Z19" i="20"/>
  <c r="Y19" i="20"/>
  <c r="X19" i="20"/>
  <c r="W19" i="20"/>
  <c r="V19" i="20"/>
  <c r="U19" i="20"/>
  <c r="T19" i="20"/>
  <c r="M19" i="20"/>
  <c r="L19" i="20"/>
  <c r="K19" i="20"/>
  <c r="J19" i="20"/>
  <c r="BB19" i="20" s="1"/>
  <c r="I19" i="20"/>
  <c r="BA19" i="20" s="1"/>
  <c r="H19" i="20"/>
  <c r="AZ19" i="20" s="1"/>
  <c r="F19" i="20"/>
  <c r="AX19" i="20" s="1"/>
  <c r="AW18" i="20"/>
  <c r="AT18" i="20"/>
  <c r="AS18" i="20"/>
  <c r="AR18" i="20"/>
  <c r="AQ18" i="20"/>
  <c r="AP18" i="20"/>
  <c r="AO18" i="20"/>
  <c r="AN18" i="20"/>
  <c r="AM18" i="20"/>
  <c r="AL18" i="20"/>
  <c r="AJ18" i="20"/>
  <c r="AI18" i="20"/>
  <c r="AB18" i="20"/>
  <c r="AA18" i="20"/>
  <c r="Z18" i="20"/>
  <c r="Y18" i="20"/>
  <c r="X18" i="20"/>
  <c r="W18" i="20"/>
  <c r="V18" i="20"/>
  <c r="U18" i="20"/>
  <c r="T18" i="20"/>
  <c r="M18" i="20"/>
  <c r="L18" i="20"/>
  <c r="K18" i="20"/>
  <c r="J18" i="20"/>
  <c r="BB18" i="20" s="1"/>
  <c r="I18" i="20"/>
  <c r="BA18" i="20" s="1"/>
  <c r="H18" i="20"/>
  <c r="AZ18" i="20" s="1"/>
  <c r="F18" i="20"/>
  <c r="AX18" i="20" s="1"/>
  <c r="AW17" i="20"/>
  <c r="AT17" i="20"/>
  <c r="AS17" i="20"/>
  <c r="AR17" i="20"/>
  <c r="AQ17" i="20"/>
  <c r="AP17" i="20"/>
  <c r="AO17" i="20"/>
  <c r="AN17" i="20"/>
  <c r="AM17" i="20"/>
  <c r="AL17" i="20"/>
  <c r="AJ17" i="20"/>
  <c r="AI17" i="20"/>
  <c r="AB17" i="20"/>
  <c r="AA17" i="20"/>
  <c r="Z17" i="20"/>
  <c r="Y17" i="20"/>
  <c r="X17" i="20"/>
  <c r="W17" i="20"/>
  <c r="V17" i="20"/>
  <c r="U17" i="20"/>
  <c r="T17" i="20"/>
  <c r="M17" i="20"/>
  <c r="L17" i="20"/>
  <c r="K17" i="20"/>
  <c r="J17" i="20"/>
  <c r="BB17" i="20" s="1"/>
  <c r="I17" i="20"/>
  <c r="BA17" i="20" s="1"/>
  <c r="H17" i="20"/>
  <c r="AZ17" i="20" s="1"/>
  <c r="F17" i="20"/>
  <c r="AX17" i="20" s="1"/>
  <c r="AW16" i="20"/>
  <c r="AT16" i="20"/>
  <c r="AS16" i="20"/>
  <c r="AR16" i="20"/>
  <c r="AQ16" i="20"/>
  <c r="AP16" i="20"/>
  <c r="AO16" i="20"/>
  <c r="AN16" i="20"/>
  <c r="AM16" i="20"/>
  <c r="AL16" i="20"/>
  <c r="AJ16" i="20"/>
  <c r="AI16" i="20"/>
  <c r="AB16" i="20"/>
  <c r="AA16" i="20"/>
  <c r="Z16" i="20"/>
  <c r="Y16" i="20"/>
  <c r="X16" i="20"/>
  <c r="W16" i="20"/>
  <c r="V16" i="20"/>
  <c r="U16" i="20"/>
  <c r="T16" i="20"/>
  <c r="M16" i="20"/>
  <c r="L16" i="20"/>
  <c r="K16" i="20"/>
  <c r="J16" i="20"/>
  <c r="BB16" i="20" s="1"/>
  <c r="I16" i="20"/>
  <c r="BA16" i="20" s="1"/>
  <c r="H16" i="20"/>
  <c r="AZ16" i="20" s="1"/>
  <c r="F16" i="20"/>
  <c r="AX16" i="20" s="1"/>
  <c r="AW15" i="20"/>
  <c r="AT15" i="20"/>
  <c r="AS15" i="20"/>
  <c r="AR15" i="20"/>
  <c r="AQ15" i="20"/>
  <c r="AP15" i="20"/>
  <c r="AO15" i="20"/>
  <c r="AN15" i="20"/>
  <c r="AM15" i="20"/>
  <c r="AL15" i="20"/>
  <c r="AJ15" i="20"/>
  <c r="AI15" i="20"/>
  <c r="AB15" i="20"/>
  <c r="AA15" i="20"/>
  <c r="Z15" i="20"/>
  <c r="Y15" i="20"/>
  <c r="X15" i="20"/>
  <c r="W15" i="20"/>
  <c r="V15" i="20"/>
  <c r="U15" i="20"/>
  <c r="T15" i="20"/>
  <c r="M15" i="20"/>
  <c r="L15" i="20"/>
  <c r="K15" i="20"/>
  <c r="J15" i="20"/>
  <c r="BB15" i="20" s="1"/>
  <c r="I15" i="20"/>
  <c r="BA15" i="20" s="1"/>
  <c r="H15" i="20"/>
  <c r="AZ15" i="20" s="1"/>
  <c r="F15" i="20"/>
  <c r="AX15" i="20" s="1"/>
  <c r="AW14" i="20"/>
  <c r="AT14" i="20"/>
  <c r="AS14" i="20"/>
  <c r="AR14" i="20"/>
  <c r="AQ14" i="20"/>
  <c r="AP14" i="20"/>
  <c r="AO14" i="20"/>
  <c r="AN14" i="20"/>
  <c r="AM14" i="20"/>
  <c r="AL14" i="20"/>
  <c r="AJ14" i="20"/>
  <c r="AI14" i="20"/>
  <c r="AB14" i="20"/>
  <c r="AA14" i="20"/>
  <c r="Z14" i="20"/>
  <c r="Y14" i="20"/>
  <c r="X14" i="20"/>
  <c r="W14" i="20"/>
  <c r="V14" i="20"/>
  <c r="U14" i="20"/>
  <c r="T14" i="20"/>
  <c r="M14" i="20"/>
  <c r="L14" i="20"/>
  <c r="K14" i="20"/>
  <c r="J14" i="20"/>
  <c r="BB14" i="20" s="1"/>
  <c r="I14" i="20"/>
  <c r="BA14" i="20" s="1"/>
  <c r="H14" i="20"/>
  <c r="AZ14" i="20" s="1"/>
  <c r="F14" i="20"/>
  <c r="AX14" i="20" s="1"/>
  <c r="AW13" i="20"/>
  <c r="AT13" i="20"/>
  <c r="AS13" i="20"/>
  <c r="AR13" i="20"/>
  <c r="AQ13" i="20"/>
  <c r="AP13" i="20"/>
  <c r="AO13" i="20"/>
  <c r="AN13" i="20"/>
  <c r="AM13" i="20"/>
  <c r="AL13" i="20"/>
  <c r="AJ13" i="20"/>
  <c r="AI13" i="20"/>
  <c r="AB13" i="20"/>
  <c r="AA13" i="20"/>
  <c r="Z13" i="20"/>
  <c r="Y13" i="20"/>
  <c r="X13" i="20"/>
  <c r="W13" i="20"/>
  <c r="V13" i="20"/>
  <c r="U13" i="20"/>
  <c r="T13" i="20"/>
  <c r="M13" i="20"/>
  <c r="L13" i="20"/>
  <c r="K13" i="20"/>
  <c r="J13" i="20"/>
  <c r="BB13" i="20" s="1"/>
  <c r="I13" i="20"/>
  <c r="BA13" i="20" s="1"/>
  <c r="H13" i="20"/>
  <c r="AZ13" i="20" s="1"/>
  <c r="F13" i="20"/>
  <c r="AX13" i="20" s="1"/>
  <c r="AW12" i="20"/>
  <c r="AT12" i="20"/>
  <c r="AS12" i="20"/>
  <c r="AR12" i="20"/>
  <c r="AQ12" i="20"/>
  <c r="AP12" i="20"/>
  <c r="AO12" i="20"/>
  <c r="AN12" i="20"/>
  <c r="AM12" i="20"/>
  <c r="AL12" i="20"/>
  <c r="AJ12" i="20"/>
  <c r="AI12" i="20"/>
  <c r="AB12" i="20"/>
  <c r="AA12" i="20"/>
  <c r="Z12" i="20"/>
  <c r="Y12" i="20"/>
  <c r="X12" i="20"/>
  <c r="W12" i="20"/>
  <c r="V12" i="20"/>
  <c r="U12" i="20"/>
  <c r="T12" i="20"/>
  <c r="M12" i="20"/>
  <c r="L12" i="20"/>
  <c r="K12" i="20"/>
  <c r="J12" i="20"/>
  <c r="BB12" i="20" s="1"/>
  <c r="I12" i="20"/>
  <c r="BA12" i="20" s="1"/>
  <c r="H12" i="20"/>
  <c r="AZ12" i="20" s="1"/>
  <c r="F12" i="20"/>
  <c r="AX12" i="20" s="1"/>
  <c r="AW11" i="20"/>
  <c r="AT11" i="20"/>
  <c r="AS11" i="20"/>
  <c r="AR11" i="20"/>
  <c r="AQ11" i="20"/>
  <c r="AP11" i="20"/>
  <c r="AO11" i="20"/>
  <c r="AN11" i="20"/>
  <c r="AM11" i="20"/>
  <c r="AL11" i="20"/>
  <c r="AJ11" i="20"/>
  <c r="AI11" i="20"/>
  <c r="AB11" i="20"/>
  <c r="AA11" i="20"/>
  <c r="Z11" i="20"/>
  <c r="Y11" i="20"/>
  <c r="X11" i="20"/>
  <c r="W11" i="20"/>
  <c r="V11" i="20"/>
  <c r="U11" i="20"/>
  <c r="T11" i="20"/>
  <c r="M11" i="20"/>
  <c r="L11" i="20"/>
  <c r="K11" i="20"/>
  <c r="J11" i="20"/>
  <c r="BB11" i="20" s="1"/>
  <c r="I11" i="20"/>
  <c r="BA11" i="20" s="1"/>
  <c r="H11" i="20"/>
  <c r="AZ11" i="20" s="1"/>
  <c r="F11" i="20"/>
  <c r="AX11" i="20" s="1"/>
  <c r="AW10" i="20"/>
  <c r="AT10" i="20"/>
  <c r="AS10" i="20"/>
  <c r="AR10" i="20"/>
  <c r="AQ10" i="20"/>
  <c r="AP10" i="20"/>
  <c r="AO10" i="20"/>
  <c r="AN10" i="20"/>
  <c r="AM10" i="20"/>
  <c r="AL10" i="20"/>
  <c r="AJ10" i="20"/>
  <c r="AI10" i="20"/>
  <c r="AB10" i="20"/>
  <c r="AA10" i="20"/>
  <c r="Z10" i="20"/>
  <c r="Y10" i="20"/>
  <c r="X10" i="20"/>
  <c r="W10" i="20"/>
  <c r="V10" i="20"/>
  <c r="U10" i="20"/>
  <c r="T10" i="20"/>
  <c r="M10" i="20"/>
  <c r="L10" i="20"/>
  <c r="K10" i="20"/>
  <c r="J10" i="20"/>
  <c r="BB10" i="20" s="1"/>
  <c r="I10" i="20"/>
  <c r="BA10" i="20" s="1"/>
  <c r="H10" i="20"/>
  <c r="AZ10" i="20" s="1"/>
  <c r="F10" i="20"/>
  <c r="AX10" i="20" s="1"/>
  <c r="AW9" i="20"/>
  <c r="AT9" i="20"/>
  <c r="AS9" i="20"/>
  <c r="AR9" i="20"/>
  <c r="AQ9" i="20"/>
  <c r="AP9" i="20"/>
  <c r="AO9" i="20"/>
  <c r="AN9" i="20"/>
  <c r="AM9" i="20"/>
  <c r="AL9" i="20"/>
  <c r="AJ9" i="20"/>
  <c r="AI9" i="20"/>
  <c r="AB9" i="20"/>
  <c r="AA9" i="20"/>
  <c r="Z9" i="20"/>
  <c r="Y9" i="20"/>
  <c r="X9" i="20"/>
  <c r="W9" i="20"/>
  <c r="V9" i="20"/>
  <c r="U9" i="20"/>
  <c r="T9" i="20"/>
  <c r="M9" i="20"/>
  <c r="L9" i="20"/>
  <c r="K9" i="20"/>
  <c r="J9" i="20"/>
  <c r="BB9" i="20" s="1"/>
  <c r="I9" i="20"/>
  <c r="BA9" i="20" s="1"/>
  <c r="H9" i="20"/>
  <c r="AZ9" i="20" s="1"/>
  <c r="F9" i="20"/>
  <c r="AX9" i="20" s="1"/>
  <c r="AW8" i="20"/>
  <c r="AT8" i="20"/>
  <c r="AS8" i="20"/>
  <c r="AR8" i="20"/>
  <c r="AQ8" i="20"/>
  <c r="AP8" i="20"/>
  <c r="AO8" i="20"/>
  <c r="AN8" i="20"/>
  <c r="AM8" i="20"/>
  <c r="AL8" i="20"/>
  <c r="AJ8" i="20"/>
  <c r="AI8" i="20"/>
  <c r="AB8" i="20"/>
  <c r="AA8" i="20"/>
  <c r="Z8" i="20"/>
  <c r="Y8" i="20"/>
  <c r="X8" i="20"/>
  <c r="W8" i="20"/>
  <c r="V8" i="20"/>
  <c r="U8" i="20"/>
  <c r="T8" i="20"/>
  <c r="M8" i="20"/>
  <c r="L8" i="20"/>
  <c r="K8" i="20"/>
  <c r="J8" i="20"/>
  <c r="BB8" i="20" s="1"/>
  <c r="I8" i="20"/>
  <c r="BA8" i="20" s="1"/>
  <c r="H8" i="20"/>
  <c r="AZ8" i="20" s="1"/>
  <c r="F8" i="20"/>
  <c r="AX8" i="20" s="1"/>
  <c r="AW7" i="20"/>
  <c r="AT7" i="20"/>
  <c r="AS7" i="20"/>
  <c r="AR7" i="20"/>
  <c r="AQ7" i="20"/>
  <c r="AP7" i="20"/>
  <c r="AO7" i="20"/>
  <c r="AN7" i="20"/>
  <c r="AM7" i="20"/>
  <c r="AL7" i="20"/>
  <c r="AJ7" i="20"/>
  <c r="AI7" i="20"/>
  <c r="AB7" i="20"/>
  <c r="AA7" i="20"/>
  <c r="Z7" i="20"/>
  <c r="Y7" i="20"/>
  <c r="X7" i="20"/>
  <c r="W7" i="20"/>
  <c r="V7" i="20"/>
  <c r="U7" i="20"/>
  <c r="T7" i="20"/>
  <c r="M7" i="20"/>
  <c r="L7" i="20"/>
  <c r="K7" i="20"/>
  <c r="J7" i="20"/>
  <c r="BB7" i="20" s="1"/>
  <c r="I7" i="20"/>
  <c r="BA7" i="20" s="1"/>
  <c r="H7" i="20"/>
  <c r="AZ7" i="20" s="1"/>
  <c r="F7" i="20"/>
  <c r="AX7" i="20" s="1"/>
  <c r="AW6" i="20"/>
  <c r="AT6" i="20"/>
  <c r="AS6" i="20"/>
  <c r="AR6" i="20"/>
  <c r="AQ6" i="20"/>
  <c r="AP6" i="20"/>
  <c r="AO6" i="20"/>
  <c r="AN6" i="20"/>
  <c r="AM6" i="20"/>
  <c r="AL6" i="20"/>
  <c r="AJ6" i="20"/>
  <c r="AI6" i="20"/>
  <c r="AB6" i="20"/>
  <c r="AA6" i="20"/>
  <c r="Z6" i="20"/>
  <c r="Y6" i="20"/>
  <c r="X6" i="20"/>
  <c r="W6" i="20"/>
  <c r="V6" i="20"/>
  <c r="U6" i="20"/>
  <c r="T6" i="20"/>
  <c r="M6" i="20"/>
  <c r="L6" i="20"/>
  <c r="K6" i="20"/>
  <c r="J6" i="20"/>
  <c r="BB6" i="20" s="1"/>
  <c r="I6" i="20"/>
  <c r="BA6" i="20" s="1"/>
  <c r="H6" i="20"/>
  <c r="AZ6" i="20" s="1"/>
  <c r="F6" i="20"/>
  <c r="AX6" i="20" s="1"/>
  <c r="AW5" i="20"/>
  <c r="AT5" i="20"/>
  <c r="AS5" i="20"/>
  <c r="AR5" i="20"/>
  <c r="AQ5" i="20"/>
  <c r="AP5" i="20"/>
  <c r="AO5" i="20"/>
  <c r="AN5" i="20"/>
  <c r="AM5" i="20"/>
  <c r="AL5" i="20"/>
  <c r="AJ5" i="20"/>
  <c r="AI5" i="20"/>
  <c r="AB5" i="20"/>
  <c r="AA5" i="20"/>
  <c r="Z5" i="20"/>
  <c r="Y5" i="20"/>
  <c r="X5" i="20"/>
  <c r="W5" i="20"/>
  <c r="V5" i="20"/>
  <c r="U5" i="20"/>
  <c r="T5" i="20"/>
  <c r="M5" i="20"/>
  <c r="L5" i="20"/>
  <c r="K5" i="20"/>
  <c r="J5" i="20"/>
  <c r="BB5" i="20" s="1"/>
  <c r="I5" i="20"/>
  <c r="BA5" i="20" s="1"/>
  <c r="H5" i="20"/>
  <c r="AZ5" i="20" s="1"/>
  <c r="F5" i="20"/>
  <c r="AX5" i="20" s="1"/>
  <c r="AW4" i="20"/>
  <c r="AT4" i="20"/>
  <c r="AS4" i="20"/>
  <c r="AR4" i="20"/>
  <c r="AQ4" i="20"/>
  <c r="AP4" i="20"/>
  <c r="AO4" i="20"/>
  <c r="AN4" i="20"/>
  <c r="AM4" i="20"/>
  <c r="AL4" i="20"/>
  <c r="AJ4" i="20"/>
  <c r="AI4" i="20"/>
  <c r="AB4" i="20"/>
  <c r="AA4" i="20"/>
  <c r="Z4" i="20"/>
  <c r="Y4" i="20"/>
  <c r="X4" i="20"/>
  <c r="W4" i="20"/>
  <c r="V4" i="20"/>
  <c r="U4" i="20"/>
  <c r="T4" i="20"/>
  <c r="M4" i="20"/>
  <c r="L4" i="20"/>
  <c r="K4" i="20"/>
  <c r="J4" i="20"/>
  <c r="BB4" i="20" s="1"/>
  <c r="I4" i="20"/>
  <c r="BA4" i="20" s="1"/>
  <c r="H4" i="20"/>
  <c r="AZ4" i="20" s="1"/>
  <c r="F4" i="20"/>
  <c r="AX4" i="20" s="1"/>
  <c r="AW3" i="20"/>
  <c r="AT3" i="20"/>
  <c r="AS3" i="20"/>
  <c r="AR3" i="20"/>
  <c r="AQ3" i="20"/>
  <c r="AP3" i="20"/>
  <c r="AO3" i="20"/>
  <c r="AN3" i="20"/>
  <c r="AM3" i="20"/>
  <c r="AL3" i="20"/>
  <c r="AJ3" i="20"/>
  <c r="AI3" i="20"/>
  <c r="AB3" i="20"/>
  <c r="AA3" i="20"/>
  <c r="Z3" i="20"/>
  <c r="Y3" i="20"/>
  <c r="X3" i="20"/>
  <c r="W3" i="20"/>
  <c r="V3" i="20"/>
  <c r="U3" i="20"/>
  <c r="T3" i="20"/>
  <c r="M3" i="20"/>
  <c r="L3" i="20"/>
  <c r="K3" i="20"/>
  <c r="J3" i="20"/>
  <c r="BB3" i="20" s="1"/>
  <c r="I3" i="20"/>
  <c r="BA3" i="20" s="1"/>
  <c r="H3" i="20"/>
  <c r="AZ3" i="20" s="1"/>
  <c r="F3" i="20"/>
  <c r="AX3" i="20" s="1"/>
  <c r="AW2" i="20"/>
  <c r="AT2" i="20"/>
  <c r="AS2" i="20"/>
  <c r="AR2" i="20"/>
  <c r="AQ2" i="20"/>
  <c r="AP2" i="20"/>
  <c r="AO2" i="20"/>
  <c r="AN2" i="20"/>
  <c r="AM2" i="20"/>
  <c r="AL2" i="20"/>
  <c r="AK2" i="20"/>
  <c r="AJ2" i="20"/>
  <c r="AI2" i="20"/>
  <c r="AB2" i="20"/>
  <c r="AA2" i="20"/>
  <c r="Z2" i="20"/>
  <c r="Y2" i="20"/>
  <c r="X2" i="20"/>
  <c r="W2" i="20"/>
  <c r="V2" i="20"/>
  <c r="U2" i="20"/>
  <c r="T2" i="20"/>
  <c r="M2" i="20"/>
  <c r="L2" i="20"/>
  <c r="K2" i="20"/>
  <c r="J2" i="20"/>
  <c r="BB2" i="20" s="1"/>
  <c r="I2" i="20"/>
  <c r="BA2" i="20" s="1"/>
  <c r="H2" i="20"/>
  <c r="AZ2" i="20" s="1"/>
  <c r="G2" i="20"/>
  <c r="AY2" i="20" s="1"/>
  <c r="F2" i="20"/>
  <c r="AX2" i="20" s="1"/>
  <c r="AV2" i="19"/>
  <c r="AV3" i="19"/>
  <c r="AV4" i="19"/>
  <c r="AV5" i="19"/>
  <c r="AV6" i="19"/>
  <c r="AV7" i="19"/>
  <c r="AV8" i="19"/>
  <c r="AV9" i="19"/>
  <c r="AV10" i="19"/>
  <c r="AV11" i="19"/>
  <c r="AV12" i="19"/>
  <c r="AV13" i="19"/>
  <c r="AV14" i="19"/>
  <c r="AV15" i="19"/>
  <c r="AV16" i="19"/>
  <c r="AV17" i="19"/>
  <c r="AV18" i="19"/>
  <c r="AV19" i="19"/>
  <c r="AV20" i="19"/>
  <c r="AV21" i="19"/>
  <c r="AV22" i="19"/>
  <c r="AV23" i="19"/>
  <c r="AV24" i="19"/>
  <c r="AV25" i="19"/>
  <c r="AV26" i="19"/>
  <c r="AV27" i="19"/>
  <c r="AV28" i="19"/>
  <c r="AV29" i="19"/>
  <c r="AV30" i="19"/>
  <c r="AV31" i="19"/>
  <c r="AV32" i="19"/>
  <c r="AV33" i="19"/>
  <c r="AV34" i="19"/>
  <c r="AV35" i="19"/>
  <c r="AV36" i="19"/>
  <c r="AV37" i="19"/>
  <c r="AV38" i="19"/>
  <c r="AV39" i="19"/>
  <c r="AV40" i="19"/>
  <c r="AV41" i="19"/>
  <c r="AV42" i="19"/>
  <c r="AV43" i="19"/>
  <c r="AV44" i="19"/>
  <c r="AV45" i="19"/>
  <c r="AV46" i="19"/>
  <c r="AV47" i="19"/>
  <c r="AV48" i="19"/>
  <c r="AV49" i="19"/>
  <c r="AV50" i="19"/>
  <c r="AV51" i="19"/>
  <c r="AV52" i="19"/>
  <c r="AV53" i="19"/>
  <c r="AV54" i="19"/>
  <c r="AV55" i="19"/>
  <c r="AV56" i="19"/>
  <c r="AV57" i="19"/>
  <c r="AV58" i="19"/>
  <c r="AV59" i="19"/>
  <c r="AV60" i="19"/>
  <c r="AV61" i="19"/>
  <c r="AV62" i="19"/>
  <c r="AV63" i="19"/>
  <c r="AV64" i="19"/>
  <c r="AV65" i="19"/>
  <c r="AV66" i="19"/>
  <c r="AV67" i="19"/>
  <c r="AV68" i="19"/>
  <c r="AV69" i="19"/>
  <c r="AV70" i="19"/>
  <c r="AV71" i="19"/>
  <c r="AV72" i="19"/>
  <c r="AV73" i="19"/>
  <c r="AV74" i="19"/>
  <c r="AV75" i="19"/>
  <c r="AV76" i="19"/>
  <c r="AV77" i="19"/>
  <c r="AV78" i="19"/>
  <c r="AV79" i="19"/>
  <c r="AV80" i="19"/>
  <c r="AV81" i="19"/>
  <c r="AV82" i="19"/>
  <c r="AV83" i="19"/>
  <c r="AV84" i="19"/>
  <c r="AV85" i="19"/>
  <c r="AV86" i="19"/>
  <c r="AV87" i="19"/>
  <c r="AV88" i="19"/>
  <c r="AV89" i="19"/>
  <c r="AV90" i="19"/>
  <c r="AV91" i="19"/>
  <c r="AV92" i="19"/>
  <c r="AV93" i="19"/>
  <c r="AV94" i="19"/>
  <c r="AV95" i="19"/>
  <c r="AV96" i="19"/>
  <c r="AV97" i="19"/>
  <c r="AV98" i="19"/>
  <c r="AV99" i="19"/>
  <c r="AV100" i="19"/>
  <c r="AV101" i="19"/>
  <c r="AV102" i="19"/>
  <c r="AV103" i="19"/>
  <c r="AV104" i="19"/>
  <c r="AV105" i="19"/>
  <c r="AV106" i="19"/>
  <c r="AV107" i="19"/>
  <c r="AV108" i="19"/>
  <c r="AV109" i="19"/>
  <c r="AV110" i="19"/>
  <c r="AV111" i="19"/>
  <c r="AD2" i="19"/>
  <c r="AD3" i="19"/>
  <c r="AD4" i="19"/>
  <c r="AD5" i="19"/>
  <c r="AD6" i="19"/>
  <c r="AD7" i="19"/>
  <c r="AD8" i="19"/>
  <c r="AD9" i="19"/>
  <c r="AD10" i="19"/>
  <c r="AD11" i="19"/>
  <c r="AD12" i="19"/>
  <c r="AD13" i="19"/>
  <c r="AD14" i="19"/>
  <c r="AD15" i="19"/>
  <c r="AD16" i="19"/>
  <c r="AD17" i="19"/>
  <c r="AD18" i="19"/>
  <c r="AD19" i="19"/>
  <c r="AD20" i="19"/>
  <c r="AD21" i="19"/>
  <c r="AD22" i="19"/>
  <c r="AD23" i="19"/>
  <c r="AD24" i="19"/>
  <c r="AD25" i="19"/>
  <c r="AD26" i="19"/>
  <c r="AD27" i="19"/>
  <c r="AD28" i="19"/>
  <c r="AD29" i="19"/>
  <c r="AD30" i="19"/>
  <c r="AD31" i="19"/>
  <c r="AD32" i="19"/>
  <c r="AD33" i="19"/>
  <c r="AD34" i="19"/>
  <c r="AD35" i="19"/>
  <c r="AD36" i="19"/>
  <c r="AD37" i="19"/>
  <c r="AD38" i="19"/>
  <c r="AD39" i="19"/>
  <c r="AD40" i="19"/>
  <c r="AD41" i="19"/>
  <c r="AD42" i="19"/>
  <c r="AD43" i="19"/>
  <c r="AD44" i="19"/>
  <c r="AD45" i="19"/>
  <c r="AD46" i="19"/>
  <c r="AD47" i="19"/>
  <c r="AD48" i="19"/>
  <c r="AD49" i="19"/>
  <c r="AD50" i="19"/>
  <c r="AD51" i="19"/>
  <c r="AD52" i="19"/>
  <c r="AD53" i="19"/>
  <c r="AD54" i="19"/>
  <c r="AD55" i="19"/>
  <c r="AD56" i="19"/>
  <c r="AD57" i="19"/>
  <c r="AD58" i="19"/>
  <c r="AD59" i="19"/>
  <c r="AD60" i="19"/>
  <c r="AD61" i="19"/>
  <c r="AD62" i="19"/>
  <c r="AD63" i="19"/>
  <c r="AD64" i="19"/>
  <c r="AD65" i="19"/>
  <c r="AD66" i="19"/>
  <c r="AD67" i="19"/>
  <c r="AD68" i="19"/>
  <c r="AD69" i="19"/>
  <c r="AD70" i="19"/>
  <c r="AD71" i="19"/>
  <c r="AD72" i="19"/>
  <c r="AD73" i="19"/>
  <c r="AD74" i="19"/>
  <c r="AD75" i="19"/>
  <c r="AD76" i="19"/>
  <c r="AD77" i="19"/>
  <c r="AD78" i="19"/>
  <c r="AD79" i="19"/>
  <c r="AD80" i="19"/>
  <c r="AD81" i="19"/>
  <c r="AD82" i="19"/>
  <c r="AD83" i="19"/>
  <c r="AD84" i="19"/>
  <c r="AD85" i="19"/>
  <c r="AD86" i="19"/>
  <c r="AD87" i="19"/>
  <c r="AD88" i="19"/>
  <c r="AD89" i="19"/>
  <c r="AD90" i="19"/>
  <c r="AD91" i="19"/>
  <c r="AD92" i="19"/>
  <c r="AD93" i="19"/>
  <c r="AD94" i="19"/>
  <c r="AD95" i="19"/>
  <c r="AD96" i="19"/>
  <c r="AD97" i="19"/>
  <c r="AD98" i="19"/>
  <c r="AD99" i="19"/>
  <c r="AD100" i="19"/>
  <c r="AD101" i="19"/>
  <c r="AD102" i="19"/>
  <c r="AD103" i="19"/>
  <c r="AD104" i="19"/>
  <c r="AD105" i="19"/>
  <c r="AD106" i="19"/>
  <c r="AD107" i="19"/>
  <c r="AD108" i="19"/>
  <c r="AD109" i="19"/>
  <c r="AD110" i="19"/>
  <c r="AD111" i="19"/>
  <c r="O2" i="19"/>
  <c r="O3" i="19"/>
  <c r="O4" i="19"/>
  <c r="O5" i="19"/>
  <c r="O6" i="19"/>
  <c r="O7" i="19"/>
  <c r="O8" i="19"/>
  <c r="O9" i="19"/>
  <c r="O10" i="19"/>
  <c r="O11" i="19"/>
  <c r="O12" i="19"/>
  <c r="O13" i="19"/>
  <c r="O14" i="19"/>
  <c r="O15" i="19"/>
  <c r="O16" i="19"/>
  <c r="O17" i="19"/>
  <c r="O18" i="19"/>
  <c r="O19" i="19"/>
  <c r="O20" i="19"/>
  <c r="O21" i="19"/>
  <c r="O22" i="19"/>
  <c r="O23" i="19"/>
  <c r="O24" i="19"/>
  <c r="O25" i="19"/>
  <c r="O26" i="19"/>
  <c r="O27" i="19"/>
  <c r="O28" i="19"/>
  <c r="O29" i="19"/>
  <c r="O30" i="19"/>
  <c r="O31" i="19"/>
  <c r="O32" i="19"/>
  <c r="O33" i="19"/>
  <c r="O34" i="19"/>
  <c r="O35" i="19"/>
  <c r="O36" i="19"/>
  <c r="O37" i="19"/>
  <c r="O38" i="19"/>
  <c r="O39" i="19"/>
  <c r="O40" i="19"/>
  <c r="O41" i="19"/>
  <c r="O42" i="19"/>
  <c r="O43" i="19"/>
  <c r="O44" i="19"/>
  <c r="O45" i="19"/>
  <c r="O46" i="19"/>
  <c r="O47" i="19"/>
  <c r="O48" i="19"/>
  <c r="O49" i="19"/>
  <c r="O50" i="19"/>
  <c r="O51" i="19"/>
  <c r="O52" i="19"/>
  <c r="O53" i="19"/>
  <c r="O54" i="19"/>
  <c r="O55" i="19"/>
  <c r="O56" i="19"/>
  <c r="O57" i="19"/>
  <c r="O58" i="19"/>
  <c r="O59" i="19"/>
  <c r="O60" i="19"/>
  <c r="O61" i="19"/>
  <c r="O62" i="19"/>
  <c r="O63" i="19"/>
  <c r="O64" i="19"/>
  <c r="O65" i="19"/>
  <c r="O66" i="19"/>
  <c r="O67" i="19"/>
  <c r="O68" i="19"/>
  <c r="O69" i="19"/>
  <c r="O70" i="19"/>
  <c r="O71" i="19"/>
  <c r="O72" i="19"/>
  <c r="O73" i="19"/>
  <c r="O74" i="19"/>
  <c r="O75" i="19"/>
  <c r="O76" i="19"/>
  <c r="O77" i="19"/>
  <c r="O78" i="19"/>
  <c r="O79" i="19"/>
  <c r="O80" i="19"/>
  <c r="O81" i="19"/>
  <c r="O82" i="19"/>
  <c r="O83" i="19"/>
  <c r="O84" i="19"/>
  <c r="O85" i="19"/>
  <c r="O86" i="19"/>
  <c r="O87" i="19"/>
  <c r="O88" i="19"/>
  <c r="O89" i="19"/>
  <c r="O90" i="19"/>
  <c r="O91" i="19"/>
  <c r="O92" i="19"/>
  <c r="O93" i="19"/>
  <c r="O94" i="19"/>
  <c r="O95" i="19"/>
  <c r="O96" i="19"/>
  <c r="O97" i="19"/>
  <c r="O98" i="19"/>
  <c r="O99" i="19"/>
  <c r="O100" i="19"/>
  <c r="O101" i="19"/>
  <c r="O102" i="19"/>
  <c r="O103" i="19"/>
  <c r="O104" i="19"/>
  <c r="O105" i="19"/>
  <c r="O106" i="19"/>
  <c r="O107" i="19"/>
  <c r="O108" i="19"/>
  <c r="O109" i="19"/>
  <c r="O110" i="19"/>
  <c r="O111" i="19"/>
  <c r="A2" i="19"/>
  <c r="A3" i="19"/>
  <c r="A4" i="19"/>
  <c r="A5" i="19"/>
  <c r="A6" i="19"/>
  <c r="A7" i="19"/>
  <c r="A8" i="19"/>
  <c r="A9" i="19"/>
  <c r="A10" i="19"/>
  <c r="A11" i="19"/>
  <c r="A12" i="19"/>
  <c r="A13" i="19"/>
  <c r="A14" i="19"/>
  <c r="A15" i="19"/>
  <c r="A16" i="19"/>
  <c r="A17" i="19"/>
  <c r="A18" i="19"/>
  <c r="A19" i="19"/>
  <c r="A20" i="19"/>
  <c r="A21" i="19"/>
  <c r="A22" i="19"/>
  <c r="A23" i="19"/>
  <c r="A24" i="19"/>
  <c r="A25" i="19"/>
  <c r="A26" i="19"/>
  <c r="A27" i="19"/>
  <c r="A28" i="19"/>
  <c r="A29" i="19"/>
  <c r="A30" i="19"/>
  <c r="A31" i="19"/>
  <c r="A32" i="19"/>
  <c r="A33" i="19"/>
  <c r="A34" i="19"/>
  <c r="A35" i="19"/>
  <c r="A36" i="19"/>
  <c r="A37" i="19"/>
  <c r="A38" i="19"/>
  <c r="A39" i="19"/>
  <c r="A40" i="19"/>
  <c r="A41" i="19"/>
  <c r="A42" i="19"/>
  <c r="A43" i="19"/>
  <c r="A44" i="19"/>
  <c r="A45" i="19"/>
  <c r="A46" i="19"/>
  <c r="A47" i="19"/>
  <c r="A48" i="19"/>
  <c r="A49" i="19"/>
  <c r="A50" i="19"/>
  <c r="A51" i="19"/>
  <c r="A52" i="19"/>
  <c r="A53" i="19"/>
  <c r="A54" i="19"/>
  <c r="A55" i="19"/>
  <c r="A56" i="19"/>
  <c r="A57" i="19"/>
  <c r="A58" i="19"/>
  <c r="A59" i="19"/>
  <c r="A60" i="19"/>
  <c r="A61" i="19"/>
  <c r="A62" i="19"/>
  <c r="A63" i="19"/>
  <c r="A64" i="19"/>
  <c r="A65" i="19"/>
  <c r="A66" i="19"/>
  <c r="A67" i="19"/>
  <c r="A68" i="19"/>
  <c r="A69" i="19"/>
  <c r="A70" i="19"/>
  <c r="A71" i="19"/>
  <c r="A72" i="19"/>
  <c r="A73" i="19"/>
  <c r="A74" i="19"/>
  <c r="A75" i="19"/>
  <c r="A76" i="19"/>
  <c r="A77" i="19"/>
  <c r="A78" i="19"/>
  <c r="A79" i="19"/>
  <c r="A80" i="19"/>
  <c r="A81" i="19"/>
  <c r="A82" i="19"/>
  <c r="A83" i="19"/>
  <c r="A84" i="19"/>
  <c r="A85" i="19"/>
  <c r="A86" i="19"/>
  <c r="A87" i="19"/>
  <c r="A88" i="19"/>
  <c r="A89" i="19"/>
  <c r="A90" i="19"/>
  <c r="A91" i="19"/>
  <c r="A92" i="19"/>
  <c r="A93" i="19"/>
  <c r="A94" i="19"/>
  <c r="A95" i="19"/>
  <c r="A96" i="19"/>
  <c r="A97" i="19"/>
  <c r="A98" i="19"/>
  <c r="A99" i="19"/>
  <c r="A100" i="19"/>
  <c r="A101" i="19"/>
  <c r="A102" i="19"/>
  <c r="A103" i="19"/>
  <c r="A104" i="19"/>
  <c r="A105" i="19"/>
  <c r="A106" i="19"/>
  <c r="A107" i="19"/>
  <c r="A108" i="19"/>
  <c r="A109" i="19"/>
  <c r="A110" i="19"/>
  <c r="A111" i="19"/>
  <c r="AW111" i="19"/>
  <c r="AT111" i="19"/>
  <c r="AS111" i="19"/>
  <c r="AR111" i="19"/>
  <c r="AQ111" i="19"/>
  <c r="AP111" i="19"/>
  <c r="AO111" i="19"/>
  <c r="AN111" i="19"/>
  <c r="AM111" i="19"/>
  <c r="AL111" i="19"/>
  <c r="AJ111" i="19"/>
  <c r="AI111" i="19"/>
  <c r="AB111" i="19"/>
  <c r="AA111" i="19"/>
  <c r="Z111" i="19"/>
  <c r="Y111" i="19"/>
  <c r="X111" i="19"/>
  <c r="W111" i="19"/>
  <c r="V111" i="19"/>
  <c r="U111" i="19"/>
  <c r="T111" i="19"/>
  <c r="M111" i="19"/>
  <c r="L111" i="19"/>
  <c r="K111" i="19"/>
  <c r="J111" i="19"/>
  <c r="BB111" i="19" s="1"/>
  <c r="I111" i="19"/>
  <c r="BA111" i="19" s="1"/>
  <c r="H111" i="19"/>
  <c r="AZ111" i="19" s="1"/>
  <c r="F111" i="19"/>
  <c r="AX111" i="19" s="1"/>
  <c r="AW110" i="19"/>
  <c r="AT110" i="19"/>
  <c r="AS110" i="19"/>
  <c r="AR110" i="19"/>
  <c r="AQ110" i="19"/>
  <c r="AP110" i="19"/>
  <c r="AO110" i="19"/>
  <c r="AN110" i="19"/>
  <c r="AM110" i="19"/>
  <c r="AL110" i="19"/>
  <c r="AJ110" i="19"/>
  <c r="AI110" i="19"/>
  <c r="AB110" i="19"/>
  <c r="AA110" i="19"/>
  <c r="Z110" i="19"/>
  <c r="Y110" i="19"/>
  <c r="X110" i="19"/>
  <c r="W110" i="19"/>
  <c r="V110" i="19"/>
  <c r="U110" i="19"/>
  <c r="T110" i="19"/>
  <c r="M110" i="19"/>
  <c r="L110" i="19"/>
  <c r="K110" i="19"/>
  <c r="J110" i="19"/>
  <c r="BB110" i="19" s="1"/>
  <c r="I110" i="19"/>
  <c r="BA110" i="19" s="1"/>
  <c r="H110" i="19"/>
  <c r="AZ110" i="19" s="1"/>
  <c r="F110" i="19"/>
  <c r="AX110" i="19" s="1"/>
  <c r="AW109" i="19"/>
  <c r="AT109" i="19"/>
  <c r="AS109" i="19"/>
  <c r="AR109" i="19"/>
  <c r="AQ109" i="19"/>
  <c r="AP109" i="19"/>
  <c r="AO109" i="19"/>
  <c r="AN109" i="19"/>
  <c r="AM109" i="19"/>
  <c r="AL109" i="19"/>
  <c r="AJ109" i="19"/>
  <c r="AI109" i="19"/>
  <c r="AB109" i="19"/>
  <c r="AA109" i="19"/>
  <c r="Z109" i="19"/>
  <c r="Y109" i="19"/>
  <c r="X109" i="19"/>
  <c r="W109" i="19"/>
  <c r="V109" i="19"/>
  <c r="U109" i="19"/>
  <c r="T109" i="19"/>
  <c r="M109" i="19"/>
  <c r="L109" i="19"/>
  <c r="K109" i="19"/>
  <c r="J109" i="19"/>
  <c r="BB109" i="19" s="1"/>
  <c r="I109" i="19"/>
  <c r="BA109" i="19" s="1"/>
  <c r="H109" i="19"/>
  <c r="AZ109" i="19" s="1"/>
  <c r="F109" i="19"/>
  <c r="AX109" i="19" s="1"/>
  <c r="AW108" i="19"/>
  <c r="AT108" i="19"/>
  <c r="AS108" i="19"/>
  <c r="AR108" i="19"/>
  <c r="AQ108" i="19"/>
  <c r="AP108" i="19"/>
  <c r="AO108" i="19"/>
  <c r="AN108" i="19"/>
  <c r="AM108" i="19"/>
  <c r="AL108" i="19"/>
  <c r="AJ108" i="19"/>
  <c r="AI108" i="19"/>
  <c r="AB108" i="19"/>
  <c r="AA108" i="19"/>
  <c r="Z108" i="19"/>
  <c r="Y108" i="19"/>
  <c r="X108" i="19"/>
  <c r="W108" i="19"/>
  <c r="V108" i="19"/>
  <c r="U108" i="19"/>
  <c r="T108" i="19"/>
  <c r="M108" i="19"/>
  <c r="L108" i="19"/>
  <c r="K108" i="19"/>
  <c r="J108" i="19"/>
  <c r="BB108" i="19" s="1"/>
  <c r="I108" i="19"/>
  <c r="BA108" i="19" s="1"/>
  <c r="H108" i="19"/>
  <c r="AZ108" i="19" s="1"/>
  <c r="F108" i="19"/>
  <c r="AX108" i="19" s="1"/>
  <c r="AW107" i="19"/>
  <c r="AT107" i="19"/>
  <c r="AS107" i="19"/>
  <c r="AR107" i="19"/>
  <c r="AQ107" i="19"/>
  <c r="AP107" i="19"/>
  <c r="AO107" i="19"/>
  <c r="AN107" i="19"/>
  <c r="AM107" i="19"/>
  <c r="AL107" i="19"/>
  <c r="AJ107" i="19"/>
  <c r="AI107" i="19"/>
  <c r="AB107" i="19"/>
  <c r="AA107" i="19"/>
  <c r="Z107" i="19"/>
  <c r="Y107" i="19"/>
  <c r="X107" i="19"/>
  <c r="W107" i="19"/>
  <c r="V107" i="19"/>
  <c r="U107" i="19"/>
  <c r="T107" i="19"/>
  <c r="M107" i="19"/>
  <c r="L107" i="19"/>
  <c r="K107" i="19"/>
  <c r="J107" i="19"/>
  <c r="BB107" i="19" s="1"/>
  <c r="I107" i="19"/>
  <c r="BA107" i="19" s="1"/>
  <c r="H107" i="19"/>
  <c r="AZ107" i="19" s="1"/>
  <c r="F107" i="19"/>
  <c r="AX107" i="19" s="1"/>
  <c r="AW106" i="19"/>
  <c r="AT106" i="19"/>
  <c r="AS106" i="19"/>
  <c r="AR106" i="19"/>
  <c r="AQ106" i="19"/>
  <c r="AP106" i="19"/>
  <c r="AO106" i="19"/>
  <c r="AN106" i="19"/>
  <c r="AM106" i="19"/>
  <c r="AL106" i="19"/>
  <c r="AJ106" i="19"/>
  <c r="AI106" i="19"/>
  <c r="AB106" i="19"/>
  <c r="AA106" i="19"/>
  <c r="Z106" i="19"/>
  <c r="Y106" i="19"/>
  <c r="X106" i="19"/>
  <c r="W106" i="19"/>
  <c r="V106" i="19"/>
  <c r="U106" i="19"/>
  <c r="T106" i="19"/>
  <c r="M106" i="19"/>
  <c r="L106" i="19"/>
  <c r="K106" i="19"/>
  <c r="J106" i="19"/>
  <c r="BB106" i="19" s="1"/>
  <c r="I106" i="19"/>
  <c r="BA106" i="19" s="1"/>
  <c r="H106" i="19"/>
  <c r="AZ106" i="19" s="1"/>
  <c r="F106" i="19"/>
  <c r="AX106" i="19" s="1"/>
  <c r="AW105" i="19"/>
  <c r="AT105" i="19"/>
  <c r="AS105" i="19"/>
  <c r="AR105" i="19"/>
  <c r="AQ105" i="19"/>
  <c r="AP105" i="19"/>
  <c r="AO105" i="19"/>
  <c r="AN105" i="19"/>
  <c r="AM105" i="19"/>
  <c r="AL105" i="19"/>
  <c r="AJ105" i="19"/>
  <c r="AI105" i="19"/>
  <c r="AB105" i="19"/>
  <c r="AA105" i="19"/>
  <c r="Z105" i="19"/>
  <c r="Y105" i="19"/>
  <c r="X105" i="19"/>
  <c r="W105" i="19"/>
  <c r="V105" i="19"/>
  <c r="U105" i="19"/>
  <c r="T105" i="19"/>
  <c r="M105" i="19"/>
  <c r="L105" i="19"/>
  <c r="K105" i="19"/>
  <c r="J105" i="19"/>
  <c r="BB105" i="19" s="1"/>
  <c r="I105" i="19"/>
  <c r="BA105" i="19" s="1"/>
  <c r="H105" i="19"/>
  <c r="AZ105" i="19" s="1"/>
  <c r="F105" i="19"/>
  <c r="AX105" i="19" s="1"/>
  <c r="AW104" i="19"/>
  <c r="AT104" i="19"/>
  <c r="AS104" i="19"/>
  <c r="AR104" i="19"/>
  <c r="AQ104" i="19"/>
  <c r="AP104" i="19"/>
  <c r="AO104" i="19"/>
  <c r="AN104" i="19"/>
  <c r="AM104" i="19"/>
  <c r="AL104" i="19"/>
  <c r="AJ104" i="19"/>
  <c r="AI104" i="19"/>
  <c r="AB104" i="19"/>
  <c r="AA104" i="19"/>
  <c r="Z104" i="19"/>
  <c r="Y104" i="19"/>
  <c r="X104" i="19"/>
  <c r="W104" i="19"/>
  <c r="V104" i="19"/>
  <c r="U104" i="19"/>
  <c r="T104" i="19"/>
  <c r="M104" i="19"/>
  <c r="L104" i="19"/>
  <c r="K104" i="19"/>
  <c r="J104" i="19"/>
  <c r="BB104" i="19" s="1"/>
  <c r="I104" i="19"/>
  <c r="BA104" i="19" s="1"/>
  <c r="H104" i="19"/>
  <c r="AZ104" i="19" s="1"/>
  <c r="F104" i="19"/>
  <c r="AX104" i="19" s="1"/>
  <c r="AW103" i="19"/>
  <c r="AT103" i="19"/>
  <c r="AS103" i="19"/>
  <c r="AR103" i="19"/>
  <c r="AQ103" i="19"/>
  <c r="AP103" i="19"/>
  <c r="AO103" i="19"/>
  <c r="AN103" i="19"/>
  <c r="AM103" i="19"/>
  <c r="AL103" i="19"/>
  <c r="AJ103" i="19"/>
  <c r="AI103" i="19"/>
  <c r="AB103" i="19"/>
  <c r="AA103" i="19"/>
  <c r="Z103" i="19"/>
  <c r="Y103" i="19"/>
  <c r="X103" i="19"/>
  <c r="W103" i="19"/>
  <c r="V103" i="19"/>
  <c r="U103" i="19"/>
  <c r="T103" i="19"/>
  <c r="M103" i="19"/>
  <c r="L103" i="19"/>
  <c r="K103" i="19"/>
  <c r="J103" i="19"/>
  <c r="BB103" i="19" s="1"/>
  <c r="I103" i="19"/>
  <c r="BA103" i="19" s="1"/>
  <c r="H103" i="19"/>
  <c r="AZ103" i="19" s="1"/>
  <c r="F103" i="19"/>
  <c r="AX103" i="19" s="1"/>
  <c r="AW102" i="19"/>
  <c r="AT102" i="19"/>
  <c r="AS102" i="19"/>
  <c r="AR102" i="19"/>
  <c r="AQ102" i="19"/>
  <c r="AP102" i="19"/>
  <c r="AO102" i="19"/>
  <c r="AN102" i="19"/>
  <c r="AM102" i="19"/>
  <c r="AL102" i="19"/>
  <c r="AJ102" i="19"/>
  <c r="AI102" i="19"/>
  <c r="AB102" i="19"/>
  <c r="AA102" i="19"/>
  <c r="Z102" i="19"/>
  <c r="Y102" i="19"/>
  <c r="X102" i="19"/>
  <c r="W102" i="19"/>
  <c r="V102" i="19"/>
  <c r="U102" i="19"/>
  <c r="T102" i="19"/>
  <c r="M102" i="19"/>
  <c r="L102" i="19"/>
  <c r="K102" i="19"/>
  <c r="J102" i="19"/>
  <c r="BB102" i="19" s="1"/>
  <c r="I102" i="19"/>
  <c r="BA102" i="19" s="1"/>
  <c r="H102" i="19"/>
  <c r="AZ102" i="19" s="1"/>
  <c r="F102" i="19"/>
  <c r="AX102" i="19" s="1"/>
  <c r="AW101" i="19"/>
  <c r="AT101" i="19"/>
  <c r="AS101" i="19"/>
  <c r="AR101" i="19"/>
  <c r="AQ101" i="19"/>
  <c r="AP101" i="19"/>
  <c r="AO101" i="19"/>
  <c r="AN101" i="19"/>
  <c r="AM101" i="19"/>
  <c r="AL101" i="19"/>
  <c r="AJ101" i="19"/>
  <c r="AI101" i="19"/>
  <c r="AB101" i="19"/>
  <c r="AA101" i="19"/>
  <c r="Z101" i="19"/>
  <c r="Y101" i="19"/>
  <c r="X101" i="19"/>
  <c r="W101" i="19"/>
  <c r="V101" i="19"/>
  <c r="U101" i="19"/>
  <c r="T101" i="19"/>
  <c r="M101" i="19"/>
  <c r="L101" i="19"/>
  <c r="K101" i="19"/>
  <c r="J101" i="19"/>
  <c r="BB101" i="19" s="1"/>
  <c r="I101" i="19"/>
  <c r="BA101" i="19" s="1"/>
  <c r="H101" i="19"/>
  <c r="AZ101" i="19" s="1"/>
  <c r="F101" i="19"/>
  <c r="AX101" i="19" s="1"/>
  <c r="AW100" i="19"/>
  <c r="AT100" i="19"/>
  <c r="AS100" i="19"/>
  <c r="AR100" i="19"/>
  <c r="AQ100" i="19"/>
  <c r="AP100" i="19"/>
  <c r="AO100" i="19"/>
  <c r="AN100" i="19"/>
  <c r="AM100" i="19"/>
  <c r="AL100" i="19"/>
  <c r="AJ100" i="19"/>
  <c r="AI100" i="19"/>
  <c r="AB100" i="19"/>
  <c r="AA100" i="19"/>
  <c r="Z100" i="19"/>
  <c r="Y100" i="19"/>
  <c r="X100" i="19"/>
  <c r="W100" i="19"/>
  <c r="V100" i="19"/>
  <c r="U100" i="19"/>
  <c r="T100" i="19"/>
  <c r="M100" i="19"/>
  <c r="L100" i="19"/>
  <c r="K100" i="19"/>
  <c r="J100" i="19"/>
  <c r="BB100" i="19" s="1"/>
  <c r="I100" i="19"/>
  <c r="BA100" i="19" s="1"/>
  <c r="H100" i="19"/>
  <c r="AZ100" i="19" s="1"/>
  <c r="F100" i="19"/>
  <c r="AX100" i="19" s="1"/>
  <c r="AW99" i="19"/>
  <c r="AT99" i="19"/>
  <c r="AS99" i="19"/>
  <c r="AR99" i="19"/>
  <c r="AQ99" i="19"/>
  <c r="AP99" i="19"/>
  <c r="AO99" i="19"/>
  <c r="AN99" i="19"/>
  <c r="AM99" i="19"/>
  <c r="AL99" i="19"/>
  <c r="AJ99" i="19"/>
  <c r="AI99" i="19"/>
  <c r="AB99" i="19"/>
  <c r="AA99" i="19"/>
  <c r="Z99" i="19"/>
  <c r="Y99" i="19"/>
  <c r="X99" i="19"/>
  <c r="W99" i="19"/>
  <c r="V99" i="19"/>
  <c r="U99" i="19"/>
  <c r="T99" i="19"/>
  <c r="M99" i="19"/>
  <c r="L99" i="19"/>
  <c r="K99" i="19"/>
  <c r="J99" i="19"/>
  <c r="BB99" i="19" s="1"/>
  <c r="I99" i="19"/>
  <c r="BA99" i="19" s="1"/>
  <c r="H99" i="19"/>
  <c r="AZ99" i="19" s="1"/>
  <c r="F99" i="19"/>
  <c r="AX99" i="19" s="1"/>
  <c r="AW98" i="19"/>
  <c r="AT98" i="19"/>
  <c r="AS98" i="19"/>
  <c r="AR98" i="19"/>
  <c r="AQ98" i="19"/>
  <c r="AP98" i="19"/>
  <c r="AO98" i="19"/>
  <c r="AN98" i="19"/>
  <c r="AM98" i="19"/>
  <c r="AL98" i="19"/>
  <c r="AJ98" i="19"/>
  <c r="AI98" i="19"/>
  <c r="AB98" i="19"/>
  <c r="AA98" i="19"/>
  <c r="Z98" i="19"/>
  <c r="Y98" i="19"/>
  <c r="X98" i="19"/>
  <c r="W98" i="19"/>
  <c r="V98" i="19"/>
  <c r="U98" i="19"/>
  <c r="T98" i="19"/>
  <c r="M98" i="19"/>
  <c r="L98" i="19"/>
  <c r="K98" i="19"/>
  <c r="J98" i="19"/>
  <c r="BB98" i="19" s="1"/>
  <c r="I98" i="19"/>
  <c r="BA98" i="19" s="1"/>
  <c r="H98" i="19"/>
  <c r="AZ98" i="19" s="1"/>
  <c r="F98" i="19"/>
  <c r="AX98" i="19" s="1"/>
  <c r="AW97" i="19"/>
  <c r="AT97" i="19"/>
  <c r="AS97" i="19"/>
  <c r="AR97" i="19"/>
  <c r="AQ97" i="19"/>
  <c r="AP97" i="19"/>
  <c r="AO97" i="19"/>
  <c r="AN97" i="19"/>
  <c r="AM97" i="19"/>
  <c r="AL97" i="19"/>
  <c r="AJ97" i="19"/>
  <c r="AI97" i="19"/>
  <c r="AB97" i="19"/>
  <c r="AA97" i="19"/>
  <c r="Z97" i="19"/>
  <c r="Y97" i="19"/>
  <c r="X97" i="19"/>
  <c r="W97" i="19"/>
  <c r="V97" i="19"/>
  <c r="U97" i="19"/>
  <c r="T97" i="19"/>
  <c r="M97" i="19"/>
  <c r="L97" i="19"/>
  <c r="K97" i="19"/>
  <c r="J97" i="19"/>
  <c r="BB97" i="19" s="1"/>
  <c r="I97" i="19"/>
  <c r="BA97" i="19" s="1"/>
  <c r="H97" i="19"/>
  <c r="AZ97" i="19" s="1"/>
  <c r="F97" i="19"/>
  <c r="AX97" i="19" s="1"/>
  <c r="AW96" i="19"/>
  <c r="AT96" i="19"/>
  <c r="AS96" i="19"/>
  <c r="AR96" i="19"/>
  <c r="AQ96" i="19"/>
  <c r="AP96" i="19"/>
  <c r="AO96" i="19"/>
  <c r="AN96" i="19"/>
  <c r="AM96" i="19"/>
  <c r="AL96" i="19"/>
  <c r="AJ96" i="19"/>
  <c r="AI96" i="19"/>
  <c r="AB96" i="19"/>
  <c r="AA96" i="19"/>
  <c r="Z96" i="19"/>
  <c r="Y96" i="19"/>
  <c r="X96" i="19"/>
  <c r="W96" i="19"/>
  <c r="V96" i="19"/>
  <c r="U96" i="19"/>
  <c r="T96" i="19"/>
  <c r="M96" i="19"/>
  <c r="L96" i="19"/>
  <c r="K96" i="19"/>
  <c r="J96" i="19"/>
  <c r="BB96" i="19" s="1"/>
  <c r="I96" i="19"/>
  <c r="BA96" i="19" s="1"/>
  <c r="H96" i="19"/>
  <c r="AZ96" i="19" s="1"/>
  <c r="F96" i="19"/>
  <c r="AX96" i="19" s="1"/>
  <c r="AW95" i="19"/>
  <c r="AT95" i="19"/>
  <c r="AS95" i="19"/>
  <c r="AR95" i="19"/>
  <c r="AQ95" i="19"/>
  <c r="AP95" i="19"/>
  <c r="AO95" i="19"/>
  <c r="AN95" i="19"/>
  <c r="AM95" i="19"/>
  <c r="AL95" i="19"/>
  <c r="AJ95" i="19"/>
  <c r="AI95" i="19"/>
  <c r="AB95" i="19"/>
  <c r="AA95" i="19"/>
  <c r="Z95" i="19"/>
  <c r="Y95" i="19"/>
  <c r="X95" i="19"/>
  <c r="W95" i="19"/>
  <c r="V95" i="19"/>
  <c r="U95" i="19"/>
  <c r="T95" i="19"/>
  <c r="M95" i="19"/>
  <c r="L95" i="19"/>
  <c r="K95" i="19"/>
  <c r="J95" i="19"/>
  <c r="BB95" i="19" s="1"/>
  <c r="I95" i="19"/>
  <c r="BA95" i="19" s="1"/>
  <c r="H95" i="19"/>
  <c r="AZ95" i="19" s="1"/>
  <c r="F95" i="19"/>
  <c r="AX95" i="19" s="1"/>
  <c r="AW94" i="19"/>
  <c r="AT94" i="19"/>
  <c r="AS94" i="19"/>
  <c r="AR94" i="19"/>
  <c r="AQ94" i="19"/>
  <c r="AP94" i="19"/>
  <c r="AO94" i="19"/>
  <c r="AN94" i="19"/>
  <c r="AM94" i="19"/>
  <c r="AL94" i="19"/>
  <c r="AJ94" i="19"/>
  <c r="AI94" i="19"/>
  <c r="AB94" i="19"/>
  <c r="AA94" i="19"/>
  <c r="Z94" i="19"/>
  <c r="Y94" i="19"/>
  <c r="X94" i="19"/>
  <c r="W94" i="19"/>
  <c r="V94" i="19"/>
  <c r="U94" i="19"/>
  <c r="T94" i="19"/>
  <c r="M94" i="19"/>
  <c r="L94" i="19"/>
  <c r="K94" i="19"/>
  <c r="J94" i="19"/>
  <c r="BB94" i="19" s="1"/>
  <c r="I94" i="19"/>
  <c r="BA94" i="19" s="1"/>
  <c r="H94" i="19"/>
  <c r="AZ94" i="19" s="1"/>
  <c r="F94" i="19"/>
  <c r="AX94" i="19" s="1"/>
  <c r="AW93" i="19"/>
  <c r="AT93" i="19"/>
  <c r="AS93" i="19"/>
  <c r="AR93" i="19"/>
  <c r="AQ93" i="19"/>
  <c r="AP93" i="19"/>
  <c r="AO93" i="19"/>
  <c r="AN93" i="19"/>
  <c r="AM93" i="19"/>
  <c r="AL93" i="19"/>
  <c r="AJ93" i="19"/>
  <c r="AI93" i="19"/>
  <c r="AB93" i="19"/>
  <c r="AA93" i="19"/>
  <c r="Z93" i="19"/>
  <c r="Y93" i="19"/>
  <c r="X93" i="19"/>
  <c r="W93" i="19"/>
  <c r="V93" i="19"/>
  <c r="U93" i="19"/>
  <c r="T93" i="19"/>
  <c r="M93" i="19"/>
  <c r="L93" i="19"/>
  <c r="K93" i="19"/>
  <c r="J93" i="19"/>
  <c r="BB93" i="19" s="1"/>
  <c r="I93" i="19"/>
  <c r="BA93" i="19" s="1"/>
  <c r="H93" i="19"/>
  <c r="AZ93" i="19" s="1"/>
  <c r="F93" i="19"/>
  <c r="AX93" i="19" s="1"/>
  <c r="AW92" i="19"/>
  <c r="AT92" i="19"/>
  <c r="AS92" i="19"/>
  <c r="AR92" i="19"/>
  <c r="AQ92" i="19"/>
  <c r="AP92" i="19"/>
  <c r="AO92" i="19"/>
  <c r="AN92" i="19"/>
  <c r="AM92" i="19"/>
  <c r="AL92" i="19"/>
  <c r="AJ92" i="19"/>
  <c r="AI92" i="19"/>
  <c r="AB92" i="19"/>
  <c r="AA92" i="19"/>
  <c r="Z92" i="19"/>
  <c r="Y92" i="19"/>
  <c r="X92" i="19"/>
  <c r="W92" i="19"/>
  <c r="V92" i="19"/>
  <c r="U92" i="19"/>
  <c r="T92" i="19"/>
  <c r="M92" i="19"/>
  <c r="L92" i="19"/>
  <c r="K92" i="19"/>
  <c r="J92" i="19"/>
  <c r="BB92" i="19" s="1"/>
  <c r="I92" i="19"/>
  <c r="BA92" i="19" s="1"/>
  <c r="H92" i="19"/>
  <c r="AZ92" i="19" s="1"/>
  <c r="F92" i="19"/>
  <c r="AX92" i="19" s="1"/>
  <c r="AW91" i="19"/>
  <c r="AT91" i="19"/>
  <c r="AS91" i="19"/>
  <c r="AR91" i="19"/>
  <c r="AQ91" i="19"/>
  <c r="AP91" i="19"/>
  <c r="AO91" i="19"/>
  <c r="AN91" i="19"/>
  <c r="AM91" i="19"/>
  <c r="AL91" i="19"/>
  <c r="AJ91" i="19"/>
  <c r="AI91" i="19"/>
  <c r="AB91" i="19"/>
  <c r="AA91" i="19"/>
  <c r="Z91" i="19"/>
  <c r="Y91" i="19"/>
  <c r="X91" i="19"/>
  <c r="W91" i="19"/>
  <c r="V91" i="19"/>
  <c r="U91" i="19"/>
  <c r="T91" i="19"/>
  <c r="M91" i="19"/>
  <c r="L91" i="19"/>
  <c r="K91" i="19"/>
  <c r="J91" i="19"/>
  <c r="BB91" i="19" s="1"/>
  <c r="I91" i="19"/>
  <c r="BA91" i="19" s="1"/>
  <c r="H91" i="19"/>
  <c r="AZ91" i="19" s="1"/>
  <c r="F91" i="19"/>
  <c r="AX91" i="19" s="1"/>
  <c r="AW90" i="19"/>
  <c r="AT90" i="19"/>
  <c r="AS90" i="19"/>
  <c r="AR90" i="19"/>
  <c r="AQ90" i="19"/>
  <c r="AP90" i="19"/>
  <c r="AO90" i="19"/>
  <c r="AN90" i="19"/>
  <c r="AM90" i="19"/>
  <c r="AL90" i="19"/>
  <c r="AJ90" i="19"/>
  <c r="AI90" i="19"/>
  <c r="AB90" i="19"/>
  <c r="AA90" i="19"/>
  <c r="Z90" i="19"/>
  <c r="Y90" i="19"/>
  <c r="X90" i="19"/>
  <c r="W90" i="19"/>
  <c r="V90" i="19"/>
  <c r="U90" i="19"/>
  <c r="T90" i="19"/>
  <c r="M90" i="19"/>
  <c r="L90" i="19"/>
  <c r="K90" i="19"/>
  <c r="J90" i="19"/>
  <c r="BB90" i="19" s="1"/>
  <c r="I90" i="19"/>
  <c r="BA90" i="19" s="1"/>
  <c r="H90" i="19"/>
  <c r="AZ90" i="19" s="1"/>
  <c r="F90" i="19"/>
  <c r="AX90" i="19" s="1"/>
  <c r="AW89" i="19"/>
  <c r="AT89" i="19"/>
  <c r="AS89" i="19"/>
  <c r="AR89" i="19"/>
  <c r="AQ89" i="19"/>
  <c r="AP89" i="19"/>
  <c r="AO89" i="19"/>
  <c r="AN89" i="19"/>
  <c r="AM89" i="19"/>
  <c r="AL89" i="19"/>
  <c r="AJ89" i="19"/>
  <c r="AI89" i="19"/>
  <c r="AB89" i="19"/>
  <c r="AA89" i="19"/>
  <c r="Z89" i="19"/>
  <c r="Y89" i="19"/>
  <c r="X89" i="19"/>
  <c r="W89" i="19"/>
  <c r="V89" i="19"/>
  <c r="U89" i="19"/>
  <c r="T89" i="19"/>
  <c r="M89" i="19"/>
  <c r="L89" i="19"/>
  <c r="K89" i="19"/>
  <c r="J89" i="19"/>
  <c r="BB89" i="19" s="1"/>
  <c r="I89" i="19"/>
  <c r="BA89" i="19" s="1"/>
  <c r="H89" i="19"/>
  <c r="AZ89" i="19" s="1"/>
  <c r="F89" i="19"/>
  <c r="AX89" i="19" s="1"/>
  <c r="AW88" i="19"/>
  <c r="AT88" i="19"/>
  <c r="AS88" i="19"/>
  <c r="AR88" i="19"/>
  <c r="AQ88" i="19"/>
  <c r="AP88" i="19"/>
  <c r="AO88" i="19"/>
  <c r="AN88" i="19"/>
  <c r="AM88" i="19"/>
  <c r="AL88" i="19"/>
  <c r="AJ88" i="19"/>
  <c r="AI88" i="19"/>
  <c r="AB88" i="19"/>
  <c r="AA88" i="19"/>
  <c r="Z88" i="19"/>
  <c r="Y88" i="19"/>
  <c r="X88" i="19"/>
  <c r="W88" i="19"/>
  <c r="V88" i="19"/>
  <c r="U88" i="19"/>
  <c r="T88" i="19"/>
  <c r="M88" i="19"/>
  <c r="L88" i="19"/>
  <c r="K88" i="19"/>
  <c r="J88" i="19"/>
  <c r="BB88" i="19" s="1"/>
  <c r="I88" i="19"/>
  <c r="BA88" i="19" s="1"/>
  <c r="H88" i="19"/>
  <c r="AZ88" i="19" s="1"/>
  <c r="F88" i="19"/>
  <c r="AX88" i="19" s="1"/>
  <c r="AW87" i="19"/>
  <c r="AT87" i="19"/>
  <c r="AS87" i="19"/>
  <c r="AR87" i="19"/>
  <c r="AQ87" i="19"/>
  <c r="AP87" i="19"/>
  <c r="AO87" i="19"/>
  <c r="AN87" i="19"/>
  <c r="AM87" i="19"/>
  <c r="AL87" i="19"/>
  <c r="AJ87" i="19"/>
  <c r="AI87" i="19"/>
  <c r="AB87" i="19"/>
  <c r="AA87" i="19"/>
  <c r="Z87" i="19"/>
  <c r="Y87" i="19"/>
  <c r="X87" i="19"/>
  <c r="W87" i="19"/>
  <c r="V87" i="19"/>
  <c r="U87" i="19"/>
  <c r="T87" i="19"/>
  <c r="M87" i="19"/>
  <c r="L87" i="19"/>
  <c r="K87" i="19"/>
  <c r="J87" i="19"/>
  <c r="BB87" i="19" s="1"/>
  <c r="I87" i="19"/>
  <c r="BA87" i="19" s="1"/>
  <c r="H87" i="19"/>
  <c r="AZ87" i="19" s="1"/>
  <c r="F87" i="19"/>
  <c r="AX87" i="19" s="1"/>
  <c r="AW86" i="19"/>
  <c r="AT86" i="19"/>
  <c r="AS86" i="19"/>
  <c r="AR86" i="19"/>
  <c r="AQ86" i="19"/>
  <c r="AP86" i="19"/>
  <c r="AO86" i="19"/>
  <c r="AN86" i="19"/>
  <c r="AM86" i="19"/>
  <c r="AL86" i="19"/>
  <c r="AJ86" i="19"/>
  <c r="AI86" i="19"/>
  <c r="AB86" i="19"/>
  <c r="AA86" i="19"/>
  <c r="Z86" i="19"/>
  <c r="Y86" i="19"/>
  <c r="X86" i="19"/>
  <c r="W86" i="19"/>
  <c r="V86" i="19"/>
  <c r="U86" i="19"/>
  <c r="T86" i="19"/>
  <c r="M86" i="19"/>
  <c r="L86" i="19"/>
  <c r="K86" i="19"/>
  <c r="J86" i="19"/>
  <c r="BB86" i="19" s="1"/>
  <c r="I86" i="19"/>
  <c r="BA86" i="19" s="1"/>
  <c r="H86" i="19"/>
  <c r="AZ86" i="19" s="1"/>
  <c r="F86" i="19"/>
  <c r="AX86" i="19" s="1"/>
  <c r="AW85" i="19"/>
  <c r="AT85" i="19"/>
  <c r="AS85" i="19"/>
  <c r="AR85" i="19"/>
  <c r="AQ85" i="19"/>
  <c r="AP85" i="19"/>
  <c r="AO85" i="19"/>
  <c r="AN85" i="19"/>
  <c r="AM85" i="19"/>
  <c r="AL85" i="19"/>
  <c r="AJ85" i="19"/>
  <c r="AI85" i="19"/>
  <c r="AB85" i="19"/>
  <c r="AA85" i="19"/>
  <c r="Z85" i="19"/>
  <c r="Y85" i="19"/>
  <c r="X85" i="19"/>
  <c r="W85" i="19"/>
  <c r="V85" i="19"/>
  <c r="U85" i="19"/>
  <c r="T85" i="19"/>
  <c r="M85" i="19"/>
  <c r="L85" i="19"/>
  <c r="K85" i="19"/>
  <c r="J85" i="19"/>
  <c r="BB85" i="19" s="1"/>
  <c r="I85" i="19"/>
  <c r="BA85" i="19" s="1"/>
  <c r="H85" i="19"/>
  <c r="AZ85" i="19" s="1"/>
  <c r="F85" i="19"/>
  <c r="AX85" i="19" s="1"/>
  <c r="AW84" i="19"/>
  <c r="AT84" i="19"/>
  <c r="AS84" i="19"/>
  <c r="AR84" i="19"/>
  <c r="AQ84" i="19"/>
  <c r="AP84" i="19"/>
  <c r="AO84" i="19"/>
  <c r="AN84" i="19"/>
  <c r="AM84" i="19"/>
  <c r="AL84" i="19"/>
  <c r="AJ84" i="19"/>
  <c r="AI84" i="19"/>
  <c r="AB84" i="19"/>
  <c r="AA84" i="19"/>
  <c r="Z84" i="19"/>
  <c r="Y84" i="19"/>
  <c r="X84" i="19"/>
  <c r="W84" i="19"/>
  <c r="V84" i="19"/>
  <c r="U84" i="19"/>
  <c r="T84" i="19"/>
  <c r="M84" i="19"/>
  <c r="L84" i="19"/>
  <c r="K84" i="19"/>
  <c r="J84" i="19"/>
  <c r="BB84" i="19" s="1"/>
  <c r="I84" i="19"/>
  <c r="BA84" i="19" s="1"/>
  <c r="H84" i="19"/>
  <c r="AZ84" i="19" s="1"/>
  <c r="F84" i="19"/>
  <c r="AX84" i="19" s="1"/>
  <c r="AW83" i="19"/>
  <c r="AT83" i="19"/>
  <c r="AS83" i="19"/>
  <c r="AR83" i="19"/>
  <c r="AQ83" i="19"/>
  <c r="AP83" i="19"/>
  <c r="AO83" i="19"/>
  <c r="AN83" i="19"/>
  <c r="AM83" i="19"/>
  <c r="AL83" i="19"/>
  <c r="AJ83" i="19"/>
  <c r="AI83" i="19"/>
  <c r="AB83" i="19"/>
  <c r="AA83" i="19"/>
  <c r="Z83" i="19"/>
  <c r="Y83" i="19"/>
  <c r="X83" i="19"/>
  <c r="W83" i="19"/>
  <c r="V83" i="19"/>
  <c r="U83" i="19"/>
  <c r="T83" i="19"/>
  <c r="M83" i="19"/>
  <c r="L83" i="19"/>
  <c r="K83" i="19"/>
  <c r="J83" i="19"/>
  <c r="BB83" i="19" s="1"/>
  <c r="I83" i="19"/>
  <c r="BA83" i="19" s="1"/>
  <c r="H83" i="19"/>
  <c r="AZ83" i="19" s="1"/>
  <c r="F83" i="19"/>
  <c r="AX83" i="19" s="1"/>
  <c r="AW82" i="19"/>
  <c r="AT82" i="19"/>
  <c r="AS82" i="19"/>
  <c r="AR82" i="19"/>
  <c r="AQ82" i="19"/>
  <c r="AP82" i="19"/>
  <c r="AO82" i="19"/>
  <c r="AN82" i="19"/>
  <c r="AM82" i="19"/>
  <c r="AL82" i="19"/>
  <c r="AJ82" i="19"/>
  <c r="AI82" i="19"/>
  <c r="AB82" i="19"/>
  <c r="AA82" i="19"/>
  <c r="Z82" i="19"/>
  <c r="Y82" i="19"/>
  <c r="X82" i="19"/>
  <c r="W82" i="19"/>
  <c r="V82" i="19"/>
  <c r="U82" i="19"/>
  <c r="T82" i="19"/>
  <c r="M82" i="19"/>
  <c r="L82" i="19"/>
  <c r="K82" i="19"/>
  <c r="J82" i="19"/>
  <c r="BB82" i="19" s="1"/>
  <c r="I82" i="19"/>
  <c r="BA82" i="19" s="1"/>
  <c r="H82" i="19"/>
  <c r="AZ82" i="19" s="1"/>
  <c r="F82" i="19"/>
  <c r="AX82" i="19" s="1"/>
  <c r="AW81" i="19"/>
  <c r="AT81" i="19"/>
  <c r="AS81" i="19"/>
  <c r="AR81" i="19"/>
  <c r="AQ81" i="19"/>
  <c r="AP81" i="19"/>
  <c r="AO81" i="19"/>
  <c r="AN81" i="19"/>
  <c r="AM81" i="19"/>
  <c r="AL81" i="19"/>
  <c r="AJ81" i="19"/>
  <c r="AI81" i="19"/>
  <c r="AB81" i="19"/>
  <c r="AA81" i="19"/>
  <c r="Z81" i="19"/>
  <c r="Y81" i="19"/>
  <c r="X81" i="19"/>
  <c r="W81" i="19"/>
  <c r="V81" i="19"/>
  <c r="U81" i="19"/>
  <c r="T81" i="19"/>
  <c r="M81" i="19"/>
  <c r="L81" i="19"/>
  <c r="K81" i="19"/>
  <c r="J81" i="19"/>
  <c r="BB81" i="19" s="1"/>
  <c r="I81" i="19"/>
  <c r="BA81" i="19" s="1"/>
  <c r="H81" i="19"/>
  <c r="AZ81" i="19" s="1"/>
  <c r="F81" i="19"/>
  <c r="AX81" i="19" s="1"/>
  <c r="AW80" i="19"/>
  <c r="AT80" i="19"/>
  <c r="AS80" i="19"/>
  <c r="AR80" i="19"/>
  <c r="AQ80" i="19"/>
  <c r="AP80" i="19"/>
  <c r="AO80" i="19"/>
  <c r="AN80" i="19"/>
  <c r="AM80" i="19"/>
  <c r="AL80" i="19"/>
  <c r="AJ80" i="19"/>
  <c r="AI80" i="19"/>
  <c r="AB80" i="19"/>
  <c r="AA80" i="19"/>
  <c r="Z80" i="19"/>
  <c r="Y80" i="19"/>
  <c r="X80" i="19"/>
  <c r="W80" i="19"/>
  <c r="V80" i="19"/>
  <c r="U80" i="19"/>
  <c r="T80" i="19"/>
  <c r="M80" i="19"/>
  <c r="L80" i="19"/>
  <c r="K80" i="19"/>
  <c r="J80" i="19"/>
  <c r="BB80" i="19" s="1"/>
  <c r="I80" i="19"/>
  <c r="BA80" i="19" s="1"/>
  <c r="H80" i="19"/>
  <c r="AZ80" i="19" s="1"/>
  <c r="F80" i="19"/>
  <c r="AX80" i="19" s="1"/>
  <c r="AW79" i="19"/>
  <c r="AT79" i="19"/>
  <c r="AS79" i="19"/>
  <c r="AR79" i="19"/>
  <c r="AQ79" i="19"/>
  <c r="AP79" i="19"/>
  <c r="AO79" i="19"/>
  <c r="AN79" i="19"/>
  <c r="AM79" i="19"/>
  <c r="AL79" i="19"/>
  <c r="AJ79" i="19"/>
  <c r="AI79" i="19"/>
  <c r="AB79" i="19"/>
  <c r="AA79" i="19"/>
  <c r="Z79" i="19"/>
  <c r="Y79" i="19"/>
  <c r="X79" i="19"/>
  <c r="W79" i="19"/>
  <c r="V79" i="19"/>
  <c r="U79" i="19"/>
  <c r="T79" i="19"/>
  <c r="M79" i="19"/>
  <c r="L79" i="19"/>
  <c r="K79" i="19"/>
  <c r="J79" i="19"/>
  <c r="BB79" i="19" s="1"/>
  <c r="I79" i="19"/>
  <c r="BA79" i="19" s="1"/>
  <c r="H79" i="19"/>
  <c r="AZ79" i="19" s="1"/>
  <c r="F79" i="19"/>
  <c r="AX79" i="19" s="1"/>
  <c r="AW78" i="19"/>
  <c r="AT78" i="19"/>
  <c r="AS78" i="19"/>
  <c r="AR78" i="19"/>
  <c r="AQ78" i="19"/>
  <c r="AP78" i="19"/>
  <c r="AO78" i="19"/>
  <c r="AN78" i="19"/>
  <c r="AM78" i="19"/>
  <c r="AL78" i="19"/>
  <c r="AJ78" i="19"/>
  <c r="AI78" i="19"/>
  <c r="AB78" i="19"/>
  <c r="AA78" i="19"/>
  <c r="Z78" i="19"/>
  <c r="Y78" i="19"/>
  <c r="X78" i="19"/>
  <c r="W78" i="19"/>
  <c r="V78" i="19"/>
  <c r="U78" i="19"/>
  <c r="T78" i="19"/>
  <c r="M78" i="19"/>
  <c r="L78" i="19"/>
  <c r="K78" i="19"/>
  <c r="J78" i="19"/>
  <c r="BB78" i="19" s="1"/>
  <c r="I78" i="19"/>
  <c r="BA78" i="19" s="1"/>
  <c r="H78" i="19"/>
  <c r="AZ78" i="19" s="1"/>
  <c r="F78" i="19"/>
  <c r="AX78" i="19" s="1"/>
  <c r="AW77" i="19"/>
  <c r="AT77" i="19"/>
  <c r="AS77" i="19"/>
  <c r="AR77" i="19"/>
  <c r="AQ77" i="19"/>
  <c r="AP77" i="19"/>
  <c r="AO77" i="19"/>
  <c r="AN77" i="19"/>
  <c r="AM77" i="19"/>
  <c r="AL77" i="19"/>
  <c r="AJ77" i="19"/>
  <c r="AI77" i="19"/>
  <c r="AB77" i="19"/>
  <c r="AA77" i="19"/>
  <c r="Z77" i="19"/>
  <c r="Y77" i="19"/>
  <c r="X77" i="19"/>
  <c r="W77" i="19"/>
  <c r="V77" i="19"/>
  <c r="U77" i="19"/>
  <c r="T77" i="19"/>
  <c r="M77" i="19"/>
  <c r="L77" i="19"/>
  <c r="K77" i="19"/>
  <c r="J77" i="19"/>
  <c r="BB77" i="19" s="1"/>
  <c r="I77" i="19"/>
  <c r="BA77" i="19" s="1"/>
  <c r="H77" i="19"/>
  <c r="AZ77" i="19" s="1"/>
  <c r="F77" i="19"/>
  <c r="AX77" i="19" s="1"/>
  <c r="AW76" i="19"/>
  <c r="AT76" i="19"/>
  <c r="AS76" i="19"/>
  <c r="AR76" i="19"/>
  <c r="AQ76" i="19"/>
  <c r="AP76" i="19"/>
  <c r="AO76" i="19"/>
  <c r="AN76" i="19"/>
  <c r="AM76" i="19"/>
  <c r="AL76" i="19"/>
  <c r="AJ76" i="19"/>
  <c r="AI76" i="19"/>
  <c r="AB76" i="19"/>
  <c r="AA76" i="19"/>
  <c r="Z76" i="19"/>
  <c r="Y76" i="19"/>
  <c r="X76" i="19"/>
  <c r="W76" i="19"/>
  <c r="V76" i="19"/>
  <c r="U76" i="19"/>
  <c r="T76" i="19"/>
  <c r="M76" i="19"/>
  <c r="L76" i="19"/>
  <c r="K76" i="19"/>
  <c r="J76" i="19"/>
  <c r="BB76" i="19" s="1"/>
  <c r="I76" i="19"/>
  <c r="BA76" i="19" s="1"/>
  <c r="H76" i="19"/>
  <c r="AZ76" i="19" s="1"/>
  <c r="F76" i="19"/>
  <c r="AX76" i="19" s="1"/>
  <c r="AW75" i="19"/>
  <c r="AT75" i="19"/>
  <c r="AS75" i="19"/>
  <c r="AR75" i="19"/>
  <c r="AQ75" i="19"/>
  <c r="AP75" i="19"/>
  <c r="AO75" i="19"/>
  <c r="AN75" i="19"/>
  <c r="AM75" i="19"/>
  <c r="AL75" i="19"/>
  <c r="AJ75" i="19"/>
  <c r="AI75" i="19"/>
  <c r="AB75" i="19"/>
  <c r="AA75" i="19"/>
  <c r="Z75" i="19"/>
  <c r="Y75" i="19"/>
  <c r="X75" i="19"/>
  <c r="W75" i="19"/>
  <c r="V75" i="19"/>
  <c r="U75" i="19"/>
  <c r="T75" i="19"/>
  <c r="M75" i="19"/>
  <c r="L75" i="19"/>
  <c r="K75" i="19"/>
  <c r="J75" i="19"/>
  <c r="BB75" i="19" s="1"/>
  <c r="I75" i="19"/>
  <c r="BA75" i="19" s="1"/>
  <c r="H75" i="19"/>
  <c r="AZ75" i="19" s="1"/>
  <c r="F75" i="19"/>
  <c r="AX75" i="19" s="1"/>
  <c r="AW74" i="19"/>
  <c r="AT74" i="19"/>
  <c r="AS74" i="19"/>
  <c r="AR74" i="19"/>
  <c r="AQ74" i="19"/>
  <c r="AP74" i="19"/>
  <c r="AO74" i="19"/>
  <c r="AN74" i="19"/>
  <c r="AM74" i="19"/>
  <c r="AL74" i="19"/>
  <c r="AJ74" i="19"/>
  <c r="AI74" i="19"/>
  <c r="AB74" i="19"/>
  <c r="AA74" i="19"/>
  <c r="Z74" i="19"/>
  <c r="Y74" i="19"/>
  <c r="X74" i="19"/>
  <c r="W74" i="19"/>
  <c r="V74" i="19"/>
  <c r="U74" i="19"/>
  <c r="T74" i="19"/>
  <c r="M74" i="19"/>
  <c r="L74" i="19"/>
  <c r="K74" i="19"/>
  <c r="J74" i="19"/>
  <c r="BB74" i="19" s="1"/>
  <c r="I74" i="19"/>
  <c r="BA74" i="19" s="1"/>
  <c r="H74" i="19"/>
  <c r="AZ74" i="19" s="1"/>
  <c r="F74" i="19"/>
  <c r="AX74" i="19" s="1"/>
  <c r="AW73" i="19"/>
  <c r="AT73" i="19"/>
  <c r="AS73" i="19"/>
  <c r="AR73" i="19"/>
  <c r="AQ73" i="19"/>
  <c r="AP73" i="19"/>
  <c r="AO73" i="19"/>
  <c r="AN73" i="19"/>
  <c r="AM73" i="19"/>
  <c r="AL73" i="19"/>
  <c r="AJ73" i="19"/>
  <c r="AI73" i="19"/>
  <c r="AB73" i="19"/>
  <c r="AA73" i="19"/>
  <c r="Z73" i="19"/>
  <c r="Y73" i="19"/>
  <c r="X73" i="19"/>
  <c r="W73" i="19"/>
  <c r="V73" i="19"/>
  <c r="U73" i="19"/>
  <c r="T73" i="19"/>
  <c r="M73" i="19"/>
  <c r="L73" i="19"/>
  <c r="K73" i="19"/>
  <c r="J73" i="19"/>
  <c r="BB73" i="19" s="1"/>
  <c r="I73" i="19"/>
  <c r="BA73" i="19" s="1"/>
  <c r="H73" i="19"/>
  <c r="AZ73" i="19" s="1"/>
  <c r="F73" i="19"/>
  <c r="AX73" i="19" s="1"/>
  <c r="AW72" i="19"/>
  <c r="AT72" i="19"/>
  <c r="AS72" i="19"/>
  <c r="AR72" i="19"/>
  <c r="AQ72" i="19"/>
  <c r="AP72" i="19"/>
  <c r="AO72" i="19"/>
  <c r="AN72" i="19"/>
  <c r="AM72" i="19"/>
  <c r="AL72" i="19"/>
  <c r="AJ72" i="19"/>
  <c r="AI72" i="19"/>
  <c r="AB72" i="19"/>
  <c r="AA72" i="19"/>
  <c r="Z72" i="19"/>
  <c r="Y72" i="19"/>
  <c r="X72" i="19"/>
  <c r="W72" i="19"/>
  <c r="V72" i="19"/>
  <c r="U72" i="19"/>
  <c r="T72" i="19"/>
  <c r="M72" i="19"/>
  <c r="L72" i="19"/>
  <c r="K72" i="19"/>
  <c r="J72" i="19"/>
  <c r="BB72" i="19" s="1"/>
  <c r="I72" i="19"/>
  <c r="BA72" i="19" s="1"/>
  <c r="H72" i="19"/>
  <c r="AZ72" i="19" s="1"/>
  <c r="F72" i="19"/>
  <c r="AX72" i="19" s="1"/>
  <c r="AW71" i="19"/>
  <c r="AT71" i="19"/>
  <c r="AS71" i="19"/>
  <c r="AR71" i="19"/>
  <c r="AQ71" i="19"/>
  <c r="AP71" i="19"/>
  <c r="AO71" i="19"/>
  <c r="AN71" i="19"/>
  <c r="AM71" i="19"/>
  <c r="AL71" i="19"/>
  <c r="AJ71" i="19"/>
  <c r="AI71" i="19"/>
  <c r="AB71" i="19"/>
  <c r="AA71" i="19"/>
  <c r="Z71" i="19"/>
  <c r="Y71" i="19"/>
  <c r="X71" i="19"/>
  <c r="W71" i="19"/>
  <c r="V71" i="19"/>
  <c r="U71" i="19"/>
  <c r="T71" i="19"/>
  <c r="M71" i="19"/>
  <c r="L71" i="19"/>
  <c r="K71" i="19"/>
  <c r="J71" i="19"/>
  <c r="BB71" i="19" s="1"/>
  <c r="I71" i="19"/>
  <c r="BA71" i="19" s="1"/>
  <c r="H71" i="19"/>
  <c r="AZ71" i="19" s="1"/>
  <c r="F71" i="19"/>
  <c r="AX71" i="19" s="1"/>
  <c r="AW70" i="19"/>
  <c r="AT70" i="19"/>
  <c r="AS70" i="19"/>
  <c r="AR70" i="19"/>
  <c r="AQ70" i="19"/>
  <c r="AP70" i="19"/>
  <c r="AO70" i="19"/>
  <c r="AN70" i="19"/>
  <c r="AM70" i="19"/>
  <c r="AL70" i="19"/>
  <c r="AJ70" i="19"/>
  <c r="AI70" i="19"/>
  <c r="AB70" i="19"/>
  <c r="AA70" i="19"/>
  <c r="Z70" i="19"/>
  <c r="Y70" i="19"/>
  <c r="X70" i="19"/>
  <c r="W70" i="19"/>
  <c r="V70" i="19"/>
  <c r="U70" i="19"/>
  <c r="T70" i="19"/>
  <c r="M70" i="19"/>
  <c r="L70" i="19"/>
  <c r="K70" i="19"/>
  <c r="J70" i="19"/>
  <c r="BB70" i="19" s="1"/>
  <c r="I70" i="19"/>
  <c r="BA70" i="19" s="1"/>
  <c r="H70" i="19"/>
  <c r="AZ70" i="19" s="1"/>
  <c r="F70" i="19"/>
  <c r="AX70" i="19" s="1"/>
  <c r="AW69" i="19"/>
  <c r="AT69" i="19"/>
  <c r="AS69" i="19"/>
  <c r="AR69" i="19"/>
  <c r="AQ69" i="19"/>
  <c r="AP69" i="19"/>
  <c r="AO69" i="19"/>
  <c r="AN69" i="19"/>
  <c r="AM69" i="19"/>
  <c r="AL69" i="19"/>
  <c r="AJ69" i="19"/>
  <c r="AI69" i="19"/>
  <c r="AB69" i="19"/>
  <c r="AA69" i="19"/>
  <c r="Z69" i="19"/>
  <c r="Y69" i="19"/>
  <c r="X69" i="19"/>
  <c r="W69" i="19"/>
  <c r="V69" i="19"/>
  <c r="U69" i="19"/>
  <c r="T69" i="19"/>
  <c r="M69" i="19"/>
  <c r="L69" i="19"/>
  <c r="K69" i="19"/>
  <c r="J69" i="19"/>
  <c r="BB69" i="19" s="1"/>
  <c r="I69" i="19"/>
  <c r="BA69" i="19" s="1"/>
  <c r="H69" i="19"/>
  <c r="AZ69" i="19" s="1"/>
  <c r="F69" i="19"/>
  <c r="AX69" i="19" s="1"/>
  <c r="AW68" i="19"/>
  <c r="AT68" i="19"/>
  <c r="AS68" i="19"/>
  <c r="AR68" i="19"/>
  <c r="AQ68" i="19"/>
  <c r="AP68" i="19"/>
  <c r="AO68" i="19"/>
  <c r="AN68" i="19"/>
  <c r="AM68" i="19"/>
  <c r="AL68" i="19"/>
  <c r="AJ68" i="19"/>
  <c r="AI68" i="19"/>
  <c r="AB68" i="19"/>
  <c r="AA68" i="19"/>
  <c r="Z68" i="19"/>
  <c r="Y68" i="19"/>
  <c r="X68" i="19"/>
  <c r="W68" i="19"/>
  <c r="V68" i="19"/>
  <c r="U68" i="19"/>
  <c r="T68" i="19"/>
  <c r="M68" i="19"/>
  <c r="L68" i="19"/>
  <c r="K68" i="19"/>
  <c r="J68" i="19"/>
  <c r="BB68" i="19" s="1"/>
  <c r="I68" i="19"/>
  <c r="BA68" i="19" s="1"/>
  <c r="H68" i="19"/>
  <c r="AZ68" i="19" s="1"/>
  <c r="F68" i="19"/>
  <c r="AX68" i="19" s="1"/>
  <c r="AW67" i="19"/>
  <c r="AT67" i="19"/>
  <c r="AS67" i="19"/>
  <c r="AR67" i="19"/>
  <c r="AQ67" i="19"/>
  <c r="AP67" i="19"/>
  <c r="AO67" i="19"/>
  <c r="AN67" i="19"/>
  <c r="AM67" i="19"/>
  <c r="AL67" i="19"/>
  <c r="AJ67" i="19"/>
  <c r="AI67" i="19"/>
  <c r="AB67" i="19"/>
  <c r="AA67" i="19"/>
  <c r="Z67" i="19"/>
  <c r="Y67" i="19"/>
  <c r="X67" i="19"/>
  <c r="W67" i="19"/>
  <c r="V67" i="19"/>
  <c r="U67" i="19"/>
  <c r="T67" i="19"/>
  <c r="M67" i="19"/>
  <c r="L67" i="19"/>
  <c r="K67" i="19"/>
  <c r="J67" i="19"/>
  <c r="BB67" i="19" s="1"/>
  <c r="I67" i="19"/>
  <c r="BA67" i="19" s="1"/>
  <c r="H67" i="19"/>
  <c r="AZ67" i="19" s="1"/>
  <c r="F67" i="19"/>
  <c r="AX67" i="19" s="1"/>
  <c r="AW66" i="19"/>
  <c r="AT66" i="19"/>
  <c r="AS66" i="19"/>
  <c r="AR66" i="19"/>
  <c r="AQ66" i="19"/>
  <c r="AP66" i="19"/>
  <c r="AO66" i="19"/>
  <c r="AN66" i="19"/>
  <c r="AM66" i="19"/>
  <c r="AL66" i="19"/>
  <c r="AJ66" i="19"/>
  <c r="AI66" i="19"/>
  <c r="AB66" i="19"/>
  <c r="AA66" i="19"/>
  <c r="Z66" i="19"/>
  <c r="Y66" i="19"/>
  <c r="X66" i="19"/>
  <c r="W66" i="19"/>
  <c r="V66" i="19"/>
  <c r="U66" i="19"/>
  <c r="T66" i="19"/>
  <c r="M66" i="19"/>
  <c r="L66" i="19"/>
  <c r="K66" i="19"/>
  <c r="J66" i="19"/>
  <c r="BB66" i="19" s="1"/>
  <c r="I66" i="19"/>
  <c r="BA66" i="19" s="1"/>
  <c r="H66" i="19"/>
  <c r="AZ66" i="19" s="1"/>
  <c r="F66" i="19"/>
  <c r="AX66" i="19" s="1"/>
  <c r="AW65" i="19"/>
  <c r="AT65" i="19"/>
  <c r="AS65" i="19"/>
  <c r="AR65" i="19"/>
  <c r="AQ65" i="19"/>
  <c r="AP65" i="19"/>
  <c r="AO65" i="19"/>
  <c r="AN65" i="19"/>
  <c r="AM65" i="19"/>
  <c r="AL65" i="19"/>
  <c r="AJ65" i="19"/>
  <c r="AI65" i="19"/>
  <c r="AB65" i="19"/>
  <c r="AA65" i="19"/>
  <c r="Z65" i="19"/>
  <c r="Y65" i="19"/>
  <c r="X65" i="19"/>
  <c r="W65" i="19"/>
  <c r="V65" i="19"/>
  <c r="U65" i="19"/>
  <c r="T65" i="19"/>
  <c r="M65" i="19"/>
  <c r="L65" i="19"/>
  <c r="K65" i="19"/>
  <c r="J65" i="19"/>
  <c r="BB65" i="19" s="1"/>
  <c r="I65" i="19"/>
  <c r="BA65" i="19" s="1"/>
  <c r="H65" i="19"/>
  <c r="AZ65" i="19" s="1"/>
  <c r="F65" i="19"/>
  <c r="AX65" i="19" s="1"/>
  <c r="AW64" i="19"/>
  <c r="AT64" i="19"/>
  <c r="AS64" i="19"/>
  <c r="AR64" i="19"/>
  <c r="AQ64" i="19"/>
  <c r="AP64" i="19"/>
  <c r="AO64" i="19"/>
  <c r="AN64" i="19"/>
  <c r="AM64" i="19"/>
  <c r="AL64" i="19"/>
  <c r="AJ64" i="19"/>
  <c r="AI64" i="19"/>
  <c r="AB64" i="19"/>
  <c r="AA64" i="19"/>
  <c r="Z64" i="19"/>
  <c r="Y64" i="19"/>
  <c r="X64" i="19"/>
  <c r="W64" i="19"/>
  <c r="V64" i="19"/>
  <c r="U64" i="19"/>
  <c r="T64" i="19"/>
  <c r="M64" i="19"/>
  <c r="L64" i="19"/>
  <c r="K64" i="19"/>
  <c r="J64" i="19"/>
  <c r="BB64" i="19" s="1"/>
  <c r="I64" i="19"/>
  <c r="BA64" i="19" s="1"/>
  <c r="H64" i="19"/>
  <c r="AZ64" i="19" s="1"/>
  <c r="F64" i="19"/>
  <c r="AX64" i="19" s="1"/>
  <c r="AW63" i="19"/>
  <c r="AT63" i="19"/>
  <c r="AS63" i="19"/>
  <c r="AR63" i="19"/>
  <c r="AQ63" i="19"/>
  <c r="AP63" i="19"/>
  <c r="AO63" i="19"/>
  <c r="AN63" i="19"/>
  <c r="AM63" i="19"/>
  <c r="AL63" i="19"/>
  <c r="AJ63" i="19"/>
  <c r="AI63" i="19"/>
  <c r="AB63" i="19"/>
  <c r="AA63" i="19"/>
  <c r="Z63" i="19"/>
  <c r="Y63" i="19"/>
  <c r="X63" i="19"/>
  <c r="W63" i="19"/>
  <c r="V63" i="19"/>
  <c r="U63" i="19"/>
  <c r="T63" i="19"/>
  <c r="M63" i="19"/>
  <c r="L63" i="19"/>
  <c r="K63" i="19"/>
  <c r="J63" i="19"/>
  <c r="BB63" i="19" s="1"/>
  <c r="I63" i="19"/>
  <c r="BA63" i="19" s="1"/>
  <c r="H63" i="19"/>
  <c r="AZ63" i="19" s="1"/>
  <c r="F63" i="19"/>
  <c r="AX63" i="19" s="1"/>
  <c r="AW62" i="19"/>
  <c r="AT62" i="19"/>
  <c r="AS62" i="19"/>
  <c r="AR62" i="19"/>
  <c r="AQ62" i="19"/>
  <c r="AP62" i="19"/>
  <c r="AO62" i="19"/>
  <c r="AN62" i="19"/>
  <c r="AM62" i="19"/>
  <c r="AL62" i="19"/>
  <c r="AJ62" i="19"/>
  <c r="AI62" i="19"/>
  <c r="AB62" i="19"/>
  <c r="AA62" i="19"/>
  <c r="Z62" i="19"/>
  <c r="Y62" i="19"/>
  <c r="X62" i="19"/>
  <c r="W62" i="19"/>
  <c r="V62" i="19"/>
  <c r="U62" i="19"/>
  <c r="T62" i="19"/>
  <c r="M62" i="19"/>
  <c r="L62" i="19"/>
  <c r="K62" i="19"/>
  <c r="J62" i="19"/>
  <c r="BB62" i="19" s="1"/>
  <c r="I62" i="19"/>
  <c r="BA62" i="19" s="1"/>
  <c r="H62" i="19"/>
  <c r="AZ62" i="19" s="1"/>
  <c r="F62" i="19"/>
  <c r="AX62" i="19" s="1"/>
  <c r="AW61" i="19"/>
  <c r="AT61" i="19"/>
  <c r="AS61" i="19"/>
  <c r="AR61" i="19"/>
  <c r="AQ61" i="19"/>
  <c r="AP61" i="19"/>
  <c r="AO61" i="19"/>
  <c r="AN61" i="19"/>
  <c r="AM61" i="19"/>
  <c r="AL61" i="19"/>
  <c r="AJ61" i="19"/>
  <c r="AI61" i="19"/>
  <c r="AB61" i="19"/>
  <c r="AA61" i="19"/>
  <c r="Z61" i="19"/>
  <c r="Y61" i="19"/>
  <c r="X61" i="19"/>
  <c r="W61" i="19"/>
  <c r="V61" i="19"/>
  <c r="U61" i="19"/>
  <c r="T61" i="19"/>
  <c r="M61" i="19"/>
  <c r="L61" i="19"/>
  <c r="K61" i="19"/>
  <c r="J61" i="19"/>
  <c r="BB61" i="19" s="1"/>
  <c r="I61" i="19"/>
  <c r="BA61" i="19" s="1"/>
  <c r="H61" i="19"/>
  <c r="AZ61" i="19" s="1"/>
  <c r="F61" i="19"/>
  <c r="AX61" i="19" s="1"/>
  <c r="AW60" i="19"/>
  <c r="AT60" i="19"/>
  <c r="AS60" i="19"/>
  <c r="AR60" i="19"/>
  <c r="AQ60" i="19"/>
  <c r="AP60" i="19"/>
  <c r="AO60" i="19"/>
  <c r="AN60" i="19"/>
  <c r="AM60" i="19"/>
  <c r="AL60" i="19"/>
  <c r="AJ60" i="19"/>
  <c r="AI60" i="19"/>
  <c r="AB60" i="19"/>
  <c r="AA60" i="19"/>
  <c r="Z60" i="19"/>
  <c r="Y60" i="19"/>
  <c r="X60" i="19"/>
  <c r="W60" i="19"/>
  <c r="V60" i="19"/>
  <c r="U60" i="19"/>
  <c r="T60" i="19"/>
  <c r="M60" i="19"/>
  <c r="L60" i="19"/>
  <c r="K60" i="19"/>
  <c r="J60" i="19"/>
  <c r="BB60" i="19" s="1"/>
  <c r="I60" i="19"/>
  <c r="BA60" i="19" s="1"/>
  <c r="H60" i="19"/>
  <c r="AZ60" i="19" s="1"/>
  <c r="F60" i="19"/>
  <c r="AX60" i="19" s="1"/>
  <c r="AW59" i="19"/>
  <c r="AT59" i="19"/>
  <c r="AS59" i="19"/>
  <c r="AR59" i="19"/>
  <c r="AQ59" i="19"/>
  <c r="AP59" i="19"/>
  <c r="AO59" i="19"/>
  <c r="AN59" i="19"/>
  <c r="AM59" i="19"/>
  <c r="AL59" i="19"/>
  <c r="AJ59" i="19"/>
  <c r="AI59" i="19"/>
  <c r="AB59" i="19"/>
  <c r="AA59" i="19"/>
  <c r="Z59" i="19"/>
  <c r="Y59" i="19"/>
  <c r="X59" i="19"/>
  <c r="W59" i="19"/>
  <c r="V59" i="19"/>
  <c r="U59" i="19"/>
  <c r="T59" i="19"/>
  <c r="M59" i="19"/>
  <c r="L59" i="19"/>
  <c r="K59" i="19"/>
  <c r="J59" i="19"/>
  <c r="BB59" i="19" s="1"/>
  <c r="I59" i="19"/>
  <c r="BA59" i="19" s="1"/>
  <c r="H59" i="19"/>
  <c r="AZ59" i="19" s="1"/>
  <c r="F59" i="19"/>
  <c r="AX59" i="19" s="1"/>
  <c r="AW58" i="19"/>
  <c r="AT58" i="19"/>
  <c r="AS58" i="19"/>
  <c r="AR58" i="19"/>
  <c r="AQ58" i="19"/>
  <c r="AP58" i="19"/>
  <c r="AO58" i="19"/>
  <c r="AN58" i="19"/>
  <c r="AM58" i="19"/>
  <c r="AL58" i="19"/>
  <c r="AJ58" i="19"/>
  <c r="AI58" i="19"/>
  <c r="AB58" i="19"/>
  <c r="AA58" i="19"/>
  <c r="Z58" i="19"/>
  <c r="Y58" i="19"/>
  <c r="X58" i="19"/>
  <c r="W58" i="19"/>
  <c r="V58" i="19"/>
  <c r="U58" i="19"/>
  <c r="T58" i="19"/>
  <c r="M58" i="19"/>
  <c r="L58" i="19"/>
  <c r="K58" i="19"/>
  <c r="J58" i="19"/>
  <c r="BB58" i="19" s="1"/>
  <c r="I58" i="19"/>
  <c r="BA58" i="19" s="1"/>
  <c r="H58" i="19"/>
  <c r="AZ58" i="19" s="1"/>
  <c r="F58" i="19"/>
  <c r="AX58" i="19" s="1"/>
  <c r="AW57" i="19"/>
  <c r="AT57" i="19"/>
  <c r="AS57" i="19"/>
  <c r="AR57" i="19"/>
  <c r="AQ57" i="19"/>
  <c r="AP57" i="19"/>
  <c r="AO57" i="19"/>
  <c r="AN57" i="19"/>
  <c r="AM57" i="19"/>
  <c r="AL57" i="19"/>
  <c r="AJ57" i="19"/>
  <c r="AI57" i="19"/>
  <c r="AB57" i="19"/>
  <c r="AA57" i="19"/>
  <c r="Z57" i="19"/>
  <c r="Y57" i="19"/>
  <c r="X57" i="19"/>
  <c r="W57" i="19"/>
  <c r="V57" i="19"/>
  <c r="U57" i="19"/>
  <c r="T57" i="19"/>
  <c r="M57" i="19"/>
  <c r="L57" i="19"/>
  <c r="K57" i="19"/>
  <c r="J57" i="19"/>
  <c r="BB57" i="19" s="1"/>
  <c r="I57" i="19"/>
  <c r="BA57" i="19" s="1"/>
  <c r="H57" i="19"/>
  <c r="AZ57" i="19" s="1"/>
  <c r="F57" i="19"/>
  <c r="AX57" i="19" s="1"/>
  <c r="AW56" i="19"/>
  <c r="AT56" i="19"/>
  <c r="AS56" i="19"/>
  <c r="AR56" i="19"/>
  <c r="AQ56" i="19"/>
  <c r="AP56" i="19"/>
  <c r="AO56" i="19"/>
  <c r="AN56" i="19"/>
  <c r="AM56" i="19"/>
  <c r="AL56" i="19"/>
  <c r="AJ56" i="19"/>
  <c r="AI56" i="19"/>
  <c r="AB56" i="19"/>
  <c r="AA56" i="19"/>
  <c r="Z56" i="19"/>
  <c r="Y56" i="19"/>
  <c r="X56" i="19"/>
  <c r="W56" i="19"/>
  <c r="V56" i="19"/>
  <c r="U56" i="19"/>
  <c r="T56" i="19"/>
  <c r="M56" i="19"/>
  <c r="L56" i="19"/>
  <c r="K56" i="19"/>
  <c r="J56" i="19"/>
  <c r="BB56" i="19" s="1"/>
  <c r="I56" i="19"/>
  <c r="BA56" i="19" s="1"/>
  <c r="H56" i="19"/>
  <c r="AZ56" i="19" s="1"/>
  <c r="F56" i="19"/>
  <c r="AX56" i="19" s="1"/>
  <c r="AW55" i="19"/>
  <c r="AT55" i="19"/>
  <c r="AS55" i="19"/>
  <c r="AR55" i="19"/>
  <c r="AQ55" i="19"/>
  <c r="AP55" i="19"/>
  <c r="AO55" i="19"/>
  <c r="AN55" i="19"/>
  <c r="AM55" i="19"/>
  <c r="AL55" i="19"/>
  <c r="AJ55" i="19"/>
  <c r="AI55" i="19"/>
  <c r="AB55" i="19"/>
  <c r="AA55" i="19"/>
  <c r="Z55" i="19"/>
  <c r="Y55" i="19"/>
  <c r="X55" i="19"/>
  <c r="W55" i="19"/>
  <c r="V55" i="19"/>
  <c r="U55" i="19"/>
  <c r="T55" i="19"/>
  <c r="M55" i="19"/>
  <c r="L55" i="19"/>
  <c r="K55" i="19"/>
  <c r="J55" i="19"/>
  <c r="BB55" i="19" s="1"/>
  <c r="I55" i="19"/>
  <c r="BA55" i="19" s="1"/>
  <c r="H55" i="19"/>
  <c r="AZ55" i="19" s="1"/>
  <c r="F55" i="19"/>
  <c r="AX55" i="19" s="1"/>
  <c r="AW54" i="19"/>
  <c r="AT54" i="19"/>
  <c r="AS54" i="19"/>
  <c r="AR54" i="19"/>
  <c r="AQ54" i="19"/>
  <c r="AP54" i="19"/>
  <c r="AO54" i="19"/>
  <c r="AN54" i="19"/>
  <c r="AM54" i="19"/>
  <c r="AL54" i="19"/>
  <c r="AJ54" i="19"/>
  <c r="AI54" i="19"/>
  <c r="AB54" i="19"/>
  <c r="AA54" i="19"/>
  <c r="Z54" i="19"/>
  <c r="Y54" i="19"/>
  <c r="X54" i="19"/>
  <c r="W54" i="19"/>
  <c r="V54" i="19"/>
  <c r="U54" i="19"/>
  <c r="T54" i="19"/>
  <c r="M54" i="19"/>
  <c r="L54" i="19"/>
  <c r="K54" i="19"/>
  <c r="J54" i="19"/>
  <c r="BB54" i="19" s="1"/>
  <c r="I54" i="19"/>
  <c r="BA54" i="19" s="1"/>
  <c r="H54" i="19"/>
  <c r="AZ54" i="19" s="1"/>
  <c r="F54" i="19"/>
  <c r="AX54" i="19" s="1"/>
  <c r="AW53" i="19"/>
  <c r="AT53" i="19"/>
  <c r="AS53" i="19"/>
  <c r="AR53" i="19"/>
  <c r="AQ53" i="19"/>
  <c r="AP53" i="19"/>
  <c r="AO53" i="19"/>
  <c r="AN53" i="19"/>
  <c r="AM53" i="19"/>
  <c r="AL53" i="19"/>
  <c r="AJ53" i="19"/>
  <c r="AI53" i="19"/>
  <c r="AB53" i="19"/>
  <c r="AA53" i="19"/>
  <c r="Z53" i="19"/>
  <c r="Y53" i="19"/>
  <c r="X53" i="19"/>
  <c r="W53" i="19"/>
  <c r="V53" i="19"/>
  <c r="U53" i="19"/>
  <c r="T53" i="19"/>
  <c r="M53" i="19"/>
  <c r="L53" i="19"/>
  <c r="K53" i="19"/>
  <c r="J53" i="19"/>
  <c r="BB53" i="19" s="1"/>
  <c r="I53" i="19"/>
  <c r="BA53" i="19" s="1"/>
  <c r="H53" i="19"/>
  <c r="AZ53" i="19" s="1"/>
  <c r="F53" i="19"/>
  <c r="AX53" i="19" s="1"/>
  <c r="AW52" i="19"/>
  <c r="AT52" i="19"/>
  <c r="AS52" i="19"/>
  <c r="AR52" i="19"/>
  <c r="AQ52" i="19"/>
  <c r="AP52" i="19"/>
  <c r="AO52" i="19"/>
  <c r="AN52" i="19"/>
  <c r="AM52" i="19"/>
  <c r="AL52" i="19"/>
  <c r="AJ52" i="19"/>
  <c r="AI52" i="19"/>
  <c r="AB52" i="19"/>
  <c r="AA52" i="19"/>
  <c r="Z52" i="19"/>
  <c r="Y52" i="19"/>
  <c r="X52" i="19"/>
  <c r="W52" i="19"/>
  <c r="V52" i="19"/>
  <c r="U52" i="19"/>
  <c r="T52" i="19"/>
  <c r="M52" i="19"/>
  <c r="L52" i="19"/>
  <c r="K52" i="19"/>
  <c r="J52" i="19"/>
  <c r="BB52" i="19" s="1"/>
  <c r="I52" i="19"/>
  <c r="BA52" i="19" s="1"/>
  <c r="H52" i="19"/>
  <c r="AZ52" i="19" s="1"/>
  <c r="F52" i="19"/>
  <c r="AX52" i="19" s="1"/>
  <c r="AW51" i="19"/>
  <c r="AT51" i="19"/>
  <c r="AS51" i="19"/>
  <c r="AR51" i="19"/>
  <c r="AQ51" i="19"/>
  <c r="AP51" i="19"/>
  <c r="AO51" i="19"/>
  <c r="AN51" i="19"/>
  <c r="AM51" i="19"/>
  <c r="AL51" i="19"/>
  <c r="AJ51" i="19"/>
  <c r="AI51" i="19"/>
  <c r="AB51" i="19"/>
  <c r="AA51" i="19"/>
  <c r="Z51" i="19"/>
  <c r="Y51" i="19"/>
  <c r="X51" i="19"/>
  <c r="W51" i="19"/>
  <c r="V51" i="19"/>
  <c r="U51" i="19"/>
  <c r="T51" i="19"/>
  <c r="M51" i="19"/>
  <c r="L51" i="19"/>
  <c r="K51" i="19"/>
  <c r="J51" i="19"/>
  <c r="BB51" i="19" s="1"/>
  <c r="I51" i="19"/>
  <c r="BA51" i="19" s="1"/>
  <c r="H51" i="19"/>
  <c r="AZ51" i="19" s="1"/>
  <c r="F51" i="19"/>
  <c r="AX51" i="19" s="1"/>
  <c r="AW50" i="19"/>
  <c r="AT50" i="19"/>
  <c r="AS50" i="19"/>
  <c r="AR50" i="19"/>
  <c r="AQ50" i="19"/>
  <c r="AP50" i="19"/>
  <c r="AO50" i="19"/>
  <c r="AN50" i="19"/>
  <c r="AM50" i="19"/>
  <c r="AL50" i="19"/>
  <c r="AJ50" i="19"/>
  <c r="AI50" i="19"/>
  <c r="AB50" i="19"/>
  <c r="AA50" i="19"/>
  <c r="Z50" i="19"/>
  <c r="Y50" i="19"/>
  <c r="X50" i="19"/>
  <c r="W50" i="19"/>
  <c r="V50" i="19"/>
  <c r="U50" i="19"/>
  <c r="T50" i="19"/>
  <c r="M50" i="19"/>
  <c r="L50" i="19"/>
  <c r="K50" i="19"/>
  <c r="J50" i="19"/>
  <c r="BB50" i="19" s="1"/>
  <c r="I50" i="19"/>
  <c r="BA50" i="19" s="1"/>
  <c r="H50" i="19"/>
  <c r="AZ50" i="19" s="1"/>
  <c r="F50" i="19"/>
  <c r="AX50" i="19" s="1"/>
  <c r="AW49" i="19"/>
  <c r="AT49" i="19"/>
  <c r="AS49" i="19"/>
  <c r="AR49" i="19"/>
  <c r="AQ49" i="19"/>
  <c r="AP49" i="19"/>
  <c r="AO49" i="19"/>
  <c r="AN49" i="19"/>
  <c r="AM49" i="19"/>
  <c r="AL49" i="19"/>
  <c r="AJ49" i="19"/>
  <c r="AI49" i="19"/>
  <c r="AB49" i="19"/>
  <c r="AA49" i="19"/>
  <c r="Z49" i="19"/>
  <c r="Y49" i="19"/>
  <c r="X49" i="19"/>
  <c r="W49" i="19"/>
  <c r="V49" i="19"/>
  <c r="U49" i="19"/>
  <c r="T49" i="19"/>
  <c r="M49" i="19"/>
  <c r="L49" i="19"/>
  <c r="K49" i="19"/>
  <c r="J49" i="19"/>
  <c r="BB49" i="19" s="1"/>
  <c r="I49" i="19"/>
  <c r="BA49" i="19" s="1"/>
  <c r="H49" i="19"/>
  <c r="AZ49" i="19" s="1"/>
  <c r="F49" i="19"/>
  <c r="AX49" i="19" s="1"/>
  <c r="AW48" i="19"/>
  <c r="AT48" i="19"/>
  <c r="AS48" i="19"/>
  <c r="AR48" i="19"/>
  <c r="AQ48" i="19"/>
  <c r="AP48" i="19"/>
  <c r="AO48" i="19"/>
  <c r="AN48" i="19"/>
  <c r="AM48" i="19"/>
  <c r="AL48" i="19"/>
  <c r="AJ48" i="19"/>
  <c r="AI48" i="19"/>
  <c r="AB48" i="19"/>
  <c r="AA48" i="19"/>
  <c r="Z48" i="19"/>
  <c r="Y48" i="19"/>
  <c r="X48" i="19"/>
  <c r="W48" i="19"/>
  <c r="V48" i="19"/>
  <c r="U48" i="19"/>
  <c r="T48" i="19"/>
  <c r="M48" i="19"/>
  <c r="L48" i="19"/>
  <c r="K48" i="19"/>
  <c r="J48" i="19"/>
  <c r="BB48" i="19" s="1"/>
  <c r="I48" i="19"/>
  <c r="BA48" i="19" s="1"/>
  <c r="H48" i="19"/>
  <c r="AZ48" i="19" s="1"/>
  <c r="F48" i="19"/>
  <c r="AX48" i="19" s="1"/>
  <c r="AW47" i="19"/>
  <c r="AT47" i="19"/>
  <c r="AS47" i="19"/>
  <c r="AR47" i="19"/>
  <c r="AQ47" i="19"/>
  <c r="AP47" i="19"/>
  <c r="AO47" i="19"/>
  <c r="AN47" i="19"/>
  <c r="AM47" i="19"/>
  <c r="AL47" i="19"/>
  <c r="AJ47" i="19"/>
  <c r="AI47" i="19"/>
  <c r="AB47" i="19"/>
  <c r="AA47" i="19"/>
  <c r="Z47" i="19"/>
  <c r="Y47" i="19"/>
  <c r="X47" i="19"/>
  <c r="W47" i="19"/>
  <c r="V47" i="19"/>
  <c r="U47" i="19"/>
  <c r="T47" i="19"/>
  <c r="M47" i="19"/>
  <c r="L47" i="19"/>
  <c r="K47" i="19"/>
  <c r="J47" i="19"/>
  <c r="BB47" i="19" s="1"/>
  <c r="I47" i="19"/>
  <c r="BA47" i="19" s="1"/>
  <c r="H47" i="19"/>
  <c r="AZ47" i="19" s="1"/>
  <c r="F47" i="19"/>
  <c r="AX47" i="19" s="1"/>
  <c r="AW46" i="19"/>
  <c r="AT46" i="19"/>
  <c r="AS46" i="19"/>
  <c r="AR46" i="19"/>
  <c r="AQ46" i="19"/>
  <c r="AP46" i="19"/>
  <c r="AO46" i="19"/>
  <c r="AN46" i="19"/>
  <c r="AM46" i="19"/>
  <c r="AL46" i="19"/>
  <c r="AJ46" i="19"/>
  <c r="AI46" i="19"/>
  <c r="AB46" i="19"/>
  <c r="AA46" i="19"/>
  <c r="Z46" i="19"/>
  <c r="Y46" i="19"/>
  <c r="X46" i="19"/>
  <c r="W46" i="19"/>
  <c r="V46" i="19"/>
  <c r="U46" i="19"/>
  <c r="T46" i="19"/>
  <c r="M46" i="19"/>
  <c r="L46" i="19"/>
  <c r="K46" i="19"/>
  <c r="J46" i="19"/>
  <c r="BB46" i="19" s="1"/>
  <c r="I46" i="19"/>
  <c r="BA46" i="19" s="1"/>
  <c r="H46" i="19"/>
  <c r="AZ46" i="19" s="1"/>
  <c r="F46" i="19"/>
  <c r="AX46" i="19" s="1"/>
  <c r="AW45" i="19"/>
  <c r="AT45" i="19"/>
  <c r="AS45" i="19"/>
  <c r="AR45" i="19"/>
  <c r="AQ45" i="19"/>
  <c r="AP45" i="19"/>
  <c r="AO45" i="19"/>
  <c r="AN45" i="19"/>
  <c r="AM45" i="19"/>
  <c r="AL45" i="19"/>
  <c r="AJ45" i="19"/>
  <c r="AI45" i="19"/>
  <c r="AB45" i="19"/>
  <c r="AA45" i="19"/>
  <c r="Z45" i="19"/>
  <c r="Y45" i="19"/>
  <c r="X45" i="19"/>
  <c r="W45" i="19"/>
  <c r="V45" i="19"/>
  <c r="U45" i="19"/>
  <c r="T45" i="19"/>
  <c r="M45" i="19"/>
  <c r="L45" i="19"/>
  <c r="K45" i="19"/>
  <c r="J45" i="19"/>
  <c r="BB45" i="19" s="1"/>
  <c r="I45" i="19"/>
  <c r="BA45" i="19" s="1"/>
  <c r="H45" i="19"/>
  <c r="AZ45" i="19" s="1"/>
  <c r="F45" i="19"/>
  <c r="AX45" i="19" s="1"/>
  <c r="AW44" i="19"/>
  <c r="AT44" i="19"/>
  <c r="AS44" i="19"/>
  <c r="AR44" i="19"/>
  <c r="AQ44" i="19"/>
  <c r="AP44" i="19"/>
  <c r="AO44" i="19"/>
  <c r="AN44" i="19"/>
  <c r="AM44" i="19"/>
  <c r="AL44" i="19"/>
  <c r="AJ44" i="19"/>
  <c r="AI44" i="19"/>
  <c r="AB44" i="19"/>
  <c r="AA44" i="19"/>
  <c r="Z44" i="19"/>
  <c r="Y44" i="19"/>
  <c r="X44" i="19"/>
  <c r="W44" i="19"/>
  <c r="V44" i="19"/>
  <c r="U44" i="19"/>
  <c r="T44" i="19"/>
  <c r="M44" i="19"/>
  <c r="L44" i="19"/>
  <c r="K44" i="19"/>
  <c r="J44" i="19"/>
  <c r="BB44" i="19" s="1"/>
  <c r="I44" i="19"/>
  <c r="BA44" i="19" s="1"/>
  <c r="H44" i="19"/>
  <c r="AZ44" i="19" s="1"/>
  <c r="F44" i="19"/>
  <c r="AX44" i="19" s="1"/>
  <c r="AW43" i="19"/>
  <c r="AT43" i="19"/>
  <c r="AS43" i="19"/>
  <c r="AR43" i="19"/>
  <c r="AQ43" i="19"/>
  <c r="AP43" i="19"/>
  <c r="AO43" i="19"/>
  <c r="AN43" i="19"/>
  <c r="AM43" i="19"/>
  <c r="AL43" i="19"/>
  <c r="AJ43" i="19"/>
  <c r="AI43" i="19"/>
  <c r="AB43" i="19"/>
  <c r="AA43" i="19"/>
  <c r="Z43" i="19"/>
  <c r="Y43" i="19"/>
  <c r="X43" i="19"/>
  <c r="W43" i="19"/>
  <c r="V43" i="19"/>
  <c r="U43" i="19"/>
  <c r="T43" i="19"/>
  <c r="M43" i="19"/>
  <c r="L43" i="19"/>
  <c r="K43" i="19"/>
  <c r="J43" i="19"/>
  <c r="BB43" i="19" s="1"/>
  <c r="I43" i="19"/>
  <c r="BA43" i="19" s="1"/>
  <c r="H43" i="19"/>
  <c r="AZ43" i="19" s="1"/>
  <c r="F43" i="19"/>
  <c r="AX43" i="19" s="1"/>
  <c r="AW42" i="19"/>
  <c r="AT42" i="19"/>
  <c r="AS42" i="19"/>
  <c r="AR42" i="19"/>
  <c r="AQ42" i="19"/>
  <c r="AP42" i="19"/>
  <c r="AO42" i="19"/>
  <c r="AN42" i="19"/>
  <c r="AM42" i="19"/>
  <c r="AL42" i="19"/>
  <c r="AJ42" i="19"/>
  <c r="AI42" i="19"/>
  <c r="AB42" i="19"/>
  <c r="AA42" i="19"/>
  <c r="Z42" i="19"/>
  <c r="Y42" i="19"/>
  <c r="X42" i="19"/>
  <c r="W42" i="19"/>
  <c r="V42" i="19"/>
  <c r="U42" i="19"/>
  <c r="T42" i="19"/>
  <c r="M42" i="19"/>
  <c r="L42" i="19"/>
  <c r="K42" i="19"/>
  <c r="J42" i="19"/>
  <c r="BB42" i="19" s="1"/>
  <c r="I42" i="19"/>
  <c r="BA42" i="19" s="1"/>
  <c r="H42" i="19"/>
  <c r="AZ42" i="19" s="1"/>
  <c r="F42" i="19"/>
  <c r="AX42" i="19" s="1"/>
  <c r="AW41" i="19"/>
  <c r="AT41" i="19"/>
  <c r="AS41" i="19"/>
  <c r="AR41" i="19"/>
  <c r="AQ41" i="19"/>
  <c r="AP41" i="19"/>
  <c r="AO41" i="19"/>
  <c r="AN41" i="19"/>
  <c r="AM41" i="19"/>
  <c r="AL41" i="19"/>
  <c r="AJ41" i="19"/>
  <c r="AI41" i="19"/>
  <c r="AB41" i="19"/>
  <c r="AA41" i="19"/>
  <c r="Z41" i="19"/>
  <c r="Y41" i="19"/>
  <c r="X41" i="19"/>
  <c r="W41" i="19"/>
  <c r="V41" i="19"/>
  <c r="U41" i="19"/>
  <c r="T41" i="19"/>
  <c r="M41" i="19"/>
  <c r="L41" i="19"/>
  <c r="K41" i="19"/>
  <c r="J41" i="19"/>
  <c r="BB41" i="19" s="1"/>
  <c r="I41" i="19"/>
  <c r="BA41" i="19" s="1"/>
  <c r="H41" i="19"/>
  <c r="AZ41" i="19" s="1"/>
  <c r="F41" i="19"/>
  <c r="AX41" i="19" s="1"/>
  <c r="AW40" i="19"/>
  <c r="AT40" i="19"/>
  <c r="AS40" i="19"/>
  <c r="AR40" i="19"/>
  <c r="AQ40" i="19"/>
  <c r="AP40" i="19"/>
  <c r="AO40" i="19"/>
  <c r="AN40" i="19"/>
  <c r="AM40" i="19"/>
  <c r="AL40" i="19"/>
  <c r="AJ40" i="19"/>
  <c r="AI40" i="19"/>
  <c r="AB40" i="19"/>
  <c r="AA40" i="19"/>
  <c r="Z40" i="19"/>
  <c r="Y40" i="19"/>
  <c r="X40" i="19"/>
  <c r="W40" i="19"/>
  <c r="V40" i="19"/>
  <c r="U40" i="19"/>
  <c r="T40" i="19"/>
  <c r="M40" i="19"/>
  <c r="L40" i="19"/>
  <c r="K40" i="19"/>
  <c r="J40" i="19"/>
  <c r="BB40" i="19" s="1"/>
  <c r="I40" i="19"/>
  <c r="BA40" i="19" s="1"/>
  <c r="H40" i="19"/>
  <c r="AZ40" i="19" s="1"/>
  <c r="F40" i="19"/>
  <c r="AX40" i="19" s="1"/>
  <c r="AW39" i="19"/>
  <c r="AT39" i="19"/>
  <c r="AS39" i="19"/>
  <c r="AR39" i="19"/>
  <c r="AQ39" i="19"/>
  <c r="AP39" i="19"/>
  <c r="AO39" i="19"/>
  <c r="AN39" i="19"/>
  <c r="AM39" i="19"/>
  <c r="AL39" i="19"/>
  <c r="AJ39" i="19"/>
  <c r="AI39" i="19"/>
  <c r="AB39" i="19"/>
  <c r="AA39" i="19"/>
  <c r="Z39" i="19"/>
  <c r="Y39" i="19"/>
  <c r="X39" i="19"/>
  <c r="W39" i="19"/>
  <c r="V39" i="19"/>
  <c r="U39" i="19"/>
  <c r="T39" i="19"/>
  <c r="M39" i="19"/>
  <c r="L39" i="19"/>
  <c r="K39" i="19"/>
  <c r="J39" i="19"/>
  <c r="BB39" i="19" s="1"/>
  <c r="I39" i="19"/>
  <c r="BA39" i="19" s="1"/>
  <c r="H39" i="19"/>
  <c r="AZ39" i="19" s="1"/>
  <c r="F39" i="19"/>
  <c r="AX39" i="19" s="1"/>
  <c r="AW38" i="19"/>
  <c r="AT38" i="19"/>
  <c r="AS38" i="19"/>
  <c r="AR38" i="19"/>
  <c r="AQ38" i="19"/>
  <c r="AP38" i="19"/>
  <c r="AO38" i="19"/>
  <c r="AN38" i="19"/>
  <c r="AM38" i="19"/>
  <c r="AL38" i="19"/>
  <c r="AJ38" i="19"/>
  <c r="AI38" i="19"/>
  <c r="AB38" i="19"/>
  <c r="AA38" i="19"/>
  <c r="Z38" i="19"/>
  <c r="Y38" i="19"/>
  <c r="X38" i="19"/>
  <c r="W38" i="19"/>
  <c r="V38" i="19"/>
  <c r="U38" i="19"/>
  <c r="T38" i="19"/>
  <c r="M38" i="19"/>
  <c r="L38" i="19"/>
  <c r="K38" i="19"/>
  <c r="J38" i="19"/>
  <c r="BB38" i="19" s="1"/>
  <c r="I38" i="19"/>
  <c r="BA38" i="19" s="1"/>
  <c r="H38" i="19"/>
  <c r="AZ38" i="19" s="1"/>
  <c r="F38" i="19"/>
  <c r="AX38" i="19" s="1"/>
  <c r="AW37" i="19"/>
  <c r="AT37" i="19"/>
  <c r="AS37" i="19"/>
  <c r="AR37" i="19"/>
  <c r="AQ37" i="19"/>
  <c r="AP37" i="19"/>
  <c r="AO37" i="19"/>
  <c r="AN37" i="19"/>
  <c r="AM37" i="19"/>
  <c r="AL37" i="19"/>
  <c r="AJ37" i="19"/>
  <c r="AI37" i="19"/>
  <c r="AB37" i="19"/>
  <c r="AA37" i="19"/>
  <c r="Z37" i="19"/>
  <c r="Y37" i="19"/>
  <c r="X37" i="19"/>
  <c r="W37" i="19"/>
  <c r="V37" i="19"/>
  <c r="U37" i="19"/>
  <c r="T37" i="19"/>
  <c r="M37" i="19"/>
  <c r="L37" i="19"/>
  <c r="K37" i="19"/>
  <c r="J37" i="19"/>
  <c r="BB37" i="19" s="1"/>
  <c r="I37" i="19"/>
  <c r="BA37" i="19" s="1"/>
  <c r="H37" i="19"/>
  <c r="AZ37" i="19" s="1"/>
  <c r="F37" i="19"/>
  <c r="AX37" i="19" s="1"/>
  <c r="AW36" i="19"/>
  <c r="AT36" i="19"/>
  <c r="AS36" i="19"/>
  <c r="AR36" i="19"/>
  <c r="AQ36" i="19"/>
  <c r="AP36" i="19"/>
  <c r="AO36" i="19"/>
  <c r="AN36" i="19"/>
  <c r="AM36" i="19"/>
  <c r="AL36" i="19"/>
  <c r="AJ36" i="19"/>
  <c r="AI36" i="19"/>
  <c r="AB36" i="19"/>
  <c r="AA36" i="19"/>
  <c r="Z36" i="19"/>
  <c r="Y36" i="19"/>
  <c r="X36" i="19"/>
  <c r="W36" i="19"/>
  <c r="V36" i="19"/>
  <c r="U36" i="19"/>
  <c r="T36" i="19"/>
  <c r="M36" i="19"/>
  <c r="L36" i="19"/>
  <c r="K36" i="19"/>
  <c r="J36" i="19"/>
  <c r="BB36" i="19" s="1"/>
  <c r="I36" i="19"/>
  <c r="BA36" i="19" s="1"/>
  <c r="H36" i="19"/>
  <c r="AZ36" i="19" s="1"/>
  <c r="F36" i="19"/>
  <c r="AX36" i="19" s="1"/>
  <c r="AW35" i="19"/>
  <c r="AT35" i="19"/>
  <c r="AS35" i="19"/>
  <c r="AR35" i="19"/>
  <c r="AQ35" i="19"/>
  <c r="AP35" i="19"/>
  <c r="AO35" i="19"/>
  <c r="AN35" i="19"/>
  <c r="AM35" i="19"/>
  <c r="AL35" i="19"/>
  <c r="AJ35" i="19"/>
  <c r="AI35" i="19"/>
  <c r="AB35" i="19"/>
  <c r="AA35" i="19"/>
  <c r="Z35" i="19"/>
  <c r="Y35" i="19"/>
  <c r="X35" i="19"/>
  <c r="W35" i="19"/>
  <c r="V35" i="19"/>
  <c r="U35" i="19"/>
  <c r="T35" i="19"/>
  <c r="M35" i="19"/>
  <c r="L35" i="19"/>
  <c r="K35" i="19"/>
  <c r="J35" i="19"/>
  <c r="BB35" i="19" s="1"/>
  <c r="I35" i="19"/>
  <c r="BA35" i="19" s="1"/>
  <c r="H35" i="19"/>
  <c r="AZ35" i="19" s="1"/>
  <c r="F35" i="19"/>
  <c r="AX35" i="19" s="1"/>
  <c r="AW34" i="19"/>
  <c r="AT34" i="19"/>
  <c r="AS34" i="19"/>
  <c r="AR34" i="19"/>
  <c r="AQ34" i="19"/>
  <c r="AP34" i="19"/>
  <c r="AO34" i="19"/>
  <c r="AN34" i="19"/>
  <c r="AM34" i="19"/>
  <c r="AL34" i="19"/>
  <c r="AJ34" i="19"/>
  <c r="AI34" i="19"/>
  <c r="AB34" i="19"/>
  <c r="AA34" i="19"/>
  <c r="Z34" i="19"/>
  <c r="Y34" i="19"/>
  <c r="X34" i="19"/>
  <c r="W34" i="19"/>
  <c r="V34" i="19"/>
  <c r="U34" i="19"/>
  <c r="T34" i="19"/>
  <c r="M34" i="19"/>
  <c r="L34" i="19"/>
  <c r="K34" i="19"/>
  <c r="J34" i="19"/>
  <c r="BB34" i="19" s="1"/>
  <c r="I34" i="19"/>
  <c r="BA34" i="19" s="1"/>
  <c r="H34" i="19"/>
  <c r="AZ34" i="19" s="1"/>
  <c r="F34" i="19"/>
  <c r="AX34" i="19" s="1"/>
  <c r="AW33" i="19"/>
  <c r="AT33" i="19"/>
  <c r="AS33" i="19"/>
  <c r="AR33" i="19"/>
  <c r="AQ33" i="19"/>
  <c r="AP33" i="19"/>
  <c r="AO33" i="19"/>
  <c r="AN33" i="19"/>
  <c r="AM33" i="19"/>
  <c r="AL33" i="19"/>
  <c r="AJ33" i="19"/>
  <c r="AI33" i="19"/>
  <c r="AB33" i="19"/>
  <c r="AA33" i="19"/>
  <c r="Z33" i="19"/>
  <c r="Y33" i="19"/>
  <c r="X33" i="19"/>
  <c r="W33" i="19"/>
  <c r="V33" i="19"/>
  <c r="U33" i="19"/>
  <c r="T33" i="19"/>
  <c r="M33" i="19"/>
  <c r="L33" i="19"/>
  <c r="K33" i="19"/>
  <c r="J33" i="19"/>
  <c r="BB33" i="19" s="1"/>
  <c r="I33" i="19"/>
  <c r="BA33" i="19" s="1"/>
  <c r="H33" i="19"/>
  <c r="AZ33" i="19" s="1"/>
  <c r="F33" i="19"/>
  <c r="AX33" i="19" s="1"/>
  <c r="AW32" i="19"/>
  <c r="AT32" i="19"/>
  <c r="AS32" i="19"/>
  <c r="AR32" i="19"/>
  <c r="AQ32" i="19"/>
  <c r="AP32" i="19"/>
  <c r="AO32" i="19"/>
  <c r="AN32" i="19"/>
  <c r="AM32" i="19"/>
  <c r="AL32" i="19"/>
  <c r="AJ32" i="19"/>
  <c r="AI32" i="19"/>
  <c r="AB32" i="19"/>
  <c r="AA32" i="19"/>
  <c r="Z32" i="19"/>
  <c r="Y32" i="19"/>
  <c r="X32" i="19"/>
  <c r="W32" i="19"/>
  <c r="V32" i="19"/>
  <c r="U32" i="19"/>
  <c r="T32" i="19"/>
  <c r="M32" i="19"/>
  <c r="L32" i="19"/>
  <c r="K32" i="19"/>
  <c r="J32" i="19"/>
  <c r="BB32" i="19" s="1"/>
  <c r="I32" i="19"/>
  <c r="BA32" i="19" s="1"/>
  <c r="H32" i="19"/>
  <c r="AZ32" i="19" s="1"/>
  <c r="F32" i="19"/>
  <c r="AX32" i="19" s="1"/>
  <c r="AW31" i="19"/>
  <c r="AT31" i="19"/>
  <c r="AS31" i="19"/>
  <c r="AR31" i="19"/>
  <c r="AQ31" i="19"/>
  <c r="AP31" i="19"/>
  <c r="AO31" i="19"/>
  <c r="AN31" i="19"/>
  <c r="AM31" i="19"/>
  <c r="AL31" i="19"/>
  <c r="AJ31" i="19"/>
  <c r="AI31" i="19"/>
  <c r="AB31" i="19"/>
  <c r="AA31" i="19"/>
  <c r="Z31" i="19"/>
  <c r="Y31" i="19"/>
  <c r="X31" i="19"/>
  <c r="W31" i="19"/>
  <c r="V31" i="19"/>
  <c r="U31" i="19"/>
  <c r="T31" i="19"/>
  <c r="M31" i="19"/>
  <c r="L31" i="19"/>
  <c r="K31" i="19"/>
  <c r="J31" i="19"/>
  <c r="BB31" i="19" s="1"/>
  <c r="I31" i="19"/>
  <c r="BA31" i="19" s="1"/>
  <c r="H31" i="19"/>
  <c r="AZ31" i="19" s="1"/>
  <c r="F31" i="19"/>
  <c r="AX31" i="19" s="1"/>
  <c r="AW30" i="19"/>
  <c r="AT30" i="19"/>
  <c r="AS30" i="19"/>
  <c r="AR30" i="19"/>
  <c r="AQ30" i="19"/>
  <c r="AP30" i="19"/>
  <c r="AO30" i="19"/>
  <c r="AN30" i="19"/>
  <c r="AM30" i="19"/>
  <c r="AL30" i="19"/>
  <c r="AJ30" i="19"/>
  <c r="AI30" i="19"/>
  <c r="AB30" i="19"/>
  <c r="AA30" i="19"/>
  <c r="Z30" i="19"/>
  <c r="Y30" i="19"/>
  <c r="X30" i="19"/>
  <c r="W30" i="19"/>
  <c r="V30" i="19"/>
  <c r="U30" i="19"/>
  <c r="T30" i="19"/>
  <c r="M30" i="19"/>
  <c r="L30" i="19"/>
  <c r="K30" i="19"/>
  <c r="J30" i="19"/>
  <c r="BB30" i="19" s="1"/>
  <c r="I30" i="19"/>
  <c r="BA30" i="19" s="1"/>
  <c r="H30" i="19"/>
  <c r="AZ30" i="19" s="1"/>
  <c r="F30" i="19"/>
  <c r="AX30" i="19" s="1"/>
  <c r="AW29" i="19"/>
  <c r="AT29" i="19"/>
  <c r="AS29" i="19"/>
  <c r="AR29" i="19"/>
  <c r="AQ29" i="19"/>
  <c r="AP29" i="19"/>
  <c r="AO29" i="19"/>
  <c r="AN29" i="19"/>
  <c r="AM29" i="19"/>
  <c r="AL29" i="19"/>
  <c r="AJ29" i="19"/>
  <c r="AI29" i="19"/>
  <c r="AB29" i="19"/>
  <c r="AA29" i="19"/>
  <c r="Z29" i="19"/>
  <c r="Y29" i="19"/>
  <c r="X29" i="19"/>
  <c r="W29" i="19"/>
  <c r="V29" i="19"/>
  <c r="U29" i="19"/>
  <c r="T29" i="19"/>
  <c r="M29" i="19"/>
  <c r="L29" i="19"/>
  <c r="K29" i="19"/>
  <c r="J29" i="19"/>
  <c r="BB29" i="19" s="1"/>
  <c r="I29" i="19"/>
  <c r="BA29" i="19" s="1"/>
  <c r="H29" i="19"/>
  <c r="AZ29" i="19" s="1"/>
  <c r="F29" i="19"/>
  <c r="AX29" i="19" s="1"/>
  <c r="AW28" i="19"/>
  <c r="AT28" i="19"/>
  <c r="AS28" i="19"/>
  <c r="AR28" i="19"/>
  <c r="AQ28" i="19"/>
  <c r="AP28" i="19"/>
  <c r="AO28" i="19"/>
  <c r="AN28" i="19"/>
  <c r="AM28" i="19"/>
  <c r="AL28" i="19"/>
  <c r="AJ28" i="19"/>
  <c r="AI28" i="19"/>
  <c r="AB28" i="19"/>
  <c r="AA28" i="19"/>
  <c r="Z28" i="19"/>
  <c r="Y28" i="19"/>
  <c r="X28" i="19"/>
  <c r="W28" i="19"/>
  <c r="V28" i="19"/>
  <c r="U28" i="19"/>
  <c r="T28" i="19"/>
  <c r="M28" i="19"/>
  <c r="L28" i="19"/>
  <c r="K28" i="19"/>
  <c r="J28" i="19"/>
  <c r="BB28" i="19" s="1"/>
  <c r="I28" i="19"/>
  <c r="BA28" i="19" s="1"/>
  <c r="H28" i="19"/>
  <c r="AZ28" i="19" s="1"/>
  <c r="F28" i="19"/>
  <c r="AX28" i="19" s="1"/>
  <c r="AW27" i="19"/>
  <c r="AT27" i="19"/>
  <c r="AS27" i="19"/>
  <c r="AR27" i="19"/>
  <c r="AQ27" i="19"/>
  <c r="AP27" i="19"/>
  <c r="AO27" i="19"/>
  <c r="AN27" i="19"/>
  <c r="AM27" i="19"/>
  <c r="AL27" i="19"/>
  <c r="AJ27" i="19"/>
  <c r="AI27" i="19"/>
  <c r="AB27" i="19"/>
  <c r="AA27" i="19"/>
  <c r="Z27" i="19"/>
  <c r="Y27" i="19"/>
  <c r="X27" i="19"/>
  <c r="W27" i="19"/>
  <c r="V27" i="19"/>
  <c r="U27" i="19"/>
  <c r="T27" i="19"/>
  <c r="M27" i="19"/>
  <c r="L27" i="19"/>
  <c r="K27" i="19"/>
  <c r="J27" i="19"/>
  <c r="BB27" i="19" s="1"/>
  <c r="I27" i="19"/>
  <c r="BA27" i="19" s="1"/>
  <c r="H27" i="19"/>
  <c r="AZ27" i="19" s="1"/>
  <c r="F27" i="19"/>
  <c r="AX27" i="19" s="1"/>
  <c r="AW26" i="19"/>
  <c r="AT26" i="19"/>
  <c r="AS26" i="19"/>
  <c r="AR26" i="19"/>
  <c r="AQ26" i="19"/>
  <c r="AP26" i="19"/>
  <c r="AO26" i="19"/>
  <c r="AN26" i="19"/>
  <c r="AM26" i="19"/>
  <c r="AL26" i="19"/>
  <c r="AJ26" i="19"/>
  <c r="AI26" i="19"/>
  <c r="AB26" i="19"/>
  <c r="AA26" i="19"/>
  <c r="Z26" i="19"/>
  <c r="Y26" i="19"/>
  <c r="X26" i="19"/>
  <c r="W26" i="19"/>
  <c r="V26" i="19"/>
  <c r="U26" i="19"/>
  <c r="T26" i="19"/>
  <c r="M26" i="19"/>
  <c r="L26" i="19"/>
  <c r="K26" i="19"/>
  <c r="J26" i="19"/>
  <c r="BB26" i="19" s="1"/>
  <c r="I26" i="19"/>
  <c r="BA26" i="19" s="1"/>
  <c r="H26" i="19"/>
  <c r="AZ26" i="19" s="1"/>
  <c r="F26" i="19"/>
  <c r="AX26" i="19" s="1"/>
  <c r="AW25" i="19"/>
  <c r="AT25" i="19"/>
  <c r="AS25" i="19"/>
  <c r="AR25" i="19"/>
  <c r="AQ25" i="19"/>
  <c r="AP25" i="19"/>
  <c r="AO25" i="19"/>
  <c r="AN25" i="19"/>
  <c r="AM25" i="19"/>
  <c r="AL25" i="19"/>
  <c r="AJ25" i="19"/>
  <c r="AI25" i="19"/>
  <c r="AB25" i="19"/>
  <c r="AA25" i="19"/>
  <c r="Z25" i="19"/>
  <c r="Y25" i="19"/>
  <c r="X25" i="19"/>
  <c r="W25" i="19"/>
  <c r="V25" i="19"/>
  <c r="U25" i="19"/>
  <c r="T25" i="19"/>
  <c r="M25" i="19"/>
  <c r="L25" i="19"/>
  <c r="K25" i="19"/>
  <c r="J25" i="19"/>
  <c r="BB25" i="19" s="1"/>
  <c r="I25" i="19"/>
  <c r="BA25" i="19" s="1"/>
  <c r="H25" i="19"/>
  <c r="AZ25" i="19" s="1"/>
  <c r="F25" i="19"/>
  <c r="AX25" i="19" s="1"/>
  <c r="AW24" i="19"/>
  <c r="AT24" i="19"/>
  <c r="AS24" i="19"/>
  <c r="AR24" i="19"/>
  <c r="AQ24" i="19"/>
  <c r="AP24" i="19"/>
  <c r="AO24" i="19"/>
  <c r="AN24" i="19"/>
  <c r="AM24" i="19"/>
  <c r="AL24" i="19"/>
  <c r="AJ24" i="19"/>
  <c r="AI24" i="19"/>
  <c r="AB24" i="19"/>
  <c r="AA24" i="19"/>
  <c r="Z24" i="19"/>
  <c r="Y24" i="19"/>
  <c r="X24" i="19"/>
  <c r="W24" i="19"/>
  <c r="V24" i="19"/>
  <c r="U24" i="19"/>
  <c r="T24" i="19"/>
  <c r="M24" i="19"/>
  <c r="L24" i="19"/>
  <c r="K24" i="19"/>
  <c r="J24" i="19"/>
  <c r="BB24" i="19" s="1"/>
  <c r="I24" i="19"/>
  <c r="BA24" i="19" s="1"/>
  <c r="H24" i="19"/>
  <c r="AZ24" i="19" s="1"/>
  <c r="F24" i="19"/>
  <c r="AX24" i="19" s="1"/>
  <c r="AW23" i="19"/>
  <c r="AT23" i="19"/>
  <c r="AS23" i="19"/>
  <c r="AR23" i="19"/>
  <c r="AQ23" i="19"/>
  <c r="AP23" i="19"/>
  <c r="AO23" i="19"/>
  <c r="AN23" i="19"/>
  <c r="AM23" i="19"/>
  <c r="AL23" i="19"/>
  <c r="AJ23" i="19"/>
  <c r="AI23" i="19"/>
  <c r="AB23" i="19"/>
  <c r="AA23" i="19"/>
  <c r="Z23" i="19"/>
  <c r="Y23" i="19"/>
  <c r="X23" i="19"/>
  <c r="W23" i="19"/>
  <c r="V23" i="19"/>
  <c r="U23" i="19"/>
  <c r="T23" i="19"/>
  <c r="M23" i="19"/>
  <c r="L23" i="19"/>
  <c r="K23" i="19"/>
  <c r="J23" i="19"/>
  <c r="BB23" i="19" s="1"/>
  <c r="I23" i="19"/>
  <c r="BA23" i="19" s="1"/>
  <c r="H23" i="19"/>
  <c r="AZ23" i="19" s="1"/>
  <c r="F23" i="19"/>
  <c r="AX23" i="19" s="1"/>
  <c r="AW22" i="19"/>
  <c r="AT22" i="19"/>
  <c r="AS22" i="19"/>
  <c r="AR22" i="19"/>
  <c r="AQ22" i="19"/>
  <c r="AP22" i="19"/>
  <c r="AO22" i="19"/>
  <c r="AN22" i="19"/>
  <c r="AM22" i="19"/>
  <c r="AL22" i="19"/>
  <c r="AJ22" i="19"/>
  <c r="AI22" i="19"/>
  <c r="AB22" i="19"/>
  <c r="AA22" i="19"/>
  <c r="Z22" i="19"/>
  <c r="Y22" i="19"/>
  <c r="X22" i="19"/>
  <c r="W22" i="19"/>
  <c r="V22" i="19"/>
  <c r="U22" i="19"/>
  <c r="T22" i="19"/>
  <c r="M22" i="19"/>
  <c r="L22" i="19"/>
  <c r="K22" i="19"/>
  <c r="J22" i="19"/>
  <c r="BB22" i="19" s="1"/>
  <c r="I22" i="19"/>
  <c r="BA22" i="19" s="1"/>
  <c r="H22" i="19"/>
  <c r="AZ22" i="19" s="1"/>
  <c r="F22" i="19"/>
  <c r="AX22" i="19" s="1"/>
  <c r="AW21" i="19"/>
  <c r="AT21" i="19"/>
  <c r="AS21" i="19"/>
  <c r="AR21" i="19"/>
  <c r="AQ21" i="19"/>
  <c r="AP21" i="19"/>
  <c r="AO21" i="19"/>
  <c r="AN21" i="19"/>
  <c r="AM21" i="19"/>
  <c r="AL21" i="19"/>
  <c r="AJ21" i="19"/>
  <c r="AI21" i="19"/>
  <c r="AB21" i="19"/>
  <c r="AA21" i="19"/>
  <c r="Z21" i="19"/>
  <c r="Y21" i="19"/>
  <c r="X21" i="19"/>
  <c r="W21" i="19"/>
  <c r="V21" i="19"/>
  <c r="U21" i="19"/>
  <c r="T21" i="19"/>
  <c r="M21" i="19"/>
  <c r="L21" i="19"/>
  <c r="K21" i="19"/>
  <c r="J21" i="19"/>
  <c r="BB21" i="19" s="1"/>
  <c r="I21" i="19"/>
  <c r="BA21" i="19" s="1"/>
  <c r="H21" i="19"/>
  <c r="AZ21" i="19" s="1"/>
  <c r="F21" i="19"/>
  <c r="AX21" i="19" s="1"/>
  <c r="AW20" i="19"/>
  <c r="AT20" i="19"/>
  <c r="AS20" i="19"/>
  <c r="AR20" i="19"/>
  <c r="AQ20" i="19"/>
  <c r="AP20" i="19"/>
  <c r="AO20" i="19"/>
  <c r="AN20" i="19"/>
  <c r="AM20" i="19"/>
  <c r="AL20" i="19"/>
  <c r="AJ20" i="19"/>
  <c r="AI20" i="19"/>
  <c r="AB20" i="19"/>
  <c r="AA20" i="19"/>
  <c r="Z20" i="19"/>
  <c r="Y20" i="19"/>
  <c r="X20" i="19"/>
  <c r="W20" i="19"/>
  <c r="V20" i="19"/>
  <c r="U20" i="19"/>
  <c r="T20" i="19"/>
  <c r="M20" i="19"/>
  <c r="L20" i="19"/>
  <c r="K20" i="19"/>
  <c r="J20" i="19"/>
  <c r="BB20" i="19" s="1"/>
  <c r="I20" i="19"/>
  <c r="BA20" i="19" s="1"/>
  <c r="H20" i="19"/>
  <c r="AZ20" i="19" s="1"/>
  <c r="F20" i="19"/>
  <c r="AX20" i="19" s="1"/>
  <c r="AW19" i="19"/>
  <c r="AT19" i="19"/>
  <c r="AS19" i="19"/>
  <c r="AR19" i="19"/>
  <c r="AQ19" i="19"/>
  <c r="AP19" i="19"/>
  <c r="AO19" i="19"/>
  <c r="AN19" i="19"/>
  <c r="AM19" i="19"/>
  <c r="AL19" i="19"/>
  <c r="AJ19" i="19"/>
  <c r="AI19" i="19"/>
  <c r="AB19" i="19"/>
  <c r="AA19" i="19"/>
  <c r="Z19" i="19"/>
  <c r="Y19" i="19"/>
  <c r="X19" i="19"/>
  <c r="W19" i="19"/>
  <c r="V19" i="19"/>
  <c r="U19" i="19"/>
  <c r="T19" i="19"/>
  <c r="M19" i="19"/>
  <c r="L19" i="19"/>
  <c r="K19" i="19"/>
  <c r="J19" i="19"/>
  <c r="BB19" i="19" s="1"/>
  <c r="I19" i="19"/>
  <c r="BA19" i="19" s="1"/>
  <c r="H19" i="19"/>
  <c r="AZ19" i="19" s="1"/>
  <c r="F19" i="19"/>
  <c r="AX19" i="19" s="1"/>
  <c r="AW18" i="19"/>
  <c r="AT18" i="19"/>
  <c r="AS18" i="19"/>
  <c r="AR18" i="19"/>
  <c r="AQ18" i="19"/>
  <c r="AP18" i="19"/>
  <c r="AO18" i="19"/>
  <c r="AN18" i="19"/>
  <c r="AM18" i="19"/>
  <c r="AL18" i="19"/>
  <c r="AJ18" i="19"/>
  <c r="AI18" i="19"/>
  <c r="AB18" i="19"/>
  <c r="AA18" i="19"/>
  <c r="Z18" i="19"/>
  <c r="Y18" i="19"/>
  <c r="X18" i="19"/>
  <c r="W18" i="19"/>
  <c r="V18" i="19"/>
  <c r="U18" i="19"/>
  <c r="T18" i="19"/>
  <c r="M18" i="19"/>
  <c r="L18" i="19"/>
  <c r="K18" i="19"/>
  <c r="J18" i="19"/>
  <c r="BB18" i="19" s="1"/>
  <c r="I18" i="19"/>
  <c r="BA18" i="19" s="1"/>
  <c r="H18" i="19"/>
  <c r="AZ18" i="19" s="1"/>
  <c r="F18" i="19"/>
  <c r="AX18" i="19" s="1"/>
  <c r="AW17" i="19"/>
  <c r="AT17" i="19"/>
  <c r="AS17" i="19"/>
  <c r="AR17" i="19"/>
  <c r="AQ17" i="19"/>
  <c r="AP17" i="19"/>
  <c r="AO17" i="19"/>
  <c r="AN17" i="19"/>
  <c r="AM17" i="19"/>
  <c r="AL17" i="19"/>
  <c r="AJ17" i="19"/>
  <c r="AI17" i="19"/>
  <c r="AB17" i="19"/>
  <c r="AA17" i="19"/>
  <c r="Z17" i="19"/>
  <c r="Y17" i="19"/>
  <c r="X17" i="19"/>
  <c r="W17" i="19"/>
  <c r="V17" i="19"/>
  <c r="U17" i="19"/>
  <c r="T17" i="19"/>
  <c r="M17" i="19"/>
  <c r="L17" i="19"/>
  <c r="K17" i="19"/>
  <c r="J17" i="19"/>
  <c r="BB17" i="19" s="1"/>
  <c r="I17" i="19"/>
  <c r="BA17" i="19" s="1"/>
  <c r="H17" i="19"/>
  <c r="AZ17" i="19" s="1"/>
  <c r="F17" i="19"/>
  <c r="AX17" i="19" s="1"/>
  <c r="AW16" i="19"/>
  <c r="AT16" i="19"/>
  <c r="AS16" i="19"/>
  <c r="AR16" i="19"/>
  <c r="AQ16" i="19"/>
  <c r="AP16" i="19"/>
  <c r="AO16" i="19"/>
  <c r="AN16" i="19"/>
  <c r="AM16" i="19"/>
  <c r="AL16" i="19"/>
  <c r="AJ16" i="19"/>
  <c r="AI16" i="19"/>
  <c r="AB16" i="19"/>
  <c r="AA16" i="19"/>
  <c r="Z16" i="19"/>
  <c r="Y16" i="19"/>
  <c r="X16" i="19"/>
  <c r="W16" i="19"/>
  <c r="V16" i="19"/>
  <c r="U16" i="19"/>
  <c r="T16" i="19"/>
  <c r="M16" i="19"/>
  <c r="L16" i="19"/>
  <c r="K16" i="19"/>
  <c r="J16" i="19"/>
  <c r="BB16" i="19" s="1"/>
  <c r="I16" i="19"/>
  <c r="BA16" i="19" s="1"/>
  <c r="H16" i="19"/>
  <c r="AZ16" i="19" s="1"/>
  <c r="F16" i="19"/>
  <c r="AX16" i="19" s="1"/>
  <c r="AW15" i="19"/>
  <c r="AT15" i="19"/>
  <c r="AS15" i="19"/>
  <c r="AR15" i="19"/>
  <c r="AQ15" i="19"/>
  <c r="AP15" i="19"/>
  <c r="AO15" i="19"/>
  <c r="AN15" i="19"/>
  <c r="AM15" i="19"/>
  <c r="AL15" i="19"/>
  <c r="AJ15" i="19"/>
  <c r="AI15" i="19"/>
  <c r="AB15" i="19"/>
  <c r="AA15" i="19"/>
  <c r="Z15" i="19"/>
  <c r="Y15" i="19"/>
  <c r="X15" i="19"/>
  <c r="W15" i="19"/>
  <c r="V15" i="19"/>
  <c r="U15" i="19"/>
  <c r="T15" i="19"/>
  <c r="M15" i="19"/>
  <c r="L15" i="19"/>
  <c r="K15" i="19"/>
  <c r="J15" i="19"/>
  <c r="BB15" i="19" s="1"/>
  <c r="I15" i="19"/>
  <c r="BA15" i="19" s="1"/>
  <c r="H15" i="19"/>
  <c r="AZ15" i="19" s="1"/>
  <c r="F15" i="19"/>
  <c r="AX15" i="19" s="1"/>
  <c r="AW14" i="19"/>
  <c r="AT14" i="19"/>
  <c r="AS14" i="19"/>
  <c r="AR14" i="19"/>
  <c r="AQ14" i="19"/>
  <c r="AP14" i="19"/>
  <c r="AO14" i="19"/>
  <c r="AN14" i="19"/>
  <c r="AM14" i="19"/>
  <c r="AL14" i="19"/>
  <c r="AJ14" i="19"/>
  <c r="AI14" i="19"/>
  <c r="AB14" i="19"/>
  <c r="AA14" i="19"/>
  <c r="Z14" i="19"/>
  <c r="Y14" i="19"/>
  <c r="X14" i="19"/>
  <c r="W14" i="19"/>
  <c r="V14" i="19"/>
  <c r="U14" i="19"/>
  <c r="T14" i="19"/>
  <c r="M14" i="19"/>
  <c r="L14" i="19"/>
  <c r="K14" i="19"/>
  <c r="J14" i="19"/>
  <c r="BB14" i="19" s="1"/>
  <c r="I14" i="19"/>
  <c r="BA14" i="19" s="1"/>
  <c r="H14" i="19"/>
  <c r="AZ14" i="19" s="1"/>
  <c r="F14" i="19"/>
  <c r="AX14" i="19" s="1"/>
  <c r="AW13" i="19"/>
  <c r="AT13" i="19"/>
  <c r="AS13" i="19"/>
  <c r="AR13" i="19"/>
  <c r="AQ13" i="19"/>
  <c r="AP13" i="19"/>
  <c r="AO13" i="19"/>
  <c r="AN13" i="19"/>
  <c r="AM13" i="19"/>
  <c r="AL13" i="19"/>
  <c r="AJ13" i="19"/>
  <c r="AI13" i="19"/>
  <c r="AB13" i="19"/>
  <c r="AA13" i="19"/>
  <c r="Z13" i="19"/>
  <c r="Y13" i="19"/>
  <c r="X13" i="19"/>
  <c r="W13" i="19"/>
  <c r="V13" i="19"/>
  <c r="U13" i="19"/>
  <c r="T13" i="19"/>
  <c r="M13" i="19"/>
  <c r="L13" i="19"/>
  <c r="K13" i="19"/>
  <c r="J13" i="19"/>
  <c r="BB13" i="19" s="1"/>
  <c r="I13" i="19"/>
  <c r="BA13" i="19" s="1"/>
  <c r="H13" i="19"/>
  <c r="AZ13" i="19" s="1"/>
  <c r="F13" i="19"/>
  <c r="AX13" i="19" s="1"/>
  <c r="AW12" i="19"/>
  <c r="AT12" i="19"/>
  <c r="AS12" i="19"/>
  <c r="AR12" i="19"/>
  <c r="AQ12" i="19"/>
  <c r="AP12" i="19"/>
  <c r="AO12" i="19"/>
  <c r="AN12" i="19"/>
  <c r="AM12" i="19"/>
  <c r="AL12" i="19"/>
  <c r="AJ12" i="19"/>
  <c r="AI12" i="19"/>
  <c r="AB12" i="19"/>
  <c r="AA12" i="19"/>
  <c r="Z12" i="19"/>
  <c r="Y12" i="19"/>
  <c r="X12" i="19"/>
  <c r="W12" i="19"/>
  <c r="V12" i="19"/>
  <c r="U12" i="19"/>
  <c r="T12" i="19"/>
  <c r="M12" i="19"/>
  <c r="L12" i="19"/>
  <c r="K12" i="19"/>
  <c r="J12" i="19"/>
  <c r="BB12" i="19" s="1"/>
  <c r="I12" i="19"/>
  <c r="BA12" i="19" s="1"/>
  <c r="H12" i="19"/>
  <c r="AZ12" i="19" s="1"/>
  <c r="F12" i="19"/>
  <c r="AX12" i="19" s="1"/>
  <c r="AW11" i="19"/>
  <c r="AT11" i="19"/>
  <c r="AS11" i="19"/>
  <c r="AR11" i="19"/>
  <c r="AQ11" i="19"/>
  <c r="AP11" i="19"/>
  <c r="AO11" i="19"/>
  <c r="AN11" i="19"/>
  <c r="AM11" i="19"/>
  <c r="AL11" i="19"/>
  <c r="AJ11" i="19"/>
  <c r="AI11" i="19"/>
  <c r="AB11" i="19"/>
  <c r="AA11" i="19"/>
  <c r="Z11" i="19"/>
  <c r="Y11" i="19"/>
  <c r="X11" i="19"/>
  <c r="W11" i="19"/>
  <c r="V11" i="19"/>
  <c r="U11" i="19"/>
  <c r="T11" i="19"/>
  <c r="M11" i="19"/>
  <c r="L11" i="19"/>
  <c r="K11" i="19"/>
  <c r="J11" i="19"/>
  <c r="BB11" i="19" s="1"/>
  <c r="I11" i="19"/>
  <c r="BA11" i="19" s="1"/>
  <c r="H11" i="19"/>
  <c r="AZ11" i="19" s="1"/>
  <c r="F11" i="19"/>
  <c r="AX11" i="19" s="1"/>
  <c r="AW10" i="19"/>
  <c r="AT10" i="19"/>
  <c r="AS10" i="19"/>
  <c r="AR10" i="19"/>
  <c r="AQ10" i="19"/>
  <c r="AP10" i="19"/>
  <c r="AO10" i="19"/>
  <c r="AN10" i="19"/>
  <c r="AM10" i="19"/>
  <c r="AL10" i="19"/>
  <c r="AJ10" i="19"/>
  <c r="AI10" i="19"/>
  <c r="AB10" i="19"/>
  <c r="AA10" i="19"/>
  <c r="Z10" i="19"/>
  <c r="Y10" i="19"/>
  <c r="X10" i="19"/>
  <c r="W10" i="19"/>
  <c r="V10" i="19"/>
  <c r="U10" i="19"/>
  <c r="T10" i="19"/>
  <c r="M10" i="19"/>
  <c r="L10" i="19"/>
  <c r="K10" i="19"/>
  <c r="J10" i="19"/>
  <c r="BB10" i="19" s="1"/>
  <c r="I10" i="19"/>
  <c r="BA10" i="19" s="1"/>
  <c r="H10" i="19"/>
  <c r="AZ10" i="19" s="1"/>
  <c r="F10" i="19"/>
  <c r="AX10" i="19" s="1"/>
  <c r="AW9" i="19"/>
  <c r="AT9" i="19"/>
  <c r="AS9" i="19"/>
  <c r="AR9" i="19"/>
  <c r="AQ9" i="19"/>
  <c r="AP9" i="19"/>
  <c r="AO9" i="19"/>
  <c r="AN9" i="19"/>
  <c r="AM9" i="19"/>
  <c r="AL9" i="19"/>
  <c r="AJ9" i="19"/>
  <c r="AI9" i="19"/>
  <c r="AB9" i="19"/>
  <c r="AA9" i="19"/>
  <c r="Z9" i="19"/>
  <c r="Y9" i="19"/>
  <c r="X9" i="19"/>
  <c r="W9" i="19"/>
  <c r="V9" i="19"/>
  <c r="U9" i="19"/>
  <c r="T9" i="19"/>
  <c r="M9" i="19"/>
  <c r="L9" i="19"/>
  <c r="K9" i="19"/>
  <c r="J9" i="19"/>
  <c r="BB9" i="19" s="1"/>
  <c r="I9" i="19"/>
  <c r="BA9" i="19" s="1"/>
  <c r="H9" i="19"/>
  <c r="AZ9" i="19" s="1"/>
  <c r="F9" i="19"/>
  <c r="AX9" i="19" s="1"/>
  <c r="AW8" i="19"/>
  <c r="AT8" i="19"/>
  <c r="AS8" i="19"/>
  <c r="AR8" i="19"/>
  <c r="AQ8" i="19"/>
  <c r="AP8" i="19"/>
  <c r="AO8" i="19"/>
  <c r="AN8" i="19"/>
  <c r="AM8" i="19"/>
  <c r="AL8" i="19"/>
  <c r="AJ8" i="19"/>
  <c r="AI8" i="19"/>
  <c r="AB8" i="19"/>
  <c r="AA8" i="19"/>
  <c r="Z8" i="19"/>
  <c r="Y8" i="19"/>
  <c r="X8" i="19"/>
  <c r="W8" i="19"/>
  <c r="V8" i="19"/>
  <c r="U8" i="19"/>
  <c r="T8" i="19"/>
  <c r="M8" i="19"/>
  <c r="L8" i="19"/>
  <c r="K8" i="19"/>
  <c r="J8" i="19"/>
  <c r="BB8" i="19" s="1"/>
  <c r="I8" i="19"/>
  <c r="BA8" i="19" s="1"/>
  <c r="H8" i="19"/>
  <c r="AZ8" i="19" s="1"/>
  <c r="F8" i="19"/>
  <c r="AX8" i="19" s="1"/>
  <c r="AW7" i="19"/>
  <c r="AT7" i="19"/>
  <c r="AS7" i="19"/>
  <c r="AR7" i="19"/>
  <c r="AQ7" i="19"/>
  <c r="AP7" i="19"/>
  <c r="AO7" i="19"/>
  <c r="AN7" i="19"/>
  <c r="AM7" i="19"/>
  <c r="AL7" i="19"/>
  <c r="AJ7" i="19"/>
  <c r="AI7" i="19"/>
  <c r="AB7" i="19"/>
  <c r="AA7" i="19"/>
  <c r="Z7" i="19"/>
  <c r="Y7" i="19"/>
  <c r="X7" i="19"/>
  <c r="W7" i="19"/>
  <c r="V7" i="19"/>
  <c r="U7" i="19"/>
  <c r="T7" i="19"/>
  <c r="M7" i="19"/>
  <c r="L7" i="19"/>
  <c r="K7" i="19"/>
  <c r="J7" i="19"/>
  <c r="BB7" i="19" s="1"/>
  <c r="I7" i="19"/>
  <c r="BA7" i="19" s="1"/>
  <c r="H7" i="19"/>
  <c r="AZ7" i="19" s="1"/>
  <c r="F7" i="19"/>
  <c r="AX7" i="19" s="1"/>
  <c r="AW6" i="19"/>
  <c r="AT6" i="19"/>
  <c r="AS6" i="19"/>
  <c r="AR6" i="19"/>
  <c r="AQ6" i="19"/>
  <c r="AP6" i="19"/>
  <c r="AO6" i="19"/>
  <c r="AN6" i="19"/>
  <c r="AM6" i="19"/>
  <c r="AL6" i="19"/>
  <c r="AJ6" i="19"/>
  <c r="AI6" i="19"/>
  <c r="AB6" i="19"/>
  <c r="AA6" i="19"/>
  <c r="Z6" i="19"/>
  <c r="Y6" i="19"/>
  <c r="X6" i="19"/>
  <c r="W6" i="19"/>
  <c r="V6" i="19"/>
  <c r="U6" i="19"/>
  <c r="T6" i="19"/>
  <c r="M6" i="19"/>
  <c r="L6" i="19"/>
  <c r="K6" i="19"/>
  <c r="J6" i="19"/>
  <c r="BB6" i="19" s="1"/>
  <c r="I6" i="19"/>
  <c r="BA6" i="19" s="1"/>
  <c r="H6" i="19"/>
  <c r="AZ6" i="19" s="1"/>
  <c r="F6" i="19"/>
  <c r="AX6" i="19" s="1"/>
  <c r="AW5" i="19"/>
  <c r="AT5" i="19"/>
  <c r="AS5" i="19"/>
  <c r="AR5" i="19"/>
  <c r="AQ5" i="19"/>
  <c r="AP5" i="19"/>
  <c r="AO5" i="19"/>
  <c r="AN5" i="19"/>
  <c r="AM5" i="19"/>
  <c r="AL5" i="19"/>
  <c r="AJ5" i="19"/>
  <c r="AI5" i="19"/>
  <c r="AB5" i="19"/>
  <c r="AA5" i="19"/>
  <c r="Z5" i="19"/>
  <c r="Y5" i="19"/>
  <c r="X5" i="19"/>
  <c r="W5" i="19"/>
  <c r="V5" i="19"/>
  <c r="U5" i="19"/>
  <c r="T5" i="19"/>
  <c r="M5" i="19"/>
  <c r="L5" i="19"/>
  <c r="K5" i="19"/>
  <c r="J5" i="19"/>
  <c r="BB5" i="19" s="1"/>
  <c r="I5" i="19"/>
  <c r="BA5" i="19" s="1"/>
  <c r="H5" i="19"/>
  <c r="AZ5" i="19" s="1"/>
  <c r="F5" i="19"/>
  <c r="AX5" i="19" s="1"/>
  <c r="AW4" i="19"/>
  <c r="AT4" i="19"/>
  <c r="AS4" i="19"/>
  <c r="AR4" i="19"/>
  <c r="AQ4" i="19"/>
  <c r="AP4" i="19"/>
  <c r="AO4" i="19"/>
  <c r="AN4" i="19"/>
  <c r="AM4" i="19"/>
  <c r="AL4" i="19"/>
  <c r="AJ4" i="19"/>
  <c r="AI4" i="19"/>
  <c r="AB4" i="19"/>
  <c r="AA4" i="19"/>
  <c r="Z4" i="19"/>
  <c r="Y4" i="19"/>
  <c r="X4" i="19"/>
  <c r="W4" i="19"/>
  <c r="V4" i="19"/>
  <c r="U4" i="19"/>
  <c r="T4" i="19"/>
  <c r="M4" i="19"/>
  <c r="L4" i="19"/>
  <c r="K4" i="19"/>
  <c r="J4" i="19"/>
  <c r="BB4" i="19" s="1"/>
  <c r="I4" i="19"/>
  <c r="BA4" i="19" s="1"/>
  <c r="H4" i="19"/>
  <c r="AZ4" i="19" s="1"/>
  <c r="F4" i="19"/>
  <c r="AX4" i="19" s="1"/>
  <c r="AW3" i="19"/>
  <c r="AT3" i="19"/>
  <c r="AS3" i="19"/>
  <c r="AR3" i="19"/>
  <c r="AQ3" i="19"/>
  <c r="AP3" i="19"/>
  <c r="AO3" i="19"/>
  <c r="AN3" i="19"/>
  <c r="AM3" i="19"/>
  <c r="AL3" i="19"/>
  <c r="AJ3" i="19"/>
  <c r="AI3" i="19"/>
  <c r="AB3" i="19"/>
  <c r="AA3" i="19"/>
  <c r="Z3" i="19"/>
  <c r="Y3" i="19"/>
  <c r="X3" i="19"/>
  <c r="W3" i="19"/>
  <c r="V3" i="19"/>
  <c r="U3" i="19"/>
  <c r="T3" i="19"/>
  <c r="M3" i="19"/>
  <c r="L3" i="19"/>
  <c r="K3" i="19"/>
  <c r="J3" i="19"/>
  <c r="BB3" i="19" s="1"/>
  <c r="I3" i="19"/>
  <c r="BA3" i="19" s="1"/>
  <c r="H3" i="19"/>
  <c r="AZ3" i="19" s="1"/>
  <c r="F3" i="19"/>
  <c r="AX3" i="19" s="1"/>
  <c r="AW2" i="19"/>
  <c r="AT2" i="19"/>
  <c r="AS2" i="19"/>
  <c r="AR2" i="19"/>
  <c r="AQ2" i="19"/>
  <c r="AP2" i="19"/>
  <c r="AO2" i="19"/>
  <c r="AN2" i="19"/>
  <c r="AM2" i="19"/>
  <c r="AL2" i="19"/>
  <c r="AK2" i="19"/>
  <c r="AJ2" i="19"/>
  <c r="AI2" i="19"/>
  <c r="AB2" i="19"/>
  <c r="AA2" i="19"/>
  <c r="Z2" i="19"/>
  <c r="Y2" i="19"/>
  <c r="X2" i="19"/>
  <c r="W2" i="19"/>
  <c r="V2" i="19"/>
  <c r="U2" i="19"/>
  <c r="T2" i="19"/>
  <c r="M2" i="19"/>
  <c r="L2" i="19"/>
  <c r="K2" i="19"/>
  <c r="J2" i="19"/>
  <c r="BB2" i="19" s="1"/>
  <c r="I2" i="19"/>
  <c r="BA2" i="19" s="1"/>
  <c r="H2" i="19"/>
  <c r="AZ2" i="19" s="1"/>
  <c r="G2" i="19"/>
  <c r="AY2" i="19" s="1"/>
  <c r="F2" i="19"/>
  <c r="AX2" i="19" s="1"/>
  <c r="A2" i="18"/>
  <c r="A3" i="18"/>
  <c r="A4" i="18"/>
  <c r="A5" i="18"/>
  <c r="A6" i="18"/>
  <c r="A7" i="18"/>
  <c r="A8" i="18"/>
  <c r="A9" i="18"/>
  <c r="A10" i="18"/>
  <c r="A11" i="18"/>
  <c r="A12" i="18"/>
  <c r="A13" i="18"/>
  <c r="A14" i="18"/>
  <c r="A15" i="18"/>
  <c r="A16" i="18"/>
  <c r="A17" i="18"/>
  <c r="A18" i="18"/>
  <c r="A19" i="18"/>
  <c r="A20" i="18"/>
  <c r="A21" i="18"/>
  <c r="A22" i="18"/>
  <c r="A23" i="18"/>
  <c r="A24" i="18"/>
  <c r="A25" i="18"/>
  <c r="A26" i="18"/>
  <c r="A27" i="18"/>
  <c r="A28" i="18"/>
  <c r="A29" i="18"/>
  <c r="A30" i="18"/>
  <c r="A31" i="18"/>
  <c r="A32" i="18"/>
  <c r="A33" i="18"/>
  <c r="A34" i="18"/>
  <c r="A35" i="18"/>
  <c r="A36" i="18"/>
  <c r="A37" i="18"/>
  <c r="A38" i="18"/>
  <c r="A39" i="18"/>
  <c r="A40" i="18"/>
  <c r="A41" i="18"/>
  <c r="A42" i="18"/>
  <c r="A43" i="18"/>
  <c r="A44" i="18"/>
  <c r="A45" i="18"/>
  <c r="A46" i="18"/>
  <c r="A47" i="18"/>
  <c r="A48" i="18"/>
  <c r="A49" i="18"/>
  <c r="A50" i="18"/>
  <c r="A51" i="18"/>
  <c r="A52" i="18"/>
  <c r="A53" i="18"/>
  <c r="A54" i="18"/>
  <c r="A55" i="18"/>
  <c r="A56" i="18"/>
  <c r="A57" i="18"/>
  <c r="A58" i="18"/>
  <c r="A59" i="18"/>
  <c r="A60" i="18"/>
  <c r="A61" i="18"/>
  <c r="A62" i="18"/>
  <c r="A63" i="18"/>
  <c r="A64" i="18"/>
  <c r="A65" i="18"/>
  <c r="A66" i="18"/>
  <c r="A67" i="18"/>
  <c r="A68" i="18"/>
  <c r="A69" i="18"/>
  <c r="A70" i="18"/>
  <c r="A71" i="18"/>
  <c r="A72" i="18"/>
  <c r="A73" i="18"/>
  <c r="A74" i="18"/>
  <c r="A75" i="18"/>
  <c r="A76" i="18"/>
  <c r="A77" i="18"/>
  <c r="A78" i="18"/>
  <c r="A79" i="18"/>
  <c r="A80" i="18"/>
  <c r="A81" i="18"/>
  <c r="A82" i="18"/>
  <c r="A83" i="18"/>
  <c r="A84" i="18"/>
  <c r="A85" i="18"/>
  <c r="A86" i="18"/>
  <c r="A87" i="18"/>
  <c r="A88" i="18"/>
  <c r="A89" i="18"/>
  <c r="A90" i="18"/>
  <c r="A91" i="18"/>
  <c r="A92" i="18"/>
  <c r="A93" i="18"/>
  <c r="A94" i="18"/>
  <c r="A95" i="18"/>
  <c r="A96" i="18"/>
  <c r="A97" i="18"/>
  <c r="A98" i="18"/>
  <c r="A99" i="18"/>
  <c r="A100" i="18"/>
  <c r="A101" i="18"/>
  <c r="A102" i="18"/>
  <c r="A103" i="18"/>
  <c r="A104" i="18"/>
  <c r="A105" i="18"/>
  <c r="A106" i="18"/>
  <c r="A107" i="18"/>
  <c r="A108" i="18"/>
  <c r="A109" i="18"/>
  <c r="A110" i="18"/>
  <c r="A111" i="18"/>
  <c r="O2" i="18"/>
  <c r="O3" i="18"/>
  <c r="O4" i="18"/>
  <c r="O5" i="18"/>
  <c r="O6" i="18"/>
  <c r="O7" i="18"/>
  <c r="O8" i="18"/>
  <c r="O9" i="18"/>
  <c r="O10" i="18"/>
  <c r="O11" i="18"/>
  <c r="O12" i="18"/>
  <c r="O13" i="18"/>
  <c r="O14" i="18"/>
  <c r="O15" i="18"/>
  <c r="O16" i="18"/>
  <c r="O17" i="18"/>
  <c r="O18" i="18"/>
  <c r="O19" i="18"/>
  <c r="O20" i="18"/>
  <c r="O21" i="18"/>
  <c r="O22" i="18"/>
  <c r="O23" i="18"/>
  <c r="O24" i="18"/>
  <c r="O25" i="18"/>
  <c r="O26" i="18"/>
  <c r="O27" i="18"/>
  <c r="O28" i="18"/>
  <c r="O29" i="18"/>
  <c r="O30" i="18"/>
  <c r="O31" i="18"/>
  <c r="O32" i="18"/>
  <c r="O33" i="18"/>
  <c r="O34" i="18"/>
  <c r="O35" i="18"/>
  <c r="O36" i="18"/>
  <c r="O37" i="18"/>
  <c r="O38" i="18"/>
  <c r="O39" i="18"/>
  <c r="O40" i="18"/>
  <c r="O41" i="18"/>
  <c r="O42" i="18"/>
  <c r="O43" i="18"/>
  <c r="O44" i="18"/>
  <c r="O45" i="18"/>
  <c r="O46" i="18"/>
  <c r="O47" i="18"/>
  <c r="O48" i="18"/>
  <c r="O49" i="18"/>
  <c r="O50" i="18"/>
  <c r="O51" i="18"/>
  <c r="O52" i="18"/>
  <c r="O53" i="18"/>
  <c r="O54" i="18"/>
  <c r="O55" i="18"/>
  <c r="O56" i="18"/>
  <c r="O57" i="18"/>
  <c r="O58" i="18"/>
  <c r="O59" i="18"/>
  <c r="O60" i="18"/>
  <c r="O61" i="18"/>
  <c r="O62" i="18"/>
  <c r="O63" i="18"/>
  <c r="O64" i="18"/>
  <c r="O65" i="18"/>
  <c r="O66" i="18"/>
  <c r="O67" i="18"/>
  <c r="O68" i="18"/>
  <c r="O69" i="18"/>
  <c r="O70" i="18"/>
  <c r="O71" i="18"/>
  <c r="O72" i="18"/>
  <c r="O73" i="18"/>
  <c r="O74" i="18"/>
  <c r="O75" i="18"/>
  <c r="O76" i="18"/>
  <c r="O77" i="18"/>
  <c r="O78" i="18"/>
  <c r="O79" i="18"/>
  <c r="O80" i="18"/>
  <c r="O81" i="18"/>
  <c r="O82" i="18"/>
  <c r="O83" i="18"/>
  <c r="O84" i="18"/>
  <c r="O85" i="18"/>
  <c r="O86" i="18"/>
  <c r="O87" i="18"/>
  <c r="O88" i="18"/>
  <c r="O89" i="18"/>
  <c r="O90" i="18"/>
  <c r="O91" i="18"/>
  <c r="O92" i="18"/>
  <c r="O93" i="18"/>
  <c r="O94" i="18"/>
  <c r="O95" i="18"/>
  <c r="O96" i="18"/>
  <c r="O97" i="18"/>
  <c r="O98" i="18"/>
  <c r="O99" i="18"/>
  <c r="O100" i="18"/>
  <c r="O101" i="18"/>
  <c r="O102" i="18"/>
  <c r="O103" i="18"/>
  <c r="O104" i="18"/>
  <c r="O105" i="18"/>
  <c r="O106" i="18"/>
  <c r="O107" i="18"/>
  <c r="O108" i="18"/>
  <c r="O109" i="18"/>
  <c r="O110" i="18"/>
  <c r="O111" i="18"/>
  <c r="AD2" i="18"/>
  <c r="AD3" i="18"/>
  <c r="AD4" i="18"/>
  <c r="AD5" i="18"/>
  <c r="AD6" i="18"/>
  <c r="AD7" i="18"/>
  <c r="AD8" i="18"/>
  <c r="AD9" i="18"/>
  <c r="AD10" i="18"/>
  <c r="AD11" i="18"/>
  <c r="AD12" i="18"/>
  <c r="AD13" i="18"/>
  <c r="AD14" i="18"/>
  <c r="AD15" i="18"/>
  <c r="AD16" i="18"/>
  <c r="AD17" i="18"/>
  <c r="AD18" i="18"/>
  <c r="AD19" i="18"/>
  <c r="AD20" i="18"/>
  <c r="AD21" i="18"/>
  <c r="AD22" i="18"/>
  <c r="AD23" i="18"/>
  <c r="AD24" i="18"/>
  <c r="AD25" i="18"/>
  <c r="AD26" i="18"/>
  <c r="AD27" i="18"/>
  <c r="AD28" i="18"/>
  <c r="AD29" i="18"/>
  <c r="AD30" i="18"/>
  <c r="AD31" i="18"/>
  <c r="AD32" i="18"/>
  <c r="AD33" i="18"/>
  <c r="AD34" i="18"/>
  <c r="AD35" i="18"/>
  <c r="AD36" i="18"/>
  <c r="AD37" i="18"/>
  <c r="AD38" i="18"/>
  <c r="AD39" i="18"/>
  <c r="AD40" i="18"/>
  <c r="AD41" i="18"/>
  <c r="AD42" i="18"/>
  <c r="AD43" i="18"/>
  <c r="AD44" i="18"/>
  <c r="AD45" i="18"/>
  <c r="AD46" i="18"/>
  <c r="AD47" i="18"/>
  <c r="AD48" i="18"/>
  <c r="AD49" i="18"/>
  <c r="AD50" i="18"/>
  <c r="AD51" i="18"/>
  <c r="AD52" i="18"/>
  <c r="AD53" i="18"/>
  <c r="AD54" i="18"/>
  <c r="AD55" i="18"/>
  <c r="AD56" i="18"/>
  <c r="AD57" i="18"/>
  <c r="AD58" i="18"/>
  <c r="AD59" i="18"/>
  <c r="AD60" i="18"/>
  <c r="AD61" i="18"/>
  <c r="AD62" i="18"/>
  <c r="AD63" i="18"/>
  <c r="AD64" i="18"/>
  <c r="AD65" i="18"/>
  <c r="AD66" i="18"/>
  <c r="AD67" i="18"/>
  <c r="AD68" i="18"/>
  <c r="AD69" i="18"/>
  <c r="AD70" i="18"/>
  <c r="AD71" i="18"/>
  <c r="AD72" i="18"/>
  <c r="AD73" i="18"/>
  <c r="AD74" i="18"/>
  <c r="AD75" i="18"/>
  <c r="AD76" i="18"/>
  <c r="AD77" i="18"/>
  <c r="AD78" i="18"/>
  <c r="AD79" i="18"/>
  <c r="AD80" i="18"/>
  <c r="AD81" i="18"/>
  <c r="AD82" i="18"/>
  <c r="AD83" i="18"/>
  <c r="AD84" i="18"/>
  <c r="AD85" i="18"/>
  <c r="AD86" i="18"/>
  <c r="AD87" i="18"/>
  <c r="AD88" i="18"/>
  <c r="AD89" i="18"/>
  <c r="AD90" i="18"/>
  <c r="AD91" i="18"/>
  <c r="AD92" i="18"/>
  <c r="AD93" i="18"/>
  <c r="AD94" i="18"/>
  <c r="AD95" i="18"/>
  <c r="AD96" i="18"/>
  <c r="AD97" i="18"/>
  <c r="AD98" i="18"/>
  <c r="AD99" i="18"/>
  <c r="AD100" i="18"/>
  <c r="AD101" i="18"/>
  <c r="AD102" i="18"/>
  <c r="AD103" i="18"/>
  <c r="AD104" i="18"/>
  <c r="AD105" i="18"/>
  <c r="AD106" i="18"/>
  <c r="AD107" i="18"/>
  <c r="AD108" i="18"/>
  <c r="AD109" i="18"/>
  <c r="AD110" i="18"/>
  <c r="AD111" i="18"/>
  <c r="AV2" i="18"/>
  <c r="AV3" i="18"/>
  <c r="AV4" i="18"/>
  <c r="AV5" i="18"/>
  <c r="AV6" i="18"/>
  <c r="AV7" i="18"/>
  <c r="AV8" i="18"/>
  <c r="AV9" i="18"/>
  <c r="AV10" i="18"/>
  <c r="AV11" i="18"/>
  <c r="AV12" i="18"/>
  <c r="AV13" i="18"/>
  <c r="AV14" i="18"/>
  <c r="AV15" i="18"/>
  <c r="AV16" i="18"/>
  <c r="AV17" i="18"/>
  <c r="AV18" i="18"/>
  <c r="AV19" i="18"/>
  <c r="AV20" i="18"/>
  <c r="AV21" i="18"/>
  <c r="AV22" i="18"/>
  <c r="AV23" i="18"/>
  <c r="AV24" i="18"/>
  <c r="AV25" i="18"/>
  <c r="AV26" i="18"/>
  <c r="AV27" i="18"/>
  <c r="AV28" i="18"/>
  <c r="AV29" i="18"/>
  <c r="AV30" i="18"/>
  <c r="AV31" i="18"/>
  <c r="AV32" i="18"/>
  <c r="AV33" i="18"/>
  <c r="AV34" i="18"/>
  <c r="AV35" i="18"/>
  <c r="AV36" i="18"/>
  <c r="AV37" i="18"/>
  <c r="AV38" i="18"/>
  <c r="AV39" i="18"/>
  <c r="AV40" i="18"/>
  <c r="AV41" i="18"/>
  <c r="AV42" i="18"/>
  <c r="AV43" i="18"/>
  <c r="AV44" i="18"/>
  <c r="AV45" i="18"/>
  <c r="AV46" i="18"/>
  <c r="AV47" i="18"/>
  <c r="AV48" i="18"/>
  <c r="AV49" i="18"/>
  <c r="AV50" i="18"/>
  <c r="AV51" i="18"/>
  <c r="AV52" i="18"/>
  <c r="AV53" i="18"/>
  <c r="AV54" i="18"/>
  <c r="AV55" i="18"/>
  <c r="AV56" i="18"/>
  <c r="AV57" i="18"/>
  <c r="AV58" i="18"/>
  <c r="AV59" i="18"/>
  <c r="AV60" i="18"/>
  <c r="AV61" i="18"/>
  <c r="AV62" i="18"/>
  <c r="AV63" i="18"/>
  <c r="AV64" i="18"/>
  <c r="AV65" i="18"/>
  <c r="AV66" i="18"/>
  <c r="AV67" i="18"/>
  <c r="AV68" i="18"/>
  <c r="AV69" i="18"/>
  <c r="AV70" i="18"/>
  <c r="AV71" i="18"/>
  <c r="AV72" i="18"/>
  <c r="AV73" i="18"/>
  <c r="AV74" i="18"/>
  <c r="AV75" i="18"/>
  <c r="AV76" i="18"/>
  <c r="AV77" i="18"/>
  <c r="AV78" i="18"/>
  <c r="AV79" i="18"/>
  <c r="AV80" i="18"/>
  <c r="AV81" i="18"/>
  <c r="AV82" i="18"/>
  <c r="AV83" i="18"/>
  <c r="AV84" i="18"/>
  <c r="AV85" i="18"/>
  <c r="AV86" i="18"/>
  <c r="AV87" i="18"/>
  <c r="AV88" i="18"/>
  <c r="AV89" i="18"/>
  <c r="AV90" i="18"/>
  <c r="AV91" i="18"/>
  <c r="AV92" i="18"/>
  <c r="AV93" i="18"/>
  <c r="AV94" i="18"/>
  <c r="AV95" i="18"/>
  <c r="AV96" i="18"/>
  <c r="AV97" i="18"/>
  <c r="AV98" i="18"/>
  <c r="AV99" i="18"/>
  <c r="AV100" i="18"/>
  <c r="AV101" i="18"/>
  <c r="AV102" i="18"/>
  <c r="AV103" i="18"/>
  <c r="AV104" i="18"/>
  <c r="AV105" i="18"/>
  <c r="AV106" i="18"/>
  <c r="AV107" i="18"/>
  <c r="AV108" i="18"/>
  <c r="AV109" i="18"/>
  <c r="AV110" i="18"/>
  <c r="AV111" i="18"/>
  <c r="AW111" i="18"/>
  <c r="AT111" i="18"/>
  <c r="AS111" i="18"/>
  <c r="AR111" i="18"/>
  <c r="AQ111" i="18"/>
  <c r="AP111" i="18"/>
  <c r="AO111" i="18"/>
  <c r="AN111" i="18"/>
  <c r="AM111" i="18"/>
  <c r="AL111" i="18"/>
  <c r="AJ111" i="18"/>
  <c r="AI111" i="18"/>
  <c r="AB111" i="18"/>
  <c r="AA111" i="18"/>
  <c r="Z111" i="18"/>
  <c r="Y111" i="18"/>
  <c r="X111" i="18"/>
  <c r="W111" i="18"/>
  <c r="V111" i="18"/>
  <c r="U111" i="18"/>
  <c r="T111" i="18"/>
  <c r="M111" i="18"/>
  <c r="L111" i="18"/>
  <c r="K111" i="18"/>
  <c r="J111" i="18"/>
  <c r="BB111" i="18" s="1"/>
  <c r="I111" i="18"/>
  <c r="BA111" i="18" s="1"/>
  <c r="H111" i="18"/>
  <c r="AZ111" i="18" s="1"/>
  <c r="F111" i="18"/>
  <c r="AX111" i="18" s="1"/>
  <c r="AW110" i="18"/>
  <c r="AT110" i="18"/>
  <c r="AS110" i="18"/>
  <c r="AR110" i="18"/>
  <c r="AQ110" i="18"/>
  <c r="AP110" i="18"/>
  <c r="AO110" i="18"/>
  <c r="AN110" i="18"/>
  <c r="AM110" i="18"/>
  <c r="AL110" i="18"/>
  <c r="AJ110" i="18"/>
  <c r="AI110" i="18"/>
  <c r="AB110" i="18"/>
  <c r="AA110" i="18"/>
  <c r="Z110" i="18"/>
  <c r="Y110" i="18"/>
  <c r="X110" i="18"/>
  <c r="W110" i="18"/>
  <c r="V110" i="18"/>
  <c r="U110" i="18"/>
  <c r="T110" i="18"/>
  <c r="M110" i="18"/>
  <c r="L110" i="18"/>
  <c r="K110" i="18"/>
  <c r="J110" i="18"/>
  <c r="BB110" i="18" s="1"/>
  <c r="I110" i="18"/>
  <c r="BA110" i="18" s="1"/>
  <c r="H110" i="18"/>
  <c r="AZ110" i="18" s="1"/>
  <c r="F110" i="18"/>
  <c r="AX110" i="18" s="1"/>
  <c r="AW109" i="18"/>
  <c r="AT109" i="18"/>
  <c r="AS109" i="18"/>
  <c r="AR109" i="18"/>
  <c r="AQ109" i="18"/>
  <c r="AP109" i="18"/>
  <c r="AO109" i="18"/>
  <c r="AN109" i="18"/>
  <c r="AM109" i="18"/>
  <c r="AL109" i="18"/>
  <c r="AJ109" i="18"/>
  <c r="AI109" i="18"/>
  <c r="AB109" i="18"/>
  <c r="AA109" i="18"/>
  <c r="Z109" i="18"/>
  <c r="Y109" i="18"/>
  <c r="X109" i="18"/>
  <c r="W109" i="18"/>
  <c r="V109" i="18"/>
  <c r="U109" i="18"/>
  <c r="T109" i="18"/>
  <c r="M109" i="18"/>
  <c r="L109" i="18"/>
  <c r="K109" i="18"/>
  <c r="J109" i="18"/>
  <c r="BB109" i="18" s="1"/>
  <c r="I109" i="18"/>
  <c r="BA109" i="18" s="1"/>
  <c r="H109" i="18"/>
  <c r="AZ109" i="18" s="1"/>
  <c r="F109" i="18"/>
  <c r="AX109" i="18" s="1"/>
  <c r="AW108" i="18"/>
  <c r="AT108" i="18"/>
  <c r="AS108" i="18"/>
  <c r="AR108" i="18"/>
  <c r="AQ108" i="18"/>
  <c r="AP108" i="18"/>
  <c r="AO108" i="18"/>
  <c r="AN108" i="18"/>
  <c r="AM108" i="18"/>
  <c r="AL108" i="18"/>
  <c r="AJ108" i="18"/>
  <c r="AI108" i="18"/>
  <c r="AB108" i="18"/>
  <c r="AA108" i="18"/>
  <c r="Z108" i="18"/>
  <c r="Y108" i="18"/>
  <c r="X108" i="18"/>
  <c r="W108" i="18"/>
  <c r="V108" i="18"/>
  <c r="U108" i="18"/>
  <c r="T108" i="18"/>
  <c r="M108" i="18"/>
  <c r="L108" i="18"/>
  <c r="K108" i="18"/>
  <c r="J108" i="18"/>
  <c r="BB108" i="18" s="1"/>
  <c r="I108" i="18"/>
  <c r="BA108" i="18" s="1"/>
  <c r="H108" i="18"/>
  <c r="AZ108" i="18" s="1"/>
  <c r="F108" i="18"/>
  <c r="AX108" i="18" s="1"/>
  <c r="AW107" i="18"/>
  <c r="AT107" i="18"/>
  <c r="AS107" i="18"/>
  <c r="AR107" i="18"/>
  <c r="AQ107" i="18"/>
  <c r="AP107" i="18"/>
  <c r="AO107" i="18"/>
  <c r="AN107" i="18"/>
  <c r="AM107" i="18"/>
  <c r="AL107" i="18"/>
  <c r="AJ107" i="18"/>
  <c r="AI107" i="18"/>
  <c r="AB107" i="18"/>
  <c r="AA107" i="18"/>
  <c r="Z107" i="18"/>
  <c r="Y107" i="18"/>
  <c r="X107" i="18"/>
  <c r="W107" i="18"/>
  <c r="V107" i="18"/>
  <c r="U107" i="18"/>
  <c r="T107" i="18"/>
  <c r="M107" i="18"/>
  <c r="L107" i="18"/>
  <c r="K107" i="18"/>
  <c r="J107" i="18"/>
  <c r="BB107" i="18" s="1"/>
  <c r="I107" i="18"/>
  <c r="BA107" i="18" s="1"/>
  <c r="H107" i="18"/>
  <c r="AZ107" i="18" s="1"/>
  <c r="F107" i="18"/>
  <c r="AX107" i="18" s="1"/>
  <c r="AW106" i="18"/>
  <c r="AT106" i="18"/>
  <c r="AS106" i="18"/>
  <c r="AR106" i="18"/>
  <c r="AQ106" i="18"/>
  <c r="AP106" i="18"/>
  <c r="AO106" i="18"/>
  <c r="AN106" i="18"/>
  <c r="AM106" i="18"/>
  <c r="AL106" i="18"/>
  <c r="AJ106" i="18"/>
  <c r="AI106" i="18"/>
  <c r="AB106" i="18"/>
  <c r="AA106" i="18"/>
  <c r="Z106" i="18"/>
  <c r="Y106" i="18"/>
  <c r="X106" i="18"/>
  <c r="W106" i="18"/>
  <c r="V106" i="18"/>
  <c r="U106" i="18"/>
  <c r="T106" i="18"/>
  <c r="M106" i="18"/>
  <c r="L106" i="18"/>
  <c r="K106" i="18"/>
  <c r="J106" i="18"/>
  <c r="BB106" i="18" s="1"/>
  <c r="I106" i="18"/>
  <c r="BA106" i="18" s="1"/>
  <c r="H106" i="18"/>
  <c r="AZ106" i="18" s="1"/>
  <c r="F106" i="18"/>
  <c r="AX106" i="18" s="1"/>
  <c r="AW105" i="18"/>
  <c r="AT105" i="18"/>
  <c r="AS105" i="18"/>
  <c r="AR105" i="18"/>
  <c r="AQ105" i="18"/>
  <c r="AP105" i="18"/>
  <c r="AO105" i="18"/>
  <c r="AN105" i="18"/>
  <c r="AM105" i="18"/>
  <c r="AL105" i="18"/>
  <c r="AJ105" i="18"/>
  <c r="AI105" i="18"/>
  <c r="AB105" i="18"/>
  <c r="AA105" i="18"/>
  <c r="Z105" i="18"/>
  <c r="Y105" i="18"/>
  <c r="X105" i="18"/>
  <c r="W105" i="18"/>
  <c r="V105" i="18"/>
  <c r="U105" i="18"/>
  <c r="T105" i="18"/>
  <c r="M105" i="18"/>
  <c r="L105" i="18"/>
  <c r="K105" i="18"/>
  <c r="J105" i="18"/>
  <c r="BB105" i="18" s="1"/>
  <c r="I105" i="18"/>
  <c r="BA105" i="18" s="1"/>
  <c r="H105" i="18"/>
  <c r="AZ105" i="18" s="1"/>
  <c r="F105" i="18"/>
  <c r="AX105" i="18" s="1"/>
  <c r="AW104" i="18"/>
  <c r="AT104" i="18"/>
  <c r="AS104" i="18"/>
  <c r="AR104" i="18"/>
  <c r="AQ104" i="18"/>
  <c r="AP104" i="18"/>
  <c r="AO104" i="18"/>
  <c r="AN104" i="18"/>
  <c r="AM104" i="18"/>
  <c r="AL104" i="18"/>
  <c r="AJ104" i="18"/>
  <c r="AI104" i="18"/>
  <c r="AB104" i="18"/>
  <c r="AA104" i="18"/>
  <c r="Z104" i="18"/>
  <c r="Y104" i="18"/>
  <c r="X104" i="18"/>
  <c r="W104" i="18"/>
  <c r="V104" i="18"/>
  <c r="U104" i="18"/>
  <c r="T104" i="18"/>
  <c r="M104" i="18"/>
  <c r="L104" i="18"/>
  <c r="K104" i="18"/>
  <c r="J104" i="18"/>
  <c r="BB104" i="18" s="1"/>
  <c r="I104" i="18"/>
  <c r="BA104" i="18" s="1"/>
  <c r="H104" i="18"/>
  <c r="AZ104" i="18" s="1"/>
  <c r="F104" i="18"/>
  <c r="AX104" i="18" s="1"/>
  <c r="AW103" i="18"/>
  <c r="AT103" i="18"/>
  <c r="AS103" i="18"/>
  <c r="AR103" i="18"/>
  <c r="AQ103" i="18"/>
  <c r="AP103" i="18"/>
  <c r="AO103" i="18"/>
  <c r="AN103" i="18"/>
  <c r="AM103" i="18"/>
  <c r="AL103" i="18"/>
  <c r="AJ103" i="18"/>
  <c r="AI103" i="18"/>
  <c r="AB103" i="18"/>
  <c r="AA103" i="18"/>
  <c r="Z103" i="18"/>
  <c r="Y103" i="18"/>
  <c r="X103" i="18"/>
  <c r="W103" i="18"/>
  <c r="V103" i="18"/>
  <c r="U103" i="18"/>
  <c r="T103" i="18"/>
  <c r="M103" i="18"/>
  <c r="L103" i="18"/>
  <c r="K103" i="18"/>
  <c r="J103" i="18"/>
  <c r="BB103" i="18" s="1"/>
  <c r="I103" i="18"/>
  <c r="BA103" i="18" s="1"/>
  <c r="H103" i="18"/>
  <c r="AZ103" i="18" s="1"/>
  <c r="F103" i="18"/>
  <c r="AX103" i="18" s="1"/>
  <c r="AW102" i="18"/>
  <c r="AT102" i="18"/>
  <c r="AS102" i="18"/>
  <c r="AR102" i="18"/>
  <c r="AQ102" i="18"/>
  <c r="AP102" i="18"/>
  <c r="AO102" i="18"/>
  <c r="AN102" i="18"/>
  <c r="AM102" i="18"/>
  <c r="AL102" i="18"/>
  <c r="AJ102" i="18"/>
  <c r="AI102" i="18"/>
  <c r="AB102" i="18"/>
  <c r="AA102" i="18"/>
  <c r="Z102" i="18"/>
  <c r="Y102" i="18"/>
  <c r="X102" i="18"/>
  <c r="W102" i="18"/>
  <c r="V102" i="18"/>
  <c r="U102" i="18"/>
  <c r="T102" i="18"/>
  <c r="M102" i="18"/>
  <c r="L102" i="18"/>
  <c r="K102" i="18"/>
  <c r="J102" i="18"/>
  <c r="BB102" i="18" s="1"/>
  <c r="I102" i="18"/>
  <c r="BA102" i="18" s="1"/>
  <c r="H102" i="18"/>
  <c r="AZ102" i="18" s="1"/>
  <c r="F102" i="18"/>
  <c r="AX102" i="18" s="1"/>
  <c r="AW101" i="18"/>
  <c r="AT101" i="18"/>
  <c r="AS101" i="18"/>
  <c r="AR101" i="18"/>
  <c r="AQ101" i="18"/>
  <c r="AP101" i="18"/>
  <c r="AO101" i="18"/>
  <c r="AN101" i="18"/>
  <c r="AM101" i="18"/>
  <c r="AL101" i="18"/>
  <c r="AJ101" i="18"/>
  <c r="AI101" i="18"/>
  <c r="AB101" i="18"/>
  <c r="AA101" i="18"/>
  <c r="Z101" i="18"/>
  <c r="Y101" i="18"/>
  <c r="X101" i="18"/>
  <c r="W101" i="18"/>
  <c r="V101" i="18"/>
  <c r="U101" i="18"/>
  <c r="T101" i="18"/>
  <c r="M101" i="18"/>
  <c r="L101" i="18"/>
  <c r="K101" i="18"/>
  <c r="J101" i="18"/>
  <c r="BB101" i="18" s="1"/>
  <c r="I101" i="18"/>
  <c r="BA101" i="18" s="1"/>
  <c r="H101" i="18"/>
  <c r="AZ101" i="18" s="1"/>
  <c r="F101" i="18"/>
  <c r="AX101" i="18" s="1"/>
  <c r="AW100" i="18"/>
  <c r="AT100" i="18"/>
  <c r="AS100" i="18"/>
  <c r="AR100" i="18"/>
  <c r="AQ100" i="18"/>
  <c r="AP100" i="18"/>
  <c r="AO100" i="18"/>
  <c r="AN100" i="18"/>
  <c r="AM100" i="18"/>
  <c r="AL100" i="18"/>
  <c r="AJ100" i="18"/>
  <c r="AI100" i="18"/>
  <c r="AB100" i="18"/>
  <c r="AA100" i="18"/>
  <c r="Z100" i="18"/>
  <c r="Y100" i="18"/>
  <c r="X100" i="18"/>
  <c r="W100" i="18"/>
  <c r="V100" i="18"/>
  <c r="U100" i="18"/>
  <c r="T100" i="18"/>
  <c r="M100" i="18"/>
  <c r="L100" i="18"/>
  <c r="K100" i="18"/>
  <c r="J100" i="18"/>
  <c r="BB100" i="18" s="1"/>
  <c r="I100" i="18"/>
  <c r="BA100" i="18" s="1"/>
  <c r="H100" i="18"/>
  <c r="AZ100" i="18" s="1"/>
  <c r="F100" i="18"/>
  <c r="AX100" i="18" s="1"/>
  <c r="AW99" i="18"/>
  <c r="AT99" i="18"/>
  <c r="AS99" i="18"/>
  <c r="AR99" i="18"/>
  <c r="AQ99" i="18"/>
  <c r="AP99" i="18"/>
  <c r="AO99" i="18"/>
  <c r="AN99" i="18"/>
  <c r="AM99" i="18"/>
  <c r="AL99" i="18"/>
  <c r="AJ99" i="18"/>
  <c r="AI99" i="18"/>
  <c r="AB99" i="18"/>
  <c r="AA99" i="18"/>
  <c r="Z99" i="18"/>
  <c r="Y99" i="18"/>
  <c r="X99" i="18"/>
  <c r="W99" i="18"/>
  <c r="V99" i="18"/>
  <c r="U99" i="18"/>
  <c r="T99" i="18"/>
  <c r="M99" i="18"/>
  <c r="L99" i="18"/>
  <c r="K99" i="18"/>
  <c r="J99" i="18"/>
  <c r="BB99" i="18" s="1"/>
  <c r="I99" i="18"/>
  <c r="BA99" i="18" s="1"/>
  <c r="H99" i="18"/>
  <c r="AZ99" i="18" s="1"/>
  <c r="F99" i="18"/>
  <c r="AX99" i="18" s="1"/>
  <c r="AW98" i="18"/>
  <c r="AT98" i="18"/>
  <c r="AS98" i="18"/>
  <c r="AR98" i="18"/>
  <c r="AQ98" i="18"/>
  <c r="AP98" i="18"/>
  <c r="AO98" i="18"/>
  <c r="AN98" i="18"/>
  <c r="AM98" i="18"/>
  <c r="AL98" i="18"/>
  <c r="AJ98" i="18"/>
  <c r="AI98" i="18"/>
  <c r="AB98" i="18"/>
  <c r="AA98" i="18"/>
  <c r="Z98" i="18"/>
  <c r="Y98" i="18"/>
  <c r="X98" i="18"/>
  <c r="W98" i="18"/>
  <c r="V98" i="18"/>
  <c r="U98" i="18"/>
  <c r="T98" i="18"/>
  <c r="M98" i="18"/>
  <c r="L98" i="18"/>
  <c r="K98" i="18"/>
  <c r="J98" i="18"/>
  <c r="BB98" i="18" s="1"/>
  <c r="I98" i="18"/>
  <c r="BA98" i="18" s="1"/>
  <c r="H98" i="18"/>
  <c r="AZ98" i="18" s="1"/>
  <c r="F98" i="18"/>
  <c r="AX98" i="18" s="1"/>
  <c r="AW97" i="18"/>
  <c r="AT97" i="18"/>
  <c r="AS97" i="18"/>
  <c r="AR97" i="18"/>
  <c r="AQ97" i="18"/>
  <c r="AP97" i="18"/>
  <c r="AO97" i="18"/>
  <c r="AN97" i="18"/>
  <c r="AM97" i="18"/>
  <c r="AL97" i="18"/>
  <c r="AJ97" i="18"/>
  <c r="AI97" i="18"/>
  <c r="AB97" i="18"/>
  <c r="AA97" i="18"/>
  <c r="Z97" i="18"/>
  <c r="Y97" i="18"/>
  <c r="X97" i="18"/>
  <c r="W97" i="18"/>
  <c r="V97" i="18"/>
  <c r="U97" i="18"/>
  <c r="T97" i="18"/>
  <c r="M97" i="18"/>
  <c r="L97" i="18"/>
  <c r="K97" i="18"/>
  <c r="J97" i="18"/>
  <c r="BB97" i="18" s="1"/>
  <c r="I97" i="18"/>
  <c r="BA97" i="18" s="1"/>
  <c r="H97" i="18"/>
  <c r="AZ97" i="18" s="1"/>
  <c r="F97" i="18"/>
  <c r="AX97" i="18" s="1"/>
  <c r="AW96" i="18"/>
  <c r="AT96" i="18"/>
  <c r="AS96" i="18"/>
  <c r="AR96" i="18"/>
  <c r="AQ96" i="18"/>
  <c r="AP96" i="18"/>
  <c r="AO96" i="18"/>
  <c r="AN96" i="18"/>
  <c r="AM96" i="18"/>
  <c r="AL96" i="18"/>
  <c r="AJ96" i="18"/>
  <c r="AI96" i="18"/>
  <c r="AB96" i="18"/>
  <c r="AA96" i="18"/>
  <c r="Z96" i="18"/>
  <c r="Y96" i="18"/>
  <c r="X96" i="18"/>
  <c r="W96" i="18"/>
  <c r="V96" i="18"/>
  <c r="U96" i="18"/>
  <c r="T96" i="18"/>
  <c r="M96" i="18"/>
  <c r="L96" i="18"/>
  <c r="K96" i="18"/>
  <c r="J96" i="18"/>
  <c r="BB96" i="18" s="1"/>
  <c r="I96" i="18"/>
  <c r="BA96" i="18" s="1"/>
  <c r="H96" i="18"/>
  <c r="AZ96" i="18" s="1"/>
  <c r="F96" i="18"/>
  <c r="AX96" i="18" s="1"/>
  <c r="AW95" i="18"/>
  <c r="AT95" i="18"/>
  <c r="AS95" i="18"/>
  <c r="AR95" i="18"/>
  <c r="AQ95" i="18"/>
  <c r="AP95" i="18"/>
  <c r="AO95" i="18"/>
  <c r="AN95" i="18"/>
  <c r="AM95" i="18"/>
  <c r="AL95" i="18"/>
  <c r="AJ95" i="18"/>
  <c r="AI95" i="18"/>
  <c r="AB95" i="18"/>
  <c r="AA95" i="18"/>
  <c r="Z95" i="18"/>
  <c r="Y95" i="18"/>
  <c r="X95" i="18"/>
  <c r="W95" i="18"/>
  <c r="V95" i="18"/>
  <c r="U95" i="18"/>
  <c r="T95" i="18"/>
  <c r="M95" i="18"/>
  <c r="L95" i="18"/>
  <c r="K95" i="18"/>
  <c r="J95" i="18"/>
  <c r="BB95" i="18" s="1"/>
  <c r="I95" i="18"/>
  <c r="BA95" i="18" s="1"/>
  <c r="H95" i="18"/>
  <c r="AZ95" i="18" s="1"/>
  <c r="F95" i="18"/>
  <c r="AX95" i="18" s="1"/>
  <c r="AW94" i="18"/>
  <c r="AT94" i="18"/>
  <c r="AS94" i="18"/>
  <c r="AR94" i="18"/>
  <c r="AQ94" i="18"/>
  <c r="AP94" i="18"/>
  <c r="AO94" i="18"/>
  <c r="AN94" i="18"/>
  <c r="AM94" i="18"/>
  <c r="AL94" i="18"/>
  <c r="AJ94" i="18"/>
  <c r="AI94" i="18"/>
  <c r="AB94" i="18"/>
  <c r="AA94" i="18"/>
  <c r="Z94" i="18"/>
  <c r="Y94" i="18"/>
  <c r="X94" i="18"/>
  <c r="W94" i="18"/>
  <c r="V94" i="18"/>
  <c r="U94" i="18"/>
  <c r="T94" i="18"/>
  <c r="M94" i="18"/>
  <c r="L94" i="18"/>
  <c r="K94" i="18"/>
  <c r="J94" i="18"/>
  <c r="BB94" i="18" s="1"/>
  <c r="I94" i="18"/>
  <c r="BA94" i="18" s="1"/>
  <c r="H94" i="18"/>
  <c r="AZ94" i="18" s="1"/>
  <c r="F94" i="18"/>
  <c r="AX94" i="18" s="1"/>
  <c r="AW93" i="18"/>
  <c r="AT93" i="18"/>
  <c r="AS93" i="18"/>
  <c r="AR93" i="18"/>
  <c r="AQ93" i="18"/>
  <c r="AP93" i="18"/>
  <c r="AO93" i="18"/>
  <c r="AN93" i="18"/>
  <c r="AM93" i="18"/>
  <c r="AL93" i="18"/>
  <c r="AJ93" i="18"/>
  <c r="AI93" i="18"/>
  <c r="AB93" i="18"/>
  <c r="AA93" i="18"/>
  <c r="Z93" i="18"/>
  <c r="Y93" i="18"/>
  <c r="X93" i="18"/>
  <c r="W93" i="18"/>
  <c r="V93" i="18"/>
  <c r="U93" i="18"/>
  <c r="T93" i="18"/>
  <c r="M93" i="18"/>
  <c r="L93" i="18"/>
  <c r="K93" i="18"/>
  <c r="J93" i="18"/>
  <c r="BB93" i="18" s="1"/>
  <c r="I93" i="18"/>
  <c r="BA93" i="18" s="1"/>
  <c r="H93" i="18"/>
  <c r="AZ93" i="18" s="1"/>
  <c r="F93" i="18"/>
  <c r="AX93" i="18" s="1"/>
  <c r="AW92" i="18"/>
  <c r="AT92" i="18"/>
  <c r="AS92" i="18"/>
  <c r="AR92" i="18"/>
  <c r="AQ92" i="18"/>
  <c r="AP92" i="18"/>
  <c r="AO92" i="18"/>
  <c r="AN92" i="18"/>
  <c r="AM92" i="18"/>
  <c r="AL92" i="18"/>
  <c r="AJ92" i="18"/>
  <c r="AI92" i="18"/>
  <c r="AB92" i="18"/>
  <c r="AA92" i="18"/>
  <c r="Z92" i="18"/>
  <c r="Y92" i="18"/>
  <c r="X92" i="18"/>
  <c r="W92" i="18"/>
  <c r="V92" i="18"/>
  <c r="U92" i="18"/>
  <c r="T92" i="18"/>
  <c r="M92" i="18"/>
  <c r="L92" i="18"/>
  <c r="K92" i="18"/>
  <c r="J92" i="18"/>
  <c r="BB92" i="18" s="1"/>
  <c r="I92" i="18"/>
  <c r="BA92" i="18" s="1"/>
  <c r="H92" i="18"/>
  <c r="AZ92" i="18" s="1"/>
  <c r="F92" i="18"/>
  <c r="AX92" i="18" s="1"/>
  <c r="AW91" i="18"/>
  <c r="AT91" i="18"/>
  <c r="AS91" i="18"/>
  <c r="AR91" i="18"/>
  <c r="AQ91" i="18"/>
  <c r="AP91" i="18"/>
  <c r="AO91" i="18"/>
  <c r="AN91" i="18"/>
  <c r="AM91" i="18"/>
  <c r="AL91" i="18"/>
  <c r="AJ91" i="18"/>
  <c r="AI91" i="18"/>
  <c r="AB91" i="18"/>
  <c r="AA91" i="18"/>
  <c r="Z91" i="18"/>
  <c r="Y91" i="18"/>
  <c r="X91" i="18"/>
  <c r="W91" i="18"/>
  <c r="V91" i="18"/>
  <c r="U91" i="18"/>
  <c r="T91" i="18"/>
  <c r="M91" i="18"/>
  <c r="L91" i="18"/>
  <c r="K91" i="18"/>
  <c r="J91" i="18"/>
  <c r="BB91" i="18" s="1"/>
  <c r="I91" i="18"/>
  <c r="BA91" i="18" s="1"/>
  <c r="H91" i="18"/>
  <c r="AZ91" i="18" s="1"/>
  <c r="F91" i="18"/>
  <c r="AX91" i="18" s="1"/>
  <c r="AW90" i="18"/>
  <c r="AT90" i="18"/>
  <c r="AS90" i="18"/>
  <c r="AR90" i="18"/>
  <c r="AQ90" i="18"/>
  <c r="AP90" i="18"/>
  <c r="AO90" i="18"/>
  <c r="AN90" i="18"/>
  <c r="AM90" i="18"/>
  <c r="AL90" i="18"/>
  <c r="AJ90" i="18"/>
  <c r="AI90" i="18"/>
  <c r="AB90" i="18"/>
  <c r="AA90" i="18"/>
  <c r="Z90" i="18"/>
  <c r="Y90" i="18"/>
  <c r="X90" i="18"/>
  <c r="W90" i="18"/>
  <c r="V90" i="18"/>
  <c r="U90" i="18"/>
  <c r="T90" i="18"/>
  <c r="M90" i="18"/>
  <c r="L90" i="18"/>
  <c r="K90" i="18"/>
  <c r="J90" i="18"/>
  <c r="BB90" i="18" s="1"/>
  <c r="I90" i="18"/>
  <c r="BA90" i="18" s="1"/>
  <c r="H90" i="18"/>
  <c r="AZ90" i="18" s="1"/>
  <c r="F90" i="18"/>
  <c r="AX90" i="18" s="1"/>
  <c r="AW89" i="18"/>
  <c r="AT89" i="18"/>
  <c r="AS89" i="18"/>
  <c r="AR89" i="18"/>
  <c r="AQ89" i="18"/>
  <c r="AP89" i="18"/>
  <c r="AO89" i="18"/>
  <c r="AN89" i="18"/>
  <c r="AM89" i="18"/>
  <c r="AL89" i="18"/>
  <c r="AJ89" i="18"/>
  <c r="AI89" i="18"/>
  <c r="AB89" i="18"/>
  <c r="AA89" i="18"/>
  <c r="Z89" i="18"/>
  <c r="Y89" i="18"/>
  <c r="X89" i="18"/>
  <c r="W89" i="18"/>
  <c r="V89" i="18"/>
  <c r="U89" i="18"/>
  <c r="T89" i="18"/>
  <c r="M89" i="18"/>
  <c r="L89" i="18"/>
  <c r="K89" i="18"/>
  <c r="J89" i="18"/>
  <c r="BB89" i="18" s="1"/>
  <c r="I89" i="18"/>
  <c r="BA89" i="18" s="1"/>
  <c r="H89" i="18"/>
  <c r="AZ89" i="18" s="1"/>
  <c r="F89" i="18"/>
  <c r="AX89" i="18" s="1"/>
  <c r="AW88" i="18"/>
  <c r="AT88" i="18"/>
  <c r="AS88" i="18"/>
  <c r="AR88" i="18"/>
  <c r="AQ88" i="18"/>
  <c r="AP88" i="18"/>
  <c r="AO88" i="18"/>
  <c r="AN88" i="18"/>
  <c r="AM88" i="18"/>
  <c r="AL88" i="18"/>
  <c r="AJ88" i="18"/>
  <c r="AI88" i="18"/>
  <c r="AB88" i="18"/>
  <c r="AA88" i="18"/>
  <c r="Z88" i="18"/>
  <c r="Y88" i="18"/>
  <c r="X88" i="18"/>
  <c r="W88" i="18"/>
  <c r="V88" i="18"/>
  <c r="U88" i="18"/>
  <c r="T88" i="18"/>
  <c r="M88" i="18"/>
  <c r="L88" i="18"/>
  <c r="K88" i="18"/>
  <c r="J88" i="18"/>
  <c r="BB88" i="18" s="1"/>
  <c r="I88" i="18"/>
  <c r="BA88" i="18" s="1"/>
  <c r="H88" i="18"/>
  <c r="AZ88" i="18" s="1"/>
  <c r="F88" i="18"/>
  <c r="AX88" i="18" s="1"/>
  <c r="AW87" i="18"/>
  <c r="AT87" i="18"/>
  <c r="AS87" i="18"/>
  <c r="AR87" i="18"/>
  <c r="AQ87" i="18"/>
  <c r="AP87" i="18"/>
  <c r="AO87" i="18"/>
  <c r="AN87" i="18"/>
  <c r="AM87" i="18"/>
  <c r="AL87" i="18"/>
  <c r="AJ87" i="18"/>
  <c r="AI87" i="18"/>
  <c r="AB87" i="18"/>
  <c r="AA87" i="18"/>
  <c r="Z87" i="18"/>
  <c r="Y87" i="18"/>
  <c r="X87" i="18"/>
  <c r="W87" i="18"/>
  <c r="V87" i="18"/>
  <c r="U87" i="18"/>
  <c r="T87" i="18"/>
  <c r="M87" i="18"/>
  <c r="L87" i="18"/>
  <c r="K87" i="18"/>
  <c r="J87" i="18"/>
  <c r="BB87" i="18" s="1"/>
  <c r="I87" i="18"/>
  <c r="BA87" i="18" s="1"/>
  <c r="H87" i="18"/>
  <c r="AZ87" i="18" s="1"/>
  <c r="F87" i="18"/>
  <c r="AX87" i="18" s="1"/>
  <c r="AW86" i="18"/>
  <c r="AT86" i="18"/>
  <c r="AS86" i="18"/>
  <c r="AR86" i="18"/>
  <c r="AQ86" i="18"/>
  <c r="AP86" i="18"/>
  <c r="AO86" i="18"/>
  <c r="AN86" i="18"/>
  <c r="AM86" i="18"/>
  <c r="AL86" i="18"/>
  <c r="AJ86" i="18"/>
  <c r="AI86" i="18"/>
  <c r="AB86" i="18"/>
  <c r="AA86" i="18"/>
  <c r="Z86" i="18"/>
  <c r="Y86" i="18"/>
  <c r="X86" i="18"/>
  <c r="W86" i="18"/>
  <c r="V86" i="18"/>
  <c r="U86" i="18"/>
  <c r="T86" i="18"/>
  <c r="M86" i="18"/>
  <c r="L86" i="18"/>
  <c r="K86" i="18"/>
  <c r="J86" i="18"/>
  <c r="BB86" i="18" s="1"/>
  <c r="I86" i="18"/>
  <c r="BA86" i="18" s="1"/>
  <c r="H86" i="18"/>
  <c r="AZ86" i="18" s="1"/>
  <c r="F86" i="18"/>
  <c r="AX86" i="18" s="1"/>
  <c r="AW85" i="18"/>
  <c r="AT85" i="18"/>
  <c r="AS85" i="18"/>
  <c r="AR85" i="18"/>
  <c r="AQ85" i="18"/>
  <c r="AP85" i="18"/>
  <c r="AO85" i="18"/>
  <c r="AN85" i="18"/>
  <c r="AM85" i="18"/>
  <c r="AL85" i="18"/>
  <c r="AJ85" i="18"/>
  <c r="AI85" i="18"/>
  <c r="AB85" i="18"/>
  <c r="AA85" i="18"/>
  <c r="Z85" i="18"/>
  <c r="Y85" i="18"/>
  <c r="X85" i="18"/>
  <c r="W85" i="18"/>
  <c r="V85" i="18"/>
  <c r="U85" i="18"/>
  <c r="T85" i="18"/>
  <c r="M85" i="18"/>
  <c r="L85" i="18"/>
  <c r="K85" i="18"/>
  <c r="J85" i="18"/>
  <c r="BB85" i="18" s="1"/>
  <c r="I85" i="18"/>
  <c r="BA85" i="18" s="1"/>
  <c r="H85" i="18"/>
  <c r="AZ85" i="18" s="1"/>
  <c r="F85" i="18"/>
  <c r="AX85" i="18" s="1"/>
  <c r="AW84" i="18"/>
  <c r="AT84" i="18"/>
  <c r="AS84" i="18"/>
  <c r="AR84" i="18"/>
  <c r="AQ84" i="18"/>
  <c r="AP84" i="18"/>
  <c r="AO84" i="18"/>
  <c r="AN84" i="18"/>
  <c r="AM84" i="18"/>
  <c r="AL84" i="18"/>
  <c r="AJ84" i="18"/>
  <c r="AI84" i="18"/>
  <c r="AB84" i="18"/>
  <c r="AA84" i="18"/>
  <c r="Z84" i="18"/>
  <c r="Y84" i="18"/>
  <c r="X84" i="18"/>
  <c r="W84" i="18"/>
  <c r="V84" i="18"/>
  <c r="U84" i="18"/>
  <c r="T84" i="18"/>
  <c r="M84" i="18"/>
  <c r="L84" i="18"/>
  <c r="K84" i="18"/>
  <c r="J84" i="18"/>
  <c r="BB84" i="18" s="1"/>
  <c r="I84" i="18"/>
  <c r="BA84" i="18" s="1"/>
  <c r="H84" i="18"/>
  <c r="AZ84" i="18" s="1"/>
  <c r="F84" i="18"/>
  <c r="AX84" i="18" s="1"/>
  <c r="AW83" i="18"/>
  <c r="AT83" i="18"/>
  <c r="AS83" i="18"/>
  <c r="AR83" i="18"/>
  <c r="AQ83" i="18"/>
  <c r="AP83" i="18"/>
  <c r="AO83" i="18"/>
  <c r="AN83" i="18"/>
  <c r="AM83" i="18"/>
  <c r="AL83" i="18"/>
  <c r="AJ83" i="18"/>
  <c r="AI83" i="18"/>
  <c r="AB83" i="18"/>
  <c r="AA83" i="18"/>
  <c r="Z83" i="18"/>
  <c r="Y83" i="18"/>
  <c r="X83" i="18"/>
  <c r="W83" i="18"/>
  <c r="V83" i="18"/>
  <c r="U83" i="18"/>
  <c r="T83" i="18"/>
  <c r="M83" i="18"/>
  <c r="L83" i="18"/>
  <c r="K83" i="18"/>
  <c r="J83" i="18"/>
  <c r="BB83" i="18" s="1"/>
  <c r="I83" i="18"/>
  <c r="BA83" i="18" s="1"/>
  <c r="H83" i="18"/>
  <c r="AZ83" i="18" s="1"/>
  <c r="F83" i="18"/>
  <c r="AX83" i="18" s="1"/>
  <c r="AW82" i="18"/>
  <c r="AT82" i="18"/>
  <c r="AS82" i="18"/>
  <c r="AR82" i="18"/>
  <c r="AQ82" i="18"/>
  <c r="AP82" i="18"/>
  <c r="AO82" i="18"/>
  <c r="AN82" i="18"/>
  <c r="AM82" i="18"/>
  <c r="AL82" i="18"/>
  <c r="AJ82" i="18"/>
  <c r="AI82" i="18"/>
  <c r="AB82" i="18"/>
  <c r="AA82" i="18"/>
  <c r="Z82" i="18"/>
  <c r="Y82" i="18"/>
  <c r="X82" i="18"/>
  <c r="W82" i="18"/>
  <c r="V82" i="18"/>
  <c r="U82" i="18"/>
  <c r="T82" i="18"/>
  <c r="M82" i="18"/>
  <c r="L82" i="18"/>
  <c r="K82" i="18"/>
  <c r="J82" i="18"/>
  <c r="BB82" i="18" s="1"/>
  <c r="I82" i="18"/>
  <c r="BA82" i="18" s="1"/>
  <c r="H82" i="18"/>
  <c r="AZ82" i="18" s="1"/>
  <c r="F82" i="18"/>
  <c r="AX82" i="18" s="1"/>
  <c r="AW81" i="18"/>
  <c r="AT81" i="18"/>
  <c r="AS81" i="18"/>
  <c r="AR81" i="18"/>
  <c r="AQ81" i="18"/>
  <c r="AP81" i="18"/>
  <c r="AO81" i="18"/>
  <c r="AN81" i="18"/>
  <c r="AM81" i="18"/>
  <c r="AL81" i="18"/>
  <c r="AJ81" i="18"/>
  <c r="AI81" i="18"/>
  <c r="AB81" i="18"/>
  <c r="AA81" i="18"/>
  <c r="Z81" i="18"/>
  <c r="Y81" i="18"/>
  <c r="X81" i="18"/>
  <c r="W81" i="18"/>
  <c r="V81" i="18"/>
  <c r="U81" i="18"/>
  <c r="T81" i="18"/>
  <c r="M81" i="18"/>
  <c r="L81" i="18"/>
  <c r="K81" i="18"/>
  <c r="J81" i="18"/>
  <c r="BB81" i="18" s="1"/>
  <c r="I81" i="18"/>
  <c r="BA81" i="18" s="1"/>
  <c r="H81" i="18"/>
  <c r="AZ81" i="18" s="1"/>
  <c r="F81" i="18"/>
  <c r="AX81" i="18" s="1"/>
  <c r="AW80" i="18"/>
  <c r="AT80" i="18"/>
  <c r="AS80" i="18"/>
  <c r="AR80" i="18"/>
  <c r="AQ80" i="18"/>
  <c r="AP80" i="18"/>
  <c r="AO80" i="18"/>
  <c r="AN80" i="18"/>
  <c r="AM80" i="18"/>
  <c r="AL80" i="18"/>
  <c r="AJ80" i="18"/>
  <c r="AI80" i="18"/>
  <c r="AB80" i="18"/>
  <c r="AA80" i="18"/>
  <c r="Z80" i="18"/>
  <c r="Y80" i="18"/>
  <c r="X80" i="18"/>
  <c r="W80" i="18"/>
  <c r="V80" i="18"/>
  <c r="U80" i="18"/>
  <c r="T80" i="18"/>
  <c r="M80" i="18"/>
  <c r="L80" i="18"/>
  <c r="K80" i="18"/>
  <c r="J80" i="18"/>
  <c r="BB80" i="18" s="1"/>
  <c r="I80" i="18"/>
  <c r="BA80" i="18" s="1"/>
  <c r="H80" i="18"/>
  <c r="AZ80" i="18" s="1"/>
  <c r="F80" i="18"/>
  <c r="AX80" i="18" s="1"/>
  <c r="AW79" i="18"/>
  <c r="AT79" i="18"/>
  <c r="AS79" i="18"/>
  <c r="AR79" i="18"/>
  <c r="AQ79" i="18"/>
  <c r="AP79" i="18"/>
  <c r="AO79" i="18"/>
  <c r="AN79" i="18"/>
  <c r="AM79" i="18"/>
  <c r="AL79" i="18"/>
  <c r="AJ79" i="18"/>
  <c r="AI79" i="18"/>
  <c r="AB79" i="18"/>
  <c r="AA79" i="18"/>
  <c r="Z79" i="18"/>
  <c r="Y79" i="18"/>
  <c r="X79" i="18"/>
  <c r="W79" i="18"/>
  <c r="V79" i="18"/>
  <c r="U79" i="18"/>
  <c r="T79" i="18"/>
  <c r="M79" i="18"/>
  <c r="L79" i="18"/>
  <c r="K79" i="18"/>
  <c r="J79" i="18"/>
  <c r="BB79" i="18" s="1"/>
  <c r="I79" i="18"/>
  <c r="BA79" i="18" s="1"/>
  <c r="H79" i="18"/>
  <c r="AZ79" i="18" s="1"/>
  <c r="F79" i="18"/>
  <c r="AX79" i="18" s="1"/>
  <c r="AW78" i="18"/>
  <c r="AT78" i="18"/>
  <c r="AS78" i="18"/>
  <c r="AR78" i="18"/>
  <c r="AQ78" i="18"/>
  <c r="AP78" i="18"/>
  <c r="AO78" i="18"/>
  <c r="AN78" i="18"/>
  <c r="AM78" i="18"/>
  <c r="AL78" i="18"/>
  <c r="AJ78" i="18"/>
  <c r="AI78" i="18"/>
  <c r="AB78" i="18"/>
  <c r="AA78" i="18"/>
  <c r="Z78" i="18"/>
  <c r="Y78" i="18"/>
  <c r="X78" i="18"/>
  <c r="W78" i="18"/>
  <c r="V78" i="18"/>
  <c r="U78" i="18"/>
  <c r="T78" i="18"/>
  <c r="M78" i="18"/>
  <c r="L78" i="18"/>
  <c r="K78" i="18"/>
  <c r="J78" i="18"/>
  <c r="BB78" i="18" s="1"/>
  <c r="I78" i="18"/>
  <c r="BA78" i="18" s="1"/>
  <c r="H78" i="18"/>
  <c r="AZ78" i="18" s="1"/>
  <c r="F78" i="18"/>
  <c r="AX78" i="18" s="1"/>
  <c r="AW77" i="18"/>
  <c r="AT77" i="18"/>
  <c r="AS77" i="18"/>
  <c r="AR77" i="18"/>
  <c r="AQ77" i="18"/>
  <c r="AP77" i="18"/>
  <c r="AO77" i="18"/>
  <c r="AN77" i="18"/>
  <c r="AM77" i="18"/>
  <c r="AL77" i="18"/>
  <c r="AJ77" i="18"/>
  <c r="AI77" i="18"/>
  <c r="AB77" i="18"/>
  <c r="AA77" i="18"/>
  <c r="Z77" i="18"/>
  <c r="Y77" i="18"/>
  <c r="X77" i="18"/>
  <c r="W77" i="18"/>
  <c r="V77" i="18"/>
  <c r="U77" i="18"/>
  <c r="T77" i="18"/>
  <c r="M77" i="18"/>
  <c r="L77" i="18"/>
  <c r="K77" i="18"/>
  <c r="J77" i="18"/>
  <c r="BB77" i="18" s="1"/>
  <c r="I77" i="18"/>
  <c r="BA77" i="18" s="1"/>
  <c r="H77" i="18"/>
  <c r="AZ77" i="18" s="1"/>
  <c r="F77" i="18"/>
  <c r="AX77" i="18" s="1"/>
  <c r="AW76" i="18"/>
  <c r="AT76" i="18"/>
  <c r="AS76" i="18"/>
  <c r="AR76" i="18"/>
  <c r="AQ76" i="18"/>
  <c r="AP76" i="18"/>
  <c r="AO76" i="18"/>
  <c r="AN76" i="18"/>
  <c r="AM76" i="18"/>
  <c r="AL76" i="18"/>
  <c r="AJ76" i="18"/>
  <c r="AI76" i="18"/>
  <c r="AB76" i="18"/>
  <c r="AA76" i="18"/>
  <c r="Z76" i="18"/>
  <c r="Y76" i="18"/>
  <c r="X76" i="18"/>
  <c r="W76" i="18"/>
  <c r="V76" i="18"/>
  <c r="U76" i="18"/>
  <c r="T76" i="18"/>
  <c r="M76" i="18"/>
  <c r="L76" i="18"/>
  <c r="K76" i="18"/>
  <c r="J76" i="18"/>
  <c r="BB76" i="18" s="1"/>
  <c r="I76" i="18"/>
  <c r="BA76" i="18" s="1"/>
  <c r="H76" i="18"/>
  <c r="AZ76" i="18" s="1"/>
  <c r="F76" i="18"/>
  <c r="AX76" i="18" s="1"/>
  <c r="AW75" i="18"/>
  <c r="AT75" i="18"/>
  <c r="AS75" i="18"/>
  <c r="AR75" i="18"/>
  <c r="AQ75" i="18"/>
  <c r="AP75" i="18"/>
  <c r="AO75" i="18"/>
  <c r="AN75" i="18"/>
  <c r="AM75" i="18"/>
  <c r="AL75" i="18"/>
  <c r="AJ75" i="18"/>
  <c r="AI75" i="18"/>
  <c r="AB75" i="18"/>
  <c r="AA75" i="18"/>
  <c r="Z75" i="18"/>
  <c r="Y75" i="18"/>
  <c r="X75" i="18"/>
  <c r="W75" i="18"/>
  <c r="V75" i="18"/>
  <c r="U75" i="18"/>
  <c r="T75" i="18"/>
  <c r="M75" i="18"/>
  <c r="L75" i="18"/>
  <c r="K75" i="18"/>
  <c r="J75" i="18"/>
  <c r="BB75" i="18" s="1"/>
  <c r="I75" i="18"/>
  <c r="BA75" i="18" s="1"/>
  <c r="H75" i="18"/>
  <c r="AZ75" i="18" s="1"/>
  <c r="F75" i="18"/>
  <c r="AX75" i="18" s="1"/>
  <c r="AW74" i="18"/>
  <c r="AT74" i="18"/>
  <c r="AS74" i="18"/>
  <c r="AR74" i="18"/>
  <c r="AQ74" i="18"/>
  <c r="AP74" i="18"/>
  <c r="AO74" i="18"/>
  <c r="AN74" i="18"/>
  <c r="AM74" i="18"/>
  <c r="AL74" i="18"/>
  <c r="AJ74" i="18"/>
  <c r="AI74" i="18"/>
  <c r="AB74" i="18"/>
  <c r="AA74" i="18"/>
  <c r="Z74" i="18"/>
  <c r="Y74" i="18"/>
  <c r="X74" i="18"/>
  <c r="W74" i="18"/>
  <c r="V74" i="18"/>
  <c r="U74" i="18"/>
  <c r="T74" i="18"/>
  <c r="M74" i="18"/>
  <c r="L74" i="18"/>
  <c r="K74" i="18"/>
  <c r="J74" i="18"/>
  <c r="BB74" i="18" s="1"/>
  <c r="I74" i="18"/>
  <c r="BA74" i="18" s="1"/>
  <c r="H74" i="18"/>
  <c r="AZ74" i="18" s="1"/>
  <c r="F74" i="18"/>
  <c r="AX74" i="18" s="1"/>
  <c r="AW73" i="18"/>
  <c r="AT73" i="18"/>
  <c r="AS73" i="18"/>
  <c r="AR73" i="18"/>
  <c r="AQ73" i="18"/>
  <c r="AP73" i="18"/>
  <c r="AO73" i="18"/>
  <c r="AN73" i="18"/>
  <c r="AM73" i="18"/>
  <c r="AL73" i="18"/>
  <c r="AJ73" i="18"/>
  <c r="AI73" i="18"/>
  <c r="AB73" i="18"/>
  <c r="AA73" i="18"/>
  <c r="Z73" i="18"/>
  <c r="Y73" i="18"/>
  <c r="X73" i="18"/>
  <c r="W73" i="18"/>
  <c r="V73" i="18"/>
  <c r="U73" i="18"/>
  <c r="T73" i="18"/>
  <c r="M73" i="18"/>
  <c r="L73" i="18"/>
  <c r="K73" i="18"/>
  <c r="J73" i="18"/>
  <c r="BB73" i="18" s="1"/>
  <c r="I73" i="18"/>
  <c r="BA73" i="18" s="1"/>
  <c r="H73" i="18"/>
  <c r="AZ73" i="18" s="1"/>
  <c r="F73" i="18"/>
  <c r="AX73" i="18" s="1"/>
  <c r="AW72" i="18"/>
  <c r="AT72" i="18"/>
  <c r="AS72" i="18"/>
  <c r="AR72" i="18"/>
  <c r="AQ72" i="18"/>
  <c r="AP72" i="18"/>
  <c r="AO72" i="18"/>
  <c r="AN72" i="18"/>
  <c r="AM72" i="18"/>
  <c r="AL72" i="18"/>
  <c r="AJ72" i="18"/>
  <c r="AI72" i="18"/>
  <c r="AB72" i="18"/>
  <c r="AA72" i="18"/>
  <c r="Z72" i="18"/>
  <c r="Y72" i="18"/>
  <c r="X72" i="18"/>
  <c r="W72" i="18"/>
  <c r="V72" i="18"/>
  <c r="U72" i="18"/>
  <c r="T72" i="18"/>
  <c r="M72" i="18"/>
  <c r="L72" i="18"/>
  <c r="K72" i="18"/>
  <c r="J72" i="18"/>
  <c r="BB72" i="18" s="1"/>
  <c r="I72" i="18"/>
  <c r="BA72" i="18" s="1"/>
  <c r="H72" i="18"/>
  <c r="AZ72" i="18" s="1"/>
  <c r="F72" i="18"/>
  <c r="AX72" i="18" s="1"/>
  <c r="AW71" i="18"/>
  <c r="AT71" i="18"/>
  <c r="AS71" i="18"/>
  <c r="AR71" i="18"/>
  <c r="AQ71" i="18"/>
  <c r="AP71" i="18"/>
  <c r="AO71" i="18"/>
  <c r="AN71" i="18"/>
  <c r="AM71" i="18"/>
  <c r="AL71" i="18"/>
  <c r="AJ71" i="18"/>
  <c r="AI71" i="18"/>
  <c r="AB71" i="18"/>
  <c r="AA71" i="18"/>
  <c r="Z71" i="18"/>
  <c r="Y71" i="18"/>
  <c r="X71" i="18"/>
  <c r="W71" i="18"/>
  <c r="V71" i="18"/>
  <c r="U71" i="18"/>
  <c r="T71" i="18"/>
  <c r="M71" i="18"/>
  <c r="L71" i="18"/>
  <c r="K71" i="18"/>
  <c r="J71" i="18"/>
  <c r="BB71" i="18" s="1"/>
  <c r="I71" i="18"/>
  <c r="BA71" i="18" s="1"/>
  <c r="H71" i="18"/>
  <c r="AZ71" i="18" s="1"/>
  <c r="F71" i="18"/>
  <c r="AX71" i="18" s="1"/>
  <c r="AW70" i="18"/>
  <c r="AT70" i="18"/>
  <c r="AS70" i="18"/>
  <c r="AR70" i="18"/>
  <c r="AQ70" i="18"/>
  <c r="AP70" i="18"/>
  <c r="AO70" i="18"/>
  <c r="AN70" i="18"/>
  <c r="AM70" i="18"/>
  <c r="AL70" i="18"/>
  <c r="AJ70" i="18"/>
  <c r="AI70" i="18"/>
  <c r="AB70" i="18"/>
  <c r="AA70" i="18"/>
  <c r="Z70" i="18"/>
  <c r="Y70" i="18"/>
  <c r="X70" i="18"/>
  <c r="W70" i="18"/>
  <c r="V70" i="18"/>
  <c r="U70" i="18"/>
  <c r="T70" i="18"/>
  <c r="M70" i="18"/>
  <c r="L70" i="18"/>
  <c r="K70" i="18"/>
  <c r="J70" i="18"/>
  <c r="BB70" i="18" s="1"/>
  <c r="I70" i="18"/>
  <c r="BA70" i="18" s="1"/>
  <c r="H70" i="18"/>
  <c r="AZ70" i="18" s="1"/>
  <c r="F70" i="18"/>
  <c r="AX70" i="18" s="1"/>
  <c r="AW69" i="18"/>
  <c r="AT69" i="18"/>
  <c r="AS69" i="18"/>
  <c r="AR69" i="18"/>
  <c r="AQ69" i="18"/>
  <c r="AP69" i="18"/>
  <c r="AO69" i="18"/>
  <c r="AN69" i="18"/>
  <c r="AM69" i="18"/>
  <c r="AL69" i="18"/>
  <c r="AJ69" i="18"/>
  <c r="AI69" i="18"/>
  <c r="AB69" i="18"/>
  <c r="AA69" i="18"/>
  <c r="Z69" i="18"/>
  <c r="Y69" i="18"/>
  <c r="X69" i="18"/>
  <c r="W69" i="18"/>
  <c r="V69" i="18"/>
  <c r="U69" i="18"/>
  <c r="T69" i="18"/>
  <c r="M69" i="18"/>
  <c r="L69" i="18"/>
  <c r="K69" i="18"/>
  <c r="J69" i="18"/>
  <c r="BB69" i="18" s="1"/>
  <c r="I69" i="18"/>
  <c r="BA69" i="18" s="1"/>
  <c r="H69" i="18"/>
  <c r="AZ69" i="18" s="1"/>
  <c r="F69" i="18"/>
  <c r="AX69" i="18" s="1"/>
  <c r="AW68" i="18"/>
  <c r="AT68" i="18"/>
  <c r="AS68" i="18"/>
  <c r="AR68" i="18"/>
  <c r="AQ68" i="18"/>
  <c r="AP68" i="18"/>
  <c r="AO68" i="18"/>
  <c r="AN68" i="18"/>
  <c r="AM68" i="18"/>
  <c r="AL68" i="18"/>
  <c r="AJ68" i="18"/>
  <c r="AI68" i="18"/>
  <c r="AB68" i="18"/>
  <c r="AA68" i="18"/>
  <c r="Z68" i="18"/>
  <c r="Y68" i="18"/>
  <c r="X68" i="18"/>
  <c r="W68" i="18"/>
  <c r="V68" i="18"/>
  <c r="U68" i="18"/>
  <c r="T68" i="18"/>
  <c r="M68" i="18"/>
  <c r="L68" i="18"/>
  <c r="K68" i="18"/>
  <c r="J68" i="18"/>
  <c r="BB68" i="18" s="1"/>
  <c r="I68" i="18"/>
  <c r="BA68" i="18" s="1"/>
  <c r="H68" i="18"/>
  <c r="AZ68" i="18" s="1"/>
  <c r="F68" i="18"/>
  <c r="AX68" i="18" s="1"/>
  <c r="AW67" i="18"/>
  <c r="AT67" i="18"/>
  <c r="AS67" i="18"/>
  <c r="AR67" i="18"/>
  <c r="AQ67" i="18"/>
  <c r="AP67" i="18"/>
  <c r="AO67" i="18"/>
  <c r="AN67" i="18"/>
  <c r="AM67" i="18"/>
  <c r="AL67" i="18"/>
  <c r="AJ67" i="18"/>
  <c r="AI67" i="18"/>
  <c r="AB67" i="18"/>
  <c r="AA67" i="18"/>
  <c r="Z67" i="18"/>
  <c r="Y67" i="18"/>
  <c r="X67" i="18"/>
  <c r="W67" i="18"/>
  <c r="V67" i="18"/>
  <c r="U67" i="18"/>
  <c r="T67" i="18"/>
  <c r="M67" i="18"/>
  <c r="L67" i="18"/>
  <c r="K67" i="18"/>
  <c r="J67" i="18"/>
  <c r="BB67" i="18" s="1"/>
  <c r="I67" i="18"/>
  <c r="BA67" i="18" s="1"/>
  <c r="H67" i="18"/>
  <c r="AZ67" i="18" s="1"/>
  <c r="F67" i="18"/>
  <c r="AX67" i="18" s="1"/>
  <c r="AW66" i="18"/>
  <c r="AT66" i="18"/>
  <c r="AS66" i="18"/>
  <c r="AR66" i="18"/>
  <c r="AQ66" i="18"/>
  <c r="AP66" i="18"/>
  <c r="AO66" i="18"/>
  <c r="AN66" i="18"/>
  <c r="AM66" i="18"/>
  <c r="AL66" i="18"/>
  <c r="AJ66" i="18"/>
  <c r="AI66" i="18"/>
  <c r="AB66" i="18"/>
  <c r="AA66" i="18"/>
  <c r="Z66" i="18"/>
  <c r="Y66" i="18"/>
  <c r="X66" i="18"/>
  <c r="W66" i="18"/>
  <c r="V66" i="18"/>
  <c r="U66" i="18"/>
  <c r="T66" i="18"/>
  <c r="M66" i="18"/>
  <c r="L66" i="18"/>
  <c r="K66" i="18"/>
  <c r="J66" i="18"/>
  <c r="BB66" i="18" s="1"/>
  <c r="I66" i="18"/>
  <c r="BA66" i="18" s="1"/>
  <c r="H66" i="18"/>
  <c r="AZ66" i="18" s="1"/>
  <c r="F66" i="18"/>
  <c r="AX66" i="18" s="1"/>
  <c r="AW65" i="18"/>
  <c r="AT65" i="18"/>
  <c r="AS65" i="18"/>
  <c r="AR65" i="18"/>
  <c r="AQ65" i="18"/>
  <c r="AP65" i="18"/>
  <c r="AO65" i="18"/>
  <c r="AN65" i="18"/>
  <c r="AM65" i="18"/>
  <c r="AL65" i="18"/>
  <c r="AJ65" i="18"/>
  <c r="AI65" i="18"/>
  <c r="AB65" i="18"/>
  <c r="AA65" i="18"/>
  <c r="Z65" i="18"/>
  <c r="Y65" i="18"/>
  <c r="X65" i="18"/>
  <c r="W65" i="18"/>
  <c r="V65" i="18"/>
  <c r="U65" i="18"/>
  <c r="T65" i="18"/>
  <c r="M65" i="18"/>
  <c r="L65" i="18"/>
  <c r="K65" i="18"/>
  <c r="J65" i="18"/>
  <c r="BB65" i="18" s="1"/>
  <c r="I65" i="18"/>
  <c r="BA65" i="18" s="1"/>
  <c r="H65" i="18"/>
  <c r="AZ65" i="18" s="1"/>
  <c r="F65" i="18"/>
  <c r="AX65" i="18" s="1"/>
  <c r="AW64" i="18"/>
  <c r="AT64" i="18"/>
  <c r="AS64" i="18"/>
  <c r="AR64" i="18"/>
  <c r="AQ64" i="18"/>
  <c r="AP64" i="18"/>
  <c r="AO64" i="18"/>
  <c r="AN64" i="18"/>
  <c r="AM64" i="18"/>
  <c r="AL64" i="18"/>
  <c r="AJ64" i="18"/>
  <c r="AI64" i="18"/>
  <c r="AB64" i="18"/>
  <c r="AA64" i="18"/>
  <c r="Z64" i="18"/>
  <c r="Y64" i="18"/>
  <c r="X64" i="18"/>
  <c r="W64" i="18"/>
  <c r="V64" i="18"/>
  <c r="U64" i="18"/>
  <c r="T64" i="18"/>
  <c r="M64" i="18"/>
  <c r="L64" i="18"/>
  <c r="K64" i="18"/>
  <c r="J64" i="18"/>
  <c r="BB64" i="18" s="1"/>
  <c r="I64" i="18"/>
  <c r="BA64" i="18" s="1"/>
  <c r="H64" i="18"/>
  <c r="AZ64" i="18" s="1"/>
  <c r="F64" i="18"/>
  <c r="AX64" i="18" s="1"/>
  <c r="AW63" i="18"/>
  <c r="AT63" i="18"/>
  <c r="AS63" i="18"/>
  <c r="AR63" i="18"/>
  <c r="AQ63" i="18"/>
  <c r="AP63" i="18"/>
  <c r="AO63" i="18"/>
  <c r="AN63" i="18"/>
  <c r="AM63" i="18"/>
  <c r="AL63" i="18"/>
  <c r="AJ63" i="18"/>
  <c r="AI63" i="18"/>
  <c r="AB63" i="18"/>
  <c r="AA63" i="18"/>
  <c r="Z63" i="18"/>
  <c r="Y63" i="18"/>
  <c r="X63" i="18"/>
  <c r="W63" i="18"/>
  <c r="V63" i="18"/>
  <c r="U63" i="18"/>
  <c r="T63" i="18"/>
  <c r="M63" i="18"/>
  <c r="L63" i="18"/>
  <c r="K63" i="18"/>
  <c r="J63" i="18"/>
  <c r="BB63" i="18" s="1"/>
  <c r="I63" i="18"/>
  <c r="BA63" i="18" s="1"/>
  <c r="H63" i="18"/>
  <c r="AZ63" i="18" s="1"/>
  <c r="F63" i="18"/>
  <c r="AX63" i="18" s="1"/>
  <c r="AW62" i="18"/>
  <c r="AT62" i="18"/>
  <c r="AS62" i="18"/>
  <c r="AR62" i="18"/>
  <c r="AQ62" i="18"/>
  <c r="AP62" i="18"/>
  <c r="AO62" i="18"/>
  <c r="AN62" i="18"/>
  <c r="AM62" i="18"/>
  <c r="AL62" i="18"/>
  <c r="AJ62" i="18"/>
  <c r="AI62" i="18"/>
  <c r="AB62" i="18"/>
  <c r="AA62" i="18"/>
  <c r="Z62" i="18"/>
  <c r="Y62" i="18"/>
  <c r="X62" i="18"/>
  <c r="W62" i="18"/>
  <c r="V62" i="18"/>
  <c r="U62" i="18"/>
  <c r="T62" i="18"/>
  <c r="M62" i="18"/>
  <c r="L62" i="18"/>
  <c r="K62" i="18"/>
  <c r="J62" i="18"/>
  <c r="BB62" i="18" s="1"/>
  <c r="I62" i="18"/>
  <c r="BA62" i="18" s="1"/>
  <c r="H62" i="18"/>
  <c r="AZ62" i="18" s="1"/>
  <c r="F62" i="18"/>
  <c r="AX62" i="18" s="1"/>
  <c r="AW61" i="18"/>
  <c r="AT61" i="18"/>
  <c r="AS61" i="18"/>
  <c r="AR61" i="18"/>
  <c r="AQ61" i="18"/>
  <c r="AP61" i="18"/>
  <c r="AO61" i="18"/>
  <c r="AN61" i="18"/>
  <c r="AM61" i="18"/>
  <c r="AL61" i="18"/>
  <c r="AJ61" i="18"/>
  <c r="AI61" i="18"/>
  <c r="AB61" i="18"/>
  <c r="AA61" i="18"/>
  <c r="Z61" i="18"/>
  <c r="Y61" i="18"/>
  <c r="X61" i="18"/>
  <c r="W61" i="18"/>
  <c r="V61" i="18"/>
  <c r="U61" i="18"/>
  <c r="T61" i="18"/>
  <c r="M61" i="18"/>
  <c r="L61" i="18"/>
  <c r="K61" i="18"/>
  <c r="J61" i="18"/>
  <c r="BB61" i="18" s="1"/>
  <c r="I61" i="18"/>
  <c r="BA61" i="18" s="1"/>
  <c r="H61" i="18"/>
  <c r="AZ61" i="18" s="1"/>
  <c r="F61" i="18"/>
  <c r="AX61" i="18" s="1"/>
  <c r="AW60" i="18"/>
  <c r="AT60" i="18"/>
  <c r="AS60" i="18"/>
  <c r="AR60" i="18"/>
  <c r="AQ60" i="18"/>
  <c r="AP60" i="18"/>
  <c r="AO60" i="18"/>
  <c r="AN60" i="18"/>
  <c r="AM60" i="18"/>
  <c r="AL60" i="18"/>
  <c r="AJ60" i="18"/>
  <c r="AI60" i="18"/>
  <c r="AB60" i="18"/>
  <c r="AA60" i="18"/>
  <c r="Z60" i="18"/>
  <c r="Y60" i="18"/>
  <c r="X60" i="18"/>
  <c r="W60" i="18"/>
  <c r="V60" i="18"/>
  <c r="U60" i="18"/>
  <c r="T60" i="18"/>
  <c r="M60" i="18"/>
  <c r="L60" i="18"/>
  <c r="K60" i="18"/>
  <c r="J60" i="18"/>
  <c r="BB60" i="18" s="1"/>
  <c r="I60" i="18"/>
  <c r="BA60" i="18" s="1"/>
  <c r="H60" i="18"/>
  <c r="AZ60" i="18" s="1"/>
  <c r="F60" i="18"/>
  <c r="AX60" i="18" s="1"/>
  <c r="AW59" i="18"/>
  <c r="AT59" i="18"/>
  <c r="AS59" i="18"/>
  <c r="AR59" i="18"/>
  <c r="AQ59" i="18"/>
  <c r="AP59" i="18"/>
  <c r="AO59" i="18"/>
  <c r="AN59" i="18"/>
  <c r="AM59" i="18"/>
  <c r="AL59" i="18"/>
  <c r="AJ59" i="18"/>
  <c r="AI59" i="18"/>
  <c r="AB59" i="18"/>
  <c r="AA59" i="18"/>
  <c r="Z59" i="18"/>
  <c r="Y59" i="18"/>
  <c r="X59" i="18"/>
  <c r="W59" i="18"/>
  <c r="V59" i="18"/>
  <c r="U59" i="18"/>
  <c r="T59" i="18"/>
  <c r="M59" i="18"/>
  <c r="L59" i="18"/>
  <c r="K59" i="18"/>
  <c r="J59" i="18"/>
  <c r="BB59" i="18" s="1"/>
  <c r="I59" i="18"/>
  <c r="BA59" i="18" s="1"/>
  <c r="H59" i="18"/>
  <c r="AZ59" i="18" s="1"/>
  <c r="F59" i="18"/>
  <c r="AX59" i="18" s="1"/>
  <c r="AW58" i="18"/>
  <c r="AT58" i="18"/>
  <c r="AS58" i="18"/>
  <c r="AR58" i="18"/>
  <c r="AQ58" i="18"/>
  <c r="AP58" i="18"/>
  <c r="AO58" i="18"/>
  <c r="AN58" i="18"/>
  <c r="AM58" i="18"/>
  <c r="AL58" i="18"/>
  <c r="AJ58" i="18"/>
  <c r="AI58" i="18"/>
  <c r="AB58" i="18"/>
  <c r="AA58" i="18"/>
  <c r="Z58" i="18"/>
  <c r="Y58" i="18"/>
  <c r="X58" i="18"/>
  <c r="W58" i="18"/>
  <c r="V58" i="18"/>
  <c r="U58" i="18"/>
  <c r="T58" i="18"/>
  <c r="M58" i="18"/>
  <c r="L58" i="18"/>
  <c r="K58" i="18"/>
  <c r="J58" i="18"/>
  <c r="BB58" i="18" s="1"/>
  <c r="I58" i="18"/>
  <c r="BA58" i="18" s="1"/>
  <c r="H58" i="18"/>
  <c r="AZ58" i="18" s="1"/>
  <c r="F58" i="18"/>
  <c r="AX58" i="18" s="1"/>
  <c r="AW57" i="18"/>
  <c r="AT57" i="18"/>
  <c r="AS57" i="18"/>
  <c r="AR57" i="18"/>
  <c r="AQ57" i="18"/>
  <c r="AP57" i="18"/>
  <c r="AO57" i="18"/>
  <c r="AN57" i="18"/>
  <c r="AM57" i="18"/>
  <c r="AL57" i="18"/>
  <c r="AJ57" i="18"/>
  <c r="AI57" i="18"/>
  <c r="AB57" i="18"/>
  <c r="AA57" i="18"/>
  <c r="Z57" i="18"/>
  <c r="Y57" i="18"/>
  <c r="X57" i="18"/>
  <c r="W57" i="18"/>
  <c r="V57" i="18"/>
  <c r="U57" i="18"/>
  <c r="T57" i="18"/>
  <c r="M57" i="18"/>
  <c r="L57" i="18"/>
  <c r="K57" i="18"/>
  <c r="J57" i="18"/>
  <c r="BB57" i="18" s="1"/>
  <c r="I57" i="18"/>
  <c r="BA57" i="18" s="1"/>
  <c r="H57" i="18"/>
  <c r="AZ57" i="18" s="1"/>
  <c r="F57" i="18"/>
  <c r="AX57" i="18" s="1"/>
  <c r="AW56" i="18"/>
  <c r="AT56" i="18"/>
  <c r="AS56" i="18"/>
  <c r="AR56" i="18"/>
  <c r="AQ56" i="18"/>
  <c r="AP56" i="18"/>
  <c r="AO56" i="18"/>
  <c r="AN56" i="18"/>
  <c r="AM56" i="18"/>
  <c r="AL56" i="18"/>
  <c r="AJ56" i="18"/>
  <c r="AI56" i="18"/>
  <c r="AB56" i="18"/>
  <c r="AA56" i="18"/>
  <c r="Z56" i="18"/>
  <c r="Y56" i="18"/>
  <c r="X56" i="18"/>
  <c r="W56" i="18"/>
  <c r="V56" i="18"/>
  <c r="U56" i="18"/>
  <c r="T56" i="18"/>
  <c r="M56" i="18"/>
  <c r="L56" i="18"/>
  <c r="K56" i="18"/>
  <c r="J56" i="18"/>
  <c r="BB56" i="18" s="1"/>
  <c r="I56" i="18"/>
  <c r="BA56" i="18" s="1"/>
  <c r="H56" i="18"/>
  <c r="AZ56" i="18" s="1"/>
  <c r="F56" i="18"/>
  <c r="AX56" i="18" s="1"/>
  <c r="AW55" i="18"/>
  <c r="AT55" i="18"/>
  <c r="AS55" i="18"/>
  <c r="AR55" i="18"/>
  <c r="AQ55" i="18"/>
  <c r="AP55" i="18"/>
  <c r="AO55" i="18"/>
  <c r="AN55" i="18"/>
  <c r="AM55" i="18"/>
  <c r="AL55" i="18"/>
  <c r="AJ55" i="18"/>
  <c r="AI55" i="18"/>
  <c r="AB55" i="18"/>
  <c r="AA55" i="18"/>
  <c r="Z55" i="18"/>
  <c r="Y55" i="18"/>
  <c r="X55" i="18"/>
  <c r="W55" i="18"/>
  <c r="V55" i="18"/>
  <c r="U55" i="18"/>
  <c r="T55" i="18"/>
  <c r="M55" i="18"/>
  <c r="L55" i="18"/>
  <c r="K55" i="18"/>
  <c r="J55" i="18"/>
  <c r="BB55" i="18" s="1"/>
  <c r="I55" i="18"/>
  <c r="BA55" i="18" s="1"/>
  <c r="H55" i="18"/>
  <c r="AZ55" i="18" s="1"/>
  <c r="F55" i="18"/>
  <c r="AX55" i="18" s="1"/>
  <c r="AW54" i="18"/>
  <c r="AT54" i="18"/>
  <c r="AS54" i="18"/>
  <c r="AR54" i="18"/>
  <c r="AQ54" i="18"/>
  <c r="AP54" i="18"/>
  <c r="AO54" i="18"/>
  <c r="AN54" i="18"/>
  <c r="AM54" i="18"/>
  <c r="AL54" i="18"/>
  <c r="AJ54" i="18"/>
  <c r="AI54" i="18"/>
  <c r="AB54" i="18"/>
  <c r="AA54" i="18"/>
  <c r="Z54" i="18"/>
  <c r="Y54" i="18"/>
  <c r="X54" i="18"/>
  <c r="W54" i="18"/>
  <c r="V54" i="18"/>
  <c r="U54" i="18"/>
  <c r="T54" i="18"/>
  <c r="M54" i="18"/>
  <c r="L54" i="18"/>
  <c r="K54" i="18"/>
  <c r="J54" i="18"/>
  <c r="BB54" i="18" s="1"/>
  <c r="I54" i="18"/>
  <c r="BA54" i="18" s="1"/>
  <c r="H54" i="18"/>
  <c r="AZ54" i="18" s="1"/>
  <c r="F54" i="18"/>
  <c r="AX54" i="18" s="1"/>
  <c r="AW53" i="18"/>
  <c r="AT53" i="18"/>
  <c r="AS53" i="18"/>
  <c r="AR53" i="18"/>
  <c r="AQ53" i="18"/>
  <c r="AP53" i="18"/>
  <c r="AO53" i="18"/>
  <c r="AN53" i="18"/>
  <c r="AM53" i="18"/>
  <c r="AL53" i="18"/>
  <c r="AJ53" i="18"/>
  <c r="AI53" i="18"/>
  <c r="AB53" i="18"/>
  <c r="AA53" i="18"/>
  <c r="Z53" i="18"/>
  <c r="Y53" i="18"/>
  <c r="X53" i="18"/>
  <c r="W53" i="18"/>
  <c r="V53" i="18"/>
  <c r="U53" i="18"/>
  <c r="T53" i="18"/>
  <c r="M53" i="18"/>
  <c r="L53" i="18"/>
  <c r="K53" i="18"/>
  <c r="J53" i="18"/>
  <c r="BB53" i="18" s="1"/>
  <c r="I53" i="18"/>
  <c r="BA53" i="18" s="1"/>
  <c r="H53" i="18"/>
  <c r="AZ53" i="18" s="1"/>
  <c r="F53" i="18"/>
  <c r="AX53" i="18" s="1"/>
  <c r="AW52" i="18"/>
  <c r="AT52" i="18"/>
  <c r="AS52" i="18"/>
  <c r="AR52" i="18"/>
  <c r="AQ52" i="18"/>
  <c r="AP52" i="18"/>
  <c r="AO52" i="18"/>
  <c r="AN52" i="18"/>
  <c r="AM52" i="18"/>
  <c r="AL52" i="18"/>
  <c r="AJ52" i="18"/>
  <c r="AI52" i="18"/>
  <c r="AB52" i="18"/>
  <c r="AA52" i="18"/>
  <c r="Z52" i="18"/>
  <c r="Y52" i="18"/>
  <c r="X52" i="18"/>
  <c r="W52" i="18"/>
  <c r="V52" i="18"/>
  <c r="U52" i="18"/>
  <c r="T52" i="18"/>
  <c r="M52" i="18"/>
  <c r="L52" i="18"/>
  <c r="K52" i="18"/>
  <c r="J52" i="18"/>
  <c r="BB52" i="18" s="1"/>
  <c r="I52" i="18"/>
  <c r="BA52" i="18" s="1"/>
  <c r="H52" i="18"/>
  <c r="AZ52" i="18" s="1"/>
  <c r="F52" i="18"/>
  <c r="AX52" i="18" s="1"/>
  <c r="AW51" i="18"/>
  <c r="AT51" i="18"/>
  <c r="AS51" i="18"/>
  <c r="AR51" i="18"/>
  <c r="AQ51" i="18"/>
  <c r="AP51" i="18"/>
  <c r="AO51" i="18"/>
  <c r="AN51" i="18"/>
  <c r="AM51" i="18"/>
  <c r="AL51" i="18"/>
  <c r="AJ51" i="18"/>
  <c r="AI51" i="18"/>
  <c r="AB51" i="18"/>
  <c r="AA51" i="18"/>
  <c r="Z51" i="18"/>
  <c r="Y51" i="18"/>
  <c r="X51" i="18"/>
  <c r="W51" i="18"/>
  <c r="V51" i="18"/>
  <c r="U51" i="18"/>
  <c r="T51" i="18"/>
  <c r="M51" i="18"/>
  <c r="L51" i="18"/>
  <c r="K51" i="18"/>
  <c r="J51" i="18"/>
  <c r="BB51" i="18" s="1"/>
  <c r="I51" i="18"/>
  <c r="BA51" i="18" s="1"/>
  <c r="H51" i="18"/>
  <c r="AZ51" i="18" s="1"/>
  <c r="F51" i="18"/>
  <c r="AX51" i="18" s="1"/>
  <c r="AW50" i="18"/>
  <c r="AT50" i="18"/>
  <c r="AS50" i="18"/>
  <c r="AR50" i="18"/>
  <c r="AQ50" i="18"/>
  <c r="AP50" i="18"/>
  <c r="AO50" i="18"/>
  <c r="AN50" i="18"/>
  <c r="AM50" i="18"/>
  <c r="AL50" i="18"/>
  <c r="AJ50" i="18"/>
  <c r="AI50" i="18"/>
  <c r="AB50" i="18"/>
  <c r="AA50" i="18"/>
  <c r="Z50" i="18"/>
  <c r="Y50" i="18"/>
  <c r="X50" i="18"/>
  <c r="W50" i="18"/>
  <c r="V50" i="18"/>
  <c r="U50" i="18"/>
  <c r="T50" i="18"/>
  <c r="M50" i="18"/>
  <c r="L50" i="18"/>
  <c r="K50" i="18"/>
  <c r="J50" i="18"/>
  <c r="BB50" i="18" s="1"/>
  <c r="I50" i="18"/>
  <c r="BA50" i="18" s="1"/>
  <c r="H50" i="18"/>
  <c r="AZ50" i="18" s="1"/>
  <c r="F50" i="18"/>
  <c r="AX50" i="18" s="1"/>
  <c r="AW49" i="18"/>
  <c r="AT49" i="18"/>
  <c r="AS49" i="18"/>
  <c r="AR49" i="18"/>
  <c r="AQ49" i="18"/>
  <c r="AP49" i="18"/>
  <c r="AO49" i="18"/>
  <c r="AN49" i="18"/>
  <c r="AM49" i="18"/>
  <c r="AL49" i="18"/>
  <c r="AJ49" i="18"/>
  <c r="AI49" i="18"/>
  <c r="AB49" i="18"/>
  <c r="AA49" i="18"/>
  <c r="Z49" i="18"/>
  <c r="Y49" i="18"/>
  <c r="X49" i="18"/>
  <c r="W49" i="18"/>
  <c r="V49" i="18"/>
  <c r="U49" i="18"/>
  <c r="T49" i="18"/>
  <c r="M49" i="18"/>
  <c r="L49" i="18"/>
  <c r="K49" i="18"/>
  <c r="J49" i="18"/>
  <c r="BB49" i="18" s="1"/>
  <c r="I49" i="18"/>
  <c r="BA49" i="18" s="1"/>
  <c r="H49" i="18"/>
  <c r="AZ49" i="18" s="1"/>
  <c r="F49" i="18"/>
  <c r="AX49" i="18" s="1"/>
  <c r="AW48" i="18"/>
  <c r="AT48" i="18"/>
  <c r="AS48" i="18"/>
  <c r="AR48" i="18"/>
  <c r="AQ48" i="18"/>
  <c r="AP48" i="18"/>
  <c r="AO48" i="18"/>
  <c r="AN48" i="18"/>
  <c r="AM48" i="18"/>
  <c r="AL48" i="18"/>
  <c r="AJ48" i="18"/>
  <c r="AI48" i="18"/>
  <c r="AB48" i="18"/>
  <c r="AA48" i="18"/>
  <c r="Z48" i="18"/>
  <c r="Y48" i="18"/>
  <c r="X48" i="18"/>
  <c r="W48" i="18"/>
  <c r="V48" i="18"/>
  <c r="U48" i="18"/>
  <c r="T48" i="18"/>
  <c r="M48" i="18"/>
  <c r="L48" i="18"/>
  <c r="K48" i="18"/>
  <c r="J48" i="18"/>
  <c r="BB48" i="18" s="1"/>
  <c r="I48" i="18"/>
  <c r="BA48" i="18" s="1"/>
  <c r="H48" i="18"/>
  <c r="AZ48" i="18" s="1"/>
  <c r="F48" i="18"/>
  <c r="AX48" i="18" s="1"/>
  <c r="AW47" i="18"/>
  <c r="AT47" i="18"/>
  <c r="AS47" i="18"/>
  <c r="AR47" i="18"/>
  <c r="AQ47" i="18"/>
  <c r="AP47" i="18"/>
  <c r="AO47" i="18"/>
  <c r="AN47" i="18"/>
  <c r="AM47" i="18"/>
  <c r="AL47" i="18"/>
  <c r="AJ47" i="18"/>
  <c r="AI47" i="18"/>
  <c r="AB47" i="18"/>
  <c r="AA47" i="18"/>
  <c r="Z47" i="18"/>
  <c r="Y47" i="18"/>
  <c r="X47" i="18"/>
  <c r="W47" i="18"/>
  <c r="V47" i="18"/>
  <c r="U47" i="18"/>
  <c r="T47" i="18"/>
  <c r="M47" i="18"/>
  <c r="L47" i="18"/>
  <c r="K47" i="18"/>
  <c r="J47" i="18"/>
  <c r="BB47" i="18" s="1"/>
  <c r="I47" i="18"/>
  <c r="BA47" i="18" s="1"/>
  <c r="H47" i="18"/>
  <c r="AZ47" i="18" s="1"/>
  <c r="F47" i="18"/>
  <c r="AX47" i="18" s="1"/>
  <c r="AW46" i="18"/>
  <c r="AT46" i="18"/>
  <c r="AS46" i="18"/>
  <c r="AR46" i="18"/>
  <c r="AQ46" i="18"/>
  <c r="AP46" i="18"/>
  <c r="AO46" i="18"/>
  <c r="AN46" i="18"/>
  <c r="AM46" i="18"/>
  <c r="AL46" i="18"/>
  <c r="AJ46" i="18"/>
  <c r="AI46" i="18"/>
  <c r="AB46" i="18"/>
  <c r="AA46" i="18"/>
  <c r="Z46" i="18"/>
  <c r="Y46" i="18"/>
  <c r="X46" i="18"/>
  <c r="W46" i="18"/>
  <c r="V46" i="18"/>
  <c r="U46" i="18"/>
  <c r="T46" i="18"/>
  <c r="M46" i="18"/>
  <c r="L46" i="18"/>
  <c r="K46" i="18"/>
  <c r="J46" i="18"/>
  <c r="BB46" i="18" s="1"/>
  <c r="I46" i="18"/>
  <c r="BA46" i="18" s="1"/>
  <c r="H46" i="18"/>
  <c r="AZ46" i="18" s="1"/>
  <c r="F46" i="18"/>
  <c r="AX46" i="18" s="1"/>
  <c r="AW45" i="18"/>
  <c r="AT45" i="18"/>
  <c r="AS45" i="18"/>
  <c r="AR45" i="18"/>
  <c r="AQ45" i="18"/>
  <c r="AP45" i="18"/>
  <c r="AO45" i="18"/>
  <c r="AN45" i="18"/>
  <c r="AM45" i="18"/>
  <c r="AL45" i="18"/>
  <c r="AJ45" i="18"/>
  <c r="AI45" i="18"/>
  <c r="AB45" i="18"/>
  <c r="AA45" i="18"/>
  <c r="Z45" i="18"/>
  <c r="Y45" i="18"/>
  <c r="X45" i="18"/>
  <c r="W45" i="18"/>
  <c r="V45" i="18"/>
  <c r="U45" i="18"/>
  <c r="T45" i="18"/>
  <c r="M45" i="18"/>
  <c r="L45" i="18"/>
  <c r="K45" i="18"/>
  <c r="J45" i="18"/>
  <c r="BB45" i="18" s="1"/>
  <c r="I45" i="18"/>
  <c r="BA45" i="18" s="1"/>
  <c r="H45" i="18"/>
  <c r="AZ45" i="18" s="1"/>
  <c r="F45" i="18"/>
  <c r="AX45" i="18" s="1"/>
  <c r="AW44" i="18"/>
  <c r="AT44" i="18"/>
  <c r="AS44" i="18"/>
  <c r="AR44" i="18"/>
  <c r="AQ44" i="18"/>
  <c r="AP44" i="18"/>
  <c r="AO44" i="18"/>
  <c r="AN44" i="18"/>
  <c r="AM44" i="18"/>
  <c r="AL44" i="18"/>
  <c r="AJ44" i="18"/>
  <c r="AI44" i="18"/>
  <c r="AB44" i="18"/>
  <c r="AA44" i="18"/>
  <c r="Z44" i="18"/>
  <c r="Y44" i="18"/>
  <c r="X44" i="18"/>
  <c r="W44" i="18"/>
  <c r="V44" i="18"/>
  <c r="U44" i="18"/>
  <c r="T44" i="18"/>
  <c r="M44" i="18"/>
  <c r="L44" i="18"/>
  <c r="K44" i="18"/>
  <c r="J44" i="18"/>
  <c r="BB44" i="18" s="1"/>
  <c r="I44" i="18"/>
  <c r="BA44" i="18" s="1"/>
  <c r="H44" i="18"/>
  <c r="AZ44" i="18" s="1"/>
  <c r="F44" i="18"/>
  <c r="AX44" i="18" s="1"/>
  <c r="AW43" i="18"/>
  <c r="AT43" i="18"/>
  <c r="AS43" i="18"/>
  <c r="AR43" i="18"/>
  <c r="AQ43" i="18"/>
  <c r="AP43" i="18"/>
  <c r="AO43" i="18"/>
  <c r="AN43" i="18"/>
  <c r="AM43" i="18"/>
  <c r="AL43" i="18"/>
  <c r="AJ43" i="18"/>
  <c r="AI43" i="18"/>
  <c r="AB43" i="18"/>
  <c r="AA43" i="18"/>
  <c r="Z43" i="18"/>
  <c r="Y43" i="18"/>
  <c r="X43" i="18"/>
  <c r="W43" i="18"/>
  <c r="V43" i="18"/>
  <c r="U43" i="18"/>
  <c r="T43" i="18"/>
  <c r="M43" i="18"/>
  <c r="L43" i="18"/>
  <c r="K43" i="18"/>
  <c r="J43" i="18"/>
  <c r="BB43" i="18" s="1"/>
  <c r="I43" i="18"/>
  <c r="BA43" i="18" s="1"/>
  <c r="H43" i="18"/>
  <c r="AZ43" i="18" s="1"/>
  <c r="F43" i="18"/>
  <c r="AX43" i="18" s="1"/>
  <c r="AW42" i="18"/>
  <c r="AT42" i="18"/>
  <c r="AS42" i="18"/>
  <c r="AR42" i="18"/>
  <c r="AQ42" i="18"/>
  <c r="AP42" i="18"/>
  <c r="AO42" i="18"/>
  <c r="AN42" i="18"/>
  <c r="AM42" i="18"/>
  <c r="AL42" i="18"/>
  <c r="AJ42" i="18"/>
  <c r="AI42" i="18"/>
  <c r="AB42" i="18"/>
  <c r="AA42" i="18"/>
  <c r="Z42" i="18"/>
  <c r="Y42" i="18"/>
  <c r="X42" i="18"/>
  <c r="W42" i="18"/>
  <c r="V42" i="18"/>
  <c r="U42" i="18"/>
  <c r="T42" i="18"/>
  <c r="M42" i="18"/>
  <c r="L42" i="18"/>
  <c r="K42" i="18"/>
  <c r="J42" i="18"/>
  <c r="BB42" i="18" s="1"/>
  <c r="I42" i="18"/>
  <c r="BA42" i="18" s="1"/>
  <c r="H42" i="18"/>
  <c r="AZ42" i="18" s="1"/>
  <c r="F42" i="18"/>
  <c r="AX42" i="18" s="1"/>
  <c r="AW41" i="18"/>
  <c r="AT41" i="18"/>
  <c r="AS41" i="18"/>
  <c r="AR41" i="18"/>
  <c r="AQ41" i="18"/>
  <c r="AP41" i="18"/>
  <c r="AO41" i="18"/>
  <c r="AN41" i="18"/>
  <c r="AM41" i="18"/>
  <c r="AL41" i="18"/>
  <c r="AJ41" i="18"/>
  <c r="AI41" i="18"/>
  <c r="AB41" i="18"/>
  <c r="AA41" i="18"/>
  <c r="Z41" i="18"/>
  <c r="Y41" i="18"/>
  <c r="X41" i="18"/>
  <c r="W41" i="18"/>
  <c r="V41" i="18"/>
  <c r="U41" i="18"/>
  <c r="T41" i="18"/>
  <c r="M41" i="18"/>
  <c r="L41" i="18"/>
  <c r="K41" i="18"/>
  <c r="J41" i="18"/>
  <c r="BB41" i="18" s="1"/>
  <c r="I41" i="18"/>
  <c r="BA41" i="18" s="1"/>
  <c r="H41" i="18"/>
  <c r="AZ41" i="18" s="1"/>
  <c r="F41" i="18"/>
  <c r="AX41" i="18" s="1"/>
  <c r="AW40" i="18"/>
  <c r="AT40" i="18"/>
  <c r="AS40" i="18"/>
  <c r="AR40" i="18"/>
  <c r="AQ40" i="18"/>
  <c r="AP40" i="18"/>
  <c r="AO40" i="18"/>
  <c r="AN40" i="18"/>
  <c r="AM40" i="18"/>
  <c r="AL40" i="18"/>
  <c r="AJ40" i="18"/>
  <c r="AI40" i="18"/>
  <c r="AB40" i="18"/>
  <c r="AA40" i="18"/>
  <c r="Z40" i="18"/>
  <c r="Y40" i="18"/>
  <c r="X40" i="18"/>
  <c r="W40" i="18"/>
  <c r="V40" i="18"/>
  <c r="U40" i="18"/>
  <c r="T40" i="18"/>
  <c r="M40" i="18"/>
  <c r="L40" i="18"/>
  <c r="K40" i="18"/>
  <c r="J40" i="18"/>
  <c r="BB40" i="18" s="1"/>
  <c r="I40" i="18"/>
  <c r="BA40" i="18" s="1"/>
  <c r="H40" i="18"/>
  <c r="AZ40" i="18" s="1"/>
  <c r="F40" i="18"/>
  <c r="AX40" i="18" s="1"/>
  <c r="AW39" i="18"/>
  <c r="AT39" i="18"/>
  <c r="AS39" i="18"/>
  <c r="AR39" i="18"/>
  <c r="AQ39" i="18"/>
  <c r="AP39" i="18"/>
  <c r="AO39" i="18"/>
  <c r="AN39" i="18"/>
  <c r="AM39" i="18"/>
  <c r="AL39" i="18"/>
  <c r="AJ39" i="18"/>
  <c r="AI39" i="18"/>
  <c r="AB39" i="18"/>
  <c r="AA39" i="18"/>
  <c r="Z39" i="18"/>
  <c r="Y39" i="18"/>
  <c r="X39" i="18"/>
  <c r="W39" i="18"/>
  <c r="V39" i="18"/>
  <c r="U39" i="18"/>
  <c r="T39" i="18"/>
  <c r="M39" i="18"/>
  <c r="L39" i="18"/>
  <c r="K39" i="18"/>
  <c r="J39" i="18"/>
  <c r="BB39" i="18" s="1"/>
  <c r="I39" i="18"/>
  <c r="BA39" i="18" s="1"/>
  <c r="H39" i="18"/>
  <c r="AZ39" i="18" s="1"/>
  <c r="F39" i="18"/>
  <c r="AX39" i="18" s="1"/>
  <c r="AW38" i="18"/>
  <c r="AT38" i="18"/>
  <c r="AS38" i="18"/>
  <c r="AR38" i="18"/>
  <c r="AQ38" i="18"/>
  <c r="AP38" i="18"/>
  <c r="AO38" i="18"/>
  <c r="AN38" i="18"/>
  <c r="AM38" i="18"/>
  <c r="AL38" i="18"/>
  <c r="AJ38" i="18"/>
  <c r="AI38" i="18"/>
  <c r="AB38" i="18"/>
  <c r="AA38" i="18"/>
  <c r="Z38" i="18"/>
  <c r="Y38" i="18"/>
  <c r="X38" i="18"/>
  <c r="W38" i="18"/>
  <c r="V38" i="18"/>
  <c r="U38" i="18"/>
  <c r="T38" i="18"/>
  <c r="M38" i="18"/>
  <c r="L38" i="18"/>
  <c r="K38" i="18"/>
  <c r="J38" i="18"/>
  <c r="BB38" i="18" s="1"/>
  <c r="I38" i="18"/>
  <c r="BA38" i="18" s="1"/>
  <c r="H38" i="18"/>
  <c r="AZ38" i="18" s="1"/>
  <c r="F38" i="18"/>
  <c r="AX38" i="18" s="1"/>
  <c r="AW37" i="18"/>
  <c r="AT37" i="18"/>
  <c r="AS37" i="18"/>
  <c r="AR37" i="18"/>
  <c r="AQ37" i="18"/>
  <c r="AP37" i="18"/>
  <c r="AO37" i="18"/>
  <c r="AN37" i="18"/>
  <c r="AM37" i="18"/>
  <c r="AL37" i="18"/>
  <c r="AJ37" i="18"/>
  <c r="AI37" i="18"/>
  <c r="AB37" i="18"/>
  <c r="AA37" i="18"/>
  <c r="Z37" i="18"/>
  <c r="Y37" i="18"/>
  <c r="X37" i="18"/>
  <c r="W37" i="18"/>
  <c r="V37" i="18"/>
  <c r="U37" i="18"/>
  <c r="T37" i="18"/>
  <c r="M37" i="18"/>
  <c r="L37" i="18"/>
  <c r="K37" i="18"/>
  <c r="J37" i="18"/>
  <c r="BB37" i="18" s="1"/>
  <c r="I37" i="18"/>
  <c r="BA37" i="18" s="1"/>
  <c r="H37" i="18"/>
  <c r="AZ37" i="18" s="1"/>
  <c r="F37" i="18"/>
  <c r="AX37" i="18" s="1"/>
  <c r="AW36" i="18"/>
  <c r="AT36" i="18"/>
  <c r="AS36" i="18"/>
  <c r="AR36" i="18"/>
  <c r="AQ36" i="18"/>
  <c r="AP36" i="18"/>
  <c r="AO36" i="18"/>
  <c r="AN36" i="18"/>
  <c r="AM36" i="18"/>
  <c r="AL36" i="18"/>
  <c r="AJ36" i="18"/>
  <c r="AI36" i="18"/>
  <c r="AB36" i="18"/>
  <c r="AA36" i="18"/>
  <c r="Z36" i="18"/>
  <c r="Y36" i="18"/>
  <c r="X36" i="18"/>
  <c r="W36" i="18"/>
  <c r="V36" i="18"/>
  <c r="U36" i="18"/>
  <c r="T36" i="18"/>
  <c r="M36" i="18"/>
  <c r="L36" i="18"/>
  <c r="K36" i="18"/>
  <c r="J36" i="18"/>
  <c r="BB36" i="18" s="1"/>
  <c r="I36" i="18"/>
  <c r="BA36" i="18" s="1"/>
  <c r="H36" i="18"/>
  <c r="AZ36" i="18" s="1"/>
  <c r="F36" i="18"/>
  <c r="AX36" i="18" s="1"/>
  <c r="AW35" i="18"/>
  <c r="AT35" i="18"/>
  <c r="AS35" i="18"/>
  <c r="AR35" i="18"/>
  <c r="AQ35" i="18"/>
  <c r="AP35" i="18"/>
  <c r="AO35" i="18"/>
  <c r="AN35" i="18"/>
  <c r="AM35" i="18"/>
  <c r="AL35" i="18"/>
  <c r="AJ35" i="18"/>
  <c r="AI35" i="18"/>
  <c r="AB35" i="18"/>
  <c r="AA35" i="18"/>
  <c r="Z35" i="18"/>
  <c r="Y35" i="18"/>
  <c r="X35" i="18"/>
  <c r="W35" i="18"/>
  <c r="V35" i="18"/>
  <c r="U35" i="18"/>
  <c r="T35" i="18"/>
  <c r="M35" i="18"/>
  <c r="L35" i="18"/>
  <c r="K35" i="18"/>
  <c r="J35" i="18"/>
  <c r="BB35" i="18" s="1"/>
  <c r="I35" i="18"/>
  <c r="BA35" i="18" s="1"/>
  <c r="H35" i="18"/>
  <c r="AZ35" i="18" s="1"/>
  <c r="F35" i="18"/>
  <c r="AX35" i="18" s="1"/>
  <c r="AW34" i="18"/>
  <c r="AT34" i="18"/>
  <c r="AS34" i="18"/>
  <c r="AR34" i="18"/>
  <c r="AQ34" i="18"/>
  <c r="AP34" i="18"/>
  <c r="AO34" i="18"/>
  <c r="AN34" i="18"/>
  <c r="AM34" i="18"/>
  <c r="AL34" i="18"/>
  <c r="AJ34" i="18"/>
  <c r="AI34" i="18"/>
  <c r="AB34" i="18"/>
  <c r="AA34" i="18"/>
  <c r="Z34" i="18"/>
  <c r="Y34" i="18"/>
  <c r="X34" i="18"/>
  <c r="W34" i="18"/>
  <c r="V34" i="18"/>
  <c r="U34" i="18"/>
  <c r="T34" i="18"/>
  <c r="M34" i="18"/>
  <c r="L34" i="18"/>
  <c r="K34" i="18"/>
  <c r="J34" i="18"/>
  <c r="BB34" i="18" s="1"/>
  <c r="I34" i="18"/>
  <c r="BA34" i="18" s="1"/>
  <c r="H34" i="18"/>
  <c r="AZ34" i="18" s="1"/>
  <c r="F34" i="18"/>
  <c r="AX34" i="18" s="1"/>
  <c r="AW33" i="18"/>
  <c r="AT33" i="18"/>
  <c r="AS33" i="18"/>
  <c r="AR33" i="18"/>
  <c r="AQ33" i="18"/>
  <c r="AP33" i="18"/>
  <c r="AO33" i="18"/>
  <c r="AN33" i="18"/>
  <c r="AM33" i="18"/>
  <c r="AL33" i="18"/>
  <c r="AJ33" i="18"/>
  <c r="AI33" i="18"/>
  <c r="AB33" i="18"/>
  <c r="AA33" i="18"/>
  <c r="Z33" i="18"/>
  <c r="Y33" i="18"/>
  <c r="X33" i="18"/>
  <c r="W33" i="18"/>
  <c r="V33" i="18"/>
  <c r="U33" i="18"/>
  <c r="T33" i="18"/>
  <c r="M33" i="18"/>
  <c r="L33" i="18"/>
  <c r="K33" i="18"/>
  <c r="J33" i="18"/>
  <c r="BB33" i="18" s="1"/>
  <c r="I33" i="18"/>
  <c r="BA33" i="18" s="1"/>
  <c r="H33" i="18"/>
  <c r="AZ33" i="18" s="1"/>
  <c r="F33" i="18"/>
  <c r="AX33" i="18" s="1"/>
  <c r="AW32" i="18"/>
  <c r="AT32" i="18"/>
  <c r="AS32" i="18"/>
  <c r="AR32" i="18"/>
  <c r="AQ32" i="18"/>
  <c r="AP32" i="18"/>
  <c r="AO32" i="18"/>
  <c r="AN32" i="18"/>
  <c r="AM32" i="18"/>
  <c r="AL32" i="18"/>
  <c r="AJ32" i="18"/>
  <c r="AI32" i="18"/>
  <c r="AB32" i="18"/>
  <c r="AA32" i="18"/>
  <c r="Z32" i="18"/>
  <c r="Y32" i="18"/>
  <c r="X32" i="18"/>
  <c r="W32" i="18"/>
  <c r="V32" i="18"/>
  <c r="U32" i="18"/>
  <c r="T32" i="18"/>
  <c r="M32" i="18"/>
  <c r="L32" i="18"/>
  <c r="K32" i="18"/>
  <c r="J32" i="18"/>
  <c r="BB32" i="18" s="1"/>
  <c r="I32" i="18"/>
  <c r="BA32" i="18" s="1"/>
  <c r="H32" i="18"/>
  <c r="AZ32" i="18" s="1"/>
  <c r="F32" i="18"/>
  <c r="AX32" i="18" s="1"/>
  <c r="AW31" i="18"/>
  <c r="AT31" i="18"/>
  <c r="AS31" i="18"/>
  <c r="AR31" i="18"/>
  <c r="AQ31" i="18"/>
  <c r="AP31" i="18"/>
  <c r="AO31" i="18"/>
  <c r="AN31" i="18"/>
  <c r="AM31" i="18"/>
  <c r="AL31" i="18"/>
  <c r="AJ31" i="18"/>
  <c r="AI31" i="18"/>
  <c r="AB31" i="18"/>
  <c r="AA31" i="18"/>
  <c r="Z31" i="18"/>
  <c r="Y31" i="18"/>
  <c r="X31" i="18"/>
  <c r="W31" i="18"/>
  <c r="V31" i="18"/>
  <c r="U31" i="18"/>
  <c r="T31" i="18"/>
  <c r="M31" i="18"/>
  <c r="L31" i="18"/>
  <c r="K31" i="18"/>
  <c r="J31" i="18"/>
  <c r="BB31" i="18" s="1"/>
  <c r="I31" i="18"/>
  <c r="BA31" i="18" s="1"/>
  <c r="H31" i="18"/>
  <c r="AZ31" i="18" s="1"/>
  <c r="F31" i="18"/>
  <c r="AX31" i="18" s="1"/>
  <c r="AW30" i="18"/>
  <c r="AT30" i="18"/>
  <c r="AS30" i="18"/>
  <c r="AR30" i="18"/>
  <c r="AQ30" i="18"/>
  <c r="AP30" i="18"/>
  <c r="AO30" i="18"/>
  <c r="AN30" i="18"/>
  <c r="AM30" i="18"/>
  <c r="AL30" i="18"/>
  <c r="AJ30" i="18"/>
  <c r="AI30" i="18"/>
  <c r="AB30" i="18"/>
  <c r="AA30" i="18"/>
  <c r="Z30" i="18"/>
  <c r="Y30" i="18"/>
  <c r="X30" i="18"/>
  <c r="W30" i="18"/>
  <c r="V30" i="18"/>
  <c r="U30" i="18"/>
  <c r="T30" i="18"/>
  <c r="M30" i="18"/>
  <c r="L30" i="18"/>
  <c r="K30" i="18"/>
  <c r="J30" i="18"/>
  <c r="BB30" i="18" s="1"/>
  <c r="I30" i="18"/>
  <c r="BA30" i="18" s="1"/>
  <c r="H30" i="18"/>
  <c r="AZ30" i="18" s="1"/>
  <c r="F30" i="18"/>
  <c r="AX30" i="18" s="1"/>
  <c r="AW29" i="18"/>
  <c r="AT29" i="18"/>
  <c r="AS29" i="18"/>
  <c r="AR29" i="18"/>
  <c r="AQ29" i="18"/>
  <c r="AP29" i="18"/>
  <c r="AO29" i="18"/>
  <c r="AN29" i="18"/>
  <c r="AM29" i="18"/>
  <c r="AL29" i="18"/>
  <c r="AJ29" i="18"/>
  <c r="AI29" i="18"/>
  <c r="AB29" i="18"/>
  <c r="AA29" i="18"/>
  <c r="Z29" i="18"/>
  <c r="Y29" i="18"/>
  <c r="X29" i="18"/>
  <c r="W29" i="18"/>
  <c r="V29" i="18"/>
  <c r="U29" i="18"/>
  <c r="T29" i="18"/>
  <c r="M29" i="18"/>
  <c r="L29" i="18"/>
  <c r="K29" i="18"/>
  <c r="J29" i="18"/>
  <c r="BB29" i="18" s="1"/>
  <c r="I29" i="18"/>
  <c r="BA29" i="18" s="1"/>
  <c r="H29" i="18"/>
  <c r="AZ29" i="18" s="1"/>
  <c r="F29" i="18"/>
  <c r="AX29" i="18" s="1"/>
  <c r="AW28" i="18"/>
  <c r="AT28" i="18"/>
  <c r="AS28" i="18"/>
  <c r="AR28" i="18"/>
  <c r="AQ28" i="18"/>
  <c r="AP28" i="18"/>
  <c r="AO28" i="18"/>
  <c r="AN28" i="18"/>
  <c r="AM28" i="18"/>
  <c r="AL28" i="18"/>
  <c r="AJ28" i="18"/>
  <c r="AI28" i="18"/>
  <c r="AB28" i="18"/>
  <c r="AA28" i="18"/>
  <c r="Z28" i="18"/>
  <c r="Y28" i="18"/>
  <c r="X28" i="18"/>
  <c r="W28" i="18"/>
  <c r="V28" i="18"/>
  <c r="U28" i="18"/>
  <c r="T28" i="18"/>
  <c r="M28" i="18"/>
  <c r="L28" i="18"/>
  <c r="K28" i="18"/>
  <c r="J28" i="18"/>
  <c r="BB28" i="18" s="1"/>
  <c r="I28" i="18"/>
  <c r="BA28" i="18" s="1"/>
  <c r="H28" i="18"/>
  <c r="AZ28" i="18" s="1"/>
  <c r="F28" i="18"/>
  <c r="AX28" i="18" s="1"/>
  <c r="AW27" i="18"/>
  <c r="AT27" i="18"/>
  <c r="AS27" i="18"/>
  <c r="AR27" i="18"/>
  <c r="AQ27" i="18"/>
  <c r="AP27" i="18"/>
  <c r="AO27" i="18"/>
  <c r="AN27" i="18"/>
  <c r="AM27" i="18"/>
  <c r="AL27" i="18"/>
  <c r="AJ27" i="18"/>
  <c r="AI27" i="18"/>
  <c r="AB27" i="18"/>
  <c r="AA27" i="18"/>
  <c r="Z27" i="18"/>
  <c r="Y27" i="18"/>
  <c r="X27" i="18"/>
  <c r="W27" i="18"/>
  <c r="V27" i="18"/>
  <c r="U27" i="18"/>
  <c r="T27" i="18"/>
  <c r="M27" i="18"/>
  <c r="L27" i="18"/>
  <c r="K27" i="18"/>
  <c r="J27" i="18"/>
  <c r="BB27" i="18" s="1"/>
  <c r="I27" i="18"/>
  <c r="BA27" i="18" s="1"/>
  <c r="H27" i="18"/>
  <c r="AZ27" i="18" s="1"/>
  <c r="F27" i="18"/>
  <c r="AX27" i="18" s="1"/>
  <c r="AW26" i="18"/>
  <c r="AT26" i="18"/>
  <c r="AS26" i="18"/>
  <c r="AR26" i="18"/>
  <c r="AQ26" i="18"/>
  <c r="AP26" i="18"/>
  <c r="AO26" i="18"/>
  <c r="AN26" i="18"/>
  <c r="AM26" i="18"/>
  <c r="AL26" i="18"/>
  <c r="AJ26" i="18"/>
  <c r="AI26" i="18"/>
  <c r="AB26" i="18"/>
  <c r="AA26" i="18"/>
  <c r="Z26" i="18"/>
  <c r="Y26" i="18"/>
  <c r="X26" i="18"/>
  <c r="W26" i="18"/>
  <c r="V26" i="18"/>
  <c r="U26" i="18"/>
  <c r="T26" i="18"/>
  <c r="M26" i="18"/>
  <c r="L26" i="18"/>
  <c r="K26" i="18"/>
  <c r="J26" i="18"/>
  <c r="BB26" i="18" s="1"/>
  <c r="I26" i="18"/>
  <c r="BA26" i="18" s="1"/>
  <c r="H26" i="18"/>
  <c r="AZ26" i="18" s="1"/>
  <c r="F26" i="18"/>
  <c r="AX26" i="18" s="1"/>
  <c r="AW25" i="18"/>
  <c r="AT25" i="18"/>
  <c r="AS25" i="18"/>
  <c r="AR25" i="18"/>
  <c r="AQ25" i="18"/>
  <c r="AP25" i="18"/>
  <c r="AO25" i="18"/>
  <c r="AN25" i="18"/>
  <c r="AM25" i="18"/>
  <c r="AL25" i="18"/>
  <c r="AJ25" i="18"/>
  <c r="AI25" i="18"/>
  <c r="AB25" i="18"/>
  <c r="AA25" i="18"/>
  <c r="Z25" i="18"/>
  <c r="Y25" i="18"/>
  <c r="X25" i="18"/>
  <c r="W25" i="18"/>
  <c r="V25" i="18"/>
  <c r="U25" i="18"/>
  <c r="T25" i="18"/>
  <c r="M25" i="18"/>
  <c r="L25" i="18"/>
  <c r="K25" i="18"/>
  <c r="J25" i="18"/>
  <c r="BB25" i="18" s="1"/>
  <c r="I25" i="18"/>
  <c r="BA25" i="18" s="1"/>
  <c r="H25" i="18"/>
  <c r="AZ25" i="18" s="1"/>
  <c r="F25" i="18"/>
  <c r="AX25" i="18" s="1"/>
  <c r="AW24" i="18"/>
  <c r="AT24" i="18"/>
  <c r="AS24" i="18"/>
  <c r="AR24" i="18"/>
  <c r="AQ24" i="18"/>
  <c r="AP24" i="18"/>
  <c r="AO24" i="18"/>
  <c r="AN24" i="18"/>
  <c r="AM24" i="18"/>
  <c r="AL24" i="18"/>
  <c r="AJ24" i="18"/>
  <c r="AI24" i="18"/>
  <c r="AB24" i="18"/>
  <c r="AA24" i="18"/>
  <c r="Z24" i="18"/>
  <c r="Y24" i="18"/>
  <c r="X24" i="18"/>
  <c r="W24" i="18"/>
  <c r="V24" i="18"/>
  <c r="U24" i="18"/>
  <c r="T24" i="18"/>
  <c r="M24" i="18"/>
  <c r="L24" i="18"/>
  <c r="K24" i="18"/>
  <c r="J24" i="18"/>
  <c r="BB24" i="18" s="1"/>
  <c r="I24" i="18"/>
  <c r="BA24" i="18" s="1"/>
  <c r="H24" i="18"/>
  <c r="AZ24" i="18" s="1"/>
  <c r="F24" i="18"/>
  <c r="AX24" i="18" s="1"/>
  <c r="AW23" i="18"/>
  <c r="AT23" i="18"/>
  <c r="AS23" i="18"/>
  <c r="AR23" i="18"/>
  <c r="AQ23" i="18"/>
  <c r="AP23" i="18"/>
  <c r="AO23" i="18"/>
  <c r="AN23" i="18"/>
  <c r="AM23" i="18"/>
  <c r="AL23" i="18"/>
  <c r="AJ23" i="18"/>
  <c r="AI23" i="18"/>
  <c r="AB23" i="18"/>
  <c r="AA23" i="18"/>
  <c r="Z23" i="18"/>
  <c r="Y23" i="18"/>
  <c r="X23" i="18"/>
  <c r="W23" i="18"/>
  <c r="V23" i="18"/>
  <c r="U23" i="18"/>
  <c r="T23" i="18"/>
  <c r="M23" i="18"/>
  <c r="L23" i="18"/>
  <c r="K23" i="18"/>
  <c r="J23" i="18"/>
  <c r="BB23" i="18" s="1"/>
  <c r="I23" i="18"/>
  <c r="BA23" i="18" s="1"/>
  <c r="H23" i="18"/>
  <c r="AZ23" i="18" s="1"/>
  <c r="F23" i="18"/>
  <c r="AX23" i="18" s="1"/>
  <c r="AW22" i="18"/>
  <c r="AT22" i="18"/>
  <c r="AS22" i="18"/>
  <c r="AR22" i="18"/>
  <c r="AQ22" i="18"/>
  <c r="AP22" i="18"/>
  <c r="AO22" i="18"/>
  <c r="AN22" i="18"/>
  <c r="AM22" i="18"/>
  <c r="AL22" i="18"/>
  <c r="AJ22" i="18"/>
  <c r="AI22" i="18"/>
  <c r="AB22" i="18"/>
  <c r="AA22" i="18"/>
  <c r="Z22" i="18"/>
  <c r="Y22" i="18"/>
  <c r="X22" i="18"/>
  <c r="W22" i="18"/>
  <c r="V22" i="18"/>
  <c r="U22" i="18"/>
  <c r="T22" i="18"/>
  <c r="M22" i="18"/>
  <c r="L22" i="18"/>
  <c r="K22" i="18"/>
  <c r="J22" i="18"/>
  <c r="BB22" i="18" s="1"/>
  <c r="I22" i="18"/>
  <c r="BA22" i="18" s="1"/>
  <c r="H22" i="18"/>
  <c r="AZ22" i="18" s="1"/>
  <c r="F22" i="18"/>
  <c r="AX22" i="18" s="1"/>
  <c r="AW21" i="18"/>
  <c r="AT21" i="18"/>
  <c r="AS21" i="18"/>
  <c r="AR21" i="18"/>
  <c r="AQ21" i="18"/>
  <c r="AP21" i="18"/>
  <c r="AO21" i="18"/>
  <c r="AN21" i="18"/>
  <c r="AM21" i="18"/>
  <c r="AL21" i="18"/>
  <c r="AJ21" i="18"/>
  <c r="AI21" i="18"/>
  <c r="AB21" i="18"/>
  <c r="AA21" i="18"/>
  <c r="Z21" i="18"/>
  <c r="Y21" i="18"/>
  <c r="X21" i="18"/>
  <c r="W21" i="18"/>
  <c r="V21" i="18"/>
  <c r="U21" i="18"/>
  <c r="T21" i="18"/>
  <c r="M21" i="18"/>
  <c r="L21" i="18"/>
  <c r="K21" i="18"/>
  <c r="J21" i="18"/>
  <c r="BB21" i="18" s="1"/>
  <c r="I21" i="18"/>
  <c r="BA21" i="18" s="1"/>
  <c r="H21" i="18"/>
  <c r="AZ21" i="18" s="1"/>
  <c r="F21" i="18"/>
  <c r="AX21" i="18" s="1"/>
  <c r="AW20" i="18"/>
  <c r="AT20" i="18"/>
  <c r="AS20" i="18"/>
  <c r="AR20" i="18"/>
  <c r="AQ20" i="18"/>
  <c r="AP20" i="18"/>
  <c r="AO20" i="18"/>
  <c r="AN20" i="18"/>
  <c r="AM20" i="18"/>
  <c r="AL20" i="18"/>
  <c r="AJ20" i="18"/>
  <c r="AI20" i="18"/>
  <c r="AB20" i="18"/>
  <c r="AA20" i="18"/>
  <c r="Z20" i="18"/>
  <c r="Y20" i="18"/>
  <c r="X20" i="18"/>
  <c r="W20" i="18"/>
  <c r="V20" i="18"/>
  <c r="U20" i="18"/>
  <c r="T20" i="18"/>
  <c r="M20" i="18"/>
  <c r="L20" i="18"/>
  <c r="K20" i="18"/>
  <c r="J20" i="18"/>
  <c r="BB20" i="18" s="1"/>
  <c r="I20" i="18"/>
  <c r="BA20" i="18" s="1"/>
  <c r="H20" i="18"/>
  <c r="AZ20" i="18" s="1"/>
  <c r="F20" i="18"/>
  <c r="AX20" i="18" s="1"/>
  <c r="AW19" i="18"/>
  <c r="AT19" i="18"/>
  <c r="AS19" i="18"/>
  <c r="AR19" i="18"/>
  <c r="AQ19" i="18"/>
  <c r="AP19" i="18"/>
  <c r="AO19" i="18"/>
  <c r="AN19" i="18"/>
  <c r="AM19" i="18"/>
  <c r="AL19" i="18"/>
  <c r="AJ19" i="18"/>
  <c r="AI19" i="18"/>
  <c r="AB19" i="18"/>
  <c r="AA19" i="18"/>
  <c r="Z19" i="18"/>
  <c r="Y19" i="18"/>
  <c r="X19" i="18"/>
  <c r="W19" i="18"/>
  <c r="V19" i="18"/>
  <c r="U19" i="18"/>
  <c r="T19" i="18"/>
  <c r="M19" i="18"/>
  <c r="L19" i="18"/>
  <c r="K19" i="18"/>
  <c r="J19" i="18"/>
  <c r="BB19" i="18" s="1"/>
  <c r="I19" i="18"/>
  <c r="BA19" i="18" s="1"/>
  <c r="H19" i="18"/>
  <c r="AZ19" i="18" s="1"/>
  <c r="F19" i="18"/>
  <c r="AX19" i="18" s="1"/>
  <c r="AW18" i="18"/>
  <c r="AT18" i="18"/>
  <c r="AS18" i="18"/>
  <c r="AR18" i="18"/>
  <c r="AQ18" i="18"/>
  <c r="AP18" i="18"/>
  <c r="AO18" i="18"/>
  <c r="AN18" i="18"/>
  <c r="AM18" i="18"/>
  <c r="AL18" i="18"/>
  <c r="AJ18" i="18"/>
  <c r="AI18" i="18"/>
  <c r="AB18" i="18"/>
  <c r="AA18" i="18"/>
  <c r="Z18" i="18"/>
  <c r="Y18" i="18"/>
  <c r="X18" i="18"/>
  <c r="W18" i="18"/>
  <c r="V18" i="18"/>
  <c r="U18" i="18"/>
  <c r="T18" i="18"/>
  <c r="M18" i="18"/>
  <c r="L18" i="18"/>
  <c r="K18" i="18"/>
  <c r="J18" i="18"/>
  <c r="BB18" i="18" s="1"/>
  <c r="I18" i="18"/>
  <c r="BA18" i="18" s="1"/>
  <c r="H18" i="18"/>
  <c r="AZ18" i="18" s="1"/>
  <c r="F18" i="18"/>
  <c r="AX18" i="18" s="1"/>
  <c r="AW17" i="18"/>
  <c r="AT17" i="18"/>
  <c r="AS17" i="18"/>
  <c r="AR17" i="18"/>
  <c r="AQ17" i="18"/>
  <c r="AP17" i="18"/>
  <c r="AO17" i="18"/>
  <c r="AN17" i="18"/>
  <c r="AM17" i="18"/>
  <c r="AL17" i="18"/>
  <c r="AJ17" i="18"/>
  <c r="AI17" i="18"/>
  <c r="AB17" i="18"/>
  <c r="AA17" i="18"/>
  <c r="Z17" i="18"/>
  <c r="Y17" i="18"/>
  <c r="X17" i="18"/>
  <c r="W17" i="18"/>
  <c r="V17" i="18"/>
  <c r="U17" i="18"/>
  <c r="T17" i="18"/>
  <c r="M17" i="18"/>
  <c r="L17" i="18"/>
  <c r="K17" i="18"/>
  <c r="J17" i="18"/>
  <c r="BB17" i="18" s="1"/>
  <c r="I17" i="18"/>
  <c r="BA17" i="18" s="1"/>
  <c r="H17" i="18"/>
  <c r="AZ17" i="18" s="1"/>
  <c r="F17" i="18"/>
  <c r="AX17" i="18" s="1"/>
  <c r="AW16" i="18"/>
  <c r="AT16" i="18"/>
  <c r="AS16" i="18"/>
  <c r="AR16" i="18"/>
  <c r="AQ16" i="18"/>
  <c r="AP16" i="18"/>
  <c r="AO16" i="18"/>
  <c r="AN16" i="18"/>
  <c r="AM16" i="18"/>
  <c r="AL16" i="18"/>
  <c r="AJ16" i="18"/>
  <c r="AI16" i="18"/>
  <c r="AB16" i="18"/>
  <c r="AA16" i="18"/>
  <c r="Z16" i="18"/>
  <c r="Y16" i="18"/>
  <c r="X16" i="18"/>
  <c r="W16" i="18"/>
  <c r="V16" i="18"/>
  <c r="U16" i="18"/>
  <c r="T16" i="18"/>
  <c r="M16" i="18"/>
  <c r="L16" i="18"/>
  <c r="K16" i="18"/>
  <c r="J16" i="18"/>
  <c r="BB16" i="18" s="1"/>
  <c r="I16" i="18"/>
  <c r="BA16" i="18" s="1"/>
  <c r="H16" i="18"/>
  <c r="AZ16" i="18" s="1"/>
  <c r="F16" i="18"/>
  <c r="AX16" i="18" s="1"/>
  <c r="AW15" i="18"/>
  <c r="AT15" i="18"/>
  <c r="AS15" i="18"/>
  <c r="AR15" i="18"/>
  <c r="AQ15" i="18"/>
  <c r="AP15" i="18"/>
  <c r="AO15" i="18"/>
  <c r="AN15" i="18"/>
  <c r="AM15" i="18"/>
  <c r="AL15" i="18"/>
  <c r="AJ15" i="18"/>
  <c r="AI15" i="18"/>
  <c r="AB15" i="18"/>
  <c r="AA15" i="18"/>
  <c r="Z15" i="18"/>
  <c r="Y15" i="18"/>
  <c r="X15" i="18"/>
  <c r="W15" i="18"/>
  <c r="V15" i="18"/>
  <c r="U15" i="18"/>
  <c r="T15" i="18"/>
  <c r="M15" i="18"/>
  <c r="L15" i="18"/>
  <c r="K15" i="18"/>
  <c r="J15" i="18"/>
  <c r="BB15" i="18" s="1"/>
  <c r="I15" i="18"/>
  <c r="BA15" i="18" s="1"/>
  <c r="H15" i="18"/>
  <c r="AZ15" i="18" s="1"/>
  <c r="F15" i="18"/>
  <c r="AX15" i="18" s="1"/>
  <c r="AW14" i="18"/>
  <c r="AT14" i="18"/>
  <c r="AS14" i="18"/>
  <c r="AR14" i="18"/>
  <c r="AQ14" i="18"/>
  <c r="AP14" i="18"/>
  <c r="AO14" i="18"/>
  <c r="AN14" i="18"/>
  <c r="AM14" i="18"/>
  <c r="AL14" i="18"/>
  <c r="AJ14" i="18"/>
  <c r="AI14" i="18"/>
  <c r="AB14" i="18"/>
  <c r="AA14" i="18"/>
  <c r="Z14" i="18"/>
  <c r="Y14" i="18"/>
  <c r="X14" i="18"/>
  <c r="W14" i="18"/>
  <c r="V14" i="18"/>
  <c r="U14" i="18"/>
  <c r="T14" i="18"/>
  <c r="M14" i="18"/>
  <c r="L14" i="18"/>
  <c r="K14" i="18"/>
  <c r="J14" i="18"/>
  <c r="BB14" i="18" s="1"/>
  <c r="I14" i="18"/>
  <c r="BA14" i="18" s="1"/>
  <c r="H14" i="18"/>
  <c r="AZ14" i="18" s="1"/>
  <c r="F14" i="18"/>
  <c r="AX14" i="18" s="1"/>
  <c r="AW13" i="18"/>
  <c r="AT13" i="18"/>
  <c r="AS13" i="18"/>
  <c r="AR13" i="18"/>
  <c r="AQ13" i="18"/>
  <c r="AP13" i="18"/>
  <c r="AO13" i="18"/>
  <c r="AN13" i="18"/>
  <c r="AM13" i="18"/>
  <c r="AL13" i="18"/>
  <c r="AJ13" i="18"/>
  <c r="AI13" i="18"/>
  <c r="AB13" i="18"/>
  <c r="AA13" i="18"/>
  <c r="Z13" i="18"/>
  <c r="Y13" i="18"/>
  <c r="X13" i="18"/>
  <c r="W13" i="18"/>
  <c r="V13" i="18"/>
  <c r="U13" i="18"/>
  <c r="T13" i="18"/>
  <c r="M13" i="18"/>
  <c r="L13" i="18"/>
  <c r="K13" i="18"/>
  <c r="J13" i="18"/>
  <c r="BB13" i="18" s="1"/>
  <c r="I13" i="18"/>
  <c r="BA13" i="18" s="1"/>
  <c r="H13" i="18"/>
  <c r="AZ13" i="18" s="1"/>
  <c r="F13" i="18"/>
  <c r="AX13" i="18" s="1"/>
  <c r="AW12" i="18"/>
  <c r="AT12" i="18"/>
  <c r="AS12" i="18"/>
  <c r="AR12" i="18"/>
  <c r="AQ12" i="18"/>
  <c r="AP12" i="18"/>
  <c r="AO12" i="18"/>
  <c r="AN12" i="18"/>
  <c r="AM12" i="18"/>
  <c r="AL12" i="18"/>
  <c r="AJ12" i="18"/>
  <c r="AI12" i="18"/>
  <c r="AB12" i="18"/>
  <c r="AA12" i="18"/>
  <c r="Z12" i="18"/>
  <c r="Y12" i="18"/>
  <c r="X12" i="18"/>
  <c r="W12" i="18"/>
  <c r="V12" i="18"/>
  <c r="U12" i="18"/>
  <c r="T12" i="18"/>
  <c r="M12" i="18"/>
  <c r="L12" i="18"/>
  <c r="K12" i="18"/>
  <c r="J12" i="18"/>
  <c r="BB12" i="18" s="1"/>
  <c r="I12" i="18"/>
  <c r="BA12" i="18" s="1"/>
  <c r="H12" i="18"/>
  <c r="AZ12" i="18" s="1"/>
  <c r="F12" i="18"/>
  <c r="AX12" i="18" s="1"/>
  <c r="AW11" i="18"/>
  <c r="AT11" i="18"/>
  <c r="AS11" i="18"/>
  <c r="AR11" i="18"/>
  <c r="AQ11" i="18"/>
  <c r="AP11" i="18"/>
  <c r="AO11" i="18"/>
  <c r="AN11" i="18"/>
  <c r="AM11" i="18"/>
  <c r="AL11" i="18"/>
  <c r="AJ11" i="18"/>
  <c r="AI11" i="18"/>
  <c r="AB11" i="18"/>
  <c r="AA11" i="18"/>
  <c r="Z11" i="18"/>
  <c r="Y11" i="18"/>
  <c r="X11" i="18"/>
  <c r="W11" i="18"/>
  <c r="V11" i="18"/>
  <c r="U11" i="18"/>
  <c r="T11" i="18"/>
  <c r="M11" i="18"/>
  <c r="L11" i="18"/>
  <c r="K11" i="18"/>
  <c r="J11" i="18"/>
  <c r="BB11" i="18" s="1"/>
  <c r="I11" i="18"/>
  <c r="BA11" i="18" s="1"/>
  <c r="H11" i="18"/>
  <c r="AZ11" i="18" s="1"/>
  <c r="F11" i="18"/>
  <c r="AX11" i="18" s="1"/>
  <c r="AW10" i="18"/>
  <c r="AT10" i="18"/>
  <c r="AS10" i="18"/>
  <c r="AR10" i="18"/>
  <c r="AQ10" i="18"/>
  <c r="AP10" i="18"/>
  <c r="AO10" i="18"/>
  <c r="AN10" i="18"/>
  <c r="AM10" i="18"/>
  <c r="AL10" i="18"/>
  <c r="AJ10" i="18"/>
  <c r="AI10" i="18"/>
  <c r="AB10" i="18"/>
  <c r="AA10" i="18"/>
  <c r="Z10" i="18"/>
  <c r="Y10" i="18"/>
  <c r="X10" i="18"/>
  <c r="W10" i="18"/>
  <c r="V10" i="18"/>
  <c r="U10" i="18"/>
  <c r="T10" i="18"/>
  <c r="M10" i="18"/>
  <c r="L10" i="18"/>
  <c r="K10" i="18"/>
  <c r="J10" i="18"/>
  <c r="BB10" i="18" s="1"/>
  <c r="I10" i="18"/>
  <c r="BA10" i="18" s="1"/>
  <c r="H10" i="18"/>
  <c r="AZ10" i="18" s="1"/>
  <c r="F10" i="18"/>
  <c r="AX10" i="18" s="1"/>
  <c r="AW9" i="18"/>
  <c r="AT9" i="18"/>
  <c r="AS9" i="18"/>
  <c r="AR9" i="18"/>
  <c r="AQ9" i="18"/>
  <c r="AP9" i="18"/>
  <c r="AO9" i="18"/>
  <c r="AN9" i="18"/>
  <c r="AM9" i="18"/>
  <c r="AL9" i="18"/>
  <c r="AJ9" i="18"/>
  <c r="AI9" i="18"/>
  <c r="AB9" i="18"/>
  <c r="AA9" i="18"/>
  <c r="Z9" i="18"/>
  <c r="Y9" i="18"/>
  <c r="X9" i="18"/>
  <c r="W9" i="18"/>
  <c r="V9" i="18"/>
  <c r="U9" i="18"/>
  <c r="T9" i="18"/>
  <c r="M9" i="18"/>
  <c r="L9" i="18"/>
  <c r="K9" i="18"/>
  <c r="J9" i="18"/>
  <c r="BB9" i="18" s="1"/>
  <c r="I9" i="18"/>
  <c r="BA9" i="18" s="1"/>
  <c r="H9" i="18"/>
  <c r="AZ9" i="18" s="1"/>
  <c r="F9" i="18"/>
  <c r="AX9" i="18" s="1"/>
  <c r="AW8" i="18"/>
  <c r="AT8" i="18"/>
  <c r="AS8" i="18"/>
  <c r="AR8" i="18"/>
  <c r="AQ8" i="18"/>
  <c r="AP8" i="18"/>
  <c r="AO8" i="18"/>
  <c r="AN8" i="18"/>
  <c r="AM8" i="18"/>
  <c r="AL8" i="18"/>
  <c r="AJ8" i="18"/>
  <c r="AI8" i="18"/>
  <c r="AB8" i="18"/>
  <c r="AA8" i="18"/>
  <c r="Z8" i="18"/>
  <c r="Y8" i="18"/>
  <c r="X8" i="18"/>
  <c r="W8" i="18"/>
  <c r="V8" i="18"/>
  <c r="U8" i="18"/>
  <c r="T8" i="18"/>
  <c r="M8" i="18"/>
  <c r="L8" i="18"/>
  <c r="K8" i="18"/>
  <c r="J8" i="18"/>
  <c r="BB8" i="18" s="1"/>
  <c r="I8" i="18"/>
  <c r="BA8" i="18" s="1"/>
  <c r="H8" i="18"/>
  <c r="AZ8" i="18" s="1"/>
  <c r="F8" i="18"/>
  <c r="AX8" i="18" s="1"/>
  <c r="AW7" i="18"/>
  <c r="AT7" i="18"/>
  <c r="AS7" i="18"/>
  <c r="AR7" i="18"/>
  <c r="AQ7" i="18"/>
  <c r="AP7" i="18"/>
  <c r="AO7" i="18"/>
  <c r="AN7" i="18"/>
  <c r="AM7" i="18"/>
  <c r="AL7" i="18"/>
  <c r="AJ7" i="18"/>
  <c r="AI7" i="18"/>
  <c r="AB7" i="18"/>
  <c r="AA7" i="18"/>
  <c r="Z7" i="18"/>
  <c r="Y7" i="18"/>
  <c r="X7" i="18"/>
  <c r="W7" i="18"/>
  <c r="V7" i="18"/>
  <c r="U7" i="18"/>
  <c r="T7" i="18"/>
  <c r="M7" i="18"/>
  <c r="L7" i="18"/>
  <c r="K7" i="18"/>
  <c r="J7" i="18"/>
  <c r="BB7" i="18" s="1"/>
  <c r="I7" i="18"/>
  <c r="BA7" i="18" s="1"/>
  <c r="H7" i="18"/>
  <c r="AZ7" i="18" s="1"/>
  <c r="F7" i="18"/>
  <c r="AX7" i="18" s="1"/>
  <c r="AW6" i="18"/>
  <c r="AT6" i="18"/>
  <c r="AS6" i="18"/>
  <c r="AR6" i="18"/>
  <c r="AQ6" i="18"/>
  <c r="AP6" i="18"/>
  <c r="AO6" i="18"/>
  <c r="AN6" i="18"/>
  <c r="AM6" i="18"/>
  <c r="AL6" i="18"/>
  <c r="AJ6" i="18"/>
  <c r="AI6" i="18"/>
  <c r="AB6" i="18"/>
  <c r="AA6" i="18"/>
  <c r="Z6" i="18"/>
  <c r="Y6" i="18"/>
  <c r="X6" i="18"/>
  <c r="W6" i="18"/>
  <c r="V6" i="18"/>
  <c r="U6" i="18"/>
  <c r="T6" i="18"/>
  <c r="M6" i="18"/>
  <c r="L6" i="18"/>
  <c r="K6" i="18"/>
  <c r="J6" i="18"/>
  <c r="BB6" i="18" s="1"/>
  <c r="I6" i="18"/>
  <c r="BA6" i="18" s="1"/>
  <c r="H6" i="18"/>
  <c r="AZ6" i="18" s="1"/>
  <c r="F6" i="18"/>
  <c r="AX6" i="18" s="1"/>
  <c r="AW5" i="18"/>
  <c r="AT5" i="18"/>
  <c r="AS5" i="18"/>
  <c r="AR5" i="18"/>
  <c r="AQ5" i="18"/>
  <c r="AP5" i="18"/>
  <c r="AO5" i="18"/>
  <c r="AN5" i="18"/>
  <c r="AM5" i="18"/>
  <c r="AL5" i="18"/>
  <c r="AJ5" i="18"/>
  <c r="AI5" i="18"/>
  <c r="AB5" i="18"/>
  <c r="AA5" i="18"/>
  <c r="Z5" i="18"/>
  <c r="Y5" i="18"/>
  <c r="X5" i="18"/>
  <c r="W5" i="18"/>
  <c r="V5" i="18"/>
  <c r="U5" i="18"/>
  <c r="T5" i="18"/>
  <c r="M5" i="18"/>
  <c r="L5" i="18"/>
  <c r="K5" i="18"/>
  <c r="J5" i="18"/>
  <c r="BB5" i="18" s="1"/>
  <c r="I5" i="18"/>
  <c r="BA5" i="18" s="1"/>
  <c r="H5" i="18"/>
  <c r="AZ5" i="18" s="1"/>
  <c r="F5" i="18"/>
  <c r="AX5" i="18" s="1"/>
  <c r="AW4" i="18"/>
  <c r="AT4" i="18"/>
  <c r="AS4" i="18"/>
  <c r="AR4" i="18"/>
  <c r="AQ4" i="18"/>
  <c r="AP4" i="18"/>
  <c r="AO4" i="18"/>
  <c r="AN4" i="18"/>
  <c r="AM4" i="18"/>
  <c r="AL4" i="18"/>
  <c r="AJ4" i="18"/>
  <c r="AI4" i="18"/>
  <c r="AB4" i="18"/>
  <c r="AA4" i="18"/>
  <c r="Z4" i="18"/>
  <c r="Y4" i="18"/>
  <c r="X4" i="18"/>
  <c r="W4" i="18"/>
  <c r="V4" i="18"/>
  <c r="U4" i="18"/>
  <c r="T4" i="18"/>
  <c r="M4" i="18"/>
  <c r="L4" i="18"/>
  <c r="K4" i="18"/>
  <c r="J4" i="18"/>
  <c r="BB4" i="18" s="1"/>
  <c r="I4" i="18"/>
  <c r="BA4" i="18" s="1"/>
  <c r="H4" i="18"/>
  <c r="AZ4" i="18" s="1"/>
  <c r="F4" i="18"/>
  <c r="AX4" i="18" s="1"/>
  <c r="AW3" i="18"/>
  <c r="AT3" i="18"/>
  <c r="AS3" i="18"/>
  <c r="AR3" i="18"/>
  <c r="AQ3" i="18"/>
  <c r="AP3" i="18"/>
  <c r="AO3" i="18"/>
  <c r="AN3" i="18"/>
  <c r="AM3" i="18"/>
  <c r="AL3" i="18"/>
  <c r="AJ3" i="18"/>
  <c r="AI3" i="18"/>
  <c r="AB3" i="18"/>
  <c r="AA3" i="18"/>
  <c r="Z3" i="18"/>
  <c r="Y3" i="18"/>
  <c r="X3" i="18"/>
  <c r="W3" i="18"/>
  <c r="V3" i="18"/>
  <c r="U3" i="18"/>
  <c r="T3" i="18"/>
  <c r="M3" i="18"/>
  <c r="L3" i="18"/>
  <c r="K3" i="18"/>
  <c r="J3" i="18"/>
  <c r="BB3" i="18" s="1"/>
  <c r="I3" i="18"/>
  <c r="BA3" i="18" s="1"/>
  <c r="H3" i="18"/>
  <c r="AZ3" i="18" s="1"/>
  <c r="F3" i="18"/>
  <c r="AX3" i="18" s="1"/>
  <c r="AW2" i="18"/>
  <c r="AT2" i="18"/>
  <c r="AS2" i="18"/>
  <c r="AR2" i="18"/>
  <c r="AQ2" i="18"/>
  <c r="AP2" i="18"/>
  <c r="AO2" i="18"/>
  <c r="AN2" i="18"/>
  <c r="AM2" i="18"/>
  <c r="AL2" i="18"/>
  <c r="AK2" i="18"/>
  <c r="AJ2" i="18"/>
  <c r="AI2" i="18"/>
  <c r="AB2" i="18"/>
  <c r="AA2" i="18"/>
  <c r="Z2" i="18"/>
  <c r="Y2" i="18"/>
  <c r="X2" i="18"/>
  <c r="W2" i="18"/>
  <c r="V2" i="18"/>
  <c r="U2" i="18"/>
  <c r="T2" i="18"/>
  <c r="M2" i="18"/>
  <c r="L2" i="18"/>
  <c r="K2" i="18"/>
  <c r="J2" i="18"/>
  <c r="BB2" i="18" s="1"/>
  <c r="I2" i="18"/>
  <c r="BA2" i="18" s="1"/>
  <c r="H2" i="18"/>
  <c r="AZ2" i="18" s="1"/>
  <c r="G2" i="18"/>
  <c r="AY2" i="18" s="1"/>
  <c r="F2" i="18"/>
  <c r="AX2" i="18" s="1"/>
  <c r="AV2" i="17"/>
  <c r="AV3" i="17"/>
  <c r="AV4" i="17"/>
  <c r="AV5" i="17"/>
  <c r="AV6" i="17"/>
  <c r="AV7" i="17"/>
  <c r="AV8" i="17"/>
  <c r="AV9" i="17"/>
  <c r="AV10" i="17"/>
  <c r="AV11" i="17"/>
  <c r="AV12" i="17"/>
  <c r="AV13" i="17"/>
  <c r="AV14" i="17"/>
  <c r="AV15" i="17"/>
  <c r="AV16" i="17"/>
  <c r="AV17" i="17"/>
  <c r="AV18" i="17"/>
  <c r="AV19" i="17"/>
  <c r="AV20" i="17"/>
  <c r="AV21" i="17"/>
  <c r="AV22" i="17"/>
  <c r="AV23" i="17"/>
  <c r="AV24" i="17"/>
  <c r="AV25" i="17"/>
  <c r="AV26" i="17"/>
  <c r="AV27" i="17"/>
  <c r="AV28" i="17"/>
  <c r="AV29" i="17"/>
  <c r="AV30" i="17"/>
  <c r="AV31" i="17"/>
  <c r="AV32" i="17"/>
  <c r="AV33" i="17"/>
  <c r="AV34" i="17"/>
  <c r="AV35" i="17"/>
  <c r="AV36" i="17"/>
  <c r="AV37" i="17"/>
  <c r="AV38" i="17"/>
  <c r="AV39" i="17"/>
  <c r="AV40" i="17"/>
  <c r="AV41" i="17"/>
  <c r="AV42" i="17"/>
  <c r="AV43" i="17"/>
  <c r="AV44" i="17"/>
  <c r="AV45" i="17"/>
  <c r="AV46" i="17"/>
  <c r="AV47" i="17"/>
  <c r="AV48" i="17"/>
  <c r="AV49" i="17"/>
  <c r="AV50" i="17"/>
  <c r="AV51" i="17"/>
  <c r="AV52" i="17"/>
  <c r="AV53" i="17"/>
  <c r="AV54" i="17"/>
  <c r="AV55" i="17"/>
  <c r="AV56" i="17"/>
  <c r="AV57" i="17"/>
  <c r="AV58" i="17"/>
  <c r="AV59" i="17"/>
  <c r="AV60" i="17"/>
  <c r="AV61" i="17"/>
  <c r="AV62" i="17"/>
  <c r="AV63" i="17"/>
  <c r="AV64" i="17"/>
  <c r="AV65" i="17"/>
  <c r="AV66" i="17"/>
  <c r="AV67" i="17"/>
  <c r="AV68" i="17"/>
  <c r="AV69" i="17"/>
  <c r="AV70" i="17"/>
  <c r="AV71" i="17"/>
  <c r="AV72" i="17"/>
  <c r="AV73" i="17"/>
  <c r="AV74" i="17"/>
  <c r="AV75" i="17"/>
  <c r="AV76" i="17"/>
  <c r="AV77" i="17"/>
  <c r="AV78" i="17"/>
  <c r="AV79" i="17"/>
  <c r="AV80" i="17"/>
  <c r="AV81" i="17"/>
  <c r="AV82" i="17"/>
  <c r="AV83" i="17"/>
  <c r="AV84" i="17"/>
  <c r="AV85" i="17"/>
  <c r="AV86" i="17"/>
  <c r="AV87" i="17"/>
  <c r="AV88" i="17"/>
  <c r="AV89" i="17"/>
  <c r="AV90" i="17"/>
  <c r="AV91" i="17"/>
  <c r="AV92" i="17"/>
  <c r="AV93" i="17"/>
  <c r="AV94" i="17"/>
  <c r="AV95" i="17"/>
  <c r="AV96" i="17"/>
  <c r="AV97" i="17"/>
  <c r="AV98" i="17"/>
  <c r="AV99" i="17"/>
  <c r="AV100" i="17"/>
  <c r="AV101" i="17"/>
  <c r="AV102" i="17"/>
  <c r="AV103" i="17"/>
  <c r="AV104" i="17"/>
  <c r="AV105" i="17"/>
  <c r="AV106" i="17"/>
  <c r="AV107" i="17"/>
  <c r="AV108" i="17"/>
  <c r="AV109" i="17"/>
  <c r="AV110" i="17"/>
  <c r="AV111" i="17"/>
  <c r="AD2" i="17"/>
  <c r="AD3" i="17"/>
  <c r="AD4" i="17"/>
  <c r="AD5" i="17"/>
  <c r="AD6" i="17"/>
  <c r="AD7" i="17"/>
  <c r="AD8" i="17"/>
  <c r="AD9" i="17"/>
  <c r="AD10" i="17"/>
  <c r="AD11" i="17"/>
  <c r="AD12" i="17"/>
  <c r="AD13" i="17"/>
  <c r="AD14" i="17"/>
  <c r="AD15" i="17"/>
  <c r="AD16" i="17"/>
  <c r="AD17" i="17"/>
  <c r="AD18" i="17"/>
  <c r="AD19" i="17"/>
  <c r="AD20" i="17"/>
  <c r="AD21" i="17"/>
  <c r="AD22" i="17"/>
  <c r="AD23" i="17"/>
  <c r="AD24" i="17"/>
  <c r="AD25" i="17"/>
  <c r="AD26" i="17"/>
  <c r="AD27" i="17"/>
  <c r="AD28" i="17"/>
  <c r="AD29" i="17"/>
  <c r="AD30" i="17"/>
  <c r="AD31" i="17"/>
  <c r="AD32" i="17"/>
  <c r="AD33" i="17"/>
  <c r="AD34" i="17"/>
  <c r="AD35" i="17"/>
  <c r="AD36" i="17"/>
  <c r="AD37" i="17"/>
  <c r="AD38" i="17"/>
  <c r="AD39" i="17"/>
  <c r="AD40" i="17"/>
  <c r="AD41" i="17"/>
  <c r="AD42" i="17"/>
  <c r="AD43" i="17"/>
  <c r="AD44" i="17"/>
  <c r="AD45" i="17"/>
  <c r="AD46" i="17"/>
  <c r="AD47" i="17"/>
  <c r="AD48" i="17"/>
  <c r="AD49" i="17"/>
  <c r="AD50" i="17"/>
  <c r="AD51" i="17"/>
  <c r="AD52" i="17"/>
  <c r="AD53" i="17"/>
  <c r="AD54" i="17"/>
  <c r="AD55" i="17"/>
  <c r="AD56" i="17"/>
  <c r="AD57" i="17"/>
  <c r="AD58" i="17"/>
  <c r="AD59" i="17"/>
  <c r="AD60" i="17"/>
  <c r="AD61" i="17"/>
  <c r="AD62" i="17"/>
  <c r="AD63" i="17"/>
  <c r="AD64" i="17"/>
  <c r="AD65" i="17"/>
  <c r="AD66" i="17"/>
  <c r="AD67" i="17"/>
  <c r="AD68" i="17"/>
  <c r="AD69" i="17"/>
  <c r="AD70" i="17"/>
  <c r="AD71" i="17"/>
  <c r="AD72" i="17"/>
  <c r="AD73" i="17"/>
  <c r="AD74" i="17"/>
  <c r="AD75" i="17"/>
  <c r="AD76" i="17"/>
  <c r="AD77" i="17"/>
  <c r="AD78" i="17"/>
  <c r="AD79" i="17"/>
  <c r="AD80" i="17"/>
  <c r="AD81" i="17"/>
  <c r="AD82" i="17"/>
  <c r="AD83" i="17"/>
  <c r="AD84" i="17"/>
  <c r="AD85" i="17"/>
  <c r="AD86" i="17"/>
  <c r="AD87" i="17"/>
  <c r="AD88" i="17"/>
  <c r="AD89" i="17"/>
  <c r="AD90" i="17"/>
  <c r="AD91" i="17"/>
  <c r="AD92" i="17"/>
  <c r="AD93" i="17"/>
  <c r="AD94" i="17"/>
  <c r="AD95" i="17"/>
  <c r="AD96" i="17"/>
  <c r="AD97" i="17"/>
  <c r="AD98" i="17"/>
  <c r="AD99" i="17"/>
  <c r="AD100" i="17"/>
  <c r="AD101" i="17"/>
  <c r="AD102" i="17"/>
  <c r="AD103" i="17"/>
  <c r="AD104" i="17"/>
  <c r="AD105" i="17"/>
  <c r="AD106" i="17"/>
  <c r="AD107" i="17"/>
  <c r="AD108" i="17"/>
  <c r="AD109" i="17"/>
  <c r="AD110" i="17"/>
  <c r="AD111" i="17"/>
  <c r="O2" i="17"/>
  <c r="O3" i="17"/>
  <c r="O4" i="17"/>
  <c r="O5" i="17"/>
  <c r="O6" i="17"/>
  <c r="O7" i="17"/>
  <c r="O8" i="17"/>
  <c r="O9" i="17"/>
  <c r="O10" i="17"/>
  <c r="O11" i="17"/>
  <c r="O12" i="17"/>
  <c r="O13" i="17"/>
  <c r="O14" i="17"/>
  <c r="O15" i="17"/>
  <c r="O16" i="17"/>
  <c r="O17" i="17"/>
  <c r="O18" i="17"/>
  <c r="O19" i="17"/>
  <c r="O20" i="17"/>
  <c r="O21" i="17"/>
  <c r="O22" i="17"/>
  <c r="O23" i="17"/>
  <c r="O24" i="17"/>
  <c r="O25" i="17"/>
  <c r="O26" i="17"/>
  <c r="O27" i="17"/>
  <c r="O28" i="17"/>
  <c r="O29" i="17"/>
  <c r="O30" i="17"/>
  <c r="O31" i="17"/>
  <c r="O32" i="17"/>
  <c r="O33" i="17"/>
  <c r="O34" i="17"/>
  <c r="O35" i="17"/>
  <c r="O36" i="17"/>
  <c r="O37" i="17"/>
  <c r="O38" i="17"/>
  <c r="O39" i="17"/>
  <c r="O40" i="17"/>
  <c r="O41" i="17"/>
  <c r="O42" i="17"/>
  <c r="O43" i="17"/>
  <c r="O44" i="17"/>
  <c r="O45" i="17"/>
  <c r="O46" i="17"/>
  <c r="O47" i="17"/>
  <c r="O48" i="17"/>
  <c r="O49" i="17"/>
  <c r="O50" i="17"/>
  <c r="O51" i="17"/>
  <c r="O52" i="17"/>
  <c r="O53" i="17"/>
  <c r="O54" i="17"/>
  <c r="O55" i="17"/>
  <c r="O56" i="17"/>
  <c r="O57" i="17"/>
  <c r="O58" i="17"/>
  <c r="O59" i="17"/>
  <c r="O60" i="17"/>
  <c r="O61" i="17"/>
  <c r="O62" i="17"/>
  <c r="O63" i="17"/>
  <c r="O64" i="17"/>
  <c r="O65" i="17"/>
  <c r="O66" i="17"/>
  <c r="O67" i="17"/>
  <c r="O68" i="17"/>
  <c r="O69" i="17"/>
  <c r="O70" i="17"/>
  <c r="O71" i="17"/>
  <c r="O72" i="17"/>
  <c r="O73" i="17"/>
  <c r="O74" i="17"/>
  <c r="O75" i="17"/>
  <c r="O76" i="17"/>
  <c r="O77" i="17"/>
  <c r="O78" i="17"/>
  <c r="O79" i="17"/>
  <c r="O80" i="17"/>
  <c r="O81" i="17"/>
  <c r="O82" i="17"/>
  <c r="O83" i="17"/>
  <c r="O84" i="17"/>
  <c r="O85" i="17"/>
  <c r="O86" i="17"/>
  <c r="O87" i="17"/>
  <c r="O88" i="17"/>
  <c r="O89" i="17"/>
  <c r="O90" i="17"/>
  <c r="O91" i="17"/>
  <c r="O92" i="17"/>
  <c r="O93" i="17"/>
  <c r="O94" i="17"/>
  <c r="O95" i="17"/>
  <c r="O96" i="17"/>
  <c r="O97" i="17"/>
  <c r="O98" i="17"/>
  <c r="O99" i="17"/>
  <c r="O100" i="17"/>
  <c r="O101" i="17"/>
  <c r="O102" i="17"/>
  <c r="O103" i="17"/>
  <c r="O104" i="17"/>
  <c r="O105" i="17"/>
  <c r="O106" i="17"/>
  <c r="O107" i="17"/>
  <c r="O108" i="17"/>
  <c r="O109" i="17"/>
  <c r="O110" i="17"/>
  <c r="O111" i="17"/>
  <c r="A2" i="17"/>
  <c r="A3" i="17"/>
  <c r="A4" i="17"/>
  <c r="A5" i="17"/>
  <c r="A6" i="17"/>
  <c r="A7" i="17"/>
  <c r="A8" i="17"/>
  <c r="A9" i="17"/>
  <c r="A10" i="17"/>
  <c r="A11" i="17"/>
  <c r="A12" i="17"/>
  <c r="A13" i="17"/>
  <c r="A14" i="17"/>
  <c r="A15" i="17"/>
  <c r="A16" i="17"/>
  <c r="A17" i="17"/>
  <c r="A18" i="17"/>
  <c r="A19" i="17"/>
  <c r="A20" i="17"/>
  <c r="A21" i="17"/>
  <c r="A22" i="17"/>
  <c r="A23" i="17"/>
  <c r="A24" i="17"/>
  <c r="A25" i="17"/>
  <c r="A26" i="17"/>
  <c r="A27" i="17"/>
  <c r="A28" i="17"/>
  <c r="A29" i="17"/>
  <c r="A30" i="17"/>
  <c r="A31" i="17"/>
  <c r="A32" i="17"/>
  <c r="A33" i="17"/>
  <c r="A34" i="17"/>
  <c r="A35" i="17"/>
  <c r="A36" i="17"/>
  <c r="A37" i="17"/>
  <c r="A38" i="17"/>
  <c r="A39" i="17"/>
  <c r="A40" i="17"/>
  <c r="A41" i="17"/>
  <c r="A42" i="17"/>
  <c r="A43" i="17"/>
  <c r="A44" i="17"/>
  <c r="A45" i="17"/>
  <c r="A46" i="17"/>
  <c r="A47" i="17"/>
  <c r="A48" i="17"/>
  <c r="A49" i="17"/>
  <c r="A50" i="17"/>
  <c r="A51" i="17"/>
  <c r="A52" i="17"/>
  <c r="A53" i="17"/>
  <c r="A54" i="17"/>
  <c r="A55" i="17"/>
  <c r="A56" i="17"/>
  <c r="A57" i="17"/>
  <c r="A58" i="17"/>
  <c r="A59" i="17"/>
  <c r="A60" i="17"/>
  <c r="A61" i="17"/>
  <c r="A62" i="17"/>
  <c r="A63" i="17"/>
  <c r="A64" i="17"/>
  <c r="A65" i="17"/>
  <c r="A66" i="17"/>
  <c r="A67" i="17"/>
  <c r="A68" i="17"/>
  <c r="A69" i="17"/>
  <c r="A70" i="17"/>
  <c r="A71" i="17"/>
  <c r="A72" i="17"/>
  <c r="A73" i="17"/>
  <c r="A74" i="17"/>
  <c r="A75" i="17"/>
  <c r="A76" i="17"/>
  <c r="A77" i="17"/>
  <c r="A78" i="17"/>
  <c r="A79" i="17"/>
  <c r="A80" i="17"/>
  <c r="A81" i="17"/>
  <c r="A82" i="17"/>
  <c r="A83" i="17"/>
  <c r="A84" i="17"/>
  <c r="A85" i="17"/>
  <c r="A86" i="17"/>
  <c r="A87" i="17"/>
  <c r="A88" i="17"/>
  <c r="A89" i="17"/>
  <c r="A90" i="17"/>
  <c r="A91" i="17"/>
  <c r="A92" i="17"/>
  <c r="A93" i="17"/>
  <c r="A94" i="17"/>
  <c r="A95" i="17"/>
  <c r="A96" i="17"/>
  <c r="A97" i="17"/>
  <c r="A98" i="17"/>
  <c r="A99" i="17"/>
  <c r="A100" i="17"/>
  <c r="A101" i="17"/>
  <c r="A102" i="17"/>
  <c r="A103" i="17"/>
  <c r="A104" i="17"/>
  <c r="A105" i="17"/>
  <c r="A106" i="17"/>
  <c r="A107" i="17"/>
  <c r="A108" i="17"/>
  <c r="A109" i="17"/>
  <c r="A110" i="17"/>
  <c r="A111" i="17"/>
  <c r="AW111" i="17"/>
  <c r="AT111" i="17"/>
  <c r="AS111" i="17"/>
  <c r="AR111" i="17"/>
  <c r="AQ111" i="17"/>
  <c r="AP111" i="17"/>
  <c r="AO111" i="17"/>
  <c r="AN111" i="17"/>
  <c r="AM111" i="17"/>
  <c r="AL111" i="17"/>
  <c r="AJ111" i="17"/>
  <c r="AI111" i="17"/>
  <c r="AB111" i="17"/>
  <c r="AA111" i="17"/>
  <c r="Z111" i="17"/>
  <c r="Y111" i="17"/>
  <c r="X111" i="17"/>
  <c r="W111" i="17"/>
  <c r="V111" i="17"/>
  <c r="U111" i="17"/>
  <c r="T111" i="17"/>
  <c r="M111" i="17"/>
  <c r="L111" i="17"/>
  <c r="K111" i="17"/>
  <c r="J111" i="17"/>
  <c r="BB111" i="17" s="1"/>
  <c r="I111" i="17"/>
  <c r="BA111" i="17" s="1"/>
  <c r="H111" i="17"/>
  <c r="AZ111" i="17" s="1"/>
  <c r="F111" i="17"/>
  <c r="AX111" i="17" s="1"/>
  <c r="AW110" i="17"/>
  <c r="AT110" i="17"/>
  <c r="AS110" i="17"/>
  <c r="AR110" i="17"/>
  <c r="AQ110" i="17"/>
  <c r="AP110" i="17"/>
  <c r="AO110" i="17"/>
  <c r="AN110" i="17"/>
  <c r="AM110" i="17"/>
  <c r="AL110" i="17"/>
  <c r="AJ110" i="17"/>
  <c r="AI110" i="17"/>
  <c r="AB110" i="17"/>
  <c r="AA110" i="17"/>
  <c r="Z110" i="17"/>
  <c r="Y110" i="17"/>
  <c r="X110" i="17"/>
  <c r="W110" i="17"/>
  <c r="V110" i="17"/>
  <c r="U110" i="17"/>
  <c r="T110" i="17"/>
  <c r="M110" i="17"/>
  <c r="L110" i="17"/>
  <c r="K110" i="17"/>
  <c r="J110" i="17"/>
  <c r="BB110" i="17" s="1"/>
  <c r="I110" i="17"/>
  <c r="BA110" i="17" s="1"/>
  <c r="H110" i="17"/>
  <c r="AZ110" i="17" s="1"/>
  <c r="F110" i="17"/>
  <c r="AX110" i="17" s="1"/>
  <c r="AW109" i="17"/>
  <c r="AT109" i="17"/>
  <c r="AS109" i="17"/>
  <c r="AR109" i="17"/>
  <c r="AQ109" i="17"/>
  <c r="AP109" i="17"/>
  <c r="AO109" i="17"/>
  <c r="AN109" i="17"/>
  <c r="AM109" i="17"/>
  <c r="AL109" i="17"/>
  <c r="AJ109" i="17"/>
  <c r="AI109" i="17"/>
  <c r="AB109" i="17"/>
  <c r="AA109" i="17"/>
  <c r="Z109" i="17"/>
  <c r="Y109" i="17"/>
  <c r="X109" i="17"/>
  <c r="W109" i="17"/>
  <c r="V109" i="17"/>
  <c r="U109" i="17"/>
  <c r="T109" i="17"/>
  <c r="M109" i="17"/>
  <c r="L109" i="17"/>
  <c r="K109" i="17"/>
  <c r="J109" i="17"/>
  <c r="BB109" i="17" s="1"/>
  <c r="I109" i="17"/>
  <c r="BA109" i="17" s="1"/>
  <c r="H109" i="17"/>
  <c r="AZ109" i="17" s="1"/>
  <c r="F109" i="17"/>
  <c r="AX109" i="17" s="1"/>
  <c r="AW108" i="17"/>
  <c r="AT108" i="17"/>
  <c r="AS108" i="17"/>
  <c r="AR108" i="17"/>
  <c r="AQ108" i="17"/>
  <c r="AP108" i="17"/>
  <c r="AO108" i="17"/>
  <c r="AN108" i="17"/>
  <c r="AM108" i="17"/>
  <c r="AL108" i="17"/>
  <c r="AJ108" i="17"/>
  <c r="AI108" i="17"/>
  <c r="AB108" i="17"/>
  <c r="AA108" i="17"/>
  <c r="Z108" i="17"/>
  <c r="Y108" i="17"/>
  <c r="X108" i="17"/>
  <c r="W108" i="17"/>
  <c r="V108" i="17"/>
  <c r="U108" i="17"/>
  <c r="T108" i="17"/>
  <c r="M108" i="17"/>
  <c r="L108" i="17"/>
  <c r="K108" i="17"/>
  <c r="J108" i="17"/>
  <c r="BB108" i="17" s="1"/>
  <c r="I108" i="17"/>
  <c r="BA108" i="17" s="1"/>
  <c r="H108" i="17"/>
  <c r="AZ108" i="17" s="1"/>
  <c r="F108" i="17"/>
  <c r="AX108" i="17" s="1"/>
  <c r="AW107" i="17"/>
  <c r="AT107" i="17"/>
  <c r="AS107" i="17"/>
  <c r="AR107" i="17"/>
  <c r="AQ107" i="17"/>
  <c r="AP107" i="17"/>
  <c r="AO107" i="17"/>
  <c r="AN107" i="17"/>
  <c r="AM107" i="17"/>
  <c r="AL107" i="17"/>
  <c r="AJ107" i="17"/>
  <c r="AI107" i="17"/>
  <c r="AB107" i="17"/>
  <c r="AA107" i="17"/>
  <c r="Z107" i="17"/>
  <c r="Y107" i="17"/>
  <c r="X107" i="17"/>
  <c r="W107" i="17"/>
  <c r="V107" i="17"/>
  <c r="U107" i="17"/>
  <c r="T107" i="17"/>
  <c r="M107" i="17"/>
  <c r="L107" i="17"/>
  <c r="K107" i="17"/>
  <c r="J107" i="17"/>
  <c r="BB107" i="17" s="1"/>
  <c r="I107" i="17"/>
  <c r="BA107" i="17" s="1"/>
  <c r="H107" i="17"/>
  <c r="AZ107" i="17" s="1"/>
  <c r="F107" i="17"/>
  <c r="AX107" i="17" s="1"/>
  <c r="AW106" i="17"/>
  <c r="AT106" i="17"/>
  <c r="AS106" i="17"/>
  <c r="AR106" i="17"/>
  <c r="AQ106" i="17"/>
  <c r="AP106" i="17"/>
  <c r="AO106" i="17"/>
  <c r="AN106" i="17"/>
  <c r="AM106" i="17"/>
  <c r="AL106" i="17"/>
  <c r="AJ106" i="17"/>
  <c r="AI106" i="17"/>
  <c r="AB106" i="17"/>
  <c r="AA106" i="17"/>
  <c r="Z106" i="17"/>
  <c r="Y106" i="17"/>
  <c r="X106" i="17"/>
  <c r="W106" i="17"/>
  <c r="V106" i="17"/>
  <c r="U106" i="17"/>
  <c r="T106" i="17"/>
  <c r="M106" i="17"/>
  <c r="L106" i="17"/>
  <c r="K106" i="17"/>
  <c r="J106" i="17"/>
  <c r="BB106" i="17" s="1"/>
  <c r="I106" i="17"/>
  <c r="BA106" i="17" s="1"/>
  <c r="H106" i="17"/>
  <c r="AZ106" i="17" s="1"/>
  <c r="F106" i="17"/>
  <c r="AX106" i="17" s="1"/>
  <c r="AW105" i="17"/>
  <c r="AT105" i="17"/>
  <c r="AS105" i="17"/>
  <c r="AR105" i="17"/>
  <c r="AQ105" i="17"/>
  <c r="AP105" i="17"/>
  <c r="AO105" i="17"/>
  <c r="AN105" i="17"/>
  <c r="AM105" i="17"/>
  <c r="AL105" i="17"/>
  <c r="AJ105" i="17"/>
  <c r="AI105" i="17"/>
  <c r="AB105" i="17"/>
  <c r="AA105" i="17"/>
  <c r="Z105" i="17"/>
  <c r="Y105" i="17"/>
  <c r="X105" i="17"/>
  <c r="W105" i="17"/>
  <c r="V105" i="17"/>
  <c r="U105" i="17"/>
  <c r="T105" i="17"/>
  <c r="M105" i="17"/>
  <c r="L105" i="17"/>
  <c r="K105" i="17"/>
  <c r="J105" i="17"/>
  <c r="BB105" i="17" s="1"/>
  <c r="I105" i="17"/>
  <c r="BA105" i="17" s="1"/>
  <c r="H105" i="17"/>
  <c r="AZ105" i="17" s="1"/>
  <c r="F105" i="17"/>
  <c r="AX105" i="17" s="1"/>
  <c r="AW104" i="17"/>
  <c r="AT104" i="17"/>
  <c r="AS104" i="17"/>
  <c r="AR104" i="17"/>
  <c r="AQ104" i="17"/>
  <c r="AP104" i="17"/>
  <c r="AO104" i="17"/>
  <c r="AN104" i="17"/>
  <c r="AM104" i="17"/>
  <c r="AL104" i="17"/>
  <c r="AJ104" i="17"/>
  <c r="AI104" i="17"/>
  <c r="AB104" i="17"/>
  <c r="AA104" i="17"/>
  <c r="Z104" i="17"/>
  <c r="Y104" i="17"/>
  <c r="X104" i="17"/>
  <c r="W104" i="17"/>
  <c r="V104" i="17"/>
  <c r="U104" i="17"/>
  <c r="T104" i="17"/>
  <c r="M104" i="17"/>
  <c r="L104" i="17"/>
  <c r="K104" i="17"/>
  <c r="J104" i="17"/>
  <c r="BB104" i="17" s="1"/>
  <c r="I104" i="17"/>
  <c r="BA104" i="17" s="1"/>
  <c r="H104" i="17"/>
  <c r="AZ104" i="17" s="1"/>
  <c r="F104" i="17"/>
  <c r="AX104" i="17" s="1"/>
  <c r="AW103" i="17"/>
  <c r="AT103" i="17"/>
  <c r="AS103" i="17"/>
  <c r="AR103" i="17"/>
  <c r="AQ103" i="17"/>
  <c r="AP103" i="17"/>
  <c r="AO103" i="17"/>
  <c r="AN103" i="17"/>
  <c r="AM103" i="17"/>
  <c r="AL103" i="17"/>
  <c r="AJ103" i="17"/>
  <c r="AI103" i="17"/>
  <c r="AB103" i="17"/>
  <c r="AA103" i="17"/>
  <c r="Z103" i="17"/>
  <c r="Y103" i="17"/>
  <c r="X103" i="17"/>
  <c r="W103" i="17"/>
  <c r="V103" i="17"/>
  <c r="U103" i="17"/>
  <c r="T103" i="17"/>
  <c r="M103" i="17"/>
  <c r="L103" i="17"/>
  <c r="K103" i="17"/>
  <c r="J103" i="17"/>
  <c r="BB103" i="17" s="1"/>
  <c r="I103" i="17"/>
  <c r="BA103" i="17" s="1"/>
  <c r="H103" i="17"/>
  <c r="AZ103" i="17" s="1"/>
  <c r="F103" i="17"/>
  <c r="AX103" i="17" s="1"/>
  <c r="AW102" i="17"/>
  <c r="AT102" i="17"/>
  <c r="AS102" i="17"/>
  <c r="AR102" i="17"/>
  <c r="AQ102" i="17"/>
  <c r="AP102" i="17"/>
  <c r="AO102" i="17"/>
  <c r="AN102" i="17"/>
  <c r="AM102" i="17"/>
  <c r="AL102" i="17"/>
  <c r="AJ102" i="17"/>
  <c r="AI102" i="17"/>
  <c r="AB102" i="17"/>
  <c r="AA102" i="17"/>
  <c r="Z102" i="17"/>
  <c r="Y102" i="17"/>
  <c r="X102" i="17"/>
  <c r="W102" i="17"/>
  <c r="V102" i="17"/>
  <c r="U102" i="17"/>
  <c r="T102" i="17"/>
  <c r="M102" i="17"/>
  <c r="L102" i="17"/>
  <c r="K102" i="17"/>
  <c r="J102" i="17"/>
  <c r="BB102" i="17" s="1"/>
  <c r="I102" i="17"/>
  <c r="BA102" i="17" s="1"/>
  <c r="H102" i="17"/>
  <c r="AZ102" i="17" s="1"/>
  <c r="F102" i="17"/>
  <c r="AX102" i="17" s="1"/>
  <c r="AW101" i="17"/>
  <c r="AT101" i="17"/>
  <c r="AS101" i="17"/>
  <c r="AR101" i="17"/>
  <c r="AQ101" i="17"/>
  <c r="AP101" i="17"/>
  <c r="AO101" i="17"/>
  <c r="AN101" i="17"/>
  <c r="AM101" i="17"/>
  <c r="AL101" i="17"/>
  <c r="AJ101" i="17"/>
  <c r="AI101" i="17"/>
  <c r="AB101" i="17"/>
  <c r="AA101" i="17"/>
  <c r="Z101" i="17"/>
  <c r="Y101" i="17"/>
  <c r="X101" i="17"/>
  <c r="W101" i="17"/>
  <c r="V101" i="17"/>
  <c r="U101" i="17"/>
  <c r="T101" i="17"/>
  <c r="M101" i="17"/>
  <c r="L101" i="17"/>
  <c r="K101" i="17"/>
  <c r="J101" i="17"/>
  <c r="BB101" i="17" s="1"/>
  <c r="I101" i="17"/>
  <c r="BA101" i="17" s="1"/>
  <c r="H101" i="17"/>
  <c r="AZ101" i="17" s="1"/>
  <c r="F101" i="17"/>
  <c r="AX101" i="17" s="1"/>
  <c r="AW100" i="17"/>
  <c r="AT100" i="17"/>
  <c r="AS100" i="17"/>
  <c r="AR100" i="17"/>
  <c r="AQ100" i="17"/>
  <c r="AP100" i="17"/>
  <c r="AO100" i="17"/>
  <c r="AN100" i="17"/>
  <c r="AM100" i="17"/>
  <c r="AL100" i="17"/>
  <c r="AJ100" i="17"/>
  <c r="AI100" i="17"/>
  <c r="AB100" i="17"/>
  <c r="AA100" i="17"/>
  <c r="Z100" i="17"/>
  <c r="Y100" i="17"/>
  <c r="X100" i="17"/>
  <c r="W100" i="17"/>
  <c r="V100" i="17"/>
  <c r="U100" i="17"/>
  <c r="T100" i="17"/>
  <c r="M100" i="17"/>
  <c r="L100" i="17"/>
  <c r="K100" i="17"/>
  <c r="J100" i="17"/>
  <c r="BB100" i="17" s="1"/>
  <c r="I100" i="17"/>
  <c r="BA100" i="17" s="1"/>
  <c r="H100" i="17"/>
  <c r="AZ100" i="17" s="1"/>
  <c r="F100" i="17"/>
  <c r="AX100" i="17" s="1"/>
  <c r="AW99" i="17"/>
  <c r="AT99" i="17"/>
  <c r="AS99" i="17"/>
  <c r="AR99" i="17"/>
  <c r="AQ99" i="17"/>
  <c r="AP99" i="17"/>
  <c r="AO99" i="17"/>
  <c r="AN99" i="17"/>
  <c r="AM99" i="17"/>
  <c r="AL99" i="17"/>
  <c r="AJ99" i="17"/>
  <c r="AI99" i="17"/>
  <c r="AB99" i="17"/>
  <c r="AA99" i="17"/>
  <c r="Z99" i="17"/>
  <c r="Y99" i="17"/>
  <c r="X99" i="17"/>
  <c r="W99" i="17"/>
  <c r="V99" i="17"/>
  <c r="U99" i="17"/>
  <c r="T99" i="17"/>
  <c r="M99" i="17"/>
  <c r="L99" i="17"/>
  <c r="K99" i="17"/>
  <c r="J99" i="17"/>
  <c r="BB99" i="17" s="1"/>
  <c r="I99" i="17"/>
  <c r="BA99" i="17" s="1"/>
  <c r="H99" i="17"/>
  <c r="AZ99" i="17" s="1"/>
  <c r="F99" i="17"/>
  <c r="AX99" i="17" s="1"/>
  <c r="AW98" i="17"/>
  <c r="AT98" i="17"/>
  <c r="AS98" i="17"/>
  <c r="AR98" i="17"/>
  <c r="AQ98" i="17"/>
  <c r="AP98" i="17"/>
  <c r="AO98" i="17"/>
  <c r="AN98" i="17"/>
  <c r="AM98" i="17"/>
  <c r="AL98" i="17"/>
  <c r="AJ98" i="17"/>
  <c r="AI98" i="17"/>
  <c r="AB98" i="17"/>
  <c r="AA98" i="17"/>
  <c r="Z98" i="17"/>
  <c r="Y98" i="17"/>
  <c r="X98" i="17"/>
  <c r="W98" i="17"/>
  <c r="V98" i="17"/>
  <c r="U98" i="17"/>
  <c r="T98" i="17"/>
  <c r="M98" i="17"/>
  <c r="L98" i="17"/>
  <c r="K98" i="17"/>
  <c r="J98" i="17"/>
  <c r="BB98" i="17" s="1"/>
  <c r="I98" i="17"/>
  <c r="BA98" i="17" s="1"/>
  <c r="H98" i="17"/>
  <c r="AZ98" i="17" s="1"/>
  <c r="F98" i="17"/>
  <c r="AX98" i="17" s="1"/>
  <c r="AW97" i="17"/>
  <c r="AT97" i="17"/>
  <c r="AS97" i="17"/>
  <c r="AR97" i="17"/>
  <c r="AQ97" i="17"/>
  <c r="AP97" i="17"/>
  <c r="AO97" i="17"/>
  <c r="AN97" i="17"/>
  <c r="AM97" i="17"/>
  <c r="AL97" i="17"/>
  <c r="AJ97" i="17"/>
  <c r="AI97" i="17"/>
  <c r="AB97" i="17"/>
  <c r="AA97" i="17"/>
  <c r="Z97" i="17"/>
  <c r="Y97" i="17"/>
  <c r="X97" i="17"/>
  <c r="W97" i="17"/>
  <c r="V97" i="17"/>
  <c r="U97" i="17"/>
  <c r="T97" i="17"/>
  <c r="M97" i="17"/>
  <c r="L97" i="17"/>
  <c r="K97" i="17"/>
  <c r="J97" i="17"/>
  <c r="BB97" i="17" s="1"/>
  <c r="I97" i="17"/>
  <c r="BA97" i="17" s="1"/>
  <c r="H97" i="17"/>
  <c r="AZ97" i="17" s="1"/>
  <c r="F97" i="17"/>
  <c r="AX97" i="17" s="1"/>
  <c r="AW96" i="17"/>
  <c r="AT96" i="17"/>
  <c r="AS96" i="17"/>
  <c r="AR96" i="17"/>
  <c r="AQ96" i="17"/>
  <c r="AP96" i="17"/>
  <c r="AO96" i="17"/>
  <c r="AN96" i="17"/>
  <c r="AM96" i="17"/>
  <c r="AL96" i="17"/>
  <c r="AJ96" i="17"/>
  <c r="AI96" i="17"/>
  <c r="AB96" i="17"/>
  <c r="AA96" i="17"/>
  <c r="Z96" i="17"/>
  <c r="Y96" i="17"/>
  <c r="X96" i="17"/>
  <c r="W96" i="17"/>
  <c r="V96" i="17"/>
  <c r="U96" i="17"/>
  <c r="T96" i="17"/>
  <c r="M96" i="17"/>
  <c r="L96" i="17"/>
  <c r="K96" i="17"/>
  <c r="J96" i="17"/>
  <c r="BB96" i="17" s="1"/>
  <c r="I96" i="17"/>
  <c r="BA96" i="17" s="1"/>
  <c r="H96" i="17"/>
  <c r="AZ96" i="17" s="1"/>
  <c r="F96" i="17"/>
  <c r="AX96" i="17" s="1"/>
  <c r="AW95" i="17"/>
  <c r="AT95" i="17"/>
  <c r="AS95" i="17"/>
  <c r="AR95" i="17"/>
  <c r="AQ95" i="17"/>
  <c r="AP95" i="17"/>
  <c r="AO95" i="17"/>
  <c r="AN95" i="17"/>
  <c r="AM95" i="17"/>
  <c r="AL95" i="17"/>
  <c r="AJ95" i="17"/>
  <c r="AI95" i="17"/>
  <c r="AB95" i="17"/>
  <c r="AA95" i="17"/>
  <c r="Z95" i="17"/>
  <c r="Y95" i="17"/>
  <c r="X95" i="17"/>
  <c r="W95" i="17"/>
  <c r="V95" i="17"/>
  <c r="U95" i="17"/>
  <c r="T95" i="17"/>
  <c r="M95" i="17"/>
  <c r="L95" i="17"/>
  <c r="K95" i="17"/>
  <c r="J95" i="17"/>
  <c r="BB95" i="17" s="1"/>
  <c r="I95" i="17"/>
  <c r="BA95" i="17" s="1"/>
  <c r="H95" i="17"/>
  <c r="AZ95" i="17" s="1"/>
  <c r="F95" i="17"/>
  <c r="AX95" i="17" s="1"/>
  <c r="AW94" i="17"/>
  <c r="AT94" i="17"/>
  <c r="AS94" i="17"/>
  <c r="AR94" i="17"/>
  <c r="AQ94" i="17"/>
  <c r="AP94" i="17"/>
  <c r="AO94" i="17"/>
  <c r="AN94" i="17"/>
  <c r="AM94" i="17"/>
  <c r="AL94" i="17"/>
  <c r="AJ94" i="17"/>
  <c r="AI94" i="17"/>
  <c r="AB94" i="17"/>
  <c r="AA94" i="17"/>
  <c r="Z94" i="17"/>
  <c r="Y94" i="17"/>
  <c r="X94" i="17"/>
  <c r="W94" i="17"/>
  <c r="V94" i="17"/>
  <c r="U94" i="17"/>
  <c r="T94" i="17"/>
  <c r="M94" i="17"/>
  <c r="L94" i="17"/>
  <c r="K94" i="17"/>
  <c r="J94" i="17"/>
  <c r="BB94" i="17" s="1"/>
  <c r="I94" i="17"/>
  <c r="BA94" i="17" s="1"/>
  <c r="H94" i="17"/>
  <c r="AZ94" i="17" s="1"/>
  <c r="F94" i="17"/>
  <c r="AX94" i="17" s="1"/>
  <c r="AW93" i="17"/>
  <c r="AT93" i="17"/>
  <c r="AS93" i="17"/>
  <c r="AR93" i="17"/>
  <c r="AQ93" i="17"/>
  <c r="AP93" i="17"/>
  <c r="AO93" i="17"/>
  <c r="AN93" i="17"/>
  <c r="AM93" i="17"/>
  <c r="AL93" i="17"/>
  <c r="AJ93" i="17"/>
  <c r="AI93" i="17"/>
  <c r="AB93" i="17"/>
  <c r="AA93" i="17"/>
  <c r="Z93" i="17"/>
  <c r="Y93" i="17"/>
  <c r="X93" i="17"/>
  <c r="W93" i="17"/>
  <c r="V93" i="17"/>
  <c r="U93" i="17"/>
  <c r="T93" i="17"/>
  <c r="M93" i="17"/>
  <c r="L93" i="17"/>
  <c r="K93" i="17"/>
  <c r="J93" i="17"/>
  <c r="BB93" i="17" s="1"/>
  <c r="I93" i="17"/>
  <c r="BA93" i="17" s="1"/>
  <c r="H93" i="17"/>
  <c r="AZ93" i="17" s="1"/>
  <c r="F93" i="17"/>
  <c r="AX93" i="17" s="1"/>
  <c r="AW92" i="17"/>
  <c r="AT92" i="17"/>
  <c r="AS92" i="17"/>
  <c r="AR92" i="17"/>
  <c r="AQ92" i="17"/>
  <c r="AP92" i="17"/>
  <c r="AO92" i="17"/>
  <c r="AN92" i="17"/>
  <c r="AM92" i="17"/>
  <c r="AL92" i="17"/>
  <c r="AJ92" i="17"/>
  <c r="AI92" i="17"/>
  <c r="AB92" i="17"/>
  <c r="AA92" i="17"/>
  <c r="Z92" i="17"/>
  <c r="Y92" i="17"/>
  <c r="X92" i="17"/>
  <c r="W92" i="17"/>
  <c r="V92" i="17"/>
  <c r="U92" i="17"/>
  <c r="T92" i="17"/>
  <c r="M92" i="17"/>
  <c r="L92" i="17"/>
  <c r="K92" i="17"/>
  <c r="J92" i="17"/>
  <c r="BB92" i="17" s="1"/>
  <c r="I92" i="17"/>
  <c r="BA92" i="17" s="1"/>
  <c r="H92" i="17"/>
  <c r="AZ92" i="17" s="1"/>
  <c r="F92" i="17"/>
  <c r="AX92" i="17" s="1"/>
  <c r="AW91" i="17"/>
  <c r="AT91" i="17"/>
  <c r="AS91" i="17"/>
  <c r="AR91" i="17"/>
  <c r="AQ91" i="17"/>
  <c r="AP91" i="17"/>
  <c r="AO91" i="17"/>
  <c r="AN91" i="17"/>
  <c r="AM91" i="17"/>
  <c r="AL91" i="17"/>
  <c r="AJ91" i="17"/>
  <c r="AI91" i="17"/>
  <c r="AB91" i="17"/>
  <c r="AA91" i="17"/>
  <c r="Z91" i="17"/>
  <c r="Y91" i="17"/>
  <c r="X91" i="17"/>
  <c r="W91" i="17"/>
  <c r="V91" i="17"/>
  <c r="U91" i="17"/>
  <c r="T91" i="17"/>
  <c r="M91" i="17"/>
  <c r="L91" i="17"/>
  <c r="K91" i="17"/>
  <c r="J91" i="17"/>
  <c r="BB91" i="17" s="1"/>
  <c r="I91" i="17"/>
  <c r="BA91" i="17" s="1"/>
  <c r="H91" i="17"/>
  <c r="AZ91" i="17" s="1"/>
  <c r="F91" i="17"/>
  <c r="AX91" i="17" s="1"/>
  <c r="AW90" i="17"/>
  <c r="AT90" i="17"/>
  <c r="AS90" i="17"/>
  <c r="AR90" i="17"/>
  <c r="AQ90" i="17"/>
  <c r="AP90" i="17"/>
  <c r="AO90" i="17"/>
  <c r="AN90" i="17"/>
  <c r="AM90" i="17"/>
  <c r="AL90" i="17"/>
  <c r="AJ90" i="17"/>
  <c r="AI90" i="17"/>
  <c r="AB90" i="17"/>
  <c r="AA90" i="17"/>
  <c r="Z90" i="17"/>
  <c r="Y90" i="17"/>
  <c r="X90" i="17"/>
  <c r="W90" i="17"/>
  <c r="V90" i="17"/>
  <c r="U90" i="17"/>
  <c r="T90" i="17"/>
  <c r="M90" i="17"/>
  <c r="L90" i="17"/>
  <c r="K90" i="17"/>
  <c r="J90" i="17"/>
  <c r="BB90" i="17" s="1"/>
  <c r="I90" i="17"/>
  <c r="BA90" i="17" s="1"/>
  <c r="H90" i="17"/>
  <c r="AZ90" i="17" s="1"/>
  <c r="F90" i="17"/>
  <c r="AX90" i="17" s="1"/>
  <c r="AW89" i="17"/>
  <c r="AT89" i="17"/>
  <c r="AS89" i="17"/>
  <c r="AR89" i="17"/>
  <c r="AQ89" i="17"/>
  <c r="AP89" i="17"/>
  <c r="AO89" i="17"/>
  <c r="AN89" i="17"/>
  <c r="AM89" i="17"/>
  <c r="AL89" i="17"/>
  <c r="AJ89" i="17"/>
  <c r="AI89" i="17"/>
  <c r="AB89" i="17"/>
  <c r="AA89" i="17"/>
  <c r="Z89" i="17"/>
  <c r="Y89" i="17"/>
  <c r="X89" i="17"/>
  <c r="W89" i="17"/>
  <c r="V89" i="17"/>
  <c r="U89" i="17"/>
  <c r="T89" i="17"/>
  <c r="M89" i="17"/>
  <c r="L89" i="17"/>
  <c r="K89" i="17"/>
  <c r="J89" i="17"/>
  <c r="BB89" i="17" s="1"/>
  <c r="I89" i="17"/>
  <c r="BA89" i="17" s="1"/>
  <c r="H89" i="17"/>
  <c r="AZ89" i="17" s="1"/>
  <c r="F89" i="17"/>
  <c r="AX89" i="17" s="1"/>
  <c r="AW88" i="17"/>
  <c r="AT88" i="17"/>
  <c r="AS88" i="17"/>
  <c r="AR88" i="17"/>
  <c r="AQ88" i="17"/>
  <c r="AP88" i="17"/>
  <c r="AO88" i="17"/>
  <c r="AN88" i="17"/>
  <c r="AM88" i="17"/>
  <c r="AL88" i="17"/>
  <c r="AJ88" i="17"/>
  <c r="AI88" i="17"/>
  <c r="AB88" i="17"/>
  <c r="AA88" i="17"/>
  <c r="Z88" i="17"/>
  <c r="Y88" i="17"/>
  <c r="X88" i="17"/>
  <c r="W88" i="17"/>
  <c r="V88" i="17"/>
  <c r="U88" i="17"/>
  <c r="T88" i="17"/>
  <c r="M88" i="17"/>
  <c r="L88" i="17"/>
  <c r="K88" i="17"/>
  <c r="J88" i="17"/>
  <c r="BB88" i="17" s="1"/>
  <c r="I88" i="17"/>
  <c r="BA88" i="17" s="1"/>
  <c r="H88" i="17"/>
  <c r="AZ88" i="17" s="1"/>
  <c r="F88" i="17"/>
  <c r="AX88" i="17" s="1"/>
  <c r="AW87" i="17"/>
  <c r="AT87" i="17"/>
  <c r="AS87" i="17"/>
  <c r="AR87" i="17"/>
  <c r="AQ87" i="17"/>
  <c r="AP87" i="17"/>
  <c r="AO87" i="17"/>
  <c r="AN87" i="17"/>
  <c r="AM87" i="17"/>
  <c r="AL87" i="17"/>
  <c r="AJ87" i="17"/>
  <c r="AI87" i="17"/>
  <c r="AB87" i="17"/>
  <c r="AA87" i="17"/>
  <c r="Z87" i="17"/>
  <c r="Y87" i="17"/>
  <c r="X87" i="17"/>
  <c r="W87" i="17"/>
  <c r="V87" i="17"/>
  <c r="U87" i="17"/>
  <c r="T87" i="17"/>
  <c r="M87" i="17"/>
  <c r="L87" i="17"/>
  <c r="K87" i="17"/>
  <c r="J87" i="17"/>
  <c r="BB87" i="17" s="1"/>
  <c r="I87" i="17"/>
  <c r="BA87" i="17" s="1"/>
  <c r="H87" i="17"/>
  <c r="AZ87" i="17" s="1"/>
  <c r="F87" i="17"/>
  <c r="AX87" i="17" s="1"/>
  <c r="AW86" i="17"/>
  <c r="AT86" i="17"/>
  <c r="AS86" i="17"/>
  <c r="AR86" i="17"/>
  <c r="AQ86" i="17"/>
  <c r="AP86" i="17"/>
  <c r="AO86" i="17"/>
  <c r="AN86" i="17"/>
  <c r="AM86" i="17"/>
  <c r="AL86" i="17"/>
  <c r="AJ86" i="17"/>
  <c r="AI86" i="17"/>
  <c r="AB86" i="17"/>
  <c r="AA86" i="17"/>
  <c r="Z86" i="17"/>
  <c r="Y86" i="17"/>
  <c r="X86" i="17"/>
  <c r="W86" i="17"/>
  <c r="V86" i="17"/>
  <c r="U86" i="17"/>
  <c r="T86" i="17"/>
  <c r="M86" i="17"/>
  <c r="L86" i="17"/>
  <c r="K86" i="17"/>
  <c r="J86" i="17"/>
  <c r="BB86" i="17" s="1"/>
  <c r="I86" i="17"/>
  <c r="BA86" i="17" s="1"/>
  <c r="H86" i="17"/>
  <c r="AZ86" i="17" s="1"/>
  <c r="F86" i="17"/>
  <c r="AX86" i="17" s="1"/>
  <c r="AW85" i="17"/>
  <c r="AT85" i="17"/>
  <c r="AS85" i="17"/>
  <c r="AR85" i="17"/>
  <c r="AQ85" i="17"/>
  <c r="AP85" i="17"/>
  <c r="AO85" i="17"/>
  <c r="AN85" i="17"/>
  <c r="AM85" i="17"/>
  <c r="AL85" i="17"/>
  <c r="AJ85" i="17"/>
  <c r="AI85" i="17"/>
  <c r="AB85" i="17"/>
  <c r="AA85" i="17"/>
  <c r="Z85" i="17"/>
  <c r="Y85" i="17"/>
  <c r="X85" i="17"/>
  <c r="W85" i="17"/>
  <c r="V85" i="17"/>
  <c r="U85" i="17"/>
  <c r="T85" i="17"/>
  <c r="M85" i="17"/>
  <c r="L85" i="17"/>
  <c r="K85" i="17"/>
  <c r="J85" i="17"/>
  <c r="BB85" i="17" s="1"/>
  <c r="I85" i="17"/>
  <c r="BA85" i="17" s="1"/>
  <c r="H85" i="17"/>
  <c r="AZ85" i="17" s="1"/>
  <c r="F85" i="17"/>
  <c r="AX85" i="17" s="1"/>
  <c r="AW84" i="17"/>
  <c r="AT84" i="17"/>
  <c r="AS84" i="17"/>
  <c r="AR84" i="17"/>
  <c r="AQ84" i="17"/>
  <c r="AP84" i="17"/>
  <c r="AO84" i="17"/>
  <c r="AN84" i="17"/>
  <c r="AM84" i="17"/>
  <c r="AL84" i="17"/>
  <c r="AJ84" i="17"/>
  <c r="AI84" i="17"/>
  <c r="AB84" i="17"/>
  <c r="AA84" i="17"/>
  <c r="Z84" i="17"/>
  <c r="Y84" i="17"/>
  <c r="X84" i="17"/>
  <c r="W84" i="17"/>
  <c r="V84" i="17"/>
  <c r="U84" i="17"/>
  <c r="T84" i="17"/>
  <c r="M84" i="17"/>
  <c r="L84" i="17"/>
  <c r="K84" i="17"/>
  <c r="J84" i="17"/>
  <c r="BB84" i="17" s="1"/>
  <c r="I84" i="17"/>
  <c r="BA84" i="17" s="1"/>
  <c r="H84" i="17"/>
  <c r="AZ84" i="17" s="1"/>
  <c r="F84" i="17"/>
  <c r="AX84" i="17" s="1"/>
  <c r="AW83" i="17"/>
  <c r="AT83" i="17"/>
  <c r="AS83" i="17"/>
  <c r="AR83" i="17"/>
  <c r="AQ83" i="17"/>
  <c r="AP83" i="17"/>
  <c r="AO83" i="17"/>
  <c r="AN83" i="17"/>
  <c r="AM83" i="17"/>
  <c r="AL83" i="17"/>
  <c r="AJ83" i="17"/>
  <c r="AI83" i="17"/>
  <c r="AB83" i="17"/>
  <c r="AA83" i="17"/>
  <c r="Z83" i="17"/>
  <c r="Y83" i="17"/>
  <c r="X83" i="17"/>
  <c r="W83" i="17"/>
  <c r="V83" i="17"/>
  <c r="U83" i="17"/>
  <c r="T83" i="17"/>
  <c r="M83" i="17"/>
  <c r="L83" i="17"/>
  <c r="K83" i="17"/>
  <c r="J83" i="17"/>
  <c r="BB83" i="17" s="1"/>
  <c r="I83" i="17"/>
  <c r="BA83" i="17" s="1"/>
  <c r="H83" i="17"/>
  <c r="AZ83" i="17" s="1"/>
  <c r="F83" i="17"/>
  <c r="AX83" i="17" s="1"/>
  <c r="AW82" i="17"/>
  <c r="AT82" i="17"/>
  <c r="AS82" i="17"/>
  <c r="AR82" i="17"/>
  <c r="AQ82" i="17"/>
  <c r="AP82" i="17"/>
  <c r="AO82" i="17"/>
  <c r="AN82" i="17"/>
  <c r="AM82" i="17"/>
  <c r="AL82" i="17"/>
  <c r="AJ82" i="17"/>
  <c r="AI82" i="17"/>
  <c r="AB82" i="17"/>
  <c r="AA82" i="17"/>
  <c r="Z82" i="17"/>
  <c r="Y82" i="17"/>
  <c r="X82" i="17"/>
  <c r="W82" i="17"/>
  <c r="V82" i="17"/>
  <c r="U82" i="17"/>
  <c r="T82" i="17"/>
  <c r="M82" i="17"/>
  <c r="L82" i="17"/>
  <c r="K82" i="17"/>
  <c r="J82" i="17"/>
  <c r="BB82" i="17" s="1"/>
  <c r="I82" i="17"/>
  <c r="BA82" i="17" s="1"/>
  <c r="H82" i="17"/>
  <c r="AZ82" i="17" s="1"/>
  <c r="F82" i="17"/>
  <c r="AX82" i="17" s="1"/>
  <c r="AW81" i="17"/>
  <c r="AT81" i="17"/>
  <c r="AS81" i="17"/>
  <c r="AR81" i="17"/>
  <c r="AQ81" i="17"/>
  <c r="AP81" i="17"/>
  <c r="AO81" i="17"/>
  <c r="AN81" i="17"/>
  <c r="AM81" i="17"/>
  <c r="AL81" i="17"/>
  <c r="AJ81" i="17"/>
  <c r="AI81" i="17"/>
  <c r="AB81" i="17"/>
  <c r="AA81" i="17"/>
  <c r="Z81" i="17"/>
  <c r="Y81" i="17"/>
  <c r="X81" i="17"/>
  <c r="W81" i="17"/>
  <c r="V81" i="17"/>
  <c r="U81" i="17"/>
  <c r="T81" i="17"/>
  <c r="M81" i="17"/>
  <c r="L81" i="17"/>
  <c r="K81" i="17"/>
  <c r="J81" i="17"/>
  <c r="BB81" i="17" s="1"/>
  <c r="I81" i="17"/>
  <c r="BA81" i="17" s="1"/>
  <c r="H81" i="17"/>
  <c r="AZ81" i="17" s="1"/>
  <c r="F81" i="17"/>
  <c r="AX81" i="17" s="1"/>
  <c r="AW80" i="17"/>
  <c r="AT80" i="17"/>
  <c r="AS80" i="17"/>
  <c r="AR80" i="17"/>
  <c r="AQ80" i="17"/>
  <c r="AP80" i="17"/>
  <c r="AO80" i="17"/>
  <c r="AN80" i="17"/>
  <c r="AM80" i="17"/>
  <c r="AL80" i="17"/>
  <c r="AJ80" i="17"/>
  <c r="AI80" i="17"/>
  <c r="AB80" i="17"/>
  <c r="AA80" i="17"/>
  <c r="Z80" i="17"/>
  <c r="Y80" i="17"/>
  <c r="X80" i="17"/>
  <c r="W80" i="17"/>
  <c r="V80" i="17"/>
  <c r="U80" i="17"/>
  <c r="T80" i="17"/>
  <c r="M80" i="17"/>
  <c r="L80" i="17"/>
  <c r="K80" i="17"/>
  <c r="J80" i="17"/>
  <c r="BB80" i="17" s="1"/>
  <c r="I80" i="17"/>
  <c r="BA80" i="17" s="1"/>
  <c r="H80" i="17"/>
  <c r="AZ80" i="17" s="1"/>
  <c r="F80" i="17"/>
  <c r="AX80" i="17" s="1"/>
  <c r="AW79" i="17"/>
  <c r="AT79" i="17"/>
  <c r="AS79" i="17"/>
  <c r="AR79" i="17"/>
  <c r="AQ79" i="17"/>
  <c r="AP79" i="17"/>
  <c r="AO79" i="17"/>
  <c r="AN79" i="17"/>
  <c r="AM79" i="17"/>
  <c r="AL79" i="17"/>
  <c r="AJ79" i="17"/>
  <c r="AI79" i="17"/>
  <c r="AB79" i="17"/>
  <c r="AA79" i="17"/>
  <c r="Z79" i="17"/>
  <c r="Y79" i="17"/>
  <c r="X79" i="17"/>
  <c r="W79" i="17"/>
  <c r="V79" i="17"/>
  <c r="U79" i="17"/>
  <c r="T79" i="17"/>
  <c r="M79" i="17"/>
  <c r="L79" i="17"/>
  <c r="K79" i="17"/>
  <c r="J79" i="17"/>
  <c r="BB79" i="17" s="1"/>
  <c r="I79" i="17"/>
  <c r="BA79" i="17" s="1"/>
  <c r="H79" i="17"/>
  <c r="AZ79" i="17" s="1"/>
  <c r="F79" i="17"/>
  <c r="AX79" i="17" s="1"/>
  <c r="AW78" i="17"/>
  <c r="AT78" i="17"/>
  <c r="AS78" i="17"/>
  <c r="AR78" i="17"/>
  <c r="AQ78" i="17"/>
  <c r="AP78" i="17"/>
  <c r="AO78" i="17"/>
  <c r="AN78" i="17"/>
  <c r="AM78" i="17"/>
  <c r="AL78" i="17"/>
  <c r="AJ78" i="17"/>
  <c r="AI78" i="17"/>
  <c r="AB78" i="17"/>
  <c r="AA78" i="17"/>
  <c r="Z78" i="17"/>
  <c r="Y78" i="17"/>
  <c r="X78" i="17"/>
  <c r="W78" i="17"/>
  <c r="V78" i="17"/>
  <c r="U78" i="17"/>
  <c r="T78" i="17"/>
  <c r="M78" i="17"/>
  <c r="L78" i="17"/>
  <c r="K78" i="17"/>
  <c r="J78" i="17"/>
  <c r="BB78" i="17" s="1"/>
  <c r="I78" i="17"/>
  <c r="BA78" i="17" s="1"/>
  <c r="H78" i="17"/>
  <c r="AZ78" i="17" s="1"/>
  <c r="F78" i="17"/>
  <c r="AX78" i="17" s="1"/>
  <c r="AW77" i="17"/>
  <c r="AT77" i="17"/>
  <c r="AS77" i="17"/>
  <c r="AR77" i="17"/>
  <c r="AQ77" i="17"/>
  <c r="AP77" i="17"/>
  <c r="AO77" i="17"/>
  <c r="AN77" i="17"/>
  <c r="AM77" i="17"/>
  <c r="AL77" i="17"/>
  <c r="AJ77" i="17"/>
  <c r="AI77" i="17"/>
  <c r="AB77" i="17"/>
  <c r="AA77" i="17"/>
  <c r="Z77" i="17"/>
  <c r="Y77" i="17"/>
  <c r="X77" i="17"/>
  <c r="W77" i="17"/>
  <c r="V77" i="17"/>
  <c r="U77" i="17"/>
  <c r="T77" i="17"/>
  <c r="M77" i="17"/>
  <c r="L77" i="17"/>
  <c r="K77" i="17"/>
  <c r="J77" i="17"/>
  <c r="BB77" i="17" s="1"/>
  <c r="I77" i="17"/>
  <c r="BA77" i="17" s="1"/>
  <c r="H77" i="17"/>
  <c r="AZ77" i="17" s="1"/>
  <c r="F77" i="17"/>
  <c r="AX77" i="17" s="1"/>
  <c r="AW76" i="17"/>
  <c r="AT76" i="17"/>
  <c r="AS76" i="17"/>
  <c r="AR76" i="17"/>
  <c r="AQ76" i="17"/>
  <c r="AP76" i="17"/>
  <c r="AO76" i="17"/>
  <c r="AN76" i="17"/>
  <c r="AM76" i="17"/>
  <c r="AL76" i="17"/>
  <c r="AJ76" i="17"/>
  <c r="AI76" i="17"/>
  <c r="AB76" i="17"/>
  <c r="AA76" i="17"/>
  <c r="Z76" i="17"/>
  <c r="Y76" i="17"/>
  <c r="X76" i="17"/>
  <c r="W76" i="17"/>
  <c r="V76" i="17"/>
  <c r="U76" i="17"/>
  <c r="T76" i="17"/>
  <c r="M76" i="17"/>
  <c r="L76" i="17"/>
  <c r="K76" i="17"/>
  <c r="J76" i="17"/>
  <c r="BB76" i="17" s="1"/>
  <c r="I76" i="17"/>
  <c r="BA76" i="17" s="1"/>
  <c r="H76" i="17"/>
  <c r="AZ76" i="17" s="1"/>
  <c r="F76" i="17"/>
  <c r="AX76" i="17" s="1"/>
  <c r="AW75" i="17"/>
  <c r="AT75" i="17"/>
  <c r="AS75" i="17"/>
  <c r="AR75" i="17"/>
  <c r="AQ75" i="17"/>
  <c r="AP75" i="17"/>
  <c r="AO75" i="17"/>
  <c r="AN75" i="17"/>
  <c r="AM75" i="17"/>
  <c r="AL75" i="17"/>
  <c r="AJ75" i="17"/>
  <c r="AI75" i="17"/>
  <c r="AB75" i="17"/>
  <c r="AA75" i="17"/>
  <c r="Z75" i="17"/>
  <c r="Y75" i="17"/>
  <c r="X75" i="17"/>
  <c r="W75" i="17"/>
  <c r="V75" i="17"/>
  <c r="U75" i="17"/>
  <c r="T75" i="17"/>
  <c r="M75" i="17"/>
  <c r="L75" i="17"/>
  <c r="K75" i="17"/>
  <c r="J75" i="17"/>
  <c r="BB75" i="17" s="1"/>
  <c r="I75" i="17"/>
  <c r="BA75" i="17" s="1"/>
  <c r="H75" i="17"/>
  <c r="AZ75" i="17" s="1"/>
  <c r="F75" i="17"/>
  <c r="AX75" i="17" s="1"/>
  <c r="AW74" i="17"/>
  <c r="AT74" i="17"/>
  <c r="AS74" i="17"/>
  <c r="AR74" i="17"/>
  <c r="AQ74" i="17"/>
  <c r="AP74" i="17"/>
  <c r="AO74" i="17"/>
  <c r="AN74" i="17"/>
  <c r="AM74" i="17"/>
  <c r="AL74" i="17"/>
  <c r="AJ74" i="17"/>
  <c r="AI74" i="17"/>
  <c r="AB74" i="17"/>
  <c r="AA74" i="17"/>
  <c r="Z74" i="17"/>
  <c r="Y74" i="17"/>
  <c r="X74" i="17"/>
  <c r="W74" i="17"/>
  <c r="V74" i="17"/>
  <c r="U74" i="17"/>
  <c r="T74" i="17"/>
  <c r="M74" i="17"/>
  <c r="L74" i="17"/>
  <c r="K74" i="17"/>
  <c r="J74" i="17"/>
  <c r="BB74" i="17" s="1"/>
  <c r="I74" i="17"/>
  <c r="BA74" i="17" s="1"/>
  <c r="H74" i="17"/>
  <c r="AZ74" i="17" s="1"/>
  <c r="F74" i="17"/>
  <c r="AX74" i="17" s="1"/>
  <c r="AW73" i="17"/>
  <c r="AT73" i="17"/>
  <c r="AS73" i="17"/>
  <c r="AR73" i="17"/>
  <c r="AQ73" i="17"/>
  <c r="AP73" i="17"/>
  <c r="AO73" i="17"/>
  <c r="AN73" i="17"/>
  <c r="AM73" i="17"/>
  <c r="AL73" i="17"/>
  <c r="AJ73" i="17"/>
  <c r="AI73" i="17"/>
  <c r="AB73" i="17"/>
  <c r="AA73" i="17"/>
  <c r="Z73" i="17"/>
  <c r="Y73" i="17"/>
  <c r="X73" i="17"/>
  <c r="W73" i="17"/>
  <c r="V73" i="17"/>
  <c r="U73" i="17"/>
  <c r="T73" i="17"/>
  <c r="M73" i="17"/>
  <c r="L73" i="17"/>
  <c r="K73" i="17"/>
  <c r="J73" i="17"/>
  <c r="BB73" i="17" s="1"/>
  <c r="I73" i="17"/>
  <c r="BA73" i="17" s="1"/>
  <c r="H73" i="17"/>
  <c r="AZ73" i="17" s="1"/>
  <c r="F73" i="17"/>
  <c r="AX73" i="17" s="1"/>
  <c r="AW72" i="17"/>
  <c r="AT72" i="17"/>
  <c r="AS72" i="17"/>
  <c r="AR72" i="17"/>
  <c r="AQ72" i="17"/>
  <c r="AP72" i="17"/>
  <c r="AO72" i="17"/>
  <c r="AN72" i="17"/>
  <c r="AM72" i="17"/>
  <c r="AL72" i="17"/>
  <c r="AJ72" i="17"/>
  <c r="AI72" i="17"/>
  <c r="AB72" i="17"/>
  <c r="AA72" i="17"/>
  <c r="Z72" i="17"/>
  <c r="Y72" i="17"/>
  <c r="X72" i="17"/>
  <c r="W72" i="17"/>
  <c r="V72" i="17"/>
  <c r="U72" i="17"/>
  <c r="T72" i="17"/>
  <c r="M72" i="17"/>
  <c r="L72" i="17"/>
  <c r="K72" i="17"/>
  <c r="J72" i="17"/>
  <c r="BB72" i="17" s="1"/>
  <c r="I72" i="17"/>
  <c r="BA72" i="17" s="1"/>
  <c r="H72" i="17"/>
  <c r="AZ72" i="17" s="1"/>
  <c r="F72" i="17"/>
  <c r="AX72" i="17" s="1"/>
  <c r="AW71" i="17"/>
  <c r="AT71" i="17"/>
  <c r="AS71" i="17"/>
  <c r="AR71" i="17"/>
  <c r="AQ71" i="17"/>
  <c r="AP71" i="17"/>
  <c r="AO71" i="17"/>
  <c r="AN71" i="17"/>
  <c r="AM71" i="17"/>
  <c r="AL71" i="17"/>
  <c r="AJ71" i="17"/>
  <c r="AI71" i="17"/>
  <c r="AB71" i="17"/>
  <c r="AA71" i="17"/>
  <c r="Z71" i="17"/>
  <c r="Y71" i="17"/>
  <c r="X71" i="17"/>
  <c r="W71" i="17"/>
  <c r="V71" i="17"/>
  <c r="U71" i="17"/>
  <c r="T71" i="17"/>
  <c r="M71" i="17"/>
  <c r="L71" i="17"/>
  <c r="K71" i="17"/>
  <c r="J71" i="17"/>
  <c r="BB71" i="17" s="1"/>
  <c r="I71" i="17"/>
  <c r="BA71" i="17" s="1"/>
  <c r="H71" i="17"/>
  <c r="AZ71" i="17" s="1"/>
  <c r="F71" i="17"/>
  <c r="AX71" i="17" s="1"/>
  <c r="AW70" i="17"/>
  <c r="AT70" i="17"/>
  <c r="AS70" i="17"/>
  <c r="AR70" i="17"/>
  <c r="AQ70" i="17"/>
  <c r="AP70" i="17"/>
  <c r="AO70" i="17"/>
  <c r="AN70" i="17"/>
  <c r="AM70" i="17"/>
  <c r="AL70" i="17"/>
  <c r="AJ70" i="17"/>
  <c r="AI70" i="17"/>
  <c r="AB70" i="17"/>
  <c r="AA70" i="17"/>
  <c r="Z70" i="17"/>
  <c r="Y70" i="17"/>
  <c r="X70" i="17"/>
  <c r="W70" i="17"/>
  <c r="V70" i="17"/>
  <c r="U70" i="17"/>
  <c r="T70" i="17"/>
  <c r="M70" i="17"/>
  <c r="L70" i="17"/>
  <c r="K70" i="17"/>
  <c r="J70" i="17"/>
  <c r="BB70" i="17" s="1"/>
  <c r="I70" i="17"/>
  <c r="BA70" i="17" s="1"/>
  <c r="H70" i="17"/>
  <c r="AZ70" i="17" s="1"/>
  <c r="F70" i="17"/>
  <c r="AX70" i="17" s="1"/>
  <c r="AW69" i="17"/>
  <c r="AT69" i="17"/>
  <c r="AS69" i="17"/>
  <c r="AR69" i="17"/>
  <c r="AQ69" i="17"/>
  <c r="AP69" i="17"/>
  <c r="AO69" i="17"/>
  <c r="AN69" i="17"/>
  <c r="AM69" i="17"/>
  <c r="AL69" i="17"/>
  <c r="AJ69" i="17"/>
  <c r="AI69" i="17"/>
  <c r="AB69" i="17"/>
  <c r="AA69" i="17"/>
  <c r="Z69" i="17"/>
  <c r="Y69" i="17"/>
  <c r="X69" i="17"/>
  <c r="W69" i="17"/>
  <c r="V69" i="17"/>
  <c r="U69" i="17"/>
  <c r="T69" i="17"/>
  <c r="M69" i="17"/>
  <c r="L69" i="17"/>
  <c r="K69" i="17"/>
  <c r="J69" i="17"/>
  <c r="BB69" i="17" s="1"/>
  <c r="I69" i="17"/>
  <c r="BA69" i="17" s="1"/>
  <c r="H69" i="17"/>
  <c r="AZ69" i="17" s="1"/>
  <c r="F69" i="17"/>
  <c r="AX69" i="17" s="1"/>
  <c r="AW68" i="17"/>
  <c r="AT68" i="17"/>
  <c r="AS68" i="17"/>
  <c r="AR68" i="17"/>
  <c r="AQ68" i="17"/>
  <c r="AP68" i="17"/>
  <c r="AO68" i="17"/>
  <c r="AN68" i="17"/>
  <c r="AM68" i="17"/>
  <c r="AL68" i="17"/>
  <c r="AJ68" i="17"/>
  <c r="AI68" i="17"/>
  <c r="AB68" i="17"/>
  <c r="AA68" i="17"/>
  <c r="Z68" i="17"/>
  <c r="Y68" i="17"/>
  <c r="X68" i="17"/>
  <c r="W68" i="17"/>
  <c r="V68" i="17"/>
  <c r="U68" i="17"/>
  <c r="T68" i="17"/>
  <c r="M68" i="17"/>
  <c r="L68" i="17"/>
  <c r="K68" i="17"/>
  <c r="J68" i="17"/>
  <c r="BB68" i="17" s="1"/>
  <c r="I68" i="17"/>
  <c r="BA68" i="17" s="1"/>
  <c r="H68" i="17"/>
  <c r="AZ68" i="17" s="1"/>
  <c r="F68" i="17"/>
  <c r="AX68" i="17" s="1"/>
  <c r="AW67" i="17"/>
  <c r="AT67" i="17"/>
  <c r="AS67" i="17"/>
  <c r="AR67" i="17"/>
  <c r="AQ67" i="17"/>
  <c r="AP67" i="17"/>
  <c r="AO67" i="17"/>
  <c r="AN67" i="17"/>
  <c r="AM67" i="17"/>
  <c r="AL67" i="17"/>
  <c r="AJ67" i="17"/>
  <c r="AI67" i="17"/>
  <c r="AB67" i="17"/>
  <c r="AA67" i="17"/>
  <c r="Z67" i="17"/>
  <c r="Y67" i="17"/>
  <c r="X67" i="17"/>
  <c r="W67" i="17"/>
  <c r="V67" i="17"/>
  <c r="U67" i="17"/>
  <c r="T67" i="17"/>
  <c r="M67" i="17"/>
  <c r="L67" i="17"/>
  <c r="K67" i="17"/>
  <c r="J67" i="17"/>
  <c r="BB67" i="17" s="1"/>
  <c r="I67" i="17"/>
  <c r="BA67" i="17" s="1"/>
  <c r="H67" i="17"/>
  <c r="AZ67" i="17" s="1"/>
  <c r="F67" i="17"/>
  <c r="AX67" i="17" s="1"/>
  <c r="AW66" i="17"/>
  <c r="AT66" i="17"/>
  <c r="AS66" i="17"/>
  <c r="AR66" i="17"/>
  <c r="AQ66" i="17"/>
  <c r="AP66" i="17"/>
  <c r="AO66" i="17"/>
  <c r="AN66" i="17"/>
  <c r="AM66" i="17"/>
  <c r="AL66" i="17"/>
  <c r="AJ66" i="17"/>
  <c r="AI66" i="17"/>
  <c r="AB66" i="17"/>
  <c r="AA66" i="17"/>
  <c r="Z66" i="17"/>
  <c r="Y66" i="17"/>
  <c r="X66" i="17"/>
  <c r="W66" i="17"/>
  <c r="V66" i="17"/>
  <c r="U66" i="17"/>
  <c r="T66" i="17"/>
  <c r="M66" i="17"/>
  <c r="L66" i="17"/>
  <c r="K66" i="17"/>
  <c r="J66" i="17"/>
  <c r="BB66" i="17" s="1"/>
  <c r="I66" i="17"/>
  <c r="BA66" i="17" s="1"/>
  <c r="H66" i="17"/>
  <c r="AZ66" i="17" s="1"/>
  <c r="F66" i="17"/>
  <c r="AX66" i="17" s="1"/>
  <c r="AW65" i="17"/>
  <c r="AT65" i="17"/>
  <c r="AS65" i="17"/>
  <c r="AR65" i="17"/>
  <c r="AQ65" i="17"/>
  <c r="AP65" i="17"/>
  <c r="AO65" i="17"/>
  <c r="AN65" i="17"/>
  <c r="AM65" i="17"/>
  <c r="AL65" i="17"/>
  <c r="AJ65" i="17"/>
  <c r="AI65" i="17"/>
  <c r="AB65" i="17"/>
  <c r="AA65" i="17"/>
  <c r="Z65" i="17"/>
  <c r="Y65" i="17"/>
  <c r="X65" i="17"/>
  <c r="W65" i="17"/>
  <c r="V65" i="17"/>
  <c r="U65" i="17"/>
  <c r="T65" i="17"/>
  <c r="M65" i="17"/>
  <c r="L65" i="17"/>
  <c r="K65" i="17"/>
  <c r="J65" i="17"/>
  <c r="BB65" i="17" s="1"/>
  <c r="I65" i="17"/>
  <c r="BA65" i="17" s="1"/>
  <c r="H65" i="17"/>
  <c r="AZ65" i="17" s="1"/>
  <c r="F65" i="17"/>
  <c r="AX65" i="17" s="1"/>
  <c r="AW64" i="17"/>
  <c r="AT64" i="17"/>
  <c r="AS64" i="17"/>
  <c r="AR64" i="17"/>
  <c r="AQ64" i="17"/>
  <c r="AP64" i="17"/>
  <c r="AO64" i="17"/>
  <c r="AN64" i="17"/>
  <c r="AM64" i="17"/>
  <c r="AL64" i="17"/>
  <c r="AJ64" i="17"/>
  <c r="AI64" i="17"/>
  <c r="AB64" i="17"/>
  <c r="AA64" i="17"/>
  <c r="Z64" i="17"/>
  <c r="Y64" i="17"/>
  <c r="X64" i="17"/>
  <c r="W64" i="17"/>
  <c r="V64" i="17"/>
  <c r="U64" i="17"/>
  <c r="T64" i="17"/>
  <c r="M64" i="17"/>
  <c r="L64" i="17"/>
  <c r="K64" i="17"/>
  <c r="J64" i="17"/>
  <c r="BB64" i="17" s="1"/>
  <c r="I64" i="17"/>
  <c r="BA64" i="17" s="1"/>
  <c r="H64" i="17"/>
  <c r="AZ64" i="17" s="1"/>
  <c r="F64" i="17"/>
  <c r="AX64" i="17" s="1"/>
  <c r="AW63" i="17"/>
  <c r="AT63" i="17"/>
  <c r="AS63" i="17"/>
  <c r="AR63" i="17"/>
  <c r="AQ63" i="17"/>
  <c r="AP63" i="17"/>
  <c r="AO63" i="17"/>
  <c r="AN63" i="17"/>
  <c r="AM63" i="17"/>
  <c r="AL63" i="17"/>
  <c r="AJ63" i="17"/>
  <c r="AI63" i="17"/>
  <c r="AB63" i="17"/>
  <c r="AA63" i="17"/>
  <c r="Z63" i="17"/>
  <c r="Y63" i="17"/>
  <c r="X63" i="17"/>
  <c r="W63" i="17"/>
  <c r="V63" i="17"/>
  <c r="U63" i="17"/>
  <c r="T63" i="17"/>
  <c r="M63" i="17"/>
  <c r="L63" i="17"/>
  <c r="K63" i="17"/>
  <c r="J63" i="17"/>
  <c r="BB63" i="17" s="1"/>
  <c r="I63" i="17"/>
  <c r="BA63" i="17" s="1"/>
  <c r="H63" i="17"/>
  <c r="AZ63" i="17" s="1"/>
  <c r="F63" i="17"/>
  <c r="AX63" i="17" s="1"/>
  <c r="AW62" i="17"/>
  <c r="AT62" i="17"/>
  <c r="AS62" i="17"/>
  <c r="AR62" i="17"/>
  <c r="AQ62" i="17"/>
  <c r="AP62" i="17"/>
  <c r="AO62" i="17"/>
  <c r="AN62" i="17"/>
  <c r="AM62" i="17"/>
  <c r="AL62" i="17"/>
  <c r="AJ62" i="17"/>
  <c r="AI62" i="17"/>
  <c r="AB62" i="17"/>
  <c r="AA62" i="17"/>
  <c r="Z62" i="17"/>
  <c r="Y62" i="17"/>
  <c r="X62" i="17"/>
  <c r="W62" i="17"/>
  <c r="V62" i="17"/>
  <c r="U62" i="17"/>
  <c r="T62" i="17"/>
  <c r="M62" i="17"/>
  <c r="L62" i="17"/>
  <c r="K62" i="17"/>
  <c r="J62" i="17"/>
  <c r="BB62" i="17" s="1"/>
  <c r="I62" i="17"/>
  <c r="BA62" i="17" s="1"/>
  <c r="H62" i="17"/>
  <c r="AZ62" i="17" s="1"/>
  <c r="F62" i="17"/>
  <c r="AX62" i="17" s="1"/>
  <c r="AW61" i="17"/>
  <c r="AT61" i="17"/>
  <c r="AS61" i="17"/>
  <c r="AR61" i="17"/>
  <c r="AQ61" i="17"/>
  <c r="AP61" i="17"/>
  <c r="AO61" i="17"/>
  <c r="AN61" i="17"/>
  <c r="AM61" i="17"/>
  <c r="AL61" i="17"/>
  <c r="AJ61" i="17"/>
  <c r="AI61" i="17"/>
  <c r="AB61" i="17"/>
  <c r="AA61" i="17"/>
  <c r="Z61" i="17"/>
  <c r="Y61" i="17"/>
  <c r="X61" i="17"/>
  <c r="W61" i="17"/>
  <c r="V61" i="17"/>
  <c r="U61" i="17"/>
  <c r="T61" i="17"/>
  <c r="M61" i="17"/>
  <c r="L61" i="17"/>
  <c r="K61" i="17"/>
  <c r="J61" i="17"/>
  <c r="BB61" i="17" s="1"/>
  <c r="I61" i="17"/>
  <c r="BA61" i="17" s="1"/>
  <c r="H61" i="17"/>
  <c r="AZ61" i="17" s="1"/>
  <c r="F61" i="17"/>
  <c r="AX61" i="17" s="1"/>
  <c r="AW60" i="17"/>
  <c r="AT60" i="17"/>
  <c r="AS60" i="17"/>
  <c r="AR60" i="17"/>
  <c r="AQ60" i="17"/>
  <c r="AP60" i="17"/>
  <c r="AO60" i="17"/>
  <c r="AN60" i="17"/>
  <c r="AM60" i="17"/>
  <c r="AL60" i="17"/>
  <c r="AJ60" i="17"/>
  <c r="AI60" i="17"/>
  <c r="AB60" i="17"/>
  <c r="AA60" i="17"/>
  <c r="Z60" i="17"/>
  <c r="Y60" i="17"/>
  <c r="X60" i="17"/>
  <c r="W60" i="17"/>
  <c r="V60" i="17"/>
  <c r="U60" i="17"/>
  <c r="T60" i="17"/>
  <c r="M60" i="17"/>
  <c r="L60" i="17"/>
  <c r="K60" i="17"/>
  <c r="J60" i="17"/>
  <c r="BB60" i="17" s="1"/>
  <c r="I60" i="17"/>
  <c r="BA60" i="17" s="1"/>
  <c r="H60" i="17"/>
  <c r="AZ60" i="17" s="1"/>
  <c r="F60" i="17"/>
  <c r="AX60" i="17" s="1"/>
  <c r="AW59" i="17"/>
  <c r="AT59" i="17"/>
  <c r="AS59" i="17"/>
  <c r="AR59" i="17"/>
  <c r="AQ59" i="17"/>
  <c r="AP59" i="17"/>
  <c r="AO59" i="17"/>
  <c r="AN59" i="17"/>
  <c r="AM59" i="17"/>
  <c r="AL59" i="17"/>
  <c r="AJ59" i="17"/>
  <c r="AI59" i="17"/>
  <c r="AB59" i="17"/>
  <c r="AA59" i="17"/>
  <c r="Z59" i="17"/>
  <c r="Y59" i="17"/>
  <c r="X59" i="17"/>
  <c r="W59" i="17"/>
  <c r="V59" i="17"/>
  <c r="U59" i="17"/>
  <c r="T59" i="17"/>
  <c r="M59" i="17"/>
  <c r="L59" i="17"/>
  <c r="K59" i="17"/>
  <c r="J59" i="17"/>
  <c r="BB59" i="17" s="1"/>
  <c r="I59" i="17"/>
  <c r="BA59" i="17" s="1"/>
  <c r="H59" i="17"/>
  <c r="AZ59" i="17" s="1"/>
  <c r="F59" i="17"/>
  <c r="AX59" i="17" s="1"/>
  <c r="AW58" i="17"/>
  <c r="AT58" i="17"/>
  <c r="AS58" i="17"/>
  <c r="AR58" i="17"/>
  <c r="AQ58" i="17"/>
  <c r="AP58" i="17"/>
  <c r="AO58" i="17"/>
  <c r="AN58" i="17"/>
  <c r="AM58" i="17"/>
  <c r="AL58" i="17"/>
  <c r="AJ58" i="17"/>
  <c r="AI58" i="17"/>
  <c r="AB58" i="17"/>
  <c r="AA58" i="17"/>
  <c r="Z58" i="17"/>
  <c r="Y58" i="17"/>
  <c r="X58" i="17"/>
  <c r="W58" i="17"/>
  <c r="V58" i="17"/>
  <c r="U58" i="17"/>
  <c r="T58" i="17"/>
  <c r="M58" i="17"/>
  <c r="L58" i="17"/>
  <c r="K58" i="17"/>
  <c r="J58" i="17"/>
  <c r="BB58" i="17" s="1"/>
  <c r="I58" i="17"/>
  <c r="BA58" i="17" s="1"/>
  <c r="H58" i="17"/>
  <c r="AZ58" i="17" s="1"/>
  <c r="F58" i="17"/>
  <c r="AX58" i="17" s="1"/>
  <c r="AW57" i="17"/>
  <c r="AT57" i="17"/>
  <c r="AS57" i="17"/>
  <c r="AR57" i="17"/>
  <c r="AQ57" i="17"/>
  <c r="AP57" i="17"/>
  <c r="AO57" i="17"/>
  <c r="AN57" i="17"/>
  <c r="AM57" i="17"/>
  <c r="AL57" i="17"/>
  <c r="AJ57" i="17"/>
  <c r="AI57" i="17"/>
  <c r="AB57" i="17"/>
  <c r="AA57" i="17"/>
  <c r="Z57" i="17"/>
  <c r="Y57" i="17"/>
  <c r="X57" i="17"/>
  <c r="W57" i="17"/>
  <c r="V57" i="17"/>
  <c r="U57" i="17"/>
  <c r="T57" i="17"/>
  <c r="M57" i="17"/>
  <c r="L57" i="17"/>
  <c r="K57" i="17"/>
  <c r="J57" i="17"/>
  <c r="BB57" i="17" s="1"/>
  <c r="I57" i="17"/>
  <c r="BA57" i="17" s="1"/>
  <c r="H57" i="17"/>
  <c r="AZ57" i="17" s="1"/>
  <c r="F57" i="17"/>
  <c r="AX57" i="17" s="1"/>
  <c r="AW56" i="17"/>
  <c r="AT56" i="17"/>
  <c r="AS56" i="17"/>
  <c r="AR56" i="17"/>
  <c r="AQ56" i="17"/>
  <c r="AP56" i="17"/>
  <c r="AO56" i="17"/>
  <c r="AN56" i="17"/>
  <c r="AM56" i="17"/>
  <c r="AL56" i="17"/>
  <c r="AJ56" i="17"/>
  <c r="AI56" i="17"/>
  <c r="AB56" i="17"/>
  <c r="AA56" i="17"/>
  <c r="Z56" i="17"/>
  <c r="Y56" i="17"/>
  <c r="X56" i="17"/>
  <c r="W56" i="17"/>
  <c r="V56" i="17"/>
  <c r="U56" i="17"/>
  <c r="T56" i="17"/>
  <c r="M56" i="17"/>
  <c r="L56" i="17"/>
  <c r="K56" i="17"/>
  <c r="J56" i="17"/>
  <c r="BB56" i="17" s="1"/>
  <c r="I56" i="17"/>
  <c r="BA56" i="17" s="1"/>
  <c r="H56" i="17"/>
  <c r="AZ56" i="17" s="1"/>
  <c r="F56" i="17"/>
  <c r="AX56" i="17" s="1"/>
  <c r="AW55" i="17"/>
  <c r="AT55" i="17"/>
  <c r="AS55" i="17"/>
  <c r="AR55" i="17"/>
  <c r="AQ55" i="17"/>
  <c r="AP55" i="17"/>
  <c r="AO55" i="17"/>
  <c r="AN55" i="17"/>
  <c r="AM55" i="17"/>
  <c r="AL55" i="17"/>
  <c r="AJ55" i="17"/>
  <c r="AI55" i="17"/>
  <c r="AB55" i="17"/>
  <c r="AA55" i="17"/>
  <c r="Z55" i="17"/>
  <c r="Y55" i="17"/>
  <c r="X55" i="17"/>
  <c r="W55" i="17"/>
  <c r="V55" i="17"/>
  <c r="U55" i="17"/>
  <c r="T55" i="17"/>
  <c r="M55" i="17"/>
  <c r="L55" i="17"/>
  <c r="K55" i="17"/>
  <c r="J55" i="17"/>
  <c r="BB55" i="17" s="1"/>
  <c r="I55" i="17"/>
  <c r="BA55" i="17" s="1"/>
  <c r="H55" i="17"/>
  <c r="AZ55" i="17" s="1"/>
  <c r="F55" i="17"/>
  <c r="AX55" i="17" s="1"/>
  <c r="AW54" i="17"/>
  <c r="AT54" i="17"/>
  <c r="AS54" i="17"/>
  <c r="AR54" i="17"/>
  <c r="AQ54" i="17"/>
  <c r="AP54" i="17"/>
  <c r="AO54" i="17"/>
  <c r="AN54" i="17"/>
  <c r="AM54" i="17"/>
  <c r="AL54" i="17"/>
  <c r="AJ54" i="17"/>
  <c r="AI54" i="17"/>
  <c r="AB54" i="17"/>
  <c r="AA54" i="17"/>
  <c r="Z54" i="17"/>
  <c r="Y54" i="17"/>
  <c r="X54" i="17"/>
  <c r="W54" i="17"/>
  <c r="V54" i="17"/>
  <c r="U54" i="17"/>
  <c r="T54" i="17"/>
  <c r="M54" i="17"/>
  <c r="L54" i="17"/>
  <c r="K54" i="17"/>
  <c r="J54" i="17"/>
  <c r="BB54" i="17" s="1"/>
  <c r="I54" i="17"/>
  <c r="BA54" i="17" s="1"/>
  <c r="H54" i="17"/>
  <c r="AZ54" i="17" s="1"/>
  <c r="F54" i="17"/>
  <c r="AX54" i="17" s="1"/>
  <c r="AW53" i="17"/>
  <c r="AT53" i="17"/>
  <c r="AS53" i="17"/>
  <c r="AR53" i="17"/>
  <c r="AQ53" i="17"/>
  <c r="AP53" i="17"/>
  <c r="AO53" i="17"/>
  <c r="AN53" i="17"/>
  <c r="AM53" i="17"/>
  <c r="AL53" i="17"/>
  <c r="AJ53" i="17"/>
  <c r="AI53" i="17"/>
  <c r="AB53" i="17"/>
  <c r="AA53" i="17"/>
  <c r="Z53" i="17"/>
  <c r="Y53" i="17"/>
  <c r="X53" i="17"/>
  <c r="W53" i="17"/>
  <c r="V53" i="17"/>
  <c r="U53" i="17"/>
  <c r="T53" i="17"/>
  <c r="M53" i="17"/>
  <c r="L53" i="17"/>
  <c r="K53" i="17"/>
  <c r="J53" i="17"/>
  <c r="BB53" i="17" s="1"/>
  <c r="I53" i="17"/>
  <c r="BA53" i="17" s="1"/>
  <c r="H53" i="17"/>
  <c r="AZ53" i="17" s="1"/>
  <c r="F53" i="17"/>
  <c r="AX53" i="17" s="1"/>
  <c r="AW52" i="17"/>
  <c r="AT52" i="17"/>
  <c r="AS52" i="17"/>
  <c r="AR52" i="17"/>
  <c r="AQ52" i="17"/>
  <c r="AP52" i="17"/>
  <c r="AO52" i="17"/>
  <c r="AN52" i="17"/>
  <c r="AM52" i="17"/>
  <c r="AL52" i="17"/>
  <c r="AJ52" i="17"/>
  <c r="AI52" i="17"/>
  <c r="AB52" i="17"/>
  <c r="AA52" i="17"/>
  <c r="Z52" i="17"/>
  <c r="Y52" i="17"/>
  <c r="X52" i="17"/>
  <c r="W52" i="17"/>
  <c r="V52" i="17"/>
  <c r="U52" i="17"/>
  <c r="T52" i="17"/>
  <c r="M52" i="17"/>
  <c r="L52" i="17"/>
  <c r="K52" i="17"/>
  <c r="J52" i="17"/>
  <c r="BB52" i="17" s="1"/>
  <c r="I52" i="17"/>
  <c r="BA52" i="17" s="1"/>
  <c r="H52" i="17"/>
  <c r="AZ52" i="17" s="1"/>
  <c r="F52" i="17"/>
  <c r="AX52" i="17" s="1"/>
  <c r="AW51" i="17"/>
  <c r="AT51" i="17"/>
  <c r="AS51" i="17"/>
  <c r="AR51" i="17"/>
  <c r="AQ51" i="17"/>
  <c r="AP51" i="17"/>
  <c r="AO51" i="17"/>
  <c r="AN51" i="17"/>
  <c r="AM51" i="17"/>
  <c r="AL51" i="17"/>
  <c r="AJ51" i="17"/>
  <c r="AI51" i="17"/>
  <c r="AB51" i="17"/>
  <c r="AA51" i="17"/>
  <c r="Z51" i="17"/>
  <c r="Y51" i="17"/>
  <c r="X51" i="17"/>
  <c r="W51" i="17"/>
  <c r="V51" i="17"/>
  <c r="U51" i="17"/>
  <c r="T51" i="17"/>
  <c r="M51" i="17"/>
  <c r="L51" i="17"/>
  <c r="K51" i="17"/>
  <c r="J51" i="17"/>
  <c r="BB51" i="17" s="1"/>
  <c r="I51" i="17"/>
  <c r="BA51" i="17" s="1"/>
  <c r="H51" i="17"/>
  <c r="AZ51" i="17" s="1"/>
  <c r="F51" i="17"/>
  <c r="AX51" i="17" s="1"/>
  <c r="AW50" i="17"/>
  <c r="AT50" i="17"/>
  <c r="AS50" i="17"/>
  <c r="AR50" i="17"/>
  <c r="AQ50" i="17"/>
  <c r="AP50" i="17"/>
  <c r="AO50" i="17"/>
  <c r="AN50" i="17"/>
  <c r="AM50" i="17"/>
  <c r="AL50" i="17"/>
  <c r="AJ50" i="17"/>
  <c r="AI50" i="17"/>
  <c r="AB50" i="17"/>
  <c r="AA50" i="17"/>
  <c r="Z50" i="17"/>
  <c r="Y50" i="17"/>
  <c r="X50" i="17"/>
  <c r="W50" i="17"/>
  <c r="V50" i="17"/>
  <c r="U50" i="17"/>
  <c r="T50" i="17"/>
  <c r="M50" i="17"/>
  <c r="L50" i="17"/>
  <c r="K50" i="17"/>
  <c r="J50" i="17"/>
  <c r="BB50" i="17" s="1"/>
  <c r="I50" i="17"/>
  <c r="BA50" i="17" s="1"/>
  <c r="H50" i="17"/>
  <c r="AZ50" i="17" s="1"/>
  <c r="F50" i="17"/>
  <c r="AX50" i="17" s="1"/>
  <c r="AW49" i="17"/>
  <c r="AT49" i="17"/>
  <c r="AS49" i="17"/>
  <c r="AR49" i="17"/>
  <c r="AQ49" i="17"/>
  <c r="AP49" i="17"/>
  <c r="AO49" i="17"/>
  <c r="AN49" i="17"/>
  <c r="AM49" i="17"/>
  <c r="AL49" i="17"/>
  <c r="AJ49" i="17"/>
  <c r="AI49" i="17"/>
  <c r="AB49" i="17"/>
  <c r="AA49" i="17"/>
  <c r="Z49" i="17"/>
  <c r="Y49" i="17"/>
  <c r="X49" i="17"/>
  <c r="W49" i="17"/>
  <c r="V49" i="17"/>
  <c r="U49" i="17"/>
  <c r="T49" i="17"/>
  <c r="M49" i="17"/>
  <c r="L49" i="17"/>
  <c r="K49" i="17"/>
  <c r="J49" i="17"/>
  <c r="BB49" i="17" s="1"/>
  <c r="I49" i="17"/>
  <c r="BA49" i="17" s="1"/>
  <c r="H49" i="17"/>
  <c r="AZ49" i="17" s="1"/>
  <c r="F49" i="17"/>
  <c r="AX49" i="17" s="1"/>
  <c r="AW48" i="17"/>
  <c r="AT48" i="17"/>
  <c r="AS48" i="17"/>
  <c r="AR48" i="17"/>
  <c r="AQ48" i="17"/>
  <c r="AP48" i="17"/>
  <c r="AO48" i="17"/>
  <c r="AN48" i="17"/>
  <c r="AM48" i="17"/>
  <c r="AL48" i="17"/>
  <c r="AJ48" i="17"/>
  <c r="AI48" i="17"/>
  <c r="AB48" i="17"/>
  <c r="AA48" i="17"/>
  <c r="Z48" i="17"/>
  <c r="Y48" i="17"/>
  <c r="X48" i="17"/>
  <c r="W48" i="17"/>
  <c r="V48" i="17"/>
  <c r="U48" i="17"/>
  <c r="T48" i="17"/>
  <c r="M48" i="17"/>
  <c r="L48" i="17"/>
  <c r="K48" i="17"/>
  <c r="J48" i="17"/>
  <c r="BB48" i="17" s="1"/>
  <c r="I48" i="17"/>
  <c r="BA48" i="17" s="1"/>
  <c r="H48" i="17"/>
  <c r="AZ48" i="17" s="1"/>
  <c r="F48" i="17"/>
  <c r="AX48" i="17" s="1"/>
  <c r="AW47" i="17"/>
  <c r="AT47" i="17"/>
  <c r="AS47" i="17"/>
  <c r="AR47" i="17"/>
  <c r="AQ47" i="17"/>
  <c r="AP47" i="17"/>
  <c r="AO47" i="17"/>
  <c r="AN47" i="17"/>
  <c r="AM47" i="17"/>
  <c r="AL47" i="17"/>
  <c r="AJ47" i="17"/>
  <c r="AI47" i="17"/>
  <c r="AB47" i="17"/>
  <c r="AA47" i="17"/>
  <c r="Z47" i="17"/>
  <c r="Y47" i="17"/>
  <c r="X47" i="17"/>
  <c r="W47" i="17"/>
  <c r="V47" i="17"/>
  <c r="U47" i="17"/>
  <c r="T47" i="17"/>
  <c r="M47" i="17"/>
  <c r="L47" i="17"/>
  <c r="K47" i="17"/>
  <c r="J47" i="17"/>
  <c r="BB47" i="17" s="1"/>
  <c r="I47" i="17"/>
  <c r="BA47" i="17" s="1"/>
  <c r="H47" i="17"/>
  <c r="AZ47" i="17" s="1"/>
  <c r="F47" i="17"/>
  <c r="AX47" i="17" s="1"/>
  <c r="AW46" i="17"/>
  <c r="AT46" i="17"/>
  <c r="AS46" i="17"/>
  <c r="AR46" i="17"/>
  <c r="AQ46" i="17"/>
  <c r="AP46" i="17"/>
  <c r="AO46" i="17"/>
  <c r="AN46" i="17"/>
  <c r="AM46" i="17"/>
  <c r="AL46" i="17"/>
  <c r="AJ46" i="17"/>
  <c r="AI46" i="17"/>
  <c r="AB46" i="17"/>
  <c r="AA46" i="17"/>
  <c r="Z46" i="17"/>
  <c r="Y46" i="17"/>
  <c r="X46" i="17"/>
  <c r="W46" i="17"/>
  <c r="V46" i="17"/>
  <c r="U46" i="17"/>
  <c r="T46" i="17"/>
  <c r="M46" i="17"/>
  <c r="L46" i="17"/>
  <c r="K46" i="17"/>
  <c r="J46" i="17"/>
  <c r="BB46" i="17" s="1"/>
  <c r="I46" i="17"/>
  <c r="BA46" i="17" s="1"/>
  <c r="H46" i="17"/>
  <c r="AZ46" i="17" s="1"/>
  <c r="F46" i="17"/>
  <c r="AX46" i="17" s="1"/>
  <c r="AW45" i="17"/>
  <c r="AT45" i="17"/>
  <c r="AS45" i="17"/>
  <c r="AR45" i="17"/>
  <c r="AQ45" i="17"/>
  <c r="AP45" i="17"/>
  <c r="AO45" i="17"/>
  <c r="AN45" i="17"/>
  <c r="AM45" i="17"/>
  <c r="AL45" i="17"/>
  <c r="AJ45" i="17"/>
  <c r="AI45" i="17"/>
  <c r="AB45" i="17"/>
  <c r="AA45" i="17"/>
  <c r="Z45" i="17"/>
  <c r="Y45" i="17"/>
  <c r="X45" i="17"/>
  <c r="W45" i="17"/>
  <c r="V45" i="17"/>
  <c r="U45" i="17"/>
  <c r="T45" i="17"/>
  <c r="M45" i="17"/>
  <c r="L45" i="17"/>
  <c r="K45" i="17"/>
  <c r="J45" i="17"/>
  <c r="BB45" i="17" s="1"/>
  <c r="I45" i="17"/>
  <c r="BA45" i="17" s="1"/>
  <c r="H45" i="17"/>
  <c r="AZ45" i="17" s="1"/>
  <c r="F45" i="17"/>
  <c r="AX45" i="17" s="1"/>
  <c r="AW44" i="17"/>
  <c r="AT44" i="17"/>
  <c r="AS44" i="17"/>
  <c r="AR44" i="17"/>
  <c r="AQ44" i="17"/>
  <c r="AP44" i="17"/>
  <c r="AO44" i="17"/>
  <c r="AN44" i="17"/>
  <c r="AM44" i="17"/>
  <c r="AL44" i="17"/>
  <c r="AJ44" i="17"/>
  <c r="AI44" i="17"/>
  <c r="AB44" i="17"/>
  <c r="AA44" i="17"/>
  <c r="Z44" i="17"/>
  <c r="Y44" i="17"/>
  <c r="X44" i="17"/>
  <c r="W44" i="17"/>
  <c r="V44" i="17"/>
  <c r="U44" i="17"/>
  <c r="T44" i="17"/>
  <c r="M44" i="17"/>
  <c r="L44" i="17"/>
  <c r="K44" i="17"/>
  <c r="J44" i="17"/>
  <c r="BB44" i="17" s="1"/>
  <c r="I44" i="17"/>
  <c r="BA44" i="17" s="1"/>
  <c r="H44" i="17"/>
  <c r="AZ44" i="17" s="1"/>
  <c r="F44" i="17"/>
  <c r="AX44" i="17" s="1"/>
  <c r="AW43" i="17"/>
  <c r="AT43" i="17"/>
  <c r="AS43" i="17"/>
  <c r="AR43" i="17"/>
  <c r="AQ43" i="17"/>
  <c r="AP43" i="17"/>
  <c r="AO43" i="17"/>
  <c r="AN43" i="17"/>
  <c r="AM43" i="17"/>
  <c r="AL43" i="17"/>
  <c r="AJ43" i="17"/>
  <c r="AI43" i="17"/>
  <c r="AB43" i="17"/>
  <c r="AA43" i="17"/>
  <c r="Z43" i="17"/>
  <c r="Y43" i="17"/>
  <c r="X43" i="17"/>
  <c r="W43" i="17"/>
  <c r="V43" i="17"/>
  <c r="U43" i="17"/>
  <c r="T43" i="17"/>
  <c r="M43" i="17"/>
  <c r="L43" i="17"/>
  <c r="K43" i="17"/>
  <c r="J43" i="17"/>
  <c r="BB43" i="17" s="1"/>
  <c r="I43" i="17"/>
  <c r="BA43" i="17" s="1"/>
  <c r="H43" i="17"/>
  <c r="AZ43" i="17" s="1"/>
  <c r="F43" i="17"/>
  <c r="AX43" i="17" s="1"/>
  <c r="AW42" i="17"/>
  <c r="AT42" i="17"/>
  <c r="AS42" i="17"/>
  <c r="AR42" i="17"/>
  <c r="AQ42" i="17"/>
  <c r="AP42" i="17"/>
  <c r="AO42" i="17"/>
  <c r="AN42" i="17"/>
  <c r="AM42" i="17"/>
  <c r="AL42" i="17"/>
  <c r="AJ42" i="17"/>
  <c r="AI42" i="17"/>
  <c r="AB42" i="17"/>
  <c r="AA42" i="17"/>
  <c r="Z42" i="17"/>
  <c r="Y42" i="17"/>
  <c r="X42" i="17"/>
  <c r="W42" i="17"/>
  <c r="V42" i="17"/>
  <c r="U42" i="17"/>
  <c r="T42" i="17"/>
  <c r="M42" i="17"/>
  <c r="L42" i="17"/>
  <c r="K42" i="17"/>
  <c r="J42" i="17"/>
  <c r="BB42" i="17" s="1"/>
  <c r="I42" i="17"/>
  <c r="BA42" i="17" s="1"/>
  <c r="H42" i="17"/>
  <c r="AZ42" i="17" s="1"/>
  <c r="F42" i="17"/>
  <c r="AX42" i="17" s="1"/>
  <c r="AW41" i="17"/>
  <c r="AT41" i="17"/>
  <c r="AS41" i="17"/>
  <c r="AR41" i="17"/>
  <c r="AQ41" i="17"/>
  <c r="AP41" i="17"/>
  <c r="AO41" i="17"/>
  <c r="AN41" i="17"/>
  <c r="AM41" i="17"/>
  <c r="AL41" i="17"/>
  <c r="AJ41" i="17"/>
  <c r="AI41" i="17"/>
  <c r="AB41" i="17"/>
  <c r="AA41" i="17"/>
  <c r="Z41" i="17"/>
  <c r="Y41" i="17"/>
  <c r="X41" i="17"/>
  <c r="W41" i="17"/>
  <c r="V41" i="17"/>
  <c r="U41" i="17"/>
  <c r="T41" i="17"/>
  <c r="M41" i="17"/>
  <c r="L41" i="17"/>
  <c r="K41" i="17"/>
  <c r="J41" i="17"/>
  <c r="BB41" i="17" s="1"/>
  <c r="I41" i="17"/>
  <c r="BA41" i="17" s="1"/>
  <c r="H41" i="17"/>
  <c r="AZ41" i="17" s="1"/>
  <c r="F41" i="17"/>
  <c r="AX41" i="17" s="1"/>
  <c r="AW40" i="17"/>
  <c r="AT40" i="17"/>
  <c r="AS40" i="17"/>
  <c r="AR40" i="17"/>
  <c r="AQ40" i="17"/>
  <c r="AP40" i="17"/>
  <c r="AO40" i="17"/>
  <c r="AN40" i="17"/>
  <c r="AM40" i="17"/>
  <c r="AL40" i="17"/>
  <c r="AJ40" i="17"/>
  <c r="AI40" i="17"/>
  <c r="AB40" i="17"/>
  <c r="AA40" i="17"/>
  <c r="Z40" i="17"/>
  <c r="Y40" i="17"/>
  <c r="X40" i="17"/>
  <c r="W40" i="17"/>
  <c r="V40" i="17"/>
  <c r="U40" i="17"/>
  <c r="T40" i="17"/>
  <c r="M40" i="17"/>
  <c r="L40" i="17"/>
  <c r="K40" i="17"/>
  <c r="J40" i="17"/>
  <c r="BB40" i="17" s="1"/>
  <c r="I40" i="17"/>
  <c r="BA40" i="17" s="1"/>
  <c r="H40" i="17"/>
  <c r="AZ40" i="17" s="1"/>
  <c r="F40" i="17"/>
  <c r="AX40" i="17" s="1"/>
  <c r="AW39" i="17"/>
  <c r="AT39" i="17"/>
  <c r="AS39" i="17"/>
  <c r="AR39" i="17"/>
  <c r="AQ39" i="17"/>
  <c r="AP39" i="17"/>
  <c r="AO39" i="17"/>
  <c r="AN39" i="17"/>
  <c r="AM39" i="17"/>
  <c r="AL39" i="17"/>
  <c r="AJ39" i="17"/>
  <c r="AI39" i="17"/>
  <c r="AB39" i="17"/>
  <c r="AA39" i="17"/>
  <c r="Z39" i="17"/>
  <c r="Y39" i="17"/>
  <c r="X39" i="17"/>
  <c r="W39" i="17"/>
  <c r="V39" i="17"/>
  <c r="U39" i="17"/>
  <c r="T39" i="17"/>
  <c r="M39" i="17"/>
  <c r="L39" i="17"/>
  <c r="K39" i="17"/>
  <c r="J39" i="17"/>
  <c r="BB39" i="17" s="1"/>
  <c r="I39" i="17"/>
  <c r="BA39" i="17" s="1"/>
  <c r="H39" i="17"/>
  <c r="AZ39" i="17" s="1"/>
  <c r="F39" i="17"/>
  <c r="AX39" i="17" s="1"/>
  <c r="AW38" i="17"/>
  <c r="AT38" i="17"/>
  <c r="AS38" i="17"/>
  <c r="AR38" i="17"/>
  <c r="AQ38" i="17"/>
  <c r="AP38" i="17"/>
  <c r="AO38" i="17"/>
  <c r="AN38" i="17"/>
  <c r="AM38" i="17"/>
  <c r="AL38" i="17"/>
  <c r="AJ38" i="17"/>
  <c r="AI38" i="17"/>
  <c r="AB38" i="17"/>
  <c r="AA38" i="17"/>
  <c r="Z38" i="17"/>
  <c r="Y38" i="17"/>
  <c r="X38" i="17"/>
  <c r="W38" i="17"/>
  <c r="V38" i="17"/>
  <c r="U38" i="17"/>
  <c r="T38" i="17"/>
  <c r="M38" i="17"/>
  <c r="L38" i="17"/>
  <c r="K38" i="17"/>
  <c r="J38" i="17"/>
  <c r="BB38" i="17" s="1"/>
  <c r="I38" i="17"/>
  <c r="BA38" i="17" s="1"/>
  <c r="H38" i="17"/>
  <c r="AZ38" i="17" s="1"/>
  <c r="F38" i="17"/>
  <c r="AX38" i="17" s="1"/>
  <c r="AW37" i="17"/>
  <c r="AT37" i="17"/>
  <c r="AS37" i="17"/>
  <c r="AR37" i="17"/>
  <c r="AQ37" i="17"/>
  <c r="AP37" i="17"/>
  <c r="AO37" i="17"/>
  <c r="AN37" i="17"/>
  <c r="AM37" i="17"/>
  <c r="AL37" i="17"/>
  <c r="AJ37" i="17"/>
  <c r="AI37" i="17"/>
  <c r="AB37" i="17"/>
  <c r="AA37" i="17"/>
  <c r="Z37" i="17"/>
  <c r="Y37" i="17"/>
  <c r="X37" i="17"/>
  <c r="W37" i="17"/>
  <c r="V37" i="17"/>
  <c r="U37" i="17"/>
  <c r="T37" i="17"/>
  <c r="M37" i="17"/>
  <c r="L37" i="17"/>
  <c r="K37" i="17"/>
  <c r="J37" i="17"/>
  <c r="BB37" i="17" s="1"/>
  <c r="I37" i="17"/>
  <c r="BA37" i="17" s="1"/>
  <c r="H37" i="17"/>
  <c r="AZ37" i="17" s="1"/>
  <c r="F37" i="17"/>
  <c r="AX37" i="17" s="1"/>
  <c r="AW36" i="17"/>
  <c r="AT36" i="17"/>
  <c r="AS36" i="17"/>
  <c r="AR36" i="17"/>
  <c r="AQ36" i="17"/>
  <c r="AP36" i="17"/>
  <c r="AO36" i="17"/>
  <c r="AN36" i="17"/>
  <c r="AM36" i="17"/>
  <c r="AL36" i="17"/>
  <c r="AJ36" i="17"/>
  <c r="AI36" i="17"/>
  <c r="AB36" i="17"/>
  <c r="AA36" i="17"/>
  <c r="Z36" i="17"/>
  <c r="Y36" i="17"/>
  <c r="X36" i="17"/>
  <c r="W36" i="17"/>
  <c r="V36" i="17"/>
  <c r="U36" i="17"/>
  <c r="T36" i="17"/>
  <c r="M36" i="17"/>
  <c r="L36" i="17"/>
  <c r="K36" i="17"/>
  <c r="J36" i="17"/>
  <c r="BB36" i="17" s="1"/>
  <c r="I36" i="17"/>
  <c r="BA36" i="17" s="1"/>
  <c r="H36" i="17"/>
  <c r="AZ36" i="17" s="1"/>
  <c r="F36" i="17"/>
  <c r="AX36" i="17" s="1"/>
  <c r="AW35" i="17"/>
  <c r="AT35" i="17"/>
  <c r="AS35" i="17"/>
  <c r="AR35" i="17"/>
  <c r="AQ35" i="17"/>
  <c r="AP35" i="17"/>
  <c r="AO35" i="17"/>
  <c r="AN35" i="17"/>
  <c r="AM35" i="17"/>
  <c r="AL35" i="17"/>
  <c r="AJ35" i="17"/>
  <c r="AI35" i="17"/>
  <c r="AB35" i="17"/>
  <c r="AA35" i="17"/>
  <c r="Z35" i="17"/>
  <c r="Y35" i="17"/>
  <c r="X35" i="17"/>
  <c r="W35" i="17"/>
  <c r="V35" i="17"/>
  <c r="U35" i="17"/>
  <c r="T35" i="17"/>
  <c r="M35" i="17"/>
  <c r="L35" i="17"/>
  <c r="K35" i="17"/>
  <c r="J35" i="17"/>
  <c r="BB35" i="17" s="1"/>
  <c r="I35" i="17"/>
  <c r="BA35" i="17" s="1"/>
  <c r="H35" i="17"/>
  <c r="AZ35" i="17" s="1"/>
  <c r="F35" i="17"/>
  <c r="AX35" i="17" s="1"/>
  <c r="AW34" i="17"/>
  <c r="AT34" i="17"/>
  <c r="AS34" i="17"/>
  <c r="AR34" i="17"/>
  <c r="AQ34" i="17"/>
  <c r="AP34" i="17"/>
  <c r="AO34" i="17"/>
  <c r="AN34" i="17"/>
  <c r="AM34" i="17"/>
  <c r="AL34" i="17"/>
  <c r="AJ34" i="17"/>
  <c r="AI34" i="17"/>
  <c r="AB34" i="17"/>
  <c r="AA34" i="17"/>
  <c r="Z34" i="17"/>
  <c r="Y34" i="17"/>
  <c r="X34" i="17"/>
  <c r="W34" i="17"/>
  <c r="V34" i="17"/>
  <c r="U34" i="17"/>
  <c r="T34" i="17"/>
  <c r="M34" i="17"/>
  <c r="L34" i="17"/>
  <c r="K34" i="17"/>
  <c r="J34" i="17"/>
  <c r="BB34" i="17" s="1"/>
  <c r="I34" i="17"/>
  <c r="BA34" i="17" s="1"/>
  <c r="H34" i="17"/>
  <c r="AZ34" i="17" s="1"/>
  <c r="F34" i="17"/>
  <c r="AX34" i="17" s="1"/>
  <c r="AW33" i="17"/>
  <c r="AT33" i="17"/>
  <c r="AS33" i="17"/>
  <c r="AR33" i="17"/>
  <c r="AQ33" i="17"/>
  <c r="AP33" i="17"/>
  <c r="AO33" i="17"/>
  <c r="AN33" i="17"/>
  <c r="AM33" i="17"/>
  <c r="AL33" i="17"/>
  <c r="AJ33" i="17"/>
  <c r="AI33" i="17"/>
  <c r="AB33" i="17"/>
  <c r="AA33" i="17"/>
  <c r="Z33" i="17"/>
  <c r="Y33" i="17"/>
  <c r="X33" i="17"/>
  <c r="W33" i="17"/>
  <c r="V33" i="17"/>
  <c r="U33" i="17"/>
  <c r="T33" i="17"/>
  <c r="M33" i="17"/>
  <c r="L33" i="17"/>
  <c r="K33" i="17"/>
  <c r="J33" i="17"/>
  <c r="BB33" i="17" s="1"/>
  <c r="I33" i="17"/>
  <c r="BA33" i="17" s="1"/>
  <c r="H33" i="17"/>
  <c r="AZ33" i="17" s="1"/>
  <c r="F33" i="17"/>
  <c r="AX33" i="17" s="1"/>
  <c r="AW32" i="17"/>
  <c r="AT32" i="17"/>
  <c r="AS32" i="17"/>
  <c r="AR32" i="17"/>
  <c r="AQ32" i="17"/>
  <c r="AP32" i="17"/>
  <c r="AO32" i="17"/>
  <c r="AN32" i="17"/>
  <c r="AM32" i="17"/>
  <c r="AL32" i="17"/>
  <c r="AJ32" i="17"/>
  <c r="AI32" i="17"/>
  <c r="AB32" i="17"/>
  <c r="AA32" i="17"/>
  <c r="Z32" i="17"/>
  <c r="Y32" i="17"/>
  <c r="X32" i="17"/>
  <c r="W32" i="17"/>
  <c r="V32" i="17"/>
  <c r="U32" i="17"/>
  <c r="T32" i="17"/>
  <c r="M32" i="17"/>
  <c r="L32" i="17"/>
  <c r="K32" i="17"/>
  <c r="J32" i="17"/>
  <c r="BB32" i="17" s="1"/>
  <c r="I32" i="17"/>
  <c r="BA32" i="17" s="1"/>
  <c r="H32" i="17"/>
  <c r="AZ32" i="17" s="1"/>
  <c r="F32" i="17"/>
  <c r="AX32" i="17" s="1"/>
  <c r="AW31" i="17"/>
  <c r="AT31" i="17"/>
  <c r="AS31" i="17"/>
  <c r="AR31" i="17"/>
  <c r="AQ31" i="17"/>
  <c r="AP31" i="17"/>
  <c r="AO31" i="17"/>
  <c r="AN31" i="17"/>
  <c r="AM31" i="17"/>
  <c r="AL31" i="17"/>
  <c r="AJ31" i="17"/>
  <c r="AI31" i="17"/>
  <c r="AB31" i="17"/>
  <c r="AA31" i="17"/>
  <c r="Z31" i="17"/>
  <c r="Y31" i="17"/>
  <c r="X31" i="17"/>
  <c r="W31" i="17"/>
  <c r="V31" i="17"/>
  <c r="U31" i="17"/>
  <c r="T31" i="17"/>
  <c r="M31" i="17"/>
  <c r="L31" i="17"/>
  <c r="K31" i="17"/>
  <c r="J31" i="17"/>
  <c r="BB31" i="17" s="1"/>
  <c r="I31" i="17"/>
  <c r="BA31" i="17" s="1"/>
  <c r="H31" i="17"/>
  <c r="AZ31" i="17" s="1"/>
  <c r="F31" i="17"/>
  <c r="AX31" i="17" s="1"/>
  <c r="AW30" i="17"/>
  <c r="AT30" i="17"/>
  <c r="AS30" i="17"/>
  <c r="AR30" i="17"/>
  <c r="AQ30" i="17"/>
  <c r="AP30" i="17"/>
  <c r="AO30" i="17"/>
  <c r="AN30" i="17"/>
  <c r="AM30" i="17"/>
  <c r="AL30" i="17"/>
  <c r="AJ30" i="17"/>
  <c r="AI30" i="17"/>
  <c r="AB30" i="17"/>
  <c r="AA30" i="17"/>
  <c r="Z30" i="17"/>
  <c r="Y30" i="17"/>
  <c r="X30" i="17"/>
  <c r="W30" i="17"/>
  <c r="V30" i="17"/>
  <c r="U30" i="17"/>
  <c r="T30" i="17"/>
  <c r="M30" i="17"/>
  <c r="L30" i="17"/>
  <c r="K30" i="17"/>
  <c r="J30" i="17"/>
  <c r="BB30" i="17" s="1"/>
  <c r="I30" i="17"/>
  <c r="BA30" i="17" s="1"/>
  <c r="H30" i="17"/>
  <c r="AZ30" i="17" s="1"/>
  <c r="F30" i="17"/>
  <c r="AX30" i="17" s="1"/>
  <c r="AW29" i="17"/>
  <c r="AT29" i="17"/>
  <c r="AS29" i="17"/>
  <c r="AR29" i="17"/>
  <c r="AQ29" i="17"/>
  <c r="AP29" i="17"/>
  <c r="AO29" i="17"/>
  <c r="AN29" i="17"/>
  <c r="AM29" i="17"/>
  <c r="AL29" i="17"/>
  <c r="AJ29" i="17"/>
  <c r="AI29" i="17"/>
  <c r="AB29" i="17"/>
  <c r="AA29" i="17"/>
  <c r="Z29" i="17"/>
  <c r="Y29" i="17"/>
  <c r="X29" i="17"/>
  <c r="W29" i="17"/>
  <c r="V29" i="17"/>
  <c r="U29" i="17"/>
  <c r="T29" i="17"/>
  <c r="M29" i="17"/>
  <c r="L29" i="17"/>
  <c r="K29" i="17"/>
  <c r="J29" i="17"/>
  <c r="BB29" i="17" s="1"/>
  <c r="I29" i="17"/>
  <c r="BA29" i="17" s="1"/>
  <c r="H29" i="17"/>
  <c r="AZ29" i="17" s="1"/>
  <c r="F29" i="17"/>
  <c r="AX29" i="17" s="1"/>
  <c r="AW28" i="17"/>
  <c r="AT28" i="17"/>
  <c r="AS28" i="17"/>
  <c r="AR28" i="17"/>
  <c r="AQ28" i="17"/>
  <c r="AP28" i="17"/>
  <c r="AO28" i="17"/>
  <c r="AN28" i="17"/>
  <c r="AM28" i="17"/>
  <c r="AL28" i="17"/>
  <c r="AJ28" i="17"/>
  <c r="AI28" i="17"/>
  <c r="AB28" i="17"/>
  <c r="AA28" i="17"/>
  <c r="Z28" i="17"/>
  <c r="Y28" i="17"/>
  <c r="X28" i="17"/>
  <c r="W28" i="17"/>
  <c r="V28" i="17"/>
  <c r="U28" i="17"/>
  <c r="T28" i="17"/>
  <c r="M28" i="17"/>
  <c r="L28" i="17"/>
  <c r="K28" i="17"/>
  <c r="J28" i="17"/>
  <c r="BB28" i="17" s="1"/>
  <c r="I28" i="17"/>
  <c r="BA28" i="17" s="1"/>
  <c r="H28" i="17"/>
  <c r="AZ28" i="17" s="1"/>
  <c r="F28" i="17"/>
  <c r="AX28" i="17" s="1"/>
  <c r="AW27" i="17"/>
  <c r="AT27" i="17"/>
  <c r="AS27" i="17"/>
  <c r="AR27" i="17"/>
  <c r="AQ27" i="17"/>
  <c r="AP27" i="17"/>
  <c r="AO27" i="17"/>
  <c r="AN27" i="17"/>
  <c r="AM27" i="17"/>
  <c r="AL27" i="17"/>
  <c r="AJ27" i="17"/>
  <c r="AI27" i="17"/>
  <c r="AB27" i="17"/>
  <c r="AA27" i="17"/>
  <c r="Z27" i="17"/>
  <c r="Y27" i="17"/>
  <c r="X27" i="17"/>
  <c r="W27" i="17"/>
  <c r="V27" i="17"/>
  <c r="U27" i="17"/>
  <c r="T27" i="17"/>
  <c r="M27" i="17"/>
  <c r="L27" i="17"/>
  <c r="K27" i="17"/>
  <c r="J27" i="17"/>
  <c r="BB27" i="17" s="1"/>
  <c r="I27" i="17"/>
  <c r="BA27" i="17" s="1"/>
  <c r="H27" i="17"/>
  <c r="AZ27" i="17" s="1"/>
  <c r="F27" i="17"/>
  <c r="AX27" i="17" s="1"/>
  <c r="AW26" i="17"/>
  <c r="AT26" i="17"/>
  <c r="AS26" i="17"/>
  <c r="AR26" i="17"/>
  <c r="AQ26" i="17"/>
  <c r="AP26" i="17"/>
  <c r="AO26" i="17"/>
  <c r="AN26" i="17"/>
  <c r="AM26" i="17"/>
  <c r="AL26" i="17"/>
  <c r="AJ26" i="17"/>
  <c r="AI26" i="17"/>
  <c r="AB26" i="17"/>
  <c r="AA26" i="17"/>
  <c r="Z26" i="17"/>
  <c r="Y26" i="17"/>
  <c r="X26" i="17"/>
  <c r="W26" i="17"/>
  <c r="V26" i="17"/>
  <c r="U26" i="17"/>
  <c r="T26" i="17"/>
  <c r="M26" i="17"/>
  <c r="L26" i="17"/>
  <c r="K26" i="17"/>
  <c r="J26" i="17"/>
  <c r="BB26" i="17" s="1"/>
  <c r="I26" i="17"/>
  <c r="BA26" i="17" s="1"/>
  <c r="H26" i="17"/>
  <c r="AZ26" i="17" s="1"/>
  <c r="F26" i="17"/>
  <c r="AX26" i="17" s="1"/>
  <c r="AW25" i="17"/>
  <c r="AT25" i="17"/>
  <c r="AS25" i="17"/>
  <c r="AR25" i="17"/>
  <c r="AQ25" i="17"/>
  <c r="AP25" i="17"/>
  <c r="AO25" i="17"/>
  <c r="AN25" i="17"/>
  <c r="AM25" i="17"/>
  <c r="AL25" i="17"/>
  <c r="AJ25" i="17"/>
  <c r="AI25" i="17"/>
  <c r="AB25" i="17"/>
  <c r="AA25" i="17"/>
  <c r="Z25" i="17"/>
  <c r="Y25" i="17"/>
  <c r="X25" i="17"/>
  <c r="W25" i="17"/>
  <c r="V25" i="17"/>
  <c r="U25" i="17"/>
  <c r="T25" i="17"/>
  <c r="M25" i="17"/>
  <c r="L25" i="17"/>
  <c r="K25" i="17"/>
  <c r="J25" i="17"/>
  <c r="BB25" i="17" s="1"/>
  <c r="I25" i="17"/>
  <c r="BA25" i="17" s="1"/>
  <c r="H25" i="17"/>
  <c r="AZ25" i="17" s="1"/>
  <c r="F25" i="17"/>
  <c r="AX25" i="17" s="1"/>
  <c r="AW24" i="17"/>
  <c r="AT24" i="17"/>
  <c r="AS24" i="17"/>
  <c r="AR24" i="17"/>
  <c r="AQ24" i="17"/>
  <c r="AP24" i="17"/>
  <c r="AO24" i="17"/>
  <c r="AN24" i="17"/>
  <c r="AM24" i="17"/>
  <c r="AL24" i="17"/>
  <c r="AJ24" i="17"/>
  <c r="AI24" i="17"/>
  <c r="AB24" i="17"/>
  <c r="AA24" i="17"/>
  <c r="Z24" i="17"/>
  <c r="Y24" i="17"/>
  <c r="X24" i="17"/>
  <c r="W24" i="17"/>
  <c r="V24" i="17"/>
  <c r="U24" i="17"/>
  <c r="T24" i="17"/>
  <c r="M24" i="17"/>
  <c r="L24" i="17"/>
  <c r="K24" i="17"/>
  <c r="J24" i="17"/>
  <c r="BB24" i="17" s="1"/>
  <c r="I24" i="17"/>
  <c r="BA24" i="17" s="1"/>
  <c r="H24" i="17"/>
  <c r="AZ24" i="17" s="1"/>
  <c r="F24" i="17"/>
  <c r="AX24" i="17" s="1"/>
  <c r="AW23" i="17"/>
  <c r="AT23" i="17"/>
  <c r="AS23" i="17"/>
  <c r="AR23" i="17"/>
  <c r="AQ23" i="17"/>
  <c r="AP23" i="17"/>
  <c r="AO23" i="17"/>
  <c r="AN23" i="17"/>
  <c r="AM23" i="17"/>
  <c r="AL23" i="17"/>
  <c r="AJ23" i="17"/>
  <c r="AI23" i="17"/>
  <c r="AB23" i="17"/>
  <c r="AA23" i="17"/>
  <c r="Z23" i="17"/>
  <c r="Y23" i="17"/>
  <c r="X23" i="17"/>
  <c r="W23" i="17"/>
  <c r="V23" i="17"/>
  <c r="U23" i="17"/>
  <c r="T23" i="17"/>
  <c r="M23" i="17"/>
  <c r="L23" i="17"/>
  <c r="K23" i="17"/>
  <c r="J23" i="17"/>
  <c r="BB23" i="17" s="1"/>
  <c r="I23" i="17"/>
  <c r="BA23" i="17" s="1"/>
  <c r="H23" i="17"/>
  <c r="AZ23" i="17" s="1"/>
  <c r="F23" i="17"/>
  <c r="AX23" i="17" s="1"/>
  <c r="AW22" i="17"/>
  <c r="AT22" i="17"/>
  <c r="AS22" i="17"/>
  <c r="AR22" i="17"/>
  <c r="AQ22" i="17"/>
  <c r="AP22" i="17"/>
  <c r="AO22" i="17"/>
  <c r="AN22" i="17"/>
  <c r="AM22" i="17"/>
  <c r="AL22" i="17"/>
  <c r="AJ22" i="17"/>
  <c r="AI22" i="17"/>
  <c r="AB22" i="17"/>
  <c r="AA22" i="17"/>
  <c r="Z22" i="17"/>
  <c r="Y22" i="17"/>
  <c r="X22" i="17"/>
  <c r="W22" i="17"/>
  <c r="V22" i="17"/>
  <c r="U22" i="17"/>
  <c r="T22" i="17"/>
  <c r="M22" i="17"/>
  <c r="L22" i="17"/>
  <c r="K22" i="17"/>
  <c r="J22" i="17"/>
  <c r="BB22" i="17" s="1"/>
  <c r="I22" i="17"/>
  <c r="BA22" i="17" s="1"/>
  <c r="H22" i="17"/>
  <c r="AZ22" i="17" s="1"/>
  <c r="F22" i="17"/>
  <c r="AX22" i="17" s="1"/>
  <c r="AW21" i="17"/>
  <c r="AT21" i="17"/>
  <c r="AS21" i="17"/>
  <c r="AR21" i="17"/>
  <c r="AQ21" i="17"/>
  <c r="AP21" i="17"/>
  <c r="AO21" i="17"/>
  <c r="AN21" i="17"/>
  <c r="AM21" i="17"/>
  <c r="AL21" i="17"/>
  <c r="AJ21" i="17"/>
  <c r="AI21" i="17"/>
  <c r="AB21" i="17"/>
  <c r="AA21" i="17"/>
  <c r="Z21" i="17"/>
  <c r="Y21" i="17"/>
  <c r="X21" i="17"/>
  <c r="W21" i="17"/>
  <c r="V21" i="17"/>
  <c r="U21" i="17"/>
  <c r="T21" i="17"/>
  <c r="M21" i="17"/>
  <c r="L21" i="17"/>
  <c r="K21" i="17"/>
  <c r="J21" i="17"/>
  <c r="BB21" i="17" s="1"/>
  <c r="I21" i="17"/>
  <c r="BA21" i="17" s="1"/>
  <c r="H21" i="17"/>
  <c r="AZ21" i="17" s="1"/>
  <c r="F21" i="17"/>
  <c r="AX21" i="17" s="1"/>
  <c r="AW20" i="17"/>
  <c r="AT20" i="17"/>
  <c r="AS20" i="17"/>
  <c r="AR20" i="17"/>
  <c r="AQ20" i="17"/>
  <c r="AP20" i="17"/>
  <c r="AO20" i="17"/>
  <c r="AN20" i="17"/>
  <c r="AM20" i="17"/>
  <c r="AL20" i="17"/>
  <c r="AJ20" i="17"/>
  <c r="AI20" i="17"/>
  <c r="AB20" i="17"/>
  <c r="AA20" i="17"/>
  <c r="Z20" i="17"/>
  <c r="Y20" i="17"/>
  <c r="X20" i="17"/>
  <c r="W20" i="17"/>
  <c r="V20" i="17"/>
  <c r="U20" i="17"/>
  <c r="T20" i="17"/>
  <c r="M20" i="17"/>
  <c r="L20" i="17"/>
  <c r="K20" i="17"/>
  <c r="J20" i="17"/>
  <c r="BB20" i="17" s="1"/>
  <c r="I20" i="17"/>
  <c r="BA20" i="17" s="1"/>
  <c r="H20" i="17"/>
  <c r="AZ20" i="17" s="1"/>
  <c r="F20" i="17"/>
  <c r="AX20" i="17" s="1"/>
  <c r="AW19" i="17"/>
  <c r="AT19" i="17"/>
  <c r="AS19" i="17"/>
  <c r="AR19" i="17"/>
  <c r="AQ19" i="17"/>
  <c r="AP19" i="17"/>
  <c r="AO19" i="17"/>
  <c r="AN19" i="17"/>
  <c r="AM19" i="17"/>
  <c r="AL19" i="17"/>
  <c r="AJ19" i="17"/>
  <c r="AI19" i="17"/>
  <c r="AB19" i="17"/>
  <c r="AA19" i="17"/>
  <c r="Z19" i="17"/>
  <c r="Y19" i="17"/>
  <c r="X19" i="17"/>
  <c r="W19" i="17"/>
  <c r="V19" i="17"/>
  <c r="U19" i="17"/>
  <c r="T19" i="17"/>
  <c r="M19" i="17"/>
  <c r="L19" i="17"/>
  <c r="K19" i="17"/>
  <c r="J19" i="17"/>
  <c r="BB19" i="17" s="1"/>
  <c r="I19" i="17"/>
  <c r="BA19" i="17" s="1"/>
  <c r="H19" i="17"/>
  <c r="AZ19" i="17" s="1"/>
  <c r="F19" i="17"/>
  <c r="AX19" i="17" s="1"/>
  <c r="AW18" i="17"/>
  <c r="AT18" i="17"/>
  <c r="AS18" i="17"/>
  <c r="AR18" i="17"/>
  <c r="AQ18" i="17"/>
  <c r="AP18" i="17"/>
  <c r="AO18" i="17"/>
  <c r="AN18" i="17"/>
  <c r="AM18" i="17"/>
  <c r="AL18" i="17"/>
  <c r="AJ18" i="17"/>
  <c r="AI18" i="17"/>
  <c r="AB18" i="17"/>
  <c r="AA18" i="17"/>
  <c r="Z18" i="17"/>
  <c r="Y18" i="17"/>
  <c r="X18" i="17"/>
  <c r="W18" i="17"/>
  <c r="V18" i="17"/>
  <c r="U18" i="17"/>
  <c r="T18" i="17"/>
  <c r="M18" i="17"/>
  <c r="L18" i="17"/>
  <c r="K18" i="17"/>
  <c r="J18" i="17"/>
  <c r="BB18" i="17" s="1"/>
  <c r="I18" i="17"/>
  <c r="BA18" i="17" s="1"/>
  <c r="H18" i="17"/>
  <c r="AZ18" i="17" s="1"/>
  <c r="F18" i="17"/>
  <c r="AX18" i="17" s="1"/>
  <c r="AW17" i="17"/>
  <c r="AT17" i="17"/>
  <c r="AS17" i="17"/>
  <c r="AR17" i="17"/>
  <c r="AQ17" i="17"/>
  <c r="AP17" i="17"/>
  <c r="AO17" i="17"/>
  <c r="AN17" i="17"/>
  <c r="AM17" i="17"/>
  <c r="AL17" i="17"/>
  <c r="AJ17" i="17"/>
  <c r="AI17" i="17"/>
  <c r="AB17" i="17"/>
  <c r="AA17" i="17"/>
  <c r="Z17" i="17"/>
  <c r="Y17" i="17"/>
  <c r="X17" i="17"/>
  <c r="W17" i="17"/>
  <c r="V17" i="17"/>
  <c r="U17" i="17"/>
  <c r="T17" i="17"/>
  <c r="M17" i="17"/>
  <c r="L17" i="17"/>
  <c r="K17" i="17"/>
  <c r="J17" i="17"/>
  <c r="BB17" i="17" s="1"/>
  <c r="I17" i="17"/>
  <c r="BA17" i="17" s="1"/>
  <c r="H17" i="17"/>
  <c r="AZ17" i="17" s="1"/>
  <c r="F17" i="17"/>
  <c r="AX17" i="17" s="1"/>
  <c r="AW16" i="17"/>
  <c r="AT16" i="17"/>
  <c r="AS16" i="17"/>
  <c r="AR16" i="17"/>
  <c r="AQ16" i="17"/>
  <c r="AP16" i="17"/>
  <c r="AO16" i="17"/>
  <c r="AN16" i="17"/>
  <c r="AM16" i="17"/>
  <c r="AL16" i="17"/>
  <c r="AJ16" i="17"/>
  <c r="AI16" i="17"/>
  <c r="AB16" i="17"/>
  <c r="AA16" i="17"/>
  <c r="Z16" i="17"/>
  <c r="Y16" i="17"/>
  <c r="X16" i="17"/>
  <c r="W16" i="17"/>
  <c r="V16" i="17"/>
  <c r="U16" i="17"/>
  <c r="T16" i="17"/>
  <c r="M16" i="17"/>
  <c r="L16" i="17"/>
  <c r="K16" i="17"/>
  <c r="J16" i="17"/>
  <c r="BB16" i="17" s="1"/>
  <c r="I16" i="17"/>
  <c r="BA16" i="17" s="1"/>
  <c r="H16" i="17"/>
  <c r="AZ16" i="17" s="1"/>
  <c r="F16" i="17"/>
  <c r="AX16" i="17" s="1"/>
  <c r="AW15" i="17"/>
  <c r="AT15" i="17"/>
  <c r="AS15" i="17"/>
  <c r="AR15" i="17"/>
  <c r="AQ15" i="17"/>
  <c r="AP15" i="17"/>
  <c r="AO15" i="17"/>
  <c r="AN15" i="17"/>
  <c r="AM15" i="17"/>
  <c r="AL15" i="17"/>
  <c r="AJ15" i="17"/>
  <c r="AI15" i="17"/>
  <c r="AB15" i="17"/>
  <c r="AA15" i="17"/>
  <c r="Z15" i="17"/>
  <c r="Y15" i="17"/>
  <c r="X15" i="17"/>
  <c r="W15" i="17"/>
  <c r="V15" i="17"/>
  <c r="U15" i="17"/>
  <c r="T15" i="17"/>
  <c r="M15" i="17"/>
  <c r="L15" i="17"/>
  <c r="K15" i="17"/>
  <c r="J15" i="17"/>
  <c r="BB15" i="17" s="1"/>
  <c r="I15" i="17"/>
  <c r="BA15" i="17" s="1"/>
  <c r="H15" i="17"/>
  <c r="AZ15" i="17" s="1"/>
  <c r="F15" i="17"/>
  <c r="AX15" i="17" s="1"/>
  <c r="AW14" i="17"/>
  <c r="AT14" i="17"/>
  <c r="AS14" i="17"/>
  <c r="AR14" i="17"/>
  <c r="AQ14" i="17"/>
  <c r="AP14" i="17"/>
  <c r="AO14" i="17"/>
  <c r="AN14" i="17"/>
  <c r="AM14" i="17"/>
  <c r="AL14" i="17"/>
  <c r="AJ14" i="17"/>
  <c r="AI14" i="17"/>
  <c r="AB14" i="17"/>
  <c r="AA14" i="17"/>
  <c r="Z14" i="17"/>
  <c r="Y14" i="17"/>
  <c r="X14" i="17"/>
  <c r="W14" i="17"/>
  <c r="V14" i="17"/>
  <c r="U14" i="17"/>
  <c r="T14" i="17"/>
  <c r="M14" i="17"/>
  <c r="L14" i="17"/>
  <c r="K14" i="17"/>
  <c r="J14" i="17"/>
  <c r="BB14" i="17" s="1"/>
  <c r="I14" i="17"/>
  <c r="BA14" i="17" s="1"/>
  <c r="H14" i="17"/>
  <c r="AZ14" i="17" s="1"/>
  <c r="F14" i="17"/>
  <c r="AX14" i="17" s="1"/>
  <c r="AW13" i="17"/>
  <c r="AT13" i="17"/>
  <c r="AS13" i="17"/>
  <c r="AR13" i="17"/>
  <c r="AQ13" i="17"/>
  <c r="AP13" i="17"/>
  <c r="AO13" i="17"/>
  <c r="AN13" i="17"/>
  <c r="AM13" i="17"/>
  <c r="AL13" i="17"/>
  <c r="AJ13" i="17"/>
  <c r="AI13" i="17"/>
  <c r="AB13" i="17"/>
  <c r="AA13" i="17"/>
  <c r="Z13" i="17"/>
  <c r="Y13" i="17"/>
  <c r="X13" i="17"/>
  <c r="W13" i="17"/>
  <c r="V13" i="17"/>
  <c r="U13" i="17"/>
  <c r="T13" i="17"/>
  <c r="M13" i="17"/>
  <c r="L13" i="17"/>
  <c r="K13" i="17"/>
  <c r="J13" i="17"/>
  <c r="BB13" i="17" s="1"/>
  <c r="I13" i="17"/>
  <c r="BA13" i="17" s="1"/>
  <c r="H13" i="17"/>
  <c r="AZ13" i="17" s="1"/>
  <c r="F13" i="17"/>
  <c r="AX13" i="17" s="1"/>
  <c r="AW12" i="17"/>
  <c r="AT12" i="17"/>
  <c r="AS12" i="17"/>
  <c r="AR12" i="17"/>
  <c r="AQ12" i="17"/>
  <c r="AP12" i="17"/>
  <c r="AO12" i="17"/>
  <c r="AN12" i="17"/>
  <c r="AM12" i="17"/>
  <c r="AL12" i="17"/>
  <c r="AJ12" i="17"/>
  <c r="AI12" i="17"/>
  <c r="AB12" i="17"/>
  <c r="AA12" i="17"/>
  <c r="Z12" i="17"/>
  <c r="Y12" i="17"/>
  <c r="X12" i="17"/>
  <c r="W12" i="17"/>
  <c r="V12" i="17"/>
  <c r="U12" i="17"/>
  <c r="T12" i="17"/>
  <c r="M12" i="17"/>
  <c r="L12" i="17"/>
  <c r="K12" i="17"/>
  <c r="J12" i="17"/>
  <c r="BB12" i="17" s="1"/>
  <c r="I12" i="17"/>
  <c r="BA12" i="17" s="1"/>
  <c r="H12" i="17"/>
  <c r="AZ12" i="17" s="1"/>
  <c r="F12" i="17"/>
  <c r="AX12" i="17" s="1"/>
  <c r="AW11" i="17"/>
  <c r="AT11" i="17"/>
  <c r="AS11" i="17"/>
  <c r="AR11" i="17"/>
  <c r="AQ11" i="17"/>
  <c r="AP11" i="17"/>
  <c r="AO11" i="17"/>
  <c r="AN11" i="17"/>
  <c r="AM11" i="17"/>
  <c r="AL11" i="17"/>
  <c r="AJ11" i="17"/>
  <c r="AI11" i="17"/>
  <c r="AB11" i="17"/>
  <c r="AA11" i="17"/>
  <c r="Z11" i="17"/>
  <c r="Y11" i="17"/>
  <c r="X11" i="17"/>
  <c r="W11" i="17"/>
  <c r="V11" i="17"/>
  <c r="U11" i="17"/>
  <c r="T11" i="17"/>
  <c r="M11" i="17"/>
  <c r="L11" i="17"/>
  <c r="K11" i="17"/>
  <c r="J11" i="17"/>
  <c r="BB11" i="17" s="1"/>
  <c r="I11" i="17"/>
  <c r="BA11" i="17" s="1"/>
  <c r="H11" i="17"/>
  <c r="AZ11" i="17" s="1"/>
  <c r="F11" i="17"/>
  <c r="AX11" i="17" s="1"/>
  <c r="AW10" i="17"/>
  <c r="AT10" i="17"/>
  <c r="AS10" i="17"/>
  <c r="AR10" i="17"/>
  <c r="AQ10" i="17"/>
  <c r="AP10" i="17"/>
  <c r="AO10" i="17"/>
  <c r="AN10" i="17"/>
  <c r="AM10" i="17"/>
  <c r="AL10" i="17"/>
  <c r="AJ10" i="17"/>
  <c r="AI10" i="17"/>
  <c r="AB10" i="17"/>
  <c r="AA10" i="17"/>
  <c r="Z10" i="17"/>
  <c r="Y10" i="17"/>
  <c r="X10" i="17"/>
  <c r="W10" i="17"/>
  <c r="V10" i="17"/>
  <c r="U10" i="17"/>
  <c r="T10" i="17"/>
  <c r="M10" i="17"/>
  <c r="L10" i="17"/>
  <c r="K10" i="17"/>
  <c r="J10" i="17"/>
  <c r="BB10" i="17" s="1"/>
  <c r="I10" i="17"/>
  <c r="BA10" i="17" s="1"/>
  <c r="H10" i="17"/>
  <c r="AZ10" i="17" s="1"/>
  <c r="F10" i="17"/>
  <c r="AX10" i="17" s="1"/>
  <c r="AW9" i="17"/>
  <c r="AT9" i="17"/>
  <c r="AS9" i="17"/>
  <c r="AR9" i="17"/>
  <c r="AQ9" i="17"/>
  <c r="AP9" i="17"/>
  <c r="AO9" i="17"/>
  <c r="AN9" i="17"/>
  <c r="AM9" i="17"/>
  <c r="AL9" i="17"/>
  <c r="AJ9" i="17"/>
  <c r="AI9" i="17"/>
  <c r="AB9" i="17"/>
  <c r="AA9" i="17"/>
  <c r="Z9" i="17"/>
  <c r="Y9" i="17"/>
  <c r="X9" i="17"/>
  <c r="W9" i="17"/>
  <c r="V9" i="17"/>
  <c r="U9" i="17"/>
  <c r="T9" i="17"/>
  <c r="M9" i="17"/>
  <c r="L9" i="17"/>
  <c r="K9" i="17"/>
  <c r="J9" i="17"/>
  <c r="BB9" i="17" s="1"/>
  <c r="I9" i="17"/>
  <c r="BA9" i="17" s="1"/>
  <c r="H9" i="17"/>
  <c r="AZ9" i="17" s="1"/>
  <c r="F9" i="17"/>
  <c r="AX9" i="17" s="1"/>
  <c r="AW8" i="17"/>
  <c r="AT8" i="17"/>
  <c r="AS8" i="17"/>
  <c r="AR8" i="17"/>
  <c r="AQ8" i="17"/>
  <c r="AP8" i="17"/>
  <c r="AO8" i="17"/>
  <c r="AN8" i="17"/>
  <c r="AM8" i="17"/>
  <c r="AL8" i="17"/>
  <c r="AJ8" i="17"/>
  <c r="AI8" i="17"/>
  <c r="AB8" i="17"/>
  <c r="AA8" i="17"/>
  <c r="Z8" i="17"/>
  <c r="Y8" i="17"/>
  <c r="X8" i="17"/>
  <c r="W8" i="17"/>
  <c r="V8" i="17"/>
  <c r="U8" i="17"/>
  <c r="T8" i="17"/>
  <c r="M8" i="17"/>
  <c r="L8" i="17"/>
  <c r="K8" i="17"/>
  <c r="J8" i="17"/>
  <c r="BB8" i="17" s="1"/>
  <c r="I8" i="17"/>
  <c r="BA8" i="17" s="1"/>
  <c r="H8" i="17"/>
  <c r="AZ8" i="17" s="1"/>
  <c r="F8" i="17"/>
  <c r="AX8" i="17" s="1"/>
  <c r="AW7" i="17"/>
  <c r="AT7" i="17"/>
  <c r="AS7" i="17"/>
  <c r="AR7" i="17"/>
  <c r="AQ7" i="17"/>
  <c r="AP7" i="17"/>
  <c r="AO7" i="17"/>
  <c r="AN7" i="17"/>
  <c r="AM7" i="17"/>
  <c r="AL7" i="17"/>
  <c r="AJ7" i="17"/>
  <c r="AI7" i="17"/>
  <c r="AB7" i="17"/>
  <c r="AA7" i="17"/>
  <c r="Z7" i="17"/>
  <c r="Y7" i="17"/>
  <c r="X7" i="17"/>
  <c r="W7" i="17"/>
  <c r="V7" i="17"/>
  <c r="U7" i="17"/>
  <c r="T7" i="17"/>
  <c r="M7" i="17"/>
  <c r="L7" i="17"/>
  <c r="K7" i="17"/>
  <c r="J7" i="17"/>
  <c r="BB7" i="17" s="1"/>
  <c r="I7" i="17"/>
  <c r="BA7" i="17" s="1"/>
  <c r="H7" i="17"/>
  <c r="AZ7" i="17" s="1"/>
  <c r="F7" i="17"/>
  <c r="AX7" i="17" s="1"/>
  <c r="AW6" i="17"/>
  <c r="AT6" i="17"/>
  <c r="AS6" i="17"/>
  <c r="AR6" i="17"/>
  <c r="AQ6" i="17"/>
  <c r="AP6" i="17"/>
  <c r="AO6" i="17"/>
  <c r="AN6" i="17"/>
  <c r="AM6" i="17"/>
  <c r="AL6" i="17"/>
  <c r="AJ6" i="17"/>
  <c r="AI6" i="17"/>
  <c r="AB6" i="17"/>
  <c r="AA6" i="17"/>
  <c r="Z6" i="17"/>
  <c r="Y6" i="17"/>
  <c r="X6" i="17"/>
  <c r="W6" i="17"/>
  <c r="V6" i="17"/>
  <c r="U6" i="17"/>
  <c r="T6" i="17"/>
  <c r="M6" i="17"/>
  <c r="L6" i="17"/>
  <c r="K6" i="17"/>
  <c r="J6" i="17"/>
  <c r="BB6" i="17" s="1"/>
  <c r="I6" i="17"/>
  <c r="BA6" i="17" s="1"/>
  <c r="H6" i="17"/>
  <c r="AZ6" i="17" s="1"/>
  <c r="F6" i="17"/>
  <c r="AX6" i="17" s="1"/>
  <c r="AW5" i="17"/>
  <c r="AT5" i="17"/>
  <c r="AS5" i="17"/>
  <c r="AR5" i="17"/>
  <c r="AQ5" i="17"/>
  <c r="AP5" i="17"/>
  <c r="AO5" i="17"/>
  <c r="AN5" i="17"/>
  <c r="AM5" i="17"/>
  <c r="AL5" i="17"/>
  <c r="AJ5" i="17"/>
  <c r="AI5" i="17"/>
  <c r="AB5" i="17"/>
  <c r="AA5" i="17"/>
  <c r="Z5" i="17"/>
  <c r="Y5" i="17"/>
  <c r="X5" i="17"/>
  <c r="W5" i="17"/>
  <c r="V5" i="17"/>
  <c r="U5" i="17"/>
  <c r="T5" i="17"/>
  <c r="M5" i="17"/>
  <c r="L5" i="17"/>
  <c r="K5" i="17"/>
  <c r="J5" i="17"/>
  <c r="BB5" i="17" s="1"/>
  <c r="I5" i="17"/>
  <c r="BA5" i="17" s="1"/>
  <c r="H5" i="17"/>
  <c r="AZ5" i="17" s="1"/>
  <c r="F5" i="17"/>
  <c r="AX5" i="17" s="1"/>
  <c r="AW4" i="17"/>
  <c r="AT4" i="17"/>
  <c r="AS4" i="17"/>
  <c r="AR4" i="17"/>
  <c r="AQ4" i="17"/>
  <c r="AP4" i="17"/>
  <c r="AO4" i="17"/>
  <c r="AN4" i="17"/>
  <c r="AM4" i="17"/>
  <c r="AL4" i="17"/>
  <c r="AJ4" i="17"/>
  <c r="AI4" i="17"/>
  <c r="AB4" i="17"/>
  <c r="AA4" i="17"/>
  <c r="Z4" i="17"/>
  <c r="Y4" i="17"/>
  <c r="X4" i="17"/>
  <c r="W4" i="17"/>
  <c r="V4" i="17"/>
  <c r="U4" i="17"/>
  <c r="T4" i="17"/>
  <c r="M4" i="17"/>
  <c r="L4" i="17"/>
  <c r="K4" i="17"/>
  <c r="J4" i="17"/>
  <c r="BB4" i="17" s="1"/>
  <c r="I4" i="17"/>
  <c r="BA4" i="17" s="1"/>
  <c r="H4" i="17"/>
  <c r="AZ4" i="17" s="1"/>
  <c r="F4" i="17"/>
  <c r="AX4" i="17" s="1"/>
  <c r="AW3" i="17"/>
  <c r="AT3" i="17"/>
  <c r="AS3" i="17"/>
  <c r="AR3" i="17"/>
  <c r="AQ3" i="17"/>
  <c r="AP3" i="17"/>
  <c r="AO3" i="17"/>
  <c r="AN3" i="17"/>
  <c r="AM3" i="17"/>
  <c r="AL3" i="17"/>
  <c r="AJ3" i="17"/>
  <c r="AI3" i="17"/>
  <c r="AB3" i="17"/>
  <c r="AA3" i="17"/>
  <c r="Z3" i="17"/>
  <c r="Y3" i="17"/>
  <c r="X3" i="17"/>
  <c r="W3" i="17"/>
  <c r="V3" i="17"/>
  <c r="U3" i="17"/>
  <c r="T3" i="17"/>
  <c r="M3" i="17"/>
  <c r="L3" i="17"/>
  <c r="K3" i="17"/>
  <c r="J3" i="17"/>
  <c r="BB3" i="17" s="1"/>
  <c r="I3" i="17"/>
  <c r="BA3" i="17" s="1"/>
  <c r="H3" i="17"/>
  <c r="AZ3" i="17" s="1"/>
  <c r="F3" i="17"/>
  <c r="AX3" i="17" s="1"/>
  <c r="AW2" i="17"/>
  <c r="AT2" i="17"/>
  <c r="AS2" i="17"/>
  <c r="AR2" i="17"/>
  <c r="AQ2" i="17"/>
  <c r="AP2" i="17"/>
  <c r="AO2" i="17"/>
  <c r="AN2" i="17"/>
  <c r="AM2" i="17"/>
  <c r="AL2" i="17"/>
  <c r="AK2" i="17"/>
  <c r="AJ2" i="17"/>
  <c r="AI2" i="17"/>
  <c r="AB2" i="17"/>
  <c r="AA2" i="17"/>
  <c r="Z2" i="17"/>
  <c r="Y2" i="17"/>
  <c r="X2" i="17"/>
  <c r="W2" i="17"/>
  <c r="V2" i="17"/>
  <c r="U2" i="17"/>
  <c r="T2" i="17"/>
  <c r="M2" i="17"/>
  <c r="L2" i="17"/>
  <c r="K2" i="17"/>
  <c r="J2" i="17"/>
  <c r="BB2" i="17" s="1"/>
  <c r="I2" i="17"/>
  <c r="BA2" i="17" s="1"/>
  <c r="H2" i="17"/>
  <c r="AZ2" i="17" s="1"/>
  <c r="G2" i="17"/>
  <c r="AY2" i="17" s="1"/>
  <c r="F2" i="17"/>
  <c r="AX2" i="17" s="1"/>
  <c r="A2" i="16"/>
  <c r="A3" i="16"/>
  <c r="A4" i="16"/>
  <c r="A5" i="16"/>
  <c r="A6" i="16"/>
  <c r="A7" i="16"/>
  <c r="A8" i="16"/>
  <c r="A9" i="16"/>
  <c r="A10" i="16"/>
  <c r="A11" i="16"/>
  <c r="A12" i="16"/>
  <c r="A13" i="16"/>
  <c r="A14" i="16"/>
  <c r="A15" i="16"/>
  <c r="A16" i="16"/>
  <c r="A17" i="16"/>
  <c r="A18" i="16"/>
  <c r="A19" i="16"/>
  <c r="A20" i="16"/>
  <c r="A21" i="16"/>
  <c r="A22" i="16"/>
  <c r="A23" i="16"/>
  <c r="A24" i="16"/>
  <c r="A25" i="16"/>
  <c r="A26" i="16"/>
  <c r="A27" i="16"/>
  <c r="A28" i="16"/>
  <c r="A29" i="16"/>
  <c r="A30" i="16"/>
  <c r="A31" i="16"/>
  <c r="A32" i="16"/>
  <c r="A33" i="16"/>
  <c r="A34" i="16"/>
  <c r="A35" i="16"/>
  <c r="A36" i="16"/>
  <c r="A37" i="16"/>
  <c r="A38" i="16"/>
  <c r="A39" i="16"/>
  <c r="A40" i="16"/>
  <c r="A41" i="16"/>
  <c r="A42" i="16"/>
  <c r="A43" i="16"/>
  <c r="A44" i="16"/>
  <c r="A45" i="16"/>
  <c r="A46" i="16"/>
  <c r="A47" i="16"/>
  <c r="A48" i="16"/>
  <c r="A49" i="16"/>
  <c r="A50" i="16"/>
  <c r="A51" i="16"/>
  <c r="A52" i="16"/>
  <c r="A53" i="16"/>
  <c r="A54" i="16"/>
  <c r="A55" i="16"/>
  <c r="A56" i="16"/>
  <c r="A57" i="16"/>
  <c r="A58" i="16"/>
  <c r="A59" i="16"/>
  <c r="A60" i="16"/>
  <c r="A61" i="16"/>
  <c r="A62" i="16"/>
  <c r="A63" i="16"/>
  <c r="A64" i="16"/>
  <c r="A65" i="16"/>
  <c r="A66" i="16"/>
  <c r="A67" i="16"/>
  <c r="A68" i="16"/>
  <c r="A69" i="16"/>
  <c r="A70" i="16"/>
  <c r="A71" i="16"/>
  <c r="A72" i="16"/>
  <c r="A73" i="16"/>
  <c r="A74" i="16"/>
  <c r="A75" i="16"/>
  <c r="A76" i="16"/>
  <c r="A77" i="16"/>
  <c r="A78" i="16"/>
  <c r="A79" i="16"/>
  <c r="A80" i="16"/>
  <c r="A81" i="16"/>
  <c r="A82" i="16"/>
  <c r="A83" i="16"/>
  <c r="A84" i="16"/>
  <c r="A85" i="16"/>
  <c r="A86" i="16"/>
  <c r="A87" i="16"/>
  <c r="A88" i="16"/>
  <c r="A89" i="16"/>
  <c r="A90" i="16"/>
  <c r="A91" i="16"/>
  <c r="A92" i="16"/>
  <c r="A93" i="16"/>
  <c r="A94" i="16"/>
  <c r="A95" i="16"/>
  <c r="A96" i="16"/>
  <c r="A97" i="16"/>
  <c r="A98" i="16"/>
  <c r="A99" i="16"/>
  <c r="A100" i="16"/>
  <c r="A101" i="16"/>
  <c r="A102" i="16"/>
  <c r="A103" i="16"/>
  <c r="A104" i="16"/>
  <c r="A105" i="16"/>
  <c r="A106" i="16"/>
  <c r="A107" i="16"/>
  <c r="A108" i="16"/>
  <c r="A109" i="16"/>
  <c r="A110" i="16"/>
  <c r="A111" i="16"/>
  <c r="O2" i="16"/>
  <c r="O3" i="16"/>
  <c r="O4" i="16"/>
  <c r="O5" i="16"/>
  <c r="O6" i="16"/>
  <c r="O7" i="16"/>
  <c r="O8" i="16"/>
  <c r="O9" i="16"/>
  <c r="O10" i="16"/>
  <c r="O11" i="16"/>
  <c r="O12" i="16"/>
  <c r="O13" i="16"/>
  <c r="O14" i="16"/>
  <c r="O15" i="16"/>
  <c r="O16" i="16"/>
  <c r="O17" i="16"/>
  <c r="O18" i="16"/>
  <c r="O19" i="16"/>
  <c r="O20" i="16"/>
  <c r="O21" i="16"/>
  <c r="O22" i="16"/>
  <c r="O23" i="16"/>
  <c r="O24" i="16"/>
  <c r="O25" i="16"/>
  <c r="O26" i="16"/>
  <c r="O27" i="16"/>
  <c r="O28" i="16"/>
  <c r="O29" i="16"/>
  <c r="O30" i="16"/>
  <c r="O31" i="16"/>
  <c r="O32" i="16"/>
  <c r="O33" i="16"/>
  <c r="O34" i="16"/>
  <c r="O35" i="16"/>
  <c r="O36" i="16"/>
  <c r="O37" i="16"/>
  <c r="O38" i="16"/>
  <c r="O39" i="16"/>
  <c r="O40" i="16"/>
  <c r="O41" i="16"/>
  <c r="O42" i="16"/>
  <c r="O43" i="16"/>
  <c r="O44" i="16"/>
  <c r="O45" i="16"/>
  <c r="O46" i="16"/>
  <c r="O47" i="16"/>
  <c r="O48" i="16"/>
  <c r="O49" i="16"/>
  <c r="O50" i="16"/>
  <c r="O51" i="16"/>
  <c r="O52" i="16"/>
  <c r="O53" i="16"/>
  <c r="O54" i="16"/>
  <c r="O55" i="16"/>
  <c r="O56" i="16"/>
  <c r="O57" i="16"/>
  <c r="O58" i="16"/>
  <c r="O59" i="16"/>
  <c r="O60" i="16"/>
  <c r="O61" i="16"/>
  <c r="O62" i="16"/>
  <c r="O63" i="16"/>
  <c r="O64" i="16"/>
  <c r="O65" i="16"/>
  <c r="O66" i="16"/>
  <c r="O67" i="16"/>
  <c r="O68" i="16"/>
  <c r="O69" i="16"/>
  <c r="O70" i="16"/>
  <c r="O71" i="16"/>
  <c r="O72" i="16"/>
  <c r="O73" i="16"/>
  <c r="O74" i="16"/>
  <c r="O75" i="16"/>
  <c r="O76" i="16"/>
  <c r="O77" i="16"/>
  <c r="O78" i="16"/>
  <c r="O79" i="16"/>
  <c r="O80" i="16"/>
  <c r="O81" i="16"/>
  <c r="O82" i="16"/>
  <c r="O83" i="16"/>
  <c r="O84" i="16"/>
  <c r="O85" i="16"/>
  <c r="O86" i="16"/>
  <c r="O87" i="16"/>
  <c r="O88" i="16"/>
  <c r="O89" i="16"/>
  <c r="O90" i="16"/>
  <c r="O91" i="16"/>
  <c r="O92" i="16"/>
  <c r="O93" i="16"/>
  <c r="O94" i="16"/>
  <c r="O95" i="16"/>
  <c r="O96" i="16"/>
  <c r="O97" i="16"/>
  <c r="O98" i="16"/>
  <c r="O99" i="16"/>
  <c r="O100" i="16"/>
  <c r="O101" i="16"/>
  <c r="O102" i="16"/>
  <c r="O103" i="16"/>
  <c r="O104" i="16"/>
  <c r="O105" i="16"/>
  <c r="O106" i="16"/>
  <c r="O107" i="16"/>
  <c r="O108" i="16"/>
  <c r="O109" i="16"/>
  <c r="O110" i="16"/>
  <c r="O111" i="16"/>
  <c r="AD2" i="16"/>
  <c r="AD3" i="16"/>
  <c r="AD4" i="16"/>
  <c r="AD5" i="16"/>
  <c r="AD6" i="16"/>
  <c r="AD7" i="16"/>
  <c r="AD8" i="16"/>
  <c r="AD9" i="16"/>
  <c r="AD10" i="16"/>
  <c r="AD11" i="16"/>
  <c r="AD12" i="16"/>
  <c r="AD13" i="16"/>
  <c r="AD14" i="16"/>
  <c r="AD15" i="16"/>
  <c r="AD16" i="16"/>
  <c r="AD17" i="16"/>
  <c r="AD18" i="16"/>
  <c r="AD19" i="16"/>
  <c r="AD20" i="16"/>
  <c r="AD21" i="16"/>
  <c r="AD22" i="16"/>
  <c r="AD23" i="16"/>
  <c r="AD24" i="16"/>
  <c r="AD25" i="16"/>
  <c r="AD26" i="16"/>
  <c r="AD27" i="16"/>
  <c r="AD28" i="16"/>
  <c r="AD29" i="16"/>
  <c r="AD30" i="16"/>
  <c r="AD31" i="16"/>
  <c r="AD32" i="16"/>
  <c r="AD33" i="16"/>
  <c r="AD34" i="16"/>
  <c r="AD35" i="16"/>
  <c r="AD36" i="16"/>
  <c r="AD37" i="16"/>
  <c r="AD38" i="16"/>
  <c r="AD39" i="16"/>
  <c r="AD40" i="16"/>
  <c r="AD41" i="16"/>
  <c r="AD42" i="16"/>
  <c r="AD43" i="16"/>
  <c r="AD44" i="16"/>
  <c r="AD45" i="16"/>
  <c r="AD46" i="16"/>
  <c r="AD47" i="16"/>
  <c r="AD48" i="16"/>
  <c r="AD49" i="16"/>
  <c r="AD50" i="16"/>
  <c r="AD51" i="16"/>
  <c r="AD52" i="16"/>
  <c r="AD53" i="16"/>
  <c r="AD54" i="16"/>
  <c r="AD55" i="16"/>
  <c r="AD56" i="16"/>
  <c r="AD57" i="16"/>
  <c r="AD58" i="16"/>
  <c r="AD59" i="16"/>
  <c r="AD60" i="16"/>
  <c r="AD61" i="16"/>
  <c r="AD62" i="16"/>
  <c r="AD63" i="16"/>
  <c r="AD64" i="16"/>
  <c r="AD65" i="16"/>
  <c r="AD66" i="16"/>
  <c r="AD67" i="16"/>
  <c r="AD68" i="16"/>
  <c r="AD69" i="16"/>
  <c r="AD70" i="16"/>
  <c r="AD71" i="16"/>
  <c r="AD72" i="16"/>
  <c r="AD73" i="16"/>
  <c r="AD74" i="16"/>
  <c r="AD75" i="16"/>
  <c r="AD76" i="16"/>
  <c r="AD77" i="16"/>
  <c r="AD78" i="16"/>
  <c r="AD79" i="16"/>
  <c r="AD80" i="16"/>
  <c r="AD81" i="16"/>
  <c r="AD82" i="16"/>
  <c r="AD83" i="16"/>
  <c r="AD84" i="16"/>
  <c r="AD85" i="16"/>
  <c r="AD86" i="16"/>
  <c r="AD87" i="16"/>
  <c r="AD88" i="16"/>
  <c r="AD89" i="16"/>
  <c r="AD90" i="16"/>
  <c r="AD91" i="16"/>
  <c r="AD92" i="16"/>
  <c r="AD93" i="16"/>
  <c r="AD94" i="16"/>
  <c r="AD95" i="16"/>
  <c r="AD96" i="16"/>
  <c r="AD97" i="16"/>
  <c r="AD98" i="16"/>
  <c r="AD99" i="16"/>
  <c r="AD100" i="16"/>
  <c r="AD101" i="16"/>
  <c r="AD102" i="16"/>
  <c r="AD103" i="16"/>
  <c r="AD104" i="16"/>
  <c r="AD105" i="16"/>
  <c r="AD106" i="16"/>
  <c r="AD107" i="16"/>
  <c r="AD108" i="16"/>
  <c r="AD109" i="16"/>
  <c r="AD110" i="16"/>
  <c r="AD111" i="16"/>
  <c r="AV2" i="16"/>
  <c r="AV3" i="16"/>
  <c r="AV4" i="16"/>
  <c r="AV5" i="16"/>
  <c r="AV6" i="16"/>
  <c r="AV7" i="16"/>
  <c r="AV8" i="16"/>
  <c r="AV9" i="16"/>
  <c r="AV10" i="16"/>
  <c r="AV11" i="16"/>
  <c r="AV12" i="16"/>
  <c r="AV13" i="16"/>
  <c r="AV14" i="16"/>
  <c r="AV15" i="16"/>
  <c r="AV16" i="16"/>
  <c r="AV17" i="16"/>
  <c r="AV18" i="16"/>
  <c r="AV19" i="16"/>
  <c r="AV20" i="16"/>
  <c r="AV21" i="16"/>
  <c r="AV22" i="16"/>
  <c r="AV23" i="16"/>
  <c r="AV24" i="16"/>
  <c r="AV25" i="16"/>
  <c r="AV26" i="16"/>
  <c r="AV27" i="16"/>
  <c r="AV28" i="16"/>
  <c r="AV29" i="16"/>
  <c r="AV30" i="16"/>
  <c r="AV31" i="16"/>
  <c r="AV32" i="16"/>
  <c r="AV33" i="16"/>
  <c r="AV34" i="16"/>
  <c r="AV35" i="16"/>
  <c r="AV36" i="16"/>
  <c r="AV37" i="16"/>
  <c r="AV38" i="16"/>
  <c r="AV39" i="16"/>
  <c r="AV40" i="16"/>
  <c r="AV41" i="16"/>
  <c r="AV42" i="16"/>
  <c r="AV43" i="16"/>
  <c r="AV44" i="16"/>
  <c r="AV45" i="16"/>
  <c r="AV46" i="16"/>
  <c r="AV47" i="16"/>
  <c r="AV48" i="16"/>
  <c r="AV49" i="16"/>
  <c r="AV50" i="16"/>
  <c r="AV51" i="16"/>
  <c r="AV52" i="16"/>
  <c r="AV53" i="16"/>
  <c r="AV54" i="16"/>
  <c r="AV55" i="16"/>
  <c r="AV56" i="16"/>
  <c r="AV57" i="16"/>
  <c r="AV58" i="16"/>
  <c r="AV59" i="16"/>
  <c r="AV60" i="16"/>
  <c r="AV61" i="16"/>
  <c r="AV62" i="16"/>
  <c r="AV63" i="16"/>
  <c r="AV64" i="16"/>
  <c r="AV65" i="16"/>
  <c r="AV66" i="16"/>
  <c r="AV67" i="16"/>
  <c r="AV68" i="16"/>
  <c r="AV69" i="16"/>
  <c r="AV70" i="16"/>
  <c r="AV71" i="16"/>
  <c r="AV72" i="16"/>
  <c r="AV73" i="16"/>
  <c r="AV74" i="16"/>
  <c r="AV75" i="16"/>
  <c r="AV76" i="16"/>
  <c r="AV77" i="16"/>
  <c r="AV78" i="16"/>
  <c r="AV79" i="16"/>
  <c r="AV80" i="16"/>
  <c r="AV81" i="16"/>
  <c r="AV82" i="16"/>
  <c r="AV83" i="16"/>
  <c r="AV84" i="16"/>
  <c r="AV85" i="16"/>
  <c r="AV86" i="16"/>
  <c r="AV87" i="16"/>
  <c r="AV88" i="16"/>
  <c r="AV89" i="16"/>
  <c r="AV90" i="16"/>
  <c r="AV91" i="16"/>
  <c r="AV92" i="16"/>
  <c r="AV93" i="16"/>
  <c r="AV94" i="16"/>
  <c r="AV95" i="16"/>
  <c r="AV96" i="16"/>
  <c r="AV97" i="16"/>
  <c r="AV98" i="16"/>
  <c r="AV99" i="16"/>
  <c r="AV100" i="16"/>
  <c r="AV101" i="16"/>
  <c r="AV102" i="16"/>
  <c r="AV103" i="16"/>
  <c r="AV104" i="16"/>
  <c r="AV105" i="16"/>
  <c r="AV106" i="16"/>
  <c r="AV107" i="16"/>
  <c r="AV108" i="16"/>
  <c r="AV109" i="16"/>
  <c r="AV110" i="16"/>
  <c r="AV111" i="16"/>
  <c r="AW111" i="16"/>
  <c r="AT111" i="16"/>
  <c r="AS111" i="16"/>
  <c r="AR111" i="16"/>
  <c r="AQ111" i="16"/>
  <c r="AP111" i="16"/>
  <c r="AO111" i="16"/>
  <c r="AN111" i="16"/>
  <c r="AM111" i="16"/>
  <c r="AL111" i="16"/>
  <c r="AJ111" i="16"/>
  <c r="AI111" i="16"/>
  <c r="AB111" i="16"/>
  <c r="AA111" i="16"/>
  <c r="Z111" i="16"/>
  <c r="Y111" i="16"/>
  <c r="X111" i="16"/>
  <c r="W111" i="16"/>
  <c r="V111" i="16"/>
  <c r="U111" i="16"/>
  <c r="T111" i="16"/>
  <c r="M111" i="16"/>
  <c r="L111" i="16"/>
  <c r="K111" i="16"/>
  <c r="J111" i="16"/>
  <c r="BB111" i="16" s="1"/>
  <c r="I111" i="16"/>
  <c r="BA111" i="16" s="1"/>
  <c r="H111" i="16"/>
  <c r="AZ111" i="16" s="1"/>
  <c r="F111" i="16"/>
  <c r="AX111" i="16" s="1"/>
  <c r="AW110" i="16"/>
  <c r="AT110" i="16"/>
  <c r="AS110" i="16"/>
  <c r="AR110" i="16"/>
  <c r="AQ110" i="16"/>
  <c r="AP110" i="16"/>
  <c r="AO110" i="16"/>
  <c r="AN110" i="16"/>
  <c r="AM110" i="16"/>
  <c r="AL110" i="16"/>
  <c r="AJ110" i="16"/>
  <c r="AI110" i="16"/>
  <c r="AB110" i="16"/>
  <c r="AA110" i="16"/>
  <c r="Z110" i="16"/>
  <c r="Y110" i="16"/>
  <c r="X110" i="16"/>
  <c r="W110" i="16"/>
  <c r="V110" i="16"/>
  <c r="U110" i="16"/>
  <c r="T110" i="16"/>
  <c r="M110" i="16"/>
  <c r="L110" i="16"/>
  <c r="K110" i="16"/>
  <c r="J110" i="16"/>
  <c r="BB110" i="16" s="1"/>
  <c r="I110" i="16"/>
  <c r="BA110" i="16" s="1"/>
  <c r="H110" i="16"/>
  <c r="AZ110" i="16" s="1"/>
  <c r="F110" i="16"/>
  <c r="AX110" i="16" s="1"/>
  <c r="AW109" i="16"/>
  <c r="AT109" i="16"/>
  <c r="AS109" i="16"/>
  <c r="AR109" i="16"/>
  <c r="AQ109" i="16"/>
  <c r="AP109" i="16"/>
  <c r="AO109" i="16"/>
  <c r="AN109" i="16"/>
  <c r="AM109" i="16"/>
  <c r="AL109" i="16"/>
  <c r="AJ109" i="16"/>
  <c r="AI109" i="16"/>
  <c r="AB109" i="16"/>
  <c r="AA109" i="16"/>
  <c r="Z109" i="16"/>
  <c r="Y109" i="16"/>
  <c r="X109" i="16"/>
  <c r="W109" i="16"/>
  <c r="V109" i="16"/>
  <c r="U109" i="16"/>
  <c r="T109" i="16"/>
  <c r="M109" i="16"/>
  <c r="L109" i="16"/>
  <c r="K109" i="16"/>
  <c r="J109" i="16"/>
  <c r="BB109" i="16" s="1"/>
  <c r="I109" i="16"/>
  <c r="BA109" i="16" s="1"/>
  <c r="H109" i="16"/>
  <c r="AZ109" i="16" s="1"/>
  <c r="F109" i="16"/>
  <c r="AX109" i="16" s="1"/>
  <c r="AW108" i="16"/>
  <c r="AT108" i="16"/>
  <c r="AS108" i="16"/>
  <c r="AR108" i="16"/>
  <c r="AQ108" i="16"/>
  <c r="AP108" i="16"/>
  <c r="AO108" i="16"/>
  <c r="AN108" i="16"/>
  <c r="AM108" i="16"/>
  <c r="AL108" i="16"/>
  <c r="AJ108" i="16"/>
  <c r="AI108" i="16"/>
  <c r="AB108" i="16"/>
  <c r="AA108" i="16"/>
  <c r="Z108" i="16"/>
  <c r="Y108" i="16"/>
  <c r="X108" i="16"/>
  <c r="W108" i="16"/>
  <c r="V108" i="16"/>
  <c r="U108" i="16"/>
  <c r="T108" i="16"/>
  <c r="M108" i="16"/>
  <c r="L108" i="16"/>
  <c r="K108" i="16"/>
  <c r="J108" i="16"/>
  <c r="BB108" i="16" s="1"/>
  <c r="I108" i="16"/>
  <c r="BA108" i="16" s="1"/>
  <c r="H108" i="16"/>
  <c r="AZ108" i="16" s="1"/>
  <c r="F108" i="16"/>
  <c r="AX108" i="16" s="1"/>
  <c r="AW107" i="16"/>
  <c r="AT107" i="16"/>
  <c r="AS107" i="16"/>
  <c r="AR107" i="16"/>
  <c r="AQ107" i="16"/>
  <c r="AP107" i="16"/>
  <c r="AO107" i="16"/>
  <c r="AN107" i="16"/>
  <c r="AM107" i="16"/>
  <c r="AL107" i="16"/>
  <c r="AJ107" i="16"/>
  <c r="AI107" i="16"/>
  <c r="AB107" i="16"/>
  <c r="AA107" i="16"/>
  <c r="Z107" i="16"/>
  <c r="Y107" i="16"/>
  <c r="X107" i="16"/>
  <c r="W107" i="16"/>
  <c r="V107" i="16"/>
  <c r="U107" i="16"/>
  <c r="T107" i="16"/>
  <c r="M107" i="16"/>
  <c r="L107" i="16"/>
  <c r="K107" i="16"/>
  <c r="J107" i="16"/>
  <c r="BB107" i="16" s="1"/>
  <c r="I107" i="16"/>
  <c r="BA107" i="16" s="1"/>
  <c r="H107" i="16"/>
  <c r="AZ107" i="16" s="1"/>
  <c r="F107" i="16"/>
  <c r="AX107" i="16" s="1"/>
  <c r="AW106" i="16"/>
  <c r="AT106" i="16"/>
  <c r="AS106" i="16"/>
  <c r="AR106" i="16"/>
  <c r="AQ106" i="16"/>
  <c r="AP106" i="16"/>
  <c r="AO106" i="16"/>
  <c r="AN106" i="16"/>
  <c r="AM106" i="16"/>
  <c r="AL106" i="16"/>
  <c r="AJ106" i="16"/>
  <c r="AI106" i="16"/>
  <c r="AB106" i="16"/>
  <c r="AA106" i="16"/>
  <c r="Z106" i="16"/>
  <c r="Y106" i="16"/>
  <c r="X106" i="16"/>
  <c r="W106" i="16"/>
  <c r="V106" i="16"/>
  <c r="U106" i="16"/>
  <c r="T106" i="16"/>
  <c r="M106" i="16"/>
  <c r="L106" i="16"/>
  <c r="K106" i="16"/>
  <c r="J106" i="16"/>
  <c r="BB106" i="16" s="1"/>
  <c r="I106" i="16"/>
  <c r="BA106" i="16" s="1"/>
  <c r="H106" i="16"/>
  <c r="AZ106" i="16" s="1"/>
  <c r="F106" i="16"/>
  <c r="AX106" i="16" s="1"/>
  <c r="AW105" i="16"/>
  <c r="AT105" i="16"/>
  <c r="AS105" i="16"/>
  <c r="AR105" i="16"/>
  <c r="AQ105" i="16"/>
  <c r="AP105" i="16"/>
  <c r="AO105" i="16"/>
  <c r="AN105" i="16"/>
  <c r="AM105" i="16"/>
  <c r="AL105" i="16"/>
  <c r="AJ105" i="16"/>
  <c r="AI105" i="16"/>
  <c r="AB105" i="16"/>
  <c r="AA105" i="16"/>
  <c r="Z105" i="16"/>
  <c r="Y105" i="16"/>
  <c r="X105" i="16"/>
  <c r="W105" i="16"/>
  <c r="V105" i="16"/>
  <c r="U105" i="16"/>
  <c r="T105" i="16"/>
  <c r="M105" i="16"/>
  <c r="L105" i="16"/>
  <c r="K105" i="16"/>
  <c r="J105" i="16"/>
  <c r="BB105" i="16" s="1"/>
  <c r="I105" i="16"/>
  <c r="BA105" i="16" s="1"/>
  <c r="H105" i="16"/>
  <c r="AZ105" i="16" s="1"/>
  <c r="F105" i="16"/>
  <c r="AX105" i="16" s="1"/>
  <c r="AW104" i="16"/>
  <c r="AT104" i="16"/>
  <c r="AS104" i="16"/>
  <c r="AR104" i="16"/>
  <c r="AQ104" i="16"/>
  <c r="AP104" i="16"/>
  <c r="AO104" i="16"/>
  <c r="AN104" i="16"/>
  <c r="AM104" i="16"/>
  <c r="AL104" i="16"/>
  <c r="AJ104" i="16"/>
  <c r="AI104" i="16"/>
  <c r="AB104" i="16"/>
  <c r="AA104" i="16"/>
  <c r="Z104" i="16"/>
  <c r="Y104" i="16"/>
  <c r="X104" i="16"/>
  <c r="W104" i="16"/>
  <c r="V104" i="16"/>
  <c r="U104" i="16"/>
  <c r="T104" i="16"/>
  <c r="M104" i="16"/>
  <c r="L104" i="16"/>
  <c r="K104" i="16"/>
  <c r="J104" i="16"/>
  <c r="BB104" i="16" s="1"/>
  <c r="I104" i="16"/>
  <c r="BA104" i="16" s="1"/>
  <c r="H104" i="16"/>
  <c r="AZ104" i="16" s="1"/>
  <c r="F104" i="16"/>
  <c r="AX104" i="16" s="1"/>
  <c r="AW103" i="16"/>
  <c r="AT103" i="16"/>
  <c r="AS103" i="16"/>
  <c r="AR103" i="16"/>
  <c r="AQ103" i="16"/>
  <c r="AP103" i="16"/>
  <c r="AO103" i="16"/>
  <c r="AN103" i="16"/>
  <c r="AM103" i="16"/>
  <c r="AL103" i="16"/>
  <c r="AJ103" i="16"/>
  <c r="AI103" i="16"/>
  <c r="AB103" i="16"/>
  <c r="AA103" i="16"/>
  <c r="Z103" i="16"/>
  <c r="Y103" i="16"/>
  <c r="X103" i="16"/>
  <c r="W103" i="16"/>
  <c r="V103" i="16"/>
  <c r="U103" i="16"/>
  <c r="T103" i="16"/>
  <c r="M103" i="16"/>
  <c r="L103" i="16"/>
  <c r="K103" i="16"/>
  <c r="J103" i="16"/>
  <c r="BB103" i="16" s="1"/>
  <c r="I103" i="16"/>
  <c r="BA103" i="16" s="1"/>
  <c r="H103" i="16"/>
  <c r="AZ103" i="16" s="1"/>
  <c r="F103" i="16"/>
  <c r="AX103" i="16" s="1"/>
  <c r="AW102" i="16"/>
  <c r="AT102" i="16"/>
  <c r="AS102" i="16"/>
  <c r="AR102" i="16"/>
  <c r="AQ102" i="16"/>
  <c r="AP102" i="16"/>
  <c r="AO102" i="16"/>
  <c r="AN102" i="16"/>
  <c r="AM102" i="16"/>
  <c r="AL102" i="16"/>
  <c r="AJ102" i="16"/>
  <c r="AI102" i="16"/>
  <c r="AB102" i="16"/>
  <c r="AA102" i="16"/>
  <c r="Z102" i="16"/>
  <c r="Y102" i="16"/>
  <c r="X102" i="16"/>
  <c r="W102" i="16"/>
  <c r="V102" i="16"/>
  <c r="U102" i="16"/>
  <c r="T102" i="16"/>
  <c r="M102" i="16"/>
  <c r="L102" i="16"/>
  <c r="K102" i="16"/>
  <c r="J102" i="16"/>
  <c r="BB102" i="16" s="1"/>
  <c r="I102" i="16"/>
  <c r="BA102" i="16" s="1"/>
  <c r="H102" i="16"/>
  <c r="AZ102" i="16" s="1"/>
  <c r="F102" i="16"/>
  <c r="AX102" i="16" s="1"/>
  <c r="AW101" i="16"/>
  <c r="AT101" i="16"/>
  <c r="AS101" i="16"/>
  <c r="AR101" i="16"/>
  <c r="AQ101" i="16"/>
  <c r="AP101" i="16"/>
  <c r="AO101" i="16"/>
  <c r="AN101" i="16"/>
  <c r="AM101" i="16"/>
  <c r="AL101" i="16"/>
  <c r="AJ101" i="16"/>
  <c r="AI101" i="16"/>
  <c r="AB101" i="16"/>
  <c r="AA101" i="16"/>
  <c r="Z101" i="16"/>
  <c r="Y101" i="16"/>
  <c r="X101" i="16"/>
  <c r="W101" i="16"/>
  <c r="V101" i="16"/>
  <c r="U101" i="16"/>
  <c r="T101" i="16"/>
  <c r="M101" i="16"/>
  <c r="L101" i="16"/>
  <c r="K101" i="16"/>
  <c r="J101" i="16"/>
  <c r="BB101" i="16" s="1"/>
  <c r="I101" i="16"/>
  <c r="BA101" i="16" s="1"/>
  <c r="H101" i="16"/>
  <c r="AZ101" i="16" s="1"/>
  <c r="F101" i="16"/>
  <c r="AX101" i="16" s="1"/>
  <c r="AW100" i="16"/>
  <c r="AT100" i="16"/>
  <c r="AS100" i="16"/>
  <c r="AR100" i="16"/>
  <c r="AQ100" i="16"/>
  <c r="AP100" i="16"/>
  <c r="AO100" i="16"/>
  <c r="AN100" i="16"/>
  <c r="AM100" i="16"/>
  <c r="AL100" i="16"/>
  <c r="AJ100" i="16"/>
  <c r="AI100" i="16"/>
  <c r="AB100" i="16"/>
  <c r="AA100" i="16"/>
  <c r="Z100" i="16"/>
  <c r="Y100" i="16"/>
  <c r="X100" i="16"/>
  <c r="W100" i="16"/>
  <c r="V100" i="16"/>
  <c r="U100" i="16"/>
  <c r="T100" i="16"/>
  <c r="M100" i="16"/>
  <c r="L100" i="16"/>
  <c r="K100" i="16"/>
  <c r="J100" i="16"/>
  <c r="BB100" i="16" s="1"/>
  <c r="I100" i="16"/>
  <c r="BA100" i="16" s="1"/>
  <c r="H100" i="16"/>
  <c r="AZ100" i="16" s="1"/>
  <c r="F100" i="16"/>
  <c r="AX100" i="16" s="1"/>
  <c r="AW99" i="16"/>
  <c r="AT99" i="16"/>
  <c r="AS99" i="16"/>
  <c r="AR99" i="16"/>
  <c r="AQ99" i="16"/>
  <c r="AP99" i="16"/>
  <c r="AO99" i="16"/>
  <c r="AN99" i="16"/>
  <c r="AM99" i="16"/>
  <c r="AL99" i="16"/>
  <c r="AJ99" i="16"/>
  <c r="AI99" i="16"/>
  <c r="AB99" i="16"/>
  <c r="AA99" i="16"/>
  <c r="Z99" i="16"/>
  <c r="Y99" i="16"/>
  <c r="X99" i="16"/>
  <c r="W99" i="16"/>
  <c r="V99" i="16"/>
  <c r="U99" i="16"/>
  <c r="T99" i="16"/>
  <c r="M99" i="16"/>
  <c r="L99" i="16"/>
  <c r="K99" i="16"/>
  <c r="J99" i="16"/>
  <c r="BB99" i="16" s="1"/>
  <c r="I99" i="16"/>
  <c r="BA99" i="16" s="1"/>
  <c r="H99" i="16"/>
  <c r="AZ99" i="16" s="1"/>
  <c r="F99" i="16"/>
  <c r="AX99" i="16" s="1"/>
  <c r="AW98" i="16"/>
  <c r="AT98" i="16"/>
  <c r="AS98" i="16"/>
  <c r="AR98" i="16"/>
  <c r="AQ98" i="16"/>
  <c r="AP98" i="16"/>
  <c r="AO98" i="16"/>
  <c r="AN98" i="16"/>
  <c r="AM98" i="16"/>
  <c r="AL98" i="16"/>
  <c r="AJ98" i="16"/>
  <c r="AI98" i="16"/>
  <c r="AB98" i="16"/>
  <c r="AA98" i="16"/>
  <c r="Z98" i="16"/>
  <c r="Y98" i="16"/>
  <c r="X98" i="16"/>
  <c r="W98" i="16"/>
  <c r="V98" i="16"/>
  <c r="U98" i="16"/>
  <c r="T98" i="16"/>
  <c r="M98" i="16"/>
  <c r="L98" i="16"/>
  <c r="K98" i="16"/>
  <c r="J98" i="16"/>
  <c r="BB98" i="16" s="1"/>
  <c r="I98" i="16"/>
  <c r="BA98" i="16" s="1"/>
  <c r="H98" i="16"/>
  <c r="AZ98" i="16" s="1"/>
  <c r="F98" i="16"/>
  <c r="AX98" i="16" s="1"/>
  <c r="AW97" i="16"/>
  <c r="AT97" i="16"/>
  <c r="AS97" i="16"/>
  <c r="AR97" i="16"/>
  <c r="AQ97" i="16"/>
  <c r="AP97" i="16"/>
  <c r="AO97" i="16"/>
  <c r="AN97" i="16"/>
  <c r="AM97" i="16"/>
  <c r="AL97" i="16"/>
  <c r="AJ97" i="16"/>
  <c r="AI97" i="16"/>
  <c r="AB97" i="16"/>
  <c r="AA97" i="16"/>
  <c r="Z97" i="16"/>
  <c r="Y97" i="16"/>
  <c r="X97" i="16"/>
  <c r="W97" i="16"/>
  <c r="V97" i="16"/>
  <c r="U97" i="16"/>
  <c r="T97" i="16"/>
  <c r="M97" i="16"/>
  <c r="L97" i="16"/>
  <c r="K97" i="16"/>
  <c r="J97" i="16"/>
  <c r="BB97" i="16" s="1"/>
  <c r="I97" i="16"/>
  <c r="BA97" i="16" s="1"/>
  <c r="H97" i="16"/>
  <c r="AZ97" i="16" s="1"/>
  <c r="F97" i="16"/>
  <c r="AX97" i="16" s="1"/>
  <c r="AW96" i="16"/>
  <c r="AT96" i="16"/>
  <c r="AS96" i="16"/>
  <c r="AR96" i="16"/>
  <c r="AQ96" i="16"/>
  <c r="AP96" i="16"/>
  <c r="AO96" i="16"/>
  <c r="AN96" i="16"/>
  <c r="AM96" i="16"/>
  <c r="AL96" i="16"/>
  <c r="AJ96" i="16"/>
  <c r="AI96" i="16"/>
  <c r="AB96" i="16"/>
  <c r="AA96" i="16"/>
  <c r="Z96" i="16"/>
  <c r="Y96" i="16"/>
  <c r="X96" i="16"/>
  <c r="W96" i="16"/>
  <c r="V96" i="16"/>
  <c r="U96" i="16"/>
  <c r="T96" i="16"/>
  <c r="M96" i="16"/>
  <c r="L96" i="16"/>
  <c r="K96" i="16"/>
  <c r="J96" i="16"/>
  <c r="BB96" i="16" s="1"/>
  <c r="I96" i="16"/>
  <c r="BA96" i="16" s="1"/>
  <c r="H96" i="16"/>
  <c r="AZ96" i="16" s="1"/>
  <c r="F96" i="16"/>
  <c r="AX96" i="16" s="1"/>
  <c r="AW95" i="16"/>
  <c r="AT95" i="16"/>
  <c r="AS95" i="16"/>
  <c r="AR95" i="16"/>
  <c r="AQ95" i="16"/>
  <c r="AP95" i="16"/>
  <c r="AO95" i="16"/>
  <c r="AN95" i="16"/>
  <c r="AM95" i="16"/>
  <c r="AL95" i="16"/>
  <c r="AJ95" i="16"/>
  <c r="AI95" i="16"/>
  <c r="AB95" i="16"/>
  <c r="AA95" i="16"/>
  <c r="Z95" i="16"/>
  <c r="Y95" i="16"/>
  <c r="X95" i="16"/>
  <c r="W95" i="16"/>
  <c r="V95" i="16"/>
  <c r="U95" i="16"/>
  <c r="T95" i="16"/>
  <c r="M95" i="16"/>
  <c r="L95" i="16"/>
  <c r="K95" i="16"/>
  <c r="J95" i="16"/>
  <c r="BB95" i="16" s="1"/>
  <c r="I95" i="16"/>
  <c r="BA95" i="16" s="1"/>
  <c r="H95" i="16"/>
  <c r="AZ95" i="16" s="1"/>
  <c r="F95" i="16"/>
  <c r="AX95" i="16" s="1"/>
  <c r="AW94" i="16"/>
  <c r="AT94" i="16"/>
  <c r="AS94" i="16"/>
  <c r="AR94" i="16"/>
  <c r="AQ94" i="16"/>
  <c r="AP94" i="16"/>
  <c r="AO94" i="16"/>
  <c r="AN94" i="16"/>
  <c r="AM94" i="16"/>
  <c r="AL94" i="16"/>
  <c r="AJ94" i="16"/>
  <c r="AI94" i="16"/>
  <c r="AB94" i="16"/>
  <c r="AA94" i="16"/>
  <c r="Z94" i="16"/>
  <c r="Y94" i="16"/>
  <c r="X94" i="16"/>
  <c r="W94" i="16"/>
  <c r="V94" i="16"/>
  <c r="U94" i="16"/>
  <c r="T94" i="16"/>
  <c r="M94" i="16"/>
  <c r="L94" i="16"/>
  <c r="K94" i="16"/>
  <c r="J94" i="16"/>
  <c r="BB94" i="16" s="1"/>
  <c r="I94" i="16"/>
  <c r="BA94" i="16" s="1"/>
  <c r="H94" i="16"/>
  <c r="AZ94" i="16" s="1"/>
  <c r="F94" i="16"/>
  <c r="AX94" i="16" s="1"/>
  <c r="AW93" i="16"/>
  <c r="AT93" i="16"/>
  <c r="AS93" i="16"/>
  <c r="AR93" i="16"/>
  <c r="AQ93" i="16"/>
  <c r="AP93" i="16"/>
  <c r="AO93" i="16"/>
  <c r="AN93" i="16"/>
  <c r="AM93" i="16"/>
  <c r="AL93" i="16"/>
  <c r="AJ93" i="16"/>
  <c r="AI93" i="16"/>
  <c r="AB93" i="16"/>
  <c r="AA93" i="16"/>
  <c r="Z93" i="16"/>
  <c r="Y93" i="16"/>
  <c r="X93" i="16"/>
  <c r="W93" i="16"/>
  <c r="V93" i="16"/>
  <c r="U93" i="16"/>
  <c r="T93" i="16"/>
  <c r="M93" i="16"/>
  <c r="L93" i="16"/>
  <c r="K93" i="16"/>
  <c r="J93" i="16"/>
  <c r="BB93" i="16" s="1"/>
  <c r="I93" i="16"/>
  <c r="BA93" i="16" s="1"/>
  <c r="H93" i="16"/>
  <c r="AZ93" i="16" s="1"/>
  <c r="F93" i="16"/>
  <c r="AX93" i="16" s="1"/>
  <c r="AW92" i="16"/>
  <c r="AT92" i="16"/>
  <c r="AS92" i="16"/>
  <c r="AR92" i="16"/>
  <c r="AQ92" i="16"/>
  <c r="AP92" i="16"/>
  <c r="AO92" i="16"/>
  <c r="AN92" i="16"/>
  <c r="AM92" i="16"/>
  <c r="AL92" i="16"/>
  <c r="AJ92" i="16"/>
  <c r="AI92" i="16"/>
  <c r="AB92" i="16"/>
  <c r="AA92" i="16"/>
  <c r="Z92" i="16"/>
  <c r="Y92" i="16"/>
  <c r="X92" i="16"/>
  <c r="W92" i="16"/>
  <c r="V92" i="16"/>
  <c r="U92" i="16"/>
  <c r="T92" i="16"/>
  <c r="M92" i="16"/>
  <c r="L92" i="16"/>
  <c r="K92" i="16"/>
  <c r="J92" i="16"/>
  <c r="BB92" i="16" s="1"/>
  <c r="I92" i="16"/>
  <c r="BA92" i="16" s="1"/>
  <c r="H92" i="16"/>
  <c r="AZ92" i="16" s="1"/>
  <c r="F92" i="16"/>
  <c r="AX92" i="16" s="1"/>
  <c r="AW91" i="16"/>
  <c r="AT91" i="16"/>
  <c r="AS91" i="16"/>
  <c r="AR91" i="16"/>
  <c r="AQ91" i="16"/>
  <c r="AP91" i="16"/>
  <c r="AO91" i="16"/>
  <c r="AN91" i="16"/>
  <c r="AM91" i="16"/>
  <c r="AL91" i="16"/>
  <c r="AJ91" i="16"/>
  <c r="AI91" i="16"/>
  <c r="AB91" i="16"/>
  <c r="AA91" i="16"/>
  <c r="Z91" i="16"/>
  <c r="Y91" i="16"/>
  <c r="X91" i="16"/>
  <c r="W91" i="16"/>
  <c r="V91" i="16"/>
  <c r="U91" i="16"/>
  <c r="T91" i="16"/>
  <c r="M91" i="16"/>
  <c r="L91" i="16"/>
  <c r="K91" i="16"/>
  <c r="J91" i="16"/>
  <c r="BB91" i="16" s="1"/>
  <c r="I91" i="16"/>
  <c r="BA91" i="16" s="1"/>
  <c r="H91" i="16"/>
  <c r="AZ91" i="16" s="1"/>
  <c r="F91" i="16"/>
  <c r="AX91" i="16" s="1"/>
  <c r="AW90" i="16"/>
  <c r="AT90" i="16"/>
  <c r="AS90" i="16"/>
  <c r="AR90" i="16"/>
  <c r="AQ90" i="16"/>
  <c r="AP90" i="16"/>
  <c r="AO90" i="16"/>
  <c r="AN90" i="16"/>
  <c r="AM90" i="16"/>
  <c r="AL90" i="16"/>
  <c r="AJ90" i="16"/>
  <c r="AI90" i="16"/>
  <c r="AB90" i="16"/>
  <c r="AA90" i="16"/>
  <c r="Z90" i="16"/>
  <c r="Y90" i="16"/>
  <c r="X90" i="16"/>
  <c r="W90" i="16"/>
  <c r="V90" i="16"/>
  <c r="U90" i="16"/>
  <c r="T90" i="16"/>
  <c r="M90" i="16"/>
  <c r="L90" i="16"/>
  <c r="K90" i="16"/>
  <c r="J90" i="16"/>
  <c r="BB90" i="16" s="1"/>
  <c r="I90" i="16"/>
  <c r="BA90" i="16" s="1"/>
  <c r="H90" i="16"/>
  <c r="AZ90" i="16" s="1"/>
  <c r="F90" i="16"/>
  <c r="AX90" i="16" s="1"/>
  <c r="AW89" i="16"/>
  <c r="AT89" i="16"/>
  <c r="AS89" i="16"/>
  <c r="AR89" i="16"/>
  <c r="AQ89" i="16"/>
  <c r="AP89" i="16"/>
  <c r="AO89" i="16"/>
  <c r="AN89" i="16"/>
  <c r="AM89" i="16"/>
  <c r="AL89" i="16"/>
  <c r="AJ89" i="16"/>
  <c r="AI89" i="16"/>
  <c r="AB89" i="16"/>
  <c r="AA89" i="16"/>
  <c r="Z89" i="16"/>
  <c r="Y89" i="16"/>
  <c r="X89" i="16"/>
  <c r="W89" i="16"/>
  <c r="V89" i="16"/>
  <c r="U89" i="16"/>
  <c r="T89" i="16"/>
  <c r="M89" i="16"/>
  <c r="L89" i="16"/>
  <c r="K89" i="16"/>
  <c r="J89" i="16"/>
  <c r="BB89" i="16" s="1"/>
  <c r="I89" i="16"/>
  <c r="BA89" i="16" s="1"/>
  <c r="H89" i="16"/>
  <c r="AZ89" i="16" s="1"/>
  <c r="F89" i="16"/>
  <c r="AX89" i="16" s="1"/>
  <c r="AW88" i="16"/>
  <c r="AT88" i="16"/>
  <c r="AS88" i="16"/>
  <c r="AR88" i="16"/>
  <c r="AQ88" i="16"/>
  <c r="AP88" i="16"/>
  <c r="AO88" i="16"/>
  <c r="AN88" i="16"/>
  <c r="AM88" i="16"/>
  <c r="AL88" i="16"/>
  <c r="AJ88" i="16"/>
  <c r="AI88" i="16"/>
  <c r="AB88" i="16"/>
  <c r="AA88" i="16"/>
  <c r="Z88" i="16"/>
  <c r="Y88" i="16"/>
  <c r="X88" i="16"/>
  <c r="W88" i="16"/>
  <c r="V88" i="16"/>
  <c r="U88" i="16"/>
  <c r="T88" i="16"/>
  <c r="M88" i="16"/>
  <c r="L88" i="16"/>
  <c r="K88" i="16"/>
  <c r="J88" i="16"/>
  <c r="BB88" i="16" s="1"/>
  <c r="I88" i="16"/>
  <c r="BA88" i="16" s="1"/>
  <c r="H88" i="16"/>
  <c r="AZ88" i="16" s="1"/>
  <c r="F88" i="16"/>
  <c r="AX88" i="16" s="1"/>
  <c r="AW87" i="16"/>
  <c r="AT87" i="16"/>
  <c r="AS87" i="16"/>
  <c r="AR87" i="16"/>
  <c r="AQ87" i="16"/>
  <c r="AP87" i="16"/>
  <c r="AO87" i="16"/>
  <c r="AN87" i="16"/>
  <c r="AM87" i="16"/>
  <c r="AL87" i="16"/>
  <c r="AJ87" i="16"/>
  <c r="AI87" i="16"/>
  <c r="AB87" i="16"/>
  <c r="AA87" i="16"/>
  <c r="Z87" i="16"/>
  <c r="Y87" i="16"/>
  <c r="X87" i="16"/>
  <c r="W87" i="16"/>
  <c r="V87" i="16"/>
  <c r="U87" i="16"/>
  <c r="T87" i="16"/>
  <c r="M87" i="16"/>
  <c r="L87" i="16"/>
  <c r="K87" i="16"/>
  <c r="J87" i="16"/>
  <c r="BB87" i="16" s="1"/>
  <c r="I87" i="16"/>
  <c r="BA87" i="16" s="1"/>
  <c r="H87" i="16"/>
  <c r="AZ87" i="16" s="1"/>
  <c r="F87" i="16"/>
  <c r="AX87" i="16" s="1"/>
  <c r="AW86" i="16"/>
  <c r="AT86" i="16"/>
  <c r="AS86" i="16"/>
  <c r="AR86" i="16"/>
  <c r="AQ86" i="16"/>
  <c r="AP86" i="16"/>
  <c r="AO86" i="16"/>
  <c r="AN86" i="16"/>
  <c r="AM86" i="16"/>
  <c r="AL86" i="16"/>
  <c r="AJ86" i="16"/>
  <c r="AI86" i="16"/>
  <c r="AB86" i="16"/>
  <c r="AA86" i="16"/>
  <c r="Z86" i="16"/>
  <c r="Y86" i="16"/>
  <c r="X86" i="16"/>
  <c r="W86" i="16"/>
  <c r="V86" i="16"/>
  <c r="U86" i="16"/>
  <c r="T86" i="16"/>
  <c r="M86" i="16"/>
  <c r="L86" i="16"/>
  <c r="K86" i="16"/>
  <c r="J86" i="16"/>
  <c r="BB86" i="16" s="1"/>
  <c r="I86" i="16"/>
  <c r="BA86" i="16" s="1"/>
  <c r="H86" i="16"/>
  <c r="AZ86" i="16" s="1"/>
  <c r="F86" i="16"/>
  <c r="AX86" i="16" s="1"/>
  <c r="AW85" i="16"/>
  <c r="AT85" i="16"/>
  <c r="AS85" i="16"/>
  <c r="AR85" i="16"/>
  <c r="AQ85" i="16"/>
  <c r="AP85" i="16"/>
  <c r="AO85" i="16"/>
  <c r="AN85" i="16"/>
  <c r="AM85" i="16"/>
  <c r="AL85" i="16"/>
  <c r="AJ85" i="16"/>
  <c r="AI85" i="16"/>
  <c r="AB85" i="16"/>
  <c r="AA85" i="16"/>
  <c r="Z85" i="16"/>
  <c r="Y85" i="16"/>
  <c r="X85" i="16"/>
  <c r="W85" i="16"/>
  <c r="V85" i="16"/>
  <c r="U85" i="16"/>
  <c r="T85" i="16"/>
  <c r="M85" i="16"/>
  <c r="L85" i="16"/>
  <c r="K85" i="16"/>
  <c r="J85" i="16"/>
  <c r="BB85" i="16" s="1"/>
  <c r="I85" i="16"/>
  <c r="BA85" i="16" s="1"/>
  <c r="H85" i="16"/>
  <c r="AZ85" i="16" s="1"/>
  <c r="F85" i="16"/>
  <c r="AX85" i="16" s="1"/>
  <c r="AW84" i="16"/>
  <c r="AT84" i="16"/>
  <c r="AS84" i="16"/>
  <c r="AR84" i="16"/>
  <c r="AQ84" i="16"/>
  <c r="AP84" i="16"/>
  <c r="AO84" i="16"/>
  <c r="AN84" i="16"/>
  <c r="AM84" i="16"/>
  <c r="AL84" i="16"/>
  <c r="AJ84" i="16"/>
  <c r="AI84" i="16"/>
  <c r="AB84" i="16"/>
  <c r="AA84" i="16"/>
  <c r="Z84" i="16"/>
  <c r="Y84" i="16"/>
  <c r="X84" i="16"/>
  <c r="W84" i="16"/>
  <c r="V84" i="16"/>
  <c r="U84" i="16"/>
  <c r="T84" i="16"/>
  <c r="M84" i="16"/>
  <c r="L84" i="16"/>
  <c r="K84" i="16"/>
  <c r="J84" i="16"/>
  <c r="BB84" i="16" s="1"/>
  <c r="I84" i="16"/>
  <c r="BA84" i="16" s="1"/>
  <c r="H84" i="16"/>
  <c r="AZ84" i="16" s="1"/>
  <c r="F84" i="16"/>
  <c r="AX84" i="16" s="1"/>
  <c r="AW83" i="16"/>
  <c r="AT83" i="16"/>
  <c r="AS83" i="16"/>
  <c r="AR83" i="16"/>
  <c r="AQ83" i="16"/>
  <c r="AP83" i="16"/>
  <c r="AO83" i="16"/>
  <c r="AN83" i="16"/>
  <c r="AM83" i="16"/>
  <c r="AL83" i="16"/>
  <c r="AJ83" i="16"/>
  <c r="AI83" i="16"/>
  <c r="AB83" i="16"/>
  <c r="AA83" i="16"/>
  <c r="Z83" i="16"/>
  <c r="Y83" i="16"/>
  <c r="X83" i="16"/>
  <c r="W83" i="16"/>
  <c r="V83" i="16"/>
  <c r="U83" i="16"/>
  <c r="T83" i="16"/>
  <c r="M83" i="16"/>
  <c r="L83" i="16"/>
  <c r="K83" i="16"/>
  <c r="J83" i="16"/>
  <c r="BB83" i="16" s="1"/>
  <c r="I83" i="16"/>
  <c r="BA83" i="16" s="1"/>
  <c r="H83" i="16"/>
  <c r="AZ83" i="16" s="1"/>
  <c r="F83" i="16"/>
  <c r="AX83" i="16" s="1"/>
  <c r="AW82" i="16"/>
  <c r="AT82" i="16"/>
  <c r="AS82" i="16"/>
  <c r="AR82" i="16"/>
  <c r="AQ82" i="16"/>
  <c r="AP82" i="16"/>
  <c r="AO82" i="16"/>
  <c r="AN82" i="16"/>
  <c r="AM82" i="16"/>
  <c r="AL82" i="16"/>
  <c r="AJ82" i="16"/>
  <c r="AI82" i="16"/>
  <c r="AB82" i="16"/>
  <c r="AA82" i="16"/>
  <c r="Z82" i="16"/>
  <c r="Y82" i="16"/>
  <c r="X82" i="16"/>
  <c r="W82" i="16"/>
  <c r="V82" i="16"/>
  <c r="U82" i="16"/>
  <c r="T82" i="16"/>
  <c r="M82" i="16"/>
  <c r="L82" i="16"/>
  <c r="K82" i="16"/>
  <c r="J82" i="16"/>
  <c r="BB82" i="16" s="1"/>
  <c r="I82" i="16"/>
  <c r="BA82" i="16" s="1"/>
  <c r="H82" i="16"/>
  <c r="AZ82" i="16" s="1"/>
  <c r="F82" i="16"/>
  <c r="AX82" i="16" s="1"/>
  <c r="AW81" i="16"/>
  <c r="AT81" i="16"/>
  <c r="AS81" i="16"/>
  <c r="AR81" i="16"/>
  <c r="AQ81" i="16"/>
  <c r="AP81" i="16"/>
  <c r="AO81" i="16"/>
  <c r="AN81" i="16"/>
  <c r="AM81" i="16"/>
  <c r="AL81" i="16"/>
  <c r="AJ81" i="16"/>
  <c r="AI81" i="16"/>
  <c r="AB81" i="16"/>
  <c r="AA81" i="16"/>
  <c r="Z81" i="16"/>
  <c r="Y81" i="16"/>
  <c r="X81" i="16"/>
  <c r="W81" i="16"/>
  <c r="V81" i="16"/>
  <c r="U81" i="16"/>
  <c r="T81" i="16"/>
  <c r="M81" i="16"/>
  <c r="L81" i="16"/>
  <c r="K81" i="16"/>
  <c r="J81" i="16"/>
  <c r="BB81" i="16" s="1"/>
  <c r="I81" i="16"/>
  <c r="BA81" i="16" s="1"/>
  <c r="H81" i="16"/>
  <c r="AZ81" i="16" s="1"/>
  <c r="F81" i="16"/>
  <c r="AX81" i="16" s="1"/>
  <c r="AW80" i="16"/>
  <c r="AT80" i="16"/>
  <c r="AS80" i="16"/>
  <c r="AR80" i="16"/>
  <c r="AQ80" i="16"/>
  <c r="AP80" i="16"/>
  <c r="AO80" i="16"/>
  <c r="AN80" i="16"/>
  <c r="AM80" i="16"/>
  <c r="AL80" i="16"/>
  <c r="AJ80" i="16"/>
  <c r="AI80" i="16"/>
  <c r="AB80" i="16"/>
  <c r="AA80" i="16"/>
  <c r="Z80" i="16"/>
  <c r="Y80" i="16"/>
  <c r="X80" i="16"/>
  <c r="W80" i="16"/>
  <c r="V80" i="16"/>
  <c r="U80" i="16"/>
  <c r="T80" i="16"/>
  <c r="M80" i="16"/>
  <c r="L80" i="16"/>
  <c r="K80" i="16"/>
  <c r="J80" i="16"/>
  <c r="BB80" i="16" s="1"/>
  <c r="I80" i="16"/>
  <c r="BA80" i="16" s="1"/>
  <c r="H80" i="16"/>
  <c r="AZ80" i="16" s="1"/>
  <c r="F80" i="16"/>
  <c r="AX80" i="16" s="1"/>
  <c r="AW79" i="16"/>
  <c r="AT79" i="16"/>
  <c r="AS79" i="16"/>
  <c r="AR79" i="16"/>
  <c r="AQ79" i="16"/>
  <c r="AP79" i="16"/>
  <c r="AO79" i="16"/>
  <c r="AN79" i="16"/>
  <c r="AM79" i="16"/>
  <c r="AL79" i="16"/>
  <c r="AJ79" i="16"/>
  <c r="AI79" i="16"/>
  <c r="AB79" i="16"/>
  <c r="AA79" i="16"/>
  <c r="Z79" i="16"/>
  <c r="Y79" i="16"/>
  <c r="X79" i="16"/>
  <c r="W79" i="16"/>
  <c r="V79" i="16"/>
  <c r="U79" i="16"/>
  <c r="T79" i="16"/>
  <c r="M79" i="16"/>
  <c r="L79" i="16"/>
  <c r="K79" i="16"/>
  <c r="J79" i="16"/>
  <c r="BB79" i="16" s="1"/>
  <c r="I79" i="16"/>
  <c r="BA79" i="16" s="1"/>
  <c r="H79" i="16"/>
  <c r="AZ79" i="16" s="1"/>
  <c r="F79" i="16"/>
  <c r="AX79" i="16" s="1"/>
  <c r="AW78" i="16"/>
  <c r="AT78" i="16"/>
  <c r="AS78" i="16"/>
  <c r="AR78" i="16"/>
  <c r="AQ78" i="16"/>
  <c r="AP78" i="16"/>
  <c r="AO78" i="16"/>
  <c r="AN78" i="16"/>
  <c r="AM78" i="16"/>
  <c r="AL78" i="16"/>
  <c r="AJ78" i="16"/>
  <c r="AI78" i="16"/>
  <c r="AB78" i="16"/>
  <c r="AA78" i="16"/>
  <c r="Z78" i="16"/>
  <c r="Y78" i="16"/>
  <c r="X78" i="16"/>
  <c r="W78" i="16"/>
  <c r="V78" i="16"/>
  <c r="U78" i="16"/>
  <c r="T78" i="16"/>
  <c r="M78" i="16"/>
  <c r="L78" i="16"/>
  <c r="K78" i="16"/>
  <c r="J78" i="16"/>
  <c r="BB78" i="16" s="1"/>
  <c r="I78" i="16"/>
  <c r="BA78" i="16" s="1"/>
  <c r="H78" i="16"/>
  <c r="AZ78" i="16" s="1"/>
  <c r="F78" i="16"/>
  <c r="AX78" i="16" s="1"/>
  <c r="AW77" i="16"/>
  <c r="AT77" i="16"/>
  <c r="AS77" i="16"/>
  <c r="AR77" i="16"/>
  <c r="AQ77" i="16"/>
  <c r="AP77" i="16"/>
  <c r="AO77" i="16"/>
  <c r="AN77" i="16"/>
  <c r="AM77" i="16"/>
  <c r="AL77" i="16"/>
  <c r="AJ77" i="16"/>
  <c r="AI77" i="16"/>
  <c r="AB77" i="16"/>
  <c r="AA77" i="16"/>
  <c r="Z77" i="16"/>
  <c r="Y77" i="16"/>
  <c r="X77" i="16"/>
  <c r="W77" i="16"/>
  <c r="V77" i="16"/>
  <c r="U77" i="16"/>
  <c r="T77" i="16"/>
  <c r="M77" i="16"/>
  <c r="L77" i="16"/>
  <c r="K77" i="16"/>
  <c r="J77" i="16"/>
  <c r="BB77" i="16" s="1"/>
  <c r="I77" i="16"/>
  <c r="BA77" i="16" s="1"/>
  <c r="H77" i="16"/>
  <c r="AZ77" i="16" s="1"/>
  <c r="F77" i="16"/>
  <c r="AX77" i="16" s="1"/>
  <c r="AW76" i="16"/>
  <c r="AT76" i="16"/>
  <c r="AS76" i="16"/>
  <c r="AR76" i="16"/>
  <c r="AQ76" i="16"/>
  <c r="AP76" i="16"/>
  <c r="AO76" i="16"/>
  <c r="AN76" i="16"/>
  <c r="AM76" i="16"/>
  <c r="AL76" i="16"/>
  <c r="AJ76" i="16"/>
  <c r="AI76" i="16"/>
  <c r="AB76" i="16"/>
  <c r="AA76" i="16"/>
  <c r="Z76" i="16"/>
  <c r="Y76" i="16"/>
  <c r="X76" i="16"/>
  <c r="W76" i="16"/>
  <c r="V76" i="16"/>
  <c r="U76" i="16"/>
  <c r="T76" i="16"/>
  <c r="M76" i="16"/>
  <c r="L76" i="16"/>
  <c r="K76" i="16"/>
  <c r="J76" i="16"/>
  <c r="BB76" i="16" s="1"/>
  <c r="I76" i="16"/>
  <c r="BA76" i="16" s="1"/>
  <c r="H76" i="16"/>
  <c r="AZ76" i="16" s="1"/>
  <c r="F76" i="16"/>
  <c r="AX76" i="16" s="1"/>
  <c r="AW75" i="16"/>
  <c r="AT75" i="16"/>
  <c r="AS75" i="16"/>
  <c r="AR75" i="16"/>
  <c r="AQ75" i="16"/>
  <c r="AP75" i="16"/>
  <c r="AO75" i="16"/>
  <c r="AN75" i="16"/>
  <c r="AM75" i="16"/>
  <c r="AL75" i="16"/>
  <c r="AJ75" i="16"/>
  <c r="AI75" i="16"/>
  <c r="AB75" i="16"/>
  <c r="AA75" i="16"/>
  <c r="Z75" i="16"/>
  <c r="Y75" i="16"/>
  <c r="X75" i="16"/>
  <c r="W75" i="16"/>
  <c r="V75" i="16"/>
  <c r="U75" i="16"/>
  <c r="T75" i="16"/>
  <c r="M75" i="16"/>
  <c r="L75" i="16"/>
  <c r="K75" i="16"/>
  <c r="J75" i="16"/>
  <c r="BB75" i="16" s="1"/>
  <c r="I75" i="16"/>
  <c r="BA75" i="16" s="1"/>
  <c r="H75" i="16"/>
  <c r="AZ75" i="16" s="1"/>
  <c r="F75" i="16"/>
  <c r="AX75" i="16" s="1"/>
  <c r="AW74" i="16"/>
  <c r="AT74" i="16"/>
  <c r="AS74" i="16"/>
  <c r="AR74" i="16"/>
  <c r="AQ74" i="16"/>
  <c r="AP74" i="16"/>
  <c r="AO74" i="16"/>
  <c r="AN74" i="16"/>
  <c r="AM74" i="16"/>
  <c r="AL74" i="16"/>
  <c r="AJ74" i="16"/>
  <c r="AI74" i="16"/>
  <c r="AB74" i="16"/>
  <c r="AA74" i="16"/>
  <c r="Z74" i="16"/>
  <c r="Y74" i="16"/>
  <c r="X74" i="16"/>
  <c r="W74" i="16"/>
  <c r="V74" i="16"/>
  <c r="U74" i="16"/>
  <c r="T74" i="16"/>
  <c r="M74" i="16"/>
  <c r="L74" i="16"/>
  <c r="K74" i="16"/>
  <c r="J74" i="16"/>
  <c r="BB74" i="16" s="1"/>
  <c r="I74" i="16"/>
  <c r="BA74" i="16" s="1"/>
  <c r="H74" i="16"/>
  <c r="AZ74" i="16" s="1"/>
  <c r="F74" i="16"/>
  <c r="AX74" i="16" s="1"/>
  <c r="AW73" i="16"/>
  <c r="AT73" i="16"/>
  <c r="AS73" i="16"/>
  <c r="AR73" i="16"/>
  <c r="AQ73" i="16"/>
  <c r="AP73" i="16"/>
  <c r="AO73" i="16"/>
  <c r="AN73" i="16"/>
  <c r="AM73" i="16"/>
  <c r="AL73" i="16"/>
  <c r="AJ73" i="16"/>
  <c r="AI73" i="16"/>
  <c r="AB73" i="16"/>
  <c r="AA73" i="16"/>
  <c r="Z73" i="16"/>
  <c r="Y73" i="16"/>
  <c r="X73" i="16"/>
  <c r="W73" i="16"/>
  <c r="V73" i="16"/>
  <c r="U73" i="16"/>
  <c r="T73" i="16"/>
  <c r="M73" i="16"/>
  <c r="L73" i="16"/>
  <c r="K73" i="16"/>
  <c r="J73" i="16"/>
  <c r="BB73" i="16" s="1"/>
  <c r="I73" i="16"/>
  <c r="BA73" i="16" s="1"/>
  <c r="H73" i="16"/>
  <c r="AZ73" i="16" s="1"/>
  <c r="F73" i="16"/>
  <c r="AX73" i="16" s="1"/>
  <c r="AW72" i="16"/>
  <c r="AT72" i="16"/>
  <c r="AS72" i="16"/>
  <c r="AR72" i="16"/>
  <c r="AQ72" i="16"/>
  <c r="AP72" i="16"/>
  <c r="AO72" i="16"/>
  <c r="AN72" i="16"/>
  <c r="AM72" i="16"/>
  <c r="AL72" i="16"/>
  <c r="AJ72" i="16"/>
  <c r="AI72" i="16"/>
  <c r="AB72" i="16"/>
  <c r="AA72" i="16"/>
  <c r="Z72" i="16"/>
  <c r="Y72" i="16"/>
  <c r="X72" i="16"/>
  <c r="W72" i="16"/>
  <c r="V72" i="16"/>
  <c r="U72" i="16"/>
  <c r="T72" i="16"/>
  <c r="M72" i="16"/>
  <c r="L72" i="16"/>
  <c r="K72" i="16"/>
  <c r="J72" i="16"/>
  <c r="BB72" i="16" s="1"/>
  <c r="I72" i="16"/>
  <c r="BA72" i="16" s="1"/>
  <c r="H72" i="16"/>
  <c r="AZ72" i="16" s="1"/>
  <c r="F72" i="16"/>
  <c r="AX72" i="16" s="1"/>
  <c r="AW71" i="16"/>
  <c r="AT71" i="16"/>
  <c r="AS71" i="16"/>
  <c r="AR71" i="16"/>
  <c r="AQ71" i="16"/>
  <c r="AP71" i="16"/>
  <c r="AO71" i="16"/>
  <c r="AN71" i="16"/>
  <c r="AM71" i="16"/>
  <c r="AL71" i="16"/>
  <c r="AJ71" i="16"/>
  <c r="AI71" i="16"/>
  <c r="AB71" i="16"/>
  <c r="AA71" i="16"/>
  <c r="Z71" i="16"/>
  <c r="Y71" i="16"/>
  <c r="X71" i="16"/>
  <c r="W71" i="16"/>
  <c r="V71" i="16"/>
  <c r="U71" i="16"/>
  <c r="T71" i="16"/>
  <c r="M71" i="16"/>
  <c r="L71" i="16"/>
  <c r="K71" i="16"/>
  <c r="J71" i="16"/>
  <c r="BB71" i="16" s="1"/>
  <c r="I71" i="16"/>
  <c r="BA71" i="16" s="1"/>
  <c r="H71" i="16"/>
  <c r="AZ71" i="16" s="1"/>
  <c r="F71" i="16"/>
  <c r="AX71" i="16" s="1"/>
  <c r="AW70" i="16"/>
  <c r="AT70" i="16"/>
  <c r="AS70" i="16"/>
  <c r="AR70" i="16"/>
  <c r="AQ70" i="16"/>
  <c r="AP70" i="16"/>
  <c r="AO70" i="16"/>
  <c r="AN70" i="16"/>
  <c r="AM70" i="16"/>
  <c r="AL70" i="16"/>
  <c r="AJ70" i="16"/>
  <c r="AI70" i="16"/>
  <c r="AB70" i="16"/>
  <c r="AA70" i="16"/>
  <c r="Z70" i="16"/>
  <c r="Y70" i="16"/>
  <c r="X70" i="16"/>
  <c r="W70" i="16"/>
  <c r="V70" i="16"/>
  <c r="U70" i="16"/>
  <c r="T70" i="16"/>
  <c r="M70" i="16"/>
  <c r="L70" i="16"/>
  <c r="K70" i="16"/>
  <c r="J70" i="16"/>
  <c r="BB70" i="16" s="1"/>
  <c r="I70" i="16"/>
  <c r="BA70" i="16" s="1"/>
  <c r="H70" i="16"/>
  <c r="AZ70" i="16" s="1"/>
  <c r="F70" i="16"/>
  <c r="AX70" i="16" s="1"/>
  <c r="AW69" i="16"/>
  <c r="AT69" i="16"/>
  <c r="AS69" i="16"/>
  <c r="AR69" i="16"/>
  <c r="AQ69" i="16"/>
  <c r="AP69" i="16"/>
  <c r="AO69" i="16"/>
  <c r="AN69" i="16"/>
  <c r="AM69" i="16"/>
  <c r="AL69" i="16"/>
  <c r="AJ69" i="16"/>
  <c r="AI69" i="16"/>
  <c r="AB69" i="16"/>
  <c r="AA69" i="16"/>
  <c r="Z69" i="16"/>
  <c r="Y69" i="16"/>
  <c r="X69" i="16"/>
  <c r="W69" i="16"/>
  <c r="V69" i="16"/>
  <c r="U69" i="16"/>
  <c r="T69" i="16"/>
  <c r="M69" i="16"/>
  <c r="L69" i="16"/>
  <c r="K69" i="16"/>
  <c r="J69" i="16"/>
  <c r="BB69" i="16" s="1"/>
  <c r="I69" i="16"/>
  <c r="BA69" i="16" s="1"/>
  <c r="H69" i="16"/>
  <c r="AZ69" i="16" s="1"/>
  <c r="F69" i="16"/>
  <c r="AX69" i="16" s="1"/>
  <c r="AW68" i="16"/>
  <c r="AT68" i="16"/>
  <c r="AS68" i="16"/>
  <c r="AR68" i="16"/>
  <c r="AQ68" i="16"/>
  <c r="AP68" i="16"/>
  <c r="AO68" i="16"/>
  <c r="AN68" i="16"/>
  <c r="AM68" i="16"/>
  <c r="AL68" i="16"/>
  <c r="AJ68" i="16"/>
  <c r="AI68" i="16"/>
  <c r="AB68" i="16"/>
  <c r="AA68" i="16"/>
  <c r="Z68" i="16"/>
  <c r="Y68" i="16"/>
  <c r="X68" i="16"/>
  <c r="W68" i="16"/>
  <c r="V68" i="16"/>
  <c r="U68" i="16"/>
  <c r="T68" i="16"/>
  <c r="M68" i="16"/>
  <c r="L68" i="16"/>
  <c r="K68" i="16"/>
  <c r="J68" i="16"/>
  <c r="BB68" i="16" s="1"/>
  <c r="I68" i="16"/>
  <c r="BA68" i="16" s="1"/>
  <c r="H68" i="16"/>
  <c r="AZ68" i="16" s="1"/>
  <c r="F68" i="16"/>
  <c r="AX68" i="16" s="1"/>
  <c r="AW67" i="16"/>
  <c r="AT67" i="16"/>
  <c r="AS67" i="16"/>
  <c r="AR67" i="16"/>
  <c r="AQ67" i="16"/>
  <c r="AP67" i="16"/>
  <c r="AO67" i="16"/>
  <c r="AN67" i="16"/>
  <c r="AM67" i="16"/>
  <c r="AL67" i="16"/>
  <c r="AJ67" i="16"/>
  <c r="AI67" i="16"/>
  <c r="AB67" i="16"/>
  <c r="AA67" i="16"/>
  <c r="Z67" i="16"/>
  <c r="Y67" i="16"/>
  <c r="X67" i="16"/>
  <c r="W67" i="16"/>
  <c r="V67" i="16"/>
  <c r="U67" i="16"/>
  <c r="T67" i="16"/>
  <c r="M67" i="16"/>
  <c r="L67" i="16"/>
  <c r="K67" i="16"/>
  <c r="J67" i="16"/>
  <c r="BB67" i="16" s="1"/>
  <c r="I67" i="16"/>
  <c r="BA67" i="16" s="1"/>
  <c r="H67" i="16"/>
  <c r="AZ67" i="16" s="1"/>
  <c r="F67" i="16"/>
  <c r="AX67" i="16" s="1"/>
  <c r="AW66" i="16"/>
  <c r="AT66" i="16"/>
  <c r="AS66" i="16"/>
  <c r="AR66" i="16"/>
  <c r="AQ66" i="16"/>
  <c r="AP66" i="16"/>
  <c r="AO66" i="16"/>
  <c r="AN66" i="16"/>
  <c r="AM66" i="16"/>
  <c r="AL66" i="16"/>
  <c r="AJ66" i="16"/>
  <c r="AI66" i="16"/>
  <c r="AB66" i="16"/>
  <c r="AA66" i="16"/>
  <c r="Z66" i="16"/>
  <c r="Y66" i="16"/>
  <c r="X66" i="16"/>
  <c r="W66" i="16"/>
  <c r="V66" i="16"/>
  <c r="U66" i="16"/>
  <c r="T66" i="16"/>
  <c r="M66" i="16"/>
  <c r="L66" i="16"/>
  <c r="K66" i="16"/>
  <c r="J66" i="16"/>
  <c r="BB66" i="16" s="1"/>
  <c r="I66" i="16"/>
  <c r="BA66" i="16" s="1"/>
  <c r="H66" i="16"/>
  <c r="AZ66" i="16" s="1"/>
  <c r="F66" i="16"/>
  <c r="AX66" i="16" s="1"/>
  <c r="AW65" i="16"/>
  <c r="AT65" i="16"/>
  <c r="AS65" i="16"/>
  <c r="AR65" i="16"/>
  <c r="AQ65" i="16"/>
  <c r="AP65" i="16"/>
  <c r="AO65" i="16"/>
  <c r="AN65" i="16"/>
  <c r="AM65" i="16"/>
  <c r="AL65" i="16"/>
  <c r="AJ65" i="16"/>
  <c r="AI65" i="16"/>
  <c r="AB65" i="16"/>
  <c r="AA65" i="16"/>
  <c r="Z65" i="16"/>
  <c r="Y65" i="16"/>
  <c r="X65" i="16"/>
  <c r="W65" i="16"/>
  <c r="V65" i="16"/>
  <c r="U65" i="16"/>
  <c r="T65" i="16"/>
  <c r="M65" i="16"/>
  <c r="L65" i="16"/>
  <c r="K65" i="16"/>
  <c r="J65" i="16"/>
  <c r="BB65" i="16" s="1"/>
  <c r="I65" i="16"/>
  <c r="BA65" i="16" s="1"/>
  <c r="H65" i="16"/>
  <c r="AZ65" i="16" s="1"/>
  <c r="F65" i="16"/>
  <c r="AX65" i="16" s="1"/>
  <c r="AW64" i="16"/>
  <c r="AT64" i="16"/>
  <c r="AS64" i="16"/>
  <c r="AR64" i="16"/>
  <c r="AQ64" i="16"/>
  <c r="AP64" i="16"/>
  <c r="AO64" i="16"/>
  <c r="AN64" i="16"/>
  <c r="AM64" i="16"/>
  <c r="AL64" i="16"/>
  <c r="AJ64" i="16"/>
  <c r="AI64" i="16"/>
  <c r="AB64" i="16"/>
  <c r="AA64" i="16"/>
  <c r="Z64" i="16"/>
  <c r="Y64" i="16"/>
  <c r="X64" i="16"/>
  <c r="W64" i="16"/>
  <c r="V64" i="16"/>
  <c r="U64" i="16"/>
  <c r="T64" i="16"/>
  <c r="M64" i="16"/>
  <c r="L64" i="16"/>
  <c r="K64" i="16"/>
  <c r="J64" i="16"/>
  <c r="BB64" i="16" s="1"/>
  <c r="I64" i="16"/>
  <c r="BA64" i="16" s="1"/>
  <c r="H64" i="16"/>
  <c r="AZ64" i="16" s="1"/>
  <c r="F64" i="16"/>
  <c r="AX64" i="16" s="1"/>
  <c r="AW63" i="16"/>
  <c r="AT63" i="16"/>
  <c r="AS63" i="16"/>
  <c r="AR63" i="16"/>
  <c r="AQ63" i="16"/>
  <c r="AP63" i="16"/>
  <c r="AO63" i="16"/>
  <c r="AN63" i="16"/>
  <c r="AM63" i="16"/>
  <c r="AL63" i="16"/>
  <c r="AJ63" i="16"/>
  <c r="AI63" i="16"/>
  <c r="AB63" i="16"/>
  <c r="AA63" i="16"/>
  <c r="Z63" i="16"/>
  <c r="Y63" i="16"/>
  <c r="X63" i="16"/>
  <c r="W63" i="16"/>
  <c r="V63" i="16"/>
  <c r="U63" i="16"/>
  <c r="T63" i="16"/>
  <c r="M63" i="16"/>
  <c r="L63" i="16"/>
  <c r="K63" i="16"/>
  <c r="J63" i="16"/>
  <c r="BB63" i="16" s="1"/>
  <c r="I63" i="16"/>
  <c r="BA63" i="16" s="1"/>
  <c r="H63" i="16"/>
  <c r="AZ63" i="16" s="1"/>
  <c r="F63" i="16"/>
  <c r="AX63" i="16" s="1"/>
  <c r="AW62" i="16"/>
  <c r="AT62" i="16"/>
  <c r="AS62" i="16"/>
  <c r="AR62" i="16"/>
  <c r="AQ62" i="16"/>
  <c r="AP62" i="16"/>
  <c r="AO62" i="16"/>
  <c r="AN62" i="16"/>
  <c r="AM62" i="16"/>
  <c r="AL62" i="16"/>
  <c r="AJ62" i="16"/>
  <c r="AI62" i="16"/>
  <c r="AB62" i="16"/>
  <c r="AA62" i="16"/>
  <c r="Z62" i="16"/>
  <c r="Y62" i="16"/>
  <c r="X62" i="16"/>
  <c r="W62" i="16"/>
  <c r="V62" i="16"/>
  <c r="U62" i="16"/>
  <c r="T62" i="16"/>
  <c r="M62" i="16"/>
  <c r="L62" i="16"/>
  <c r="K62" i="16"/>
  <c r="J62" i="16"/>
  <c r="BB62" i="16" s="1"/>
  <c r="I62" i="16"/>
  <c r="BA62" i="16" s="1"/>
  <c r="H62" i="16"/>
  <c r="AZ62" i="16" s="1"/>
  <c r="F62" i="16"/>
  <c r="AX62" i="16" s="1"/>
  <c r="AW61" i="16"/>
  <c r="AT61" i="16"/>
  <c r="AS61" i="16"/>
  <c r="AR61" i="16"/>
  <c r="AQ61" i="16"/>
  <c r="AP61" i="16"/>
  <c r="AO61" i="16"/>
  <c r="AN61" i="16"/>
  <c r="AM61" i="16"/>
  <c r="AL61" i="16"/>
  <c r="AJ61" i="16"/>
  <c r="AI61" i="16"/>
  <c r="AB61" i="16"/>
  <c r="AA61" i="16"/>
  <c r="Z61" i="16"/>
  <c r="Y61" i="16"/>
  <c r="X61" i="16"/>
  <c r="W61" i="16"/>
  <c r="V61" i="16"/>
  <c r="U61" i="16"/>
  <c r="T61" i="16"/>
  <c r="M61" i="16"/>
  <c r="L61" i="16"/>
  <c r="K61" i="16"/>
  <c r="J61" i="16"/>
  <c r="BB61" i="16" s="1"/>
  <c r="I61" i="16"/>
  <c r="BA61" i="16" s="1"/>
  <c r="H61" i="16"/>
  <c r="AZ61" i="16" s="1"/>
  <c r="F61" i="16"/>
  <c r="AX61" i="16" s="1"/>
  <c r="AW60" i="16"/>
  <c r="AT60" i="16"/>
  <c r="AS60" i="16"/>
  <c r="AR60" i="16"/>
  <c r="AQ60" i="16"/>
  <c r="AP60" i="16"/>
  <c r="AO60" i="16"/>
  <c r="AN60" i="16"/>
  <c r="AM60" i="16"/>
  <c r="AL60" i="16"/>
  <c r="AJ60" i="16"/>
  <c r="AI60" i="16"/>
  <c r="AB60" i="16"/>
  <c r="AA60" i="16"/>
  <c r="Z60" i="16"/>
  <c r="Y60" i="16"/>
  <c r="X60" i="16"/>
  <c r="W60" i="16"/>
  <c r="V60" i="16"/>
  <c r="U60" i="16"/>
  <c r="T60" i="16"/>
  <c r="M60" i="16"/>
  <c r="L60" i="16"/>
  <c r="K60" i="16"/>
  <c r="J60" i="16"/>
  <c r="BB60" i="16" s="1"/>
  <c r="I60" i="16"/>
  <c r="BA60" i="16" s="1"/>
  <c r="H60" i="16"/>
  <c r="AZ60" i="16" s="1"/>
  <c r="F60" i="16"/>
  <c r="AX60" i="16" s="1"/>
  <c r="AW59" i="16"/>
  <c r="AT59" i="16"/>
  <c r="AS59" i="16"/>
  <c r="AR59" i="16"/>
  <c r="AQ59" i="16"/>
  <c r="AP59" i="16"/>
  <c r="AO59" i="16"/>
  <c r="AN59" i="16"/>
  <c r="AM59" i="16"/>
  <c r="AL59" i="16"/>
  <c r="AJ59" i="16"/>
  <c r="AI59" i="16"/>
  <c r="AB59" i="16"/>
  <c r="AA59" i="16"/>
  <c r="Z59" i="16"/>
  <c r="Y59" i="16"/>
  <c r="X59" i="16"/>
  <c r="W59" i="16"/>
  <c r="V59" i="16"/>
  <c r="U59" i="16"/>
  <c r="T59" i="16"/>
  <c r="M59" i="16"/>
  <c r="L59" i="16"/>
  <c r="K59" i="16"/>
  <c r="J59" i="16"/>
  <c r="BB59" i="16" s="1"/>
  <c r="I59" i="16"/>
  <c r="BA59" i="16" s="1"/>
  <c r="H59" i="16"/>
  <c r="AZ59" i="16" s="1"/>
  <c r="F59" i="16"/>
  <c r="AX59" i="16" s="1"/>
  <c r="AW58" i="16"/>
  <c r="AT58" i="16"/>
  <c r="AS58" i="16"/>
  <c r="AR58" i="16"/>
  <c r="AQ58" i="16"/>
  <c r="AP58" i="16"/>
  <c r="AO58" i="16"/>
  <c r="AN58" i="16"/>
  <c r="AM58" i="16"/>
  <c r="AL58" i="16"/>
  <c r="AJ58" i="16"/>
  <c r="AI58" i="16"/>
  <c r="AB58" i="16"/>
  <c r="AA58" i="16"/>
  <c r="Z58" i="16"/>
  <c r="Y58" i="16"/>
  <c r="X58" i="16"/>
  <c r="W58" i="16"/>
  <c r="V58" i="16"/>
  <c r="U58" i="16"/>
  <c r="T58" i="16"/>
  <c r="M58" i="16"/>
  <c r="L58" i="16"/>
  <c r="K58" i="16"/>
  <c r="J58" i="16"/>
  <c r="BB58" i="16" s="1"/>
  <c r="I58" i="16"/>
  <c r="BA58" i="16" s="1"/>
  <c r="H58" i="16"/>
  <c r="AZ58" i="16" s="1"/>
  <c r="F58" i="16"/>
  <c r="AX58" i="16" s="1"/>
  <c r="AW57" i="16"/>
  <c r="AT57" i="16"/>
  <c r="AS57" i="16"/>
  <c r="AR57" i="16"/>
  <c r="AQ57" i="16"/>
  <c r="AP57" i="16"/>
  <c r="AO57" i="16"/>
  <c r="AN57" i="16"/>
  <c r="AM57" i="16"/>
  <c r="AL57" i="16"/>
  <c r="AJ57" i="16"/>
  <c r="AI57" i="16"/>
  <c r="AB57" i="16"/>
  <c r="AA57" i="16"/>
  <c r="Z57" i="16"/>
  <c r="Y57" i="16"/>
  <c r="X57" i="16"/>
  <c r="W57" i="16"/>
  <c r="V57" i="16"/>
  <c r="U57" i="16"/>
  <c r="T57" i="16"/>
  <c r="M57" i="16"/>
  <c r="L57" i="16"/>
  <c r="K57" i="16"/>
  <c r="J57" i="16"/>
  <c r="BB57" i="16" s="1"/>
  <c r="I57" i="16"/>
  <c r="BA57" i="16" s="1"/>
  <c r="H57" i="16"/>
  <c r="AZ57" i="16" s="1"/>
  <c r="F57" i="16"/>
  <c r="AX57" i="16" s="1"/>
  <c r="AW56" i="16"/>
  <c r="AT56" i="16"/>
  <c r="AS56" i="16"/>
  <c r="AR56" i="16"/>
  <c r="AQ56" i="16"/>
  <c r="AP56" i="16"/>
  <c r="AO56" i="16"/>
  <c r="AN56" i="16"/>
  <c r="AM56" i="16"/>
  <c r="AL56" i="16"/>
  <c r="AJ56" i="16"/>
  <c r="AI56" i="16"/>
  <c r="AB56" i="16"/>
  <c r="AA56" i="16"/>
  <c r="Z56" i="16"/>
  <c r="Y56" i="16"/>
  <c r="X56" i="16"/>
  <c r="W56" i="16"/>
  <c r="V56" i="16"/>
  <c r="U56" i="16"/>
  <c r="T56" i="16"/>
  <c r="M56" i="16"/>
  <c r="L56" i="16"/>
  <c r="K56" i="16"/>
  <c r="J56" i="16"/>
  <c r="BB56" i="16" s="1"/>
  <c r="I56" i="16"/>
  <c r="BA56" i="16" s="1"/>
  <c r="H56" i="16"/>
  <c r="AZ56" i="16" s="1"/>
  <c r="F56" i="16"/>
  <c r="AX56" i="16" s="1"/>
  <c r="AW55" i="16"/>
  <c r="AT55" i="16"/>
  <c r="AS55" i="16"/>
  <c r="AR55" i="16"/>
  <c r="AQ55" i="16"/>
  <c r="AP55" i="16"/>
  <c r="AO55" i="16"/>
  <c r="AN55" i="16"/>
  <c r="AM55" i="16"/>
  <c r="AL55" i="16"/>
  <c r="AJ55" i="16"/>
  <c r="AI55" i="16"/>
  <c r="AB55" i="16"/>
  <c r="AA55" i="16"/>
  <c r="Z55" i="16"/>
  <c r="Y55" i="16"/>
  <c r="X55" i="16"/>
  <c r="W55" i="16"/>
  <c r="V55" i="16"/>
  <c r="U55" i="16"/>
  <c r="T55" i="16"/>
  <c r="M55" i="16"/>
  <c r="L55" i="16"/>
  <c r="K55" i="16"/>
  <c r="J55" i="16"/>
  <c r="BB55" i="16" s="1"/>
  <c r="I55" i="16"/>
  <c r="BA55" i="16" s="1"/>
  <c r="H55" i="16"/>
  <c r="AZ55" i="16" s="1"/>
  <c r="F55" i="16"/>
  <c r="AX55" i="16" s="1"/>
  <c r="AW54" i="16"/>
  <c r="AT54" i="16"/>
  <c r="AS54" i="16"/>
  <c r="AR54" i="16"/>
  <c r="AQ54" i="16"/>
  <c r="AP54" i="16"/>
  <c r="AO54" i="16"/>
  <c r="AN54" i="16"/>
  <c r="AM54" i="16"/>
  <c r="AL54" i="16"/>
  <c r="AJ54" i="16"/>
  <c r="AI54" i="16"/>
  <c r="AB54" i="16"/>
  <c r="AA54" i="16"/>
  <c r="Z54" i="16"/>
  <c r="Y54" i="16"/>
  <c r="X54" i="16"/>
  <c r="W54" i="16"/>
  <c r="V54" i="16"/>
  <c r="U54" i="16"/>
  <c r="T54" i="16"/>
  <c r="M54" i="16"/>
  <c r="L54" i="16"/>
  <c r="K54" i="16"/>
  <c r="J54" i="16"/>
  <c r="BB54" i="16" s="1"/>
  <c r="I54" i="16"/>
  <c r="BA54" i="16" s="1"/>
  <c r="H54" i="16"/>
  <c r="AZ54" i="16" s="1"/>
  <c r="F54" i="16"/>
  <c r="AX54" i="16" s="1"/>
  <c r="AW53" i="16"/>
  <c r="AT53" i="16"/>
  <c r="AS53" i="16"/>
  <c r="AR53" i="16"/>
  <c r="AQ53" i="16"/>
  <c r="AP53" i="16"/>
  <c r="AO53" i="16"/>
  <c r="AN53" i="16"/>
  <c r="AM53" i="16"/>
  <c r="AL53" i="16"/>
  <c r="AJ53" i="16"/>
  <c r="AI53" i="16"/>
  <c r="AB53" i="16"/>
  <c r="AA53" i="16"/>
  <c r="Z53" i="16"/>
  <c r="Y53" i="16"/>
  <c r="X53" i="16"/>
  <c r="W53" i="16"/>
  <c r="V53" i="16"/>
  <c r="U53" i="16"/>
  <c r="T53" i="16"/>
  <c r="M53" i="16"/>
  <c r="L53" i="16"/>
  <c r="K53" i="16"/>
  <c r="J53" i="16"/>
  <c r="BB53" i="16" s="1"/>
  <c r="I53" i="16"/>
  <c r="BA53" i="16" s="1"/>
  <c r="H53" i="16"/>
  <c r="AZ53" i="16" s="1"/>
  <c r="F53" i="16"/>
  <c r="AX53" i="16" s="1"/>
  <c r="AW52" i="16"/>
  <c r="AT52" i="16"/>
  <c r="AS52" i="16"/>
  <c r="AR52" i="16"/>
  <c r="AQ52" i="16"/>
  <c r="AP52" i="16"/>
  <c r="AO52" i="16"/>
  <c r="AN52" i="16"/>
  <c r="AM52" i="16"/>
  <c r="AL52" i="16"/>
  <c r="AJ52" i="16"/>
  <c r="AI52" i="16"/>
  <c r="AB52" i="16"/>
  <c r="AA52" i="16"/>
  <c r="Z52" i="16"/>
  <c r="Y52" i="16"/>
  <c r="X52" i="16"/>
  <c r="W52" i="16"/>
  <c r="V52" i="16"/>
  <c r="U52" i="16"/>
  <c r="T52" i="16"/>
  <c r="M52" i="16"/>
  <c r="L52" i="16"/>
  <c r="K52" i="16"/>
  <c r="J52" i="16"/>
  <c r="BB52" i="16" s="1"/>
  <c r="I52" i="16"/>
  <c r="BA52" i="16" s="1"/>
  <c r="H52" i="16"/>
  <c r="AZ52" i="16" s="1"/>
  <c r="F52" i="16"/>
  <c r="AX52" i="16" s="1"/>
  <c r="AW51" i="16"/>
  <c r="AT51" i="16"/>
  <c r="AS51" i="16"/>
  <c r="AR51" i="16"/>
  <c r="AQ51" i="16"/>
  <c r="AP51" i="16"/>
  <c r="AO51" i="16"/>
  <c r="AN51" i="16"/>
  <c r="AM51" i="16"/>
  <c r="AL51" i="16"/>
  <c r="AJ51" i="16"/>
  <c r="AI51" i="16"/>
  <c r="AB51" i="16"/>
  <c r="AA51" i="16"/>
  <c r="Z51" i="16"/>
  <c r="Y51" i="16"/>
  <c r="X51" i="16"/>
  <c r="W51" i="16"/>
  <c r="V51" i="16"/>
  <c r="U51" i="16"/>
  <c r="T51" i="16"/>
  <c r="M51" i="16"/>
  <c r="L51" i="16"/>
  <c r="K51" i="16"/>
  <c r="J51" i="16"/>
  <c r="BB51" i="16" s="1"/>
  <c r="I51" i="16"/>
  <c r="BA51" i="16" s="1"/>
  <c r="H51" i="16"/>
  <c r="AZ51" i="16" s="1"/>
  <c r="F51" i="16"/>
  <c r="AX51" i="16" s="1"/>
  <c r="AW50" i="16"/>
  <c r="AT50" i="16"/>
  <c r="AS50" i="16"/>
  <c r="AR50" i="16"/>
  <c r="AQ50" i="16"/>
  <c r="AP50" i="16"/>
  <c r="AO50" i="16"/>
  <c r="AN50" i="16"/>
  <c r="AM50" i="16"/>
  <c r="AL50" i="16"/>
  <c r="AJ50" i="16"/>
  <c r="AI50" i="16"/>
  <c r="AB50" i="16"/>
  <c r="AA50" i="16"/>
  <c r="Z50" i="16"/>
  <c r="Y50" i="16"/>
  <c r="X50" i="16"/>
  <c r="W50" i="16"/>
  <c r="V50" i="16"/>
  <c r="U50" i="16"/>
  <c r="T50" i="16"/>
  <c r="M50" i="16"/>
  <c r="L50" i="16"/>
  <c r="K50" i="16"/>
  <c r="J50" i="16"/>
  <c r="BB50" i="16" s="1"/>
  <c r="I50" i="16"/>
  <c r="BA50" i="16" s="1"/>
  <c r="H50" i="16"/>
  <c r="AZ50" i="16" s="1"/>
  <c r="F50" i="16"/>
  <c r="AX50" i="16" s="1"/>
  <c r="AW49" i="16"/>
  <c r="AT49" i="16"/>
  <c r="AS49" i="16"/>
  <c r="AR49" i="16"/>
  <c r="AQ49" i="16"/>
  <c r="AP49" i="16"/>
  <c r="AO49" i="16"/>
  <c r="AN49" i="16"/>
  <c r="AM49" i="16"/>
  <c r="AL49" i="16"/>
  <c r="AJ49" i="16"/>
  <c r="AI49" i="16"/>
  <c r="AB49" i="16"/>
  <c r="AA49" i="16"/>
  <c r="Z49" i="16"/>
  <c r="Y49" i="16"/>
  <c r="X49" i="16"/>
  <c r="W49" i="16"/>
  <c r="V49" i="16"/>
  <c r="U49" i="16"/>
  <c r="T49" i="16"/>
  <c r="M49" i="16"/>
  <c r="L49" i="16"/>
  <c r="K49" i="16"/>
  <c r="J49" i="16"/>
  <c r="BB49" i="16" s="1"/>
  <c r="I49" i="16"/>
  <c r="BA49" i="16" s="1"/>
  <c r="H49" i="16"/>
  <c r="AZ49" i="16" s="1"/>
  <c r="F49" i="16"/>
  <c r="AX49" i="16" s="1"/>
  <c r="AW48" i="16"/>
  <c r="AT48" i="16"/>
  <c r="AS48" i="16"/>
  <c r="AR48" i="16"/>
  <c r="AQ48" i="16"/>
  <c r="AP48" i="16"/>
  <c r="AO48" i="16"/>
  <c r="AN48" i="16"/>
  <c r="AM48" i="16"/>
  <c r="AL48" i="16"/>
  <c r="AJ48" i="16"/>
  <c r="AI48" i="16"/>
  <c r="AB48" i="16"/>
  <c r="AA48" i="16"/>
  <c r="Z48" i="16"/>
  <c r="Y48" i="16"/>
  <c r="X48" i="16"/>
  <c r="W48" i="16"/>
  <c r="V48" i="16"/>
  <c r="U48" i="16"/>
  <c r="T48" i="16"/>
  <c r="M48" i="16"/>
  <c r="L48" i="16"/>
  <c r="K48" i="16"/>
  <c r="J48" i="16"/>
  <c r="BB48" i="16" s="1"/>
  <c r="I48" i="16"/>
  <c r="BA48" i="16" s="1"/>
  <c r="H48" i="16"/>
  <c r="AZ48" i="16" s="1"/>
  <c r="F48" i="16"/>
  <c r="AX48" i="16" s="1"/>
  <c r="AW47" i="16"/>
  <c r="AT47" i="16"/>
  <c r="AS47" i="16"/>
  <c r="AR47" i="16"/>
  <c r="AQ47" i="16"/>
  <c r="AP47" i="16"/>
  <c r="AO47" i="16"/>
  <c r="AN47" i="16"/>
  <c r="AM47" i="16"/>
  <c r="AL47" i="16"/>
  <c r="AJ47" i="16"/>
  <c r="AI47" i="16"/>
  <c r="AB47" i="16"/>
  <c r="AA47" i="16"/>
  <c r="Z47" i="16"/>
  <c r="Y47" i="16"/>
  <c r="X47" i="16"/>
  <c r="W47" i="16"/>
  <c r="V47" i="16"/>
  <c r="U47" i="16"/>
  <c r="T47" i="16"/>
  <c r="M47" i="16"/>
  <c r="L47" i="16"/>
  <c r="K47" i="16"/>
  <c r="J47" i="16"/>
  <c r="BB47" i="16" s="1"/>
  <c r="I47" i="16"/>
  <c r="BA47" i="16" s="1"/>
  <c r="H47" i="16"/>
  <c r="AZ47" i="16" s="1"/>
  <c r="F47" i="16"/>
  <c r="AX47" i="16" s="1"/>
  <c r="AW46" i="16"/>
  <c r="AT46" i="16"/>
  <c r="AS46" i="16"/>
  <c r="AR46" i="16"/>
  <c r="AQ46" i="16"/>
  <c r="AP46" i="16"/>
  <c r="AO46" i="16"/>
  <c r="AN46" i="16"/>
  <c r="AM46" i="16"/>
  <c r="AL46" i="16"/>
  <c r="AJ46" i="16"/>
  <c r="AI46" i="16"/>
  <c r="AB46" i="16"/>
  <c r="AA46" i="16"/>
  <c r="Z46" i="16"/>
  <c r="Y46" i="16"/>
  <c r="X46" i="16"/>
  <c r="W46" i="16"/>
  <c r="V46" i="16"/>
  <c r="U46" i="16"/>
  <c r="T46" i="16"/>
  <c r="M46" i="16"/>
  <c r="L46" i="16"/>
  <c r="K46" i="16"/>
  <c r="J46" i="16"/>
  <c r="BB46" i="16" s="1"/>
  <c r="I46" i="16"/>
  <c r="BA46" i="16" s="1"/>
  <c r="H46" i="16"/>
  <c r="AZ46" i="16" s="1"/>
  <c r="F46" i="16"/>
  <c r="AX46" i="16" s="1"/>
  <c r="AW45" i="16"/>
  <c r="AT45" i="16"/>
  <c r="AS45" i="16"/>
  <c r="AR45" i="16"/>
  <c r="AQ45" i="16"/>
  <c r="AP45" i="16"/>
  <c r="AO45" i="16"/>
  <c r="AN45" i="16"/>
  <c r="AM45" i="16"/>
  <c r="AL45" i="16"/>
  <c r="AJ45" i="16"/>
  <c r="AI45" i="16"/>
  <c r="AB45" i="16"/>
  <c r="AA45" i="16"/>
  <c r="Z45" i="16"/>
  <c r="Y45" i="16"/>
  <c r="X45" i="16"/>
  <c r="W45" i="16"/>
  <c r="V45" i="16"/>
  <c r="U45" i="16"/>
  <c r="T45" i="16"/>
  <c r="M45" i="16"/>
  <c r="L45" i="16"/>
  <c r="K45" i="16"/>
  <c r="J45" i="16"/>
  <c r="BB45" i="16" s="1"/>
  <c r="I45" i="16"/>
  <c r="BA45" i="16" s="1"/>
  <c r="H45" i="16"/>
  <c r="AZ45" i="16" s="1"/>
  <c r="F45" i="16"/>
  <c r="AX45" i="16" s="1"/>
  <c r="AW44" i="16"/>
  <c r="AT44" i="16"/>
  <c r="AS44" i="16"/>
  <c r="AR44" i="16"/>
  <c r="AQ44" i="16"/>
  <c r="AP44" i="16"/>
  <c r="AO44" i="16"/>
  <c r="AN44" i="16"/>
  <c r="AM44" i="16"/>
  <c r="AL44" i="16"/>
  <c r="AJ44" i="16"/>
  <c r="AI44" i="16"/>
  <c r="AB44" i="16"/>
  <c r="AA44" i="16"/>
  <c r="Z44" i="16"/>
  <c r="Y44" i="16"/>
  <c r="X44" i="16"/>
  <c r="W44" i="16"/>
  <c r="V44" i="16"/>
  <c r="U44" i="16"/>
  <c r="T44" i="16"/>
  <c r="M44" i="16"/>
  <c r="L44" i="16"/>
  <c r="K44" i="16"/>
  <c r="J44" i="16"/>
  <c r="BB44" i="16" s="1"/>
  <c r="I44" i="16"/>
  <c r="BA44" i="16" s="1"/>
  <c r="H44" i="16"/>
  <c r="AZ44" i="16" s="1"/>
  <c r="F44" i="16"/>
  <c r="AX44" i="16" s="1"/>
  <c r="AW43" i="16"/>
  <c r="AT43" i="16"/>
  <c r="AS43" i="16"/>
  <c r="AR43" i="16"/>
  <c r="AQ43" i="16"/>
  <c r="AP43" i="16"/>
  <c r="AO43" i="16"/>
  <c r="AN43" i="16"/>
  <c r="AM43" i="16"/>
  <c r="AL43" i="16"/>
  <c r="AJ43" i="16"/>
  <c r="AI43" i="16"/>
  <c r="AB43" i="16"/>
  <c r="AA43" i="16"/>
  <c r="Z43" i="16"/>
  <c r="Y43" i="16"/>
  <c r="X43" i="16"/>
  <c r="W43" i="16"/>
  <c r="V43" i="16"/>
  <c r="U43" i="16"/>
  <c r="T43" i="16"/>
  <c r="M43" i="16"/>
  <c r="L43" i="16"/>
  <c r="K43" i="16"/>
  <c r="J43" i="16"/>
  <c r="BB43" i="16" s="1"/>
  <c r="I43" i="16"/>
  <c r="BA43" i="16" s="1"/>
  <c r="H43" i="16"/>
  <c r="AZ43" i="16" s="1"/>
  <c r="F43" i="16"/>
  <c r="AX43" i="16" s="1"/>
  <c r="AW42" i="16"/>
  <c r="AT42" i="16"/>
  <c r="AS42" i="16"/>
  <c r="AR42" i="16"/>
  <c r="AQ42" i="16"/>
  <c r="AP42" i="16"/>
  <c r="AO42" i="16"/>
  <c r="AN42" i="16"/>
  <c r="AM42" i="16"/>
  <c r="AL42" i="16"/>
  <c r="AJ42" i="16"/>
  <c r="AI42" i="16"/>
  <c r="AB42" i="16"/>
  <c r="AA42" i="16"/>
  <c r="Z42" i="16"/>
  <c r="Y42" i="16"/>
  <c r="X42" i="16"/>
  <c r="W42" i="16"/>
  <c r="V42" i="16"/>
  <c r="U42" i="16"/>
  <c r="T42" i="16"/>
  <c r="M42" i="16"/>
  <c r="L42" i="16"/>
  <c r="K42" i="16"/>
  <c r="J42" i="16"/>
  <c r="BB42" i="16" s="1"/>
  <c r="I42" i="16"/>
  <c r="BA42" i="16" s="1"/>
  <c r="H42" i="16"/>
  <c r="AZ42" i="16" s="1"/>
  <c r="F42" i="16"/>
  <c r="AX42" i="16" s="1"/>
  <c r="AW41" i="16"/>
  <c r="AT41" i="16"/>
  <c r="AS41" i="16"/>
  <c r="AR41" i="16"/>
  <c r="AQ41" i="16"/>
  <c r="AP41" i="16"/>
  <c r="AO41" i="16"/>
  <c r="AN41" i="16"/>
  <c r="AM41" i="16"/>
  <c r="AL41" i="16"/>
  <c r="AJ41" i="16"/>
  <c r="AI41" i="16"/>
  <c r="AB41" i="16"/>
  <c r="AA41" i="16"/>
  <c r="Z41" i="16"/>
  <c r="Y41" i="16"/>
  <c r="X41" i="16"/>
  <c r="W41" i="16"/>
  <c r="V41" i="16"/>
  <c r="U41" i="16"/>
  <c r="T41" i="16"/>
  <c r="M41" i="16"/>
  <c r="L41" i="16"/>
  <c r="K41" i="16"/>
  <c r="J41" i="16"/>
  <c r="BB41" i="16" s="1"/>
  <c r="I41" i="16"/>
  <c r="BA41" i="16" s="1"/>
  <c r="H41" i="16"/>
  <c r="AZ41" i="16" s="1"/>
  <c r="F41" i="16"/>
  <c r="AX41" i="16" s="1"/>
  <c r="AW40" i="16"/>
  <c r="AT40" i="16"/>
  <c r="AS40" i="16"/>
  <c r="AR40" i="16"/>
  <c r="AQ40" i="16"/>
  <c r="AP40" i="16"/>
  <c r="AO40" i="16"/>
  <c r="AN40" i="16"/>
  <c r="AM40" i="16"/>
  <c r="AL40" i="16"/>
  <c r="AJ40" i="16"/>
  <c r="AI40" i="16"/>
  <c r="AB40" i="16"/>
  <c r="AA40" i="16"/>
  <c r="Z40" i="16"/>
  <c r="Y40" i="16"/>
  <c r="X40" i="16"/>
  <c r="W40" i="16"/>
  <c r="V40" i="16"/>
  <c r="U40" i="16"/>
  <c r="T40" i="16"/>
  <c r="M40" i="16"/>
  <c r="L40" i="16"/>
  <c r="K40" i="16"/>
  <c r="J40" i="16"/>
  <c r="BB40" i="16" s="1"/>
  <c r="I40" i="16"/>
  <c r="BA40" i="16" s="1"/>
  <c r="H40" i="16"/>
  <c r="AZ40" i="16" s="1"/>
  <c r="F40" i="16"/>
  <c r="AX40" i="16" s="1"/>
  <c r="AW39" i="16"/>
  <c r="AT39" i="16"/>
  <c r="AS39" i="16"/>
  <c r="AR39" i="16"/>
  <c r="AQ39" i="16"/>
  <c r="AP39" i="16"/>
  <c r="AO39" i="16"/>
  <c r="AN39" i="16"/>
  <c r="AM39" i="16"/>
  <c r="AL39" i="16"/>
  <c r="AJ39" i="16"/>
  <c r="AI39" i="16"/>
  <c r="AB39" i="16"/>
  <c r="AA39" i="16"/>
  <c r="Z39" i="16"/>
  <c r="Y39" i="16"/>
  <c r="X39" i="16"/>
  <c r="W39" i="16"/>
  <c r="V39" i="16"/>
  <c r="U39" i="16"/>
  <c r="T39" i="16"/>
  <c r="M39" i="16"/>
  <c r="L39" i="16"/>
  <c r="K39" i="16"/>
  <c r="J39" i="16"/>
  <c r="BB39" i="16" s="1"/>
  <c r="I39" i="16"/>
  <c r="BA39" i="16" s="1"/>
  <c r="H39" i="16"/>
  <c r="AZ39" i="16" s="1"/>
  <c r="F39" i="16"/>
  <c r="AX39" i="16" s="1"/>
  <c r="AW38" i="16"/>
  <c r="AT38" i="16"/>
  <c r="AS38" i="16"/>
  <c r="AR38" i="16"/>
  <c r="AQ38" i="16"/>
  <c r="AP38" i="16"/>
  <c r="AO38" i="16"/>
  <c r="AN38" i="16"/>
  <c r="AM38" i="16"/>
  <c r="AL38" i="16"/>
  <c r="AJ38" i="16"/>
  <c r="AI38" i="16"/>
  <c r="AB38" i="16"/>
  <c r="AA38" i="16"/>
  <c r="Z38" i="16"/>
  <c r="Y38" i="16"/>
  <c r="X38" i="16"/>
  <c r="W38" i="16"/>
  <c r="V38" i="16"/>
  <c r="U38" i="16"/>
  <c r="T38" i="16"/>
  <c r="M38" i="16"/>
  <c r="L38" i="16"/>
  <c r="K38" i="16"/>
  <c r="J38" i="16"/>
  <c r="BB38" i="16" s="1"/>
  <c r="I38" i="16"/>
  <c r="BA38" i="16" s="1"/>
  <c r="H38" i="16"/>
  <c r="AZ38" i="16" s="1"/>
  <c r="F38" i="16"/>
  <c r="AX38" i="16" s="1"/>
  <c r="AW37" i="16"/>
  <c r="AT37" i="16"/>
  <c r="AS37" i="16"/>
  <c r="AR37" i="16"/>
  <c r="AQ37" i="16"/>
  <c r="AP37" i="16"/>
  <c r="AO37" i="16"/>
  <c r="AN37" i="16"/>
  <c r="AM37" i="16"/>
  <c r="AL37" i="16"/>
  <c r="AJ37" i="16"/>
  <c r="AI37" i="16"/>
  <c r="AB37" i="16"/>
  <c r="AA37" i="16"/>
  <c r="Z37" i="16"/>
  <c r="Y37" i="16"/>
  <c r="X37" i="16"/>
  <c r="W37" i="16"/>
  <c r="V37" i="16"/>
  <c r="U37" i="16"/>
  <c r="T37" i="16"/>
  <c r="M37" i="16"/>
  <c r="L37" i="16"/>
  <c r="K37" i="16"/>
  <c r="J37" i="16"/>
  <c r="BB37" i="16" s="1"/>
  <c r="I37" i="16"/>
  <c r="BA37" i="16" s="1"/>
  <c r="H37" i="16"/>
  <c r="AZ37" i="16" s="1"/>
  <c r="F37" i="16"/>
  <c r="AX37" i="16" s="1"/>
  <c r="AW36" i="16"/>
  <c r="AT36" i="16"/>
  <c r="AS36" i="16"/>
  <c r="AR36" i="16"/>
  <c r="AQ36" i="16"/>
  <c r="AP36" i="16"/>
  <c r="AO36" i="16"/>
  <c r="AN36" i="16"/>
  <c r="AM36" i="16"/>
  <c r="AL36" i="16"/>
  <c r="AJ36" i="16"/>
  <c r="AI36" i="16"/>
  <c r="AB36" i="16"/>
  <c r="AA36" i="16"/>
  <c r="Z36" i="16"/>
  <c r="Y36" i="16"/>
  <c r="X36" i="16"/>
  <c r="W36" i="16"/>
  <c r="V36" i="16"/>
  <c r="U36" i="16"/>
  <c r="T36" i="16"/>
  <c r="M36" i="16"/>
  <c r="L36" i="16"/>
  <c r="K36" i="16"/>
  <c r="J36" i="16"/>
  <c r="BB36" i="16" s="1"/>
  <c r="I36" i="16"/>
  <c r="BA36" i="16" s="1"/>
  <c r="H36" i="16"/>
  <c r="AZ36" i="16" s="1"/>
  <c r="F36" i="16"/>
  <c r="AX36" i="16" s="1"/>
  <c r="AW35" i="16"/>
  <c r="AT35" i="16"/>
  <c r="AS35" i="16"/>
  <c r="AR35" i="16"/>
  <c r="AQ35" i="16"/>
  <c r="AP35" i="16"/>
  <c r="AO35" i="16"/>
  <c r="AN35" i="16"/>
  <c r="AM35" i="16"/>
  <c r="AL35" i="16"/>
  <c r="AJ35" i="16"/>
  <c r="AI35" i="16"/>
  <c r="AB35" i="16"/>
  <c r="AA35" i="16"/>
  <c r="Z35" i="16"/>
  <c r="Y35" i="16"/>
  <c r="X35" i="16"/>
  <c r="W35" i="16"/>
  <c r="V35" i="16"/>
  <c r="U35" i="16"/>
  <c r="T35" i="16"/>
  <c r="M35" i="16"/>
  <c r="L35" i="16"/>
  <c r="K35" i="16"/>
  <c r="J35" i="16"/>
  <c r="BB35" i="16" s="1"/>
  <c r="I35" i="16"/>
  <c r="BA35" i="16" s="1"/>
  <c r="H35" i="16"/>
  <c r="AZ35" i="16" s="1"/>
  <c r="F35" i="16"/>
  <c r="AX35" i="16" s="1"/>
  <c r="AW34" i="16"/>
  <c r="AT34" i="16"/>
  <c r="AS34" i="16"/>
  <c r="AR34" i="16"/>
  <c r="AQ34" i="16"/>
  <c r="AP34" i="16"/>
  <c r="AO34" i="16"/>
  <c r="AN34" i="16"/>
  <c r="AM34" i="16"/>
  <c r="AL34" i="16"/>
  <c r="AJ34" i="16"/>
  <c r="AI34" i="16"/>
  <c r="AB34" i="16"/>
  <c r="AA34" i="16"/>
  <c r="Z34" i="16"/>
  <c r="Y34" i="16"/>
  <c r="X34" i="16"/>
  <c r="W34" i="16"/>
  <c r="V34" i="16"/>
  <c r="U34" i="16"/>
  <c r="T34" i="16"/>
  <c r="M34" i="16"/>
  <c r="L34" i="16"/>
  <c r="K34" i="16"/>
  <c r="J34" i="16"/>
  <c r="BB34" i="16" s="1"/>
  <c r="I34" i="16"/>
  <c r="BA34" i="16" s="1"/>
  <c r="H34" i="16"/>
  <c r="AZ34" i="16" s="1"/>
  <c r="F34" i="16"/>
  <c r="AX34" i="16" s="1"/>
  <c r="AW33" i="16"/>
  <c r="AT33" i="16"/>
  <c r="AS33" i="16"/>
  <c r="AR33" i="16"/>
  <c r="AQ33" i="16"/>
  <c r="AP33" i="16"/>
  <c r="AO33" i="16"/>
  <c r="AN33" i="16"/>
  <c r="AM33" i="16"/>
  <c r="AL33" i="16"/>
  <c r="AJ33" i="16"/>
  <c r="AI33" i="16"/>
  <c r="AB33" i="16"/>
  <c r="AA33" i="16"/>
  <c r="Z33" i="16"/>
  <c r="Y33" i="16"/>
  <c r="X33" i="16"/>
  <c r="W33" i="16"/>
  <c r="V33" i="16"/>
  <c r="U33" i="16"/>
  <c r="T33" i="16"/>
  <c r="M33" i="16"/>
  <c r="L33" i="16"/>
  <c r="K33" i="16"/>
  <c r="J33" i="16"/>
  <c r="BB33" i="16" s="1"/>
  <c r="I33" i="16"/>
  <c r="BA33" i="16" s="1"/>
  <c r="H33" i="16"/>
  <c r="AZ33" i="16" s="1"/>
  <c r="F33" i="16"/>
  <c r="AX33" i="16" s="1"/>
  <c r="AW32" i="16"/>
  <c r="AT32" i="16"/>
  <c r="AS32" i="16"/>
  <c r="AR32" i="16"/>
  <c r="AQ32" i="16"/>
  <c r="AP32" i="16"/>
  <c r="AO32" i="16"/>
  <c r="AN32" i="16"/>
  <c r="AM32" i="16"/>
  <c r="AL32" i="16"/>
  <c r="AJ32" i="16"/>
  <c r="AI32" i="16"/>
  <c r="AB32" i="16"/>
  <c r="AA32" i="16"/>
  <c r="Z32" i="16"/>
  <c r="Y32" i="16"/>
  <c r="X32" i="16"/>
  <c r="W32" i="16"/>
  <c r="V32" i="16"/>
  <c r="U32" i="16"/>
  <c r="T32" i="16"/>
  <c r="M32" i="16"/>
  <c r="L32" i="16"/>
  <c r="K32" i="16"/>
  <c r="J32" i="16"/>
  <c r="BB32" i="16" s="1"/>
  <c r="I32" i="16"/>
  <c r="BA32" i="16" s="1"/>
  <c r="H32" i="16"/>
  <c r="AZ32" i="16" s="1"/>
  <c r="F32" i="16"/>
  <c r="AX32" i="16" s="1"/>
  <c r="AW31" i="16"/>
  <c r="AT31" i="16"/>
  <c r="AS31" i="16"/>
  <c r="AR31" i="16"/>
  <c r="AQ31" i="16"/>
  <c r="AP31" i="16"/>
  <c r="AO31" i="16"/>
  <c r="AN31" i="16"/>
  <c r="AM31" i="16"/>
  <c r="AL31" i="16"/>
  <c r="AJ31" i="16"/>
  <c r="AI31" i="16"/>
  <c r="AB31" i="16"/>
  <c r="AA31" i="16"/>
  <c r="Z31" i="16"/>
  <c r="Y31" i="16"/>
  <c r="X31" i="16"/>
  <c r="W31" i="16"/>
  <c r="V31" i="16"/>
  <c r="U31" i="16"/>
  <c r="T31" i="16"/>
  <c r="M31" i="16"/>
  <c r="L31" i="16"/>
  <c r="K31" i="16"/>
  <c r="J31" i="16"/>
  <c r="BB31" i="16" s="1"/>
  <c r="I31" i="16"/>
  <c r="BA31" i="16" s="1"/>
  <c r="H31" i="16"/>
  <c r="AZ31" i="16" s="1"/>
  <c r="F31" i="16"/>
  <c r="AX31" i="16" s="1"/>
  <c r="AW30" i="16"/>
  <c r="AT30" i="16"/>
  <c r="AS30" i="16"/>
  <c r="AR30" i="16"/>
  <c r="AQ30" i="16"/>
  <c r="AP30" i="16"/>
  <c r="AO30" i="16"/>
  <c r="AN30" i="16"/>
  <c r="AM30" i="16"/>
  <c r="AL30" i="16"/>
  <c r="AJ30" i="16"/>
  <c r="AI30" i="16"/>
  <c r="AB30" i="16"/>
  <c r="AA30" i="16"/>
  <c r="Z30" i="16"/>
  <c r="Y30" i="16"/>
  <c r="X30" i="16"/>
  <c r="W30" i="16"/>
  <c r="V30" i="16"/>
  <c r="U30" i="16"/>
  <c r="T30" i="16"/>
  <c r="M30" i="16"/>
  <c r="L30" i="16"/>
  <c r="K30" i="16"/>
  <c r="J30" i="16"/>
  <c r="BB30" i="16" s="1"/>
  <c r="I30" i="16"/>
  <c r="BA30" i="16" s="1"/>
  <c r="H30" i="16"/>
  <c r="AZ30" i="16" s="1"/>
  <c r="F30" i="16"/>
  <c r="AX30" i="16" s="1"/>
  <c r="AW29" i="16"/>
  <c r="AT29" i="16"/>
  <c r="AS29" i="16"/>
  <c r="AR29" i="16"/>
  <c r="AQ29" i="16"/>
  <c r="AP29" i="16"/>
  <c r="AO29" i="16"/>
  <c r="AN29" i="16"/>
  <c r="AM29" i="16"/>
  <c r="AL29" i="16"/>
  <c r="AJ29" i="16"/>
  <c r="AI29" i="16"/>
  <c r="AB29" i="16"/>
  <c r="AA29" i="16"/>
  <c r="Z29" i="16"/>
  <c r="Y29" i="16"/>
  <c r="X29" i="16"/>
  <c r="W29" i="16"/>
  <c r="V29" i="16"/>
  <c r="U29" i="16"/>
  <c r="T29" i="16"/>
  <c r="M29" i="16"/>
  <c r="L29" i="16"/>
  <c r="K29" i="16"/>
  <c r="J29" i="16"/>
  <c r="BB29" i="16" s="1"/>
  <c r="I29" i="16"/>
  <c r="BA29" i="16" s="1"/>
  <c r="H29" i="16"/>
  <c r="AZ29" i="16" s="1"/>
  <c r="F29" i="16"/>
  <c r="AX29" i="16" s="1"/>
  <c r="AW28" i="16"/>
  <c r="AT28" i="16"/>
  <c r="AS28" i="16"/>
  <c r="AR28" i="16"/>
  <c r="AQ28" i="16"/>
  <c r="AP28" i="16"/>
  <c r="AO28" i="16"/>
  <c r="AN28" i="16"/>
  <c r="AM28" i="16"/>
  <c r="AL28" i="16"/>
  <c r="AJ28" i="16"/>
  <c r="AI28" i="16"/>
  <c r="AB28" i="16"/>
  <c r="AA28" i="16"/>
  <c r="Z28" i="16"/>
  <c r="Y28" i="16"/>
  <c r="X28" i="16"/>
  <c r="W28" i="16"/>
  <c r="V28" i="16"/>
  <c r="U28" i="16"/>
  <c r="T28" i="16"/>
  <c r="M28" i="16"/>
  <c r="L28" i="16"/>
  <c r="K28" i="16"/>
  <c r="J28" i="16"/>
  <c r="BB28" i="16" s="1"/>
  <c r="I28" i="16"/>
  <c r="BA28" i="16" s="1"/>
  <c r="H28" i="16"/>
  <c r="AZ28" i="16" s="1"/>
  <c r="F28" i="16"/>
  <c r="AX28" i="16" s="1"/>
  <c r="AW27" i="16"/>
  <c r="AT27" i="16"/>
  <c r="AS27" i="16"/>
  <c r="AR27" i="16"/>
  <c r="AQ27" i="16"/>
  <c r="AP27" i="16"/>
  <c r="AO27" i="16"/>
  <c r="AN27" i="16"/>
  <c r="AM27" i="16"/>
  <c r="AL27" i="16"/>
  <c r="AJ27" i="16"/>
  <c r="AI27" i="16"/>
  <c r="AB27" i="16"/>
  <c r="AA27" i="16"/>
  <c r="Z27" i="16"/>
  <c r="Y27" i="16"/>
  <c r="X27" i="16"/>
  <c r="W27" i="16"/>
  <c r="V27" i="16"/>
  <c r="U27" i="16"/>
  <c r="T27" i="16"/>
  <c r="M27" i="16"/>
  <c r="L27" i="16"/>
  <c r="K27" i="16"/>
  <c r="J27" i="16"/>
  <c r="BB27" i="16" s="1"/>
  <c r="I27" i="16"/>
  <c r="BA27" i="16" s="1"/>
  <c r="H27" i="16"/>
  <c r="AZ27" i="16" s="1"/>
  <c r="F27" i="16"/>
  <c r="AX27" i="16" s="1"/>
  <c r="AW26" i="16"/>
  <c r="AT26" i="16"/>
  <c r="AS26" i="16"/>
  <c r="AR26" i="16"/>
  <c r="AQ26" i="16"/>
  <c r="AP26" i="16"/>
  <c r="AO26" i="16"/>
  <c r="AN26" i="16"/>
  <c r="AM26" i="16"/>
  <c r="AL26" i="16"/>
  <c r="AJ26" i="16"/>
  <c r="AI26" i="16"/>
  <c r="AB26" i="16"/>
  <c r="AA26" i="16"/>
  <c r="Z26" i="16"/>
  <c r="Y26" i="16"/>
  <c r="X26" i="16"/>
  <c r="W26" i="16"/>
  <c r="V26" i="16"/>
  <c r="U26" i="16"/>
  <c r="T26" i="16"/>
  <c r="M26" i="16"/>
  <c r="L26" i="16"/>
  <c r="K26" i="16"/>
  <c r="J26" i="16"/>
  <c r="BB26" i="16" s="1"/>
  <c r="I26" i="16"/>
  <c r="BA26" i="16" s="1"/>
  <c r="H26" i="16"/>
  <c r="AZ26" i="16" s="1"/>
  <c r="F26" i="16"/>
  <c r="AX26" i="16" s="1"/>
  <c r="AW25" i="16"/>
  <c r="AT25" i="16"/>
  <c r="AS25" i="16"/>
  <c r="AR25" i="16"/>
  <c r="AQ25" i="16"/>
  <c r="AP25" i="16"/>
  <c r="AO25" i="16"/>
  <c r="AN25" i="16"/>
  <c r="AM25" i="16"/>
  <c r="AL25" i="16"/>
  <c r="AJ25" i="16"/>
  <c r="AI25" i="16"/>
  <c r="AB25" i="16"/>
  <c r="AA25" i="16"/>
  <c r="Z25" i="16"/>
  <c r="Y25" i="16"/>
  <c r="X25" i="16"/>
  <c r="W25" i="16"/>
  <c r="V25" i="16"/>
  <c r="U25" i="16"/>
  <c r="T25" i="16"/>
  <c r="M25" i="16"/>
  <c r="L25" i="16"/>
  <c r="K25" i="16"/>
  <c r="J25" i="16"/>
  <c r="BB25" i="16" s="1"/>
  <c r="I25" i="16"/>
  <c r="BA25" i="16" s="1"/>
  <c r="H25" i="16"/>
  <c r="AZ25" i="16" s="1"/>
  <c r="F25" i="16"/>
  <c r="AX25" i="16" s="1"/>
  <c r="AW24" i="16"/>
  <c r="AT24" i="16"/>
  <c r="AS24" i="16"/>
  <c r="AR24" i="16"/>
  <c r="AQ24" i="16"/>
  <c r="AP24" i="16"/>
  <c r="AO24" i="16"/>
  <c r="AN24" i="16"/>
  <c r="AM24" i="16"/>
  <c r="AL24" i="16"/>
  <c r="AJ24" i="16"/>
  <c r="AI24" i="16"/>
  <c r="AB24" i="16"/>
  <c r="AA24" i="16"/>
  <c r="Z24" i="16"/>
  <c r="Y24" i="16"/>
  <c r="X24" i="16"/>
  <c r="W24" i="16"/>
  <c r="V24" i="16"/>
  <c r="U24" i="16"/>
  <c r="T24" i="16"/>
  <c r="M24" i="16"/>
  <c r="L24" i="16"/>
  <c r="K24" i="16"/>
  <c r="J24" i="16"/>
  <c r="BB24" i="16" s="1"/>
  <c r="I24" i="16"/>
  <c r="BA24" i="16" s="1"/>
  <c r="H24" i="16"/>
  <c r="AZ24" i="16" s="1"/>
  <c r="F24" i="16"/>
  <c r="AX24" i="16" s="1"/>
  <c r="AW23" i="16"/>
  <c r="AT23" i="16"/>
  <c r="AS23" i="16"/>
  <c r="AR23" i="16"/>
  <c r="AQ23" i="16"/>
  <c r="AP23" i="16"/>
  <c r="AO23" i="16"/>
  <c r="AN23" i="16"/>
  <c r="AM23" i="16"/>
  <c r="AL23" i="16"/>
  <c r="AJ23" i="16"/>
  <c r="AI23" i="16"/>
  <c r="AB23" i="16"/>
  <c r="AA23" i="16"/>
  <c r="Z23" i="16"/>
  <c r="Y23" i="16"/>
  <c r="X23" i="16"/>
  <c r="W23" i="16"/>
  <c r="V23" i="16"/>
  <c r="U23" i="16"/>
  <c r="T23" i="16"/>
  <c r="M23" i="16"/>
  <c r="L23" i="16"/>
  <c r="K23" i="16"/>
  <c r="J23" i="16"/>
  <c r="BB23" i="16" s="1"/>
  <c r="I23" i="16"/>
  <c r="BA23" i="16" s="1"/>
  <c r="H23" i="16"/>
  <c r="AZ23" i="16" s="1"/>
  <c r="F23" i="16"/>
  <c r="AX23" i="16" s="1"/>
  <c r="AW22" i="16"/>
  <c r="AT22" i="16"/>
  <c r="AS22" i="16"/>
  <c r="AR22" i="16"/>
  <c r="AQ22" i="16"/>
  <c r="AP22" i="16"/>
  <c r="AO22" i="16"/>
  <c r="AN22" i="16"/>
  <c r="AM22" i="16"/>
  <c r="AL22" i="16"/>
  <c r="AJ22" i="16"/>
  <c r="AI22" i="16"/>
  <c r="AB22" i="16"/>
  <c r="AA22" i="16"/>
  <c r="Z22" i="16"/>
  <c r="Y22" i="16"/>
  <c r="X22" i="16"/>
  <c r="W22" i="16"/>
  <c r="V22" i="16"/>
  <c r="U22" i="16"/>
  <c r="T22" i="16"/>
  <c r="M22" i="16"/>
  <c r="L22" i="16"/>
  <c r="K22" i="16"/>
  <c r="J22" i="16"/>
  <c r="BB22" i="16" s="1"/>
  <c r="I22" i="16"/>
  <c r="BA22" i="16" s="1"/>
  <c r="H22" i="16"/>
  <c r="AZ22" i="16" s="1"/>
  <c r="F22" i="16"/>
  <c r="AX22" i="16" s="1"/>
  <c r="AW21" i="16"/>
  <c r="AT21" i="16"/>
  <c r="AS21" i="16"/>
  <c r="AR21" i="16"/>
  <c r="AQ21" i="16"/>
  <c r="AP21" i="16"/>
  <c r="AO21" i="16"/>
  <c r="AN21" i="16"/>
  <c r="AM21" i="16"/>
  <c r="AL21" i="16"/>
  <c r="AJ21" i="16"/>
  <c r="AI21" i="16"/>
  <c r="AB21" i="16"/>
  <c r="AA21" i="16"/>
  <c r="Z21" i="16"/>
  <c r="Y21" i="16"/>
  <c r="X21" i="16"/>
  <c r="W21" i="16"/>
  <c r="V21" i="16"/>
  <c r="U21" i="16"/>
  <c r="T21" i="16"/>
  <c r="M21" i="16"/>
  <c r="L21" i="16"/>
  <c r="K21" i="16"/>
  <c r="J21" i="16"/>
  <c r="BB21" i="16" s="1"/>
  <c r="I21" i="16"/>
  <c r="BA21" i="16" s="1"/>
  <c r="H21" i="16"/>
  <c r="AZ21" i="16" s="1"/>
  <c r="F21" i="16"/>
  <c r="AX21" i="16" s="1"/>
  <c r="AW20" i="16"/>
  <c r="AT20" i="16"/>
  <c r="AS20" i="16"/>
  <c r="AR20" i="16"/>
  <c r="AQ20" i="16"/>
  <c r="AP20" i="16"/>
  <c r="AO20" i="16"/>
  <c r="AN20" i="16"/>
  <c r="AM20" i="16"/>
  <c r="AL20" i="16"/>
  <c r="AJ20" i="16"/>
  <c r="AI20" i="16"/>
  <c r="AB20" i="16"/>
  <c r="AA20" i="16"/>
  <c r="Z20" i="16"/>
  <c r="Y20" i="16"/>
  <c r="X20" i="16"/>
  <c r="W20" i="16"/>
  <c r="V20" i="16"/>
  <c r="U20" i="16"/>
  <c r="T20" i="16"/>
  <c r="M20" i="16"/>
  <c r="L20" i="16"/>
  <c r="K20" i="16"/>
  <c r="J20" i="16"/>
  <c r="BB20" i="16" s="1"/>
  <c r="I20" i="16"/>
  <c r="BA20" i="16" s="1"/>
  <c r="H20" i="16"/>
  <c r="AZ20" i="16" s="1"/>
  <c r="F20" i="16"/>
  <c r="AX20" i="16" s="1"/>
  <c r="AW19" i="16"/>
  <c r="AT19" i="16"/>
  <c r="AS19" i="16"/>
  <c r="AR19" i="16"/>
  <c r="AQ19" i="16"/>
  <c r="AP19" i="16"/>
  <c r="AO19" i="16"/>
  <c r="AN19" i="16"/>
  <c r="AM19" i="16"/>
  <c r="AL19" i="16"/>
  <c r="AJ19" i="16"/>
  <c r="AI19" i="16"/>
  <c r="AB19" i="16"/>
  <c r="AA19" i="16"/>
  <c r="Z19" i="16"/>
  <c r="Y19" i="16"/>
  <c r="X19" i="16"/>
  <c r="W19" i="16"/>
  <c r="V19" i="16"/>
  <c r="U19" i="16"/>
  <c r="T19" i="16"/>
  <c r="M19" i="16"/>
  <c r="L19" i="16"/>
  <c r="K19" i="16"/>
  <c r="J19" i="16"/>
  <c r="BB19" i="16" s="1"/>
  <c r="I19" i="16"/>
  <c r="BA19" i="16" s="1"/>
  <c r="H19" i="16"/>
  <c r="AZ19" i="16" s="1"/>
  <c r="F19" i="16"/>
  <c r="AX19" i="16" s="1"/>
  <c r="AW18" i="16"/>
  <c r="AT18" i="16"/>
  <c r="AS18" i="16"/>
  <c r="AR18" i="16"/>
  <c r="AQ18" i="16"/>
  <c r="AP18" i="16"/>
  <c r="AO18" i="16"/>
  <c r="AN18" i="16"/>
  <c r="AM18" i="16"/>
  <c r="AL18" i="16"/>
  <c r="AJ18" i="16"/>
  <c r="AI18" i="16"/>
  <c r="AB18" i="16"/>
  <c r="AA18" i="16"/>
  <c r="Z18" i="16"/>
  <c r="Y18" i="16"/>
  <c r="X18" i="16"/>
  <c r="W18" i="16"/>
  <c r="V18" i="16"/>
  <c r="U18" i="16"/>
  <c r="T18" i="16"/>
  <c r="M18" i="16"/>
  <c r="L18" i="16"/>
  <c r="K18" i="16"/>
  <c r="J18" i="16"/>
  <c r="BB18" i="16" s="1"/>
  <c r="I18" i="16"/>
  <c r="BA18" i="16" s="1"/>
  <c r="H18" i="16"/>
  <c r="AZ18" i="16" s="1"/>
  <c r="F18" i="16"/>
  <c r="AX18" i="16" s="1"/>
  <c r="AW17" i="16"/>
  <c r="AT17" i="16"/>
  <c r="AS17" i="16"/>
  <c r="AR17" i="16"/>
  <c r="AQ17" i="16"/>
  <c r="AP17" i="16"/>
  <c r="AO17" i="16"/>
  <c r="AN17" i="16"/>
  <c r="AM17" i="16"/>
  <c r="AL17" i="16"/>
  <c r="AJ17" i="16"/>
  <c r="AI17" i="16"/>
  <c r="AB17" i="16"/>
  <c r="AA17" i="16"/>
  <c r="Z17" i="16"/>
  <c r="Y17" i="16"/>
  <c r="X17" i="16"/>
  <c r="W17" i="16"/>
  <c r="V17" i="16"/>
  <c r="U17" i="16"/>
  <c r="T17" i="16"/>
  <c r="M17" i="16"/>
  <c r="L17" i="16"/>
  <c r="K17" i="16"/>
  <c r="J17" i="16"/>
  <c r="BB17" i="16" s="1"/>
  <c r="I17" i="16"/>
  <c r="BA17" i="16" s="1"/>
  <c r="H17" i="16"/>
  <c r="AZ17" i="16" s="1"/>
  <c r="F17" i="16"/>
  <c r="AX17" i="16" s="1"/>
  <c r="AW16" i="16"/>
  <c r="AT16" i="16"/>
  <c r="AS16" i="16"/>
  <c r="AR16" i="16"/>
  <c r="AQ16" i="16"/>
  <c r="AP16" i="16"/>
  <c r="AO16" i="16"/>
  <c r="AN16" i="16"/>
  <c r="AM16" i="16"/>
  <c r="AL16" i="16"/>
  <c r="AJ16" i="16"/>
  <c r="AI16" i="16"/>
  <c r="AB16" i="16"/>
  <c r="AA16" i="16"/>
  <c r="Z16" i="16"/>
  <c r="Y16" i="16"/>
  <c r="X16" i="16"/>
  <c r="W16" i="16"/>
  <c r="V16" i="16"/>
  <c r="U16" i="16"/>
  <c r="T16" i="16"/>
  <c r="M16" i="16"/>
  <c r="L16" i="16"/>
  <c r="K16" i="16"/>
  <c r="J16" i="16"/>
  <c r="BB16" i="16" s="1"/>
  <c r="I16" i="16"/>
  <c r="BA16" i="16" s="1"/>
  <c r="H16" i="16"/>
  <c r="AZ16" i="16" s="1"/>
  <c r="F16" i="16"/>
  <c r="AX16" i="16" s="1"/>
  <c r="AW15" i="16"/>
  <c r="AT15" i="16"/>
  <c r="AS15" i="16"/>
  <c r="AR15" i="16"/>
  <c r="AQ15" i="16"/>
  <c r="AP15" i="16"/>
  <c r="AO15" i="16"/>
  <c r="AN15" i="16"/>
  <c r="AM15" i="16"/>
  <c r="AL15" i="16"/>
  <c r="AJ15" i="16"/>
  <c r="AI15" i="16"/>
  <c r="AB15" i="16"/>
  <c r="AA15" i="16"/>
  <c r="Z15" i="16"/>
  <c r="Y15" i="16"/>
  <c r="X15" i="16"/>
  <c r="W15" i="16"/>
  <c r="V15" i="16"/>
  <c r="U15" i="16"/>
  <c r="T15" i="16"/>
  <c r="M15" i="16"/>
  <c r="L15" i="16"/>
  <c r="K15" i="16"/>
  <c r="J15" i="16"/>
  <c r="BB15" i="16" s="1"/>
  <c r="I15" i="16"/>
  <c r="BA15" i="16" s="1"/>
  <c r="H15" i="16"/>
  <c r="AZ15" i="16" s="1"/>
  <c r="F15" i="16"/>
  <c r="AX15" i="16" s="1"/>
  <c r="AW14" i="16"/>
  <c r="AT14" i="16"/>
  <c r="AS14" i="16"/>
  <c r="AR14" i="16"/>
  <c r="AQ14" i="16"/>
  <c r="AP14" i="16"/>
  <c r="AO14" i="16"/>
  <c r="AN14" i="16"/>
  <c r="AM14" i="16"/>
  <c r="AL14" i="16"/>
  <c r="AJ14" i="16"/>
  <c r="AI14" i="16"/>
  <c r="AB14" i="16"/>
  <c r="AA14" i="16"/>
  <c r="Z14" i="16"/>
  <c r="Y14" i="16"/>
  <c r="X14" i="16"/>
  <c r="W14" i="16"/>
  <c r="V14" i="16"/>
  <c r="U14" i="16"/>
  <c r="T14" i="16"/>
  <c r="M14" i="16"/>
  <c r="L14" i="16"/>
  <c r="K14" i="16"/>
  <c r="J14" i="16"/>
  <c r="BB14" i="16" s="1"/>
  <c r="I14" i="16"/>
  <c r="BA14" i="16" s="1"/>
  <c r="H14" i="16"/>
  <c r="AZ14" i="16" s="1"/>
  <c r="F14" i="16"/>
  <c r="AX14" i="16" s="1"/>
  <c r="AW13" i="16"/>
  <c r="AT13" i="16"/>
  <c r="AS13" i="16"/>
  <c r="AR13" i="16"/>
  <c r="AQ13" i="16"/>
  <c r="AP13" i="16"/>
  <c r="AO13" i="16"/>
  <c r="AN13" i="16"/>
  <c r="AM13" i="16"/>
  <c r="AL13" i="16"/>
  <c r="AJ13" i="16"/>
  <c r="AI13" i="16"/>
  <c r="AB13" i="16"/>
  <c r="AA13" i="16"/>
  <c r="Z13" i="16"/>
  <c r="Y13" i="16"/>
  <c r="X13" i="16"/>
  <c r="W13" i="16"/>
  <c r="V13" i="16"/>
  <c r="U13" i="16"/>
  <c r="T13" i="16"/>
  <c r="M13" i="16"/>
  <c r="L13" i="16"/>
  <c r="K13" i="16"/>
  <c r="J13" i="16"/>
  <c r="BB13" i="16" s="1"/>
  <c r="I13" i="16"/>
  <c r="BA13" i="16" s="1"/>
  <c r="H13" i="16"/>
  <c r="AZ13" i="16" s="1"/>
  <c r="F13" i="16"/>
  <c r="AX13" i="16" s="1"/>
  <c r="AW12" i="16"/>
  <c r="AT12" i="16"/>
  <c r="AS12" i="16"/>
  <c r="AR12" i="16"/>
  <c r="AQ12" i="16"/>
  <c r="AP12" i="16"/>
  <c r="AO12" i="16"/>
  <c r="AN12" i="16"/>
  <c r="AM12" i="16"/>
  <c r="AL12" i="16"/>
  <c r="AJ12" i="16"/>
  <c r="AI12" i="16"/>
  <c r="AB12" i="16"/>
  <c r="AA12" i="16"/>
  <c r="Z12" i="16"/>
  <c r="Y12" i="16"/>
  <c r="X12" i="16"/>
  <c r="W12" i="16"/>
  <c r="V12" i="16"/>
  <c r="U12" i="16"/>
  <c r="T12" i="16"/>
  <c r="M12" i="16"/>
  <c r="L12" i="16"/>
  <c r="K12" i="16"/>
  <c r="J12" i="16"/>
  <c r="BB12" i="16" s="1"/>
  <c r="I12" i="16"/>
  <c r="BA12" i="16" s="1"/>
  <c r="H12" i="16"/>
  <c r="AZ12" i="16" s="1"/>
  <c r="F12" i="16"/>
  <c r="AX12" i="16" s="1"/>
  <c r="AW11" i="16"/>
  <c r="AT11" i="16"/>
  <c r="AS11" i="16"/>
  <c r="AR11" i="16"/>
  <c r="AQ11" i="16"/>
  <c r="AP11" i="16"/>
  <c r="AO11" i="16"/>
  <c r="AN11" i="16"/>
  <c r="AM11" i="16"/>
  <c r="AL11" i="16"/>
  <c r="AJ11" i="16"/>
  <c r="AI11" i="16"/>
  <c r="AB11" i="16"/>
  <c r="AA11" i="16"/>
  <c r="Z11" i="16"/>
  <c r="Y11" i="16"/>
  <c r="X11" i="16"/>
  <c r="W11" i="16"/>
  <c r="V11" i="16"/>
  <c r="U11" i="16"/>
  <c r="T11" i="16"/>
  <c r="M11" i="16"/>
  <c r="L11" i="16"/>
  <c r="K11" i="16"/>
  <c r="J11" i="16"/>
  <c r="BB11" i="16" s="1"/>
  <c r="I11" i="16"/>
  <c r="BA11" i="16" s="1"/>
  <c r="H11" i="16"/>
  <c r="AZ11" i="16" s="1"/>
  <c r="F11" i="16"/>
  <c r="AX11" i="16" s="1"/>
  <c r="AW10" i="16"/>
  <c r="AT10" i="16"/>
  <c r="AS10" i="16"/>
  <c r="AR10" i="16"/>
  <c r="AQ10" i="16"/>
  <c r="AP10" i="16"/>
  <c r="AO10" i="16"/>
  <c r="AN10" i="16"/>
  <c r="AM10" i="16"/>
  <c r="AL10" i="16"/>
  <c r="AJ10" i="16"/>
  <c r="AI10" i="16"/>
  <c r="AB10" i="16"/>
  <c r="AA10" i="16"/>
  <c r="Z10" i="16"/>
  <c r="Y10" i="16"/>
  <c r="X10" i="16"/>
  <c r="W10" i="16"/>
  <c r="V10" i="16"/>
  <c r="U10" i="16"/>
  <c r="T10" i="16"/>
  <c r="M10" i="16"/>
  <c r="L10" i="16"/>
  <c r="K10" i="16"/>
  <c r="J10" i="16"/>
  <c r="BB10" i="16" s="1"/>
  <c r="I10" i="16"/>
  <c r="BA10" i="16" s="1"/>
  <c r="H10" i="16"/>
  <c r="AZ10" i="16" s="1"/>
  <c r="F10" i="16"/>
  <c r="AX10" i="16" s="1"/>
  <c r="AW9" i="16"/>
  <c r="AT9" i="16"/>
  <c r="AS9" i="16"/>
  <c r="AR9" i="16"/>
  <c r="AQ9" i="16"/>
  <c r="AP9" i="16"/>
  <c r="AO9" i="16"/>
  <c r="AN9" i="16"/>
  <c r="AM9" i="16"/>
  <c r="AL9" i="16"/>
  <c r="AJ9" i="16"/>
  <c r="AI9" i="16"/>
  <c r="AB9" i="16"/>
  <c r="AA9" i="16"/>
  <c r="Z9" i="16"/>
  <c r="Y9" i="16"/>
  <c r="X9" i="16"/>
  <c r="W9" i="16"/>
  <c r="V9" i="16"/>
  <c r="U9" i="16"/>
  <c r="T9" i="16"/>
  <c r="M9" i="16"/>
  <c r="L9" i="16"/>
  <c r="K9" i="16"/>
  <c r="J9" i="16"/>
  <c r="BB9" i="16" s="1"/>
  <c r="I9" i="16"/>
  <c r="BA9" i="16" s="1"/>
  <c r="H9" i="16"/>
  <c r="AZ9" i="16" s="1"/>
  <c r="F9" i="16"/>
  <c r="AX9" i="16" s="1"/>
  <c r="AW8" i="16"/>
  <c r="AT8" i="16"/>
  <c r="AS8" i="16"/>
  <c r="AR8" i="16"/>
  <c r="AQ8" i="16"/>
  <c r="AP8" i="16"/>
  <c r="AO8" i="16"/>
  <c r="AN8" i="16"/>
  <c r="AM8" i="16"/>
  <c r="AL8" i="16"/>
  <c r="AJ8" i="16"/>
  <c r="AI8" i="16"/>
  <c r="AB8" i="16"/>
  <c r="AA8" i="16"/>
  <c r="Z8" i="16"/>
  <c r="Y8" i="16"/>
  <c r="X8" i="16"/>
  <c r="W8" i="16"/>
  <c r="V8" i="16"/>
  <c r="U8" i="16"/>
  <c r="T8" i="16"/>
  <c r="M8" i="16"/>
  <c r="L8" i="16"/>
  <c r="K8" i="16"/>
  <c r="J8" i="16"/>
  <c r="BB8" i="16" s="1"/>
  <c r="I8" i="16"/>
  <c r="BA8" i="16" s="1"/>
  <c r="H8" i="16"/>
  <c r="AZ8" i="16" s="1"/>
  <c r="F8" i="16"/>
  <c r="AX8" i="16" s="1"/>
  <c r="AW7" i="16"/>
  <c r="AT7" i="16"/>
  <c r="AS7" i="16"/>
  <c r="AR7" i="16"/>
  <c r="AQ7" i="16"/>
  <c r="AP7" i="16"/>
  <c r="AO7" i="16"/>
  <c r="AN7" i="16"/>
  <c r="AM7" i="16"/>
  <c r="AL7" i="16"/>
  <c r="AJ7" i="16"/>
  <c r="AI7" i="16"/>
  <c r="AB7" i="16"/>
  <c r="AA7" i="16"/>
  <c r="Z7" i="16"/>
  <c r="Y7" i="16"/>
  <c r="X7" i="16"/>
  <c r="W7" i="16"/>
  <c r="V7" i="16"/>
  <c r="U7" i="16"/>
  <c r="T7" i="16"/>
  <c r="M7" i="16"/>
  <c r="L7" i="16"/>
  <c r="K7" i="16"/>
  <c r="J7" i="16"/>
  <c r="BB7" i="16" s="1"/>
  <c r="I7" i="16"/>
  <c r="BA7" i="16" s="1"/>
  <c r="H7" i="16"/>
  <c r="AZ7" i="16" s="1"/>
  <c r="F7" i="16"/>
  <c r="AX7" i="16" s="1"/>
  <c r="AW6" i="16"/>
  <c r="AT6" i="16"/>
  <c r="AS6" i="16"/>
  <c r="AR6" i="16"/>
  <c r="AQ6" i="16"/>
  <c r="AP6" i="16"/>
  <c r="AO6" i="16"/>
  <c r="AN6" i="16"/>
  <c r="AM6" i="16"/>
  <c r="AL6" i="16"/>
  <c r="AJ6" i="16"/>
  <c r="AI6" i="16"/>
  <c r="AB6" i="16"/>
  <c r="AA6" i="16"/>
  <c r="Z6" i="16"/>
  <c r="Y6" i="16"/>
  <c r="X6" i="16"/>
  <c r="W6" i="16"/>
  <c r="V6" i="16"/>
  <c r="U6" i="16"/>
  <c r="T6" i="16"/>
  <c r="M6" i="16"/>
  <c r="L6" i="16"/>
  <c r="K6" i="16"/>
  <c r="J6" i="16"/>
  <c r="BB6" i="16" s="1"/>
  <c r="I6" i="16"/>
  <c r="BA6" i="16" s="1"/>
  <c r="H6" i="16"/>
  <c r="AZ6" i="16" s="1"/>
  <c r="F6" i="16"/>
  <c r="AX6" i="16" s="1"/>
  <c r="AW5" i="16"/>
  <c r="AT5" i="16"/>
  <c r="AS5" i="16"/>
  <c r="AR5" i="16"/>
  <c r="AQ5" i="16"/>
  <c r="AP5" i="16"/>
  <c r="AO5" i="16"/>
  <c r="AN5" i="16"/>
  <c r="AM5" i="16"/>
  <c r="AL5" i="16"/>
  <c r="AJ5" i="16"/>
  <c r="AI5" i="16"/>
  <c r="AB5" i="16"/>
  <c r="AA5" i="16"/>
  <c r="Z5" i="16"/>
  <c r="Y5" i="16"/>
  <c r="X5" i="16"/>
  <c r="W5" i="16"/>
  <c r="V5" i="16"/>
  <c r="U5" i="16"/>
  <c r="T5" i="16"/>
  <c r="M5" i="16"/>
  <c r="L5" i="16"/>
  <c r="K5" i="16"/>
  <c r="J5" i="16"/>
  <c r="BB5" i="16" s="1"/>
  <c r="I5" i="16"/>
  <c r="BA5" i="16" s="1"/>
  <c r="H5" i="16"/>
  <c r="AZ5" i="16" s="1"/>
  <c r="F5" i="16"/>
  <c r="AX5" i="16" s="1"/>
  <c r="AW4" i="16"/>
  <c r="AT4" i="16"/>
  <c r="AS4" i="16"/>
  <c r="AR4" i="16"/>
  <c r="AQ4" i="16"/>
  <c r="AP4" i="16"/>
  <c r="AO4" i="16"/>
  <c r="AN4" i="16"/>
  <c r="AM4" i="16"/>
  <c r="AL4" i="16"/>
  <c r="AJ4" i="16"/>
  <c r="AI4" i="16"/>
  <c r="AB4" i="16"/>
  <c r="AA4" i="16"/>
  <c r="Z4" i="16"/>
  <c r="Y4" i="16"/>
  <c r="X4" i="16"/>
  <c r="W4" i="16"/>
  <c r="V4" i="16"/>
  <c r="U4" i="16"/>
  <c r="T4" i="16"/>
  <c r="M4" i="16"/>
  <c r="L4" i="16"/>
  <c r="K4" i="16"/>
  <c r="J4" i="16"/>
  <c r="BB4" i="16" s="1"/>
  <c r="I4" i="16"/>
  <c r="BA4" i="16" s="1"/>
  <c r="H4" i="16"/>
  <c r="AZ4" i="16" s="1"/>
  <c r="F4" i="16"/>
  <c r="AX4" i="16" s="1"/>
  <c r="AW3" i="16"/>
  <c r="AT3" i="16"/>
  <c r="AS3" i="16"/>
  <c r="AR3" i="16"/>
  <c r="AQ3" i="16"/>
  <c r="AP3" i="16"/>
  <c r="AO3" i="16"/>
  <c r="AN3" i="16"/>
  <c r="AM3" i="16"/>
  <c r="AL3" i="16"/>
  <c r="AJ3" i="16"/>
  <c r="AI3" i="16"/>
  <c r="AB3" i="16"/>
  <c r="AA3" i="16"/>
  <c r="Z3" i="16"/>
  <c r="Y3" i="16"/>
  <c r="X3" i="16"/>
  <c r="W3" i="16"/>
  <c r="V3" i="16"/>
  <c r="U3" i="16"/>
  <c r="T3" i="16"/>
  <c r="M3" i="16"/>
  <c r="L3" i="16"/>
  <c r="K3" i="16"/>
  <c r="J3" i="16"/>
  <c r="BB3" i="16" s="1"/>
  <c r="I3" i="16"/>
  <c r="BA3" i="16" s="1"/>
  <c r="H3" i="16"/>
  <c r="AZ3" i="16" s="1"/>
  <c r="F3" i="16"/>
  <c r="AX3" i="16" s="1"/>
  <c r="AW2" i="16"/>
  <c r="AT2" i="16"/>
  <c r="AS2" i="16"/>
  <c r="AR2" i="16"/>
  <c r="AQ2" i="16"/>
  <c r="AP2" i="16"/>
  <c r="AO2" i="16"/>
  <c r="AN2" i="16"/>
  <c r="AM2" i="16"/>
  <c r="AL2" i="16"/>
  <c r="AK2" i="16"/>
  <c r="AJ2" i="16"/>
  <c r="AI2" i="16"/>
  <c r="AB2" i="16"/>
  <c r="AA2" i="16"/>
  <c r="Z2" i="16"/>
  <c r="Y2" i="16"/>
  <c r="X2" i="16"/>
  <c r="W2" i="16"/>
  <c r="V2" i="16"/>
  <c r="U2" i="16"/>
  <c r="T2" i="16"/>
  <c r="M2" i="16"/>
  <c r="L2" i="16"/>
  <c r="K2" i="16"/>
  <c r="J2" i="16"/>
  <c r="BB2" i="16" s="1"/>
  <c r="I2" i="16"/>
  <c r="BA2" i="16" s="1"/>
  <c r="H2" i="16"/>
  <c r="AZ2" i="16" s="1"/>
  <c r="G2" i="16"/>
  <c r="AY2" i="16" s="1"/>
  <c r="F2" i="16"/>
  <c r="AX2" i="16" s="1"/>
  <c r="AD2" i="15"/>
  <c r="AD3" i="15"/>
  <c r="AD4" i="15"/>
  <c r="AD5" i="15"/>
  <c r="AD6" i="15"/>
  <c r="AD7" i="15"/>
  <c r="AD8" i="15"/>
  <c r="AD9" i="15"/>
  <c r="AD10" i="15"/>
  <c r="AD11" i="15"/>
  <c r="AD12" i="15"/>
  <c r="AD13" i="15"/>
  <c r="AD14" i="15"/>
  <c r="AD15" i="15"/>
  <c r="AD16" i="15"/>
  <c r="AD17" i="15"/>
  <c r="AD18" i="15"/>
  <c r="AD19" i="15"/>
  <c r="AD20" i="15"/>
  <c r="AD21" i="15"/>
  <c r="AD22" i="15"/>
  <c r="AD23" i="15"/>
  <c r="AD24" i="15"/>
  <c r="AD25" i="15"/>
  <c r="AD26" i="15"/>
  <c r="AD27" i="15"/>
  <c r="AD28" i="15"/>
  <c r="AD29" i="15"/>
  <c r="AD30" i="15"/>
  <c r="AD31" i="15"/>
  <c r="AD32" i="15"/>
  <c r="AD33" i="15"/>
  <c r="AD34" i="15"/>
  <c r="AD35" i="15"/>
  <c r="AD36" i="15"/>
  <c r="AD37" i="15"/>
  <c r="AD38" i="15"/>
  <c r="AD39" i="15"/>
  <c r="AD40" i="15"/>
  <c r="AD41" i="15"/>
  <c r="AD42" i="15"/>
  <c r="AD43" i="15"/>
  <c r="AD44" i="15"/>
  <c r="AD45" i="15"/>
  <c r="AD46" i="15"/>
  <c r="AD47" i="15"/>
  <c r="AD48" i="15"/>
  <c r="AD49" i="15"/>
  <c r="AD50" i="15"/>
  <c r="AD51" i="15"/>
  <c r="AD52" i="15"/>
  <c r="AD53" i="15"/>
  <c r="AD54" i="15"/>
  <c r="AD55" i="15"/>
  <c r="AD56" i="15"/>
  <c r="AD57" i="15"/>
  <c r="AD58" i="15"/>
  <c r="AD59" i="15"/>
  <c r="AD60" i="15"/>
  <c r="AD61" i="15"/>
  <c r="AD62" i="15"/>
  <c r="AD63" i="15"/>
  <c r="AD64" i="15"/>
  <c r="AD65" i="15"/>
  <c r="AD66" i="15"/>
  <c r="AD67" i="15"/>
  <c r="AD68" i="15"/>
  <c r="AD69" i="15"/>
  <c r="AD70" i="15"/>
  <c r="AD71" i="15"/>
  <c r="AD72" i="15"/>
  <c r="AD73" i="15"/>
  <c r="AD74" i="15"/>
  <c r="AD75" i="15"/>
  <c r="AD76" i="15"/>
  <c r="AD77" i="15"/>
  <c r="AD78" i="15"/>
  <c r="AD79" i="15"/>
  <c r="AD80" i="15"/>
  <c r="AD81" i="15"/>
  <c r="AD82" i="15"/>
  <c r="AD83" i="15"/>
  <c r="AD84" i="15"/>
  <c r="AD85" i="15"/>
  <c r="AD86" i="15"/>
  <c r="AD87" i="15"/>
  <c r="AD88" i="15"/>
  <c r="AD89" i="15"/>
  <c r="AD90" i="15"/>
  <c r="AD91" i="15"/>
  <c r="AD92" i="15"/>
  <c r="AD93" i="15"/>
  <c r="AD94" i="15"/>
  <c r="AD95" i="15"/>
  <c r="AD96" i="15"/>
  <c r="AD97" i="15"/>
  <c r="AD98" i="15"/>
  <c r="AD99" i="15"/>
  <c r="AD100" i="15"/>
  <c r="AD101" i="15"/>
  <c r="AD102" i="15"/>
  <c r="AD103" i="15"/>
  <c r="AD104" i="15"/>
  <c r="AD105" i="15"/>
  <c r="AD106" i="15"/>
  <c r="AD107" i="15"/>
  <c r="AD108" i="15"/>
  <c r="AD109" i="15"/>
  <c r="AD110" i="15"/>
  <c r="AD111" i="15"/>
  <c r="O2" i="15"/>
  <c r="O3" i="15"/>
  <c r="O4" i="15"/>
  <c r="O5" i="15"/>
  <c r="O6" i="15"/>
  <c r="O7" i="15"/>
  <c r="O8" i="15"/>
  <c r="O9" i="15"/>
  <c r="O10" i="15"/>
  <c r="O11" i="15"/>
  <c r="O12" i="15"/>
  <c r="O13" i="15"/>
  <c r="O14" i="15"/>
  <c r="O15" i="15"/>
  <c r="O16" i="15"/>
  <c r="O17" i="15"/>
  <c r="O18" i="15"/>
  <c r="O19" i="15"/>
  <c r="O20" i="15"/>
  <c r="O21" i="15"/>
  <c r="O22" i="15"/>
  <c r="O23" i="15"/>
  <c r="O24" i="15"/>
  <c r="O25" i="15"/>
  <c r="O26" i="15"/>
  <c r="O27" i="15"/>
  <c r="O28" i="15"/>
  <c r="O29" i="15"/>
  <c r="O30" i="15"/>
  <c r="O31" i="15"/>
  <c r="O32" i="15"/>
  <c r="O33" i="15"/>
  <c r="O34" i="15"/>
  <c r="O35" i="15"/>
  <c r="O36" i="15"/>
  <c r="O37" i="15"/>
  <c r="O38" i="15"/>
  <c r="O39" i="15"/>
  <c r="O40" i="15"/>
  <c r="O41" i="15"/>
  <c r="O42" i="15"/>
  <c r="O43" i="15"/>
  <c r="O44" i="15"/>
  <c r="O45" i="15"/>
  <c r="O46" i="15"/>
  <c r="O47" i="15"/>
  <c r="O48" i="15"/>
  <c r="O49" i="15"/>
  <c r="O50" i="15"/>
  <c r="O51" i="15"/>
  <c r="O52" i="15"/>
  <c r="O53" i="15"/>
  <c r="O54" i="15"/>
  <c r="O55" i="15"/>
  <c r="O56" i="15"/>
  <c r="O57" i="15"/>
  <c r="O58" i="15"/>
  <c r="O59" i="15"/>
  <c r="O60" i="15"/>
  <c r="O61" i="15"/>
  <c r="O62" i="15"/>
  <c r="O63" i="15"/>
  <c r="O64" i="15"/>
  <c r="O65" i="15"/>
  <c r="O66" i="15"/>
  <c r="O67" i="15"/>
  <c r="O68" i="15"/>
  <c r="O69" i="15"/>
  <c r="O70" i="15"/>
  <c r="O71" i="15"/>
  <c r="O72" i="15"/>
  <c r="O73" i="15"/>
  <c r="O74" i="15"/>
  <c r="O75" i="15"/>
  <c r="O76" i="15"/>
  <c r="O77" i="15"/>
  <c r="O78" i="15"/>
  <c r="O79" i="15"/>
  <c r="O80" i="15"/>
  <c r="O81" i="15"/>
  <c r="O82" i="15"/>
  <c r="O83" i="15"/>
  <c r="O84" i="15"/>
  <c r="O85" i="15"/>
  <c r="O86" i="15"/>
  <c r="O87" i="15"/>
  <c r="O88" i="15"/>
  <c r="O89" i="15"/>
  <c r="O90" i="15"/>
  <c r="O91" i="15"/>
  <c r="O92" i="15"/>
  <c r="O93" i="15"/>
  <c r="O94" i="15"/>
  <c r="O95" i="15"/>
  <c r="O96" i="15"/>
  <c r="O97" i="15"/>
  <c r="O98" i="15"/>
  <c r="O99" i="15"/>
  <c r="O100" i="15"/>
  <c r="O101" i="15"/>
  <c r="O102" i="15"/>
  <c r="O103" i="15"/>
  <c r="O104" i="15"/>
  <c r="O105" i="15"/>
  <c r="O106" i="15"/>
  <c r="O107" i="15"/>
  <c r="O108" i="15"/>
  <c r="O109" i="15"/>
  <c r="O110" i="15"/>
  <c r="O111" i="15"/>
  <c r="A2" i="15"/>
  <c r="A3" i="15"/>
  <c r="A4" i="15"/>
  <c r="A5" i="15"/>
  <c r="A6" i="15"/>
  <c r="A7" i="15"/>
  <c r="A8" i="15"/>
  <c r="A9" i="15"/>
  <c r="A10" i="15"/>
  <c r="A11" i="15"/>
  <c r="A12" i="15"/>
  <c r="A13" i="15"/>
  <c r="A14" i="15"/>
  <c r="A15" i="15"/>
  <c r="A16" i="15"/>
  <c r="A17" i="15"/>
  <c r="A18" i="15"/>
  <c r="A19" i="15"/>
  <c r="A20" i="15"/>
  <c r="A21" i="15"/>
  <c r="A22" i="15"/>
  <c r="A23" i="15"/>
  <c r="A24" i="15"/>
  <c r="A25" i="15"/>
  <c r="A26" i="15"/>
  <c r="A27" i="15"/>
  <c r="A28" i="15"/>
  <c r="A29" i="15"/>
  <c r="A30" i="15"/>
  <c r="A31" i="15"/>
  <c r="A32" i="15"/>
  <c r="A33" i="15"/>
  <c r="A34" i="15"/>
  <c r="A35" i="15"/>
  <c r="A36" i="15"/>
  <c r="A37" i="15"/>
  <c r="A38" i="15"/>
  <c r="A39" i="15"/>
  <c r="A40" i="15"/>
  <c r="A41" i="15"/>
  <c r="A42" i="15"/>
  <c r="A43" i="15"/>
  <c r="A44" i="15"/>
  <c r="A45" i="15"/>
  <c r="A46" i="15"/>
  <c r="A47" i="15"/>
  <c r="A48" i="15"/>
  <c r="A49" i="15"/>
  <c r="A50" i="15"/>
  <c r="A51" i="15"/>
  <c r="A52" i="15"/>
  <c r="A53" i="15"/>
  <c r="A54" i="15"/>
  <c r="A55" i="15"/>
  <c r="A56" i="15"/>
  <c r="A57" i="15"/>
  <c r="A58" i="15"/>
  <c r="A59" i="15"/>
  <c r="A60" i="15"/>
  <c r="A61" i="15"/>
  <c r="A62" i="15"/>
  <c r="A63" i="15"/>
  <c r="A64" i="15"/>
  <c r="A65" i="15"/>
  <c r="A66" i="15"/>
  <c r="A67" i="15"/>
  <c r="A68" i="15"/>
  <c r="A69" i="15"/>
  <c r="A70" i="15"/>
  <c r="A71" i="15"/>
  <c r="A72" i="15"/>
  <c r="A73" i="15"/>
  <c r="A74" i="15"/>
  <c r="A75" i="15"/>
  <c r="A76" i="15"/>
  <c r="A77" i="15"/>
  <c r="A78" i="15"/>
  <c r="A79" i="15"/>
  <c r="A80" i="15"/>
  <c r="A81" i="15"/>
  <c r="A82" i="15"/>
  <c r="A83" i="15"/>
  <c r="A84" i="15"/>
  <c r="A85" i="15"/>
  <c r="A86" i="15"/>
  <c r="A87" i="15"/>
  <c r="A88" i="15"/>
  <c r="A89" i="15"/>
  <c r="A90" i="15"/>
  <c r="A91" i="15"/>
  <c r="A92" i="15"/>
  <c r="A93" i="15"/>
  <c r="A94" i="15"/>
  <c r="A95" i="15"/>
  <c r="A96" i="15"/>
  <c r="A97" i="15"/>
  <c r="A98" i="15"/>
  <c r="A99" i="15"/>
  <c r="A100" i="15"/>
  <c r="A101" i="15"/>
  <c r="A102" i="15"/>
  <c r="A103" i="15"/>
  <c r="A104" i="15"/>
  <c r="A105" i="15"/>
  <c r="A106" i="15"/>
  <c r="A107" i="15"/>
  <c r="A108" i="15"/>
  <c r="A109" i="15"/>
  <c r="A110" i="15"/>
  <c r="A111" i="15"/>
  <c r="AV2" i="15"/>
  <c r="AV3" i="15"/>
  <c r="AV4" i="15"/>
  <c r="AV5" i="15"/>
  <c r="AV6" i="15"/>
  <c r="AV7" i="15"/>
  <c r="AV8" i="15"/>
  <c r="AV9" i="15"/>
  <c r="AV10" i="15"/>
  <c r="AV11" i="15"/>
  <c r="AV12" i="15"/>
  <c r="AV13" i="15"/>
  <c r="AV14" i="15"/>
  <c r="AV15" i="15"/>
  <c r="AV16" i="15"/>
  <c r="AV17" i="15"/>
  <c r="AV18" i="15"/>
  <c r="AV19" i="15"/>
  <c r="AV20" i="15"/>
  <c r="AV21" i="15"/>
  <c r="AV22" i="15"/>
  <c r="AV23" i="15"/>
  <c r="AV24" i="15"/>
  <c r="AV25" i="15"/>
  <c r="AV26" i="15"/>
  <c r="AV27" i="15"/>
  <c r="AV28" i="15"/>
  <c r="AV29" i="15"/>
  <c r="AV30" i="15"/>
  <c r="AV31" i="15"/>
  <c r="AV32" i="15"/>
  <c r="AV33" i="15"/>
  <c r="AV34" i="15"/>
  <c r="AV35" i="15"/>
  <c r="AV36" i="15"/>
  <c r="AV37" i="15"/>
  <c r="AV38" i="15"/>
  <c r="AV39" i="15"/>
  <c r="AV40" i="15"/>
  <c r="AV41" i="15"/>
  <c r="AV42" i="15"/>
  <c r="AV43" i="15"/>
  <c r="AV44" i="15"/>
  <c r="AV45" i="15"/>
  <c r="AV46" i="15"/>
  <c r="AV47" i="15"/>
  <c r="AV48" i="15"/>
  <c r="AV49" i="15"/>
  <c r="AV50" i="15"/>
  <c r="AV51" i="15"/>
  <c r="AV52" i="15"/>
  <c r="AV53" i="15"/>
  <c r="AV54" i="15"/>
  <c r="AV55" i="15"/>
  <c r="AV56" i="15"/>
  <c r="AV57" i="15"/>
  <c r="AV58" i="15"/>
  <c r="AV59" i="15"/>
  <c r="AV60" i="15"/>
  <c r="AV61" i="15"/>
  <c r="AV62" i="15"/>
  <c r="AV63" i="15"/>
  <c r="AV64" i="15"/>
  <c r="AV65" i="15"/>
  <c r="AV66" i="15"/>
  <c r="AV67" i="15"/>
  <c r="AV68" i="15"/>
  <c r="AV69" i="15"/>
  <c r="AV70" i="15"/>
  <c r="AV71" i="15"/>
  <c r="AV72" i="15"/>
  <c r="AV73" i="15"/>
  <c r="AV74" i="15"/>
  <c r="AV75" i="15"/>
  <c r="AV76" i="15"/>
  <c r="AV77" i="15"/>
  <c r="AV78" i="15"/>
  <c r="AV79" i="15"/>
  <c r="AV80" i="15"/>
  <c r="AV81" i="15"/>
  <c r="AV82" i="15"/>
  <c r="AV83" i="15"/>
  <c r="AV84" i="15"/>
  <c r="AV85" i="15"/>
  <c r="AV86" i="15"/>
  <c r="AV87" i="15"/>
  <c r="AV88" i="15"/>
  <c r="AV89" i="15"/>
  <c r="AV90" i="15"/>
  <c r="AV91" i="15"/>
  <c r="AV92" i="15"/>
  <c r="AV93" i="15"/>
  <c r="AV94" i="15"/>
  <c r="AV95" i="15"/>
  <c r="AV96" i="15"/>
  <c r="AV97" i="15"/>
  <c r="AV98" i="15"/>
  <c r="AV99" i="15"/>
  <c r="AV100" i="15"/>
  <c r="AV101" i="15"/>
  <c r="AV102" i="15"/>
  <c r="AV103" i="15"/>
  <c r="AV104" i="15"/>
  <c r="AV105" i="15"/>
  <c r="AV106" i="15"/>
  <c r="AV107" i="15"/>
  <c r="AV108" i="15"/>
  <c r="AV109" i="15"/>
  <c r="AV110" i="15"/>
  <c r="AV111" i="15"/>
  <c r="AW5" i="15"/>
  <c r="AW111" i="15"/>
  <c r="AT111" i="15"/>
  <c r="AS111" i="15"/>
  <c r="AR111" i="15"/>
  <c r="AQ111" i="15"/>
  <c r="AP111" i="15"/>
  <c r="AO111" i="15"/>
  <c r="AN111" i="15"/>
  <c r="AM111" i="15"/>
  <c r="AL111" i="15"/>
  <c r="AJ111" i="15"/>
  <c r="AI111" i="15"/>
  <c r="AB111" i="15"/>
  <c r="AA111" i="15"/>
  <c r="Z111" i="15"/>
  <c r="Y111" i="15"/>
  <c r="X111" i="15"/>
  <c r="W111" i="15"/>
  <c r="V111" i="15"/>
  <c r="U111" i="15"/>
  <c r="T111" i="15"/>
  <c r="M111" i="15"/>
  <c r="L111" i="15"/>
  <c r="K111" i="15"/>
  <c r="J111" i="15"/>
  <c r="BB111" i="15" s="1"/>
  <c r="I111" i="15"/>
  <c r="BA111" i="15" s="1"/>
  <c r="H111" i="15"/>
  <c r="AZ111" i="15" s="1"/>
  <c r="F111" i="15"/>
  <c r="AX111" i="15" s="1"/>
  <c r="AW110" i="15"/>
  <c r="AT110" i="15"/>
  <c r="AS110" i="15"/>
  <c r="AR110" i="15"/>
  <c r="AQ110" i="15"/>
  <c r="AP110" i="15"/>
  <c r="AO110" i="15"/>
  <c r="AN110" i="15"/>
  <c r="AM110" i="15"/>
  <c r="AL110" i="15"/>
  <c r="AJ110" i="15"/>
  <c r="AI110" i="15"/>
  <c r="AB110" i="15"/>
  <c r="AA110" i="15"/>
  <c r="Z110" i="15"/>
  <c r="Y110" i="15"/>
  <c r="X110" i="15"/>
  <c r="W110" i="15"/>
  <c r="V110" i="15"/>
  <c r="U110" i="15"/>
  <c r="T110" i="15"/>
  <c r="M110" i="15"/>
  <c r="L110" i="15"/>
  <c r="K110" i="15"/>
  <c r="J110" i="15"/>
  <c r="BB110" i="15" s="1"/>
  <c r="I110" i="15"/>
  <c r="BA110" i="15" s="1"/>
  <c r="H110" i="15"/>
  <c r="AZ110" i="15" s="1"/>
  <c r="F110" i="15"/>
  <c r="AX110" i="15" s="1"/>
  <c r="AW109" i="15"/>
  <c r="AT109" i="15"/>
  <c r="AS109" i="15"/>
  <c r="AR109" i="15"/>
  <c r="AQ109" i="15"/>
  <c r="AP109" i="15"/>
  <c r="AO109" i="15"/>
  <c r="AN109" i="15"/>
  <c r="AM109" i="15"/>
  <c r="AL109" i="15"/>
  <c r="AJ109" i="15"/>
  <c r="AI109" i="15"/>
  <c r="AB109" i="15"/>
  <c r="AA109" i="15"/>
  <c r="Z109" i="15"/>
  <c r="Y109" i="15"/>
  <c r="X109" i="15"/>
  <c r="W109" i="15"/>
  <c r="V109" i="15"/>
  <c r="U109" i="15"/>
  <c r="T109" i="15"/>
  <c r="M109" i="15"/>
  <c r="L109" i="15"/>
  <c r="K109" i="15"/>
  <c r="J109" i="15"/>
  <c r="BB109" i="15" s="1"/>
  <c r="I109" i="15"/>
  <c r="BA109" i="15" s="1"/>
  <c r="H109" i="15"/>
  <c r="AZ109" i="15" s="1"/>
  <c r="F109" i="15"/>
  <c r="AX109" i="15" s="1"/>
  <c r="AW108" i="15"/>
  <c r="AT108" i="15"/>
  <c r="AS108" i="15"/>
  <c r="AR108" i="15"/>
  <c r="AQ108" i="15"/>
  <c r="AP108" i="15"/>
  <c r="AO108" i="15"/>
  <c r="AN108" i="15"/>
  <c r="AM108" i="15"/>
  <c r="AL108" i="15"/>
  <c r="AJ108" i="15"/>
  <c r="AI108" i="15"/>
  <c r="AB108" i="15"/>
  <c r="AA108" i="15"/>
  <c r="Z108" i="15"/>
  <c r="Y108" i="15"/>
  <c r="X108" i="15"/>
  <c r="W108" i="15"/>
  <c r="V108" i="15"/>
  <c r="U108" i="15"/>
  <c r="T108" i="15"/>
  <c r="M108" i="15"/>
  <c r="L108" i="15"/>
  <c r="K108" i="15"/>
  <c r="J108" i="15"/>
  <c r="BB108" i="15" s="1"/>
  <c r="I108" i="15"/>
  <c r="BA108" i="15" s="1"/>
  <c r="H108" i="15"/>
  <c r="AZ108" i="15" s="1"/>
  <c r="F108" i="15"/>
  <c r="AX108" i="15" s="1"/>
  <c r="AW107" i="15"/>
  <c r="AT107" i="15"/>
  <c r="AS107" i="15"/>
  <c r="AR107" i="15"/>
  <c r="AQ107" i="15"/>
  <c r="AP107" i="15"/>
  <c r="AO107" i="15"/>
  <c r="AN107" i="15"/>
  <c r="AM107" i="15"/>
  <c r="AL107" i="15"/>
  <c r="AJ107" i="15"/>
  <c r="AI107" i="15"/>
  <c r="AB107" i="15"/>
  <c r="AA107" i="15"/>
  <c r="Z107" i="15"/>
  <c r="Y107" i="15"/>
  <c r="X107" i="15"/>
  <c r="W107" i="15"/>
  <c r="V107" i="15"/>
  <c r="U107" i="15"/>
  <c r="T107" i="15"/>
  <c r="M107" i="15"/>
  <c r="L107" i="15"/>
  <c r="K107" i="15"/>
  <c r="J107" i="15"/>
  <c r="BB107" i="15" s="1"/>
  <c r="I107" i="15"/>
  <c r="BA107" i="15" s="1"/>
  <c r="H107" i="15"/>
  <c r="AZ107" i="15" s="1"/>
  <c r="F107" i="15"/>
  <c r="AX107" i="15" s="1"/>
  <c r="AW106" i="15"/>
  <c r="AT106" i="15"/>
  <c r="AS106" i="15"/>
  <c r="AR106" i="15"/>
  <c r="AQ106" i="15"/>
  <c r="AP106" i="15"/>
  <c r="AO106" i="15"/>
  <c r="AN106" i="15"/>
  <c r="AM106" i="15"/>
  <c r="AL106" i="15"/>
  <c r="AJ106" i="15"/>
  <c r="AI106" i="15"/>
  <c r="AB106" i="15"/>
  <c r="AA106" i="15"/>
  <c r="Z106" i="15"/>
  <c r="Y106" i="15"/>
  <c r="X106" i="15"/>
  <c r="W106" i="15"/>
  <c r="V106" i="15"/>
  <c r="U106" i="15"/>
  <c r="T106" i="15"/>
  <c r="M106" i="15"/>
  <c r="L106" i="15"/>
  <c r="K106" i="15"/>
  <c r="J106" i="15"/>
  <c r="BB106" i="15" s="1"/>
  <c r="I106" i="15"/>
  <c r="BA106" i="15" s="1"/>
  <c r="H106" i="15"/>
  <c r="AZ106" i="15" s="1"/>
  <c r="F106" i="15"/>
  <c r="AX106" i="15" s="1"/>
  <c r="AW105" i="15"/>
  <c r="AT105" i="15"/>
  <c r="AS105" i="15"/>
  <c r="AR105" i="15"/>
  <c r="AQ105" i="15"/>
  <c r="AP105" i="15"/>
  <c r="AO105" i="15"/>
  <c r="AN105" i="15"/>
  <c r="AM105" i="15"/>
  <c r="AL105" i="15"/>
  <c r="AJ105" i="15"/>
  <c r="AI105" i="15"/>
  <c r="AB105" i="15"/>
  <c r="AA105" i="15"/>
  <c r="Z105" i="15"/>
  <c r="Y105" i="15"/>
  <c r="X105" i="15"/>
  <c r="W105" i="15"/>
  <c r="V105" i="15"/>
  <c r="U105" i="15"/>
  <c r="T105" i="15"/>
  <c r="M105" i="15"/>
  <c r="L105" i="15"/>
  <c r="K105" i="15"/>
  <c r="J105" i="15"/>
  <c r="BB105" i="15" s="1"/>
  <c r="I105" i="15"/>
  <c r="BA105" i="15" s="1"/>
  <c r="H105" i="15"/>
  <c r="AZ105" i="15" s="1"/>
  <c r="F105" i="15"/>
  <c r="AX105" i="15" s="1"/>
  <c r="AW104" i="15"/>
  <c r="AT104" i="15"/>
  <c r="AS104" i="15"/>
  <c r="AR104" i="15"/>
  <c r="AQ104" i="15"/>
  <c r="AP104" i="15"/>
  <c r="AO104" i="15"/>
  <c r="AN104" i="15"/>
  <c r="AM104" i="15"/>
  <c r="AL104" i="15"/>
  <c r="AJ104" i="15"/>
  <c r="AI104" i="15"/>
  <c r="AB104" i="15"/>
  <c r="AA104" i="15"/>
  <c r="Z104" i="15"/>
  <c r="Y104" i="15"/>
  <c r="X104" i="15"/>
  <c r="W104" i="15"/>
  <c r="V104" i="15"/>
  <c r="U104" i="15"/>
  <c r="T104" i="15"/>
  <c r="M104" i="15"/>
  <c r="L104" i="15"/>
  <c r="K104" i="15"/>
  <c r="J104" i="15"/>
  <c r="BB104" i="15" s="1"/>
  <c r="I104" i="15"/>
  <c r="BA104" i="15" s="1"/>
  <c r="H104" i="15"/>
  <c r="AZ104" i="15" s="1"/>
  <c r="F104" i="15"/>
  <c r="AX104" i="15" s="1"/>
  <c r="AW103" i="15"/>
  <c r="AT103" i="15"/>
  <c r="AS103" i="15"/>
  <c r="AR103" i="15"/>
  <c r="AQ103" i="15"/>
  <c r="AP103" i="15"/>
  <c r="AO103" i="15"/>
  <c r="AN103" i="15"/>
  <c r="AM103" i="15"/>
  <c r="AL103" i="15"/>
  <c r="AJ103" i="15"/>
  <c r="AI103" i="15"/>
  <c r="AB103" i="15"/>
  <c r="AA103" i="15"/>
  <c r="Z103" i="15"/>
  <c r="Y103" i="15"/>
  <c r="X103" i="15"/>
  <c r="W103" i="15"/>
  <c r="V103" i="15"/>
  <c r="U103" i="15"/>
  <c r="T103" i="15"/>
  <c r="M103" i="15"/>
  <c r="L103" i="15"/>
  <c r="K103" i="15"/>
  <c r="J103" i="15"/>
  <c r="BB103" i="15" s="1"/>
  <c r="I103" i="15"/>
  <c r="BA103" i="15" s="1"/>
  <c r="H103" i="15"/>
  <c r="AZ103" i="15" s="1"/>
  <c r="F103" i="15"/>
  <c r="AX103" i="15" s="1"/>
  <c r="AW102" i="15"/>
  <c r="AT102" i="15"/>
  <c r="AS102" i="15"/>
  <c r="AR102" i="15"/>
  <c r="AQ102" i="15"/>
  <c r="AP102" i="15"/>
  <c r="AO102" i="15"/>
  <c r="AN102" i="15"/>
  <c r="AM102" i="15"/>
  <c r="AL102" i="15"/>
  <c r="AJ102" i="15"/>
  <c r="AI102" i="15"/>
  <c r="AB102" i="15"/>
  <c r="AA102" i="15"/>
  <c r="Z102" i="15"/>
  <c r="Y102" i="15"/>
  <c r="X102" i="15"/>
  <c r="W102" i="15"/>
  <c r="V102" i="15"/>
  <c r="U102" i="15"/>
  <c r="T102" i="15"/>
  <c r="M102" i="15"/>
  <c r="L102" i="15"/>
  <c r="K102" i="15"/>
  <c r="J102" i="15"/>
  <c r="BB102" i="15" s="1"/>
  <c r="I102" i="15"/>
  <c r="BA102" i="15" s="1"/>
  <c r="H102" i="15"/>
  <c r="AZ102" i="15" s="1"/>
  <c r="F102" i="15"/>
  <c r="AX102" i="15" s="1"/>
  <c r="AW101" i="15"/>
  <c r="AT101" i="15"/>
  <c r="AS101" i="15"/>
  <c r="AR101" i="15"/>
  <c r="AQ101" i="15"/>
  <c r="AP101" i="15"/>
  <c r="AO101" i="15"/>
  <c r="AN101" i="15"/>
  <c r="AM101" i="15"/>
  <c r="AL101" i="15"/>
  <c r="AJ101" i="15"/>
  <c r="AI101" i="15"/>
  <c r="AB101" i="15"/>
  <c r="AA101" i="15"/>
  <c r="Z101" i="15"/>
  <c r="Y101" i="15"/>
  <c r="X101" i="15"/>
  <c r="W101" i="15"/>
  <c r="V101" i="15"/>
  <c r="U101" i="15"/>
  <c r="T101" i="15"/>
  <c r="M101" i="15"/>
  <c r="L101" i="15"/>
  <c r="K101" i="15"/>
  <c r="J101" i="15"/>
  <c r="BB101" i="15" s="1"/>
  <c r="I101" i="15"/>
  <c r="BA101" i="15" s="1"/>
  <c r="H101" i="15"/>
  <c r="AZ101" i="15" s="1"/>
  <c r="F101" i="15"/>
  <c r="AX101" i="15" s="1"/>
  <c r="AW100" i="15"/>
  <c r="AT100" i="15"/>
  <c r="AS100" i="15"/>
  <c r="AR100" i="15"/>
  <c r="AQ100" i="15"/>
  <c r="AP100" i="15"/>
  <c r="AO100" i="15"/>
  <c r="AN100" i="15"/>
  <c r="AM100" i="15"/>
  <c r="AL100" i="15"/>
  <c r="AJ100" i="15"/>
  <c r="AI100" i="15"/>
  <c r="AB100" i="15"/>
  <c r="AA100" i="15"/>
  <c r="Z100" i="15"/>
  <c r="Y100" i="15"/>
  <c r="X100" i="15"/>
  <c r="W100" i="15"/>
  <c r="V100" i="15"/>
  <c r="U100" i="15"/>
  <c r="T100" i="15"/>
  <c r="M100" i="15"/>
  <c r="L100" i="15"/>
  <c r="K100" i="15"/>
  <c r="J100" i="15"/>
  <c r="BB100" i="15" s="1"/>
  <c r="I100" i="15"/>
  <c r="BA100" i="15" s="1"/>
  <c r="H100" i="15"/>
  <c r="AZ100" i="15" s="1"/>
  <c r="F100" i="15"/>
  <c r="AX100" i="15" s="1"/>
  <c r="AW99" i="15"/>
  <c r="AT99" i="15"/>
  <c r="AS99" i="15"/>
  <c r="AR99" i="15"/>
  <c r="AQ99" i="15"/>
  <c r="AP99" i="15"/>
  <c r="AO99" i="15"/>
  <c r="AN99" i="15"/>
  <c r="AM99" i="15"/>
  <c r="AL99" i="15"/>
  <c r="AJ99" i="15"/>
  <c r="AI99" i="15"/>
  <c r="AB99" i="15"/>
  <c r="AA99" i="15"/>
  <c r="Z99" i="15"/>
  <c r="Y99" i="15"/>
  <c r="X99" i="15"/>
  <c r="W99" i="15"/>
  <c r="V99" i="15"/>
  <c r="U99" i="15"/>
  <c r="T99" i="15"/>
  <c r="M99" i="15"/>
  <c r="L99" i="15"/>
  <c r="K99" i="15"/>
  <c r="J99" i="15"/>
  <c r="BB99" i="15" s="1"/>
  <c r="I99" i="15"/>
  <c r="BA99" i="15" s="1"/>
  <c r="H99" i="15"/>
  <c r="AZ99" i="15" s="1"/>
  <c r="F99" i="15"/>
  <c r="AX99" i="15" s="1"/>
  <c r="AW98" i="15"/>
  <c r="AT98" i="15"/>
  <c r="AS98" i="15"/>
  <c r="AR98" i="15"/>
  <c r="AQ98" i="15"/>
  <c r="AP98" i="15"/>
  <c r="AO98" i="15"/>
  <c r="AN98" i="15"/>
  <c r="AM98" i="15"/>
  <c r="AL98" i="15"/>
  <c r="AJ98" i="15"/>
  <c r="AI98" i="15"/>
  <c r="AB98" i="15"/>
  <c r="AA98" i="15"/>
  <c r="Z98" i="15"/>
  <c r="Y98" i="15"/>
  <c r="X98" i="15"/>
  <c r="W98" i="15"/>
  <c r="V98" i="15"/>
  <c r="U98" i="15"/>
  <c r="T98" i="15"/>
  <c r="M98" i="15"/>
  <c r="L98" i="15"/>
  <c r="K98" i="15"/>
  <c r="J98" i="15"/>
  <c r="BB98" i="15" s="1"/>
  <c r="I98" i="15"/>
  <c r="BA98" i="15" s="1"/>
  <c r="H98" i="15"/>
  <c r="AZ98" i="15" s="1"/>
  <c r="F98" i="15"/>
  <c r="AX98" i="15" s="1"/>
  <c r="AW97" i="15"/>
  <c r="AT97" i="15"/>
  <c r="AS97" i="15"/>
  <c r="AR97" i="15"/>
  <c r="AQ97" i="15"/>
  <c r="AP97" i="15"/>
  <c r="AO97" i="15"/>
  <c r="AN97" i="15"/>
  <c r="AM97" i="15"/>
  <c r="AL97" i="15"/>
  <c r="AJ97" i="15"/>
  <c r="AI97" i="15"/>
  <c r="AB97" i="15"/>
  <c r="AA97" i="15"/>
  <c r="Z97" i="15"/>
  <c r="Y97" i="15"/>
  <c r="X97" i="15"/>
  <c r="W97" i="15"/>
  <c r="V97" i="15"/>
  <c r="U97" i="15"/>
  <c r="T97" i="15"/>
  <c r="M97" i="15"/>
  <c r="L97" i="15"/>
  <c r="K97" i="15"/>
  <c r="J97" i="15"/>
  <c r="BB97" i="15" s="1"/>
  <c r="I97" i="15"/>
  <c r="BA97" i="15" s="1"/>
  <c r="H97" i="15"/>
  <c r="AZ97" i="15" s="1"/>
  <c r="F97" i="15"/>
  <c r="AX97" i="15" s="1"/>
  <c r="AW96" i="15"/>
  <c r="AT96" i="15"/>
  <c r="AS96" i="15"/>
  <c r="AR96" i="15"/>
  <c r="AQ96" i="15"/>
  <c r="AP96" i="15"/>
  <c r="AO96" i="15"/>
  <c r="AN96" i="15"/>
  <c r="AM96" i="15"/>
  <c r="AL96" i="15"/>
  <c r="AJ96" i="15"/>
  <c r="AI96" i="15"/>
  <c r="AB96" i="15"/>
  <c r="AA96" i="15"/>
  <c r="Z96" i="15"/>
  <c r="Y96" i="15"/>
  <c r="X96" i="15"/>
  <c r="W96" i="15"/>
  <c r="V96" i="15"/>
  <c r="U96" i="15"/>
  <c r="T96" i="15"/>
  <c r="M96" i="15"/>
  <c r="L96" i="15"/>
  <c r="K96" i="15"/>
  <c r="J96" i="15"/>
  <c r="BB96" i="15" s="1"/>
  <c r="I96" i="15"/>
  <c r="BA96" i="15" s="1"/>
  <c r="H96" i="15"/>
  <c r="AZ96" i="15" s="1"/>
  <c r="F96" i="15"/>
  <c r="AX96" i="15" s="1"/>
  <c r="AW95" i="15"/>
  <c r="AT95" i="15"/>
  <c r="AS95" i="15"/>
  <c r="AR95" i="15"/>
  <c r="AQ95" i="15"/>
  <c r="AP95" i="15"/>
  <c r="AO95" i="15"/>
  <c r="AN95" i="15"/>
  <c r="AM95" i="15"/>
  <c r="AL95" i="15"/>
  <c r="AJ95" i="15"/>
  <c r="AI95" i="15"/>
  <c r="AB95" i="15"/>
  <c r="AA95" i="15"/>
  <c r="Z95" i="15"/>
  <c r="Y95" i="15"/>
  <c r="X95" i="15"/>
  <c r="W95" i="15"/>
  <c r="V95" i="15"/>
  <c r="U95" i="15"/>
  <c r="T95" i="15"/>
  <c r="M95" i="15"/>
  <c r="L95" i="15"/>
  <c r="K95" i="15"/>
  <c r="J95" i="15"/>
  <c r="BB95" i="15" s="1"/>
  <c r="I95" i="15"/>
  <c r="BA95" i="15" s="1"/>
  <c r="H95" i="15"/>
  <c r="AZ95" i="15" s="1"/>
  <c r="F95" i="15"/>
  <c r="AX95" i="15" s="1"/>
  <c r="AW94" i="15"/>
  <c r="AT94" i="15"/>
  <c r="AS94" i="15"/>
  <c r="AR94" i="15"/>
  <c r="AQ94" i="15"/>
  <c r="AP94" i="15"/>
  <c r="AO94" i="15"/>
  <c r="AN94" i="15"/>
  <c r="AM94" i="15"/>
  <c r="AL94" i="15"/>
  <c r="AJ94" i="15"/>
  <c r="AI94" i="15"/>
  <c r="AB94" i="15"/>
  <c r="AA94" i="15"/>
  <c r="Z94" i="15"/>
  <c r="Y94" i="15"/>
  <c r="X94" i="15"/>
  <c r="W94" i="15"/>
  <c r="V94" i="15"/>
  <c r="U94" i="15"/>
  <c r="T94" i="15"/>
  <c r="M94" i="15"/>
  <c r="L94" i="15"/>
  <c r="K94" i="15"/>
  <c r="J94" i="15"/>
  <c r="BB94" i="15" s="1"/>
  <c r="I94" i="15"/>
  <c r="BA94" i="15" s="1"/>
  <c r="H94" i="15"/>
  <c r="AZ94" i="15" s="1"/>
  <c r="F94" i="15"/>
  <c r="AX94" i="15" s="1"/>
  <c r="AW93" i="15"/>
  <c r="AT93" i="15"/>
  <c r="AS93" i="15"/>
  <c r="AR93" i="15"/>
  <c r="AQ93" i="15"/>
  <c r="AP93" i="15"/>
  <c r="AO93" i="15"/>
  <c r="AN93" i="15"/>
  <c r="AM93" i="15"/>
  <c r="AL93" i="15"/>
  <c r="AJ93" i="15"/>
  <c r="AI93" i="15"/>
  <c r="AB93" i="15"/>
  <c r="AA93" i="15"/>
  <c r="Z93" i="15"/>
  <c r="Y93" i="15"/>
  <c r="X93" i="15"/>
  <c r="W93" i="15"/>
  <c r="V93" i="15"/>
  <c r="U93" i="15"/>
  <c r="T93" i="15"/>
  <c r="M93" i="15"/>
  <c r="L93" i="15"/>
  <c r="K93" i="15"/>
  <c r="J93" i="15"/>
  <c r="BB93" i="15" s="1"/>
  <c r="I93" i="15"/>
  <c r="BA93" i="15" s="1"/>
  <c r="H93" i="15"/>
  <c r="AZ93" i="15" s="1"/>
  <c r="F93" i="15"/>
  <c r="AX93" i="15" s="1"/>
  <c r="AW92" i="15"/>
  <c r="AT92" i="15"/>
  <c r="AS92" i="15"/>
  <c r="AR92" i="15"/>
  <c r="AQ92" i="15"/>
  <c r="AP92" i="15"/>
  <c r="AO92" i="15"/>
  <c r="AN92" i="15"/>
  <c r="AM92" i="15"/>
  <c r="AL92" i="15"/>
  <c r="AJ92" i="15"/>
  <c r="AI92" i="15"/>
  <c r="AB92" i="15"/>
  <c r="AA92" i="15"/>
  <c r="Z92" i="15"/>
  <c r="Y92" i="15"/>
  <c r="X92" i="15"/>
  <c r="W92" i="15"/>
  <c r="V92" i="15"/>
  <c r="U92" i="15"/>
  <c r="T92" i="15"/>
  <c r="M92" i="15"/>
  <c r="L92" i="15"/>
  <c r="K92" i="15"/>
  <c r="J92" i="15"/>
  <c r="BB92" i="15" s="1"/>
  <c r="I92" i="15"/>
  <c r="BA92" i="15" s="1"/>
  <c r="H92" i="15"/>
  <c r="AZ92" i="15" s="1"/>
  <c r="F92" i="15"/>
  <c r="AX92" i="15" s="1"/>
  <c r="AW91" i="15"/>
  <c r="AT91" i="15"/>
  <c r="AS91" i="15"/>
  <c r="AR91" i="15"/>
  <c r="AQ91" i="15"/>
  <c r="AP91" i="15"/>
  <c r="AO91" i="15"/>
  <c r="AN91" i="15"/>
  <c r="AM91" i="15"/>
  <c r="AL91" i="15"/>
  <c r="AJ91" i="15"/>
  <c r="AI91" i="15"/>
  <c r="AB91" i="15"/>
  <c r="AA91" i="15"/>
  <c r="Z91" i="15"/>
  <c r="Y91" i="15"/>
  <c r="X91" i="15"/>
  <c r="W91" i="15"/>
  <c r="V91" i="15"/>
  <c r="U91" i="15"/>
  <c r="T91" i="15"/>
  <c r="M91" i="15"/>
  <c r="L91" i="15"/>
  <c r="K91" i="15"/>
  <c r="J91" i="15"/>
  <c r="BB91" i="15" s="1"/>
  <c r="I91" i="15"/>
  <c r="BA91" i="15" s="1"/>
  <c r="H91" i="15"/>
  <c r="AZ91" i="15" s="1"/>
  <c r="F91" i="15"/>
  <c r="AX91" i="15" s="1"/>
  <c r="AW90" i="15"/>
  <c r="AT90" i="15"/>
  <c r="AS90" i="15"/>
  <c r="AR90" i="15"/>
  <c r="AQ90" i="15"/>
  <c r="AP90" i="15"/>
  <c r="AO90" i="15"/>
  <c r="AN90" i="15"/>
  <c r="AM90" i="15"/>
  <c r="AL90" i="15"/>
  <c r="AJ90" i="15"/>
  <c r="AI90" i="15"/>
  <c r="AB90" i="15"/>
  <c r="AA90" i="15"/>
  <c r="Z90" i="15"/>
  <c r="Y90" i="15"/>
  <c r="X90" i="15"/>
  <c r="W90" i="15"/>
  <c r="V90" i="15"/>
  <c r="U90" i="15"/>
  <c r="T90" i="15"/>
  <c r="M90" i="15"/>
  <c r="L90" i="15"/>
  <c r="K90" i="15"/>
  <c r="J90" i="15"/>
  <c r="BB90" i="15" s="1"/>
  <c r="I90" i="15"/>
  <c r="BA90" i="15" s="1"/>
  <c r="H90" i="15"/>
  <c r="AZ90" i="15" s="1"/>
  <c r="F90" i="15"/>
  <c r="AX90" i="15" s="1"/>
  <c r="AW89" i="15"/>
  <c r="AT89" i="15"/>
  <c r="AS89" i="15"/>
  <c r="AR89" i="15"/>
  <c r="AQ89" i="15"/>
  <c r="AP89" i="15"/>
  <c r="AO89" i="15"/>
  <c r="AN89" i="15"/>
  <c r="AM89" i="15"/>
  <c r="AL89" i="15"/>
  <c r="AJ89" i="15"/>
  <c r="AI89" i="15"/>
  <c r="AB89" i="15"/>
  <c r="AA89" i="15"/>
  <c r="Z89" i="15"/>
  <c r="Y89" i="15"/>
  <c r="X89" i="15"/>
  <c r="W89" i="15"/>
  <c r="V89" i="15"/>
  <c r="U89" i="15"/>
  <c r="T89" i="15"/>
  <c r="M89" i="15"/>
  <c r="L89" i="15"/>
  <c r="K89" i="15"/>
  <c r="J89" i="15"/>
  <c r="BB89" i="15" s="1"/>
  <c r="I89" i="15"/>
  <c r="BA89" i="15" s="1"/>
  <c r="H89" i="15"/>
  <c r="AZ89" i="15" s="1"/>
  <c r="F89" i="15"/>
  <c r="AX89" i="15" s="1"/>
  <c r="AW88" i="15"/>
  <c r="AT88" i="15"/>
  <c r="AS88" i="15"/>
  <c r="AR88" i="15"/>
  <c r="AQ88" i="15"/>
  <c r="AP88" i="15"/>
  <c r="AO88" i="15"/>
  <c r="AN88" i="15"/>
  <c r="AM88" i="15"/>
  <c r="AL88" i="15"/>
  <c r="AJ88" i="15"/>
  <c r="AI88" i="15"/>
  <c r="AB88" i="15"/>
  <c r="AA88" i="15"/>
  <c r="Z88" i="15"/>
  <c r="Y88" i="15"/>
  <c r="X88" i="15"/>
  <c r="W88" i="15"/>
  <c r="V88" i="15"/>
  <c r="U88" i="15"/>
  <c r="T88" i="15"/>
  <c r="M88" i="15"/>
  <c r="L88" i="15"/>
  <c r="K88" i="15"/>
  <c r="J88" i="15"/>
  <c r="BB88" i="15" s="1"/>
  <c r="I88" i="15"/>
  <c r="BA88" i="15" s="1"/>
  <c r="H88" i="15"/>
  <c r="AZ88" i="15" s="1"/>
  <c r="F88" i="15"/>
  <c r="AX88" i="15" s="1"/>
  <c r="AW87" i="15"/>
  <c r="AT87" i="15"/>
  <c r="AS87" i="15"/>
  <c r="AR87" i="15"/>
  <c r="AQ87" i="15"/>
  <c r="AP87" i="15"/>
  <c r="AO87" i="15"/>
  <c r="AN87" i="15"/>
  <c r="AM87" i="15"/>
  <c r="AL87" i="15"/>
  <c r="AJ87" i="15"/>
  <c r="AI87" i="15"/>
  <c r="AB87" i="15"/>
  <c r="AA87" i="15"/>
  <c r="Z87" i="15"/>
  <c r="Y87" i="15"/>
  <c r="X87" i="15"/>
  <c r="W87" i="15"/>
  <c r="V87" i="15"/>
  <c r="U87" i="15"/>
  <c r="T87" i="15"/>
  <c r="M87" i="15"/>
  <c r="L87" i="15"/>
  <c r="K87" i="15"/>
  <c r="J87" i="15"/>
  <c r="BB87" i="15" s="1"/>
  <c r="I87" i="15"/>
  <c r="BA87" i="15" s="1"/>
  <c r="H87" i="15"/>
  <c r="AZ87" i="15" s="1"/>
  <c r="F87" i="15"/>
  <c r="AX87" i="15" s="1"/>
  <c r="AW86" i="15"/>
  <c r="AT86" i="15"/>
  <c r="AS86" i="15"/>
  <c r="AR86" i="15"/>
  <c r="AQ86" i="15"/>
  <c r="AP86" i="15"/>
  <c r="AO86" i="15"/>
  <c r="AN86" i="15"/>
  <c r="AM86" i="15"/>
  <c r="AL86" i="15"/>
  <c r="AJ86" i="15"/>
  <c r="AI86" i="15"/>
  <c r="AB86" i="15"/>
  <c r="AA86" i="15"/>
  <c r="Z86" i="15"/>
  <c r="Y86" i="15"/>
  <c r="X86" i="15"/>
  <c r="W86" i="15"/>
  <c r="V86" i="15"/>
  <c r="U86" i="15"/>
  <c r="T86" i="15"/>
  <c r="M86" i="15"/>
  <c r="L86" i="15"/>
  <c r="K86" i="15"/>
  <c r="J86" i="15"/>
  <c r="BB86" i="15" s="1"/>
  <c r="I86" i="15"/>
  <c r="BA86" i="15" s="1"/>
  <c r="H86" i="15"/>
  <c r="AZ86" i="15" s="1"/>
  <c r="F86" i="15"/>
  <c r="AX86" i="15" s="1"/>
  <c r="AW85" i="15"/>
  <c r="AT85" i="15"/>
  <c r="AS85" i="15"/>
  <c r="AR85" i="15"/>
  <c r="AQ85" i="15"/>
  <c r="AP85" i="15"/>
  <c r="AO85" i="15"/>
  <c r="AN85" i="15"/>
  <c r="AM85" i="15"/>
  <c r="AL85" i="15"/>
  <c r="AJ85" i="15"/>
  <c r="AI85" i="15"/>
  <c r="AB85" i="15"/>
  <c r="AA85" i="15"/>
  <c r="Z85" i="15"/>
  <c r="Y85" i="15"/>
  <c r="X85" i="15"/>
  <c r="W85" i="15"/>
  <c r="V85" i="15"/>
  <c r="U85" i="15"/>
  <c r="T85" i="15"/>
  <c r="M85" i="15"/>
  <c r="L85" i="15"/>
  <c r="K85" i="15"/>
  <c r="J85" i="15"/>
  <c r="BB85" i="15" s="1"/>
  <c r="I85" i="15"/>
  <c r="BA85" i="15" s="1"/>
  <c r="H85" i="15"/>
  <c r="AZ85" i="15" s="1"/>
  <c r="F85" i="15"/>
  <c r="AX85" i="15" s="1"/>
  <c r="AW84" i="15"/>
  <c r="AT84" i="15"/>
  <c r="AS84" i="15"/>
  <c r="AR84" i="15"/>
  <c r="AQ84" i="15"/>
  <c r="AP84" i="15"/>
  <c r="AO84" i="15"/>
  <c r="AN84" i="15"/>
  <c r="AM84" i="15"/>
  <c r="AL84" i="15"/>
  <c r="AJ84" i="15"/>
  <c r="AI84" i="15"/>
  <c r="AB84" i="15"/>
  <c r="AA84" i="15"/>
  <c r="Z84" i="15"/>
  <c r="Y84" i="15"/>
  <c r="X84" i="15"/>
  <c r="W84" i="15"/>
  <c r="V84" i="15"/>
  <c r="U84" i="15"/>
  <c r="T84" i="15"/>
  <c r="M84" i="15"/>
  <c r="L84" i="15"/>
  <c r="K84" i="15"/>
  <c r="J84" i="15"/>
  <c r="BB84" i="15" s="1"/>
  <c r="I84" i="15"/>
  <c r="BA84" i="15" s="1"/>
  <c r="H84" i="15"/>
  <c r="AZ84" i="15" s="1"/>
  <c r="F84" i="15"/>
  <c r="AX84" i="15" s="1"/>
  <c r="AW83" i="15"/>
  <c r="AT83" i="15"/>
  <c r="AS83" i="15"/>
  <c r="AR83" i="15"/>
  <c r="AQ83" i="15"/>
  <c r="AP83" i="15"/>
  <c r="AO83" i="15"/>
  <c r="AN83" i="15"/>
  <c r="AM83" i="15"/>
  <c r="AL83" i="15"/>
  <c r="AJ83" i="15"/>
  <c r="AI83" i="15"/>
  <c r="AB83" i="15"/>
  <c r="AA83" i="15"/>
  <c r="Z83" i="15"/>
  <c r="Y83" i="15"/>
  <c r="X83" i="15"/>
  <c r="W83" i="15"/>
  <c r="V83" i="15"/>
  <c r="U83" i="15"/>
  <c r="T83" i="15"/>
  <c r="M83" i="15"/>
  <c r="L83" i="15"/>
  <c r="K83" i="15"/>
  <c r="J83" i="15"/>
  <c r="BB83" i="15" s="1"/>
  <c r="I83" i="15"/>
  <c r="BA83" i="15" s="1"/>
  <c r="H83" i="15"/>
  <c r="AZ83" i="15" s="1"/>
  <c r="F83" i="15"/>
  <c r="AX83" i="15" s="1"/>
  <c r="AW82" i="15"/>
  <c r="AT82" i="15"/>
  <c r="AS82" i="15"/>
  <c r="AR82" i="15"/>
  <c r="AQ82" i="15"/>
  <c r="AP82" i="15"/>
  <c r="AO82" i="15"/>
  <c r="AN82" i="15"/>
  <c r="AM82" i="15"/>
  <c r="AL82" i="15"/>
  <c r="AJ82" i="15"/>
  <c r="AI82" i="15"/>
  <c r="AB82" i="15"/>
  <c r="AA82" i="15"/>
  <c r="Z82" i="15"/>
  <c r="Y82" i="15"/>
  <c r="X82" i="15"/>
  <c r="W82" i="15"/>
  <c r="V82" i="15"/>
  <c r="U82" i="15"/>
  <c r="T82" i="15"/>
  <c r="M82" i="15"/>
  <c r="L82" i="15"/>
  <c r="K82" i="15"/>
  <c r="J82" i="15"/>
  <c r="BB82" i="15" s="1"/>
  <c r="I82" i="15"/>
  <c r="BA82" i="15" s="1"/>
  <c r="H82" i="15"/>
  <c r="AZ82" i="15" s="1"/>
  <c r="F82" i="15"/>
  <c r="AX82" i="15" s="1"/>
  <c r="AW81" i="15"/>
  <c r="AT81" i="15"/>
  <c r="AS81" i="15"/>
  <c r="AR81" i="15"/>
  <c r="AQ81" i="15"/>
  <c r="AP81" i="15"/>
  <c r="AO81" i="15"/>
  <c r="AN81" i="15"/>
  <c r="AM81" i="15"/>
  <c r="AL81" i="15"/>
  <c r="AJ81" i="15"/>
  <c r="AI81" i="15"/>
  <c r="AB81" i="15"/>
  <c r="AA81" i="15"/>
  <c r="Z81" i="15"/>
  <c r="Y81" i="15"/>
  <c r="X81" i="15"/>
  <c r="W81" i="15"/>
  <c r="V81" i="15"/>
  <c r="U81" i="15"/>
  <c r="T81" i="15"/>
  <c r="M81" i="15"/>
  <c r="L81" i="15"/>
  <c r="K81" i="15"/>
  <c r="J81" i="15"/>
  <c r="BB81" i="15" s="1"/>
  <c r="I81" i="15"/>
  <c r="BA81" i="15" s="1"/>
  <c r="H81" i="15"/>
  <c r="AZ81" i="15" s="1"/>
  <c r="F81" i="15"/>
  <c r="AX81" i="15" s="1"/>
  <c r="AW80" i="15"/>
  <c r="AT80" i="15"/>
  <c r="AS80" i="15"/>
  <c r="AR80" i="15"/>
  <c r="AQ80" i="15"/>
  <c r="AP80" i="15"/>
  <c r="AO80" i="15"/>
  <c r="AN80" i="15"/>
  <c r="AM80" i="15"/>
  <c r="AL80" i="15"/>
  <c r="AJ80" i="15"/>
  <c r="AI80" i="15"/>
  <c r="AB80" i="15"/>
  <c r="AA80" i="15"/>
  <c r="Z80" i="15"/>
  <c r="Y80" i="15"/>
  <c r="X80" i="15"/>
  <c r="W80" i="15"/>
  <c r="V80" i="15"/>
  <c r="U80" i="15"/>
  <c r="T80" i="15"/>
  <c r="M80" i="15"/>
  <c r="L80" i="15"/>
  <c r="K80" i="15"/>
  <c r="J80" i="15"/>
  <c r="BB80" i="15" s="1"/>
  <c r="I80" i="15"/>
  <c r="BA80" i="15" s="1"/>
  <c r="H80" i="15"/>
  <c r="AZ80" i="15" s="1"/>
  <c r="F80" i="15"/>
  <c r="AX80" i="15" s="1"/>
  <c r="AW79" i="15"/>
  <c r="AT79" i="15"/>
  <c r="AS79" i="15"/>
  <c r="AR79" i="15"/>
  <c r="AQ79" i="15"/>
  <c r="AP79" i="15"/>
  <c r="AO79" i="15"/>
  <c r="AN79" i="15"/>
  <c r="AM79" i="15"/>
  <c r="AL79" i="15"/>
  <c r="AJ79" i="15"/>
  <c r="AI79" i="15"/>
  <c r="AB79" i="15"/>
  <c r="AA79" i="15"/>
  <c r="Z79" i="15"/>
  <c r="Y79" i="15"/>
  <c r="X79" i="15"/>
  <c r="W79" i="15"/>
  <c r="V79" i="15"/>
  <c r="U79" i="15"/>
  <c r="T79" i="15"/>
  <c r="M79" i="15"/>
  <c r="L79" i="15"/>
  <c r="K79" i="15"/>
  <c r="J79" i="15"/>
  <c r="BB79" i="15" s="1"/>
  <c r="I79" i="15"/>
  <c r="BA79" i="15" s="1"/>
  <c r="H79" i="15"/>
  <c r="AZ79" i="15" s="1"/>
  <c r="F79" i="15"/>
  <c r="AX79" i="15" s="1"/>
  <c r="AW78" i="15"/>
  <c r="AT78" i="15"/>
  <c r="AS78" i="15"/>
  <c r="AR78" i="15"/>
  <c r="AQ78" i="15"/>
  <c r="AP78" i="15"/>
  <c r="AO78" i="15"/>
  <c r="AN78" i="15"/>
  <c r="AM78" i="15"/>
  <c r="AL78" i="15"/>
  <c r="AJ78" i="15"/>
  <c r="AI78" i="15"/>
  <c r="AB78" i="15"/>
  <c r="AA78" i="15"/>
  <c r="Z78" i="15"/>
  <c r="Y78" i="15"/>
  <c r="X78" i="15"/>
  <c r="W78" i="15"/>
  <c r="V78" i="15"/>
  <c r="U78" i="15"/>
  <c r="T78" i="15"/>
  <c r="M78" i="15"/>
  <c r="L78" i="15"/>
  <c r="K78" i="15"/>
  <c r="J78" i="15"/>
  <c r="BB78" i="15" s="1"/>
  <c r="I78" i="15"/>
  <c r="BA78" i="15" s="1"/>
  <c r="H78" i="15"/>
  <c r="AZ78" i="15" s="1"/>
  <c r="F78" i="15"/>
  <c r="AX78" i="15" s="1"/>
  <c r="AW77" i="15"/>
  <c r="AT77" i="15"/>
  <c r="AS77" i="15"/>
  <c r="AR77" i="15"/>
  <c r="AQ77" i="15"/>
  <c r="AP77" i="15"/>
  <c r="AO77" i="15"/>
  <c r="AN77" i="15"/>
  <c r="AM77" i="15"/>
  <c r="AL77" i="15"/>
  <c r="AJ77" i="15"/>
  <c r="AI77" i="15"/>
  <c r="AB77" i="15"/>
  <c r="AA77" i="15"/>
  <c r="Z77" i="15"/>
  <c r="Y77" i="15"/>
  <c r="X77" i="15"/>
  <c r="W77" i="15"/>
  <c r="V77" i="15"/>
  <c r="U77" i="15"/>
  <c r="T77" i="15"/>
  <c r="M77" i="15"/>
  <c r="L77" i="15"/>
  <c r="K77" i="15"/>
  <c r="J77" i="15"/>
  <c r="BB77" i="15" s="1"/>
  <c r="I77" i="15"/>
  <c r="BA77" i="15" s="1"/>
  <c r="H77" i="15"/>
  <c r="AZ77" i="15" s="1"/>
  <c r="F77" i="15"/>
  <c r="AX77" i="15" s="1"/>
  <c r="AW76" i="15"/>
  <c r="AT76" i="15"/>
  <c r="AS76" i="15"/>
  <c r="AR76" i="15"/>
  <c r="AQ76" i="15"/>
  <c r="AP76" i="15"/>
  <c r="AO76" i="15"/>
  <c r="AN76" i="15"/>
  <c r="AM76" i="15"/>
  <c r="AL76" i="15"/>
  <c r="AJ76" i="15"/>
  <c r="AI76" i="15"/>
  <c r="AB76" i="15"/>
  <c r="AA76" i="15"/>
  <c r="Z76" i="15"/>
  <c r="Y76" i="15"/>
  <c r="X76" i="15"/>
  <c r="W76" i="15"/>
  <c r="V76" i="15"/>
  <c r="U76" i="15"/>
  <c r="T76" i="15"/>
  <c r="M76" i="15"/>
  <c r="L76" i="15"/>
  <c r="K76" i="15"/>
  <c r="J76" i="15"/>
  <c r="BB76" i="15" s="1"/>
  <c r="I76" i="15"/>
  <c r="BA76" i="15" s="1"/>
  <c r="H76" i="15"/>
  <c r="AZ76" i="15" s="1"/>
  <c r="F76" i="15"/>
  <c r="AX76" i="15" s="1"/>
  <c r="AW75" i="15"/>
  <c r="AT75" i="15"/>
  <c r="AS75" i="15"/>
  <c r="AR75" i="15"/>
  <c r="AQ75" i="15"/>
  <c r="AP75" i="15"/>
  <c r="AO75" i="15"/>
  <c r="AN75" i="15"/>
  <c r="AM75" i="15"/>
  <c r="AL75" i="15"/>
  <c r="AJ75" i="15"/>
  <c r="AI75" i="15"/>
  <c r="AB75" i="15"/>
  <c r="AA75" i="15"/>
  <c r="Z75" i="15"/>
  <c r="Y75" i="15"/>
  <c r="X75" i="15"/>
  <c r="W75" i="15"/>
  <c r="V75" i="15"/>
  <c r="U75" i="15"/>
  <c r="T75" i="15"/>
  <c r="M75" i="15"/>
  <c r="L75" i="15"/>
  <c r="K75" i="15"/>
  <c r="J75" i="15"/>
  <c r="BB75" i="15" s="1"/>
  <c r="I75" i="15"/>
  <c r="BA75" i="15" s="1"/>
  <c r="H75" i="15"/>
  <c r="AZ75" i="15" s="1"/>
  <c r="F75" i="15"/>
  <c r="AX75" i="15" s="1"/>
  <c r="AW74" i="15"/>
  <c r="AT74" i="15"/>
  <c r="AS74" i="15"/>
  <c r="AR74" i="15"/>
  <c r="AQ74" i="15"/>
  <c r="AP74" i="15"/>
  <c r="AO74" i="15"/>
  <c r="AN74" i="15"/>
  <c r="AM74" i="15"/>
  <c r="AL74" i="15"/>
  <c r="AJ74" i="15"/>
  <c r="AI74" i="15"/>
  <c r="AB74" i="15"/>
  <c r="AA74" i="15"/>
  <c r="Z74" i="15"/>
  <c r="Y74" i="15"/>
  <c r="X74" i="15"/>
  <c r="W74" i="15"/>
  <c r="V74" i="15"/>
  <c r="U74" i="15"/>
  <c r="T74" i="15"/>
  <c r="M74" i="15"/>
  <c r="L74" i="15"/>
  <c r="K74" i="15"/>
  <c r="J74" i="15"/>
  <c r="BB74" i="15" s="1"/>
  <c r="I74" i="15"/>
  <c r="BA74" i="15" s="1"/>
  <c r="H74" i="15"/>
  <c r="AZ74" i="15" s="1"/>
  <c r="F74" i="15"/>
  <c r="AX74" i="15" s="1"/>
  <c r="AW73" i="15"/>
  <c r="AT73" i="15"/>
  <c r="AS73" i="15"/>
  <c r="AR73" i="15"/>
  <c r="AQ73" i="15"/>
  <c r="AP73" i="15"/>
  <c r="AO73" i="15"/>
  <c r="AN73" i="15"/>
  <c r="AM73" i="15"/>
  <c r="AL73" i="15"/>
  <c r="AJ73" i="15"/>
  <c r="AI73" i="15"/>
  <c r="AB73" i="15"/>
  <c r="AA73" i="15"/>
  <c r="Z73" i="15"/>
  <c r="Y73" i="15"/>
  <c r="X73" i="15"/>
  <c r="W73" i="15"/>
  <c r="V73" i="15"/>
  <c r="U73" i="15"/>
  <c r="T73" i="15"/>
  <c r="M73" i="15"/>
  <c r="L73" i="15"/>
  <c r="K73" i="15"/>
  <c r="J73" i="15"/>
  <c r="BB73" i="15" s="1"/>
  <c r="I73" i="15"/>
  <c r="BA73" i="15" s="1"/>
  <c r="H73" i="15"/>
  <c r="AZ73" i="15" s="1"/>
  <c r="F73" i="15"/>
  <c r="AX73" i="15" s="1"/>
  <c r="AW72" i="15"/>
  <c r="AT72" i="15"/>
  <c r="AS72" i="15"/>
  <c r="AR72" i="15"/>
  <c r="AQ72" i="15"/>
  <c r="AP72" i="15"/>
  <c r="AO72" i="15"/>
  <c r="AN72" i="15"/>
  <c r="AM72" i="15"/>
  <c r="AL72" i="15"/>
  <c r="AJ72" i="15"/>
  <c r="AI72" i="15"/>
  <c r="AB72" i="15"/>
  <c r="AA72" i="15"/>
  <c r="Z72" i="15"/>
  <c r="Y72" i="15"/>
  <c r="X72" i="15"/>
  <c r="W72" i="15"/>
  <c r="V72" i="15"/>
  <c r="U72" i="15"/>
  <c r="T72" i="15"/>
  <c r="M72" i="15"/>
  <c r="L72" i="15"/>
  <c r="K72" i="15"/>
  <c r="J72" i="15"/>
  <c r="BB72" i="15" s="1"/>
  <c r="I72" i="15"/>
  <c r="BA72" i="15" s="1"/>
  <c r="H72" i="15"/>
  <c r="AZ72" i="15" s="1"/>
  <c r="F72" i="15"/>
  <c r="AX72" i="15" s="1"/>
  <c r="AW71" i="15"/>
  <c r="AT71" i="15"/>
  <c r="AS71" i="15"/>
  <c r="AR71" i="15"/>
  <c r="AQ71" i="15"/>
  <c r="AP71" i="15"/>
  <c r="AO71" i="15"/>
  <c r="AN71" i="15"/>
  <c r="AM71" i="15"/>
  <c r="AL71" i="15"/>
  <c r="AJ71" i="15"/>
  <c r="AI71" i="15"/>
  <c r="AB71" i="15"/>
  <c r="AA71" i="15"/>
  <c r="Z71" i="15"/>
  <c r="Y71" i="15"/>
  <c r="X71" i="15"/>
  <c r="W71" i="15"/>
  <c r="V71" i="15"/>
  <c r="U71" i="15"/>
  <c r="T71" i="15"/>
  <c r="M71" i="15"/>
  <c r="L71" i="15"/>
  <c r="K71" i="15"/>
  <c r="J71" i="15"/>
  <c r="BB71" i="15" s="1"/>
  <c r="I71" i="15"/>
  <c r="BA71" i="15" s="1"/>
  <c r="H71" i="15"/>
  <c r="AZ71" i="15" s="1"/>
  <c r="F71" i="15"/>
  <c r="AX71" i="15" s="1"/>
  <c r="AW70" i="15"/>
  <c r="AT70" i="15"/>
  <c r="AS70" i="15"/>
  <c r="AR70" i="15"/>
  <c r="AQ70" i="15"/>
  <c r="AP70" i="15"/>
  <c r="AO70" i="15"/>
  <c r="AN70" i="15"/>
  <c r="AM70" i="15"/>
  <c r="AL70" i="15"/>
  <c r="AJ70" i="15"/>
  <c r="AI70" i="15"/>
  <c r="AB70" i="15"/>
  <c r="AA70" i="15"/>
  <c r="Z70" i="15"/>
  <c r="Y70" i="15"/>
  <c r="X70" i="15"/>
  <c r="W70" i="15"/>
  <c r="V70" i="15"/>
  <c r="U70" i="15"/>
  <c r="T70" i="15"/>
  <c r="M70" i="15"/>
  <c r="L70" i="15"/>
  <c r="K70" i="15"/>
  <c r="J70" i="15"/>
  <c r="BB70" i="15" s="1"/>
  <c r="I70" i="15"/>
  <c r="BA70" i="15" s="1"/>
  <c r="H70" i="15"/>
  <c r="AZ70" i="15" s="1"/>
  <c r="F70" i="15"/>
  <c r="AX70" i="15" s="1"/>
  <c r="AW69" i="15"/>
  <c r="AT69" i="15"/>
  <c r="AS69" i="15"/>
  <c r="AR69" i="15"/>
  <c r="AQ69" i="15"/>
  <c r="AP69" i="15"/>
  <c r="AO69" i="15"/>
  <c r="AN69" i="15"/>
  <c r="AM69" i="15"/>
  <c r="AL69" i="15"/>
  <c r="AJ69" i="15"/>
  <c r="AI69" i="15"/>
  <c r="AB69" i="15"/>
  <c r="AA69" i="15"/>
  <c r="Z69" i="15"/>
  <c r="Y69" i="15"/>
  <c r="X69" i="15"/>
  <c r="W69" i="15"/>
  <c r="V69" i="15"/>
  <c r="U69" i="15"/>
  <c r="T69" i="15"/>
  <c r="M69" i="15"/>
  <c r="L69" i="15"/>
  <c r="K69" i="15"/>
  <c r="J69" i="15"/>
  <c r="BB69" i="15" s="1"/>
  <c r="I69" i="15"/>
  <c r="BA69" i="15" s="1"/>
  <c r="H69" i="15"/>
  <c r="AZ69" i="15" s="1"/>
  <c r="F69" i="15"/>
  <c r="AX69" i="15" s="1"/>
  <c r="AW68" i="15"/>
  <c r="AT68" i="15"/>
  <c r="AS68" i="15"/>
  <c r="AR68" i="15"/>
  <c r="AQ68" i="15"/>
  <c r="AP68" i="15"/>
  <c r="AO68" i="15"/>
  <c r="AN68" i="15"/>
  <c r="AM68" i="15"/>
  <c r="AL68" i="15"/>
  <c r="AJ68" i="15"/>
  <c r="AI68" i="15"/>
  <c r="AB68" i="15"/>
  <c r="AA68" i="15"/>
  <c r="Z68" i="15"/>
  <c r="Y68" i="15"/>
  <c r="X68" i="15"/>
  <c r="W68" i="15"/>
  <c r="V68" i="15"/>
  <c r="U68" i="15"/>
  <c r="T68" i="15"/>
  <c r="M68" i="15"/>
  <c r="L68" i="15"/>
  <c r="K68" i="15"/>
  <c r="J68" i="15"/>
  <c r="BB68" i="15" s="1"/>
  <c r="I68" i="15"/>
  <c r="BA68" i="15" s="1"/>
  <c r="H68" i="15"/>
  <c r="AZ68" i="15" s="1"/>
  <c r="F68" i="15"/>
  <c r="AX68" i="15" s="1"/>
  <c r="AW67" i="15"/>
  <c r="AT67" i="15"/>
  <c r="AS67" i="15"/>
  <c r="AR67" i="15"/>
  <c r="AQ67" i="15"/>
  <c r="AP67" i="15"/>
  <c r="AO67" i="15"/>
  <c r="AN67" i="15"/>
  <c r="AM67" i="15"/>
  <c r="AL67" i="15"/>
  <c r="AJ67" i="15"/>
  <c r="AI67" i="15"/>
  <c r="AB67" i="15"/>
  <c r="AA67" i="15"/>
  <c r="Z67" i="15"/>
  <c r="Y67" i="15"/>
  <c r="X67" i="15"/>
  <c r="W67" i="15"/>
  <c r="V67" i="15"/>
  <c r="U67" i="15"/>
  <c r="T67" i="15"/>
  <c r="M67" i="15"/>
  <c r="L67" i="15"/>
  <c r="K67" i="15"/>
  <c r="J67" i="15"/>
  <c r="BB67" i="15" s="1"/>
  <c r="I67" i="15"/>
  <c r="BA67" i="15" s="1"/>
  <c r="H67" i="15"/>
  <c r="AZ67" i="15" s="1"/>
  <c r="F67" i="15"/>
  <c r="AX67" i="15" s="1"/>
  <c r="AW66" i="15"/>
  <c r="AT66" i="15"/>
  <c r="AS66" i="15"/>
  <c r="AR66" i="15"/>
  <c r="AQ66" i="15"/>
  <c r="AP66" i="15"/>
  <c r="AO66" i="15"/>
  <c r="AN66" i="15"/>
  <c r="AM66" i="15"/>
  <c r="AL66" i="15"/>
  <c r="AJ66" i="15"/>
  <c r="AI66" i="15"/>
  <c r="AB66" i="15"/>
  <c r="AA66" i="15"/>
  <c r="Z66" i="15"/>
  <c r="Y66" i="15"/>
  <c r="X66" i="15"/>
  <c r="W66" i="15"/>
  <c r="V66" i="15"/>
  <c r="U66" i="15"/>
  <c r="T66" i="15"/>
  <c r="M66" i="15"/>
  <c r="L66" i="15"/>
  <c r="K66" i="15"/>
  <c r="J66" i="15"/>
  <c r="BB66" i="15" s="1"/>
  <c r="I66" i="15"/>
  <c r="BA66" i="15" s="1"/>
  <c r="H66" i="15"/>
  <c r="AZ66" i="15" s="1"/>
  <c r="F66" i="15"/>
  <c r="AX66" i="15" s="1"/>
  <c r="AW65" i="15"/>
  <c r="AT65" i="15"/>
  <c r="AS65" i="15"/>
  <c r="AR65" i="15"/>
  <c r="AQ65" i="15"/>
  <c r="AP65" i="15"/>
  <c r="AO65" i="15"/>
  <c r="AN65" i="15"/>
  <c r="AM65" i="15"/>
  <c r="AL65" i="15"/>
  <c r="AJ65" i="15"/>
  <c r="AI65" i="15"/>
  <c r="AB65" i="15"/>
  <c r="AA65" i="15"/>
  <c r="Z65" i="15"/>
  <c r="Y65" i="15"/>
  <c r="X65" i="15"/>
  <c r="W65" i="15"/>
  <c r="V65" i="15"/>
  <c r="U65" i="15"/>
  <c r="T65" i="15"/>
  <c r="M65" i="15"/>
  <c r="L65" i="15"/>
  <c r="K65" i="15"/>
  <c r="J65" i="15"/>
  <c r="BB65" i="15" s="1"/>
  <c r="I65" i="15"/>
  <c r="BA65" i="15" s="1"/>
  <c r="H65" i="15"/>
  <c r="AZ65" i="15" s="1"/>
  <c r="F65" i="15"/>
  <c r="AX65" i="15" s="1"/>
  <c r="AW64" i="15"/>
  <c r="AT64" i="15"/>
  <c r="AS64" i="15"/>
  <c r="AR64" i="15"/>
  <c r="AQ64" i="15"/>
  <c r="AP64" i="15"/>
  <c r="AO64" i="15"/>
  <c r="AN64" i="15"/>
  <c r="AM64" i="15"/>
  <c r="AL64" i="15"/>
  <c r="AJ64" i="15"/>
  <c r="AI64" i="15"/>
  <c r="AB64" i="15"/>
  <c r="AA64" i="15"/>
  <c r="Z64" i="15"/>
  <c r="Y64" i="15"/>
  <c r="X64" i="15"/>
  <c r="W64" i="15"/>
  <c r="V64" i="15"/>
  <c r="U64" i="15"/>
  <c r="T64" i="15"/>
  <c r="M64" i="15"/>
  <c r="L64" i="15"/>
  <c r="K64" i="15"/>
  <c r="J64" i="15"/>
  <c r="BB64" i="15" s="1"/>
  <c r="I64" i="15"/>
  <c r="BA64" i="15" s="1"/>
  <c r="H64" i="15"/>
  <c r="AZ64" i="15" s="1"/>
  <c r="F64" i="15"/>
  <c r="AX64" i="15" s="1"/>
  <c r="AW63" i="15"/>
  <c r="AT63" i="15"/>
  <c r="AS63" i="15"/>
  <c r="AR63" i="15"/>
  <c r="AQ63" i="15"/>
  <c r="AP63" i="15"/>
  <c r="AO63" i="15"/>
  <c r="AN63" i="15"/>
  <c r="AM63" i="15"/>
  <c r="AL63" i="15"/>
  <c r="AJ63" i="15"/>
  <c r="AI63" i="15"/>
  <c r="AB63" i="15"/>
  <c r="AA63" i="15"/>
  <c r="Z63" i="15"/>
  <c r="Y63" i="15"/>
  <c r="X63" i="15"/>
  <c r="W63" i="15"/>
  <c r="V63" i="15"/>
  <c r="U63" i="15"/>
  <c r="T63" i="15"/>
  <c r="M63" i="15"/>
  <c r="L63" i="15"/>
  <c r="K63" i="15"/>
  <c r="J63" i="15"/>
  <c r="BB63" i="15" s="1"/>
  <c r="I63" i="15"/>
  <c r="BA63" i="15" s="1"/>
  <c r="H63" i="15"/>
  <c r="AZ63" i="15" s="1"/>
  <c r="F63" i="15"/>
  <c r="AX63" i="15" s="1"/>
  <c r="AW62" i="15"/>
  <c r="AT62" i="15"/>
  <c r="AS62" i="15"/>
  <c r="AR62" i="15"/>
  <c r="AQ62" i="15"/>
  <c r="AP62" i="15"/>
  <c r="AO62" i="15"/>
  <c r="AN62" i="15"/>
  <c r="AM62" i="15"/>
  <c r="AL62" i="15"/>
  <c r="AJ62" i="15"/>
  <c r="AI62" i="15"/>
  <c r="AB62" i="15"/>
  <c r="AA62" i="15"/>
  <c r="Z62" i="15"/>
  <c r="Y62" i="15"/>
  <c r="X62" i="15"/>
  <c r="W62" i="15"/>
  <c r="V62" i="15"/>
  <c r="U62" i="15"/>
  <c r="T62" i="15"/>
  <c r="M62" i="15"/>
  <c r="L62" i="15"/>
  <c r="K62" i="15"/>
  <c r="J62" i="15"/>
  <c r="BB62" i="15" s="1"/>
  <c r="I62" i="15"/>
  <c r="BA62" i="15" s="1"/>
  <c r="H62" i="15"/>
  <c r="AZ62" i="15" s="1"/>
  <c r="F62" i="15"/>
  <c r="AX62" i="15" s="1"/>
  <c r="AW61" i="15"/>
  <c r="AT61" i="15"/>
  <c r="AS61" i="15"/>
  <c r="AR61" i="15"/>
  <c r="AQ61" i="15"/>
  <c r="AP61" i="15"/>
  <c r="AO61" i="15"/>
  <c r="AN61" i="15"/>
  <c r="AM61" i="15"/>
  <c r="AL61" i="15"/>
  <c r="AJ61" i="15"/>
  <c r="AI61" i="15"/>
  <c r="AB61" i="15"/>
  <c r="AA61" i="15"/>
  <c r="Z61" i="15"/>
  <c r="Y61" i="15"/>
  <c r="X61" i="15"/>
  <c r="W61" i="15"/>
  <c r="V61" i="15"/>
  <c r="U61" i="15"/>
  <c r="T61" i="15"/>
  <c r="M61" i="15"/>
  <c r="L61" i="15"/>
  <c r="K61" i="15"/>
  <c r="J61" i="15"/>
  <c r="BB61" i="15" s="1"/>
  <c r="I61" i="15"/>
  <c r="BA61" i="15" s="1"/>
  <c r="H61" i="15"/>
  <c r="AZ61" i="15" s="1"/>
  <c r="F61" i="15"/>
  <c r="AX61" i="15" s="1"/>
  <c r="AW60" i="15"/>
  <c r="AT60" i="15"/>
  <c r="AS60" i="15"/>
  <c r="AR60" i="15"/>
  <c r="AQ60" i="15"/>
  <c r="AP60" i="15"/>
  <c r="AO60" i="15"/>
  <c r="AN60" i="15"/>
  <c r="AM60" i="15"/>
  <c r="AL60" i="15"/>
  <c r="AJ60" i="15"/>
  <c r="AI60" i="15"/>
  <c r="AB60" i="15"/>
  <c r="AA60" i="15"/>
  <c r="Z60" i="15"/>
  <c r="Y60" i="15"/>
  <c r="X60" i="15"/>
  <c r="W60" i="15"/>
  <c r="V60" i="15"/>
  <c r="U60" i="15"/>
  <c r="T60" i="15"/>
  <c r="M60" i="15"/>
  <c r="L60" i="15"/>
  <c r="K60" i="15"/>
  <c r="J60" i="15"/>
  <c r="BB60" i="15" s="1"/>
  <c r="I60" i="15"/>
  <c r="BA60" i="15" s="1"/>
  <c r="H60" i="15"/>
  <c r="AZ60" i="15" s="1"/>
  <c r="F60" i="15"/>
  <c r="AX60" i="15" s="1"/>
  <c r="AW59" i="15"/>
  <c r="AT59" i="15"/>
  <c r="AS59" i="15"/>
  <c r="AR59" i="15"/>
  <c r="AQ59" i="15"/>
  <c r="AP59" i="15"/>
  <c r="AO59" i="15"/>
  <c r="AN59" i="15"/>
  <c r="AM59" i="15"/>
  <c r="AL59" i="15"/>
  <c r="AJ59" i="15"/>
  <c r="AI59" i="15"/>
  <c r="AB59" i="15"/>
  <c r="AA59" i="15"/>
  <c r="Z59" i="15"/>
  <c r="Y59" i="15"/>
  <c r="X59" i="15"/>
  <c r="W59" i="15"/>
  <c r="V59" i="15"/>
  <c r="U59" i="15"/>
  <c r="T59" i="15"/>
  <c r="M59" i="15"/>
  <c r="L59" i="15"/>
  <c r="K59" i="15"/>
  <c r="J59" i="15"/>
  <c r="BB59" i="15" s="1"/>
  <c r="I59" i="15"/>
  <c r="BA59" i="15" s="1"/>
  <c r="H59" i="15"/>
  <c r="AZ59" i="15" s="1"/>
  <c r="F59" i="15"/>
  <c r="AX59" i="15" s="1"/>
  <c r="AW58" i="15"/>
  <c r="AT58" i="15"/>
  <c r="AS58" i="15"/>
  <c r="AR58" i="15"/>
  <c r="AQ58" i="15"/>
  <c r="AP58" i="15"/>
  <c r="AO58" i="15"/>
  <c r="AN58" i="15"/>
  <c r="AM58" i="15"/>
  <c r="AL58" i="15"/>
  <c r="AJ58" i="15"/>
  <c r="AI58" i="15"/>
  <c r="AB58" i="15"/>
  <c r="AA58" i="15"/>
  <c r="Z58" i="15"/>
  <c r="Y58" i="15"/>
  <c r="X58" i="15"/>
  <c r="W58" i="15"/>
  <c r="V58" i="15"/>
  <c r="U58" i="15"/>
  <c r="T58" i="15"/>
  <c r="M58" i="15"/>
  <c r="L58" i="15"/>
  <c r="K58" i="15"/>
  <c r="J58" i="15"/>
  <c r="BB58" i="15" s="1"/>
  <c r="I58" i="15"/>
  <c r="BA58" i="15" s="1"/>
  <c r="H58" i="15"/>
  <c r="AZ58" i="15" s="1"/>
  <c r="F58" i="15"/>
  <c r="AX58" i="15" s="1"/>
  <c r="AW57" i="15"/>
  <c r="AT57" i="15"/>
  <c r="AS57" i="15"/>
  <c r="AR57" i="15"/>
  <c r="AQ57" i="15"/>
  <c r="AP57" i="15"/>
  <c r="AO57" i="15"/>
  <c r="AN57" i="15"/>
  <c r="AM57" i="15"/>
  <c r="AL57" i="15"/>
  <c r="AJ57" i="15"/>
  <c r="AI57" i="15"/>
  <c r="AB57" i="15"/>
  <c r="AA57" i="15"/>
  <c r="Z57" i="15"/>
  <c r="Y57" i="15"/>
  <c r="X57" i="15"/>
  <c r="W57" i="15"/>
  <c r="V57" i="15"/>
  <c r="U57" i="15"/>
  <c r="T57" i="15"/>
  <c r="M57" i="15"/>
  <c r="L57" i="15"/>
  <c r="K57" i="15"/>
  <c r="J57" i="15"/>
  <c r="BB57" i="15" s="1"/>
  <c r="I57" i="15"/>
  <c r="BA57" i="15" s="1"/>
  <c r="H57" i="15"/>
  <c r="AZ57" i="15" s="1"/>
  <c r="F57" i="15"/>
  <c r="AX57" i="15" s="1"/>
  <c r="AW56" i="15"/>
  <c r="AT56" i="15"/>
  <c r="AS56" i="15"/>
  <c r="AR56" i="15"/>
  <c r="AQ56" i="15"/>
  <c r="AP56" i="15"/>
  <c r="AO56" i="15"/>
  <c r="AN56" i="15"/>
  <c r="AM56" i="15"/>
  <c r="AL56" i="15"/>
  <c r="AJ56" i="15"/>
  <c r="AI56" i="15"/>
  <c r="AB56" i="15"/>
  <c r="AA56" i="15"/>
  <c r="Z56" i="15"/>
  <c r="Y56" i="15"/>
  <c r="X56" i="15"/>
  <c r="W56" i="15"/>
  <c r="V56" i="15"/>
  <c r="U56" i="15"/>
  <c r="T56" i="15"/>
  <c r="M56" i="15"/>
  <c r="L56" i="15"/>
  <c r="K56" i="15"/>
  <c r="J56" i="15"/>
  <c r="BB56" i="15" s="1"/>
  <c r="I56" i="15"/>
  <c r="BA56" i="15" s="1"/>
  <c r="H56" i="15"/>
  <c r="AZ56" i="15" s="1"/>
  <c r="F56" i="15"/>
  <c r="AX56" i="15" s="1"/>
  <c r="AW55" i="15"/>
  <c r="AT55" i="15"/>
  <c r="AS55" i="15"/>
  <c r="AR55" i="15"/>
  <c r="AQ55" i="15"/>
  <c r="AP55" i="15"/>
  <c r="AO55" i="15"/>
  <c r="AN55" i="15"/>
  <c r="AM55" i="15"/>
  <c r="AL55" i="15"/>
  <c r="AJ55" i="15"/>
  <c r="AI55" i="15"/>
  <c r="AB55" i="15"/>
  <c r="AA55" i="15"/>
  <c r="Z55" i="15"/>
  <c r="Y55" i="15"/>
  <c r="X55" i="15"/>
  <c r="W55" i="15"/>
  <c r="V55" i="15"/>
  <c r="U55" i="15"/>
  <c r="T55" i="15"/>
  <c r="M55" i="15"/>
  <c r="L55" i="15"/>
  <c r="K55" i="15"/>
  <c r="J55" i="15"/>
  <c r="BB55" i="15" s="1"/>
  <c r="I55" i="15"/>
  <c r="BA55" i="15" s="1"/>
  <c r="H55" i="15"/>
  <c r="AZ55" i="15" s="1"/>
  <c r="F55" i="15"/>
  <c r="AX55" i="15" s="1"/>
  <c r="AW54" i="15"/>
  <c r="AT54" i="15"/>
  <c r="AS54" i="15"/>
  <c r="AR54" i="15"/>
  <c r="AQ54" i="15"/>
  <c r="AP54" i="15"/>
  <c r="AO54" i="15"/>
  <c r="AN54" i="15"/>
  <c r="AM54" i="15"/>
  <c r="AL54" i="15"/>
  <c r="AJ54" i="15"/>
  <c r="AI54" i="15"/>
  <c r="AB54" i="15"/>
  <c r="AA54" i="15"/>
  <c r="Z54" i="15"/>
  <c r="Y54" i="15"/>
  <c r="X54" i="15"/>
  <c r="W54" i="15"/>
  <c r="V54" i="15"/>
  <c r="U54" i="15"/>
  <c r="T54" i="15"/>
  <c r="M54" i="15"/>
  <c r="L54" i="15"/>
  <c r="K54" i="15"/>
  <c r="J54" i="15"/>
  <c r="BB54" i="15" s="1"/>
  <c r="I54" i="15"/>
  <c r="BA54" i="15" s="1"/>
  <c r="H54" i="15"/>
  <c r="AZ54" i="15" s="1"/>
  <c r="F54" i="15"/>
  <c r="AX54" i="15" s="1"/>
  <c r="AW53" i="15"/>
  <c r="AT53" i="15"/>
  <c r="AS53" i="15"/>
  <c r="AR53" i="15"/>
  <c r="AQ53" i="15"/>
  <c r="AP53" i="15"/>
  <c r="AO53" i="15"/>
  <c r="AN53" i="15"/>
  <c r="AM53" i="15"/>
  <c r="AL53" i="15"/>
  <c r="AJ53" i="15"/>
  <c r="AI53" i="15"/>
  <c r="AB53" i="15"/>
  <c r="AA53" i="15"/>
  <c r="Z53" i="15"/>
  <c r="Y53" i="15"/>
  <c r="X53" i="15"/>
  <c r="W53" i="15"/>
  <c r="V53" i="15"/>
  <c r="U53" i="15"/>
  <c r="T53" i="15"/>
  <c r="M53" i="15"/>
  <c r="L53" i="15"/>
  <c r="K53" i="15"/>
  <c r="J53" i="15"/>
  <c r="BB53" i="15" s="1"/>
  <c r="I53" i="15"/>
  <c r="BA53" i="15" s="1"/>
  <c r="H53" i="15"/>
  <c r="AZ53" i="15" s="1"/>
  <c r="F53" i="15"/>
  <c r="AX53" i="15" s="1"/>
  <c r="AW52" i="15"/>
  <c r="AT52" i="15"/>
  <c r="AS52" i="15"/>
  <c r="AR52" i="15"/>
  <c r="AQ52" i="15"/>
  <c r="AP52" i="15"/>
  <c r="AO52" i="15"/>
  <c r="AN52" i="15"/>
  <c r="AM52" i="15"/>
  <c r="AL52" i="15"/>
  <c r="AJ52" i="15"/>
  <c r="AI52" i="15"/>
  <c r="AB52" i="15"/>
  <c r="AA52" i="15"/>
  <c r="Z52" i="15"/>
  <c r="Y52" i="15"/>
  <c r="X52" i="15"/>
  <c r="W52" i="15"/>
  <c r="V52" i="15"/>
  <c r="U52" i="15"/>
  <c r="T52" i="15"/>
  <c r="M52" i="15"/>
  <c r="L52" i="15"/>
  <c r="K52" i="15"/>
  <c r="J52" i="15"/>
  <c r="BB52" i="15" s="1"/>
  <c r="I52" i="15"/>
  <c r="BA52" i="15" s="1"/>
  <c r="H52" i="15"/>
  <c r="AZ52" i="15" s="1"/>
  <c r="F52" i="15"/>
  <c r="AX52" i="15" s="1"/>
  <c r="AW51" i="15"/>
  <c r="AT51" i="15"/>
  <c r="AS51" i="15"/>
  <c r="AR51" i="15"/>
  <c r="AQ51" i="15"/>
  <c r="AP51" i="15"/>
  <c r="AO51" i="15"/>
  <c r="AN51" i="15"/>
  <c r="AM51" i="15"/>
  <c r="AL51" i="15"/>
  <c r="AJ51" i="15"/>
  <c r="AI51" i="15"/>
  <c r="AB51" i="15"/>
  <c r="AA51" i="15"/>
  <c r="Z51" i="15"/>
  <c r="Y51" i="15"/>
  <c r="X51" i="15"/>
  <c r="W51" i="15"/>
  <c r="V51" i="15"/>
  <c r="U51" i="15"/>
  <c r="T51" i="15"/>
  <c r="M51" i="15"/>
  <c r="L51" i="15"/>
  <c r="K51" i="15"/>
  <c r="J51" i="15"/>
  <c r="BB51" i="15" s="1"/>
  <c r="I51" i="15"/>
  <c r="BA51" i="15" s="1"/>
  <c r="H51" i="15"/>
  <c r="AZ51" i="15" s="1"/>
  <c r="F51" i="15"/>
  <c r="AX51" i="15" s="1"/>
  <c r="AW50" i="15"/>
  <c r="AT50" i="15"/>
  <c r="AS50" i="15"/>
  <c r="AR50" i="15"/>
  <c r="AQ50" i="15"/>
  <c r="AP50" i="15"/>
  <c r="AO50" i="15"/>
  <c r="AN50" i="15"/>
  <c r="AM50" i="15"/>
  <c r="AL50" i="15"/>
  <c r="AJ50" i="15"/>
  <c r="AI50" i="15"/>
  <c r="AB50" i="15"/>
  <c r="AA50" i="15"/>
  <c r="Z50" i="15"/>
  <c r="Y50" i="15"/>
  <c r="X50" i="15"/>
  <c r="W50" i="15"/>
  <c r="V50" i="15"/>
  <c r="U50" i="15"/>
  <c r="T50" i="15"/>
  <c r="M50" i="15"/>
  <c r="L50" i="15"/>
  <c r="K50" i="15"/>
  <c r="J50" i="15"/>
  <c r="BB50" i="15" s="1"/>
  <c r="I50" i="15"/>
  <c r="BA50" i="15" s="1"/>
  <c r="H50" i="15"/>
  <c r="AZ50" i="15" s="1"/>
  <c r="F50" i="15"/>
  <c r="AX50" i="15" s="1"/>
  <c r="AW49" i="15"/>
  <c r="AT49" i="15"/>
  <c r="AS49" i="15"/>
  <c r="AR49" i="15"/>
  <c r="AQ49" i="15"/>
  <c r="AP49" i="15"/>
  <c r="AO49" i="15"/>
  <c r="AN49" i="15"/>
  <c r="AM49" i="15"/>
  <c r="AL49" i="15"/>
  <c r="AJ49" i="15"/>
  <c r="AI49" i="15"/>
  <c r="AB49" i="15"/>
  <c r="AA49" i="15"/>
  <c r="Z49" i="15"/>
  <c r="Y49" i="15"/>
  <c r="X49" i="15"/>
  <c r="W49" i="15"/>
  <c r="V49" i="15"/>
  <c r="U49" i="15"/>
  <c r="T49" i="15"/>
  <c r="M49" i="15"/>
  <c r="L49" i="15"/>
  <c r="K49" i="15"/>
  <c r="J49" i="15"/>
  <c r="BB49" i="15" s="1"/>
  <c r="I49" i="15"/>
  <c r="BA49" i="15" s="1"/>
  <c r="H49" i="15"/>
  <c r="AZ49" i="15" s="1"/>
  <c r="F49" i="15"/>
  <c r="AX49" i="15" s="1"/>
  <c r="AW48" i="15"/>
  <c r="AT48" i="15"/>
  <c r="AS48" i="15"/>
  <c r="AR48" i="15"/>
  <c r="AQ48" i="15"/>
  <c r="AP48" i="15"/>
  <c r="AO48" i="15"/>
  <c r="AN48" i="15"/>
  <c r="AM48" i="15"/>
  <c r="AL48" i="15"/>
  <c r="AJ48" i="15"/>
  <c r="AI48" i="15"/>
  <c r="AB48" i="15"/>
  <c r="AA48" i="15"/>
  <c r="Z48" i="15"/>
  <c r="Y48" i="15"/>
  <c r="X48" i="15"/>
  <c r="W48" i="15"/>
  <c r="V48" i="15"/>
  <c r="U48" i="15"/>
  <c r="T48" i="15"/>
  <c r="M48" i="15"/>
  <c r="L48" i="15"/>
  <c r="K48" i="15"/>
  <c r="J48" i="15"/>
  <c r="BB48" i="15" s="1"/>
  <c r="I48" i="15"/>
  <c r="BA48" i="15" s="1"/>
  <c r="H48" i="15"/>
  <c r="AZ48" i="15" s="1"/>
  <c r="F48" i="15"/>
  <c r="AX48" i="15" s="1"/>
  <c r="AW47" i="15"/>
  <c r="AT47" i="15"/>
  <c r="AS47" i="15"/>
  <c r="AR47" i="15"/>
  <c r="AQ47" i="15"/>
  <c r="AP47" i="15"/>
  <c r="AO47" i="15"/>
  <c r="AN47" i="15"/>
  <c r="AM47" i="15"/>
  <c r="AL47" i="15"/>
  <c r="AJ47" i="15"/>
  <c r="AI47" i="15"/>
  <c r="AB47" i="15"/>
  <c r="AA47" i="15"/>
  <c r="Z47" i="15"/>
  <c r="Y47" i="15"/>
  <c r="X47" i="15"/>
  <c r="W47" i="15"/>
  <c r="V47" i="15"/>
  <c r="U47" i="15"/>
  <c r="T47" i="15"/>
  <c r="M47" i="15"/>
  <c r="L47" i="15"/>
  <c r="K47" i="15"/>
  <c r="J47" i="15"/>
  <c r="BB47" i="15" s="1"/>
  <c r="I47" i="15"/>
  <c r="BA47" i="15" s="1"/>
  <c r="H47" i="15"/>
  <c r="AZ47" i="15" s="1"/>
  <c r="F47" i="15"/>
  <c r="AX47" i="15" s="1"/>
  <c r="AW46" i="15"/>
  <c r="AT46" i="15"/>
  <c r="AS46" i="15"/>
  <c r="AR46" i="15"/>
  <c r="AQ46" i="15"/>
  <c r="AP46" i="15"/>
  <c r="AO46" i="15"/>
  <c r="AN46" i="15"/>
  <c r="AM46" i="15"/>
  <c r="AL46" i="15"/>
  <c r="AJ46" i="15"/>
  <c r="AI46" i="15"/>
  <c r="AB46" i="15"/>
  <c r="AA46" i="15"/>
  <c r="Z46" i="15"/>
  <c r="Y46" i="15"/>
  <c r="X46" i="15"/>
  <c r="W46" i="15"/>
  <c r="V46" i="15"/>
  <c r="U46" i="15"/>
  <c r="T46" i="15"/>
  <c r="M46" i="15"/>
  <c r="L46" i="15"/>
  <c r="K46" i="15"/>
  <c r="J46" i="15"/>
  <c r="BB46" i="15" s="1"/>
  <c r="I46" i="15"/>
  <c r="BA46" i="15" s="1"/>
  <c r="H46" i="15"/>
  <c r="AZ46" i="15" s="1"/>
  <c r="F46" i="15"/>
  <c r="AX46" i="15" s="1"/>
  <c r="AW45" i="15"/>
  <c r="AT45" i="15"/>
  <c r="AS45" i="15"/>
  <c r="AR45" i="15"/>
  <c r="AQ45" i="15"/>
  <c r="AP45" i="15"/>
  <c r="AO45" i="15"/>
  <c r="AN45" i="15"/>
  <c r="AM45" i="15"/>
  <c r="AL45" i="15"/>
  <c r="AJ45" i="15"/>
  <c r="AI45" i="15"/>
  <c r="AB45" i="15"/>
  <c r="AA45" i="15"/>
  <c r="Z45" i="15"/>
  <c r="Y45" i="15"/>
  <c r="X45" i="15"/>
  <c r="W45" i="15"/>
  <c r="V45" i="15"/>
  <c r="U45" i="15"/>
  <c r="T45" i="15"/>
  <c r="M45" i="15"/>
  <c r="L45" i="15"/>
  <c r="K45" i="15"/>
  <c r="J45" i="15"/>
  <c r="BB45" i="15" s="1"/>
  <c r="I45" i="15"/>
  <c r="BA45" i="15" s="1"/>
  <c r="H45" i="15"/>
  <c r="AZ45" i="15" s="1"/>
  <c r="F45" i="15"/>
  <c r="AX45" i="15" s="1"/>
  <c r="AW44" i="15"/>
  <c r="AT44" i="15"/>
  <c r="AS44" i="15"/>
  <c r="AR44" i="15"/>
  <c r="AQ44" i="15"/>
  <c r="AP44" i="15"/>
  <c r="AO44" i="15"/>
  <c r="AN44" i="15"/>
  <c r="AM44" i="15"/>
  <c r="AL44" i="15"/>
  <c r="AJ44" i="15"/>
  <c r="AI44" i="15"/>
  <c r="AB44" i="15"/>
  <c r="AA44" i="15"/>
  <c r="Z44" i="15"/>
  <c r="Y44" i="15"/>
  <c r="X44" i="15"/>
  <c r="W44" i="15"/>
  <c r="V44" i="15"/>
  <c r="U44" i="15"/>
  <c r="T44" i="15"/>
  <c r="M44" i="15"/>
  <c r="L44" i="15"/>
  <c r="K44" i="15"/>
  <c r="J44" i="15"/>
  <c r="BB44" i="15" s="1"/>
  <c r="I44" i="15"/>
  <c r="BA44" i="15" s="1"/>
  <c r="H44" i="15"/>
  <c r="AZ44" i="15" s="1"/>
  <c r="F44" i="15"/>
  <c r="AX44" i="15" s="1"/>
  <c r="AW43" i="15"/>
  <c r="AT43" i="15"/>
  <c r="AS43" i="15"/>
  <c r="AR43" i="15"/>
  <c r="AQ43" i="15"/>
  <c r="AP43" i="15"/>
  <c r="AO43" i="15"/>
  <c r="AN43" i="15"/>
  <c r="AM43" i="15"/>
  <c r="AL43" i="15"/>
  <c r="AJ43" i="15"/>
  <c r="AI43" i="15"/>
  <c r="AB43" i="15"/>
  <c r="AA43" i="15"/>
  <c r="Z43" i="15"/>
  <c r="Y43" i="15"/>
  <c r="X43" i="15"/>
  <c r="W43" i="15"/>
  <c r="V43" i="15"/>
  <c r="U43" i="15"/>
  <c r="T43" i="15"/>
  <c r="M43" i="15"/>
  <c r="L43" i="15"/>
  <c r="K43" i="15"/>
  <c r="J43" i="15"/>
  <c r="BB43" i="15" s="1"/>
  <c r="I43" i="15"/>
  <c r="BA43" i="15" s="1"/>
  <c r="H43" i="15"/>
  <c r="AZ43" i="15" s="1"/>
  <c r="F43" i="15"/>
  <c r="AX43" i="15" s="1"/>
  <c r="AW42" i="15"/>
  <c r="AT42" i="15"/>
  <c r="AS42" i="15"/>
  <c r="AR42" i="15"/>
  <c r="AQ42" i="15"/>
  <c r="AP42" i="15"/>
  <c r="AO42" i="15"/>
  <c r="AN42" i="15"/>
  <c r="AM42" i="15"/>
  <c r="AL42" i="15"/>
  <c r="AJ42" i="15"/>
  <c r="AI42" i="15"/>
  <c r="AB42" i="15"/>
  <c r="AA42" i="15"/>
  <c r="Z42" i="15"/>
  <c r="Y42" i="15"/>
  <c r="X42" i="15"/>
  <c r="W42" i="15"/>
  <c r="V42" i="15"/>
  <c r="U42" i="15"/>
  <c r="T42" i="15"/>
  <c r="M42" i="15"/>
  <c r="L42" i="15"/>
  <c r="K42" i="15"/>
  <c r="J42" i="15"/>
  <c r="BB42" i="15" s="1"/>
  <c r="I42" i="15"/>
  <c r="BA42" i="15" s="1"/>
  <c r="H42" i="15"/>
  <c r="AZ42" i="15" s="1"/>
  <c r="F42" i="15"/>
  <c r="AX42" i="15" s="1"/>
  <c r="AW41" i="15"/>
  <c r="AT41" i="15"/>
  <c r="AS41" i="15"/>
  <c r="AR41" i="15"/>
  <c r="AQ41" i="15"/>
  <c r="AP41" i="15"/>
  <c r="AO41" i="15"/>
  <c r="AN41" i="15"/>
  <c r="AM41" i="15"/>
  <c r="AL41" i="15"/>
  <c r="AJ41" i="15"/>
  <c r="AI41" i="15"/>
  <c r="AB41" i="15"/>
  <c r="AA41" i="15"/>
  <c r="Z41" i="15"/>
  <c r="Y41" i="15"/>
  <c r="X41" i="15"/>
  <c r="W41" i="15"/>
  <c r="V41" i="15"/>
  <c r="U41" i="15"/>
  <c r="T41" i="15"/>
  <c r="M41" i="15"/>
  <c r="L41" i="15"/>
  <c r="K41" i="15"/>
  <c r="J41" i="15"/>
  <c r="BB41" i="15" s="1"/>
  <c r="I41" i="15"/>
  <c r="BA41" i="15" s="1"/>
  <c r="H41" i="15"/>
  <c r="AZ41" i="15" s="1"/>
  <c r="F41" i="15"/>
  <c r="AX41" i="15" s="1"/>
  <c r="AW40" i="15"/>
  <c r="AT40" i="15"/>
  <c r="AS40" i="15"/>
  <c r="AR40" i="15"/>
  <c r="AQ40" i="15"/>
  <c r="AP40" i="15"/>
  <c r="AO40" i="15"/>
  <c r="AN40" i="15"/>
  <c r="AM40" i="15"/>
  <c r="AL40" i="15"/>
  <c r="AJ40" i="15"/>
  <c r="AI40" i="15"/>
  <c r="AB40" i="15"/>
  <c r="AA40" i="15"/>
  <c r="Z40" i="15"/>
  <c r="Y40" i="15"/>
  <c r="X40" i="15"/>
  <c r="W40" i="15"/>
  <c r="V40" i="15"/>
  <c r="U40" i="15"/>
  <c r="T40" i="15"/>
  <c r="M40" i="15"/>
  <c r="L40" i="15"/>
  <c r="K40" i="15"/>
  <c r="J40" i="15"/>
  <c r="BB40" i="15" s="1"/>
  <c r="I40" i="15"/>
  <c r="BA40" i="15" s="1"/>
  <c r="H40" i="15"/>
  <c r="AZ40" i="15" s="1"/>
  <c r="F40" i="15"/>
  <c r="AX40" i="15" s="1"/>
  <c r="AW39" i="15"/>
  <c r="AT39" i="15"/>
  <c r="AS39" i="15"/>
  <c r="AR39" i="15"/>
  <c r="AQ39" i="15"/>
  <c r="AP39" i="15"/>
  <c r="AO39" i="15"/>
  <c r="AN39" i="15"/>
  <c r="AM39" i="15"/>
  <c r="AL39" i="15"/>
  <c r="AJ39" i="15"/>
  <c r="AI39" i="15"/>
  <c r="AB39" i="15"/>
  <c r="AA39" i="15"/>
  <c r="Z39" i="15"/>
  <c r="Y39" i="15"/>
  <c r="X39" i="15"/>
  <c r="W39" i="15"/>
  <c r="V39" i="15"/>
  <c r="U39" i="15"/>
  <c r="T39" i="15"/>
  <c r="M39" i="15"/>
  <c r="L39" i="15"/>
  <c r="K39" i="15"/>
  <c r="J39" i="15"/>
  <c r="BB39" i="15" s="1"/>
  <c r="I39" i="15"/>
  <c r="BA39" i="15" s="1"/>
  <c r="H39" i="15"/>
  <c r="AZ39" i="15" s="1"/>
  <c r="F39" i="15"/>
  <c r="AX39" i="15" s="1"/>
  <c r="AW38" i="15"/>
  <c r="AT38" i="15"/>
  <c r="AS38" i="15"/>
  <c r="AR38" i="15"/>
  <c r="AQ38" i="15"/>
  <c r="AP38" i="15"/>
  <c r="AO38" i="15"/>
  <c r="AN38" i="15"/>
  <c r="AM38" i="15"/>
  <c r="AL38" i="15"/>
  <c r="AJ38" i="15"/>
  <c r="AI38" i="15"/>
  <c r="AB38" i="15"/>
  <c r="AA38" i="15"/>
  <c r="Z38" i="15"/>
  <c r="Y38" i="15"/>
  <c r="X38" i="15"/>
  <c r="W38" i="15"/>
  <c r="V38" i="15"/>
  <c r="U38" i="15"/>
  <c r="T38" i="15"/>
  <c r="M38" i="15"/>
  <c r="L38" i="15"/>
  <c r="K38" i="15"/>
  <c r="J38" i="15"/>
  <c r="BB38" i="15" s="1"/>
  <c r="I38" i="15"/>
  <c r="BA38" i="15" s="1"/>
  <c r="H38" i="15"/>
  <c r="AZ38" i="15" s="1"/>
  <c r="F38" i="15"/>
  <c r="AX38" i="15" s="1"/>
  <c r="AW37" i="15"/>
  <c r="AT37" i="15"/>
  <c r="AS37" i="15"/>
  <c r="AR37" i="15"/>
  <c r="AQ37" i="15"/>
  <c r="AP37" i="15"/>
  <c r="AO37" i="15"/>
  <c r="AN37" i="15"/>
  <c r="AM37" i="15"/>
  <c r="AL37" i="15"/>
  <c r="AJ37" i="15"/>
  <c r="AI37" i="15"/>
  <c r="AB37" i="15"/>
  <c r="AA37" i="15"/>
  <c r="Z37" i="15"/>
  <c r="Y37" i="15"/>
  <c r="X37" i="15"/>
  <c r="W37" i="15"/>
  <c r="V37" i="15"/>
  <c r="U37" i="15"/>
  <c r="T37" i="15"/>
  <c r="M37" i="15"/>
  <c r="L37" i="15"/>
  <c r="K37" i="15"/>
  <c r="J37" i="15"/>
  <c r="BB37" i="15" s="1"/>
  <c r="I37" i="15"/>
  <c r="BA37" i="15" s="1"/>
  <c r="H37" i="15"/>
  <c r="AZ37" i="15" s="1"/>
  <c r="F37" i="15"/>
  <c r="AX37" i="15" s="1"/>
  <c r="AW36" i="15"/>
  <c r="AT36" i="15"/>
  <c r="AS36" i="15"/>
  <c r="AR36" i="15"/>
  <c r="AQ36" i="15"/>
  <c r="AP36" i="15"/>
  <c r="AO36" i="15"/>
  <c r="AN36" i="15"/>
  <c r="AM36" i="15"/>
  <c r="AL36" i="15"/>
  <c r="AJ36" i="15"/>
  <c r="AI36" i="15"/>
  <c r="AB36" i="15"/>
  <c r="AA36" i="15"/>
  <c r="Z36" i="15"/>
  <c r="Y36" i="15"/>
  <c r="X36" i="15"/>
  <c r="W36" i="15"/>
  <c r="V36" i="15"/>
  <c r="U36" i="15"/>
  <c r="T36" i="15"/>
  <c r="M36" i="15"/>
  <c r="L36" i="15"/>
  <c r="K36" i="15"/>
  <c r="J36" i="15"/>
  <c r="BB36" i="15" s="1"/>
  <c r="I36" i="15"/>
  <c r="BA36" i="15" s="1"/>
  <c r="H36" i="15"/>
  <c r="AZ36" i="15" s="1"/>
  <c r="F36" i="15"/>
  <c r="AX36" i="15" s="1"/>
  <c r="AW35" i="15"/>
  <c r="AT35" i="15"/>
  <c r="AS35" i="15"/>
  <c r="AR35" i="15"/>
  <c r="AQ35" i="15"/>
  <c r="AP35" i="15"/>
  <c r="AO35" i="15"/>
  <c r="AN35" i="15"/>
  <c r="AM35" i="15"/>
  <c r="AL35" i="15"/>
  <c r="AJ35" i="15"/>
  <c r="AI35" i="15"/>
  <c r="AB35" i="15"/>
  <c r="AA35" i="15"/>
  <c r="Z35" i="15"/>
  <c r="Y35" i="15"/>
  <c r="X35" i="15"/>
  <c r="W35" i="15"/>
  <c r="V35" i="15"/>
  <c r="U35" i="15"/>
  <c r="T35" i="15"/>
  <c r="M35" i="15"/>
  <c r="L35" i="15"/>
  <c r="K35" i="15"/>
  <c r="J35" i="15"/>
  <c r="BB35" i="15" s="1"/>
  <c r="I35" i="15"/>
  <c r="BA35" i="15" s="1"/>
  <c r="H35" i="15"/>
  <c r="AZ35" i="15" s="1"/>
  <c r="F35" i="15"/>
  <c r="AX35" i="15" s="1"/>
  <c r="AW34" i="15"/>
  <c r="AT34" i="15"/>
  <c r="AS34" i="15"/>
  <c r="AR34" i="15"/>
  <c r="AQ34" i="15"/>
  <c r="AP34" i="15"/>
  <c r="AO34" i="15"/>
  <c r="AN34" i="15"/>
  <c r="AM34" i="15"/>
  <c r="AL34" i="15"/>
  <c r="AJ34" i="15"/>
  <c r="AI34" i="15"/>
  <c r="AB34" i="15"/>
  <c r="AA34" i="15"/>
  <c r="Z34" i="15"/>
  <c r="Y34" i="15"/>
  <c r="X34" i="15"/>
  <c r="W34" i="15"/>
  <c r="V34" i="15"/>
  <c r="U34" i="15"/>
  <c r="T34" i="15"/>
  <c r="M34" i="15"/>
  <c r="L34" i="15"/>
  <c r="K34" i="15"/>
  <c r="J34" i="15"/>
  <c r="BB34" i="15" s="1"/>
  <c r="I34" i="15"/>
  <c r="BA34" i="15" s="1"/>
  <c r="H34" i="15"/>
  <c r="AZ34" i="15" s="1"/>
  <c r="F34" i="15"/>
  <c r="AX34" i="15" s="1"/>
  <c r="AW33" i="15"/>
  <c r="AT33" i="15"/>
  <c r="AS33" i="15"/>
  <c r="AR33" i="15"/>
  <c r="AQ33" i="15"/>
  <c r="AP33" i="15"/>
  <c r="AO33" i="15"/>
  <c r="AN33" i="15"/>
  <c r="AM33" i="15"/>
  <c r="AL33" i="15"/>
  <c r="AJ33" i="15"/>
  <c r="AI33" i="15"/>
  <c r="AB33" i="15"/>
  <c r="AA33" i="15"/>
  <c r="Z33" i="15"/>
  <c r="Y33" i="15"/>
  <c r="X33" i="15"/>
  <c r="W33" i="15"/>
  <c r="V33" i="15"/>
  <c r="U33" i="15"/>
  <c r="T33" i="15"/>
  <c r="M33" i="15"/>
  <c r="L33" i="15"/>
  <c r="K33" i="15"/>
  <c r="J33" i="15"/>
  <c r="BB33" i="15" s="1"/>
  <c r="I33" i="15"/>
  <c r="BA33" i="15" s="1"/>
  <c r="H33" i="15"/>
  <c r="AZ33" i="15" s="1"/>
  <c r="F33" i="15"/>
  <c r="AX33" i="15" s="1"/>
  <c r="AW32" i="15"/>
  <c r="AT32" i="15"/>
  <c r="AS32" i="15"/>
  <c r="AR32" i="15"/>
  <c r="AQ32" i="15"/>
  <c r="AP32" i="15"/>
  <c r="AO32" i="15"/>
  <c r="AN32" i="15"/>
  <c r="AM32" i="15"/>
  <c r="AL32" i="15"/>
  <c r="AJ32" i="15"/>
  <c r="AI32" i="15"/>
  <c r="AB32" i="15"/>
  <c r="AA32" i="15"/>
  <c r="Z32" i="15"/>
  <c r="Y32" i="15"/>
  <c r="X32" i="15"/>
  <c r="W32" i="15"/>
  <c r="V32" i="15"/>
  <c r="U32" i="15"/>
  <c r="T32" i="15"/>
  <c r="M32" i="15"/>
  <c r="L32" i="15"/>
  <c r="K32" i="15"/>
  <c r="J32" i="15"/>
  <c r="BB32" i="15" s="1"/>
  <c r="I32" i="15"/>
  <c r="BA32" i="15" s="1"/>
  <c r="H32" i="15"/>
  <c r="AZ32" i="15" s="1"/>
  <c r="F32" i="15"/>
  <c r="AX32" i="15" s="1"/>
  <c r="AW31" i="15"/>
  <c r="AT31" i="15"/>
  <c r="AS31" i="15"/>
  <c r="AR31" i="15"/>
  <c r="AQ31" i="15"/>
  <c r="AP31" i="15"/>
  <c r="AO31" i="15"/>
  <c r="AN31" i="15"/>
  <c r="AM31" i="15"/>
  <c r="AL31" i="15"/>
  <c r="AJ31" i="15"/>
  <c r="AI31" i="15"/>
  <c r="AB31" i="15"/>
  <c r="AA31" i="15"/>
  <c r="Z31" i="15"/>
  <c r="Y31" i="15"/>
  <c r="X31" i="15"/>
  <c r="W31" i="15"/>
  <c r="V31" i="15"/>
  <c r="U31" i="15"/>
  <c r="T31" i="15"/>
  <c r="M31" i="15"/>
  <c r="L31" i="15"/>
  <c r="K31" i="15"/>
  <c r="J31" i="15"/>
  <c r="BB31" i="15" s="1"/>
  <c r="I31" i="15"/>
  <c r="BA31" i="15" s="1"/>
  <c r="H31" i="15"/>
  <c r="AZ31" i="15" s="1"/>
  <c r="F31" i="15"/>
  <c r="AX31" i="15" s="1"/>
  <c r="AW30" i="15"/>
  <c r="AT30" i="15"/>
  <c r="AS30" i="15"/>
  <c r="AR30" i="15"/>
  <c r="AQ30" i="15"/>
  <c r="AP30" i="15"/>
  <c r="AO30" i="15"/>
  <c r="AN30" i="15"/>
  <c r="AM30" i="15"/>
  <c r="AL30" i="15"/>
  <c r="AJ30" i="15"/>
  <c r="AI30" i="15"/>
  <c r="AB30" i="15"/>
  <c r="AA30" i="15"/>
  <c r="Z30" i="15"/>
  <c r="Y30" i="15"/>
  <c r="X30" i="15"/>
  <c r="W30" i="15"/>
  <c r="V30" i="15"/>
  <c r="U30" i="15"/>
  <c r="T30" i="15"/>
  <c r="M30" i="15"/>
  <c r="L30" i="15"/>
  <c r="K30" i="15"/>
  <c r="J30" i="15"/>
  <c r="BB30" i="15" s="1"/>
  <c r="I30" i="15"/>
  <c r="BA30" i="15" s="1"/>
  <c r="H30" i="15"/>
  <c r="AZ30" i="15" s="1"/>
  <c r="F30" i="15"/>
  <c r="AX30" i="15" s="1"/>
  <c r="AW29" i="15"/>
  <c r="AT29" i="15"/>
  <c r="AS29" i="15"/>
  <c r="AR29" i="15"/>
  <c r="AQ29" i="15"/>
  <c r="AP29" i="15"/>
  <c r="AO29" i="15"/>
  <c r="AN29" i="15"/>
  <c r="AM29" i="15"/>
  <c r="AL29" i="15"/>
  <c r="AJ29" i="15"/>
  <c r="AI29" i="15"/>
  <c r="AB29" i="15"/>
  <c r="AA29" i="15"/>
  <c r="Z29" i="15"/>
  <c r="Y29" i="15"/>
  <c r="X29" i="15"/>
  <c r="W29" i="15"/>
  <c r="V29" i="15"/>
  <c r="U29" i="15"/>
  <c r="T29" i="15"/>
  <c r="M29" i="15"/>
  <c r="L29" i="15"/>
  <c r="K29" i="15"/>
  <c r="J29" i="15"/>
  <c r="BB29" i="15" s="1"/>
  <c r="I29" i="15"/>
  <c r="BA29" i="15" s="1"/>
  <c r="H29" i="15"/>
  <c r="AZ29" i="15" s="1"/>
  <c r="F29" i="15"/>
  <c r="AX29" i="15" s="1"/>
  <c r="AW28" i="15"/>
  <c r="AT28" i="15"/>
  <c r="AS28" i="15"/>
  <c r="AR28" i="15"/>
  <c r="AQ28" i="15"/>
  <c r="AP28" i="15"/>
  <c r="AO28" i="15"/>
  <c r="AN28" i="15"/>
  <c r="AM28" i="15"/>
  <c r="AL28" i="15"/>
  <c r="AJ28" i="15"/>
  <c r="AI28" i="15"/>
  <c r="AB28" i="15"/>
  <c r="AA28" i="15"/>
  <c r="Z28" i="15"/>
  <c r="Y28" i="15"/>
  <c r="X28" i="15"/>
  <c r="W28" i="15"/>
  <c r="V28" i="15"/>
  <c r="U28" i="15"/>
  <c r="T28" i="15"/>
  <c r="M28" i="15"/>
  <c r="L28" i="15"/>
  <c r="K28" i="15"/>
  <c r="J28" i="15"/>
  <c r="BB28" i="15" s="1"/>
  <c r="I28" i="15"/>
  <c r="BA28" i="15" s="1"/>
  <c r="H28" i="15"/>
  <c r="AZ28" i="15" s="1"/>
  <c r="F28" i="15"/>
  <c r="AX28" i="15" s="1"/>
  <c r="AW27" i="15"/>
  <c r="AT27" i="15"/>
  <c r="AS27" i="15"/>
  <c r="AR27" i="15"/>
  <c r="AQ27" i="15"/>
  <c r="AP27" i="15"/>
  <c r="AO27" i="15"/>
  <c r="AN27" i="15"/>
  <c r="AM27" i="15"/>
  <c r="AL27" i="15"/>
  <c r="AJ27" i="15"/>
  <c r="AI27" i="15"/>
  <c r="AB27" i="15"/>
  <c r="AA27" i="15"/>
  <c r="Z27" i="15"/>
  <c r="Y27" i="15"/>
  <c r="X27" i="15"/>
  <c r="W27" i="15"/>
  <c r="V27" i="15"/>
  <c r="U27" i="15"/>
  <c r="T27" i="15"/>
  <c r="M27" i="15"/>
  <c r="L27" i="15"/>
  <c r="K27" i="15"/>
  <c r="J27" i="15"/>
  <c r="BB27" i="15" s="1"/>
  <c r="I27" i="15"/>
  <c r="BA27" i="15" s="1"/>
  <c r="H27" i="15"/>
  <c r="AZ27" i="15" s="1"/>
  <c r="F27" i="15"/>
  <c r="AX27" i="15" s="1"/>
  <c r="AW26" i="15"/>
  <c r="AT26" i="15"/>
  <c r="AS26" i="15"/>
  <c r="AR26" i="15"/>
  <c r="AQ26" i="15"/>
  <c r="AP26" i="15"/>
  <c r="AO26" i="15"/>
  <c r="AN26" i="15"/>
  <c r="AM26" i="15"/>
  <c r="AL26" i="15"/>
  <c r="AJ26" i="15"/>
  <c r="AI26" i="15"/>
  <c r="AB26" i="15"/>
  <c r="AA26" i="15"/>
  <c r="Z26" i="15"/>
  <c r="Y26" i="15"/>
  <c r="X26" i="15"/>
  <c r="W26" i="15"/>
  <c r="V26" i="15"/>
  <c r="U26" i="15"/>
  <c r="T26" i="15"/>
  <c r="M26" i="15"/>
  <c r="L26" i="15"/>
  <c r="K26" i="15"/>
  <c r="J26" i="15"/>
  <c r="BB26" i="15" s="1"/>
  <c r="I26" i="15"/>
  <c r="BA26" i="15" s="1"/>
  <c r="H26" i="15"/>
  <c r="AZ26" i="15" s="1"/>
  <c r="F26" i="15"/>
  <c r="AX26" i="15" s="1"/>
  <c r="AW25" i="15"/>
  <c r="AT25" i="15"/>
  <c r="AS25" i="15"/>
  <c r="AR25" i="15"/>
  <c r="AQ25" i="15"/>
  <c r="AP25" i="15"/>
  <c r="AO25" i="15"/>
  <c r="AN25" i="15"/>
  <c r="AM25" i="15"/>
  <c r="AL25" i="15"/>
  <c r="AJ25" i="15"/>
  <c r="AI25" i="15"/>
  <c r="AB25" i="15"/>
  <c r="AA25" i="15"/>
  <c r="Z25" i="15"/>
  <c r="Y25" i="15"/>
  <c r="X25" i="15"/>
  <c r="W25" i="15"/>
  <c r="V25" i="15"/>
  <c r="U25" i="15"/>
  <c r="T25" i="15"/>
  <c r="M25" i="15"/>
  <c r="L25" i="15"/>
  <c r="K25" i="15"/>
  <c r="J25" i="15"/>
  <c r="BB25" i="15" s="1"/>
  <c r="I25" i="15"/>
  <c r="BA25" i="15" s="1"/>
  <c r="H25" i="15"/>
  <c r="AZ25" i="15" s="1"/>
  <c r="F25" i="15"/>
  <c r="AX25" i="15" s="1"/>
  <c r="AW24" i="15"/>
  <c r="AT24" i="15"/>
  <c r="AS24" i="15"/>
  <c r="AR24" i="15"/>
  <c r="AQ24" i="15"/>
  <c r="AP24" i="15"/>
  <c r="AO24" i="15"/>
  <c r="AN24" i="15"/>
  <c r="AM24" i="15"/>
  <c r="AL24" i="15"/>
  <c r="AJ24" i="15"/>
  <c r="AI24" i="15"/>
  <c r="AB24" i="15"/>
  <c r="AA24" i="15"/>
  <c r="Z24" i="15"/>
  <c r="Y24" i="15"/>
  <c r="X24" i="15"/>
  <c r="W24" i="15"/>
  <c r="V24" i="15"/>
  <c r="U24" i="15"/>
  <c r="T24" i="15"/>
  <c r="M24" i="15"/>
  <c r="L24" i="15"/>
  <c r="K24" i="15"/>
  <c r="J24" i="15"/>
  <c r="BB24" i="15" s="1"/>
  <c r="I24" i="15"/>
  <c r="BA24" i="15" s="1"/>
  <c r="H24" i="15"/>
  <c r="AZ24" i="15" s="1"/>
  <c r="F24" i="15"/>
  <c r="AX24" i="15" s="1"/>
  <c r="AW23" i="15"/>
  <c r="AT23" i="15"/>
  <c r="AS23" i="15"/>
  <c r="AR23" i="15"/>
  <c r="AQ23" i="15"/>
  <c r="AP23" i="15"/>
  <c r="AO23" i="15"/>
  <c r="AN23" i="15"/>
  <c r="AM23" i="15"/>
  <c r="AL23" i="15"/>
  <c r="AJ23" i="15"/>
  <c r="AI23" i="15"/>
  <c r="AB23" i="15"/>
  <c r="AA23" i="15"/>
  <c r="Z23" i="15"/>
  <c r="Y23" i="15"/>
  <c r="X23" i="15"/>
  <c r="W23" i="15"/>
  <c r="V23" i="15"/>
  <c r="U23" i="15"/>
  <c r="T23" i="15"/>
  <c r="M23" i="15"/>
  <c r="L23" i="15"/>
  <c r="K23" i="15"/>
  <c r="J23" i="15"/>
  <c r="BB23" i="15" s="1"/>
  <c r="I23" i="15"/>
  <c r="BA23" i="15" s="1"/>
  <c r="H23" i="15"/>
  <c r="AZ23" i="15" s="1"/>
  <c r="F23" i="15"/>
  <c r="AX23" i="15" s="1"/>
  <c r="AW22" i="15"/>
  <c r="AT22" i="15"/>
  <c r="AS22" i="15"/>
  <c r="AR22" i="15"/>
  <c r="AQ22" i="15"/>
  <c r="AP22" i="15"/>
  <c r="AO22" i="15"/>
  <c r="AN22" i="15"/>
  <c r="AM22" i="15"/>
  <c r="AL22" i="15"/>
  <c r="AJ22" i="15"/>
  <c r="AI22" i="15"/>
  <c r="AB22" i="15"/>
  <c r="AA22" i="15"/>
  <c r="Z22" i="15"/>
  <c r="Y22" i="15"/>
  <c r="X22" i="15"/>
  <c r="W22" i="15"/>
  <c r="V22" i="15"/>
  <c r="U22" i="15"/>
  <c r="T22" i="15"/>
  <c r="M22" i="15"/>
  <c r="L22" i="15"/>
  <c r="K22" i="15"/>
  <c r="J22" i="15"/>
  <c r="BB22" i="15" s="1"/>
  <c r="I22" i="15"/>
  <c r="BA22" i="15" s="1"/>
  <c r="H22" i="15"/>
  <c r="AZ22" i="15" s="1"/>
  <c r="F22" i="15"/>
  <c r="AX22" i="15" s="1"/>
  <c r="AW21" i="15"/>
  <c r="AT21" i="15"/>
  <c r="AS21" i="15"/>
  <c r="AR21" i="15"/>
  <c r="AQ21" i="15"/>
  <c r="AP21" i="15"/>
  <c r="AO21" i="15"/>
  <c r="AN21" i="15"/>
  <c r="AM21" i="15"/>
  <c r="AL21" i="15"/>
  <c r="AJ21" i="15"/>
  <c r="AI21" i="15"/>
  <c r="AB21" i="15"/>
  <c r="AA21" i="15"/>
  <c r="Z21" i="15"/>
  <c r="Y21" i="15"/>
  <c r="X21" i="15"/>
  <c r="W21" i="15"/>
  <c r="V21" i="15"/>
  <c r="U21" i="15"/>
  <c r="T21" i="15"/>
  <c r="M21" i="15"/>
  <c r="L21" i="15"/>
  <c r="K21" i="15"/>
  <c r="J21" i="15"/>
  <c r="BB21" i="15" s="1"/>
  <c r="I21" i="15"/>
  <c r="BA21" i="15" s="1"/>
  <c r="H21" i="15"/>
  <c r="AZ21" i="15" s="1"/>
  <c r="F21" i="15"/>
  <c r="AX21" i="15" s="1"/>
  <c r="AW20" i="15"/>
  <c r="AT20" i="15"/>
  <c r="AS20" i="15"/>
  <c r="AR20" i="15"/>
  <c r="AQ20" i="15"/>
  <c r="AP20" i="15"/>
  <c r="AO20" i="15"/>
  <c r="AN20" i="15"/>
  <c r="AM20" i="15"/>
  <c r="AL20" i="15"/>
  <c r="AJ20" i="15"/>
  <c r="AI20" i="15"/>
  <c r="AB20" i="15"/>
  <c r="AA20" i="15"/>
  <c r="Z20" i="15"/>
  <c r="Y20" i="15"/>
  <c r="X20" i="15"/>
  <c r="W20" i="15"/>
  <c r="V20" i="15"/>
  <c r="U20" i="15"/>
  <c r="T20" i="15"/>
  <c r="M20" i="15"/>
  <c r="L20" i="15"/>
  <c r="K20" i="15"/>
  <c r="J20" i="15"/>
  <c r="BB20" i="15" s="1"/>
  <c r="I20" i="15"/>
  <c r="BA20" i="15" s="1"/>
  <c r="H20" i="15"/>
  <c r="AZ20" i="15" s="1"/>
  <c r="F20" i="15"/>
  <c r="AX20" i="15" s="1"/>
  <c r="AW19" i="15"/>
  <c r="AT19" i="15"/>
  <c r="AS19" i="15"/>
  <c r="AR19" i="15"/>
  <c r="AQ19" i="15"/>
  <c r="AP19" i="15"/>
  <c r="AO19" i="15"/>
  <c r="AN19" i="15"/>
  <c r="AM19" i="15"/>
  <c r="AL19" i="15"/>
  <c r="AJ19" i="15"/>
  <c r="AI19" i="15"/>
  <c r="AB19" i="15"/>
  <c r="AA19" i="15"/>
  <c r="Z19" i="15"/>
  <c r="Y19" i="15"/>
  <c r="X19" i="15"/>
  <c r="W19" i="15"/>
  <c r="V19" i="15"/>
  <c r="U19" i="15"/>
  <c r="T19" i="15"/>
  <c r="M19" i="15"/>
  <c r="L19" i="15"/>
  <c r="K19" i="15"/>
  <c r="J19" i="15"/>
  <c r="BB19" i="15" s="1"/>
  <c r="I19" i="15"/>
  <c r="BA19" i="15" s="1"/>
  <c r="H19" i="15"/>
  <c r="AZ19" i="15" s="1"/>
  <c r="F19" i="15"/>
  <c r="AX19" i="15" s="1"/>
  <c r="AW18" i="15"/>
  <c r="AT18" i="15"/>
  <c r="AS18" i="15"/>
  <c r="AR18" i="15"/>
  <c r="AQ18" i="15"/>
  <c r="AP18" i="15"/>
  <c r="AO18" i="15"/>
  <c r="AN18" i="15"/>
  <c r="AM18" i="15"/>
  <c r="AL18" i="15"/>
  <c r="AJ18" i="15"/>
  <c r="AI18" i="15"/>
  <c r="AB18" i="15"/>
  <c r="AA18" i="15"/>
  <c r="Z18" i="15"/>
  <c r="Y18" i="15"/>
  <c r="X18" i="15"/>
  <c r="W18" i="15"/>
  <c r="V18" i="15"/>
  <c r="U18" i="15"/>
  <c r="T18" i="15"/>
  <c r="M18" i="15"/>
  <c r="L18" i="15"/>
  <c r="K18" i="15"/>
  <c r="J18" i="15"/>
  <c r="BB18" i="15" s="1"/>
  <c r="I18" i="15"/>
  <c r="BA18" i="15" s="1"/>
  <c r="H18" i="15"/>
  <c r="AZ18" i="15" s="1"/>
  <c r="F18" i="15"/>
  <c r="AX18" i="15" s="1"/>
  <c r="AW17" i="15"/>
  <c r="AT17" i="15"/>
  <c r="AS17" i="15"/>
  <c r="AR17" i="15"/>
  <c r="AQ17" i="15"/>
  <c r="AP17" i="15"/>
  <c r="AO17" i="15"/>
  <c r="AN17" i="15"/>
  <c r="AM17" i="15"/>
  <c r="AL17" i="15"/>
  <c r="AJ17" i="15"/>
  <c r="AI17" i="15"/>
  <c r="AB17" i="15"/>
  <c r="AA17" i="15"/>
  <c r="Z17" i="15"/>
  <c r="Y17" i="15"/>
  <c r="X17" i="15"/>
  <c r="W17" i="15"/>
  <c r="V17" i="15"/>
  <c r="U17" i="15"/>
  <c r="T17" i="15"/>
  <c r="M17" i="15"/>
  <c r="L17" i="15"/>
  <c r="K17" i="15"/>
  <c r="J17" i="15"/>
  <c r="BB17" i="15" s="1"/>
  <c r="I17" i="15"/>
  <c r="BA17" i="15" s="1"/>
  <c r="H17" i="15"/>
  <c r="AZ17" i="15" s="1"/>
  <c r="F17" i="15"/>
  <c r="AX17" i="15" s="1"/>
  <c r="AW16" i="15"/>
  <c r="AT16" i="15"/>
  <c r="AS16" i="15"/>
  <c r="AR16" i="15"/>
  <c r="AQ16" i="15"/>
  <c r="AP16" i="15"/>
  <c r="AO16" i="15"/>
  <c r="AN16" i="15"/>
  <c r="AM16" i="15"/>
  <c r="AL16" i="15"/>
  <c r="AJ16" i="15"/>
  <c r="AI16" i="15"/>
  <c r="AB16" i="15"/>
  <c r="AA16" i="15"/>
  <c r="Z16" i="15"/>
  <c r="Y16" i="15"/>
  <c r="X16" i="15"/>
  <c r="W16" i="15"/>
  <c r="V16" i="15"/>
  <c r="U16" i="15"/>
  <c r="T16" i="15"/>
  <c r="M16" i="15"/>
  <c r="L16" i="15"/>
  <c r="K16" i="15"/>
  <c r="J16" i="15"/>
  <c r="BB16" i="15" s="1"/>
  <c r="I16" i="15"/>
  <c r="BA16" i="15" s="1"/>
  <c r="H16" i="15"/>
  <c r="AZ16" i="15" s="1"/>
  <c r="F16" i="15"/>
  <c r="AX16" i="15" s="1"/>
  <c r="AW15" i="15"/>
  <c r="AT15" i="15"/>
  <c r="AS15" i="15"/>
  <c r="AR15" i="15"/>
  <c r="AQ15" i="15"/>
  <c r="AP15" i="15"/>
  <c r="AO15" i="15"/>
  <c r="AN15" i="15"/>
  <c r="AM15" i="15"/>
  <c r="AL15" i="15"/>
  <c r="AJ15" i="15"/>
  <c r="AI15" i="15"/>
  <c r="AB15" i="15"/>
  <c r="AA15" i="15"/>
  <c r="Z15" i="15"/>
  <c r="Y15" i="15"/>
  <c r="X15" i="15"/>
  <c r="W15" i="15"/>
  <c r="V15" i="15"/>
  <c r="U15" i="15"/>
  <c r="T15" i="15"/>
  <c r="M15" i="15"/>
  <c r="L15" i="15"/>
  <c r="K15" i="15"/>
  <c r="J15" i="15"/>
  <c r="BB15" i="15" s="1"/>
  <c r="I15" i="15"/>
  <c r="BA15" i="15" s="1"/>
  <c r="H15" i="15"/>
  <c r="AZ15" i="15" s="1"/>
  <c r="F15" i="15"/>
  <c r="AX15" i="15" s="1"/>
  <c r="AW14" i="15"/>
  <c r="AT14" i="15"/>
  <c r="AS14" i="15"/>
  <c r="AR14" i="15"/>
  <c r="AQ14" i="15"/>
  <c r="AP14" i="15"/>
  <c r="AO14" i="15"/>
  <c r="AN14" i="15"/>
  <c r="AM14" i="15"/>
  <c r="AL14" i="15"/>
  <c r="AJ14" i="15"/>
  <c r="AI14" i="15"/>
  <c r="AB14" i="15"/>
  <c r="AA14" i="15"/>
  <c r="Z14" i="15"/>
  <c r="Y14" i="15"/>
  <c r="X14" i="15"/>
  <c r="W14" i="15"/>
  <c r="V14" i="15"/>
  <c r="U14" i="15"/>
  <c r="T14" i="15"/>
  <c r="M14" i="15"/>
  <c r="L14" i="15"/>
  <c r="K14" i="15"/>
  <c r="J14" i="15"/>
  <c r="BB14" i="15" s="1"/>
  <c r="I14" i="15"/>
  <c r="BA14" i="15" s="1"/>
  <c r="H14" i="15"/>
  <c r="AZ14" i="15" s="1"/>
  <c r="F14" i="15"/>
  <c r="AX14" i="15" s="1"/>
  <c r="AW13" i="15"/>
  <c r="AT13" i="15"/>
  <c r="AS13" i="15"/>
  <c r="AR13" i="15"/>
  <c r="AQ13" i="15"/>
  <c r="AP13" i="15"/>
  <c r="AO13" i="15"/>
  <c r="AN13" i="15"/>
  <c r="AM13" i="15"/>
  <c r="AL13" i="15"/>
  <c r="AJ13" i="15"/>
  <c r="AI13" i="15"/>
  <c r="AB13" i="15"/>
  <c r="AA13" i="15"/>
  <c r="Z13" i="15"/>
  <c r="Y13" i="15"/>
  <c r="X13" i="15"/>
  <c r="W13" i="15"/>
  <c r="V13" i="15"/>
  <c r="U13" i="15"/>
  <c r="T13" i="15"/>
  <c r="M13" i="15"/>
  <c r="L13" i="15"/>
  <c r="K13" i="15"/>
  <c r="J13" i="15"/>
  <c r="BB13" i="15" s="1"/>
  <c r="I13" i="15"/>
  <c r="BA13" i="15" s="1"/>
  <c r="H13" i="15"/>
  <c r="AZ13" i="15" s="1"/>
  <c r="F13" i="15"/>
  <c r="AX13" i="15" s="1"/>
  <c r="AW12" i="15"/>
  <c r="AT12" i="15"/>
  <c r="AS12" i="15"/>
  <c r="AR12" i="15"/>
  <c r="AQ12" i="15"/>
  <c r="AP12" i="15"/>
  <c r="AO12" i="15"/>
  <c r="AN12" i="15"/>
  <c r="AM12" i="15"/>
  <c r="AL12" i="15"/>
  <c r="AJ12" i="15"/>
  <c r="AI12" i="15"/>
  <c r="AB12" i="15"/>
  <c r="AA12" i="15"/>
  <c r="Z12" i="15"/>
  <c r="Y12" i="15"/>
  <c r="X12" i="15"/>
  <c r="W12" i="15"/>
  <c r="V12" i="15"/>
  <c r="U12" i="15"/>
  <c r="T12" i="15"/>
  <c r="M12" i="15"/>
  <c r="L12" i="15"/>
  <c r="K12" i="15"/>
  <c r="J12" i="15"/>
  <c r="BB12" i="15" s="1"/>
  <c r="I12" i="15"/>
  <c r="BA12" i="15" s="1"/>
  <c r="H12" i="15"/>
  <c r="AZ12" i="15" s="1"/>
  <c r="F12" i="15"/>
  <c r="AX12" i="15" s="1"/>
  <c r="AW11" i="15"/>
  <c r="AT11" i="15"/>
  <c r="AS11" i="15"/>
  <c r="AR11" i="15"/>
  <c r="AQ11" i="15"/>
  <c r="AP11" i="15"/>
  <c r="AO11" i="15"/>
  <c r="AN11" i="15"/>
  <c r="AM11" i="15"/>
  <c r="AL11" i="15"/>
  <c r="AJ11" i="15"/>
  <c r="AI11" i="15"/>
  <c r="AB11" i="15"/>
  <c r="AA11" i="15"/>
  <c r="Z11" i="15"/>
  <c r="Y11" i="15"/>
  <c r="X11" i="15"/>
  <c r="W11" i="15"/>
  <c r="V11" i="15"/>
  <c r="U11" i="15"/>
  <c r="T11" i="15"/>
  <c r="M11" i="15"/>
  <c r="L11" i="15"/>
  <c r="K11" i="15"/>
  <c r="J11" i="15"/>
  <c r="BB11" i="15" s="1"/>
  <c r="I11" i="15"/>
  <c r="BA11" i="15" s="1"/>
  <c r="H11" i="15"/>
  <c r="AZ11" i="15" s="1"/>
  <c r="F11" i="15"/>
  <c r="AX11" i="15" s="1"/>
  <c r="AW10" i="15"/>
  <c r="AT10" i="15"/>
  <c r="AS10" i="15"/>
  <c r="AR10" i="15"/>
  <c r="AQ10" i="15"/>
  <c r="AP10" i="15"/>
  <c r="AO10" i="15"/>
  <c r="AN10" i="15"/>
  <c r="AM10" i="15"/>
  <c r="AL10" i="15"/>
  <c r="AJ10" i="15"/>
  <c r="AI10" i="15"/>
  <c r="AB10" i="15"/>
  <c r="AA10" i="15"/>
  <c r="Z10" i="15"/>
  <c r="Y10" i="15"/>
  <c r="X10" i="15"/>
  <c r="W10" i="15"/>
  <c r="V10" i="15"/>
  <c r="U10" i="15"/>
  <c r="T10" i="15"/>
  <c r="M10" i="15"/>
  <c r="L10" i="15"/>
  <c r="K10" i="15"/>
  <c r="J10" i="15"/>
  <c r="BB10" i="15" s="1"/>
  <c r="I10" i="15"/>
  <c r="BA10" i="15" s="1"/>
  <c r="H10" i="15"/>
  <c r="AZ10" i="15" s="1"/>
  <c r="F10" i="15"/>
  <c r="AX10" i="15" s="1"/>
  <c r="AW9" i="15"/>
  <c r="AT9" i="15"/>
  <c r="AS9" i="15"/>
  <c r="AR9" i="15"/>
  <c r="AQ9" i="15"/>
  <c r="AP9" i="15"/>
  <c r="AO9" i="15"/>
  <c r="AN9" i="15"/>
  <c r="AM9" i="15"/>
  <c r="AL9" i="15"/>
  <c r="AJ9" i="15"/>
  <c r="AI9" i="15"/>
  <c r="AB9" i="15"/>
  <c r="AA9" i="15"/>
  <c r="Z9" i="15"/>
  <c r="Y9" i="15"/>
  <c r="X9" i="15"/>
  <c r="W9" i="15"/>
  <c r="V9" i="15"/>
  <c r="U9" i="15"/>
  <c r="T9" i="15"/>
  <c r="M9" i="15"/>
  <c r="L9" i="15"/>
  <c r="K9" i="15"/>
  <c r="J9" i="15"/>
  <c r="BB9" i="15" s="1"/>
  <c r="I9" i="15"/>
  <c r="BA9" i="15" s="1"/>
  <c r="H9" i="15"/>
  <c r="AZ9" i="15" s="1"/>
  <c r="F9" i="15"/>
  <c r="AX9" i="15" s="1"/>
  <c r="AW8" i="15"/>
  <c r="AT8" i="15"/>
  <c r="AS8" i="15"/>
  <c r="AR8" i="15"/>
  <c r="AQ8" i="15"/>
  <c r="AP8" i="15"/>
  <c r="AO8" i="15"/>
  <c r="AN8" i="15"/>
  <c r="AM8" i="15"/>
  <c r="AL8" i="15"/>
  <c r="AJ8" i="15"/>
  <c r="AI8" i="15"/>
  <c r="AB8" i="15"/>
  <c r="AA8" i="15"/>
  <c r="Z8" i="15"/>
  <c r="Y8" i="15"/>
  <c r="X8" i="15"/>
  <c r="W8" i="15"/>
  <c r="V8" i="15"/>
  <c r="U8" i="15"/>
  <c r="T8" i="15"/>
  <c r="M8" i="15"/>
  <c r="L8" i="15"/>
  <c r="K8" i="15"/>
  <c r="J8" i="15"/>
  <c r="BB8" i="15" s="1"/>
  <c r="I8" i="15"/>
  <c r="BA8" i="15" s="1"/>
  <c r="H8" i="15"/>
  <c r="AZ8" i="15" s="1"/>
  <c r="F8" i="15"/>
  <c r="AX8" i="15" s="1"/>
  <c r="AW7" i="15"/>
  <c r="AT7" i="15"/>
  <c r="AS7" i="15"/>
  <c r="AR7" i="15"/>
  <c r="AQ7" i="15"/>
  <c r="AP7" i="15"/>
  <c r="AO7" i="15"/>
  <c r="AN7" i="15"/>
  <c r="AM7" i="15"/>
  <c r="AL7" i="15"/>
  <c r="AJ7" i="15"/>
  <c r="AI7" i="15"/>
  <c r="AB7" i="15"/>
  <c r="AA7" i="15"/>
  <c r="Z7" i="15"/>
  <c r="Y7" i="15"/>
  <c r="X7" i="15"/>
  <c r="W7" i="15"/>
  <c r="V7" i="15"/>
  <c r="U7" i="15"/>
  <c r="T7" i="15"/>
  <c r="M7" i="15"/>
  <c r="L7" i="15"/>
  <c r="K7" i="15"/>
  <c r="J7" i="15"/>
  <c r="BB7" i="15" s="1"/>
  <c r="I7" i="15"/>
  <c r="BA7" i="15" s="1"/>
  <c r="H7" i="15"/>
  <c r="AZ7" i="15" s="1"/>
  <c r="F7" i="15"/>
  <c r="AX7" i="15" s="1"/>
  <c r="AW6" i="15"/>
  <c r="AT6" i="15"/>
  <c r="AS6" i="15"/>
  <c r="AR6" i="15"/>
  <c r="AQ6" i="15"/>
  <c r="AP6" i="15"/>
  <c r="AO6" i="15"/>
  <c r="AN6" i="15"/>
  <c r="AM6" i="15"/>
  <c r="AL6" i="15"/>
  <c r="AJ6" i="15"/>
  <c r="AI6" i="15"/>
  <c r="AB6" i="15"/>
  <c r="AA6" i="15"/>
  <c r="Z6" i="15"/>
  <c r="Y6" i="15"/>
  <c r="X6" i="15"/>
  <c r="W6" i="15"/>
  <c r="V6" i="15"/>
  <c r="U6" i="15"/>
  <c r="T6" i="15"/>
  <c r="M6" i="15"/>
  <c r="L6" i="15"/>
  <c r="K6" i="15"/>
  <c r="J6" i="15"/>
  <c r="BB6" i="15" s="1"/>
  <c r="I6" i="15"/>
  <c r="BA6" i="15" s="1"/>
  <c r="H6" i="15"/>
  <c r="AZ6" i="15" s="1"/>
  <c r="F6" i="15"/>
  <c r="AX6" i="15" s="1"/>
  <c r="AT5" i="15"/>
  <c r="AS5" i="15"/>
  <c r="AR5" i="15"/>
  <c r="AQ5" i="15"/>
  <c r="AP5" i="15"/>
  <c r="AO5" i="15"/>
  <c r="AN5" i="15"/>
  <c r="AM5" i="15"/>
  <c r="AL5" i="15"/>
  <c r="AJ5" i="15"/>
  <c r="AI5" i="15"/>
  <c r="AB5" i="15"/>
  <c r="AA5" i="15"/>
  <c r="Z5" i="15"/>
  <c r="Y5" i="15"/>
  <c r="X5" i="15"/>
  <c r="W5" i="15"/>
  <c r="V5" i="15"/>
  <c r="U5" i="15"/>
  <c r="T5" i="15"/>
  <c r="M5" i="15"/>
  <c r="L5" i="15"/>
  <c r="K5" i="15"/>
  <c r="J5" i="15"/>
  <c r="BB5" i="15" s="1"/>
  <c r="I5" i="15"/>
  <c r="BA5" i="15" s="1"/>
  <c r="H5" i="15"/>
  <c r="AZ5" i="15" s="1"/>
  <c r="F5" i="15"/>
  <c r="AX5" i="15" s="1"/>
  <c r="AW4" i="15"/>
  <c r="AT4" i="15"/>
  <c r="AS4" i="15"/>
  <c r="AR4" i="15"/>
  <c r="AQ4" i="15"/>
  <c r="AP4" i="15"/>
  <c r="AO4" i="15"/>
  <c r="AN4" i="15"/>
  <c r="AM4" i="15"/>
  <c r="AL4" i="15"/>
  <c r="AJ4" i="15"/>
  <c r="AI4" i="15"/>
  <c r="AB4" i="15"/>
  <c r="AA4" i="15"/>
  <c r="Z4" i="15"/>
  <c r="Y4" i="15"/>
  <c r="X4" i="15"/>
  <c r="W4" i="15"/>
  <c r="V4" i="15"/>
  <c r="U4" i="15"/>
  <c r="T4" i="15"/>
  <c r="M4" i="15"/>
  <c r="L4" i="15"/>
  <c r="K4" i="15"/>
  <c r="J4" i="15"/>
  <c r="BB4" i="15" s="1"/>
  <c r="I4" i="15"/>
  <c r="BA4" i="15" s="1"/>
  <c r="H4" i="15"/>
  <c r="AZ4" i="15" s="1"/>
  <c r="F4" i="15"/>
  <c r="AX4" i="15" s="1"/>
  <c r="AW3" i="15"/>
  <c r="AT3" i="15"/>
  <c r="AS3" i="15"/>
  <c r="AR3" i="15"/>
  <c r="AQ3" i="15"/>
  <c r="AP3" i="15"/>
  <c r="AO3" i="15"/>
  <c r="AN3" i="15"/>
  <c r="AM3" i="15"/>
  <c r="AL3" i="15"/>
  <c r="AJ3" i="15"/>
  <c r="AI3" i="15"/>
  <c r="AB3" i="15"/>
  <c r="AA3" i="15"/>
  <c r="Z3" i="15"/>
  <c r="Y3" i="15"/>
  <c r="X3" i="15"/>
  <c r="W3" i="15"/>
  <c r="V3" i="15"/>
  <c r="U3" i="15"/>
  <c r="T3" i="15"/>
  <c r="M3" i="15"/>
  <c r="L3" i="15"/>
  <c r="K3" i="15"/>
  <c r="J3" i="15"/>
  <c r="BB3" i="15" s="1"/>
  <c r="I3" i="15"/>
  <c r="BA3" i="15" s="1"/>
  <c r="H3" i="15"/>
  <c r="AZ3" i="15" s="1"/>
  <c r="F3" i="15"/>
  <c r="AX3" i="15" s="1"/>
  <c r="AW2" i="15"/>
  <c r="AT2" i="15"/>
  <c r="AS2" i="15"/>
  <c r="AR2" i="15"/>
  <c r="AQ2" i="15"/>
  <c r="AP2" i="15"/>
  <c r="AO2" i="15"/>
  <c r="AN2" i="15"/>
  <c r="AM2" i="15"/>
  <c r="AL2" i="15"/>
  <c r="AK2" i="15"/>
  <c r="AJ2" i="15"/>
  <c r="AI2" i="15"/>
  <c r="AB2" i="15"/>
  <c r="AA2" i="15"/>
  <c r="Z2" i="15"/>
  <c r="Y2" i="15"/>
  <c r="X2" i="15"/>
  <c r="W2" i="15"/>
  <c r="V2" i="15"/>
  <c r="U2" i="15"/>
  <c r="T2" i="15"/>
  <c r="M2" i="15"/>
  <c r="L2" i="15"/>
  <c r="K2" i="15"/>
  <c r="J2" i="15"/>
  <c r="BB2" i="15" s="1"/>
  <c r="I2" i="15"/>
  <c r="BA2" i="15" s="1"/>
  <c r="H2" i="15"/>
  <c r="AZ2" i="15" s="1"/>
  <c r="G2" i="15"/>
  <c r="AY2" i="15" s="1"/>
  <c r="F2" i="15"/>
  <c r="AX2" i="15" s="1"/>
  <c r="AT3" i="3"/>
  <c r="AT4" i="3"/>
  <c r="AT5" i="3"/>
  <c r="AT6" i="3"/>
  <c r="AT7" i="3"/>
  <c r="AT8" i="3"/>
  <c r="AT9" i="3"/>
  <c r="AT10" i="3"/>
  <c r="AT11" i="3"/>
  <c r="AT12" i="3"/>
  <c r="AT13" i="3"/>
  <c r="AT14" i="3"/>
  <c r="AT15" i="3"/>
  <c r="AT16" i="3"/>
  <c r="AT17" i="3"/>
  <c r="AT18" i="3"/>
  <c r="AT19" i="3"/>
  <c r="AT20" i="3"/>
  <c r="AT21" i="3"/>
  <c r="AT22" i="3"/>
  <c r="AT23" i="3"/>
  <c r="AT24" i="3"/>
  <c r="AT25" i="3"/>
  <c r="AT26" i="3"/>
  <c r="AT27" i="3"/>
  <c r="AT28" i="3"/>
  <c r="AT29" i="3"/>
  <c r="AT30" i="3"/>
  <c r="AT31" i="3"/>
  <c r="AT32" i="3"/>
  <c r="AT33" i="3"/>
  <c r="AT34" i="3"/>
  <c r="AT35" i="3"/>
  <c r="AT36" i="3"/>
  <c r="AT37" i="3"/>
  <c r="AT38" i="3"/>
  <c r="AT39" i="3"/>
  <c r="AT40" i="3"/>
  <c r="AT41" i="3"/>
  <c r="AT42" i="3"/>
  <c r="AT43" i="3"/>
  <c r="AT44" i="3"/>
  <c r="AT45" i="3"/>
  <c r="AT46" i="3"/>
  <c r="AT47" i="3"/>
  <c r="AT48" i="3"/>
  <c r="AT49" i="3"/>
  <c r="AT50" i="3"/>
  <c r="AT51" i="3"/>
  <c r="AT52" i="3"/>
  <c r="AT53" i="3"/>
  <c r="AT54" i="3"/>
  <c r="AT55" i="3"/>
  <c r="AT56" i="3"/>
  <c r="AT57" i="3"/>
  <c r="AT58" i="3"/>
  <c r="AT59" i="3"/>
  <c r="AT60" i="3"/>
  <c r="AT61" i="3"/>
  <c r="AT62" i="3"/>
  <c r="AT63" i="3"/>
  <c r="AT64" i="3"/>
  <c r="AT65" i="3"/>
  <c r="AT66" i="3"/>
  <c r="AT67" i="3"/>
  <c r="AT68" i="3"/>
  <c r="AT69" i="3"/>
  <c r="AT70" i="3"/>
  <c r="AT71" i="3"/>
  <c r="AT72" i="3"/>
  <c r="AT73" i="3"/>
  <c r="AT74" i="3"/>
  <c r="AT75" i="3"/>
  <c r="AT76" i="3"/>
  <c r="AT77" i="3"/>
  <c r="AT78" i="3"/>
  <c r="AT79" i="3"/>
  <c r="AT80" i="3"/>
  <c r="AT81" i="3"/>
  <c r="AT82" i="3"/>
  <c r="AT83" i="3"/>
  <c r="AT84" i="3"/>
  <c r="AT85" i="3"/>
  <c r="AT86" i="3"/>
  <c r="AT87" i="3"/>
  <c r="AT88" i="3"/>
  <c r="AT89" i="3"/>
  <c r="AT90" i="3"/>
  <c r="AT91" i="3"/>
  <c r="AT92" i="3"/>
  <c r="AT93" i="3"/>
  <c r="AT94" i="3"/>
  <c r="AT95" i="3"/>
  <c r="AT96" i="3"/>
  <c r="AT97" i="3"/>
  <c r="AT98" i="3"/>
  <c r="AT99" i="3"/>
  <c r="AT100" i="3"/>
  <c r="AT101" i="3"/>
  <c r="AT102" i="3"/>
  <c r="AT103" i="3"/>
  <c r="AT104" i="3"/>
  <c r="AT105" i="3"/>
  <c r="AT106" i="3"/>
  <c r="AT107" i="3"/>
  <c r="AT108" i="3"/>
  <c r="AT109" i="3"/>
  <c r="AT110" i="3"/>
  <c r="AT111" i="3"/>
  <c r="AT2" i="3"/>
  <c r="AS3" i="3"/>
  <c r="AS4" i="3"/>
  <c r="AS5" i="3"/>
  <c r="AS6" i="3"/>
  <c r="AS7" i="3"/>
  <c r="AS8" i="3"/>
  <c r="AS9" i="3"/>
  <c r="AS10" i="3"/>
  <c r="AS11" i="3"/>
  <c r="AS12" i="3"/>
  <c r="AS13" i="3"/>
  <c r="AS14" i="3"/>
  <c r="AS15" i="3"/>
  <c r="AS16" i="3"/>
  <c r="AS17" i="3"/>
  <c r="AS18" i="3"/>
  <c r="AS19" i="3"/>
  <c r="AS20" i="3"/>
  <c r="AS21" i="3"/>
  <c r="AS22" i="3"/>
  <c r="AS23" i="3"/>
  <c r="AS24" i="3"/>
  <c r="AS25" i="3"/>
  <c r="AS26" i="3"/>
  <c r="AS27" i="3"/>
  <c r="AS28" i="3"/>
  <c r="AS29" i="3"/>
  <c r="AS30" i="3"/>
  <c r="AS31" i="3"/>
  <c r="AS32" i="3"/>
  <c r="AS33" i="3"/>
  <c r="AS34" i="3"/>
  <c r="AS35" i="3"/>
  <c r="AS36" i="3"/>
  <c r="AS37" i="3"/>
  <c r="AS38" i="3"/>
  <c r="AS39" i="3"/>
  <c r="AS40" i="3"/>
  <c r="AS41" i="3"/>
  <c r="AS42" i="3"/>
  <c r="AS43" i="3"/>
  <c r="AS44" i="3"/>
  <c r="AS45" i="3"/>
  <c r="AS46" i="3"/>
  <c r="AS47" i="3"/>
  <c r="AS48" i="3"/>
  <c r="AS49" i="3"/>
  <c r="AS50" i="3"/>
  <c r="AS51" i="3"/>
  <c r="AS52" i="3"/>
  <c r="AS53" i="3"/>
  <c r="AS54" i="3"/>
  <c r="AS55" i="3"/>
  <c r="AS56" i="3"/>
  <c r="AS57" i="3"/>
  <c r="AS58" i="3"/>
  <c r="AS59" i="3"/>
  <c r="AS60" i="3"/>
  <c r="AS61" i="3"/>
  <c r="AS62" i="3"/>
  <c r="AS63" i="3"/>
  <c r="AS64" i="3"/>
  <c r="AS65" i="3"/>
  <c r="AS66" i="3"/>
  <c r="AS67" i="3"/>
  <c r="AS68" i="3"/>
  <c r="AS69" i="3"/>
  <c r="AS70" i="3"/>
  <c r="AS71" i="3"/>
  <c r="AS72" i="3"/>
  <c r="AS73" i="3"/>
  <c r="AS74" i="3"/>
  <c r="AS75" i="3"/>
  <c r="AS76" i="3"/>
  <c r="AS77" i="3"/>
  <c r="AS78" i="3"/>
  <c r="AS79" i="3"/>
  <c r="AS80" i="3"/>
  <c r="AS81" i="3"/>
  <c r="AS82" i="3"/>
  <c r="AS83" i="3"/>
  <c r="AS84" i="3"/>
  <c r="AS85" i="3"/>
  <c r="AS86" i="3"/>
  <c r="AS87" i="3"/>
  <c r="AS88" i="3"/>
  <c r="AS89" i="3"/>
  <c r="AS90" i="3"/>
  <c r="AS91" i="3"/>
  <c r="AS92" i="3"/>
  <c r="AS93" i="3"/>
  <c r="AS94" i="3"/>
  <c r="AS95" i="3"/>
  <c r="AS96" i="3"/>
  <c r="AS97" i="3"/>
  <c r="AS98" i="3"/>
  <c r="AS99" i="3"/>
  <c r="AS100" i="3"/>
  <c r="AS101" i="3"/>
  <c r="AS102" i="3"/>
  <c r="AS103" i="3"/>
  <c r="AS104" i="3"/>
  <c r="AS105" i="3"/>
  <c r="AS106" i="3"/>
  <c r="AS107" i="3"/>
  <c r="AS108" i="3"/>
  <c r="AS109" i="3"/>
  <c r="AS110" i="3"/>
  <c r="AS111" i="3"/>
  <c r="AS2" i="3"/>
  <c r="AR3" i="3"/>
  <c r="AR4" i="3"/>
  <c r="AR5" i="3"/>
  <c r="AR6" i="3"/>
  <c r="AR7" i="3"/>
  <c r="AR8" i="3"/>
  <c r="AR9" i="3"/>
  <c r="AR10" i="3"/>
  <c r="AR11" i="3"/>
  <c r="AR12" i="3"/>
  <c r="AR13" i="3"/>
  <c r="AR14" i="3"/>
  <c r="AR15" i="3"/>
  <c r="AR16" i="3"/>
  <c r="AR17" i="3"/>
  <c r="AR18" i="3"/>
  <c r="AR19" i="3"/>
  <c r="AR20" i="3"/>
  <c r="AR21" i="3"/>
  <c r="AR22" i="3"/>
  <c r="AR23" i="3"/>
  <c r="AR24" i="3"/>
  <c r="AR25" i="3"/>
  <c r="AR26" i="3"/>
  <c r="AR27" i="3"/>
  <c r="AR28" i="3"/>
  <c r="AR29" i="3"/>
  <c r="AR30" i="3"/>
  <c r="AR31" i="3"/>
  <c r="AR32" i="3"/>
  <c r="AR33" i="3"/>
  <c r="AR34" i="3"/>
  <c r="AR35" i="3"/>
  <c r="AR36" i="3"/>
  <c r="AR37" i="3"/>
  <c r="AR38" i="3"/>
  <c r="AR39" i="3"/>
  <c r="AR40" i="3"/>
  <c r="AR41" i="3"/>
  <c r="AR42" i="3"/>
  <c r="AR43" i="3"/>
  <c r="AR44" i="3"/>
  <c r="AR45" i="3"/>
  <c r="AR46" i="3"/>
  <c r="AR47" i="3"/>
  <c r="AR48" i="3"/>
  <c r="AR49" i="3"/>
  <c r="AR50" i="3"/>
  <c r="AR51" i="3"/>
  <c r="AR52" i="3"/>
  <c r="AR53" i="3"/>
  <c r="AR54" i="3"/>
  <c r="AR55" i="3"/>
  <c r="AR56" i="3"/>
  <c r="AR57" i="3"/>
  <c r="AR58" i="3"/>
  <c r="AR59" i="3"/>
  <c r="AR60" i="3"/>
  <c r="AR61" i="3"/>
  <c r="AR62" i="3"/>
  <c r="AR63" i="3"/>
  <c r="AR64" i="3"/>
  <c r="AR65" i="3"/>
  <c r="AR66" i="3"/>
  <c r="AR67" i="3"/>
  <c r="AR68" i="3"/>
  <c r="AR69" i="3"/>
  <c r="AR70" i="3"/>
  <c r="AR71" i="3"/>
  <c r="AR72" i="3"/>
  <c r="AR73" i="3"/>
  <c r="AR74" i="3"/>
  <c r="AR75" i="3"/>
  <c r="AR76" i="3"/>
  <c r="AR77" i="3"/>
  <c r="AR78" i="3"/>
  <c r="AR79" i="3"/>
  <c r="AR80" i="3"/>
  <c r="AR81" i="3"/>
  <c r="AR82" i="3"/>
  <c r="AR83" i="3"/>
  <c r="AR84" i="3"/>
  <c r="AR85" i="3"/>
  <c r="AR86" i="3"/>
  <c r="AR87" i="3"/>
  <c r="AR88" i="3"/>
  <c r="AR89" i="3"/>
  <c r="AR90" i="3"/>
  <c r="AR91" i="3"/>
  <c r="AR92" i="3"/>
  <c r="AR93" i="3"/>
  <c r="AR94" i="3"/>
  <c r="AR95" i="3"/>
  <c r="AR96" i="3"/>
  <c r="AR97" i="3"/>
  <c r="AR98" i="3"/>
  <c r="AR99" i="3"/>
  <c r="AR100" i="3"/>
  <c r="AR101" i="3"/>
  <c r="AR102" i="3"/>
  <c r="AR103" i="3"/>
  <c r="AR104" i="3"/>
  <c r="AR105" i="3"/>
  <c r="AR106" i="3"/>
  <c r="AR107" i="3"/>
  <c r="AR108" i="3"/>
  <c r="AR109" i="3"/>
  <c r="AR110" i="3"/>
  <c r="AR111" i="3"/>
  <c r="AR2" i="3"/>
  <c r="AQ3" i="3"/>
  <c r="AQ4" i="3"/>
  <c r="AQ5" i="3"/>
  <c r="AQ6" i="3"/>
  <c r="AQ7" i="3"/>
  <c r="AQ8" i="3"/>
  <c r="AQ9" i="3"/>
  <c r="AQ10" i="3"/>
  <c r="AQ11" i="3"/>
  <c r="AQ12" i="3"/>
  <c r="AQ13" i="3"/>
  <c r="AQ14" i="3"/>
  <c r="AQ15" i="3"/>
  <c r="AQ16" i="3"/>
  <c r="AQ17" i="3"/>
  <c r="AQ18" i="3"/>
  <c r="AQ19" i="3"/>
  <c r="AQ20" i="3"/>
  <c r="AQ21" i="3"/>
  <c r="AQ22" i="3"/>
  <c r="AQ23" i="3"/>
  <c r="AQ24" i="3"/>
  <c r="AQ25" i="3"/>
  <c r="AQ26" i="3"/>
  <c r="AQ27" i="3"/>
  <c r="AQ28" i="3"/>
  <c r="AQ29" i="3"/>
  <c r="AQ30" i="3"/>
  <c r="AQ31" i="3"/>
  <c r="AQ32" i="3"/>
  <c r="AQ33" i="3"/>
  <c r="AQ34" i="3"/>
  <c r="AQ35" i="3"/>
  <c r="AQ36" i="3"/>
  <c r="AQ37" i="3"/>
  <c r="AQ38" i="3"/>
  <c r="AQ39" i="3"/>
  <c r="AQ40" i="3"/>
  <c r="AQ41" i="3"/>
  <c r="AQ42" i="3"/>
  <c r="AQ43" i="3"/>
  <c r="AQ44" i="3"/>
  <c r="AQ45" i="3"/>
  <c r="AQ46" i="3"/>
  <c r="AQ47" i="3"/>
  <c r="AQ48" i="3"/>
  <c r="AQ49" i="3"/>
  <c r="AQ50" i="3"/>
  <c r="AQ51" i="3"/>
  <c r="AQ52" i="3"/>
  <c r="AQ53" i="3"/>
  <c r="AQ54" i="3"/>
  <c r="AQ55" i="3"/>
  <c r="AQ56" i="3"/>
  <c r="AQ57" i="3"/>
  <c r="AQ58" i="3"/>
  <c r="AQ59" i="3"/>
  <c r="AQ60" i="3"/>
  <c r="AQ61" i="3"/>
  <c r="AQ62" i="3"/>
  <c r="AQ63" i="3"/>
  <c r="AQ64" i="3"/>
  <c r="AQ65" i="3"/>
  <c r="AQ66" i="3"/>
  <c r="AQ67" i="3"/>
  <c r="AQ68" i="3"/>
  <c r="AQ69" i="3"/>
  <c r="AQ70" i="3"/>
  <c r="AQ71" i="3"/>
  <c r="AQ72" i="3"/>
  <c r="AQ73" i="3"/>
  <c r="AQ74" i="3"/>
  <c r="AQ75" i="3"/>
  <c r="AQ76" i="3"/>
  <c r="AQ77" i="3"/>
  <c r="AQ78" i="3"/>
  <c r="AQ79" i="3"/>
  <c r="AQ80" i="3"/>
  <c r="AQ81" i="3"/>
  <c r="AQ82" i="3"/>
  <c r="AQ83" i="3"/>
  <c r="AQ84" i="3"/>
  <c r="AQ85" i="3"/>
  <c r="AQ86" i="3"/>
  <c r="AQ87" i="3"/>
  <c r="AQ88" i="3"/>
  <c r="AQ89" i="3"/>
  <c r="AQ90" i="3"/>
  <c r="AQ91" i="3"/>
  <c r="AQ92" i="3"/>
  <c r="AQ93" i="3"/>
  <c r="AQ94" i="3"/>
  <c r="AQ95" i="3"/>
  <c r="AQ96" i="3"/>
  <c r="AQ97" i="3"/>
  <c r="AQ98" i="3"/>
  <c r="AQ99" i="3"/>
  <c r="AQ100" i="3"/>
  <c r="AQ101" i="3"/>
  <c r="AQ102" i="3"/>
  <c r="AQ103" i="3"/>
  <c r="AQ104" i="3"/>
  <c r="AQ105" i="3"/>
  <c r="AQ106" i="3"/>
  <c r="AQ107" i="3"/>
  <c r="AQ108" i="3"/>
  <c r="AQ109" i="3"/>
  <c r="AQ110" i="3"/>
  <c r="AQ111" i="3"/>
  <c r="AQ2" i="3"/>
  <c r="AP3" i="3"/>
  <c r="AP4" i="3"/>
  <c r="AP5" i="3"/>
  <c r="AP6" i="3"/>
  <c r="AP7" i="3"/>
  <c r="AP8" i="3"/>
  <c r="AP9" i="3"/>
  <c r="AP10" i="3"/>
  <c r="AP11" i="3"/>
  <c r="AP12" i="3"/>
  <c r="AP13" i="3"/>
  <c r="AP14" i="3"/>
  <c r="AP15" i="3"/>
  <c r="AP16" i="3"/>
  <c r="AP17" i="3"/>
  <c r="AP18" i="3"/>
  <c r="AP19" i="3"/>
  <c r="AP20" i="3"/>
  <c r="AP21" i="3"/>
  <c r="AP22" i="3"/>
  <c r="AP23" i="3"/>
  <c r="AP24" i="3"/>
  <c r="AP25" i="3"/>
  <c r="AP26" i="3"/>
  <c r="AP27" i="3"/>
  <c r="AP28" i="3"/>
  <c r="AP29" i="3"/>
  <c r="AP30" i="3"/>
  <c r="AP31" i="3"/>
  <c r="AP32" i="3"/>
  <c r="AP33" i="3"/>
  <c r="AP34" i="3"/>
  <c r="AP35" i="3"/>
  <c r="AP36" i="3"/>
  <c r="AP37" i="3"/>
  <c r="AP38" i="3"/>
  <c r="AP39" i="3"/>
  <c r="AP40" i="3"/>
  <c r="AP41" i="3"/>
  <c r="AP42" i="3"/>
  <c r="AP43" i="3"/>
  <c r="AP44" i="3"/>
  <c r="AP45" i="3"/>
  <c r="AP46" i="3"/>
  <c r="AP47" i="3"/>
  <c r="AP48" i="3"/>
  <c r="AP49" i="3"/>
  <c r="AP50" i="3"/>
  <c r="AP51" i="3"/>
  <c r="AP52" i="3"/>
  <c r="AP53" i="3"/>
  <c r="AP54" i="3"/>
  <c r="AP55" i="3"/>
  <c r="AP56" i="3"/>
  <c r="AP57" i="3"/>
  <c r="AP58" i="3"/>
  <c r="AP59" i="3"/>
  <c r="AP60" i="3"/>
  <c r="AP61" i="3"/>
  <c r="AP62" i="3"/>
  <c r="AP63" i="3"/>
  <c r="AP64" i="3"/>
  <c r="AP65" i="3"/>
  <c r="AP66" i="3"/>
  <c r="AP67" i="3"/>
  <c r="AP68" i="3"/>
  <c r="AP69" i="3"/>
  <c r="AP70" i="3"/>
  <c r="AP71" i="3"/>
  <c r="AP72" i="3"/>
  <c r="AP73" i="3"/>
  <c r="AP74" i="3"/>
  <c r="AP75" i="3"/>
  <c r="AP76" i="3"/>
  <c r="AP77" i="3"/>
  <c r="AP78" i="3"/>
  <c r="AP79" i="3"/>
  <c r="AP80" i="3"/>
  <c r="AP81" i="3"/>
  <c r="AP82" i="3"/>
  <c r="AP83" i="3"/>
  <c r="AP84" i="3"/>
  <c r="AP85" i="3"/>
  <c r="AP86" i="3"/>
  <c r="AP87" i="3"/>
  <c r="AP88" i="3"/>
  <c r="AP89" i="3"/>
  <c r="AP90" i="3"/>
  <c r="AP91" i="3"/>
  <c r="AP92" i="3"/>
  <c r="AP93" i="3"/>
  <c r="AP94" i="3"/>
  <c r="AP95" i="3"/>
  <c r="AP96" i="3"/>
  <c r="AP97" i="3"/>
  <c r="AP98" i="3"/>
  <c r="AP99" i="3"/>
  <c r="AP100" i="3"/>
  <c r="AP101" i="3"/>
  <c r="AP102" i="3"/>
  <c r="AP103" i="3"/>
  <c r="AP104" i="3"/>
  <c r="AP105" i="3"/>
  <c r="AP106" i="3"/>
  <c r="AP107" i="3"/>
  <c r="AP108" i="3"/>
  <c r="AP109" i="3"/>
  <c r="AP110" i="3"/>
  <c r="AP111" i="3"/>
  <c r="AP2" i="3"/>
  <c r="AO3" i="3"/>
  <c r="AO4" i="3"/>
  <c r="AO5" i="3"/>
  <c r="AO6" i="3"/>
  <c r="AO7" i="3"/>
  <c r="AO8" i="3"/>
  <c r="AO9" i="3"/>
  <c r="AO10" i="3"/>
  <c r="AO11" i="3"/>
  <c r="AO12" i="3"/>
  <c r="AO13" i="3"/>
  <c r="AO14" i="3"/>
  <c r="AO15" i="3"/>
  <c r="AO16" i="3"/>
  <c r="AO18" i="3"/>
  <c r="AO19" i="3"/>
  <c r="AO20" i="3"/>
  <c r="AO21" i="3"/>
  <c r="AO22" i="3"/>
  <c r="AO23" i="3"/>
  <c r="AO24" i="3"/>
  <c r="AO25" i="3"/>
  <c r="AO26" i="3"/>
  <c r="AO27" i="3"/>
  <c r="AO28" i="3"/>
  <c r="AO29" i="3"/>
  <c r="AO30" i="3"/>
  <c r="AO31" i="3"/>
  <c r="AO32" i="3"/>
  <c r="AO33" i="3"/>
  <c r="AO34" i="3"/>
  <c r="AO35" i="3"/>
  <c r="AO36" i="3"/>
  <c r="AO37" i="3"/>
  <c r="AO38" i="3"/>
  <c r="AO39" i="3"/>
  <c r="AO40" i="3"/>
  <c r="AO41" i="3"/>
  <c r="AO42" i="3"/>
  <c r="AO43" i="3"/>
  <c r="AO44" i="3"/>
  <c r="AO45" i="3"/>
  <c r="AO46" i="3"/>
  <c r="AO47" i="3"/>
  <c r="AO48" i="3"/>
  <c r="AO49" i="3"/>
  <c r="AO50" i="3"/>
  <c r="AO51" i="3"/>
  <c r="AO52" i="3"/>
  <c r="AO53" i="3"/>
  <c r="AO54" i="3"/>
  <c r="AO55" i="3"/>
  <c r="AO56" i="3"/>
  <c r="AO57" i="3"/>
  <c r="AO58" i="3"/>
  <c r="AO59" i="3"/>
  <c r="AO60" i="3"/>
  <c r="AO61" i="3"/>
  <c r="AO62" i="3"/>
  <c r="AO63" i="3"/>
  <c r="AO64" i="3"/>
  <c r="AO65" i="3"/>
  <c r="AO66" i="3"/>
  <c r="AO67" i="3"/>
  <c r="AO68" i="3"/>
  <c r="AO69" i="3"/>
  <c r="AO70" i="3"/>
  <c r="AO71" i="3"/>
  <c r="AO72" i="3"/>
  <c r="AO73" i="3"/>
  <c r="AO74" i="3"/>
  <c r="AO75" i="3"/>
  <c r="AO76" i="3"/>
  <c r="AO77" i="3"/>
  <c r="AO78" i="3"/>
  <c r="AO79" i="3"/>
  <c r="AO80" i="3"/>
  <c r="AO81" i="3"/>
  <c r="AO82" i="3"/>
  <c r="AO83" i="3"/>
  <c r="AO84" i="3"/>
  <c r="AO85" i="3"/>
  <c r="AO86" i="3"/>
  <c r="AO87" i="3"/>
  <c r="AO88" i="3"/>
  <c r="AO89" i="3"/>
  <c r="AO90" i="3"/>
  <c r="AO91" i="3"/>
  <c r="AO92" i="3"/>
  <c r="AO93" i="3"/>
  <c r="AO94" i="3"/>
  <c r="AO95" i="3"/>
  <c r="AO96" i="3"/>
  <c r="AO97" i="3"/>
  <c r="AO98" i="3"/>
  <c r="AO99" i="3"/>
  <c r="AO100" i="3"/>
  <c r="AO101" i="3"/>
  <c r="AO102" i="3"/>
  <c r="AO103" i="3"/>
  <c r="AO104" i="3"/>
  <c r="AO105" i="3"/>
  <c r="AO106" i="3"/>
  <c r="AO107" i="3"/>
  <c r="AO108" i="3"/>
  <c r="AO109" i="3"/>
  <c r="AO110" i="3"/>
  <c r="AO111" i="3"/>
  <c r="AO2" i="3"/>
  <c r="AN3" i="3"/>
  <c r="AN4" i="3"/>
  <c r="AN5" i="3"/>
  <c r="AN6" i="3"/>
  <c r="AN7" i="3"/>
  <c r="AN8" i="3"/>
  <c r="AN9" i="3"/>
  <c r="AN10" i="3"/>
  <c r="AN11" i="3"/>
  <c r="AN12" i="3"/>
  <c r="AN13" i="3"/>
  <c r="AN14" i="3"/>
  <c r="AN15" i="3"/>
  <c r="AN16" i="3"/>
  <c r="AN17" i="3"/>
  <c r="AN18" i="3"/>
  <c r="AN19" i="3"/>
  <c r="AN20" i="3"/>
  <c r="AN21" i="3"/>
  <c r="AN22" i="3"/>
  <c r="AN23" i="3"/>
  <c r="AN24" i="3"/>
  <c r="AN25" i="3"/>
  <c r="AN26" i="3"/>
  <c r="AN27" i="3"/>
  <c r="AN28" i="3"/>
  <c r="AN29" i="3"/>
  <c r="AN30" i="3"/>
  <c r="AN31" i="3"/>
  <c r="AN32" i="3"/>
  <c r="AN33" i="3"/>
  <c r="AN34" i="3"/>
  <c r="AN35" i="3"/>
  <c r="AN36" i="3"/>
  <c r="AN37" i="3"/>
  <c r="AN38" i="3"/>
  <c r="AN39" i="3"/>
  <c r="AN40" i="3"/>
  <c r="AN41" i="3"/>
  <c r="AN42" i="3"/>
  <c r="AN43" i="3"/>
  <c r="AN44" i="3"/>
  <c r="AN45" i="3"/>
  <c r="AN46" i="3"/>
  <c r="AN47" i="3"/>
  <c r="AN48" i="3"/>
  <c r="AN49" i="3"/>
  <c r="AN50" i="3"/>
  <c r="AN51" i="3"/>
  <c r="AN52" i="3"/>
  <c r="AN53" i="3"/>
  <c r="AN54" i="3"/>
  <c r="AN55" i="3"/>
  <c r="AN56" i="3"/>
  <c r="AN57" i="3"/>
  <c r="AN58" i="3"/>
  <c r="AN59" i="3"/>
  <c r="AN60" i="3"/>
  <c r="AN61" i="3"/>
  <c r="AN62" i="3"/>
  <c r="AN63" i="3"/>
  <c r="AN64" i="3"/>
  <c r="AN65" i="3"/>
  <c r="AN66" i="3"/>
  <c r="AN67" i="3"/>
  <c r="AN68" i="3"/>
  <c r="AN69" i="3"/>
  <c r="AN70" i="3"/>
  <c r="AN71" i="3"/>
  <c r="AN72" i="3"/>
  <c r="AN73" i="3"/>
  <c r="AN74" i="3"/>
  <c r="AN75" i="3"/>
  <c r="AN76" i="3"/>
  <c r="AN77" i="3"/>
  <c r="AN78" i="3"/>
  <c r="AN79" i="3"/>
  <c r="AN80" i="3"/>
  <c r="AN81" i="3"/>
  <c r="AN82" i="3"/>
  <c r="AN83" i="3"/>
  <c r="AN84" i="3"/>
  <c r="AN85" i="3"/>
  <c r="AN86" i="3"/>
  <c r="AN87" i="3"/>
  <c r="AN88" i="3"/>
  <c r="AN89" i="3"/>
  <c r="AN90" i="3"/>
  <c r="AN91" i="3"/>
  <c r="AN92" i="3"/>
  <c r="AN93" i="3"/>
  <c r="AN94" i="3"/>
  <c r="AN95" i="3"/>
  <c r="AN96" i="3"/>
  <c r="AN97" i="3"/>
  <c r="AN98" i="3"/>
  <c r="AN99" i="3"/>
  <c r="AN100" i="3"/>
  <c r="AN101" i="3"/>
  <c r="AN102" i="3"/>
  <c r="AN103" i="3"/>
  <c r="AN104" i="3"/>
  <c r="AN105" i="3"/>
  <c r="AN106" i="3"/>
  <c r="AN107" i="3"/>
  <c r="AN108" i="3"/>
  <c r="AN109" i="3"/>
  <c r="AN110" i="3"/>
  <c r="AN111" i="3"/>
  <c r="AM3" i="3"/>
  <c r="AM4" i="3"/>
  <c r="AM5" i="3"/>
  <c r="AM6" i="3"/>
  <c r="AM7" i="3"/>
  <c r="AM8" i="3"/>
  <c r="AM9" i="3"/>
  <c r="AM10" i="3"/>
  <c r="AM11" i="3"/>
  <c r="AM12" i="3"/>
  <c r="AM13" i="3"/>
  <c r="AM14" i="3"/>
  <c r="AM15" i="3"/>
  <c r="AM16" i="3"/>
  <c r="AM17" i="3"/>
  <c r="AM18" i="3"/>
  <c r="AM19" i="3"/>
  <c r="AM20" i="3"/>
  <c r="AM21" i="3"/>
  <c r="AM22" i="3"/>
  <c r="AM23" i="3"/>
  <c r="AM24" i="3"/>
  <c r="AM25" i="3"/>
  <c r="AM26" i="3"/>
  <c r="AM27" i="3"/>
  <c r="AM28" i="3"/>
  <c r="AM29" i="3"/>
  <c r="AM30" i="3"/>
  <c r="AM31" i="3"/>
  <c r="AM32" i="3"/>
  <c r="AM33" i="3"/>
  <c r="AM34" i="3"/>
  <c r="AM35" i="3"/>
  <c r="AM36" i="3"/>
  <c r="AM37" i="3"/>
  <c r="AM38" i="3"/>
  <c r="AM39" i="3"/>
  <c r="AM40" i="3"/>
  <c r="AM41" i="3"/>
  <c r="AM42" i="3"/>
  <c r="AM43" i="3"/>
  <c r="AM44" i="3"/>
  <c r="AM45" i="3"/>
  <c r="AM46" i="3"/>
  <c r="AM47" i="3"/>
  <c r="AM48" i="3"/>
  <c r="AM49" i="3"/>
  <c r="AM50" i="3"/>
  <c r="AM51" i="3"/>
  <c r="AM52" i="3"/>
  <c r="AM53" i="3"/>
  <c r="AM54" i="3"/>
  <c r="AM55" i="3"/>
  <c r="AM56" i="3"/>
  <c r="AM57" i="3"/>
  <c r="AM58" i="3"/>
  <c r="AM59" i="3"/>
  <c r="AM60" i="3"/>
  <c r="AM61" i="3"/>
  <c r="AM62" i="3"/>
  <c r="AM63" i="3"/>
  <c r="AM64" i="3"/>
  <c r="AM65" i="3"/>
  <c r="AM66" i="3"/>
  <c r="AM67" i="3"/>
  <c r="AM68" i="3"/>
  <c r="AM69" i="3"/>
  <c r="AM70" i="3"/>
  <c r="AM71" i="3"/>
  <c r="AM72" i="3"/>
  <c r="AM73" i="3"/>
  <c r="AM74" i="3"/>
  <c r="AM75" i="3"/>
  <c r="AM76" i="3"/>
  <c r="AM77" i="3"/>
  <c r="AM78" i="3"/>
  <c r="AM79" i="3"/>
  <c r="AM80" i="3"/>
  <c r="AM81" i="3"/>
  <c r="AM82" i="3"/>
  <c r="AM83" i="3"/>
  <c r="AM84" i="3"/>
  <c r="AM85" i="3"/>
  <c r="AM86" i="3"/>
  <c r="AM87" i="3"/>
  <c r="AM88" i="3"/>
  <c r="AM89" i="3"/>
  <c r="AM90" i="3"/>
  <c r="AM91" i="3"/>
  <c r="AM92" i="3"/>
  <c r="AM93" i="3"/>
  <c r="AM94" i="3"/>
  <c r="AM95" i="3"/>
  <c r="AM96" i="3"/>
  <c r="AM97" i="3"/>
  <c r="AM98" i="3"/>
  <c r="AM99" i="3"/>
  <c r="AM100" i="3"/>
  <c r="AM101" i="3"/>
  <c r="AM102" i="3"/>
  <c r="AM103" i="3"/>
  <c r="AM104" i="3"/>
  <c r="AM105" i="3"/>
  <c r="AM106" i="3"/>
  <c r="AM107" i="3"/>
  <c r="AM108" i="3"/>
  <c r="AM109" i="3"/>
  <c r="AM110" i="3"/>
  <c r="AM111" i="3"/>
  <c r="AN2" i="3"/>
  <c r="AM2" i="3"/>
  <c r="AL3" i="3"/>
  <c r="AL4" i="3"/>
  <c r="AL5" i="3"/>
  <c r="AL7" i="3"/>
  <c r="AL8" i="3"/>
  <c r="AL9" i="3"/>
  <c r="AL10" i="3"/>
  <c r="AL11" i="3"/>
  <c r="AL12" i="3"/>
  <c r="AL13" i="3"/>
  <c r="AL14" i="3"/>
  <c r="AL15" i="3"/>
  <c r="AL16" i="3"/>
  <c r="AL17" i="3"/>
  <c r="AL18" i="3"/>
  <c r="AL19" i="3"/>
  <c r="AL20" i="3"/>
  <c r="AL21" i="3"/>
  <c r="AL22" i="3"/>
  <c r="AL23" i="3"/>
  <c r="AL24" i="3"/>
  <c r="AL25" i="3"/>
  <c r="AL26" i="3"/>
  <c r="AL27" i="3"/>
  <c r="AL28" i="3"/>
  <c r="AL29" i="3"/>
  <c r="AL30" i="3"/>
  <c r="AL31" i="3"/>
  <c r="AL32" i="3"/>
  <c r="AL33" i="3"/>
  <c r="AL34" i="3"/>
  <c r="AL35" i="3"/>
  <c r="AL36" i="3"/>
  <c r="AL37" i="3"/>
  <c r="AL38" i="3"/>
  <c r="AL39" i="3"/>
  <c r="AL40" i="3"/>
  <c r="AL41" i="3"/>
  <c r="AL42" i="3"/>
  <c r="AL43" i="3"/>
  <c r="AL44" i="3"/>
  <c r="AL45" i="3"/>
  <c r="AL46" i="3"/>
  <c r="AL47" i="3"/>
  <c r="AL48" i="3"/>
  <c r="AL49" i="3"/>
  <c r="AL50" i="3"/>
  <c r="AL51" i="3"/>
  <c r="AL52" i="3"/>
  <c r="AL53" i="3"/>
  <c r="AL54" i="3"/>
  <c r="AL55" i="3"/>
  <c r="AL56" i="3"/>
  <c r="AL57" i="3"/>
  <c r="AL58" i="3"/>
  <c r="AL59" i="3"/>
  <c r="AL60" i="3"/>
  <c r="AL61" i="3"/>
  <c r="AL62" i="3"/>
  <c r="AL63" i="3"/>
  <c r="AL64" i="3"/>
  <c r="AL65" i="3"/>
  <c r="AL66" i="3"/>
  <c r="AL67" i="3"/>
  <c r="AL68" i="3"/>
  <c r="AL69" i="3"/>
  <c r="AL70" i="3"/>
  <c r="AL71" i="3"/>
  <c r="AL72" i="3"/>
  <c r="AL73" i="3"/>
  <c r="AL74" i="3"/>
  <c r="AL75" i="3"/>
  <c r="AL76" i="3"/>
  <c r="AL77" i="3"/>
  <c r="AL78" i="3"/>
  <c r="AL79" i="3"/>
  <c r="AL80" i="3"/>
  <c r="AL81" i="3"/>
  <c r="AL82" i="3"/>
  <c r="AL83" i="3"/>
  <c r="AL84" i="3"/>
  <c r="AL85" i="3"/>
  <c r="AL86" i="3"/>
  <c r="AL87" i="3"/>
  <c r="AL88" i="3"/>
  <c r="AL89" i="3"/>
  <c r="AL90" i="3"/>
  <c r="AL91" i="3"/>
  <c r="AL92" i="3"/>
  <c r="AL93" i="3"/>
  <c r="AL94" i="3"/>
  <c r="AL95" i="3"/>
  <c r="AL96" i="3"/>
  <c r="AL97" i="3"/>
  <c r="AL98" i="3"/>
  <c r="AL99" i="3"/>
  <c r="AL100" i="3"/>
  <c r="AL101" i="3"/>
  <c r="AL102" i="3"/>
  <c r="AL103" i="3"/>
  <c r="AL104" i="3"/>
  <c r="AL105" i="3"/>
  <c r="AL106" i="3"/>
  <c r="AL107" i="3"/>
  <c r="AL108" i="3"/>
  <c r="AL109" i="3"/>
  <c r="AL110" i="3"/>
  <c r="AL111" i="3"/>
  <c r="AL2" i="3"/>
  <c r="AK2" i="3"/>
  <c r="AJ3" i="3"/>
  <c r="AJ4" i="3"/>
  <c r="AJ5" i="3"/>
  <c r="AJ6" i="3"/>
  <c r="AJ7" i="3"/>
  <c r="AJ8" i="3"/>
  <c r="AJ9" i="3"/>
  <c r="AJ10" i="3"/>
  <c r="AJ11" i="3"/>
  <c r="AJ12" i="3"/>
  <c r="AJ13" i="3"/>
  <c r="AJ14" i="3"/>
  <c r="AJ15" i="3"/>
  <c r="AJ16" i="3"/>
  <c r="AJ17" i="3"/>
  <c r="AJ18" i="3"/>
  <c r="AJ19" i="3"/>
  <c r="AJ20" i="3"/>
  <c r="AJ21" i="3"/>
  <c r="AJ22" i="3"/>
  <c r="AJ23" i="3"/>
  <c r="AJ24" i="3"/>
  <c r="AJ25" i="3"/>
  <c r="AJ26" i="3"/>
  <c r="AJ27" i="3"/>
  <c r="AJ28" i="3"/>
  <c r="AJ29" i="3"/>
  <c r="AJ30" i="3"/>
  <c r="AJ31" i="3"/>
  <c r="AJ32" i="3"/>
  <c r="AJ33" i="3"/>
  <c r="AJ34" i="3"/>
  <c r="AJ35" i="3"/>
  <c r="AJ36" i="3"/>
  <c r="AJ37" i="3"/>
  <c r="AJ38" i="3"/>
  <c r="AJ39" i="3"/>
  <c r="AJ40" i="3"/>
  <c r="AJ41" i="3"/>
  <c r="AJ42" i="3"/>
  <c r="AJ43" i="3"/>
  <c r="AJ44" i="3"/>
  <c r="AJ45" i="3"/>
  <c r="AJ46" i="3"/>
  <c r="AJ47" i="3"/>
  <c r="AJ48" i="3"/>
  <c r="AJ49" i="3"/>
  <c r="AJ50" i="3"/>
  <c r="AJ51" i="3"/>
  <c r="AJ52" i="3"/>
  <c r="AJ53" i="3"/>
  <c r="AJ54" i="3"/>
  <c r="AJ55" i="3"/>
  <c r="AJ56" i="3"/>
  <c r="AJ57" i="3"/>
  <c r="AJ58" i="3"/>
  <c r="AJ59" i="3"/>
  <c r="AJ60" i="3"/>
  <c r="AJ61" i="3"/>
  <c r="AJ62" i="3"/>
  <c r="AJ63" i="3"/>
  <c r="AJ64" i="3"/>
  <c r="AJ65" i="3"/>
  <c r="AJ66" i="3"/>
  <c r="AJ67" i="3"/>
  <c r="AJ68" i="3"/>
  <c r="AJ69" i="3"/>
  <c r="AJ70" i="3"/>
  <c r="AJ71" i="3"/>
  <c r="AJ72" i="3"/>
  <c r="AJ73" i="3"/>
  <c r="AJ74" i="3"/>
  <c r="AJ75" i="3"/>
  <c r="AJ76" i="3"/>
  <c r="AJ77" i="3"/>
  <c r="AJ78" i="3"/>
  <c r="AJ79" i="3"/>
  <c r="AJ80" i="3"/>
  <c r="AJ81" i="3"/>
  <c r="AJ82" i="3"/>
  <c r="AJ83" i="3"/>
  <c r="AJ84" i="3"/>
  <c r="AJ85" i="3"/>
  <c r="AJ86" i="3"/>
  <c r="AJ87" i="3"/>
  <c r="AJ88" i="3"/>
  <c r="AJ89" i="3"/>
  <c r="AJ90" i="3"/>
  <c r="AJ91" i="3"/>
  <c r="AJ92" i="3"/>
  <c r="AJ93" i="3"/>
  <c r="AJ94" i="3"/>
  <c r="AJ95" i="3"/>
  <c r="AJ96" i="3"/>
  <c r="AJ97" i="3"/>
  <c r="AJ98" i="3"/>
  <c r="AJ99" i="3"/>
  <c r="AJ100" i="3"/>
  <c r="AJ101" i="3"/>
  <c r="AJ102" i="3"/>
  <c r="AJ103" i="3"/>
  <c r="AJ104" i="3"/>
  <c r="AJ105" i="3"/>
  <c r="AJ106" i="3"/>
  <c r="AJ107" i="3"/>
  <c r="AJ108" i="3"/>
  <c r="AJ109" i="3"/>
  <c r="AJ110" i="3"/>
  <c r="AJ111" i="3"/>
  <c r="AJ2" i="3"/>
  <c r="AI3" i="3"/>
  <c r="AI4" i="3"/>
  <c r="AI5" i="3"/>
  <c r="AI6" i="3"/>
  <c r="AI7" i="3"/>
  <c r="AI8" i="3"/>
  <c r="AI9" i="3"/>
  <c r="AI10" i="3"/>
  <c r="AI11" i="3"/>
  <c r="AI12" i="3"/>
  <c r="AI13" i="3"/>
  <c r="AI14" i="3"/>
  <c r="AI15" i="3"/>
  <c r="AI16" i="3"/>
  <c r="AI17" i="3"/>
  <c r="AI18" i="3"/>
  <c r="AI19" i="3"/>
  <c r="AI20" i="3"/>
  <c r="AI21" i="3"/>
  <c r="AI22" i="3"/>
  <c r="AI23" i="3"/>
  <c r="AI24" i="3"/>
  <c r="AI25" i="3"/>
  <c r="AI26" i="3"/>
  <c r="AI27" i="3"/>
  <c r="AI28" i="3"/>
  <c r="AI29" i="3"/>
  <c r="AI30" i="3"/>
  <c r="AI31" i="3"/>
  <c r="AI32" i="3"/>
  <c r="AI33" i="3"/>
  <c r="AI34" i="3"/>
  <c r="AI35" i="3"/>
  <c r="AI36" i="3"/>
  <c r="AI37" i="3"/>
  <c r="AI38" i="3"/>
  <c r="AI39" i="3"/>
  <c r="AI40" i="3"/>
  <c r="AI41" i="3"/>
  <c r="AI42" i="3"/>
  <c r="AI43" i="3"/>
  <c r="AI44" i="3"/>
  <c r="AI45" i="3"/>
  <c r="AI46" i="3"/>
  <c r="AI47" i="3"/>
  <c r="AI48" i="3"/>
  <c r="AI49" i="3"/>
  <c r="AI50" i="3"/>
  <c r="AI51" i="3"/>
  <c r="AI52" i="3"/>
  <c r="AI53" i="3"/>
  <c r="AI54" i="3"/>
  <c r="AI55" i="3"/>
  <c r="AI56" i="3"/>
  <c r="AI57" i="3"/>
  <c r="AI58" i="3"/>
  <c r="AI59" i="3"/>
  <c r="AI60" i="3"/>
  <c r="AI61" i="3"/>
  <c r="AI62" i="3"/>
  <c r="AI63" i="3"/>
  <c r="AI64" i="3"/>
  <c r="AI65" i="3"/>
  <c r="AI66" i="3"/>
  <c r="AI67" i="3"/>
  <c r="AI68" i="3"/>
  <c r="AI69" i="3"/>
  <c r="AI70" i="3"/>
  <c r="AI71" i="3"/>
  <c r="AI72" i="3"/>
  <c r="AI73" i="3"/>
  <c r="AI74" i="3"/>
  <c r="AI75" i="3"/>
  <c r="AI76" i="3"/>
  <c r="AI77" i="3"/>
  <c r="AI78" i="3"/>
  <c r="AI79" i="3"/>
  <c r="AI80" i="3"/>
  <c r="AI81" i="3"/>
  <c r="AI82" i="3"/>
  <c r="AI83" i="3"/>
  <c r="AI84" i="3"/>
  <c r="AI85" i="3"/>
  <c r="AI86" i="3"/>
  <c r="AI87" i="3"/>
  <c r="AI88" i="3"/>
  <c r="AI89" i="3"/>
  <c r="AI90" i="3"/>
  <c r="AI91" i="3"/>
  <c r="AI92" i="3"/>
  <c r="AI93" i="3"/>
  <c r="AI94" i="3"/>
  <c r="AI95" i="3"/>
  <c r="AI96" i="3"/>
  <c r="AI97" i="3"/>
  <c r="AI98" i="3"/>
  <c r="AI99" i="3"/>
  <c r="AI100" i="3"/>
  <c r="AI101" i="3"/>
  <c r="AI102" i="3"/>
  <c r="AI103" i="3"/>
  <c r="AI104" i="3"/>
  <c r="AI105" i="3"/>
  <c r="AI106" i="3"/>
  <c r="AI107" i="3"/>
  <c r="AI108" i="3"/>
  <c r="AI109" i="3"/>
  <c r="AI110" i="3"/>
  <c r="AI111" i="3"/>
  <c r="AI2" i="3"/>
  <c r="AB3" i="3"/>
  <c r="AB4" i="3"/>
  <c r="AB5" i="3"/>
  <c r="AB6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AB79" i="3"/>
  <c r="AB80" i="3"/>
  <c r="AB81" i="3"/>
  <c r="AB82" i="3"/>
  <c r="AB83" i="3"/>
  <c r="AB84" i="3"/>
  <c r="AB85" i="3"/>
  <c r="AB86" i="3"/>
  <c r="AB87" i="3"/>
  <c r="AB88" i="3"/>
  <c r="AB89" i="3"/>
  <c r="AB90" i="3"/>
  <c r="AB91" i="3"/>
  <c r="AB92" i="3"/>
  <c r="AB93" i="3"/>
  <c r="AB94" i="3"/>
  <c r="AB95" i="3"/>
  <c r="AB96" i="3"/>
  <c r="AB97" i="3"/>
  <c r="AB98" i="3"/>
  <c r="AB99" i="3"/>
  <c r="AB100" i="3"/>
  <c r="AB101" i="3"/>
  <c r="AB102" i="3"/>
  <c r="AB103" i="3"/>
  <c r="AB104" i="3"/>
  <c r="AB105" i="3"/>
  <c r="AB106" i="3"/>
  <c r="AB107" i="3"/>
  <c r="AB108" i="3"/>
  <c r="AB109" i="3"/>
  <c r="AB110" i="3"/>
  <c r="AB111" i="3"/>
  <c r="AB2" i="3"/>
  <c r="AA3" i="3"/>
  <c r="AA4" i="3"/>
  <c r="AA5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32" i="3"/>
  <c r="AA33" i="3"/>
  <c r="AA34" i="3"/>
  <c r="AA35" i="3"/>
  <c r="AA36" i="3"/>
  <c r="AA37" i="3"/>
  <c r="AA38" i="3"/>
  <c r="AA39" i="3"/>
  <c r="AA40" i="3"/>
  <c r="AA41" i="3"/>
  <c r="AA42" i="3"/>
  <c r="AA43" i="3"/>
  <c r="AA44" i="3"/>
  <c r="AA45" i="3"/>
  <c r="AA46" i="3"/>
  <c r="AA47" i="3"/>
  <c r="AA48" i="3"/>
  <c r="AA49" i="3"/>
  <c r="AA50" i="3"/>
  <c r="AA51" i="3"/>
  <c r="AA52" i="3"/>
  <c r="AA53" i="3"/>
  <c r="AA54" i="3"/>
  <c r="AA55" i="3"/>
  <c r="AA56" i="3"/>
  <c r="AA57" i="3"/>
  <c r="AA58" i="3"/>
  <c r="AA59" i="3"/>
  <c r="AA60" i="3"/>
  <c r="AA61" i="3"/>
  <c r="AA62" i="3"/>
  <c r="AA63" i="3"/>
  <c r="AA64" i="3"/>
  <c r="AA65" i="3"/>
  <c r="AA66" i="3"/>
  <c r="AA67" i="3"/>
  <c r="AA68" i="3"/>
  <c r="AA69" i="3"/>
  <c r="AA70" i="3"/>
  <c r="AA71" i="3"/>
  <c r="AA72" i="3"/>
  <c r="AA73" i="3"/>
  <c r="AA74" i="3"/>
  <c r="AA75" i="3"/>
  <c r="AA76" i="3"/>
  <c r="AA77" i="3"/>
  <c r="AA78" i="3"/>
  <c r="AA79" i="3"/>
  <c r="AA80" i="3"/>
  <c r="AA81" i="3"/>
  <c r="AA82" i="3"/>
  <c r="AA83" i="3"/>
  <c r="AA84" i="3"/>
  <c r="AA85" i="3"/>
  <c r="AA86" i="3"/>
  <c r="AA87" i="3"/>
  <c r="AA88" i="3"/>
  <c r="AA89" i="3"/>
  <c r="AA90" i="3"/>
  <c r="AA91" i="3"/>
  <c r="AA92" i="3"/>
  <c r="AA93" i="3"/>
  <c r="AA94" i="3"/>
  <c r="AA95" i="3"/>
  <c r="AA96" i="3"/>
  <c r="AA97" i="3"/>
  <c r="AA98" i="3"/>
  <c r="AA99" i="3"/>
  <c r="AA100" i="3"/>
  <c r="AA101" i="3"/>
  <c r="AA102" i="3"/>
  <c r="AA103" i="3"/>
  <c r="AA104" i="3"/>
  <c r="AA105" i="3"/>
  <c r="AA106" i="3"/>
  <c r="AA107" i="3"/>
  <c r="AA108" i="3"/>
  <c r="AA109" i="3"/>
  <c r="AA110" i="3"/>
  <c r="AA111" i="3"/>
  <c r="AA2" i="3"/>
  <c r="Z3" i="3"/>
  <c r="Z4" i="3"/>
  <c r="Z5" i="3"/>
  <c r="Z6" i="3"/>
  <c r="Z7" i="3"/>
  <c r="Z8" i="3"/>
  <c r="Z9" i="3"/>
  <c r="Z10" i="3"/>
  <c r="Z11" i="3"/>
  <c r="Z12" i="3"/>
  <c r="Z13" i="3"/>
  <c r="Z14" i="3"/>
  <c r="Z15" i="3"/>
  <c r="Z16" i="3"/>
  <c r="Z17" i="3"/>
  <c r="Z18" i="3"/>
  <c r="Z19" i="3"/>
  <c r="Z20" i="3"/>
  <c r="Z21" i="3"/>
  <c r="Z22" i="3"/>
  <c r="Z23" i="3"/>
  <c r="Z24" i="3"/>
  <c r="Z25" i="3"/>
  <c r="Z26" i="3"/>
  <c r="Z27" i="3"/>
  <c r="Z28" i="3"/>
  <c r="Z29" i="3"/>
  <c r="Z30" i="3"/>
  <c r="Z31" i="3"/>
  <c r="Z32" i="3"/>
  <c r="Z33" i="3"/>
  <c r="Z34" i="3"/>
  <c r="Z35" i="3"/>
  <c r="Z36" i="3"/>
  <c r="Z37" i="3"/>
  <c r="Z38" i="3"/>
  <c r="Z39" i="3"/>
  <c r="Z40" i="3"/>
  <c r="Z41" i="3"/>
  <c r="Z42" i="3"/>
  <c r="Z43" i="3"/>
  <c r="Z44" i="3"/>
  <c r="Z45" i="3"/>
  <c r="Z46" i="3"/>
  <c r="Z47" i="3"/>
  <c r="Z48" i="3"/>
  <c r="Z49" i="3"/>
  <c r="Z50" i="3"/>
  <c r="Z51" i="3"/>
  <c r="Z52" i="3"/>
  <c r="Z53" i="3"/>
  <c r="Z54" i="3"/>
  <c r="Z55" i="3"/>
  <c r="Z56" i="3"/>
  <c r="Z57" i="3"/>
  <c r="Z58" i="3"/>
  <c r="Z59" i="3"/>
  <c r="Z60" i="3"/>
  <c r="Z61" i="3"/>
  <c r="Z62" i="3"/>
  <c r="Z63" i="3"/>
  <c r="Z64" i="3"/>
  <c r="Z65" i="3"/>
  <c r="Z66" i="3"/>
  <c r="Z67" i="3"/>
  <c r="Z68" i="3"/>
  <c r="Z69" i="3"/>
  <c r="Z70" i="3"/>
  <c r="Z71" i="3"/>
  <c r="Z72" i="3"/>
  <c r="Z73" i="3"/>
  <c r="Z74" i="3"/>
  <c r="Z75" i="3"/>
  <c r="Z76" i="3"/>
  <c r="Z77" i="3"/>
  <c r="Z78" i="3"/>
  <c r="Z79" i="3"/>
  <c r="Z80" i="3"/>
  <c r="Z81" i="3"/>
  <c r="Z82" i="3"/>
  <c r="Z83" i="3"/>
  <c r="Z84" i="3"/>
  <c r="Z85" i="3"/>
  <c r="Z86" i="3"/>
  <c r="Z87" i="3"/>
  <c r="Z88" i="3"/>
  <c r="Z89" i="3"/>
  <c r="Z90" i="3"/>
  <c r="Z91" i="3"/>
  <c r="Z92" i="3"/>
  <c r="Z93" i="3"/>
  <c r="Z94" i="3"/>
  <c r="Z95" i="3"/>
  <c r="Z96" i="3"/>
  <c r="Z97" i="3"/>
  <c r="Z98" i="3"/>
  <c r="Z99" i="3"/>
  <c r="Z100" i="3"/>
  <c r="Z101" i="3"/>
  <c r="Z102" i="3"/>
  <c r="Z103" i="3"/>
  <c r="Z104" i="3"/>
  <c r="Z105" i="3"/>
  <c r="Z106" i="3"/>
  <c r="Z107" i="3"/>
  <c r="Z108" i="3"/>
  <c r="Z109" i="3"/>
  <c r="Z110" i="3"/>
  <c r="Z111" i="3"/>
  <c r="Z2" i="3"/>
  <c r="Y3" i="3"/>
  <c r="Y4" i="3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32" i="3"/>
  <c r="Y33" i="3"/>
  <c r="Y34" i="3"/>
  <c r="Y35" i="3"/>
  <c r="Y36" i="3"/>
  <c r="Y37" i="3"/>
  <c r="Y38" i="3"/>
  <c r="Y39" i="3"/>
  <c r="Y40" i="3"/>
  <c r="Y41" i="3"/>
  <c r="Y42" i="3"/>
  <c r="Y43" i="3"/>
  <c r="Y44" i="3"/>
  <c r="Y45" i="3"/>
  <c r="Y46" i="3"/>
  <c r="Y47" i="3"/>
  <c r="Y48" i="3"/>
  <c r="Y49" i="3"/>
  <c r="Y50" i="3"/>
  <c r="Y51" i="3"/>
  <c r="Y52" i="3"/>
  <c r="Y53" i="3"/>
  <c r="Y54" i="3"/>
  <c r="Y55" i="3"/>
  <c r="Y56" i="3"/>
  <c r="Y57" i="3"/>
  <c r="Y58" i="3"/>
  <c r="Y59" i="3"/>
  <c r="Y60" i="3"/>
  <c r="Y61" i="3"/>
  <c r="Y62" i="3"/>
  <c r="Y63" i="3"/>
  <c r="Y64" i="3"/>
  <c r="Y65" i="3"/>
  <c r="Y66" i="3"/>
  <c r="Y67" i="3"/>
  <c r="Y68" i="3"/>
  <c r="Y69" i="3"/>
  <c r="Y70" i="3"/>
  <c r="Y71" i="3"/>
  <c r="Y72" i="3"/>
  <c r="Y73" i="3"/>
  <c r="Y74" i="3"/>
  <c r="Y75" i="3"/>
  <c r="Y76" i="3"/>
  <c r="Y77" i="3"/>
  <c r="Y78" i="3"/>
  <c r="Y79" i="3"/>
  <c r="Y80" i="3"/>
  <c r="Y81" i="3"/>
  <c r="Y82" i="3"/>
  <c r="Y83" i="3"/>
  <c r="Y84" i="3"/>
  <c r="Y85" i="3"/>
  <c r="Y86" i="3"/>
  <c r="Y87" i="3"/>
  <c r="Y88" i="3"/>
  <c r="Y89" i="3"/>
  <c r="Y90" i="3"/>
  <c r="Y91" i="3"/>
  <c r="Y92" i="3"/>
  <c r="Y93" i="3"/>
  <c r="Y94" i="3"/>
  <c r="Y95" i="3"/>
  <c r="Y96" i="3"/>
  <c r="Y97" i="3"/>
  <c r="Y98" i="3"/>
  <c r="Y99" i="3"/>
  <c r="Y100" i="3"/>
  <c r="Y101" i="3"/>
  <c r="Y102" i="3"/>
  <c r="Y103" i="3"/>
  <c r="Y104" i="3"/>
  <c r="Y105" i="3"/>
  <c r="Y106" i="3"/>
  <c r="Y107" i="3"/>
  <c r="Y108" i="3"/>
  <c r="Y109" i="3"/>
  <c r="Y110" i="3"/>
  <c r="Y111" i="3"/>
  <c r="Y2" i="3"/>
  <c r="X3" i="3"/>
  <c r="X4" i="3"/>
  <c r="X5" i="3"/>
  <c r="X6" i="3"/>
  <c r="X7" i="3"/>
  <c r="X8" i="3"/>
  <c r="X9" i="3"/>
  <c r="X10" i="3"/>
  <c r="X11" i="3"/>
  <c r="X12" i="3"/>
  <c r="X13" i="3"/>
  <c r="X14" i="3"/>
  <c r="X15" i="3"/>
  <c r="X16" i="3"/>
  <c r="X17" i="3"/>
  <c r="X18" i="3"/>
  <c r="X19" i="3"/>
  <c r="X20" i="3"/>
  <c r="X21" i="3"/>
  <c r="X22" i="3"/>
  <c r="X23" i="3"/>
  <c r="X24" i="3"/>
  <c r="X25" i="3"/>
  <c r="X26" i="3"/>
  <c r="X27" i="3"/>
  <c r="X28" i="3"/>
  <c r="X29" i="3"/>
  <c r="X30" i="3"/>
  <c r="X31" i="3"/>
  <c r="X32" i="3"/>
  <c r="X33" i="3"/>
  <c r="X34" i="3"/>
  <c r="X35" i="3"/>
  <c r="X36" i="3"/>
  <c r="X37" i="3"/>
  <c r="X38" i="3"/>
  <c r="X39" i="3"/>
  <c r="X40" i="3"/>
  <c r="X41" i="3"/>
  <c r="X42" i="3"/>
  <c r="X43" i="3"/>
  <c r="X44" i="3"/>
  <c r="X45" i="3"/>
  <c r="X46" i="3"/>
  <c r="X47" i="3"/>
  <c r="X48" i="3"/>
  <c r="X49" i="3"/>
  <c r="X50" i="3"/>
  <c r="X51" i="3"/>
  <c r="X52" i="3"/>
  <c r="X53" i="3"/>
  <c r="X54" i="3"/>
  <c r="X55" i="3"/>
  <c r="X56" i="3"/>
  <c r="X57" i="3"/>
  <c r="X58" i="3"/>
  <c r="X59" i="3"/>
  <c r="X60" i="3"/>
  <c r="X61" i="3"/>
  <c r="X62" i="3"/>
  <c r="X63" i="3"/>
  <c r="X64" i="3"/>
  <c r="X65" i="3"/>
  <c r="X66" i="3"/>
  <c r="X67" i="3"/>
  <c r="X68" i="3"/>
  <c r="X69" i="3"/>
  <c r="X70" i="3"/>
  <c r="X71" i="3"/>
  <c r="X72" i="3"/>
  <c r="X73" i="3"/>
  <c r="X74" i="3"/>
  <c r="X75" i="3"/>
  <c r="X76" i="3"/>
  <c r="X77" i="3"/>
  <c r="X78" i="3"/>
  <c r="X79" i="3"/>
  <c r="X80" i="3"/>
  <c r="X81" i="3"/>
  <c r="X82" i="3"/>
  <c r="X83" i="3"/>
  <c r="X84" i="3"/>
  <c r="X85" i="3"/>
  <c r="X86" i="3"/>
  <c r="X87" i="3"/>
  <c r="X88" i="3"/>
  <c r="X89" i="3"/>
  <c r="X90" i="3"/>
  <c r="X91" i="3"/>
  <c r="X92" i="3"/>
  <c r="X93" i="3"/>
  <c r="X94" i="3"/>
  <c r="X95" i="3"/>
  <c r="X96" i="3"/>
  <c r="X97" i="3"/>
  <c r="X98" i="3"/>
  <c r="X99" i="3"/>
  <c r="X100" i="3"/>
  <c r="X101" i="3"/>
  <c r="X102" i="3"/>
  <c r="X103" i="3"/>
  <c r="X104" i="3"/>
  <c r="X105" i="3"/>
  <c r="X106" i="3"/>
  <c r="X107" i="3"/>
  <c r="X108" i="3"/>
  <c r="X109" i="3"/>
  <c r="X110" i="3"/>
  <c r="X111" i="3"/>
  <c r="W3" i="3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32" i="3"/>
  <c r="W33" i="3"/>
  <c r="W34" i="3"/>
  <c r="W35" i="3"/>
  <c r="W36" i="3"/>
  <c r="W37" i="3"/>
  <c r="W38" i="3"/>
  <c r="W39" i="3"/>
  <c r="W40" i="3"/>
  <c r="W41" i="3"/>
  <c r="W42" i="3"/>
  <c r="W43" i="3"/>
  <c r="W44" i="3"/>
  <c r="W45" i="3"/>
  <c r="W46" i="3"/>
  <c r="W47" i="3"/>
  <c r="W48" i="3"/>
  <c r="W49" i="3"/>
  <c r="W50" i="3"/>
  <c r="W51" i="3"/>
  <c r="W52" i="3"/>
  <c r="W53" i="3"/>
  <c r="W54" i="3"/>
  <c r="W55" i="3"/>
  <c r="W56" i="3"/>
  <c r="W57" i="3"/>
  <c r="W58" i="3"/>
  <c r="W59" i="3"/>
  <c r="W60" i="3"/>
  <c r="W61" i="3"/>
  <c r="W62" i="3"/>
  <c r="W63" i="3"/>
  <c r="W64" i="3"/>
  <c r="W65" i="3"/>
  <c r="W66" i="3"/>
  <c r="W67" i="3"/>
  <c r="W68" i="3"/>
  <c r="W69" i="3"/>
  <c r="W70" i="3"/>
  <c r="W71" i="3"/>
  <c r="W72" i="3"/>
  <c r="W73" i="3"/>
  <c r="W74" i="3"/>
  <c r="W75" i="3"/>
  <c r="W76" i="3"/>
  <c r="W77" i="3"/>
  <c r="W78" i="3"/>
  <c r="W79" i="3"/>
  <c r="W80" i="3"/>
  <c r="W81" i="3"/>
  <c r="W82" i="3"/>
  <c r="W83" i="3"/>
  <c r="W84" i="3"/>
  <c r="W85" i="3"/>
  <c r="W86" i="3"/>
  <c r="W87" i="3"/>
  <c r="W88" i="3"/>
  <c r="W89" i="3"/>
  <c r="W90" i="3"/>
  <c r="W91" i="3"/>
  <c r="W92" i="3"/>
  <c r="W93" i="3"/>
  <c r="W94" i="3"/>
  <c r="W95" i="3"/>
  <c r="W96" i="3"/>
  <c r="W97" i="3"/>
  <c r="W98" i="3"/>
  <c r="W99" i="3"/>
  <c r="W100" i="3"/>
  <c r="W101" i="3"/>
  <c r="W102" i="3"/>
  <c r="W103" i="3"/>
  <c r="W104" i="3"/>
  <c r="W105" i="3"/>
  <c r="W106" i="3"/>
  <c r="W107" i="3"/>
  <c r="W108" i="3"/>
  <c r="W109" i="3"/>
  <c r="W110" i="3"/>
  <c r="W111" i="3"/>
  <c r="X2" i="3"/>
  <c r="W2" i="3"/>
  <c r="V3" i="3"/>
  <c r="V4" i="3"/>
  <c r="V5" i="3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37" i="3"/>
  <c r="V38" i="3"/>
  <c r="V39" i="3"/>
  <c r="V40" i="3"/>
  <c r="V41" i="3"/>
  <c r="V42" i="3"/>
  <c r="V43" i="3"/>
  <c r="V44" i="3"/>
  <c r="V45" i="3"/>
  <c r="V46" i="3"/>
  <c r="V47" i="3"/>
  <c r="V48" i="3"/>
  <c r="V49" i="3"/>
  <c r="V50" i="3"/>
  <c r="V51" i="3"/>
  <c r="V52" i="3"/>
  <c r="V53" i="3"/>
  <c r="V54" i="3"/>
  <c r="V55" i="3"/>
  <c r="V56" i="3"/>
  <c r="V57" i="3"/>
  <c r="V58" i="3"/>
  <c r="V59" i="3"/>
  <c r="V60" i="3"/>
  <c r="V61" i="3"/>
  <c r="V62" i="3"/>
  <c r="V63" i="3"/>
  <c r="V64" i="3"/>
  <c r="V65" i="3"/>
  <c r="V66" i="3"/>
  <c r="V67" i="3"/>
  <c r="V68" i="3"/>
  <c r="V69" i="3"/>
  <c r="V70" i="3"/>
  <c r="V71" i="3"/>
  <c r="V72" i="3"/>
  <c r="V73" i="3"/>
  <c r="V74" i="3"/>
  <c r="V75" i="3"/>
  <c r="V76" i="3"/>
  <c r="V77" i="3"/>
  <c r="V78" i="3"/>
  <c r="V79" i="3"/>
  <c r="V80" i="3"/>
  <c r="V81" i="3"/>
  <c r="V82" i="3"/>
  <c r="V83" i="3"/>
  <c r="V84" i="3"/>
  <c r="V85" i="3"/>
  <c r="V86" i="3"/>
  <c r="V87" i="3"/>
  <c r="V88" i="3"/>
  <c r="V89" i="3"/>
  <c r="V90" i="3"/>
  <c r="V91" i="3"/>
  <c r="V92" i="3"/>
  <c r="V93" i="3"/>
  <c r="V94" i="3"/>
  <c r="V95" i="3"/>
  <c r="V96" i="3"/>
  <c r="V97" i="3"/>
  <c r="V98" i="3"/>
  <c r="V99" i="3"/>
  <c r="V100" i="3"/>
  <c r="V101" i="3"/>
  <c r="V102" i="3"/>
  <c r="V103" i="3"/>
  <c r="V104" i="3"/>
  <c r="V105" i="3"/>
  <c r="V106" i="3"/>
  <c r="V107" i="3"/>
  <c r="V108" i="3"/>
  <c r="V109" i="3"/>
  <c r="V110" i="3"/>
  <c r="V111" i="3"/>
  <c r="V2" i="3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U36" i="3"/>
  <c r="U37" i="3"/>
  <c r="U38" i="3"/>
  <c r="U39" i="3"/>
  <c r="U40" i="3"/>
  <c r="U41" i="3"/>
  <c r="U42" i="3"/>
  <c r="U43" i="3"/>
  <c r="U44" i="3"/>
  <c r="U45" i="3"/>
  <c r="U46" i="3"/>
  <c r="U47" i="3"/>
  <c r="U48" i="3"/>
  <c r="U49" i="3"/>
  <c r="U50" i="3"/>
  <c r="U51" i="3"/>
  <c r="U52" i="3"/>
  <c r="U53" i="3"/>
  <c r="U54" i="3"/>
  <c r="U55" i="3"/>
  <c r="U56" i="3"/>
  <c r="U57" i="3"/>
  <c r="U58" i="3"/>
  <c r="U59" i="3"/>
  <c r="U60" i="3"/>
  <c r="U61" i="3"/>
  <c r="U62" i="3"/>
  <c r="U63" i="3"/>
  <c r="U64" i="3"/>
  <c r="U65" i="3"/>
  <c r="U66" i="3"/>
  <c r="U67" i="3"/>
  <c r="U68" i="3"/>
  <c r="U69" i="3"/>
  <c r="U70" i="3"/>
  <c r="U71" i="3"/>
  <c r="U72" i="3"/>
  <c r="U73" i="3"/>
  <c r="U74" i="3"/>
  <c r="U75" i="3"/>
  <c r="U76" i="3"/>
  <c r="U77" i="3"/>
  <c r="U78" i="3"/>
  <c r="U79" i="3"/>
  <c r="U80" i="3"/>
  <c r="U81" i="3"/>
  <c r="U82" i="3"/>
  <c r="U83" i="3"/>
  <c r="U84" i="3"/>
  <c r="U85" i="3"/>
  <c r="U86" i="3"/>
  <c r="U87" i="3"/>
  <c r="U88" i="3"/>
  <c r="U89" i="3"/>
  <c r="U90" i="3"/>
  <c r="U91" i="3"/>
  <c r="U92" i="3"/>
  <c r="U93" i="3"/>
  <c r="U94" i="3"/>
  <c r="U95" i="3"/>
  <c r="U96" i="3"/>
  <c r="U97" i="3"/>
  <c r="U98" i="3"/>
  <c r="U99" i="3"/>
  <c r="U100" i="3"/>
  <c r="U101" i="3"/>
  <c r="U102" i="3"/>
  <c r="U103" i="3"/>
  <c r="U104" i="3"/>
  <c r="U105" i="3"/>
  <c r="U106" i="3"/>
  <c r="U107" i="3"/>
  <c r="U108" i="3"/>
  <c r="U109" i="3"/>
  <c r="U110" i="3"/>
  <c r="U111" i="3"/>
  <c r="U2" i="3"/>
  <c r="T3" i="3"/>
  <c r="T4" i="3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32" i="3"/>
  <c r="T33" i="3"/>
  <c r="T34" i="3"/>
  <c r="T35" i="3"/>
  <c r="T36" i="3"/>
  <c r="T37" i="3"/>
  <c r="T38" i="3"/>
  <c r="T39" i="3"/>
  <c r="T40" i="3"/>
  <c r="T41" i="3"/>
  <c r="T42" i="3"/>
  <c r="T43" i="3"/>
  <c r="T44" i="3"/>
  <c r="T45" i="3"/>
  <c r="T46" i="3"/>
  <c r="T47" i="3"/>
  <c r="T48" i="3"/>
  <c r="T49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63" i="3"/>
  <c r="T64" i="3"/>
  <c r="T65" i="3"/>
  <c r="T66" i="3"/>
  <c r="T67" i="3"/>
  <c r="T68" i="3"/>
  <c r="T69" i="3"/>
  <c r="T70" i="3"/>
  <c r="T71" i="3"/>
  <c r="T72" i="3"/>
  <c r="T73" i="3"/>
  <c r="T74" i="3"/>
  <c r="T75" i="3"/>
  <c r="T76" i="3"/>
  <c r="T77" i="3"/>
  <c r="T78" i="3"/>
  <c r="T79" i="3"/>
  <c r="T80" i="3"/>
  <c r="T81" i="3"/>
  <c r="T82" i="3"/>
  <c r="T83" i="3"/>
  <c r="T84" i="3"/>
  <c r="T85" i="3"/>
  <c r="T86" i="3"/>
  <c r="T87" i="3"/>
  <c r="T88" i="3"/>
  <c r="T89" i="3"/>
  <c r="T90" i="3"/>
  <c r="T91" i="3"/>
  <c r="T92" i="3"/>
  <c r="T93" i="3"/>
  <c r="T94" i="3"/>
  <c r="T95" i="3"/>
  <c r="T96" i="3"/>
  <c r="T97" i="3"/>
  <c r="T98" i="3"/>
  <c r="T99" i="3"/>
  <c r="T100" i="3"/>
  <c r="T101" i="3"/>
  <c r="T102" i="3"/>
  <c r="T103" i="3"/>
  <c r="T104" i="3"/>
  <c r="T105" i="3"/>
  <c r="T106" i="3"/>
  <c r="T107" i="3"/>
  <c r="T108" i="3"/>
  <c r="T109" i="3"/>
  <c r="T110" i="3"/>
  <c r="T111" i="3"/>
  <c r="T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2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2" i="3"/>
  <c r="J3" i="3"/>
  <c r="BB3" i="3" s="1"/>
  <c r="J4" i="3"/>
  <c r="BB4" i="3" s="1"/>
  <c r="J5" i="3"/>
  <c r="BB5" i="3" s="1"/>
  <c r="J6" i="3"/>
  <c r="BB6" i="3" s="1"/>
  <c r="J7" i="3"/>
  <c r="BB7" i="3" s="1"/>
  <c r="J8" i="3"/>
  <c r="BB8" i="3" s="1"/>
  <c r="J9" i="3"/>
  <c r="BB9" i="3" s="1"/>
  <c r="J10" i="3"/>
  <c r="BB10" i="3" s="1"/>
  <c r="J11" i="3"/>
  <c r="BB11" i="3" s="1"/>
  <c r="J12" i="3"/>
  <c r="BB12" i="3" s="1"/>
  <c r="J13" i="3"/>
  <c r="BB13" i="3" s="1"/>
  <c r="J14" i="3"/>
  <c r="BB14" i="3" s="1"/>
  <c r="J15" i="3"/>
  <c r="BB15" i="3" s="1"/>
  <c r="J16" i="3"/>
  <c r="BB16" i="3" s="1"/>
  <c r="J17" i="3"/>
  <c r="BB17" i="3" s="1"/>
  <c r="J18" i="3"/>
  <c r="BB18" i="3" s="1"/>
  <c r="J19" i="3"/>
  <c r="BB19" i="3" s="1"/>
  <c r="J20" i="3"/>
  <c r="BB20" i="3" s="1"/>
  <c r="J21" i="3"/>
  <c r="BB21" i="3" s="1"/>
  <c r="J22" i="3"/>
  <c r="BB22" i="3" s="1"/>
  <c r="J23" i="3"/>
  <c r="BB23" i="3" s="1"/>
  <c r="J24" i="3"/>
  <c r="BB24" i="3" s="1"/>
  <c r="J25" i="3"/>
  <c r="BB25" i="3" s="1"/>
  <c r="J26" i="3"/>
  <c r="BB26" i="3" s="1"/>
  <c r="J27" i="3"/>
  <c r="BB27" i="3" s="1"/>
  <c r="J28" i="3"/>
  <c r="BB28" i="3" s="1"/>
  <c r="J29" i="3"/>
  <c r="BB29" i="3" s="1"/>
  <c r="J30" i="3"/>
  <c r="BB30" i="3" s="1"/>
  <c r="J31" i="3"/>
  <c r="BB31" i="3" s="1"/>
  <c r="J32" i="3"/>
  <c r="BB32" i="3" s="1"/>
  <c r="J33" i="3"/>
  <c r="BB33" i="3" s="1"/>
  <c r="J34" i="3"/>
  <c r="BB34" i="3" s="1"/>
  <c r="J35" i="3"/>
  <c r="BB35" i="3" s="1"/>
  <c r="J36" i="3"/>
  <c r="BB36" i="3" s="1"/>
  <c r="J37" i="3"/>
  <c r="BB37" i="3" s="1"/>
  <c r="J38" i="3"/>
  <c r="BB38" i="3" s="1"/>
  <c r="J39" i="3"/>
  <c r="BB39" i="3" s="1"/>
  <c r="J40" i="3"/>
  <c r="BB40" i="3" s="1"/>
  <c r="J41" i="3"/>
  <c r="BB41" i="3" s="1"/>
  <c r="J42" i="3"/>
  <c r="BB42" i="3" s="1"/>
  <c r="J43" i="3"/>
  <c r="BB43" i="3" s="1"/>
  <c r="J44" i="3"/>
  <c r="BB44" i="3" s="1"/>
  <c r="J45" i="3"/>
  <c r="BB45" i="3" s="1"/>
  <c r="J46" i="3"/>
  <c r="BB46" i="3" s="1"/>
  <c r="J47" i="3"/>
  <c r="BB47" i="3" s="1"/>
  <c r="J48" i="3"/>
  <c r="BB48" i="3" s="1"/>
  <c r="J49" i="3"/>
  <c r="BB49" i="3" s="1"/>
  <c r="J50" i="3"/>
  <c r="BB50" i="3" s="1"/>
  <c r="J51" i="3"/>
  <c r="BB51" i="3" s="1"/>
  <c r="J52" i="3"/>
  <c r="BB52" i="3" s="1"/>
  <c r="J53" i="3"/>
  <c r="BB53" i="3" s="1"/>
  <c r="J54" i="3"/>
  <c r="BB54" i="3" s="1"/>
  <c r="J55" i="3"/>
  <c r="BB55" i="3" s="1"/>
  <c r="J56" i="3"/>
  <c r="BB56" i="3" s="1"/>
  <c r="J57" i="3"/>
  <c r="BB57" i="3" s="1"/>
  <c r="J58" i="3"/>
  <c r="BB58" i="3" s="1"/>
  <c r="J59" i="3"/>
  <c r="BB59" i="3" s="1"/>
  <c r="J60" i="3"/>
  <c r="BB60" i="3" s="1"/>
  <c r="J61" i="3"/>
  <c r="BB61" i="3" s="1"/>
  <c r="J62" i="3"/>
  <c r="BB62" i="3" s="1"/>
  <c r="J63" i="3"/>
  <c r="BB63" i="3" s="1"/>
  <c r="J64" i="3"/>
  <c r="BB64" i="3" s="1"/>
  <c r="J65" i="3"/>
  <c r="BB65" i="3" s="1"/>
  <c r="J66" i="3"/>
  <c r="BB66" i="3" s="1"/>
  <c r="J67" i="3"/>
  <c r="BB67" i="3" s="1"/>
  <c r="J68" i="3"/>
  <c r="BB68" i="3" s="1"/>
  <c r="J69" i="3"/>
  <c r="BB69" i="3" s="1"/>
  <c r="J70" i="3"/>
  <c r="BB70" i="3" s="1"/>
  <c r="J71" i="3"/>
  <c r="BB71" i="3" s="1"/>
  <c r="J72" i="3"/>
  <c r="BB72" i="3" s="1"/>
  <c r="J73" i="3"/>
  <c r="BB73" i="3" s="1"/>
  <c r="J74" i="3"/>
  <c r="BB74" i="3" s="1"/>
  <c r="J75" i="3"/>
  <c r="BB75" i="3" s="1"/>
  <c r="J76" i="3"/>
  <c r="BB76" i="3" s="1"/>
  <c r="J77" i="3"/>
  <c r="BB77" i="3" s="1"/>
  <c r="J78" i="3"/>
  <c r="BB78" i="3" s="1"/>
  <c r="J79" i="3"/>
  <c r="BB79" i="3" s="1"/>
  <c r="J80" i="3"/>
  <c r="BB80" i="3" s="1"/>
  <c r="J81" i="3"/>
  <c r="BB81" i="3" s="1"/>
  <c r="J82" i="3"/>
  <c r="BB82" i="3" s="1"/>
  <c r="J83" i="3"/>
  <c r="BB83" i="3" s="1"/>
  <c r="J84" i="3"/>
  <c r="BB84" i="3" s="1"/>
  <c r="J85" i="3"/>
  <c r="BB85" i="3" s="1"/>
  <c r="J86" i="3"/>
  <c r="BB86" i="3" s="1"/>
  <c r="J87" i="3"/>
  <c r="BB87" i="3" s="1"/>
  <c r="J88" i="3"/>
  <c r="BB88" i="3" s="1"/>
  <c r="J89" i="3"/>
  <c r="BB89" i="3" s="1"/>
  <c r="J90" i="3"/>
  <c r="BB90" i="3" s="1"/>
  <c r="J91" i="3"/>
  <c r="BB91" i="3" s="1"/>
  <c r="J92" i="3"/>
  <c r="BB92" i="3" s="1"/>
  <c r="J93" i="3"/>
  <c r="BB93" i="3" s="1"/>
  <c r="J94" i="3"/>
  <c r="BB94" i="3" s="1"/>
  <c r="J95" i="3"/>
  <c r="BB95" i="3" s="1"/>
  <c r="J96" i="3"/>
  <c r="BB96" i="3" s="1"/>
  <c r="J97" i="3"/>
  <c r="BB97" i="3" s="1"/>
  <c r="J98" i="3"/>
  <c r="BB98" i="3" s="1"/>
  <c r="J99" i="3"/>
  <c r="BB99" i="3" s="1"/>
  <c r="J100" i="3"/>
  <c r="BB100" i="3" s="1"/>
  <c r="J101" i="3"/>
  <c r="BB101" i="3" s="1"/>
  <c r="J102" i="3"/>
  <c r="BB102" i="3" s="1"/>
  <c r="J103" i="3"/>
  <c r="BB103" i="3" s="1"/>
  <c r="J104" i="3"/>
  <c r="BB104" i="3" s="1"/>
  <c r="J105" i="3"/>
  <c r="BB105" i="3" s="1"/>
  <c r="J106" i="3"/>
  <c r="BB106" i="3" s="1"/>
  <c r="J107" i="3"/>
  <c r="BB107" i="3" s="1"/>
  <c r="J108" i="3"/>
  <c r="BB108" i="3" s="1"/>
  <c r="J109" i="3"/>
  <c r="BB109" i="3" s="1"/>
  <c r="J110" i="3"/>
  <c r="BB110" i="3" s="1"/>
  <c r="J111" i="3"/>
  <c r="BB111" i="3" s="1"/>
  <c r="J2" i="3"/>
  <c r="BB2" i="3" s="1"/>
  <c r="I3" i="3"/>
  <c r="BA3" i="3" s="1"/>
  <c r="I4" i="3"/>
  <c r="BA4" i="3" s="1"/>
  <c r="I5" i="3"/>
  <c r="BA5" i="3" s="1"/>
  <c r="I6" i="3"/>
  <c r="BA6" i="3" s="1"/>
  <c r="I7" i="3"/>
  <c r="BA7" i="3" s="1"/>
  <c r="I8" i="3"/>
  <c r="BA8" i="3" s="1"/>
  <c r="I9" i="3"/>
  <c r="BA9" i="3" s="1"/>
  <c r="I10" i="3"/>
  <c r="BA10" i="3" s="1"/>
  <c r="I11" i="3"/>
  <c r="BA11" i="3" s="1"/>
  <c r="I12" i="3"/>
  <c r="BA12" i="3" s="1"/>
  <c r="I13" i="3"/>
  <c r="BA13" i="3" s="1"/>
  <c r="I14" i="3"/>
  <c r="BA14" i="3" s="1"/>
  <c r="I15" i="3"/>
  <c r="BA15" i="3" s="1"/>
  <c r="I16" i="3"/>
  <c r="BA16" i="3" s="1"/>
  <c r="I17" i="3"/>
  <c r="BA17" i="3" s="1"/>
  <c r="I18" i="3"/>
  <c r="BA18" i="3" s="1"/>
  <c r="I19" i="3"/>
  <c r="BA19" i="3" s="1"/>
  <c r="I20" i="3"/>
  <c r="BA20" i="3" s="1"/>
  <c r="I21" i="3"/>
  <c r="BA21" i="3" s="1"/>
  <c r="I22" i="3"/>
  <c r="BA22" i="3" s="1"/>
  <c r="I23" i="3"/>
  <c r="BA23" i="3" s="1"/>
  <c r="I24" i="3"/>
  <c r="BA24" i="3" s="1"/>
  <c r="I25" i="3"/>
  <c r="BA25" i="3" s="1"/>
  <c r="I26" i="3"/>
  <c r="BA26" i="3" s="1"/>
  <c r="I27" i="3"/>
  <c r="BA27" i="3" s="1"/>
  <c r="I28" i="3"/>
  <c r="BA28" i="3" s="1"/>
  <c r="I29" i="3"/>
  <c r="BA29" i="3" s="1"/>
  <c r="I30" i="3"/>
  <c r="BA30" i="3" s="1"/>
  <c r="I31" i="3"/>
  <c r="BA31" i="3" s="1"/>
  <c r="I32" i="3"/>
  <c r="BA32" i="3" s="1"/>
  <c r="I33" i="3"/>
  <c r="BA33" i="3" s="1"/>
  <c r="I34" i="3"/>
  <c r="BA34" i="3" s="1"/>
  <c r="I35" i="3"/>
  <c r="BA35" i="3" s="1"/>
  <c r="I36" i="3"/>
  <c r="BA36" i="3" s="1"/>
  <c r="I37" i="3"/>
  <c r="BA37" i="3" s="1"/>
  <c r="I38" i="3"/>
  <c r="BA38" i="3" s="1"/>
  <c r="I39" i="3"/>
  <c r="BA39" i="3" s="1"/>
  <c r="I40" i="3"/>
  <c r="BA40" i="3" s="1"/>
  <c r="I41" i="3"/>
  <c r="BA41" i="3" s="1"/>
  <c r="I42" i="3"/>
  <c r="BA42" i="3" s="1"/>
  <c r="I43" i="3"/>
  <c r="BA43" i="3" s="1"/>
  <c r="I44" i="3"/>
  <c r="BA44" i="3" s="1"/>
  <c r="I45" i="3"/>
  <c r="BA45" i="3" s="1"/>
  <c r="I46" i="3"/>
  <c r="BA46" i="3" s="1"/>
  <c r="I47" i="3"/>
  <c r="BA47" i="3" s="1"/>
  <c r="I48" i="3"/>
  <c r="BA48" i="3" s="1"/>
  <c r="I49" i="3"/>
  <c r="BA49" i="3" s="1"/>
  <c r="I50" i="3"/>
  <c r="BA50" i="3" s="1"/>
  <c r="I51" i="3"/>
  <c r="BA51" i="3" s="1"/>
  <c r="I52" i="3"/>
  <c r="BA52" i="3" s="1"/>
  <c r="I53" i="3"/>
  <c r="BA53" i="3" s="1"/>
  <c r="I54" i="3"/>
  <c r="BA54" i="3" s="1"/>
  <c r="I55" i="3"/>
  <c r="BA55" i="3" s="1"/>
  <c r="I56" i="3"/>
  <c r="BA56" i="3" s="1"/>
  <c r="I57" i="3"/>
  <c r="BA57" i="3" s="1"/>
  <c r="I58" i="3"/>
  <c r="BA58" i="3" s="1"/>
  <c r="I59" i="3"/>
  <c r="BA59" i="3" s="1"/>
  <c r="I60" i="3"/>
  <c r="BA60" i="3" s="1"/>
  <c r="I61" i="3"/>
  <c r="BA61" i="3" s="1"/>
  <c r="I62" i="3"/>
  <c r="BA62" i="3" s="1"/>
  <c r="I63" i="3"/>
  <c r="BA63" i="3" s="1"/>
  <c r="I64" i="3"/>
  <c r="BA64" i="3" s="1"/>
  <c r="I65" i="3"/>
  <c r="BA65" i="3" s="1"/>
  <c r="I66" i="3"/>
  <c r="BA66" i="3" s="1"/>
  <c r="I67" i="3"/>
  <c r="BA67" i="3" s="1"/>
  <c r="I68" i="3"/>
  <c r="BA68" i="3" s="1"/>
  <c r="I69" i="3"/>
  <c r="BA69" i="3" s="1"/>
  <c r="I70" i="3"/>
  <c r="BA70" i="3" s="1"/>
  <c r="I71" i="3"/>
  <c r="BA71" i="3" s="1"/>
  <c r="I72" i="3"/>
  <c r="BA72" i="3" s="1"/>
  <c r="I73" i="3"/>
  <c r="BA73" i="3" s="1"/>
  <c r="I74" i="3"/>
  <c r="BA74" i="3" s="1"/>
  <c r="I75" i="3"/>
  <c r="BA75" i="3" s="1"/>
  <c r="I76" i="3"/>
  <c r="BA76" i="3" s="1"/>
  <c r="I77" i="3"/>
  <c r="BA77" i="3" s="1"/>
  <c r="I78" i="3"/>
  <c r="BA78" i="3" s="1"/>
  <c r="I79" i="3"/>
  <c r="BA79" i="3" s="1"/>
  <c r="I80" i="3"/>
  <c r="BA80" i="3" s="1"/>
  <c r="I81" i="3"/>
  <c r="BA81" i="3" s="1"/>
  <c r="I82" i="3"/>
  <c r="BA82" i="3" s="1"/>
  <c r="I83" i="3"/>
  <c r="BA83" i="3" s="1"/>
  <c r="I84" i="3"/>
  <c r="BA84" i="3" s="1"/>
  <c r="I85" i="3"/>
  <c r="BA85" i="3" s="1"/>
  <c r="I86" i="3"/>
  <c r="BA86" i="3" s="1"/>
  <c r="I87" i="3"/>
  <c r="BA87" i="3" s="1"/>
  <c r="I88" i="3"/>
  <c r="BA88" i="3" s="1"/>
  <c r="I89" i="3"/>
  <c r="BA89" i="3" s="1"/>
  <c r="I90" i="3"/>
  <c r="BA90" i="3" s="1"/>
  <c r="I91" i="3"/>
  <c r="BA91" i="3" s="1"/>
  <c r="I92" i="3"/>
  <c r="BA92" i="3" s="1"/>
  <c r="I93" i="3"/>
  <c r="BA93" i="3" s="1"/>
  <c r="I94" i="3"/>
  <c r="BA94" i="3" s="1"/>
  <c r="I95" i="3"/>
  <c r="BA95" i="3" s="1"/>
  <c r="I96" i="3"/>
  <c r="BA96" i="3" s="1"/>
  <c r="I97" i="3"/>
  <c r="BA97" i="3" s="1"/>
  <c r="I98" i="3"/>
  <c r="BA98" i="3" s="1"/>
  <c r="I99" i="3"/>
  <c r="BA99" i="3" s="1"/>
  <c r="I100" i="3"/>
  <c r="BA100" i="3" s="1"/>
  <c r="I101" i="3"/>
  <c r="BA101" i="3" s="1"/>
  <c r="I102" i="3"/>
  <c r="BA102" i="3" s="1"/>
  <c r="I103" i="3"/>
  <c r="BA103" i="3" s="1"/>
  <c r="I104" i="3"/>
  <c r="BA104" i="3" s="1"/>
  <c r="I105" i="3"/>
  <c r="BA105" i="3" s="1"/>
  <c r="I106" i="3"/>
  <c r="BA106" i="3" s="1"/>
  <c r="I107" i="3"/>
  <c r="BA107" i="3" s="1"/>
  <c r="I108" i="3"/>
  <c r="BA108" i="3" s="1"/>
  <c r="I109" i="3"/>
  <c r="BA109" i="3" s="1"/>
  <c r="I110" i="3"/>
  <c r="BA110" i="3" s="1"/>
  <c r="I111" i="3"/>
  <c r="BA111" i="3" s="1"/>
  <c r="I2" i="3"/>
  <c r="BA2" i="3" s="1"/>
  <c r="H3" i="3"/>
  <c r="AZ3" i="3" s="1"/>
  <c r="H4" i="3"/>
  <c r="AZ4" i="3" s="1"/>
  <c r="H5" i="3"/>
  <c r="AZ5" i="3" s="1"/>
  <c r="H6" i="3"/>
  <c r="AZ6" i="3" s="1"/>
  <c r="H7" i="3"/>
  <c r="AZ7" i="3" s="1"/>
  <c r="H8" i="3"/>
  <c r="AZ8" i="3" s="1"/>
  <c r="H9" i="3"/>
  <c r="AZ9" i="3" s="1"/>
  <c r="H10" i="3"/>
  <c r="AZ10" i="3" s="1"/>
  <c r="H11" i="3"/>
  <c r="AZ11" i="3" s="1"/>
  <c r="H12" i="3"/>
  <c r="AZ12" i="3" s="1"/>
  <c r="H13" i="3"/>
  <c r="AZ13" i="3" s="1"/>
  <c r="H14" i="3"/>
  <c r="AZ14" i="3" s="1"/>
  <c r="H15" i="3"/>
  <c r="AZ15" i="3" s="1"/>
  <c r="H16" i="3"/>
  <c r="AZ16" i="3" s="1"/>
  <c r="H17" i="3"/>
  <c r="AZ17" i="3" s="1"/>
  <c r="H18" i="3"/>
  <c r="AZ18" i="3" s="1"/>
  <c r="H19" i="3"/>
  <c r="AZ19" i="3" s="1"/>
  <c r="H20" i="3"/>
  <c r="AZ20" i="3" s="1"/>
  <c r="H21" i="3"/>
  <c r="AZ21" i="3" s="1"/>
  <c r="H22" i="3"/>
  <c r="AZ22" i="3" s="1"/>
  <c r="H23" i="3"/>
  <c r="AZ23" i="3" s="1"/>
  <c r="H24" i="3"/>
  <c r="AZ24" i="3" s="1"/>
  <c r="H25" i="3"/>
  <c r="AZ25" i="3" s="1"/>
  <c r="H26" i="3"/>
  <c r="AZ26" i="3" s="1"/>
  <c r="H27" i="3"/>
  <c r="AZ27" i="3" s="1"/>
  <c r="H28" i="3"/>
  <c r="AZ28" i="3" s="1"/>
  <c r="H29" i="3"/>
  <c r="AZ29" i="3" s="1"/>
  <c r="H30" i="3"/>
  <c r="AZ30" i="3" s="1"/>
  <c r="H31" i="3"/>
  <c r="AZ31" i="3" s="1"/>
  <c r="H32" i="3"/>
  <c r="AZ32" i="3" s="1"/>
  <c r="H33" i="3"/>
  <c r="AZ33" i="3" s="1"/>
  <c r="H34" i="3"/>
  <c r="AZ34" i="3" s="1"/>
  <c r="H35" i="3"/>
  <c r="AZ35" i="3" s="1"/>
  <c r="H36" i="3"/>
  <c r="AZ36" i="3" s="1"/>
  <c r="H37" i="3"/>
  <c r="AZ37" i="3" s="1"/>
  <c r="H38" i="3"/>
  <c r="AZ38" i="3" s="1"/>
  <c r="H39" i="3"/>
  <c r="AZ39" i="3" s="1"/>
  <c r="H40" i="3"/>
  <c r="AZ40" i="3" s="1"/>
  <c r="H41" i="3"/>
  <c r="AZ41" i="3" s="1"/>
  <c r="H42" i="3"/>
  <c r="AZ42" i="3" s="1"/>
  <c r="H43" i="3"/>
  <c r="AZ43" i="3" s="1"/>
  <c r="H44" i="3"/>
  <c r="AZ44" i="3" s="1"/>
  <c r="H45" i="3"/>
  <c r="AZ45" i="3" s="1"/>
  <c r="H46" i="3"/>
  <c r="AZ46" i="3" s="1"/>
  <c r="H47" i="3"/>
  <c r="AZ47" i="3" s="1"/>
  <c r="H48" i="3"/>
  <c r="AZ48" i="3" s="1"/>
  <c r="H49" i="3"/>
  <c r="AZ49" i="3" s="1"/>
  <c r="H50" i="3"/>
  <c r="AZ50" i="3" s="1"/>
  <c r="H51" i="3"/>
  <c r="AZ51" i="3" s="1"/>
  <c r="H52" i="3"/>
  <c r="AZ52" i="3" s="1"/>
  <c r="H53" i="3"/>
  <c r="AZ53" i="3" s="1"/>
  <c r="H54" i="3"/>
  <c r="AZ54" i="3" s="1"/>
  <c r="H55" i="3"/>
  <c r="AZ55" i="3" s="1"/>
  <c r="H56" i="3"/>
  <c r="AZ56" i="3" s="1"/>
  <c r="H57" i="3"/>
  <c r="AZ57" i="3" s="1"/>
  <c r="H58" i="3"/>
  <c r="AZ58" i="3" s="1"/>
  <c r="H59" i="3"/>
  <c r="AZ59" i="3" s="1"/>
  <c r="H60" i="3"/>
  <c r="AZ60" i="3" s="1"/>
  <c r="H61" i="3"/>
  <c r="AZ61" i="3" s="1"/>
  <c r="H62" i="3"/>
  <c r="AZ62" i="3" s="1"/>
  <c r="H63" i="3"/>
  <c r="AZ63" i="3" s="1"/>
  <c r="H64" i="3"/>
  <c r="AZ64" i="3" s="1"/>
  <c r="H65" i="3"/>
  <c r="AZ65" i="3" s="1"/>
  <c r="H66" i="3"/>
  <c r="AZ66" i="3" s="1"/>
  <c r="H67" i="3"/>
  <c r="AZ67" i="3" s="1"/>
  <c r="H68" i="3"/>
  <c r="AZ68" i="3" s="1"/>
  <c r="H69" i="3"/>
  <c r="AZ69" i="3" s="1"/>
  <c r="H70" i="3"/>
  <c r="AZ70" i="3" s="1"/>
  <c r="H71" i="3"/>
  <c r="AZ71" i="3" s="1"/>
  <c r="H72" i="3"/>
  <c r="AZ72" i="3" s="1"/>
  <c r="H73" i="3"/>
  <c r="AZ73" i="3" s="1"/>
  <c r="H74" i="3"/>
  <c r="AZ74" i="3" s="1"/>
  <c r="H75" i="3"/>
  <c r="AZ75" i="3" s="1"/>
  <c r="H76" i="3"/>
  <c r="AZ76" i="3" s="1"/>
  <c r="H77" i="3"/>
  <c r="AZ77" i="3" s="1"/>
  <c r="H78" i="3"/>
  <c r="AZ78" i="3" s="1"/>
  <c r="H79" i="3"/>
  <c r="AZ79" i="3" s="1"/>
  <c r="H80" i="3"/>
  <c r="AZ80" i="3" s="1"/>
  <c r="H81" i="3"/>
  <c r="AZ81" i="3" s="1"/>
  <c r="H82" i="3"/>
  <c r="AZ82" i="3" s="1"/>
  <c r="H83" i="3"/>
  <c r="AZ83" i="3" s="1"/>
  <c r="H84" i="3"/>
  <c r="AZ84" i="3" s="1"/>
  <c r="H85" i="3"/>
  <c r="AZ85" i="3" s="1"/>
  <c r="H86" i="3"/>
  <c r="AZ86" i="3" s="1"/>
  <c r="H87" i="3"/>
  <c r="AZ87" i="3" s="1"/>
  <c r="H88" i="3"/>
  <c r="AZ88" i="3" s="1"/>
  <c r="H89" i="3"/>
  <c r="AZ89" i="3" s="1"/>
  <c r="H90" i="3"/>
  <c r="AZ90" i="3" s="1"/>
  <c r="H91" i="3"/>
  <c r="AZ91" i="3" s="1"/>
  <c r="H92" i="3"/>
  <c r="AZ92" i="3" s="1"/>
  <c r="H93" i="3"/>
  <c r="AZ93" i="3" s="1"/>
  <c r="H94" i="3"/>
  <c r="AZ94" i="3" s="1"/>
  <c r="H95" i="3"/>
  <c r="AZ95" i="3" s="1"/>
  <c r="H96" i="3"/>
  <c r="AZ96" i="3" s="1"/>
  <c r="H97" i="3"/>
  <c r="AZ97" i="3" s="1"/>
  <c r="H98" i="3"/>
  <c r="AZ98" i="3" s="1"/>
  <c r="H99" i="3"/>
  <c r="AZ99" i="3" s="1"/>
  <c r="H100" i="3"/>
  <c r="AZ100" i="3" s="1"/>
  <c r="H101" i="3"/>
  <c r="AZ101" i="3" s="1"/>
  <c r="H102" i="3"/>
  <c r="AZ102" i="3" s="1"/>
  <c r="H103" i="3"/>
  <c r="AZ103" i="3" s="1"/>
  <c r="H104" i="3"/>
  <c r="AZ104" i="3" s="1"/>
  <c r="H105" i="3"/>
  <c r="AZ105" i="3" s="1"/>
  <c r="H106" i="3"/>
  <c r="AZ106" i="3" s="1"/>
  <c r="H107" i="3"/>
  <c r="AZ107" i="3" s="1"/>
  <c r="H108" i="3"/>
  <c r="AZ108" i="3" s="1"/>
  <c r="H109" i="3"/>
  <c r="AZ109" i="3" s="1"/>
  <c r="H110" i="3"/>
  <c r="AZ110" i="3" s="1"/>
  <c r="H111" i="3"/>
  <c r="AZ111" i="3" s="1"/>
  <c r="H2" i="3"/>
  <c r="AZ2" i="3" s="1"/>
  <c r="G2" i="3"/>
  <c r="AY2" i="3" s="1"/>
  <c r="F3" i="3"/>
  <c r="AX3" i="3" s="1"/>
  <c r="F4" i="3"/>
  <c r="AX4" i="3" s="1"/>
  <c r="F5" i="3"/>
  <c r="AX5" i="3" s="1"/>
  <c r="F6" i="3"/>
  <c r="AX6" i="3" s="1"/>
  <c r="F7" i="3"/>
  <c r="AX7" i="3" s="1"/>
  <c r="F8" i="3"/>
  <c r="AX8" i="3" s="1"/>
  <c r="F9" i="3"/>
  <c r="AX9" i="3" s="1"/>
  <c r="F10" i="3"/>
  <c r="AX10" i="3" s="1"/>
  <c r="F11" i="3"/>
  <c r="AX11" i="3" s="1"/>
  <c r="F12" i="3"/>
  <c r="AX12" i="3" s="1"/>
  <c r="F13" i="3"/>
  <c r="AX13" i="3" s="1"/>
  <c r="F14" i="3"/>
  <c r="AX14" i="3" s="1"/>
  <c r="F15" i="3"/>
  <c r="AX15" i="3" s="1"/>
  <c r="F16" i="3"/>
  <c r="AX16" i="3" s="1"/>
  <c r="F17" i="3"/>
  <c r="AX17" i="3" s="1"/>
  <c r="F18" i="3"/>
  <c r="AX18" i="3" s="1"/>
  <c r="F19" i="3"/>
  <c r="AX19" i="3" s="1"/>
  <c r="F20" i="3"/>
  <c r="AX20" i="3" s="1"/>
  <c r="F21" i="3"/>
  <c r="AX21" i="3" s="1"/>
  <c r="F22" i="3"/>
  <c r="AX22" i="3" s="1"/>
  <c r="F23" i="3"/>
  <c r="AX23" i="3" s="1"/>
  <c r="F24" i="3"/>
  <c r="AX24" i="3" s="1"/>
  <c r="F25" i="3"/>
  <c r="AX25" i="3" s="1"/>
  <c r="F26" i="3"/>
  <c r="AX26" i="3" s="1"/>
  <c r="F27" i="3"/>
  <c r="AX27" i="3" s="1"/>
  <c r="F28" i="3"/>
  <c r="AX28" i="3" s="1"/>
  <c r="F29" i="3"/>
  <c r="AX29" i="3" s="1"/>
  <c r="F30" i="3"/>
  <c r="AX30" i="3" s="1"/>
  <c r="F31" i="3"/>
  <c r="AX31" i="3" s="1"/>
  <c r="F32" i="3"/>
  <c r="AX32" i="3" s="1"/>
  <c r="F33" i="3"/>
  <c r="AX33" i="3" s="1"/>
  <c r="F34" i="3"/>
  <c r="AX34" i="3" s="1"/>
  <c r="F35" i="3"/>
  <c r="AX35" i="3" s="1"/>
  <c r="F36" i="3"/>
  <c r="AX36" i="3" s="1"/>
  <c r="F37" i="3"/>
  <c r="AX37" i="3" s="1"/>
  <c r="F38" i="3"/>
  <c r="AX38" i="3" s="1"/>
  <c r="F39" i="3"/>
  <c r="AX39" i="3" s="1"/>
  <c r="F40" i="3"/>
  <c r="AX40" i="3" s="1"/>
  <c r="F41" i="3"/>
  <c r="AX41" i="3" s="1"/>
  <c r="F42" i="3"/>
  <c r="AX42" i="3" s="1"/>
  <c r="F43" i="3"/>
  <c r="AX43" i="3" s="1"/>
  <c r="F44" i="3"/>
  <c r="AX44" i="3" s="1"/>
  <c r="F45" i="3"/>
  <c r="AX45" i="3" s="1"/>
  <c r="F46" i="3"/>
  <c r="AX46" i="3" s="1"/>
  <c r="F47" i="3"/>
  <c r="AX47" i="3" s="1"/>
  <c r="F48" i="3"/>
  <c r="AX48" i="3" s="1"/>
  <c r="F49" i="3"/>
  <c r="AX49" i="3" s="1"/>
  <c r="F50" i="3"/>
  <c r="AX50" i="3" s="1"/>
  <c r="F51" i="3"/>
  <c r="AX51" i="3" s="1"/>
  <c r="F52" i="3"/>
  <c r="AX52" i="3" s="1"/>
  <c r="F53" i="3"/>
  <c r="AX53" i="3" s="1"/>
  <c r="F54" i="3"/>
  <c r="AX54" i="3" s="1"/>
  <c r="F55" i="3"/>
  <c r="AX55" i="3" s="1"/>
  <c r="F56" i="3"/>
  <c r="AX56" i="3" s="1"/>
  <c r="F57" i="3"/>
  <c r="AX57" i="3" s="1"/>
  <c r="F58" i="3"/>
  <c r="AX58" i="3" s="1"/>
  <c r="F59" i="3"/>
  <c r="AX59" i="3" s="1"/>
  <c r="F60" i="3"/>
  <c r="AX60" i="3" s="1"/>
  <c r="F61" i="3"/>
  <c r="AX61" i="3" s="1"/>
  <c r="F62" i="3"/>
  <c r="AX62" i="3" s="1"/>
  <c r="F63" i="3"/>
  <c r="AX63" i="3" s="1"/>
  <c r="F64" i="3"/>
  <c r="AX64" i="3" s="1"/>
  <c r="F65" i="3"/>
  <c r="AX65" i="3" s="1"/>
  <c r="F66" i="3"/>
  <c r="AX66" i="3" s="1"/>
  <c r="F67" i="3"/>
  <c r="AX67" i="3" s="1"/>
  <c r="F68" i="3"/>
  <c r="AX68" i="3" s="1"/>
  <c r="F69" i="3"/>
  <c r="AX69" i="3" s="1"/>
  <c r="F70" i="3"/>
  <c r="AX70" i="3" s="1"/>
  <c r="F71" i="3"/>
  <c r="AX71" i="3" s="1"/>
  <c r="F72" i="3"/>
  <c r="AX72" i="3" s="1"/>
  <c r="F73" i="3"/>
  <c r="AX73" i="3" s="1"/>
  <c r="F74" i="3"/>
  <c r="AX74" i="3" s="1"/>
  <c r="F75" i="3"/>
  <c r="AX75" i="3" s="1"/>
  <c r="F76" i="3"/>
  <c r="AX76" i="3" s="1"/>
  <c r="F77" i="3"/>
  <c r="AX77" i="3" s="1"/>
  <c r="F78" i="3"/>
  <c r="AX78" i="3" s="1"/>
  <c r="F79" i="3"/>
  <c r="AX79" i="3" s="1"/>
  <c r="F80" i="3"/>
  <c r="AX80" i="3" s="1"/>
  <c r="F81" i="3"/>
  <c r="AX81" i="3" s="1"/>
  <c r="F82" i="3"/>
  <c r="AX82" i="3" s="1"/>
  <c r="F83" i="3"/>
  <c r="AX83" i="3" s="1"/>
  <c r="F84" i="3"/>
  <c r="AX84" i="3" s="1"/>
  <c r="F85" i="3"/>
  <c r="AX85" i="3" s="1"/>
  <c r="F86" i="3"/>
  <c r="AX86" i="3" s="1"/>
  <c r="F87" i="3"/>
  <c r="AX87" i="3" s="1"/>
  <c r="F88" i="3"/>
  <c r="AX88" i="3" s="1"/>
  <c r="F89" i="3"/>
  <c r="AX89" i="3" s="1"/>
  <c r="F90" i="3"/>
  <c r="AX90" i="3" s="1"/>
  <c r="F91" i="3"/>
  <c r="AX91" i="3" s="1"/>
  <c r="F92" i="3"/>
  <c r="AX92" i="3" s="1"/>
  <c r="F93" i="3"/>
  <c r="AX93" i="3" s="1"/>
  <c r="F94" i="3"/>
  <c r="AX94" i="3" s="1"/>
  <c r="F95" i="3"/>
  <c r="AX95" i="3" s="1"/>
  <c r="F96" i="3"/>
  <c r="AX96" i="3" s="1"/>
  <c r="F97" i="3"/>
  <c r="AX97" i="3" s="1"/>
  <c r="F98" i="3"/>
  <c r="AX98" i="3" s="1"/>
  <c r="F99" i="3"/>
  <c r="AX99" i="3" s="1"/>
  <c r="F100" i="3"/>
  <c r="AX100" i="3" s="1"/>
  <c r="F101" i="3"/>
  <c r="AX101" i="3" s="1"/>
  <c r="F102" i="3"/>
  <c r="AX102" i="3" s="1"/>
  <c r="F103" i="3"/>
  <c r="AX103" i="3" s="1"/>
  <c r="F104" i="3"/>
  <c r="AX104" i="3" s="1"/>
  <c r="F105" i="3"/>
  <c r="AX105" i="3" s="1"/>
  <c r="F106" i="3"/>
  <c r="AX106" i="3" s="1"/>
  <c r="F107" i="3"/>
  <c r="AX107" i="3" s="1"/>
  <c r="F108" i="3"/>
  <c r="AX108" i="3" s="1"/>
  <c r="F109" i="3"/>
  <c r="AX109" i="3" s="1"/>
  <c r="F110" i="3"/>
  <c r="AX110" i="3" s="1"/>
  <c r="F111" i="3"/>
  <c r="AX111" i="3" s="1"/>
  <c r="F2" i="3"/>
  <c r="AX2" i="3" s="1"/>
  <c r="AV2" i="3"/>
  <c r="AV3" i="3"/>
  <c r="AV4" i="3"/>
  <c r="AV5" i="3"/>
  <c r="AV6" i="3"/>
  <c r="AV7" i="3"/>
  <c r="AV8" i="3"/>
  <c r="AV9" i="3"/>
  <c r="AV10" i="3"/>
  <c r="AV11" i="3"/>
  <c r="AV12" i="3"/>
  <c r="AV13" i="3"/>
  <c r="AV14" i="3"/>
  <c r="AV15" i="3"/>
  <c r="AV16" i="3"/>
  <c r="AV17" i="3"/>
  <c r="AV18" i="3"/>
  <c r="AV19" i="3"/>
  <c r="AV20" i="3"/>
  <c r="AV21" i="3"/>
  <c r="AV22" i="3"/>
  <c r="AV23" i="3"/>
  <c r="AV24" i="3"/>
  <c r="AV25" i="3"/>
  <c r="AV26" i="3"/>
  <c r="AV27" i="3"/>
  <c r="AV28" i="3"/>
  <c r="AV29" i="3"/>
  <c r="AV30" i="3"/>
  <c r="AV31" i="3"/>
  <c r="AV32" i="3"/>
  <c r="AV33" i="3"/>
  <c r="AV34" i="3"/>
  <c r="AV35" i="3"/>
  <c r="AV36" i="3"/>
  <c r="AV37" i="3"/>
  <c r="AV38" i="3"/>
  <c r="AV39" i="3"/>
  <c r="AV40" i="3"/>
  <c r="AV41" i="3"/>
  <c r="AV42" i="3"/>
  <c r="AV43" i="3"/>
  <c r="AV44" i="3"/>
  <c r="AV45" i="3"/>
  <c r="AV46" i="3"/>
  <c r="AV47" i="3"/>
  <c r="AV48" i="3"/>
  <c r="AV49" i="3"/>
  <c r="AV50" i="3"/>
  <c r="AV51" i="3"/>
  <c r="AV52" i="3"/>
  <c r="AV53" i="3"/>
  <c r="AV54" i="3"/>
  <c r="AV55" i="3"/>
  <c r="AV56" i="3"/>
  <c r="AV57" i="3"/>
  <c r="AV58" i="3"/>
  <c r="AV59" i="3"/>
  <c r="AV60" i="3"/>
  <c r="AV61" i="3"/>
  <c r="AV62" i="3"/>
  <c r="AV63" i="3"/>
  <c r="AV64" i="3"/>
  <c r="AV65" i="3"/>
  <c r="AV66" i="3"/>
  <c r="AV67" i="3"/>
  <c r="AV68" i="3"/>
  <c r="AV69" i="3"/>
  <c r="AV70" i="3"/>
  <c r="AV71" i="3"/>
  <c r="AV72" i="3"/>
  <c r="AV73" i="3"/>
  <c r="AV74" i="3"/>
  <c r="AV75" i="3"/>
  <c r="AV76" i="3"/>
  <c r="AV77" i="3"/>
  <c r="AV78" i="3"/>
  <c r="AV79" i="3"/>
  <c r="AV80" i="3"/>
  <c r="AV81" i="3"/>
  <c r="AV82" i="3"/>
  <c r="AV83" i="3"/>
  <c r="AV84" i="3"/>
  <c r="AV85" i="3"/>
  <c r="AV86" i="3"/>
  <c r="AV87" i="3"/>
  <c r="AV88" i="3"/>
  <c r="AV89" i="3"/>
  <c r="AV90" i="3"/>
  <c r="AV91" i="3"/>
  <c r="AV92" i="3"/>
  <c r="AV93" i="3"/>
  <c r="AV94" i="3"/>
  <c r="AV95" i="3"/>
  <c r="AV96" i="3"/>
  <c r="AV97" i="3"/>
  <c r="AV98" i="3"/>
  <c r="AV99" i="3"/>
  <c r="AV100" i="3"/>
  <c r="AV101" i="3"/>
  <c r="AV102" i="3"/>
  <c r="AV103" i="3"/>
  <c r="AV104" i="3"/>
  <c r="AV105" i="3"/>
  <c r="AV106" i="3"/>
  <c r="AV107" i="3"/>
  <c r="AV108" i="3"/>
  <c r="AV109" i="3"/>
  <c r="AV110" i="3"/>
  <c r="AV111" i="3"/>
  <c r="AD3" i="3"/>
  <c r="AD4" i="3"/>
  <c r="AD5" i="3"/>
  <c r="AD6" i="3"/>
  <c r="AD7" i="3"/>
  <c r="AD8" i="3"/>
  <c r="AD9" i="3"/>
  <c r="AD10" i="3"/>
  <c r="AD11" i="3"/>
  <c r="AD12" i="3"/>
  <c r="AD13" i="3"/>
  <c r="AD14" i="3"/>
  <c r="AD15" i="3"/>
  <c r="AD16" i="3"/>
  <c r="AD17" i="3"/>
  <c r="AD18" i="3"/>
  <c r="AD19" i="3"/>
  <c r="AD20" i="3"/>
  <c r="AD21" i="3"/>
  <c r="AD22" i="3"/>
  <c r="AD23" i="3"/>
  <c r="AD24" i="3"/>
  <c r="AD25" i="3"/>
  <c r="AD26" i="3"/>
  <c r="AD27" i="3"/>
  <c r="AD28" i="3"/>
  <c r="AD29" i="3"/>
  <c r="AD30" i="3"/>
  <c r="AD31" i="3"/>
  <c r="AD32" i="3"/>
  <c r="AD33" i="3"/>
  <c r="AD34" i="3"/>
  <c r="AD35" i="3"/>
  <c r="AD36" i="3"/>
  <c r="AD37" i="3"/>
  <c r="AD38" i="3"/>
  <c r="AD39" i="3"/>
  <c r="AD40" i="3"/>
  <c r="AD41" i="3"/>
  <c r="AD42" i="3"/>
  <c r="AD43" i="3"/>
  <c r="AD44" i="3"/>
  <c r="AD45" i="3"/>
  <c r="AD46" i="3"/>
  <c r="AD47" i="3"/>
  <c r="AD48" i="3"/>
  <c r="AD49" i="3"/>
  <c r="AD50" i="3"/>
  <c r="AD51" i="3"/>
  <c r="AD52" i="3"/>
  <c r="AD53" i="3"/>
  <c r="AD54" i="3"/>
  <c r="AD55" i="3"/>
  <c r="AD56" i="3"/>
  <c r="AD57" i="3"/>
  <c r="AD58" i="3"/>
  <c r="AD59" i="3"/>
  <c r="AD60" i="3"/>
  <c r="AD61" i="3"/>
  <c r="AD62" i="3"/>
  <c r="AD63" i="3"/>
  <c r="AD64" i="3"/>
  <c r="AD65" i="3"/>
  <c r="AD66" i="3"/>
  <c r="AD67" i="3"/>
  <c r="AD68" i="3"/>
  <c r="AD69" i="3"/>
  <c r="AD70" i="3"/>
  <c r="AD71" i="3"/>
  <c r="AD72" i="3"/>
  <c r="AD73" i="3"/>
  <c r="AD74" i="3"/>
  <c r="AD75" i="3"/>
  <c r="AD76" i="3"/>
  <c r="AD77" i="3"/>
  <c r="AD78" i="3"/>
  <c r="AD79" i="3"/>
  <c r="AD80" i="3"/>
  <c r="AD81" i="3"/>
  <c r="AD82" i="3"/>
  <c r="AD83" i="3"/>
  <c r="AD84" i="3"/>
  <c r="AD85" i="3"/>
  <c r="AD86" i="3"/>
  <c r="AD87" i="3"/>
  <c r="AD88" i="3"/>
  <c r="AD89" i="3"/>
  <c r="AD90" i="3"/>
  <c r="AD91" i="3"/>
  <c r="AD92" i="3"/>
  <c r="AD93" i="3"/>
  <c r="AD94" i="3"/>
  <c r="AD95" i="3"/>
  <c r="AD96" i="3"/>
  <c r="AD97" i="3"/>
  <c r="AD98" i="3"/>
  <c r="AD99" i="3"/>
  <c r="AD100" i="3"/>
  <c r="AD101" i="3"/>
  <c r="AD102" i="3"/>
  <c r="AD103" i="3"/>
  <c r="AD104" i="3"/>
  <c r="AD105" i="3"/>
  <c r="AD106" i="3"/>
  <c r="AD107" i="3"/>
  <c r="AD108" i="3"/>
  <c r="AD109" i="3"/>
  <c r="AD110" i="3"/>
  <c r="AD111" i="3"/>
  <c r="AD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2" i="3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2" i="3"/>
  <c r="AW111" i="3"/>
  <c r="AW110" i="3"/>
  <c r="AW109" i="3"/>
  <c r="AW108" i="3"/>
  <c r="AW107" i="3"/>
  <c r="AW106" i="3"/>
  <c r="AW105" i="3"/>
  <c r="AW104" i="3"/>
  <c r="AW103" i="3"/>
  <c r="AW102" i="3"/>
  <c r="AW101" i="3"/>
  <c r="AW100" i="3"/>
  <c r="AW99" i="3"/>
  <c r="AW98" i="3"/>
  <c r="AW97" i="3"/>
  <c r="AW96" i="3"/>
  <c r="AW95" i="3"/>
  <c r="AW94" i="3"/>
  <c r="AW93" i="3"/>
  <c r="AW92" i="3"/>
  <c r="AW91" i="3"/>
  <c r="AW90" i="3"/>
  <c r="AW89" i="3"/>
  <c r="AW88" i="3"/>
  <c r="AW87" i="3"/>
  <c r="AW86" i="3"/>
  <c r="AW85" i="3"/>
  <c r="AW84" i="3"/>
  <c r="AW83" i="3"/>
  <c r="AW82" i="3"/>
  <c r="AW81" i="3"/>
  <c r="AW80" i="3"/>
  <c r="AW79" i="3"/>
  <c r="AW78" i="3"/>
  <c r="AW77" i="3"/>
  <c r="AW76" i="3"/>
  <c r="AW75" i="3"/>
  <c r="AW74" i="3"/>
  <c r="AW73" i="3"/>
  <c r="AW72" i="3"/>
  <c r="AW71" i="3"/>
  <c r="AW70" i="3"/>
  <c r="AW69" i="3"/>
  <c r="AW68" i="3"/>
  <c r="AW67" i="3"/>
  <c r="AW66" i="3"/>
  <c r="AW65" i="3"/>
  <c r="AW64" i="3"/>
  <c r="AW63" i="3"/>
  <c r="AW62" i="3"/>
  <c r="AW61" i="3"/>
  <c r="AW60" i="3"/>
  <c r="AW59" i="3"/>
  <c r="AW58" i="3"/>
  <c r="AW57" i="3"/>
  <c r="AW56" i="3"/>
  <c r="AW55" i="3"/>
  <c r="AW54" i="3"/>
  <c r="AW53" i="3"/>
  <c r="AW52" i="3"/>
  <c r="AW51" i="3"/>
  <c r="AW50" i="3"/>
  <c r="AW49" i="3"/>
  <c r="AW48" i="3"/>
  <c r="AW47" i="3"/>
  <c r="AW46" i="3"/>
  <c r="AW45" i="3"/>
  <c r="AW44" i="3"/>
  <c r="AW43" i="3"/>
  <c r="AW42" i="3"/>
  <c r="AW41" i="3"/>
  <c r="AW40" i="3"/>
  <c r="AW39" i="3"/>
  <c r="AW38" i="3"/>
  <c r="AW37" i="3"/>
  <c r="AW36" i="3"/>
  <c r="AW35" i="3"/>
  <c r="AW34" i="3"/>
  <c r="AW33" i="3"/>
  <c r="AW32" i="3"/>
  <c r="AW31" i="3"/>
  <c r="AW30" i="3"/>
  <c r="AW29" i="3"/>
  <c r="AW28" i="3"/>
  <c r="AW27" i="3"/>
  <c r="AW26" i="3"/>
  <c r="AW25" i="3"/>
  <c r="AW24" i="3"/>
  <c r="AW23" i="3"/>
  <c r="AW22" i="3"/>
  <c r="AW21" i="3"/>
  <c r="AW20" i="3"/>
  <c r="AW19" i="3"/>
  <c r="AW18" i="3"/>
  <c r="AW17" i="3"/>
  <c r="AW16" i="3"/>
  <c r="AW15" i="3"/>
  <c r="AW14" i="3"/>
  <c r="AW13" i="3"/>
  <c r="AW12" i="3"/>
  <c r="AW11" i="3"/>
  <c r="AW10" i="3"/>
  <c r="AW9" i="3"/>
  <c r="AW8" i="3"/>
  <c r="AW7" i="3"/>
  <c r="AW6" i="3"/>
  <c r="AW5" i="3"/>
  <c r="AW4" i="3"/>
  <c r="AW3" i="3"/>
  <c r="AW2" i="3"/>
  <c r="BB3" i="2"/>
  <c r="BB4" i="2"/>
  <c r="BB5" i="2"/>
  <c r="BB6" i="2"/>
  <c r="BB7" i="2"/>
  <c r="BB8" i="2"/>
  <c r="BB9" i="2"/>
  <c r="BB10" i="2"/>
  <c r="BB11" i="2"/>
  <c r="BB12" i="2"/>
  <c r="BB13" i="2"/>
  <c r="BB14" i="2"/>
  <c r="BB15" i="2"/>
  <c r="BB16" i="2"/>
  <c r="BB17" i="2"/>
  <c r="BB18" i="2"/>
  <c r="BB19" i="2"/>
  <c r="BB20" i="2"/>
  <c r="BB21" i="2"/>
  <c r="BB22" i="2"/>
  <c r="BB23" i="2"/>
  <c r="BB24" i="2"/>
  <c r="BB25" i="2"/>
  <c r="BB26" i="2"/>
  <c r="BB27" i="2"/>
  <c r="BB28" i="2"/>
  <c r="BB29" i="2"/>
  <c r="BB30" i="2"/>
  <c r="BB31" i="2"/>
  <c r="BB32" i="2"/>
  <c r="BB33" i="2"/>
  <c r="BB34" i="2"/>
  <c r="BB35" i="2"/>
  <c r="BB36" i="2"/>
  <c r="BB37" i="2"/>
  <c r="BB38" i="2"/>
  <c r="BB39" i="2"/>
  <c r="BB40" i="2"/>
  <c r="BB41" i="2"/>
  <c r="BB42" i="2"/>
  <c r="BB43" i="2"/>
  <c r="BB44" i="2"/>
  <c r="BB45" i="2"/>
  <c r="BB46" i="2"/>
  <c r="BB47" i="2"/>
  <c r="BB48" i="2"/>
  <c r="BB49" i="2"/>
  <c r="BB50" i="2"/>
  <c r="BB51" i="2"/>
  <c r="BB52" i="2"/>
  <c r="BB53" i="2"/>
  <c r="BB54" i="2"/>
  <c r="BB55" i="2"/>
  <c r="BB56" i="2"/>
  <c r="BB57" i="2"/>
  <c r="BB58" i="2"/>
  <c r="BB59" i="2"/>
  <c r="BB60" i="2"/>
  <c r="BB61" i="2"/>
  <c r="BB62" i="2"/>
  <c r="BB63" i="2"/>
  <c r="BB64" i="2"/>
  <c r="BB65" i="2"/>
  <c r="BB66" i="2"/>
  <c r="BB67" i="2"/>
  <c r="BB68" i="2"/>
  <c r="BB69" i="2"/>
  <c r="BB70" i="2"/>
  <c r="BB71" i="2"/>
  <c r="BB72" i="2"/>
  <c r="BB73" i="2"/>
  <c r="BB74" i="2"/>
  <c r="BB75" i="2"/>
  <c r="BB76" i="2"/>
  <c r="BB77" i="2"/>
  <c r="BB78" i="2"/>
  <c r="BB79" i="2"/>
  <c r="BB80" i="2"/>
  <c r="BB81" i="2"/>
  <c r="BB82" i="2"/>
  <c r="BB83" i="2"/>
  <c r="BB84" i="2"/>
  <c r="BB85" i="2"/>
  <c r="BB86" i="2"/>
  <c r="BB87" i="2"/>
  <c r="BB88" i="2"/>
  <c r="BB89" i="2"/>
  <c r="BB90" i="2"/>
  <c r="BB91" i="2"/>
  <c r="BB92" i="2"/>
  <c r="BB93" i="2"/>
  <c r="BB94" i="2"/>
  <c r="BB95" i="2"/>
  <c r="BB96" i="2"/>
  <c r="BB97" i="2"/>
  <c r="BB98" i="2"/>
  <c r="BB99" i="2"/>
  <c r="BB100" i="2"/>
  <c r="BB101" i="2"/>
  <c r="BB102" i="2"/>
  <c r="BB103" i="2"/>
  <c r="BB104" i="2"/>
  <c r="BB105" i="2"/>
  <c r="BB106" i="2"/>
  <c r="BB107" i="2"/>
  <c r="BB108" i="2"/>
  <c r="BB109" i="2"/>
  <c r="BB110" i="2"/>
  <c r="BB111" i="2"/>
  <c r="BB2" i="2"/>
  <c r="BA3" i="2"/>
  <c r="BA4" i="2"/>
  <c r="BA5" i="2"/>
  <c r="BA6" i="2"/>
  <c r="BA7" i="2"/>
  <c r="BA8" i="2"/>
  <c r="BA9" i="2"/>
  <c r="BA10" i="2"/>
  <c r="BA11" i="2"/>
  <c r="BA12" i="2"/>
  <c r="BA13" i="2"/>
  <c r="BA14" i="2"/>
  <c r="BA15" i="2"/>
  <c r="BA16" i="2"/>
  <c r="BA17" i="2"/>
  <c r="BA18" i="2"/>
  <c r="BA19" i="2"/>
  <c r="BA20" i="2"/>
  <c r="BA21" i="2"/>
  <c r="BA22" i="2"/>
  <c r="BA23" i="2"/>
  <c r="BA24" i="2"/>
  <c r="BA25" i="2"/>
  <c r="BA26" i="2"/>
  <c r="BA27" i="2"/>
  <c r="BA28" i="2"/>
  <c r="BA29" i="2"/>
  <c r="BA30" i="2"/>
  <c r="BA31" i="2"/>
  <c r="BA32" i="2"/>
  <c r="BA33" i="2"/>
  <c r="BA34" i="2"/>
  <c r="BA35" i="2"/>
  <c r="BA36" i="2"/>
  <c r="BA37" i="2"/>
  <c r="BA38" i="2"/>
  <c r="BA39" i="2"/>
  <c r="BA40" i="2"/>
  <c r="BA41" i="2"/>
  <c r="BA42" i="2"/>
  <c r="BA43" i="2"/>
  <c r="BA44" i="2"/>
  <c r="BA45" i="2"/>
  <c r="BA46" i="2"/>
  <c r="BA47" i="2"/>
  <c r="BA48" i="2"/>
  <c r="BA49" i="2"/>
  <c r="BA50" i="2"/>
  <c r="BA51" i="2"/>
  <c r="BA52" i="2"/>
  <c r="BA53" i="2"/>
  <c r="BA54" i="2"/>
  <c r="BA55" i="2"/>
  <c r="BA56" i="2"/>
  <c r="BA57" i="2"/>
  <c r="BA58" i="2"/>
  <c r="BA59" i="2"/>
  <c r="BA60" i="2"/>
  <c r="BA61" i="2"/>
  <c r="BA62" i="2"/>
  <c r="BA63" i="2"/>
  <c r="BA64" i="2"/>
  <c r="BA65" i="2"/>
  <c r="BA66" i="2"/>
  <c r="BA67" i="2"/>
  <c r="BA68" i="2"/>
  <c r="BA69" i="2"/>
  <c r="BA70" i="2"/>
  <c r="BA71" i="2"/>
  <c r="BA72" i="2"/>
  <c r="BA73" i="2"/>
  <c r="BA74" i="2"/>
  <c r="BA75" i="2"/>
  <c r="BA76" i="2"/>
  <c r="BA77" i="2"/>
  <c r="BA78" i="2"/>
  <c r="BA79" i="2"/>
  <c r="BA80" i="2"/>
  <c r="BA81" i="2"/>
  <c r="BA82" i="2"/>
  <c r="BA83" i="2"/>
  <c r="BA84" i="2"/>
  <c r="BA85" i="2"/>
  <c r="BA86" i="2"/>
  <c r="BA87" i="2"/>
  <c r="BA88" i="2"/>
  <c r="BA89" i="2"/>
  <c r="BA90" i="2"/>
  <c r="BA91" i="2"/>
  <c r="BA92" i="2"/>
  <c r="BA93" i="2"/>
  <c r="BA94" i="2"/>
  <c r="BA95" i="2"/>
  <c r="BA96" i="2"/>
  <c r="BA97" i="2"/>
  <c r="BA98" i="2"/>
  <c r="BA99" i="2"/>
  <c r="BA100" i="2"/>
  <c r="BA101" i="2"/>
  <c r="BA102" i="2"/>
  <c r="BA103" i="2"/>
  <c r="BA104" i="2"/>
  <c r="BA105" i="2"/>
  <c r="BA106" i="2"/>
  <c r="BA107" i="2"/>
  <c r="BA108" i="2"/>
  <c r="BA109" i="2"/>
  <c r="BA110" i="2"/>
  <c r="BA111" i="2"/>
  <c r="BA2" i="2"/>
  <c r="AZ3" i="2"/>
  <c r="AZ4" i="2"/>
  <c r="AZ5" i="2"/>
  <c r="AZ6" i="2"/>
  <c r="AZ7" i="2"/>
  <c r="AZ8" i="2"/>
  <c r="AZ9" i="2"/>
  <c r="AZ10" i="2"/>
  <c r="AZ11" i="2"/>
  <c r="AZ12" i="2"/>
  <c r="AZ13" i="2"/>
  <c r="AZ14" i="2"/>
  <c r="AZ15" i="2"/>
  <c r="AZ16" i="2"/>
  <c r="AZ17" i="2"/>
  <c r="AZ18" i="2"/>
  <c r="AZ19" i="2"/>
  <c r="AZ20" i="2"/>
  <c r="AZ21" i="2"/>
  <c r="AZ22" i="2"/>
  <c r="AZ23" i="2"/>
  <c r="AZ24" i="2"/>
  <c r="AZ25" i="2"/>
  <c r="AZ26" i="2"/>
  <c r="AZ27" i="2"/>
  <c r="AZ28" i="2"/>
  <c r="AZ29" i="2"/>
  <c r="AZ30" i="2"/>
  <c r="AZ31" i="2"/>
  <c r="AZ32" i="2"/>
  <c r="AZ33" i="2"/>
  <c r="AZ34" i="2"/>
  <c r="AZ35" i="2"/>
  <c r="AZ36" i="2"/>
  <c r="AZ37" i="2"/>
  <c r="AZ38" i="2"/>
  <c r="AZ39" i="2"/>
  <c r="AZ40" i="2"/>
  <c r="AZ41" i="2"/>
  <c r="AZ42" i="2"/>
  <c r="AZ43" i="2"/>
  <c r="AZ44" i="2"/>
  <c r="AZ45" i="2"/>
  <c r="AZ46" i="2"/>
  <c r="AZ47" i="2"/>
  <c r="AZ48" i="2"/>
  <c r="AZ49" i="2"/>
  <c r="AZ50" i="2"/>
  <c r="AZ51" i="2"/>
  <c r="AZ52" i="2"/>
  <c r="AZ53" i="2"/>
  <c r="AZ54" i="2"/>
  <c r="AZ55" i="2"/>
  <c r="AZ56" i="2"/>
  <c r="AZ57" i="2"/>
  <c r="AZ58" i="2"/>
  <c r="AZ59" i="2"/>
  <c r="AZ60" i="2"/>
  <c r="AZ61" i="2"/>
  <c r="AZ62" i="2"/>
  <c r="AZ63" i="2"/>
  <c r="AZ64" i="2"/>
  <c r="AZ65" i="2"/>
  <c r="AZ66" i="2"/>
  <c r="AZ67" i="2"/>
  <c r="AZ68" i="2"/>
  <c r="AZ69" i="2"/>
  <c r="AZ70" i="2"/>
  <c r="AZ71" i="2"/>
  <c r="AZ72" i="2"/>
  <c r="AZ73" i="2"/>
  <c r="AZ74" i="2"/>
  <c r="AZ75" i="2"/>
  <c r="AZ76" i="2"/>
  <c r="AZ77" i="2"/>
  <c r="AZ78" i="2"/>
  <c r="AZ79" i="2"/>
  <c r="AZ80" i="2"/>
  <c r="AZ81" i="2"/>
  <c r="AZ82" i="2"/>
  <c r="AZ83" i="2"/>
  <c r="AZ84" i="2"/>
  <c r="AZ85" i="2"/>
  <c r="AZ86" i="2"/>
  <c r="AZ87" i="2"/>
  <c r="AZ88" i="2"/>
  <c r="AZ89" i="2"/>
  <c r="AZ90" i="2"/>
  <c r="AZ91" i="2"/>
  <c r="AZ92" i="2"/>
  <c r="AZ93" i="2"/>
  <c r="AZ94" i="2"/>
  <c r="AZ95" i="2"/>
  <c r="AZ96" i="2"/>
  <c r="AZ97" i="2"/>
  <c r="AZ98" i="2"/>
  <c r="AZ99" i="2"/>
  <c r="AZ100" i="2"/>
  <c r="AZ101" i="2"/>
  <c r="AZ102" i="2"/>
  <c r="AZ103" i="2"/>
  <c r="AZ104" i="2"/>
  <c r="AZ105" i="2"/>
  <c r="AZ106" i="2"/>
  <c r="AZ107" i="2"/>
  <c r="AZ108" i="2"/>
  <c r="AZ109" i="2"/>
  <c r="AZ110" i="2"/>
  <c r="AZ111" i="2"/>
  <c r="AZ2" i="2"/>
  <c r="AW3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W40" i="2"/>
  <c r="AW41" i="2"/>
  <c r="AW42" i="2"/>
  <c r="AW43" i="2"/>
  <c r="AW44" i="2"/>
  <c r="AW45" i="2"/>
  <c r="AW46" i="2"/>
  <c r="AW47" i="2"/>
  <c r="AW48" i="2"/>
  <c r="AW49" i="2"/>
  <c r="AW50" i="2"/>
  <c r="AW51" i="2"/>
  <c r="AW52" i="2"/>
  <c r="AW53" i="2"/>
  <c r="AW54" i="2"/>
  <c r="AW55" i="2"/>
  <c r="AW56" i="2"/>
  <c r="AW57" i="2"/>
  <c r="AW58" i="2"/>
  <c r="AW59" i="2"/>
  <c r="AW60" i="2"/>
  <c r="AW61" i="2"/>
  <c r="AW62" i="2"/>
  <c r="AW63" i="2"/>
  <c r="AW64" i="2"/>
  <c r="AW65" i="2"/>
  <c r="AW66" i="2"/>
  <c r="AW67" i="2"/>
  <c r="AW68" i="2"/>
  <c r="AW69" i="2"/>
  <c r="AW70" i="2"/>
  <c r="AW71" i="2"/>
  <c r="AW72" i="2"/>
  <c r="AW73" i="2"/>
  <c r="AW74" i="2"/>
  <c r="AW75" i="2"/>
  <c r="AW76" i="2"/>
  <c r="AW77" i="2"/>
  <c r="AW78" i="2"/>
  <c r="AW79" i="2"/>
  <c r="AW80" i="2"/>
  <c r="AW81" i="2"/>
  <c r="AW82" i="2"/>
  <c r="AW83" i="2"/>
  <c r="AW84" i="2"/>
  <c r="AW85" i="2"/>
  <c r="AW86" i="2"/>
  <c r="AW87" i="2"/>
  <c r="AW88" i="2"/>
  <c r="AW89" i="2"/>
  <c r="AW90" i="2"/>
  <c r="AW91" i="2"/>
  <c r="AW92" i="2"/>
  <c r="AW93" i="2"/>
  <c r="AW94" i="2"/>
  <c r="AW95" i="2"/>
  <c r="AW96" i="2"/>
  <c r="AW97" i="2"/>
  <c r="AW98" i="2"/>
  <c r="AW99" i="2"/>
  <c r="AW100" i="2"/>
  <c r="AW101" i="2"/>
  <c r="AW102" i="2"/>
  <c r="AW103" i="2"/>
  <c r="AW104" i="2"/>
  <c r="AW105" i="2"/>
  <c r="AW106" i="2"/>
  <c r="AW107" i="2"/>
  <c r="AW108" i="2"/>
  <c r="AW109" i="2"/>
  <c r="AW110" i="2"/>
  <c r="AW111" i="2"/>
  <c r="AW2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38" i="2"/>
  <c r="AV39" i="2"/>
  <c r="AV40" i="2"/>
  <c r="AV41" i="2"/>
  <c r="AV42" i="2"/>
  <c r="AV43" i="2"/>
  <c r="AV44" i="2"/>
  <c r="AV45" i="2"/>
  <c r="AV46" i="2"/>
  <c r="AV47" i="2"/>
  <c r="AV48" i="2"/>
  <c r="AV49" i="2"/>
  <c r="AV50" i="2"/>
  <c r="AV51" i="2"/>
  <c r="AV52" i="2"/>
  <c r="AV53" i="2"/>
  <c r="AV54" i="2"/>
  <c r="AV55" i="2"/>
  <c r="AV56" i="2"/>
  <c r="AV57" i="2"/>
  <c r="AV58" i="2"/>
  <c r="AV59" i="2"/>
  <c r="AV60" i="2"/>
  <c r="AV61" i="2"/>
  <c r="AV62" i="2"/>
  <c r="AV63" i="2"/>
  <c r="AV64" i="2"/>
  <c r="AV65" i="2"/>
  <c r="AV66" i="2"/>
  <c r="AV67" i="2"/>
  <c r="AV68" i="2"/>
  <c r="AV69" i="2"/>
  <c r="AV70" i="2"/>
  <c r="AV71" i="2"/>
  <c r="AV72" i="2"/>
  <c r="AV73" i="2"/>
  <c r="AV74" i="2"/>
  <c r="AV75" i="2"/>
  <c r="AV76" i="2"/>
  <c r="AV77" i="2"/>
  <c r="AV78" i="2"/>
  <c r="AV79" i="2"/>
  <c r="AV80" i="2"/>
  <c r="AV81" i="2"/>
  <c r="AV82" i="2"/>
  <c r="AV83" i="2"/>
  <c r="AV84" i="2"/>
  <c r="AV85" i="2"/>
  <c r="AV86" i="2"/>
  <c r="AV87" i="2"/>
  <c r="AV88" i="2"/>
  <c r="AV89" i="2"/>
  <c r="AV90" i="2"/>
  <c r="AV91" i="2"/>
  <c r="AV92" i="2"/>
  <c r="AV93" i="2"/>
  <c r="AV94" i="2"/>
  <c r="AV95" i="2"/>
  <c r="AV96" i="2"/>
  <c r="AV97" i="2"/>
  <c r="AV98" i="2"/>
  <c r="AV99" i="2"/>
  <c r="AV100" i="2"/>
  <c r="AV101" i="2"/>
  <c r="AV102" i="2"/>
  <c r="AV103" i="2"/>
  <c r="AV104" i="2"/>
  <c r="AV105" i="2"/>
  <c r="AV106" i="2"/>
  <c r="AV107" i="2"/>
  <c r="AV108" i="2"/>
  <c r="AV109" i="2"/>
  <c r="AV110" i="2"/>
  <c r="AV111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2" i="2"/>
</calcChain>
</file>

<file path=xl/sharedStrings.xml><?xml version="1.0" encoding="utf-8"?>
<sst xmlns="http://schemas.openxmlformats.org/spreadsheetml/2006/main" count="17863" uniqueCount="116">
  <si>
    <t>Programmatic</t>
  </si>
  <si>
    <t>Paid Search</t>
  </si>
  <si>
    <t>Paid Social</t>
  </si>
  <si>
    <t>Organic</t>
  </si>
  <si>
    <t>Channel_ID</t>
  </si>
  <si>
    <t>Channel_Name</t>
  </si>
  <si>
    <t>DS_ID</t>
  </si>
  <si>
    <t>DS_Name</t>
  </si>
  <si>
    <t>StackAdapt</t>
  </si>
  <si>
    <t>Facebook</t>
  </si>
  <si>
    <t>Google</t>
  </si>
  <si>
    <t>Bing</t>
  </si>
  <si>
    <t>LinkedIn</t>
  </si>
  <si>
    <t>Amazon</t>
  </si>
  <si>
    <t>DS_Description</t>
  </si>
  <si>
    <t>Ad Server</t>
  </si>
  <si>
    <t>Ads</t>
  </si>
  <si>
    <t>Display &amp; Video 360</t>
  </si>
  <si>
    <t>Ads (Microsoft Advertisement)</t>
  </si>
  <si>
    <t>Search Ads 360</t>
  </si>
  <si>
    <t>Campaign_ID</t>
  </si>
  <si>
    <t>Campaign_Name</t>
  </si>
  <si>
    <t>MM_ID</t>
  </si>
  <si>
    <t>MM_Description</t>
  </si>
  <si>
    <t>Impressions</t>
  </si>
  <si>
    <t>CPC</t>
  </si>
  <si>
    <t>CPM</t>
  </si>
  <si>
    <t>CTR</t>
  </si>
  <si>
    <t>Conversions</t>
  </si>
  <si>
    <t>Video Views</t>
  </si>
  <si>
    <t>Spend</t>
  </si>
  <si>
    <t>Business-focused zero tolerance arch…</t>
  </si>
  <si>
    <t>Persistent 24/7 attitude</t>
  </si>
  <si>
    <t>Integrated dedicated contingency</t>
  </si>
  <si>
    <t>Profound intantigle policy</t>
  </si>
  <si>
    <t>Centralized modular throughput</t>
  </si>
  <si>
    <t>Automated uniform software</t>
  </si>
  <si>
    <t>Cross-platform static hierarchy</t>
  </si>
  <si>
    <t>Networked value-added time-frame</t>
  </si>
  <si>
    <t>date</t>
  </si>
  <si>
    <t>campaign_id</t>
  </si>
  <si>
    <t>campaign_name</t>
  </si>
  <si>
    <t>ad_set_id</t>
  </si>
  <si>
    <t>ad_set_name</t>
  </si>
  <si>
    <t>impressions</t>
  </si>
  <si>
    <t>clicks</t>
  </si>
  <si>
    <t>spend</t>
  </si>
  <si>
    <t>conversions</t>
  </si>
  <si>
    <t>video_views</t>
  </si>
  <si>
    <t>engagement_rate</t>
  </si>
  <si>
    <t>reach</t>
  </si>
  <si>
    <t>frequency</t>
  </si>
  <si>
    <t>fb_1001</t>
  </si>
  <si>
    <t>Brand_Awareness_Q1</t>
  </si>
  <si>
    <t>fbset_2001</t>
  </si>
  <si>
    <t>Broad_Audience_18-35</t>
  </si>
  <si>
    <t>fb_1002</t>
  </si>
  <si>
    <t>Conversions_Retargeting</t>
  </si>
  <si>
    <t>fbset_2002</t>
  </si>
  <si>
    <t>Cart_Abandoners</t>
  </si>
  <si>
    <t>fb_1003</t>
  </si>
  <si>
    <t>Traffic_Drive_Jan</t>
  </si>
  <si>
    <t>fbset_2003</t>
  </si>
  <si>
    <t>Lookalike_Purchasers</t>
  </si>
  <si>
    <t>fb_1004</t>
  </si>
  <si>
    <t>Video_Views_Campaign</t>
  </si>
  <si>
    <t>fbset_2004</t>
  </si>
  <si>
    <t>Video_Enthusiasts</t>
  </si>
  <si>
    <t>ad_group_id</t>
  </si>
  <si>
    <t>ad_group_name</t>
  </si>
  <si>
    <t>cost</t>
  </si>
  <si>
    <t>conversion_value</t>
  </si>
  <si>
    <t>ctr</t>
  </si>
  <si>
    <t>avg_cpc</t>
  </si>
  <si>
    <t>quality_score</t>
  </si>
  <si>
    <t>search_impression_share</t>
  </si>
  <si>
    <t>g_5001</t>
  </si>
  <si>
    <t>Search_Brand_Terms</t>
  </si>
  <si>
    <t>gad_6001</t>
  </si>
  <si>
    <t>Brand_Exact</t>
  </si>
  <si>
    <t>g_5002</t>
  </si>
  <si>
    <t>Search_Generic_Terms</t>
  </si>
  <si>
    <t>gad_6002</t>
  </si>
  <si>
    <t>Product_Broad</t>
  </si>
  <si>
    <t>g_5003</t>
  </si>
  <si>
    <t>Shopping_All_Products</t>
  </si>
  <si>
    <t>gad_6003</t>
  </si>
  <si>
    <t>Best_Sellers</t>
  </si>
  <si>
    <t>g_5004</t>
  </si>
  <si>
    <t>Display_Remarketing</t>
  </si>
  <si>
    <t>gad_6004</t>
  </si>
  <si>
    <t>adgroup_id</t>
  </si>
  <si>
    <t>adgroup_name</t>
  </si>
  <si>
    <t>video_watch_25</t>
  </si>
  <si>
    <t>video_watch_50</t>
  </si>
  <si>
    <t>video_watch_75</t>
  </si>
  <si>
    <t>video_watch_100</t>
  </si>
  <si>
    <t>likes</t>
  </si>
  <si>
    <t>shares</t>
  </si>
  <si>
    <t>comments</t>
  </si>
  <si>
    <t>tt_8001</t>
  </si>
  <si>
    <t>Awareness_GenZ</t>
  </si>
  <si>
    <t>ttad_9001</t>
  </si>
  <si>
    <t>Dance_Challenge</t>
  </si>
  <si>
    <t>tt_8002</t>
  </si>
  <si>
    <t>Conversion_Focus</t>
  </si>
  <si>
    <t>ttad_9002</t>
  </si>
  <si>
    <t>Product_Demo</t>
  </si>
  <si>
    <t>tt_8003</t>
  </si>
  <si>
    <t>Traffic_Campaign</t>
  </si>
  <si>
    <t>ttad_9003</t>
  </si>
  <si>
    <t>Trending_Sounds</t>
  </si>
  <si>
    <t>tt_8004</t>
  </si>
  <si>
    <t>Influencer_Collab</t>
  </si>
  <si>
    <t>ttad_9004</t>
  </si>
  <si>
    <t>Creator_Partnership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</si>
</sst>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rgb="FFF0F6FC"/>
      <name val="Segoe UI"/>
      <family val="2"/>
    </font>
    <font>
      <sz val="9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0D1117"/>
        <bgColor indexed="64"/>
      </patternFill>
    </fill>
  </fills>
  <borders count="4">
    <border>
      <left/>
      <right/>
      <top/>
      <bottom/>
      <diagonal/>
    </border>
    <border>
      <left style="medium">
        <color rgb="FF3D444D"/>
      </left>
      <right/>
      <top/>
      <bottom/>
      <diagonal/>
    </border>
    <border>
      <left style="medium">
        <color rgb="FF3D444D"/>
      </left>
      <right/>
      <top style="medium">
        <color rgb="FF3D444D"/>
      </top>
      <bottom/>
      <diagonal/>
    </border>
    <border>
      <left/>
      <right/>
      <top style="medium">
        <color rgb="FF3D444D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14" fontId="2" fillId="0" borderId="3" xfId="0" applyNumberFormat="1" applyFont="1" applyBorder="1" applyAlignment="1">
      <alignment vertical="center"/>
    </xf>
    <xf numFmtId="0" fontId="2" fillId="0" borderId="2" xfId="0" applyFont="1" applyBorder="1" applyAlignment="1">
      <alignment vertical="center"/>
    </xf>
    <xf numFmtId="14" fontId="0" fillId="0" borderId="0" xfId="0" applyNumberFormat="1"/>
  </cellXfs>
  <cellStyles count="1">
    <cellStyle name="Normal" xfId="0" builtinId="0"/>
  </cellStyles>
  <dxfs count="728"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numFmt numFmtId="19" formatCode="m/d/yyyy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medium">
          <color rgb="FF3D444D"/>
        </top>
        <bottom/>
        <vertical/>
        <horizontal/>
      </border>
    </dxf>
    <dxf>
      <border outline="0">
        <left style="medium">
          <color rgb="FF3D444D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rgb="FF000000"/>
          <bgColor rgb="FFFFFFFF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F0F6FC"/>
        <name val="Segoe UI"/>
        <family val="2"/>
        <scheme val="none"/>
      </font>
      <fill>
        <patternFill patternType="solid">
          <fgColor indexed="64"/>
          <bgColor rgb="FF0D1117"/>
        </patternFill>
      </fill>
      <alignment horizontal="left" vertical="center" textRotation="0" wrapText="0" indent="0" justifyLastLine="0" shrinkToFit="0" readingOrder="0"/>
      <border diagonalUp="0" diagonalDown="0" outline="0">
        <left style="medium">
          <color rgb="FF3D444D"/>
        </left>
        <right style="medium">
          <color rgb="FF3D444D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numFmt numFmtId="19" formatCode="m/d/yyyy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medium">
          <color rgb="FF3D444D"/>
        </top>
        <bottom/>
        <vertical/>
        <horizontal/>
      </border>
    </dxf>
    <dxf>
      <border outline="0">
        <left style="medium">
          <color rgb="FF3D444D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rgb="FF000000"/>
          <bgColor rgb="FFFFFFFF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F0F6FC"/>
        <name val="Segoe UI"/>
        <family val="2"/>
        <scheme val="none"/>
      </font>
      <fill>
        <patternFill patternType="solid">
          <fgColor indexed="64"/>
          <bgColor rgb="FF0D1117"/>
        </patternFill>
      </fill>
      <alignment horizontal="left" vertical="center" textRotation="0" wrapText="0" indent="0" justifyLastLine="0" shrinkToFit="0" readingOrder="0"/>
      <border diagonalUp="0" diagonalDown="0" outline="0">
        <left style="medium">
          <color rgb="FF3D444D"/>
        </left>
        <right style="medium">
          <color rgb="FF3D444D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3D444D"/>
        </left>
        <right/>
        <top style="medium">
          <color rgb="FF3D444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3D444D"/>
        </left>
        <right/>
        <top style="medium">
          <color rgb="FF3D444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3D444D"/>
        </left>
        <right/>
        <top style="medium">
          <color rgb="FF3D444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3D444D"/>
        </left>
        <right/>
        <top style="medium">
          <color rgb="FF3D444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3D444D"/>
        </left>
        <right/>
        <top style="medium">
          <color rgb="FF3D444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3D444D"/>
        </left>
        <right/>
        <top style="medium">
          <color rgb="FF3D444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3D444D"/>
        </left>
        <right/>
        <top style="medium">
          <color rgb="FF3D444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3D444D"/>
        </left>
        <right/>
        <top style="medium">
          <color rgb="FF3D444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3D444D"/>
        </left>
        <right/>
        <top style="medium">
          <color rgb="FF3D444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3D444D"/>
        </left>
        <right/>
        <top style="medium">
          <color rgb="FF3D444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3D444D"/>
        </left>
        <right/>
        <top style="medium">
          <color rgb="FF3D444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3D444D"/>
        </left>
        <right/>
        <top style="medium">
          <color rgb="FF3D444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numFmt numFmtId="19" formatCode="m/d/yyyy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medium">
          <color rgb="FF3D444D"/>
        </top>
        <bottom/>
      </border>
    </dxf>
    <dxf>
      <border outline="0">
        <left style="medium">
          <color rgb="FF3D444D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rgb="FF000000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F0F6FC"/>
        <name val="Segoe UI"/>
        <family val="2"/>
        <scheme val="none"/>
      </font>
      <fill>
        <patternFill patternType="solid">
          <fgColor indexed="64"/>
          <bgColor rgb="FF0D1117"/>
        </patternFill>
      </fill>
      <alignment horizontal="left" vertical="center" textRotation="0" wrapText="0" indent="0" justifyLastLine="0" shrinkToFit="0" readingOrder="0"/>
      <border diagonalUp="0" diagonalDown="0" outline="0">
        <left style="medium">
          <color rgb="FF3D444D"/>
        </left>
        <right style="medium">
          <color rgb="FF3D444D"/>
        </right>
        <top/>
        <bottom/>
      </border>
    </dxf>
    <dxf>
      <numFmt numFmtId="0" formatCode="General"/>
    </dxf>
    <dxf>
      <numFmt numFmtId="0" formatCode="General"/>
    </dxf>
    <dxf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numFmt numFmtId="19" formatCode="m/d/yyyy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medium">
          <color rgb="FF3D444D"/>
        </top>
        <bottom/>
        <vertical/>
        <horizontal/>
      </border>
    </dxf>
    <dxf>
      <border outline="0">
        <left style="medium">
          <color rgb="FF3D444D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rgb="FF000000"/>
          <bgColor rgb="FFFFFFFF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F0F6FC"/>
        <name val="Segoe UI"/>
        <family val="2"/>
        <scheme val="none"/>
      </font>
      <fill>
        <patternFill patternType="solid">
          <fgColor indexed="64"/>
          <bgColor rgb="FF0D1117"/>
        </patternFill>
      </fill>
      <alignment horizontal="left" vertical="center" textRotation="0" wrapText="0" indent="0" justifyLastLine="0" shrinkToFit="0" readingOrder="0"/>
      <border diagonalUp="0" diagonalDown="0" outline="0">
        <left style="medium">
          <color rgb="FF3D444D"/>
        </left>
        <right style="medium">
          <color rgb="FF3D444D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numFmt numFmtId="19" formatCode="m/d/yyyy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medium">
          <color rgb="FF3D444D"/>
        </top>
        <bottom/>
        <vertical/>
        <horizontal/>
      </border>
    </dxf>
    <dxf>
      <border outline="0">
        <left style="medium">
          <color rgb="FF3D444D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rgb="FF000000"/>
          <bgColor rgb="FFFFFFFF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F0F6FC"/>
        <name val="Segoe UI"/>
        <family val="2"/>
        <scheme val="none"/>
      </font>
      <fill>
        <patternFill patternType="solid">
          <fgColor indexed="64"/>
          <bgColor rgb="FF0D1117"/>
        </patternFill>
      </fill>
      <alignment horizontal="left" vertical="center" textRotation="0" wrapText="0" indent="0" justifyLastLine="0" shrinkToFit="0" readingOrder="0"/>
      <border diagonalUp="0" diagonalDown="0" outline="0">
        <left style="medium">
          <color rgb="FF3D444D"/>
        </left>
        <right style="medium">
          <color rgb="FF3D444D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3D444D"/>
        </left>
        <right/>
        <top style="medium">
          <color rgb="FF3D444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3D444D"/>
        </left>
        <right/>
        <top style="medium">
          <color rgb="FF3D444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3D444D"/>
        </left>
        <right/>
        <top style="medium">
          <color rgb="FF3D444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3D444D"/>
        </left>
        <right/>
        <top style="medium">
          <color rgb="FF3D444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3D444D"/>
        </left>
        <right/>
        <top style="medium">
          <color rgb="FF3D444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3D444D"/>
        </left>
        <right/>
        <top style="medium">
          <color rgb="FF3D444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3D444D"/>
        </left>
        <right/>
        <top style="medium">
          <color rgb="FF3D444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3D444D"/>
        </left>
        <right/>
        <top style="medium">
          <color rgb="FF3D444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3D444D"/>
        </left>
        <right/>
        <top style="medium">
          <color rgb="FF3D444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3D444D"/>
        </left>
        <right/>
        <top style="medium">
          <color rgb="FF3D444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3D444D"/>
        </left>
        <right/>
        <top style="medium">
          <color rgb="FF3D444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3D444D"/>
        </left>
        <right/>
        <top style="medium">
          <color rgb="FF3D444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numFmt numFmtId="19" formatCode="m/d/yyyy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medium">
          <color rgb="FF3D444D"/>
        </top>
        <bottom/>
      </border>
    </dxf>
    <dxf>
      <border outline="0">
        <left style="medium">
          <color rgb="FF3D444D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rgb="FF000000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F0F6FC"/>
        <name val="Segoe UI"/>
        <family val="2"/>
        <scheme val="none"/>
      </font>
      <fill>
        <patternFill patternType="solid">
          <fgColor indexed="64"/>
          <bgColor rgb="FF0D1117"/>
        </patternFill>
      </fill>
      <alignment horizontal="left" vertical="center" textRotation="0" wrapText="0" indent="0" justifyLastLine="0" shrinkToFit="0" readingOrder="0"/>
      <border diagonalUp="0" diagonalDown="0" outline="0">
        <left style="medium">
          <color rgb="FF3D444D"/>
        </left>
        <right style="medium">
          <color rgb="FF3D444D"/>
        </right>
        <top/>
        <bottom/>
      </border>
    </dxf>
    <dxf>
      <numFmt numFmtId="0" formatCode="General"/>
    </dxf>
    <dxf>
      <numFmt numFmtId="0" formatCode="General"/>
    </dxf>
    <dxf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numFmt numFmtId="19" formatCode="m/d/yyyy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medium">
          <color rgb="FF3D444D"/>
        </top>
        <bottom/>
        <vertical/>
        <horizontal/>
      </border>
    </dxf>
    <dxf>
      <border outline="0">
        <left style="medium">
          <color rgb="FF3D444D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rgb="FF000000"/>
          <bgColor rgb="FFFFFFFF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F0F6FC"/>
        <name val="Segoe UI"/>
        <family val="2"/>
        <scheme val="none"/>
      </font>
      <fill>
        <patternFill patternType="solid">
          <fgColor indexed="64"/>
          <bgColor rgb="FF0D1117"/>
        </patternFill>
      </fill>
      <alignment horizontal="left" vertical="center" textRotation="0" wrapText="0" indent="0" justifyLastLine="0" shrinkToFit="0" readingOrder="0"/>
      <border diagonalUp="0" diagonalDown="0" outline="0">
        <left style="medium">
          <color rgb="FF3D444D"/>
        </left>
        <right style="medium">
          <color rgb="FF3D444D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numFmt numFmtId="19" formatCode="m/d/yyyy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medium">
          <color rgb="FF3D444D"/>
        </top>
        <bottom/>
        <vertical/>
        <horizontal/>
      </border>
    </dxf>
    <dxf>
      <border outline="0">
        <left style="medium">
          <color rgb="FF3D444D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rgb="FF000000"/>
          <bgColor rgb="FFFFFFFF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F0F6FC"/>
        <name val="Segoe UI"/>
        <family val="2"/>
        <scheme val="none"/>
      </font>
      <fill>
        <patternFill patternType="solid">
          <fgColor indexed="64"/>
          <bgColor rgb="FF0D1117"/>
        </patternFill>
      </fill>
      <alignment horizontal="left" vertical="center" textRotation="0" wrapText="0" indent="0" justifyLastLine="0" shrinkToFit="0" readingOrder="0"/>
      <border diagonalUp="0" diagonalDown="0" outline="0">
        <left style="medium">
          <color rgb="FF3D444D"/>
        </left>
        <right style="medium">
          <color rgb="FF3D444D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3D444D"/>
        </left>
        <right/>
        <top style="medium">
          <color rgb="FF3D444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3D444D"/>
        </left>
        <right/>
        <top style="medium">
          <color rgb="FF3D444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3D444D"/>
        </left>
        <right/>
        <top style="medium">
          <color rgb="FF3D444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3D444D"/>
        </left>
        <right/>
        <top style="medium">
          <color rgb="FF3D444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3D444D"/>
        </left>
        <right/>
        <top style="medium">
          <color rgb="FF3D444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3D444D"/>
        </left>
        <right/>
        <top style="medium">
          <color rgb="FF3D444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3D444D"/>
        </left>
        <right/>
        <top style="medium">
          <color rgb="FF3D444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3D444D"/>
        </left>
        <right/>
        <top style="medium">
          <color rgb="FF3D444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3D444D"/>
        </left>
        <right/>
        <top style="medium">
          <color rgb="FF3D444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3D444D"/>
        </left>
        <right/>
        <top style="medium">
          <color rgb="FF3D444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3D444D"/>
        </left>
        <right/>
        <top style="medium">
          <color rgb="FF3D444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3D444D"/>
        </left>
        <right/>
        <top style="medium">
          <color rgb="FF3D444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numFmt numFmtId="19" formatCode="m/d/yyyy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medium">
          <color rgb="FF3D444D"/>
        </top>
        <bottom/>
      </border>
    </dxf>
    <dxf>
      <border outline="0">
        <left style="medium">
          <color rgb="FF3D444D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rgb="FF000000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F0F6FC"/>
        <name val="Segoe UI"/>
        <family val="2"/>
        <scheme val="none"/>
      </font>
      <fill>
        <patternFill patternType="solid">
          <fgColor indexed="64"/>
          <bgColor rgb="FF0D1117"/>
        </patternFill>
      </fill>
      <alignment horizontal="left" vertical="center" textRotation="0" wrapText="0" indent="0" justifyLastLine="0" shrinkToFit="0" readingOrder="0"/>
      <border diagonalUp="0" diagonalDown="0" outline="0">
        <left style="medium">
          <color rgb="FF3D444D"/>
        </left>
        <right style="medium">
          <color rgb="FF3D444D"/>
        </right>
        <top/>
        <bottom/>
      </border>
    </dxf>
    <dxf>
      <numFmt numFmtId="0" formatCode="General"/>
    </dxf>
    <dxf>
      <numFmt numFmtId="0" formatCode="General"/>
    </dxf>
    <dxf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numFmt numFmtId="19" formatCode="m/d/yyyy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medium">
          <color rgb="FF3D444D"/>
        </top>
        <bottom/>
        <vertical/>
        <horizontal/>
      </border>
    </dxf>
    <dxf>
      <border outline="0">
        <left style="medium">
          <color rgb="FF3D444D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rgb="FF000000"/>
          <bgColor rgb="FFFFFFFF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F0F6FC"/>
        <name val="Segoe UI"/>
        <family val="2"/>
        <scheme val="none"/>
      </font>
      <fill>
        <patternFill patternType="solid">
          <fgColor indexed="64"/>
          <bgColor rgb="FF0D1117"/>
        </patternFill>
      </fill>
      <alignment horizontal="left" vertical="center" textRotation="0" wrapText="0" indent="0" justifyLastLine="0" shrinkToFit="0" readingOrder="0"/>
      <border diagonalUp="0" diagonalDown="0" outline="0">
        <left style="medium">
          <color rgb="FF3D444D"/>
        </left>
        <right style="medium">
          <color rgb="FF3D444D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numFmt numFmtId="19" formatCode="m/d/yyyy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medium">
          <color rgb="FF3D444D"/>
        </top>
        <bottom/>
        <vertical/>
        <horizontal/>
      </border>
    </dxf>
    <dxf>
      <border outline="0">
        <left style="medium">
          <color rgb="FF3D444D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rgb="FF000000"/>
          <bgColor rgb="FFFFFFFF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F0F6FC"/>
        <name val="Segoe UI"/>
        <family val="2"/>
        <scheme val="none"/>
      </font>
      <fill>
        <patternFill patternType="solid">
          <fgColor indexed="64"/>
          <bgColor rgb="FF0D1117"/>
        </patternFill>
      </fill>
      <alignment horizontal="left" vertical="center" textRotation="0" wrapText="0" indent="0" justifyLastLine="0" shrinkToFit="0" readingOrder="0"/>
      <border diagonalUp="0" diagonalDown="0" outline="0">
        <left style="medium">
          <color rgb="FF3D444D"/>
        </left>
        <right style="medium">
          <color rgb="FF3D444D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3D444D"/>
        </left>
        <right/>
        <top style="medium">
          <color rgb="FF3D444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3D444D"/>
        </left>
        <right/>
        <top style="medium">
          <color rgb="FF3D444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3D444D"/>
        </left>
        <right/>
        <top style="medium">
          <color rgb="FF3D444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3D444D"/>
        </left>
        <right/>
        <top style="medium">
          <color rgb="FF3D444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3D444D"/>
        </left>
        <right/>
        <top style="medium">
          <color rgb="FF3D444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3D444D"/>
        </left>
        <right/>
        <top style="medium">
          <color rgb="FF3D444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3D444D"/>
        </left>
        <right/>
        <top style="medium">
          <color rgb="FF3D444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3D444D"/>
        </left>
        <right/>
        <top style="medium">
          <color rgb="FF3D444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3D444D"/>
        </left>
        <right/>
        <top style="medium">
          <color rgb="FF3D444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3D444D"/>
        </left>
        <right/>
        <top style="medium">
          <color rgb="FF3D444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3D444D"/>
        </left>
        <right/>
        <top style="medium">
          <color rgb="FF3D444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3D444D"/>
        </left>
        <right/>
        <top style="medium">
          <color rgb="FF3D444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numFmt numFmtId="19" formatCode="m/d/yyyy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medium">
          <color rgb="FF3D444D"/>
        </top>
        <bottom/>
      </border>
    </dxf>
    <dxf>
      <border outline="0">
        <left style="medium">
          <color rgb="FF3D444D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rgb="FF000000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F0F6FC"/>
        <name val="Segoe UI"/>
        <family val="2"/>
        <scheme val="none"/>
      </font>
      <fill>
        <patternFill patternType="solid">
          <fgColor indexed="64"/>
          <bgColor rgb="FF0D1117"/>
        </patternFill>
      </fill>
      <alignment horizontal="left" vertical="center" textRotation="0" wrapText="0" indent="0" justifyLastLine="0" shrinkToFit="0" readingOrder="0"/>
      <border diagonalUp="0" diagonalDown="0" outline="0">
        <left style="medium">
          <color rgb="FF3D444D"/>
        </left>
        <right style="medium">
          <color rgb="FF3D444D"/>
        </right>
        <top/>
        <bottom/>
      </border>
    </dxf>
    <dxf>
      <numFmt numFmtId="0" formatCode="General"/>
    </dxf>
    <dxf>
      <numFmt numFmtId="0" formatCode="General"/>
    </dxf>
    <dxf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numFmt numFmtId="19" formatCode="m/d/yyyy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medium">
          <color rgb="FF3D444D"/>
        </top>
        <bottom/>
        <vertical/>
        <horizontal/>
      </border>
    </dxf>
    <dxf>
      <border outline="0">
        <left style="medium">
          <color rgb="FF3D444D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rgb="FF000000"/>
          <bgColor rgb="FFFFFFFF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F0F6FC"/>
        <name val="Segoe UI"/>
        <family val="2"/>
        <scheme val="none"/>
      </font>
      <fill>
        <patternFill patternType="solid">
          <fgColor indexed="64"/>
          <bgColor rgb="FF0D1117"/>
        </patternFill>
      </fill>
      <alignment horizontal="left" vertical="center" textRotation="0" wrapText="0" indent="0" justifyLastLine="0" shrinkToFit="0" readingOrder="0"/>
      <border diagonalUp="0" diagonalDown="0" outline="0">
        <left style="medium">
          <color rgb="FF3D444D"/>
        </left>
        <right style="medium">
          <color rgb="FF3D444D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numFmt numFmtId="19" formatCode="m/d/yyyy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medium">
          <color rgb="FF3D444D"/>
        </top>
        <bottom/>
        <vertical/>
        <horizontal/>
      </border>
    </dxf>
    <dxf>
      <border outline="0">
        <left style="medium">
          <color rgb="FF3D444D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rgb="FF000000"/>
          <bgColor rgb="FFFFFFFF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F0F6FC"/>
        <name val="Segoe UI"/>
        <family val="2"/>
        <scheme val="none"/>
      </font>
      <fill>
        <patternFill patternType="solid">
          <fgColor indexed="64"/>
          <bgColor rgb="FF0D1117"/>
        </patternFill>
      </fill>
      <alignment horizontal="left" vertical="center" textRotation="0" wrapText="0" indent="0" justifyLastLine="0" shrinkToFit="0" readingOrder="0"/>
      <border diagonalUp="0" diagonalDown="0" outline="0">
        <left style="medium">
          <color rgb="FF3D444D"/>
        </left>
        <right style="medium">
          <color rgb="FF3D444D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3D444D"/>
        </left>
        <right/>
        <top style="medium">
          <color rgb="FF3D444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3D444D"/>
        </left>
        <right/>
        <top style="medium">
          <color rgb="FF3D444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3D444D"/>
        </left>
        <right/>
        <top style="medium">
          <color rgb="FF3D444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3D444D"/>
        </left>
        <right/>
        <top style="medium">
          <color rgb="FF3D444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3D444D"/>
        </left>
        <right/>
        <top style="medium">
          <color rgb="FF3D444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3D444D"/>
        </left>
        <right/>
        <top style="medium">
          <color rgb="FF3D444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3D444D"/>
        </left>
        <right/>
        <top style="medium">
          <color rgb="FF3D444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3D444D"/>
        </left>
        <right/>
        <top style="medium">
          <color rgb="FF3D444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3D444D"/>
        </left>
        <right/>
        <top style="medium">
          <color rgb="FF3D444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3D444D"/>
        </left>
        <right/>
        <top style="medium">
          <color rgb="FF3D444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3D444D"/>
        </left>
        <right/>
        <top style="medium">
          <color rgb="FF3D444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3D444D"/>
        </left>
        <right/>
        <top style="medium">
          <color rgb="FF3D444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numFmt numFmtId="19" formatCode="m/d/yyyy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medium">
          <color rgb="FF3D444D"/>
        </top>
        <bottom/>
      </border>
    </dxf>
    <dxf>
      <border outline="0">
        <left style="medium">
          <color rgb="FF3D444D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rgb="FF000000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F0F6FC"/>
        <name val="Segoe UI"/>
        <family val="2"/>
        <scheme val="none"/>
      </font>
      <fill>
        <patternFill patternType="solid">
          <fgColor indexed="64"/>
          <bgColor rgb="FF0D1117"/>
        </patternFill>
      </fill>
      <alignment horizontal="left" vertical="center" textRotation="0" wrapText="0" indent="0" justifyLastLine="0" shrinkToFit="0" readingOrder="0"/>
      <border diagonalUp="0" diagonalDown="0" outline="0">
        <left style="medium">
          <color rgb="FF3D444D"/>
        </left>
        <right style="medium">
          <color rgb="FF3D444D"/>
        </right>
        <top/>
        <bottom/>
      </border>
    </dxf>
    <dxf>
      <numFmt numFmtId="0" formatCode="General"/>
    </dxf>
    <dxf>
      <numFmt numFmtId="0" formatCode="General"/>
    </dxf>
    <dxf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numFmt numFmtId="19" formatCode="m/d/yyyy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medium">
          <color rgb="FF3D444D"/>
        </top>
        <bottom/>
        <vertical/>
        <horizontal/>
      </border>
    </dxf>
    <dxf>
      <border outline="0">
        <left style="medium">
          <color rgb="FF3D444D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rgb="FF000000"/>
          <bgColor rgb="FFFFFFFF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F0F6FC"/>
        <name val="Segoe UI"/>
        <family val="2"/>
        <scheme val="none"/>
      </font>
      <fill>
        <patternFill patternType="solid">
          <fgColor indexed="64"/>
          <bgColor rgb="FF0D1117"/>
        </patternFill>
      </fill>
      <alignment horizontal="left" vertical="center" textRotation="0" wrapText="0" indent="0" justifyLastLine="0" shrinkToFit="0" readingOrder="0"/>
      <border diagonalUp="0" diagonalDown="0" outline="0">
        <left style="medium">
          <color rgb="FF3D444D"/>
        </left>
        <right style="medium">
          <color rgb="FF3D444D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numFmt numFmtId="19" formatCode="m/d/yyyy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medium">
          <color rgb="FF3D444D"/>
        </top>
        <bottom/>
        <vertical/>
        <horizontal/>
      </border>
    </dxf>
    <dxf>
      <border outline="0">
        <left style="medium">
          <color rgb="FF3D444D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rgb="FF000000"/>
          <bgColor rgb="FFFFFFFF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F0F6FC"/>
        <name val="Segoe UI"/>
        <family val="2"/>
        <scheme val="none"/>
      </font>
      <fill>
        <patternFill patternType="solid">
          <fgColor indexed="64"/>
          <bgColor rgb="FF0D1117"/>
        </patternFill>
      </fill>
      <alignment horizontal="left" vertical="center" textRotation="0" wrapText="0" indent="0" justifyLastLine="0" shrinkToFit="0" readingOrder="0"/>
      <border diagonalUp="0" diagonalDown="0" outline="0">
        <left style="medium">
          <color rgb="FF3D444D"/>
        </left>
        <right style="medium">
          <color rgb="FF3D444D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3D444D"/>
        </left>
        <right/>
        <top style="medium">
          <color rgb="FF3D444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3D444D"/>
        </left>
        <right/>
        <top style="medium">
          <color rgb="FF3D444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3D444D"/>
        </left>
        <right/>
        <top style="medium">
          <color rgb="FF3D444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3D444D"/>
        </left>
        <right/>
        <top style="medium">
          <color rgb="FF3D444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3D444D"/>
        </left>
        <right/>
        <top style="medium">
          <color rgb="FF3D444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3D444D"/>
        </left>
        <right/>
        <top style="medium">
          <color rgb="FF3D444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3D444D"/>
        </left>
        <right/>
        <top style="medium">
          <color rgb="FF3D444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3D444D"/>
        </left>
        <right/>
        <top style="medium">
          <color rgb="FF3D444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3D444D"/>
        </left>
        <right/>
        <top style="medium">
          <color rgb="FF3D444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3D444D"/>
        </left>
        <right/>
        <top style="medium">
          <color rgb="FF3D444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3D444D"/>
        </left>
        <right/>
        <top style="medium">
          <color rgb="FF3D444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3D444D"/>
        </left>
        <right/>
        <top style="medium">
          <color rgb="FF3D444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numFmt numFmtId="19" formatCode="m/d/yyyy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medium">
          <color rgb="FF3D444D"/>
        </top>
        <bottom/>
      </border>
    </dxf>
    <dxf>
      <border outline="0">
        <left style="medium">
          <color rgb="FF3D444D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rgb="FF000000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F0F6FC"/>
        <name val="Segoe UI"/>
        <family val="2"/>
        <scheme val="none"/>
      </font>
      <fill>
        <patternFill patternType="solid">
          <fgColor indexed="64"/>
          <bgColor rgb="FF0D1117"/>
        </patternFill>
      </fill>
      <alignment horizontal="left" vertical="center" textRotation="0" wrapText="0" indent="0" justifyLastLine="0" shrinkToFit="0" readingOrder="0"/>
      <border diagonalUp="0" diagonalDown="0" outline="0">
        <left style="medium">
          <color rgb="FF3D444D"/>
        </left>
        <right style="medium">
          <color rgb="FF3D444D"/>
        </right>
        <top/>
        <bottom/>
      </border>
    </dxf>
    <dxf>
      <numFmt numFmtId="0" formatCode="General"/>
    </dxf>
    <dxf>
      <numFmt numFmtId="0" formatCode="General"/>
    </dxf>
    <dxf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numFmt numFmtId="19" formatCode="m/d/yyyy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medium">
          <color rgb="FF3D444D"/>
        </top>
        <bottom/>
        <vertical/>
        <horizontal/>
      </border>
    </dxf>
    <dxf>
      <border outline="0">
        <left style="medium">
          <color rgb="FF3D444D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rgb="FF000000"/>
          <bgColor rgb="FFFFFFFF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F0F6FC"/>
        <name val="Segoe UI"/>
        <family val="2"/>
        <scheme val="none"/>
      </font>
      <fill>
        <patternFill patternType="solid">
          <fgColor indexed="64"/>
          <bgColor rgb="FF0D1117"/>
        </patternFill>
      </fill>
      <alignment horizontal="left" vertical="center" textRotation="0" wrapText="0" indent="0" justifyLastLine="0" shrinkToFit="0" readingOrder="0"/>
      <border diagonalUp="0" diagonalDown="0" outline="0">
        <left style="medium">
          <color rgb="FF3D444D"/>
        </left>
        <right style="medium">
          <color rgb="FF3D444D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numFmt numFmtId="19" formatCode="m/d/yyyy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medium">
          <color rgb="FF3D444D"/>
        </top>
        <bottom/>
        <vertical/>
        <horizontal/>
      </border>
    </dxf>
    <dxf>
      <border outline="0">
        <left style="medium">
          <color rgb="FF3D444D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rgb="FF000000"/>
          <bgColor rgb="FFFFFFFF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F0F6FC"/>
        <name val="Segoe UI"/>
        <family val="2"/>
        <scheme val="none"/>
      </font>
      <fill>
        <patternFill patternType="solid">
          <fgColor indexed="64"/>
          <bgColor rgb="FF0D1117"/>
        </patternFill>
      </fill>
      <alignment horizontal="left" vertical="center" textRotation="0" wrapText="0" indent="0" justifyLastLine="0" shrinkToFit="0" readingOrder="0"/>
      <border diagonalUp="0" diagonalDown="0" outline="0">
        <left style="medium">
          <color rgb="FF3D444D"/>
        </left>
        <right style="medium">
          <color rgb="FF3D444D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3D444D"/>
        </left>
        <right/>
        <top style="medium">
          <color rgb="FF3D444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3D444D"/>
        </left>
        <right/>
        <top style="medium">
          <color rgb="FF3D444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3D444D"/>
        </left>
        <right/>
        <top style="medium">
          <color rgb="FF3D444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3D444D"/>
        </left>
        <right/>
        <top style="medium">
          <color rgb="FF3D444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3D444D"/>
        </left>
        <right/>
        <top style="medium">
          <color rgb="FF3D444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3D444D"/>
        </left>
        <right/>
        <top style="medium">
          <color rgb="FF3D444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3D444D"/>
        </left>
        <right/>
        <top style="medium">
          <color rgb="FF3D444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3D444D"/>
        </left>
        <right/>
        <top style="medium">
          <color rgb="FF3D444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3D444D"/>
        </left>
        <right/>
        <top style="medium">
          <color rgb="FF3D444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3D444D"/>
        </left>
        <right/>
        <top style="medium">
          <color rgb="FF3D444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3D444D"/>
        </left>
        <right/>
        <top style="medium">
          <color rgb="FF3D444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3D444D"/>
        </left>
        <right/>
        <top style="medium">
          <color rgb="FF3D444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numFmt numFmtId="19" formatCode="m/d/yyyy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medium">
          <color rgb="FF3D444D"/>
        </top>
        <bottom/>
      </border>
    </dxf>
    <dxf>
      <border outline="0">
        <left style="medium">
          <color rgb="FF3D444D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rgb="FF000000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F0F6FC"/>
        <name val="Segoe UI"/>
        <family val="2"/>
        <scheme val="none"/>
      </font>
      <fill>
        <patternFill patternType="solid">
          <fgColor indexed="64"/>
          <bgColor rgb="FF0D1117"/>
        </patternFill>
      </fill>
      <alignment horizontal="left" vertical="center" textRotation="0" wrapText="0" indent="0" justifyLastLine="0" shrinkToFit="0" readingOrder="0"/>
      <border diagonalUp="0" diagonalDown="0" outline="0">
        <left style="medium">
          <color rgb="FF3D444D"/>
        </left>
        <right style="medium">
          <color rgb="FF3D444D"/>
        </right>
        <top/>
        <bottom/>
      </border>
    </dxf>
    <dxf>
      <numFmt numFmtId="0" formatCode="General"/>
    </dxf>
    <dxf>
      <numFmt numFmtId="0" formatCode="General"/>
    </dxf>
    <dxf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numFmt numFmtId="19" formatCode="m/d/yyyy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medium">
          <color rgb="FF3D444D"/>
        </top>
        <bottom/>
        <vertical/>
        <horizontal/>
      </border>
    </dxf>
    <dxf>
      <border outline="0">
        <left style="medium">
          <color rgb="FF3D444D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rgb="FF000000"/>
          <bgColor rgb="FFFFFFFF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F0F6FC"/>
        <name val="Segoe UI"/>
        <family val="2"/>
        <scheme val="none"/>
      </font>
      <fill>
        <patternFill patternType="solid">
          <fgColor indexed="64"/>
          <bgColor rgb="FF0D1117"/>
        </patternFill>
      </fill>
      <alignment horizontal="left" vertical="center" textRotation="0" wrapText="0" indent="0" justifyLastLine="0" shrinkToFit="0" readingOrder="0"/>
      <border diagonalUp="0" diagonalDown="0" outline="0">
        <left style="medium">
          <color rgb="FF3D444D"/>
        </left>
        <right style="medium">
          <color rgb="FF3D444D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numFmt numFmtId="19" formatCode="m/d/yyyy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medium">
          <color rgb="FF3D444D"/>
        </top>
        <bottom/>
        <vertical/>
        <horizontal/>
      </border>
    </dxf>
    <dxf>
      <border outline="0">
        <left style="medium">
          <color rgb="FF3D444D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rgb="FF000000"/>
          <bgColor rgb="FFFFFFFF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F0F6FC"/>
        <name val="Segoe UI"/>
        <family val="2"/>
        <scheme val="none"/>
      </font>
      <fill>
        <patternFill patternType="solid">
          <fgColor indexed="64"/>
          <bgColor rgb="FF0D1117"/>
        </patternFill>
      </fill>
      <alignment horizontal="left" vertical="center" textRotation="0" wrapText="0" indent="0" justifyLastLine="0" shrinkToFit="0" readingOrder="0"/>
      <border diagonalUp="0" diagonalDown="0" outline="0">
        <left style="medium">
          <color rgb="FF3D444D"/>
        </left>
        <right style="medium">
          <color rgb="FF3D444D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3D444D"/>
        </left>
        <right/>
        <top style="medium">
          <color rgb="FF3D444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3D444D"/>
        </left>
        <right/>
        <top style="medium">
          <color rgb="FF3D444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3D444D"/>
        </left>
        <right/>
        <top style="medium">
          <color rgb="FF3D444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3D444D"/>
        </left>
        <right/>
        <top style="medium">
          <color rgb="FF3D444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3D444D"/>
        </left>
        <right/>
        <top style="medium">
          <color rgb="FF3D444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3D444D"/>
        </left>
        <right/>
        <top style="medium">
          <color rgb="FF3D444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3D444D"/>
        </left>
        <right/>
        <top style="medium">
          <color rgb="FF3D444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3D444D"/>
        </left>
        <right/>
        <top style="medium">
          <color rgb="FF3D444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3D444D"/>
        </left>
        <right/>
        <top style="medium">
          <color rgb="FF3D444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3D444D"/>
        </left>
        <right/>
        <top style="medium">
          <color rgb="FF3D444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3D444D"/>
        </left>
        <right/>
        <top style="medium">
          <color rgb="FF3D444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3D444D"/>
        </left>
        <right/>
        <top style="medium">
          <color rgb="FF3D444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numFmt numFmtId="19" formatCode="m/d/yyyy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medium">
          <color rgb="FF3D444D"/>
        </top>
        <bottom/>
      </border>
    </dxf>
    <dxf>
      <border outline="0">
        <left style="medium">
          <color rgb="FF3D444D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rgb="FF000000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F0F6FC"/>
        <name val="Segoe UI"/>
        <family val="2"/>
        <scheme val="none"/>
      </font>
      <fill>
        <patternFill patternType="solid">
          <fgColor indexed="64"/>
          <bgColor rgb="FF0D1117"/>
        </patternFill>
      </fill>
      <alignment horizontal="left" vertical="center" textRotation="0" wrapText="0" indent="0" justifyLastLine="0" shrinkToFit="0" readingOrder="0"/>
      <border diagonalUp="0" diagonalDown="0" outline="0">
        <left style="medium">
          <color rgb="FF3D444D"/>
        </left>
        <right style="medium">
          <color rgb="FF3D444D"/>
        </right>
        <top/>
        <bottom/>
      </border>
    </dxf>
    <dxf>
      <numFmt numFmtId="0" formatCode="General"/>
    </dxf>
    <dxf>
      <numFmt numFmtId="0" formatCode="General"/>
    </dxf>
    <dxf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numFmt numFmtId="19" formatCode="m/d/yyyy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medium">
          <color rgb="FF3D444D"/>
        </top>
        <bottom/>
        <vertical/>
        <horizontal/>
      </border>
    </dxf>
    <dxf>
      <border outline="0">
        <left style="medium">
          <color rgb="FF3D444D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rgb="FF000000"/>
          <bgColor rgb="FFFFFFFF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F0F6FC"/>
        <name val="Segoe UI"/>
        <family val="2"/>
        <scheme val="none"/>
      </font>
      <fill>
        <patternFill patternType="solid">
          <fgColor indexed="64"/>
          <bgColor rgb="FF0D1117"/>
        </patternFill>
      </fill>
      <alignment horizontal="left" vertical="center" textRotation="0" wrapText="0" indent="0" justifyLastLine="0" shrinkToFit="0" readingOrder="0"/>
      <border diagonalUp="0" diagonalDown="0" outline="0">
        <left style="medium">
          <color rgb="FF3D444D"/>
        </left>
        <right style="medium">
          <color rgb="FF3D444D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numFmt numFmtId="19" formatCode="m/d/yyyy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medium">
          <color rgb="FF3D444D"/>
        </top>
        <bottom/>
        <vertical/>
        <horizontal/>
      </border>
    </dxf>
    <dxf>
      <border outline="0">
        <left style="medium">
          <color rgb="FF3D444D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rgb="FF000000"/>
          <bgColor rgb="FFFFFFFF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F0F6FC"/>
        <name val="Segoe UI"/>
        <family val="2"/>
        <scheme val="none"/>
      </font>
      <fill>
        <patternFill patternType="solid">
          <fgColor indexed="64"/>
          <bgColor rgb="FF0D1117"/>
        </patternFill>
      </fill>
      <alignment horizontal="left" vertical="center" textRotation="0" wrapText="0" indent="0" justifyLastLine="0" shrinkToFit="0" readingOrder="0"/>
      <border diagonalUp="0" diagonalDown="0" outline="0">
        <left style="medium">
          <color rgb="FF3D444D"/>
        </left>
        <right style="medium">
          <color rgb="FF3D444D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3D444D"/>
        </left>
        <right/>
        <top style="medium">
          <color rgb="FF3D444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3D444D"/>
        </left>
        <right/>
        <top style="medium">
          <color rgb="FF3D444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3D444D"/>
        </left>
        <right/>
        <top style="medium">
          <color rgb="FF3D444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3D444D"/>
        </left>
        <right/>
        <top style="medium">
          <color rgb="FF3D444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3D444D"/>
        </left>
        <right/>
        <top style="medium">
          <color rgb="FF3D444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3D444D"/>
        </left>
        <right/>
        <top style="medium">
          <color rgb="FF3D444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3D444D"/>
        </left>
        <right/>
        <top style="medium">
          <color rgb="FF3D444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3D444D"/>
        </left>
        <right/>
        <top style="medium">
          <color rgb="FF3D444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3D444D"/>
        </left>
        <right/>
        <top style="medium">
          <color rgb="FF3D444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3D444D"/>
        </left>
        <right/>
        <top style="medium">
          <color rgb="FF3D444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3D444D"/>
        </left>
        <right/>
        <top style="medium">
          <color rgb="FF3D444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3D444D"/>
        </left>
        <right/>
        <top style="medium">
          <color rgb="FF3D444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numFmt numFmtId="19" formatCode="m/d/yyyy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medium">
          <color rgb="FF3D444D"/>
        </top>
        <bottom/>
      </border>
    </dxf>
    <dxf>
      <border outline="0">
        <left style="medium">
          <color rgb="FF3D444D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rgb="FF000000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F0F6FC"/>
        <name val="Segoe UI"/>
        <family val="2"/>
        <scheme val="none"/>
      </font>
      <fill>
        <patternFill patternType="solid">
          <fgColor indexed="64"/>
          <bgColor rgb="FF0D1117"/>
        </patternFill>
      </fill>
      <alignment horizontal="left" vertical="center" textRotation="0" wrapText="0" indent="0" justifyLastLine="0" shrinkToFit="0" readingOrder="0"/>
      <border diagonalUp="0" diagonalDown="0" outline="0">
        <left style="medium">
          <color rgb="FF3D444D"/>
        </left>
        <right style="medium">
          <color rgb="FF3D444D"/>
        </right>
        <top/>
        <bottom/>
      </border>
    </dxf>
    <dxf>
      <numFmt numFmtId="0" formatCode="General"/>
    </dxf>
    <dxf>
      <numFmt numFmtId="0" formatCode="General"/>
    </dxf>
    <dxf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numFmt numFmtId="19" formatCode="m/d/yyyy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medium">
          <color rgb="FF3D444D"/>
        </top>
        <bottom/>
        <vertical/>
        <horizontal/>
      </border>
    </dxf>
    <dxf>
      <border outline="0">
        <left style="medium">
          <color rgb="FF3D444D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rgb="FF000000"/>
          <bgColor rgb="FFFFFFFF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F0F6FC"/>
        <name val="Segoe UI"/>
        <family val="2"/>
        <scheme val="none"/>
      </font>
      <fill>
        <patternFill patternType="solid">
          <fgColor indexed="64"/>
          <bgColor rgb="FF0D1117"/>
        </patternFill>
      </fill>
      <alignment horizontal="left" vertical="center" textRotation="0" wrapText="0" indent="0" justifyLastLine="0" shrinkToFit="0" readingOrder="0"/>
      <border diagonalUp="0" diagonalDown="0" outline="0">
        <left style="medium">
          <color rgb="FF3D444D"/>
        </left>
        <right style="medium">
          <color rgb="FF3D444D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numFmt numFmtId="19" formatCode="m/d/yyyy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medium">
          <color rgb="FF3D444D"/>
        </top>
        <bottom/>
        <vertical/>
        <horizontal/>
      </border>
    </dxf>
    <dxf>
      <border outline="0">
        <left style="medium">
          <color rgb="FF3D444D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rgb="FF000000"/>
          <bgColor rgb="FFFFFFFF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F0F6FC"/>
        <name val="Segoe UI"/>
        <family val="2"/>
        <scheme val="none"/>
      </font>
      <fill>
        <patternFill patternType="solid">
          <fgColor indexed="64"/>
          <bgColor rgb="FF0D1117"/>
        </patternFill>
      </fill>
      <alignment horizontal="left" vertical="center" textRotation="0" wrapText="0" indent="0" justifyLastLine="0" shrinkToFit="0" readingOrder="0"/>
      <border diagonalUp="0" diagonalDown="0" outline="0">
        <left style="medium">
          <color rgb="FF3D444D"/>
        </left>
        <right style="medium">
          <color rgb="FF3D444D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3D444D"/>
        </left>
        <right/>
        <top style="medium">
          <color rgb="FF3D444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3D444D"/>
        </left>
        <right/>
        <top style="medium">
          <color rgb="FF3D444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3D444D"/>
        </left>
        <right/>
        <top style="medium">
          <color rgb="FF3D444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3D444D"/>
        </left>
        <right/>
        <top style="medium">
          <color rgb="FF3D444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3D444D"/>
        </left>
        <right/>
        <top style="medium">
          <color rgb="FF3D444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3D444D"/>
        </left>
        <right/>
        <top style="medium">
          <color rgb="FF3D444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3D444D"/>
        </left>
        <right/>
        <top style="medium">
          <color rgb="FF3D444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3D444D"/>
        </left>
        <right/>
        <top style="medium">
          <color rgb="FF3D444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3D444D"/>
        </left>
        <right/>
        <top style="medium">
          <color rgb="FF3D444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3D444D"/>
        </left>
        <right/>
        <top style="medium">
          <color rgb="FF3D444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3D444D"/>
        </left>
        <right/>
        <top style="medium">
          <color rgb="FF3D444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3D444D"/>
        </left>
        <right/>
        <top style="medium">
          <color rgb="FF3D444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numFmt numFmtId="19" formatCode="m/d/yyyy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medium">
          <color rgb="FF3D444D"/>
        </top>
        <bottom/>
      </border>
    </dxf>
    <dxf>
      <border outline="0">
        <left style="medium">
          <color rgb="FF3D444D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rgb="FF000000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F0F6FC"/>
        <name val="Segoe UI"/>
        <family val="2"/>
        <scheme val="none"/>
      </font>
      <fill>
        <patternFill patternType="solid">
          <fgColor indexed="64"/>
          <bgColor rgb="FF0D1117"/>
        </patternFill>
      </fill>
      <alignment horizontal="left" vertical="center" textRotation="0" wrapText="0" indent="0" justifyLastLine="0" shrinkToFit="0" readingOrder="0"/>
      <border diagonalUp="0" diagonalDown="0" outline="0">
        <left style="medium">
          <color rgb="FF3D444D"/>
        </left>
        <right style="medium">
          <color rgb="FF3D444D"/>
        </right>
        <top/>
        <bottom/>
      </border>
    </dxf>
    <dxf>
      <numFmt numFmtId="0" formatCode="General"/>
    </dxf>
    <dxf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numFmt numFmtId="19" formatCode="m/d/yyyy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medium">
          <color rgb="FF3D444D"/>
        </top>
        <bottom/>
        <vertical/>
        <horizontal/>
      </border>
    </dxf>
    <dxf>
      <border outline="0">
        <left style="medium">
          <color rgb="FF3D444D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rgb="FF000000"/>
          <bgColor rgb="FFFFFFFF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F0F6FC"/>
        <name val="Segoe UI"/>
        <family val="2"/>
        <scheme val="none"/>
      </font>
      <fill>
        <patternFill patternType="solid">
          <fgColor indexed="64"/>
          <bgColor rgb="FF0D1117"/>
        </patternFill>
      </fill>
      <alignment horizontal="left" vertical="center" textRotation="0" wrapText="0" indent="0" justifyLastLine="0" shrinkToFit="0" readingOrder="0"/>
      <border diagonalUp="0" diagonalDown="0" outline="0">
        <left style="medium">
          <color rgb="FF3D444D"/>
        </left>
        <right style="medium">
          <color rgb="FF3D444D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numFmt numFmtId="19" formatCode="m/d/yyyy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medium">
          <color rgb="FF3D444D"/>
        </top>
        <bottom/>
        <vertical/>
        <horizontal/>
      </border>
    </dxf>
    <dxf>
      <border outline="0">
        <left style="medium">
          <color rgb="FF3D444D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rgb="FF000000"/>
          <bgColor rgb="FFFFFFFF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F0F6FC"/>
        <name val="Segoe UI"/>
        <family val="2"/>
        <scheme val="none"/>
      </font>
      <fill>
        <patternFill patternType="solid">
          <fgColor indexed="64"/>
          <bgColor rgb="FF0D1117"/>
        </patternFill>
      </fill>
      <alignment horizontal="left" vertical="center" textRotation="0" wrapText="0" indent="0" justifyLastLine="0" shrinkToFit="0" readingOrder="0"/>
      <border diagonalUp="0" diagonalDown="0" outline="0">
        <left style="medium">
          <color rgb="FF3D444D"/>
        </left>
        <right style="medium">
          <color rgb="FF3D444D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3D444D"/>
        </left>
        <right/>
        <top style="medium">
          <color rgb="FF3D444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3D444D"/>
        </left>
        <right/>
        <top style="medium">
          <color rgb="FF3D444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3D444D"/>
        </left>
        <right/>
        <top style="medium">
          <color rgb="FF3D444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3D444D"/>
        </left>
        <right/>
        <top style="medium">
          <color rgb="FF3D444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3D444D"/>
        </left>
        <right/>
        <top style="medium">
          <color rgb="FF3D444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3D444D"/>
        </left>
        <right/>
        <top style="medium">
          <color rgb="FF3D444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3D444D"/>
        </left>
        <right/>
        <top style="medium">
          <color rgb="FF3D444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3D444D"/>
        </left>
        <right/>
        <top style="medium">
          <color rgb="FF3D444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3D444D"/>
        </left>
        <right/>
        <top style="medium">
          <color rgb="FF3D444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3D444D"/>
        </left>
        <right/>
        <top style="medium">
          <color rgb="FF3D444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3D444D"/>
        </left>
        <right/>
        <top style="medium">
          <color rgb="FF3D444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3D444D"/>
        </left>
        <right/>
        <top style="medium">
          <color rgb="FF3D444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numFmt numFmtId="19" formatCode="m/d/yyyy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medium">
          <color rgb="FF3D444D"/>
        </top>
        <bottom/>
      </border>
    </dxf>
    <dxf>
      <border outline="0">
        <left style="medium">
          <color rgb="FF3D444D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rgb="FF000000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F0F6FC"/>
        <name val="Segoe UI"/>
        <family val="2"/>
        <scheme val="none"/>
      </font>
      <fill>
        <patternFill patternType="solid">
          <fgColor indexed="64"/>
          <bgColor rgb="FF0D1117"/>
        </patternFill>
      </fill>
      <alignment horizontal="left" vertical="center" textRotation="0" wrapText="0" indent="0" justifyLastLine="0" shrinkToFit="0" readingOrder="0"/>
      <border diagonalUp="0" diagonalDown="0" outline="0">
        <left style="medium">
          <color rgb="FF3D444D"/>
        </left>
        <right style="medium">
          <color rgb="FF3D444D"/>
        </right>
        <top/>
        <bottom/>
      </border>
    </dxf>
    <dxf>
      <numFmt numFmtId="0" formatCode="General"/>
    </dxf>
    <dxf>
      <numFmt numFmtId="0" formatCode="General"/>
    </dxf>
    <dxf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numFmt numFmtId="19" formatCode="m/d/yyyy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medium">
          <color rgb="FF3D444D"/>
        </top>
        <bottom/>
        <vertical/>
        <horizontal/>
      </border>
    </dxf>
    <dxf>
      <border outline="0">
        <left style="medium">
          <color rgb="FF3D444D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rgb="FF000000"/>
          <bgColor rgb="FFFFFFFF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F0F6FC"/>
        <name val="Segoe UI"/>
        <family val="2"/>
        <scheme val="none"/>
      </font>
      <fill>
        <patternFill patternType="solid">
          <fgColor indexed="64"/>
          <bgColor rgb="FF0D1117"/>
        </patternFill>
      </fill>
      <alignment horizontal="left" vertical="center" textRotation="0" wrapText="0" indent="0" justifyLastLine="0" shrinkToFit="0" readingOrder="0"/>
      <border diagonalUp="0" diagonalDown="0" outline="0">
        <left style="medium">
          <color rgb="FF3D444D"/>
        </left>
        <right style="medium">
          <color rgb="FF3D444D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numFmt numFmtId="19" formatCode="m/d/yyyy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medium">
          <color rgb="FF3D444D"/>
        </top>
        <bottom/>
        <vertical/>
        <horizontal/>
      </border>
    </dxf>
    <dxf>
      <border outline="0">
        <left style="medium">
          <color rgb="FF3D444D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rgb="FF000000"/>
          <bgColor rgb="FFFFFFFF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F0F6FC"/>
        <name val="Segoe UI"/>
        <family val="2"/>
        <scheme val="none"/>
      </font>
      <fill>
        <patternFill patternType="solid">
          <fgColor indexed="64"/>
          <bgColor rgb="FF0D1117"/>
        </patternFill>
      </fill>
      <alignment horizontal="left" vertical="center" textRotation="0" wrapText="0" indent="0" justifyLastLine="0" shrinkToFit="0" readingOrder="0"/>
      <border diagonalUp="0" diagonalDown="0" outline="0">
        <left style="medium">
          <color rgb="FF3D444D"/>
        </left>
        <right style="medium">
          <color rgb="FF3D444D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3D444D"/>
        </left>
        <right/>
        <top style="medium">
          <color rgb="FF3D444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3D444D"/>
        </left>
        <right/>
        <top style="medium">
          <color rgb="FF3D444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3D444D"/>
        </left>
        <right/>
        <top style="medium">
          <color rgb="FF3D444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3D444D"/>
        </left>
        <right/>
        <top style="medium">
          <color rgb="FF3D444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3D444D"/>
        </left>
        <right/>
        <top style="medium">
          <color rgb="FF3D444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3D444D"/>
        </left>
        <right/>
        <top style="medium">
          <color rgb="FF3D444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3D444D"/>
        </left>
        <right/>
        <top style="medium">
          <color rgb="FF3D444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3D444D"/>
        </left>
        <right/>
        <top style="medium">
          <color rgb="FF3D444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3D444D"/>
        </left>
        <right/>
        <top style="medium">
          <color rgb="FF3D444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3D444D"/>
        </left>
        <right/>
        <top style="medium">
          <color rgb="FF3D444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3D444D"/>
        </left>
        <right/>
        <top style="medium">
          <color rgb="FF3D444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3D444D"/>
        </left>
        <right/>
        <top style="medium">
          <color rgb="FF3D444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numFmt numFmtId="19" formatCode="m/d/yyyy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 style="medium">
          <color rgb="FF3D444D"/>
        </top>
        <bottom/>
      </border>
    </dxf>
    <dxf>
      <border outline="0">
        <left style="medium">
          <color rgb="FF3D444D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rgb="FF000000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F0F6FC"/>
        <name val="Segoe UI"/>
        <family val="2"/>
        <scheme val="none"/>
      </font>
      <fill>
        <patternFill patternType="solid">
          <fgColor indexed="64"/>
          <bgColor rgb="FF0D1117"/>
        </patternFill>
      </fill>
      <alignment horizontal="left" vertical="center" textRotation="0" wrapText="0" indent="0" justifyLastLine="0" shrinkToFit="0" readingOrder="0"/>
      <border diagonalUp="0" diagonalDown="0" outline="0">
        <left style="medium">
          <color rgb="FF3D444D"/>
        </left>
        <right style="medium">
          <color rgb="FF3D444D"/>
        </right>
        <top/>
        <bottom/>
      </border>
    </dxf>
    <dxf>
      <numFmt numFmtId="0" formatCode="General"/>
    </dxf>
    <dxf>
      <numFmt numFmtId="0" formatCode="General"/>
    </dxf>
    <dxf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numFmt numFmtId="19" formatCode="m/d/yyyy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medium">
          <color rgb="FF3D444D"/>
        </top>
        <bottom/>
        <vertical/>
        <horizontal/>
      </border>
    </dxf>
    <dxf>
      <border outline="0">
        <left style="medium">
          <color rgb="FF3D444D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F0F6FC"/>
        <name val="Segoe UI"/>
        <family val="2"/>
        <scheme val="none"/>
      </font>
      <fill>
        <patternFill patternType="solid">
          <fgColor indexed="64"/>
          <bgColor rgb="FF0D1117"/>
        </patternFill>
      </fill>
      <alignment horizontal="left" vertical="center" textRotation="0" wrapText="0" indent="0" justifyLastLine="0" shrinkToFit="0" readingOrder="0"/>
      <border diagonalUp="0" diagonalDown="0" outline="0">
        <left style="medium">
          <color rgb="FF3D444D"/>
        </left>
        <right style="medium">
          <color rgb="FF3D444D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numFmt numFmtId="19" formatCode="m/d/yyyy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medium">
          <color rgb="FF3D444D"/>
        </top>
        <bottom/>
        <vertical/>
        <horizontal/>
      </border>
    </dxf>
    <dxf>
      <border outline="0">
        <left style="medium">
          <color rgb="FF3D444D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F0F6FC"/>
        <name val="Segoe UI"/>
        <family val="2"/>
        <scheme val="none"/>
      </font>
      <fill>
        <patternFill patternType="solid">
          <fgColor indexed="64"/>
          <bgColor rgb="FF0D1117"/>
        </patternFill>
      </fill>
      <alignment horizontal="left" vertical="center" textRotation="0" wrapText="0" indent="0" justifyLastLine="0" shrinkToFit="0" readingOrder="0"/>
      <border diagonalUp="0" diagonalDown="0" outline="0">
        <left style="medium">
          <color rgb="FF3D444D"/>
        </left>
        <right style="medium">
          <color rgb="FF3D444D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3D444D"/>
        </left>
        <right/>
        <top style="medium">
          <color rgb="FF3D444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3D444D"/>
        </left>
        <right/>
        <top style="medium">
          <color rgb="FF3D444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3D444D"/>
        </left>
        <right/>
        <top style="medium">
          <color rgb="FF3D444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3D444D"/>
        </left>
        <right/>
        <top style="medium">
          <color rgb="FF3D444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3D444D"/>
        </left>
        <right/>
        <top style="medium">
          <color rgb="FF3D444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3D444D"/>
        </left>
        <right/>
        <top style="medium">
          <color rgb="FF3D444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3D444D"/>
        </left>
        <right/>
        <top style="medium">
          <color rgb="FF3D444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3D444D"/>
        </left>
        <right/>
        <top style="medium">
          <color rgb="FF3D444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3D444D"/>
        </left>
        <right/>
        <top style="medium">
          <color rgb="FF3D444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3D444D"/>
        </left>
        <right/>
        <top style="medium">
          <color rgb="FF3D444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3D444D"/>
        </left>
        <right/>
        <top style="medium">
          <color rgb="FF3D444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3D444D"/>
        </left>
        <right/>
        <top style="medium">
          <color rgb="FF3D444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numFmt numFmtId="19" formatCode="m/d/yyyy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 style="medium">
          <color rgb="FF3D444D"/>
        </top>
        <bottom/>
      </border>
    </dxf>
    <dxf>
      <border outline="0">
        <left style="medium">
          <color rgb="FF3D444D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F0F6FC"/>
        <name val="Segoe UI"/>
        <family val="2"/>
        <scheme val="none"/>
      </font>
      <fill>
        <patternFill patternType="solid">
          <fgColor indexed="64"/>
          <bgColor rgb="FF0D1117"/>
        </patternFill>
      </fill>
      <alignment horizontal="left" vertical="center" textRotation="0" wrapText="0" indent="0" justifyLastLine="0" shrinkToFit="0" readingOrder="0"/>
      <border diagonalUp="0" diagonalDown="0" outline="0">
        <left style="medium">
          <color rgb="FF3D444D"/>
        </left>
        <right style="medium">
          <color rgb="FF3D444D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FD5FDF-F53F-4181-961D-3F8F52C18444}" name="T_Channel" displayName="T_Channel" ref="D1:E5" totalsRowShown="0">
  <autoFilter ref="D1:E5" xr:uid="{E2FD5FDF-F53F-4181-961D-3F8F52C18444}"/>
  <tableColumns count="2">
    <tableColumn id="1" xr3:uid="{A5397BCA-EA68-4B8E-BDCE-96E4F656E424}" name="Channel_ID"/>
    <tableColumn id="2" xr3:uid="{6806EE14-7C29-471B-8C46-DCB3CFD16031}" name="Channel_Name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8BEDB47-0D1E-4DC5-8974-3BA76891E14E}" name="T_Data_Source" displayName="T_Data_Source" ref="G1:I8" totalsRowShown="0">
  <autoFilter ref="G1:I8" xr:uid="{58BEDB47-0D1E-4DC5-8974-3BA76891E14E}"/>
  <sortState xmlns:xlrd2="http://schemas.microsoft.com/office/spreadsheetml/2017/richdata2" ref="G2:I8">
    <sortCondition ref="H1:H8"/>
  </sortState>
  <tableColumns count="3">
    <tableColumn id="1" xr3:uid="{09D88136-A271-4D04-A1D4-0206F1449581}" name="DS_ID"/>
    <tableColumn id="2" xr3:uid="{E4DE08E6-F701-4FD5-A493-5CD94C513550}" name="DS_Name"/>
    <tableColumn id="3" xr3:uid="{7F82C5CF-0C4B-4ECD-83A7-BEC1965BF971}" name="DS_Description"/>
  </tableColumns>
  <tableStyleInfo name="TableStyleMedium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5635E47-4D3E-4304-AB0C-676887395C91}" name="T_Marketing_Metric" displayName="T_Marketing_Metric" ref="A1:B8" totalsRowShown="0">
  <autoFilter ref="A1:B8" xr:uid="{95635E47-4D3E-4304-AB0C-676887395C91}"/>
  <tableColumns count="2">
    <tableColumn id="1" xr3:uid="{8CA56A12-233E-4E9E-B5D8-0FDACFF9A77C}" name="MM_ID"/>
    <tableColumn id="2" xr3:uid="{67D6EF99-C7B5-4121-95BF-14849FA470CB}" name="MM_Description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8FDF9B2-4776-4CC6-9043-AB7B391090DF}" name="T_Campaign" displayName="T_Campaign" ref="K1:L9" totalsRowShown="0">
  <autoFilter ref="K1:L9" xr:uid="{18FDF9B2-4776-4CC6-9043-AB7B391090DF}"/>
  <tableColumns count="2">
    <tableColumn id="1" xr3:uid="{B41FB2E0-A57D-4D52-99E9-807B55340A61}" name="Campaign_ID"/>
    <tableColumn id="2" xr3:uid="{F3A30B20-91F1-42E8-9E6C-0CD68761C149}" name="Campaign_Name"/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D5A7780-FADE-4A83-84B7-71E8542889EC}" name="T_Facebook_Ads" displayName="T_Facebook_Ads" ref="A1:M111" totalsRowShown="0" headerRowDxfId="727" dataDxfId="726" tableBorderDxfId="725">
  <autoFilter ref="A1:M111" xr:uid="{AD5A7780-FADE-4A83-84B7-71E8542889EC}"/>
  <tableColumns count="13">
    <tableColumn id="1" xr3:uid="{359E5824-190A-4CF0-9E93-EF10FE20762B}" name="date" dataDxfId="724"/>
    <tableColumn id="2" xr3:uid="{B5844645-D559-4489-BD8C-AA119C6BF6A5}" name="campaign_id" dataDxfId="723"/>
    <tableColumn id="3" xr3:uid="{51BD1CAE-26CD-4F64-968A-081883CFF0D7}" name="campaign_name" dataDxfId="722"/>
    <tableColumn id="4" xr3:uid="{39D5EE92-7209-42D4-AE29-B4CCA33FD3EC}" name="ad_set_id" dataDxfId="721"/>
    <tableColumn id="5" xr3:uid="{FD9B0834-1847-408D-BBF6-738D8508FC85}" name="ad_set_name" dataDxfId="720"/>
    <tableColumn id="6" xr3:uid="{660D8FD7-B12A-4BFF-89EB-76E79CCC86F2}" name="impressions" dataDxfId="719"/>
    <tableColumn id="7" xr3:uid="{48467F0C-D0E8-4031-A8B4-3A2BF27F4518}" name="clicks" dataDxfId="718"/>
    <tableColumn id="8" xr3:uid="{58887A4F-1280-4592-A777-63EC1559E0E1}" name="spend" dataDxfId="717"/>
    <tableColumn id="9" xr3:uid="{90C46BFE-6687-4086-8D7E-01EAC0FAE5F4}" name="conversions" dataDxfId="716"/>
    <tableColumn id="10" xr3:uid="{5EBE08B7-AFDD-4717-A779-AE8A9AB91089}" name="video_views" dataDxfId="715"/>
    <tableColumn id="11" xr3:uid="{5B04A1A0-D9CA-4526-831C-379C3DF5924A}" name="engagement_rate" dataDxfId="714"/>
    <tableColumn id="12" xr3:uid="{D339CC4F-DEE3-46CE-8108-E16F6E3E817E}" name="reach" dataDxfId="713"/>
    <tableColumn id="13" xr3:uid="{D0301180-28E9-4BDC-B4AB-05823D6FE207}" name="frequency" dataDxfId="712"/>
  </tableColumns>
  <tableStyleInfo name="TableStyleMedium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7D4B46A-853B-4EEA-97CD-AC4A9B0C50BA}" name="_Google_ads" displayName="_Google_ads" ref="O1:AB111" totalsRowShown="0" headerRowDxfId="711" dataDxfId="710" tableBorderDxfId="709">
  <autoFilter ref="O1:AB111" xr:uid="{B7D4B46A-853B-4EEA-97CD-AC4A9B0C50BA}"/>
  <tableColumns count="14">
    <tableColumn id="1" xr3:uid="{C5320C85-89D8-4C5A-84E8-52ED63F379F3}" name="date" dataDxfId="708"/>
    <tableColumn id="2" xr3:uid="{6F0D8526-2C09-44ED-85B9-19280AA8D832}" name="campaign_id" dataDxfId="707"/>
    <tableColumn id="3" xr3:uid="{E0AF5558-A1ED-4293-9F62-808F5E8DEAD6}" name="campaign_name" dataDxfId="706"/>
    <tableColumn id="4" xr3:uid="{ED86CFC1-15B6-45A9-8509-74A8A845C821}" name="ad_group_id" dataDxfId="705"/>
    <tableColumn id="5" xr3:uid="{A4D3E24A-4C65-46B5-998F-51E2612454A7}" name="ad_group_name" dataDxfId="704"/>
    <tableColumn id="6" xr3:uid="{515CFF15-7076-45ED-BE18-9E04F76BDFAF}" name="impressions" dataDxfId="703"/>
    <tableColumn id="7" xr3:uid="{2155F80C-2FDC-4879-99FB-0F38B02DD147}" name="clicks" dataDxfId="702"/>
    <tableColumn id="8" xr3:uid="{A67F652C-B797-4FA1-A470-8810CC07CAE0}" name="cost" dataDxfId="701"/>
    <tableColumn id="9" xr3:uid="{BB8A4819-093D-440F-B928-5287D8E93B0C}" name="conversions" dataDxfId="700"/>
    <tableColumn id="10" xr3:uid="{707D4139-E93E-4E9C-9718-D7CF215816EE}" name="conversion_value" dataDxfId="699"/>
    <tableColumn id="11" xr3:uid="{B40F1BB8-4653-4140-80E7-61244EFBBC9D}" name="ctr" dataDxfId="698"/>
    <tableColumn id="12" xr3:uid="{A44E38B7-204A-4854-9A17-A917E1FFCF57}" name="avg_cpc" dataDxfId="697"/>
    <tableColumn id="13" xr3:uid="{7BE6F0D8-1A70-4319-AFA2-B6D41C565D35}" name="quality_score" dataDxfId="696"/>
    <tableColumn id="14" xr3:uid="{A59F8E78-F63C-4B2B-BB8F-F5EE88A2D1EC}" name="search_impression_share" dataDxfId="695"/>
  </tableColumns>
  <tableStyleInfo name="TableStyleMedium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6B8D61E-53FD-4052-B77C-92D1F05D8D73}" name="T_Tiktok_ads" displayName="T_Tiktok_ads" ref="AD1:AT111" totalsRowShown="0" headerRowDxfId="694" dataDxfId="693" tableBorderDxfId="692">
  <autoFilter ref="AD1:AT111" xr:uid="{D6B8D61E-53FD-4052-B77C-92D1F05D8D73}"/>
  <tableColumns count="17">
    <tableColumn id="1" xr3:uid="{5BA6266D-ECCC-431E-A777-17E1BFA10AB4}" name="date" dataDxfId="691"/>
    <tableColumn id="2" xr3:uid="{2BB51839-6088-49C0-B989-FC7A71098A20}" name="campaign_id" dataDxfId="690"/>
    <tableColumn id="3" xr3:uid="{BD0DE8AF-8247-4AB3-BB39-513238B72839}" name="campaign_name" dataDxfId="689"/>
    <tableColumn id="4" xr3:uid="{48428BA4-838C-4D4D-A347-A9B6538FF789}" name="adgroup_id" dataDxfId="688"/>
    <tableColumn id="5" xr3:uid="{2666B7AD-A577-4751-A530-681B27BC9522}" name="adgroup_name" dataDxfId="687"/>
    <tableColumn id="6" xr3:uid="{CCBA2482-2512-430E-90B1-516A1D882417}" name="impressions" dataDxfId="686"/>
    <tableColumn id="7" xr3:uid="{BFC05D97-4AE4-4BC4-8E18-B305731F8F88}" name="clicks" dataDxfId="685"/>
    <tableColumn id="8" xr3:uid="{553D6D13-7F65-4EF0-9E2D-63EF2E828C05}" name="cost" dataDxfId="684"/>
    <tableColumn id="9" xr3:uid="{E0D70DD3-5D32-4C44-8EBF-8E80E9416F7A}" name="conversions" dataDxfId="683"/>
    <tableColumn id="10" xr3:uid="{21FF5F56-827A-4B48-A3C7-650CDAE0314D}" name="video_views" dataDxfId="682"/>
    <tableColumn id="11" xr3:uid="{6D72FE7E-A345-4BE4-8C52-2AF9F68E4B9C}" name="video_watch_25" dataDxfId="681"/>
    <tableColumn id="12" xr3:uid="{CFFC8069-C163-4948-9A84-D7605AF58CBA}" name="video_watch_50" dataDxfId="680"/>
    <tableColumn id="13" xr3:uid="{F7A1CF5F-60F2-48A0-B375-148C264147C9}" name="video_watch_75" dataDxfId="679"/>
    <tableColumn id="14" xr3:uid="{22D8AC47-ACC7-4DD2-8972-05B1ACC90D50}" name="video_watch_100" dataDxfId="678"/>
    <tableColumn id="15" xr3:uid="{6C3AAA47-D47F-4D92-9709-B916BB58007E}" name="likes" dataDxfId="677"/>
    <tableColumn id="16" xr3:uid="{C33B2631-1167-4CE6-BE17-6D89891F1FE6}" name="shares" dataDxfId="676"/>
    <tableColumn id="17" xr3:uid="{586FB676-DD63-411F-AF2F-3D51701559E6}" name="comments" dataDxfId="675"/>
  </tableColumns>
  <tableStyleInfo name="TableStyleMedium8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3059325-26A5-411A-8C53-4F181AE56BDF}" name="T_Other_Campaigns" displayName="T_Other_Campaigns" ref="AV1:BB111" totalsRowShown="0">
  <autoFilter ref="AV1:BB111" xr:uid="{73059325-26A5-411A-8C53-4F181AE56BDF}"/>
  <tableColumns count="7">
    <tableColumn id="1" xr3:uid="{DE76C2AD-BECA-4C43-B354-1485C657B6BD}" name="date" dataDxfId="674">
      <calculatedColumnFormula>T_Facebook_Ads[[#This Row],[date]]</calculatedColumnFormula>
    </tableColumn>
    <tableColumn id="2" xr3:uid="{8B294C31-E013-42B7-89D5-D814CC74F7E2}" name="campaign_id">
      <calculatedColumnFormula>RANDBETWEEN(1,8)</calculatedColumnFormula>
    </tableColumn>
    <tableColumn id="3" xr3:uid="{CD37C076-5ACA-4689-88DC-8DC1C981AA6A}" name="impressions" dataDxfId="673">
      <calculatedColumnFormula>ROUND(T_Facebook_Ads[[#This Row],[impressions]]*RANDBETWEEN(8,12)/10,0)</calculatedColumnFormula>
    </tableColumn>
    <tableColumn id="4" xr3:uid="{7AE8996B-778C-4D0C-AB5C-394DDDAB695A}" name="clicks" dataDxfId="672">
      <calculatedColumnFormula>ROUND(T_Facebook_Ads[[#This Row],[clicks]]*RANDBETWEEN(8,12)/10,0)</calculatedColumnFormula>
    </tableColumn>
    <tableColumn id="5" xr3:uid="{0FF04E1A-9892-436A-BB95-6D1231BE34C5}" name="spend">
      <calculatedColumnFormula>T_Facebook_Ads[[#This Row],[spend]]*RANDBETWEEN(8,12)/10</calculatedColumnFormula>
    </tableColumn>
    <tableColumn id="6" xr3:uid="{D20F4BAA-F5E8-45C0-9DEB-D87190B56360}" name="conversions">
      <calculatedColumnFormula>ROUND(T_Facebook_Ads[[#This Row],[conversions]]*RANDBETWEEN(8,12)/10,0)</calculatedColumnFormula>
    </tableColumn>
    <tableColumn id="7" xr3:uid="{F487B12E-FCAB-4310-A283-D89C06458478}" name="video_views">
      <calculatedColumnFormula>ROUND(T_Facebook_Ads[[#This Row],[video_views]]*RANDBETWEEN(8,12)/10,0)</calculatedColumnFormula>
    </tableColumn>
  </tableColumns>
  <tableStyleInfo name="TableStyleMedium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E525024-D2EE-4E55-A07D-908D7C10FE73}" name="T_Facebook_Ads11" displayName="T_Facebook_Ads11" ref="A1:M111" totalsRowShown="0" headerRowDxfId="671" dataDxfId="670" tableBorderDxfId="669">
  <autoFilter ref="A1:M111" xr:uid="{AD5A7780-FADE-4A83-84B7-71E8542889EC}"/>
  <tableColumns count="13">
    <tableColumn id="1" xr3:uid="{64CF30AC-CA6A-4C93-964E-97B3F1D689D7}" name="date" dataDxfId="668">
      <calculatedColumnFormula>DATE(2023,1,RANDBETWEEN(1,31))</calculatedColumnFormula>
    </tableColumn>
    <tableColumn id="2" xr3:uid="{AF664D03-0BA6-4F12-A531-807C3F633B12}" name="campaign_id" dataDxfId="667"/>
    <tableColumn id="3" xr3:uid="{2E1F73EA-D3BE-451A-A01F-208A3D9AC3FF}" name="campaign_name" dataDxfId="666"/>
    <tableColumn id="4" xr3:uid="{D91A2414-110F-4483-BAC7-6A60DA440874}" name="ad_set_id" dataDxfId="665"/>
    <tableColumn id="5" xr3:uid="{B0DF2702-F6B9-417D-8387-EC17B39C6272}" name="ad_set_name" dataDxfId="664"/>
    <tableColumn id="6" xr3:uid="{4ADE76AB-D8C1-4B3A-9786-31DA9EEC8021}" name="impressions" dataDxfId="663">
      <calculatedColumnFormula>ROUND(T_Facebook_Ads[[#This Row],[impressions]]*RANDBETWEEN(8,12)/10,0)</calculatedColumnFormula>
    </tableColumn>
    <tableColumn id="7" xr3:uid="{FAD20BEF-2D1E-4CB9-AF9B-3D605AD5ED67}" name="clicks" dataDxfId="662"/>
    <tableColumn id="8" xr3:uid="{154060E1-9C70-4ECD-B787-2AFE2D751948}" name="spend" dataDxfId="661">
      <calculatedColumnFormula>T_Facebook_Ads[[#This Row],[spend]]*RANDBETWEEN(8,12)/10</calculatedColumnFormula>
    </tableColumn>
    <tableColumn id="9" xr3:uid="{F91EB970-A4AF-4646-9FC0-C7089A6CFBD8}" name="conversions" dataDxfId="660">
      <calculatedColumnFormula>ROUND(T_Facebook_Ads[[#This Row],[conversions]]*RANDBETWEEN(8,12)/10,0)</calculatedColumnFormula>
    </tableColumn>
    <tableColumn id="10" xr3:uid="{57B4E8C0-6321-49BB-BD40-0CEBDED7B514}" name="video_views" dataDxfId="659">
      <calculatedColumnFormula>ROUND(T_Facebook_Ads[[#This Row],[video_views]]*RANDBETWEEN(8,12)/10,0)</calculatedColumnFormula>
    </tableColumn>
    <tableColumn id="11" xr3:uid="{FCC2DFB5-539E-4B76-A867-CA7276D0A2E8}" name="engagement_rate" dataDxfId="658">
      <calculatedColumnFormula>T_Facebook_Ads[[#This Row],[engagement_rate]]*RANDBETWEEN(8,12)/10</calculatedColumnFormula>
    </tableColumn>
    <tableColumn id="12" xr3:uid="{DDAE1976-5177-4683-8E1D-0CFEFA026118}" name="reach" dataDxfId="657">
      <calculatedColumnFormula>ROUND(T_Facebook_Ads[[#This Row],[reach]]*RANDBETWEEN(8,12)/10,0)</calculatedColumnFormula>
    </tableColumn>
    <tableColumn id="13" xr3:uid="{A253EBA0-1B60-40C6-A2B4-E761B3A8C963}" name="frequency" dataDxfId="656">
      <calculatedColumnFormula>T_Facebook_Ads[[#This Row],[frequency]]*RANDBETWEEN(8,12)/10</calculatedColumnFormula>
    </tableColumn>
  </tableColumns>
  <tableStyleInfo name="TableStyleMedium8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C90803C9-7460-4A16-A31A-D1B0D43F008C}" name="_Google_ads12" displayName="_Google_ads12" ref="O1:AB111" totalsRowShown="0" headerRowDxfId="655" dataDxfId="654" tableBorderDxfId="653">
  <autoFilter ref="O1:AB111" xr:uid="{B7D4B46A-853B-4EEA-97CD-AC4A9B0C50BA}"/>
  <tableColumns count="14">
    <tableColumn id="1" xr3:uid="{EE654B84-3C1C-45B4-B812-B47A9FD8FD9C}" name="date" dataDxfId="652">
      <calculatedColumnFormula>DATE(2023,1,RANDBETWEEN(1,31))</calculatedColumnFormula>
    </tableColumn>
    <tableColumn id="2" xr3:uid="{73952C34-9414-4001-AFC2-E1986179415C}" name="campaign_id" dataDxfId="651"/>
    <tableColumn id="3" xr3:uid="{4DF2474F-18FA-4550-A409-B499C859AD64}" name="campaign_name" dataDxfId="650"/>
    <tableColumn id="4" xr3:uid="{A536C844-3DD0-45E2-A41E-82DBCE81A6DD}" name="ad_group_id" dataDxfId="649"/>
    <tableColumn id="5" xr3:uid="{CB830A34-DFB8-4C97-93BA-9D94A16853D7}" name="ad_group_name" dataDxfId="648"/>
    <tableColumn id="6" xr3:uid="{D1EB2A98-1720-4F3D-9B46-1EF3A221D81B}" name="impressions" dataDxfId="647">
      <calculatedColumnFormula>ROUND(_Google_ads[[#This Row],[impressions]]*RANDBETWEEN(8,12)/10,0)</calculatedColumnFormula>
    </tableColumn>
    <tableColumn id="7" xr3:uid="{334F5A84-AFA6-470E-8BBF-82B001BA2210}" name="clicks" dataDxfId="646">
      <calculatedColumnFormula>ROUND(_Google_ads[[#This Row],[clicks]]*RANDBETWEEN(8,12)/10,0)</calculatedColumnFormula>
    </tableColumn>
    <tableColumn id="8" xr3:uid="{B53B480C-7182-4A3D-BE2D-83F6701DEB1F}" name="cost" dataDxfId="645">
      <calculatedColumnFormula>_Google_ads[[#This Row],[cost]]*RANDBETWEEN(8,12)/10</calculatedColumnFormula>
    </tableColumn>
    <tableColumn id="9" xr3:uid="{EF7A1280-B2AB-4909-9439-D8E490272CE1}" name="conversions" dataDxfId="644">
      <calculatedColumnFormula>ROUND(_Google_ads[[#This Row],[conversions]]*RANDBETWEEN(8,12)/10,0)</calculatedColumnFormula>
    </tableColumn>
    <tableColumn id="10" xr3:uid="{A05FCCDA-2D24-4E04-93E0-BA23862299F9}" name="conversion_value" dataDxfId="643">
      <calculatedColumnFormula>ROUND(_Google_ads[[#This Row],[conversion_value]]*RANDBETWEEN(8,12)/10,0)</calculatedColumnFormula>
    </tableColumn>
    <tableColumn id="11" xr3:uid="{AE6B231A-53B6-4C28-B98A-9F82EB43671F}" name="ctr" dataDxfId="642">
      <calculatedColumnFormula>_Google_ads[[#This Row],[ctr]]*RANDBETWEEN(8,12)/10</calculatedColumnFormula>
    </tableColumn>
    <tableColumn id="12" xr3:uid="{B84D8508-7E9C-4A39-8F54-963B17EDDD0D}" name="avg_cpc" dataDxfId="641">
      <calculatedColumnFormula>_Google_ads[[#This Row],[avg_cpc]]*RANDBETWEEN(8,12)/10</calculatedColumnFormula>
    </tableColumn>
    <tableColumn id="13" xr3:uid="{0C3E8136-F5BC-40DF-AEDF-999A739AA112}" name="quality_score" dataDxfId="640">
      <calculatedColumnFormula>ROUND(_Google_ads[[#This Row],[quality_score]]*RANDBETWEEN(8,12)/10,0)</calculatedColumnFormula>
    </tableColumn>
    <tableColumn id="14" xr3:uid="{096D6360-503F-4747-9650-D4845E9ACD4A}" name="search_impression_share" dataDxfId="639">
      <calculatedColumnFormula>_Google_ads[[#This Row],[search_impression_share]]*RANDBETWEEN(8,12)/10</calculatedColumnFormula>
    </tableColumn>
  </tableColumns>
  <tableStyleInfo name="TableStyleMedium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2C052B24-88ED-470E-A20F-547C54F12411}" name="T_Tiktok_ads13" displayName="T_Tiktok_ads13" ref="AD1:AT111" totalsRowShown="0" headerRowDxfId="638" dataDxfId="637" tableBorderDxfId="636">
  <autoFilter ref="AD1:AT111" xr:uid="{D6B8D61E-53FD-4052-B77C-92D1F05D8D73}"/>
  <tableColumns count="17">
    <tableColumn id="1" xr3:uid="{5BC985E0-FA33-4832-9262-0E52B8D42D7E}" name="date" dataDxfId="635">
      <calculatedColumnFormula>DATE(2023,1,RANDBETWEEN(1,31))</calculatedColumnFormula>
    </tableColumn>
    <tableColumn id="2" xr3:uid="{3E98BF44-3FDC-4CA5-9703-CFEA4A177530}" name="campaign_id" dataDxfId="634"/>
    <tableColumn id="3" xr3:uid="{3DAC7A8D-49D3-4A0E-9432-6BA0038EEC7B}" name="campaign_name" dataDxfId="633"/>
    <tableColumn id="4" xr3:uid="{A40D58DA-EC4B-4753-9BA8-BB849FC76F62}" name="adgroup_id" dataDxfId="632"/>
    <tableColumn id="5" xr3:uid="{422D425D-57FD-4F9C-9F69-455A7EF62ED6}" name="adgroup_name" dataDxfId="631"/>
    <tableColumn id="6" xr3:uid="{0274DF92-30B3-447E-832C-2CC811CD3ABE}" name="impressions" dataDxfId="630">
      <calculatedColumnFormula>ROUND(T_Tiktok_ads[[#This Row],[impressions]]*RANDBETWEEN(8,12)/10,0)</calculatedColumnFormula>
    </tableColumn>
    <tableColumn id="7" xr3:uid="{834C7253-0BA8-45DD-846B-1F9AB8FFC08D}" name="clicks" dataDxfId="629">
      <calculatedColumnFormula>ROUND(T_Tiktok_ads[[#This Row],[clicks]]*RANDBETWEEN(8,12)/10,0)</calculatedColumnFormula>
    </tableColumn>
    <tableColumn id="8" xr3:uid="{D13EC3FB-86A2-4B25-B4F0-9093C811B0F3}" name="cost" dataDxfId="628"/>
    <tableColumn id="9" xr3:uid="{01E9DA4A-301C-42CB-8A59-8305AC72FFBF}" name="conversions" dataDxfId="627">
      <calculatedColumnFormula>ROUND(T_Tiktok_ads[[#This Row],[conversions]]*RANDBETWEEN(8,12)/10,0)</calculatedColumnFormula>
    </tableColumn>
    <tableColumn id="10" xr3:uid="{B5E74F15-6220-4CFC-BBD3-A6409552DF0D}" name="video_views" dataDxfId="626">
      <calculatedColumnFormula>ROUND(T_Tiktok_ads[[#This Row],[video_views]]*RANDBETWEEN(8,12)/10,0)</calculatedColumnFormula>
    </tableColumn>
    <tableColumn id="11" xr3:uid="{3F6A354F-751C-4D48-92FB-FCC0A6A921DA}" name="video_watch_25" dataDxfId="625">
      <calculatedColumnFormula>ROUND(T_Tiktok_ads[[#This Row],[video_watch_25]]*RANDBETWEEN(8,12)/10,0)</calculatedColumnFormula>
    </tableColumn>
    <tableColumn id="12" xr3:uid="{F9FF55DF-D14A-44F3-A324-1ECDEB7B71B5}" name="video_watch_50" dataDxfId="624">
      <calculatedColumnFormula>ROUND(T_Tiktok_ads[[#This Row],[video_watch_50]]*RANDBETWEEN(8,12)/10,0)</calculatedColumnFormula>
    </tableColumn>
    <tableColumn id="13" xr3:uid="{DF9A891D-27E1-42B2-B677-9E7C1C5550E0}" name="video_watch_75" dataDxfId="623">
      <calculatedColumnFormula>ROUND(T_Tiktok_ads[[#This Row],[video_watch_75]]*RANDBETWEEN(8,12)/10,0)</calculatedColumnFormula>
    </tableColumn>
    <tableColumn id="14" xr3:uid="{465038F0-7863-4503-87A4-58062022C25D}" name="video_watch_100" dataDxfId="622">
      <calculatedColumnFormula>ROUND(T_Tiktok_ads[[#This Row],[video_watch_100]]*RANDBETWEEN(8,12)/10,0)</calculatedColumnFormula>
    </tableColumn>
    <tableColumn id="15" xr3:uid="{0450F5E1-5580-4AC8-B8C2-ECD0AFC49B72}" name="likes" dataDxfId="621">
      <calculatedColumnFormula>ROUND(T_Tiktok_ads[[#This Row],[likes]]*RANDBETWEEN(8,12)/10,0)</calculatedColumnFormula>
    </tableColumn>
    <tableColumn id="16" xr3:uid="{CE526619-012D-4ABD-9B01-89ED9A580F1F}" name="shares" dataDxfId="620">
      <calculatedColumnFormula>ROUND(T_Tiktok_ads[[#This Row],[shares]]*RANDBETWEEN(8,12)/10,0)</calculatedColumnFormula>
    </tableColumn>
    <tableColumn id="17" xr3:uid="{6D6FDD65-0638-4C8C-8D44-22C652DEABAE}" name="comments" dataDxfId="619">
      <calculatedColumnFormula>ROUND(T_Tiktok_ads[[#This Row],[comments]]*RANDBETWEEN(8,12)/10,0)</calculatedColumnFormula>
    </tableColumn>
  </tableColumns>
  <tableStyleInfo name="TableStyleMedium8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B22B5D09-2E9F-4650-B392-E7E741BC4C8E}" name="T_Other_Campaigns14" displayName="T_Other_Campaigns14" ref="AV1:BB111" totalsRowShown="0">
  <autoFilter ref="AV1:BB111" xr:uid="{73059325-26A5-411A-8C53-4F181AE56BDF}"/>
  <tableColumns count="7">
    <tableColumn id="1" xr3:uid="{E0F24C7B-97D0-4C59-9D4B-9BD78A7AFC4A}" name="date" dataDxfId="618">
      <calculatedColumnFormula>DATE(2023,1,RANDBETWEEN(1,31))</calculatedColumnFormula>
    </tableColumn>
    <tableColumn id="2" xr3:uid="{FB6A81B2-C185-4100-8869-E9F849D99C06}" name="campaign_id">
      <calculatedColumnFormula>RANDBETWEEN(1,8)</calculatedColumnFormula>
    </tableColumn>
    <tableColumn id="3" xr3:uid="{552CB955-126B-4AFC-A6D5-EACA6EA5DFBD}" name="impressions" dataDxfId="617">
      <calculatedColumnFormula>ROUND(T_Facebook_Ads11[[#This Row],[impressions]]*RANDBETWEEN(8,12)/10,0)</calculatedColumnFormula>
    </tableColumn>
    <tableColumn id="4" xr3:uid="{C7182F4A-141C-4154-B1A5-F37D097FD4B4}" name="clicks" dataDxfId="616">
      <calculatedColumnFormula>ROUND(T_Facebook_Ads11[[#This Row],[clicks]]*RANDBETWEEN(8,12)/10,0)</calculatedColumnFormula>
    </tableColumn>
    <tableColumn id="5" xr3:uid="{28C38A26-4309-4313-A1FD-982097153CF5}" name="spend">
      <calculatedColumnFormula>T_Facebook_Ads11[[#This Row],[spend]]*RANDBETWEEN(8,12)/10</calculatedColumnFormula>
    </tableColumn>
    <tableColumn id="6" xr3:uid="{9466AD8E-A356-4175-A763-49020FE82990}" name="conversions">
      <calculatedColumnFormula>ROUND(T_Facebook_Ads11[[#This Row],[conversions]]*RANDBETWEEN(8,12)/10,0)</calculatedColumnFormula>
    </tableColumn>
    <tableColumn id="7" xr3:uid="{5C47DC95-DCF1-463F-8C0E-D40AE20525C3}" name="video_views">
      <calculatedColumnFormula>ROUND(T_Facebook_Ads11[[#This Row],[video_views]]*RANDBETWEEN(8,12)/10,0)</calculatedColumnFormula>
    </tableColumn>
  </tableColumns>
  <tableStyleInfo name="TableStyleMedium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B454F31E-A6A1-491A-90A1-0D03E8C2A45A}" name="T_Facebook_Ads1159" displayName="T_Facebook_Ads1159" ref="A1:M111" totalsRowShown="0" headerRowDxfId="615" dataDxfId="614" tableBorderDxfId="613">
  <autoFilter ref="A1:M111" xr:uid="{AD5A7780-FADE-4A83-84B7-71E8542889EC}"/>
  <tableColumns count="13">
    <tableColumn id="1" xr3:uid="{0D1CD002-B729-496E-8AB1-76A4C8C3974A}" name="date" dataDxfId="612">
      <calculatedColumnFormula>DATE(2023,2,RANDBETWEEN(1,28))</calculatedColumnFormula>
    </tableColumn>
    <tableColumn id="2" xr3:uid="{D6257517-290D-4E5A-939B-349DDE9E1625}" name="campaign_id" dataDxfId="611"/>
    <tableColumn id="3" xr3:uid="{ED202D5D-5479-43E9-BA28-00C751520464}" name="campaign_name" dataDxfId="610"/>
    <tableColumn id="4" xr3:uid="{EF9DDEDC-7928-467D-93D9-99524A6CC44C}" name="ad_set_id" dataDxfId="609"/>
    <tableColumn id="5" xr3:uid="{3A7AE52F-8E4A-4CD0-9944-883A29761071}" name="ad_set_name" dataDxfId="608"/>
    <tableColumn id="6" xr3:uid="{2CF43523-CC0B-4BAA-B3F8-F50857963FB9}" name="impressions" dataDxfId="607">
      <calculatedColumnFormula>ROUND(T_Facebook_Ads[[#This Row],[impressions]]*RANDBETWEEN(8,12)/10,0)</calculatedColumnFormula>
    </tableColumn>
    <tableColumn id="7" xr3:uid="{E26ACFD8-DA16-4C6E-85B2-3921663157E5}" name="clicks" dataDxfId="606"/>
    <tableColumn id="8" xr3:uid="{C54C43D5-9794-446A-BA6B-934B189F4010}" name="spend" dataDxfId="605">
      <calculatedColumnFormula>T_Facebook_Ads[[#This Row],[spend]]*RANDBETWEEN(8,12)/10</calculatedColumnFormula>
    </tableColumn>
    <tableColumn id="9" xr3:uid="{59D8D375-6CE5-48C8-B84E-B95E1F4828BC}" name="conversions" dataDxfId="604">
      <calculatedColumnFormula>ROUND(T_Facebook_Ads[[#This Row],[conversions]]*RANDBETWEEN(8,12)/10,0)</calculatedColumnFormula>
    </tableColumn>
    <tableColumn id="10" xr3:uid="{43E70F26-F361-4C9F-A280-CC221AF0D9EA}" name="video_views" dataDxfId="603">
      <calculatedColumnFormula>ROUND(T_Facebook_Ads[[#This Row],[video_views]]*RANDBETWEEN(8,12)/10,0)</calculatedColumnFormula>
    </tableColumn>
    <tableColumn id="11" xr3:uid="{C6BEAF81-E855-45D1-A260-25E68003E84D}" name="engagement_rate" dataDxfId="602">
      <calculatedColumnFormula>T_Facebook_Ads[[#This Row],[engagement_rate]]*RANDBETWEEN(8,12)/10</calculatedColumnFormula>
    </tableColumn>
    <tableColumn id="12" xr3:uid="{5E136964-8CB7-4C32-B2CE-CB98A5FF330B}" name="reach" dataDxfId="601">
      <calculatedColumnFormula>ROUND(T_Facebook_Ads[[#This Row],[reach]]*RANDBETWEEN(8,12)/10,0)</calculatedColumnFormula>
    </tableColumn>
    <tableColumn id="13" xr3:uid="{9BD821DA-9856-41EF-A3D2-1B15B84C80CA}" name="frequency" dataDxfId="600">
      <calculatedColumnFormula>T_Facebook_Ads[[#This Row],[frequency]]*RANDBETWEEN(8,12)/10</calculatedColumnFormula>
    </tableColumn>
  </tableColumns>
  <tableStyleInfo name="TableStyleMedium8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A7F19706-8C95-4114-826E-76E2F0BB09C5}" name="_Google_ads1260" displayName="_Google_ads1260" ref="O1:AB111" totalsRowShown="0" headerRowDxfId="599" dataDxfId="598" tableBorderDxfId="597">
  <autoFilter ref="O1:AB111" xr:uid="{B7D4B46A-853B-4EEA-97CD-AC4A9B0C50BA}"/>
  <tableColumns count="14">
    <tableColumn id="1" xr3:uid="{309B106A-0DD7-4902-9101-1D79A05D8E7B}" name="date" dataDxfId="596">
      <calculatedColumnFormula>DATE(2023,2,RANDBETWEEN(1,28))</calculatedColumnFormula>
    </tableColumn>
    <tableColumn id="2" xr3:uid="{493B2D5B-05A2-4DA8-9F7A-75D681784AA4}" name="campaign_id" dataDxfId="595"/>
    <tableColumn id="3" xr3:uid="{A338E417-EF97-45E6-AD26-EA27F433B770}" name="campaign_name" dataDxfId="594"/>
    <tableColumn id="4" xr3:uid="{97461A0C-7122-4C78-ADA0-B7A9954E467C}" name="ad_group_id" dataDxfId="593"/>
    <tableColumn id="5" xr3:uid="{706AD964-1045-4AAF-B787-548BEB541B2C}" name="ad_group_name" dataDxfId="592"/>
    <tableColumn id="6" xr3:uid="{F1089F80-FC8D-4948-8315-E7E543D93070}" name="impressions" dataDxfId="591">
      <calculatedColumnFormula>ROUND(_Google_ads[[#This Row],[impressions]]*RANDBETWEEN(8,12)/10,0)</calculatedColumnFormula>
    </tableColumn>
    <tableColumn id="7" xr3:uid="{22A9D1F6-8525-4C9F-94EA-01A1CDDBF5E4}" name="clicks" dataDxfId="590">
      <calculatedColumnFormula>ROUND(_Google_ads[[#This Row],[clicks]]*RANDBETWEEN(8,12)/10,0)</calculatedColumnFormula>
    </tableColumn>
    <tableColumn id="8" xr3:uid="{AFBD3E99-981B-4A36-89C7-67CEF66FD178}" name="cost" dataDxfId="589">
      <calculatedColumnFormula>_Google_ads[[#This Row],[cost]]*RANDBETWEEN(8,12)/10</calculatedColumnFormula>
    </tableColumn>
    <tableColumn id="9" xr3:uid="{4B3F41BA-C080-46CD-9E17-349B3C7DCA63}" name="conversions" dataDxfId="588">
      <calculatedColumnFormula>ROUND(_Google_ads[[#This Row],[conversions]]*RANDBETWEEN(8,12)/10,0)</calculatedColumnFormula>
    </tableColumn>
    <tableColumn id="10" xr3:uid="{2D90804F-EA2E-4A04-A2F8-42F97965F363}" name="conversion_value" dataDxfId="587">
      <calculatedColumnFormula>ROUND(_Google_ads[[#This Row],[conversion_value]]*RANDBETWEEN(8,12)/10,0)</calculatedColumnFormula>
    </tableColumn>
    <tableColumn id="11" xr3:uid="{B4027B98-DB0E-4721-AFA2-422289BEF651}" name="ctr" dataDxfId="586">
      <calculatedColumnFormula>_Google_ads[[#This Row],[ctr]]*RANDBETWEEN(8,12)/10</calculatedColumnFormula>
    </tableColumn>
    <tableColumn id="12" xr3:uid="{DBA93B6B-9FDA-4ABB-AE95-2A2F89D71A16}" name="avg_cpc" dataDxfId="585">
      <calculatedColumnFormula>_Google_ads[[#This Row],[avg_cpc]]*RANDBETWEEN(8,12)/10</calculatedColumnFormula>
    </tableColumn>
    <tableColumn id="13" xr3:uid="{8B1FC04A-E01C-499B-9A52-CE41A47CD1B4}" name="quality_score" dataDxfId="584">
      <calculatedColumnFormula>ROUND(_Google_ads[[#This Row],[quality_score]]*RANDBETWEEN(8,12)/10,0)</calculatedColumnFormula>
    </tableColumn>
    <tableColumn id="14" xr3:uid="{F30C7DA7-701E-48E8-B35A-72148D27AAA3}" name="search_impression_share" dataDxfId="583">
      <calculatedColumnFormula>_Google_ads[[#This Row],[search_impression_share]]*RANDBETWEEN(8,12)/10</calculatedColumnFormula>
    </tableColumn>
  </tableColumns>
  <tableStyleInfo name="TableStyleMedium1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DCEF5A6C-CF59-4174-B8F4-72E934ED5CB3}" name="T_Tiktok_ads1361" displayName="T_Tiktok_ads1361" ref="AD1:AT111" totalsRowShown="0" headerRowDxfId="582" dataDxfId="581" tableBorderDxfId="580">
  <autoFilter ref="AD1:AT111" xr:uid="{D6B8D61E-53FD-4052-B77C-92D1F05D8D73}"/>
  <tableColumns count="17">
    <tableColumn id="1" xr3:uid="{C2886359-3F7A-4426-B27F-C5D0577E720D}" name="date" dataDxfId="579">
      <calculatedColumnFormula>DATE(2023,2,RANDBETWEEN(1,28))</calculatedColumnFormula>
    </tableColumn>
    <tableColumn id="2" xr3:uid="{96799CE8-A0C4-4481-ADE7-705015E3549C}" name="campaign_id" dataDxfId="578"/>
    <tableColumn id="3" xr3:uid="{407B6DE5-666D-45A6-A522-CC96289A9A92}" name="campaign_name" dataDxfId="577"/>
    <tableColumn id="4" xr3:uid="{C10F024D-50A1-461A-9FFD-E487CF1FFDC1}" name="adgroup_id" dataDxfId="576"/>
    <tableColumn id="5" xr3:uid="{E81B0531-5876-43B6-8D7E-C202C1C61EE7}" name="adgroup_name" dataDxfId="575"/>
    <tableColumn id="6" xr3:uid="{A25CE03E-0DF4-4CC3-A147-9C0FF5DAA4BF}" name="impressions" dataDxfId="574">
      <calculatedColumnFormula>ROUND(T_Tiktok_ads[[#This Row],[impressions]]*RANDBETWEEN(8,12)/10,0)</calculatedColumnFormula>
    </tableColumn>
    <tableColumn id="7" xr3:uid="{B1D1A4E9-88A7-4864-8948-721150DEF62E}" name="clicks" dataDxfId="573">
      <calculatedColumnFormula>ROUND(T_Tiktok_ads[[#This Row],[clicks]]*RANDBETWEEN(8,12)/10,0)</calculatedColumnFormula>
    </tableColumn>
    <tableColumn id="8" xr3:uid="{7E0A6FDE-89FE-4902-84F6-B3F9D8F07773}" name="cost" dataDxfId="572"/>
    <tableColumn id="9" xr3:uid="{7F05110B-6663-4468-927F-C878A8109AB7}" name="conversions" dataDxfId="571">
      <calculatedColumnFormula>ROUND(T_Tiktok_ads[[#This Row],[conversions]]*RANDBETWEEN(8,12)/10,0)</calculatedColumnFormula>
    </tableColumn>
    <tableColumn id="10" xr3:uid="{8AA3B2E8-5F7B-41CC-9D49-50A49B7ECD15}" name="video_views" dataDxfId="570">
      <calculatedColumnFormula>ROUND(T_Tiktok_ads[[#This Row],[video_views]]*RANDBETWEEN(8,12)/10,0)</calculatedColumnFormula>
    </tableColumn>
    <tableColumn id="11" xr3:uid="{327DDBBA-0088-44ED-9AFA-344D96520432}" name="video_watch_25" dataDxfId="569">
      <calculatedColumnFormula>ROUND(T_Tiktok_ads[[#This Row],[video_watch_25]]*RANDBETWEEN(8,12)/10,0)</calculatedColumnFormula>
    </tableColumn>
    <tableColumn id="12" xr3:uid="{B5F06C4E-AA57-428B-A86C-7747056CD3F6}" name="video_watch_50" dataDxfId="568">
      <calculatedColumnFormula>ROUND(T_Tiktok_ads[[#This Row],[video_watch_50]]*RANDBETWEEN(8,12)/10,0)</calculatedColumnFormula>
    </tableColumn>
    <tableColumn id="13" xr3:uid="{3124CD8E-85EE-4F76-89FD-4D4157BEB13A}" name="video_watch_75" dataDxfId="567">
      <calculatedColumnFormula>ROUND(T_Tiktok_ads[[#This Row],[video_watch_75]]*RANDBETWEEN(8,12)/10,0)</calculatedColumnFormula>
    </tableColumn>
    <tableColumn id="14" xr3:uid="{E5A916A8-9B51-4F59-91BC-7F39B2A9CED1}" name="video_watch_100" dataDxfId="566">
      <calculatedColumnFormula>ROUND(T_Tiktok_ads[[#This Row],[video_watch_100]]*RANDBETWEEN(8,12)/10,0)</calculatedColumnFormula>
    </tableColumn>
    <tableColumn id="15" xr3:uid="{3A75C410-C96B-423C-92F5-662D70F6142A}" name="likes" dataDxfId="565">
      <calculatedColumnFormula>ROUND(T_Tiktok_ads[[#This Row],[likes]]*RANDBETWEEN(8,12)/10,0)</calculatedColumnFormula>
    </tableColumn>
    <tableColumn id="16" xr3:uid="{771FF65F-7D22-4204-A28B-708892382628}" name="shares" dataDxfId="564">
      <calculatedColumnFormula>ROUND(T_Tiktok_ads[[#This Row],[shares]]*RANDBETWEEN(8,12)/10,0)</calculatedColumnFormula>
    </tableColumn>
    <tableColumn id="17" xr3:uid="{8DC3C59C-CE00-44E9-AE37-F2529AB20A94}" name="comments" dataDxfId="563">
      <calculatedColumnFormula>ROUND(T_Tiktok_ads[[#This Row],[comments]]*RANDBETWEEN(8,12)/10,0)</calculatedColumnFormula>
    </tableColumn>
  </tableColumns>
  <tableStyleInfo name="TableStyleMedium8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CC8081DD-8954-47BE-9F79-260B6F5D2F57}" name="T_Other_Campaigns1462" displayName="T_Other_Campaigns1462" ref="AV1:BB111" totalsRowShown="0">
  <autoFilter ref="AV1:BB111" xr:uid="{73059325-26A5-411A-8C53-4F181AE56BDF}"/>
  <tableColumns count="7">
    <tableColumn id="1" xr3:uid="{7575A679-E8DF-401E-BDE5-D2F0874666FD}" name="date" dataDxfId="562">
      <calculatedColumnFormula>DATE(2023,2,RANDBETWEEN(1,28))</calculatedColumnFormula>
    </tableColumn>
    <tableColumn id="2" xr3:uid="{6A7CF278-A409-4A6E-80DA-2E11D45F66B7}" name="campaign_id">
      <calculatedColumnFormula>RANDBETWEEN(1,8)</calculatedColumnFormula>
    </tableColumn>
    <tableColumn id="3" xr3:uid="{6D5DB268-E23C-4EBD-B62E-73BD74C1DA34}" name="impressions" dataDxfId="0">
      <calculatedColumnFormula>ROUND(T_Facebook_Ads1159[[#This Row],[impressions]]*RANDBETWEEN(2,10)/10,0)</calculatedColumnFormula>
    </tableColumn>
    <tableColumn id="4" xr3:uid="{8D78CB2A-36CC-440A-90C2-C8850269489A}" name="clicks" dataDxfId="561">
      <calculatedColumnFormula>ROUND(T_Facebook_Ads1159[[#This Row],[clicks]]*RANDBETWEEN(8,12)/10,0)</calculatedColumnFormula>
    </tableColumn>
    <tableColumn id="5" xr3:uid="{673962F7-B855-4B7A-9749-D083ED22FD5B}" name="spend">
      <calculatedColumnFormula>T_Facebook_Ads1159[[#This Row],[spend]]*RANDBETWEEN(8,12)/10</calculatedColumnFormula>
    </tableColumn>
    <tableColumn id="6" xr3:uid="{E5AAC567-ED7B-41CB-9C2D-42E637A754E1}" name="conversions">
      <calculatedColumnFormula>ROUND(T_Facebook_Ads1159[[#This Row],[conversions]]*RANDBETWEEN(8,12)/10,0)</calculatedColumnFormula>
    </tableColumn>
    <tableColumn id="7" xr3:uid="{EAACBAB9-3956-4EE6-9E6B-7CDA9092C8A6}" name="video_views">
      <calculatedColumnFormula>ROUND(T_Facebook_Ads1159[[#This Row],[video_views]]*RANDBETWEEN(8,12)/10,0)</calculatedColumnFormula>
    </tableColumn>
  </tableColumns>
  <tableStyleInfo name="TableStyleMedium1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2885F85F-82AE-4DEE-A090-DA8B1F54C728}" name="T_Facebook_Ads115963" displayName="T_Facebook_Ads115963" ref="A1:M111" totalsRowShown="0" headerRowDxfId="560" dataDxfId="559" tableBorderDxfId="558">
  <autoFilter ref="A1:M111" xr:uid="{AD5A7780-FADE-4A83-84B7-71E8542889EC}"/>
  <tableColumns count="13">
    <tableColumn id="1" xr3:uid="{9F39F0BC-E076-4528-8FAB-14D570AAF8E3}" name="date" dataDxfId="557">
      <calculatedColumnFormula>DATE(2023,3,RANDBETWEEN(1,31))</calculatedColumnFormula>
    </tableColumn>
    <tableColumn id="2" xr3:uid="{9CCC2D13-FCF0-4071-B43C-8A705A50DDDE}" name="campaign_id" dataDxfId="556"/>
    <tableColumn id="3" xr3:uid="{5F312E22-E557-4D46-A6F2-2DA23425593D}" name="campaign_name" dataDxfId="555"/>
    <tableColumn id="4" xr3:uid="{9F7E090A-505A-481B-9C1F-97377D8772A3}" name="ad_set_id" dataDxfId="554"/>
    <tableColumn id="5" xr3:uid="{BA7D0E6E-FEC1-4A66-A019-3F42EAC637E9}" name="ad_set_name" dataDxfId="553"/>
    <tableColumn id="6" xr3:uid="{1288B044-2A19-47F1-A919-4EC23F060EEA}" name="impressions" dataDxfId="552">
      <calculatedColumnFormula>ROUND(T_Facebook_Ads[[#This Row],[impressions]]*RANDBETWEEN(8,12)/10,0)</calculatedColumnFormula>
    </tableColumn>
    <tableColumn id="7" xr3:uid="{AE597628-CF34-432E-AB9E-AA0E123CDE66}" name="clicks" dataDxfId="551"/>
    <tableColumn id="8" xr3:uid="{8F7A31BD-889D-471E-83C0-D8489B665872}" name="spend" dataDxfId="550">
      <calculatedColumnFormula>T_Facebook_Ads[[#This Row],[spend]]*RANDBETWEEN(8,12)/10</calculatedColumnFormula>
    </tableColumn>
    <tableColumn id="9" xr3:uid="{48BD3AC5-0A63-4DFF-95E4-CB88415D93F6}" name="conversions" dataDxfId="549">
      <calculatedColumnFormula>ROUND(T_Facebook_Ads[[#This Row],[conversions]]*RANDBETWEEN(8,12)/10,0)</calculatedColumnFormula>
    </tableColumn>
    <tableColumn id="10" xr3:uid="{8038CFE4-A680-48EF-A049-6B51FF29C160}" name="video_views" dataDxfId="548">
      <calculatedColumnFormula>ROUND(T_Facebook_Ads[[#This Row],[video_views]]*RANDBETWEEN(8,12)/10,0)</calculatedColumnFormula>
    </tableColumn>
    <tableColumn id="11" xr3:uid="{944D5D26-E720-40CA-BB50-FCF4AEEC5D28}" name="engagement_rate" dataDxfId="547">
      <calculatedColumnFormula>T_Facebook_Ads[[#This Row],[engagement_rate]]*RANDBETWEEN(8,12)/10</calculatedColumnFormula>
    </tableColumn>
    <tableColumn id="12" xr3:uid="{0FAFF0C0-CFE5-4866-A0FE-4633882887AA}" name="reach" dataDxfId="546">
      <calculatedColumnFormula>ROUND(T_Facebook_Ads[[#This Row],[reach]]*RANDBETWEEN(8,12)/10,0)</calculatedColumnFormula>
    </tableColumn>
    <tableColumn id="13" xr3:uid="{6526EEDF-07C0-42B4-9123-A9D16CC99CCE}" name="frequency" dataDxfId="545">
      <calculatedColumnFormula>T_Facebook_Ads[[#This Row],[frequency]]*RANDBETWEEN(8,12)/10</calculatedColumnFormula>
    </tableColumn>
  </tableColumns>
  <tableStyleInfo name="TableStyleMedium8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6B9AF99B-7154-48FA-95CE-69212C9409ED}" name="_Google_ads126064" displayName="_Google_ads126064" ref="O1:AB111" totalsRowShown="0" headerRowDxfId="544" dataDxfId="543" tableBorderDxfId="542">
  <autoFilter ref="O1:AB111" xr:uid="{B7D4B46A-853B-4EEA-97CD-AC4A9B0C50BA}"/>
  <tableColumns count="14">
    <tableColumn id="1" xr3:uid="{64BBAC77-7647-4994-89C1-8CDDD72D71CC}" name="date" dataDxfId="541">
      <calculatedColumnFormula>DATE(2023,3,RANDBETWEEN(1,31))</calculatedColumnFormula>
    </tableColumn>
    <tableColumn id="2" xr3:uid="{96657650-AA1E-4E60-A356-900B7D8F67A9}" name="campaign_id" dataDxfId="540"/>
    <tableColumn id="3" xr3:uid="{C86C8556-BF4D-4109-A2E3-E712E6D071CD}" name="campaign_name" dataDxfId="539"/>
    <tableColumn id="4" xr3:uid="{BCD723A4-88BD-4BA6-A90D-F0987CF496C5}" name="ad_group_id" dataDxfId="538"/>
    <tableColumn id="5" xr3:uid="{7477BE09-E556-48E0-9F9D-3494DD382D53}" name="ad_group_name" dataDxfId="537"/>
    <tableColumn id="6" xr3:uid="{40995DE7-2C2F-48F3-9699-D23B0C5E1B62}" name="impressions" dataDxfId="536">
      <calculatedColumnFormula>ROUND(_Google_ads[[#This Row],[impressions]]*RANDBETWEEN(8,12)/10,0)</calculatedColumnFormula>
    </tableColumn>
    <tableColumn id="7" xr3:uid="{5784807B-4156-4534-B6DC-ACD647DF99EC}" name="clicks" dataDxfId="535">
      <calculatedColumnFormula>ROUND(_Google_ads[[#This Row],[clicks]]*RANDBETWEEN(8,12)/10,0)</calculatedColumnFormula>
    </tableColumn>
    <tableColumn id="8" xr3:uid="{D9BC9B87-072A-4925-B097-A680237C7866}" name="cost" dataDxfId="534">
      <calculatedColumnFormula>_Google_ads[[#This Row],[cost]]*RANDBETWEEN(8,12)/10</calculatedColumnFormula>
    </tableColumn>
    <tableColumn id="9" xr3:uid="{48B11DAE-B896-4164-A653-083C8FFCB64B}" name="conversions" dataDxfId="533">
      <calculatedColumnFormula>ROUND(_Google_ads[[#This Row],[conversions]]*RANDBETWEEN(8,12)/10,0)</calculatedColumnFormula>
    </tableColumn>
    <tableColumn id="10" xr3:uid="{1CEC43B6-0357-4E7C-B5AC-1475AE50EB69}" name="conversion_value" dataDxfId="532">
      <calculatedColumnFormula>ROUND(_Google_ads[[#This Row],[conversion_value]]*RANDBETWEEN(8,12)/10,0)</calculatedColumnFormula>
    </tableColumn>
    <tableColumn id="11" xr3:uid="{6B8E6B46-92EB-4963-979D-DDF76A167717}" name="ctr" dataDxfId="531">
      <calculatedColumnFormula>_Google_ads[[#This Row],[ctr]]*RANDBETWEEN(8,12)/10</calculatedColumnFormula>
    </tableColumn>
    <tableColumn id="12" xr3:uid="{4D01D4E6-CEE6-4ECB-8D1D-C77BB68E7AEA}" name="avg_cpc" dataDxfId="530">
      <calculatedColumnFormula>_Google_ads[[#This Row],[avg_cpc]]*RANDBETWEEN(8,12)/10</calculatedColumnFormula>
    </tableColumn>
    <tableColumn id="13" xr3:uid="{367D7F8F-7A92-460E-83A1-1BE61F8725AA}" name="quality_score" dataDxfId="529">
      <calculatedColumnFormula>ROUND(_Google_ads[[#This Row],[quality_score]]*RANDBETWEEN(8,12)/10,0)</calculatedColumnFormula>
    </tableColumn>
    <tableColumn id="14" xr3:uid="{EF39651A-CCC1-493C-847D-645ABCFC446E}" name="search_impression_share" dataDxfId="528">
      <calculatedColumnFormula>_Google_ads[[#This Row],[search_impression_share]]*RANDBETWEEN(8,12)/10</calculatedColumnFormula>
    </tableColumn>
  </tableColumns>
  <tableStyleInfo name="TableStyleMedium1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8AA45B95-416E-425C-B411-63E55304928E}" name="T_Tiktok_ads136165" displayName="T_Tiktok_ads136165" ref="AD1:AT111" totalsRowShown="0" headerRowDxfId="527" dataDxfId="526" tableBorderDxfId="525">
  <autoFilter ref="AD1:AT111" xr:uid="{D6B8D61E-53FD-4052-B77C-92D1F05D8D73}"/>
  <tableColumns count="17">
    <tableColumn id="1" xr3:uid="{E492CC81-6CF7-4D37-B70F-F08AAF52F4B4}" name="date" dataDxfId="524">
      <calculatedColumnFormula>DATE(2023,3,RANDBETWEEN(1,31))</calculatedColumnFormula>
    </tableColumn>
    <tableColumn id="2" xr3:uid="{26821876-6358-41A6-986F-19B54B59548C}" name="campaign_id" dataDxfId="523"/>
    <tableColumn id="3" xr3:uid="{77378C5F-BC5A-4EAE-B682-7E6BE5B0101F}" name="campaign_name" dataDxfId="522"/>
    <tableColumn id="4" xr3:uid="{B2449C35-855A-4396-B041-02D4F7B57089}" name="adgroup_id" dataDxfId="521"/>
    <tableColumn id="5" xr3:uid="{21BAE9F5-ACE1-4218-802D-EB91CA26EC57}" name="adgroup_name" dataDxfId="520"/>
    <tableColumn id="6" xr3:uid="{FEE7CE8F-4781-4204-8EA0-62214B0D5677}" name="impressions" dataDxfId="519">
      <calculatedColumnFormula>ROUND(T_Tiktok_ads[[#This Row],[impressions]]*RANDBETWEEN(8,12)/10,0)</calculatedColumnFormula>
    </tableColumn>
    <tableColumn id="7" xr3:uid="{8B593EBE-2541-4546-BC49-41CDC5A9307C}" name="clicks" dataDxfId="518">
      <calculatedColumnFormula>ROUND(T_Tiktok_ads[[#This Row],[clicks]]*RANDBETWEEN(8,12)/10,0)</calculatedColumnFormula>
    </tableColumn>
    <tableColumn id="8" xr3:uid="{5B784C22-C6F7-48CF-9541-4A1FCBE42640}" name="cost" dataDxfId="517"/>
    <tableColumn id="9" xr3:uid="{CF1F81AA-0823-4CEE-869D-6D0C967A622F}" name="conversions" dataDxfId="516">
      <calculatedColumnFormula>ROUND(T_Tiktok_ads[[#This Row],[conversions]]*RANDBETWEEN(8,12)/10,0)</calculatedColumnFormula>
    </tableColumn>
    <tableColumn id="10" xr3:uid="{246B4CC3-9B60-467D-AD7C-44D129CD740B}" name="video_views" dataDxfId="515">
      <calculatedColumnFormula>ROUND(T_Tiktok_ads[[#This Row],[video_views]]*RANDBETWEEN(8,12)/10,0)</calculatedColumnFormula>
    </tableColumn>
    <tableColumn id="11" xr3:uid="{045F65E1-F47C-4AED-9BED-E05B08396200}" name="video_watch_25" dataDxfId="514">
      <calculatedColumnFormula>ROUND(T_Tiktok_ads[[#This Row],[video_watch_25]]*RANDBETWEEN(8,12)/10,0)</calculatedColumnFormula>
    </tableColumn>
    <tableColumn id="12" xr3:uid="{45003A51-DF22-4803-ACC5-C2196FE6F30B}" name="video_watch_50" dataDxfId="513">
      <calculatedColumnFormula>ROUND(T_Tiktok_ads[[#This Row],[video_watch_50]]*RANDBETWEEN(8,12)/10,0)</calculatedColumnFormula>
    </tableColumn>
    <tableColumn id="13" xr3:uid="{D35914A3-096F-4AF8-9568-1B274A3F388F}" name="video_watch_75" dataDxfId="512">
      <calculatedColumnFormula>ROUND(T_Tiktok_ads[[#This Row],[video_watch_75]]*RANDBETWEEN(8,12)/10,0)</calculatedColumnFormula>
    </tableColumn>
    <tableColumn id="14" xr3:uid="{B93EAE29-AD33-40E0-BD00-35AAC42F742C}" name="video_watch_100" dataDxfId="511">
      <calculatedColumnFormula>ROUND(T_Tiktok_ads[[#This Row],[video_watch_100]]*RANDBETWEEN(8,12)/10,0)</calculatedColumnFormula>
    </tableColumn>
    <tableColumn id="15" xr3:uid="{28D57DD5-D554-4626-AABE-6DC1D926A1BA}" name="likes" dataDxfId="510">
      <calculatedColumnFormula>ROUND(T_Tiktok_ads[[#This Row],[likes]]*RANDBETWEEN(8,12)/10,0)</calculatedColumnFormula>
    </tableColumn>
    <tableColumn id="16" xr3:uid="{FB0FD249-1041-4011-A8D6-DD1E3468EC19}" name="shares" dataDxfId="509">
      <calculatedColumnFormula>ROUND(T_Tiktok_ads[[#This Row],[shares]]*RANDBETWEEN(8,12)/10,0)</calculatedColumnFormula>
    </tableColumn>
    <tableColumn id="17" xr3:uid="{E48C848B-02CF-41AA-AAA4-F0FA6617948B}" name="comments" dataDxfId="508">
      <calculatedColumnFormula>ROUND(T_Tiktok_ads[[#This Row],[comments]]*RANDBETWEEN(8,12)/10,0)</calculatedColumnFormula>
    </tableColumn>
  </tableColumns>
  <tableStyleInfo name="TableStyleMedium8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EEF5B062-F2DE-45BE-A0C0-C64A72B2A67A}" name="T_Other_Campaigns146266" displayName="T_Other_Campaigns146266" ref="AV1:BB111" totalsRowShown="0">
  <autoFilter ref="AV1:BB111" xr:uid="{73059325-26A5-411A-8C53-4F181AE56BDF}"/>
  <tableColumns count="7">
    <tableColumn id="1" xr3:uid="{97589BE8-8D2C-4BFA-A083-F718E8327AF5}" name="date" dataDxfId="507">
      <calculatedColumnFormula>DATE(2023,3,RANDBETWEEN(1,31))</calculatedColumnFormula>
    </tableColumn>
    <tableColumn id="2" xr3:uid="{5826E329-C1E8-428A-B783-7DA81B0AC566}" name="campaign_id">
      <calculatedColumnFormula>RANDBETWEEN(1,8)</calculatedColumnFormula>
    </tableColumn>
    <tableColumn id="3" xr3:uid="{2C7061EF-3DED-4D06-8F83-E5E4E46FA09B}" name="impressions" dataDxfId="506">
      <calculatedColumnFormula>ROUND(T_Facebook_Ads115963[[#This Row],[impressions]]*RANDBETWEEN(8,12)/10,0)</calculatedColumnFormula>
    </tableColumn>
    <tableColumn id="4" xr3:uid="{F92E035E-7C25-44CD-8471-C79849C64F90}" name="clicks" dataDxfId="505">
      <calculatedColumnFormula>ROUND(T_Facebook_Ads115963[[#This Row],[clicks]]*RANDBETWEEN(8,12)/10,0)</calculatedColumnFormula>
    </tableColumn>
    <tableColumn id="5" xr3:uid="{B11675E8-194B-4BED-B4AF-DE59C866A6E5}" name="spend">
      <calculatedColumnFormula>T_Facebook_Ads115963[[#This Row],[spend]]*RANDBETWEEN(8,12)/10</calculatedColumnFormula>
    </tableColumn>
    <tableColumn id="6" xr3:uid="{2E48EE1D-1317-4450-A858-7D56583F0B2B}" name="conversions">
      <calculatedColumnFormula>ROUND(T_Facebook_Ads115963[[#This Row],[conversions]]*RANDBETWEEN(8,12)/10,0)</calculatedColumnFormula>
    </tableColumn>
    <tableColumn id="7" xr3:uid="{FAC41472-B987-4759-A7F2-FBC2DE5E9246}" name="video_views">
      <calculatedColumnFormula>ROUND(T_Facebook_Ads115963[[#This Row],[video_views]]*RANDBETWEEN(8,12)/10,0)</calculatedColumnFormula>
    </tableColumn>
  </tableColumns>
  <tableStyleInfo name="TableStyleMedium1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D3B3B258-4452-4215-88DC-8B4550042890}" name="T_Facebook_Ads11596367" displayName="T_Facebook_Ads11596367" ref="A1:M111" totalsRowShown="0" headerRowDxfId="504" dataDxfId="503" tableBorderDxfId="502">
  <autoFilter ref="A1:M111" xr:uid="{AD5A7780-FADE-4A83-84B7-71E8542889EC}"/>
  <tableColumns count="13">
    <tableColumn id="1" xr3:uid="{14CE157E-26D1-44A0-AA64-9CB22671BD80}" name="date" dataDxfId="501">
      <calculatedColumnFormula>DATE(2023,4,RANDBETWEEN(1,30))</calculatedColumnFormula>
    </tableColumn>
    <tableColumn id="2" xr3:uid="{2D356A2B-5F1D-4AB9-AFB6-46ED591D37B2}" name="campaign_id" dataDxfId="500"/>
    <tableColumn id="3" xr3:uid="{03D65986-1C88-4F6A-867E-010E9F5AF530}" name="campaign_name" dataDxfId="499"/>
    <tableColumn id="4" xr3:uid="{CEF26EF3-BE42-4F91-8F53-1B6373BC99D0}" name="ad_set_id" dataDxfId="498"/>
    <tableColumn id="5" xr3:uid="{64355350-CCC4-47F5-A462-9C870DAA4F7B}" name="ad_set_name" dataDxfId="497"/>
    <tableColumn id="6" xr3:uid="{49ECC444-9D53-4DE3-979E-ED960599E190}" name="impressions" dataDxfId="496">
      <calculatedColumnFormula>ROUND(T_Facebook_Ads[[#This Row],[impressions]]*RANDBETWEEN(8,12)/10,0)</calculatedColumnFormula>
    </tableColumn>
    <tableColumn id="7" xr3:uid="{53218351-C4A7-4EEE-B743-620EF2B98E77}" name="clicks" dataDxfId="495"/>
    <tableColumn id="8" xr3:uid="{71B2050D-05A3-466A-B655-A0BA2E8D95A1}" name="spend" dataDxfId="494">
      <calculatedColumnFormula>T_Facebook_Ads[[#This Row],[spend]]*RANDBETWEEN(8,12)/10</calculatedColumnFormula>
    </tableColumn>
    <tableColumn id="9" xr3:uid="{9B8DF136-0408-4894-BEA8-2AA6BC134118}" name="conversions" dataDxfId="493">
      <calculatedColumnFormula>ROUND(T_Facebook_Ads[[#This Row],[conversions]]*RANDBETWEEN(8,12)/10,0)</calculatedColumnFormula>
    </tableColumn>
    <tableColumn id="10" xr3:uid="{7E6303A9-BDFB-4AE2-A23C-5C9C2C12D664}" name="video_views" dataDxfId="492">
      <calculatedColumnFormula>ROUND(T_Facebook_Ads[[#This Row],[video_views]]*RANDBETWEEN(8,12)/10,0)</calculatedColumnFormula>
    </tableColumn>
    <tableColumn id="11" xr3:uid="{A65BBE4B-047C-48EA-A0EB-A57F45D91201}" name="engagement_rate" dataDxfId="491">
      <calculatedColumnFormula>T_Facebook_Ads[[#This Row],[engagement_rate]]*RANDBETWEEN(8,12)/10</calculatedColumnFormula>
    </tableColumn>
    <tableColumn id="12" xr3:uid="{3718C3E0-4660-4812-8B12-EC082B486F77}" name="reach" dataDxfId="490">
      <calculatedColumnFormula>ROUND(T_Facebook_Ads[[#This Row],[reach]]*RANDBETWEEN(8,12)/10,0)</calculatedColumnFormula>
    </tableColumn>
    <tableColumn id="13" xr3:uid="{5950474E-F856-44E2-98E3-C362CB2C57E7}" name="frequency" dataDxfId="489">
      <calculatedColumnFormula>T_Facebook_Ads[[#This Row],[frequency]]*RANDBETWEEN(8,12)/10</calculatedColumnFormula>
    </tableColumn>
  </tableColumns>
  <tableStyleInfo name="TableStyleMedium8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8E69AFB7-EB93-4BF4-93E3-F206FAAB8E65}" name="_Google_ads12606468" displayName="_Google_ads12606468" ref="O1:AB111" totalsRowShown="0" headerRowDxfId="488" dataDxfId="487" tableBorderDxfId="486">
  <autoFilter ref="O1:AB111" xr:uid="{B7D4B46A-853B-4EEA-97CD-AC4A9B0C50BA}"/>
  <tableColumns count="14">
    <tableColumn id="1" xr3:uid="{BFD14D30-7CF2-4905-A2E0-0585BEDC1A00}" name="date" dataDxfId="485">
      <calculatedColumnFormula>DATE(2023,4,RANDBETWEEN(1,30))</calculatedColumnFormula>
    </tableColumn>
    <tableColumn id="2" xr3:uid="{94A060E7-7602-4592-BACE-F385C55852FE}" name="campaign_id" dataDxfId="484"/>
    <tableColumn id="3" xr3:uid="{2F696928-A1C4-4AD9-91DD-2535E3459522}" name="campaign_name" dataDxfId="483"/>
    <tableColumn id="4" xr3:uid="{AC282728-10E6-4FD3-B857-BE891D281167}" name="ad_group_id" dataDxfId="482"/>
    <tableColumn id="5" xr3:uid="{CB7DFCFC-3A3E-4875-B9EC-6A6C7964DF47}" name="ad_group_name" dataDxfId="481"/>
    <tableColumn id="6" xr3:uid="{5BFAB27C-D820-4CAD-8014-B178AB867564}" name="impressions" dataDxfId="480">
      <calculatedColumnFormula>ROUND(_Google_ads[[#This Row],[impressions]]*RANDBETWEEN(8,12)/10,0)</calculatedColumnFormula>
    </tableColumn>
    <tableColumn id="7" xr3:uid="{BA8B2458-4AEB-4DFE-B42C-E36BF53A0E5D}" name="clicks" dataDxfId="479">
      <calculatedColumnFormula>ROUND(_Google_ads[[#This Row],[clicks]]*RANDBETWEEN(8,12)/10,0)</calculatedColumnFormula>
    </tableColumn>
    <tableColumn id="8" xr3:uid="{F447D9D7-8A81-4E15-B3CF-E14CCD40B423}" name="cost" dataDxfId="478">
      <calculatedColumnFormula>_Google_ads[[#This Row],[cost]]*RANDBETWEEN(8,12)/10</calculatedColumnFormula>
    </tableColumn>
    <tableColumn id="9" xr3:uid="{DE34599B-06FC-43C6-B720-98AE38CB5DC4}" name="conversions" dataDxfId="477">
      <calculatedColumnFormula>ROUND(_Google_ads[[#This Row],[conversions]]*RANDBETWEEN(8,12)/10,0)</calculatedColumnFormula>
    </tableColumn>
    <tableColumn id="10" xr3:uid="{A83E751F-13D0-491D-B00C-266EFB110C90}" name="conversion_value" dataDxfId="476">
      <calculatedColumnFormula>ROUND(_Google_ads[[#This Row],[conversion_value]]*RANDBETWEEN(8,12)/10,0)</calculatedColumnFormula>
    </tableColumn>
    <tableColumn id="11" xr3:uid="{4282FE21-896B-4F97-8736-D49AC779EA12}" name="ctr" dataDxfId="475">
      <calculatedColumnFormula>_Google_ads[[#This Row],[ctr]]*RANDBETWEEN(8,12)/10</calculatedColumnFormula>
    </tableColumn>
    <tableColumn id="12" xr3:uid="{571A35B4-7F0E-42BF-A930-29E901A74CA8}" name="avg_cpc" dataDxfId="474">
      <calculatedColumnFormula>_Google_ads[[#This Row],[avg_cpc]]*RANDBETWEEN(8,12)/10</calculatedColumnFormula>
    </tableColumn>
    <tableColumn id="13" xr3:uid="{399E30E2-C463-4E1A-A905-41539F73B806}" name="quality_score" dataDxfId="473">
      <calculatedColumnFormula>ROUND(_Google_ads[[#This Row],[quality_score]]*RANDBETWEEN(8,12)/10,0)</calculatedColumnFormula>
    </tableColumn>
    <tableColumn id="14" xr3:uid="{BBE8CB75-6EED-4F39-99BE-D4314EE48C14}" name="search_impression_share" dataDxfId="472">
      <calculatedColumnFormula>_Google_ads[[#This Row],[search_impression_share]]*RANDBETWEEN(8,12)/10</calculatedColumnFormula>
    </tableColumn>
  </tableColumns>
  <tableStyleInfo name="TableStyleMedium1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0A7D5FB7-1F31-49E1-8DD2-C6857301DE22}" name="T_Tiktok_ads13616569" displayName="T_Tiktok_ads13616569" ref="AD1:AT111" totalsRowShown="0" headerRowDxfId="471" dataDxfId="470" tableBorderDxfId="469">
  <autoFilter ref="AD1:AT111" xr:uid="{D6B8D61E-53FD-4052-B77C-92D1F05D8D73}"/>
  <tableColumns count="17">
    <tableColumn id="1" xr3:uid="{646C5F4E-2AC2-4576-BAB0-243577C11444}" name="date" dataDxfId="468">
      <calculatedColumnFormula>DATE(2023,4,RANDBETWEEN(1,30))</calculatedColumnFormula>
    </tableColumn>
    <tableColumn id="2" xr3:uid="{AC87A838-E941-4CB7-9D77-A3BB12E291B9}" name="campaign_id" dataDxfId="467"/>
    <tableColumn id="3" xr3:uid="{1DB20F90-4AB4-46FC-A0F8-E21E4E079841}" name="campaign_name" dataDxfId="466"/>
    <tableColumn id="4" xr3:uid="{F6B31B35-E718-4A80-8E69-70AD907A6CCB}" name="adgroup_id" dataDxfId="465"/>
    <tableColumn id="5" xr3:uid="{C20AEF2F-ABED-4643-8498-DE9184972E95}" name="adgroup_name" dataDxfId="464"/>
    <tableColumn id="6" xr3:uid="{795EAB37-A851-460F-9158-39C906763C4D}" name="impressions" dataDxfId="463">
      <calculatedColumnFormula>ROUND(T_Tiktok_ads[[#This Row],[impressions]]*RANDBETWEEN(8,12)/10,0)</calculatedColumnFormula>
    </tableColumn>
    <tableColumn id="7" xr3:uid="{176669EF-3B88-4609-B1D6-539C76CB7F27}" name="clicks" dataDxfId="462">
      <calculatedColumnFormula>ROUND(T_Tiktok_ads[[#This Row],[clicks]]*RANDBETWEEN(8,12)/10,0)</calculatedColumnFormula>
    </tableColumn>
    <tableColumn id="8" xr3:uid="{8801A665-41BE-4FD0-9FCF-47C1AA600B61}" name="cost" dataDxfId="461"/>
    <tableColumn id="9" xr3:uid="{7D51A8B1-DA61-4DEF-9DB8-3756E53ED6F8}" name="conversions" dataDxfId="460">
      <calculatedColumnFormula>ROUND(T_Tiktok_ads[[#This Row],[conversions]]*RANDBETWEEN(8,12)/10,0)</calculatedColumnFormula>
    </tableColumn>
    <tableColumn id="10" xr3:uid="{6DBE0A59-8E65-43C4-B602-E39EF9F37D1F}" name="video_views" dataDxfId="459">
      <calculatedColumnFormula>ROUND(T_Tiktok_ads[[#This Row],[video_views]]*RANDBETWEEN(8,12)/10,0)</calculatedColumnFormula>
    </tableColumn>
    <tableColumn id="11" xr3:uid="{4FE82D65-0831-43BE-A75C-5D712F17549D}" name="video_watch_25" dataDxfId="458">
      <calculatedColumnFormula>ROUND(T_Tiktok_ads[[#This Row],[video_watch_25]]*RANDBETWEEN(8,12)/10,0)</calculatedColumnFormula>
    </tableColumn>
    <tableColumn id="12" xr3:uid="{0CF03CB3-50B9-4956-9F90-A442C83C898C}" name="video_watch_50" dataDxfId="457">
      <calculatedColumnFormula>ROUND(T_Tiktok_ads[[#This Row],[video_watch_50]]*RANDBETWEEN(8,12)/10,0)</calculatedColumnFormula>
    </tableColumn>
    <tableColumn id="13" xr3:uid="{B4CE792D-3696-4B69-9556-D98B90EAE343}" name="video_watch_75" dataDxfId="456">
      <calculatedColumnFormula>ROUND(T_Tiktok_ads[[#This Row],[video_watch_75]]*RANDBETWEEN(8,12)/10,0)</calculatedColumnFormula>
    </tableColumn>
    <tableColumn id="14" xr3:uid="{CF356C7C-C34E-4FA9-BAFD-B0C16767D7CD}" name="video_watch_100" dataDxfId="455">
      <calculatedColumnFormula>ROUND(T_Tiktok_ads[[#This Row],[video_watch_100]]*RANDBETWEEN(8,12)/10,0)</calculatedColumnFormula>
    </tableColumn>
    <tableColumn id="15" xr3:uid="{B0A99C17-6AF7-4C18-A6CE-D70A9E42CAC4}" name="likes" dataDxfId="454">
      <calculatedColumnFormula>ROUND(T_Tiktok_ads[[#This Row],[likes]]*RANDBETWEEN(8,12)/10,0)</calculatedColumnFormula>
    </tableColumn>
    <tableColumn id="16" xr3:uid="{C9A28310-D871-4F5D-9E31-2140CE8F8710}" name="shares" dataDxfId="453">
      <calculatedColumnFormula>ROUND(T_Tiktok_ads[[#This Row],[shares]]*RANDBETWEEN(8,12)/10,0)</calculatedColumnFormula>
    </tableColumn>
    <tableColumn id="17" xr3:uid="{90D8DB0A-8B1E-4CA0-90AA-C4BFB16B159E}" name="comments" dataDxfId="452">
      <calculatedColumnFormula>ROUND(T_Tiktok_ads[[#This Row],[comments]]*RANDBETWEEN(8,12)/10,0)</calculatedColumnFormula>
    </tableColumn>
  </tableColumns>
  <tableStyleInfo name="TableStyleMedium8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B505BE88-FE61-46DC-A1CA-C1021736F3B5}" name="T_Other_Campaigns14626670" displayName="T_Other_Campaigns14626670" ref="AV1:BB111" totalsRowShown="0">
  <autoFilter ref="AV1:BB111" xr:uid="{73059325-26A5-411A-8C53-4F181AE56BDF}"/>
  <tableColumns count="7">
    <tableColumn id="1" xr3:uid="{904D5D91-2F37-4909-ADE0-C58F53576D7B}" name="date" dataDxfId="451">
      <calculatedColumnFormula>DATE(2023,4,RANDBETWEEN(1,30))</calculatedColumnFormula>
    </tableColumn>
    <tableColumn id="2" xr3:uid="{76F6DF85-4C9F-40C1-B7F8-3C98EE04B66E}" name="campaign_id">
      <calculatedColumnFormula>RANDBETWEEN(1,8)</calculatedColumnFormula>
    </tableColumn>
    <tableColumn id="3" xr3:uid="{E2901ED8-2282-47F7-9D3C-72079EE44248}" name="impressions" dataDxfId="450">
      <calculatedColumnFormula>ROUND(T_Facebook_Ads11596367[[#This Row],[impressions]]*RANDBETWEEN(8,12)/10,0)</calculatedColumnFormula>
    </tableColumn>
    <tableColumn id="4" xr3:uid="{A39473BA-E11B-435C-AAEE-120B8EDCB801}" name="clicks" dataDxfId="449">
      <calculatedColumnFormula>ROUND(T_Facebook_Ads11596367[[#This Row],[clicks]]*RANDBETWEEN(8,12)/10,0)</calculatedColumnFormula>
    </tableColumn>
    <tableColumn id="5" xr3:uid="{9468CAAA-066A-43BF-AE0B-2F10267B5FEB}" name="spend">
      <calculatedColumnFormula>T_Facebook_Ads11596367[[#This Row],[spend]]*RANDBETWEEN(8,12)/10</calculatedColumnFormula>
    </tableColumn>
    <tableColumn id="6" xr3:uid="{4E53F8A3-E7F5-4A82-8FC6-9C8D6C7CAC59}" name="conversions">
      <calculatedColumnFormula>ROUND(T_Facebook_Ads11596367[[#This Row],[conversions]]*RANDBETWEEN(8,12)/10,0)</calculatedColumnFormula>
    </tableColumn>
    <tableColumn id="7" xr3:uid="{BC55DC6A-CA5D-46B2-A1E6-6B63ED1E794E}" name="video_views">
      <calculatedColumnFormula>ROUND(T_Facebook_Ads11596367[[#This Row],[video_views]]*RANDBETWEEN(8,12)/10,0)</calculatedColumnFormula>
    </tableColumn>
  </tableColumns>
  <tableStyleInfo name="TableStyleMedium1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593BB2EE-0220-4095-830C-FA2EF2605D78}" name="T_Facebook_Ads1159636771" displayName="T_Facebook_Ads1159636771" ref="A1:M111" totalsRowShown="0" headerRowDxfId="448" dataDxfId="447" tableBorderDxfId="446">
  <autoFilter ref="A1:M111" xr:uid="{AD5A7780-FADE-4A83-84B7-71E8542889EC}"/>
  <tableColumns count="13">
    <tableColumn id="1" xr3:uid="{097CADE2-1131-46BC-8E4C-16619F69B38E}" name="date" dataDxfId="445">
      <calculatedColumnFormula>DATE(2023,5,RANDBETWEEN(1,31))</calculatedColumnFormula>
    </tableColumn>
    <tableColumn id="2" xr3:uid="{7798A006-2F59-43B3-8667-C57CFC29F648}" name="campaign_id" dataDxfId="444"/>
    <tableColumn id="3" xr3:uid="{9775CF6D-26E7-4BA9-A2D9-E20C90AF86FE}" name="campaign_name" dataDxfId="443"/>
    <tableColumn id="4" xr3:uid="{8706116F-B56C-417C-86BC-5571EC797EB1}" name="ad_set_id" dataDxfId="442"/>
    <tableColumn id="5" xr3:uid="{B4D8E2F4-3C7F-4C1C-9230-AF177CCCFEBD}" name="ad_set_name" dataDxfId="441"/>
    <tableColumn id="6" xr3:uid="{A044AA29-24D3-4E94-97C4-36414E3EEEBF}" name="impressions" dataDxfId="440">
      <calculatedColumnFormula>ROUND(T_Facebook_Ads[[#This Row],[impressions]]*RANDBETWEEN(8,12)/10,0)</calculatedColumnFormula>
    </tableColumn>
    <tableColumn id="7" xr3:uid="{31D8B6D0-48F2-4FE4-A586-06AE11D3B09B}" name="clicks" dataDxfId="439"/>
    <tableColumn id="8" xr3:uid="{B6507A9D-C724-4E70-92BA-BA3F9389A95C}" name="spend" dataDxfId="438">
      <calculatedColumnFormula>T_Facebook_Ads[[#This Row],[spend]]*RANDBETWEEN(8,12)/10</calculatedColumnFormula>
    </tableColumn>
    <tableColumn id="9" xr3:uid="{4011D803-63FE-4F43-8907-E0053AD41C41}" name="conversions" dataDxfId="437">
      <calculatedColumnFormula>ROUND(T_Facebook_Ads[[#This Row],[conversions]]*RANDBETWEEN(8,12)/10,0)</calculatedColumnFormula>
    </tableColumn>
    <tableColumn id="10" xr3:uid="{974EAEAF-5E7E-4A19-8B5B-25F859BDB101}" name="video_views" dataDxfId="436">
      <calculatedColumnFormula>ROUND(T_Facebook_Ads[[#This Row],[video_views]]*RANDBETWEEN(8,12)/10,0)</calculatedColumnFormula>
    </tableColumn>
    <tableColumn id="11" xr3:uid="{9B84ACFE-986E-4BF4-AC46-037BB17262F7}" name="engagement_rate" dataDxfId="435">
      <calculatedColumnFormula>T_Facebook_Ads[[#This Row],[engagement_rate]]*RANDBETWEEN(8,12)/10</calculatedColumnFormula>
    </tableColumn>
    <tableColumn id="12" xr3:uid="{30E86114-870A-47DC-90F3-1AE8E63A48F6}" name="reach" dataDxfId="434">
      <calculatedColumnFormula>ROUND(T_Facebook_Ads[[#This Row],[reach]]*RANDBETWEEN(8,12)/10,0)</calculatedColumnFormula>
    </tableColumn>
    <tableColumn id="13" xr3:uid="{F287D23F-451D-435C-BEA4-62824989FB32}" name="frequency" dataDxfId="433">
      <calculatedColumnFormula>T_Facebook_Ads[[#This Row],[frequency]]*RANDBETWEEN(8,12)/10</calculatedColumnFormula>
    </tableColumn>
  </tableColumns>
  <tableStyleInfo name="TableStyleMedium8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D62DD635-64E6-49E7-A186-950FEBE3ADEE}" name="_Google_ads1260646872" displayName="_Google_ads1260646872" ref="O1:AB111" totalsRowShown="0" headerRowDxfId="432" dataDxfId="431" tableBorderDxfId="430">
  <autoFilter ref="O1:AB111" xr:uid="{B7D4B46A-853B-4EEA-97CD-AC4A9B0C50BA}"/>
  <tableColumns count="14">
    <tableColumn id="1" xr3:uid="{CB543543-10A4-43FC-A178-478EAAF25309}" name="date" dataDxfId="429">
      <calculatedColumnFormula>DATE(2023,5,RANDBETWEEN(1,31))</calculatedColumnFormula>
    </tableColumn>
    <tableColumn id="2" xr3:uid="{FB7336A5-A889-4984-BAA5-43B4AECF89E1}" name="campaign_id" dataDxfId="428"/>
    <tableColumn id="3" xr3:uid="{DF67EA72-2EC9-44DF-93ED-CBD52A74793F}" name="campaign_name" dataDxfId="427"/>
    <tableColumn id="4" xr3:uid="{332E37C5-AFCB-4AAB-92C2-6FA12AF59C86}" name="ad_group_id" dataDxfId="426"/>
    <tableColumn id="5" xr3:uid="{D9E3EFC6-69F3-440F-BEAD-E192DEA3FAE7}" name="ad_group_name" dataDxfId="425"/>
    <tableColumn id="6" xr3:uid="{318B1D5B-79BD-4E22-81A0-60B84B3AFB36}" name="impressions" dataDxfId="424">
      <calculatedColumnFormula>ROUND(_Google_ads[[#This Row],[impressions]]*RANDBETWEEN(8,12)/10,0)</calculatedColumnFormula>
    </tableColumn>
    <tableColumn id="7" xr3:uid="{7992F409-5DCC-47BF-90BC-DC7BC480A2DB}" name="clicks" dataDxfId="423">
      <calculatedColumnFormula>ROUND(_Google_ads[[#This Row],[clicks]]*RANDBETWEEN(8,12)/10,0)</calculatedColumnFormula>
    </tableColumn>
    <tableColumn id="8" xr3:uid="{BD03C8BC-6360-43A5-BA3F-16803A38514E}" name="cost" dataDxfId="422">
      <calculatedColumnFormula>_Google_ads[[#This Row],[cost]]*RANDBETWEEN(8,12)/10</calculatedColumnFormula>
    </tableColumn>
    <tableColumn id="9" xr3:uid="{89439526-C8FB-4199-9C47-E1848462C04B}" name="conversions" dataDxfId="421">
      <calculatedColumnFormula>ROUND(_Google_ads[[#This Row],[conversions]]*RANDBETWEEN(8,12)/10,0)</calculatedColumnFormula>
    </tableColumn>
    <tableColumn id="10" xr3:uid="{8B9866C7-8DE0-49AD-A7B1-6E771555BB60}" name="conversion_value" dataDxfId="420">
      <calculatedColumnFormula>ROUND(_Google_ads[[#This Row],[conversion_value]]*RANDBETWEEN(8,12)/10,0)</calculatedColumnFormula>
    </tableColumn>
    <tableColumn id="11" xr3:uid="{C5608D4E-631C-42B3-B4D4-21CEA8FE10D7}" name="ctr" dataDxfId="419">
      <calculatedColumnFormula>_Google_ads[[#This Row],[ctr]]*RANDBETWEEN(8,12)/10</calculatedColumnFormula>
    </tableColumn>
    <tableColumn id="12" xr3:uid="{4A8A8863-6FA0-49A6-982A-C646D1DCD1A8}" name="avg_cpc" dataDxfId="418">
      <calculatedColumnFormula>_Google_ads[[#This Row],[avg_cpc]]*RANDBETWEEN(8,12)/10</calculatedColumnFormula>
    </tableColumn>
    <tableColumn id="13" xr3:uid="{549E2115-476A-47E7-8BFE-3552FB028BD2}" name="quality_score" dataDxfId="417">
      <calculatedColumnFormula>ROUND(_Google_ads[[#This Row],[quality_score]]*RANDBETWEEN(8,12)/10,0)</calculatedColumnFormula>
    </tableColumn>
    <tableColumn id="14" xr3:uid="{FD1476A8-705B-465C-9A93-192854C6803E}" name="search_impression_share" dataDxfId="416">
      <calculatedColumnFormula>_Google_ads[[#This Row],[search_impression_share]]*RANDBETWEEN(8,12)/10</calculatedColumnFormula>
    </tableColumn>
  </tableColumns>
  <tableStyleInfo name="TableStyleMedium1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A2D013E1-4F29-4D6C-B9FC-7C48B5584A6D}" name="T_Tiktok_ads1361656973" displayName="T_Tiktok_ads1361656973" ref="AD1:AT111" totalsRowShown="0" headerRowDxfId="415" dataDxfId="414" tableBorderDxfId="413">
  <autoFilter ref="AD1:AT111" xr:uid="{D6B8D61E-53FD-4052-B77C-92D1F05D8D73}"/>
  <tableColumns count="17">
    <tableColumn id="1" xr3:uid="{6C826203-ED62-4BAD-9B09-721C46C04C13}" name="date" dataDxfId="412">
      <calculatedColumnFormula>DATE(2023,5,RANDBETWEEN(1,31))</calculatedColumnFormula>
    </tableColumn>
    <tableColumn id="2" xr3:uid="{7D4288BA-570B-47AC-8FB1-B0D89A85E524}" name="campaign_id" dataDxfId="411"/>
    <tableColumn id="3" xr3:uid="{9DF1C6F6-3912-4A13-AAB2-3DB019F365BB}" name="campaign_name" dataDxfId="410"/>
    <tableColumn id="4" xr3:uid="{8FC38C94-8CDF-4C2B-9531-C86E8E701FB1}" name="adgroup_id" dataDxfId="409"/>
    <tableColumn id="5" xr3:uid="{C16C6E09-F04D-4B2C-8EE6-E64FEAB2630B}" name="adgroup_name" dataDxfId="408"/>
    <tableColumn id="6" xr3:uid="{9F280162-C7A9-4BB5-A9AC-DEAD37EBD951}" name="impressions" dataDxfId="407">
      <calculatedColumnFormula>ROUND(T_Tiktok_ads[[#This Row],[impressions]]*RANDBETWEEN(8,12)/10,0)</calculatedColumnFormula>
    </tableColumn>
    <tableColumn id="7" xr3:uid="{25833FB9-8646-49C1-AB0D-DD0110BEA606}" name="clicks" dataDxfId="406">
      <calculatedColumnFormula>ROUND(T_Tiktok_ads[[#This Row],[clicks]]*RANDBETWEEN(8,12)/10,0)</calculatedColumnFormula>
    </tableColumn>
    <tableColumn id="8" xr3:uid="{F8FDAB7B-661B-4462-9222-8BCB5F686226}" name="cost" dataDxfId="405"/>
    <tableColumn id="9" xr3:uid="{C198884C-5758-4E81-A65A-681A1ACFF371}" name="conversions" dataDxfId="404">
      <calculatedColumnFormula>ROUND(T_Tiktok_ads[[#This Row],[conversions]]*RANDBETWEEN(8,12)/10,0)</calculatedColumnFormula>
    </tableColumn>
    <tableColumn id="10" xr3:uid="{F489F6CC-0FB1-4133-A0DB-6C0AD18FF6DC}" name="video_views" dataDxfId="403">
      <calculatedColumnFormula>ROUND(T_Tiktok_ads[[#This Row],[video_views]]*RANDBETWEEN(8,12)/10,0)</calculatedColumnFormula>
    </tableColumn>
    <tableColumn id="11" xr3:uid="{8836C0BC-976C-4260-AD57-108500CFBC87}" name="video_watch_25" dataDxfId="402">
      <calculatedColumnFormula>ROUND(T_Tiktok_ads[[#This Row],[video_watch_25]]*RANDBETWEEN(8,12)/10,0)</calculatedColumnFormula>
    </tableColumn>
    <tableColumn id="12" xr3:uid="{1506A2B5-CB47-4F73-B773-DFF9A877E533}" name="video_watch_50" dataDxfId="401">
      <calculatedColumnFormula>ROUND(T_Tiktok_ads[[#This Row],[video_watch_50]]*RANDBETWEEN(8,12)/10,0)</calculatedColumnFormula>
    </tableColumn>
    <tableColumn id="13" xr3:uid="{CFA3449E-22CC-46E4-A8D0-6B0357B63F45}" name="video_watch_75" dataDxfId="400">
      <calculatedColumnFormula>ROUND(T_Tiktok_ads[[#This Row],[video_watch_75]]*RANDBETWEEN(8,12)/10,0)</calculatedColumnFormula>
    </tableColumn>
    <tableColumn id="14" xr3:uid="{08165A93-01EA-4DDC-AC6D-DF6F034EBF41}" name="video_watch_100" dataDxfId="399">
      <calculatedColumnFormula>ROUND(T_Tiktok_ads[[#This Row],[video_watch_100]]*RANDBETWEEN(8,12)/10,0)</calculatedColumnFormula>
    </tableColumn>
    <tableColumn id="15" xr3:uid="{828E54BC-F599-4220-9957-8B8AF056E148}" name="likes" dataDxfId="398">
      <calculatedColumnFormula>ROUND(T_Tiktok_ads[[#This Row],[likes]]*RANDBETWEEN(8,12)/10,0)</calculatedColumnFormula>
    </tableColumn>
    <tableColumn id="16" xr3:uid="{BF37A3BA-A54A-4617-BF29-BD9DFEA682FA}" name="shares" dataDxfId="397">
      <calculatedColumnFormula>ROUND(T_Tiktok_ads[[#This Row],[shares]]*RANDBETWEEN(8,12)/10,0)</calculatedColumnFormula>
    </tableColumn>
    <tableColumn id="17" xr3:uid="{BCBAC5BA-DA53-40AC-8BB4-E2D5E24A3C35}" name="comments" dataDxfId="396">
      <calculatedColumnFormula>ROUND(T_Tiktok_ads[[#This Row],[comments]]*RANDBETWEEN(8,12)/10,0)</calculatedColumnFormula>
    </tableColumn>
  </tableColumns>
  <tableStyleInfo name="TableStyleMedium8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D3A1D458-24DF-4AD8-B767-64416D1B5EB6}" name="T_Other_Campaigns1462667074" displayName="T_Other_Campaigns1462667074" ref="AV1:BB111" totalsRowShown="0">
  <autoFilter ref="AV1:BB111" xr:uid="{73059325-26A5-411A-8C53-4F181AE56BDF}"/>
  <tableColumns count="7">
    <tableColumn id="1" xr3:uid="{7ADFFC71-6849-4C7E-A3BE-2C5E510EB751}" name="date" dataDxfId="395">
      <calculatedColumnFormula>DATE(2023,5,RANDBETWEEN(1,31))</calculatedColumnFormula>
    </tableColumn>
    <tableColumn id="2" xr3:uid="{C794C538-9E37-4E45-BC58-15941C62C374}" name="campaign_id">
      <calculatedColumnFormula>RANDBETWEEN(1,8)</calculatedColumnFormula>
    </tableColumn>
    <tableColumn id="3" xr3:uid="{98CC1704-7B9E-40C5-B447-D7D6E5378F8F}" name="impressions" dataDxfId="394">
      <calculatedColumnFormula>ROUND(T_Facebook_Ads1159636771[[#This Row],[impressions]]*RANDBETWEEN(8,12)/10,0)</calculatedColumnFormula>
    </tableColumn>
    <tableColumn id="4" xr3:uid="{8BD7BE0F-2A8A-462E-8A9C-E3CED0CD5E87}" name="clicks" dataDxfId="393">
      <calculatedColumnFormula>ROUND(T_Facebook_Ads1159636771[[#This Row],[clicks]]*RANDBETWEEN(8,12)/10,0)</calculatedColumnFormula>
    </tableColumn>
    <tableColumn id="5" xr3:uid="{F18B04C6-3492-42F1-B4E9-13D06B39ACF5}" name="spend">
      <calculatedColumnFormula>T_Facebook_Ads1159636771[[#This Row],[spend]]*RANDBETWEEN(8,12)/10</calculatedColumnFormula>
    </tableColumn>
    <tableColumn id="6" xr3:uid="{36C4118D-8D89-4257-B22C-D00E28533DAD}" name="conversions">
      <calculatedColumnFormula>ROUND(T_Facebook_Ads1159636771[[#This Row],[conversions]]*RANDBETWEEN(8,12)/10,0)</calculatedColumnFormula>
    </tableColumn>
    <tableColumn id="7" xr3:uid="{0CD64F09-5094-4568-8DD5-C4B23641FE82}" name="video_views">
      <calculatedColumnFormula>ROUND(T_Facebook_Ads1159636771[[#This Row],[video_views]]*RANDBETWEEN(8,12)/10,0)</calculatedColumnFormula>
    </tableColumn>
  </tableColumns>
  <tableStyleInfo name="TableStyleMedium1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C7133A03-5119-4EDE-A6B3-324CD4CB91BD}" name="T_Facebook_Ads115963677175" displayName="T_Facebook_Ads115963677175" ref="A1:M111" totalsRowShown="0" headerRowDxfId="392" dataDxfId="391" tableBorderDxfId="390">
  <autoFilter ref="A1:M111" xr:uid="{AD5A7780-FADE-4A83-84B7-71E8542889EC}"/>
  <tableColumns count="13">
    <tableColumn id="1" xr3:uid="{CB3F5DE1-84F5-4B90-8BC6-64C797BB7F33}" name="date" dataDxfId="389">
      <calculatedColumnFormula>DATE(2023,6,RANDBETWEEN(1,30))</calculatedColumnFormula>
    </tableColumn>
    <tableColumn id="2" xr3:uid="{6925B5EE-9E64-42FA-8EC0-183F6432C9AF}" name="campaign_id" dataDxfId="388"/>
    <tableColumn id="3" xr3:uid="{753C8587-3A87-49AB-834C-B5BE952023AB}" name="campaign_name" dataDxfId="387"/>
    <tableColumn id="4" xr3:uid="{F588A9C5-0C5E-4A27-842D-FE68EB6F5942}" name="ad_set_id" dataDxfId="386"/>
    <tableColumn id="5" xr3:uid="{32843710-9A58-4E72-BFF0-A3510514CADA}" name="ad_set_name" dataDxfId="385"/>
    <tableColumn id="6" xr3:uid="{37ABE9A3-EB50-41AA-BED0-0478FB6E7748}" name="impressions" dataDxfId="384">
      <calculatedColumnFormula>ROUND(T_Facebook_Ads[[#This Row],[impressions]]*RANDBETWEEN(8,12)/10,0)</calculatedColumnFormula>
    </tableColumn>
    <tableColumn id="7" xr3:uid="{C54415ED-9A59-4931-ABAA-91605EC0DAAC}" name="clicks" dataDxfId="383"/>
    <tableColumn id="8" xr3:uid="{536E64C1-0CBC-4634-80F1-D7DA59F33079}" name="spend" dataDxfId="382">
      <calculatedColumnFormula>T_Facebook_Ads[[#This Row],[spend]]*RANDBETWEEN(8,12)/10</calculatedColumnFormula>
    </tableColumn>
    <tableColumn id="9" xr3:uid="{2704FCFE-0F03-47F3-84DA-5D20036E3909}" name="conversions" dataDxfId="381">
      <calculatedColumnFormula>ROUND(T_Facebook_Ads[[#This Row],[conversions]]*RANDBETWEEN(8,12)/10,0)</calculatedColumnFormula>
    </tableColumn>
    <tableColumn id="10" xr3:uid="{F1029D5C-E0BD-475A-B453-266AD6BE13A3}" name="video_views" dataDxfId="380">
      <calculatedColumnFormula>ROUND(T_Facebook_Ads[[#This Row],[video_views]]*RANDBETWEEN(8,12)/10,0)</calculatedColumnFormula>
    </tableColumn>
    <tableColumn id="11" xr3:uid="{7570CDB8-DEFC-40F8-8312-5844DC12717D}" name="engagement_rate" dataDxfId="379">
      <calculatedColumnFormula>T_Facebook_Ads[[#This Row],[engagement_rate]]*RANDBETWEEN(8,12)/10</calculatedColumnFormula>
    </tableColumn>
    <tableColumn id="12" xr3:uid="{F167BB87-F7D9-4EF0-8468-B5FBBF15AB94}" name="reach" dataDxfId="378">
      <calculatedColumnFormula>ROUND(T_Facebook_Ads[[#This Row],[reach]]*RANDBETWEEN(8,12)/10,0)</calculatedColumnFormula>
    </tableColumn>
    <tableColumn id="13" xr3:uid="{5F7475BB-478C-4755-8576-B5A2384CC7AA}" name="frequency" dataDxfId="377">
      <calculatedColumnFormula>T_Facebook_Ads[[#This Row],[frequency]]*RANDBETWEEN(8,12)/10</calculatedColumnFormula>
    </tableColumn>
  </tableColumns>
  <tableStyleInfo name="TableStyleMedium8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4477944D-8FB7-4F42-A803-5B60013B65D9}" name="_Google_ads126064687276" displayName="_Google_ads126064687276" ref="O1:AB111" totalsRowShown="0" headerRowDxfId="376" dataDxfId="375" tableBorderDxfId="374">
  <autoFilter ref="O1:AB111" xr:uid="{B7D4B46A-853B-4EEA-97CD-AC4A9B0C50BA}"/>
  <tableColumns count="14">
    <tableColumn id="1" xr3:uid="{0048CAD9-A398-4515-B2E2-E37B2FC79922}" name="date" dataDxfId="373">
      <calculatedColumnFormula>DATE(2023,6,RANDBETWEEN(1,30))</calculatedColumnFormula>
    </tableColumn>
    <tableColumn id="2" xr3:uid="{BF70F668-9566-4A45-8A9D-5FAA55C3688C}" name="campaign_id" dataDxfId="372"/>
    <tableColumn id="3" xr3:uid="{E7F4FC3C-C2C9-4C60-A964-6C453B8F0513}" name="campaign_name" dataDxfId="371"/>
    <tableColumn id="4" xr3:uid="{99443DC8-D19E-4DF0-A380-DCCE88896B28}" name="ad_group_id" dataDxfId="370"/>
    <tableColumn id="5" xr3:uid="{044EBE7B-3A01-4F6B-BCEC-60CFC59C2E49}" name="ad_group_name" dataDxfId="369"/>
    <tableColumn id="6" xr3:uid="{E7309C80-5DDC-4E39-A4E7-61EE1D4E5B8D}" name="impressions" dataDxfId="368">
      <calculatedColumnFormula>ROUND(_Google_ads[[#This Row],[impressions]]*RANDBETWEEN(8,12)/10,0)</calculatedColumnFormula>
    </tableColumn>
    <tableColumn id="7" xr3:uid="{C6DAF7D4-18EE-459B-A514-676C0DEC5C5B}" name="clicks" dataDxfId="367">
      <calculatedColumnFormula>ROUND(_Google_ads[[#This Row],[clicks]]*RANDBETWEEN(8,12)/10,0)</calculatedColumnFormula>
    </tableColumn>
    <tableColumn id="8" xr3:uid="{68EF7BA3-65D2-4617-995C-13B83BC475CE}" name="cost" dataDxfId="366">
      <calculatedColumnFormula>_Google_ads[[#This Row],[cost]]*RANDBETWEEN(8,12)/10</calculatedColumnFormula>
    </tableColumn>
    <tableColumn id="9" xr3:uid="{6DA13FF2-A2C1-4871-9594-5C34CEA84F04}" name="conversions" dataDxfId="365">
      <calculatedColumnFormula>ROUND(_Google_ads[[#This Row],[conversions]]*RANDBETWEEN(8,12)/10,0)</calculatedColumnFormula>
    </tableColumn>
    <tableColumn id="10" xr3:uid="{0914A8F2-044B-40BD-9A32-7D67CC2287C3}" name="conversion_value" dataDxfId="364">
      <calculatedColumnFormula>ROUND(_Google_ads[[#This Row],[conversion_value]]*RANDBETWEEN(8,12)/10,0)</calculatedColumnFormula>
    </tableColumn>
    <tableColumn id="11" xr3:uid="{FBDBAF07-8C00-4352-932C-842608E0F018}" name="ctr" dataDxfId="363">
      <calculatedColumnFormula>_Google_ads[[#This Row],[ctr]]*RANDBETWEEN(8,12)/10</calculatedColumnFormula>
    </tableColumn>
    <tableColumn id="12" xr3:uid="{1E8439CC-588D-40B4-99C5-650349074C8C}" name="avg_cpc" dataDxfId="362">
      <calculatedColumnFormula>_Google_ads[[#This Row],[avg_cpc]]*RANDBETWEEN(8,12)/10</calculatedColumnFormula>
    </tableColumn>
    <tableColumn id="13" xr3:uid="{00883C3D-0544-4E6F-841B-19CE3870B08A}" name="quality_score" dataDxfId="361">
      <calculatedColumnFormula>ROUND(_Google_ads[[#This Row],[quality_score]]*RANDBETWEEN(8,12)/10,0)</calculatedColumnFormula>
    </tableColumn>
    <tableColumn id="14" xr3:uid="{5E7F18E8-35D3-4A10-8898-FB8B3B83D5D7}" name="search_impression_share" dataDxfId="360">
      <calculatedColumnFormula>_Google_ads[[#This Row],[search_impression_share]]*RANDBETWEEN(8,12)/10</calculatedColumnFormula>
    </tableColumn>
  </tableColumns>
  <tableStyleInfo name="TableStyleMedium1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0AD572AA-5F2B-4BF1-8197-039452386707}" name="T_Tiktok_ads136165697377" displayName="T_Tiktok_ads136165697377" ref="AD1:AT111" totalsRowShown="0" headerRowDxfId="359" dataDxfId="358" tableBorderDxfId="357">
  <autoFilter ref="AD1:AT111" xr:uid="{D6B8D61E-53FD-4052-B77C-92D1F05D8D73}"/>
  <tableColumns count="17">
    <tableColumn id="1" xr3:uid="{774F36C4-93EC-482C-98A8-CB6F3278C558}" name="date" dataDxfId="356">
      <calculatedColumnFormula>DATE(2023,6,RANDBETWEEN(1,30))</calculatedColumnFormula>
    </tableColumn>
    <tableColumn id="2" xr3:uid="{5E849723-4D49-4E26-936E-CE7FA833C6A9}" name="campaign_id" dataDxfId="355"/>
    <tableColumn id="3" xr3:uid="{9D5C0FD7-0067-4F5B-8882-6635917F0F5F}" name="campaign_name" dataDxfId="354"/>
    <tableColumn id="4" xr3:uid="{F1645545-344B-4BD6-B78B-F8363C1AB7BD}" name="adgroup_id" dataDxfId="353"/>
    <tableColumn id="5" xr3:uid="{19112CA7-7A49-4052-8DB2-50B51B8F5840}" name="adgroup_name" dataDxfId="352"/>
    <tableColumn id="6" xr3:uid="{CD567BC9-CE83-4548-A22B-B87DCB8B0F33}" name="impressions" dataDxfId="351">
      <calculatedColumnFormula>ROUND(T_Tiktok_ads[[#This Row],[impressions]]*RANDBETWEEN(8,12)/10,0)</calculatedColumnFormula>
    </tableColumn>
    <tableColumn id="7" xr3:uid="{74A64A7D-913E-42D0-9983-7CD4DE0D4994}" name="clicks" dataDxfId="350">
      <calculatedColumnFormula>ROUND(T_Tiktok_ads[[#This Row],[clicks]]*RANDBETWEEN(8,12)/10,0)</calculatedColumnFormula>
    </tableColumn>
    <tableColumn id="8" xr3:uid="{67CFB19B-051A-4ADB-A2E9-9CED8C90310C}" name="cost" dataDxfId="349"/>
    <tableColumn id="9" xr3:uid="{50B4C2CD-3CEC-4E2B-A68A-45BEF93CC15F}" name="conversions" dataDxfId="348">
      <calculatedColumnFormula>ROUND(T_Tiktok_ads[[#This Row],[conversions]]*RANDBETWEEN(8,12)/10,0)</calculatedColumnFormula>
    </tableColumn>
    <tableColumn id="10" xr3:uid="{90C6DC98-8B1A-4FE7-88A8-2F27FFB0AA58}" name="video_views" dataDxfId="347">
      <calculatedColumnFormula>ROUND(T_Tiktok_ads[[#This Row],[video_views]]*RANDBETWEEN(8,12)/10,0)</calculatedColumnFormula>
    </tableColumn>
    <tableColumn id="11" xr3:uid="{03B3B4A0-5867-424F-A223-3E379E20FC76}" name="video_watch_25" dataDxfId="346">
      <calculatedColumnFormula>ROUND(T_Tiktok_ads[[#This Row],[video_watch_25]]*RANDBETWEEN(8,12)/10,0)</calculatedColumnFormula>
    </tableColumn>
    <tableColumn id="12" xr3:uid="{56407651-27F6-4803-8A2E-81C5BF68CC06}" name="video_watch_50" dataDxfId="345">
      <calculatedColumnFormula>ROUND(T_Tiktok_ads[[#This Row],[video_watch_50]]*RANDBETWEEN(8,12)/10,0)</calculatedColumnFormula>
    </tableColumn>
    <tableColumn id="13" xr3:uid="{1DB97F75-E950-4C21-A2DA-6EC0DECF27E1}" name="video_watch_75" dataDxfId="344">
      <calculatedColumnFormula>ROUND(T_Tiktok_ads[[#This Row],[video_watch_75]]*RANDBETWEEN(8,12)/10,0)</calculatedColumnFormula>
    </tableColumn>
    <tableColumn id="14" xr3:uid="{4C8B73F6-4A3E-420C-A8F3-AF027E1F479A}" name="video_watch_100" dataDxfId="343">
      <calculatedColumnFormula>ROUND(T_Tiktok_ads[[#This Row],[video_watch_100]]*RANDBETWEEN(8,12)/10,0)</calculatedColumnFormula>
    </tableColumn>
    <tableColumn id="15" xr3:uid="{1796EEE3-5191-453B-9C83-5B574EC08EF5}" name="likes" dataDxfId="342">
      <calculatedColumnFormula>ROUND(T_Tiktok_ads[[#This Row],[likes]]*RANDBETWEEN(8,12)/10,0)</calculatedColumnFormula>
    </tableColumn>
    <tableColumn id="16" xr3:uid="{2E4713B8-48A1-4F51-8D47-73445F7AD9E3}" name="shares" dataDxfId="341">
      <calculatedColumnFormula>ROUND(T_Tiktok_ads[[#This Row],[shares]]*RANDBETWEEN(8,12)/10,0)</calculatedColumnFormula>
    </tableColumn>
    <tableColumn id="17" xr3:uid="{1BF00AD4-B136-4113-B6A3-680FE5EF2794}" name="comments" dataDxfId="340">
      <calculatedColumnFormula>ROUND(T_Tiktok_ads[[#This Row],[comments]]*RANDBETWEEN(8,12)/10,0)</calculatedColumnFormula>
    </tableColumn>
  </tableColumns>
  <tableStyleInfo name="TableStyleMedium8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1843D738-6FF7-4FA1-AC72-A12A5030653E}" name="T_Other_Campaigns146266707478" displayName="T_Other_Campaigns146266707478" ref="AV1:BB111" totalsRowShown="0">
  <autoFilter ref="AV1:BB111" xr:uid="{73059325-26A5-411A-8C53-4F181AE56BDF}"/>
  <tableColumns count="7">
    <tableColumn id="1" xr3:uid="{12C45472-D585-4610-B8A6-BCBFBA69E07D}" name="date" dataDxfId="339">
      <calculatedColumnFormula>DATE(2023,6,RANDBETWEEN(1,30))</calculatedColumnFormula>
    </tableColumn>
    <tableColumn id="2" xr3:uid="{C353FB73-6FE4-4A48-A68B-D3D1391C2C71}" name="campaign_id">
      <calculatedColumnFormula>RANDBETWEEN(1,8)</calculatedColumnFormula>
    </tableColumn>
    <tableColumn id="3" xr3:uid="{4FA7E4C3-E397-44F4-8E90-642F4A18D1B0}" name="impressions" dataDxfId="338">
      <calculatedColumnFormula>ROUND(T_Facebook_Ads115963677175[[#This Row],[impressions]]*RANDBETWEEN(8,12)/10,0)</calculatedColumnFormula>
    </tableColumn>
    <tableColumn id="4" xr3:uid="{5FE19C52-A36F-4991-BBA7-33534D5B5397}" name="clicks" dataDxfId="337">
      <calculatedColumnFormula>ROUND(T_Facebook_Ads115963677175[[#This Row],[clicks]]*RANDBETWEEN(8,12)/10,0)</calculatedColumnFormula>
    </tableColumn>
    <tableColumn id="5" xr3:uid="{3912F79D-D24B-49B8-90AE-01BB62307AA2}" name="spend">
      <calculatedColumnFormula>T_Facebook_Ads115963677175[[#This Row],[spend]]*RANDBETWEEN(8,12)/10</calculatedColumnFormula>
    </tableColumn>
    <tableColumn id="6" xr3:uid="{9EBB354E-076B-413B-BF29-9764E827ED17}" name="conversions">
      <calculatedColumnFormula>ROUND(T_Facebook_Ads115963677175[[#This Row],[conversions]]*RANDBETWEEN(8,12)/10,0)</calculatedColumnFormula>
    </tableColumn>
    <tableColumn id="7" xr3:uid="{8A2FDB5F-621F-45C5-AAA6-5E3CF4A3A4E3}" name="video_views">
      <calculatedColumnFormula>ROUND(T_Facebook_Ads115963677175[[#This Row],[video_views]]*RANDBETWEEN(8,12)/10,0)</calculatedColumnFormula>
    </tableColumn>
  </tableColumns>
  <tableStyleInfo name="TableStyleMedium1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B1217EE9-4212-438B-BEBE-FFAEA4CD4DF5}" name="T_Facebook_Ads11596367717579" displayName="T_Facebook_Ads11596367717579" ref="A1:M111" totalsRowShown="0" headerRowDxfId="336" dataDxfId="335" tableBorderDxfId="334">
  <autoFilter ref="A1:M111" xr:uid="{AD5A7780-FADE-4A83-84B7-71E8542889EC}"/>
  <tableColumns count="13">
    <tableColumn id="1" xr3:uid="{108286DF-9B8B-4822-AA86-EBFE188141AC}" name="date" dataDxfId="333">
      <calculatedColumnFormula>DATE(2023,7,RANDBETWEEN(1,31))</calculatedColumnFormula>
    </tableColumn>
    <tableColumn id="2" xr3:uid="{ECB9DC76-D43F-4C23-B00C-5415CD0C4427}" name="campaign_id" dataDxfId="332"/>
    <tableColumn id="3" xr3:uid="{23C7ABC6-0AE9-4722-889B-5F75A72D4692}" name="campaign_name" dataDxfId="331"/>
    <tableColumn id="4" xr3:uid="{97457FCF-52F4-4A4F-B6CA-9FFC78A05807}" name="ad_set_id" dataDxfId="330"/>
    <tableColumn id="5" xr3:uid="{5409A474-1B51-4544-96BE-D023426F80EB}" name="ad_set_name" dataDxfId="329"/>
    <tableColumn id="6" xr3:uid="{F02590E2-E1FF-4D57-BDD3-B3127C65DFA5}" name="impressions" dataDxfId="328">
      <calculatedColumnFormula>ROUND(T_Facebook_Ads[[#This Row],[impressions]]*RANDBETWEEN(8,12)/10,0)</calculatedColumnFormula>
    </tableColumn>
    <tableColumn id="7" xr3:uid="{AAFE308C-370E-4EFC-98F8-530710C54BD4}" name="clicks" dataDxfId="327"/>
    <tableColumn id="8" xr3:uid="{9FA3169A-1D81-4BB9-AF50-8673C229A83D}" name="spend" dataDxfId="326">
      <calculatedColumnFormula>T_Facebook_Ads[[#This Row],[spend]]*RANDBETWEEN(8,12)/10</calculatedColumnFormula>
    </tableColumn>
    <tableColumn id="9" xr3:uid="{662B41E1-A1CB-410E-B933-7423D5DD5B43}" name="conversions" dataDxfId="325">
      <calculatedColumnFormula>ROUND(T_Facebook_Ads[[#This Row],[conversions]]*RANDBETWEEN(8,12)/10,0)</calculatedColumnFormula>
    </tableColumn>
    <tableColumn id="10" xr3:uid="{990F5459-7196-472B-8858-AC95893FF648}" name="video_views" dataDxfId="324">
      <calculatedColumnFormula>ROUND(T_Facebook_Ads[[#This Row],[video_views]]*RANDBETWEEN(8,12)/10,0)</calculatedColumnFormula>
    </tableColumn>
    <tableColumn id="11" xr3:uid="{00AD6F71-E3FC-45C0-A94E-8024343E2951}" name="engagement_rate" dataDxfId="323">
      <calculatedColumnFormula>T_Facebook_Ads[[#This Row],[engagement_rate]]*RANDBETWEEN(8,12)/10</calculatedColumnFormula>
    </tableColumn>
    <tableColumn id="12" xr3:uid="{AD3B2EDC-B070-40C8-B3BC-A0FC3095955B}" name="reach" dataDxfId="322">
      <calculatedColumnFormula>ROUND(T_Facebook_Ads[[#This Row],[reach]]*RANDBETWEEN(8,12)/10,0)</calculatedColumnFormula>
    </tableColumn>
    <tableColumn id="13" xr3:uid="{FCA1FEDA-3100-469D-8191-4FD0D8851355}" name="frequency" dataDxfId="321">
      <calculatedColumnFormula>T_Facebook_Ads[[#This Row],[frequency]]*RANDBETWEEN(8,12)/10</calculatedColumnFormula>
    </tableColumn>
  </tableColumns>
  <tableStyleInfo name="TableStyleMedium8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EDF38220-45EA-43C7-9026-FA649558160B}" name="_Google_ads12606468727680" displayName="_Google_ads12606468727680" ref="O1:AB111" totalsRowShown="0" headerRowDxfId="320" dataDxfId="319" tableBorderDxfId="318">
  <autoFilter ref="O1:AB111" xr:uid="{B7D4B46A-853B-4EEA-97CD-AC4A9B0C50BA}"/>
  <tableColumns count="14">
    <tableColumn id="1" xr3:uid="{DD1F5FF4-DCFC-4FE5-AB5A-62B1ADF8112E}" name="date" dataDxfId="317">
      <calculatedColumnFormula>DATE(2023,7,RANDBETWEEN(1,31))</calculatedColumnFormula>
    </tableColumn>
    <tableColumn id="2" xr3:uid="{F9E4601B-BCC6-4082-82F8-9CE5B0275D95}" name="campaign_id" dataDxfId="316"/>
    <tableColumn id="3" xr3:uid="{68C20DE0-1DDC-4749-AE20-1D5B0671D2EE}" name="campaign_name" dataDxfId="315"/>
    <tableColumn id="4" xr3:uid="{5DDB345C-07A2-4173-8225-19B7A7D937DB}" name="ad_group_id" dataDxfId="314"/>
    <tableColumn id="5" xr3:uid="{039E374D-C2FB-4216-9340-203180669E61}" name="ad_group_name" dataDxfId="313"/>
    <tableColumn id="6" xr3:uid="{4C8874A8-0552-4E14-A638-736FACA5A5CF}" name="impressions" dataDxfId="312">
      <calculatedColumnFormula>ROUND(_Google_ads[[#This Row],[impressions]]*RANDBETWEEN(8,12)/10,0)</calculatedColumnFormula>
    </tableColumn>
    <tableColumn id="7" xr3:uid="{553E1FDE-1D77-4DC2-9595-2BEC097E1DA5}" name="clicks" dataDxfId="311">
      <calculatedColumnFormula>ROUND(_Google_ads[[#This Row],[clicks]]*RANDBETWEEN(8,12)/10,0)</calculatedColumnFormula>
    </tableColumn>
    <tableColumn id="8" xr3:uid="{33E8EE79-E466-4FBD-B5F6-0AC1609A7082}" name="cost" dataDxfId="310">
      <calculatedColumnFormula>_Google_ads[[#This Row],[cost]]*RANDBETWEEN(8,12)/10</calculatedColumnFormula>
    </tableColumn>
    <tableColumn id="9" xr3:uid="{54BDD3A8-71A7-4AB0-9495-0261A6B03244}" name="conversions" dataDxfId="309">
      <calculatedColumnFormula>ROUND(_Google_ads[[#This Row],[conversions]]*RANDBETWEEN(8,12)/10,0)</calculatedColumnFormula>
    </tableColumn>
    <tableColumn id="10" xr3:uid="{C8411B06-16B3-4825-AC5E-50D567110DE0}" name="conversion_value" dataDxfId="308">
      <calculatedColumnFormula>ROUND(_Google_ads[[#This Row],[conversion_value]]*RANDBETWEEN(8,12)/10,0)</calculatedColumnFormula>
    </tableColumn>
    <tableColumn id="11" xr3:uid="{7464F086-5DE2-4AD8-9267-005B210CC554}" name="ctr" dataDxfId="307">
      <calculatedColumnFormula>_Google_ads[[#This Row],[ctr]]*RANDBETWEEN(8,12)/10</calculatedColumnFormula>
    </tableColumn>
    <tableColumn id="12" xr3:uid="{4C46113B-C5D0-4A8F-BBF4-4BF48E2B4087}" name="avg_cpc" dataDxfId="306">
      <calculatedColumnFormula>_Google_ads[[#This Row],[avg_cpc]]*RANDBETWEEN(8,12)/10</calculatedColumnFormula>
    </tableColumn>
    <tableColumn id="13" xr3:uid="{ECA24BAE-6EFF-4093-A504-515D711EA18F}" name="quality_score" dataDxfId="305">
      <calculatedColumnFormula>ROUND(_Google_ads[[#This Row],[quality_score]]*RANDBETWEEN(8,12)/10,0)</calculatedColumnFormula>
    </tableColumn>
    <tableColumn id="14" xr3:uid="{82570471-8EE4-44EA-9D2E-2C6B19CE9995}" name="search_impression_share" dataDxfId="304">
      <calculatedColumnFormula>_Google_ads[[#This Row],[search_impression_share]]*RANDBETWEEN(8,12)/10</calculatedColumnFormula>
    </tableColumn>
  </tableColumns>
  <tableStyleInfo name="TableStyleMedium1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69FF1B6E-33B2-40A7-A62B-31A93F611BB3}" name="T_Tiktok_ads13616569737781" displayName="T_Tiktok_ads13616569737781" ref="AD1:AT111" totalsRowShown="0" headerRowDxfId="303" dataDxfId="302" tableBorderDxfId="301">
  <autoFilter ref="AD1:AT111" xr:uid="{D6B8D61E-53FD-4052-B77C-92D1F05D8D73}"/>
  <tableColumns count="17">
    <tableColumn id="1" xr3:uid="{CE1A4A89-318C-44D7-8A23-EE85ABC21AB0}" name="date" dataDxfId="300">
      <calculatedColumnFormula>DATE(2023,7,RANDBETWEEN(1,31))</calculatedColumnFormula>
    </tableColumn>
    <tableColumn id="2" xr3:uid="{7D34733B-E9FF-461D-A604-120216654E42}" name="campaign_id" dataDxfId="299"/>
    <tableColumn id="3" xr3:uid="{DC671DEB-96D0-433D-88DD-394EEF4981A6}" name="campaign_name" dataDxfId="298"/>
    <tableColumn id="4" xr3:uid="{B5E5EAA6-CCF3-43EB-9280-631C853F8AEA}" name="adgroup_id" dataDxfId="297"/>
    <tableColumn id="5" xr3:uid="{D126712B-BA31-4DDD-96A5-3BA8B2F444AE}" name="adgroup_name" dataDxfId="296"/>
    <tableColumn id="6" xr3:uid="{B5E9992E-6DFD-44DC-9460-348B19AF3128}" name="impressions" dataDxfId="295">
      <calculatedColumnFormula>ROUND(T_Tiktok_ads[[#This Row],[impressions]]*RANDBETWEEN(8,12)/10,0)</calculatedColumnFormula>
    </tableColumn>
    <tableColumn id="7" xr3:uid="{BAC8CFEC-AADD-45FF-B97A-3AB382C8E97D}" name="clicks" dataDxfId="294">
      <calculatedColumnFormula>ROUND(T_Tiktok_ads[[#This Row],[clicks]]*RANDBETWEEN(8,12)/10,0)</calculatedColumnFormula>
    </tableColumn>
    <tableColumn id="8" xr3:uid="{55F13C1C-20DC-43FD-BCD0-CCA91A35A2D1}" name="cost" dataDxfId="293"/>
    <tableColumn id="9" xr3:uid="{7D64EFBF-2D35-49E3-9BDD-53B761039BFD}" name="conversions" dataDxfId="292">
      <calculatedColumnFormula>ROUND(T_Tiktok_ads[[#This Row],[conversions]]*RANDBETWEEN(8,12)/10,0)</calculatedColumnFormula>
    </tableColumn>
    <tableColumn id="10" xr3:uid="{2B2C92CC-14AE-48E0-9ECE-552FD1DD6BE2}" name="video_views" dataDxfId="291">
      <calculatedColumnFormula>ROUND(T_Tiktok_ads[[#This Row],[video_views]]*RANDBETWEEN(8,12)/10,0)</calculatedColumnFormula>
    </tableColumn>
    <tableColumn id="11" xr3:uid="{DCCB4341-2591-4D78-B588-9422FB41ED3D}" name="video_watch_25" dataDxfId="290">
      <calculatedColumnFormula>ROUND(T_Tiktok_ads[[#This Row],[video_watch_25]]*RANDBETWEEN(8,12)/10,0)</calculatedColumnFormula>
    </tableColumn>
    <tableColumn id="12" xr3:uid="{E6EC7E66-BA89-4BE0-95DB-A8F23EC57EAC}" name="video_watch_50" dataDxfId="289">
      <calculatedColumnFormula>ROUND(T_Tiktok_ads[[#This Row],[video_watch_50]]*RANDBETWEEN(8,12)/10,0)</calculatedColumnFormula>
    </tableColumn>
    <tableColumn id="13" xr3:uid="{D81D3F60-DB7A-4A24-BD7F-F0946C0F32EF}" name="video_watch_75" dataDxfId="288">
      <calculatedColumnFormula>ROUND(T_Tiktok_ads[[#This Row],[video_watch_75]]*RANDBETWEEN(8,12)/10,0)</calculatedColumnFormula>
    </tableColumn>
    <tableColumn id="14" xr3:uid="{E26AF01A-3E88-404E-8075-EDD754649F9A}" name="video_watch_100" dataDxfId="287">
      <calculatedColumnFormula>ROUND(T_Tiktok_ads[[#This Row],[video_watch_100]]*RANDBETWEEN(8,12)/10,0)</calculatedColumnFormula>
    </tableColumn>
    <tableColumn id="15" xr3:uid="{F1AC6ED3-4C4F-4BB3-B8C9-162E7077B125}" name="likes" dataDxfId="286">
      <calculatedColumnFormula>ROUND(T_Tiktok_ads[[#This Row],[likes]]*RANDBETWEEN(8,12)/10,0)</calculatedColumnFormula>
    </tableColumn>
    <tableColumn id="16" xr3:uid="{9E272E68-9763-4A1D-9125-817EB4411D13}" name="shares" dataDxfId="285">
      <calculatedColumnFormula>ROUND(T_Tiktok_ads[[#This Row],[shares]]*RANDBETWEEN(8,12)/10,0)</calculatedColumnFormula>
    </tableColumn>
    <tableColumn id="17" xr3:uid="{8B0A1FD9-A867-4811-B6CA-644F7FF22E20}" name="comments" dataDxfId="284">
      <calculatedColumnFormula>ROUND(T_Tiktok_ads[[#This Row],[comments]]*RANDBETWEEN(8,12)/10,0)</calculatedColumnFormula>
    </tableColumn>
  </tableColumns>
  <tableStyleInfo name="TableStyleMedium8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D3C66832-7798-4B2B-9983-ACC3EB286816}" name="T_Other_Campaigns14626670747882" displayName="T_Other_Campaigns14626670747882" ref="AV1:BB111" totalsRowShown="0">
  <autoFilter ref="AV1:BB111" xr:uid="{73059325-26A5-411A-8C53-4F181AE56BDF}"/>
  <tableColumns count="7">
    <tableColumn id="1" xr3:uid="{ED539F84-38BA-4DA5-8E34-3822881A58DC}" name="date" dataDxfId="283">
      <calculatedColumnFormula>DATE(2023,7,RANDBETWEEN(1,31))</calculatedColumnFormula>
    </tableColumn>
    <tableColumn id="2" xr3:uid="{350C7389-0F59-4685-8EC8-730A26F2281B}" name="campaign_id">
      <calculatedColumnFormula>RANDBETWEEN(1,8)</calculatedColumnFormula>
    </tableColumn>
    <tableColumn id="3" xr3:uid="{AF7764B1-40B9-4A89-AC55-C0A4BFEB5A02}" name="impressions" dataDxfId="282">
      <calculatedColumnFormula>ROUND(T_Facebook_Ads11596367717579[[#This Row],[impressions]]*RANDBETWEEN(8,12)/10,0)</calculatedColumnFormula>
    </tableColumn>
    <tableColumn id="4" xr3:uid="{E920DE9C-5382-49F7-A03D-7216438C88F7}" name="clicks" dataDxfId="281">
      <calculatedColumnFormula>ROUND(T_Facebook_Ads11596367717579[[#This Row],[clicks]]*RANDBETWEEN(8,12)/10,0)</calculatedColumnFormula>
    </tableColumn>
    <tableColumn id="5" xr3:uid="{109F5F77-6468-43E7-9A15-D85AAB5AA972}" name="spend">
      <calculatedColumnFormula>T_Facebook_Ads11596367717579[[#This Row],[spend]]*RANDBETWEEN(8,12)/10</calculatedColumnFormula>
    </tableColumn>
    <tableColumn id="6" xr3:uid="{E7269C84-3715-4676-A235-6CDBF7A774BD}" name="conversions">
      <calculatedColumnFormula>ROUND(T_Facebook_Ads11596367717579[[#This Row],[conversions]]*RANDBETWEEN(8,12)/10,0)</calculatedColumnFormula>
    </tableColumn>
    <tableColumn id="7" xr3:uid="{476E308F-D4A6-494E-BC00-DD081B37F91A}" name="video_views">
      <calculatedColumnFormula>ROUND(T_Facebook_Ads11596367717579[[#This Row],[video_views]]*RANDBETWEEN(8,12)/10,0)</calculatedColumnFormula>
    </tableColumn>
  </tableColumns>
  <tableStyleInfo name="TableStyleMedium1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283ED980-80EA-4CC5-8EEE-4F5EF53FB4D2}" name="T_Facebook_Ads1159636771757983" displayName="T_Facebook_Ads1159636771757983" ref="A1:M111" totalsRowShown="0" headerRowDxfId="280" dataDxfId="279" tableBorderDxfId="278">
  <autoFilter ref="A1:M111" xr:uid="{AD5A7780-FADE-4A83-84B7-71E8542889EC}"/>
  <tableColumns count="13">
    <tableColumn id="1" xr3:uid="{9B6A3A05-2E77-4B46-AACB-AEE697B3234A}" name="date" dataDxfId="277">
      <calculatedColumnFormula>DATE(2023,8,RANDBETWEEN(1,31))</calculatedColumnFormula>
    </tableColumn>
    <tableColumn id="2" xr3:uid="{4365A645-4230-45B0-A9EE-C1155DA4EAC6}" name="campaign_id" dataDxfId="276"/>
    <tableColumn id="3" xr3:uid="{023DEB6A-7F55-4E4A-994B-8C25CA42B3B5}" name="campaign_name" dataDxfId="275"/>
    <tableColumn id="4" xr3:uid="{AE5AE989-BE3C-4126-B7EF-A59C7856B787}" name="ad_set_id" dataDxfId="274"/>
    <tableColumn id="5" xr3:uid="{B7DBAEFA-0858-4A72-8C04-3BE5050C5C2C}" name="ad_set_name" dataDxfId="273"/>
    <tableColumn id="6" xr3:uid="{FE00418D-561F-4669-B2FC-EF6AA7DD7F1E}" name="impressions" dataDxfId="272">
      <calculatedColumnFormula>ROUND(T_Facebook_Ads[[#This Row],[impressions]]*RANDBETWEEN(8,12)/10,0)</calculatedColumnFormula>
    </tableColumn>
    <tableColumn id="7" xr3:uid="{06CABBB9-FCF0-4055-BE5E-0F6B9CCD9467}" name="clicks" dataDxfId="271"/>
    <tableColumn id="8" xr3:uid="{AAE60F11-AD81-4566-8F96-23B613DF1DE5}" name="spend" dataDxfId="270">
      <calculatedColumnFormula>T_Facebook_Ads[[#This Row],[spend]]*RANDBETWEEN(8,12)/10</calculatedColumnFormula>
    </tableColumn>
    <tableColumn id="9" xr3:uid="{4C2CF89C-3391-49E0-83C9-ACDFD74AB208}" name="conversions" dataDxfId="269">
      <calculatedColumnFormula>ROUND(T_Facebook_Ads[[#This Row],[conversions]]*RANDBETWEEN(8,12)/10,0)</calculatedColumnFormula>
    </tableColumn>
    <tableColumn id="10" xr3:uid="{0AC65190-4EC5-4318-9E44-B4CEDCC03D08}" name="video_views" dataDxfId="268">
      <calculatedColumnFormula>ROUND(T_Facebook_Ads[[#This Row],[video_views]]*RANDBETWEEN(8,12)/10,0)</calculatedColumnFormula>
    </tableColumn>
    <tableColumn id="11" xr3:uid="{24C6E8BF-5B2A-45B6-AC9B-838AD927C8FA}" name="engagement_rate" dataDxfId="267">
      <calculatedColumnFormula>T_Facebook_Ads[[#This Row],[engagement_rate]]*RANDBETWEEN(8,12)/10</calculatedColumnFormula>
    </tableColumn>
    <tableColumn id="12" xr3:uid="{0C156DE0-9DB5-43B1-AD80-91609FB7A560}" name="reach" dataDxfId="266">
      <calculatedColumnFormula>ROUND(T_Facebook_Ads[[#This Row],[reach]]*RANDBETWEEN(8,12)/10,0)</calculatedColumnFormula>
    </tableColumn>
    <tableColumn id="13" xr3:uid="{93FFEA5F-C992-4411-9465-31AB603AED75}" name="frequency" dataDxfId="265">
      <calculatedColumnFormula>T_Facebook_Ads[[#This Row],[frequency]]*RANDBETWEEN(8,12)/10</calculatedColumnFormula>
    </tableColumn>
  </tableColumns>
  <tableStyleInfo name="TableStyleMedium8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E5BB81F8-1C47-4F1E-8E19-8D5CA3BE9313}" name="_Google_ads1260646872768084" displayName="_Google_ads1260646872768084" ref="O1:AB111" totalsRowShown="0" headerRowDxfId="264" dataDxfId="263" tableBorderDxfId="262">
  <autoFilter ref="O1:AB111" xr:uid="{B7D4B46A-853B-4EEA-97CD-AC4A9B0C50BA}"/>
  <tableColumns count="14">
    <tableColumn id="1" xr3:uid="{B406B342-6EC8-4069-92CF-80E634169D09}" name="date" dataDxfId="261">
      <calculatedColumnFormula>DATE(2023,8,RANDBETWEEN(1,31))</calculatedColumnFormula>
    </tableColumn>
    <tableColumn id="2" xr3:uid="{6D6070E0-129F-4636-8707-4232D1EF174A}" name="campaign_id" dataDxfId="260"/>
    <tableColumn id="3" xr3:uid="{57EA24DE-E375-4C46-B993-8A0889FC29AD}" name="campaign_name" dataDxfId="259"/>
    <tableColumn id="4" xr3:uid="{F8558389-A151-48A1-9332-9362595F37FB}" name="ad_group_id" dataDxfId="258"/>
    <tableColumn id="5" xr3:uid="{E4EE7B0F-1834-4B6A-A0B1-4713F6C60936}" name="ad_group_name" dataDxfId="257"/>
    <tableColumn id="6" xr3:uid="{D1454ACD-C8F8-473D-909A-9080147C9800}" name="impressions" dataDxfId="256">
      <calculatedColumnFormula>ROUND(_Google_ads[[#This Row],[impressions]]*RANDBETWEEN(8,12)/10,0)</calculatedColumnFormula>
    </tableColumn>
    <tableColumn id="7" xr3:uid="{209C33B4-7B33-43F6-9042-D59409DE08A5}" name="clicks" dataDxfId="255">
      <calculatedColumnFormula>ROUND(_Google_ads[[#This Row],[clicks]]*RANDBETWEEN(8,12)/10,0)</calculatedColumnFormula>
    </tableColumn>
    <tableColumn id="8" xr3:uid="{BE06FDD1-C287-4D8D-92B8-4BF549F772C7}" name="cost" dataDxfId="254">
      <calculatedColumnFormula>_Google_ads[[#This Row],[cost]]*RANDBETWEEN(8,12)/10</calculatedColumnFormula>
    </tableColumn>
    <tableColumn id="9" xr3:uid="{8A3B9AF4-C89A-424C-8D7B-587CDBAC2EF8}" name="conversions" dataDxfId="253">
      <calculatedColumnFormula>ROUND(_Google_ads[[#This Row],[conversions]]*RANDBETWEEN(8,12)/10,0)</calculatedColumnFormula>
    </tableColumn>
    <tableColumn id="10" xr3:uid="{E0A50071-60DF-4F72-AC11-B6E7D1E2CABB}" name="conversion_value" dataDxfId="252">
      <calculatedColumnFormula>ROUND(_Google_ads[[#This Row],[conversion_value]]*RANDBETWEEN(8,12)/10,0)</calculatedColumnFormula>
    </tableColumn>
    <tableColumn id="11" xr3:uid="{32658CB3-1BF6-47CC-AACC-207C30915A46}" name="ctr" dataDxfId="251">
      <calculatedColumnFormula>_Google_ads[[#This Row],[ctr]]*RANDBETWEEN(8,12)/10</calculatedColumnFormula>
    </tableColumn>
    <tableColumn id="12" xr3:uid="{D88EB75B-81CB-4E97-A786-82D4772DBD5A}" name="avg_cpc" dataDxfId="250">
      <calculatedColumnFormula>_Google_ads[[#This Row],[avg_cpc]]*RANDBETWEEN(8,12)/10</calculatedColumnFormula>
    </tableColumn>
    <tableColumn id="13" xr3:uid="{CC1D7A7B-7AD0-4F1B-9B79-950565B2D9E1}" name="quality_score" dataDxfId="249">
      <calculatedColumnFormula>ROUND(_Google_ads[[#This Row],[quality_score]]*RANDBETWEEN(8,12)/10,0)</calculatedColumnFormula>
    </tableColumn>
    <tableColumn id="14" xr3:uid="{90E4EE09-9932-409E-8AC4-947349BD933F}" name="search_impression_share" dataDxfId="248">
      <calculatedColumnFormula>_Google_ads[[#This Row],[search_impression_share]]*RANDBETWEEN(8,12)/10</calculatedColumnFormula>
    </tableColumn>
  </tableColumns>
  <tableStyleInfo name="TableStyleMedium1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F77545C1-5A28-465C-AE56-6DA2E5DF0BF6}" name="T_Tiktok_ads1361656973778185" displayName="T_Tiktok_ads1361656973778185" ref="AD1:AT111" totalsRowShown="0" headerRowDxfId="247" dataDxfId="246" tableBorderDxfId="245">
  <autoFilter ref="AD1:AT111" xr:uid="{D6B8D61E-53FD-4052-B77C-92D1F05D8D73}"/>
  <tableColumns count="17">
    <tableColumn id="1" xr3:uid="{E7273CCC-3120-4137-8A2F-F246DB104137}" name="date" dataDxfId="244">
      <calculatedColumnFormula>DATE(2023,8,RANDBETWEEN(1,31))</calculatedColumnFormula>
    </tableColumn>
    <tableColumn id="2" xr3:uid="{6B88906C-AFFF-4083-80F4-A8299D134E1F}" name="campaign_id" dataDxfId="243"/>
    <tableColumn id="3" xr3:uid="{8BE3DBE1-9F16-4EBA-BF6A-B2BF69388635}" name="campaign_name" dataDxfId="242"/>
    <tableColumn id="4" xr3:uid="{C9140E27-5E42-4704-A71B-D333B6BE0810}" name="adgroup_id" dataDxfId="241"/>
    <tableColumn id="5" xr3:uid="{C43634DB-DB75-4EE6-B026-2004D69104F2}" name="adgroup_name" dataDxfId="240"/>
    <tableColumn id="6" xr3:uid="{CE492B1C-8F84-4B23-A31B-68730583CF0F}" name="impressions" dataDxfId="239">
      <calculatedColumnFormula>ROUND(T_Tiktok_ads[[#This Row],[impressions]]*RANDBETWEEN(8,12)/10,0)</calculatedColumnFormula>
    </tableColumn>
    <tableColumn id="7" xr3:uid="{22A721DA-1CE0-47D4-BFA6-30FA54BD1468}" name="clicks" dataDxfId="238">
      <calculatedColumnFormula>ROUND(T_Tiktok_ads[[#This Row],[clicks]]*RANDBETWEEN(8,12)/10,0)</calculatedColumnFormula>
    </tableColumn>
    <tableColumn id="8" xr3:uid="{87688777-8CDF-43FC-948A-21A480121ACF}" name="cost" dataDxfId="237"/>
    <tableColumn id="9" xr3:uid="{FD229598-591F-411B-AAEC-DB0D28C97472}" name="conversions" dataDxfId="236">
      <calculatedColumnFormula>ROUND(T_Tiktok_ads[[#This Row],[conversions]]*RANDBETWEEN(8,12)/10,0)</calculatedColumnFormula>
    </tableColumn>
    <tableColumn id="10" xr3:uid="{65029448-FC0B-434D-9915-B06700A2BFBC}" name="video_views" dataDxfId="235">
      <calculatedColumnFormula>ROUND(T_Tiktok_ads[[#This Row],[video_views]]*RANDBETWEEN(8,12)/10,0)</calculatedColumnFormula>
    </tableColumn>
    <tableColumn id="11" xr3:uid="{08C57672-7F00-4249-BB72-4CD3FB8424E9}" name="video_watch_25" dataDxfId="234">
      <calculatedColumnFormula>ROUND(T_Tiktok_ads[[#This Row],[video_watch_25]]*RANDBETWEEN(8,12)/10,0)</calculatedColumnFormula>
    </tableColumn>
    <tableColumn id="12" xr3:uid="{090CC411-53E0-47B2-BFA7-0374CAC3D7C1}" name="video_watch_50" dataDxfId="233">
      <calculatedColumnFormula>ROUND(T_Tiktok_ads[[#This Row],[video_watch_50]]*RANDBETWEEN(8,12)/10,0)</calculatedColumnFormula>
    </tableColumn>
    <tableColumn id="13" xr3:uid="{7F5F80C4-E646-4DCB-B424-E7BBAF51EDA4}" name="video_watch_75" dataDxfId="232">
      <calculatedColumnFormula>ROUND(T_Tiktok_ads[[#This Row],[video_watch_75]]*RANDBETWEEN(8,12)/10,0)</calculatedColumnFormula>
    </tableColumn>
    <tableColumn id="14" xr3:uid="{CD00A07F-7C59-423E-8FB8-8A93DBDE4F55}" name="video_watch_100" dataDxfId="231">
      <calculatedColumnFormula>ROUND(T_Tiktok_ads[[#This Row],[video_watch_100]]*RANDBETWEEN(8,12)/10,0)</calculatedColumnFormula>
    </tableColumn>
    <tableColumn id="15" xr3:uid="{67BE7A83-89F2-46A2-911E-1F6379358792}" name="likes" dataDxfId="230">
      <calculatedColumnFormula>ROUND(T_Tiktok_ads[[#This Row],[likes]]*RANDBETWEEN(8,12)/10,0)</calculatedColumnFormula>
    </tableColumn>
    <tableColumn id="16" xr3:uid="{A921B330-EB3F-47BD-8E78-86D6D480718C}" name="shares" dataDxfId="229">
      <calculatedColumnFormula>ROUND(T_Tiktok_ads[[#This Row],[shares]]*RANDBETWEEN(8,12)/10,0)</calculatedColumnFormula>
    </tableColumn>
    <tableColumn id="17" xr3:uid="{BC51BB06-B723-44F9-99E8-51901A399AE7}" name="comments" dataDxfId="228">
      <calculatedColumnFormula>ROUND(T_Tiktok_ads[[#This Row],[comments]]*RANDBETWEEN(8,12)/10,0)</calculatedColumnFormula>
    </tableColumn>
  </tableColumns>
  <tableStyleInfo name="TableStyleMedium8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B53E9629-8BE7-4953-92AC-06AC2031267B}" name="T_Other_Campaigns1462667074788286" displayName="T_Other_Campaigns1462667074788286" ref="AV1:BB111" totalsRowShown="0">
  <autoFilter ref="AV1:BB111" xr:uid="{73059325-26A5-411A-8C53-4F181AE56BDF}"/>
  <tableColumns count="7">
    <tableColumn id="1" xr3:uid="{967DBD83-A2F8-4620-8F87-F7B91169F0D8}" name="date" dataDxfId="227">
      <calculatedColumnFormula>DATE(2023,8,RANDBETWEEN(1,31))</calculatedColumnFormula>
    </tableColumn>
    <tableColumn id="2" xr3:uid="{B2069D5B-C662-44C2-BD8D-631F1A8B3E86}" name="campaign_id">
      <calculatedColumnFormula>RANDBETWEEN(1,8)</calculatedColumnFormula>
    </tableColumn>
    <tableColumn id="3" xr3:uid="{8C82AF99-DE4C-4512-B5A2-A4E917895ED7}" name="impressions" dataDxfId="226">
      <calculatedColumnFormula>ROUND(T_Facebook_Ads1159636771757983[[#This Row],[impressions]]*RANDBETWEEN(8,12)/10,0)</calculatedColumnFormula>
    </tableColumn>
    <tableColumn id="4" xr3:uid="{477FDA32-1D3C-45F2-950F-0C4EF60B046A}" name="clicks" dataDxfId="225">
      <calculatedColumnFormula>ROUND(T_Facebook_Ads1159636771757983[[#This Row],[clicks]]*RANDBETWEEN(8,12)/10,0)</calculatedColumnFormula>
    </tableColumn>
    <tableColumn id="5" xr3:uid="{08C5A6A4-2D8A-4873-B0A0-BEB133FA5E8D}" name="spend">
      <calculatedColumnFormula>T_Facebook_Ads1159636771757983[[#This Row],[spend]]*RANDBETWEEN(8,12)/10</calculatedColumnFormula>
    </tableColumn>
    <tableColumn id="6" xr3:uid="{DAC31404-4806-46BB-8DD1-B57F990BE3F3}" name="conversions">
      <calculatedColumnFormula>ROUND(T_Facebook_Ads1159636771757983[[#This Row],[conversions]]*RANDBETWEEN(8,12)/10,0)</calculatedColumnFormula>
    </tableColumn>
    <tableColumn id="7" xr3:uid="{E23F7685-FAA6-4F29-BA8F-67DA981B1E2D}" name="video_views">
      <calculatedColumnFormula>ROUND(T_Facebook_Ads1159636771757983[[#This Row],[video_views]]*RANDBETWEEN(8,12)/10,0)</calculatedColumnFormula>
    </tableColumn>
  </tableColumns>
  <tableStyleInfo name="TableStyleMedium1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40BF2349-7961-4E6E-8363-8D1FCA17E9D4}" name="T_Facebook_Ads115963677175798387" displayName="T_Facebook_Ads115963677175798387" ref="A1:M111" totalsRowShown="0" headerRowDxfId="224" dataDxfId="223" tableBorderDxfId="222">
  <autoFilter ref="A1:M111" xr:uid="{AD5A7780-FADE-4A83-84B7-71E8542889EC}"/>
  <tableColumns count="13">
    <tableColumn id="1" xr3:uid="{6CB50C59-E1D6-4F60-994A-6D7943048C99}" name="date" dataDxfId="221">
      <calculatedColumnFormula>DATE(2023,9,RANDBETWEEN(1,30))</calculatedColumnFormula>
    </tableColumn>
    <tableColumn id="2" xr3:uid="{B37E4D02-B603-4CF9-A49B-4F5F311C73D3}" name="campaign_id" dataDxfId="220"/>
    <tableColumn id="3" xr3:uid="{630A4C60-FF79-4134-9A6B-089A9FC44FE6}" name="campaign_name" dataDxfId="219"/>
    <tableColumn id="4" xr3:uid="{278DE6F1-1627-4876-838B-AC14538B45B1}" name="ad_set_id" dataDxfId="218"/>
    <tableColumn id="5" xr3:uid="{BBF2B37F-C754-4604-9BB0-DDEF62064A26}" name="ad_set_name" dataDxfId="217"/>
    <tableColumn id="6" xr3:uid="{7D6255BF-A887-4570-8F7B-C2F076EE351E}" name="impressions" dataDxfId="216">
      <calculatedColumnFormula>ROUND(T_Facebook_Ads[[#This Row],[impressions]]*RANDBETWEEN(8,12)/10,0)</calculatedColumnFormula>
    </tableColumn>
    <tableColumn id="7" xr3:uid="{9653986D-EFF1-49DA-BE9B-98A434197E33}" name="clicks" dataDxfId="215"/>
    <tableColumn id="8" xr3:uid="{86C7F685-1AAD-4344-B301-C0127E47E55C}" name="spend" dataDxfId="214">
      <calculatedColumnFormula>T_Facebook_Ads[[#This Row],[spend]]*RANDBETWEEN(8,12)/10</calculatedColumnFormula>
    </tableColumn>
    <tableColumn id="9" xr3:uid="{B03E98CF-94CD-4C25-8A3F-D4069EF0F650}" name="conversions" dataDxfId="213">
      <calculatedColumnFormula>ROUND(T_Facebook_Ads[[#This Row],[conversions]]*RANDBETWEEN(8,12)/10,0)</calculatedColumnFormula>
    </tableColumn>
    <tableColumn id="10" xr3:uid="{64DAEDC7-C8EF-4108-9B49-BD3587AA7A4E}" name="video_views" dataDxfId="212">
      <calculatedColumnFormula>ROUND(T_Facebook_Ads[[#This Row],[video_views]]*RANDBETWEEN(8,12)/10,0)</calculatedColumnFormula>
    </tableColumn>
    <tableColumn id="11" xr3:uid="{24445909-2EB1-42C5-A547-10F8517D1FF1}" name="engagement_rate" dataDxfId="211">
      <calculatedColumnFormula>T_Facebook_Ads[[#This Row],[engagement_rate]]*RANDBETWEEN(8,12)/10</calculatedColumnFormula>
    </tableColumn>
    <tableColumn id="12" xr3:uid="{AAD5B2D0-1DD5-4640-94EE-DD92942128CE}" name="reach" dataDxfId="210">
      <calculatedColumnFormula>ROUND(T_Facebook_Ads[[#This Row],[reach]]*RANDBETWEEN(8,12)/10,0)</calculatedColumnFormula>
    </tableColumn>
    <tableColumn id="13" xr3:uid="{FA3F0293-E24E-4B71-86E3-B947B9DBDBBA}" name="frequency" dataDxfId="209">
      <calculatedColumnFormula>T_Facebook_Ads[[#This Row],[frequency]]*RANDBETWEEN(8,12)/10</calculatedColumnFormula>
    </tableColumn>
  </tableColumns>
  <tableStyleInfo name="TableStyleMedium8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77EB5912-D30A-45C3-ACD9-5AA37C058E06}" name="_Google_ads126064687276808488" displayName="_Google_ads126064687276808488" ref="O1:AB111" totalsRowShown="0" headerRowDxfId="208" dataDxfId="207" tableBorderDxfId="206">
  <autoFilter ref="O1:AB111" xr:uid="{B7D4B46A-853B-4EEA-97CD-AC4A9B0C50BA}"/>
  <tableColumns count="14">
    <tableColumn id="1" xr3:uid="{D30BD1D8-B16A-4393-BBF8-8648CD40EA67}" name="date" dataDxfId="205">
      <calculatedColumnFormula>DATE(2023,9,RANDBETWEEN(1,30))</calculatedColumnFormula>
    </tableColumn>
    <tableColumn id="2" xr3:uid="{4ACC4688-02AC-4294-AE91-405915F3F905}" name="campaign_id" dataDxfId="204"/>
    <tableColumn id="3" xr3:uid="{E57BBE2E-1922-420D-B8B5-27EABD6F42FC}" name="campaign_name" dataDxfId="203"/>
    <tableColumn id="4" xr3:uid="{800296F8-689F-4683-A2F1-E6AFB75A45D3}" name="ad_group_id" dataDxfId="202"/>
    <tableColumn id="5" xr3:uid="{603D3142-FC96-4189-8FB9-8BF3C2EB8CF7}" name="ad_group_name" dataDxfId="201"/>
    <tableColumn id="6" xr3:uid="{E5680404-B76B-49C4-A7D5-D7CBD02687BD}" name="impressions" dataDxfId="200">
      <calculatedColumnFormula>ROUND(_Google_ads[[#This Row],[impressions]]*RANDBETWEEN(8,12)/10,0)</calculatedColumnFormula>
    </tableColumn>
    <tableColumn id="7" xr3:uid="{81385AE8-FD8F-4B7F-AA1E-9B83C4BCACBA}" name="clicks" dataDxfId="199">
      <calculatedColumnFormula>ROUND(_Google_ads[[#This Row],[clicks]]*RANDBETWEEN(8,12)/10,0)</calculatedColumnFormula>
    </tableColumn>
    <tableColumn id="8" xr3:uid="{36E5C00D-71AF-400D-8D7B-610972FC5052}" name="cost" dataDxfId="198">
      <calculatedColumnFormula>_Google_ads[[#This Row],[cost]]*RANDBETWEEN(8,12)/10</calculatedColumnFormula>
    </tableColumn>
    <tableColumn id="9" xr3:uid="{FB1BDD80-C3D5-4E56-AC3E-FB25EAAAC511}" name="conversions" dataDxfId="197">
      <calculatedColumnFormula>ROUND(_Google_ads[[#This Row],[conversions]]*RANDBETWEEN(8,12)/10,0)</calculatedColumnFormula>
    </tableColumn>
    <tableColumn id="10" xr3:uid="{3C4AC411-3289-42B4-864A-341B85141215}" name="conversion_value" dataDxfId="196">
      <calculatedColumnFormula>ROUND(_Google_ads[[#This Row],[conversion_value]]*RANDBETWEEN(8,12)/10,0)</calculatedColumnFormula>
    </tableColumn>
    <tableColumn id="11" xr3:uid="{12975734-7FDE-4755-A673-9E9F276D9544}" name="ctr" dataDxfId="195">
      <calculatedColumnFormula>_Google_ads[[#This Row],[ctr]]*RANDBETWEEN(8,12)/10</calculatedColumnFormula>
    </tableColumn>
    <tableColumn id="12" xr3:uid="{7ED18AC1-3362-40D7-B86D-F3F91F34C342}" name="avg_cpc" dataDxfId="194">
      <calculatedColumnFormula>_Google_ads[[#This Row],[avg_cpc]]*RANDBETWEEN(8,12)/10</calculatedColumnFormula>
    </tableColumn>
    <tableColumn id="13" xr3:uid="{8AEE4DCB-EF33-4BC3-B892-A9E36B811013}" name="quality_score" dataDxfId="193">
      <calculatedColumnFormula>ROUND(_Google_ads[[#This Row],[quality_score]]*RANDBETWEEN(8,12)/10,0)</calculatedColumnFormula>
    </tableColumn>
    <tableColumn id="14" xr3:uid="{1895ED2A-65EA-4D77-87CB-C02EFF08657F}" name="search_impression_share" dataDxfId="192">
      <calculatedColumnFormula>_Google_ads[[#This Row],[search_impression_share]]*RANDBETWEEN(8,12)/10</calculatedColumnFormula>
    </tableColumn>
  </tableColumns>
  <tableStyleInfo name="TableStyleMedium1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3739CF81-E5C9-4AF6-BB77-185BFE03E468}" name="T_Tiktok_ads136165697377818589" displayName="T_Tiktok_ads136165697377818589" ref="AD1:AT111" totalsRowShown="0" headerRowDxfId="191" dataDxfId="190" tableBorderDxfId="189">
  <autoFilter ref="AD1:AT111" xr:uid="{D6B8D61E-53FD-4052-B77C-92D1F05D8D73}"/>
  <tableColumns count="17">
    <tableColumn id="1" xr3:uid="{F93D7FC6-9C56-4776-B29F-516DB4B08B17}" name="date" dataDxfId="188">
      <calculatedColumnFormula>DATE(2023,9,RANDBETWEEN(1,30))</calculatedColumnFormula>
    </tableColumn>
    <tableColumn id="2" xr3:uid="{49C8C8B3-1E23-4067-8C4B-01C48DA7135D}" name="campaign_id" dataDxfId="187"/>
    <tableColumn id="3" xr3:uid="{2E7D04ED-CE81-49D8-A57A-E85FFEB4DEB7}" name="campaign_name" dataDxfId="186"/>
    <tableColumn id="4" xr3:uid="{B648C6A1-00A5-4520-9171-B050FF15E282}" name="adgroup_id" dataDxfId="185"/>
    <tableColumn id="5" xr3:uid="{7002EFFE-445C-42E3-902F-DC7F1402AC73}" name="adgroup_name" dataDxfId="184"/>
    <tableColumn id="6" xr3:uid="{2F44F92F-F396-4C6E-8EC8-E7971E944E2D}" name="impressions" dataDxfId="183">
      <calculatedColumnFormula>ROUND(T_Tiktok_ads[[#This Row],[impressions]]*RANDBETWEEN(8,12)/10,0)</calculatedColumnFormula>
    </tableColumn>
    <tableColumn id="7" xr3:uid="{6DF38C98-5094-4B2A-804A-61A239051C4B}" name="clicks" dataDxfId="182">
      <calculatedColumnFormula>ROUND(T_Tiktok_ads[[#This Row],[clicks]]*RANDBETWEEN(8,12)/10,0)</calculatedColumnFormula>
    </tableColumn>
    <tableColumn id="8" xr3:uid="{BC115B9D-3FFA-4CA2-9F44-A29111BA9534}" name="cost" dataDxfId="181"/>
    <tableColumn id="9" xr3:uid="{3EBC1EF6-79A5-4B35-8350-1B4E5F833B0B}" name="conversions" dataDxfId="180">
      <calculatedColumnFormula>ROUND(T_Tiktok_ads[[#This Row],[conversions]]*RANDBETWEEN(8,12)/10,0)</calculatedColumnFormula>
    </tableColumn>
    <tableColumn id="10" xr3:uid="{47DAD005-1598-4E02-8C28-8A0C17023A48}" name="video_views" dataDxfId="179">
      <calculatedColumnFormula>ROUND(T_Tiktok_ads[[#This Row],[video_views]]*RANDBETWEEN(8,12)/10,0)</calculatedColumnFormula>
    </tableColumn>
    <tableColumn id="11" xr3:uid="{124E5F44-D3B2-4F8A-958B-FBCCA788C67A}" name="video_watch_25" dataDxfId="178">
      <calculatedColumnFormula>ROUND(T_Tiktok_ads[[#This Row],[video_watch_25]]*RANDBETWEEN(8,12)/10,0)</calculatedColumnFormula>
    </tableColumn>
    <tableColumn id="12" xr3:uid="{66D615F6-17F0-4451-A7FD-3F2CC1056E19}" name="video_watch_50" dataDxfId="177">
      <calculatedColumnFormula>ROUND(T_Tiktok_ads[[#This Row],[video_watch_50]]*RANDBETWEEN(8,12)/10,0)</calculatedColumnFormula>
    </tableColumn>
    <tableColumn id="13" xr3:uid="{BF934E86-661A-4244-BB0F-AA463F82D21B}" name="video_watch_75" dataDxfId="176">
      <calculatedColumnFormula>ROUND(T_Tiktok_ads[[#This Row],[video_watch_75]]*RANDBETWEEN(8,12)/10,0)</calculatedColumnFormula>
    </tableColumn>
    <tableColumn id="14" xr3:uid="{12739241-A879-49BC-B872-35C764788D30}" name="video_watch_100" dataDxfId="175">
      <calculatedColumnFormula>ROUND(T_Tiktok_ads[[#This Row],[video_watch_100]]*RANDBETWEEN(8,12)/10,0)</calculatedColumnFormula>
    </tableColumn>
    <tableColumn id="15" xr3:uid="{CE1E32C7-AE74-46C0-97AE-99D84E6722DD}" name="likes" dataDxfId="174">
      <calculatedColumnFormula>ROUND(T_Tiktok_ads[[#This Row],[likes]]*RANDBETWEEN(8,12)/10,0)</calculatedColumnFormula>
    </tableColumn>
    <tableColumn id="16" xr3:uid="{C6C614DC-A166-438E-B6C3-E769D91517E9}" name="shares" dataDxfId="173">
      <calculatedColumnFormula>ROUND(T_Tiktok_ads[[#This Row],[shares]]*RANDBETWEEN(8,12)/10,0)</calculatedColumnFormula>
    </tableColumn>
    <tableColumn id="17" xr3:uid="{17A517A9-4719-4FE0-9164-9F0A8649B99E}" name="comments" dataDxfId="172">
      <calculatedColumnFormula>ROUND(T_Tiktok_ads[[#This Row],[comments]]*RANDBETWEEN(8,12)/10,0)</calculatedColumnFormula>
    </tableColumn>
  </tableColumns>
  <tableStyleInfo name="TableStyleMedium8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B268FEF0-18E7-4D2E-8612-C900722733D1}" name="T_Other_Campaigns146266707478828690" displayName="T_Other_Campaigns146266707478828690" ref="AV1:BB111" totalsRowShown="0">
  <autoFilter ref="AV1:BB111" xr:uid="{73059325-26A5-411A-8C53-4F181AE56BDF}"/>
  <tableColumns count="7">
    <tableColumn id="1" xr3:uid="{18F978D8-6F22-4C0D-B08A-DBB945DA8B26}" name="date" dataDxfId="171">
      <calculatedColumnFormula>DATE(2023,9,RANDBETWEEN(1,30))</calculatedColumnFormula>
    </tableColumn>
    <tableColumn id="2" xr3:uid="{63A5A23C-1047-416E-91FA-5434D8303E23}" name="campaign_id">
      <calculatedColumnFormula>RANDBETWEEN(1,8)</calculatedColumnFormula>
    </tableColumn>
    <tableColumn id="3" xr3:uid="{9F3F15EF-7307-405E-BE8C-F002452D6333}" name="impressions" dataDxfId="170">
      <calculatedColumnFormula>ROUND(T_Facebook_Ads115963677175798387[[#This Row],[impressions]]*RANDBETWEEN(8,12)/10,0)</calculatedColumnFormula>
    </tableColumn>
    <tableColumn id="4" xr3:uid="{679B0DD6-4137-4315-8362-6FCE9A51A5A6}" name="clicks" dataDxfId="169">
      <calculatedColumnFormula>ROUND(T_Facebook_Ads115963677175798387[[#This Row],[clicks]]*RANDBETWEEN(8,12)/10,0)</calculatedColumnFormula>
    </tableColumn>
    <tableColumn id="5" xr3:uid="{12B74CF3-CF24-4D26-8D64-1BB9E6578964}" name="spend">
      <calculatedColumnFormula>T_Facebook_Ads115963677175798387[[#This Row],[spend]]*RANDBETWEEN(8,12)/10</calculatedColumnFormula>
    </tableColumn>
    <tableColumn id="6" xr3:uid="{CB83B548-E6C9-41EB-8B51-3145D52B6916}" name="conversions">
      <calculatedColumnFormula>ROUND(T_Facebook_Ads115963677175798387[[#This Row],[conversions]]*RANDBETWEEN(8,12)/10,0)</calculatedColumnFormula>
    </tableColumn>
    <tableColumn id="7" xr3:uid="{444EC089-6701-4504-9AD8-5355E514D7AD}" name="video_views">
      <calculatedColumnFormula>ROUND(T_Facebook_Ads115963677175798387[[#This Row],[video_views]]*RANDBETWEEN(8,12)/10,0)</calculatedColumnFormula>
    </tableColumn>
  </tableColumns>
  <tableStyleInfo name="TableStyleMedium1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B24F0C82-9EDC-492E-9EF7-BADE4BEEDC2B}" name="T_Facebook_Ads11596367717579838791" displayName="T_Facebook_Ads11596367717579838791" ref="A1:M111" totalsRowShown="0" headerRowDxfId="168" dataDxfId="167" tableBorderDxfId="166">
  <autoFilter ref="A1:M111" xr:uid="{AD5A7780-FADE-4A83-84B7-71E8542889EC}"/>
  <tableColumns count="13">
    <tableColumn id="1" xr3:uid="{1699FFF8-F13A-409C-8704-88CB06834F2C}" name="date" dataDxfId="165">
      <calculatedColumnFormula>DATE(2023,10,RANDBETWEEN(1,31))</calculatedColumnFormula>
    </tableColumn>
    <tableColumn id="2" xr3:uid="{B062FBA8-E29A-4556-8DD6-1CCB3D59A0B9}" name="campaign_id" dataDxfId="164"/>
    <tableColumn id="3" xr3:uid="{ADE26D8A-F06F-4433-837D-5772075F6933}" name="campaign_name" dataDxfId="163"/>
    <tableColumn id="4" xr3:uid="{26842DC3-2A6E-4028-8406-EF68B1FFC4D7}" name="ad_set_id" dataDxfId="162"/>
    <tableColumn id="5" xr3:uid="{798259B7-A2BF-4661-9590-2F088E5A64D2}" name="ad_set_name" dataDxfId="161"/>
    <tableColumn id="6" xr3:uid="{DCBDBB9B-96AA-4E45-B475-ED2B6101B12C}" name="impressions" dataDxfId="160">
      <calculatedColumnFormula>ROUND(T_Facebook_Ads[[#This Row],[impressions]]*RANDBETWEEN(8,12)/10,0)</calculatedColumnFormula>
    </tableColumn>
    <tableColumn id="7" xr3:uid="{66957FB0-75B8-4896-8069-0BA112FCB5D9}" name="clicks" dataDxfId="159"/>
    <tableColumn id="8" xr3:uid="{4F357C4D-12C5-47F9-ACF7-B8BF1E1AD9FA}" name="spend" dataDxfId="158">
      <calculatedColumnFormula>T_Facebook_Ads[[#This Row],[spend]]*RANDBETWEEN(8,12)/10</calculatedColumnFormula>
    </tableColumn>
    <tableColumn id="9" xr3:uid="{A80D6386-DE5B-4366-A286-D4FB7DE48F69}" name="conversions" dataDxfId="157">
      <calculatedColumnFormula>ROUND(T_Facebook_Ads[[#This Row],[conversions]]*RANDBETWEEN(8,12)/10,0)</calculatedColumnFormula>
    </tableColumn>
    <tableColumn id="10" xr3:uid="{86C5E84B-674E-4EA9-A96D-8B1F7752B0D2}" name="video_views" dataDxfId="156">
      <calculatedColumnFormula>ROUND(T_Facebook_Ads[[#This Row],[video_views]]*RANDBETWEEN(8,12)/10,0)</calculatedColumnFormula>
    </tableColumn>
    <tableColumn id="11" xr3:uid="{BD8D787D-3396-4139-8E49-6BEE1D19AC97}" name="engagement_rate" dataDxfId="155">
      <calculatedColumnFormula>T_Facebook_Ads[[#This Row],[engagement_rate]]*RANDBETWEEN(8,12)/10</calculatedColumnFormula>
    </tableColumn>
    <tableColumn id="12" xr3:uid="{842118D3-CC29-4FD7-ADD9-E9C1E80EA0F6}" name="reach" dataDxfId="154">
      <calculatedColumnFormula>ROUND(T_Facebook_Ads[[#This Row],[reach]]*RANDBETWEEN(8,12)/10,0)</calculatedColumnFormula>
    </tableColumn>
    <tableColumn id="13" xr3:uid="{96BB487E-9A1A-4274-B3E5-05AB1EDF6FD9}" name="frequency" dataDxfId="153">
      <calculatedColumnFormula>T_Facebook_Ads[[#This Row],[frequency]]*RANDBETWEEN(8,12)/10</calculatedColumnFormula>
    </tableColumn>
  </tableColumns>
  <tableStyleInfo name="TableStyleMedium8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FD5603C4-9E88-4428-91F7-EED1628A38FD}" name="_Google_ads12606468727680848892" displayName="_Google_ads12606468727680848892" ref="O1:AB111" totalsRowShown="0" headerRowDxfId="152" dataDxfId="151" tableBorderDxfId="150">
  <autoFilter ref="O1:AB111" xr:uid="{B7D4B46A-853B-4EEA-97CD-AC4A9B0C50BA}"/>
  <tableColumns count="14">
    <tableColumn id="1" xr3:uid="{3BA568D2-3A66-49AE-9DDC-A17A7878E163}" name="date" dataDxfId="149">
      <calculatedColumnFormula>DATE(2023,10,RANDBETWEEN(1,31))</calculatedColumnFormula>
    </tableColumn>
    <tableColumn id="2" xr3:uid="{0D9B65C9-FB4F-4345-9AD6-A4B166AB52FF}" name="campaign_id" dataDxfId="148"/>
    <tableColumn id="3" xr3:uid="{14E2B4B9-3402-4030-A82B-149003BD8ECF}" name="campaign_name" dataDxfId="147"/>
    <tableColumn id="4" xr3:uid="{8D98BF12-3542-43B2-AFD1-899725A31E5B}" name="ad_group_id" dataDxfId="146"/>
    <tableColumn id="5" xr3:uid="{D8A73A6F-F1BA-4AE1-9A47-EF3B4638C703}" name="ad_group_name" dataDxfId="145"/>
    <tableColumn id="6" xr3:uid="{FB0DD4DB-58D1-4DFA-BD71-7D28C9C642DD}" name="impressions" dataDxfId="144">
      <calculatedColumnFormula>ROUND(_Google_ads[[#This Row],[impressions]]*RANDBETWEEN(8,12)/10,0)</calculatedColumnFormula>
    </tableColumn>
    <tableColumn id="7" xr3:uid="{C7407340-9887-4A2F-A93D-97156ED83626}" name="clicks" dataDxfId="143">
      <calculatedColumnFormula>ROUND(_Google_ads[[#This Row],[clicks]]*RANDBETWEEN(8,12)/10,0)</calculatedColumnFormula>
    </tableColumn>
    <tableColumn id="8" xr3:uid="{D7EED74C-A338-4454-B9BC-777803ECFAE4}" name="cost" dataDxfId="142">
      <calculatedColumnFormula>_Google_ads[[#This Row],[cost]]*RANDBETWEEN(8,12)/10</calculatedColumnFormula>
    </tableColumn>
    <tableColumn id="9" xr3:uid="{4C312104-3669-4003-9543-E2C5CC7CABC1}" name="conversions" dataDxfId="141">
      <calculatedColumnFormula>ROUND(_Google_ads[[#This Row],[conversions]]*RANDBETWEEN(8,12)/10,0)</calculatedColumnFormula>
    </tableColumn>
    <tableColumn id="10" xr3:uid="{9D5DEC95-5082-4CDD-9A78-75918FD6DE4A}" name="conversion_value" dataDxfId="140">
      <calculatedColumnFormula>ROUND(_Google_ads[[#This Row],[conversion_value]]*RANDBETWEEN(8,12)/10,0)</calculatedColumnFormula>
    </tableColumn>
    <tableColumn id="11" xr3:uid="{2C226C5D-64F6-49D9-BBCE-2D70184235CC}" name="ctr" dataDxfId="139">
      <calculatedColumnFormula>_Google_ads[[#This Row],[ctr]]*RANDBETWEEN(8,12)/10</calculatedColumnFormula>
    </tableColumn>
    <tableColumn id="12" xr3:uid="{A4405B24-5962-4C36-B771-5A29ED8670AD}" name="avg_cpc" dataDxfId="138">
      <calculatedColumnFormula>_Google_ads[[#This Row],[avg_cpc]]*RANDBETWEEN(8,12)/10</calculatedColumnFormula>
    </tableColumn>
    <tableColumn id="13" xr3:uid="{27A263C3-162B-4276-871F-B3107D9C4F89}" name="quality_score" dataDxfId="137">
      <calculatedColumnFormula>ROUND(_Google_ads[[#This Row],[quality_score]]*RANDBETWEEN(8,12)/10,0)</calculatedColumnFormula>
    </tableColumn>
    <tableColumn id="14" xr3:uid="{53BC008D-033D-441D-8B8A-32AB8866C203}" name="search_impression_share" dataDxfId="136">
      <calculatedColumnFormula>_Google_ads[[#This Row],[search_impression_share]]*RANDBETWEEN(8,12)/10</calculatedColumnFormula>
    </tableColumn>
  </tableColumns>
  <tableStyleInfo name="TableStyleMedium1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A1E44A76-2D3B-4F70-9265-9F50A9062767}" name="T_Tiktok_ads13616569737781858993" displayName="T_Tiktok_ads13616569737781858993" ref="AD1:AT111" totalsRowShown="0" headerRowDxfId="135" dataDxfId="134" tableBorderDxfId="133">
  <autoFilter ref="AD1:AT111" xr:uid="{D6B8D61E-53FD-4052-B77C-92D1F05D8D73}"/>
  <tableColumns count="17">
    <tableColumn id="1" xr3:uid="{526CCF92-18E6-4152-97D1-9F6562306F8F}" name="date" dataDxfId="132">
      <calculatedColumnFormula>DATE(2023,10,RANDBETWEEN(1,31))</calculatedColumnFormula>
    </tableColumn>
    <tableColumn id="2" xr3:uid="{F1E5F4D6-5236-474C-AFD1-8C55513549AD}" name="campaign_id" dataDxfId="131"/>
    <tableColumn id="3" xr3:uid="{DA9B5943-51B9-4979-B817-560E355BD270}" name="campaign_name" dataDxfId="130"/>
    <tableColumn id="4" xr3:uid="{E6FB57EC-93EF-4F47-8101-AB798E0064B5}" name="adgroup_id" dataDxfId="129"/>
    <tableColumn id="5" xr3:uid="{88CB0ED0-D40E-4A63-A8AE-83DC638E5901}" name="adgroup_name" dataDxfId="128"/>
    <tableColumn id="6" xr3:uid="{5AAA9B40-0ED9-4E34-8014-2F0ACE25FCF2}" name="impressions" dataDxfId="127">
      <calculatedColumnFormula>ROUND(T_Tiktok_ads[[#This Row],[impressions]]*RANDBETWEEN(8,12)/10,0)</calculatedColumnFormula>
    </tableColumn>
    <tableColumn id="7" xr3:uid="{F3942C93-923F-4EE1-A026-98C193D2FF7D}" name="clicks" dataDxfId="126">
      <calculatedColumnFormula>ROUND(T_Tiktok_ads[[#This Row],[clicks]]*RANDBETWEEN(8,12)/10,0)</calculatedColumnFormula>
    </tableColumn>
    <tableColumn id="8" xr3:uid="{A47E23A9-B7A5-4546-9A12-AF0353EA703B}" name="cost" dataDxfId="125"/>
    <tableColumn id="9" xr3:uid="{57FE63E1-2751-4E46-9679-718CBDAFCC63}" name="conversions" dataDxfId="124">
      <calculatedColumnFormula>ROUND(T_Tiktok_ads[[#This Row],[conversions]]*RANDBETWEEN(8,12)/10,0)</calculatedColumnFormula>
    </tableColumn>
    <tableColumn id="10" xr3:uid="{E0883CB6-E993-4AF0-84A0-7F1132FDE6CC}" name="video_views" dataDxfId="123">
      <calculatedColumnFormula>ROUND(T_Tiktok_ads[[#This Row],[video_views]]*RANDBETWEEN(8,12)/10,0)</calculatedColumnFormula>
    </tableColumn>
    <tableColumn id="11" xr3:uid="{EF143BD1-6BE6-408E-98A1-1953FD0408EF}" name="video_watch_25" dataDxfId="122">
      <calculatedColumnFormula>ROUND(T_Tiktok_ads[[#This Row],[video_watch_25]]*RANDBETWEEN(8,12)/10,0)</calculatedColumnFormula>
    </tableColumn>
    <tableColumn id="12" xr3:uid="{DDDE27C9-5C19-430A-B4BA-142F87D6BD4A}" name="video_watch_50" dataDxfId="121">
      <calculatedColumnFormula>ROUND(T_Tiktok_ads[[#This Row],[video_watch_50]]*RANDBETWEEN(8,12)/10,0)</calculatedColumnFormula>
    </tableColumn>
    <tableColumn id="13" xr3:uid="{92CE3476-6248-4C2A-ADBA-4E61251F7D09}" name="video_watch_75" dataDxfId="120">
      <calculatedColumnFormula>ROUND(T_Tiktok_ads[[#This Row],[video_watch_75]]*RANDBETWEEN(8,12)/10,0)</calculatedColumnFormula>
    </tableColumn>
    <tableColumn id="14" xr3:uid="{E78FD48B-0A8B-4E6A-ABC2-98BA5C68522F}" name="video_watch_100" dataDxfId="119">
      <calculatedColumnFormula>ROUND(T_Tiktok_ads[[#This Row],[video_watch_100]]*RANDBETWEEN(8,12)/10,0)</calculatedColumnFormula>
    </tableColumn>
    <tableColumn id="15" xr3:uid="{3E472F45-1638-4DE8-A8CC-A2C94EFF1653}" name="likes" dataDxfId="118">
      <calculatedColumnFormula>ROUND(T_Tiktok_ads[[#This Row],[likes]]*RANDBETWEEN(8,12)/10,0)</calculatedColumnFormula>
    </tableColumn>
    <tableColumn id="16" xr3:uid="{10F2D7D8-D0AE-4E96-AB38-BE7D9DA57B66}" name="shares" dataDxfId="117">
      <calculatedColumnFormula>ROUND(T_Tiktok_ads[[#This Row],[shares]]*RANDBETWEEN(8,12)/10,0)</calculatedColumnFormula>
    </tableColumn>
    <tableColumn id="17" xr3:uid="{A88B59D5-29A2-4E42-9763-0CC1F68FD784}" name="comments" dataDxfId="116">
      <calculatedColumnFormula>ROUND(T_Tiktok_ads[[#This Row],[comments]]*RANDBETWEEN(8,12)/10,0)</calculatedColumnFormula>
    </tableColumn>
  </tableColumns>
  <tableStyleInfo name="TableStyleMedium8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38892C2F-2652-4A11-9DE8-74A0F9458AD6}" name="T_Other_Campaigns14626670747882869094" displayName="T_Other_Campaigns14626670747882869094" ref="AV1:BB111" totalsRowShown="0">
  <autoFilter ref="AV1:BB111" xr:uid="{73059325-26A5-411A-8C53-4F181AE56BDF}"/>
  <tableColumns count="7">
    <tableColumn id="1" xr3:uid="{E75E56B3-3D1E-4198-B86F-8C15CBBB1800}" name="date" dataDxfId="115">
      <calculatedColumnFormula>DATE(2023,10,RANDBETWEEN(1,31))</calculatedColumnFormula>
    </tableColumn>
    <tableColumn id="2" xr3:uid="{15FA4E13-605F-462C-903B-5498029FAC9A}" name="campaign_id">
      <calculatedColumnFormula>RANDBETWEEN(1,8)</calculatedColumnFormula>
    </tableColumn>
    <tableColumn id="3" xr3:uid="{463AE639-D3AD-46A1-960F-8914F892BA08}" name="impressions" dataDxfId="114">
      <calculatedColumnFormula>ROUND(T_Facebook_Ads11596367717579838791[[#This Row],[impressions]]*RANDBETWEEN(8,12)/10,0)</calculatedColumnFormula>
    </tableColumn>
    <tableColumn id="4" xr3:uid="{B2EF057E-93E5-45CB-BE4F-A8E9AAD3165E}" name="clicks" dataDxfId="113">
      <calculatedColumnFormula>ROUND(T_Facebook_Ads11596367717579838791[[#This Row],[clicks]]*RANDBETWEEN(8,12)/10,0)</calculatedColumnFormula>
    </tableColumn>
    <tableColumn id="5" xr3:uid="{946E9DC8-5FE9-4EEE-A38F-23626094216E}" name="spend">
      <calculatedColumnFormula>T_Facebook_Ads11596367717579838791[[#This Row],[spend]]*RANDBETWEEN(8,12)/10</calculatedColumnFormula>
    </tableColumn>
    <tableColumn id="6" xr3:uid="{7040E432-61B8-476F-8B6B-A7E1E424253C}" name="conversions">
      <calculatedColumnFormula>ROUND(T_Facebook_Ads11596367717579838791[[#This Row],[conversions]]*RANDBETWEEN(8,12)/10,0)</calculatedColumnFormula>
    </tableColumn>
    <tableColumn id="7" xr3:uid="{A008BA71-0A0D-4A0E-B49C-947A94CBE750}" name="video_views">
      <calculatedColumnFormula>ROUND(T_Facebook_Ads11596367717579838791[[#This Row],[video_views]]*RANDBETWEEN(8,12)/10,0)</calculatedColumnFormula>
    </tableColumn>
  </tableColumns>
  <tableStyleInfo name="TableStyleMedium1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0000F960-9145-4264-992B-BE6A3D9D0F5E}" name="T_Facebook_Ads1159636771757983879195" displayName="T_Facebook_Ads1159636771757983879195" ref="A1:M111" totalsRowShown="0" headerRowDxfId="112" dataDxfId="111" tableBorderDxfId="110">
  <autoFilter ref="A1:M111" xr:uid="{AD5A7780-FADE-4A83-84B7-71E8542889EC}"/>
  <tableColumns count="13">
    <tableColumn id="1" xr3:uid="{22D37D3B-3360-4D08-BE1C-A25A4082C9B7}" name="date" dataDxfId="109">
      <calculatedColumnFormula>DATE(2023,11,RANDBETWEEN(1,30))</calculatedColumnFormula>
    </tableColumn>
    <tableColumn id="2" xr3:uid="{7774DADD-75F6-4F5A-98CC-4A3921878A44}" name="campaign_id" dataDxfId="108"/>
    <tableColumn id="3" xr3:uid="{77313C04-D1AB-4816-AADF-BB40B033C08D}" name="campaign_name" dataDxfId="107"/>
    <tableColumn id="4" xr3:uid="{234994FD-E43F-4C86-81E9-B40BC6B68566}" name="ad_set_id" dataDxfId="106"/>
    <tableColumn id="5" xr3:uid="{EDA8503E-3FFE-4FB6-A61B-1E51C803195A}" name="ad_set_name" dataDxfId="105"/>
    <tableColumn id="6" xr3:uid="{2073BD97-CFD4-482A-B07E-BF9ECCA0FA10}" name="impressions" dataDxfId="104">
      <calculatedColumnFormula>ROUND(T_Facebook_Ads[[#This Row],[impressions]]*RANDBETWEEN(8,12)/10,0)</calculatedColumnFormula>
    </tableColumn>
    <tableColumn id="7" xr3:uid="{00FBE1B4-D8C2-4C7D-89D4-BD2F7F401B0C}" name="clicks" dataDxfId="103"/>
    <tableColumn id="8" xr3:uid="{A72571D8-7D8C-4CE2-836B-124C3F041D53}" name="spend" dataDxfId="102">
      <calculatedColumnFormula>T_Facebook_Ads[[#This Row],[spend]]*RANDBETWEEN(8,12)/10</calculatedColumnFormula>
    </tableColumn>
    <tableColumn id="9" xr3:uid="{54AE9496-5860-4AD3-BE59-ACCF16E1B322}" name="conversions" dataDxfId="101">
      <calculatedColumnFormula>ROUND(T_Facebook_Ads[[#This Row],[conversions]]*RANDBETWEEN(8,12)/10,0)</calculatedColumnFormula>
    </tableColumn>
    <tableColumn id="10" xr3:uid="{B1A1A76A-01F4-452F-A62E-6B1D73670DE8}" name="video_views" dataDxfId="100">
      <calculatedColumnFormula>ROUND(T_Facebook_Ads[[#This Row],[video_views]]*RANDBETWEEN(8,12)/10,0)</calculatedColumnFormula>
    </tableColumn>
    <tableColumn id="11" xr3:uid="{72D7AB81-BD00-4C26-AC62-41D0C8069E24}" name="engagement_rate" dataDxfId="99">
      <calculatedColumnFormula>T_Facebook_Ads[[#This Row],[engagement_rate]]*RANDBETWEEN(8,12)/10</calculatedColumnFormula>
    </tableColumn>
    <tableColumn id="12" xr3:uid="{C7F5E5D6-99CB-43E5-A501-DE68CA73FC66}" name="reach" dataDxfId="98">
      <calculatedColumnFormula>ROUND(T_Facebook_Ads[[#This Row],[reach]]*RANDBETWEEN(8,12)/10,0)</calculatedColumnFormula>
    </tableColumn>
    <tableColumn id="13" xr3:uid="{D058A3B6-7870-43B4-9731-DBD76BC168B8}" name="frequency" dataDxfId="97">
      <calculatedColumnFormula>T_Facebook_Ads[[#This Row],[frequency]]*RANDBETWEEN(8,12)/10</calculatedColumnFormula>
    </tableColumn>
  </tableColumns>
  <tableStyleInfo name="TableStyleMedium8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5F7B41E0-850F-478B-B400-981FB346EA4C}" name="_Google_ads1260646872768084889296" displayName="_Google_ads1260646872768084889296" ref="O1:AB111" totalsRowShown="0" headerRowDxfId="96" dataDxfId="95" tableBorderDxfId="94">
  <autoFilter ref="O1:AB111" xr:uid="{B7D4B46A-853B-4EEA-97CD-AC4A9B0C50BA}"/>
  <tableColumns count="14">
    <tableColumn id="1" xr3:uid="{A07AABE8-BCD6-47D0-A898-D063BA83598F}" name="date" dataDxfId="93">
      <calculatedColumnFormula>DATE(2023,11,RANDBETWEEN(1,30))</calculatedColumnFormula>
    </tableColumn>
    <tableColumn id="2" xr3:uid="{D3352313-D5EC-455B-8404-A343D000D6D5}" name="campaign_id" dataDxfId="92"/>
    <tableColumn id="3" xr3:uid="{D38FD98F-3F55-485C-B440-745D37AAD96A}" name="campaign_name" dataDxfId="91"/>
    <tableColumn id="4" xr3:uid="{1C062C58-4CC6-469C-AE74-CBA7C2500910}" name="ad_group_id" dataDxfId="90"/>
    <tableColumn id="5" xr3:uid="{70BB9515-DAF5-4B44-A713-26F23FABD508}" name="ad_group_name" dataDxfId="89"/>
    <tableColumn id="6" xr3:uid="{CA89BB6B-1245-42B0-98A8-B057B9DD2DC8}" name="impressions" dataDxfId="88">
      <calculatedColumnFormula>ROUND(_Google_ads[[#This Row],[impressions]]*RANDBETWEEN(8,12)/10,0)</calculatedColumnFormula>
    </tableColumn>
    <tableColumn id="7" xr3:uid="{AC5F0D0A-23FA-4FF7-B766-284250CAB090}" name="clicks" dataDxfId="87">
      <calculatedColumnFormula>ROUND(_Google_ads[[#This Row],[clicks]]*RANDBETWEEN(8,12)/10,0)</calculatedColumnFormula>
    </tableColumn>
    <tableColumn id="8" xr3:uid="{6FB6DC70-EDFC-4992-B02C-52129DC9C6EB}" name="cost" dataDxfId="86">
      <calculatedColumnFormula>_Google_ads[[#This Row],[cost]]*RANDBETWEEN(8,12)/10</calculatedColumnFormula>
    </tableColumn>
    <tableColumn id="9" xr3:uid="{C457331A-4DDD-4210-A691-38700565072D}" name="conversions" dataDxfId="85">
      <calculatedColumnFormula>ROUND(_Google_ads[[#This Row],[conversions]]*RANDBETWEEN(8,12)/10,0)</calculatedColumnFormula>
    </tableColumn>
    <tableColumn id="10" xr3:uid="{E6BCFDBD-4935-44E7-A92C-76AB21A43AF7}" name="conversion_value" dataDxfId="84">
      <calculatedColumnFormula>ROUND(_Google_ads[[#This Row],[conversion_value]]*RANDBETWEEN(8,12)/10,0)</calculatedColumnFormula>
    </tableColumn>
    <tableColumn id="11" xr3:uid="{48929B8E-7640-4A20-BAC3-28FA7654776A}" name="ctr" dataDxfId="83">
      <calculatedColumnFormula>_Google_ads[[#This Row],[ctr]]*RANDBETWEEN(8,12)/10</calculatedColumnFormula>
    </tableColumn>
    <tableColumn id="12" xr3:uid="{9A830558-8B0E-46EC-836A-6946AA1D2DF4}" name="avg_cpc" dataDxfId="82">
      <calculatedColumnFormula>_Google_ads[[#This Row],[avg_cpc]]*RANDBETWEEN(8,12)/10</calculatedColumnFormula>
    </tableColumn>
    <tableColumn id="13" xr3:uid="{9813C6D1-AF9C-43B1-8666-CAB4A215BC27}" name="quality_score" dataDxfId="81">
      <calculatedColumnFormula>ROUND(_Google_ads[[#This Row],[quality_score]]*RANDBETWEEN(8,12)/10,0)</calculatedColumnFormula>
    </tableColumn>
    <tableColumn id="14" xr3:uid="{BA5B44B7-6F39-47CE-B648-C23C6A68CDED}" name="search_impression_share" dataDxfId="80">
      <calculatedColumnFormula>_Google_ads[[#This Row],[search_impression_share]]*RANDBETWEEN(8,12)/10</calculatedColumnFormula>
    </tableColumn>
  </tableColumns>
  <tableStyleInfo name="TableStyleMedium1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74CA839E-DA3D-48F0-9243-5E863E3BA739}" name="T_Tiktok_ads1361656973778185899397" displayName="T_Tiktok_ads1361656973778185899397" ref="AD1:AT111" totalsRowShown="0" headerRowDxfId="79" dataDxfId="78" tableBorderDxfId="77">
  <autoFilter ref="AD1:AT111" xr:uid="{D6B8D61E-53FD-4052-B77C-92D1F05D8D73}"/>
  <tableColumns count="17">
    <tableColumn id="1" xr3:uid="{12BF4CB8-E339-4EB9-9CA9-3D04783C2BCD}" name="date" dataDxfId="76">
      <calculatedColumnFormula>DATE(2023,11,RANDBETWEEN(1,30))</calculatedColumnFormula>
    </tableColumn>
    <tableColumn id="2" xr3:uid="{7780DEE2-2D9A-47E1-B165-C98ABE628DF9}" name="campaign_id" dataDxfId="75"/>
    <tableColumn id="3" xr3:uid="{AA1A39F7-E973-4532-9988-E9BC1ED3DBCA}" name="campaign_name" dataDxfId="74"/>
    <tableColumn id="4" xr3:uid="{12365326-59E0-461C-BE81-D9C51A8523BA}" name="adgroup_id" dataDxfId="73"/>
    <tableColumn id="5" xr3:uid="{99CEE0BB-4109-4DD7-AB5A-2A88E221A65F}" name="adgroup_name" dataDxfId="72"/>
    <tableColumn id="6" xr3:uid="{E848FCB2-51F4-4DAF-AE16-585D13EA659F}" name="impressions" dataDxfId="71">
      <calculatedColumnFormula>ROUND(T_Tiktok_ads[[#This Row],[impressions]]*RANDBETWEEN(8,12)/10,0)</calculatedColumnFormula>
    </tableColumn>
    <tableColumn id="7" xr3:uid="{46681580-B96A-4AD8-95D8-9DD5E7E6F4C5}" name="clicks" dataDxfId="70">
      <calculatedColumnFormula>ROUND(T_Tiktok_ads[[#This Row],[clicks]]*RANDBETWEEN(8,12)/10,0)</calculatedColumnFormula>
    </tableColumn>
    <tableColumn id="8" xr3:uid="{9A1DD691-FE3B-4866-9527-F7E966FF7DB8}" name="cost" dataDxfId="69"/>
    <tableColumn id="9" xr3:uid="{40989BAA-DD00-41DE-BA8D-2F82F84624EC}" name="conversions" dataDxfId="68">
      <calculatedColumnFormula>ROUND(T_Tiktok_ads[[#This Row],[conversions]]*RANDBETWEEN(8,12)/10,0)</calculatedColumnFormula>
    </tableColumn>
    <tableColumn id="10" xr3:uid="{8BEA6EC6-80A7-4010-B7F3-A6CD72284382}" name="video_views" dataDxfId="67">
      <calculatedColumnFormula>ROUND(T_Tiktok_ads[[#This Row],[video_views]]*RANDBETWEEN(8,12)/10,0)</calculatedColumnFormula>
    </tableColumn>
    <tableColumn id="11" xr3:uid="{ADCEA572-D559-40BA-A076-B4113BDD1721}" name="video_watch_25" dataDxfId="66">
      <calculatedColumnFormula>ROUND(T_Tiktok_ads[[#This Row],[video_watch_25]]*RANDBETWEEN(8,12)/10,0)</calculatedColumnFormula>
    </tableColumn>
    <tableColumn id="12" xr3:uid="{DF20F66C-2B34-45DA-98EF-2194D18AA810}" name="video_watch_50" dataDxfId="65">
      <calculatedColumnFormula>ROUND(T_Tiktok_ads[[#This Row],[video_watch_50]]*RANDBETWEEN(8,12)/10,0)</calculatedColumnFormula>
    </tableColumn>
    <tableColumn id="13" xr3:uid="{94E511C6-4C5E-4B66-9C05-4A7A744CAA4E}" name="video_watch_75" dataDxfId="64">
      <calculatedColumnFormula>ROUND(T_Tiktok_ads[[#This Row],[video_watch_75]]*RANDBETWEEN(8,12)/10,0)</calculatedColumnFormula>
    </tableColumn>
    <tableColumn id="14" xr3:uid="{B5B80446-657D-4634-9FFE-B404A9D4B1BA}" name="video_watch_100" dataDxfId="63">
      <calculatedColumnFormula>ROUND(T_Tiktok_ads[[#This Row],[video_watch_100]]*RANDBETWEEN(8,12)/10,0)</calculatedColumnFormula>
    </tableColumn>
    <tableColumn id="15" xr3:uid="{AAD5977E-D434-4C1A-A0CF-E1D2E996FAE7}" name="likes" dataDxfId="62">
      <calculatedColumnFormula>ROUND(T_Tiktok_ads[[#This Row],[likes]]*RANDBETWEEN(8,12)/10,0)</calculatedColumnFormula>
    </tableColumn>
    <tableColumn id="16" xr3:uid="{0B3ED013-616A-4261-BEB4-1EB2E0DF4898}" name="shares" dataDxfId="61">
      <calculatedColumnFormula>ROUND(T_Tiktok_ads[[#This Row],[shares]]*RANDBETWEEN(8,12)/10,0)</calculatedColumnFormula>
    </tableColumn>
    <tableColumn id="17" xr3:uid="{971B7DEB-0B0E-475E-94F9-EAA3D17600AA}" name="comments" dataDxfId="60">
      <calculatedColumnFormula>ROUND(T_Tiktok_ads[[#This Row],[comments]]*RANDBETWEEN(8,12)/10,0)</calculatedColumnFormula>
    </tableColumn>
  </tableColumns>
  <tableStyleInfo name="TableStyleMedium8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29AB2B14-CFBB-43A4-9ECD-2C7B0B0BE15F}" name="T_Other_Campaigns1462667074788286909498" displayName="T_Other_Campaigns1462667074788286909498" ref="AV1:BB111" totalsRowShown="0">
  <autoFilter ref="AV1:BB111" xr:uid="{73059325-26A5-411A-8C53-4F181AE56BDF}"/>
  <tableColumns count="7">
    <tableColumn id="1" xr3:uid="{CAF596A3-3182-4B82-A280-15ED35DFB0DF}" name="date" dataDxfId="59">
      <calculatedColumnFormula>DATE(2023,11,RANDBETWEEN(1,30))</calculatedColumnFormula>
    </tableColumn>
    <tableColumn id="2" xr3:uid="{B42C9B80-5A55-46A2-B2C6-528E689B63F2}" name="campaign_id">
      <calculatedColumnFormula>RANDBETWEEN(1,8)</calculatedColumnFormula>
    </tableColumn>
    <tableColumn id="3" xr3:uid="{A35CA9F6-3E3E-471D-A370-7C08CD60F1A3}" name="impressions" dataDxfId="58">
      <calculatedColumnFormula>ROUND(T_Facebook_Ads1159636771757983879195[[#This Row],[impressions]]*RANDBETWEEN(8,12)/10,0)</calculatedColumnFormula>
    </tableColumn>
    <tableColumn id="4" xr3:uid="{055327A1-04D5-41BE-99D8-ACFF1076F9CF}" name="clicks" dataDxfId="57">
      <calculatedColumnFormula>ROUND(T_Facebook_Ads1159636771757983879195[[#This Row],[clicks]]*RANDBETWEEN(8,12)/10,0)</calculatedColumnFormula>
    </tableColumn>
    <tableColumn id="5" xr3:uid="{09CC11E8-AD89-434A-A1E5-92C4C9BFDC9D}" name="spend">
      <calculatedColumnFormula>T_Facebook_Ads1159636771757983879195[[#This Row],[spend]]*RANDBETWEEN(8,12)/10</calculatedColumnFormula>
    </tableColumn>
    <tableColumn id="6" xr3:uid="{513025E3-A430-47E0-BCA4-FCAA8EEA1EDA}" name="conversions">
      <calculatedColumnFormula>ROUND(T_Facebook_Ads1159636771757983879195[[#This Row],[conversions]]*RANDBETWEEN(8,12)/10,0)</calculatedColumnFormula>
    </tableColumn>
    <tableColumn id="7" xr3:uid="{2D50CA86-FE46-4BEE-92C4-620A2352A407}" name="video_views">
      <calculatedColumnFormula>ROUND(T_Facebook_Ads1159636771757983879195[[#This Row],[video_views]]*RANDBETWEEN(8,12)/10,0)</calculatedColumnFormula>
    </tableColumn>
  </tableColumns>
  <tableStyleInfo name="TableStyleMedium1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2C2AD5DA-6DDB-42A5-B923-0C002EB88F45}" name="T_Facebook_Ads115963677175798387919599" displayName="T_Facebook_Ads115963677175798387919599" ref="A1:M111" totalsRowShown="0" headerRowDxfId="56" dataDxfId="55" tableBorderDxfId="54">
  <autoFilter ref="A1:M111" xr:uid="{AD5A7780-FADE-4A83-84B7-71E8542889EC}"/>
  <tableColumns count="13">
    <tableColumn id="1" xr3:uid="{A658150D-C43C-4537-901B-741DAC2DF94D}" name="date" dataDxfId="53">
      <calculatedColumnFormula>DATE(2023,12,RANDBETWEEN(1,31))</calculatedColumnFormula>
    </tableColumn>
    <tableColumn id="2" xr3:uid="{5C255075-94DB-42C7-A05B-BB1E5CFBC41A}" name="campaign_id" dataDxfId="52"/>
    <tableColumn id="3" xr3:uid="{47235679-DBD4-4A87-AE87-DC47474AD068}" name="campaign_name" dataDxfId="51"/>
    <tableColumn id="4" xr3:uid="{D703B89C-22D3-42AE-A75F-5A99FF40525D}" name="ad_set_id" dataDxfId="50"/>
    <tableColumn id="5" xr3:uid="{D15D74AF-575C-4B46-ACA2-6CF412967F13}" name="ad_set_name" dataDxfId="49"/>
    <tableColumn id="6" xr3:uid="{4653CEA1-411D-449D-8BBB-D1056F0C9575}" name="impressions" dataDxfId="48">
      <calculatedColumnFormula>ROUND(T_Facebook_Ads[[#This Row],[impressions]]*RANDBETWEEN(8,12)/10,0)</calculatedColumnFormula>
    </tableColumn>
    <tableColumn id="7" xr3:uid="{497BC727-8F55-4C42-BDAE-E96CFDD35B27}" name="clicks" dataDxfId="47"/>
    <tableColumn id="8" xr3:uid="{41A8A496-8373-477F-A18E-2B13B57FD393}" name="spend" dataDxfId="46">
      <calculatedColumnFormula>T_Facebook_Ads[[#This Row],[spend]]*RANDBETWEEN(8,12)/10</calculatedColumnFormula>
    </tableColumn>
    <tableColumn id="9" xr3:uid="{11B3DB13-7B7D-407F-9C46-1FC9E14A3D47}" name="conversions" dataDxfId="45">
      <calculatedColumnFormula>ROUND(T_Facebook_Ads[[#This Row],[conversions]]*RANDBETWEEN(8,12)/10,0)</calculatedColumnFormula>
    </tableColumn>
    <tableColumn id="10" xr3:uid="{10443720-B4B5-478A-91AC-F0043E50296F}" name="video_views" dataDxfId="44">
      <calculatedColumnFormula>ROUND(T_Facebook_Ads[[#This Row],[video_views]]*RANDBETWEEN(8,12)/10,0)</calculatedColumnFormula>
    </tableColumn>
    <tableColumn id="11" xr3:uid="{460B5935-4CB4-41FF-96FF-8067284C9E62}" name="engagement_rate" dataDxfId="43">
      <calculatedColumnFormula>T_Facebook_Ads[[#This Row],[engagement_rate]]*RANDBETWEEN(8,12)/10</calculatedColumnFormula>
    </tableColumn>
    <tableColumn id="12" xr3:uid="{B9DE3B4D-C6A5-4DA2-8B07-A8FB85330EA1}" name="reach" dataDxfId="42">
      <calculatedColumnFormula>ROUND(T_Facebook_Ads[[#This Row],[reach]]*RANDBETWEEN(8,12)/10,0)</calculatedColumnFormula>
    </tableColumn>
    <tableColumn id="13" xr3:uid="{796AB72C-5C51-4E70-A95F-E23C417D1ACE}" name="frequency" dataDxfId="41">
      <calculatedColumnFormula>T_Facebook_Ads[[#This Row],[frequency]]*RANDBETWEEN(8,12)/10</calculatedColumnFormula>
    </tableColumn>
  </tableColumns>
  <tableStyleInfo name="TableStyleMedium8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548E75C2-98CA-4531-91CD-909DB14EE071}" name="_Google_ads1260646872768084889296100" displayName="_Google_ads1260646872768084889296100" ref="O1:AB111" totalsRowShown="0" headerRowDxfId="40" dataDxfId="39" tableBorderDxfId="38">
  <autoFilter ref="O1:AB111" xr:uid="{B7D4B46A-853B-4EEA-97CD-AC4A9B0C50BA}"/>
  <tableColumns count="14">
    <tableColumn id="1" xr3:uid="{312B5F2C-5B39-47F3-90AF-98F5DAA5691A}" name="date" dataDxfId="37">
      <calculatedColumnFormula>DATE(2023,12,RANDBETWEEN(1,31))</calculatedColumnFormula>
    </tableColumn>
    <tableColumn id="2" xr3:uid="{94491211-9E80-429A-A651-72E39A54B8AE}" name="campaign_id" dataDxfId="36"/>
    <tableColumn id="3" xr3:uid="{E2A9529F-6F51-4B22-B6A2-9CE0AFF584B7}" name="campaign_name" dataDxfId="35"/>
    <tableColumn id="4" xr3:uid="{A2739A30-E9BF-4137-AF60-AFAF367D7EF3}" name="ad_group_id" dataDxfId="34"/>
    <tableColumn id="5" xr3:uid="{6FA3ABCE-9039-41D2-A296-F6216576E48A}" name="ad_group_name" dataDxfId="33"/>
    <tableColumn id="6" xr3:uid="{4F0405E3-64BC-4BF8-B0B8-7149C83C5DF0}" name="impressions" dataDxfId="32">
      <calculatedColumnFormula>ROUND(_Google_ads[[#This Row],[impressions]]*RANDBETWEEN(8,12)/10,0)</calculatedColumnFormula>
    </tableColumn>
    <tableColumn id="7" xr3:uid="{C002F0FB-F535-4170-9CF0-2681F8B8AF2F}" name="clicks" dataDxfId="31">
      <calculatedColumnFormula>ROUND(_Google_ads[[#This Row],[clicks]]*RANDBETWEEN(8,12)/10,0)</calculatedColumnFormula>
    </tableColumn>
    <tableColumn id="8" xr3:uid="{42B24E7A-4F0D-4878-817E-9A998E86DFB8}" name="cost" dataDxfId="30">
      <calculatedColumnFormula>_Google_ads[[#This Row],[cost]]*RANDBETWEEN(8,12)/10</calculatedColumnFormula>
    </tableColumn>
    <tableColumn id="9" xr3:uid="{8ED8DFB5-A188-4CAD-BBC1-D58FEB4DAB78}" name="conversions" dataDxfId="29">
      <calculatedColumnFormula>ROUND(_Google_ads[[#This Row],[conversions]]*RANDBETWEEN(8,12)/10,0)</calculatedColumnFormula>
    </tableColumn>
    <tableColumn id="10" xr3:uid="{7AD48B1F-9067-4A59-B9E6-FC49F37B8FBE}" name="conversion_value" dataDxfId="28">
      <calculatedColumnFormula>ROUND(_Google_ads[[#This Row],[conversion_value]]*RANDBETWEEN(8,12)/10,0)</calculatedColumnFormula>
    </tableColumn>
    <tableColumn id="11" xr3:uid="{02DFAF7A-DF6A-4E61-83A1-495401FD4C0B}" name="ctr" dataDxfId="27">
      <calculatedColumnFormula>_Google_ads[[#This Row],[ctr]]*RANDBETWEEN(8,12)/10</calculatedColumnFormula>
    </tableColumn>
    <tableColumn id="12" xr3:uid="{D3B67D66-7D78-4106-B1CB-C43D2D1C5709}" name="avg_cpc" dataDxfId="26">
      <calculatedColumnFormula>_Google_ads[[#This Row],[avg_cpc]]*RANDBETWEEN(8,12)/10</calculatedColumnFormula>
    </tableColumn>
    <tableColumn id="13" xr3:uid="{4D9F69FC-8176-41EB-90EF-320C3DDA301E}" name="quality_score" dataDxfId="25">
      <calculatedColumnFormula>ROUND(_Google_ads[[#This Row],[quality_score]]*RANDBETWEEN(8,12)/10,0)</calculatedColumnFormula>
    </tableColumn>
    <tableColumn id="14" xr3:uid="{272E3151-F0E0-41CB-8896-7A52FC98F58D}" name="search_impression_share" dataDxfId="24">
      <calculatedColumnFormula>_Google_ads[[#This Row],[search_impression_share]]*RANDBETWEEN(8,12)/10</calculatedColumnFormula>
    </tableColumn>
  </tableColumns>
  <tableStyleInfo name="TableStyleMedium1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9F55CE42-0BD0-4C08-9B60-650E82A3AFE5}" name="T_Tiktok_ads1361656973778185899397101" displayName="T_Tiktok_ads1361656973778185899397101" ref="AD1:AT111" totalsRowShown="0" headerRowDxfId="23" dataDxfId="22" tableBorderDxfId="21">
  <autoFilter ref="AD1:AT111" xr:uid="{D6B8D61E-53FD-4052-B77C-92D1F05D8D73}"/>
  <tableColumns count="17">
    <tableColumn id="1" xr3:uid="{538BC2C0-1DC7-48D5-B217-9355BD822C56}" name="date" dataDxfId="20">
      <calculatedColumnFormula>DATE(2023,12,RANDBETWEEN(1,31))</calculatedColumnFormula>
    </tableColumn>
    <tableColumn id="2" xr3:uid="{8E80666C-5074-487A-B9C2-92D7BC15D5BD}" name="campaign_id" dataDxfId="19"/>
    <tableColumn id="3" xr3:uid="{D9CF380A-BD38-425B-BFC6-1C407AE00924}" name="campaign_name" dataDxfId="18"/>
    <tableColumn id="4" xr3:uid="{3E0E9BE2-A961-4119-BD92-ADBE53CEF749}" name="adgroup_id" dataDxfId="17"/>
    <tableColumn id="5" xr3:uid="{A13189BD-65FF-45D0-AEF9-9172945480F0}" name="adgroup_name" dataDxfId="16"/>
    <tableColumn id="6" xr3:uid="{055729C3-362E-41E8-8CB5-750D8606F259}" name="impressions" dataDxfId="15">
      <calculatedColumnFormula>ROUND(T_Tiktok_ads[[#This Row],[impressions]]*RANDBETWEEN(8,12)/10,0)</calculatedColumnFormula>
    </tableColumn>
    <tableColumn id="7" xr3:uid="{8A344878-C6A6-4150-9B12-8D5E4E44D84B}" name="clicks" dataDxfId="14">
      <calculatedColumnFormula>ROUND(T_Tiktok_ads[[#This Row],[clicks]]*RANDBETWEEN(8,12)/10,0)</calculatedColumnFormula>
    </tableColumn>
    <tableColumn id="8" xr3:uid="{B2364E45-8754-47CC-8E17-18FCDB37E784}" name="cost" dataDxfId="13"/>
    <tableColumn id="9" xr3:uid="{CC16D0A9-0705-4AF6-BFD9-E58FF99CBC22}" name="conversions" dataDxfId="12">
      <calculatedColumnFormula>ROUND(T_Tiktok_ads[[#This Row],[conversions]]*RANDBETWEEN(8,12)/10,0)</calculatedColumnFormula>
    </tableColumn>
    <tableColumn id="10" xr3:uid="{AFD5A183-860E-4EB6-837B-C42F7D22511B}" name="video_views" dataDxfId="11">
      <calculatedColumnFormula>ROUND(T_Tiktok_ads[[#This Row],[video_views]]*RANDBETWEEN(8,12)/10,0)</calculatedColumnFormula>
    </tableColumn>
    <tableColumn id="11" xr3:uid="{E13AD965-D8ED-4BF0-80FC-A3892FBF13BE}" name="video_watch_25" dataDxfId="10">
      <calculatedColumnFormula>ROUND(T_Tiktok_ads[[#This Row],[video_watch_25]]*RANDBETWEEN(8,12)/10,0)</calculatedColumnFormula>
    </tableColumn>
    <tableColumn id="12" xr3:uid="{591A3214-8E2D-4B47-B258-CF560E17A087}" name="video_watch_50" dataDxfId="9">
      <calculatedColumnFormula>ROUND(T_Tiktok_ads[[#This Row],[video_watch_50]]*RANDBETWEEN(8,12)/10,0)</calculatedColumnFormula>
    </tableColumn>
    <tableColumn id="13" xr3:uid="{99321CC2-AE74-4C71-A4F0-8636D2B2218C}" name="video_watch_75" dataDxfId="8">
      <calculatedColumnFormula>ROUND(T_Tiktok_ads[[#This Row],[video_watch_75]]*RANDBETWEEN(8,12)/10,0)</calculatedColumnFormula>
    </tableColumn>
    <tableColumn id="14" xr3:uid="{A4604A87-5D72-450D-9A1A-9A01139BFB1B}" name="video_watch_100" dataDxfId="7">
      <calculatedColumnFormula>ROUND(T_Tiktok_ads[[#This Row],[video_watch_100]]*RANDBETWEEN(8,12)/10,0)</calculatedColumnFormula>
    </tableColumn>
    <tableColumn id="15" xr3:uid="{CFE43D8D-E3D2-4451-B530-58545F6E515C}" name="likes" dataDxfId="6">
      <calculatedColumnFormula>ROUND(T_Tiktok_ads[[#This Row],[likes]]*RANDBETWEEN(8,12)/10,0)</calculatedColumnFormula>
    </tableColumn>
    <tableColumn id="16" xr3:uid="{E790C80C-270A-45C0-BD3A-1B8B83145F6B}" name="shares" dataDxfId="5">
      <calculatedColumnFormula>ROUND(T_Tiktok_ads[[#This Row],[shares]]*RANDBETWEEN(8,12)/10,0)</calculatedColumnFormula>
    </tableColumn>
    <tableColumn id="17" xr3:uid="{04BB3085-DE85-4BFD-93AF-D09CCF967C01}" name="comments" dataDxfId="4">
      <calculatedColumnFormula>ROUND(T_Tiktok_ads[[#This Row],[comments]]*RANDBETWEEN(8,12)/10,0)</calculatedColumnFormula>
    </tableColumn>
  </tableColumns>
  <tableStyleInfo name="TableStyleMedium8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1E30A4B0-6AA9-4D2B-B7D8-3A39E42AB492}" name="T_Other_Campaigns1462667074788286909498102" displayName="T_Other_Campaigns1462667074788286909498102" ref="AV1:BB111" totalsRowShown="0">
  <autoFilter ref="AV1:BB111" xr:uid="{73059325-26A5-411A-8C53-4F181AE56BDF}"/>
  <tableColumns count="7">
    <tableColumn id="1" xr3:uid="{EC40698F-55CE-4CC8-9593-40A2B44FB67D}" name="date" dataDxfId="3">
      <calculatedColumnFormula>DATE(2023,12,RANDBETWEEN(1,31))</calculatedColumnFormula>
    </tableColumn>
    <tableColumn id="2" xr3:uid="{849985EF-E5B3-490A-A6C7-81376AB04CB8}" name="campaign_id">
      <calculatedColumnFormula>RANDBETWEEN(1,8)</calculatedColumnFormula>
    </tableColumn>
    <tableColumn id="3" xr3:uid="{D2171E2B-1BEE-4090-8168-6260F870707F}" name="impressions" dataDxfId="2">
      <calculatedColumnFormula>ROUND(T_Facebook_Ads115963677175798387919599[[#This Row],[impressions]]*RANDBETWEEN(8,12)/10,0)</calculatedColumnFormula>
    </tableColumn>
    <tableColumn id="4" xr3:uid="{4C4468B2-F54D-44AC-A17E-FAC2DEF2EC0E}" name="clicks" dataDxfId="1">
      <calculatedColumnFormula>ROUND(T_Facebook_Ads115963677175798387919599[[#This Row],[clicks]]*RANDBETWEEN(8,12)/10,0)</calculatedColumnFormula>
    </tableColumn>
    <tableColumn id="5" xr3:uid="{BF71B267-1AE1-4D6A-9F9F-255E92F7E59C}" name="spend">
      <calculatedColumnFormula>T_Facebook_Ads115963677175798387919599[[#This Row],[spend]]*RANDBETWEEN(8,12)/10</calculatedColumnFormula>
    </tableColumn>
    <tableColumn id="6" xr3:uid="{6565462C-6CA1-4504-8A31-E09DFABE86F4}" name="conversions">
      <calculatedColumnFormula>ROUND(T_Facebook_Ads115963677175798387919599[[#This Row],[conversions]]*RANDBETWEEN(8,12)/10,0)</calculatedColumnFormula>
    </tableColumn>
    <tableColumn id="7" xr3:uid="{AC8B2149-A9E1-4F79-BA13-13D6622E8073}" name="video_views">
      <calculatedColumnFormula>ROUND(T_Facebook_Ads115963677175798387919599[[#This Row],[video_views]]*RANDBETWEEN(8,12)/10,0)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8.xml"/><Relationship Id="rId4" Type="http://schemas.openxmlformats.org/officeDocument/2006/relationships/table" Target="../tables/table7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2.bin"/><Relationship Id="rId5" Type="http://schemas.openxmlformats.org/officeDocument/2006/relationships/table" Target="../tables/table12.xml"/><Relationship Id="rId4" Type="http://schemas.openxmlformats.org/officeDocument/2006/relationships/table" Target="../tables/table1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3.bin"/><Relationship Id="rId5" Type="http://schemas.openxmlformats.org/officeDocument/2006/relationships/table" Target="../tables/table16.xml"/><Relationship Id="rId4" Type="http://schemas.openxmlformats.org/officeDocument/2006/relationships/table" Target="../tables/table15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.xml"/><Relationship Id="rId2" Type="http://schemas.openxmlformats.org/officeDocument/2006/relationships/table" Target="../tables/table17.xml"/><Relationship Id="rId1" Type="http://schemas.openxmlformats.org/officeDocument/2006/relationships/printerSettings" Target="../printerSettings/printerSettings4.bin"/><Relationship Id="rId5" Type="http://schemas.openxmlformats.org/officeDocument/2006/relationships/table" Target="../tables/table20.xml"/><Relationship Id="rId4" Type="http://schemas.openxmlformats.org/officeDocument/2006/relationships/table" Target="../tables/table19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2.xml"/><Relationship Id="rId2" Type="http://schemas.openxmlformats.org/officeDocument/2006/relationships/table" Target="../tables/table21.xml"/><Relationship Id="rId1" Type="http://schemas.openxmlformats.org/officeDocument/2006/relationships/printerSettings" Target="../printerSettings/printerSettings5.bin"/><Relationship Id="rId5" Type="http://schemas.openxmlformats.org/officeDocument/2006/relationships/table" Target="../tables/table24.xml"/><Relationship Id="rId4" Type="http://schemas.openxmlformats.org/officeDocument/2006/relationships/table" Target="../tables/table2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6.xml"/><Relationship Id="rId2" Type="http://schemas.openxmlformats.org/officeDocument/2006/relationships/table" Target="../tables/table25.xml"/><Relationship Id="rId1" Type="http://schemas.openxmlformats.org/officeDocument/2006/relationships/printerSettings" Target="../printerSettings/printerSettings6.bin"/><Relationship Id="rId5" Type="http://schemas.openxmlformats.org/officeDocument/2006/relationships/table" Target="../tables/table28.xml"/><Relationship Id="rId4" Type="http://schemas.openxmlformats.org/officeDocument/2006/relationships/table" Target="../tables/table2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0.xml"/><Relationship Id="rId2" Type="http://schemas.openxmlformats.org/officeDocument/2006/relationships/table" Target="../tables/table29.xml"/><Relationship Id="rId1" Type="http://schemas.openxmlformats.org/officeDocument/2006/relationships/printerSettings" Target="../printerSettings/printerSettings7.bin"/><Relationship Id="rId5" Type="http://schemas.openxmlformats.org/officeDocument/2006/relationships/table" Target="../tables/table32.xml"/><Relationship Id="rId4" Type="http://schemas.openxmlformats.org/officeDocument/2006/relationships/table" Target="../tables/table31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4.xml"/><Relationship Id="rId2" Type="http://schemas.openxmlformats.org/officeDocument/2006/relationships/table" Target="../tables/table33.xml"/><Relationship Id="rId1" Type="http://schemas.openxmlformats.org/officeDocument/2006/relationships/printerSettings" Target="../printerSettings/printerSettings8.bin"/><Relationship Id="rId5" Type="http://schemas.openxmlformats.org/officeDocument/2006/relationships/table" Target="../tables/table36.xml"/><Relationship Id="rId4" Type="http://schemas.openxmlformats.org/officeDocument/2006/relationships/table" Target="../tables/table35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8.xml"/><Relationship Id="rId2" Type="http://schemas.openxmlformats.org/officeDocument/2006/relationships/table" Target="../tables/table37.xml"/><Relationship Id="rId1" Type="http://schemas.openxmlformats.org/officeDocument/2006/relationships/printerSettings" Target="../printerSettings/printerSettings9.bin"/><Relationship Id="rId5" Type="http://schemas.openxmlformats.org/officeDocument/2006/relationships/table" Target="../tables/table40.xml"/><Relationship Id="rId4" Type="http://schemas.openxmlformats.org/officeDocument/2006/relationships/table" Target="../tables/table39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2.xml"/><Relationship Id="rId2" Type="http://schemas.openxmlformats.org/officeDocument/2006/relationships/table" Target="../tables/table41.xml"/><Relationship Id="rId1" Type="http://schemas.openxmlformats.org/officeDocument/2006/relationships/printerSettings" Target="../printerSettings/printerSettings10.bin"/><Relationship Id="rId5" Type="http://schemas.openxmlformats.org/officeDocument/2006/relationships/table" Target="../tables/table44.xml"/><Relationship Id="rId4" Type="http://schemas.openxmlformats.org/officeDocument/2006/relationships/table" Target="../tables/table43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6.xml"/><Relationship Id="rId2" Type="http://schemas.openxmlformats.org/officeDocument/2006/relationships/table" Target="../tables/table45.xml"/><Relationship Id="rId1" Type="http://schemas.openxmlformats.org/officeDocument/2006/relationships/printerSettings" Target="../printerSettings/printerSettings11.bin"/><Relationship Id="rId5" Type="http://schemas.openxmlformats.org/officeDocument/2006/relationships/table" Target="../tables/table48.xml"/><Relationship Id="rId4" Type="http://schemas.openxmlformats.org/officeDocument/2006/relationships/table" Target="../tables/table47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0.xml"/><Relationship Id="rId2" Type="http://schemas.openxmlformats.org/officeDocument/2006/relationships/table" Target="../tables/table49.xml"/><Relationship Id="rId1" Type="http://schemas.openxmlformats.org/officeDocument/2006/relationships/printerSettings" Target="../printerSettings/printerSettings12.bin"/><Relationship Id="rId5" Type="http://schemas.openxmlformats.org/officeDocument/2006/relationships/table" Target="../tables/table52.xml"/><Relationship Id="rId4" Type="http://schemas.openxmlformats.org/officeDocument/2006/relationships/table" Target="../tables/table51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4.xml"/><Relationship Id="rId2" Type="http://schemas.openxmlformats.org/officeDocument/2006/relationships/table" Target="../tables/table53.xml"/><Relationship Id="rId1" Type="http://schemas.openxmlformats.org/officeDocument/2006/relationships/printerSettings" Target="../printerSettings/printerSettings13.bin"/><Relationship Id="rId5" Type="http://schemas.openxmlformats.org/officeDocument/2006/relationships/table" Target="../tables/table56.xml"/><Relationship Id="rId4" Type="http://schemas.openxmlformats.org/officeDocument/2006/relationships/table" Target="../tables/table5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3EBD4-F303-4945-A553-A24F9CDFF90F}">
  <dimension ref="A1:L9"/>
  <sheetViews>
    <sheetView workbookViewId="0">
      <selection activeCell="C28" sqref="C28"/>
    </sheetView>
  </sheetViews>
  <sheetFormatPr baseColWidth="10" defaultRowHeight="15" x14ac:dyDescent="0.25"/>
  <cols>
    <col min="2" max="2" width="17.7109375" customWidth="1"/>
    <col min="4" max="4" width="13.28515625" customWidth="1"/>
    <col min="5" max="5" width="16.7109375" customWidth="1"/>
    <col min="6" max="6" width="6" customWidth="1"/>
    <col min="7" max="7" width="8.42578125" bestFit="1" customWidth="1"/>
    <col min="8" max="8" width="17.28515625" bestFit="1" customWidth="1"/>
    <col min="9" max="9" width="28.7109375" bestFit="1" customWidth="1"/>
    <col min="10" max="10" width="6.7109375" customWidth="1"/>
    <col min="11" max="11" width="14.7109375" customWidth="1"/>
    <col min="12" max="12" width="35.7109375" bestFit="1" customWidth="1"/>
    <col min="15" max="15" width="15.5703125" bestFit="1" customWidth="1"/>
  </cols>
  <sheetData>
    <row r="1" spans="1:12" x14ac:dyDescent="0.25">
      <c r="A1" t="s">
        <v>22</v>
      </c>
      <c r="B1" t="s">
        <v>23</v>
      </c>
      <c r="D1" t="s">
        <v>4</v>
      </c>
      <c r="E1" t="s">
        <v>5</v>
      </c>
      <c r="G1" t="s">
        <v>6</v>
      </c>
      <c r="H1" t="s">
        <v>7</v>
      </c>
      <c r="I1" t="s">
        <v>14</v>
      </c>
      <c r="K1" t="s">
        <v>20</v>
      </c>
      <c r="L1" t="s">
        <v>21</v>
      </c>
    </row>
    <row r="2" spans="1:12" x14ac:dyDescent="0.25">
      <c r="A2">
        <v>1</v>
      </c>
      <c r="B2" t="s">
        <v>24</v>
      </c>
      <c r="D2">
        <v>1</v>
      </c>
      <c r="E2" t="s">
        <v>0</v>
      </c>
      <c r="G2">
        <v>1</v>
      </c>
      <c r="H2" t="s">
        <v>13</v>
      </c>
      <c r="I2" t="s">
        <v>15</v>
      </c>
      <c r="K2">
        <v>1</v>
      </c>
      <c r="L2" t="s">
        <v>31</v>
      </c>
    </row>
    <row r="3" spans="1:12" x14ac:dyDescent="0.25">
      <c r="A3">
        <v>2</v>
      </c>
      <c r="B3" t="s">
        <v>25</v>
      </c>
      <c r="D3">
        <v>2</v>
      </c>
      <c r="E3" t="s">
        <v>1</v>
      </c>
      <c r="G3">
        <v>6</v>
      </c>
      <c r="H3" t="s">
        <v>11</v>
      </c>
      <c r="I3" t="s">
        <v>18</v>
      </c>
      <c r="K3">
        <v>2</v>
      </c>
      <c r="L3" t="s">
        <v>32</v>
      </c>
    </row>
    <row r="4" spans="1:12" x14ac:dyDescent="0.25">
      <c r="A4">
        <v>3</v>
      </c>
      <c r="B4" t="s">
        <v>26</v>
      </c>
      <c r="D4">
        <v>3</v>
      </c>
      <c r="E4" t="s">
        <v>2</v>
      </c>
      <c r="G4">
        <v>4</v>
      </c>
      <c r="H4" t="s">
        <v>9</v>
      </c>
      <c r="K4">
        <v>3</v>
      </c>
      <c r="L4" t="s">
        <v>33</v>
      </c>
    </row>
    <row r="5" spans="1:12" x14ac:dyDescent="0.25">
      <c r="A5">
        <v>4</v>
      </c>
      <c r="B5" t="s">
        <v>27</v>
      </c>
      <c r="D5">
        <v>4</v>
      </c>
      <c r="E5" t="s">
        <v>3</v>
      </c>
      <c r="G5">
        <v>5</v>
      </c>
      <c r="H5" t="s">
        <v>10</v>
      </c>
      <c r="I5" t="s">
        <v>17</v>
      </c>
      <c r="K5">
        <v>4</v>
      </c>
      <c r="L5" t="s">
        <v>34</v>
      </c>
    </row>
    <row r="6" spans="1:12" x14ac:dyDescent="0.25">
      <c r="A6">
        <v>5</v>
      </c>
      <c r="B6" t="s">
        <v>28</v>
      </c>
      <c r="G6">
        <v>7</v>
      </c>
      <c r="H6" t="s">
        <v>10</v>
      </c>
      <c r="I6" t="s">
        <v>19</v>
      </c>
      <c r="K6">
        <v>5</v>
      </c>
      <c r="L6" t="s">
        <v>35</v>
      </c>
    </row>
    <row r="7" spans="1:12" x14ac:dyDescent="0.25">
      <c r="A7">
        <v>6</v>
      </c>
      <c r="B7" t="s">
        <v>29</v>
      </c>
      <c r="G7">
        <v>3</v>
      </c>
      <c r="H7" t="s">
        <v>12</v>
      </c>
      <c r="I7" t="s">
        <v>16</v>
      </c>
      <c r="K7">
        <v>6</v>
      </c>
      <c r="L7" t="s">
        <v>36</v>
      </c>
    </row>
    <row r="8" spans="1:12" x14ac:dyDescent="0.25">
      <c r="A8">
        <v>7</v>
      </c>
      <c r="B8" t="s">
        <v>30</v>
      </c>
      <c r="G8">
        <v>2</v>
      </c>
      <c r="H8" t="s">
        <v>8</v>
      </c>
      <c r="K8">
        <v>7</v>
      </c>
      <c r="L8" t="s">
        <v>37</v>
      </c>
    </row>
    <row r="9" spans="1:12" x14ac:dyDescent="0.25">
      <c r="K9">
        <v>8</v>
      </c>
      <c r="L9" t="s">
        <v>38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5CE01-057A-4239-A601-BD0F67FB0882}">
  <dimension ref="A1:BB111"/>
  <sheetViews>
    <sheetView topLeftCell="P1" workbookViewId="0">
      <selection activeCell="T3" sqref="T3"/>
    </sheetView>
  </sheetViews>
  <sheetFormatPr baseColWidth="10" defaultRowHeight="15" x14ac:dyDescent="0.25"/>
  <cols>
    <col min="2" max="2" width="14.42578125" customWidth="1"/>
    <col min="3" max="3" width="19.85546875" bestFit="1" customWidth="1"/>
    <col min="5" max="5" width="18.28515625" bestFit="1" customWidth="1"/>
    <col min="6" max="6" width="13.7109375" customWidth="1"/>
    <col min="9" max="10" width="13.7109375" customWidth="1"/>
    <col min="11" max="11" width="18.42578125" customWidth="1"/>
    <col min="13" max="13" width="12" customWidth="1"/>
    <col min="16" max="16" width="14.42578125" customWidth="1"/>
    <col min="17" max="17" width="18.5703125" bestFit="1" customWidth="1"/>
    <col min="18" max="18" width="14" customWidth="1"/>
    <col min="19" max="19" width="17.140625" customWidth="1"/>
    <col min="20" max="20" width="13.7109375" customWidth="1"/>
    <col min="21" max="21" width="8.140625" customWidth="1"/>
    <col min="22" max="22" width="6.85546875" customWidth="1"/>
    <col min="23" max="23" width="13.7109375" customWidth="1"/>
    <col min="24" max="24" width="18.42578125" customWidth="1"/>
    <col min="25" max="25" width="6.140625" bestFit="1" customWidth="1"/>
    <col min="26" max="26" width="10.28515625" customWidth="1"/>
    <col min="27" max="27" width="14.85546875" customWidth="1"/>
    <col min="28" max="28" width="25" customWidth="1"/>
    <col min="29" max="29" width="6.85546875" customWidth="1"/>
    <col min="30" max="30" width="8.42578125" bestFit="1" customWidth="1"/>
    <col min="31" max="31" width="14.42578125" customWidth="1"/>
    <col min="32" max="32" width="17.5703125" customWidth="1"/>
    <col min="33" max="33" width="13.140625" customWidth="1"/>
    <col min="34" max="34" width="16.28515625" customWidth="1"/>
    <col min="35" max="35" width="13.7109375" customWidth="1"/>
    <col min="36" max="36" width="8.140625" customWidth="1"/>
    <col min="37" max="37" width="6.85546875" customWidth="1"/>
    <col min="38" max="39" width="13.7109375" customWidth="1"/>
    <col min="40" max="42" width="17" customWidth="1"/>
    <col min="43" max="43" width="18" customWidth="1"/>
    <col min="44" max="44" width="7.140625" customWidth="1"/>
    <col min="45" max="45" width="8.7109375" customWidth="1"/>
    <col min="46" max="46" width="12.42578125" customWidth="1"/>
    <col min="49" max="49" width="14.28515625" customWidth="1"/>
    <col min="50" max="50" width="13.85546875" customWidth="1"/>
    <col min="53" max="53" width="13.7109375" customWidth="1"/>
    <col min="54" max="54" width="14.28515625" customWidth="1"/>
  </cols>
  <sheetData>
    <row r="1" spans="1:54" ht="15.75" thickBot="1" x14ac:dyDescent="0.3">
      <c r="A1" s="2" t="s">
        <v>39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  <c r="O1" s="2" t="s">
        <v>39</v>
      </c>
      <c r="P1" s="1" t="s">
        <v>40</v>
      </c>
      <c r="Q1" s="1" t="s">
        <v>41</v>
      </c>
      <c r="R1" s="1" t="s">
        <v>68</v>
      </c>
      <c r="S1" s="1" t="s">
        <v>69</v>
      </c>
      <c r="T1" s="1" t="s">
        <v>44</v>
      </c>
      <c r="U1" s="1" t="s">
        <v>45</v>
      </c>
      <c r="V1" s="1" t="s">
        <v>70</v>
      </c>
      <c r="W1" s="1" t="s">
        <v>47</v>
      </c>
      <c r="X1" s="1" t="s">
        <v>71</v>
      </c>
      <c r="Y1" s="1" t="s">
        <v>72</v>
      </c>
      <c r="Z1" s="1" t="s">
        <v>73</v>
      </c>
      <c r="AA1" s="1" t="s">
        <v>74</v>
      </c>
      <c r="AB1" s="1" t="s">
        <v>75</v>
      </c>
      <c r="AD1" s="2" t="s">
        <v>39</v>
      </c>
      <c r="AE1" s="1" t="s">
        <v>40</v>
      </c>
      <c r="AF1" s="1" t="s">
        <v>41</v>
      </c>
      <c r="AG1" s="1" t="s">
        <v>91</v>
      </c>
      <c r="AH1" s="1" t="s">
        <v>92</v>
      </c>
      <c r="AI1" s="1" t="s">
        <v>44</v>
      </c>
      <c r="AJ1" s="1" t="s">
        <v>45</v>
      </c>
      <c r="AK1" s="1" t="s">
        <v>70</v>
      </c>
      <c r="AL1" s="1" t="s">
        <v>47</v>
      </c>
      <c r="AM1" s="1" t="s">
        <v>48</v>
      </c>
      <c r="AN1" s="1" t="s">
        <v>93</v>
      </c>
      <c r="AO1" s="1" t="s">
        <v>94</v>
      </c>
      <c r="AP1" s="1" t="s">
        <v>95</v>
      </c>
      <c r="AQ1" s="1" t="s">
        <v>96</v>
      </c>
      <c r="AR1" s="1" t="s">
        <v>97</v>
      </c>
      <c r="AS1" s="1" t="s">
        <v>98</v>
      </c>
      <c r="AT1" s="1" t="s">
        <v>99</v>
      </c>
      <c r="AV1" t="s">
        <v>39</v>
      </c>
      <c r="AW1" t="s">
        <v>40</v>
      </c>
      <c r="AX1" t="s">
        <v>44</v>
      </c>
      <c r="AY1" t="s">
        <v>45</v>
      </c>
      <c r="AZ1" t="s">
        <v>46</v>
      </c>
      <c r="BA1" t="s">
        <v>47</v>
      </c>
      <c r="BB1" t="s">
        <v>48</v>
      </c>
    </row>
    <row r="2" spans="1:54" ht="15.75" thickBot="1" x14ac:dyDescent="0.3">
      <c r="A2" s="3">
        <v>45292</v>
      </c>
      <c r="B2" s="4" t="s">
        <v>52</v>
      </c>
      <c r="C2" s="4" t="s">
        <v>53</v>
      </c>
      <c r="D2" s="4" t="s">
        <v>54</v>
      </c>
      <c r="E2" s="4" t="s">
        <v>55</v>
      </c>
      <c r="F2" s="4">
        <v>45623</v>
      </c>
      <c r="G2" s="4">
        <v>892</v>
      </c>
      <c r="H2" s="4">
        <v>127.5</v>
      </c>
      <c r="I2" s="4">
        <v>12</v>
      </c>
      <c r="J2" s="4">
        <v>8234</v>
      </c>
      <c r="K2" s="4">
        <v>1.95E-2</v>
      </c>
      <c r="L2" s="4">
        <v>38234</v>
      </c>
      <c r="M2" s="4">
        <v>1.19</v>
      </c>
      <c r="O2" s="3">
        <v>45292</v>
      </c>
      <c r="P2" s="4" t="s">
        <v>76</v>
      </c>
      <c r="Q2" s="4" t="s">
        <v>77</v>
      </c>
      <c r="R2" s="4" t="s">
        <v>78</v>
      </c>
      <c r="S2" s="4" t="s">
        <v>79</v>
      </c>
      <c r="T2" s="4">
        <v>23456</v>
      </c>
      <c r="U2" s="4">
        <v>1234</v>
      </c>
      <c r="V2" s="4">
        <v>234.5</v>
      </c>
      <c r="W2" s="4">
        <v>45</v>
      </c>
      <c r="X2" s="4">
        <v>2250</v>
      </c>
      <c r="Y2" s="4">
        <v>5.2600000000000001E-2</v>
      </c>
      <c r="Z2" s="4">
        <v>0.19</v>
      </c>
      <c r="AA2" s="4">
        <v>9</v>
      </c>
      <c r="AB2" s="4">
        <v>0.92</v>
      </c>
      <c r="AD2" s="3">
        <v>45292</v>
      </c>
      <c r="AE2" s="4" t="s">
        <v>100</v>
      </c>
      <c r="AF2" s="4" t="s">
        <v>101</v>
      </c>
      <c r="AG2" s="4" t="s">
        <v>102</v>
      </c>
      <c r="AH2" s="4" t="s">
        <v>103</v>
      </c>
      <c r="AI2" s="4">
        <v>234567</v>
      </c>
      <c r="AJ2" s="4">
        <v>3456</v>
      </c>
      <c r="AK2" s="4">
        <v>456.7</v>
      </c>
      <c r="AL2" s="4">
        <v>34</v>
      </c>
      <c r="AM2" s="4">
        <v>198234</v>
      </c>
      <c r="AN2" s="4">
        <v>156234</v>
      </c>
      <c r="AO2" s="4">
        <v>98234</v>
      </c>
      <c r="AP2" s="4">
        <v>67234</v>
      </c>
      <c r="AQ2" s="4">
        <v>45234</v>
      </c>
      <c r="AR2" s="4">
        <v>8923</v>
      </c>
      <c r="AS2" s="4">
        <v>2345</v>
      </c>
      <c r="AT2" s="4">
        <v>567</v>
      </c>
      <c r="AV2" s="5">
        <f>T_Facebook_Ads[[#This Row],[date]]</f>
        <v>45292</v>
      </c>
      <c r="AW2">
        <f ca="1">RANDBETWEEN(1,8)</f>
        <v>8</v>
      </c>
      <c r="AX2">
        <f ca="1">ROUND(T_Facebook_Ads[[#This Row],[impressions]]*RANDBETWEEN(8,12)/10,0)</f>
        <v>45623</v>
      </c>
      <c r="AY2">
        <f ca="1">ROUND(T_Facebook_Ads[[#This Row],[clicks]]*RANDBETWEEN(8,12)/10,0)</f>
        <v>714</v>
      </c>
      <c r="AZ2">
        <f ca="1">T_Facebook_Ads[[#This Row],[spend]]*RANDBETWEEN(8,12)/10</f>
        <v>114.75</v>
      </c>
      <c r="BA2">
        <f ca="1">ROUND(T_Facebook_Ads[[#This Row],[conversions]]*RANDBETWEEN(8,12)/10,0)</f>
        <v>10</v>
      </c>
      <c r="BB2">
        <f ca="1">ROUND(T_Facebook_Ads[[#This Row],[video_views]]*RANDBETWEEN(8,12)/10,0)</f>
        <v>9057</v>
      </c>
    </row>
    <row r="3" spans="1:54" ht="15.75" thickBot="1" x14ac:dyDescent="0.3">
      <c r="A3" s="3">
        <v>45292</v>
      </c>
      <c r="B3" s="4" t="s">
        <v>56</v>
      </c>
      <c r="C3" s="4" t="s">
        <v>57</v>
      </c>
      <c r="D3" s="4" t="s">
        <v>58</v>
      </c>
      <c r="E3" s="4" t="s">
        <v>59</v>
      </c>
      <c r="F3" s="4">
        <v>12456</v>
      </c>
      <c r="G3" s="4">
        <v>567</v>
      </c>
      <c r="H3" s="4">
        <v>215.8</v>
      </c>
      <c r="I3" s="4">
        <v>34</v>
      </c>
      <c r="J3" s="4">
        <v>1234</v>
      </c>
      <c r="K3" s="4">
        <v>4.5499999999999999E-2</v>
      </c>
      <c r="L3" s="4">
        <v>9876</v>
      </c>
      <c r="M3" s="4">
        <v>1.26</v>
      </c>
      <c r="O3" s="3">
        <v>45292</v>
      </c>
      <c r="P3" s="4" t="s">
        <v>80</v>
      </c>
      <c r="Q3" s="4" t="s">
        <v>81</v>
      </c>
      <c r="R3" s="4" t="s">
        <v>82</v>
      </c>
      <c r="S3" s="4" t="s">
        <v>83</v>
      </c>
      <c r="T3" s="4">
        <v>45678</v>
      </c>
      <c r="U3" s="4">
        <v>890</v>
      </c>
      <c r="V3" s="4">
        <v>567.79999999999995</v>
      </c>
      <c r="W3" s="4">
        <v>23</v>
      </c>
      <c r="X3" s="4">
        <v>1150</v>
      </c>
      <c r="Y3" s="4">
        <v>1.95E-2</v>
      </c>
      <c r="Z3" s="4">
        <v>0.64</v>
      </c>
      <c r="AA3" s="4">
        <v>7</v>
      </c>
      <c r="AB3" s="4">
        <v>0.45</v>
      </c>
      <c r="AD3" s="3">
        <v>45292</v>
      </c>
      <c r="AE3" s="4" t="s">
        <v>104</v>
      </c>
      <c r="AF3" s="4" t="s">
        <v>105</v>
      </c>
      <c r="AG3" s="4" t="s">
        <v>106</v>
      </c>
      <c r="AH3" s="4" t="s">
        <v>107</v>
      </c>
      <c r="AI3" s="4">
        <v>123456</v>
      </c>
      <c r="AJ3" s="4">
        <v>2345</v>
      </c>
      <c r="AK3" s="4">
        <v>678.9</v>
      </c>
      <c r="AL3" s="4">
        <v>67</v>
      </c>
      <c r="AM3" s="4">
        <v>89234</v>
      </c>
      <c r="AN3" s="4">
        <v>67234</v>
      </c>
      <c r="AO3" s="4">
        <v>45234</v>
      </c>
      <c r="AP3" s="4">
        <v>34234</v>
      </c>
      <c r="AQ3" s="4">
        <v>23456</v>
      </c>
      <c r="AR3" s="4">
        <v>4567</v>
      </c>
      <c r="AS3" s="4">
        <v>1234</v>
      </c>
      <c r="AT3" s="4">
        <v>234</v>
      </c>
      <c r="AV3" s="5">
        <f>T_Facebook_Ads[[#This Row],[date]]</f>
        <v>45292</v>
      </c>
      <c r="AW3">
        <f t="shared" ref="AW3:AW66" ca="1" si="0">RANDBETWEEN(1,8)</f>
        <v>4</v>
      </c>
      <c r="AX3">
        <f ca="1">ROUND(T_Facebook_Ads[[#This Row],[impressions]]*RANDBETWEEN(8,12)/10,0)</f>
        <v>11210</v>
      </c>
      <c r="AY3">
        <f ca="1">ROUND(T_Facebook_Ads[[#This Row],[clicks]]*RANDBETWEEN(8,12)/10,0)</f>
        <v>680</v>
      </c>
      <c r="AZ3">
        <f ca="1">T_Facebook_Ads[[#This Row],[spend]]*RANDBETWEEN(8,12)/10</f>
        <v>237.38000000000002</v>
      </c>
      <c r="BA3">
        <f ca="1">ROUND(T_Facebook_Ads[[#This Row],[conversions]]*RANDBETWEEN(8,12)/10,0)</f>
        <v>41</v>
      </c>
      <c r="BB3">
        <f ca="1">ROUND(T_Facebook_Ads[[#This Row],[video_views]]*RANDBETWEEN(8,12)/10,0)</f>
        <v>1111</v>
      </c>
    </row>
    <row r="4" spans="1:54" ht="15.75" thickBot="1" x14ac:dyDescent="0.3">
      <c r="A4" s="3">
        <v>45292</v>
      </c>
      <c r="B4" s="4" t="s">
        <v>60</v>
      </c>
      <c r="C4" s="4" t="s">
        <v>61</v>
      </c>
      <c r="D4" s="4" t="s">
        <v>62</v>
      </c>
      <c r="E4" s="4" t="s">
        <v>63</v>
      </c>
      <c r="F4" s="4">
        <v>34567</v>
      </c>
      <c r="G4" s="4">
        <v>1234</v>
      </c>
      <c r="H4" s="4">
        <v>189.9</v>
      </c>
      <c r="I4" s="4">
        <v>23</v>
      </c>
      <c r="J4" s="4">
        <v>4567</v>
      </c>
      <c r="K4" s="4">
        <v>3.5700000000000003E-2</v>
      </c>
      <c r="L4" s="4">
        <v>28934</v>
      </c>
      <c r="M4" s="4">
        <v>1.19</v>
      </c>
      <c r="O4" s="3">
        <v>45292</v>
      </c>
      <c r="P4" s="4" t="s">
        <v>84</v>
      </c>
      <c r="Q4" s="4" t="s">
        <v>85</v>
      </c>
      <c r="R4" s="4" t="s">
        <v>86</v>
      </c>
      <c r="S4" s="4" t="s">
        <v>87</v>
      </c>
      <c r="T4" s="4">
        <v>67890</v>
      </c>
      <c r="U4" s="4">
        <v>2345</v>
      </c>
      <c r="V4" s="4">
        <v>423.6</v>
      </c>
      <c r="W4" s="4">
        <v>67</v>
      </c>
      <c r="X4" s="4">
        <v>3350</v>
      </c>
      <c r="Y4" s="4">
        <v>3.4500000000000003E-2</v>
      </c>
      <c r="Z4" s="4">
        <v>0.18</v>
      </c>
      <c r="AA4" s="4">
        <v>8</v>
      </c>
      <c r="AB4" s="4">
        <v>0.67</v>
      </c>
      <c r="AD4" s="3">
        <v>45292</v>
      </c>
      <c r="AE4" s="4" t="s">
        <v>108</v>
      </c>
      <c r="AF4" s="4" t="s">
        <v>109</v>
      </c>
      <c r="AG4" s="4" t="s">
        <v>110</v>
      </c>
      <c r="AH4" s="4" t="s">
        <v>111</v>
      </c>
      <c r="AI4" s="4">
        <v>189234</v>
      </c>
      <c r="AJ4" s="4">
        <v>2890</v>
      </c>
      <c r="AK4" s="4">
        <v>345.6</v>
      </c>
      <c r="AL4" s="4">
        <v>23</v>
      </c>
      <c r="AM4" s="4">
        <v>145678</v>
      </c>
      <c r="AN4" s="4">
        <v>112345</v>
      </c>
      <c r="AO4" s="4">
        <v>89234</v>
      </c>
      <c r="AP4" s="4">
        <v>56789</v>
      </c>
      <c r="AQ4" s="4">
        <v>34567</v>
      </c>
      <c r="AR4" s="4">
        <v>6789</v>
      </c>
      <c r="AS4" s="4">
        <v>1890</v>
      </c>
      <c r="AT4" s="4">
        <v>456</v>
      </c>
      <c r="AV4" s="5">
        <f>T_Facebook_Ads[[#This Row],[date]]</f>
        <v>45292</v>
      </c>
      <c r="AW4">
        <f ca="1">RANDBETWEEN(1,8)</f>
        <v>4</v>
      </c>
      <c r="AX4">
        <f ca="1">ROUND(T_Facebook_Ads[[#This Row],[impressions]]*RANDBETWEEN(8,12)/10,0)</f>
        <v>41480</v>
      </c>
      <c r="AY4">
        <f ca="1">ROUND(T_Facebook_Ads[[#This Row],[clicks]]*RANDBETWEEN(8,12)/10,0)</f>
        <v>1111</v>
      </c>
      <c r="AZ4">
        <f ca="1">T_Facebook_Ads[[#This Row],[spend]]*RANDBETWEEN(8,12)/10</f>
        <v>189.9</v>
      </c>
      <c r="BA4">
        <f ca="1">ROUND(T_Facebook_Ads[[#This Row],[conversions]]*RANDBETWEEN(8,12)/10,0)</f>
        <v>18</v>
      </c>
      <c r="BB4">
        <f ca="1">ROUND(T_Facebook_Ads[[#This Row],[video_views]]*RANDBETWEEN(8,12)/10,0)</f>
        <v>5024</v>
      </c>
    </row>
    <row r="5" spans="1:54" ht="15.75" thickBot="1" x14ac:dyDescent="0.3">
      <c r="A5" s="3">
        <v>45293</v>
      </c>
      <c r="B5" s="4" t="s">
        <v>52</v>
      </c>
      <c r="C5" s="4" t="s">
        <v>53</v>
      </c>
      <c r="D5" s="4" t="s">
        <v>54</v>
      </c>
      <c r="E5" s="4" t="s">
        <v>55</v>
      </c>
      <c r="F5" s="4">
        <v>42345</v>
      </c>
      <c r="G5" s="4">
        <v>823</v>
      </c>
      <c r="H5" s="4">
        <v>118.2</v>
      </c>
      <c r="I5" s="4">
        <v>10</v>
      </c>
      <c r="J5" s="4">
        <v>7890</v>
      </c>
      <c r="K5" s="4">
        <v>1.9400000000000001E-2</v>
      </c>
      <c r="L5" s="4">
        <v>36789</v>
      </c>
      <c r="M5" s="4">
        <v>1.1499999999999999</v>
      </c>
      <c r="O5" s="3">
        <v>45293</v>
      </c>
      <c r="P5" s="4" t="s">
        <v>76</v>
      </c>
      <c r="Q5" s="4" t="s">
        <v>77</v>
      </c>
      <c r="R5" s="4" t="s">
        <v>78</v>
      </c>
      <c r="S5" s="4" t="s">
        <v>79</v>
      </c>
      <c r="T5" s="4">
        <v>24567</v>
      </c>
      <c r="U5" s="4">
        <v>1289</v>
      </c>
      <c r="V5" s="4">
        <v>245.6</v>
      </c>
      <c r="W5" s="4">
        <v>48</v>
      </c>
      <c r="X5" s="4">
        <v>2400</v>
      </c>
      <c r="Y5" s="4">
        <v>5.2499999999999998E-2</v>
      </c>
      <c r="Z5" s="4">
        <v>0.19</v>
      </c>
      <c r="AA5" s="4">
        <v>9</v>
      </c>
      <c r="AB5" s="4">
        <v>0.91</v>
      </c>
      <c r="AD5" s="3">
        <v>45293</v>
      </c>
      <c r="AE5" s="4" t="s">
        <v>100</v>
      </c>
      <c r="AF5" s="4" t="s">
        <v>101</v>
      </c>
      <c r="AG5" s="4" t="s">
        <v>102</v>
      </c>
      <c r="AH5" s="4" t="s">
        <v>103</v>
      </c>
      <c r="AI5" s="4">
        <v>245678</v>
      </c>
      <c r="AJ5" s="4">
        <v>3678</v>
      </c>
      <c r="AK5" s="4">
        <v>478.9</v>
      </c>
      <c r="AL5" s="4">
        <v>36</v>
      </c>
      <c r="AM5" s="4">
        <v>207345</v>
      </c>
      <c r="AN5" s="4">
        <v>163456</v>
      </c>
      <c r="AO5" s="4">
        <v>102345</v>
      </c>
      <c r="AP5" s="4">
        <v>70234</v>
      </c>
      <c r="AQ5" s="4">
        <v>47234</v>
      </c>
      <c r="AR5" s="4">
        <v>9234</v>
      </c>
      <c r="AS5" s="4">
        <v>2456</v>
      </c>
      <c r="AT5" s="4">
        <v>589</v>
      </c>
      <c r="AV5" s="5">
        <f>T_Facebook_Ads[[#This Row],[date]]</f>
        <v>45293</v>
      </c>
      <c r="AW5">
        <f t="shared" ca="1" si="0"/>
        <v>6</v>
      </c>
      <c r="AX5">
        <f ca="1">ROUND(T_Facebook_Ads[[#This Row],[impressions]]*RANDBETWEEN(8,12)/10,0)</f>
        <v>50814</v>
      </c>
      <c r="AY5">
        <f ca="1">ROUND(T_Facebook_Ads[[#This Row],[clicks]]*RANDBETWEEN(8,12)/10,0)</f>
        <v>905</v>
      </c>
      <c r="AZ5">
        <f ca="1">T_Facebook_Ads[[#This Row],[spend]]*RANDBETWEEN(8,12)/10</f>
        <v>130.02000000000001</v>
      </c>
      <c r="BA5">
        <f ca="1">ROUND(T_Facebook_Ads[[#This Row],[conversions]]*RANDBETWEEN(8,12)/10,0)</f>
        <v>8</v>
      </c>
      <c r="BB5">
        <f ca="1">ROUND(T_Facebook_Ads[[#This Row],[video_views]]*RANDBETWEEN(8,12)/10,0)</f>
        <v>6312</v>
      </c>
    </row>
    <row r="6" spans="1:54" ht="15.75" thickBot="1" x14ac:dyDescent="0.3">
      <c r="A6" s="3">
        <v>45293</v>
      </c>
      <c r="B6" s="4" t="s">
        <v>56</v>
      </c>
      <c r="C6" s="4" t="s">
        <v>57</v>
      </c>
      <c r="D6" s="4" t="s">
        <v>58</v>
      </c>
      <c r="E6" s="4" t="s">
        <v>59</v>
      </c>
      <c r="F6" s="4">
        <v>13678</v>
      </c>
      <c r="G6" s="4">
        <v>623</v>
      </c>
      <c r="H6" s="4">
        <v>234.5</v>
      </c>
      <c r="I6" s="4">
        <v>38</v>
      </c>
      <c r="J6" s="4">
        <v>1456</v>
      </c>
      <c r="K6" s="4">
        <v>4.5499999999999999E-2</v>
      </c>
      <c r="L6" s="4">
        <v>10234</v>
      </c>
      <c r="M6" s="4">
        <v>1.34</v>
      </c>
      <c r="O6" s="3">
        <v>45293</v>
      </c>
      <c r="P6" s="4" t="s">
        <v>80</v>
      </c>
      <c r="Q6" s="4" t="s">
        <v>81</v>
      </c>
      <c r="R6" s="4" t="s">
        <v>82</v>
      </c>
      <c r="S6" s="4" t="s">
        <v>83</v>
      </c>
      <c r="T6" s="4">
        <v>43234</v>
      </c>
      <c r="U6" s="4">
        <v>823</v>
      </c>
      <c r="V6" s="4">
        <v>534.20000000000005</v>
      </c>
      <c r="W6" s="4">
        <v>21</v>
      </c>
      <c r="X6" s="4">
        <v>1050</v>
      </c>
      <c r="Y6" s="4">
        <v>1.9E-2</v>
      </c>
      <c r="Z6" s="4">
        <v>0.65</v>
      </c>
      <c r="AA6" s="4">
        <v>7</v>
      </c>
      <c r="AB6" s="4">
        <v>0.44</v>
      </c>
      <c r="AD6" s="3">
        <v>45293</v>
      </c>
      <c r="AE6" s="4" t="s">
        <v>104</v>
      </c>
      <c r="AF6" s="4" t="s">
        <v>105</v>
      </c>
      <c r="AG6" s="4" t="s">
        <v>106</v>
      </c>
      <c r="AH6" s="4" t="s">
        <v>107</v>
      </c>
      <c r="AI6" s="4">
        <v>134567</v>
      </c>
      <c r="AJ6" s="4">
        <v>2567</v>
      </c>
      <c r="AK6" s="4">
        <v>712.3</v>
      </c>
      <c r="AL6" s="4">
        <v>71</v>
      </c>
      <c r="AM6" s="4">
        <v>95678</v>
      </c>
      <c r="AN6" s="4">
        <v>71234</v>
      </c>
      <c r="AO6" s="4">
        <v>48234</v>
      </c>
      <c r="AP6" s="4">
        <v>36234</v>
      </c>
      <c r="AQ6" s="4">
        <v>24567</v>
      </c>
      <c r="AR6" s="4">
        <v>4789</v>
      </c>
      <c r="AS6" s="4">
        <v>1345</v>
      </c>
      <c r="AT6" s="4">
        <v>245</v>
      </c>
      <c r="AV6" s="5">
        <f>T_Facebook_Ads[[#This Row],[date]]</f>
        <v>45293</v>
      </c>
      <c r="AW6">
        <f t="shared" ca="1" si="0"/>
        <v>8</v>
      </c>
      <c r="AX6">
        <f ca="1">ROUND(T_Facebook_Ads[[#This Row],[impressions]]*RANDBETWEEN(8,12)/10,0)</f>
        <v>12310</v>
      </c>
      <c r="AY6">
        <f ca="1">ROUND(T_Facebook_Ads[[#This Row],[clicks]]*RANDBETWEEN(8,12)/10,0)</f>
        <v>623</v>
      </c>
      <c r="AZ6">
        <f ca="1">T_Facebook_Ads[[#This Row],[spend]]*RANDBETWEEN(8,12)/10</f>
        <v>257.95</v>
      </c>
      <c r="BA6">
        <f ca="1">ROUND(T_Facebook_Ads[[#This Row],[conversions]]*RANDBETWEEN(8,12)/10,0)</f>
        <v>46</v>
      </c>
      <c r="BB6">
        <f ca="1">ROUND(T_Facebook_Ads[[#This Row],[video_views]]*RANDBETWEEN(8,12)/10,0)</f>
        <v>1456</v>
      </c>
    </row>
    <row r="7" spans="1:54" ht="15.75" thickBot="1" x14ac:dyDescent="0.3">
      <c r="A7" s="3">
        <v>45293</v>
      </c>
      <c r="B7" s="4" t="s">
        <v>60</v>
      </c>
      <c r="C7" s="4" t="s">
        <v>61</v>
      </c>
      <c r="D7" s="4" t="s">
        <v>62</v>
      </c>
      <c r="E7" s="4" t="s">
        <v>63</v>
      </c>
      <c r="F7" s="4">
        <v>36789</v>
      </c>
      <c r="G7" s="4">
        <v>1345</v>
      </c>
      <c r="H7" s="4">
        <v>201.3</v>
      </c>
      <c r="I7" s="4">
        <v>25</v>
      </c>
      <c r="J7" s="4">
        <v>4890</v>
      </c>
      <c r="K7" s="4">
        <v>3.6600000000000001E-2</v>
      </c>
      <c r="L7" s="4">
        <v>30123</v>
      </c>
      <c r="M7" s="4">
        <v>1.22</v>
      </c>
      <c r="O7" s="3">
        <v>45293</v>
      </c>
      <c r="P7" s="4" t="s">
        <v>84</v>
      </c>
      <c r="Q7" s="4" t="s">
        <v>85</v>
      </c>
      <c r="R7" s="4" t="s">
        <v>86</v>
      </c>
      <c r="S7" s="4" t="s">
        <v>87</v>
      </c>
      <c r="T7" s="4">
        <v>71234</v>
      </c>
      <c r="U7" s="4">
        <v>2456</v>
      </c>
      <c r="V7" s="4">
        <v>445.8</v>
      </c>
      <c r="W7" s="4">
        <v>71</v>
      </c>
      <c r="X7" s="4">
        <v>3550</v>
      </c>
      <c r="Y7" s="4">
        <v>3.4500000000000003E-2</v>
      </c>
      <c r="Z7" s="4">
        <v>0.18</v>
      </c>
      <c r="AA7" s="4">
        <v>8</v>
      </c>
      <c r="AB7" s="4">
        <v>0.68</v>
      </c>
      <c r="AD7" s="3">
        <v>45293</v>
      </c>
      <c r="AE7" s="4" t="s">
        <v>108</v>
      </c>
      <c r="AF7" s="4" t="s">
        <v>109</v>
      </c>
      <c r="AG7" s="4" t="s">
        <v>110</v>
      </c>
      <c r="AH7" s="4" t="s">
        <v>111</v>
      </c>
      <c r="AI7" s="4">
        <v>198345</v>
      </c>
      <c r="AJ7" s="4">
        <v>3012</v>
      </c>
      <c r="AK7" s="4">
        <v>361.2</v>
      </c>
      <c r="AL7" s="4">
        <v>25</v>
      </c>
      <c r="AM7" s="4">
        <v>152345</v>
      </c>
      <c r="AN7" s="4">
        <v>117234</v>
      </c>
      <c r="AO7" s="4">
        <v>93234</v>
      </c>
      <c r="AP7" s="4">
        <v>59234</v>
      </c>
      <c r="AQ7" s="4">
        <v>36234</v>
      </c>
      <c r="AR7" s="4">
        <v>7123</v>
      </c>
      <c r="AS7" s="4">
        <v>1967</v>
      </c>
      <c r="AT7" s="4">
        <v>478</v>
      </c>
      <c r="AV7" s="5">
        <f>T_Facebook_Ads[[#This Row],[date]]</f>
        <v>45293</v>
      </c>
      <c r="AW7">
        <f t="shared" ca="1" si="0"/>
        <v>1</v>
      </c>
      <c r="AX7">
        <f ca="1">ROUND(T_Facebook_Ads[[#This Row],[impressions]]*RANDBETWEEN(8,12)/10,0)</f>
        <v>33110</v>
      </c>
      <c r="AY7">
        <f ca="1">ROUND(T_Facebook_Ads[[#This Row],[clicks]]*RANDBETWEEN(8,12)/10,0)</f>
        <v>1480</v>
      </c>
      <c r="AZ7">
        <f ca="1">T_Facebook_Ads[[#This Row],[spend]]*RANDBETWEEN(8,12)/10</f>
        <v>201.3</v>
      </c>
      <c r="BA7">
        <f ca="1">ROUND(T_Facebook_Ads[[#This Row],[conversions]]*RANDBETWEEN(8,12)/10,0)</f>
        <v>23</v>
      </c>
      <c r="BB7">
        <f ca="1">ROUND(T_Facebook_Ads[[#This Row],[video_views]]*RANDBETWEEN(8,12)/10,0)</f>
        <v>3912</v>
      </c>
    </row>
    <row r="8" spans="1:54" ht="15.75" thickBot="1" x14ac:dyDescent="0.3">
      <c r="A8" s="3">
        <v>45294</v>
      </c>
      <c r="B8" s="4" t="s">
        <v>52</v>
      </c>
      <c r="C8" s="4" t="s">
        <v>53</v>
      </c>
      <c r="D8" s="4" t="s">
        <v>54</v>
      </c>
      <c r="E8" s="4" t="s">
        <v>55</v>
      </c>
      <c r="F8" s="4">
        <v>48234</v>
      </c>
      <c r="G8" s="4">
        <v>967</v>
      </c>
      <c r="H8" s="4">
        <v>134.80000000000001</v>
      </c>
      <c r="I8" s="4">
        <v>14</v>
      </c>
      <c r="J8" s="4">
        <v>8901</v>
      </c>
      <c r="K8" s="4">
        <v>2.01E-2</v>
      </c>
      <c r="L8" s="4">
        <v>40123</v>
      </c>
      <c r="M8" s="4">
        <v>1.2</v>
      </c>
      <c r="O8" s="3">
        <v>45294</v>
      </c>
      <c r="P8" s="4" t="s">
        <v>76</v>
      </c>
      <c r="Q8" s="4" t="s">
        <v>77</v>
      </c>
      <c r="R8" s="4" t="s">
        <v>78</v>
      </c>
      <c r="S8" s="4" t="s">
        <v>79</v>
      </c>
      <c r="T8" s="4">
        <v>22345</v>
      </c>
      <c r="U8" s="4">
        <v>1123</v>
      </c>
      <c r="V8" s="4">
        <v>213.4</v>
      </c>
      <c r="W8" s="4">
        <v>42</v>
      </c>
      <c r="X8" s="4">
        <v>2100</v>
      </c>
      <c r="Y8" s="4">
        <v>5.0299999999999997E-2</v>
      </c>
      <c r="Z8" s="4">
        <v>0.19</v>
      </c>
      <c r="AA8" s="4">
        <v>9</v>
      </c>
      <c r="AB8" s="4">
        <v>0.93</v>
      </c>
      <c r="AD8" s="3">
        <v>45294</v>
      </c>
      <c r="AE8" s="4" t="s">
        <v>100</v>
      </c>
      <c r="AF8" s="4" t="s">
        <v>101</v>
      </c>
      <c r="AG8" s="4" t="s">
        <v>102</v>
      </c>
      <c r="AH8" s="4" t="s">
        <v>103</v>
      </c>
      <c r="AI8" s="4">
        <v>223456</v>
      </c>
      <c r="AJ8" s="4">
        <v>3234</v>
      </c>
      <c r="AK8" s="4">
        <v>434.5</v>
      </c>
      <c r="AL8" s="4">
        <v>32</v>
      </c>
      <c r="AM8" s="4">
        <v>189234</v>
      </c>
      <c r="AN8" s="4">
        <v>148234</v>
      </c>
      <c r="AO8" s="4">
        <v>93234</v>
      </c>
      <c r="AP8" s="4">
        <v>63456</v>
      </c>
      <c r="AQ8" s="4">
        <v>43234</v>
      </c>
      <c r="AR8" s="4">
        <v>8567</v>
      </c>
      <c r="AS8" s="4">
        <v>2234</v>
      </c>
      <c r="AT8" s="4">
        <v>534</v>
      </c>
      <c r="AV8" s="5">
        <f>T_Facebook_Ads[[#This Row],[date]]</f>
        <v>45294</v>
      </c>
      <c r="AW8">
        <f t="shared" ca="1" si="0"/>
        <v>2</v>
      </c>
      <c r="AX8">
        <f ca="1">ROUND(T_Facebook_Ads[[#This Row],[impressions]]*RANDBETWEEN(8,12)/10,0)</f>
        <v>57881</v>
      </c>
      <c r="AY8">
        <f ca="1">ROUND(T_Facebook_Ads[[#This Row],[clicks]]*RANDBETWEEN(8,12)/10,0)</f>
        <v>967</v>
      </c>
      <c r="AZ8">
        <f ca="1">T_Facebook_Ads[[#This Row],[spend]]*RANDBETWEEN(8,12)/10</f>
        <v>107.84</v>
      </c>
      <c r="BA8">
        <f ca="1">ROUND(T_Facebook_Ads[[#This Row],[conversions]]*RANDBETWEEN(8,12)/10,0)</f>
        <v>14</v>
      </c>
      <c r="BB8">
        <f ca="1">ROUND(T_Facebook_Ads[[#This Row],[video_views]]*RANDBETWEEN(8,12)/10,0)</f>
        <v>8901</v>
      </c>
    </row>
    <row r="9" spans="1:54" ht="15.75" thickBot="1" x14ac:dyDescent="0.3">
      <c r="A9" s="3">
        <v>45294</v>
      </c>
      <c r="B9" s="4" t="s">
        <v>56</v>
      </c>
      <c r="C9" s="4" t="s">
        <v>57</v>
      </c>
      <c r="D9" s="4" t="s">
        <v>58</v>
      </c>
      <c r="E9" s="4" t="s">
        <v>59</v>
      </c>
      <c r="F9" s="4">
        <v>11234</v>
      </c>
      <c r="G9" s="4">
        <v>489</v>
      </c>
      <c r="H9" s="4">
        <v>198.7</v>
      </c>
      <c r="I9" s="4">
        <v>31</v>
      </c>
      <c r="J9" s="4">
        <v>1123</v>
      </c>
      <c r="K9" s="4">
        <v>4.3499999999999997E-2</v>
      </c>
      <c r="L9" s="4">
        <v>8901</v>
      </c>
      <c r="M9" s="4">
        <v>1.26</v>
      </c>
      <c r="O9" s="3">
        <v>45294</v>
      </c>
      <c r="P9" s="4" t="s">
        <v>80</v>
      </c>
      <c r="Q9" s="4" t="s">
        <v>81</v>
      </c>
      <c r="R9" s="4" t="s">
        <v>82</v>
      </c>
      <c r="S9" s="4" t="s">
        <v>83</v>
      </c>
      <c r="T9" s="4">
        <v>47890</v>
      </c>
      <c r="U9" s="4">
        <v>967</v>
      </c>
      <c r="V9" s="4">
        <v>623.5</v>
      </c>
      <c r="W9" s="4">
        <v>25</v>
      </c>
      <c r="X9" s="4">
        <v>1250</v>
      </c>
      <c r="Y9" s="4">
        <v>2.0199999999999999E-2</v>
      </c>
      <c r="Z9" s="4">
        <v>0.64</v>
      </c>
      <c r="AA9" s="4">
        <v>6</v>
      </c>
      <c r="AB9" s="4">
        <v>0.43</v>
      </c>
      <c r="AD9" s="3">
        <v>45294</v>
      </c>
      <c r="AE9" s="4" t="s">
        <v>104</v>
      </c>
      <c r="AF9" s="4" t="s">
        <v>105</v>
      </c>
      <c r="AG9" s="4" t="s">
        <v>106</v>
      </c>
      <c r="AH9" s="4" t="s">
        <v>107</v>
      </c>
      <c r="AI9" s="4">
        <v>112345</v>
      </c>
      <c r="AJ9" s="4">
        <v>2123</v>
      </c>
      <c r="AK9" s="4">
        <v>623.4</v>
      </c>
      <c r="AL9" s="4">
        <v>62</v>
      </c>
      <c r="AM9" s="4">
        <v>82345</v>
      </c>
      <c r="AN9" s="4">
        <v>61234</v>
      </c>
      <c r="AO9" s="4">
        <v>41234</v>
      </c>
      <c r="AP9" s="4">
        <v>31234</v>
      </c>
      <c r="AQ9" s="4">
        <v>21234</v>
      </c>
      <c r="AR9" s="4">
        <v>4234</v>
      </c>
      <c r="AS9" s="4">
        <v>1123</v>
      </c>
      <c r="AT9" s="4">
        <v>212</v>
      </c>
      <c r="AV9" s="5">
        <f>T_Facebook_Ads[[#This Row],[date]]</f>
        <v>45294</v>
      </c>
      <c r="AW9">
        <f t="shared" ca="1" si="0"/>
        <v>8</v>
      </c>
      <c r="AX9">
        <f ca="1">ROUND(T_Facebook_Ads[[#This Row],[impressions]]*RANDBETWEEN(8,12)/10,0)</f>
        <v>12357</v>
      </c>
      <c r="AY9">
        <f ca="1">ROUND(T_Facebook_Ads[[#This Row],[clicks]]*RANDBETWEEN(8,12)/10,0)</f>
        <v>440</v>
      </c>
      <c r="AZ9">
        <f ca="1">T_Facebook_Ads[[#This Row],[spend]]*RANDBETWEEN(8,12)/10</f>
        <v>178.82999999999998</v>
      </c>
      <c r="BA9">
        <f ca="1">ROUND(T_Facebook_Ads[[#This Row],[conversions]]*RANDBETWEEN(8,12)/10,0)</f>
        <v>28</v>
      </c>
      <c r="BB9">
        <f ca="1">ROUND(T_Facebook_Ads[[#This Row],[video_views]]*RANDBETWEEN(8,12)/10,0)</f>
        <v>898</v>
      </c>
    </row>
    <row r="10" spans="1:54" ht="15.75" thickBot="1" x14ac:dyDescent="0.3">
      <c r="A10" s="3">
        <v>45294</v>
      </c>
      <c r="B10" s="4" t="s">
        <v>60</v>
      </c>
      <c r="C10" s="4" t="s">
        <v>61</v>
      </c>
      <c r="D10" s="4" t="s">
        <v>62</v>
      </c>
      <c r="E10" s="4" t="s">
        <v>63</v>
      </c>
      <c r="F10" s="4">
        <v>38901</v>
      </c>
      <c r="G10" s="4">
        <v>1456</v>
      </c>
      <c r="H10" s="4">
        <v>213.4</v>
      </c>
      <c r="I10" s="4">
        <v>28</v>
      </c>
      <c r="J10" s="4">
        <v>5234</v>
      </c>
      <c r="K10" s="4">
        <v>3.7499999999999999E-2</v>
      </c>
      <c r="L10" s="4">
        <v>31456</v>
      </c>
      <c r="M10" s="4">
        <v>1.24</v>
      </c>
      <c r="O10" s="3">
        <v>45294</v>
      </c>
      <c r="P10" s="4" t="s">
        <v>88</v>
      </c>
      <c r="Q10" s="4" t="s">
        <v>89</v>
      </c>
      <c r="R10" s="4" t="s">
        <v>90</v>
      </c>
      <c r="S10" s="4" t="s">
        <v>59</v>
      </c>
      <c r="T10" s="4">
        <v>123456</v>
      </c>
      <c r="U10" s="4">
        <v>456</v>
      </c>
      <c r="V10" s="4">
        <v>123.4</v>
      </c>
      <c r="W10" s="4">
        <v>12</v>
      </c>
      <c r="X10" s="4">
        <v>600</v>
      </c>
      <c r="Y10" s="4">
        <v>3.7000000000000002E-3</v>
      </c>
      <c r="Z10" s="4">
        <v>0.27</v>
      </c>
      <c r="AA10" s="4">
        <v>7</v>
      </c>
      <c r="AB10" s="4">
        <v>0.35</v>
      </c>
      <c r="AD10" s="3">
        <v>45294</v>
      </c>
      <c r="AE10" s="4" t="s">
        <v>112</v>
      </c>
      <c r="AF10" s="4" t="s">
        <v>113</v>
      </c>
      <c r="AG10" s="4" t="s">
        <v>114</v>
      </c>
      <c r="AH10" s="4" t="s">
        <v>115</v>
      </c>
      <c r="AI10" s="4">
        <v>345678</v>
      </c>
      <c r="AJ10" s="4">
        <v>5678</v>
      </c>
      <c r="AK10" s="4">
        <v>890.1</v>
      </c>
      <c r="AL10" s="4">
        <v>89</v>
      </c>
      <c r="AM10" s="4">
        <v>289234</v>
      </c>
      <c r="AN10" s="4">
        <v>234567</v>
      </c>
      <c r="AO10" s="4">
        <v>189234</v>
      </c>
      <c r="AP10" s="4">
        <v>134567</v>
      </c>
      <c r="AQ10" s="4">
        <v>89234</v>
      </c>
      <c r="AR10" s="4">
        <v>15678</v>
      </c>
      <c r="AS10" s="4">
        <v>4567</v>
      </c>
      <c r="AT10" s="4">
        <v>1234</v>
      </c>
      <c r="AV10" s="5">
        <f>T_Facebook_Ads[[#This Row],[date]]</f>
        <v>45294</v>
      </c>
      <c r="AW10">
        <f t="shared" ca="1" si="0"/>
        <v>4</v>
      </c>
      <c r="AX10">
        <f ca="1">ROUND(T_Facebook_Ads[[#This Row],[impressions]]*RANDBETWEEN(8,12)/10,0)</f>
        <v>35011</v>
      </c>
      <c r="AY10">
        <f ca="1">ROUND(T_Facebook_Ads[[#This Row],[clicks]]*RANDBETWEEN(8,12)/10,0)</f>
        <v>1165</v>
      </c>
      <c r="AZ10">
        <f ca="1">T_Facebook_Ads[[#This Row],[spend]]*RANDBETWEEN(8,12)/10</f>
        <v>170.72</v>
      </c>
      <c r="BA10">
        <f ca="1">ROUND(T_Facebook_Ads[[#This Row],[conversions]]*RANDBETWEEN(8,12)/10,0)</f>
        <v>28</v>
      </c>
      <c r="BB10">
        <f ca="1">ROUND(T_Facebook_Ads[[#This Row],[video_views]]*RANDBETWEEN(8,12)/10,0)</f>
        <v>6281</v>
      </c>
    </row>
    <row r="11" spans="1:54" ht="15.75" thickBot="1" x14ac:dyDescent="0.3">
      <c r="A11" s="3">
        <v>45295</v>
      </c>
      <c r="B11" s="4" t="s">
        <v>52</v>
      </c>
      <c r="C11" s="4" t="s">
        <v>53</v>
      </c>
      <c r="D11" s="4" t="s">
        <v>54</v>
      </c>
      <c r="E11" s="4" t="s">
        <v>55</v>
      </c>
      <c r="F11" s="4">
        <v>51234</v>
      </c>
      <c r="G11" s="4">
        <v>1023</v>
      </c>
      <c r="H11" s="4">
        <v>142.30000000000001</v>
      </c>
      <c r="I11" s="4">
        <v>15</v>
      </c>
      <c r="J11" s="4">
        <v>9234</v>
      </c>
      <c r="K11" s="4">
        <v>0.02</v>
      </c>
      <c r="L11" s="4">
        <v>42567</v>
      </c>
      <c r="M11" s="4">
        <v>1.2</v>
      </c>
      <c r="O11" s="3">
        <v>45295</v>
      </c>
      <c r="P11" s="4" t="s">
        <v>76</v>
      </c>
      <c r="Q11" s="4" t="s">
        <v>77</v>
      </c>
      <c r="R11" s="4" t="s">
        <v>78</v>
      </c>
      <c r="S11" s="4" t="s">
        <v>79</v>
      </c>
      <c r="T11" s="4">
        <v>25678</v>
      </c>
      <c r="U11" s="4">
        <v>1345</v>
      </c>
      <c r="V11" s="4">
        <v>256.7</v>
      </c>
      <c r="W11" s="4">
        <v>50</v>
      </c>
      <c r="X11" s="4">
        <v>2500</v>
      </c>
      <c r="Y11" s="4">
        <v>5.2400000000000002E-2</v>
      </c>
      <c r="Z11" s="4">
        <v>0.19</v>
      </c>
      <c r="AA11" s="4">
        <v>9</v>
      </c>
      <c r="AB11" s="4">
        <v>0.92</v>
      </c>
      <c r="AD11" s="3">
        <v>45295</v>
      </c>
      <c r="AE11" s="4" t="s">
        <v>100</v>
      </c>
      <c r="AF11" s="4" t="s">
        <v>101</v>
      </c>
      <c r="AG11" s="4" t="s">
        <v>102</v>
      </c>
      <c r="AH11" s="4" t="s">
        <v>103</v>
      </c>
      <c r="AI11" s="4">
        <v>256789</v>
      </c>
      <c r="AJ11" s="4">
        <v>3890</v>
      </c>
      <c r="AK11" s="4">
        <v>512.29999999999995</v>
      </c>
      <c r="AL11" s="4">
        <v>39</v>
      </c>
      <c r="AM11" s="4">
        <v>217456</v>
      </c>
      <c r="AN11" s="4">
        <v>170234</v>
      </c>
      <c r="AO11" s="4">
        <v>107234</v>
      </c>
      <c r="AP11" s="4">
        <v>72456</v>
      </c>
      <c r="AQ11" s="4">
        <v>48456</v>
      </c>
      <c r="AR11" s="4">
        <v>9567</v>
      </c>
      <c r="AS11" s="4">
        <v>2567</v>
      </c>
      <c r="AT11" s="4">
        <v>612</v>
      </c>
      <c r="AV11" s="5">
        <f>T_Facebook_Ads[[#This Row],[date]]</f>
        <v>45295</v>
      </c>
      <c r="AW11">
        <f t="shared" ca="1" si="0"/>
        <v>4</v>
      </c>
      <c r="AX11">
        <f ca="1">ROUND(T_Facebook_Ads[[#This Row],[impressions]]*RANDBETWEEN(8,12)/10,0)</f>
        <v>51234</v>
      </c>
      <c r="AY11">
        <f ca="1">ROUND(T_Facebook_Ads[[#This Row],[clicks]]*RANDBETWEEN(8,12)/10,0)</f>
        <v>1228</v>
      </c>
      <c r="AZ11">
        <f ca="1">T_Facebook_Ads[[#This Row],[spend]]*RANDBETWEEN(8,12)/10</f>
        <v>128.07</v>
      </c>
      <c r="BA11">
        <f ca="1">ROUND(T_Facebook_Ads[[#This Row],[conversions]]*RANDBETWEEN(8,12)/10,0)</f>
        <v>12</v>
      </c>
      <c r="BB11">
        <f ca="1">ROUND(T_Facebook_Ads[[#This Row],[video_views]]*RANDBETWEEN(8,12)/10,0)</f>
        <v>7387</v>
      </c>
    </row>
    <row r="12" spans="1:54" ht="15.75" thickBot="1" x14ac:dyDescent="0.3">
      <c r="A12" s="3">
        <v>45295</v>
      </c>
      <c r="B12" s="4" t="s">
        <v>56</v>
      </c>
      <c r="C12" s="4" t="s">
        <v>57</v>
      </c>
      <c r="D12" s="4" t="s">
        <v>58</v>
      </c>
      <c r="E12" s="4" t="s">
        <v>59</v>
      </c>
      <c r="F12" s="4">
        <v>14567</v>
      </c>
      <c r="G12" s="4">
        <v>678</v>
      </c>
      <c r="H12" s="4">
        <v>245.6</v>
      </c>
      <c r="I12" s="4">
        <v>42</v>
      </c>
      <c r="J12" s="4">
        <v>1567</v>
      </c>
      <c r="K12" s="4">
        <v>4.65E-2</v>
      </c>
      <c r="L12" s="4">
        <v>11234</v>
      </c>
      <c r="M12" s="4">
        <v>1.3</v>
      </c>
      <c r="O12" s="3">
        <v>45295</v>
      </c>
      <c r="P12" s="4" t="s">
        <v>84</v>
      </c>
      <c r="Q12" s="4" t="s">
        <v>85</v>
      </c>
      <c r="R12" s="4" t="s">
        <v>86</v>
      </c>
      <c r="S12" s="4" t="s">
        <v>87</v>
      </c>
      <c r="T12" s="4">
        <v>69456</v>
      </c>
      <c r="U12" s="4">
        <v>2234</v>
      </c>
      <c r="V12" s="4">
        <v>412.3</v>
      </c>
      <c r="W12" s="4">
        <v>65</v>
      </c>
      <c r="X12" s="4">
        <v>3250</v>
      </c>
      <c r="Y12" s="4">
        <v>3.2199999999999999E-2</v>
      </c>
      <c r="Z12" s="4">
        <v>0.18</v>
      </c>
      <c r="AA12" s="4">
        <v>8</v>
      </c>
      <c r="AB12" s="4">
        <v>0.66</v>
      </c>
      <c r="AD12" s="3">
        <v>45295</v>
      </c>
      <c r="AE12" s="4" t="s">
        <v>108</v>
      </c>
      <c r="AF12" s="4" t="s">
        <v>109</v>
      </c>
      <c r="AG12" s="4" t="s">
        <v>110</v>
      </c>
      <c r="AH12" s="4" t="s">
        <v>111</v>
      </c>
      <c r="AI12" s="4">
        <v>201234</v>
      </c>
      <c r="AJ12" s="4">
        <v>3123</v>
      </c>
      <c r="AK12" s="4">
        <v>374.5</v>
      </c>
      <c r="AL12" s="4">
        <v>26</v>
      </c>
      <c r="AM12" s="4">
        <v>157890</v>
      </c>
      <c r="AN12" s="4">
        <v>121234</v>
      </c>
      <c r="AO12" s="4">
        <v>96234</v>
      </c>
      <c r="AP12" s="4">
        <v>61234</v>
      </c>
      <c r="AQ12" s="4">
        <v>37456</v>
      </c>
      <c r="AR12" s="4">
        <v>7345</v>
      </c>
      <c r="AS12" s="4">
        <v>2034</v>
      </c>
      <c r="AT12" s="4">
        <v>489</v>
      </c>
      <c r="AV12" s="5">
        <f>T_Facebook_Ads[[#This Row],[date]]</f>
        <v>45295</v>
      </c>
      <c r="AW12">
        <f t="shared" ca="1" si="0"/>
        <v>5</v>
      </c>
      <c r="AX12">
        <f ca="1">ROUND(T_Facebook_Ads[[#This Row],[impressions]]*RANDBETWEEN(8,12)/10,0)</f>
        <v>11654</v>
      </c>
      <c r="AY12">
        <f ca="1">ROUND(T_Facebook_Ads[[#This Row],[clicks]]*RANDBETWEEN(8,12)/10,0)</f>
        <v>542</v>
      </c>
      <c r="AZ12">
        <f ca="1">T_Facebook_Ads[[#This Row],[spend]]*RANDBETWEEN(8,12)/10</f>
        <v>294.71999999999997</v>
      </c>
      <c r="BA12">
        <f ca="1">ROUND(T_Facebook_Ads[[#This Row],[conversions]]*RANDBETWEEN(8,12)/10,0)</f>
        <v>34</v>
      </c>
      <c r="BB12">
        <f ca="1">ROUND(T_Facebook_Ads[[#This Row],[video_views]]*RANDBETWEEN(8,12)/10,0)</f>
        <v>1880</v>
      </c>
    </row>
    <row r="13" spans="1:54" ht="15.75" thickBot="1" x14ac:dyDescent="0.3">
      <c r="A13" s="3">
        <v>45295</v>
      </c>
      <c r="B13" s="4" t="s">
        <v>64</v>
      </c>
      <c r="C13" s="4" t="s">
        <v>65</v>
      </c>
      <c r="D13" s="4" t="s">
        <v>66</v>
      </c>
      <c r="E13" s="4" t="s">
        <v>67</v>
      </c>
      <c r="F13" s="4">
        <v>67890</v>
      </c>
      <c r="G13" s="4">
        <v>234</v>
      </c>
      <c r="H13" s="4">
        <v>89.5</v>
      </c>
      <c r="I13" s="4">
        <v>5</v>
      </c>
      <c r="J13" s="4">
        <v>45678</v>
      </c>
      <c r="K13" s="4">
        <v>3.3999999999999998E-3</v>
      </c>
      <c r="L13" s="4">
        <v>56789</v>
      </c>
      <c r="M13" s="4">
        <v>1.2</v>
      </c>
      <c r="O13" s="3">
        <v>45295</v>
      </c>
      <c r="P13" s="4" t="s">
        <v>88</v>
      </c>
      <c r="Q13" s="4" t="s">
        <v>89</v>
      </c>
      <c r="R13" s="4" t="s">
        <v>90</v>
      </c>
      <c r="S13" s="4" t="s">
        <v>59</v>
      </c>
      <c r="T13" s="4">
        <v>134567</v>
      </c>
      <c r="U13" s="4">
        <v>489</v>
      </c>
      <c r="V13" s="4">
        <v>134.5</v>
      </c>
      <c r="W13" s="4">
        <v>14</v>
      </c>
      <c r="X13" s="4">
        <v>700</v>
      </c>
      <c r="Y13" s="4">
        <v>3.5999999999999999E-3</v>
      </c>
      <c r="Z13" s="4">
        <v>0.28000000000000003</v>
      </c>
      <c r="AA13" s="4">
        <v>7</v>
      </c>
      <c r="AB13" s="4">
        <v>0.36</v>
      </c>
      <c r="AD13" s="3">
        <v>45295</v>
      </c>
      <c r="AE13" s="4" t="s">
        <v>112</v>
      </c>
      <c r="AF13" s="4" t="s">
        <v>113</v>
      </c>
      <c r="AG13" s="4" t="s">
        <v>114</v>
      </c>
      <c r="AH13" s="4" t="s">
        <v>115</v>
      </c>
      <c r="AI13" s="4">
        <v>367890</v>
      </c>
      <c r="AJ13" s="4">
        <v>6012</v>
      </c>
      <c r="AK13" s="4">
        <v>923.4</v>
      </c>
      <c r="AL13" s="4">
        <v>94</v>
      </c>
      <c r="AM13" s="4">
        <v>301234</v>
      </c>
      <c r="AN13" s="4">
        <v>245678</v>
      </c>
      <c r="AO13" s="4">
        <v>196789</v>
      </c>
      <c r="AP13" s="4">
        <v>140234</v>
      </c>
      <c r="AQ13" s="4">
        <v>93456</v>
      </c>
      <c r="AR13" s="4">
        <v>16234</v>
      </c>
      <c r="AS13" s="4">
        <v>4789</v>
      </c>
      <c r="AT13" s="4">
        <v>1289</v>
      </c>
      <c r="AV13" s="5">
        <f>T_Facebook_Ads[[#This Row],[date]]</f>
        <v>45295</v>
      </c>
      <c r="AW13">
        <f t="shared" ca="1" si="0"/>
        <v>4</v>
      </c>
      <c r="AX13">
        <f ca="1">ROUND(T_Facebook_Ads[[#This Row],[impressions]]*RANDBETWEEN(8,12)/10,0)</f>
        <v>67890</v>
      </c>
      <c r="AY13">
        <f ca="1">ROUND(T_Facebook_Ads[[#This Row],[clicks]]*RANDBETWEEN(8,12)/10,0)</f>
        <v>187</v>
      </c>
      <c r="AZ13">
        <f ca="1">T_Facebook_Ads[[#This Row],[spend]]*RANDBETWEEN(8,12)/10</f>
        <v>98.45</v>
      </c>
      <c r="BA13">
        <f ca="1">ROUND(T_Facebook_Ads[[#This Row],[conversions]]*RANDBETWEEN(8,12)/10,0)</f>
        <v>6</v>
      </c>
      <c r="BB13">
        <f ca="1">ROUND(T_Facebook_Ads[[#This Row],[video_views]]*RANDBETWEEN(8,12)/10,0)</f>
        <v>54814</v>
      </c>
    </row>
    <row r="14" spans="1:54" ht="15.75" thickBot="1" x14ac:dyDescent="0.3">
      <c r="A14" s="3">
        <v>45296</v>
      </c>
      <c r="B14" s="4" t="s">
        <v>52</v>
      </c>
      <c r="C14" s="4" t="s">
        <v>53</v>
      </c>
      <c r="D14" s="4" t="s">
        <v>54</v>
      </c>
      <c r="E14" s="4" t="s">
        <v>55</v>
      </c>
      <c r="F14" s="4">
        <v>46789</v>
      </c>
      <c r="G14" s="4">
        <v>934</v>
      </c>
      <c r="H14" s="4">
        <v>131.19999999999999</v>
      </c>
      <c r="I14" s="4">
        <v>13</v>
      </c>
      <c r="J14" s="4">
        <v>8567</v>
      </c>
      <c r="K14" s="4">
        <v>0.02</v>
      </c>
      <c r="L14" s="4">
        <v>39234</v>
      </c>
      <c r="M14" s="4">
        <v>1.19</v>
      </c>
      <c r="O14" s="3">
        <v>45296</v>
      </c>
      <c r="P14" s="4" t="s">
        <v>76</v>
      </c>
      <c r="Q14" s="4" t="s">
        <v>77</v>
      </c>
      <c r="R14" s="4" t="s">
        <v>78</v>
      </c>
      <c r="S14" s="4" t="s">
        <v>79</v>
      </c>
      <c r="T14" s="4">
        <v>23890</v>
      </c>
      <c r="U14" s="4">
        <v>1234</v>
      </c>
      <c r="V14" s="4">
        <v>234.9</v>
      </c>
      <c r="W14" s="4">
        <v>46</v>
      </c>
      <c r="X14" s="4">
        <v>2300</v>
      </c>
      <c r="Y14" s="4">
        <v>5.1700000000000003E-2</v>
      </c>
      <c r="Z14" s="4">
        <v>0.19</v>
      </c>
      <c r="AA14" s="4">
        <v>9</v>
      </c>
      <c r="AB14" s="4">
        <v>0.91</v>
      </c>
      <c r="AD14" s="3">
        <v>45296</v>
      </c>
      <c r="AE14" s="4" t="s">
        <v>100</v>
      </c>
      <c r="AF14" s="4" t="s">
        <v>101</v>
      </c>
      <c r="AG14" s="4" t="s">
        <v>102</v>
      </c>
      <c r="AH14" s="4" t="s">
        <v>103</v>
      </c>
      <c r="AI14" s="4">
        <v>234234</v>
      </c>
      <c r="AJ14" s="4">
        <v>3467</v>
      </c>
      <c r="AK14" s="4">
        <v>460.2</v>
      </c>
      <c r="AL14" s="4">
        <v>35</v>
      </c>
      <c r="AM14" s="4">
        <v>199234</v>
      </c>
      <c r="AN14" s="4">
        <v>156789</v>
      </c>
      <c r="AO14" s="4">
        <v>98789</v>
      </c>
      <c r="AP14" s="4">
        <v>67789</v>
      </c>
      <c r="AQ14" s="4">
        <v>45456</v>
      </c>
      <c r="AR14" s="4">
        <v>8945</v>
      </c>
      <c r="AS14" s="4">
        <v>2367</v>
      </c>
      <c r="AT14" s="4">
        <v>578</v>
      </c>
      <c r="AV14" s="5">
        <f>T_Facebook_Ads[[#This Row],[date]]</f>
        <v>45296</v>
      </c>
      <c r="AW14">
        <f t="shared" ca="1" si="0"/>
        <v>5</v>
      </c>
      <c r="AX14">
        <f ca="1">ROUND(T_Facebook_Ads[[#This Row],[impressions]]*RANDBETWEEN(8,12)/10,0)</f>
        <v>42110</v>
      </c>
      <c r="AY14">
        <f ca="1">ROUND(T_Facebook_Ads[[#This Row],[clicks]]*RANDBETWEEN(8,12)/10,0)</f>
        <v>747</v>
      </c>
      <c r="AZ14">
        <f ca="1">T_Facebook_Ads[[#This Row],[spend]]*RANDBETWEEN(8,12)/10</f>
        <v>144.32</v>
      </c>
      <c r="BA14">
        <f ca="1">ROUND(T_Facebook_Ads[[#This Row],[conversions]]*RANDBETWEEN(8,12)/10,0)</f>
        <v>14</v>
      </c>
      <c r="BB14">
        <f ca="1">ROUND(T_Facebook_Ads[[#This Row],[video_views]]*RANDBETWEEN(8,12)/10,0)</f>
        <v>9424</v>
      </c>
    </row>
    <row r="15" spans="1:54" ht="15.75" thickBot="1" x14ac:dyDescent="0.3">
      <c r="A15" s="3">
        <v>45296</v>
      </c>
      <c r="B15" s="4" t="s">
        <v>56</v>
      </c>
      <c r="C15" s="4" t="s">
        <v>57</v>
      </c>
      <c r="D15" s="4" t="s">
        <v>58</v>
      </c>
      <c r="E15" s="4" t="s">
        <v>59</v>
      </c>
      <c r="F15" s="4">
        <v>12890</v>
      </c>
      <c r="G15" s="4">
        <v>567</v>
      </c>
      <c r="H15" s="4">
        <v>220.3</v>
      </c>
      <c r="I15" s="4">
        <v>36</v>
      </c>
      <c r="J15" s="4">
        <v>1345</v>
      </c>
      <c r="K15" s="4">
        <v>4.3999999999999997E-2</v>
      </c>
      <c r="L15" s="4">
        <v>10123</v>
      </c>
      <c r="M15" s="4">
        <v>1.27</v>
      </c>
      <c r="O15" s="3">
        <v>45296</v>
      </c>
      <c r="P15" s="4" t="s">
        <v>80</v>
      </c>
      <c r="Q15" s="4" t="s">
        <v>81</v>
      </c>
      <c r="R15" s="4" t="s">
        <v>82</v>
      </c>
      <c r="S15" s="4" t="s">
        <v>83</v>
      </c>
      <c r="T15" s="4">
        <v>46234</v>
      </c>
      <c r="U15" s="4">
        <v>912</v>
      </c>
      <c r="V15" s="4">
        <v>589.29999999999995</v>
      </c>
      <c r="W15" s="4">
        <v>24</v>
      </c>
      <c r="X15" s="4">
        <v>1200</v>
      </c>
      <c r="Y15" s="4">
        <v>1.9699999999999999E-2</v>
      </c>
      <c r="Z15" s="4">
        <v>0.65</v>
      </c>
      <c r="AA15" s="4">
        <v>7</v>
      </c>
      <c r="AB15" s="4">
        <v>0.45</v>
      </c>
      <c r="AD15" s="3">
        <v>45296</v>
      </c>
      <c r="AE15" s="4" t="s">
        <v>104</v>
      </c>
      <c r="AF15" s="4" t="s">
        <v>105</v>
      </c>
      <c r="AG15" s="4" t="s">
        <v>106</v>
      </c>
      <c r="AH15" s="4" t="s">
        <v>107</v>
      </c>
      <c r="AI15" s="4">
        <v>128901</v>
      </c>
      <c r="AJ15" s="4">
        <v>2456</v>
      </c>
      <c r="AK15" s="4">
        <v>689.5</v>
      </c>
      <c r="AL15" s="4">
        <v>68</v>
      </c>
      <c r="AM15" s="4">
        <v>91234</v>
      </c>
      <c r="AN15" s="4">
        <v>68234</v>
      </c>
      <c r="AO15" s="4">
        <v>45789</v>
      </c>
      <c r="AP15" s="4">
        <v>34567</v>
      </c>
      <c r="AQ15" s="4">
        <v>23678</v>
      </c>
      <c r="AR15" s="4">
        <v>4678</v>
      </c>
      <c r="AS15" s="4">
        <v>1267</v>
      </c>
      <c r="AT15" s="4">
        <v>237</v>
      </c>
      <c r="AV15" s="5">
        <f>T_Facebook_Ads[[#This Row],[date]]</f>
        <v>45296</v>
      </c>
      <c r="AW15">
        <f t="shared" ca="1" si="0"/>
        <v>2</v>
      </c>
      <c r="AX15">
        <f ca="1">ROUND(T_Facebook_Ads[[#This Row],[impressions]]*RANDBETWEEN(8,12)/10,0)</f>
        <v>11601</v>
      </c>
      <c r="AY15">
        <f ca="1">ROUND(T_Facebook_Ads[[#This Row],[clicks]]*RANDBETWEEN(8,12)/10,0)</f>
        <v>510</v>
      </c>
      <c r="AZ15">
        <f ca="1">T_Facebook_Ads[[#This Row],[spend]]*RANDBETWEEN(8,12)/10</f>
        <v>264.36</v>
      </c>
      <c r="BA15">
        <f ca="1">ROUND(T_Facebook_Ads[[#This Row],[conversions]]*RANDBETWEEN(8,12)/10,0)</f>
        <v>40</v>
      </c>
      <c r="BB15">
        <f ca="1">ROUND(T_Facebook_Ads[[#This Row],[video_views]]*RANDBETWEEN(8,12)/10,0)</f>
        <v>1480</v>
      </c>
    </row>
    <row r="16" spans="1:54" ht="15.75" thickBot="1" x14ac:dyDescent="0.3">
      <c r="A16" s="3">
        <v>45296</v>
      </c>
      <c r="B16" s="4" t="s">
        <v>64</v>
      </c>
      <c r="C16" s="4" t="s">
        <v>65</v>
      </c>
      <c r="D16" s="4" t="s">
        <v>66</v>
      </c>
      <c r="E16" s="4" t="s">
        <v>67</v>
      </c>
      <c r="F16" s="4">
        <v>71234</v>
      </c>
      <c r="G16" s="4">
        <v>256</v>
      </c>
      <c r="H16" s="4">
        <v>94.8</v>
      </c>
      <c r="I16" s="4">
        <v>6</v>
      </c>
      <c r="J16" s="4">
        <v>48901</v>
      </c>
      <c r="K16" s="4">
        <v>3.5999999999999999E-3</v>
      </c>
      <c r="L16" s="4">
        <v>59234</v>
      </c>
      <c r="M16" s="4">
        <v>1.2</v>
      </c>
      <c r="O16" s="3">
        <v>45296</v>
      </c>
      <c r="P16" s="4" t="s">
        <v>88</v>
      </c>
      <c r="Q16" s="4" t="s">
        <v>89</v>
      </c>
      <c r="R16" s="4" t="s">
        <v>90</v>
      </c>
      <c r="S16" s="4" t="s">
        <v>59</v>
      </c>
      <c r="T16" s="4">
        <v>128901</v>
      </c>
      <c r="U16" s="4">
        <v>467</v>
      </c>
      <c r="V16" s="4">
        <v>128.9</v>
      </c>
      <c r="W16" s="4">
        <v>13</v>
      </c>
      <c r="X16" s="4">
        <v>650</v>
      </c>
      <c r="Y16" s="4">
        <v>3.5999999999999999E-3</v>
      </c>
      <c r="Z16" s="4">
        <v>0.28000000000000003</v>
      </c>
      <c r="AA16" s="4">
        <v>7</v>
      </c>
      <c r="AB16" s="4">
        <v>0.34</v>
      </c>
      <c r="AD16" s="3">
        <v>45296</v>
      </c>
      <c r="AE16" s="4" t="s">
        <v>112</v>
      </c>
      <c r="AF16" s="4" t="s">
        <v>113</v>
      </c>
      <c r="AG16" s="4" t="s">
        <v>114</v>
      </c>
      <c r="AH16" s="4" t="s">
        <v>115</v>
      </c>
      <c r="AI16" s="4">
        <v>356789</v>
      </c>
      <c r="AJ16" s="4">
        <v>5834</v>
      </c>
      <c r="AK16" s="4">
        <v>901.2</v>
      </c>
      <c r="AL16" s="4">
        <v>91</v>
      </c>
      <c r="AM16" s="4">
        <v>293456</v>
      </c>
      <c r="AN16" s="4">
        <v>239234</v>
      </c>
      <c r="AO16" s="4">
        <v>191234</v>
      </c>
      <c r="AP16" s="4">
        <v>136234</v>
      </c>
      <c r="AQ16" s="4">
        <v>90234</v>
      </c>
      <c r="AR16" s="4">
        <v>15890</v>
      </c>
      <c r="AS16" s="4">
        <v>4634</v>
      </c>
      <c r="AT16" s="4">
        <v>1256</v>
      </c>
      <c r="AV16" s="5">
        <f>T_Facebook_Ads[[#This Row],[date]]</f>
        <v>45296</v>
      </c>
      <c r="AW16">
        <f t="shared" ca="1" si="0"/>
        <v>3</v>
      </c>
      <c r="AX16">
        <f ca="1">ROUND(T_Facebook_Ads[[#This Row],[impressions]]*RANDBETWEEN(8,12)/10,0)</f>
        <v>64111</v>
      </c>
      <c r="AY16">
        <f ca="1">ROUND(T_Facebook_Ads[[#This Row],[clicks]]*RANDBETWEEN(8,12)/10,0)</f>
        <v>256</v>
      </c>
      <c r="AZ16">
        <f ca="1">T_Facebook_Ads[[#This Row],[spend]]*RANDBETWEEN(8,12)/10</f>
        <v>104.28</v>
      </c>
      <c r="BA16">
        <f ca="1">ROUND(T_Facebook_Ads[[#This Row],[conversions]]*RANDBETWEEN(8,12)/10,0)</f>
        <v>5</v>
      </c>
      <c r="BB16">
        <f ca="1">ROUND(T_Facebook_Ads[[#This Row],[video_views]]*RANDBETWEEN(8,12)/10,0)</f>
        <v>53791</v>
      </c>
    </row>
    <row r="17" spans="1:54" ht="15.75" thickBot="1" x14ac:dyDescent="0.3">
      <c r="A17" s="3">
        <v>45297</v>
      </c>
      <c r="B17" s="4" t="s">
        <v>52</v>
      </c>
      <c r="C17" s="4" t="s">
        <v>53</v>
      </c>
      <c r="D17" s="4" t="s">
        <v>54</v>
      </c>
      <c r="E17" s="4" t="s">
        <v>55</v>
      </c>
      <c r="F17" s="4">
        <v>44567</v>
      </c>
      <c r="G17" s="4">
        <v>878</v>
      </c>
      <c r="H17" s="4">
        <v>125.6</v>
      </c>
      <c r="I17" s="4">
        <v>11</v>
      </c>
      <c r="J17" s="4">
        <v>8123</v>
      </c>
      <c r="K17" s="4">
        <v>1.9699999999999999E-2</v>
      </c>
      <c r="L17" s="4">
        <v>37456</v>
      </c>
      <c r="M17" s="4">
        <v>1.19</v>
      </c>
      <c r="O17" s="3">
        <v>45297</v>
      </c>
      <c r="P17" s="4" t="s">
        <v>76</v>
      </c>
      <c r="Q17" s="4" t="s">
        <v>77</v>
      </c>
      <c r="R17" s="4" t="s">
        <v>78</v>
      </c>
      <c r="S17" s="4" t="s">
        <v>79</v>
      </c>
      <c r="T17" s="4">
        <v>24234</v>
      </c>
      <c r="U17" s="4">
        <v>1267</v>
      </c>
      <c r="V17" s="4">
        <v>241.2</v>
      </c>
      <c r="W17" s="4">
        <v>47</v>
      </c>
      <c r="X17" s="4">
        <v>2350</v>
      </c>
      <c r="Y17" s="4">
        <v>5.2299999999999999E-2</v>
      </c>
      <c r="Z17" s="4">
        <v>0.19</v>
      </c>
      <c r="AA17" s="4">
        <v>9</v>
      </c>
      <c r="AB17" s="4">
        <v>0.92</v>
      </c>
      <c r="AD17" s="3">
        <v>45297</v>
      </c>
      <c r="AE17" s="4" t="s">
        <v>100</v>
      </c>
      <c r="AF17" s="4" t="s">
        <v>101</v>
      </c>
      <c r="AG17" s="4" t="s">
        <v>102</v>
      </c>
      <c r="AH17" s="4" t="s">
        <v>103</v>
      </c>
      <c r="AI17" s="4">
        <v>267890</v>
      </c>
      <c r="AJ17" s="4">
        <v>3945</v>
      </c>
      <c r="AK17" s="4">
        <v>523.4</v>
      </c>
      <c r="AL17" s="4">
        <v>40</v>
      </c>
      <c r="AM17" s="4">
        <v>221234</v>
      </c>
      <c r="AN17" s="4">
        <v>173456</v>
      </c>
      <c r="AO17" s="4">
        <v>109234</v>
      </c>
      <c r="AP17" s="4">
        <v>73567</v>
      </c>
      <c r="AQ17" s="4">
        <v>49234</v>
      </c>
      <c r="AR17" s="4">
        <v>9789</v>
      </c>
      <c r="AS17" s="4">
        <v>2634</v>
      </c>
      <c r="AT17" s="4">
        <v>623</v>
      </c>
      <c r="AV17" s="5">
        <f>T_Facebook_Ads[[#This Row],[date]]</f>
        <v>45297</v>
      </c>
      <c r="AW17">
        <f t="shared" ca="1" si="0"/>
        <v>6</v>
      </c>
      <c r="AX17">
        <f ca="1">ROUND(T_Facebook_Ads[[#This Row],[impressions]]*RANDBETWEEN(8,12)/10,0)</f>
        <v>35654</v>
      </c>
      <c r="AY17">
        <f ca="1">ROUND(T_Facebook_Ads[[#This Row],[clicks]]*RANDBETWEEN(8,12)/10,0)</f>
        <v>1054</v>
      </c>
      <c r="AZ17">
        <f ca="1">T_Facebook_Ads[[#This Row],[spend]]*RANDBETWEEN(8,12)/10</f>
        <v>138.16</v>
      </c>
      <c r="BA17">
        <f ca="1">ROUND(T_Facebook_Ads[[#This Row],[conversions]]*RANDBETWEEN(8,12)/10,0)</f>
        <v>9</v>
      </c>
      <c r="BB17">
        <f ca="1">ROUND(T_Facebook_Ads[[#This Row],[video_views]]*RANDBETWEEN(8,12)/10,0)</f>
        <v>8123</v>
      </c>
    </row>
    <row r="18" spans="1:54" ht="15.75" thickBot="1" x14ac:dyDescent="0.3">
      <c r="A18" s="3">
        <v>45297</v>
      </c>
      <c r="B18" s="4" t="s">
        <v>60</v>
      </c>
      <c r="C18" s="4" t="s">
        <v>61</v>
      </c>
      <c r="D18" s="4" t="s">
        <v>62</v>
      </c>
      <c r="E18" s="4" t="s">
        <v>63</v>
      </c>
      <c r="F18" s="4">
        <v>35678</v>
      </c>
      <c r="G18" s="4">
        <v>1289</v>
      </c>
      <c r="H18" s="4">
        <v>195.6</v>
      </c>
      <c r="I18" s="4">
        <v>24</v>
      </c>
      <c r="J18" s="4">
        <v>4678</v>
      </c>
      <c r="K18" s="4">
        <v>3.61E-2</v>
      </c>
      <c r="L18" s="4">
        <v>29345</v>
      </c>
      <c r="M18" s="4">
        <v>1.22</v>
      </c>
      <c r="O18" s="3">
        <v>45297</v>
      </c>
      <c r="P18" s="4" t="s">
        <v>84</v>
      </c>
      <c r="Q18" s="4" t="s">
        <v>85</v>
      </c>
      <c r="R18" s="4" t="s">
        <v>86</v>
      </c>
      <c r="S18" s="4" t="s">
        <v>87</v>
      </c>
      <c r="T18" s="4">
        <v>72345</v>
      </c>
      <c r="U18" s="4">
        <v>2378</v>
      </c>
      <c r="V18" s="4">
        <v>432.9</v>
      </c>
      <c r="W18" s="4">
        <v>69</v>
      </c>
      <c r="X18" s="4">
        <v>3450</v>
      </c>
      <c r="Y18" s="4">
        <v>3.2899999999999999E-2</v>
      </c>
      <c r="Z18" s="4">
        <v>0.18</v>
      </c>
      <c r="AA18" s="4">
        <v>8</v>
      </c>
      <c r="AB18" s="4">
        <v>0.67</v>
      </c>
      <c r="AD18" s="3">
        <v>45297</v>
      </c>
      <c r="AE18" s="4" t="s">
        <v>108</v>
      </c>
      <c r="AF18" s="4" t="s">
        <v>109</v>
      </c>
      <c r="AG18" s="4" t="s">
        <v>110</v>
      </c>
      <c r="AH18" s="4" t="s">
        <v>111</v>
      </c>
      <c r="AI18" s="4">
        <v>205678</v>
      </c>
      <c r="AJ18" s="4">
        <v>3234</v>
      </c>
      <c r="AK18" s="4">
        <v>387.8</v>
      </c>
      <c r="AL18" s="4">
        <v>27</v>
      </c>
      <c r="AM18" s="4">
        <v>162345</v>
      </c>
      <c r="AN18" s="4">
        <v>124567</v>
      </c>
      <c r="AO18" s="4">
        <v>98901</v>
      </c>
      <c r="AP18" s="4">
        <v>63234</v>
      </c>
      <c r="AQ18" s="4">
        <v>38234</v>
      </c>
      <c r="AR18" s="4">
        <v>7567</v>
      </c>
      <c r="AS18" s="4">
        <v>2089</v>
      </c>
      <c r="AT18" s="4">
        <v>501</v>
      </c>
      <c r="AV18" s="5">
        <f>T_Facebook_Ads[[#This Row],[date]]</f>
        <v>45297</v>
      </c>
      <c r="AW18">
        <f t="shared" ca="1" si="0"/>
        <v>1</v>
      </c>
      <c r="AX18">
        <f ca="1">ROUND(T_Facebook_Ads[[#This Row],[impressions]]*RANDBETWEEN(8,12)/10,0)</f>
        <v>35678</v>
      </c>
      <c r="AY18">
        <f ca="1">ROUND(T_Facebook_Ads[[#This Row],[clicks]]*RANDBETWEEN(8,12)/10,0)</f>
        <v>1547</v>
      </c>
      <c r="AZ18">
        <f ca="1">T_Facebook_Ads[[#This Row],[spend]]*RANDBETWEEN(8,12)/10</f>
        <v>156.47999999999999</v>
      </c>
      <c r="BA18">
        <f ca="1">ROUND(T_Facebook_Ads[[#This Row],[conversions]]*RANDBETWEEN(8,12)/10,0)</f>
        <v>19</v>
      </c>
      <c r="BB18">
        <f ca="1">ROUND(T_Facebook_Ads[[#This Row],[video_views]]*RANDBETWEEN(8,12)/10,0)</f>
        <v>4210</v>
      </c>
    </row>
    <row r="19" spans="1:54" ht="15.75" thickBot="1" x14ac:dyDescent="0.3">
      <c r="A19" s="3">
        <v>45297</v>
      </c>
      <c r="B19" s="4" t="s">
        <v>64</v>
      </c>
      <c r="C19" s="4" t="s">
        <v>65</v>
      </c>
      <c r="D19" s="4" t="s">
        <v>66</v>
      </c>
      <c r="E19" s="4" t="s">
        <v>67</v>
      </c>
      <c r="F19" s="4">
        <v>69456</v>
      </c>
      <c r="G19" s="4">
        <v>245</v>
      </c>
      <c r="H19" s="4">
        <v>91.2</v>
      </c>
      <c r="I19" s="4">
        <v>5</v>
      </c>
      <c r="J19" s="4">
        <v>47234</v>
      </c>
      <c r="K19" s="4">
        <v>3.5000000000000001E-3</v>
      </c>
      <c r="L19" s="4">
        <v>57890</v>
      </c>
      <c r="M19" s="4">
        <v>1.2</v>
      </c>
      <c r="O19" s="3">
        <v>45297</v>
      </c>
      <c r="P19" s="4" t="s">
        <v>88</v>
      </c>
      <c r="Q19" s="4" t="s">
        <v>89</v>
      </c>
      <c r="R19" s="4" t="s">
        <v>90</v>
      </c>
      <c r="S19" s="4" t="s">
        <v>59</v>
      </c>
      <c r="T19" s="4">
        <v>131234</v>
      </c>
      <c r="U19" s="4">
        <v>478</v>
      </c>
      <c r="V19" s="4">
        <v>132.4</v>
      </c>
      <c r="W19" s="4">
        <v>13</v>
      </c>
      <c r="X19" s="4">
        <v>650</v>
      </c>
      <c r="Y19" s="4">
        <v>3.5999999999999999E-3</v>
      </c>
      <c r="Z19" s="4">
        <v>0.28000000000000003</v>
      </c>
      <c r="AA19" s="4">
        <v>7</v>
      </c>
      <c r="AB19" s="4">
        <v>0.35</v>
      </c>
      <c r="AD19" s="3">
        <v>45297</v>
      </c>
      <c r="AE19" s="4" t="s">
        <v>112</v>
      </c>
      <c r="AF19" s="4" t="s">
        <v>113</v>
      </c>
      <c r="AG19" s="4" t="s">
        <v>114</v>
      </c>
      <c r="AH19" s="4" t="s">
        <v>115</v>
      </c>
      <c r="AI19" s="4">
        <v>378901</v>
      </c>
      <c r="AJ19" s="4">
        <v>6123</v>
      </c>
      <c r="AK19" s="4">
        <v>945.6</v>
      </c>
      <c r="AL19" s="4">
        <v>96</v>
      </c>
      <c r="AM19" s="4">
        <v>312345</v>
      </c>
      <c r="AN19" s="4">
        <v>251234</v>
      </c>
      <c r="AO19" s="4">
        <v>201234</v>
      </c>
      <c r="AP19" s="4">
        <v>143456</v>
      </c>
      <c r="AQ19" s="4">
        <v>95234</v>
      </c>
      <c r="AR19" s="4">
        <v>16567</v>
      </c>
      <c r="AS19" s="4">
        <v>4823</v>
      </c>
      <c r="AT19" s="4">
        <v>1312</v>
      </c>
      <c r="AV19" s="5">
        <f>T_Facebook_Ads[[#This Row],[date]]</f>
        <v>45297</v>
      </c>
      <c r="AW19">
        <f t="shared" ca="1" si="0"/>
        <v>3</v>
      </c>
      <c r="AX19">
        <f ca="1">ROUND(T_Facebook_Ads[[#This Row],[impressions]]*RANDBETWEEN(8,12)/10,0)</f>
        <v>76402</v>
      </c>
      <c r="AY19">
        <f ca="1">ROUND(T_Facebook_Ads[[#This Row],[clicks]]*RANDBETWEEN(8,12)/10,0)</f>
        <v>221</v>
      </c>
      <c r="AZ19">
        <f ca="1">T_Facebook_Ads[[#This Row],[spend]]*RANDBETWEEN(8,12)/10</f>
        <v>72.960000000000008</v>
      </c>
      <c r="BA19">
        <f ca="1">ROUND(T_Facebook_Ads[[#This Row],[conversions]]*RANDBETWEEN(8,12)/10,0)</f>
        <v>6</v>
      </c>
      <c r="BB19">
        <f ca="1">ROUND(T_Facebook_Ads[[#This Row],[video_views]]*RANDBETWEEN(8,12)/10,0)</f>
        <v>47234</v>
      </c>
    </row>
    <row r="20" spans="1:54" ht="15.75" thickBot="1" x14ac:dyDescent="0.3">
      <c r="A20" s="3">
        <v>45298</v>
      </c>
      <c r="B20" s="4" t="s">
        <v>52</v>
      </c>
      <c r="C20" s="4" t="s">
        <v>53</v>
      </c>
      <c r="D20" s="4" t="s">
        <v>54</v>
      </c>
      <c r="E20" s="4" t="s">
        <v>55</v>
      </c>
      <c r="F20" s="4">
        <v>49876</v>
      </c>
      <c r="G20" s="4">
        <v>1067</v>
      </c>
      <c r="H20" s="4">
        <v>145.9</v>
      </c>
      <c r="I20" s="4">
        <v>16</v>
      </c>
      <c r="J20" s="4">
        <v>9567</v>
      </c>
      <c r="K20" s="4">
        <v>2.1399999999999999E-2</v>
      </c>
      <c r="L20" s="4">
        <v>41234</v>
      </c>
      <c r="M20" s="4">
        <v>1.21</v>
      </c>
      <c r="O20" s="3">
        <v>45298</v>
      </c>
      <c r="P20" s="4" t="s">
        <v>76</v>
      </c>
      <c r="Q20" s="4" t="s">
        <v>77</v>
      </c>
      <c r="R20" s="4" t="s">
        <v>78</v>
      </c>
      <c r="S20" s="4" t="s">
        <v>79</v>
      </c>
      <c r="T20" s="4">
        <v>26789</v>
      </c>
      <c r="U20" s="4">
        <v>1456</v>
      </c>
      <c r="V20" s="4">
        <v>278.89999999999998</v>
      </c>
      <c r="W20" s="4">
        <v>54</v>
      </c>
      <c r="X20" s="4">
        <v>2700</v>
      </c>
      <c r="Y20" s="4">
        <v>5.4399999999999997E-2</v>
      </c>
      <c r="Z20" s="4">
        <v>0.19</v>
      </c>
      <c r="AA20" s="4">
        <v>9</v>
      </c>
      <c r="AB20" s="4">
        <v>0.93</v>
      </c>
      <c r="AD20" s="3">
        <v>45298</v>
      </c>
      <c r="AE20" s="4" t="s">
        <v>100</v>
      </c>
      <c r="AF20" s="4" t="s">
        <v>101</v>
      </c>
      <c r="AG20" s="4" t="s">
        <v>102</v>
      </c>
      <c r="AH20" s="4" t="s">
        <v>103</v>
      </c>
      <c r="AI20" s="4">
        <v>278901</v>
      </c>
      <c r="AJ20" s="4">
        <v>4123</v>
      </c>
      <c r="AK20" s="4">
        <v>545.6</v>
      </c>
      <c r="AL20" s="4">
        <v>42</v>
      </c>
      <c r="AM20" s="4">
        <v>229234</v>
      </c>
      <c r="AN20" s="4">
        <v>179234</v>
      </c>
      <c r="AO20" s="4">
        <v>112234</v>
      </c>
      <c r="AP20" s="4">
        <v>75678</v>
      </c>
      <c r="AQ20" s="4">
        <v>50234</v>
      </c>
      <c r="AR20" s="4">
        <v>10123</v>
      </c>
      <c r="AS20" s="4">
        <v>2712</v>
      </c>
      <c r="AT20" s="4">
        <v>645</v>
      </c>
      <c r="AV20" s="5">
        <f>T_Facebook_Ads[[#This Row],[date]]</f>
        <v>45298</v>
      </c>
      <c r="AW20">
        <f t="shared" ca="1" si="0"/>
        <v>6</v>
      </c>
      <c r="AX20">
        <f ca="1">ROUND(T_Facebook_Ads[[#This Row],[impressions]]*RANDBETWEEN(8,12)/10,0)</f>
        <v>59851</v>
      </c>
      <c r="AY20">
        <f ca="1">ROUND(T_Facebook_Ads[[#This Row],[clicks]]*RANDBETWEEN(8,12)/10,0)</f>
        <v>1174</v>
      </c>
      <c r="AZ20">
        <f ca="1">T_Facebook_Ads[[#This Row],[spend]]*RANDBETWEEN(8,12)/10</f>
        <v>175.08</v>
      </c>
      <c r="BA20">
        <f ca="1">ROUND(T_Facebook_Ads[[#This Row],[conversions]]*RANDBETWEEN(8,12)/10,0)</f>
        <v>13</v>
      </c>
      <c r="BB20">
        <f ca="1">ROUND(T_Facebook_Ads[[#This Row],[video_views]]*RANDBETWEEN(8,12)/10,0)</f>
        <v>9567</v>
      </c>
    </row>
    <row r="21" spans="1:54" ht="15.75" thickBot="1" x14ac:dyDescent="0.3">
      <c r="A21" s="3">
        <v>45298</v>
      </c>
      <c r="B21" s="4" t="s">
        <v>56</v>
      </c>
      <c r="C21" s="4" t="s">
        <v>57</v>
      </c>
      <c r="D21" s="4" t="s">
        <v>58</v>
      </c>
      <c r="E21" s="4" t="s">
        <v>59</v>
      </c>
      <c r="F21" s="4">
        <v>13456</v>
      </c>
      <c r="G21" s="4">
        <v>623</v>
      </c>
      <c r="H21" s="4">
        <v>237.8</v>
      </c>
      <c r="I21" s="4">
        <v>40</v>
      </c>
      <c r="J21" s="4">
        <v>1456</v>
      </c>
      <c r="K21" s="4">
        <v>4.6300000000000001E-2</v>
      </c>
      <c r="L21" s="4">
        <v>10567</v>
      </c>
      <c r="M21" s="4">
        <v>1.27</v>
      </c>
      <c r="O21" s="3">
        <v>45298</v>
      </c>
      <c r="P21" s="4" t="s">
        <v>80</v>
      </c>
      <c r="Q21" s="4" t="s">
        <v>81</v>
      </c>
      <c r="R21" s="4" t="s">
        <v>82</v>
      </c>
      <c r="S21" s="4" t="s">
        <v>83</v>
      </c>
      <c r="T21" s="4">
        <v>44567</v>
      </c>
      <c r="U21" s="4">
        <v>878</v>
      </c>
      <c r="V21" s="4">
        <v>567.20000000000005</v>
      </c>
      <c r="W21" s="4">
        <v>22</v>
      </c>
      <c r="X21" s="4">
        <v>1100</v>
      </c>
      <c r="Y21" s="4">
        <v>1.9699999999999999E-2</v>
      </c>
      <c r="Z21" s="4">
        <v>0.65</v>
      </c>
      <c r="AA21" s="4">
        <v>6</v>
      </c>
      <c r="AB21" s="4">
        <v>0.44</v>
      </c>
      <c r="AD21" s="3">
        <v>45298</v>
      </c>
      <c r="AE21" s="4" t="s">
        <v>104</v>
      </c>
      <c r="AF21" s="4" t="s">
        <v>105</v>
      </c>
      <c r="AG21" s="4" t="s">
        <v>106</v>
      </c>
      <c r="AH21" s="4" t="s">
        <v>107</v>
      </c>
      <c r="AI21" s="4">
        <v>138901</v>
      </c>
      <c r="AJ21" s="4">
        <v>2678</v>
      </c>
      <c r="AK21" s="4">
        <v>734.5</v>
      </c>
      <c r="AL21" s="4">
        <v>73</v>
      </c>
      <c r="AM21" s="4">
        <v>97890</v>
      </c>
      <c r="AN21" s="4">
        <v>72345</v>
      </c>
      <c r="AO21" s="4">
        <v>48901</v>
      </c>
      <c r="AP21" s="4">
        <v>36789</v>
      </c>
      <c r="AQ21" s="4">
        <v>24890</v>
      </c>
      <c r="AR21" s="4">
        <v>4901</v>
      </c>
      <c r="AS21" s="4">
        <v>1356</v>
      </c>
      <c r="AT21" s="4">
        <v>256</v>
      </c>
      <c r="AV21" s="5">
        <f>T_Facebook_Ads[[#This Row],[date]]</f>
        <v>45298</v>
      </c>
      <c r="AW21">
        <f t="shared" ca="1" si="0"/>
        <v>1</v>
      </c>
      <c r="AX21">
        <f ca="1">ROUND(T_Facebook_Ads[[#This Row],[impressions]]*RANDBETWEEN(8,12)/10,0)</f>
        <v>16147</v>
      </c>
      <c r="AY21">
        <f ca="1">ROUND(T_Facebook_Ads[[#This Row],[clicks]]*RANDBETWEEN(8,12)/10,0)</f>
        <v>685</v>
      </c>
      <c r="AZ21">
        <f ca="1">T_Facebook_Ads[[#This Row],[spend]]*RANDBETWEEN(8,12)/10</f>
        <v>190.24</v>
      </c>
      <c r="BA21">
        <f ca="1">ROUND(T_Facebook_Ads[[#This Row],[conversions]]*RANDBETWEEN(8,12)/10,0)</f>
        <v>36</v>
      </c>
      <c r="BB21">
        <f ca="1">ROUND(T_Facebook_Ads[[#This Row],[video_views]]*RANDBETWEEN(8,12)/10,0)</f>
        <v>1602</v>
      </c>
    </row>
    <row r="22" spans="1:54" ht="15.75" thickBot="1" x14ac:dyDescent="0.3">
      <c r="A22" s="3">
        <v>45298</v>
      </c>
      <c r="B22" s="4" t="s">
        <v>60</v>
      </c>
      <c r="C22" s="4" t="s">
        <v>61</v>
      </c>
      <c r="D22" s="4" t="s">
        <v>62</v>
      </c>
      <c r="E22" s="4" t="s">
        <v>63</v>
      </c>
      <c r="F22" s="4">
        <v>37234</v>
      </c>
      <c r="G22" s="4">
        <v>1367</v>
      </c>
      <c r="H22" s="4">
        <v>207.9</v>
      </c>
      <c r="I22" s="4">
        <v>27</v>
      </c>
      <c r="J22" s="4">
        <v>5012</v>
      </c>
      <c r="K22" s="4">
        <v>3.6700000000000003E-2</v>
      </c>
      <c r="L22" s="4">
        <v>30678</v>
      </c>
      <c r="M22" s="4">
        <v>1.21</v>
      </c>
      <c r="O22" s="3">
        <v>45298</v>
      </c>
      <c r="P22" s="4" t="s">
        <v>84</v>
      </c>
      <c r="Q22" s="4" t="s">
        <v>85</v>
      </c>
      <c r="R22" s="4" t="s">
        <v>86</v>
      </c>
      <c r="S22" s="4" t="s">
        <v>87</v>
      </c>
      <c r="T22" s="4">
        <v>70234</v>
      </c>
      <c r="U22" s="4">
        <v>2289</v>
      </c>
      <c r="V22" s="4">
        <v>419.5</v>
      </c>
      <c r="W22" s="4">
        <v>66</v>
      </c>
      <c r="X22" s="4">
        <v>3300</v>
      </c>
      <c r="Y22" s="4">
        <v>3.2599999999999997E-2</v>
      </c>
      <c r="Z22" s="4">
        <v>0.18</v>
      </c>
      <c r="AA22" s="4">
        <v>8</v>
      </c>
      <c r="AB22" s="4">
        <v>0.66</v>
      </c>
      <c r="AD22" s="3">
        <v>45298</v>
      </c>
      <c r="AE22" s="4" t="s">
        <v>108</v>
      </c>
      <c r="AF22" s="4" t="s">
        <v>109</v>
      </c>
      <c r="AG22" s="4" t="s">
        <v>110</v>
      </c>
      <c r="AH22" s="4" t="s">
        <v>111</v>
      </c>
      <c r="AI22" s="4">
        <v>212345</v>
      </c>
      <c r="AJ22" s="4">
        <v>3345</v>
      </c>
      <c r="AK22" s="4">
        <v>401.1</v>
      </c>
      <c r="AL22" s="4">
        <v>28</v>
      </c>
      <c r="AM22" s="4">
        <v>167890</v>
      </c>
      <c r="AN22" s="4">
        <v>128234</v>
      </c>
      <c r="AO22" s="4">
        <v>101234</v>
      </c>
      <c r="AP22" s="4">
        <v>65234</v>
      </c>
      <c r="AQ22" s="4">
        <v>39456</v>
      </c>
      <c r="AR22" s="4">
        <v>7789</v>
      </c>
      <c r="AS22" s="4">
        <v>2145</v>
      </c>
      <c r="AT22" s="4">
        <v>512</v>
      </c>
      <c r="AV22" s="5">
        <f>T_Facebook_Ads[[#This Row],[date]]</f>
        <v>45298</v>
      </c>
      <c r="AW22">
        <f t="shared" ca="1" si="0"/>
        <v>6</v>
      </c>
      <c r="AX22">
        <f ca="1">ROUND(T_Facebook_Ads[[#This Row],[impressions]]*RANDBETWEEN(8,12)/10,0)</f>
        <v>33511</v>
      </c>
      <c r="AY22">
        <f ca="1">ROUND(T_Facebook_Ads[[#This Row],[clicks]]*RANDBETWEEN(8,12)/10,0)</f>
        <v>1094</v>
      </c>
      <c r="AZ22">
        <f ca="1">T_Facebook_Ads[[#This Row],[spend]]*RANDBETWEEN(8,12)/10</f>
        <v>166.32</v>
      </c>
      <c r="BA22">
        <f ca="1">ROUND(T_Facebook_Ads[[#This Row],[conversions]]*RANDBETWEEN(8,12)/10,0)</f>
        <v>27</v>
      </c>
      <c r="BB22">
        <f ca="1">ROUND(T_Facebook_Ads[[#This Row],[video_views]]*RANDBETWEEN(8,12)/10,0)</f>
        <v>6014</v>
      </c>
    </row>
    <row r="23" spans="1:54" ht="15.75" thickBot="1" x14ac:dyDescent="0.3">
      <c r="A23" s="3">
        <v>45299</v>
      </c>
      <c r="B23" s="4" t="s">
        <v>52</v>
      </c>
      <c r="C23" s="4" t="s">
        <v>53</v>
      </c>
      <c r="D23" s="4" t="s">
        <v>54</v>
      </c>
      <c r="E23" s="4" t="s">
        <v>55</v>
      </c>
      <c r="F23" s="4">
        <v>47234</v>
      </c>
      <c r="G23" s="4">
        <v>945</v>
      </c>
      <c r="H23" s="4">
        <v>135.4</v>
      </c>
      <c r="I23" s="4">
        <v>14</v>
      </c>
      <c r="J23" s="4">
        <v>8789</v>
      </c>
      <c r="K23" s="4">
        <v>0.02</v>
      </c>
      <c r="L23" s="4">
        <v>39567</v>
      </c>
      <c r="M23" s="4">
        <v>1.19</v>
      </c>
      <c r="O23" s="3">
        <v>45299</v>
      </c>
      <c r="P23" s="4" t="s">
        <v>76</v>
      </c>
      <c r="Q23" s="4" t="s">
        <v>77</v>
      </c>
      <c r="R23" s="4" t="s">
        <v>78</v>
      </c>
      <c r="S23" s="4" t="s">
        <v>79</v>
      </c>
      <c r="T23" s="4">
        <v>22567</v>
      </c>
      <c r="U23" s="4">
        <v>1134</v>
      </c>
      <c r="V23" s="4">
        <v>216.8</v>
      </c>
      <c r="W23" s="4">
        <v>43</v>
      </c>
      <c r="X23" s="4">
        <v>2150</v>
      </c>
      <c r="Y23" s="4">
        <v>5.0299999999999997E-2</v>
      </c>
      <c r="Z23" s="4">
        <v>0.19</v>
      </c>
      <c r="AA23" s="4">
        <v>9</v>
      </c>
      <c r="AB23" s="4">
        <v>0.91</v>
      </c>
      <c r="AD23" s="3">
        <v>45299</v>
      </c>
      <c r="AE23" s="4" t="s">
        <v>100</v>
      </c>
      <c r="AF23" s="4" t="s">
        <v>101</v>
      </c>
      <c r="AG23" s="4" t="s">
        <v>102</v>
      </c>
      <c r="AH23" s="4" t="s">
        <v>103</v>
      </c>
      <c r="AI23" s="4">
        <v>245234</v>
      </c>
      <c r="AJ23" s="4">
        <v>3578</v>
      </c>
      <c r="AK23" s="4">
        <v>474.3</v>
      </c>
      <c r="AL23" s="4">
        <v>37</v>
      </c>
      <c r="AM23" s="4">
        <v>203456</v>
      </c>
      <c r="AN23" s="4">
        <v>158901</v>
      </c>
      <c r="AO23" s="4">
        <v>99567</v>
      </c>
      <c r="AP23" s="4">
        <v>68234</v>
      </c>
      <c r="AQ23" s="4">
        <v>45789</v>
      </c>
      <c r="AR23" s="4">
        <v>8978</v>
      </c>
      <c r="AS23" s="4">
        <v>2389</v>
      </c>
      <c r="AT23" s="4">
        <v>590</v>
      </c>
      <c r="AV23" s="5">
        <f>T_Facebook_Ads[[#This Row],[date]]</f>
        <v>45299</v>
      </c>
      <c r="AW23">
        <f t="shared" ca="1" si="0"/>
        <v>4</v>
      </c>
      <c r="AX23">
        <f ca="1">ROUND(T_Facebook_Ads[[#This Row],[impressions]]*RANDBETWEEN(8,12)/10,0)</f>
        <v>42511</v>
      </c>
      <c r="AY23">
        <f ca="1">ROUND(T_Facebook_Ads[[#This Row],[clicks]]*RANDBETWEEN(8,12)/10,0)</f>
        <v>1040</v>
      </c>
      <c r="AZ23">
        <f ca="1">T_Facebook_Ads[[#This Row],[spend]]*RANDBETWEEN(8,12)/10</f>
        <v>162.48000000000002</v>
      </c>
      <c r="BA23">
        <f ca="1">ROUND(T_Facebook_Ads[[#This Row],[conversions]]*RANDBETWEEN(8,12)/10,0)</f>
        <v>11</v>
      </c>
      <c r="BB23">
        <f ca="1">ROUND(T_Facebook_Ads[[#This Row],[video_views]]*RANDBETWEEN(8,12)/10,0)</f>
        <v>8789</v>
      </c>
    </row>
    <row r="24" spans="1:54" ht="15.75" thickBot="1" x14ac:dyDescent="0.3">
      <c r="A24" s="3">
        <v>45299</v>
      </c>
      <c r="B24" s="4" t="s">
        <v>56</v>
      </c>
      <c r="C24" s="4" t="s">
        <v>57</v>
      </c>
      <c r="D24" s="4" t="s">
        <v>58</v>
      </c>
      <c r="E24" s="4" t="s">
        <v>59</v>
      </c>
      <c r="F24" s="4">
        <v>12123</v>
      </c>
      <c r="G24" s="4">
        <v>534</v>
      </c>
      <c r="H24" s="4">
        <v>212.4</v>
      </c>
      <c r="I24" s="4">
        <v>35</v>
      </c>
      <c r="J24" s="4">
        <v>1234</v>
      </c>
      <c r="K24" s="4">
        <v>4.41E-2</v>
      </c>
      <c r="L24" s="4">
        <v>9567</v>
      </c>
      <c r="M24" s="4">
        <v>1.27</v>
      </c>
      <c r="O24" s="3">
        <v>45299</v>
      </c>
      <c r="P24" s="4" t="s">
        <v>80</v>
      </c>
      <c r="Q24" s="4" t="s">
        <v>81</v>
      </c>
      <c r="R24" s="4" t="s">
        <v>82</v>
      </c>
      <c r="S24" s="4" t="s">
        <v>83</v>
      </c>
      <c r="T24" s="4">
        <v>48234</v>
      </c>
      <c r="U24" s="4">
        <v>989</v>
      </c>
      <c r="V24" s="4">
        <v>634.70000000000005</v>
      </c>
      <c r="W24" s="4">
        <v>26</v>
      </c>
      <c r="X24" s="4">
        <v>1300</v>
      </c>
      <c r="Y24" s="4">
        <v>2.0500000000000001E-2</v>
      </c>
      <c r="Z24" s="4">
        <v>0.64</v>
      </c>
      <c r="AA24" s="4">
        <v>7</v>
      </c>
      <c r="AB24" s="4">
        <v>0.46</v>
      </c>
      <c r="AD24" s="3">
        <v>45299</v>
      </c>
      <c r="AE24" s="4" t="s">
        <v>104</v>
      </c>
      <c r="AF24" s="4" t="s">
        <v>105</v>
      </c>
      <c r="AG24" s="4" t="s">
        <v>106</v>
      </c>
      <c r="AH24" s="4" t="s">
        <v>107</v>
      </c>
      <c r="AI24" s="4">
        <v>119234</v>
      </c>
      <c r="AJ24" s="4">
        <v>2234</v>
      </c>
      <c r="AK24" s="4">
        <v>645.6</v>
      </c>
      <c r="AL24" s="4">
        <v>64</v>
      </c>
      <c r="AM24" s="4">
        <v>85678</v>
      </c>
      <c r="AN24" s="4">
        <v>63456</v>
      </c>
      <c r="AO24" s="4">
        <v>42345</v>
      </c>
      <c r="AP24" s="4">
        <v>32234</v>
      </c>
      <c r="AQ24" s="4">
        <v>22234</v>
      </c>
      <c r="AR24" s="4">
        <v>4345</v>
      </c>
      <c r="AS24" s="4">
        <v>1189</v>
      </c>
      <c r="AT24" s="4">
        <v>223</v>
      </c>
      <c r="AV24" s="5">
        <f>T_Facebook_Ads[[#This Row],[date]]</f>
        <v>45299</v>
      </c>
      <c r="AW24">
        <f t="shared" ca="1" si="0"/>
        <v>3</v>
      </c>
      <c r="AX24">
        <f ca="1">ROUND(T_Facebook_Ads[[#This Row],[impressions]]*RANDBETWEEN(8,12)/10,0)</f>
        <v>13335</v>
      </c>
      <c r="AY24">
        <f ca="1">ROUND(T_Facebook_Ads[[#This Row],[clicks]]*RANDBETWEEN(8,12)/10,0)</f>
        <v>641</v>
      </c>
      <c r="AZ24">
        <f ca="1">T_Facebook_Ads[[#This Row],[spend]]*RANDBETWEEN(8,12)/10</f>
        <v>212.4</v>
      </c>
      <c r="BA24">
        <f ca="1">ROUND(T_Facebook_Ads[[#This Row],[conversions]]*RANDBETWEEN(8,12)/10,0)</f>
        <v>32</v>
      </c>
      <c r="BB24">
        <f ca="1">ROUND(T_Facebook_Ads[[#This Row],[video_views]]*RANDBETWEEN(8,12)/10,0)</f>
        <v>1234</v>
      </c>
    </row>
    <row r="25" spans="1:54" ht="15.75" thickBot="1" x14ac:dyDescent="0.3">
      <c r="A25" s="3">
        <v>45299</v>
      </c>
      <c r="B25" s="4" t="s">
        <v>64</v>
      </c>
      <c r="C25" s="4" t="s">
        <v>65</v>
      </c>
      <c r="D25" s="4" t="s">
        <v>66</v>
      </c>
      <c r="E25" s="4" t="s">
        <v>67</v>
      </c>
      <c r="F25" s="4">
        <v>73456</v>
      </c>
      <c r="G25" s="4">
        <v>267</v>
      </c>
      <c r="H25" s="4">
        <v>98.3</v>
      </c>
      <c r="I25" s="4">
        <v>7</v>
      </c>
      <c r="J25" s="4">
        <v>50123</v>
      </c>
      <c r="K25" s="4">
        <v>3.5999999999999999E-3</v>
      </c>
      <c r="L25" s="4">
        <v>60234</v>
      </c>
      <c r="M25" s="4">
        <v>1.22</v>
      </c>
      <c r="O25" s="3">
        <v>45299</v>
      </c>
      <c r="P25" s="4" t="s">
        <v>88</v>
      </c>
      <c r="Q25" s="4" t="s">
        <v>89</v>
      </c>
      <c r="R25" s="4" t="s">
        <v>90</v>
      </c>
      <c r="S25" s="4" t="s">
        <v>59</v>
      </c>
      <c r="T25" s="4">
        <v>125678</v>
      </c>
      <c r="U25" s="4">
        <v>445</v>
      </c>
      <c r="V25" s="4">
        <v>121.3</v>
      </c>
      <c r="W25" s="4">
        <v>11</v>
      </c>
      <c r="X25" s="4">
        <v>550</v>
      </c>
      <c r="Y25" s="4">
        <v>3.5000000000000001E-3</v>
      </c>
      <c r="Z25" s="4">
        <v>0.27</v>
      </c>
      <c r="AA25" s="4">
        <v>7</v>
      </c>
      <c r="AB25" s="4">
        <v>0.34</v>
      </c>
      <c r="AD25" s="3">
        <v>45299</v>
      </c>
      <c r="AE25" s="4" t="s">
        <v>112</v>
      </c>
      <c r="AF25" s="4" t="s">
        <v>113</v>
      </c>
      <c r="AG25" s="4" t="s">
        <v>114</v>
      </c>
      <c r="AH25" s="4" t="s">
        <v>115</v>
      </c>
      <c r="AI25" s="4">
        <v>389012</v>
      </c>
      <c r="AJ25" s="4">
        <v>6234</v>
      </c>
      <c r="AK25" s="4">
        <v>967.8</v>
      </c>
      <c r="AL25" s="4">
        <v>98</v>
      </c>
      <c r="AM25" s="4">
        <v>321234</v>
      </c>
      <c r="AN25" s="4">
        <v>258901</v>
      </c>
      <c r="AO25" s="4">
        <v>207890</v>
      </c>
      <c r="AP25" s="4">
        <v>147234</v>
      </c>
      <c r="AQ25" s="4">
        <v>97456</v>
      </c>
      <c r="AR25" s="4">
        <v>16901</v>
      </c>
      <c r="AS25" s="4">
        <v>4912</v>
      </c>
      <c r="AT25" s="4">
        <v>1345</v>
      </c>
      <c r="AV25" s="5">
        <f>T_Facebook_Ads[[#This Row],[date]]</f>
        <v>45299</v>
      </c>
      <c r="AW25">
        <f t="shared" ca="1" si="0"/>
        <v>1</v>
      </c>
      <c r="AX25">
        <f ca="1">ROUND(T_Facebook_Ads[[#This Row],[impressions]]*RANDBETWEEN(8,12)/10,0)</f>
        <v>80802</v>
      </c>
      <c r="AY25">
        <f ca="1">ROUND(T_Facebook_Ads[[#This Row],[clicks]]*RANDBETWEEN(8,12)/10,0)</f>
        <v>320</v>
      </c>
      <c r="AZ25">
        <f ca="1">T_Facebook_Ads[[#This Row],[spend]]*RANDBETWEEN(8,12)/10</f>
        <v>117.96</v>
      </c>
      <c r="BA25">
        <f ca="1">ROUND(T_Facebook_Ads[[#This Row],[conversions]]*RANDBETWEEN(8,12)/10,0)</f>
        <v>6</v>
      </c>
      <c r="BB25">
        <f ca="1">ROUND(T_Facebook_Ads[[#This Row],[video_views]]*RANDBETWEEN(8,12)/10,0)</f>
        <v>40098</v>
      </c>
    </row>
    <row r="26" spans="1:54" ht="15.75" thickBot="1" x14ac:dyDescent="0.3">
      <c r="A26" s="3">
        <v>45300</v>
      </c>
      <c r="B26" s="4" t="s">
        <v>52</v>
      </c>
      <c r="C26" s="4" t="s">
        <v>53</v>
      </c>
      <c r="D26" s="4" t="s">
        <v>54</v>
      </c>
      <c r="E26" s="4" t="s">
        <v>55</v>
      </c>
      <c r="F26" s="4">
        <v>50123</v>
      </c>
      <c r="G26" s="4">
        <v>1012</v>
      </c>
      <c r="H26" s="4">
        <v>141.69999999999999</v>
      </c>
      <c r="I26" s="4">
        <v>15</v>
      </c>
      <c r="J26" s="4">
        <v>9345</v>
      </c>
      <c r="K26" s="4">
        <v>2.0199999999999999E-2</v>
      </c>
      <c r="L26" s="4">
        <v>41890</v>
      </c>
      <c r="M26" s="4">
        <v>1.2</v>
      </c>
      <c r="O26" s="3">
        <v>45300</v>
      </c>
      <c r="P26" s="4" t="s">
        <v>76</v>
      </c>
      <c r="Q26" s="4" t="s">
        <v>77</v>
      </c>
      <c r="R26" s="4" t="s">
        <v>78</v>
      </c>
      <c r="S26" s="4" t="s">
        <v>79</v>
      </c>
      <c r="T26" s="4">
        <v>25234</v>
      </c>
      <c r="U26" s="4">
        <v>1312</v>
      </c>
      <c r="V26" s="4">
        <v>250.3</v>
      </c>
      <c r="W26" s="4">
        <v>49</v>
      </c>
      <c r="X26" s="4">
        <v>2450</v>
      </c>
      <c r="Y26" s="4">
        <v>5.1999999999999998E-2</v>
      </c>
      <c r="Z26" s="4">
        <v>0.19</v>
      </c>
      <c r="AA26" s="4">
        <v>9</v>
      </c>
      <c r="AB26" s="4">
        <v>0.92</v>
      </c>
      <c r="AD26" s="3">
        <v>45300</v>
      </c>
      <c r="AE26" s="4" t="s">
        <v>100</v>
      </c>
      <c r="AF26" s="4" t="s">
        <v>101</v>
      </c>
      <c r="AG26" s="4" t="s">
        <v>102</v>
      </c>
      <c r="AH26" s="4" t="s">
        <v>103</v>
      </c>
      <c r="AI26" s="4">
        <v>289012</v>
      </c>
      <c r="AJ26" s="4">
        <v>4234</v>
      </c>
      <c r="AK26" s="4">
        <v>556.70000000000005</v>
      </c>
      <c r="AL26" s="4">
        <v>43</v>
      </c>
      <c r="AM26" s="4">
        <v>234567</v>
      </c>
      <c r="AN26" s="4">
        <v>182345</v>
      </c>
      <c r="AO26" s="4">
        <v>114567</v>
      </c>
      <c r="AP26" s="4">
        <v>77234</v>
      </c>
      <c r="AQ26" s="4">
        <v>51234</v>
      </c>
      <c r="AR26" s="4">
        <v>10345</v>
      </c>
      <c r="AS26" s="4">
        <v>2789</v>
      </c>
      <c r="AT26" s="4">
        <v>656</v>
      </c>
      <c r="AV26" s="5">
        <f>T_Facebook_Ads[[#This Row],[date]]</f>
        <v>45300</v>
      </c>
      <c r="AW26">
        <f t="shared" ca="1" si="0"/>
        <v>7</v>
      </c>
      <c r="AX26">
        <f ca="1">ROUND(T_Facebook_Ads[[#This Row],[impressions]]*RANDBETWEEN(8,12)/10,0)</f>
        <v>50123</v>
      </c>
      <c r="AY26">
        <f ca="1">ROUND(T_Facebook_Ads[[#This Row],[clicks]]*RANDBETWEEN(8,12)/10,0)</f>
        <v>1012</v>
      </c>
      <c r="AZ26">
        <f ca="1">T_Facebook_Ads[[#This Row],[spend]]*RANDBETWEEN(8,12)/10</f>
        <v>155.86999999999998</v>
      </c>
      <c r="BA26">
        <f ca="1">ROUND(T_Facebook_Ads[[#This Row],[conversions]]*RANDBETWEEN(8,12)/10,0)</f>
        <v>12</v>
      </c>
      <c r="BB26">
        <f ca="1">ROUND(T_Facebook_Ads[[#This Row],[video_views]]*RANDBETWEEN(8,12)/10,0)</f>
        <v>10280</v>
      </c>
    </row>
    <row r="27" spans="1:54" ht="15.75" thickBot="1" x14ac:dyDescent="0.3">
      <c r="A27" s="3">
        <v>45300</v>
      </c>
      <c r="B27" s="4" t="s">
        <v>60</v>
      </c>
      <c r="C27" s="4" t="s">
        <v>61</v>
      </c>
      <c r="D27" s="4" t="s">
        <v>62</v>
      </c>
      <c r="E27" s="4" t="s">
        <v>63</v>
      </c>
      <c r="F27" s="4">
        <v>36456</v>
      </c>
      <c r="G27" s="4">
        <v>1312</v>
      </c>
      <c r="H27" s="4">
        <v>199.8</v>
      </c>
      <c r="I27" s="4">
        <v>26</v>
      </c>
      <c r="J27" s="4">
        <v>4823</v>
      </c>
      <c r="K27" s="4">
        <v>3.5999999999999997E-2</v>
      </c>
      <c r="L27" s="4">
        <v>30234</v>
      </c>
      <c r="M27" s="4">
        <v>1.21</v>
      </c>
      <c r="O27" s="3">
        <v>45300</v>
      </c>
      <c r="P27" s="4" t="s">
        <v>84</v>
      </c>
      <c r="Q27" s="4" t="s">
        <v>85</v>
      </c>
      <c r="R27" s="4" t="s">
        <v>86</v>
      </c>
      <c r="S27" s="4" t="s">
        <v>87</v>
      </c>
      <c r="T27" s="4">
        <v>73456</v>
      </c>
      <c r="U27" s="4">
        <v>2423</v>
      </c>
      <c r="V27" s="4">
        <v>441.8</v>
      </c>
      <c r="W27" s="4">
        <v>70</v>
      </c>
      <c r="X27" s="4">
        <v>3500</v>
      </c>
      <c r="Y27" s="4">
        <v>3.3000000000000002E-2</v>
      </c>
      <c r="Z27" s="4">
        <v>0.18</v>
      </c>
      <c r="AA27" s="4">
        <v>8</v>
      </c>
      <c r="AB27" s="4">
        <v>0.68</v>
      </c>
      <c r="AD27" s="3">
        <v>45300</v>
      </c>
      <c r="AE27" s="4" t="s">
        <v>108</v>
      </c>
      <c r="AF27" s="4" t="s">
        <v>109</v>
      </c>
      <c r="AG27" s="4" t="s">
        <v>110</v>
      </c>
      <c r="AH27" s="4" t="s">
        <v>111</v>
      </c>
      <c r="AI27" s="4">
        <v>218901</v>
      </c>
      <c r="AJ27" s="4">
        <v>3456</v>
      </c>
      <c r="AK27" s="4">
        <v>414.4</v>
      </c>
      <c r="AL27" s="4">
        <v>29</v>
      </c>
      <c r="AM27" s="4">
        <v>173456</v>
      </c>
      <c r="AN27" s="4">
        <v>131567</v>
      </c>
      <c r="AO27" s="4">
        <v>103567</v>
      </c>
      <c r="AP27" s="4">
        <v>67234</v>
      </c>
      <c r="AQ27" s="4">
        <v>40567</v>
      </c>
      <c r="AR27" s="4">
        <v>8012</v>
      </c>
      <c r="AS27" s="4">
        <v>2201</v>
      </c>
      <c r="AT27" s="4">
        <v>523</v>
      </c>
      <c r="AV27" s="5">
        <f>T_Facebook_Ads[[#This Row],[date]]</f>
        <v>45300</v>
      </c>
      <c r="AW27">
        <f t="shared" ca="1" si="0"/>
        <v>7</v>
      </c>
      <c r="AX27">
        <f ca="1">ROUND(T_Facebook_Ads[[#This Row],[impressions]]*RANDBETWEEN(8,12)/10,0)</f>
        <v>29165</v>
      </c>
      <c r="AY27">
        <f ca="1">ROUND(T_Facebook_Ads[[#This Row],[clicks]]*RANDBETWEEN(8,12)/10,0)</f>
        <v>1181</v>
      </c>
      <c r="AZ27">
        <f ca="1">T_Facebook_Ads[[#This Row],[spend]]*RANDBETWEEN(8,12)/10</f>
        <v>199.8</v>
      </c>
      <c r="BA27">
        <f ca="1">ROUND(T_Facebook_Ads[[#This Row],[conversions]]*RANDBETWEEN(8,12)/10,0)</f>
        <v>21</v>
      </c>
      <c r="BB27">
        <f ca="1">ROUND(T_Facebook_Ads[[#This Row],[video_views]]*RANDBETWEEN(8,12)/10,0)</f>
        <v>3858</v>
      </c>
    </row>
    <row r="28" spans="1:54" ht="15.75" thickBot="1" x14ac:dyDescent="0.3">
      <c r="A28" s="3">
        <v>45300</v>
      </c>
      <c r="B28" s="4" t="s">
        <v>64</v>
      </c>
      <c r="C28" s="4" t="s">
        <v>65</v>
      </c>
      <c r="D28" s="4" t="s">
        <v>66</v>
      </c>
      <c r="E28" s="4" t="s">
        <v>67</v>
      </c>
      <c r="F28" s="4">
        <v>70123</v>
      </c>
      <c r="G28" s="4">
        <v>253</v>
      </c>
      <c r="H28" s="4">
        <v>93.6</v>
      </c>
      <c r="I28" s="4">
        <v>6</v>
      </c>
      <c r="J28" s="4">
        <v>48234</v>
      </c>
      <c r="K28" s="4">
        <v>3.5999999999999999E-3</v>
      </c>
      <c r="L28" s="4">
        <v>58456</v>
      </c>
      <c r="M28" s="4">
        <v>1.2</v>
      </c>
      <c r="O28" s="3">
        <v>45300</v>
      </c>
      <c r="P28" s="4" t="s">
        <v>88</v>
      </c>
      <c r="Q28" s="4" t="s">
        <v>89</v>
      </c>
      <c r="R28" s="4" t="s">
        <v>90</v>
      </c>
      <c r="S28" s="4" t="s">
        <v>59</v>
      </c>
      <c r="T28" s="4">
        <v>129345</v>
      </c>
      <c r="U28" s="4">
        <v>456</v>
      </c>
      <c r="V28" s="4">
        <v>125.6</v>
      </c>
      <c r="W28" s="4">
        <v>12</v>
      </c>
      <c r="X28" s="4">
        <v>600</v>
      </c>
      <c r="Y28" s="4">
        <v>3.5000000000000001E-3</v>
      </c>
      <c r="Z28" s="4">
        <v>0.28000000000000003</v>
      </c>
      <c r="AA28" s="4">
        <v>7</v>
      </c>
      <c r="AB28" s="4">
        <v>0.35</v>
      </c>
      <c r="AD28" s="3">
        <v>45300</v>
      </c>
      <c r="AE28" s="4" t="s">
        <v>112</v>
      </c>
      <c r="AF28" s="4" t="s">
        <v>113</v>
      </c>
      <c r="AG28" s="4" t="s">
        <v>114</v>
      </c>
      <c r="AH28" s="4" t="s">
        <v>115</v>
      </c>
      <c r="AI28" s="4">
        <v>401234</v>
      </c>
      <c r="AJ28" s="4">
        <v>6456</v>
      </c>
      <c r="AK28" s="4">
        <v>989.9</v>
      </c>
      <c r="AL28" s="4">
        <v>101</v>
      </c>
      <c r="AM28" s="4">
        <v>332345</v>
      </c>
      <c r="AN28" s="4">
        <v>267890</v>
      </c>
      <c r="AO28" s="4">
        <v>214567</v>
      </c>
      <c r="AP28" s="4">
        <v>151234</v>
      </c>
      <c r="AQ28" s="4">
        <v>99567</v>
      </c>
      <c r="AR28" s="4">
        <v>17234</v>
      </c>
      <c r="AS28" s="4">
        <v>5012</v>
      </c>
      <c r="AT28" s="4">
        <v>1378</v>
      </c>
      <c r="AV28" s="5">
        <f>T_Facebook_Ads[[#This Row],[date]]</f>
        <v>45300</v>
      </c>
      <c r="AW28">
        <f t="shared" ca="1" si="0"/>
        <v>7</v>
      </c>
      <c r="AX28">
        <f ca="1">ROUND(T_Facebook_Ads[[#This Row],[impressions]]*RANDBETWEEN(8,12)/10,0)</f>
        <v>70123</v>
      </c>
      <c r="AY28">
        <f ca="1">ROUND(T_Facebook_Ads[[#This Row],[clicks]]*RANDBETWEEN(8,12)/10,0)</f>
        <v>202</v>
      </c>
      <c r="AZ28">
        <f ca="1">T_Facebook_Ads[[#This Row],[spend]]*RANDBETWEEN(8,12)/10</f>
        <v>84.24</v>
      </c>
      <c r="BA28">
        <f ca="1">ROUND(T_Facebook_Ads[[#This Row],[conversions]]*RANDBETWEEN(8,12)/10,0)</f>
        <v>5</v>
      </c>
      <c r="BB28">
        <f ca="1">ROUND(T_Facebook_Ads[[#This Row],[video_views]]*RANDBETWEEN(8,12)/10,0)</f>
        <v>48234</v>
      </c>
    </row>
    <row r="29" spans="1:54" ht="15.75" thickBot="1" x14ac:dyDescent="0.3">
      <c r="A29" s="3">
        <v>45301</v>
      </c>
      <c r="B29" s="4" t="s">
        <v>52</v>
      </c>
      <c r="C29" s="4" t="s">
        <v>53</v>
      </c>
      <c r="D29" s="4" t="s">
        <v>54</v>
      </c>
      <c r="E29" s="4" t="s">
        <v>55</v>
      </c>
      <c r="F29" s="4">
        <v>48567</v>
      </c>
      <c r="G29" s="4">
        <v>978</v>
      </c>
      <c r="H29" s="4">
        <v>137.80000000000001</v>
      </c>
      <c r="I29" s="4">
        <v>14</v>
      </c>
      <c r="J29" s="4">
        <v>8945</v>
      </c>
      <c r="K29" s="4">
        <v>2.01E-2</v>
      </c>
      <c r="L29" s="4">
        <v>40456</v>
      </c>
      <c r="M29" s="4">
        <v>1.2</v>
      </c>
      <c r="O29" s="3">
        <v>45301</v>
      </c>
      <c r="P29" s="4" t="s">
        <v>76</v>
      </c>
      <c r="Q29" s="4" t="s">
        <v>77</v>
      </c>
      <c r="R29" s="4" t="s">
        <v>78</v>
      </c>
      <c r="S29" s="4" t="s">
        <v>79</v>
      </c>
      <c r="T29" s="4">
        <v>24678</v>
      </c>
      <c r="U29" s="4">
        <v>1289</v>
      </c>
      <c r="V29" s="4">
        <v>245.9</v>
      </c>
      <c r="W29" s="4">
        <v>48</v>
      </c>
      <c r="X29" s="4">
        <v>2400</v>
      </c>
      <c r="Y29" s="4">
        <v>5.2200000000000003E-2</v>
      </c>
      <c r="Z29" s="4">
        <v>0.19</v>
      </c>
      <c r="AA29" s="4">
        <v>9</v>
      </c>
      <c r="AB29" s="4">
        <v>0.91</v>
      </c>
      <c r="AD29" s="3">
        <v>45301</v>
      </c>
      <c r="AE29" s="4" t="s">
        <v>100</v>
      </c>
      <c r="AF29" s="4" t="s">
        <v>101</v>
      </c>
      <c r="AG29" s="4" t="s">
        <v>102</v>
      </c>
      <c r="AH29" s="4" t="s">
        <v>103</v>
      </c>
      <c r="AI29" s="4">
        <v>256234</v>
      </c>
      <c r="AJ29" s="4">
        <v>3701</v>
      </c>
      <c r="AK29" s="4">
        <v>490.5</v>
      </c>
      <c r="AL29" s="4">
        <v>38</v>
      </c>
      <c r="AM29" s="4">
        <v>209234</v>
      </c>
      <c r="AN29" s="4">
        <v>163567</v>
      </c>
      <c r="AO29" s="4">
        <v>102567</v>
      </c>
      <c r="AP29" s="4">
        <v>69567</v>
      </c>
      <c r="AQ29" s="4">
        <v>46567</v>
      </c>
      <c r="AR29" s="4">
        <v>9123</v>
      </c>
      <c r="AS29" s="4">
        <v>2423</v>
      </c>
      <c r="AT29" s="4">
        <v>601</v>
      </c>
      <c r="AV29" s="5">
        <f>T_Facebook_Ads[[#This Row],[date]]</f>
        <v>45301</v>
      </c>
      <c r="AW29">
        <f t="shared" ca="1" si="0"/>
        <v>5</v>
      </c>
      <c r="AX29">
        <f ca="1">ROUND(T_Facebook_Ads[[#This Row],[impressions]]*RANDBETWEEN(8,12)/10,0)</f>
        <v>53424</v>
      </c>
      <c r="AY29">
        <f ca="1">ROUND(T_Facebook_Ads[[#This Row],[clicks]]*RANDBETWEEN(8,12)/10,0)</f>
        <v>782</v>
      </c>
      <c r="AZ29">
        <f ca="1">T_Facebook_Ads[[#This Row],[spend]]*RANDBETWEEN(8,12)/10</f>
        <v>110.24000000000001</v>
      </c>
      <c r="BA29">
        <f ca="1">ROUND(T_Facebook_Ads[[#This Row],[conversions]]*RANDBETWEEN(8,12)/10,0)</f>
        <v>17</v>
      </c>
      <c r="BB29">
        <f ca="1">ROUND(T_Facebook_Ads[[#This Row],[video_views]]*RANDBETWEEN(8,12)/10,0)</f>
        <v>7156</v>
      </c>
    </row>
    <row r="30" spans="1:54" ht="15.75" thickBot="1" x14ac:dyDescent="0.3">
      <c r="A30" s="3">
        <v>45301</v>
      </c>
      <c r="B30" s="4" t="s">
        <v>56</v>
      </c>
      <c r="C30" s="4" t="s">
        <v>57</v>
      </c>
      <c r="D30" s="4" t="s">
        <v>58</v>
      </c>
      <c r="E30" s="4" t="s">
        <v>59</v>
      </c>
      <c r="F30" s="4">
        <v>13789</v>
      </c>
      <c r="G30" s="4">
        <v>645</v>
      </c>
      <c r="H30" s="4">
        <v>241.2</v>
      </c>
      <c r="I30" s="4">
        <v>41</v>
      </c>
      <c r="J30" s="4">
        <v>1489</v>
      </c>
      <c r="K30" s="4">
        <v>4.6800000000000001E-2</v>
      </c>
      <c r="L30" s="4">
        <v>10789</v>
      </c>
      <c r="M30" s="4">
        <v>1.28</v>
      </c>
      <c r="O30" s="3">
        <v>45301</v>
      </c>
      <c r="P30" s="4" t="s">
        <v>80</v>
      </c>
      <c r="Q30" s="4" t="s">
        <v>81</v>
      </c>
      <c r="R30" s="4" t="s">
        <v>82</v>
      </c>
      <c r="S30" s="4" t="s">
        <v>83</v>
      </c>
      <c r="T30" s="4">
        <v>45234</v>
      </c>
      <c r="U30" s="4">
        <v>901</v>
      </c>
      <c r="V30" s="4">
        <v>578.9</v>
      </c>
      <c r="W30" s="4">
        <v>23</v>
      </c>
      <c r="X30" s="4">
        <v>1150</v>
      </c>
      <c r="Y30" s="4">
        <v>1.9900000000000001E-2</v>
      </c>
      <c r="Z30" s="4">
        <v>0.64</v>
      </c>
      <c r="AA30" s="4">
        <v>7</v>
      </c>
      <c r="AB30" s="4">
        <v>0.45</v>
      </c>
      <c r="AD30" s="3">
        <v>45301</v>
      </c>
      <c r="AE30" s="4" t="s">
        <v>104</v>
      </c>
      <c r="AF30" s="4" t="s">
        <v>105</v>
      </c>
      <c r="AG30" s="4" t="s">
        <v>106</v>
      </c>
      <c r="AH30" s="4" t="s">
        <v>107</v>
      </c>
      <c r="AI30" s="4">
        <v>145678</v>
      </c>
      <c r="AJ30" s="4">
        <v>2789</v>
      </c>
      <c r="AK30" s="4">
        <v>756.7</v>
      </c>
      <c r="AL30" s="4">
        <v>76</v>
      </c>
      <c r="AM30" s="4">
        <v>101234</v>
      </c>
      <c r="AN30" s="4">
        <v>74567</v>
      </c>
      <c r="AO30" s="4">
        <v>50234</v>
      </c>
      <c r="AP30" s="4">
        <v>37890</v>
      </c>
      <c r="AQ30" s="4">
        <v>25234</v>
      </c>
      <c r="AR30" s="4">
        <v>5012</v>
      </c>
      <c r="AS30" s="4">
        <v>1423</v>
      </c>
      <c r="AT30" s="4">
        <v>267</v>
      </c>
      <c r="AV30" s="5">
        <f>T_Facebook_Ads[[#This Row],[date]]</f>
        <v>45301</v>
      </c>
      <c r="AW30">
        <f t="shared" ca="1" si="0"/>
        <v>8</v>
      </c>
      <c r="AX30">
        <f ca="1">ROUND(T_Facebook_Ads[[#This Row],[impressions]]*RANDBETWEEN(8,12)/10,0)</f>
        <v>13789</v>
      </c>
      <c r="AY30">
        <f ca="1">ROUND(T_Facebook_Ads[[#This Row],[clicks]]*RANDBETWEEN(8,12)/10,0)</f>
        <v>645</v>
      </c>
      <c r="AZ30">
        <f ca="1">T_Facebook_Ads[[#This Row],[spend]]*RANDBETWEEN(8,12)/10</f>
        <v>289.43999999999994</v>
      </c>
      <c r="BA30">
        <f ca="1">ROUND(T_Facebook_Ads[[#This Row],[conversions]]*RANDBETWEEN(8,12)/10,0)</f>
        <v>37</v>
      </c>
      <c r="BB30">
        <f ca="1">ROUND(T_Facebook_Ads[[#This Row],[video_views]]*RANDBETWEEN(8,12)/10,0)</f>
        <v>1638</v>
      </c>
    </row>
    <row r="31" spans="1:54" ht="15.75" thickBot="1" x14ac:dyDescent="0.3">
      <c r="A31" s="3">
        <v>45301</v>
      </c>
      <c r="B31" s="4" t="s">
        <v>60</v>
      </c>
      <c r="C31" s="4" t="s">
        <v>61</v>
      </c>
      <c r="D31" s="4" t="s">
        <v>62</v>
      </c>
      <c r="E31" s="4" t="s">
        <v>63</v>
      </c>
      <c r="F31" s="4">
        <v>38456</v>
      </c>
      <c r="G31" s="4">
        <v>1423</v>
      </c>
      <c r="H31" s="4">
        <v>217.5</v>
      </c>
      <c r="I31" s="4">
        <v>29</v>
      </c>
      <c r="J31" s="4">
        <v>5123</v>
      </c>
      <c r="K31" s="4">
        <v>3.6999999999999998E-2</v>
      </c>
      <c r="L31" s="4">
        <v>31234</v>
      </c>
      <c r="M31" s="4">
        <v>1.23</v>
      </c>
      <c r="O31" s="3">
        <v>45301</v>
      </c>
      <c r="P31" s="4" t="s">
        <v>84</v>
      </c>
      <c r="Q31" s="4" t="s">
        <v>85</v>
      </c>
      <c r="R31" s="4" t="s">
        <v>86</v>
      </c>
      <c r="S31" s="4" t="s">
        <v>87</v>
      </c>
      <c r="T31" s="4">
        <v>68901</v>
      </c>
      <c r="U31" s="4">
        <v>2267</v>
      </c>
      <c r="V31" s="4">
        <v>414.2</v>
      </c>
      <c r="W31" s="4">
        <v>64</v>
      </c>
      <c r="X31" s="4">
        <v>3200</v>
      </c>
      <c r="Y31" s="4">
        <v>3.2899999999999999E-2</v>
      </c>
      <c r="Z31" s="4">
        <v>0.18</v>
      </c>
      <c r="AA31" s="4">
        <v>8</v>
      </c>
      <c r="AB31" s="4">
        <v>0.67</v>
      </c>
      <c r="AD31" s="3">
        <v>45301</v>
      </c>
      <c r="AE31" s="4" t="s">
        <v>108</v>
      </c>
      <c r="AF31" s="4" t="s">
        <v>109</v>
      </c>
      <c r="AG31" s="4" t="s">
        <v>110</v>
      </c>
      <c r="AH31" s="4" t="s">
        <v>111</v>
      </c>
      <c r="AI31" s="4">
        <v>223456</v>
      </c>
      <c r="AJ31" s="4">
        <v>3567</v>
      </c>
      <c r="AK31" s="4">
        <v>427.7</v>
      </c>
      <c r="AL31" s="4">
        <v>30</v>
      </c>
      <c r="AM31" s="4">
        <v>178901</v>
      </c>
      <c r="AN31" s="4">
        <v>135234</v>
      </c>
      <c r="AO31" s="4">
        <v>106789</v>
      </c>
      <c r="AP31" s="4">
        <v>69234</v>
      </c>
      <c r="AQ31" s="4">
        <v>41789</v>
      </c>
      <c r="AR31" s="4">
        <v>8234</v>
      </c>
      <c r="AS31" s="4">
        <v>2267</v>
      </c>
      <c r="AT31" s="4">
        <v>534</v>
      </c>
      <c r="AV31" s="5">
        <f>T_Facebook_Ads[[#This Row],[date]]</f>
        <v>45301</v>
      </c>
      <c r="AW31">
        <f t="shared" ca="1" si="0"/>
        <v>1</v>
      </c>
      <c r="AX31">
        <f ca="1">ROUND(T_Facebook_Ads[[#This Row],[impressions]]*RANDBETWEEN(8,12)/10,0)</f>
        <v>30765</v>
      </c>
      <c r="AY31">
        <f ca="1">ROUND(T_Facebook_Ads[[#This Row],[clicks]]*RANDBETWEEN(8,12)/10,0)</f>
        <v>1708</v>
      </c>
      <c r="AZ31">
        <f ca="1">T_Facebook_Ads[[#This Row],[spend]]*RANDBETWEEN(8,12)/10</f>
        <v>261</v>
      </c>
      <c r="BA31">
        <f ca="1">ROUND(T_Facebook_Ads[[#This Row],[conversions]]*RANDBETWEEN(8,12)/10,0)</f>
        <v>32</v>
      </c>
      <c r="BB31">
        <f ca="1">ROUND(T_Facebook_Ads[[#This Row],[video_views]]*RANDBETWEEN(8,12)/10,0)</f>
        <v>4611</v>
      </c>
    </row>
    <row r="32" spans="1:54" ht="15.75" thickBot="1" x14ac:dyDescent="0.3">
      <c r="A32" s="3">
        <v>45302</v>
      </c>
      <c r="B32" s="4" t="s">
        <v>52</v>
      </c>
      <c r="C32" s="4" t="s">
        <v>53</v>
      </c>
      <c r="D32" s="4" t="s">
        <v>54</v>
      </c>
      <c r="E32" s="4" t="s">
        <v>55</v>
      </c>
      <c r="F32" s="4">
        <v>52123</v>
      </c>
      <c r="G32" s="4">
        <v>1089</v>
      </c>
      <c r="H32" s="4">
        <v>148.6</v>
      </c>
      <c r="I32" s="4">
        <v>17</v>
      </c>
      <c r="J32" s="4">
        <v>9567</v>
      </c>
      <c r="K32" s="4">
        <v>2.0899999999999998E-2</v>
      </c>
      <c r="L32" s="4">
        <v>43234</v>
      </c>
      <c r="M32" s="4">
        <v>1.21</v>
      </c>
      <c r="O32" s="3">
        <v>45302</v>
      </c>
      <c r="P32" s="4" t="s">
        <v>76</v>
      </c>
      <c r="Q32" s="4" t="s">
        <v>77</v>
      </c>
      <c r="R32" s="4" t="s">
        <v>78</v>
      </c>
      <c r="S32" s="4" t="s">
        <v>79</v>
      </c>
      <c r="T32" s="4">
        <v>26234</v>
      </c>
      <c r="U32" s="4">
        <v>1378</v>
      </c>
      <c r="V32" s="4">
        <v>263.39999999999998</v>
      </c>
      <c r="W32" s="4">
        <v>52</v>
      </c>
      <c r="X32" s="4">
        <v>2600</v>
      </c>
      <c r="Y32" s="4">
        <v>5.2499999999999998E-2</v>
      </c>
      <c r="Z32" s="4">
        <v>0.19</v>
      </c>
      <c r="AA32" s="4">
        <v>9</v>
      </c>
      <c r="AB32" s="4">
        <v>0.92</v>
      </c>
      <c r="AD32" s="3">
        <v>45302</v>
      </c>
      <c r="AE32" s="4" t="s">
        <v>100</v>
      </c>
      <c r="AF32" s="4" t="s">
        <v>101</v>
      </c>
      <c r="AG32" s="4" t="s">
        <v>102</v>
      </c>
      <c r="AH32" s="4" t="s">
        <v>103</v>
      </c>
      <c r="AI32" s="4">
        <v>278901</v>
      </c>
      <c r="AJ32" s="4">
        <v>4123</v>
      </c>
      <c r="AK32" s="4">
        <v>523.6</v>
      </c>
      <c r="AL32" s="4">
        <v>42</v>
      </c>
      <c r="AM32" s="4">
        <v>234567</v>
      </c>
      <c r="AN32" s="4">
        <v>182345</v>
      </c>
      <c r="AO32" s="4">
        <v>114567</v>
      </c>
      <c r="AP32" s="4">
        <v>77234</v>
      </c>
      <c r="AQ32" s="4">
        <v>51234</v>
      </c>
      <c r="AR32" s="4">
        <v>10345</v>
      </c>
      <c r="AS32" s="4">
        <v>2789</v>
      </c>
      <c r="AT32" s="4">
        <v>656</v>
      </c>
      <c r="AV32" s="5">
        <f>T_Facebook_Ads[[#This Row],[date]]</f>
        <v>45302</v>
      </c>
      <c r="AW32">
        <f t="shared" ca="1" si="0"/>
        <v>8</v>
      </c>
      <c r="AX32">
        <f ca="1">ROUND(T_Facebook_Ads[[#This Row],[impressions]]*RANDBETWEEN(8,12)/10,0)</f>
        <v>57335</v>
      </c>
      <c r="AY32">
        <f ca="1">ROUND(T_Facebook_Ads[[#This Row],[clicks]]*RANDBETWEEN(8,12)/10,0)</f>
        <v>1089</v>
      </c>
      <c r="AZ32">
        <f ca="1">T_Facebook_Ads[[#This Row],[spend]]*RANDBETWEEN(8,12)/10</f>
        <v>178.32</v>
      </c>
      <c r="BA32">
        <f ca="1">ROUND(T_Facebook_Ads[[#This Row],[conversions]]*RANDBETWEEN(8,12)/10,0)</f>
        <v>17</v>
      </c>
      <c r="BB32">
        <f ca="1">ROUND(T_Facebook_Ads[[#This Row],[video_views]]*RANDBETWEEN(8,12)/10,0)</f>
        <v>9567</v>
      </c>
    </row>
    <row r="33" spans="1:54" ht="15.75" thickBot="1" x14ac:dyDescent="0.3">
      <c r="A33" s="3">
        <v>45302</v>
      </c>
      <c r="B33" s="4" t="s">
        <v>56</v>
      </c>
      <c r="C33" s="4" t="s">
        <v>57</v>
      </c>
      <c r="D33" s="4" t="s">
        <v>58</v>
      </c>
      <c r="E33" s="4" t="s">
        <v>59</v>
      </c>
      <c r="F33" s="4">
        <v>14567</v>
      </c>
      <c r="G33" s="4">
        <v>723</v>
      </c>
      <c r="H33" s="4">
        <v>256.39999999999998</v>
      </c>
      <c r="I33" s="4">
        <v>44</v>
      </c>
      <c r="J33" s="4">
        <v>1612</v>
      </c>
      <c r="K33" s="4">
        <v>4.9599999999999998E-2</v>
      </c>
      <c r="L33" s="4">
        <v>11456</v>
      </c>
      <c r="M33" s="4">
        <v>1.27</v>
      </c>
      <c r="O33" s="3">
        <v>45302</v>
      </c>
      <c r="P33" s="4" t="s">
        <v>80</v>
      </c>
      <c r="Q33" s="4" t="s">
        <v>81</v>
      </c>
      <c r="R33" s="4" t="s">
        <v>82</v>
      </c>
      <c r="S33" s="4" t="s">
        <v>83</v>
      </c>
      <c r="T33" s="4">
        <v>47890</v>
      </c>
      <c r="U33" s="4">
        <v>934</v>
      </c>
      <c r="V33" s="4">
        <v>612.5</v>
      </c>
      <c r="W33" s="4">
        <v>26</v>
      </c>
      <c r="X33" s="4">
        <v>1300</v>
      </c>
      <c r="Y33" s="4">
        <v>1.95E-2</v>
      </c>
      <c r="Z33" s="4">
        <v>0.66</v>
      </c>
      <c r="AA33" s="4">
        <v>7</v>
      </c>
      <c r="AB33" s="4">
        <v>0.46</v>
      </c>
      <c r="AD33" s="3">
        <v>45302</v>
      </c>
      <c r="AE33" s="4" t="s">
        <v>104</v>
      </c>
      <c r="AF33" s="4" t="s">
        <v>105</v>
      </c>
      <c r="AG33" s="4" t="s">
        <v>106</v>
      </c>
      <c r="AH33" s="4" t="s">
        <v>107</v>
      </c>
      <c r="AI33" s="4">
        <v>156789</v>
      </c>
      <c r="AJ33" s="4">
        <v>3012</v>
      </c>
      <c r="AK33" s="4">
        <v>812.3</v>
      </c>
      <c r="AL33" s="4">
        <v>82</v>
      </c>
      <c r="AM33" s="4">
        <v>109876</v>
      </c>
      <c r="AN33" s="4">
        <v>81234</v>
      </c>
      <c r="AO33" s="4">
        <v>54678</v>
      </c>
      <c r="AP33" s="4">
        <v>41234</v>
      </c>
      <c r="AQ33" s="4">
        <v>27567</v>
      </c>
      <c r="AR33" s="4">
        <v>5456</v>
      </c>
      <c r="AS33" s="4">
        <v>1567</v>
      </c>
      <c r="AT33" s="4">
        <v>289</v>
      </c>
      <c r="AV33" s="5">
        <f>T_Facebook_Ads[[#This Row],[date]]</f>
        <v>45302</v>
      </c>
      <c r="AW33">
        <f t="shared" ca="1" si="0"/>
        <v>1</v>
      </c>
      <c r="AX33">
        <f ca="1">ROUND(T_Facebook_Ads[[#This Row],[impressions]]*RANDBETWEEN(8,12)/10,0)</f>
        <v>17480</v>
      </c>
      <c r="AY33">
        <f ca="1">ROUND(T_Facebook_Ads[[#This Row],[clicks]]*RANDBETWEEN(8,12)/10,0)</f>
        <v>795</v>
      </c>
      <c r="AZ33">
        <f ca="1">T_Facebook_Ads[[#This Row],[spend]]*RANDBETWEEN(8,12)/10</f>
        <v>205.11999999999998</v>
      </c>
      <c r="BA33">
        <f ca="1">ROUND(T_Facebook_Ads[[#This Row],[conversions]]*RANDBETWEEN(8,12)/10,0)</f>
        <v>40</v>
      </c>
      <c r="BB33">
        <f ca="1">ROUND(T_Facebook_Ads[[#This Row],[video_views]]*RANDBETWEEN(8,12)/10,0)</f>
        <v>1773</v>
      </c>
    </row>
    <row r="34" spans="1:54" ht="15.75" thickBot="1" x14ac:dyDescent="0.3">
      <c r="A34" s="3">
        <v>45302</v>
      </c>
      <c r="B34" s="4" t="s">
        <v>60</v>
      </c>
      <c r="C34" s="4" t="s">
        <v>61</v>
      </c>
      <c r="D34" s="4" t="s">
        <v>62</v>
      </c>
      <c r="E34" s="4" t="s">
        <v>63</v>
      </c>
      <c r="F34" s="4">
        <v>39789</v>
      </c>
      <c r="G34" s="4">
        <v>1534</v>
      </c>
      <c r="H34" s="4">
        <v>225.8</v>
      </c>
      <c r="I34" s="4">
        <v>31</v>
      </c>
      <c r="J34" s="4">
        <v>5456</v>
      </c>
      <c r="K34" s="4">
        <v>3.8600000000000002E-2</v>
      </c>
      <c r="L34" s="4">
        <v>32567</v>
      </c>
      <c r="M34" s="4">
        <v>1.22</v>
      </c>
      <c r="O34" s="3">
        <v>45302</v>
      </c>
      <c r="P34" s="4" t="s">
        <v>84</v>
      </c>
      <c r="Q34" s="4" t="s">
        <v>85</v>
      </c>
      <c r="R34" s="4" t="s">
        <v>86</v>
      </c>
      <c r="S34" s="4" t="s">
        <v>87</v>
      </c>
      <c r="T34" s="4">
        <v>71234</v>
      </c>
      <c r="U34" s="4">
        <v>2456</v>
      </c>
      <c r="V34" s="4">
        <v>445.8</v>
      </c>
      <c r="W34" s="4">
        <v>71</v>
      </c>
      <c r="X34" s="4">
        <v>3550</v>
      </c>
      <c r="Y34" s="4">
        <v>3.4500000000000003E-2</v>
      </c>
      <c r="Z34" s="4">
        <v>0.18</v>
      </c>
      <c r="AA34" s="4">
        <v>8</v>
      </c>
      <c r="AB34" s="4">
        <v>0.68</v>
      </c>
      <c r="AD34" s="3">
        <v>45302</v>
      </c>
      <c r="AE34" s="4" t="s">
        <v>108</v>
      </c>
      <c r="AF34" s="4" t="s">
        <v>109</v>
      </c>
      <c r="AG34" s="4" t="s">
        <v>110</v>
      </c>
      <c r="AH34" s="4" t="s">
        <v>111</v>
      </c>
      <c r="AI34" s="4">
        <v>234567</v>
      </c>
      <c r="AJ34" s="4">
        <v>3789</v>
      </c>
      <c r="AK34" s="4">
        <v>456.8</v>
      </c>
      <c r="AL34" s="4">
        <v>33</v>
      </c>
      <c r="AM34" s="4">
        <v>189234</v>
      </c>
      <c r="AN34" s="4">
        <v>143567</v>
      </c>
      <c r="AO34" s="4">
        <v>113456</v>
      </c>
      <c r="AP34" s="4">
        <v>73456</v>
      </c>
      <c r="AQ34" s="4">
        <v>44567</v>
      </c>
      <c r="AR34" s="4">
        <v>8789</v>
      </c>
      <c r="AS34" s="4">
        <v>2434</v>
      </c>
      <c r="AT34" s="4">
        <v>567</v>
      </c>
      <c r="AV34" s="5">
        <f>T_Facebook_Ads[[#This Row],[date]]</f>
        <v>45302</v>
      </c>
      <c r="AW34">
        <f t="shared" ca="1" si="0"/>
        <v>3</v>
      </c>
      <c r="AX34">
        <f ca="1">ROUND(T_Facebook_Ads[[#This Row],[impressions]]*RANDBETWEEN(8,12)/10,0)</f>
        <v>31831</v>
      </c>
      <c r="AY34">
        <f ca="1">ROUND(T_Facebook_Ads[[#This Row],[clicks]]*RANDBETWEEN(8,12)/10,0)</f>
        <v>1687</v>
      </c>
      <c r="AZ34">
        <f ca="1">T_Facebook_Ads[[#This Row],[spend]]*RANDBETWEEN(8,12)/10</f>
        <v>203.22</v>
      </c>
      <c r="BA34">
        <f ca="1">ROUND(T_Facebook_Ads[[#This Row],[conversions]]*RANDBETWEEN(8,12)/10,0)</f>
        <v>25</v>
      </c>
      <c r="BB34">
        <f ca="1">ROUND(T_Facebook_Ads[[#This Row],[video_views]]*RANDBETWEEN(8,12)/10,0)</f>
        <v>6547</v>
      </c>
    </row>
    <row r="35" spans="1:54" ht="15.75" thickBot="1" x14ac:dyDescent="0.3">
      <c r="A35" s="3">
        <v>45302</v>
      </c>
      <c r="B35" s="4" t="s">
        <v>64</v>
      </c>
      <c r="C35" s="4" t="s">
        <v>65</v>
      </c>
      <c r="D35" s="4" t="s">
        <v>66</v>
      </c>
      <c r="E35" s="4" t="s">
        <v>67</v>
      </c>
      <c r="F35" s="4">
        <v>76234</v>
      </c>
      <c r="G35" s="4">
        <v>278</v>
      </c>
      <c r="H35" s="4">
        <v>101.5</v>
      </c>
      <c r="I35" s="4">
        <v>8</v>
      </c>
      <c r="J35" s="4">
        <v>52345</v>
      </c>
      <c r="K35" s="4">
        <v>3.7000000000000002E-3</v>
      </c>
      <c r="L35" s="4">
        <v>62456</v>
      </c>
      <c r="M35" s="4">
        <v>1.22</v>
      </c>
      <c r="O35" s="3">
        <v>45302</v>
      </c>
      <c r="P35" s="4" t="s">
        <v>88</v>
      </c>
      <c r="Q35" s="4" t="s">
        <v>89</v>
      </c>
      <c r="R35" s="4" t="s">
        <v>90</v>
      </c>
      <c r="S35" s="4" t="s">
        <v>59</v>
      </c>
      <c r="T35" s="4">
        <v>136789</v>
      </c>
      <c r="U35" s="4">
        <v>512</v>
      </c>
      <c r="V35" s="4">
        <v>142.30000000000001</v>
      </c>
      <c r="W35" s="4">
        <v>15</v>
      </c>
      <c r="X35" s="4">
        <v>750</v>
      </c>
      <c r="Y35" s="4">
        <v>3.7000000000000002E-3</v>
      </c>
      <c r="Z35" s="4">
        <v>0.28000000000000003</v>
      </c>
      <c r="AA35" s="4">
        <v>7</v>
      </c>
      <c r="AB35" s="4">
        <v>0.36</v>
      </c>
      <c r="AD35" s="3">
        <v>45302</v>
      </c>
      <c r="AE35" s="4" t="s">
        <v>112</v>
      </c>
      <c r="AF35" s="4" t="s">
        <v>113</v>
      </c>
      <c r="AG35" s="4" t="s">
        <v>114</v>
      </c>
      <c r="AH35" s="4" t="s">
        <v>115</v>
      </c>
      <c r="AI35" s="4">
        <v>412345</v>
      </c>
      <c r="AJ35" s="4">
        <v>6789</v>
      </c>
      <c r="AK35" s="4">
        <v>1023.4</v>
      </c>
      <c r="AL35" s="4">
        <v>103</v>
      </c>
      <c r="AM35" s="4">
        <v>345678</v>
      </c>
      <c r="AN35" s="4">
        <v>278901</v>
      </c>
      <c r="AO35" s="4">
        <v>223456</v>
      </c>
      <c r="AP35" s="4">
        <v>159234</v>
      </c>
      <c r="AQ35" s="4">
        <v>105678</v>
      </c>
      <c r="AR35" s="4">
        <v>18234</v>
      </c>
      <c r="AS35" s="4">
        <v>5234</v>
      </c>
      <c r="AT35" s="4">
        <v>1456</v>
      </c>
      <c r="AV35" s="5">
        <f>T_Facebook_Ads[[#This Row],[date]]</f>
        <v>45302</v>
      </c>
      <c r="AW35">
        <f t="shared" ca="1" si="0"/>
        <v>2</v>
      </c>
      <c r="AX35">
        <f ca="1">ROUND(T_Facebook_Ads[[#This Row],[impressions]]*RANDBETWEEN(8,12)/10,0)</f>
        <v>83857</v>
      </c>
      <c r="AY35">
        <f ca="1">ROUND(T_Facebook_Ads[[#This Row],[clicks]]*RANDBETWEEN(8,12)/10,0)</f>
        <v>222</v>
      </c>
      <c r="AZ35">
        <f ca="1">T_Facebook_Ads[[#This Row],[spend]]*RANDBETWEEN(8,12)/10</f>
        <v>81.2</v>
      </c>
      <c r="BA35">
        <f ca="1">ROUND(T_Facebook_Ads[[#This Row],[conversions]]*RANDBETWEEN(8,12)/10,0)</f>
        <v>8</v>
      </c>
      <c r="BB35">
        <f ca="1">ROUND(T_Facebook_Ads[[#This Row],[video_views]]*RANDBETWEEN(8,12)/10,0)</f>
        <v>52345</v>
      </c>
    </row>
    <row r="36" spans="1:54" ht="15.75" thickBot="1" x14ac:dyDescent="0.3">
      <c r="A36" s="3">
        <v>45303</v>
      </c>
      <c r="B36" s="4" t="s">
        <v>52</v>
      </c>
      <c r="C36" s="4" t="s">
        <v>53</v>
      </c>
      <c r="D36" s="4" t="s">
        <v>54</v>
      </c>
      <c r="E36" s="4" t="s">
        <v>55</v>
      </c>
      <c r="F36" s="4">
        <v>49234</v>
      </c>
      <c r="G36" s="4">
        <v>1012</v>
      </c>
      <c r="H36" s="4">
        <v>140.30000000000001</v>
      </c>
      <c r="I36" s="4">
        <v>15</v>
      </c>
      <c r="J36" s="4">
        <v>9123</v>
      </c>
      <c r="K36" s="4">
        <v>2.06E-2</v>
      </c>
      <c r="L36" s="4">
        <v>41567</v>
      </c>
      <c r="M36" s="4">
        <v>1.18</v>
      </c>
      <c r="O36" s="3">
        <v>45303</v>
      </c>
      <c r="P36" s="4" t="s">
        <v>76</v>
      </c>
      <c r="Q36" s="4" t="s">
        <v>77</v>
      </c>
      <c r="R36" s="4" t="s">
        <v>78</v>
      </c>
      <c r="S36" s="4" t="s">
        <v>79</v>
      </c>
      <c r="T36" s="4">
        <v>25123</v>
      </c>
      <c r="U36" s="4">
        <v>1312</v>
      </c>
      <c r="V36" s="4">
        <v>250.4</v>
      </c>
      <c r="W36" s="4">
        <v>49</v>
      </c>
      <c r="X36" s="4">
        <v>2450</v>
      </c>
      <c r="Y36" s="4">
        <v>5.2200000000000003E-2</v>
      </c>
      <c r="Z36" s="4">
        <v>0.19</v>
      </c>
      <c r="AA36" s="4">
        <v>9</v>
      </c>
      <c r="AB36" s="4">
        <v>0.91</v>
      </c>
      <c r="AD36" s="3">
        <v>45303</v>
      </c>
      <c r="AE36" s="4" t="s">
        <v>100</v>
      </c>
      <c r="AF36" s="4" t="s">
        <v>101</v>
      </c>
      <c r="AG36" s="4" t="s">
        <v>102</v>
      </c>
      <c r="AH36" s="4" t="s">
        <v>103</v>
      </c>
      <c r="AI36" s="4">
        <v>267890</v>
      </c>
      <c r="AJ36" s="4">
        <v>3945</v>
      </c>
      <c r="AK36" s="4">
        <v>501.2</v>
      </c>
      <c r="AL36" s="4">
        <v>40</v>
      </c>
      <c r="AM36" s="4">
        <v>221234</v>
      </c>
      <c r="AN36" s="4">
        <v>173456</v>
      </c>
      <c r="AO36" s="4">
        <v>109234</v>
      </c>
      <c r="AP36" s="4">
        <v>73567</v>
      </c>
      <c r="AQ36" s="4">
        <v>49234</v>
      </c>
      <c r="AR36" s="4">
        <v>9789</v>
      </c>
      <c r="AS36" s="4">
        <v>2634</v>
      </c>
      <c r="AT36" s="4">
        <v>623</v>
      </c>
      <c r="AV36" s="5">
        <f>T_Facebook_Ads[[#This Row],[date]]</f>
        <v>45303</v>
      </c>
      <c r="AW36">
        <f t="shared" ca="1" si="0"/>
        <v>2</v>
      </c>
      <c r="AX36">
        <f ca="1">ROUND(T_Facebook_Ads[[#This Row],[impressions]]*RANDBETWEEN(8,12)/10,0)</f>
        <v>39387</v>
      </c>
      <c r="AY36">
        <f ca="1">ROUND(T_Facebook_Ads[[#This Row],[clicks]]*RANDBETWEEN(8,12)/10,0)</f>
        <v>911</v>
      </c>
      <c r="AZ36">
        <f ca="1">T_Facebook_Ads[[#This Row],[spend]]*RANDBETWEEN(8,12)/10</f>
        <v>112.24000000000001</v>
      </c>
      <c r="BA36">
        <f ca="1">ROUND(T_Facebook_Ads[[#This Row],[conversions]]*RANDBETWEEN(8,12)/10,0)</f>
        <v>18</v>
      </c>
      <c r="BB36">
        <f ca="1">ROUND(T_Facebook_Ads[[#This Row],[video_views]]*RANDBETWEEN(8,12)/10,0)</f>
        <v>8211</v>
      </c>
    </row>
    <row r="37" spans="1:54" ht="15.75" thickBot="1" x14ac:dyDescent="0.3">
      <c r="A37" s="3">
        <v>45303</v>
      </c>
      <c r="B37" s="4" t="s">
        <v>56</v>
      </c>
      <c r="C37" s="4" t="s">
        <v>57</v>
      </c>
      <c r="D37" s="4" t="s">
        <v>58</v>
      </c>
      <c r="E37" s="4" t="s">
        <v>59</v>
      </c>
      <c r="F37" s="4">
        <v>13456</v>
      </c>
      <c r="G37" s="4">
        <v>634</v>
      </c>
      <c r="H37" s="4">
        <v>239.7</v>
      </c>
      <c r="I37" s="4">
        <v>39</v>
      </c>
      <c r="J37" s="4">
        <v>1378</v>
      </c>
      <c r="K37" s="4">
        <v>4.7100000000000003E-2</v>
      </c>
      <c r="L37" s="4">
        <v>10567</v>
      </c>
      <c r="M37" s="4">
        <v>1.27</v>
      </c>
      <c r="O37" s="3">
        <v>45303</v>
      </c>
      <c r="P37" s="4" t="s">
        <v>80</v>
      </c>
      <c r="Q37" s="4" t="s">
        <v>81</v>
      </c>
      <c r="R37" s="4" t="s">
        <v>82</v>
      </c>
      <c r="S37" s="4" t="s">
        <v>83</v>
      </c>
      <c r="T37" s="4">
        <v>46567</v>
      </c>
      <c r="U37" s="4">
        <v>912</v>
      </c>
      <c r="V37" s="4">
        <v>596.70000000000005</v>
      </c>
      <c r="W37" s="4">
        <v>24</v>
      </c>
      <c r="X37" s="4">
        <v>1200</v>
      </c>
      <c r="Y37" s="4">
        <v>1.9599999999999999E-2</v>
      </c>
      <c r="Z37" s="4">
        <v>0.65</v>
      </c>
      <c r="AA37" s="4">
        <v>7</v>
      </c>
      <c r="AB37" s="4">
        <v>0.45</v>
      </c>
      <c r="AD37" s="3">
        <v>45303</v>
      </c>
      <c r="AE37" s="4" t="s">
        <v>104</v>
      </c>
      <c r="AF37" s="4" t="s">
        <v>105</v>
      </c>
      <c r="AG37" s="4" t="s">
        <v>106</v>
      </c>
      <c r="AH37" s="4" t="s">
        <v>107</v>
      </c>
      <c r="AI37" s="4">
        <v>148901</v>
      </c>
      <c r="AJ37" s="4">
        <v>2834</v>
      </c>
      <c r="AK37" s="4">
        <v>767.5</v>
      </c>
      <c r="AL37" s="4">
        <v>77</v>
      </c>
      <c r="AM37" s="4">
        <v>103456</v>
      </c>
      <c r="AN37" s="4">
        <v>76234</v>
      </c>
      <c r="AO37" s="4">
        <v>51234</v>
      </c>
      <c r="AP37" s="4">
        <v>38567</v>
      </c>
      <c r="AQ37" s="4">
        <v>25789</v>
      </c>
      <c r="AR37" s="4">
        <v>5123</v>
      </c>
      <c r="AS37" s="4">
        <v>1456</v>
      </c>
      <c r="AT37" s="4">
        <v>278</v>
      </c>
      <c r="AV37" s="5">
        <f>T_Facebook_Ads[[#This Row],[date]]</f>
        <v>45303</v>
      </c>
      <c r="AW37">
        <f t="shared" ca="1" si="0"/>
        <v>8</v>
      </c>
      <c r="AX37">
        <f ca="1">ROUND(T_Facebook_Ads[[#This Row],[impressions]]*RANDBETWEEN(8,12)/10,0)</f>
        <v>12110</v>
      </c>
      <c r="AY37">
        <f ca="1">ROUND(T_Facebook_Ads[[#This Row],[clicks]]*RANDBETWEEN(8,12)/10,0)</f>
        <v>761</v>
      </c>
      <c r="AZ37">
        <f ca="1">T_Facebook_Ads[[#This Row],[spend]]*RANDBETWEEN(8,12)/10</f>
        <v>191.76</v>
      </c>
      <c r="BA37">
        <f ca="1">ROUND(T_Facebook_Ads[[#This Row],[conversions]]*RANDBETWEEN(8,12)/10,0)</f>
        <v>39</v>
      </c>
      <c r="BB37">
        <f ca="1">ROUND(T_Facebook_Ads[[#This Row],[video_views]]*RANDBETWEEN(8,12)/10,0)</f>
        <v>1516</v>
      </c>
    </row>
    <row r="38" spans="1:54" ht="15.75" thickBot="1" x14ac:dyDescent="0.3">
      <c r="A38" s="3">
        <v>45303</v>
      </c>
      <c r="B38" s="4" t="s">
        <v>60</v>
      </c>
      <c r="C38" s="4" t="s">
        <v>61</v>
      </c>
      <c r="D38" s="4" t="s">
        <v>62</v>
      </c>
      <c r="E38" s="4" t="s">
        <v>63</v>
      </c>
      <c r="F38" s="4">
        <v>37890</v>
      </c>
      <c r="G38" s="4">
        <v>1398</v>
      </c>
      <c r="H38" s="4">
        <v>212.4</v>
      </c>
      <c r="I38" s="4">
        <v>28</v>
      </c>
      <c r="J38" s="4">
        <v>5012</v>
      </c>
      <c r="K38" s="4">
        <v>3.6900000000000002E-2</v>
      </c>
      <c r="L38" s="4">
        <v>30890</v>
      </c>
      <c r="M38" s="4">
        <v>1.23</v>
      </c>
      <c r="O38" s="3">
        <v>45303</v>
      </c>
      <c r="P38" s="4" t="s">
        <v>84</v>
      </c>
      <c r="Q38" s="4" t="s">
        <v>85</v>
      </c>
      <c r="R38" s="4" t="s">
        <v>86</v>
      </c>
      <c r="S38" s="4" t="s">
        <v>87</v>
      </c>
      <c r="T38" s="4">
        <v>69890</v>
      </c>
      <c r="U38" s="4">
        <v>2334</v>
      </c>
      <c r="V38" s="4">
        <v>428.9</v>
      </c>
      <c r="W38" s="4">
        <v>66</v>
      </c>
      <c r="X38" s="4">
        <v>3300</v>
      </c>
      <c r="Y38" s="4">
        <v>3.3399999999999999E-2</v>
      </c>
      <c r="Z38" s="4">
        <v>0.18</v>
      </c>
      <c r="AA38" s="4">
        <v>8</v>
      </c>
      <c r="AB38" s="4">
        <v>0.67</v>
      </c>
      <c r="AD38" s="3">
        <v>45303</v>
      </c>
      <c r="AE38" s="4" t="s">
        <v>108</v>
      </c>
      <c r="AF38" s="4" t="s">
        <v>109</v>
      </c>
      <c r="AG38" s="4" t="s">
        <v>110</v>
      </c>
      <c r="AH38" s="4" t="s">
        <v>111</v>
      </c>
      <c r="AI38" s="4">
        <v>228901</v>
      </c>
      <c r="AJ38" s="4">
        <v>3634</v>
      </c>
      <c r="AK38" s="4">
        <v>441.9</v>
      </c>
      <c r="AL38" s="4">
        <v>31</v>
      </c>
      <c r="AM38" s="4">
        <v>182345</v>
      </c>
      <c r="AN38" s="4">
        <v>137890</v>
      </c>
      <c r="AO38" s="4">
        <v>108901</v>
      </c>
      <c r="AP38" s="4">
        <v>70567</v>
      </c>
      <c r="AQ38" s="4">
        <v>42789</v>
      </c>
      <c r="AR38" s="4">
        <v>8456</v>
      </c>
      <c r="AS38" s="4">
        <v>2301</v>
      </c>
      <c r="AT38" s="4">
        <v>545</v>
      </c>
      <c r="AV38" s="5">
        <f>T_Facebook_Ads[[#This Row],[date]]</f>
        <v>45303</v>
      </c>
      <c r="AW38">
        <f t="shared" ca="1" si="0"/>
        <v>1</v>
      </c>
      <c r="AX38">
        <f ca="1">ROUND(T_Facebook_Ads[[#This Row],[impressions]]*RANDBETWEEN(8,12)/10,0)</f>
        <v>30312</v>
      </c>
      <c r="AY38">
        <f ca="1">ROUND(T_Facebook_Ads[[#This Row],[clicks]]*RANDBETWEEN(8,12)/10,0)</f>
        <v>1398</v>
      </c>
      <c r="AZ38">
        <f ca="1">T_Facebook_Ads[[#This Row],[spend]]*RANDBETWEEN(8,12)/10</f>
        <v>233.64000000000001</v>
      </c>
      <c r="BA38">
        <f ca="1">ROUND(T_Facebook_Ads[[#This Row],[conversions]]*RANDBETWEEN(8,12)/10,0)</f>
        <v>25</v>
      </c>
      <c r="BB38">
        <f ca="1">ROUND(T_Facebook_Ads[[#This Row],[video_views]]*RANDBETWEEN(8,12)/10,0)</f>
        <v>5513</v>
      </c>
    </row>
    <row r="39" spans="1:54" ht="15.75" thickBot="1" x14ac:dyDescent="0.3">
      <c r="A39" s="3">
        <v>45303</v>
      </c>
      <c r="B39" s="4" t="s">
        <v>64</v>
      </c>
      <c r="C39" s="4" t="s">
        <v>65</v>
      </c>
      <c r="D39" s="4" t="s">
        <v>66</v>
      </c>
      <c r="E39" s="4" t="s">
        <v>67</v>
      </c>
      <c r="F39" s="4">
        <v>72890</v>
      </c>
      <c r="G39" s="4">
        <v>261</v>
      </c>
      <c r="H39" s="4">
        <v>96.8</v>
      </c>
      <c r="I39" s="4">
        <v>7</v>
      </c>
      <c r="J39" s="4">
        <v>49567</v>
      </c>
      <c r="K39" s="4">
        <v>3.5999999999999999E-3</v>
      </c>
      <c r="L39" s="4">
        <v>59123</v>
      </c>
      <c r="M39" s="4">
        <v>1.23</v>
      </c>
      <c r="O39" s="3">
        <v>45303</v>
      </c>
      <c r="P39" s="4" t="s">
        <v>88</v>
      </c>
      <c r="Q39" s="4" t="s">
        <v>89</v>
      </c>
      <c r="R39" s="4" t="s">
        <v>90</v>
      </c>
      <c r="S39" s="4" t="s">
        <v>59</v>
      </c>
      <c r="T39" s="4">
        <v>133456</v>
      </c>
      <c r="U39" s="4">
        <v>489</v>
      </c>
      <c r="V39" s="4">
        <v>131.19999999999999</v>
      </c>
      <c r="W39" s="4">
        <v>14</v>
      </c>
      <c r="X39" s="4">
        <v>700</v>
      </c>
      <c r="Y39" s="4">
        <v>3.7000000000000002E-3</v>
      </c>
      <c r="Z39" s="4">
        <v>0.27</v>
      </c>
      <c r="AA39" s="4">
        <v>7</v>
      </c>
      <c r="AB39" s="4">
        <v>0.35</v>
      </c>
      <c r="AD39" s="3">
        <v>45303</v>
      </c>
      <c r="AE39" s="4" t="s">
        <v>112</v>
      </c>
      <c r="AF39" s="4" t="s">
        <v>113</v>
      </c>
      <c r="AG39" s="4" t="s">
        <v>114</v>
      </c>
      <c r="AH39" s="4" t="s">
        <v>115</v>
      </c>
      <c r="AI39" s="4">
        <v>398567</v>
      </c>
      <c r="AJ39" s="4">
        <v>6534</v>
      </c>
      <c r="AK39" s="4">
        <v>998.7</v>
      </c>
      <c r="AL39" s="4">
        <v>98</v>
      </c>
      <c r="AM39" s="4">
        <v>332345</v>
      </c>
      <c r="AN39" s="4">
        <v>267890</v>
      </c>
      <c r="AO39" s="4">
        <v>214567</v>
      </c>
      <c r="AP39" s="4">
        <v>151234</v>
      </c>
      <c r="AQ39" s="4">
        <v>99567</v>
      </c>
      <c r="AR39" s="4">
        <v>17756</v>
      </c>
      <c r="AS39" s="4">
        <v>5012</v>
      </c>
      <c r="AT39" s="4">
        <v>1389</v>
      </c>
      <c r="AV39" s="5">
        <f>T_Facebook_Ads[[#This Row],[date]]</f>
        <v>45303</v>
      </c>
      <c r="AW39">
        <f t="shared" ca="1" si="0"/>
        <v>6</v>
      </c>
      <c r="AX39">
        <f ca="1">ROUND(T_Facebook_Ads[[#This Row],[impressions]]*RANDBETWEEN(8,12)/10,0)</f>
        <v>65601</v>
      </c>
      <c r="AY39">
        <f ca="1">ROUND(T_Facebook_Ads[[#This Row],[clicks]]*RANDBETWEEN(8,12)/10,0)</f>
        <v>209</v>
      </c>
      <c r="AZ39">
        <f ca="1">T_Facebook_Ads[[#This Row],[spend]]*RANDBETWEEN(8,12)/10</f>
        <v>77.44</v>
      </c>
      <c r="BA39">
        <f ca="1">ROUND(T_Facebook_Ads[[#This Row],[conversions]]*RANDBETWEEN(8,12)/10,0)</f>
        <v>7</v>
      </c>
      <c r="BB39">
        <f ca="1">ROUND(T_Facebook_Ads[[#This Row],[video_views]]*RANDBETWEEN(8,12)/10,0)</f>
        <v>39654</v>
      </c>
    </row>
    <row r="40" spans="1:54" ht="15.75" thickBot="1" x14ac:dyDescent="0.3">
      <c r="A40" s="3">
        <v>45304</v>
      </c>
      <c r="B40" s="4" t="s">
        <v>52</v>
      </c>
      <c r="C40" s="4" t="s">
        <v>53</v>
      </c>
      <c r="D40" s="4" t="s">
        <v>54</v>
      </c>
      <c r="E40" s="4" t="s">
        <v>55</v>
      </c>
      <c r="F40" s="4">
        <v>42345</v>
      </c>
      <c r="G40" s="4">
        <v>856</v>
      </c>
      <c r="H40" s="4">
        <v>121.5</v>
      </c>
      <c r="I40" s="4">
        <v>12</v>
      </c>
      <c r="J40" s="4">
        <v>7890</v>
      </c>
      <c r="K40" s="4">
        <v>2.0199999999999999E-2</v>
      </c>
      <c r="L40" s="4">
        <v>35678</v>
      </c>
      <c r="M40" s="4">
        <v>1.19</v>
      </c>
      <c r="O40" s="3">
        <v>45304</v>
      </c>
      <c r="P40" s="4" t="s">
        <v>76</v>
      </c>
      <c r="Q40" s="4" t="s">
        <v>77</v>
      </c>
      <c r="R40" s="4" t="s">
        <v>78</v>
      </c>
      <c r="S40" s="4" t="s">
        <v>79</v>
      </c>
      <c r="T40" s="4">
        <v>22456</v>
      </c>
      <c r="U40" s="4">
        <v>1156</v>
      </c>
      <c r="V40" s="4">
        <v>220.4</v>
      </c>
      <c r="W40" s="4">
        <v>43</v>
      </c>
      <c r="X40" s="4">
        <v>2150</v>
      </c>
      <c r="Y40" s="4">
        <v>5.1499999999999997E-2</v>
      </c>
      <c r="Z40" s="4">
        <v>0.19</v>
      </c>
      <c r="AA40" s="4">
        <v>9</v>
      </c>
      <c r="AB40" s="4">
        <v>0.9</v>
      </c>
      <c r="AD40" s="3">
        <v>45304</v>
      </c>
      <c r="AE40" s="4" t="s">
        <v>100</v>
      </c>
      <c r="AF40" s="4" t="s">
        <v>101</v>
      </c>
      <c r="AG40" s="4" t="s">
        <v>102</v>
      </c>
      <c r="AH40" s="4" t="s">
        <v>103</v>
      </c>
      <c r="AI40" s="4">
        <v>234567</v>
      </c>
      <c r="AJ40" s="4">
        <v>3456</v>
      </c>
      <c r="AK40" s="4">
        <v>456.7</v>
      </c>
      <c r="AL40" s="4">
        <v>34</v>
      </c>
      <c r="AM40" s="4">
        <v>198234</v>
      </c>
      <c r="AN40" s="4">
        <v>156234</v>
      </c>
      <c r="AO40" s="4">
        <v>98234</v>
      </c>
      <c r="AP40" s="4">
        <v>67234</v>
      </c>
      <c r="AQ40" s="4">
        <v>45234</v>
      </c>
      <c r="AR40" s="4">
        <v>8923</v>
      </c>
      <c r="AS40" s="4">
        <v>2345</v>
      </c>
      <c r="AT40" s="4">
        <v>567</v>
      </c>
      <c r="AV40" s="5">
        <f>T_Facebook_Ads[[#This Row],[date]]</f>
        <v>45304</v>
      </c>
      <c r="AW40">
        <f t="shared" ca="1" si="0"/>
        <v>3</v>
      </c>
      <c r="AX40">
        <f ca="1">ROUND(T_Facebook_Ads[[#This Row],[impressions]]*RANDBETWEEN(8,12)/10,0)</f>
        <v>33876</v>
      </c>
      <c r="AY40">
        <f ca="1">ROUND(T_Facebook_Ads[[#This Row],[clicks]]*RANDBETWEEN(8,12)/10,0)</f>
        <v>770</v>
      </c>
      <c r="AZ40">
        <f ca="1">T_Facebook_Ads[[#This Row],[spend]]*RANDBETWEEN(8,12)/10</f>
        <v>133.65</v>
      </c>
      <c r="BA40">
        <f ca="1">ROUND(T_Facebook_Ads[[#This Row],[conversions]]*RANDBETWEEN(8,12)/10,0)</f>
        <v>14</v>
      </c>
      <c r="BB40">
        <f ca="1">ROUND(T_Facebook_Ads[[#This Row],[video_views]]*RANDBETWEEN(8,12)/10,0)</f>
        <v>9468</v>
      </c>
    </row>
    <row r="41" spans="1:54" ht="15.75" thickBot="1" x14ac:dyDescent="0.3">
      <c r="A41" s="3">
        <v>45304</v>
      </c>
      <c r="B41" s="4" t="s">
        <v>56</v>
      </c>
      <c r="C41" s="4" t="s">
        <v>57</v>
      </c>
      <c r="D41" s="4" t="s">
        <v>58</v>
      </c>
      <c r="E41" s="4" t="s">
        <v>59</v>
      </c>
      <c r="F41" s="4">
        <v>11234</v>
      </c>
      <c r="G41" s="4">
        <v>523</v>
      </c>
      <c r="H41" s="4">
        <v>198.6</v>
      </c>
      <c r="I41" s="4">
        <v>32</v>
      </c>
      <c r="J41" s="4">
        <v>1123</v>
      </c>
      <c r="K41" s="4">
        <v>4.6600000000000003E-2</v>
      </c>
      <c r="L41" s="4">
        <v>8901</v>
      </c>
      <c r="M41" s="4">
        <v>1.27</v>
      </c>
      <c r="O41" s="3">
        <v>45304</v>
      </c>
      <c r="P41" s="4" t="s">
        <v>80</v>
      </c>
      <c r="Q41" s="4" t="s">
        <v>81</v>
      </c>
      <c r="R41" s="4" t="s">
        <v>82</v>
      </c>
      <c r="S41" s="4" t="s">
        <v>83</v>
      </c>
      <c r="T41" s="4">
        <v>41234</v>
      </c>
      <c r="U41" s="4">
        <v>823</v>
      </c>
      <c r="V41" s="4">
        <v>528.9</v>
      </c>
      <c r="W41" s="4">
        <v>21</v>
      </c>
      <c r="X41" s="4">
        <v>1050</v>
      </c>
      <c r="Y41" s="4">
        <v>0.02</v>
      </c>
      <c r="Z41" s="4">
        <v>0.64</v>
      </c>
      <c r="AA41" s="4">
        <v>6</v>
      </c>
      <c r="AB41" s="4">
        <v>0.43</v>
      </c>
      <c r="AD41" s="3">
        <v>45304</v>
      </c>
      <c r="AE41" s="4" t="s">
        <v>104</v>
      </c>
      <c r="AF41" s="4" t="s">
        <v>105</v>
      </c>
      <c r="AG41" s="4" t="s">
        <v>106</v>
      </c>
      <c r="AH41" s="4" t="s">
        <v>107</v>
      </c>
      <c r="AI41" s="4">
        <v>134567</v>
      </c>
      <c r="AJ41" s="4">
        <v>2567</v>
      </c>
      <c r="AK41" s="4">
        <v>712.3</v>
      </c>
      <c r="AL41" s="4">
        <v>71</v>
      </c>
      <c r="AM41" s="4">
        <v>95678</v>
      </c>
      <c r="AN41" s="4">
        <v>71234</v>
      </c>
      <c r="AO41" s="4">
        <v>48234</v>
      </c>
      <c r="AP41" s="4">
        <v>36234</v>
      </c>
      <c r="AQ41" s="4">
        <v>24567</v>
      </c>
      <c r="AR41" s="4">
        <v>4789</v>
      </c>
      <c r="AS41" s="4">
        <v>1345</v>
      </c>
      <c r="AT41" s="4">
        <v>245</v>
      </c>
      <c r="AV41" s="5">
        <f>T_Facebook_Ads[[#This Row],[date]]</f>
        <v>45304</v>
      </c>
      <c r="AW41">
        <f t="shared" ca="1" si="0"/>
        <v>3</v>
      </c>
      <c r="AX41">
        <f ca="1">ROUND(T_Facebook_Ads[[#This Row],[impressions]]*RANDBETWEEN(8,12)/10,0)</f>
        <v>13481</v>
      </c>
      <c r="AY41">
        <f ca="1">ROUND(T_Facebook_Ads[[#This Row],[clicks]]*RANDBETWEEN(8,12)/10,0)</f>
        <v>471</v>
      </c>
      <c r="AZ41">
        <f ca="1">T_Facebook_Ads[[#This Row],[spend]]*RANDBETWEEN(8,12)/10</f>
        <v>178.73999999999998</v>
      </c>
      <c r="BA41">
        <f ca="1">ROUND(T_Facebook_Ads[[#This Row],[conversions]]*RANDBETWEEN(8,12)/10,0)</f>
        <v>26</v>
      </c>
      <c r="BB41">
        <f ca="1">ROUND(T_Facebook_Ads[[#This Row],[video_views]]*RANDBETWEEN(8,12)/10,0)</f>
        <v>1348</v>
      </c>
    </row>
    <row r="42" spans="1:54" ht="15.75" thickBot="1" x14ac:dyDescent="0.3">
      <c r="A42" s="3">
        <v>45304</v>
      </c>
      <c r="B42" s="4" t="s">
        <v>60</v>
      </c>
      <c r="C42" s="4" t="s">
        <v>61</v>
      </c>
      <c r="D42" s="4" t="s">
        <v>62</v>
      </c>
      <c r="E42" s="4" t="s">
        <v>63</v>
      </c>
      <c r="F42" s="4">
        <v>33456</v>
      </c>
      <c r="G42" s="4">
        <v>1203</v>
      </c>
      <c r="H42" s="4">
        <v>185.3</v>
      </c>
      <c r="I42" s="4">
        <v>23</v>
      </c>
      <c r="J42" s="4">
        <v>4234</v>
      </c>
      <c r="K42" s="4">
        <v>3.5999999999999997E-2</v>
      </c>
      <c r="L42" s="4">
        <v>27890</v>
      </c>
      <c r="M42" s="4">
        <v>1.2</v>
      </c>
      <c r="O42" s="3">
        <v>45304</v>
      </c>
      <c r="P42" s="4" t="s">
        <v>84</v>
      </c>
      <c r="Q42" s="4" t="s">
        <v>85</v>
      </c>
      <c r="R42" s="4" t="s">
        <v>86</v>
      </c>
      <c r="S42" s="4" t="s">
        <v>87</v>
      </c>
      <c r="T42" s="4">
        <v>63456</v>
      </c>
      <c r="U42" s="4">
        <v>2089</v>
      </c>
      <c r="V42" s="4">
        <v>382.6</v>
      </c>
      <c r="W42" s="4">
        <v>60</v>
      </c>
      <c r="X42" s="4">
        <v>3000</v>
      </c>
      <c r="Y42" s="4">
        <v>3.2899999999999999E-2</v>
      </c>
      <c r="Z42" s="4">
        <v>0.18</v>
      </c>
      <c r="AA42" s="4">
        <v>8</v>
      </c>
      <c r="AB42" s="4">
        <v>0.65</v>
      </c>
      <c r="AD42" s="3">
        <v>45304</v>
      </c>
      <c r="AE42" s="4" t="s">
        <v>108</v>
      </c>
      <c r="AF42" s="4" t="s">
        <v>109</v>
      </c>
      <c r="AG42" s="4" t="s">
        <v>110</v>
      </c>
      <c r="AH42" s="4" t="s">
        <v>111</v>
      </c>
      <c r="AI42" s="4">
        <v>201234</v>
      </c>
      <c r="AJ42" s="4">
        <v>3123</v>
      </c>
      <c r="AK42" s="4">
        <v>374.5</v>
      </c>
      <c r="AL42" s="4">
        <v>26</v>
      </c>
      <c r="AM42" s="4">
        <v>157890</v>
      </c>
      <c r="AN42" s="4">
        <v>121234</v>
      </c>
      <c r="AO42" s="4">
        <v>96234</v>
      </c>
      <c r="AP42" s="4">
        <v>61234</v>
      </c>
      <c r="AQ42" s="4">
        <v>37456</v>
      </c>
      <c r="AR42" s="4">
        <v>7345</v>
      </c>
      <c r="AS42" s="4">
        <v>2034</v>
      </c>
      <c r="AT42" s="4">
        <v>489</v>
      </c>
      <c r="AV42" s="5">
        <f>T_Facebook_Ads[[#This Row],[date]]</f>
        <v>45304</v>
      </c>
      <c r="AW42">
        <f t="shared" ca="1" si="0"/>
        <v>5</v>
      </c>
      <c r="AX42">
        <f ca="1">ROUND(T_Facebook_Ads[[#This Row],[impressions]]*RANDBETWEEN(8,12)/10,0)</f>
        <v>36802</v>
      </c>
      <c r="AY42">
        <f ca="1">ROUND(T_Facebook_Ads[[#This Row],[clicks]]*RANDBETWEEN(8,12)/10,0)</f>
        <v>1203</v>
      </c>
      <c r="AZ42">
        <f ca="1">T_Facebook_Ads[[#This Row],[spend]]*RANDBETWEEN(8,12)/10</f>
        <v>148.24</v>
      </c>
      <c r="BA42">
        <f ca="1">ROUND(T_Facebook_Ads[[#This Row],[conversions]]*RANDBETWEEN(8,12)/10,0)</f>
        <v>21</v>
      </c>
      <c r="BB42">
        <f ca="1">ROUND(T_Facebook_Ads[[#This Row],[video_views]]*RANDBETWEEN(8,12)/10,0)</f>
        <v>3811</v>
      </c>
    </row>
    <row r="43" spans="1:54" ht="15.75" thickBot="1" x14ac:dyDescent="0.3">
      <c r="A43" s="3">
        <v>45304</v>
      </c>
      <c r="B43" s="4" t="s">
        <v>64</v>
      </c>
      <c r="C43" s="4" t="s">
        <v>65</v>
      </c>
      <c r="D43" s="4" t="s">
        <v>66</v>
      </c>
      <c r="E43" s="4" t="s">
        <v>67</v>
      </c>
      <c r="F43" s="4">
        <v>64567</v>
      </c>
      <c r="G43" s="4">
        <v>238</v>
      </c>
      <c r="H43" s="4">
        <v>83.4</v>
      </c>
      <c r="I43" s="4">
        <v>5</v>
      </c>
      <c r="J43" s="4">
        <v>43234</v>
      </c>
      <c r="K43" s="4">
        <v>3.7000000000000002E-3</v>
      </c>
      <c r="L43" s="4">
        <v>52890</v>
      </c>
      <c r="M43" s="4">
        <v>1.22</v>
      </c>
      <c r="O43" s="3">
        <v>45304</v>
      </c>
      <c r="P43" s="4" t="s">
        <v>88</v>
      </c>
      <c r="Q43" s="4" t="s">
        <v>89</v>
      </c>
      <c r="R43" s="4" t="s">
        <v>90</v>
      </c>
      <c r="S43" s="4" t="s">
        <v>59</v>
      </c>
      <c r="T43" s="4">
        <v>119234</v>
      </c>
      <c r="U43" s="4">
        <v>434</v>
      </c>
      <c r="V43" s="4">
        <v>116.8</v>
      </c>
      <c r="W43" s="4">
        <v>12</v>
      </c>
      <c r="X43" s="4">
        <v>600</v>
      </c>
      <c r="Y43" s="4">
        <v>3.5999999999999999E-3</v>
      </c>
      <c r="Z43" s="4">
        <v>0.27</v>
      </c>
      <c r="AA43" s="4">
        <v>7</v>
      </c>
      <c r="AB43" s="4">
        <v>0.33</v>
      </c>
      <c r="AD43" s="3">
        <v>45304</v>
      </c>
      <c r="AE43" s="4" t="s">
        <v>112</v>
      </c>
      <c r="AF43" s="4" t="s">
        <v>113</v>
      </c>
      <c r="AG43" s="4" t="s">
        <v>114</v>
      </c>
      <c r="AH43" s="4" t="s">
        <v>115</v>
      </c>
      <c r="AI43" s="4">
        <v>367890</v>
      </c>
      <c r="AJ43" s="4">
        <v>6012</v>
      </c>
      <c r="AK43" s="4">
        <v>923.4</v>
      </c>
      <c r="AL43" s="4">
        <v>94</v>
      </c>
      <c r="AM43" s="4">
        <v>301234</v>
      </c>
      <c r="AN43" s="4">
        <v>245678</v>
      </c>
      <c r="AO43" s="4">
        <v>196789</v>
      </c>
      <c r="AP43" s="4">
        <v>140234</v>
      </c>
      <c r="AQ43" s="4">
        <v>93456</v>
      </c>
      <c r="AR43" s="4">
        <v>16234</v>
      </c>
      <c r="AS43" s="4">
        <v>4789</v>
      </c>
      <c r="AT43" s="4">
        <v>1289</v>
      </c>
      <c r="AV43" s="5">
        <f>T_Facebook_Ads[[#This Row],[date]]</f>
        <v>45304</v>
      </c>
      <c r="AW43">
        <f t="shared" ca="1" si="0"/>
        <v>8</v>
      </c>
      <c r="AX43">
        <f ca="1">ROUND(T_Facebook_Ads[[#This Row],[impressions]]*RANDBETWEEN(8,12)/10,0)</f>
        <v>77480</v>
      </c>
      <c r="AY43">
        <f ca="1">ROUND(T_Facebook_Ads[[#This Row],[clicks]]*RANDBETWEEN(8,12)/10,0)</f>
        <v>238</v>
      </c>
      <c r="AZ43">
        <f ca="1">T_Facebook_Ads[[#This Row],[spend]]*RANDBETWEEN(8,12)/10</f>
        <v>91.740000000000009</v>
      </c>
      <c r="BA43">
        <f ca="1">ROUND(T_Facebook_Ads[[#This Row],[conversions]]*RANDBETWEEN(8,12)/10,0)</f>
        <v>4</v>
      </c>
      <c r="BB43">
        <f ca="1">ROUND(T_Facebook_Ads[[#This Row],[video_views]]*RANDBETWEEN(8,12)/10,0)</f>
        <v>43234</v>
      </c>
    </row>
    <row r="44" spans="1:54" ht="15.75" thickBot="1" x14ac:dyDescent="0.3">
      <c r="A44" s="3">
        <v>45305</v>
      </c>
      <c r="B44" s="4" t="s">
        <v>52</v>
      </c>
      <c r="C44" s="4" t="s">
        <v>53</v>
      </c>
      <c r="D44" s="4" t="s">
        <v>54</v>
      </c>
      <c r="E44" s="4" t="s">
        <v>55</v>
      </c>
      <c r="F44" s="4">
        <v>40123</v>
      </c>
      <c r="G44" s="4">
        <v>798</v>
      </c>
      <c r="H44" s="4">
        <v>114.7</v>
      </c>
      <c r="I44" s="4">
        <v>11</v>
      </c>
      <c r="J44" s="4">
        <v>7345</v>
      </c>
      <c r="K44" s="4">
        <v>1.9900000000000001E-2</v>
      </c>
      <c r="L44" s="4">
        <v>33456</v>
      </c>
      <c r="M44" s="4">
        <v>1.2</v>
      </c>
      <c r="O44" s="3">
        <v>45305</v>
      </c>
      <c r="P44" s="4" t="s">
        <v>76</v>
      </c>
      <c r="Q44" s="4" t="s">
        <v>77</v>
      </c>
      <c r="R44" s="4" t="s">
        <v>78</v>
      </c>
      <c r="S44" s="4" t="s">
        <v>79</v>
      </c>
      <c r="T44" s="4">
        <v>21234</v>
      </c>
      <c r="U44" s="4">
        <v>1089</v>
      </c>
      <c r="V44" s="4">
        <v>207.8</v>
      </c>
      <c r="W44" s="4">
        <v>41</v>
      </c>
      <c r="X44" s="4">
        <v>2050</v>
      </c>
      <c r="Y44" s="4">
        <v>5.1299999999999998E-2</v>
      </c>
      <c r="Z44" s="4">
        <v>0.19</v>
      </c>
      <c r="AA44" s="4">
        <v>9</v>
      </c>
      <c r="AB44" s="4">
        <v>0.89</v>
      </c>
      <c r="AD44" s="3">
        <v>45305</v>
      </c>
      <c r="AE44" s="4" t="s">
        <v>100</v>
      </c>
      <c r="AF44" s="4" t="s">
        <v>101</v>
      </c>
      <c r="AG44" s="4" t="s">
        <v>102</v>
      </c>
      <c r="AH44" s="4" t="s">
        <v>103</v>
      </c>
      <c r="AI44" s="4">
        <v>223456</v>
      </c>
      <c r="AJ44" s="4">
        <v>3234</v>
      </c>
      <c r="AK44" s="4">
        <v>434.5</v>
      </c>
      <c r="AL44" s="4">
        <v>32</v>
      </c>
      <c r="AM44" s="4">
        <v>189234</v>
      </c>
      <c r="AN44" s="4">
        <v>148234</v>
      </c>
      <c r="AO44" s="4">
        <v>93234</v>
      </c>
      <c r="AP44" s="4">
        <v>63456</v>
      </c>
      <c r="AQ44" s="4">
        <v>43234</v>
      </c>
      <c r="AR44" s="4">
        <v>8567</v>
      </c>
      <c r="AS44" s="4">
        <v>2234</v>
      </c>
      <c r="AT44" s="4">
        <v>534</v>
      </c>
      <c r="AV44" s="5">
        <f>T_Facebook_Ads[[#This Row],[date]]</f>
        <v>45305</v>
      </c>
      <c r="AW44">
        <f t="shared" ca="1" si="0"/>
        <v>3</v>
      </c>
      <c r="AX44">
        <f ca="1">ROUND(T_Facebook_Ads[[#This Row],[impressions]]*RANDBETWEEN(8,12)/10,0)</f>
        <v>32098</v>
      </c>
      <c r="AY44">
        <f ca="1">ROUND(T_Facebook_Ads[[#This Row],[clicks]]*RANDBETWEEN(8,12)/10,0)</f>
        <v>718</v>
      </c>
      <c r="AZ44">
        <f ca="1">T_Facebook_Ads[[#This Row],[spend]]*RANDBETWEEN(8,12)/10</f>
        <v>91.76</v>
      </c>
      <c r="BA44">
        <f ca="1">ROUND(T_Facebook_Ads[[#This Row],[conversions]]*RANDBETWEEN(8,12)/10,0)</f>
        <v>13</v>
      </c>
      <c r="BB44">
        <f ca="1">ROUND(T_Facebook_Ads[[#This Row],[video_views]]*RANDBETWEEN(8,12)/10,0)</f>
        <v>8814</v>
      </c>
    </row>
    <row r="45" spans="1:54" ht="15.75" thickBot="1" x14ac:dyDescent="0.3">
      <c r="A45" s="3">
        <v>45305</v>
      </c>
      <c r="B45" s="4" t="s">
        <v>56</v>
      </c>
      <c r="C45" s="4" t="s">
        <v>57</v>
      </c>
      <c r="D45" s="4" t="s">
        <v>58</v>
      </c>
      <c r="E45" s="4" t="s">
        <v>59</v>
      </c>
      <c r="F45" s="4">
        <v>10567</v>
      </c>
      <c r="G45" s="4">
        <v>489</v>
      </c>
      <c r="H45" s="4">
        <v>185.9</v>
      </c>
      <c r="I45" s="4">
        <v>29</v>
      </c>
      <c r="J45" s="4">
        <v>998</v>
      </c>
      <c r="K45" s="4">
        <v>4.6300000000000001E-2</v>
      </c>
      <c r="L45" s="4">
        <v>8234</v>
      </c>
      <c r="M45" s="4">
        <v>1.28</v>
      </c>
      <c r="O45" s="3">
        <v>45305</v>
      </c>
      <c r="P45" s="4" t="s">
        <v>80</v>
      </c>
      <c r="Q45" s="4" t="s">
        <v>81</v>
      </c>
      <c r="R45" s="4" t="s">
        <v>82</v>
      </c>
      <c r="S45" s="4" t="s">
        <v>83</v>
      </c>
      <c r="T45" s="4">
        <v>39567</v>
      </c>
      <c r="U45" s="4">
        <v>789</v>
      </c>
      <c r="V45" s="4">
        <v>507.4</v>
      </c>
      <c r="W45" s="4">
        <v>19</v>
      </c>
      <c r="X45" s="4">
        <v>950</v>
      </c>
      <c r="Y45" s="4">
        <v>1.9900000000000001E-2</v>
      </c>
      <c r="Z45" s="4">
        <v>0.64</v>
      </c>
      <c r="AA45" s="4">
        <v>6</v>
      </c>
      <c r="AB45" s="4">
        <v>0.42</v>
      </c>
      <c r="AD45" s="3">
        <v>45305</v>
      </c>
      <c r="AE45" s="4" t="s">
        <v>104</v>
      </c>
      <c r="AF45" s="4" t="s">
        <v>105</v>
      </c>
      <c r="AG45" s="4" t="s">
        <v>106</v>
      </c>
      <c r="AH45" s="4" t="s">
        <v>107</v>
      </c>
      <c r="AI45" s="4">
        <v>128901</v>
      </c>
      <c r="AJ45" s="4">
        <v>2456</v>
      </c>
      <c r="AK45" s="4">
        <v>689.5</v>
      </c>
      <c r="AL45" s="4">
        <v>68</v>
      </c>
      <c r="AM45" s="4">
        <v>91234</v>
      </c>
      <c r="AN45" s="4">
        <v>68234</v>
      </c>
      <c r="AO45" s="4">
        <v>45789</v>
      </c>
      <c r="AP45" s="4">
        <v>34567</v>
      </c>
      <c r="AQ45" s="4">
        <v>23678</v>
      </c>
      <c r="AR45" s="4">
        <v>4678</v>
      </c>
      <c r="AS45" s="4">
        <v>1267</v>
      </c>
      <c r="AT45" s="4">
        <v>237</v>
      </c>
      <c r="AV45" s="5">
        <f>T_Facebook_Ads[[#This Row],[date]]</f>
        <v>45305</v>
      </c>
      <c r="AW45">
        <f t="shared" ca="1" si="0"/>
        <v>7</v>
      </c>
      <c r="AX45">
        <f ca="1">ROUND(T_Facebook_Ads[[#This Row],[impressions]]*RANDBETWEEN(8,12)/10,0)</f>
        <v>9510</v>
      </c>
      <c r="AY45">
        <f ca="1">ROUND(T_Facebook_Ads[[#This Row],[clicks]]*RANDBETWEEN(8,12)/10,0)</f>
        <v>489</v>
      </c>
      <c r="AZ45">
        <f ca="1">T_Facebook_Ads[[#This Row],[spend]]*RANDBETWEEN(8,12)/10</f>
        <v>148.72</v>
      </c>
      <c r="BA45">
        <f ca="1">ROUND(T_Facebook_Ads[[#This Row],[conversions]]*RANDBETWEEN(8,12)/10,0)</f>
        <v>29</v>
      </c>
      <c r="BB45">
        <f ca="1">ROUND(T_Facebook_Ads[[#This Row],[video_views]]*RANDBETWEEN(8,12)/10,0)</f>
        <v>898</v>
      </c>
    </row>
    <row r="46" spans="1:54" ht="15.75" thickBot="1" x14ac:dyDescent="0.3">
      <c r="A46" s="3">
        <v>45305</v>
      </c>
      <c r="B46" s="4" t="s">
        <v>60</v>
      </c>
      <c r="C46" s="4" t="s">
        <v>61</v>
      </c>
      <c r="D46" s="4" t="s">
        <v>62</v>
      </c>
      <c r="E46" s="4" t="s">
        <v>63</v>
      </c>
      <c r="F46" s="4">
        <v>31234</v>
      </c>
      <c r="G46" s="4">
        <v>1123</v>
      </c>
      <c r="H46" s="4">
        <v>173.8</v>
      </c>
      <c r="I46" s="4">
        <v>21</v>
      </c>
      <c r="J46" s="4">
        <v>3890</v>
      </c>
      <c r="K46" s="4">
        <v>3.5999999999999997E-2</v>
      </c>
      <c r="L46" s="4">
        <v>26123</v>
      </c>
      <c r="M46" s="4">
        <v>1.2</v>
      </c>
      <c r="O46" s="3">
        <v>45305</v>
      </c>
      <c r="P46" s="4" t="s">
        <v>84</v>
      </c>
      <c r="Q46" s="4" t="s">
        <v>85</v>
      </c>
      <c r="R46" s="4" t="s">
        <v>86</v>
      </c>
      <c r="S46" s="4" t="s">
        <v>87</v>
      </c>
      <c r="T46" s="4">
        <v>61890</v>
      </c>
      <c r="U46" s="4">
        <v>2012</v>
      </c>
      <c r="V46" s="4">
        <v>369.3</v>
      </c>
      <c r="W46" s="4">
        <v>58</v>
      </c>
      <c r="X46" s="4">
        <v>2900</v>
      </c>
      <c r="Y46" s="4">
        <v>3.2500000000000001E-2</v>
      </c>
      <c r="Z46" s="4">
        <v>0.18</v>
      </c>
      <c r="AA46" s="4">
        <v>8</v>
      </c>
      <c r="AB46" s="4">
        <v>0.64</v>
      </c>
      <c r="AD46" s="3">
        <v>45305</v>
      </c>
      <c r="AE46" s="4" t="s">
        <v>108</v>
      </c>
      <c r="AF46" s="4" t="s">
        <v>109</v>
      </c>
      <c r="AG46" s="4" t="s">
        <v>110</v>
      </c>
      <c r="AH46" s="4" t="s">
        <v>111</v>
      </c>
      <c r="AI46" s="4">
        <v>195678</v>
      </c>
      <c r="AJ46" s="4">
        <v>2989</v>
      </c>
      <c r="AK46" s="4">
        <v>361.2</v>
      </c>
      <c r="AL46" s="4">
        <v>25</v>
      </c>
      <c r="AM46" s="4">
        <v>152345</v>
      </c>
      <c r="AN46" s="4">
        <v>117234</v>
      </c>
      <c r="AO46" s="4">
        <v>93234</v>
      </c>
      <c r="AP46" s="4">
        <v>59234</v>
      </c>
      <c r="AQ46" s="4">
        <v>36234</v>
      </c>
      <c r="AR46" s="4">
        <v>7123</v>
      </c>
      <c r="AS46" s="4">
        <v>1967</v>
      </c>
      <c r="AT46" s="4">
        <v>478</v>
      </c>
      <c r="AV46" s="5">
        <f>T_Facebook_Ads[[#This Row],[date]]</f>
        <v>45305</v>
      </c>
      <c r="AW46">
        <f t="shared" ca="1" si="0"/>
        <v>6</v>
      </c>
      <c r="AX46">
        <f ca="1">ROUND(T_Facebook_Ads[[#This Row],[impressions]]*RANDBETWEEN(8,12)/10,0)</f>
        <v>28111</v>
      </c>
      <c r="AY46">
        <f ca="1">ROUND(T_Facebook_Ads[[#This Row],[clicks]]*RANDBETWEEN(8,12)/10,0)</f>
        <v>1235</v>
      </c>
      <c r="AZ46">
        <f ca="1">T_Facebook_Ads[[#This Row],[spend]]*RANDBETWEEN(8,12)/10</f>
        <v>156.42000000000002</v>
      </c>
      <c r="BA46">
        <f ca="1">ROUND(T_Facebook_Ads[[#This Row],[conversions]]*RANDBETWEEN(8,12)/10,0)</f>
        <v>21</v>
      </c>
      <c r="BB46">
        <f ca="1">ROUND(T_Facebook_Ads[[#This Row],[video_views]]*RANDBETWEEN(8,12)/10,0)</f>
        <v>3501</v>
      </c>
    </row>
    <row r="47" spans="1:54" ht="15.75" thickBot="1" x14ac:dyDescent="0.3">
      <c r="A47" s="3">
        <v>45305</v>
      </c>
      <c r="B47" s="4" t="s">
        <v>64</v>
      </c>
      <c r="C47" s="4" t="s">
        <v>65</v>
      </c>
      <c r="D47" s="4" t="s">
        <v>66</v>
      </c>
      <c r="E47" s="4" t="s">
        <v>67</v>
      </c>
      <c r="F47" s="4">
        <v>61234</v>
      </c>
      <c r="G47" s="4">
        <v>223</v>
      </c>
      <c r="H47" s="4">
        <v>78.900000000000006</v>
      </c>
      <c r="I47" s="4">
        <v>4</v>
      </c>
      <c r="J47" s="4">
        <v>40567</v>
      </c>
      <c r="K47" s="4">
        <v>3.5999999999999999E-3</v>
      </c>
      <c r="L47" s="4">
        <v>50123</v>
      </c>
      <c r="M47" s="4">
        <v>1.22</v>
      </c>
      <c r="O47" s="3">
        <v>45305</v>
      </c>
      <c r="P47" s="4" t="s">
        <v>88</v>
      </c>
      <c r="Q47" s="4" t="s">
        <v>89</v>
      </c>
      <c r="R47" s="4" t="s">
        <v>90</v>
      </c>
      <c r="S47" s="4" t="s">
        <v>59</v>
      </c>
      <c r="T47" s="4">
        <v>115678</v>
      </c>
      <c r="U47" s="4">
        <v>412</v>
      </c>
      <c r="V47" s="4">
        <v>113.4</v>
      </c>
      <c r="W47" s="4">
        <v>11</v>
      </c>
      <c r="X47" s="4">
        <v>550</v>
      </c>
      <c r="Y47" s="4">
        <v>3.5999999999999999E-3</v>
      </c>
      <c r="Z47" s="4">
        <v>0.28000000000000003</v>
      </c>
      <c r="AA47" s="4">
        <v>7</v>
      </c>
      <c r="AB47" s="4">
        <v>0.32</v>
      </c>
      <c r="AD47" s="3">
        <v>45305</v>
      </c>
      <c r="AE47" s="4" t="s">
        <v>112</v>
      </c>
      <c r="AF47" s="4" t="s">
        <v>113</v>
      </c>
      <c r="AG47" s="4" t="s">
        <v>114</v>
      </c>
      <c r="AH47" s="4" t="s">
        <v>115</v>
      </c>
      <c r="AI47" s="4">
        <v>356789</v>
      </c>
      <c r="AJ47" s="4">
        <v>5834</v>
      </c>
      <c r="AK47" s="4">
        <v>901.2</v>
      </c>
      <c r="AL47" s="4">
        <v>91</v>
      </c>
      <c r="AM47" s="4">
        <v>293456</v>
      </c>
      <c r="AN47" s="4">
        <v>239234</v>
      </c>
      <c r="AO47" s="4">
        <v>191234</v>
      </c>
      <c r="AP47" s="4">
        <v>136234</v>
      </c>
      <c r="AQ47" s="4">
        <v>90234</v>
      </c>
      <c r="AR47" s="4">
        <v>15890</v>
      </c>
      <c r="AS47" s="4">
        <v>4634</v>
      </c>
      <c r="AT47" s="4">
        <v>1256</v>
      </c>
      <c r="AV47" s="5">
        <f>T_Facebook_Ads[[#This Row],[date]]</f>
        <v>45305</v>
      </c>
      <c r="AW47">
        <f t="shared" ca="1" si="0"/>
        <v>6</v>
      </c>
      <c r="AX47">
        <f ca="1">ROUND(T_Facebook_Ads[[#This Row],[impressions]]*RANDBETWEEN(8,12)/10,0)</f>
        <v>73481</v>
      </c>
      <c r="AY47">
        <f ca="1">ROUND(T_Facebook_Ads[[#This Row],[clicks]]*RANDBETWEEN(8,12)/10,0)</f>
        <v>223</v>
      </c>
      <c r="AZ47">
        <f ca="1">T_Facebook_Ads[[#This Row],[spend]]*RANDBETWEEN(8,12)/10</f>
        <v>94.68</v>
      </c>
      <c r="BA47">
        <f ca="1">ROUND(T_Facebook_Ads[[#This Row],[conversions]]*RANDBETWEEN(8,12)/10,0)</f>
        <v>4</v>
      </c>
      <c r="BB47">
        <f ca="1">ROUND(T_Facebook_Ads[[#This Row],[video_views]]*RANDBETWEEN(8,12)/10,0)</f>
        <v>32454</v>
      </c>
    </row>
    <row r="48" spans="1:54" ht="15.75" thickBot="1" x14ac:dyDescent="0.3">
      <c r="A48" s="3">
        <v>45306</v>
      </c>
      <c r="B48" s="4" t="s">
        <v>52</v>
      </c>
      <c r="C48" s="4" t="s">
        <v>53</v>
      </c>
      <c r="D48" s="4" t="s">
        <v>54</v>
      </c>
      <c r="E48" s="4" t="s">
        <v>55</v>
      </c>
      <c r="F48" s="4">
        <v>46789</v>
      </c>
      <c r="G48" s="4">
        <v>934</v>
      </c>
      <c r="H48" s="4">
        <v>132.4</v>
      </c>
      <c r="I48" s="4">
        <v>14</v>
      </c>
      <c r="J48" s="4">
        <v>8567</v>
      </c>
      <c r="K48" s="4">
        <v>0.02</v>
      </c>
      <c r="L48" s="4">
        <v>39234</v>
      </c>
      <c r="M48" s="4">
        <v>1.19</v>
      </c>
      <c r="O48" s="3">
        <v>45306</v>
      </c>
      <c r="P48" s="4" t="s">
        <v>76</v>
      </c>
      <c r="Q48" s="4" t="s">
        <v>77</v>
      </c>
      <c r="R48" s="4" t="s">
        <v>78</v>
      </c>
      <c r="S48" s="4" t="s">
        <v>79</v>
      </c>
      <c r="T48" s="4">
        <v>23890</v>
      </c>
      <c r="U48" s="4">
        <v>1234</v>
      </c>
      <c r="V48" s="4">
        <v>235.6</v>
      </c>
      <c r="W48" s="4">
        <v>46</v>
      </c>
      <c r="X48" s="4">
        <v>2300</v>
      </c>
      <c r="Y48" s="4">
        <v>5.1700000000000003E-2</v>
      </c>
      <c r="Z48" s="4">
        <v>0.19</v>
      </c>
      <c r="AA48" s="4">
        <v>9</v>
      </c>
      <c r="AB48" s="4">
        <v>0.91</v>
      </c>
      <c r="AD48" s="3">
        <v>45306</v>
      </c>
      <c r="AE48" s="4" t="s">
        <v>100</v>
      </c>
      <c r="AF48" s="4" t="s">
        <v>101</v>
      </c>
      <c r="AG48" s="4" t="s">
        <v>102</v>
      </c>
      <c r="AH48" s="4" t="s">
        <v>103</v>
      </c>
      <c r="AI48" s="4">
        <v>246789</v>
      </c>
      <c r="AJ48" s="4">
        <v>3678</v>
      </c>
      <c r="AK48" s="4">
        <v>478.9</v>
      </c>
      <c r="AL48" s="4">
        <v>36</v>
      </c>
      <c r="AM48" s="4">
        <v>207345</v>
      </c>
      <c r="AN48" s="4">
        <v>163456</v>
      </c>
      <c r="AO48" s="4">
        <v>102345</v>
      </c>
      <c r="AP48" s="4">
        <v>70234</v>
      </c>
      <c r="AQ48" s="4">
        <v>47234</v>
      </c>
      <c r="AR48" s="4">
        <v>9234</v>
      </c>
      <c r="AS48" s="4">
        <v>2456</v>
      </c>
      <c r="AT48" s="4">
        <v>589</v>
      </c>
      <c r="AV48" s="5">
        <f>T_Facebook_Ads[[#This Row],[date]]</f>
        <v>45306</v>
      </c>
      <c r="AW48">
        <f t="shared" ca="1" si="0"/>
        <v>4</v>
      </c>
      <c r="AX48">
        <f ca="1">ROUND(T_Facebook_Ads[[#This Row],[impressions]]*RANDBETWEEN(8,12)/10,0)</f>
        <v>42110</v>
      </c>
      <c r="AY48">
        <f ca="1">ROUND(T_Facebook_Ads[[#This Row],[clicks]]*RANDBETWEEN(8,12)/10,0)</f>
        <v>1121</v>
      </c>
      <c r="AZ48">
        <f ca="1">T_Facebook_Ads[[#This Row],[spend]]*RANDBETWEEN(8,12)/10</f>
        <v>145.64000000000001</v>
      </c>
      <c r="BA48">
        <f ca="1">ROUND(T_Facebook_Ads[[#This Row],[conversions]]*RANDBETWEEN(8,12)/10,0)</f>
        <v>14</v>
      </c>
      <c r="BB48">
        <f ca="1">ROUND(T_Facebook_Ads[[#This Row],[video_views]]*RANDBETWEEN(8,12)/10,0)</f>
        <v>8567</v>
      </c>
    </row>
    <row r="49" spans="1:54" ht="15.75" thickBot="1" x14ac:dyDescent="0.3">
      <c r="A49" s="3">
        <v>45306</v>
      </c>
      <c r="B49" s="4" t="s">
        <v>56</v>
      </c>
      <c r="C49" s="4" t="s">
        <v>57</v>
      </c>
      <c r="D49" s="4" t="s">
        <v>58</v>
      </c>
      <c r="E49" s="4" t="s">
        <v>59</v>
      </c>
      <c r="F49" s="4">
        <v>12890</v>
      </c>
      <c r="G49" s="4">
        <v>567</v>
      </c>
      <c r="H49" s="4">
        <v>221.3</v>
      </c>
      <c r="I49" s="4">
        <v>37</v>
      </c>
      <c r="J49" s="4">
        <v>1345</v>
      </c>
      <c r="K49" s="4">
        <v>4.3999999999999997E-2</v>
      </c>
      <c r="L49" s="4">
        <v>10123</v>
      </c>
      <c r="M49" s="4">
        <v>1.27</v>
      </c>
      <c r="O49" s="3">
        <v>45306</v>
      </c>
      <c r="P49" s="4" t="s">
        <v>80</v>
      </c>
      <c r="Q49" s="4" t="s">
        <v>81</v>
      </c>
      <c r="R49" s="4" t="s">
        <v>82</v>
      </c>
      <c r="S49" s="4" t="s">
        <v>83</v>
      </c>
      <c r="T49" s="4">
        <v>43789</v>
      </c>
      <c r="U49" s="4">
        <v>856</v>
      </c>
      <c r="V49" s="4">
        <v>560.9</v>
      </c>
      <c r="W49" s="4">
        <v>22</v>
      </c>
      <c r="X49" s="4">
        <v>1100</v>
      </c>
      <c r="Y49" s="4">
        <v>1.95E-2</v>
      </c>
      <c r="Z49" s="4">
        <v>0.66</v>
      </c>
      <c r="AA49" s="4">
        <v>7</v>
      </c>
      <c r="AB49" s="4">
        <v>0.44</v>
      </c>
      <c r="AD49" s="3">
        <v>45306</v>
      </c>
      <c r="AE49" s="4" t="s">
        <v>104</v>
      </c>
      <c r="AF49" s="4" t="s">
        <v>105</v>
      </c>
      <c r="AG49" s="4" t="s">
        <v>106</v>
      </c>
      <c r="AH49" s="4" t="s">
        <v>107</v>
      </c>
      <c r="AI49" s="4">
        <v>142345</v>
      </c>
      <c r="AJ49" s="4">
        <v>2678</v>
      </c>
      <c r="AK49" s="4">
        <v>734.5</v>
      </c>
      <c r="AL49" s="4">
        <v>73</v>
      </c>
      <c r="AM49" s="4">
        <v>97890</v>
      </c>
      <c r="AN49" s="4">
        <v>72345</v>
      </c>
      <c r="AO49" s="4">
        <v>48901</v>
      </c>
      <c r="AP49" s="4">
        <v>36789</v>
      </c>
      <c r="AQ49" s="4">
        <v>24890</v>
      </c>
      <c r="AR49" s="4">
        <v>4901</v>
      </c>
      <c r="AS49" s="4">
        <v>1356</v>
      </c>
      <c r="AT49" s="4">
        <v>256</v>
      </c>
      <c r="AV49" s="5">
        <f>T_Facebook_Ads[[#This Row],[date]]</f>
        <v>45306</v>
      </c>
      <c r="AW49">
        <f t="shared" ca="1" si="0"/>
        <v>6</v>
      </c>
      <c r="AX49">
        <f ca="1">ROUND(T_Facebook_Ads[[#This Row],[impressions]]*RANDBETWEEN(8,12)/10,0)</f>
        <v>14179</v>
      </c>
      <c r="AY49">
        <f ca="1">ROUND(T_Facebook_Ads[[#This Row],[clicks]]*RANDBETWEEN(8,12)/10,0)</f>
        <v>567</v>
      </c>
      <c r="AZ49">
        <f ca="1">T_Facebook_Ads[[#This Row],[spend]]*RANDBETWEEN(8,12)/10</f>
        <v>177.04000000000002</v>
      </c>
      <c r="BA49">
        <f ca="1">ROUND(T_Facebook_Ads[[#This Row],[conversions]]*RANDBETWEEN(8,12)/10,0)</f>
        <v>44</v>
      </c>
      <c r="BB49">
        <f ca="1">ROUND(T_Facebook_Ads[[#This Row],[video_views]]*RANDBETWEEN(8,12)/10,0)</f>
        <v>1211</v>
      </c>
    </row>
    <row r="50" spans="1:54" ht="15.75" thickBot="1" x14ac:dyDescent="0.3">
      <c r="A50" s="3">
        <v>45306</v>
      </c>
      <c r="B50" s="4" t="s">
        <v>60</v>
      </c>
      <c r="C50" s="4" t="s">
        <v>61</v>
      </c>
      <c r="D50" s="4" t="s">
        <v>62</v>
      </c>
      <c r="E50" s="4" t="s">
        <v>63</v>
      </c>
      <c r="F50" s="4">
        <v>35678</v>
      </c>
      <c r="G50" s="4">
        <v>1289</v>
      </c>
      <c r="H50" s="4">
        <v>196.6</v>
      </c>
      <c r="I50" s="4">
        <v>25</v>
      </c>
      <c r="J50" s="4">
        <v>4678</v>
      </c>
      <c r="K50" s="4">
        <v>3.61E-2</v>
      </c>
      <c r="L50" s="4">
        <v>29345</v>
      </c>
      <c r="M50" s="4">
        <v>1.22</v>
      </c>
      <c r="O50" s="3">
        <v>45306</v>
      </c>
      <c r="P50" s="4" t="s">
        <v>84</v>
      </c>
      <c r="Q50" s="4" t="s">
        <v>85</v>
      </c>
      <c r="R50" s="4" t="s">
        <v>86</v>
      </c>
      <c r="S50" s="4" t="s">
        <v>87</v>
      </c>
      <c r="T50" s="4">
        <v>67234</v>
      </c>
      <c r="U50" s="4">
        <v>2234</v>
      </c>
      <c r="V50" s="4">
        <v>411.7</v>
      </c>
      <c r="W50" s="4">
        <v>65</v>
      </c>
      <c r="X50" s="4">
        <v>3250</v>
      </c>
      <c r="Y50" s="4">
        <v>3.32E-2</v>
      </c>
      <c r="Z50" s="4">
        <v>0.18</v>
      </c>
      <c r="AA50" s="4">
        <v>8</v>
      </c>
      <c r="AB50" s="4">
        <v>0.66</v>
      </c>
      <c r="AD50" s="3">
        <v>45306</v>
      </c>
      <c r="AE50" s="4" t="s">
        <v>108</v>
      </c>
      <c r="AF50" s="4" t="s">
        <v>109</v>
      </c>
      <c r="AG50" s="4" t="s">
        <v>110</v>
      </c>
      <c r="AH50" s="4" t="s">
        <v>111</v>
      </c>
      <c r="AI50" s="4">
        <v>212345</v>
      </c>
      <c r="AJ50" s="4">
        <v>3345</v>
      </c>
      <c r="AK50" s="4">
        <v>401.1</v>
      </c>
      <c r="AL50" s="4">
        <v>28</v>
      </c>
      <c r="AM50" s="4">
        <v>167890</v>
      </c>
      <c r="AN50" s="4">
        <v>128234</v>
      </c>
      <c r="AO50" s="4">
        <v>101234</v>
      </c>
      <c r="AP50" s="4">
        <v>65234</v>
      </c>
      <c r="AQ50" s="4">
        <v>39456</v>
      </c>
      <c r="AR50" s="4">
        <v>7789</v>
      </c>
      <c r="AS50" s="4">
        <v>2145</v>
      </c>
      <c r="AT50" s="4">
        <v>512</v>
      </c>
      <c r="AV50" s="5">
        <f>T_Facebook_Ads[[#This Row],[date]]</f>
        <v>45306</v>
      </c>
      <c r="AW50">
        <f t="shared" ca="1" si="0"/>
        <v>7</v>
      </c>
      <c r="AX50">
        <f ca="1">ROUND(T_Facebook_Ads[[#This Row],[impressions]]*RANDBETWEEN(8,12)/10,0)</f>
        <v>28542</v>
      </c>
      <c r="AY50">
        <f ca="1">ROUND(T_Facebook_Ads[[#This Row],[clicks]]*RANDBETWEEN(8,12)/10,0)</f>
        <v>1418</v>
      </c>
      <c r="AZ50">
        <f ca="1">T_Facebook_Ads[[#This Row],[spend]]*RANDBETWEEN(8,12)/10</f>
        <v>157.28</v>
      </c>
      <c r="BA50">
        <f ca="1">ROUND(T_Facebook_Ads[[#This Row],[conversions]]*RANDBETWEEN(8,12)/10,0)</f>
        <v>20</v>
      </c>
      <c r="BB50">
        <f ca="1">ROUND(T_Facebook_Ads[[#This Row],[video_views]]*RANDBETWEEN(8,12)/10,0)</f>
        <v>4210</v>
      </c>
    </row>
    <row r="51" spans="1:54" ht="15.75" thickBot="1" x14ac:dyDescent="0.3">
      <c r="A51" s="3">
        <v>45306</v>
      </c>
      <c r="B51" s="4" t="s">
        <v>64</v>
      </c>
      <c r="C51" s="4" t="s">
        <v>65</v>
      </c>
      <c r="D51" s="4" t="s">
        <v>66</v>
      </c>
      <c r="E51" s="4" t="s">
        <v>67</v>
      </c>
      <c r="F51" s="4">
        <v>68456</v>
      </c>
      <c r="G51" s="4">
        <v>248</v>
      </c>
      <c r="H51" s="4">
        <v>87.6</v>
      </c>
      <c r="I51" s="4">
        <v>6</v>
      </c>
      <c r="J51" s="4">
        <v>46234</v>
      </c>
      <c r="K51" s="4">
        <v>3.5999999999999999E-3</v>
      </c>
      <c r="L51" s="4">
        <v>56789</v>
      </c>
      <c r="M51" s="4">
        <v>1.21</v>
      </c>
      <c r="O51" s="3">
        <v>45306</v>
      </c>
      <c r="P51" s="4" t="s">
        <v>88</v>
      </c>
      <c r="Q51" s="4" t="s">
        <v>89</v>
      </c>
      <c r="R51" s="4" t="s">
        <v>90</v>
      </c>
      <c r="S51" s="4" t="s">
        <v>59</v>
      </c>
      <c r="T51" s="4">
        <v>128901</v>
      </c>
      <c r="U51" s="4">
        <v>467</v>
      </c>
      <c r="V51" s="4">
        <v>126.7</v>
      </c>
      <c r="W51" s="4">
        <v>13</v>
      </c>
      <c r="X51" s="4">
        <v>650</v>
      </c>
      <c r="Y51" s="4">
        <v>3.5999999999999999E-3</v>
      </c>
      <c r="Z51" s="4">
        <v>0.27</v>
      </c>
      <c r="AA51" s="4">
        <v>7</v>
      </c>
      <c r="AB51" s="4">
        <v>0.34</v>
      </c>
      <c r="AD51" s="3">
        <v>45306</v>
      </c>
      <c r="AE51" s="4" t="s">
        <v>112</v>
      </c>
      <c r="AF51" s="4" t="s">
        <v>113</v>
      </c>
      <c r="AG51" s="4" t="s">
        <v>114</v>
      </c>
      <c r="AH51" s="4" t="s">
        <v>115</v>
      </c>
      <c r="AI51" s="4">
        <v>378901</v>
      </c>
      <c r="AJ51" s="4">
        <v>6123</v>
      </c>
      <c r="AK51" s="4">
        <v>945.6</v>
      </c>
      <c r="AL51" s="4">
        <v>96</v>
      </c>
      <c r="AM51" s="4">
        <v>312345</v>
      </c>
      <c r="AN51" s="4">
        <v>251234</v>
      </c>
      <c r="AO51" s="4">
        <v>201234</v>
      </c>
      <c r="AP51" s="4">
        <v>143456</v>
      </c>
      <c r="AQ51" s="4">
        <v>95234</v>
      </c>
      <c r="AR51" s="4">
        <v>16567</v>
      </c>
      <c r="AS51" s="4">
        <v>4823</v>
      </c>
      <c r="AT51" s="4">
        <v>1312</v>
      </c>
      <c r="AV51" s="5">
        <f>T_Facebook_Ads[[#This Row],[date]]</f>
        <v>45306</v>
      </c>
      <c r="AW51">
        <f t="shared" ca="1" si="0"/>
        <v>8</v>
      </c>
      <c r="AX51">
        <f ca="1">ROUND(T_Facebook_Ads[[#This Row],[impressions]]*RANDBETWEEN(8,12)/10,0)</f>
        <v>68456</v>
      </c>
      <c r="AY51">
        <f ca="1">ROUND(T_Facebook_Ads[[#This Row],[clicks]]*RANDBETWEEN(8,12)/10,0)</f>
        <v>248</v>
      </c>
      <c r="AZ51">
        <f ca="1">T_Facebook_Ads[[#This Row],[spend]]*RANDBETWEEN(8,12)/10</f>
        <v>105.11999999999998</v>
      </c>
      <c r="BA51">
        <f ca="1">ROUND(T_Facebook_Ads[[#This Row],[conversions]]*RANDBETWEEN(8,12)/10,0)</f>
        <v>7</v>
      </c>
      <c r="BB51">
        <f ca="1">ROUND(T_Facebook_Ads[[#This Row],[video_views]]*RANDBETWEEN(8,12)/10,0)</f>
        <v>36987</v>
      </c>
    </row>
    <row r="52" spans="1:54" ht="15.75" thickBot="1" x14ac:dyDescent="0.3">
      <c r="A52" s="3">
        <v>45307</v>
      </c>
      <c r="B52" s="4" t="s">
        <v>52</v>
      </c>
      <c r="C52" s="4" t="s">
        <v>53</v>
      </c>
      <c r="D52" s="4" t="s">
        <v>54</v>
      </c>
      <c r="E52" s="4" t="s">
        <v>55</v>
      </c>
      <c r="F52" s="4">
        <v>50234</v>
      </c>
      <c r="G52" s="4">
        <v>1023</v>
      </c>
      <c r="H52" s="4">
        <v>143.80000000000001</v>
      </c>
      <c r="I52" s="4">
        <v>16</v>
      </c>
      <c r="J52" s="4">
        <v>9234</v>
      </c>
      <c r="K52" s="4">
        <v>2.0400000000000001E-2</v>
      </c>
      <c r="L52" s="4">
        <v>42345</v>
      </c>
      <c r="M52" s="4">
        <v>1.19</v>
      </c>
      <c r="O52" s="3">
        <v>45307</v>
      </c>
      <c r="P52" s="4" t="s">
        <v>76</v>
      </c>
      <c r="Q52" s="4" t="s">
        <v>77</v>
      </c>
      <c r="R52" s="4" t="s">
        <v>78</v>
      </c>
      <c r="S52" s="4" t="s">
        <v>79</v>
      </c>
      <c r="T52" s="4">
        <v>25456</v>
      </c>
      <c r="U52" s="4">
        <v>1345</v>
      </c>
      <c r="V52" s="4">
        <v>257.3</v>
      </c>
      <c r="W52" s="4">
        <v>51</v>
      </c>
      <c r="X52" s="4">
        <v>2550</v>
      </c>
      <c r="Y52" s="4">
        <v>5.28E-2</v>
      </c>
      <c r="Z52" s="4">
        <v>0.19</v>
      </c>
      <c r="AA52" s="4">
        <v>9</v>
      </c>
      <c r="AB52" s="4">
        <v>0.92</v>
      </c>
      <c r="AD52" s="3">
        <v>45307</v>
      </c>
      <c r="AE52" s="4" t="s">
        <v>100</v>
      </c>
      <c r="AF52" s="4" t="s">
        <v>101</v>
      </c>
      <c r="AG52" s="4" t="s">
        <v>102</v>
      </c>
      <c r="AH52" s="4" t="s">
        <v>103</v>
      </c>
      <c r="AI52" s="4">
        <v>289012</v>
      </c>
      <c r="AJ52" s="4">
        <v>4234</v>
      </c>
      <c r="AK52" s="4">
        <v>556.70000000000005</v>
      </c>
      <c r="AL52" s="4">
        <v>43</v>
      </c>
      <c r="AM52" s="4">
        <v>234567</v>
      </c>
      <c r="AN52" s="4">
        <v>182345</v>
      </c>
      <c r="AO52" s="4">
        <v>114567</v>
      </c>
      <c r="AP52" s="4">
        <v>77234</v>
      </c>
      <c r="AQ52" s="4">
        <v>51234</v>
      </c>
      <c r="AR52" s="4">
        <v>10345</v>
      </c>
      <c r="AS52" s="4">
        <v>2789</v>
      </c>
      <c r="AT52" s="4">
        <v>656</v>
      </c>
      <c r="AV52" s="5">
        <f>T_Facebook_Ads[[#This Row],[date]]</f>
        <v>45307</v>
      </c>
      <c r="AW52">
        <f t="shared" ca="1" si="0"/>
        <v>3</v>
      </c>
      <c r="AX52">
        <f ca="1">ROUND(T_Facebook_Ads[[#This Row],[impressions]]*RANDBETWEEN(8,12)/10,0)</f>
        <v>60281</v>
      </c>
      <c r="AY52">
        <f ca="1">ROUND(T_Facebook_Ads[[#This Row],[clicks]]*RANDBETWEEN(8,12)/10,0)</f>
        <v>1125</v>
      </c>
      <c r="AZ52">
        <f ca="1">T_Facebook_Ads[[#This Row],[spend]]*RANDBETWEEN(8,12)/10</f>
        <v>129.42000000000002</v>
      </c>
      <c r="BA52">
        <f ca="1">ROUND(T_Facebook_Ads[[#This Row],[conversions]]*RANDBETWEEN(8,12)/10,0)</f>
        <v>16</v>
      </c>
      <c r="BB52">
        <f ca="1">ROUND(T_Facebook_Ads[[#This Row],[video_views]]*RANDBETWEEN(8,12)/10,0)</f>
        <v>11081</v>
      </c>
    </row>
    <row r="53" spans="1:54" ht="15.75" thickBot="1" x14ac:dyDescent="0.3">
      <c r="A53" s="3">
        <v>45307</v>
      </c>
      <c r="B53" s="4" t="s">
        <v>56</v>
      </c>
      <c r="C53" s="4" t="s">
        <v>57</v>
      </c>
      <c r="D53" s="4" t="s">
        <v>58</v>
      </c>
      <c r="E53" s="4" t="s">
        <v>59</v>
      </c>
      <c r="F53" s="4">
        <v>14234</v>
      </c>
      <c r="G53" s="4">
        <v>678</v>
      </c>
      <c r="H53" s="4">
        <v>248.5</v>
      </c>
      <c r="I53" s="4">
        <v>42</v>
      </c>
      <c r="J53" s="4">
        <v>1567</v>
      </c>
      <c r="K53" s="4">
        <v>4.7699999999999999E-2</v>
      </c>
      <c r="L53" s="4">
        <v>11234</v>
      </c>
      <c r="M53" s="4">
        <v>1.27</v>
      </c>
      <c r="O53" s="3">
        <v>45307</v>
      </c>
      <c r="P53" s="4" t="s">
        <v>80</v>
      </c>
      <c r="Q53" s="4" t="s">
        <v>81</v>
      </c>
      <c r="R53" s="4" t="s">
        <v>82</v>
      </c>
      <c r="S53" s="4" t="s">
        <v>83</v>
      </c>
      <c r="T53" s="4">
        <v>45678</v>
      </c>
      <c r="U53" s="4">
        <v>901</v>
      </c>
      <c r="V53" s="4">
        <v>584.5</v>
      </c>
      <c r="W53" s="4">
        <v>24</v>
      </c>
      <c r="X53" s="4">
        <v>1200</v>
      </c>
      <c r="Y53" s="4">
        <v>1.9699999999999999E-2</v>
      </c>
      <c r="Z53" s="4">
        <v>0.65</v>
      </c>
      <c r="AA53" s="4">
        <v>7</v>
      </c>
      <c r="AB53" s="4">
        <v>0.45</v>
      </c>
      <c r="AD53" s="3">
        <v>45307</v>
      </c>
      <c r="AE53" s="4" t="s">
        <v>104</v>
      </c>
      <c r="AF53" s="4" t="s">
        <v>105</v>
      </c>
      <c r="AG53" s="4" t="s">
        <v>106</v>
      </c>
      <c r="AH53" s="4" t="s">
        <v>107</v>
      </c>
      <c r="AI53" s="4">
        <v>156789</v>
      </c>
      <c r="AJ53" s="4">
        <v>3012</v>
      </c>
      <c r="AK53" s="4">
        <v>812.3</v>
      </c>
      <c r="AL53" s="4">
        <v>82</v>
      </c>
      <c r="AM53" s="4">
        <v>109876</v>
      </c>
      <c r="AN53" s="4">
        <v>81234</v>
      </c>
      <c r="AO53" s="4">
        <v>54678</v>
      </c>
      <c r="AP53" s="4">
        <v>41234</v>
      </c>
      <c r="AQ53" s="4">
        <v>27567</v>
      </c>
      <c r="AR53" s="4">
        <v>5456</v>
      </c>
      <c r="AS53" s="4">
        <v>1567</v>
      </c>
      <c r="AT53" s="4">
        <v>289</v>
      </c>
      <c r="AV53" s="5">
        <f>T_Facebook_Ads[[#This Row],[date]]</f>
        <v>45307</v>
      </c>
      <c r="AW53">
        <f t="shared" ca="1" si="0"/>
        <v>4</v>
      </c>
      <c r="AX53">
        <f ca="1">ROUND(T_Facebook_Ads[[#This Row],[impressions]]*RANDBETWEEN(8,12)/10,0)</f>
        <v>17081</v>
      </c>
      <c r="AY53">
        <f ca="1">ROUND(T_Facebook_Ads[[#This Row],[clicks]]*RANDBETWEEN(8,12)/10,0)</f>
        <v>542</v>
      </c>
      <c r="AZ53">
        <f ca="1">T_Facebook_Ads[[#This Row],[spend]]*RANDBETWEEN(8,12)/10</f>
        <v>298.2</v>
      </c>
      <c r="BA53">
        <f ca="1">ROUND(T_Facebook_Ads[[#This Row],[conversions]]*RANDBETWEEN(8,12)/10,0)</f>
        <v>46</v>
      </c>
      <c r="BB53">
        <f ca="1">ROUND(T_Facebook_Ads[[#This Row],[video_views]]*RANDBETWEEN(8,12)/10,0)</f>
        <v>1724</v>
      </c>
    </row>
    <row r="54" spans="1:54" ht="15.75" thickBot="1" x14ac:dyDescent="0.3">
      <c r="A54" s="3">
        <v>45307</v>
      </c>
      <c r="B54" s="4" t="s">
        <v>60</v>
      </c>
      <c r="C54" s="4" t="s">
        <v>61</v>
      </c>
      <c r="D54" s="4" t="s">
        <v>62</v>
      </c>
      <c r="E54" s="4" t="s">
        <v>63</v>
      </c>
      <c r="F54" s="4">
        <v>38456</v>
      </c>
      <c r="G54" s="4">
        <v>1423</v>
      </c>
      <c r="H54" s="4">
        <v>218.7</v>
      </c>
      <c r="I54" s="4">
        <v>30</v>
      </c>
      <c r="J54" s="4">
        <v>5123</v>
      </c>
      <c r="K54" s="4">
        <v>3.6999999999999998E-2</v>
      </c>
      <c r="L54" s="4">
        <v>31234</v>
      </c>
      <c r="M54" s="4">
        <v>1.23</v>
      </c>
      <c r="O54" s="3">
        <v>45307</v>
      </c>
      <c r="P54" s="4" t="s">
        <v>84</v>
      </c>
      <c r="Q54" s="4" t="s">
        <v>85</v>
      </c>
      <c r="R54" s="4" t="s">
        <v>86</v>
      </c>
      <c r="S54" s="4" t="s">
        <v>87</v>
      </c>
      <c r="T54" s="4">
        <v>70123</v>
      </c>
      <c r="U54" s="4">
        <v>2378</v>
      </c>
      <c r="V54" s="4">
        <v>435.8</v>
      </c>
      <c r="W54" s="4">
        <v>69</v>
      </c>
      <c r="X54" s="4">
        <v>3450</v>
      </c>
      <c r="Y54" s="4">
        <v>3.39E-2</v>
      </c>
      <c r="Z54" s="4">
        <v>0.18</v>
      </c>
      <c r="AA54" s="4">
        <v>8</v>
      </c>
      <c r="AB54" s="4">
        <v>0.67</v>
      </c>
      <c r="AD54" s="3">
        <v>45307</v>
      </c>
      <c r="AE54" s="4" t="s">
        <v>108</v>
      </c>
      <c r="AF54" s="4" t="s">
        <v>109</v>
      </c>
      <c r="AG54" s="4" t="s">
        <v>110</v>
      </c>
      <c r="AH54" s="4" t="s">
        <v>111</v>
      </c>
      <c r="AI54" s="4">
        <v>245678</v>
      </c>
      <c r="AJ54" s="4">
        <v>3890</v>
      </c>
      <c r="AK54" s="4">
        <v>467.8</v>
      </c>
      <c r="AL54" s="4">
        <v>34</v>
      </c>
      <c r="AM54" s="4">
        <v>195678</v>
      </c>
      <c r="AN54" s="4">
        <v>148234</v>
      </c>
      <c r="AO54" s="4">
        <v>117234</v>
      </c>
      <c r="AP54" s="4">
        <v>75234</v>
      </c>
      <c r="AQ54" s="4">
        <v>45789</v>
      </c>
      <c r="AR54" s="4">
        <v>8567</v>
      </c>
      <c r="AS54" s="4">
        <v>2345</v>
      </c>
      <c r="AT54" s="4">
        <v>567</v>
      </c>
      <c r="AV54" s="5">
        <f>T_Facebook_Ads[[#This Row],[date]]</f>
        <v>45307</v>
      </c>
      <c r="AW54">
        <f t="shared" ca="1" si="0"/>
        <v>8</v>
      </c>
      <c r="AX54">
        <f ca="1">ROUND(T_Facebook_Ads[[#This Row],[impressions]]*RANDBETWEEN(8,12)/10,0)</f>
        <v>46147</v>
      </c>
      <c r="AY54">
        <f ca="1">ROUND(T_Facebook_Ads[[#This Row],[clicks]]*RANDBETWEEN(8,12)/10,0)</f>
        <v>1423</v>
      </c>
      <c r="AZ54">
        <f ca="1">T_Facebook_Ads[[#This Row],[spend]]*RANDBETWEEN(8,12)/10</f>
        <v>196.82999999999998</v>
      </c>
      <c r="BA54">
        <f ca="1">ROUND(T_Facebook_Ads[[#This Row],[conversions]]*RANDBETWEEN(8,12)/10,0)</f>
        <v>33</v>
      </c>
      <c r="BB54">
        <f ca="1">ROUND(T_Facebook_Ads[[#This Row],[video_views]]*RANDBETWEEN(8,12)/10,0)</f>
        <v>5635</v>
      </c>
    </row>
    <row r="55" spans="1:54" ht="15.75" thickBot="1" x14ac:dyDescent="0.3">
      <c r="A55" s="3">
        <v>45307</v>
      </c>
      <c r="B55" s="4" t="s">
        <v>64</v>
      </c>
      <c r="C55" s="4" t="s">
        <v>65</v>
      </c>
      <c r="D55" s="4" t="s">
        <v>66</v>
      </c>
      <c r="E55" s="4" t="s">
        <v>67</v>
      </c>
      <c r="F55" s="4">
        <v>73456</v>
      </c>
      <c r="G55" s="4">
        <v>267</v>
      </c>
      <c r="H55" s="4">
        <v>94.2</v>
      </c>
      <c r="I55" s="4">
        <v>7</v>
      </c>
      <c r="J55" s="4">
        <v>49890</v>
      </c>
      <c r="K55" s="4">
        <v>3.5999999999999999E-3</v>
      </c>
      <c r="L55" s="4">
        <v>59567</v>
      </c>
      <c r="M55" s="4">
        <v>1.24</v>
      </c>
      <c r="O55" s="3">
        <v>45307</v>
      </c>
      <c r="P55" s="4" t="s">
        <v>88</v>
      </c>
      <c r="Q55" s="4" t="s">
        <v>89</v>
      </c>
      <c r="R55" s="4" t="s">
        <v>90</v>
      </c>
      <c r="S55" s="4" t="s">
        <v>59</v>
      </c>
      <c r="T55" s="4">
        <v>132567</v>
      </c>
      <c r="U55" s="4">
        <v>489</v>
      </c>
      <c r="V55" s="4">
        <v>130.5</v>
      </c>
      <c r="W55" s="4">
        <v>14</v>
      </c>
      <c r="X55" s="4">
        <v>700</v>
      </c>
      <c r="Y55" s="4">
        <v>3.7000000000000002E-3</v>
      </c>
      <c r="Z55" s="4">
        <v>0.27</v>
      </c>
      <c r="AA55" s="4">
        <v>7</v>
      </c>
      <c r="AB55" s="4">
        <v>0.35</v>
      </c>
      <c r="AD55" s="3">
        <v>45307</v>
      </c>
      <c r="AE55" s="4" t="s">
        <v>112</v>
      </c>
      <c r="AF55" s="4" t="s">
        <v>113</v>
      </c>
      <c r="AG55" s="4" t="s">
        <v>114</v>
      </c>
      <c r="AH55" s="4" t="s">
        <v>115</v>
      </c>
      <c r="AI55" s="4">
        <v>423456</v>
      </c>
      <c r="AJ55" s="4">
        <v>6890</v>
      </c>
      <c r="AK55" s="4">
        <v>1056.8</v>
      </c>
      <c r="AL55" s="4">
        <v>107</v>
      </c>
      <c r="AM55" s="4">
        <v>356789</v>
      </c>
      <c r="AN55" s="4">
        <v>289234</v>
      </c>
      <c r="AO55" s="4">
        <v>231456</v>
      </c>
      <c r="AP55" s="4">
        <v>164567</v>
      </c>
      <c r="AQ55" s="4">
        <v>109234</v>
      </c>
      <c r="AR55" s="4">
        <v>18890</v>
      </c>
      <c r="AS55" s="4">
        <v>5456</v>
      </c>
      <c r="AT55" s="4">
        <v>1489</v>
      </c>
      <c r="AV55" s="5">
        <f>T_Facebook_Ads[[#This Row],[date]]</f>
        <v>45307</v>
      </c>
      <c r="AW55">
        <f t="shared" ca="1" si="0"/>
        <v>2</v>
      </c>
      <c r="AX55">
        <f ca="1">ROUND(T_Facebook_Ads[[#This Row],[impressions]]*RANDBETWEEN(8,12)/10,0)</f>
        <v>66110</v>
      </c>
      <c r="AY55">
        <f ca="1">ROUND(T_Facebook_Ads[[#This Row],[clicks]]*RANDBETWEEN(8,12)/10,0)</f>
        <v>267</v>
      </c>
      <c r="AZ55">
        <f ca="1">T_Facebook_Ads[[#This Row],[spend]]*RANDBETWEEN(8,12)/10</f>
        <v>113.04</v>
      </c>
      <c r="BA55">
        <f ca="1">ROUND(T_Facebook_Ads[[#This Row],[conversions]]*RANDBETWEEN(8,12)/10,0)</f>
        <v>6</v>
      </c>
      <c r="BB55">
        <f ca="1">ROUND(T_Facebook_Ads[[#This Row],[video_views]]*RANDBETWEEN(8,12)/10,0)</f>
        <v>54879</v>
      </c>
    </row>
    <row r="56" spans="1:54" ht="15.75" thickBot="1" x14ac:dyDescent="0.3">
      <c r="A56" s="3">
        <v>45308</v>
      </c>
      <c r="B56" s="4" t="s">
        <v>52</v>
      </c>
      <c r="C56" s="4" t="s">
        <v>53</v>
      </c>
      <c r="D56" s="4" t="s">
        <v>54</v>
      </c>
      <c r="E56" s="4" t="s">
        <v>55</v>
      </c>
      <c r="F56" s="4">
        <v>51789</v>
      </c>
      <c r="G56" s="4">
        <v>1089</v>
      </c>
      <c r="H56" s="4">
        <v>152.30000000000001</v>
      </c>
      <c r="I56" s="4">
        <v>18</v>
      </c>
      <c r="J56" s="4">
        <v>9567</v>
      </c>
      <c r="K56" s="4">
        <v>2.1000000000000001E-2</v>
      </c>
      <c r="L56" s="4">
        <v>43567</v>
      </c>
      <c r="M56" s="4">
        <v>1.19</v>
      </c>
      <c r="O56" s="3">
        <v>45308</v>
      </c>
      <c r="P56" s="4" t="s">
        <v>76</v>
      </c>
      <c r="Q56" s="4" t="s">
        <v>77</v>
      </c>
      <c r="R56" s="4" t="s">
        <v>78</v>
      </c>
      <c r="S56" s="4" t="s">
        <v>79</v>
      </c>
      <c r="T56" s="4">
        <v>26789</v>
      </c>
      <c r="U56" s="4">
        <v>1456</v>
      </c>
      <c r="V56" s="4">
        <v>278.89999999999998</v>
      </c>
      <c r="W56" s="4">
        <v>54</v>
      </c>
      <c r="X56" s="4">
        <v>2700</v>
      </c>
      <c r="Y56" s="4">
        <v>5.4399999999999997E-2</v>
      </c>
      <c r="Z56" s="4">
        <v>0.19</v>
      </c>
      <c r="AA56" s="4">
        <v>9</v>
      </c>
      <c r="AB56" s="4">
        <v>0.93</v>
      </c>
      <c r="AD56" s="3">
        <v>45308</v>
      </c>
      <c r="AE56" s="4" t="s">
        <v>100</v>
      </c>
      <c r="AF56" s="4" t="s">
        <v>101</v>
      </c>
      <c r="AG56" s="4" t="s">
        <v>102</v>
      </c>
      <c r="AH56" s="4" t="s">
        <v>103</v>
      </c>
      <c r="AI56" s="4">
        <v>301234</v>
      </c>
      <c r="AJ56" s="4">
        <v>4456</v>
      </c>
      <c r="AK56" s="4">
        <v>589.9</v>
      </c>
      <c r="AL56" s="4">
        <v>46</v>
      </c>
      <c r="AM56" s="4">
        <v>245678</v>
      </c>
      <c r="AN56" s="4">
        <v>191234</v>
      </c>
      <c r="AO56" s="4">
        <v>119234</v>
      </c>
      <c r="AP56" s="4">
        <v>80234</v>
      </c>
      <c r="AQ56" s="4">
        <v>53456</v>
      </c>
      <c r="AR56" s="4">
        <v>10789</v>
      </c>
      <c r="AS56" s="4">
        <v>2901</v>
      </c>
      <c r="AT56" s="4">
        <v>689</v>
      </c>
      <c r="AV56" s="5">
        <f>T_Facebook_Ads[[#This Row],[date]]</f>
        <v>45308</v>
      </c>
      <c r="AW56">
        <f t="shared" ca="1" si="0"/>
        <v>8</v>
      </c>
      <c r="AX56">
        <f ca="1">ROUND(T_Facebook_Ads[[#This Row],[impressions]]*RANDBETWEEN(8,12)/10,0)</f>
        <v>56968</v>
      </c>
      <c r="AY56">
        <f ca="1">ROUND(T_Facebook_Ads[[#This Row],[clicks]]*RANDBETWEEN(8,12)/10,0)</f>
        <v>1307</v>
      </c>
      <c r="AZ56">
        <f ca="1">T_Facebook_Ads[[#This Row],[spend]]*RANDBETWEEN(8,12)/10</f>
        <v>121.84</v>
      </c>
      <c r="BA56">
        <f ca="1">ROUND(T_Facebook_Ads[[#This Row],[conversions]]*RANDBETWEEN(8,12)/10,0)</f>
        <v>18</v>
      </c>
      <c r="BB56">
        <f ca="1">ROUND(T_Facebook_Ads[[#This Row],[video_views]]*RANDBETWEEN(8,12)/10,0)</f>
        <v>7654</v>
      </c>
    </row>
    <row r="57" spans="1:54" ht="15.75" thickBot="1" x14ac:dyDescent="0.3">
      <c r="A57" s="3">
        <v>45308</v>
      </c>
      <c r="B57" s="4" t="s">
        <v>56</v>
      </c>
      <c r="C57" s="4" t="s">
        <v>57</v>
      </c>
      <c r="D57" s="4" t="s">
        <v>58</v>
      </c>
      <c r="E57" s="4" t="s">
        <v>59</v>
      </c>
      <c r="F57" s="4">
        <v>15234</v>
      </c>
      <c r="G57" s="4">
        <v>734</v>
      </c>
      <c r="H57" s="4">
        <v>264.7</v>
      </c>
      <c r="I57" s="4">
        <v>46</v>
      </c>
      <c r="J57" s="4">
        <v>1678</v>
      </c>
      <c r="K57" s="4">
        <v>4.82E-2</v>
      </c>
      <c r="L57" s="4">
        <v>12123</v>
      </c>
      <c r="M57" s="4">
        <v>1.26</v>
      </c>
      <c r="O57" s="3">
        <v>45308</v>
      </c>
      <c r="P57" s="4" t="s">
        <v>80</v>
      </c>
      <c r="Q57" s="4" t="s">
        <v>81</v>
      </c>
      <c r="R57" s="4" t="s">
        <v>82</v>
      </c>
      <c r="S57" s="4" t="s">
        <v>83</v>
      </c>
      <c r="T57" s="4">
        <v>47234</v>
      </c>
      <c r="U57" s="4">
        <v>967</v>
      </c>
      <c r="V57" s="4">
        <v>605.6</v>
      </c>
      <c r="W57" s="4">
        <v>25</v>
      </c>
      <c r="X57" s="4">
        <v>1250</v>
      </c>
      <c r="Y57" s="4">
        <v>2.0500000000000001E-2</v>
      </c>
      <c r="Z57" s="4">
        <v>0.63</v>
      </c>
      <c r="AA57" s="4">
        <v>7</v>
      </c>
      <c r="AB57" s="4">
        <v>0.46</v>
      </c>
      <c r="AD57" s="3">
        <v>45308</v>
      </c>
      <c r="AE57" s="4" t="s">
        <v>104</v>
      </c>
      <c r="AF57" s="4" t="s">
        <v>105</v>
      </c>
      <c r="AG57" s="4" t="s">
        <v>106</v>
      </c>
      <c r="AH57" s="4" t="s">
        <v>107</v>
      </c>
      <c r="AI57" s="4">
        <v>167890</v>
      </c>
      <c r="AJ57" s="4">
        <v>3234</v>
      </c>
      <c r="AK57" s="4">
        <v>845.6</v>
      </c>
      <c r="AL57" s="4">
        <v>85</v>
      </c>
      <c r="AM57" s="4">
        <v>117890</v>
      </c>
      <c r="AN57" s="4">
        <v>87234</v>
      </c>
      <c r="AO57" s="4">
        <v>58901</v>
      </c>
      <c r="AP57" s="4">
        <v>44234</v>
      </c>
      <c r="AQ57" s="4">
        <v>29567</v>
      </c>
      <c r="AR57" s="4">
        <v>5678</v>
      </c>
      <c r="AS57" s="4">
        <v>1634</v>
      </c>
      <c r="AT57" s="4">
        <v>312</v>
      </c>
      <c r="AV57" s="5">
        <f>T_Facebook_Ads[[#This Row],[date]]</f>
        <v>45308</v>
      </c>
      <c r="AW57">
        <f t="shared" ca="1" si="0"/>
        <v>4</v>
      </c>
      <c r="AX57">
        <f ca="1">ROUND(T_Facebook_Ads[[#This Row],[impressions]]*RANDBETWEEN(8,12)/10,0)</f>
        <v>15234</v>
      </c>
      <c r="AY57">
        <f ca="1">ROUND(T_Facebook_Ads[[#This Row],[clicks]]*RANDBETWEEN(8,12)/10,0)</f>
        <v>807</v>
      </c>
      <c r="AZ57">
        <f ca="1">T_Facebook_Ads[[#This Row],[spend]]*RANDBETWEEN(8,12)/10</f>
        <v>211.76</v>
      </c>
      <c r="BA57">
        <f ca="1">ROUND(T_Facebook_Ads[[#This Row],[conversions]]*RANDBETWEEN(8,12)/10,0)</f>
        <v>46</v>
      </c>
      <c r="BB57">
        <f ca="1">ROUND(T_Facebook_Ads[[#This Row],[video_views]]*RANDBETWEEN(8,12)/10,0)</f>
        <v>1342</v>
      </c>
    </row>
    <row r="58" spans="1:54" ht="15.75" thickBot="1" x14ac:dyDescent="0.3">
      <c r="A58" s="3">
        <v>45308</v>
      </c>
      <c r="B58" s="4" t="s">
        <v>60</v>
      </c>
      <c r="C58" s="4" t="s">
        <v>61</v>
      </c>
      <c r="D58" s="4" t="s">
        <v>62</v>
      </c>
      <c r="E58" s="4" t="s">
        <v>63</v>
      </c>
      <c r="F58" s="4">
        <v>40123</v>
      </c>
      <c r="G58" s="4">
        <v>1534</v>
      </c>
      <c r="H58" s="4">
        <v>232.8</v>
      </c>
      <c r="I58" s="4">
        <v>33</v>
      </c>
      <c r="J58" s="4">
        <v>5456</v>
      </c>
      <c r="K58" s="4">
        <v>3.8199999999999998E-2</v>
      </c>
      <c r="L58" s="4">
        <v>32890</v>
      </c>
      <c r="M58" s="4">
        <v>1.22</v>
      </c>
      <c r="O58" s="3">
        <v>45308</v>
      </c>
      <c r="P58" s="4" t="s">
        <v>84</v>
      </c>
      <c r="Q58" s="4" t="s">
        <v>85</v>
      </c>
      <c r="R58" s="4" t="s">
        <v>86</v>
      </c>
      <c r="S58" s="4" t="s">
        <v>87</v>
      </c>
      <c r="T58" s="4">
        <v>72456</v>
      </c>
      <c r="U58" s="4">
        <v>2489</v>
      </c>
      <c r="V58" s="4">
        <v>450.7</v>
      </c>
      <c r="W58" s="4">
        <v>72</v>
      </c>
      <c r="X58" s="4">
        <v>3600</v>
      </c>
      <c r="Y58" s="4">
        <v>3.44E-2</v>
      </c>
      <c r="Z58" s="4">
        <v>0.18</v>
      </c>
      <c r="AA58" s="4">
        <v>8</v>
      </c>
      <c r="AB58" s="4">
        <v>0.68</v>
      </c>
      <c r="AD58" s="3">
        <v>45308</v>
      </c>
      <c r="AE58" s="4" t="s">
        <v>108</v>
      </c>
      <c r="AF58" s="4" t="s">
        <v>109</v>
      </c>
      <c r="AG58" s="4" t="s">
        <v>110</v>
      </c>
      <c r="AH58" s="4" t="s">
        <v>111</v>
      </c>
      <c r="AI58" s="4">
        <v>256789</v>
      </c>
      <c r="AJ58" s="4">
        <v>4012</v>
      </c>
      <c r="AK58" s="4">
        <v>489.2</v>
      </c>
      <c r="AL58" s="4">
        <v>36</v>
      </c>
      <c r="AM58" s="4">
        <v>201234</v>
      </c>
      <c r="AN58" s="4">
        <v>152345</v>
      </c>
      <c r="AO58" s="4">
        <v>120456</v>
      </c>
      <c r="AP58" s="4">
        <v>77890</v>
      </c>
      <c r="AQ58" s="4">
        <v>47234</v>
      </c>
      <c r="AR58" s="4">
        <v>8901</v>
      </c>
      <c r="AS58" s="4">
        <v>2456</v>
      </c>
      <c r="AT58" s="4">
        <v>589</v>
      </c>
      <c r="AV58" s="5">
        <f>T_Facebook_Ads[[#This Row],[date]]</f>
        <v>45308</v>
      </c>
      <c r="AW58">
        <f t="shared" ca="1" si="0"/>
        <v>5</v>
      </c>
      <c r="AX58">
        <f ca="1">ROUND(T_Facebook_Ads[[#This Row],[impressions]]*RANDBETWEEN(8,12)/10,0)</f>
        <v>44135</v>
      </c>
      <c r="AY58">
        <f ca="1">ROUND(T_Facebook_Ads[[#This Row],[clicks]]*RANDBETWEEN(8,12)/10,0)</f>
        <v>1381</v>
      </c>
      <c r="AZ58">
        <f ca="1">T_Facebook_Ads[[#This Row],[spend]]*RANDBETWEEN(8,12)/10</f>
        <v>279.36</v>
      </c>
      <c r="BA58">
        <f ca="1">ROUND(T_Facebook_Ads[[#This Row],[conversions]]*RANDBETWEEN(8,12)/10,0)</f>
        <v>26</v>
      </c>
      <c r="BB58">
        <f ca="1">ROUND(T_Facebook_Ads[[#This Row],[video_views]]*RANDBETWEEN(8,12)/10,0)</f>
        <v>5456</v>
      </c>
    </row>
    <row r="59" spans="1:54" ht="15.75" thickBot="1" x14ac:dyDescent="0.3">
      <c r="A59" s="3">
        <v>45308</v>
      </c>
      <c r="B59" s="4" t="s">
        <v>64</v>
      </c>
      <c r="C59" s="4" t="s">
        <v>65</v>
      </c>
      <c r="D59" s="4" t="s">
        <v>66</v>
      </c>
      <c r="E59" s="4" t="s">
        <v>67</v>
      </c>
      <c r="F59" s="4">
        <v>75890</v>
      </c>
      <c r="G59" s="4">
        <v>278</v>
      </c>
      <c r="H59" s="4">
        <v>98.5</v>
      </c>
      <c r="I59" s="4">
        <v>8</v>
      </c>
      <c r="J59" s="4">
        <v>51234</v>
      </c>
      <c r="K59" s="4">
        <v>3.7000000000000002E-3</v>
      </c>
      <c r="L59" s="4">
        <v>61567</v>
      </c>
      <c r="M59" s="4">
        <v>1.23</v>
      </c>
      <c r="O59" s="3">
        <v>45308</v>
      </c>
      <c r="P59" s="4" t="s">
        <v>88</v>
      </c>
      <c r="Q59" s="4" t="s">
        <v>89</v>
      </c>
      <c r="R59" s="4" t="s">
        <v>90</v>
      </c>
      <c r="S59" s="4" t="s">
        <v>59</v>
      </c>
      <c r="T59" s="4">
        <v>138901</v>
      </c>
      <c r="U59" s="4">
        <v>534</v>
      </c>
      <c r="V59" s="4">
        <v>136.4</v>
      </c>
      <c r="W59" s="4">
        <v>15</v>
      </c>
      <c r="X59" s="4">
        <v>750</v>
      </c>
      <c r="Y59" s="4">
        <v>3.8E-3</v>
      </c>
      <c r="Z59" s="4">
        <v>0.26</v>
      </c>
      <c r="AA59" s="4">
        <v>7</v>
      </c>
      <c r="AB59" s="4">
        <v>0.36</v>
      </c>
      <c r="AD59" s="3">
        <v>45308</v>
      </c>
      <c r="AE59" s="4" t="s">
        <v>112</v>
      </c>
      <c r="AF59" s="4" t="s">
        <v>113</v>
      </c>
      <c r="AG59" s="4" t="s">
        <v>114</v>
      </c>
      <c r="AH59" s="4" t="s">
        <v>115</v>
      </c>
      <c r="AI59" s="4">
        <v>445678</v>
      </c>
      <c r="AJ59" s="4">
        <v>7234</v>
      </c>
      <c r="AK59" s="4">
        <v>1123.5</v>
      </c>
      <c r="AL59" s="4">
        <v>113</v>
      </c>
      <c r="AM59" s="4">
        <v>378901</v>
      </c>
      <c r="AN59" s="4">
        <v>304567</v>
      </c>
      <c r="AO59" s="4">
        <v>243456</v>
      </c>
      <c r="AP59" s="4">
        <v>172345</v>
      </c>
      <c r="AQ59" s="4">
        <v>114567</v>
      </c>
      <c r="AR59" s="4">
        <v>19567</v>
      </c>
      <c r="AS59" s="4">
        <v>5678</v>
      </c>
      <c r="AT59" s="4">
        <v>1567</v>
      </c>
      <c r="AV59" s="5">
        <f>T_Facebook_Ads[[#This Row],[date]]</f>
        <v>45308</v>
      </c>
      <c r="AW59">
        <f t="shared" ca="1" si="0"/>
        <v>5</v>
      </c>
      <c r="AX59">
        <f ca="1">ROUND(T_Facebook_Ads[[#This Row],[impressions]]*RANDBETWEEN(8,12)/10,0)</f>
        <v>83479</v>
      </c>
      <c r="AY59">
        <f ca="1">ROUND(T_Facebook_Ads[[#This Row],[clicks]]*RANDBETWEEN(8,12)/10,0)</f>
        <v>250</v>
      </c>
      <c r="AZ59">
        <f ca="1">T_Facebook_Ads[[#This Row],[spend]]*RANDBETWEEN(8,12)/10</f>
        <v>98.5</v>
      </c>
      <c r="BA59">
        <f ca="1">ROUND(T_Facebook_Ads[[#This Row],[conversions]]*RANDBETWEEN(8,12)/10,0)</f>
        <v>10</v>
      </c>
      <c r="BB59">
        <f ca="1">ROUND(T_Facebook_Ads[[#This Row],[video_views]]*RANDBETWEEN(8,12)/10,0)</f>
        <v>51234</v>
      </c>
    </row>
    <row r="60" spans="1:54" ht="15.75" thickBot="1" x14ac:dyDescent="0.3">
      <c r="A60" s="3">
        <v>45309</v>
      </c>
      <c r="B60" s="4" t="s">
        <v>52</v>
      </c>
      <c r="C60" s="4" t="s">
        <v>53</v>
      </c>
      <c r="D60" s="4" t="s">
        <v>54</v>
      </c>
      <c r="E60" s="4" t="s">
        <v>55</v>
      </c>
      <c r="F60" s="4">
        <v>49567</v>
      </c>
      <c r="G60" s="4">
        <v>1012</v>
      </c>
      <c r="H60" s="4">
        <v>144.6</v>
      </c>
      <c r="I60" s="4">
        <v>16</v>
      </c>
      <c r="J60" s="4">
        <v>9123</v>
      </c>
      <c r="K60" s="4">
        <v>2.0400000000000001E-2</v>
      </c>
      <c r="L60" s="4">
        <v>41890</v>
      </c>
      <c r="M60" s="4">
        <v>1.18</v>
      </c>
      <c r="O60" s="3">
        <v>45309</v>
      </c>
      <c r="P60" s="4" t="s">
        <v>76</v>
      </c>
      <c r="Q60" s="4" t="s">
        <v>77</v>
      </c>
      <c r="R60" s="4" t="s">
        <v>78</v>
      </c>
      <c r="S60" s="4" t="s">
        <v>79</v>
      </c>
      <c r="T60" s="4">
        <v>25789</v>
      </c>
      <c r="U60" s="4">
        <v>1389</v>
      </c>
      <c r="V60" s="4">
        <v>265.2</v>
      </c>
      <c r="W60" s="4">
        <v>52</v>
      </c>
      <c r="X60" s="4">
        <v>2600</v>
      </c>
      <c r="Y60" s="4">
        <v>5.3800000000000001E-2</v>
      </c>
      <c r="Z60" s="4">
        <v>0.19</v>
      </c>
      <c r="AA60" s="4">
        <v>9</v>
      </c>
      <c r="AB60" s="4">
        <v>0.92</v>
      </c>
      <c r="AD60" s="3">
        <v>45309</v>
      </c>
      <c r="AE60" s="4" t="s">
        <v>100</v>
      </c>
      <c r="AF60" s="4" t="s">
        <v>101</v>
      </c>
      <c r="AG60" s="4" t="s">
        <v>102</v>
      </c>
      <c r="AH60" s="4" t="s">
        <v>103</v>
      </c>
      <c r="AI60" s="4">
        <v>290123</v>
      </c>
      <c r="AJ60" s="4">
        <v>4189</v>
      </c>
      <c r="AK60" s="4">
        <v>567.79999999999995</v>
      </c>
      <c r="AL60" s="4">
        <v>44</v>
      </c>
      <c r="AM60" s="4">
        <v>236789</v>
      </c>
      <c r="AN60" s="4">
        <v>184567</v>
      </c>
      <c r="AO60" s="4">
        <v>115678</v>
      </c>
      <c r="AP60" s="4">
        <v>78234</v>
      </c>
      <c r="AQ60" s="4">
        <v>52345</v>
      </c>
      <c r="AR60" s="4">
        <v>10456</v>
      </c>
      <c r="AS60" s="4">
        <v>2812</v>
      </c>
      <c r="AT60" s="4">
        <v>678</v>
      </c>
      <c r="AV60" s="5">
        <f>T_Facebook_Ads[[#This Row],[date]]</f>
        <v>45309</v>
      </c>
      <c r="AW60">
        <f t="shared" ca="1" si="0"/>
        <v>2</v>
      </c>
      <c r="AX60">
        <f ca="1">ROUND(T_Facebook_Ads[[#This Row],[impressions]]*RANDBETWEEN(8,12)/10,0)</f>
        <v>44610</v>
      </c>
      <c r="AY60">
        <f ca="1">ROUND(T_Facebook_Ads[[#This Row],[clicks]]*RANDBETWEEN(8,12)/10,0)</f>
        <v>1012</v>
      </c>
      <c r="AZ60">
        <f ca="1">T_Facebook_Ads[[#This Row],[spend]]*RANDBETWEEN(8,12)/10</f>
        <v>159.06</v>
      </c>
      <c r="BA60">
        <f ca="1">ROUND(T_Facebook_Ads[[#This Row],[conversions]]*RANDBETWEEN(8,12)/10,0)</f>
        <v>18</v>
      </c>
      <c r="BB60">
        <f ca="1">ROUND(T_Facebook_Ads[[#This Row],[video_views]]*RANDBETWEEN(8,12)/10,0)</f>
        <v>9123</v>
      </c>
    </row>
    <row r="61" spans="1:54" ht="15.75" thickBot="1" x14ac:dyDescent="0.3">
      <c r="A61" s="3">
        <v>45309</v>
      </c>
      <c r="B61" s="4" t="s">
        <v>56</v>
      </c>
      <c r="C61" s="4" t="s">
        <v>57</v>
      </c>
      <c r="D61" s="4" t="s">
        <v>58</v>
      </c>
      <c r="E61" s="4" t="s">
        <v>59</v>
      </c>
      <c r="F61" s="4">
        <v>14567</v>
      </c>
      <c r="G61" s="4">
        <v>689</v>
      </c>
      <c r="H61" s="4">
        <v>253.4</v>
      </c>
      <c r="I61" s="4">
        <v>43</v>
      </c>
      <c r="J61" s="4">
        <v>1489</v>
      </c>
      <c r="K61" s="4">
        <v>4.7300000000000002E-2</v>
      </c>
      <c r="L61" s="4">
        <v>11567</v>
      </c>
      <c r="M61" s="4">
        <v>1.26</v>
      </c>
      <c r="O61" s="3">
        <v>45309</v>
      </c>
      <c r="P61" s="4" t="s">
        <v>80</v>
      </c>
      <c r="Q61" s="4" t="s">
        <v>81</v>
      </c>
      <c r="R61" s="4" t="s">
        <v>82</v>
      </c>
      <c r="S61" s="4" t="s">
        <v>83</v>
      </c>
      <c r="T61" s="4">
        <v>46123</v>
      </c>
      <c r="U61" s="4">
        <v>923</v>
      </c>
      <c r="V61" s="4">
        <v>590.29999999999995</v>
      </c>
      <c r="W61" s="4">
        <v>24</v>
      </c>
      <c r="X61" s="4">
        <v>1200</v>
      </c>
      <c r="Y61" s="4">
        <v>0.02</v>
      </c>
      <c r="Z61" s="4">
        <v>0.64</v>
      </c>
      <c r="AA61" s="4">
        <v>7</v>
      </c>
      <c r="AB61" s="4">
        <v>0.45</v>
      </c>
      <c r="AD61" s="3">
        <v>45309</v>
      </c>
      <c r="AE61" s="4" t="s">
        <v>104</v>
      </c>
      <c r="AF61" s="4" t="s">
        <v>105</v>
      </c>
      <c r="AG61" s="4" t="s">
        <v>106</v>
      </c>
      <c r="AH61" s="4" t="s">
        <v>107</v>
      </c>
      <c r="AI61" s="4">
        <v>161234</v>
      </c>
      <c r="AJ61" s="4">
        <v>3089</v>
      </c>
      <c r="AK61" s="4">
        <v>823.7</v>
      </c>
      <c r="AL61" s="4">
        <v>83</v>
      </c>
      <c r="AM61" s="4">
        <v>113456</v>
      </c>
      <c r="AN61" s="4">
        <v>83567</v>
      </c>
      <c r="AO61" s="4">
        <v>56234</v>
      </c>
      <c r="AP61" s="4">
        <v>42345</v>
      </c>
      <c r="AQ61" s="4">
        <v>28234</v>
      </c>
      <c r="AR61" s="4">
        <v>5523</v>
      </c>
      <c r="AS61" s="4">
        <v>1589</v>
      </c>
      <c r="AT61" s="4">
        <v>301</v>
      </c>
      <c r="AV61" s="5">
        <f>T_Facebook_Ads[[#This Row],[date]]</f>
        <v>45309</v>
      </c>
      <c r="AW61">
        <f t="shared" ca="1" si="0"/>
        <v>5</v>
      </c>
      <c r="AX61">
        <f ca="1">ROUND(T_Facebook_Ads[[#This Row],[impressions]]*RANDBETWEEN(8,12)/10,0)</f>
        <v>11654</v>
      </c>
      <c r="AY61">
        <f ca="1">ROUND(T_Facebook_Ads[[#This Row],[clicks]]*RANDBETWEEN(8,12)/10,0)</f>
        <v>551</v>
      </c>
      <c r="AZ61">
        <f ca="1">T_Facebook_Ads[[#This Row],[spend]]*RANDBETWEEN(8,12)/10</f>
        <v>278.74</v>
      </c>
      <c r="BA61">
        <f ca="1">ROUND(T_Facebook_Ads[[#This Row],[conversions]]*RANDBETWEEN(8,12)/10,0)</f>
        <v>43</v>
      </c>
      <c r="BB61">
        <f ca="1">ROUND(T_Facebook_Ads[[#This Row],[video_views]]*RANDBETWEEN(8,12)/10,0)</f>
        <v>1638</v>
      </c>
    </row>
    <row r="62" spans="1:54" ht="15.75" thickBot="1" x14ac:dyDescent="0.3">
      <c r="A62" s="3">
        <v>45309</v>
      </c>
      <c r="B62" s="4" t="s">
        <v>60</v>
      </c>
      <c r="C62" s="4" t="s">
        <v>61</v>
      </c>
      <c r="D62" s="4" t="s">
        <v>62</v>
      </c>
      <c r="E62" s="4" t="s">
        <v>63</v>
      </c>
      <c r="F62" s="4">
        <v>38901</v>
      </c>
      <c r="G62" s="4">
        <v>1456</v>
      </c>
      <c r="H62" s="4">
        <v>224.5</v>
      </c>
      <c r="I62" s="4">
        <v>31</v>
      </c>
      <c r="J62" s="4">
        <v>5234</v>
      </c>
      <c r="K62" s="4">
        <v>3.7400000000000003E-2</v>
      </c>
      <c r="L62" s="4">
        <v>31456</v>
      </c>
      <c r="M62" s="4">
        <v>1.24</v>
      </c>
      <c r="O62" s="3">
        <v>45309</v>
      </c>
      <c r="P62" s="4" t="s">
        <v>84</v>
      </c>
      <c r="Q62" s="4" t="s">
        <v>85</v>
      </c>
      <c r="R62" s="4" t="s">
        <v>86</v>
      </c>
      <c r="S62" s="4" t="s">
        <v>87</v>
      </c>
      <c r="T62" s="4">
        <v>71567</v>
      </c>
      <c r="U62" s="4">
        <v>2412</v>
      </c>
      <c r="V62" s="4">
        <v>442.3</v>
      </c>
      <c r="W62" s="4">
        <v>70</v>
      </c>
      <c r="X62" s="4">
        <v>3500</v>
      </c>
      <c r="Y62" s="4">
        <v>3.3700000000000001E-2</v>
      </c>
      <c r="Z62" s="4">
        <v>0.18</v>
      </c>
      <c r="AA62" s="4">
        <v>8</v>
      </c>
      <c r="AB62" s="4">
        <v>0.68</v>
      </c>
      <c r="AD62" s="3">
        <v>45309</v>
      </c>
      <c r="AE62" s="4" t="s">
        <v>108</v>
      </c>
      <c r="AF62" s="4" t="s">
        <v>109</v>
      </c>
      <c r="AG62" s="4" t="s">
        <v>110</v>
      </c>
      <c r="AH62" s="4" t="s">
        <v>111</v>
      </c>
      <c r="AI62" s="4">
        <v>248901</v>
      </c>
      <c r="AJ62" s="4">
        <v>3934</v>
      </c>
      <c r="AK62" s="4">
        <v>478.5</v>
      </c>
      <c r="AL62" s="4">
        <v>35</v>
      </c>
      <c r="AM62" s="4">
        <v>195234</v>
      </c>
      <c r="AN62" s="4">
        <v>148901</v>
      </c>
      <c r="AO62" s="4">
        <v>117890</v>
      </c>
      <c r="AP62" s="4">
        <v>76234</v>
      </c>
      <c r="AQ62" s="4">
        <v>46234</v>
      </c>
      <c r="AR62" s="4">
        <v>8734</v>
      </c>
      <c r="AS62" s="4">
        <v>2401</v>
      </c>
      <c r="AT62" s="4">
        <v>578</v>
      </c>
      <c r="AV62" s="5">
        <f>T_Facebook_Ads[[#This Row],[date]]</f>
        <v>45309</v>
      </c>
      <c r="AW62">
        <f t="shared" ca="1" si="0"/>
        <v>3</v>
      </c>
      <c r="AX62">
        <f ca="1">ROUND(T_Facebook_Ads[[#This Row],[impressions]]*RANDBETWEEN(8,12)/10,0)</f>
        <v>46681</v>
      </c>
      <c r="AY62">
        <f ca="1">ROUND(T_Facebook_Ads[[#This Row],[clicks]]*RANDBETWEEN(8,12)/10,0)</f>
        <v>1310</v>
      </c>
      <c r="AZ62">
        <f ca="1">T_Facebook_Ads[[#This Row],[spend]]*RANDBETWEEN(8,12)/10</f>
        <v>202.05</v>
      </c>
      <c r="BA62">
        <f ca="1">ROUND(T_Facebook_Ads[[#This Row],[conversions]]*RANDBETWEEN(8,12)/10,0)</f>
        <v>34</v>
      </c>
      <c r="BB62">
        <f ca="1">ROUND(T_Facebook_Ads[[#This Row],[video_views]]*RANDBETWEEN(8,12)/10,0)</f>
        <v>5234</v>
      </c>
    </row>
    <row r="63" spans="1:54" ht="15.75" thickBot="1" x14ac:dyDescent="0.3">
      <c r="A63" s="3">
        <v>45309</v>
      </c>
      <c r="B63" s="4" t="s">
        <v>64</v>
      </c>
      <c r="C63" s="4" t="s">
        <v>65</v>
      </c>
      <c r="D63" s="4" t="s">
        <v>66</v>
      </c>
      <c r="E63" s="4" t="s">
        <v>67</v>
      </c>
      <c r="F63" s="4">
        <v>72345</v>
      </c>
      <c r="G63" s="4">
        <v>261</v>
      </c>
      <c r="H63" s="4">
        <v>92.7</v>
      </c>
      <c r="I63" s="4">
        <v>7</v>
      </c>
      <c r="J63" s="4">
        <v>48567</v>
      </c>
      <c r="K63" s="4">
        <v>3.5999999999999999E-3</v>
      </c>
      <c r="L63" s="4">
        <v>58234</v>
      </c>
      <c r="M63" s="4">
        <v>1.24</v>
      </c>
      <c r="O63" s="3">
        <v>45309</v>
      </c>
      <c r="P63" s="4" t="s">
        <v>88</v>
      </c>
      <c r="Q63" s="4" t="s">
        <v>89</v>
      </c>
      <c r="R63" s="4" t="s">
        <v>90</v>
      </c>
      <c r="S63" s="4" t="s">
        <v>59</v>
      </c>
      <c r="T63" s="4">
        <v>135234</v>
      </c>
      <c r="U63" s="4">
        <v>501</v>
      </c>
      <c r="V63" s="4">
        <v>133.6</v>
      </c>
      <c r="W63" s="4">
        <v>14</v>
      </c>
      <c r="X63" s="4">
        <v>700</v>
      </c>
      <c r="Y63" s="4">
        <v>3.7000000000000002E-3</v>
      </c>
      <c r="Z63" s="4">
        <v>0.27</v>
      </c>
      <c r="AA63" s="4">
        <v>7</v>
      </c>
      <c r="AB63" s="4">
        <v>0.35</v>
      </c>
      <c r="AD63" s="3">
        <v>45309</v>
      </c>
      <c r="AE63" s="4" t="s">
        <v>112</v>
      </c>
      <c r="AF63" s="4" t="s">
        <v>113</v>
      </c>
      <c r="AG63" s="4" t="s">
        <v>114</v>
      </c>
      <c r="AH63" s="4" t="s">
        <v>115</v>
      </c>
      <c r="AI63" s="4">
        <v>434567</v>
      </c>
      <c r="AJ63" s="4">
        <v>7012</v>
      </c>
      <c r="AK63" s="4">
        <v>1089.3</v>
      </c>
      <c r="AL63" s="4">
        <v>109</v>
      </c>
      <c r="AM63" s="4">
        <v>367890</v>
      </c>
      <c r="AN63" s="4">
        <v>296234</v>
      </c>
      <c r="AO63" s="4">
        <v>237890</v>
      </c>
      <c r="AP63" s="4">
        <v>168234</v>
      </c>
      <c r="AQ63" s="4">
        <v>111234</v>
      </c>
      <c r="AR63" s="4">
        <v>19234</v>
      </c>
      <c r="AS63" s="4">
        <v>5534</v>
      </c>
      <c r="AT63" s="4">
        <v>1523</v>
      </c>
      <c r="AV63" s="5">
        <f>T_Facebook_Ads[[#This Row],[date]]</f>
        <v>45309</v>
      </c>
      <c r="AW63">
        <f t="shared" ca="1" si="0"/>
        <v>4</v>
      </c>
      <c r="AX63">
        <f ca="1">ROUND(T_Facebook_Ads[[#This Row],[impressions]]*RANDBETWEEN(8,12)/10,0)</f>
        <v>86814</v>
      </c>
      <c r="AY63">
        <f ca="1">ROUND(T_Facebook_Ads[[#This Row],[clicks]]*RANDBETWEEN(8,12)/10,0)</f>
        <v>261</v>
      </c>
      <c r="AZ63">
        <f ca="1">T_Facebook_Ads[[#This Row],[spend]]*RANDBETWEEN(8,12)/10</f>
        <v>111.24000000000001</v>
      </c>
      <c r="BA63">
        <f ca="1">ROUND(T_Facebook_Ads[[#This Row],[conversions]]*RANDBETWEEN(8,12)/10,0)</f>
        <v>8</v>
      </c>
      <c r="BB63">
        <f ca="1">ROUND(T_Facebook_Ads[[#This Row],[video_views]]*RANDBETWEEN(8,12)/10,0)</f>
        <v>53424</v>
      </c>
    </row>
    <row r="64" spans="1:54" ht="15.75" thickBot="1" x14ac:dyDescent="0.3">
      <c r="A64" s="3">
        <v>45310</v>
      </c>
      <c r="B64" s="4" t="s">
        <v>52</v>
      </c>
      <c r="C64" s="4" t="s">
        <v>53</v>
      </c>
      <c r="D64" s="4" t="s">
        <v>54</v>
      </c>
      <c r="E64" s="4" t="s">
        <v>55</v>
      </c>
      <c r="F64" s="4">
        <v>47890</v>
      </c>
      <c r="G64" s="4">
        <v>967</v>
      </c>
      <c r="H64" s="4">
        <v>138.4</v>
      </c>
      <c r="I64" s="4">
        <v>15</v>
      </c>
      <c r="J64" s="4">
        <v>8789</v>
      </c>
      <c r="K64" s="4">
        <v>2.0199999999999999E-2</v>
      </c>
      <c r="L64" s="4">
        <v>40234</v>
      </c>
      <c r="M64" s="4">
        <v>1.19</v>
      </c>
      <c r="O64" s="3">
        <v>45310</v>
      </c>
      <c r="P64" s="4" t="s">
        <v>76</v>
      </c>
      <c r="Q64" s="4" t="s">
        <v>77</v>
      </c>
      <c r="R64" s="4" t="s">
        <v>78</v>
      </c>
      <c r="S64" s="4" t="s">
        <v>79</v>
      </c>
      <c r="T64" s="4">
        <v>24567</v>
      </c>
      <c r="U64" s="4">
        <v>1289</v>
      </c>
      <c r="V64" s="4">
        <v>246.8</v>
      </c>
      <c r="W64" s="4">
        <v>48</v>
      </c>
      <c r="X64" s="4">
        <v>2400</v>
      </c>
      <c r="Y64" s="4">
        <v>5.2499999999999998E-2</v>
      </c>
      <c r="Z64" s="4">
        <v>0.19</v>
      </c>
      <c r="AA64" s="4">
        <v>9</v>
      </c>
      <c r="AB64" s="4">
        <v>0.91</v>
      </c>
      <c r="AD64" s="3">
        <v>45310</v>
      </c>
      <c r="AE64" s="4" t="s">
        <v>100</v>
      </c>
      <c r="AF64" s="4" t="s">
        <v>101</v>
      </c>
      <c r="AG64" s="4" t="s">
        <v>102</v>
      </c>
      <c r="AH64" s="4" t="s">
        <v>103</v>
      </c>
      <c r="AI64" s="4">
        <v>278901</v>
      </c>
      <c r="AJ64" s="4">
        <v>4123</v>
      </c>
      <c r="AK64" s="4">
        <v>545.6</v>
      </c>
      <c r="AL64" s="4">
        <v>42</v>
      </c>
      <c r="AM64" s="4">
        <v>229234</v>
      </c>
      <c r="AN64" s="4">
        <v>179234</v>
      </c>
      <c r="AO64" s="4">
        <v>112234</v>
      </c>
      <c r="AP64" s="4">
        <v>75678</v>
      </c>
      <c r="AQ64" s="4">
        <v>50234</v>
      </c>
      <c r="AR64" s="4">
        <v>10123</v>
      </c>
      <c r="AS64" s="4">
        <v>2712</v>
      </c>
      <c r="AT64" s="4">
        <v>645</v>
      </c>
      <c r="AV64" s="5">
        <f>T_Facebook_Ads[[#This Row],[date]]</f>
        <v>45310</v>
      </c>
      <c r="AW64">
        <f t="shared" ca="1" si="0"/>
        <v>4</v>
      </c>
      <c r="AX64">
        <f ca="1">ROUND(T_Facebook_Ads[[#This Row],[impressions]]*RANDBETWEEN(8,12)/10,0)</f>
        <v>47890</v>
      </c>
      <c r="AY64">
        <f ca="1">ROUND(T_Facebook_Ads[[#This Row],[clicks]]*RANDBETWEEN(8,12)/10,0)</f>
        <v>967</v>
      </c>
      <c r="AZ64">
        <f ca="1">T_Facebook_Ads[[#This Row],[spend]]*RANDBETWEEN(8,12)/10</f>
        <v>166.08</v>
      </c>
      <c r="BA64">
        <f ca="1">ROUND(T_Facebook_Ads[[#This Row],[conversions]]*RANDBETWEEN(8,12)/10,0)</f>
        <v>15</v>
      </c>
      <c r="BB64">
        <f ca="1">ROUND(T_Facebook_Ads[[#This Row],[video_views]]*RANDBETWEEN(8,12)/10,0)</f>
        <v>10547</v>
      </c>
    </row>
    <row r="65" spans="1:54" ht="15.75" thickBot="1" x14ac:dyDescent="0.3">
      <c r="A65" s="3">
        <v>45310</v>
      </c>
      <c r="B65" s="4" t="s">
        <v>56</v>
      </c>
      <c r="C65" s="4" t="s">
        <v>57</v>
      </c>
      <c r="D65" s="4" t="s">
        <v>58</v>
      </c>
      <c r="E65" s="4" t="s">
        <v>59</v>
      </c>
      <c r="F65" s="4">
        <v>13890</v>
      </c>
      <c r="G65" s="4">
        <v>634</v>
      </c>
      <c r="H65" s="4">
        <v>235.8</v>
      </c>
      <c r="I65" s="4">
        <v>40</v>
      </c>
      <c r="J65" s="4">
        <v>1378</v>
      </c>
      <c r="K65" s="4">
        <v>4.5699999999999998E-2</v>
      </c>
      <c r="L65" s="4">
        <v>10890</v>
      </c>
      <c r="M65" s="4">
        <v>1.27</v>
      </c>
      <c r="O65" s="3">
        <v>45310</v>
      </c>
      <c r="P65" s="4" t="s">
        <v>80</v>
      </c>
      <c r="Q65" s="4" t="s">
        <v>81</v>
      </c>
      <c r="R65" s="4" t="s">
        <v>82</v>
      </c>
      <c r="S65" s="4" t="s">
        <v>83</v>
      </c>
      <c r="T65" s="4">
        <v>44890</v>
      </c>
      <c r="U65" s="4">
        <v>890</v>
      </c>
      <c r="V65" s="4">
        <v>574.70000000000005</v>
      </c>
      <c r="W65" s="4">
        <v>23</v>
      </c>
      <c r="X65" s="4">
        <v>1150</v>
      </c>
      <c r="Y65" s="4">
        <v>1.9800000000000002E-2</v>
      </c>
      <c r="Z65" s="4">
        <v>0.65</v>
      </c>
      <c r="AA65" s="4">
        <v>7</v>
      </c>
      <c r="AB65" s="4">
        <v>0.44</v>
      </c>
      <c r="AD65" s="3">
        <v>45310</v>
      </c>
      <c r="AE65" s="4" t="s">
        <v>104</v>
      </c>
      <c r="AF65" s="4" t="s">
        <v>105</v>
      </c>
      <c r="AG65" s="4" t="s">
        <v>106</v>
      </c>
      <c r="AH65" s="4" t="s">
        <v>107</v>
      </c>
      <c r="AI65" s="4">
        <v>153456</v>
      </c>
      <c r="AJ65" s="4">
        <v>2945</v>
      </c>
      <c r="AK65" s="4">
        <v>789.2</v>
      </c>
      <c r="AL65" s="4">
        <v>79</v>
      </c>
      <c r="AM65" s="4">
        <v>107890</v>
      </c>
      <c r="AN65" s="4">
        <v>79567</v>
      </c>
      <c r="AO65" s="4">
        <v>53678</v>
      </c>
      <c r="AP65" s="4">
        <v>40234</v>
      </c>
      <c r="AQ65" s="4">
        <v>26890</v>
      </c>
      <c r="AR65" s="4">
        <v>5234</v>
      </c>
      <c r="AS65" s="4">
        <v>1456</v>
      </c>
      <c r="AT65" s="4">
        <v>278</v>
      </c>
      <c r="AV65" s="5">
        <f>T_Facebook_Ads[[#This Row],[date]]</f>
        <v>45310</v>
      </c>
      <c r="AW65">
        <f t="shared" ca="1" si="0"/>
        <v>3</v>
      </c>
      <c r="AX65">
        <f ca="1">ROUND(T_Facebook_Ads[[#This Row],[impressions]]*RANDBETWEEN(8,12)/10,0)</f>
        <v>12501</v>
      </c>
      <c r="AY65">
        <f ca="1">ROUND(T_Facebook_Ads[[#This Row],[clicks]]*RANDBETWEEN(8,12)/10,0)</f>
        <v>761</v>
      </c>
      <c r="AZ65">
        <f ca="1">T_Facebook_Ads[[#This Row],[spend]]*RANDBETWEEN(8,12)/10</f>
        <v>235.8</v>
      </c>
      <c r="BA65">
        <f ca="1">ROUND(T_Facebook_Ads[[#This Row],[conversions]]*RANDBETWEEN(8,12)/10,0)</f>
        <v>48</v>
      </c>
      <c r="BB65">
        <f ca="1">ROUND(T_Facebook_Ads[[#This Row],[video_views]]*RANDBETWEEN(8,12)/10,0)</f>
        <v>1654</v>
      </c>
    </row>
    <row r="66" spans="1:54" ht="15.75" thickBot="1" x14ac:dyDescent="0.3">
      <c r="A66" s="3">
        <v>45310</v>
      </c>
      <c r="B66" s="4" t="s">
        <v>60</v>
      </c>
      <c r="C66" s="4" t="s">
        <v>61</v>
      </c>
      <c r="D66" s="4" t="s">
        <v>62</v>
      </c>
      <c r="E66" s="4" t="s">
        <v>63</v>
      </c>
      <c r="F66" s="4">
        <v>37234</v>
      </c>
      <c r="G66" s="4">
        <v>1367</v>
      </c>
      <c r="H66" s="4">
        <v>209.9</v>
      </c>
      <c r="I66" s="4">
        <v>28</v>
      </c>
      <c r="J66" s="4">
        <v>5012</v>
      </c>
      <c r="K66" s="4">
        <v>3.6700000000000003E-2</v>
      </c>
      <c r="L66" s="4">
        <v>30678</v>
      </c>
      <c r="M66" s="4">
        <v>1.21</v>
      </c>
      <c r="O66" s="3">
        <v>45310</v>
      </c>
      <c r="P66" s="4" t="s">
        <v>84</v>
      </c>
      <c r="Q66" s="4" t="s">
        <v>85</v>
      </c>
      <c r="R66" s="4" t="s">
        <v>86</v>
      </c>
      <c r="S66" s="4" t="s">
        <v>87</v>
      </c>
      <c r="T66" s="4">
        <v>69234</v>
      </c>
      <c r="U66" s="4">
        <v>2301</v>
      </c>
      <c r="V66" s="4">
        <v>423.5</v>
      </c>
      <c r="W66" s="4">
        <v>67</v>
      </c>
      <c r="X66" s="4">
        <v>3350</v>
      </c>
      <c r="Y66" s="4">
        <v>3.32E-2</v>
      </c>
      <c r="Z66" s="4">
        <v>0.18</v>
      </c>
      <c r="AA66" s="4">
        <v>8</v>
      </c>
      <c r="AB66" s="4">
        <v>0.67</v>
      </c>
      <c r="AD66" s="3">
        <v>45310</v>
      </c>
      <c r="AE66" s="4" t="s">
        <v>108</v>
      </c>
      <c r="AF66" s="4" t="s">
        <v>109</v>
      </c>
      <c r="AG66" s="4" t="s">
        <v>110</v>
      </c>
      <c r="AH66" s="4" t="s">
        <v>111</v>
      </c>
      <c r="AI66" s="4">
        <v>236789</v>
      </c>
      <c r="AJ66" s="4">
        <v>3734</v>
      </c>
      <c r="AK66" s="4">
        <v>456.8</v>
      </c>
      <c r="AL66" s="4">
        <v>33</v>
      </c>
      <c r="AM66" s="4">
        <v>187890</v>
      </c>
      <c r="AN66" s="4">
        <v>142345</v>
      </c>
      <c r="AO66" s="4">
        <v>112345</v>
      </c>
      <c r="AP66" s="4">
        <v>72345</v>
      </c>
      <c r="AQ66" s="4">
        <v>43789</v>
      </c>
      <c r="AR66" s="4">
        <v>8456</v>
      </c>
      <c r="AS66" s="4">
        <v>2267</v>
      </c>
      <c r="AT66" s="4">
        <v>545</v>
      </c>
      <c r="AV66" s="5">
        <f>T_Facebook_Ads[[#This Row],[date]]</f>
        <v>45310</v>
      </c>
      <c r="AW66">
        <f t="shared" ca="1" si="0"/>
        <v>3</v>
      </c>
      <c r="AX66">
        <f ca="1">ROUND(T_Facebook_Ads[[#This Row],[impressions]]*RANDBETWEEN(8,12)/10,0)</f>
        <v>29787</v>
      </c>
      <c r="AY66">
        <f ca="1">ROUND(T_Facebook_Ads[[#This Row],[clicks]]*RANDBETWEEN(8,12)/10,0)</f>
        <v>1367</v>
      </c>
      <c r="AZ66">
        <f ca="1">T_Facebook_Ads[[#This Row],[spend]]*RANDBETWEEN(8,12)/10</f>
        <v>188.91000000000003</v>
      </c>
      <c r="BA66">
        <f ca="1">ROUND(T_Facebook_Ads[[#This Row],[conversions]]*RANDBETWEEN(8,12)/10,0)</f>
        <v>22</v>
      </c>
      <c r="BB66">
        <f ca="1">ROUND(T_Facebook_Ads[[#This Row],[video_views]]*RANDBETWEEN(8,12)/10,0)</f>
        <v>5513</v>
      </c>
    </row>
    <row r="67" spans="1:54" ht="15.75" thickBot="1" x14ac:dyDescent="0.3">
      <c r="A67" s="3">
        <v>45310</v>
      </c>
      <c r="B67" s="4" t="s">
        <v>64</v>
      </c>
      <c r="C67" s="4" t="s">
        <v>65</v>
      </c>
      <c r="D67" s="4" t="s">
        <v>66</v>
      </c>
      <c r="E67" s="4" t="s">
        <v>67</v>
      </c>
      <c r="F67" s="4">
        <v>70123</v>
      </c>
      <c r="G67" s="4">
        <v>253</v>
      </c>
      <c r="H67" s="4">
        <v>89.4</v>
      </c>
      <c r="I67" s="4">
        <v>6</v>
      </c>
      <c r="J67" s="4">
        <v>47234</v>
      </c>
      <c r="K67" s="4">
        <v>3.5999999999999999E-3</v>
      </c>
      <c r="L67" s="4">
        <v>57890</v>
      </c>
      <c r="M67" s="4">
        <v>1.21</v>
      </c>
      <c r="O67" s="3">
        <v>45310</v>
      </c>
      <c r="P67" s="4" t="s">
        <v>88</v>
      </c>
      <c r="Q67" s="4" t="s">
        <v>89</v>
      </c>
      <c r="R67" s="4" t="s">
        <v>90</v>
      </c>
      <c r="S67" s="4" t="s">
        <v>59</v>
      </c>
      <c r="T67" s="4">
        <v>131567</v>
      </c>
      <c r="U67" s="4">
        <v>478</v>
      </c>
      <c r="V67" s="4">
        <v>129.4</v>
      </c>
      <c r="W67" s="4">
        <v>13</v>
      </c>
      <c r="X67" s="4">
        <v>650</v>
      </c>
      <c r="Y67" s="4">
        <v>3.5999999999999999E-3</v>
      </c>
      <c r="Z67" s="4">
        <v>0.27</v>
      </c>
      <c r="AA67" s="4">
        <v>7</v>
      </c>
      <c r="AB67" s="4">
        <v>0.34</v>
      </c>
      <c r="AD67" s="3">
        <v>45310</v>
      </c>
      <c r="AE67" s="4" t="s">
        <v>112</v>
      </c>
      <c r="AF67" s="4" t="s">
        <v>113</v>
      </c>
      <c r="AG67" s="4" t="s">
        <v>114</v>
      </c>
      <c r="AH67" s="4" t="s">
        <v>115</v>
      </c>
      <c r="AI67" s="4">
        <v>423456</v>
      </c>
      <c r="AJ67" s="4">
        <v>6789</v>
      </c>
      <c r="AK67" s="4">
        <v>1034.5</v>
      </c>
      <c r="AL67" s="4">
        <v>104</v>
      </c>
      <c r="AM67" s="4">
        <v>356789</v>
      </c>
      <c r="AN67" s="4">
        <v>287234</v>
      </c>
      <c r="AO67" s="4">
        <v>229234</v>
      </c>
      <c r="AP67" s="4">
        <v>162345</v>
      </c>
      <c r="AQ67" s="4">
        <v>107890</v>
      </c>
      <c r="AR67" s="4">
        <v>18756</v>
      </c>
      <c r="AS67" s="4">
        <v>5345</v>
      </c>
      <c r="AT67" s="4">
        <v>1456</v>
      </c>
      <c r="AV67" s="5">
        <f>T_Facebook_Ads[[#This Row],[date]]</f>
        <v>45310</v>
      </c>
      <c r="AW67">
        <f t="shared" ref="AW67:AW111" ca="1" si="1">RANDBETWEEN(1,8)</f>
        <v>6</v>
      </c>
      <c r="AX67">
        <f ca="1">ROUND(T_Facebook_Ads[[#This Row],[impressions]]*RANDBETWEEN(8,12)/10,0)</f>
        <v>63111</v>
      </c>
      <c r="AY67">
        <f ca="1">ROUND(T_Facebook_Ads[[#This Row],[clicks]]*RANDBETWEEN(8,12)/10,0)</f>
        <v>253</v>
      </c>
      <c r="AZ67">
        <f ca="1">T_Facebook_Ads[[#This Row],[spend]]*RANDBETWEEN(8,12)/10</f>
        <v>98.34</v>
      </c>
      <c r="BA67">
        <f ca="1">ROUND(T_Facebook_Ads[[#This Row],[conversions]]*RANDBETWEEN(8,12)/10,0)</f>
        <v>5</v>
      </c>
      <c r="BB67">
        <f ca="1">ROUND(T_Facebook_Ads[[#This Row],[video_views]]*RANDBETWEEN(8,12)/10,0)</f>
        <v>42511</v>
      </c>
    </row>
    <row r="68" spans="1:54" ht="15.75" thickBot="1" x14ac:dyDescent="0.3">
      <c r="A68" s="3">
        <v>45311</v>
      </c>
      <c r="B68" s="4" t="s">
        <v>52</v>
      </c>
      <c r="C68" s="4" t="s">
        <v>53</v>
      </c>
      <c r="D68" s="4" t="s">
        <v>54</v>
      </c>
      <c r="E68" s="4" t="s">
        <v>55</v>
      </c>
      <c r="F68" s="4">
        <v>43234</v>
      </c>
      <c r="G68" s="4">
        <v>878</v>
      </c>
      <c r="H68" s="4">
        <v>125.7</v>
      </c>
      <c r="I68" s="4">
        <v>13</v>
      </c>
      <c r="J68" s="4">
        <v>7890</v>
      </c>
      <c r="K68" s="4">
        <v>2.0299999999999999E-2</v>
      </c>
      <c r="L68" s="4">
        <v>36567</v>
      </c>
      <c r="M68" s="4">
        <v>1.18</v>
      </c>
      <c r="O68" s="3">
        <v>45311</v>
      </c>
      <c r="P68" s="4" t="s">
        <v>76</v>
      </c>
      <c r="Q68" s="4" t="s">
        <v>77</v>
      </c>
      <c r="R68" s="4" t="s">
        <v>78</v>
      </c>
      <c r="S68" s="4" t="s">
        <v>79</v>
      </c>
      <c r="T68" s="4">
        <v>22345</v>
      </c>
      <c r="U68" s="4">
        <v>1123</v>
      </c>
      <c r="V68" s="4">
        <v>214.5</v>
      </c>
      <c r="W68" s="4">
        <v>42</v>
      </c>
      <c r="X68" s="4">
        <v>2100</v>
      </c>
      <c r="Y68" s="4">
        <v>5.0299999999999997E-2</v>
      </c>
      <c r="Z68" s="4">
        <v>0.19</v>
      </c>
      <c r="AA68" s="4">
        <v>9</v>
      </c>
      <c r="AB68" s="4">
        <v>0.89</v>
      </c>
      <c r="AD68" s="3">
        <v>45311</v>
      </c>
      <c r="AE68" s="4" t="s">
        <v>100</v>
      </c>
      <c r="AF68" s="4" t="s">
        <v>101</v>
      </c>
      <c r="AG68" s="4" t="s">
        <v>102</v>
      </c>
      <c r="AH68" s="4" t="s">
        <v>103</v>
      </c>
      <c r="AI68" s="4">
        <v>256234</v>
      </c>
      <c r="AJ68" s="4">
        <v>3701</v>
      </c>
      <c r="AK68" s="4">
        <v>490.5</v>
      </c>
      <c r="AL68" s="4">
        <v>38</v>
      </c>
      <c r="AM68" s="4">
        <v>209234</v>
      </c>
      <c r="AN68" s="4">
        <v>163567</v>
      </c>
      <c r="AO68" s="4">
        <v>102567</v>
      </c>
      <c r="AP68" s="4">
        <v>69567</v>
      </c>
      <c r="AQ68" s="4">
        <v>46567</v>
      </c>
      <c r="AR68" s="4">
        <v>9123</v>
      </c>
      <c r="AS68" s="4">
        <v>2423</v>
      </c>
      <c r="AT68" s="4">
        <v>601</v>
      </c>
      <c r="AV68" s="5">
        <f>T_Facebook_Ads[[#This Row],[date]]</f>
        <v>45311</v>
      </c>
      <c r="AW68">
        <f t="shared" ca="1" si="1"/>
        <v>2</v>
      </c>
      <c r="AX68">
        <f ca="1">ROUND(T_Facebook_Ads[[#This Row],[impressions]]*RANDBETWEEN(8,12)/10,0)</f>
        <v>47557</v>
      </c>
      <c r="AY68">
        <f ca="1">ROUND(T_Facebook_Ads[[#This Row],[clicks]]*RANDBETWEEN(8,12)/10,0)</f>
        <v>1054</v>
      </c>
      <c r="AZ68">
        <f ca="1">T_Facebook_Ads[[#This Row],[spend]]*RANDBETWEEN(8,12)/10</f>
        <v>125.7</v>
      </c>
      <c r="BA68">
        <f ca="1">ROUND(T_Facebook_Ads[[#This Row],[conversions]]*RANDBETWEEN(8,12)/10,0)</f>
        <v>13</v>
      </c>
      <c r="BB68">
        <f ca="1">ROUND(T_Facebook_Ads[[#This Row],[video_views]]*RANDBETWEEN(8,12)/10,0)</f>
        <v>7101</v>
      </c>
    </row>
    <row r="69" spans="1:54" ht="15.75" thickBot="1" x14ac:dyDescent="0.3">
      <c r="A69" s="3">
        <v>45311</v>
      </c>
      <c r="B69" s="4" t="s">
        <v>56</v>
      </c>
      <c r="C69" s="4" t="s">
        <v>57</v>
      </c>
      <c r="D69" s="4" t="s">
        <v>58</v>
      </c>
      <c r="E69" s="4" t="s">
        <v>59</v>
      </c>
      <c r="F69" s="4">
        <v>11890</v>
      </c>
      <c r="G69" s="4">
        <v>545</v>
      </c>
      <c r="H69" s="4">
        <v>202.3</v>
      </c>
      <c r="I69" s="4">
        <v>34</v>
      </c>
      <c r="J69" s="4">
        <v>1156</v>
      </c>
      <c r="K69" s="4">
        <v>4.58E-2</v>
      </c>
      <c r="L69" s="4">
        <v>9567</v>
      </c>
      <c r="M69" s="4">
        <v>1.28</v>
      </c>
      <c r="O69" s="3">
        <v>45311</v>
      </c>
      <c r="P69" s="4" t="s">
        <v>80</v>
      </c>
      <c r="Q69" s="4" t="s">
        <v>81</v>
      </c>
      <c r="R69" s="4" t="s">
        <v>82</v>
      </c>
      <c r="S69" s="4" t="s">
        <v>83</v>
      </c>
      <c r="T69" s="4">
        <v>40567</v>
      </c>
      <c r="U69" s="4">
        <v>812</v>
      </c>
      <c r="V69" s="4">
        <v>520.4</v>
      </c>
      <c r="W69" s="4">
        <v>20</v>
      </c>
      <c r="X69" s="4">
        <v>1000</v>
      </c>
      <c r="Y69" s="4">
        <v>0.02</v>
      </c>
      <c r="Z69" s="4">
        <v>0.64</v>
      </c>
      <c r="AA69" s="4">
        <v>6</v>
      </c>
      <c r="AB69" s="4">
        <v>0.42</v>
      </c>
      <c r="AD69" s="3">
        <v>45311</v>
      </c>
      <c r="AE69" s="4" t="s">
        <v>104</v>
      </c>
      <c r="AF69" s="4" t="s">
        <v>105</v>
      </c>
      <c r="AG69" s="4" t="s">
        <v>106</v>
      </c>
      <c r="AH69" s="4" t="s">
        <v>107</v>
      </c>
      <c r="AI69" s="4">
        <v>142345</v>
      </c>
      <c r="AJ69" s="4">
        <v>2678</v>
      </c>
      <c r="AK69" s="4">
        <v>734.5</v>
      </c>
      <c r="AL69" s="4">
        <v>73</v>
      </c>
      <c r="AM69" s="4">
        <v>97890</v>
      </c>
      <c r="AN69" s="4">
        <v>72345</v>
      </c>
      <c r="AO69" s="4">
        <v>48901</v>
      </c>
      <c r="AP69" s="4">
        <v>36789</v>
      </c>
      <c r="AQ69" s="4">
        <v>24890</v>
      </c>
      <c r="AR69" s="4">
        <v>4901</v>
      </c>
      <c r="AS69" s="4">
        <v>1356</v>
      </c>
      <c r="AT69" s="4">
        <v>256</v>
      </c>
      <c r="AV69" s="5">
        <f>T_Facebook_Ads[[#This Row],[date]]</f>
        <v>45311</v>
      </c>
      <c r="AW69">
        <f t="shared" ca="1" si="1"/>
        <v>5</v>
      </c>
      <c r="AX69">
        <f ca="1">ROUND(T_Facebook_Ads[[#This Row],[impressions]]*RANDBETWEEN(8,12)/10,0)</f>
        <v>10701</v>
      </c>
      <c r="AY69">
        <f ca="1">ROUND(T_Facebook_Ads[[#This Row],[clicks]]*RANDBETWEEN(8,12)/10,0)</f>
        <v>600</v>
      </c>
      <c r="AZ69">
        <f ca="1">T_Facebook_Ads[[#This Row],[spend]]*RANDBETWEEN(8,12)/10</f>
        <v>222.53000000000003</v>
      </c>
      <c r="BA69">
        <f ca="1">ROUND(T_Facebook_Ads[[#This Row],[conversions]]*RANDBETWEEN(8,12)/10,0)</f>
        <v>41</v>
      </c>
      <c r="BB69">
        <f ca="1">ROUND(T_Facebook_Ads[[#This Row],[video_views]]*RANDBETWEEN(8,12)/10,0)</f>
        <v>925</v>
      </c>
    </row>
    <row r="70" spans="1:54" ht="15.75" thickBot="1" x14ac:dyDescent="0.3">
      <c r="A70" s="3">
        <v>45311</v>
      </c>
      <c r="B70" s="4" t="s">
        <v>60</v>
      </c>
      <c r="C70" s="4" t="s">
        <v>61</v>
      </c>
      <c r="D70" s="4" t="s">
        <v>62</v>
      </c>
      <c r="E70" s="4" t="s">
        <v>63</v>
      </c>
      <c r="F70" s="4">
        <v>34567</v>
      </c>
      <c r="G70" s="4">
        <v>1234</v>
      </c>
      <c r="H70" s="4">
        <v>189.6</v>
      </c>
      <c r="I70" s="4">
        <v>24</v>
      </c>
      <c r="J70" s="4">
        <v>4567</v>
      </c>
      <c r="K70" s="4">
        <v>3.5700000000000003E-2</v>
      </c>
      <c r="L70" s="4">
        <v>28934</v>
      </c>
      <c r="M70" s="4">
        <v>1.19</v>
      </c>
      <c r="O70" s="3">
        <v>45311</v>
      </c>
      <c r="P70" s="4" t="s">
        <v>84</v>
      </c>
      <c r="Q70" s="4" t="s">
        <v>85</v>
      </c>
      <c r="R70" s="4" t="s">
        <v>86</v>
      </c>
      <c r="S70" s="4" t="s">
        <v>87</v>
      </c>
      <c r="T70" s="4">
        <v>64890</v>
      </c>
      <c r="U70" s="4">
        <v>2067</v>
      </c>
      <c r="V70" s="4">
        <v>376.8</v>
      </c>
      <c r="W70" s="4">
        <v>59</v>
      </c>
      <c r="X70" s="4">
        <v>2950</v>
      </c>
      <c r="Y70" s="4">
        <v>3.1899999999999998E-2</v>
      </c>
      <c r="Z70" s="4">
        <v>0.18</v>
      </c>
      <c r="AA70" s="4">
        <v>8</v>
      </c>
      <c r="AB70" s="4">
        <v>0.65</v>
      </c>
      <c r="AD70" s="3">
        <v>45311</v>
      </c>
      <c r="AE70" s="4" t="s">
        <v>108</v>
      </c>
      <c r="AF70" s="4" t="s">
        <v>109</v>
      </c>
      <c r="AG70" s="4" t="s">
        <v>110</v>
      </c>
      <c r="AH70" s="4" t="s">
        <v>111</v>
      </c>
      <c r="AI70" s="4">
        <v>218901</v>
      </c>
      <c r="AJ70" s="4">
        <v>3456</v>
      </c>
      <c r="AK70" s="4">
        <v>414.4</v>
      </c>
      <c r="AL70" s="4">
        <v>29</v>
      </c>
      <c r="AM70" s="4">
        <v>173456</v>
      </c>
      <c r="AN70" s="4">
        <v>131567</v>
      </c>
      <c r="AO70" s="4">
        <v>103567</v>
      </c>
      <c r="AP70" s="4">
        <v>67234</v>
      </c>
      <c r="AQ70" s="4">
        <v>40567</v>
      </c>
      <c r="AR70" s="4">
        <v>8012</v>
      </c>
      <c r="AS70" s="4">
        <v>2201</v>
      </c>
      <c r="AT70" s="4">
        <v>523</v>
      </c>
      <c r="AV70" s="5">
        <f>T_Facebook_Ads[[#This Row],[date]]</f>
        <v>45311</v>
      </c>
      <c r="AW70">
        <f t="shared" ca="1" si="1"/>
        <v>5</v>
      </c>
      <c r="AX70">
        <f ca="1">ROUND(T_Facebook_Ads[[#This Row],[impressions]]*RANDBETWEEN(8,12)/10,0)</f>
        <v>31110</v>
      </c>
      <c r="AY70">
        <f ca="1">ROUND(T_Facebook_Ads[[#This Row],[clicks]]*RANDBETWEEN(8,12)/10,0)</f>
        <v>987</v>
      </c>
      <c r="AZ70">
        <f ca="1">T_Facebook_Ads[[#This Row],[spend]]*RANDBETWEEN(8,12)/10</f>
        <v>189.6</v>
      </c>
      <c r="BA70">
        <f ca="1">ROUND(T_Facebook_Ads[[#This Row],[conversions]]*RANDBETWEEN(8,12)/10,0)</f>
        <v>19</v>
      </c>
      <c r="BB70">
        <f ca="1">ROUND(T_Facebook_Ads[[#This Row],[video_views]]*RANDBETWEEN(8,12)/10,0)</f>
        <v>3654</v>
      </c>
    </row>
    <row r="71" spans="1:54" ht="15.75" thickBot="1" x14ac:dyDescent="0.3">
      <c r="A71" s="3">
        <v>45311</v>
      </c>
      <c r="B71" s="4" t="s">
        <v>64</v>
      </c>
      <c r="C71" s="4" t="s">
        <v>65</v>
      </c>
      <c r="D71" s="4" t="s">
        <v>66</v>
      </c>
      <c r="E71" s="4" t="s">
        <v>67</v>
      </c>
      <c r="F71" s="4">
        <v>65234</v>
      </c>
      <c r="G71" s="4">
        <v>234</v>
      </c>
      <c r="H71" s="4">
        <v>81.2</v>
      </c>
      <c r="I71" s="4">
        <v>5</v>
      </c>
      <c r="J71" s="4">
        <v>43567</v>
      </c>
      <c r="K71" s="4">
        <v>3.5999999999999999E-3</v>
      </c>
      <c r="L71" s="4">
        <v>53456</v>
      </c>
      <c r="M71" s="4">
        <v>1.19</v>
      </c>
      <c r="O71" s="3">
        <v>45311</v>
      </c>
      <c r="P71" s="4" t="s">
        <v>88</v>
      </c>
      <c r="Q71" s="4" t="s">
        <v>89</v>
      </c>
      <c r="R71" s="4" t="s">
        <v>90</v>
      </c>
      <c r="S71" s="4" t="s">
        <v>59</v>
      </c>
      <c r="T71" s="4">
        <v>124567</v>
      </c>
      <c r="U71" s="4">
        <v>445</v>
      </c>
      <c r="V71" s="4">
        <v>122.3</v>
      </c>
      <c r="W71" s="4">
        <v>12</v>
      </c>
      <c r="X71" s="4">
        <v>600</v>
      </c>
      <c r="Y71" s="4">
        <v>3.5999999999999999E-3</v>
      </c>
      <c r="Z71" s="4">
        <v>0.27</v>
      </c>
      <c r="AA71" s="4">
        <v>7</v>
      </c>
      <c r="AB71" s="4">
        <v>0.33</v>
      </c>
      <c r="AD71" s="3">
        <v>45311</v>
      </c>
      <c r="AE71" s="4" t="s">
        <v>112</v>
      </c>
      <c r="AF71" s="4" t="s">
        <v>113</v>
      </c>
      <c r="AG71" s="4" t="s">
        <v>114</v>
      </c>
      <c r="AH71" s="4" t="s">
        <v>115</v>
      </c>
      <c r="AI71" s="4">
        <v>389012</v>
      </c>
      <c r="AJ71" s="4">
        <v>6234</v>
      </c>
      <c r="AK71" s="4">
        <v>967.8</v>
      </c>
      <c r="AL71" s="4">
        <v>98</v>
      </c>
      <c r="AM71" s="4">
        <v>321234</v>
      </c>
      <c r="AN71" s="4">
        <v>258901</v>
      </c>
      <c r="AO71" s="4">
        <v>207890</v>
      </c>
      <c r="AP71" s="4">
        <v>147234</v>
      </c>
      <c r="AQ71" s="4">
        <v>97456</v>
      </c>
      <c r="AR71" s="4">
        <v>16901</v>
      </c>
      <c r="AS71" s="4">
        <v>4912</v>
      </c>
      <c r="AT71" s="4">
        <v>1345</v>
      </c>
      <c r="AV71" s="5">
        <f>T_Facebook_Ads[[#This Row],[date]]</f>
        <v>45311</v>
      </c>
      <c r="AW71">
        <f t="shared" ca="1" si="1"/>
        <v>2</v>
      </c>
      <c r="AX71">
        <f ca="1">ROUND(T_Facebook_Ads[[#This Row],[impressions]]*RANDBETWEEN(8,12)/10,0)</f>
        <v>65234</v>
      </c>
      <c r="AY71">
        <f ca="1">ROUND(T_Facebook_Ads[[#This Row],[clicks]]*RANDBETWEEN(8,12)/10,0)</f>
        <v>257</v>
      </c>
      <c r="AZ71">
        <f ca="1">T_Facebook_Ads[[#This Row],[spend]]*RANDBETWEEN(8,12)/10</f>
        <v>97.440000000000012</v>
      </c>
      <c r="BA71">
        <f ca="1">ROUND(T_Facebook_Ads[[#This Row],[conversions]]*RANDBETWEEN(8,12)/10,0)</f>
        <v>5</v>
      </c>
      <c r="BB71">
        <f ca="1">ROUND(T_Facebook_Ads[[#This Row],[video_views]]*RANDBETWEEN(8,12)/10,0)</f>
        <v>47924</v>
      </c>
    </row>
    <row r="72" spans="1:54" ht="15.75" thickBot="1" x14ac:dyDescent="0.3">
      <c r="A72" s="3">
        <v>45312</v>
      </c>
      <c r="B72" s="4" t="s">
        <v>52</v>
      </c>
      <c r="C72" s="4" t="s">
        <v>53</v>
      </c>
      <c r="D72" s="4" t="s">
        <v>54</v>
      </c>
      <c r="E72" s="4" t="s">
        <v>55</v>
      </c>
      <c r="F72" s="4">
        <v>41567</v>
      </c>
      <c r="G72" s="4">
        <v>823</v>
      </c>
      <c r="H72" s="4">
        <v>118.9</v>
      </c>
      <c r="I72" s="4">
        <v>12</v>
      </c>
      <c r="J72" s="4">
        <v>7456</v>
      </c>
      <c r="K72" s="4">
        <v>1.9800000000000002E-2</v>
      </c>
      <c r="L72" s="4">
        <v>35123</v>
      </c>
      <c r="M72" s="4">
        <v>1.18</v>
      </c>
      <c r="O72" s="3">
        <v>45312</v>
      </c>
      <c r="P72" s="4" t="s">
        <v>76</v>
      </c>
      <c r="Q72" s="4" t="s">
        <v>77</v>
      </c>
      <c r="R72" s="4" t="s">
        <v>78</v>
      </c>
      <c r="S72" s="4" t="s">
        <v>79</v>
      </c>
      <c r="T72" s="4">
        <v>21567</v>
      </c>
      <c r="U72" s="4">
        <v>1089</v>
      </c>
      <c r="V72" s="4">
        <v>207.8</v>
      </c>
      <c r="W72" s="4">
        <v>41</v>
      </c>
      <c r="X72" s="4">
        <v>2050</v>
      </c>
      <c r="Y72" s="4">
        <v>5.0500000000000003E-2</v>
      </c>
      <c r="Z72" s="4">
        <v>0.19</v>
      </c>
      <c r="AA72" s="4">
        <v>9</v>
      </c>
      <c r="AB72" s="4">
        <v>0.88</v>
      </c>
      <c r="AD72" s="3">
        <v>45312</v>
      </c>
      <c r="AE72" s="4" t="s">
        <v>100</v>
      </c>
      <c r="AF72" s="4" t="s">
        <v>101</v>
      </c>
      <c r="AG72" s="4" t="s">
        <v>102</v>
      </c>
      <c r="AH72" s="4" t="s">
        <v>103</v>
      </c>
      <c r="AI72" s="4">
        <v>234567</v>
      </c>
      <c r="AJ72" s="4">
        <v>3456</v>
      </c>
      <c r="AK72" s="4">
        <v>445.7</v>
      </c>
      <c r="AL72" s="4">
        <v>34</v>
      </c>
      <c r="AM72" s="4">
        <v>195234</v>
      </c>
      <c r="AN72" s="4">
        <v>153456</v>
      </c>
      <c r="AO72" s="4">
        <v>96234</v>
      </c>
      <c r="AP72" s="4">
        <v>65234</v>
      </c>
      <c r="AQ72" s="4">
        <v>43567</v>
      </c>
      <c r="AR72" s="4">
        <v>8756</v>
      </c>
      <c r="AS72" s="4">
        <v>2234</v>
      </c>
      <c r="AT72" s="4">
        <v>534</v>
      </c>
      <c r="AV72" s="5">
        <f>T_Facebook_Ads[[#This Row],[date]]</f>
        <v>45312</v>
      </c>
      <c r="AW72">
        <f t="shared" ca="1" si="1"/>
        <v>1</v>
      </c>
      <c r="AX72">
        <f ca="1">ROUND(T_Facebook_Ads[[#This Row],[impressions]]*RANDBETWEEN(8,12)/10,0)</f>
        <v>33254</v>
      </c>
      <c r="AY72">
        <f ca="1">ROUND(T_Facebook_Ads[[#This Row],[clicks]]*RANDBETWEEN(8,12)/10,0)</f>
        <v>741</v>
      </c>
      <c r="AZ72">
        <f ca="1">T_Facebook_Ads[[#This Row],[spend]]*RANDBETWEEN(8,12)/10</f>
        <v>130.79000000000002</v>
      </c>
      <c r="BA72">
        <f ca="1">ROUND(T_Facebook_Ads[[#This Row],[conversions]]*RANDBETWEEN(8,12)/10,0)</f>
        <v>11</v>
      </c>
      <c r="BB72">
        <f ca="1">ROUND(T_Facebook_Ads[[#This Row],[video_views]]*RANDBETWEEN(8,12)/10,0)</f>
        <v>8202</v>
      </c>
    </row>
    <row r="73" spans="1:54" ht="15.75" thickBot="1" x14ac:dyDescent="0.3">
      <c r="A73" s="3">
        <v>45312</v>
      </c>
      <c r="B73" s="4" t="s">
        <v>56</v>
      </c>
      <c r="C73" s="4" t="s">
        <v>57</v>
      </c>
      <c r="D73" s="4" t="s">
        <v>58</v>
      </c>
      <c r="E73" s="4" t="s">
        <v>59</v>
      </c>
      <c r="F73" s="4">
        <v>10234</v>
      </c>
      <c r="G73" s="4">
        <v>467</v>
      </c>
      <c r="H73" s="4">
        <v>178.4</v>
      </c>
      <c r="I73" s="4">
        <v>30</v>
      </c>
      <c r="J73" s="4">
        <v>945</v>
      </c>
      <c r="K73" s="4">
        <v>4.5600000000000002E-2</v>
      </c>
      <c r="L73" s="4">
        <v>8456</v>
      </c>
      <c r="M73" s="4">
        <v>1.21</v>
      </c>
      <c r="O73" s="3">
        <v>45312</v>
      </c>
      <c r="P73" s="4" t="s">
        <v>80</v>
      </c>
      <c r="Q73" s="4" t="s">
        <v>81</v>
      </c>
      <c r="R73" s="4" t="s">
        <v>82</v>
      </c>
      <c r="S73" s="4" t="s">
        <v>83</v>
      </c>
      <c r="T73" s="4">
        <v>38901</v>
      </c>
      <c r="U73" s="4">
        <v>778</v>
      </c>
      <c r="V73" s="4">
        <v>498.7</v>
      </c>
      <c r="W73" s="4">
        <v>19</v>
      </c>
      <c r="X73" s="4">
        <v>950</v>
      </c>
      <c r="Y73" s="4">
        <v>0.02</v>
      </c>
      <c r="Z73" s="4">
        <v>0.64</v>
      </c>
      <c r="AA73" s="4">
        <v>6</v>
      </c>
      <c r="AB73" s="4">
        <v>0.41</v>
      </c>
      <c r="AD73" s="3">
        <v>45312</v>
      </c>
      <c r="AE73" s="4" t="s">
        <v>104</v>
      </c>
      <c r="AF73" s="4" t="s">
        <v>105</v>
      </c>
      <c r="AG73" s="4" t="s">
        <v>106</v>
      </c>
      <c r="AH73" s="4" t="s">
        <v>107</v>
      </c>
      <c r="AI73" s="4">
        <v>128901</v>
      </c>
      <c r="AJ73" s="4">
        <v>2456</v>
      </c>
      <c r="AK73" s="4">
        <v>678.9</v>
      </c>
      <c r="AL73" s="4">
        <v>67</v>
      </c>
      <c r="AM73" s="4">
        <v>89234</v>
      </c>
      <c r="AN73" s="4">
        <v>67234</v>
      </c>
      <c r="AO73" s="4">
        <v>45234</v>
      </c>
      <c r="AP73" s="4">
        <v>34234</v>
      </c>
      <c r="AQ73" s="4">
        <v>23456</v>
      </c>
      <c r="AR73" s="4">
        <v>4567</v>
      </c>
      <c r="AS73" s="4">
        <v>1234</v>
      </c>
      <c r="AT73" s="4">
        <v>234</v>
      </c>
      <c r="AV73" s="5">
        <f>T_Facebook_Ads[[#This Row],[date]]</f>
        <v>45312</v>
      </c>
      <c r="AW73">
        <f t="shared" ca="1" si="1"/>
        <v>5</v>
      </c>
      <c r="AX73">
        <f ca="1">ROUND(T_Facebook_Ads[[#This Row],[impressions]]*RANDBETWEEN(8,12)/10,0)</f>
        <v>8187</v>
      </c>
      <c r="AY73">
        <f ca="1">ROUND(T_Facebook_Ads[[#This Row],[clicks]]*RANDBETWEEN(8,12)/10,0)</f>
        <v>467</v>
      </c>
      <c r="AZ73">
        <f ca="1">T_Facebook_Ads[[#This Row],[spend]]*RANDBETWEEN(8,12)/10</f>
        <v>178.4</v>
      </c>
      <c r="BA73">
        <f ca="1">ROUND(T_Facebook_Ads[[#This Row],[conversions]]*RANDBETWEEN(8,12)/10,0)</f>
        <v>30</v>
      </c>
      <c r="BB73">
        <f ca="1">ROUND(T_Facebook_Ads[[#This Row],[video_views]]*RANDBETWEEN(8,12)/10,0)</f>
        <v>1134</v>
      </c>
    </row>
    <row r="74" spans="1:54" ht="15.75" thickBot="1" x14ac:dyDescent="0.3">
      <c r="A74" s="3">
        <v>45312</v>
      </c>
      <c r="B74" s="4" t="s">
        <v>60</v>
      </c>
      <c r="C74" s="4" t="s">
        <v>61</v>
      </c>
      <c r="D74" s="4" t="s">
        <v>62</v>
      </c>
      <c r="E74" s="4" t="s">
        <v>63</v>
      </c>
      <c r="F74" s="4">
        <v>32890</v>
      </c>
      <c r="G74" s="4">
        <v>1178</v>
      </c>
      <c r="H74" s="4">
        <v>171.2</v>
      </c>
      <c r="I74" s="4">
        <v>22</v>
      </c>
      <c r="J74" s="4">
        <v>3789</v>
      </c>
      <c r="K74" s="4">
        <v>3.5799999999999998E-2</v>
      </c>
      <c r="L74" s="4">
        <v>27234</v>
      </c>
      <c r="M74" s="4">
        <v>1.21</v>
      </c>
      <c r="O74" s="3">
        <v>45312</v>
      </c>
      <c r="P74" s="4" t="s">
        <v>84</v>
      </c>
      <c r="Q74" s="4" t="s">
        <v>85</v>
      </c>
      <c r="R74" s="4" t="s">
        <v>86</v>
      </c>
      <c r="S74" s="4" t="s">
        <v>87</v>
      </c>
      <c r="T74" s="4">
        <v>62345</v>
      </c>
      <c r="U74" s="4">
        <v>1989</v>
      </c>
      <c r="V74" s="4">
        <v>365.4</v>
      </c>
      <c r="W74" s="4">
        <v>57</v>
      </c>
      <c r="X74" s="4">
        <v>2850</v>
      </c>
      <c r="Y74" s="4">
        <v>3.1899999999999998E-2</v>
      </c>
      <c r="Z74" s="4">
        <v>0.18</v>
      </c>
      <c r="AA74" s="4">
        <v>8</v>
      </c>
      <c r="AB74" s="4">
        <v>0.63</v>
      </c>
      <c r="AD74" s="3">
        <v>45312</v>
      </c>
      <c r="AE74" s="4" t="s">
        <v>108</v>
      </c>
      <c r="AF74" s="4" t="s">
        <v>109</v>
      </c>
      <c r="AG74" s="4" t="s">
        <v>110</v>
      </c>
      <c r="AH74" s="4" t="s">
        <v>111</v>
      </c>
      <c r="AI74" s="4">
        <v>201234</v>
      </c>
      <c r="AJ74" s="4">
        <v>3123</v>
      </c>
      <c r="AK74" s="4">
        <v>374.5</v>
      </c>
      <c r="AL74" s="4">
        <v>26</v>
      </c>
      <c r="AM74" s="4">
        <v>157890</v>
      </c>
      <c r="AN74" s="4">
        <v>121234</v>
      </c>
      <c r="AO74" s="4">
        <v>96234</v>
      </c>
      <c r="AP74" s="4">
        <v>61234</v>
      </c>
      <c r="AQ74" s="4">
        <v>37456</v>
      </c>
      <c r="AR74" s="4">
        <v>7345</v>
      </c>
      <c r="AS74" s="4">
        <v>2034</v>
      </c>
      <c r="AT74" s="4">
        <v>489</v>
      </c>
      <c r="AV74" s="5">
        <f>T_Facebook_Ads[[#This Row],[date]]</f>
        <v>45312</v>
      </c>
      <c r="AW74">
        <f t="shared" ca="1" si="1"/>
        <v>8</v>
      </c>
      <c r="AX74">
        <f ca="1">ROUND(T_Facebook_Ads[[#This Row],[impressions]]*RANDBETWEEN(8,12)/10,0)</f>
        <v>39468</v>
      </c>
      <c r="AY74">
        <f ca="1">ROUND(T_Facebook_Ads[[#This Row],[clicks]]*RANDBETWEEN(8,12)/10,0)</f>
        <v>1414</v>
      </c>
      <c r="AZ74">
        <f ca="1">T_Facebook_Ads[[#This Row],[spend]]*RANDBETWEEN(8,12)/10</f>
        <v>171.2</v>
      </c>
      <c r="BA74">
        <f ca="1">ROUND(T_Facebook_Ads[[#This Row],[conversions]]*RANDBETWEEN(8,12)/10,0)</f>
        <v>24</v>
      </c>
      <c r="BB74">
        <f ca="1">ROUND(T_Facebook_Ads[[#This Row],[video_views]]*RANDBETWEEN(8,12)/10,0)</f>
        <v>3031</v>
      </c>
    </row>
    <row r="75" spans="1:54" ht="15.75" thickBot="1" x14ac:dyDescent="0.3">
      <c r="A75" s="3">
        <v>45312</v>
      </c>
      <c r="B75" s="4" t="s">
        <v>64</v>
      </c>
      <c r="C75" s="4" t="s">
        <v>65</v>
      </c>
      <c r="D75" s="4" t="s">
        <v>66</v>
      </c>
      <c r="E75" s="4" t="s">
        <v>67</v>
      </c>
      <c r="F75" s="4">
        <v>62345</v>
      </c>
      <c r="G75" s="4">
        <v>223</v>
      </c>
      <c r="H75" s="4">
        <v>76.3</v>
      </c>
      <c r="I75" s="4">
        <v>4</v>
      </c>
      <c r="J75" s="4">
        <v>41234</v>
      </c>
      <c r="K75" s="4">
        <v>3.5999999999999999E-3</v>
      </c>
      <c r="L75" s="4">
        <v>51567</v>
      </c>
      <c r="M75" s="4">
        <v>1.2</v>
      </c>
      <c r="O75" s="3">
        <v>45312</v>
      </c>
      <c r="P75" s="4" t="s">
        <v>88</v>
      </c>
      <c r="Q75" s="4" t="s">
        <v>89</v>
      </c>
      <c r="R75" s="4" t="s">
        <v>90</v>
      </c>
      <c r="S75" s="4" t="s">
        <v>59</v>
      </c>
      <c r="T75" s="4">
        <v>118234</v>
      </c>
      <c r="U75" s="4">
        <v>423</v>
      </c>
      <c r="V75" s="4">
        <v>116.2</v>
      </c>
      <c r="W75" s="4">
        <v>11</v>
      </c>
      <c r="X75" s="4">
        <v>550</v>
      </c>
      <c r="Y75" s="4">
        <v>3.5999999999999999E-3</v>
      </c>
      <c r="Z75" s="4">
        <v>0.27</v>
      </c>
      <c r="AA75" s="4">
        <v>7</v>
      </c>
      <c r="AB75" s="4">
        <v>0.32</v>
      </c>
      <c r="AD75" s="3">
        <v>45312</v>
      </c>
      <c r="AE75" s="4" t="s">
        <v>112</v>
      </c>
      <c r="AF75" s="4" t="s">
        <v>113</v>
      </c>
      <c r="AG75" s="4" t="s">
        <v>114</v>
      </c>
      <c r="AH75" s="4" t="s">
        <v>115</v>
      </c>
      <c r="AI75" s="4">
        <v>367890</v>
      </c>
      <c r="AJ75" s="4">
        <v>6012</v>
      </c>
      <c r="AK75" s="4">
        <v>923.4</v>
      </c>
      <c r="AL75" s="4">
        <v>94</v>
      </c>
      <c r="AM75" s="4">
        <v>301234</v>
      </c>
      <c r="AN75" s="4">
        <v>245678</v>
      </c>
      <c r="AO75" s="4">
        <v>196789</v>
      </c>
      <c r="AP75" s="4">
        <v>140234</v>
      </c>
      <c r="AQ75" s="4">
        <v>93456</v>
      </c>
      <c r="AR75" s="4">
        <v>16234</v>
      </c>
      <c r="AS75" s="4">
        <v>4789</v>
      </c>
      <c r="AT75" s="4">
        <v>1289</v>
      </c>
      <c r="AV75" s="5">
        <f>T_Facebook_Ads[[#This Row],[date]]</f>
        <v>45312</v>
      </c>
      <c r="AW75">
        <f t="shared" ca="1" si="1"/>
        <v>8</v>
      </c>
      <c r="AX75">
        <f ca="1">ROUND(T_Facebook_Ads[[#This Row],[impressions]]*RANDBETWEEN(8,12)/10,0)</f>
        <v>68580</v>
      </c>
      <c r="AY75">
        <f ca="1">ROUND(T_Facebook_Ads[[#This Row],[clicks]]*RANDBETWEEN(8,12)/10,0)</f>
        <v>223</v>
      </c>
      <c r="AZ75">
        <f ca="1">T_Facebook_Ads[[#This Row],[spend]]*RANDBETWEEN(8,12)/10</f>
        <v>91.559999999999988</v>
      </c>
      <c r="BA75">
        <f ca="1">ROUND(T_Facebook_Ads[[#This Row],[conversions]]*RANDBETWEEN(8,12)/10,0)</f>
        <v>4</v>
      </c>
      <c r="BB75">
        <f ca="1">ROUND(T_Facebook_Ads[[#This Row],[video_views]]*RANDBETWEEN(8,12)/10,0)</f>
        <v>45357</v>
      </c>
    </row>
    <row r="76" spans="1:54" ht="15.75" thickBot="1" x14ac:dyDescent="0.3">
      <c r="A76" s="3">
        <v>45313</v>
      </c>
      <c r="B76" s="4" t="s">
        <v>52</v>
      </c>
      <c r="C76" s="4" t="s">
        <v>53</v>
      </c>
      <c r="D76" s="4" t="s">
        <v>54</v>
      </c>
      <c r="E76" s="4" t="s">
        <v>55</v>
      </c>
      <c r="F76" s="4">
        <v>45234</v>
      </c>
      <c r="G76" s="4">
        <v>912</v>
      </c>
      <c r="H76" s="4">
        <v>129.80000000000001</v>
      </c>
      <c r="I76" s="4">
        <v>14</v>
      </c>
      <c r="J76" s="4">
        <v>8234</v>
      </c>
      <c r="K76" s="4">
        <v>2.0199999999999999E-2</v>
      </c>
      <c r="L76" s="4">
        <v>38567</v>
      </c>
      <c r="M76" s="4">
        <v>1.17</v>
      </c>
      <c r="O76" s="3">
        <v>45313</v>
      </c>
      <c r="P76" s="4" t="s">
        <v>76</v>
      </c>
      <c r="Q76" s="4" t="s">
        <v>77</v>
      </c>
      <c r="R76" s="4" t="s">
        <v>78</v>
      </c>
      <c r="S76" s="4" t="s">
        <v>79</v>
      </c>
      <c r="T76" s="4">
        <v>24234</v>
      </c>
      <c r="U76" s="4">
        <v>1267</v>
      </c>
      <c r="V76" s="4">
        <v>241.2</v>
      </c>
      <c r="W76" s="4">
        <v>47</v>
      </c>
      <c r="X76" s="4">
        <v>2350</v>
      </c>
      <c r="Y76" s="4">
        <v>5.2299999999999999E-2</v>
      </c>
      <c r="Z76" s="4">
        <v>0.19</v>
      </c>
      <c r="AA76" s="4">
        <v>9</v>
      </c>
      <c r="AB76" s="4">
        <v>0.91</v>
      </c>
      <c r="AD76" s="3">
        <v>45313</v>
      </c>
      <c r="AE76" s="4" t="s">
        <v>100</v>
      </c>
      <c r="AF76" s="4" t="s">
        <v>101</v>
      </c>
      <c r="AG76" s="4" t="s">
        <v>102</v>
      </c>
      <c r="AH76" s="4" t="s">
        <v>103</v>
      </c>
      <c r="AI76" s="4">
        <v>267890</v>
      </c>
      <c r="AJ76" s="4">
        <v>3945</v>
      </c>
      <c r="AK76" s="4">
        <v>523.4</v>
      </c>
      <c r="AL76" s="4">
        <v>40</v>
      </c>
      <c r="AM76" s="4">
        <v>221234</v>
      </c>
      <c r="AN76" s="4">
        <v>173456</v>
      </c>
      <c r="AO76" s="4">
        <v>109234</v>
      </c>
      <c r="AP76" s="4">
        <v>73567</v>
      </c>
      <c r="AQ76" s="4">
        <v>49234</v>
      </c>
      <c r="AR76" s="4">
        <v>9789</v>
      </c>
      <c r="AS76" s="4">
        <v>2634</v>
      </c>
      <c r="AT76" s="4">
        <v>623</v>
      </c>
      <c r="AV76" s="5">
        <f>T_Facebook_Ads[[#This Row],[date]]</f>
        <v>45313</v>
      </c>
      <c r="AW76">
        <f t="shared" ca="1" si="1"/>
        <v>6</v>
      </c>
      <c r="AX76">
        <f ca="1">ROUND(T_Facebook_Ads[[#This Row],[impressions]]*RANDBETWEEN(8,12)/10,0)</f>
        <v>36187</v>
      </c>
      <c r="AY76">
        <f ca="1">ROUND(T_Facebook_Ads[[#This Row],[clicks]]*RANDBETWEEN(8,12)/10,0)</f>
        <v>912</v>
      </c>
      <c r="AZ76">
        <f ca="1">T_Facebook_Ads[[#This Row],[spend]]*RANDBETWEEN(8,12)/10</f>
        <v>103.84</v>
      </c>
      <c r="BA76">
        <f ca="1">ROUND(T_Facebook_Ads[[#This Row],[conversions]]*RANDBETWEEN(8,12)/10,0)</f>
        <v>11</v>
      </c>
      <c r="BB76">
        <f ca="1">ROUND(T_Facebook_Ads[[#This Row],[video_views]]*RANDBETWEEN(8,12)/10,0)</f>
        <v>6587</v>
      </c>
    </row>
    <row r="77" spans="1:54" ht="15.75" thickBot="1" x14ac:dyDescent="0.3">
      <c r="A77" s="3">
        <v>45313</v>
      </c>
      <c r="B77" s="4" t="s">
        <v>56</v>
      </c>
      <c r="C77" s="4" t="s">
        <v>57</v>
      </c>
      <c r="D77" s="4" t="s">
        <v>58</v>
      </c>
      <c r="E77" s="4" t="s">
        <v>59</v>
      </c>
      <c r="F77" s="4">
        <v>12456</v>
      </c>
      <c r="G77" s="4">
        <v>567</v>
      </c>
      <c r="H77" s="4">
        <v>209.6</v>
      </c>
      <c r="I77" s="4">
        <v>36</v>
      </c>
      <c r="J77" s="4">
        <v>1234</v>
      </c>
      <c r="K77" s="4">
        <v>4.5499999999999999E-2</v>
      </c>
      <c r="L77" s="4">
        <v>9876</v>
      </c>
      <c r="M77" s="4">
        <v>1.26</v>
      </c>
      <c r="O77" s="3">
        <v>45313</v>
      </c>
      <c r="P77" s="4" t="s">
        <v>80</v>
      </c>
      <c r="Q77" s="4" t="s">
        <v>81</v>
      </c>
      <c r="R77" s="4" t="s">
        <v>82</v>
      </c>
      <c r="S77" s="4" t="s">
        <v>83</v>
      </c>
      <c r="T77" s="4">
        <v>42890</v>
      </c>
      <c r="U77" s="4">
        <v>845</v>
      </c>
      <c r="V77" s="4">
        <v>549.29999999999995</v>
      </c>
      <c r="W77" s="4">
        <v>22</v>
      </c>
      <c r="X77" s="4">
        <v>1100</v>
      </c>
      <c r="Y77" s="4">
        <v>1.9699999999999999E-2</v>
      </c>
      <c r="Z77" s="4">
        <v>0.65</v>
      </c>
      <c r="AA77" s="4">
        <v>7</v>
      </c>
      <c r="AB77" s="4">
        <v>0.44</v>
      </c>
      <c r="AD77" s="3">
        <v>45313</v>
      </c>
      <c r="AE77" s="4" t="s">
        <v>104</v>
      </c>
      <c r="AF77" s="4" t="s">
        <v>105</v>
      </c>
      <c r="AG77" s="4" t="s">
        <v>106</v>
      </c>
      <c r="AH77" s="4" t="s">
        <v>107</v>
      </c>
      <c r="AI77" s="4">
        <v>148901</v>
      </c>
      <c r="AJ77" s="4">
        <v>2834</v>
      </c>
      <c r="AK77" s="4">
        <v>767.5</v>
      </c>
      <c r="AL77" s="4">
        <v>77</v>
      </c>
      <c r="AM77" s="4">
        <v>103456</v>
      </c>
      <c r="AN77" s="4">
        <v>76234</v>
      </c>
      <c r="AO77" s="4">
        <v>51234</v>
      </c>
      <c r="AP77" s="4">
        <v>38567</v>
      </c>
      <c r="AQ77" s="4">
        <v>25789</v>
      </c>
      <c r="AR77" s="4">
        <v>5123</v>
      </c>
      <c r="AS77" s="4">
        <v>1456</v>
      </c>
      <c r="AT77" s="4">
        <v>278</v>
      </c>
      <c r="AV77" s="5">
        <f>T_Facebook_Ads[[#This Row],[date]]</f>
        <v>45313</v>
      </c>
      <c r="AW77">
        <f t="shared" ca="1" si="1"/>
        <v>8</v>
      </c>
      <c r="AX77">
        <f ca="1">ROUND(T_Facebook_Ads[[#This Row],[impressions]]*RANDBETWEEN(8,12)/10,0)</f>
        <v>9965</v>
      </c>
      <c r="AY77">
        <f ca="1">ROUND(T_Facebook_Ads[[#This Row],[clicks]]*RANDBETWEEN(8,12)/10,0)</f>
        <v>454</v>
      </c>
      <c r="AZ77">
        <f ca="1">T_Facebook_Ads[[#This Row],[spend]]*RANDBETWEEN(8,12)/10</f>
        <v>251.51999999999998</v>
      </c>
      <c r="BA77">
        <f ca="1">ROUND(T_Facebook_Ads[[#This Row],[conversions]]*RANDBETWEEN(8,12)/10,0)</f>
        <v>40</v>
      </c>
      <c r="BB77">
        <f ca="1">ROUND(T_Facebook_Ads[[#This Row],[video_views]]*RANDBETWEEN(8,12)/10,0)</f>
        <v>1234</v>
      </c>
    </row>
    <row r="78" spans="1:54" ht="15.75" thickBot="1" x14ac:dyDescent="0.3">
      <c r="A78" s="3">
        <v>45313</v>
      </c>
      <c r="B78" s="4" t="s">
        <v>60</v>
      </c>
      <c r="C78" s="4" t="s">
        <v>61</v>
      </c>
      <c r="D78" s="4" t="s">
        <v>62</v>
      </c>
      <c r="E78" s="4" t="s">
        <v>63</v>
      </c>
      <c r="F78" s="4">
        <v>35123</v>
      </c>
      <c r="G78" s="4">
        <v>1267</v>
      </c>
      <c r="H78" s="4">
        <v>194.5</v>
      </c>
      <c r="I78" s="4">
        <v>26</v>
      </c>
      <c r="J78" s="4">
        <v>4345</v>
      </c>
      <c r="K78" s="4">
        <v>3.61E-2</v>
      </c>
      <c r="L78" s="4">
        <v>29123</v>
      </c>
      <c r="M78" s="4">
        <v>1.21</v>
      </c>
      <c r="O78" s="3">
        <v>45313</v>
      </c>
      <c r="P78" s="4" t="s">
        <v>84</v>
      </c>
      <c r="Q78" s="4" t="s">
        <v>85</v>
      </c>
      <c r="R78" s="4" t="s">
        <v>86</v>
      </c>
      <c r="S78" s="4" t="s">
        <v>87</v>
      </c>
      <c r="T78" s="4">
        <v>66789</v>
      </c>
      <c r="U78" s="4">
        <v>2223</v>
      </c>
      <c r="V78" s="4">
        <v>407.9</v>
      </c>
      <c r="W78" s="4">
        <v>64</v>
      </c>
      <c r="X78" s="4">
        <v>3200</v>
      </c>
      <c r="Y78" s="4">
        <v>3.3300000000000003E-2</v>
      </c>
      <c r="Z78" s="4">
        <v>0.18</v>
      </c>
      <c r="AA78" s="4">
        <v>8</v>
      </c>
      <c r="AB78" s="4">
        <v>0.66</v>
      </c>
      <c r="AD78" s="3">
        <v>45313</v>
      </c>
      <c r="AE78" s="4" t="s">
        <v>108</v>
      </c>
      <c r="AF78" s="4" t="s">
        <v>109</v>
      </c>
      <c r="AG78" s="4" t="s">
        <v>110</v>
      </c>
      <c r="AH78" s="4" t="s">
        <v>111</v>
      </c>
      <c r="AI78" s="4">
        <v>228901</v>
      </c>
      <c r="AJ78" s="4">
        <v>3634</v>
      </c>
      <c r="AK78" s="4">
        <v>441.9</v>
      </c>
      <c r="AL78" s="4">
        <v>31</v>
      </c>
      <c r="AM78" s="4">
        <v>182345</v>
      </c>
      <c r="AN78" s="4">
        <v>137890</v>
      </c>
      <c r="AO78" s="4">
        <v>108901</v>
      </c>
      <c r="AP78" s="4">
        <v>70567</v>
      </c>
      <c r="AQ78" s="4">
        <v>42789</v>
      </c>
      <c r="AR78" s="4">
        <v>8456</v>
      </c>
      <c r="AS78" s="4">
        <v>2301</v>
      </c>
      <c r="AT78" s="4">
        <v>545</v>
      </c>
      <c r="AV78" s="5">
        <f>T_Facebook_Ads[[#This Row],[date]]</f>
        <v>45313</v>
      </c>
      <c r="AW78">
        <f t="shared" ca="1" si="1"/>
        <v>8</v>
      </c>
      <c r="AX78">
        <f ca="1">ROUND(T_Facebook_Ads[[#This Row],[impressions]]*RANDBETWEEN(8,12)/10,0)</f>
        <v>35123</v>
      </c>
      <c r="AY78">
        <f ca="1">ROUND(T_Facebook_Ads[[#This Row],[clicks]]*RANDBETWEEN(8,12)/10,0)</f>
        <v>1520</v>
      </c>
      <c r="AZ78">
        <f ca="1">T_Facebook_Ads[[#This Row],[spend]]*RANDBETWEEN(8,12)/10</f>
        <v>213.95</v>
      </c>
      <c r="BA78">
        <f ca="1">ROUND(T_Facebook_Ads[[#This Row],[conversions]]*RANDBETWEEN(8,12)/10,0)</f>
        <v>31</v>
      </c>
      <c r="BB78">
        <f ca="1">ROUND(T_Facebook_Ads[[#This Row],[video_views]]*RANDBETWEEN(8,12)/10,0)</f>
        <v>3476</v>
      </c>
    </row>
    <row r="79" spans="1:54" ht="15.75" thickBot="1" x14ac:dyDescent="0.3">
      <c r="A79" s="3">
        <v>45313</v>
      </c>
      <c r="B79" s="4" t="s">
        <v>64</v>
      </c>
      <c r="C79" s="4" t="s">
        <v>65</v>
      </c>
      <c r="D79" s="4" t="s">
        <v>66</v>
      </c>
      <c r="E79" s="4" t="s">
        <v>67</v>
      </c>
      <c r="F79" s="4">
        <v>66789</v>
      </c>
      <c r="G79" s="4">
        <v>245</v>
      </c>
      <c r="H79" s="4">
        <v>84.7</v>
      </c>
      <c r="I79" s="4">
        <v>5</v>
      </c>
      <c r="J79" s="4">
        <v>44567</v>
      </c>
      <c r="K79" s="4">
        <v>3.7000000000000002E-3</v>
      </c>
      <c r="L79" s="4">
        <v>54890</v>
      </c>
      <c r="M79" s="4">
        <v>1.22</v>
      </c>
      <c r="O79" s="3">
        <v>45313</v>
      </c>
      <c r="P79" s="4" t="s">
        <v>88</v>
      </c>
      <c r="Q79" s="4" t="s">
        <v>89</v>
      </c>
      <c r="R79" s="4" t="s">
        <v>90</v>
      </c>
      <c r="S79" s="4" t="s">
        <v>59</v>
      </c>
      <c r="T79" s="4">
        <v>127890</v>
      </c>
      <c r="U79" s="4">
        <v>456</v>
      </c>
      <c r="V79" s="4">
        <v>125.6</v>
      </c>
      <c r="W79" s="4">
        <v>13</v>
      </c>
      <c r="X79" s="4">
        <v>650</v>
      </c>
      <c r="Y79" s="4">
        <v>3.5999999999999999E-3</v>
      </c>
      <c r="Z79" s="4">
        <v>0.28000000000000003</v>
      </c>
      <c r="AA79" s="4">
        <v>7</v>
      </c>
      <c r="AB79" s="4">
        <v>0.34</v>
      </c>
      <c r="AD79" s="3">
        <v>45313</v>
      </c>
      <c r="AE79" s="4" t="s">
        <v>112</v>
      </c>
      <c r="AF79" s="4" t="s">
        <v>113</v>
      </c>
      <c r="AG79" s="4" t="s">
        <v>114</v>
      </c>
      <c r="AH79" s="4" t="s">
        <v>115</v>
      </c>
      <c r="AI79" s="4">
        <v>398567</v>
      </c>
      <c r="AJ79" s="4">
        <v>6534</v>
      </c>
      <c r="AK79" s="4">
        <v>998.7</v>
      </c>
      <c r="AL79" s="4">
        <v>98</v>
      </c>
      <c r="AM79" s="4">
        <v>332345</v>
      </c>
      <c r="AN79" s="4">
        <v>267890</v>
      </c>
      <c r="AO79" s="4">
        <v>214567</v>
      </c>
      <c r="AP79" s="4">
        <v>151234</v>
      </c>
      <c r="AQ79" s="4">
        <v>99567</v>
      </c>
      <c r="AR79" s="4">
        <v>17756</v>
      </c>
      <c r="AS79" s="4">
        <v>5012</v>
      </c>
      <c r="AT79" s="4">
        <v>1389</v>
      </c>
      <c r="AV79" s="5">
        <f>T_Facebook_Ads[[#This Row],[date]]</f>
        <v>45313</v>
      </c>
      <c r="AW79">
        <f t="shared" ca="1" si="1"/>
        <v>7</v>
      </c>
      <c r="AX79">
        <f ca="1">ROUND(T_Facebook_Ads[[#This Row],[impressions]]*RANDBETWEEN(8,12)/10,0)</f>
        <v>66789</v>
      </c>
      <c r="AY79">
        <f ca="1">ROUND(T_Facebook_Ads[[#This Row],[clicks]]*RANDBETWEEN(8,12)/10,0)</f>
        <v>196</v>
      </c>
      <c r="AZ79">
        <f ca="1">T_Facebook_Ads[[#This Row],[spend]]*RANDBETWEEN(8,12)/10</f>
        <v>67.760000000000005</v>
      </c>
      <c r="BA79">
        <f ca="1">ROUND(T_Facebook_Ads[[#This Row],[conversions]]*RANDBETWEEN(8,12)/10,0)</f>
        <v>6</v>
      </c>
      <c r="BB79">
        <f ca="1">ROUND(T_Facebook_Ads[[#This Row],[video_views]]*RANDBETWEEN(8,12)/10,0)</f>
        <v>49024</v>
      </c>
    </row>
    <row r="80" spans="1:54" ht="15.75" thickBot="1" x14ac:dyDescent="0.3">
      <c r="A80" s="3">
        <v>45314</v>
      </c>
      <c r="B80" s="4" t="s">
        <v>52</v>
      </c>
      <c r="C80" s="4" t="s">
        <v>53</v>
      </c>
      <c r="D80" s="4" t="s">
        <v>54</v>
      </c>
      <c r="E80" s="4" t="s">
        <v>55</v>
      </c>
      <c r="F80" s="4">
        <v>48567</v>
      </c>
      <c r="G80" s="4">
        <v>989</v>
      </c>
      <c r="H80" s="4">
        <v>140.30000000000001</v>
      </c>
      <c r="I80" s="4">
        <v>15</v>
      </c>
      <c r="J80" s="4">
        <v>8945</v>
      </c>
      <c r="K80" s="4">
        <v>2.0400000000000001E-2</v>
      </c>
      <c r="L80" s="4">
        <v>40456</v>
      </c>
      <c r="M80" s="4">
        <v>1.2</v>
      </c>
      <c r="O80" s="3">
        <v>45314</v>
      </c>
      <c r="P80" s="4" t="s">
        <v>76</v>
      </c>
      <c r="Q80" s="4" t="s">
        <v>77</v>
      </c>
      <c r="R80" s="4" t="s">
        <v>78</v>
      </c>
      <c r="S80" s="4" t="s">
        <v>79</v>
      </c>
      <c r="T80" s="4">
        <v>25678</v>
      </c>
      <c r="U80" s="4">
        <v>1356</v>
      </c>
      <c r="V80" s="4">
        <v>259.39999999999998</v>
      </c>
      <c r="W80" s="4">
        <v>51</v>
      </c>
      <c r="X80" s="4">
        <v>2550</v>
      </c>
      <c r="Y80" s="4">
        <v>5.28E-2</v>
      </c>
      <c r="Z80" s="4">
        <v>0.19</v>
      </c>
      <c r="AA80" s="4">
        <v>9</v>
      </c>
      <c r="AB80" s="4">
        <v>0.92</v>
      </c>
      <c r="AD80" s="3">
        <v>45314</v>
      </c>
      <c r="AE80" s="4" t="s">
        <v>100</v>
      </c>
      <c r="AF80" s="4" t="s">
        <v>101</v>
      </c>
      <c r="AG80" s="4" t="s">
        <v>102</v>
      </c>
      <c r="AH80" s="4" t="s">
        <v>103</v>
      </c>
      <c r="AI80" s="4">
        <v>289012</v>
      </c>
      <c r="AJ80" s="4">
        <v>4234</v>
      </c>
      <c r="AK80" s="4">
        <v>556.70000000000005</v>
      </c>
      <c r="AL80" s="4">
        <v>43</v>
      </c>
      <c r="AM80" s="4">
        <v>234567</v>
      </c>
      <c r="AN80" s="4">
        <v>182345</v>
      </c>
      <c r="AO80" s="4">
        <v>114567</v>
      </c>
      <c r="AP80" s="4">
        <v>77234</v>
      </c>
      <c r="AQ80" s="4">
        <v>51234</v>
      </c>
      <c r="AR80" s="4">
        <v>10345</v>
      </c>
      <c r="AS80" s="4">
        <v>2789</v>
      </c>
      <c r="AT80" s="4">
        <v>656</v>
      </c>
      <c r="AV80" s="5">
        <f>T_Facebook_Ads[[#This Row],[date]]</f>
        <v>45314</v>
      </c>
      <c r="AW80">
        <f t="shared" ca="1" si="1"/>
        <v>4</v>
      </c>
      <c r="AX80">
        <f ca="1">ROUND(T_Facebook_Ads[[#This Row],[impressions]]*RANDBETWEEN(8,12)/10,0)</f>
        <v>53424</v>
      </c>
      <c r="AY80">
        <f ca="1">ROUND(T_Facebook_Ads[[#This Row],[clicks]]*RANDBETWEEN(8,12)/10,0)</f>
        <v>1088</v>
      </c>
      <c r="AZ80">
        <f ca="1">T_Facebook_Ads[[#This Row],[spend]]*RANDBETWEEN(8,12)/10</f>
        <v>112.24000000000001</v>
      </c>
      <c r="BA80">
        <f ca="1">ROUND(T_Facebook_Ads[[#This Row],[conversions]]*RANDBETWEEN(8,12)/10,0)</f>
        <v>17</v>
      </c>
      <c r="BB80">
        <f ca="1">ROUND(T_Facebook_Ads[[#This Row],[video_views]]*RANDBETWEEN(8,12)/10,0)</f>
        <v>10734</v>
      </c>
    </row>
    <row r="81" spans="1:54" ht="15.75" thickBot="1" x14ac:dyDescent="0.3">
      <c r="A81" s="3">
        <v>45314</v>
      </c>
      <c r="B81" s="4" t="s">
        <v>56</v>
      </c>
      <c r="C81" s="4" t="s">
        <v>57</v>
      </c>
      <c r="D81" s="4" t="s">
        <v>58</v>
      </c>
      <c r="E81" s="4" t="s">
        <v>59</v>
      </c>
      <c r="F81" s="4">
        <v>13789</v>
      </c>
      <c r="G81" s="4">
        <v>623</v>
      </c>
      <c r="H81" s="4">
        <v>229.8</v>
      </c>
      <c r="I81" s="4">
        <v>38</v>
      </c>
      <c r="J81" s="4">
        <v>1489</v>
      </c>
      <c r="K81" s="4">
        <v>4.5199999999999997E-2</v>
      </c>
      <c r="L81" s="4">
        <v>10789</v>
      </c>
      <c r="M81" s="4">
        <v>1.28</v>
      </c>
      <c r="O81" s="3">
        <v>45314</v>
      </c>
      <c r="P81" s="4" t="s">
        <v>80</v>
      </c>
      <c r="Q81" s="4" t="s">
        <v>81</v>
      </c>
      <c r="R81" s="4" t="s">
        <v>82</v>
      </c>
      <c r="S81" s="4" t="s">
        <v>83</v>
      </c>
      <c r="T81" s="4">
        <v>45123</v>
      </c>
      <c r="U81" s="4">
        <v>912</v>
      </c>
      <c r="V81" s="4">
        <v>577.79999999999995</v>
      </c>
      <c r="W81" s="4">
        <v>24</v>
      </c>
      <c r="X81" s="4">
        <v>1200</v>
      </c>
      <c r="Y81" s="4">
        <v>2.0199999999999999E-2</v>
      </c>
      <c r="Z81" s="4">
        <v>0.63</v>
      </c>
      <c r="AA81" s="4">
        <v>7</v>
      </c>
      <c r="AB81" s="4">
        <v>0.45</v>
      </c>
      <c r="AD81" s="3">
        <v>45314</v>
      </c>
      <c r="AE81" s="4" t="s">
        <v>104</v>
      </c>
      <c r="AF81" s="4" t="s">
        <v>105</v>
      </c>
      <c r="AG81" s="4" t="s">
        <v>106</v>
      </c>
      <c r="AH81" s="4" t="s">
        <v>107</v>
      </c>
      <c r="AI81" s="4">
        <v>156789</v>
      </c>
      <c r="AJ81" s="4">
        <v>3012</v>
      </c>
      <c r="AK81" s="4">
        <v>812.3</v>
      </c>
      <c r="AL81" s="4">
        <v>82</v>
      </c>
      <c r="AM81" s="4">
        <v>109876</v>
      </c>
      <c r="AN81" s="4">
        <v>81234</v>
      </c>
      <c r="AO81" s="4">
        <v>54678</v>
      </c>
      <c r="AP81" s="4">
        <v>41234</v>
      </c>
      <c r="AQ81" s="4">
        <v>27567</v>
      </c>
      <c r="AR81" s="4">
        <v>5456</v>
      </c>
      <c r="AS81" s="4">
        <v>1567</v>
      </c>
      <c r="AT81" s="4">
        <v>289</v>
      </c>
      <c r="AV81" s="5">
        <f>T_Facebook_Ads[[#This Row],[date]]</f>
        <v>45314</v>
      </c>
      <c r="AW81">
        <f t="shared" ca="1" si="1"/>
        <v>2</v>
      </c>
      <c r="AX81">
        <f ca="1">ROUND(T_Facebook_Ads[[#This Row],[impressions]]*RANDBETWEEN(8,12)/10,0)</f>
        <v>11031</v>
      </c>
      <c r="AY81">
        <f ca="1">ROUND(T_Facebook_Ads[[#This Row],[clicks]]*RANDBETWEEN(8,12)/10,0)</f>
        <v>748</v>
      </c>
      <c r="AZ81">
        <f ca="1">T_Facebook_Ads[[#This Row],[spend]]*RANDBETWEEN(8,12)/10</f>
        <v>229.8</v>
      </c>
      <c r="BA81">
        <f ca="1">ROUND(T_Facebook_Ads[[#This Row],[conversions]]*RANDBETWEEN(8,12)/10,0)</f>
        <v>30</v>
      </c>
      <c r="BB81">
        <f ca="1">ROUND(T_Facebook_Ads[[#This Row],[video_views]]*RANDBETWEEN(8,12)/10,0)</f>
        <v>1340</v>
      </c>
    </row>
    <row r="82" spans="1:54" ht="15.75" thickBot="1" x14ac:dyDescent="0.3">
      <c r="A82" s="3">
        <v>45314</v>
      </c>
      <c r="B82" s="4" t="s">
        <v>60</v>
      </c>
      <c r="C82" s="4" t="s">
        <v>61</v>
      </c>
      <c r="D82" s="4" t="s">
        <v>62</v>
      </c>
      <c r="E82" s="4" t="s">
        <v>63</v>
      </c>
      <c r="F82" s="4">
        <v>37456</v>
      </c>
      <c r="G82" s="4">
        <v>1389</v>
      </c>
      <c r="H82" s="4">
        <v>213.4</v>
      </c>
      <c r="I82" s="4">
        <v>29</v>
      </c>
      <c r="J82" s="4">
        <v>4890</v>
      </c>
      <c r="K82" s="4">
        <v>3.7100000000000001E-2</v>
      </c>
      <c r="L82" s="4">
        <v>30567</v>
      </c>
      <c r="M82" s="4">
        <v>1.22</v>
      </c>
      <c r="O82" s="3">
        <v>45314</v>
      </c>
      <c r="P82" s="4" t="s">
        <v>84</v>
      </c>
      <c r="Q82" s="4" t="s">
        <v>85</v>
      </c>
      <c r="R82" s="4" t="s">
        <v>86</v>
      </c>
      <c r="S82" s="4" t="s">
        <v>87</v>
      </c>
      <c r="T82" s="4">
        <v>70234</v>
      </c>
      <c r="U82" s="4">
        <v>2389</v>
      </c>
      <c r="V82" s="4">
        <v>432.6</v>
      </c>
      <c r="W82" s="4">
        <v>69</v>
      </c>
      <c r="X82" s="4">
        <v>3450</v>
      </c>
      <c r="Y82" s="4">
        <v>3.4000000000000002E-2</v>
      </c>
      <c r="Z82" s="4">
        <v>0.18</v>
      </c>
      <c r="AA82" s="4">
        <v>8</v>
      </c>
      <c r="AB82" s="4">
        <v>0.67</v>
      </c>
      <c r="AD82" s="3">
        <v>45314</v>
      </c>
      <c r="AE82" s="4" t="s">
        <v>108</v>
      </c>
      <c r="AF82" s="4" t="s">
        <v>109</v>
      </c>
      <c r="AG82" s="4" t="s">
        <v>110</v>
      </c>
      <c r="AH82" s="4" t="s">
        <v>111</v>
      </c>
      <c r="AI82" s="4">
        <v>245678</v>
      </c>
      <c r="AJ82" s="4">
        <v>3890</v>
      </c>
      <c r="AK82" s="4">
        <v>467.8</v>
      </c>
      <c r="AL82" s="4">
        <v>34</v>
      </c>
      <c r="AM82" s="4">
        <v>195678</v>
      </c>
      <c r="AN82" s="4">
        <v>148234</v>
      </c>
      <c r="AO82" s="4">
        <v>117234</v>
      </c>
      <c r="AP82" s="4">
        <v>75234</v>
      </c>
      <c r="AQ82" s="4">
        <v>45789</v>
      </c>
      <c r="AR82" s="4">
        <v>8567</v>
      </c>
      <c r="AS82" s="4">
        <v>2345</v>
      </c>
      <c r="AT82" s="4">
        <v>567</v>
      </c>
      <c r="AV82" s="5">
        <f>T_Facebook_Ads[[#This Row],[date]]</f>
        <v>45314</v>
      </c>
      <c r="AW82">
        <f t="shared" ca="1" si="1"/>
        <v>4</v>
      </c>
      <c r="AX82">
        <f ca="1">ROUND(T_Facebook_Ads[[#This Row],[impressions]]*RANDBETWEEN(8,12)/10,0)</f>
        <v>29965</v>
      </c>
      <c r="AY82">
        <f ca="1">ROUND(T_Facebook_Ads[[#This Row],[clicks]]*RANDBETWEEN(8,12)/10,0)</f>
        <v>1111</v>
      </c>
      <c r="AZ82">
        <f ca="1">T_Facebook_Ads[[#This Row],[spend]]*RANDBETWEEN(8,12)/10</f>
        <v>234.74</v>
      </c>
      <c r="BA82">
        <f ca="1">ROUND(T_Facebook_Ads[[#This Row],[conversions]]*RANDBETWEEN(8,12)/10,0)</f>
        <v>29</v>
      </c>
      <c r="BB82">
        <f ca="1">ROUND(T_Facebook_Ads[[#This Row],[video_views]]*RANDBETWEEN(8,12)/10,0)</f>
        <v>4890</v>
      </c>
    </row>
    <row r="83" spans="1:54" ht="15.75" thickBot="1" x14ac:dyDescent="0.3">
      <c r="A83" s="3">
        <v>45314</v>
      </c>
      <c r="B83" s="4" t="s">
        <v>64</v>
      </c>
      <c r="C83" s="4" t="s">
        <v>65</v>
      </c>
      <c r="D83" s="4" t="s">
        <v>66</v>
      </c>
      <c r="E83" s="4" t="s">
        <v>67</v>
      </c>
      <c r="F83" s="4">
        <v>71234</v>
      </c>
      <c r="G83" s="4">
        <v>256</v>
      </c>
      <c r="H83" s="4">
        <v>90.5</v>
      </c>
      <c r="I83" s="4">
        <v>6</v>
      </c>
      <c r="J83" s="4">
        <v>48123</v>
      </c>
      <c r="K83" s="4">
        <v>3.5999999999999999E-3</v>
      </c>
      <c r="L83" s="4">
        <v>58567</v>
      </c>
      <c r="M83" s="4">
        <v>1.22</v>
      </c>
      <c r="O83" s="3">
        <v>45314</v>
      </c>
      <c r="P83" s="4" t="s">
        <v>88</v>
      </c>
      <c r="Q83" s="4" t="s">
        <v>89</v>
      </c>
      <c r="R83" s="4" t="s">
        <v>90</v>
      </c>
      <c r="S83" s="4" t="s">
        <v>59</v>
      </c>
      <c r="T83" s="4">
        <v>133456</v>
      </c>
      <c r="U83" s="4">
        <v>489</v>
      </c>
      <c r="V83" s="4">
        <v>131.19999999999999</v>
      </c>
      <c r="W83" s="4">
        <v>14</v>
      </c>
      <c r="X83" s="4">
        <v>700</v>
      </c>
      <c r="Y83" s="4">
        <v>3.7000000000000002E-3</v>
      </c>
      <c r="Z83" s="4">
        <v>0.27</v>
      </c>
      <c r="AA83" s="4">
        <v>7</v>
      </c>
      <c r="AB83" s="4">
        <v>0.35</v>
      </c>
      <c r="AD83" s="3">
        <v>45314</v>
      </c>
      <c r="AE83" s="4" t="s">
        <v>112</v>
      </c>
      <c r="AF83" s="4" t="s">
        <v>113</v>
      </c>
      <c r="AG83" s="4" t="s">
        <v>114</v>
      </c>
      <c r="AH83" s="4" t="s">
        <v>115</v>
      </c>
      <c r="AI83" s="4">
        <v>423456</v>
      </c>
      <c r="AJ83" s="4">
        <v>6890</v>
      </c>
      <c r="AK83" s="4">
        <v>1056.8</v>
      </c>
      <c r="AL83" s="4">
        <v>107</v>
      </c>
      <c r="AM83" s="4">
        <v>356789</v>
      </c>
      <c r="AN83" s="4">
        <v>289234</v>
      </c>
      <c r="AO83" s="4">
        <v>231456</v>
      </c>
      <c r="AP83" s="4">
        <v>164567</v>
      </c>
      <c r="AQ83" s="4">
        <v>109234</v>
      </c>
      <c r="AR83" s="4">
        <v>18890</v>
      </c>
      <c r="AS83" s="4">
        <v>5456</v>
      </c>
      <c r="AT83" s="4">
        <v>1489</v>
      </c>
      <c r="AV83" s="5">
        <f>T_Facebook_Ads[[#This Row],[date]]</f>
        <v>45314</v>
      </c>
      <c r="AW83">
        <f t="shared" ca="1" si="1"/>
        <v>3</v>
      </c>
      <c r="AX83">
        <f ca="1">ROUND(T_Facebook_Ads[[#This Row],[impressions]]*RANDBETWEEN(8,12)/10,0)</f>
        <v>56987</v>
      </c>
      <c r="AY83">
        <f ca="1">ROUND(T_Facebook_Ads[[#This Row],[clicks]]*RANDBETWEEN(8,12)/10,0)</f>
        <v>230</v>
      </c>
      <c r="AZ83">
        <f ca="1">T_Facebook_Ads[[#This Row],[spend]]*RANDBETWEEN(8,12)/10</f>
        <v>72.400000000000006</v>
      </c>
      <c r="BA83">
        <f ca="1">ROUND(T_Facebook_Ads[[#This Row],[conversions]]*RANDBETWEEN(8,12)/10,0)</f>
        <v>7</v>
      </c>
      <c r="BB83">
        <f ca="1">ROUND(T_Facebook_Ads[[#This Row],[video_views]]*RANDBETWEEN(8,12)/10,0)</f>
        <v>38498</v>
      </c>
    </row>
    <row r="84" spans="1:54" ht="15.75" thickBot="1" x14ac:dyDescent="0.3">
      <c r="A84" s="3">
        <v>45315</v>
      </c>
      <c r="B84" s="4" t="s">
        <v>52</v>
      </c>
      <c r="C84" s="4" t="s">
        <v>53</v>
      </c>
      <c r="D84" s="4" t="s">
        <v>54</v>
      </c>
      <c r="E84" s="4" t="s">
        <v>55</v>
      </c>
      <c r="F84" s="4">
        <v>51234</v>
      </c>
      <c r="G84" s="4">
        <v>1067</v>
      </c>
      <c r="H84" s="4">
        <v>149.69999999999999</v>
      </c>
      <c r="I84" s="4">
        <v>17</v>
      </c>
      <c r="J84" s="4">
        <v>9234</v>
      </c>
      <c r="K84" s="4">
        <v>2.0799999999999999E-2</v>
      </c>
      <c r="L84" s="4">
        <v>42567</v>
      </c>
      <c r="M84" s="4">
        <v>1.2</v>
      </c>
      <c r="O84" s="3">
        <v>45315</v>
      </c>
      <c r="P84" s="4" t="s">
        <v>76</v>
      </c>
      <c r="Q84" s="4" t="s">
        <v>77</v>
      </c>
      <c r="R84" s="4" t="s">
        <v>78</v>
      </c>
      <c r="S84" s="4" t="s">
        <v>79</v>
      </c>
      <c r="T84" s="4">
        <v>27123</v>
      </c>
      <c r="U84" s="4">
        <v>1434</v>
      </c>
      <c r="V84" s="4">
        <v>274.3</v>
      </c>
      <c r="W84" s="4">
        <v>55</v>
      </c>
      <c r="X84" s="4">
        <v>2750</v>
      </c>
      <c r="Y84" s="4">
        <v>5.2900000000000003E-2</v>
      </c>
      <c r="Z84" s="4">
        <v>0.19</v>
      </c>
      <c r="AA84" s="4">
        <v>9</v>
      </c>
      <c r="AB84" s="4">
        <v>0.93</v>
      </c>
      <c r="AD84" s="3">
        <v>45315</v>
      </c>
      <c r="AE84" s="4" t="s">
        <v>100</v>
      </c>
      <c r="AF84" s="4" t="s">
        <v>101</v>
      </c>
      <c r="AG84" s="4" t="s">
        <v>102</v>
      </c>
      <c r="AH84" s="4" t="s">
        <v>103</v>
      </c>
      <c r="AI84" s="4">
        <v>312345</v>
      </c>
      <c r="AJ84" s="4">
        <v>4567</v>
      </c>
      <c r="AK84" s="4">
        <v>623.4</v>
      </c>
      <c r="AL84" s="4">
        <v>48</v>
      </c>
      <c r="AM84" s="4">
        <v>256789</v>
      </c>
      <c r="AN84" s="4">
        <v>200234</v>
      </c>
      <c r="AO84" s="4">
        <v>125678</v>
      </c>
      <c r="AP84" s="4">
        <v>84567</v>
      </c>
      <c r="AQ84" s="4">
        <v>56234</v>
      </c>
      <c r="AR84" s="4">
        <v>11234</v>
      </c>
      <c r="AS84" s="4">
        <v>3012</v>
      </c>
      <c r="AT84" s="4">
        <v>723</v>
      </c>
      <c r="AV84" s="5">
        <f>T_Facebook_Ads[[#This Row],[date]]</f>
        <v>45315</v>
      </c>
      <c r="AW84">
        <f t="shared" ca="1" si="1"/>
        <v>1</v>
      </c>
      <c r="AX84">
        <f ca="1">ROUND(T_Facebook_Ads[[#This Row],[impressions]]*RANDBETWEEN(8,12)/10,0)</f>
        <v>46111</v>
      </c>
      <c r="AY84">
        <f ca="1">ROUND(T_Facebook_Ads[[#This Row],[clicks]]*RANDBETWEEN(8,12)/10,0)</f>
        <v>960</v>
      </c>
      <c r="AZ84">
        <f ca="1">T_Facebook_Ads[[#This Row],[spend]]*RANDBETWEEN(8,12)/10</f>
        <v>134.72999999999999</v>
      </c>
      <c r="BA84">
        <f ca="1">ROUND(T_Facebook_Ads[[#This Row],[conversions]]*RANDBETWEEN(8,12)/10,0)</f>
        <v>17</v>
      </c>
      <c r="BB84">
        <f ca="1">ROUND(T_Facebook_Ads[[#This Row],[video_views]]*RANDBETWEEN(8,12)/10,0)</f>
        <v>9234</v>
      </c>
    </row>
    <row r="85" spans="1:54" ht="15.75" thickBot="1" x14ac:dyDescent="0.3">
      <c r="A85" s="3">
        <v>45315</v>
      </c>
      <c r="B85" s="4" t="s">
        <v>56</v>
      </c>
      <c r="C85" s="4" t="s">
        <v>57</v>
      </c>
      <c r="D85" s="4" t="s">
        <v>58</v>
      </c>
      <c r="E85" s="4" t="s">
        <v>59</v>
      </c>
      <c r="F85" s="4">
        <v>14890</v>
      </c>
      <c r="G85" s="4">
        <v>712</v>
      </c>
      <c r="H85" s="4">
        <v>251.6</v>
      </c>
      <c r="I85" s="4">
        <v>43</v>
      </c>
      <c r="J85" s="4">
        <v>1578</v>
      </c>
      <c r="K85" s="4">
        <v>4.7800000000000002E-2</v>
      </c>
      <c r="L85" s="4">
        <v>11790</v>
      </c>
      <c r="M85" s="4">
        <v>1.26</v>
      </c>
      <c r="O85" s="3">
        <v>45315</v>
      </c>
      <c r="P85" s="4" t="s">
        <v>80</v>
      </c>
      <c r="Q85" s="4" t="s">
        <v>81</v>
      </c>
      <c r="R85" s="4" t="s">
        <v>82</v>
      </c>
      <c r="S85" s="4" t="s">
        <v>83</v>
      </c>
      <c r="T85" s="4">
        <v>47890</v>
      </c>
      <c r="U85" s="4">
        <v>978</v>
      </c>
      <c r="V85" s="4">
        <v>613.5</v>
      </c>
      <c r="W85" s="4">
        <v>26</v>
      </c>
      <c r="X85" s="4">
        <v>1300</v>
      </c>
      <c r="Y85" s="4">
        <v>2.0400000000000001E-2</v>
      </c>
      <c r="Z85" s="4">
        <v>0.63</v>
      </c>
      <c r="AA85" s="4">
        <v>7</v>
      </c>
      <c r="AB85" s="4">
        <v>0.46</v>
      </c>
      <c r="AD85" s="3">
        <v>45315</v>
      </c>
      <c r="AE85" s="4" t="s">
        <v>104</v>
      </c>
      <c r="AF85" s="4" t="s">
        <v>105</v>
      </c>
      <c r="AG85" s="4" t="s">
        <v>106</v>
      </c>
      <c r="AH85" s="4" t="s">
        <v>107</v>
      </c>
      <c r="AI85" s="4">
        <v>172345</v>
      </c>
      <c r="AJ85" s="4">
        <v>3345</v>
      </c>
      <c r="AK85" s="4">
        <v>867.9</v>
      </c>
      <c r="AL85" s="4">
        <v>87</v>
      </c>
      <c r="AM85" s="4">
        <v>123456</v>
      </c>
      <c r="AN85" s="4">
        <v>91234</v>
      </c>
      <c r="AO85" s="4">
        <v>61567</v>
      </c>
      <c r="AP85" s="4">
        <v>46234</v>
      </c>
      <c r="AQ85" s="4">
        <v>30789</v>
      </c>
      <c r="AR85" s="4">
        <v>5890</v>
      </c>
      <c r="AS85" s="4">
        <v>1678</v>
      </c>
      <c r="AT85" s="4">
        <v>334</v>
      </c>
      <c r="AV85" s="5">
        <f>T_Facebook_Ads[[#This Row],[date]]</f>
        <v>45315</v>
      </c>
      <c r="AW85">
        <f t="shared" ca="1" si="1"/>
        <v>6</v>
      </c>
      <c r="AX85">
        <f ca="1">ROUND(T_Facebook_Ads[[#This Row],[impressions]]*RANDBETWEEN(8,12)/10,0)</f>
        <v>13401</v>
      </c>
      <c r="AY85">
        <f ca="1">ROUND(T_Facebook_Ads[[#This Row],[clicks]]*RANDBETWEEN(8,12)/10,0)</f>
        <v>641</v>
      </c>
      <c r="AZ85">
        <f ca="1">T_Facebook_Ads[[#This Row],[spend]]*RANDBETWEEN(8,12)/10</f>
        <v>226.44</v>
      </c>
      <c r="BA85">
        <f ca="1">ROUND(T_Facebook_Ads[[#This Row],[conversions]]*RANDBETWEEN(8,12)/10,0)</f>
        <v>43</v>
      </c>
      <c r="BB85">
        <f ca="1">ROUND(T_Facebook_Ads[[#This Row],[video_views]]*RANDBETWEEN(8,12)/10,0)</f>
        <v>1262</v>
      </c>
    </row>
    <row r="86" spans="1:54" ht="15.75" thickBot="1" x14ac:dyDescent="0.3">
      <c r="A86" s="3">
        <v>45315</v>
      </c>
      <c r="B86" s="4" t="s">
        <v>60</v>
      </c>
      <c r="C86" s="4" t="s">
        <v>61</v>
      </c>
      <c r="D86" s="4" t="s">
        <v>62</v>
      </c>
      <c r="E86" s="4" t="s">
        <v>63</v>
      </c>
      <c r="F86" s="4">
        <v>39234</v>
      </c>
      <c r="G86" s="4">
        <v>1489</v>
      </c>
      <c r="H86" s="4">
        <v>227.9</v>
      </c>
      <c r="I86" s="4">
        <v>32</v>
      </c>
      <c r="J86" s="4">
        <v>5234</v>
      </c>
      <c r="K86" s="4">
        <v>3.7900000000000003E-2</v>
      </c>
      <c r="L86" s="4">
        <v>32123</v>
      </c>
      <c r="M86" s="4">
        <v>1.22</v>
      </c>
      <c r="O86" s="3">
        <v>45315</v>
      </c>
      <c r="P86" s="4" t="s">
        <v>84</v>
      </c>
      <c r="Q86" s="4" t="s">
        <v>85</v>
      </c>
      <c r="R86" s="4" t="s">
        <v>86</v>
      </c>
      <c r="S86" s="4" t="s">
        <v>87</v>
      </c>
      <c r="T86" s="4">
        <v>73456</v>
      </c>
      <c r="U86" s="4">
        <v>2501</v>
      </c>
      <c r="V86" s="4">
        <v>456.7</v>
      </c>
      <c r="W86" s="4">
        <v>73</v>
      </c>
      <c r="X86" s="4">
        <v>3650</v>
      </c>
      <c r="Y86" s="4">
        <v>3.4000000000000002E-2</v>
      </c>
      <c r="Z86" s="4">
        <v>0.18</v>
      </c>
      <c r="AA86" s="4">
        <v>8</v>
      </c>
      <c r="AB86" s="4">
        <v>0.69</v>
      </c>
      <c r="AD86" s="3">
        <v>45315</v>
      </c>
      <c r="AE86" s="4" t="s">
        <v>108</v>
      </c>
      <c r="AF86" s="4" t="s">
        <v>109</v>
      </c>
      <c r="AG86" s="4" t="s">
        <v>110</v>
      </c>
      <c r="AH86" s="4" t="s">
        <v>111</v>
      </c>
      <c r="AI86" s="4">
        <v>267890</v>
      </c>
      <c r="AJ86" s="4">
        <v>4123</v>
      </c>
      <c r="AK86" s="4">
        <v>512.6</v>
      </c>
      <c r="AL86" s="4">
        <v>37</v>
      </c>
      <c r="AM86" s="4">
        <v>212345</v>
      </c>
      <c r="AN86" s="4">
        <v>160234</v>
      </c>
      <c r="AO86" s="4">
        <v>126789</v>
      </c>
      <c r="AP86" s="4">
        <v>81234</v>
      </c>
      <c r="AQ86" s="4">
        <v>49234</v>
      </c>
      <c r="AR86" s="4">
        <v>9123</v>
      </c>
      <c r="AS86" s="4">
        <v>2567</v>
      </c>
      <c r="AT86" s="4">
        <v>612</v>
      </c>
      <c r="AV86" s="5">
        <f>T_Facebook_Ads[[#This Row],[date]]</f>
        <v>45315</v>
      </c>
      <c r="AW86">
        <f t="shared" ca="1" si="1"/>
        <v>8</v>
      </c>
      <c r="AX86">
        <f ca="1">ROUND(T_Facebook_Ads[[#This Row],[impressions]]*RANDBETWEEN(8,12)/10,0)</f>
        <v>39234</v>
      </c>
      <c r="AY86">
        <f ca="1">ROUND(T_Facebook_Ads[[#This Row],[clicks]]*RANDBETWEEN(8,12)/10,0)</f>
        <v>1340</v>
      </c>
      <c r="AZ86">
        <f ca="1">T_Facebook_Ads[[#This Row],[spend]]*RANDBETWEEN(8,12)/10</f>
        <v>250.69</v>
      </c>
      <c r="BA86">
        <f ca="1">ROUND(T_Facebook_Ads[[#This Row],[conversions]]*RANDBETWEEN(8,12)/10,0)</f>
        <v>29</v>
      </c>
      <c r="BB86">
        <f ca="1">ROUND(T_Facebook_Ads[[#This Row],[video_views]]*RANDBETWEEN(8,12)/10,0)</f>
        <v>4711</v>
      </c>
    </row>
    <row r="87" spans="1:54" ht="15.75" thickBot="1" x14ac:dyDescent="0.3">
      <c r="A87" s="3">
        <v>45315</v>
      </c>
      <c r="B87" s="4" t="s">
        <v>64</v>
      </c>
      <c r="C87" s="4" t="s">
        <v>65</v>
      </c>
      <c r="D87" s="4" t="s">
        <v>66</v>
      </c>
      <c r="E87" s="4" t="s">
        <v>67</v>
      </c>
      <c r="F87" s="4">
        <v>74567</v>
      </c>
      <c r="G87" s="4">
        <v>267</v>
      </c>
      <c r="H87" s="4">
        <v>95.8</v>
      </c>
      <c r="I87" s="4">
        <v>7</v>
      </c>
      <c r="J87" s="4">
        <v>50234</v>
      </c>
      <c r="K87" s="4">
        <v>3.5999999999999999E-3</v>
      </c>
      <c r="L87" s="4">
        <v>60789</v>
      </c>
      <c r="M87" s="4">
        <v>1.23</v>
      </c>
      <c r="O87" s="3">
        <v>45315</v>
      </c>
      <c r="P87" s="4" t="s">
        <v>88</v>
      </c>
      <c r="Q87" s="4" t="s">
        <v>89</v>
      </c>
      <c r="R87" s="4" t="s">
        <v>90</v>
      </c>
      <c r="S87" s="4" t="s">
        <v>59</v>
      </c>
      <c r="T87" s="4">
        <v>139234</v>
      </c>
      <c r="U87" s="4">
        <v>523</v>
      </c>
      <c r="V87" s="4">
        <v>136.80000000000001</v>
      </c>
      <c r="W87" s="4">
        <v>15</v>
      </c>
      <c r="X87" s="4">
        <v>750</v>
      </c>
      <c r="Y87" s="4">
        <v>3.8E-3</v>
      </c>
      <c r="Z87" s="4">
        <v>0.26</v>
      </c>
      <c r="AA87" s="4">
        <v>7</v>
      </c>
      <c r="AB87" s="4">
        <v>0.36</v>
      </c>
      <c r="AD87" s="3">
        <v>45315</v>
      </c>
      <c r="AE87" s="4" t="s">
        <v>112</v>
      </c>
      <c r="AF87" s="4" t="s">
        <v>113</v>
      </c>
      <c r="AG87" s="4" t="s">
        <v>114</v>
      </c>
      <c r="AH87" s="4" t="s">
        <v>115</v>
      </c>
      <c r="AI87" s="4">
        <v>456789</v>
      </c>
      <c r="AJ87" s="4">
        <v>7456</v>
      </c>
      <c r="AK87" s="4">
        <v>1167.8</v>
      </c>
      <c r="AL87" s="4">
        <v>118</v>
      </c>
      <c r="AM87" s="4">
        <v>389012</v>
      </c>
      <c r="AN87" s="4">
        <v>312345</v>
      </c>
      <c r="AO87" s="4">
        <v>249234</v>
      </c>
      <c r="AP87" s="4">
        <v>177890</v>
      </c>
      <c r="AQ87" s="4">
        <v>118234</v>
      </c>
      <c r="AR87" s="4">
        <v>20234</v>
      </c>
      <c r="AS87" s="4">
        <v>5912</v>
      </c>
      <c r="AT87" s="4">
        <v>1623</v>
      </c>
      <c r="AV87" s="5">
        <f>T_Facebook_Ads[[#This Row],[date]]</f>
        <v>45315</v>
      </c>
      <c r="AW87">
        <f t="shared" ca="1" si="1"/>
        <v>3</v>
      </c>
      <c r="AX87">
        <f ca="1">ROUND(T_Facebook_Ads[[#This Row],[impressions]]*RANDBETWEEN(8,12)/10,0)</f>
        <v>67110</v>
      </c>
      <c r="AY87">
        <f ca="1">ROUND(T_Facebook_Ads[[#This Row],[clicks]]*RANDBETWEEN(8,12)/10,0)</f>
        <v>214</v>
      </c>
      <c r="AZ87">
        <f ca="1">T_Facebook_Ads[[#This Row],[spend]]*RANDBETWEEN(8,12)/10</f>
        <v>105.38</v>
      </c>
      <c r="BA87">
        <f ca="1">ROUND(T_Facebook_Ads[[#This Row],[conversions]]*RANDBETWEEN(8,12)/10,0)</f>
        <v>7</v>
      </c>
      <c r="BB87">
        <f ca="1">ROUND(T_Facebook_Ads[[#This Row],[video_views]]*RANDBETWEEN(8,12)/10,0)</f>
        <v>55257</v>
      </c>
    </row>
    <row r="88" spans="1:54" ht="15.75" thickBot="1" x14ac:dyDescent="0.3">
      <c r="A88" s="3">
        <v>45316</v>
      </c>
      <c r="B88" s="4" t="s">
        <v>52</v>
      </c>
      <c r="C88" s="4" t="s">
        <v>53</v>
      </c>
      <c r="D88" s="4" t="s">
        <v>54</v>
      </c>
      <c r="E88" s="4" t="s">
        <v>55</v>
      </c>
      <c r="F88" s="4">
        <v>52789</v>
      </c>
      <c r="G88" s="4">
        <v>1123</v>
      </c>
      <c r="H88" s="4">
        <v>156.4</v>
      </c>
      <c r="I88" s="4">
        <v>18</v>
      </c>
      <c r="J88" s="4">
        <v>9567</v>
      </c>
      <c r="K88" s="4">
        <v>2.1299999999999999E-2</v>
      </c>
      <c r="L88" s="4">
        <v>43890</v>
      </c>
      <c r="M88" s="4">
        <v>1.2</v>
      </c>
      <c r="O88" s="3">
        <v>45316</v>
      </c>
      <c r="P88" s="4" t="s">
        <v>76</v>
      </c>
      <c r="Q88" s="4" t="s">
        <v>77</v>
      </c>
      <c r="R88" s="4" t="s">
        <v>78</v>
      </c>
      <c r="S88" s="4" t="s">
        <v>79</v>
      </c>
      <c r="T88" s="4">
        <v>28234</v>
      </c>
      <c r="U88" s="4">
        <v>1512</v>
      </c>
      <c r="V88" s="4">
        <v>287.60000000000002</v>
      </c>
      <c r="W88" s="4">
        <v>58</v>
      </c>
      <c r="X88" s="4">
        <v>2900</v>
      </c>
      <c r="Y88" s="4">
        <v>5.3499999999999999E-2</v>
      </c>
      <c r="Z88" s="4">
        <v>0.19</v>
      </c>
      <c r="AA88" s="4">
        <v>9</v>
      </c>
      <c r="AB88" s="4">
        <v>0.94</v>
      </c>
      <c r="AD88" s="3">
        <v>45316</v>
      </c>
      <c r="AE88" s="4" t="s">
        <v>100</v>
      </c>
      <c r="AF88" s="4" t="s">
        <v>101</v>
      </c>
      <c r="AG88" s="4" t="s">
        <v>102</v>
      </c>
      <c r="AH88" s="4" t="s">
        <v>103</v>
      </c>
      <c r="AI88" s="4">
        <v>323456</v>
      </c>
      <c r="AJ88" s="4">
        <v>4789</v>
      </c>
      <c r="AK88" s="4">
        <v>645.70000000000005</v>
      </c>
      <c r="AL88" s="4">
        <v>50</v>
      </c>
      <c r="AM88" s="4">
        <v>267890</v>
      </c>
      <c r="AN88" s="4">
        <v>208901</v>
      </c>
      <c r="AO88" s="4">
        <v>131234</v>
      </c>
      <c r="AP88" s="4">
        <v>88234</v>
      </c>
      <c r="AQ88" s="4">
        <v>58901</v>
      </c>
      <c r="AR88" s="4">
        <v>11567</v>
      </c>
      <c r="AS88" s="4">
        <v>3134</v>
      </c>
      <c r="AT88" s="4">
        <v>734</v>
      </c>
      <c r="AV88" s="5">
        <f>T_Facebook_Ads[[#This Row],[date]]</f>
        <v>45316</v>
      </c>
      <c r="AW88">
        <f t="shared" ca="1" si="1"/>
        <v>3</v>
      </c>
      <c r="AX88">
        <f ca="1">ROUND(T_Facebook_Ads[[#This Row],[impressions]]*RANDBETWEEN(8,12)/10,0)</f>
        <v>52789</v>
      </c>
      <c r="AY88">
        <f ca="1">ROUND(T_Facebook_Ads[[#This Row],[clicks]]*RANDBETWEEN(8,12)/10,0)</f>
        <v>898</v>
      </c>
      <c r="AZ88">
        <f ca="1">T_Facebook_Ads[[#This Row],[spend]]*RANDBETWEEN(8,12)/10</f>
        <v>156.4</v>
      </c>
      <c r="BA88">
        <f ca="1">ROUND(T_Facebook_Ads[[#This Row],[conversions]]*RANDBETWEEN(8,12)/10,0)</f>
        <v>14</v>
      </c>
      <c r="BB88">
        <f ca="1">ROUND(T_Facebook_Ads[[#This Row],[video_views]]*RANDBETWEEN(8,12)/10,0)</f>
        <v>11480</v>
      </c>
    </row>
    <row r="89" spans="1:54" ht="15.75" thickBot="1" x14ac:dyDescent="0.3">
      <c r="A89" s="3">
        <v>45316</v>
      </c>
      <c r="B89" s="4" t="s">
        <v>56</v>
      </c>
      <c r="C89" s="4" t="s">
        <v>57</v>
      </c>
      <c r="D89" s="4" t="s">
        <v>58</v>
      </c>
      <c r="E89" s="4" t="s">
        <v>59</v>
      </c>
      <c r="F89" s="4">
        <v>15678</v>
      </c>
      <c r="G89" s="4">
        <v>756</v>
      </c>
      <c r="H89" s="4">
        <v>268.89999999999998</v>
      </c>
      <c r="I89" s="4">
        <v>47</v>
      </c>
      <c r="J89" s="4">
        <v>1678</v>
      </c>
      <c r="K89" s="4">
        <v>4.82E-2</v>
      </c>
      <c r="L89" s="4">
        <v>12345</v>
      </c>
      <c r="M89" s="4">
        <v>1.27</v>
      </c>
      <c r="O89" s="3">
        <v>45316</v>
      </c>
      <c r="P89" s="4" t="s">
        <v>80</v>
      </c>
      <c r="Q89" s="4" t="s">
        <v>81</v>
      </c>
      <c r="R89" s="4" t="s">
        <v>82</v>
      </c>
      <c r="S89" s="4" t="s">
        <v>83</v>
      </c>
      <c r="T89" s="4">
        <v>49567</v>
      </c>
      <c r="U89" s="4">
        <v>1012</v>
      </c>
      <c r="V89" s="4">
        <v>634.20000000000005</v>
      </c>
      <c r="W89" s="4">
        <v>27</v>
      </c>
      <c r="X89" s="4">
        <v>1350</v>
      </c>
      <c r="Y89" s="4">
        <v>2.0400000000000001E-2</v>
      </c>
      <c r="Z89" s="4">
        <v>0.63</v>
      </c>
      <c r="AA89" s="4">
        <v>7</v>
      </c>
      <c r="AB89" s="4">
        <v>0.47</v>
      </c>
      <c r="AD89" s="3">
        <v>45316</v>
      </c>
      <c r="AE89" s="4" t="s">
        <v>104</v>
      </c>
      <c r="AF89" s="4" t="s">
        <v>105</v>
      </c>
      <c r="AG89" s="4" t="s">
        <v>106</v>
      </c>
      <c r="AH89" s="4" t="s">
        <v>107</v>
      </c>
      <c r="AI89" s="4">
        <v>178901</v>
      </c>
      <c r="AJ89" s="4">
        <v>3456</v>
      </c>
      <c r="AK89" s="4">
        <v>889.5</v>
      </c>
      <c r="AL89" s="4">
        <v>89</v>
      </c>
      <c r="AM89" s="4">
        <v>128901</v>
      </c>
      <c r="AN89" s="4">
        <v>95678</v>
      </c>
      <c r="AO89" s="4">
        <v>64567</v>
      </c>
      <c r="AP89" s="4">
        <v>48567</v>
      </c>
      <c r="AQ89" s="4">
        <v>32345</v>
      </c>
      <c r="AR89" s="4">
        <v>6123</v>
      </c>
      <c r="AS89" s="4">
        <v>1734</v>
      </c>
      <c r="AT89" s="4">
        <v>345</v>
      </c>
      <c r="AV89" s="5">
        <f>T_Facebook_Ads[[#This Row],[date]]</f>
        <v>45316</v>
      </c>
      <c r="AW89">
        <f t="shared" ca="1" si="1"/>
        <v>2</v>
      </c>
      <c r="AX89">
        <f ca="1">ROUND(T_Facebook_Ads[[#This Row],[impressions]]*RANDBETWEEN(8,12)/10,0)</f>
        <v>18814</v>
      </c>
      <c r="AY89">
        <f ca="1">ROUND(T_Facebook_Ads[[#This Row],[clicks]]*RANDBETWEEN(8,12)/10,0)</f>
        <v>907</v>
      </c>
      <c r="AZ89">
        <f ca="1">T_Facebook_Ads[[#This Row],[spend]]*RANDBETWEEN(8,12)/10</f>
        <v>215.11999999999998</v>
      </c>
      <c r="BA89">
        <f ca="1">ROUND(T_Facebook_Ads[[#This Row],[conversions]]*RANDBETWEEN(8,12)/10,0)</f>
        <v>38</v>
      </c>
      <c r="BB89">
        <f ca="1">ROUND(T_Facebook_Ads[[#This Row],[video_views]]*RANDBETWEEN(8,12)/10,0)</f>
        <v>1846</v>
      </c>
    </row>
    <row r="90" spans="1:54" ht="15.75" thickBot="1" x14ac:dyDescent="0.3">
      <c r="A90" s="3">
        <v>45316</v>
      </c>
      <c r="B90" s="4" t="s">
        <v>60</v>
      </c>
      <c r="C90" s="4" t="s">
        <v>61</v>
      </c>
      <c r="D90" s="4" t="s">
        <v>62</v>
      </c>
      <c r="E90" s="4" t="s">
        <v>63</v>
      </c>
      <c r="F90" s="4">
        <v>40567</v>
      </c>
      <c r="G90" s="4">
        <v>1567</v>
      </c>
      <c r="H90" s="4">
        <v>238.6</v>
      </c>
      <c r="I90" s="4">
        <v>34</v>
      </c>
      <c r="J90" s="4">
        <v>5456</v>
      </c>
      <c r="K90" s="4">
        <v>3.8600000000000002E-2</v>
      </c>
      <c r="L90" s="4">
        <v>33234</v>
      </c>
      <c r="M90" s="4">
        <v>1.22</v>
      </c>
      <c r="O90" s="3">
        <v>45316</v>
      </c>
      <c r="P90" s="4" t="s">
        <v>84</v>
      </c>
      <c r="Q90" s="4" t="s">
        <v>85</v>
      </c>
      <c r="R90" s="4" t="s">
        <v>86</v>
      </c>
      <c r="S90" s="4" t="s">
        <v>87</v>
      </c>
      <c r="T90" s="4">
        <v>75234</v>
      </c>
      <c r="U90" s="4">
        <v>2567</v>
      </c>
      <c r="V90" s="4">
        <v>467.8</v>
      </c>
      <c r="W90" s="4">
        <v>75</v>
      </c>
      <c r="X90" s="4">
        <v>3750</v>
      </c>
      <c r="Y90" s="4">
        <v>3.4099999999999998E-2</v>
      </c>
      <c r="Z90" s="4">
        <v>0.18</v>
      </c>
      <c r="AA90" s="4">
        <v>8</v>
      </c>
      <c r="AB90" s="4">
        <v>0.7</v>
      </c>
      <c r="AD90" s="3">
        <v>45316</v>
      </c>
      <c r="AE90" s="4" t="s">
        <v>108</v>
      </c>
      <c r="AF90" s="4" t="s">
        <v>109</v>
      </c>
      <c r="AG90" s="4" t="s">
        <v>110</v>
      </c>
      <c r="AH90" s="4" t="s">
        <v>111</v>
      </c>
      <c r="AI90" s="4">
        <v>278901</v>
      </c>
      <c r="AJ90" s="4">
        <v>4234</v>
      </c>
      <c r="AK90" s="4">
        <v>534.20000000000005</v>
      </c>
      <c r="AL90" s="4">
        <v>39</v>
      </c>
      <c r="AM90" s="4">
        <v>223456</v>
      </c>
      <c r="AN90" s="4">
        <v>168901</v>
      </c>
      <c r="AO90" s="4">
        <v>133456</v>
      </c>
      <c r="AP90" s="4">
        <v>85678</v>
      </c>
      <c r="AQ90" s="4">
        <v>51789</v>
      </c>
      <c r="AR90" s="4">
        <v>9456</v>
      </c>
      <c r="AS90" s="4">
        <v>2634</v>
      </c>
      <c r="AT90" s="4">
        <v>623</v>
      </c>
      <c r="AV90" s="5">
        <f>T_Facebook_Ads[[#This Row],[date]]</f>
        <v>45316</v>
      </c>
      <c r="AW90">
        <f t="shared" ca="1" si="1"/>
        <v>8</v>
      </c>
      <c r="AX90">
        <f ca="1">ROUND(T_Facebook_Ads[[#This Row],[impressions]]*RANDBETWEEN(8,12)/10,0)</f>
        <v>40567</v>
      </c>
      <c r="AY90">
        <f ca="1">ROUND(T_Facebook_Ads[[#This Row],[clicks]]*RANDBETWEEN(8,12)/10,0)</f>
        <v>1567</v>
      </c>
      <c r="AZ90">
        <f ca="1">T_Facebook_Ads[[#This Row],[spend]]*RANDBETWEEN(8,12)/10</f>
        <v>214.74</v>
      </c>
      <c r="BA90">
        <f ca="1">ROUND(T_Facebook_Ads[[#This Row],[conversions]]*RANDBETWEEN(8,12)/10,0)</f>
        <v>27</v>
      </c>
      <c r="BB90">
        <f ca="1">ROUND(T_Facebook_Ads[[#This Row],[video_views]]*RANDBETWEEN(8,12)/10,0)</f>
        <v>6547</v>
      </c>
    </row>
    <row r="91" spans="1:54" ht="15.75" thickBot="1" x14ac:dyDescent="0.3">
      <c r="A91" s="3">
        <v>45316</v>
      </c>
      <c r="B91" s="4" t="s">
        <v>64</v>
      </c>
      <c r="C91" s="4" t="s">
        <v>65</v>
      </c>
      <c r="D91" s="4" t="s">
        <v>66</v>
      </c>
      <c r="E91" s="4" t="s">
        <v>67</v>
      </c>
      <c r="F91" s="4">
        <v>76890</v>
      </c>
      <c r="G91" s="4">
        <v>278</v>
      </c>
      <c r="H91" s="4">
        <v>99.2</v>
      </c>
      <c r="I91" s="4">
        <v>8</v>
      </c>
      <c r="J91" s="4">
        <v>51567</v>
      </c>
      <c r="K91" s="4">
        <v>3.5999999999999999E-3</v>
      </c>
      <c r="L91" s="4">
        <v>62890</v>
      </c>
      <c r="M91" s="4">
        <v>1.23</v>
      </c>
      <c r="O91" s="3">
        <v>45316</v>
      </c>
      <c r="P91" s="4" t="s">
        <v>88</v>
      </c>
      <c r="Q91" s="4" t="s">
        <v>89</v>
      </c>
      <c r="R91" s="4" t="s">
        <v>90</v>
      </c>
      <c r="S91" s="4" t="s">
        <v>59</v>
      </c>
      <c r="T91" s="4">
        <v>142345</v>
      </c>
      <c r="U91" s="4">
        <v>545</v>
      </c>
      <c r="V91" s="4">
        <v>139.9</v>
      </c>
      <c r="W91" s="4">
        <v>16</v>
      </c>
      <c r="X91" s="4">
        <v>800</v>
      </c>
      <c r="Y91" s="4">
        <v>3.8E-3</v>
      </c>
      <c r="Z91" s="4">
        <v>0.26</v>
      </c>
      <c r="AA91" s="4">
        <v>7</v>
      </c>
      <c r="AB91" s="4">
        <v>0.37</v>
      </c>
      <c r="AD91" s="3">
        <v>45316</v>
      </c>
      <c r="AE91" s="4" t="s">
        <v>112</v>
      </c>
      <c r="AF91" s="4" t="s">
        <v>113</v>
      </c>
      <c r="AG91" s="4" t="s">
        <v>114</v>
      </c>
      <c r="AH91" s="4" t="s">
        <v>115</v>
      </c>
      <c r="AI91" s="4">
        <v>467890</v>
      </c>
      <c r="AJ91" s="4">
        <v>7623</v>
      </c>
      <c r="AK91" s="4">
        <v>1189.4000000000001</v>
      </c>
      <c r="AL91" s="4">
        <v>120</v>
      </c>
      <c r="AM91" s="4">
        <v>401234</v>
      </c>
      <c r="AN91" s="4">
        <v>323456</v>
      </c>
      <c r="AO91" s="4">
        <v>258901</v>
      </c>
      <c r="AP91" s="4">
        <v>184567</v>
      </c>
      <c r="AQ91" s="4">
        <v>122345</v>
      </c>
      <c r="AR91" s="4">
        <v>20789</v>
      </c>
      <c r="AS91" s="4">
        <v>6034</v>
      </c>
      <c r="AT91" s="4">
        <v>1678</v>
      </c>
      <c r="AV91" s="5">
        <f>T_Facebook_Ads[[#This Row],[date]]</f>
        <v>45316</v>
      </c>
      <c r="AW91">
        <f t="shared" ca="1" si="1"/>
        <v>1</v>
      </c>
      <c r="AX91">
        <f ca="1">ROUND(T_Facebook_Ads[[#This Row],[impressions]]*RANDBETWEEN(8,12)/10,0)</f>
        <v>84579</v>
      </c>
      <c r="AY91">
        <f ca="1">ROUND(T_Facebook_Ads[[#This Row],[clicks]]*RANDBETWEEN(8,12)/10,0)</f>
        <v>250</v>
      </c>
      <c r="AZ91">
        <f ca="1">T_Facebook_Ads[[#This Row],[spend]]*RANDBETWEEN(8,12)/10</f>
        <v>99.2</v>
      </c>
      <c r="BA91">
        <f ca="1">ROUND(T_Facebook_Ads[[#This Row],[conversions]]*RANDBETWEEN(8,12)/10,0)</f>
        <v>6</v>
      </c>
      <c r="BB91">
        <f ca="1">ROUND(T_Facebook_Ads[[#This Row],[video_views]]*RANDBETWEEN(8,12)/10,0)</f>
        <v>51567</v>
      </c>
    </row>
    <row r="92" spans="1:54" ht="15.75" thickBot="1" x14ac:dyDescent="0.3">
      <c r="A92" s="3">
        <v>45317</v>
      </c>
      <c r="B92" s="4" t="s">
        <v>52</v>
      </c>
      <c r="C92" s="4" t="s">
        <v>53</v>
      </c>
      <c r="D92" s="4" t="s">
        <v>54</v>
      </c>
      <c r="E92" s="4" t="s">
        <v>55</v>
      </c>
      <c r="F92" s="4">
        <v>50123</v>
      </c>
      <c r="G92" s="4">
        <v>1034</v>
      </c>
      <c r="H92" s="4">
        <v>147.5</v>
      </c>
      <c r="I92" s="4">
        <v>17</v>
      </c>
      <c r="J92" s="4">
        <v>9123</v>
      </c>
      <c r="K92" s="4">
        <v>2.06E-2</v>
      </c>
      <c r="L92" s="4">
        <v>41890</v>
      </c>
      <c r="M92" s="4">
        <v>1.2</v>
      </c>
      <c r="O92" s="3">
        <v>45317</v>
      </c>
      <c r="P92" s="4" t="s">
        <v>76</v>
      </c>
      <c r="Q92" s="4" t="s">
        <v>77</v>
      </c>
      <c r="R92" s="4" t="s">
        <v>78</v>
      </c>
      <c r="S92" s="4" t="s">
        <v>79</v>
      </c>
      <c r="T92" s="4">
        <v>26789</v>
      </c>
      <c r="U92" s="4">
        <v>1378</v>
      </c>
      <c r="V92" s="4">
        <v>263.39999999999998</v>
      </c>
      <c r="W92" s="4">
        <v>53</v>
      </c>
      <c r="X92" s="4">
        <v>2650</v>
      </c>
      <c r="Y92" s="4">
        <v>5.1499999999999997E-2</v>
      </c>
      <c r="Z92" s="4">
        <v>0.19</v>
      </c>
      <c r="AA92" s="4">
        <v>9</v>
      </c>
      <c r="AB92" s="4">
        <v>0.92</v>
      </c>
      <c r="AD92" s="3">
        <v>45317</v>
      </c>
      <c r="AE92" s="4" t="s">
        <v>100</v>
      </c>
      <c r="AF92" s="4" t="s">
        <v>101</v>
      </c>
      <c r="AG92" s="4" t="s">
        <v>102</v>
      </c>
      <c r="AH92" s="4" t="s">
        <v>103</v>
      </c>
      <c r="AI92" s="4">
        <v>301234</v>
      </c>
      <c r="AJ92" s="4">
        <v>4456</v>
      </c>
      <c r="AK92" s="4">
        <v>589.9</v>
      </c>
      <c r="AL92" s="4">
        <v>46</v>
      </c>
      <c r="AM92" s="4">
        <v>245678</v>
      </c>
      <c r="AN92" s="4">
        <v>191234</v>
      </c>
      <c r="AO92" s="4">
        <v>119234</v>
      </c>
      <c r="AP92" s="4">
        <v>80234</v>
      </c>
      <c r="AQ92" s="4">
        <v>53456</v>
      </c>
      <c r="AR92" s="4">
        <v>10789</v>
      </c>
      <c r="AS92" s="4">
        <v>2901</v>
      </c>
      <c r="AT92" s="4">
        <v>689</v>
      </c>
      <c r="AV92" s="5">
        <f>T_Facebook_Ads[[#This Row],[date]]</f>
        <v>45317</v>
      </c>
      <c r="AW92">
        <f t="shared" ca="1" si="1"/>
        <v>4</v>
      </c>
      <c r="AX92">
        <f ca="1">ROUND(T_Facebook_Ads[[#This Row],[impressions]]*RANDBETWEEN(8,12)/10,0)</f>
        <v>40098</v>
      </c>
      <c r="AY92">
        <f ca="1">ROUND(T_Facebook_Ads[[#This Row],[clicks]]*RANDBETWEEN(8,12)/10,0)</f>
        <v>1241</v>
      </c>
      <c r="AZ92">
        <f ca="1">T_Facebook_Ads[[#This Row],[spend]]*RANDBETWEEN(8,12)/10</f>
        <v>118</v>
      </c>
      <c r="BA92">
        <f ca="1">ROUND(T_Facebook_Ads[[#This Row],[conversions]]*RANDBETWEEN(8,12)/10,0)</f>
        <v>14</v>
      </c>
      <c r="BB92">
        <f ca="1">ROUND(T_Facebook_Ads[[#This Row],[video_views]]*RANDBETWEEN(8,12)/10,0)</f>
        <v>10035</v>
      </c>
    </row>
    <row r="93" spans="1:54" ht="15.75" thickBot="1" x14ac:dyDescent="0.3">
      <c r="A93" s="3">
        <v>45317</v>
      </c>
      <c r="B93" s="4" t="s">
        <v>56</v>
      </c>
      <c r="C93" s="4" t="s">
        <v>57</v>
      </c>
      <c r="D93" s="4" t="s">
        <v>58</v>
      </c>
      <c r="E93" s="4" t="s">
        <v>59</v>
      </c>
      <c r="F93" s="4">
        <v>14234</v>
      </c>
      <c r="G93" s="4">
        <v>689</v>
      </c>
      <c r="H93" s="4">
        <v>254.7</v>
      </c>
      <c r="I93" s="4">
        <v>44</v>
      </c>
      <c r="J93" s="4">
        <v>1456</v>
      </c>
      <c r="K93" s="4">
        <v>4.8399999999999999E-2</v>
      </c>
      <c r="L93" s="4">
        <v>11234</v>
      </c>
      <c r="M93" s="4">
        <v>1.27</v>
      </c>
      <c r="O93" s="3">
        <v>45317</v>
      </c>
      <c r="P93" s="4" t="s">
        <v>80</v>
      </c>
      <c r="Q93" s="4" t="s">
        <v>81</v>
      </c>
      <c r="R93" s="4" t="s">
        <v>82</v>
      </c>
      <c r="S93" s="4" t="s">
        <v>83</v>
      </c>
      <c r="T93" s="4">
        <v>47234</v>
      </c>
      <c r="U93" s="4">
        <v>945</v>
      </c>
      <c r="V93" s="4">
        <v>605.6</v>
      </c>
      <c r="W93" s="4">
        <v>25</v>
      </c>
      <c r="X93" s="4">
        <v>1250</v>
      </c>
      <c r="Y93" s="4">
        <v>0.02</v>
      </c>
      <c r="Z93" s="4">
        <v>0.64</v>
      </c>
      <c r="AA93" s="4">
        <v>7</v>
      </c>
      <c r="AB93" s="4">
        <v>0.46</v>
      </c>
      <c r="AD93" s="3">
        <v>45317</v>
      </c>
      <c r="AE93" s="4" t="s">
        <v>104</v>
      </c>
      <c r="AF93" s="4" t="s">
        <v>105</v>
      </c>
      <c r="AG93" s="4" t="s">
        <v>106</v>
      </c>
      <c r="AH93" s="4" t="s">
        <v>107</v>
      </c>
      <c r="AI93" s="4">
        <v>167890</v>
      </c>
      <c r="AJ93" s="4">
        <v>3234</v>
      </c>
      <c r="AK93" s="4">
        <v>845.6</v>
      </c>
      <c r="AL93" s="4">
        <v>85</v>
      </c>
      <c r="AM93" s="4">
        <v>117890</v>
      </c>
      <c r="AN93" s="4">
        <v>87234</v>
      </c>
      <c r="AO93" s="4">
        <v>58901</v>
      </c>
      <c r="AP93" s="4">
        <v>44234</v>
      </c>
      <c r="AQ93" s="4">
        <v>29567</v>
      </c>
      <c r="AR93" s="4">
        <v>5678</v>
      </c>
      <c r="AS93" s="4">
        <v>1634</v>
      </c>
      <c r="AT93" s="4">
        <v>312</v>
      </c>
      <c r="AV93" s="5">
        <f>T_Facebook_Ads[[#This Row],[date]]</f>
        <v>45317</v>
      </c>
      <c r="AW93">
        <f t="shared" ca="1" si="1"/>
        <v>5</v>
      </c>
      <c r="AX93">
        <f ca="1">ROUND(T_Facebook_Ads[[#This Row],[impressions]]*RANDBETWEEN(8,12)/10,0)</f>
        <v>12811</v>
      </c>
      <c r="AY93">
        <f ca="1">ROUND(T_Facebook_Ads[[#This Row],[clicks]]*RANDBETWEEN(8,12)/10,0)</f>
        <v>551</v>
      </c>
      <c r="AZ93">
        <f ca="1">T_Facebook_Ads[[#This Row],[spend]]*RANDBETWEEN(8,12)/10</f>
        <v>305.64</v>
      </c>
      <c r="BA93">
        <f ca="1">ROUND(T_Facebook_Ads[[#This Row],[conversions]]*RANDBETWEEN(8,12)/10,0)</f>
        <v>48</v>
      </c>
      <c r="BB93">
        <f ca="1">ROUND(T_Facebook_Ads[[#This Row],[video_views]]*RANDBETWEEN(8,12)/10,0)</f>
        <v>1456</v>
      </c>
    </row>
    <row r="94" spans="1:54" ht="15.75" thickBot="1" x14ac:dyDescent="0.3">
      <c r="A94" s="3">
        <v>45317</v>
      </c>
      <c r="B94" s="4" t="s">
        <v>60</v>
      </c>
      <c r="C94" s="4" t="s">
        <v>61</v>
      </c>
      <c r="D94" s="4" t="s">
        <v>62</v>
      </c>
      <c r="E94" s="4" t="s">
        <v>63</v>
      </c>
      <c r="F94" s="4">
        <v>38890</v>
      </c>
      <c r="G94" s="4">
        <v>1445</v>
      </c>
      <c r="H94" s="4">
        <v>231.2</v>
      </c>
      <c r="I94" s="4">
        <v>32</v>
      </c>
      <c r="J94" s="4">
        <v>5123</v>
      </c>
      <c r="K94" s="4">
        <v>3.7199999999999997E-2</v>
      </c>
      <c r="L94" s="4">
        <v>31567</v>
      </c>
      <c r="M94" s="4">
        <v>1.23</v>
      </c>
      <c r="O94" s="3">
        <v>45317</v>
      </c>
      <c r="P94" s="4" t="s">
        <v>84</v>
      </c>
      <c r="Q94" s="4" t="s">
        <v>85</v>
      </c>
      <c r="R94" s="4" t="s">
        <v>86</v>
      </c>
      <c r="S94" s="4" t="s">
        <v>87</v>
      </c>
      <c r="T94" s="4">
        <v>72890</v>
      </c>
      <c r="U94" s="4">
        <v>2434</v>
      </c>
      <c r="V94" s="4">
        <v>450.2</v>
      </c>
      <c r="W94" s="4">
        <v>71</v>
      </c>
      <c r="X94" s="4">
        <v>3550</v>
      </c>
      <c r="Y94" s="4">
        <v>3.3399999999999999E-2</v>
      </c>
      <c r="Z94" s="4">
        <v>0.18</v>
      </c>
      <c r="AA94" s="4">
        <v>8</v>
      </c>
      <c r="AB94" s="4">
        <v>0.69</v>
      </c>
      <c r="AD94" s="3">
        <v>45317</v>
      </c>
      <c r="AE94" s="4" t="s">
        <v>108</v>
      </c>
      <c r="AF94" s="4" t="s">
        <v>109</v>
      </c>
      <c r="AG94" s="4" t="s">
        <v>110</v>
      </c>
      <c r="AH94" s="4" t="s">
        <v>111</v>
      </c>
      <c r="AI94" s="4">
        <v>256789</v>
      </c>
      <c r="AJ94" s="4">
        <v>4012</v>
      </c>
      <c r="AK94" s="4">
        <v>489.2</v>
      </c>
      <c r="AL94" s="4">
        <v>36</v>
      </c>
      <c r="AM94" s="4">
        <v>201234</v>
      </c>
      <c r="AN94" s="4">
        <v>152345</v>
      </c>
      <c r="AO94" s="4">
        <v>120456</v>
      </c>
      <c r="AP94" s="4">
        <v>77890</v>
      </c>
      <c r="AQ94" s="4">
        <v>47234</v>
      </c>
      <c r="AR94" s="4">
        <v>8901</v>
      </c>
      <c r="AS94" s="4">
        <v>2456</v>
      </c>
      <c r="AT94" s="4">
        <v>589</v>
      </c>
      <c r="AV94" s="5">
        <f>T_Facebook_Ads[[#This Row],[date]]</f>
        <v>45317</v>
      </c>
      <c r="AW94">
        <f t="shared" ca="1" si="1"/>
        <v>1</v>
      </c>
      <c r="AX94">
        <f ca="1">ROUND(T_Facebook_Ads[[#This Row],[impressions]]*RANDBETWEEN(8,12)/10,0)</f>
        <v>46668</v>
      </c>
      <c r="AY94">
        <f ca="1">ROUND(T_Facebook_Ads[[#This Row],[clicks]]*RANDBETWEEN(8,12)/10,0)</f>
        <v>1156</v>
      </c>
      <c r="AZ94">
        <f ca="1">T_Facebook_Ads[[#This Row],[spend]]*RANDBETWEEN(8,12)/10</f>
        <v>208.07999999999998</v>
      </c>
      <c r="BA94">
        <f ca="1">ROUND(T_Facebook_Ads[[#This Row],[conversions]]*RANDBETWEEN(8,12)/10,0)</f>
        <v>29</v>
      </c>
      <c r="BB94">
        <f ca="1">ROUND(T_Facebook_Ads[[#This Row],[video_views]]*RANDBETWEEN(8,12)/10,0)</f>
        <v>5123</v>
      </c>
    </row>
    <row r="95" spans="1:54" ht="15.75" thickBot="1" x14ac:dyDescent="0.3">
      <c r="A95" s="3">
        <v>45317</v>
      </c>
      <c r="B95" s="4" t="s">
        <v>64</v>
      </c>
      <c r="C95" s="4" t="s">
        <v>65</v>
      </c>
      <c r="D95" s="4" t="s">
        <v>66</v>
      </c>
      <c r="E95" s="4" t="s">
        <v>67</v>
      </c>
      <c r="F95" s="4">
        <v>73456</v>
      </c>
      <c r="G95" s="4">
        <v>261</v>
      </c>
      <c r="H95" s="4">
        <v>94.6</v>
      </c>
      <c r="I95" s="4">
        <v>7</v>
      </c>
      <c r="J95" s="4">
        <v>49234</v>
      </c>
      <c r="K95" s="4">
        <v>3.5999999999999999E-3</v>
      </c>
      <c r="L95" s="4">
        <v>59567</v>
      </c>
      <c r="M95" s="4">
        <v>1.23</v>
      </c>
      <c r="O95" s="3">
        <v>45317</v>
      </c>
      <c r="P95" s="4" t="s">
        <v>88</v>
      </c>
      <c r="Q95" s="4" t="s">
        <v>89</v>
      </c>
      <c r="R95" s="4" t="s">
        <v>90</v>
      </c>
      <c r="S95" s="4" t="s">
        <v>59</v>
      </c>
      <c r="T95" s="4">
        <v>138567</v>
      </c>
      <c r="U95" s="4">
        <v>512</v>
      </c>
      <c r="V95" s="4">
        <v>136.19999999999999</v>
      </c>
      <c r="W95" s="4">
        <v>15</v>
      </c>
      <c r="X95" s="4">
        <v>750</v>
      </c>
      <c r="Y95" s="4">
        <v>3.7000000000000002E-3</v>
      </c>
      <c r="Z95" s="4">
        <v>0.27</v>
      </c>
      <c r="AA95" s="4">
        <v>7</v>
      </c>
      <c r="AB95" s="4">
        <v>0.36</v>
      </c>
      <c r="AD95" s="3">
        <v>45317</v>
      </c>
      <c r="AE95" s="4" t="s">
        <v>112</v>
      </c>
      <c r="AF95" s="4" t="s">
        <v>113</v>
      </c>
      <c r="AG95" s="4" t="s">
        <v>114</v>
      </c>
      <c r="AH95" s="4" t="s">
        <v>115</v>
      </c>
      <c r="AI95" s="4">
        <v>445678</v>
      </c>
      <c r="AJ95" s="4">
        <v>7234</v>
      </c>
      <c r="AK95" s="4">
        <v>1123.5</v>
      </c>
      <c r="AL95" s="4">
        <v>113</v>
      </c>
      <c r="AM95" s="4">
        <v>378901</v>
      </c>
      <c r="AN95" s="4">
        <v>304567</v>
      </c>
      <c r="AO95" s="4">
        <v>243456</v>
      </c>
      <c r="AP95" s="4">
        <v>172345</v>
      </c>
      <c r="AQ95" s="4">
        <v>114567</v>
      </c>
      <c r="AR95" s="4">
        <v>19567</v>
      </c>
      <c r="AS95" s="4">
        <v>5678</v>
      </c>
      <c r="AT95" s="4">
        <v>1567</v>
      </c>
      <c r="AV95" s="5">
        <f>T_Facebook_Ads[[#This Row],[date]]</f>
        <v>45317</v>
      </c>
      <c r="AW95">
        <f t="shared" ca="1" si="1"/>
        <v>8</v>
      </c>
      <c r="AX95">
        <f ca="1">ROUND(T_Facebook_Ads[[#This Row],[impressions]]*RANDBETWEEN(8,12)/10,0)</f>
        <v>58765</v>
      </c>
      <c r="AY95">
        <f ca="1">ROUND(T_Facebook_Ads[[#This Row],[clicks]]*RANDBETWEEN(8,12)/10,0)</f>
        <v>313</v>
      </c>
      <c r="AZ95">
        <f ca="1">T_Facebook_Ads[[#This Row],[spend]]*RANDBETWEEN(8,12)/10</f>
        <v>85.14</v>
      </c>
      <c r="BA95">
        <f ca="1">ROUND(T_Facebook_Ads[[#This Row],[conversions]]*RANDBETWEEN(8,12)/10,0)</f>
        <v>6</v>
      </c>
      <c r="BB95">
        <f ca="1">ROUND(T_Facebook_Ads[[#This Row],[video_views]]*RANDBETWEEN(8,12)/10,0)</f>
        <v>44311</v>
      </c>
    </row>
    <row r="96" spans="1:54" ht="15.75" thickBot="1" x14ac:dyDescent="0.3">
      <c r="A96" s="3">
        <v>45318</v>
      </c>
      <c r="B96" s="4" t="s">
        <v>52</v>
      </c>
      <c r="C96" s="4" t="s">
        <v>53</v>
      </c>
      <c r="D96" s="4" t="s">
        <v>54</v>
      </c>
      <c r="E96" s="4" t="s">
        <v>55</v>
      </c>
      <c r="F96" s="4">
        <v>46234</v>
      </c>
      <c r="G96" s="4">
        <v>934</v>
      </c>
      <c r="H96" s="4">
        <v>133.80000000000001</v>
      </c>
      <c r="I96" s="4">
        <v>15</v>
      </c>
      <c r="J96" s="4">
        <v>8456</v>
      </c>
      <c r="K96" s="4">
        <v>2.0199999999999999E-2</v>
      </c>
      <c r="L96" s="4">
        <v>38890</v>
      </c>
      <c r="M96" s="4">
        <v>1.19</v>
      </c>
      <c r="O96" s="3">
        <v>45318</v>
      </c>
      <c r="P96" s="4" t="s">
        <v>76</v>
      </c>
      <c r="Q96" s="4" t="s">
        <v>77</v>
      </c>
      <c r="R96" s="4" t="s">
        <v>78</v>
      </c>
      <c r="S96" s="4" t="s">
        <v>79</v>
      </c>
      <c r="T96" s="4">
        <v>25234</v>
      </c>
      <c r="U96" s="4">
        <v>1312</v>
      </c>
      <c r="V96" s="4">
        <v>250.3</v>
      </c>
      <c r="W96" s="4">
        <v>49</v>
      </c>
      <c r="X96" s="4">
        <v>2450</v>
      </c>
      <c r="Y96" s="4">
        <v>5.1999999999999998E-2</v>
      </c>
      <c r="Z96" s="4">
        <v>0.19</v>
      </c>
      <c r="AA96" s="4">
        <v>9</v>
      </c>
      <c r="AB96" s="4">
        <v>0.91</v>
      </c>
      <c r="AD96" s="3">
        <v>45318</v>
      </c>
      <c r="AE96" s="4" t="s">
        <v>100</v>
      </c>
      <c r="AF96" s="4" t="s">
        <v>101</v>
      </c>
      <c r="AG96" s="4" t="s">
        <v>102</v>
      </c>
      <c r="AH96" s="4" t="s">
        <v>103</v>
      </c>
      <c r="AI96" s="4">
        <v>278901</v>
      </c>
      <c r="AJ96" s="4">
        <v>4123</v>
      </c>
      <c r="AK96" s="4">
        <v>545.6</v>
      </c>
      <c r="AL96" s="4">
        <v>42</v>
      </c>
      <c r="AM96" s="4">
        <v>229234</v>
      </c>
      <c r="AN96" s="4">
        <v>179234</v>
      </c>
      <c r="AO96" s="4">
        <v>112234</v>
      </c>
      <c r="AP96" s="4">
        <v>75678</v>
      </c>
      <c r="AQ96" s="4">
        <v>50234</v>
      </c>
      <c r="AR96" s="4">
        <v>10123</v>
      </c>
      <c r="AS96" s="4">
        <v>2712</v>
      </c>
      <c r="AT96" s="4">
        <v>645</v>
      </c>
      <c r="AV96" s="5">
        <f>T_Facebook_Ads[[#This Row],[date]]</f>
        <v>45318</v>
      </c>
      <c r="AW96">
        <f t="shared" ca="1" si="1"/>
        <v>2</v>
      </c>
      <c r="AX96">
        <f ca="1">ROUND(T_Facebook_Ads[[#This Row],[impressions]]*RANDBETWEEN(8,12)/10,0)</f>
        <v>36987</v>
      </c>
      <c r="AY96">
        <f ca="1">ROUND(T_Facebook_Ads[[#This Row],[clicks]]*RANDBETWEEN(8,12)/10,0)</f>
        <v>747</v>
      </c>
      <c r="AZ96">
        <f ca="1">T_Facebook_Ads[[#This Row],[spend]]*RANDBETWEEN(8,12)/10</f>
        <v>107.04</v>
      </c>
      <c r="BA96">
        <f ca="1">ROUND(T_Facebook_Ads[[#This Row],[conversions]]*RANDBETWEEN(8,12)/10,0)</f>
        <v>14</v>
      </c>
      <c r="BB96">
        <f ca="1">ROUND(T_Facebook_Ads[[#This Row],[video_views]]*RANDBETWEEN(8,12)/10,0)</f>
        <v>6765</v>
      </c>
    </row>
    <row r="97" spans="1:54" ht="15.75" thickBot="1" x14ac:dyDescent="0.3">
      <c r="A97" s="3">
        <v>45318</v>
      </c>
      <c r="B97" s="4" t="s">
        <v>56</v>
      </c>
      <c r="C97" s="4" t="s">
        <v>57</v>
      </c>
      <c r="D97" s="4" t="s">
        <v>58</v>
      </c>
      <c r="E97" s="4" t="s">
        <v>59</v>
      </c>
      <c r="F97" s="4">
        <v>12567</v>
      </c>
      <c r="G97" s="4">
        <v>567</v>
      </c>
      <c r="H97" s="4">
        <v>209.4</v>
      </c>
      <c r="I97" s="4">
        <v>36</v>
      </c>
      <c r="J97" s="4">
        <v>1267</v>
      </c>
      <c r="K97" s="4">
        <v>4.5100000000000001E-2</v>
      </c>
      <c r="L97" s="4">
        <v>9890</v>
      </c>
      <c r="M97" s="4">
        <v>1.27</v>
      </c>
      <c r="O97" s="3">
        <v>45318</v>
      </c>
      <c r="P97" s="4" t="s">
        <v>80</v>
      </c>
      <c r="Q97" s="4" t="s">
        <v>81</v>
      </c>
      <c r="R97" s="4" t="s">
        <v>82</v>
      </c>
      <c r="S97" s="4" t="s">
        <v>83</v>
      </c>
      <c r="T97" s="4">
        <v>45678</v>
      </c>
      <c r="U97" s="4">
        <v>901</v>
      </c>
      <c r="V97" s="4">
        <v>584.5</v>
      </c>
      <c r="W97" s="4">
        <v>24</v>
      </c>
      <c r="X97" s="4">
        <v>1200</v>
      </c>
      <c r="Y97" s="4">
        <v>1.9699999999999999E-2</v>
      </c>
      <c r="Z97" s="4">
        <v>0.65</v>
      </c>
      <c r="AA97" s="4">
        <v>7</v>
      </c>
      <c r="AB97" s="4">
        <v>0.45</v>
      </c>
      <c r="AD97" s="3">
        <v>45318</v>
      </c>
      <c r="AE97" s="4" t="s">
        <v>104</v>
      </c>
      <c r="AF97" s="4" t="s">
        <v>105</v>
      </c>
      <c r="AG97" s="4" t="s">
        <v>106</v>
      </c>
      <c r="AH97" s="4" t="s">
        <v>107</v>
      </c>
      <c r="AI97" s="4">
        <v>153456</v>
      </c>
      <c r="AJ97" s="4">
        <v>2945</v>
      </c>
      <c r="AK97" s="4">
        <v>789.2</v>
      </c>
      <c r="AL97" s="4">
        <v>79</v>
      </c>
      <c r="AM97" s="4">
        <v>107890</v>
      </c>
      <c r="AN97" s="4">
        <v>79567</v>
      </c>
      <c r="AO97" s="4">
        <v>53678</v>
      </c>
      <c r="AP97" s="4">
        <v>40234</v>
      </c>
      <c r="AQ97" s="4">
        <v>26890</v>
      </c>
      <c r="AR97" s="4">
        <v>5234</v>
      </c>
      <c r="AS97" s="4">
        <v>1456</v>
      </c>
      <c r="AT97" s="4">
        <v>278</v>
      </c>
      <c r="AV97" s="5">
        <f>T_Facebook_Ads[[#This Row],[date]]</f>
        <v>45318</v>
      </c>
      <c r="AW97">
        <f t="shared" ca="1" si="1"/>
        <v>5</v>
      </c>
      <c r="AX97">
        <f ca="1">ROUND(T_Facebook_Ads[[#This Row],[impressions]]*RANDBETWEEN(8,12)/10,0)</f>
        <v>10054</v>
      </c>
      <c r="AY97">
        <f ca="1">ROUND(T_Facebook_Ads[[#This Row],[clicks]]*RANDBETWEEN(8,12)/10,0)</f>
        <v>567</v>
      </c>
      <c r="AZ97">
        <f ca="1">T_Facebook_Ads[[#This Row],[spend]]*RANDBETWEEN(8,12)/10</f>
        <v>230.34</v>
      </c>
      <c r="BA97">
        <f ca="1">ROUND(T_Facebook_Ads[[#This Row],[conversions]]*RANDBETWEEN(8,12)/10,0)</f>
        <v>40</v>
      </c>
      <c r="BB97">
        <f ca="1">ROUND(T_Facebook_Ads[[#This Row],[video_views]]*RANDBETWEEN(8,12)/10,0)</f>
        <v>1520</v>
      </c>
    </row>
    <row r="98" spans="1:54" ht="15.75" thickBot="1" x14ac:dyDescent="0.3">
      <c r="A98" s="3">
        <v>45318</v>
      </c>
      <c r="B98" s="4" t="s">
        <v>60</v>
      </c>
      <c r="C98" s="4" t="s">
        <v>61</v>
      </c>
      <c r="D98" s="4" t="s">
        <v>62</v>
      </c>
      <c r="E98" s="4" t="s">
        <v>63</v>
      </c>
      <c r="F98" s="4">
        <v>35890</v>
      </c>
      <c r="G98" s="4">
        <v>1289</v>
      </c>
      <c r="H98" s="4">
        <v>197.8</v>
      </c>
      <c r="I98" s="4">
        <v>27</v>
      </c>
      <c r="J98" s="4">
        <v>4567</v>
      </c>
      <c r="K98" s="4">
        <v>3.5900000000000001E-2</v>
      </c>
      <c r="L98" s="4">
        <v>29567</v>
      </c>
      <c r="M98" s="4">
        <v>1.21</v>
      </c>
      <c r="O98" s="3">
        <v>45318</v>
      </c>
      <c r="P98" s="4" t="s">
        <v>84</v>
      </c>
      <c r="Q98" s="4" t="s">
        <v>85</v>
      </c>
      <c r="R98" s="4" t="s">
        <v>86</v>
      </c>
      <c r="S98" s="4" t="s">
        <v>87</v>
      </c>
      <c r="T98" s="4">
        <v>70123</v>
      </c>
      <c r="U98" s="4">
        <v>2356</v>
      </c>
      <c r="V98" s="4">
        <v>431.2</v>
      </c>
      <c r="W98" s="4">
        <v>68</v>
      </c>
      <c r="X98" s="4">
        <v>3400</v>
      </c>
      <c r="Y98" s="4">
        <v>3.3599999999999998E-2</v>
      </c>
      <c r="Z98" s="4">
        <v>0.18</v>
      </c>
      <c r="AA98" s="4">
        <v>8</v>
      </c>
      <c r="AB98" s="4">
        <v>0.68</v>
      </c>
      <c r="AD98" s="3">
        <v>45318</v>
      </c>
      <c r="AE98" s="4" t="s">
        <v>108</v>
      </c>
      <c r="AF98" s="4" t="s">
        <v>109</v>
      </c>
      <c r="AG98" s="4" t="s">
        <v>110</v>
      </c>
      <c r="AH98" s="4" t="s">
        <v>111</v>
      </c>
      <c r="AI98" s="4">
        <v>236789</v>
      </c>
      <c r="AJ98" s="4">
        <v>3734</v>
      </c>
      <c r="AK98" s="4">
        <v>456.8</v>
      </c>
      <c r="AL98" s="4">
        <v>33</v>
      </c>
      <c r="AM98" s="4">
        <v>187890</v>
      </c>
      <c r="AN98" s="4">
        <v>142345</v>
      </c>
      <c r="AO98" s="4">
        <v>112345</v>
      </c>
      <c r="AP98" s="4">
        <v>72345</v>
      </c>
      <c r="AQ98" s="4">
        <v>43789</v>
      </c>
      <c r="AR98" s="4">
        <v>8456</v>
      </c>
      <c r="AS98" s="4">
        <v>2267</v>
      </c>
      <c r="AT98" s="4">
        <v>545</v>
      </c>
      <c r="AV98" s="5">
        <f>T_Facebook_Ads[[#This Row],[date]]</f>
        <v>45318</v>
      </c>
      <c r="AW98">
        <f t="shared" ca="1" si="1"/>
        <v>8</v>
      </c>
      <c r="AX98">
        <f ca="1">ROUND(T_Facebook_Ads[[#This Row],[impressions]]*RANDBETWEEN(8,12)/10,0)</f>
        <v>28712</v>
      </c>
      <c r="AY98">
        <f ca="1">ROUND(T_Facebook_Ads[[#This Row],[clicks]]*RANDBETWEEN(8,12)/10,0)</f>
        <v>1160</v>
      </c>
      <c r="AZ98">
        <f ca="1">T_Facebook_Ads[[#This Row],[spend]]*RANDBETWEEN(8,12)/10</f>
        <v>158.24</v>
      </c>
      <c r="BA98">
        <f ca="1">ROUND(T_Facebook_Ads[[#This Row],[conversions]]*RANDBETWEEN(8,12)/10,0)</f>
        <v>30</v>
      </c>
      <c r="BB98">
        <f ca="1">ROUND(T_Facebook_Ads[[#This Row],[video_views]]*RANDBETWEEN(8,12)/10,0)</f>
        <v>4110</v>
      </c>
    </row>
    <row r="99" spans="1:54" ht="15.75" thickBot="1" x14ac:dyDescent="0.3">
      <c r="A99" s="3">
        <v>45318</v>
      </c>
      <c r="B99" s="4" t="s">
        <v>64</v>
      </c>
      <c r="C99" s="4" t="s">
        <v>65</v>
      </c>
      <c r="D99" s="4" t="s">
        <v>66</v>
      </c>
      <c r="E99" s="4" t="s">
        <v>67</v>
      </c>
      <c r="F99" s="4">
        <v>68234</v>
      </c>
      <c r="G99" s="4">
        <v>245</v>
      </c>
      <c r="H99" s="4">
        <v>85.9</v>
      </c>
      <c r="I99" s="4">
        <v>5</v>
      </c>
      <c r="J99" s="4">
        <v>45678</v>
      </c>
      <c r="K99" s="4">
        <v>3.5999999999999999E-3</v>
      </c>
      <c r="L99" s="4">
        <v>55890</v>
      </c>
      <c r="M99" s="4">
        <v>1.22</v>
      </c>
      <c r="O99" s="3">
        <v>45318</v>
      </c>
      <c r="P99" s="4" t="s">
        <v>88</v>
      </c>
      <c r="Q99" s="4" t="s">
        <v>89</v>
      </c>
      <c r="R99" s="4" t="s">
        <v>90</v>
      </c>
      <c r="S99" s="4" t="s">
        <v>59</v>
      </c>
      <c r="T99" s="4">
        <v>134890</v>
      </c>
      <c r="U99" s="4">
        <v>489</v>
      </c>
      <c r="V99" s="4">
        <v>132.69999999999999</v>
      </c>
      <c r="W99" s="4">
        <v>14</v>
      </c>
      <c r="X99" s="4">
        <v>700</v>
      </c>
      <c r="Y99" s="4">
        <v>3.5999999999999999E-3</v>
      </c>
      <c r="Z99" s="4">
        <v>0.27</v>
      </c>
      <c r="AA99" s="4">
        <v>7</v>
      </c>
      <c r="AB99" s="4">
        <v>0.35</v>
      </c>
      <c r="AD99" s="3">
        <v>45318</v>
      </c>
      <c r="AE99" s="4" t="s">
        <v>112</v>
      </c>
      <c r="AF99" s="4" t="s">
        <v>113</v>
      </c>
      <c r="AG99" s="4" t="s">
        <v>114</v>
      </c>
      <c r="AH99" s="4" t="s">
        <v>115</v>
      </c>
      <c r="AI99" s="4">
        <v>423456</v>
      </c>
      <c r="AJ99" s="4">
        <v>6789</v>
      </c>
      <c r="AK99" s="4">
        <v>1034.5</v>
      </c>
      <c r="AL99" s="4">
        <v>104</v>
      </c>
      <c r="AM99" s="4">
        <v>356789</v>
      </c>
      <c r="AN99" s="4">
        <v>287234</v>
      </c>
      <c r="AO99" s="4">
        <v>229234</v>
      </c>
      <c r="AP99" s="4">
        <v>162345</v>
      </c>
      <c r="AQ99" s="4">
        <v>107890</v>
      </c>
      <c r="AR99" s="4">
        <v>18756</v>
      </c>
      <c r="AS99" s="4">
        <v>5345</v>
      </c>
      <c r="AT99" s="4">
        <v>1456</v>
      </c>
      <c r="AV99" s="5">
        <f>T_Facebook_Ads[[#This Row],[date]]</f>
        <v>45318</v>
      </c>
      <c r="AW99">
        <f t="shared" ca="1" si="1"/>
        <v>2</v>
      </c>
      <c r="AX99">
        <f ca="1">ROUND(T_Facebook_Ads[[#This Row],[impressions]]*RANDBETWEEN(8,12)/10,0)</f>
        <v>68234</v>
      </c>
      <c r="AY99">
        <f ca="1">ROUND(T_Facebook_Ads[[#This Row],[clicks]]*RANDBETWEEN(8,12)/10,0)</f>
        <v>221</v>
      </c>
      <c r="AZ99">
        <f ca="1">T_Facebook_Ads[[#This Row],[spend]]*RANDBETWEEN(8,12)/10</f>
        <v>68.72</v>
      </c>
      <c r="BA99">
        <f ca="1">ROUND(T_Facebook_Ads[[#This Row],[conversions]]*RANDBETWEEN(8,12)/10,0)</f>
        <v>6</v>
      </c>
      <c r="BB99">
        <f ca="1">ROUND(T_Facebook_Ads[[#This Row],[video_views]]*RANDBETWEEN(8,12)/10,0)</f>
        <v>54814</v>
      </c>
    </row>
    <row r="100" spans="1:54" ht="15.75" thickBot="1" x14ac:dyDescent="0.3">
      <c r="A100" s="3">
        <v>45319</v>
      </c>
      <c r="B100" s="4" t="s">
        <v>52</v>
      </c>
      <c r="C100" s="4" t="s">
        <v>53</v>
      </c>
      <c r="D100" s="4" t="s">
        <v>54</v>
      </c>
      <c r="E100" s="4" t="s">
        <v>55</v>
      </c>
      <c r="F100" s="4">
        <v>44567</v>
      </c>
      <c r="G100" s="4">
        <v>890</v>
      </c>
      <c r="H100" s="4">
        <v>127.6</v>
      </c>
      <c r="I100" s="4">
        <v>13</v>
      </c>
      <c r="J100" s="4">
        <v>8123</v>
      </c>
      <c r="K100" s="4">
        <v>0.02</v>
      </c>
      <c r="L100" s="4">
        <v>37456</v>
      </c>
      <c r="M100" s="4">
        <v>1.19</v>
      </c>
      <c r="O100" s="3">
        <v>45319</v>
      </c>
      <c r="P100" s="4" t="s">
        <v>76</v>
      </c>
      <c r="Q100" s="4" t="s">
        <v>77</v>
      </c>
      <c r="R100" s="4" t="s">
        <v>78</v>
      </c>
      <c r="S100" s="4" t="s">
        <v>79</v>
      </c>
      <c r="T100" s="4">
        <v>23567</v>
      </c>
      <c r="U100" s="4">
        <v>1189</v>
      </c>
      <c r="V100" s="4">
        <v>226.8</v>
      </c>
      <c r="W100" s="4">
        <v>44</v>
      </c>
      <c r="X100" s="4">
        <v>2200</v>
      </c>
      <c r="Y100" s="4">
        <v>5.0500000000000003E-2</v>
      </c>
      <c r="Z100" s="4">
        <v>0.19</v>
      </c>
      <c r="AA100" s="4">
        <v>9</v>
      </c>
      <c r="AB100" s="4">
        <v>0.9</v>
      </c>
      <c r="AD100" s="3">
        <v>45319</v>
      </c>
      <c r="AE100" s="4" t="s">
        <v>100</v>
      </c>
      <c r="AF100" s="4" t="s">
        <v>101</v>
      </c>
      <c r="AG100" s="4" t="s">
        <v>102</v>
      </c>
      <c r="AH100" s="4" t="s">
        <v>103</v>
      </c>
      <c r="AI100" s="4">
        <v>267890</v>
      </c>
      <c r="AJ100" s="4">
        <v>3945</v>
      </c>
      <c r="AK100" s="4">
        <v>501.2</v>
      </c>
      <c r="AL100" s="4">
        <v>40</v>
      </c>
      <c r="AM100" s="4">
        <v>221234</v>
      </c>
      <c r="AN100" s="4">
        <v>173456</v>
      </c>
      <c r="AO100" s="4">
        <v>109234</v>
      </c>
      <c r="AP100" s="4">
        <v>73567</v>
      </c>
      <c r="AQ100" s="4">
        <v>49234</v>
      </c>
      <c r="AR100" s="4">
        <v>9789</v>
      </c>
      <c r="AS100" s="4">
        <v>2634</v>
      </c>
      <c r="AT100" s="4">
        <v>623</v>
      </c>
      <c r="AV100" s="5">
        <f>T_Facebook_Ads[[#This Row],[date]]</f>
        <v>45319</v>
      </c>
      <c r="AW100">
        <f t="shared" ca="1" si="1"/>
        <v>4</v>
      </c>
      <c r="AX100">
        <f ca="1">ROUND(T_Facebook_Ads[[#This Row],[impressions]]*RANDBETWEEN(8,12)/10,0)</f>
        <v>35654</v>
      </c>
      <c r="AY100">
        <f ca="1">ROUND(T_Facebook_Ads[[#This Row],[clicks]]*RANDBETWEEN(8,12)/10,0)</f>
        <v>979</v>
      </c>
      <c r="AZ100">
        <f ca="1">T_Facebook_Ads[[#This Row],[spend]]*RANDBETWEEN(8,12)/10</f>
        <v>114.83999999999999</v>
      </c>
      <c r="BA100">
        <f ca="1">ROUND(T_Facebook_Ads[[#This Row],[conversions]]*RANDBETWEEN(8,12)/10,0)</f>
        <v>14</v>
      </c>
      <c r="BB100">
        <f ca="1">ROUND(T_Facebook_Ads[[#This Row],[video_views]]*RANDBETWEEN(8,12)/10,0)</f>
        <v>7311</v>
      </c>
    </row>
    <row r="101" spans="1:54" ht="15.75" thickBot="1" x14ac:dyDescent="0.3">
      <c r="A101" s="3">
        <v>45319</v>
      </c>
      <c r="B101" s="4" t="s">
        <v>56</v>
      </c>
      <c r="C101" s="4" t="s">
        <v>57</v>
      </c>
      <c r="D101" s="4" t="s">
        <v>58</v>
      </c>
      <c r="E101" s="4" t="s">
        <v>59</v>
      </c>
      <c r="F101" s="4">
        <v>11456</v>
      </c>
      <c r="G101" s="4">
        <v>523</v>
      </c>
      <c r="H101" s="4">
        <v>192.3</v>
      </c>
      <c r="I101" s="4">
        <v>33</v>
      </c>
      <c r="J101" s="4">
        <v>1089</v>
      </c>
      <c r="K101" s="4">
        <v>4.5699999999999998E-2</v>
      </c>
      <c r="L101" s="4">
        <v>8967</v>
      </c>
      <c r="M101" s="4">
        <v>1.28</v>
      </c>
      <c r="O101" s="3">
        <v>45319</v>
      </c>
      <c r="P101" s="4" t="s">
        <v>80</v>
      </c>
      <c r="Q101" s="4" t="s">
        <v>81</v>
      </c>
      <c r="R101" s="4" t="s">
        <v>82</v>
      </c>
      <c r="S101" s="4" t="s">
        <v>83</v>
      </c>
      <c r="T101" s="4">
        <v>42890</v>
      </c>
      <c r="U101" s="4">
        <v>834</v>
      </c>
      <c r="V101" s="4">
        <v>549.29999999999995</v>
      </c>
      <c r="W101" s="4">
        <v>21</v>
      </c>
      <c r="X101" s="4">
        <v>1050</v>
      </c>
      <c r="Y101" s="4">
        <v>1.95E-2</v>
      </c>
      <c r="Z101" s="4">
        <v>0.66</v>
      </c>
      <c r="AA101" s="4">
        <v>7</v>
      </c>
      <c r="AB101" s="4">
        <v>0.43</v>
      </c>
      <c r="AD101" s="3">
        <v>45319</v>
      </c>
      <c r="AE101" s="4" t="s">
        <v>104</v>
      </c>
      <c r="AF101" s="4" t="s">
        <v>105</v>
      </c>
      <c r="AG101" s="4" t="s">
        <v>106</v>
      </c>
      <c r="AH101" s="4" t="s">
        <v>107</v>
      </c>
      <c r="AI101" s="4">
        <v>148901</v>
      </c>
      <c r="AJ101" s="4">
        <v>2834</v>
      </c>
      <c r="AK101" s="4">
        <v>756.7</v>
      </c>
      <c r="AL101" s="4">
        <v>76</v>
      </c>
      <c r="AM101" s="4">
        <v>101234</v>
      </c>
      <c r="AN101" s="4">
        <v>74567</v>
      </c>
      <c r="AO101" s="4">
        <v>50234</v>
      </c>
      <c r="AP101" s="4">
        <v>37890</v>
      </c>
      <c r="AQ101" s="4">
        <v>25234</v>
      </c>
      <c r="AR101" s="4">
        <v>5012</v>
      </c>
      <c r="AS101" s="4">
        <v>1423</v>
      </c>
      <c r="AT101" s="4">
        <v>267</v>
      </c>
      <c r="AV101" s="5">
        <f>T_Facebook_Ads[[#This Row],[date]]</f>
        <v>45319</v>
      </c>
      <c r="AW101">
        <f t="shared" ca="1" si="1"/>
        <v>2</v>
      </c>
      <c r="AX101">
        <f ca="1">ROUND(T_Facebook_Ads[[#This Row],[impressions]]*RANDBETWEEN(8,12)/10,0)</f>
        <v>10310</v>
      </c>
      <c r="AY101">
        <f ca="1">ROUND(T_Facebook_Ads[[#This Row],[clicks]]*RANDBETWEEN(8,12)/10,0)</f>
        <v>471</v>
      </c>
      <c r="AZ101">
        <f ca="1">T_Facebook_Ads[[#This Row],[spend]]*RANDBETWEEN(8,12)/10</f>
        <v>211.53000000000003</v>
      </c>
      <c r="BA101">
        <f ca="1">ROUND(T_Facebook_Ads[[#This Row],[conversions]]*RANDBETWEEN(8,12)/10,0)</f>
        <v>36</v>
      </c>
      <c r="BB101">
        <f ca="1">ROUND(T_Facebook_Ads[[#This Row],[video_views]]*RANDBETWEEN(8,12)/10,0)</f>
        <v>1307</v>
      </c>
    </row>
    <row r="102" spans="1:54" ht="15.75" thickBot="1" x14ac:dyDescent="0.3">
      <c r="A102" s="3">
        <v>45319</v>
      </c>
      <c r="B102" s="4" t="s">
        <v>60</v>
      </c>
      <c r="C102" s="4" t="s">
        <v>61</v>
      </c>
      <c r="D102" s="4" t="s">
        <v>62</v>
      </c>
      <c r="E102" s="4" t="s">
        <v>63</v>
      </c>
      <c r="F102" s="4">
        <v>33567</v>
      </c>
      <c r="G102" s="4">
        <v>1203</v>
      </c>
      <c r="H102" s="4">
        <v>184.5</v>
      </c>
      <c r="I102" s="4">
        <v>25</v>
      </c>
      <c r="J102" s="4">
        <v>4123</v>
      </c>
      <c r="K102" s="4">
        <v>3.5799999999999998E-2</v>
      </c>
      <c r="L102" s="4">
        <v>27890</v>
      </c>
      <c r="M102" s="4">
        <v>1.2</v>
      </c>
      <c r="O102" s="3">
        <v>45319</v>
      </c>
      <c r="P102" s="4" t="s">
        <v>84</v>
      </c>
      <c r="Q102" s="4" t="s">
        <v>85</v>
      </c>
      <c r="R102" s="4" t="s">
        <v>86</v>
      </c>
      <c r="S102" s="4" t="s">
        <v>87</v>
      </c>
      <c r="T102" s="4">
        <v>66234</v>
      </c>
      <c r="U102" s="4">
        <v>2167</v>
      </c>
      <c r="V102" s="4">
        <v>395.8</v>
      </c>
      <c r="W102" s="4">
        <v>61</v>
      </c>
      <c r="X102" s="4">
        <v>3050</v>
      </c>
      <c r="Y102" s="4">
        <v>3.27E-2</v>
      </c>
      <c r="Z102" s="4">
        <v>0.18</v>
      </c>
      <c r="AA102" s="4">
        <v>8</v>
      </c>
      <c r="AB102" s="4">
        <v>0.66</v>
      </c>
      <c r="AD102" s="3">
        <v>45319</v>
      </c>
      <c r="AE102" s="4" t="s">
        <v>108</v>
      </c>
      <c r="AF102" s="4" t="s">
        <v>109</v>
      </c>
      <c r="AG102" s="4" t="s">
        <v>110</v>
      </c>
      <c r="AH102" s="4" t="s">
        <v>111</v>
      </c>
      <c r="AI102" s="4">
        <v>223456</v>
      </c>
      <c r="AJ102" s="4">
        <v>3567</v>
      </c>
      <c r="AK102" s="4">
        <v>427.7</v>
      </c>
      <c r="AL102" s="4">
        <v>30</v>
      </c>
      <c r="AM102" s="4">
        <v>178901</v>
      </c>
      <c r="AN102" s="4">
        <v>135234</v>
      </c>
      <c r="AO102" s="4">
        <v>106789</v>
      </c>
      <c r="AP102" s="4">
        <v>69234</v>
      </c>
      <c r="AQ102" s="4">
        <v>41789</v>
      </c>
      <c r="AR102" s="4">
        <v>8234</v>
      </c>
      <c r="AS102" s="4">
        <v>2267</v>
      </c>
      <c r="AT102" s="4">
        <v>534</v>
      </c>
      <c r="AV102" s="5">
        <f>T_Facebook_Ads[[#This Row],[date]]</f>
        <v>45319</v>
      </c>
      <c r="AW102">
        <f t="shared" ca="1" si="1"/>
        <v>2</v>
      </c>
      <c r="AX102">
        <f ca="1">ROUND(T_Facebook_Ads[[#This Row],[impressions]]*RANDBETWEEN(8,12)/10,0)</f>
        <v>36924</v>
      </c>
      <c r="AY102">
        <f ca="1">ROUND(T_Facebook_Ads[[#This Row],[clicks]]*RANDBETWEEN(8,12)/10,0)</f>
        <v>1203</v>
      </c>
      <c r="AZ102">
        <f ca="1">T_Facebook_Ads[[#This Row],[spend]]*RANDBETWEEN(8,12)/10</f>
        <v>221.4</v>
      </c>
      <c r="BA102">
        <f ca="1">ROUND(T_Facebook_Ads[[#This Row],[conversions]]*RANDBETWEEN(8,12)/10,0)</f>
        <v>20</v>
      </c>
      <c r="BB102">
        <f ca="1">ROUND(T_Facebook_Ads[[#This Row],[video_views]]*RANDBETWEEN(8,12)/10,0)</f>
        <v>3298</v>
      </c>
    </row>
    <row r="103" spans="1:54" ht="15.75" thickBot="1" x14ac:dyDescent="0.3">
      <c r="A103" s="3">
        <v>45319</v>
      </c>
      <c r="B103" s="4" t="s">
        <v>64</v>
      </c>
      <c r="C103" s="4" t="s">
        <v>65</v>
      </c>
      <c r="D103" s="4" t="s">
        <v>66</v>
      </c>
      <c r="E103" s="4" t="s">
        <v>67</v>
      </c>
      <c r="F103" s="4">
        <v>65789</v>
      </c>
      <c r="G103" s="4">
        <v>234</v>
      </c>
      <c r="H103" s="4">
        <v>80.400000000000006</v>
      </c>
      <c r="I103" s="4">
        <v>4</v>
      </c>
      <c r="J103" s="4">
        <v>43890</v>
      </c>
      <c r="K103" s="4">
        <v>3.5999999999999999E-3</v>
      </c>
      <c r="L103" s="4">
        <v>54123</v>
      </c>
      <c r="M103" s="4">
        <v>1.21</v>
      </c>
      <c r="O103" s="3">
        <v>45319</v>
      </c>
      <c r="P103" s="4" t="s">
        <v>88</v>
      </c>
      <c r="Q103" s="4" t="s">
        <v>89</v>
      </c>
      <c r="R103" s="4" t="s">
        <v>90</v>
      </c>
      <c r="S103" s="4" t="s">
        <v>59</v>
      </c>
      <c r="T103" s="4">
        <v>127345</v>
      </c>
      <c r="U103" s="4">
        <v>445</v>
      </c>
      <c r="V103" s="4">
        <v>125.1</v>
      </c>
      <c r="W103" s="4">
        <v>12</v>
      </c>
      <c r="X103" s="4">
        <v>600</v>
      </c>
      <c r="Y103" s="4">
        <v>3.5000000000000001E-3</v>
      </c>
      <c r="Z103" s="4">
        <v>0.28000000000000003</v>
      </c>
      <c r="AA103" s="4">
        <v>7</v>
      </c>
      <c r="AB103" s="4">
        <v>0.33</v>
      </c>
      <c r="AD103" s="3">
        <v>45319</v>
      </c>
      <c r="AE103" s="4" t="s">
        <v>112</v>
      </c>
      <c r="AF103" s="4" t="s">
        <v>113</v>
      </c>
      <c r="AG103" s="4" t="s">
        <v>114</v>
      </c>
      <c r="AH103" s="4" t="s">
        <v>115</v>
      </c>
      <c r="AI103" s="4">
        <v>401234</v>
      </c>
      <c r="AJ103" s="4">
        <v>6456</v>
      </c>
      <c r="AK103" s="4">
        <v>989.9</v>
      </c>
      <c r="AL103" s="4">
        <v>101</v>
      </c>
      <c r="AM103" s="4">
        <v>332345</v>
      </c>
      <c r="AN103" s="4">
        <v>267890</v>
      </c>
      <c r="AO103" s="4">
        <v>214567</v>
      </c>
      <c r="AP103" s="4">
        <v>151234</v>
      </c>
      <c r="AQ103" s="4">
        <v>99567</v>
      </c>
      <c r="AR103" s="4">
        <v>17234</v>
      </c>
      <c r="AS103" s="4">
        <v>5012</v>
      </c>
      <c r="AT103" s="4">
        <v>1378</v>
      </c>
      <c r="AV103" s="5">
        <f>T_Facebook_Ads[[#This Row],[date]]</f>
        <v>45319</v>
      </c>
      <c r="AW103">
        <f t="shared" ca="1" si="1"/>
        <v>7</v>
      </c>
      <c r="AX103">
        <f ca="1">ROUND(T_Facebook_Ads[[#This Row],[impressions]]*RANDBETWEEN(8,12)/10,0)</f>
        <v>59210</v>
      </c>
      <c r="AY103">
        <f ca="1">ROUND(T_Facebook_Ads[[#This Row],[clicks]]*RANDBETWEEN(8,12)/10,0)</f>
        <v>211</v>
      </c>
      <c r="AZ103">
        <f ca="1">T_Facebook_Ads[[#This Row],[spend]]*RANDBETWEEN(8,12)/10</f>
        <v>80.400000000000006</v>
      </c>
      <c r="BA103">
        <f ca="1">ROUND(T_Facebook_Ads[[#This Row],[conversions]]*RANDBETWEEN(8,12)/10,0)</f>
        <v>5</v>
      </c>
      <c r="BB103">
        <f ca="1">ROUND(T_Facebook_Ads[[#This Row],[video_views]]*RANDBETWEEN(8,12)/10,0)</f>
        <v>48279</v>
      </c>
    </row>
    <row r="104" spans="1:54" ht="15.75" thickBot="1" x14ac:dyDescent="0.3">
      <c r="A104" s="3">
        <v>45320</v>
      </c>
      <c r="B104" s="4" t="s">
        <v>52</v>
      </c>
      <c r="C104" s="4" t="s">
        <v>53</v>
      </c>
      <c r="D104" s="4" t="s">
        <v>54</v>
      </c>
      <c r="E104" s="4" t="s">
        <v>55</v>
      </c>
      <c r="F104" s="4">
        <v>47890</v>
      </c>
      <c r="G104" s="4">
        <v>967</v>
      </c>
      <c r="H104" s="4">
        <v>138.4</v>
      </c>
      <c r="I104" s="4">
        <v>15</v>
      </c>
      <c r="J104" s="4">
        <v>8789</v>
      </c>
      <c r="K104" s="4">
        <v>2.0199999999999999E-2</v>
      </c>
      <c r="L104" s="4">
        <v>40234</v>
      </c>
      <c r="M104" s="4">
        <v>1.19</v>
      </c>
      <c r="O104" s="3">
        <v>45320</v>
      </c>
      <c r="P104" s="4" t="s">
        <v>76</v>
      </c>
      <c r="Q104" s="4" t="s">
        <v>77</v>
      </c>
      <c r="R104" s="4" t="s">
        <v>78</v>
      </c>
      <c r="S104" s="4" t="s">
        <v>79</v>
      </c>
      <c r="T104" s="4">
        <v>24890</v>
      </c>
      <c r="U104" s="4">
        <v>1278</v>
      </c>
      <c r="V104" s="4">
        <v>244.2</v>
      </c>
      <c r="W104" s="4">
        <v>47</v>
      </c>
      <c r="X104" s="4">
        <v>2350</v>
      </c>
      <c r="Y104" s="4">
        <v>5.1299999999999998E-2</v>
      </c>
      <c r="Z104" s="4">
        <v>0.19</v>
      </c>
      <c r="AA104" s="4">
        <v>9</v>
      </c>
      <c r="AB104" s="4">
        <v>0.91</v>
      </c>
      <c r="AD104" s="3">
        <v>45320</v>
      </c>
      <c r="AE104" s="4" t="s">
        <v>100</v>
      </c>
      <c r="AF104" s="4" t="s">
        <v>101</v>
      </c>
      <c r="AG104" s="4" t="s">
        <v>102</v>
      </c>
      <c r="AH104" s="4" t="s">
        <v>103</v>
      </c>
      <c r="AI104" s="4">
        <v>289012</v>
      </c>
      <c r="AJ104" s="4">
        <v>4234</v>
      </c>
      <c r="AK104" s="4">
        <v>556.70000000000005</v>
      </c>
      <c r="AL104" s="4">
        <v>43</v>
      </c>
      <c r="AM104" s="4">
        <v>234567</v>
      </c>
      <c r="AN104" s="4">
        <v>182345</v>
      </c>
      <c r="AO104" s="4">
        <v>114567</v>
      </c>
      <c r="AP104" s="4">
        <v>77234</v>
      </c>
      <c r="AQ104" s="4">
        <v>51234</v>
      </c>
      <c r="AR104" s="4">
        <v>10345</v>
      </c>
      <c r="AS104" s="4">
        <v>2789</v>
      </c>
      <c r="AT104" s="4">
        <v>656</v>
      </c>
      <c r="AV104" s="5">
        <f>T_Facebook_Ads[[#This Row],[date]]</f>
        <v>45320</v>
      </c>
      <c r="AW104">
        <f t="shared" ca="1" si="1"/>
        <v>8</v>
      </c>
      <c r="AX104">
        <f ca="1">ROUND(T_Facebook_Ads[[#This Row],[impressions]]*RANDBETWEEN(8,12)/10,0)</f>
        <v>43101</v>
      </c>
      <c r="AY104">
        <f ca="1">ROUND(T_Facebook_Ads[[#This Row],[clicks]]*RANDBETWEEN(8,12)/10,0)</f>
        <v>967</v>
      </c>
      <c r="AZ104">
        <f ca="1">T_Facebook_Ads[[#This Row],[spend]]*RANDBETWEEN(8,12)/10</f>
        <v>110.72</v>
      </c>
      <c r="BA104">
        <f ca="1">ROUND(T_Facebook_Ads[[#This Row],[conversions]]*RANDBETWEEN(8,12)/10,0)</f>
        <v>18</v>
      </c>
      <c r="BB104">
        <f ca="1">ROUND(T_Facebook_Ads[[#This Row],[video_views]]*RANDBETWEEN(8,12)/10,0)</f>
        <v>9668</v>
      </c>
    </row>
    <row r="105" spans="1:54" ht="15.75" thickBot="1" x14ac:dyDescent="0.3">
      <c r="A105" s="3">
        <v>45320</v>
      </c>
      <c r="B105" s="4" t="s">
        <v>56</v>
      </c>
      <c r="C105" s="4" t="s">
        <v>57</v>
      </c>
      <c r="D105" s="4" t="s">
        <v>58</v>
      </c>
      <c r="E105" s="4" t="s">
        <v>59</v>
      </c>
      <c r="F105" s="4">
        <v>13234</v>
      </c>
      <c r="G105" s="4">
        <v>612</v>
      </c>
      <c r="H105" s="4">
        <v>226.5</v>
      </c>
      <c r="I105" s="4">
        <v>39</v>
      </c>
      <c r="J105" s="4">
        <v>1345</v>
      </c>
      <c r="K105" s="4">
        <v>4.6300000000000001E-2</v>
      </c>
      <c r="L105" s="4">
        <v>10456</v>
      </c>
      <c r="M105" s="4">
        <v>1.27</v>
      </c>
      <c r="O105" s="3">
        <v>45320</v>
      </c>
      <c r="P105" s="4" t="s">
        <v>80</v>
      </c>
      <c r="Q105" s="4" t="s">
        <v>81</v>
      </c>
      <c r="R105" s="4" t="s">
        <v>82</v>
      </c>
      <c r="S105" s="4" t="s">
        <v>83</v>
      </c>
      <c r="T105" s="4">
        <v>44567</v>
      </c>
      <c r="U105" s="4">
        <v>878</v>
      </c>
      <c r="V105" s="4">
        <v>570.79999999999995</v>
      </c>
      <c r="W105" s="4">
        <v>23</v>
      </c>
      <c r="X105" s="4">
        <v>1150</v>
      </c>
      <c r="Y105" s="4">
        <v>1.9699999999999999E-2</v>
      </c>
      <c r="Z105" s="4">
        <v>0.65</v>
      </c>
      <c r="AA105" s="4">
        <v>7</v>
      </c>
      <c r="AB105" s="4">
        <v>0.44</v>
      </c>
      <c r="AD105" s="3">
        <v>45320</v>
      </c>
      <c r="AE105" s="4" t="s">
        <v>104</v>
      </c>
      <c r="AF105" s="4" t="s">
        <v>105</v>
      </c>
      <c r="AG105" s="4" t="s">
        <v>106</v>
      </c>
      <c r="AH105" s="4" t="s">
        <v>107</v>
      </c>
      <c r="AI105" s="4">
        <v>156789</v>
      </c>
      <c r="AJ105" s="4">
        <v>3012</v>
      </c>
      <c r="AK105" s="4">
        <v>812.3</v>
      </c>
      <c r="AL105" s="4">
        <v>82</v>
      </c>
      <c r="AM105" s="4">
        <v>109876</v>
      </c>
      <c r="AN105" s="4">
        <v>81234</v>
      </c>
      <c r="AO105" s="4">
        <v>54678</v>
      </c>
      <c r="AP105" s="4">
        <v>41234</v>
      </c>
      <c r="AQ105" s="4">
        <v>27567</v>
      </c>
      <c r="AR105" s="4">
        <v>5456</v>
      </c>
      <c r="AS105" s="4">
        <v>1567</v>
      </c>
      <c r="AT105" s="4">
        <v>289</v>
      </c>
      <c r="AV105" s="5">
        <f>T_Facebook_Ads[[#This Row],[date]]</f>
        <v>45320</v>
      </c>
      <c r="AW105">
        <f t="shared" ca="1" si="1"/>
        <v>3</v>
      </c>
      <c r="AX105">
        <f ca="1">ROUND(T_Facebook_Ads[[#This Row],[impressions]]*RANDBETWEEN(8,12)/10,0)</f>
        <v>15881</v>
      </c>
      <c r="AY105">
        <f ca="1">ROUND(T_Facebook_Ads[[#This Row],[clicks]]*RANDBETWEEN(8,12)/10,0)</f>
        <v>551</v>
      </c>
      <c r="AZ105">
        <f ca="1">T_Facebook_Ads[[#This Row],[spend]]*RANDBETWEEN(8,12)/10</f>
        <v>249.15</v>
      </c>
      <c r="BA105">
        <f ca="1">ROUND(T_Facebook_Ads[[#This Row],[conversions]]*RANDBETWEEN(8,12)/10,0)</f>
        <v>39</v>
      </c>
      <c r="BB105">
        <f ca="1">ROUND(T_Facebook_Ads[[#This Row],[video_views]]*RANDBETWEEN(8,12)/10,0)</f>
        <v>1480</v>
      </c>
    </row>
    <row r="106" spans="1:54" ht="15.75" thickBot="1" x14ac:dyDescent="0.3">
      <c r="A106" s="3">
        <v>45320</v>
      </c>
      <c r="B106" s="4" t="s">
        <v>60</v>
      </c>
      <c r="C106" s="4" t="s">
        <v>61</v>
      </c>
      <c r="D106" s="4" t="s">
        <v>62</v>
      </c>
      <c r="E106" s="4" t="s">
        <v>63</v>
      </c>
      <c r="F106" s="4">
        <v>36234</v>
      </c>
      <c r="G106" s="4">
        <v>1334</v>
      </c>
      <c r="H106" s="4">
        <v>203.7</v>
      </c>
      <c r="I106" s="4">
        <v>28</v>
      </c>
      <c r="J106" s="4">
        <v>4678</v>
      </c>
      <c r="K106" s="4">
        <v>3.6799999999999999E-2</v>
      </c>
      <c r="L106" s="4">
        <v>30123</v>
      </c>
      <c r="M106" s="4">
        <v>1.2</v>
      </c>
      <c r="O106" s="3">
        <v>45320</v>
      </c>
      <c r="P106" s="4" t="s">
        <v>84</v>
      </c>
      <c r="Q106" s="4" t="s">
        <v>85</v>
      </c>
      <c r="R106" s="4" t="s">
        <v>86</v>
      </c>
      <c r="S106" s="4" t="s">
        <v>87</v>
      </c>
      <c r="T106" s="4">
        <v>68456</v>
      </c>
      <c r="U106" s="4">
        <v>2289</v>
      </c>
      <c r="V106" s="4">
        <v>419.5</v>
      </c>
      <c r="W106" s="4">
        <v>66</v>
      </c>
      <c r="X106" s="4">
        <v>3300</v>
      </c>
      <c r="Y106" s="4">
        <v>3.3399999999999999E-2</v>
      </c>
      <c r="Z106" s="4">
        <v>0.18</v>
      </c>
      <c r="AA106" s="4">
        <v>8</v>
      </c>
      <c r="AB106" s="4">
        <v>0.67</v>
      </c>
      <c r="AD106" s="3">
        <v>45320</v>
      </c>
      <c r="AE106" s="4" t="s">
        <v>108</v>
      </c>
      <c r="AF106" s="4" t="s">
        <v>109</v>
      </c>
      <c r="AG106" s="4" t="s">
        <v>110</v>
      </c>
      <c r="AH106" s="4" t="s">
        <v>111</v>
      </c>
      <c r="AI106" s="4">
        <v>245678</v>
      </c>
      <c r="AJ106" s="4">
        <v>3890</v>
      </c>
      <c r="AK106" s="4">
        <v>467.8</v>
      </c>
      <c r="AL106" s="4">
        <v>34</v>
      </c>
      <c r="AM106" s="4">
        <v>195678</v>
      </c>
      <c r="AN106" s="4">
        <v>148234</v>
      </c>
      <c r="AO106" s="4">
        <v>117234</v>
      </c>
      <c r="AP106" s="4">
        <v>75234</v>
      </c>
      <c r="AQ106" s="4">
        <v>45789</v>
      </c>
      <c r="AR106" s="4">
        <v>8567</v>
      </c>
      <c r="AS106" s="4">
        <v>2345</v>
      </c>
      <c r="AT106" s="4">
        <v>567</v>
      </c>
      <c r="AV106" s="5">
        <f>T_Facebook_Ads[[#This Row],[date]]</f>
        <v>45320</v>
      </c>
      <c r="AW106">
        <f t="shared" ca="1" si="1"/>
        <v>6</v>
      </c>
      <c r="AX106">
        <f ca="1">ROUND(T_Facebook_Ads[[#This Row],[impressions]]*RANDBETWEEN(8,12)/10,0)</f>
        <v>36234</v>
      </c>
      <c r="AY106">
        <f ca="1">ROUND(T_Facebook_Ads[[#This Row],[clicks]]*RANDBETWEEN(8,12)/10,0)</f>
        <v>1067</v>
      </c>
      <c r="AZ106">
        <f ca="1">T_Facebook_Ads[[#This Row],[spend]]*RANDBETWEEN(8,12)/10</f>
        <v>244.43999999999997</v>
      </c>
      <c r="BA106">
        <f ca="1">ROUND(T_Facebook_Ads[[#This Row],[conversions]]*RANDBETWEEN(8,12)/10,0)</f>
        <v>25</v>
      </c>
      <c r="BB106">
        <f ca="1">ROUND(T_Facebook_Ads[[#This Row],[video_views]]*RANDBETWEEN(8,12)/10,0)</f>
        <v>5146</v>
      </c>
    </row>
    <row r="107" spans="1:54" ht="15.75" thickBot="1" x14ac:dyDescent="0.3">
      <c r="A107" s="3">
        <v>45320</v>
      </c>
      <c r="B107" s="4" t="s">
        <v>64</v>
      </c>
      <c r="C107" s="4" t="s">
        <v>65</v>
      </c>
      <c r="D107" s="4" t="s">
        <v>66</v>
      </c>
      <c r="E107" s="4" t="s">
        <v>67</v>
      </c>
      <c r="F107" s="4">
        <v>69567</v>
      </c>
      <c r="G107" s="4">
        <v>253</v>
      </c>
      <c r="H107" s="4">
        <v>88.7</v>
      </c>
      <c r="I107" s="4">
        <v>6</v>
      </c>
      <c r="J107" s="4">
        <v>46890</v>
      </c>
      <c r="K107" s="4">
        <v>3.5999999999999999E-3</v>
      </c>
      <c r="L107" s="4">
        <v>57123</v>
      </c>
      <c r="M107" s="4">
        <v>1.22</v>
      </c>
      <c r="O107" s="3">
        <v>45320</v>
      </c>
      <c r="P107" s="4" t="s">
        <v>88</v>
      </c>
      <c r="Q107" s="4" t="s">
        <v>89</v>
      </c>
      <c r="R107" s="4" t="s">
        <v>90</v>
      </c>
      <c r="S107" s="4" t="s">
        <v>59</v>
      </c>
      <c r="T107" s="4">
        <v>131234</v>
      </c>
      <c r="U107" s="4">
        <v>467</v>
      </c>
      <c r="V107" s="4">
        <v>128.9</v>
      </c>
      <c r="W107" s="4">
        <v>13</v>
      </c>
      <c r="X107" s="4">
        <v>650</v>
      </c>
      <c r="Y107" s="4">
        <v>3.5999999999999999E-3</v>
      </c>
      <c r="Z107" s="4">
        <v>0.28000000000000003</v>
      </c>
      <c r="AA107" s="4">
        <v>7</v>
      </c>
      <c r="AB107" s="4">
        <v>0.34</v>
      </c>
      <c r="AD107" s="3">
        <v>45320</v>
      </c>
      <c r="AE107" s="4" t="s">
        <v>112</v>
      </c>
      <c r="AF107" s="4" t="s">
        <v>113</v>
      </c>
      <c r="AG107" s="4" t="s">
        <v>114</v>
      </c>
      <c r="AH107" s="4" t="s">
        <v>115</v>
      </c>
      <c r="AI107" s="4">
        <v>423456</v>
      </c>
      <c r="AJ107" s="4">
        <v>6890</v>
      </c>
      <c r="AK107" s="4">
        <v>1056.8</v>
      </c>
      <c r="AL107" s="4">
        <v>107</v>
      </c>
      <c r="AM107" s="4">
        <v>356789</v>
      </c>
      <c r="AN107" s="4">
        <v>289234</v>
      </c>
      <c r="AO107" s="4">
        <v>231456</v>
      </c>
      <c r="AP107" s="4">
        <v>164567</v>
      </c>
      <c r="AQ107" s="4">
        <v>109234</v>
      </c>
      <c r="AR107" s="4">
        <v>18890</v>
      </c>
      <c r="AS107" s="4">
        <v>5456</v>
      </c>
      <c r="AT107" s="4">
        <v>1489</v>
      </c>
      <c r="AV107" s="5">
        <f>T_Facebook_Ads[[#This Row],[date]]</f>
        <v>45320</v>
      </c>
      <c r="AW107">
        <f t="shared" ca="1" si="1"/>
        <v>6</v>
      </c>
      <c r="AX107">
        <f ca="1">ROUND(T_Facebook_Ads[[#This Row],[impressions]]*RANDBETWEEN(8,12)/10,0)</f>
        <v>69567</v>
      </c>
      <c r="AY107">
        <f ca="1">ROUND(T_Facebook_Ads[[#This Row],[clicks]]*RANDBETWEEN(8,12)/10,0)</f>
        <v>202</v>
      </c>
      <c r="AZ107">
        <f ca="1">T_Facebook_Ads[[#This Row],[spend]]*RANDBETWEEN(8,12)/10</f>
        <v>88.7</v>
      </c>
      <c r="BA107">
        <f ca="1">ROUND(T_Facebook_Ads[[#This Row],[conversions]]*RANDBETWEEN(8,12)/10,0)</f>
        <v>5</v>
      </c>
      <c r="BB107">
        <f ca="1">ROUND(T_Facebook_Ads[[#This Row],[video_views]]*RANDBETWEEN(8,12)/10,0)</f>
        <v>56268</v>
      </c>
    </row>
    <row r="108" spans="1:54" ht="15.75" thickBot="1" x14ac:dyDescent="0.3">
      <c r="A108" s="3">
        <v>45321</v>
      </c>
      <c r="B108" s="4" t="s">
        <v>52</v>
      </c>
      <c r="C108" s="4" t="s">
        <v>53</v>
      </c>
      <c r="D108" s="4" t="s">
        <v>54</v>
      </c>
      <c r="E108" s="4" t="s">
        <v>55</v>
      </c>
      <c r="F108" s="4">
        <v>49234</v>
      </c>
      <c r="G108" s="4">
        <v>1001</v>
      </c>
      <c r="H108" s="4">
        <v>142.80000000000001</v>
      </c>
      <c r="I108" s="4">
        <v>16</v>
      </c>
      <c r="J108" s="4">
        <v>9012</v>
      </c>
      <c r="K108" s="4">
        <v>2.0299999999999999E-2</v>
      </c>
      <c r="L108" s="4">
        <v>41567</v>
      </c>
      <c r="M108" s="4">
        <v>1.18</v>
      </c>
      <c r="O108" s="3">
        <v>45321</v>
      </c>
      <c r="P108" s="4" t="s">
        <v>76</v>
      </c>
      <c r="Q108" s="4" t="s">
        <v>77</v>
      </c>
      <c r="R108" s="4" t="s">
        <v>78</v>
      </c>
      <c r="S108" s="4" t="s">
        <v>79</v>
      </c>
      <c r="T108" s="4">
        <v>25456</v>
      </c>
      <c r="U108" s="4">
        <v>1334</v>
      </c>
      <c r="V108" s="4">
        <v>254.6</v>
      </c>
      <c r="W108" s="4">
        <v>50</v>
      </c>
      <c r="X108" s="4">
        <v>2500</v>
      </c>
      <c r="Y108" s="4">
        <v>5.2400000000000002E-2</v>
      </c>
      <c r="Z108" s="4">
        <v>0.19</v>
      </c>
      <c r="AA108" s="4">
        <v>9</v>
      </c>
      <c r="AB108" s="4">
        <v>0.92</v>
      </c>
      <c r="AD108" s="3">
        <v>45321</v>
      </c>
      <c r="AE108" s="4" t="s">
        <v>100</v>
      </c>
      <c r="AF108" s="4" t="s">
        <v>101</v>
      </c>
      <c r="AG108" s="4" t="s">
        <v>102</v>
      </c>
      <c r="AH108" s="4" t="s">
        <v>103</v>
      </c>
      <c r="AI108" s="4">
        <v>295678</v>
      </c>
      <c r="AJ108" s="4">
        <v>4345</v>
      </c>
      <c r="AK108" s="4">
        <v>573.20000000000005</v>
      </c>
      <c r="AL108" s="4">
        <v>44</v>
      </c>
      <c r="AM108" s="4">
        <v>241234</v>
      </c>
      <c r="AN108" s="4">
        <v>188234</v>
      </c>
      <c r="AO108" s="4">
        <v>117890</v>
      </c>
      <c r="AP108" s="4">
        <v>79234</v>
      </c>
      <c r="AQ108" s="4">
        <v>52789</v>
      </c>
      <c r="AR108" s="4">
        <v>10567</v>
      </c>
      <c r="AS108" s="4">
        <v>2856</v>
      </c>
      <c r="AT108" s="4">
        <v>667</v>
      </c>
      <c r="AV108" s="5">
        <f>T_Facebook_Ads[[#This Row],[date]]</f>
        <v>45321</v>
      </c>
      <c r="AW108">
        <f t="shared" ca="1" si="1"/>
        <v>6</v>
      </c>
      <c r="AX108">
        <f ca="1">ROUND(T_Facebook_Ads[[#This Row],[impressions]]*RANDBETWEEN(8,12)/10,0)</f>
        <v>49234</v>
      </c>
      <c r="AY108">
        <f ca="1">ROUND(T_Facebook_Ads[[#This Row],[clicks]]*RANDBETWEEN(8,12)/10,0)</f>
        <v>801</v>
      </c>
      <c r="AZ108">
        <f ca="1">T_Facebook_Ads[[#This Row],[spend]]*RANDBETWEEN(8,12)/10</f>
        <v>142.80000000000001</v>
      </c>
      <c r="BA108">
        <f ca="1">ROUND(T_Facebook_Ads[[#This Row],[conversions]]*RANDBETWEEN(8,12)/10,0)</f>
        <v>19</v>
      </c>
      <c r="BB108">
        <f ca="1">ROUND(T_Facebook_Ads[[#This Row],[video_views]]*RANDBETWEEN(8,12)/10,0)</f>
        <v>10814</v>
      </c>
    </row>
    <row r="109" spans="1:54" ht="15.75" thickBot="1" x14ac:dyDescent="0.3">
      <c r="A109" s="3">
        <v>45321</v>
      </c>
      <c r="B109" s="4" t="s">
        <v>56</v>
      </c>
      <c r="C109" s="4" t="s">
        <v>57</v>
      </c>
      <c r="D109" s="4" t="s">
        <v>58</v>
      </c>
      <c r="E109" s="4" t="s">
        <v>59</v>
      </c>
      <c r="F109" s="4">
        <v>14123</v>
      </c>
      <c r="G109" s="4">
        <v>645</v>
      </c>
      <c r="H109" s="4">
        <v>236.9</v>
      </c>
      <c r="I109" s="4">
        <v>41</v>
      </c>
      <c r="J109" s="4">
        <v>1423</v>
      </c>
      <c r="K109" s="4">
        <v>4.5699999999999998E-2</v>
      </c>
      <c r="L109" s="4">
        <v>11123</v>
      </c>
      <c r="M109" s="4">
        <v>1.27</v>
      </c>
      <c r="O109" s="3">
        <v>45321</v>
      </c>
      <c r="P109" s="4" t="s">
        <v>80</v>
      </c>
      <c r="Q109" s="4" t="s">
        <v>81</v>
      </c>
      <c r="R109" s="4" t="s">
        <v>82</v>
      </c>
      <c r="S109" s="4" t="s">
        <v>83</v>
      </c>
      <c r="T109" s="4">
        <v>45890</v>
      </c>
      <c r="U109" s="4">
        <v>912</v>
      </c>
      <c r="V109" s="4">
        <v>587.70000000000005</v>
      </c>
      <c r="W109" s="4">
        <v>24</v>
      </c>
      <c r="X109" s="4">
        <v>1200</v>
      </c>
      <c r="Y109" s="4">
        <v>1.9900000000000001E-2</v>
      </c>
      <c r="Z109" s="4">
        <v>0.64</v>
      </c>
      <c r="AA109" s="4">
        <v>7</v>
      </c>
      <c r="AB109" s="4">
        <v>0.45</v>
      </c>
      <c r="AD109" s="3">
        <v>45321</v>
      </c>
      <c r="AE109" s="4" t="s">
        <v>104</v>
      </c>
      <c r="AF109" s="4" t="s">
        <v>105</v>
      </c>
      <c r="AG109" s="4" t="s">
        <v>106</v>
      </c>
      <c r="AH109" s="4" t="s">
        <v>107</v>
      </c>
      <c r="AI109" s="4">
        <v>161234</v>
      </c>
      <c r="AJ109" s="4">
        <v>3089</v>
      </c>
      <c r="AK109" s="4">
        <v>823.7</v>
      </c>
      <c r="AL109" s="4">
        <v>83</v>
      </c>
      <c r="AM109" s="4">
        <v>113456</v>
      </c>
      <c r="AN109" s="4">
        <v>83567</v>
      </c>
      <c r="AO109" s="4">
        <v>56234</v>
      </c>
      <c r="AP109" s="4">
        <v>42345</v>
      </c>
      <c r="AQ109" s="4">
        <v>28234</v>
      </c>
      <c r="AR109" s="4">
        <v>5523</v>
      </c>
      <c r="AS109" s="4">
        <v>1589</v>
      </c>
      <c r="AT109" s="4">
        <v>301</v>
      </c>
      <c r="AV109" s="5">
        <f>T_Facebook_Ads[[#This Row],[date]]</f>
        <v>45321</v>
      </c>
      <c r="AW109">
        <f t="shared" ca="1" si="1"/>
        <v>3</v>
      </c>
      <c r="AX109">
        <f ca="1">ROUND(T_Facebook_Ads[[#This Row],[impressions]]*RANDBETWEEN(8,12)/10,0)</f>
        <v>12711</v>
      </c>
      <c r="AY109">
        <f ca="1">ROUND(T_Facebook_Ads[[#This Row],[clicks]]*RANDBETWEEN(8,12)/10,0)</f>
        <v>645</v>
      </c>
      <c r="AZ109">
        <f ca="1">T_Facebook_Ads[[#This Row],[spend]]*RANDBETWEEN(8,12)/10</f>
        <v>213.20999999999998</v>
      </c>
      <c r="BA109">
        <f ca="1">ROUND(T_Facebook_Ads[[#This Row],[conversions]]*RANDBETWEEN(8,12)/10,0)</f>
        <v>37</v>
      </c>
      <c r="BB109">
        <f ca="1">ROUND(T_Facebook_Ads[[#This Row],[video_views]]*RANDBETWEEN(8,12)/10,0)</f>
        <v>1423</v>
      </c>
    </row>
    <row r="110" spans="1:54" ht="15.75" thickBot="1" x14ac:dyDescent="0.3">
      <c r="A110" s="3">
        <v>45321</v>
      </c>
      <c r="B110" s="4" t="s">
        <v>60</v>
      </c>
      <c r="C110" s="4" t="s">
        <v>61</v>
      </c>
      <c r="D110" s="4" t="s">
        <v>62</v>
      </c>
      <c r="E110" s="4" t="s">
        <v>63</v>
      </c>
      <c r="F110" s="4">
        <v>37890</v>
      </c>
      <c r="G110" s="4">
        <v>1412</v>
      </c>
      <c r="H110" s="4">
        <v>216.5</v>
      </c>
      <c r="I110" s="4">
        <v>30</v>
      </c>
      <c r="J110" s="4">
        <v>4956</v>
      </c>
      <c r="K110" s="4">
        <v>3.73E-2</v>
      </c>
      <c r="L110" s="4">
        <v>30890</v>
      </c>
      <c r="M110" s="4">
        <v>1.23</v>
      </c>
      <c r="O110" s="3">
        <v>45321</v>
      </c>
      <c r="P110" s="4" t="s">
        <v>84</v>
      </c>
      <c r="Q110" s="4" t="s">
        <v>85</v>
      </c>
      <c r="R110" s="4" t="s">
        <v>86</v>
      </c>
      <c r="S110" s="4" t="s">
        <v>87</v>
      </c>
      <c r="T110" s="4">
        <v>70234</v>
      </c>
      <c r="U110" s="4">
        <v>2367</v>
      </c>
      <c r="V110" s="4">
        <v>432.1</v>
      </c>
      <c r="W110" s="4">
        <v>68</v>
      </c>
      <c r="X110" s="4">
        <v>3400</v>
      </c>
      <c r="Y110" s="4">
        <v>3.3700000000000001E-2</v>
      </c>
      <c r="Z110" s="4">
        <v>0.18</v>
      </c>
      <c r="AA110" s="4">
        <v>8</v>
      </c>
      <c r="AB110" s="4">
        <v>0.67</v>
      </c>
      <c r="AD110" s="3">
        <v>45321</v>
      </c>
      <c r="AE110" s="4" t="s">
        <v>108</v>
      </c>
      <c r="AF110" s="4" t="s">
        <v>109</v>
      </c>
      <c r="AG110" s="4" t="s">
        <v>110</v>
      </c>
      <c r="AH110" s="4" t="s">
        <v>111</v>
      </c>
      <c r="AI110" s="4">
        <v>251234</v>
      </c>
      <c r="AJ110" s="4">
        <v>3967</v>
      </c>
      <c r="AK110" s="4">
        <v>481.5</v>
      </c>
      <c r="AL110" s="4">
        <v>35</v>
      </c>
      <c r="AM110" s="4">
        <v>198901</v>
      </c>
      <c r="AN110" s="4">
        <v>150567</v>
      </c>
      <c r="AO110" s="4">
        <v>119234</v>
      </c>
      <c r="AP110" s="4">
        <v>76890</v>
      </c>
      <c r="AQ110" s="4">
        <v>46567</v>
      </c>
      <c r="AR110" s="4">
        <v>8678</v>
      </c>
      <c r="AS110" s="4">
        <v>2378</v>
      </c>
      <c r="AT110" s="4">
        <v>556</v>
      </c>
      <c r="AV110" s="5">
        <f>T_Facebook_Ads[[#This Row],[date]]</f>
        <v>45321</v>
      </c>
      <c r="AW110">
        <f t="shared" ca="1" si="1"/>
        <v>3</v>
      </c>
      <c r="AX110">
        <f ca="1">ROUND(T_Facebook_Ads[[#This Row],[impressions]]*RANDBETWEEN(8,12)/10,0)</f>
        <v>37890</v>
      </c>
      <c r="AY110">
        <f ca="1">ROUND(T_Facebook_Ads[[#This Row],[clicks]]*RANDBETWEEN(8,12)/10,0)</f>
        <v>1412</v>
      </c>
      <c r="AZ110">
        <f ca="1">T_Facebook_Ads[[#This Row],[spend]]*RANDBETWEEN(8,12)/10</f>
        <v>216.5</v>
      </c>
      <c r="BA110">
        <f ca="1">ROUND(T_Facebook_Ads[[#This Row],[conversions]]*RANDBETWEEN(8,12)/10,0)</f>
        <v>36</v>
      </c>
      <c r="BB110">
        <f ca="1">ROUND(T_Facebook_Ads[[#This Row],[video_views]]*RANDBETWEEN(8,12)/10,0)</f>
        <v>5452</v>
      </c>
    </row>
    <row r="111" spans="1:54" x14ac:dyDescent="0.25">
      <c r="A111" s="3">
        <v>45321</v>
      </c>
      <c r="B111" s="4" t="s">
        <v>64</v>
      </c>
      <c r="C111" s="4" t="s">
        <v>65</v>
      </c>
      <c r="D111" s="4" t="s">
        <v>66</v>
      </c>
      <c r="E111" s="4" t="s">
        <v>67</v>
      </c>
      <c r="F111" s="4">
        <v>72123</v>
      </c>
      <c r="G111" s="4">
        <v>261</v>
      </c>
      <c r="H111" s="4">
        <v>91.3</v>
      </c>
      <c r="I111" s="4">
        <v>7</v>
      </c>
      <c r="J111" s="4">
        <v>48567</v>
      </c>
      <c r="K111" s="4">
        <v>3.5999999999999999E-3</v>
      </c>
      <c r="L111" s="4">
        <v>58890</v>
      </c>
      <c r="M111" s="4">
        <v>1.22</v>
      </c>
      <c r="O111" s="3">
        <v>45321</v>
      </c>
      <c r="P111" s="4" t="s">
        <v>88</v>
      </c>
      <c r="Q111" s="4" t="s">
        <v>89</v>
      </c>
      <c r="R111" s="4" t="s">
        <v>90</v>
      </c>
      <c r="S111" s="4" t="s">
        <v>59</v>
      </c>
      <c r="T111" s="4">
        <v>133456</v>
      </c>
      <c r="U111" s="4">
        <v>478</v>
      </c>
      <c r="V111" s="4">
        <v>131.19999999999999</v>
      </c>
      <c r="W111" s="4">
        <v>14</v>
      </c>
      <c r="X111" s="4">
        <v>700</v>
      </c>
      <c r="Y111" s="4">
        <v>3.5999999999999999E-3</v>
      </c>
      <c r="Z111" s="4">
        <v>0.27</v>
      </c>
      <c r="AA111" s="4">
        <v>7</v>
      </c>
      <c r="AB111" s="4">
        <v>0.35</v>
      </c>
      <c r="AD111" s="3">
        <v>45321</v>
      </c>
      <c r="AE111" s="4" t="s">
        <v>112</v>
      </c>
      <c r="AF111" s="4" t="s">
        <v>113</v>
      </c>
      <c r="AG111" s="4" t="s">
        <v>114</v>
      </c>
      <c r="AH111" s="4" t="s">
        <v>115</v>
      </c>
      <c r="AI111" s="4">
        <v>434567</v>
      </c>
      <c r="AJ111" s="4">
        <v>7012</v>
      </c>
      <c r="AK111" s="4">
        <v>1089.3</v>
      </c>
      <c r="AL111" s="4">
        <v>109</v>
      </c>
      <c r="AM111" s="4">
        <v>367890</v>
      </c>
      <c r="AN111" s="4">
        <v>296234</v>
      </c>
      <c r="AO111" s="4">
        <v>237890</v>
      </c>
      <c r="AP111" s="4">
        <v>168234</v>
      </c>
      <c r="AQ111" s="4">
        <v>111234</v>
      </c>
      <c r="AR111" s="4">
        <v>19234</v>
      </c>
      <c r="AS111" s="4">
        <v>5534</v>
      </c>
      <c r="AT111" s="4">
        <v>1523</v>
      </c>
      <c r="AV111" s="5">
        <f>T_Facebook_Ads[[#This Row],[date]]</f>
        <v>45321</v>
      </c>
      <c r="AW111">
        <f t="shared" ca="1" si="1"/>
        <v>4</v>
      </c>
      <c r="AX111">
        <f ca="1">ROUND(T_Facebook_Ads[[#This Row],[impressions]]*RANDBETWEEN(8,12)/10,0)</f>
        <v>57698</v>
      </c>
      <c r="AY111">
        <f ca="1">ROUND(T_Facebook_Ads[[#This Row],[clicks]]*RANDBETWEEN(8,12)/10,0)</f>
        <v>235</v>
      </c>
      <c r="AZ111">
        <f ca="1">T_Facebook_Ads[[#This Row],[spend]]*RANDBETWEEN(8,12)/10</f>
        <v>91.3</v>
      </c>
      <c r="BA111">
        <f ca="1">ROUND(T_Facebook_Ads[[#This Row],[conversions]]*RANDBETWEEN(8,12)/10,0)</f>
        <v>7</v>
      </c>
      <c r="BB111">
        <f ca="1">ROUND(T_Facebook_Ads[[#This Row],[video_views]]*RANDBETWEEN(8,12)/10,0)</f>
        <v>58280</v>
      </c>
    </row>
  </sheetData>
  <pageMargins left="0.7" right="0.7" top="0.75" bottom="0.75" header="0.3" footer="0.3"/>
  <pageSetup orientation="portrait" r:id="rId1"/>
  <tableParts count="4">
    <tablePart r:id="rId2"/>
    <tablePart r:id="rId3"/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3338D-1EBE-4443-AF2D-13ABD527DFC5}">
  <dimension ref="A1:BB111"/>
  <sheetViews>
    <sheetView topLeftCell="AJ1" workbookViewId="0">
      <selection activeCell="AO18" sqref="AO18"/>
    </sheetView>
  </sheetViews>
  <sheetFormatPr baseColWidth="10" defaultRowHeight="15" x14ac:dyDescent="0.25"/>
  <cols>
    <col min="2" max="2" width="14.42578125" customWidth="1"/>
    <col min="3" max="3" width="19.85546875" bestFit="1" customWidth="1"/>
    <col min="5" max="5" width="18.28515625" bestFit="1" customWidth="1"/>
    <col min="6" max="6" width="13.7109375" customWidth="1"/>
    <col min="9" max="10" width="13.7109375" customWidth="1"/>
    <col min="11" max="11" width="18.42578125" customWidth="1"/>
    <col min="13" max="13" width="12" customWidth="1"/>
    <col min="16" max="16" width="14.42578125" customWidth="1"/>
    <col min="17" max="17" width="18.5703125" bestFit="1" customWidth="1"/>
    <col min="18" max="18" width="14" customWidth="1"/>
    <col min="19" max="19" width="17.140625" customWidth="1"/>
    <col min="20" max="20" width="13.7109375" customWidth="1"/>
    <col min="21" max="21" width="8.140625" customWidth="1"/>
    <col min="22" max="22" width="6.85546875" customWidth="1"/>
    <col min="23" max="23" width="13.7109375" customWidth="1"/>
    <col min="24" max="24" width="18.42578125" customWidth="1"/>
    <col min="25" max="25" width="6.140625" bestFit="1" customWidth="1"/>
    <col min="26" max="26" width="10.28515625" customWidth="1"/>
    <col min="27" max="27" width="14.85546875" customWidth="1"/>
    <col min="28" max="28" width="25" customWidth="1"/>
    <col min="29" max="29" width="6.85546875" customWidth="1"/>
    <col min="30" max="30" width="8.42578125" bestFit="1" customWidth="1"/>
    <col min="31" max="31" width="14.42578125" customWidth="1"/>
    <col min="32" max="32" width="17.5703125" customWidth="1"/>
    <col min="33" max="33" width="13.140625" customWidth="1"/>
    <col min="34" max="34" width="16.28515625" customWidth="1"/>
    <col min="35" max="35" width="13.7109375" customWidth="1"/>
    <col min="36" max="36" width="8.140625" customWidth="1"/>
    <col min="37" max="37" width="6.85546875" customWidth="1"/>
    <col min="38" max="39" width="13.7109375" customWidth="1"/>
    <col min="40" max="42" width="17" customWidth="1"/>
    <col min="43" max="43" width="18" customWidth="1"/>
    <col min="44" max="44" width="7.140625" customWidth="1"/>
    <col min="45" max="45" width="8.7109375" customWidth="1"/>
    <col min="46" max="46" width="12.42578125" customWidth="1"/>
    <col min="49" max="49" width="14.28515625" customWidth="1"/>
    <col min="50" max="50" width="13.85546875" customWidth="1"/>
    <col min="53" max="53" width="13.7109375" customWidth="1"/>
    <col min="54" max="54" width="14.28515625" customWidth="1"/>
  </cols>
  <sheetData>
    <row r="1" spans="1:54" ht="15.75" thickBot="1" x14ac:dyDescent="0.3">
      <c r="A1" s="2" t="s">
        <v>39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  <c r="O1" s="2" t="s">
        <v>39</v>
      </c>
      <c r="P1" s="1" t="s">
        <v>40</v>
      </c>
      <c r="Q1" s="1" t="s">
        <v>41</v>
      </c>
      <c r="R1" s="1" t="s">
        <v>68</v>
      </c>
      <c r="S1" s="1" t="s">
        <v>69</v>
      </c>
      <c r="T1" s="1" t="s">
        <v>44</v>
      </c>
      <c r="U1" s="1" t="s">
        <v>45</v>
      </c>
      <c r="V1" s="1" t="s">
        <v>70</v>
      </c>
      <c r="W1" s="1" t="s">
        <v>47</v>
      </c>
      <c r="X1" s="1" t="s">
        <v>71</v>
      </c>
      <c r="Y1" s="1" t="s">
        <v>72</v>
      </c>
      <c r="Z1" s="1" t="s">
        <v>73</v>
      </c>
      <c r="AA1" s="1" t="s">
        <v>74</v>
      </c>
      <c r="AB1" s="1" t="s">
        <v>75</v>
      </c>
      <c r="AD1" s="2" t="s">
        <v>39</v>
      </c>
      <c r="AE1" s="1" t="s">
        <v>40</v>
      </c>
      <c r="AF1" s="1" t="s">
        <v>41</v>
      </c>
      <c r="AG1" s="1" t="s">
        <v>91</v>
      </c>
      <c r="AH1" s="1" t="s">
        <v>92</v>
      </c>
      <c r="AI1" s="1" t="s">
        <v>44</v>
      </c>
      <c r="AJ1" s="1" t="s">
        <v>45</v>
      </c>
      <c r="AK1" s="1" t="s">
        <v>70</v>
      </c>
      <c r="AL1" s="1" t="s">
        <v>47</v>
      </c>
      <c r="AM1" s="1" t="s">
        <v>48</v>
      </c>
      <c r="AN1" s="1" t="s">
        <v>93</v>
      </c>
      <c r="AO1" s="1" t="s">
        <v>94</v>
      </c>
      <c r="AP1" s="1" t="s">
        <v>95</v>
      </c>
      <c r="AQ1" s="1" t="s">
        <v>96</v>
      </c>
      <c r="AR1" s="1" t="s">
        <v>97</v>
      </c>
      <c r="AS1" s="1" t="s">
        <v>98</v>
      </c>
      <c r="AT1" s="1" t="s">
        <v>99</v>
      </c>
      <c r="AV1" t="s">
        <v>39</v>
      </c>
      <c r="AW1" t="s">
        <v>40</v>
      </c>
      <c r="AX1" t="s">
        <v>44</v>
      </c>
      <c r="AY1" t="s">
        <v>45</v>
      </c>
      <c r="AZ1" t="s">
        <v>46</v>
      </c>
      <c r="BA1" t="s">
        <v>47</v>
      </c>
      <c r="BB1" t="s">
        <v>48</v>
      </c>
    </row>
    <row r="2" spans="1:54" ht="15.75" thickBot="1" x14ac:dyDescent="0.3">
      <c r="A2" s="3">
        <f ca="1">DATE(2023,1,RANDBETWEEN(1,31))</f>
        <v>44943</v>
      </c>
      <c r="B2" s="4" t="s">
        <v>52</v>
      </c>
      <c r="C2" s="4" t="s">
        <v>53</v>
      </c>
      <c r="D2" s="4" t="s">
        <v>54</v>
      </c>
      <c r="E2" s="4" t="s">
        <v>55</v>
      </c>
      <c r="F2" s="4">
        <f ca="1">ROUND(T_Facebook_Ads[[#This Row],[impressions]]*RANDBETWEEN(8,12)/10,0)</f>
        <v>41061</v>
      </c>
      <c r="G2" s="4">
        <f ca="1">ROUND(T_Facebook_Ads[[#This Row],[clicks]]*RANDBETWEEN(8,12)/10,0)</f>
        <v>981</v>
      </c>
      <c r="H2" s="4">
        <f ca="1">T_Facebook_Ads[[#This Row],[spend]]*RANDBETWEEN(8,12)/10</f>
        <v>127.5</v>
      </c>
      <c r="I2" s="4">
        <f ca="1">ROUND(T_Facebook_Ads[[#This Row],[conversions]]*RANDBETWEEN(8,12)/10,0)</f>
        <v>10</v>
      </c>
      <c r="J2" s="4">
        <f ca="1">ROUND(T_Facebook_Ads[[#This Row],[video_views]]*RANDBETWEEN(8,12)/10,0)</f>
        <v>7411</v>
      </c>
      <c r="K2" s="4">
        <f ca="1">T_Facebook_Ads[[#This Row],[engagement_rate]]*RANDBETWEEN(8,12)/10</f>
        <v>1.5599999999999999E-2</v>
      </c>
      <c r="L2" s="4">
        <f ca="1">ROUND(T_Facebook_Ads[[#This Row],[reach]]*RANDBETWEEN(8,12)/10,0)</f>
        <v>42057</v>
      </c>
      <c r="M2" s="4">
        <f ca="1">T_Facebook_Ads[[#This Row],[frequency]]*RANDBETWEEN(8,12)/10</f>
        <v>1.19</v>
      </c>
      <c r="O2" s="3">
        <f ca="1">DATE(2023,1,RANDBETWEEN(1,31))</f>
        <v>44954</v>
      </c>
      <c r="P2" s="4" t="s">
        <v>76</v>
      </c>
      <c r="Q2" s="4" t="s">
        <v>77</v>
      </c>
      <c r="R2" s="4" t="s">
        <v>78</v>
      </c>
      <c r="S2" s="4" t="s">
        <v>79</v>
      </c>
      <c r="T2" s="4">
        <f ca="1">ROUND(_Google_ads[[#This Row],[impressions]]*RANDBETWEEN(8,12)/10,0)</f>
        <v>25802</v>
      </c>
      <c r="U2" s="4">
        <f ca="1">ROUND(_Google_ads[[#This Row],[clicks]]*RANDBETWEEN(8,12)/10,0)</f>
        <v>1481</v>
      </c>
      <c r="V2" s="4">
        <f ca="1">_Google_ads[[#This Row],[cost]]*RANDBETWEEN(8,12)/10</f>
        <v>234.5</v>
      </c>
      <c r="W2" s="4">
        <f ca="1">ROUND(_Google_ads[[#This Row],[conversions]]*RANDBETWEEN(8,12)/10,0)</f>
        <v>50</v>
      </c>
      <c r="X2" s="4">
        <f ca="1">ROUND(_Google_ads[[#This Row],[conversion_value]]*RANDBETWEEN(8,12)/10,0)</f>
        <v>2250</v>
      </c>
      <c r="Y2" s="4">
        <f ca="1">_Google_ads[[#This Row],[ctr]]*RANDBETWEEN(8,12)/10</f>
        <v>4.734E-2</v>
      </c>
      <c r="Z2" s="4">
        <f ca="1">_Google_ads[[#This Row],[avg_cpc]]*RANDBETWEEN(8,12)/10</f>
        <v>0.22800000000000004</v>
      </c>
      <c r="AA2" s="4">
        <f ca="1">ROUND(_Google_ads[[#This Row],[quality_score]]*RANDBETWEEN(8,12)/10,0)</f>
        <v>9</v>
      </c>
      <c r="AB2" s="4">
        <f ca="1">_Google_ads[[#This Row],[search_impression_share]]*RANDBETWEEN(8,12)/10</f>
        <v>1.1040000000000001</v>
      </c>
      <c r="AD2" s="3">
        <f ca="1">DATE(2023,1,RANDBETWEEN(1,31))</f>
        <v>44934</v>
      </c>
      <c r="AE2" s="4" t="s">
        <v>100</v>
      </c>
      <c r="AF2" s="4" t="s">
        <v>101</v>
      </c>
      <c r="AG2" s="4" t="s">
        <v>102</v>
      </c>
      <c r="AH2" s="4" t="s">
        <v>103</v>
      </c>
      <c r="AI2" s="4">
        <f ca="1">ROUND(T_Tiktok_ads[[#This Row],[impressions]]*RANDBETWEEN(8,12)/10,0)</f>
        <v>258024</v>
      </c>
      <c r="AJ2" s="4">
        <f ca="1">ROUND(T_Tiktok_ads[[#This Row],[clicks]]*RANDBETWEEN(8,12)/10,0)</f>
        <v>3110</v>
      </c>
      <c r="AK2" s="4">
        <f ca="1">T_Tiktok_ads[[#This Row],[cost]]*RANDBETWEEN(8,12)/10</f>
        <v>365.36</v>
      </c>
      <c r="AL2" s="4">
        <f ca="1">ROUND(T_Tiktok_ads[[#This Row],[conversions]]*RANDBETWEEN(8,12)/10,0)</f>
        <v>34</v>
      </c>
      <c r="AM2" s="4">
        <f ca="1">ROUND(T_Tiktok_ads[[#This Row],[video_views]]*RANDBETWEEN(8,12)/10,0)</f>
        <v>218057</v>
      </c>
      <c r="AN2" s="4">
        <f ca="1">ROUND(T_Tiktok_ads[[#This Row],[video_watch_25]]*RANDBETWEEN(8,12)/10,0)</f>
        <v>140611</v>
      </c>
      <c r="AO2" s="4">
        <f ca="1">ROUND(T_Tiktok_ads[[#This Row],[video_watch_50]]*RANDBETWEEN(8,12)/10,0)</f>
        <v>117881</v>
      </c>
      <c r="AP2" s="4">
        <f ca="1">ROUND(T_Tiktok_ads[[#This Row],[video_watch_75]]*RANDBETWEEN(8,12)/10,0)</f>
        <v>73957</v>
      </c>
      <c r="AQ2" s="4">
        <f ca="1">ROUND(T_Tiktok_ads[[#This Row],[video_watch_100]]*RANDBETWEEN(8,12)/10,0)</f>
        <v>45234</v>
      </c>
      <c r="AR2" s="4">
        <f ca="1">ROUND(T_Tiktok_ads[[#This Row],[likes]]*RANDBETWEEN(8,12)/10,0)</f>
        <v>8923</v>
      </c>
      <c r="AS2" s="4">
        <f ca="1">ROUND(T_Tiktok_ads[[#This Row],[shares]]*RANDBETWEEN(8,12)/10,0)</f>
        <v>1876</v>
      </c>
      <c r="AT2" s="4">
        <f ca="1">ROUND(T_Tiktok_ads[[#This Row],[comments]]*RANDBETWEEN(8,12)/10,0)</f>
        <v>680</v>
      </c>
      <c r="AV2" s="3">
        <f t="shared" ref="AV2:AV33" ca="1" si="0">DATE(2023,1,RANDBETWEEN(1,31))</f>
        <v>44939</v>
      </c>
      <c r="AW2">
        <f ca="1">RANDBETWEEN(1,8)</f>
        <v>2</v>
      </c>
      <c r="AX2">
        <f ca="1">ROUND(T_Facebook_Ads11[[#This Row],[impressions]]*RANDBETWEEN(8,12)/10,0)</f>
        <v>45167</v>
      </c>
      <c r="AY2">
        <f ca="1">ROUND(T_Facebook_Ads11[[#This Row],[clicks]]*RANDBETWEEN(8,12)/10,0)</f>
        <v>1079</v>
      </c>
      <c r="AZ2">
        <f ca="1">T_Facebook_Ads11[[#This Row],[spend]]*RANDBETWEEN(8,12)/10</f>
        <v>140.25</v>
      </c>
      <c r="BA2">
        <f ca="1">ROUND(T_Facebook_Ads11[[#This Row],[conversions]]*RANDBETWEEN(8,12)/10,0)</f>
        <v>9</v>
      </c>
      <c r="BB2">
        <f ca="1">ROUND(T_Facebook_Ads11[[#This Row],[video_views]]*RANDBETWEEN(8,12)/10,0)</f>
        <v>6670</v>
      </c>
    </row>
    <row r="3" spans="1:54" ht="15.75" thickBot="1" x14ac:dyDescent="0.3">
      <c r="A3" s="3">
        <f t="shared" ref="A3:A66" ca="1" si="1">DATE(2023,1,RANDBETWEEN(1,31))</f>
        <v>44953</v>
      </c>
      <c r="B3" s="4" t="s">
        <v>56</v>
      </c>
      <c r="C3" s="4" t="s">
        <v>57</v>
      </c>
      <c r="D3" s="4" t="s">
        <v>58</v>
      </c>
      <c r="E3" s="4" t="s">
        <v>59</v>
      </c>
      <c r="F3" s="4">
        <f ca="1">ROUND(T_Facebook_Ads[[#This Row],[impressions]]*RANDBETWEEN(8,12)/10,0)</f>
        <v>13702</v>
      </c>
      <c r="G3" s="4">
        <v>567</v>
      </c>
      <c r="H3" s="4">
        <f ca="1">T_Facebook_Ads[[#This Row],[spend]]*RANDBETWEEN(8,12)/10</f>
        <v>258.96000000000004</v>
      </c>
      <c r="I3" s="4">
        <f ca="1">ROUND(T_Facebook_Ads[[#This Row],[conversions]]*RANDBETWEEN(8,12)/10,0)</f>
        <v>41</v>
      </c>
      <c r="J3" s="4">
        <f ca="1">ROUND(T_Facebook_Ads[[#This Row],[video_views]]*RANDBETWEEN(8,12)/10,0)</f>
        <v>1481</v>
      </c>
      <c r="K3" s="4">
        <f ca="1">T_Facebook_Ads[[#This Row],[engagement_rate]]*RANDBETWEEN(8,12)/10</f>
        <v>4.5499999999999999E-2</v>
      </c>
      <c r="L3" s="4">
        <f ca="1">ROUND(T_Facebook_Ads[[#This Row],[reach]]*RANDBETWEEN(8,12)/10,0)</f>
        <v>9876</v>
      </c>
      <c r="M3" s="4">
        <f ca="1">T_Facebook_Ads[[#This Row],[frequency]]*RANDBETWEEN(8,12)/10</f>
        <v>1.512</v>
      </c>
      <c r="O3" s="3">
        <f t="shared" ref="O3:O66" ca="1" si="2">DATE(2023,1,RANDBETWEEN(1,31))</f>
        <v>44931</v>
      </c>
      <c r="P3" s="4" t="s">
        <v>80</v>
      </c>
      <c r="Q3" s="4" t="s">
        <v>81</v>
      </c>
      <c r="R3" s="4" t="s">
        <v>82</v>
      </c>
      <c r="S3" s="4" t="s">
        <v>83</v>
      </c>
      <c r="T3" s="4">
        <f ca="1">ROUND(_Google_ads[[#This Row],[impressions]]*RANDBETWEEN(8,12)/10,0)</f>
        <v>41110</v>
      </c>
      <c r="U3" s="4">
        <f ca="1">ROUND(_Google_ads[[#This Row],[clicks]]*RANDBETWEEN(8,12)/10,0)</f>
        <v>890</v>
      </c>
      <c r="V3" s="4">
        <f ca="1">_Google_ads[[#This Row],[cost]]*RANDBETWEEN(8,12)/10</f>
        <v>567.79999999999995</v>
      </c>
      <c r="W3" s="4">
        <f ca="1">ROUND(_Google_ads[[#This Row],[conversions]]*RANDBETWEEN(8,12)/10,0)</f>
        <v>21</v>
      </c>
      <c r="X3" s="4">
        <f ca="1">ROUND(_Google_ads[[#This Row],[conversion_value]]*RANDBETWEEN(8,12)/10,0)</f>
        <v>920</v>
      </c>
      <c r="Y3" s="4">
        <f ca="1">_Google_ads[[#This Row],[ctr]]*RANDBETWEEN(8,12)/10</f>
        <v>1.5599999999999999E-2</v>
      </c>
      <c r="Z3" s="4">
        <f ca="1">_Google_ads[[#This Row],[avg_cpc]]*RANDBETWEEN(8,12)/10</f>
        <v>0.57599999999999996</v>
      </c>
      <c r="AA3" s="4">
        <f ca="1">ROUND(_Google_ads[[#This Row],[quality_score]]*RANDBETWEEN(8,12)/10,0)</f>
        <v>6</v>
      </c>
      <c r="AB3" s="4">
        <f ca="1">_Google_ads[[#This Row],[search_impression_share]]*RANDBETWEEN(8,12)/10</f>
        <v>0.495</v>
      </c>
      <c r="AD3" s="3">
        <f t="shared" ref="AD3:AD66" ca="1" si="3">DATE(2023,1,RANDBETWEEN(1,31))</f>
        <v>44949</v>
      </c>
      <c r="AE3" s="4" t="s">
        <v>104</v>
      </c>
      <c r="AF3" s="4" t="s">
        <v>105</v>
      </c>
      <c r="AG3" s="4" t="s">
        <v>106</v>
      </c>
      <c r="AH3" s="4" t="s">
        <v>107</v>
      </c>
      <c r="AI3" s="4">
        <f ca="1">ROUND(T_Tiktok_ads[[#This Row],[impressions]]*RANDBETWEEN(8,12)/10,0)</f>
        <v>123456</v>
      </c>
      <c r="AJ3" s="4">
        <f ca="1">ROUND(T_Tiktok_ads[[#This Row],[clicks]]*RANDBETWEEN(8,12)/10,0)</f>
        <v>2814</v>
      </c>
      <c r="AK3" s="4">
        <v>678.9</v>
      </c>
      <c r="AL3" s="4">
        <f ca="1">ROUND(T_Tiktok_ads[[#This Row],[conversions]]*RANDBETWEEN(8,12)/10,0)</f>
        <v>54</v>
      </c>
      <c r="AM3" s="4">
        <f ca="1">ROUND(T_Tiktok_ads[[#This Row],[video_views]]*RANDBETWEEN(8,12)/10,0)</f>
        <v>80311</v>
      </c>
      <c r="AN3" s="4">
        <f ca="1">ROUND(T_Tiktok_ads[[#This Row],[video_watch_25]]*RANDBETWEEN(8,12)/10,0)</f>
        <v>73957</v>
      </c>
      <c r="AO3" s="4">
        <f ca="1">ROUND(T_Tiktok_ads[[#This Row],[video_watch_50]]*RANDBETWEEN(8,12)/10,0)</f>
        <v>49757</v>
      </c>
      <c r="AP3" s="4">
        <f ca="1">ROUND(T_Tiktok_ads[[#This Row],[video_watch_75]]*RANDBETWEEN(8,12)/10,0)</f>
        <v>27387</v>
      </c>
      <c r="AQ3" s="4">
        <f ca="1">ROUND(T_Tiktok_ads[[#This Row],[video_watch_100]]*RANDBETWEEN(8,12)/10,0)</f>
        <v>21110</v>
      </c>
      <c r="AR3" s="4">
        <f ca="1">ROUND(T_Tiktok_ads[[#This Row],[likes]]*RANDBETWEEN(8,12)/10,0)</f>
        <v>3654</v>
      </c>
      <c r="AS3" s="4">
        <f ca="1">ROUND(T_Tiktok_ads[[#This Row],[shares]]*RANDBETWEEN(8,12)/10,0)</f>
        <v>1481</v>
      </c>
      <c r="AT3" s="4">
        <f ca="1">ROUND(T_Tiktok_ads[[#This Row],[comments]]*RANDBETWEEN(8,12)/10,0)</f>
        <v>211</v>
      </c>
      <c r="AV3" s="5">
        <f t="shared" ca="1" si="0"/>
        <v>44954</v>
      </c>
      <c r="AW3">
        <f t="shared" ref="AW3:AW66" ca="1" si="4">RANDBETWEEN(1,8)</f>
        <v>8</v>
      </c>
      <c r="AX3">
        <f ca="1">ROUND(T_Facebook_Ads11[[#This Row],[impressions]]*RANDBETWEEN(8,12)/10,0)</f>
        <v>16442</v>
      </c>
      <c r="AY3">
        <f ca="1">ROUND(T_Facebook_Ads11[[#This Row],[clicks]]*RANDBETWEEN(8,12)/10,0)</f>
        <v>454</v>
      </c>
      <c r="AZ3">
        <f ca="1">T_Facebook_Ads11[[#This Row],[spend]]*RANDBETWEEN(8,12)/10</f>
        <v>233.06400000000002</v>
      </c>
      <c r="BA3">
        <f ca="1">ROUND(T_Facebook_Ads11[[#This Row],[conversions]]*RANDBETWEEN(8,12)/10,0)</f>
        <v>49</v>
      </c>
      <c r="BB3">
        <f ca="1">ROUND(T_Facebook_Ads11[[#This Row],[video_views]]*RANDBETWEEN(8,12)/10,0)</f>
        <v>1777</v>
      </c>
    </row>
    <row r="4" spans="1:54" ht="15.75" thickBot="1" x14ac:dyDescent="0.3">
      <c r="A4" s="3">
        <f t="shared" ca="1" si="1"/>
        <v>44939</v>
      </c>
      <c r="B4" s="4" t="s">
        <v>60</v>
      </c>
      <c r="C4" s="4" t="s">
        <v>61</v>
      </c>
      <c r="D4" s="4" t="s">
        <v>62</v>
      </c>
      <c r="E4" s="4" t="s">
        <v>63</v>
      </c>
      <c r="F4" s="4">
        <f ca="1">ROUND(T_Facebook_Ads[[#This Row],[impressions]]*RANDBETWEEN(8,12)/10,0)</f>
        <v>41480</v>
      </c>
      <c r="G4" s="4">
        <v>1234</v>
      </c>
      <c r="H4" s="4">
        <f ca="1">T_Facebook_Ads[[#This Row],[spend]]*RANDBETWEEN(8,12)/10</f>
        <v>227.88000000000002</v>
      </c>
      <c r="I4" s="4">
        <f ca="1">ROUND(T_Facebook_Ads[[#This Row],[conversions]]*RANDBETWEEN(8,12)/10,0)</f>
        <v>25</v>
      </c>
      <c r="J4" s="4">
        <f ca="1">ROUND(T_Facebook_Ads[[#This Row],[video_views]]*RANDBETWEEN(8,12)/10,0)</f>
        <v>3654</v>
      </c>
      <c r="K4" s="4">
        <f ca="1">T_Facebook_Ads[[#This Row],[engagement_rate]]*RANDBETWEEN(8,12)/10</f>
        <v>2.8560000000000002E-2</v>
      </c>
      <c r="L4" s="4">
        <f ca="1">ROUND(T_Facebook_Ads[[#This Row],[reach]]*RANDBETWEEN(8,12)/10,0)</f>
        <v>34721</v>
      </c>
      <c r="M4" s="4">
        <f ca="1">T_Facebook_Ads[[#This Row],[frequency]]*RANDBETWEEN(8,12)/10</f>
        <v>1.071</v>
      </c>
      <c r="O4" s="3">
        <f t="shared" ca="1" si="2"/>
        <v>44938</v>
      </c>
      <c r="P4" s="4" t="s">
        <v>84</v>
      </c>
      <c r="Q4" s="4" t="s">
        <v>85</v>
      </c>
      <c r="R4" s="4" t="s">
        <v>86</v>
      </c>
      <c r="S4" s="4" t="s">
        <v>87</v>
      </c>
      <c r="T4" s="4">
        <f ca="1">ROUND(_Google_ads[[#This Row],[impressions]]*RANDBETWEEN(8,12)/10,0)</f>
        <v>67890</v>
      </c>
      <c r="U4" s="4">
        <f ca="1">ROUND(_Google_ads[[#This Row],[clicks]]*RANDBETWEEN(8,12)/10,0)</f>
        <v>2814</v>
      </c>
      <c r="V4" s="4">
        <f ca="1">_Google_ads[[#This Row],[cost]]*RANDBETWEEN(8,12)/10</f>
        <v>508.32000000000005</v>
      </c>
      <c r="W4" s="4">
        <f ca="1">ROUND(_Google_ads[[#This Row],[conversions]]*RANDBETWEEN(8,12)/10,0)</f>
        <v>60</v>
      </c>
      <c r="X4" s="4">
        <f ca="1">ROUND(_Google_ads[[#This Row],[conversion_value]]*RANDBETWEEN(8,12)/10,0)</f>
        <v>3350</v>
      </c>
      <c r="Y4" s="4">
        <f ca="1">_Google_ads[[#This Row],[ctr]]*RANDBETWEEN(8,12)/10</f>
        <v>3.1050000000000001E-2</v>
      </c>
      <c r="Z4" s="4">
        <f ca="1">_Google_ads[[#This Row],[avg_cpc]]*RANDBETWEEN(8,12)/10</f>
        <v>0.14399999999999999</v>
      </c>
      <c r="AA4" s="4">
        <f ca="1">ROUND(_Google_ads[[#This Row],[quality_score]]*RANDBETWEEN(8,12)/10,0)</f>
        <v>7</v>
      </c>
      <c r="AB4" s="4">
        <f ca="1">_Google_ads[[#This Row],[search_impression_share]]*RANDBETWEEN(8,12)/10</f>
        <v>0.80400000000000005</v>
      </c>
      <c r="AD4" s="3">
        <f t="shared" ca="1" si="3"/>
        <v>44949</v>
      </c>
      <c r="AE4" s="4" t="s">
        <v>108</v>
      </c>
      <c r="AF4" s="4" t="s">
        <v>109</v>
      </c>
      <c r="AG4" s="4" t="s">
        <v>110</v>
      </c>
      <c r="AH4" s="4" t="s">
        <v>111</v>
      </c>
      <c r="AI4" s="4">
        <f ca="1">ROUND(T_Tiktok_ads[[#This Row],[impressions]]*RANDBETWEEN(8,12)/10,0)</f>
        <v>208157</v>
      </c>
      <c r="AJ4" s="4">
        <f ca="1">ROUND(T_Tiktok_ads[[#This Row],[clicks]]*RANDBETWEEN(8,12)/10,0)</f>
        <v>3468</v>
      </c>
      <c r="AK4" s="4">
        <v>345.6</v>
      </c>
      <c r="AL4" s="4">
        <f ca="1">ROUND(T_Tiktok_ads[[#This Row],[conversions]]*RANDBETWEEN(8,12)/10,0)</f>
        <v>23</v>
      </c>
      <c r="AM4" s="4">
        <f ca="1">ROUND(T_Tiktok_ads[[#This Row],[video_views]]*RANDBETWEEN(8,12)/10,0)</f>
        <v>116542</v>
      </c>
      <c r="AN4" s="4">
        <f ca="1">ROUND(T_Tiktok_ads[[#This Row],[video_watch_25]]*RANDBETWEEN(8,12)/10,0)</f>
        <v>134814</v>
      </c>
      <c r="AO4" s="4">
        <f ca="1">ROUND(T_Tiktok_ads[[#This Row],[video_watch_50]]*RANDBETWEEN(8,12)/10,0)</f>
        <v>80311</v>
      </c>
      <c r="AP4" s="4">
        <f ca="1">ROUND(T_Tiktok_ads[[#This Row],[video_watch_75]]*RANDBETWEEN(8,12)/10,0)</f>
        <v>56789</v>
      </c>
      <c r="AQ4" s="4">
        <f ca="1">ROUND(T_Tiktok_ads[[#This Row],[video_watch_100]]*RANDBETWEEN(8,12)/10,0)</f>
        <v>34567</v>
      </c>
      <c r="AR4" s="4">
        <f ca="1">ROUND(T_Tiktok_ads[[#This Row],[likes]]*RANDBETWEEN(8,12)/10,0)</f>
        <v>5431</v>
      </c>
      <c r="AS4" s="4">
        <f ca="1">ROUND(T_Tiktok_ads[[#This Row],[shares]]*RANDBETWEEN(8,12)/10,0)</f>
        <v>1512</v>
      </c>
      <c r="AT4" s="4">
        <f ca="1">ROUND(T_Tiktok_ads[[#This Row],[comments]]*RANDBETWEEN(8,12)/10,0)</f>
        <v>365</v>
      </c>
      <c r="AV4" s="5">
        <f t="shared" ca="1" si="0"/>
        <v>44927</v>
      </c>
      <c r="AW4">
        <f t="shared" ca="1" si="4"/>
        <v>8</v>
      </c>
      <c r="AX4">
        <f ca="1">ROUND(T_Facebook_Ads11[[#This Row],[impressions]]*RANDBETWEEN(8,12)/10,0)</f>
        <v>37332</v>
      </c>
      <c r="AY4">
        <f ca="1">ROUND(T_Facebook_Ads11[[#This Row],[clicks]]*RANDBETWEEN(8,12)/10,0)</f>
        <v>1234</v>
      </c>
      <c r="AZ4">
        <f ca="1">T_Facebook_Ads11[[#This Row],[spend]]*RANDBETWEEN(8,12)/10</f>
        <v>273.45600000000002</v>
      </c>
      <c r="BA4">
        <f ca="1">ROUND(T_Facebook_Ads11[[#This Row],[conversions]]*RANDBETWEEN(8,12)/10,0)</f>
        <v>28</v>
      </c>
      <c r="BB4">
        <f ca="1">ROUND(T_Facebook_Ads11[[#This Row],[video_views]]*RANDBETWEEN(8,12)/10,0)</f>
        <v>3654</v>
      </c>
    </row>
    <row r="5" spans="1:54" ht="15.75" thickBot="1" x14ac:dyDescent="0.3">
      <c r="A5" s="3">
        <f t="shared" ca="1" si="1"/>
        <v>44927</v>
      </c>
      <c r="B5" s="4" t="s">
        <v>52</v>
      </c>
      <c r="C5" s="4" t="s">
        <v>53</v>
      </c>
      <c r="D5" s="4" t="s">
        <v>54</v>
      </c>
      <c r="E5" s="4" t="s">
        <v>55</v>
      </c>
      <c r="F5" s="4">
        <f ca="1">ROUND(T_Facebook_Ads[[#This Row],[impressions]]*RANDBETWEEN(8,12)/10,0)</f>
        <v>38111</v>
      </c>
      <c r="G5" s="4">
        <v>823</v>
      </c>
      <c r="H5" s="4">
        <f ca="1">T_Facebook_Ads[[#This Row],[spend]]*RANDBETWEEN(8,12)/10</f>
        <v>94.56</v>
      </c>
      <c r="I5" s="4">
        <f ca="1">ROUND(T_Facebook_Ads[[#This Row],[conversions]]*RANDBETWEEN(8,12)/10,0)</f>
        <v>10</v>
      </c>
      <c r="J5" s="4">
        <f ca="1">ROUND(T_Facebook_Ads[[#This Row],[video_views]]*RANDBETWEEN(8,12)/10,0)</f>
        <v>7890</v>
      </c>
      <c r="K5" s="4">
        <f ca="1">T_Facebook_Ads[[#This Row],[engagement_rate]]*RANDBETWEEN(8,12)/10</f>
        <v>1.5520000000000001E-2</v>
      </c>
      <c r="L5" s="4">
        <f ca="1">ROUND(T_Facebook_Ads[[#This Row],[reach]]*RANDBETWEEN(8,12)/10,0)</f>
        <v>44147</v>
      </c>
      <c r="M5" s="4">
        <f ca="1">T_Facebook_Ads[[#This Row],[frequency]]*RANDBETWEEN(8,12)/10</f>
        <v>1.2649999999999999</v>
      </c>
      <c r="O5" s="3">
        <f t="shared" ca="1" si="2"/>
        <v>44950</v>
      </c>
      <c r="P5" s="4" t="s">
        <v>76</v>
      </c>
      <c r="Q5" s="4" t="s">
        <v>77</v>
      </c>
      <c r="R5" s="4" t="s">
        <v>78</v>
      </c>
      <c r="S5" s="4" t="s">
        <v>79</v>
      </c>
      <c r="T5" s="4">
        <f ca="1">ROUND(_Google_ads[[#This Row],[impressions]]*RANDBETWEEN(8,12)/10,0)</f>
        <v>29480</v>
      </c>
      <c r="U5" s="4">
        <f ca="1">ROUND(_Google_ads[[#This Row],[clicks]]*RANDBETWEEN(8,12)/10,0)</f>
        <v>1418</v>
      </c>
      <c r="V5" s="4">
        <f ca="1">_Google_ads[[#This Row],[cost]]*RANDBETWEEN(8,12)/10</f>
        <v>221.04000000000002</v>
      </c>
      <c r="W5" s="4">
        <f ca="1">ROUND(_Google_ads[[#This Row],[conversions]]*RANDBETWEEN(8,12)/10,0)</f>
        <v>38</v>
      </c>
      <c r="X5" s="4">
        <f ca="1">ROUND(_Google_ads[[#This Row],[conversion_value]]*RANDBETWEEN(8,12)/10,0)</f>
        <v>2880</v>
      </c>
      <c r="Y5" s="4">
        <f ca="1">_Google_ads[[#This Row],[ctr]]*RANDBETWEEN(8,12)/10</f>
        <v>4.725E-2</v>
      </c>
      <c r="Z5" s="4">
        <f ca="1">_Google_ads[[#This Row],[avg_cpc]]*RANDBETWEEN(8,12)/10</f>
        <v>0.17099999999999999</v>
      </c>
      <c r="AA5" s="4">
        <f ca="1">ROUND(_Google_ads[[#This Row],[quality_score]]*RANDBETWEEN(8,12)/10,0)</f>
        <v>11</v>
      </c>
      <c r="AB5" s="4">
        <f ca="1">_Google_ads[[#This Row],[search_impression_share]]*RANDBETWEEN(8,12)/10</f>
        <v>0.72799999999999998</v>
      </c>
      <c r="AD5" s="3">
        <f t="shared" ca="1" si="3"/>
        <v>44948</v>
      </c>
      <c r="AE5" s="4" t="s">
        <v>100</v>
      </c>
      <c r="AF5" s="4" t="s">
        <v>101</v>
      </c>
      <c r="AG5" s="4" t="s">
        <v>102</v>
      </c>
      <c r="AH5" s="4" t="s">
        <v>103</v>
      </c>
      <c r="AI5" s="4">
        <f ca="1">ROUND(T_Tiktok_ads[[#This Row],[impressions]]*RANDBETWEEN(8,12)/10,0)</f>
        <v>196542</v>
      </c>
      <c r="AJ5" s="4">
        <f ca="1">ROUND(T_Tiktok_ads[[#This Row],[clicks]]*RANDBETWEEN(8,12)/10,0)</f>
        <v>4414</v>
      </c>
      <c r="AK5" s="4">
        <v>478.9</v>
      </c>
      <c r="AL5" s="4">
        <f ca="1">ROUND(T_Tiktok_ads[[#This Row],[conversions]]*RANDBETWEEN(8,12)/10,0)</f>
        <v>32</v>
      </c>
      <c r="AM5" s="4">
        <f ca="1">ROUND(T_Tiktok_ads[[#This Row],[video_views]]*RANDBETWEEN(8,12)/10,0)</f>
        <v>186611</v>
      </c>
      <c r="AN5" s="4">
        <f ca="1">ROUND(T_Tiktok_ads[[#This Row],[video_watch_25]]*RANDBETWEEN(8,12)/10,0)</f>
        <v>179802</v>
      </c>
      <c r="AO5" s="4">
        <f ca="1">ROUND(T_Tiktok_ads[[#This Row],[video_watch_50]]*RANDBETWEEN(8,12)/10,0)</f>
        <v>122814</v>
      </c>
      <c r="AP5" s="4">
        <f ca="1">ROUND(T_Tiktok_ads[[#This Row],[video_watch_75]]*RANDBETWEEN(8,12)/10,0)</f>
        <v>84281</v>
      </c>
      <c r="AQ5" s="4">
        <f ca="1">ROUND(T_Tiktok_ads[[#This Row],[video_watch_100]]*RANDBETWEEN(8,12)/10,0)</f>
        <v>47234</v>
      </c>
      <c r="AR5" s="4">
        <f ca="1">ROUND(T_Tiktok_ads[[#This Row],[likes]]*RANDBETWEEN(8,12)/10,0)</f>
        <v>10157</v>
      </c>
      <c r="AS5" s="4">
        <f ca="1">ROUND(T_Tiktok_ads[[#This Row],[shares]]*RANDBETWEEN(8,12)/10,0)</f>
        <v>2210</v>
      </c>
      <c r="AT5" s="4">
        <f ca="1">ROUND(T_Tiktok_ads[[#This Row],[comments]]*RANDBETWEEN(8,12)/10,0)</f>
        <v>530</v>
      </c>
      <c r="AV5" s="5">
        <f t="shared" ca="1" si="0"/>
        <v>44948</v>
      </c>
      <c r="AW5">
        <f t="shared" ca="1" si="4"/>
        <v>1</v>
      </c>
      <c r="AX5">
        <f ca="1">ROUND(T_Facebook_Ads11[[#This Row],[impressions]]*RANDBETWEEN(8,12)/10,0)</f>
        <v>30489</v>
      </c>
      <c r="AY5">
        <f ca="1">ROUND(T_Facebook_Ads11[[#This Row],[clicks]]*RANDBETWEEN(8,12)/10,0)</f>
        <v>741</v>
      </c>
      <c r="AZ5">
        <f ca="1">T_Facebook_Ads11[[#This Row],[spend]]*RANDBETWEEN(8,12)/10</f>
        <v>113.47200000000001</v>
      </c>
      <c r="BA5">
        <f ca="1">ROUND(T_Facebook_Ads11[[#This Row],[conversions]]*RANDBETWEEN(8,12)/10,0)</f>
        <v>11</v>
      </c>
      <c r="BB5">
        <f ca="1">ROUND(T_Facebook_Ads11[[#This Row],[video_views]]*RANDBETWEEN(8,12)/10,0)</f>
        <v>8679</v>
      </c>
    </row>
    <row r="6" spans="1:54" ht="15.75" thickBot="1" x14ac:dyDescent="0.3">
      <c r="A6" s="3">
        <f t="shared" ca="1" si="1"/>
        <v>44956</v>
      </c>
      <c r="B6" s="4" t="s">
        <v>56</v>
      </c>
      <c r="C6" s="4" t="s">
        <v>57</v>
      </c>
      <c r="D6" s="4" t="s">
        <v>58</v>
      </c>
      <c r="E6" s="4" t="s">
        <v>59</v>
      </c>
      <c r="F6" s="4">
        <f ca="1">ROUND(T_Facebook_Ads[[#This Row],[impressions]]*RANDBETWEEN(8,12)/10,0)</f>
        <v>16414</v>
      </c>
      <c r="G6" s="4">
        <v>623</v>
      </c>
      <c r="H6" s="4">
        <f ca="1">T_Facebook_Ads[[#This Row],[spend]]*RANDBETWEEN(8,12)/10</f>
        <v>211.05</v>
      </c>
      <c r="I6" s="4">
        <f ca="1">ROUND(T_Facebook_Ads[[#This Row],[conversions]]*RANDBETWEEN(8,12)/10,0)</f>
        <v>34</v>
      </c>
      <c r="J6" s="4">
        <f ca="1">ROUND(T_Facebook_Ads[[#This Row],[video_views]]*RANDBETWEEN(8,12)/10,0)</f>
        <v>1165</v>
      </c>
      <c r="K6" s="4">
        <f ca="1">T_Facebook_Ads[[#This Row],[engagement_rate]]*RANDBETWEEN(8,12)/10</f>
        <v>5.4600000000000003E-2</v>
      </c>
      <c r="L6" s="4">
        <f ca="1">ROUND(T_Facebook_Ads[[#This Row],[reach]]*RANDBETWEEN(8,12)/10,0)</f>
        <v>12281</v>
      </c>
      <c r="M6" s="4">
        <f ca="1">T_Facebook_Ads[[#This Row],[frequency]]*RANDBETWEEN(8,12)/10</f>
        <v>1.34</v>
      </c>
      <c r="O6" s="3">
        <f t="shared" ca="1" si="2"/>
        <v>44941</v>
      </c>
      <c r="P6" s="4" t="s">
        <v>80</v>
      </c>
      <c r="Q6" s="4" t="s">
        <v>81</v>
      </c>
      <c r="R6" s="4" t="s">
        <v>82</v>
      </c>
      <c r="S6" s="4" t="s">
        <v>83</v>
      </c>
      <c r="T6" s="4">
        <f ca="1">ROUND(_Google_ads[[#This Row],[impressions]]*RANDBETWEEN(8,12)/10,0)</f>
        <v>38911</v>
      </c>
      <c r="U6" s="4">
        <f ca="1">ROUND(_Google_ads[[#This Row],[clicks]]*RANDBETWEEN(8,12)/10,0)</f>
        <v>658</v>
      </c>
      <c r="V6" s="4">
        <f ca="1">_Google_ads[[#This Row],[cost]]*RANDBETWEEN(8,12)/10</f>
        <v>587.62000000000012</v>
      </c>
      <c r="W6" s="4">
        <f ca="1">ROUND(_Google_ads[[#This Row],[conversions]]*RANDBETWEEN(8,12)/10,0)</f>
        <v>19</v>
      </c>
      <c r="X6" s="4">
        <f ca="1">ROUND(_Google_ads[[#This Row],[conversion_value]]*RANDBETWEEN(8,12)/10,0)</f>
        <v>840</v>
      </c>
      <c r="Y6" s="4">
        <f ca="1">_Google_ads[[#This Row],[ctr]]*RANDBETWEEN(8,12)/10</f>
        <v>1.7099999999999997E-2</v>
      </c>
      <c r="Z6" s="4">
        <f ca="1">_Google_ads[[#This Row],[avg_cpc]]*RANDBETWEEN(8,12)/10</f>
        <v>0.52</v>
      </c>
      <c r="AA6" s="4">
        <f ca="1">ROUND(_Google_ads[[#This Row],[quality_score]]*RANDBETWEEN(8,12)/10,0)</f>
        <v>8</v>
      </c>
      <c r="AB6" s="4">
        <f ca="1">_Google_ads[[#This Row],[search_impression_share]]*RANDBETWEEN(8,12)/10</f>
        <v>0.48399999999999999</v>
      </c>
      <c r="AD6" s="3">
        <f t="shared" ca="1" si="3"/>
        <v>44930</v>
      </c>
      <c r="AE6" s="4" t="s">
        <v>104</v>
      </c>
      <c r="AF6" s="4" t="s">
        <v>105</v>
      </c>
      <c r="AG6" s="4" t="s">
        <v>106</v>
      </c>
      <c r="AH6" s="4" t="s">
        <v>107</v>
      </c>
      <c r="AI6" s="4">
        <f ca="1">ROUND(T_Tiktok_ads[[#This Row],[impressions]]*RANDBETWEEN(8,12)/10,0)</f>
        <v>134567</v>
      </c>
      <c r="AJ6" s="4">
        <f ca="1">ROUND(T_Tiktok_ads[[#This Row],[clicks]]*RANDBETWEEN(8,12)/10,0)</f>
        <v>2310</v>
      </c>
      <c r="AK6" s="4">
        <v>712.3</v>
      </c>
      <c r="AL6" s="4">
        <f ca="1">ROUND(T_Tiktok_ads[[#This Row],[conversions]]*RANDBETWEEN(8,12)/10,0)</f>
        <v>64</v>
      </c>
      <c r="AM6" s="4">
        <f ca="1">ROUND(T_Tiktok_ads[[#This Row],[video_views]]*RANDBETWEEN(8,12)/10,0)</f>
        <v>86110</v>
      </c>
      <c r="AN6" s="4">
        <f ca="1">ROUND(T_Tiktok_ads[[#This Row],[video_watch_25]]*RANDBETWEEN(8,12)/10,0)</f>
        <v>56987</v>
      </c>
      <c r="AO6" s="4">
        <f ca="1">ROUND(T_Tiktok_ads[[#This Row],[video_watch_50]]*RANDBETWEEN(8,12)/10,0)</f>
        <v>43411</v>
      </c>
      <c r="AP6" s="4">
        <f ca="1">ROUND(T_Tiktok_ads[[#This Row],[video_watch_75]]*RANDBETWEEN(8,12)/10,0)</f>
        <v>28987</v>
      </c>
      <c r="AQ6" s="4">
        <f ca="1">ROUND(T_Tiktok_ads[[#This Row],[video_watch_100]]*RANDBETWEEN(8,12)/10,0)</f>
        <v>27024</v>
      </c>
      <c r="AR6" s="4">
        <f ca="1">ROUND(T_Tiktok_ads[[#This Row],[likes]]*RANDBETWEEN(8,12)/10,0)</f>
        <v>4789</v>
      </c>
      <c r="AS6" s="4">
        <f ca="1">ROUND(T_Tiktok_ads[[#This Row],[shares]]*RANDBETWEEN(8,12)/10,0)</f>
        <v>1614</v>
      </c>
      <c r="AT6" s="4">
        <f ca="1">ROUND(T_Tiktok_ads[[#This Row],[comments]]*RANDBETWEEN(8,12)/10,0)</f>
        <v>196</v>
      </c>
      <c r="AV6" s="5">
        <f t="shared" ca="1" si="0"/>
        <v>44932</v>
      </c>
      <c r="AW6">
        <f t="shared" ca="1" si="4"/>
        <v>1</v>
      </c>
      <c r="AX6">
        <f ca="1">ROUND(T_Facebook_Ads11[[#This Row],[impressions]]*RANDBETWEEN(8,12)/10,0)</f>
        <v>13131</v>
      </c>
      <c r="AY6">
        <f ca="1">ROUND(T_Facebook_Ads11[[#This Row],[clicks]]*RANDBETWEEN(8,12)/10,0)</f>
        <v>561</v>
      </c>
      <c r="AZ6">
        <f ca="1">T_Facebook_Ads11[[#This Row],[spend]]*RANDBETWEEN(8,12)/10</f>
        <v>211.05</v>
      </c>
      <c r="BA6">
        <f ca="1">ROUND(T_Facebook_Ads11[[#This Row],[conversions]]*RANDBETWEEN(8,12)/10,0)</f>
        <v>37</v>
      </c>
      <c r="BB6">
        <f ca="1">ROUND(T_Facebook_Ads11[[#This Row],[video_views]]*RANDBETWEEN(8,12)/10,0)</f>
        <v>1282</v>
      </c>
    </row>
    <row r="7" spans="1:54" ht="15.75" thickBot="1" x14ac:dyDescent="0.3">
      <c r="A7" s="3">
        <f t="shared" ca="1" si="1"/>
        <v>44943</v>
      </c>
      <c r="B7" s="4" t="s">
        <v>60</v>
      </c>
      <c r="C7" s="4" t="s">
        <v>61</v>
      </c>
      <c r="D7" s="4" t="s">
        <v>62</v>
      </c>
      <c r="E7" s="4" t="s">
        <v>63</v>
      </c>
      <c r="F7" s="4">
        <f ca="1">ROUND(T_Facebook_Ads[[#This Row],[impressions]]*RANDBETWEEN(8,12)/10,0)</f>
        <v>44147</v>
      </c>
      <c r="G7" s="4">
        <v>1345</v>
      </c>
      <c r="H7" s="4">
        <f ca="1">T_Facebook_Ads[[#This Row],[spend]]*RANDBETWEEN(8,12)/10</f>
        <v>201.3</v>
      </c>
      <c r="I7" s="4">
        <f ca="1">ROUND(T_Facebook_Ads[[#This Row],[conversions]]*RANDBETWEEN(8,12)/10,0)</f>
        <v>23</v>
      </c>
      <c r="J7" s="4">
        <f ca="1">ROUND(T_Facebook_Ads[[#This Row],[video_views]]*RANDBETWEEN(8,12)/10,0)</f>
        <v>3912</v>
      </c>
      <c r="K7" s="4">
        <f ca="1">T_Facebook_Ads[[#This Row],[engagement_rate]]*RANDBETWEEN(8,12)/10</f>
        <v>3.2940000000000004E-2</v>
      </c>
      <c r="L7" s="4">
        <f ca="1">ROUND(T_Facebook_Ads[[#This Row],[reach]]*RANDBETWEEN(8,12)/10,0)</f>
        <v>36148</v>
      </c>
      <c r="M7" s="4">
        <f ca="1">T_Facebook_Ads[[#This Row],[frequency]]*RANDBETWEEN(8,12)/10</f>
        <v>1.22</v>
      </c>
      <c r="O7" s="3">
        <f t="shared" ca="1" si="2"/>
        <v>44931</v>
      </c>
      <c r="P7" s="4" t="s">
        <v>84</v>
      </c>
      <c r="Q7" s="4" t="s">
        <v>85</v>
      </c>
      <c r="R7" s="4" t="s">
        <v>86</v>
      </c>
      <c r="S7" s="4" t="s">
        <v>87</v>
      </c>
      <c r="T7" s="4">
        <f ca="1">ROUND(_Google_ads[[#This Row],[impressions]]*RANDBETWEEN(8,12)/10,0)</f>
        <v>56987</v>
      </c>
      <c r="U7" s="4">
        <f ca="1">ROUND(_Google_ads[[#This Row],[clicks]]*RANDBETWEEN(8,12)/10,0)</f>
        <v>2210</v>
      </c>
      <c r="V7" s="4">
        <f ca="1">_Google_ads[[#This Row],[cost]]*RANDBETWEEN(8,12)/10</f>
        <v>445.8</v>
      </c>
      <c r="W7" s="4">
        <f ca="1">ROUND(_Google_ads[[#This Row],[conversions]]*RANDBETWEEN(8,12)/10,0)</f>
        <v>78</v>
      </c>
      <c r="X7" s="4">
        <f ca="1">ROUND(_Google_ads[[#This Row],[conversion_value]]*RANDBETWEEN(8,12)/10,0)</f>
        <v>3550</v>
      </c>
      <c r="Y7" s="4">
        <f ca="1">_Google_ads[[#This Row],[ctr]]*RANDBETWEEN(8,12)/10</f>
        <v>2.7600000000000003E-2</v>
      </c>
      <c r="Z7" s="4">
        <f ca="1">_Google_ads[[#This Row],[avg_cpc]]*RANDBETWEEN(8,12)/10</f>
        <v>0.18</v>
      </c>
      <c r="AA7" s="4">
        <f ca="1">ROUND(_Google_ads[[#This Row],[quality_score]]*RANDBETWEEN(8,12)/10,0)</f>
        <v>7</v>
      </c>
      <c r="AB7" s="4">
        <f ca="1">_Google_ads[[#This Row],[search_impression_share]]*RANDBETWEEN(8,12)/10</f>
        <v>0.54400000000000004</v>
      </c>
      <c r="AD7" s="3">
        <f t="shared" ca="1" si="3"/>
        <v>44950</v>
      </c>
      <c r="AE7" s="4" t="s">
        <v>108</v>
      </c>
      <c r="AF7" s="4" t="s">
        <v>109</v>
      </c>
      <c r="AG7" s="4" t="s">
        <v>110</v>
      </c>
      <c r="AH7" s="4" t="s">
        <v>111</v>
      </c>
      <c r="AI7" s="4">
        <f ca="1">ROUND(T_Tiktok_ads[[#This Row],[impressions]]*RANDBETWEEN(8,12)/10,0)</f>
        <v>158676</v>
      </c>
      <c r="AJ7" s="4">
        <f ca="1">ROUND(T_Tiktok_ads[[#This Row],[clicks]]*RANDBETWEEN(8,12)/10,0)</f>
        <v>3012</v>
      </c>
      <c r="AK7" s="4">
        <v>361.2</v>
      </c>
      <c r="AL7" s="4">
        <f ca="1">ROUND(T_Tiktok_ads[[#This Row],[conversions]]*RANDBETWEEN(8,12)/10,0)</f>
        <v>25</v>
      </c>
      <c r="AM7" s="4">
        <f ca="1">ROUND(T_Tiktok_ads[[#This Row],[video_views]]*RANDBETWEEN(8,12)/10,0)</f>
        <v>152345</v>
      </c>
      <c r="AN7" s="4">
        <f ca="1">ROUND(T_Tiktok_ads[[#This Row],[video_watch_25]]*RANDBETWEEN(8,12)/10,0)</f>
        <v>128957</v>
      </c>
      <c r="AO7" s="4">
        <f ca="1">ROUND(T_Tiktok_ads[[#This Row],[video_watch_50]]*RANDBETWEEN(8,12)/10,0)</f>
        <v>83911</v>
      </c>
      <c r="AP7" s="4">
        <f ca="1">ROUND(T_Tiktok_ads[[#This Row],[video_watch_75]]*RANDBETWEEN(8,12)/10,0)</f>
        <v>65157</v>
      </c>
      <c r="AQ7" s="4">
        <f ca="1">ROUND(T_Tiktok_ads[[#This Row],[video_watch_100]]*RANDBETWEEN(8,12)/10,0)</f>
        <v>43481</v>
      </c>
      <c r="AR7" s="4">
        <f ca="1">ROUND(T_Tiktok_ads[[#This Row],[likes]]*RANDBETWEEN(8,12)/10,0)</f>
        <v>7835</v>
      </c>
      <c r="AS7" s="4">
        <f ca="1">ROUND(T_Tiktok_ads[[#This Row],[shares]]*RANDBETWEEN(8,12)/10,0)</f>
        <v>2360</v>
      </c>
      <c r="AT7" s="4">
        <f ca="1">ROUND(T_Tiktok_ads[[#This Row],[comments]]*RANDBETWEEN(8,12)/10,0)</f>
        <v>382</v>
      </c>
      <c r="AV7" s="5">
        <f t="shared" ca="1" si="0"/>
        <v>44957</v>
      </c>
      <c r="AW7">
        <f t="shared" ca="1" si="4"/>
        <v>8</v>
      </c>
      <c r="AX7">
        <f ca="1">ROUND(T_Facebook_Ads11[[#This Row],[impressions]]*RANDBETWEEN(8,12)/10,0)</f>
        <v>48562</v>
      </c>
      <c r="AY7">
        <f ca="1">ROUND(T_Facebook_Ads11[[#This Row],[clicks]]*RANDBETWEEN(8,12)/10,0)</f>
        <v>1480</v>
      </c>
      <c r="AZ7">
        <f ca="1">T_Facebook_Ads11[[#This Row],[spend]]*RANDBETWEEN(8,12)/10</f>
        <v>241.56000000000003</v>
      </c>
      <c r="BA7">
        <f ca="1">ROUND(T_Facebook_Ads11[[#This Row],[conversions]]*RANDBETWEEN(8,12)/10,0)</f>
        <v>21</v>
      </c>
      <c r="BB7">
        <f ca="1">ROUND(T_Facebook_Ads11[[#This Row],[video_views]]*RANDBETWEEN(8,12)/10,0)</f>
        <v>3912</v>
      </c>
    </row>
    <row r="8" spans="1:54" ht="15.75" thickBot="1" x14ac:dyDescent="0.3">
      <c r="A8" s="3">
        <f t="shared" ca="1" si="1"/>
        <v>44932</v>
      </c>
      <c r="B8" s="4" t="s">
        <v>52</v>
      </c>
      <c r="C8" s="4" t="s">
        <v>53</v>
      </c>
      <c r="D8" s="4" t="s">
        <v>54</v>
      </c>
      <c r="E8" s="4" t="s">
        <v>55</v>
      </c>
      <c r="F8" s="4">
        <f ca="1">ROUND(T_Facebook_Ads[[#This Row],[impressions]]*RANDBETWEEN(8,12)/10,0)</f>
        <v>43411</v>
      </c>
      <c r="G8" s="4">
        <v>967</v>
      </c>
      <c r="H8" s="4">
        <f ca="1">T_Facebook_Ads[[#This Row],[spend]]*RANDBETWEEN(8,12)/10</f>
        <v>121.32000000000001</v>
      </c>
      <c r="I8" s="4">
        <f ca="1">ROUND(T_Facebook_Ads[[#This Row],[conversions]]*RANDBETWEEN(8,12)/10,0)</f>
        <v>14</v>
      </c>
      <c r="J8" s="4">
        <f ca="1">ROUND(T_Facebook_Ads[[#This Row],[video_views]]*RANDBETWEEN(8,12)/10,0)</f>
        <v>7121</v>
      </c>
      <c r="K8" s="4">
        <f ca="1">T_Facebook_Ads[[#This Row],[engagement_rate]]*RANDBETWEEN(8,12)/10</f>
        <v>1.6080000000000001E-2</v>
      </c>
      <c r="L8" s="4">
        <f ca="1">ROUND(T_Facebook_Ads[[#This Row],[reach]]*RANDBETWEEN(8,12)/10,0)</f>
        <v>48148</v>
      </c>
      <c r="M8" s="4">
        <f ca="1">T_Facebook_Ads[[#This Row],[frequency]]*RANDBETWEEN(8,12)/10</f>
        <v>1.44</v>
      </c>
      <c r="O8" s="3">
        <f t="shared" ca="1" si="2"/>
        <v>44929</v>
      </c>
      <c r="P8" s="4" t="s">
        <v>76</v>
      </c>
      <c r="Q8" s="4" t="s">
        <v>77</v>
      </c>
      <c r="R8" s="4" t="s">
        <v>78</v>
      </c>
      <c r="S8" s="4" t="s">
        <v>79</v>
      </c>
      <c r="T8" s="4">
        <f ca="1">ROUND(_Google_ads[[#This Row],[impressions]]*RANDBETWEEN(8,12)/10,0)</f>
        <v>24580</v>
      </c>
      <c r="U8" s="4">
        <f ca="1">ROUND(_Google_ads[[#This Row],[clicks]]*RANDBETWEEN(8,12)/10,0)</f>
        <v>1348</v>
      </c>
      <c r="V8" s="4">
        <f ca="1">_Google_ads[[#This Row],[cost]]*RANDBETWEEN(8,12)/10</f>
        <v>170.72</v>
      </c>
      <c r="W8" s="4">
        <f ca="1">ROUND(_Google_ads[[#This Row],[conversions]]*RANDBETWEEN(8,12)/10,0)</f>
        <v>46</v>
      </c>
      <c r="X8" s="4">
        <f ca="1">ROUND(_Google_ads[[#This Row],[conversion_value]]*RANDBETWEEN(8,12)/10,0)</f>
        <v>1890</v>
      </c>
      <c r="Y8" s="4">
        <f ca="1">_Google_ads[[#This Row],[ctr]]*RANDBETWEEN(8,12)/10</f>
        <v>5.5330000000000004E-2</v>
      </c>
      <c r="Z8" s="4">
        <f ca="1">_Google_ads[[#This Row],[avg_cpc]]*RANDBETWEEN(8,12)/10</f>
        <v>0.20899999999999999</v>
      </c>
      <c r="AA8" s="4">
        <f ca="1">ROUND(_Google_ads[[#This Row],[quality_score]]*RANDBETWEEN(8,12)/10,0)</f>
        <v>10</v>
      </c>
      <c r="AB8" s="4">
        <f ca="1">_Google_ads[[#This Row],[search_impression_share]]*RANDBETWEEN(8,12)/10</f>
        <v>0.93</v>
      </c>
      <c r="AD8" s="3">
        <f t="shared" ca="1" si="3"/>
        <v>44929</v>
      </c>
      <c r="AE8" s="4" t="s">
        <v>100</v>
      </c>
      <c r="AF8" s="4" t="s">
        <v>101</v>
      </c>
      <c r="AG8" s="4" t="s">
        <v>102</v>
      </c>
      <c r="AH8" s="4" t="s">
        <v>103</v>
      </c>
      <c r="AI8" s="4">
        <f ca="1">ROUND(T_Tiktok_ads[[#This Row],[impressions]]*RANDBETWEEN(8,12)/10,0)</f>
        <v>223456</v>
      </c>
      <c r="AJ8" s="4">
        <f ca="1">ROUND(T_Tiktok_ads[[#This Row],[clicks]]*RANDBETWEEN(8,12)/10,0)</f>
        <v>2587</v>
      </c>
      <c r="AK8" s="4">
        <v>434.5</v>
      </c>
      <c r="AL8" s="4">
        <f ca="1">ROUND(T_Tiktok_ads[[#This Row],[conversions]]*RANDBETWEEN(8,12)/10,0)</f>
        <v>32</v>
      </c>
      <c r="AM8" s="4">
        <f ca="1">ROUND(T_Tiktok_ads[[#This Row],[video_views]]*RANDBETWEEN(8,12)/10,0)</f>
        <v>208157</v>
      </c>
      <c r="AN8" s="4">
        <f ca="1">ROUND(T_Tiktok_ads[[#This Row],[video_watch_25]]*RANDBETWEEN(8,12)/10,0)</f>
        <v>163057</v>
      </c>
      <c r="AO8" s="4">
        <f ca="1">ROUND(T_Tiktok_ads[[#This Row],[video_watch_50]]*RANDBETWEEN(8,12)/10,0)</f>
        <v>102557</v>
      </c>
      <c r="AP8" s="4">
        <f ca="1">ROUND(T_Tiktok_ads[[#This Row],[video_watch_75]]*RANDBETWEEN(8,12)/10,0)</f>
        <v>76147</v>
      </c>
      <c r="AQ8" s="4">
        <f ca="1">ROUND(T_Tiktok_ads[[#This Row],[video_watch_100]]*RANDBETWEEN(8,12)/10,0)</f>
        <v>34587</v>
      </c>
      <c r="AR8" s="4">
        <f ca="1">ROUND(T_Tiktok_ads[[#This Row],[likes]]*RANDBETWEEN(8,12)/10,0)</f>
        <v>9424</v>
      </c>
      <c r="AS8" s="4">
        <f ca="1">ROUND(T_Tiktok_ads[[#This Row],[shares]]*RANDBETWEEN(8,12)/10,0)</f>
        <v>2681</v>
      </c>
      <c r="AT8" s="4">
        <f ca="1">ROUND(T_Tiktok_ads[[#This Row],[comments]]*RANDBETWEEN(8,12)/10,0)</f>
        <v>481</v>
      </c>
      <c r="AV8" s="5">
        <f t="shared" ca="1" si="0"/>
        <v>44927</v>
      </c>
      <c r="AW8">
        <f t="shared" ca="1" si="4"/>
        <v>7</v>
      </c>
      <c r="AX8">
        <f ca="1">ROUND(T_Facebook_Ads11[[#This Row],[impressions]]*RANDBETWEEN(8,12)/10,0)</f>
        <v>34729</v>
      </c>
      <c r="AY8">
        <f ca="1">ROUND(T_Facebook_Ads11[[#This Row],[clicks]]*RANDBETWEEN(8,12)/10,0)</f>
        <v>1160</v>
      </c>
      <c r="AZ8">
        <f ca="1">T_Facebook_Ads11[[#This Row],[spend]]*RANDBETWEEN(8,12)/10</f>
        <v>133.452</v>
      </c>
      <c r="BA8">
        <f ca="1">ROUND(T_Facebook_Ads11[[#This Row],[conversions]]*RANDBETWEEN(8,12)/10,0)</f>
        <v>11</v>
      </c>
      <c r="BB8">
        <f ca="1">ROUND(T_Facebook_Ads11[[#This Row],[video_views]]*RANDBETWEEN(8,12)/10,0)</f>
        <v>8545</v>
      </c>
    </row>
    <row r="9" spans="1:54" ht="15.75" thickBot="1" x14ac:dyDescent="0.3">
      <c r="A9" s="3">
        <f t="shared" ca="1" si="1"/>
        <v>44944</v>
      </c>
      <c r="B9" s="4" t="s">
        <v>56</v>
      </c>
      <c r="C9" s="4" t="s">
        <v>57</v>
      </c>
      <c r="D9" s="4" t="s">
        <v>58</v>
      </c>
      <c r="E9" s="4" t="s">
        <v>59</v>
      </c>
      <c r="F9" s="4">
        <f ca="1">ROUND(T_Facebook_Ads[[#This Row],[impressions]]*RANDBETWEEN(8,12)/10,0)</f>
        <v>13481</v>
      </c>
      <c r="G9" s="4">
        <v>489</v>
      </c>
      <c r="H9" s="4">
        <f ca="1">T_Facebook_Ads[[#This Row],[spend]]*RANDBETWEEN(8,12)/10</f>
        <v>198.7</v>
      </c>
      <c r="I9" s="4">
        <f ca="1">ROUND(T_Facebook_Ads[[#This Row],[conversions]]*RANDBETWEEN(8,12)/10,0)</f>
        <v>28</v>
      </c>
      <c r="J9" s="4">
        <f ca="1">ROUND(T_Facebook_Ads[[#This Row],[video_views]]*RANDBETWEEN(8,12)/10,0)</f>
        <v>1235</v>
      </c>
      <c r="K9" s="4">
        <f ca="1">T_Facebook_Ads[[#This Row],[engagement_rate]]*RANDBETWEEN(8,12)/10</f>
        <v>3.4799999999999998E-2</v>
      </c>
      <c r="L9" s="4">
        <f ca="1">ROUND(T_Facebook_Ads[[#This Row],[reach]]*RANDBETWEEN(8,12)/10,0)</f>
        <v>9791</v>
      </c>
      <c r="M9" s="4">
        <f ca="1">T_Facebook_Ads[[#This Row],[frequency]]*RANDBETWEEN(8,12)/10</f>
        <v>1.3859999999999999</v>
      </c>
      <c r="O9" s="3">
        <f t="shared" ca="1" si="2"/>
        <v>44955</v>
      </c>
      <c r="P9" s="4" t="s">
        <v>80</v>
      </c>
      <c r="Q9" s="4" t="s">
        <v>81</v>
      </c>
      <c r="R9" s="4" t="s">
        <v>82</v>
      </c>
      <c r="S9" s="4" t="s">
        <v>83</v>
      </c>
      <c r="T9" s="4">
        <f ca="1">ROUND(_Google_ads[[#This Row],[impressions]]*RANDBETWEEN(8,12)/10,0)</f>
        <v>47890</v>
      </c>
      <c r="U9" s="4">
        <f ca="1">ROUND(_Google_ads[[#This Row],[clicks]]*RANDBETWEEN(8,12)/10,0)</f>
        <v>1160</v>
      </c>
      <c r="V9" s="4">
        <f ca="1">_Google_ads[[#This Row],[cost]]*RANDBETWEEN(8,12)/10</f>
        <v>748.2</v>
      </c>
      <c r="W9" s="4">
        <f ca="1">ROUND(_Google_ads[[#This Row],[conversions]]*RANDBETWEEN(8,12)/10,0)</f>
        <v>23</v>
      </c>
      <c r="X9" s="4">
        <f ca="1">ROUND(_Google_ads[[#This Row],[conversion_value]]*RANDBETWEEN(8,12)/10,0)</f>
        <v>1250</v>
      </c>
      <c r="Y9" s="4">
        <f ca="1">_Google_ads[[#This Row],[ctr]]*RANDBETWEEN(8,12)/10</f>
        <v>2.2219999999999997E-2</v>
      </c>
      <c r="Z9" s="4">
        <f ca="1">_Google_ads[[#This Row],[avg_cpc]]*RANDBETWEEN(8,12)/10</f>
        <v>0.51200000000000001</v>
      </c>
      <c r="AA9" s="4">
        <f ca="1">ROUND(_Google_ads[[#This Row],[quality_score]]*RANDBETWEEN(8,12)/10,0)</f>
        <v>5</v>
      </c>
      <c r="AB9" s="4">
        <f ca="1">_Google_ads[[#This Row],[search_impression_share]]*RANDBETWEEN(8,12)/10</f>
        <v>0.38700000000000001</v>
      </c>
      <c r="AD9" s="3">
        <f t="shared" ca="1" si="3"/>
        <v>44942</v>
      </c>
      <c r="AE9" s="4" t="s">
        <v>104</v>
      </c>
      <c r="AF9" s="4" t="s">
        <v>105</v>
      </c>
      <c r="AG9" s="4" t="s">
        <v>106</v>
      </c>
      <c r="AH9" s="4" t="s">
        <v>107</v>
      </c>
      <c r="AI9" s="4">
        <f ca="1">ROUND(T_Tiktok_ads[[#This Row],[impressions]]*RANDBETWEEN(8,12)/10,0)</f>
        <v>134814</v>
      </c>
      <c r="AJ9" s="4">
        <f ca="1">ROUND(T_Tiktok_ads[[#This Row],[clicks]]*RANDBETWEEN(8,12)/10,0)</f>
        <v>1911</v>
      </c>
      <c r="AK9" s="4">
        <v>623.4</v>
      </c>
      <c r="AL9" s="4">
        <f ca="1">ROUND(T_Tiktok_ads[[#This Row],[conversions]]*RANDBETWEEN(8,12)/10,0)</f>
        <v>62</v>
      </c>
      <c r="AM9" s="4">
        <f ca="1">ROUND(T_Tiktok_ads[[#This Row],[video_views]]*RANDBETWEEN(8,12)/10,0)</f>
        <v>98814</v>
      </c>
      <c r="AN9" s="4">
        <f ca="1">ROUND(T_Tiktok_ads[[#This Row],[video_watch_25]]*RANDBETWEEN(8,12)/10,0)</f>
        <v>55111</v>
      </c>
      <c r="AO9" s="4">
        <f ca="1">ROUND(T_Tiktok_ads[[#This Row],[video_watch_50]]*RANDBETWEEN(8,12)/10,0)</f>
        <v>41234</v>
      </c>
      <c r="AP9" s="4">
        <f ca="1">ROUND(T_Tiktok_ads[[#This Row],[video_watch_75]]*RANDBETWEEN(8,12)/10,0)</f>
        <v>24987</v>
      </c>
      <c r="AQ9" s="4">
        <f ca="1">ROUND(T_Tiktok_ads[[#This Row],[video_watch_100]]*RANDBETWEEN(8,12)/10,0)</f>
        <v>19111</v>
      </c>
      <c r="AR9" s="4">
        <f ca="1">ROUND(T_Tiktok_ads[[#This Row],[likes]]*RANDBETWEEN(8,12)/10,0)</f>
        <v>3387</v>
      </c>
      <c r="AS9" s="4">
        <f ca="1">ROUND(T_Tiktok_ads[[#This Row],[shares]]*RANDBETWEEN(8,12)/10,0)</f>
        <v>1348</v>
      </c>
      <c r="AT9" s="4">
        <f ca="1">ROUND(T_Tiktok_ads[[#This Row],[comments]]*RANDBETWEEN(8,12)/10,0)</f>
        <v>233</v>
      </c>
      <c r="AV9" s="5">
        <f t="shared" ca="1" si="0"/>
        <v>44953</v>
      </c>
      <c r="AW9">
        <f t="shared" ca="1" si="4"/>
        <v>8</v>
      </c>
      <c r="AX9">
        <f ca="1">ROUND(T_Facebook_Ads11[[#This Row],[impressions]]*RANDBETWEEN(8,12)/10,0)</f>
        <v>14829</v>
      </c>
      <c r="AY9">
        <f ca="1">ROUND(T_Facebook_Ads11[[#This Row],[clicks]]*RANDBETWEEN(8,12)/10,0)</f>
        <v>587</v>
      </c>
      <c r="AZ9">
        <f ca="1">T_Facebook_Ads11[[#This Row],[spend]]*RANDBETWEEN(8,12)/10</f>
        <v>198.7</v>
      </c>
      <c r="BA9">
        <f ca="1">ROUND(T_Facebook_Ads11[[#This Row],[conversions]]*RANDBETWEEN(8,12)/10,0)</f>
        <v>31</v>
      </c>
      <c r="BB9">
        <f ca="1">ROUND(T_Facebook_Ads11[[#This Row],[video_views]]*RANDBETWEEN(8,12)/10,0)</f>
        <v>1482</v>
      </c>
    </row>
    <row r="10" spans="1:54" ht="15.75" thickBot="1" x14ac:dyDescent="0.3">
      <c r="A10" s="3">
        <f t="shared" ca="1" si="1"/>
        <v>44949</v>
      </c>
      <c r="B10" s="4" t="s">
        <v>60</v>
      </c>
      <c r="C10" s="4" t="s">
        <v>61</v>
      </c>
      <c r="D10" s="4" t="s">
        <v>62</v>
      </c>
      <c r="E10" s="4" t="s">
        <v>63</v>
      </c>
      <c r="F10" s="4">
        <f ca="1">ROUND(T_Facebook_Ads[[#This Row],[impressions]]*RANDBETWEEN(8,12)/10,0)</f>
        <v>35011</v>
      </c>
      <c r="G10" s="4">
        <v>1456</v>
      </c>
      <c r="H10" s="4">
        <f ca="1">T_Facebook_Ads[[#This Row],[spend]]*RANDBETWEEN(8,12)/10</f>
        <v>213.4</v>
      </c>
      <c r="I10" s="4">
        <f ca="1">ROUND(T_Facebook_Ads[[#This Row],[conversions]]*RANDBETWEEN(8,12)/10,0)</f>
        <v>34</v>
      </c>
      <c r="J10" s="4">
        <f ca="1">ROUND(T_Facebook_Ads[[#This Row],[video_views]]*RANDBETWEEN(8,12)/10,0)</f>
        <v>4187</v>
      </c>
      <c r="K10" s="4">
        <f ca="1">T_Facebook_Ads[[#This Row],[engagement_rate]]*RANDBETWEEN(8,12)/10</f>
        <v>3.7499999999999999E-2</v>
      </c>
      <c r="L10" s="4">
        <f ca="1">ROUND(T_Facebook_Ads[[#This Row],[reach]]*RANDBETWEEN(8,12)/10,0)</f>
        <v>25165</v>
      </c>
      <c r="M10" s="4">
        <f ca="1">T_Facebook_Ads[[#This Row],[frequency]]*RANDBETWEEN(8,12)/10</f>
        <v>1.3640000000000001</v>
      </c>
      <c r="O10" s="3">
        <f t="shared" ca="1" si="2"/>
        <v>44943</v>
      </c>
      <c r="P10" s="4" t="s">
        <v>88</v>
      </c>
      <c r="Q10" s="4" t="s">
        <v>89</v>
      </c>
      <c r="R10" s="4" t="s">
        <v>90</v>
      </c>
      <c r="S10" s="4" t="s">
        <v>59</v>
      </c>
      <c r="T10" s="4">
        <f ca="1">ROUND(_Google_ads[[#This Row],[impressions]]*RANDBETWEEN(8,12)/10,0)</f>
        <v>148147</v>
      </c>
      <c r="U10" s="4">
        <f ca="1">ROUND(_Google_ads[[#This Row],[clicks]]*RANDBETWEEN(8,12)/10,0)</f>
        <v>547</v>
      </c>
      <c r="V10" s="4">
        <f ca="1">_Google_ads[[#This Row],[cost]]*RANDBETWEEN(8,12)/10</f>
        <v>123.4</v>
      </c>
      <c r="W10" s="4">
        <f ca="1">ROUND(_Google_ads[[#This Row],[conversions]]*RANDBETWEEN(8,12)/10,0)</f>
        <v>14</v>
      </c>
      <c r="X10" s="4">
        <f ca="1">ROUND(_Google_ads[[#This Row],[conversion_value]]*RANDBETWEEN(8,12)/10,0)</f>
        <v>720</v>
      </c>
      <c r="Y10" s="4">
        <f ca="1">_Google_ads[[#This Row],[ctr]]*RANDBETWEEN(8,12)/10</f>
        <v>2.96E-3</v>
      </c>
      <c r="Z10" s="4">
        <f ca="1">_Google_ads[[#This Row],[avg_cpc]]*RANDBETWEEN(8,12)/10</f>
        <v>0.21600000000000003</v>
      </c>
      <c r="AA10" s="4">
        <f ca="1">ROUND(_Google_ads[[#This Row],[quality_score]]*RANDBETWEEN(8,12)/10,0)</f>
        <v>7</v>
      </c>
      <c r="AB10" s="4">
        <f ca="1">_Google_ads[[#This Row],[search_impression_share]]*RANDBETWEEN(8,12)/10</f>
        <v>0.41999999999999993</v>
      </c>
      <c r="AD10" s="3">
        <f t="shared" ca="1" si="3"/>
        <v>44956</v>
      </c>
      <c r="AE10" s="4" t="s">
        <v>112</v>
      </c>
      <c r="AF10" s="4" t="s">
        <v>113</v>
      </c>
      <c r="AG10" s="4" t="s">
        <v>114</v>
      </c>
      <c r="AH10" s="4" t="s">
        <v>115</v>
      </c>
      <c r="AI10" s="4">
        <f ca="1">ROUND(T_Tiktok_ads[[#This Row],[impressions]]*RANDBETWEEN(8,12)/10,0)</f>
        <v>345678</v>
      </c>
      <c r="AJ10" s="4">
        <f ca="1">ROUND(T_Tiktok_ads[[#This Row],[clicks]]*RANDBETWEEN(8,12)/10,0)</f>
        <v>4542</v>
      </c>
      <c r="AK10" s="4">
        <v>890.1</v>
      </c>
      <c r="AL10" s="4">
        <f ca="1">ROUND(T_Tiktok_ads[[#This Row],[conversions]]*RANDBETWEEN(8,12)/10,0)</f>
        <v>80</v>
      </c>
      <c r="AM10" s="4">
        <f ca="1">ROUND(T_Tiktok_ads[[#This Row],[video_views]]*RANDBETWEEN(8,12)/10,0)</f>
        <v>260311</v>
      </c>
      <c r="AN10" s="4">
        <f ca="1">ROUND(T_Tiktok_ads[[#This Row],[video_watch_25]]*RANDBETWEEN(8,12)/10,0)</f>
        <v>187654</v>
      </c>
      <c r="AO10" s="4">
        <f ca="1">ROUND(T_Tiktok_ads[[#This Row],[video_watch_50]]*RANDBETWEEN(8,12)/10,0)</f>
        <v>227081</v>
      </c>
      <c r="AP10" s="4">
        <f ca="1">ROUND(T_Tiktok_ads[[#This Row],[video_watch_75]]*RANDBETWEEN(8,12)/10,0)</f>
        <v>148024</v>
      </c>
      <c r="AQ10" s="4">
        <f ca="1">ROUND(T_Tiktok_ads[[#This Row],[video_watch_100]]*RANDBETWEEN(8,12)/10,0)</f>
        <v>71387</v>
      </c>
      <c r="AR10" s="4">
        <f ca="1">ROUND(T_Tiktok_ads[[#This Row],[likes]]*RANDBETWEEN(8,12)/10,0)</f>
        <v>14110</v>
      </c>
      <c r="AS10" s="4">
        <f ca="1">ROUND(T_Tiktok_ads[[#This Row],[shares]]*RANDBETWEEN(8,12)/10,0)</f>
        <v>5024</v>
      </c>
      <c r="AT10" s="4">
        <f ca="1">ROUND(T_Tiktok_ads[[#This Row],[comments]]*RANDBETWEEN(8,12)/10,0)</f>
        <v>987</v>
      </c>
      <c r="AV10" s="5">
        <f t="shared" ca="1" si="0"/>
        <v>44933</v>
      </c>
      <c r="AW10">
        <f t="shared" ca="1" si="4"/>
        <v>5</v>
      </c>
      <c r="AX10">
        <f ca="1">ROUND(T_Facebook_Ads11[[#This Row],[impressions]]*RANDBETWEEN(8,12)/10,0)</f>
        <v>38512</v>
      </c>
      <c r="AY10">
        <f ca="1">ROUND(T_Facebook_Ads11[[#This Row],[clicks]]*RANDBETWEEN(8,12)/10,0)</f>
        <v>1310</v>
      </c>
      <c r="AZ10">
        <f ca="1">T_Facebook_Ads11[[#This Row],[spend]]*RANDBETWEEN(8,12)/10</f>
        <v>213.4</v>
      </c>
      <c r="BA10">
        <f ca="1">ROUND(T_Facebook_Ads11[[#This Row],[conversions]]*RANDBETWEEN(8,12)/10,0)</f>
        <v>34</v>
      </c>
      <c r="BB10">
        <f ca="1">ROUND(T_Facebook_Ads11[[#This Row],[video_views]]*RANDBETWEEN(8,12)/10,0)</f>
        <v>4606</v>
      </c>
    </row>
    <row r="11" spans="1:54" ht="15.75" thickBot="1" x14ac:dyDescent="0.3">
      <c r="A11" s="3">
        <f t="shared" ca="1" si="1"/>
        <v>44938</v>
      </c>
      <c r="B11" s="4" t="s">
        <v>52</v>
      </c>
      <c r="C11" s="4" t="s">
        <v>53</v>
      </c>
      <c r="D11" s="4" t="s">
        <v>54</v>
      </c>
      <c r="E11" s="4" t="s">
        <v>55</v>
      </c>
      <c r="F11" s="4">
        <f ca="1">ROUND(T_Facebook_Ads[[#This Row],[impressions]]*RANDBETWEEN(8,12)/10,0)</f>
        <v>56357</v>
      </c>
      <c r="G11" s="4">
        <v>1023</v>
      </c>
      <c r="H11" s="4">
        <f ca="1">T_Facebook_Ads[[#This Row],[spend]]*RANDBETWEEN(8,12)/10</f>
        <v>170.76000000000002</v>
      </c>
      <c r="I11" s="4">
        <f ca="1">ROUND(T_Facebook_Ads[[#This Row],[conversions]]*RANDBETWEEN(8,12)/10,0)</f>
        <v>17</v>
      </c>
      <c r="J11" s="4">
        <f ca="1">ROUND(T_Facebook_Ads[[#This Row],[video_views]]*RANDBETWEEN(8,12)/10,0)</f>
        <v>7387</v>
      </c>
      <c r="K11" s="4">
        <f ca="1">T_Facebook_Ads[[#This Row],[engagement_rate]]*RANDBETWEEN(8,12)/10</f>
        <v>1.7999999999999999E-2</v>
      </c>
      <c r="L11" s="4">
        <f ca="1">ROUND(T_Facebook_Ads[[#This Row],[reach]]*RANDBETWEEN(8,12)/10,0)</f>
        <v>51080</v>
      </c>
      <c r="M11" s="4">
        <f ca="1">T_Facebook_Ads[[#This Row],[frequency]]*RANDBETWEEN(8,12)/10</f>
        <v>1.2</v>
      </c>
      <c r="O11" s="3">
        <f t="shared" ca="1" si="2"/>
        <v>44934</v>
      </c>
      <c r="P11" s="4" t="s">
        <v>76</v>
      </c>
      <c r="Q11" s="4" t="s">
        <v>77</v>
      </c>
      <c r="R11" s="4" t="s">
        <v>78</v>
      </c>
      <c r="S11" s="4" t="s">
        <v>79</v>
      </c>
      <c r="T11" s="4">
        <f ca="1">ROUND(_Google_ads[[#This Row],[impressions]]*RANDBETWEEN(8,12)/10,0)</f>
        <v>20542</v>
      </c>
      <c r="U11" s="4">
        <f ca="1">ROUND(_Google_ads[[#This Row],[clicks]]*RANDBETWEEN(8,12)/10,0)</f>
        <v>1480</v>
      </c>
      <c r="V11" s="4">
        <f ca="1">_Google_ads[[#This Row],[cost]]*RANDBETWEEN(8,12)/10</f>
        <v>231.02999999999997</v>
      </c>
      <c r="W11" s="4">
        <f ca="1">ROUND(_Google_ads[[#This Row],[conversions]]*RANDBETWEEN(8,12)/10,0)</f>
        <v>40</v>
      </c>
      <c r="X11" s="4">
        <f ca="1">ROUND(_Google_ads[[#This Row],[conversion_value]]*RANDBETWEEN(8,12)/10,0)</f>
        <v>2250</v>
      </c>
      <c r="Y11" s="4">
        <f ca="1">_Google_ads[[#This Row],[ctr]]*RANDBETWEEN(8,12)/10</f>
        <v>4.7160000000000001E-2</v>
      </c>
      <c r="Z11" s="4">
        <f ca="1">_Google_ads[[#This Row],[avg_cpc]]*RANDBETWEEN(8,12)/10</f>
        <v>0.22800000000000004</v>
      </c>
      <c r="AA11" s="4">
        <f ca="1">ROUND(_Google_ads[[#This Row],[quality_score]]*RANDBETWEEN(8,12)/10,0)</f>
        <v>9</v>
      </c>
      <c r="AB11" s="4">
        <f ca="1">_Google_ads[[#This Row],[search_impression_share]]*RANDBETWEEN(8,12)/10</f>
        <v>1.012</v>
      </c>
      <c r="AD11" s="3">
        <f t="shared" ca="1" si="3"/>
        <v>44949</v>
      </c>
      <c r="AE11" s="4" t="s">
        <v>100</v>
      </c>
      <c r="AF11" s="4" t="s">
        <v>101</v>
      </c>
      <c r="AG11" s="4" t="s">
        <v>102</v>
      </c>
      <c r="AH11" s="4" t="s">
        <v>103</v>
      </c>
      <c r="AI11" s="4">
        <f ca="1">ROUND(T_Tiktok_ads[[#This Row],[impressions]]*RANDBETWEEN(8,12)/10,0)</f>
        <v>205431</v>
      </c>
      <c r="AJ11" s="4">
        <f ca="1">ROUND(T_Tiktok_ads[[#This Row],[clicks]]*RANDBETWEEN(8,12)/10,0)</f>
        <v>3890</v>
      </c>
      <c r="AK11" s="4">
        <v>512.29999999999995</v>
      </c>
      <c r="AL11" s="4">
        <f ca="1">ROUND(T_Tiktok_ads[[#This Row],[conversions]]*RANDBETWEEN(8,12)/10,0)</f>
        <v>31</v>
      </c>
      <c r="AM11" s="4">
        <f ca="1">ROUND(T_Tiktok_ads[[#This Row],[video_views]]*RANDBETWEEN(8,12)/10,0)</f>
        <v>195710</v>
      </c>
      <c r="AN11" s="4">
        <f ca="1">ROUND(T_Tiktok_ads[[#This Row],[video_watch_25]]*RANDBETWEEN(8,12)/10,0)</f>
        <v>204281</v>
      </c>
      <c r="AO11" s="4">
        <f ca="1">ROUND(T_Tiktok_ads[[#This Row],[video_watch_50]]*RANDBETWEEN(8,12)/10,0)</f>
        <v>107234</v>
      </c>
      <c r="AP11" s="4">
        <f ca="1">ROUND(T_Tiktok_ads[[#This Row],[video_watch_75]]*RANDBETWEEN(8,12)/10,0)</f>
        <v>86947</v>
      </c>
      <c r="AQ11" s="4">
        <f ca="1">ROUND(T_Tiktok_ads[[#This Row],[video_watch_100]]*RANDBETWEEN(8,12)/10,0)</f>
        <v>43610</v>
      </c>
      <c r="AR11" s="4">
        <f ca="1">ROUND(T_Tiktok_ads[[#This Row],[likes]]*RANDBETWEEN(8,12)/10,0)</f>
        <v>10524</v>
      </c>
      <c r="AS11" s="4">
        <f ca="1">ROUND(T_Tiktok_ads[[#This Row],[shares]]*RANDBETWEEN(8,12)/10,0)</f>
        <v>2054</v>
      </c>
      <c r="AT11" s="4">
        <f ca="1">ROUND(T_Tiktok_ads[[#This Row],[comments]]*RANDBETWEEN(8,12)/10,0)</f>
        <v>673</v>
      </c>
      <c r="AV11" s="5">
        <f t="shared" ca="1" si="0"/>
        <v>44944</v>
      </c>
      <c r="AW11">
        <f t="shared" ca="1" si="4"/>
        <v>1</v>
      </c>
      <c r="AX11">
        <f ca="1">ROUND(T_Facebook_Ads11[[#This Row],[impressions]]*RANDBETWEEN(8,12)/10,0)</f>
        <v>50721</v>
      </c>
      <c r="AY11">
        <f ca="1">ROUND(T_Facebook_Ads11[[#This Row],[clicks]]*RANDBETWEEN(8,12)/10,0)</f>
        <v>1125</v>
      </c>
      <c r="AZ11">
        <f ca="1">T_Facebook_Ads11[[#This Row],[spend]]*RANDBETWEEN(8,12)/10</f>
        <v>187.83600000000001</v>
      </c>
      <c r="BA11">
        <f ca="1">ROUND(T_Facebook_Ads11[[#This Row],[conversions]]*RANDBETWEEN(8,12)/10,0)</f>
        <v>17</v>
      </c>
      <c r="BB11">
        <f ca="1">ROUND(T_Facebook_Ads11[[#This Row],[video_views]]*RANDBETWEEN(8,12)/10,0)</f>
        <v>6648</v>
      </c>
    </row>
    <row r="12" spans="1:54" ht="15.75" thickBot="1" x14ac:dyDescent="0.3">
      <c r="A12" s="3">
        <f t="shared" ca="1" si="1"/>
        <v>44950</v>
      </c>
      <c r="B12" s="4" t="s">
        <v>56</v>
      </c>
      <c r="C12" s="4" t="s">
        <v>57</v>
      </c>
      <c r="D12" s="4" t="s">
        <v>58</v>
      </c>
      <c r="E12" s="4" t="s">
        <v>59</v>
      </c>
      <c r="F12" s="4">
        <f ca="1">ROUND(T_Facebook_Ads[[#This Row],[impressions]]*RANDBETWEEN(8,12)/10,0)</f>
        <v>14567</v>
      </c>
      <c r="G12" s="4">
        <v>678</v>
      </c>
      <c r="H12" s="4">
        <f ca="1">T_Facebook_Ads[[#This Row],[spend]]*RANDBETWEEN(8,12)/10</f>
        <v>245.6</v>
      </c>
      <c r="I12" s="4">
        <f ca="1">ROUND(T_Facebook_Ads[[#This Row],[conversions]]*RANDBETWEEN(8,12)/10,0)</f>
        <v>34</v>
      </c>
      <c r="J12" s="4">
        <f ca="1">ROUND(T_Facebook_Ads[[#This Row],[video_views]]*RANDBETWEEN(8,12)/10,0)</f>
        <v>1410</v>
      </c>
      <c r="K12" s="4">
        <f ca="1">T_Facebook_Ads[[#This Row],[engagement_rate]]*RANDBETWEEN(8,12)/10</f>
        <v>5.5800000000000002E-2</v>
      </c>
      <c r="L12" s="4">
        <f ca="1">ROUND(T_Facebook_Ads[[#This Row],[reach]]*RANDBETWEEN(8,12)/10,0)</f>
        <v>12357</v>
      </c>
      <c r="M12" s="4">
        <f ca="1">T_Facebook_Ads[[#This Row],[frequency]]*RANDBETWEEN(8,12)/10</f>
        <v>1.4300000000000002</v>
      </c>
      <c r="O12" s="3">
        <f t="shared" ca="1" si="2"/>
        <v>44933</v>
      </c>
      <c r="P12" s="4" t="s">
        <v>84</v>
      </c>
      <c r="Q12" s="4" t="s">
        <v>85</v>
      </c>
      <c r="R12" s="4" t="s">
        <v>86</v>
      </c>
      <c r="S12" s="4" t="s">
        <v>87</v>
      </c>
      <c r="T12" s="4">
        <f ca="1">ROUND(_Google_ads[[#This Row],[impressions]]*RANDBETWEEN(8,12)/10,0)</f>
        <v>76402</v>
      </c>
      <c r="U12" s="4">
        <f ca="1">ROUND(_Google_ads[[#This Row],[clicks]]*RANDBETWEEN(8,12)/10,0)</f>
        <v>2681</v>
      </c>
      <c r="V12" s="4">
        <f ca="1">_Google_ads[[#This Row],[cost]]*RANDBETWEEN(8,12)/10</f>
        <v>453.53000000000003</v>
      </c>
      <c r="W12" s="4">
        <f ca="1">ROUND(_Google_ads[[#This Row],[conversions]]*RANDBETWEEN(8,12)/10,0)</f>
        <v>52</v>
      </c>
      <c r="X12" s="4">
        <f ca="1">ROUND(_Google_ads[[#This Row],[conversion_value]]*RANDBETWEEN(8,12)/10,0)</f>
        <v>3250</v>
      </c>
      <c r="Y12" s="4">
        <f ca="1">_Google_ads[[#This Row],[ctr]]*RANDBETWEEN(8,12)/10</f>
        <v>3.2199999999999999E-2</v>
      </c>
      <c r="Z12" s="4">
        <f ca="1">_Google_ads[[#This Row],[avg_cpc]]*RANDBETWEEN(8,12)/10</f>
        <v>0.19800000000000001</v>
      </c>
      <c r="AA12" s="4">
        <f ca="1">ROUND(_Google_ads[[#This Row],[quality_score]]*RANDBETWEEN(8,12)/10,0)</f>
        <v>6</v>
      </c>
      <c r="AB12" s="4">
        <f ca="1">_Google_ads[[#This Row],[search_impression_share]]*RANDBETWEEN(8,12)/10</f>
        <v>0.72600000000000009</v>
      </c>
      <c r="AD12" s="3">
        <f t="shared" ca="1" si="3"/>
        <v>44946</v>
      </c>
      <c r="AE12" s="4" t="s">
        <v>108</v>
      </c>
      <c r="AF12" s="4" t="s">
        <v>109</v>
      </c>
      <c r="AG12" s="4" t="s">
        <v>110</v>
      </c>
      <c r="AH12" s="4" t="s">
        <v>111</v>
      </c>
      <c r="AI12" s="4">
        <f ca="1">ROUND(T_Tiktok_ads[[#This Row],[impressions]]*RANDBETWEEN(8,12)/10,0)</f>
        <v>201234</v>
      </c>
      <c r="AJ12" s="4">
        <f ca="1">ROUND(T_Tiktok_ads[[#This Row],[clicks]]*RANDBETWEEN(8,12)/10,0)</f>
        <v>2498</v>
      </c>
      <c r="AK12" s="4">
        <v>374.5</v>
      </c>
      <c r="AL12" s="4">
        <f ca="1">ROUND(T_Tiktok_ads[[#This Row],[conversions]]*RANDBETWEEN(8,12)/10,0)</f>
        <v>26</v>
      </c>
      <c r="AM12" s="4">
        <f ca="1">ROUND(T_Tiktok_ads[[#This Row],[video_views]]*RANDBETWEEN(8,12)/10,0)</f>
        <v>142101</v>
      </c>
      <c r="AN12" s="4">
        <f ca="1">ROUND(T_Tiktok_ads[[#This Row],[video_watch_25]]*RANDBETWEEN(8,12)/10,0)</f>
        <v>96987</v>
      </c>
      <c r="AO12" s="4">
        <f ca="1">ROUND(T_Tiktok_ads[[#This Row],[video_watch_50]]*RANDBETWEEN(8,12)/10,0)</f>
        <v>115481</v>
      </c>
      <c r="AP12" s="4">
        <f ca="1">ROUND(T_Tiktok_ads[[#This Row],[video_watch_75]]*RANDBETWEEN(8,12)/10,0)</f>
        <v>48987</v>
      </c>
      <c r="AQ12" s="4">
        <f ca="1">ROUND(T_Tiktok_ads[[#This Row],[video_watch_100]]*RANDBETWEEN(8,12)/10,0)</f>
        <v>29965</v>
      </c>
      <c r="AR12" s="4">
        <f ca="1">ROUND(T_Tiktok_ads[[#This Row],[likes]]*RANDBETWEEN(8,12)/10,0)</f>
        <v>8814</v>
      </c>
      <c r="AS12" s="4">
        <f ca="1">ROUND(T_Tiktok_ads[[#This Row],[shares]]*RANDBETWEEN(8,12)/10,0)</f>
        <v>1627</v>
      </c>
      <c r="AT12" s="4">
        <f ca="1">ROUND(T_Tiktok_ads[[#This Row],[comments]]*RANDBETWEEN(8,12)/10,0)</f>
        <v>587</v>
      </c>
      <c r="AV12" s="5">
        <f t="shared" ca="1" si="0"/>
        <v>44956</v>
      </c>
      <c r="AW12">
        <f t="shared" ca="1" si="4"/>
        <v>6</v>
      </c>
      <c r="AX12">
        <f ca="1">ROUND(T_Facebook_Ads11[[#This Row],[impressions]]*RANDBETWEEN(8,12)/10,0)</f>
        <v>14567</v>
      </c>
      <c r="AY12">
        <f ca="1">ROUND(T_Facebook_Ads11[[#This Row],[clicks]]*RANDBETWEEN(8,12)/10,0)</f>
        <v>610</v>
      </c>
      <c r="AZ12">
        <f ca="1">T_Facebook_Ads11[[#This Row],[spend]]*RANDBETWEEN(8,12)/10</f>
        <v>221.04000000000002</v>
      </c>
      <c r="BA12">
        <f ca="1">ROUND(T_Facebook_Ads11[[#This Row],[conversions]]*RANDBETWEEN(8,12)/10,0)</f>
        <v>41</v>
      </c>
      <c r="BB12">
        <f ca="1">ROUND(T_Facebook_Ads11[[#This Row],[video_views]]*RANDBETWEEN(8,12)/10,0)</f>
        <v>1551</v>
      </c>
    </row>
    <row r="13" spans="1:54" ht="15.75" thickBot="1" x14ac:dyDescent="0.3">
      <c r="A13" s="3">
        <f t="shared" ca="1" si="1"/>
        <v>44942</v>
      </c>
      <c r="B13" s="4" t="s">
        <v>64</v>
      </c>
      <c r="C13" s="4" t="s">
        <v>65</v>
      </c>
      <c r="D13" s="4" t="s">
        <v>66</v>
      </c>
      <c r="E13" s="4" t="s">
        <v>67</v>
      </c>
      <c r="F13" s="4">
        <f ca="1">ROUND(T_Facebook_Ads[[#This Row],[impressions]]*RANDBETWEEN(8,12)/10,0)</f>
        <v>61101</v>
      </c>
      <c r="G13" s="4">
        <v>234</v>
      </c>
      <c r="H13" s="4">
        <f ca="1">T_Facebook_Ads[[#This Row],[spend]]*RANDBETWEEN(8,12)/10</f>
        <v>107.4</v>
      </c>
      <c r="I13" s="4">
        <f ca="1">ROUND(T_Facebook_Ads[[#This Row],[conversions]]*RANDBETWEEN(8,12)/10,0)</f>
        <v>5</v>
      </c>
      <c r="J13" s="4">
        <f ca="1">ROUND(T_Facebook_Ads[[#This Row],[video_views]]*RANDBETWEEN(8,12)/10,0)</f>
        <v>45678</v>
      </c>
      <c r="K13" s="4">
        <f ca="1">T_Facebook_Ads[[#This Row],[engagement_rate]]*RANDBETWEEN(8,12)/10</f>
        <v>3.7399999999999994E-3</v>
      </c>
      <c r="L13" s="4">
        <f ca="1">ROUND(T_Facebook_Ads[[#This Row],[reach]]*RANDBETWEEN(8,12)/10,0)</f>
        <v>51110</v>
      </c>
      <c r="M13" s="4">
        <f ca="1">T_Facebook_Ads[[#This Row],[frequency]]*RANDBETWEEN(8,12)/10</f>
        <v>1.0799999999999998</v>
      </c>
      <c r="O13" s="3">
        <f t="shared" ca="1" si="2"/>
        <v>44933</v>
      </c>
      <c r="P13" s="4" t="s">
        <v>88</v>
      </c>
      <c r="Q13" s="4" t="s">
        <v>89</v>
      </c>
      <c r="R13" s="4" t="s">
        <v>90</v>
      </c>
      <c r="S13" s="4" t="s">
        <v>59</v>
      </c>
      <c r="T13" s="4">
        <f ca="1">ROUND(_Google_ads[[#This Row],[impressions]]*RANDBETWEEN(8,12)/10,0)</f>
        <v>161480</v>
      </c>
      <c r="U13" s="4">
        <f ca="1">ROUND(_Google_ads[[#This Row],[clicks]]*RANDBETWEEN(8,12)/10,0)</f>
        <v>391</v>
      </c>
      <c r="V13" s="4">
        <f ca="1">_Google_ads[[#This Row],[cost]]*RANDBETWEEN(8,12)/10</f>
        <v>161.4</v>
      </c>
      <c r="W13" s="4">
        <f ca="1">ROUND(_Google_ads[[#This Row],[conversions]]*RANDBETWEEN(8,12)/10,0)</f>
        <v>11</v>
      </c>
      <c r="X13" s="4">
        <f ca="1">ROUND(_Google_ads[[#This Row],[conversion_value]]*RANDBETWEEN(8,12)/10,0)</f>
        <v>700</v>
      </c>
      <c r="Y13" s="4">
        <f ca="1">_Google_ads[[#This Row],[ctr]]*RANDBETWEEN(8,12)/10</f>
        <v>3.96E-3</v>
      </c>
      <c r="Z13" s="4">
        <f ca="1">_Google_ads[[#This Row],[avg_cpc]]*RANDBETWEEN(8,12)/10</f>
        <v>0.28000000000000003</v>
      </c>
      <c r="AA13" s="4">
        <f ca="1">ROUND(_Google_ads[[#This Row],[quality_score]]*RANDBETWEEN(8,12)/10,0)</f>
        <v>8</v>
      </c>
      <c r="AB13" s="4">
        <f ca="1">_Google_ads[[#This Row],[search_impression_share]]*RANDBETWEEN(8,12)/10</f>
        <v>0.36</v>
      </c>
      <c r="AD13" s="3">
        <f t="shared" ca="1" si="3"/>
        <v>44957</v>
      </c>
      <c r="AE13" s="4" t="s">
        <v>112</v>
      </c>
      <c r="AF13" s="4" t="s">
        <v>113</v>
      </c>
      <c r="AG13" s="4" t="s">
        <v>114</v>
      </c>
      <c r="AH13" s="4" t="s">
        <v>115</v>
      </c>
      <c r="AI13" s="4">
        <f ca="1">ROUND(T_Tiktok_ads[[#This Row],[impressions]]*RANDBETWEEN(8,12)/10,0)</f>
        <v>441468</v>
      </c>
      <c r="AJ13" s="4">
        <f ca="1">ROUND(T_Tiktok_ads[[#This Row],[clicks]]*RANDBETWEEN(8,12)/10,0)</f>
        <v>5411</v>
      </c>
      <c r="AK13" s="4">
        <v>923.4</v>
      </c>
      <c r="AL13" s="4">
        <f ca="1">ROUND(T_Tiktok_ads[[#This Row],[conversions]]*RANDBETWEEN(8,12)/10,0)</f>
        <v>94</v>
      </c>
      <c r="AM13" s="4">
        <f ca="1">ROUND(T_Tiktok_ads[[#This Row],[video_views]]*RANDBETWEEN(8,12)/10,0)</f>
        <v>331357</v>
      </c>
      <c r="AN13" s="4">
        <f ca="1">ROUND(T_Tiktok_ads[[#This Row],[video_watch_25]]*RANDBETWEEN(8,12)/10,0)</f>
        <v>294814</v>
      </c>
      <c r="AO13" s="4">
        <f ca="1">ROUND(T_Tiktok_ads[[#This Row],[video_watch_50]]*RANDBETWEEN(8,12)/10,0)</f>
        <v>196789</v>
      </c>
      <c r="AP13" s="4">
        <f ca="1">ROUND(T_Tiktok_ads[[#This Row],[video_watch_75]]*RANDBETWEEN(8,12)/10,0)</f>
        <v>112187</v>
      </c>
      <c r="AQ13" s="4">
        <f ca="1">ROUND(T_Tiktok_ads[[#This Row],[video_watch_100]]*RANDBETWEEN(8,12)/10,0)</f>
        <v>102802</v>
      </c>
      <c r="AR13" s="4">
        <f ca="1">ROUND(T_Tiktok_ads[[#This Row],[likes]]*RANDBETWEEN(8,12)/10,0)</f>
        <v>14611</v>
      </c>
      <c r="AS13" s="4">
        <f ca="1">ROUND(T_Tiktok_ads[[#This Row],[shares]]*RANDBETWEEN(8,12)/10,0)</f>
        <v>3831</v>
      </c>
      <c r="AT13" s="4">
        <f ca="1">ROUND(T_Tiktok_ads[[#This Row],[comments]]*RANDBETWEEN(8,12)/10,0)</f>
        <v>1418</v>
      </c>
      <c r="AV13" s="5">
        <f t="shared" ca="1" si="0"/>
        <v>44931</v>
      </c>
      <c r="AW13">
        <f t="shared" ca="1" si="4"/>
        <v>6</v>
      </c>
      <c r="AX13">
        <f ca="1">ROUND(T_Facebook_Ads11[[#This Row],[impressions]]*RANDBETWEEN(8,12)/10,0)</f>
        <v>48881</v>
      </c>
      <c r="AY13">
        <f ca="1">ROUND(T_Facebook_Ads11[[#This Row],[clicks]]*RANDBETWEEN(8,12)/10,0)</f>
        <v>234</v>
      </c>
      <c r="AZ13">
        <f ca="1">T_Facebook_Ads11[[#This Row],[spend]]*RANDBETWEEN(8,12)/10</f>
        <v>128.88000000000002</v>
      </c>
      <c r="BA13">
        <f ca="1">ROUND(T_Facebook_Ads11[[#This Row],[conversions]]*RANDBETWEEN(8,12)/10,0)</f>
        <v>6</v>
      </c>
      <c r="BB13">
        <f ca="1">ROUND(T_Facebook_Ads11[[#This Row],[video_views]]*RANDBETWEEN(8,12)/10,0)</f>
        <v>45678</v>
      </c>
    </row>
    <row r="14" spans="1:54" ht="15.75" thickBot="1" x14ac:dyDescent="0.3">
      <c r="A14" s="3">
        <f t="shared" ca="1" si="1"/>
        <v>44957</v>
      </c>
      <c r="B14" s="4" t="s">
        <v>52</v>
      </c>
      <c r="C14" s="4" t="s">
        <v>53</v>
      </c>
      <c r="D14" s="4" t="s">
        <v>54</v>
      </c>
      <c r="E14" s="4" t="s">
        <v>55</v>
      </c>
      <c r="F14" s="4">
        <f ca="1">ROUND(T_Facebook_Ads[[#This Row],[impressions]]*RANDBETWEEN(8,12)/10,0)</f>
        <v>51468</v>
      </c>
      <c r="G14" s="4">
        <v>934</v>
      </c>
      <c r="H14" s="4">
        <f ca="1">T_Facebook_Ads[[#This Row],[spend]]*RANDBETWEEN(8,12)/10</f>
        <v>104.96</v>
      </c>
      <c r="I14" s="4">
        <f ca="1">ROUND(T_Facebook_Ads[[#This Row],[conversions]]*RANDBETWEEN(8,12)/10,0)</f>
        <v>16</v>
      </c>
      <c r="J14" s="4">
        <f ca="1">ROUND(T_Facebook_Ads[[#This Row],[video_views]]*RANDBETWEEN(8,12)/10,0)</f>
        <v>8567</v>
      </c>
      <c r="K14" s="4">
        <f ca="1">T_Facebook_Ads[[#This Row],[engagement_rate]]*RANDBETWEEN(8,12)/10</f>
        <v>1.6E-2</v>
      </c>
      <c r="L14" s="4">
        <f ca="1">ROUND(T_Facebook_Ads[[#This Row],[reach]]*RANDBETWEEN(8,12)/10,0)</f>
        <v>39234</v>
      </c>
      <c r="M14" s="4">
        <f ca="1">T_Facebook_Ads[[#This Row],[frequency]]*RANDBETWEEN(8,12)/10</f>
        <v>1.4279999999999999</v>
      </c>
      <c r="O14" s="3">
        <f t="shared" ca="1" si="2"/>
        <v>44944</v>
      </c>
      <c r="P14" s="4" t="s">
        <v>76</v>
      </c>
      <c r="Q14" s="4" t="s">
        <v>77</v>
      </c>
      <c r="R14" s="4" t="s">
        <v>78</v>
      </c>
      <c r="S14" s="4" t="s">
        <v>79</v>
      </c>
      <c r="T14" s="4">
        <f ca="1">ROUND(_Google_ads[[#This Row],[impressions]]*RANDBETWEEN(8,12)/10,0)</f>
        <v>21501</v>
      </c>
      <c r="U14" s="4">
        <f ca="1">ROUND(_Google_ads[[#This Row],[clicks]]*RANDBETWEEN(8,12)/10,0)</f>
        <v>1234</v>
      </c>
      <c r="V14" s="4">
        <f ca="1">_Google_ads[[#This Row],[cost]]*RANDBETWEEN(8,12)/10</f>
        <v>281.88</v>
      </c>
      <c r="W14" s="4">
        <f ca="1">ROUND(_Google_ads[[#This Row],[conversions]]*RANDBETWEEN(8,12)/10,0)</f>
        <v>55</v>
      </c>
      <c r="X14" s="4">
        <f ca="1">ROUND(_Google_ads[[#This Row],[conversion_value]]*RANDBETWEEN(8,12)/10,0)</f>
        <v>1840</v>
      </c>
      <c r="Y14" s="4">
        <f ca="1">_Google_ads[[#This Row],[ctr]]*RANDBETWEEN(8,12)/10</f>
        <v>4.6530000000000002E-2</v>
      </c>
      <c r="Z14" s="4">
        <f ca="1">_Google_ads[[#This Row],[avg_cpc]]*RANDBETWEEN(8,12)/10</f>
        <v>0.22800000000000004</v>
      </c>
      <c r="AA14" s="4">
        <f ca="1">ROUND(_Google_ads[[#This Row],[quality_score]]*RANDBETWEEN(8,12)/10,0)</f>
        <v>7</v>
      </c>
      <c r="AB14" s="4">
        <f ca="1">_Google_ads[[#This Row],[search_impression_share]]*RANDBETWEEN(8,12)/10</f>
        <v>1.0009999999999999</v>
      </c>
      <c r="AD14" s="3">
        <f t="shared" ca="1" si="3"/>
        <v>44946</v>
      </c>
      <c r="AE14" s="4" t="s">
        <v>100</v>
      </c>
      <c r="AF14" s="4" t="s">
        <v>101</v>
      </c>
      <c r="AG14" s="4" t="s">
        <v>102</v>
      </c>
      <c r="AH14" s="4" t="s">
        <v>103</v>
      </c>
      <c r="AI14" s="4">
        <f ca="1">ROUND(T_Tiktok_ads[[#This Row],[impressions]]*RANDBETWEEN(8,12)/10,0)</f>
        <v>234234</v>
      </c>
      <c r="AJ14" s="4">
        <f ca="1">ROUND(T_Tiktok_ads[[#This Row],[clicks]]*RANDBETWEEN(8,12)/10,0)</f>
        <v>3120</v>
      </c>
      <c r="AK14" s="4">
        <v>460.2</v>
      </c>
      <c r="AL14" s="4">
        <f ca="1">ROUND(T_Tiktok_ads[[#This Row],[conversions]]*RANDBETWEEN(8,12)/10,0)</f>
        <v>32</v>
      </c>
      <c r="AM14" s="4">
        <f ca="1">ROUND(T_Tiktok_ads[[#This Row],[video_views]]*RANDBETWEEN(8,12)/10,0)</f>
        <v>219157</v>
      </c>
      <c r="AN14" s="4">
        <f ca="1">ROUND(T_Tiktok_ads[[#This Row],[video_watch_25]]*RANDBETWEEN(8,12)/10,0)</f>
        <v>156789</v>
      </c>
      <c r="AO14" s="4">
        <f ca="1">ROUND(T_Tiktok_ads[[#This Row],[video_watch_50]]*RANDBETWEEN(8,12)/10,0)</f>
        <v>79031</v>
      </c>
      <c r="AP14" s="4">
        <f ca="1">ROUND(T_Tiktok_ads[[#This Row],[video_watch_75]]*RANDBETWEEN(8,12)/10,0)</f>
        <v>74568</v>
      </c>
      <c r="AQ14" s="4">
        <f ca="1">ROUND(T_Tiktok_ads[[#This Row],[video_watch_100]]*RANDBETWEEN(8,12)/10,0)</f>
        <v>36365</v>
      </c>
      <c r="AR14" s="4">
        <f ca="1">ROUND(T_Tiktok_ads[[#This Row],[likes]]*RANDBETWEEN(8,12)/10,0)</f>
        <v>8945</v>
      </c>
      <c r="AS14" s="4">
        <f ca="1">ROUND(T_Tiktok_ads[[#This Row],[shares]]*RANDBETWEEN(8,12)/10,0)</f>
        <v>2840</v>
      </c>
      <c r="AT14" s="4">
        <f ca="1">ROUND(T_Tiktok_ads[[#This Row],[comments]]*RANDBETWEEN(8,12)/10,0)</f>
        <v>636</v>
      </c>
      <c r="AV14" s="5">
        <f t="shared" ca="1" si="0"/>
        <v>44945</v>
      </c>
      <c r="AW14">
        <f t="shared" ca="1" si="4"/>
        <v>1</v>
      </c>
      <c r="AX14">
        <f ca="1">ROUND(T_Facebook_Ads11[[#This Row],[impressions]]*RANDBETWEEN(8,12)/10,0)</f>
        <v>46321</v>
      </c>
      <c r="AY14">
        <f ca="1">ROUND(T_Facebook_Ads11[[#This Row],[clicks]]*RANDBETWEEN(8,12)/10,0)</f>
        <v>747</v>
      </c>
      <c r="AZ14">
        <f ca="1">T_Facebook_Ads11[[#This Row],[spend]]*RANDBETWEEN(8,12)/10</f>
        <v>104.96</v>
      </c>
      <c r="BA14">
        <f ca="1">ROUND(T_Facebook_Ads11[[#This Row],[conversions]]*RANDBETWEEN(8,12)/10,0)</f>
        <v>18</v>
      </c>
      <c r="BB14">
        <f ca="1">ROUND(T_Facebook_Ads11[[#This Row],[video_views]]*RANDBETWEEN(8,12)/10,0)</f>
        <v>8567</v>
      </c>
    </row>
    <row r="15" spans="1:54" ht="15.75" thickBot="1" x14ac:dyDescent="0.3">
      <c r="A15" s="3">
        <f t="shared" ca="1" si="1"/>
        <v>44951</v>
      </c>
      <c r="B15" s="4" t="s">
        <v>56</v>
      </c>
      <c r="C15" s="4" t="s">
        <v>57</v>
      </c>
      <c r="D15" s="4" t="s">
        <v>58</v>
      </c>
      <c r="E15" s="4" t="s">
        <v>59</v>
      </c>
      <c r="F15" s="4">
        <f ca="1">ROUND(T_Facebook_Ads[[#This Row],[impressions]]*RANDBETWEEN(8,12)/10,0)</f>
        <v>10312</v>
      </c>
      <c r="G15" s="4">
        <v>567</v>
      </c>
      <c r="H15" s="4">
        <f ca="1">T_Facebook_Ads[[#This Row],[spend]]*RANDBETWEEN(8,12)/10</f>
        <v>242.33</v>
      </c>
      <c r="I15" s="4">
        <f ca="1">ROUND(T_Facebook_Ads[[#This Row],[conversions]]*RANDBETWEEN(8,12)/10,0)</f>
        <v>40</v>
      </c>
      <c r="J15" s="4">
        <f ca="1">ROUND(T_Facebook_Ads[[#This Row],[video_views]]*RANDBETWEEN(8,12)/10,0)</f>
        <v>1480</v>
      </c>
      <c r="K15" s="4">
        <f ca="1">T_Facebook_Ads[[#This Row],[engagement_rate]]*RANDBETWEEN(8,12)/10</f>
        <v>4.3999999999999997E-2</v>
      </c>
      <c r="L15" s="4">
        <f ca="1">ROUND(T_Facebook_Ads[[#This Row],[reach]]*RANDBETWEEN(8,12)/10,0)</f>
        <v>12148</v>
      </c>
      <c r="M15" s="4">
        <f ca="1">T_Facebook_Ads[[#This Row],[frequency]]*RANDBETWEEN(8,12)/10</f>
        <v>1.016</v>
      </c>
      <c r="O15" s="3">
        <f t="shared" ca="1" si="2"/>
        <v>44952</v>
      </c>
      <c r="P15" s="4" t="s">
        <v>80</v>
      </c>
      <c r="Q15" s="4" t="s">
        <v>81</v>
      </c>
      <c r="R15" s="4" t="s">
        <v>82</v>
      </c>
      <c r="S15" s="4" t="s">
        <v>83</v>
      </c>
      <c r="T15" s="4">
        <f ca="1">ROUND(_Google_ads[[#This Row],[impressions]]*RANDBETWEEN(8,12)/10,0)</f>
        <v>41611</v>
      </c>
      <c r="U15" s="4">
        <f ca="1">ROUND(_Google_ads[[#This Row],[clicks]]*RANDBETWEEN(8,12)/10,0)</f>
        <v>821</v>
      </c>
      <c r="V15" s="4">
        <f ca="1">_Google_ads[[#This Row],[cost]]*RANDBETWEEN(8,12)/10</f>
        <v>530.37</v>
      </c>
      <c r="W15" s="4">
        <f ca="1">ROUND(_Google_ads[[#This Row],[conversions]]*RANDBETWEEN(8,12)/10,0)</f>
        <v>24</v>
      </c>
      <c r="X15" s="4">
        <f ca="1">ROUND(_Google_ads[[#This Row],[conversion_value]]*RANDBETWEEN(8,12)/10,0)</f>
        <v>1320</v>
      </c>
      <c r="Y15" s="4">
        <f ca="1">_Google_ads[[#This Row],[ctr]]*RANDBETWEEN(8,12)/10</f>
        <v>1.7729999999999999E-2</v>
      </c>
      <c r="Z15" s="4">
        <f ca="1">_Google_ads[[#This Row],[avg_cpc]]*RANDBETWEEN(8,12)/10</f>
        <v>0.58500000000000008</v>
      </c>
      <c r="AA15" s="4">
        <f ca="1">ROUND(_Google_ads[[#This Row],[quality_score]]*RANDBETWEEN(8,12)/10,0)</f>
        <v>7</v>
      </c>
      <c r="AB15" s="4">
        <f ca="1">_Google_ads[[#This Row],[search_impression_share]]*RANDBETWEEN(8,12)/10</f>
        <v>0.45</v>
      </c>
      <c r="AD15" s="3">
        <f t="shared" ca="1" si="3"/>
        <v>44954</v>
      </c>
      <c r="AE15" s="4" t="s">
        <v>104</v>
      </c>
      <c r="AF15" s="4" t="s">
        <v>105</v>
      </c>
      <c r="AG15" s="4" t="s">
        <v>106</v>
      </c>
      <c r="AH15" s="4" t="s">
        <v>107</v>
      </c>
      <c r="AI15" s="4">
        <f ca="1">ROUND(T_Tiktok_ads[[#This Row],[impressions]]*RANDBETWEEN(8,12)/10,0)</f>
        <v>103121</v>
      </c>
      <c r="AJ15" s="4">
        <f ca="1">ROUND(T_Tiktok_ads[[#This Row],[clicks]]*RANDBETWEEN(8,12)/10,0)</f>
        <v>1965</v>
      </c>
      <c r="AK15" s="4">
        <v>689.5</v>
      </c>
      <c r="AL15" s="4">
        <f ca="1">ROUND(T_Tiktok_ads[[#This Row],[conversions]]*RANDBETWEEN(8,12)/10,0)</f>
        <v>82</v>
      </c>
      <c r="AM15" s="4">
        <f ca="1">ROUND(T_Tiktok_ads[[#This Row],[video_views]]*RANDBETWEEN(8,12)/10,0)</f>
        <v>109481</v>
      </c>
      <c r="AN15" s="4">
        <f ca="1">ROUND(T_Tiktok_ads[[#This Row],[video_watch_25]]*RANDBETWEEN(8,12)/10,0)</f>
        <v>54587</v>
      </c>
      <c r="AO15" s="4">
        <f ca="1">ROUND(T_Tiktok_ads[[#This Row],[video_watch_50]]*RANDBETWEEN(8,12)/10,0)</f>
        <v>54947</v>
      </c>
      <c r="AP15" s="4">
        <f ca="1">ROUND(T_Tiktok_ads[[#This Row],[video_watch_75]]*RANDBETWEEN(8,12)/10,0)</f>
        <v>34567</v>
      </c>
      <c r="AQ15" s="4">
        <f ca="1">ROUND(T_Tiktok_ads[[#This Row],[video_watch_100]]*RANDBETWEEN(8,12)/10,0)</f>
        <v>23678</v>
      </c>
      <c r="AR15" s="4">
        <f ca="1">ROUND(T_Tiktok_ads[[#This Row],[likes]]*RANDBETWEEN(8,12)/10,0)</f>
        <v>4210</v>
      </c>
      <c r="AS15" s="4">
        <f ca="1">ROUND(T_Tiktok_ads[[#This Row],[shares]]*RANDBETWEEN(8,12)/10,0)</f>
        <v>1140</v>
      </c>
      <c r="AT15" s="4">
        <f ca="1">ROUND(T_Tiktok_ads[[#This Row],[comments]]*RANDBETWEEN(8,12)/10,0)</f>
        <v>237</v>
      </c>
      <c r="AV15" s="5">
        <f t="shared" ca="1" si="0"/>
        <v>44956</v>
      </c>
      <c r="AW15">
        <f t="shared" ca="1" si="4"/>
        <v>4</v>
      </c>
      <c r="AX15">
        <f ca="1">ROUND(T_Facebook_Ads11[[#This Row],[impressions]]*RANDBETWEEN(8,12)/10,0)</f>
        <v>11343</v>
      </c>
      <c r="AY15">
        <f ca="1">ROUND(T_Facebook_Ads11[[#This Row],[clicks]]*RANDBETWEEN(8,12)/10,0)</f>
        <v>510</v>
      </c>
      <c r="AZ15">
        <f ca="1">T_Facebook_Ads11[[#This Row],[spend]]*RANDBETWEEN(8,12)/10</f>
        <v>266.56299999999999</v>
      </c>
      <c r="BA15">
        <f ca="1">ROUND(T_Facebook_Ads11[[#This Row],[conversions]]*RANDBETWEEN(8,12)/10,0)</f>
        <v>40</v>
      </c>
      <c r="BB15">
        <f ca="1">ROUND(T_Facebook_Ads11[[#This Row],[video_views]]*RANDBETWEEN(8,12)/10,0)</f>
        <v>1332</v>
      </c>
    </row>
    <row r="16" spans="1:54" ht="15.75" thickBot="1" x14ac:dyDescent="0.3">
      <c r="A16" s="3">
        <f t="shared" ca="1" si="1"/>
        <v>44956</v>
      </c>
      <c r="B16" s="4" t="s">
        <v>64</v>
      </c>
      <c r="C16" s="4" t="s">
        <v>65</v>
      </c>
      <c r="D16" s="4" t="s">
        <v>66</v>
      </c>
      <c r="E16" s="4" t="s">
        <v>67</v>
      </c>
      <c r="F16" s="4">
        <f ca="1">ROUND(T_Facebook_Ads[[#This Row],[impressions]]*RANDBETWEEN(8,12)/10,0)</f>
        <v>64111</v>
      </c>
      <c r="G16" s="4">
        <v>256</v>
      </c>
      <c r="H16" s="4">
        <f ca="1">T_Facebook_Ads[[#This Row],[spend]]*RANDBETWEEN(8,12)/10</f>
        <v>104.28</v>
      </c>
      <c r="I16" s="4">
        <f ca="1">ROUND(T_Facebook_Ads[[#This Row],[conversions]]*RANDBETWEEN(8,12)/10,0)</f>
        <v>7</v>
      </c>
      <c r="J16" s="4">
        <f ca="1">ROUND(T_Facebook_Ads[[#This Row],[video_views]]*RANDBETWEEN(8,12)/10,0)</f>
        <v>39121</v>
      </c>
      <c r="K16" s="4">
        <f ca="1">T_Facebook_Ads[[#This Row],[engagement_rate]]*RANDBETWEEN(8,12)/10</f>
        <v>3.5999999999999999E-3</v>
      </c>
      <c r="L16" s="4">
        <f ca="1">ROUND(T_Facebook_Ads[[#This Row],[reach]]*RANDBETWEEN(8,12)/10,0)</f>
        <v>53311</v>
      </c>
      <c r="M16" s="4">
        <f ca="1">T_Facebook_Ads[[#This Row],[frequency]]*RANDBETWEEN(8,12)/10</f>
        <v>1.3199999999999998</v>
      </c>
      <c r="O16" s="3">
        <f t="shared" ca="1" si="2"/>
        <v>44939</v>
      </c>
      <c r="P16" s="4" t="s">
        <v>88</v>
      </c>
      <c r="Q16" s="4" t="s">
        <v>89</v>
      </c>
      <c r="R16" s="4" t="s">
        <v>90</v>
      </c>
      <c r="S16" s="4" t="s">
        <v>59</v>
      </c>
      <c r="T16" s="4">
        <f ca="1">ROUND(_Google_ads[[#This Row],[impressions]]*RANDBETWEEN(8,12)/10,0)</f>
        <v>141791</v>
      </c>
      <c r="U16" s="4">
        <f ca="1">ROUND(_Google_ads[[#This Row],[clicks]]*RANDBETWEEN(8,12)/10,0)</f>
        <v>374</v>
      </c>
      <c r="V16" s="4">
        <f ca="1">_Google_ads[[#This Row],[cost]]*RANDBETWEEN(8,12)/10</f>
        <v>128.9</v>
      </c>
      <c r="W16" s="4">
        <f ca="1">ROUND(_Google_ads[[#This Row],[conversions]]*RANDBETWEEN(8,12)/10,0)</f>
        <v>10</v>
      </c>
      <c r="X16" s="4">
        <f ca="1">ROUND(_Google_ads[[#This Row],[conversion_value]]*RANDBETWEEN(8,12)/10,0)</f>
        <v>520</v>
      </c>
      <c r="Y16" s="4">
        <f ca="1">_Google_ads[[#This Row],[ctr]]*RANDBETWEEN(8,12)/10</f>
        <v>3.96E-3</v>
      </c>
      <c r="Z16" s="4">
        <f ca="1">_Google_ads[[#This Row],[avg_cpc]]*RANDBETWEEN(8,12)/10</f>
        <v>0.28000000000000003</v>
      </c>
      <c r="AA16" s="4">
        <f ca="1">ROUND(_Google_ads[[#This Row],[quality_score]]*RANDBETWEEN(8,12)/10,0)</f>
        <v>8</v>
      </c>
      <c r="AB16" s="4">
        <f ca="1">_Google_ads[[#This Row],[search_impression_share]]*RANDBETWEEN(8,12)/10</f>
        <v>0.34</v>
      </c>
      <c r="AD16" s="3">
        <f t="shared" ca="1" si="3"/>
        <v>44953</v>
      </c>
      <c r="AE16" s="4" t="s">
        <v>112</v>
      </c>
      <c r="AF16" s="4" t="s">
        <v>113</v>
      </c>
      <c r="AG16" s="4" t="s">
        <v>114</v>
      </c>
      <c r="AH16" s="4" t="s">
        <v>115</v>
      </c>
      <c r="AI16" s="4">
        <f ca="1">ROUND(T_Tiktok_ads[[#This Row],[impressions]]*RANDBETWEEN(8,12)/10,0)</f>
        <v>392468</v>
      </c>
      <c r="AJ16" s="4">
        <f ca="1">ROUND(T_Tiktok_ads[[#This Row],[clicks]]*RANDBETWEEN(8,12)/10,0)</f>
        <v>5834</v>
      </c>
      <c r="AK16" s="4">
        <v>901.2</v>
      </c>
      <c r="AL16" s="4">
        <f ca="1">ROUND(T_Tiktok_ads[[#This Row],[conversions]]*RANDBETWEEN(8,12)/10,0)</f>
        <v>73</v>
      </c>
      <c r="AM16" s="4">
        <f ca="1">ROUND(T_Tiktok_ads[[#This Row],[video_views]]*RANDBETWEEN(8,12)/10,0)</f>
        <v>293456</v>
      </c>
      <c r="AN16" s="4">
        <f ca="1">ROUND(T_Tiktok_ads[[#This Row],[video_watch_25]]*RANDBETWEEN(8,12)/10,0)</f>
        <v>239234</v>
      </c>
      <c r="AO16" s="4">
        <f ca="1">ROUND(T_Tiktok_ads[[#This Row],[video_watch_50]]*RANDBETWEEN(8,12)/10,0)</f>
        <v>152987</v>
      </c>
      <c r="AP16" s="4">
        <f ca="1">ROUND(T_Tiktok_ads[[#This Row],[video_watch_75]]*RANDBETWEEN(8,12)/10,0)</f>
        <v>149857</v>
      </c>
      <c r="AQ16" s="4">
        <f ca="1">ROUND(T_Tiktok_ads[[#This Row],[video_watch_100]]*RANDBETWEEN(8,12)/10,0)</f>
        <v>81211</v>
      </c>
      <c r="AR16" s="4">
        <f ca="1">ROUND(T_Tiktok_ads[[#This Row],[likes]]*RANDBETWEEN(8,12)/10,0)</f>
        <v>14301</v>
      </c>
      <c r="AS16" s="4">
        <f ca="1">ROUND(T_Tiktok_ads[[#This Row],[shares]]*RANDBETWEEN(8,12)/10,0)</f>
        <v>4171</v>
      </c>
      <c r="AT16" s="4">
        <f ca="1">ROUND(T_Tiktok_ads[[#This Row],[comments]]*RANDBETWEEN(8,12)/10,0)</f>
        <v>1507</v>
      </c>
      <c r="AV16" s="5">
        <f t="shared" ca="1" si="0"/>
        <v>44951</v>
      </c>
      <c r="AW16">
        <f t="shared" ca="1" si="4"/>
        <v>1</v>
      </c>
      <c r="AX16">
        <f ca="1">ROUND(T_Facebook_Ads11[[#This Row],[impressions]]*RANDBETWEEN(8,12)/10,0)</f>
        <v>51289</v>
      </c>
      <c r="AY16">
        <f ca="1">ROUND(T_Facebook_Ads11[[#This Row],[clicks]]*RANDBETWEEN(8,12)/10,0)</f>
        <v>256</v>
      </c>
      <c r="AZ16">
        <f ca="1">T_Facebook_Ads11[[#This Row],[spend]]*RANDBETWEEN(8,12)/10</f>
        <v>104.28</v>
      </c>
      <c r="BA16">
        <f ca="1">ROUND(T_Facebook_Ads11[[#This Row],[conversions]]*RANDBETWEEN(8,12)/10,0)</f>
        <v>6</v>
      </c>
      <c r="BB16">
        <f ca="1">ROUND(T_Facebook_Ads11[[#This Row],[video_views]]*RANDBETWEEN(8,12)/10,0)</f>
        <v>39121</v>
      </c>
    </row>
    <row r="17" spans="1:54" ht="15.75" thickBot="1" x14ac:dyDescent="0.3">
      <c r="A17" s="3">
        <f t="shared" ca="1" si="1"/>
        <v>44947</v>
      </c>
      <c r="B17" s="4" t="s">
        <v>52</v>
      </c>
      <c r="C17" s="4" t="s">
        <v>53</v>
      </c>
      <c r="D17" s="4" t="s">
        <v>54</v>
      </c>
      <c r="E17" s="4" t="s">
        <v>55</v>
      </c>
      <c r="F17" s="4">
        <f ca="1">ROUND(T_Facebook_Ads[[#This Row],[impressions]]*RANDBETWEEN(8,12)/10,0)</f>
        <v>53480</v>
      </c>
      <c r="G17" s="4">
        <v>878</v>
      </c>
      <c r="H17" s="4">
        <f ca="1">T_Facebook_Ads[[#This Row],[spend]]*RANDBETWEEN(8,12)/10</f>
        <v>150.71999999999997</v>
      </c>
      <c r="I17" s="4">
        <f ca="1">ROUND(T_Facebook_Ads[[#This Row],[conversions]]*RANDBETWEEN(8,12)/10,0)</f>
        <v>9</v>
      </c>
      <c r="J17" s="4">
        <f ca="1">ROUND(T_Facebook_Ads[[#This Row],[video_views]]*RANDBETWEEN(8,12)/10,0)</f>
        <v>8123</v>
      </c>
      <c r="K17" s="4">
        <f ca="1">T_Facebook_Ads[[#This Row],[engagement_rate]]*RANDBETWEEN(8,12)/10</f>
        <v>1.7729999999999999E-2</v>
      </c>
      <c r="L17" s="4">
        <f ca="1">ROUND(T_Facebook_Ads[[#This Row],[reach]]*RANDBETWEEN(8,12)/10,0)</f>
        <v>33710</v>
      </c>
      <c r="M17" s="4">
        <f ca="1">T_Facebook_Ads[[#This Row],[frequency]]*RANDBETWEEN(8,12)/10</f>
        <v>1.4279999999999999</v>
      </c>
      <c r="O17" s="3">
        <f t="shared" ca="1" si="2"/>
        <v>44928</v>
      </c>
      <c r="P17" s="4" t="s">
        <v>76</v>
      </c>
      <c r="Q17" s="4" t="s">
        <v>77</v>
      </c>
      <c r="R17" s="4" t="s">
        <v>78</v>
      </c>
      <c r="S17" s="4" t="s">
        <v>79</v>
      </c>
      <c r="T17" s="4">
        <f ca="1">ROUND(_Google_ads[[#This Row],[impressions]]*RANDBETWEEN(8,12)/10,0)</f>
        <v>26657</v>
      </c>
      <c r="U17" s="4">
        <f ca="1">ROUND(_Google_ads[[#This Row],[clicks]]*RANDBETWEEN(8,12)/10,0)</f>
        <v>1520</v>
      </c>
      <c r="V17" s="4">
        <f ca="1">_Google_ads[[#This Row],[cost]]*RANDBETWEEN(8,12)/10</f>
        <v>192.95999999999998</v>
      </c>
      <c r="W17" s="4">
        <f ca="1">ROUND(_Google_ads[[#This Row],[conversions]]*RANDBETWEEN(8,12)/10,0)</f>
        <v>52</v>
      </c>
      <c r="X17" s="4">
        <f ca="1">ROUND(_Google_ads[[#This Row],[conversion_value]]*RANDBETWEEN(8,12)/10,0)</f>
        <v>2115</v>
      </c>
      <c r="Y17" s="4">
        <f ca="1">_Google_ads[[#This Row],[ctr]]*RANDBETWEEN(8,12)/10</f>
        <v>4.7070000000000001E-2</v>
      </c>
      <c r="Z17" s="4">
        <f ca="1">_Google_ads[[#This Row],[avg_cpc]]*RANDBETWEEN(8,12)/10</f>
        <v>0.20899999999999999</v>
      </c>
      <c r="AA17" s="4">
        <f ca="1">ROUND(_Google_ads[[#This Row],[quality_score]]*RANDBETWEEN(8,12)/10,0)</f>
        <v>9</v>
      </c>
      <c r="AB17" s="4">
        <f ca="1">_Google_ads[[#This Row],[search_impression_share]]*RANDBETWEEN(8,12)/10</f>
        <v>1.1040000000000001</v>
      </c>
      <c r="AD17" s="3">
        <f t="shared" ca="1" si="3"/>
        <v>44937</v>
      </c>
      <c r="AE17" s="4" t="s">
        <v>100</v>
      </c>
      <c r="AF17" s="4" t="s">
        <v>101</v>
      </c>
      <c r="AG17" s="4" t="s">
        <v>102</v>
      </c>
      <c r="AH17" s="4" t="s">
        <v>103</v>
      </c>
      <c r="AI17" s="4">
        <f ca="1">ROUND(T_Tiktok_ads[[#This Row],[impressions]]*RANDBETWEEN(8,12)/10,0)</f>
        <v>294679</v>
      </c>
      <c r="AJ17" s="4">
        <f ca="1">ROUND(T_Tiktok_ads[[#This Row],[clicks]]*RANDBETWEEN(8,12)/10,0)</f>
        <v>3551</v>
      </c>
      <c r="AK17" s="4">
        <v>523.4</v>
      </c>
      <c r="AL17" s="4">
        <f ca="1">ROUND(T_Tiktok_ads[[#This Row],[conversions]]*RANDBETWEEN(8,12)/10,0)</f>
        <v>48</v>
      </c>
      <c r="AM17" s="4">
        <f ca="1">ROUND(T_Tiktok_ads[[#This Row],[video_views]]*RANDBETWEEN(8,12)/10,0)</f>
        <v>243357</v>
      </c>
      <c r="AN17" s="4">
        <f ca="1">ROUND(T_Tiktok_ads[[#This Row],[video_watch_25]]*RANDBETWEEN(8,12)/10,0)</f>
        <v>156110</v>
      </c>
      <c r="AO17" s="4">
        <f ca="1">ROUND(T_Tiktok_ads[[#This Row],[video_watch_50]]*RANDBETWEEN(8,12)/10,0)</f>
        <v>109234</v>
      </c>
      <c r="AP17" s="4">
        <f ca="1">ROUND(T_Tiktok_ads[[#This Row],[video_watch_75]]*RANDBETWEEN(8,12)/10,0)</f>
        <v>73567</v>
      </c>
      <c r="AQ17" s="4">
        <f ca="1">ROUND(T_Tiktok_ads[[#This Row],[video_watch_100]]*RANDBETWEEN(8,12)/10,0)</f>
        <v>44311</v>
      </c>
      <c r="AR17" s="4">
        <f ca="1">ROUND(T_Tiktok_ads[[#This Row],[likes]]*RANDBETWEEN(8,12)/10,0)</f>
        <v>7831</v>
      </c>
      <c r="AS17" s="4">
        <f ca="1">ROUND(T_Tiktok_ads[[#This Row],[shares]]*RANDBETWEEN(8,12)/10,0)</f>
        <v>2897</v>
      </c>
      <c r="AT17" s="4">
        <f ca="1">ROUND(T_Tiktok_ads[[#This Row],[comments]]*RANDBETWEEN(8,12)/10,0)</f>
        <v>498</v>
      </c>
      <c r="AV17" s="5">
        <f t="shared" ca="1" si="0"/>
        <v>44948</v>
      </c>
      <c r="AW17">
        <f t="shared" ca="1" si="4"/>
        <v>1</v>
      </c>
      <c r="AX17">
        <f ca="1">ROUND(T_Facebook_Ads11[[#This Row],[impressions]]*RANDBETWEEN(8,12)/10,0)</f>
        <v>53480</v>
      </c>
      <c r="AY17">
        <f ca="1">ROUND(T_Facebook_Ads11[[#This Row],[clicks]]*RANDBETWEEN(8,12)/10,0)</f>
        <v>878</v>
      </c>
      <c r="AZ17">
        <f ca="1">T_Facebook_Ads11[[#This Row],[spend]]*RANDBETWEEN(8,12)/10</f>
        <v>165.79199999999997</v>
      </c>
      <c r="BA17">
        <f ca="1">ROUND(T_Facebook_Ads11[[#This Row],[conversions]]*RANDBETWEEN(8,12)/10,0)</f>
        <v>11</v>
      </c>
      <c r="BB17">
        <f ca="1">ROUND(T_Facebook_Ads11[[#This Row],[video_views]]*RANDBETWEEN(8,12)/10,0)</f>
        <v>9748</v>
      </c>
    </row>
    <row r="18" spans="1:54" ht="15.75" thickBot="1" x14ac:dyDescent="0.3">
      <c r="A18" s="3">
        <f t="shared" ca="1" si="1"/>
        <v>44948</v>
      </c>
      <c r="B18" s="4" t="s">
        <v>60</v>
      </c>
      <c r="C18" s="4" t="s">
        <v>61</v>
      </c>
      <c r="D18" s="4" t="s">
        <v>62</v>
      </c>
      <c r="E18" s="4" t="s">
        <v>63</v>
      </c>
      <c r="F18" s="4">
        <f ca="1">ROUND(T_Facebook_Ads[[#This Row],[impressions]]*RANDBETWEEN(8,12)/10,0)</f>
        <v>32110</v>
      </c>
      <c r="G18" s="4">
        <v>1289</v>
      </c>
      <c r="H18" s="4">
        <f ca="1">T_Facebook_Ads[[#This Row],[spend]]*RANDBETWEEN(8,12)/10</f>
        <v>156.47999999999999</v>
      </c>
      <c r="I18" s="4">
        <f ca="1">ROUND(T_Facebook_Ads[[#This Row],[conversions]]*RANDBETWEEN(8,12)/10,0)</f>
        <v>19</v>
      </c>
      <c r="J18" s="4">
        <f ca="1">ROUND(T_Facebook_Ads[[#This Row],[video_views]]*RANDBETWEEN(8,12)/10,0)</f>
        <v>5146</v>
      </c>
      <c r="K18" s="4">
        <f ca="1">T_Facebook_Ads[[#This Row],[engagement_rate]]*RANDBETWEEN(8,12)/10</f>
        <v>3.2490000000000005E-2</v>
      </c>
      <c r="L18" s="4">
        <f ca="1">ROUND(T_Facebook_Ads[[#This Row],[reach]]*RANDBETWEEN(8,12)/10,0)</f>
        <v>35214</v>
      </c>
      <c r="M18" s="4">
        <f ca="1">T_Facebook_Ads[[#This Row],[frequency]]*RANDBETWEEN(8,12)/10</f>
        <v>0.97599999999999998</v>
      </c>
      <c r="O18" s="3">
        <f t="shared" ca="1" si="2"/>
        <v>44954</v>
      </c>
      <c r="P18" s="4" t="s">
        <v>84</v>
      </c>
      <c r="Q18" s="4" t="s">
        <v>85</v>
      </c>
      <c r="R18" s="4" t="s">
        <v>86</v>
      </c>
      <c r="S18" s="4" t="s">
        <v>87</v>
      </c>
      <c r="T18" s="4">
        <f ca="1">ROUND(_Google_ads[[#This Row],[impressions]]*RANDBETWEEN(8,12)/10,0)</f>
        <v>72345</v>
      </c>
      <c r="U18" s="4">
        <f ca="1">ROUND(_Google_ads[[#This Row],[clicks]]*RANDBETWEEN(8,12)/10,0)</f>
        <v>2378</v>
      </c>
      <c r="V18" s="4">
        <f ca="1">_Google_ads[[#This Row],[cost]]*RANDBETWEEN(8,12)/10</f>
        <v>519.4799999999999</v>
      </c>
      <c r="W18" s="4">
        <f ca="1">ROUND(_Google_ads[[#This Row],[conversions]]*RANDBETWEEN(8,12)/10,0)</f>
        <v>55</v>
      </c>
      <c r="X18" s="4">
        <f ca="1">ROUND(_Google_ads[[#This Row],[conversion_value]]*RANDBETWEEN(8,12)/10,0)</f>
        <v>3450</v>
      </c>
      <c r="Y18" s="4">
        <f ca="1">_Google_ads[[#This Row],[ctr]]*RANDBETWEEN(8,12)/10</f>
        <v>3.2899999999999999E-2</v>
      </c>
      <c r="Z18" s="4">
        <f ca="1">_Google_ads[[#This Row],[avg_cpc]]*RANDBETWEEN(8,12)/10</f>
        <v>0.14399999999999999</v>
      </c>
      <c r="AA18" s="4">
        <f ca="1">ROUND(_Google_ads[[#This Row],[quality_score]]*RANDBETWEEN(8,12)/10,0)</f>
        <v>7</v>
      </c>
      <c r="AB18" s="4">
        <f ca="1">_Google_ads[[#This Row],[search_impression_share]]*RANDBETWEEN(8,12)/10</f>
        <v>0.60299999999999998</v>
      </c>
      <c r="AD18" s="3">
        <f t="shared" ca="1" si="3"/>
        <v>44938</v>
      </c>
      <c r="AE18" s="4" t="s">
        <v>108</v>
      </c>
      <c r="AF18" s="4" t="s">
        <v>109</v>
      </c>
      <c r="AG18" s="4" t="s">
        <v>110</v>
      </c>
      <c r="AH18" s="4" t="s">
        <v>111</v>
      </c>
      <c r="AI18" s="4">
        <f ca="1">ROUND(T_Tiktok_ads[[#This Row],[impressions]]*RANDBETWEEN(8,12)/10,0)</f>
        <v>246814</v>
      </c>
      <c r="AJ18" s="4">
        <f ca="1">ROUND(T_Tiktok_ads[[#This Row],[clicks]]*RANDBETWEEN(8,12)/10,0)</f>
        <v>3234</v>
      </c>
      <c r="AK18" s="4">
        <v>387.8</v>
      </c>
      <c r="AL18" s="4">
        <f ca="1">ROUND(T_Tiktok_ads[[#This Row],[conversions]]*RANDBETWEEN(8,12)/10,0)</f>
        <v>22</v>
      </c>
      <c r="AM18" s="4">
        <f ca="1">ROUND(T_Tiktok_ads[[#This Row],[video_views]]*RANDBETWEEN(8,12)/10,0)</f>
        <v>146111</v>
      </c>
      <c r="AN18" s="4">
        <f ca="1">ROUND(T_Tiktok_ads[[#This Row],[video_watch_25]]*RANDBETWEEN(8,12)/10,0)</f>
        <v>149480</v>
      </c>
      <c r="AO18" s="4">
        <f ca="1">ROUND(T_Tiktok_ads[[#This Row],[video_watch_50]]*RANDBETWEEN(8,12)/10,0)</f>
        <v>79121</v>
      </c>
      <c r="AP18" s="4">
        <f ca="1">ROUND(T_Tiktok_ads[[#This Row],[video_watch_75]]*RANDBETWEEN(8,12)/10,0)</f>
        <v>63234</v>
      </c>
      <c r="AQ18" s="4">
        <f ca="1">ROUND(T_Tiktok_ads[[#This Row],[video_watch_100]]*RANDBETWEEN(8,12)/10,0)</f>
        <v>45881</v>
      </c>
      <c r="AR18" s="4">
        <f ca="1">ROUND(T_Tiktok_ads[[#This Row],[likes]]*RANDBETWEEN(8,12)/10,0)</f>
        <v>7567</v>
      </c>
      <c r="AS18" s="4">
        <f ca="1">ROUND(T_Tiktok_ads[[#This Row],[shares]]*RANDBETWEEN(8,12)/10,0)</f>
        <v>2507</v>
      </c>
      <c r="AT18" s="4">
        <f ca="1">ROUND(T_Tiktok_ads[[#This Row],[comments]]*RANDBETWEEN(8,12)/10,0)</f>
        <v>601</v>
      </c>
      <c r="AV18" s="5">
        <f t="shared" ca="1" si="0"/>
        <v>44954</v>
      </c>
      <c r="AW18">
        <f t="shared" ca="1" si="4"/>
        <v>1</v>
      </c>
      <c r="AX18">
        <f ca="1">ROUND(T_Facebook_Ads11[[#This Row],[impressions]]*RANDBETWEEN(8,12)/10,0)</f>
        <v>28899</v>
      </c>
      <c r="AY18">
        <f ca="1">ROUND(T_Facebook_Ads11[[#This Row],[clicks]]*RANDBETWEEN(8,12)/10,0)</f>
        <v>1160</v>
      </c>
      <c r="AZ18">
        <f ca="1">T_Facebook_Ads11[[#This Row],[spend]]*RANDBETWEEN(8,12)/10</f>
        <v>156.47999999999999</v>
      </c>
      <c r="BA18">
        <f ca="1">ROUND(T_Facebook_Ads11[[#This Row],[conversions]]*RANDBETWEEN(8,12)/10,0)</f>
        <v>17</v>
      </c>
      <c r="BB18">
        <f ca="1">ROUND(T_Facebook_Ads11[[#This Row],[video_views]]*RANDBETWEEN(8,12)/10,0)</f>
        <v>5146</v>
      </c>
    </row>
    <row r="19" spans="1:54" ht="15.75" thickBot="1" x14ac:dyDescent="0.3">
      <c r="A19" s="3">
        <f t="shared" ca="1" si="1"/>
        <v>44946</v>
      </c>
      <c r="B19" s="4" t="s">
        <v>64</v>
      </c>
      <c r="C19" s="4" t="s">
        <v>65</v>
      </c>
      <c r="D19" s="4" t="s">
        <v>66</v>
      </c>
      <c r="E19" s="4" t="s">
        <v>67</v>
      </c>
      <c r="F19" s="4">
        <f ca="1">ROUND(T_Facebook_Ads[[#This Row],[impressions]]*RANDBETWEEN(8,12)/10,0)</f>
        <v>69456</v>
      </c>
      <c r="G19" s="4">
        <v>245</v>
      </c>
      <c r="H19" s="4">
        <f ca="1">T_Facebook_Ads[[#This Row],[spend]]*RANDBETWEEN(8,12)/10</f>
        <v>100.32000000000001</v>
      </c>
      <c r="I19" s="4">
        <f ca="1">ROUND(T_Facebook_Ads[[#This Row],[conversions]]*RANDBETWEEN(8,12)/10,0)</f>
        <v>4</v>
      </c>
      <c r="J19" s="4">
        <f ca="1">ROUND(T_Facebook_Ads[[#This Row],[video_views]]*RANDBETWEEN(8,12)/10,0)</f>
        <v>47234</v>
      </c>
      <c r="K19" s="4">
        <f ca="1">T_Facebook_Ads[[#This Row],[engagement_rate]]*RANDBETWEEN(8,12)/10</f>
        <v>4.2000000000000006E-3</v>
      </c>
      <c r="L19" s="4">
        <f ca="1">ROUND(T_Facebook_Ads[[#This Row],[reach]]*RANDBETWEEN(8,12)/10,0)</f>
        <v>46312</v>
      </c>
      <c r="M19" s="4">
        <f ca="1">T_Facebook_Ads[[#This Row],[frequency]]*RANDBETWEEN(8,12)/10</f>
        <v>1.3199999999999998</v>
      </c>
      <c r="O19" s="3">
        <f t="shared" ca="1" si="2"/>
        <v>44945</v>
      </c>
      <c r="P19" s="4" t="s">
        <v>88</v>
      </c>
      <c r="Q19" s="4" t="s">
        <v>89</v>
      </c>
      <c r="R19" s="4" t="s">
        <v>90</v>
      </c>
      <c r="S19" s="4" t="s">
        <v>59</v>
      </c>
      <c r="T19" s="4">
        <f ca="1">ROUND(_Google_ads[[#This Row],[impressions]]*RANDBETWEEN(8,12)/10,0)</f>
        <v>144357</v>
      </c>
      <c r="U19" s="4">
        <f ca="1">ROUND(_Google_ads[[#This Row],[clicks]]*RANDBETWEEN(8,12)/10,0)</f>
        <v>478</v>
      </c>
      <c r="V19" s="4">
        <f ca="1">_Google_ads[[#This Row],[cost]]*RANDBETWEEN(8,12)/10</f>
        <v>158.88000000000002</v>
      </c>
      <c r="W19" s="4">
        <f ca="1">ROUND(_Google_ads[[#This Row],[conversions]]*RANDBETWEEN(8,12)/10,0)</f>
        <v>10</v>
      </c>
      <c r="X19" s="4">
        <f ca="1">ROUND(_Google_ads[[#This Row],[conversion_value]]*RANDBETWEEN(8,12)/10,0)</f>
        <v>780</v>
      </c>
      <c r="Y19" s="4">
        <f ca="1">_Google_ads[[#This Row],[ctr]]*RANDBETWEEN(8,12)/10</f>
        <v>3.5999999999999999E-3</v>
      </c>
      <c r="Z19" s="4">
        <f ca="1">_Google_ads[[#This Row],[avg_cpc]]*RANDBETWEEN(8,12)/10</f>
        <v>0.22400000000000003</v>
      </c>
      <c r="AA19" s="4">
        <f ca="1">ROUND(_Google_ads[[#This Row],[quality_score]]*RANDBETWEEN(8,12)/10,0)</f>
        <v>8</v>
      </c>
      <c r="AB19" s="4">
        <f ca="1">_Google_ads[[#This Row],[search_impression_share]]*RANDBETWEEN(8,12)/10</f>
        <v>0.315</v>
      </c>
      <c r="AD19" s="3">
        <f t="shared" ca="1" si="3"/>
        <v>44943</v>
      </c>
      <c r="AE19" s="4" t="s">
        <v>112</v>
      </c>
      <c r="AF19" s="4" t="s">
        <v>113</v>
      </c>
      <c r="AG19" s="4" t="s">
        <v>114</v>
      </c>
      <c r="AH19" s="4" t="s">
        <v>115</v>
      </c>
      <c r="AI19" s="4">
        <f ca="1">ROUND(T_Tiktok_ads[[#This Row],[impressions]]*RANDBETWEEN(8,12)/10,0)</f>
        <v>416791</v>
      </c>
      <c r="AJ19" s="4">
        <f ca="1">ROUND(T_Tiktok_ads[[#This Row],[clicks]]*RANDBETWEEN(8,12)/10,0)</f>
        <v>4898</v>
      </c>
      <c r="AK19" s="4">
        <v>945.6</v>
      </c>
      <c r="AL19" s="4">
        <f ca="1">ROUND(T_Tiktok_ads[[#This Row],[conversions]]*RANDBETWEEN(8,12)/10,0)</f>
        <v>96</v>
      </c>
      <c r="AM19" s="4">
        <f ca="1">ROUND(T_Tiktok_ads[[#This Row],[video_views]]*RANDBETWEEN(8,12)/10,0)</f>
        <v>312345</v>
      </c>
      <c r="AN19" s="4">
        <f ca="1">ROUND(T_Tiktok_ads[[#This Row],[video_watch_25]]*RANDBETWEEN(8,12)/10,0)</f>
        <v>226111</v>
      </c>
      <c r="AO19" s="4">
        <f ca="1">ROUND(T_Tiktok_ads[[#This Row],[video_watch_50]]*RANDBETWEEN(8,12)/10,0)</f>
        <v>160987</v>
      </c>
      <c r="AP19" s="4">
        <f ca="1">ROUND(T_Tiktok_ads[[#This Row],[video_watch_75]]*RANDBETWEEN(8,12)/10,0)</f>
        <v>114765</v>
      </c>
      <c r="AQ19" s="4">
        <f ca="1">ROUND(T_Tiktok_ads[[#This Row],[video_watch_100]]*RANDBETWEEN(8,12)/10,0)</f>
        <v>114281</v>
      </c>
      <c r="AR19" s="4">
        <f ca="1">ROUND(T_Tiktok_ads[[#This Row],[likes]]*RANDBETWEEN(8,12)/10,0)</f>
        <v>13254</v>
      </c>
      <c r="AS19" s="4">
        <f ca="1">ROUND(T_Tiktok_ads[[#This Row],[shares]]*RANDBETWEEN(8,12)/10,0)</f>
        <v>4823</v>
      </c>
      <c r="AT19" s="4">
        <f ca="1">ROUND(T_Tiktok_ads[[#This Row],[comments]]*RANDBETWEEN(8,12)/10,0)</f>
        <v>1050</v>
      </c>
      <c r="AV19" s="5">
        <f t="shared" ca="1" si="0"/>
        <v>44955</v>
      </c>
      <c r="AW19">
        <f t="shared" ca="1" si="4"/>
        <v>8</v>
      </c>
      <c r="AX19">
        <f ca="1">ROUND(T_Facebook_Ads11[[#This Row],[impressions]]*RANDBETWEEN(8,12)/10,0)</f>
        <v>55565</v>
      </c>
      <c r="AY19">
        <f ca="1">ROUND(T_Facebook_Ads11[[#This Row],[clicks]]*RANDBETWEEN(8,12)/10,0)</f>
        <v>196</v>
      </c>
      <c r="AZ19">
        <f ca="1">T_Facebook_Ads11[[#This Row],[spend]]*RANDBETWEEN(8,12)/10</f>
        <v>120.38400000000001</v>
      </c>
      <c r="BA19">
        <f ca="1">ROUND(T_Facebook_Ads11[[#This Row],[conversions]]*RANDBETWEEN(8,12)/10,0)</f>
        <v>4</v>
      </c>
      <c r="BB19">
        <f ca="1">ROUND(T_Facebook_Ads11[[#This Row],[video_views]]*RANDBETWEEN(8,12)/10,0)</f>
        <v>56681</v>
      </c>
    </row>
    <row r="20" spans="1:54" ht="15.75" thickBot="1" x14ac:dyDescent="0.3">
      <c r="A20" s="3">
        <f t="shared" ca="1" si="1"/>
        <v>44954</v>
      </c>
      <c r="B20" s="4" t="s">
        <v>52</v>
      </c>
      <c r="C20" s="4" t="s">
        <v>53</v>
      </c>
      <c r="D20" s="4" t="s">
        <v>54</v>
      </c>
      <c r="E20" s="4" t="s">
        <v>55</v>
      </c>
      <c r="F20" s="4">
        <f ca="1">ROUND(T_Facebook_Ads[[#This Row],[impressions]]*RANDBETWEEN(8,12)/10,0)</f>
        <v>54864</v>
      </c>
      <c r="G20" s="4">
        <v>1067</v>
      </c>
      <c r="H20" s="4">
        <f ca="1">T_Facebook_Ads[[#This Row],[spend]]*RANDBETWEEN(8,12)/10</f>
        <v>116.72</v>
      </c>
      <c r="I20" s="4">
        <f ca="1">ROUND(T_Facebook_Ads[[#This Row],[conversions]]*RANDBETWEEN(8,12)/10,0)</f>
        <v>16</v>
      </c>
      <c r="J20" s="4">
        <f ca="1">ROUND(T_Facebook_Ads[[#This Row],[video_views]]*RANDBETWEEN(8,12)/10,0)</f>
        <v>9567</v>
      </c>
      <c r="K20" s="4">
        <f ca="1">T_Facebook_Ads[[#This Row],[engagement_rate]]*RANDBETWEEN(8,12)/10</f>
        <v>1.712E-2</v>
      </c>
      <c r="L20" s="4">
        <f ca="1">ROUND(T_Facebook_Ads[[#This Row],[reach]]*RANDBETWEEN(8,12)/10,0)</f>
        <v>37111</v>
      </c>
      <c r="M20" s="4">
        <f ca="1">T_Facebook_Ads[[#This Row],[frequency]]*RANDBETWEEN(8,12)/10</f>
        <v>0.96799999999999997</v>
      </c>
      <c r="O20" s="3">
        <f t="shared" ca="1" si="2"/>
        <v>44932</v>
      </c>
      <c r="P20" s="4" t="s">
        <v>76</v>
      </c>
      <c r="Q20" s="4" t="s">
        <v>77</v>
      </c>
      <c r="R20" s="4" t="s">
        <v>78</v>
      </c>
      <c r="S20" s="4" t="s">
        <v>79</v>
      </c>
      <c r="T20" s="4">
        <f ca="1">ROUND(_Google_ads[[#This Row],[impressions]]*RANDBETWEEN(8,12)/10,0)</f>
        <v>32147</v>
      </c>
      <c r="U20" s="4">
        <f ca="1">ROUND(_Google_ads[[#This Row],[clicks]]*RANDBETWEEN(8,12)/10,0)</f>
        <v>1456</v>
      </c>
      <c r="V20" s="4">
        <f ca="1">_Google_ads[[#This Row],[cost]]*RANDBETWEEN(8,12)/10</f>
        <v>306.78999999999996</v>
      </c>
      <c r="W20" s="4">
        <f ca="1">ROUND(_Google_ads[[#This Row],[conversions]]*RANDBETWEEN(8,12)/10,0)</f>
        <v>54</v>
      </c>
      <c r="X20" s="4">
        <f ca="1">ROUND(_Google_ads[[#This Row],[conversion_value]]*RANDBETWEEN(8,12)/10,0)</f>
        <v>2700</v>
      </c>
      <c r="Y20" s="4">
        <f ca="1">_Google_ads[[#This Row],[ctr]]*RANDBETWEEN(8,12)/10</f>
        <v>4.3519999999999996E-2</v>
      </c>
      <c r="Z20" s="4">
        <f ca="1">_Google_ads[[#This Row],[avg_cpc]]*RANDBETWEEN(8,12)/10</f>
        <v>0.20899999999999999</v>
      </c>
      <c r="AA20" s="4">
        <f ca="1">ROUND(_Google_ads[[#This Row],[quality_score]]*RANDBETWEEN(8,12)/10,0)</f>
        <v>7</v>
      </c>
      <c r="AB20" s="4">
        <f ca="1">_Google_ads[[#This Row],[search_impression_share]]*RANDBETWEEN(8,12)/10</f>
        <v>0.74399999999999999</v>
      </c>
      <c r="AD20" s="3">
        <f t="shared" ca="1" si="3"/>
        <v>44951</v>
      </c>
      <c r="AE20" s="4" t="s">
        <v>100</v>
      </c>
      <c r="AF20" s="4" t="s">
        <v>101</v>
      </c>
      <c r="AG20" s="4" t="s">
        <v>102</v>
      </c>
      <c r="AH20" s="4" t="s">
        <v>103</v>
      </c>
      <c r="AI20" s="4">
        <f ca="1">ROUND(T_Tiktok_ads[[#This Row],[impressions]]*RANDBETWEEN(8,12)/10,0)</f>
        <v>306791</v>
      </c>
      <c r="AJ20" s="4">
        <f ca="1">ROUND(T_Tiktok_ads[[#This Row],[clicks]]*RANDBETWEEN(8,12)/10,0)</f>
        <v>3298</v>
      </c>
      <c r="AK20" s="4">
        <v>545.6</v>
      </c>
      <c r="AL20" s="4">
        <f ca="1">ROUND(T_Tiktok_ads[[#This Row],[conversions]]*RANDBETWEEN(8,12)/10,0)</f>
        <v>50</v>
      </c>
      <c r="AM20" s="4">
        <f ca="1">ROUND(T_Tiktok_ads[[#This Row],[video_views]]*RANDBETWEEN(8,12)/10,0)</f>
        <v>275081</v>
      </c>
      <c r="AN20" s="4">
        <f ca="1">ROUND(T_Tiktok_ads[[#This Row],[video_watch_25]]*RANDBETWEEN(8,12)/10,0)</f>
        <v>143387</v>
      </c>
      <c r="AO20" s="4">
        <f ca="1">ROUND(T_Tiktok_ads[[#This Row],[video_watch_50]]*RANDBETWEEN(8,12)/10,0)</f>
        <v>123457</v>
      </c>
      <c r="AP20" s="4">
        <f ca="1">ROUND(T_Tiktok_ads[[#This Row],[video_watch_75]]*RANDBETWEEN(8,12)/10,0)</f>
        <v>75678</v>
      </c>
      <c r="AQ20" s="4">
        <f ca="1">ROUND(T_Tiktok_ads[[#This Row],[video_watch_100]]*RANDBETWEEN(8,12)/10,0)</f>
        <v>55257</v>
      </c>
      <c r="AR20" s="4">
        <f ca="1">ROUND(T_Tiktok_ads[[#This Row],[likes]]*RANDBETWEEN(8,12)/10,0)</f>
        <v>10123</v>
      </c>
      <c r="AS20" s="4">
        <f ca="1">ROUND(T_Tiktok_ads[[#This Row],[shares]]*RANDBETWEEN(8,12)/10,0)</f>
        <v>3254</v>
      </c>
      <c r="AT20" s="4">
        <f ca="1">ROUND(T_Tiktok_ads[[#This Row],[comments]]*RANDBETWEEN(8,12)/10,0)</f>
        <v>774</v>
      </c>
      <c r="AV20" s="5">
        <f t="shared" ca="1" si="0"/>
        <v>44955</v>
      </c>
      <c r="AW20">
        <f t="shared" ca="1" si="4"/>
        <v>6</v>
      </c>
      <c r="AX20">
        <f ca="1">ROUND(T_Facebook_Ads11[[#This Row],[impressions]]*RANDBETWEEN(8,12)/10,0)</f>
        <v>49378</v>
      </c>
      <c r="AY20">
        <f ca="1">ROUND(T_Facebook_Ads11[[#This Row],[clicks]]*RANDBETWEEN(8,12)/10,0)</f>
        <v>1280</v>
      </c>
      <c r="AZ20">
        <f ca="1">T_Facebook_Ads11[[#This Row],[spend]]*RANDBETWEEN(8,12)/10</f>
        <v>140.06399999999999</v>
      </c>
      <c r="BA20">
        <f ca="1">ROUND(T_Facebook_Ads11[[#This Row],[conversions]]*RANDBETWEEN(8,12)/10,0)</f>
        <v>13</v>
      </c>
      <c r="BB20">
        <f ca="1">ROUND(T_Facebook_Ads11[[#This Row],[video_views]]*RANDBETWEEN(8,12)/10,0)</f>
        <v>8610</v>
      </c>
    </row>
    <row r="21" spans="1:54" ht="15.75" thickBot="1" x14ac:dyDescent="0.3">
      <c r="A21" s="3">
        <f t="shared" ca="1" si="1"/>
        <v>44928</v>
      </c>
      <c r="B21" s="4" t="s">
        <v>56</v>
      </c>
      <c r="C21" s="4" t="s">
        <v>57</v>
      </c>
      <c r="D21" s="4" t="s">
        <v>58</v>
      </c>
      <c r="E21" s="4" t="s">
        <v>59</v>
      </c>
      <c r="F21" s="4">
        <f ca="1">ROUND(T_Facebook_Ads[[#This Row],[impressions]]*RANDBETWEEN(8,12)/10,0)</f>
        <v>16147</v>
      </c>
      <c r="G21" s="4">
        <v>623</v>
      </c>
      <c r="H21" s="4">
        <f ca="1">T_Facebook_Ads[[#This Row],[spend]]*RANDBETWEEN(8,12)/10</f>
        <v>285.36</v>
      </c>
      <c r="I21" s="4">
        <f ca="1">ROUND(T_Facebook_Ads[[#This Row],[conversions]]*RANDBETWEEN(8,12)/10,0)</f>
        <v>44</v>
      </c>
      <c r="J21" s="4">
        <f ca="1">ROUND(T_Facebook_Ads[[#This Row],[video_views]]*RANDBETWEEN(8,12)/10,0)</f>
        <v>1602</v>
      </c>
      <c r="K21" s="4">
        <f ca="1">T_Facebook_Ads[[#This Row],[engagement_rate]]*RANDBETWEEN(8,12)/10</f>
        <v>3.7040000000000003E-2</v>
      </c>
      <c r="L21" s="4">
        <f ca="1">ROUND(T_Facebook_Ads[[#This Row],[reach]]*RANDBETWEEN(8,12)/10,0)</f>
        <v>8454</v>
      </c>
      <c r="M21" s="4">
        <f ca="1">T_Facebook_Ads[[#This Row],[frequency]]*RANDBETWEEN(8,12)/10</f>
        <v>1.143</v>
      </c>
      <c r="O21" s="3">
        <f t="shared" ca="1" si="2"/>
        <v>44933</v>
      </c>
      <c r="P21" s="4" t="s">
        <v>80</v>
      </c>
      <c r="Q21" s="4" t="s">
        <v>81</v>
      </c>
      <c r="R21" s="4" t="s">
        <v>82</v>
      </c>
      <c r="S21" s="4" t="s">
        <v>83</v>
      </c>
      <c r="T21" s="4">
        <f ca="1">ROUND(_Google_ads[[#This Row],[impressions]]*RANDBETWEEN(8,12)/10,0)</f>
        <v>44567</v>
      </c>
      <c r="U21" s="4">
        <f ca="1">ROUND(_Google_ads[[#This Row],[clicks]]*RANDBETWEEN(8,12)/10,0)</f>
        <v>878</v>
      </c>
      <c r="V21" s="4">
        <f ca="1">_Google_ads[[#This Row],[cost]]*RANDBETWEEN(8,12)/10</f>
        <v>567.20000000000005</v>
      </c>
      <c r="W21" s="4">
        <f ca="1">ROUND(_Google_ads[[#This Row],[conversions]]*RANDBETWEEN(8,12)/10,0)</f>
        <v>22</v>
      </c>
      <c r="X21" s="4">
        <f ca="1">ROUND(_Google_ads[[#This Row],[conversion_value]]*RANDBETWEEN(8,12)/10,0)</f>
        <v>990</v>
      </c>
      <c r="Y21" s="4">
        <f ca="1">_Google_ads[[#This Row],[ctr]]*RANDBETWEEN(8,12)/10</f>
        <v>2.1669999999999998E-2</v>
      </c>
      <c r="Z21" s="4">
        <f ca="1">_Google_ads[[#This Row],[avg_cpc]]*RANDBETWEEN(8,12)/10</f>
        <v>0.71500000000000008</v>
      </c>
      <c r="AA21" s="4">
        <f ca="1">ROUND(_Google_ads[[#This Row],[quality_score]]*RANDBETWEEN(8,12)/10,0)</f>
        <v>5</v>
      </c>
      <c r="AB21" s="4">
        <f ca="1">_Google_ads[[#This Row],[search_impression_share]]*RANDBETWEEN(8,12)/10</f>
        <v>0.48399999999999999</v>
      </c>
      <c r="AD21" s="3">
        <f t="shared" ca="1" si="3"/>
        <v>44929</v>
      </c>
      <c r="AE21" s="4" t="s">
        <v>104</v>
      </c>
      <c r="AF21" s="4" t="s">
        <v>105</v>
      </c>
      <c r="AG21" s="4" t="s">
        <v>106</v>
      </c>
      <c r="AH21" s="4" t="s">
        <v>107</v>
      </c>
      <c r="AI21" s="4">
        <f ca="1">ROUND(T_Tiktok_ads[[#This Row],[impressions]]*RANDBETWEEN(8,12)/10,0)</f>
        <v>138901</v>
      </c>
      <c r="AJ21" s="4">
        <f ca="1">ROUND(T_Tiktok_ads[[#This Row],[clicks]]*RANDBETWEEN(8,12)/10,0)</f>
        <v>2946</v>
      </c>
      <c r="AK21" s="4">
        <v>734.5</v>
      </c>
      <c r="AL21" s="4">
        <f ca="1">ROUND(T_Tiktok_ads[[#This Row],[conversions]]*RANDBETWEEN(8,12)/10,0)</f>
        <v>88</v>
      </c>
      <c r="AM21" s="4">
        <f ca="1">ROUND(T_Tiktok_ads[[#This Row],[video_views]]*RANDBETWEEN(8,12)/10,0)</f>
        <v>107679</v>
      </c>
      <c r="AN21" s="4">
        <f ca="1">ROUND(T_Tiktok_ads[[#This Row],[video_watch_25]]*RANDBETWEEN(8,12)/10,0)</f>
        <v>72345</v>
      </c>
      <c r="AO21" s="4">
        <f ca="1">ROUND(T_Tiktok_ads[[#This Row],[video_watch_50]]*RANDBETWEEN(8,12)/10,0)</f>
        <v>44011</v>
      </c>
      <c r="AP21" s="4">
        <f ca="1">ROUND(T_Tiktok_ads[[#This Row],[video_watch_75]]*RANDBETWEEN(8,12)/10,0)</f>
        <v>33110</v>
      </c>
      <c r="AQ21" s="4">
        <f ca="1">ROUND(T_Tiktok_ads[[#This Row],[video_watch_100]]*RANDBETWEEN(8,12)/10,0)</f>
        <v>27379</v>
      </c>
      <c r="AR21" s="4">
        <f ca="1">ROUND(T_Tiktok_ads[[#This Row],[likes]]*RANDBETWEEN(8,12)/10,0)</f>
        <v>4901</v>
      </c>
      <c r="AS21" s="4">
        <f ca="1">ROUND(T_Tiktok_ads[[#This Row],[shares]]*RANDBETWEEN(8,12)/10,0)</f>
        <v>1085</v>
      </c>
      <c r="AT21" s="4">
        <f ca="1">ROUND(T_Tiktok_ads[[#This Row],[comments]]*RANDBETWEEN(8,12)/10,0)</f>
        <v>256</v>
      </c>
      <c r="AV21" s="5">
        <f t="shared" ca="1" si="0"/>
        <v>44942</v>
      </c>
      <c r="AW21">
        <f t="shared" ca="1" si="4"/>
        <v>2</v>
      </c>
      <c r="AX21">
        <f ca="1">ROUND(T_Facebook_Ads11[[#This Row],[impressions]]*RANDBETWEEN(8,12)/10,0)</f>
        <v>16147</v>
      </c>
      <c r="AY21">
        <f ca="1">ROUND(T_Facebook_Ads11[[#This Row],[clicks]]*RANDBETWEEN(8,12)/10,0)</f>
        <v>498</v>
      </c>
      <c r="AZ21">
        <f ca="1">T_Facebook_Ads11[[#This Row],[spend]]*RANDBETWEEN(8,12)/10</f>
        <v>228.28800000000001</v>
      </c>
      <c r="BA21">
        <f ca="1">ROUND(T_Facebook_Ads11[[#This Row],[conversions]]*RANDBETWEEN(8,12)/10,0)</f>
        <v>53</v>
      </c>
      <c r="BB21">
        <f ca="1">ROUND(T_Facebook_Ads11[[#This Row],[video_views]]*RANDBETWEEN(8,12)/10,0)</f>
        <v>1762</v>
      </c>
    </row>
    <row r="22" spans="1:54" ht="15.75" thickBot="1" x14ac:dyDescent="0.3">
      <c r="A22" s="3">
        <f t="shared" ca="1" si="1"/>
        <v>44930</v>
      </c>
      <c r="B22" s="4" t="s">
        <v>60</v>
      </c>
      <c r="C22" s="4" t="s">
        <v>61</v>
      </c>
      <c r="D22" s="4" t="s">
        <v>62</v>
      </c>
      <c r="E22" s="4" t="s">
        <v>63</v>
      </c>
      <c r="F22" s="4">
        <f ca="1">ROUND(T_Facebook_Ads[[#This Row],[impressions]]*RANDBETWEEN(8,12)/10,0)</f>
        <v>44681</v>
      </c>
      <c r="G22" s="4">
        <v>1367</v>
      </c>
      <c r="H22" s="4">
        <f ca="1">T_Facebook_Ads[[#This Row],[spend]]*RANDBETWEEN(8,12)/10</f>
        <v>207.9</v>
      </c>
      <c r="I22" s="4">
        <f ca="1">ROUND(T_Facebook_Ads[[#This Row],[conversions]]*RANDBETWEEN(8,12)/10,0)</f>
        <v>32</v>
      </c>
      <c r="J22" s="4">
        <f ca="1">ROUND(T_Facebook_Ads[[#This Row],[video_views]]*RANDBETWEEN(8,12)/10,0)</f>
        <v>4511</v>
      </c>
      <c r="K22" s="4">
        <f ca="1">T_Facebook_Ads[[#This Row],[engagement_rate]]*RANDBETWEEN(8,12)/10</f>
        <v>2.9360000000000004E-2</v>
      </c>
      <c r="L22" s="4">
        <f ca="1">ROUND(T_Facebook_Ads[[#This Row],[reach]]*RANDBETWEEN(8,12)/10,0)</f>
        <v>24542</v>
      </c>
      <c r="M22" s="4">
        <f ca="1">T_Facebook_Ads[[#This Row],[frequency]]*RANDBETWEEN(8,12)/10</f>
        <v>0.96799999999999997</v>
      </c>
      <c r="O22" s="3">
        <f t="shared" ca="1" si="2"/>
        <v>44934</v>
      </c>
      <c r="P22" s="4" t="s">
        <v>84</v>
      </c>
      <c r="Q22" s="4" t="s">
        <v>85</v>
      </c>
      <c r="R22" s="4" t="s">
        <v>86</v>
      </c>
      <c r="S22" s="4" t="s">
        <v>87</v>
      </c>
      <c r="T22" s="4">
        <f ca="1">ROUND(_Google_ads[[#This Row],[impressions]]*RANDBETWEEN(8,12)/10,0)</f>
        <v>84281</v>
      </c>
      <c r="U22" s="4">
        <f ca="1">ROUND(_Google_ads[[#This Row],[clicks]]*RANDBETWEEN(8,12)/10,0)</f>
        <v>2060</v>
      </c>
      <c r="V22" s="4">
        <f ca="1">_Google_ads[[#This Row],[cost]]*RANDBETWEEN(8,12)/10</f>
        <v>419.5</v>
      </c>
      <c r="W22" s="4">
        <f ca="1">ROUND(_Google_ads[[#This Row],[conversions]]*RANDBETWEEN(8,12)/10,0)</f>
        <v>66</v>
      </c>
      <c r="X22" s="4">
        <f ca="1">ROUND(_Google_ads[[#This Row],[conversion_value]]*RANDBETWEEN(8,12)/10,0)</f>
        <v>3960</v>
      </c>
      <c r="Y22" s="4">
        <f ca="1">_Google_ads[[#This Row],[ctr]]*RANDBETWEEN(8,12)/10</f>
        <v>3.9120000000000002E-2</v>
      </c>
      <c r="Z22" s="4">
        <f ca="1">_Google_ads[[#This Row],[avg_cpc]]*RANDBETWEEN(8,12)/10</f>
        <v>0.18</v>
      </c>
      <c r="AA22" s="4">
        <f ca="1">ROUND(_Google_ads[[#This Row],[quality_score]]*RANDBETWEEN(8,12)/10,0)</f>
        <v>9</v>
      </c>
      <c r="AB22" s="4">
        <f ca="1">_Google_ads[[#This Row],[search_impression_share]]*RANDBETWEEN(8,12)/10</f>
        <v>0.72600000000000009</v>
      </c>
      <c r="AD22" s="3">
        <f t="shared" ca="1" si="3"/>
        <v>44951</v>
      </c>
      <c r="AE22" s="4" t="s">
        <v>108</v>
      </c>
      <c r="AF22" s="4" t="s">
        <v>109</v>
      </c>
      <c r="AG22" s="4" t="s">
        <v>110</v>
      </c>
      <c r="AH22" s="4" t="s">
        <v>111</v>
      </c>
      <c r="AI22" s="4">
        <f ca="1">ROUND(T_Tiktok_ads[[#This Row],[impressions]]*RANDBETWEEN(8,12)/10,0)</f>
        <v>254814</v>
      </c>
      <c r="AJ22" s="4">
        <f ca="1">ROUND(T_Tiktok_ads[[#This Row],[clicks]]*RANDBETWEEN(8,12)/10,0)</f>
        <v>2676</v>
      </c>
      <c r="AK22" s="4">
        <v>401.1</v>
      </c>
      <c r="AL22" s="4">
        <f ca="1">ROUND(T_Tiktok_ads[[#This Row],[conversions]]*RANDBETWEEN(8,12)/10,0)</f>
        <v>31</v>
      </c>
      <c r="AM22" s="4">
        <f ca="1">ROUND(T_Tiktok_ads[[#This Row],[video_views]]*RANDBETWEEN(8,12)/10,0)</f>
        <v>167890</v>
      </c>
      <c r="AN22" s="4">
        <f ca="1">ROUND(T_Tiktok_ads[[#This Row],[video_watch_25]]*RANDBETWEEN(8,12)/10,0)</f>
        <v>102587</v>
      </c>
      <c r="AO22" s="4">
        <f ca="1">ROUND(T_Tiktok_ads[[#This Row],[video_watch_50]]*RANDBETWEEN(8,12)/10,0)</f>
        <v>121481</v>
      </c>
      <c r="AP22" s="4">
        <f ca="1">ROUND(T_Tiktok_ads[[#This Row],[video_watch_75]]*RANDBETWEEN(8,12)/10,0)</f>
        <v>78281</v>
      </c>
      <c r="AQ22" s="4">
        <f ca="1">ROUND(T_Tiktok_ads[[#This Row],[video_watch_100]]*RANDBETWEEN(8,12)/10,0)</f>
        <v>39456</v>
      </c>
      <c r="AR22" s="4">
        <f ca="1">ROUND(T_Tiktok_ads[[#This Row],[likes]]*RANDBETWEEN(8,12)/10,0)</f>
        <v>7010</v>
      </c>
      <c r="AS22" s="4">
        <f ca="1">ROUND(T_Tiktok_ads[[#This Row],[shares]]*RANDBETWEEN(8,12)/10,0)</f>
        <v>1716</v>
      </c>
      <c r="AT22" s="4">
        <f ca="1">ROUND(T_Tiktok_ads[[#This Row],[comments]]*RANDBETWEEN(8,12)/10,0)</f>
        <v>410</v>
      </c>
      <c r="AV22" s="5">
        <f t="shared" ca="1" si="0"/>
        <v>44932</v>
      </c>
      <c r="AW22">
        <f t="shared" ca="1" si="4"/>
        <v>2</v>
      </c>
      <c r="AX22">
        <f ca="1">ROUND(T_Facebook_Ads11[[#This Row],[impressions]]*RANDBETWEEN(8,12)/10,0)</f>
        <v>44681</v>
      </c>
      <c r="AY22">
        <f ca="1">ROUND(T_Facebook_Ads11[[#This Row],[clicks]]*RANDBETWEEN(8,12)/10,0)</f>
        <v>1504</v>
      </c>
      <c r="AZ22">
        <f ca="1">T_Facebook_Ads11[[#This Row],[spend]]*RANDBETWEEN(8,12)/10</f>
        <v>187.11</v>
      </c>
      <c r="BA22">
        <f ca="1">ROUND(T_Facebook_Ads11[[#This Row],[conversions]]*RANDBETWEEN(8,12)/10,0)</f>
        <v>26</v>
      </c>
      <c r="BB22">
        <f ca="1">ROUND(T_Facebook_Ads11[[#This Row],[video_views]]*RANDBETWEEN(8,12)/10,0)</f>
        <v>4511</v>
      </c>
    </row>
    <row r="23" spans="1:54" ht="15.75" thickBot="1" x14ac:dyDescent="0.3">
      <c r="A23" s="3">
        <f t="shared" ca="1" si="1"/>
        <v>44929</v>
      </c>
      <c r="B23" s="4" t="s">
        <v>52</v>
      </c>
      <c r="C23" s="4" t="s">
        <v>53</v>
      </c>
      <c r="D23" s="4" t="s">
        <v>54</v>
      </c>
      <c r="E23" s="4" t="s">
        <v>55</v>
      </c>
      <c r="F23" s="4">
        <f ca="1">ROUND(T_Facebook_Ads[[#This Row],[impressions]]*RANDBETWEEN(8,12)/10,0)</f>
        <v>42511</v>
      </c>
      <c r="G23" s="4">
        <v>945</v>
      </c>
      <c r="H23" s="4">
        <f ca="1">T_Facebook_Ads[[#This Row],[spend]]*RANDBETWEEN(8,12)/10</f>
        <v>148.94</v>
      </c>
      <c r="I23" s="4">
        <f ca="1">ROUND(T_Facebook_Ads[[#This Row],[conversions]]*RANDBETWEEN(8,12)/10,0)</f>
        <v>11</v>
      </c>
      <c r="J23" s="4">
        <f ca="1">ROUND(T_Facebook_Ads[[#This Row],[video_views]]*RANDBETWEEN(8,12)/10,0)</f>
        <v>10547</v>
      </c>
      <c r="K23" s="4">
        <f ca="1">T_Facebook_Ads[[#This Row],[engagement_rate]]*RANDBETWEEN(8,12)/10</f>
        <v>1.7999999999999999E-2</v>
      </c>
      <c r="L23" s="4">
        <f ca="1">ROUND(T_Facebook_Ads[[#This Row],[reach]]*RANDBETWEEN(8,12)/10,0)</f>
        <v>39567</v>
      </c>
      <c r="M23" s="4">
        <f ca="1">T_Facebook_Ads[[#This Row],[frequency]]*RANDBETWEEN(8,12)/10</f>
        <v>0.95199999999999996</v>
      </c>
      <c r="O23" s="3">
        <f t="shared" ca="1" si="2"/>
        <v>44956</v>
      </c>
      <c r="P23" s="4" t="s">
        <v>76</v>
      </c>
      <c r="Q23" s="4" t="s">
        <v>77</v>
      </c>
      <c r="R23" s="4" t="s">
        <v>78</v>
      </c>
      <c r="S23" s="4" t="s">
        <v>79</v>
      </c>
      <c r="T23" s="4">
        <f ca="1">ROUND(_Google_ads[[#This Row],[impressions]]*RANDBETWEEN(8,12)/10,0)</f>
        <v>20310</v>
      </c>
      <c r="U23" s="4">
        <f ca="1">ROUND(_Google_ads[[#This Row],[clicks]]*RANDBETWEEN(8,12)/10,0)</f>
        <v>1134</v>
      </c>
      <c r="V23" s="4">
        <f ca="1">_Google_ads[[#This Row],[cost]]*RANDBETWEEN(8,12)/10</f>
        <v>195.12</v>
      </c>
      <c r="W23" s="4">
        <f ca="1">ROUND(_Google_ads[[#This Row],[conversions]]*RANDBETWEEN(8,12)/10,0)</f>
        <v>47</v>
      </c>
      <c r="X23" s="4">
        <f ca="1">ROUND(_Google_ads[[#This Row],[conversion_value]]*RANDBETWEEN(8,12)/10,0)</f>
        <v>1720</v>
      </c>
      <c r="Y23" s="4">
        <f ca="1">_Google_ads[[#This Row],[ctr]]*RANDBETWEEN(8,12)/10</f>
        <v>6.035999999999999E-2</v>
      </c>
      <c r="Z23" s="4">
        <f ca="1">_Google_ads[[#This Row],[avg_cpc]]*RANDBETWEEN(8,12)/10</f>
        <v>0.19</v>
      </c>
      <c r="AA23" s="4">
        <f ca="1">ROUND(_Google_ads[[#This Row],[quality_score]]*RANDBETWEEN(8,12)/10,0)</f>
        <v>11</v>
      </c>
      <c r="AB23" s="4">
        <f ca="1">_Google_ads[[#This Row],[search_impression_share]]*RANDBETWEEN(8,12)/10</f>
        <v>0.90999999999999992</v>
      </c>
      <c r="AD23" s="3">
        <f t="shared" ca="1" si="3"/>
        <v>44927</v>
      </c>
      <c r="AE23" s="4" t="s">
        <v>100</v>
      </c>
      <c r="AF23" s="4" t="s">
        <v>101</v>
      </c>
      <c r="AG23" s="4" t="s">
        <v>102</v>
      </c>
      <c r="AH23" s="4" t="s">
        <v>103</v>
      </c>
      <c r="AI23" s="4">
        <f ca="1">ROUND(T_Tiktok_ads[[#This Row],[impressions]]*RANDBETWEEN(8,12)/10,0)</f>
        <v>220711</v>
      </c>
      <c r="AJ23" s="4">
        <f ca="1">ROUND(T_Tiktok_ads[[#This Row],[clicks]]*RANDBETWEEN(8,12)/10,0)</f>
        <v>3220</v>
      </c>
      <c r="AK23" s="4">
        <v>474.3</v>
      </c>
      <c r="AL23" s="4">
        <f ca="1">ROUND(T_Tiktok_ads[[#This Row],[conversions]]*RANDBETWEEN(8,12)/10,0)</f>
        <v>44</v>
      </c>
      <c r="AM23" s="4">
        <f ca="1">ROUND(T_Tiktok_ads[[#This Row],[video_views]]*RANDBETWEEN(8,12)/10,0)</f>
        <v>203456</v>
      </c>
      <c r="AN23" s="4">
        <f ca="1">ROUND(T_Tiktok_ads[[#This Row],[video_watch_25]]*RANDBETWEEN(8,12)/10,0)</f>
        <v>190681</v>
      </c>
      <c r="AO23" s="4">
        <f ca="1">ROUND(T_Tiktok_ads[[#This Row],[video_watch_50]]*RANDBETWEEN(8,12)/10,0)</f>
        <v>89610</v>
      </c>
      <c r="AP23" s="4">
        <f ca="1">ROUND(T_Tiktok_ads[[#This Row],[video_watch_75]]*RANDBETWEEN(8,12)/10,0)</f>
        <v>54587</v>
      </c>
      <c r="AQ23" s="4">
        <f ca="1">ROUND(T_Tiktok_ads[[#This Row],[video_watch_100]]*RANDBETWEEN(8,12)/10,0)</f>
        <v>45789</v>
      </c>
      <c r="AR23" s="4">
        <f ca="1">ROUND(T_Tiktok_ads[[#This Row],[likes]]*RANDBETWEEN(8,12)/10,0)</f>
        <v>10774</v>
      </c>
      <c r="AS23" s="4">
        <f ca="1">ROUND(T_Tiktok_ads[[#This Row],[shares]]*RANDBETWEEN(8,12)/10,0)</f>
        <v>2389</v>
      </c>
      <c r="AT23" s="4">
        <f ca="1">ROUND(T_Tiktok_ads[[#This Row],[comments]]*RANDBETWEEN(8,12)/10,0)</f>
        <v>472</v>
      </c>
      <c r="AV23" s="5">
        <f t="shared" ca="1" si="0"/>
        <v>44930</v>
      </c>
      <c r="AW23">
        <f t="shared" ca="1" si="4"/>
        <v>5</v>
      </c>
      <c r="AX23">
        <f ca="1">ROUND(T_Facebook_Ads11[[#This Row],[impressions]]*RANDBETWEEN(8,12)/10,0)</f>
        <v>34009</v>
      </c>
      <c r="AY23">
        <f ca="1">ROUND(T_Facebook_Ads11[[#This Row],[clicks]]*RANDBETWEEN(8,12)/10,0)</f>
        <v>851</v>
      </c>
      <c r="AZ23">
        <f ca="1">T_Facebook_Ads11[[#This Row],[spend]]*RANDBETWEEN(8,12)/10</f>
        <v>119.152</v>
      </c>
      <c r="BA23">
        <f ca="1">ROUND(T_Facebook_Ads11[[#This Row],[conversions]]*RANDBETWEEN(8,12)/10,0)</f>
        <v>9</v>
      </c>
      <c r="BB23">
        <f ca="1">ROUND(T_Facebook_Ads11[[#This Row],[video_views]]*RANDBETWEEN(8,12)/10,0)</f>
        <v>12656</v>
      </c>
    </row>
    <row r="24" spans="1:54" ht="15.75" thickBot="1" x14ac:dyDescent="0.3">
      <c r="A24" s="3">
        <f t="shared" ca="1" si="1"/>
        <v>44928</v>
      </c>
      <c r="B24" s="4" t="s">
        <v>56</v>
      </c>
      <c r="C24" s="4" t="s">
        <v>57</v>
      </c>
      <c r="D24" s="4" t="s">
        <v>58</v>
      </c>
      <c r="E24" s="4" t="s">
        <v>59</v>
      </c>
      <c r="F24" s="4">
        <f ca="1">ROUND(T_Facebook_Ads[[#This Row],[impressions]]*RANDBETWEEN(8,12)/10,0)</f>
        <v>14548</v>
      </c>
      <c r="G24" s="4">
        <v>534</v>
      </c>
      <c r="H24" s="4">
        <f ca="1">T_Facebook_Ads[[#This Row],[spend]]*RANDBETWEEN(8,12)/10</f>
        <v>212.4</v>
      </c>
      <c r="I24" s="4">
        <f ca="1">ROUND(T_Facebook_Ads[[#This Row],[conversions]]*RANDBETWEEN(8,12)/10,0)</f>
        <v>28</v>
      </c>
      <c r="J24" s="4">
        <f ca="1">ROUND(T_Facebook_Ads[[#This Row],[video_views]]*RANDBETWEEN(8,12)/10,0)</f>
        <v>1357</v>
      </c>
      <c r="K24" s="4">
        <f ca="1">T_Facebook_Ads[[#This Row],[engagement_rate]]*RANDBETWEEN(8,12)/10</f>
        <v>3.9690000000000003E-2</v>
      </c>
      <c r="L24" s="4">
        <f ca="1">ROUND(T_Facebook_Ads[[#This Row],[reach]]*RANDBETWEEN(8,12)/10,0)</f>
        <v>10524</v>
      </c>
      <c r="M24" s="4">
        <f ca="1">T_Facebook_Ads[[#This Row],[frequency]]*RANDBETWEEN(8,12)/10</f>
        <v>1.143</v>
      </c>
      <c r="O24" s="3">
        <f t="shared" ca="1" si="2"/>
        <v>44940</v>
      </c>
      <c r="P24" s="4" t="s">
        <v>80</v>
      </c>
      <c r="Q24" s="4" t="s">
        <v>81</v>
      </c>
      <c r="R24" s="4" t="s">
        <v>82</v>
      </c>
      <c r="S24" s="4" t="s">
        <v>83</v>
      </c>
      <c r="T24" s="4">
        <f ca="1">ROUND(_Google_ads[[#This Row],[impressions]]*RANDBETWEEN(8,12)/10,0)</f>
        <v>48234</v>
      </c>
      <c r="U24" s="4">
        <f ca="1">ROUND(_Google_ads[[#This Row],[clicks]]*RANDBETWEEN(8,12)/10,0)</f>
        <v>1187</v>
      </c>
      <c r="V24" s="4">
        <f ca="1">_Google_ads[[#This Row],[cost]]*RANDBETWEEN(8,12)/10</f>
        <v>507.76000000000005</v>
      </c>
      <c r="W24" s="4">
        <f ca="1">ROUND(_Google_ads[[#This Row],[conversions]]*RANDBETWEEN(8,12)/10,0)</f>
        <v>31</v>
      </c>
      <c r="X24" s="4">
        <f ca="1">ROUND(_Google_ads[[#This Row],[conversion_value]]*RANDBETWEEN(8,12)/10,0)</f>
        <v>1560</v>
      </c>
      <c r="Y24" s="4">
        <f ca="1">_Google_ads[[#This Row],[ctr]]*RANDBETWEEN(8,12)/10</f>
        <v>2.0500000000000001E-2</v>
      </c>
      <c r="Z24" s="4">
        <f ca="1">_Google_ads[[#This Row],[avg_cpc]]*RANDBETWEEN(8,12)/10</f>
        <v>0.70399999999999996</v>
      </c>
      <c r="AA24" s="4">
        <f ca="1">ROUND(_Google_ads[[#This Row],[quality_score]]*RANDBETWEEN(8,12)/10,0)</f>
        <v>6</v>
      </c>
      <c r="AB24" s="4">
        <f ca="1">_Google_ads[[#This Row],[search_impression_share]]*RANDBETWEEN(8,12)/10</f>
        <v>0.55200000000000005</v>
      </c>
      <c r="AD24" s="3">
        <f t="shared" ca="1" si="3"/>
        <v>44939</v>
      </c>
      <c r="AE24" s="4" t="s">
        <v>104</v>
      </c>
      <c r="AF24" s="4" t="s">
        <v>105</v>
      </c>
      <c r="AG24" s="4" t="s">
        <v>106</v>
      </c>
      <c r="AH24" s="4" t="s">
        <v>107</v>
      </c>
      <c r="AI24" s="4">
        <f ca="1">ROUND(T_Tiktok_ads[[#This Row],[impressions]]*RANDBETWEEN(8,12)/10,0)</f>
        <v>95387</v>
      </c>
      <c r="AJ24" s="4">
        <f ca="1">ROUND(T_Tiktok_ads[[#This Row],[clicks]]*RANDBETWEEN(8,12)/10,0)</f>
        <v>1787</v>
      </c>
      <c r="AK24" s="4">
        <v>645.6</v>
      </c>
      <c r="AL24" s="4">
        <f ca="1">ROUND(T_Tiktok_ads[[#This Row],[conversions]]*RANDBETWEEN(8,12)/10,0)</f>
        <v>64</v>
      </c>
      <c r="AM24" s="4">
        <f ca="1">ROUND(T_Tiktok_ads[[#This Row],[video_views]]*RANDBETWEEN(8,12)/10,0)</f>
        <v>102814</v>
      </c>
      <c r="AN24" s="4">
        <f ca="1">ROUND(T_Tiktok_ads[[#This Row],[video_watch_25]]*RANDBETWEEN(8,12)/10,0)</f>
        <v>76147</v>
      </c>
      <c r="AO24" s="4">
        <f ca="1">ROUND(T_Tiktok_ads[[#This Row],[video_watch_50]]*RANDBETWEEN(8,12)/10,0)</f>
        <v>46580</v>
      </c>
      <c r="AP24" s="4">
        <f ca="1">ROUND(T_Tiktok_ads[[#This Row],[video_watch_75]]*RANDBETWEEN(8,12)/10,0)</f>
        <v>32234</v>
      </c>
      <c r="AQ24" s="4">
        <f ca="1">ROUND(T_Tiktok_ads[[#This Row],[video_watch_100]]*RANDBETWEEN(8,12)/10,0)</f>
        <v>17787</v>
      </c>
      <c r="AR24" s="4">
        <f ca="1">ROUND(T_Tiktok_ads[[#This Row],[likes]]*RANDBETWEEN(8,12)/10,0)</f>
        <v>4780</v>
      </c>
      <c r="AS24" s="4">
        <f ca="1">ROUND(T_Tiktok_ads[[#This Row],[shares]]*RANDBETWEEN(8,12)/10,0)</f>
        <v>1189</v>
      </c>
      <c r="AT24" s="4">
        <f ca="1">ROUND(T_Tiktok_ads[[#This Row],[comments]]*RANDBETWEEN(8,12)/10,0)</f>
        <v>223</v>
      </c>
      <c r="AV24" s="5">
        <f t="shared" ca="1" si="0"/>
        <v>44943</v>
      </c>
      <c r="AW24">
        <f t="shared" ca="1" si="4"/>
        <v>6</v>
      </c>
      <c r="AX24">
        <f ca="1">ROUND(T_Facebook_Ads11[[#This Row],[impressions]]*RANDBETWEEN(8,12)/10,0)</f>
        <v>11638</v>
      </c>
      <c r="AY24">
        <f ca="1">ROUND(T_Facebook_Ads11[[#This Row],[clicks]]*RANDBETWEEN(8,12)/10,0)</f>
        <v>534</v>
      </c>
      <c r="AZ24">
        <f ca="1">T_Facebook_Ads11[[#This Row],[spend]]*RANDBETWEEN(8,12)/10</f>
        <v>254.88000000000002</v>
      </c>
      <c r="BA24">
        <f ca="1">ROUND(T_Facebook_Ads11[[#This Row],[conversions]]*RANDBETWEEN(8,12)/10,0)</f>
        <v>28</v>
      </c>
      <c r="BB24">
        <f ca="1">ROUND(T_Facebook_Ads11[[#This Row],[video_views]]*RANDBETWEEN(8,12)/10,0)</f>
        <v>1086</v>
      </c>
    </row>
    <row r="25" spans="1:54" ht="15.75" thickBot="1" x14ac:dyDescent="0.3">
      <c r="A25" s="3">
        <f t="shared" ca="1" si="1"/>
        <v>44945</v>
      </c>
      <c r="B25" s="4" t="s">
        <v>64</v>
      </c>
      <c r="C25" s="4" t="s">
        <v>65</v>
      </c>
      <c r="D25" s="4" t="s">
        <v>66</v>
      </c>
      <c r="E25" s="4" t="s">
        <v>67</v>
      </c>
      <c r="F25" s="4">
        <f ca="1">ROUND(T_Facebook_Ads[[#This Row],[impressions]]*RANDBETWEEN(8,12)/10,0)</f>
        <v>58765</v>
      </c>
      <c r="G25" s="4">
        <v>267</v>
      </c>
      <c r="H25" s="4">
        <f ca="1">T_Facebook_Ads[[#This Row],[spend]]*RANDBETWEEN(8,12)/10</f>
        <v>78.64</v>
      </c>
      <c r="I25" s="4">
        <f ca="1">ROUND(T_Facebook_Ads[[#This Row],[conversions]]*RANDBETWEEN(8,12)/10,0)</f>
        <v>6</v>
      </c>
      <c r="J25" s="4">
        <f ca="1">ROUND(T_Facebook_Ads[[#This Row],[video_views]]*RANDBETWEEN(8,12)/10,0)</f>
        <v>45111</v>
      </c>
      <c r="K25" s="4">
        <f ca="1">T_Facebook_Ads[[#This Row],[engagement_rate]]*RANDBETWEEN(8,12)/10</f>
        <v>3.2399999999999998E-3</v>
      </c>
      <c r="L25" s="4">
        <f ca="1">ROUND(T_Facebook_Ads[[#This Row],[reach]]*RANDBETWEEN(8,12)/10,0)</f>
        <v>66257</v>
      </c>
      <c r="M25" s="4">
        <f ca="1">T_Facebook_Ads[[#This Row],[frequency]]*RANDBETWEEN(8,12)/10</f>
        <v>1.464</v>
      </c>
      <c r="O25" s="3">
        <f t="shared" ca="1" si="2"/>
        <v>44928</v>
      </c>
      <c r="P25" s="4" t="s">
        <v>88</v>
      </c>
      <c r="Q25" s="4" t="s">
        <v>89</v>
      </c>
      <c r="R25" s="4" t="s">
        <v>90</v>
      </c>
      <c r="S25" s="4" t="s">
        <v>59</v>
      </c>
      <c r="T25" s="4">
        <f ca="1">ROUND(_Google_ads[[#This Row],[impressions]]*RANDBETWEEN(8,12)/10,0)</f>
        <v>150814</v>
      </c>
      <c r="U25" s="4">
        <f ca="1">ROUND(_Google_ads[[#This Row],[clicks]]*RANDBETWEEN(8,12)/10,0)</f>
        <v>356</v>
      </c>
      <c r="V25" s="4">
        <f ca="1">_Google_ads[[#This Row],[cost]]*RANDBETWEEN(8,12)/10</f>
        <v>145.56</v>
      </c>
      <c r="W25" s="4">
        <f ca="1">ROUND(_Google_ads[[#This Row],[conversions]]*RANDBETWEEN(8,12)/10,0)</f>
        <v>12</v>
      </c>
      <c r="X25" s="4">
        <f ca="1">ROUND(_Google_ads[[#This Row],[conversion_value]]*RANDBETWEEN(8,12)/10,0)</f>
        <v>495</v>
      </c>
      <c r="Y25" s="4">
        <f ca="1">_Google_ads[[#This Row],[ctr]]*RANDBETWEEN(8,12)/10</f>
        <v>4.2000000000000006E-3</v>
      </c>
      <c r="Z25" s="4">
        <f ca="1">_Google_ads[[#This Row],[avg_cpc]]*RANDBETWEEN(8,12)/10</f>
        <v>0.27</v>
      </c>
      <c r="AA25" s="4">
        <f ca="1">ROUND(_Google_ads[[#This Row],[quality_score]]*RANDBETWEEN(8,12)/10,0)</f>
        <v>7</v>
      </c>
      <c r="AB25" s="4">
        <f ca="1">_Google_ads[[#This Row],[search_impression_share]]*RANDBETWEEN(8,12)/10</f>
        <v>0.374</v>
      </c>
      <c r="AD25" s="3">
        <f t="shared" ca="1" si="3"/>
        <v>44944</v>
      </c>
      <c r="AE25" s="4" t="s">
        <v>112</v>
      </c>
      <c r="AF25" s="4" t="s">
        <v>113</v>
      </c>
      <c r="AG25" s="4" t="s">
        <v>114</v>
      </c>
      <c r="AH25" s="4" t="s">
        <v>115</v>
      </c>
      <c r="AI25" s="4">
        <f ca="1">ROUND(T_Tiktok_ads[[#This Row],[impressions]]*RANDBETWEEN(8,12)/10,0)</f>
        <v>389012</v>
      </c>
      <c r="AJ25" s="4">
        <f ca="1">ROUND(T_Tiktok_ads[[#This Row],[clicks]]*RANDBETWEEN(8,12)/10,0)</f>
        <v>5611</v>
      </c>
      <c r="AK25" s="4">
        <v>967.8</v>
      </c>
      <c r="AL25" s="4">
        <f ca="1">ROUND(T_Tiktok_ads[[#This Row],[conversions]]*RANDBETWEEN(8,12)/10,0)</f>
        <v>118</v>
      </c>
      <c r="AM25" s="4">
        <f ca="1">ROUND(T_Tiktok_ads[[#This Row],[video_views]]*RANDBETWEEN(8,12)/10,0)</f>
        <v>289111</v>
      </c>
      <c r="AN25" s="4">
        <f ca="1">ROUND(T_Tiktok_ads[[#This Row],[video_watch_25]]*RANDBETWEEN(8,12)/10,0)</f>
        <v>233011</v>
      </c>
      <c r="AO25" s="4">
        <f ca="1">ROUND(T_Tiktok_ads[[#This Row],[video_watch_50]]*RANDBETWEEN(8,12)/10,0)</f>
        <v>166312</v>
      </c>
      <c r="AP25" s="4">
        <f ca="1">ROUND(T_Tiktok_ads[[#This Row],[video_watch_75]]*RANDBETWEEN(8,12)/10,0)</f>
        <v>176681</v>
      </c>
      <c r="AQ25" s="4">
        <f ca="1">ROUND(T_Tiktok_ads[[#This Row],[video_watch_100]]*RANDBETWEEN(8,12)/10,0)</f>
        <v>116947</v>
      </c>
      <c r="AR25" s="4">
        <f ca="1">ROUND(T_Tiktok_ads[[#This Row],[likes]]*RANDBETWEEN(8,12)/10,0)</f>
        <v>20281</v>
      </c>
      <c r="AS25" s="4">
        <f ca="1">ROUND(T_Tiktok_ads[[#This Row],[shares]]*RANDBETWEEN(8,12)/10,0)</f>
        <v>4421</v>
      </c>
      <c r="AT25" s="4">
        <f ca="1">ROUND(T_Tiktok_ads[[#This Row],[comments]]*RANDBETWEEN(8,12)/10,0)</f>
        <v>1614</v>
      </c>
      <c r="AV25" s="5">
        <f t="shared" ca="1" si="0"/>
        <v>44936</v>
      </c>
      <c r="AW25">
        <f t="shared" ca="1" si="4"/>
        <v>8</v>
      </c>
      <c r="AX25">
        <f ca="1">ROUND(T_Facebook_Ads11[[#This Row],[impressions]]*RANDBETWEEN(8,12)/10,0)</f>
        <v>64642</v>
      </c>
      <c r="AY25">
        <f ca="1">ROUND(T_Facebook_Ads11[[#This Row],[clicks]]*RANDBETWEEN(8,12)/10,0)</f>
        <v>294</v>
      </c>
      <c r="AZ25">
        <f ca="1">T_Facebook_Ads11[[#This Row],[spend]]*RANDBETWEEN(8,12)/10</f>
        <v>70.775999999999996</v>
      </c>
      <c r="BA25">
        <f ca="1">ROUND(T_Facebook_Ads11[[#This Row],[conversions]]*RANDBETWEEN(8,12)/10,0)</f>
        <v>7</v>
      </c>
      <c r="BB25">
        <f ca="1">ROUND(T_Facebook_Ads11[[#This Row],[video_views]]*RANDBETWEEN(8,12)/10,0)</f>
        <v>36089</v>
      </c>
    </row>
    <row r="26" spans="1:54" ht="15.75" thickBot="1" x14ac:dyDescent="0.3">
      <c r="A26" s="3">
        <f t="shared" ca="1" si="1"/>
        <v>44936</v>
      </c>
      <c r="B26" s="4" t="s">
        <v>52</v>
      </c>
      <c r="C26" s="4" t="s">
        <v>53</v>
      </c>
      <c r="D26" s="4" t="s">
        <v>54</v>
      </c>
      <c r="E26" s="4" t="s">
        <v>55</v>
      </c>
      <c r="F26" s="4">
        <f ca="1">ROUND(T_Facebook_Ads[[#This Row],[impressions]]*RANDBETWEEN(8,12)/10,0)</f>
        <v>40098</v>
      </c>
      <c r="G26" s="4">
        <v>1012</v>
      </c>
      <c r="H26" s="4">
        <f ca="1">T_Facebook_Ads[[#This Row],[spend]]*RANDBETWEEN(8,12)/10</f>
        <v>113.35999999999999</v>
      </c>
      <c r="I26" s="4">
        <f ca="1">ROUND(T_Facebook_Ads[[#This Row],[conversions]]*RANDBETWEEN(8,12)/10,0)</f>
        <v>18</v>
      </c>
      <c r="J26" s="4">
        <f ca="1">ROUND(T_Facebook_Ads[[#This Row],[video_views]]*RANDBETWEEN(8,12)/10,0)</f>
        <v>11214</v>
      </c>
      <c r="K26" s="4">
        <f ca="1">T_Facebook_Ads[[#This Row],[engagement_rate]]*RANDBETWEEN(8,12)/10</f>
        <v>2.0199999999999999E-2</v>
      </c>
      <c r="L26" s="4">
        <f ca="1">ROUND(T_Facebook_Ads[[#This Row],[reach]]*RANDBETWEEN(8,12)/10,0)</f>
        <v>46079</v>
      </c>
      <c r="M26" s="4">
        <f ca="1">T_Facebook_Ads[[#This Row],[frequency]]*RANDBETWEEN(8,12)/10</f>
        <v>1.2</v>
      </c>
      <c r="O26" s="3">
        <f t="shared" ca="1" si="2"/>
        <v>44940</v>
      </c>
      <c r="P26" s="4" t="s">
        <v>76</v>
      </c>
      <c r="Q26" s="4" t="s">
        <v>77</v>
      </c>
      <c r="R26" s="4" t="s">
        <v>78</v>
      </c>
      <c r="S26" s="4" t="s">
        <v>79</v>
      </c>
      <c r="T26" s="4">
        <f ca="1">ROUND(_Google_ads[[#This Row],[impressions]]*RANDBETWEEN(8,12)/10,0)</f>
        <v>25234</v>
      </c>
      <c r="U26" s="4">
        <f ca="1">ROUND(_Google_ads[[#This Row],[clicks]]*RANDBETWEEN(8,12)/10,0)</f>
        <v>1443</v>
      </c>
      <c r="V26" s="4">
        <f ca="1">_Google_ads[[#This Row],[cost]]*RANDBETWEEN(8,12)/10</f>
        <v>225.27000000000004</v>
      </c>
      <c r="W26" s="4">
        <f ca="1">ROUND(_Google_ads[[#This Row],[conversions]]*RANDBETWEEN(8,12)/10,0)</f>
        <v>39</v>
      </c>
      <c r="X26" s="4">
        <f ca="1">ROUND(_Google_ads[[#This Row],[conversion_value]]*RANDBETWEEN(8,12)/10,0)</f>
        <v>1960</v>
      </c>
      <c r="Y26" s="4">
        <f ca="1">_Google_ads[[#This Row],[ctr]]*RANDBETWEEN(8,12)/10</f>
        <v>4.6799999999999994E-2</v>
      </c>
      <c r="Z26" s="4">
        <f ca="1">_Google_ads[[#This Row],[avg_cpc]]*RANDBETWEEN(8,12)/10</f>
        <v>0.17099999999999999</v>
      </c>
      <c r="AA26" s="4">
        <f ca="1">ROUND(_Google_ads[[#This Row],[quality_score]]*RANDBETWEEN(8,12)/10,0)</f>
        <v>7</v>
      </c>
      <c r="AB26" s="4">
        <f ca="1">_Google_ads[[#This Row],[search_impression_share]]*RANDBETWEEN(8,12)/10</f>
        <v>0.92000000000000015</v>
      </c>
      <c r="AD26" s="3">
        <f t="shared" ca="1" si="3"/>
        <v>44953</v>
      </c>
      <c r="AE26" s="4" t="s">
        <v>100</v>
      </c>
      <c r="AF26" s="4" t="s">
        <v>101</v>
      </c>
      <c r="AG26" s="4" t="s">
        <v>102</v>
      </c>
      <c r="AH26" s="4" t="s">
        <v>103</v>
      </c>
      <c r="AI26" s="4">
        <f ca="1">ROUND(T_Tiktok_ads[[#This Row],[impressions]]*RANDBETWEEN(8,12)/10,0)</f>
        <v>260111</v>
      </c>
      <c r="AJ26" s="4">
        <f ca="1">ROUND(T_Tiktok_ads[[#This Row],[clicks]]*RANDBETWEEN(8,12)/10,0)</f>
        <v>5081</v>
      </c>
      <c r="AK26" s="4">
        <v>556.70000000000005</v>
      </c>
      <c r="AL26" s="4">
        <f ca="1">ROUND(T_Tiktok_ads[[#This Row],[conversions]]*RANDBETWEEN(8,12)/10,0)</f>
        <v>39</v>
      </c>
      <c r="AM26" s="4">
        <f ca="1">ROUND(T_Tiktok_ads[[#This Row],[video_views]]*RANDBETWEEN(8,12)/10,0)</f>
        <v>187654</v>
      </c>
      <c r="AN26" s="4">
        <f ca="1">ROUND(T_Tiktok_ads[[#This Row],[video_watch_25]]*RANDBETWEEN(8,12)/10,0)</f>
        <v>218814</v>
      </c>
      <c r="AO26" s="4">
        <f ca="1">ROUND(T_Tiktok_ads[[#This Row],[video_watch_50]]*RANDBETWEEN(8,12)/10,0)</f>
        <v>103110</v>
      </c>
      <c r="AP26" s="4">
        <f ca="1">ROUND(T_Tiktok_ads[[#This Row],[video_watch_75]]*RANDBETWEEN(8,12)/10,0)</f>
        <v>61787</v>
      </c>
      <c r="AQ26" s="4">
        <f ca="1">ROUND(T_Tiktok_ads[[#This Row],[video_watch_100]]*RANDBETWEEN(8,12)/10,0)</f>
        <v>46111</v>
      </c>
      <c r="AR26" s="4">
        <f ca="1">ROUND(T_Tiktok_ads[[#This Row],[likes]]*RANDBETWEEN(8,12)/10,0)</f>
        <v>9311</v>
      </c>
      <c r="AS26" s="4">
        <f ca="1">ROUND(T_Tiktok_ads[[#This Row],[shares]]*RANDBETWEEN(8,12)/10,0)</f>
        <v>3068</v>
      </c>
      <c r="AT26" s="4">
        <f ca="1">ROUND(T_Tiktok_ads[[#This Row],[comments]]*RANDBETWEEN(8,12)/10,0)</f>
        <v>722</v>
      </c>
      <c r="AV26" s="5">
        <f t="shared" ca="1" si="0"/>
        <v>44951</v>
      </c>
      <c r="AW26">
        <f t="shared" ca="1" si="4"/>
        <v>5</v>
      </c>
      <c r="AX26">
        <f ca="1">ROUND(T_Facebook_Ads11[[#This Row],[impressions]]*RANDBETWEEN(8,12)/10,0)</f>
        <v>40098</v>
      </c>
      <c r="AY26">
        <f ca="1">ROUND(T_Facebook_Ads11[[#This Row],[clicks]]*RANDBETWEEN(8,12)/10,0)</f>
        <v>1113</v>
      </c>
      <c r="AZ26">
        <f ca="1">T_Facebook_Ads11[[#This Row],[spend]]*RANDBETWEEN(8,12)/10</f>
        <v>136.03199999999998</v>
      </c>
      <c r="BA26">
        <f ca="1">ROUND(T_Facebook_Ads11[[#This Row],[conversions]]*RANDBETWEEN(8,12)/10,0)</f>
        <v>16</v>
      </c>
      <c r="BB26">
        <f ca="1">ROUND(T_Facebook_Ads11[[#This Row],[video_views]]*RANDBETWEEN(8,12)/10,0)</f>
        <v>12335</v>
      </c>
    </row>
    <row r="27" spans="1:54" ht="15.75" thickBot="1" x14ac:dyDescent="0.3">
      <c r="A27" s="3">
        <f t="shared" ca="1" si="1"/>
        <v>44929</v>
      </c>
      <c r="B27" s="4" t="s">
        <v>60</v>
      </c>
      <c r="C27" s="4" t="s">
        <v>61</v>
      </c>
      <c r="D27" s="4" t="s">
        <v>62</v>
      </c>
      <c r="E27" s="4" t="s">
        <v>63</v>
      </c>
      <c r="F27" s="4">
        <f ca="1">ROUND(T_Facebook_Ads[[#This Row],[impressions]]*RANDBETWEEN(8,12)/10,0)</f>
        <v>43747</v>
      </c>
      <c r="G27" s="4">
        <v>1312</v>
      </c>
      <c r="H27" s="4">
        <f ca="1">T_Facebook_Ads[[#This Row],[spend]]*RANDBETWEEN(8,12)/10</f>
        <v>239.76000000000005</v>
      </c>
      <c r="I27" s="4">
        <f ca="1">ROUND(T_Facebook_Ads[[#This Row],[conversions]]*RANDBETWEEN(8,12)/10,0)</f>
        <v>29</v>
      </c>
      <c r="J27" s="4">
        <f ca="1">ROUND(T_Facebook_Ads[[#This Row],[video_views]]*RANDBETWEEN(8,12)/10,0)</f>
        <v>3858</v>
      </c>
      <c r="K27" s="4">
        <f ca="1">T_Facebook_Ads[[#This Row],[engagement_rate]]*RANDBETWEEN(8,12)/10</f>
        <v>3.9599999999999996E-2</v>
      </c>
      <c r="L27" s="4">
        <f ca="1">ROUND(T_Facebook_Ads[[#This Row],[reach]]*RANDBETWEEN(8,12)/10,0)</f>
        <v>30234</v>
      </c>
      <c r="M27" s="4">
        <f ca="1">T_Facebook_Ads[[#This Row],[frequency]]*RANDBETWEEN(8,12)/10</f>
        <v>1.331</v>
      </c>
      <c r="O27" s="3">
        <f t="shared" ca="1" si="2"/>
        <v>44941</v>
      </c>
      <c r="P27" s="4" t="s">
        <v>84</v>
      </c>
      <c r="Q27" s="4" t="s">
        <v>85</v>
      </c>
      <c r="R27" s="4" t="s">
        <v>86</v>
      </c>
      <c r="S27" s="4" t="s">
        <v>87</v>
      </c>
      <c r="T27" s="4">
        <f ca="1">ROUND(_Google_ads[[#This Row],[impressions]]*RANDBETWEEN(8,12)/10,0)</f>
        <v>73456</v>
      </c>
      <c r="U27" s="4">
        <f ca="1">ROUND(_Google_ads[[#This Row],[clicks]]*RANDBETWEEN(8,12)/10,0)</f>
        <v>2181</v>
      </c>
      <c r="V27" s="4">
        <f ca="1">_Google_ads[[#This Row],[cost]]*RANDBETWEEN(8,12)/10</f>
        <v>397.62</v>
      </c>
      <c r="W27" s="4">
        <f ca="1">ROUND(_Google_ads[[#This Row],[conversions]]*RANDBETWEEN(8,12)/10,0)</f>
        <v>56</v>
      </c>
      <c r="X27" s="4">
        <f ca="1">ROUND(_Google_ads[[#This Row],[conversion_value]]*RANDBETWEEN(8,12)/10,0)</f>
        <v>4200</v>
      </c>
      <c r="Y27" s="4">
        <f ca="1">_Google_ads[[#This Row],[ctr]]*RANDBETWEEN(8,12)/10</f>
        <v>3.9600000000000003E-2</v>
      </c>
      <c r="Z27" s="4">
        <f ca="1">_Google_ads[[#This Row],[avg_cpc]]*RANDBETWEEN(8,12)/10</f>
        <v>0.18</v>
      </c>
      <c r="AA27" s="4">
        <f ca="1">ROUND(_Google_ads[[#This Row],[quality_score]]*RANDBETWEEN(8,12)/10,0)</f>
        <v>8</v>
      </c>
      <c r="AB27" s="4">
        <f ca="1">_Google_ads[[#This Row],[search_impression_share]]*RANDBETWEEN(8,12)/10</f>
        <v>0.54400000000000004</v>
      </c>
      <c r="AD27" s="3">
        <f t="shared" ca="1" si="3"/>
        <v>44941</v>
      </c>
      <c r="AE27" s="4" t="s">
        <v>108</v>
      </c>
      <c r="AF27" s="4" t="s">
        <v>109</v>
      </c>
      <c r="AG27" s="4" t="s">
        <v>110</v>
      </c>
      <c r="AH27" s="4" t="s">
        <v>111</v>
      </c>
      <c r="AI27" s="4">
        <f ca="1">ROUND(T_Tiktok_ads[[#This Row],[impressions]]*RANDBETWEEN(8,12)/10,0)</f>
        <v>262681</v>
      </c>
      <c r="AJ27" s="4">
        <f ca="1">ROUND(T_Tiktok_ads[[#This Row],[clicks]]*RANDBETWEEN(8,12)/10,0)</f>
        <v>3456</v>
      </c>
      <c r="AK27" s="4">
        <v>414.4</v>
      </c>
      <c r="AL27" s="4">
        <f ca="1">ROUND(T_Tiktok_ads[[#This Row],[conversions]]*RANDBETWEEN(8,12)/10,0)</f>
        <v>23</v>
      </c>
      <c r="AM27" s="4">
        <f ca="1">ROUND(T_Tiktok_ads[[#This Row],[video_views]]*RANDBETWEEN(8,12)/10,0)</f>
        <v>156110</v>
      </c>
      <c r="AN27" s="4">
        <f ca="1">ROUND(T_Tiktok_ads[[#This Row],[video_watch_25]]*RANDBETWEEN(8,12)/10,0)</f>
        <v>157880</v>
      </c>
      <c r="AO27" s="4">
        <f ca="1">ROUND(T_Tiktok_ads[[#This Row],[video_watch_50]]*RANDBETWEEN(8,12)/10,0)</f>
        <v>103567</v>
      </c>
      <c r="AP27" s="4">
        <f ca="1">ROUND(T_Tiktok_ads[[#This Row],[video_watch_75]]*RANDBETWEEN(8,12)/10,0)</f>
        <v>53787</v>
      </c>
      <c r="AQ27" s="4">
        <f ca="1">ROUND(T_Tiktok_ads[[#This Row],[video_watch_100]]*RANDBETWEEN(8,12)/10,0)</f>
        <v>40567</v>
      </c>
      <c r="AR27" s="4">
        <f ca="1">ROUND(T_Tiktok_ads[[#This Row],[likes]]*RANDBETWEEN(8,12)/10,0)</f>
        <v>8012</v>
      </c>
      <c r="AS27" s="4">
        <f ca="1">ROUND(T_Tiktok_ads[[#This Row],[shares]]*RANDBETWEEN(8,12)/10,0)</f>
        <v>1981</v>
      </c>
      <c r="AT27" s="4">
        <f ca="1">ROUND(T_Tiktok_ads[[#This Row],[comments]]*RANDBETWEEN(8,12)/10,0)</f>
        <v>575</v>
      </c>
      <c r="AV27" s="5">
        <f t="shared" ca="1" si="0"/>
        <v>44955</v>
      </c>
      <c r="AW27">
        <f t="shared" ca="1" si="4"/>
        <v>4</v>
      </c>
      <c r="AX27">
        <f ca="1">ROUND(T_Facebook_Ads11[[#This Row],[impressions]]*RANDBETWEEN(8,12)/10,0)</f>
        <v>52496</v>
      </c>
      <c r="AY27">
        <f ca="1">ROUND(T_Facebook_Ads11[[#This Row],[clicks]]*RANDBETWEEN(8,12)/10,0)</f>
        <v>1574</v>
      </c>
      <c r="AZ27">
        <f ca="1">T_Facebook_Ads11[[#This Row],[spend]]*RANDBETWEEN(8,12)/10</f>
        <v>191.80800000000005</v>
      </c>
      <c r="BA27">
        <f ca="1">ROUND(T_Facebook_Ads11[[#This Row],[conversions]]*RANDBETWEEN(8,12)/10,0)</f>
        <v>29</v>
      </c>
      <c r="BB27">
        <f ca="1">ROUND(T_Facebook_Ads11[[#This Row],[video_views]]*RANDBETWEEN(8,12)/10,0)</f>
        <v>3472</v>
      </c>
    </row>
    <row r="28" spans="1:54" ht="15.75" thickBot="1" x14ac:dyDescent="0.3">
      <c r="A28" s="3">
        <f t="shared" ca="1" si="1"/>
        <v>44929</v>
      </c>
      <c r="B28" s="4" t="s">
        <v>64</v>
      </c>
      <c r="C28" s="4" t="s">
        <v>65</v>
      </c>
      <c r="D28" s="4" t="s">
        <v>66</v>
      </c>
      <c r="E28" s="4" t="s">
        <v>67</v>
      </c>
      <c r="F28" s="4">
        <f ca="1">ROUND(T_Facebook_Ads[[#This Row],[impressions]]*RANDBETWEEN(8,12)/10,0)</f>
        <v>84148</v>
      </c>
      <c r="G28" s="4">
        <v>253</v>
      </c>
      <c r="H28" s="4">
        <f ca="1">T_Facebook_Ads[[#This Row],[spend]]*RANDBETWEEN(8,12)/10</f>
        <v>93.6</v>
      </c>
      <c r="I28" s="4">
        <f ca="1">ROUND(T_Facebook_Ads[[#This Row],[conversions]]*RANDBETWEEN(8,12)/10,0)</f>
        <v>7</v>
      </c>
      <c r="J28" s="4">
        <f ca="1">ROUND(T_Facebook_Ads[[#This Row],[video_views]]*RANDBETWEEN(8,12)/10,0)</f>
        <v>53057</v>
      </c>
      <c r="K28" s="4">
        <f ca="1">T_Facebook_Ads[[#This Row],[engagement_rate]]*RANDBETWEEN(8,12)/10</f>
        <v>3.2399999999999998E-3</v>
      </c>
      <c r="L28" s="4">
        <f ca="1">ROUND(T_Facebook_Ads[[#This Row],[reach]]*RANDBETWEEN(8,12)/10,0)</f>
        <v>46765</v>
      </c>
      <c r="M28" s="4">
        <f ca="1">T_Facebook_Ads[[#This Row],[frequency]]*RANDBETWEEN(8,12)/10</f>
        <v>1.2</v>
      </c>
      <c r="O28" s="3">
        <f t="shared" ca="1" si="2"/>
        <v>44932</v>
      </c>
      <c r="P28" s="4" t="s">
        <v>88</v>
      </c>
      <c r="Q28" s="4" t="s">
        <v>89</v>
      </c>
      <c r="R28" s="4" t="s">
        <v>90</v>
      </c>
      <c r="S28" s="4" t="s">
        <v>59</v>
      </c>
      <c r="T28" s="4">
        <f ca="1">ROUND(_Google_ads[[#This Row],[impressions]]*RANDBETWEEN(8,12)/10,0)</f>
        <v>116411</v>
      </c>
      <c r="U28" s="4">
        <f ca="1">ROUND(_Google_ads[[#This Row],[clicks]]*RANDBETWEEN(8,12)/10,0)</f>
        <v>410</v>
      </c>
      <c r="V28" s="4">
        <f ca="1">_Google_ads[[#This Row],[cost]]*RANDBETWEEN(8,12)/10</f>
        <v>113.03999999999999</v>
      </c>
      <c r="W28" s="4">
        <f ca="1">ROUND(_Google_ads[[#This Row],[conversions]]*RANDBETWEEN(8,12)/10,0)</f>
        <v>14</v>
      </c>
      <c r="X28" s="4">
        <f ca="1">ROUND(_Google_ads[[#This Row],[conversion_value]]*RANDBETWEEN(8,12)/10,0)</f>
        <v>600</v>
      </c>
      <c r="Y28" s="4">
        <f ca="1">_Google_ads[[#This Row],[ctr]]*RANDBETWEEN(8,12)/10</f>
        <v>3.5000000000000005E-3</v>
      </c>
      <c r="Z28" s="4">
        <f ca="1">_Google_ads[[#This Row],[avg_cpc]]*RANDBETWEEN(8,12)/10</f>
        <v>0.308</v>
      </c>
      <c r="AA28" s="4">
        <f ca="1">ROUND(_Google_ads[[#This Row],[quality_score]]*RANDBETWEEN(8,12)/10,0)</f>
        <v>8</v>
      </c>
      <c r="AB28" s="4">
        <f ca="1">_Google_ads[[#This Row],[search_impression_share]]*RANDBETWEEN(8,12)/10</f>
        <v>0.38499999999999995</v>
      </c>
      <c r="AD28" s="3">
        <f t="shared" ca="1" si="3"/>
        <v>44952</v>
      </c>
      <c r="AE28" s="4" t="s">
        <v>112</v>
      </c>
      <c r="AF28" s="4" t="s">
        <v>113</v>
      </c>
      <c r="AG28" s="4" t="s">
        <v>114</v>
      </c>
      <c r="AH28" s="4" t="s">
        <v>115</v>
      </c>
      <c r="AI28" s="4">
        <f ca="1">ROUND(T_Tiktok_ads[[#This Row],[impressions]]*RANDBETWEEN(8,12)/10,0)</f>
        <v>401234</v>
      </c>
      <c r="AJ28" s="4">
        <f ca="1">ROUND(T_Tiktok_ads[[#This Row],[clicks]]*RANDBETWEEN(8,12)/10,0)</f>
        <v>7747</v>
      </c>
      <c r="AK28" s="4">
        <v>989.9</v>
      </c>
      <c r="AL28" s="4">
        <f ca="1">ROUND(T_Tiktok_ads[[#This Row],[conversions]]*RANDBETWEEN(8,12)/10,0)</f>
        <v>121</v>
      </c>
      <c r="AM28" s="4">
        <f ca="1">ROUND(T_Tiktok_ads[[#This Row],[video_views]]*RANDBETWEEN(8,12)/10,0)</f>
        <v>398814</v>
      </c>
      <c r="AN28" s="4">
        <f ca="1">ROUND(T_Tiktok_ads[[#This Row],[video_watch_25]]*RANDBETWEEN(8,12)/10,0)</f>
        <v>214312</v>
      </c>
      <c r="AO28" s="4">
        <f ca="1">ROUND(T_Tiktok_ads[[#This Row],[video_watch_50]]*RANDBETWEEN(8,12)/10,0)</f>
        <v>236024</v>
      </c>
      <c r="AP28" s="4">
        <f ca="1">ROUND(T_Tiktok_ads[[#This Row],[video_watch_75]]*RANDBETWEEN(8,12)/10,0)</f>
        <v>151234</v>
      </c>
      <c r="AQ28" s="4">
        <f ca="1">ROUND(T_Tiktok_ads[[#This Row],[video_watch_100]]*RANDBETWEEN(8,12)/10,0)</f>
        <v>79654</v>
      </c>
      <c r="AR28" s="4">
        <f ca="1">ROUND(T_Tiktok_ads[[#This Row],[likes]]*RANDBETWEEN(8,12)/10,0)</f>
        <v>13787</v>
      </c>
      <c r="AS28" s="4">
        <f ca="1">ROUND(T_Tiktok_ads[[#This Row],[shares]]*RANDBETWEEN(8,12)/10,0)</f>
        <v>5513</v>
      </c>
      <c r="AT28" s="4">
        <f ca="1">ROUND(T_Tiktok_ads[[#This Row],[comments]]*RANDBETWEEN(8,12)/10,0)</f>
        <v>1102</v>
      </c>
      <c r="AV28" s="5">
        <f t="shared" ca="1" si="0"/>
        <v>44939</v>
      </c>
      <c r="AW28">
        <f t="shared" ca="1" si="4"/>
        <v>5</v>
      </c>
      <c r="AX28">
        <f ca="1">ROUND(T_Facebook_Ads11[[#This Row],[impressions]]*RANDBETWEEN(8,12)/10,0)</f>
        <v>67318</v>
      </c>
      <c r="AY28">
        <f ca="1">ROUND(T_Facebook_Ads11[[#This Row],[clicks]]*RANDBETWEEN(8,12)/10,0)</f>
        <v>253</v>
      </c>
      <c r="AZ28">
        <f ca="1">T_Facebook_Ads11[[#This Row],[spend]]*RANDBETWEEN(8,12)/10</f>
        <v>84.24</v>
      </c>
      <c r="BA28">
        <f ca="1">ROUND(T_Facebook_Ads11[[#This Row],[conversions]]*RANDBETWEEN(8,12)/10,0)</f>
        <v>8</v>
      </c>
      <c r="BB28">
        <f ca="1">ROUND(T_Facebook_Ads11[[#This Row],[video_views]]*RANDBETWEEN(8,12)/10,0)</f>
        <v>63668</v>
      </c>
    </row>
    <row r="29" spans="1:54" ht="15.75" thickBot="1" x14ac:dyDescent="0.3">
      <c r="A29" s="3">
        <f t="shared" ca="1" si="1"/>
        <v>44944</v>
      </c>
      <c r="B29" s="4" t="s">
        <v>52</v>
      </c>
      <c r="C29" s="4" t="s">
        <v>53</v>
      </c>
      <c r="D29" s="4" t="s">
        <v>54</v>
      </c>
      <c r="E29" s="4" t="s">
        <v>55</v>
      </c>
      <c r="F29" s="4">
        <f ca="1">ROUND(T_Facebook_Ads[[#This Row],[impressions]]*RANDBETWEEN(8,12)/10,0)</f>
        <v>58280</v>
      </c>
      <c r="G29" s="4">
        <v>978</v>
      </c>
      <c r="H29" s="4">
        <f ca="1">T_Facebook_Ads[[#This Row],[spend]]*RANDBETWEEN(8,12)/10</f>
        <v>151.58000000000001</v>
      </c>
      <c r="I29" s="4">
        <f ca="1">ROUND(T_Facebook_Ads[[#This Row],[conversions]]*RANDBETWEEN(8,12)/10,0)</f>
        <v>13</v>
      </c>
      <c r="J29" s="4">
        <f ca="1">ROUND(T_Facebook_Ads[[#This Row],[video_views]]*RANDBETWEEN(8,12)/10,0)</f>
        <v>8051</v>
      </c>
      <c r="K29" s="4">
        <f ca="1">T_Facebook_Ads[[#This Row],[engagement_rate]]*RANDBETWEEN(8,12)/10</f>
        <v>1.8090000000000002E-2</v>
      </c>
      <c r="L29" s="4">
        <f ca="1">ROUND(T_Facebook_Ads[[#This Row],[reach]]*RANDBETWEEN(8,12)/10,0)</f>
        <v>48547</v>
      </c>
      <c r="M29" s="4">
        <f ca="1">T_Facebook_Ads[[#This Row],[frequency]]*RANDBETWEEN(8,12)/10</f>
        <v>1.3199999999999998</v>
      </c>
      <c r="O29" s="3">
        <f t="shared" ca="1" si="2"/>
        <v>44957</v>
      </c>
      <c r="P29" s="4" t="s">
        <v>76</v>
      </c>
      <c r="Q29" s="4" t="s">
        <v>77</v>
      </c>
      <c r="R29" s="4" t="s">
        <v>78</v>
      </c>
      <c r="S29" s="4" t="s">
        <v>79</v>
      </c>
      <c r="T29" s="4">
        <f ca="1">ROUND(_Google_ads[[#This Row],[impressions]]*RANDBETWEEN(8,12)/10,0)</f>
        <v>29614</v>
      </c>
      <c r="U29" s="4">
        <f ca="1">ROUND(_Google_ads[[#This Row],[clicks]]*RANDBETWEEN(8,12)/10,0)</f>
        <v>1289</v>
      </c>
      <c r="V29" s="4">
        <f ca="1">_Google_ads[[#This Row],[cost]]*RANDBETWEEN(8,12)/10</f>
        <v>196.72</v>
      </c>
      <c r="W29" s="4">
        <f ca="1">ROUND(_Google_ads[[#This Row],[conversions]]*RANDBETWEEN(8,12)/10,0)</f>
        <v>58</v>
      </c>
      <c r="X29" s="4">
        <f ca="1">ROUND(_Google_ads[[#This Row],[conversion_value]]*RANDBETWEEN(8,12)/10,0)</f>
        <v>2160</v>
      </c>
      <c r="Y29" s="4">
        <f ca="1">_Google_ads[[#This Row],[ctr]]*RANDBETWEEN(8,12)/10</f>
        <v>4.1760000000000005E-2</v>
      </c>
      <c r="Z29" s="4">
        <f ca="1">_Google_ads[[#This Row],[avg_cpc]]*RANDBETWEEN(8,12)/10</f>
        <v>0.20899999999999999</v>
      </c>
      <c r="AA29" s="4">
        <f ca="1">ROUND(_Google_ads[[#This Row],[quality_score]]*RANDBETWEEN(8,12)/10,0)</f>
        <v>9</v>
      </c>
      <c r="AB29" s="4">
        <f ca="1">_Google_ads[[#This Row],[search_impression_share]]*RANDBETWEEN(8,12)/10</f>
        <v>0.81899999999999995</v>
      </c>
      <c r="AD29" s="3">
        <f t="shared" ca="1" si="3"/>
        <v>44957</v>
      </c>
      <c r="AE29" s="4" t="s">
        <v>100</v>
      </c>
      <c r="AF29" s="4" t="s">
        <v>101</v>
      </c>
      <c r="AG29" s="4" t="s">
        <v>102</v>
      </c>
      <c r="AH29" s="4" t="s">
        <v>103</v>
      </c>
      <c r="AI29" s="4">
        <f ca="1">ROUND(T_Tiktok_ads[[#This Row],[impressions]]*RANDBETWEEN(8,12)/10,0)</f>
        <v>230611</v>
      </c>
      <c r="AJ29" s="4">
        <f ca="1">ROUND(T_Tiktok_ads[[#This Row],[clicks]]*RANDBETWEEN(8,12)/10,0)</f>
        <v>4441</v>
      </c>
      <c r="AK29" s="4">
        <v>490.5</v>
      </c>
      <c r="AL29" s="4">
        <f ca="1">ROUND(T_Tiktok_ads[[#This Row],[conversions]]*RANDBETWEEN(8,12)/10,0)</f>
        <v>34</v>
      </c>
      <c r="AM29" s="4">
        <f ca="1">ROUND(T_Tiktok_ads[[#This Row],[video_views]]*RANDBETWEEN(8,12)/10,0)</f>
        <v>251081</v>
      </c>
      <c r="AN29" s="4">
        <f ca="1">ROUND(T_Tiktok_ads[[#This Row],[video_watch_25]]*RANDBETWEEN(8,12)/10,0)</f>
        <v>196280</v>
      </c>
      <c r="AO29" s="4">
        <f ca="1">ROUND(T_Tiktok_ads[[#This Row],[video_watch_50]]*RANDBETWEEN(8,12)/10,0)</f>
        <v>102567</v>
      </c>
      <c r="AP29" s="4">
        <f ca="1">ROUND(T_Tiktok_ads[[#This Row],[video_watch_75]]*RANDBETWEEN(8,12)/10,0)</f>
        <v>76524</v>
      </c>
      <c r="AQ29" s="4">
        <f ca="1">ROUND(T_Tiktok_ads[[#This Row],[video_watch_100]]*RANDBETWEEN(8,12)/10,0)</f>
        <v>51224</v>
      </c>
      <c r="AR29" s="4">
        <f ca="1">ROUND(T_Tiktok_ads[[#This Row],[likes]]*RANDBETWEEN(8,12)/10,0)</f>
        <v>8211</v>
      </c>
      <c r="AS29" s="4">
        <f ca="1">ROUND(T_Tiktok_ads[[#This Row],[shares]]*RANDBETWEEN(8,12)/10,0)</f>
        <v>2423</v>
      </c>
      <c r="AT29" s="4">
        <f ca="1">ROUND(T_Tiktok_ads[[#This Row],[comments]]*RANDBETWEEN(8,12)/10,0)</f>
        <v>721</v>
      </c>
      <c r="AV29" s="5">
        <f t="shared" ca="1" si="0"/>
        <v>44956</v>
      </c>
      <c r="AW29">
        <f t="shared" ca="1" si="4"/>
        <v>1</v>
      </c>
      <c r="AX29">
        <f ca="1">ROUND(T_Facebook_Ads11[[#This Row],[impressions]]*RANDBETWEEN(8,12)/10,0)</f>
        <v>58280</v>
      </c>
      <c r="AY29">
        <f ca="1">ROUND(T_Facebook_Ads11[[#This Row],[clicks]]*RANDBETWEEN(8,12)/10,0)</f>
        <v>1174</v>
      </c>
      <c r="AZ29">
        <f ca="1">T_Facebook_Ads11[[#This Row],[spend]]*RANDBETWEEN(8,12)/10</f>
        <v>166.738</v>
      </c>
      <c r="BA29">
        <f ca="1">ROUND(T_Facebook_Ads11[[#This Row],[conversions]]*RANDBETWEEN(8,12)/10,0)</f>
        <v>14</v>
      </c>
      <c r="BB29">
        <f ca="1">ROUND(T_Facebook_Ads11[[#This Row],[video_views]]*RANDBETWEEN(8,12)/10,0)</f>
        <v>8856</v>
      </c>
    </row>
    <row r="30" spans="1:54" ht="15.75" thickBot="1" x14ac:dyDescent="0.3">
      <c r="A30" s="3">
        <f t="shared" ca="1" si="1"/>
        <v>44933</v>
      </c>
      <c r="B30" s="4" t="s">
        <v>56</v>
      </c>
      <c r="C30" s="4" t="s">
        <v>57</v>
      </c>
      <c r="D30" s="4" t="s">
        <v>58</v>
      </c>
      <c r="E30" s="4" t="s">
        <v>59</v>
      </c>
      <c r="F30" s="4">
        <f ca="1">ROUND(T_Facebook_Ads[[#This Row],[impressions]]*RANDBETWEEN(8,12)/10,0)</f>
        <v>11031</v>
      </c>
      <c r="G30" s="4">
        <v>645</v>
      </c>
      <c r="H30" s="4">
        <f ca="1">T_Facebook_Ads[[#This Row],[spend]]*RANDBETWEEN(8,12)/10</f>
        <v>241.2</v>
      </c>
      <c r="I30" s="4">
        <f ca="1">ROUND(T_Facebook_Ads[[#This Row],[conversions]]*RANDBETWEEN(8,12)/10,0)</f>
        <v>41</v>
      </c>
      <c r="J30" s="4">
        <f ca="1">ROUND(T_Facebook_Ads[[#This Row],[video_views]]*RANDBETWEEN(8,12)/10,0)</f>
        <v>1787</v>
      </c>
      <c r="K30" s="4">
        <f ca="1">T_Facebook_Ads[[#This Row],[engagement_rate]]*RANDBETWEEN(8,12)/10</f>
        <v>3.7440000000000001E-2</v>
      </c>
      <c r="L30" s="4">
        <f ca="1">ROUND(T_Facebook_Ads[[#This Row],[reach]]*RANDBETWEEN(8,12)/10,0)</f>
        <v>9710</v>
      </c>
      <c r="M30" s="4">
        <f ca="1">T_Facebook_Ads[[#This Row],[frequency]]*RANDBETWEEN(8,12)/10</f>
        <v>1.024</v>
      </c>
      <c r="O30" s="3">
        <f t="shared" ca="1" si="2"/>
        <v>44954</v>
      </c>
      <c r="P30" s="4" t="s">
        <v>80</v>
      </c>
      <c r="Q30" s="4" t="s">
        <v>81</v>
      </c>
      <c r="R30" s="4" t="s">
        <v>82</v>
      </c>
      <c r="S30" s="4" t="s">
        <v>83</v>
      </c>
      <c r="T30" s="4">
        <f ca="1">ROUND(_Google_ads[[#This Row],[impressions]]*RANDBETWEEN(8,12)/10,0)</f>
        <v>40711</v>
      </c>
      <c r="U30" s="4">
        <f ca="1">ROUND(_Google_ads[[#This Row],[clicks]]*RANDBETWEEN(8,12)/10,0)</f>
        <v>991</v>
      </c>
      <c r="V30" s="4">
        <f ca="1">_Google_ads[[#This Row],[cost]]*RANDBETWEEN(8,12)/10</f>
        <v>636.79</v>
      </c>
      <c r="W30" s="4">
        <f ca="1">ROUND(_Google_ads[[#This Row],[conversions]]*RANDBETWEEN(8,12)/10,0)</f>
        <v>25</v>
      </c>
      <c r="X30" s="4">
        <f ca="1">ROUND(_Google_ads[[#This Row],[conversion_value]]*RANDBETWEEN(8,12)/10,0)</f>
        <v>920</v>
      </c>
      <c r="Y30" s="4">
        <f ca="1">_Google_ads[[#This Row],[ctr]]*RANDBETWEEN(8,12)/10</f>
        <v>2.189E-2</v>
      </c>
      <c r="Z30" s="4">
        <f ca="1">_Google_ads[[#This Row],[avg_cpc]]*RANDBETWEEN(8,12)/10</f>
        <v>0.70399999999999996</v>
      </c>
      <c r="AA30" s="4">
        <f ca="1">ROUND(_Google_ads[[#This Row],[quality_score]]*RANDBETWEEN(8,12)/10,0)</f>
        <v>7</v>
      </c>
      <c r="AB30" s="4">
        <f ca="1">_Google_ads[[#This Row],[search_impression_share]]*RANDBETWEEN(8,12)/10</f>
        <v>0.45</v>
      </c>
      <c r="AD30" s="3">
        <f t="shared" ca="1" si="3"/>
        <v>44948</v>
      </c>
      <c r="AE30" s="4" t="s">
        <v>104</v>
      </c>
      <c r="AF30" s="4" t="s">
        <v>105</v>
      </c>
      <c r="AG30" s="4" t="s">
        <v>106</v>
      </c>
      <c r="AH30" s="4" t="s">
        <v>107</v>
      </c>
      <c r="AI30" s="4">
        <f ca="1">ROUND(T_Tiktok_ads[[#This Row],[impressions]]*RANDBETWEEN(8,12)/10,0)</f>
        <v>174814</v>
      </c>
      <c r="AJ30" s="4">
        <f ca="1">ROUND(T_Tiktok_ads[[#This Row],[clicks]]*RANDBETWEEN(8,12)/10,0)</f>
        <v>2510</v>
      </c>
      <c r="AK30" s="4">
        <v>756.7</v>
      </c>
      <c r="AL30" s="4">
        <f ca="1">ROUND(T_Tiktok_ads[[#This Row],[conversions]]*RANDBETWEEN(8,12)/10,0)</f>
        <v>61</v>
      </c>
      <c r="AM30" s="4">
        <f ca="1">ROUND(T_Tiktok_ads[[#This Row],[video_views]]*RANDBETWEEN(8,12)/10,0)</f>
        <v>80987</v>
      </c>
      <c r="AN30" s="4">
        <f ca="1">ROUND(T_Tiktok_ads[[#This Row],[video_watch_25]]*RANDBETWEEN(8,12)/10,0)</f>
        <v>59654</v>
      </c>
      <c r="AO30" s="4">
        <f ca="1">ROUND(T_Tiktok_ads[[#This Row],[video_watch_50]]*RANDBETWEEN(8,12)/10,0)</f>
        <v>60281</v>
      </c>
      <c r="AP30" s="4">
        <f ca="1">ROUND(T_Tiktok_ads[[#This Row],[video_watch_75]]*RANDBETWEEN(8,12)/10,0)</f>
        <v>41679</v>
      </c>
      <c r="AQ30" s="4">
        <f ca="1">ROUND(T_Tiktok_ads[[#This Row],[video_watch_100]]*RANDBETWEEN(8,12)/10,0)</f>
        <v>25234</v>
      </c>
      <c r="AR30" s="4">
        <f ca="1">ROUND(T_Tiktok_ads[[#This Row],[likes]]*RANDBETWEEN(8,12)/10,0)</f>
        <v>4010</v>
      </c>
      <c r="AS30" s="4">
        <f ca="1">ROUND(T_Tiktok_ads[[#This Row],[shares]]*RANDBETWEEN(8,12)/10,0)</f>
        <v>1708</v>
      </c>
      <c r="AT30" s="4">
        <f ca="1">ROUND(T_Tiktok_ads[[#This Row],[comments]]*RANDBETWEEN(8,12)/10,0)</f>
        <v>320</v>
      </c>
      <c r="AV30" s="5">
        <f t="shared" ca="1" si="0"/>
        <v>44955</v>
      </c>
      <c r="AW30">
        <f t="shared" ca="1" si="4"/>
        <v>1</v>
      </c>
      <c r="AX30">
        <f ca="1">ROUND(T_Facebook_Ads11[[#This Row],[impressions]]*RANDBETWEEN(8,12)/10,0)</f>
        <v>8825</v>
      </c>
      <c r="AY30">
        <f ca="1">ROUND(T_Facebook_Ads11[[#This Row],[clicks]]*RANDBETWEEN(8,12)/10,0)</f>
        <v>516</v>
      </c>
      <c r="AZ30">
        <f ca="1">T_Facebook_Ads11[[#This Row],[spend]]*RANDBETWEEN(8,12)/10</f>
        <v>217.07999999999998</v>
      </c>
      <c r="BA30">
        <f ca="1">ROUND(T_Facebook_Ads11[[#This Row],[conversions]]*RANDBETWEEN(8,12)/10,0)</f>
        <v>45</v>
      </c>
      <c r="BB30">
        <f ca="1">ROUND(T_Facebook_Ads11[[#This Row],[video_views]]*RANDBETWEEN(8,12)/10,0)</f>
        <v>1430</v>
      </c>
    </row>
    <row r="31" spans="1:54" ht="15.75" thickBot="1" x14ac:dyDescent="0.3">
      <c r="A31" s="3">
        <f t="shared" ca="1" si="1"/>
        <v>44938</v>
      </c>
      <c r="B31" s="4" t="s">
        <v>60</v>
      </c>
      <c r="C31" s="4" t="s">
        <v>61</v>
      </c>
      <c r="D31" s="4" t="s">
        <v>62</v>
      </c>
      <c r="E31" s="4" t="s">
        <v>63</v>
      </c>
      <c r="F31" s="4">
        <f ca="1">ROUND(T_Facebook_Ads[[#This Row],[impressions]]*RANDBETWEEN(8,12)/10,0)</f>
        <v>30765</v>
      </c>
      <c r="G31" s="4">
        <v>1423</v>
      </c>
      <c r="H31" s="4">
        <f ca="1">T_Facebook_Ads[[#This Row],[spend]]*RANDBETWEEN(8,12)/10</f>
        <v>195.75</v>
      </c>
      <c r="I31" s="4">
        <f ca="1">ROUND(T_Facebook_Ads[[#This Row],[conversions]]*RANDBETWEEN(8,12)/10,0)</f>
        <v>35</v>
      </c>
      <c r="J31" s="4">
        <f ca="1">ROUND(T_Facebook_Ads[[#This Row],[video_views]]*RANDBETWEEN(8,12)/10,0)</f>
        <v>4611</v>
      </c>
      <c r="K31" s="4">
        <f ca="1">T_Facebook_Ads[[#This Row],[engagement_rate]]*RANDBETWEEN(8,12)/10</f>
        <v>4.4399999999999995E-2</v>
      </c>
      <c r="L31" s="4">
        <f ca="1">ROUND(T_Facebook_Ads[[#This Row],[reach]]*RANDBETWEEN(8,12)/10,0)</f>
        <v>24987</v>
      </c>
      <c r="M31" s="4">
        <f ca="1">T_Facebook_Ads[[#This Row],[frequency]]*RANDBETWEEN(8,12)/10</f>
        <v>1.353</v>
      </c>
      <c r="O31" s="3">
        <f t="shared" ca="1" si="2"/>
        <v>44941</v>
      </c>
      <c r="P31" s="4" t="s">
        <v>84</v>
      </c>
      <c r="Q31" s="4" t="s">
        <v>85</v>
      </c>
      <c r="R31" s="4" t="s">
        <v>86</v>
      </c>
      <c r="S31" s="4" t="s">
        <v>87</v>
      </c>
      <c r="T31" s="4">
        <f ca="1">ROUND(_Google_ads[[#This Row],[impressions]]*RANDBETWEEN(8,12)/10,0)</f>
        <v>68901</v>
      </c>
      <c r="U31" s="4">
        <f ca="1">ROUND(_Google_ads[[#This Row],[clicks]]*RANDBETWEEN(8,12)/10,0)</f>
        <v>1814</v>
      </c>
      <c r="V31" s="4">
        <f ca="1">_Google_ads[[#This Row],[cost]]*RANDBETWEEN(8,12)/10</f>
        <v>331.36</v>
      </c>
      <c r="W31" s="4">
        <f ca="1">ROUND(_Google_ads[[#This Row],[conversions]]*RANDBETWEEN(8,12)/10,0)</f>
        <v>58</v>
      </c>
      <c r="X31" s="4">
        <f ca="1">ROUND(_Google_ads[[#This Row],[conversion_value]]*RANDBETWEEN(8,12)/10,0)</f>
        <v>3840</v>
      </c>
      <c r="Y31" s="4">
        <f ca="1">_Google_ads[[#This Row],[ctr]]*RANDBETWEEN(8,12)/10</f>
        <v>3.619E-2</v>
      </c>
      <c r="Z31" s="4">
        <f ca="1">_Google_ads[[#This Row],[avg_cpc]]*RANDBETWEEN(8,12)/10</f>
        <v>0.19800000000000001</v>
      </c>
      <c r="AA31" s="4">
        <f ca="1">ROUND(_Google_ads[[#This Row],[quality_score]]*RANDBETWEEN(8,12)/10,0)</f>
        <v>8</v>
      </c>
      <c r="AB31" s="4">
        <f ca="1">_Google_ads[[#This Row],[search_impression_share]]*RANDBETWEEN(8,12)/10</f>
        <v>0.53600000000000003</v>
      </c>
      <c r="AD31" s="3">
        <f t="shared" ca="1" si="3"/>
        <v>44927</v>
      </c>
      <c r="AE31" s="4" t="s">
        <v>108</v>
      </c>
      <c r="AF31" s="4" t="s">
        <v>109</v>
      </c>
      <c r="AG31" s="4" t="s">
        <v>110</v>
      </c>
      <c r="AH31" s="4" t="s">
        <v>111</v>
      </c>
      <c r="AI31" s="4">
        <f ca="1">ROUND(T_Tiktok_ads[[#This Row],[impressions]]*RANDBETWEEN(8,12)/10,0)</f>
        <v>201110</v>
      </c>
      <c r="AJ31" s="4">
        <f ca="1">ROUND(T_Tiktok_ads[[#This Row],[clicks]]*RANDBETWEEN(8,12)/10,0)</f>
        <v>3210</v>
      </c>
      <c r="AK31" s="4">
        <v>427.7</v>
      </c>
      <c r="AL31" s="4">
        <f ca="1">ROUND(T_Tiktok_ads[[#This Row],[conversions]]*RANDBETWEEN(8,12)/10,0)</f>
        <v>24</v>
      </c>
      <c r="AM31" s="4">
        <f ca="1">ROUND(T_Tiktok_ads[[#This Row],[video_views]]*RANDBETWEEN(8,12)/10,0)</f>
        <v>214681</v>
      </c>
      <c r="AN31" s="4">
        <f ca="1">ROUND(T_Tiktok_ads[[#This Row],[video_watch_25]]*RANDBETWEEN(8,12)/10,0)</f>
        <v>135234</v>
      </c>
      <c r="AO31" s="4">
        <f ca="1">ROUND(T_Tiktok_ads[[#This Row],[video_watch_50]]*RANDBETWEEN(8,12)/10,0)</f>
        <v>85431</v>
      </c>
      <c r="AP31" s="4">
        <f ca="1">ROUND(T_Tiktok_ads[[#This Row],[video_watch_75]]*RANDBETWEEN(8,12)/10,0)</f>
        <v>55387</v>
      </c>
      <c r="AQ31" s="4">
        <f ca="1">ROUND(T_Tiktok_ads[[#This Row],[video_watch_100]]*RANDBETWEEN(8,12)/10,0)</f>
        <v>41789</v>
      </c>
      <c r="AR31" s="4">
        <f ca="1">ROUND(T_Tiktok_ads[[#This Row],[likes]]*RANDBETWEEN(8,12)/10,0)</f>
        <v>9881</v>
      </c>
      <c r="AS31" s="4">
        <f ca="1">ROUND(T_Tiktok_ads[[#This Row],[shares]]*RANDBETWEEN(8,12)/10,0)</f>
        <v>2267</v>
      </c>
      <c r="AT31" s="4">
        <f ca="1">ROUND(T_Tiktok_ads[[#This Row],[comments]]*RANDBETWEEN(8,12)/10,0)</f>
        <v>427</v>
      </c>
      <c r="AV31" s="5">
        <f t="shared" ca="1" si="0"/>
        <v>44951</v>
      </c>
      <c r="AW31">
        <f t="shared" ca="1" si="4"/>
        <v>6</v>
      </c>
      <c r="AX31">
        <f ca="1">ROUND(T_Facebook_Ads11[[#This Row],[impressions]]*RANDBETWEEN(8,12)/10,0)</f>
        <v>30765</v>
      </c>
      <c r="AY31">
        <f ca="1">ROUND(T_Facebook_Ads11[[#This Row],[clicks]]*RANDBETWEEN(8,12)/10,0)</f>
        <v>1423</v>
      </c>
      <c r="AZ31">
        <f ca="1">T_Facebook_Ads11[[#This Row],[spend]]*RANDBETWEEN(8,12)/10</f>
        <v>195.75</v>
      </c>
      <c r="BA31">
        <f ca="1">ROUND(T_Facebook_Ads11[[#This Row],[conversions]]*RANDBETWEEN(8,12)/10,0)</f>
        <v>28</v>
      </c>
      <c r="BB31">
        <f ca="1">ROUND(T_Facebook_Ads11[[#This Row],[video_views]]*RANDBETWEEN(8,12)/10,0)</f>
        <v>5533</v>
      </c>
    </row>
    <row r="32" spans="1:54" ht="15.75" thickBot="1" x14ac:dyDescent="0.3">
      <c r="A32" s="3">
        <f t="shared" ca="1" si="1"/>
        <v>44940</v>
      </c>
      <c r="B32" s="4" t="s">
        <v>52</v>
      </c>
      <c r="C32" s="4" t="s">
        <v>53</v>
      </c>
      <c r="D32" s="4" t="s">
        <v>54</v>
      </c>
      <c r="E32" s="4" t="s">
        <v>55</v>
      </c>
      <c r="F32" s="4">
        <f ca="1">ROUND(T_Facebook_Ads[[#This Row],[impressions]]*RANDBETWEEN(8,12)/10,0)</f>
        <v>62548</v>
      </c>
      <c r="G32" s="4">
        <v>1089</v>
      </c>
      <c r="H32" s="4">
        <f ca="1">T_Facebook_Ads[[#This Row],[spend]]*RANDBETWEEN(8,12)/10</f>
        <v>163.45999999999998</v>
      </c>
      <c r="I32" s="4">
        <f ca="1">ROUND(T_Facebook_Ads[[#This Row],[conversions]]*RANDBETWEEN(8,12)/10,0)</f>
        <v>19</v>
      </c>
      <c r="J32" s="4">
        <f ca="1">ROUND(T_Facebook_Ads[[#This Row],[video_views]]*RANDBETWEEN(8,12)/10,0)</f>
        <v>8610</v>
      </c>
      <c r="K32" s="4">
        <f ca="1">T_Facebook_Ads[[#This Row],[engagement_rate]]*RANDBETWEEN(8,12)/10</f>
        <v>2.5079999999999998E-2</v>
      </c>
      <c r="L32" s="4">
        <f ca="1">ROUND(T_Facebook_Ads[[#This Row],[reach]]*RANDBETWEEN(8,12)/10,0)</f>
        <v>47557</v>
      </c>
      <c r="M32" s="4">
        <f ca="1">T_Facebook_Ads[[#This Row],[frequency]]*RANDBETWEEN(8,12)/10</f>
        <v>1.21</v>
      </c>
      <c r="O32" s="3">
        <f t="shared" ca="1" si="2"/>
        <v>44947</v>
      </c>
      <c r="P32" s="4" t="s">
        <v>76</v>
      </c>
      <c r="Q32" s="4" t="s">
        <v>77</v>
      </c>
      <c r="R32" s="4" t="s">
        <v>78</v>
      </c>
      <c r="S32" s="4" t="s">
        <v>79</v>
      </c>
      <c r="T32" s="4">
        <f ca="1">ROUND(_Google_ads[[#This Row],[impressions]]*RANDBETWEEN(8,12)/10,0)</f>
        <v>20987</v>
      </c>
      <c r="U32" s="4">
        <f ca="1">ROUND(_Google_ads[[#This Row],[clicks]]*RANDBETWEEN(8,12)/10,0)</f>
        <v>1240</v>
      </c>
      <c r="V32" s="4">
        <f ca="1">_Google_ads[[#This Row],[cost]]*RANDBETWEEN(8,12)/10</f>
        <v>263.39999999999998</v>
      </c>
      <c r="W32" s="4">
        <f ca="1">ROUND(_Google_ads[[#This Row],[conversions]]*RANDBETWEEN(8,12)/10,0)</f>
        <v>62</v>
      </c>
      <c r="X32" s="4">
        <f ca="1">ROUND(_Google_ads[[#This Row],[conversion_value]]*RANDBETWEEN(8,12)/10,0)</f>
        <v>3120</v>
      </c>
      <c r="Y32" s="4">
        <f ca="1">_Google_ads[[#This Row],[ctr]]*RANDBETWEEN(8,12)/10</f>
        <v>6.3E-2</v>
      </c>
      <c r="Z32" s="4">
        <f ca="1">_Google_ads[[#This Row],[avg_cpc]]*RANDBETWEEN(8,12)/10</f>
        <v>0.20899999999999999</v>
      </c>
      <c r="AA32" s="4">
        <f ca="1">ROUND(_Google_ads[[#This Row],[quality_score]]*RANDBETWEEN(8,12)/10,0)</f>
        <v>8</v>
      </c>
      <c r="AB32" s="4">
        <f ca="1">_Google_ads[[#This Row],[search_impression_share]]*RANDBETWEEN(8,12)/10</f>
        <v>0.92000000000000015</v>
      </c>
      <c r="AD32" s="3">
        <f t="shared" ca="1" si="3"/>
        <v>44952</v>
      </c>
      <c r="AE32" s="4" t="s">
        <v>100</v>
      </c>
      <c r="AF32" s="4" t="s">
        <v>101</v>
      </c>
      <c r="AG32" s="4" t="s">
        <v>102</v>
      </c>
      <c r="AH32" s="4" t="s">
        <v>103</v>
      </c>
      <c r="AI32" s="4">
        <f ca="1">ROUND(T_Tiktok_ads[[#This Row],[impressions]]*RANDBETWEEN(8,12)/10,0)</f>
        <v>223121</v>
      </c>
      <c r="AJ32" s="4">
        <f ca="1">ROUND(T_Tiktok_ads[[#This Row],[clicks]]*RANDBETWEEN(8,12)/10,0)</f>
        <v>3298</v>
      </c>
      <c r="AK32" s="4">
        <v>523.6</v>
      </c>
      <c r="AL32" s="4">
        <f ca="1">ROUND(T_Tiktok_ads[[#This Row],[conversions]]*RANDBETWEEN(8,12)/10,0)</f>
        <v>50</v>
      </c>
      <c r="AM32" s="4">
        <f ca="1">ROUND(T_Tiktok_ads[[#This Row],[video_views]]*RANDBETWEEN(8,12)/10,0)</f>
        <v>234567</v>
      </c>
      <c r="AN32" s="4">
        <f ca="1">ROUND(T_Tiktok_ads[[#This Row],[video_watch_25]]*RANDBETWEEN(8,12)/10,0)</f>
        <v>182345</v>
      </c>
      <c r="AO32" s="4">
        <f ca="1">ROUND(T_Tiktok_ads[[#This Row],[video_watch_50]]*RANDBETWEEN(8,12)/10,0)</f>
        <v>91654</v>
      </c>
      <c r="AP32" s="4">
        <f ca="1">ROUND(T_Tiktok_ads[[#This Row],[video_watch_75]]*RANDBETWEEN(8,12)/10,0)</f>
        <v>69511</v>
      </c>
      <c r="AQ32" s="4">
        <f ca="1">ROUND(T_Tiktok_ads[[#This Row],[video_watch_100]]*RANDBETWEEN(8,12)/10,0)</f>
        <v>56357</v>
      </c>
      <c r="AR32" s="4">
        <f ca="1">ROUND(T_Tiktok_ads[[#This Row],[likes]]*RANDBETWEEN(8,12)/10,0)</f>
        <v>10345</v>
      </c>
      <c r="AS32" s="4">
        <f ca="1">ROUND(T_Tiktok_ads[[#This Row],[shares]]*RANDBETWEEN(8,12)/10,0)</f>
        <v>2231</v>
      </c>
      <c r="AT32" s="4">
        <f ca="1">ROUND(T_Tiktok_ads[[#This Row],[comments]]*RANDBETWEEN(8,12)/10,0)</f>
        <v>656</v>
      </c>
      <c r="AV32" s="5">
        <f t="shared" ca="1" si="0"/>
        <v>44948</v>
      </c>
      <c r="AW32">
        <f t="shared" ca="1" si="4"/>
        <v>4</v>
      </c>
      <c r="AX32">
        <f ca="1">ROUND(T_Facebook_Ads11[[#This Row],[impressions]]*RANDBETWEEN(8,12)/10,0)</f>
        <v>68803</v>
      </c>
      <c r="AY32">
        <f ca="1">ROUND(T_Facebook_Ads11[[#This Row],[clicks]]*RANDBETWEEN(8,12)/10,0)</f>
        <v>1198</v>
      </c>
      <c r="AZ32">
        <f ca="1">T_Facebook_Ads11[[#This Row],[spend]]*RANDBETWEEN(8,12)/10</f>
        <v>179.80599999999998</v>
      </c>
      <c r="BA32">
        <f ca="1">ROUND(T_Facebook_Ads11[[#This Row],[conversions]]*RANDBETWEEN(8,12)/10,0)</f>
        <v>21</v>
      </c>
      <c r="BB32">
        <f ca="1">ROUND(T_Facebook_Ads11[[#This Row],[video_views]]*RANDBETWEEN(8,12)/10,0)</f>
        <v>6888</v>
      </c>
    </row>
    <row r="33" spans="1:54" ht="15.75" thickBot="1" x14ac:dyDescent="0.3">
      <c r="A33" s="3">
        <f t="shared" ca="1" si="1"/>
        <v>44951</v>
      </c>
      <c r="B33" s="4" t="s">
        <v>56</v>
      </c>
      <c r="C33" s="4" t="s">
        <v>57</v>
      </c>
      <c r="D33" s="4" t="s">
        <v>58</v>
      </c>
      <c r="E33" s="4" t="s">
        <v>59</v>
      </c>
      <c r="F33" s="4">
        <f ca="1">ROUND(T_Facebook_Ads[[#This Row],[impressions]]*RANDBETWEEN(8,12)/10,0)</f>
        <v>14567</v>
      </c>
      <c r="G33" s="4">
        <v>723</v>
      </c>
      <c r="H33" s="4">
        <f ca="1">T_Facebook_Ads[[#This Row],[spend]]*RANDBETWEEN(8,12)/10</f>
        <v>205.11999999999998</v>
      </c>
      <c r="I33" s="4">
        <f ca="1">ROUND(T_Facebook_Ads[[#This Row],[conversions]]*RANDBETWEEN(8,12)/10,0)</f>
        <v>40</v>
      </c>
      <c r="J33" s="4">
        <f ca="1">ROUND(T_Facebook_Ads[[#This Row],[video_views]]*RANDBETWEEN(8,12)/10,0)</f>
        <v>1612</v>
      </c>
      <c r="K33" s="4">
        <f ca="1">T_Facebook_Ads[[#This Row],[engagement_rate]]*RANDBETWEEN(8,12)/10</f>
        <v>3.968E-2</v>
      </c>
      <c r="L33" s="4">
        <f ca="1">ROUND(T_Facebook_Ads[[#This Row],[reach]]*RANDBETWEEN(8,12)/10,0)</f>
        <v>13747</v>
      </c>
      <c r="M33" s="4">
        <f ca="1">T_Facebook_Ads[[#This Row],[frequency]]*RANDBETWEEN(8,12)/10</f>
        <v>1.524</v>
      </c>
      <c r="O33" s="3">
        <f t="shared" ca="1" si="2"/>
        <v>44945</v>
      </c>
      <c r="P33" s="4" t="s">
        <v>80</v>
      </c>
      <c r="Q33" s="4" t="s">
        <v>81</v>
      </c>
      <c r="R33" s="4" t="s">
        <v>82</v>
      </c>
      <c r="S33" s="4" t="s">
        <v>83</v>
      </c>
      <c r="T33" s="4">
        <f ca="1">ROUND(_Google_ads[[#This Row],[impressions]]*RANDBETWEEN(8,12)/10,0)</f>
        <v>38312</v>
      </c>
      <c r="U33" s="4">
        <f ca="1">ROUND(_Google_ads[[#This Row],[clicks]]*RANDBETWEEN(8,12)/10,0)</f>
        <v>1121</v>
      </c>
      <c r="V33" s="4">
        <f ca="1">_Google_ads[[#This Row],[cost]]*RANDBETWEEN(8,12)/10</f>
        <v>673.75</v>
      </c>
      <c r="W33" s="4">
        <f ca="1">ROUND(_Google_ads[[#This Row],[conversions]]*RANDBETWEEN(8,12)/10,0)</f>
        <v>26</v>
      </c>
      <c r="X33" s="4">
        <f ca="1">ROUND(_Google_ads[[#This Row],[conversion_value]]*RANDBETWEEN(8,12)/10,0)</f>
        <v>1040</v>
      </c>
      <c r="Y33" s="4">
        <f ca="1">_Google_ads[[#This Row],[ctr]]*RANDBETWEEN(8,12)/10</f>
        <v>1.95E-2</v>
      </c>
      <c r="Z33" s="4">
        <f ca="1">_Google_ads[[#This Row],[avg_cpc]]*RANDBETWEEN(8,12)/10</f>
        <v>0.72600000000000009</v>
      </c>
      <c r="AA33" s="4">
        <f ca="1">ROUND(_Google_ads[[#This Row],[quality_score]]*RANDBETWEEN(8,12)/10,0)</f>
        <v>7</v>
      </c>
      <c r="AB33" s="4">
        <f ca="1">_Google_ads[[#This Row],[search_impression_share]]*RANDBETWEEN(8,12)/10</f>
        <v>0.50600000000000001</v>
      </c>
      <c r="AD33" s="3">
        <f t="shared" ca="1" si="3"/>
        <v>44945</v>
      </c>
      <c r="AE33" s="4" t="s">
        <v>104</v>
      </c>
      <c r="AF33" s="4" t="s">
        <v>105</v>
      </c>
      <c r="AG33" s="4" t="s">
        <v>106</v>
      </c>
      <c r="AH33" s="4" t="s">
        <v>107</v>
      </c>
      <c r="AI33" s="4">
        <f ca="1">ROUND(T_Tiktok_ads[[#This Row],[impressions]]*RANDBETWEEN(8,12)/10,0)</f>
        <v>156789</v>
      </c>
      <c r="AJ33" s="4">
        <f ca="1">ROUND(T_Tiktok_ads[[#This Row],[clicks]]*RANDBETWEEN(8,12)/10,0)</f>
        <v>3614</v>
      </c>
      <c r="AK33" s="4">
        <v>812.3</v>
      </c>
      <c r="AL33" s="4">
        <f ca="1">ROUND(T_Tiktok_ads[[#This Row],[conversions]]*RANDBETWEEN(8,12)/10,0)</f>
        <v>82</v>
      </c>
      <c r="AM33" s="4">
        <f ca="1">ROUND(T_Tiktok_ads[[#This Row],[video_views]]*RANDBETWEEN(8,12)/10,0)</f>
        <v>120864</v>
      </c>
      <c r="AN33" s="4">
        <f ca="1">ROUND(T_Tiktok_ads[[#This Row],[video_watch_25]]*RANDBETWEEN(8,12)/10,0)</f>
        <v>89357</v>
      </c>
      <c r="AO33" s="4">
        <f ca="1">ROUND(T_Tiktok_ads[[#This Row],[video_watch_50]]*RANDBETWEEN(8,12)/10,0)</f>
        <v>54678</v>
      </c>
      <c r="AP33" s="4">
        <f ca="1">ROUND(T_Tiktok_ads[[#This Row],[video_watch_75]]*RANDBETWEEN(8,12)/10,0)</f>
        <v>49481</v>
      </c>
      <c r="AQ33" s="4">
        <f ca="1">ROUND(T_Tiktok_ads[[#This Row],[video_watch_100]]*RANDBETWEEN(8,12)/10,0)</f>
        <v>22054</v>
      </c>
      <c r="AR33" s="4">
        <f ca="1">ROUND(T_Tiktok_ads[[#This Row],[likes]]*RANDBETWEEN(8,12)/10,0)</f>
        <v>5456</v>
      </c>
      <c r="AS33" s="4">
        <f ca="1">ROUND(T_Tiktok_ads[[#This Row],[shares]]*RANDBETWEEN(8,12)/10,0)</f>
        <v>1254</v>
      </c>
      <c r="AT33" s="4">
        <f ca="1">ROUND(T_Tiktok_ads[[#This Row],[comments]]*RANDBETWEEN(8,12)/10,0)</f>
        <v>260</v>
      </c>
      <c r="AV33" s="5">
        <f t="shared" ca="1" si="0"/>
        <v>44927</v>
      </c>
      <c r="AW33">
        <f t="shared" ca="1" si="4"/>
        <v>6</v>
      </c>
      <c r="AX33">
        <f ca="1">ROUND(T_Facebook_Ads11[[#This Row],[impressions]]*RANDBETWEEN(8,12)/10,0)</f>
        <v>17480</v>
      </c>
      <c r="AY33">
        <f ca="1">ROUND(T_Facebook_Ads11[[#This Row],[clicks]]*RANDBETWEEN(8,12)/10,0)</f>
        <v>795</v>
      </c>
      <c r="AZ33">
        <f ca="1">T_Facebook_Ads11[[#This Row],[spend]]*RANDBETWEEN(8,12)/10</f>
        <v>164.09599999999998</v>
      </c>
      <c r="BA33">
        <f ca="1">ROUND(T_Facebook_Ads11[[#This Row],[conversions]]*RANDBETWEEN(8,12)/10,0)</f>
        <v>32</v>
      </c>
      <c r="BB33">
        <f ca="1">ROUND(T_Facebook_Ads11[[#This Row],[video_views]]*RANDBETWEEN(8,12)/10,0)</f>
        <v>1290</v>
      </c>
    </row>
    <row r="34" spans="1:54" ht="15.75" thickBot="1" x14ac:dyDescent="0.3">
      <c r="A34" s="3">
        <f t="shared" ca="1" si="1"/>
        <v>44946</v>
      </c>
      <c r="B34" s="4" t="s">
        <v>60</v>
      </c>
      <c r="C34" s="4" t="s">
        <v>61</v>
      </c>
      <c r="D34" s="4" t="s">
        <v>62</v>
      </c>
      <c r="E34" s="4" t="s">
        <v>63</v>
      </c>
      <c r="F34" s="4">
        <f ca="1">ROUND(T_Facebook_Ads[[#This Row],[impressions]]*RANDBETWEEN(8,12)/10,0)</f>
        <v>43768</v>
      </c>
      <c r="G34" s="4">
        <v>1534</v>
      </c>
      <c r="H34" s="4">
        <f ca="1">T_Facebook_Ads[[#This Row],[spend]]*RANDBETWEEN(8,12)/10</f>
        <v>248.38000000000002</v>
      </c>
      <c r="I34" s="4">
        <f ca="1">ROUND(T_Facebook_Ads[[#This Row],[conversions]]*RANDBETWEEN(8,12)/10,0)</f>
        <v>31</v>
      </c>
      <c r="J34" s="4">
        <f ca="1">ROUND(T_Facebook_Ads[[#This Row],[video_views]]*RANDBETWEEN(8,12)/10,0)</f>
        <v>5456</v>
      </c>
      <c r="K34" s="4">
        <f ca="1">T_Facebook_Ads[[#This Row],[engagement_rate]]*RANDBETWEEN(8,12)/10</f>
        <v>3.0880000000000001E-2</v>
      </c>
      <c r="L34" s="4">
        <f ca="1">ROUND(T_Facebook_Ads[[#This Row],[reach]]*RANDBETWEEN(8,12)/10,0)</f>
        <v>26054</v>
      </c>
      <c r="M34" s="4">
        <f ca="1">T_Facebook_Ads[[#This Row],[frequency]]*RANDBETWEEN(8,12)/10</f>
        <v>0.97599999999999998</v>
      </c>
      <c r="O34" s="3">
        <f t="shared" ca="1" si="2"/>
        <v>44951</v>
      </c>
      <c r="P34" s="4" t="s">
        <v>84</v>
      </c>
      <c r="Q34" s="4" t="s">
        <v>85</v>
      </c>
      <c r="R34" s="4" t="s">
        <v>86</v>
      </c>
      <c r="S34" s="4" t="s">
        <v>87</v>
      </c>
      <c r="T34" s="4">
        <f ca="1">ROUND(_Google_ads[[#This Row],[impressions]]*RANDBETWEEN(8,12)/10,0)</f>
        <v>64111</v>
      </c>
      <c r="U34" s="4">
        <f ca="1">ROUND(_Google_ads[[#This Row],[clicks]]*RANDBETWEEN(8,12)/10,0)</f>
        <v>2456</v>
      </c>
      <c r="V34" s="4">
        <f ca="1">_Google_ads[[#This Row],[cost]]*RANDBETWEEN(8,12)/10</f>
        <v>445.8</v>
      </c>
      <c r="W34" s="4">
        <f ca="1">ROUND(_Google_ads[[#This Row],[conversions]]*RANDBETWEEN(8,12)/10,0)</f>
        <v>71</v>
      </c>
      <c r="X34" s="4">
        <f ca="1">ROUND(_Google_ads[[#This Row],[conversion_value]]*RANDBETWEEN(8,12)/10,0)</f>
        <v>4260</v>
      </c>
      <c r="Y34" s="4">
        <f ca="1">_Google_ads[[#This Row],[ctr]]*RANDBETWEEN(8,12)/10</f>
        <v>4.1400000000000006E-2</v>
      </c>
      <c r="Z34" s="4">
        <f ca="1">_Google_ads[[#This Row],[avg_cpc]]*RANDBETWEEN(8,12)/10</f>
        <v>0.16199999999999998</v>
      </c>
      <c r="AA34" s="4">
        <f ca="1">ROUND(_Google_ads[[#This Row],[quality_score]]*RANDBETWEEN(8,12)/10,0)</f>
        <v>10</v>
      </c>
      <c r="AB34" s="4">
        <f ca="1">_Google_ads[[#This Row],[search_impression_share]]*RANDBETWEEN(8,12)/10</f>
        <v>0.54400000000000004</v>
      </c>
      <c r="AD34" s="3">
        <f t="shared" ca="1" si="3"/>
        <v>44941</v>
      </c>
      <c r="AE34" s="4" t="s">
        <v>108</v>
      </c>
      <c r="AF34" s="4" t="s">
        <v>109</v>
      </c>
      <c r="AG34" s="4" t="s">
        <v>110</v>
      </c>
      <c r="AH34" s="4" t="s">
        <v>111</v>
      </c>
      <c r="AI34" s="4">
        <f ca="1">ROUND(T_Tiktok_ads[[#This Row],[impressions]]*RANDBETWEEN(8,12)/10,0)</f>
        <v>211110</v>
      </c>
      <c r="AJ34" s="4">
        <f ca="1">ROUND(T_Tiktok_ads[[#This Row],[clicks]]*RANDBETWEEN(8,12)/10,0)</f>
        <v>3789</v>
      </c>
      <c r="AK34" s="4">
        <v>456.8</v>
      </c>
      <c r="AL34" s="4">
        <f ca="1">ROUND(T_Tiktok_ads[[#This Row],[conversions]]*RANDBETWEEN(8,12)/10,0)</f>
        <v>36</v>
      </c>
      <c r="AM34" s="4">
        <f ca="1">ROUND(T_Tiktok_ads[[#This Row],[video_views]]*RANDBETWEEN(8,12)/10,0)</f>
        <v>208157</v>
      </c>
      <c r="AN34" s="4">
        <f ca="1">ROUND(T_Tiktok_ads[[#This Row],[video_watch_25]]*RANDBETWEEN(8,12)/10,0)</f>
        <v>157924</v>
      </c>
      <c r="AO34" s="4">
        <f ca="1">ROUND(T_Tiktok_ads[[#This Row],[video_watch_50]]*RANDBETWEEN(8,12)/10,0)</f>
        <v>102110</v>
      </c>
      <c r="AP34" s="4">
        <f ca="1">ROUND(T_Tiktok_ads[[#This Row],[video_watch_75]]*RANDBETWEEN(8,12)/10,0)</f>
        <v>58765</v>
      </c>
      <c r="AQ34" s="4">
        <f ca="1">ROUND(T_Tiktok_ads[[#This Row],[video_watch_100]]*RANDBETWEEN(8,12)/10,0)</f>
        <v>49024</v>
      </c>
      <c r="AR34" s="4">
        <f ca="1">ROUND(T_Tiktok_ads[[#This Row],[likes]]*RANDBETWEEN(8,12)/10,0)</f>
        <v>7910</v>
      </c>
      <c r="AS34" s="4">
        <f ca="1">ROUND(T_Tiktok_ads[[#This Row],[shares]]*RANDBETWEEN(8,12)/10,0)</f>
        <v>2921</v>
      </c>
      <c r="AT34" s="4">
        <f ca="1">ROUND(T_Tiktok_ads[[#This Row],[comments]]*RANDBETWEEN(8,12)/10,0)</f>
        <v>510</v>
      </c>
      <c r="AV34" s="5">
        <f t="shared" ref="AV34:AV65" ca="1" si="5">DATE(2023,1,RANDBETWEEN(1,31))</f>
        <v>44944</v>
      </c>
      <c r="AW34">
        <f t="shared" ca="1" si="4"/>
        <v>7</v>
      </c>
      <c r="AX34">
        <f ca="1">ROUND(T_Facebook_Ads11[[#This Row],[impressions]]*RANDBETWEEN(8,12)/10,0)</f>
        <v>43768</v>
      </c>
      <c r="AY34">
        <f ca="1">ROUND(T_Facebook_Ads11[[#This Row],[clicks]]*RANDBETWEEN(8,12)/10,0)</f>
        <v>1227</v>
      </c>
      <c r="AZ34">
        <f ca="1">T_Facebook_Ads11[[#This Row],[spend]]*RANDBETWEEN(8,12)/10</f>
        <v>273.21800000000002</v>
      </c>
      <c r="BA34">
        <f ca="1">ROUND(T_Facebook_Ads11[[#This Row],[conversions]]*RANDBETWEEN(8,12)/10,0)</f>
        <v>25</v>
      </c>
      <c r="BB34">
        <f ca="1">ROUND(T_Facebook_Ads11[[#This Row],[video_views]]*RANDBETWEEN(8,12)/10,0)</f>
        <v>4910</v>
      </c>
    </row>
    <row r="35" spans="1:54" ht="15.75" thickBot="1" x14ac:dyDescent="0.3">
      <c r="A35" s="3">
        <f t="shared" ca="1" si="1"/>
        <v>44945</v>
      </c>
      <c r="B35" s="4" t="s">
        <v>64</v>
      </c>
      <c r="C35" s="4" t="s">
        <v>65</v>
      </c>
      <c r="D35" s="4" t="s">
        <v>66</v>
      </c>
      <c r="E35" s="4" t="s">
        <v>67</v>
      </c>
      <c r="F35" s="4">
        <f ca="1">ROUND(T_Facebook_Ads[[#This Row],[impressions]]*RANDBETWEEN(8,12)/10,0)</f>
        <v>76234</v>
      </c>
      <c r="G35" s="4">
        <v>278</v>
      </c>
      <c r="H35" s="4">
        <f ca="1">T_Facebook_Ads[[#This Row],[spend]]*RANDBETWEEN(8,12)/10</f>
        <v>111.65</v>
      </c>
      <c r="I35" s="4">
        <f ca="1">ROUND(T_Facebook_Ads[[#This Row],[conversions]]*RANDBETWEEN(8,12)/10,0)</f>
        <v>9</v>
      </c>
      <c r="J35" s="4">
        <f ca="1">ROUND(T_Facebook_Ads[[#This Row],[video_views]]*RANDBETWEEN(8,12)/10,0)</f>
        <v>52345</v>
      </c>
      <c r="K35" s="4">
        <f ca="1">T_Facebook_Ads[[#This Row],[engagement_rate]]*RANDBETWEEN(8,12)/10</f>
        <v>3.3300000000000005E-3</v>
      </c>
      <c r="L35" s="4">
        <f ca="1">ROUND(T_Facebook_Ads[[#This Row],[reach]]*RANDBETWEEN(8,12)/10,0)</f>
        <v>56210</v>
      </c>
      <c r="M35" s="4">
        <f ca="1">T_Facebook_Ads[[#This Row],[frequency]]*RANDBETWEEN(8,12)/10</f>
        <v>0.97599999999999998</v>
      </c>
      <c r="O35" s="3">
        <f t="shared" ca="1" si="2"/>
        <v>44937</v>
      </c>
      <c r="P35" s="4" t="s">
        <v>88</v>
      </c>
      <c r="Q35" s="4" t="s">
        <v>89</v>
      </c>
      <c r="R35" s="4" t="s">
        <v>90</v>
      </c>
      <c r="S35" s="4" t="s">
        <v>59</v>
      </c>
      <c r="T35" s="4">
        <f ca="1">ROUND(_Google_ads[[#This Row],[impressions]]*RANDBETWEEN(8,12)/10,0)</f>
        <v>164147</v>
      </c>
      <c r="U35" s="4">
        <f ca="1">ROUND(_Google_ads[[#This Row],[clicks]]*RANDBETWEEN(8,12)/10,0)</f>
        <v>563</v>
      </c>
      <c r="V35" s="4">
        <f ca="1">_Google_ads[[#This Row],[cost]]*RANDBETWEEN(8,12)/10</f>
        <v>170.76000000000002</v>
      </c>
      <c r="W35" s="4">
        <f ca="1">ROUND(_Google_ads[[#This Row],[conversions]]*RANDBETWEEN(8,12)/10,0)</f>
        <v>18</v>
      </c>
      <c r="X35" s="4">
        <f ca="1">ROUND(_Google_ads[[#This Row],[conversion_value]]*RANDBETWEEN(8,12)/10,0)</f>
        <v>825</v>
      </c>
      <c r="Y35" s="4">
        <f ca="1">_Google_ads[[#This Row],[ctr]]*RANDBETWEEN(8,12)/10</f>
        <v>4.4400000000000004E-3</v>
      </c>
      <c r="Z35" s="4">
        <f ca="1">_Google_ads[[#This Row],[avg_cpc]]*RANDBETWEEN(8,12)/10</f>
        <v>0.308</v>
      </c>
      <c r="AA35" s="4">
        <f ca="1">ROUND(_Google_ads[[#This Row],[quality_score]]*RANDBETWEEN(8,12)/10,0)</f>
        <v>6</v>
      </c>
      <c r="AB35" s="4">
        <f ca="1">_Google_ads[[#This Row],[search_impression_share]]*RANDBETWEEN(8,12)/10</f>
        <v>0.36</v>
      </c>
      <c r="AD35" s="3">
        <f t="shared" ca="1" si="3"/>
        <v>44939</v>
      </c>
      <c r="AE35" s="4" t="s">
        <v>112</v>
      </c>
      <c r="AF35" s="4" t="s">
        <v>113</v>
      </c>
      <c r="AG35" s="4" t="s">
        <v>114</v>
      </c>
      <c r="AH35" s="4" t="s">
        <v>115</v>
      </c>
      <c r="AI35" s="4">
        <f ca="1">ROUND(T_Tiktok_ads[[#This Row],[impressions]]*RANDBETWEEN(8,12)/10,0)</f>
        <v>453580</v>
      </c>
      <c r="AJ35" s="4">
        <f ca="1">ROUND(T_Tiktok_ads[[#This Row],[clicks]]*RANDBETWEEN(8,12)/10,0)</f>
        <v>6789</v>
      </c>
      <c r="AK35" s="4">
        <v>1023.4</v>
      </c>
      <c r="AL35" s="4">
        <f ca="1">ROUND(T_Tiktok_ads[[#This Row],[conversions]]*RANDBETWEEN(8,12)/10,0)</f>
        <v>124</v>
      </c>
      <c r="AM35" s="4">
        <f ca="1">ROUND(T_Tiktok_ads[[#This Row],[video_views]]*RANDBETWEEN(8,12)/10,0)</f>
        <v>414814</v>
      </c>
      <c r="AN35" s="4">
        <f ca="1">ROUND(T_Tiktok_ads[[#This Row],[video_watch_25]]*RANDBETWEEN(8,12)/10,0)</f>
        <v>306791</v>
      </c>
      <c r="AO35" s="4">
        <f ca="1">ROUND(T_Tiktok_ads[[#This Row],[video_watch_50]]*RANDBETWEEN(8,12)/10,0)</f>
        <v>268147</v>
      </c>
      <c r="AP35" s="4">
        <f ca="1">ROUND(T_Tiktok_ads[[#This Row],[video_watch_75]]*RANDBETWEEN(8,12)/10,0)</f>
        <v>159234</v>
      </c>
      <c r="AQ35" s="4">
        <f ca="1">ROUND(T_Tiktok_ads[[#This Row],[video_watch_100]]*RANDBETWEEN(8,12)/10,0)</f>
        <v>126814</v>
      </c>
      <c r="AR35" s="4">
        <f ca="1">ROUND(T_Tiktok_ads[[#This Row],[likes]]*RANDBETWEEN(8,12)/10,0)</f>
        <v>20057</v>
      </c>
      <c r="AS35" s="4">
        <f ca="1">ROUND(T_Tiktok_ads[[#This Row],[shares]]*RANDBETWEEN(8,12)/10,0)</f>
        <v>4187</v>
      </c>
      <c r="AT35" s="4">
        <f ca="1">ROUND(T_Tiktok_ads[[#This Row],[comments]]*RANDBETWEEN(8,12)/10,0)</f>
        <v>1310</v>
      </c>
      <c r="AV35" s="5">
        <f t="shared" ca="1" si="5"/>
        <v>44955</v>
      </c>
      <c r="AW35">
        <f t="shared" ca="1" si="4"/>
        <v>6</v>
      </c>
      <c r="AX35">
        <f ca="1">ROUND(T_Facebook_Ads11[[#This Row],[impressions]]*RANDBETWEEN(8,12)/10,0)</f>
        <v>91481</v>
      </c>
      <c r="AY35">
        <f ca="1">ROUND(T_Facebook_Ads11[[#This Row],[clicks]]*RANDBETWEEN(8,12)/10,0)</f>
        <v>306</v>
      </c>
      <c r="AZ35">
        <f ca="1">T_Facebook_Ads11[[#This Row],[spend]]*RANDBETWEEN(8,12)/10</f>
        <v>111.65</v>
      </c>
      <c r="BA35">
        <f ca="1">ROUND(T_Facebook_Ads11[[#This Row],[conversions]]*RANDBETWEEN(8,12)/10,0)</f>
        <v>11</v>
      </c>
      <c r="BB35">
        <f ca="1">ROUND(T_Facebook_Ads11[[#This Row],[video_views]]*RANDBETWEEN(8,12)/10,0)</f>
        <v>41876</v>
      </c>
    </row>
    <row r="36" spans="1:54" ht="15.75" thickBot="1" x14ac:dyDescent="0.3">
      <c r="A36" s="3">
        <f t="shared" ca="1" si="1"/>
        <v>44955</v>
      </c>
      <c r="B36" s="4" t="s">
        <v>52</v>
      </c>
      <c r="C36" s="4" t="s">
        <v>53</v>
      </c>
      <c r="D36" s="4" t="s">
        <v>54</v>
      </c>
      <c r="E36" s="4" t="s">
        <v>55</v>
      </c>
      <c r="F36" s="4">
        <f ca="1">ROUND(T_Facebook_Ads[[#This Row],[impressions]]*RANDBETWEEN(8,12)/10,0)</f>
        <v>59081</v>
      </c>
      <c r="G36" s="4">
        <v>1012</v>
      </c>
      <c r="H36" s="4">
        <f ca="1">T_Facebook_Ads[[#This Row],[spend]]*RANDBETWEEN(8,12)/10</f>
        <v>140.30000000000001</v>
      </c>
      <c r="I36" s="4">
        <f ca="1">ROUND(T_Facebook_Ads[[#This Row],[conversions]]*RANDBETWEEN(8,12)/10,0)</f>
        <v>17</v>
      </c>
      <c r="J36" s="4">
        <f ca="1">ROUND(T_Facebook_Ads[[#This Row],[video_views]]*RANDBETWEEN(8,12)/10,0)</f>
        <v>9123</v>
      </c>
      <c r="K36" s="4">
        <f ca="1">T_Facebook_Ads[[#This Row],[engagement_rate]]*RANDBETWEEN(8,12)/10</f>
        <v>2.266E-2</v>
      </c>
      <c r="L36" s="4">
        <f ca="1">ROUND(T_Facebook_Ads[[#This Row],[reach]]*RANDBETWEEN(8,12)/10,0)</f>
        <v>49880</v>
      </c>
      <c r="M36" s="4">
        <f ca="1">T_Facebook_Ads[[#This Row],[frequency]]*RANDBETWEEN(8,12)/10</f>
        <v>1.4159999999999999</v>
      </c>
      <c r="O36" s="3">
        <f t="shared" ca="1" si="2"/>
        <v>44944</v>
      </c>
      <c r="P36" s="4" t="s">
        <v>76</v>
      </c>
      <c r="Q36" s="4" t="s">
        <v>77</v>
      </c>
      <c r="R36" s="4" t="s">
        <v>78</v>
      </c>
      <c r="S36" s="4" t="s">
        <v>79</v>
      </c>
      <c r="T36" s="4">
        <f ca="1">ROUND(_Google_ads[[#This Row],[impressions]]*RANDBETWEEN(8,12)/10,0)</f>
        <v>20098</v>
      </c>
      <c r="U36" s="4">
        <f ca="1">ROUND(_Google_ads[[#This Row],[clicks]]*RANDBETWEEN(8,12)/10,0)</f>
        <v>1574</v>
      </c>
      <c r="V36" s="4">
        <f ca="1">_Google_ads[[#This Row],[cost]]*RANDBETWEEN(8,12)/10</f>
        <v>225.35999999999999</v>
      </c>
      <c r="W36" s="4">
        <f ca="1">ROUND(_Google_ads[[#This Row],[conversions]]*RANDBETWEEN(8,12)/10,0)</f>
        <v>59</v>
      </c>
      <c r="X36" s="4">
        <f ca="1">ROUND(_Google_ads[[#This Row],[conversion_value]]*RANDBETWEEN(8,12)/10,0)</f>
        <v>2940</v>
      </c>
      <c r="Y36" s="4">
        <f ca="1">_Google_ads[[#This Row],[ctr]]*RANDBETWEEN(8,12)/10</f>
        <v>5.7420000000000006E-2</v>
      </c>
      <c r="Z36" s="4">
        <f ca="1">_Google_ads[[#This Row],[avg_cpc]]*RANDBETWEEN(8,12)/10</f>
        <v>0.22800000000000004</v>
      </c>
      <c r="AA36" s="4">
        <f ca="1">ROUND(_Google_ads[[#This Row],[quality_score]]*RANDBETWEEN(8,12)/10,0)</f>
        <v>9</v>
      </c>
      <c r="AB36" s="4">
        <f ca="1">_Google_ads[[#This Row],[search_impression_share]]*RANDBETWEEN(8,12)/10</f>
        <v>1.0920000000000001</v>
      </c>
      <c r="AD36" s="3">
        <f t="shared" ca="1" si="3"/>
        <v>44944</v>
      </c>
      <c r="AE36" s="4" t="s">
        <v>100</v>
      </c>
      <c r="AF36" s="4" t="s">
        <v>101</v>
      </c>
      <c r="AG36" s="4" t="s">
        <v>102</v>
      </c>
      <c r="AH36" s="4" t="s">
        <v>103</v>
      </c>
      <c r="AI36" s="4">
        <f ca="1">ROUND(T_Tiktok_ads[[#This Row],[impressions]]*RANDBETWEEN(8,12)/10,0)</f>
        <v>321468</v>
      </c>
      <c r="AJ36" s="4">
        <f ca="1">ROUND(T_Tiktok_ads[[#This Row],[clicks]]*RANDBETWEEN(8,12)/10,0)</f>
        <v>3551</v>
      </c>
      <c r="AK36" s="4">
        <v>501.2</v>
      </c>
      <c r="AL36" s="4">
        <f ca="1">ROUND(T_Tiktok_ads[[#This Row],[conversions]]*RANDBETWEEN(8,12)/10,0)</f>
        <v>40</v>
      </c>
      <c r="AM36" s="4">
        <f ca="1">ROUND(T_Tiktok_ads[[#This Row],[video_views]]*RANDBETWEEN(8,12)/10,0)</f>
        <v>176987</v>
      </c>
      <c r="AN36" s="4">
        <f ca="1">ROUND(T_Tiktok_ads[[#This Row],[video_watch_25]]*RANDBETWEEN(8,12)/10,0)</f>
        <v>190802</v>
      </c>
      <c r="AO36" s="4">
        <f ca="1">ROUND(T_Tiktok_ads[[#This Row],[video_watch_50]]*RANDBETWEEN(8,12)/10,0)</f>
        <v>131081</v>
      </c>
      <c r="AP36" s="4">
        <f ca="1">ROUND(T_Tiktok_ads[[#This Row],[video_watch_75]]*RANDBETWEEN(8,12)/10,0)</f>
        <v>66210</v>
      </c>
      <c r="AQ36" s="4">
        <f ca="1">ROUND(T_Tiktok_ads[[#This Row],[video_watch_100]]*RANDBETWEEN(8,12)/10,0)</f>
        <v>54157</v>
      </c>
      <c r="AR36" s="4">
        <f ca="1">ROUND(T_Tiktok_ads[[#This Row],[likes]]*RANDBETWEEN(8,12)/10,0)</f>
        <v>9789</v>
      </c>
      <c r="AS36" s="4">
        <f ca="1">ROUND(T_Tiktok_ads[[#This Row],[shares]]*RANDBETWEEN(8,12)/10,0)</f>
        <v>2371</v>
      </c>
      <c r="AT36" s="4">
        <f ca="1">ROUND(T_Tiktok_ads[[#This Row],[comments]]*RANDBETWEEN(8,12)/10,0)</f>
        <v>561</v>
      </c>
      <c r="AV36" s="5">
        <f t="shared" ca="1" si="5"/>
        <v>44929</v>
      </c>
      <c r="AW36">
        <f t="shared" ca="1" si="4"/>
        <v>1</v>
      </c>
      <c r="AX36">
        <f ca="1">ROUND(T_Facebook_Ads11[[#This Row],[impressions]]*RANDBETWEEN(8,12)/10,0)</f>
        <v>64989</v>
      </c>
      <c r="AY36">
        <f ca="1">ROUND(T_Facebook_Ads11[[#This Row],[clicks]]*RANDBETWEEN(8,12)/10,0)</f>
        <v>810</v>
      </c>
      <c r="AZ36">
        <f ca="1">T_Facebook_Ads11[[#This Row],[spend]]*RANDBETWEEN(8,12)/10</f>
        <v>154.33000000000001</v>
      </c>
      <c r="BA36">
        <f ca="1">ROUND(T_Facebook_Ads11[[#This Row],[conversions]]*RANDBETWEEN(8,12)/10,0)</f>
        <v>17</v>
      </c>
      <c r="BB36">
        <f ca="1">ROUND(T_Facebook_Ads11[[#This Row],[video_views]]*RANDBETWEEN(8,12)/10,0)</f>
        <v>8211</v>
      </c>
    </row>
    <row r="37" spans="1:54" ht="15.75" thickBot="1" x14ac:dyDescent="0.3">
      <c r="A37" s="3">
        <f t="shared" ca="1" si="1"/>
        <v>44956</v>
      </c>
      <c r="B37" s="4" t="s">
        <v>56</v>
      </c>
      <c r="C37" s="4" t="s">
        <v>57</v>
      </c>
      <c r="D37" s="4" t="s">
        <v>58</v>
      </c>
      <c r="E37" s="4" t="s">
        <v>59</v>
      </c>
      <c r="F37" s="4">
        <f ca="1">ROUND(T_Facebook_Ads[[#This Row],[impressions]]*RANDBETWEEN(8,12)/10,0)</f>
        <v>13456</v>
      </c>
      <c r="G37" s="4">
        <v>634</v>
      </c>
      <c r="H37" s="4">
        <f ca="1">T_Facebook_Ads[[#This Row],[spend]]*RANDBETWEEN(8,12)/10</f>
        <v>191.76</v>
      </c>
      <c r="I37" s="4">
        <f ca="1">ROUND(T_Facebook_Ads[[#This Row],[conversions]]*RANDBETWEEN(8,12)/10,0)</f>
        <v>35</v>
      </c>
      <c r="J37" s="4">
        <f ca="1">ROUND(T_Facebook_Ads[[#This Row],[video_views]]*RANDBETWEEN(8,12)/10,0)</f>
        <v>1102</v>
      </c>
      <c r="K37" s="4">
        <f ca="1">T_Facebook_Ads[[#This Row],[engagement_rate]]*RANDBETWEEN(8,12)/10</f>
        <v>4.2390000000000004E-2</v>
      </c>
      <c r="L37" s="4">
        <f ca="1">ROUND(T_Facebook_Ads[[#This Row],[reach]]*RANDBETWEEN(8,12)/10,0)</f>
        <v>10567</v>
      </c>
      <c r="M37" s="4">
        <f ca="1">T_Facebook_Ads[[#This Row],[frequency]]*RANDBETWEEN(8,12)/10</f>
        <v>1.016</v>
      </c>
      <c r="O37" s="3">
        <f t="shared" ca="1" si="2"/>
        <v>44939</v>
      </c>
      <c r="P37" s="4" t="s">
        <v>80</v>
      </c>
      <c r="Q37" s="4" t="s">
        <v>81</v>
      </c>
      <c r="R37" s="4" t="s">
        <v>82</v>
      </c>
      <c r="S37" s="4" t="s">
        <v>83</v>
      </c>
      <c r="T37" s="4">
        <f ca="1">ROUND(_Google_ads[[#This Row],[impressions]]*RANDBETWEEN(8,12)/10,0)</f>
        <v>55880</v>
      </c>
      <c r="U37" s="4">
        <f ca="1">ROUND(_Google_ads[[#This Row],[clicks]]*RANDBETWEEN(8,12)/10,0)</f>
        <v>912</v>
      </c>
      <c r="V37" s="4">
        <f ca="1">_Google_ads[[#This Row],[cost]]*RANDBETWEEN(8,12)/10</f>
        <v>716.04000000000008</v>
      </c>
      <c r="W37" s="4">
        <f ca="1">ROUND(_Google_ads[[#This Row],[conversions]]*RANDBETWEEN(8,12)/10,0)</f>
        <v>19</v>
      </c>
      <c r="X37" s="4">
        <f ca="1">ROUND(_Google_ads[[#This Row],[conversion_value]]*RANDBETWEEN(8,12)/10,0)</f>
        <v>1080</v>
      </c>
      <c r="Y37" s="4">
        <f ca="1">_Google_ads[[#This Row],[ctr]]*RANDBETWEEN(8,12)/10</f>
        <v>2.3519999999999999E-2</v>
      </c>
      <c r="Z37" s="4">
        <f ca="1">_Google_ads[[#This Row],[avg_cpc]]*RANDBETWEEN(8,12)/10</f>
        <v>0.78</v>
      </c>
      <c r="AA37" s="4">
        <f ca="1">ROUND(_Google_ads[[#This Row],[quality_score]]*RANDBETWEEN(8,12)/10,0)</f>
        <v>6</v>
      </c>
      <c r="AB37" s="4">
        <f ca="1">_Google_ads[[#This Row],[search_impression_share]]*RANDBETWEEN(8,12)/10</f>
        <v>0.40499999999999997</v>
      </c>
      <c r="AD37" s="3">
        <f t="shared" ca="1" si="3"/>
        <v>44947</v>
      </c>
      <c r="AE37" s="4" t="s">
        <v>104</v>
      </c>
      <c r="AF37" s="4" t="s">
        <v>105</v>
      </c>
      <c r="AG37" s="4" t="s">
        <v>106</v>
      </c>
      <c r="AH37" s="4" t="s">
        <v>107</v>
      </c>
      <c r="AI37" s="4">
        <f ca="1">ROUND(T_Tiktok_ads[[#This Row],[impressions]]*RANDBETWEEN(8,12)/10,0)</f>
        <v>163791</v>
      </c>
      <c r="AJ37" s="4">
        <f ca="1">ROUND(T_Tiktok_ads[[#This Row],[clicks]]*RANDBETWEEN(8,12)/10,0)</f>
        <v>2551</v>
      </c>
      <c r="AK37" s="4">
        <v>767.5</v>
      </c>
      <c r="AL37" s="4">
        <f ca="1">ROUND(T_Tiktok_ads[[#This Row],[conversions]]*RANDBETWEEN(8,12)/10,0)</f>
        <v>62</v>
      </c>
      <c r="AM37" s="4">
        <f ca="1">ROUND(T_Tiktok_ads[[#This Row],[video_views]]*RANDBETWEEN(8,12)/10,0)</f>
        <v>124147</v>
      </c>
      <c r="AN37" s="4">
        <f ca="1">ROUND(T_Tiktok_ads[[#This Row],[video_watch_25]]*RANDBETWEEN(8,12)/10,0)</f>
        <v>68611</v>
      </c>
      <c r="AO37" s="4">
        <f ca="1">ROUND(T_Tiktok_ads[[#This Row],[video_watch_50]]*RANDBETWEEN(8,12)/10,0)</f>
        <v>56357</v>
      </c>
      <c r="AP37" s="4">
        <f ca="1">ROUND(T_Tiktok_ads[[#This Row],[video_watch_75]]*RANDBETWEEN(8,12)/10,0)</f>
        <v>42424</v>
      </c>
      <c r="AQ37" s="4">
        <f ca="1">ROUND(T_Tiktok_ads[[#This Row],[video_watch_100]]*RANDBETWEEN(8,12)/10,0)</f>
        <v>23210</v>
      </c>
      <c r="AR37" s="4">
        <f ca="1">ROUND(T_Tiktok_ads[[#This Row],[likes]]*RANDBETWEEN(8,12)/10,0)</f>
        <v>6148</v>
      </c>
      <c r="AS37" s="4">
        <f ca="1">ROUND(T_Tiktok_ads[[#This Row],[shares]]*RANDBETWEEN(8,12)/10,0)</f>
        <v>1165</v>
      </c>
      <c r="AT37" s="4">
        <f ca="1">ROUND(T_Tiktok_ads[[#This Row],[comments]]*RANDBETWEEN(8,12)/10,0)</f>
        <v>278</v>
      </c>
      <c r="AV37" s="5">
        <f t="shared" ca="1" si="5"/>
        <v>44927</v>
      </c>
      <c r="AW37">
        <f t="shared" ca="1" si="4"/>
        <v>5</v>
      </c>
      <c r="AX37">
        <f ca="1">ROUND(T_Facebook_Ads11[[#This Row],[impressions]]*RANDBETWEEN(8,12)/10,0)</f>
        <v>12110</v>
      </c>
      <c r="AY37">
        <f ca="1">ROUND(T_Facebook_Ads11[[#This Row],[clicks]]*RANDBETWEEN(8,12)/10,0)</f>
        <v>571</v>
      </c>
      <c r="AZ37">
        <f ca="1">T_Facebook_Ads11[[#This Row],[spend]]*RANDBETWEEN(8,12)/10</f>
        <v>191.76</v>
      </c>
      <c r="BA37">
        <f ca="1">ROUND(T_Facebook_Ads11[[#This Row],[conversions]]*RANDBETWEEN(8,12)/10,0)</f>
        <v>32</v>
      </c>
      <c r="BB37">
        <f ca="1">ROUND(T_Facebook_Ads11[[#This Row],[video_views]]*RANDBETWEEN(8,12)/10,0)</f>
        <v>1322</v>
      </c>
    </row>
    <row r="38" spans="1:54" ht="15.75" thickBot="1" x14ac:dyDescent="0.3">
      <c r="A38" s="3">
        <f t="shared" ca="1" si="1"/>
        <v>44956</v>
      </c>
      <c r="B38" s="4" t="s">
        <v>60</v>
      </c>
      <c r="C38" s="4" t="s">
        <v>61</v>
      </c>
      <c r="D38" s="4" t="s">
        <v>62</v>
      </c>
      <c r="E38" s="4" t="s">
        <v>63</v>
      </c>
      <c r="F38" s="4">
        <f ca="1">ROUND(T_Facebook_Ads[[#This Row],[impressions]]*RANDBETWEEN(8,12)/10,0)</f>
        <v>37890</v>
      </c>
      <c r="G38" s="4">
        <v>1398</v>
      </c>
      <c r="H38" s="4">
        <f ca="1">T_Facebook_Ads[[#This Row],[spend]]*RANDBETWEEN(8,12)/10</f>
        <v>254.88000000000002</v>
      </c>
      <c r="I38" s="4">
        <f ca="1">ROUND(T_Facebook_Ads[[#This Row],[conversions]]*RANDBETWEEN(8,12)/10,0)</f>
        <v>31</v>
      </c>
      <c r="J38" s="4">
        <f ca="1">ROUND(T_Facebook_Ads[[#This Row],[video_views]]*RANDBETWEEN(8,12)/10,0)</f>
        <v>4511</v>
      </c>
      <c r="K38" s="4">
        <f ca="1">T_Facebook_Ads[[#This Row],[engagement_rate]]*RANDBETWEEN(8,12)/10</f>
        <v>4.428E-2</v>
      </c>
      <c r="L38" s="4">
        <f ca="1">ROUND(T_Facebook_Ads[[#This Row],[reach]]*RANDBETWEEN(8,12)/10,0)</f>
        <v>33979</v>
      </c>
      <c r="M38" s="4">
        <f ca="1">T_Facebook_Ads[[#This Row],[frequency]]*RANDBETWEEN(8,12)/10</f>
        <v>1.107</v>
      </c>
      <c r="O38" s="3">
        <f t="shared" ca="1" si="2"/>
        <v>44929</v>
      </c>
      <c r="P38" s="4" t="s">
        <v>84</v>
      </c>
      <c r="Q38" s="4" t="s">
        <v>85</v>
      </c>
      <c r="R38" s="4" t="s">
        <v>86</v>
      </c>
      <c r="S38" s="4" t="s">
        <v>87</v>
      </c>
      <c r="T38" s="4">
        <f ca="1">ROUND(_Google_ads[[#This Row],[impressions]]*RANDBETWEEN(8,12)/10,0)</f>
        <v>83868</v>
      </c>
      <c r="U38" s="4">
        <f ca="1">ROUND(_Google_ads[[#This Row],[clicks]]*RANDBETWEEN(8,12)/10,0)</f>
        <v>2801</v>
      </c>
      <c r="V38" s="4">
        <f ca="1">_Google_ads[[#This Row],[cost]]*RANDBETWEEN(8,12)/10</f>
        <v>471.78999999999996</v>
      </c>
      <c r="W38" s="4">
        <f ca="1">ROUND(_Google_ads[[#This Row],[conversions]]*RANDBETWEEN(8,12)/10,0)</f>
        <v>53</v>
      </c>
      <c r="X38" s="4">
        <f ca="1">ROUND(_Google_ads[[#This Row],[conversion_value]]*RANDBETWEEN(8,12)/10,0)</f>
        <v>2970</v>
      </c>
      <c r="Y38" s="4">
        <f ca="1">_Google_ads[[#This Row],[ctr]]*RANDBETWEEN(8,12)/10</f>
        <v>3.3399999999999999E-2</v>
      </c>
      <c r="Z38" s="4">
        <f ca="1">_Google_ads[[#This Row],[avg_cpc]]*RANDBETWEEN(8,12)/10</f>
        <v>0.16199999999999998</v>
      </c>
      <c r="AA38" s="4">
        <f ca="1">ROUND(_Google_ads[[#This Row],[quality_score]]*RANDBETWEEN(8,12)/10,0)</f>
        <v>9</v>
      </c>
      <c r="AB38" s="4">
        <f ca="1">_Google_ads[[#This Row],[search_impression_share]]*RANDBETWEEN(8,12)/10</f>
        <v>0.53600000000000003</v>
      </c>
      <c r="AD38" s="3">
        <f t="shared" ca="1" si="3"/>
        <v>44938</v>
      </c>
      <c r="AE38" s="4" t="s">
        <v>108</v>
      </c>
      <c r="AF38" s="4" t="s">
        <v>109</v>
      </c>
      <c r="AG38" s="4" t="s">
        <v>110</v>
      </c>
      <c r="AH38" s="4" t="s">
        <v>111</v>
      </c>
      <c r="AI38" s="4">
        <f ca="1">ROUND(T_Tiktok_ads[[#This Row],[impressions]]*RANDBETWEEN(8,12)/10,0)</f>
        <v>228901</v>
      </c>
      <c r="AJ38" s="4">
        <f ca="1">ROUND(T_Tiktok_ads[[#This Row],[clicks]]*RANDBETWEEN(8,12)/10,0)</f>
        <v>2907</v>
      </c>
      <c r="AK38" s="4">
        <v>441.9</v>
      </c>
      <c r="AL38" s="4">
        <f ca="1">ROUND(T_Tiktok_ads[[#This Row],[conversions]]*RANDBETWEEN(8,12)/10,0)</f>
        <v>31</v>
      </c>
      <c r="AM38" s="4">
        <f ca="1">ROUND(T_Tiktok_ads[[#This Row],[video_views]]*RANDBETWEEN(8,12)/10,0)</f>
        <v>200580</v>
      </c>
      <c r="AN38" s="4">
        <f ca="1">ROUND(T_Tiktok_ads[[#This Row],[video_watch_25]]*RANDBETWEEN(8,12)/10,0)</f>
        <v>165468</v>
      </c>
      <c r="AO38" s="4">
        <f ca="1">ROUND(T_Tiktok_ads[[#This Row],[video_watch_50]]*RANDBETWEEN(8,12)/10,0)</f>
        <v>119791</v>
      </c>
      <c r="AP38" s="4">
        <f ca="1">ROUND(T_Tiktok_ads[[#This Row],[video_watch_75]]*RANDBETWEEN(8,12)/10,0)</f>
        <v>63510</v>
      </c>
      <c r="AQ38" s="4">
        <f ca="1">ROUND(T_Tiktok_ads[[#This Row],[video_watch_100]]*RANDBETWEEN(8,12)/10,0)</f>
        <v>38510</v>
      </c>
      <c r="AR38" s="4">
        <f ca="1">ROUND(T_Tiktok_ads[[#This Row],[likes]]*RANDBETWEEN(8,12)/10,0)</f>
        <v>7610</v>
      </c>
      <c r="AS38" s="4">
        <f ca="1">ROUND(T_Tiktok_ads[[#This Row],[shares]]*RANDBETWEEN(8,12)/10,0)</f>
        <v>2761</v>
      </c>
      <c r="AT38" s="4">
        <f ca="1">ROUND(T_Tiktok_ads[[#This Row],[comments]]*RANDBETWEEN(8,12)/10,0)</f>
        <v>545</v>
      </c>
      <c r="AV38" s="5">
        <f t="shared" ca="1" si="5"/>
        <v>44938</v>
      </c>
      <c r="AW38">
        <f t="shared" ca="1" si="4"/>
        <v>4</v>
      </c>
      <c r="AX38">
        <f ca="1">ROUND(T_Facebook_Ads11[[#This Row],[impressions]]*RANDBETWEEN(8,12)/10,0)</f>
        <v>30312</v>
      </c>
      <c r="AY38">
        <f ca="1">ROUND(T_Facebook_Ads11[[#This Row],[clicks]]*RANDBETWEEN(8,12)/10,0)</f>
        <v>1118</v>
      </c>
      <c r="AZ38">
        <f ca="1">T_Facebook_Ads11[[#This Row],[spend]]*RANDBETWEEN(8,12)/10</f>
        <v>254.88000000000002</v>
      </c>
      <c r="BA38">
        <f ca="1">ROUND(T_Facebook_Ads11[[#This Row],[conversions]]*RANDBETWEEN(8,12)/10,0)</f>
        <v>25</v>
      </c>
      <c r="BB38">
        <f ca="1">ROUND(T_Facebook_Ads11[[#This Row],[video_views]]*RANDBETWEEN(8,12)/10,0)</f>
        <v>3609</v>
      </c>
    </row>
    <row r="39" spans="1:54" ht="15.75" thickBot="1" x14ac:dyDescent="0.3">
      <c r="A39" s="3">
        <f t="shared" ca="1" si="1"/>
        <v>44944</v>
      </c>
      <c r="B39" s="4" t="s">
        <v>64</v>
      </c>
      <c r="C39" s="4" t="s">
        <v>65</v>
      </c>
      <c r="D39" s="4" t="s">
        <v>66</v>
      </c>
      <c r="E39" s="4" t="s">
        <v>67</v>
      </c>
      <c r="F39" s="4">
        <f ca="1">ROUND(T_Facebook_Ads[[#This Row],[impressions]]*RANDBETWEEN(8,12)/10,0)</f>
        <v>80179</v>
      </c>
      <c r="G39" s="4">
        <v>261</v>
      </c>
      <c r="H39" s="4">
        <f ca="1">T_Facebook_Ads[[#This Row],[spend]]*RANDBETWEEN(8,12)/10</f>
        <v>96.8</v>
      </c>
      <c r="I39" s="4">
        <f ca="1">ROUND(T_Facebook_Ads[[#This Row],[conversions]]*RANDBETWEEN(8,12)/10,0)</f>
        <v>6</v>
      </c>
      <c r="J39" s="4">
        <f ca="1">ROUND(T_Facebook_Ads[[#This Row],[video_views]]*RANDBETWEEN(8,12)/10,0)</f>
        <v>39654</v>
      </c>
      <c r="K39" s="4">
        <f ca="1">T_Facebook_Ads[[#This Row],[engagement_rate]]*RANDBETWEEN(8,12)/10</f>
        <v>4.3200000000000001E-3</v>
      </c>
      <c r="L39" s="4">
        <f ca="1">ROUND(T_Facebook_Ads[[#This Row],[reach]]*RANDBETWEEN(8,12)/10,0)</f>
        <v>59123</v>
      </c>
      <c r="M39" s="4">
        <f ca="1">T_Facebook_Ads[[#This Row],[frequency]]*RANDBETWEEN(8,12)/10</f>
        <v>1.23</v>
      </c>
      <c r="O39" s="3">
        <f t="shared" ca="1" si="2"/>
        <v>44933</v>
      </c>
      <c r="P39" s="4" t="s">
        <v>88</v>
      </c>
      <c r="Q39" s="4" t="s">
        <v>89</v>
      </c>
      <c r="R39" s="4" t="s">
        <v>90</v>
      </c>
      <c r="S39" s="4" t="s">
        <v>59</v>
      </c>
      <c r="T39" s="4">
        <f ca="1">ROUND(_Google_ads[[#This Row],[impressions]]*RANDBETWEEN(8,12)/10,0)</f>
        <v>160147</v>
      </c>
      <c r="U39" s="4">
        <f ca="1">ROUND(_Google_ads[[#This Row],[clicks]]*RANDBETWEEN(8,12)/10,0)</f>
        <v>489</v>
      </c>
      <c r="V39" s="4">
        <f ca="1">_Google_ads[[#This Row],[cost]]*RANDBETWEEN(8,12)/10</f>
        <v>118.08</v>
      </c>
      <c r="W39" s="4">
        <f ca="1">ROUND(_Google_ads[[#This Row],[conversions]]*RANDBETWEEN(8,12)/10,0)</f>
        <v>17</v>
      </c>
      <c r="X39" s="4">
        <f ca="1">ROUND(_Google_ads[[#This Row],[conversion_value]]*RANDBETWEEN(8,12)/10,0)</f>
        <v>770</v>
      </c>
      <c r="Y39" s="4">
        <f ca="1">_Google_ads[[#This Row],[ctr]]*RANDBETWEEN(8,12)/10</f>
        <v>4.0699999999999998E-3</v>
      </c>
      <c r="Z39" s="4">
        <f ca="1">_Google_ads[[#This Row],[avg_cpc]]*RANDBETWEEN(8,12)/10</f>
        <v>0.32400000000000001</v>
      </c>
      <c r="AA39" s="4">
        <f ca="1">ROUND(_Google_ads[[#This Row],[quality_score]]*RANDBETWEEN(8,12)/10,0)</f>
        <v>8</v>
      </c>
      <c r="AB39" s="4">
        <f ca="1">_Google_ads[[#This Row],[search_impression_share]]*RANDBETWEEN(8,12)/10</f>
        <v>0.27999999999999997</v>
      </c>
      <c r="AD39" s="3">
        <f t="shared" ca="1" si="3"/>
        <v>44938</v>
      </c>
      <c r="AE39" s="4" t="s">
        <v>112</v>
      </c>
      <c r="AF39" s="4" t="s">
        <v>113</v>
      </c>
      <c r="AG39" s="4" t="s">
        <v>114</v>
      </c>
      <c r="AH39" s="4" t="s">
        <v>115</v>
      </c>
      <c r="AI39" s="4">
        <f ca="1">ROUND(T_Tiktok_ads[[#This Row],[impressions]]*RANDBETWEEN(8,12)/10,0)</f>
        <v>478280</v>
      </c>
      <c r="AJ39" s="4">
        <f ca="1">ROUND(T_Tiktok_ads[[#This Row],[clicks]]*RANDBETWEEN(8,12)/10,0)</f>
        <v>7187</v>
      </c>
      <c r="AK39" s="4">
        <v>998.7</v>
      </c>
      <c r="AL39" s="4">
        <f ca="1">ROUND(T_Tiktok_ads[[#This Row],[conversions]]*RANDBETWEEN(8,12)/10,0)</f>
        <v>88</v>
      </c>
      <c r="AM39" s="4">
        <f ca="1">ROUND(T_Tiktok_ads[[#This Row],[video_views]]*RANDBETWEEN(8,12)/10,0)</f>
        <v>265876</v>
      </c>
      <c r="AN39" s="4">
        <f ca="1">ROUND(T_Tiktok_ads[[#This Row],[video_watch_25]]*RANDBETWEEN(8,12)/10,0)</f>
        <v>214312</v>
      </c>
      <c r="AO39" s="4">
        <f ca="1">ROUND(T_Tiktok_ads[[#This Row],[video_watch_50]]*RANDBETWEEN(8,12)/10,0)</f>
        <v>257480</v>
      </c>
      <c r="AP39" s="4">
        <f ca="1">ROUND(T_Tiktok_ads[[#This Row],[video_watch_75]]*RANDBETWEEN(8,12)/10,0)</f>
        <v>136111</v>
      </c>
      <c r="AQ39" s="4">
        <f ca="1">ROUND(T_Tiktok_ads[[#This Row],[video_watch_100]]*RANDBETWEEN(8,12)/10,0)</f>
        <v>89610</v>
      </c>
      <c r="AR39" s="4">
        <f ca="1">ROUND(T_Tiktok_ads[[#This Row],[likes]]*RANDBETWEEN(8,12)/10,0)</f>
        <v>17756</v>
      </c>
      <c r="AS39" s="4">
        <f ca="1">ROUND(T_Tiktok_ads[[#This Row],[shares]]*RANDBETWEEN(8,12)/10,0)</f>
        <v>6014</v>
      </c>
      <c r="AT39" s="4">
        <f ca="1">ROUND(T_Tiktok_ads[[#This Row],[comments]]*RANDBETWEEN(8,12)/10,0)</f>
        <v>1250</v>
      </c>
      <c r="AV39" s="5">
        <f t="shared" ca="1" si="5"/>
        <v>44931</v>
      </c>
      <c r="AW39">
        <f t="shared" ca="1" si="4"/>
        <v>6</v>
      </c>
      <c r="AX39">
        <f ca="1">ROUND(T_Facebook_Ads11[[#This Row],[impressions]]*RANDBETWEEN(8,12)/10,0)</f>
        <v>88197</v>
      </c>
      <c r="AY39">
        <f ca="1">ROUND(T_Facebook_Ads11[[#This Row],[clicks]]*RANDBETWEEN(8,12)/10,0)</f>
        <v>261</v>
      </c>
      <c r="AZ39">
        <f ca="1">T_Facebook_Ads11[[#This Row],[spend]]*RANDBETWEEN(8,12)/10</f>
        <v>77.44</v>
      </c>
      <c r="BA39">
        <f ca="1">ROUND(T_Facebook_Ads11[[#This Row],[conversions]]*RANDBETWEEN(8,12)/10,0)</f>
        <v>5</v>
      </c>
      <c r="BB39">
        <f ca="1">ROUND(T_Facebook_Ads11[[#This Row],[video_views]]*RANDBETWEEN(8,12)/10,0)</f>
        <v>31723</v>
      </c>
    </row>
    <row r="40" spans="1:54" ht="15.75" thickBot="1" x14ac:dyDescent="0.3">
      <c r="A40" s="3">
        <f t="shared" ca="1" si="1"/>
        <v>44956</v>
      </c>
      <c r="B40" s="4" t="s">
        <v>52</v>
      </c>
      <c r="C40" s="4" t="s">
        <v>53</v>
      </c>
      <c r="D40" s="4" t="s">
        <v>54</v>
      </c>
      <c r="E40" s="4" t="s">
        <v>55</v>
      </c>
      <c r="F40" s="4">
        <f ca="1">ROUND(T_Facebook_Ads[[#This Row],[impressions]]*RANDBETWEEN(8,12)/10,0)</f>
        <v>42345</v>
      </c>
      <c r="G40" s="4">
        <v>856</v>
      </c>
      <c r="H40" s="4">
        <f ca="1">T_Facebook_Ads[[#This Row],[spend]]*RANDBETWEEN(8,12)/10</f>
        <v>145.80000000000001</v>
      </c>
      <c r="I40" s="4">
        <f ca="1">ROUND(T_Facebook_Ads[[#This Row],[conversions]]*RANDBETWEEN(8,12)/10,0)</f>
        <v>14</v>
      </c>
      <c r="J40" s="4">
        <f ca="1">ROUND(T_Facebook_Ads[[#This Row],[video_views]]*RANDBETWEEN(8,12)/10,0)</f>
        <v>9468</v>
      </c>
      <c r="K40" s="4">
        <f ca="1">T_Facebook_Ads[[#This Row],[engagement_rate]]*RANDBETWEEN(8,12)/10</f>
        <v>1.8179999999999998E-2</v>
      </c>
      <c r="L40" s="4">
        <f ca="1">ROUND(T_Facebook_Ads[[#This Row],[reach]]*RANDBETWEEN(8,12)/10,0)</f>
        <v>42814</v>
      </c>
      <c r="M40" s="4">
        <f ca="1">T_Facebook_Ads[[#This Row],[frequency]]*RANDBETWEEN(8,12)/10</f>
        <v>1.3089999999999999</v>
      </c>
      <c r="O40" s="3">
        <f t="shared" ca="1" si="2"/>
        <v>44937</v>
      </c>
      <c r="P40" s="4" t="s">
        <v>76</v>
      </c>
      <c r="Q40" s="4" t="s">
        <v>77</v>
      </c>
      <c r="R40" s="4" t="s">
        <v>78</v>
      </c>
      <c r="S40" s="4" t="s">
        <v>79</v>
      </c>
      <c r="T40" s="4">
        <f ca="1">ROUND(_Google_ads[[#This Row],[impressions]]*RANDBETWEEN(8,12)/10,0)</f>
        <v>22456</v>
      </c>
      <c r="U40" s="4">
        <f ca="1">ROUND(_Google_ads[[#This Row],[clicks]]*RANDBETWEEN(8,12)/10,0)</f>
        <v>1387</v>
      </c>
      <c r="V40" s="4">
        <f ca="1">_Google_ads[[#This Row],[cost]]*RANDBETWEEN(8,12)/10</f>
        <v>176.32</v>
      </c>
      <c r="W40" s="4">
        <f ca="1">ROUND(_Google_ads[[#This Row],[conversions]]*RANDBETWEEN(8,12)/10,0)</f>
        <v>52</v>
      </c>
      <c r="X40" s="4">
        <f ca="1">ROUND(_Google_ads[[#This Row],[conversion_value]]*RANDBETWEEN(8,12)/10,0)</f>
        <v>1935</v>
      </c>
      <c r="Y40" s="4">
        <f ca="1">_Google_ads[[#This Row],[ctr]]*RANDBETWEEN(8,12)/10</f>
        <v>5.1500000000000004E-2</v>
      </c>
      <c r="Z40" s="4">
        <f ca="1">_Google_ads[[#This Row],[avg_cpc]]*RANDBETWEEN(8,12)/10</f>
        <v>0.20899999999999999</v>
      </c>
      <c r="AA40" s="4">
        <f ca="1">ROUND(_Google_ads[[#This Row],[quality_score]]*RANDBETWEEN(8,12)/10,0)</f>
        <v>9</v>
      </c>
      <c r="AB40" s="4">
        <f ca="1">_Google_ads[[#This Row],[search_impression_share]]*RANDBETWEEN(8,12)/10</f>
        <v>0.72</v>
      </c>
      <c r="AD40" s="3">
        <f t="shared" ca="1" si="3"/>
        <v>44945</v>
      </c>
      <c r="AE40" s="4" t="s">
        <v>100</v>
      </c>
      <c r="AF40" s="4" t="s">
        <v>101</v>
      </c>
      <c r="AG40" s="4" t="s">
        <v>102</v>
      </c>
      <c r="AH40" s="4" t="s">
        <v>103</v>
      </c>
      <c r="AI40" s="4">
        <f ca="1">ROUND(T_Tiktok_ads[[#This Row],[impressions]]*RANDBETWEEN(8,12)/10,0)</f>
        <v>187654</v>
      </c>
      <c r="AJ40" s="4">
        <f ca="1">ROUND(T_Tiktok_ads[[#This Row],[clicks]]*RANDBETWEEN(8,12)/10,0)</f>
        <v>3110</v>
      </c>
      <c r="AK40" s="4">
        <v>456.7</v>
      </c>
      <c r="AL40" s="4">
        <f ca="1">ROUND(T_Tiktok_ads[[#This Row],[conversions]]*RANDBETWEEN(8,12)/10,0)</f>
        <v>37</v>
      </c>
      <c r="AM40" s="4">
        <f ca="1">ROUND(T_Tiktok_ads[[#This Row],[video_views]]*RANDBETWEEN(8,12)/10,0)</f>
        <v>198234</v>
      </c>
      <c r="AN40" s="4">
        <f ca="1">ROUND(T_Tiktok_ads[[#This Row],[video_watch_25]]*RANDBETWEEN(8,12)/10,0)</f>
        <v>124987</v>
      </c>
      <c r="AO40" s="4">
        <f ca="1">ROUND(T_Tiktok_ads[[#This Row],[video_watch_50]]*RANDBETWEEN(8,12)/10,0)</f>
        <v>98234</v>
      </c>
      <c r="AP40" s="4">
        <f ca="1">ROUND(T_Tiktok_ads[[#This Row],[video_watch_75]]*RANDBETWEEN(8,12)/10,0)</f>
        <v>73957</v>
      </c>
      <c r="AQ40" s="4">
        <f ca="1">ROUND(T_Tiktok_ads[[#This Row],[video_watch_100]]*RANDBETWEEN(8,12)/10,0)</f>
        <v>45234</v>
      </c>
      <c r="AR40" s="4">
        <f ca="1">ROUND(T_Tiktok_ads[[#This Row],[likes]]*RANDBETWEEN(8,12)/10,0)</f>
        <v>8923</v>
      </c>
      <c r="AS40" s="4">
        <f ca="1">ROUND(T_Tiktok_ads[[#This Row],[shares]]*RANDBETWEEN(8,12)/10,0)</f>
        <v>2111</v>
      </c>
      <c r="AT40" s="4">
        <f ca="1">ROUND(T_Tiktok_ads[[#This Row],[comments]]*RANDBETWEEN(8,12)/10,0)</f>
        <v>567</v>
      </c>
      <c r="AV40" s="5">
        <f t="shared" ca="1" si="5"/>
        <v>44956</v>
      </c>
      <c r="AW40">
        <f t="shared" ca="1" si="4"/>
        <v>4</v>
      </c>
      <c r="AX40">
        <f ca="1">ROUND(T_Facebook_Ads11[[#This Row],[impressions]]*RANDBETWEEN(8,12)/10,0)</f>
        <v>50814</v>
      </c>
      <c r="AY40">
        <f ca="1">ROUND(T_Facebook_Ads11[[#This Row],[clicks]]*RANDBETWEEN(8,12)/10,0)</f>
        <v>685</v>
      </c>
      <c r="AZ40">
        <f ca="1">T_Facebook_Ads11[[#This Row],[spend]]*RANDBETWEEN(8,12)/10</f>
        <v>145.80000000000001</v>
      </c>
      <c r="BA40">
        <f ca="1">ROUND(T_Facebook_Ads11[[#This Row],[conversions]]*RANDBETWEEN(8,12)/10,0)</f>
        <v>17</v>
      </c>
      <c r="BB40">
        <f ca="1">ROUND(T_Facebook_Ads11[[#This Row],[video_views]]*RANDBETWEEN(8,12)/10,0)</f>
        <v>10415</v>
      </c>
    </row>
    <row r="41" spans="1:54" ht="15.75" thickBot="1" x14ac:dyDescent="0.3">
      <c r="A41" s="3">
        <f t="shared" ca="1" si="1"/>
        <v>44956</v>
      </c>
      <c r="B41" s="4" t="s">
        <v>56</v>
      </c>
      <c r="C41" s="4" t="s">
        <v>57</v>
      </c>
      <c r="D41" s="4" t="s">
        <v>58</v>
      </c>
      <c r="E41" s="4" t="s">
        <v>59</v>
      </c>
      <c r="F41" s="4">
        <f ca="1">ROUND(T_Facebook_Ads[[#This Row],[impressions]]*RANDBETWEEN(8,12)/10,0)</f>
        <v>10111</v>
      </c>
      <c r="G41" s="4">
        <v>523</v>
      </c>
      <c r="H41" s="4">
        <f ca="1">T_Facebook_Ads[[#This Row],[spend]]*RANDBETWEEN(8,12)/10</f>
        <v>198.6</v>
      </c>
      <c r="I41" s="4">
        <f ca="1">ROUND(T_Facebook_Ads[[#This Row],[conversions]]*RANDBETWEEN(8,12)/10,0)</f>
        <v>29</v>
      </c>
      <c r="J41" s="4">
        <f ca="1">ROUND(T_Facebook_Ads[[#This Row],[video_views]]*RANDBETWEEN(8,12)/10,0)</f>
        <v>1123</v>
      </c>
      <c r="K41" s="4">
        <f ca="1">T_Facebook_Ads[[#This Row],[engagement_rate]]*RANDBETWEEN(8,12)/10</f>
        <v>4.6600000000000003E-2</v>
      </c>
      <c r="L41" s="4">
        <f ca="1">ROUND(T_Facebook_Ads[[#This Row],[reach]]*RANDBETWEEN(8,12)/10,0)</f>
        <v>10681</v>
      </c>
      <c r="M41" s="4">
        <f ca="1">T_Facebook_Ads[[#This Row],[frequency]]*RANDBETWEEN(8,12)/10</f>
        <v>1.016</v>
      </c>
      <c r="O41" s="3">
        <f t="shared" ca="1" si="2"/>
        <v>44934</v>
      </c>
      <c r="P41" s="4" t="s">
        <v>80</v>
      </c>
      <c r="Q41" s="4" t="s">
        <v>81</v>
      </c>
      <c r="R41" s="4" t="s">
        <v>82</v>
      </c>
      <c r="S41" s="4" t="s">
        <v>83</v>
      </c>
      <c r="T41" s="4">
        <f ca="1">ROUND(_Google_ads[[#This Row],[impressions]]*RANDBETWEEN(8,12)/10,0)</f>
        <v>32987</v>
      </c>
      <c r="U41" s="4">
        <f ca="1">ROUND(_Google_ads[[#This Row],[clicks]]*RANDBETWEEN(8,12)/10,0)</f>
        <v>988</v>
      </c>
      <c r="V41" s="4">
        <f ca="1">_Google_ads[[#This Row],[cost]]*RANDBETWEEN(8,12)/10</f>
        <v>528.9</v>
      </c>
      <c r="W41" s="4">
        <f ca="1">ROUND(_Google_ads[[#This Row],[conversions]]*RANDBETWEEN(8,12)/10,0)</f>
        <v>19</v>
      </c>
      <c r="X41" s="4">
        <f ca="1">ROUND(_Google_ads[[#This Row],[conversion_value]]*RANDBETWEEN(8,12)/10,0)</f>
        <v>945</v>
      </c>
      <c r="Y41" s="4">
        <f ca="1">_Google_ads[[#This Row],[ctr]]*RANDBETWEEN(8,12)/10</f>
        <v>1.6E-2</v>
      </c>
      <c r="Z41" s="4">
        <f ca="1">_Google_ads[[#This Row],[avg_cpc]]*RANDBETWEEN(8,12)/10</f>
        <v>0.57599999999999996</v>
      </c>
      <c r="AA41" s="4">
        <f ca="1">ROUND(_Google_ads[[#This Row],[quality_score]]*RANDBETWEEN(8,12)/10,0)</f>
        <v>5</v>
      </c>
      <c r="AB41" s="4">
        <f ca="1">_Google_ads[[#This Row],[search_impression_share]]*RANDBETWEEN(8,12)/10</f>
        <v>0.47299999999999998</v>
      </c>
      <c r="AD41" s="3">
        <f t="shared" ca="1" si="3"/>
        <v>44934</v>
      </c>
      <c r="AE41" s="4" t="s">
        <v>104</v>
      </c>
      <c r="AF41" s="4" t="s">
        <v>105</v>
      </c>
      <c r="AG41" s="4" t="s">
        <v>106</v>
      </c>
      <c r="AH41" s="4" t="s">
        <v>107</v>
      </c>
      <c r="AI41" s="4">
        <f ca="1">ROUND(T_Tiktok_ads[[#This Row],[impressions]]*RANDBETWEEN(8,12)/10,0)</f>
        <v>121110</v>
      </c>
      <c r="AJ41" s="4">
        <f ca="1">ROUND(T_Tiktok_ads[[#This Row],[clicks]]*RANDBETWEEN(8,12)/10,0)</f>
        <v>2054</v>
      </c>
      <c r="AK41" s="4">
        <v>712.3</v>
      </c>
      <c r="AL41" s="4">
        <f ca="1">ROUND(T_Tiktok_ads[[#This Row],[conversions]]*RANDBETWEEN(8,12)/10,0)</f>
        <v>85</v>
      </c>
      <c r="AM41" s="4">
        <f ca="1">ROUND(T_Tiktok_ads[[#This Row],[video_views]]*RANDBETWEEN(8,12)/10,0)</f>
        <v>76542</v>
      </c>
      <c r="AN41" s="4">
        <f ca="1">ROUND(T_Tiktok_ads[[#This Row],[video_watch_25]]*RANDBETWEEN(8,12)/10,0)</f>
        <v>85481</v>
      </c>
      <c r="AO41" s="4">
        <f ca="1">ROUND(T_Tiktok_ads[[#This Row],[video_watch_50]]*RANDBETWEEN(8,12)/10,0)</f>
        <v>43411</v>
      </c>
      <c r="AP41" s="4">
        <f ca="1">ROUND(T_Tiktok_ads[[#This Row],[video_watch_75]]*RANDBETWEEN(8,12)/10,0)</f>
        <v>36234</v>
      </c>
      <c r="AQ41" s="4">
        <f ca="1">ROUND(T_Tiktok_ads[[#This Row],[video_watch_100]]*RANDBETWEEN(8,12)/10,0)</f>
        <v>27024</v>
      </c>
      <c r="AR41" s="4">
        <f ca="1">ROUND(T_Tiktok_ads[[#This Row],[likes]]*RANDBETWEEN(8,12)/10,0)</f>
        <v>5268</v>
      </c>
      <c r="AS41" s="4">
        <f ca="1">ROUND(T_Tiktok_ads[[#This Row],[shares]]*RANDBETWEEN(8,12)/10,0)</f>
        <v>1211</v>
      </c>
      <c r="AT41" s="4">
        <f ca="1">ROUND(T_Tiktok_ads[[#This Row],[comments]]*RANDBETWEEN(8,12)/10,0)</f>
        <v>294</v>
      </c>
      <c r="AV41" s="5">
        <f t="shared" ca="1" si="5"/>
        <v>44933</v>
      </c>
      <c r="AW41">
        <f t="shared" ca="1" si="4"/>
        <v>2</v>
      </c>
      <c r="AX41">
        <f ca="1">ROUND(T_Facebook_Ads11[[#This Row],[impressions]]*RANDBETWEEN(8,12)/10,0)</f>
        <v>8089</v>
      </c>
      <c r="AY41">
        <f ca="1">ROUND(T_Facebook_Ads11[[#This Row],[clicks]]*RANDBETWEEN(8,12)/10,0)</f>
        <v>471</v>
      </c>
      <c r="AZ41">
        <f ca="1">T_Facebook_Ads11[[#This Row],[spend]]*RANDBETWEEN(8,12)/10</f>
        <v>238.32</v>
      </c>
      <c r="BA41">
        <f ca="1">ROUND(T_Facebook_Ads11[[#This Row],[conversions]]*RANDBETWEEN(8,12)/10,0)</f>
        <v>32</v>
      </c>
      <c r="BB41">
        <f ca="1">ROUND(T_Facebook_Ads11[[#This Row],[video_views]]*RANDBETWEEN(8,12)/10,0)</f>
        <v>1235</v>
      </c>
    </row>
    <row r="42" spans="1:54" ht="15.75" thickBot="1" x14ac:dyDescent="0.3">
      <c r="A42" s="3">
        <f t="shared" ca="1" si="1"/>
        <v>44934</v>
      </c>
      <c r="B42" s="4" t="s">
        <v>60</v>
      </c>
      <c r="C42" s="4" t="s">
        <v>61</v>
      </c>
      <c r="D42" s="4" t="s">
        <v>62</v>
      </c>
      <c r="E42" s="4" t="s">
        <v>63</v>
      </c>
      <c r="F42" s="4">
        <f ca="1">ROUND(T_Facebook_Ads[[#This Row],[impressions]]*RANDBETWEEN(8,12)/10,0)</f>
        <v>33456</v>
      </c>
      <c r="G42" s="4">
        <v>1203</v>
      </c>
      <c r="H42" s="4">
        <f ca="1">T_Facebook_Ads[[#This Row],[spend]]*RANDBETWEEN(8,12)/10</f>
        <v>166.77</v>
      </c>
      <c r="I42" s="4">
        <f ca="1">ROUND(T_Facebook_Ads[[#This Row],[conversions]]*RANDBETWEEN(8,12)/10,0)</f>
        <v>21</v>
      </c>
      <c r="J42" s="4">
        <f ca="1">ROUND(T_Facebook_Ads[[#This Row],[video_views]]*RANDBETWEEN(8,12)/10,0)</f>
        <v>4657</v>
      </c>
      <c r="K42" s="4">
        <f ca="1">T_Facebook_Ads[[#This Row],[engagement_rate]]*RANDBETWEEN(8,12)/10</f>
        <v>2.8799999999999999E-2</v>
      </c>
      <c r="L42" s="4">
        <f ca="1">ROUND(T_Facebook_Ads[[#This Row],[reach]]*RANDBETWEEN(8,12)/10,0)</f>
        <v>22312</v>
      </c>
      <c r="M42" s="4">
        <f ca="1">T_Facebook_Ads[[#This Row],[frequency]]*RANDBETWEEN(8,12)/10</f>
        <v>0.96</v>
      </c>
      <c r="O42" s="3">
        <f t="shared" ca="1" si="2"/>
        <v>44939</v>
      </c>
      <c r="P42" s="4" t="s">
        <v>84</v>
      </c>
      <c r="Q42" s="4" t="s">
        <v>85</v>
      </c>
      <c r="R42" s="4" t="s">
        <v>86</v>
      </c>
      <c r="S42" s="4" t="s">
        <v>87</v>
      </c>
      <c r="T42" s="4">
        <f ca="1">ROUND(_Google_ads[[#This Row],[impressions]]*RANDBETWEEN(8,12)/10,0)</f>
        <v>69802</v>
      </c>
      <c r="U42" s="4">
        <f ca="1">ROUND(_Google_ads[[#This Row],[clicks]]*RANDBETWEEN(8,12)/10,0)</f>
        <v>2298</v>
      </c>
      <c r="V42" s="4">
        <f ca="1">_Google_ads[[#This Row],[cost]]*RANDBETWEEN(8,12)/10</f>
        <v>382.6</v>
      </c>
      <c r="W42" s="4">
        <f ca="1">ROUND(_Google_ads[[#This Row],[conversions]]*RANDBETWEEN(8,12)/10,0)</f>
        <v>48</v>
      </c>
      <c r="X42" s="4">
        <f ca="1">ROUND(_Google_ads[[#This Row],[conversion_value]]*RANDBETWEEN(8,12)/10,0)</f>
        <v>3300</v>
      </c>
      <c r="Y42" s="4">
        <f ca="1">_Google_ads[[#This Row],[ctr]]*RANDBETWEEN(8,12)/10</f>
        <v>3.9480000000000001E-2</v>
      </c>
      <c r="Z42" s="4">
        <f ca="1">_Google_ads[[#This Row],[avg_cpc]]*RANDBETWEEN(8,12)/10</f>
        <v>0.16199999999999998</v>
      </c>
      <c r="AA42" s="4">
        <f ca="1">ROUND(_Google_ads[[#This Row],[quality_score]]*RANDBETWEEN(8,12)/10,0)</f>
        <v>8</v>
      </c>
      <c r="AB42" s="4">
        <f ca="1">_Google_ads[[#This Row],[search_impression_share]]*RANDBETWEEN(8,12)/10</f>
        <v>0.78</v>
      </c>
      <c r="AD42" s="3">
        <f t="shared" ca="1" si="3"/>
        <v>44948</v>
      </c>
      <c r="AE42" s="4" t="s">
        <v>108</v>
      </c>
      <c r="AF42" s="4" t="s">
        <v>109</v>
      </c>
      <c r="AG42" s="4" t="s">
        <v>110</v>
      </c>
      <c r="AH42" s="4" t="s">
        <v>111</v>
      </c>
      <c r="AI42" s="4">
        <f ca="1">ROUND(T_Tiktok_ads[[#This Row],[impressions]]*RANDBETWEEN(8,12)/10,0)</f>
        <v>241481</v>
      </c>
      <c r="AJ42" s="4">
        <f ca="1">ROUND(T_Tiktok_ads[[#This Row],[clicks]]*RANDBETWEEN(8,12)/10,0)</f>
        <v>3435</v>
      </c>
      <c r="AK42" s="4">
        <v>374.5</v>
      </c>
      <c r="AL42" s="4">
        <f ca="1">ROUND(T_Tiktok_ads[[#This Row],[conversions]]*RANDBETWEEN(8,12)/10,0)</f>
        <v>26</v>
      </c>
      <c r="AM42" s="4">
        <f ca="1">ROUND(T_Tiktok_ads[[#This Row],[video_views]]*RANDBETWEEN(8,12)/10,0)</f>
        <v>142101</v>
      </c>
      <c r="AN42" s="4">
        <f ca="1">ROUND(T_Tiktok_ads[[#This Row],[video_watch_25]]*RANDBETWEEN(8,12)/10,0)</f>
        <v>96987</v>
      </c>
      <c r="AO42" s="4">
        <f ca="1">ROUND(T_Tiktok_ads[[#This Row],[video_watch_50]]*RANDBETWEEN(8,12)/10,0)</f>
        <v>96234</v>
      </c>
      <c r="AP42" s="4">
        <f ca="1">ROUND(T_Tiktok_ads[[#This Row],[video_watch_75]]*RANDBETWEEN(8,12)/10,0)</f>
        <v>55111</v>
      </c>
      <c r="AQ42" s="4">
        <f ca="1">ROUND(T_Tiktok_ads[[#This Row],[video_watch_100]]*RANDBETWEEN(8,12)/10,0)</f>
        <v>33710</v>
      </c>
      <c r="AR42" s="4">
        <f ca="1">ROUND(T_Tiktok_ads[[#This Row],[likes]]*RANDBETWEEN(8,12)/10,0)</f>
        <v>8080</v>
      </c>
      <c r="AS42" s="4">
        <f ca="1">ROUND(T_Tiktok_ads[[#This Row],[shares]]*RANDBETWEEN(8,12)/10,0)</f>
        <v>2034</v>
      </c>
      <c r="AT42" s="4">
        <f ca="1">ROUND(T_Tiktok_ads[[#This Row],[comments]]*RANDBETWEEN(8,12)/10,0)</f>
        <v>391</v>
      </c>
      <c r="AV42" s="5">
        <f t="shared" ca="1" si="5"/>
        <v>44951</v>
      </c>
      <c r="AW42">
        <f t="shared" ca="1" si="4"/>
        <v>8</v>
      </c>
      <c r="AX42">
        <f ca="1">ROUND(T_Facebook_Ads11[[#This Row],[impressions]]*RANDBETWEEN(8,12)/10,0)</f>
        <v>30110</v>
      </c>
      <c r="AY42">
        <f ca="1">ROUND(T_Facebook_Ads11[[#This Row],[clicks]]*RANDBETWEEN(8,12)/10,0)</f>
        <v>1444</v>
      </c>
      <c r="AZ42">
        <f ca="1">T_Facebook_Ads11[[#This Row],[spend]]*RANDBETWEEN(8,12)/10</f>
        <v>133.416</v>
      </c>
      <c r="BA42">
        <f ca="1">ROUND(T_Facebook_Ads11[[#This Row],[conversions]]*RANDBETWEEN(8,12)/10,0)</f>
        <v>25</v>
      </c>
      <c r="BB42">
        <f ca="1">ROUND(T_Facebook_Ads11[[#This Row],[video_views]]*RANDBETWEEN(8,12)/10,0)</f>
        <v>3726</v>
      </c>
    </row>
    <row r="43" spans="1:54" ht="15.75" thickBot="1" x14ac:dyDescent="0.3">
      <c r="A43" s="3">
        <f t="shared" ca="1" si="1"/>
        <v>44946</v>
      </c>
      <c r="B43" s="4" t="s">
        <v>64</v>
      </c>
      <c r="C43" s="4" t="s">
        <v>65</v>
      </c>
      <c r="D43" s="4" t="s">
        <v>66</v>
      </c>
      <c r="E43" s="4" t="s">
        <v>67</v>
      </c>
      <c r="F43" s="4">
        <f ca="1">ROUND(T_Facebook_Ads[[#This Row],[impressions]]*RANDBETWEEN(8,12)/10,0)</f>
        <v>64567</v>
      </c>
      <c r="G43" s="4">
        <v>238</v>
      </c>
      <c r="H43" s="4">
        <f ca="1">T_Facebook_Ads[[#This Row],[spend]]*RANDBETWEEN(8,12)/10</f>
        <v>100.08000000000001</v>
      </c>
      <c r="I43" s="4">
        <f ca="1">ROUND(T_Facebook_Ads[[#This Row],[conversions]]*RANDBETWEEN(8,12)/10,0)</f>
        <v>6</v>
      </c>
      <c r="J43" s="4">
        <f ca="1">ROUND(T_Facebook_Ads[[#This Row],[video_views]]*RANDBETWEEN(8,12)/10,0)</f>
        <v>43234</v>
      </c>
      <c r="K43" s="4">
        <f ca="1">T_Facebook_Ads[[#This Row],[engagement_rate]]*RANDBETWEEN(8,12)/10</f>
        <v>3.3300000000000005E-3</v>
      </c>
      <c r="L43" s="4">
        <f ca="1">ROUND(T_Facebook_Ads[[#This Row],[reach]]*RANDBETWEEN(8,12)/10,0)</f>
        <v>47601</v>
      </c>
      <c r="M43" s="4">
        <f ca="1">T_Facebook_Ads[[#This Row],[frequency]]*RANDBETWEEN(8,12)/10</f>
        <v>1.3420000000000001</v>
      </c>
      <c r="O43" s="3">
        <f t="shared" ca="1" si="2"/>
        <v>44940</v>
      </c>
      <c r="P43" s="4" t="s">
        <v>88</v>
      </c>
      <c r="Q43" s="4" t="s">
        <v>89</v>
      </c>
      <c r="R43" s="4" t="s">
        <v>90</v>
      </c>
      <c r="S43" s="4" t="s">
        <v>59</v>
      </c>
      <c r="T43" s="4">
        <f ca="1">ROUND(_Google_ads[[#This Row],[impressions]]*RANDBETWEEN(8,12)/10,0)</f>
        <v>131157</v>
      </c>
      <c r="U43" s="4">
        <f ca="1">ROUND(_Google_ads[[#This Row],[clicks]]*RANDBETWEEN(8,12)/10,0)</f>
        <v>477</v>
      </c>
      <c r="V43" s="4">
        <f ca="1">_Google_ads[[#This Row],[cost]]*RANDBETWEEN(8,12)/10</f>
        <v>128.47999999999999</v>
      </c>
      <c r="W43" s="4">
        <f ca="1">ROUND(_Google_ads[[#This Row],[conversions]]*RANDBETWEEN(8,12)/10,0)</f>
        <v>11</v>
      </c>
      <c r="X43" s="4">
        <f ca="1">ROUND(_Google_ads[[#This Row],[conversion_value]]*RANDBETWEEN(8,12)/10,0)</f>
        <v>540</v>
      </c>
      <c r="Y43" s="4">
        <f ca="1">_Google_ads[[#This Row],[ctr]]*RANDBETWEEN(8,12)/10</f>
        <v>3.2399999999999998E-3</v>
      </c>
      <c r="Z43" s="4">
        <f ca="1">_Google_ads[[#This Row],[avg_cpc]]*RANDBETWEEN(8,12)/10</f>
        <v>0.27</v>
      </c>
      <c r="AA43" s="4">
        <f ca="1">ROUND(_Google_ads[[#This Row],[quality_score]]*RANDBETWEEN(8,12)/10,0)</f>
        <v>6</v>
      </c>
      <c r="AB43" s="4">
        <f ca="1">_Google_ads[[#This Row],[search_impression_share]]*RANDBETWEEN(8,12)/10</f>
        <v>0.29700000000000004</v>
      </c>
      <c r="AD43" s="3">
        <f t="shared" ca="1" si="3"/>
        <v>44953</v>
      </c>
      <c r="AE43" s="4" t="s">
        <v>112</v>
      </c>
      <c r="AF43" s="4" t="s">
        <v>113</v>
      </c>
      <c r="AG43" s="4" t="s">
        <v>114</v>
      </c>
      <c r="AH43" s="4" t="s">
        <v>115</v>
      </c>
      <c r="AI43" s="4">
        <f ca="1">ROUND(T_Tiktok_ads[[#This Row],[impressions]]*RANDBETWEEN(8,12)/10,0)</f>
        <v>367890</v>
      </c>
      <c r="AJ43" s="4">
        <f ca="1">ROUND(T_Tiktok_ads[[#This Row],[clicks]]*RANDBETWEEN(8,12)/10,0)</f>
        <v>4810</v>
      </c>
      <c r="AK43" s="4">
        <v>923.4</v>
      </c>
      <c r="AL43" s="4">
        <f ca="1">ROUND(T_Tiktok_ads[[#This Row],[conversions]]*RANDBETWEEN(8,12)/10,0)</f>
        <v>75</v>
      </c>
      <c r="AM43" s="4">
        <f ca="1">ROUND(T_Tiktok_ads[[#This Row],[video_views]]*RANDBETWEEN(8,12)/10,0)</f>
        <v>240987</v>
      </c>
      <c r="AN43" s="4">
        <f ca="1">ROUND(T_Tiktok_ads[[#This Row],[video_watch_25]]*RANDBETWEEN(8,12)/10,0)</f>
        <v>221110</v>
      </c>
      <c r="AO43" s="4">
        <f ca="1">ROUND(T_Tiktok_ads[[#This Row],[video_watch_50]]*RANDBETWEEN(8,12)/10,0)</f>
        <v>177110</v>
      </c>
      <c r="AP43" s="4">
        <f ca="1">ROUND(T_Tiktok_ads[[#This Row],[video_watch_75]]*RANDBETWEEN(8,12)/10,0)</f>
        <v>112187</v>
      </c>
      <c r="AQ43" s="4">
        <f ca="1">ROUND(T_Tiktok_ads[[#This Row],[video_watch_100]]*RANDBETWEEN(8,12)/10,0)</f>
        <v>112147</v>
      </c>
      <c r="AR43" s="4">
        <f ca="1">ROUND(T_Tiktok_ads[[#This Row],[likes]]*RANDBETWEEN(8,12)/10,0)</f>
        <v>17857</v>
      </c>
      <c r="AS43" s="4">
        <f ca="1">ROUND(T_Tiktok_ads[[#This Row],[shares]]*RANDBETWEEN(8,12)/10,0)</f>
        <v>4310</v>
      </c>
      <c r="AT43" s="4">
        <f ca="1">ROUND(T_Tiktok_ads[[#This Row],[comments]]*RANDBETWEEN(8,12)/10,0)</f>
        <v>1160</v>
      </c>
      <c r="AV43" s="5">
        <f t="shared" ca="1" si="5"/>
        <v>44957</v>
      </c>
      <c r="AW43">
        <f t="shared" ca="1" si="4"/>
        <v>4</v>
      </c>
      <c r="AX43">
        <f ca="1">ROUND(T_Facebook_Ads11[[#This Row],[impressions]]*RANDBETWEEN(8,12)/10,0)</f>
        <v>51654</v>
      </c>
      <c r="AY43">
        <f ca="1">ROUND(T_Facebook_Ads11[[#This Row],[clicks]]*RANDBETWEEN(8,12)/10,0)</f>
        <v>190</v>
      </c>
      <c r="AZ43">
        <f ca="1">T_Facebook_Ads11[[#This Row],[spend]]*RANDBETWEEN(8,12)/10</f>
        <v>80.064000000000007</v>
      </c>
      <c r="BA43">
        <f ca="1">ROUND(T_Facebook_Ads11[[#This Row],[conversions]]*RANDBETWEEN(8,12)/10,0)</f>
        <v>7</v>
      </c>
      <c r="BB43">
        <f ca="1">ROUND(T_Facebook_Ads11[[#This Row],[video_views]]*RANDBETWEEN(8,12)/10,0)</f>
        <v>51881</v>
      </c>
    </row>
    <row r="44" spans="1:54" ht="15.75" thickBot="1" x14ac:dyDescent="0.3">
      <c r="A44" s="3">
        <f t="shared" ca="1" si="1"/>
        <v>44949</v>
      </c>
      <c r="B44" s="4" t="s">
        <v>52</v>
      </c>
      <c r="C44" s="4" t="s">
        <v>53</v>
      </c>
      <c r="D44" s="4" t="s">
        <v>54</v>
      </c>
      <c r="E44" s="4" t="s">
        <v>55</v>
      </c>
      <c r="F44" s="4">
        <f ca="1">ROUND(T_Facebook_Ads[[#This Row],[impressions]]*RANDBETWEEN(8,12)/10,0)</f>
        <v>36111</v>
      </c>
      <c r="G44" s="4">
        <v>798</v>
      </c>
      <c r="H44" s="4">
        <f ca="1">T_Facebook_Ads[[#This Row],[spend]]*RANDBETWEEN(8,12)/10</f>
        <v>137.64000000000001</v>
      </c>
      <c r="I44" s="4">
        <f ca="1">ROUND(T_Facebook_Ads[[#This Row],[conversions]]*RANDBETWEEN(8,12)/10,0)</f>
        <v>10</v>
      </c>
      <c r="J44" s="4">
        <f ca="1">ROUND(T_Facebook_Ads[[#This Row],[video_views]]*RANDBETWEEN(8,12)/10,0)</f>
        <v>7345</v>
      </c>
      <c r="K44" s="4">
        <f ca="1">T_Facebook_Ads[[#This Row],[engagement_rate]]*RANDBETWEEN(8,12)/10</f>
        <v>2.189E-2</v>
      </c>
      <c r="L44" s="4">
        <f ca="1">ROUND(T_Facebook_Ads[[#This Row],[reach]]*RANDBETWEEN(8,12)/10,0)</f>
        <v>36802</v>
      </c>
      <c r="M44" s="4">
        <f ca="1">T_Facebook_Ads[[#This Row],[frequency]]*RANDBETWEEN(8,12)/10</f>
        <v>1.44</v>
      </c>
      <c r="O44" s="3">
        <f t="shared" ca="1" si="2"/>
        <v>44950</v>
      </c>
      <c r="P44" s="4" t="s">
        <v>76</v>
      </c>
      <c r="Q44" s="4" t="s">
        <v>77</v>
      </c>
      <c r="R44" s="4" t="s">
        <v>78</v>
      </c>
      <c r="S44" s="4" t="s">
        <v>79</v>
      </c>
      <c r="T44" s="4">
        <f ca="1">ROUND(_Google_ads[[#This Row],[impressions]]*RANDBETWEEN(8,12)/10,0)</f>
        <v>25481</v>
      </c>
      <c r="U44" s="4">
        <f ca="1">ROUND(_Google_ads[[#This Row],[clicks]]*RANDBETWEEN(8,12)/10,0)</f>
        <v>1198</v>
      </c>
      <c r="V44" s="4">
        <f ca="1">_Google_ads[[#This Row],[cost]]*RANDBETWEEN(8,12)/10</f>
        <v>207.8</v>
      </c>
      <c r="W44" s="4">
        <f ca="1">ROUND(_Google_ads[[#This Row],[conversions]]*RANDBETWEEN(8,12)/10,0)</f>
        <v>33</v>
      </c>
      <c r="X44" s="4">
        <f ca="1">ROUND(_Google_ads[[#This Row],[conversion_value]]*RANDBETWEEN(8,12)/10,0)</f>
        <v>2460</v>
      </c>
      <c r="Y44" s="4">
        <f ca="1">_Google_ads[[#This Row],[ctr]]*RANDBETWEEN(8,12)/10</f>
        <v>6.155999999999999E-2</v>
      </c>
      <c r="Z44" s="4">
        <f ca="1">_Google_ads[[#This Row],[avg_cpc]]*RANDBETWEEN(8,12)/10</f>
        <v>0.20899999999999999</v>
      </c>
      <c r="AA44" s="4">
        <f ca="1">ROUND(_Google_ads[[#This Row],[quality_score]]*RANDBETWEEN(8,12)/10,0)</f>
        <v>10</v>
      </c>
      <c r="AB44" s="4">
        <f ca="1">_Google_ads[[#This Row],[search_impression_share]]*RANDBETWEEN(8,12)/10</f>
        <v>0.80099999999999993</v>
      </c>
      <c r="AD44" s="3">
        <f t="shared" ca="1" si="3"/>
        <v>44951</v>
      </c>
      <c r="AE44" s="4" t="s">
        <v>100</v>
      </c>
      <c r="AF44" s="4" t="s">
        <v>101</v>
      </c>
      <c r="AG44" s="4" t="s">
        <v>102</v>
      </c>
      <c r="AH44" s="4" t="s">
        <v>103</v>
      </c>
      <c r="AI44" s="4">
        <f ca="1">ROUND(T_Tiktok_ads[[#This Row],[impressions]]*RANDBETWEEN(8,12)/10,0)</f>
        <v>245802</v>
      </c>
      <c r="AJ44" s="4">
        <f ca="1">ROUND(T_Tiktok_ads[[#This Row],[clicks]]*RANDBETWEEN(8,12)/10,0)</f>
        <v>3234</v>
      </c>
      <c r="AK44" s="4">
        <v>434.5</v>
      </c>
      <c r="AL44" s="4">
        <f ca="1">ROUND(T_Tiktok_ads[[#This Row],[conversions]]*RANDBETWEEN(8,12)/10,0)</f>
        <v>26</v>
      </c>
      <c r="AM44" s="4">
        <f ca="1">ROUND(T_Tiktok_ads[[#This Row],[video_views]]*RANDBETWEEN(8,12)/10,0)</f>
        <v>189234</v>
      </c>
      <c r="AN44" s="4">
        <f ca="1">ROUND(T_Tiktok_ads[[#This Row],[video_watch_25]]*RANDBETWEEN(8,12)/10,0)</f>
        <v>177881</v>
      </c>
      <c r="AO44" s="4">
        <f ca="1">ROUND(T_Tiktok_ads[[#This Row],[video_watch_50]]*RANDBETWEEN(8,12)/10,0)</f>
        <v>83911</v>
      </c>
      <c r="AP44" s="4">
        <f ca="1">ROUND(T_Tiktok_ads[[#This Row],[video_watch_75]]*RANDBETWEEN(8,12)/10,0)</f>
        <v>57110</v>
      </c>
      <c r="AQ44" s="4">
        <f ca="1">ROUND(T_Tiktok_ads[[#This Row],[video_watch_100]]*RANDBETWEEN(8,12)/10,0)</f>
        <v>43234</v>
      </c>
      <c r="AR44" s="4">
        <f ca="1">ROUND(T_Tiktok_ads[[#This Row],[likes]]*RANDBETWEEN(8,12)/10,0)</f>
        <v>8567</v>
      </c>
      <c r="AS44" s="4">
        <f ca="1">ROUND(T_Tiktok_ads[[#This Row],[shares]]*RANDBETWEEN(8,12)/10,0)</f>
        <v>2681</v>
      </c>
      <c r="AT44" s="4">
        <f ca="1">ROUND(T_Tiktok_ads[[#This Row],[comments]]*RANDBETWEEN(8,12)/10,0)</f>
        <v>641</v>
      </c>
      <c r="AV44" s="5">
        <f t="shared" ca="1" si="5"/>
        <v>44931</v>
      </c>
      <c r="AW44">
        <f t="shared" ca="1" si="4"/>
        <v>1</v>
      </c>
      <c r="AX44">
        <f ca="1">ROUND(T_Facebook_Ads11[[#This Row],[impressions]]*RANDBETWEEN(8,12)/10,0)</f>
        <v>43333</v>
      </c>
      <c r="AY44">
        <f ca="1">ROUND(T_Facebook_Ads11[[#This Row],[clicks]]*RANDBETWEEN(8,12)/10,0)</f>
        <v>878</v>
      </c>
      <c r="AZ44">
        <f ca="1">T_Facebook_Ads11[[#This Row],[spend]]*RANDBETWEEN(8,12)/10</f>
        <v>151.40400000000002</v>
      </c>
      <c r="BA44">
        <f ca="1">ROUND(T_Facebook_Ads11[[#This Row],[conversions]]*RANDBETWEEN(8,12)/10,0)</f>
        <v>8</v>
      </c>
      <c r="BB44">
        <f ca="1">ROUND(T_Facebook_Ads11[[#This Row],[video_views]]*RANDBETWEEN(8,12)/10,0)</f>
        <v>6611</v>
      </c>
    </row>
    <row r="45" spans="1:54" ht="15.75" thickBot="1" x14ac:dyDescent="0.3">
      <c r="A45" s="3">
        <f t="shared" ca="1" si="1"/>
        <v>44929</v>
      </c>
      <c r="B45" s="4" t="s">
        <v>56</v>
      </c>
      <c r="C45" s="4" t="s">
        <v>57</v>
      </c>
      <c r="D45" s="4" t="s">
        <v>58</v>
      </c>
      <c r="E45" s="4" t="s">
        <v>59</v>
      </c>
      <c r="F45" s="4">
        <f ca="1">ROUND(T_Facebook_Ads[[#This Row],[impressions]]*RANDBETWEEN(8,12)/10,0)</f>
        <v>11624</v>
      </c>
      <c r="G45" s="4">
        <v>489</v>
      </c>
      <c r="H45" s="4">
        <f ca="1">T_Facebook_Ads[[#This Row],[spend]]*RANDBETWEEN(8,12)/10</f>
        <v>223.08</v>
      </c>
      <c r="I45" s="4">
        <f ca="1">ROUND(T_Facebook_Ads[[#This Row],[conversions]]*RANDBETWEEN(8,12)/10,0)</f>
        <v>32</v>
      </c>
      <c r="J45" s="4">
        <f ca="1">ROUND(T_Facebook_Ads[[#This Row],[video_views]]*RANDBETWEEN(8,12)/10,0)</f>
        <v>1198</v>
      </c>
      <c r="K45" s="4">
        <f ca="1">T_Facebook_Ads[[#This Row],[engagement_rate]]*RANDBETWEEN(8,12)/10</f>
        <v>5.0929999999999996E-2</v>
      </c>
      <c r="L45" s="4">
        <f ca="1">ROUND(T_Facebook_Ads[[#This Row],[reach]]*RANDBETWEEN(8,12)/10,0)</f>
        <v>9057</v>
      </c>
      <c r="M45" s="4">
        <f ca="1">T_Facebook_Ads[[#This Row],[frequency]]*RANDBETWEEN(8,12)/10</f>
        <v>1.024</v>
      </c>
      <c r="O45" s="3">
        <f t="shared" ca="1" si="2"/>
        <v>44956</v>
      </c>
      <c r="P45" s="4" t="s">
        <v>80</v>
      </c>
      <c r="Q45" s="4" t="s">
        <v>81</v>
      </c>
      <c r="R45" s="4" t="s">
        <v>82</v>
      </c>
      <c r="S45" s="4" t="s">
        <v>83</v>
      </c>
      <c r="T45" s="4">
        <f ca="1">ROUND(_Google_ads[[#This Row],[impressions]]*RANDBETWEEN(8,12)/10,0)</f>
        <v>39567</v>
      </c>
      <c r="U45" s="4">
        <f ca="1">ROUND(_Google_ads[[#This Row],[clicks]]*RANDBETWEEN(8,12)/10,0)</f>
        <v>947</v>
      </c>
      <c r="V45" s="4">
        <f ca="1">_Google_ads[[#This Row],[cost]]*RANDBETWEEN(8,12)/10</f>
        <v>507.4</v>
      </c>
      <c r="W45" s="4">
        <f ca="1">ROUND(_Google_ads[[#This Row],[conversions]]*RANDBETWEEN(8,12)/10,0)</f>
        <v>19</v>
      </c>
      <c r="X45" s="4">
        <f ca="1">ROUND(_Google_ads[[#This Row],[conversion_value]]*RANDBETWEEN(8,12)/10,0)</f>
        <v>1045</v>
      </c>
      <c r="Y45" s="4">
        <f ca="1">_Google_ads[[#This Row],[ctr]]*RANDBETWEEN(8,12)/10</f>
        <v>1.9900000000000001E-2</v>
      </c>
      <c r="Z45" s="4">
        <f ca="1">_Google_ads[[#This Row],[avg_cpc]]*RANDBETWEEN(8,12)/10</f>
        <v>0.57599999999999996</v>
      </c>
      <c r="AA45" s="4">
        <f ca="1">ROUND(_Google_ads[[#This Row],[quality_score]]*RANDBETWEEN(8,12)/10,0)</f>
        <v>6</v>
      </c>
      <c r="AB45" s="4">
        <f ca="1">_Google_ads[[#This Row],[search_impression_share]]*RANDBETWEEN(8,12)/10</f>
        <v>0.378</v>
      </c>
      <c r="AD45" s="3">
        <f t="shared" ca="1" si="3"/>
        <v>44940</v>
      </c>
      <c r="AE45" s="4" t="s">
        <v>104</v>
      </c>
      <c r="AF45" s="4" t="s">
        <v>105</v>
      </c>
      <c r="AG45" s="4" t="s">
        <v>106</v>
      </c>
      <c r="AH45" s="4" t="s">
        <v>107</v>
      </c>
      <c r="AI45" s="4">
        <f ca="1">ROUND(T_Tiktok_ads[[#This Row],[impressions]]*RANDBETWEEN(8,12)/10,0)</f>
        <v>141791</v>
      </c>
      <c r="AJ45" s="4">
        <f ca="1">ROUND(T_Tiktok_ads[[#This Row],[clicks]]*RANDBETWEEN(8,12)/10,0)</f>
        <v>2702</v>
      </c>
      <c r="AK45" s="4">
        <v>689.5</v>
      </c>
      <c r="AL45" s="4">
        <f ca="1">ROUND(T_Tiktok_ads[[#This Row],[conversions]]*RANDBETWEEN(8,12)/10,0)</f>
        <v>68</v>
      </c>
      <c r="AM45" s="4">
        <f ca="1">ROUND(T_Tiktok_ads[[#This Row],[video_views]]*RANDBETWEEN(8,12)/10,0)</f>
        <v>82111</v>
      </c>
      <c r="AN45" s="4">
        <f ca="1">ROUND(T_Tiktok_ads[[#This Row],[video_watch_25]]*RANDBETWEEN(8,12)/10,0)</f>
        <v>81881</v>
      </c>
      <c r="AO45" s="4">
        <f ca="1">ROUND(T_Tiktok_ads[[#This Row],[video_watch_50]]*RANDBETWEEN(8,12)/10,0)</f>
        <v>54947</v>
      </c>
      <c r="AP45" s="4">
        <f ca="1">ROUND(T_Tiktok_ads[[#This Row],[video_watch_75]]*RANDBETWEEN(8,12)/10,0)</f>
        <v>38024</v>
      </c>
      <c r="AQ45" s="4">
        <f ca="1">ROUND(T_Tiktok_ads[[#This Row],[video_watch_100]]*RANDBETWEEN(8,12)/10,0)</f>
        <v>26046</v>
      </c>
      <c r="AR45" s="4">
        <f ca="1">ROUND(T_Tiktok_ads[[#This Row],[likes]]*RANDBETWEEN(8,12)/10,0)</f>
        <v>4678</v>
      </c>
      <c r="AS45" s="4">
        <f ca="1">ROUND(T_Tiktok_ads[[#This Row],[shares]]*RANDBETWEEN(8,12)/10,0)</f>
        <v>1267</v>
      </c>
      <c r="AT45" s="4">
        <f ca="1">ROUND(T_Tiktok_ads[[#This Row],[comments]]*RANDBETWEEN(8,12)/10,0)</f>
        <v>261</v>
      </c>
      <c r="AV45" s="5">
        <f t="shared" ca="1" si="5"/>
        <v>44956</v>
      </c>
      <c r="AW45">
        <f t="shared" ca="1" si="4"/>
        <v>3</v>
      </c>
      <c r="AX45">
        <f ca="1">ROUND(T_Facebook_Ads11[[#This Row],[impressions]]*RANDBETWEEN(8,12)/10,0)</f>
        <v>12786</v>
      </c>
      <c r="AY45">
        <f ca="1">ROUND(T_Facebook_Ads11[[#This Row],[clicks]]*RANDBETWEEN(8,12)/10,0)</f>
        <v>587</v>
      </c>
      <c r="AZ45">
        <f ca="1">T_Facebook_Ads11[[#This Row],[spend]]*RANDBETWEEN(8,12)/10</f>
        <v>200.77199999999999</v>
      </c>
      <c r="BA45">
        <f ca="1">ROUND(T_Facebook_Ads11[[#This Row],[conversions]]*RANDBETWEEN(8,12)/10,0)</f>
        <v>38</v>
      </c>
      <c r="BB45">
        <f ca="1">ROUND(T_Facebook_Ads11[[#This Row],[video_views]]*RANDBETWEEN(8,12)/10,0)</f>
        <v>1438</v>
      </c>
    </row>
    <row r="46" spans="1:54" ht="15.75" thickBot="1" x14ac:dyDescent="0.3">
      <c r="A46" s="3">
        <f t="shared" ca="1" si="1"/>
        <v>44950</v>
      </c>
      <c r="B46" s="4" t="s">
        <v>60</v>
      </c>
      <c r="C46" s="4" t="s">
        <v>61</v>
      </c>
      <c r="D46" s="4" t="s">
        <v>62</v>
      </c>
      <c r="E46" s="4" t="s">
        <v>63</v>
      </c>
      <c r="F46" s="4">
        <f ca="1">ROUND(T_Facebook_Ads[[#This Row],[impressions]]*RANDBETWEEN(8,12)/10,0)</f>
        <v>34357</v>
      </c>
      <c r="G46" s="4">
        <v>1123</v>
      </c>
      <c r="H46" s="4">
        <f ca="1">T_Facebook_Ads[[#This Row],[spend]]*RANDBETWEEN(8,12)/10</f>
        <v>208.56000000000003</v>
      </c>
      <c r="I46" s="4">
        <f ca="1">ROUND(T_Facebook_Ads[[#This Row],[conversions]]*RANDBETWEEN(8,12)/10,0)</f>
        <v>17</v>
      </c>
      <c r="J46" s="4">
        <f ca="1">ROUND(T_Facebook_Ads[[#This Row],[video_views]]*RANDBETWEEN(8,12)/10,0)</f>
        <v>4668</v>
      </c>
      <c r="K46" s="4">
        <f ca="1">T_Facebook_Ads[[#This Row],[engagement_rate]]*RANDBETWEEN(8,12)/10</f>
        <v>3.9599999999999996E-2</v>
      </c>
      <c r="L46" s="4">
        <f ca="1">ROUND(T_Facebook_Ads[[#This Row],[reach]]*RANDBETWEEN(8,12)/10,0)</f>
        <v>28735</v>
      </c>
      <c r="M46" s="4">
        <f ca="1">T_Facebook_Ads[[#This Row],[frequency]]*RANDBETWEEN(8,12)/10</f>
        <v>1.44</v>
      </c>
      <c r="O46" s="3">
        <f t="shared" ca="1" si="2"/>
        <v>44936</v>
      </c>
      <c r="P46" s="4" t="s">
        <v>84</v>
      </c>
      <c r="Q46" s="4" t="s">
        <v>85</v>
      </c>
      <c r="R46" s="4" t="s">
        <v>86</v>
      </c>
      <c r="S46" s="4" t="s">
        <v>87</v>
      </c>
      <c r="T46" s="4">
        <f ca="1">ROUND(_Google_ads[[#This Row],[impressions]]*RANDBETWEEN(8,12)/10,0)</f>
        <v>68079</v>
      </c>
      <c r="U46" s="4">
        <f ca="1">ROUND(_Google_ads[[#This Row],[clicks]]*RANDBETWEEN(8,12)/10,0)</f>
        <v>1811</v>
      </c>
      <c r="V46" s="4">
        <f ca="1">_Google_ads[[#This Row],[cost]]*RANDBETWEEN(8,12)/10</f>
        <v>406.23</v>
      </c>
      <c r="W46" s="4">
        <f ca="1">ROUND(_Google_ads[[#This Row],[conversions]]*RANDBETWEEN(8,12)/10,0)</f>
        <v>46</v>
      </c>
      <c r="X46" s="4">
        <f ca="1">ROUND(_Google_ads[[#This Row],[conversion_value]]*RANDBETWEEN(8,12)/10,0)</f>
        <v>2320</v>
      </c>
      <c r="Y46" s="4">
        <f ca="1">_Google_ads[[#This Row],[ctr]]*RANDBETWEEN(8,12)/10</f>
        <v>2.6000000000000002E-2</v>
      </c>
      <c r="Z46" s="4">
        <f ca="1">_Google_ads[[#This Row],[avg_cpc]]*RANDBETWEEN(8,12)/10</f>
        <v>0.21600000000000003</v>
      </c>
      <c r="AA46" s="4">
        <f ca="1">ROUND(_Google_ads[[#This Row],[quality_score]]*RANDBETWEEN(8,12)/10,0)</f>
        <v>8</v>
      </c>
      <c r="AB46" s="4">
        <f ca="1">_Google_ads[[#This Row],[search_impression_share]]*RANDBETWEEN(8,12)/10</f>
        <v>0.76800000000000002</v>
      </c>
      <c r="AD46" s="3">
        <f t="shared" ca="1" si="3"/>
        <v>44935</v>
      </c>
      <c r="AE46" s="4" t="s">
        <v>108</v>
      </c>
      <c r="AF46" s="4" t="s">
        <v>109</v>
      </c>
      <c r="AG46" s="4" t="s">
        <v>110</v>
      </c>
      <c r="AH46" s="4" t="s">
        <v>111</v>
      </c>
      <c r="AI46" s="4">
        <f ca="1">ROUND(T_Tiktok_ads[[#This Row],[impressions]]*RANDBETWEEN(8,12)/10,0)</f>
        <v>195678</v>
      </c>
      <c r="AJ46" s="4">
        <f ca="1">ROUND(T_Tiktok_ads[[#This Row],[clicks]]*RANDBETWEEN(8,12)/10,0)</f>
        <v>2690</v>
      </c>
      <c r="AK46" s="4">
        <v>361.2</v>
      </c>
      <c r="AL46" s="4">
        <f ca="1">ROUND(T_Tiktok_ads[[#This Row],[conversions]]*RANDBETWEEN(8,12)/10,0)</f>
        <v>28</v>
      </c>
      <c r="AM46" s="4">
        <f ca="1">ROUND(T_Tiktok_ads[[#This Row],[video_views]]*RANDBETWEEN(8,12)/10,0)</f>
        <v>152345</v>
      </c>
      <c r="AN46" s="4">
        <f ca="1">ROUND(T_Tiktok_ads[[#This Row],[video_watch_25]]*RANDBETWEEN(8,12)/10,0)</f>
        <v>117234</v>
      </c>
      <c r="AO46" s="4">
        <f ca="1">ROUND(T_Tiktok_ads[[#This Row],[video_watch_50]]*RANDBETWEEN(8,12)/10,0)</f>
        <v>74587</v>
      </c>
      <c r="AP46" s="4">
        <f ca="1">ROUND(T_Tiktok_ads[[#This Row],[video_watch_75]]*RANDBETWEEN(8,12)/10,0)</f>
        <v>71081</v>
      </c>
      <c r="AQ46" s="4">
        <f ca="1">ROUND(T_Tiktok_ads[[#This Row],[video_watch_100]]*RANDBETWEEN(8,12)/10,0)</f>
        <v>39857</v>
      </c>
      <c r="AR46" s="4">
        <f ca="1">ROUND(T_Tiktok_ads[[#This Row],[likes]]*RANDBETWEEN(8,12)/10,0)</f>
        <v>5698</v>
      </c>
      <c r="AS46" s="4">
        <f ca="1">ROUND(T_Tiktok_ads[[#This Row],[shares]]*RANDBETWEEN(8,12)/10,0)</f>
        <v>1770</v>
      </c>
      <c r="AT46" s="4">
        <f ca="1">ROUND(T_Tiktok_ads[[#This Row],[comments]]*RANDBETWEEN(8,12)/10,0)</f>
        <v>430</v>
      </c>
      <c r="AV46" s="5">
        <f t="shared" ca="1" si="5"/>
        <v>44948</v>
      </c>
      <c r="AW46">
        <f t="shared" ca="1" si="4"/>
        <v>5</v>
      </c>
      <c r="AX46">
        <f ca="1">ROUND(T_Facebook_Ads11[[#This Row],[impressions]]*RANDBETWEEN(8,12)/10,0)</f>
        <v>27486</v>
      </c>
      <c r="AY46">
        <f ca="1">ROUND(T_Facebook_Ads11[[#This Row],[clicks]]*RANDBETWEEN(8,12)/10,0)</f>
        <v>898</v>
      </c>
      <c r="AZ46">
        <f ca="1">T_Facebook_Ads11[[#This Row],[spend]]*RANDBETWEEN(8,12)/10</f>
        <v>187.70400000000001</v>
      </c>
      <c r="BA46">
        <f ca="1">ROUND(T_Facebook_Ads11[[#This Row],[conversions]]*RANDBETWEEN(8,12)/10,0)</f>
        <v>17</v>
      </c>
      <c r="BB46">
        <f ca="1">ROUND(T_Facebook_Ads11[[#This Row],[video_views]]*RANDBETWEEN(8,12)/10,0)</f>
        <v>5602</v>
      </c>
    </row>
    <row r="47" spans="1:54" ht="15.75" thickBot="1" x14ac:dyDescent="0.3">
      <c r="A47" s="3">
        <f t="shared" ca="1" si="1"/>
        <v>44941</v>
      </c>
      <c r="B47" s="4" t="s">
        <v>64</v>
      </c>
      <c r="C47" s="4" t="s">
        <v>65</v>
      </c>
      <c r="D47" s="4" t="s">
        <v>66</v>
      </c>
      <c r="E47" s="4" t="s">
        <v>67</v>
      </c>
      <c r="F47" s="4">
        <f ca="1">ROUND(T_Facebook_Ads[[#This Row],[impressions]]*RANDBETWEEN(8,12)/10,0)</f>
        <v>61234</v>
      </c>
      <c r="G47" s="4">
        <v>223</v>
      </c>
      <c r="H47" s="4">
        <f ca="1">T_Facebook_Ads[[#This Row],[spend]]*RANDBETWEEN(8,12)/10</f>
        <v>78.900000000000006</v>
      </c>
      <c r="I47" s="4">
        <f ca="1">ROUND(T_Facebook_Ads[[#This Row],[conversions]]*RANDBETWEEN(8,12)/10,0)</f>
        <v>3</v>
      </c>
      <c r="J47" s="4">
        <f ca="1">ROUND(T_Facebook_Ads[[#This Row],[video_views]]*RANDBETWEEN(8,12)/10,0)</f>
        <v>32454</v>
      </c>
      <c r="K47" s="4">
        <f ca="1">T_Facebook_Ads[[#This Row],[engagement_rate]]*RANDBETWEEN(8,12)/10</f>
        <v>2.8799999999999997E-3</v>
      </c>
      <c r="L47" s="4">
        <f ca="1">ROUND(T_Facebook_Ads[[#This Row],[reach]]*RANDBETWEEN(8,12)/10,0)</f>
        <v>45111</v>
      </c>
      <c r="M47" s="4">
        <f ca="1">T_Facebook_Ads[[#This Row],[frequency]]*RANDBETWEEN(8,12)/10</f>
        <v>1.0980000000000001</v>
      </c>
      <c r="O47" s="3">
        <f t="shared" ca="1" si="2"/>
        <v>44945</v>
      </c>
      <c r="P47" s="4" t="s">
        <v>88</v>
      </c>
      <c r="Q47" s="4" t="s">
        <v>89</v>
      </c>
      <c r="R47" s="4" t="s">
        <v>90</v>
      </c>
      <c r="S47" s="4" t="s">
        <v>59</v>
      </c>
      <c r="T47" s="4">
        <f ca="1">ROUND(_Google_ads[[#This Row],[impressions]]*RANDBETWEEN(8,12)/10,0)</f>
        <v>138814</v>
      </c>
      <c r="U47" s="4">
        <f ca="1">ROUND(_Google_ads[[#This Row],[clicks]]*RANDBETWEEN(8,12)/10,0)</f>
        <v>371</v>
      </c>
      <c r="V47" s="4">
        <f ca="1">_Google_ads[[#This Row],[cost]]*RANDBETWEEN(8,12)/10</f>
        <v>113.4</v>
      </c>
      <c r="W47" s="4">
        <f ca="1">ROUND(_Google_ads[[#This Row],[conversions]]*RANDBETWEEN(8,12)/10,0)</f>
        <v>13</v>
      </c>
      <c r="X47" s="4">
        <f ca="1">ROUND(_Google_ads[[#This Row],[conversion_value]]*RANDBETWEEN(8,12)/10,0)</f>
        <v>605</v>
      </c>
      <c r="Y47" s="4">
        <f ca="1">_Google_ads[[#This Row],[ctr]]*RANDBETWEEN(8,12)/10</f>
        <v>2.8799999999999997E-3</v>
      </c>
      <c r="Z47" s="4">
        <f ca="1">_Google_ads[[#This Row],[avg_cpc]]*RANDBETWEEN(8,12)/10</f>
        <v>0.25200000000000006</v>
      </c>
      <c r="AA47" s="4">
        <f ca="1">ROUND(_Google_ads[[#This Row],[quality_score]]*RANDBETWEEN(8,12)/10,0)</f>
        <v>6</v>
      </c>
      <c r="AB47" s="4">
        <f ca="1">_Google_ads[[#This Row],[search_impression_share]]*RANDBETWEEN(8,12)/10</f>
        <v>0.32</v>
      </c>
      <c r="AD47" s="3">
        <f t="shared" ca="1" si="3"/>
        <v>44955</v>
      </c>
      <c r="AE47" s="4" t="s">
        <v>112</v>
      </c>
      <c r="AF47" s="4" t="s">
        <v>113</v>
      </c>
      <c r="AG47" s="4" t="s">
        <v>114</v>
      </c>
      <c r="AH47" s="4" t="s">
        <v>115</v>
      </c>
      <c r="AI47" s="4">
        <f ca="1">ROUND(T_Tiktok_ads[[#This Row],[impressions]]*RANDBETWEEN(8,12)/10,0)</f>
        <v>392468</v>
      </c>
      <c r="AJ47" s="4">
        <f ca="1">ROUND(T_Tiktok_ads[[#This Row],[clicks]]*RANDBETWEEN(8,12)/10,0)</f>
        <v>5834</v>
      </c>
      <c r="AK47" s="4">
        <v>901.2</v>
      </c>
      <c r="AL47" s="4">
        <f ca="1">ROUND(T_Tiktok_ads[[#This Row],[conversions]]*RANDBETWEEN(8,12)/10,0)</f>
        <v>82</v>
      </c>
      <c r="AM47" s="4">
        <f ca="1">ROUND(T_Tiktok_ads[[#This Row],[video_views]]*RANDBETWEEN(8,12)/10,0)</f>
        <v>293456</v>
      </c>
      <c r="AN47" s="4">
        <f ca="1">ROUND(T_Tiktok_ads[[#This Row],[video_watch_25]]*RANDBETWEEN(8,12)/10,0)</f>
        <v>191387</v>
      </c>
      <c r="AO47" s="4">
        <f ca="1">ROUND(T_Tiktok_ads[[#This Row],[video_watch_50]]*RANDBETWEEN(8,12)/10,0)</f>
        <v>229481</v>
      </c>
      <c r="AP47" s="4">
        <f ca="1">ROUND(T_Tiktok_ads[[#This Row],[video_watch_75]]*RANDBETWEEN(8,12)/10,0)</f>
        <v>122611</v>
      </c>
      <c r="AQ47" s="4">
        <f ca="1">ROUND(T_Tiktok_ads[[#This Row],[video_watch_100]]*RANDBETWEEN(8,12)/10,0)</f>
        <v>72187</v>
      </c>
      <c r="AR47" s="4">
        <f ca="1">ROUND(T_Tiktok_ads[[#This Row],[likes]]*RANDBETWEEN(8,12)/10,0)</f>
        <v>14301</v>
      </c>
      <c r="AS47" s="4">
        <f ca="1">ROUND(T_Tiktok_ads[[#This Row],[shares]]*RANDBETWEEN(8,12)/10,0)</f>
        <v>3707</v>
      </c>
      <c r="AT47" s="4">
        <f ca="1">ROUND(T_Tiktok_ads[[#This Row],[comments]]*RANDBETWEEN(8,12)/10,0)</f>
        <v>1382</v>
      </c>
      <c r="AV47" s="5">
        <f t="shared" ca="1" si="5"/>
        <v>44948</v>
      </c>
      <c r="AW47">
        <f t="shared" ca="1" si="4"/>
        <v>4</v>
      </c>
      <c r="AX47">
        <f ca="1">ROUND(T_Facebook_Ads11[[#This Row],[impressions]]*RANDBETWEEN(8,12)/10,0)</f>
        <v>55111</v>
      </c>
      <c r="AY47">
        <f ca="1">ROUND(T_Facebook_Ads11[[#This Row],[clicks]]*RANDBETWEEN(8,12)/10,0)</f>
        <v>268</v>
      </c>
      <c r="AZ47">
        <f ca="1">T_Facebook_Ads11[[#This Row],[spend]]*RANDBETWEEN(8,12)/10</f>
        <v>63.120000000000005</v>
      </c>
      <c r="BA47">
        <f ca="1">ROUND(T_Facebook_Ads11[[#This Row],[conversions]]*RANDBETWEEN(8,12)/10,0)</f>
        <v>3</v>
      </c>
      <c r="BB47">
        <f ca="1">ROUND(T_Facebook_Ads11[[#This Row],[video_views]]*RANDBETWEEN(8,12)/10,0)</f>
        <v>32454</v>
      </c>
    </row>
    <row r="48" spans="1:54" ht="15.75" thickBot="1" x14ac:dyDescent="0.3">
      <c r="A48" s="3">
        <f t="shared" ca="1" si="1"/>
        <v>44947</v>
      </c>
      <c r="B48" s="4" t="s">
        <v>52</v>
      </c>
      <c r="C48" s="4" t="s">
        <v>53</v>
      </c>
      <c r="D48" s="4" t="s">
        <v>54</v>
      </c>
      <c r="E48" s="4" t="s">
        <v>55</v>
      </c>
      <c r="F48" s="4">
        <f ca="1">ROUND(T_Facebook_Ads[[#This Row],[impressions]]*RANDBETWEEN(8,12)/10,0)</f>
        <v>51468</v>
      </c>
      <c r="G48" s="4">
        <v>934</v>
      </c>
      <c r="H48" s="4">
        <f ca="1">T_Facebook_Ads[[#This Row],[spend]]*RANDBETWEEN(8,12)/10</f>
        <v>132.4</v>
      </c>
      <c r="I48" s="4">
        <f ca="1">ROUND(T_Facebook_Ads[[#This Row],[conversions]]*RANDBETWEEN(8,12)/10,0)</f>
        <v>14</v>
      </c>
      <c r="J48" s="4">
        <f ca="1">ROUND(T_Facebook_Ads[[#This Row],[video_views]]*RANDBETWEEN(8,12)/10,0)</f>
        <v>9424</v>
      </c>
      <c r="K48" s="4">
        <f ca="1">T_Facebook_Ads[[#This Row],[engagement_rate]]*RANDBETWEEN(8,12)/10</f>
        <v>1.7999999999999999E-2</v>
      </c>
      <c r="L48" s="4">
        <f ca="1">ROUND(T_Facebook_Ads[[#This Row],[reach]]*RANDBETWEEN(8,12)/10,0)</f>
        <v>47081</v>
      </c>
      <c r="M48" s="4">
        <f ca="1">T_Facebook_Ads[[#This Row],[frequency]]*RANDBETWEEN(8,12)/10</f>
        <v>1.3089999999999999</v>
      </c>
      <c r="O48" s="3">
        <f t="shared" ca="1" si="2"/>
        <v>44933</v>
      </c>
      <c r="P48" s="4" t="s">
        <v>76</v>
      </c>
      <c r="Q48" s="4" t="s">
        <v>77</v>
      </c>
      <c r="R48" s="4" t="s">
        <v>78</v>
      </c>
      <c r="S48" s="4" t="s">
        <v>79</v>
      </c>
      <c r="T48" s="4">
        <f ca="1">ROUND(_Google_ads[[#This Row],[impressions]]*RANDBETWEEN(8,12)/10,0)</f>
        <v>21501</v>
      </c>
      <c r="U48" s="4">
        <f ca="1">ROUND(_Google_ads[[#This Row],[clicks]]*RANDBETWEEN(8,12)/10,0)</f>
        <v>1481</v>
      </c>
      <c r="V48" s="4">
        <f ca="1">_Google_ads[[#This Row],[cost]]*RANDBETWEEN(8,12)/10</f>
        <v>282.71999999999997</v>
      </c>
      <c r="W48" s="4">
        <f ca="1">ROUND(_Google_ads[[#This Row],[conversions]]*RANDBETWEEN(8,12)/10,0)</f>
        <v>37</v>
      </c>
      <c r="X48" s="4">
        <f ca="1">ROUND(_Google_ads[[#This Row],[conversion_value]]*RANDBETWEEN(8,12)/10,0)</f>
        <v>2760</v>
      </c>
      <c r="Y48" s="4">
        <f ca="1">_Google_ads[[#This Row],[ctr]]*RANDBETWEEN(8,12)/10</f>
        <v>4.6530000000000002E-2</v>
      </c>
      <c r="Z48" s="4">
        <f ca="1">_Google_ads[[#This Row],[avg_cpc]]*RANDBETWEEN(8,12)/10</f>
        <v>0.17099999999999999</v>
      </c>
      <c r="AA48" s="4">
        <f ca="1">ROUND(_Google_ads[[#This Row],[quality_score]]*RANDBETWEEN(8,12)/10,0)</f>
        <v>11</v>
      </c>
      <c r="AB48" s="4">
        <f ca="1">_Google_ads[[#This Row],[search_impression_share]]*RANDBETWEEN(8,12)/10</f>
        <v>0.72799999999999998</v>
      </c>
      <c r="AD48" s="3">
        <f t="shared" ca="1" si="3"/>
        <v>44929</v>
      </c>
      <c r="AE48" s="4" t="s">
        <v>100</v>
      </c>
      <c r="AF48" s="4" t="s">
        <v>101</v>
      </c>
      <c r="AG48" s="4" t="s">
        <v>102</v>
      </c>
      <c r="AH48" s="4" t="s">
        <v>103</v>
      </c>
      <c r="AI48" s="4">
        <f ca="1">ROUND(T_Tiktok_ads[[#This Row],[impressions]]*RANDBETWEEN(8,12)/10,0)</f>
        <v>222110</v>
      </c>
      <c r="AJ48" s="4">
        <f ca="1">ROUND(T_Tiktok_ads[[#This Row],[clicks]]*RANDBETWEEN(8,12)/10,0)</f>
        <v>3678</v>
      </c>
      <c r="AK48" s="4">
        <v>478.9</v>
      </c>
      <c r="AL48" s="4">
        <f ca="1">ROUND(T_Tiktok_ads[[#This Row],[conversions]]*RANDBETWEEN(8,12)/10,0)</f>
        <v>29</v>
      </c>
      <c r="AM48" s="4">
        <f ca="1">ROUND(T_Tiktok_ads[[#This Row],[video_views]]*RANDBETWEEN(8,12)/10,0)</f>
        <v>207345</v>
      </c>
      <c r="AN48" s="4">
        <f ca="1">ROUND(T_Tiktok_ads[[#This Row],[video_watch_25]]*RANDBETWEEN(8,12)/10,0)</f>
        <v>163456</v>
      </c>
      <c r="AO48" s="4">
        <f ca="1">ROUND(T_Tiktok_ads[[#This Row],[video_watch_50]]*RANDBETWEEN(8,12)/10,0)</f>
        <v>122814</v>
      </c>
      <c r="AP48" s="4">
        <f ca="1">ROUND(T_Tiktok_ads[[#This Row],[video_watch_75]]*RANDBETWEEN(8,12)/10,0)</f>
        <v>84281</v>
      </c>
      <c r="AQ48" s="4">
        <f ca="1">ROUND(T_Tiktok_ads[[#This Row],[video_watch_100]]*RANDBETWEEN(8,12)/10,0)</f>
        <v>51957</v>
      </c>
      <c r="AR48" s="4">
        <f ca="1">ROUND(T_Tiktok_ads[[#This Row],[likes]]*RANDBETWEEN(8,12)/10,0)</f>
        <v>7387</v>
      </c>
      <c r="AS48" s="4">
        <f ca="1">ROUND(T_Tiktok_ads[[#This Row],[shares]]*RANDBETWEEN(8,12)/10,0)</f>
        <v>2456</v>
      </c>
      <c r="AT48" s="4">
        <f ca="1">ROUND(T_Tiktok_ads[[#This Row],[comments]]*RANDBETWEEN(8,12)/10,0)</f>
        <v>530</v>
      </c>
      <c r="AV48" s="5">
        <f t="shared" ca="1" si="5"/>
        <v>44957</v>
      </c>
      <c r="AW48">
        <f t="shared" ca="1" si="4"/>
        <v>4</v>
      </c>
      <c r="AX48">
        <f ca="1">ROUND(T_Facebook_Ads11[[#This Row],[impressions]]*RANDBETWEEN(8,12)/10,0)</f>
        <v>61762</v>
      </c>
      <c r="AY48">
        <f ca="1">ROUND(T_Facebook_Ads11[[#This Row],[clicks]]*RANDBETWEEN(8,12)/10,0)</f>
        <v>1121</v>
      </c>
      <c r="AZ48">
        <f ca="1">T_Facebook_Ads11[[#This Row],[spend]]*RANDBETWEEN(8,12)/10</f>
        <v>119.16000000000001</v>
      </c>
      <c r="BA48">
        <f ca="1">ROUND(T_Facebook_Ads11[[#This Row],[conversions]]*RANDBETWEEN(8,12)/10,0)</f>
        <v>14</v>
      </c>
      <c r="BB48">
        <f ca="1">ROUND(T_Facebook_Ads11[[#This Row],[video_views]]*RANDBETWEEN(8,12)/10,0)</f>
        <v>7539</v>
      </c>
    </row>
    <row r="49" spans="1:54" ht="15.75" thickBot="1" x14ac:dyDescent="0.3">
      <c r="A49" s="3">
        <f t="shared" ca="1" si="1"/>
        <v>44937</v>
      </c>
      <c r="B49" s="4" t="s">
        <v>56</v>
      </c>
      <c r="C49" s="4" t="s">
        <v>57</v>
      </c>
      <c r="D49" s="4" t="s">
        <v>58</v>
      </c>
      <c r="E49" s="4" t="s">
        <v>59</v>
      </c>
      <c r="F49" s="4">
        <f ca="1">ROUND(T_Facebook_Ads[[#This Row],[impressions]]*RANDBETWEEN(8,12)/10,0)</f>
        <v>10312</v>
      </c>
      <c r="G49" s="4">
        <v>567</v>
      </c>
      <c r="H49" s="4">
        <f ca="1">T_Facebook_Ads[[#This Row],[spend]]*RANDBETWEEN(8,12)/10</f>
        <v>243.43</v>
      </c>
      <c r="I49" s="4">
        <f ca="1">ROUND(T_Facebook_Ads[[#This Row],[conversions]]*RANDBETWEEN(8,12)/10,0)</f>
        <v>37</v>
      </c>
      <c r="J49" s="4">
        <f ca="1">ROUND(T_Facebook_Ads[[#This Row],[video_views]]*RANDBETWEEN(8,12)/10,0)</f>
        <v>1076</v>
      </c>
      <c r="K49" s="4">
        <f ca="1">T_Facebook_Ads[[#This Row],[engagement_rate]]*RANDBETWEEN(8,12)/10</f>
        <v>3.9599999999999996E-2</v>
      </c>
      <c r="L49" s="4">
        <f ca="1">ROUND(T_Facebook_Ads[[#This Row],[reach]]*RANDBETWEEN(8,12)/10,0)</f>
        <v>8098</v>
      </c>
      <c r="M49" s="4">
        <f ca="1">T_Facebook_Ads[[#This Row],[frequency]]*RANDBETWEEN(8,12)/10</f>
        <v>1.016</v>
      </c>
      <c r="O49" s="3">
        <f t="shared" ca="1" si="2"/>
        <v>44940</v>
      </c>
      <c r="P49" s="4" t="s">
        <v>80</v>
      </c>
      <c r="Q49" s="4" t="s">
        <v>81</v>
      </c>
      <c r="R49" s="4" t="s">
        <v>82</v>
      </c>
      <c r="S49" s="4" t="s">
        <v>83</v>
      </c>
      <c r="T49" s="4">
        <f ca="1">ROUND(_Google_ads[[#This Row],[impressions]]*RANDBETWEEN(8,12)/10,0)</f>
        <v>35031</v>
      </c>
      <c r="U49" s="4">
        <f ca="1">ROUND(_Google_ads[[#This Row],[clicks]]*RANDBETWEEN(8,12)/10,0)</f>
        <v>770</v>
      </c>
      <c r="V49" s="4">
        <f ca="1">_Google_ads[[#This Row],[cost]]*RANDBETWEEN(8,12)/10</f>
        <v>616.99</v>
      </c>
      <c r="W49" s="4">
        <f ca="1">ROUND(_Google_ads[[#This Row],[conversions]]*RANDBETWEEN(8,12)/10,0)</f>
        <v>22</v>
      </c>
      <c r="X49" s="4">
        <f ca="1">ROUND(_Google_ads[[#This Row],[conversion_value]]*RANDBETWEEN(8,12)/10,0)</f>
        <v>990</v>
      </c>
      <c r="Y49" s="4">
        <f ca="1">_Google_ads[[#This Row],[ctr]]*RANDBETWEEN(8,12)/10</f>
        <v>2.145E-2</v>
      </c>
      <c r="Z49" s="4">
        <f ca="1">_Google_ads[[#This Row],[avg_cpc]]*RANDBETWEEN(8,12)/10</f>
        <v>0.72600000000000009</v>
      </c>
      <c r="AA49" s="4">
        <f ca="1">ROUND(_Google_ads[[#This Row],[quality_score]]*RANDBETWEEN(8,12)/10,0)</f>
        <v>8</v>
      </c>
      <c r="AB49" s="4">
        <f ca="1">_Google_ads[[#This Row],[search_impression_share]]*RANDBETWEEN(8,12)/10</f>
        <v>0.35199999999999998</v>
      </c>
      <c r="AD49" s="3">
        <f t="shared" ca="1" si="3"/>
        <v>44951</v>
      </c>
      <c r="AE49" s="4" t="s">
        <v>104</v>
      </c>
      <c r="AF49" s="4" t="s">
        <v>105</v>
      </c>
      <c r="AG49" s="4" t="s">
        <v>106</v>
      </c>
      <c r="AH49" s="4" t="s">
        <v>107</v>
      </c>
      <c r="AI49" s="4">
        <f ca="1">ROUND(T_Tiktok_ads[[#This Row],[impressions]]*RANDBETWEEN(8,12)/10,0)</f>
        <v>170814</v>
      </c>
      <c r="AJ49" s="4">
        <f ca="1">ROUND(T_Tiktok_ads[[#This Row],[clicks]]*RANDBETWEEN(8,12)/10,0)</f>
        <v>2946</v>
      </c>
      <c r="AK49" s="4">
        <v>734.5</v>
      </c>
      <c r="AL49" s="4">
        <f ca="1">ROUND(T_Tiktok_ads[[#This Row],[conversions]]*RANDBETWEEN(8,12)/10,0)</f>
        <v>66</v>
      </c>
      <c r="AM49" s="4">
        <f ca="1">ROUND(T_Tiktok_ads[[#This Row],[video_views]]*RANDBETWEEN(8,12)/10,0)</f>
        <v>97890</v>
      </c>
      <c r="AN49" s="4">
        <f ca="1">ROUND(T_Tiktok_ads[[#This Row],[video_watch_25]]*RANDBETWEEN(8,12)/10,0)</f>
        <v>72345</v>
      </c>
      <c r="AO49" s="4">
        <f ca="1">ROUND(T_Tiktok_ads[[#This Row],[video_watch_50]]*RANDBETWEEN(8,12)/10,0)</f>
        <v>48901</v>
      </c>
      <c r="AP49" s="4">
        <f ca="1">ROUND(T_Tiktok_ads[[#This Row],[video_watch_75]]*RANDBETWEEN(8,12)/10,0)</f>
        <v>44147</v>
      </c>
      <c r="AQ49" s="4">
        <f ca="1">ROUND(T_Tiktok_ads[[#This Row],[video_watch_100]]*RANDBETWEEN(8,12)/10,0)</f>
        <v>29868</v>
      </c>
      <c r="AR49" s="4">
        <f ca="1">ROUND(T_Tiktok_ads[[#This Row],[likes]]*RANDBETWEEN(8,12)/10,0)</f>
        <v>3921</v>
      </c>
      <c r="AS49" s="4">
        <f ca="1">ROUND(T_Tiktok_ads[[#This Row],[shares]]*RANDBETWEEN(8,12)/10,0)</f>
        <v>1627</v>
      </c>
      <c r="AT49" s="4">
        <f ca="1">ROUND(T_Tiktok_ads[[#This Row],[comments]]*RANDBETWEEN(8,12)/10,0)</f>
        <v>307</v>
      </c>
      <c r="AV49" s="5">
        <f t="shared" ca="1" si="5"/>
        <v>44931</v>
      </c>
      <c r="AW49">
        <f t="shared" ca="1" si="4"/>
        <v>7</v>
      </c>
      <c r="AX49">
        <f ca="1">ROUND(T_Facebook_Ads11[[#This Row],[impressions]]*RANDBETWEEN(8,12)/10,0)</f>
        <v>11343</v>
      </c>
      <c r="AY49">
        <f ca="1">ROUND(T_Facebook_Ads11[[#This Row],[clicks]]*RANDBETWEEN(8,12)/10,0)</f>
        <v>680</v>
      </c>
      <c r="AZ49">
        <f ca="1">T_Facebook_Ads11[[#This Row],[spend]]*RANDBETWEEN(8,12)/10</f>
        <v>243.43</v>
      </c>
      <c r="BA49">
        <f ca="1">ROUND(T_Facebook_Ads11[[#This Row],[conversions]]*RANDBETWEEN(8,12)/10,0)</f>
        <v>37</v>
      </c>
      <c r="BB49">
        <f ca="1">ROUND(T_Facebook_Ads11[[#This Row],[video_views]]*RANDBETWEEN(8,12)/10,0)</f>
        <v>1184</v>
      </c>
    </row>
    <row r="50" spans="1:54" ht="15.75" thickBot="1" x14ac:dyDescent="0.3">
      <c r="A50" s="3">
        <f t="shared" ca="1" si="1"/>
        <v>44954</v>
      </c>
      <c r="B50" s="4" t="s">
        <v>60</v>
      </c>
      <c r="C50" s="4" t="s">
        <v>61</v>
      </c>
      <c r="D50" s="4" t="s">
        <v>62</v>
      </c>
      <c r="E50" s="4" t="s">
        <v>63</v>
      </c>
      <c r="F50" s="4">
        <f ca="1">ROUND(T_Facebook_Ads[[#This Row],[impressions]]*RANDBETWEEN(8,12)/10,0)</f>
        <v>39246</v>
      </c>
      <c r="G50" s="4">
        <v>1289</v>
      </c>
      <c r="H50" s="4">
        <f ca="1">T_Facebook_Ads[[#This Row],[spend]]*RANDBETWEEN(8,12)/10</f>
        <v>196.6</v>
      </c>
      <c r="I50" s="4">
        <f ca="1">ROUND(T_Facebook_Ads[[#This Row],[conversions]]*RANDBETWEEN(8,12)/10,0)</f>
        <v>28</v>
      </c>
      <c r="J50" s="4">
        <f ca="1">ROUND(T_Facebook_Ads[[#This Row],[video_views]]*RANDBETWEEN(8,12)/10,0)</f>
        <v>4678</v>
      </c>
      <c r="K50" s="4">
        <f ca="1">T_Facebook_Ads[[#This Row],[engagement_rate]]*RANDBETWEEN(8,12)/10</f>
        <v>3.61E-2</v>
      </c>
      <c r="L50" s="4">
        <f ca="1">ROUND(T_Facebook_Ads[[#This Row],[reach]]*RANDBETWEEN(8,12)/10,0)</f>
        <v>23476</v>
      </c>
      <c r="M50" s="4">
        <f ca="1">T_Facebook_Ads[[#This Row],[frequency]]*RANDBETWEEN(8,12)/10</f>
        <v>1.0980000000000001</v>
      </c>
      <c r="O50" s="3">
        <f t="shared" ca="1" si="2"/>
        <v>44956</v>
      </c>
      <c r="P50" s="4" t="s">
        <v>84</v>
      </c>
      <c r="Q50" s="4" t="s">
        <v>85</v>
      </c>
      <c r="R50" s="4" t="s">
        <v>86</v>
      </c>
      <c r="S50" s="4" t="s">
        <v>87</v>
      </c>
      <c r="T50" s="4">
        <f ca="1">ROUND(_Google_ads[[#This Row],[impressions]]*RANDBETWEEN(8,12)/10,0)</f>
        <v>53787</v>
      </c>
      <c r="U50" s="4">
        <f ca="1">ROUND(_Google_ads[[#This Row],[clicks]]*RANDBETWEEN(8,12)/10,0)</f>
        <v>2234</v>
      </c>
      <c r="V50" s="4">
        <f ca="1">_Google_ads[[#This Row],[cost]]*RANDBETWEEN(8,12)/10</f>
        <v>494.03999999999996</v>
      </c>
      <c r="W50" s="4">
        <f ca="1">ROUND(_Google_ads[[#This Row],[conversions]]*RANDBETWEEN(8,12)/10,0)</f>
        <v>52</v>
      </c>
      <c r="X50" s="4">
        <f ca="1">ROUND(_Google_ads[[#This Row],[conversion_value]]*RANDBETWEEN(8,12)/10,0)</f>
        <v>2925</v>
      </c>
      <c r="Y50" s="4">
        <f ca="1">_Google_ads[[#This Row],[ctr]]*RANDBETWEEN(8,12)/10</f>
        <v>3.6520000000000004E-2</v>
      </c>
      <c r="Z50" s="4">
        <f ca="1">_Google_ads[[#This Row],[avg_cpc]]*RANDBETWEEN(8,12)/10</f>
        <v>0.19800000000000001</v>
      </c>
      <c r="AA50" s="4">
        <f ca="1">ROUND(_Google_ads[[#This Row],[quality_score]]*RANDBETWEEN(8,12)/10,0)</f>
        <v>10</v>
      </c>
      <c r="AB50" s="4">
        <f ca="1">_Google_ads[[#This Row],[search_impression_share]]*RANDBETWEEN(8,12)/10</f>
        <v>0.66</v>
      </c>
      <c r="AD50" s="3">
        <f t="shared" ca="1" si="3"/>
        <v>44953</v>
      </c>
      <c r="AE50" s="4" t="s">
        <v>108</v>
      </c>
      <c r="AF50" s="4" t="s">
        <v>109</v>
      </c>
      <c r="AG50" s="4" t="s">
        <v>110</v>
      </c>
      <c r="AH50" s="4" t="s">
        <v>111</v>
      </c>
      <c r="AI50" s="4">
        <f ca="1">ROUND(T_Tiktok_ads[[#This Row],[impressions]]*RANDBETWEEN(8,12)/10,0)</f>
        <v>212345</v>
      </c>
      <c r="AJ50" s="4">
        <f ca="1">ROUND(T_Tiktok_ads[[#This Row],[clicks]]*RANDBETWEEN(8,12)/10,0)</f>
        <v>3011</v>
      </c>
      <c r="AK50" s="4">
        <v>401.1</v>
      </c>
      <c r="AL50" s="4">
        <f ca="1">ROUND(T_Tiktok_ads[[#This Row],[conversions]]*RANDBETWEEN(8,12)/10,0)</f>
        <v>25</v>
      </c>
      <c r="AM50" s="4">
        <f ca="1">ROUND(T_Tiktok_ads[[#This Row],[video_views]]*RANDBETWEEN(8,12)/10,0)</f>
        <v>134312</v>
      </c>
      <c r="AN50" s="4">
        <f ca="1">ROUND(T_Tiktok_ads[[#This Row],[video_watch_25]]*RANDBETWEEN(8,12)/10,0)</f>
        <v>153881</v>
      </c>
      <c r="AO50" s="4">
        <f ca="1">ROUND(T_Tiktok_ads[[#This Row],[video_watch_50]]*RANDBETWEEN(8,12)/10,0)</f>
        <v>91111</v>
      </c>
      <c r="AP50" s="4">
        <f ca="1">ROUND(T_Tiktok_ads[[#This Row],[video_watch_75]]*RANDBETWEEN(8,12)/10,0)</f>
        <v>52187</v>
      </c>
      <c r="AQ50" s="4">
        <f ca="1">ROUND(T_Tiktok_ads[[#This Row],[video_watch_100]]*RANDBETWEEN(8,12)/10,0)</f>
        <v>35510</v>
      </c>
      <c r="AR50" s="4">
        <f ca="1">ROUND(T_Tiktok_ads[[#This Row],[likes]]*RANDBETWEEN(8,12)/10,0)</f>
        <v>9347</v>
      </c>
      <c r="AS50" s="4">
        <f ca="1">ROUND(T_Tiktok_ads[[#This Row],[shares]]*RANDBETWEEN(8,12)/10,0)</f>
        <v>2574</v>
      </c>
      <c r="AT50" s="4">
        <f ca="1">ROUND(T_Tiktok_ads[[#This Row],[comments]]*RANDBETWEEN(8,12)/10,0)</f>
        <v>512</v>
      </c>
      <c r="AV50" s="5">
        <f t="shared" ca="1" si="5"/>
        <v>44937</v>
      </c>
      <c r="AW50">
        <f t="shared" ca="1" si="4"/>
        <v>3</v>
      </c>
      <c r="AX50">
        <f ca="1">ROUND(T_Facebook_Ads11[[#This Row],[impressions]]*RANDBETWEEN(8,12)/10,0)</f>
        <v>35321</v>
      </c>
      <c r="AY50">
        <f ca="1">ROUND(T_Facebook_Ads11[[#This Row],[clicks]]*RANDBETWEEN(8,12)/10,0)</f>
        <v>1160</v>
      </c>
      <c r="AZ50">
        <f ca="1">T_Facebook_Ads11[[#This Row],[spend]]*RANDBETWEEN(8,12)/10</f>
        <v>157.28</v>
      </c>
      <c r="BA50">
        <f ca="1">ROUND(T_Facebook_Ads11[[#This Row],[conversions]]*RANDBETWEEN(8,12)/10,0)</f>
        <v>34</v>
      </c>
      <c r="BB50">
        <f ca="1">ROUND(T_Facebook_Ads11[[#This Row],[video_views]]*RANDBETWEEN(8,12)/10,0)</f>
        <v>3742</v>
      </c>
    </row>
    <row r="51" spans="1:54" ht="15.75" thickBot="1" x14ac:dyDescent="0.3">
      <c r="A51" s="3">
        <f t="shared" ca="1" si="1"/>
        <v>44927</v>
      </c>
      <c r="B51" s="4" t="s">
        <v>64</v>
      </c>
      <c r="C51" s="4" t="s">
        <v>65</v>
      </c>
      <c r="D51" s="4" t="s">
        <v>66</v>
      </c>
      <c r="E51" s="4" t="s">
        <v>67</v>
      </c>
      <c r="F51" s="4">
        <f ca="1">ROUND(T_Facebook_Ads[[#This Row],[impressions]]*RANDBETWEEN(8,12)/10,0)</f>
        <v>54765</v>
      </c>
      <c r="G51" s="4">
        <v>248</v>
      </c>
      <c r="H51" s="4">
        <f ca="1">T_Facebook_Ads[[#This Row],[spend]]*RANDBETWEEN(8,12)/10</f>
        <v>96.359999999999985</v>
      </c>
      <c r="I51" s="4">
        <f ca="1">ROUND(T_Facebook_Ads[[#This Row],[conversions]]*RANDBETWEEN(8,12)/10,0)</f>
        <v>5</v>
      </c>
      <c r="J51" s="4">
        <f ca="1">ROUND(T_Facebook_Ads[[#This Row],[video_views]]*RANDBETWEEN(8,12)/10,0)</f>
        <v>41611</v>
      </c>
      <c r="K51" s="4">
        <f ca="1">T_Facebook_Ads[[#This Row],[engagement_rate]]*RANDBETWEEN(8,12)/10</f>
        <v>3.96E-3</v>
      </c>
      <c r="L51" s="4">
        <f ca="1">ROUND(T_Facebook_Ads[[#This Row],[reach]]*RANDBETWEEN(8,12)/10,0)</f>
        <v>62468</v>
      </c>
      <c r="M51" s="4">
        <f ca="1">T_Facebook_Ads[[#This Row],[frequency]]*RANDBETWEEN(8,12)/10</f>
        <v>1.21</v>
      </c>
      <c r="O51" s="3">
        <f t="shared" ca="1" si="2"/>
        <v>44935</v>
      </c>
      <c r="P51" s="4" t="s">
        <v>88</v>
      </c>
      <c r="Q51" s="4" t="s">
        <v>89</v>
      </c>
      <c r="R51" s="4" t="s">
        <v>90</v>
      </c>
      <c r="S51" s="4" t="s">
        <v>59</v>
      </c>
      <c r="T51" s="4">
        <f ca="1">ROUND(_Google_ads[[#This Row],[impressions]]*RANDBETWEEN(8,12)/10,0)</f>
        <v>128901</v>
      </c>
      <c r="U51" s="4">
        <f ca="1">ROUND(_Google_ads[[#This Row],[clicks]]*RANDBETWEEN(8,12)/10,0)</f>
        <v>514</v>
      </c>
      <c r="V51" s="4">
        <f ca="1">_Google_ads[[#This Row],[cost]]*RANDBETWEEN(8,12)/10</f>
        <v>114.03</v>
      </c>
      <c r="W51" s="4">
        <f ca="1">ROUND(_Google_ads[[#This Row],[conversions]]*RANDBETWEEN(8,12)/10,0)</f>
        <v>13</v>
      </c>
      <c r="X51" s="4">
        <f ca="1">ROUND(_Google_ads[[#This Row],[conversion_value]]*RANDBETWEEN(8,12)/10,0)</f>
        <v>520</v>
      </c>
      <c r="Y51" s="4">
        <f ca="1">_Google_ads[[#This Row],[ctr]]*RANDBETWEEN(8,12)/10</f>
        <v>3.2399999999999998E-3</v>
      </c>
      <c r="Z51" s="4">
        <f ca="1">_Google_ads[[#This Row],[avg_cpc]]*RANDBETWEEN(8,12)/10</f>
        <v>0.21600000000000003</v>
      </c>
      <c r="AA51" s="4">
        <f ca="1">ROUND(_Google_ads[[#This Row],[quality_score]]*RANDBETWEEN(8,12)/10,0)</f>
        <v>6</v>
      </c>
      <c r="AB51" s="4">
        <f ca="1">_Google_ads[[#This Row],[search_impression_share]]*RANDBETWEEN(8,12)/10</f>
        <v>0.374</v>
      </c>
      <c r="AD51" s="3">
        <f t="shared" ca="1" si="3"/>
        <v>44953</v>
      </c>
      <c r="AE51" s="4" t="s">
        <v>112</v>
      </c>
      <c r="AF51" s="4" t="s">
        <v>113</v>
      </c>
      <c r="AG51" s="4" t="s">
        <v>114</v>
      </c>
      <c r="AH51" s="4" t="s">
        <v>115</v>
      </c>
      <c r="AI51" s="4">
        <f ca="1">ROUND(T_Tiktok_ads[[#This Row],[impressions]]*RANDBETWEEN(8,12)/10,0)</f>
        <v>303121</v>
      </c>
      <c r="AJ51" s="4">
        <f ca="1">ROUND(T_Tiktok_ads[[#This Row],[clicks]]*RANDBETWEEN(8,12)/10,0)</f>
        <v>7348</v>
      </c>
      <c r="AK51" s="4">
        <v>945.6</v>
      </c>
      <c r="AL51" s="4">
        <f ca="1">ROUND(T_Tiktok_ads[[#This Row],[conversions]]*RANDBETWEEN(8,12)/10,0)</f>
        <v>106</v>
      </c>
      <c r="AM51" s="4">
        <f ca="1">ROUND(T_Tiktok_ads[[#This Row],[video_views]]*RANDBETWEEN(8,12)/10,0)</f>
        <v>374814</v>
      </c>
      <c r="AN51" s="4">
        <f ca="1">ROUND(T_Tiktok_ads[[#This Row],[video_watch_25]]*RANDBETWEEN(8,12)/10,0)</f>
        <v>226111</v>
      </c>
      <c r="AO51" s="4">
        <f ca="1">ROUND(T_Tiktok_ads[[#This Row],[video_watch_50]]*RANDBETWEEN(8,12)/10,0)</f>
        <v>160987</v>
      </c>
      <c r="AP51" s="4">
        <f ca="1">ROUND(T_Tiktok_ads[[#This Row],[video_watch_75]]*RANDBETWEEN(8,12)/10,0)</f>
        <v>143456</v>
      </c>
      <c r="AQ51" s="4">
        <f ca="1">ROUND(T_Tiktok_ads[[#This Row],[video_watch_100]]*RANDBETWEEN(8,12)/10,0)</f>
        <v>85711</v>
      </c>
      <c r="AR51" s="4">
        <f ca="1">ROUND(T_Tiktok_ads[[#This Row],[likes]]*RANDBETWEEN(8,12)/10,0)</f>
        <v>18224</v>
      </c>
      <c r="AS51" s="4">
        <f ca="1">ROUND(T_Tiktok_ads[[#This Row],[shares]]*RANDBETWEEN(8,12)/10,0)</f>
        <v>5305</v>
      </c>
      <c r="AT51" s="4">
        <f ca="1">ROUND(T_Tiktok_ads[[#This Row],[comments]]*RANDBETWEEN(8,12)/10,0)</f>
        <v>1443</v>
      </c>
      <c r="AV51" s="5">
        <f t="shared" ca="1" si="5"/>
        <v>44947</v>
      </c>
      <c r="AW51">
        <f t="shared" ca="1" si="4"/>
        <v>8</v>
      </c>
      <c r="AX51">
        <f ca="1">ROUND(T_Facebook_Ads11[[#This Row],[impressions]]*RANDBETWEEN(8,12)/10,0)</f>
        <v>54765</v>
      </c>
      <c r="AY51">
        <f ca="1">ROUND(T_Facebook_Ads11[[#This Row],[clicks]]*RANDBETWEEN(8,12)/10,0)</f>
        <v>273</v>
      </c>
      <c r="AZ51">
        <f ca="1">T_Facebook_Ads11[[#This Row],[spend]]*RANDBETWEEN(8,12)/10</f>
        <v>86.72399999999999</v>
      </c>
      <c r="BA51">
        <f ca="1">ROUND(T_Facebook_Ads11[[#This Row],[conversions]]*RANDBETWEEN(8,12)/10,0)</f>
        <v>6</v>
      </c>
      <c r="BB51">
        <f ca="1">ROUND(T_Facebook_Ads11[[#This Row],[video_views]]*RANDBETWEEN(8,12)/10,0)</f>
        <v>41611</v>
      </c>
    </row>
    <row r="52" spans="1:54" ht="15.75" thickBot="1" x14ac:dyDescent="0.3">
      <c r="A52" s="3">
        <f t="shared" ca="1" si="1"/>
        <v>44930</v>
      </c>
      <c r="B52" s="4" t="s">
        <v>52</v>
      </c>
      <c r="C52" s="4" t="s">
        <v>53</v>
      </c>
      <c r="D52" s="4" t="s">
        <v>54</v>
      </c>
      <c r="E52" s="4" t="s">
        <v>55</v>
      </c>
      <c r="F52" s="4">
        <f ca="1">ROUND(T_Facebook_Ads[[#This Row],[impressions]]*RANDBETWEEN(8,12)/10,0)</f>
        <v>60281</v>
      </c>
      <c r="G52" s="4">
        <v>1023</v>
      </c>
      <c r="H52" s="4">
        <f ca="1">T_Facebook_Ads[[#This Row],[spend]]*RANDBETWEEN(8,12)/10</f>
        <v>115.04</v>
      </c>
      <c r="I52" s="4">
        <f ca="1">ROUND(T_Facebook_Ads[[#This Row],[conversions]]*RANDBETWEEN(8,12)/10,0)</f>
        <v>19</v>
      </c>
      <c r="J52" s="4">
        <f ca="1">ROUND(T_Facebook_Ads[[#This Row],[video_views]]*RANDBETWEEN(8,12)/10,0)</f>
        <v>7387</v>
      </c>
      <c r="K52" s="4">
        <f ca="1">T_Facebook_Ads[[#This Row],[engagement_rate]]*RANDBETWEEN(8,12)/10</f>
        <v>2.4480000000000002E-2</v>
      </c>
      <c r="L52" s="4">
        <f ca="1">ROUND(T_Facebook_Ads[[#This Row],[reach]]*RANDBETWEEN(8,12)/10,0)</f>
        <v>33876</v>
      </c>
      <c r="M52" s="4">
        <f ca="1">T_Facebook_Ads[[#This Row],[frequency]]*RANDBETWEEN(8,12)/10</f>
        <v>1.071</v>
      </c>
      <c r="O52" s="3">
        <f t="shared" ca="1" si="2"/>
        <v>44933</v>
      </c>
      <c r="P52" s="4" t="s">
        <v>76</v>
      </c>
      <c r="Q52" s="4" t="s">
        <v>77</v>
      </c>
      <c r="R52" s="4" t="s">
        <v>78</v>
      </c>
      <c r="S52" s="4" t="s">
        <v>79</v>
      </c>
      <c r="T52" s="4">
        <f ca="1">ROUND(_Google_ads[[#This Row],[impressions]]*RANDBETWEEN(8,12)/10,0)</f>
        <v>25456</v>
      </c>
      <c r="U52" s="4">
        <f ca="1">ROUND(_Google_ads[[#This Row],[clicks]]*RANDBETWEEN(8,12)/10,0)</f>
        <v>1480</v>
      </c>
      <c r="V52" s="4">
        <f ca="1">_Google_ads[[#This Row],[cost]]*RANDBETWEEN(8,12)/10</f>
        <v>257.3</v>
      </c>
      <c r="W52" s="4">
        <f ca="1">ROUND(_Google_ads[[#This Row],[conversions]]*RANDBETWEEN(8,12)/10,0)</f>
        <v>51</v>
      </c>
      <c r="X52" s="4">
        <f ca="1">ROUND(_Google_ads[[#This Row],[conversion_value]]*RANDBETWEEN(8,12)/10,0)</f>
        <v>2550</v>
      </c>
      <c r="Y52" s="4">
        <f ca="1">_Google_ads[[#This Row],[ctr]]*RANDBETWEEN(8,12)/10</f>
        <v>4.224E-2</v>
      </c>
      <c r="Z52" s="4">
        <f ca="1">_Google_ads[[#This Row],[avg_cpc]]*RANDBETWEEN(8,12)/10</f>
        <v>0.19</v>
      </c>
      <c r="AA52" s="4">
        <f ca="1">ROUND(_Google_ads[[#This Row],[quality_score]]*RANDBETWEEN(8,12)/10,0)</f>
        <v>8</v>
      </c>
      <c r="AB52" s="4">
        <f ca="1">_Google_ads[[#This Row],[search_impression_share]]*RANDBETWEEN(8,12)/10</f>
        <v>0.82800000000000007</v>
      </c>
      <c r="AD52" s="3">
        <f t="shared" ca="1" si="3"/>
        <v>44952</v>
      </c>
      <c r="AE52" s="4" t="s">
        <v>100</v>
      </c>
      <c r="AF52" s="4" t="s">
        <v>101</v>
      </c>
      <c r="AG52" s="4" t="s">
        <v>102</v>
      </c>
      <c r="AH52" s="4" t="s">
        <v>103</v>
      </c>
      <c r="AI52" s="4">
        <f ca="1">ROUND(T_Tiktok_ads[[#This Row],[impressions]]*RANDBETWEEN(8,12)/10,0)</f>
        <v>260111</v>
      </c>
      <c r="AJ52" s="4">
        <f ca="1">ROUND(T_Tiktok_ads[[#This Row],[clicks]]*RANDBETWEEN(8,12)/10,0)</f>
        <v>4657</v>
      </c>
      <c r="AK52" s="4">
        <v>556.70000000000005</v>
      </c>
      <c r="AL52" s="4">
        <f ca="1">ROUND(T_Tiktok_ads[[#This Row],[conversions]]*RANDBETWEEN(8,12)/10,0)</f>
        <v>47</v>
      </c>
      <c r="AM52" s="4">
        <f ca="1">ROUND(T_Tiktok_ads[[#This Row],[video_views]]*RANDBETWEEN(8,12)/10,0)</f>
        <v>187654</v>
      </c>
      <c r="AN52" s="4">
        <f ca="1">ROUND(T_Tiktok_ads[[#This Row],[video_watch_25]]*RANDBETWEEN(8,12)/10,0)</f>
        <v>218814</v>
      </c>
      <c r="AO52" s="4">
        <f ca="1">ROUND(T_Tiktok_ads[[#This Row],[video_watch_50]]*RANDBETWEEN(8,12)/10,0)</f>
        <v>137480</v>
      </c>
      <c r="AP52" s="4">
        <f ca="1">ROUND(T_Tiktok_ads[[#This Row],[video_watch_75]]*RANDBETWEEN(8,12)/10,0)</f>
        <v>69511</v>
      </c>
      <c r="AQ52" s="4">
        <f ca="1">ROUND(T_Tiktok_ads[[#This Row],[video_watch_100]]*RANDBETWEEN(8,12)/10,0)</f>
        <v>46111</v>
      </c>
      <c r="AR52" s="4">
        <f ca="1">ROUND(T_Tiktok_ads[[#This Row],[likes]]*RANDBETWEEN(8,12)/10,0)</f>
        <v>10345</v>
      </c>
      <c r="AS52" s="4">
        <f ca="1">ROUND(T_Tiktok_ads[[#This Row],[shares]]*RANDBETWEEN(8,12)/10,0)</f>
        <v>2510</v>
      </c>
      <c r="AT52" s="4">
        <f ca="1">ROUND(T_Tiktok_ads[[#This Row],[comments]]*RANDBETWEEN(8,12)/10,0)</f>
        <v>525</v>
      </c>
      <c r="AV52" s="5">
        <f t="shared" ca="1" si="5"/>
        <v>44941</v>
      </c>
      <c r="AW52">
        <f t="shared" ca="1" si="4"/>
        <v>8</v>
      </c>
      <c r="AX52">
        <f ca="1">ROUND(T_Facebook_Ads11[[#This Row],[impressions]]*RANDBETWEEN(8,12)/10,0)</f>
        <v>48225</v>
      </c>
      <c r="AY52">
        <f ca="1">ROUND(T_Facebook_Ads11[[#This Row],[clicks]]*RANDBETWEEN(8,12)/10,0)</f>
        <v>818</v>
      </c>
      <c r="AZ52">
        <f ca="1">T_Facebook_Ads11[[#This Row],[spend]]*RANDBETWEEN(8,12)/10</f>
        <v>138.048</v>
      </c>
      <c r="BA52">
        <f ca="1">ROUND(T_Facebook_Ads11[[#This Row],[conversions]]*RANDBETWEEN(8,12)/10,0)</f>
        <v>17</v>
      </c>
      <c r="BB52">
        <f ca="1">ROUND(T_Facebook_Ads11[[#This Row],[video_views]]*RANDBETWEEN(8,12)/10,0)</f>
        <v>8864</v>
      </c>
    </row>
    <row r="53" spans="1:54" ht="15.75" thickBot="1" x14ac:dyDescent="0.3">
      <c r="A53" s="3">
        <f t="shared" ca="1" si="1"/>
        <v>44946</v>
      </c>
      <c r="B53" s="4" t="s">
        <v>56</v>
      </c>
      <c r="C53" s="4" t="s">
        <v>57</v>
      </c>
      <c r="D53" s="4" t="s">
        <v>58</v>
      </c>
      <c r="E53" s="4" t="s">
        <v>59</v>
      </c>
      <c r="F53" s="4">
        <f ca="1">ROUND(T_Facebook_Ads[[#This Row],[impressions]]*RANDBETWEEN(8,12)/10,0)</f>
        <v>17081</v>
      </c>
      <c r="G53" s="4">
        <v>678</v>
      </c>
      <c r="H53" s="4">
        <f ca="1">T_Facebook_Ads[[#This Row],[spend]]*RANDBETWEEN(8,12)/10</f>
        <v>298.2</v>
      </c>
      <c r="I53" s="4">
        <f ca="1">ROUND(T_Facebook_Ads[[#This Row],[conversions]]*RANDBETWEEN(8,12)/10,0)</f>
        <v>46</v>
      </c>
      <c r="J53" s="4">
        <f ca="1">ROUND(T_Facebook_Ads[[#This Row],[video_views]]*RANDBETWEEN(8,12)/10,0)</f>
        <v>1567</v>
      </c>
      <c r="K53" s="4">
        <f ca="1">T_Facebook_Ads[[#This Row],[engagement_rate]]*RANDBETWEEN(8,12)/10</f>
        <v>5.2469999999999996E-2</v>
      </c>
      <c r="L53" s="4">
        <f ca="1">ROUND(T_Facebook_Ads[[#This Row],[reach]]*RANDBETWEEN(8,12)/10,0)</f>
        <v>13481</v>
      </c>
      <c r="M53" s="4">
        <f ca="1">T_Facebook_Ads[[#This Row],[frequency]]*RANDBETWEEN(8,12)/10</f>
        <v>1.27</v>
      </c>
      <c r="O53" s="3">
        <f t="shared" ca="1" si="2"/>
        <v>44942</v>
      </c>
      <c r="P53" s="4" t="s">
        <v>80</v>
      </c>
      <c r="Q53" s="4" t="s">
        <v>81</v>
      </c>
      <c r="R53" s="4" t="s">
        <v>82</v>
      </c>
      <c r="S53" s="4" t="s">
        <v>83</v>
      </c>
      <c r="T53" s="4">
        <f ca="1">ROUND(_Google_ads[[#This Row],[impressions]]*RANDBETWEEN(8,12)/10,0)</f>
        <v>45678</v>
      </c>
      <c r="U53" s="4">
        <f ca="1">ROUND(_Google_ads[[#This Row],[clicks]]*RANDBETWEEN(8,12)/10,0)</f>
        <v>991</v>
      </c>
      <c r="V53" s="4">
        <f ca="1">_Google_ads[[#This Row],[cost]]*RANDBETWEEN(8,12)/10</f>
        <v>467.6</v>
      </c>
      <c r="W53" s="4">
        <f ca="1">ROUND(_Google_ads[[#This Row],[conversions]]*RANDBETWEEN(8,12)/10,0)</f>
        <v>22</v>
      </c>
      <c r="X53" s="4">
        <f ca="1">ROUND(_Google_ads[[#This Row],[conversion_value]]*RANDBETWEEN(8,12)/10,0)</f>
        <v>1440</v>
      </c>
      <c r="Y53" s="4">
        <f ca="1">_Google_ads[[#This Row],[ctr]]*RANDBETWEEN(8,12)/10</f>
        <v>1.9699999999999999E-2</v>
      </c>
      <c r="Z53" s="4">
        <f ca="1">_Google_ads[[#This Row],[avg_cpc]]*RANDBETWEEN(8,12)/10</f>
        <v>0.52</v>
      </c>
      <c r="AA53" s="4">
        <f ca="1">ROUND(_Google_ads[[#This Row],[quality_score]]*RANDBETWEEN(8,12)/10,0)</f>
        <v>7</v>
      </c>
      <c r="AB53" s="4">
        <f ca="1">_Google_ads[[#This Row],[search_impression_share]]*RANDBETWEEN(8,12)/10</f>
        <v>0.495</v>
      </c>
      <c r="AD53" s="3">
        <f t="shared" ca="1" si="3"/>
        <v>44939</v>
      </c>
      <c r="AE53" s="4" t="s">
        <v>104</v>
      </c>
      <c r="AF53" s="4" t="s">
        <v>105</v>
      </c>
      <c r="AG53" s="4" t="s">
        <v>106</v>
      </c>
      <c r="AH53" s="4" t="s">
        <v>107</v>
      </c>
      <c r="AI53" s="4">
        <f ca="1">ROUND(T_Tiktok_ads[[#This Row],[impressions]]*RANDBETWEEN(8,12)/10,0)</f>
        <v>188147</v>
      </c>
      <c r="AJ53" s="4">
        <f ca="1">ROUND(T_Tiktok_ads[[#This Row],[clicks]]*RANDBETWEEN(8,12)/10,0)</f>
        <v>3614</v>
      </c>
      <c r="AK53" s="4">
        <v>812.3</v>
      </c>
      <c r="AL53" s="4">
        <f ca="1">ROUND(T_Tiktok_ads[[#This Row],[conversions]]*RANDBETWEEN(8,12)/10,0)</f>
        <v>74</v>
      </c>
      <c r="AM53" s="4">
        <f ca="1">ROUND(T_Tiktok_ads[[#This Row],[video_views]]*RANDBETWEEN(8,12)/10,0)</f>
        <v>87901</v>
      </c>
      <c r="AN53" s="4">
        <f ca="1">ROUND(T_Tiktok_ads[[#This Row],[video_watch_25]]*RANDBETWEEN(8,12)/10,0)</f>
        <v>97481</v>
      </c>
      <c r="AO53" s="4">
        <f ca="1">ROUND(T_Tiktok_ads[[#This Row],[video_watch_50]]*RANDBETWEEN(8,12)/10,0)</f>
        <v>43742</v>
      </c>
      <c r="AP53" s="4">
        <f ca="1">ROUND(T_Tiktok_ads[[#This Row],[video_watch_75]]*RANDBETWEEN(8,12)/10,0)</f>
        <v>41234</v>
      </c>
      <c r="AQ53" s="4">
        <f ca="1">ROUND(T_Tiktok_ads[[#This Row],[video_watch_100]]*RANDBETWEEN(8,12)/10,0)</f>
        <v>22054</v>
      </c>
      <c r="AR53" s="4">
        <f ca="1">ROUND(T_Tiktok_ads[[#This Row],[likes]]*RANDBETWEEN(8,12)/10,0)</f>
        <v>4365</v>
      </c>
      <c r="AS53" s="4">
        <f ca="1">ROUND(T_Tiktok_ads[[#This Row],[shares]]*RANDBETWEEN(8,12)/10,0)</f>
        <v>1410</v>
      </c>
      <c r="AT53" s="4">
        <f ca="1">ROUND(T_Tiktok_ads[[#This Row],[comments]]*RANDBETWEEN(8,12)/10,0)</f>
        <v>231</v>
      </c>
      <c r="AV53" s="5">
        <f t="shared" ca="1" si="5"/>
        <v>44935</v>
      </c>
      <c r="AW53">
        <f t="shared" ca="1" si="4"/>
        <v>5</v>
      </c>
      <c r="AX53">
        <f ca="1">ROUND(T_Facebook_Ads11[[#This Row],[impressions]]*RANDBETWEEN(8,12)/10,0)</f>
        <v>18789</v>
      </c>
      <c r="AY53">
        <f ca="1">ROUND(T_Facebook_Ads11[[#This Row],[clicks]]*RANDBETWEEN(8,12)/10,0)</f>
        <v>542</v>
      </c>
      <c r="AZ53">
        <f ca="1">T_Facebook_Ads11[[#This Row],[spend]]*RANDBETWEEN(8,12)/10</f>
        <v>328.02</v>
      </c>
      <c r="BA53">
        <f ca="1">ROUND(T_Facebook_Ads11[[#This Row],[conversions]]*RANDBETWEEN(8,12)/10,0)</f>
        <v>51</v>
      </c>
      <c r="BB53">
        <f ca="1">ROUND(T_Facebook_Ads11[[#This Row],[video_views]]*RANDBETWEEN(8,12)/10,0)</f>
        <v>1880</v>
      </c>
    </row>
    <row r="54" spans="1:54" ht="15.75" thickBot="1" x14ac:dyDescent="0.3">
      <c r="A54" s="3">
        <f t="shared" ca="1" si="1"/>
        <v>44955</v>
      </c>
      <c r="B54" s="4" t="s">
        <v>60</v>
      </c>
      <c r="C54" s="4" t="s">
        <v>61</v>
      </c>
      <c r="D54" s="4" t="s">
        <v>62</v>
      </c>
      <c r="E54" s="4" t="s">
        <v>63</v>
      </c>
      <c r="F54" s="4">
        <f ca="1">ROUND(T_Facebook_Ads[[#This Row],[impressions]]*RANDBETWEEN(8,12)/10,0)</f>
        <v>38456</v>
      </c>
      <c r="G54" s="4">
        <v>1423</v>
      </c>
      <c r="H54" s="4">
        <f ca="1">T_Facebook_Ads[[#This Row],[spend]]*RANDBETWEEN(8,12)/10</f>
        <v>174.95999999999998</v>
      </c>
      <c r="I54" s="4">
        <f ca="1">ROUND(T_Facebook_Ads[[#This Row],[conversions]]*RANDBETWEEN(8,12)/10,0)</f>
        <v>24</v>
      </c>
      <c r="J54" s="4">
        <f ca="1">ROUND(T_Facebook_Ads[[#This Row],[video_views]]*RANDBETWEEN(8,12)/10,0)</f>
        <v>4611</v>
      </c>
      <c r="K54" s="4">
        <f ca="1">T_Facebook_Ads[[#This Row],[engagement_rate]]*RANDBETWEEN(8,12)/10</f>
        <v>4.07E-2</v>
      </c>
      <c r="L54" s="4">
        <f ca="1">ROUND(T_Facebook_Ads[[#This Row],[reach]]*RANDBETWEEN(8,12)/10,0)</f>
        <v>31234</v>
      </c>
      <c r="M54" s="4">
        <f ca="1">T_Facebook_Ads[[#This Row],[frequency]]*RANDBETWEEN(8,12)/10</f>
        <v>1.23</v>
      </c>
      <c r="O54" s="3">
        <f t="shared" ca="1" si="2"/>
        <v>44936</v>
      </c>
      <c r="P54" s="4" t="s">
        <v>84</v>
      </c>
      <c r="Q54" s="4" t="s">
        <v>85</v>
      </c>
      <c r="R54" s="4" t="s">
        <v>86</v>
      </c>
      <c r="S54" s="4" t="s">
        <v>87</v>
      </c>
      <c r="T54" s="4">
        <f ca="1">ROUND(_Google_ads[[#This Row],[impressions]]*RANDBETWEEN(8,12)/10,0)</f>
        <v>77135</v>
      </c>
      <c r="U54" s="4">
        <f ca="1">ROUND(_Google_ads[[#This Row],[clicks]]*RANDBETWEEN(8,12)/10,0)</f>
        <v>2378</v>
      </c>
      <c r="V54" s="4">
        <f ca="1">_Google_ads[[#This Row],[cost]]*RANDBETWEEN(8,12)/10</f>
        <v>522.96</v>
      </c>
      <c r="W54" s="4">
        <f ca="1">ROUND(_Google_ads[[#This Row],[conversions]]*RANDBETWEEN(8,12)/10,0)</f>
        <v>76</v>
      </c>
      <c r="X54" s="4">
        <f ca="1">ROUND(_Google_ads[[#This Row],[conversion_value]]*RANDBETWEEN(8,12)/10,0)</f>
        <v>4140</v>
      </c>
      <c r="Y54" s="4">
        <f ca="1">_Google_ads[[#This Row],[ctr]]*RANDBETWEEN(8,12)/10</f>
        <v>2.7119999999999998E-2</v>
      </c>
      <c r="Z54" s="4">
        <f ca="1">_Google_ads[[#This Row],[avg_cpc]]*RANDBETWEEN(8,12)/10</f>
        <v>0.18</v>
      </c>
      <c r="AA54" s="4">
        <f ca="1">ROUND(_Google_ads[[#This Row],[quality_score]]*RANDBETWEEN(8,12)/10,0)</f>
        <v>6</v>
      </c>
      <c r="AB54" s="4">
        <f ca="1">_Google_ads[[#This Row],[search_impression_share]]*RANDBETWEEN(8,12)/10</f>
        <v>0.67</v>
      </c>
      <c r="AD54" s="3">
        <f t="shared" ca="1" si="3"/>
        <v>44953</v>
      </c>
      <c r="AE54" s="4" t="s">
        <v>108</v>
      </c>
      <c r="AF54" s="4" t="s">
        <v>109</v>
      </c>
      <c r="AG54" s="4" t="s">
        <v>110</v>
      </c>
      <c r="AH54" s="4" t="s">
        <v>111</v>
      </c>
      <c r="AI54" s="4">
        <f ca="1">ROUND(T_Tiktok_ads[[#This Row],[impressions]]*RANDBETWEEN(8,12)/10,0)</f>
        <v>221110</v>
      </c>
      <c r="AJ54" s="4">
        <f ca="1">ROUND(T_Tiktok_ads[[#This Row],[clicks]]*RANDBETWEEN(8,12)/10,0)</f>
        <v>3890</v>
      </c>
      <c r="AK54" s="4">
        <v>467.8</v>
      </c>
      <c r="AL54" s="4">
        <f ca="1">ROUND(T_Tiktok_ads[[#This Row],[conversions]]*RANDBETWEEN(8,12)/10,0)</f>
        <v>31</v>
      </c>
      <c r="AM54" s="4">
        <f ca="1">ROUND(T_Tiktok_ads[[#This Row],[video_views]]*RANDBETWEEN(8,12)/10,0)</f>
        <v>156542</v>
      </c>
      <c r="AN54" s="4">
        <f ca="1">ROUND(T_Tiktok_ads[[#This Row],[video_watch_25]]*RANDBETWEEN(8,12)/10,0)</f>
        <v>177881</v>
      </c>
      <c r="AO54" s="4">
        <f ca="1">ROUND(T_Tiktok_ads[[#This Row],[video_watch_50]]*RANDBETWEEN(8,12)/10,0)</f>
        <v>140681</v>
      </c>
      <c r="AP54" s="4">
        <f ca="1">ROUND(T_Tiktok_ads[[#This Row],[video_watch_75]]*RANDBETWEEN(8,12)/10,0)</f>
        <v>60187</v>
      </c>
      <c r="AQ54" s="4">
        <f ca="1">ROUND(T_Tiktok_ads[[#This Row],[video_watch_100]]*RANDBETWEEN(8,12)/10,0)</f>
        <v>54947</v>
      </c>
      <c r="AR54" s="4">
        <f ca="1">ROUND(T_Tiktok_ads[[#This Row],[likes]]*RANDBETWEEN(8,12)/10,0)</f>
        <v>9424</v>
      </c>
      <c r="AS54" s="4">
        <f ca="1">ROUND(T_Tiktok_ads[[#This Row],[shares]]*RANDBETWEEN(8,12)/10,0)</f>
        <v>2111</v>
      </c>
      <c r="AT54" s="4">
        <f ca="1">ROUND(T_Tiktok_ads[[#This Row],[comments]]*RANDBETWEEN(8,12)/10,0)</f>
        <v>454</v>
      </c>
      <c r="AV54" s="5">
        <f t="shared" ca="1" si="5"/>
        <v>44949</v>
      </c>
      <c r="AW54">
        <f t="shared" ca="1" si="4"/>
        <v>6</v>
      </c>
      <c r="AX54">
        <f ca="1">ROUND(T_Facebook_Ads11[[#This Row],[impressions]]*RANDBETWEEN(8,12)/10,0)</f>
        <v>46147</v>
      </c>
      <c r="AY54">
        <f ca="1">ROUND(T_Facebook_Ads11[[#This Row],[clicks]]*RANDBETWEEN(8,12)/10,0)</f>
        <v>1138</v>
      </c>
      <c r="AZ54">
        <f ca="1">T_Facebook_Ads11[[#This Row],[spend]]*RANDBETWEEN(8,12)/10</f>
        <v>157.464</v>
      </c>
      <c r="BA54">
        <f ca="1">ROUND(T_Facebook_Ads11[[#This Row],[conversions]]*RANDBETWEEN(8,12)/10,0)</f>
        <v>19</v>
      </c>
      <c r="BB54">
        <f ca="1">ROUND(T_Facebook_Ads11[[#This Row],[video_views]]*RANDBETWEEN(8,12)/10,0)</f>
        <v>5533</v>
      </c>
    </row>
    <row r="55" spans="1:54" ht="15.75" thickBot="1" x14ac:dyDescent="0.3">
      <c r="A55" s="3">
        <f t="shared" ca="1" si="1"/>
        <v>44938</v>
      </c>
      <c r="B55" s="4" t="s">
        <v>64</v>
      </c>
      <c r="C55" s="4" t="s">
        <v>65</v>
      </c>
      <c r="D55" s="4" t="s">
        <v>66</v>
      </c>
      <c r="E55" s="4" t="s">
        <v>67</v>
      </c>
      <c r="F55" s="4">
        <f ca="1">ROUND(T_Facebook_Ads[[#This Row],[impressions]]*RANDBETWEEN(8,12)/10,0)</f>
        <v>58765</v>
      </c>
      <c r="G55" s="4">
        <v>267</v>
      </c>
      <c r="H55" s="4">
        <f ca="1">T_Facebook_Ads[[#This Row],[spend]]*RANDBETWEEN(8,12)/10</f>
        <v>94.2</v>
      </c>
      <c r="I55" s="4">
        <f ca="1">ROUND(T_Facebook_Ads[[#This Row],[conversions]]*RANDBETWEEN(8,12)/10,0)</f>
        <v>8</v>
      </c>
      <c r="J55" s="4">
        <f ca="1">ROUND(T_Facebook_Ads[[#This Row],[video_views]]*RANDBETWEEN(8,12)/10,0)</f>
        <v>44901</v>
      </c>
      <c r="K55" s="4">
        <f ca="1">T_Facebook_Ads[[#This Row],[engagement_rate]]*RANDBETWEEN(8,12)/10</f>
        <v>2.8799999999999997E-3</v>
      </c>
      <c r="L55" s="4">
        <f ca="1">ROUND(T_Facebook_Ads[[#This Row],[reach]]*RANDBETWEEN(8,12)/10,0)</f>
        <v>71480</v>
      </c>
      <c r="M55" s="4">
        <f ca="1">T_Facebook_Ads[[#This Row],[frequency]]*RANDBETWEEN(8,12)/10</f>
        <v>1.1160000000000001</v>
      </c>
      <c r="O55" s="3">
        <f t="shared" ca="1" si="2"/>
        <v>44948</v>
      </c>
      <c r="P55" s="4" t="s">
        <v>88</v>
      </c>
      <c r="Q55" s="4" t="s">
        <v>89</v>
      </c>
      <c r="R55" s="4" t="s">
        <v>90</v>
      </c>
      <c r="S55" s="4" t="s">
        <v>59</v>
      </c>
      <c r="T55" s="4">
        <f ca="1">ROUND(_Google_ads[[#This Row],[impressions]]*RANDBETWEEN(8,12)/10,0)</f>
        <v>106054</v>
      </c>
      <c r="U55" s="4">
        <f ca="1">ROUND(_Google_ads[[#This Row],[clicks]]*RANDBETWEEN(8,12)/10,0)</f>
        <v>391</v>
      </c>
      <c r="V55" s="4">
        <f ca="1">_Google_ads[[#This Row],[cost]]*RANDBETWEEN(8,12)/10</f>
        <v>143.55000000000001</v>
      </c>
      <c r="W55" s="4">
        <f ca="1">ROUND(_Google_ads[[#This Row],[conversions]]*RANDBETWEEN(8,12)/10,0)</f>
        <v>17</v>
      </c>
      <c r="X55" s="4">
        <f ca="1">ROUND(_Google_ads[[#This Row],[conversion_value]]*RANDBETWEEN(8,12)/10,0)</f>
        <v>630</v>
      </c>
      <c r="Y55" s="4">
        <f ca="1">_Google_ads[[#This Row],[ctr]]*RANDBETWEEN(8,12)/10</f>
        <v>3.3300000000000005E-3</v>
      </c>
      <c r="Z55" s="4">
        <f ca="1">_Google_ads[[#This Row],[avg_cpc]]*RANDBETWEEN(8,12)/10</f>
        <v>0.27</v>
      </c>
      <c r="AA55" s="4">
        <f ca="1">ROUND(_Google_ads[[#This Row],[quality_score]]*RANDBETWEEN(8,12)/10,0)</f>
        <v>7</v>
      </c>
      <c r="AB55" s="4">
        <f ca="1">_Google_ads[[#This Row],[search_impression_share]]*RANDBETWEEN(8,12)/10</f>
        <v>0.27999999999999997</v>
      </c>
      <c r="AD55" s="3">
        <f t="shared" ca="1" si="3"/>
        <v>44940</v>
      </c>
      <c r="AE55" s="4" t="s">
        <v>112</v>
      </c>
      <c r="AF55" s="4" t="s">
        <v>113</v>
      </c>
      <c r="AG55" s="4" t="s">
        <v>114</v>
      </c>
      <c r="AH55" s="4" t="s">
        <v>115</v>
      </c>
      <c r="AI55" s="4">
        <f ca="1">ROUND(T_Tiktok_ads[[#This Row],[impressions]]*RANDBETWEEN(8,12)/10,0)</f>
        <v>338765</v>
      </c>
      <c r="AJ55" s="4">
        <f ca="1">ROUND(T_Tiktok_ads[[#This Row],[clicks]]*RANDBETWEEN(8,12)/10,0)</f>
        <v>8268</v>
      </c>
      <c r="AK55" s="4">
        <v>1056.8</v>
      </c>
      <c r="AL55" s="4">
        <f ca="1">ROUND(T_Tiktok_ads[[#This Row],[conversions]]*RANDBETWEEN(8,12)/10,0)</f>
        <v>128</v>
      </c>
      <c r="AM55" s="4">
        <f ca="1">ROUND(T_Tiktok_ads[[#This Row],[video_views]]*RANDBETWEEN(8,12)/10,0)</f>
        <v>392468</v>
      </c>
      <c r="AN55" s="4">
        <f ca="1">ROUND(T_Tiktok_ads[[#This Row],[video_watch_25]]*RANDBETWEEN(8,12)/10,0)</f>
        <v>231387</v>
      </c>
      <c r="AO55" s="4">
        <f ca="1">ROUND(T_Tiktok_ads[[#This Row],[video_watch_50]]*RANDBETWEEN(8,12)/10,0)</f>
        <v>254602</v>
      </c>
      <c r="AP55" s="4">
        <f ca="1">ROUND(T_Tiktok_ads[[#This Row],[video_watch_75]]*RANDBETWEEN(8,12)/10,0)</f>
        <v>148110</v>
      </c>
      <c r="AQ55" s="4">
        <f ca="1">ROUND(T_Tiktok_ads[[#This Row],[video_watch_100]]*RANDBETWEEN(8,12)/10,0)</f>
        <v>98311</v>
      </c>
      <c r="AR55" s="4">
        <f ca="1">ROUND(T_Tiktok_ads[[#This Row],[likes]]*RANDBETWEEN(8,12)/10,0)</f>
        <v>15112</v>
      </c>
      <c r="AS55" s="4">
        <f ca="1">ROUND(T_Tiktok_ads[[#This Row],[shares]]*RANDBETWEEN(8,12)/10,0)</f>
        <v>6002</v>
      </c>
      <c r="AT55" s="4">
        <f ca="1">ROUND(T_Tiktok_ads[[#This Row],[comments]]*RANDBETWEEN(8,12)/10,0)</f>
        <v>1489</v>
      </c>
      <c r="AV55" s="5">
        <f t="shared" ca="1" si="5"/>
        <v>44933</v>
      </c>
      <c r="AW55">
        <f t="shared" ca="1" si="4"/>
        <v>7</v>
      </c>
      <c r="AX55">
        <f ca="1">ROUND(T_Facebook_Ads11[[#This Row],[impressions]]*RANDBETWEEN(8,12)/10,0)</f>
        <v>64642</v>
      </c>
      <c r="AY55">
        <f ca="1">ROUND(T_Facebook_Ads11[[#This Row],[clicks]]*RANDBETWEEN(8,12)/10,0)</f>
        <v>294</v>
      </c>
      <c r="AZ55">
        <f ca="1">T_Facebook_Ads11[[#This Row],[spend]]*RANDBETWEEN(8,12)/10</f>
        <v>84.78</v>
      </c>
      <c r="BA55">
        <f ca="1">ROUND(T_Facebook_Ads11[[#This Row],[conversions]]*RANDBETWEEN(8,12)/10,0)</f>
        <v>8</v>
      </c>
      <c r="BB55">
        <f ca="1">ROUND(T_Facebook_Ads11[[#This Row],[video_views]]*RANDBETWEEN(8,12)/10,0)</f>
        <v>40411</v>
      </c>
    </row>
    <row r="56" spans="1:54" ht="15.75" thickBot="1" x14ac:dyDescent="0.3">
      <c r="A56" s="3">
        <f t="shared" ca="1" si="1"/>
        <v>44957</v>
      </c>
      <c r="B56" s="4" t="s">
        <v>52</v>
      </c>
      <c r="C56" s="4" t="s">
        <v>53</v>
      </c>
      <c r="D56" s="4" t="s">
        <v>54</v>
      </c>
      <c r="E56" s="4" t="s">
        <v>55</v>
      </c>
      <c r="F56" s="4">
        <f ca="1">ROUND(T_Facebook_Ads[[#This Row],[impressions]]*RANDBETWEEN(8,12)/10,0)</f>
        <v>56968</v>
      </c>
      <c r="G56" s="4">
        <v>1089</v>
      </c>
      <c r="H56" s="4">
        <f ca="1">T_Facebook_Ads[[#This Row],[spend]]*RANDBETWEEN(8,12)/10</f>
        <v>182.76000000000002</v>
      </c>
      <c r="I56" s="4">
        <f ca="1">ROUND(T_Facebook_Ads[[#This Row],[conversions]]*RANDBETWEEN(8,12)/10,0)</f>
        <v>18</v>
      </c>
      <c r="J56" s="4">
        <f ca="1">ROUND(T_Facebook_Ads[[#This Row],[video_views]]*RANDBETWEEN(8,12)/10,0)</f>
        <v>7654</v>
      </c>
      <c r="K56" s="4">
        <f ca="1">T_Facebook_Ads[[#This Row],[engagement_rate]]*RANDBETWEEN(8,12)/10</f>
        <v>1.6800000000000002E-2</v>
      </c>
      <c r="L56" s="4">
        <f ca="1">ROUND(T_Facebook_Ads[[#This Row],[reach]]*RANDBETWEEN(8,12)/10,0)</f>
        <v>43567</v>
      </c>
      <c r="M56" s="4">
        <f ca="1">T_Facebook_Ads[[#This Row],[frequency]]*RANDBETWEEN(8,12)/10</f>
        <v>1.3089999999999999</v>
      </c>
      <c r="O56" s="3">
        <f t="shared" ca="1" si="2"/>
        <v>44957</v>
      </c>
      <c r="P56" s="4" t="s">
        <v>76</v>
      </c>
      <c r="Q56" s="4" t="s">
        <v>77</v>
      </c>
      <c r="R56" s="4" t="s">
        <v>78</v>
      </c>
      <c r="S56" s="4" t="s">
        <v>79</v>
      </c>
      <c r="T56" s="4">
        <f ca="1">ROUND(_Google_ads[[#This Row],[impressions]]*RANDBETWEEN(8,12)/10,0)</f>
        <v>26789</v>
      </c>
      <c r="U56" s="4">
        <f ca="1">ROUND(_Google_ads[[#This Row],[clicks]]*RANDBETWEEN(8,12)/10,0)</f>
        <v>1602</v>
      </c>
      <c r="V56" s="4">
        <f ca="1">_Google_ads[[#This Row],[cost]]*RANDBETWEEN(8,12)/10</f>
        <v>223.11999999999998</v>
      </c>
      <c r="W56" s="4">
        <f ca="1">ROUND(_Google_ads[[#This Row],[conversions]]*RANDBETWEEN(8,12)/10,0)</f>
        <v>54</v>
      </c>
      <c r="X56" s="4">
        <f ca="1">ROUND(_Google_ads[[#This Row],[conversion_value]]*RANDBETWEEN(8,12)/10,0)</f>
        <v>2970</v>
      </c>
      <c r="Y56" s="4">
        <f ca="1">_Google_ads[[#This Row],[ctr]]*RANDBETWEEN(8,12)/10</f>
        <v>4.3519999999999996E-2</v>
      </c>
      <c r="Z56" s="4">
        <f ca="1">_Google_ads[[#This Row],[avg_cpc]]*RANDBETWEEN(8,12)/10</f>
        <v>0.19</v>
      </c>
      <c r="AA56" s="4">
        <f ca="1">ROUND(_Google_ads[[#This Row],[quality_score]]*RANDBETWEEN(8,12)/10,0)</f>
        <v>8</v>
      </c>
      <c r="AB56" s="4">
        <f ca="1">_Google_ads[[#This Row],[search_impression_share]]*RANDBETWEEN(8,12)/10</f>
        <v>0.93</v>
      </c>
      <c r="AD56" s="3">
        <f t="shared" ca="1" si="3"/>
        <v>44955</v>
      </c>
      <c r="AE56" s="4" t="s">
        <v>100</v>
      </c>
      <c r="AF56" s="4" t="s">
        <v>101</v>
      </c>
      <c r="AG56" s="4" t="s">
        <v>102</v>
      </c>
      <c r="AH56" s="4" t="s">
        <v>103</v>
      </c>
      <c r="AI56" s="4">
        <f ca="1">ROUND(T_Tiktok_ads[[#This Row],[impressions]]*RANDBETWEEN(8,12)/10,0)</f>
        <v>301234</v>
      </c>
      <c r="AJ56" s="4">
        <f ca="1">ROUND(T_Tiktok_ads[[#This Row],[clicks]]*RANDBETWEEN(8,12)/10,0)</f>
        <v>5347</v>
      </c>
      <c r="AK56" s="4">
        <v>589.9</v>
      </c>
      <c r="AL56" s="4">
        <f ca="1">ROUND(T_Tiktok_ads[[#This Row],[conversions]]*RANDBETWEEN(8,12)/10,0)</f>
        <v>41</v>
      </c>
      <c r="AM56" s="4">
        <f ca="1">ROUND(T_Tiktok_ads[[#This Row],[video_views]]*RANDBETWEEN(8,12)/10,0)</f>
        <v>245678</v>
      </c>
      <c r="AN56" s="4">
        <f ca="1">ROUND(T_Tiktok_ads[[#This Row],[video_watch_25]]*RANDBETWEEN(8,12)/10,0)</f>
        <v>152987</v>
      </c>
      <c r="AO56" s="4">
        <f ca="1">ROUND(T_Tiktok_ads[[#This Row],[video_watch_50]]*RANDBETWEEN(8,12)/10,0)</f>
        <v>131157</v>
      </c>
      <c r="AP56" s="4">
        <f ca="1">ROUND(T_Tiktok_ads[[#This Row],[video_watch_75]]*RANDBETWEEN(8,12)/10,0)</f>
        <v>88257</v>
      </c>
      <c r="AQ56" s="4">
        <f ca="1">ROUND(T_Tiktok_ads[[#This Row],[video_watch_100]]*RANDBETWEEN(8,12)/10,0)</f>
        <v>48110</v>
      </c>
      <c r="AR56" s="4">
        <f ca="1">ROUND(T_Tiktok_ads[[#This Row],[likes]]*RANDBETWEEN(8,12)/10,0)</f>
        <v>12947</v>
      </c>
      <c r="AS56" s="4">
        <f ca="1">ROUND(T_Tiktok_ads[[#This Row],[shares]]*RANDBETWEEN(8,12)/10,0)</f>
        <v>2321</v>
      </c>
      <c r="AT56" s="4">
        <f ca="1">ROUND(T_Tiktok_ads[[#This Row],[comments]]*RANDBETWEEN(8,12)/10,0)</f>
        <v>689</v>
      </c>
      <c r="AV56" s="5">
        <f t="shared" ca="1" si="5"/>
        <v>44940</v>
      </c>
      <c r="AW56">
        <f t="shared" ca="1" si="4"/>
        <v>5</v>
      </c>
      <c r="AX56">
        <f ca="1">ROUND(T_Facebook_Ads11[[#This Row],[impressions]]*RANDBETWEEN(8,12)/10,0)</f>
        <v>62665</v>
      </c>
      <c r="AY56">
        <f ca="1">ROUND(T_Facebook_Ads11[[#This Row],[clicks]]*RANDBETWEEN(8,12)/10,0)</f>
        <v>871</v>
      </c>
      <c r="AZ56">
        <f ca="1">T_Facebook_Ads11[[#This Row],[spend]]*RANDBETWEEN(8,12)/10</f>
        <v>219.31200000000004</v>
      </c>
      <c r="BA56">
        <f ca="1">ROUND(T_Facebook_Ads11[[#This Row],[conversions]]*RANDBETWEEN(8,12)/10,0)</f>
        <v>20</v>
      </c>
      <c r="BB56">
        <f ca="1">ROUND(T_Facebook_Ads11[[#This Row],[video_views]]*RANDBETWEEN(8,12)/10,0)</f>
        <v>7654</v>
      </c>
    </row>
    <row r="57" spans="1:54" ht="15.75" thickBot="1" x14ac:dyDescent="0.3">
      <c r="A57" s="3">
        <f t="shared" ca="1" si="1"/>
        <v>44951</v>
      </c>
      <c r="B57" s="4" t="s">
        <v>56</v>
      </c>
      <c r="C57" s="4" t="s">
        <v>57</v>
      </c>
      <c r="D57" s="4" t="s">
        <v>58</v>
      </c>
      <c r="E57" s="4" t="s">
        <v>59</v>
      </c>
      <c r="F57" s="4">
        <f ca="1">ROUND(T_Facebook_Ads[[#This Row],[impressions]]*RANDBETWEEN(8,12)/10,0)</f>
        <v>13711</v>
      </c>
      <c r="G57" s="4">
        <v>734</v>
      </c>
      <c r="H57" s="4">
        <f ca="1">T_Facebook_Ads[[#This Row],[spend]]*RANDBETWEEN(8,12)/10</f>
        <v>238.22999999999996</v>
      </c>
      <c r="I57" s="4">
        <f ca="1">ROUND(T_Facebook_Ads[[#This Row],[conversions]]*RANDBETWEEN(8,12)/10,0)</f>
        <v>51</v>
      </c>
      <c r="J57" s="4">
        <f ca="1">ROUND(T_Facebook_Ads[[#This Row],[video_views]]*RANDBETWEEN(8,12)/10,0)</f>
        <v>1342</v>
      </c>
      <c r="K57" s="4">
        <f ca="1">T_Facebook_Ads[[#This Row],[engagement_rate]]*RANDBETWEEN(8,12)/10</f>
        <v>5.7840000000000003E-2</v>
      </c>
      <c r="L57" s="4">
        <f ca="1">ROUND(T_Facebook_Ads[[#This Row],[reach]]*RANDBETWEEN(8,12)/10,0)</f>
        <v>10911</v>
      </c>
      <c r="M57" s="4">
        <f ca="1">T_Facebook_Ads[[#This Row],[frequency]]*RANDBETWEEN(8,12)/10</f>
        <v>1.26</v>
      </c>
      <c r="O57" s="3">
        <f t="shared" ca="1" si="2"/>
        <v>44938</v>
      </c>
      <c r="P57" s="4" t="s">
        <v>80</v>
      </c>
      <c r="Q57" s="4" t="s">
        <v>81</v>
      </c>
      <c r="R57" s="4" t="s">
        <v>82</v>
      </c>
      <c r="S57" s="4" t="s">
        <v>83</v>
      </c>
      <c r="T57" s="4">
        <f ca="1">ROUND(_Google_ads[[#This Row],[impressions]]*RANDBETWEEN(8,12)/10,0)</f>
        <v>37787</v>
      </c>
      <c r="U57" s="4">
        <f ca="1">ROUND(_Google_ads[[#This Row],[clicks]]*RANDBETWEEN(8,12)/10,0)</f>
        <v>1064</v>
      </c>
      <c r="V57" s="4">
        <f ca="1">_Google_ads[[#This Row],[cost]]*RANDBETWEEN(8,12)/10</f>
        <v>484.48</v>
      </c>
      <c r="W57" s="4">
        <f ca="1">ROUND(_Google_ads[[#This Row],[conversions]]*RANDBETWEEN(8,12)/10,0)</f>
        <v>20</v>
      </c>
      <c r="X57" s="4">
        <f ca="1">ROUND(_Google_ads[[#This Row],[conversion_value]]*RANDBETWEEN(8,12)/10,0)</f>
        <v>1500</v>
      </c>
      <c r="Y57" s="4">
        <f ca="1">_Google_ads[[#This Row],[ctr]]*RANDBETWEEN(8,12)/10</f>
        <v>2.2550000000000001E-2</v>
      </c>
      <c r="Z57" s="4">
        <f ca="1">_Google_ads[[#This Row],[avg_cpc]]*RANDBETWEEN(8,12)/10</f>
        <v>0.69299999999999995</v>
      </c>
      <c r="AA57" s="4">
        <f ca="1">ROUND(_Google_ads[[#This Row],[quality_score]]*RANDBETWEEN(8,12)/10,0)</f>
        <v>6</v>
      </c>
      <c r="AB57" s="4">
        <f ca="1">_Google_ads[[#This Row],[search_impression_share]]*RANDBETWEEN(8,12)/10</f>
        <v>0.55200000000000005</v>
      </c>
      <c r="AD57" s="3">
        <f t="shared" ca="1" si="3"/>
        <v>44945</v>
      </c>
      <c r="AE57" s="4" t="s">
        <v>104</v>
      </c>
      <c r="AF57" s="4" t="s">
        <v>105</v>
      </c>
      <c r="AG57" s="4" t="s">
        <v>106</v>
      </c>
      <c r="AH57" s="4" t="s">
        <v>107</v>
      </c>
      <c r="AI57" s="4">
        <f ca="1">ROUND(T_Tiktok_ads[[#This Row],[impressions]]*RANDBETWEEN(8,12)/10,0)</f>
        <v>184679</v>
      </c>
      <c r="AJ57" s="4">
        <f ca="1">ROUND(T_Tiktok_ads[[#This Row],[clicks]]*RANDBETWEEN(8,12)/10,0)</f>
        <v>2911</v>
      </c>
      <c r="AK57" s="4">
        <v>845.6</v>
      </c>
      <c r="AL57" s="4">
        <f ca="1">ROUND(T_Tiktok_ads[[#This Row],[conversions]]*RANDBETWEEN(8,12)/10,0)</f>
        <v>94</v>
      </c>
      <c r="AM57" s="4">
        <f ca="1">ROUND(T_Tiktok_ads[[#This Row],[video_views]]*RANDBETWEEN(8,12)/10,0)</f>
        <v>106101</v>
      </c>
      <c r="AN57" s="4">
        <f ca="1">ROUND(T_Tiktok_ads[[#This Row],[video_watch_25]]*RANDBETWEEN(8,12)/10,0)</f>
        <v>87234</v>
      </c>
      <c r="AO57" s="4">
        <f ca="1">ROUND(T_Tiktok_ads[[#This Row],[video_watch_50]]*RANDBETWEEN(8,12)/10,0)</f>
        <v>64791</v>
      </c>
      <c r="AP57" s="4">
        <f ca="1">ROUND(T_Tiktok_ads[[#This Row],[video_watch_75]]*RANDBETWEEN(8,12)/10,0)</f>
        <v>39811</v>
      </c>
      <c r="AQ57" s="4">
        <f ca="1">ROUND(T_Tiktok_ads[[#This Row],[video_watch_100]]*RANDBETWEEN(8,12)/10,0)</f>
        <v>23654</v>
      </c>
      <c r="AR57" s="4">
        <f ca="1">ROUND(T_Tiktok_ads[[#This Row],[likes]]*RANDBETWEEN(8,12)/10,0)</f>
        <v>6814</v>
      </c>
      <c r="AS57" s="4">
        <f ca="1">ROUND(T_Tiktok_ads[[#This Row],[shares]]*RANDBETWEEN(8,12)/10,0)</f>
        <v>1307</v>
      </c>
      <c r="AT57" s="4">
        <f ca="1">ROUND(T_Tiktok_ads[[#This Row],[comments]]*RANDBETWEEN(8,12)/10,0)</f>
        <v>312</v>
      </c>
      <c r="AV57" s="5">
        <f t="shared" ca="1" si="5"/>
        <v>44933</v>
      </c>
      <c r="AW57">
        <f t="shared" ca="1" si="4"/>
        <v>6</v>
      </c>
      <c r="AX57">
        <f ca="1">ROUND(T_Facebook_Ads11[[#This Row],[impressions]]*RANDBETWEEN(8,12)/10,0)</f>
        <v>12340</v>
      </c>
      <c r="AY57">
        <f ca="1">ROUND(T_Facebook_Ads11[[#This Row],[clicks]]*RANDBETWEEN(8,12)/10,0)</f>
        <v>807</v>
      </c>
      <c r="AZ57">
        <f ca="1">T_Facebook_Ads11[[#This Row],[spend]]*RANDBETWEEN(8,12)/10</f>
        <v>214.40699999999998</v>
      </c>
      <c r="BA57">
        <f ca="1">ROUND(T_Facebook_Ads11[[#This Row],[conversions]]*RANDBETWEEN(8,12)/10,0)</f>
        <v>41</v>
      </c>
      <c r="BB57">
        <f ca="1">ROUND(T_Facebook_Ads11[[#This Row],[video_views]]*RANDBETWEEN(8,12)/10,0)</f>
        <v>1342</v>
      </c>
    </row>
    <row r="58" spans="1:54" ht="15.75" thickBot="1" x14ac:dyDescent="0.3">
      <c r="A58" s="3">
        <f t="shared" ca="1" si="1"/>
        <v>44942</v>
      </c>
      <c r="B58" s="4" t="s">
        <v>60</v>
      </c>
      <c r="C58" s="4" t="s">
        <v>61</v>
      </c>
      <c r="D58" s="4" t="s">
        <v>62</v>
      </c>
      <c r="E58" s="4" t="s">
        <v>63</v>
      </c>
      <c r="F58" s="4">
        <f ca="1">ROUND(T_Facebook_Ads[[#This Row],[impressions]]*RANDBETWEEN(8,12)/10,0)</f>
        <v>32098</v>
      </c>
      <c r="G58" s="4">
        <v>1534</v>
      </c>
      <c r="H58" s="4">
        <f ca="1">T_Facebook_Ads[[#This Row],[spend]]*RANDBETWEEN(8,12)/10</f>
        <v>256.08000000000004</v>
      </c>
      <c r="I58" s="4">
        <f ca="1">ROUND(T_Facebook_Ads[[#This Row],[conversions]]*RANDBETWEEN(8,12)/10,0)</f>
        <v>33</v>
      </c>
      <c r="J58" s="4">
        <f ca="1">ROUND(T_Facebook_Ads[[#This Row],[video_views]]*RANDBETWEEN(8,12)/10,0)</f>
        <v>6002</v>
      </c>
      <c r="K58" s="4">
        <f ca="1">T_Facebook_Ads[[#This Row],[engagement_rate]]*RANDBETWEEN(8,12)/10</f>
        <v>4.5839999999999999E-2</v>
      </c>
      <c r="L58" s="4">
        <f ca="1">ROUND(T_Facebook_Ads[[#This Row],[reach]]*RANDBETWEEN(8,12)/10,0)</f>
        <v>29601</v>
      </c>
      <c r="M58" s="4">
        <f ca="1">T_Facebook_Ads[[#This Row],[frequency]]*RANDBETWEEN(8,12)/10</f>
        <v>1.0980000000000001</v>
      </c>
      <c r="O58" s="3">
        <f t="shared" ca="1" si="2"/>
        <v>44955</v>
      </c>
      <c r="P58" s="4" t="s">
        <v>84</v>
      </c>
      <c r="Q58" s="4" t="s">
        <v>85</v>
      </c>
      <c r="R58" s="4" t="s">
        <v>86</v>
      </c>
      <c r="S58" s="4" t="s">
        <v>87</v>
      </c>
      <c r="T58" s="4">
        <f ca="1">ROUND(_Google_ads[[#This Row],[impressions]]*RANDBETWEEN(8,12)/10,0)</f>
        <v>86947</v>
      </c>
      <c r="U58" s="4">
        <f ca="1">ROUND(_Google_ads[[#This Row],[clicks]]*RANDBETWEEN(8,12)/10,0)</f>
        <v>2489</v>
      </c>
      <c r="V58" s="4">
        <f ca="1">_Google_ads[[#This Row],[cost]]*RANDBETWEEN(8,12)/10</f>
        <v>405.63</v>
      </c>
      <c r="W58" s="4">
        <f ca="1">ROUND(_Google_ads[[#This Row],[conversions]]*RANDBETWEEN(8,12)/10,0)</f>
        <v>72</v>
      </c>
      <c r="X58" s="4">
        <f ca="1">ROUND(_Google_ads[[#This Row],[conversion_value]]*RANDBETWEEN(8,12)/10,0)</f>
        <v>3960</v>
      </c>
      <c r="Y58" s="4">
        <f ca="1">_Google_ads[[#This Row],[ctr]]*RANDBETWEEN(8,12)/10</f>
        <v>4.1279999999999997E-2</v>
      </c>
      <c r="Z58" s="4">
        <f ca="1">_Google_ads[[#This Row],[avg_cpc]]*RANDBETWEEN(8,12)/10</f>
        <v>0.16199999999999998</v>
      </c>
      <c r="AA58" s="4">
        <f ca="1">ROUND(_Google_ads[[#This Row],[quality_score]]*RANDBETWEEN(8,12)/10,0)</f>
        <v>6</v>
      </c>
      <c r="AB58" s="4">
        <f ca="1">_Google_ads[[#This Row],[search_impression_share]]*RANDBETWEEN(8,12)/10</f>
        <v>0.748</v>
      </c>
      <c r="AD58" s="3">
        <f t="shared" ca="1" si="3"/>
        <v>44936</v>
      </c>
      <c r="AE58" s="4" t="s">
        <v>108</v>
      </c>
      <c r="AF58" s="4" t="s">
        <v>109</v>
      </c>
      <c r="AG58" s="4" t="s">
        <v>110</v>
      </c>
      <c r="AH58" s="4" t="s">
        <v>111</v>
      </c>
      <c r="AI58" s="4">
        <f ca="1">ROUND(T_Tiktok_ads[[#This Row],[impressions]]*RANDBETWEEN(8,12)/10,0)</f>
        <v>308147</v>
      </c>
      <c r="AJ58" s="4">
        <f ca="1">ROUND(T_Tiktok_ads[[#This Row],[clicks]]*RANDBETWEEN(8,12)/10,0)</f>
        <v>4814</v>
      </c>
      <c r="AK58" s="4">
        <v>489.2</v>
      </c>
      <c r="AL58" s="4">
        <f ca="1">ROUND(T_Tiktok_ads[[#This Row],[conversions]]*RANDBETWEEN(8,12)/10,0)</f>
        <v>43</v>
      </c>
      <c r="AM58" s="4">
        <f ca="1">ROUND(T_Tiktok_ads[[#This Row],[video_views]]*RANDBETWEEN(8,12)/10,0)</f>
        <v>181111</v>
      </c>
      <c r="AN58" s="4">
        <f ca="1">ROUND(T_Tiktok_ads[[#This Row],[video_watch_25]]*RANDBETWEEN(8,12)/10,0)</f>
        <v>167580</v>
      </c>
      <c r="AO58" s="4">
        <f ca="1">ROUND(T_Tiktok_ads[[#This Row],[video_watch_50]]*RANDBETWEEN(8,12)/10,0)</f>
        <v>96365</v>
      </c>
      <c r="AP58" s="4">
        <f ca="1">ROUND(T_Tiktok_ads[[#This Row],[video_watch_75]]*RANDBETWEEN(8,12)/10,0)</f>
        <v>77890</v>
      </c>
      <c r="AQ58" s="4">
        <f ca="1">ROUND(T_Tiktok_ads[[#This Row],[video_watch_100]]*RANDBETWEEN(8,12)/10,0)</f>
        <v>47234</v>
      </c>
      <c r="AR58" s="4">
        <f ca="1">ROUND(T_Tiktok_ads[[#This Row],[likes]]*RANDBETWEEN(8,12)/10,0)</f>
        <v>8901</v>
      </c>
      <c r="AS58" s="4">
        <f ca="1">ROUND(T_Tiktok_ads[[#This Row],[shares]]*RANDBETWEEN(8,12)/10,0)</f>
        <v>2702</v>
      </c>
      <c r="AT58" s="4">
        <f ca="1">ROUND(T_Tiktok_ads[[#This Row],[comments]]*RANDBETWEEN(8,12)/10,0)</f>
        <v>471</v>
      </c>
      <c r="AV58" s="5">
        <f t="shared" ca="1" si="5"/>
        <v>44949</v>
      </c>
      <c r="AW58">
        <f t="shared" ca="1" si="4"/>
        <v>8</v>
      </c>
      <c r="AX58">
        <f ca="1">ROUND(T_Facebook_Ads11[[#This Row],[impressions]]*RANDBETWEEN(8,12)/10,0)</f>
        <v>25678</v>
      </c>
      <c r="AY58">
        <f ca="1">ROUND(T_Facebook_Ads11[[#This Row],[clicks]]*RANDBETWEEN(8,12)/10,0)</f>
        <v>1227</v>
      </c>
      <c r="AZ58">
        <f ca="1">T_Facebook_Ads11[[#This Row],[spend]]*RANDBETWEEN(8,12)/10</f>
        <v>204.86400000000003</v>
      </c>
      <c r="BA58">
        <f ca="1">ROUND(T_Facebook_Ads11[[#This Row],[conversions]]*RANDBETWEEN(8,12)/10,0)</f>
        <v>30</v>
      </c>
      <c r="BB58">
        <f ca="1">ROUND(T_Facebook_Ads11[[#This Row],[video_views]]*RANDBETWEEN(8,12)/10,0)</f>
        <v>6602</v>
      </c>
    </row>
    <row r="59" spans="1:54" ht="15.75" thickBot="1" x14ac:dyDescent="0.3">
      <c r="A59" s="3">
        <f t="shared" ca="1" si="1"/>
        <v>44945</v>
      </c>
      <c r="B59" s="4" t="s">
        <v>64</v>
      </c>
      <c r="C59" s="4" t="s">
        <v>65</v>
      </c>
      <c r="D59" s="4" t="s">
        <v>66</v>
      </c>
      <c r="E59" s="4" t="s">
        <v>67</v>
      </c>
      <c r="F59" s="4">
        <f ca="1">ROUND(T_Facebook_Ads[[#This Row],[impressions]]*RANDBETWEEN(8,12)/10,0)</f>
        <v>91068</v>
      </c>
      <c r="G59" s="4">
        <v>278</v>
      </c>
      <c r="H59" s="4">
        <f ca="1">T_Facebook_Ads[[#This Row],[spend]]*RANDBETWEEN(8,12)/10</f>
        <v>98.5</v>
      </c>
      <c r="I59" s="4">
        <f ca="1">ROUND(T_Facebook_Ads[[#This Row],[conversions]]*RANDBETWEEN(8,12)/10,0)</f>
        <v>9</v>
      </c>
      <c r="J59" s="4">
        <f ca="1">ROUND(T_Facebook_Ads[[#This Row],[video_views]]*RANDBETWEEN(8,12)/10,0)</f>
        <v>46111</v>
      </c>
      <c r="K59" s="4">
        <f ca="1">T_Facebook_Ads[[#This Row],[engagement_rate]]*RANDBETWEEN(8,12)/10</f>
        <v>4.0699999999999998E-3</v>
      </c>
      <c r="L59" s="4">
        <f ca="1">ROUND(T_Facebook_Ads[[#This Row],[reach]]*RANDBETWEEN(8,12)/10,0)</f>
        <v>61567</v>
      </c>
      <c r="M59" s="4">
        <f ca="1">T_Facebook_Ads[[#This Row],[frequency]]*RANDBETWEEN(8,12)/10</f>
        <v>1.107</v>
      </c>
      <c r="O59" s="3">
        <f t="shared" ca="1" si="2"/>
        <v>44940</v>
      </c>
      <c r="P59" s="4" t="s">
        <v>88</v>
      </c>
      <c r="Q59" s="4" t="s">
        <v>89</v>
      </c>
      <c r="R59" s="4" t="s">
        <v>90</v>
      </c>
      <c r="S59" s="4" t="s">
        <v>59</v>
      </c>
      <c r="T59" s="4">
        <f ca="1">ROUND(_Google_ads[[#This Row],[impressions]]*RANDBETWEEN(8,12)/10,0)</f>
        <v>152791</v>
      </c>
      <c r="U59" s="4">
        <f ca="1">ROUND(_Google_ads[[#This Row],[clicks]]*RANDBETWEEN(8,12)/10,0)</f>
        <v>641</v>
      </c>
      <c r="V59" s="4">
        <f ca="1">_Google_ads[[#This Row],[cost]]*RANDBETWEEN(8,12)/10</f>
        <v>109.12</v>
      </c>
      <c r="W59" s="4">
        <f ca="1">ROUND(_Google_ads[[#This Row],[conversions]]*RANDBETWEEN(8,12)/10,0)</f>
        <v>17</v>
      </c>
      <c r="X59" s="4">
        <f ca="1">ROUND(_Google_ads[[#This Row],[conversion_value]]*RANDBETWEEN(8,12)/10,0)</f>
        <v>825</v>
      </c>
      <c r="Y59" s="4">
        <f ca="1">_Google_ads[[#This Row],[ctr]]*RANDBETWEEN(8,12)/10</f>
        <v>3.4200000000000003E-3</v>
      </c>
      <c r="Z59" s="4">
        <f ca="1">_Google_ads[[#This Row],[avg_cpc]]*RANDBETWEEN(8,12)/10</f>
        <v>0.23399999999999999</v>
      </c>
      <c r="AA59" s="4">
        <f ca="1">ROUND(_Google_ads[[#This Row],[quality_score]]*RANDBETWEEN(8,12)/10,0)</f>
        <v>8</v>
      </c>
      <c r="AB59" s="4">
        <f ca="1">_Google_ads[[#This Row],[search_impression_share]]*RANDBETWEEN(8,12)/10</f>
        <v>0.36</v>
      </c>
      <c r="AD59" s="3">
        <f t="shared" ca="1" si="3"/>
        <v>44955</v>
      </c>
      <c r="AE59" s="4" t="s">
        <v>112</v>
      </c>
      <c r="AF59" s="4" t="s">
        <v>113</v>
      </c>
      <c r="AG59" s="4" t="s">
        <v>114</v>
      </c>
      <c r="AH59" s="4" t="s">
        <v>115</v>
      </c>
      <c r="AI59" s="4">
        <f ca="1">ROUND(T_Tiktok_ads[[#This Row],[impressions]]*RANDBETWEEN(8,12)/10,0)</f>
        <v>401110</v>
      </c>
      <c r="AJ59" s="4">
        <f ca="1">ROUND(T_Tiktok_ads[[#This Row],[clicks]]*RANDBETWEEN(8,12)/10,0)</f>
        <v>6511</v>
      </c>
      <c r="AK59" s="4">
        <v>1123.5</v>
      </c>
      <c r="AL59" s="4">
        <f ca="1">ROUND(T_Tiktok_ads[[#This Row],[conversions]]*RANDBETWEEN(8,12)/10,0)</f>
        <v>136</v>
      </c>
      <c r="AM59" s="4">
        <f ca="1">ROUND(T_Tiktok_ads[[#This Row],[video_views]]*RANDBETWEEN(8,12)/10,0)</f>
        <v>378901</v>
      </c>
      <c r="AN59" s="4">
        <f ca="1">ROUND(T_Tiktok_ads[[#This Row],[video_watch_25]]*RANDBETWEEN(8,12)/10,0)</f>
        <v>304567</v>
      </c>
      <c r="AO59" s="4">
        <f ca="1">ROUND(T_Tiktok_ads[[#This Row],[video_watch_50]]*RANDBETWEEN(8,12)/10,0)</f>
        <v>219110</v>
      </c>
      <c r="AP59" s="4">
        <f ca="1">ROUND(T_Tiktok_ads[[#This Row],[video_watch_75]]*RANDBETWEEN(8,12)/10,0)</f>
        <v>172345</v>
      </c>
      <c r="AQ59" s="4">
        <f ca="1">ROUND(T_Tiktok_ads[[#This Row],[video_watch_100]]*RANDBETWEEN(8,12)/10,0)</f>
        <v>137480</v>
      </c>
      <c r="AR59" s="4">
        <f ca="1">ROUND(T_Tiktok_ads[[#This Row],[likes]]*RANDBETWEEN(8,12)/10,0)</f>
        <v>19567</v>
      </c>
      <c r="AS59" s="4">
        <f ca="1">ROUND(T_Tiktok_ads[[#This Row],[shares]]*RANDBETWEEN(8,12)/10,0)</f>
        <v>6246</v>
      </c>
      <c r="AT59" s="4">
        <f ca="1">ROUND(T_Tiktok_ads[[#This Row],[comments]]*RANDBETWEEN(8,12)/10,0)</f>
        <v>1410</v>
      </c>
      <c r="AV59" s="5">
        <f t="shared" ca="1" si="5"/>
        <v>44934</v>
      </c>
      <c r="AW59">
        <f t="shared" ca="1" si="4"/>
        <v>5</v>
      </c>
      <c r="AX59">
        <f ca="1">ROUND(T_Facebook_Ads11[[#This Row],[impressions]]*RANDBETWEEN(8,12)/10,0)</f>
        <v>100175</v>
      </c>
      <c r="AY59">
        <f ca="1">ROUND(T_Facebook_Ads11[[#This Row],[clicks]]*RANDBETWEEN(8,12)/10,0)</f>
        <v>334</v>
      </c>
      <c r="AZ59">
        <f ca="1">T_Facebook_Ads11[[#This Row],[spend]]*RANDBETWEEN(8,12)/10</f>
        <v>98.5</v>
      </c>
      <c r="BA59">
        <f ca="1">ROUND(T_Facebook_Ads11[[#This Row],[conversions]]*RANDBETWEEN(8,12)/10,0)</f>
        <v>10</v>
      </c>
      <c r="BB59">
        <f ca="1">ROUND(T_Facebook_Ads11[[#This Row],[video_views]]*RANDBETWEEN(8,12)/10,0)</f>
        <v>50722</v>
      </c>
    </row>
    <row r="60" spans="1:54" ht="15.75" thickBot="1" x14ac:dyDescent="0.3">
      <c r="A60" s="3">
        <f t="shared" ca="1" si="1"/>
        <v>44947</v>
      </c>
      <c r="B60" s="4" t="s">
        <v>52</v>
      </c>
      <c r="C60" s="4" t="s">
        <v>53</v>
      </c>
      <c r="D60" s="4" t="s">
        <v>54</v>
      </c>
      <c r="E60" s="4" t="s">
        <v>55</v>
      </c>
      <c r="F60" s="4">
        <f ca="1">ROUND(T_Facebook_Ads[[#This Row],[impressions]]*RANDBETWEEN(8,12)/10,0)</f>
        <v>54524</v>
      </c>
      <c r="G60" s="4">
        <v>1012</v>
      </c>
      <c r="H60" s="4">
        <f ca="1">T_Facebook_Ads[[#This Row],[spend]]*RANDBETWEEN(8,12)/10</f>
        <v>159.06</v>
      </c>
      <c r="I60" s="4">
        <f ca="1">ROUND(T_Facebook_Ads[[#This Row],[conversions]]*RANDBETWEEN(8,12)/10,0)</f>
        <v>19</v>
      </c>
      <c r="J60" s="4">
        <f ca="1">ROUND(T_Facebook_Ads[[#This Row],[video_views]]*RANDBETWEEN(8,12)/10,0)</f>
        <v>8211</v>
      </c>
      <c r="K60" s="4">
        <f ca="1">T_Facebook_Ads[[#This Row],[engagement_rate]]*RANDBETWEEN(8,12)/10</f>
        <v>2.2440000000000002E-2</v>
      </c>
      <c r="L60" s="4">
        <f ca="1">ROUND(T_Facebook_Ads[[#This Row],[reach]]*RANDBETWEEN(8,12)/10,0)</f>
        <v>50268</v>
      </c>
      <c r="M60" s="4">
        <f ca="1">T_Facebook_Ads[[#This Row],[frequency]]*RANDBETWEEN(8,12)/10</f>
        <v>1.2979999999999998</v>
      </c>
      <c r="O60" s="3">
        <f t="shared" ca="1" si="2"/>
        <v>44940</v>
      </c>
      <c r="P60" s="4" t="s">
        <v>76</v>
      </c>
      <c r="Q60" s="4" t="s">
        <v>77</v>
      </c>
      <c r="R60" s="4" t="s">
        <v>78</v>
      </c>
      <c r="S60" s="4" t="s">
        <v>79</v>
      </c>
      <c r="T60" s="4">
        <f ca="1">ROUND(_Google_ads[[#This Row],[impressions]]*RANDBETWEEN(8,12)/10,0)</f>
        <v>20631</v>
      </c>
      <c r="U60" s="4">
        <f ca="1">ROUND(_Google_ads[[#This Row],[clicks]]*RANDBETWEEN(8,12)/10,0)</f>
        <v>1667</v>
      </c>
      <c r="V60" s="4">
        <f ca="1">_Google_ads[[#This Row],[cost]]*RANDBETWEEN(8,12)/10</f>
        <v>318.23999999999995</v>
      </c>
      <c r="W60" s="4">
        <f ca="1">ROUND(_Google_ads[[#This Row],[conversions]]*RANDBETWEEN(8,12)/10,0)</f>
        <v>52</v>
      </c>
      <c r="X60" s="4">
        <f ca="1">ROUND(_Google_ads[[#This Row],[conversion_value]]*RANDBETWEEN(8,12)/10,0)</f>
        <v>2340</v>
      </c>
      <c r="Y60" s="4">
        <f ca="1">_Google_ads[[#This Row],[ctr]]*RANDBETWEEN(8,12)/10</f>
        <v>5.3800000000000001E-2</v>
      </c>
      <c r="Z60" s="4">
        <f ca="1">_Google_ads[[#This Row],[avg_cpc]]*RANDBETWEEN(8,12)/10</f>
        <v>0.152</v>
      </c>
      <c r="AA60" s="4">
        <f ca="1">ROUND(_Google_ads[[#This Row],[quality_score]]*RANDBETWEEN(8,12)/10,0)</f>
        <v>7</v>
      </c>
      <c r="AB60" s="4">
        <f ca="1">_Google_ads[[#This Row],[search_impression_share]]*RANDBETWEEN(8,12)/10</f>
        <v>0.82800000000000007</v>
      </c>
      <c r="AD60" s="3">
        <f t="shared" ca="1" si="3"/>
        <v>44949</v>
      </c>
      <c r="AE60" s="4" t="s">
        <v>100</v>
      </c>
      <c r="AF60" s="4" t="s">
        <v>101</v>
      </c>
      <c r="AG60" s="4" t="s">
        <v>102</v>
      </c>
      <c r="AH60" s="4" t="s">
        <v>103</v>
      </c>
      <c r="AI60" s="4">
        <f ca="1">ROUND(T_Tiktok_ads[[#This Row],[impressions]]*RANDBETWEEN(8,12)/10,0)</f>
        <v>232098</v>
      </c>
      <c r="AJ60" s="4">
        <f ca="1">ROUND(T_Tiktok_ads[[#This Row],[clicks]]*RANDBETWEEN(8,12)/10,0)</f>
        <v>3351</v>
      </c>
      <c r="AK60" s="4">
        <v>567.79999999999995</v>
      </c>
      <c r="AL60" s="4">
        <f ca="1">ROUND(T_Tiktok_ads[[#This Row],[conversions]]*RANDBETWEEN(8,12)/10,0)</f>
        <v>53</v>
      </c>
      <c r="AM60" s="4">
        <f ca="1">ROUND(T_Tiktok_ads[[#This Row],[video_views]]*RANDBETWEEN(8,12)/10,0)</f>
        <v>236789</v>
      </c>
      <c r="AN60" s="4">
        <f ca="1">ROUND(T_Tiktok_ads[[#This Row],[video_watch_25]]*RANDBETWEEN(8,12)/10,0)</f>
        <v>203024</v>
      </c>
      <c r="AO60" s="4">
        <f ca="1">ROUND(T_Tiktok_ads[[#This Row],[video_watch_50]]*RANDBETWEEN(8,12)/10,0)</f>
        <v>138814</v>
      </c>
      <c r="AP60" s="4">
        <f ca="1">ROUND(T_Tiktok_ads[[#This Row],[video_watch_75]]*RANDBETWEEN(8,12)/10,0)</f>
        <v>93881</v>
      </c>
      <c r="AQ60" s="4">
        <f ca="1">ROUND(T_Tiktok_ads[[#This Row],[video_watch_100]]*RANDBETWEEN(8,12)/10,0)</f>
        <v>41876</v>
      </c>
      <c r="AR60" s="4">
        <f ca="1">ROUND(T_Tiktok_ads[[#This Row],[likes]]*RANDBETWEEN(8,12)/10,0)</f>
        <v>12547</v>
      </c>
      <c r="AS60" s="4">
        <f ca="1">ROUND(T_Tiktok_ads[[#This Row],[shares]]*RANDBETWEEN(8,12)/10,0)</f>
        <v>2531</v>
      </c>
      <c r="AT60" s="4">
        <f ca="1">ROUND(T_Tiktok_ads[[#This Row],[comments]]*RANDBETWEEN(8,12)/10,0)</f>
        <v>610</v>
      </c>
      <c r="AV60" s="5">
        <f t="shared" ca="1" si="5"/>
        <v>44957</v>
      </c>
      <c r="AW60">
        <f t="shared" ca="1" si="4"/>
        <v>5</v>
      </c>
      <c r="AX60">
        <f ca="1">ROUND(T_Facebook_Ads11[[#This Row],[impressions]]*RANDBETWEEN(8,12)/10,0)</f>
        <v>49072</v>
      </c>
      <c r="AY60">
        <f ca="1">ROUND(T_Facebook_Ads11[[#This Row],[clicks]]*RANDBETWEEN(8,12)/10,0)</f>
        <v>911</v>
      </c>
      <c r="AZ60">
        <f ca="1">T_Facebook_Ads11[[#This Row],[spend]]*RANDBETWEEN(8,12)/10</f>
        <v>190.87200000000001</v>
      </c>
      <c r="BA60">
        <f ca="1">ROUND(T_Facebook_Ads11[[#This Row],[conversions]]*RANDBETWEEN(8,12)/10,0)</f>
        <v>21</v>
      </c>
      <c r="BB60">
        <f ca="1">ROUND(T_Facebook_Ads11[[#This Row],[video_views]]*RANDBETWEEN(8,12)/10,0)</f>
        <v>9853</v>
      </c>
    </row>
    <row r="61" spans="1:54" ht="15.75" thickBot="1" x14ac:dyDescent="0.3">
      <c r="A61" s="3">
        <f t="shared" ca="1" si="1"/>
        <v>44953</v>
      </c>
      <c r="B61" s="4" t="s">
        <v>56</v>
      </c>
      <c r="C61" s="4" t="s">
        <v>57</v>
      </c>
      <c r="D61" s="4" t="s">
        <v>58</v>
      </c>
      <c r="E61" s="4" t="s">
        <v>59</v>
      </c>
      <c r="F61" s="4">
        <f ca="1">ROUND(T_Facebook_Ads[[#This Row],[impressions]]*RANDBETWEEN(8,12)/10,0)</f>
        <v>14567</v>
      </c>
      <c r="G61" s="4">
        <v>689</v>
      </c>
      <c r="H61" s="4">
        <f ca="1">T_Facebook_Ads[[#This Row],[spend]]*RANDBETWEEN(8,12)/10</f>
        <v>278.74</v>
      </c>
      <c r="I61" s="4">
        <f ca="1">ROUND(T_Facebook_Ads[[#This Row],[conversions]]*RANDBETWEEN(8,12)/10,0)</f>
        <v>47</v>
      </c>
      <c r="J61" s="4">
        <f ca="1">ROUND(T_Facebook_Ads[[#This Row],[video_views]]*RANDBETWEEN(8,12)/10,0)</f>
        <v>1191</v>
      </c>
      <c r="K61" s="4">
        <f ca="1">T_Facebook_Ads[[#This Row],[engagement_rate]]*RANDBETWEEN(8,12)/10</f>
        <v>4.2570000000000004E-2</v>
      </c>
      <c r="L61" s="4">
        <f ca="1">ROUND(T_Facebook_Ads[[#This Row],[reach]]*RANDBETWEEN(8,12)/10,0)</f>
        <v>9254</v>
      </c>
      <c r="M61" s="4">
        <f ca="1">T_Facebook_Ads[[#This Row],[frequency]]*RANDBETWEEN(8,12)/10</f>
        <v>1.3859999999999999</v>
      </c>
      <c r="O61" s="3">
        <f t="shared" ca="1" si="2"/>
        <v>44948</v>
      </c>
      <c r="P61" s="4" t="s">
        <v>80</v>
      </c>
      <c r="Q61" s="4" t="s">
        <v>81</v>
      </c>
      <c r="R61" s="4" t="s">
        <v>82</v>
      </c>
      <c r="S61" s="4" t="s">
        <v>83</v>
      </c>
      <c r="T61" s="4">
        <f ca="1">ROUND(_Google_ads[[#This Row],[impressions]]*RANDBETWEEN(8,12)/10,0)</f>
        <v>50735</v>
      </c>
      <c r="U61" s="4">
        <f ca="1">ROUND(_Google_ads[[#This Row],[clicks]]*RANDBETWEEN(8,12)/10,0)</f>
        <v>738</v>
      </c>
      <c r="V61" s="4">
        <f ca="1">_Google_ads[[#This Row],[cost]]*RANDBETWEEN(8,12)/10</f>
        <v>472.23999999999995</v>
      </c>
      <c r="W61" s="4">
        <f ca="1">ROUND(_Google_ads[[#This Row],[conversions]]*RANDBETWEEN(8,12)/10,0)</f>
        <v>22</v>
      </c>
      <c r="X61" s="4">
        <f ca="1">ROUND(_Google_ads[[#This Row],[conversion_value]]*RANDBETWEEN(8,12)/10,0)</f>
        <v>1080</v>
      </c>
      <c r="Y61" s="4">
        <f ca="1">_Google_ads[[#This Row],[ctr]]*RANDBETWEEN(8,12)/10</f>
        <v>1.6E-2</v>
      </c>
      <c r="Z61" s="4">
        <f ca="1">_Google_ads[[#This Row],[avg_cpc]]*RANDBETWEEN(8,12)/10</f>
        <v>0.64</v>
      </c>
      <c r="AA61" s="4">
        <f ca="1">ROUND(_Google_ads[[#This Row],[quality_score]]*RANDBETWEEN(8,12)/10,0)</f>
        <v>6</v>
      </c>
      <c r="AB61" s="4">
        <f ca="1">_Google_ads[[#This Row],[search_impression_share]]*RANDBETWEEN(8,12)/10</f>
        <v>0.36</v>
      </c>
      <c r="AD61" s="3">
        <f t="shared" ca="1" si="3"/>
        <v>44946</v>
      </c>
      <c r="AE61" s="4" t="s">
        <v>104</v>
      </c>
      <c r="AF61" s="4" t="s">
        <v>105</v>
      </c>
      <c r="AG61" s="4" t="s">
        <v>106</v>
      </c>
      <c r="AH61" s="4" t="s">
        <v>107</v>
      </c>
      <c r="AI61" s="4">
        <f ca="1">ROUND(T_Tiktok_ads[[#This Row],[impressions]]*RANDBETWEEN(8,12)/10,0)</f>
        <v>193481</v>
      </c>
      <c r="AJ61" s="4">
        <f ca="1">ROUND(T_Tiktok_ads[[#This Row],[clicks]]*RANDBETWEEN(8,12)/10,0)</f>
        <v>3089</v>
      </c>
      <c r="AK61" s="4">
        <v>823.7</v>
      </c>
      <c r="AL61" s="4">
        <f ca="1">ROUND(T_Tiktok_ads[[#This Row],[conversions]]*RANDBETWEEN(8,12)/10,0)</f>
        <v>91</v>
      </c>
      <c r="AM61" s="4">
        <f ca="1">ROUND(T_Tiktok_ads[[#This Row],[video_views]]*RANDBETWEEN(8,12)/10,0)</f>
        <v>113456</v>
      </c>
      <c r="AN61" s="4">
        <f ca="1">ROUND(T_Tiktok_ads[[#This Row],[video_watch_25]]*RANDBETWEEN(8,12)/10,0)</f>
        <v>91924</v>
      </c>
      <c r="AO61" s="4">
        <f ca="1">ROUND(T_Tiktok_ads[[#This Row],[video_watch_50]]*RANDBETWEEN(8,12)/10,0)</f>
        <v>61857</v>
      </c>
      <c r="AP61" s="4">
        <f ca="1">ROUND(T_Tiktok_ads[[#This Row],[video_watch_75]]*RANDBETWEEN(8,12)/10,0)</f>
        <v>33876</v>
      </c>
      <c r="AQ61" s="4">
        <f ca="1">ROUND(T_Tiktok_ads[[#This Row],[video_watch_100]]*RANDBETWEEN(8,12)/10,0)</f>
        <v>28234</v>
      </c>
      <c r="AR61" s="4">
        <f ca="1">ROUND(T_Tiktok_ads[[#This Row],[likes]]*RANDBETWEEN(8,12)/10,0)</f>
        <v>6628</v>
      </c>
      <c r="AS61" s="4">
        <f ca="1">ROUND(T_Tiktok_ads[[#This Row],[shares]]*RANDBETWEEN(8,12)/10,0)</f>
        <v>1907</v>
      </c>
      <c r="AT61" s="4">
        <f ca="1">ROUND(T_Tiktok_ads[[#This Row],[comments]]*RANDBETWEEN(8,12)/10,0)</f>
        <v>271</v>
      </c>
      <c r="AV61" s="5">
        <f t="shared" ca="1" si="5"/>
        <v>44944</v>
      </c>
      <c r="AW61">
        <f t="shared" ca="1" si="4"/>
        <v>5</v>
      </c>
      <c r="AX61">
        <f ca="1">ROUND(T_Facebook_Ads11[[#This Row],[impressions]]*RANDBETWEEN(8,12)/10,0)</f>
        <v>14567</v>
      </c>
      <c r="AY61">
        <f ca="1">ROUND(T_Facebook_Ads11[[#This Row],[clicks]]*RANDBETWEEN(8,12)/10,0)</f>
        <v>551</v>
      </c>
      <c r="AZ61">
        <f ca="1">T_Facebook_Ads11[[#This Row],[spend]]*RANDBETWEEN(8,12)/10</f>
        <v>222.99200000000002</v>
      </c>
      <c r="BA61">
        <f ca="1">ROUND(T_Facebook_Ads11[[#This Row],[conversions]]*RANDBETWEEN(8,12)/10,0)</f>
        <v>47</v>
      </c>
      <c r="BB61">
        <f ca="1">ROUND(T_Facebook_Ads11[[#This Row],[video_views]]*RANDBETWEEN(8,12)/10,0)</f>
        <v>1310</v>
      </c>
    </row>
    <row r="62" spans="1:54" ht="15.75" thickBot="1" x14ac:dyDescent="0.3">
      <c r="A62" s="3">
        <f t="shared" ca="1" si="1"/>
        <v>44949</v>
      </c>
      <c r="B62" s="4" t="s">
        <v>60</v>
      </c>
      <c r="C62" s="4" t="s">
        <v>61</v>
      </c>
      <c r="D62" s="4" t="s">
        <v>62</v>
      </c>
      <c r="E62" s="4" t="s">
        <v>63</v>
      </c>
      <c r="F62" s="4">
        <f ca="1">ROUND(T_Facebook_Ads[[#This Row],[impressions]]*RANDBETWEEN(8,12)/10,0)</f>
        <v>46681</v>
      </c>
      <c r="G62" s="4">
        <v>1456</v>
      </c>
      <c r="H62" s="4">
        <f ca="1">T_Facebook_Ads[[#This Row],[spend]]*RANDBETWEEN(8,12)/10</f>
        <v>202.05</v>
      </c>
      <c r="I62" s="4">
        <f ca="1">ROUND(T_Facebook_Ads[[#This Row],[conversions]]*RANDBETWEEN(8,12)/10,0)</f>
        <v>25</v>
      </c>
      <c r="J62" s="4">
        <f ca="1">ROUND(T_Facebook_Ads[[#This Row],[video_views]]*RANDBETWEEN(8,12)/10,0)</f>
        <v>6281</v>
      </c>
      <c r="K62" s="4">
        <f ca="1">T_Facebook_Ads[[#This Row],[engagement_rate]]*RANDBETWEEN(8,12)/10</f>
        <v>4.1140000000000003E-2</v>
      </c>
      <c r="L62" s="4">
        <f ca="1">ROUND(T_Facebook_Ads[[#This Row],[reach]]*RANDBETWEEN(8,12)/10,0)</f>
        <v>31456</v>
      </c>
      <c r="M62" s="4">
        <f ca="1">T_Facebook_Ads[[#This Row],[frequency]]*RANDBETWEEN(8,12)/10</f>
        <v>1.1160000000000001</v>
      </c>
      <c r="O62" s="3">
        <f t="shared" ca="1" si="2"/>
        <v>44931</v>
      </c>
      <c r="P62" s="4" t="s">
        <v>84</v>
      </c>
      <c r="Q62" s="4" t="s">
        <v>85</v>
      </c>
      <c r="R62" s="4" t="s">
        <v>86</v>
      </c>
      <c r="S62" s="4" t="s">
        <v>87</v>
      </c>
      <c r="T62" s="4">
        <f ca="1">ROUND(_Google_ads[[#This Row],[impressions]]*RANDBETWEEN(8,12)/10,0)</f>
        <v>64410</v>
      </c>
      <c r="U62" s="4">
        <f ca="1">ROUND(_Google_ads[[#This Row],[clicks]]*RANDBETWEEN(8,12)/10,0)</f>
        <v>2894</v>
      </c>
      <c r="V62" s="4">
        <f ca="1">_Google_ads[[#This Row],[cost]]*RANDBETWEEN(8,12)/10</f>
        <v>353.84000000000003</v>
      </c>
      <c r="W62" s="4">
        <f ca="1">ROUND(_Google_ads[[#This Row],[conversions]]*RANDBETWEEN(8,12)/10,0)</f>
        <v>56</v>
      </c>
      <c r="X62" s="4">
        <f ca="1">ROUND(_Google_ads[[#This Row],[conversion_value]]*RANDBETWEEN(8,12)/10,0)</f>
        <v>4200</v>
      </c>
      <c r="Y62" s="4">
        <f ca="1">_Google_ads[[#This Row],[ctr]]*RANDBETWEEN(8,12)/10</f>
        <v>3.3700000000000001E-2</v>
      </c>
      <c r="Z62" s="4">
        <f ca="1">_Google_ads[[#This Row],[avg_cpc]]*RANDBETWEEN(8,12)/10</f>
        <v>0.16199999999999998</v>
      </c>
      <c r="AA62" s="4">
        <f ca="1">ROUND(_Google_ads[[#This Row],[quality_score]]*RANDBETWEEN(8,12)/10,0)</f>
        <v>6</v>
      </c>
      <c r="AB62" s="4">
        <f ca="1">_Google_ads[[#This Row],[search_impression_share]]*RANDBETWEEN(8,12)/10</f>
        <v>0.61199999999999999</v>
      </c>
      <c r="AD62" s="3">
        <f t="shared" ca="1" si="3"/>
        <v>44927</v>
      </c>
      <c r="AE62" s="4" t="s">
        <v>108</v>
      </c>
      <c r="AF62" s="4" t="s">
        <v>109</v>
      </c>
      <c r="AG62" s="4" t="s">
        <v>110</v>
      </c>
      <c r="AH62" s="4" t="s">
        <v>111</v>
      </c>
      <c r="AI62" s="4">
        <f ca="1">ROUND(T_Tiktok_ads[[#This Row],[impressions]]*RANDBETWEEN(8,12)/10,0)</f>
        <v>224011</v>
      </c>
      <c r="AJ62" s="4">
        <f ca="1">ROUND(T_Tiktok_ads[[#This Row],[clicks]]*RANDBETWEEN(8,12)/10,0)</f>
        <v>3541</v>
      </c>
      <c r="AK62" s="4">
        <v>478.5</v>
      </c>
      <c r="AL62" s="4">
        <f ca="1">ROUND(T_Tiktok_ads[[#This Row],[conversions]]*RANDBETWEEN(8,12)/10,0)</f>
        <v>42</v>
      </c>
      <c r="AM62" s="4">
        <f ca="1">ROUND(T_Tiktok_ads[[#This Row],[video_views]]*RANDBETWEEN(8,12)/10,0)</f>
        <v>234281</v>
      </c>
      <c r="AN62" s="4">
        <f ca="1">ROUND(T_Tiktok_ads[[#This Row],[video_watch_25]]*RANDBETWEEN(8,12)/10,0)</f>
        <v>148901</v>
      </c>
      <c r="AO62" s="4">
        <f ca="1">ROUND(T_Tiktok_ads[[#This Row],[video_watch_50]]*RANDBETWEEN(8,12)/10,0)</f>
        <v>106101</v>
      </c>
      <c r="AP62" s="4">
        <f ca="1">ROUND(T_Tiktok_ads[[#This Row],[video_watch_75]]*RANDBETWEEN(8,12)/10,0)</f>
        <v>91481</v>
      </c>
      <c r="AQ62" s="4">
        <f ca="1">ROUND(T_Tiktok_ads[[#This Row],[video_watch_100]]*RANDBETWEEN(8,12)/10,0)</f>
        <v>36987</v>
      </c>
      <c r="AR62" s="4">
        <f ca="1">ROUND(T_Tiktok_ads[[#This Row],[likes]]*RANDBETWEEN(8,12)/10,0)</f>
        <v>7861</v>
      </c>
      <c r="AS62" s="4">
        <f ca="1">ROUND(T_Tiktok_ads[[#This Row],[shares]]*RANDBETWEEN(8,12)/10,0)</f>
        <v>2401</v>
      </c>
      <c r="AT62" s="4">
        <f ca="1">ROUND(T_Tiktok_ads[[#This Row],[comments]]*RANDBETWEEN(8,12)/10,0)</f>
        <v>694</v>
      </c>
      <c r="AV62" s="5">
        <f t="shared" ca="1" si="5"/>
        <v>44928</v>
      </c>
      <c r="AW62">
        <f t="shared" ca="1" si="4"/>
        <v>8</v>
      </c>
      <c r="AX62">
        <f ca="1">ROUND(T_Facebook_Ads11[[#This Row],[impressions]]*RANDBETWEEN(8,12)/10,0)</f>
        <v>51349</v>
      </c>
      <c r="AY62">
        <f ca="1">ROUND(T_Facebook_Ads11[[#This Row],[clicks]]*RANDBETWEEN(8,12)/10,0)</f>
        <v>1310</v>
      </c>
      <c r="AZ62">
        <f ca="1">T_Facebook_Ads11[[#This Row],[spend]]*RANDBETWEEN(8,12)/10</f>
        <v>242.46000000000004</v>
      </c>
      <c r="BA62">
        <f ca="1">ROUND(T_Facebook_Ads11[[#This Row],[conversions]]*RANDBETWEEN(8,12)/10,0)</f>
        <v>20</v>
      </c>
      <c r="BB62">
        <f ca="1">ROUND(T_Facebook_Ads11[[#This Row],[video_views]]*RANDBETWEEN(8,12)/10,0)</f>
        <v>6909</v>
      </c>
    </row>
    <row r="63" spans="1:54" ht="15.75" thickBot="1" x14ac:dyDescent="0.3">
      <c r="A63" s="3">
        <f t="shared" ca="1" si="1"/>
        <v>44928</v>
      </c>
      <c r="B63" s="4" t="s">
        <v>64</v>
      </c>
      <c r="C63" s="4" t="s">
        <v>65</v>
      </c>
      <c r="D63" s="4" t="s">
        <v>66</v>
      </c>
      <c r="E63" s="4" t="s">
        <v>67</v>
      </c>
      <c r="F63" s="4">
        <f ca="1">ROUND(T_Facebook_Ads[[#This Row],[impressions]]*RANDBETWEEN(8,12)/10,0)</f>
        <v>79580</v>
      </c>
      <c r="G63" s="4">
        <v>261</v>
      </c>
      <c r="H63" s="4">
        <f ca="1">T_Facebook_Ads[[#This Row],[spend]]*RANDBETWEEN(8,12)/10</f>
        <v>83.43</v>
      </c>
      <c r="I63" s="4">
        <f ca="1">ROUND(T_Facebook_Ads[[#This Row],[conversions]]*RANDBETWEEN(8,12)/10,0)</f>
        <v>8</v>
      </c>
      <c r="J63" s="4">
        <f ca="1">ROUND(T_Facebook_Ads[[#This Row],[video_views]]*RANDBETWEEN(8,12)/10,0)</f>
        <v>38854</v>
      </c>
      <c r="K63" s="4">
        <f ca="1">T_Facebook_Ads[[#This Row],[engagement_rate]]*RANDBETWEEN(8,12)/10</f>
        <v>4.3200000000000001E-3</v>
      </c>
      <c r="L63" s="4">
        <f ca="1">ROUND(T_Facebook_Ads[[#This Row],[reach]]*RANDBETWEEN(8,12)/10,0)</f>
        <v>52411</v>
      </c>
      <c r="M63" s="4">
        <f ca="1">T_Facebook_Ads[[#This Row],[frequency]]*RANDBETWEEN(8,12)/10</f>
        <v>1.24</v>
      </c>
      <c r="O63" s="3">
        <f t="shared" ca="1" si="2"/>
        <v>44949</v>
      </c>
      <c r="P63" s="4" t="s">
        <v>88</v>
      </c>
      <c r="Q63" s="4" t="s">
        <v>89</v>
      </c>
      <c r="R63" s="4" t="s">
        <v>90</v>
      </c>
      <c r="S63" s="4" t="s">
        <v>59</v>
      </c>
      <c r="T63" s="4">
        <f ca="1">ROUND(_Google_ads[[#This Row],[impressions]]*RANDBETWEEN(8,12)/10,0)</f>
        <v>108187</v>
      </c>
      <c r="U63" s="4">
        <f ca="1">ROUND(_Google_ads[[#This Row],[clicks]]*RANDBETWEEN(8,12)/10,0)</f>
        <v>501</v>
      </c>
      <c r="V63" s="4">
        <f ca="1">_Google_ads[[#This Row],[cost]]*RANDBETWEEN(8,12)/10</f>
        <v>146.95999999999998</v>
      </c>
      <c r="W63" s="4">
        <f ca="1">ROUND(_Google_ads[[#This Row],[conversions]]*RANDBETWEEN(8,12)/10,0)</f>
        <v>15</v>
      </c>
      <c r="X63" s="4">
        <f ca="1">ROUND(_Google_ads[[#This Row],[conversion_value]]*RANDBETWEEN(8,12)/10,0)</f>
        <v>700</v>
      </c>
      <c r="Y63" s="4">
        <f ca="1">_Google_ads[[#This Row],[ctr]]*RANDBETWEEN(8,12)/10</f>
        <v>4.0699999999999998E-3</v>
      </c>
      <c r="Z63" s="4">
        <f ca="1">_Google_ads[[#This Row],[avg_cpc]]*RANDBETWEEN(8,12)/10</f>
        <v>0.24300000000000002</v>
      </c>
      <c r="AA63" s="4">
        <f ca="1">ROUND(_Google_ads[[#This Row],[quality_score]]*RANDBETWEEN(8,12)/10,0)</f>
        <v>6</v>
      </c>
      <c r="AB63" s="4">
        <f ca="1">_Google_ads[[#This Row],[search_impression_share]]*RANDBETWEEN(8,12)/10</f>
        <v>0.27999999999999997</v>
      </c>
      <c r="AD63" s="3">
        <f t="shared" ca="1" si="3"/>
        <v>44939</v>
      </c>
      <c r="AE63" s="4" t="s">
        <v>112</v>
      </c>
      <c r="AF63" s="4" t="s">
        <v>113</v>
      </c>
      <c r="AG63" s="4" t="s">
        <v>114</v>
      </c>
      <c r="AH63" s="4" t="s">
        <v>115</v>
      </c>
      <c r="AI63" s="4">
        <f ca="1">ROUND(T_Tiktok_ads[[#This Row],[impressions]]*RANDBETWEEN(8,12)/10,0)</f>
        <v>478024</v>
      </c>
      <c r="AJ63" s="4">
        <f ca="1">ROUND(T_Tiktok_ads[[#This Row],[clicks]]*RANDBETWEEN(8,12)/10,0)</f>
        <v>8414</v>
      </c>
      <c r="AK63" s="4">
        <v>1089.3</v>
      </c>
      <c r="AL63" s="4">
        <f ca="1">ROUND(T_Tiktok_ads[[#This Row],[conversions]]*RANDBETWEEN(8,12)/10,0)</f>
        <v>98</v>
      </c>
      <c r="AM63" s="4">
        <f ca="1">ROUND(T_Tiktok_ads[[#This Row],[video_views]]*RANDBETWEEN(8,12)/10,0)</f>
        <v>331101</v>
      </c>
      <c r="AN63" s="4">
        <f ca="1">ROUND(T_Tiktok_ads[[#This Row],[video_watch_25]]*RANDBETWEEN(8,12)/10,0)</f>
        <v>325857</v>
      </c>
      <c r="AO63" s="4">
        <f ca="1">ROUND(T_Tiktok_ads[[#This Row],[video_watch_50]]*RANDBETWEEN(8,12)/10,0)</f>
        <v>190312</v>
      </c>
      <c r="AP63" s="4">
        <f ca="1">ROUND(T_Tiktok_ads[[#This Row],[video_watch_75]]*RANDBETWEEN(8,12)/10,0)</f>
        <v>201881</v>
      </c>
      <c r="AQ63" s="4">
        <f ca="1">ROUND(T_Tiktok_ads[[#This Row],[video_watch_100]]*RANDBETWEEN(8,12)/10,0)</f>
        <v>100111</v>
      </c>
      <c r="AR63" s="4">
        <f ca="1">ROUND(T_Tiktok_ads[[#This Row],[likes]]*RANDBETWEEN(8,12)/10,0)</f>
        <v>19234</v>
      </c>
      <c r="AS63" s="4">
        <f ca="1">ROUND(T_Tiktok_ads[[#This Row],[shares]]*RANDBETWEEN(8,12)/10,0)</f>
        <v>4981</v>
      </c>
      <c r="AT63" s="4">
        <f ca="1">ROUND(T_Tiktok_ads[[#This Row],[comments]]*RANDBETWEEN(8,12)/10,0)</f>
        <v>1523</v>
      </c>
      <c r="AV63" s="5">
        <f t="shared" ca="1" si="5"/>
        <v>44952</v>
      </c>
      <c r="AW63">
        <f t="shared" ca="1" si="4"/>
        <v>2</v>
      </c>
      <c r="AX63">
        <f ca="1">ROUND(T_Facebook_Ads11[[#This Row],[impressions]]*RANDBETWEEN(8,12)/10,0)</f>
        <v>95496</v>
      </c>
      <c r="AY63">
        <f ca="1">ROUND(T_Facebook_Ads11[[#This Row],[clicks]]*RANDBETWEEN(8,12)/10,0)</f>
        <v>313</v>
      </c>
      <c r="AZ63">
        <f ca="1">T_Facebook_Ads11[[#This Row],[spend]]*RANDBETWEEN(8,12)/10</f>
        <v>100.11600000000001</v>
      </c>
      <c r="BA63">
        <f ca="1">ROUND(T_Facebook_Ads11[[#This Row],[conversions]]*RANDBETWEEN(8,12)/10,0)</f>
        <v>7</v>
      </c>
      <c r="BB63">
        <f ca="1">ROUND(T_Facebook_Ads11[[#This Row],[video_views]]*RANDBETWEEN(8,12)/10,0)</f>
        <v>46625</v>
      </c>
    </row>
    <row r="64" spans="1:54" ht="15.75" thickBot="1" x14ac:dyDescent="0.3">
      <c r="A64" s="3">
        <f t="shared" ca="1" si="1"/>
        <v>44934</v>
      </c>
      <c r="B64" s="4" t="s">
        <v>52</v>
      </c>
      <c r="C64" s="4" t="s">
        <v>53</v>
      </c>
      <c r="D64" s="4" t="s">
        <v>54</v>
      </c>
      <c r="E64" s="4" t="s">
        <v>55</v>
      </c>
      <c r="F64" s="4">
        <f ca="1">ROUND(T_Facebook_Ads[[#This Row],[impressions]]*RANDBETWEEN(8,12)/10,0)</f>
        <v>38312</v>
      </c>
      <c r="G64" s="4">
        <v>967</v>
      </c>
      <c r="H64" s="4">
        <f ca="1">T_Facebook_Ads[[#This Row],[spend]]*RANDBETWEEN(8,12)/10</f>
        <v>166.08</v>
      </c>
      <c r="I64" s="4">
        <f ca="1">ROUND(T_Facebook_Ads[[#This Row],[conversions]]*RANDBETWEEN(8,12)/10,0)</f>
        <v>15</v>
      </c>
      <c r="J64" s="4">
        <f ca="1">ROUND(T_Facebook_Ads[[#This Row],[video_views]]*RANDBETWEEN(8,12)/10,0)</f>
        <v>10547</v>
      </c>
      <c r="K64" s="4">
        <f ca="1">T_Facebook_Ads[[#This Row],[engagement_rate]]*RANDBETWEEN(8,12)/10</f>
        <v>1.6160000000000001E-2</v>
      </c>
      <c r="L64" s="4">
        <f ca="1">ROUND(T_Facebook_Ads[[#This Row],[reach]]*RANDBETWEEN(8,12)/10,0)</f>
        <v>44257</v>
      </c>
      <c r="M64" s="4">
        <f ca="1">T_Facebook_Ads[[#This Row],[frequency]]*RANDBETWEEN(8,12)/10</f>
        <v>1.3089999999999999</v>
      </c>
      <c r="O64" s="3">
        <f t="shared" ca="1" si="2"/>
        <v>44954</v>
      </c>
      <c r="P64" s="4" t="s">
        <v>76</v>
      </c>
      <c r="Q64" s="4" t="s">
        <v>77</v>
      </c>
      <c r="R64" s="4" t="s">
        <v>78</v>
      </c>
      <c r="S64" s="4" t="s">
        <v>79</v>
      </c>
      <c r="T64" s="4">
        <f ca="1">ROUND(_Google_ads[[#This Row],[impressions]]*RANDBETWEEN(8,12)/10,0)</f>
        <v>24567</v>
      </c>
      <c r="U64" s="4">
        <f ca="1">ROUND(_Google_ads[[#This Row],[clicks]]*RANDBETWEEN(8,12)/10,0)</f>
        <v>1547</v>
      </c>
      <c r="V64" s="4">
        <f ca="1">_Google_ads[[#This Row],[cost]]*RANDBETWEEN(8,12)/10</f>
        <v>271.48</v>
      </c>
      <c r="W64" s="4">
        <f ca="1">ROUND(_Google_ads[[#This Row],[conversions]]*RANDBETWEEN(8,12)/10,0)</f>
        <v>53</v>
      </c>
      <c r="X64" s="4">
        <f ca="1">ROUND(_Google_ads[[#This Row],[conversion_value]]*RANDBETWEEN(8,12)/10,0)</f>
        <v>2640</v>
      </c>
      <c r="Y64" s="4">
        <f ca="1">_Google_ads[[#This Row],[ctr]]*RANDBETWEEN(8,12)/10</f>
        <v>6.3E-2</v>
      </c>
      <c r="Z64" s="4">
        <f ca="1">_Google_ads[[#This Row],[avg_cpc]]*RANDBETWEEN(8,12)/10</f>
        <v>0.19</v>
      </c>
      <c r="AA64" s="4">
        <f ca="1">ROUND(_Google_ads[[#This Row],[quality_score]]*RANDBETWEEN(8,12)/10,0)</f>
        <v>7</v>
      </c>
      <c r="AB64" s="4">
        <f ca="1">_Google_ads[[#This Row],[search_impression_share]]*RANDBETWEEN(8,12)/10</f>
        <v>0.72799999999999998</v>
      </c>
      <c r="AD64" s="3">
        <f t="shared" ca="1" si="3"/>
        <v>44944</v>
      </c>
      <c r="AE64" s="4" t="s">
        <v>100</v>
      </c>
      <c r="AF64" s="4" t="s">
        <v>101</v>
      </c>
      <c r="AG64" s="4" t="s">
        <v>102</v>
      </c>
      <c r="AH64" s="4" t="s">
        <v>103</v>
      </c>
      <c r="AI64" s="4">
        <f ca="1">ROUND(T_Tiktok_ads[[#This Row],[impressions]]*RANDBETWEEN(8,12)/10,0)</f>
        <v>223121</v>
      </c>
      <c r="AJ64" s="4">
        <f ca="1">ROUND(T_Tiktok_ads[[#This Row],[clicks]]*RANDBETWEEN(8,12)/10,0)</f>
        <v>4123</v>
      </c>
      <c r="AK64" s="4">
        <v>545.6</v>
      </c>
      <c r="AL64" s="4">
        <f ca="1">ROUND(T_Tiktok_ads[[#This Row],[conversions]]*RANDBETWEEN(8,12)/10,0)</f>
        <v>46</v>
      </c>
      <c r="AM64" s="4">
        <f ca="1">ROUND(T_Tiktok_ads[[#This Row],[video_views]]*RANDBETWEEN(8,12)/10,0)</f>
        <v>183387</v>
      </c>
      <c r="AN64" s="4">
        <f ca="1">ROUND(T_Tiktok_ads[[#This Row],[video_watch_25]]*RANDBETWEEN(8,12)/10,0)</f>
        <v>143387</v>
      </c>
      <c r="AO64" s="4">
        <f ca="1">ROUND(T_Tiktok_ads[[#This Row],[video_watch_50]]*RANDBETWEEN(8,12)/10,0)</f>
        <v>101011</v>
      </c>
      <c r="AP64" s="4">
        <f ca="1">ROUND(T_Tiktok_ads[[#This Row],[video_watch_75]]*RANDBETWEEN(8,12)/10,0)</f>
        <v>60542</v>
      </c>
      <c r="AQ64" s="4">
        <f ca="1">ROUND(T_Tiktok_ads[[#This Row],[video_watch_100]]*RANDBETWEEN(8,12)/10,0)</f>
        <v>40187</v>
      </c>
      <c r="AR64" s="4">
        <f ca="1">ROUND(T_Tiktok_ads[[#This Row],[likes]]*RANDBETWEEN(8,12)/10,0)</f>
        <v>11135</v>
      </c>
      <c r="AS64" s="4">
        <f ca="1">ROUND(T_Tiktok_ads[[#This Row],[shares]]*RANDBETWEEN(8,12)/10,0)</f>
        <v>2170</v>
      </c>
      <c r="AT64" s="4">
        <f ca="1">ROUND(T_Tiktok_ads[[#This Row],[comments]]*RANDBETWEEN(8,12)/10,0)</f>
        <v>581</v>
      </c>
      <c r="AV64" s="5">
        <f t="shared" ca="1" si="5"/>
        <v>44931</v>
      </c>
      <c r="AW64">
        <f t="shared" ca="1" si="4"/>
        <v>3</v>
      </c>
      <c r="AX64">
        <f ca="1">ROUND(T_Facebook_Ads11[[#This Row],[impressions]]*RANDBETWEEN(8,12)/10,0)</f>
        <v>42143</v>
      </c>
      <c r="AY64">
        <f ca="1">ROUND(T_Facebook_Ads11[[#This Row],[clicks]]*RANDBETWEEN(8,12)/10,0)</f>
        <v>1064</v>
      </c>
      <c r="AZ64">
        <f ca="1">T_Facebook_Ads11[[#This Row],[spend]]*RANDBETWEEN(8,12)/10</f>
        <v>182.68800000000002</v>
      </c>
      <c r="BA64">
        <f ca="1">ROUND(T_Facebook_Ads11[[#This Row],[conversions]]*RANDBETWEEN(8,12)/10,0)</f>
        <v>14</v>
      </c>
      <c r="BB64">
        <f ca="1">ROUND(T_Facebook_Ads11[[#This Row],[video_views]]*RANDBETWEEN(8,12)/10,0)</f>
        <v>11602</v>
      </c>
    </row>
    <row r="65" spans="1:54" ht="15.75" thickBot="1" x14ac:dyDescent="0.3">
      <c r="A65" s="3">
        <f t="shared" ca="1" si="1"/>
        <v>44945</v>
      </c>
      <c r="B65" s="4" t="s">
        <v>56</v>
      </c>
      <c r="C65" s="4" t="s">
        <v>57</v>
      </c>
      <c r="D65" s="4" t="s">
        <v>58</v>
      </c>
      <c r="E65" s="4" t="s">
        <v>59</v>
      </c>
      <c r="F65" s="4">
        <f ca="1">ROUND(T_Facebook_Ads[[#This Row],[impressions]]*RANDBETWEEN(8,12)/10,0)</f>
        <v>16668</v>
      </c>
      <c r="G65" s="4">
        <v>634</v>
      </c>
      <c r="H65" s="4">
        <f ca="1">T_Facebook_Ads[[#This Row],[spend]]*RANDBETWEEN(8,12)/10</f>
        <v>235.8</v>
      </c>
      <c r="I65" s="4">
        <f ca="1">ROUND(T_Facebook_Ads[[#This Row],[conversions]]*RANDBETWEEN(8,12)/10,0)</f>
        <v>36</v>
      </c>
      <c r="J65" s="4">
        <f ca="1">ROUND(T_Facebook_Ads[[#This Row],[video_views]]*RANDBETWEEN(8,12)/10,0)</f>
        <v>1240</v>
      </c>
      <c r="K65" s="4">
        <f ca="1">T_Facebook_Ads[[#This Row],[engagement_rate]]*RANDBETWEEN(8,12)/10</f>
        <v>5.0269999999999995E-2</v>
      </c>
      <c r="L65" s="4">
        <f ca="1">ROUND(T_Facebook_Ads[[#This Row],[reach]]*RANDBETWEEN(8,12)/10,0)</f>
        <v>10890</v>
      </c>
      <c r="M65" s="4">
        <f ca="1">T_Facebook_Ads[[#This Row],[frequency]]*RANDBETWEEN(8,12)/10</f>
        <v>1.524</v>
      </c>
      <c r="O65" s="3">
        <f t="shared" ca="1" si="2"/>
        <v>44952</v>
      </c>
      <c r="P65" s="4" t="s">
        <v>80</v>
      </c>
      <c r="Q65" s="4" t="s">
        <v>81</v>
      </c>
      <c r="R65" s="4" t="s">
        <v>82</v>
      </c>
      <c r="S65" s="4" t="s">
        <v>83</v>
      </c>
      <c r="T65" s="4">
        <f ca="1">ROUND(_Google_ads[[#This Row],[impressions]]*RANDBETWEEN(8,12)/10,0)</f>
        <v>44890</v>
      </c>
      <c r="U65" s="4">
        <f ca="1">ROUND(_Google_ads[[#This Row],[clicks]]*RANDBETWEEN(8,12)/10,0)</f>
        <v>1068</v>
      </c>
      <c r="V65" s="4">
        <f ca="1">_Google_ads[[#This Row],[cost]]*RANDBETWEEN(8,12)/10</f>
        <v>574.70000000000005</v>
      </c>
      <c r="W65" s="4">
        <f ca="1">ROUND(_Google_ads[[#This Row],[conversions]]*RANDBETWEEN(8,12)/10,0)</f>
        <v>21</v>
      </c>
      <c r="X65" s="4">
        <f ca="1">ROUND(_Google_ads[[#This Row],[conversion_value]]*RANDBETWEEN(8,12)/10,0)</f>
        <v>920</v>
      </c>
      <c r="Y65" s="4">
        <f ca="1">_Google_ads[[#This Row],[ctr]]*RANDBETWEEN(8,12)/10</f>
        <v>2.3760000000000003E-2</v>
      </c>
      <c r="Z65" s="4">
        <f ca="1">_Google_ads[[#This Row],[avg_cpc]]*RANDBETWEEN(8,12)/10</f>
        <v>0.71500000000000008</v>
      </c>
      <c r="AA65" s="4">
        <f ca="1">ROUND(_Google_ads[[#This Row],[quality_score]]*RANDBETWEEN(8,12)/10,0)</f>
        <v>8</v>
      </c>
      <c r="AB65" s="4">
        <f ca="1">_Google_ads[[#This Row],[search_impression_share]]*RANDBETWEEN(8,12)/10</f>
        <v>0.35199999999999998</v>
      </c>
      <c r="AD65" s="3">
        <f t="shared" ca="1" si="3"/>
        <v>44936</v>
      </c>
      <c r="AE65" s="4" t="s">
        <v>104</v>
      </c>
      <c r="AF65" s="4" t="s">
        <v>105</v>
      </c>
      <c r="AG65" s="4" t="s">
        <v>106</v>
      </c>
      <c r="AH65" s="4" t="s">
        <v>107</v>
      </c>
      <c r="AI65" s="4">
        <f ca="1">ROUND(T_Tiktok_ads[[#This Row],[impressions]]*RANDBETWEEN(8,12)/10,0)</f>
        <v>122765</v>
      </c>
      <c r="AJ65" s="4">
        <f ca="1">ROUND(T_Tiktok_ads[[#This Row],[clicks]]*RANDBETWEEN(8,12)/10,0)</f>
        <v>2945</v>
      </c>
      <c r="AK65" s="4">
        <v>789.2</v>
      </c>
      <c r="AL65" s="4">
        <f ca="1">ROUND(T_Tiktok_ads[[#This Row],[conversions]]*RANDBETWEEN(8,12)/10,0)</f>
        <v>71</v>
      </c>
      <c r="AM65" s="4">
        <f ca="1">ROUND(T_Tiktok_ads[[#This Row],[video_views]]*RANDBETWEEN(8,12)/10,0)</f>
        <v>118679</v>
      </c>
      <c r="AN65" s="4">
        <f ca="1">ROUND(T_Tiktok_ads[[#This Row],[video_watch_25]]*RANDBETWEEN(8,12)/10,0)</f>
        <v>87524</v>
      </c>
      <c r="AO65" s="4">
        <f ca="1">ROUND(T_Tiktok_ads[[#This Row],[video_watch_50]]*RANDBETWEEN(8,12)/10,0)</f>
        <v>64414</v>
      </c>
      <c r="AP65" s="4">
        <f ca="1">ROUND(T_Tiktok_ads[[#This Row],[video_watch_75]]*RANDBETWEEN(8,12)/10,0)</f>
        <v>32187</v>
      </c>
      <c r="AQ65" s="4">
        <f ca="1">ROUND(T_Tiktok_ads[[#This Row],[video_watch_100]]*RANDBETWEEN(8,12)/10,0)</f>
        <v>29579</v>
      </c>
      <c r="AR65" s="4">
        <f ca="1">ROUND(T_Tiktok_ads[[#This Row],[likes]]*RANDBETWEEN(8,12)/10,0)</f>
        <v>6281</v>
      </c>
      <c r="AS65" s="4">
        <f ca="1">ROUND(T_Tiktok_ads[[#This Row],[shares]]*RANDBETWEEN(8,12)/10,0)</f>
        <v>1602</v>
      </c>
      <c r="AT65" s="4">
        <f ca="1">ROUND(T_Tiktok_ads[[#This Row],[comments]]*RANDBETWEEN(8,12)/10,0)</f>
        <v>306</v>
      </c>
      <c r="AV65" s="5">
        <f t="shared" ca="1" si="5"/>
        <v>44931</v>
      </c>
      <c r="AW65">
        <f t="shared" ca="1" si="4"/>
        <v>1</v>
      </c>
      <c r="AX65">
        <f ca="1">ROUND(T_Facebook_Ads11[[#This Row],[impressions]]*RANDBETWEEN(8,12)/10,0)</f>
        <v>15001</v>
      </c>
      <c r="AY65">
        <f ca="1">ROUND(T_Facebook_Ads11[[#This Row],[clicks]]*RANDBETWEEN(8,12)/10,0)</f>
        <v>571</v>
      </c>
      <c r="AZ65">
        <f ca="1">T_Facebook_Ads11[[#This Row],[spend]]*RANDBETWEEN(8,12)/10</f>
        <v>235.8</v>
      </c>
      <c r="BA65">
        <f ca="1">ROUND(T_Facebook_Ads11[[#This Row],[conversions]]*RANDBETWEEN(8,12)/10,0)</f>
        <v>43</v>
      </c>
      <c r="BB65">
        <f ca="1">ROUND(T_Facebook_Ads11[[#This Row],[video_views]]*RANDBETWEEN(8,12)/10,0)</f>
        <v>1116</v>
      </c>
    </row>
    <row r="66" spans="1:54" ht="15.75" thickBot="1" x14ac:dyDescent="0.3">
      <c r="A66" s="3">
        <f t="shared" ca="1" si="1"/>
        <v>44952</v>
      </c>
      <c r="B66" s="4" t="s">
        <v>60</v>
      </c>
      <c r="C66" s="4" t="s">
        <v>61</v>
      </c>
      <c r="D66" s="4" t="s">
        <v>62</v>
      </c>
      <c r="E66" s="4" t="s">
        <v>63</v>
      </c>
      <c r="F66" s="4">
        <f ca="1">ROUND(T_Facebook_Ads[[#This Row],[impressions]]*RANDBETWEEN(8,12)/10,0)</f>
        <v>33511</v>
      </c>
      <c r="G66" s="4">
        <v>1367</v>
      </c>
      <c r="H66" s="4">
        <f ca="1">T_Facebook_Ads[[#This Row],[spend]]*RANDBETWEEN(8,12)/10</f>
        <v>209.9</v>
      </c>
      <c r="I66" s="4">
        <f ca="1">ROUND(T_Facebook_Ads[[#This Row],[conversions]]*RANDBETWEEN(8,12)/10,0)</f>
        <v>28</v>
      </c>
      <c r="J66" s="4">
        <f ca="1">ROUND(T_Facebook_Ads[[#This Row],[video_views]]*RANDBETWEEN(8,12)/10,0)</f>
        <v>4511</v>
      </c>
      <c r="K66" s="4">
        <f ca="1">T_Facebook_Ads[[#This Row],[engagement_rate]]*RANDBETWEEN(8,12)/10</f>
        <v>4.4040000000000003E-2</v>
      </c>
      <c r="L66" s="4">
        <f ca="1">ROUND(T_Facebook_Ads[[#This Row],[reach]]*RANDBETWEEN(8,12)/10,0)</f>
        <v>30678</v>
      </c>
      <c r="M66" s="4">
        <f ca="1">T_Facebook_Ads[[#This Row],[frequency]]*RANDBETWEEN(8,12)/10</f>
        <v>1.452</v>
      </c>
      <c r="O66" s="3">
        <f t="shared" ca="1" si="2"/>
        <v>44955</v>
      </c>
      <c r="P66" s="4" t="s">
        <v>84</v>
      </c>
      <c r="Q66" s="4" t="s">
        <v>85</v>
      </c>
      <c r="R66" s="4" t="s">
        <v>86</v>
      </c>
      <c r="S66" s="4" t="s">
        <v>87</v>
      </c>
      <c r="T66" s="4">
        <f ca="1">ROUND(_Google_ads[[#This Row],[impressions]]*RANDBETWEEN(8,12)/10,0)</f>
        <v>55387</v>
      </c>
      <c r="U66" s="4">
        <f ca="1">ROUND(_Google_ads[[#This Row],[clicks]]*RANDBETWEEN(8,12)/10,0)</f>
        <v>2531</v>
      </c>
      <c r="V66" s="4">
        <f ca="1">_Google_ads[[#This Row],[cost]]*RANDBETWEEN(8,12)/10</f>
        <v>423.5</v>
      </c>
      <c r="W66" s="4">
        <f ca="1">ROUND(_Google_ads[[#This Row],[conversions]]*RANDBETWEEN(8,12)/10,0)</f>
        <v>67</v>
      </c>
      <c r="X66" s="4">
        <f ca="1">ROUND(_Google_ads[[#This Row],[conversion_value]]*RANDBETWEEN(8,12)/10,0)</f>
        <v>3015</v>
      </c>
      <c r="Y66" s="4">
        <f ca="1">_Google_ads[[#This Row],[ctr]]*RANDBETWEEN(8,12)/10</f>
        <v>2.988E-2</v>
      </c>
      <c r="Z66" s="4">
        <f ca="1">_Google_ads[[#This Row],[avg_cpc]]*RANDBETWEEN(8,12)/10</f>
        <v>0.19800000000000001</v>
      </c>
      <c r="AA66" s="4">
        <f ca="1">ROUND(_Google_ads[[#This Row],[quality_score]]*RANDBETWEEN(8,12)/10,0)</f>
        <v>8</v>
      </c>
      <c r="AB66" s="4">
        <f ca="1">_Google_ads[[#This Row],[search_impression_share]]*RANDBETWEEN(8,12)/10</f>
        <v>0.80400000000000005</v>
      </c>
      <c r="AD66" s="3">
        <f t="shared" ca="1" si="3"/>
        <v>44949</v>
      </c>
      <c r="AE66" s="4" t="s">
        <v>108</v>
      </c>
      <c r="AF66" s="4" t="s">
        <v>109</v>
      </c>
      <c r="AG66" s="4" t="s">
        <v>110</v>
      </c>
      <c r="AH66" s="4" t="s">
        <v>111</v>
      </c>
      <c r="AI66" s="4">
        <f ca="1">ROUND(T_Tiktok_ads[[#This Row],[impressions]]*RANDBETWEEN(8,12)/10,0)</f>
        <v>189431</v>
      </c>
      <c r="AJ66" s="4">
        <f ca="1">ROUND(T_Tiktok_ads[[#This Row],[clicks]]*RANDBETWEEN(8,12)/10,0)</f>
        <v>4107</v>
      </c>
      <c r="AK66" s="4">
        <v>456.8</v>
      </c>
      <c r="AL66" s="4">
        <f ca="1">ROUND(T_Tiktok_ads[[#This Row],[conversions]]*RANDBETWEEN(8,12)/10,0)</f>
        <v>36</v>
      </c>
      <c r="AM66" s="4">
        <f ca="1">ROUND(T_Tiktok_ads[[#This Row],[video_views]]*RANDBETWEEN(8,12)/10,0)</f>
        <v>150312</v>
      </c>
      <c r="AN66" s="4">
        <f ca="1">ROUND(T_Tiktok_ads[[#This Row],[video_watch_25]]*RANDBETWEEN(8,12)/10,0)</f>
        <v>142345</v>
      </c>
      <c r="AO66" s="4">
        <f ca="1">ROUND(T_Tiktok_ads[[#This Row],[video_watch_50]]*RANDBETWEEN(8,12)/10,0)</f>
        <v>101111</v>
      </c>
      <c r="AP66" s="4">
        <f ca="1">ROUND(T_Tiktok_ads[[#This Row],[video_watch_75]]*RANDBETWEEN(8,12)/10,0)</f>
        <v>72345</v>
      </c>
      <c r="AQ66" s="4">
        <f ca="1">ROUND(T_Tiktok_ads[[#This Row],[video_watch_100]]*RANDBETWEEN(8,12)/10,0)</f>
        <v>48168</v>
      </c>
      <c r="AR66" s="4">
        <f ca="1">ROUND(T_Tiktok_ads[[#This Row],[likes]]*RANDBETWEEN(8,12)/10,0)</f>
        <v>7610</v>
      </c>
      <c r="AS66" s="4">
        <f ca="1">ROUND(T_Tiktok_ads[[#This Row],[shares]]*RANDBETWEEN(8,12)/10,0)</f>
        <v>2494</v>
      </c>
      <c r="AT66" s="4">
        <f ca="1">ROUND(T_Tiktok_ads[[#This Row],[comments]]*RANDBETWEEN(8,12)/10,0)</f>
        <v>600</v>
      </c>
      <c r="AV66" s="5">
        <f t="shared" ref="AV66:AV97" ca="1" si="6">DATE(2023,1,RANDBETWEEN(1,31))</f>
        <v>44934</v>
      </c>
      <c r="AW66">
        <f t="shared" ca="1" si="4"/>
        <v>1</v>
      </c>
      <c r="AX66">
        <f ca="1">ROUND(T_Facebook_Ads11[[#This Row],[impressions]]*RANDBETWEEN(8,12)/10,0)</f>
        <v>36862</v>
      </c>
      <c r="AY66">
        <f ca="1">ROUND(T_Facebook_Ads11[[#This Row],[clicks]]*RANDBETWEEN(8,12)/10,0)</f>
        <v>1367</v>
      </c>
      <c r="AZ66">
        <f ca="1">T_Facebook_Ads11[[#This Row],[spend]]*RANDBETWEEN(8,12)/10</f>
        <v>230.89000000000001</v>
      </c>
      <c r="BA66">
        <f ca="1">ROUND(T_Facebook_Ads11[[#This Row],[conversions]]*RANDBETWEEN(8,12)/10,0)</f>
        <v>25</v>
      </c>
      <c r="BB66">
        <f ca="1">ROUND(T_Facebook_Ads11[[#This Row],[video_views]]*RANDBETWEEN(8,12)/10,0)</f>
        <v>5413</v>
      </c>
    </row>
    <row r="67" spans="1:54" ht="15.75" thickBot="1" x14ac:dyDescent="0.3">
      <c r="A67" s="3">
        <f t="shared" ref="A67:A111" ca="1" si="7">DATE(2023,1,RANDBETWEEN(1,31))</f>
        <v>44944</v>
      </c>
      <c r="B67" s="4" t="s">
        <v>64</v>
      </c>
      <c r="C67" s="4" t="s">
        <v>65</v>
      </c>
      <c r="D67" s="4" t="s">
        <v>66</v>
      </c>
      <c r="E67" s="4" t="s">
        <v>67</v>
      </c>
      <c r="F67" s="4">
        <f ca="1">ROUND(T_Facebook_Ads[[#This Row],[impressions]]*RANDBETWEEN(8,12)/10,0)</f>
        <v>56098</v>
      </c>
      <c r="G67" s="4">
        <v>253</v>
      </c>
      <c r="H67" s="4">
        <f ca="1">T_Facebook_Ads[[#This Row],[spend]]*RANDBETWEEN(8,12)/10</f>
        <v>107.28000000000002</v>
      </c>
      <c r="I67" s="4">
        <f ca="1">ROUND(T_Facebook_Ads[[#This Row],[conversions]]*RANDBETWEEN(8,12)/10,0)</f>
        <v>7</v>
      </c>
      <c r="J67" s="4">
        <f ca="1">ROUND(T_Facebook_Ads[[#This Row],[video_views]]*RANDBETWEEN(8,12)/10,0)</f>
        <v>42511</v>
      </c>
      <c r="K67" s="4">
        <f ca="1">T_Facebook_Ads[[#This Row],[engagement_rate]]*RANDBETWEEN(8,12)/10</f>
        <v>4.3200000000000001E-3</v>
      </c>
      <c r="L67" s="4">
        <f ca="1">ROUND(T_Facebook_Ads[[#This Row],[reach]]*RANDBETWEEN(8,12)/10,0)</f>
        <v>63679</v>
      </c>
      <c r="M67" s="4">
        <f ca="1">T_Facebook_Ads[[#This Row],[frequency]]*RANDBETWEEN(8,12)/10</f>
        <v>1.331</v>
      </c>
      <c r="O67" s="3">
        <f t="shared" ref="O67:O111" ca="1" si="8">DATE(2023,1,RANDBETWEEN(1,31))</f>
        <v>44957</v>
      </c>
      <c r="P67" s="4" t="s">
        <v>88</v>
      </c>
      <c r="Q67" s="4" t="s">
        <v>89</v>
      </c>
      <c r="R67" s="4" t="s">
        <v>90</v>
      </c>
      <c r="S67" s="4" t="s">
        <v>59</v>
      </c>
      <c r="T67" s="4">
        <f ca="1">ROUND(_Google_ads[[#This Row],[impressions]]*RANDBETWEEN(8,12)/10,0)</f>
        <v>157880</v>
      </c>
      <c r="U67" s="4">
        <f ca="1">ROUND(_Google_ads[[#This Row],[clicks]]*RANDBETWEEN(8,12)/10,0)</f>
        <v>382</v>
      </c>
      <c r="V67" s="4">
        <f ca="1">_Google_ads[[#This Row],[cost]]*RANDBETWEEN(8,12)/10</f>
        <v>103.52000000000001</v>
      </c>
      <c r="W67" s="4">
        <f ca="1">ROUND(_Google_ads[[#This Row],[conversions]]*RANDBETWEEN(8,12)/10,0)</f>
        <v>12</v>
      </c>
      <c r="X67" s="4">
        <f ca="1">ROUND(_Google_ads[[#This Row],[conversion_value]]*RANDBETWEEN(8,12)/10,0)</f>
        <v>650</v>
      </c>
      <c r="Y67" s="4">
        <f ca="1">_Google_ads[[#This Row],[ctr]]*RANDBETWEEN(8,12)/10</f>
        <v>3.96E-3</v>
      </c>
      <c r="Z67" s="4">
        <f ca="1">_Google_ads[[#This Row],[avg_cpc]]*RANDBETWEEN(8,12)/10</f>
        <v>0.27</v>
      </c>
      <c r="AA67" s="4">
        <f ca="1">ROUND(_Google_ads[[#This Row],[quality_score]]*RANDBETWEEN(8,12)/10,0)</f>
        <v>6</v>
      </c>
      <c r="AB67" s="4">
        <f ca="1">_Google_ads[[#This Row],[search_impression_share]]*RANDBETWEEN(8,12)/10</f>
        <v>0.30599999999999999</v>
      </c>
      <c r="AD67" s="3">
        <f t="shared" ref="AD67:AD111" ca="1" si="9">DATE(2023,1,RANDBETWEEN(1,31))</f>
        <v>44949</v>
      </c>
      <c r="AE67" s="4" t="s">
        <v>112</v>
      </c>
      <c r="AF67" s="4" t="s">
        <v>113</v>
      </c>
      <c r="AG67" s="4" t="s">
        <v>114</v>
      </c>
      <c r="AH67" s="4" t="s">
        <v>115</v>
      </c>
      <c r="AI67" s="4">
        <f ca="1">ROUND(T_Tiktok_ads[[#This Row],[impressions]]*RANDBETWEEN(8,12)/10,0)</f>
        <v>381110</v>
      </c>
      <c r="AJ67" s="4">
        <f ca="1">ROUND(T_Tiktok_ads[[#This Row],[clicks]]*RANDBETWEEN(8,12)/10,0)</f>
        <v>6110</v>
      </c>
      <c r="AK67" s="4">
        <v>1034.5</v>
      </c>
      <c r="AL67" s="4">
        <f ca="1">ROUND(T_Tiktok_ads[[#This Row],[conversions]]*RANDBETWEEN(8,12)/10,0)</f>
        <v>125</v>
      </c>
      <c r="AM67" s="4">
        <f ca="1">ROUND(T_Tiktok_ads[[#This Row],[video_views]]*RANDBETWEEN(8,12)/10,0)</f>
        <v>321110</v>
      </c>
      <c r="AN67" s="4">
        <f ca="1">ROUND(T_Tiktok_ads[[#This Row],[video_watch_25]]*RANDBETWEEN(8,12)/10,0)</f>
        <v>229787</v>
      </c>
      <c r="AO67" s="4">
        <f ca="1">ROUND(T_Tiktok_ads[[#This Row],[video_watch_50]]*RANDBETWEEN(8,12)/10,0)</f>
        <v>229234</v>
      </c>
      <c r="AP67" s="4">
        <f ca="1">ROUND(T_Tiktok_ads[[#This Row],[video_watch_75]]*RANDBETWEEN(8,12)/10,0)</f>
        <v>194814</v>
      </c>
      <c r="AQ67" s="4">
        <f ca="1">ROUND(T_Tiktok_ads[[#This Row],[video_watch_100]]*RANDBETWEEN(8,12)/10,0)</f>
        <v>97101</v>
      </c>
      <c r="AR67" s="4">
        <f ca="1">ROUND(T_Tiktok_ads[[#This Row],[likes]]*RANDBETWEEN(8,12)/10,0)</f>
        <v>16880</v>
      </c>
      <c r="AS67" s="4">
        <f ca="1">ROUND(T_Tiktok_ads[[#This Row],[shares]]*RANDBETWEEN(8,12)/10,0)</f>
        <v>5880</v>
      </c>
      <c r="AT67" s="4">
        <f ca="1">ROUND(T_Tiktok_ads[[#This Row],[comments]]*RANDBETWEEN(8,12)/10,0)</f>
        <v>1165</v>
      </c>
      <c r="AV67" s="5">
        <f t="shared" ca="1" si="6"/>
        <v>44940</v>
      </c>
      <c r="AW67">
        <f t="shared" ref="AW67:AW111" ca="1" si="10">RANDBETWEEN(1,8)</f>
        <v>1</v>
      </c>
      <c r="AX67">
        <f ca="1">ROUND(T_Facebook_Ads11[[#This Row],[impressions]]*RANDBETWEEN(8,12)/10,0)</f>
        <v>44878</v>
      </c>
      <c r="AY67">
        <f ca="1">ROUND(T_Facebook_Ads11[[#This Row],[clicks]]*RANDBETWEEN(8,12)/10,0)</f>
        <v>278</v>
      </c>
      <c r="AZ67">
        <f ca="1">T_Facebook_Ads11[[#This Row],[spend]]*RANDBETWEEN(8,12)/10</f>
        <v>107.28000000000002</v>
      </c>
      <c r="BA67">
        <f ca="1">ROUND(T_Facebook_Ads11[[#This Row],[conversions]]*RANDBETWEEN(8,12)/10,0)</f>
        <v>7</v>
      </c>
      <c r="BB67">
        <f ca="1">ROUND(T_Facebook_Ads11[[#This Row],[video_views]]*RANDBETWEEN(8,12)/10,0)</f>
        <v>42511</v>
      </c>
    </row>
    <row r="68" spans="1:54" ht="15.75" thickBot="1" x14ac:dyDescent="0.3">
      <c r="A68" s="3">
        <f t="shared" ca="1" si="7"/>
        <v>44946</v>
      </c>
      <c r="B68" s="4" t="s">
        <v>52</v>
      </c>
      <c r="C68" s="4" t="s">
        <v>53</v>
      </c>
      <c r="D68" s="4" t="s">
        <v>54</v>
      </c>
      <c r="E68" s="4" t="s">
        <v>55</v>
      </c>
      <c r="F68" s="4">
        <f ca="1">ROUND(T_Facebook_Ads[[#This Row],[impressions]]*RANDBETWEEN(8,12)/10,0)</f>
        <v>38911</v>
      </c>
      <c r="G68" s="4">
        <v>878</v>
      </c>
      <c r="H68" s="4">
        <f ca="1">T_Facebook_Ads[[#This Row],[spend]]*RANDBETWEEN(8,12)/10</f>
        <v>100.56</v>
      </c>
      <c r="I68" s="4">
        <f ca="1">ROUND(T_Facebook_Ads[[#This Row],[conversions]]*RANDBETWEEN(8,12)/10,0)</f>
        <v>14</v>
      </c>
      <c r="J68" s="4">
        <f ca="1">ROUND(T_Facebook_Ads[[#This Row],[video_views]]*RANDBETWEEN(8,12)/10,0)</f>
        <v>7101</v>
      </c>
      <c r="K68" s="4">
        <f ca="1">T_Facebook_Ads[[#This Row],[engagement_rate]]*RANDBETWEEN(8,12)/10</f>
        <v>1.6239999999999997E-2</v>
      </c>
      <c r="L68" s="4">
        <f ca="1">ROUND(T_Facebook_Ads[[#This Row],[reach]]*RANDBETWEEN(8,12)/10,0)</f>
        <v>40224</v>
      </c>
      <c r="M68" s="4">
        <f ca="1">T_Facebook_Ads[[#This Row],[frequency]]*RANDBETWEEN(8,12)/10</f>
        <v>1.2979999999999998</v>
      </c>
      <c r="O68" s="3">
        <f t="shared" ca="1" si="8"/>
        <v>44949</v>
      </c>
      <c r="P68" s="4" t="s">
        <v>76</v>
      </c>
      <c r="Q68" s="4" t="s">
        <v>77</v>
      </c>
      <c r="R68" s="4" t="s">
        <v>78</v>
      </c>
      <c r="S68" s="4" t="s">
        <v>79</v>
      </c>
      <c r="T68" s="4">
        <f ca="1">ROUND(_Google_ads[[#This Row],[impressions]]*RANDBETWEEN(8,12)/10,0)</f>
        <v>24580</v>
      </c>
      <c r="U68" s="4">
        <f ca="1">ROUND(_Google_ads[[#This Row],[clicks]]*RANDBETWEEN(8,12)/10,0)</f>
        <v>1235</v>
      </c>
      <c r="V68" s="4">
        <f ca="1">_Google_ads[[#This Row],[cost]]*RANDBETWEEN(8,12)/10</f>
        <v>193.05</v>
      </c>
      <c r="W68" s="4">
        <f ca="1">ROUND(_Google_ads[[#This Row],[conversions]]*RANDBETWEEN(8,12)/10,0)</f>
        <v>38</v>
      </c>
      <c r="X68" s="4">
        <f ca="1">ROUND(_Google_ads[[#This Row],[conversion_value]]*RANDBETWEEN(8,12)/10,0)</f>
        <v>2520</v>
      </c>
      <c r="Y68" s="4">
        <f ca="1">_Google_ads[[#This Row],[ctr]]*RANDBETWEEN(8,12)/10</f>
        <v>4.5269999999999998E-2</v>
      </c>
      <c r="Z68" s="4">
        <f ca="1">_Google_ads[[#This Row],[avg_cpc]]*RANDBETWEEN(8,12)/10</f>
        <v>0.17099999999999999</v>
      </c>
      <c r="AA68" s="4">
        <f ca="1">ROUND(_Google_ads[[#This Row],[quality_score]]*RANDBETWEEN(8,12)/10,0)</f>
        <v>7</v>
      </c>
      <c r="AB68" s="4">
        <f ca="1">_Google_ads[[#This Row],[search_impression_share]]*RANDBETWEEN(8,12)/10</f>
        <v>0.97900000000000009</v>
      </c>
      <c r="AD68" s="3">
        <f t="shared" ca="1" si="9"/>
        <v>44936</v>
      </c>
      <c r="AE68" s="4" t="s">
        <v>100</v>
      </c>
      <c r="AF68" s="4" t="s">
        <v>101</v>
      </c>
      <c r="AG68" s="4" t="s">
        <v>102</v>
      </c>
      <c r="AH68" s="4" t="s">
        <v>103</v>
      </c>
      <c r="AI68" s="4">
        <f ca="1">ROUND(T_Tiktok_ads[[#This Row],[impressions]]*RANDBETWEEN(8,12)/10,0)</f>
        <v>204987</v>
      </c>
      <c r="AJ68" s="4">
        <f ca="1">ROUND(T_Tiktok_ads[[#This Row],[clicks]]*RANDBETWEEN(8,12)/10,0)</f>
        <v>4441</v>
      </c>
      <c r="AK68" s="4">
        <v>490.5</v>
      </c>
      <c r="AL68" s="4">
        <f ca="1">ROUND(T_Tiktok_ads[[#This Row],[conversions]]*RANDBETWEEN(8,12)/10,0)</f>
        <v>30</v>
      </c>
      <c r="AM68" s="4">
        <f ca="1">ROUND(T_Tiktok_ads[[#This Row],[video_views]]*RANDBETWEEN(8,12)/10,0)</f>
        <v>188311</v>
      </c>
      <c r="AN68" s="4">
        <f ca="1">ROUND(T_Tiktok_ads[[#This Row],[video_watch_25]]*RANDBETWEEN(8,12)/10,0)</f>
        <v>163567</v>
      </c>
      <c r="AO68" s="4">
        <f ca="1">ROUND(T_Tiktok_ads[[#This Row],[video_watch_50]]*RANDBETWEEN(8,12)/10,0)</f>
        <v>92310</v>
      </c>
      <c r="AP68" s="4">
        <f ca="1">ROUND(T_Tiktok_ads[[#This Row],[video_watch_75]]*RANDBETWEEN(8,12)/10,0)</f>
        <v>69567</v>
      </c>
      <c r="AQ68" s="4">
        <f ca="1">ROUND(T_Tiktok_ads[[#This Row],[video_watch_100]]*RANDBETWEEN(8,12)/10,0)</f>
        <v>46567</v>
      </c>
      <c r="AR68" s="4">
        <f ca="1">ROUND(T_Tiktok_ads[[#This Row],[likes]]*RANDBETWEEN(8,12)/10,0)</f>
        <v>7298</v>
      </c>
      <c r="AS68" s="4">
        <f ca="1">ROUND(T_Tiktok_ads[[#This Row],[shares]]*RANDBETWEEN(8,12)/10,0)</f>
        <v>2181</v>
      </c>
      <c r="AT68" s="4">
        <f ca="1">ROUND(T_Tiktok_ads[[#This Row],[comments]]*RANDBETWEEN(8,12)/10,0)</f>
        <v>541</v>
      </c>
      <c r="AV68" s="5">
        <f t="shared" ca="1" si="6"/>
        <v>44954</v>
      </c>
      <c r="AW68">
        <f t="shared" ca="1" si="10"/>
        <v>6</v>
      </c>
      <c r="AX68">
        <f ca="1">ROUND(T_Facebook_Ads11[[#This Row],[impressions]]*RANDBETWEEN(8,12)/10,0)</f>
        <v>31129</v>
      </c>
      <c r="AY68">
        <f ca="1">ROUND(T_Facebook_Ads11[[#This Row],[clicks]]*RANDBETWEEN(8,12)/10,0)</f>
        <v>1054</v>
      </c>
      <c r="AZ68">
        <f ca="1">T_Facebook_Ads11[[#This Row],[spend]]*RANDBETWEEN(8,12)/10</f>
        <v>100.56</v>
      </c>
      <c r="BA68">
        <f ca="1">ROUND(T_Facebook_Ads11[[#This Row],[conversions]]*RANDBETWEEN(8,12)/10,0)</f>
        <v>17</v>
      </c>
      <c r="BB68">
        <f ca="1">ROUND(T_Facebook_Ads11[[#This Row],[video_views]]*RANDBETWEEN(8,12)/10,0)</f>
        <v>6391</v>
      </c>
    </row>
    <row r="69" spans="1:54" ht="15.75" thickBot="1" x14ac:dyDescent="0.3">
      <c r="A69" s="3">
        <f t="shared" ca="1" si="7"/>
        <v>44947</v>
      </c>
      <c r="B69" s="4" t="s">
        <v>56</v>
      </c>
      <c r="C69" s="4" t="s">
        <v>57</v>
      </c>
      <c r="D69" s="4" t="s">
        <v>58</v>
      </c>
      <c r="E69" s="4" t="s">
        <v>59</v>
      </c>
      <c r="F69" s="4">
        <f ca="1">ROUND(T_Facebook_Ads[[#This Row],[impressions]]*RANDBETWEEN(8,12)/10,0)</f>
        <v>11890</v>
      </c>
      <c r="G69" s="4">
        <v>545</v>
      </c>
      <c r="H69" s="4">
        <f ca="1">T_Facebook_Ads[[#This Row],[spend]]*RANDBETWEEN(8,12)/10</f>
        <v>202.3</v>
      </c>
      <c r="I69" s="4">
        <f ca="1">ROUND(T_Facebook_Ads[[#This Row],[conversions]]*RANDBETWEEN(8,12)/10,0)</f>
        <v>41</v>
      </c>
      <c r="J69" s="4">
        <f ca="1">ROUND(T_Facebook_Ads[[#This Row],[video_views]]*RANDBETWEEN(8,12)/10,0)</f>
        <v>1387</v>
      </c>
      <c r="K69" s="4">
        <f ca="1">T_Facebook_Ads[[#This Row],[engagement_rate]]*RANDBETWEEN(8,12)/10</f>
        <v>4.122E-2</v>
      </c>
      <c r="L69" s="4">
        <f ca="1">ROUND(T_Facebook_Ads[[#This Row],[reach]]*RANDBETWEEN(8,12)/10,0)</f>
        <v>10524</v>
      </c>
      <c r="M69" s="4">
        <f ca="1">T_Facebook_Ads[[#This Row],[frequency]]*RANDBETWEEN(8,12)/10</f>
        <v>1.024</v>
      </c>
      <c r="O69" s="3">
        <f t="shared" ca="1" si="8"/>
        <v>44955</v>
      </c>
      <c r="P69" s="4" t="s">
        <v>80</v>
      </c>
      <c r="Q69" s="4" t="s">
        <v>81</v>
      </c>
      <c r="R69" s="4" t="s">
        <v>82</v>
      </c>
      <c r="S69" s="4" t="s">
        <v>83</v>
      </c>
      <c r="T69" s="4">
        <f ca="1">ROUND(_Google_ads[[#This Row],[impressions]]*RANDBETWEEN(8,12)/10,0)</f>
        <v>48680</v>
      </c>
      <c r="U69" s="4">
        <f ca="1">ROUND(_Google_ads[[#This Row],[clicks]]*RANDBETWEEN(8,12)/10,0)</f>
        <v>812</v>
      </c>
      <c r="V69" s="4">
        <f ca="1">_Google_ads[[#This Row],[cost]]*RANDBETWEEN(8,12)/10</f>
        <v>520.4</v>
      </c>
      <c r="W69" s="4">
        <f ca="1">ROUND(_Google_ads[[#This Row],[conversions]]*RANDBETWEEN(8,12)/10,0)</f>
        <v>20</v>
      </c>
      <c r="X69" s="4">
        <f ca="1">ROUND(_Google_ads[[#This Row],[conversion_value]]*RANDBETWEEN(8,12)/10,0)</f>
        <v>1000</v>
      </c>
      <c r="Y69" s="4">
        <f ca="1">_Google_ads[[#This Row],[ctr]]*RANDBETWEEN(8,12)/10</f>
        <v>1.6E-2</v>
      </c>
      <c r="Z69" s="4">
        <f ca="1">_Google_ads[[#This Row],[avg_cpc]]*RANDBETWEEN(8,12)/10</f>
        <v>0.70399999999999996</v>
      </c>
      <c r="AA69" s="4">
        <f ca="1">ROUND(_Google_ads[[#This Row],[quality_score]]*RANDBETWEEN(8,12)/10,0)</f>
        <v>7</v>
      </c>
      <c r="AB69" s="4">
        <f ca="1">_Google_ads[[#This Row],[search_impression_share]]*RANDBETWEEN(8,12)/10</f>
        <v>0.42000000000000004</v>
      </c>
      <c r="AD69" s="3">
        <f t="shared" ca="1" si="9"/>
        <v>44943</v>
      </c>
      <c r="AE69" s="4" t="s">
        <v>104</v>
      </c>
      <c r="AF69" s="4" t="s">
        <v>105</v>
      </c>
      <c r="AG69" s="4" t="s">
        <v>106</v>
      </c>
      <c r="AH69" s="4" t="s">
        <v>107</v>
      </c>
      <c r="AI69" s="4">
        <f ca="1">ROUND(T_Tiktok_ads[[#This Row],[impressions]]*RANDBETWEEN(8,12)/10,0)</f>
        <v>113876</v>
      </c>
      <c r="AJ69" s="4">
        <f ca="1">ROUND(T_Tiktok_ads[[#This Row],[clicks]]*RANDBETWEEN(8,12)/10,0)</f>
        <v>2142</v>
      </c>
      <c r="AK69" s="4">
        <v>734.5</v>
      </c>
      <c r="AL69" s="4">
        <f ca="1">ROUND(T_Tiktok_ads[[#This Row],[conversions]]*RANDBETWEEN(8,12)/10,0)</f>
        <v>88</v>
      </c>
      <c r="AM69" s="4">
        <f ca="1">ROUND(T_Tiktok_ads[[#This Row],[video_views]]*RANDBETWEEN(8,12)/10,0)</f>
        <v>97890</v>
      </c>
      <c r="AN69" s="4">
        <f ca="1">ROUND(T_Tiktok_ads[[#This Row],[video_watch_25]]*RANDBETWEEN(8,12)/10,0)</f>
        <v>79580</v>
      </c>
      <c r="AO69" s="4">
        <f ca="1">ROUND(T_Tiktok_ads[[#This Row],[video_watch_50]]*RANDBETWEEN(8,12)/10,0)</f>
        <v>48901</v>
      </c>
      <c r="AP69" s="4">
        <f ca="1">ROUND(T_Tiktok_ads[[#This Row],[video_watch_75]]*RANDBETWEEN(8,12)/10,0)</f>
        <v>33110</v>
      </c>
      <c r="AQ69" s="4">
        <f ca="1">ROUND(T_Tiktok_ads[[#This Row],[video_watch_100]]*RANDBETWEEN(8,12)/10,0)</f>
        <v>24890</v>
      </c>
      <c r="AR69" s="4">
        <f ca="1">ROUND(T_Tiktok_ads[[#This Row],[likes]]*RANDBETWEEN(8,12)/10,0)</f>
        <v>5881</v>
      </c>
      <c r="AS69" s="4">
        <f ca="1">ROUND(T_Tiktok_ads[[#This Row],[shares]]*RANDBETWEEN(8,12)/10,0)</f>
        <v>1085</v>
      </c>
      <c r="AT69" s="4">
        <f ca="1">ROUND(T_Tiktok_ads[[#This Row],[comments]]*RANDBETWEEN(8,12)/10,0)</f>
        <v>230</v>
      </c>
      <c r="AV69" s="5">
        <f t="shared" ca="1" si="6"/>
        <v>44938</v>
      </c>
      <c r="AW69">
        <f t="shared" ca="1" si="10"/>
        <v>8</v>
      </c>
      <c r="AX69">
        <f ca="1">ROUND(T_Facebook_Ads11[[#This Row],[impressions]]*RANDBETWEEN(8,12)/10,0)</f>
        <v>14268</v>
      </c>
      <c r="AY69">
        <f ca="1">ROUND(T_Facebook_Ads11[[#This Row],[clicks]]*RANDBETWEEN(8,12)/10,0)</f>
        <v>545</v>
      </c>
      <c r="AZ69">
        <f ca="1">T_Facebook_Ads11[[#This Row],[spend]]*RANDBETWEEN(8,12)/10</f>
        <v>161.84</v>
      </c>
      <c r="BA69">
        <f ca="1">ROUND(T_Facebook_Ads11[[#This Row],[conversions]]*RANDBETWEEN(8,12)/10,0)</f>
        <v>45</v>
      </c>
      <c r="BB69">
        <f ca="1">ROUND(T_Facebook_Ads11[[#This Row],[video_views]]*RANDBETWEEN(8,12)/10,0)</f>
        <v>1664</v>
      </c>
    </row>
    <row r="70" spans="1:54" ht="15.75" thickBot="1" x14ac:dyDescent="0.3">
      <c r="A70" s="3">
        <f t="shared" ca="1" si="7"/>
        <v>44957</v>
      </c>
      <c r="B70" s="4" t="s">
        <v>60</v>
      </c>
      <c r="C70" s="4" t="s">
        <v>61</v>
      </c>
      <c r="D70" s="4" t="s">
        <v>62</v>
      </c>
      <c r="E70" s="4" t="s">
        <v>63</v>
      </c>
      <c r="F70" s="4">
        <f ca="1">ROUND(T_Facebook_Ads[[#This Row],[impressions]]*RANDBETWEEN(8,12)/10,0)</f>
        <v>34567</v>
      </c>
      <c r="G70" s="4">
        <v>1234</v>
      </c>
      <c r="H70" s="4">
        <f ca="1">T_Facebook_Ads[[#This Row],[spend]]*RANDBETWEEN(8,12)/10</f>
        <v>151.68</v>
      </c>
      <c r="I70" s="4">
        <f ca="1">ROUND(T_Facebook_Ads[[#This Row],[conversions]]*RANDBETWEEN(8,12)/10,0)</f>
        <v>29</v>
      </c>
      <c r="J70" s="4">
        <f ca="1">ROUND(T_Facebook_Ads[[#This Row],[video_views]]*RANDBETWEEN(8,12)/10,0)</f>
        <v>3654</v>
      </c>
      <c r="K70" s="4">
        <f ca="1">T_Facebook_Ads[[#This Row],[engagement_rate]]*RANDBETWEEN(8,12)/10</f>
        <v>3.9270000000000006E-2</v>
      </c>
      <c r="L70" s="4">
        <f ca="1">ROUND(T_Facebook_Ads[[#This Row],[reach]]*RANDBETWEEN(8,12)/10,0)</f>
        <v>26041</v>
      </c>
      <c r="M70" s="4">
        <f ca="1">T_Facebook_Ads[[#This Row],[frequency]]*RANDBETWEEN(8,12)/10</f>
        <v>1.3089999999999999</v>
      </c>
      <c r="O70" s="3">
        <f t="shared" ca="1" si="8"/>
        <v>44928</v>
      </c>
      <c r="P70" s="4" t="s">
        <v>84</v>
      </c>
      <c r="Q70" s="4" t="s">
        <v>85</v>
      </c>
      <c r="R70" s="4" t="s">
        <v>86</v>
      </c>
      <c r="S70" s="4" t="s">
        <v>87</v>
      </c>
      <c r="T70" s="4">
        <f ca="1">ROUND(_Google_ads[[#This Row],[impressions]]*RANDBETWEEN(8,12)/10,0)</f>
        <v>64890</v>
      </c>
      <c r="U70" s="4">
        <f ca="1">ROUND(_Google_ads[[#This Row],[clicks]]*RANDBETWEEN(8,12)/10,0)</f>
        <v>2480</v>
      </c>
      <c r="V70" s="4">
        <f ca="1">_Google_ads[[#This Row],[cost]]*RANDBETWEEN(8,12)/10</f>
        <v>414.48</v>
      </c>
      <c r="W70" s="4">
        <f ca="1">ROUND(_Google_ads[[#This Row],[conversions]]*RANDBETWEEN(8,12)/10,0)</f>
        <v>47</v>
      </c>
      <c r="X70" s="4">
        <f ca="1">ROUND(_Google_ads[[#This Row],[conversion_value]]*RANDBETWEEN(8,12)/10,0)</f>
        <v>3245</v>
      </c>
      <c r="Y70" s="4">
        <f ca="1">_Google_ads[[#This Row],[ctr]]*RANDBETWEEN(8,12)/10</f>
        <v>3.8279999999999995E-2</v>
      </c>
      <c r="Z70" s="4">
        <f ca="1">_Google_ads[[#This Row],[avg_cpc]]*RANDBETWEEN(8,12)/10</f>
        <v>0.16199999999999998</v>
      </c>
      <c r="AA70" s="4">
        <f ca="1">ROUND(_Google_ads[[#This Row],[quality_score]]*RANDBETWEEN(8,12)/10,0)</f>
        <v>6</v>
      </c>
      <c r="AB70" s="4">
        <f ca="1">_Google_ads[[#This Row],[search_impression_share]]*RANDBETWEEN(8,12)/10</f>
        <v>0.71500000000000008</v>
      </c>
      <c r="AD70" s="3">
        <f t="shared" ca="1" si="9"/>
        <v>44927</v>
      </c>
      <c r="AE70" s="4" t="s">
        <v>108</v>
      </c>
      <c r="AF70" s="4" t="s">
        <v>109</v>
      </c>
      <c r="AG70" s="4" t="s">
        <v>110</v>
      </c>
      <c r="AH70" s="4" t="s">
        <v>111</v>
      </c>
      <c r="AI70" s="4">
        <f ca="1">ROUND(T_Tiktok_ads[[#This Row],[impressions]]*RANDBETWEEN(8,12)/10,0)</f>
        <v>197011</v>
      </c>
      <c r="AJ70" s="4">
        <f ca="1">ROUND(T_Tiktok_ads[[#This Row],[clicks]]*RANDBETWEEN(8,12)/10,0)</f>
        <v>3802</v>
      </c>
      <c r="AK70" s="4">
        <v>414.4</v>
      </c>
      <c r="AL70" s="4">
        <f ca="1">ROUND(T_Tiktok_ads[[#This Row],[conversions]]*RANDBETWEEN(8,12)/10,0)</f>
        <v>26</v>
      </c>
      <c r="AM70" s="4">
        <f ca="1">ROUND(T_Tiktok_ads[[#This Row],[video_views]]*RANDBETWEEN(8,12)/10,0)</f>
        <v>156110</v>
      </c>
      <c r="AN70" s="4">
        <f ca="1">ROUND(T_Tiktok_ads[[#This Row],[video_watch_25]]*RANDBETWEEN(8,12)/10,0)</f>
        <v>105254</v>
      </c>
      <c r="AO70" s="4">
        <f ca="1">ROUND(T_Tiktok_ads[[#This Row],[video_watch_50]]*RANDBETWEEN(8,12)/10,0)</f>
        <v>124280</v>
      </c>
      <c r="AP70" s="4">
        <f ca="1">ROUND(T_Tiktok_ads[[#This Row],[video_watch_75]]*RANDBETWEEN(8,12)/10,0)</f>
        <v>80681</v>
      </c>
      <c r="AQ70" s="4">
        <f ca="1">ROUND(T_Tiktok_ads[[#This Row],[video_watch_100]]*RANDBETWEEN(8,12)/10,0)</f>
        <v>48680</v>
      </c>
      <c r="AR70" s="4">
        <f ca="1">ROUND(T_Tiktok_ads[[#This Row],[likes]]*RANDBETWEEN(8,12)/10,0)</f>
        <v>8012</v>
      </c>
      <c r="AS70" s="4">
        <f ca="1">ROUND(T_Tiktok_ads[[#This Row],[shares]]*RANDBETWEEN(8,12)/10,0)</f>
        <v>1761</v>
      </c>
      <c r="AT70" s="4">
        <f ca="1">ROUND(T_Tiktok_ads[[#This Row],[comments]]*RANDBETWEEN(8,12)/10,0)</f>
        <v>575</v>
      </c>
      <c r="AV70" s="5">
        <f t="shared" ca="1" si="6"/>
        <v>44944</v>
      </c>
      <c r="AW70">
        <f t="shared" ca="1" si="10"/>
        <v>2</v>
      </c>
      <c r="AX70">
        <f ca="1">ROUND(T_Facebook_Ads11[[#This Row],[impressions]]*RANDBETWEEN(8,12)/10,0)</f>
        <v>31110</v>
      </c>
      <c r="AY70">
        <f ca="1">ROUND(T_Facebook_Ads11[[#This Row],[clicks]]*RANDBETWEEN(8,12)/10,0)</f>
        <v>987</v>
      </c>
      <c r="AZ70">
        <f ca="1">T_Facebook_Ads11[[#This Row],[spend]]*RANDBETWEEN(8,12)/10</f>
        <v>151.68</v>
      </c>
      <c r="BA70">
        <f ca="1">ROUND(T_Facebook_Ads11[[#This Row],[conversions]]*RANDBETWEEN(8,12)/10,0)</f>
        <v>23</v>
      </c>
      <c r="BB70">
        <f ca="1">ROUND(T_Facebook_Ads11[[#This Row],[video_views]]*RANDBETWEEN(8,12)/10,0)</f>
        <v>4019</v>
      </c>
    </row>
    <row r="71" spans="1:54" ht="15.75" thickBot="1" x14ac:dyDescent="0.3">
      <c r="A71" s="3">
        <f t="shared" ca="1" si="7"/>
        <v>44942</v>
      </c>
      <c r="B71" s="4" t="s">
        <v>64</v>
      </c>
      <c r="C71" s="4" t="s">
        <v>65</v>
      </c>
      <c r="D71" s="4" t="s">
        <v>66</v>
      </c>
      <c r="E71" s="4" t="s">
        <v>67</v>
      </c>
      <c r="F71" s="4">
        <f ca="1">ROUND(T_Facebook_Ads[[#This Row],[impressions]]*RANDBETWEEN(8,12)/10,0)</f>
        <v>52187</v>
      </c>
      <c r="G71" s="4">
        <v>234</v>
      </c>
      <c r="H71" s="4">
        <f ca="1">T_Facebook_Ads[[#This Row],[spend]]*RANDBETWEEN(8,12)/10</f>
        <v>81.2</v>
      </c>
      <c r="I71" s="4">
        <f ca="1">ROUND(T_Facebook_Ads[[#This Row],[conversions]]*RANDBETWEEN(8,12)/10,0)</f>
        <v>6</v>
      </c>
      <c r="J71" s="4">
        <f ca="1">ROUND(T_Facebook_Ads[[#This Row],[video_views]]*RANDBETWEEN(8,12)/10,0)</f>
        <v>43567</v>
      </c>
      <c r="K71" s="4">
        <f ca="1">T_Facebook_Ads[[#This Row],[engagement_rate]]*RANDBETWEEN(8,12)/10</f>
        <v>3.96E-3</v>
      </c>
      <c r="L71" s="4">
        <f ca="1">ROUND(T_Facebook_Ads[[#This Row],[reach]]*RANDBETWEEN(8,12)/10,0)</f>
        <v>58802</v>
      </c>
      <c r="M71" s="4">
        <f ca="1">T_Facebook_Ads[[#This Row],[frequency]]*RANDBETWEEN(8,12)/10</f>
        <v>1.4279999999999999</v>
      </c>
      <c r="O71" s="3">
        <f t="shared" ca="1" si="8"/>
        <v>44950</v>
      </c>
      <c r="P71" s="4" t="s">
        <v>88</v>
      </c>
      <c r="Q71" s="4" t="s">
        <v>89</v>
      </c>
      <c r="R71" s="4" t="s">
        <v>90</v>
      </c>
      <c r="S71" s="4" t="s">
        <v>59</v>
      </c>
      <c r="T71" s="4">
        <f ca="1">ROUND(_Google_ads[[#This Row],[impressions]]*RANDBETWEEN(8,12)/10,0)</f>
        <v>124567</v>
      </c>
      <c r="U71" s="4">
        <f ca="1">ROUND(_Google_ads[[#This Row],[clicks]]*RANDBETWEEN(8,12)/10,0)</f>
        <v>534</v>
      </c>
      <c r="V71" s="4">
        <f ca="1">_Google_ads[[#This Row],[cost]]*RANDBETWEEN(8,12)/10</f>
        <v>134.53</v>
      </c>
      <c r="W71" s="4">
        <f ca="1">ROUND(_Google_ads[[#This Row],[conversions]]*RANDBETWEEN(8,12)/10,0)</f>
        <v>13</v>
      </c>
      <c r="X71" s="4">
        <f ca="1">ROUND(_Google_ads[[#This Row],[conversion_value]]*RANDBETWEEN(8,12)/10,0)</f>
        <v>720</v>
      </c>
      <c r="Y71" s="4">
        <f ca="1">_Google_ads[[#This Row],[ctr]]*RANDBETWEEN(8,12)/10</f>
        <v>3.96E-3</v>
      </c>
      <c r="Z71" s="4">
        <f ca="1">_Google_ads[[#This Row],[avg_cpc]]*RANDBETWEEN(8,12)/10</f>
        <v>0.24300000000000002</v>
      </c>
      <c r="AA71" s="4">
        <f ca="1">ROUND(_Google_ads[[#This Row],[quality_score]]*RANDBETWEEN(8,12)/10,0)</f>
        <v>6</v>
      </c>
      <c r="AB71" s="4">
        <f ca="1">_Google_ads[[#This Row],[search_impression_share]]*RANDBETWEEN(8,12)/10</f>
        <v>0.39600000000000002</v>
      </c>
      <c r="AD71" s="3">
        <f t="shared" ca="1" si="9"/>
        <v>44941</v>
      </c>
      <c r="AE71" s="4" t="s">
        <v>112</v>
      </c>
      <c r="AF71" s="4" t="s">
        <v>113</v>
      </c>
      <c r="AG71" s="4" t="s">
        <v>114</v>
      </c>
      <c r="AH71" s="4" t="s">
        <v>115</v>
      </c>
      <c r="AI71" s="4">
        <f ca="1">ROUND(T_Tiktok_ads[[#This Row],[impressions]]*RANDBETWEEN(8,12)/10,0)</f>
        <v>311210</v>
      </c>
      <c r="AJ71" s="4">
        <f ca="1">ROUND(T_Tiktok_ads[[#This Row],[clicks]]*RANDBETWEEN(8,12)/10,0)</f>
        <v>4987</v>
      </c>
      <c r="AK71" s="4">
        <v>967.8</v>
      </c>
      <c r="AL71" s="4">
        <f ca="1">ROUND(T_Tiktok_ads[[#This Row],[conversions]]*RANDBETWEEN(8,12)/10,0)</f>
        <v>108</v>
      </c>
      <c r="AM71" s="4">
        <f ca="1">ROUND(T_Tiktok_ads[[#This Row],[video_views]]*RANDBETWEEN(8,12)/10,0)</f>
        <v>385481</v>
      </c>
      <c r="AN71" s="4">
        <f ca="1">ROUND(T_Tiktok_ads[[#This Row],[video_watch_25]]*RANDBETWEEN(8,12)/10,0)</f>
        <v>284791</v>
      </c>
      <c r="AO71" s="4">
        <f ca="1">ROUND(T_Tiktok_ads[[#This Row],[video_watch_50]]*RANDBETWEEN(8,12)/10,0)</f>
        <v>207890</v>
      </c>
      <c r="AP71" s="4">
        <f ca="1">ROUND(T_Tiktok_ads[[#This Row],[video_watch_75]]*RANDBETWEEN(8,12)/10,0)</f>
        <v>161957</v>
      </c>
      <c r="AQ71" s="4">
        <f ca="1">ROUND(T_Tiktok_ads[[#This Row],[video_watch_100]]*RANDBETWEEN(8,12)/10,0)</f>
        <v>87710</v>
      </c>
      <c r="AR71" s="4">
        <f ca="1">ROUND(T_Tiktok_ads[[#This Row],[likes]]*RANDBETWEEN(8,12)/10,0)</f>
        <v>20281</v>
      </c>
      <c r="AS71" s="4">
        <f ca="1">ROUND(T_Tiktok_ads[[#This Row],[shares]]*RANDBETWEEN(8,12)/10,0)</f>
        <v>4421</v>
      </c>
      <c r="AT71" s="4">
        <f ca="1">ROUND(T_Tiktok_ads[[#This Row],[comments]]*RANDBETWEEN(8,12)/10,0)</f>
        <v>1345</v>
      </c>
      <c r="AV71" s="5">
        <f t="shared" ca="1" si="6"/>
        <v>44944</v>
      </c>
      <c r="AW71">
        <f t="shared" ca="1" si="10"/>
        <v>5</v>
      </c>
      <c r="AX71">
        <f ca="1">ROUND(T_Facebook_Ads11[[#This Row],[impressions]]*RANDBETWEEN(8,12)/10,0)</f>
        <v>57406</v>
      </c>
      <c r="AY71">
        <f ca="1">ROUND(T_Facebook_Ads11[[#This Row],[clicks]]*RANDBETWEEN(8,12)/10,0)</f>
        <v>257</v>
      </c>
      <c r="AZ71">
        <f ca="1">T_Facebook_Ads11[[#This Row],[spend]]*RANDBETWEEN(8,12)/10</f>
        <v>64.960000000000008</v>
      </c>
      <c r="BA71">
        <f ca="1">ROUND(T_Facebook_Ads11[[#This Row],[conversions]]*RANDBETWEEN(8,12)/10,0)</f>
        <v>6</v>
      </c>
      <c r="BB71">
        <f ca="1">ROUND(T_Facebook_Ads11[[#This Row],[video_views]]*RANDBETWEEN(8,12)/10,0)</f>
        <v>34854</v>
      </c>
    </row>
    <row r="72" spans="1:54" ht="15.75" thickBot="1" x14ac:dyDescent="0.3">
      <c r="A72" s="3">
        <f t="shared" ca="1" si="7"/>
        <v>44947</v>
      </c>
      <c r="B72" s="4" t="s">
        <v>52</v>
      </c>
      <c r="C72" s="4" t="s">
        <v>53</v>
      </c>
      <c r="D72" s="4" t="s">
        <v>54</v>
      </c>
      <c r="E72" s="4" t="s">
        <v>55</v>
      </c>
      <c r="F72" s="4">
        <f ca="1">ROUND(T_Facebook_Ads[[#This Row],[impressions]]*RANDBETWEEN(8,12)/10,0)</f>
        <v>37410</v>
      </c>
      <c r="G72" s="4">
        <v>823</v>
      </c>
      <c r="H72" s="4">
        <f ca="1">T_Facebook_Ads[[#This Row],[spend]]*RANDBETWEEN(8,12)/10</f>
        <v>107.01000000000002</v>
      </c>
      <c r="I72" s="4">
        <f ca="1">ROUND(T_Facebook_Ads[[#This Row],[conversions]]*RANDBETWEEN(8,12)/10,0)</f>
        <v>10</v>
      </c>
      <c r="J72" s="4">
        <f ca="1">ROUND(T_Facebook_Ads[[#This Row],[video_views]]*RANDBETWEEN(8,12)/10,0)</f>
        <v>8947</v>
      </c>
      <c r="K72" s="4">
        <f ca="1">T_Facebook_Ads[[#This Row],[engagement_rate]]*RANDBETWEEN(8,12)/10</f>
        <v>1.9800000000000002E-2</v>
      </c>
      <c r="L72" s="4">
        <f ca="1">ROUND(T_Facebook_Ads[[#This Row],[reach]]*RANDBETWEEN(8,12)/10,0)</f>
        <v>42148</v>
      </c>
      <c r="M72" s="4">
        <f ca="1">T_Facebook_Ads[[#This Row],[frequency]]*RANDBETWEEN(8,12)/10</f>
        <v>1.18</v>
      </c>
      <c r="O72" s="3">
        <f t="shared" ca="1" si="8"/>
        <v>44953</v>
      </c>
      <c r="P72" s="4" t="s">
        <v>76</v>
      </c>
      <c r="Q72" s="4" t="s">
        <v>77</v>
      </c>
      <c r="R72" s="4" t="s">
        <v>78</v>
      </c>
      <c r="S72" s="4" t="s">
        <v>79</v>
      </c>
      <c r="T72" s="4">
        <f ca="1">ROUND(_Google_ads[[#This Row],[impressions]]*RANDBETWEEN(8,12)/10,0)</f>
        <v>23724</v>
      </c>
      <c r="U72" s="4">
        <f ca="1">ROUND(_Google_ads[[#This Row],[clicks]]*RANDBETWEEN(8,12)/10,0)</f>
        <v>1198</v>
      </c>
      <c r="V72" s="4">
        <f ca="1">_Google_ads[[#This Row],[cost]]*RANDBETWEEN(8,12)/10</f>
        <v>187.02</v>
      </c>
      <c r="W72" s="4">
        <f ca="1">ROUND(_Google_ads[[#This Row],[conversions]]*RANDBETWEEN(8,12)/10,0)</f>
        <v>45</v>
      </c>
      <c r="X72" s="4">
        <f ca="1">ROUND(_Google_ads[[#This Row],[conversion_value]]*RANDBETWEEN(8,12)/10,0)</f>
        <v>2255</v>
      </c>
      <c r="Y72" s="4">
        <f ca="1">_Google_ads[[#This Row],[ctr]]*RANDBETWEEN(8,12)/10</f>
        <v>4.5450000000000004E-2</v>
      </c>
      <c r="Z72" s="4">
        <f ca="1">_Google_ads[[#This Row],[avg_cpc]]*RANDBETWEEN(8,12)/10</f>
        <v>0.152</v>
      </c>
      <c r="AA72" s="4">
        <f ca="1">ROUND(_Google_ads[[#This Row],[quality_score]]*RANDBETWEEN(8,12)/10,0)</f>
        <v>10</v>
      </c>
      <c r="AB72" s="4">
        <f ca="1">_Google_ads[[#This Row],[search_impression_share]]*RANDBETWEEN(8,12)/10</f>
        <v>0.96799999999999997</v>
      </c>
      <c r="AD72" s="3">
        <f t="shared" ca="1" si="9"/>
        <v>44951</v>
      </c>
      <c r="AE72" s="4" t="s">
        <v>100</v>
      </c>
      <c r="AF72" s="4" t="s">
        <v>101</v>
      </c>
      <c r="AG72" s="4" t="s">
        <v>102</v>
      </c>
      <c r="AH72" s="4" t="s">
        <v>103</v>
      </c>
      <c r="AI72" s="4">
        <f ca="1">ROUND(T_Tiktok_ads[[#This Row],[impressions]]*RANDBETWEEN(8,12)/10,0)</f>
        <v>281480</v>
      </c>
      <c r="AJ72" s="4">
        <f ca="1">ROUND(T_Tiktok_ads[[#This Row],[clicks]]*RANDBETWEEN(8,12)/10,0)</f>
        <v>2765</v>
      </c>
      <c r="AK72" s="4">
        <v>445.7</v>
      </c>
      <c r="AL72" s="4">
        <f ca="1">ROUND(T_Tiktok_ads[[#This Row],[conversions]]*RANDBETWEEN(8,12)/10,0)</f>
        <v>41</v>
      </c>
      <c r="AM72" s="4">
        <f ca="1">ROUND(T_Tiktok_ads[[#This Row],[video_views]]*RANDBETWEEN(8,12)/10,0)</f>
        <v>234281</v>
      </c>
      <c r="AN72" s="4">
        <f ca="1">ROUND(T_Tiktok_ads[[#This Row],[video_watch_25]]*RANDBETWEEN(8,12)/10,0)</f>
        <v>122765</v>
      </c>
      <c r="AO72" s="4">
        <f ca="1">ROUND(T_Tiktok_ads[[#This Row],[video_watch_50]]*RANDBETWEEN(8,12)/10,0)</f>
        <v>115481</v>
      </c>
      <c r="AP72" s="4">
        <f ca="1">ROUND(T_Tiktok_ads[[#This Row],[video_watch_75]]*RANDBETWEEN(8,12)/10,0)</f>
        <v>58711</v>
      </c>
      <c r="AQ72" s="4">
        <f ca="1">ROUND(T_Tiktok_ads[[#This Row],[video_watch_100]]*RANDBETWEEN(8,12)/10,0)</f>
        <v>52280</v>
      </c>
      <c r="AR72" s="4">
        <f ca="1">ROUND(T_Tiktok_ads[[#This Row],[likes]]*RANDBETWEEN(8,12)/10,0)</f>
        <v>7005</v>
      </c>
      <c r="AS72" s="4">
        <f ca="1">ROUND(T_Tiktok_ads[[#This Row],[shares]]*RANDBETWEEN(8,12)/10,0)</f>
        <v>2234</v>
      </c>
      <c r="AT72" s="4">
        <f ca="1">ROUND(T_Tiktok_ads[[#This Row],[comments]]*RANDBETWEEN(8,12)/10,0)</f>
        <v>587</v>
      </c>
      <c r="AV72" s="5">
        <f t="shared" ca="1" si="6"/>
        <v>44941</v>
      </c>
      <c r="AW72">
        <f t="shared" ca="1" si="10"/>
        <v>4</v>
      </c>
      <c r="AX72">
        <f ca="1">ROUND(T_Facebook_Ads11[[#This Row],[impressions]]*RANDBETWEEN(8,12)/10,0)</f>
        <v>33669</v>
      </c>
      <c r="AY72">
        <f ca="1">ROUND(T_Facebook_Ads11[[#This Row],[clicks]]*RANDBETWEEN(8,12)/10,0)</f>
        <v>658</v>
      </c>
      <c r="AZ72">
        <f ca="1">T_Facebook_Ads11[[#This Row],[spend]]*RANDBETWEEN(8,12)/10</f>
        <v>85.608000000000018</v>
      </c>
      <c r="BA72">
        <f ca="1">ROUND(T_Facebook_Ads11[[#This Row],[conversions]]*RANDBETWEEN(8,12)/10,0)</f>
        <v>11</v>
      </c>
      <c r="BB72">
        <f ca="1">ROUND(T_Facebook_Ads11[[#This Row],[video_views]]*RANDBETWEEN(8,12)/10,0)</f>
        <v>8052</v>
      </c>
    </row>
    <row r="73" spans="1:54" ht="15.75" thickBot="1" x14ac:dyDescent="0.3">
      <c r="A73" s="3">
        <f t="shared" ca="1" si="7"/>
        <v>44935</v>
      </c>
      <c r="B73" s="4" t="s">
        <v>56</v>
      </c>
      <c r="C73" s="4" t="s">
        <v>57</v>
      </c>
      <c r="D73" s="4" t="s">
        <v>58</v>
      </c>
      <c r="E73" s="4" t="s">
        <v>59</v>
      </c>
      <c r="F73" s="4">
        <f ca="1">ROUND(T_Facebook_Ads[[#This Row],[impressions]]*RANDBETWEEN(8,12)/10,0)</f>
        <v>11257</v>
      </c>
      <c r="G73" s="4">
        <v>467</v>
      </c>
      <c r="H73" s="4">
        <f ca="1">T_Facebook_Ads[[#This Row],[spend]]*RANDBETWEEN(8,12)/10</f>
        <v>160.56</v>
      </c>
      <c r="I73" s="4">
        <f ca="1">ROUND(T_Facebook_Ads[[#This Row],[conversions]]*RANDBETWEEN(8,12)/10,0)</f>
        <v>27</v>
      </c>
      <c r="J73" s="4">
        <f ca="1">ROUND(T_Facebook_Ads[[#This Row],[video_views]]*RANDBETWEEN(8,12)/10,0)</f>
        <v>1134</v>
      </c>
      <c r="K73" s="4">
        <f ca="1">T_Facebook_Ads[[#This Row],[engagement_rate]]*RANDBETWEEN(8,12)/10</f>
        <v>4.5600000000000002E-2</v>
      </c>
      <c r="L73" s="4">
        <f ca="1">ROUND(T_Facebook_Ads[[#This Row],[reach]]*RANDBETWEEN(8,12)/10,0)</f>
        <v>10147</v>
      </c>
      <c r="M73" s="4">
        <f ca="1">T_Facebook_Ads[[#This Row],[frequency]]*RANDBETWEEN(8,12)/10</f>
        <v>1.452</v>
      </c>
      <c r="O73" s="3">
        <f t="shared" ca="1" si="8"/>
        <v>44927</v>
      </c>
      <c r="P73" s="4" t="s">
        <v>80</v>
      </c>
      <c r="Q73" s="4" t="s">
        <v>81</v>
      </c>
      <c r="R73" s="4" t="s">
        <v>82</v>
      </c>
      <c r="S73" s="4" t="s">
        <v>83</v>
      </c>
      <c r="T73" s="4">
        <f ca="1">ROUND(_Google_ads[[#This Row],[impressions]]*RANDBETWEEN(8,12)/10,0)</f>
        <v>31121</v>
      </c>
      <c r="U73" s="4">
        <f ca="1">ROUND(_Google_ads[[#This Row],[clicks]]*RANDBETWEEN(8,12)/10,0)</f>
        <v>700</v>
      </c>
      <c r="V73" s="4">
        <f ca="1">_Google_ads[[#This Row],[cost]]*RANDBETWEEN(8,12)/10</f>
        <v>548.56999999999994</v>
      </c>
      <c r="W73" s="4">
        <f ca="1">ROUND(_Google_ads[[#This Row],[conversions]]*RANDBETWEEN(8,12)/10,0)</f>
        <v>23</v>
      </c>
      <c r="X73" s="4">
        <f ca="1">ROUND(_Google_ads[[#This Row],[conversion_value]]*RANDBETWEEN(8,12)/10,0)</f>
        <v>855</v>
      </c>
      <c r="Y73" s="4">
        <f ca="1">_Google_ads[[#This Row],[ctr]]*RANDBETWEEN(8,12)/10</f>
        <v>1.7999999999999999E-2</v>
      </c>
      <c r="Z73" s="4">
        <f ca="1">_Google_ads[[#This Row],[avg_cpc]]*RANDBETWEEN(8,12)/10</f>
        <v>0.51200000000000001</v>
      </c>
      <c r="AA73" s="4">
        <f ca="1">ROUND(_Google_ads[[#This Row],[quality_score]]*RANDBETWEEN(8,12)/10,0)</f>
        <v>6</v>
      </c>
      <c r="AB73" s="4">
        <f ca="1">_Google_ads[[#This Row],[search_impression_share]]*RANDBETWEEN(8,12)/10</f>
        <v>0.32799999999999996</v>
      </c>
      <c r="AD73" s="3">
        <f t="shared" ca="1" si="9"/>
        <v>44929</v>
      </c>
      <c r="AE73" s="4" t="s">
        <v>104</v>
      </c>
      <c r="AF73" s="4" t="s">
        <v>105</v>
      </c>
      <c r="AG73" s="4" t="s">
        <v>106</v>
      </c>
      <c r="AH73" s="4" t="s">
        <v>107</v>
      </c>
      <c r="AI73" s="4">
        <f ca="1">ROUND(T_Tiktok_ads[[#This Row],[impressions]]*RANDBETWEEN(8,12)/10,0)</f>
        <v>103121</v>
      </c>
      <c r="AJ73" s="4">
        <f ca="1">ROUND(T_Tiktok_ads[[#This Row],[clicks]]*RANDBETWEEN(8,12)/10,0)</f>
        <v>2947</v>
      </c>
      <c r="AK73" s="4">
        <v>678.9</v>
      </c>
      <c r="AL73" s="4">
        <f ca="1">ROUND(T_Tiktok_ads[[#This Row],[conversions]]*RANDBETWEEN(8,12)/10,0)</f>
        <v>67</v>
      </c>
      <c r="AM73" s="4">
        <f ca="1">ROUND(T_Tiktok_ads[[#This Row],[video_views]]*RANDBETWEEN(8,12)/10,0)</f>
        <v>71387</v>
      </c>
      <c r="AN73" s="4">
        <f ca="1">ROUND(T_Tiktok_ads[[#This Row],[video_watch_25]]*RANDBETWEEN(8,12)/10,0)</f>
        <v>80681</v>
      </c>
      <c r="AO73" s="4">
        <f ca="1">ROUND(T_Tiktok_ads[[#This Row],[video_watch_50]]*RANDBETWEEN(8,12)/10,0)</f>
        <v>54281</v>
      </c>
      <c r="AP73" s="4">
        <f ca="1">ROUND(T_Tiktok_ads[[#This Row],[video_watch_75]]*RANDBETWEEN(8,12)/10,0)</f>
        <v>27387</v>
      </c>
      <c r="AQ73" s="4">
        <f ca="1">ROUND(T_Tiktok_ads[[#This Row],[video_watch_100]]*RANDBETWEEN(8,12)/10,0)</f>
        <v>18765</v>
      </c>
      <c r="AR73" s="4">
        <f ca="1">ROUND(T_Tiktok_ads[[#This Row],[likes]]*RANDBETWEEN(8,12)/10,0)</f>
        <v>4110</v>
      </c>
      <c r="AS73" s="4">
        <f ca="1">ROUND(T_Tiktok_ads[[#This Row],[shares]]*RANDBETWEEN(8,12)/10,0)</f>
        <v>987</v>
      </c>
      <c r="AT73" s="4">
        <f ca="1">ROUND(T_Tiktok_ads[[#This Row],[comments]]*RANDBETWEEN(8,12)/10,0)</f>
        <v>281</v>
      </c>
      <c r="AV73" s="5">
        <f t="shared" ca="1" si="6"/>
        <v>44952</v>
      </c>
      <c r="AW73">
        <f t="shared" ca="1" si="10"/>
        <v>4</v>
      </c>
      <c r="AX73">
        <f ca="1">ROUND(T_Facebook_Ads11[[#This Row],[impressions]]*RANDBETWEEN(8,12)/10,0)</f>
        <v>11257</v>
      </c>
      <c r="AY73">
        <f ca="1">ROUND(T_Facebook_Ads11[[#This Row],[clicks]]*RANDBETWEEN(8,12)/10,0)</f>
        <v>420</v>
      </c>
      <c r="AZ73">
        <f ca="1">T_Facebook_Ads11[[#This Row],[spend]]*RANDBETWEEN(8,12)/10</f>
        <v>144.50399999999999</v>
      </c>
      <c r="BA73">
        <f ca="1">ROUND(T_Facebook_Ads11[[#This Row],[conversions]]*RANDBETWEEN(8,12)/10,0)</f>
        <v>32</v>
      </c>
      <c r="BB73">
        <f ca="1">ROUND(T_Facebook_Ads11[[#This Row],[video_views]]*RANDBETWEEN(8,12)/10,0)</f>
        <v>1247</v>
      </c>
    </row>
    <row r="74" spans="1:54" ht="15.75" thickBot="1" x14ac:dyDescent="0.3">
      <c r="A74" s="3">
        <f t="shared" ca="1" si="7"/>
        <v>44943</v>
      </c>
      <c r="B74" s="4" t="s">
        <v>60</v>
      </c>
      <c r="C74" s="4" t="s">
        <v>61</v>
      </c>
      <c r="D74" s="4" t="s">
        <v>62</v>
      </c>
      <c r="E74" s="4" t="s">
        <v>63</v>
      </c>
      <c r="F74" s="4">
        <f ca="1">ROUND(T_Facebook_Ads[[#This Row],[impressions]]*RANDBETWEEN(8,12)/10,0)</f>
        <v>32890</v>
      </c>
      <c r="G74" s="4">
        <v>1178</v>
      </c>
      <c r="H74" s="4">
        <f ca="1">T_Facebook_Ads[[#This Row],[spend]]*RANDBETWEEN(8,12)/10</f>
        <v>154.07999999999998</v>
      </c>
      <c r="I74" s="4">
        <f ca="1">ROUND(T_Facebook_Ads[[#This Row],[conversions]]*RANDBETWEEN(8,12)/10,0)</f>
        <v>20</v>
      </c>
      <c r="J74" s="4">
        <f ca="1">ROUND(T_Facebook_Ads[[#This Row],[video_views]]*RANDBETWEEN(8,12)/10,0)</f>
        <v>3410</v>
      </c>
      <c r="K74" s="4">
        <f ca="1">T_Facebook_Ads[[#This Row],[engagement_rate]]*RANDBETWEEN(8,12)/10</f>
        <v>4.2959999999999998E-2</v>
      </c>
      <c r="L74" s="4">
        <f ca="1">ROUND(T_Facebook_Ads[[#This Row],[reach]]*RANDBETWEEN(8,12)/10,0)</f>
        <v>29957</v>
      </c>
      <c r="M74" s="4">
        <f ca="1">T_Facebook_Ads[[#This Row],[frequency]]*RANDBETWEEN(8,12)/10</f>
        <v>1.089</v>
      </c>
      <c r="O74" s="3">
        <f t="shared" ca="1" si="8"/>
        <v>44957</v>
      </c>
      <c r="P74" s="4" t="s">
        <v>84</v>
      </c>
      <c r="Q74" s="4" t="s">
        <v>85</v>
      </c>
      <c r="R74" s="4" t="s">
        <v>86</v>
      </c>
      <c r="S74" s="4" t="s">
        <v>87</v>
      </c>
      <c r="T74" s="4">
        <f ca="1">ROUND(_Google_ads[[#This Row],[impressions]]*RANDBETWEEN(8,12)/10,0)</f>
        <v>74814</v>
      </c>
      <c r="U74" s="4">
        <f ca="1">ROUND(_Google_ads[[#This Row],[clicks]]*RANDBETWEEN(8,12)/10,0)</f>
        <v>1989</v>
      </c>
      <c r="V74" s="4">
        <f ca="1">_Google_ads[[#This Row],[cost]]*RANDBETWEEN(8,12)/10</f>
        <v>438.4799999999999</v>
      </c>
      <c r="W74" s="4">
        <f ca="1">ROUND(_Google_ads[[#This Row],[conversions]]*RANDBETWEEN(8,12)/10,0)</f>
        <v>46</v>
      </c>
      <c r="X74" s="4">
        <f ca="1">ROUND(_Google_ads[[#This Row],[conversion_value]]*RANDBETWEEN(8,12)/10,0)</f>
        <v>2280</v>
      </c>
      <c r="Y74" s="4">
        <f ca="1">_Google_ads[[#This Row],[ctr]]*RANDBETWEEN(8,12)/10</f>
        <v>2.8709999999999996E-2</v>
      </c>
      <c r="Z74" s="4">
        <f ca="1">_Google_ads[[#This Row],[avg_cpc]]*RANDBETWEEN(8,12)/10</f>
        <v>0.16199999999999998</v>
      </c>
      <c r="AA74" s="4">
        <f ca="1">ROUND(_Google_ads[[#This Row],[quality_score]]*RANDBETWEEN(8,12)/10,0)</f>
        <v>6</v>
      </c>
      <c r="AB74" s="4">
        <f ca="1">_Google_ads[[#This Row],[search_impression_share]]*RANDBETWEEN(8,12)/10</f>
        <v>0.69299999999999995</v>
      </c>
      <c r="AD74" s="3">
        <f t="shared" ca="1" si="9"/>
        <v>44953</v>
      </c>
      <c r="AE74" s="4" t="s">
        <v>108</v>
      </c>
      <c r="AF74" s="4" t="s">
        <v>109</v>
      </c>
      <c r="AG74" s="4" t="s">
        <v>110</v>
      </c>
      <c r="AH74" s="4" t="s">
        <v>111</v>
      </c>
      <c r="AI74" s="4">
        <f ca="1">ROUND(T_Tiktok_ads[[#This Row],[impressions]]*RANDBETWEEN(8,12)/10,0)</f>
        <v>221357</v>
      </c>
      <c r="AJ74" s="4">
        <f ca="1">ROUND(T_Tiktok_ads[[#This Row],[clicks]]*RANDBETWEEN(8,12)/10,0)</f>
        <v>3123</v>
      </c>
      <c r="AK74" s="4">
        <v>374.5</v>
      </c>
      <c r="AL74" s="4">
        <f ca="1">ROUND(T_Tiktok_ads[[#This Row],[conversions]]*RANDBETWEEN(8,12)/10,0)</f>
        <v>29</v>
      </c>
      <c r="AM74" s="4">
        <f ca="1">ROUND(T_Tiktok_ads[[#This Row],[video_views]]*RANDBETWEEN(8,12)/10,0)</f>
        <v>142101</v>
      </c>
      <c r="AN74" s="4">
        <f ca="1">ROUND(T_Tiktok_ads[[#This Row],[video_watch_25]]*RANDBETWEEN(8,12)/10,0)</f>
        <v>109111</v>
      </c>
      <c r="AO74" s="4">
        <f ca="1">ROUND(T_Tiktok_ads[[#This Row],[video_watch_50]]*RANDBETWEEN(8,12)/10,0)</f>
        <v>105857</v>
      </c>
      <c r="AP74" s="4">
        <f ca="1">ROUND(T_Tiktok_ads[[#This Row],[video_watch_75]]*RANDBETWEEN(8,12)/10,0)</f>
        <v>61234</v>
      </c>
      <c r="AQ74" s="4">
        <f ca="1">ROUND(T_Tiktok_ads[[#This Row],[video_watch_100]]*RANDBETWEEN(8,12)/10,0)</f>
        <v>29965</v>
      </c>
      <c r="AR74" s="4">
        <f ca="1">ROUND(T_Tiktok_ads[[#This Row],[likes]]*RANDBETWEEN(8,12)/10,0)</f>
        <v>8080</v>
      </c>
      <c r="AS74" s="4">
        <f ca="1">ROUND(T_Tiktok_ads[[#This Row],[shares]]*RANDBETWEEN(8,12)/10,0)</f>
        <v>2237</v>
      </c>
      <c r="AT74" s="4">
        <f ca="1">ROUND(T_Tiktok_ads[[#This Row],[comments]]*RANDBETWEEN(8,12)/10,0)</f>
        <v>391</v>
      </c>
      <c r="AV74" s="5">
        <f t="shared" ca="1" si="6"/>
        <v>44931</v>
      </c>
      <c r="AW74">
        <f t="shared" ca="1" si="10"/>
        <v>7</v>
      </c>
      <c r="AX74">
        <f ca="1">ROUND(T_Facebook_Ads11[[#This Row],[impressions]]*RANDBETWEEN(8,12)/10,0)</f>
        <v>39468</v>
      </c>
      <c r="AY74">
        <f ca="1">ROUND(T_Facebook_Ads11[[#This Row],[clicks]]*RANDBETWEEN(8,12)/10,0)</f>
        <v>1178</v>
      </c>
      <c r="AZ74">
        <f ca="1">T_Facebook_Ads11[[#This Row],[spend]]*RANDBETWEEN(8,12)/10</f>
        <v>169.488</v>
      </c>
      <c r="BA74">
        <f ca="1">ROUND(T_Facebook_Ads11[[#This Row],[conversions]]*RANDBETWEEN(8,12)/10,0)</f>
        <v>22</v>
      </c>
      <c r="BB74">
        <f ca="1">ROUND(T_Facebook_Ads11[[#This Row],[video_views]]*RANDBETWEEN(8,12)/10,0)</f>
        <v>3069</v>
      </c>
    </row>
    <row r="75" spans="1:54" ht="15.75" thickBot="1" x14ac:dyDescent="0.3">
      <c r="A75" s="3">
        <f t="shared" ca="1" si="7"/>
        <v>44955</v>
      </c>
      <c r="B75" s="4" t="s">
        <v>64</v>
      </c>
      <c r="C75" s="4" t="s">
        <v>65</v>
      </c>
      <c r="D75" s="4" t="s">
        <v>66</v>
      </c>
      <c r="E75" s="4" t="s">
        <v>67</v>
      </c>
      <c r="F75" s="4">
        <f ca="1">ROUND(T_Facebook_Ads[[#This Row],[impressions]]*RANDBETWEEN(8,12)/10,0)</f>
        <v>68580</v>
      </c>
      <c r="G75" s="4">
        <v>223</v>
      </c>
      <c r="H75" s="4">
        <f ca="1">T_Facebook_Ads[[#This Row],[spend]]*RANDBETWEEN(8,12)/10</f>
        <v>91.559999999999988</v>
      </c>
      <c r="I75" s="4">
        <f ca="1">ROUND(T_Facebook_Ads[[#This Row],[conversions]]*RANDBETWEEN(8,12)/10,0)</f>
        <v>3</v>
      </c>
      <c r="J75" s="4">
        <f ca="1">ROUND(T_Facebook_Ads[[#This Row],[video_views]]*RANDBETWEEN(8,12)/10,0)</f>
        <v>37111</v>
      </c>
      <c r="K75" s="4">
        <f ca="1">T_Facebook_Ads[[#This Row],[engagement_rate]]*RANDBETWEEN(8,12)/10</f>
        <v>4.3200000000000001E-3</v>
      </c>
      <c r="L75" s="4">
        <f ca="1">ROUND(T_Facebook_Ads[[#This Row],[reach]]*RANDBETWEEN(8,12)/10,0)</f>
        <v>61880</v>
      </c>
      <c r="M75" s="4">
        <f ca="1">T_Facebook_Ads[[#This Row],[frequency]]*RANDBETWEEN(8,12)/10</f>
        <v>1.3199999999999998</v>
      </c>
      <c r="O75" s="3">
        <f t="shared" ca="1" si="8"/>
        <v>44927</v>
      </c>
      <c r="P75" s="4" t="s">
        <v>88</v>
      </c>
      <c r="Q75" s="4" t="s">
        <v>89</v>
      </c>
      <c r="R75" s="4" t="s">
        <v>90</v>
      </c>
      <c r="S75" s="4" t="s">
        <v>59</v>
      </c>
      <c r="T75" s="4">
        <f ca="1">ROUND(_Google_ads[[#This Row],[impressions]]*RANDBETWEEN(8,12)/10,0)</f>
        <v>118234</v>
      </c>
      <c r="U75" s="4">
        <f ca="1">ROUND(_Google_ads[[#This Row],[clicks]]*RANDBETWEEN(8,12)/10,0)</f>
        <v>338</v>
      </c>
      <c r="V75" s="4">
        <f ca="1">_Google_ads[[#This Row],[cost]]*RANDBETWEEN(8,12)/10</f>
        <v>92.960000000000008</v>
      </c>
      <c r="W75" s="4">
        <f ca="1">ROUND(_Google_ads[[#This Row],[conversions]]*RANDBETWEEN(8,12)/10,0)</f>
        <v>13</v>
      </c>
      <c r="X75" s="4">
        <f ca="1">ROUND(_Google_ads[[#This Row],[conversion_value]]*RANDBETWEEN(8,12)/10,0)</f>
        <v>605</v>
      </c>
      <c r="Y75" s="4">
        <f ca="1">_Google_ads[[#This Row],[ctr]]*RANDBETWEEN(8,12)/10</f>
        <v>4.3200000000000001E-3</v>
      </c>
      <c r="Z75" s="4">
        <f ca="1">_Google_ads[[#This Row],[avg_cpc]]*RANDBETWEEN(8,12)/10</f>
        <v>0.32400000000000001</v>
      </c>
      <c r="AA75" s="4">
        <f ca="1">ROUND(_Google_ads[[#This Row],[quality_score]]*RANDBETWEEN(8,12)/10,0)</f>
        <v>7</v>
      </c>
      <c r="AB75" s="4">
        <f ca="1">_Google_ads[[#This Row],[search_impression_share]]*RANDBETWEEN(8,12)/10</f>
        <v>0.25600000000000001</v>
      </c>
      <c r="AD75" s="3">
        <f t="shared" ca="1" si="9"/>
        <v>44946</v>
      </c>
      <c r="AE75" s="4" t="s">
        <v>112</v>
      </c>
      <c r="AF75" s="4" t="s">
        <v>113</v>
      </c>
      <c r="AG75" s="4" t="s">
        <v>114</v>
      </c>
      <c r="AH75" s="4" t="s">
        <v>115</v>
      </c>
      <c r="AI75" s="4">
        <f ca="1">ROUND(T_Tiktok_ads[[#This Row],[impressions]]*RANDBETWEEN(8,12)/10,0)</f>
        <v>294312</v>
      </c>
      <c r="AJ75" s="4">
        <f ca="1">ROUND(T_Tiktok_ads[[#This Row],[clicks]]*RANDBETWEEN(8,12)/10,0)</f>
        <v>4810</v>
      </c>
      <c r="AK75" s="4">
        <v>923.4</v>
      </c>
      <c r="AL75" s="4">
        <f ca="1">ROUND(T_Tiktok_ads[[#This Row],[conversions]]*RANDBETWEEN(8,12)/10,0)</f>
        <v>103</v>
      </c>
      <c r="AM75" s="4">
        <f ca="1">ROUND(T_Tiktok_ads[[#This Row],[video_views]]*RANDBETWEEN(8,12)/10,0)</f>
        <v>361481</v>
      </c>
      <c r="AN75" s="4">
        <f ca="1">ROUND(T_Tiktok_ads[[#This Row],[video_watch_25]]*RANDBETWEEN(8,12)/10,0)</f>
        <v>196542</v>
      </c>
      <c r="AO75" s="4">
        <f ca="1">ROUND(T_Tiktok_ads[[#This Row],[video_watch_50]]*RANDBETWEEN(8,12)/10,0)</f>
        <v>216468</v>
      </c>
      <c r="AP75" s="4">
        <f ca="1">ROUND(T_Tiktok_ads[[#This Row],[video_watch_75]]*RANDBETWEEN(8,12)/10,0)</f>
        <v>140234</v>
      </c>
      <c r="AQ75" s="4">
        <f ca="1">ROUND(T_Tiktok_ads[[#This Row],[video_watch_100]]*RANDBETWEEN(8,12)/10,0)</f>
        <v>84110</v>
      </c>
      <c r="AR75" s="4">
        <f ca="1">ROUND(T_Tiktok_ads[[#This Row],[likes]]*RANDBETWEEN(8,12)/10,0)</f>
        <v>19481</v>
      </c>
      <c r="AS75" s="4">
        <f ca="1">ROUND(T_Tiktok_ads[[#This Row],[shares]]*RANDBETWEEN(8,12)/10,0)</f>
        <v>4310</v>
      </c>
      <c r="AT75" s="4">
        <f ca="1">ROUND(T_Tiktok_ads[[#This Row],[comments]]*RANDBETWEEN(8,12)/10,0)</f>
        <v>1031</v>
      </c>
      <c r="AV75" s="5">
        <f t="shared" ca="1" si="6"/>
        <v>44955</v>
      </c>
      <c r="AW75">
        <f t="shared" ca="1" si="10"/>
        <v>8</v>
      </c>
      <c r="AX75">
        <f ca="1">ROUND(T_Facebook_Ads11[[#This Row],[impressions]]*RANDBETWEEN(8,12)/10,0)</f>
        <v>54864</v>
      </c>
      <c r="AY75">
        <f ca="1">ROUND(T_Facebook_Ads11[[#This Row],[clicks]]*RANDBETWEEN(8,12)/10,0)</f>
        <v>268</v>
      </c>
      <c r="AZ75">
        <f ca="1">T_Facebook_Ads11[[#This Row],[spend]]*RANDBETWEEN(8,12)/10</f>
        <v>100.71599999999998</v>
      </c>
      <c r="BA75">
        <f ca="1">ROUND(T_Facebook_Ads11[[#This Row],[conversions]]*RANDBETWEEN(8,12)/10,0)</f>
        <v>3</v>
      </c>
      <c r="BB75">
        <f ca="1">ROUND(T_Facebook_Ads11[[#This Row],[video_views]]*RANDBETWEEN(8,12)/10,0)</f>
        <v>44533</v>
      </c>
    </row>
    <row r="76" spans="1:54" ht="15.75" thickBot="1" x14ac:dyDescent="0.3">
      <c r="A76" s="3">
        <f t="shared" ca="1" si="7"/>
        <v>44932</v>
      </c>
      <c r="B76" s="4" t="s">
        <v>52</v>
      </c>
      <c r="C76" s="4" t="s">
        <v>53</v>
      </c>
      <c r="D76" s="4" t="s">
        <v>54</v>
      </c>
      <c r="E76" s="4" t="s">
        <v>55</v>
      </c>
      <c r="F76" s="4">
        <f ca="1">ROUND(T_Facebook_Ads[[#This Row],[impressions]]*RANDBETWEEN(8,12)/10,0)</f>
        <v>49757</v>
      </c>
      <c r="G76" s="4">
        <v>912</v>
      </c>
      <c r="H76" s="4">
        <f ca="1">T_Facebook_Ads[[#This Row],[spend]]*RANDBETWEEN(8,12)/10</f>
        <v>116.82000000000001</v>
      </c>
      <c r="I76" s="4">
        <f ca="1">ROUND(T_Facebook_Ads[[#This Row],[conversions]]*RANDBETWEEN(8,12)/10,0)</f>
        <v>15</v>
      </c>
      <c r="J76" s="4">
        <f ca="1">ROUND(T_Facebook_Ads[[#This Row],[video_views]]*RANDBETWEEN(8,12)/10,0)</f>
        <v>6587</v>
      </c>
      <c r="K76" s="4">
        <f ca="1">T_Facebook_Ads[[#This Row],[engagement_rate]]*RANDBETWEEN(8,12)/10</f>
        <v>1.6160000000000001E-2</v>
      </c>
      <c r="L76" s="4">
        <f ca="1">ROUND(T_Facebook_Ads[[#This Row],[reach]]*RANDBETWEEN(8,12)/10,0)</f>
        <v>30854</v>
      </c>
      <c r="M76" s="4">
        <f ca="1">T_Facebook_Ads[[#This Row],[frequency]]*RANDBETWEEN(8,12)/10</f>
        <v>1.4039999999999999</v>
      </c>
      <c r="O76" s="3">
        <f t="shared" ca="1" si="8"/>
        <v>44949</v>
      </c>
      <c r="P76" s="4" t="s">
        <v>76</v>
      </c>
      <c r="Q76" s="4" t="s">
        <v>77</v>
      </c>
      <c r="R76" s="4" t="s">
        <v>78</v>
      </c>
      <c r="S76" s="4" t="s">
        <v>79</v>
      </c>
      <c r="T76" s="4">
        <f ca="1">ROUND(_Google_ads[[#This Row],[impressions]]*RANDBETWEEN(8,12)/10,0)</f>
        <v>29081</v>
      </c>
      <c r="U76" s="4">
        <f ca="1">ROUND(_Google_ads[[#This Row],[clicks]]*RANDBETWEEN(8,12)/10,0)</f>
        <v>1140</v>
      </c>
      <c r="V76" s="4">
        <f ca="1">_Google_ads[[#This Row],[cost]]*RANDBETWEEN(8,12)/10</f>
        <v>289.43999999999994</v>
      </c>
      <c r="W76" s="4">
        <f ca="1">ROUND(_Google_ads[[#This Row],[conversions]]*RANDBETWEEN(8,12)/10,0)</f>
        <v>52</v>
      </c>
      <c r="X76" s="4">
        <f ca="1">ROUND(_Google_ads[[#This Row],[conversion_value]]*RANDBETWEEN(8,12)/10,0)</f>
        <v>2585</v>
      </c>
      <c r="Y76" s="4">
        <f ca="1">_Google_ads[[#This Row],[ctr]]*RANDBETWEEN(8,12)/10</f>
        <v>4.1840000000000002E-2</v>
      </c>
      <c r="Z76" s="4">
        <f ca="1">_Google_ads[[#This Row],[avg_cpc]]*RANDBETWEEN(8,12)/10</f>
        <v>0.20899999999999999</v>
      </c>
      <c r="AA76" s="4">
        <f ca="1">ROUND(_Google_ads[[#This Row],[quality_score]]*RANDBETWEEN(8,12)/10,0)</f>
        <v>10</v>
      </c>
      <c r="AB76" s="4">
        <f ca="1">_Google_ads[[#This Row],[search_impression_share]]*RANDBETWEEN(8,12)/10</f>
        <v>0.72799999999999998</v>
      </c>
      <c r="AD76" s="3">
        <f t="shared" ca="1" si="9"/>
        <v>44953</v>
      </c>
      <c r="AE76" s="4" t="s">
        <v>100</v>
      </c>
      <c r="AF76" s="4" t="s">
        <v>101</v>
      </c>
      <c r="AG76" s="4" t="s">
        <v>102</v>
      </c>
      <c r="AH76" s="4" t="s">
        <v>103</v>
      </c>
      <c r="AI76" s="4">
        <f ca="1">ROUND(T_Tiktok_ads[[#This Row],[impressions]]*RANDBETWEEN(8,12)/10,0)</f>
        <v>214312</v>
      </c>
      <c r="AJ76" s="4">
        <f ca="1">ROUND(T_Tiktok_ads[[#This Row],[clicks]]*RANDBETWEEN(8,12)/10,0)</f>
        <v>3945</v>
      </c>
      <c r="AK76" s="4">
        <v>523.4</v>
      </c>
      <c r="AL76" s="4">
        <f ca="1">ROUND(T_Tiktok_ads[[#This Row],[conversions]]*RANDBETWEEN(8,12)/10,0)</f>
        <v>36</v>
      </c>
      <c r="AM76" s="4">
        <f ca="1">ROUND(T_Tiktok_ads[[#This Row],[video_views]]*RANDBETWEEN(8,12)/10,0)</f>
        <v>243357</v>
      </c>
      <c r="AN76" s="4">
        <f ca="1">ROUND(T_Tiktok_ads[[#This Row],[video_watch_25]]*RANDBETWEEN(8,12)/10,0)</f>
        <v>173456</v>
      </c>
      <c r="AO76" s="4">
        <f ca="1">ROUND(T_Tiktok_ads[[#This Row],[video_watch_50]]*RANDBETWEEN(8,12)/10,0)</f>
        <v>109234</v>
      </c>
      <c r="AP76" s="4">
        <f ca="1">ROUND(T_Tiktok_ads[[#This Row],[video_watch_75]]*RANDBETWEEN(8,12)/10,0)</f>
        <v>88280</v>
      </c>
      <c r="AQ76" s="4">
        <f ca="1">ROUND(T_Tiktok_ads[[#This Row],[video_watch_100]]*RANDBETWEEN(8,12)/10,0)</f>
        <v>44311</v>
      </c>
      <c r="AR76" s="4">
        <f ca="1">ROUND(T_Tiktok_ads[[#This Row],[likes]]*RANDBETWEEN(8,12)/10,0)</f>
        <v>8810</v>
      </c>
      <c r="AS76" s="4">
        <f ca="1">ROUND(T_Tiktok_ads[[#This Row],[shares]]*RANDBETWEEN(8,12)/10,0)</f>
        <v>2897</v>
      </c>
      <c r="AT76" s="4">
        <f ca="1">ROUND(T_Tiktok_ads[[#This Row],[comments]]*RANDBETWEEN(8,12)/10,0)</f>
        <v>498</v>
      </c>
      <c r="AV76" s="5">
        <f t="shared" ca="1" si="6"/>
        <v>44950</v>
      </c>
      <c r="AW76">
        <f t="shared" ca="1" si="10"/>
        <v>2</v>
      </c>
      <c r="AX76">
        <f ca="1">ROUND(T_Facebook_Ads11[[#This Row],[impressions]]*RANDBETWEEN(8,12)/10,0)</f>
        <v>59708</v>
      </c>
      <c r="AY76">
        <f ca="1">ROUND(T_Facebook_Ads11[[#This Row],[clicks]]*RANDBETWEEN(8,12)/10,0)</f>
        <v>821</v>
      </c>
      <c r="AZ76">
        <f ca="1">T_Facebook_Ads11[[#This Row],[spend]]*RANDBETWEEN(8,12)/10</f>
        <v>105.13800000000001</v>
      </c>
      <c r="BA76">
        <f ca="1">ROUND(T_Facebook_Ads11[[#This Row],[conversions]]*RANDBETWEEN(8,12)/10,0)</f>
        <v>14</v>
      </c>
      <c r="BB76">
        <f ca="1">ROUND(T_Facebook_Ads11[[#This Row],[video_views]]*RANDBETWEEN(8,12)/10,0)</f>
        <v>5270</v>
      </c>
    </row>
    <row r="77" spans="1:54" ht="15.75" thickBot="1" x14ac:dyDescent="0.3">
      <c r="A77" s="3">
        <f t="shared" ca="1" si="7"/>
        <v>44956</v>
      </c>
      <c r="B77" s="4" t="s">
        <v>56</v>
      </c>
      <c r="C77" s="4" t="s">
        <v>57</v>
      </c>
      <c r="D77" s="4" t="s">
        <v>58</v>
      </c>
      <c r="E77" s="4" t="s">
        <v>59</v>
      </c>
      <c r="F77" s="4">
        <f ca="1">ROUND(T_Facebook_Ads[[#This Row],[impressions]]*RANDBETWEEN(8,12)/10,0)</f>
        <v>14947</v>
      </c>
      <c r="G77" s="4">
        <v>567</v>
      </c>
      <c r="H77" s="4">
        <f ca="1">T_Facebook_Ads[[#This Row],[spend]]*RANDBETWEEN(8,12)/10</f>
        <v>209.6</v>
      </c>
      <c r="I77" s="4">
        <f ca="1">ROUND(T_Facebook_Ads[[#This Row],[conversions]]*RANDBETWEEN(8,12)/10,0)</f>
        <v>40</v>
      </c>
      <c r="J77" s="4">
        <f ca="1">ROUND(T_Facebook_Ads[[#This Row],[video_views]]*RANDBETWEEN(8,12)/10,0)</f>
        <v>987</v>
      </c>
      <c r="K77" s="4">
        <f ca="1">T_Facebook_Ads[[#This Row],[engagement_rate]]*RANDBETWEEN(8,12)/10</f>
        <v>3.6400000000000002E-2</v>
      </c>
      <c r="L77" s="4">
        <f ca="1">ROUND(T_Facebook_Ads[[#This Row],[reach]]*RANDBETWEEN(8,12)/10,0)</f>
        <v>11851</v>
      </c>
      <c r="M77" s="4">
        <f ca="1">T_Facebook_Ads[[#This Row],[frequency]]*RANDBETWEEN(8,12)/10</f>
        <v>1.512</v>
      </c>
      <c r="O77" s="3">
        <f t="shared" ca="1" si="8"/>
        <v>44953</v>
      </c>
      <c r="P77" s="4" t="s">
        <v>80</v>
      </c>
      <c r="Q77" s="4" t="s">
        <v>81</v>
      </c>
      <c r="R77" s="4" t="s">
        <v>82</v>
      </c>
      <c r="S77" s="4" t="s">
        <v>83</v>
      </c>
      <c r="T77" s="4">
        <f ca="1">ROUND(_Google_ads[[#This Row],[impressions]]*RANDBETWEEN(8,12)/10,0)</f>
        <v>38601</v>
      </c>
      <c r="U77" s="4">
        <f ca="1">ROUND(_Google_ads[[#This Row],[clicks]]*RANDBETWEEN(8,12)/10,0)</f>
        <v>1014</v>
      </c>
      <c r="V77" s="4">
        <f ca="1">_Google_ads[[#This Row],[cost]]*RANDBETWEEN(8,12)/10</f>
        <v>439.43999999999994</v>
      </c>
      <c r="W77" s="4">
        <f ca="1">ROUND(_Google_ads[[#This Row],[conversions]]*RANDBETWEEN(8,12)/10,0)</f>
        <v>18</v>
      </c>
      <c r="X77" s="4">
        <f ca="1">ROUND(_Google_ads[[#This Row],[conversion_value]]*RANDBETWEEN(8,12)/10,0)</f>
        <v>880</v>
      </c>
      <c r="Y77" s="4">
        <f ca="1">_Google_ads[[#This Row],[ctr]]*RANDBETWEEN(8,12)/10</f>
        <v>1.9699999999999999E-2</v>
      </c>
      <c r="Z77" s="4">
        <f ca="1">_Google_ads[[#This Row],[avg_cpc]]*RANDBETWEEN(8,12)/10</f>
        <v>0.65</v>
      </c>
      <c r="AA77" s="4">
        <f ca="1">ROUND(_Google_ads[[#This Row],[quality_score]]*RANDBETWEEN(8,12)/10,0)</f>
        <v>8</v>
      </c>
      <c r="AB77" s="4">
        <f ca="1">_Google_ads[[#This Row],[search_impression_share]]*RANDBETWEEN(8,12)/10</f>
        <v>0.39600000000000002</v>
      </c>
      <c r="AD77" s="3">
        <f t="shared" ca="1" si="9"/>
        <v>44949</v>
      </c>
      <c r="AE77" s="4" t="s">
        <v>104</v>
      </c>
      <c r="AF77" s="4" t="s">
        <v>105</v>
      </c>
      <c r="AG77" s="4" t="s">
        <v>106</v>
      </c>
      <c r="AH77" s="4" t="s">
        <v>107</v>
      </c>
      <c r="AI77" s="4">
        <f ca="1">ROUND(T_Tiktok_ads[[#This Row],[impressions]]*RANDBETWEEN(8,12)/10,0)</f>
        <v>119121</v>
      </c>
      <c r="AJ77" s="4">
        <f ca="1">ROUND(T_Tiktok_ads[[#This Row],[clicks]]*RANDBETWEEN(8,12)/10,0)</f>
        <v>2551</v>
      </c>
      <c r="AK77" s="4">
        <v>767.5</v>
      </c>
      <c r="AL77" s="4">
        <f ca="1">ROUND(T_Tiktok_ads[[#This Row],[conversions]]*RANDBETWEEN(8,12)/10,0)</f>
        <v>85</v>
      </c>
      <c r="AM77" s="4">
        <f ca="1">ROUND(T_Tiktok_ads[[#This Row],[video_views]]*RANDBETWEEN(8,12)/10,0)</f>
        <v>113802</v>
      </c>
      <c r="AN77" s="4">
        <f ca="1">ROUND(T_Tiktok_ads[[#This Row],[video_watch_25]]*RANDBETWEEN(8,12)/10,0)</f>
        <v>68611</v>
      </c>
      <c r="AO77" s="4">
        <f ca="1">ROUND(T_Tiktok_ads[[#This Row],[video_watch_50]]*RANDBETWEEN(8,12)/10,0)</f>
        <v>46111</v>
      </c>
      <c r="AP77" s="4">
        <f ca="1">ROUND(T_Tiktok_ads[[#This Row],[video_watch_75]]*RANDBETWEEN(8,12)/10,0)</f>
        <v>42424</v>
      </c>
      <c r="AQ77" s="4">
        <f ca="1">ROUND(T_Tiktok_ads[[#This Row],[video_watch_100]]*RANDBETWEEN(8,12)/10,0)</f>
        <v>28368</v>
      </c>
      <c r="AR77" s="4">
        <f ca="1">ROUND(T_Tiktok_ads[[#This Row],[likes]]*RANDBETWEEN(8,12)/10,0)</f>
        <v>6148</v>
      </c>
      <c r="AS77" s="4">
        <f ca="1">ROUND(T_Tiktok_ads[[#This Row],[shares]]*RANDBETWEEN(8,12)/10,0)</f>
        <v>1456</v>
      </c>
      <c r="AT77" s="4">
        <f ca="1">ROUND(T_Tiktok_ads[[#This Row],[comments]]*RANDBETWEEN(8,12)/10,0)</f>
        <v>278</v>
      </c>
      <c r="AV77" s="5">
        <f t="shared" ca="1" si="6"/>
        <v>44930</v>
      </c>
      <c r="AW77">
        <f t="shared" ca="1" si="10"/>
        <v>8</v>
      </c>
      <c r="AX77">
        <f ca="1">ROUND(T_Facebook_Ads11[[#This Row],[impressions]]*RANDBETWEEN(8,12)/10,0)</f>
        <v>11958</v>
      </c>
      <c r="AY77">
        <f ca="1">ROUND(T_Facebook_Ads11[[#This Row],[clicks]]*RANDBETWEEN(8,12)/10,0)</f>
        <v>624</v>
      </c>
      <c r="AZ77">
        <f ca="1">T_Facebook_Ads11[[#This Row],[spend]]*RANDBETWEEN(8,12)/10</f>
        <v>230.56</v>
      </c>
      <c r="BA77">
        <f ca="1">ROUND(T_Facebook_Ads11[[#This Row],[conversions]]*RANDBETWEEN(8,12)/10,0)</f>
        <v>48</v>
      </c>
      <c r="BB77">
        <f ca="1">ROUND(T_Facebook_Ads11[[#This Row],[video_views]]*RANDBETWEEN(8,12)/10,0)</f>
        <v>790</v>
      </c>
    </row>
    <row r="78" spans="1:54" ht="15.75" thickBot="1" x14ac:dyDescent="0.3">
      <c r="A78" s="3">
        <f t="shared" ca="1" si="7"/>
        <v>44940</v>
      </c>
      <c r="B78" s="4" t="s">
        <v>60</v>
      </c>
      <c r="C78" s="4" t="s">
        <v>61</v>
      </c>
      <c r="D78" s="4" t="s">
        <v>62</v>
      </c>
      <c r="E78" s="4" t="s">
        <v>63</v>
      </c>
      <c r="F78" s="4">
        <f ca="1">ROUND(T_Facebook_Ads[[#This Row],[impressions]]*RANDBETWEEN(8,12)/10,0)</f>
        <v>38635</v>
      </c>
      <c r="G78" s="4">
        <v>1267</v>
      </c>
      <c r="H78" s="4">
        <f ca="1">T_Facebook_Ads[[#This Row],[spend]]*RANDBETWEEN(8,12)/10</f>
        <v>213.95</v>
      </c>
      <c r="I78" s="4">
        <f ca="1">ROUND(T_Facebook_Ads[[#This Row],[conversions]]*RANDBETWEEN(8,12)/10,0)</f>
        <v>29</v>
      </c>
      <c r="J78" s="4">
        <f ca="1">ROUND(T_Facebook_Ads[[#This Row],[video_views]]*RANDBETWEEN(8,12)/10,0)</f>
        <v>3476</v>
      </c>
      <c r="K78" s="4">
        <f ca="1">T_Facebook_Ads[[#This Row],[engagement_rate]]*RANDBETWEEN(8,12)/10</f>
        <v>4.3320000000000004E-2</v>
      </c>
      <c r="L78" s="4">
        <f ca="1">ROUND(T_Facebook_Ads[[#This Row],[reach]]*RANDBETWEEN(8,12)/10,0)</f>
        <v>34948</v>
      </c>
      <c r="M78" s="4">
        <f ca="1">T_Facebook_Ads[[#This Row],[frequency]]*RANDBETWEEN(8,12)/10</f>
        <v>1.089</v>
      </c>
      <c r="O78" s="3">
        <f t="shared" ca="1" si="8"/>
        <v>44937</v>
      </c>
      <c r="P78" s="4" t="s">
        <v>84</v>
      </c>
      <c r="Q78" s="4" t="s">
        <v>85</v>
      </c>
      <c r="R78" s="4" t="s">
        <v>86</v>
      </c>
      <c r="S78" s="4" t="s">
        <v>87</v>
      </c>
      <c r="T78" s="4">
        <f ca="1">ROUND(_Google_ads[[#This Row],[impressions]]*RANDBETWEEN(8,12)/10,0)</f>
        <v>60110</v>
      </c>
      <c r="U78" s="4">
        <f ca="1">ROUND(_Google_ads[[#This Row],[clicks]]*RANDBETWEEN(8,12)/10,0)</f>
        <v>2668</v>
      </c>
      <c r="V78" s="4">
        <f ca="1">_Google_ads[[#This Row],[cost]]*RANDBETWEEN(8,12)/10</f>
        <v>407.9</v>
      </c>
      <c r="W78" s="4">
        <f ca="1">ROUND(_Google_ads[[#This Row],[conversions]]*RANDBETWEEN(8,12)/10,0)</f>
        <v>64</v>
      </c>
      <c r="X78" s="4">
        <f ca="1">ROUND(_Google_ads[[#This Row],[conversion_value]]*RANDBETWEEN(8,12)/10,0)</f>
        <v>3200</v>
      </c>
      <c r="Y78" s="4">
        <f ca="1">_Google_ads[[#This Row],[ctr]]*RANDBETWEEN(8,12)/10</f>
        <v>3.9960000000000009E-2</v>
      </c>
      <c r="Z78" s="4">
        <f ca="1">_Google_ads[[#This Row],[avg_cpc]]*RANDBETWEEN(8,12)/10</f>
        <v>0.16199999999999998</v>
      </c>
      <c r="AA78" s="4">
        <f ca="1">ROUND(_Google_ads[[#This Row],[quality_score]]*RANDBETWEEN(8,12)/10,0)</f>
        <v>8</v>
      </c>
      <c r="AB78" s="4">
        <f ca="1">_Google_ads[[#This Row],[search_impression_share]]*RANDBETWEEN(8,12)/10</f>
        <v>0.59400000000000008</v>
      </c>
      <c r="AD78" s="3">
        <f t="shared" ca="1" si="9"/>
        <v>44937</v>
      </c>
      <c r="AE78" s="4" t="s">
        <v>108</v>
      </c>
      <c r="AF78" s="4" t="s">
        <v>109</v>
      </c>
      <c r="AG78" s="4" t="s">
        <v>110</v>
      </c>
      <c r="AH78" s="4" t="s">
        <v>111</v>
      </c>
      <c r="AI78" s="4">
        <f ca="1">ROUND(T_Tiktok_ads[[#This Row],[impressions]]*RANDBETWEEN(8,12)/10,0)</f>
        <v>274681</v>
      </c>
      <c r="AJ78" s="4">
        <f ca="1">ROUND(T_Tiktok_ads[[#This Row],[clicks]]*RANDBETWEEN(8,12)/10,0)</f>
        <v>2907</v>
      </c>
      <c r="AK78" s="4">
        <v>441.9</v>
      </c>
      <c r="AL78" s="4">
        <f ca="1">ROUND(T_Tiktok_ads[[#This Row],[conversions]]*RANDBETWEEN(8,12)/10,0)</f>
        <v>28</v>
      </c>
      <c r="AM78" s="4">
        <f ca="1">ROUND(T_Tiktok_ads[[#This Row],[video_views]]*RANDBETWEEN(8,12)/10,0)</f>
        <v>182345</v>
      </c>
      <c r="AN78" s="4">
        <f ca="1">ROUND(T_Tiktok_ads[[#This Row],[video_watch_25]]*RANDBETWEEN(8,12)/10,0)</f>
        <v>124101</v>
      </c>
      <c r="AO78" s="4">
        <f ca="1">ROUND(T_Tiktok_ads[[#This Row],[video_watch_50]]*RANDBETWEEN(8,12)/10,0)</f>
        <v>130681</v>
      </c>
      <c r="AP78" s="4">
        <f ca="1">ROUND(T_Tiktok_ads[[#This Row],[video_watch_75]]*RANDBETWEEN(8,12)/10,0)</f>
        <v>84680</v>
      </c>
      <c r="AQ78" s="4">
        <f ca="1">ROUND(T_Tiktok_ads[[#This Row],[video_watch_100]]*RANDBETWEEN(8,12)/10,0)</f>
        <v>38510</v>
      </c>
      <c r="AR78" s="4">
        <f ca="1">ROUND(T_Tiktok_ads[[#This Row],[likes]]*RANDBETWEEN(8,12)/10,0)</f>
        <v>6765</v>
      </c>
      <c r="AS78" s="4">
        <f ca="1">ROUND(T_Tiktok_ads[[#This Row],[shares]]*RANDBETWEEN(8,12)/10,0)</f>
        <v>2301</v>
      </c>
      <c r="AT78" s="4">
        <f ca="1">ROUND(T_Tiktok_ads[[#This Row],[comments]]*RANDBETWEEN(8,12)/10,0)</f>
        <v>491</v>
      </c>
      <c r="AV78" s="5">
        <f t="shared" ca="1" si="6"/>
        <v>44934</v>
      </c>
      <c r="AW78">
        <f t="shared" ca="1" si="10"/>
        <v>1</v>
      </c>
      <c r="AX78">
        <f ca="1">ROUND(T_Facebook_Ads11[[#This Row],[impressions]]*RANDBETWEEN(8,12)/10,0)</f>
        <v>46362</v>
      </c>
      <c r="AY78">
        <f ca="1">ROUND(T_Facebook_Ads11[[#This Row],[clicks]]*RANDBETWEEN(8,12)/10,0)</f>
        <v>1014</v>
      </c>
      <c r="AZ78">
        <f ca="1">T_Facebook_Ads11[[#This Row],[spend]]*RANDBETWEEN(8,12)/10</f>
        <v>171.16</v>
      </c>
      <c r="BA78">
        <f ca="1">ROUND(T_Facebook_Ads11[[#This Row],[conversions]]*RANDBETWEEN(8,12)/10,0)</f>
        <v>29</v>
      </c>
      <c r="BB78">
        <f ca="1">ROUND(T_Facebook_Ads11[[#This Row],[video_views]]*RANDBETWEEN(8,12)/10,0)</f>
        <v>3824</v>
      </c>
    </row>
    <row r="79" spans="1:54" ht="15.75" thickBot="1" x14ac:dyDescent="0.3">
      <c r="A79" s="3">
        <f t="shared" ca="1" si="7"/>
        <v>44937</v>
      </c>
      <c r="B79" s="4" t="s">
        <v>64</v>
      </c>
      <c r="C79" s="4" t="s">
        <v>65</v>
      </c>
      <c r="D79" s="4" t="s">
        <v>66</v>
      </c>
      <c r="E79" s="4" t="s">
        <v>67</v>
      </c>
      <c r="F79" s="4">
        <f ca="1">ROUND(T_Facebook_Ads[[#This Row],[impressions]]*RANDBETWEEN(8,12)/10,0)</f>
        <v>53431</v>
      </c>
      <c r="G79" s="4">
        <v>245</v>
      </c>
      <c r="H79" s="4">
        <f ca="1">T_Facebook_Ads[[#This Row],[spend]]*RANDBETWEEN(8,12)/10</f>
        <v>67.760000000000005</v>
      </c>
      <c r="I79" s="4">
        <f ca="1">ROUND(T_Facebook_Ads[[#This Row],[conversions]]*RANDBETWEEN(8,12)/10,0)</f>
        <v>5</v>
      </c>
      <c r="J79" s="4">
        <f ca="1">ROUND(T_Facebook_Ads[[#This Row],[video_views]]*RANDBETWEEN(8,12)/10,0)</f>
        <v>35654</v>
      </c>
      <c r="K79" s="4">
        <f ca="1">T_Facebook_Ads[[#This Row],[engagement_rate]]*RANDBETWEEN(8,12)/10</f>
        <v>4.0699999999999998E-3</v>
      </c>
      <c r="L79" s="4">
        <f ca="1">ROUND(T_Facebook_Ads[[#This Row],[reach]]*RANDBETWEEN(8,12)/10,0)</f>
        <v>65868</v>
      </c>
      <c r="M79" s="4">
        <f ca="1">T_Facebook_Ads[[#This Row],[frequency]]*RANDBETWEEN(8,12)/10</f>
        <v>1.464</v>
      </c>
      <c r="O79" s="3">
        <f t="shared" ca="1" si="8"/>
        <v>44936</v>
      </c>
      <c r="P79" s="4" t="s">
        <v>88</v>
      </c>
      <c r="Q79" s="4" t="s">
        <v>89</v>
      </c>
      <c r="R79" s="4" t="s">
        <v>90</v>
      </c>
      <c r="S79" s="4" t="s">
        <v>59</v>
      </c>
      <c r="T79" s="4">
        <f ca="1">ROUND(_Google_ads[[#This Row],[impressions]]*RANDBETWEEN(8,12)/10,0)</f>
        <v>153468</v>
      </c>
      <c r="U79" s="4">
        <f ca="1">ROUND(_Google_ads[[#This Row],[clicks]]*RANDBETWEEN(8,12)/10,0)</f>
        <v>502</v>
      </c>
      <c r="V79" s="4">
        <f ca="1">_Google_ads[[#This Row],[cost]]*RANDBETWEEN(8,12)/10</f>
        <v>113.03999999999999</v>
      </c>
      <c r="W79" s="4">
        <f ca="1">ROUND(_Google_ads[[#This Row],[conversions]]*RANDBETWEEN(8,12)/10,0)</f>
        <v>10</v>
      </c>
      <c r="X79" s="4">
        <f ca="1">ROUND(_Google_ads[[#This Row],[conversion_value]]*RANDBETWEEN(8,12)/10,0)</f>
        <v>520</v>
      </c>
      <c r="Y79" s="4">
        <f ca="1">_Google_ads[[#This Row],[ctr]]*RANDBETWEEN(8,12)/10</f>
        <v>3.2399999999999998E-3</v>
      </c>
      <c r="Z79" s="4">
        <f ca="1">_Google_ads[[#This Row],[avg_cpc]]*RANDBETWEEN(8,12)/10</f>
        <v>0.308</v>
      </c>
      <c r="AA79" s="4">
        <f ca="1">ROUND(_Google_ads[[#This Row],[quality_score]]*RANDBETWEEN(8,12)/10,0)</f>
        <v>6</v>
      </c>
      <c r="AB79" s="4">
        <f ca="1">_Google_ads[[#This Row],[search_impression_share]]*RANDBETWEEN(8,12)/10</f>
        <v>0.40800000000000003</v>
      </c>
      <c r="AD79" s="3">
        <f t="shared" ca="1" si="9"/>
        <v>44931</v>
      </c>
      <c r="AE79" s="4" t="s">
        <v>112</v>
      </c>
      <c r="AF79" s="4" t="s">
        <v>113</v>
      </c>
      <c r="AG79" s="4" t="s">
        <v>114</v>
      </c>
      <c r="AH79" s="4" t="s">
        <v>115</v>
      </c>
      <c r="AI79" s="4">
        <f ca="1">ROUND(T_Tiktok_ads[[#This Row],[impressions]]*RANDBETWEEN(8,12)/10,0)</f>
        <v>438424</v>
      </c>
      <c r="AJ79" s="4">
        <f ca="1">ROUND(T_Tiktok_ads[[#This Row],[clicks]]*RANDBETWEEN(8,12)/10,0)</f>
        <v>5881</v>
      </c>
      <c r="AK79" s="4">
        <v>998.7</v>
      </c>
      <c r="AL79" s="4">
        <f ca="1">ROUND(T_Tiktok_ads[[#This Row],[conversions]]*RANDBETWEEN(8,12)/10,0)</f>
        <v>98</v>
      </c>
      <c r="AM79" s="4">
        <f ca="1">ROUND(T_Tiktok_ads[[#This Row],[video_views]]*RANDBETWEEN(8,12)/10,0)</f>
        <v>299111</v>
      </c>
      <c r="AN79" s="4">
        <f ca="1">ROUND(T_Tiktok_ads[[#This Row],[video_watch_25]]*RANDBETWEEN(8,12)/10,0)</f>
        <v>321468</v>
      </c>
      <c r="AO79" s="4">
        <f ca="1">ROUND(T_Tiktok_ads[[#This Row],[video_watch_50]]*RANDBETWEEN(8,12)/10,0)</f>
        <v>193110</v>
      </c>
      <c r="AP79" s="4">
        <f ca="1">ROUND(T_Tiktok_ads[[#This Row],[video_watch_75]]*RANDBETWEEN(8,12)/10,0)</f>
        <v>181481</v>
      </c>
      <c r="AQ79" s="4">
        <f ca="1">ROUND(T_Tiktok_ads[[#This Row],[video_watch_100]]*RANDBETWEEN(8,12)/10,0)</f>
        <v>99567</v>
      </c>
      <c r="AR79" s="4">
        <f ca="1">ROUND(T_Tiktok_ads[[#This Row],[likes]]*RANDBETWEEN(8,12)/10,0)</f>
        <v>15980</v>
      </c>
      <c r="AS79" s="4">
        <f ca="1">ROUND(T_Tiktok_ads[[#This Row],[shares]]*RANDBETWEEN(8,12)/10,0)</f>
        <v>4010</v>
      </c>
      <c r="AT79" s="4">
        <f ca="1">ROUND(T_Tiktok_ads[[#This Row],[comments]]*RANDBETWEEN(8,12)/10,0)</f>
        <v>1111</v>
      </c>
      <c r="AV79" s="5">
        <f t="shared" ca="1" si="6"/>
        <v>44951</v>
      </c>
      <c r="AW79">
        <f t="shared" ca="1" si="10"/>
        <v>3</v>
      </c>
      <c r="AX79">
        <f ca="1">ROUND(T_Facebook_Ads11[[#This Row],[impressions]]*RANDBETWEEN(8,12)/10,0)</f>
        <v>58774</v>
      </c>
      <c r="AY79">
        <f ca="1">ROUND(T_Facebook_Ads11[[#This Row],[clicks]]*RANDBETWEEN(8,12)/10,0)</f>
        <v>294</v>
      </c>
      <c r="AZ79">
        <f ca="1">T_Facebook_Ads11[[#This Row],[spend]]*RANDBETWEEN(8,12)/10</f>
        <v>60.984000000000002</v>
      </c>
      <c r="BA79">
        <f ca="1">ROUND(T_Facebook_Ads11[[#This Row],[conversions]]*RANDBETWEEN(8,12)/10,0)</f>
        <v>5</v>
      </c>
      <c r="BB79">
        <f ca="1">ROUND(T_Facebook_Ads11[[#This Row],[video_views]]*RANDBETWEEN(8,12)/10,0)</f>
        <v>32089</v>
      </c>
    </row>
    <row r="80" spans="1:54" ht="15.75" thickBot="1" x14ac:dyDescent="0.3">
      <c r="A80" s="3">
        <f t="shared" ca="1" si="7"/>
        <v>44945</v>
      </c>
      <c r="B80" s="4" t="s">
        <v>52</v>
      </c>
      <c r="C80" s="4" t="s">
        <v>53</v>
      </c>
      <c r="D80" s="4" t="s">
        <v>54</v>
      </c>
      <c r="E80" s="4" t="s">
        <v>55</v>
      </c>
      <c r="F80" s="4">
        <f ca="1">ROUND(T_Facebook_Ads[[#This Row],[impressions]]*RANDBETWEEN(8,12)/10,0)</f>
        <v>53424</v>
      </c>
      <c r="G80" s="4">
        <v>989</v>
      </c>
      <c r="H80" s="4">
        <f ca="1">T_Facebook_Ads[[#This Row],[spend]]*RANDBETWEEN(8,12)/10</f>
        <v>168.36</v>
      </c>
      <c r="I80" s="4">
        <f ca="1">ROUND(T_Facebook_Ads[[#This Row],[conversions]]*RANDBETWEEN(8,12)/10,0)</f>
        <v>14</v>
      </c>
      <c r="J80" s="4">
        <f ca="1">ROUND(T_Facebook_Ads[[#This Row],[video_views]]*RANDBETWEEN(8,12)/10,0)</f>
        <v>10734</v>
      </c>
      <c r="K80" s="4">
        <f ca="1">T_Facebook_Ads[[#This Row],[engagement_rate]]*RANDBETWEEN(8,12)/10</f>
        <v>2.4480000000000002E-2</v>
      </c>
      <c r="L80" s="4">
        <f ca="1">ROUND(T_Facebook_Ads[[#This Row],[reach]]*RANDBETWEEN(8,12)/10,0)</f>
        <v>36410</v>
      </c>
      <c r="M80" s="4">
        <f ca="1">T_Facebook_Ads[[#This Row],[frequency]]*RANDBETWEEN(8,12)/10</f>
        <v>0.96</v>
      </c>
      <c r="O80" s="3">
        <f t="shared" ca="1" si="8"/>
        <v>44936</v>
      </c>
      <c r="P80" s="4" t="s">
        <v>76</v>
      </c>
      <c r="Q80" s="4" t="s">
        <v>77</v>
      </c>
      <c r="R80" s="4" t="s">
        <v>78</v>
      </c>
      <c r="S80" s="4" t="s">
        <v>79</v>
      </c>
      <c r="T80" s="4">
        <f ca="1">ROUND(_Google_ads[[#This Row],[impressions]]*RANDBETWEEN(8,12)/10,0)</f>
        <v>25678</v>
      </c>
      <c r="U80" s="4">
        <f ca="1">ROUND(_Google_ads[[#This Row],[clicks]]*RANDBETWEEN(8,12)/10,0)</f>
        <v>1492</v>
      </c>
      <c r="V80" s="4">
        <f ca="1">_Google_ads[[#This Row],[cost]]*RANDBETWEEN(8,12)/10</f>
        <v>259.39999999999998</v>
      </c>
      <c r="W80" s="4">
        <f ca="1">ROUND(_Google_ads[[#This Row],[conversions]]*RANDBETWEEN(8,12)/10,0)</f>
        <v>56</v>
      </c>
      <c r="X80" s="4">
        <f ca="1">ROUND(_Google_ads[[#This Row],[conversion_value]]*RANDBETWEEN(8,12)/10,0)</f>
        <v>2040</v>
      </c>
      <c r="Y80" s="4">
        <f ca="1">_Google_ads[[#This Row],[ctr]]*RANDBETWEEN(8,12)/10</f>
        <v>4.224E-2</v>
      </c>
      <c r="Z80" s="4">
        <f ca="1">_Google_ads[[#This Row],[avg_cpc]]*RANDBETWEEN(8,12)/10</f>
        <v>0.20899999999999999</v>
      </c>
      <c r="AA80" s="4">
        <f ca="1">ROUND(_Google_ads[[#This Row],[quality_score]]*RANDBETWEEN(8,12)/10,0)</f>
        <v>8</v>
      </c>
      <c r="AB80" s="4">
        <f ca="1">_Google_ads[[#This Row],[search_impression_share]]*RANDBETWEEN(8,12)/10</f>
        <v>0.92000000000000015</v>
      </c>
      <c r="AD80" s="3">
        <f t="shared" ca="1" si="9"/>
        <v>44944</v>
      </c>
      <c r="AE80" s="4" t="s">
        <v>100</v>
      </c>
      <c r="AF80" s="4" t="s">
        <v>101</v>
      </c>
      <c r="AG80" s="4" t="s">
        <v>102</v>
      </c>
      <c r="AH80" s="4" t="s">
        <v>103</v>
      </c>
      <c r="AI80" s="4">
        <f ca="1">ROUND(T_Tiktok_ads[[#This Row],[impressions]]*RANDBETWEEN(8,12)/10,0)</f>
        <v>260111</v>
      </c>
      <c r="AJ80" s="4">
        <f ca="1">ROUND(T_Tiktok_ads[[#This Row],[clicks]]*RANDBETWEEN(8,12)/10,0)</f>
        <v>3387</v>
      </c>
      <c r="AK80" s="4">
        <v>556.70000000000005</v>
      </c>
      <c r="AL80" s="4">
        <f ca="1">ROUND(T_Tiktok_ads[[#This Row],[conversions]]*RANDBETWEEN(8,12)/10,0)</f>
        <v>47</v>
      </c>
      <c r="AM80" s="4">
        <f ca="1">ROUND(T_Tiktok_ads[[#This Row],[video_views]]*RANDBETWEEN(8,12)/10,0)</f>
        <v>258024</v>
      </c>
      <c r="AN80" s="4">
        <f ca="1">ROUND(T_Tiktok_ads[[#This Row],[video_watch_25]]*RANDBETWEEN(8,12)/10,0)</f>
        <v>164111</v>
      </c>
      <c r="AO80" s="4">
        <f ca="1">ROUND(T_Tiktok_ads[[#This Row],[video_watch_50]]*RANDBETWEEN(8,12)/10,0)</f>
        <v>137480</v>
      </c>
      <c r="AP80" s="4">
        <f ca="1">ROUND(T_Tiktok_ads[[#This Row],[video_watch_75]]*RANDBETWEEN(8,12)/10,0)</f>
        <v>77234</v>
      </c>
      <c r="AQ80" s="4">
        <f ca="1">ROUND(T_Tiktok_ads[[#This Row],[video_watch_100]]*RANDBETWEEN(8,12)/10,0)</f>
        <v>56357</v>
      </c>
      <c r="AR80" s="4">
        <f ca="1">ROUND(T_Tiktok_ads[[#This Row],[likes]]*RANDBETWEEN(8,12)/10,0)</f>
        <v>10345</v>
      </c>
      <c r="AS80" s="4">
        <f ca="1">ROUND(T_Tiktok_ads[[#This Row],[shares]]*RANDBETWEEN(8,12)/10,0)</f>
        <v>2510</v>
      </c>
      <c r="AT80" s="4">
        <f ca="1">ROUND(T_Tiktok_ads[[#This Row],[comments]]*RANDBETWEEN(8,12)/10,0)</f>
        <v>722</v>
      </c>
      <c r="AV80" s="5">
        <f t="shared" ca="1" si="6"/>
        <v>44943</v>
      </c>
      <c r="AW80">
        <f t="shared" ca="1" si="10"/>
        <v>7</v>
      </c>
      <c r="AX80">
        <f ca="1">ROUND(T_Facebook_Ads11[[#This Row],[impressions]]*RANDBETWEEN(8,12)/10,0)</f>
        <v>53424</v>
      </c>
      <c r="AY80">
        <f ca="1">ROUND(T_Facebook_Ads11[[#This Row],[clicks]]*RANDBETWEEN(8,12)/10,0)</f>
        <v>890</v>
      </c>
      <c r="AZ80">
        <f ca="1">T_Facebook_Ads11[[#This Row],[spend]]*RANDBETWEEN(8,12)/10</f>
        <v>168.36</v>
      </c>
      <c r="BA80">
        <f ca="1">ROUND(T_Facebook_Ads11[[#This Row],[conversions]]*RANDBETWEEN(8,12)/10,0)</f>
        <v>11</v>
      </c>
      <c r="BB80">
        <f ca="1">ROUND(T_Facebook_Ads11[[#This Row],[video_views]]*RANDBETWEEN(8,12)/10,0)</f>
        <v>8587</v>
      </c>
    </row>
    <row r="81" spans="1:54" ht="15.75" thickBot="1" x14ac:dyDescent="0.3">
      <c r="A81" s="3">
        <f t="shared" ca="1" si="7"/>
        <v>44943</v>
      </c>
      <c r="B81" s="4" t="s">
        <v>56</v>
      </c>
      <c r="C81" s="4" t="s">
        <v>57</v>
      </c>
      <c r="D81" s="4" t="s">
        <v>58</v>
      </c>
      <c r="E81" s="4" t="s">
        <v>59</v>
      </c>
      <c r="F81" s="4">
        <f ca="1">ROUND(T_Facebook_Ads[[#This Row],[impressions]]*RANDBETWEEN(8,12)/10,0)</f>
        <v>12410</v>
      </c>
      <c r="G81" s="4">
        <v>623</v>
      </c>
      <c r="H81" s="4">
        <f ca="1">T_Facebook_Ads[[#This Row],[spend]]*RANDBETWEEN(8,12)/10</f>
        <v>275.76000000000005</v>
      </c>
      <c r="I81" s="4">
        <f ca="1">ROUND(T_Facebook_Ads[[#This Row],[conversions]]*RANDBETWEEN(8,12)/10,0)</f>
        <v>30</v>
      </c>
      <c r="J81" s="4">
        <f ca="1">ROUND(T_Facebook_Ads[[#This Row],[video_views]]*RANDBETWEEN(8,12)/10,0)</f>
        <v>1489</v>
      </c>
      <c r="K81" s="4">
        <f ca="1">T_Facebook_Ads[[#This Row],[engagement_rate]]*RANDBETWEEN(8,12)/10</f>
        <v>5.4239999999999997E-2</v>
      </c>
      <c r="L81" s="4">
        <f ca="1">ROUND(T_Facebook_Ads[[#This Row],[reach]]*RANDBETWEEN(8,12)/10,0)</f>
        <v>10789</v>
      </c>
      <c r="M81" s="4">
        <f ca="1">T_Facebook_Ads[[#This Row],[frequency]]*RANDBETWEEN(8,12)/10</f>
        <v>1.024</v>
      </c>
      <c r="O81" s="3">
        <f t="shared" ca="1" si="8"/>
        <v>44930</v>
      </c>
      <c r="P81" s="4" t="s">
        <v>80</v>
      </c>
      <c r="Q81" s="4" t="s">
        <v>81</v>
      </c>
      <c r="R81" s="4" t="s">
        <v>82</v>
      </c>
      <c r="S81" s="4" t="s">
        <v>83</v>
      </c>
      <c r="T81" s="4">
        <f ca="1">ROUND(_Google_ads[[#This Row],[impressions]]*RANDBETWEEN(8,12)/10,0)</f>
        <v>40611</v>
      </c>
      <c r="U81" s="4">
        <f ca="1">ROUND(_Google_ads[[#This Row],[clicks]]*RANDBETWEEN(8,12)/10,0)</f>
        <v>912</v>
      </c>
      <c r="V81" s="4">
        <f ca="1">_Google_ads[[#This Row],[cost]]*RANDBETWEEN(8,12)/10</f>
        <v>520.02</v>
      </c>
      <c r="W81" s="4">
        <f ca="1">ROUND(_Google_ads[[#This Row],[conversions]]*RANDBETWEEN(8,12)/10,0)</f>
        <v>24</v>
      </c>
      <c r="X81" s="4">
        <f ca="1">ROUND(_Google_ads[[#This Row],[conversion_value]]*RANDBETWEEN(8,12)/10,0)</f>
        <v>1080</v>
      </c>
      <c r="Y81" s="4">
        <f ca="1">_Google_ads[[#This Row],[ctr]]*RANDBETWEEN(8,12)/10</f>
        <v>2.0199999999999999E-2</v>
      </c>
      <c r="Z81" s="4">
        <f ca="1">_Google_ads[[#This Row],[avg_cpc]]*RANDBETWEEN(8,12)/10</f>
        <v>0.56699999999999995</v>
      </c>
      <c r="AA81" s="4">
        <f ca="1">ROUND(_Google_ads[[#This Row],[quality_score]]*RANDBETWEEN(8,12)/10,0)</f>
        <v>8</v>
      </c>
      <c r="AB81" s="4">
        <f ca="1">_Google_ads[[#This Row],[search_impression_share]]*RANDBETWEEN(8,12)/10</f>
        <v>0.495</v>
      </c>
      <c r="AD81" s="3">
        <f t="shared" ca="1" si="9"/>
        <v>44934</v>
      </c>
      <c r="AE81" s="4" t="s">
        <v>104</v>
      </c>
      <c r="AF81" s="4" t="s">
        <v>105</v>
      </c>
      <c r="AG81" s="4" t="s">
        <v>106</v>
      </c>
      <c r="AH81" s="4" t="s">
        <v>107</v>
      </c>
      <c r="AI81" s="4">
        <f ca="1">ROUND(T_Tiktok_ads[[#This Row],[impressions]]*RANDBETWEEN(8,12)/10,0)</f>
        <v>141110</v>
      </c>
      <c r="AJ81" s="4">
        <f ca="1">ROUND(T_Tiktok_ads[[#This Row],[clicks]]*RANDBETWEEN(8,12)/10,0)</f>
        <v>2410</v>
      </c>
      <c r="AK81" s="4">
        <v>812.3</v>
      </c>
      <c r="AL81" s="4">
        <f ca="1">ROUND(T_Tiktok_ads[[#This Row],[conversions]]*RANDBETWEEN(8,12)/10,0)</f>
        <v>98</v>
      </c>
      <c r="AM81" s="4">
        <f ca="1">ROUND(T_Tiktok_ads[[#This Row],[video_views]]*RANDBETWEEN(8,12)/10,0)</f>
        <v>131851</v>
      </c>
      <c r="AN81" s="4">
        <f ca="1">ROUND(T_Tiktok_ads[[#This Row],[video_watch_25]]*RANDBETWEEN(8,12)/10,0)</f>
        <v>89357</v>
      </c>
      <c r="AO81" s="4">
        <f ca="1">ROUND(T_Tiktok_ads[[#This Row],[video_watch_50]]*RANDBETWEEN(8,12)/10,0)</f>
        <v>54678</v>
      </c>
      <c r="AP81" s="4">
        <f ca="1">ROUND(T_Tiktok_ads[[#This Row],[video_watch_75]]*RANDBETWEEN(8,12)/10,0)</f>
        <v>32987</v>
      </c>
      <c r="AQ81" s="4">
        <f ca="1">ROUND(T_Tiktok_ads[[#This Row],[video_watch_100]]*RANDBETWEEN(8,12)/10,0)</f>
        <v>24810</v>
      </c>
      <c r="AR81" s="4">
        <f ca="1">ROUND(T_Tiktok_ads[[#This Row],[likes]]*RANDBETWEEN(8,12)/10,0)</f>
        <v>5456</v>
      </c>
      <c r="AS81" s="4">
        <f ca="1">ROUND(T_Tiktok_ads[[#This Row],[shares]]*RANDBETWEEN(8,12)/10,0)</f>
        <v>1254</v>
      </c>
      <c r="AT81" s="4">
        <f ca="1">ROUND(T_Tiktok_ads[[#This Row],[comments]]*RANDBETWEEN(8,12)/10,0)</f>
        <v>318</v>
      </c>
      <c r="AV81" s="5">
        <f t="shared" ca="1" si="6"/>
        <v>44928</v>
      </c>
      <c r="AW81">
        <f t="shared" ca="1" si="10"/>
        <v>1</v>
      </c>
      <c r="AX81">
        <f ca="1">ROUND(T_Facebook_Ads11[[#This Row],[impressions]]*RANDBETWEEN(8,12)/10,0)</f>
        <v>13651</v>
      </c>
      <c r="AY81">
        <f ca="1">ROUND(T_Facebook_Ads11[[#This Row],[clicks]]*RANDBETWEEN(8,12)/10,0)</f>
        <v>623</v>
      </c>
      <c r="AZ81">
        <f ca="1">T_Facebook_Ads11[[#This Row],[spend]]*RANDBETWEEN(8,12)/10</f>
        <v>220.60800000000003</v>
      </c>
      <c r="BA81">
        <f ca="1">ROUND(T_Facebook_Ads11[[#This Row],[conversions]]*RANDBETWEEN(8,12)/10,0)</f>
        <v>27</v>
      </c>
      <c r="BB81">
        <f ca="1">ROUND(T_Facebook_Ads11[[#This Row],[video_views]]*RANDBETWEEN(8,12)/10,0)</f>
        <v>1191</v>
      </c>
    </row>
    <row r="82" spans="1:54" ht="15.75" thickBot="1" x14ac:dyDescent="0.3">
      <c r="A82" s="3">
        <f t="shared" ca="1" si="7"/>
        <v>44937</v>
      </c>
      <c r="B82" s="4" t="s">
        <v>60</v>
      </c>
      <c r="C82" s="4" t="s">
        <v>61</v>
      </c>
      <c r="D82" s="4" t="s">
        <v>62</v>
      </c>
      <c r="E82" s="4" t="s">
        <v>63</v>
      </c>
      <c r="F82" s="4">
        <f ca="1">ROUND(T_Facebook_Ads[[#This Row],[impressions]]*RANDBETWEEN(8,12)/10,0)</f>
        <v>44947</v>
      </c>
      <c r="G82" s="4">
        <v>1389</v>
      </c>
      <c r="H82" s="4">
        <f ca="1">T_Facebook_Ads[[#This Row],[spend]]*RANDBETWEEN(8,12)/10</f>
        <v>170.72</v>
      </c>
      <c r="I82" s="4">
        <f ca="1">ROUND(T_Facebook_Ads[[#This Row],[conversions]]*RANDBETWEEN(8,12)/10,0)</f>
        <v>32</v>
      </c>
      <c r="J82" s="4">
        <f ca="1">ROUND(T_Facebook_Ads[[#This Row],[video_views]]*RANDBETWEEN(8,12)/10,0)</f>
        <v>5379</v>
      </c>
      <c r="K82" s="4">
        <f ca="1">T_Facebook_Ads[[#This Row],[engagement_rate]]*RANDBETWEEN(8,12)/10</f>
        <v>4.4520000000000004E-2</v>
      </c>
      <c r="L82" s="4">
        <f ca="1">ROUND(T_Facebook_Ads[[#This Row],[reach]]*RANDBETWEEN(8,12)/10,0)</f>
        <v>33624</v>
      </c>
      <c r="M82" s="4">
        <f ca="1">T_Facebook_Ads[[#This Row],[frequency]]*RANDBETWEEN(8,12)/10</f>
        <v>1.22</v>
      </c>
      <c r="O82" s="3">
        <f t="shared" ca="1" si="8"/>
        <v>44927</v>
      </c>
      <c r="P82" s="4" t="s">
        <v>84</v>
      </c>
      <c r="Q82" s="4" t="s">
        <v>85</v>
      </c>
      <c r="R82" s="4" t="s">
        <v>86</v>
      </c>
      <c r="S82" s="4" t="s">
        <v>87</v>
      </c>
      <c r="T82" s="4">
        <f ca="1">ROUND(_Google_ads[[#This Row],[impressions]]*RANDBETWEEN(8,12)/10,0)</f>
        <v>84281</v>
      </c>
      <c r="U82" s="4">
        <f ca="1">ROUND(_Google_ads[[#This Row],[clicks]]*RANDBETWEEN(8,12)/10,0)</f>
        <v>2389</v>
      </c>
      <c r="V82" s="4">
        <f ca="1">_Google_ads[[#This Row],[cost]]*RANDBETWEEN(8,12)/10</f>
        <v>432.6</v>
      </c>
      <c r="W82" s="4">
        <f ca="1">ROUND(_Google_ads[[#This Row],[conversions]]*RANDBETWEEN(8,12)/10,0)</f>
        <v>76</v>
      </c>
      <c r="X82" s="4">
        <f ca="1">ROUND(_Google_ads[[#This Row],[conversion_value]]*RANDBETWEEN(8,12)/10,0)</f>
        <v>2760</v>
      </c>
      <c r="Y82" s="4">
        <f ca="1">_Google_ads[[#This Row],[ctr]]*RANDBETWEEN(8,12)/10</f>
        <v>3.4000000000000002E-2</v>
      </c>
      <c r="Z82" s="4">
        <f ca="1">_Google_ads[[#This Row],[avg_cpc]]*RANDBETWEEN(8,12)/10</f>
        <v>0.14399999999999999</v>
      </c>
      <c r="AA82" s="4">
        <f ca="1">ROUND(_Google_ads[[#This Row],[quality_score]]*RANDBETWEEN(8,12)/10,0)</f>
        <v>8</v>
      </c>
      <c r="AB82" s="4">
        <f ca="1">_Google_ads[[#This Row],[search_impression_share]]*RANDBETWEEN(8,12)/10</f>
        <v>0.53600000000000003</v>
      </c>
      <c r="AD82" s="3">
        <f t="shared" ca="1" si="9"/>
        <v>44945</v>
      </c>
      <c r="AE82" s="4" t="s">
        <v>108</v>
      </c>
      <c r="AF82" s="4" t="s">
        <v>109</v>
      </c>
      <c r="AG82" s="4" t="s">
        <v>110</v>
      </c>
      <c r="AH82" s="4" t="s">
        <v>111</v>
      </c>
      <c r="AI82" s="4">
        <f ca="1">ROUND(T_Tiktok_ads[[#This Row],[impressions]]*RANDBETWEEN(8,12)/10,0)</f>
        <v>270246</v>
      </c>
      <c r="AJ82" s="4">
        <f ca="1">ROUND(T_Tiktok_ads[[#This Row],[clicks]]*RANDBETWEEN(8,12)/10,0)</f>
        <v>4668</v>
      </c>
      <c r="AK82" s="4">
        <v>467.8</v>
      </c>
      <c r="AL82" s="4">
        <f ca="1">ROUND(T_Tiktok_ads[[#This Row],[conversions]]*RANDBETWEEN(8,12)/10,0)</f>
        <v>27</v>
      </c>
      <c r="AM82" s="4">
        <f ca="1">ROUND(T_Tiktok_ads[[#This Row],[video_views]]*RANDBETWEEN(8,12)/10,0)</f>
        <v>156542</v>
      </c>
      <c r="AN82" s="4">
        <f ca="1">ROUND(T_Tiktok_ads[[#This Row],[video_watch_25]]*RANDBETWEEN(8,12)/10,0)</f>
        <v>133411</v>
      </c>
      <c r="AO82" s="4">
        <f ca="1">ROUND(T_Tiktok_ads[[#This Row],[video_watch_50]]*RANDBETWEEN(8,12)/10,0)</f>
        <v>117234</v>
      </c>
      <c r="AP82" s="4">
        <f ca="1">ROUND(T_Tiktok_ads[[#This Row],[video_watch_75]]*RANDBETWEEN(8,12)/10,0)</f>
        <v>82757</v>
      </c>
      <c r="AQ82" s="4">
        <f ca="1">ROUND(T_Tiktok_ads[[#This Row],[video_watch_100]]*RANDBETWEEN(8,12)/10,0)</f>
        <v>41210</v>
      </c>
      <c r="AR82" s="4">
        <f ca="1">ROUND(T_Tiktok_ads[[#This Row],[likes]]*RANDBETWEEN(8,12)/10,0)</f>
        <v>7710</v>
      </c>
      <c r="AS82" s="4">
        <f ca="1">ROUND(T_Tiktok_ads[[#This Row],[shares]]*RANDBETWEEN(8,12)/10,0)</f>
        <v>2814</v>
      </c>
      <c r="AT82" s="4">
        <f ca="1">ROUND(T_Tiktok_ads[[#This Row],[comments]]*RANDBETWEEN(8,12)/10,0)</f>
        <v>510</v>
      </c>
      <c r="AV82" s="5">
        <f t="shared" ca="1" si="6"/>
        <v>44930</v>
      </c>
      <c r="AW82">
        <f t="shared" ca="1" si="10"/>
        <v>8</v>
      </c>
      <c r="AX82">
        <f ca="1">ROUND(T_Facebook_Ads11[[#This Row],[impressions]]*RANDBETWEEN(8,12)/10,0)</f>
        <v>44947</v>
      </c>
      <c r="AY82">
        <f ca="1">ROUND(T_Facebook_Ads11[[#This Row],[clicks]]*RANDBETWEEN(8,12)/10,0)</f>
        <v>1528</v>
      </c>
      <c r="AZ82">
        <f ca="1">T_Facebook_Ads11[[#This Row],[spend]]*RANDBETWEEN(8,12)/10</f>
        <v>153.648</v>
      </c>
      <c r="BA82">
        <f ca="1">ROUND(T_Facebook_Ads11[[#This Row],[conversions]]*RANDBETWEEN(8,12)/10,0)</f>
        <v>26</v>
      </c>
      <c r="BB82">
        <f ca="1">ROUND(T_Facebook_Ads11[[#This Row],[video_views]]*RANDBETWEEN(8,12)/10,0)</f>
        <v>4841</v>
      </c>
    </row>
    <row r="83" spans="1:54" ht="15.75" thickBot="1" x14ac:dyDescent="0.3">
      <c r="A83" s="3">
        <f t="shared" ca="1" si="7"/>
        <v>44929</v>
      </c>
      <c r="B83" s="4" t="s">
        <v>64</v>
      </c>
      <c r="C83" s="4" t="s">
        <v>65</v>
      </c>
      <c r="D83" s="4" t="s">
        <v>66</v>
      </c>
      <c r="E83" s="4" t="s">
        <v>67</v>
      </c>
      <c r="F83" s="4">
        <f ca="1">ROUND(T_Facebook_Ads[[#This Row],[impressions]]*RANDBETWEEN(8,12)/10,0)</f>
        <v>64111</v>
      </c>
      <c r="G83" s="4">
        <v>256</v>
      </c>
      <c r="H83" s="4">
        <f ca="1">T_Facebook_Ads[[#This Row],[spend]]*RANDBETWEEN(8,12)/10</f>
        <v>81.45</v>
      </c>
      <c r="I83" s="4">
        <f ca="1">ROUND(T_Facebook_Ads[[#This Row],[conversions]]*RANDBETWEEN(8,12)/10,0)</f>
        <v>7</v>
      </c>
      <c r="J83" s="4">
        <f ca="1">ROUND(T_Facebook_Ads[[#This Row],[video_views]]*RANDBETWEEN(8,12)/10,0)</f>
        <v>48123</v>
      </c>
      <c r="K83" s="4">
        <f ca="1">T_Facebook_Ads[[#This Row],[engagement_rate]]*RANDBETWEEN(8,12)/10</f>
        <v>3.5999999999999999E-3</v>
      </c>
      <c r="L83" s="4">
        <f ca="1">ROUND(T_Facebook_Ads[[#This Row],[reach]]*RANDBETWEEN(8,12)/10,0)</f>
        <v>70280</v>
      </c>
      <c r="M83" s="4">
        <f ca="1">T_Facebook_Ads[[#This Row],[frequency]]*RANDBETWEEN(8,12)/10</f>
        <v>1.3420000000000001</v>
      </c>
      <c r="O83" s="3">
        <f t="shared" ca="1" si="8"/>
        <v>44949</v>
      </c>
      <c r="P83" s="4" t="s">
        <v>88</v>
      </c>
      <c r="Q83" s="4" t="s">
        <v>89</v>
      </c>
      <c r="R83" s="4" t="s">
        <v>90</v>
      </c>
      <c r="S83" s="4" t="s">
        <v>59</v>
      </c>
      <c r="T83" s="4">
        <f ca="1">ROUND(_Google_ads[[#This Row],[impressions]]*RANDBETWEEN(8,12)/10,0)</f>
        <v>160147</v>
      </c>
      <c r="U83" s="4">
        <f ca="1">ROUND(_Google_ads[[#This Row],[clicks]]*RANDBETWEEN(8,12)/10,0)</f>
        <v>489</v>
      </c>
      <c r="V83" s="4">
        <f ca="1">_Google_ads[[#This Row],[cost]]*RANDBETWEEN(8,12)/10</f>
        <v>144.32</v>
      </c>
      <c r="W83" s="4">
        <f ca="1">ROUND(_Google_ads[[#This Row],[conversions]]*RANDBETWEEN(8,12)/10,0)</f>
        <v>15</v>
      </c>
      <c r="X83" s="4">
        <f ca="1">ROUND(_Google_ads[[#This Row],[conversion_value]]*RANDBETWEEN(8,12)/10,0)</f>
        <v>630</v>
      </c>
      <c r="Y83" s="4">
        <f ca="1">_Google_ads[[#This Row],[ctr]]*RANDBETWEEN(8,12)/10</f>
        <v>4.0699999999999998E-3</v>
      </c>
      <c r="Z83" s="4">
        <f ca="1">_Google_ads[[#This Row],[avg_cpc]]*RANDBETWEEN(8,12)/10</f>
        <v>0.21600000000000003</v>
      </c>
      <c r="AA83" s="4">
        <f ca="1">ROUND(_Google_ads[[#This Row],[quality_score]]*RANDBETWEEN(8,12)/10,0)</f>
        <v>8</v>
      </c>
      <c r="AB83" s="4">
        <f ca="1">_Google_ads[[#This Row],[search_impression_share]]*RANDBETWEEN(8,12)/10</f>
        <v>0.35</v>
      </c>
      <c r="AD83" s="3">
        <f t="shared" ca="1" si="9"/>
        <v>44954</v>
      </c>
      <c r="AE83" s="4" t="s">
        <v>112</v>
      </c>
      <c r="AF83" s="4" t="s">
        <v>113</v>
      </c>
      <c r="AG83" s="4" t="s">
        <v>114</v>
      </c>
      <c r="AH83" s="4" t="s">
        <v>115</v>
      </c>
      <c r="AI83" s="4">
        <f ca="1">ROUND(T_Tiktok_ads[[#This Row],[impressions]]*RANDBETWEEN(8,12)/10,0)</f>
        <v>508147</v>
      </c>
      <c r="AJ83" s="4">
        <f ca="1">ROUND(T_Tiktok_ads[[#This Row],[clicks]]*RANDBETWEEN(8,12)/10,0)</f>
        <v>7579</v>
      </c>
      <c r="AK83" s="4">
        <v>1056.8</v>
      </c>
      <c r="AL83" s="4">
        <f ca="1">ROUND(T_Tiktok_ads[[#This Row],[conversions]]*RANDBETWEEN(8,12)/10,0)</f>
        <v>86</v>
      </c>
      <c r="AM83" s="4">
        <f ca="1">ROUND(T_Tiktok_ads[[#This Row],[video_views]]*RANDBETWEEN(8,12)/10,0)</f>
        <v>321110</v>
      </c>
      <c r="AN83" s="4">
        <f ca="1">ROUND(T_Tiktok_ads[[#This Row],[video_watch_25]]*RANDBETWEEN(8,12)/10,0)</f>
        <v>260311</v>
      </c>
      <c r="AO83" s="4">
        <f ca="1">ROUND(T_Tiktok_ads[[#This Row],[video_watch_50]]*RANDBETWEEN(8,12)/10,0)</f>
        <v>254602</v>
      </c>
      <c r="AP83" s="4">
        <f ca="1">ROUND(T_Tiktok_ads[[#This Row],[video_watch_75]]*RANDBETWEEN(8,12)/10,0)</f>
        <v>164567</v>
      </c>
      <c r="AQ83" s="4">
        <f ca="1">ROUND(T_Tiktok_ads[[#This Row],[video_watch_100]]*RANDBETWEEN(8,12)/10,0)</f>
        <v>131081</v>
      </c>
      <c r="AR83" s="4">
        <f ca="1">ROUND(T_Tiktok_ads[[#This Row],[likes]]*RANDBETWEEN(8,12)/10,0)</f>
        <v>17001</v>
      </c>
      <c r="AS83" s="4">
        <f ca="1">ROUND(T_Tiktok_ads[[#This Row],[shares]]*RANDBETWEEN(8,12)/10,0)</f>
        <v>6002</v>
      </c>
      <c r="AT83" s="4">
        <f ca="1">ROUND(T_Tiktok_ads[[#This Row],[comments]]*RANDBETWEEN(8,12)/10,0)</f>
        <v>1489</v>
      </c>
      <c r="AV83" s="5">
        <f t="shared" ca="1" si="6"/>
        <v>44931</v>
      </c>
      <c r="AW83">
        <f t="shared" ca="1" si="10"/>
        <v>6</v>
      </c>
      <c r="AX83">
        <f ca="1">ROUND(T_Facebook_Ads11[[#This Row],[impressions]]*RANDBETWEEN(8,12)/10,0)</f>
        <v>76933</v>
      </c>
      <c r="AY83">
        <f ca="1">ROUND(T_Facebook_Ads11[[#This Row],[clicks]]*RANDBETWEEN(8,12)/10,0)</f>
        <v>307</v>
      </c>
      <c r="AZ83">
        <f ca="1">T_Facebook_Ads11[[#This Row],[spend]]*RANDBETWEEN(8,12)/10</f>
        <v>81.45</v>
      </c>
      <c r="BA83">
        <f ca="1">ROUND(T_Facebook_Ads11[[#This Row],[conversions]]*RANDBETWEEN(8,12)/10,0)</f>
        <v>8</v>
      </c>
      <c r="BB83">
        <f ca="1">ROUND(T_Facebook_Ads11[[#This Row],[video_views]]*RANDBETWEEN(8,12)/10,0)</f>
        <v>38498</v>
      </c>
    </row>
    <row r="84" spans="1:54" ht="15.75" thickBot="1" x14ac:dyDescent="0.3">
      <c r="A84" s="3">
        <f t="shared" ca="1" si="7"/>
        <v>44951</v>
      </c>
      <c r="B84" s="4" t="s">
        <v>52</v>
      </c>
      <c r="C84" s="4" t="s">
        <v>53</v>
      </c>
      <c r="D84" s="4" t="s">
        <v>54</v>
      </c>
      <c r="E84" s="4" t="s">
        <v>55</v>
      </c>
      <c r="F84" s="4">
        <f ca="1">ROUND(T_Facebook_Ads[[#This Row],[impressions]]*RANDBETWEEN(8,12)/10,0)</f>
        <v>40987</v>
      </c>
      <c r="G84" s="4">
        <v>1067</v>
      </c>
      <c r="H84" s="4">
        <f ca="1">T_Facebook_Ads[[#This Row],[spend]]*RANDBETWEEN(8,12)/10</f>
        <v>149.69999999999999</v>
      </c>
      <c r="I84" s="4">
        <f ca="1">ROUND(T_Facebook_Ads[[#This Row],[conversions]]*RANDBETWEEN(8,12)/10,0)</f>
        <v>15</v>
      </c>
      <c r="J84" s="4">
        <f ca="1">ROUND(T_Facebook_Ads[[#This Row],[video_views]]*RANDBETWEEN(8,12)/10,0)</f>
        <v>7387</v>
      </c>
      <c r="K84" s="4">
        <f ca="1">T_Facebook_Ads[[#This Row],[engagement_rate]]*RANDBETWEEN(8,12)/10</f>
        <v>1.6639999999999999E-2</v>
      </c>
      <c r="L84" s="4">
        <f ca="1">ROUND(T_Facebook_Ads[[#This Row],[reach]]*RANDBETWEEN(8,12)/10,0)</f>
        <v>46824</v>
      </c>
      <c r="M84" s="4">
        <f ca="1">T_Facebook_Ads[[#This Row],[frequency]]*RANDBETWEEN(8,12)/10</f>
        <v>1.3199999999999998</v>
      </c>
      <c r="O84" s="3">
        <f t="shared" ca="1" si="8"/>
        <v>44951</v>
      </c>
      <c r="P84" s="4" t="s">
        <v>76</v>
      </c>
      <c r="Q84" s="4" t="s">
        <v>77</v>
      </c>
      <c r="R84" s="4" t="s">
        <v>78</v>
      </c>
      <c r="S84" s="4" t="s">
        <v>79</v>
      </c>
      <c r="T84" s="4">
        <f ca="1">ROUND(_Google_ads[[#This Row],[impressions]]*RANDBETWEEN(8,12)/10,0)</f>
        <v>21698</v>
      </c>
      <c r="U84" s="4">
        <f ca="1">ROUND(_Google_ads[[#This Row],[clicks]]*RANDBETWEEN(8,12)/10,0)</f>
        <v>1147</v>
      </c>
      <c r="V84" s="4">
        <f ca="1">_Google_ads[[#This Row],[cost]]*RANDBETWEEN(8,12)/10</f>
        <v>246.87000000000003</v>
      </c>
      <c r="W84" s="4">
        <f ca="1">ROUND(_Google_ads[[#This Row],[conversions]]*RANDBETWEEN(8,12)/10,0)</f>
        <v>44</v>
      </c>
      <c r="X84" s="4">
        <f ca="1">ROUND(_Google_ads[[#This Row],[conversion_value]]*RANDBETWEEN(8,12)/10,0)</f>
        <v>3300</v>
      </c>
      <c r="Y84" s="4">
        <f ca="1">_Google_ads[[#This Row],[ctr]]*RANDBETWEEN(8,12)/10</f>
        <v>6.3480000000000009E-2</v>
      </c>
      <c r="Z84" s="4">
        <f ca="1">_Google_ads[[#This Row],[avg_cpc]]*RANDBETWEEN(8,12)/10</f>
        <v>0.17099999999999999</v>
      </c>
      <c r="AA84" s="4">
        <f ca="1">ROUND(_Google_ads[[#This Row],[quality_score]]*RANDBETWEEN(8,12)/10,0)</f>
        <v>7</v>
      </c>
      <c r="AB84" s="4">
        <f ca="1">_Google_ads[[#This Row],[search_impression_share]]*RANDBETWEEN(8,12)/10</f>
        <v>0.74399999999999999</v>
      </c>
      <c r="AD84" s="3">
        <f t="shared" ca="1" si="9"/>
        <v>44954</v>
      </c>
      <c r="AE84" s="4" t="s">
        <v>100</v>
      </c>
      <c r="AF84" s="4" t="s">
        <v>101</v>
      </c>
      <c r="AG84" s="4" t="s">
        <v>102</v>
      </c>
      <c r="AH84" s="4" t="s">
        <v>103</v>
      </c>
      <c r="AI84" s="4">
        <f ca="1">ROUND(T_Tiktok_ads[[#This Row],[impressions]]*RANDBETWEEN(8,12)/10,0)</f>
        <v>281111</v>
      </c>
      <c r="AJ84" s="4">
        <f ca="1">ROUND(T_Tiktok_ads[[#This Row],[clicks]]*RANDBETWEEN(8,12)/10,0)</f>
        <v>4110</v>
      </c>
      <c r="AK84" s="4">
        <v>623.4</v>
      </c>
      <c r="AL84" s="4">
        <f ca="1">ROUND(T_Tiktok_ads[[#This Row],[conversions]]*RANDBETWEEN(8,12)/10,0)</f>
        <v>43</v>
      </c>
      <c r="AM84" s="4">
        <f ca="1">ROUND(T_Tiktok_ads[[#This Row],[video_views]]*RANDBETWEEN(8,12)/10,0)</f>
        <v>282468</v>
      </c>
      <c r="AN84" s="4">
        <f ca="1">ROUND(T_Tiktok_ads[[#This Row],[video_watch_25]]*RANDBETWEEN(8,12)/10,0)</f>
        <v>160187</v>
      </c>
      <c r="AO84" s="4">
        <f ca="1">ROUND(T_Tiktok_ads[[#This Row],[video_watch_50]]*RANDBETWEEN(8,12)/10,0)</f>
        <v>125678</v>
      </c>
      <c r="AP84" s="4">
        <f ca="1">ROUND(T_Tiktok_ads[[#This Row],[video_watch_75]]*RANDBETWEEN(8,12)/10,0)</f>
        <v>101480</v>
      </c>
      <c r="AQ84" s="4">
        <f ca="1">ROUND(T_Tiktok_ads[[#This Row],[video_watch_100]]*RANDBETWEEN(8,12)/10,0)</f>
        <v>67481</v>
      </c>
      <c r="AR84" s="4">
        <f ca="1">ROUND(T_Tiktok_ads[[#This Row],[likes]]*RANDBETWEEN(8,12)/10,0)</f>
        <v>11234</v>
      </c>
      <c r="AS84" s="4">
        <f ca="1">ROUND(T_Tiktok_ads[[#This Row],[shares]]*RANDBETWEEN(8,12)/10,0)</f>
        <v>2711</v>
      </c>
      <c r="AT84" s="4">
        <f ca="1">ROUND(T_Tiktok_ads[[#This Row],[comments]]*RANDBETWEEN(8,12)/10,0)</f>
        <v>651</v>
      </c>
      <c r="AV84" s="5">
        <f t="shared" ca="1" si="6"/>
        <v>44933</v>
      </c>
      <c r="AW84">
        <f t="shared" ca="1" si="10"/>
        <v>3</v>
      </c>
      <c r="AX84">
        <f ca="1">ROUND(T_Facebook_Ads11[[#This Row],[impressions]]*RANDBETWEEN(8,12)/10,0)</f>
        <v>40987</v>
      </c>
      <c r="AY84">
        <f ca="1">ROUND(T_Facebook_Ads11[[#This Row],[clicks]]*RANDBETWEEN(8,12)/10,0)</f>
        <v>1067</v>
      </c>
      <c r="AZ84">
        <f ca="1">T_Facebook_Ads11[[#This Row],[spend]]*RANDBETWEEN(8,12)/10</f>
        <v>149.69999999999999</v>
      </c>
      <c r="BA84">
        <f ca="1">ROUND(T_Facebook_Ads11[[#This Row],[conversions]]*RANDBETWEEN(8,12)/10,0)</f>
        <v>14</v>
      </c>
      <c r="BB84">
        <f ca="1">ROUND(T_Facebook_Ads11[[#This Row],[video_views]]*RANDBETWEEN(8,12)/10,0)</f>
        <v>8126</v>
      </c>
    </row>
    <row r="85" spans="1:54" ht="15.75" thickBot="1" x14ac:dyDescent="0.3">
      <c r="A85" s="3">
        <f t="shared" ca="1" si="7"/>
        <v>44940</v>
      </c>
      <c r="B85" s="4" t="s">
        <v>56</v>
      </c>
      <c r="C85" s="4" t="s">
        <v>57</v>
      </c>
      <c r="D85" s="4" t="s">
        <v>58</v>
      </c>
      <c r="E85" s="4" t="s">
        <v>59</v>
      </c>
      <c r="F85" s="4">
        <f ca="1">ROUND(T_Facebook_Ads[[#This Row],[impressions]]*RANDBETWEEN(8,12)/10,0)</f>
        <v>11912</v>
      </c>
      <c r="G85" s="4">
        <v>712</v>
      </c>
      <c r="H85" s="4">
        <f ca="1">T_Facebook_Ads[[#This Row],[spend]]*RANDBETWEEN(8,12)/10</f>
        <v>201.28</v>
      </c>
      <c r="I85" s="4">
        <f ca="1">ROUND(T_Facebook_Ads[[#This Row],[conversions]]*RANDBETWEEN(8,12)/10,0)</f>
        <v>52</v>
      </c>
      <c r="J85" s="4">
        <f ca="1">ROUND(T_Facebook_Ads[[#This Row],[video_views]]*RANDBETWEEN(8,12)/10,0)</f>
        <v>1578</v>
      </c>
      <c r="K85" s="4">
        <f ca="1">T_Facebook_Ads[[#This Row],[engagement_rate]]*RANDBETWEEN(8,12)/10</f>
        <v>5.7360000000000001E-2</v>
      </c>
      <c r="L85" s="4">
        <f ca="1">ROUND(T_Facebook_Ads[[#This Row],[reach]]*RANDBETWEEN(8,12)/10,0)</f>
        <v>10611</v>
      </c>
      <c r="M85" s="4">
        <f ca="1">T_Facebook_Ads[[#This Row],[frequency]]*RANDBETWEEN(8,12)/10</f>
        <v>1.008</v>
      </c>
      <c r="O85" s="3">
        <f t="shared" ca="1" si="8"/>
        <v>44937</v>
      </c>
      <c r="P85" s="4" t="s">
        <v>80</v>
      </c>
      <c r="Q85" s="4" t="s">
        <v>81</v>
      </c>
      <c r="R85" s="4" t="s">
        <v>82</v>
      </c>
      <c r="S85" s="4" t="s">
        <v>83</v>
      </c>
      <c r="T85" s="4">
        <f ca="1">ROUND(_Google_ads[[#This Row],[impressions]]*RANDBETWEEN(8,12)/10,0)</f>
        <v>52679</v>
      </c>
      <c r="U85" s="4">
        <f ca="1">ROUND(_Google_ads[[#This Row],[clicks]]*RANDBETWEEN(8,12)/10,0)</f>
        <v>978</v>
      </c>
      <c r="V85" s="4">
        <f ca="1">_Google_ads[[#This Row],[cost]]*RANDBETWEEN(8,12)/10</f>
        <v>490.8</v>
      </c>
      <c r="W85" s="4">
        <f ca="1">ROUND(_Google_ads[[#This Row],[conversions]]*RANDBETWEEN(8,12)/10,0)</f>
        <v>26</v>
      </c>
      <c r="X85" s="4">
        <f ca="1">ROUND(_Google_ads[[#This Row],[conversion_value]]*RANDBETWEEN(8,12)/10,0)</f>
        <v>1040</v>
      </c>
      <c r="Y85" s="4">
        <f ca="1">_Google_ads[[#This Row],[ctr]]*RANDBETWEEN(8,12)/10</f>
        <v>1.8360000000000001E-2</v>
      </c>
      <c r="Z85" s="4">
        <f ca="1">_Google_ads[[#This Row],[avg_cpc]]*RANDBETWEEN(8,12)/10</f>
        <v>0.63</v>
      </c>
      <c r="AA85" s="4">
        <f ca="1">ROUND(_Google_ads[[#This Row],[quality_score]]*RANDBETWEEN(8,12)/10,0)</f>
        <v>7</v>
      </c>
      <c r="AB85" s="4">
        <f ca="1">_Google_ads[[#This Row],[search_impression_share]]*RANDBETWEEN(8,12)/10</f>
        <v>0.46000000000000008</v>
      </c>
      <c r="AD85" s="3">
        <f t="shared" ca="1" si="9"/>
        <v>44952</v>
      </c>
      <c r="AE85" s="4" t="s">
        <v>104</v>
      </c>
      <c r="AF85" s="4" t="s">
        <v>105</v>
      </c>
      <c r="AG85" s="4" t="s">
        <v>106</v>
      </c>
      <c r="AH85" s="4" t="s">
        <v>107</v>
      </c>
      <c r="AI85" s="4">
        <f ca="1">ROUND(T_Tiktok_ads[[#This Row],[impressions]]*RANDBETWEEN(8,12)/10,0)</f>
        <v>155111</v>
      </c>
      <c r="AJ85" s="4">
        <f ca="1">ROUND(T_Tiktok_ads[[#This Row],[clicks]]*RANDBETWEEN(8,12)/10,0)</f>
        <v>3345</v>
      </c>
      <c r="AK85" s="4">
        <v>867.9</v>
      </c>
      <c r="AL85" s="4">
        <f ca="1">ROUND(T_Tiktok_ads[[#This Row],[conversions]]*RANDBETWEEN(8,12)/10,0)</f>
        <v>96</v>
      </c>
      <c r="AM85" s="4">
        <f ca="1">ROUND(T_Tiktok_ads[[#This Row],[video_views]]*RANDBETWEEN(8,12)/10,0)</f>
        <v>148147</v>
      </c>
      <c r="AN85" s="4">
        <f ca="1">ROUND(T_Tiktok_ads[[#This Row],[video_watch_25]]*RANDBETWEEN(8,12)/10,0)</f>
        <v>82111</v>
      </c>
      <c r="AO85" s="4">
        <f ca="1">ROUND(T_Tiktok_ads[[#This Row],[video_watch_50]]*RANDBETWEEN(8,12)/10,0)</f>
        <v>49254</v>
      </c>
      <c r="AP85" s="4">
        <f ca="1">ROUND(T_Tiktok_ads[[#This Row],[video_watch_75]]*RANDBETWEEN(8,12)/10,0)</f>
        <v>46234</v>
      </c>
      <c r="AQ85" s="4">
        <f ca="1">ROUND(T_Tiktok_ads[[#This Row],[video_watch_100]]*RANDBETWEEN(8,12)/10,0)</f>
        <v>36947</v>
      </c>
      <c r="AR85" s="4">
        <f ca="1">ROUND(T_Tiktok_ads[[#This Row],[likes]]*RANDBETWEEN(8,12)/10,0)</f>
        <v>6479</v>
      </c>
      <c r="AS85" s="4">
        <f ca="1">ROUND(T_Tiktok_ads[[#This Row],[shares]]*RANDBETWEEN(8,12)/10,0)</f>
        <v>1342</v>
      </c>
      <c r="AT85" s="4">
        <f ca="1">ROUND(T_Tiktok_ads[[#This Row],[comments]]*RANDBETWEEN(8,12)/10,0)</f>
        <v>401</v>
      </c>
      <c r="AV85" s="5">
        <f t="shared" ca="1" si="6"/>
        <v>44949</v>
      </c>
      <c r="AW85">
        <f t="shared" ca="1" si="10"/>
        <v>2</v>
      </c>
      <c r="AX85">
        <f ca="1">ROUND(T_Facebook_Ads11[[#This Row],[impressions]]*RANDBETWEEN(8,12)/10,0)</f>
        <v>10721</v>
      </c>
      <c r="AY85">
        <f ca="1">ROUND(T_Facebook_Ads11[[#This Row],[clicks]]*RANDBETWEEN(8,12)/10,0)</f>
        <v>712</v>
      </c>
      <c r="AZ85">
        <f ca="1">T_Facebook_Ads11[[#This Row],[spend]]*RANDBETWEEN(8,12)/10</f>
        <v>161.024</v>
      </c>
      <c r="BA85">
        <f ca="1">ROUND(T_Facebook_Ads11[[#This Row],[conversions]]*RANDBETWEEN(8,12)/10,0)</f>
        <v>42</v>
      </c>
      <c r="BB85">
        <f ca="1">ROUND(T_Facebook_Ads11[[#This Row],[video_views]]*RANDBETWEEN(8,12)/10,0)</f>
        <v>1578</v>
      </c>
    </row>
    <row r="86" spans="1:54" ht="15.75" thickBot="1" x14ac:dyDescent="0.3">
      <c r="A86" s="3">
        <f t="shared" ca="1" si="7"/>
        <v>44947</v>
      </c>
      <c r="B86" s="4" t="s">
        <v>60</v>
      </c>
      <c r="C86" s="4" t="s">
        <v>61</v>
      </c>
      <c r="D86" s="4" t="s">
        <v>62</v>
      </c>
      <c r="E86" s="4" t="s">
        <v>63</v>
      </c>
      <c r="F86" s="4">
        <f ca="1">ROUND(T_Facebook_Ads[[#This Row],[impressions]]*RANDBETWEEN(8,12)/10,0)</f>
        <v>39234</v>
      </c>
      <c r="G86" s="4">
        <v>1489</v>
      </c>
      <c r="H86" s="4">
        <f ca="1">T_Facebook_Ads[[#This Row],[spend]]*RANDBETWEEN(8,12)/10</f>
        <v>205.10999999999999</v>
      </c>
      <c r="I86" s="4">
        <f ca="1">ROUND(T_Facebook_Ads[[#This Row],[conversions]]*RANDBETWEEN(8,12)/10,0)</f>
        <v>35</v>
      </c>
      <c r="J86" s="4">
        <f ca="1">ROUND(T_Facebook_Ads[[#This Row],[video_views]]*RANDBETWEEN(8,12)/10,0)</f>
        <v>5757</v>
      </c>
      <c r="K86" s="4">
        <f ca="1">T_Facebook_Ads[[#This Row],[engagement_rate]]*RANDBETWEEN(8,12)/10</f>
        <v>4.5480000000000007E-2</v>
      </c>
      <c r="L86" s="4">
        <f ca="1">ROUND(T_Facebook_Ads[[#This Row],[reach]]*RANDBETWEEN(8,12)/10,0)</f>
        <v>35335</v>
      </c>
      <c r="M86" s="4">
        <f ca="1">T_Facebook_Ads[[#This Row],[frequency]]*RANDBETWEEN(8,12)/10</f>
        <v>0.97599999999999998</v>
      </c>
      <c r="O86" s="3">
        <f t="shared" ca="1" si="8"/>
        <v>44957</v>
      </c>
      <c r="P86" s="4" t="s">
        <v>84</v>
      </c>
      <c r="Q86" s="4" t="s">
        <v>85</v>
      </c>
      <c r="R86" s="4" t="s">
        <v>86</v>
      </c>
      <c r="S86" s="4" t="s">
        <v>87</v>
      </c>
      <c r="T86" s="4">
        <f ca="1">ROUND(_Google_ads[[#This Row],[impressions]]*RANDBETWEEN(8,12)/10,0)</f>
        <v>88147</v>
      </c>
      <c r="U86" s="4">
        <f ca="1">ROUND(_Google_ads[[#This Row],[clicks]]*RANDBETWEEN(8,12)/10,0)</f>
        <v>3001</v>
      </c>
      <c r="V86" s="4">
        <f ca="1">_Google_ads[[#This Row],[cost]]*RANDBETWEEN(8,12)/10</f>
        <v>365.36</v>
      </c>
      <c r="W86" s="4">
        <f ca="1">ROUND(_Google_ads[[#This Row],[conversions]]*RANDBETWEEN(8,12)/10,0)</f>
        <v>80</v>
      </c>
      <c r="X86" s="4">
        <f ca="1">ROUND(_Google_ads[[#This Row],[conversion_value]]*RANDBETWEEN(8,12)/10,0)</f>
        <v>3285</v>
      </c>
      <c r="Y86" s="4">
        <f ca="1">_Google_ads[[#This Row],[ctr]]*RANDBETWEEN(8,12)/10</f>
        <v>3.4000000000000002E-2</v>
      </c>
      <c r="Z86" s="4">
        <f ca="1">_Google_ads[[#This Row],[avg_cpc]]*RANDBETWEEN(8,12)/10</f>
        <v>0.19800000000000001</v>
      </c>
      <c r="AA86" s="4">
        <f ca="1">ROUND(_Google_ads[[#This Row],[quality_score]]*RANDBETWEEN(8,12)/10,0)</f>
        <v>8</v>
      </c>
      <c r="AB86" s="4">
        <f ca="1">_Google_ads[[#This Row],[search_impression_share]]*RANDBETWEEN(8,12)/10</f>
        <v>0.55199999999999994</v>
      </c>
      <c r="AD86" s="3">
        <f t="shared" ca="1" si="9"/>
        <v>44938</v>
      </c>
      <c r="AE86" s="4" t="s">
        <v>108</v>
      </c>
      <c r="AF86" s="4" t="s">
        <v>109</v>
      </c>
      <c r="AG86" s="4" t="s">
        <v>110</v>
      </c>
      <c r="AH86" s="4" t="s">
        <v>111</v>
      </c>
      <c r="AI86" s="4">
        <f ca="1">ROUND(T_Tiktok_ads[[#This Row],[impressions]]*RANDBETWEEN(8,12)/10,0)</f>
        <v>214312</v>
      </c>
      <c r="AJ86" s="4">
        <f ca="1">ROUND(T_Tiktok_ads[[#This Row],[clicks]]*RANDBETWEEN(8,12)/10,0)</f>
        <v>4535</v>
      </c>
      <c r="AK86" s="4">
        <v>512.6</v>
      </c>
      <c r="AL86" s="4">
        <f ca="1">ROUND(T_Tiktok_ads[[#This Row],[conversions]]*RANDBETWEEN(8,12)/10,0)</f>
        <v>33</v>
      </c>
      <c r="AM86" s="4">
        <f ca="1">ROUND(T_Tiktok_ads[[#This Row],[video_views]]*RANDBETWEEN(8,12)/10,0)</f>
        <v>212345</v>
      </c>
      <c r="AN86" s="4">
        <f ca="1">ROUND(T_Tiktok_ads[[#This Row],[video_watch_25]]*RANDBETWEEN(8,12)/10,0)</f>
        <v>144211</v>
      </c>
      <c r="AO86" s="4">
        <f ca="1">ROUND(T_Tiktok_ads[[#This Row],[video_watch_50]]*RANDBETWEEN(8,12)/10,0)</f>
        <v>101431</v>
      </c>
      <c r="AP86" s="4">
        <f ca="1">ROUND(T_Tiktok_ads[[#This Row],[video_watch_75]]*RANDBETWEEN(8,12)/10,0)</f>
        <v>73111</v>
      </c>
      <c r="AQ86" s="4">
        <f ca="1">ROUND(T_Tiktok_ads[[#This Row],[video_watch_100]]*RANDBETWEEN(8,12)/10,0)</f>
        <v>49234</v>
      </c>
      <c r="AR86" s="4">
        <f ca="1">ROUND(T_Tiktok_ads[[#This Row],[likes]]*RANDBETWEEN(8,12)/10,0)</f>
        <v>8211</v>
      </c>
      <c r="AS86" s="4">
        <f ca="1">ROUND(T_Tiktok_ads[[#This Row],[shares]]*RANDBETWEEN(8,12)/10,0)</f>
        <v>3080</v>
      </c>
      <c r="AT86" s="4">
        <f ca="1">ROUND(T_Tiktok_ads[[#This Row],[comments]]*RANDBETWEEN(8,12)/10,0)</f>
        <v>551</v>
      </c>
      <c r="AV86" s="5">
        <f t="shared" ca="1" si="6"/>
        <v>44935</v>
      </c>
      <c r="AW86">
        <f t="shared" ca="1" si="10"/>
        <v>8</v>
      </c>
      <c r="AX86">
        <f ca="1">ROUND(T_Facebook_Ads11[[#This Row],[impressions]]*RANDBETWEEN(8,12)/10,0)</f>
        <v>35311</v>
      </c>
      <c r="AY86">
        <f ca="1">ROUND(T_Facebook_Ads11[[#This Row],[clicks]]*RANDBETWEEN(8,12)/10,0)</f>
        <v>1191</v>
      </c>
      <c r="AZ86">
        <f ca="1">T_Facebook_Ads11[[#This Row],[spend]]*RANDBETWEEN(8,12)/10</f>
        <v>246.13199999999998</v>
      </c>
      <c r="BA86">
        <f ca="1">ROUND(T_Facebook_Ads11[[#This Row],[conversions]]*RANDBETWEEN(8,12)/10,0)</f>
        <v>32</v>
      </c>
      <c r="BB86">
        <f ca="1">ROUND(T_Facebook_Ads11[[#This Row],[video_views]]*RANDBETWEEN(8,12)/10,0)</f>
        <v>5757</v>
      </c>
    </row>
    <row r="87" spans="1:54" ht="15.75" thickBot="1" x14ac:dyDescent="0.3">
      <c r="A87" s="3">
        <f t="shared" ca="1" si="7"/>
        <v>44928</v>
      </c>
      <c r="B87" s="4" t="s">
        <v>64</v>
      </c>
      <c r="C87" s="4" t="s">
        <v>65</v>
      </c>
      <c r="D87" s="4" t="s">
        <v>66</v>
      </c>
      <c r="E87" s="4" t="s">
        <v>67</v>
      </c>
      <c r="F87" s="4">
        <f ca="1">ROUND(T_Facebook_Ads[[#This Row],[impressions]]*RANDBETWEEN(8,12)/10,0)</f>
        <v>89480</v>
      </c>
      <c r="G87" s="4">
        <v>267</v>
      </c>
      <c r="H87" s="4">
        <f ca="1">T_Facebook_Ads[[#This Row],[spend]]*RANDBETWEEN(8,12)/10</f>
        <v>105.38</v>
      </c>
      <c r="I87" s="4">
        <f ca="1">ROUND(T_Facebook_Ads[[#This Row],[conversions]]*RANDBETWEEN(8,12)/10,0)</f>
        <v>7</v>
      </c>
      <c r="J87" s="4">
        <f ca="1">ROUND(T_Facebook_Ads[[#This Row],[video_views]]*RANDBETWEEN(8,12)/10,0)</f>
        <v>55257</v>
      </c>
      <c r="K87" s="4">
        <f ca="1">T_Facebook_Ads[[#This Row],[engagement_rate]]*RANDBETWEEN(8,12)/10</f>
        <v>3.2399999999999998E-3</v>
      </c>
      <c r="L87" s="4">
        <f ca="1">ROUND(T_Facebook_Ads[[#This Row],[reach]]*RANDBETWEEN(8,12)/10,0)</f>
        <v>48631</v>
      </c>
      <c r="M87" s="4">
        <f ca="1">T_Facebook_Ads[[#This Row],[frequency]]*RANDBETWEEN(8,12)/10</f>
        <v>1.476</v>
      </c>
      <c r="O87" s="3">
        <f t="shared" ca="1" si="8"/>
        <v>44953</v>
      </c>
      <c r="P87" s="4" t="s">
        <v>88</v>
      </c>
      <c r="Q87" s="4" t="s">
        <v>89</v>
      </c>
      <c r="R87" s="4" t="s">
        <v>90</v>
      </c>
      <c r="S87" s="4" t="s">
        <v>59</v>
      </c>
      <c r="T87" s="4">
        <f ca="1">ROUND(_Google_ads[[#This Row],[impressions]]*RANDBETWEEN(8,12)/10,0)</f>
        <v>153157</v>
      </c>
      <c r="U87" s="4">
        <f ca="1">ROUND(_Google_ads[[#This Row],[clicks]]*RANDBETWEEN(8,12)/10,0)</f>
        <v>523</v>
      </c>
      <c r="V87" s="4">
        <f ca="1">_Google_ads[[#This Row],[cost]]*RANDBETWEEN(8,12)/10</f>
        <v>109.44000000000001</v>
      </c>
      <c r="W87" s="4">
        <f ca="1">ROUND(_Google_ads[[#This Row],[conversions]]*RANDBETWEEN(8,12)/10,0)</f>
        <v>14</v>
      </c>
      <c r="X87" s="4">
        <f ca="1">ROUND(_Google_ads[[#This Row],[conversion_value]]*RANDBETWEEN(8,12)/10,0)</f>
        <v>825</v>
      </c>
      <c r="Y87" s="4">
        <f ca="1">_Google_ads[[#This Row],[ctr]]*RANDBETWEEN(8,12)/10</f>
        <v>3.0400000000000002E-3</v>
      </c>
      <c r="Z87" s="4">
        <f ca="1">_Google_ads[[#This Row],[avg_cpc]]*RANDBETWEEN(8,12)/10</f>
        <v>0.312</v>
      </c>
      <c r="AA87" s="4">
        <f ca="1">ROUND(_Google_ads[[#This Row],[quality_score]]*RANDBETWEEN(8,12)/10,0)</f>
        <v>6</v>
      </c>
      <c r="AB87" s="4">
        <f ca="1">_Google_ads[[#This Row],[search_impression_share]]*RANDBETWEEN(8,12)/10</f>
        <v>0.36</v>
      </c>
      <c r="AD87" s="3">
        <f t="shared" ca="1" si="9"/>
        <v>44948</v>
      </c>
      <c r="AE87" s="4" t="s">
        <v>112</v>
      </c>
      <c r="AF87" s="4" t="s">
        <v>113</v>
      </c>
      <c r="AG87" s="4" t="s">
        <v>114</v>
      </c>
      <c r="AH87" s="4" t="s">
        <v>115</v>
      </c>
      <c r="AI87" s="4">
        <f ca="1">ROUND(T_Tiktok_ads[[#This Row],[impressions]]*RANDBETWEEN(8,12)/10,0)</f>
        <v>411110</v>
      </c>
      <c r="AJ87" s="4">
        <f ca="1">ROUND(T_Tiktok_ads[[#This Row],[clicks]]*RANDBETWEEN(8,12)/10,0)</f>
        <v>8947</v>
      </c>
      <c r="AK87" s="4">
        <v>1167.8</v>
      </c>
      <c r="AL87" s="4">
        <f ca="1">ROUND(T_Tiktok_ads[[#This Row],[conversions]]*RANDBETWEEN(8,12)/10,0)</f>
        <v>130</v>
      </c>
      <c r="AM87" s="4">
        <f ca="1">ROUND(T_Tiktok_ads[[#This Row],[video_views]]*RANDBETWEEN(8,12)/10,0)</f>
        <v>466814</v>
      </c>
      <c r="AN87" s="4">
        <f ca="1">ROUND(T_Tiktok_ads[[#This Row],[video_watch_25]]*RANDBETWEEN(8,12)/10,0)</f>
        <v>249876</v>
      </c>
      <c r="AO87" s="4">
        <f ca="1">ROUND(T_Tiktok_ads[[#This Row],[video_watch_50]]*RANDBETWEEN(8,12)/10,0)</f>
        <v>249234</v>
      </c>
      <c r="AP87" s="4">
        <f ca="1">ROUND(T_Tiktok_ads[[#This Row],[video_watch_75]]*RANDBETWEEN(8,12)/10,0)</f>
        <v>195679</v>
      </c>
      <c r="AQ87" s="4">
        <f ca="1">ROUND(T_Tiktok_ads[[#This Row],[video_watch_100]]*RANDBETWEEN(8,12)/10,0)</f>
        <v>94587</v>
      </c>
      <c r="AR87" s="4">
        <f ca="1">ROUND(T_Tiktok_ads[[#This Row],[likes]]*RANDBETWEEN(8,12)/10,0)</f>
        <v>16187</v>
      </c>
      <c r="AS87" s="4">
        <f ca="1">ROUND(T_Tiktok_ads[[#This Row],[shares]]*RANDBETWEEN(8,12)/10,0)</f>
        <v>7094</v>
      </c>
      <c r="AT87" s="4">
        <f ca="1">ROUND(T_Tiktok_ads[[#This Row],[comments]]*RANDBETWEEN(8,12)/10,0)</f>
        <v>1461</v>
      </c>
      <c r="AV87" s="5">
        <f t="shared" ca="1" si="6"/>
        <v>44936</v>
      </c>
      <c r="AW87">
        <f t="shared" ca="1" si="10"/>
        <v>4</v>
      </c>
      <c r="AX87">
        <f ca="1">ROUND(T_Facebook_Ads11[[#This Row],[impressions]]*RANDBETWEEN(8,12)/10,0)</f>
        <v>107376</v>
      </c>
      <c r="AY87">
        <f ca="1">ROUND(T_Facebook_Ads11[[#This Row],[clicks]]*RANDBETWEEN(8,12)/10,0)</f>
        <v>267</v>
      </c>
      <c r="AZ87">
        <f ca="1">T_Facebook_Ads11[[#This Row],[spend]]*RANDBETWEEN(8,12)/10</f>
        <v>126.45599999999999</v>
      </c>
      <c r="BA87">
        <f ca="1">ROUND(T_Facebook_Ads11[[#This Row],[conversions]]*RANDBETWEEN(8,12)/10,0)</f>
        <v>6</v>
      </c>
      <c r="BB87">
        <f ca="1">ROUND(T_Facebook_Ads11[[#This Row],[video_views]]*RANDBETWEEN(8,12)/10,0)</f>
        <v>44206</v>
      </c>
    </row>
    <row r="88" spans="1:54" ht="15.75" thickBot="1" x14ac:dyDescent="0.3">
      <c r="A88" s="3">
        <f t="shared" ca="1" si="7"/>
        <v>44943</v>
      </c>
      <c r="B88" s="4" t="s">
        <v>52</v>
      </c>
      <c r="C88" s="4" t="s">
        <v>53</v>
      </c>
      <c r="D88" s="4" t="s">
        <v>54</v>
      </c>
      <c r="E88" s="4" t="s">
        <v>55</v>
      </c>
      <c r="F88" s="4">
        <f ca="1">ROUND(T_Facebook_Ads[[#This Row],[impressions]]*RANDBETWEEN(8,12)/10,0)</f>
        <v>58068</v>
      </c>
      <c r="G88" s="4">
        <v>1123</v>
      </c>
      <c r="H88" s="4">
        <f ca="1">T_Facebook_Ads[[#This Row],[spend]]*RANDBETWEEN(8,12)/10</f>
        <v>140.76000000000002</v>
      </c>
      <c r="I88" s="4">
        <f ca="1">ROUND(T_Facebook_Ads[[#This Row],[conversions]]*RANDBETWEEN(8,12)/10,0)</f>
        <v>14</v>
      </c>
      <c r="J88" s="4">
        <f ca="1">ROUND(T_Facebook_Ads[[#This Row],[video_views]]*RANDBETWEEN(8,12)/10,0)</f>
        <v>9567</v>
      </c>
      <c r="K88" s="4">
        <f ca="1">T_Facebook_Ads[[#This Row],[engagement_rate]]*RANDBETWEEN(8,12)/10</f>
        <v>2.5559999999999999E-2</v>
      </c>
      <c r="L88" s="4">
        <f ca="1">ROUND(T_Facebook_Ads[[#This Row],[reach]]*RANDBETWEEN(8,12)/10,0)</f>
        <v>35112</v>
      </c>
      <c r="M88" s="4">
        <f ca="1">T_Facebook_Ads[[#This Row],[frequency]]*RANDBETWEEN(8,12)/10</f>
        <v>1.44</v>
      </c>
      <c r="O88" s="3">
        <f t="shared" ca="1" si="8"/>
        <v>44936</v>
      </c>
      <c r="P88" s="4" t="s">
        <v>76</v>
      </c>
      <c r="Q88" s="4" t="s">
        <v>77</v>
      </c>
      <c r="R88" s="4" t="s">
        <v>78</v>
      </c>
      <c r="S88" s="4" t="s">
        <v>79</v>
      </c>
      <c r="T88" s="4">
        <f ca="1">ROUND(_Google_ads[[#This Row],[impressions]]*RANDBETWEEN(8,12)/10,0)</f>
        <v>25411</v>
      </c>
      <c r="U88" s="4">
        <f ca="1">ROUND(_Google_ads[[#This Row],[clicks]]*RANDBETWEEN(8,12)/10,0)</f>
        <v>1663</v>
      </c>
      <c r="V88" s="4">
        <f ca="1">_Google_ads[[#This Row],[cost]]*RANDBETWEEN(8,12)/10</f>
        <v>287.60000000000002</v>
      </c>
      <c r="W88" s="4">
        <f ca="1">ROUND(_Google_ads[[#This Row],[conversions]]*RANDBETWEEN(8,12)/10,0)</f>
        <v>58</v>
      </c>
      <c r="X88" s="4">
        <f ca="1">ROUND(_Google_ads[[#This Row],[conversion_value]]*RANDBETWEEN(8,12)/10,0)</f>
        <v>2610</v>
      </c>
      <c r="Y88" s="4">
        <f ca="1">_Google_ads[[#This Row],[ctr]]*RANDBETWEEN(8,12)/10</f>
        <v>5.885E-2</v>
      </c>
      <c r="Z88" s="4">
        <f ca="1">_Google_ads[[#This Row],[avg_cpc]]*RANDBETWEEN(8,12)/10</f>
        <v>0.17099999999999999</v>
      </c>
      <c r="AA88" s="4">
        <f ca="1">ROUND(_Google_ads[[#This Row],[quality_score]]*RANDBETWEEN(8,12)/10,0)</f>
        <v>9</v>
      </c>
      <c r="AB88" s="4">
        <f ca="1">_Google_ads[[#This Row],[search_impression_share]]*RANDBETWEEN(8,12)/10</f>
        <v>1.034</v>
      </c>
      <c r="AD88" s="3">
        <f t="shared" ca="1" si="9"/>
        <v>44947</v>
      </c>
      <c r="AE88" s="4" t="s">
        <v>100</v>
      </c>
      <c r="AF88" s="4" t="s">
        <v>101</v>
      </c>
      <c r="AG88" s="4" t="s">
        <v>102</v>
      </c>
      <c r="AH88" s="4" t="s">
        <v>103</v>
      </c>
      <c r="AI88" s="4">
        <f ca="1">ROUND(T_Tiktok_ads[[#This Row],[impressions]]*RANDBETWEEN(8,12)/10,0)</f>
        <v>291110</v>
      </c>
      <c r="AJ88" s="4">
        <f ca="1">ROUND(T_Tiktok_ads[[#This Row],[clicks]]*RANDBETWEEN(8,12)/10,0)</f>
        <v>4789</v>
      </c>
      <c r="AK88" s="4">
        <v>645.70000000000005</v>
      </c>
      <c r="AL88" s="4">
        <f ca="1">ROUND(T_Tiktok_ads[[#This Row],[conversions]]*RANDBETWEEN(8,12)/10,0)</f>
        <v>55</v>
      </c>
      <c r="AM88" s="4">
        <f ca="1">ROUND(T_Tiktok_ads[[#This Row],[video_views]]*RANDBETWEEN(8,12)/10,0)</f>
        <v>294679</v>
      </c>
      <c r="AN88" s="4">
        <f ca="1">ROUND(T_Tiktok_ads[[#This Row],[video_watch_25]]*RANDBETWEEN(8,12)/10,0)</f>
        <v>208901</v>
      </c>
      <c r="AO88" s="4">
        <f ca="1">ROUND(T_Tiktok_ads[[#This Row],[video_watch_50]]*RANDBETWEEN(8,12)/10,0)</f>
        <v>104987</v>
      </c>
      <c r="AP88" s="4">
        <f ca="1">ROUND(T_Tiktok_ads[[#This Row],[video_watch_75]]*RANDBETWEEN(8,12)/10,0)</f>
        <v>97057</v>
      </c>
      <c r="AQ88" s="4">
        <f ca="1">ROUND(T_Tiktok_ads[[#This Row],[video_watch_100]]*RANDBETWEEN(8,12)/10,0)</f>
        <v>64791</v>
      </c>
      <c r="AR88" s="4">
        <f ca="1">ROUND(T_Tiktok_ads[[#This Row],[likes]]*RANDBETWEEN(8,12)/10,0)</f>
        <v>11567</v>
      </c>
      <c r="AS88" s="4">
        <f ca="1">ROUND(T_Tiktok_ads[[#This Row],[shares]]*RANDBETWEEN(8,12)/10,0)</f>
        <v>2507</v>
      </c>
      <c r="AT88" s="4">
        <f ca="1">ROUND(T_Tiktok_ads[[#This Row],[comments]]*RANDBETWEEN(8,12)/10,0)</f>
        <v>734</v>
      </c>
      <c r="AV88" s="5">
        <f t="shared" ca="1" si="6"/>
        <v>44943</v>
      </c>
      <c r="AW88">
        <f t="shared" ca="1" si="10"/>
        <v>6</v>
      </c>
      <c r="AX88">
        <f ca="1">ROUND(T_Facebook_Ads11[[#This Row],[impressions]]*RANDBETWEEN(8,12)/10,0)</f>
        <v>52261</v>
      </c>
      <c r="AY88">
        <f ca="1">ROUND(T_Facebook_Ads11[[#This Row],[clicks]]*RANDBETWEEN(8,12)/10,0)</f>
        <v>1235</v>
      </c>
      <c r="AZ88">
        <f ca="1">T_Facebook_Ads11[[#This Row],[spend]]*RANDBETWEEN(8,12)/10</f>
        <v>126.68400000000001</v>
      </c>
      <c r="BA88">
        <f ca="1">ROUND(T_Facebook_Ads11[[#This Row],[conversions]]*RANDBETWEEN(8,12)/10,0)</f>
        <v>13</v>
      </c>
      <c r="BB88">
        <f ca="1">ROUND(T_Facebook_Ads11[[#This Row],[video_views]]*RANDBETWEEN(8,12)/10,0)</f>
        <v>8610</v>
      </c>
    </row>
    <row r="89" spans="1:54" ht="15.75" thickBot="1" x14ac:dyDescent="0.3">
      <c r="A89" s="3">
        <f t="shared" ca="1" si="7"/>
        <v>44936</v>
      </c>
      <c r="B89" s="4" t="s">
        <v>56</v>
      </c>
      <c r="C89" s="4" t="s">
        <v>57</v>
      </c>
      <c r="D89" s="4" t="s">
        <v>58</v>
      </c>
      <c r="E89" s="4" t="s">
        <v>59</v>
      </c>
      <c r="F89" s="4">
        <f ca="1">ROUND(T_Facebook_Ads[[#This Row],[impressions]]*RANDBETWEEN(8,12)/10,0)</f>
        <v>12542</v>
      </c>
      <c r="G89" s="4">
        <v>756</v>
      </c>
      <c r="H89" s="4">
        <f ca="1">T_Facebook_Ads[[#This Row],[spend]]*RANDBETWEEN(8,12)/10</f>
        <v>242.01</v>
      </c>
      <c r="I89" s="4">
        <f ca="1">ROUND(T_Facebook_Ads[[#This Row],[conversions]]*RANDBETWEEN(8,12)/10,0)</f>
        <v>38</v>
      </c>
      <c r="J89" s="4">
        <f ca="1">ROUND(T_Facebook_Ads[[#This Row],[video_views]]*RANDBETWEEN(8,12)/10,0)</f>
        <v>2014</v>
      </c>
      <c r="K89" s="4">
        <f ca="1">T_Facebook_Ads[[#This Row],[engagement_rate]]*RANDBETWEEN(8,12)/10</f>
        <v>5.7840000000000003E-2</v>
      </c>
      <c r="L89" s="4">
        <f ca="1">ROUND(T_Facebook_Ads[[#This Row],[reach]]*RANDBETWEEN(8,12)/10,0)</f>
        <v>13580</v>
      </c>
      <c r="M89" s="4">
        <f ca="1">T_Facebook_Ads[[#This Row],[frequency]]*RANDBETWEEN(8,12)/10</f>
        <v>1.016</v>
      </c>
      <c r="O89" s="3">
        <f t="shared" ca="1" si="8"/>
        <v>44956</v>
      </c>
      <c r="P89" s="4" t="s">
        <v>80</v>
      </c>
      <c r="Q89" s="4" t="s">
        <v>81</v>
      </c>
      <c r="R89" s="4" t="s">
        <v>82</v>
      </c>
      <c r="S89" s="4" t="s">
        <v>83</v>
      </c>
      <c r="T89" s="4">
        <f ca="1">ROUND(_Google_ads[[#This Row],[impressions]]*RANDBETWEEN(8,12)/10,0)</f>
        <v>49567</v>
      </c>
      <c r="U89" s="4">
        <f ca="1">ROUND(_Google_ads[[#This Row],[clicks]]*RANDBETWEEN(8,12)/10,0)</f>
        <v>810</v>
      </c>
      <c r="V89" s="4">
        <f ca="1">_Google_ads[[#This Row],[cost]]*RANDBETWEEN(8,12)/10</f>
        <v>570.78</v>
      </c>
      <c r="W89" s="4">
        <f ca="1">ROUND(_Google_ads[[#This Row],[conversions]]*RANDBETWEEN(8,12)/10,0)</f>
        <v>27</v>
      </c>
      <c r="X89" s="4">
        <f ca="1">ROUND(_Google_ads[[#This Row],[conversion_value]]*RANDBETWEEN(8,12)/10,0)</f>
        <v>1080</v>
      </c>
      <c r="Y89" s="4">
        <f ca="1">_Google_ads[[#This Row],[ctr]]*RANDBETWEEN(8,12)/10</f>
        <v>2.4480000000000002E-2</v>
      </c>
      <c r="Z89" s="4">
        <f ca="1">_Google_ads[[#This Row],[avg_cpc]]*RANDBETWEEN(8,12)/10</f>
        <v>0.504</v>
      </c>
      <c r="AA89" s="4">
        <f ca="1">ROUND(_Google_ads[[#This Row],[quality_score]]*RANDBETWEEN(8,12)/10,0)</f>
        <v>7</v>
      </c>
      <c r="AB89" s="4">
        <f ca="1">_Google_ads[[#This Row],[search_impression_share]]*RANDBETWEEN(8,12)/10</f>
        <v>0.56399999999999995</v>
      </c>
      <c r="AD89" s="3">
        <f t="shared" ca="1" si="9"/>
        <v>44947</v>
      </c>
      <c r="AE89" s="4" t="s">
        <v>104</v>
      </c>
      <c r="AF89" s="4" t="s">
        <v>105</v>
      </c>
      <c r="AG89" s="4" t="s">
        <v>106</v>
      </c>
      <c r="AH89" s="4" t="s">
        <v>107</v>
      </c>
      <c r="AI89" s="4">
        <f ca="1">ROUND(T_Tiktok_ads[[#This Row],[impressions]]*RANDBETWEEN(8,12)/10,0)</f>
        <v>214681</v>
      </c>
      <c r="AJ89" s="4">
        <f ca="1">ROUND(T_Tiktok_ads[[#This Row],[clicks]]*RANDBETWEEN(8,12)/10,0)</f>
        <v>4147</v>
      </c>
      <c r="AK89" s="4">
        <v>889.5</v>
      </c>
      <c r="AL89" s="4">
        <f ca="1">ROUND(T_Tiktok_ads[[#This Row],[conversions]]*RANDBETWEEN(8,12)/10,0)</f>
        <v>80</v>
      </c>
      <c r="AM89" s="4">
        <f ca="1">ROUND(T_Tiktok_ads[[#This Row],[video_views]]*RANDBETWEEN(8,12)/10,0)</f>
        <v>154681</v>
      </c>
      <c r="AN89" s="4">
        <f ca="1">ROUND(T_Tiktok_ads[[#This Row],[video_watch_25]]*RANDBETWEEN(8,12)/10,0)</f>
        <v>105246</v>
      </c>
      <c r="AO89" s="4">
        <f ca="1">ROUND(T_Tiktok_ads[[#This Row],[video_watch_50]]*RANDBETWEEN(8,12)/10,0)</f>
        <v>64567</v>
      </c>
      <c r="AP89" s="4">
        <f ca="1">ROUND(T_Tiktok_ads[[#This Row],[video_watch_75]]*RANDBETWEEN(8,12)/10,0)</f>
        <v>38854</v>
      </c>
      <c r="AQ89" s="4">
        <f ca="1">ROUND(T_Tiktok_ads[[#This Row],[video_watch_100]]*RANDBETWEEN(8,12)/10,0)</f>
        <v>38814</v>
      </c>
      <c r="AR89" s="4">
        <f ca="1">ROUND(T_Tiktok_ads[[#This Row],[likes]]*RANDBETWEEN(8,12)/10,0)</f>
        <v>6123</v>
      </c>
      <c r="AS89" s="4">
        <f ca="1">ROUND(T_Tiktok_ads[[#This Row],[shares]]*RANDBETWEEN(8,12)/10,0)</f>
        <v>1734</v>
      </c>
      <c r="AT89" s="4">
        <f ca="1">ROUND(T_Tiktok_ads[[#This Row],[comments]]*RANDBETWEEN(8,12)/10,0)</f>
        <v>311</v>
      </c>
      <c r="AV89" s="5">
        <f t="shared" ca="1" si="6"/>
        <v>44938</v>
      </c>
      <c r="AW89">
        <f t="shared" ca="1" si="10"/>
        <v>2</v>
      </c>
      <c r="AX89">
        <f ca="1">ROUND(T_Facebook_Ads11[[#This Row],[impressions]]*RANDBETWEEN(8,12)/10,0)</f>
        <v>10034</v>
      </c>
      <c r="AY89">
        <f ca="1">ROUND(T_Facebook_Ads11[[#This Row],[clicks]]*RANDBETWEEN(8,12)/10,0)</f>
        <v>832</v>
      </c>
      <c r="AZ89">
        <f ca="1">T_Facebook_Ads11[[#This Row],[spend]]*RANDBETWEEN(8,12)/10</f>
        <v>193.608</v>
      </c>
      <c r="BA89">
        <f ca="1">ROUND(T_Facebook_Ads11[[#This Row],[conversions]]*RANDBETWEEN(8,12)/10,0)</f>
        <v>38</v>
      </c>
      <c r="BB89">
        <f ca="1">ROUND(T_Facebook_Ads11[[#This Row],[video_views]]*RANDBETWEEN(8,12)/10,0)</f>
        <v>1611</v>
      </c>
    </row>
    <row r="90" spans="1:54" ht="15.75" thickBot="1" x14ac:dyDescent="0.3">
      <c r="A90" s="3">
        <f t="shared" ca="1" si="7"/>
        <v>44927</v>
      </c>
      <c r="B90" s="4" t="s">
        <v>60</v>
      </c>
      <c r="C90" s="4" t="s">
        <v>61</v>
      </c>
      <c r="D90" s="4" t="s">
        <v>62</v>
      </c>
      <c r="E90" s="4" t="s">
        <v>63</v>
      </c>
      <c r="F90" s="4">
        <f ca="1">ROUND(T_Facebook_Ads[[#This Row],[impressions]]*RANDBETWEEN(8,12)/10,0)</f>
        <v>36510</v>
      </c>
      <c r="G90" s="4">
        <v>1567</v>
      </c>
      <c r="H90" s="4">
        <f ca="1">T_Facebook_Ads[[#This Row],[spend]]*RANDBETWEEN(8,12)/10</f>
        <v>238.6</v>
      </c>
      <c r="I90" s="4">
        <f ca="1">ROUND(T_Facebook_Ads[[#This Row],[conversions]]*RANDBETWEEN(8,12)/10,0)</f>
        <v>37</v>
      </c>
      <c r="J90" s="4">
        <f ca="1">ROUND(T_Facebook_Ads[[#This Row],[video_views]]*RANDBETWEEN(8,12)/10,0)</f>
        <v>4910</v>
      </c>
      <c r="K90" s="4">
        <f ca="1">T_Facebook_Ads[[#This Row],[engagement_rate]]*RANDBETWEEN(8,12)/10</f>
        <v>3.4740000000000007E-2</v>
      </c>
      <c r="L90" s="4">
        <f ca="1">ROUND(T_Facebook_Ads[[#This Row],[reach]]*RANDBETWEEN(8,12)/10,0)</f>
        <v>39881</v>
      </c>
      <c r="M90" s="4">
        <f ca="1">T_Facebook_Ads[[#This Row],[frequency]]*RANDBETWEEN(8,12)/10</f>
        <v>1.3420000000000001</v>
      </c>
      <c r="O90" s="3">
        <f t="shared" ca="1" si="8"/>
        <v>44948</v>
      </c>
      <c r="P90" s="4" t="s">
        <v>84</v>
      </c>
      <c r="Q90" s="4" t="s">
        <v>85</v>
      </c>
      <c r="R90" s="4" t="s">
        <v>86</v>
      </c>
      <c r="S90" s="4" t="s">
        <v>87</v>
      </c>
      <c r="T90" s="4">
        <f ca="1">ROUND(_Google_ads[[#This Row],[impressions]]*RANDBETWEEN(8,12)/10,0)</f>
        <v>67711</v>
      </c>
      <c r="U90" s="4">
        <f ca="1">ROUND(_Google_ads[[#This Row],[clicks]]*RANDBETWEEN(8,12)/10,0)</f>
        <v>2567</v>
      </c>
      <c r="V90" s="4">
        <f ca="1">_Google_ads[[#This Row],[cost]]*RANDBETWEEN(8,12)/10</f>
        <v>467.8</v>
      </c>
      <c r="W90" s="4">
        <f ca="1">ROUND(_Google_ads[[#This Row],[conversions]]*RANDBETWEEN(8,12)/10,0)</f>
        <v>60</v>
      </c>
      <c r="X90" s="4">
        <f ca="1">ROUND(_Google_ads[[#This Row],[conversion_value]]*RANDBETWEEN(8,12)/10,0)</f>
        <v>3750</v>
      </c>
      <c r="Y90" s="4">
        <f ca="1">_Google_ads[[#This Row],[ctr]]*RANDBETWEEN(8,12)/10</f>
        <v>2.7279999999999999E-2</v>
      </c>
      <c r="Z90" s="4">
        <f ca="1">_Google_ads[[#This Row],[avg_cpc]]*RANDBETWEEN(8,12)/10</f>
        <v>0.14399999999999999</v>
      </c>
      <c r="AA90" s="4">
        <f ca="1">ROUND(_Google_ads[[#This Row],[quality_score]]*RANDBETWEEN(8,12)/10,0)</f>
        <v>6</v>
      </c>
      <c r="AB90" s="4">
        <f ca="1">_Google_ads[[#This Row],[search_impression_share]]*RANDBETWEEN(8,12)/10</f>
        <v>0.7</v>
      </c>
      <c r="AD90" s="3">
        <f t="shared" ca="1" si="9"/>
        <v>44941</v>
      </c>
      <c r="AE90" s="4" t="s">
        <v>108</v>
      </c>
      <c r="AF90" s="4" t="s">
        <v>109</v>
      </c>
      <c r="AG90" s="4" t="s">
        <v>110</v>
      </c>
      <c r="AH90" s="4" t="s">
        <v>111</v>
      </c>
      <c r="AI90" s="4">
        <f ca="1">ROUND(T_Tiktok_ads[[#This Row],[impressions]]*RANDBETWEEN(8,12)/10,0)</f>
        <v>306791</v>
      </c>
      <c r="AJ90" s="4">
        <f ca="1">ROUND(T_Tiktok_ads[[#This Row],[clicks]]*RANDBETWEEN(8,12)/10,0)</f>
        <v>4657</v>
      </c>
      <c r="AK90" s="4">
        <v>534.20000000000005</v>
      </c>
      <c r="AL90" s="4">
        <f ca="1">ROUND(T_Tiktok_ads[[#This Row],[conversions]]*RANDBETWEEN(8,12)/10,0)</f>
        <v>31</v>
      </c>
      <c r="AM90" s="4">
        <f ca="1">ROUND(T_Tiktok_ads[[#This Row],[video_views]]*RANDBETWEEN(8,12)/10,0)</f>
        <v>223456</v>
      </c>
      <c r="AN90" s="4">
        <f ca="1">ROUND(T_Tiktok_ads[[#This Row],[video_watch_25]]*RANDBETWEEN(8,12)/10,0)</f>
        <v>185791</v>
      </c>
      <c r="AO90" s="4">
        <f ca="1">ROUND(T_Tiktok_ads[[#This Row],[video_watch_50]]*RANDBETWEEN(8,12)/10,0)</f>
        <v>106765</v>
      </c>
      <c r="AP90" s="4">
        <f ca="1">ROUND(T_Tiktok_ads[[#This Row],[video_watch_75]]*RANDBETWEEN(8,12)/10,0)</f>
        <v>94246</v>
      </c>
      <c r="AQ90" s="4">
        <f ca="1">ROUND(T_Tiktok_ads[[#This Row],[video_watch_100]]*RANDBETWEEN(8,12)/10,0)</f>
        <v>51789</v>
      </c>
      <c r="AR90" s="4">
        <f ca="1">ROUND(T_Tiktok_ads[[#This Row],[likes]]*RANDBETWEEN(8,12)/10,0)</f>
        <v>8510</v>
      </c>
      <c r="AS90" s="4">
        <f ca="1">ROUND(T_Tiktok_ads[[#This Row],[shares]]*RANDBETWEEN(8,12)/10,0)</f>
        <v>2371</v>
      </c>
      <c r="AT90" s="4">
        <f ca="1">ROUND(T_Tiktok_ads[[#This Row],[comments]]*RANDBETWEEN(8,12)/10,0)</f>
        <v>623</v>
      </c>
      <c r="AV90" s="5">
        <f t="shared" ca="1" si="6"/>
        <v>44945</v>
      </c>
      <c r="AW90">
        <f t="shared" ca="1" si="10"/>
        <v>1</v>
      </c>
      <c r="AX90">
        <f ca="1">ROUND(T_Facebook_Ads11[[#This Row],[impressions]]*RANDBETWEEN(8,12)/10,0)</f>
        <v>29208</v>
      </c>
      <c r="AY90">
        <f ca="1">ROUND(T_Facebook_Ads11[[#This Row],[clicks]]*RANDBETWEEN(8,12)/10,0)</f>
        <v>1724</v>
      </c>
      <c r="AZ90">
        <f ca="1">T_Facebook_Ads11[[#This Row],[spend]]*RANDBETWEEN(8,12)/10</f>
        <v>214.74</v>
      </c>
      <c r="BA90">
        <f ca="1">ROUND(T_Facebook_Ads11[[#This Row],[conversions]]*RANDBETWEEN(8,12)/10,0)</f>
        <v>44</v>
      </c>
      <c r="BB90">
        <f ca="1">ROUND(T_Facebook_Ads11[[#This Row],[video_views]]*RANDBETWEEN(8,12)/10,0)</f>
        <v>4910</v>
      </c>
    </row>
    <row r="91" spans="1:54" ht="15.75" thickBot="1" x14ac:dyDescent="0.3">
      <c r="A91" s="3">
        <f t="shared" ca="1" si="7"/>
        <v>44948</v>
      </c>
      <c r="B91" s="4" t="s">
        <v>64</v>
      </c>
      <c r="C91" s="4" t="s">
        <v>65</v>
      </c>
      <c r="D91" s="4" t="s">
        <v>66</v>
      </c>
      <c r="E91" s="4" t="s">
        <v>67</v>
      </c>
      <c r="F91" s="4">
        <f ca="1">ROUND(T_Facebook_Ads[[#This Row],[impressions]]*RANDBETWEEN(8,12)/10,0)</f>
        <v>76890</v>
      </c>
      <c r="G91" s="4">
        <v>278</v>
      </c>
      <c r="H91" s="4">
        <f ca="1">T_Facebook_Ads[[#This Row],[spend]]*RANDBETWEEN(8,12)/10</f>
        <v>99.2</v>
      </c>
      <c r="I91" s="4">
        <f ca="1">ROUND(T_Facebook_Ads[[#This Row],[conversions]]*RANDBETWEEN(8,12)/10,0)</f>
        <v>9</v>
      </c>
      <c r="J91" s="4">
        <f ca="1">ROUND(T_Facebook_Ads[[#This Row],[video_views]]*RANDBETWEEN(8,12)/10,0)</f>
        <v>61880</v>
      </c>
      <c r="K91" s="4">
        <f ca="1">T_Facebook_Ads[[#This Row],[engagement_rate]]*RANDBETWEEN(8,12)/10</f>
        <v>2.8799999999999997E-3</v>
      </c>
      <c r="L91" s="4">
        <f ca="1">ROUND(T_Facebook_Ads[[#This Row],[reach]]*RANDBETWEEN(8,12)/10,0)</f>
        <v>56601</v>
      </c>
      <c r="M91" s="4">
        <f ca="1">T_Facebook_Ads[[#This Row],[frequency]]*RANDBETWEEN(8,12)/10</f>
        <v>1.107</v>
      </c>
      <c r="O91" s="3">
        <f t="shared" ca="1" si="8"/>
        <v>44947</v>
      </c>
      <c r="P91" s="4" t="s">
        <v>88</v>
      </c>
      <c r="Q91" s="4" t="s">
        <v>89</v>
      </c>
      <c r="R91" s="4" t="s">
        <v>90</v>
      </c>
      <c r="S91" s="4" t="s">
        <v>59</v>
      </c>
      <c r="T91" s="4">
        <f ca="1">ROUND(_Google_ads[[#This Row],[impressions]]*RANDBETWEEN(8,12)/10,0)</f>
        <v>142345</v>
      </c>
      <c r="U91" s="4">
        <f ca="1">ROUND(_Google_ads[[#This Row],[clicks]]*RANDBETWEEN(8,12)/10,0)</f>
        <v>654</v>
      </c>
      <c r="V91" s="4">
        <f ca="1">_Google_ads[[#This Row],[cost]]*RANDBETWEEN(8,12)/10</f>
        <v>125.91000000000001</v>
      </c>
      <c r="W91" s="4">
        <f ca="1">ROUND(_Google_ads[[#This Row],[conversions]]*RANDBETWEEN(8,12)/10,0)</f>
        <v>18</v>
      </c>
      <c r="X91" s="4">
        <f ca="1">ROUND(_Google_ads[[#This Row],[conversion_value]]*RANDBETWEEN(8,12)/10,0)</f>
        <v>960</v>
      </c>
      <c r="Y91" s="4">
        <f ca="1">_Google_ads[[#This Row],[ctr]]*RANDBETWEEN(8,12)/10</f>
        <v>3.4200000000000003E-3</v>
      </c>
      <c r="Z91" s="4">
        <f ca="1">_Google_ads[[#This Row],[avg_cpc]]*RANDBETWEEN(8,12)/10</f>
        <v>0.23399999999999999</v>
      </c>
      <c r="AA91" s="4">
        <f ca="1">ROUND(_Google_ads[[#This Row],[quality_score]]*RANDBETWEEN(8,12)/10,0)</f>
        <v>8</v>
      </c>
      <c r="AB91" s="4">
        <f ca="1">_Google_ads[[#This Row],[search_impression_share]]*RANDBETWEEN(8,12)/10</f>
        <v>0.29599999999999999</v>
      </c>
      <c r="AD91" s="3">
        <f t="shared" ca="1" si="9"/>
        <v>44947</v>
      </c>
      <c r="AE91" s="4" t="s">
        <v>112</v>
      </c>
      <c r="AF91" s="4" t="s">
        <v>113</v>
      </c>
      <c r="AG91" s="4" t="s">
        <v>114</v>
      </c>
      <c r="AH91" s="4" t="s">
        <v>115</v>
      </c>
      <c r="AI91" s="4">
        <f ca="1">ROUND(T_Tiktok_ads[[#This Row],[impressions]]*RANDBETWEEN(8,12)/10,0)</f>
        <v>514679</v>
      </c>
      <c r="AJ91" s="4">
        <f ca="1">ROUND(T_Tiktok_ads[[#This Row],[clicks]]*RANDBETWEEN(8,12)/10,0)</f>
        <v>7623</v>
      </c>
      <c r="AK91" s="4">
        <v>1189.4000000000001</v>
      </c>
      <c r="AL91" s="4">
        <f ca="1">ROUND(T_Tiktok_ads[[#This Row],[conversions]]*RANDBETWEEN(8,12)/10,0)</f>
        <v>120</v>
      </c>
      <c r="AM91" s="4">
        <f ca="1">ROUND(T_Tiktok_ads[[#This Row],[video_views]]*RANDBETWEEN(8,12)/10,0)</f>
        <v>361111</v>
      </c>
      <c r="AN91" s="4">
        <f ca="1">ROUND(T_Tiktok_ads[[#This Row],[video_watch_25]]*RANDBETWEEN(8,12)/10,0)</f>
        <v>291110</v>
      </c>
      <c r="AO91" s="4">
        <f ca="1">ROUND(T_Tiktok_ads[[#This Row],[video_watch_50]]*RANDBETWEEN(8,12)/10,0)</f>
        <v>233011</v>
      </c>
      <c r="AP91" s="4">
        <f ca="1">ROUND(T_Tiktok_ads[[#This Row],[video_watch_75]]*RANDBETWEEN(8,12)/10,0)</f>
        <v>147654</v>
      </c>
      <c r="AQ91" s="4">
        <f ca="1">ROUND(T_Tiktok_ads[[#This Row],[video_watch_100]]*RANDBETWEEN(8,12)/10,0)</f>
        <v>110111</v>
      </c>
      <c r="AR91" s="4">
        <f ca="1">ROUND(T_Tiktok_ads[[#This Row],[likes]]*RANDBETWEEN(8,12)/10,0)</f>
        <v>22868</v>
      </c>
      <c r="AS91" s="4">
        <f ca="1">ROUND(T_Tiktok_ads[[#This Row],[shares]]*RANDBETWEEN(8,12)/10,0)</f>
        <v>4827</v>
      </c>
      <c r="AT91" s="4">
        <f ca="1">ROUND(T_Tiktok_ads[[#This Row],[comments]]*RANDBETWEEN(8,12)/10,0)</f>
        <v>1342</v>
      </c>
      <c r="AV91" s="5">
        <f t="shared" ca="1" si="6"/>
        <v>44953</v>
      </c>
      <c r="AW91">
        <f t="shared" ca="1" si="10"/>
        <v>2</v>
      </c>
      <c r="AX91">
        <f ca="1">ROUND(T_Facebook_Ads11[[#This Row],[impressions]]*RANDBETWEEN(8,12)/10,0)</f>
        <v>61512</v>
      </c>
      <c r="AY91">
        <f ca="1">ROUND(T_Facebook_Ads11[[#This Row],[clicks]]*RANDBETWEEN(8,12)/10,0)</f>
        <v>222</v>
      </c>
      <c r="AZ91">
        <f ca="1">T_Facebook_Ads11[[#This Row],[spend]]*RANDBETWEEN(8,12)/10</f>
        <v>79.36</v>
      </c>
      <c r="BA91">
        <f ca="1">ROUND(T_Facebook_Ads11[[#This Row],[conversions]]*RANDBETWEEN(8,12)/10,0)</f>
        <v>7</v>
      </c>
      <c r="BB91">
        <f ca="1">ROUND(T_Facebook_Ads11[[#This Row],[video_views]]*RANDBETWEEN(8,12)/10,0)</f>
        <v>49504</v>
      </c>
    </row>
    <row r="92" spans="1:54" ht="15.75" thickBot="1" x14ac:dyDescent="0.3">
      <c r="A92" s="3">
        <f t="shared" ca="1" si="7"/>
        <v>44945</v>
      </c>
      <c r="B92" s="4" t="s">
        <v>52</v>
      </c>
      <c r="C92" s="4" t="s">
        <v>53</v>
      </c>
      <c r="D92" s="4" t="s">
        <v>54</v>
      </c>
      <c r="E92" s="4" t="s">
        <v>55</v>
      </c>
      <c r="F92" s="4">
        <f ca="1">ROUND(T_Facebook_Ads[[#This Row],[impressions]]*RANDBETWEEN(8,12)/10,0)</f>
        <v>60148</v>
      </c>
      <c r="G92" s="4">
        <v>1034</v>
      </c>
      <c r="H92" s="4">
        <f ca="1">T_Facebook_Ads[[#This Row],[spend]]*RANDBETWEEN(8,12)/10</f>
        <v>177</v>
      </c>
      <c r="I92" s="4">
        <f ca="1">ROUND(T_Facebook_Ads[[#This Row],[conversions]]*RANDBETWEEN(8,12)/10,0)</f>
        <v>20</v>
      </c>
      <c r="J92" s="4">
        <f ca="1">ROUND(T_Facebook_Ads[[#This Row],[video_views]]*RANDBETWEEN(8,12)/10,0)</f>
        <v>9123</v>
      </c>
      <c r="K92" s="4">
        <f ca="1">T_Facebook_Ads[[#This Row],[engagement_rate]]*RANDBETWEEN(8,12)/10</f>
        <v>2.06E-2</v>
      </c>
      <c r="L92" s="4">
        <f ca="1">ROUND(T_Facebook_Ads[[#This Row],[reach]]*RANDBETWEEN(8,12)/10,0)</f>
        <v>50268</v>
      </c>
      <c r="M92" s="4">
        <f ca="1">T_Facebook_Ads[[#This Row],[frequency]]*RANDBETWEEN(8,12)/10</f>
        <v>0.96</v>
      </c>
      <c r="O92" s="3">
        <f t="shared" ca="1" si="8"/>
        <v>44947</v>
      </c>
      <c r="P92" s="4" t="s">
        <v>76</v>
      </c>
      <c r="Q92" s="4" t="s">
        <v>77</v>
      </c>
      <c r="R92" s="4" t="s">
        <v>78</v>
      </c>
      <c r="S92" s="4" t="s">
        <v>79</v>
      </c>
      <c r="T92" s="4">
        <f ca="1">ROUND(_Google_ads[[#This Row],[impressions]]*RANDBETWEEN(8,12)/10,0)</f>
        <v>29468</v>
      </c>
      <c r="U92" s="4">
        <f ca="1">ROUND(_Google_ads[[#This Row],[clicks]]*RANDBETWEEN(8,12)/10,0)</f>
        <v>1240</v>
      </c>
      <c r="V92" s="4">
        <f ca="1">_Google_ads[[#This Row],[cost]]*RANDBETWEEN(8,12)/10</f>
        <v>316.08</v>
      </c>
      <c r="W92" s="4">
        <f ca="1">ROUND(_Google_ads[[#This Row],[conversions]]*RANDBETWEEN(8,12)/10,0)</f>
        <v>64</v>
      </c>
      <c r="X92" s="4">
        <f ca="1">ROUND(_Google_ads[[#This Row],[conversion_value]]*RANDBETWEEN(8,12)/10,0)</f>
        <v>2915</v>
      </c>
      <c r="Y92" s="4">
        <f ca="1">_Google_ads[[#This Row],[ctr]]*RANDBETWEEN(8,12)/10</f>
        <v>6.1800000000000001E-2</v>
      </c>
      <c r="Z92" s="4">
        <f ca="1">_Google_ads[[#This Row],[avg_cpc]]*RANDBETWEEN(8,12)/10</f>
        <v>0.22800000000000004</v>
      </c>
      <c r="AA92" s="4">
        <f ca="1">ROUND(_Google_ads[[#This Row],[quality_score]]*RANDBETWEEN(8,12)/10,0)</f>
        <v>11</v>
      </c>
      <c r="AB92" s="4">
        <f ca="1">_Google_ads[[#This Row],[search_impression_share]]*RANDBETWEEN(8,12)/10</f>
        <v>1.1040000000000001</v>
      </c>
      <c r="AD92" s="3">
        <f t="shared" ca="1" si="9"/>
        <v>44933</v>
      </c>
      <c r="AE92" s="4" t="s">
        <v>100</v>
      </c>
      <c r="AF92" s="4" t="s">
        <v>101</v>
      </c>
      <c r="AG92" s="4" t="s">
        <v>102</v>
      </c>
      <c r="AH92" s="4" t="s">
        <v>103</v>
      </c>
      <c r="AI92" s="4">
        <f ca="1">ROUND(T_Tiktok_ads[[#This Row],[impressions]]*RANDBETWEEN(8,12)/10,0)</f>
        <v>271111</v>
      </c>
      <c r="AJ92" s="4">
        <f ca="1">ROUND(T_Tiktok_ads[[#This Row],[clicks]]*RANDBETWEEN(8,12)/10,0)</f>
        <v>4010</v>
      </c>
      <c r="AK92" s="4">
        <v>589.9</v>
      </c>
      <c r="AL92" s="4">
        <f ca="1">ROUND(T_Tiktok_ads[[#This Row],[conversions]]*RANDBETWEEN(8,12)/10,0)</f>
        <v>51</v>
      </c>
      <c r="AM92" s="4">
        <f ca="1">ROUND(T_Tiktok_ads[[#This Row],[video_views]]*RANDBETWEEN(8,12)/10,0)</f>
        <v>270246</v>
      </c>
      <c r="AN92" s="4">
        <f ca="1">ROUND(T_Tiktok_ads[[#This Row],[video_watch_25]]*RANDBETWEEN(8,12)/10,0)</f>
        <v>229481</v>
      </c>
      <c r="AO92" s="4">
        <f ca="1">ROUND(T_Tiktok_ads[[#This Row],[video_watch_50]]*RANDBETWEEN(8,12)/10,0)</f>
        <v>119234</v>
      </c>
      <c r="AP92" s="4">
        <f ca="1">ROUND(T_Tiktok_ads[[#This Row],[video_watch_75]]*RANDBETWEEN(8,12)/10,0)</f>
        <v>72211</v>
      </c>
      <c r="AQ92" s="4">
        <f ca="1">ROUND(T_Tiktok_ads[[#This Row],[video_watch_100]]*RANDBETWEEN(8,12)/10,0)</f>
        <v>58802</v>
      </c>
      <c r="AR92" s="4">
        <f ca="1">ROUND(T_Tiktok_ads[[#This Row],[likes]]*RANDBETWEEN(8,12)/10,0)</f>
        <v>10789</v>
      </c>
      <c r="AS92" s="4">
        <f ca="1">ROUND(T_Tiktok_ads[[#This Row],[shares]]*RANDBETWEEN(8,12)/10,0)</f>
        <v>2901</v>
      </c>
      <c r="AT92" s="4">
        <f ca="1">ROUND(T_Tiktok_ads[[#This Row],[comments]]*RANDBETWEEN(8,12)/10,0)</f>
        <v>551</v>
      </c>
      <c r="AV92" s="5">
        <f t="shared" ca="1" si="6"/>
        <v>44935</v>
      </c>
      <c r="AW92">
        <f t="shared" ca="1" si="10"/>
        <v>1</v>
      </c>
      <c r="AX92">
        <f ca="1">ROUND(T_Facebook_Ads11[[#This Row],[impressions]]*RANDBETWEEN(8,12)/10,0)</f>
        <v>60148</v>
      </c>
      <c r="AY92">
        <f ca="1">ROUND(T_Facebook_Ads11[[#This Row],[clicks]]*RANDBETWEEN(8,12)/10,0)</f>
        <v>1034</v>
      </c>
      <c r="AZ92">
        <f ca="1">T_Facebook_Ads11[[#This Row],[spend]]*RANDBETWEEN(8,12)/10</f>
        <v>159.30000000000001</v>
      </c>
      <c r="BA92">
        <f ca="1">ROUND(T_Facebook_Ads11[[#This Row],[conversions]]*RANDBETWEEN(8,12)/10,0)</f>
        <v>20</v>
      </c>
      <c r="BB92">
        <f ca="1">ROUND(T_Facebook_Ads11[[#This Row],[video_views]]*RANDBETWEEN(8,12)/10,0)</f>
        <v>10948</v>
      </c>
    </row>
    <row r="93" spans="1:54" ht="15.75" thickBot="1" x14ac:dyDescent="0.3">
      <c r="A93" s="3">
        <f t="shared" ca="1" si="7"/>
        <v>44937</v>
      </c>
      <c r="B93" s="4" t="s">
        <v>56</v>
      </c>
      <c r="C93" s="4" t="s">
        <v>57</v>
      </c>
      <c r="D93" s="4" t="s">
        <v>58</v>
      </c>
      <c r="E93" s="4" t="s">
        <v>59</v>
      </c>
      <c r="F93" s="4">
        <f ca="1">ROUND(T_Facebook_Ads[[#This Row],[impressions]]*RANDBETWEEN(8,12)/10,0)</f>
        <v>17081</v>
      </c>
      <c r="G93" s="4">
        <v>689</v>
      </c>
      <c r="H93" s="4">
        <f ca="1">T_Facebook_Ads[[#This Row],[spend]]*RANDBETWEEN(8,12)/10</f>
        <v>254.7</v>
      </c>
      <c r="I93" s="4">
        <f ca="1">ROUND(T_Facebook_Ads[[#This Row],[conversions]]*RANDBETWEEN(8,12)/10,0)</f>
        <v>53</v>
      </c>
      <c r="J93" s="4">
        <f ca="1">ROUND(T_Facebook_Ads[[#This Row],[video_views]]*RANDBETWEEN(8,12)/10,0)</f>
        <v>1602</v>
      </c>
      <c r="K93" s="4">
        <f ca="1">T_Facebook_Ads[[#This Row],[engagement_rate]]*RANDBETWEEN(8,12)/10</f>
        <v>4.3560000000000001E-2</v>
      </c>
      <c r="L93" s="4">
        <f ca="1">ROUND(T_Facebook_Ads[[#This Row],[reach]]*RANDBETWEEN(8,12)/10,0)</f>
        <v>12357</v>
      </c>
      <c r="M93" s="4">
        <f ca="1">T_Facebook_Ads[[#This Row],[frequency]]*RANDBETWEEN(8,12)/10</f>
        <v>1.27</v>
      </c>
      <c r="O93" s="3">
        <f t="shared" ca="1" si="8"/>
        <v>44933</v>
      </c>
      <c r="P93" s="4" t="s">
        <v>80</v>
      </c>
      <c r="Q93" s="4" t="s">
        <v>81</v>
      </c>
      <c r="R93" s="4" t="s">
        <v>82</v>
      </c>
      <c r="S93" s="4" t="s">
        <v>83</v>
      </c>
      <c r="T93" s="4">
        <f ca="1">ROUND(_Google_ads[[#This Row],[impressions]]*RANDBETWEEN(8,12)/10,0)</f>
        <v>37787</v>
      </c>
      <c r="U93" s="4">
        <f ca="1">ROUND(_Google_ads[[#This Row],[clicks]]*RANDBETWEEN(8,12)/10,0)</f>
        <v>945</v>
      </c>
      <c r="V93" s="4">
        <f ca="1">_Google_ads[[#This Row],[cost]]*RANDBETWEEN(8,12)/10</f>
        <v>484.48</v>
      </c>
      <c r="W93" s="4">
        <f ca="1">ROUND(_Google_ads[[#This Row],[conversions]]*RANDBETWEEN(8,12)/10,0)</f>
        <v>23</v>
      </c>
      <c r="X93" s="4">
        <f ca="1">ROUND(_Google_ads[[#This Row],[conversion_value]]*RANDBETWEEN(8,12)/10,0)</f>
        <v>1375</v>
      </c>
      <c r="Y93" s="4">
        <f ca="1">_Google_ads[[#This Row],[ctr]]*RANDBETWEEN(8,12)/10</f>
        <v>1.7999999999999999E-2</v>
      </c>
      <c r="Z93" s="4">
        <f ca="1">_Google_ads[[#This Row],[avg_cpc]]*RANDBETWEEN(8,12)/10</f>
        <v>0.64</v>
      </c>
      <c r="AA93" s="4">
        <f ca="1">ROUND(_Google_ads[[#This Row],[quality_score]]*RANDBETWEEN(8,12)/10,0)</f>
        <v>7</v>
      </c>
      <c r="AB93" s="4">
        <f ca="1">_Google_ads[[#This Row],[search_impression_share]]*RANDBETWEEN(8,12)/10</f>
        <v>0.36799999999999999</v>
      </c>
      <c r="AD93" s="3">
        <f t="shared" ca="1" si="9"/>
        <v>44937</v>
      </c>
      <c r="AE93" s="4" t="s">
        <v>104</v>
      </c>
      <c r="AF93" s="4" t="s">
        <v>105</v>
      </c>
      <c r="AG93" s="4" t="s">
        <v>106</v>
      </c>
      <c r="AH93" s="4" t="s">
        <v>107</v>
      </c>
      <c r="AI93" s="4">
        <f ca="1">ROUND(T_Tiktok_ads[[#This Row],[impressions]]*RANDBETWEEN(8,12)/10,0)</f>
        <v>167890</v>
      </c>
      <c r="AJ93" s="4">
        <f ca="1">ROUND(T_Tiktok_ads[[#This Row],[clicks]]*RANDBETWEEN(8,12)/10,0)</f>
        <v>3234</v>
      </c>
      <c r="AK93" s="4">
        <v>845.6</v>
      </c>
      <c r="AL93" s="4">
        <f ca="1">ROUND(T_Tiktok_ads[[#This Row],[conversions]]*RANDBETWEEN(8,12)/10,0)</f>
        <v>94</v>
      </c>
      <c r="AM93" s="4">
        <f ca="1">ROUND(T_Tiktok_ads[[#This Row],[video_views]]*RANDBETWEEN(8,12)/10,0)</f>
        <v>94312</v>
      </c>
      <c r="AN93" s="4">
        <f ca="1">ROUND(T_Tiktok_ads[[#This Row],[video_watch_25]]*RANDBETWEEN(8,12)/10,0)</f>
        <v>104681</v>
      </c>
      <c r="AO93" s="4">
        <f ca="1">ROUND(T_Tiktok_ads[[#This Row],[video_watch_50]]*RANDBETWEEN(8,12)/10,0)</f>
        <v>70681</v>
      </c>
      <c r="AP93" s="4">
        <f ca="1">ROUND(T_Tiktok_ads[[#This Row],[video_watch_75]]*RANDBETWEEN(8,12)/10,0)</f>
        <v>48657</v>
      </c>
      <c r="AQ93" s="4">
        <f ca="1">ROUND(T_Tiktok_ads[[#This Row],[video_watch_100]]*RANDBETWEEN(8,12)/10,0)</f>
        <v>32524</v>
      </c>
      <c r="AR93" s="4">
        <f ca="1">ROUND(T_Tiktok_ads[[#This Row],[likes]]*RANDBETWEEN(8,12)/10,0)</f>
        <v>5110</v>
      </c>
      <c r="AS93" s="4">
        <f ca="1">ROUND(T_Tiktok_ads[[#This Row],[shares]]*RANDBETWEEN(8,12)/10,0)</f>
        <v>1471</v>
      </c>
      <c r="AT93" s="4">
        <f ca="1">ROUND(T_Tiktok_ads[[#This Row],[comments]]*RANDBETWEEN(8,12)/10,0)</f>
        <v>250</v>
      </c>
      <c r="AV93" s="5">
        <f t="shared" ca="1" si="6"/>
        <v>44948</v>
      </c>
      <c r="AW93">
        <f t="shared" ca="1" si="10"/>
        <v>2</v>
      </c>
      <c r="AX93">
        <f ca="1">ROUND(T_Facebook_Ads11[[#This Row],[impressions]]*RANDBETWEEN(8,12)/10,0)</f>
        <v>20497</v>
      </c>
      <c r="AY93">
        <f ca="1">ROUND(T_Facebook_Ads11[[#This Row],[clicks]]*RANDBETWEEN(8,12)/10,0)</f>
        <v>689</v>
      </c>
      <c r="AZ93">
        <f ca="1">T_Facebook_Ads11[[#This Row],[spend]]*RANDBETWEEN(8,12)/10</f>
        <v>203.76</v>
      </c>
      <c r="BA93">
        <f ca="1">ROUND(T_Facebook_Ads11[[#This Row],[conversions]]*RANDBETWEEN(8,12)/10,0)</f>
        <v>48</v>
      </c>
      <c r="BB93">
        <f ca="1">ROUND(T_Facebook_Ads11[[#This Row],[video_views]]*RANDBETWEEN(8,12)/10,0)</f>
        <v>1762</v>
      </c>
    </row>
    <row r="94" spans="1:54" ht="15.75" thickBot="1" x14ac:dyDescent="0.3">
      <c r="A94" s="3">
        <f t="shared" ca="1" si="7"/>
        <v>44941</v>
      </c>
      <c r="B94" s="4" t="s">
        <v>60</v>
      </c>
      <c r="C94" s="4" t="s">
        <v>61</v>
      </c>
      <c r="D94" s="4" t="s">
        <v>62</v>
      </c>
      <c r="E94" s="4" t="s">
        <v>63</v>
      </c>
      <c r="F94" s="4">
        <f ca="1">ROUND(T_Facebook_Ads[[#This Row],[impressions]]*RANDBETWEEN(8,12)/10,0)</f>
        <v>35001</v>
      </c>
      <c r="G94" s="4">
        <v>1445</v>
      </c>
      <c r="H94" s="4">
        <f ca="1">T_Facebook_Ads[[#This Row],[spend]]*RANDBETWEEN(8,12)/10</f>
        <v>208.07999999999998</v>
      </c>
      <c r="I94" s="4">
        <f ca="1">ROUND(T_Facebook_Ads[[#This Row],[conversions]]*RANDBETWEEN(8,12)/10,0)</f>
        <v>32</v>
      </c>
      <c r="J94" s="4">
        <f ca="1">ROUND(T_Facebook_Ads[[#This Row],[video_views]]*RANDBETWEEN(8,12)/10,0)</f>
        <v>5635</v>
      </c>
      <c r="K94" s="4">
        <f ca="1">T_Facebook_Ads[[#This Row],[engagement_rate]]*RANDBETWEEN(8,12)/10</f>
        <v>2.9759999999999998E-2</v>
      </c>
      <c r="L94" s="4">
        <f ca="1">ROUND(T_Facebook_Ads[[#This Row],[reach]]*RANDBETWEEN(8,12)/10,0)</f>
        <v>25254</v>
      </c>
      <c r="M94" s="4">
        <f ca="1">T_Facebook_Ads[[#This Row],[frequency]]*RANDBETWEEN(8,12)/10</f>
        <v>1.107</v>
      </c>
      <c r="O94" s="3">
        <f t="shared" ca="1" si="8"/>
        <v>44931</v>
      </c>
      <c r="P94" s="4" t="s">
        <v>84</v>
      </c>
      <c r="Q94" s="4" t="s">
        <v>85</v>
      </c>
      <c r="R94" s="4" t="s">
        <v>86</v>
      </c>
      <c r="S94" s="4" t="s">
        <v>87</v>
      </c>
      <c r="T94" s="4">
        <f ca="1">ROUND(_Google_ads[[#This Row],[impressions]]*RANDBETWEEN(8,12)/10,0)</f>
        <v>72890</v>
      </c>
      <c r="U94" s="4">
        <f ca="1">ROUND(_Google_ads[[#This Row],[clicks]]*RANDBETWEEN(8,12)/10,0)</f>
        <v>2434</v>
      </c>
      <c r="V94" s="4">
        <f ca="1">_Google_ads[[#This Row],[cost]]*RANDBETWEEN(8,12)/10</f>
        <v>540.24</v>
      </c>
      <c r="W94" s="4">
        <f ca="1">ROUND(_Google_ads[[#This Row],[conversions]]*RANDBETWEEN(8,12)/10,0)</f>
        <v>64</v>
      </c>
      <c r="X94" s="4">
        <f ca="1">ROUND(_Google_ads[[#This Row],[conversion_value]]*RANDBETWEEN(8,12)/10,0)</f>
        <v>4260</v>
      </c>
      <c r="Y94" s="4">
        <f ca="1">_Google_ads[[#This Row],[ctr]]*RANDBETWEEN(8,12)/10</f>
        <v>3.0059999999999996E-2</v>
      </c>
      <c r="Z94" s="4">
        <f ca="1">_Google_ads[[#This Row],[avg_cpc]]*RANDBETWEEN(8,12)/10</f>
        <v>0.16199999999999998</v>
      </c>
      <c r="AA94" s="4">
        <f ca="1">ROUND(_Google_ads[[#This Row],[quality_score]]*RANDBETWEEN(8,12)/10,0)</f>
        <v>9</v>
      </c>
      <c r="AB94" s="4">
        <f ca="1">_Google_ads[[#This Row],[search_impression_share]]*RANDBETWEEN(8,12)/10</f>
        <v>0.62099999999999989</v>
      </c>
      <c r="AD94" s="3">
        <f t="shared" ca="1" si="9"/>
        <v>44941</v>
      </c>
      <c r="AE94" s="4" t="s">
        <v>108</v>
      </c>
      <c r="AF94" s="4" t="s">
        <v>109</v>
      </c>
      <c r="AG94" s="4" t="s">
        <v>110</v>
      </c>
      <c r="AH94" s="4" t="s">
        <v>111</v>
      </c>
      <c r="AI94" s="4">
        <f ca="1">ROUND(T_Tiktok_ads[[#This Row],[impressions]]*RANDBETWEEN(8,12)/10,0)</f>
        <v>205431</v>
      </c>
      <c r="AJ94" s="4">
        <f ca="1">ROUND(T_Tiktok_ads[[#This Row],[clicks]]*RANDBETWEEN(8,12)/10,0)</f>
        <v>4413</v>
      </c>
      <c r="AK94" s="4">
        <v>489.2</v>
      </c>
      <c r="AL94" s="4">
        <f ca="1">ROUND(T_Tiktok_ads[[#This Row],[conversions]]*RANDBETWEEN(8,12)/10,0)</f>
        <v>36</v>
      </c>
      <c r="AM94" s="4">
        <f ca="1">ROUND(T_Tiktok_ads[[#This Row],[video_views]]*RANDBETWEEN(8,12)/10,0)</f>
        <v>241481</v>
      </c>
      <c r="AN94" s="4">
        <f ca="1">ROUND(T_Tiktok_ads[[#This Row],[video_watch_25]]*RANDBETWEEN(8,12)/10,0)</f>
        <v>182814</v>
      </c>
      <c r="AO94" s="4">
        <f ca="1">ROUND(T_Tiktok_ads[[#This Row],[video_watch_50]]*RANDBETWEEN(8,12)/10,0)</f>
        <v>144547</v>
      </c>
      <c r="AP94" s="4">
        <f ca="1">ROUND(T_Tiktok_ads[[#This Row],[video_watch_75]]*RANDBETWEEN(8,12)/10,0)</f>
        <v>70101</v>
      </c>
      <c r="AQ94" s="4">
        <f ca="1">ROUND(T_Tiktok_ads[[#This Row],[video_watch_100]]*RANDBETWEEN(8,12)/10,0)</f>
        <v>47234</v>
      </c>
      <c r="AR94" s="4">
        <f ca="1">ROUND(T_Tiktok_ads[[#This Row],[likes]]*RANDBETWEEN(8,12)/10,0)</f>
        <v>8011</v>
      </c>
      <c r="AS94" s="4">
        <f ca="1">ROUND(T_Tiktok_ads[[#This Row],[shares]]*RANDBETWEEN(8,12)/10,0)</f>
        <v>1965</v>
      </c>
      <c r="AT94" s="4">
        <f ca="1">ROUND(T_Tiktok_ads[[#This Row],[comments]]*RANDBETWEEN(8,12)/10,0)</f>
        <v>530</v>
      </c>
      <c r="AV94" s="5">
        <f t="shared" ca="1" si="6"/>
        <v>44948</v>
      </c>
      <c r="AW94">
        <f t="shared" ca="1" si="10"/>
        <v>7</v>
      </c>
      <c r="AX94">
        <f ca="1">ROUND(T_Facebook_Ads11[[#This Row],[impressions]]*RANDBETWEEN(8,12)/10,0)</f>
        <v>42001</v>
      </c>
      <c r="AY94">
        <f ca="1">ROUND(T_Facebook_Ads11[[#This Row],[clicks]]*RANDBETWEEN(8,12)/10,0)</f>
        <v>1734</v>
      </c>
      <c r="AZ94">
        <f ca="1">T_Facebook_Ads11[[#This Row],[spend]]*RANDBETWEEN(8,12)/10</f>
        <v>249.696</v>
      </c>
      <c r="BA94">
        <f ca="1">ROUND(T_Facebook_Ads11[[#This Row],[conversions]]*RANDBETWEEN(8,12)/10,0)</f>
        <v>35</v>
      </c>
      <c r="BB94">
        <f ca="1">ROUND(T_Facebook_Ads11[[#This Row],[video_views]]*RANDBETWEEN(8,12)/10,0)</f>
        <v>5635</v>
      </c>
    </row>
    <row r="95" spans="1:54" ht="15.75" thickBot="1" x14ac:dyDescent="0.3">
      <c r="A95" s="3">
        <f t="shared" ca="1" si="7"/>
        <v>44938</v>
      </c>
      <c r="B95" s="4" t="s">
        <v>64</v>
      </c>
      <c r="C95" s="4" t="s">
        <v>65</v>
      </c>
      <c r="D95" s="4" t="s">
        <v>66</v>
      </c>
      <c r="E95" s="4" t="s">
        <v>67</v>
      </c>
      <c r="F95" s="4">
        <f ca="1">ROUND(T_Facebook_Ads[[#This Row],[impressions]]*RANDBETWEEN(8,12)/10,0)</f>
        <v>58765</v>
      </c>
      <c r="G95" s="4">
        <v>261</v>
      </c>
      <c r="H95" s="4">
        <f ca="1">T_Facebook_Ads[[#This Row],[spend]]*RANDBETWEEN(8,12)/10</f>
        <v>104.05999999999999</v>
      </c>
      <c r="I95" s="4">
        <f ca="1">ROUND(T_Facebook_Ads[[#This Row],[conversions]]*RANDBETWEEN(8,12)/10,0)</f>
        <v>8</v>
      </c>
      <c r="J95" s="4">
        <f ca="1">ROUND(T_Facebook_Ads[[#This Row],[video_views]]*RANDBETWEEN(8,12)/10,0)</f>
        <v>39387</v>
      </c>
      <c r="K95" s="4">
        <f ca="1">T_Facebook_Ads[[#This Row],[engagement_rate]]*RANDBETWEEN(8,12)/10</f>
        <v>3.96E-3</v>
      </c>
      <c r="L95" s="4">
        <f ca="1">ROUND(T_Facebook_Ads[[#This Row],[reach]]*RANDBETWEEN(8,12)/10,0)</f>
        <v>47654</v>
      </c>
      <c r="M95" s="4">
        <f ca="1">T_Facebook_Ads[[#This Row],[frequency]]*RANDBETWEEN(8,12)/10</f>
        <v>1.476</v>
      </c>
      <c r="O95" s="3">
        <f t="shared" ca="1" si="8"/>
        <v>44957</v>
      </c>
      <c r="P95" s="4" t="s">
        <v>88</v>
      </c>
      <c r="Q95" s="4" t="s">
        <v>89</v>
      </c>
      <c r="R95" s="4" t="s">
        <v>90</v>
      </c>
      <c r="S95" s="4" t="s">
        <v>59</v>
      </c>
      <c r="T95" s="4">
        <f ca="1">ROUND(_Google_ads[[#This Row],[impressions]]*RANDBETWEEN(8,12)/10,0)</f>
        <v>152424</v>
      </c>
      <c r="U95" s="4">
        <f ca="1">ROUND(_Google_ads[[#This Row],[clicks]]*RANDBETWEEN(8,12)/10,0)</f>
        <v>410</v>
      </c>
      <c r="V95" s="4">
        <f ca="1">_Google_ads[[#This Row],[cost]]*RANDBETWEEN(8,12)/10</f>
        <v>122.58</v>
      </c>
      <c r="W95" s="4">
        <f ca="1">ROUND(_Google_ads[[#This Row],[conversions]]*RANDBETWEEN(8,12)/10,0)</f>
        <v>15</v>
      </c>
      <c r="X95" s="4">
        <f ca="1">ROUND(_Google_ads[[#This Row],[conversion_value]]*RANDBETWEEN(8,12)/10,0)</f>
        <v>675</v>
      </c>
      <c r="Y95" s="4">
        <f ca="1">_Google_ads[[#This Row],[ctr]]*RANDBETWEEN(8,12)/10</f>
        <v>4.0699999999999998E-3</v>
      </c>
      <c r="Z95" s="4">
        <f ca="1">_Google_ads[[#This Row],[avg_cpc]]*RANDBETWEEN(8,12)/10</f>
        <v>0.21600000000000003</v>
      </c>
      <c r="AA95" s="4">
        <f ca="1">ROUND(_Google_ads[[#This Row],[quality_score]]*RANDBETWEEN(8,12)/10,0)</f>
        <v>6</v>
      </c>
      <c r="AB95" s="4">
        <f ca="1">_Google_ads[[#This Row],[search_impression_share]]*RANDBETWEEN(8,12)/10</f>
        <v>0.28799999999999998</v>
      </c>
      <c r="AD95" s="3">
        <f t="shared" ca="1" si="9"/>
        <v>44934</v>
      </c>
      <c r="AE95" s="4" t="s">
        <v>112</v>
      </c>
      <c r="AF95" s="4" t="s">
        <v>113</v>
      </c>
      <c r="AG95" s="4" t="s">
        <v>114</v>
      </c>
      <c r="AH95" s="4" t="s">
        <v>115</v>
      </c>
      <c r="AI95" s="4">
        <f ca="1">ROUND(T_Tiktok_ads[[#This Row],[impressions]]*RANDBETWEEN(8,12)/10,0)</f>
        <v>401110</v>
      </c>
      <c r="AJ95" s="4">
        <f ca="1">ROUND(T_Tiktok_ads[[#This Row],[clicks]]*RANDBETWEEN(8,12)/10,0)</f>
        <v>5787</v>
      </c>
      <c r="AK95" s="4">
        <v>1123.5</v>
      </c>
      <c r="AL95" s="4">
        <f ca="1">ROUND(T_Tiktok_ads[[#This Row],[conversions]]*RANDBETWEEN(8,12)/10,0)</f>
        <v>124</v>
      </c>
      <c r="AM95" s="4">
        <f ca="1">ROUND(T_Tiktok_ads[[#This Row],[video_views]]*RANDBETWEEN(8,12)/10,0)</f>
        <v>454681</v>
      </c>
      <c r="AN95" s="4">
        <f ca="1">ROUND(T_Tiktok_ads[[#This Row],[video_watch_25]]*RANDBETWEEN(8,12)/10,0)</f>
        <v>304567</v>
      </c>
      <c r="AO95" s="4">
        <f ca="1">ROUND(T_Tiktok_ads[[#This Row],[video_watch_50]]*RANDBETWEEN(8,12)/10,0)</f>
        <v>267802</v>
      </c>
      <c r="AP95" s="4">
        <f ca="1">ROUND(T_Tiktok_ads[[#This Row],[video_watch_75]]*RANDBETWEEN(8,12)/10,0)</f>
        <v>206814</v>
      </c>
      <c r="AQ95" s="4">
        <f ca="1">ROUND(T_Tiktok_ads[[#This Row],[video_watch_100]]*RANDBETWEEN(8,12)/10,0)</f>
        <v>91654</v>
      </c>
      <c r="AR95" s="4">
        <f ca="1">ROUND(T_Tiktok_ads[[#This Row],[likes]]*RANDBETWEEN(8,12)/10,0)</f>
        <v>19567</v>
      </c>
      <c r="AS95" s="4">
        <f ca="1">ROUND(T_Tiktok_ads[[#This Row],[shares]]*RANDBETWEEN(8,12)/10,0)</f>
        <v>6814</v>
      </c>
      <c r="AT95" s="4">
        <f ca="1">ROUND(T_Tiktok_ads[[#This Row],[comments]]*RANDBETWEEN(8,12)/10,0)</f>
        <v>1410</v>
      </c>
      <c r="AV95" s="5">
        <f t="shared" ca="1" si="6"/>
        <v>44956</v>
      </c>
      <c r="AW95">
        <f t="shared" ca="1" si="10"/>
        <v>5</v>
      </c>
      <c r="AX95">
        <f ca="1">ROUND(T_Facebook_Ads11[[#This Row],[impressions]]*RANDBETWEEN(8,12)/10,0)</f>
        <v>58765</v>
      </c>
      <c r="AY95">
        <f ca="1">ROUND(T_Facebook_Ads11[[#This Row],[clicks]]*RANDBETWEEN(8,12)/10,0)</f>
        <v>235</v>
      </c>
      <c r="AZ95">
        <f ca="1">T_Facebook_Ads11[[#This Row],[spend]]*RANDBETWEEN(8,12)/10</f>
        <v>93.653999999999982</v>
      </c>
      <c r="BA95">
        <f ca="1">ROUND(T_Facebook_Ads11[[#This Row],[conversions]]*RANDBETWEEN(8,12)/10,0)</f>
        <v>7</v>
      </c>
      <c r="BB95">
        <f ca="1">ROUND(T_Facebook_Ads11[[#This Row],[video_views]]*RANDBETWEEN(8,12)/10,0)</f>
        <v>31510</v>
      </c>
    </row>
    <row r="96" spans="1:54" ht="15.75" thickBot="1" x14ac:dyDescent="0.3">
      <c r="A96" s="3">
        <f t="shared" ca="1" si="7"/>
        <v>44928</v>
      </c>
      <c r="B96" s="4" t="s">
        <v>52</v>
      </c>
      <c r="C96" s="4" t="s">
        <v>53</v>
      </c>
      <c r="D96" s="4" t="s">
        <v>54</v>
      </c>
      <c r="E96" s="4" t="s">
        <v>55</v>
      </c>
      <c r="F96" s="4">
        <f ca="1">ROUND(T_Facebook_Ads[[#This Row],[impressions]]*RANDBETWEEN(8,12)/10,0)</f>
        <v>55481</v>
      </c>
      <c r="G96" s="4">
        <v>934</v>
      </c>
      <c r="H96" s="4">
        <f ca="1">T_Facebook_Ads[[#This Row],[spend]]*RANDBETWEEN(8,12)/10</f>
        <v>147.18</v>
      </c>
      <c r="I96" s="4">
        <f ca="1">ROUND(T_Facebook_Ads[[#This Row],[conversions]]*RANDBETWEEN(8,12)/10,0)</f>
        <v>18</v>
      </c>
      <c r="J96" s="4">
        <f ca="1">ROUND(T_Facebook_Ads[[#This Row],[video_views]]*RANDBETWEEN(8,12)/10,0)</f>
        <v>8456</v>
      </c>
      <c r="K96" s="4">
        <f ca="1">T_Facebook_Ads[[#This Row],[engagement_rate]]*RANDBETWEEN(8,12)/10</f>
        <v>2.4240000000000001E-2</v>
      </c>
      <c r="L96" s="4">
        <f ca="1">ROUND(T_Facebook_Ads[[#This Row],[reach]]*RANDBETWEEN(8,12)/10,0)</f>
        <v>35001</v>
      </c>
      <c r="M96" s="4">
        <f ca="1">T_Facebook_Ads[[#This Row],[frequency]]*RANDBETWEEN(8,12)/10</f>
        <v>1.3089999999999999</v>
      </c>
      <c r="O96" s="3">
        <f t="shared" ca="1" si="8"/>
        <v>44953</v>
      </c>
      <c r="P96" s="4" t="s">
        <v>76</v>
      </c>
      <c r="Q96" s="4" t="s">
        <v>77</v>
      </c>
      <c r="R96" s="4" t="s">
        <v>78</v>
      </c>
      <c r="S96" s="4" t="s">
        <v>79</v>
      </c>
      <c r="T96" s="4">
        <f ca="1">ROUND(_Google_ads[[#This Row],[impressions]]*RANDBETWEEN(8,12)/10,0)</f>
        <v>20187</v>
      </c>
      <c r="U96" s="4">
        <f ca="1">ROUND(_Google_ads[[#This Row],[clicks]]*RANDBETWEEN(8,12)/10,0)</f>
        <v>1574</v>
      </c>
      <c r="V96" s="4">
        <f ca="1">_Google_ads[[#This Row],[cost]]*RANDBETWEEN(8,12)/10</f>
        <v>250.3</v>
      </c>
      <c r="W96" s="4">
        <f ca="1">ROUND(_Google_ads[[#This Row],[conversions]]*RANDBETWEEN(8,12)/10,0)</f>
        <v>54</v>
      </c>
      <c r="X96" s="4">
        <f ca="1">ROUND(_Google_ads[[#This Row],[conversion_value]]*RANDBETWEEN(8,12)/10,0)</f>
        <v>2695</v>
      </c>
      <c r="Y96" s="4">
        <f ca="1">_Google_ads[[#This Row],[ctr]]*RANDBETWEEN(8,12)/10</f>
        <v>5.2000000000000005E-2</v>
      </c>
      <c r="Z96" s="4">
        <f ca="1">_Google_ads[[#This Row],[avg_cpc]]*RANDBETWEEN(8,12)/10</f>
        <v>0.20899999999999999</v>
      </c>
      <c r="AA96" s="4">
        <f ca="1">ROUND(_Google_ads[[#This Row],[quality_score]]*RANDBETWEEN(8,12)/10,0)</f>
        <v>11</v>
      </c>
      <c r="AB96" s="4">
        <f ca="1">_Google_ads[[#This Row],[search_impression_share]]*RANDBETWEEN(8,12)/10</f>
        <v>0.72799999999999998</v>
      </c>
      <c r="AD96" s="3">
        <f t="shared" ca="1" si="9"/>
        <v>44957</v>
      </c>
      <c r="AE96" s="4" t="s">
        <v>100</v>
      </c>
      <c r="AF96" s="4" t="s">
        <v>101</v>
      </c>
      <c r="AG96" s="4" t="s">
        <v>102</v>
      </c>
      <c r="AH96" s="4" t="s">
        <v>103</v>
      </c>
      <c r="AI96" s="4">
        <f ca="1">ROUND(T_Tiktok_ads[[#This Row],[impressions]]*RANDBETWEEN(8,12)/10,0)</f>
        <v>334681</v>
      </c>
      <c r="AJ96" s="4">
        <f ca="1">ROUND(T_Tiktok_ads[[#This Row],[clicks]]*RANDBETWEEN(8,12)/10,0)</f>
        <v>4535</v>
      </c>
      <c r="AK96" s="4">
        <v>545.6</v>
      </c>
      <c r="AL96" s="4">
        <f ca="1">ROUND(T_Tiktok_ads[[#This Row],[conversions]]*RANDBETWEEN(8,12)/10,0)</f>
        <v>38</v>
      </c>
      <c r="AM96" s="4">
        <f ca="1">ROUND(T_Tiktok_ads[[#This Row],[video_views]]*RANDBETWEEN(8,12)/10,0)</f>
        <v>252157</v>
      </c>
      <c r="AN96" s="4">
        <f ca="1">ROUND(T_Tiktok_ads[[#This Row],[video_watch_25]]*RANDBETWEEN(8,12)/10,0)</f>
        <v>143387</v>
      </c>
      <c r="AO96" s="4">
        <f ca="1">ROUND(T_Tiktok_ads[[#This Row],[video_watch_50]]*RANDBETWEEN(8,12)/10,0)</f>
        <v>134681</v>
      </c>
      <c r="AP96" s="4">
        <f ca="1">ROUND(T_Tiktok_ads[[#This Row],[video_watch_75]]*RANDBETWEEN(8,12)/10,0)</f>
        <v>75678</v>
      </c>
      <c r="AQ96" s="4">
        <f ca="1">ROUND(T_Tiktok_ads[[#This Row],[video_watch_100]]*RANDBETWEEN(8,12)/10,0)</f>
        <v>60281</v>
      </c>
      <c r="AR96" s="4">
        <f ca="1">ROUND(T_Tiktok_ads[[#This Row],[likes]]*RANDBETWEEN(8,12)/10,0)</f>
        <v>10123</v>
      </c>
      <c r="AS96" s="4">
        <f ca="1">ROUND(T_Tiktok_ads[[#This Row],[shares]]*RANDBETWEEN(8,12)/10,0)</f>
        <v>2170</v>
      </c>
      <c r="AT96" s="4">
        <f ca="1">ROUND(T_Tiktok_ads[[#This Row],[comments]]*RANDBETWEEN(8,12)/10,0)</f>
        <v>581</v>
      </c>
      <c r="AV96" s="5">
        <f t="shared" ca="1" si="6"/>
        <v>44950</v>
      </c>
      <c r="AW96">
        <f t="shared" ca="1" si="10"/>
        <v>3</v>
      </c>
      <c r="AX96">
        <f ca="1">ROUND(T_Facebook_Ads11[[#This Row],[impressions]]*RANDBETWEEN(8,12)/10,0)</f>
        <v>55481</v>
      </c>
      <c r="AY96">
        <f ca="1">ROUND(T_Facebook_Ads11[[#This Row],[clicks]]*RANDBETWEEN(8,12)/10,0)</f>
        <v>934</v>
      </c>
      <c r="AZ96">
        <f ca="1">T_Facebook_Ads11[[#This Row],[spend]]*RANDBETWEEN(8,12)/10</f>
        <v>117.744</v>
      </c>
      <c r="BA96">
        <f ca="1">ROUND(T_Facebook_Ads11[[#This Row],[conversions]]*RANDBETWEEN(8,12)/10,0)</f>
        <v>14</v>
      </c>
      <c r="BB96">
        <f ca="1">ROUND(T_Facebook_Ads11[[#This Row],[video_views]]*RANDBETWEEN(8,12)/10,0)</f>
        <v>10147</v>
      </c>
    </row>
    <row r="97" spans="1:54" ht="15.75" thickBot="1" x14ac:dyDescent="0.3">
      <c r="A97" s="3">
        <f t="shared" ca="1" si="7"/>
        <v>44944</v>
      </c>
      <c r="B97" s="4" t="s">
        <v>56</v>
      </c>
      <c r="C97" s="4" t="s">
        <v>57</v>
      </c>
      <c r="D97" s="4" t="s">
        <v>58</v>
      </c>
      <c r="E97" s="4" t="s">
        <v>59</v>
      </c>
      <c r="F97" s="4">
        <f ca="1">ROUND(T_Facebook_Ads[[#This Row],[impressions]]*RANDBETWEEN(8,12)/10,0)</f>
        <v>15080</v>
      </c>
      <c r="G97" s="4">
        <v>567</v>
      </c>
      <c r="H97" s="4">
        <f ca="1">T_Facebook_Ads[[#This Row],[spend]]*RANDBETWEEN(8,12)/10</f>
        <v>230.34</v>
      </c>
      <c r="I97" s="4">
        <f ca="1">ROUND(T_Facebook_Ads[[#This Row],[conversions]]*RANDBETWEEN(8,12)/10,0)</f>
        <v>40</v>
      </c>
      <c r="J97" s="4">
        <f ca="1">ROUND(T_Facebook_Ads[[#This Row],[video_views]]*RANDBETWEEN(8,12)/10,0)</f>
        <v>1520</v>
      </c>
      <c r="K97" s="4">
        <f ca="1">T_Facebook_Ads[[#This Row],[engagement_rate]]*RANDBETWEEN(8,12)/10</f>
        <v>4.9610000000000001E-2</v>
      </c>
      <c r="L97" s="4">
        <f ca="1">ROUND(T_Facebook_Ads[[#This Row],[reach]]*RANDBETWEEN(8,12)/10,0)</f>
        <v>9890</v>
      </c>
      <c r="M97" s="4">
        <f ca="1">T_Facebook_Ads[[#This Row],[frequency]]*RANDBETWEEN(8,12)/10</f>
        <v>1.27</v>
      </c>
      <c r="O97" s="3">
        <f t="shared" ca="1" si="8"/>
        <v>44946</v>
      </c>
      <c r="P97" s="4" t="s">
        <v>80</v>
      </c>
      <c r="Q97" s="4" t="s">
        <v>81</v>
      </c>
      <c r="R97" s="4" t="s">
        <v>82</v>
      </c>
      <c r="S97" s="4" t="s">
        <v>83</v>
      </c>
      <c r="T97" s="4">
        <f ca="1">ROUND(_Google_ads[[#This Row],[impressions]]*RANDBETWEEN(8,12)/10,0)</f>
        <v>54814</v>
      </c>
      <c r="U97" s="4">
        <f ca="1">ROUND(_Google_ads[[#This Row],[clicks]]*RANDBETWEEN(8,12)/10,0)</f>
        <v>1081</v>
      </c>
      <c r="V97" s="4">
        <f ca="1">_Google_ads[[#This Row],[cost]]*RANDBETWEEN(8,12)/10</f>
        <v>642.95000000000005</v>
      </c>
      <c r="W97" s="4">
        <f ca="1">ROUND(_Google_ads[[#This Row],[conversions]]*RANDBETWEEN(8,12)/10,0)</f>
        <v>22</v>
      </c>
      <c r="X97" s="4">
        <f ca="1">ROUND(_Google_ads[[#This Row],[conversion_value]]*RANDBETWEEN(8,12)/10,0)</f>
        <v>1440</v>
      </c>
      <c r="Y97" s="4">
        <f ca="1">_Google_ads[[#This Row],[ctr]]*RANDBETWEEN(8,12)/10</f>
        <v>2.3640000000000001E-2</v>
      </c>
      <c r="Z97" s="4">
        <f ca="1">_Google_ads[[#This Row],[avg_cpc]]*RANDBETWEEN(8,12)/10</f>
        <v>0.65</v>
      </c>
      <c r="AA97" s="4">
        <f ca="1">ROUND(_Google_ads[[#This Row],[quality_score]]*RANDBETWEEN(8,12)/10,0)</f>
        <v>6</v>
      </c>
      <c r="AB97" s="4">
        <f ca="1">_Google_ads[[#This Row],[search_impression_share]]*RANDBETWEEN(8,12)/10</f>
        <v>0.495</v>
      </c>
      <c r="AD97" s="3">
        <f t="shared" ca="1" si="9"/>
        <v>44928</v>
      </c>
      <c r="AE97" s="4" t="s">
        <v>104</v>
      </c>
      <c r="AF97" s="4" t="s">
        <v>105</v>
      </c>
      <c r="AG97" s="4" t="s">
        <v>106</v>
      </c>
      <c r="AH97" s="4" t="s">
        <v>107</v>
      </c>
      <c r="AI97" s="4">
        <f ca="1">ROUND(T_Tiktok_ads[[#This Row],[impressions]]*RANDBETWEEN(8,12)/10,0)</f>
        <v>122765</v>
      </c>
      <c r="AJ97" s="4">
        <f ca="1">ROUND(T_Tiktok_ads[[#This Row],[clicks]]*RANDBETWEEN(8,12)/10,0)</f>
        <v>2651</v>
      </c>
      <c r="AK97" s="4">
        <v>789.2</v>
      </c>
      <c r="AL97" s="4">
        <f ca="1">ROUND(T_Tiktok_ads[[#This Row],[conversions]]*RANDBETWEEN(8,12)/10,0)</f>
        <v>71</v>
      </c>
      <c r="AM97" s="4">
        <f ca="1">ROUND(T_Tiktok_ads[[#This Row],[video_views]]*RANDBETWEEN(8,12)/10,0)</f>
        <v>107890</v>
      </c>
      <c r="AN97" s="4">
        <f ca="1">ROUND(T_Tiktok_ads[[#This Row],[video_watch_25]]*RANDBETWEEN(8,12)/10,0)</f>
        <v>71610</v>
      </c>
      <c r="AO97" s="4">
        <f ca="1">ROUND(T_Tiktok_ads[[#This Row],[video_watch_50]]*RANDBETWEEN(8,12)/10,0)</f>
        <v>64414</v>
      </c>
      <c r="AP97" s="4">
        <f ca="1">ROUND(T_Tiktok_ads[[#This Row],[video_watch_75]]*RANDBETWEEN(8,12)/10,0)</f>
        <v>44257</v>
      </c>
      <c r="AQ97" s="4">
        <f ca="1">ROUND(T_Tiktok_ads[[#This Row],[video_watch_100]]*RANDBETWEEN(8,12)/10,0)</f>
        <v>29579</v>
      </c>
      <c r="AR97" s="4">
        <f ca="1">ROUND(T_Tiktok_ads[[#This Row],[likes]]*RANDBETWEEN(8,12)/10,0)</f>
        <v>5757</v>
      </c>
      <c r="AS97" s="4">
        <f ca="1">ROUND(T_Tiktok_ads[[#This Row],[shares]]*RANDBETWEEN(8,12)/10,0)</f>
        <v>1747</v>
      </c>
      <c r="AT97" s="4">
        <f ca="1">ROUND(T_Tiktok_ads[[#This Row],[comments]]*RANDBETWEEN(8,12)/10,0)</f>
        <v>334</v>
      </c>
      <c r="AV97" s="5">
        <f t="shared" ca="1" si="6"/>
        <v>44947</v>
      </c>
      <c r="AW97">
        <f t="shared" ca="1" si="10"/>
        <v>8</v>
      </c>
      <c r="AX97">
        <f ca="1">ROUND(T_Facebook_Ads11[[#This Row],[impressions]]*RANDBETWEEN(8,12)/10,0)</f>
        <v>12064</v>
      </c>
      <c r="AY97">
        <f ca="1">ROUND(T_Facebook_Ads11[[#This Row],[clicks]]*RANDBETWEEN(8,12)/10,0)</f>
        <v>510</v>
      </c>
      <c r="AZ97">
        <f ca="1">T_Facebook_Ads11[[#This Row],[spend]]*RANDBETWEEN(8,12)/10</f>
        <v>230.34</v>
      </c>
      <c r="BA97">
        <f ca="1">ROUND(T_Facebook_Ads11[[#This Row],[conversions]]*RANDBETWEEN(8,12)/10,0)</f>
        <v>32</v>
      </c>
      <c r="BB97">
        <f ca="1">ROUND(T_Facebook_Ads11[[#This Row],[video_views]]*RANDBETWEEN(8,12)/10,0)</f>
        <v>1216</v>
      </c>
    </row>
    <row r="98" spans="1:54" ht="15.75" thickBot="1" x14ac:dyDescent="0.3">
      <c r="A98" s="3">
        <f t="shared" ca="1" si="7"/>
        <v>44957</v>
      </c>
      <c r="B98" s="4" t="s">
        <v>60</v>
      </c>
      <c r="C98" s="4" t="s">
        <v>61</v>
      </c>
      <c r="D98" s="4" t="s">
        <v>62</v>
      </c>
      <c r="E98" s="4" t="s">
        <v>63</v>
      </c>
      <c r="F98" s="4">
        <f ca="1">ROUND(T_Facebook_Ads[[#This Row],[impressions]]*RANDBETWEEN(8,12)/10,0)</f>
        <v>43068</v>
      </c>
      <c r="G98" s="4">
        <v>1289</v>
      </c>
      <c r="H98" s="4">
        <f ca="1">T_Facebook_Ads[[#This Row],[spend]]*RANDBETWEEN(8,12)/10</f>
        <v>158.24</v>
      </c>
      <c r="I98" s="4">
        <f ca="1">ROUND(T_Facebook_Ads[[#This Row],[conversions]]*RANDBETWEEN(8,12)/10,0)</f>
        <v>24</v>
      </c>
      <c r="J98" s="4">
        <f ca="1">ROUND(T_Facebook_Ads[[#This Row],[video_views]]*RANDBETWEEN(8,12)/10,0)</f>
        <v>4110</v>
      </c>
      <c r="K98" s="4">
        <f ca="1">T_Facebook_Ads[[#This Row],[engagement_rate]]*RANDBETWEEN(8,12)/10</f>
        <v>4.308E-2</v>
      </c>
      <c r="L98" s="4">
        <f ca="1">ROUND(T_Facebook_Ads[[#This Row],[reach]]*RANDBETWEEN(8,12)/10,0)</f>
        <v>32524</v>
      </c>
      <c r="M98" s="4">
        <f ca="1">T_Facebook_Ads[[#This Row],[frequency]]*RANDBETWEEN(8,12)/10</f>
        <v>0.96799999999999997</v>
      </c>
      <c r="O98" s="3">
        <f t="shared" ca="1" si="8"/>
        <v>44957</v>
      </c>
      <c r="P98" s="4" t="s">
        <v>84</v>
      </c>
      <c r="Q98" s="4" t="s">
        <v>85</v>
      </c>
      <c r="R98" s="4" t="s">
        <v>86</v>
      </c>
      <c r="S98" s="4" t="s">
        <v>87</v>
      </c>
      <c r="T98" s="4">
        <f ca="1">ROUND(_Google_ads[[#This Row],[impressions]]*RANDBETWEEN(8,12)/10,0)</f>
        <v>56098</v>
      </c>
      <c r="U98" s="4">
        <f ca="1">ROUND(_Google_ads[[#This Row],[clicks]]*RANDBETWEEN(8,12)/10,0)</f>
        <v>2120</v>
      </c>
      <c r="V98" s="4">
        <f ca="1">_Google_ads[[#This Row],[cost]]*RANDBETWEEN(8,12)/10</f>
        <v>474.32</v>
      </c>
      <c r="W98" s="4">
        <f ca="1">ROUND(_Google_ads[[#This Row],[conversions]]*RANDBETWEEN(8,12)/10,0)</f>
        <v>75</v>
      </c>
      <c r="X98" s="4">
        <f ca="1">ROUND(_Google_ads[[#This Row],[conversion_value]]*RANDBETWEEN(8,12)/10,0)</f>
        <v>2720</v>
      </c>
      <c r="Y98" s="4">
        <f ca="1">_Google_ads[[#This Row],[ctr]]*RANDBETWEEN(8,12)/10</f>
        <v>4.0320000000000002E-2</v>
      </c>
      <c r="Z98" s="4">
        <f ca="1">_Google_ads[[#This Row],[avg_cpc]]*RANDBETWEEN(8,12)/10</f>
        <v>0.19800000000000001</v>
      </c>
      <c r="AA98" s="4">
        <f ca="1">ROUND(_Google_ads[[#This Row],[quality_score]]*RANDBETWEEN(8,12)/10,0)</f>
        <v>10</v>
      </c>
      <c r="AB98" s="4">
        <f ca="1">_Google_ads[[#This Row],[search_impression_share]]*RANDBETWEEN(8,12)/10</f>
        <v>0.68</v>
      </c>
      <c r="AD98" s="3">
        <f t="shared" ca="1" si="9"/>
        <v>44953</v>
      </c>
      <c r="AE98" s="4" t="s">
        <v>108</v>
      </c>
      <c r="AF98" s="4" t="s">
        <v>109</v>
      </c>
      <c r="AG98" s="4" t="s">
        <v>110</v>
      </c>
      <c r="AH98" s="4" t="s">
        <v>111</v>
      </c>
      <c r="AI98" s="4">
        <f ca="1">ROUND(T_Tiktok_ads[[#This Row],[impressions]]*RANDBETWEEN(8,12)/10,0)</f>
        <v>213110</v>
      </c>
      <c r="AJ98" s="4">
        <f ca="1">ROUND(T_Tiktok_ads[[#This Row],[clicks]]*RANDBETWEEN(8,12)/10,0)</f>
        <v>3361</v>
      </c>
      <c r="AK98" s="4">
        <v>456.8</v>
      </c>
      <c r="AL98" s="4">
        <f ca="1">ROUND(T_Tiktok_ads[[#This Row],[conversions]]*RANDBETWEEN(8,12)/10,0)</f>
        <v>26</v>
      </c>
      <c r="AM98" s="4">
        <f ca="1">ROUND(T_Tiktok_ads[[#This Row],[video_views]]*RANDBETWEEN(8,12)/10,0)</f>
        <v>225468</v>
      </c>
      <c r="AN98" s="4">
        <f ca="1">ROUND(T_Tiktok_ads[[#This Row],[video_watch_25]]*RANDBETWEEN(8,12)/10,0)</f>
        <v>170814</v>
      </c>
      <c r="AO98" s="4">
        <f ca="1">ROUND(T_Tiktok_ads[[#This Row],[video_watch_50]]*RANDBETWEEN(8,12)/10,0)</f>
        <v>89876</v>
      </c>
      <c r="AP98" s="4">
        <f ca="1">ROUND(T_Tiktok_ads[[#This Row],[video_watch_75]]*RANDBETWEEN(8,12)/10,0)</f>
        <v>86814</v>
      </c>
      <c r="AQ98" s="4">
        <f ca="1">ROUND(T_Tiktok_ads[[#This Row],[video_watch_100]]*RANDBETWEEN(8,12)/10,0)</f>
        <v>43789</v>
      </c>
      <c r="AR98" s="4">
        <f ca="1">ROUND(T_Tiktok_ads[[#This Row],[likes]]*RANDBETWEEN(8,12)/10,0)</f>
        <v>10147</v>
      </c>
      <c r="AS98" s="4">
        <f ca="1">ROUND(T_Tiktok_ads[[#This Row],[shares]]*RANDBETWEEN(8,12)/10,0)</f>
        <v>2040</v>
      </c>
      <c r="AT98" s="4">
        <f ca="1">ROUND(T_Tiktok_ads[[#This Row],[comments]]*RANDBETWEEN(8,12)/10,0)</f>
        <v>545</v>
      </c>
      <c r="AV98" s="5">
        <f t="shared" ref="AV98:AV111" ca="1" si="11">DATE(2023,1,RANDBETWEEN(1,31))</f>
        <v>44946</v>
      </c>
      <c r="AW98">
        <f t="shared" ca="1" si="10"/>
        <v>4</v>
      </c>
      <c r="AX98">
        <f ca="1">ROUND(T_Facebook_Ads11[[#This Row],[impressions]]*RANDBETWEEN(8,12)/10,0)</f>
        <v>38761</v>
      </c>
      <c r="AY98">
        <f ca="1">ROUND(T_Facebook_Ads11[[#This Row],[clicks]]*RANDBETWEEN(8,12)/10,0)</f>
        <v>1160</v>
      </c>
      <c r="AZ98">
        <f ca="1">T_Facebook_Ads11[[#This Row],[spend]]*RANDBETWEEN(8,12)/10</f>
        <v>142.416</v>
      </c>
      <c r="BA98">
        <f ca="1">ROUND(T_Facebook_Ads11[[#This Row],[conversions]]*RANDBETWEEN(8,12)/10,0)</f>
        <v>19</v>
      </c>
      <c r="BB98">
        <f ca="1">ROUND(T_Facebook_Ads11[[#This Row],[video_views]]*RANDBETWEEN(8,12)/10,0)</f>
        <v>4932</v>
      </c>
    </row>
    <row r="99" spans="1:54" ht="15.75" thickBot="1" x14ac:dyDescent="0.3">
      <c r="A99" s="3">
        <f t="shared" ca="1" si="7"/>
        <v>44946</v>
      </c>
      <c r="B99" s="4" t="s">
        <v>64</v>
      </c>
      <c r="C99" s="4" t="s">
        <v>65</v>
      </c>
      <c r="D99" s="4" t="s">
        <v>66</v>
      </c>
      <c r="E99" s="4" t="s">
        <v>67</v>
      </c>
      <c r="F99" s="4">
        <f ca="1">ROUND(T_Facebook_Ads[[#This Row],[impressions]]*RANDBETWEEN(8,12)/10,0)</f>
        <v>61411</v>
      </c>
      <c r="G99" s="4">
        <v>245</v>
      </c>
      <c r="H99" s="4">
        <f ca="1">T_Facebook_Ads[[#This Row],[spend]]*RANDBETWEEN(8,12)/10</f>
        <v>68.72</v>
      </c>
      <c r="I99" s="4">
        <f ca="1">ROUND(T_Facebook_Ads[[#This Row],[conversions]]*RANDBETWEEN(8,12)/10,0)</f>
        <v>6</v>
      </c>
      <c r="J99" s="4">
        <f ca="1">ROUND(T_Facebook_Ads[[#This Row],[video_views]]*RANDBETWEEN(8,12)/10,0)</f>
        <v>45678</v>
      </c>
      <c r="K99" s="4">
        <f ca="1">T_Facebook_Ads[[#This Row],[engagement_rate]]*RANDBETWEEN(8,12)/10</f>
        <v>3.5999999999999999E-3</v>
      </c>
      <c r="L99" s="4">
        <f ca="1">ROUND(T_Facebook_Ads[[#This Row],[reach]]*RANDBETWEEN(8,12)/10,0)</f>
        <v>55890</v>
      </c>
      <c r="M99" s="4">
        <f ca="1">T_Facebook_Ads[[#This Row],[frequency]]*RANDBETWEEN(8,12)/10</f>
        <v>1.464</v>
      </c>
      <c r="O99" s="3">
        <f t="shared" ca="1" si="8"/>
        <v>44955</v>
      </c>
      <c r="P99" s="4" t="s">
        <v>88</v>
      </c>
      <c r="Q99" s="4" t="s">
        <v>89</v>
      </c>
      <c r="R99" s="4" t="s">
        <v>90</v>
      </c>
      <c r="S99" s="4" t="s">
        <v>59</v>
      </c>
      <c r="T99" s="4">
        <f ca="1">ROUND(_Google_ads[[#This Row],[impressions]]*RANDBETWEEN(8,12)/10,0)</f>
        <v>161868</v>
      </c>
      <c r="U99" s="4">
        <f ca="1">ROUND(_Google_ads[[#This Row],[clicks]]*RANDBETWEEN(8,12)/10,0)</f>
        <v>489</v>
      </c>
      <c r="V99" s="4">
        <f ca="1">_Google_ads[[#This Row],[cost]]*RANDBETWEEN(8,12)/10</f>
        <v>119.42999999999999</v>
      </c>
      <c r="W99" s="4">
        <f ca="1">ROUND(_Google_ads[[#This Row],[conversions]]*RANDBETWEEN(8,12)/10,0)</f>
        <v>15</v>
      </c>
      <c r="X99" s="4">
        <f ca="1">ROUND(_Google_ads[[#This Row],[conversion_value]]*RANDBETWEEN(8,12)/10,0)</f>
        <v>630</v>
      </c>
      <c r="Y99" s="4">
        <f ca="1">_Google_ads[[#This Row],[ctr]]*RANDBETWEEN(8,12)/10</f>
        <v>3.5999999999999999E-3</v>
      </c>
      <c r="Z99" s="4">
        <f ca="1">_Google_ads[[#This Row],[avg_cpc]]*RANDBETWEEN(8,12)/10</f>
        <v>0.27</v>
      </c>
      <c r="AA99" s="4">
        <f ca="1">ROUND(_Google_ads[[#This Row],[quality_score]]*RANDBETWEEN(8,12)/10,0)</f>
        <v>6</v>
      </c>
      <c r="AB99" s="4">
        <f ca="1">_Google_ads[[#This Row],[search_impression_share]]*RANDBETWEEN(8,12)/10</f>
        <v>0.41999999999999993</v>
      </c>
      <c r="AD99" s="3">
        <f t="shared" ca="1" si="9"/>
        <v>44943</v>
      </c>
      <c r="AE99" s="4" t="s">
        <v>112</v>
      </c>
      <c r="AF99" s="4" t="s">
        <v>113</v>
      </c>
      <c r="AG99" s="4" t="s">
        <v>114</v>
      </c>
      <c r="AH99" s="4" t="s">
        <v>115</v>
      </c>
      <c r="AI99" s="4">
        <f ca="1">ROUND(T_Tiktok_ads[[#This Row],[impressions]]*RANDBETWEEN(8,12)/10,0)</f>
        <v>423456</v>
      </c>
      <c r="AJ99" s="4">
        <f ca="1">ROUND(T_Tiktok_ads[[#This Row],[clicks]]*RANDBETWEEN(8,12)/10,0)</f>
        <v>5431</v>
      </c>
      <c r="AK99" s="4">
        <v>1034.5</v>
      </c>
      <c r="AL99" s="4">
        <f ca="1">ROUND(T_Tiktok_ads[[#This Row],[conversions]]*RANDBETWEEN(8,12)/10,0)</f>
        <v>94</v>
      </c>
      <c r="AM99" s="4">
        <f ca="1">ROUND(T_Tiktok_ads[[#This Row],[video_views]]*RANDBETWEEN(8,12)/10,0)</f>
        <v>285431</v>
      </c>
      <c r="AN99" s="4">
        <f ca="1">ROUND(T_Tiktok_ads[[#This Row],[video_watch_25]]*RANDBETWEEN(8,12)/10,0)</f>
        <v>229787</v>
      </c>
      <c r="AO99" s="4">
        <f ca="1">ROUND(T_Tiktok_ads[[#This Row],[video_watch_50]]*RANDBETWEEN(8,12)/10,0)</f>
        <v>275081</v>
      </c>
      <c r="AP99" s="4">
        <f ca="1">ROUND(T_Tiktok_ads[[#This Row],[video_watch_75]]*RANDBETWEEN(8,12)/10,0)</f>
        <v>194814</v>
      </c>
      <c r="AQ99" s="4">
        <f ca="1">ROUND(T_Tiktok_ads[[#This Row],[video_watch_100]]*RANDBETWEEN(8,12)/10,0)</f>
        <v>118679</v>
      </c>
      <c r="AR99" s="4">
        <f ca="1">ROUND(T_Tiktok_ads[[#This Row],[likes]]*RANDBETWEEN(8,12)/10,0)</f>
        <v>22507</v>
      </c>
      <c r="AS99" s="4">
        <f ca="1">ROUND(T_Tiktok_ads[[#This Row],[shares]]*RANDBETWEEN(8,12)/10,0)</f>
        <v>6414</v>
      </c>
      <c r="AT99" s="4">
        <f ca="1">ROUND(T_Tiktok_ads[[#This Row],[comments]]*RANDBETWEEN(8,12)/10,0)</f>
        <v>1747</v>
      </c>
      <c r="AV99" s="5">
        <f t="shared" ca="1" si="11"/>
        <v>44951</v>
      </c>
      <c r="AW99">
        <f t="shared" ca="1" si="10"/>
        <v>6</v>
      </c>
      <c r="AX99">
        <f ca="1">ROUND(T_Facebook_Ads11[[#This Row],[impressions]]*RANDBETWEEN(8,12)/10,0)</f>
        <v>55270</v>
      </c>
      <c r="AY99">
        <f ca="1">ROUND(T_Facebook_Ads11[[#This Row],[clicks]]*RANDBETWEEN(8,12)/10,0)</f>
        <v>245</v>
      </c>
      <c r="AZ99">
        <f ca="1">T_Facebook_Ads11[[#This Row],[spend]]*RANDBETWEEN(8,12)/10</f>
        <v>68.72</v>
      </c>
      <c r="BA99">
        <f ca="1">ROUND(T_Facebook_Ads11[[#This Row],[conversions]]*RANDBETWEEN(8,12)/10,0)</f>
        <v>7</v>
      </c>
      <c r="BB99">
        <f ca="1">ROUND(T_Facebook_Ads11[[#This Row],[video_views]]*RANDBETWEEN(8,12)/10,0)</f>
        <v>54814</v>
      </c>
    </row>
    <row r="100" spans="1:54" ht="15.75" thickBot="1" x14ac:dyDescent="0.3">
      <c r="A100" s="3">
        <f t="shared" ca="1" si="7"/>
        <v>44950</v>
      </c>
      <c r="B100" s="4" t="s">
        <v>52</v>
      </c>
      <c r="C100" s="4" t="s">
        <v>53</v>
      </c>
      <c r="D100" s="4" t="s">
        <v>54</v>
      </c>
      <c r="E100" s="4" t="s">
        <v>55</v>
      </c>
      <c r="F100" s="4">
        <f ca="1">ROUND(T_Facebook_Ads[[#This Row],[impressions]]*RANDBETWEEN(8,12)/10,0)</f>
        <v>35654</v>
      </c>
      <c r="G100" s="4">
        <v>890</v>
      </c>
      <c r="H100" s="4">
        <f ca="1">T_Facebook_Ads[[#This Row],[spend]]*RANDBETWEEN(8,12)/10</f>
        <v>127.6</v>
      </c>
      <c r="I100" s="4">
        <f ca="1">ROUND(T_Facebook_Ads[[#This Row],[conversions]]*RANDBETWEEN(8,12)/10,0)</f>
        <v>14</v>
      </c>
      <c r="J100" s="4">
        <f ca="1">ROUND(T_Facebook_Ads[[#This Row],[video_views]]*RANDBETWEEN(8,12)/10,0)</f>
        <v>8123</v>
      </c>
      <c r="K100" s="4">
        <f ca="1">T_Facebook_Ads[[#This Row],[engagement_rate]]*RANDBETWEEN(8,12)/10</f>
        <v>0.02</v>
      </c>
      <c r="L100" s="4">
        <f ca="1">ROUND(T_Facebook_Ads[[#This Row],[reach]]*RANDBETWEEN(8,12)/10,0)</f>
        <v>33710</v>
      </c>
      <c r="M100" s="4">
        <f ca="1">T_Facebook_Ads[[#This Row],[frequency]]*RANDBETWEEN(8,12)/10</f>
        <v>1.071</v>
      </c>
      <c r="O100" s="3">
        <f t="shared" ca="1" si="8"/>
        <v>44952</v>
      </c>
      <c r="P100" s="4" t="s">
        <v>76</v>
      </c>
      <c r="Q100" s="4" t="s">
        <v>77</v>
      </c>
      <c r="R100" s="4" t="s">
        <v>78</v>
      </c>
      <c r="S100" s="4" t="s">
        <v>79</v>
      </c>
      <c r="T100" s="4">
        <f ca="1">ROUND(_Google_ads[[#This Row],[impressions]]*RANDBETWEEN(8,12)/10,0)</f>
        <v>23567</v>
      </c>
      <c r="U100" s="4">
        <f ca="1">ROUND(_Google_ads[[#This Row],[clicks]]*RANDBETWEEN(8,12)/10,0)</f>
        <v>1070</v>
      </c>
      <c r="V100" s="4">
        <f ca="1">_Google_ads[[#This Row],[cost]]*RANDBETWEEN(8,12)/10</f>
        <v>204.12</v>
      </c>
      <c r="W100" s="4">
        <f ca="1">ROUND(_Google_ads[[#This Row],[conversions]]*RANDBETWEEN(8,12)/10,0)</f>
        <v>40</v>
      </c>
      <c r="X100" s="4">
        <f ca="1">ROUND(_Google_ads[[#This Row],[conversion_value]]*RANDBETWEEN(8,12)/10,0)</f>
        <v>2640</v>
      </c>
      <c r="Y100" s="4">
        <f ca="1">_Google_ads[[#This Row],[ctr]]*RANDBETWEEN(8,12)/10</f>
        <v>5.5550000000000002E-2</v>
      </c>
      <c r="Z100" s="4">
        <f ca="1">_Google_ads[[#This Row],[avg_cpc]]*RANDBETWEEN(8,12)/10</f>
        <v>0.19</v>
      </c>
      <c r="AA100" s="4">
        <f ca="1">ROUND(_Google_ads[[#This Row],[quality_score]]*RANDBETWEEN(8,12)/10,0)</f>
        <v>10</v>
      </c>
      <c r="AB100" s="4">
        <f ca="1">_Google_ads[[#This Row],[search_impression_share]]*RANDBETWEEN(8,12)/10</f>
        <v>0.99</v>
      </c>
      <c r="AD100" s="3">
        <f t="shared" ca="1" si="9"/>
        <v>44953</v>
      </c>
      <c r="AE100" s="4" t="s">
        <v>100</v>
      </c>
      <c r="AF100" s="4" t="s">
        <v>101</v>
      </c>
      <c r="AG100" s="4" t="s">
        <v>102</v>
      </c>
      <c r="AH100" s="4" t="s">
        <v>103</v>
      </c>
      <c r="AI100" s="4">
        <f ca="1">ROUND(T_Tiktok_ads[[#This Row],[impressions]]*RANDBETWEEN(8,12)/10,0)</f>
        <v>294679</v>
      </c>
      <c r="AJ100" s="4">
        <f ca="1">ROUND(T_Tiktok_ads[[#This Row],[clicks]]*RANDBETWEEN(8,12)/10,0)</f>
        <v>3156</v>
      </c>
      <c r="AK100" s="4">
        <v>501.2</v>
      </c>
      <c r="AL100" s="4">
        <f ca="1">ROUND(T_Tiktok_ads[[#This Row],[conversions]]*RANDBETWEEN(8,12)/10,0)</f>
        <v>36</v>
      </c>
      <c r="AM100" s="4">
        <f ca="1">ROUND(T_Tiktok_ads[[#This Row],[video_views]]*RANDBETWEEN(8,12)/10,0)</f>
        <v>265481</v>
      </c>
      <c r="AN100" s="4">
        <f ca="1">ROUND(T_Tiktok_ads[[#This Row],[video_watch_25]]*RANDBETWEEN(8,12)/10,0)</f>
        <v>208147</v>
      </c>
      <c r="AO100" s="4">
        <f ca="1">ROUND(T_Tiktok_ads[[#This Row],[video_watch_50]]*RANDBETWEEN(8,12)/10,0)</f>
        <v>120157</v>
      </c>
      <c r="AP100" s="4">
        <f ca="1">ROUND(T_Tiktok_ads[[#This Row],[video_watch_75]]*RANDBETWEEN(8,12)/10,0)</f>
        <v>80924</v>
      </c>
      <c r="AQ100" s="4">
        <f ca="1">ROUND(T_Tiktok_ads[[#This Row],[video_watch_100]]*RANDBETWEEN(8,12)/10,0)</f>
        <v>39387</v>
      </c>
      <c r="AR100" s="4">
        <f ca="1">ROUND(T_Tiktok_ads[[#This Row],[likes]]*RANDBETWEEN(8,12)/10,0)</f>
        <v>9789</v>
      </c>
      <c r="AS100" s="4">
        <f ca="1">ROUND(T_Tiktok_ads[[#This Row],[shares]]*RANDBETWEEN(8,12)/10,0)</f>
        <v>2107</v>
      </c>
      <c r="AT100" s="4">
        <f ca="1">ROUND(T_Tiktok_ads[[#This Row],[comments]]*RANDBETWEEN(8,12)/10,0)</f>
        <v>623</v>
      </c>
      <c r="AV100" s="5">
        <f t="shared" ca="1" si="11"/>
        <v>44930</v>
      </c>
      <c r="AW100">
        <f t="shared" ca="1" si="10"/>
        <v>3</v>
      </c>
      <c r="AX100">
        <f ca="1">ROUND(T_Facebook_Ads11[[#This Row],[impressions]]*RANDBETWEEN(8,12)/10,0)</f>
        <v>32089</v>
      </c>
      <c r="AY100">
        <f ca="1">ROUND(T_Facebook_Ads11[[#This Row],[clicks]]*RANDBETWEEN(8,12)/10,0)</f>
        <v>712</v>
      </c>
      <c r="AZ100">
        <f ca="1">T_Facebook_Ads11[[#This Row],[spend]]*RANDBETWEEN(8,12)/10</f>
        <v>102.08</v>
      </c>
      <c r="BA100">
        <f ca="1">ROUND(T_Facebook_Ads11[[#This Row],[conversions]]*RANDBETWEEN(8,12)/10,0)</f>
        <v>15</v>
      </c>
      <c r="BB100">
        <f ca="1">ROUND(T_Facebook_Ads11[[#This Row],[video_views]]*RANDBETWEEN(8,12)/10,0)</f>
        <v>8935</v>
      </c>
    </row>
    <row r="101" spans="1:54" ht="15.75" thickBot="1" x14ac:dyDescent="0.3">
      <c r="A101" s="3">
        <f t="shared" ca="1" si="7"/>
        <v>44935</v>
      </c>
      <c r="B101" s="4" t="s">
        <v>56</v>
      </c>
      <c r="C101" s="4" t="s">
        <v>57</v>
      </c>
      <c r="D101" s="4" t="s">
        <v>58</v>
      </c>
      <c r="E101" s="4" t="s">
        <v>59</v>
      </c>
      <c r="F101" s="4">
        <f ca="1">ROUND(T_Facebook_Ads[[#This Row],[impressions]]*RANDBETWEEN(8,12)/10,0)</f>
        <v>11456</v>
      </c>
      <c r="G101" s="4">
        <v>523</v>
      </c>
      <c r="H101" s="4">
        <f ca="1">T_Facebook_Ads[[#This Row],[spend]]*RANDBETWEEN(8,12)/10</f>
        <v>153.84</v>
      </c>
      <c r="I101" s="4">
        <f ca="1">ROUND(T_Facebook_Ads[[#This Row],[conversions]]*RANDBETWEEN(8,12)/10,0)</f>
        <v>40</v>
      </c>
      <c r="J101" s="4">
        <f ca="1">ROUND(T_Facebook_Ads[[#This Row],[video_views]]*RANDBETWEEN(8,12)/10,0)</f>
        <v>980</v>
      </c>
      <c r="K101" s="4">
        <f ca="1">T_Facebook_Ads[[#This Row],[engagement_rate]]*RANDBETWEEN(8,12)/10</f>
        <v>4.113E-2</v>
      </c>
      <c r="L101" s="4">
        <f ca="1">ROUND(T_Facebook_Ads[[#This Row],[reach]]*RANDBETWEEN(8,12)/10,0)</f>
        <v>8967</v>
      </c>
      <c r="M101" s="4">
        <f ca="1">T_Facebook_Ads[[#This Row],[frequency]]*RANDBETWEEN(8,12)/10</f>
        <v>1.28</v>
      </c>
      <c r="O101" s="3">
        <f t="shared" ca="1" si="8"/>
        <v>44952</v>
      </c>
      <c r="P101" s="4" t="s">
        <v>80</v>
      </c>
      <c r="Q101" s="4" t="s">
        <v>81</v>
      </c>
      <c r="R101" s="4" t="s">
        <v>82</v>
      </c>
      <c r="S101" s="4" t="s">
        <v>83</v>
      </c>
      <c r="T101" s="4">
        <f ca="1">ROUND(_Google_ads[[#This Row],[impressions]]*RANDBETWEEN(8,12)/10,0)</f>
        <v>47179</v>
      </c>
      <c r="U101" s="4">
        <f ca="1">ROUND(_Google_ads[[#This Row],[clicks]]*RANDBETWEEN(8,12)/10,0)</f>
        <v>667</v>
      </c>
      <c r="V101" s="4">
        <f ca="1">_Google_ads[[#This Row],[cost]]*RANDBETWEEN(8,12)/10</f>
        <v>494.37</v>
      </c>
      <c r="W101" s="4">
        <f ca="1">ROUND(_Google_ads[[#This Row],[conversions]]*RANDBETWEEN(8,12)/10,0)</f>
        <v>17</v>
      </c>
      <c r="X101" s="4">
        <f ca="1">ROUND(_Google_ads[[#This Row],[conversion_value]]*RANDBETWEEN(8,12)/10,0)</f>
        <v>840</v>
      </c>
      <c r="Y101" s="4">
        <f ca="1">_Google_ads[[#This Row],[ctr]]*RANDBETWEEN(8,12)/10</f>
        <v>1.95E-2</v>
      </c>
      <c r="Z101" s="4">
        <f ca="1">_Google_ads[[#This Row],[avg_cpc]]*RANDBETWEEN(8,12)/10</f>
        <v>0.66</v>
      </c>
      <c r="AA101" s="4">
        <f ca="1">ROUND(_Google_ads[[#This Row],[quality_score]]*RANDBETWEEN(8,12)/10,0)</f>
        <v>8</v>
      </c>
      <c r="AB101" s="4">
        <f ca="1">_Google_ads[[#This Row],[search_impression_share]]*RANDBETWEEN(8,12)/10</f>
        <v>0.38700000000000001</v>
      </c>
      <c r="AD101" s="3">
        <f t="shared" ca="1" si="9"/>
        <v>44936</v>
      </c>
      <c r="AE101" s="4" t="s">
        <v>104</v>
      </c>
      <c r="AF101" s="4" t="s">
        <v>105</v>
      </c>
      <c r="AG101" s="4" t="s">
        <v>106</v>
      </c>
      <c r="AH101" s="4" t="s">
        <v>107</v>
      </c>
      <c r="AI101" s="4">
        <f ca="1">ROUND(T_Tiktok_ads[[#This Row],[impressions]]*RANDBETWEEN(8,12)/10,0)</f>
        <v>163791</v>
      </c>
      <c r="AJ101" s="4">
        <f ca="1">ROUND(T_Tiktok_ads[[#This Row],[clicks]]*RANDBETWEEN(8,12)/10,0)</f>
        <v>2551</v>
      </c>
      <c r="AK101" s="4">
        <v>756.7</v>
      </c>
      <c r="AL101" s="4">
        <f ca="1">ROUND(T_Tiktok_ads[[#This Row],[conversions]]*RANDBETWEEN(8,12)/10,0)</f>
        <v>91</v>
      </c>
      <c r="AM101" s="4">
        <f ca="1">ROUND(T_Tiktok_ads[[#This Row],[video_views]]*RANDBETWEEN(8,12)/10,0)</f>
        <v>91111</v>
      </c>
      <c r="AN101" s="4">
        <f ca="1">ROUND(T_Tiktok_ads[[#This Row],[video_watch_25]]*RANDBETWEEN(8,12)/10,0)</f>
        <v>89480</v>
      </c>
      <c r="AO101" s="4">
        <f ca="1">ROUND(T_Tiktok_ads[[#This Row],[video_watch_50]]*RANDBETWEEN(8,12)/10,0)</f>
        <v>50234</v>
      </c>
      <c r="AP101" s="4">
        <f ca="1">ROUND(T_Tiktok_ads[[#This Row],[video_watch_75]]*RANDBETWEEN(8,12)/10,0)</f>
        <v>37890</v>
      </c>
      <c r="AQ101" s="4">
        <f ca="1">ROUND(T_Tiktok_ads[[#This Row],[video_watch_100]]*RANDBETWEEN(8,12)/10,0)</f>
        <v>27757</v>
      </c>
      <c r="AR101" s="4">
        <f ca="1">ROUND(T_Tiktok_ads[[#This Row],[likes]]*RANDBETWEEN(8,12)/10,0)</f>
        <v>5012</v>
      </c>
      <c r="AS101" s="4">
        <f ca="1">ROUND(T_Tiktok_ads[[#This Row],[shares]]*RANDBETWEEN(8,12)/10,0)</f>
        <v>1565</v>
      </c>
      <c r="AT101" s="4">
        <f ca="1">ROUND(T_Tiktok_ads[[#This Row],[comments]]*RANDBETWEEN(8,12)/10,0)</f>
        <v>240</v>
      </c>
      <c r="AV101" s="5">
        <f t="shared" ca="1" si="11"/>
        <v>44955</v>
      </c>
      <c r="AW101">
        <f t="shared" ca="1" si="10"/>
        <v>7</v>
      </c>
      <c r="AX101">
        <f ca="1">ROUND(T_Facebook_Ads11[[#This Row],[impressions]]*RANDBETWEEN(8,12)/10,0)</f>
        <v>12602</v>
      </c>
      <c r="AY101">
        <f ca="1">ROUND(T_Facebook_Ads11[[#This Row],[clicks]]*RANDBETWEEN(8,12)/10,0)</f>
        <v>418</v>
      </c>
      <c r="AZ101">
        <f ca="1">T_Facebook_Ads11[[#This Row],[spend]]*RANDBETWEEN(8,12)/10</f>
        <v>123.072</v>
      </c>
      <c r="BA101">
        <f ca="1">ROUND(T_Facebook_Ads11[[#This Row],[conversions]]*RANDBETWEEN(8,12)/10,0)</f>
        <v>40</v>
      </c>
      <c r="BB101">
        <f ca="1">ROUND(T_Facebook_Ads11[[#This Row],[video_views]]*RANDBETWEEN(8,12)/10,0)</f>
        <v>1176</v>
      </c>
    </row>
    <row r="102" spans="1:54" ht="15.75" thickBot="1" x14ac:dyDescent="0.3">
      <c r="A102" s="3">
        <f t="shared" ca="1" si="7"/>
        <v>44927</v>
      </c>
      <c r="B102" s="4" t="s">
        <v>60</v>
      </c>
      <c r="C102" s="4" t="s">
        <v>61</v>
      </c>
      <c r="D102" s="4" t="s">
        <v>62</v>
      </c>
      <c r="E102" s="4" t="s">
        <v>63</v>
      </c>
      <c r="F102" s="4">
        <f ca="1">ROUND(T_Facebook_Ads[[#This Row],[impressions]]*RANDBETWEEN(8,12)/10,0)</f>
        <v>26854</v>
      </c>
      <c r="G102" s="4">
        <v>1203</v>
      </c>
      <c r="H102" s="4">
        <f ca="1">T_Facebook_Ads[[#This Row],[spend]]*RANDBETWEEN(8,12)/10</f>
        <v>221.4</v>
      </c>
      <c r="I102" s="4">
        <f ca="1">ROUND(T_Facebook_Ads[[#This Row],[conversions]]*RANDBETWEEN(8,12)/10,0)</f>
        <v>28</v>
      </c>
      <c r="J102" s="4">
        <f ca="1">ROUND(T_Facebook_Ads[[#This Row],[video_views]]*RANDBETWEEN(8,12)/10,0)</f>
        <v>4948</v>
      </c>
      <c r="K102" s="4">
        <f ca="1">T_Facebook_Ads[[#This Row],[engagement_rate]]*RANDBETWEEN(8,12)/10</f>
        <v>3.5799999999999998E-2</v>
      </c>
      <c r="L102" s="4">
        <f ca="1">ROUND(T_Facebook_Ads[[#This Row],[reach]]*RANDBETWEEN(8,12)/10,0)</f>
        <v>33468</v>
      </c>
      <c r="M102" s="4">
        <f ca="1">T_Facebook_Ads[[#This Row],[frequency]]*RANDBETWEEN(8,12)/10</f>
        <v>1.44</v>
      </c>
      <c r="O102" s="3">
        <f t="shared" ca="1" si="8"/>
        <v>44949</v>
      </c>
      <c r="P102" s="4" t="s">
        <v>84</v>
      </c>
      <c r="Q102" s="4" t="s">
        <v>85</v>
      </c>
      <c r="R102" s="4" t="s">
        <v>86</v>
      </c>
      <c r="S102" s="4" t="s">
        <v>87</v>
      </c>
      <c r="T102" s="4">
        <f ca="1">ROUND(_Google_ads[[#This Row],[impressions]]*RANDBETWEEN(8,12)/10,0)</f>
        <v>59611</v>
      </c>
      <c r="U102" s="4">
        <f ca="1">ROUND(_Google_ads[[#This Row],[clicks]]*RANDBETWEEN(8,12)/10,0)</f>
        <v>2600</v>
      </c>
      <c r="V102" s="4">
        <f ca="1">_Google_ads[[#This Row],[cost]]*RANDBETWEEN(8,12)/10</f>
        <v>356.22</v>
      </c>
      <c r="W102" s="4">
        <f ca="1">ROUND(_Google_ads[[#This Row],[conversions]]*RANDBETWEEN(8,12)/10,0)</f>
        <v>61</v>
      </c>
      <c r="X102" s="4">
        <f ca="1">ROUND(_Google_ads[[#This Row],[conversion_value]]*RANDBETWEEN(8,12)/10,0)</f>
        <v>3660</v>
      </c>
      <c r="Y102" s="4">
        <f ca="1">_Google_ads[[#This Row],[ctr]]*RANDBETWEEN(8,12)/10</f>
        <v>3.5970000000000002E-2</v>
      </c>
      <c r="Z102" s="4">
        <f ca="1">_Google_ads[[#This Row],[avg_cpc]]*RANDBETWEEN(8,12)/10</f>
        <v>0.21600000000000003</v>
      </c>
      <c r="AA102" s="4">
        <f ca="1">ROUND(_Google_ads[[#This Row],[quality_score]]*RANDBETWEEN(8,12)/10,0)</f>
        <v>7</v>
      </c>
      <c r="AB102" s="4">
        <f ca="1">_Google_ads[[#This Row],[search_impression_share]]*RANDBETWEEN(8,12)/10</f>
        <v>0.72600000000000009</v>
      </c>
      <c r="AD102" s="3">
        <f t="shared" ca="1" si="9"/>
        <v>44946</v>
      </c>
      <c r="AE102" s="4" t="s">
        <v>108</v>
      </c>
      <c r="AF102" s="4" t="s">
        <v>109</v>
      </c>
      <c r="AG102" s="4" t="s">
        <v>110</v>
      </c>
      <c r="AH102" s="4" t="s">
        <v>111</v>
      </c>
      <c r="AI102" s="4">
        <f ca="1">ROUND(T_Tiktok_ads[[#This Row],[impressions]]*RANDBETWEEN(8,12)/10,0)</f>
        <v>201110</v>
      </c>
      <c r="AJ102" s="4">
        <f ca="1">ROUND(T_Tiktok_ads[[#This Row],[clicks]]*RANDBETWEEN(8,12)/10,0)</f>
        <v>3924</v>
      </c>
      <c r="AK102" s="4">
        <v>427.7</v>
      </c>
      <c r="AL102" s="4">
        <f ca="1">ROUND(T_Tiktok_ads[[#This Row],[conversions]]*RANDBETWEEN(8,12)/10,0)</f>
        <v>36</v>
      </c>
      <c r="AM102" s="4">
        <f ca="1">ROUND(T_Tiktok_ads[[#This Row],[video_views]]*RANDBETWEEN(8,12)/10,0)</f>
        <v>143121</v>
      </c>
      <c r="AN102" s="4">
        <f ca="1">ROUND(T_Tiktok_ads[[#This Row],[video_watch_25]]*RANDBETWEEN(8,12)/10,0)</f>
        <v>162281</v>
      </c>
      <c r="AO102" s="4">
        <f ca="1">ROUND(T_Tiktok_ads[[#This Row],[video_watch_50]]*RANDBETWEEN(8,12)/10,0)</f>
        <v>85431</v>
      </c>
      <c r="AP102" s="4">
        <f ca="1">ROUND(T_Tiktok_ads[[#This Row],[video_watch_75]]*RANDBETWEEN(8,12)/10,0)</f>
        <v>83081</v>
      </c>
      <c r="AQ102" s="4">
        <f ca="1">ROUND(T_Tiktok_ads[[#This Row],[video_watch_100]]*RANDBETWEEN(8,12)/10,0)</f>
        <v>45968</v>
      </c>
      <c r="AR102" s="4">
        <f ca="1">ROUND(T_Tiktok_ads[[#This Row],[likes]]*RANDBETWEEN(8,12)/10,0)</f>
        <v>9057</v>
      </c>
      <c r="AS102" s="4">
        <f ca="1">ROUND(T_Tiktok_ads[[#This Row],[shares]]*RANDBETWEEN(8,12)/10,0)</f>
        <v>2040</v>
      </c>
      <c r="AT102" s="4">
        <f ca="1">ROUND(T_Tiktok_ads[[#This Row],[comments]]*RANDBETWEEN(8,12)/10,0)</f>
        <v>641</v>
      </c>
      <c r="AV102" s="5">
        <f t="shared" ca="1" si="11"/>
        <v>44929</v>
      </c>
      <c r="AW102">
        <f t="shared" ca="1" si="10"/>
        <v>6</v>
      </c>
      <c r="AX102">
        <f ca="1">ROUND(T_Facebook_Ads11[[#This Row],[impressions]]*RANDBETWEEN(8,12)/10,0)</f>
        <v>32225</v>
      </c>
      <c r="AY102">
        <f ca="1">ROUND(T_Facebook_Ads11[[#This Row],[clicks]]*RANDBETWEEN(8,12)/10,0)</f>
        <v>1323</v>
      </c>
      <c r="AZ102">
        <f ca="1">T_Facebook_Ads11[[#This Row],[spend]]*RANDBETWEEN(8,12)/10</f>
        <v>243.54000000000002</v>
      </c>
      <c r="BA102">
        <f ca="1">ROUND(T_Facebook_Ads11[[#This Row],[conversions]]*RANDBETWEEN(8,12)/10,0)</f>
        <v>34</v>
      </c>
      <c r="BB102">
        <f ca="1">ROUND(T_Facebook_Ads11[[#This Row],[video_views]]*RANDBETWEEN(8,12)/10,0)</f>
        <v>3958</v>
      </c>
    </row>
    <row r="103" spans="1:54" ht="15.75" thickBot="1" x14ac:dyDescent="0.3">
      <c r="A103" s="3">
        <f t="shared" ca="1" si="7"/>
        <v>44937</v>
      </c>
      <c r="B103" s="4" t="s">
        <v>64</v>
      </c>
      <c r="C103" s="4" t="s">
        <v>65</v>
      </c>
      <c r="D103" s="4" t="s">
        <v>66</v>
      </c>
      <c r="E103" s="4" t="s">
        <v>67</v>
      </c>
      <c r="F103" s="4">
        <f ca="1">ROUND(T_Facebook_Ads[[#This Row],[impressions]]*RANDBETWEEN(8,12)/10,0)</f>
        <v>59210</v>
      </c>
      <c r="G103" s="4">
        <v>234</v>
      </c>
      <c r="H103" s="4">
        <f ca="1">T_Facebook_Ads[[#This Row],[spend]]*RANDBETWEEN(8,12)/10</f>
        <v>72.36</v>
      </c>
      <c r="I103" s="4">
        <f ca="1">ROUND(T_Facebook_Ads[[#This Row],[conversions]]*RANDBETWEEN(8,12)/10,0)</f>
        <v>4</v>
      </c>
      <c r="J103" s="4">
        <f ca="1">ROUND(T_Facebook_Ads[[#This Row],[video_views]]*RANDBETWEEN(8,12)/10,0)</f>
        <v>52668</v>
      </c>
      <c r="K103" s="4">
        <f ca="1">T_Facebook_Ads[[#This Row],[engagement_rate]]*RANDBETWEEN(8,12)/10</f>
        <v>3.5999999999999999E-3</v>
      </c>
      <c r="L103" s="4">
        <f ca="1">ROUND(T_Facebook_Ads[[#This Row],[reach]]*RANDBETWEEN(8,12)/10,0)</f>
        <v>64948</v>
      </c>
      <c r="M103" s="4">
        <f ca="1">T_Facebook_Ads[[#This Row],[frequency]]*RANDBETWEEN(8,12)/10</f>
        <v>1.21</v>
      </c>
      <c r="O103" s="3">
        <f t="shared" ca="1" si="8"/>
        <v>44950</v>
      </c>
      <c r="P103" s="4" t="s">
        <v>88</v>
      </c>
      <c r="Q103" s="4" t="s">
        <v>89</v>
      </c>
      <c r="R103" s="4" t="s">
        <v>90</v>
      </c>
      <c r="S103" s="4" t="s">
        <v>59</v>
      </c>
      <c r="T103" s="4">
        <f ca="1">ROUND(_Google_ads[[#This Row],[impressions]]*RANDBETWEEN(8,12)/10,0)</f>
        <v>127345</v>
      </c>
      <c r="U103" s="4">
        <f ca="1">ROUND(_Google_ads[[#This Row],[clicks]]*RANDBETWEEN(8,12)/10,0)</f>
        <v>401</v>
      </c>
      <c r="V103" s="4">
        <f ca="1">_Google_ads[[#This Row],[cost]]*RANDBETWEEN(8,12)/10</f>
        <v>112.58999999999999</v>
      </c>
      <c r="W103" s="4">
        <f ca="1">ROUND(_Google_ads[[#This Row],[conversions]]*RANDBETWEEN(8,12)/10,0)</f>
        <v>14</v>
      </c>
      <c r="X103" s="4">
        <f ca="1">ROUND(_Google_ads[[#This Row],[conversion_value]]*RANDBETWEEN(8,12)/10,0)</f>
        <v>600</v>
      </c>
      <c r="Y103" s="4">
        <f ca="1">_Google_ads[[#This Row],[ctr]]*RANDBETWEEN(8,12)/10</f>
        <v>3.5000000000000005E-3</v>
      </c>
      <c r="Z103" s="4">
        <f ca="1">_Google_ads[[#This Row],[avg_cpc]]*RANDBETWEEN(8,12)/10</f>
        <v>0.33600000000000002</v>
      </c>
      <c r="AA103" s="4">
        <f ca="1">ROUND(_Google_ads[[#This Row],[quality_score]]*RANDBETWEEN(8,12)/10,0)</f>
        <v>8</v>
      </c>
      <c r="AB103" s="4">
        <f ca="1">_Google_ads[[#This Row],[search_impression_share]]*RANDBETWEEN(8,12)/10</f>
        <v>0.26400000000000001</v>
      </c>
      <c r="AD103" s="3">
        <f t="shared" ca="1" si="9"/>
        <v>44957</v>
      </c>
      <c r="AE103" s="4" t="s">
        <v>112</v>
      </c>
      <c r="AF103" s="4" t="s">
        <v>113</v>
      </c>
      <c r="AG103" s="4" t="s">
        <v>114</v>
      </c>
      <c r="AH103" s="4" t="s">
        <v>115</v>
      </c>
      <c r="AI103" s="4">
        <f ca="1">ROUND(T_Tiktok_ads[[#This Row],[impressions]]*RANDBETWEEN(8,12)/10,0)</f>
        <v>401234</v>
      </c>
      <c r="AJ103" s="4">
        <f ca="1">ROUND(T_Tiktok_ads[[#This Row],[clicks]]*RANDBETWEEN(8,12)/10,0)</f>
        <v>6456</v>
      </c>
      <c r="AK103" s="4">
        <v>989.9</v>
      </c>
      <c r="AL103" s="4">
        <f ca="1">ROUND(T_Tiktok_ads[[#This Row],[conversions]]*RANDBETWEEN(8,12)/10,0)</f>
        <v>101</v>
      </c>
      <c r="AM103" s="4">
        <f ca="1">ROUND(T_Tiktok_ads[[#This Row],[video_views]]*RANDBETWEEN(8,12)/10,0)</f>
        <v>299111</v>
      </c>
      <c r="AN103" s="4">
        <f ca="1">ROUND(T_Tiktok_ads[[#This Row],[video_watch_25]]*RANDBETWEEN(8,12)/10,0)</f>
        <v>267890</v>
      </c>
      <c r="AO103" s="4">
        <f ca="1">ROUND(T_Tiktok_ads[[#This Row],[video_watch_50]]*RANDBETWEEN(8,12)/10,0)</f>
        <v>214567</v>
      </c>
      <c r="AP103" s="4">
        <f ca="1">ROUND(T_Tiktok_ads[[#This Row],[video_watch_75]]*RANDBETWEEN(8,12)/10,0)</f>
        <v>151234</v>
      </c>
      <c r="AQ103" s="4">
        <f ca="1">ROUND(T_Tiktok_ads[[#This Row],[video_watch_100]]*RANDBETWEEN(8,12)/10,0)</f>
        <v>89610</v>
      </c>
      <c r="AR103" s="4">
        <f ca="1">ROUND(T_Tiktok_ads[[#This Row],[likes]]*RANDBETWEEN(8,12)/10,0)</f>
        <v>20681</v>
      </c>
      <c r="AS103" s="4">
        <f ca="1">ROUND(T_Tiktok_ads[[#This Row],[shares]]*RANDBETWEEN(8,12)/10,0)</f>
        <v>4010</v>
      </c>
      <c r="AT103" s="4">
        <f ca="1">ROUND(T_Tiktok_ads[[#This Row],[comments]]*RANDBETWEEN(8,12)/10,0)</f>
        <v>1378</v>
      </c>
      <c r="AV103" s="5">
        <f t="shared" ca="1" si="11"/>
        <v>44943</v>
      </c>
      <c r="AW103">
        <f t="shared" ca="1" si="10"/>
        <v>1</v>
      </c>
      <c r="AX103">
        <f ca="1">ROUND(T_Facebook_Ads11[[#This Row],[impressions]]*RANDBETWEEN(8,12)/10,0)</f>
        <v>47368</v>
      </c>
      <c r="AY103">
        <f ca="1">ROUND(T_Facebook_Ads11[[#This Row],[clicks]]*RANDBETWEEN(8,12)/10,0)</f>
        <v>234</v>
      </c>
      <c r="AZ103">
        <f ca="1">T_Facebook_Ads11[[#This Row],[spend]]*RANDBETWEEN(8,12)/10</f>
        <v>79.596000000000004</v>
      </c>
      <c r="BA103">
        <f ca="1">ROUND(T_Facebook_Ads11[[#This Row],[conversions]]*RANDBETWEEN(8,12)/10,0)</f>
        <v>4</v>
      </c>
      <c r="BB103">
        <f ca="1">ROUND(T_Facebook_Ads11[[#This Row],[video_views]]*RANDBETWEEN(8,12)/10,0)</f>
        <v>47401</v>
      </c>
    </row>
    <row r="104" spans="1:54" ht="15.75" thickBot="1" x14ac:dyDescent="0.3">
      <c r="A104" s="3">
        <f t="shared" ca="1" si="7"/>
        <v>44949</v>
      </c>
      <c r="B104" s="4" t="s">
        <v>52</v>
      </c>
      <c r="C104" s="4" t="s">
        <v>53</v>
      </c>
      <c r="D104" s="4" t="s">
        <v>54</v>
      </c>
      <c r="E104" s="4" t="s">
        <v>55</v>
      </c>
      <c r="F104" s="4">
        <f ca="1">ROUND(T_Facebook_Ads[[#This Row],[impressions]]*RANDBETWEEN(8,12)/10,0)</f>
        <v>47890</v>
      </c>
      <c r="G104" s="4">
        <v>967</v>
      </c>
      <c r="H104" s="4">
        <f ca="1">T_Facebook_Ads[[#This Row],[spend]]*RANDBETWEEN(8,12)/10</f>
        <v>124.56000000000002</v>
      </c>
      <c r="I104" s="4">
        <f ca="1">ROUND(T_Facebook_Ads[[#This Row],[conversions]]*RANDBETWEEN(8,12)/10,0)</f>
        <v>12</v>
      </c>
      <c r="J104" s="4">
        <f ca="1">ROUND(T_Facebook_Ads[[#This Row],[video_views]]*RANDBETWEEN(8,12)/10,0)</f>
        <v>9668</v>
      </c>
      <c r="K104" s="4">
        <f ca="1">T_Facebook_Ads[[#This Row],[engagement_rate]]*RANDBETWEEN(8,12)/10</f>
        <v>2.4240000000000001E-2</v>
      </c>
      <c r="L104" s="4">
        <f ca="1">ROUND(T_Facebook_Ads[[#This Row],[reach]]*RANDBETWEEN(8,12)/10,0)</f>
        <v>36211</v>
      </c>
      <c r="M104" s="4">
        <f ca="1">T_Facebook_Ads[[#This Row],[frequency]]*RANDBETWEEN(8,12)/10</f>
        <v>1.19</v>
      </c>
      <c r="O104" s="3">
        <f t="shared" ca="1" si="8"/>
        <v>44954</v>
      </c>
      <c r="P104" s="4" t="s">
        <v>76</v>
      </c>
      <c r="Q104" s="4" t="s">
        <v>77</v>
      </c>
      <c r="R104" s="4" t="s">
        <v>78</v>
      </c>
      <c r="S104" s="4" t="s">
        <v>79</v>
      </c>
      <c r="T104" s="4">
        <f ca="1">ROUND(_Google_ads[[#This Row],[impressions]]*RANDBETWEEN(8,12)/10,0)</f>
        <v>24890</v>
      </c>
      <c r="U104" s="4">
        <f ca="1">ROUND(_Google_ads[[#This Row],[clicks]]*RANDBETWEEN(8,12)/10,0)</f>
        <v>1278</v>
      </c>
      <c r="V104" s="4">
        <f ca="1">_Google_ads[[#This Row],[cost]]*RANDBETWEEN(8,12)/10</f>
        <v>244.2</v>
      </c>
      <c r="W104" s="4">
        <f ca="1">ROUND(_Google_ads[[#This Row],[conversions]]*RANDBETWEEN(8,12)/10,0)</f>
        <v>42</v>
      </c>
      <c r="X104" s="4">
        <f ca="1">ROUND(_Google_ads[[#This Row],[conversion_value]]*RANDBETWEEN(8,12)/10,0)</f>
        <v>2115</v>
      </c>
      <c r="Y104" s="4">
        <f ca="1">_Google_ads[[#This Row],[ctr]]*RANDBETWEEN(8,12)/10</f>
        <v>4.6170000000000003E-2</v>
      </c>
      <c r="Z104" s="4">
        <f ca="1">_Google_ads[[#This Row],[avg_cpc]]*RANDBETWEEN(8,12)/10</f>
        <v>0.152</v>
      </c>
      <c r="AA104" s="4">
        <f ca="1">ROUND(_Google_ads[[#This Row],[quality_score]]*RANDBETWEEN(8,12)/10,0)</f>
        <v>10</v>
      </c>
      <c r="AB104" s="4">
        <f ca="1">_Google_ads[[#This Row],[search_impression_share]]*RANDBETWEEN(8,12)/10</f>
        <v>1.0920000000000001</v>
      </c>
      <c r="AD104" s="3">
        <f t="shared" ca="1" si="9"/>
        <v>44928</v>
      </c>
      <c r="AE104" s="4" t="s">
        <v>100</v>
      </c>
      <c r="AF104" s="4" t="s">
        <v>101</v>
      </c>
      <c r="AG104" s="4" t="s">
        <v>102</v>
      </c>
      <c r="AH104" s="4" t="s">
        <v>103</v>
      </c>
      <c r="AI104" s="4">
        <f ca="1">ROUND(T_Tiktok_ads[[#This Row],[impressions]]*RANDBETWEEN(8,12)/10,0)</f>
        <v>260111</v>
      </c>
      <c r="AJ104" s="4">
        <f ca="1">ROUND(T_Tiktok_ads[[#This Row],[clicks]]*RANDBETWEEN(8,12)/10,0)</f>
        <v>4234</v>
      </c>
      <c r="AK104" s="4">
        <v>556.70000000000005</v>
      </c>
      <c r="AL104" s="4">
        <f ca="1">ROUND(T_Tiktok_ads[[#This Row],[conversions]]*RANDBETWEEN(8,12)/10,0)</f>
        <v>39</v>
      </c>
      <c r="AM104" s="4">
        <f ca="1">ROUND(T_Tiktok_ads[[#This Row],[video_views]]*RANDBETWEEN(8,12)/10,0)</f>
        <v>234567</v>
      </c>
      <c r="AN104" s="4">
        <f ca="1">ROUND(T_Tiktok_ads[[#This Row],[video_watch_25]]*RANDBETWEEN(8,12)/10,0)</f>
        <v>182345</v>
      </c>
      <c r="AO104" s="4">
        <f ca="1">ROUND(T_Tiktok_ads[[#This Row],[video_watch_50]]*RANDBETWEEN(8,12)/10,0)</f>
        <v>126024</v>
      </c>
      <c r="AP104" s="4">
        <f ca="1">ROUND(T_Tiktok_ads[[#This Row],[video_watch_75]]*RANDBETWEEN(8,12)/10,0)</f>
        <v>69511</v>
      </c>
      <c r="AQ104" s="4">
        <f ca="1">ROUND(T_Tiktok_ads[[#This Row],[video_watch_100]]*RANDBETWEEN(8,12)/10,0)</f>
        <v>56357</v>
      </c>
      <c r="AR104" s="4">
        <f ca="1">ROUND(T_Tiktok_ads[[#This Row],[likes]]*RANDBETWEEN(8,12)/10,0)</f>
        <v>11380</v>
      </c>
      <c r="AS104" s="4">
        <f ca="1">ROUND(T_Tiktok_ads[[#This Row],[shares]]*RANDBETWEEN(8,12)/10,0)</f>
        <v>2510</v>
      </c>
      <c r="AT104" s="4">
        <f ca="1">ROUND(T_Tiktok_ads[[#This Row],[comments]]*RANDBETWEEN(8,12)/10,0)</f>
        <v>787</v>
      </c>
      <c r="AV104" s="5">
        <f t="shared" ca="1" si="11"/>
        <v>44949</v>
      </c>
      <c r="AW104">
        <f t="shared" ca="1" si="10"/>
        <v>4</v>
      </c>
      <c r="AX104">
        <f ca="1">ROUND(T_Facebook_Ads11[[#This Row],[impressions]]*RANDBETWEEN(8,12)/10,0)</f>
        <v>52679</v>
      </c>
      <c r="AY104">
        <f ca="1">ROUND(T_Facebook_Ads11[[#This Row],[clicks]]*RANDBETWEEN(8,12)/10,0)</f>
        <v>1064</v>
      </c>
      <c r="AZ104">
        <f ca="1">T_Facebook_Ads11[[#This Row],[spend]]*RANDBETWEEN(8,12)/10</f>
        <v>124.56000000000002</v>
      </c>
      <c r="BA104">
        <f ca="1">ROUND(T_Facebook_Ads11[[#This Row],[conversions]]*RANDBETWEEN(8,12)/10,0)</f>
        <v>12</v>
      </c>
      <c r="BB104">
        <f ca="1">ROUND(T_Facebook_Ads11[[#This Row],[video_views]]*RANDBETWEEN(8,12)/10,0)</f>
        <v>7734</v>
      </c>
    </row>
    <row r="105" spans="1:54" ht="15.75" thickBot="1" x14ac:dyDescent="0.3">
      <c r="A105" s="3">
        <f t="shared" ca="1" si="7"/>
        <v>44937</v>
      </c>
      <c r="B105" s="4" t="s">
        <v>56</v>
      </c>
      <c r="C105" s="4" t="s">
        <v>57</v>
      </c>
      <c r="D105" s="4" t="s">
        <v>58</v>
      </c>
      <c r="E105" s="4" t="s">
        <v>59</v>
      </c>
      <c r="F105" s="4">
        <f ca="1">ROUND(T_Facebook_Ads[[#This Row],[impressions]]*RANDBETWEEN(8,12)/10,0)</f>
        <v>15881</v>
      </c>
      <c r="G105" s="4">
        <v>612</v>
      </c>
      <c r="H105" s="4">
        <f ca="1">T_Facebook_Ads[[#This Row],[spend]]*RANDBETWEEN(8,12)/10</f>
        <v>249.15</v>
      </c>
      <c r="I105" s="4">
        <f ca="1">ROUND(T_Facebook_Ads[[#This Row],[conversions]]*RANDBETWEEN(8,12)/10,0)</f>
        <v>31</v>
      </c>
      <c r="J105" s="4">
        <f ca="1">ROUND(T_Facebook_Ads[[#This Row],[video_views]]*RANDBETWEEN(8,12)/10,0)</f>
        <v>1211</v>
      </c>
      <c r="K105" s="4">
        <f ca="1">T_Facebook_Ads[[#This Row],[engagement_rate]]*RANDBETWEEN(8,12)/10</f>
        <v>5.5559999999999998E-2</v>
      </c>
      <c r="L105" s="4">
        <f ca="1">ROUND(T_Facebook_Ads[[#This Row],[reach]]*RANDBETWEEN(8,12)/10,0)</f>
        <v>8365</v>
      </c>
      <c r="M105" s="4">
        <f ca="1">T_Facebook_Ads[[#This Row],[frequency]]*RANDBETWEEN(8,12)/10</f>
        <v>1.143</v>
      </c>
      <c r="O105" s="3">
        <f t="shared" ca="1" si="8"/>
        <v>44942</v>
      </c>
      <c r="P105" s="4" t="s">
        <v>80</v>
      </c>
      <c r="Q105" s="4" t="s">
        <v>81</v>
      </c>
      <c r="R105" s="4" t="s">
        <v>82</v>
      </c>
      <c r="S105" s="4" t="s">
        <v>83</v>
      </c>
      <c r="T105" s="4">
        <f ca="1">ROUND(_Google_ads[[#This Row],[impressions]]*RANDBETWEEN(8,12)/10,0)</f>
        <v>44567</v>
      </c>
      <c r="U105" s="4">
        <f ca="1">ROUND(_Google_ads[[#This Row],[clicks]]*RANDBETWEEN(8,12)/10,0)</f>
        <v>966</v>
      </c>
      <c r="V105" s="4">
        <f ca="1">_Google_ads[[#This Row],[cost]]*RANDBETWEEN(8,12)/10</f>
        <v>627.87999999999988</v>
      </c>
      <c r="W105" s="4">
        <f ca="1">ROUND(_Google_ads[[#This Row],[conversions]]*RANDBETWEEN(8,12)/10,0)</f>
        <v>25</v>
      </c>
      <c r="X105" s="4">
        <f ca="1">ROUND(_Google_ads[[#This Row],[conversion_value]]*RANDBETWEEN(8,12)/10,0)</f>
        <v>920</v>
      </c>
      <c r="Y105" s="4">
        <f ca="1">_Google_ads[[#This Row],[ctr]]*RANDBETWEEN(8,12)/10</f>
        <v>1.9699999999999999E-2</v>
      </c>
      <c r="Z105" s="4">
        <f ca="1">_Google_ads[[#This Row],[avg_cpc]]*RANDBETWEEN(8,12)/10</f>
        <v>0.78</v>
      </c>
      <c r="AA105" s="4">
        <f ca="1">ROUND(_Google_ads[[#This Row],[quality_score]]*RANDBETWEEN(8,12)/10,0)</f>
        <v>8</v>
      </c>
      <c r="AB105" s="4">
        <f ca="1">_Google_ads[[#This Row],[search_impression_share]]*RANDBETWEEN(8,12)/10</f>
        <v>0.39600000000000002</v>
      </c>
      <c r="AD105" s="3">
        <f t="shared" ca="1" si="9"/>
        <v>44939</v>
      </c>
      <c r="AE105" s="4" t="s">
        <v>104</v>
      </c>
      <c r="AF105" s="4" t="s">
        <v>105</v>
      </c>
      <c r="AG105" s="4" t="s">
        <v>106</v>
      </c>
      <c r="AH105" s="4" t="s">
        <v>107</v>
      </c>
      <c r="AI105" s="4">
        <f ca="1">ROUND(T_Tiktok_ads[[#This Row],[impressions]]*RANDBETWEEN(8,12)/10,0)</f>
        <v>172468</v>
      </c>
      <c r="AJ105" s="4">
        <f ca="1">ROUND(T_Tiktok_ads[[#This Row],[clicks]]*RANDBETWEEN(8,12)/10,0)</f>
        <v>3313</v>
      </c>
      <c r="AK105" s="4">
        <v>812.3</v>
      </c>
      <c r="AL105" s="4">
        <f ca="1">ROUND(T_Tiktok_ads[[#This Row],[conversions]]*RANDBETWEEN(8,12)/10,0)</f>
        <v>90</v>
      </c>
      <c r="AM105" s="4">
        <f ca="1">ROUND(T_Tiktok_ads[[#This Row],[video_views]]*RANDBETWEEN(8,12)/10,0)</f>
        <v>131851</v>
      </c>
      <c r="AN105" s="4">
        <f ca="1">ROUND(T_Tiktok_ads[[#This Row],[video_watch_25]]*RANDBETWEEN(8,12)/10,0)</f>
        <v>81234</v>
      </c>
      <c r="AO105" s="4">
        <f ca="1">ROUND(T_Tiktok_ads[[#This Row],[video_watch_50]]*RANDBETWEEN(8,12)/10,0)</f>
        <v>49210</v>
      </c>
      <c r="AP105" s="4">
        <f ca="1">ROUND(T_Tiktok_ads[[#This Row],[video_watch_75]]*RANDBETWEEN(8,12)/10,0)</f>
        <v>41234</v>
      </c>
      <c r="AQ105" s="4">
        <f ca="1">ROUND(T_Tiktok_ads[[#This Row],[video_watch_100]]*RANDBETWEEN(8,12)/10,0)</f>
        <v>30324</v>
      </c>
      <c r="AR105" s="4">
        <f ca="1">ROUND(T_Tiktok_ads[[#This Row],[likes]]*RANDBETWEEN(8,12)/10,0)</f>
        <v>4910</v>
      </c>
      <c r="AS105" s="4">
        <f ca="1">ROUND(T_Tiktok_ads[[#This Row],[shares]]*RANDBETWEEN(8,12)/10,0)</f>
        <v>1410</v>
      </c>
      <c r="AT105" s="4">
        <f ca="1">ROUND(T_Tiktok_ads[[#This Row],[comments]]*RANDBETWEEN(8,12)/10,0)</f>
        <v>260</v>
      </c>
      <c r="AV105" s="5">
        <f t="shared" ca="1" si="11"/>
        <v>44951</v>
      </c>
      <c r="AW105">
        <f t="shared" ca="1" si="10"/>
        <v>4</v>
      </c>
      <c r="AX105">
        <f ca="1">ROUND(T_Facebook_Ads11[[#This Row],[impressions]]*RANDBETWEEN(8,12)/10,0)</f>
        <v>12705</v>
      </c>
      <c r="AY105">
        <f ca="1">ROUND(T_Facebook_Ads11[[#This Row],[clicks]]*RANDBETWEEN(8,12)/10,0)</f>
        <v>551</v>
      </c>
      <c r="AZ105">
        <f ca="1">T_Facebook_Ads11[[#This Row],[spend]]*RANDBETWEEN(8,12)/10</f>
        <v>224.23499999999999</v>
      </c>
      <c r="BA105">
        <f ca="1">ROUND(T_Facebook_Ads11[[#This Row],[conversions]]*RANDBETWEEN(8,12)/10,0)</f>
        <v>31</v>
      </c>
      <c r="BB105">
        <f ca="1">ROUND(T_Facebook_Ads11[[#This Row],[video_views]]*RANDBETWEEN(8,12)/10,0)</f>
        <v>969</v>
      </c>
    </row>
    <row r="106" spans="1:54" ht="15.75" thickBot="1" x14ac:dyDescent="0.3">
      <c r="A106" s="3">
        <f t="shared" ca="1" si="7"/>
        <v>44944</v>
      </c>
      <c r="B106" s="4" t="s">
        <v>60</v>
      </c>
      <c r="C106" s="4" t="s">
        <v>61</v>
      </c>
      <c r="D106" s="4" t="s">
        <v>62</v>
      </c>
      <c r="E106" s="4" t="s">
        <v>63</v>
      </c>
      <c r="F106" s="4">
        <f ca="1">ROUND(T_Facebook_Ads[[#This Row],[impressions]]*RANDBETWEEN(8,12)/10,0)</f>
        <v>39857</v>
      </c>
      <c r="G106" s="4">
        <v>1334</v>
      </c>
      <c r="H106" s="4">
        <f ca="1">T_Facebook_Ads[[#This Row],[spend]]*RANDBETWEEN(8,12)/10</f>
        <v>244.43999999999997</v>
      </c>
      <c r="I106" s="4">
        <f ca="1">ROUND(T_Facebook_Ads[[#This Row],[conversions]]*RANDBETWEEN(8,12)/10,0)</f>
        <v>22</v>
      </c>
      <c r="J106" s="4">
        <f ca="1">ROUND(T_Facebook_Ads[[#This Row],[video_views]]*RANDBETWEEN(8,12)/10,0)</f>
        <v>5614</v>
      </c>
      <c r="K106" s="4">
        <f ca="1">T_Facebook_Ads[[#This Row],[engagement_rate]]*RANDBETWEEN(8,12)/10</f>
        <v>4.0480000000000002E-2</v>
      </c>
      <c r="L106" s="4">
        <f ca="1">ROUND(T_Facebook_Ads[[#This Row],[reach]]*RANDBETWEEN(8,12)/10,0)</f>
        <v>33135</v>
      </c>
      <c r="M106" s="4">
        <f ca="1">T_Facebook_Ads[[#This Row],[frequency]]*RANDBETWEEN(8,12)/10</f>
        <v>1.0799999999999998</v>
      </c>
      <c r="O106" s="3">
        <f t="shared" ca="1" si="8"/>
        <v>44956</v>
      </c>
      <c r="P106" s="4" t="s">
        <v>84</v>
      </c>
      <c r="Q106" s="4" t="s">
        <v>85</v>
      </c>
      <c r="R106" s="4" t="s">
        <v>86</v>
      </c>
      <c r="S106" s="4" t="s">
        <v>87</v>
      </c>
      <c r="T106" s="4">
        <f ca="1">ROUND(_Google_ads[[#This Row],[impressions]]*RANDBETWEEN(8,12)/10,0)</f>
        <v>75302</v>
      </c>
      <c r="U106" s="4">
        <f ca="1">ROUND(_Google_ads[[#This Row],[clicks]]*RANDBETWEEN(8,12)/10,0)</f>
        <v>2060</v>
      </c>
      <c r="V106" s="4">
        <f ca="1">_Google_ads[[#This Row],[cost]]*RANDBETWEEN(8,12)/10</f>
        <v>503.4</v>
      </c>
      <c r="W106" s="4">
        <f ca="1">ROUND(_Google_ads[[#This Row],[conversions]]*RANDBETWEEN(8,12)/10,0)</f>
        <v>79</v>
      </c>
      <c r="X106" s="4">
        <f ca="1">ROUND(_Google_ads[[#This Row],[conversion_value]]*RANDBETWEEN(8,12)/10,0)</f>
        <v>2970</v>
      </c>
      <c r="Y106" s="4">
        <f ca="1">_Google_ads[[#This Row],[ctr]]*RANDBETWEEN(8,12)/10</f>
        <v>3.6740000000000002E-2</v>
      </c>
      <c r="Z106" s="4">
        <f ca="1">_Google_ads[[#This Row],[avg_cpc]]*RANDBETWEEN(8,12)/10</f>
        <v>0.14399999999999999</v>
      </c>
      <c r="AA106" s="4">
        <f ca="1">ROUND(_Google_ads[[#This Row],[quality_score]]*RANDBETWEEN(8,12)/10,0)</f>
        <v>9</v>
      </c>
      <c r="AB106" s="4">
        <f ca="1">_Google_ads[[#This Row],[search_impression_share]]*RANDBETWEEN(8,12)/10</f>
        <v>0.67</v>
      </c>
      <c r="AD106" s="3">
        <f t="shared" ca="1" si="9"/>
        <v>44954</v>
      </c>
      <c r="AE106" s="4" t="s">
        <v>108</v>
      </c>
      <c r="AF106" s="4" t="s">
        <v>109</v>
      </c>
      <c r="AG106" s="4" t="s">
        <v>110</v>
      </c>
      <c r="AH106" s="4" t="s">
        <v>111</v>
      </c>
      <c r="AI106" s="4">
        <f ca="1">ROUND(T_Tiktok_ads[[#This Row],[impressions]]*RANDBETWEEN(8,12)/10,0)</f>
        <v>294814</v>
      </c>
      <c r="AJ106" s="4">
        <f ca="1">ROUND(T_Tiktok_ads[[#This Row],[clicks]]*RANDBETWEEN(8,12)/10,0)</f>
        <v>3501</v>
      </c>
      <c r="AK106" s="4">
        <v>467.8</v>
      </c>
      <c r="AL106" s="4">
        <f ca="1">ROUND(T_Tiktok_ads[[#This Row],[conversions]]*RANDBETWEEN(8,12)/10,0)</f>
        <v>37</v>
      </c>
      <c r="AM106" s="4">
        <f ca="1">ROUND(T_Tiktok_ads[[#This Row],[video_views]]*RANDBETWEEN(8,12)/10,0)</f>
        <v>234814</v>
      </c>
      <c r="AN106" s="4">
        <f ca="1">ROUND(T_Tiktok_ads[[#This Row],[video_watch_25]]*RANDBETWEEN(8,12)/10,0)</f>
        <v>133411</v>
      </c>
      <c r="AO106" s="4">
        <f ca="1">ROUND(T_Tiktok_ads[[#This Row],[video_watch_50]]*RANDBETWEEN(8,12)/10,0)</f>
        <v>105511</v>
      </c>
      <c r="AP106" s="4">
        <f ca="1">ROUND(T_Tiktok_ads[[#This Row],[video_watch_75]]*RANDBETWEEN(8,12)/10,0)</f>
        <v>67711</v>
      </c>
      <c r="AQ106" s="4">
        <f ca="1">ROUND(T_Tiktok_ads[[#This Row],[video_watch_100]]*RANDBETWEEN(8,12)/10,0)</f>
        <v>54947</v>
      </c>
      <c r="AR106" s="4">
        <f ca="1">ROUND(T_Tiktok_ads[[#This Row],[likes]]*RANDBETWEEN(8,12)/10,0)</f>
        <v>10280</v>
      </c>
      <c r="AS106" s="4">
        <f ca="1">ROUND(T_Tiktok_ads[[#This Row],[shares]]*RANDBETWEEN(8,12)/10,0)</f>
        <v>2814</v>
      </c>
      <c r="AT106" s="4">
        <f ca="1">ROUND(T_Tiktok_ads[[#This Row],[comments]]*RANDBETWEEN(8,12)/10,0)</f>
        <v>680</v>
      </c>
      <c r="AV106" s="5">
        <f t="shared" ca="1" si="11"/>
        <v>44956</v>
      </c>
      <c r="AW106">
        <f t="shared" ca="1" si="10"/>
        <v>3</v>
      </c>
      <c r="AX106">
        <f ca="1">ROUND(T_Facebook_Ads11[[#This Row],[impressions]]*RANDBETWEEN(8,12)/10,0)</f>
        <v>39857</v>
      </c>
      <c r="AY106">
        <f ca="1">ROUND(T_Facebook_Ads11[[#This Row],[clicks]]*RANDBETWEEN(8,12)/10,0)</f>
        <v>1067</v>
      </c>
      <c r="AZ106">
        <f ca="1">T_Facebook_Ads11[[#This Row],[spend]]*RANDBETWEEN(8,12)/10</f>
        <v>195.55199999999996</v>
      </c>
      <c r="BA106">
        <f ca="1">ROUND(T_Facebook_Ads11[[#This Row],[conversions]]*RANDBETWEEN(8,12)/10,0)</f>
        <v>22</v>
      </c>
      <c r="BB106">
        <f ca="1">ROUND(T_Facebook_Ads11[[#This Row],[video_views]]*RANDBETWEEN(8,12)/10,0)</f>
        <v>6175</v>
      </c>
    </row>
    <row r="107" spans="1:54" ht="15.75" thickBot="1" x14ac:dyDescent="0.3">
      <c r="A107" s="3">
        <f t="shared" ca="1" si="7"/>
        <v>44941</v>
      </c>
      <c r="B107" s="4" t="s">
        <v>64</v>
      </c>
      <c r="C107" s="4" t="s">
        <v>65</v>
      </c>
      <c r="D107" s="4" t="s">
        <v>66</v>
      </c>
      <c r="E107" s="4" t="s">
        <v>67</v>
      </c>
      <c r="F107" s="4">
        <f ca="1">ROUND(T_Facebook_Ads[[#This Row],[impressions]]*RANDBETWEEN(8,12)/10,0)</f>
        <v>62610</v>
      </c>
      <c r="G107" s="4">
        <v>253</v>
      </c>
      <c r="H107" s="4">
        <f ca="1">T_Facebook_Ads[[#This Row],[spend]]*RANDBETWEEN(8,12)/10</f>
        <v>79.830000000000013</v>
      </c>
      <c r="I107" s="4">
        <f ca="1">ROUND(T_Facebook_Ads[[#This Row],[conversions]]*RANDBETWEEN(8,12)/10,0)</f>
        <v>6</v>
      </c>
      <c r="J107" s="4">
        <f ca="1">ROUND(T_Facebook_Ads[[#This Row],[video_views]]*RANDBETWEEN(8,12)/10,0)</f>
        <v>46890</v>
      </c>
      <c r="K107" s="4">
        <f ca="1">T_Facebook_Ads[[#This Row],[engagement_rate]]*RANDBETWEEN(8,12)/10</f>
        <v>3.5999999999999999E-3</v>
      </c>
      <c r="L107" s="4">
        <f ca="1">ROUND(T_Facebook_Ads[[#This Row],[reach]]*RANDBETWEEN(8,12)/10,0)</f>
        <v>57123</v>
      </c>
      <c r="M107" s="4">
        <f ca="1">T_Facebook_Ads[[#This Row],[frequency]]*RANDBETWEEN(8,12)/10</f>
        <v>1.22</v>
      </c>
      <c r="O107" s="3">
        <f t="shared" ca="1" si="8"/>
        <v>44953</v>
      </c>
      <c r="P107" s="4" t="s">
        <v>88</v>
      </c>
      <c r="Q107" s="4" t="s">
        <v>89</v>
      </c>
      <c r="R107" s="4" t="s">
        <v>90</v>
      </c>
      <c r="S107" s="4" t="s">
        <v>59</v>
      </c>
      <c r="T107" s="4">
        <f ca="1">ROUND(_Google_ads[[#This Row],[impressions]]*RANDBETWEEN(8,12)/10,0)</f>
        <v>104987</v>
      </c>
      <c r="U107" s="4">
        <f ca="1">ROUND(_Google_ads[[#This Row],[clicks]]*RANDBETWEEN(8,12)/10,0)</f>
        <v>374</v>
      </c>
      <c r="V107" s="4">
        <f ca="1">_Google_ads[[#This Row],[cost]]*RANDBETWEEN(8,12)/10</f>
        <v>103.12</v>
      </c>
      <c r="W107" s="4">
        <f ca="1">ROUND(_Google_ads[[#This Row],[conversions]]*RANDBETWEEN(8,12)/10,0)</f>
        <v>10</v>
      </c>
      <c r="X107" s="4">
        <f ca="1">ROUND(_Google_ads[[#This Row],[conversion_value]]*RANDBETWEEN(8,12)/10,0)</f>
        <v>585</v>
      </c>
      <c r="Y107" s="4">
        <f ca="1">_Google_ads[[#This Row],[ctr]]*RANDBETWEEN(8,12)/10</f>
        <v>3.5999999999999999E-3</v>
      </c>
      <c r="Z107" s="4">
        <f ca="1">_Google_ads[[#This Row],[avg_cpc]]*RANDBETWEEN(8,12)/10</f>
        <v>0.28000000000000003</v>
      </c>
      <c r="AA107" s="4">
        <f ca="1">ROUND(_Google_ads[[#This Row],[quality_score]]*RANDBETWEEN(8,12)/10,0)</f>
        <v>6</v>
      </c>
      <c r="AB107" s="4">
        <f ca="1">_Google_ads[[#This Row],[search_impression_share]]*RANDBETWEEN(8,12)/10</f>
        <v>0.34</v>
      </c>
      <c r="AD107" s="3">
        <f t="shared" ca="1" si="9"/>
        <v>44947</v>
      </c>
      <c r="AE107" s="4" t="s">
        <v>112</v>
      </c>
      <c r="AF107" s="4" t="s">
        <v>113</v>
      </c>
      <c r="AG107" s="4" t="s">
        <v>114</v>
      </c>
      <c r="AH107" s="4" t="s">
        <v>115</v>
      </c>
      <c r="AI107" s="4">
        <f ca="1">ROUND(T_Tiktok_ads[[#This Row],[impressions]]*RANDBETWEEN(8,12)/10,0)</f>
        <v>381110</v>
      </c>
      <c r="AJ107" s="4">
        <f ca="1">ROUND(T_Tiktok_ads[[#This Row],[clicks]]*RANDBETWEEN(8,12)/10,0)</f>
        <v>7579</v>
      </c>
      <c r="AK107" s="4">
        <v>1056.8</v>
      </c>
      <c r="AL107" s="4">
        <f ca="1">ROUND(T_Tiktok_ads[[#This Row],[conversions]]*RANDBETWEEN(8,12)/10,0)</f>
        <v>107</v>
      </c>
      <c r="AM107" s="4">
        <f ca="1">ROUND(T_Tiktok_ads[[#This Row],[video_views]]*RANDBETWEEN(8,12)/10,0)</f>
        <v>321110</v>
      </c>
      <c r="AN107" s="4">
        <f ca="1">ROUND(T_Tiktok_ads[[#This Row],[video_watch_25]]*RANDBETWEEN(8,12)/10,0)</f>
        <v>260311</v>
      </c>
      <c r="AO107" s="4">
        <f ca="1">ROUND(T_Tiktok_ads[[#This Row],[video_watch_50]]*RANDBETWEEN(8,12)/10,0)</f>
        <v>231456</v>
      </c>
      <c r="AP107" s="4">
        <f ca="1">ROUND(T_Tiktok_ads[[#This Row],[video_watch_75]]*RANDBETWEEN(8,12)/10,0)</f>
        <v>181024</v>
      </c>
      <c r="AQ107" s="4">
        <f ca="1">ROUND(T_Tiktok_ads[[#This Row],[video_watch_100]]*RANDBETWEEN(8,12)/10,0)</f>
        <v>109234</v>
      </c>
      <c r="AR107" s="4">
        <f ca="1">ROUND(T_Tiktok_ads[[#This Row],[likes]]*RANDBETWEEN(8,12)/10,0)</f>
        <v>20779</v>
      </c>
      <c r="AS107" s="4">
        <f ca="1">ROUND(T_Tiktok_ads[[#This Row],[shares]]*RANDBETWEEN(8,12)/10,0)</f>
        <v>6002</v>
      </c>
      <c r="AT107" s="4">
        <f ca="1">ROUND(T_Tiktok_ads[[#This Row],[comments]]*RANDBETWEEN(8,12)/10,0)</f>
        <v>1340</v>
      </c>
      <c r="AV107" s="5">
        <f t="shared" ca="1" si="11"/>
        <v>44937</v>
      </c>
      <c r="AW107">
        <f t="shared" ca="1" si="10"/>
        <v>1</v>
      </c>
      <c r="AX107">
        <f ca="1">ROUND(T_Facebook_Ads11[[#This Row],[impressions]]*RANDBETWEEN(8,12)/10,0)</f>
        <v>68871</v>
      </c>
      <c r="AY107">
        <f ca="1">ROUND(T_Facebook_Ads11[[#This Row],[clicks]]*RANDBETWEEN(8,12)/10,0)</f>
        <v>228</v>
      </c>
      <c r="AZ107">
        <f ca="1">T_Facebook_Ads11[[#This Row],[spend]]*RANDBETWEEN(8,12)/10</f>
        <v>63.864000000000011</v>
      </c>
      <c r="BA107">
        <f ca="1">ROUND(T_Facebook_Ads11[[#This Row],[conversions]]*RANDBETWEEN(8,12)/10,0)</f>
        <v>5</v>
      </c>
      <c r="BB107">
        <f ca="1">ROUND(T_Facebook_Ads11[[#This Row],[video_views]]*RANDBETWEEN(8,12)/10,0)</f>
        <v>42201</v>
      </c>
    </row>
    <row r="108" spans="1:54" ht="15.75" thickBot="1" x14ac:dyDescent="0.3">
      <c r="A108" s="3">
        <f t="shared" ca="1" si="7"/>
        <v>44930</v>
      </c>
      <c r="B108" s="4" t="s">
        <v>52</v>
      </c>
      <c r="C108" s="4" t="s">
        <v>53</v>
      </c>
      <c r="D108" s="4" t="s">
        <v>54</v>
      </c>
      <c r="E108" s="4" t="s">
        <v>55</v>
      </c>
      <c r="F108" s="4">
        <f ca="1">ROUND(T_Facebook_Ads[[#This Row],[impressions]]*RANDBETWEEN(8,12)/10,0)</f>
        <v>59081</v>
      </c>
      <c r="G108" s="4">
        <v>1001</v>
      </c>
      <c r="H108" s="4">
        <f ca="1">T_Facebook_Ads[[#This Row],[spend]]*RANDBETWEEN(8,12)/10</f>
        <v>171.36</v>
      </c>
      <c r="I108" s="4">
        <f ca="1">ROUND(T_Facebook_Ads[[#This Row],[conversions]]*RANDBETWEEN(8,12)/10,0)</f>
        <v>16</v>
      </c>
      <c r="J108" s="4">
        <f ca="1">ROUND(T_Facebook_Ads[[#This Row],[video_views]]*RANDBETWEEN(8,12)/10,0)</f>
        <v>10814</v>
      </c>
      <c r="K108" s="4">
        <f ca="1">T_Facebook_Ads[[#This Row],[engagement_rate]]*RANDBETWEEN(8,12)/10</f>
        <v>1.6239999999999997E-2</v>
      </c>
      <c r="L108" s="4">
        <f ca="1">ROUND(T_Facebook_Ads[[#This Row],[reach]]*RANDBETWEEN(8,12)/10,0)</f>
        <v>37410</v>
      </c>
      <c r="M108" s="4">
        <f ca="1">T_Facebook_Ads[[#This Row],[frequency]]*RANDBETWEEN(8,12)/10</f>
        <v>1.18</v>
      </c>
      <c r="O108" s="3">
        <f t="shared" ca="1" si="8"/>
        <v>44950</v>
      </c>
      <c r="P108" s="4" t="s">
        <v>76</v>
      </c>
      <c r="Q108" s="4" t="s">
        <v>77</v>
      </c>
      <c r="R108" s="4" t="s">
        <v>78</v>
      </c>
      <c r="S108" s="4" t="s">
        <v>79</v>
      </c>
      <c r="T108" s="4">
        <f ca="1">ROUND(_Google_ads[[#This Row],[impressions]]*RANDBETWEEN(8,12)/10,0)</f>
        <v>20365</v>
      </c>
      <c r="U108" s="4">
        <f ca="1">ROUND(_Google_ads[[#This Row],[clicks]]*RANDBETWEEN(8,12)/10,0)</f>
        <v>1467</v>
      </c>
      <c r="V108" s="4">
        <f ca="1">_Google_ads[[#This Row],[cost]]*RANDBETWEEN(8,12)/10</f>
        <v>229.14000000000001</v>
      </c>
      <c r="W108" s="4">
        <f ca="1">ROUND(_Google_ads[[#This Row],[conversions]]*RANDBETWEEN(8,12)/10,0)</f>
        <v>50</v>
      </c>
      <c r="X108" s="4">
        <f ca="1">ROUND(_Google_ads[[#This Row],[conversion_value]]*RANDBETWEEN(8,12)/10,0)</f>
        <v>2000</v>
      </c>
      <c r="Y108" s="4">
        <f ca="1">_Google_ads[[#This Row],[ctr]]*RANDBETWEEN(8,12)/10</f>
        <v>4.1919999999999999E-2</v>
      </c>
      <c r="Z108" s="4">
        <f ca="1">_Google_ads[[#This Row],[avg_cpc]]*RANDBETWEEN(8,12)/10</f>
        <v>0.152</v>
      </c>
      <c r="AA108" s="4">
        <f ca="1">ROUND(_Google_ads[[#This Row],[quality_score]]*RANDBETWEEN(8,12)/10,0)</f>
        <v>9</v>
      </c>
      <c r="AB108" s="4">
        <f ca="1">_Google_ads[[#This Row],[search_impression_share]]*RANDBETWEEN(8,12)/10</f>
        <v>1.012</v>
      </c>
      <c r="AD108" s="3">
        <f t="shared" ca="1" si="9"/>
        <v>44937</v>
      </c>
      <c r="AE108" s="4" t="s">
        <v>100</v>
      </c>
      <c r="AF108" s="4" t="s">
        <v>101</v>
      </c>
      <c r="AG108" s="4" t="s">
        <v>102</v>
      </c>
      <c r="AH108" s="4" t="s">
        <v>103</v>
      </c>
      <c r="AI108" s="4">
        <f ca="1">ROUND(T_Tiktok_ads[[#This Row],[impressions]]*RANDBETWEEN(8,12)/10,0)</f>
        <v>266110</v>
      </c>
      <c r="AJ108" s="4">
        <f ca="1">ROUND(T_Tiktok_ads[[#This Row],[clicks]]*RANDBETWEEN(8,12)/10,0)</f>
        <v>4345</v>
      </c>
      <c r="AK108" s="4">
        <v>573.20000000000005</v>
      </c>
      <c r="AL108" s="4">
        <f ca="1">ROUND(T_Tiktok_ads[[#This Row],[conversions]]*RANDBETWEEN(8,12)/10,0)</f>
        <v>35</v>
      </c>
      <c r="AM108" s="4">
        <f ca="1">ROUND(T_Tiktok_ads[[#This Row],[video_views]]*RANDBETWEEN(8,12)/10,0)</f>
        <v>289481</v>
      </c>
      <c r="AN108" s="4">
        <f ca="1">ROUND(T_Tiktok_ads[[#This Row],[video_watch_25]]*RANDBETWEEN(8,12)/10,0)</f>
        <v>188234</v>
      </c>
      <c r="AO108" s="4">
        <f ca="1">ROUND(T_Tiktok_ads[[#This Row],[video_watch_50]]*RANDBETWEEN(8,12)/10,0)</f>
        <v>117890</v>
      </c>
      <c r="AP108" s="4">
        <f ca="1">ROUND(T_Tiktok_ads[[#This Row],[video_watch_75]]*RANDBETWEEN(8,12)/10,0)</f>
        <v>63387</v>
      </c>
      <c r="AQ108" s="4">
        <f ca="1">ROUND(T_Tiktok_ads[[#This Row],[video_watch_100]]*RANDBETWEEN(8,12)/10,0)</f>
        <v>63347</v>
      </c>
      <c r="AR108" s="4">
        <f ca="1">ROUND(T_Tiktok_ads[[#This Row],[likes]]*RANDBETWEEN(8,12)/10,0)</f>
        <v>12680</v>
      </c>
      <c r="AS108" s="4">
        <f ca="1">ROUND(T_Tiktok_ads[[#This Row],[shares]]*RANDBETWEEN(8,12)/10,0)</f>
        <v>3427</v>
      </c>
      <c r="AT108" s="4">
        <f ca="1">ROUND(T_Tiktok_ads[[#This Row],[comments]]*RANDBETWEEN(8,12)/10,0)</f>
        <v>600</v>
      </c>
      <c r="AV108" s="5">
        <f t="shared" ca="1" si="11"/>
        <v>44928</v>
      </c>
      <c r="AW108">
        <f t="shared" ca="1" si="10"/>
        <v>7</v>
      </c>
      <c r="AX108">
        <f ca="1">ROUND(T_Facebook_Ads11[[#This Row],[impressions]]*RANDBETWEEN(8,12)/10,0)</f>
        <v>64989</v>
      </c>
      <c r="AY108">
        <f ca="1">ROUND(T_Facebook_Ads11[[#This Row],[clicks]]*RANDBETWEEN(8,12)/10,0)</f>
        <v>801</v>
      </c>
      <c r="AZ108">
        <f ca="1">T_Facebook_Ads11[[#This Row],[spend]]*RANDBETWEEN(8,12)/10</f>
        <v>205.63200000000001</v>
      </c>
      <c r="BA108">
        <f ca="1">ROUND(T_Facebook_Ads11[[#This Row],[conversions]]*RANDBETWEEN(8,12)/10,0)</f>
        <v>18</v>
      </c>
      <c r="BB108">
        <f ca="1">ROUND(T_Facebook_Ads11[[#This Row],[video_views]]*RANDBETWEEN(8,12)/10,0)</f>
        <v>9733</v>
      </c>
    </row>
    <row r="109" spans="1:54" ht="15.75" thickBot="1" x14ac:dyDescent="0.3">
      <c r="A109" s="3">
        <f t="shared" ca="1" si="7"/>
        <v>44928</v>
      </c>
      <c r="B109" s="4" t="s">
        <v>56</v>
      </c>
      <c r="C109" s="4" t="s">
        <v>57</v>
      </c>
      <c r="D109" s="4" t="s">
        <v>58</v>
      </c>
      <c r="E109" s="4" t="s">
        <v>59</v>
      </c>
      <c r="F109" s="4">
        <f ca="1">ROUND(T_Facebook_Ads[[#This Row],[impressions]]*RANDBETWEEN(8,12)/10,0)</f>
        <v>16948</v>
      </c>
      <c r="G109" s="4">
        <v>645</v>
      </c>
      <c r="H109" s="4">
        <f ca="1">T_Facebook_Ads[[#This Row],[spend]]*RANDBETWEEN(8,12)/10</f>
        <v>236.9</v>
      </c>
      <c r="I109" s="4">
        <f ca="1">ROUND(T_Facebook_Ads[[#This Row],[conversions]]*RANDBETWEEN(8,12)/10,0)</f>
        <v>49</v>
      </c>
      <c r="J109" s="4">
        <f ca="1">ROUND(T_Facebook_Ads[[#This Row],[video_views]]*RANDBETWEEN(8,12)/10,0)</f>
        <v>1423</v>
      </c>
      <c r="K109" s="4">
        <f ca="1">T_Facebook_Ads[[#This Row],[engagement_rate]]*RANDBETWEEN(8,12)/10</f>
        <v>3.6559999999999995E-2</v>
      </c>
      <c r="L109" s="4">
        <f ca="1">ROUND(T_Facebook_Ads[[#This Row],[reach]]*RANDBETWEEN(8,12)/10,0)</f>
        <v>8898</v>
      </c>
      <c r="M109" s="4">
        <f ca="1">T_Facebook_Ads[[#This Row],[frequency]]*RANDBETWEEN(8,12)/10</f>
        <v>1.27</v>
      </c>
      <c r="O109" s="3">
        <f t="shared" ca="1" si="8"/>
        <v>44953</v>
      </c>
      <c r="P109" s="4" t="s">
        <v>80</v>
      </c>
      <c r="Q109" s="4" t="s">
        <v>81</v>
      </c>
      <c r="R109" s="4" t="s">
        <v>82</v>
      </c>
      <c r="S109" s="4" t="s">
        <v>83</v>
      </c>
      <c r="T109" s="4">
        <f ca="1">ROUND(_Google_ads[[#This Row],[impressions]]*RANDBETWEEN(8,12)/10,0)</f>
        <v>41301</v>
      </c>
      <c r="U109" s="4">
        <f ca="1">ROUND(_Google_ads[[#This Row],[clicks]]*RANDBETWEEN(8,12)/10,0)</f>
        <v>1003</v>
      </c>
      <c r="V109" s="4">
        <f ca="1">_Google_ads[[#This Row],[cost]]*RANDBETWEEN(8,12)/10</f>
        <v>705.24</v>
      </c>
      <c r="W109" s="4">
        <f ca="1">ROUND(_Google_ads[[#This Row],[conversions]]*RANDBETWEEN(8,12)/10,0)</f>
        <v>22</v>
      </c>
      <c r="X109" s="4">
        <f ca="1">ROUND(_Google_ads[[#This Row],[conversion_value]]*RANDBETWEEN(8,12)/10,0)</f>
        <v>1320</v>
      </c>
      <c r="Y109" s="4">
        <f ca="1">_Google_ads[[#This Row],[ctr]]*RANDBETWEEN(8,12)/10</f>
        <v>1.9900000000000001E-2</v>
      </c>
      <c r="Z109" s="4">
        <f ca="1">_Google_ads[[#This Row],[avg_cpc]]*RANDBETWEEN(8,12)/10</f>
        <v>0.76800000000000002</v>
      </c>
      <c r="AA109" s="4">
        <f ca="1">ROUND(_Google_ads[[#This Row],[quality_score]]*RANDBETWEEN(8,12)/10,0)</f>
        <v>6</v>
      </c>
      <c r="AB109" s="4">
        <f ca="1">_Google_ads[[#This Row],[search_impression_share]]*RANDBETWEEN(8,12)/10</f>
        <v>0.45</v>
      </c>
      <c r="AD109" s="3">
        <f t="shared" ca="1" si="9"/>
        <v>44950</v>
      </c>
      <c r="AE109" s="4" t="s">
        <v>104</v>
      </c>
      <c r="AF109" s="4" t="s">
        <v>105</v>
      </c>
      <c r="AG109" s="4" t="s">
        <v>106</v>
      </c>
      <c r="AH109" s="4" t="s">
        <v>107</v>
      </c>
      <c r="AI109" s="4">
        <f ca="1">ROUND(T_Tiktok_ads[[#This Row],[impressions]]*RANDBETWEEN(8,12)/10,0)</f>
        <v>145111</v>
      </c>
      <c r="AJ109" s="4">
        <f ca="1">ROUND(T_Tiktok_ads[[#This Row],[clicks]]*RANDBETWEEN(8,12)/10,0)</f>
        <v>3089</v>
      </c>
      <c r="AK109" s="4">
        <v>823.7</v>
      </c>
      <c r="AL109" s="4">
        <f ca="1">ROUND(T_Tiktok_ads[[#This Row],[conversions]]*RANDBETWEEN(8,12)/10,0)</f>
        <v>100</v>
      </c>
      <c r="AM109" s="4">
        <f ca="1">ROUND(T_Tiktok_ads[[#This Row],[video_views]]*RANDBETWEEN(8,12)/10,0)</f>
        <v>136147</v>
      </c>
      <c r="AN109" s="4">
        <f ca="1">ROUND(T_Tiktok_ads[[#This Row],[video_watch_25]]*RANDBETWEEN(8,12)/10,0)</f>
        <v>91924</v>
      </c>
      <c r="AO109" s="4">
        <f ca="1">ROUND(T_Tiktok_ads[[#This Row],[video_watch_50]]*RANDBETWEEN(8,12)/10,0)</f>
        <v>67481</v>
      </c>
      <c r="AP109" s="4">
        <f ca="1">ROUND(T_Tiktok_ads[[#This Row],[video_watch_75]]*RANDBETWEEN(8,12)/10,0)</f>
        <v>42345</v>
      </c>
      <c r="AQ109" s="4">
        <f ca="1">ROUND(T_Tiktok_ads[[#This Row],[video_watch_100]]*RANDBETWEEN(8,12)/10,0)</f>
        <v>28234</v>
      </c>
      <c r="AR109" s="4">
        <f ca="1">ROUND(T_Tiktok_ads[[#This Row],[likes]]*RANDBETWEEN(8,12)/10,0)</f>
        <v>6628</v>
      </c>
      <c r="AS109" s="4">
        <f ca="1">ROUND(T_Tiktok_ads[[#This Row],[shares]]*RANDBETWEEN(8,12)/10,0)</f>
        <v>1589</v>
      </c>
      <c r="AT109" s="4">
        <f ca="1">ROUND(T_Tiktok_ads[[#This Row],[comments]]*RANDBETWEEN(8,12)/10,0)</f>
        <v>331</v>
      </c>
      <c r="AV109" s="5">
        <f t="shared" ca="1" si="11"/>
        <v>44928</v>
      </c>
      <c r="AW109">
        <f t="shared" ca="1" si="10"/>
        <v>5</v>
      </c>
      <c r="AX109">
        <f ca="1">ROUND(T_Facebook_Ads11[[#This Row],[impressions]]*RANDBETWEEN(8,12)/10,0)</f>
        <v>20338</v>
      </c>
      <c r="AY109">
        <f ca="1">ROUND(T_Facebook_Ads11[[#This Row],[clicks]]*RANDBETWEEN(8,12)/10,0)</f>
        <v>710</v>
      </c>
      <c r="AZ109">
        <f ca="1">T_Facebook_Ads11[[#This Row],[spend]]*RANDBETWEEN(8,12)/10</f>
        <v>189.52</v>
      </c>
      <c r="BA109">
        <f ca="1">ROUND(T_Facebook_Ads11[[#This Row],[conversions]]*RANDBETWEEN(8,12)/10,0)</f>
        <v>39</v>
      </c>
      <c r="BB109">
        <f ca="1">ROUND(T_Facebook_Ads11[[#This Row],[video_views]]*RANDBETWEEN(8,12)/10,0)</f>
        <v>1708</v>
      </c>
    </row>
    <row r="110" spans="1:54" ht="15.75" thickBot="1" x14ac:dyDescent="0.3">
      <c r="A110" s="3">
        <f t="shared" ca="1" si="7"/>
        <v>44954</v>
      </c>
      <c r="B110" s="4" t="s">
        <v>60</v>
      </c>
      <c r="C110" s="4" t="s">
        <v>61</v>
      </c>
      <c r="D110" s="4" t="s">
        <v>62</v>
      </c>
      <c r="E110" s="4" t="s">
        <v>63</v>
      </c>
      <c r="F110" s="4">
        <f ca="1">ROUND(T_Facebook_Ads[[#This Row],[impressions]]*RANDBETWEEN(8,12)/10,0)</f>
        <v>45468</v>
      </c>
      <c r="G110" s="4">
        <v>1412</v>
      </c>
      <c r="H110" s="4">
        <f ca="1">T_Facebook_Ads[[#This Row],[spend]]*RANDBETWEEN(8,12)/10</f>
        <v>238.15</v>
      </c>
      <c r="I110" s="4">
        <f ca="1">ROUND(T_Facebook_Ads[[#This Row],[conversions]]*RANDBETWEEN(8,12)/10,0)</f>
        <v>30</v>
      </c>
      <c r="J110" s="4">
        <f ca="1">ROUND(T_Facebook_Ads[[#This Row],[video_views]]*RANDBETWEEN(8,12)/10,0)</f>
        <v>4956</v>
      </c>
      <c r="K110" s="4">
        <f ca="1">T_Facebook_Ads[[#This Row],[engagement_rate]]*RANDBETWEEN(8,12)/10</f>
        <v>3.3570000000000003E-2</v>
      </c>
      <c r="L110" s="4">
        <f ca="1">ROUND(T_Facebook_Ads[[#This Row],[reach]]*RANDBETWEEN(8,12)/10,0)</f>
        <v>37068</v>
      </c>
      <c r="M110" s="4">
        <f ca="1">T_Facebook_Ads[[#This Row],[frequency]]*RANDBETWEEN(8,12)/10</f>
        <v>1.476</v>
      </c>
      <c r="O110" s="3">
        <f t="shared" ca="1" si="8"/>
        <v>44928</v>
      </c>
      <c r="P110" s="4" t="s">
        <v>84</v>
      </c>
      <c r="Q110" s="4" t="s">
        <v>85</v>
      </c>
      <c r="R110" s="4" t="s">
        <v>86</v>
      </c>
      <c r="S110" s="4" t="s">
        <v>87</v>
      </c>
      <c r="T110" s="4">
        <f ca="1">ROUND(_Google_ads[[#This Row],[impressions]]*RANDBETWEEN(8,12)/10,0)</f>
        <v>77257</v>
      </c>
      <c r="U110" s="4">
        <f ca="1">ROUND(_Google_ads[[#This Row],[clicks]]*RANDBETWEEN(8,12)/10,0)</f>
        <v>2604</v>
      </c>
      <c r="V110" s="4">
        <f ca="1">_Google_ads[[#This Row],[cost]]*RANDBETWEEN(8,12)/10</f>
        <v>432.1</v>
      </c>
      <c r="W110" s="4">
        <f ca="1">ROUND(_Google_ads[[#This Row],[conversions]]*RANDBETWEEN(8,12)/10,0)</f>
        <v>61</v>
      </c>
      <c r="X110" s="4">
        <f ca="1">ROUND(_Google_ads[[#This Row],[conversion_value]]*RANDBETWEEN(8,12)/10,0)</f>
        <v>3060</v>
      </c>
      <c r="Y110" s="4">
        <f ca="1">_Google_ads[[#This Row],[ctr]]*RANDBETWEEN(8,12)/10</f>
        <v>3.7070000000000006E-2</v>
      </c>
      <c r="Z110" s="4">
        <f ca="1">_Google_ads[[#This Row],[avg_cpc]]*RANDBETWEEN(8,12)/10</f>
        <v>0.16199999999999998</v>
      </c>
      <c r="AA110" s="4">
        <f ca="1">ROUND(_Google_ads[[#This Row],[quality_score]]*RANDBETWEEN(8,12)/10,0)</f>
        <v>7</v>
      </c>
      <c r="AB110" s="4">
        <f ca="1">_Google_ads[[#This Row],[search_impression_share]]*RANDBETWEEN(8,12)/10</f>
        <v>0.73699999999999999</v>
      </c>
      <c r="AD110" s="3">
        <f t="shared" ca="1" si="9"/>
        <v>44942</v>
      </c>
      <c r="AE110" s="4" t="s">
        <v>108</v>
      </c>
      <c r="AF110" s="4" t="s">
        <v>109</v>
      </c>
      <c r="AG110" s="4" t="s">
        <v>110</v>
      </c>
      <c r="AH110" s="4" t="s">
        <v>111</v>
      </c>
      <c r="AI110" s="4">
        <f ca="1">ROUND(T_Tiktok_ads[[#This Row],[impressions]]*RANDBETWEEN(8,12)/10,0)</f>
        <v>301481</v>
      </c>
      <c r="AJ110" s="4">
        <f ca="1">ROUND(T_Tiktok_ads[[#This Row],[clicks]]*RANDBETWEEN(8,12)/10,0)</f>
        <v>4364</v>
      </c>
      <c r="AK110" s="4">
        <v>481.5</v>
      </c>
      <c r="AL110" s="4">
        <f ca="1">ROUND(T_Tiktok_ads[[#This Row],[conversions]]*RANDBETWEEN(8,12)/10,0)</f>
        <v>35</v>
      </c>
      <c r="AM110" s="4">
        <f ca="1">ROUND(T_Tiktok_ads[[#This Row],[video_views]]*RANDBETWEEN(8,12)/10,0)</f>
        <v>238681</v>
      </c>
      <c r="AN110" s="4">
        <f ca="1">ROUND(T_Tiktok_ads[[#This Row],[video_watch_25]]*RANDBETWEEN(8,12)/10,0)</f>
        <v>120454</v>
      </c>
      <c r="AO110" s="4">
        <f ca="1">ROUND(T_Tiktok_ads[[#This Row],[video_watch_50]]*RANDBETWEEN(8,12)/10,0)</f>
        <v>131157</v>
      </c>
      <c r="AP110" s="4">
        <f ca="1">ROUND(T_Tiktok_ads[[#This Row],[video_watch_75]]*RANDBETWEEN(8,12)/10,0)</f>
        <v>84579</v>
      </c>
      <c r="AQ110" s="4">
        <f ca="1">ROUND(T_Tiktok_ads[[#This Row],[video_watch_100]]*RANDBETWEEN(8,12)/10,0)</f>
        <v>51224</v>
      </c>
      <c r="AR110" s="4">
        <f ca="1">ROUND(T_Tiktok_ads[[#This Row],[likes]]*RANDBETWEEN(8,12)/10,0)</f>
        <v>9546</v>
      </c>
      <c r="AS110" s="4">
        <f ca="1">ROUND(T_Tiktok_ads[[#This Row],[shares]]*RANDBETWEEN(8,12)/10,0)</f>
        <v>2378</v>
      </c>
      <c r="AT110" s="4">
        <f ca="1">ROUND(T_Tiktok_ads[[#This Row],[comments]]*RANDBETWEEN(8,12)/10,0)</f>
        <v>667</v>
      </c>
      <c r="AV110" s="5">
        <f t="shared" ca="1" si="11"/>
        <v>44949</v>
      </c>
      <c r="AW110">
        <f t="shared" ca="1" si="10"/>
        <v>6</v>
      </c>
      <c r="AX110">
        <f ca="1">ROUND(T_Facebook_Ads11[[#This Row],[impressions]]*RANDBETWEEN(8,12)/10,0)</f>
        <v>40921</v>
      </c>
      <c r="AY110">
        <f ca="1">ROUND(T_Facebook_Ads11[[#This Row],[clicks]]*RANDBETWEEN(8,12)/10,0)</f>
        <v>1553</v>
      </c>
      <c r="AZ110">
        <f ca="1">T_Facebook_Ads11[[#This Row],[spend]]*RANDBETWEEN(8,12)/10</f>
        <v>190.52</v>
      </c>
      <c r="BA110">
        <f ca="1">ROUND(T_Facebook_Ads11[[#This Row],[conversions]]*RANDBETWEEN(8,12)/10,0)</f>
        <v>30</v>
      </c>
      <c r="BB110">
        <f ca="1">ROUND(T_Facebook_Ads11[[#This Row],[video_views]]*RANDBETWEEN(8,12)/10,0)</f>
        <v>4460</v>
      </c>
    </row>
    <row r="111" spans="1:54" x14ac:dyDescent="0.25">
      <c r="A111" s="3">
        <f t="shared" ca="1" si="7"/>
        <v>44929</v>
      </c>
      <c r="B111" s="4" t="s">
        <v>64</v>
      </c>
      <c r="C111" s="4" t="s">
        <v>65</v>
      </c>
      <c r="D111" s="4" t="s">
        <v>66</v>
      </c>
      <c r="E111" s="4" t="s">
        <v>67</v>
      </c>
      <c r="F111" s="4">
        <f ca="1">ROUND(T_Facebook_Ads[[#This Row],[impressions]]*RANDBETWEEN(8,12)/10,0)</f>
        <v>79335</v>
      </c>
      <c r="G111" s="4">
        <v>261</v>
      </c>
      <c r="H111" s="4">
        <f ca="1">T_Facebook_Ads[[#This Row],[spend]]*RANDBETWEEN(8,12)/10</f>
        <v>91.3</v>
      </c>
      <c r="I111" s="4">
        <f ca="1">ROUND(T_Facebook_Ads[[#This Row],[conversions]]*RANDBETWEEN(8,12)/10,0)</f>
        <v>6</v>
      </c>
      <c r="J111" s="4">
        <f ca="1">ROUND(T_Facebook_Ads[[#This Row],[video_views]]*RANDBETWEEN(8,12)/10,0)</f>
        <v>38854</v>
      </c>
      <c r="K111" s="4">
        <f ca="1">T_Facebook_Ads[[#This Row],[engagement_rate]]*RANDBETWEEN(8,12)/10</f>
        <v>3.2399999999999998E-3</v>
      </c>
      <c r="L111" s="4">
        <f ca="1">ROUND(T_Facebook_Ads[[#This Row],[reach]]*RANDBETWEEN(8,12)/10,0)</f>
        <v>64779</v>
      </c>
      <c r="M111" s="4">
        <f ca="1">T_Facebook_Ads[[#This Row],[frequency]]*RANDBETWEEN(8,12)/10</f>
        <v>0.97599999999999998</v>
      </c>
      <c r="O111" s="3">
        <f t="shared" ca="1" si="8"/>
        <v>44949</v>
      </c>
      <c r="P111" s="4" t="s">
        <v>88</v>
      </c>
      <c r="Q111" s="4" t="s">
        <v>89</v>
      </c>
      <c r="R111" s="4" t="s">
        <v>90</v>
      </c>
      <c r="S111" s="4" t="s">
        <v>59</v>
      </c>
      <c r="T111" s="4">
        <f ca="1">ROUND(_Google_ads[[#This Row],[impressions]]*RANDBETWEEN(8,12)/10,0)</f>
        <v>160147</v>
      </c>
      <c r="U111" s="4">
        <f ca="1">ROUND(_Google_ads[[#This Row],[clicks]]*RANDBETWEEN(8,12)/10,0)</f>
        <v>574</v>
      </c>
      <c r="V111" s="4">
        <f ca="1">_Google_ads[[#This Row],[cost]]*RANDBETWEEN(8,12)/10</f>
        <v>131.19999999999999</v>
      </c>
      <c r="W111" s="4">
        <f ca="1">ROUND(_Google_ads[[#This Row],[conversions]]*RANDBETWEEN(8,12)/10,0)</f>
        <v>15</v>
      </c>
      <c r="X111" s="4">
        <f ca="1">ROUND(_Google_ads[[#This Row],[conversion_value]]*RANDBETWEEN(8,12)/10,0)</f>
        <v>840</v>
      </c>
      <c r="Y111" s="4">
        <f ca="1">_Google_ads[[#This Row],[ctr]]*RANDBETWEEN(8,12)/10</f>
        <v>2.8799999999999997E-3</v>
      </c>
      <c r="Z111" s="4">
        <f ca="1">_Google_ads[[#This Row],[avg_cpc]]*RANDBETWEEN(8,12)/10</f>
        <v>0.24300000000000002</v>
      </c>
      <c r="AA111" s="4">
        <f ca="1">ROUND(_Google_ads[[#This Row],[quality_score]]*RANDBETWEEN(8,12)/10,0)</f>
        <v>7</v>
      </c>
      <c r="AB111" s="4">
        <f ca="1">_Google_ads[[#This Row],[search_impression_share]]*RANDBETWEEN(8,12)/10</f>
        <v>0.41999999999999993</v>
      </c>
      <c r="AD111" s="3">
        <f t="shared" ca="1" si="9"/>
        <v>44939</v>
      </c>
      <c r="AE111" s="4" t="s">
        <v>112</v>
      </c>
      <c r="AF111" s="4" t="s">
        <v>113</v>
      </c>
      <c r="AG111" s="4" t="s">
        <v>114</v>
      </c>
      <c r="AH111" s="4" t="s">
        <v>115</v>
      </c>
      <c r="AI111" s="4">
        <f ca="1">ROUND(T_Tiktok_ads[[#This Row],[impressions]]*RANDBETWEEN(8,12)/10,0)</f>
        <v>434567</v>
      </c>
      <c r="AJ111" s="4">
        <f ca="1">ROUND(T_Tiktok_ads[[#This Row],[clicks]]*RANDBETWEEN(8,12)/10,0)</f>
        <v>7713</v>
      </c>
      <c r="AK111" s="4">
        <v>1089.3</v>
      </c>
      <c r="AL111" s="4">
        <f ca="1">ROUND(T_Tiktok_ads[[#This Row],[conversions]]*RANDBETWEEN(8,12)/10,0)</f>
        <v>98</v>
      </c>
      <c r="AM111" s="4">
        <f ca="1">ROUND(T_Tiktok_ads[[#This Row],[video_views]]*RANDBETWEEN(8,12)/10,0)</f>
        <v>331101</v>
      </c>
      <c r="AN111" s="4">
        <f ca="1">ROUND(T_Tiktok_ads[[#This Row],[video_watch_25]]*RANDBETWEEN(8,12)/10,0)</f>
        <v>236987</v>
      </c>
      <c r="AO111" s="4">
        <f ca="1">ROUND(T_Tiktok_ads[[#This Row],[video_watch_50]]*RANDBETWEEN(8,12)/10,0)</f>
        <v>190312</v>
      </c>
      <c r="AP111" s="4">
        <f ca="1">ROUND(T_Tiktok_ads[[#This Row],[video_watch_75]]*RANDBETWEEN(8,12)/10,0)</f>
        <v>185057</v>
      </c>
      <c r="AQ111" s="4">
        <f ca="1">ROUND(T_Tiktok_ads[[#This Row],[video_watch_100]]*RANDBETWEEN(8,12)/10,0)</f>
        <v>133481</v>
      </c>
      <c r="AR111" s="4">
        <f ca="1">ROUND(T_Tiktok_ads[[#This Row],[likes]]*RANDBETWEEN(8,12)/10,0)</f>
        <v>19234</v>
      </c>
      <c r="AS111" s="4">
        <f ca="1">ROUND(T_Tiktok_ads[[#This Row],[shares]]*RANDBETWEEN(8,12)/10,0)</f>
        <v>4981</v>
      </c>
      <c r="AT111" s="4">
        <f ca="1">ROUND(T_Tiktok_ads[[#This Row],[comments]]*RANDBETWEEN(8,12)/10,0)</f>
        <v>1828</v>
      </c>
      <c r="AV111" s="5">
        <f t="shared" ca="1" si="11"/>
        <v>44931</v>
      </c>
      <c r="AW111">
        <f t="shared" ca="1" si="10"/>
        <v>8</v>
      </c>
      <c r="AX111">
        <f ca="1">ROUND(T_Facebook_Ads11[[#This Row],[impressions]]*RANDBETWEEN(8,12)/10,0)</f>
        <v>63468</v>
      </c>
      <c r="AY111">
        <f ca="1">ROUND(T_Facebook_Ads11[[#This Row],[clicks]]*RANDBETWEEN(8,12)/10,0)</f>
        <v>209</v>
      </c>
      <c r="AZ111">
        <f ca="1">T_Facebook_Ads11[[#This Row],[spend]]*RANDBETWEEN(8,12)/10</f>
        <v>100.42999999999999</v>
      </c>
      <c r="BA111">
        <f ca="1">ROUND(T_Facebook_Ads11[[#This Row],[conversions]]*RANDBETWEEN(8,12)/10,0)</f>
        <v>6</v>
      </c>
      <c r="BB111">
        <f ca="1">ROUND(T_Facebook_Ads11[[#This Row],[video_views]]*RANDBETWEEN(8,12)/10,0)</f>
        <v>42739</v>
      </c>
    </row>
  </sheetData>
  <pageMargins left="0.7" right="0.7" top="0.75" bottom="0.75" header="0.3" footer="0.3"/>
  <pageSetup orientation="portrait" r:id="rId1"/>
  <tableParts count="4">
    <tablePart r:id="rId2"/>
    <tablePart r:id="rId3"/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22977-23B3-4091-91CA-D49810E1A795}">
  <dimension ref="A1:BB111"/>
  <sheetViews>
    <sheetView tabSelected="1" topLeftCell="AI1" workbookViewId="0">
      <selection activeCell="AX3" sqref="AX3"/>
    </sheetView>
  </sheetViews>
  <sheetFormatPr baseColWidth="10" defaultRowHeight="15" x14ac:dyDescent="0.25"/>
  <cols>
    <col min="2" max="2" width="14.42578125" customWidth="1"/>
    <col min="3" max="3" width="19.85546875" bestFit="1" customWidth="1"/>
    <col min="5" max="5" width="18.28515625" bestFit="1" customWidth="1"/>
    <col min="6" max="6" width="13.7109375" customWidth="1"/>
    <col min="9" max="10" width="13.7109375" customWidth="1"/>
    <col min="11" max="11" width="18.42578125" customWidth="1"/>
    <col min="13" max="13" width="12" customWidth="1"/>
    <col min="16" max="16" width="14.42578125" customWidth="1"/>
    <col min="17" max="17" width="18.5703125" bestFit="1" customWidth="1"/>
    <col min="18" max="18" width="14" customWidth="1"/>
    <col min="19" max="19" width="17.140625" customWidth="1"/>
    <col min="20" max="20" width="13.7109375" customWidth="1"/>
    <col min="21" max="21" width="8.140625" customWidth="1"/>
    <col min="22" max="22" width="6.85546875" customWidth="1"/>
    <col min="23" max="23" width="13.7109375" customWidth="1"/>
    <col min="24" max="24" width="18.42578125" customWidth="1"/>
    <col min="25" max="25" width="6.140625" bestFit="1" customWidth="1"/>
    <col min="26" max="26" width="10.28515625" customWidth="1"/>
    <col min="27" max="27" width="14.85546875" customWidth="1"/>
    <col min="28" max="28" width="25" customWidth="1"/>
    <col min="29" max="29" width="6.85546875" customWidth="1"/>
    <col min="30" max="30" width="8.42578125" bestFit="1" customWidth="1"/>
    <col min="31" max="31" width="14.42578125" customWidth="1"/>
    <col min="32" max="32" width="17.5703125" customWidth="1"/>
    <col min="33" max="33" width="13.140625" customWidth="1"/>
    <col min="34" max="34" width="16.28515625" customWidth="1"/>
    <col min="35" max="35" width="13.7109375" customWidth="1"/>
    <col min="36" max="36" width="8.140625" customWidth="1"/>
    <col min="37" max="37" width="6.85546875" customWidth="1"/>
    <col min="38" max="39" width="13.7109375" customWidth="1"/>
    <col min="40" max="42" width="17" customWidth="1"/>
    <col min="43" max="43" width="18" customWidth="1"/>
    <col min="44" max="44" width="7.140625" customWidth="1"/>
    <col min="45" max="45" width="8.7109375" customWidth="1"/>
    <col min="46" max="46" width="12.42578125" customWidth="1"/>
    <col min="49" max="49" width="14.28515625" customWidth="1"/>
    <col min="50" max="50" width="13.85546875" customWidth="1"/>
    <col min="53" max="53" width="13.7109375" customWidth="1"/>
    <col min="54" max="54" width="14.28515625" customWidth="1"/>
  </cols>
  <sheetData>
    <row r="1" spans="1:54" ht="15.75" thickBot="1" x14ac:dyDescent="0.3">
      <c r="A1" s="2" t="s">
        <v>39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  <c r="O1" s="2" t="s">
        <v>39</v>
      </c>
      <c r="P1" s="1" t="s">
        <v>40</v>
      </c>
      <c r="Q1" s="1" t="s">
        <v>41</v>
      </c>
      <c r="R1" s="1" t="s">
        <v>68</v>
      </c>
      <c r="S1" s="1" t="s">
        <v>69</v>
      </c>
      <c r="T1" s="1" t="s">
        <v>44</v>
      </c>
      <c r="U1" s="1" t="s">
        <v>45</v>
      </c>
      <c r="V1" s="1" t="s">
        <v>70</v>
      </c>
      <c r="W1" s="1" t="s">
        <v>47</v>
      </c>
      <c r="X1" s="1" t="s">
        <v>71</v>
      </c>
      <c r="Y1" s="1" t="s">
        <v>72</v>
      </c>
      <c r="Z1" s="1" t="s">
        <v>73</v>
      </c>
      <c r="AA1" s="1" t="s">
        <v>74</v>
      </c>
      <c r="AB1" s="1" t="s">
        <v>75</v>
      </c>
      <c r="AD1" s="2" t="s">
        <v>39</v>
      </c>
      <c r="AE1" s="1" t="s">
        <v>40</v>
      </c>
      <c r="AF1" s="1" t="s">
        <v>41</v>
      </c>
      <c r="AG1" s="1" t="s">
        <v>91</v>
      </c>
      <c r="AH1" s="1" t="s">
        <v>92</v>
      </c>
      <c r="AI1" s="1" t="s">
        <v>44</v>
      </c>
      <c r="AJ1" s="1" t="s">
        <v>45</v>
      </c>
      <c r="AK1" s="1" t="s">
        <v>70</v>
      </c>
      <c r="AL1" s="1" t="s">
        <v>47</v>
      </c>
      <c r="AM1" s="1" t="s">
        <v>48</v>
      </c>
      <c r="AN1" s="1" t="s">
        <v>93</v>
      </c>
      <c r="AO1" s="1" t="s">
        <v>94</v>
      </c>
      <c r="AP1" s="1" t="s">
        <v>95</v>
      </c>
      <c r="AQ1" s="1" t="s">
        <v>96</v>
      </c>
      <c r="AR1" s="1" t="s">
        <v>97</v>
      </c>
      <c r="AS1" s="1" t="s">
        <v>98</v>
      </c>
      <c r="AT1" s="1" t="s">
        <v>99</v>
      </c>
      <c r="AV1" t="s">
        <v>39</v>
      </c>
      <c r="AW1" t="s">
        <v>40</v>
      </c>
      <c r="AX1" t="s">
        <v>44</v>
      </c>
      <c r="AY1" t="s">
        <v>45</v>
      </c>
      <c r="AZ1" t="s">
        <v>46</v>
      </c>
      <c r="BA1" t="s">
        <v>47</v>
      </c>
      <c r="BB1" t="s">
        <v>48</v>
      </c>
    </row>
    <row r="2" spans="1:54" ht="15.75" thickBot="1" x14ac:dyDescent="0.3">
      <c r="A2" s="3">
        <f t="shared" ref="A2:A33" ca="1" si="0">DATE(2023,2,RANDBETWEEN(1,28))</f>
        <v>44966</v>
      </c>
      <c r="B2" s="4" t="s">
        <v>52</v>
      </c>
      <c r="C2" s="4" t="s">
        <v>53</v>
      </c>
      <c r="D2" s="4" t="s">
        <v>54</v>
      </c>
      <c r="E2" s="4" t="s">
        <v>55</v>
      </c>
      <c r="F2" s="4">
        <f ca="1">ROUND(T_Facebook_Ads[[#This Row],[impressions]]*RANDBETWEEN(8,12)/10,0)</f>
        <v>36498</v>
      </c>
      <c r="G2" s="4">
        <f ca="1">ROUND(T_Facebook_Ads[[#This Row],[clicks]]*RANDBETWEEN(8,12)/10,0)</f>
        <v>981</v>
      </c>
      <c r="H2" s="4">
        <f ca="1">T_Facebook_Ads[[#This Row],[spend]]*RANDBETWEEN(8,12)/10</f>
        <v>127.5</v>
      </c>
      <c r="I2" s="4">
        <f ca="1">ROUND(T_Facebook_Ads[[#This Row],[conversions]]*RANDBETWEEN(8,12)/10,0)</f>
        <v>13</v>
      </c>
      <c r="J2" s="4">
        <f ca="1">ROUND(T_Facebook_Ads[[#This Row],[video_views]]*RANDBETWEEN(8,12)/10,0)</f>
        <v>8234</v>
      </c>
      <c r="K2" s="4">
        <f ca="1">T_Facebook_Ads[[#This Row],[engagement_rate]]*RANDBETWEEN(8,12)/10</f>
        <v>1.95E-2</v>
      </c>
      <c r="L2" s="4">
        <f ca="1">ROUND(T_Facebook_Ads[[#This Row],[reach]]*RANDBETWEEN(8,12)/10,0)</f>
        <v>45881</v>
      </c>
      <c r="M2" s="4">
        <f ca="1">T_Facebook_Ads[[#This Row],[frequency]]*RANDBETWEEN(8,12)/10</f>
        <v>1.071</v>
      </c>
      <c r="O2" s="3">
        <f t="shared" ref="O2:O33" ca="1" si="1">DATE(2023,2,RANDBETWEEN(1,28))</f>
        <v>44965</v>
      </c>
      <c r="P2" s="4" t="s">
        <v>76</v>
      </c>
      <c r="Q2" s="4" t="s">
        <v>77</v>
      </c>
      <c r="R2" s="4" t="s">
        <v>78</v>
      </c>
      <c r="S2" s="4" t="s">
        <v>79</v>
      </c>
      <c r="T2" s="4">
        <f ca="1">ROUND(_Google_ads[[#This Row],[impressions]]*RANDBETWEEN(8,12)/10,0)</f>
        <v>28147</v>
      </c>
      <c r="U2" s="4">
        <f ca="1">ROUND(_Google_ads[[#This Row],[clicks]]*RANDBETWEEN(8,12)/10,0)</f>
        <v>1234</v>
      </c>
      <c r="V2" s="4">
        <f ca="1">_Google_ads[[#This Row],[cost]]*RANDBETWEEN(8,12)/10</f>
        <v>211.05</v>
      </c>
      <c r="W2" s="4">
        <f ca="1">ROUND(_Google_ads[[#This Row],[conversions]]*RANDBETWEEN(8,12)/10,0)</f>
        <v>45</v>
      </c>
      <c r="X2" s="4">
        <f ca="1">ROUND(_Google_ads[[#This Row],[conversion_value]]*RANDBETWEEN(8,12)/10,0)</f>
        <v>2025</v>
      </c>
      <c r="Y2" s="4">
        <f ca="1">_Google_ads[[#This Row],[ctr]]*RANDBETWEEN(8,12)/10</f>
        <v>5.7860000000000002E-2</v>
      </c>
      <c r="Z2" s="4">
        <f ca="1">_Google_ads[[#This Row],[avg_cpc]]*RANDBETWEEN(8,12)/10</f>
        <v>0.19</v>
      </c>
      <c r="AA2" s="4">
        <f ca="1">ROUND(_Google_ads[[#This Row],[quality_score]]*RANDBETWEEN(8,12)/10,0)</f>
        <v>8</v>
      </c>
      <c r="AB2" s="4">
        <f ca="1">_Google_ads[[#This Row],[search_impression_share]]*RANDBETWEEN(8,12)/10</f>
        <v>1.1040000000000001</v>
      </c>
      <c r="AD2" s="3">
        <f t="shared" ref="AD2:AD33" ca="1" si="2">DATE(2023,2,RANDBETWEEN(1,28))</f>
        <v>44968</v>
      </c>
      <c r="AE2" s="4" t="s">
        <v>100</v>
      </c>
      <c r="AF2" s="4" t="s">
        <v>101</v>
      </c>
      <c r="AG2" s="4" t="s">
        <v>102</v>
      </c>
      <c r="AH2" s="4" t="s">
        <v>103</v>
      </c>
      <c r="AI2" s="4">
        <f ca="1">ROUND(T_Tiktok_ads[[#This Row],[impressions]]*RANDBETWEEN(8,12)/10,0)</f>
        <v>281480</v>
      </c>
      <c r="AJ2" s="4">
        <f ca="1">ROUND(T_Tiktok_ads[[#This Row],[clicks]]*RANDBETWEEN(8,12)/10,0)</f>
        <v>4147</v>
      </c>
      <c r="AK2" s="4">
        <f ca="1">T_Tiktok_ads[[#This Row],[cost]]*RANDBETWEEN(8,12)/10</f>
        <v>548.04</v>
      </c>
      <c r="AL2" s="4">
        <f ca="1">ROUND(T_Tiktok_ads[[#This Row],[conversions]]*RANDBETWEEN(8,12)/10,0)</f>
        <v>34</v>
      </c>
      <c r="AM2" s="4">
        <f ca="1">ROUND(T_Tiktok_ads[[#This Row],[video_views]]*RANDBETWEEN(8,12)/10,0)</f>
        <v>237881</v>
      </c>
      <c r="AN2" s="4">
        <f ca="1">ROUND(T_Tiktok_ads[[#This Row],[video_watch_25]]*RANDBETWEEN(8,12)/10,0)</f>
        <v>171857</v>
      </c>
      <c r="AO2" s="4">
        <f ca="1">ROUND(T_Tiktok_ads[[#This Row],[video_watch_50]]*RANDBETWEEN(8,12)/10,0)</f>
        <v>88411</v>
      </c>
      <c r="AP2" s="4">
        <f ca="1">ROUND(T_Tiktok_ads[[#This Row],[video_watch_75]]*RANDBETWEEN(8,12)/10,0)</f>
        <v>53787</v>
      </c>
      <c r="AQ2" s="4">
        <f ca="1">ROUND(T_Tiktok_ads[[#This Row],[video_watch_100]]*RANDBETWEEN(8,12)/10,0)</f>
        <v>36187</v>
      </c>
      <c r="AR2" s="4">
        <f ca="1">ROUND(T_Tiktok_ads[[#This Row],[likes]]*RANDBETWEEN(8,12)/10,0)</f>
        <v>8031</v>
      </c>
      <c r="AS2" s="4">
        <f ca="1">ROUND(T_Tiktok_ads[[#This Row],[shares]]*RANDBETWEEN(8,12)/10,0)</f>
        <v>2580</v>
      </c>
      <c r="AT2" s="4">
        <f ca="1">ROUND(T_Tiktok_ads[[#This Row],[comments]]*RANDBETWEEN(8,12)/10,0)</f>
        <v>624</v>
      </c>
      <c r="AV2" s="3">
        <f t="shared" ref="AV2:AV33" ca="1" si="3">DATE(2023,2,RANDBETWEEN(1,28))</f>
        <v>44979</v>
      </c>
      <c r="AW2">
        <f ca="1">RANDBETWEEN(1,8)</f>
        <v>5</v>
      </c>
      <c r="AX2">
        <f ca="1">ROUND(T_Facebook_Ads1159[[#This Row],[impressions]]*RANDBETWEEN(2,10)/10,0)</f>
        <v>25549</v>
      </c>
      <c r="AY2">
        <f ca="1">ROUND(T_Facebook_Ads1159[[#This Row],[clicks]]*RANDBETWEEN(8,12)/10,0)</f>
        <v>883</v>
      </c>
      <c r="AZ2">
        <f ca="1">T_Facebook_Ads1159[[#This Row],[spend]]*RANDBETWEEN(8,12)/10</f>
        <v>114.75</v>
      </c>
      <c r="BA2">
        <f ca="1">ROUND(T_Facebook_Ads1159[[#This Row],[conversions]]*RANDBETWEEN(8,12)/10,0)</f>
        <v>12</v>
      </c>
      <c r="BB2">
        <f ca="1">ROUND(T_Facebook_Ads1159[[#This Row],[video_views]]*RANDBETWEEN(8,12)/10,0)</f>
        <v>6587</v>
      </c>
    </row>
    <row r="3" spans="1:54" ht="15.75" thickBot="1" x14ac:dyDescent="0.3">
      <c r="A3" s="3">
        <f t="shared" ca="1" si="0"/>
        <v>44974</v>
      </c>
      <c r="B3" s="4" t="s">
        <v>56</v>
      </c>
      <c r="C3" s="4" t="s">
        <v>57</v>
      </c>
      <c r="D3" s="4" t="s">
        <v>58</v>
      </c>
      <c r="E3" s="4" t="s">
        <v>59</v>
      </c>
      <c r="F3" s="4">
        <f ca="1">ROUND(T_Facebook_Ads[[#This Row],[impressions]]*RANDBETWEEN(8,12)/10,0)</f>
        <v>9965</v>
      </c>
      <c r="G3" s="4">
        <v>567</v>
      </c>
      <c r="H3" s="4">
        <f ca="1">T_Facebook_Ads[[#This Row],[spend]]*RANDBETWEEN(8,12)/10</f>
        <v>258.96000000000004</v>
      </c>
      <c r="I3" s="4">
        <f ca="1">ROUND(T_Facebook_Ads[[#This Row],[conversions]]*RANDBETWEEN(8,12)/10,0)</f>
        <v>34</v>
      </c>
      <c r="J3" s="4">
        <f ca="1">ROUND(T_Facebook_Ads[[#This Row],[video_views]]*RANDBETWEEN(8,12)/10,0)</f>
        <v>987</v>
      </c>
      <c r="K3" s="4">
        <f ca="1">T_Facebook_Ads[[#This Row],[engagement_rate]]*RANDBETWEEN(8,12)/10</f>
        <v>3.6400000000000002E-2</v>
      </c>
      <c r="L3" s="4">
        <f ca="1">ROUND(T_Facebook_Ads[[#This Row],[reach]]*RANDBETWEEN(8,12)/10,0)</f>
        <v>11851</v>
      </c>
      <c r="M3" s="4">
        <f ca="1">T_Facebook_Ads[[#This Row],[frequency]]*RANDBETWEEN(8,12)/10</f>
        <v>1.3859999999999999</v>
      </c>
      <c r="O3" s="3">
        <f t="shared" ca="1" si="1"/>
        <v>44981</v>
      </c>
      <c r="P3" s="4" t="s">
        <v>80</v>
      </c>
      <c r="Q3" s="4" t="s">
        <v>81</v>
      </c>
      <c r="R3" s="4" t="s">
        <v>82</v>
      </c>
      <c r="S3" s="4" t="s">
        <v>83</v>
      </c>
      <c r="T3" s="4">
        <f ca="1">ROUND(_Google_ads[[#This Row],[impressions]]*RANDBETWEEN(8,12)/10,0)</f>
        <v>41110</v>
      </c>
      <c r="U3" s="4">
        <f ca="1">ROUND(_Google_ads[[#This Row],[clicks]]*RANDBETWEEN(8,12)/10,0)</f>
        <v>979</v>
      </c>
      <c r="V3" s="4">
        <f ca="1">_Google_ads[[#This Row],[cost]]*RANDBETWEEN(8,12)/10</f>
        <v>681.3599999999999</v>
      </c>
      <c r="W3" s="4">
        <f ca="1">ROUND(_Google_ads[[#This Row],[conversions]]*RANDBETWEEN(8,12)/10,0)</f>
        <v>23</v>
      </c>
      <c r="X3" s="4">
        <f ca="1">ROUND(_Google_ads[[#This Row],[conversion_value]]*RANDBETWEEN(8,12)/10,0)</f>
        <v>1265</v>
      </c>
      <c r="Y3" s="4">
        <f ca="1">_Google_ads[[#This Row],[ctr]]*RANDBETWEEN(8,12)/10</f>
        <v>1.755E-2</v>
      </c>
      <c r="Z3" s="4">
        <f ca="1">_Google_ads[[#This Row],[avg_cpc]]*RANDBETWEEN(8,12)/10</f>
        <v>0.70399999999999996</v>
      </c>
      <c r="AA3" s="4">
        <f ca="1">ROUND(_Google_ads[[#This Row],[quality_score]]*RANDBETWEEN(8,12)/10,0)</f>
        <v>6</v>
      </c>
      <c r="AB3" s="4">
        <f ca="1">_Google_ads[[#This Row],[search_impression_share]]*RANDBETWEEN(8,12)/10</f>
        <v>0.495</v>
      </c>
      <c r="AD3" s="3">
        <f t="shared" ca="1" si="2"/>
        <v>44980</v>
      </c>
      <c r="AE3" s="4" t="s">
        <v>104</v>
      </c>
      <c r="AF3" s="4" t="s">
        <v>105</v>
      </c>
      <c r="AG3" s="4" t="s">
        <v>106</v>
      </c>
      <c r="AH3" s="4" t="s">
        <v>107</v>
      </c>
      <c r="AI3" s="4">
        <f ca="1">ROUND(T_Tiktok_ads[[#This Row],[impressions]]*RANDBETWEEN(8,12)/10,0)</f>
        <v>111110</v>
      </c>
      <c r="AJ3" s="4">
        <f ca="1">ROUND(T_Tiktok_ads[[#This Row],[clicks]]*RANDBETWEEN(8,12)/10,0)</f>
        <v>2345</v>
      </c>
      <c r="AK3" s="4">
        <v>678.9</v>
      </c>
      <c r="AL3" s="4">
        <f ca="1">ROUND(T_Tiktok_ads[[#This Row],[conversions]]*RANDBETWEEN(8,12)/10,0)</f>
        <v>60</v>
      </c>
      <c r="AM3" s="4">
        <f ca="1">ROUND(T_Tiktok_ads[[#This Row],[video_views]]*RANDBETWEEN(8,12)/10,0)</f>
        <v>80311</v>
      </c>
      <c r="AN3" s="4">
        <f ca="1">ROUND(T_Tiktok_ads[[#This Row],[video_watch_25]]*RANDBETWEEN(8,12)/10,0)</f>
        <v>73957</v>
      </c>
      <c r="AO3" s="4">
        <f ca="1">ROUND(T_Tiktok_ads[[#This Row],[video_watch_50]]*RANDBETWEEN(8,12)/10,0)</f>
        <v>36187</v>
      </c>
      <c r="AP3" s="4">
        <f ca="1">ROUND(T_Tiktok_ads[[#This Row],[video_watch_75]]*RANDBETWEEN(8,12)/10,0)</f>
        <v>41081</v>
      </c>
      <c r="AQ3" s="4">
        <f ca="1">ROUND(T_Tiktok_ads[[#This Row],[video_watch_100]]*RANDBETWEEN(8,12)/10,0)</f>
        <v>25802</v>
      </c>
      <c r="AR3" s="4">
        <f ca="1">ROUND(T_Tiktok_ads[[#This Row],[likes]]*RANDBETWEEN(8,12)/10,0)</f>
        <v>5024</v>
      </c>
      <c r="AS3" s="4">
        <f ca="1">ROUND(T_Tiktok_ads[[#This Row],[shares]]*RANDBETWEEN(8,12)/10,0)</f>
        <v>987</v>
      </c>
      <c r="AT3" s="4">
        <f ca="1">ROUND(T_Tiktok_ads[[#This Row],[comments]]*RANDBETWEEN(8,12)/10,0)</f>
        <v>211</v>
      </c>
      <c r="AV3" s="5">
        <f t="shared" ca="1" si="3"/>
        <v>44958</v>
      </c>
      <c r="AW3">
        <f t="shared" ref="AW3:AW66" ca="1" si="4">RANDBETWEEN(1,8)</f>
        <v>7</v>
      </c>
      <c r="AX3">
        <f ca="1">ROUND(T_Facebook_Ads1159[[#This Row],[impressions]]*RANDBETWEEN(2,10)/10,0)</f>
        <v>8969</v>
      </c>
      <c r="AY3">
        <f ca="1">ROUND(T_Facebook_Ads1159[[#This Row],[clicks]]*RANDBETWEEN(8,12)/10,0)</f>
        <v>510</v>
      </c>
      <c r="AZ3">
        <f ca="1">T_Facebook_Ads1159[[#This Row],[spend]]*RANDBETWEEN(8,12)/10</f>
        <v>233.06400000000002</v>
      </c>
      <c r="BA3">
        <f ca="1">ROUND(T_Facebook_Ads1159[[#This Row],[conversions]]*RANDBETWEEN(8,12)/10,0)</f>
        <v>27</v>
      </c>
      <c r="BB3">
        <f ca="1">ROUND(T_Facebook_Ads1159[[#This Row],[video_views]]*RANDBETWEEN(8,12)/10,0)</f>
        <v>1184</v>
      </c>
    </row>
    <row r="4" spans="1:54" ht="15.75" thickBot="1" x14ac:dyDescent="0.3">
      <c r="A4" s="3">
        <f t="shared" ca="1" si="0"/>
        <v>44959</v>
      </c>
      <c r="B4" s="4" t="s">
        <v>60</v>
      </c>
      <c r="C4" s="4" t="s">
        <v>61</v>
      </c>
      <c r="D4" s="4" t="s">
        <v>62</v>
      </c>
      <c r="E4" s="4" t="s">
        <v>63</v>
      </c>
      <c r="F4" s="4">
        <f ca="1">ROUND(T_Facebook_Ads[[#This Row],[impressions]]*RANDBETWEEN(8,12)/10,0)</f>
        <v>41480</v>
      </c>
      <c r="G4" s="4">
        <v>1234</v>
      </c>
      <c r="H4" s="4">
        <f ca="1">T_Facebook_Ads[[#This Row],[spend]]*RANDBETWEEN(8,12)/10</f>
        <v>189.9</v>
      </c>
      <c r="I4" s="4">
        <f ca="1">ROUND(T_Facebook_Ads[[#This Row],[conversions]]*RANDBETWEEN(8,12)/10,0)</f>
        <v>18</v>
      </c>
      <c r="J4" s="4">
        <f ca="1">ROUND(T_Facebook_Ads[[#This Row],[video_views]]*RANDBETWEEN(8,12)/10,0)</f>
        <v>3654</v>
      </c>
      <c r="K4" s="4">
        <f ca="1">T_Facebook_Ads[[#This Row],[engagement_rate]]*RANDBETWEEN(8,12)/10</f>
        <v>3.5700000000000003E-2</v>
      </c>
      <c r="L4" s="4">
        <f ca="1">ROUND(T_Facebook_Ads[[#This Row],[reach]]*RANDBETWEEN(8,12)/10,0)</f>
        <v>23147</v>
      </c>
      <c r="M4" s="4">
        <f ca="1">T_Facebook_Ads[[#This Row],[frequency]]*RANDBETWEEN(8,12)/10</f>
        <v>1.4279999999999999</v>
      </c>
      <c r="O4" s="3">
        <f t="shared" ca="1" si="1"/>
        <v>44966</v>
      </c>
      <c r="P4" s="4" t="s">
        <v>84</v>
      </c>
      <c r="Q4" s="4" t="s">
        <v>85</v>
      </c>
      <c r="R4" s="4" t="s">
        <v>86</v>
      </c>
      <c r="S4" s="4" t="s">
        <v>87</v>
      </c>
      <c r="T4" s="4">
        <f ca="1">ROUND(_Google_ads[[#This Row],[impressions]]*RANDBETWEEN(8,12)/10,0)</f>
        <v>54312</v>
      </c>
      <c r="U4" s="4">
        <f ca="1">ROUND(_Google_ads[[#This Row],[clicks]]*RANDBETWEEN(8,12)/10,0)</f>
        <v>2814</v>
      </c>
      <c r="V4" s="4">
        <f ca="1">_Google_ads[[#This Row],[cost]]*RANDBETWEEN(8,12)/10</f>
        <v>423.6</v>
      </c>
      <c r="W4" s="4">
        <f ca="1">ROUND(_Google_ads[[#This Row],[conversions]]*RANDBETWEEN(8,12)/10,0)</f>
        <v>74</v>
      </c>
      <c r="X4" s="4">
        <f ca="1">ROUND(_Google_ads[[#This Row],[conversion_value]]*RANDBETWEEN(8,12)/10,0)</f>
        <v>3350</v>
      </c>
      <c r="Y4" s="4">
        <f ca="1">_Google_ads[[#This Row],[ctr]]*RANDBETWEEN(8,12)/10</f>
        <v>2.7600000000000003E-2</v>
      </c>
      <c r="Z4" s="4">
        <f ca="1">_Google_ads[[#This Row],[avg_cpc]]*RANDBETWEEN(8,12)/10</f>
        <v>0.18</v>
      </c>
      <c r="AA4" s="4">
        <f ca="1">ROUND(_Google_ads[[#This Row],[quality_score]]*RANDBETWEEN(8,12)/10,0)</f>
        <v>7</v>
      </c>
      <c r="AB4" s="4">
        <f ca="1">_Google_ads[[#This Row],[search_impression_share]]*RANDBETWEEN(8,12)/10</f>
        <v>0.67</v>
      </c>
      <c r="AD4" s="3">
        <f t="shared" ca="1" si="2"/>
        <v>44965</v>
      </c>
      <c r="AE4" s="4" t="s">
        <v>108</v>
      </c>
      <c r="AF4" s="4" t="s">
        <v>109</v>
      </c>
      <c r="AG4" s="4" t="s">
        <v>110</v>
      </c>
      <c r="AH4" s="4" t="s">
        <v>111</v>
      </c>
      <c r="AI4" s="4">
        <f ca="1">ROUND(T_Tiktok_ads[[#This Row],[impressions]]*RANDBETWEEN(8,12)/10,0)</f>
        <v>189234</v>
      </c>
      <c r="AJ4" s="4">
        <f ca="1">ROUND(T_Tiktok_ads[[#This Row],[clicks]]*RANDBETWEEN(8,12)/10,0)</f>
        <v>2890</v>
      </c>
      <c r="AK4" s="4">
        <v>345.6</v>
      </c>
      <c r="AL4" s="4">
        <f ca="1">ROUND(T_Tiktok_ads[[#This Row],[conversions]]*RANDBETWEEN(8,12)/10,0)</f>
        <v>28</v>
      </c>
      <c r="AM4" s="4">
        <f ca="1">ROUND(T_Tiktok_ads[[#This Row],[video_views]]*RANDBETWEEN(8,12)/10,0)</f>
        <v>116542</v>
      </c>
      <c r="AN4" s="4">
        <f ca="1">ROUND(T_Tiktok_ads[[#This Row],[video_watch_25]]*RANDBETWEEN(8,12)/10,0)</f>
        <v>123580</v>
      </c>
      <c r="AO4" s="4">
        <f ca="1">ROUND(T_Tiktok_ads[[#This Row],[video_watch_50]]*RANDBETWEEN(8,12)/10,0)</f>
        <v>107081</v>
      </c>
      <c r="AP4" s="4">
        <f ca="1">ROUND(T_Tiktok_ads[[#This Row],[video_watch_75]]*RANDBETWEEN(8,12)/10,0)</f>
        <v>45431</v>
      </c>
      <c r="AQ4" s="4">
        <f ca="1">ROUND(T_Tiktok_ads[[#This Row],[video_watch_100]]*RANDBETWEEN(8,12)/10,0)</f>
        <v>41480</v>
      </c>
      <c r="AR4" s="4">
        <f ca="1">ROUND(T_Tiktok_ads[[#This Row],[likes]]*RANDBETWEEN(8,12)/10,0)</f>
        <v>7468</v>
      </c>
      <c r="AS4" s="4">
        <f ca="1">ROUND(T_Tiktok_ads[[#This Row],[shares]]*RANDBETWEEN(8,12)/10,0)</f>
        <v>2268</v>
      </c>
      <c r="AT4" s="4">
        <f ca="1">ROUND(T_Tiktok_ads[[#This Row],[comments]]*RANDBETWEEN(8,12)/10,0)</f>
        <v>410</v>
      </c>
      <c r="AV4" s="5">
        <f t="shared" ca="1" si="3"/>
        <v>44964</v>
      </c>
      <c r="AW4">
        <f t="shared" ca="1" si="4"/>
        <v>8</v>
      </c>
      <c r="AX4">
        <f ca="1">ROUND(T_Facebook_Ads1159[[#This Row],[impressions]]*RANDBETWEEN(2,10)/10,0)</f>
        <v>24888</v>
      </c>
      <c r="AY4">
        <f ca="1">ROUND(T_Facebook_Ads1159[[#This Row],[clicks]]*RANDBETWEEN(8,12)/10,0)</f>
        <v>1357</v>
      </c>
      <c r="AZ4">
        <f ca="1">T_Facebook_Ads1159[[#This Row],[spend]]*RANDBETWEEN(8,12)/10</f>
        <v>170.91000000000003</v>
      </c>
      <c r="BA4">
        <f ca="1">ROUND(T_Facebook_Ads1159[[#This Row],[conversions]]*RANDBETWEEN(8,12)/10,0)</f>
        <v>20</v>
      </c>
      <c r="BB4">
        <f ca="1">ROUND(T_Facebook_Ads1159[[#This Row],[video_views]]*RANDBETWEEN(8,12)/10,0)</f>
        <v>2923</v>
      </c>
    </row>
    <row r="5" spans="1:54" ht="15.75" thickBot="1" x14ac:dyDescent="0.3">
      <c r="A5" s="3">
        <f t="shared" ca="1" si="0"/>
        <v>44968</v>
      </c>
      <c r="B5" s="4" t="s">
        <v>52</v>
      </c>
      <c r="C5" s="4" t="s">
        <v>53</v>
      </c>
      <c r="D5" s="4" t="s">
        <v>54</v>
      </c>
      <c r="E5" s="4" t="s">
        <v>55</v>
      </c>
      <c r="F5" s="4">
        <f ca="1">ROUND(T_Facebook_Ads[[#This Row],[impressions]]*RANDBETWEEN(8,12)/10,0)</f>
        <v>42345</v>
      </c>
      <c r="G5" s="4">
        <v>823</v>
      </c>
      <c r="H5" s="4">
        <f ca="1">T_Facebook_Ads[[#This Row],[spend]]*RANDBETWEEN(8,12)/10</f>
        <v>118.2</v>
      </c>
      <c r="I5" s="4">
        <f ca="1">ROUND(T_Facebook_Ads[[#This Row],[conversions]]*RANDBETWEEN(8,12)/10,0)</f>
        <v>8</v>
      </c>
      <c r="J5" s="4">
        <f ca="1">ROUND(T_Facebook_Ads[[#This Row],[video_views]]*RANDBETWEEN(8,12)/10,0)</f>
        <v>8679</v>
      </c>
      <c r="K5" s="4">
        <f ca="1">T_Facebook_Ads[[#This Row],[engagement_rate]]*RANDBETWEEN(8,12)/10</f>
        <v>1.746E-2</v>
      </c>
      <c r="L5" s="4">
        <f ca="1">ROUND(T_Facebook_Ads[[#This Row],[reach]]*RANDBETWEEN(8,12)/10,0)</f>
        <v>29431</v>
      </c>
      <c r="M5" s="4">
        <f ca="1">T_Facebook_Ads[[#This Row],[frequency]]*RANDBETWEEN(8,12)/10</f>
        <v>1.0349999999999999</v>
      </c>
      <c r="O5" s="3">
        <f t="shared" ca="1" si="1"/>
        <v>44966</v>
      </c>
      <c r="P5" s="4" t="s">
        <v>76</v>
      </c>
      <c r="Q5" s="4" t="s">
        <v>77</v>
      </c>
      <c r="R5" s="4" t="s">
        <v>78</v>
      </c>
      <c r="S5" s="4" t="s">
        <v>79</v>
      </c>
      <c r="T5" s="4">
        <f ca="1">ROUND(_Google_ads[[#This Row],[impressions]]*RANDBETWEEN(8,12)/10,0)</f>
        <v>24567</v>
      </c>
      <c r="U5" s="4">
        <f ca="1">ROUND(_Google_ads[[#This Row],[clicks]]*RANDBETWEEN(8,12)/10,0)</f>
        <v>1160</v>
      </c>
      <c r="V5" s="4">
        <f ca="1">_Google_ads[[#This Row],[cost]]*RANDBETWEEN(8,12)/10</f>
        <v>196.48</v>
      </c>
      <c r="W5" s="4">
        <f ca="1">ROUND(_Google_ads[[#This Row],[conversions]]*RANDBETWEEN(8,12)/10,0)</f>
        <v>48</v>
      </c>
      <c r="X5" s="4">
        <f ca="1">ROUND(_Google_ads[[#This Row],[conversion_value]]*RANDBETWEEN(8,12)/10,0)</f>
        <v>2160</v>
      </c>
      <c r="Y5" s="4">
        <f ca="1">_Google_ads[[#This Row],[ctr]]*RANDBETWEEN(8,12)/10</f>
        <v>5.2500000000000005E-2</v>
      </c>
      <c r="Z5" s="4">
        <f ca="1">_Google_ads[[#This Row],[avg_cpc]]*RANDBETWEEN(8,12)/10</f>
        <v>0.19</v>
      </c>
      <c r="AA5" s="4">
        <f ca="1">ROUND(_Google_ads[[#This Row],[quality_score]]*RANDBETWEEN(8,12)/10,0)</f>
        <v>7</v>
      </c>
      <c r="AB5" s="4">
        <f ca="1">_Google_ads[[#This Row],[search_impression_share]]*RANDBETWEEN(8,12)/10</f>
        <v>0.81899999999999995</v>
      </c>
      <c r="AD5" s="3">
        <f t="shared" ca="1" si="2"/>
        <v>44972</v>
      </c>
      <c r="AE5" s="4" t="s">
        <v>100</v>
      </c>
      <c r="AF5" s="4" t="s">
        <v>101</v>
      </c>
      <c r="AG5" s="4" t="s">
        <v>102</v>
      </c>
      <c r="AH5" s="4" t="s">
        <v>103</v>
      </c>
      <c r="AI5" s="4">
        <f ca="1">ROUND(T_Tiktok_ads[[#This Row],[impressions]]*RANDBETWEEN(8,12)/10,0)</f>
        <v>245678</v>
      </c>
      <c r="AJ5" s="4">
        <f ca="1">ROUND(T_Tiktok_ads[[#This Row],[clicks]]*RANDBETWEEN(8,12)/10,0)</f>
        <v>4414</v>
      </c>
      <c r="AK5" s="4">
        <v>478.9</v>
      </c>
      <c r="AL5" s="4">
        <f ca="1">ROUND(T_Tiktok_ads[[#This Row],[conversions]]*RANDBETWEEN(8,12)/10,0)</f>
        <v>43</v>
      </c>
      <c r="AM5" s="4">
        <f ca="1">ROUND(T_Tiktok_ads[[#This Row],[video_views]]*RANDBETWEEN(8,12)/10,0)</f>
        <v>165876</v>
      </c>
      <c r="AN5" s="4">
        <f ca="1">ROUND(T_Tiktok_ads[[#This Row],[video_watch_25]]*RANDBETWEEN(8,12)/10,0)</f>
        <v>130765</v>
      </c>
      <c r="AO5" s="4">
        <f ca="1">ROUND(T_Tiktok_ads[[#This Row],[video_watch_50]]*RANDBETWEEN(8,12)/10,0)</f>
        <v>122814</v>
      </c>
      <c r="AP5" s="4">
        <f ca="1">ROUND(T_Tiktok_ads[[#This Row],[video_watch_75]]*RANDBETWEEN(8,12)/10,0)</f>
        <v>77257</v>
      </c>
      <c r="AQ5" s="4">
        <f ca="1">ROUND(T_Tiktok_ads[[#This Row],[video_watch_100]]*RANDBETWEEN(8,12)/10,0)</f>
        <v>47234</v>
      </c>
      <c r="AR5" s="4">
        <f ca="1">ROUND(T_Tiktok_ads[[#This Row],[likes]]*RANDBETWEEN(8,12)/10,0)</f>
        <v>11081</v>
      </c>
      <c r="AS5" s="4">
        <f ca="1">ROUND(T_Tiktok_ads[[#This Row],[shares]]*RANDBETWEEN(8,12)/10,0)</f>
        <v>2702</v>
      </c>
      <c r="AT5" s="4">
        <f ca="1">ROUND(T_Tiktok_ads[[#This Row],[comments]]*RANDBETWEEN(8,12)/10,0)</f>
        <v>471</v>
      </c>
      <c r="AV5" s="5">
        <f t="shared" ca="1" si="3"/>
        <v>44980</v>
      </c>
      <c r="AW5">
        <f ca="1">RANDBETWEEN(1,8)</f>
        <v>7</v>
      </c>
      <c r="AX5">
        <f ca="1">ROUND(T_Facebook_Ads1159[[#This Row],[impressions]]*RANDBETWEEN(2,10)/10,0)</f>
        <v>25407</v>
      </c>
      <c r="AY5">
        <f ca="1">ROUND(T_Facebook_Ads1159[[#This Row],[clicks]]*RANDBETWEEN(8,12)/10,0)</f>
        <v>823</v>
      </c>
      <c r="AZ5">
        <f ca="1">T_Facebook_Ads1159[[#This Row],[spend]]*RANDBETWEEN(8,12)/10</f>
        <v>106.38</v>
      </c>
      <c r="BA5">
        <f ca="1">ROUND(T_Facebook_Ads1159[[#This Row],[conversions]]*RANDBETWEEN(8,12)/10,0)</f>
        <v>7</v>
      </c>
      <c r="BB5">
        <f ca="1">ROUND(T_Facebook_Ads1159[[#This Row],[video_views]]*RANDBETWEEN(8,12)/10,0)</f>
        <v>6943</v>
      </c>
    </row>
    <row r="6" spans="1:54" ht="15.75" thickBot="1" x14ac:dyDescent="0.3">
      <c r="A6" s="3">
        <f t="shared" ca="1" si="0"/>
        <v>44971</v>
      </c>
      <c r="B6" s="4" t="s">
        <v>56</v>
      </c>
      <c r="C6" s="4" t="s">
        <v>57</v>
      </c>
      <c r="D6" s="4" t="s">
        <v>58</v>
      </c>
      <c r="E6" s="4" t="s">
        <v>59</v>
      </c>
      <c r="F6" s="4">
        <f ca="1">ROUND(T_Facebook_Ads[[#This Row],[impressions]]*RANDBETWEEN(8,12)/10,0)</f>
        <v>15046</v>
      </c>
      <c r="G6" s="4">
        <v>623</v>
      </c>
      <c r="H6" s="4">
        <f ca="1">T_Facebook_Ads[[#This Row],[spend]]*RANDBETWEEN(8,12)/10</f>
        <v>187.6</v>
      </c>
      <c r="I6" s="4">
        <f ca="1">ROUND(T_Facebook_Ads[[#This Row],[conversions]]*RANDBETWEEN(8,12)/10,0)</f>
        <v>30</v>
      </c>
      <c r="J6" s="4">
        <f ca="1">ROUND(T_Facebook_Ads[[#This Row],[video_views]]*RANDBETWEEN(8,12)/10,0)</f>
        <v>1747</v>
      </c>
      <c r="K6" s="4">
        <f ca="1">T_Facebook_Ads[[#This Row],[engagement_rate]]*RANDBETWEEN(8,12)/10</f>
        <v>5.0049999999999997E-2</v>
      </c>
      <c r="L6" s="4">
        <f ca="1">ROUND(T_Facebook_Ads[[#This Row],[reach]]*RANDBETWEEN(8,12)/10,0)</f>
        <v>11257</v>
      </c>
      <c r="M6" s="4">
        <f ca="1">T_Facebook_Ads[[#This Row],[frequency]]*RANDBETWEEN(8,12)/10</f>
        <v>1.474</v>
      </c>
      <c r="O6" s="3">
        <f t="shared" ca="1" si="1"/>
        <v>44974</v>
      </c>
      <c r="P6" s="4" t="s">
        <v>80</v>
      </c>
      <c r="Q6" s="4" t="s">
        <v>81</v>
      </c>
      <c r="R6" s="4" t="s">
        <v>82</v>
      </c>
      <c r="S6" s="4" t="s">
        <v>83</v>
      </c>
      <c r="T6" s="4">
        <f ca="1">ROUND(_Google_ads[[#This Row],[impressions]]*RANDBETWEEN(8,12)/10,0)</f>
        <v>47557</v>
      </c>
      <c r="U6" s="4">
        <f ca="1">ROUND(_Google_ads[[#This Row],[clicks]]*RANDBETWEEN(8,12)/10,0)</f>
        <v>988</v>
      </c>
      <c r="V6" s="4">
        <f ca="1">_Google_ads[[#This Row],[cost]]*RANDBETWEEN(8,12)/10</f>
        <v>427.36</v>
      </c>
      <c r="W6" s="4">
        <f ca="1">ROUND(_Google_ads[[#This Row],[conversions]]*RANDBETWEEN(8,12)/10,0)</f>
        <v>21</v>
      </c>
      <c r="X6" s="4">
        <f ca="1">ROUND(_Google_ads[[#This Row],[conversion_value]]*RANDBETWEEN(8,12)/10,0)</f>
        <v>840</v>
      </c>
      <c r="Y6" s="4">
        <f ca="1">_Google_ads[[#This Row],[ctr]]*RANDBETWEEN(8,12)/10</f>
        <v>2.2799999999999997E-2</v>
      </c>
      <c r="Z6" s="4">
        <f ca="1">_Google_ads[[#This Row],[avg_cpc]]*RANDBETWEEN(8,12)/10</f>
        <v>0.52</v>
      </c>
      <c r="AA6" s="4">
        <f ca="1">ROUND(_Google_ads[[#This Row],[quality_score]]*RANDBETWEEN(8,12)/10,0)</f>
        <v>8</v>
      </c>
      <c r="AB6" s="4">
        <f ca="1">_Google_ads[[#This Row],[search_impression_share]]*RANDBETWEEN(8,12)/10</f>
        <v>0.52800000000000002</v>
      </c>
      <c r="AD6" s="3">
        <f t="shared" ca="1" si="2"/>
        <v>44985</v>
      </c>
      <c r="AE6" s="4" t="s">
        <v>104</v>
      </c>
      <c r="AF6" s="4" t="s">
        <v>105</v>
      </c>
      <c r="AG6" s="4" t="s">
        <v>106</v>
      </c>
      <c r="AH6" s="4" t="s">
        <v>107</v>
      </c>
      <c r="AI6" s="4">
        <f ca="1">ROUND(T_Tiktok_ads[[#This Row],[impressions]]*RANDBETWEEN(8,12)/10,0)</f>
        <v>148024</v>
      </c>
      <c r="AJ6" s="4">
        <f ca="1">ROUND(T_Tiktok_ads[[#This Row],[clicks]]*RANDBETWEEN(8,12)/10,0)</f>
        <v>2567</v>
      </c>
      <c r="AK6" s="4">
        <v>712.3</v>
      </c>
      <c r="AL6" s="4">
        <f ca="1">ROUND(T_Tiktok_ads[[#This Row],[conversions]]*RANDBETWEEN(8,12)/10,0)</f>
        <v>71</v>
      </c>
      <c r="AM6" s="4">
        <f ca="1">ROUND(T_Tiktok_ads[[#This Row],[video_views]]*RANDBETWEEN(8,12)/10,0)</f>
        <v>105246</v>
      </c>
      <c r="AN6" s="4">
        <f ca="1">ROUND(T_Tiktok_ads[[#This Row],[video_watch_25]]*RANDBETWEEN(8,12)/10,0)</f>
        <v>85481</v>
      </c>
      <c r="AO6" s="4">
        <f ca="1">ROUND(T_Tiktok_ads[[#This Row],[video_watch_50]]*RANDBETWEEN(8,12)/10,0)</f>
        <v>57881</v>
      </c>
      <c r="AP6" s="4">
        <f ca="1">ROUND(T_Tiktok_ads[[#This Row],[video_watch_75]]*RANDBETWEEN(8,12)/10,0)</f>
        <v>32611</v>
      </c>
      <c r="AQ6" s="4">
        <f ca="1">ROUND(T_Tiktok_ads[[#This Row],[video_watch_100]]*RANDBETWEEN(8,12)/10,0)</f>
        <v>29480</v>
      </c>
      <c r="AR6" s="4">
        <f ca="1">ROUND(T_Tiktok_ads[[#This Row],[likes]]*RANDBETWEEN(8,12)/10,0)</f>
        <v>5268</v>
      </c>
      <c r="AS6" s="4">
        <f ca="1">ROUND(T_Tiktok_ads[[#This Row],[shares]]*RANDBETWEEN(8,12)/10,0)</f>
        <v>1076</v>
      </c>
      <c r="AT6" s="4">
        <f ca="1">ROUND(T_Tiktok_ads[[#This Row],[comments]]*RANDBETWEEN(8,12)/10,0)</f>
        <v>221</v>
      </c>
      <c r="AV6" s="5">
        <f t="shared" ca="1" si="3"/>
        <v>44979</v>
      </c>
      <c r="AW6">
        <f t="shared" ca="1" si="4"/>
        <v>8</v>
      </c>
      <c r="AX6">
        <f ca="1">ROUND(T_Facebook_Ads1159[[#This Row],[impressions]]*RANDBETWEEN(2,10)/10,0)</f>
        <v>9028</v>
      </c>
      <c r="AY6">
        <f ca="1">ROUND(T_Facebook_Ads1159[[#This Row],[clicks]]*RANDBETWEEN(8,12)/10,0)</f>
        <v>498</v>
      </c>
      <c r="AZ6">
        <f ca="1">T_Facebook_Ads1159[[#This Row],[spend]]*RANDBETWEEN(8,12)/10</f>
        <v>187.6</v>
      </c>
      <c r="BA6">
        <f ca="1">ROUND(T_Facebook_Ads1159[[#This Row],[conversions]]*RANDBETWEEN(8,12)/10,0)</f>
        <v>24</v>
      </c>
      <c r="BB6">
        <f ca="1">ROUND(T_Facebook_Ads1159[[#This Row],[video_views]]*RANDBETWEEN(8,12)/10,0)</f>
        <v>1922</v>
      </c>
    </row>
    <row r="7" spans="1:54" ht="15.75" thickBot="1" x14ac:dyDescent="0.3">
      <c r="A7" s="3">
        <f t="shared" ca="1" si="0"/>
        <v>44963</v>
      </c>
      <c r="B7" s="4" t="s">
        <v>60</v>
      </c>
      <c r="C7" s="4" t="s">
        <v>61</v>
      </c>
      <c r="D7" s="4" t="s">
        <v>62</v>
      </c>
      <c r="E7" s="4" t="s">
        <v>63</v>
      </c>
      <c r="F7" s="4">
        <f ca="1">ROUND(T_Facebook_Ads[[#This Row],[impressions]]*RANDBETWEEN(8,12)/10,0)</f>
        <v>40468</v>
      </c>
      <c r="G7" s="4">
        <v>1345</v>
      </c>
      <c r="H7" s="4">
        <f ca="1">T_Facebook_Ads[[#This Row],[spend]]*RANDBETWEEN(8,12)/10</f>
        <v>221.43</v>
      </c>
      <c r="I7" s="4">
        <f ca="1">ROUND(T_Facebook_Ads[[#This Row],[conversions]]*RANDBETWEEN(8,12)/10,0)</f>
        <v>25</v>
      </c>
      <c r="J7" s="4">
        <f ca="1">ROUND(T_Facebook_Ads[[#This Row],[video_views]]*RANDBETWEEN(8,12)/10,0)</f>
        <v>3912</v>
      </c>
      <c r="K7" s="4">
        <f ca="1">T_Facebook_Ads[[#This Row],[engagement_rate]]*RANDBETWEEN(8,12)/10</f>
        <v>2.928E-2</v>
      </c>
      <c r="L7" s="4">
        <f ca="1">ROUND(T_Facebook_Ads[[#This Row],[reach]]*RANDBETWEEN(8,12)/10,0)</f>
        <v>24098</v>
      </c>
      <c r="M7" s="4">
        <f ca="1">T_Facebook_Ads[[#This Row],[frequency]]*RANDBETWEEN(8,12)/10</f>
        <v>1.0980000000000001</v>
      </c>
      <c r="O7" s="3">
        <f t="shared" ca="1" si="1"/>
        <v>44973</v>
      </c>
      <c r="P7" s="4" t="s">
        <v>84</v>
      </c>
      <c r="Q7" s="4" t="s">
        <v>85</v>
      </c>
      <c r="R7" s="4" t="s">
        <v>86</v>
      </c>
      <c r="S7" s="4" t="s">
        <v>87</v>
      </c>
      <c r="T7" s="4">
        <f ca="1">ROUND(_Google_ads[[#This Row],[impressions]]*RANDBETWEEN(8,12)/10,0)</f>
        <v>56987</v>
      </c>
      <c r="U7" s="4">
        <f ca="1">ROUND(_Google_ads[[#This Row],[clicks]]*RANDBETWEEN(8,12)/10,0)</f>
        <v>2947</v>
      </c>
      <c r="V7" s="4">
        <f ca="1">_Google_ads[[#This Row],[cost]]*RANDBETWEEN(8,12)/10</f>
        <v>534.96</v>
      </c>
      <c r="W7" s="4">
        <f ca="1">ROUND(_Google_ads[[#This Row],[conversions]]*RANDBETWEEN(8,12)/10,0)</f>
        <v>64</v>
      </c>
      <c r="X7" s="4">
        <f ca="1">ROUND(_Google_ads[[#This Row],[conversion_value]]*RANDBETWEEN(8,12)/10,0)</f>
        <v>4260</v>
      </c>
      <c r="Y7" s="4">
        <f ca="1">_Google_ads[[#This Row],[ctr]]*RANDBETWEEN(8,12)/10</f>
        <v>3.4500000000000003E-2</v>
      </c>
      <c r="Z7" s="4">
        <f ca="1">_Google_ads[[#This Row],[avg_cpc]]*RANDBETWEEN(8,12)/10</f>
        <v>0.21600000000000003</v>
      </c>
      <c r="AA7" s="4">
        <f ca="1">ROUND(_Google_ads[[#This Row],[quality_score]]*RANDBETWEEN(8,12)/10,0)</f>
        <v>7</v>
      </c>
      <c r="AB7" s="4">
        <f ca="1">_Google_ads[[#This Row],[search_impression_share]]*RANDBETWEEN(8,12)/10</f>
        <v>0.748</v>
      </c>
      <c r="AD7" s="3">
        <f t="shared" ca="1" si="2"/>
        <v>44969</v>
      </c>
      <c r="AE7" s="4" t="s">
        <v>108</v>
      </c>
      <c r="AF7" s="4" t="s">
        <v>109</v>
      </c>
      <c r="AG7" s="4" t="s">
        <v>110</v>
      </c>
      <c r="AH7" s="4" t="s">
        <v>111</v>
      </c>
      <c r="AI7" s="4">
        <f ca="1">ROUND(T_Tiktok_ads[[#This Row],[impressions]]*RANDBETWEEN(8,12)/10,0)</f>
        <v>158676</v>
      </c>
      <c r="AJ7" s="4">
        <f ca="1">ROUND(T_Tiktok_ads[[#This Row],[clicks]]*RANDBETWEEN(8,12)/10,0)</f>
        <v>2410</v>
      </c>
      <c r="AK7" s="4">
        <v>361.2</v>
      </c>
      <c r="AL7" s="4">
        <f ca="1">ROUND(T_Tiktok_ads[[#This Row],[conversions]]*RANDBETWEEN(8,12)/10,0)</f>
        <v>30</v>
      </c>
      <c r="AM7" s="4">
        <f ca="1">ROUND(T_Tiktok_ads[[#This Row],[video_views]]*RANDBETWEEN(8,12)/10,0)</f>
        <v>167580</v>
      </c>
      <c r="AN7" s="4">
        <f ca="1">ROUND(T_Tiktok_ads[[#This Row],[video_watch_25]]*RANDBETWEEN(8,12)/10,0)</f>
        <v>128957</v>
      </c>
      <c r="AO7" s="4">
        <f ca="1">ROUND(T_Tiktok_ads[[#This Row],[video_watch_50]]*RANDBETWEEN(8,12)/10,0)</f>
        <v>111881</v>
      </c>
      <c r="AP7" s="4">
        <f ca="1">ROUND(T_Tiktok_ads[[#This Row],[video_watch_75]]*RANDBETWEEN(8,12)/10,0)</f>
        <v>71081</v>
      </c>
      <c r="AQ7" s="4">
        <f ca="1">ROUND(T_Tiktok_ads[[#This Row],[video_watch_100]]*RANDBETWEEN(8,12)/10,0)</f>
        <v>43481</v>
      </c>
      <c r="AR7" s="4">
        <f ca="1">ROUND(T_Tiktok_ads[[#This Row],[likes]]*RANDBETWEEN(8,12)/10,0)</f>
        <v>7835</v>
      </c>
      <c r="AS7" s="4">
        <f ca="1">ROUND(T_Tiktok_ads[[#This Row],[shares]]*RANDBETWEEN(8,12)/10,0)</f>
        <v>1967</v>
      </c>
      <c r="AT7" s="4">
        <f ca="1">ROUND(T_Tiktok_ads[[#This Row],[comments]]*RANDBETWEEN(8,12)/10,0)</f>
        <v>430</v>
      </c>
      <c r="AV7" s="5">
        <f t="shared" ca="1" si="3"/>
        <v>44968</v>
      </c>
      <c r="AW7">
        <f t="shared" ca="1" si="4"/>
        <v>8</v>
      </c>
      <c r="AX7">
        <f ca="1">ROUND(T_Facebook_Ads1159[[#This Row],[impressions]]*RANDBETWEEN(2,10)/10,0)</f>
        <v>32374</v>
      </c>
      <c r="AY7">
        <f ca="1">ROUND(T_Facebook_Ads1159[[#This Row],[clicks]]*RANDBETWEEN(8,12)/10,0)</f>
        <v>1345</v>
      </c>
      <c r="AZ7">
        <f ca="1">T_Facebook_Ads1159[[#This Row],[spend]]*RANDBETWEEN(8,12)/10</f>
        <v>199.28700000000001</v>
      </c>
      <c r="BA7">
        <f ca="1">ROUND(T_Facebook_Ads1159[[#This Row],[conversions]]*RANDBETWEEN(8,12)/10,0)</f>
        <v>20</v>
      </c>
      <c r="BB7">
        <f ca="1">ROUND(T_Facebook_Ads1159[[#This Row],[video_views]]*RANDBETWEEN(8,12)/10,0)</f>
        <v>3130</v>
      </c>
    </row>
    <row r="8" spans="1:54" ht="15.75" thickBot="1" x14ac:dyDescent="0.3">
      <c r="A8" s="3">
        <f t="shared" ca="1" si="0"/>
        <v>44972</v>
      </c>
      <c r="B8" s="4" t="s">
        <v>52</v>
      </c>
      <c r="C8" s="4" t="s">
        <v>53</v>
      </c>
      <c r="D8" s="4" t="s">
        <v>54</v>
      </c>
      <c r="E8" s="4" t="s">
        <v>55</v>
      </c>
      <c r="F8" s="4">
        <f ca="1">ROUND(T_Facebook_Ads[[#This Row],[impressions]]*RANDBETWEEN(8,12)/10,0)</f>
        <v>48234</v>
      </c>
      <c r="G8" s="4">
        <v>967</v>
      </c>
      <c r="H8" s="4">
        <f ca="1">T_Facebook_Ads[[#This Row],[spend]]*RANDBETWEEN(8,12)/10</f>
        <v>107.84</v>
      </c>
      <c r="I8" s="4">
        <f ca="1">ROUND(T_Facebook_Ads[[#This Row],[conversions]]*RANDBETWEEN(8,12)/10,0)</f>
        <v>15</v>
      </c>
      <c r="J8" s="4">
        <f ca="1">ROUND(T_Facebook_Ads[[#This Row],[video_views]]*RANDBETWEEN(8,12)/10,0)</f>
        <v>8901</v>
      </c>
      <c r="K8" s="4">
        <f ca="1">T_Facebook_Ads[[#This Row],[engagement_rate]]*RANDBETWEEN(8,12)/10</f>
        <v>1.8090000000000002E-2</v>
      </c>
      <c r="L8" s="4">
        <f ca="1">ROUND(T_Facebook_Ads[[#This Row],[reach]]*RANDBETWEEN(8,12)/10,0)</f>
        <v>44135</v>
      </c>
      <c r="M8" s="4">
        <f ca="1">T_Facebook_Ads[[#This Row],[frequency]]*RANDBETWEEN(8,12)/10</f>
        <v>1.2</v>
      </c>
      <c r="O8" s="3">
        <f t="shared" ca="1" si="1"/>
        <v>44961</v>
      </c>
      <c r="P8" s="4" t="s">
        <v>76</v>
      </c>
      <c r="Q8" s="4" t="s">
        <v>77</v>
      </c>
      <c r="R8" s="4" t="s">
        <v>78</v>
      </c>
      <c r="S8" s="4" t="s">
        <v>79</v>
      </c>
      <c r="T8" s="4">
        <f ca="1">ROUND(_Google_ads[[#This Row],[impressions]]*RANDBETWEEN(8,12)/10,0)</f>
        <v>22345</v>
      </c>
      <c r="U8" s="4">
        <f ca="1">ROUND(_Google_ads[[#This Row],[clicks]]*RANDBETWEEN(8,12)/10,0)</f>
        <v>1235</v>
      </c>
      <c r="V8" s="4">
        <f ca="1">_Google_ads[[#This Row],[cost]]*RANDBETWEEN(8,12)/10</f>
        <v>192.06</v>
      </c>
      <c r="W8" s="4">
        <f ca="1">ROUND(_Google_ads[[#This Row],[conversions]]*RANDBETWEEN(8,12)/10,0)</f>
        <v>38</v>
      </c>
      <c r="X8" s="4">
        <f ca="1">ROUND(_Google_ads[[#This Row],[conversion_value]]*RANDBETWEEN(8,12)/10,0)</f>
        <v>1890</v>
      </c>
      <c r="Y8" s="4">
        <f ca="1">_Google_ads[[#This Row],[ctr]]*RANDBETWEEN(8,12)/10</f>
        <v>4.0239999999999998E-2</v>
      </c>
      <c r="Z8" s="4">
        <f ca="1">_Google_ads[[#This Row],[avg_cpc]]*RANDBETWEEN(8,12)/10</f>
        <v>0.22800000000000004</v>
      </c>
      <c r="AA8" s="4">
        <f ca="1">ROUND(_Google_ads[[#This Row],[quality_score]]*RANDBETWEEN(8,12)/10,0)</f>
        <v>10</v>
      </c>
      <c r="AB8" s="4">
        <f ca="1">_Google_ads[[#This Row],[search_impression_share]]*RANDBETWEEN(8,12)/10</f>
        <v>1.1160000000000001</v>
      </c>
      <c r="AD8" s="3">
        <f t="shared" ca="1" si="2"/>
        <v>44959</v>
      </c>
      <c r="AE8" s="4" t="s">
        <v>100</v>
      </c>
      <c r="AF8" s="4" t="s">
        <v>101</v>
      </c>
      <c r="AG8" s="4" t="s">
        <v>102</v>
      </c>
      <c r="AH8" s="4" t="s">
        <v>103</v>
      </c>
      <c r="AI8" s="4">
        <f ca="1">ROUND(T_Tiktok_ads[[#This Row],[impressions]]*RANDBETWEEN(8,12)/10,0)</f>
        <v>223456</v>
      </c>
      <c r="AJ8" s="4">
        <f ca="1">ROUND(T_Tiktok_ads[[#This Row],[clicks]]*RANDBETWEEN(8,12)/10,0)</f>
        <v>3881</v>
      </c>
      <c r="AK8" s="4">
        <v>434.5</v>
      </c>
      <c r="AL8" s="4">
        <f ca="1">ROUND(T_Tiktok_ads[[#This Row],[conversions]]*RANDBETWEEN(8,12)/10,0)</f>
        <v>26</v>
      </c>
      <c r="AM8" s="4">
        <f ca="1">ROUND(T_Tiktok_ads[[#This Row],[video_views]]*RANDBETWEEN(8,12)/10,0)</f>
        <v>170311</v>
      </c>
      <c r="AN8" s="4">
        <f ca="1">ROUND(T_Tiktok_ads[[#This Row],[video_watch_25]]*RANDBETWEEN(8,12)/10,0)</f>
        <v>148234</v>
      </c>
      <c r="AO8" s="4">
        <f ca="1">ROUND(T_Tiktok_ads[[#This Row],[video_watch_50]]*RANDBETWEEN(8,12)/10,0)</f>
        <v>93234</v>
      </c>
      <c r="AP8" s="4">
        <f ca="1">ROUND(T_Tiktok_ads[[#This Row],[video_watch_75]]*RANDBETWEEN(8,12)/10,0)</f>
        <v>57110</v>
      </c>
      <c r="AQ8" s="4">
        <f ca="1">ROUND(T_Tiktok_ads[[#This Row],[video_watch_100]]*RANDBETWEEN(8,12)/10,0)</f>
        <v>43234</v>
      </c>
      <c r="AR8" s="4">
        <f ca="1">ROUND(T_Tiktok_ads[[#This Row],[likes]]*RANDBETWEEN(8,12)/10,0)</f>
        <v>8567</v>
      </c>
      <c r="AS8" s="4">
        <f ca="1">ROUND(T_Tiktok_ads[[#This Row],[shares]]*RANDBETWEEN(8,12)/10,0)</f>
        <v>2681</v>
      </c>
      <c r="AT8" s="4">
        <f ca="1">ROUND(T_Tiktok_ads[[#This Row],[comments]]*RANDBETWEEN(8,12)/10,0)</f>
        <v>534</v>
      </c>
      <c r="AV8" s="5">
        <f t="shared" ca="1" si="3"/>
        <v>44976</v>
      </c>
      <c r="AW8">
        <f t="shared" ca="1" si="4"/>
        <v>1</v>
      </c>
      <c r="AX8">
        <f ca="1">ROUND(T_Facebook_Ads1159[[#This Row],[impressions]]*RANDBETWEEN(2,10)/10,0)</f>
        <v>33764</v>
      </c>
      <c r="AY8">
        <f ca="1">ROUND(T_Facebook_Ads1159[[#This Row],[clicks]]*RANDBETWEEN(8,12)/10,0)</f>
        <v>870</v>
      </c>
      <c r="AZ8">
        <f ca="1">T_Facebook_Ads1159[[#This Row],[spend]]*RANDBETWEEN(8,12)/10</f>
        <v>97.056000000000012</v>
      </c>
      <c r="BA8">
        <f ca="1">ROUND(T_Facebook_Ads1159[[#This Row],[conversions]]*RANDBETWEEN(8,12)/10,0)</f>
        <v>18</v>
      </c>
      <c r="BB8">
        <f ca="1">ROUND(T_Facebook_Ads1159[[#This Row],[video_views]]*RANDBETWEEN(8,12)/10,0)</f>
        <v>9791</v>
      </c>
    </row>
    <row r="9" spans="1:54" ht="15.75" thickBot="1" x14ac:dyDescent="0.3">
      <c r="A9" s="3">
        <f t="shared" ca="1" si="0"/>
        <v>44961</v>
      </c>
      <c r="B9" s="4" t="s">
        <v>56</v>
      </c>
      <c r="C9" s="4" t="s">
        <v>57</v>
      </c>
      <c r="D9" s="4" t="s">
        <v>58</v>
      </c>
      <c r="E9" s="4" t="s">
        <v>59</v>
      </c>
      <c r="F9" s="4">
        <f ca="1">ROUND(T_Facebook_Ads[[#This Row],[impressions]]*RANDBETWEEN(8,12)/10,0)</f>
        <v>13481</v>
      </c>
      <c r="G9" s="4">
        <v>489</v>
      </c>
      <c r="H9" s="4">
        <f ca="1">T_Facebook_Ads[[#This Row],[spend]]*RANDBETWEEN(8,12)/10</f>
        <v>238.43999999999997</v>
      </c>
      <c r="I9" s="4">
        <f ca="1">ROUND(T_Facebook_Ads[[#This Row],[conversions]]*RANDBETWEEN(8,12)/10,0)</f>
        <v>34</v>
      </c>
      <c r="J9" s="4">
        <f ca="1">ROUND(T_Facebook_Ads[[#This Row],[video_views]]*RANDBETWEEN(8,12)/10,0)</f>
        <v>898</v>
      </c>
      <c r="K9" s="4">
        <f ca="1">T_Facebook_Ads[[#This Row],[engagement_rate]]*RANDBETWEEN(8,12)/10</f>
        <v>3.9149999999999997E-2</v>
      </c>
      <c r="L9" s="4">
        <f ca="1">ROUND(T_Facebook_Ads[[#This Row],[reach]]*RANDBETWEEN(8,12)/10,0)</f>
        <v>8011</v>
      </c>
      <c r="M9" s="4">
        <f ca="1">T_Facebook_Ads[[#This Row],[frequency]]*RANDBETWEEN(8,12)/10</f>
        <v>1.3859999999999999</v>
      </c>
      <c r="O9" s="3">
        <f t="shared" ca="1" si="1"/>
        <v>44958</v>
      </c>
      <c r="P9" s="4" t="s">
        <v>80</v>
      </c>
      <c r="Q9" s="4" t="s">
        <v>81</v>
      </c>
      <c r="R9" s="4" t="s">
        <v>82</v>
      </c>
      <c r="S9" s="4" t="s">
        <v>83</v>
      </c>
      <c r="T9" s="4">
        <f ca="1">ROUND(_Google_ads[[#This Row],[impressions]]*RANDBETWEEN(8,12)/10,0)</f>
        <v>47890</v>
      </c>
      <c r="U9" s="4">
        <f ca="1">ROUND(_Google_ads[[#This Row],[clicks]]*RANDBETWEEN(8,12)/10,0)</f>
        <v>967</v>
      </c>
      <c r="V9" s="4">
        <f ca="1">_Google_ads[[#This Row],[cost]]*RANDBETWEEN(8,12)/10</f>
        <v>685.85</v>
      </c>
      <c r="W9" s="4">
        <f ca="1">ROUND(_Google_ads[[#This Row],[conversions]]*RANDBETWEEN(8,12)/10,0)</f>
        <v>30</v>
      </c>
      <c r="X9" s="4">
        <f ca="1">ROUND(_Google_ads[[#This Row],[conversion_value]]*RANDBETWEEN(8,12)/10,0)</f>
        <v>1500</v>
      </c>
      <c r="Y9" s="4">
        <f ca="1">_Google_ads[[#This Row],[ctr]]*RANDBETWEEN(8,12)/10</f>
        <v>2.0199999999999999E-2</v>
      </c>
      <c r="Z9" s="4">
        <f ca="1">_Google_ads[[#This Row],[avg_cpc]]*RANDBETWEEN(8,12)/10</f>
        <v>0.57599999999999996</v>
      </c>
      <c r="AA9" s="4">
        <f ca="1">ROUND(_Google_ads[[#This Row],[quality_score]]*RANDBETWEEN(8,12)/10,0)</f>
        <v>6</v>
      </c>
      <c r="AB9" s="4">
        <f ca="1">_Google_ads[[#This Row],[search_impression_share]]*RANDBETWEEN(8,12)/10</f>
        <v>0.51600000000000001</v>
      </c>
      <c r="AD9" s="3">
        <f t="shared" ca="1" si="2"/>
        <v>44980</v>
      </c>
      <c r="AE9" s="4" t="s">
        <v>104</v>
      </c>
      <c r="AF9" s="4" t="s">
        <v>105</v>
      </c>
      <c r="AG9" s="4" t="s">
        <v>106</v>
      </c>
      <c r="AH9" s="4" t="s">
        <v>107</v>
      </c>
      <c r="AI9" s="4">
        <f ca="1">ROUND(T_Tiktok_ads[[#This Row],[impressions]]*RANDBETWEEN(8,12)/10,0)</f>
        <v>123580</v>
      </c>
      <c r="AJ9" s="4">
        <f ca="1">ROUND(T_Tiktok_ads[[#This Row],[clicks]]*RANDBETWEEN(8,12)/10,0)</f>
        <v>2548</v>
      </c>
      <c r="AK9" s="4">
        <v>623.4</v>
      </c>
      <c r="AL9" s="4">
        <f ca="1">ROUND(T_Tiktok_ads[[#This Row],[conversions]]*RANDBETWEEN(8,12)/10,0)</f>
        <v>50</v>
      </c>
      <c r="AM9" s="4">
        <f ca="1">ROUND(T_Tiktok_ads[[#This Row],[video_views]]*RANDBETWEEN(8,12)/10,0)</f>
        <v>90580</v>
      </c>
      <c r="AN9" s="4">
        <f ca="1">ROUND(T_Tiktok_ads[[#This Row],[video_watch_25]]*RANDBETWEEN(8,12)/10,0)</f>
        <v>61234</v>
      </c>
      <c r="AO9" s="4">
        <f ca="1">ROUND(T_Tiktok_ads[[#This Row],[video_watch_50]]*RANDBETWEEN(8,12)/10,0)</f>
        <v>41234</v>
      </c>
      <c r="AP9" s="4">
        <f ca="1">ROUND(T_Tiktok_ads[[#This Row],[video_watch_75]]*RANDBETWEEN(8,12)/10,0)</f>
        <v>34357</v>
      </c>
      <c r="AQ9" s="4">
        <f ca="1">ROUND(T_Tiktok_ads[[#This Row],[video_watch_100]]*RANDBETWEEN(8,12)/10,0)</f>
        <v>23357</v>
      </c>
      <c r="AR9" s="4">
        <f ca="1">ROUND(T_Tiktok_ads[[#This Row],[likes]]*RANDBETWEEN(8,12)/10,0)</f>
        <v>3387</v>
      </c>
      <c r="AS9" s="4">
        <f ca="1">ROUND(T_Tiktok_ads[[#This Row],[shares]]*RANDBETWEEN(8,12)/10,0)</f>
        <v>1123</v>
      </c>
      <c r="AT9" s="4">
        <f ca="1">ROUND(T_Tiktok_ads[[#This Row],[comments]]*RANDBETWEEN(8,12)/10,0)</f>
        <v>233</v>
      </c>
      <c r="AV9" s="5">
        <f t="shared" ca="1" si="3"/>
        <v>44973</v>
      </c>
      <c r="AW9">
        <f t="shared" ca="1" si="4"/>
        <v>1</v>
      </c>
      <c r="AX9">
        <f ca="1">ROUND(T_Facebook_Ads1159[[#This Row],[impressions]]*RANDBETWEEN(2,10)/10,0)</f>
        <v>12133</v>
      </c>
      <c r="AY9">
        <f ca="1">ROUND(T_Facebook_Ads1159[[#This Row],[clicks]]*RANDBETWEEN(8,12)/10,0)</f>
        <v>538</v>
      </c>
      <c r="AZ9">
        <f ca="1">T_Facebook_Ads1159[[#This Row],[spend]]*RANDBETWEEN(8,12)/10</f>
        <v>190.75199999999998</v>
      </c>
      <c r="BA9">
        <f ca="1">ROUND(T_Facebook_Ads1159[[#This Row],[conversions]]*RANDBETWEEN(8,12)/10,0)</f>
        <v>41</v>
      </c>
      <c r="BB9">
        <f ca="1">ROUND(T_Facebook_Ads1159[[#This Row],[video_views]]*RANDBETWEEN(8,12)/10,0)</f>
        <v>1078</v>
      </c>
    </row>
    <row r="10" spans="1:54" ht="15.75" thickBot="1" x14ac:dyDescent="0.3">
      <c r="A10" s="3">
        <f t="shared" ca="1" si="0"/>
        <v>44976</v>
      </c>
      <c r="B10" s="4" t="s">
        <v>60</v>
      </c>
      <c r="C10" s="4" t="s">
        <v>61</v>
      </c>
      <c r="D10" s="4" t="s">
        <v>62</v>
      </c>
      <c r="E10" s="4" t="s">
        <v>63</v>
      </c>
      <c r="F10" s="4">
        <f ca="1">ROUND(T_Facebook_Ads[[#This Row],[impressions]]*RANDBETWEEN(8,12)/10,0)</f>
        <v>35011</v>
      </c>
      <c r="G10" s="4">
        <v>1456</v>
      </c>
      <c r="H10" s="4">
        <f ca="1">T_Facebook_Ads[[#This Row],[spend]]*RANDBETWEEN(8,12)/10</f>
        <v>192.06</v>
      </c>
      <c r="I10" s="4">
        <f ca="1">ROUND(T_Facebook_Ads[[#This Row],[conversions]]*RANDBETWEEN(8,12)/10,0)</f>
        <v>34</v>
      </c>
      <c r="J10" s="4">
        <f ca="1">ROUND(T_Facebook_Ads[[#This Row],[video_views]]*RANDBETWEEN(8,12)/10,0)</f>
        <v>4711</v>
      </c>
      <c r="K10" s="4">
        <f ca="1">T_Facebook_Ads[[#This Row],[engagement_rate]]*RANDBETWEEN(8,12)/10</f>
        <v>3.3749999999999995E-2</v>
      </c>
      <c r="L10" s="4">
        <f ca="1">ROUND(T_Facebook_Ads[[#This Row],[reach]]*RANDBETWEEN(8,12)/10,0)</f>
        <v>37747</v>
      </c>
      <c r="M10" s="4">
        <f ca="1">T_Facebook_Ads[[#This Row],[frequency]]*RANDBETWEEN(8,12)/10</f>
        <v>1.24</v>
      </c>
      <c r="O10" s="3">
        <f t="shared" ca="1" si="1"/>
        <v>44975</v>
      </c>
      <c r="P10" s="4" t="s">
        <v>88</v>
      </c>
      <c r="Q10" s="4" t="s">
        <v>89</v>
      </c>
      <c r="R10" s="4" t="s">
        <v>90</v>
      </c>
      <c r="S10" s="4" t="s">
        <v>59</v>
      </c>
      <c r="T10" s="4">
        <f ca="1">ROUND(_Google_ads[[#This Row],[impressions]]*RANDBETWEEN(8,12)/10,0)</f>
        <v>123456</v>
      </c>
      <c r="U10" s="4">
        <f ca="1">ROUND(_Google_ads[[#This Row],[clicks]]*RANDBETWEEN(8,12)/10,0)</f>
        <v>365</v>
      </c>
      <c r="V10" s="4">
        <f ca="1">_Google_ads[[#This Row],[cost]]*RANDBETWEEN(8,12)/10</f>
        <v>148.08000000000001</v>
      </c>
      <c r="W10" s="4">
        <f ca="1">ROUND(_Google_ads[[#This Row],[conversions]]*RANDBETWEEN(8,12)/10,0)</f>
        <v>14</v>
      </c>
      <c r="X10" s="4">
        <f ca="1">ROUND(_Google_ads[[#This Row],[conversion_value]]*RANDBETWEEN(8,12)/10,0)</f>
        <v>660</v>
      </c>
      <c r="Y10" s="4">
        <f ca="1">_Google_ads[[#This Row],[ctr]]*RANDBETWEEN(8,12)/10</f>
        <v>4.4400000000000004E-3</v>
      </c>
      <c r="Z10" s="4">
        <f ca="1">_Google_ads[[#This Row],[avg_cpc]]*RANDBETWEEN(8,12)/10</f>
        <v>0.24300000000000002</v>
      </c>
      <c r="AA10" s="4">
        <f ca="1">ROUND(_Google_ads[[#This Row],[quality_score]]*RANDBETWEEN(8,12)/10,0)</f>
        <v>6</v>
      </c>
      <c r="AB10" s="4">
        <f ca="1">_Google_ads[[#This Row],[search_impression_share]]*RANDBETWEEN(8,12)/10</f>
        <v>0.38499999999999995</v>
      </c>
      <c r="AD10" s="3">
        <f t="shared" ca="1" si="2"/>
        <v>44971</v>
      </c>
      <c r="AE10" s="4" t="s">
        <v>112</v>
      </c>
      <c r="AF10" s="4" t="s">
        <v>113</v>
      </c>
      <c r="AG10" s="4" t="s">
        <v>114</v>
      </c>
      <c r="AH10" s="4" t="s">
        <v>115</v>
      </c>
      <c r="AI10" s="4">
        <f ca="1">ROUND(T_Tiktok_ads[[#This Row],[impressions]]*RANDBETWEEN(8,12)/10,0)</f>
        <v>345678</v>
      </c>
      <c r="AJ10" s="4">
        <f ca="1">ROUND(T_Tiktok_ads[[#This Row],[clicks]]*RANDBETWEEN(8,12)/10,0)</f>
        <v>6246</v>
      </c>
      <c r="AK10" s="4">
        <v>890.1</v>
      </c>
      <c r="AL10" s="4">
        <f ca="1">ROUND(T_Tiktok_ads[[#This Row],[conversions]]*RANDBETWEEN(8,12)/10,0)</f>
        <v>71</v>
      </c>
      <c r="AM10" s="4">
        <f ca="1">ROUND(T_Tiktok_ads[[#This Row],[video_views]]*RANDBETWEEN(8,12)/10,0)</f>
        <v>318157</v>
      </c>
      <c r="AN10" s="4">
        <f ca="1">ROUND(T_Tiktok_ads[[#This Row],[video_watch_25]]*RANDBETWEEN(8,12)/10,0)</f>
        <v>211110</v>
      </c>
      <c r="AO10" s="4">
        <f ca="1">ROUND(T_Tiktok_ads[[#This Row],[video_watch_50]]*RANDBETWEEN(8,12)/10,0)</f>
        <v>151387</v>
      </c>
      <c r="AP10" s="4">
        <f ca="1">ROUND(T_Tiktok_ads[[#This Row],[video_watch_75]]*RANDBETWEEN(8,12)/10,0)</f>
        <v>134567</v>
      </c>
      <c r="AQ10" s="4">
        <f ca="1">ROUND(T_Tiktok_ads[[#This Row],[video_watch_100]]*RANDBETWEEN(8,12)/10,0)</f>
        <v>80311</v>
      </c>
      <c r="AR10" s="4">
        <f ca="1">ROUND(T_Tiktok_ads[[#This Row],[likes]]*RANDBETWEEN(8,12)/10,0)</f>
        <v>18814</v>
      </c>
      <c r="AS10" s="4">
        <f ca="1">ROUND(T_Tiktok_ads[[#This Row],[shares]]*RANDBETWEEN(8,12)/10,0)</f>
        <v>5480</v>
      </c>
      <c r="AT10" s="4">
        <f ca="1">ROUND(T_Tiktok_ads[[#This Row],[comments]]*RANDBETWEEN(8,12)/10,0)</f>
        <v>1234</v>
      </c>
      <c r="AV10" s="5">
        <f t="shared" ca="1" si="3"/>
        <v>44972</v>
      </c>
      <c r="AW10">
        <f t="shared" ca="1" si="4"/>
        <v>4</v>
      </c>
      <c r="AX10">
        <f ca="1">ROUND(T_Facebook_Ads1159[[#This Row],[impressions]]*RANDBETWEEN(2,10)/10,0)</f>
        <v>10503</v>
      </c>
      <c r="AY10">
        <f ca="1">ROUND(T_Facebook_Ads1159[[#This Row],[clicks]]*RANDBETWEEN(8,12)/10,0)</f>
        <v>1456</v>
      </c>
      <c r="AZ10">
        <f ca="1">T_Facebook_Ads1159[[#This Row],[spend]]*RANDBETWEEN(8,12)/10</f>
        <v>153.648</v>
      </c>
      <c r="BA10">
        <f ca="1">ROUND(T_Facebook_Ads1159[[#This Row],[conversions]]*RANDBETWEEN(8,12)/10,0)</f>
        <v>37</v>
      </c>
      <c r="BB10">
        <f ca="1">ROUND(T_Facebook_Ads1159[[#This Row],[video_views]]*RANDBETWEEN(8,12)/10,0)</f>
        <v>5182</v>
      </c>
    </row>
    <row r="11" spans="1:54" ht="15.75" thickBot="1" x14ac:dyDescent="0.3">
      <c r="A11" s="3">
        <f t="shared" ca="1" si="0"/>
        <v>44963</v>
      </c>
      <c r="B11" s="4" t="s">
        <v>52</v>
      </c>
      <c r="C11" s="4" t="s">
        <v>53</v>
      </c>
      <c r="D11" s="4" t="s">
        <v>54</v>
      </c>
      <c r="E11" s="4" t="s">
        <v>55</v>
      </c>
      <c r="F11" s="4">
        <f ca="1">ROUND(T_Facebook_Ads[[#This Row],[impressions]]*RANDBETWEEN(8,12)/10,0)</f>
        <v>51234</v>
      </c>
      <c r="G11" s="4">
        <v>1023</v>
      </c>
      <c r="H11" s="4">
        <f ca="1">T_Facebook_Ads[[#This Row],[spend]]*RANDBETWEEN(8,12)/10</f>
        <v>128.07</v>
      </c>
      <c r="I11" s="4">
        <f ca="1">ROUND(T_Facebook_Ads[[#This Row],[conversions]]*RANDBETWEEN(8,12)/10,0)</f>
        <v>14</v>
      </c>
      <c r="J11" s="4">
        <f ca="1">ROUND(T_Facebook_Ads[[#This Row],[video_views]]*RANDBETWEEN(8,12)/10,0)</f>
        <v>10157</v>
      </c>
      <c r="K11" s="4">
        <f ca="1">T_Facebook_Ads[[#This Row],[engagement_rate]]*RANDBETWEEN(8,12)/10</f>
        <v>0.02</v>
      </c>
      <c r="L11" s="4">
        <f ca="1">ROUND(T_Facebook_Ads[[#This Row],[reach]]*RANDBETWEEN(8,12)/10,0)</f>
        <v>46824</v>
      </c>
      <c r="M11" s="4">
        <f ca="1">T_Facebook_Ads[[#This Row],[frequency]]*RANDBETWEEN(8,12)/10</f>
        <v>1.0799999999999998</v>
      </c>
      <c r="O11" s="3">
        <f t="shared" ca="1" si="1"/>
        <v>44981</v>
      </c>
      <c r="P11" s="4" t="s">
        <v>76</v>
      </c>
      <c r="Q11" s="4" t="s">
        <v>77</v>
      </c>
      <c r="R11" s="4" t="s">
        <v>78</v>
      </c>
      <c r="S11" s="4" t="s">
        <v>79</v>
      </c>
      <c r="T11" s="4">
        <f ca="1">ROUND(_Google_ads[[#This Row],[impressions]]*RANDBETWEEN(8,12)/10,0)</f>
        <v>25678</v>
      </c>
      <c r="U11" s="4">
        <f ca="1">ROUND(_Google_ads[[#This Row],[clicks]]*RANDBETWEEN(8,12)/10,0)</f>
        <v>1076</v>
      </c>
      <c r="V11" s="4">
        <f ca="1">_Google_ads[[#This Row],[cost]]*RANDBETWEEN(8,12)/10</f>
        <v>282.37</v>
      </c>
      <c r="W11" s="4">
        <f ca="1">ROUND(_Google_ads[[#This Row],[conversions]]*RANDBETWEEN(8,12)/10,0)</f>
        <v>55</v>
      </c>
      <c r="X11" s="4">
        <f ca="1">ROUND(_Google_ads[[#This Row],[conversion_value]]*RANDBETWEEN(8,12)/10,0)</f>
        <v>2250</v>
      </c>
      <c r="Y11" s="4">
        <f ca="1">_Google_ads[[#This Row],[ctr]]*RANDBETWEEN(8,12)/10</f>
        <v>4.1919999999999999E-2</v>
      </c>
      <c r="Z11" s="4">
        <f ca="1">_Google_ads[[#This Row],[avg_cpc]]*RANDBETWEEN(8,12)/10</f>
        <v>0.152</v>
      </c>
      <c r="AA11" s="4">
        <f ca="1">ROUND(_Google_ads[[#This Row],[quality_score]]*RANDBETWEEN(8,12)/10,0)</f>
        <v>10</v>
      </c>
      <c r="AB11" s="4">
        <f ca="1">_Google_ads[[#This Row],[search_impression_share]]*RANDBETWEEN(8,12)/10</f>
        <v>0.92000000000000015</v>
      </c>
      <c r="AD11" s="3">
        <f t="shared" ca="1" si="2"/>
        <v>44985</v>
      </c>
      <c r="AE11" s="4" t="s">
        <v>100</v>
      </c>
      <c r="AF11" s="4" t="s">
        <v>101</v>
      </c>
      <c r="AG11" s="4" t="s">
        <v>102</v>
      </c>
      <c r="AH11" s="4" t="s">
        <v>103</v>
      </c>
      <c r="AI11" s="4">
        <f ca="1">ROUND(T_Tiktok_ads[[#This Row],[impressions]]*RANDBETWEEN(8,12)/10,0)</f>
        <v>256789</v>
      </c>
      <c r="AJ11" s="4">
        <f ca="1">ROUND(T_Tiktok_ads[[#This Row],[clicks]]*RANDBETWEEN(8,12)/10,0)</f>
        <v>4279</v>
      </c>
      <c r="AK11" s="4">
        <v>512.29999999999995</v>
      </c>
      <c r="AL11" s="4">
        <f ca="1">ROUND(T_Tiktok_ads[[#This Row],[conversions]]*RANDBETWEEN(8,12)/10,0)</f>
        <v>43</v>
      </c>
      <c r="AM11" s="4">
        <f ca="1">ROUND(T_Tiktok_ads[[#This Row],[video_views]]*RANDBETWEEN(8,12)/10,0)</f>
        <v>173965</v>
      </c>
      <c r="AN11" s="4">
        <f ca="1">ROUND(T_Tiktok_ads[[#This Row],[video_watch_25]]*RANDBETWEEN(8,12)/10,0)</f>
        <v>170234</v>
      </c>
      <c r="AO11" s="4">
        <f ca="1">ROUND(T_Tiktok_ads[[#This Row],[video_watch_50]]*RANDBETWEEN(8,12)/10,0)</f>
        <v>117957</v>
      </c>
      <c r="AP11" s="4">
        <f ca="1">ROUND(T_Tiktok_ads[[#This Row],[video_watch_75]]*RANDBETWEEN(8,12)/10,0)</f>
        <v>57965</v>
      </c>
      <c r="AQ11" s="4">
        <f ca="1">ROUND(T_Tiktok_ads[[#This Row],[video_watch_100]]*RANDBETWEEN(8,12)/10,0)</f>
        <v>43610</v>
      </c>
      <c r="AR11" s="4">
        <f ca="1">ROUND(T_Tiktok_ads[[#This Row],[likes]]*RANDBETWEEN(8,12)/10,0)</f>
        <v>9567</v>
      </c>
      <c r="AS11" s="4">
        <f ca="1">ROUND(T_Tiktok_ads[[#This Row],[shares]]*RANDBETWEEN(8,12)/10,0)</f>
        <v>2567</v>
      </c>
      <c r="AT11" s="4">
        <f ca="1">ROUND(T_Tiktok_ads[[#This Row],[comments]]*RANDBETWEEN(8,12)/10,0)</f>
        <v>551</v>
      </c>
      <c r="AV11" s="5">
        <f t="shared" ca="1" si="3"/>
        <v>44980</v>
      </c>
      <c r="AW11">
        <f t="shared" ca="1" si="4"/>
        <v>7</v>
      </c>
      <c r="AX11">
        <f ca="1">ROUND(T_Facebook_Ads1159[[#This Row],[impressions]]*RANDBETWEEN(2,10)/10,0)</f>
        <v>51234</v>
      </c>
      <c r="AY11">
        <f ca="1">ROUND(T_Facebook_Ads1159[[#This Row],[clicks]]*RANDBETWEEN(8,12)/10,0)</f>
        <v>921</v>
      </c>
      <c r="AZ11">
        <f ca="1">T_Facebook_Ads1159[[#This Row],[spend]]*RANDBETWEEN(8,12)/10</f>
        <v>128.07</v>
      </c>
      <c r="BA11">
        <f ca="1">ROUND(T_Facebook_Ads1159[[#This Row],[conversions]]*RANDBETWEEN(8,12)/10,0)</f>
        <v>14</v>
      </c>
      <c r="BB11">
        <f ca="1">ROUND(T_Facebook_Ads1159[[#This Row],[video_views]]*RANDBETWEEN(8,12)/10,0)</f>
        <v>8126</v>
      </c>
    </row>
    <row r="12" spans="1:54" ht="15.75" thickBot="1" x14ac:dyDescent="0.3">
      <c r="A12" s="3">
        <f t="shared" ca="1" si="0"/>
        <v>44971</v>
      </c>
      <c r="B12" s="4" t="s">
        <v>56</v>
      </c>
      <c r="C12" s="4" t="s">
        <v>57</v>
      </c>
      <c r="D12" s="4" t="s">
        <v>58</v>
      </c>
      <c r="E12" s="4" t="s">
        <v>59</v>
      </c>
      <c r="F12" s="4">
        <f ca="1">ROUND(T_Facebook_Ads[[#This Row],[impressions]]*RANDBETWEEN(8,12)/10,0)</f>
        <v>17480</v>
      </c>
      <c r="G12" s="4">
        <v>678</v>
      </c>
      <c r="H12" s="4">
        <f ca="1">T_Facebook_Ads[[#This Row],[spend]]*RANDBETWEEN(8,12)/10</f>
        <v>245.6</v>
      </c>
      <c r="I12" s="4">
        <f ca="1">ROUND(T_Facebook_Ads[[#This Row],[conversions]]*RANDBETWEEN(8,12)/10,0)</f>
        <v>50</v>
      </c>
      <c r="J12" s="4">
        <f ca="1">ROUND(T_Facebook_Ads[[#This Row],[video_views]]*RANDBETWEEN(8,12)/10,0)</f>
        <v>1724</v>
      </c>
      <c r="K12" s="4">
        <f ca="1">T_Facebook_Ads[[#This Row],[engagement_rate]]*RANDBETWEEN(8,12)/10</f>
        <v>4.1849999999999998E-2</v>
      </c>
      <c r="L12" s="4">
        <f ca="1">ROUND(T_Facebook_Ads[[#This Row],[reach]]*RANDBETWEEN(8,12)/10,0)</f>
        <v>12357</v>
      </c>
      <c r="M12" s="4">
        <f ca="1">T_Facebook_Ads[[#This Row],[frequency]]*RANDBETWEEN(8,12)/10</f>
        <v>1.56</v>
      </c>
      <c r="O12" s="3">
        <f t="shared" ca="1" si="1"/>
        <v>44958</v>
      </c>
      <c r="P12" s="4" t="s">
        <v>84</v>
      </c>
      <c r="Q12" s="4" t="s">
        <v>85</v>
      </c>
      <c r="R12" s="4" t="s">
        <v>86</v>
      </c>
      <c r="S12" s="4" t="s">
        <v>87</v>
      </c>
      <c r="T12" s="4">
        <f ca="1">ROUND(_Google_ads[[#This Row],[impressions]]*RANDBETWEEN(8,12)/10,0)</f>
        <v>62510</v>
      </c>
      <c r="U12" s="4">
        <f ca="1">ROUND(_Google_ads[[#This Row],[clicks]]*RANDBETWEEN(8,12)/10,0)</f>
        <v>2234</v>
      </c>
      <c r="V12" s="4">
        <f ca="1">_Google_ads[[#This Row],[cost]]*RANDBETWEEN(8,12)/10</f>
        <v>371.07000000000005</v>
      </c>
      <c r="W12" s="4">
        <f ca="1">ROUND(_Google_ads[[#This Row],[conversions]]*RANDBETWEEN(8,12)/10,0)</f>
        <v>59</v>
      </c>
      <c r="X12" s="4">
        <f ca="1">ROUND(_Google_ads[[#This Row],[conversion_value]]*RANDBETWEEN(8,12)/10,0)</f>
        <v>2925</v>
      </c>
      <c r="Y12" s="4">
        <f ca="1">_Google_ads[[#This Row],[ctr]]*RANDBETWEEN(8,12)/10</f>
        <v>3.542E-2</v>
      </c>
      <c r="Z12" s="4">
        <f ca="1">_Google_ads[[#This Row],[avg_cpc]]*RANDBETWEEN(8,12)/10</f>
        <v>0.19800000000000001</v>
      </c>
      <c r="AA12" s="4">
        <f ca="1">ROUND(_Google_ads[[#This Row],[quality_score]]*RANDBETWEEN(8,12)/10,0)</f>
        <v>8</v>
      </c>
      <c r="AB12" s="4">
        <f ca="1">_Google_ads[[#This Row],[search_impression_share]]*RANDBETWEEN(8,12)/10</f>
        <v>0.59400000000000008</v>
      </c>
      <c r="AD12" s="3">
        <f t="shared" ca="1" si="2"/>
        <v>44962</v>
      </c>
      <c r="AE12" s="4" t="s">
        <v>108</v>
      </c>
      <c r="AF12" s="4" t="s">
        <v>109</v>
      </c>
      <c r="AG12" s="4" t="s">
        <v>110</v>
      </c>
      <c r="AH12" s="4" t="s">
        <v>111</v>
      </c>
      <c r="AI12" s="4">
        <f ca="1">ROUND(T_Tiktok_ads[[#This Row],[impressions]]*RANDBETWEEN(8,12)/10,0)</f>
        <v>160987</v>
      </c>
      <c r="AJ12" s="4">
        <f ca="1">ROUND(T_Tiktok_ads[[#This Row],[clicks]]*RANDBETWEEN(8,12)/10,0)</f>
        <v>2811</v>
      </c>
      <c r="AK12" s="4">
        <v>374.5</v>
      </c>
      <c r="AL12" s="4">
        <f ca="1">ROUND(T_Tiktok_ads[[#This Row],[conversions]]*RANDBETWEEN(8,12)/10,0)</f>
        <v>26</v>
      </c>
      <c r="AM12" s="4">
        <f ca="1">ROUND(T_Tiktok_ads[[#This Row],[video_views]]*RANDBETWEEN(8,12)/10,0)</f>
        <v>142101</v>
      </c>
      <c r="AN12" s="4">
        <f ca="1">ROUND(T_Tiktok_ads[[#This Row],[video_watch_25]]*RANDBETWEEN(8,12)/10,0)</f>
        <v>145481</v>
      </c>
      <c r="AO12" s="4">
        <f ca="1">ROUND(T_Tiktok_ads[[#This Row],[video_watch_50]]*RANDBETWEEN(8,12)/10,0)</f>
        <v>76987</v>
      </c>
      <c r="AP12" s="4">
        <f ca="1">ROUND(T_Tiktok_ads[[#This Row],[video_watch_75]]*RANDBETWEEN(8,12)/10,0)</f>
        <v>73481</v>
      </c>
      <c r="AQ12" s="4">
        <f ca="1">ROUND(T_Tiktok_ads[[#This Row],[video_watch_100]]*RANDBETWEEN(8,12)/10,0)</f>
        <v>33710</v>
      </c>
      <c r="AR12" s="4">
        <f ca="1">ROUND(T_Tiktok_ads[[#This Row],[likes]]*RANDBETWEEN(8,12)/10,0)</f>
        <v>5876</v>
      </c>
      <c r="AS12" s="4">
        <f ca="1">ROUND(T_Tiktok_ads[[#This Row],[shares]]*RANDBETWEEN(8,12)/10,0)</f>
        <v>1831</v>
      </c>
      <c r="AT12" s="4">
        <f ca="1">ROUND(T_Tiktok_ads[[#This Row],[comments]]*RANDBETWEEN(8,12)/10,0)</f>
        <v>440</v>
      </c>
      <c r="AV12" s="5">
        <f t="shared" ca="1" si="3"/>
        <v>44963</v>
      </c>
      <c r="AW12">
        <f t="shared" ca="1" si="4"/>
        <v>3</v>
      </c>
      <c r="AX12">
        <f ca="1">ROUND(T_Facebook_Ads1159[[#This Row],[impressions]]*RANDBETWEEN(2,10)/10,0)</f>
        <v>5244</v>
      </c>
      <c r="AY12">
        <f ca="1">ROUND(T_Facebook_Ads1159[[#This Row],[clicks]]*RANDBETWEEN(8,12)/10,0)</f>
        <v>610</v>
      </c>
      <c r="AZ12">
        <f ca="1">T_Facebook_Ads1159[[#This Row],[spend]]*RANDBETWEEN(8,12)/10</f>
        <v>270.15999999999997</v>
      </c>
      <c r="BA12">
        <f ca="1">ROUND(T_Facebook_Ads1159[[#This Row],[conversions]]*RANDBETWEEN(8,12)/10,0)</f>
        <v>60</v>
      </c>
      <c r="BB12">
        <f ca="1">ROUND(T_Facebook_Ads1159[[#This Row],[video_views]]*RANDBETWEEN(8,12)/10,0)</f>
        <v>1552</v>
      </c>
    </row>
    <row r="13" spans="1:54" ht="15.75" thickBot="1" x14ac:dyDescent="0.3">
      <c r="A13" s="3">
        <f t="shared" ca="1" si="0"/>
        <v>44965</v>
      </c>
      <c r="B13" s="4" t="s">
        <v>64</v>
      </c>
      <c r="C13" s="4" t="s">
        <v>65</v>
      </c>
      <c r="D13" s="4" t="s">
        <v>66</v>
      </c>
      <c r="E13" s="4" t="s">
        <v>67</v>
      </c>
      <c r="F13" s="4">
        <f ca="1">ROUND(T_Facebook_Ads[[#This Row],[impressions]]*RANDBETWEEN(8,12)/10,0)</f>
        <v>61101</v>
      </c>
      <c r="G13" s="4">
        <v>234</v>
      </c>
      <c r="H13" s="4">
        <f ca="1">T_Facebook_Ads[[#This Row],[spend]]*RANDBETWEEN(8,12)/10</f>
        <v>89.5</v>
      </c>
      <c r="I13" s="4">
        <f ca="1">ROUND(T_Facebook_Ads[[#This Row],[conversions]]*RANDBETWEEN(8,12)/10,0)</f>
        <v>5</v>
      </c>
      <c r="J13" s="4">
        <f ca="1">ROUND(T_Facebook_Ads[[#This Row],[video_views]]*RANDBETWEEN(8,12)/10,0)</f>
        <v>54814</v>
      </c>
      <c r="K13" s="4">
        <f ca="1">T_Facebook_Ads[[#This Row],[engagement_rate]]*RANDBETWEEN(8,12)/10</f>
        <v>3.7399999999999994E-3</v>
      </c>
      <c r="L13" s="4">
        <f ca="1">ROUND(T_Facebook_Ads[[#This Row],[reach]]*RANDBETWEEN(8,12)/10,0)</f>
        <v>68147</v>
      </c>
      <c r="M13" s="4">
        <f ca="1">T_Facebook_Ads[[#This Row],[frequency]]*RANDBETWEEN(8,12)/10</f>
        <v>0.96</v>
      </c>
      <c r="O13" s="3">
        <f t="shared" ca="1" si="1"/>
        <v>44980</v>
      </c>
      <c r="P13" s="4" t="s">
        <v>88</v>
      </c>
      <c r="Q13" s="4" t="s">
        <v>89</v>
      </c>
      <c r="R13" s="4" t="s">
        <v>90</v>
      </c>
      <c r="S13" s="4" t="s">
        <v>59</v>
      </c>
      <c r="T13" s="4">
        <f ca="1">ROUND(_Google_ads[[#This Row],[impressions]]*RANDBETWEEN(8,12)/10,0)</f>
        <v>121110</v>
      </c>
      <c r="U13" s="4">
        <f ca="1">ROUND(_Google_ads[[#This Row],[clicks]]*RANDBETWEEN(8,12)/10,0)</f>
        <v>391</v>
      </c>
      <c r="V13" s="4">
        <f ca="1">_Google_ads[[#This Row],[cost]]*RANDBETWEEN(8,12)/10</f>
        <v>134.5</v>
      </c>
      <c r="W13" s="4">
        <f ca="1">ROUND(_Google_ads[[#This Row],[conversions]]*RANDBETWEEN(8,12)/10,0)</f>
        <v>17</v>
      </c>
      <c r="X13" s="4">
        <f ca="1">ROUND(_Google_ads[[#This Row],[conversion_value]]*RANDBETWEEN(8,12)/10,0)</f>
        <v>770</v>
      </c>
      <c r="Y13" s="4">
        <f ca="1">_Google_ads[[#This Row],[ctr]]*RANDBETWEEN(8,12)/10</f>
        <v>3.96E-3</v>
      </c>
      <c r="Z13" s="4">
        <f ca="1">_Google_ads[[#This Row],[avg_cpc]]*RANDBETWEEN(8,12)/10</f>
        <v>0.28000000000000003</v>
      </c>
      <c r="AA13" s="4">
        <f ca="1">ROUND(_Google_ads[[#This Row],[quality_score]]*RANDBETWEEN(8,12)/10,0)</f>
        <v>8</v>
      </c>
      <c r="AB13" s="4">
        <f ca="1">_Google_ads[[#This Row],[search_impression_share]]*RANDBETWEEN(8,12)/10</f>
        <v>0.36</v>
      </c>
      <c r="AD13" s="3">
        <f t="shared" ca="1" si="2"/>
        <v>44974</v>
      </c>
      <c r="AE13" s="4" t="s">
        <v>112</v>
      </c>
      <c r="AF13" s="4" t="s">
        <v>113</v>
      </c>
      <c r="AG13" s="4" t="s">
        <v>114</v>
      </c>
      <c r="AH13" s="4" t="s">
        <v>115</v>
      </c>
      <c r="AI13" s="4">
        <f ca="1">ROUND(T_Tiktok_ads[[#This Row],[impressions]]*RANDBETWEEN(8,12)/10,0)</f>
        <v>331101</v>
      </c>
      <c r="AJ13" s="4">
        <f ca="1">ROUND(T_Tiktok_ads[[#This Row],[clicks]]*RANDBETWEEN(8,12)/10,0)</f>
        <v>4810</v>
      </c>
      <c r="AK13" s="4">
        <v>923.4</v>
      </c>
      <c r="AL13" s="4">
        <f ca="1">ROUND(T_Tiktok_ads[[#This Row],[conversions]]*RANDBETWEEN(8,12)/10,0)</f>
        <v>103</v>
      </c>
      <c r="AM13" s="4">
        <f ca="1">ROUND(T_Tiktok_ads[[#This Row],[video_views]]*RANDBETWEEN(8,12)/10,0)</f>
        <v>301234</v>
      </c>
      <c r="AN13" s="4">
        <f ca="1">ROUND(T_Tiktok_ads[[#This Row],[video_watch_25]]*RANDBETWEEN(8,12)/10,0)</f>
        <v>221110</v>
      </c>
      <c r="AO13" s="4">
        <f ca="1">ROUND(T_Tiktok_ads[[#This Row],[video_watch_50]]*RANDBETWEEN(8,12)/10,0)</f>
        <v>216468</v>
      </c>
      <c r="AP13" s="4">
        <f ca="1">ROUND(T_Tiktok_ads[[#This Row],[video_watch_75]]*RANDBETWEEN(8,12)/10,0)</f>
        <v>140234</v>
      </c>
      <c r="AQ13" s="4">
        <f ca="1">ROUND(T_Tiktok_ads[[#This Row],[video_watch_100]]*RANDBETWEEN(8,12)/10,0)</f>
        <v>102802</v>
      </c>
      <c r="AR13" s="4">
        <f ca="1">ROUND(T_Tiktok_ads[[#This Row],[likes]]*RANDBETWEEN(8,12)/10,0)</f>
        <v>17857</v>
      </c>
      <c r="AS13" s="4">
        <f ca="1">ROUND(T_Tiktok_ads[[#This Row],[shares]]*RANDBETWEEN(8,12)/10,0)</f>
        <v>5268</v>
      </c>
      <c r="AT13" s="4">
        <f ca="1">ROUND(T_Tiktok_ads[[#This Row],[comments]]*RANDBETWEEN(8,12)/10,0)</f>
        <v>1160</v>
      </c>
      <c r="AV13" s="5">
        <f t="shared" ca="1" si="3"/>
        <v>44974</v>
      </c>
      <c r="AW13">
        <f t="shared" ca="1" si="4"/>
        <v>5</v>
      </c>
      <c r="AX13">
        <f ca="1">ROUND(T_Facebook_Ads1159[[#This Row],[impressions]]*RANDBETWEEN(2,10)/10,0)</f>
        <v>18330</v>
      </c>
      <c r="AY13">
        <f ca="1">ROUND(T_Facebook_Ads1159[[#This Row],[clicks]]*RANDBETWEEN(8,12)/10,0)</f>
        <v>257</v>
      </c>
      <c r="AZ13">
        <f ca="1">T_Facebook_Ads1159[[#This Row],[spend]]*RANDBETWEEN(8,12)/10</f>
        <v>89.5</v>
      </c>
      <c r="BA13">
        <f ca="1">ROUND(T_Facebook_Ads1159[[#This Row],[conversions]]*RANDBETWEEN(8,12)/10,0)</f>
        <v>6</v>
      </c>
      <c r="BB13">
        <f ca="1">ROUND(T_Facebook_Ads1159[[#This Row],[video_views]]*RANDBETWEEN(8,12)/10,0)</f>
        <v>54814</v>
      </c>
    </row>
    <row r="14" spans="1:54" ht="15.75" thickBot="1" x14ac:dyDescent="0.3">
      <c r="A14" s="3">
        <f t="shared" ca="1" si="0"/>
        <v>44959</v>
      </c>
      <c r="B14" s="4" t="s">
        <v>52</v>
      </c>
      <c r="C14" s="4" t="s">
        <v>53</v>
      </c>
      <c r="D14" s="4" t="s">
        <v>54</v>
      </c>
      <c r="E14" s="4" t="s">
        <v>55</v>
      </c>
      <c r="F14" s="4">
        <f ca="1">ROUND(T_Facebook_Ads[[#This Row],[impressions]]*RANDBETWEEN(8,12)/10,0)</f>
        <v>51468</v>
      </c>
      <c r="G14" s="4">
        <v>934</v>
      </c>
      <c r="H14" s="4">
        <f ca="1">T_Facebook_Ads[[#This Row],[spend]]*RANDBETWEEN(8,12)/10</f>
        <v>118.08</v>
      </c>
      <c r="I14" s="4">
        <f ca="1">ROUND(T_Facebook_Ads[[#This Row],[conversions]]*RANDBETWEEN(8,12)/10,0)</f>
        <v>12</v>
      </c>
      <c r="J14" s="4">
        <f ca="1">ROUND(T_Facebook_Ads[[#This Row],[video_views]]*RANDBETWEEN(8,12)/10,0)</f>
        <v>8567</v>
      </c>
      <c r="K14" s="4">
        <f ca="1">T_Facebook_Ads[[#This Row],[engagement_rate]]*RANDBETWEEN(8,12)/10</f>
        <v>2.4E-2</v>
      </c>
      <c r="L14" s="4">
        <f ca="1">ROUND(T_Facebook_Ads[[#This Row],[reach]]*RANDBETWEEN(8,12)/10,0)</f>
        <v>31387</v>
      </c>
      <c r="M14" s="4">
        <f ca="1">T_Facebook_Ads[[#This Row],[frequency]]*RANDBETWEEN(8,12)/10</f>
        <v>1.071</v>
      </c>
      <c r="O14" s="3">
        <f t="shared" ca="1" si="1"/>
        <v>44977</v>
      </c>
      <c r="P14" s="4" t="s">
        <v>76</v>
      </c>
      <c r="Q14" s="4" t="s">
        <v>77</v>
      </c>
      <c r="R14" s="4" t="s">
        <v>78</v>
      </c>
      <c r="S14" s="4" t="s">
        <v>79</v>
      </c>
      <c r="T14" s="4">
        <f ca="1">ROUND(_Google_ads[[#This Row],[impressions]]*RANDBETWEEN(8,12)/10,0)</f>
        <v>26279</v>
      </c>
      <c r="U14" s="4">
        <f ca="1">ROUND(_Google_ads[[#This Row],[clicks]]*RANDBETWEEN(8,12)/10,0)</f>
        <v>1111</v>
      </c>
      <c r="V14" s="4">
        <f ca="1">_Google_ads[[#This Row],[cost]]*RANDBETWEEN(8,12)/10</f>
        <v>258.39</v>
      </c>
      <c r="W14" s="4">
        <f ca="1">ROUND(_Google_ads[[#This Row],[conversions]]*RANDBETWEEN(8,12)/10,0)</f>
        <v>51</v>
      </c>
      <c r="X14" s="4">
        <f ca="1">ROUND(_Google_ads[[#This Row],[conversion_value]]*RANDBETWEEN(8,12)/10,0)</f>
        <v>2070</v>
      </c>
      <c r="Y14" s="4">
        <f ca="1">_Google_ads[[#This Row],[ctr]]*RANDBETWEEN(8,12)/10</f>
        <v>5.1700000000000003E-2</v>
      </c>
      <c r="Z14" s="4">
        <f ca="1">_Google_ads[[#This Row],[avg_cpc]]*RANDBETWEEN(8,12)/10</f>
        <v>0.152</v>
      </c>
      <c r="AA14" s="4">
        <f ca="1">ROUND(_Google_ads[[#This Row],[quality_score]]*RANDBETWEEN(8,12)/10,0)</f>
        <v>11</v>
      </c>
      <c r="AB14" s="4">
        <f ca="1">_Google_ads[[#This Row],[search_impression_share]]*RANDBETWEEN(8,12)/10</f>
        <v>1.0920000000000001</v>
      </c>
      <c r="AD14" s="3">
        <f t="shared" ca="1" si="2"/>
        <v>44979</v>
      </c>
      <c r="AE14" s="4" t="s">
        <v>100</v>
      </c>
      <c r="AF14" s="4" t="s">
        <v>101</v>
      </c>
      <c r="AG14" s="4" t="s">
        <v>102</v>
      </c>
      <c r="AH14" s="4" t="s">
        <v>103</v>
      </c>
      <c r="AI14" s="4">
        <f ca="1">ROUND(T_Tiktok_ads[[#This Row],[impressions]]*RANDBETWEEN(8,12)/10,0)</f>
        <v>210811</v>
      </c>
      <c r="AJ14" s="4">
        <f ca="1">ROUND(T_Tiktok_ads[[#This Row],[clicks]]*RANDBETWEEN(8,12)/10,0)</f>
        <v>3814</v>
      </c>
      <c r="AK14" s="4">
        <v>460.2</v>
      </c>
      <c r="AL14" s="4">
        <f ca="1">ROUND(T_Tiktok_ads[[#This Row],[conversions]]*RANDBETWEEN(8,12)/10,0)</f>
        <v>39</v>
      </c>
      <c r="AM14" s="4">
        <f ca="1">ROUND(T_Tiktok_ads[[#This Row],[video_views]]*RANDBETWEEN(8,12)/10,0)</f>
        <v>239081</v>
      </c>
      <c r="AN14" s="4">
        <f ca="1">ROUND(T_Tiktok_ads[[#This Row],[video_watch_25]]*RANDBETWEEN(8,12)/10,0)</f>
        <v>188147</v>
      </c>
      <c r="AO14" s="4">
        <f ca="1">ROUND(T_Tiktok_ads[[#This Row],[video_watch_50]]*RANDBETWEEN(8,12)/10,0)</f>
        <v>88910</v>
      </c>
      <c r="AP14" s="4">
        <f ca="1">ROUND(T_Tiktok_ads[[#This Row],[video_watch_75]]*RANDBETWEEN(8,12)/10,0)</f>
        <v>54231</v>
      </c>
      <c r="AQ14" s="4">
        <f ca="1">ROUND(T_Tiktok_ads[[#This Row],[video_watch_100]]*RANDBETWEEN(8,12)/10,0)</f>
        <v>54547</v>
      </c>
      <c r="AR14" s="4">
        <f ca="1">ROUND(T_Tiktok_ads[[#This Row],[likes]]*RANDBETWEEN(8,12)/10,0)</f>
        <v>10734</v>
      </c>
      <c r="AS14" s="4">
        <f ca="1">ROUND(T_Tiktok_ads[[#This Row],[shares]]*RANDBETWEEN(8,12)/10,0)</f>
        <v>2130</v>
      </c>
      <c r="AT14" s="4">
        <f ca="1">ROUND(T_Tiktok_ads[[#This Row],[comments]]*RANDBETWEEN(8,12)/10,0)</f>
        <v>462</v>
      </c>
      <c r="AV14" s="5">
        <f t="shared" ca="1" si="3"/>
        <v>44974</v>
      </c>
      <c r="AW14">
        <f t="shared" ca="1" si="4"/>
        <v>7</v>
      </c>
      <c r="AX14">
        <f ca="1">ROUND(T_Facebook_Ads1159[[#This Row],[impressions]]*RANDBETWEEN(2,10)/10,0)</f>
        <v>51468</v>
      </c>
      <c r="AY14">
        <f ca="1">ROUND(T_Facebook_Ads1159[[#This Row],[clicks]]*RANDBETWEEN(8,12)/10,0)</f>
        <v>841</v>
      </c>
      <c r="AZ14">
        <f ca="1">T_Facebook_Ads1159[[#This Row],[spend]]*RANDBETWEEN(8,12)/10</f>
        <v>141.696</v>
      </c>
      <c r="BA14">
        <f ca="1">ROUND(T_Facebook_Ads1159[[#This Row],[conversions]]*RANDBETWEEN(8,12)/10,0)</f>
        <v>12</v>
      </c>
      <c r="BB14">
        <f ca="1">ROUND(T_Facebook_Ads1159[[#This Row],[video_views]]*RANDBETWEEN(8,12)/10,0)</f>
        <v>6854</v>
      </c>
    </row>
    <row r="15" spans="1:54" ht="15.75" thickBot="1" x14ac:dyDescent="0.3">
      <c r="A15" s="3">
        <f t="shared" ca="1" si="0"/>
        <v>44977</v>
      </c>
      <c r="B15" s="4" t="s">
        <v>56</v>
      </c>
      <c r="C15" s="4" t="s">
        <v>57</v>
      </c>
      <c r="D15" s="4" t="s">
        <v>58</v>
      </c>
      <c r="E15" s="4" t="s">
        <v>59</v>
      </c>
      <c r="F15" s="4">
        <f ca="1">ROUND(T_Facebook_Ads[[#This Row],[impressions]]*RANDBETWEEN(8,12)/10,0)</f>
        <v>15468</v>
      </c>
      <c r="G15" s="4">
        <v>567</v>
      </c>
      <c r="H15" s="4">
        <f ca="1">T_Facebook_Ads[[#This Row],[spend]]*RANDBETWEEN(8,12)/10</f>
        <v>242.33</v>
      </c>
      <c r="I15" s="4">
        <f ca="1">ROUND(T_Facebook_Ads[[#This Row],[conversions]]*RANDBETWEEN(8,12)/10,0)</f>
        <v>32</v>
      </c>
      <c r="J15" s="4">
        <f ca="1">ROUND(T_Facebook_Ads[[#This Row],[video_views]]*RANDBETWEEN(8,12)/10,0)</f>
        <v>1480</v>
      </c>
      <c r="K15" s="4">
        <f ca="1">T_Facebook_Ads[[#This Row],[engagement_rate]]*RANDBETWEEN(8,12)/10</f>
        <v>4.8399999999999999E-2</v>
      </c>
      <c r="L15" s="4">
        <f ca="1">ROUND(T_Facebook_Ads[[#This Row],[reach]]*RANDBETWEEN(8,12)/10,0)</f>
        <v>10123</v>
      </c>
      <c r="M15" s="4">
        <f ca="1">T_Facebook_Ads[[#This Row],[frequency]]*RANDBETWEEN(8,12)/10</f>
        <v>1.397</v>
      </c>
      <c r="O15" s="3">
        <f t="shared" ca="1" si="1"/>
        <v>44970</v>
      </c>
      <c r="P15" s="4" t="s">
        <v>80</v>
      </c>
      <c r="Q15" s="4" t="s">
        <v>81</v>
      </c>
      <c r="R15" s="4" t="s">
        <v>82</v>
      </c>
      <c r="S15" s="4" t="s">
        <v>83</v>
      </c>
      <c r="T15" s="4">
        <f ca="1">ROUND(_Google_ads[[#This Row],[impressions]]*RANDBETWEEN(8,12)/10,0)</f>
        <v>36987</v>
      </c>
      <c r="U15" s="4">
        <f ca="1">ROUND(_Google_ads[[#This Row],[clicks]]*RANDBETWEEN(8,12)/10,0)</f>
        <v>1094</v>
      </c>
      <c r="V15" s="4">
        <f ca="1">_Google_ads[[#This Row],[cost]]*RANDBETWEEN(8,12)/10</f>
        <v>648.2299999999999</v>
      </c>
      <c r="W15" s="4">
        <f ca="1">ROUND(_Google_ads[[#This Row],[conversions]]*RANDBETWEEN(8,12)/10,0)</f>
        <v>29</v>
      </c>
      <c r="X15" s="4">
        <f ca="1">ROUND(_Google_ads[[#This Row],[conversion_value]]*RANDBETWEEN(8,12)/10,0)</f>
        <v>960</v>
      </c>
      <c r="Y15" s="4">
        <f ca="1">_Google_ads[[#This Row],[ctr]]*RANDBETWEEN(8,12)/10</f>
        <v>1.576E-2</v>
      </c>
      <c r="Z15" s="4">
        <f ca="1">_Google_ads[[#This Row],[avg_cpc]]*RANDBETWEEN(8,12)/10</f>
        <v>0.58500000000000008</v>
      </c>
      <c r="AA15" s="4">
        <f ca="1">ROUND(_Google_ads[[#This Row],[quality_score]]*RANDBETWEEN(8,12)/10,0)</f>
        <v>6</v>
      </c>
      <c r="AB15" s="4">
        <f ca="1">_Google_ads[[#This Row],[search_impression_share]]*RANDBETWEEN(8,12)/10</f>
        <v>0.495</v>
      </c>
      <c r="AD15" s="3">
        <f t="shared" ca="1" si="2"/>
        <v>44959</v>
      </c>
      <c r="AE15" s="4" t="s">
        <v>104</v>
      </c>
      <c r="AF15" s="4" t="s">
        <v>105</v>
      </c>
      <c r="AG15" s="4" t="s">
        <v>106</v>
      </c>
      <c r="AH15" s="4" t="s">
        <v>107</v>
      </c>
      <c r="AI15" s="4">
        <f ca="1">ROUND(T_Tiktok_ads[[#This Row],[impressions]]*RANDBETWEEN(8,12)/10,0)</f>
        <v>116011</v>
      </c>
      <c r="AJ15" s="4">
        <f ca="1">ROUND(T_Tiktok_ads[[#This Row],[clicks]]*RANDBETWEEN(8,12)/10,0)</f>
        <v>2210</v>
      </c>
      <c r="AK15" s="4">
        <v>689.5</v>
      </c>
      <c r="AL15" s="4">
        <f ca="1">ROUND(T_Tiktok_ads[[#This Row],[conversions]]*RANDBETWEEN(8,12)/10,0)</f>
        <v>82</v>
      </c>
      <c r="AM15" s="4">
        <f ca="1">ROUND(T_Tiktok_ads[[#This Row],[video_views]]*RANDBETWEEN(8,12)/10,0)</f>
        <v>82111</v>
      </c>
      <c r="AN15" s="4">
        <f ca="1">ROUND(T_Tiktok_ads[[#This Row],[video_watch_25]]*RANDBETWEEN(8,12)/10,0)</f>
        <v>75057</v>
      </c>
      <c r="AO15" s="4">
        <f ca="1">ROUND(T_Tiktok_ads[[#This Row],[video_watch_50]]*RANDBETWEEN(8,12)/10,0)</f>
        <v>50368</v>
      </c>
      <c r="AP15" s="4">
        <f ca="1">ROUND(T_Tiktok_ads[[#This Row],[video_watch_75]]*RANDBETWEEN(8,12)/10,0)</f>
        <v>38024</v>
      </c>
      <c r="AQ15" s="4">
        <f ca="1">ROUND(T_Tiktok_ads[[#This Row],[video_watch_100]]*RANDBETWEEN(8,12)/10,0)</f>
        <v>18942</v>
      </c>
      <c r="AR15" s="4">
        <f ca="1">ROUND(T_Tiktok_ads[[#This Row],[likes]]*RANDBETWEEN(8,12)/10,0)</f>
        <v>5614</v>
      </c>
      <c r="AS15" s="4">
        <f ca="1">ROUND(T_Tiktok_ads[[#This Row],[shares]]*RANDBETWEEN(8,12)/10,0)</f>
        <v>1267</v>
      </c>
      <c r="AT15" s="4">
        <f ca="1">ROUND(T_Tiktok_ads[[#This Row],[comments]]*RANDBETWEEN(8,12)/10,0)</f>
        <v>213</v>
      </c>
      <c r="AV15" s="5">
        <f t="shared" ca="1" si="3"/>
        <v>44975</v>
      </c>
      <c r="AW15">
        <f t="shared" ca="1" si="4"/>
        <v>4</v>
      </c>
      <c r="AX15">
        <f ca="1">ROUND(T_Facebook_Ads1159[[#This Row],[impressions]]*RANDBETWEEN(2,10)/10,0)</f>
        <v>3094</v>
      </c>
      <c r="AY15">
        <f ca="1">ROUND(T_Facebook_Ads1159[[#This Row],[clicks]]*RANDBETWEEN(8,12)/10,0)</f>
        <v>567</v>
      </c>
      <c r="AZ15">
        <f ca="1">T_Facebook_Ads1159[[#This Row],[spend]]*RANDBETWEEN(8,12)/10</f>
        <v>193.864</v>
      </c>
      <c r="BA15">
        <f ca="1">ROUND(T_Facebook_Ads1159[[#This Row],[conversions]]*RANDBETWEEN(8,12)/10,0)</f>
        <v>35</v>
      </c>
      <c r="BB15">
        <f ca="1">ROUND(T_Facebook_Ads1159[[#This Row],[video_views]]*RANDBETWEEN(8,12)/10,0)</f>
        <v>1776</v>
      </c>
    </row>
    <row r="16" spans="1:54" ht="15.75" thickBot="1" x14ac:dyDescent="0.3">
      <c r="A16" s="3">
        <f t="shared" ca="1" si="0"/>
        <v>44970</v>
      </c>
      <c r="B16" s="4" t="s">
        <v>64</v>
      </c>
      <c r="C16" s="4" t="s">
        <v>65</v>
      </c>
      <c r="D16" s="4" t="s">
        <v>66</v>
      </c>
      <c r="E16" s="4" t="s">
        <v>67</v>
      </c>
      <c r="F16" s="4">
        <f ca="1">ROUND(T_Facebook_Ads[[#This Row],[impressions]]*RANDBETWEEN(8,12)/10,0)</f>
        <v>64111</v>
      </c>
      <c r="G16" s="4">
        <v>256</v>
      </c>
      <c r="H16" s="4">
        <f ca="1">T_Facebook_Ads[[#This Row],[spend]]*RANDBETWEEN(8,12)/10</f>
        <v>85.32</v>
      </c>
      <c r="I16" s="4">
        <f ca="1">ROUND(T_Facebook_Ads[[#This Row],[conversions]]*RANDBETWEEN(8,12)/10,0)</f>
        <v>6</v>
      </c>
      <c r="J16" s="4">
        <f ca="1">ROUND(T_Facebook_Ads[[#This Row],[video_views]]*RANDBETWEEN(8,12)/10,0)</f>
        <v>53791</v>
      </c>
      <c r="K16" s="4">
        <f ca="1">T_Facebook_Ads[[#This Row],[engagement_rate]]*RANDBETWEEN(8,12)/10</f>
        <v>2.8799999999999997E-3</v>
      </c>
      <c r="L16" s="4">
        <f ca="1">ROUND(T_Facebook_Ads[[#This Row],[reach]]*RANDBETWEEN(8,12)/10,0)</f>
        <v>65157</v>
      </c>
      <c r="M16" s="4">
        <f ca="1">T_Facebook_Ads[[#This Row],[frequency]]*RANDBETWEEN(8,12)/10</f>
        <v>1.44</v>
      </c>
      <c r="O16" s="3">
        <f t="shared" ca="1" si="1"/>
        <v>44964</v>
      </c>
      <c r="P16" s="4" t="s">
        <v>88</v>
      </c>
      <c r="Q16" s="4" t="s">
        <v>89</v>
      </c>
      <c r="R16" s="4" t="s">
        <v>90</v>
      </c>
      <c r="S16" s="4" t="s">
        <v>59</v>
      </c>
      <c r="T16" s="4">
        <f ca="1">ROUND(_Google_ads[[#This Row],[impressions]]*RANDBETWEEN(8,12)/10,0)</f>
        <v>116011</v>
      </c>
      <c r="U16" s="4">
        <f ca="1">ROUND(_Google_ads[[#This Row],[clicks]]*RANDBETWEEN(8,12)/10,0)</f>
        <v>420</v>
      </c>
      <c r="V16" s="4">
        <f ca="1">_Google_ads[[#This Row],[cost]]*RANDBETWEEN(8,12)/10</f>
        <v>154.68</v>
      </c>
      <c r="W16" s="4">
        <f ca="1">ROUND(_Google_ads[[#This Row],[conversions]]*RANDBETWEEN(8,12)/10,0)</f>
        <v>13</v>
      </c>
      <c r="X16" s="4">
        <f ca="1">ROUND(_Google_ads[[#This Row],[conversion_value]]*RANDBETWEEN(8,12)/10,0)</f>
        <v>520</v>
      </c>
      <c r="Y16" s="4">
        <f ca="1">_Google_ads[[#This Row],[ctr]]*RANDBETWEEN(8,12)/10</f>
        <v>3.96E-3</v>
      </c>
      <c r="Z16" s="4">
        <f ca="1">_Google_ads[[#This Row],[avg_cpc]]*RANDBETWEEN(8,12)/10</f>
        <v>0.308</v>
      </c>
      <c r="AA16" s="4">
        <f ca="1">ROUND(_Google_ads[[#This Row],[quality_score]]*RANDBETWEEN(8,12)/10,0)</f>
        <v>6</v>
      </c>
      <c r="AB16" s="4">
        <f ca="1">_Google_ads[[#This Row],[search_impression_share]]*RANDBETWEEN(8,12)/10</f>
        <v>0.27200000000000002</v>
      </c>
      <c r="AD16" s="3">
        <f t="shared" ca="1" si="2"/>
        <v>44983</v>
      </c>
      <c r="AE16" s="4" t="s">
        <v>112</v>
      </c>
      <c r="AF16" s="4" t="s">
        <v>113</v>
      </c>
      <c r="AG16" s="4" t="s">
        <v>114</v>
      </c>
      <c r="AH16" s="4" t="s">
        <v>115</v>
      </c>
      <c r="AI16" s="4">
        <f ca="1">ROUND(T_Tiktok_ads[[#This Row],[impressions]]*RANDBETWEEN(8,12)/10,0)</f>
        <v>321110</v>
      </c>
      <c r="AJ16" s="4">
        <f ca="1">ROUND(T_Tiktok_ads[[#This Row],[clicks]]*RANDBETWEEN(8,12)/10,0)</f>
        <v>6417</v>
      </c>
      <c r="AK16" s="4">
        <v>901.2</v>
      </c>
      <c r="AL16" s="4">
        <f ca="1">ROUND(T_Tiktok_ads[[#This Row],[conversions]]*RANDBETWEEN(8,12)/10,0)</f>
        <v>73</v>
      </c>
      <c r="AM16" s="4">
        <f ca="1">ROUND(T_Tiktok_ads[[#This Row],[video_views]]*RANDBETWEEN(8,12)/10,0)</f>
        <v>352147</v>
      </c>
      <c r="AN16" s="4">
        <f ca="1">ROUND(T_Tiktok_ads[[#This Row],[video_watch_25]]*RANDBETWEEN(8,12)/10,0)</f>
        <v>191387</v>
      </c>
      <c r="AO16" s="4">
        <f ca="1">ROUND(T_Tiktok_ads[[#This Row],[video_watch_50]]*RANDBETWEEN(8,12)/10,0)</f>
        <v>210357</v>
      </c>
      <c r="AP16" s="4">
        <f ca="1">ROUND(T_Tiktok_ads[[#This Row],[video_watch_75]]*RANDBETWEEN(8,12)/10,0)</f>
        <v>108987</v>
      </c>
      <c r="AQ16" s="4">
        <f ca="1">ROUND(T_Tiktok_ads[[#This Row],[video_watch_100]]*RANDBETWEEN(8,12)/10,0)</f>
        <v>99257</v>
      </c>
      <c r="AR16" s="4">
        <f ca="1">ROUND(T_Tiktok_ads[[#This Row],[likes]]*RANDBETWEEN(8,12)/10,0)</f>
        <v>17479</v>
      </c>
      <c r="AS16" s="4">
        <f ca="1">ROUND(T_Tiktok_ads[[#This Row],[shares]]*RANDBETWEEN(8,12)/10,0)</f>
        <v>4171</v>
      </c>
      <c r="AT16" s="4">
        <f ca="1">ROUND(T_Tiktok_ads[[#This Row],[comments]]*RANDBETWEEN(8,12)/10,0)</f>
        <v>1507</v>
      </c>
      <c r="AV16" s="5">
        <f t="shared" ca="1" si="3"/>
        <v>44960</v>
      </c>
      <c r="AW16">
        <f t="shared" ca="1" si="4"/>
        <v>5</v>
      </c>
      <c r="AX16">
        <f ca="1">ROUND(T_Facebook_Ads1159[[#This Row],[impressions]]*RANDBETWEEN(2,10)/10,0)</f>
        <v>51289</v>
      </c>
      <c r="AY16">
        <f ca="1">ROUND(T_Facebook_Ads1159[[#This Row],[clicks]]*RANDBETWEEN(8,12)/10,0)</f>
        <v>256</v>
      </c>
      <c r="AZ16">
        <f ca="1">T_Facebook_Ads1159[[#This Row],[spend]]*RANDBETWEEN(8,12)/10</f>
        <v>102.38399999999999</v>
      </c>
      <c r="BA16">
        <f ca="1">ROUND(T_Facebook_Ads1159[[#This Row],[conversions]]*RANDBETWEEN(8,12)/10,0)</f>
        <v>5</v>
      </c>
      <c r="BB16">
        <f ca="1">ROUND(T_Facebook_Ads1159[[#This Row],[video_views]]*RANDBETWEEN(8,12)/10,0)</f>
        <v>48412</v>
      </c>
    </row>
    <row r="17" spans="1:54" ht="15.75" thickBot="1" x14ac:dyDescent="0.3">
      <c r="A17" s="3">
        <f t="shared" ca="1" si="0"/>
        <v>44959</v>
      </c>
      <c r="B17" s="4" t="s">
        <v>52</v>
      </c>
      <c r="C17" s="4" t="s">
        <v>53</v>
      </c>
      <c r="D17" s="4" t="s">
        <v>54</v>
      </c>
      <c r="E17" s="4" t="s">
        <v>55</v>
      </c>
      <c r="F17" s="4">
        <f ca="1">ROUND(T_Facebook_Ads[[#This Row],[impressions]]*RANDBETWEEN(8,12)/10,0)</f>
        <v>53480</v>
      </c>
      <c r="G17" s="4">
        <v>878</v>
      </c>
      <c r="H17" s="4">
        <f ca="1">T_Facebook_Ads[[#This Row],[spend]]*RANDBETWEEN(8,12)/10</f>
        <v>113.03999999999999</v>
      </c>
      <c r="I17" s="4">
        <f ca="1">ROUND(T_Facebook_Ads[[#This Row],[conversions]]*RANDBETWEEN(8,12)/10,0)</f>
        <v>9</v>
      </c>
      <c r="J17" s="4">
        <f ca="1">ROUND(T_Facebook_Ads[[#This Row],[video_views]]*RANDBETWEEN(8,12)/10,0)</f>
        <v>8123</v>
      </c>
      <c r="K17" s="4">
        <f ca="1">T_Facebook_Ads[[#This Row],[engagement_rate]]*RANDBETWEEN(8,12)/10</f>
        <v>2.1669999999999998E-2</v>
      </c>
      <c r="L17" s="4">
        <f ca="1">ROUND(T_Facebook_Ads[[#This Row],[reach]]*RANDBETWEEN(8,12)/10,0)</f>
        <v>29965</v>
      </c>
      <c r="M17" s="4">
        <f ca="1">T_Facebook_Ads[[#This Row],[frequency]]*RANDBETWEEN(8,12)/10</f>
        <v>1.3089999999999999</v>
      </c>
      <c r="O17" s="3">
        <f t="shared" ca="1" si="1"/>
        <v>44963</v>
      </c>
      <c r="P17" s="4" t="s">
        <v>76</v>
      </c>
      <c r="Q17" s="4" t="s">
        <v>77</v>
      </c>
      <c r="R17" s="4" t="s">
        <v>78</v>
      </c>
      <c r="S17" s="4" t="s">
        <v>79</v>
      </c>
      <c r="T17" s="4">
        <f ca="1">ROUND(_Google_ads[[#This Row],[impressions]]*RANDBETWEEN(8,12)/10,0)</f>
        <v>21811</v>
      </c>
      <c r="U17" s="4">
        <f ca="1">ROUND(_Google_ads[[#This Row],[clicks]]*RANDBETWEEN(8,12)/10,0)</f>
        <v>1267</v>
      </c>
      <c r="V17" s="4">
        <f ca="1">_Google_ads[[#This Row],[cost]]*RANDBETWEEN(8,12)/10</f>
        <v>217.07999999999998</v>
      </c>
      <c r="W17" s="4">
        <f ca="1">ROUND(_Google_ads[[#This Row],[conversions]]*RANDBETWEEN(8,12)/10,0)</f>
        <v>42</v>
      </c>
      <c r="X17" s="4">
        <f ca="1">ROUND(_Google_ads[[#This Row],[conversion_value]]*RANDBETWEEN(8,12)/10,0)</f>
        <v>2350</v>
      </c>
      <c r="Y17" s="4">
        <f ca="1">_Google_ads[[#This Row],[ctr]]*RANDBETWEEN(8,12)/10</f>
        <v>5.7530000000000005E-2</v>
      </c>
      <c r="Z17" s="4">
        <f ca="1">_Google_ads[[#This Row],[avg_cpc]]*RANDBETWEEN(8,12)/10</f>
        <v>0.152</v>
      </c>
      <c r="AA17" s="4">
        <f ca="1">ROUND(_Google_ads[[#This Row],[quality_score]]*RANDBETWEEN(8,12)/10,0)</f>
        <v>11</v>
      </c>
      <c r="AB17" s="4">
        <f ca="1">_Google_ads[[#This Row],[search_impression_share]]*RANDBETWEEN(8,12)/10</f>
        <v>1.012</v>
      </c>
      <c r="AD17" s="3">
        <f t="shared" ca="1" si="2"/>
        <v>44983</v>
      </c>
      <c r="AE17" s="4" t="s">
        <v>100</v>
      </c>
      <c r="AF17" s="4" t="s">
        <v>101</v>
      </c>
      <c r="AG17" s="4" t="s">
        <v>102</v>
      </c>
      <c r="AH17" s="4" t="s">
        <v>103</v>
      </c>
      <c r="AI17" s="4">
        <f ca="1">ROUND(T_Tiktok_ads[[#This Row],[impressions]]*RANDBETWEEN(8,12)/10,0)</f>
        <v>214312</v>
      </c>
      <c r="AJ17" s="4">
        <f ca="1">ROUND(T_Tiktok_ads[[#This Row],[clicks]]*RANDBETWEEN(8,12)/10,0)</f>
        <v>4340</v>
      </c>
      <c r="AK17" s="4">
        <v>523.4</v>
      </c>
      <c r="AL17" s="4">
        <f ca="1">ROUND(T_Tiktok_ads[[#This Row],[conversions]]*RANDBETWEEN(8,12)/10,0)</f>
        <v>40</v>
      </c>
      <c r="AM17" s="4">
        <f ca="1">ROUND(T_Tiktok_ads[[#This Row],[video_views]]*RANDBETWEEN(8,12)/10,0)</f>
        <v>243357</v>
      </c>
      <c r="AN17" s="4">
        <f ca="1">ROUND(T_Tiktok_ads[[#This Row],[video_watch_25]]*RANDBETWEEN(8,12)/10,0)</f>
        <v>208147</v>
      </c>
      <c r="AO17" s="4">
        <f ca="1">ROUND(T_Tiktok_ads[[#This Row],[video_watch_50]]*RANDBETWEEN(8,12)/10,0)</f>
        <v>87387</v>
      </c>
      <c r="AP17" s="4">
        <f ca="1">ROUND(T_Tiktok_ads[[#This Row],[video_watch_75]]*RANDBETWEEN(8,12)/10,0)</f>
        <v>73567</v>
      </c>
      <c r="AQ17" s="4">
        <f ca="1">ROUND(T_Tiktok_ads[[#This Row],[video_watch_100]]*RANDBETWEEN(8,12)/10,0)</f>
        <v>39387</v>
      </c>
      <c r="AR17" s="4">
        <f ca="1">ROUND(T_Tiktok_ads[[#This Row],[likes]]*RANDBETWEEN(8,12)/10,0)</f>
        <v>11747</v>
      </c>
      <c r="AS17" s="4">
        <f ca="1">ROUND(T_Tiktok_ads[[#This Row],[shares]]*RANDBETWEEN(8,12)/10,0)</f>
        <v>2897</v>
      </c>
      <c r="AT17" s="4">
        <f ca="1">ROUND(T_Tiktok_ads[[#This Row],[comments]]*RANDBETWEEN(8,12)/10,0)</f>
        <v>748</v>
      </c>
      <c r="AV17" s="5">
        <f t="shared" ca="1" si="3"/>
        <v>44969</v>
      </c>
      <c r="AW17">
        <f t="shared" ca="1" si="4"/>
        <v>5</v>
      </c>
      <c r="AX17">
        <f ca="1">ROUND(T_Facebook_Ads1159[[#This Row],[impressions]]*RANDBETWEEN(2,10)/10,0)</f>
        <v>53480</v>
      </c>
      <c r="AY17">
        <f ca="1">ROUND(T_Facebook_Ads1159[[#This Row],[clicks]]*RANDBETWEEN(8,12)/10,0)</f>
        <v>878</v>
      </c>
      <c r="AZ17">
        <f ca="1">T_Facebook_Ads1159[[#This Row],[spend]]*RANDBETWEEN(8,12)/10</f>
        <v>101.73599999999999</v>
      </c>
      <c r="BA17">
        <f ca="1">ROUND(T_Facebook_Ads1159[[#This Row],[conversions]]*RANDBETWEEN(8,12)/10,0)</f>
        <v>7</v>
      </c>
      <c r="BB17">
        <f ca="1">ROUND(T_Facebook_Ads1159[[#This Row],[video_views]]*RANDBETWEEN(8,12)/10,0)</f>
        <v>9748</v>
      </c>
    </row>
    <row r="18" spans="1:54" ht="15.75" thickBot="1" x14ac:dyDescent="0.3">
      <c r="A18" s="3">
        <f t="shared" ca="1" si="0"/>
        <v>44979</v>
      </c>
      <c r="B18" s="4" t="s">
        <v>60</v>
      </c>
      <c r="C18" s="4" t="s">
        <v>61</v>
      </c>
      <c r="D18" s="4" t="s">
        <v>62</v>
      </c>
      <c r="E18" s="4" t="s">
        <v>63</v>
      </c>
      <c r="F18" s="4">
        <f ca="1">ROUND(T_Facebook_Ads[[#This Row],[impressions]]*RANDBETWEEN(8,12)/10,0)</f>
        <v>35678</v>
      </c>
      <c r="G18" s="4">
        <v>1289</v>
      </c>
      <c r="H18" s="4">
        <f ca="1">T_Facebook_Ads[[#This Row],[spend]]*RANDBETWEEN(8,12)/10</f>
        <v>195.6</v>
      </c>
      <c r="I18" s="4">
        <f ca="1">ROUND(T_Facebook_Ads[[#This Row],[conversions]]*RANDBETWEEN(8,12)/10,0)</f>
        <v>26</v>
      </c>
      <c r="J18" s="4">
        <f ca="1">ROUND(T_Facebook_Ads[[#This Row],[video_views]]*RANDBETWEEN(8,12)/10,0)</f>
        <v>4210</v>
      </c>
      <c r="K18" s="4">
        <f ca="1">T_Facebook_Ads[[#This Row],[engagement_rate]]*RANDBETWEEN(8,12)/10</f>
        <v>3.2490000000000005E-2</v>
      </c>
      <c r="L18" s="4">
        <f ca="1">ROUND(T_Facebook_Ads[[#This Row],[reach]]*RANDBETWEEN(8,12)/10,0)</f>
        <v>26411</v>
      </c>
      <c r="M18" s="4">
        <f ca="1">T_Facebook_Ads[[#This Row],[frequency]]*RANDBETWEEN(8,12)/10</f>
        <v>1.22</v>
      </c>
      <c r="O18" s="3">
        <f t="shared" ca="1" si="1"/>
        <v>44974</v>
      </c>
      <c r="P18" s="4" t="s">
        <v>84</v>
      </c>
      <c r="Q18" s="4" t="s">
        <v>85</v>
      </c>
      <c r="R18" s="4" t="s">
        <v>86</v>
      </c>
      <c r="S18" s="4" t="s">
        <v>87</v>
      </c>
      <c r="T18" s="4">
        <f ca="1">ROUND(_Google_ads[[#This Row],[impressions]]*RANDBETWEEN(8,12)/10,0)</f>
        <v>65111</v>
      </c>
      <c r="U18" s="4">
        <f ca="1">ROUND(_Google_ads[[#This Row],[clicks]]*RANDBETWEEN(8,12)/10,0)</f>
        <v>2854</v>
      </c>
      <c r="V18" s="4">
        <f ca="1">_Google_ads[[#This Row],[cost]]*RANDBETWEEN(8,12)/10</f>
        <v>346.32</v>
      </c>
      <c r="W18" s="4">
        <f ca="1">ROUND(_Google_ads[[#This Row],[conversions]]*RANDBETWEEN(8,12)/10,0)</f>
        <v>83</v>
      </c>
      <c r="X18" s="4">
        <f ca="1">ROUND(_Google_ads[[#This Row],[conversion_value]]*RANDBETWEEN(8,12)/10,0)</f>
        <v>3450</v>
      </c>
      <c r="Y18" s="4">
        <f ca="1">_Google_ads[[#This Row],[ctr]]*RANDBETWEEN(8,12)/10</f>
        <v>3.2899999999999999E-2</v>
      </c>
      <c r="Z18" s="4">
        <f ca="1">_Google_ads[[#This Row],[avg_cpc]]*RANDBETWEEN(8,12)/10</f>
        <v>0.21600000000000003</v>
      </c>
      <c r="AA18" s="4">
        <f ca="1">ROUND(_Google_ads[[#This Row],[quality_score]]*RANDBETWEEN(8,12)/10,0)</f>
        <v>7</v>
      </c>
      <c r="AB18" s="4">
        <f ca="1">_Google_ads[[#This Row],[search_impression_share]]*RANDBETWEEN(8,12)/10</f>
        <v>0.60299999999999998</v>
      </c>
      <c r="AD18" s="3">
        <f t="shared" ca="1" si="2"/>
        <v>44968</v>
      </c>
      <c r="AE18" s="4" t="s">
        <v>108</v>
      </c>
      <c r="AF18" s="4" t="s">
        <v>109</v>
      </c>
      <c r="AG18" s="4" t="s">
        <v>110</v>
      </c>
      <c r="AH18" s="4" t="s">
        <v>111</v>
      </c>
      <c r="AI18" s="4">
        <f ca="1">ROUND(T_Tiktok_ads[[#This Row],[impressions]]*RANDBETWEEN(8,12)/10,0)</f>
        <v>226246</v>
      </c>
      <c r="AJ18" s="4">
        <f ca="1">ROUND(T_Tiktok_ads[[#This Row],[clicks]]*RANDBETWEEN(8,12)/10,0)</f>
        <v>2911</v>
      </c>
      <c r="AK18" s="4">
        <v>387.8</v>
      </c>
      <c r="AL18" s="4">
        <f ca="1">ROUND(T_Tiktok_ads[[#This Row],[conversions]]*RANDBETWEEN(8,12)/10,0)</f>
        <v>27</v>
      </c>
      <c r="AM18" s="4">
        <f ca="1">ROUND(T_Tiktok_ads[[#This Row],[video_views]]*RANDBETWEEN(8,12)/10,0)</f>
        <v>178580</v>
      </c>
      <c r="AN18" s="4">
        <f ca="1">ROUND(T_Tiktok_ads[[#This Row],[video_watch_25]]*RANDBETWEEN(8,12)/10,0)</f>
        <v>137024</v>
      </c>
      <c r="AO18" s="4">
        <f ca="1">ROUND(T_Tiktok_ads[[#This Row],[video_watch_50]]*RANDBETWEEN(8,12)/10,0)</f>
        <v>118681</v>
      </c>
      <c r="AP18" s="4">
        <f ca="1">ROUND(T_Tiktok_ads[[#This Row],[video_watch_75]]*RANDBETWEEN(8,12)/10,0)</f>
        <v>75881</v>
      </c>
      <c r="AQ18" s="4">
        <f ca="1">ROUND(T_Tiktok_ads[[#This Row],[video_watch_100]]*RANDBETWEEN(8,12)/10,0)</f>
        <v>38234</v>
      </c>
      <c r="AR18" s="4">
        <f ca="1">ROUND(T_Tiktok_ads[[#This Row],[likes]]*RANDBETWEEN(8,12)/10,0)</f>
        <v>9080</v>
      </c>
      <c r="AS18" s="4">
        <f ca="1">ROUND(T_Tiktok_ads[[#This Row],[shares]]*RANDBETWEEN(8,12)/10,0)</f>
        <v>1880</v>
      </c>
      <c r="AT18" s="4">
        <f ca="1">ROUND(T_Tiktok_ads[[#This Row],[comments]]*RANDBETWEEN(8,12)/10,0)</f>
        <v>601</v>
      </c>
      <c r="AV18" s="5">
        <f t="shared" ca="1" si="3"/>
        <v>44985</v>
      </c>
      <c r="AW18">
        <f t="shared" ca="1" si="4"/>
        <v>5</v>
      </c>
      <c r="AX18">
        <f ca="1">ROUND(T_Facebook_Ads1159[[#This Row],[impressions]]*RANDBETWEEN(2,10)/10,0)</f>
        <v>7136</v>
      </c>
      <c r="AY18">
        <f ca="1">ROUND(T_Facebook_Ads1159[[#This Row],[clicks]]*RANDBETWEEN(8,12)/10,0)</f>
        <v>1031</v>
      </c>
      <c r="AZ18">
        <f ca="1">T_Facebook_Ads1159[[#This Row],[spend]]*RANDBETWEEN(8,12)/10</f>
        <v>156.47999999999999</v>
      </c>
      <c r="BA18">
        <f ca="1">ROUND(T_Facebook_Ads1159[[#This Row],[conversions]]*RANDBETWEEN(8,12)/10,0)</f>
        <v>29</v>
      </c>
      <c r="BB18">
        <f ca="1">ROUND(T_Facebook_Ads1159[[#This Row],[video_views]]*RANDBETWEEN(8,12)/10,0)</f>
        <v>4210</v>
      </c>
    </row>
    <row r="19" spans="1:54" ht="15.75" thickBot="1" x14ac:dyDescent="0.3">
      <c r="A19" s="3">
        <f t="shared" ca="1" si="0"/>
        <v>44967</v>
      </c>
      <c r="B19" s="4" t="s">
        <v>64</v>
      </c>
      <c r="C19" s="4" t="s">
        <v>65</v>
      </c>
      <c r="D19" s="4" t="s">
        <v>66</v>
      </c>
      <c r="E19" s="4" t="s">
        <v>67</v>
      </c>
      <c r="F19" s="4">
        <f ca="1">ROUND(T_Facebook_Ads[[#This Row],[impressions]]*RANDBETWEEN(8,12)/10,0)</f>
        <v>83347</v>
      </c>
      <c r="G19" s="4">
        <v>245</v>
      </c>
      <c r="H19" s="4">
        <f ca="1">T_Facebook_Ads[[#This Row],[spend]]*RANDBETWEEN(8,12)/10</f>
        <v>91.2</v>
      </c>
      <c r="I19" s="4">
        <f ca="1">ROUND(T_Facebook_Ads[[#This Row],[conversions]]*RANDBETWEEN(8,12)/10,0)</f>
        <v>5</v>
      </c>
      <c r="J19" s="4">
        <f ca="1">ROUND(T_Facebook_Ads[[#This Row],[video_views]]*RANDBETWEEN(8,12)/10,0)</f>
        <v>51957</v>
      </c>
      <c r="K19" s="4">
        <f ca="1">T_Facebook_Ads[[#This Row],[engagement_rate]]*RANDBETWEEN(8,12)/10</f>
        <v>3.15E-3</v>
      </c>
      <c r="L19" s="4">
        <f ca="1">ROUND(T_Facebook_Ads[[#This Row],[reach]]*RANDBETWEEN(8,12)/10,0)</f>
        <v>69468</v>
      </c>
      <c r="M19" s="4">
        <f ca="1">T_Facebook_Ads[[#This Row],[frequency]]*RANDBETWEEN(8,12)/10</f>
        <v>1.3199999999999998</v>
      </c>
      <c r="O19" s="3">
        <f t="shared" ca="1" si="1"/>
        <v>44973</v>
      </c>
      <c r="P19" s="4" t="s">
        <v>88</v>
      </c>
      <c r="Q19" s="4" t="s">
        <v>89</v>
      </c>
      <c r="R19" s="4" t="s">
        <v>90</v>
      </c>
      <c r="S19" s="4" t="s">
        <v>59</v>
      </c>
      <c r="T19" s="4">
        <f ca="1">ROUND(_Google_ads[[#This Row],[impressions]]*RANDBETWEEN(8,12)/10,0)</f>
        <v>131234</v>
      </c>
      <c r="U19" s="4">
        <f ca="1">ROUND(_Google_ads[[#This Row],[clicks]]*RANDBETWEEN(8,12)/10,0)</f>
        <v>478</v>
      </c>
      <c r="V19" s="4">
        <f ca="1">_Google_ads[[#This Row],[cost]]*RANDBETWEEN(8,12)/10</f>
        <v>158.88000000000002</v>
      </c>
      <c r="W19" s="4">
        <f ca="1">ROUND(_Google_ads[[#This Row],[conversions]]*RANDBETWEEN(8,12)/10,0)</f>
        <v>16</v>
      </c>
      <c r="X19" s="4">
        <f ca="1">ROUND(_Google_ads[[#This Row],[conversion_value]]*RANDBETWEEN(8,12)/10,0)</f>
        <v>780</v>
      </c>
      <c r="Y19" s="4">
        <f ca="1">_Google_ads[[#This Row],[ctr]]*RANDBETWEEN(8,12)/10</f>
        <v>3.2399999999999998E-3</v>
      </c>
      <c r="Z19" s="4">
        <f ca="1">_Google_ads[[#This Row],[avg_cpc]]*RANDBETWEEN(8,12)/10</f>
        <v>0.308</v>
      </c>
      <c r="AA19" s="4">
        <f ca="1">ROUND(_Google_ads[[#This Row],[quality_score]]*RANDBETWEEN(8,12)/10,0)</f>
        <v>6</v>
      </c>
      <c r="AB19" s="4">
        <f ca="1">_Google_ads[[#This Row],[search_impression_share]]*RANDBETWEEN(8,12)/10</f>
        <v>0.38499999999999995</v>
      </c>
      <c r="AD19" s="3">
        <f t="shared" ca="1" si="2"/>
        <v>44965</v>
      </c>
      <c r="AE19" s="4" t="s">
        <v>112</v>
      </c>
      <c r="AF19" s="4" t="s">
        <v>113</v>
      </c>
      <c r="AG19" s="4" t="s">
        <v>114</v>
      </c>
      <c r="AH19" s="4" t="s">
        <v>115</v>
      </c>
      <c r="AI19" s="4">
        <f ca="1">ROUND(T_Tiktok_ads[[#This Row],[impressions]]*RANDBETWEEN(8,12)/10,0)</f>
        <v>416791</v>
      </c>
      <c r="AJ19" s="4">
        <f ca="1">ROUND(T_Tiktok_ads[[#This Row],[clicks]]*RANDBETWEEN(8,12)/10,0)</f>
        <v>6123</v>
      </c>
      <c r="AK19" s="4">
        <v>945.6</v>
      </c>
      <c r="AL19" s="4">
        <f ca="1">ROUND(T_Tiktok_ads[[#This Row],[conversions]]*RANDBETWEEN(8,12)/10,0)</f>
        <v>77</v>
      </c>
      <c r="AM19" s="4">
        <f ca="1">ROUND(T_Tiktok_ads[[#This Row],[video_views]]*RANDBETWEEN(8,12)/10,0)</f>
        <v>343580</v>
      </c>
      <c r="AN19" s="4">
        <f ca="1">ROUND(T_Tiktok_ads[[#This Row],[video_watch_25]]*RANDBETWEEN(8,12)/10,0)</f>
        <v>301481</v>
      </c>
      <c r="AO19" s="4">
        <f ca="1">ROUND(T_Tiktok_ads[[#This Row],[video_watch_50]]*RANDBETWEEN(8,12)/10,0)</f>
        <v>181111</v>
      </c>
      <c r="AP19" s="4">
        <f ca="1">ROUND(T_Tiktok_ads[[#This Row],[video_watch_75]]*RANDBETWEEN(8,12)/10,0)</f>
        <v>157802</v>
      </c>
      <c r="AQ19" s="4">
        <f ca="1">ROUND(T_Tiktok_ads[[#This Row],[video_watch_100]]*RANDBETWEEN(8,12)/10,0)</f>
        <v>95234</v>
      </c>
      <c r="AR19" s="4">
        <f ca="1">ROUND(T_Tiktok_ads[[#This Row],[likes]]*RANDBETWEEN(8,12)/10,0)</f>
        <v>19880</v>
      </c>
      <c r="AS19" s="4">
        <f ca="1">ROUND(T_Tiktok_ads[[#This Row],[shares]]*RANDBETWEEN(8,12)/10,0)</f>
        <v>4823</v>
      </c>
      <c r="AT19" s="4">
        <f ca="1">ROUND(T_Tiktok_ads[[#This Row],[comments]]*RANDBETWEEN(8,12)/10,0)</f>
        <v>1181</v>
      </c>
      <c r="AV19" s="5">
        <f t="shared" ca="1" si="3"/>
        <v>44963</v>
      </c>
      <c r="AW19">
        <f t="shared" ca="1" si="4"/>
        <v>7</v>
      </c>
      <c r="AX19">
        <f ca="1">ROUND(T_Facebook_Ads1159[[#This Row],[impressions]]*RANDBETWEEN(2,10)/10,0)</f>
        <v>66678</v>
      </c>
      <c r="AY19">
        <f ca="1">ROUND(T_Facebook_Ads1159[[#This Row],[clicks]]*RANDBETWEEN(8,12)/10,0)</f>
        <v>294</v>
      </c>
      <c r="AZ19">
        <f ca="1">T_Facebook_Ads1159[[#This Row],[spend]]*RANDBETWEEN(8,12)/10</f>
        <v>91.2</v>
      </c>
      <c r="BA19">
        <f ca="1">ROUND(T_Facebook_Ads1159[[#This Row],[conversions]]*RANDBETWEEN(8,12)/10,0)</f>
        <v>6</v>
      </c>
      <c r="BB19">
        <f ca="1">ROUND(T_Facebook_Ads1159[[#This Row],[video_views]]*RANDBETWEEN(8,12)/10,0)</f>
        <v>46761</v>
      </c>
    </row>
    <row r="20" spans="1:54" ht="15.75" thickBot="1" x14ac:dyDescent="0.3">
      <c r="A20" s="3">
        <f t="shared" ca="1" si="0"/>
        <v>44961</v>
      </c>
      <c r="B20" s="4" t="s">
        <v>52</v>
      </c>
      <c r="C20" s="4" t="s">
        <v>53</v>
      </c>
      <c r="D20" s="4" t="s">
        <v>54</v>
      </c>
      <c r="E20" s="4" t="s">
        <v>55</v>
      </c>
      <c r="F20" s="4">
        <f ca="1">ROUND(T_Facebook_Ads[[#This Row],[impressions]]*RANDBETWEEN(8,12)/10,0)</f>
        <v>49876</v>
      </c>
      <c r="G20" s="4">
        <v>1067</v>
      </c>
      <c r="H20" s="4">
        <f ca="1">T_Facebook_Ads[[#This Row],[spend]]*RANDBETWEEN(8,12)/10</f>
        <v>131.31</v>
      </c>
      <c r="I20" s="4">
        <f ca="1">ROUND(T_Facebook_Ads[[#This Row],[conversions]]*RANDBETWEEN(8,12)/10,0)</f>
        <v>19</v>
      </c>
      <c r="J20" s="4">
        <f ca="1">ROUND(T_Facebook_Ads[[#This Row],[video_views]]*RANDBETWEEN(8,12)/10,0)</f>
        <v>8610</v>
      </c>
      <c r="K20" s="4">
        <f ca="1">T_Facebook_Ads[[#This Row],[engagement_rate]]*RANDBETWEEN(8,12)/10</f>
        <v>2.3539999999999998E-2</v>
      </c>
      <c r="L20" s="4">
        <f ca="1">ROUND(T_Facebook_Ads[[#This Row],[reach]]*RANDBETWEEN(8,12)/10,0)</f>
        <v>32987</v>
      </c>
      <c r="M20" s="4">
        <f ca="1">T_Facebook_Ads[[#This Row],[frequency]]*RANDBETWEEN(8,12)/10</f>
        <v>0.96799999999999997</v>
      </c>
      <c r="O20" s="3">
        <f t="shared" ca="1" si="1"/>
        <v>44984</v>
      </c>
      <c r="P20" s="4" t="s">
        <v>76</v>
      </c>
      <c r="Q20" s="4" t="s">
        <v>77</v>
      </c>
      <c r="R20" s="4" t="s">
        <v>78</v>
      </c>
      <c r="S20" s="4" t="s">
        <v>79</v>
      </c>
      <c r="T20" s="4">
        <f ca="1">ROUND(_Google_ads[[#This Row],[impressions]]*RANDBETWEEN(8,12)/10,0)</f>
        <v>29468</v>
      </c>
      <c r="U20" s="4">
        <f ca="1">ROUND(_Google_ads[[#This Row],[clicks]]*RANDBETWEEN(8,12)/10,0)</f>
        <v>1456</v>
      </c>
      <c r="V20" s="4">
        <f ca="1">_Google_ads[[#This Row],[cost]]*RANDBETWEEN(8,12)/10</f>
        <v>251.01</v>
      </c>
      <c r="W20" s="4">
        <f ca="1">ROUND(_Google_ads[[#This Row],[conversions]]*RANDBETWEEN(8,12)/10,0)</f>
        <v>65</v>
      </c>
      <c r="X20" s="4">
        <f ca="1">ROUND(_Google_ads[[#This Row],[conversion_value]]*RANDBETWEEN(8,12)/10,0)</f>
        <v>2970</v>
      </c>
      <c r="Y20" s="4">
        <f ca="1">_Google_ads[[#This Row],[ctr]]*RANDBETWEEN(8,12)/10</f>
        <v>4.8959999999999997E-2</v>
      </c>
      <c r="Z20" s="4">
        <f ca="1">_Google_ads[[#This Row],[avg_cpc]]*RANDBETWEEN(8,12)/10</f>
        <v>0.19</v>
      </c>
      <c r="AA20" s="4">
        <f ca="1">ROUND(_Google_ads[[#This Row],[quality_score]]*RANDBETWEEN(8,12)/10,0)</f>
        <v>10</v>
      </c>
      <c r="AB20" s="4">
        <f ca="1">_Google_ads[[#This Row],[search_impression_share]]*RANDBETWEEN(8,12)/10</f>
        <v>0.83700000000000008</v>
      </c>
      <c r="AD20" s="3">
        <f t="shared" ca="1" si="2"/>
        <v>44962</v>
      </c>
      <c r="AE20" s="4" t="s">
        <v>100</v>
      </c>
      <c r="AF20" s="4" t="s">
        <v>101</v>
      </c>
      <c r="AG20" s="4" t="s">
        <v>102</v>
      </c>
      <c r="AH20" s="4" t="s">
        <v>103</v>
      </c>
      <c r="AI20" s="4">
        <f ca="1">ROUND(T_Tiktok_ads[[#This Row],[impressions]]*RANDBETWEEN(8,12)/10,0)</f>
        <v>334681</v>
      </c>
      <c r="AJ20" s="4">
        <f ca="1">ROUND(T_Tiktok_ads[[#This Row],[clicks]]*RANDBETWEEN(8,12)/10,0)</f>
        <v>4948</v>
      </c>
      <c r="AK20" s="4">
        <v>545.6</v>
      </c>
      <c r="AL20" s="4">
        <f ca="1">ROUND(T_Tiktok_ads[[#This Row],[conversions]]*RANDBETWEEN(8,12)/10,0)</f>
        <v>46</v>
      </c>
      <c r="AM20" s="4">
        <f ca="1">ROUND(T_Tiktok_ads[[#This Row],[video_views]]*RANDBETWEEN(8,12)/10,0)</f>
        <v>275081</v>
      </c>
      <c r="AN20" s="4">
        <f ca="1">ROUND(T_Tiktok_ads[[#This Row],[video_watch_25]]*RANDBETWEEN(8,12)/10,0)</f>
        <v>179234</v>
      </c>
      <c r="AO20" s="4">
        <f ca="1">ROUND(T_Tiktok_ads[[#This Row],[video_watch_50]]*RANDBETWEEN(8,12)/10,0)</f>
        <v>101011</v>
      </c>
      <c r="AP20" s="4">
        <f ca="1">ROUND(T_Tiktok_ads[[#This Row],[video_watch_75]]*RANDBETWEEN(8,12)/10,0)</f>
        <v>83246</v>
      </c>
      <c r="AQ20" s="4">
        <f ca="1">ROUND(T_Tiktok_ads[[#This Row],[video_watch_100]]*RANDBETWEEN(8,12)/10,0)</f>
        <v>50234</v>
      </c>
      <c r="AR20" s="4">
        <f ca="1">ROUND(T_Tiktok_ads[[#This Row],[likes]]*RANDBETWEEN(8,12)/10,0)</f>
        <v>10123</v>
      </c>
      <c r="AS20" s="4">
        <f ca="1">ROUND(T_Tiktok_ads[[#This Row],[shares]]*RANDBETWEEN(8,12)/10,0)</f>
        <v>3254</v>
      </c>
      <c r="AT20" s="4">
        <f ca="1">ROUND(T_Tiktok_ads[[#This Row],[comments]]*RANDBETWEEN(8,12)/10,0)</f>
        <v>516</v>
      </c>
      <c r="AV20" s="5">
        <f t="shared" ca="1" si="3"/>
        <v>44973</v>
      </c>
      <c r="AW20">
        <f t="shared" ca="1" si="4"/>
        <v>4</v>
      </c>
      <c r="AX20">
        <f ca="1">ROUND(T_Facebook_Ads1159[[#This Row],[impressions]]*RANDBETWEEN(2,10)/10,0)</f>
        <v>34913</v>
      </c>
      <c r="AY20">
        <f ca="1">ROUND(T_Facebook_Ads1159[[#This Row],[clicks]]*RANDBETWEEN(8,12)/10,0)</f>
        <v>1067</v>
      </c>
      <c r="AZ20">
        <f ca="1">T_Facebook_Ads1159[[#This Row],[spend]]*RANDBETWEEN(8,12)/10</f>
        <v>131.31</v>
      </c>
      <c r="BA20">
        <f ca="1">ROUND(T_Facebook_Ads1159[[#This Row],[conversions]]*RANDBETWEEN(8,12)/10,0)</f>
        <v>15</v>
      </c>
      <c r="BB20">
        <f ca="1">ROUND(T_Facebook_Ads1159[[#This Row],[video_views]]*RANDBETWEEN(8,12)/10,0)</f>
        <v>9471</v>
      </c>
    </row>
    <row r="21" spans="1:54" ht="15.75" thickBot="1" x14ac:dyDescent="0.3">
      <c r="A21" s="3">
        <f t="shared" ca="1" si="0"/>
        <v>44972</v>
      </c>
      <c r="B21" s="4" t="s">
        <v>56</v>
      </c>
      <c r="C21" s="4" t="s">
        <v>57</v>
      </c>
      <c r="D21" s="4" t="s">
        <v>58</v>
      </c>
      <c r="E21" s="4" t="s">
        <v>59</v>
      </c>
      <c r="F21" s="4">
        <f ca="1">ROUND(T_Facebook_Ads[[#This Row],[impressions]]*RANDBETWEEN(8,12)/10,0)</f>
        <v>16147</v>
      </c>
      <c r="G21" s="4">
        <v>623</v>
      </c>
      <c r="H21" s="4">
        <f ca="1">T_Facebook_Ads[[#This Row],[spend]]*RANDBETWEEN(8,12)/10</f>
        <v>285.36</v>
      </c>
      <c r="I21" s="4">
        <f ca="1">ROUND(T_Facebook_Ads[[#This Row],[conversions]]*RANDBETWEEN(8,12)/10,0)</f>
        <v>32</v>
      </c>
      <c r="J21" s="4">
        <f ca="1">ROUND(T_Facebook_Ads[[#This Row],[video_views]]*RANDBETWEEN(8,12)/10,0)</f>
        <v>1747</v>
      </c>
      <c r="K21" s="4">
        <f ca="1">T_Facebook_Ads[[#This Row],[engagement_rate]]*RANDBETWEEN(8,12)/10</f>
        <v>4.1669999999999999E-2</v>
      </c>
      <c r="L21" s="4">
        <f ca="1">ROUND(T_Facebook_Ads[[#This Row],[reach]]*RANDBETWEEN(8,12)/10,0)</f>
        <v>9510</v>
      </c>
      <c r="M21" s="4">
        <f ca="1">T_Facebook_Ads[[#This Row],[frequency]]*RANDBETWEEN(8,12)/10</f>
        <v>1.143</v>
      </c>
      <c r="O21" s="3">
        <f t="shared" ca="1" si="1"/>
        <v>44970</v>
      </c>
      <c r="P21" s="4" t="s">
        <v>80</v>
      </c>
      <c r="Q21" s="4" t="s">
        <v>81</v>
      </c>
      <c r="R21" s="4" t="s">
        <v>82</v>
      </c>
      <c r="S21" s="4" t="s">
        <v>83</v>
      </c>
      <c r="T21" s="4">
        <f ca="1">ROUND(_Google_ads[[#This Row],[impressions]]*RANDBETWEEN(8,12)/10,0)</f>
        <v>44567</v>
      </c>
      <c r="U21" s="4">
        <f ca="1">ROUND(_Google_ads[[#This Row],[clicks]]*RANDBETWEEN(8,12)/10,0)</f>
        <v>702</v>
      </c>
      <c r="V21" s="4">
        <f ca="1">_Google_ads[[#This Row],[cost]]*RANDBETWEEN(8,12)/10</f>
        <v>453.76000000000005</v>
      </c>
      <c r="W21" s="4">
        <f ca="1">ROUND(_Google_ads[[#This Row],[conversions]]*RANDBETWEEN(8,12)/10,0)</f>
        <v>18</v>
      </c>
      <c r="X21" s="4">
        <f ca="1">ROUND(_Google_ads[[#This Row],[conversion_value]]*RANDBETWEEN(8,12)/10,0)</f>
        <v>1210</v>
      </c>
      <c r="Y21" s="4">
        <f ca="1">_Google_ads[[#This Row],[ctr]]*RANDBETWEEN(8,12)/10</f>
        <v>1.576E-2</v>
      </c>
      <c r="Z21" s="4">
        <f ca="1">_Google_ads[[#This Row],[avg_cpc]]*RANDBETWEEN(8,12)/10</f>
        <v>0.78</v>
      </c>
      <c r="AA21" s="4">
        <f ca="1">ROUND(_Google_ads[[#This Row],[quality_score]]*RANDBETWEEN(8,12)/10,0)</f>
        <v>6</v>
      </c>
      <c r="AB21" s="4">
        <f ca="1">_Google_ads[[#This Row],[search_impression_share]]*RANDBETWEEN(8,12)/10</f>
        <v>0.44000000000000006</v>
      </c>
      <c r="AD21" s="3">
        <f t="shared" ca="1" si="2"/>
        <v>44977</v>
      </c>
      <c r="AE21" s="4" t="s">
        <v>104</v>
      </c>
      <c r="AF21" s="4" t="s">
        <v>105</v>
      </c>
      <c r="AG21" s="4" t="s">
        <v>106</v>
      </c>
      <c r="AH21" s="4" t="s">
        <v>107</v>
      </c>
      <c r="AI21" s="4">
        <f ca="1">ROUND(T_Tiktok_ads[[#This Row],[impressions]]*RANDBETWEEN(8,12)/10,0)</f>
        <v>125011</v>
      </c>
      <c r="AJ21" s="4">
        <f ca="1">ROUND(T_Tiktok_ads[[#This Row],[clicks]]*RANDBETWEEN(8,12)/10,0)</f>
        <v>2946</v>
      </c>
      <c r="AK21" s="4">
        <v>734.5</v>
      </c>
      <c r="AL21" s="4">
        <f ca="1">ROUND(T_Tiktok_ads[[#This Row],[conversions]]*RANDBETWEEN(8,12)/10,0)</f>
        <v>80</v>
      </c>
      <c r="AM21" s="4">
        <f ca="1">ROUND(T_Tiktok_ads[[#This Row],[video_views]]*RANDBETWEEN(8,12)/10,0)</f>
        <v>107679</v>
      </c>
      <c r="AN21" s="4">
        <f ca="1">ROUND(T_Tiktok_ads[[#This Row],[video_watch_25]]*RANDBETWEEN(8,12)/10,0)</f>
        <v>79580</v>
      </c>
      <c r="AO21" s="4">
        <f ca="1">ROUND(T_Tiktok_ads[[#This Row],[video_watch_50]]*RANDBETWEEN(8,12)/10,0)</f>
        <v>53791</v>
      </c>
      <c r="AP21" s="4">
        <f ca="1">ROUND(T_Tiktok_ads[[#This Row],[video_watch_75]]*RANDBETWEEN(8,12)/10,0)</f>
        <v>33110</v>
      </c>
      <c r="AQ21" s="4">
        <f ca="1">ROUND(T_Tiktok_ads[[#This Row],[video_watch_100]]*RANDBETWEEN(8,12)/10,0)</f>
        <v>29868</v>
      </c>
      <c r="AR21" s="4">
        <f ca="1">ROUND(T_Tiktok_ads[[#This Row],[likes]]*RANDBETWEEN(8,12)/10,0)</f>
        <v>5881</v>
      </c>
      <c r="AS21" s="4">
        <f ca="1">ROUND(T_Tiktok_ads[[#This Row],[shares]]*RANDBETWEEN(8,12)/10,0)</f>
        <v>1220</v>
      </c>
      <c r="AT21" s="4">
        <f ca="1">ROUND(T_Tiktok_ads[[#This Row],[comments]]*RANDBETWEEN(8,12)/10,0)</f>
        <v>230</v>
      </c>
      <c r="AV21" s="5">
        <f t="shared" ca="1" si="3"/>
        <v>44966</v>
      </c>
      <c r="AW21">
        <f t="shared" ca="1" si="4"/>
        <v>3</v>
      </c>
      <c r="AX21">
        <f ca="1">ROUND(T_Facebook_Ads1159[[#This Row],[impressions]]*RANDBETWEEN(2,10)/10,0)</f>
        <v>14532</v>
      </c>
      <c r="AY21">
        <f ca="1">ROUND(T_Facebook_Ads1159[[#This Row],[clicks]]*RANDBETWEEN(8,12)/10,0)</f>
        <v>623</v>
      </c>
      <c r="AZ21">
        <f ca="1">T_Facebook_Ads1159[[#This Row],[spend]]*RANDBETWEEN(8,12)/10</f>
        <v>256.82400000000001</v>
      </c>
      <c r="BA21">
        <f ca="1">ROUND(T_Facebook_Ads1159[[#This Row],[conversions]]*RANDBETWEEN(8,12)/10,0)</f>
        <v>29</v>
      </c>
      <c r="BB21">
        <f ca="1">ROUND(T_Facebook_Ads1159[[#This Row],[video_views]]*RANDBETWEEN(8,12)/10,0)</f>
        <v>1922</v>
      </c>
    </row>
    <row r="22" spans="1:54" ht="15.75" thickBot="1" x14ac:dyDescent="0.3">
      <c r="A22" s="3">
        <f t="shared" ca="1" si="0"/>
        <v>44973</v>
      </c>
      <c r="B22" s="4" t="s">
        <v>60</v>
      </c>
      <c r="C22" s="4" t="s">
        <v>61</v>
      </c>
      <c r="D22" s="4" t="s">
        <v>62</v>
      </c>
      <c r="E22" s="4" t="s">
        <v>63</v>
      </c>
      <c r="F22" s="4">
        <f ca="1">ROUND(T_Facebook_Ads[[#This Row],[impressions]]*RANDBETWEEN(8,12)/10,0)</f>
        <v>40957</v>
      </c>
      <c r="G22" s="4">
        <v>1367</v>
      </c>
      <c r="H22" s="4">
        <f ca="1">T_Facebook_Ads[[#This Row],[spend]]*RANDBETWEEN(8,12)/10</f>
        <v>207.9</v>
      </c>
      <c r="I22" s="4">
        <f ca="1">ROUND(T_Facebook_Ads[[#This Row],[conversions]]*RANDBETWEEN(8,12)/10,0)</f>
        <v>22</v>
      </c>
      <c r="J22" s="4">
        <f ca="1">ROUND(T_Facebook_Ads[[#This Row],[video_views]]*RANDBETWEEN(8,12)/10,0)</f>
        <v>4511</v>
      </c>
      <c r="K22" s="4">
        <f ca="1">T_Facebook_Ads[[#This Row],[engagement_rate]]*RANDBETWEEN(8,12)/10</f>
        <v>3.3030000000000004E-2</v>
      </c>
      <c r="L22" s="4">
        <f ca="1">ROUND(T_Facebook_Ads[[#This Row],[reach]]*RANDBETWEEN(8,12)/10,0)</f>
        <v>30678</v>
      </c>
      <c r="M22" s="4">
        <f ca="1">T_Facebook_Ads[[#This Row],[frequency]]*RANDBETWEEN(8,12)/10</f>
        <v>1.331</v>
      </c>
      <c r="O22" s="3">
        <f t="shared" ca="1" si="1"/>
        <v>44970</v>
      </c>
      <c r="P22" s="4" t="s">
        <v>84</v>
      </c>
      <c r="Q22" s="4" t="s">
        <v>85</v>
      </c>
      <c r="R22" s="4" t="s">
        <v>86</v>
      </c>
      <c r="S22" s="4" t="s">
        <v>87</v>
      </c>
      <c r="T22" s="4">
        <f ca="1">ROUND(_Google_ads[[#This Row],[impressions]]*RANDBETWEEN(8,12)/10,0)</f>
        <v>70234</v>
      </c>
      <c r="U22" s="4">
        <f ca="1">ROUND(_Google_ads[[#This Row],[clicks]]*RANDBETWEEN(8,12)/10,0)</f>
        <v>2060</v>
      </c>
      <c r="V22" s="4">
        <f ca="1">_Google_ads[[#This Row],[cost]]*RANDBETWEEN(8,12)/10</f>
        <v>335.6</v>
      </c>
      <c r="W22" s="4">
        <f ca="1">ROUND(_Google_ads[[#This Row],[conversions]]*RANDBETWEEN(8,12)/10,0)</f>
        <v>66</v>
      </c>
      <c r="X22" s="4">
        <f ca="1">ROUND(_Google_ads[[#This Row],[conversion_value]]*RANDBETWEEN(8,12)/10,0)</f>
        <v>2640</v>
      </c>
      <c r="Y22" s="4">
        <f ca="1">_Google_ads[[#This Row],[ctr]]*RANDBETWEEN(8,12)/10</f>
        <v>3.9120000000000002E-2</v>
      </c>
      <c r="Z22" s="4">
        <f ca="1">_Google_ads[[#This Row],[avg_cpc]]*RANDBETWEEN(8,12)/10</f>
        <v>0.19800000000000001</v>
      </c>
      <c r="AA22" s="4">
        <f ca="1">ROUND(_Google_ads[[#This Row],[quality_score]]*RANDBETWEEN(8,12)/10,0)</f>
        <v>6</v>
      </c>
      <c r="AB22" s="4">
        <f ca="1">_Google_ads[[#This Row],[search_impression_share]]*RANDBETWEEN(8,12)/10</f>
        <v>0.79200000000000004</v>
      </c>
      <c r="AD22" s="3">
        <f t="shared" ca="1" si="2"/>
        <v>44966</v>
      </c>
      <c r="AE22" s="4" t="s">
        <v>108</v>
      </c>
      <c r="AF22" s="4" t="s">
        <v>109</v>
      </c>
      <c r="AG22" s="4" t="s">
        <v>110</v>
      </c>
      <c r="AH22" s="4" t="s">
        <v>111</v>
      </c>
      <c r="AI22" s="4">
        <f ca="1">ROUND(T_Tiktok_ads[[#This Row],[impressions]]*RANDBETWEEN(8,12)/10,0)</f>
        <v>191111</v>
      </c>
      <c r="AJ22" s="4">
        <f ca="1">ROUND(T_Tiktok_ads[[#This Row],[clicks]]*RANDBETWEEN(8,12)/10,0)</f>
        <v>2676</v>
      </c>
      <c r="AK22" s="4">
        <v>401.1</v>
      </c>
      <c r="AL22" s="4">
        <f ca="1">ROUND(T_Tiktok_ads[[#This Row],[conversions]]*RANDBETWEEN(8,12)/10,0)</f>
        <v>31</v>
      </c>
      <c r="AM22" s="4">
        <f ca="1">ROUND(T_Tiktok_ads[[#This Row],[video_views]]*RANDBETWEEN(8,12)/10,0)</f>
        <v>167890</v>
      </c>
      <c r="AN22" s="4">
        <f ca="1">ROUND(T_Tiktok_ads[[#This Row],[video_watch_25]]*RANDBETWEEN(8,12)/10,0)</f>
        <v>153881</v>
      </c>
      <c r="AO22" s="4">
        <f ca="1">ROUND(T_Tiktok_ads[[#This Row],[video_watch_50]]*RANDBETWEEN(8,12)/10,0)</f>
        <v>91111</v>
      </c>
      <c r="AP22" s="4">
        <f ca="1">ROUND(T_Tiktok_ads[[#This Row],[video_watch_75]]*RANDBETWEEN(8,12)/10,0)</f>
        <v>78281</v>
      </c>
      <c r="AQ22" s="4">
        <f ca="1">ROUND(T_Tiktok_ads[[#This Row],[video_watch_100]]*RANDBETWEEN(8,12)/10,0)</f>
        <v>47347</v>
      </c>
      <c r="AR22" s="4">
        <f ca="1">ROUND(T_Tiktok_ads[[#This Row],[likes]]*RANDBETWEEN(8,12)/10,0)</f>
        <v>7010</v>
      </c>
      <c r="AS22" s="4">
        <f ca="1">ROUND(T_Tiktok_ads[[#This Row],[shares]]*RANDBETWEEN(8,12)/10,0)</f>
        <v>2574</v>
      </c>
      <c r="AT22" s="4">
        <f ca="1">ROUND(T_Tiktok_ads[[#This Row],[comments]]*RANDBETWEEN(8,12)/10,0)</f>
        <v>410</v>
      </c>
      <c r="AV22" s="5">
        <f t="shared" ca="1" si="3"/>
        <v>44972</v>
      </c>
      <c r="AW22">
        <f t="shared" ca="1" si="4"/>
        <v>5</v>
      </c>
      <c r="AX22">
        <f ca="1">ROUND(T_Facebook_Ads1159[[#This Row],[impressions]]*RANDBETWEEN(2,10)/10,0)</f>
        <v>20479</v>
      </c>
      <c r="AY22">
        <f ca="1">ROUND(T_Facebook_Ads1159[[#This Row],[clicks]]*RANDBETWEEN(8,12)/10,0)</f>
        <v>1094</v>
      </c>
      <c r="AZ22">
        <f ca="1">T_Facebook_Ads1159[[#This Row],[spend]]*RANDBETWEEN(8,12)/10</f>
        <v>166.32</v>
      </c>
      <c r="BA22">
        <f ca="1">ROUND(T_Facebook_Ads1159[[#This Row],[conversions]]*RANDBETWEEN(8,12)/10,0)</f>
        <v>26</v>
      </c>
      <c r="BB22">
        <f ca="1">ROUND(T_Facebook_Ads1159[[#This Row],[video_views]]*RANDBETWEEN(8,12)/10,0)</f>
        <v>4511</v>
      </c>
    </row>
    <row r="23" spans="1:54" ht="15.75" thickBot="1" x14ac:dyDescent="0.3">
      <c r="A23" s="3">
        <f t="shared" ca="1" si="0"/>
        <v>44974</v>
      </c>
      <c r="B23" s="4" t="s">
        <v>52</v>
      </c>
      <c r="C23" s="4" t="s">
        <v>53</v>
      </c>
      <c r="D23" s="4" t="s">
        <v>54</v>
      </c>
      <c r="E23" s="4" t="s">
        <v>55</v>
      </c>
      <c r="F23" s="4">
        <f ca="1">ROUND(T_Facebook_Ads[[#This Row],[impressions]]*RANDBETWEEN(8,12)/10,0)</f>
        <v>56681</v>
      </c>
      <c r="G23" s="4">
        <v>945</v>
      </c>
      <c r="H23" s="4">
        <f ca="1">T_Facebook_Ads[[#This Row],[spend]]*RANDBETWEEN(8,12)/10</f>
        <v>135.4</v>
      </c>
      <c r="I23" s="4">
        <f ca="1">ROUND(T_Facebook_Ads[[#This Row],[conversions]]*RANDBETWEEN(8,12)/10,0)</f>
        <v>15</v>
      </c>
      <c r="J23" s="4">
        <f ca="1">ROUND(T_Facebook_Ads[[#This Row],[video_views]]*RANDBETWEEN(8,12)/10,0)</f>
        <v>7910</v>
      </c>
      <c r="K23" s="4">
        <f ca="1">T_Facebook_Ads[[#This Row],[engagement_rate]]*RANDBETWEEN(8,12)/10</f>
        <v>1.7999999999999999E-2</v>
      </c>
      <c r="L23" s="4">
        <f ca="1">ROUND(T_Facebook_Ads[[#This Row],[reach]]*RANDBETWEEN(8,12)/10,0)</f>
        <v>43524</v>
      </c>
      <c r="M23" s="4">
        <f ca="1">T_Facebook_Ads[[#This Row],[frequency]]*RANDBETWEEN(8,12)/10</f>
        <v>1.19</v>
      </c>
      <c r="O23" s="3">
        <f t="shared" ca="1" si="1"/>
        <v>44968</v>
      </c>
      <c r="P23" s="4" t="s">
        <v>76</v>
      </c>
      <c r="Q23" s="4" t="s">
        <v>77</v>
      </c>
      <c r="R23" s="4" t="s">
        <v>78</v>
      </c>
      <c r="S23" s="4" t="s">
        <v>79</v>
      </c>
      <c r="T23" s="4">
        <f ca="1">ROUND(_Google_ads[[#This Row],[impressions]]*RANDBETWEEN(8,12)/10,0)</f>
        <v>27080</v>
      </c>
      <c r="U23" s="4">
        <f ca="1">ROUND(_Google_ads[[#This Row],[clicks]]*RANDBETWEEN(8,12)/10,0)</f>
        <v>1021</v>
      </c>
      <c r="V23" s="4">
        <f ca="1">_Google_ads[[#This Row],[cost]]*RANDBETWEEN(8,12)/10</f>
        <v>260.16000000000003</v>
      </c>
      <c r="W23" s="4">
        <f ca="1">ROUND(_Google_ads[[#This Row],[conversions]]*RANDBETWEEN(8,12)/10,0)</f>
        <v>43</v>
      </c>
      <c r="X23" s="4">
        <f ca="1">ROUND(_Google_ads[[#This Row],[conversion_value]]*RANDBETWEEN(8,12)/10,0)</f>
        <v>1935</v>
      </c>
      <c r="Y23" s="4">
        <f ca="1">_Google_ads[[#This Row],[ctr]]*RANDBETWEEN(8,12)/10</f>
        <v>4.0239999999999998E-2</v>
      </c>
      <c r="Z23" s="4">
        <f ca="1">_Google_ads[[#This Row],[avg_cpc]]*RANDBETWEEN(8,12)/10</f>
        <v>0.17099999999999999</v>
      </c>
      <c r="AA23" s="4">
        <f ca="1">ROUND(_Google_ads[[#This Row],[quality_score]]*RANDBETWEEN(8,12)/10,0)</f>
        <v>9</v>
      </c>
      <c r="AB23" s="4">
        <f ca="1">_Google_ads[[#This Row],[search_impression_share]]*RANDBETWEEN(8,12)/10</f>
        <v>0.90999999999999992</v>
      </c>
      <c r="AD23" s="3">
        <f t="shared" ca="1" si="2"/>
        <v>44979</v>
      </c>
      <c r="AE23" s="4" t="s">
        <v>100</v>
      </c>
      <c r="AF23" s="4" t="s">
        <v>101</v>
      </c>
      <c r="AG23" s="4" t="s">
        <v>102</v>
      </c>
      <c r="AH23" s="4" t="s">
        <v>103</v>
      </c>
      <c r="AI23" s="4">
        <f ca="1">ROUND(T_Tiktok_ads[[#This Row],[impressions]]*RANDBETWEEN(8,12)/10,0)</f>
        <v>269757</v>
      </c>
      <c r="AJ23" s="4">
        <f ca="1">ROUND(T_Tiktok_ads[[#This Row],[clicks]]*RANDBETWEEN(8,12)/10,0)</f>
        <v>3936</v>
      </c>
      <c r="AK23" s="4">
        <v>474.3</v>
      </c>
      <c r="AL23" s="4">
        <f ca="1">ROUND(T_Tiktok_ads[[#This Row],[conversions]]*RANDBETWEEN(8,12)/10,0)</f>
        <v>44</v>
      </c>
      <c r="AM23" s="4">
        <f ca="1">ROUND(T_Tiktok_ads[[#This Row],[video_views]]*RANDBETWEEN(8,12)/10,0)</f>
        <v>183110</v>
      </c>
      <c r="AN23" s="4">
        <f ca="1">ROUND(T_Tiktok_ads[[#This Row],[video_watch_25]]*RANDBETWEEN(8,12)/10,0)</f>
        <v>127121</v>
      </c>
      <c r="AO23" s="4">
        <f ca="1">ROUND(T_Tiktok_ads[[#This Row],[video_watch_50]]*RANDBETWEEN(8,12)/10,0)</f>
        <v>79654</v>
      </c>
      <c r="AP23" s="4">
        <f ca="1">ROUND(T_Tiktok_ads[[#This Row],[video_watch_75]]*RANDBETWEEN(8,12)/10,0)</f>
        <v>54587</v>
      </c>
      <c r="AQ23" s="4">
        <f ca="1">ROUND(T_Tiktok_ads[[#This Row],[video_watch_100]]*RANDBETWEEN(8,12)/10,0)</f>
        <v>45789</v>
      </c>
      <c r="AR23" s="4">
        <f ca="1">ROUND(T_Tiktok_ads[[#This Row],[likes]]*RANDBETWEEN(8,12)/10,0)</f>
        <v>8978</v>
      </c>
      <c r="AS23" s="4">
        <f ca="1">ROUND(T_Tiktok_ads[[#This Row],[shares]]*RANDBETWEEN(8,12)/10,0)</f>
        <v>2150</v>
      </c>
      <c r="AT23" s="4">
        <f ca="1">ROUND(T_Tiktok_ads[[#This Row],[comments]]*RANDBETWEEN(8,12)/10,0)</f>
        <v>708</v>
      </c>
      <c r="AV23" s="5">
        <f t="shared" ca="1" si="3"/>
        <v>44970</v>
      </c>
      <c r="AW23">
        <f t="shared" ca="1" si="4"/>
        <v>4</v>
      </c>
      <c r="AX23">
        <f ca="1">ROUND(T_Facebook_Ads1159[[#This Row],[impressions]]*RANDBETWEEN(2,10)/10,0)</f>
        <v>22672</v>
      </c>
      <c r="AY23">
        <f ca="1">ROUND(T_Facebook_Ads1159[[#This Row],[clicks]]*RANDBETWEEN(8,12)/10,0)</f>
        <v>1040</v>
      </c>
      <c r="AZ23">
        <f ca="1">T_Facebook_Ads1159[[#This Row],[spend]]*RANDBETWEEN(8,12)/10</f>
        <v>135.4</v>
      </c>
      <c r="BA23">
        <f ca="1">ROUND(T_Facebook_Ads1159[[#This Row],[conversions]]*RANDBETWEEN(8,12)/10,0)</f>
        <v>14</v>
      </c>
      <c r="BB23">
        <f ca="1">ROUND(T_Facebook_Ads1159[[#This Row],[video_views]]*RANDBETWEEN(8,12)/10,0)</f>
        <v>7119</v>
      </c>
    </row>
    <row r="24" spans="1:54" ht="15.75" thickBot="1" x14ac:dyDescent="0.3">
      <c r="A24" s="3">
        <f t="shared" ca="1" si="0"/>
        <v>44973</v>
      </c>
      <c r="B24" s="4" t="s">
        <v>56</v>
      </c>
      <c r="C24" s="4" t="s">
        <v>57</v>
      </c>
      <c r="D24" s="4" t="s">
        <v>58</v>
      </c>
      <c r="E24" s="4" t="s">
        <v>59</v>
      </c>
      <c r="F24" s="4">
        <f ca="1">ROUND(T_Facebook_Ads[[#This Row],[impressions]]*RANDBETWEEN(8,12)/10,0)</f>
        <v>13335</v>
      </c>
      <c r="G24" s="4">
        <v>534</v>
      </c>
      <c r="H24" s="4">
        <f ca="1">T_Facebook_Ads[[#This Row],[spend]]*RANDBETWEEN(8,12)/10</f>
        <v>254.88000000000002</v>
      </c>
      <c r="I24" s="4">
        <f ca="1">ROUND(T_Facebook_Ads[[#This Row],[conversions]]*RANDBETWEEN(8,12)/10,0)</f>
        <v>28</v>
      </c>
      <c r="J24" s="4">
        <f ca="1">ROUND(T_Facebook_Ads[[#This Row],[video_views]]*RANDBETWEEN(8,12)/10,0)</f>
        <v>1357</v>
      </c>
      <c r="K24" s="4">
        <f ca="1">T_Facebook_Ads[[#This Row],[engagement_rate]]*RANDBETWEEN(8,12)/10</f>
        <v>5.2920000000000002E-2</v>
      </c>
      <c r="L24" s="4">
        <f ca="1">ROUND(T_Facebook_Ads[[#This Row],[reach]]*RANDBETWEEN(8,12)/10,0)</f>
        <v>9567</v>
      </c>
      <c r="M24" s="4">
        <f ca="1">T_Facebook_Ads[[#This Row],[frequency]]*RANDBETWEEN(8,12)/10</f>
        <v>1.27</v>
      </c>
      <c r="O24" s="3">
        <f t="shared" ca="1" si="1"/>
        <v>44965</v>
      </c>
      <c r="P24" s="4" t="s">
        <v>80</v>
      </c>
      <c r="Q24" s="4" t="s">
        <v>81</v>
      </c>
      <c r="R24" s="4" t="s">
        <v>82</v>
      </c>
      <c r="S24" s="4" t="s">
        <v>83</v>
      </c>
      <c r="T24" s="4">
        <f ca="1">ROUND(_Google_ads[[#This Row],[impressions]]*RANDBETWEEN(8,12)/10,0)</f>
        <v>38587</v>
      </c>
      <c r="U24" s="4">
        <f ca="1">ROUND(_Google_ads[[#This Row],[clicks]]*RANDBETWEEN(8,12)/10,0)</f>
        <v>890</v>
      </c>
      <c r="V24" s="4">
        <f ca="1">_Google_ads[[#This Row],[cost]]*RANDBETWEEN(8,12)/10</f>
        <v>634.70000000000005</v>
      </c>
      <c r="W24" s="4">
        <f ca="1">ROUND(_Google_ads[[#This Row],[conversions]]*RANDBETWEEN(8,12)/10,0)</f>
        <v>29</v>
      </c>
      <c r="X24" s="4">
        <f ca="1">ROUND(_Google_ads[[#This Row],[conversion_value]]*RANDBETWEEN(8,12)/10,0)</f>
        <v>1430</v>
      </c>
      <c r="Y24" s="4">
        <f ca="1">_Google_ads[[#This Row],[ctr]]*RANDBETWEEN(8,12)/10</f>
        <v>2.46E-2</v>
      </c>
      <c r="Z24" s="4">
        <f ca="1">_Google_ads[[#This Row],[avg_cpc]]*RANDBETWEEN(8,12)/10</f>
        <v>0.57599999999999996</v>
      </c>
      <c r="AA24" s="4">
        <f ca="1">ROUND(_Google_ads[[#This Row],[quality_score]]*RANDBETWEEN(8,12)/10,0)</f>
        <v>8</v>
      </c>
      <c r="AB24" s="4">
        <f ca="1">_Google_ads[[#This Row],[search_impression_share]]*RANDBETWEEN(8,12)/10</f>
        <v>0.46000000000000008</v>
      </c>
      <c r="AD24" s="3">
        <f t="shared" ca="1" si="2"/>
        <v>44964</v>
      </c>
      <c r="AE24" s="4" t="s">
        <v>104</v>
      </c>
      <c r="AF24" s="4" t="s">
        <v>105</v>
      </c>
      <c r="AG24" s="4" t="s">
        <v>106</v>
      </c>
      <c r="AH24" s="4" t="s">
        <v>107</v>
      </c>
      <c r="AI24" s="4">
        <f ca="1">ROUND(T_Tiktok_ads[[#This Row],[impressions]]*RANDBETWEEN(8,12)/10,0)</f>
        <v>131157</v>
      </c>
      <c r="AJ24" s="4">
        <f ca="1">ROUND(T_Tiktok_ads[[#This Row],[clicks]]*RANDBETWEEN(8,12)/10,0)</f>
        <v>1787</v>
      </c>
      <c r="AK24" s="4">
        <v>645.6</v>
      </c>
      <c r="AL24" s="4">
        <f ca="1">ROUND(T_Tiktok_ads[[#This Row],[conversions]]*RANDBETWEEN(8,12)/10,0)</f>
        <v>77</v>
      </c>
      <c r="AM24" s="4">
        <f ca="1">ROUND(T_Tiktok_ads[[#This Row],[video_views]]*RANDBETWEEN(8,12)/10,0)</f>
        <v>85678</v>
      </c>
      <c r="AN24" s="4">
        <f ca="1">ROUND(T_Tiktok_ads[[#This Row],[video_watch_25]]*RANDBETWEEN(8,12)/10,0)</f>
        <v>57110</v>
      </c>
      <c r="AO24" s="4">
        <f ca="1">ROUND(T_Tiktok_ads[[#This Row],[video_watch_50]]*RANDBETWEEN(8,12)/10,0)</f>
        <v>33876</v>
      </c>
      <c r="AP24" s="4">
        <f ca="1">ROUND(T_Tiktok_ads[[#This Row],[video_watch_75]]*RANDBETWEEN(8,12)/10,0)</f>
        <v>29011</v>
      </c>
      <c r="AQ24" s="4">
        <f ca="1">ROUND(T_Tiktok_ads[[#This Row],[video_watch_100]]*RANDBETWEEN(8,12)/10,0)</f>
        <v>20011</v>
      </c>
      <c r="AR24" s="4">
        <f ca="1">ROUND(T_Tiktok_ads[[#This Row],[likes]]*RANDBETWEEN(8,12)/10,0)</f>
        <v>5214</v>
      </c>
      <c r="AS24" s="4">
        <f ca="1">ROUND(T_Tiktok_ads[[#This Row],[shares]]*RANDBETWEEN(8,12)/10,0)</f>
        <v>1427</v>
      </c>
      <c r="AT24" s="4">
        <f ca="1">ROUND(T_Tiktok_ads[[#This Row],[comments]]*RANDBETWEEN(8,12)/10,0)</f>
        <v>268</v>
      </c>
      <c r="AV24" s="5">
        <f t="shared" ca="1" si="3"/>
        <v>44965</v>
      </c>
      <c r="AW24">
        <f t="shared" ca="1" si="4"/>
        <v>6</v>
      </c>
      <c r="AX24">
        <f ca="1">ROUND(T_Facebook_Ads1159[[#This Row],[impressions]]*RANDBETWEEN(2,10)/10,0)</f>
        <v>9335</v>
      </c>
      <c r="AY24">
        <f ca="1">ROUND(T_Facebook_Ads1159[[#This Row],[clicks]]*RANDBETWEEN(8,12)/10,0)</f>
        <v>587</v>
      </c>
      <c r="AZ24">
        <f ca="1">T_Facebook_Ads1159[[#This Row],[spend]]*RANDBETWEEN(8,12)/10</f>
        <v>203.90400000000002</v>
      </c>
      <c r="BA24">
        <f ca="1">ROUND(T_Facebook_Ads1159[[#This Row],[conversions]]*RANDBETWEEN(8,12)/10,0)</f>
        <v>22</v>
      </c>
      <c r="BB24">
        <f ca="1">ROUND(T_Facebook_Ads1159[[#This Row],[video_views]]*RANDBETWEEN(8,12)/10,0)</f>
        <v>1221</v>
      </c>
    </row>
    <row r="25" spans="1:54" ht="15.75" thickBot="1" x14ac:dyDescent="0.3">
      <c r="A25" s="3">
        <f t="shared" ca="1" si="0"/>
        <v>44972</v>
      </c>
      <c r="B25" s="4" t="s">
        <v>64</v>
      </c>
      <c r="C25" s="4" t="s">
        <v>65</v>
      </c>
      <c r="D25" s="4" t="s">
        <v>66</v>
      </c>
      <c r="E25" s="4" t="s">
        <v>67</v>
      </c>
      <c r="F25" s="4">
        <f ca="1">ROUND(T_Facebook_Ads[[#This Row],[impressions]]*RANDBETWEEN(8,12)/10,0)</f>
        <v>80802</v>
      </c>
      <c r="G25" s="4">
        <v>267</v>
      </c>
      <c r="H25" s="4">
        <f ca="1">T_Facebook_Ads[[#This Row],[spend]]*RANDBETWEEN(8,12)/10</f>
        <v>78.64</v>
      </c>
      <c r="I25" s="4">
        <f ca="1">ROUND(T_Facebook_Ads[[#This Row],[conversions]]*RANDBETWEEN(8,12)/10,0)</f>
        <v>6</v>
      </c>
      <c r="J25" s="4">
        <f ca="1">ROUND(T_Facebook_Ads[[#This Row],[video_views]]*RANDBETWEEN(8,12)/10,0)</f>
        <v>60148</v>
      </c>
      <c r="K25" s="4">
        <f ca="1">T_Facebook_Ads[[#This Row],[engagement_rate]]*RANDBETWEEN(8,12)/10</f>
        <v>3.5999999999999999E-3</v>
      </c>
      <c r="L25" s="4">
        <f ca="1">ROUND(T_Facebook_Ads[[#This Row],[reach]]*RANDBETWEEN(8,12)/10,0)</f>
        <v>48187</v>
      </c>
      <c r="M25" s="4">
        <f ca="1">T_Facebook_Ads[[#This Row],[frequency]]*RANDBETWEEN(8,12)/10</f>
        <v>0.97599999999999998</v>
      </c>
      <c r="O25" s="3">
        <f t="shared" ca="1" si="1"/>
        <v>44968</v>
      </c>
      <c r="P25" s="4" t="s">
        <v>88</v>
      </c>
      <c r="Q25" s="4" t="s">
        <v>89</v>
      </c>
      <c r="R25" s="4" t="s">
        <v>90</v>
      </c>
      <c r="S25" s="4" t="s">
        <v>59</v>
      </c>
      <c r="T25" s="4">
        <f ca="1">ROUND(_Google_ads[[#This Row],[impressions]]*RANDBETWEEN(8,12)/10,0)</f>
        <v>125678</v>
      </c>
      <c r="U25" s="4">
        <f ca="1">ROUND(_Google_ads[[#This Row],[clicks]]*RANDBETWEEN(8,12)/10,0)</f>
        <v>490</v>
      </c>
      <c r="V25" s="4">
        <f ca="1">_Google_ads[[#This Row],[cost]]*RANDBETWEEN(8,12)/10</f>
        <v>121.3</v>
      </c>
      <c r="W25" s="4">
        <f ca="1">ROUND(_Google_ads[[#This Row],[conversions]]*RANDBETWEEN(8,12)/10,0)</f>
        <v>9</v>
      </c>
      <c r="X25" s="4">
        <f ca="1">ROUND(_Google_ads[[#This Row],[conversion_value]]*RANDBETWEEN(8,12)/10,0)</f>
        <v>660</v>
      </c>
      <c r="Y25" s="4">
        <f ca="1">_Google_ads[[#This Row],[ctr]]*RANDBETWEEN(8,12)/10</f>
        <v>2.8E-3</v>
      </c>
      <c r="Z25" s="4">
        <f ca="1">_Google_ads[[#This Row],[avg_cpc]]*RANDBETWEEN(8,12)/10</f>
        <v>0.21600000000000003</v>
      </c>
      <c r="AA25" s="4">
        <f ca="1">ROUND(_Google_ads[[#This Row],[quality_score]]*RANDBETWEEN(8,12)/10,0)</f>
        <v>8</v>
      </c>
      <c r="AB25" s="4">
        <f ca="1">_Google_ads[[#This Row],[search_impression_share]]*RANDBETWEEN(8,12)/10</f>
        <v>0.34</v>
      </c>
      <c r="AD25" s="3">
        <f t="shared" ca="1" si="2"/>
        <v>44974</v>
      </c>
      <c r="AE25" s="4" t="s">
        <v>112</v>
      </c>
      <c r="AF25" s="4" t="s">
        <v>113</v>
      </c>
      <c r="AG25" s="4" t="s">
        <v>114</v>
      </c>
      <c r="AH25" s="4" t="s">
        <v>115</v>
      </c>
      <c r="AI25" s="4">
        <f ca="1">ROUND(T_Tiktok_ads[[#This Row],[impressions]]*RANDBETWEEN(8,12)/10,0)</f>
        <v>389012</v>
      </c>
      <c r="AJ25" s="4">
        <f ca="1">ROUND(T_Tiktok_ads[[#This Row],[clicks]]*RANDBETWEEN(8,12)/10,0)</f>
        <v>5611</v>
      </c>
      <c r="AK25" s="4">
        <v>967.8</v>
      </c>
      <c r="AL25" s="4">
        <f ca="1">ROUND(T_Tiktok_ads[[#This Row],[conversions]]*RANDBETWEEN(8,12)/10,0)</f>
        <v>118</v>
      </c>
      <c r="AM25" s="4">
        <f ca="1">ROUND(T_Tiktok_ads[[#This Row],[video_views]]*RANDBETWEEN(8,12)/10,0)</f>
        <v>321234</v>
      </c>
      <c r="AN25" s="4">
        <f ca="1">ROUND(T_Tiktok_ads[[#This Row],[video_watch_25]]*RANDBETWEEN(8,12)/10,0)</f>
        <v>207121</v>
      </c>
      <c r="AO25" s="4">
        <f ca="1">ROUND(T_Tiktok_ads[[#This Row],[video_watch_50]]*RANDBETWEEN(8,12)/10,0)</f>
        <v>166312</v>
      </c>
      <c r="AP25" s="4">
        <f ca="1">ROUND(T_Tiktok_ads[[#This Row],[video_watch_75]]*RANDBETWEEN(8,12)/10,0)</f>
        <v>147234</v>
      </c>
      <c r="AQ25" s="4">
        <f ca="1">ROUND(T_Tiktok_ads[[#This Row],[video_watch_100]]*RANDBETWEEN(8,12)/10,0)</f>
        <v>116947</v>
      </c>
      <c r="AR25" s="4">
        <f ca="1">ROUND(T_Tiktok_ads[[#This Row],[likes]]*RANDBETWEEN(8,12)/10,0)</f>
        <v>16901</v>
      </c>
      <c r="AS25" s="4">
        <f ca="1">ROUND(T_Tiktok_ads[[#This Row],[shares]]*RANDBETWEEN(8,12)/10,0)</f>
        <v>5894</v>
      </c>
      <c r="AT25" s="4">
        <f ca="1">ROUND(T_Tiktok_ads[[#This Row],[comments]]*RANDBETWEEN(8,12)/10,0)</f>
        <v>1211</v>
      </c>
      <c r="AV25" s="5">
        <f t="shared" ca="1" si="3"/>
        <v>44976</v>
      </c>
      <c r="AW25">
        <f t="shared" ca="1" si="4"/>
        <v>1</v>
      </c>
      <c r="AX25">
        <f ca="1">ROUND(T_Facebook_Ads1159[[#This Row],[impressions]]*RANDBETWEEN(2,10)/10,0)</f>
        <v>72722</v>
      </c>
      <c r="AY25">
        <f ca="1">ROUND(T_Facebook_Ads1159[[#This Row],[clicks]]*RANDBETWEEN(8,12)/10,0)</f>
        <v>320</v>
      </c>
      <c r="AZ25">
        <f ca="1">T_Facebook_Ads1159[[#This Row],[spend]]*RANDBETWEEN(8,12)/10</f>
        <v>62.911999999999999</v>
      </c>
      <c r="BA25">
        <f ca="1">ROUND(T_Facebook_Ads1159[[#This Row],[conversions]]*RANDBETWEEN(8,12)/10,0)</f>
        <v>5</v>
      </c>
      <c r="BB25">
        <f ca="1">ROUND(T_Facebook_Ads1159[[#This Row],[video_views]]*RANDBETWEEN(8,12)/10,0)</f>
        <v>72178</v>
      </c>
    </row>
    <row r="26" spans="1:54" ht="15.75" thickBot="1" x14ac:dyDescent="0.3">
      <c r="A26" s="3">
        <f t="shared" ca="1" si="0"/>
        <v>44971</v>
      </c>
      <c r="B26" s="4" t="s">
        <v>52</v>
      </c>
      <c r="C26" s="4" t="s">
        <v>53</v>
      </c>
      <c r="D26" s="4" t="s">
        <v>54</v>
      </c>
      <c r="E26" s="4" t="s">
        <v>55</v>
      </c>
      <c r="F26" s="4">
        <f ca="1">ROUND(T_Facebook_Ads[[#This Row],[impressions]]*RANDBETWEEN(8,12)/10,0)</f>
        <v>45111</v>
      </c>
      <c r="G26" s="4">
        <v>1012</v>
      </c>
      <c r="H26" s="4">
        <f ca="1">T_Facebook_Ads[[#This Row],[spend]]*RANDBETWEEN(8,12)/10</f>
        <v>141.69999999999999</v>
      </c>
      <c r="I26" s="4">
        <f ca="1">ROUND(T_Facebook_Ads[[#This Row],[conversions]]*RANDBETWEEN(8,12)/10,0)</f>
        <v>15</v>
      </c>
      <c r="J26" s="4">
        <f ca="1">ROUND(T_Facebook_Ads[[#This Row],[video_views]]*RANDBETWEEN(8,12)/10,0)</f>
        <v>8411</v>
      </c>
      <c r="K26" s="4">
        <f ca="1">T_Facebook_Ads[[#This Row],[engagement_rate]]*RANDBETWEEN(8,12)/10</f>
        <v>2.0199999999999999E-2</v>
      </c>
      <c r="L26" s="4">
        <f ca="1">ROUND(T_Facebook_Ads[[#This Row],[reach]]*RANDBETWEEN(8,12)/10,0)</f>
        <v>50268</v>
      </c>
      <c r="M26" s="4">
        <f ca="1">T_Facebook_Ads[[#This Row],[frequency]]*RANDBETWEEN(8,12)/10</f>
        <v>1.0799999999999998</v>
      </c>
      <c r="O26" s="3">
        <f t="shared" ca="1" si="1"/>
        <v>44969</v>
      </c>
      <c r="P26" s="4" t="s">
        <v>76</v>
      </c>
      <c r="Q26" s="4" t="s">
        <v>77</v>
      </c>
      <c r="R26" s="4" t="s">
        <v>78</v>
      </c>
      <c r="S26" s="4" t="s">
        <v>79</v>
      </c>
      <c r="T26" s="4">
        <f ca="1">ROUND(_Google_ads[[#This Row],[impressions]]*RANDBETWEEN(8,12)/10,0)</f>
        <v>27757</v>
      </c>
      <c r="U26" s="4">
        <f ca="1">ROUND(_Google_ads[[#This Row],[clicks]]*RANDBETWEEN(8,12)/10,0)</f>
        <v>1181</v>
      </c>
      <c r="V26" s="4">
        <f ca="1">_Google_ads[[#This Row],[cost]]*RANDBETWEEN(8,12)/10</f>
        <v>200.24</v>
      </c>
      <c r="W26" s="4">
        <f ca="1">ROUND(_Google_ads[[#This Row],[conversions]]*RANDBETWEEN(8,12)/10,0)</f>
        <v>54</v>
      </c>
      <c r="X26" s="4">
        <f ca="1">ROUND(_Google_ads[[#This Row],[conversion_value]]*RANDBETWEEN(8,12)/10,0)</f>
        <v>2695</v>
      </c>
      <c r="Y26" s="4">
        <f ca="1">_Google_ads[[#This Row],[ctr]]*RANDBETWEEN(8,12)/10</f>
        <v>4.1599999999999998E-2</v>
      </c>
      <c r="Z26" s="4">
        <f ca="1">_Google_ads[[#This Row],[avg_cpc]]*RANDBETWEEN(8,12)/10</f>
        <v>0.20899999999999999</v>
      </c>
      <c r="AA26" s="4">
        <f ca="1">ROUND(_Google_ads[[#This Row],[quality_score]]*RANDBETWEEN(8,12)/10,0)</f>
        <v>9</v>
      </c>
      <c r="AB26" s="4">
        <f ca="1">_Google_ads[[#This Row],[search_impression_share]]*RANDBETWEEN(8,12)/10</f>
        <v>0.73599999999999999</v>
      </c>
      <c r="AD26" s="3">
        <f t="shared" ca="1" si="2"/>
        <v>44960</v>
      </c>
      <c r="AE26" s="4" t="s">
        <v>100</v>
      </c>
      <c r="AF26" s="4" t="s">
        <v>101</v>
      </c>
      <c r="AG26" s="4" t="s">
        <v>102</v>
      </c>
      <c r="AH26" s="4" t="s">
        <v>103</v>
      </c>
      <c r="AI26" s="4">
        <f ca="1">ROUND(T_Tiktok_ads[[#This Row],[impressions]]*RANDBETWEEN(8,12)/10,0)</f>
        <v>317913</v>
      </c>
      <c r="AJ26" s="4">
        <f ca="1">ROUND(T_Tiktok_ads[[#This Row],[clicks]]*RANDBETWEEN(8,12)/10,0)</f>
        <v>4657</v>
      </c>
      <c r="AK26" s="4">
        <v>556.70000000000005</v>
      </c>
      <c r="AL26" s="4">
        <f ca="1">ROUND(T_Tiktok_ads[[#This Row],[conversions]]*RANDBETWEEN(8,12)/10,0)</f>
        <v>39</v>
      </c>
      <c r="AM26" s="4">
        <f ca="1">ROUND(T_Tiktok_ads[[#This Row],[video_views]]*RANDBETWEEN(8,12)/10,0)</f>
        <v>281480</v>
      </c>
      <c r="AN26" s="4">
        <f ca="1">ROUND(T_Tiktok_ads[[#This Row],[video_watch_25]]*RANDBETWEEN(8,12)/10,0)</f>
        <v>164111</v>
      </c>
      <c r="AO26" s="4">
        <f ca="1">ROUND(T_Tiktok_ads[[#This Row],[video_watch_50]]*RANDBETWEEN(8,12)/10,0)</f>
        <v>91654</v>
      </c>
      <c r="AP26" s="4">
        <f ca="1">ROUND(T_Tiktok_ads[[#This Row],[video_watch_75]]*RANDBETWEEN(8,12)/10,0)</f>
        <v>84957</v>
      </c>
      <c r="AQ26" s="4">
        <f ca="1">ROUND(T_Tiktok_ads[[#This Row],[video_watch_100]]*RANDBETWEEN(8,12)/10,0)</f>
        <v>61481</v>
      </c>
      <c r="AR26" s="4">
        <f ca="1">ROUND(T_Tiktok_ads[[#This Row],[likes]]*RANDBETWEEN(8,12)/10,0)</f>
        <v>8276</v>
      </c>
      <c r="AS26" s="4">
        <f ca="1">ROUND(T_Tiktok_ads[[#This Row],[shares]]*RANDBETWEEN(8,12)/10,0)</f>
        <v>2510</v>
      </c>
      <c r="AT26" s="4">
        <f ca="1">ROUND(T_Tiktok_ads[[#This Row],[comments]]*RANDBETWEEN(8,12)/10,0)</f>
        <v>525</v>
      </c>
      <c r="AV26" s="5">
        <f t="shared" ca="1" si="3"/>
        <v>44962</v>
      </c>
      <c r="AW26">
        <f t="shared" ca="1" si="4"/>
        <v>3</v>
      </c>
      <c r="AX26">
        <f ca="1">ROUND(T_Facebook_Ads1159[[#This Row],[impressions]]*RANDBETWEEN(2,10)/10,0)</f>
        <v>31578</v>
      </c>
      <c r="AY26">
        <f ca="1">ROUND(T_Facebook_Ads1159[[#This Row],[clicks]]*RANDBETWEEN(8,12)/10,0)</f>
        <v>810</v>
      </c>
      <c r="AZ26">
        <f ca="1">T_Facebook_Ads1159[[#This Row],[spend]]*RANDBETWEEN(8,12)/10</f>
        <v>127.53</v>
      </c>
      <c r="BA26">
        <f ca="1">ROUND(T_Facebook_Ads1159[[#This Row],[conversions]]*RANDBETWEEN(8,12)/10,0)</f>
        <v>18</v>
      </c>
      <c r="BB26">
        <f ca="1">ROUND(T_Facebook_Ads1159[[#This Row],[video_views]]*RANDBETWEEN(8,12)/10,0)</f>
        <v>6729</v>
      </c>
    </row>
    <row r="27" spans="1:54" ht="15.75" thickBot="1" x14ac:dyDescent="0.3">
      <c r="A27" s="3">
        <f t="shared" ca="1" si="0"/>
        <v>44961</v>
      </c>
      <c r="B27" s="4" t="s">
        <v>60</v>
      </c>
      <c r="C27" s="4" t="s">
        <v>61</v>
      </c>
      <c r="D27" s="4" t="s">
        <v>62</v>
      </c>
      <c r="E27" s="4" t="s">
        <v>63</v>
      </c>
      <c r="F27" s="4">
        <f ca="1">ROUND(T_Facebook_Ads[[#This Row],[impressions]]*RANDBETWEEN(8,12)/10,0)</f>
        <v>43747</v>
      </c>
      <c r="G27" s="4">
        <v>1312</v>
      </c>
      <c r="H27" s="4">
        <f ca="1">T_Facebook_Ads[[#This Row],[spend]]*RANDBETWEEN(8,12)/10</f>
        <v>159.84</v>
      </c>
      <c r="I27" s="4">
        <f ca="1">ROUND(T_Facebook_Ads[[#This Row],[conversions]]*RANDBETWEEN(8,12)/10,0)</f>
        <v>31</v>
      </c>
      <c r="J27" s="4">
        <f ca="1">ROUND(T_Facebook_Ads[[#This Row],[video_views]]*RANDBETWEEN(8,12)/10,0)</f>
        <v>4341</v>
      </c>
      <c r="K27" s="4">
        <f ca="1">T_Facebook_Ads[[#This Row],[engagement_rate]]*RANDBETWEEN(8,12)/10</f>
        <v>4.3199999999999995E-2</v>
      </c>
      <c r="L27" s="4">
        <f ca="1">ROUND(T_Facebook_Ads[[#This Row],[reach]]*RANDBETWEEN(8,12)/10,0)</f>
        <v>24187</v>
      </c>
      <c r="M27" s="4">
        <f ca="1">T_Facebook_Ads[[#This Row],[frequency]]*RANDBETWEEN(8,12)/10</f>
        <v>1.089</v>
      </c>
      <c r="O27" s="3">
        <f t="shared" ca="1" si="1"/>
        <v>44982</v>
      </c>
      <c r="P27" s="4" t="s">
        <v>84</v>
      </c>
      <c r="Q27" s="4" t="s">
        <v>85</v>
      </c>
      <c r="R27" s="4" t="s">
        <v>86</v>
      </c>
      <c r="S27" s="4" t="s">
        <v>87</v>
      </c>
      <c r="T27" s="4">
        <f ca="1">ROUND(_Google_ads[[#This Row],[impressions]]*RANDBETWEEN(8,12)/10,0)</f>
        <v>58765</v>
      </c>
      <c r="U27" s="4">
        <f ca="1">ROUND(_Google_ads[[#This Row],[clicks]]*RANDBETWEEN(8,12)/10,0)</f>
        <v>2665</v>
      </c>
      <c r="V27" s="4">
        <f ca="1">_Google_ads[[#This Row],[cost]]*RANDBETWEEN(8,12)/10</f>
        <v>485.98</v>
      </c>
      <c r="W27" s="4">
        <f ca="1">ROUND(_Google_ads[[#This Row],[conversions]]*RANDBETWEEN(8,12)/10,0)</f>
        <v>70</v>
      </c>
      <c r="X27" s="4">
        <f ca="1">ROUND(_Google_ads[[#This Row],[conversion_value]]*RANDBETWEEN(8,12)/10,0)</f>
        <v>2800</v>
      </c>
      <c r="Y27" s="4">
        <f ca="1">_Google_ads[[#This Row],[ctr]]*RANDBETWEEN(8,12)/10</f>
        <v>2.64E-2</v>
      </c>
      <c r="Z27" s="4">
        <f ca="1">_Google_ads[[#This Row],[avg_cpc]]*RANDBETWEEN(8,12)/10</f>
        <v>0.19800000000000001</v>
      </c>
      <c r="AA27" s="4">
        <f ca="1">ROUND(_Google_ads[[#This Row],[quality_score]]*RANDBETWEEN(8,12)/10,0)</f>
        <v>10</v>
      </c>
      <c r="AB27" s="4">
        <f ca="1">_Google_ads[[#This Row],[search_impression_share]]*RANDBETWEEN(8,12)/10</f>
        <v>0.81600000000000006</v>
      </c>
      <c r="AD27" s="3">
        <f t="shared" ca="1" si="2"/>
        <v>44984</v>
      </c>
      <c r="AE27" s="4" t="s">
        <v>108</v>
      </c>
      <c r="AF27" s="4" t="s">
        <v>109</v>
      </c>
      <c r="AG27" s="4" t="s">
        <v>110</v>
      </c>
      <c r="AH27" s="4" t="s">
        <v>111</v>
      </c>
      <c r="AI27" s="4">
        <f ca="1">ROUND(T_Tiktok_ads[[#This Row],[impressions]]*RANDBETWEEN(8,12)/10,0)</f>
        <v>218901</v>
      </c>
      <c r="AJ27" s="4">
        <f ca="1">ROUND(T_Tiktok_ads[[#This Row],[clicks]]*RANDBETWEEN(8,12)/10,0)</f>
        <v>3110</v>
      </c>
      <c r="AK27" s="4">
        <v>414.4</v>
      </c>
      <c r="AL27" s="4">
        <f ca="1">ROUND(T_Tiktok_ads[[#This Row],[conversions]]*RANDBETWEEN(8,12)/10,0)</f>
        <v>23</v>
      </c>
      <c r="AM27" s="4">
        <f ca="1">ROUND(T_Tiktok_ads[[#This Row],[video_views]]*RANDBETWEEN(8,12)/10,0)</f>
        <v>190802</v>
      </c>
      <c r="AN27" s="4">
        <f ca="1">ROUND(T_Tiktok_ads[[#This Row],[video_watch_25]]*RANDBETWEEN(8,12)/10,0)</f>
        <v>105254</v>
      </c>
      <c r="AO27" s="4">
        <f ca="1">ROUND(T_Tiktok_ads[[#This Row],[video_watch_50]]*RANDBETWEEN(8,12)/10,0)</f>
        <v>113924</v>
      </c>
      <c r="AP27" s="4">
        <f ca="1">ROUND(T_Tiktok_ads[[#This Row],[video_watch_75]]*RANDBETWEEN(8,12)/10,0)</f>
        <v>53787</v>
      </c>
      <c r="AQ27" s="4">
        <f ca="1">ROUND(T_Tiktok_ads[[#This Row],[video_watch_100]]*RANDBETWEEN(8,12)/10,0)</f>
        <v>32454</v>
      </c>
      <c r="AR27" s="4">
        <f ca="1">ROUND(T_Tiktok_ads[[#This Row],[likes]]*RANDBETWEEN(8,12)/10,0)</f>
        <v>8813</v>
      </c>
      <c r="AS27" s="4">
        <f ca="1">ROUND(T_Tiktok_ads[[#This Row],[shares]]*RANDBETWEEN(8,12)/10,0)</f>
        <v>1761</v>
      </c>
      <c r="AT27" s="4">
        <f ca="1">ROUND(T_Tiktok_ads[[#This Row],[comments]]*RANDBETWEEN(8,12)/10,0)</f>
        <v>471</v>
      </c>
      <c r="AV27" s="5">
        <f t="shared" ca="1" si="3"/>
        <v>44971</v>
      </c>
      <c r="AW27">
        <f t="shared" ca="1" si="4"/>
        <v>6</v>
      </c>
      <c r="AX27">
        <f ca="1">ROUND(T_Facebook_Ads1159[[#This Row],[impressions]]*RANDBETWEEN(2,10)/10,0)</f>
        <v>43747</v>
      </c>
      <c r="AY27">
        <f ca="1">ROUND(T_Facebook_Ads1159[[#This Row],[clicks]]*RANDBETWEEN(8,12)/10,0)</f>
        <v>1443</v>
      </c>
      <c r="AZ27">
        <f ca="1">T_Facebook_Ads1159[[#This Row],[spend]]*RANDBETWEEN(8,12)/10</f>
        <v>191.80799999999999</v>
      </c>
      <c r="BA27">
        <f ca="1">ROUND(T_Facebook_Ads1159[[#This Row],[conversions]]*RANDBETWEEN(8,12)/10,0)</f>
        <v>28</v>
      </c>
      <c r="BB27">
        <f ca="1">ROUND(T_Facebook_Ads1159[[#This Row],[video_views]]*RANDBETWEEN(8,12)/10,0)</f>
        <v>4341</v>
      </c>
    </row>
    <row r="28" spans="1:54" ht="15.75" thickBot="1" x14ac:dyDescent="0.3">
      <c r="A28" s="3">
        <f t="shared" ca="1" si="0"/>
        <v>44982</v>
      </c>
      <c r="B28" s="4" t="s">
        <v>64</v>
      </c>
      <c r="C28" s="4" t="s">
        <v>65</v>
      </c>
      <c r="D28" s="4" t="s">
        <v>66</v>
      </c>
      <c r="E28" s="4" t="s">
        <v>67</v>
      </c>
      <c r="F28" s="4">
        <f ca="1">ROUND(T_Facebook_Ads[[#This Row],[impressions]]*RANDBETWEEN(8,12)/10,0)</f>
        <v>56098</v>
      </c>
      <c r="G28" s="4">
        <v>253</v>
      </c>
      <c r="H28" s="4">
        <f ca="1">T_Facebook_Ads[[#This Row],[spend]]*RANDBETWEEN(8,12)/10</f>
        <v>112.31999999999998</v>
      </c>
      <c r="I28" s="4">
        <f ca="1">ROUND(T_Facebook_Ads[[#This Row],[conversions]]*RANDBETWEEN(8,12)/10,0)</f>
        <v>6</v>
      </c>
      <c r="J28" s="4">
        <f ca="1">ROUND(T_Facebook_Ads[[#This Row],[video_views]]*RANDBETWEEN(8,12)/10,0)</f>
        <v>38587</v>
      </c>
      <c r="K28" s="4">
        <f ca="1">T_Facebook_Ads[[#This Row],[engagement_rate]]*RANDBETWEEN(8,12)/10</f>
        <v>3.96E-3</v>
      </c>
      <c r="L28" s="4">
        <f ca="1">ROUND(T_Facebook_Ads[[#This Row],[reach]]*RANDBETWEEN(8,12)/10,0)</f>
        <v>70147</v>
      </c>
      <c r="M28" s="4">
        <f ca="1">T_Facebook_Ads[[#This Row],[frequency]]*RANDBETWEEN(8,12)/10</f>
        <v>1.0799999999999998</v>
      </c>
      <c r="O28" s="3">
        <f t="shared" ca="1" si="1"/>
        <v>44960</v>
      </c>
      <c r="P28" s="4" t="s">
        <v>88</v>
      </c>
      <c r="Q28" s="4" t="s">
        <v>89</v>
      </c>
      <c r="R28" s="4" t="s">
        <v>90</v>
      </c>
      <c r="S28" s="4" t="s">
        <v>59</v>
      </c>
      <c r="T28" s="4">
        <f ca="1">ROUND(_Google_ads[[#This Row],[impressions]]*RANDBETWEEN(8,12)/10,0)</f>
        <v>116411</v>
      </c>
      <c r="U28" s="4">
        <f ca="1">ROUND(_Google_ads[[#This Row],[clicks]]*RANDBETWEEN(8,12)/10,0)</f>
        <v>456</v>
      </c>
      <c r="V28" s="4">
        <f ca="1">_Google_ads[[#This Row],[cost]]*RANDBETWEEN(8,12)/10</f>
        <v>125.6</v>
      </c>
      <c r="W28" s="4">
        <f ca="1">ROUND(_Google_ads[[#This Row],[conversions]]*RANDBETWEEN(8,12)/10,0)</f>
        <v>11</v>
      </c>
      <c r="X28" s="4">
        <f ca="1">ROUND(_Google_ads[[#This Row],[conversion_value]]*RANDBETWEEN(8,12)/10,0)</f>
        <v>720</v>
      </c>
      <c r="Y28" s="4">
        <f ca="1">_Google_ads[[#This Row],[ctr]]*RANDBETWEEN(8,12)/10</f>
        <v>4.2000000000000006E-3</v>
      </c>
      <c r="Z28" s="4">
        <f ca="1">_Google_ads[[#This Row],[avg_cpc]]*RANDBETWEEN(8,12)/10</f>
        <v>0.33600000000000002</v>
      </c>
      <c r="AA28" s="4">
        <f ca="1">ROUND(_Google_ads[[#This Row],[quality_score]]*RANDBETWEEN(8,12)/10,0)</f>
        <v>6</v>
      </c>
      <c r="AB28" s="4">
        <f ca="1">_Google_ads[[#This Row],[search_impression_share]]*RANDBETWEEN(8,12)/10</f>
        <v>0.38499999999999995</v>
      </c>
      <c r="AD28" s="3">
        <f t="shared" ca="1" si="2"/>
        <v>44959</v>
      </c>
      <c r="AE28" s="4" t="s">
        <v>112</v>
      </c>
      <c r="AF28" s="4" t="s">
        <v>113</v>
      </c>
      <c r="AG28" s="4" t="s">
        <v>114</v>
      </c>
      <c r="AH28" s="4" t="s">
        <v>115</v>
      </c>
      <c r="AI28" s="4">
        <f ca="1">ROUND(T_Tiktok_ads[[#This Row],[impressions]]*RANDBETWEEN(8,12)/10,0)</f>
        <v>481481</v>
      </c>
      <c r="AJ28" s="4">
        <f ca="1">ROUND(T_Tiktok_ads[[#This Row],[clicks]]*RANDBETWEEN(8,12)/10,0)</f>
        <v>6456</v>
      </c>
      <c r="AK28" s="4">
        <v>989.9</v>
      </c>
      <c r="AL28" s="4">
        <f ca="1">ROUND(T_Tiktok_ads[[#This Row],[conversions]]*RANDBETWEEN(8,12)/10,0)</f>
        <v>81</v>
      </c>
      <c r="AM28" s="4">
        <f ca="1">ROUND(T_Tiktok_ads[[#This Row],[video_views]]*RANDBETWEEN(8,12)/10,0)</f>
        <v>332345</v>
      </c>
      <c r="AN28" s="4">
        <f ca="1">ROUND(T_Tiktok_ads[[#This Row],[video_watch_25]]*RANDBETWEEN(8,12)/10,0)</f>
        <v>321468</v>
      </c>
      <c r="AO28" s="4">
        <f ca="1">ROUND(T_Tiktok_ads[[#This Row],[video_watch_50]]*RANDBETWEEN(8,12)/10,0)</f>
        <v>193110</v>
      </c>
      <c r="AP28" s="4">
        <f ca="1">ROUND(T_Tiktok_ads[[#This Row],[video_watch_75]]*RANDBETWEEN(8,12)/10,0)</f>
        <v>120987</v>
      </c>
      <c r="AQ28" s="4">
        <f ca="1">ROUND(T_Tiktok_ads[[#This Row],[video_watch_100]]*RANDBETWEEN(8,12)/10,0)</f>
        <v>79654</v>
      </c>
      <c r="AR28" s="4">
        <f ca="1">ROUND(T_Tiktok_ads[[#This Row],[likes]]*RANDBETWEEN(8,12)/10,0)</f>
        <v>15511</v>
      </c>
      <c r="AS28" s="4">
        <f ca="1">ROUND(T_Tiktok_ads[[#This Row],[shares]]*RANDBETWEEN(8,12)/10,0)</f>
        <v>4010</v>
      </c>
      <c r="AT28" s="4">
        <f ca="1">ROUND(T_Tiktok_ads[[#This Row],[comments]]*RANDBETWEEN(8,12)/10,0)</f>
        <v>1378</v>
      </c>
      <c r="AV28" s="5">
        <f t="shared" ca="1" si="3"/>
        <v>44975</v>
      </c>
      <c r="AW28">
        <f t="shared" ca="1" si="4"/>
        <v>2</v>
      </c>
      <c r="AX28">
        <f ca="1">ROUND(T_Facebook_Ads1159[[#This Row],[impressions]]*RANDBETWEEN(2,10)/10,0)</f>
        <v>28049</v>
      </c>
      <c r="AY28">
        <f ca="1">ROUND(T_Facebook_Ads1159[[#This Row],[clicks]]*RANDBETWEEN(8,12)/10,0)</f>
        <v>202</v>
      </c>
      <c r="AZ28">
        <f ca="1">T_Facebook_Ads1159[[#This Row],[spend]]*RANDBETWEEN(8,12)/10</f>
        <v>112.31999999999998</v>
      </c>
      <c r="BA28">
        <f ca="1">ROUND(T_Facebook_Ads1159[[#This Row],[conversions]]*RANDBETWEEN(8,12)/10,0)</f>
        <v>6</v>
      </c>
      <c r="BB28">
        <f ca="1">ROUND(T_Facebook_Ads1159[[#This Row],[video_views]]*RANDBETWEEN(8,12)/10,0)</f>
        <v>46304</v>
      </c>
    </row>
    <row r="29" spans="1:54" ht="15.75" thickBot="1" x14ac:dyDescent="0.3">
      <c r="A29" s="3">
        <f t="shared" ca="1" si="0"/>
        <v>44973</v>
      </c>
      <c r="B29" s="4" t="s">
        <v>52</v>
      </c>
      <c r="C29" s="4" t="s">
        <v>53</v>
      </c>
      <c r="D29" s="4" t="s">
        <v>54</v>
      </c>
      <c r="E29" s="4" t="s">
        <v>55</v>
      </c>
      <c r="F29" s="4">
        <f ca="1">ROUND(T_Facebook_Ads[[#This Row],[impressions]]*RANDBETWEEN(8,12)/10,0)</f>
        <v>38854</v>
      </c>
      <c r="G29" s="4">
        <v>978</v>
      </c>
      <c r="H29" s="4">
        <f ca="1">T_Facebook_Ads[[#This Row],[spend]]*RANDBETWEEN(8,12)/10</f>
        <v>151.58000000000001</v>
      </c>
      <c r="I29" s="4">
        <f ca="1">ROUND(T_Facebook_Ads[[#This Row],[conversions]]*RANDBETWEEN(8,12)/10,0)</f>
        <v>15</v>
      </c>
      <c r="J29" s="4">
        <f ca="1">ROUND(T_Facebook_Ads[[#This Row],[video_views]]*RANDBETWEEN(8,12)/10,0)</f>
        <v>9840</v>
      </c>
      <c r="K29" s="4">
        <f ca="1">T_Facebook_Ads[[#This Row],[engagement_rate]]*RANDBETWEEN(8,12)/10</f>
        <v>1.6080000000000001E-2</v>
      </c>
      <c r="L29" s="4">
        <f ca="1">ROUND(T_Facebook_Ads[[#This Row],[reach]]*RANDBETWEEN(8,12)/10,0)</f>
        <v>44502</v>
      </c>
      <c r="M29" s="4">
        <f ca="1">T_Facebook_Ads[[#This Row],[frequency]]*RANDBETWEEN(8,12)/10</f>
        <v>1.2</v>
      </c>
      <c r="O29" s="3">
        <f t="shared" ca="1" si="1"/>
        <v>44965</v>
      </c>
      <c r="P29" s="4" t="s">
        <v>76</v>
      </c>
      <c r="Q29" s="4" t="s">
        <v>77</v>
      </c>
      <c r="R29" s="4" t="s">
        <v>78</v>
      </c>
      <c r="S29" s="4" t="s">
        <v>79</v>
      </c>
      <c r="T29" s="4">
        <f ca="1">ROUND(_Google_ads[[#This Row],[impressions]]*RANDBETWEEN(8,12)/10,0)</f>
        <v>24678</v>
      </c>
      <c r="U29" s="4">
        <f ca="1">ROUND(_Google_ads[[#This Row],[clicks]]*RANDBETWEEN(8,12)/10,0)</f>
        <v>1160</v>
      </c>
      <c r="V29" s="4">
        <f ca="1">_Google_ads[[#This Row],[cost]]*RANDBETWEEN(8,12)/10</f>
        <v>196.72</v>
      </c>
      <c r="W29" s="4">
        <f ca="1">ROUND(_Google_ads[[#This Row],[conversions]]*RANDBETWEEN(8,12)/10,0)</f>
        <v>53</v>
      </c>
      <c r="X29" s="4">
        <f ca="1">ROUND(_Google_ads[[#This Row],[conversion_value]]*RANDBETWEEN(8,12)/10,0)</f>
        <v>2400</v>
      </c>
      <c r="Y29" s="4">
        <f ca="1">_Google_ads[[#This Row],[ctr]]*RANDBETWEEN(8,12)/10</f>
        <v>5.2200000000000003E-2</v>
      </c>
      <c r="Z29" s="4">
        <f ca="1">_Google_ads[[#This Row],[avg_cpc]]*RANDBETWEEN(8,12)/10</f>
        <v>0.22800000000000004</v>
      </c>
      <c r="AA29" s="4">
        <f ca="1">ROUND(_Google_ads[[#This Row],[quality_score]]*RANDBETWEEN(8,12)/10,0)</f>
        <v>9</v>
      </c>
      <c r="AB29" s="4">
        <f ca="1">_Google_ads[[#This Row],[search_impression_share]]*RANDBETWEEN(8,12)/10</f>
        <v>1.0009999999999999</v>
      </c>
      <c r="AD29" s="3">
        <f t="shared" ca="1" si="2"/>
        <v>44972</v>
      </c>
      <c r="AE29" s="4" t="s">
        <v>100</v>
      </c>
      <c r="AF29" s="4" t="s">
        <v>101</v>
      </c>
      <c r="AG29" s="4" t="s">
        <v>102</v>
      </c>
      <c r="AH29" s="4" t="s">
        <v>103</v>
      </c>
      <c r="AI29" s="4">
        <f ca="1">ROUND(T_Tiktok_ads[[#This Row],[impressions]]*RANDBETWEEN(8,12)/10,0)</f>
        <v>281857</v>
      </c>
      <c r="AJ29" s="4">
        <f ca="1">ROUND(T_Tiktok_ads[[#This Row],[clicks]]*RANDBETWEEN(8,12)/10,0)</f>
        <v>3701</v>
      </c>
      <c r="AK29" s="4">
        <v>490.5</v>
      </c>
      <c r="AL29" s="4">
        <f ca="1">ROUND(T_Tiktok_ads[[#This Row],[conversions]]*RANDBETWEEN(8,12)/10,0)</f>
        <v>46</v>
      </c>
      <c r="AM29" s="4">
        <f ca="1">ROUND(T_Tiktok_ads[[#This Row],[video_views]]*RANDBETWEEN(8,12)/10,0)</f>
        <v>167387</v>
      </c>
      <c r="AN29" s="4">
        <f ca="1">ROUND(T_Tiktok_ads[[#This Row],[video_watch_25]]*RANDBETWEEN(8,12)/10,0)</f>
        <v>163567</v>
      </c>
      <c r="AO29" s="4">
        <f ca="1">ROUND(T_Tiktok_ads[[#This Row],[video_watch_50]]*RANDBETWEEN(8,12)/10,0)</f>
        <v>112824</v>
      </c>
      <c r="AP29" s="4">
        <f ca="1">ROUND(T_Tiktok_ads[[#This Row],[video_watch_75]]*RANDBETWEEN(8,12)/10,0)</f>
        <v>69567</v>
      </c>
      <c r="AQ29" s="4">
        <f ca="1">ROUND(T_Tiktok_ads[[#This Row],[video_watch_100]]*RANDBETWEEN(8,12)/10,0)</f>
        <v>51224</v>
      </c>
      <c r="AR29" s="4">
        <f ca="1">ROUND(T_Tiktok_ads[[#This Row],[likes]]*RANDBETWEEN(8,12)/10,0)</f>
        <v>9123</v>
      </c>
      <c r="AS29" s="4">
        <f ca="1">ROUND(T_Tiktok_ads[[#This Row],[shares]]*RANDBETWEEN(8,12)/10,0)</f>
        <v>2908</v>
      </c>
      <c r="AT29" s="4">
        <f ca="1">ROUND(T_Tiktok_ads[[#This Row],[comments]]*RANDBETWEEN(8,12)/10,0)</f>
        <v>541</v>
      </c>
      <c r="AV29" s="5">
        <f t="shared" ca="1" si="3"/>
        <v>44979</v>
      </c>
      <c r="AW29">
        <f t="shared" ca="1" si="4"/>
        <v>4</v>
      </c>
      <c r="AX29">
        <f ca="1">ROUND(T_Facebook_Ads1159[[#This Row],[impressions]]*RANDBETWEEN(2,10)/10,0)</f>
        <v>7771</v>
      </c>
      <c r="AY29">
        <f ca="1">ROUND(T_Facebook_Ads1159[[#This Row],[clicks]]*RANDBETWEEN(8,12)/10,0)</f>
        <v>1174</v>
      </c>
      <c r="AZ29">
        <f ca="1">T_Facebook_Ads1159[[#This Row],[spend]]*RANDBETWEEN(8,12)/10</f>
        <v>151.58000000000001</v>
      </c>
      <c r="BA29">
        <f ca="1">ROUND(T_Facebook_Ads1159[[#This Row],[conversions]]*RANDBETWEEN(8,12)/10,0)</f>
        <v>12</v>
      </c>
      <c r="BB29">
        <f ca="1">ROUND(T_Facebook_Ads1159[[#This Row],[video_views]]*RANDBETWEEN(8,12)/10,0)</f>
        <v>9840</v>
      </c>
    </row>
    <row r="30" spans="1:54" ht="15.75" thickBot="1" x14ac:dyDescent="0.3">
      <c r="A30" s="3">
        <f t="shared" ca="1" si="0"/>
        <v>44974</v>
      </c>
      <c r="B30" s="4" t="s">
        <v>56</v>
      </c>
      <c r="C30" s="4" t="s">
        <v>57</v>
      </c>
      <c r="D30" s="4" t="s">
        <v>58</v>
      </c>
      <c r="E30" s="4" t="s">
        <v>59</v>
      </c>
      <c r="F30" s="4">
        <f ca="1">ROUND(T_Facebook_Ads[[#This Row],[impressions]]*RANDBETWEEN(8,12)/10,0)</f>
        <v>12410</v>
      </c>
      <c r="G30" s="4">
        <v>645</v>
      </c>
      <c r="H30" s="4">
        <f ca="1">T_Facebook_Ads[[#This Row],[spend]]*RANDBETWEEN(8,12)/10</f>
        <v>241.2</v>
      </c>
      <c r="I30" s="4">
        <f ca="1">ROUND(T_Facebook_Ads[[#This Row],[conversions]]*RANDBETWEEN(8,12)/10,0)</f>
        <v>49</v>
      </c>
      <c r="J30" s="4">
        <f ca="1">ROUND(T_Facebook_Ads[[#This Row],[video_views]]*RANDBETWEEN(8,12)/10,0)</f>
        <v>1191</v>
      </c>
      <c r="K30" s="4">
        <f ca="1">T_Facebook_Ads[[#This Row],[engagement_rate]]*RANDBETWEEN(8,12)/10</f>
        <v>5.6160000000000002E-2</v>
      </c>
      <c r="L30" s="4">
        <f ca="1">ROUND(T_Facebook_Ads[[#This Row],[reach]]*RANDBETWEEN(8,12)/10,0)</f>
        <v>11868</v>
      </c>
      <c r="M30" s="4">
        <f ca="1">T_Facebook_Ads[[#This Row],[frequency]]*RANDBETWEEN(8,12)/10</f>
        <v>1.1519999999999999</v>
      </c>
      <c r="O30" s="3">
        <f t="shared" ca="1" si="1"/>
        <v>44961</v>
      </c>
      <c r="P30" s="4" t="s">
        <v>80</v>
      </c>
      <c r="Q30" s="4" t="s">
        <v>81</v>
      </c>
      <c r="R30" s="4" t="s">
        <v>82</v>
      </c>
      <c r="S30" s="4" t="s">
        <v>83</v>
      </c>
      <c r="T30" s="4">
        <f ca="1">ROUND(_Google_ads[[#This Row],[impressions]]*RANDBETWEEN(8,12)/10,0)</f>
        <v>36187</v>
      </c>
      <c r="U30" s="4">
        <f ca="1">ROUND(_Google_ads[[#This Row],[clicks]]*RANDBETWEEN(8,12)/10,0)</f>
        <v>991</v>
      </c>
      <c r="V30" s="4">
        <f ca="1">_Google_ads[[#This Row],[cost]]*RANDBETWEEN(8,12)/10</f>
        <v>521.01</v>
      </c>
      <c r="W30" s="4">
        <f ca="1">ROUND(_Google_ads[[#This Row],[conversions]]*RANDBETWEEN(8,12)/10,0)</f>
        <v>21</v>
      </c>
      <c r="X30" s="4">
        <f ca="1">ROUND(_Google_ads[[#This Row],[conversion_value]]*RANDBETWEEN(8,12)/10,0)</f>
        <v>1150</v>
      </c>
      <c r="Y30" s="4">
        <f ca="1">_Google_ads[[#This Row],[ctr]]*RANDBETWEEN(8,12)/10</f>
        <v>2.3880000000000002E-2</v>
      </c>
      <c r="Z30" s="4">
        <f ca="1">_Google_ads[[#This Row],[avg_cpc]]*RANDBETWEEN(8,12)/10</f>
        <v>0.64</v>
      </c>
      <c r="AA30" s="4">
        <f ca="1">ROUND(_Google_ads[[#This Row],[quality_score]]*RANDBETWEEN(8,12)/10,0)</f>
        <v>7</v>
      </c>
      <c r="AB30" s="4">
        <f ca="1">_Google_ads[[#This Row],[search_impression_share]]*RANDBETWEEN(8,12)/10</f>
        <v>0.495</v>
      </c>
      <c r="AD30" s="3">
        <f t="shared" ca="1" si="2"/>
        <v>44966</v>
      </c>
      <c r="AE30" s="4" t="s">
        <v>104</v>
      </c>
      <c r="AF30" s="4" t="s">
        <v>105</v>
      </c>
      <c r="AG30" s="4" t="s">
        <v>106</v>
      </c>
      <c r="AH30" s="4" t="s">
        <v>107</v>
      </c>
      <c r="AI30" s="4">
        <f ca="1">ROUND(T_Tiktok_ads[[#This Row],[impressions]]*RANDBETWEEN(8,12)/10,0)</f>
        <v>131110</v>
      </c>
      <c r="AJ30" s="4">
        <f ca="1">ROUND(T_Tiktok_ads[[#This Row],[clicks]]*RANDBETWEEN(8,12)/10,0)</f>
        <v>2231</v>
      </c>
      <c r="AK30" s="4">
        <v>756.7</v>
      </c>
      <c r="AL30" s="4">
        <f ca="1">ROUND(T_Tiktok_ads[[#This Row],[conversions]]*RANDBETWEEN(8,12)/10,0)</f>
        <v>76</v>
      </c>
      <c r="AM30" s="4">
        <f ca="1">ROUND(T_Tiktok_ads[[#This Row],[video_views]]*RANDBETWEEN(8,12)/10,0)</f>
        <v>111357</v>
      </c>
      <c r="AN30" s="4">
        <f ca="1">ROUND(T_Tiktok_ads[[#This Row],[video_watch_25]]*RANDBETWEEN(8,12)/10,0)</f>
        <v>67110</v>
      </c>
      <c r="AO30" s="4">
        <f ca="1">ROUND(T_Tiktok_ads[[#This Row],[video_watch_50]]*RANDBETWEEN(8,12)/10,0)</f>
        <v>50234</v>
      </c>
      <c r="AP30" s="4">
        <f ca="1">ROUND(T_Tiktok_ads[[#This Row],[video_watch_75]]*RANDBETWEEN(8,12)/10,0)</f>
        <v>41679</v>
      </c>
      <c r="AQ30" s="4">
        <f ca="1">ROUND(T_Tiktok_ads[[#This Row],[video_watch_100]]*RANDBETWEEN(8,12)/10,0)</f>
        <v>25234</v>
      </c>
      <c r="AR30" s="4">
        <f ca="1">ROUND(T_Tiktok_ads[[#This Row],[likes]]*RANDBETWEEN(8,12)/10,0)</f>
        <v>4511</v>
      </c>
      <c r="AS30" s="4">
        <f ca="1">ROUND(T_Tiktok_ads[[#This Row],[shares]]*RANDBETWEEN(8,12)/10,0)</f>
        <v>1281</v>
      </c>
      <c r="AT30" s="4">
        <f ca="1">ROUND(T_Tiktok_ads[[#This Row],[comments]]*RANDBETWEEN(8,12)/10,0)</f>
        <v>320</v>
      </c>
      <c r="AV30" s="5">
        <f t="shared" ca="1" si="3"/>
        <v>44958</v>
      </c>
      <c r="AW30">
        <f t="shared" ca="1" si="4"/>
        <v>5</v>
      </c>
      <c r="AX30">
        <f ca="1">ROUND(T_Facebook_Ads1159[[#This Row],[impressions]]*RANDBETWEEN(2,10)/10,0)</f>
        <v>6205</v>
      </c>
      <c r="AY30">
        <f ca="1">ROUND(T_Facebook_Ads1159[[#This Row],[clicks]]*RANDBETWEEN(8,12)/10,0)</f>
        <v>645</v>
      </c>
      <c r="AZ30">
        <f ca="1">T_Facebook_Ads1159[[#This Row],[spend]]*RANDBETWEEN(8,12)/10</f>
        <v>241.2</v>
      </c>
      <c r="BA30">
        <f ca="1">ROUND(T_Facebook_Ads1159[[#This Row],[conversions]]*RANDBETWEEN(8,12)/10,0)</f>
        <v>39</v>
      </c>
      <c r="BB30">
        <f ca="1">ROUND(T_Facebook_Ads1159[[#This Row],[video_views]]*RANDBETWEEN(8,12)/10,0)</f>
        <v>953</v>
      </c>
    </row>
    <row r="31" spans="1:54" ht="15.75" thickBot="1" x14ac:dyDescent="0.3">
      <c r="A31" s="3">
        <f t="shared" ca="1" si="0"/>
        <v>44967</v>
      </c>
      <c r="B31" s="4" t="s">
        <v>60</v>
      </c>
      <c r="C31" s="4" t="s">
        <v>61</v>
      </c>
      <c r="D31" s="4" t="s">
        <v>62</v>
      </c>
      <c r="E31" s="4" t="s">
        <v>63</v>
      </c>
      <c r="F31" s="4">
        <f ca="1">ROUND(T_Facebook_Ads[[#This Row],[impressions]]*RANDBETWEEN(8,12)/10,0)</f>
        <v>30765</v>
      </c>
      <c r="G31" s="4">
        <v>1423</v>
      </c>
      <c r="H31" s="4">
        <f ca="1">T_Facebook_Ads[[#This Row],[spend]]*RANDBETWEEN(8,12)/10</f>
        <v>217.5</v>
      </c>
      <c r="I31" s="4">
        <f ca="1">ROUND(T_Facebook_Ads[[#This Row],[conversions]]*RANDBETWEEN(8,12)/10,0)</f>
        <v>29</v>
      </c>
      <c r="J31" s="4">
        <f ca="1">ROUND(T_Facebook_Ads[[#This Row],[video_views]]*RANDBETWEEN(8,12)/10,0)</f>
        <v>4098</v>
      </c>
      <c r="K31" s="4">
        <f ca="1">T_Facebook_Ads[[#This Row],[engagement_rate]]*RANDBETWEEN(8,12)/10</f>
        <v>3.3299999999999996E-2</v>
      </c>
      <c r="L31" s="4">
        <f ca="1">ROUND(T_Facebook_Ads[[#This Row],[reach]]*RANDBETWEEN(8,12)/10,0)</f>
        <v>37481</v>
      </c>
      <c r="M31" s="4">
        <f ca="1">T_Facebook_Ads[[#This Row],[frequency]]*RANDBETWEEN(8,12)/10</f>
        <v>1.353</v>
      </c>
      <c r="O31" s="3">
        <f t="shared" ca="1" si="1"/>
        <v>44975</v>
      </c>
      <c r="P31" s="4" t="s">
        <v>84</v>
      </c>
      <c r="Q31" s="4" t="s">
        <v>85</v>
      </c>
      <c r="R31" s="4" t="s">
        <v>86</v>
      </c>
      <c r="S31" s="4" t="s">
        <v>87</v>
      </c>
      <c r="T31" s="4">
        <f ca="1">ROUND(_Google_ads[[#This Row],[impressions]]*RANDBETWEEN(8,12)/10,0)</f>
        <v>75791</v>
      </c>
      <c r="U31" s="4">
        <f ca="1">ROUND(_Google_ads[[#This Row],[clicks]]*RANDBETWEEN(8,12)/10,0)</f>
        <v>2040</v>
      </c>
      <c r="V31" s="4">
        <f ca="1">_Google_ads[[#This Row],[cost]]*RANDBETWEEN(8,12)/10</f>
        <v>497.03999999999996</v>
      </c>
      <c r="W31" s="4">
        <f ca="1">ROUND(_Google_ads[[#This Row],[conversions]]*RANDBETWEEN(8,12)/10,0)</f>
        <v>58</v>
      </c>
      <c r="X31" s="4">
        <f ca="1">ROUND(_Google_ads[[#This Row],[conversion_value]]*RANDBETWEEN(8,12)/10,0)</f>
        <v>3200</v>
      </c>
      <c r="Y31" s="4">
        <f ca="1">_Google_ads[[#This Row],[ctr]]*RANDBETWEEN(8,12)/10</f>
        <v>2.9609999999999997E-2</v>
      </c>
      <c r="Z31" s="4">
        <f ca="1">_Google_ads[[#This Row],[avg_cpc]]*RANDBETWEEN(8,12)/10</f>
        <v>0.18</v>
      </c>
      <c r="AA31" s="4">
        <f ca="1">ROUND(_Google_ads[[#This Row],[quality_score]]*RANDBETWEEN(8,12)/10,0)</f>
        <v>9</v>
      </c>
      <c r="AB31" s="4">
        <f ca="1">_Google_ads[[#This Row],[search_impression_share]]*RANDBETWEEN(8,12)/10</f>
        <v>0.80400000000000005</v>
      </c>
      <c r="AD31" s="3">
        <f t="shared" ca="1" si="2"/>
        <v>44980</v>
      </c>
      <c r="AE31" s="4" t="s">
        <v>108</v>
      </c>
      <c r="AF31" s="4" t="s">
        <v>109</v>
      </c>
      <c r="AG31" s="4" t="s">
        <v>110</v>
      </c>
      <c r="AH31" s="4" t="s">
        <v>111</v>
      </c>
      <c r="AI31" s="4">
        <f ca="1">ROUND(T_Tiktok_ads[[#This Row],[impressions]]*RANDBETWEEN(8,12)/10,0)</f>
        <v>201110</v>
      </c>
      <c r="AJ31" s="4">
        <f ca="1">ROUND(T_Tiktok_ads[[#This Row],[clicks]]*RANDBETWEEN(8,12)/10,0)</f>
        <v>3210</v>
      </c>
      <c r="AK31" s="4">
        <v>427.7</v>
      </c>
      <c r="AL31" s="4">
        <f ca="1">ROUND(T_Tiktok_ads[[#This Row],[conversions]]*RANDBETWEEN(8,12)/10,0)</f>
        <v>27</v>
      </c>
      <c r="AM31" s="4">
        <f ca="1">ROUND(T_Tiktok_ads[[#This Row],[video_views]]*RANDBETWEEN(8,12)/10,0)</f>
        <v>143121</v>
      </c>
      <c r="AN31" s="4">
        <f ca="1">ROUND(T_Tiktok_ads[[#This Row],[video_watch_25]]*RANDBETWEEN(8,12)/10,0)</f>
        <v>135234</v>
      </c>
      <c r="AO31" s="4">
        <f ca="1">ROUND(T_Tiktok_ads[[#This Row],[video_watch_50]]*RANDBETWEEN(8,12)/10,0)</f>
        <v>106789</v>
      </c>
      <c r="AP31" s="4">
        <f ca="1">ROUND(T_Tiktok_ads[[#This Row],[video_watch_75]]*RANDBETWEEN(8,12)/10,0)</f>
        <v>69234</v>
      </c>
      <c r="AQ31" s="4">
        <f ca="1">ROUND(T_Tiktok_ads[[#This Row],[video_watch_100]]*RANDBETWEEN(8,12)/10,0)</f>
        <v>45968</v>
      </c>
      <c r="AR31" s="4">
        <f ca="1">ROUND(T_Tiktok_ads[[#This Row],[likes]]*RANDBETWEEN(8,12)/10,0)</f>
        <v>6587</v>
      </c>
      <c r="AS31" s="4">
        <f ca="1">ROUND(T_Tiktok_ads[[#This Row],[shares]]*RANDBETWEEN(8,12)/10,0)</f>
        <v>2267</v>
      </c>
      <c r="AT31" s="4">
        <f ca="1">ROUND(T_Tiktok_ads[[#This Row],[comments]]*RANDBETWEEN(8,12)/10,0)</f>
        <v>641</v>
      </c>
      <c r="AV31" s="5">
        <f t="shared" ca="1" si="3"/>
        <v>44965</v>
      </c>
      <c r="AW31">
        <f t="shared" ca="1" si="4"/>
        <v>6</v>
      </c>
      <c r="AX31">
        <f ca="1">ROUND(T_Facebook_Ads1159[[#This Row],[impressions]]*RANDBETWEEN(2,10)/10,0)</f>
        <v>12306</v>
      </c>
      <c r="AY31">
        <f ca="1">ROUND(T_Facebook_Ads1159[[#This Row],[clicks]]*RANDBETWEEN(8,12)/10,0)</f>
        <v>1423</v>
      </c>
      <c r="AZ31">
        <f ca="1">T_Facebook_Ads1159[[#This Row],[spend]]*RANDBETWEEN(8,12)/10</f>
        <v>217.5</v>
      </c>
      <c r="BA31">
        <f ca="1">ROUND(T_Facebook_Ads1159[[#This Row],[conversions]]*RANDBETWEEN(8,12)/10,0)</f>
        <v>26</v>
      </c>
      <c r="BB31">
        <f ca="1">ROUND(T_Facebook_Ads1159[[#This Row],[video_views]]*RANDBETWEEN(8,12)/10,0)</f>
        <v>4098</v>
      </c>
    </row>
    <row r="32" spans="1:54" ht="15.75" thickBot="1" x14ac:dyDescent="0.3">
      <c r="A32" s="3">
        <f t="shared" ca="1" si="0"/>
        <v>44983</v>
      </c>
      <c r="B32" s="4" t="s">
        <v>52</v>
      </c>
      <c r="C32" s="4" t="s">
        <v>53</v>
      </c>
      <c r="D32" s="4" t="s">
        <v>54</v>
      </c>
      <c r="E32" s="4" t="s">
        <v>55</v>
      </c>
      <c r="F32" s="4">
        <f ca="1">ROUND(T_Facebook_Ads[[#This Row],[impressions]]*RANDBETWEEN(8,12)/10,0)</f>
        <v>62548</v>
      </c>
      <c r="G32" s="4">
        <v>1089</v>
      </c>
      <c r="H32" s="4">
        <f ca="1">T_Facebook_Ads[[#This Row],[spend]]*RANDBETWEEN(8,12)/10</f>
        <v>163.45999999999998</v>
      </c>
      <c r="I32" s="4">
        <f ca="1">ROUND(T_Facebook_Ads[[#This Row],[conversions]]*RANDBETWEEN(8,12)/10,0)</f>
        <v>14</v>
      </c>
      <c r="J32" s="4">
        <f ca="1">ROUND(T_Facebook_Ads[[#This Row],[video_views]]*RANDBETWEEN(8,12)/10,0)</f>
        <v>7654</v>
      </c>
      <c r="K32" s="4">
        <f ca="1">T_Facebook_Ads[[#This Row],[engagement_rate]]*RANDBETWEEN(8,12)/10</f>
        <v>2.5079999999999998E-2</v>
      </c>
      <c r="L32" s="4">
        <f ca="1">ROUND(T_Facebook_Ads[[#This Row],[reach]]*RANDBETWEEN(8,12)/10,0)</f>
        <v>43234</v>
      </c>
      <c r="M32" s="4">
        <f ca="1">T_Facebook_Ads[[#This Row],[frequency]]*RANDBETWEEN(8,12)/10</f>
        <v>0.96799999999999997</v>
      </c>
      <c r="O32" s="3">
        <f t="shared" ca="1" si="1"/>
        <v>44962</v>
      </c>
      <c r="P32" s="4" t="s">
        <v>76</v>
      </c>
      <c r="Q32" s="4" t="s">
        <v>77</v>
      </c>
      <c r="R32" s="4" t="s">
        <v>78</v>
      </c>
      <c r="S32" s="4" t="s">
        <v>79</v>
      </c>
      <c r="T32" s="4">
        <f ca="1">ROUND(_Google_ads[[#This Row],[impressions]]*RANDBETWEEN(8,12)/10,0)</f>
        <v>28857</v>
      </c>
      <c r="U32" s="4">
        <f ca="1">ROUND(_Google_ads[[#This Row],[clicks]]*RANDBETWEEN(8,12)/10,0)</f>
        <v>1240</v>
      </c>
      <c r="V32" s="4">
        <f ca="1">_Google_ads[[#This Row],[cost]]*RANDBETWEEN(8,12)/10</f>
        <v>210.71999999999997</v>
      </c>
      <c r="W32" s="4">
        <f ca="1">ROUND(_Google_ads[[#This Row],[conversions]]*RANDBETWEEN(8,12)/10,0)</f>
        <v>42</v>
      </c>
      <c r="X32" s="4">
        <f ca="1">ROUND(_Google_ads[[#This Row],[conversion_value]]*RANDBETWEEN(8,12)/10,0)</f>
        <v>3120</v>
      </c>
      <c r="Y32" s="4">
        <f ca="1">_Google_ads[[#This Row],[ctr]]*RANDBETWEEN(8,12)/10</f>
        <v>4.725E-2</v>
      </c>
      <c r="Z32" s="4">
        <f ca="1">_Google_ads[[#This Row],[avg_cpc]]*RANDBETWEEN(8,12)/10</f>
        <v>0.22800000000000004</v>
      </c>
      <c r="AA32" s="4">
        <f ca="1">ROUND(_Google_ads[[#This Row],[quality_score]]*RANDBETWEEN(8,12)/10,0)</f>
        <v>11</v>
      </c>
      <c r="AB32" s="4">
        <f ca="1">_Google_ads[[#This Row],[search_impression_share]]*RANDBETWEEN(8,12)/10</f>
        <v>0.92000000000000015</v>
      </c>
      <c r="AD32" s="3">
        <f t="shared" ca="1" si="2"/>
        <v>44969</v>
      </c>
      <c r="AE32" s="4" t="s">
        <v>100</v>
      </c>
      <c r="AF32" s="4" t="s">
        <v>101</v>
      </c>
      <c r="AG32" s="4" t="s">
        <v>102</v>
      </c>
      <c r="AH32" s="4" t="s">
        <v>103</v>
      </c>
      <c r="AI32" s="4">
        <f ca="1">ROUND(T_Tiktok_ads[[#This Row],[impressions]]*RANDBETWEEN(8,12)/10,0)</f>
        <v>223121</v>
      </c>
      <c r="AJ32" s="4">
        <f ca="1">ROUND(T_Tiktok_ads[[#This Row],[clicks]]*RANDBETWEEN(8,12)/10,0)</f>
        <v>4123</v>
      </c>
      <c r="AK32" s="4">
        <v>523.6</v>
      </c>
      <c r="AL32" s="4">
        <f ca="1">ROUND(T_Tiktok_ads[[#This Row],[conversions]]*RANDBETWEEN(8,12)/10,0)</f>
        <v>42</v>
      </c>
      <c r="AM32" s="4">
        <f ca="1">ROUND(T_Tiktok_ads[[#This Row],[video_views]]*RANDBETWEEN(8,12)/10,0)</f>
        <v>258024</v>
      </c>
      <c r="AN32" s="4">
        <f ca="1">ROUND(T_Tiktok_ads[[#This Row],[video_watch_25]]*RANDBETWEEN(8,12)/10,0)</f>
        <v>164111</v>
      </c>
      <c r="AO32" s="4">
        <f ca="1">ROUND(T_Tiktok_ads[[#This Row],[video_watch_50]]*RANDBETWEEN(8,12)/10,0)</f>
        <v>126024</v>
      </c>
      <c r="AP32" s="4">
        <f ca="1">ROUND(T_Tiktok_ads[[#This Row],[video_watch_75]]*RANDBETWEEN(8,12)/10,0)</f>
        <v>84957</v>
      </c>
      <c r="AQ32" s="4">
        <f ca="1">ROUND(T_Tiktok_ads[[#This Row],[video_watch_100]]*RANDBETWEEN(8,12)/10,0)</f>
        <v>51234</v>
      </c>
      <c r="AR32" s="4">
        <f ca="1">ROUND(T_Tiktok_ads[[#This Row],[likes]]*RANDBETWEEN(8,12)/10,0)</f>
        <v>10345</v>
      </c>
      <c r="AS32" s="4">
        <f ca="1">ROUND(T_Tiktok_ads[[#This Row],[shares]]*RANDBETWEEN(8,12)/10,0)</f>
        <v>2510</v>
      </c>
      <c r="AT32" s="4">
        <f ca="1">ROUND(T_Tiktok_ads[[#This Row],[comments]]*RANDBETWEEN(8,12)/10,0)</f>
        <v>525</v>
      </c>
      <c r="AV32" s="5">
        <f t="shared" ca="1" si="3"/>
        <v>44985</v>
      </c>
      <c r="AW32">
        <f t="shared" ca="1" si="4"/>
        <v>4</v>
      </c>
      <c r="AX32">
        <f ca="1">ROUND(T_Facebook_Ads1159[[#This Row],[impressions]]*RANDBETWEEN(2,10)/10,0)</f>
        <v>56293</v>
      </c>
      <c r="AY32">
        <f ca="1">ROUND(T_Facebook_Ads1159[[#This Row],[clicks]]*RANDBETWEEN(8,12)/10,0)</f>
        <v>1089</v>
      </c>
      <c r="AZ32">
        <f ca="1">T_Facebook_Ads1159[[#This Row],[spend]]*RANDBETWEEN(8,12)/10</f>
        <v>179.80599999999998</v>
      </c>
      <c r="BA32">
        <f ca="1">ROUND(T_Facebook_Ads1159[[#This Row],[conversions]]*RANDBETWEEN(8,12)/10,0)</f>
        <v>14</v>
      </c>
      <c r="BB32">
        <f ca="1">ROUND(T_Facebook_Ads1159[[#This Row],[video_views]]*RANDBETWEEN(8,12)/10,0)</f>
        <v>8419</v>
      </c>
    </row>
    <row r="33" spans="1:54" ht="15.75" thickBot="1" x14ac:dyDescent="0.3">
      <c r="A33" s="3">
        <f t="shared" ca="1" si="0"/>
        <v>44982</v>
      </c>
      <c r="B33" s="4" t="s">
        <v>56</v>
      </c>
      <c r="C33" s="4" t="s">
        <v>57</v>
      </c>
      <c r="D33" s="4" t="s">
        <v>58</v>
      </c>
      <c r="E33" s="4" t="s">
        <v>59</v>
      </c>
      <c r="F33" s="4">
        <f ca="1">ROUND(T_Facebook_Ads[[#This Row],[impressions]]*RANDBETWEEN(8,12)/10,0)</f>
        <v>17480</v>
      </c>
      <c r="G33" s="4">
        <v>723</v>
      </c>
      <c r="H33" s="4">
        <f ca="1">T_Facebook_Ads[[#This Row],[spend]]*RANDBETWEEN(8,12)/10</f>
        <v>307.67999999999995</v>
      </c>
      <c r="I33" s="4">
        <f ca="1">ROUND(T_Facebook_Ads[[#This Row],[conversions]]*RANDBETWEEN(8,12)/10,0)</f>
        <v>40</v>
      </c>
      <c r="J33" s="4">
        <f ca="1">ROUND(T_Facebook_Ads[[#This Row],[video_views]]*RANDBETWEEN(8,12)/10,0)</f>
        <v>1773</v>
      </c>
      <c r="K33" s="4">
        <f ca="1">T_Facebook_Ads[[#This Row],[engagement_rate]]*RANDBETWEEN(8,12)/10</f>
        <v>4.4639999999999999E-2</v>
      </c>
      <c r="L33" s="4">
        <f ca="1">ROUND(T_Facebook_Ads[[#This Row],[reach]]*RANDBETWEEN(8,12)/10,0)</f>
        <v>10310</v>
      </c>
      <c r="M33" s="4">
        <f ca="1">T_Facebook_Ads[[#This Row],[frequency]]*RANDBETWEEN(8,12)/10</f>
        <v>1.016</v>
      </c>
      <c r="O33" s="3">
        <f t="shared" ca="1" si="1"/>
        <v>44982</v>
      </c>
      <c r="P33" s="4" t="s">
        <v>80</v>
      </c>
      <c r="Q33" s="4" t="s">
        <v>81</v>
      </c>
      <c r="R33" s="4" t="s">
        <v>82</v>
      </c>
      <c r="S33" s="4" t="s">
        <v>83</v>
      </c>
      <c r="T33" s="4">
        <f ca="1">ROUND(_Google_ads[[#This Row],[impressions]]*RANDBETWEEN(8,12)/10,0)</f>
        <v>38312</v>
      </c>
      <c r="U33" s="4">
        <f ca="1">ROUND(_Google_ads[[#This Row],[clicks]]*RANDBETWEEN(8,12)/10,0)</f>
        <v>747</v>
      </c>
      <c r="V33" s="4">
        <f ca="1">_Google_ads[[#This Row],[cost]]*RANDBETWEEN(8,12)/10</f>
        <v>735</v>
      </c>
      <c r="W33" s="4">
        <f ca="1">ROUND(_Google_ads[[#This Row],[conversions]]*RANDBETWEEN(8,12)/10,0)</f>
        <v>29</v>
      </c>
      <c r="X33" s="4">
        <f ca="1">ROUND(_Google_ads[[#This Row],[conversion_value]]*RANDBETWEEN(8,12)/10,0)</f>
        <v>1560</v>
      </c>
      <c r="Y33" s="4">
        <f ca="1">_Google_ads[[#This Row],[ctr]]*RANDBETWEEN(8,12)/10</f>
        <v>1.755E-2</v>
      </c>
      <c r="Z33" s="4">
        <f ca="1">_Google_ads[[#This Row],[avg_cpc]]*RANDBETWEEN(8,12)/10</f>
        <v>0.72600000000000009</v>
      </c>
      <c r="AA33" s="4">
        <f ca="1">ROUND(_Google_ads[[#This Row],[quality_score]]*RANDBETWEEN(8,12)/10,0)</f>
        <v>6</v>
      </c>
      <c r="AB33" s="4">
        <f ca="1">_Google_ads[[#This Row],[search_impression_share]]*RANDBETWEEN(8,12)/10</f>
        <v>0.36799999999999999</v>
      </c>
      <c r="AD33" s="3">
        <f t="shared" ca="1" si="2"/>
        <v>44977</v>
      </c>
      <c r="AE33" s="4" t="s">
        <v>104</v>
      </c>
      <c r="AF33" s="4" t="s">
        <v>105</v>
      </c>
      <c r="AG33" s="4" t="s">
        <v>106</v>
      </c>
      <c r="AH33" s="4" t="s">
        <v>107</v>
      </c>
      <c r="AI33" s="4">
        <f ca="1">ROUND(T_Tiktok_ads[[#This Row],[impressions]]*RANDBETWEEN(8,12)/10,0)</f>
        <v>172468</v>
      </c>
      <c r="AJ33" s="4">
        <f ca="1">ROUND(T_Tiktok_ads[[#This Row],[clicks]]*RANDBETWEEN(8,12)/10,0)</f>
        <v>2410</v>
      </c>
      <c r="AK33" s="4">
        <v>812.3</v>
      </c>
      <c r="AL33" s="4">
        <f ca="1">ROUND(T_Tiktok_ads[[#This Row],[conversions]]*RANDBETWEEN(8,12)/10,0)</f>
        <v>90</v>
      </c>
      <c r="AM33" s="4">
        <f ca="1">ROUND(T_Tiktok_ads[[#This Row],[video_views]]*RANDBETWEEN(8,12)/10,0)</f>
        <v>109876</v>
      </c>
      <c r="AN33" s="4">
        <f ca="1">ROUND(T_Tiktok_ads[[#This Row],[video_watch_25]]*RANDBETWEEN(8,12)/10,0)</f>
        <v>73111</v>
      </c>
      <c r="AO33" s="4">
        <f ca="1">ROUND(T_Tiktok_ads[[#This Row],[video_watch_50]]*RANDBETWEEN(8,12)/10,0)</f>
        <v>54678</v>
      </c>
      <c r="AP33" s="4">
        <f ca="1">ROUND(T_Tiktok_ads[[#This Row],[video_watch_75]]*RANDBETWEEN(8,12)/10,0)</f>
        <v>41234</v>
      </c>
      <c r="AQ33" s="4">
        <f ca="1">ROUND(T_Tiktok_ads[[#This Row],[video_watch_100]]*RANDBETWEEN(8,12)/10,0)</f>
        <v>22054</v>
      </c>
      <c r="AR33" s="4">
        <f ca="1">ROUND(T_Tiktok_ads[[#This Row],[likes]]*RANDBETWEEN(8,12)/10,0)</f>
        <v>4365</v>
      </c>
      <c r="AS33" s="4">
        <f ca="1">ROUND(T_Tiktok_ads[[#This Row],[shares]]*RANDBETWEEN(8,12)/10,0)</f>
        <v>1880</v>
      </c>
      <c r="AT33" s="4">
        <f ca="1">ROUND(T_Tiktok_ads[[#This Row],[comments]]*RANDBETWEEN(8,12)/10,0)</f>
        <v>318</v>
      </c>
      <c r="AV33" s="5">
        <f t="shared" ca="1" si="3"/>
        <v>44963</v>
      </c>
      <c r="AW33">
        <f t="shared" ca="1" si="4"/>
        <v>5</v>
      </c>
      <c r="AX33">
        <f ca="1">ROUND(T_Facebook_Ads1159[[#This Row],[impressions]]*RANDBETWEEN(2,10)/10,0)</f>
        <v>15732</v>
      </c>
      <c r="AY33">
        <f ca="1">ROUND(T_Facebook_Ads1159[[#This Row],[clicks]]*RANDBETWEEN(8,12)/10,0)</f>
        <v>868</v>
      </c>
      <c r="AZ33">
        <f ca="1">T_Facebook_Ads1159[[#This Row],[spend]]*RANDBETWEEN(8,12)/10</f>
        <v>369.21599999999995</v>
      </c>
      <c r="BA33">
        <f ca="1">ROUND(T_Facebook_Ads1159[[#This Row],[conversions]]*RANDBETWEEN(8,12)/10,0)</f>
        <v>36</v>
      </c>
      <c r="BB33">
        <f ca="1">ROUND(T_Facebook_Ads1159[[#This Row],[video_views]]*RANDBETWEEN(8,12)/10,0)</f>
        <v>1418</v>
      </c>
    </row>
    <row r="34" spans="1:54" ht="15.75" thickBot="1" x14ac:dyDescent="0.3">
      <c r="A34" s="3">
        <f t="shared" ref="A34:A65" ca="1" si="5">DATE(2023,2,RANDBETWEEN(1,28))</f>
        <v>44967</v>
      </c>
      <c r="B34" s="4" t="s">
        <v>60</v>
      </c>
      <c r="C34" s="4" t="s">
        <v>61</v>
      </c>
      <c r="D34" s="4" t="s">
        <v>62</v>
      </c>
      <c r="E34" s="4" t="s">
        <v>63</v>
      </c>
      <c r="F34" s="4">
        <f ca="1">ROUND(T_Facebook_Ads[[#This Row],[impressions]]*RANDBETWEEN(8,12)/10,0)</f>
        <v>35810</v>
      </c>
      <c r="G34" s="4">
        <v>1534</v>
      </c>
      <c r="H34" s="4">
        <f ca="1">T_Facebook_Ads[[#This Row],[spend]]*RANDBETWEEN(8,12)/10</f>
        <v>180.64000000000001</v>
      </c>
      <c r="I34" s="4">
        <f ca="1">ROUND(T_Facebook_Ads[[#This Row],[conversions]]*RANDBETWEEN(8,12)/10,0)</f>
        <v>28</v>
      </c>
      <c r="J34" s="4">
        <f ca="1">ROUND(T_Facebook_Ads[[#This Row],[video_views]]*RANDBETWEEN(8,12)/10,0)</f>
        <v>5456</v>
      </c>
      <c r="K34" s="4">
        <f ca="1">T_Facebook_Ads[[#This Row],[engagement_rate]]*RANDBETWEEN(8,12)/10</f>
        <v>4.2460000000000005E-2</v>
      </c>
      <c r="L34" s="4">
        <f ca="1">ROUND(T_Facebook_Ads[[#This Row],[reach]]*RANDBETWEEN(8,12)/10,0)</f>
        <v>26054</v>
      </c>
      <c r="M34" s="4">
        <f ca="1">T_Facebook_Ads[[#This Row],[frequency]]*RANDBETWEEN(8,12)/10</f>
        <v>0.97599999999999998</v>
      </c>
      <c r="O34" s="3">
        <f t="shared" ref="O34:O65" ca="1" si="6">DATE(2023,2,RANDBETWEEN(1,28))</f>
        <v>44960</v>
      </c>
      <c r="P34" s="4" t="s">
        <v>84</v>
      </c>
      <c r="Q34" s="4" t="s">
        <v>85</v>
      </c>
      <c r="R34" s="4" t="s">
        <v>86</v>
      </c>
      <c r="S34" s="4" t="s">
        <v>87</v>
      </c>
      <c r="T34" s="4">
        <f ca="1">ROUND(_Google_ads[[#This Row],[impressions]]*RANDBETWEEN(8,12)/10,0)</f>
        <v>56987</v>
      </c>
      <c r="U34" s="4">
        <f ca="1">ROUND(_Google_ads[[#This Row],[clicks]]*RANDBETWEEN(8,12)/10,0)</f>
        <v>1965</v>
      </c>
      <c r="V34" s="4">
        <f ca="1">_Google_ads[[#This Row],[cost]]*RANDBETWEEN(8,12)/10</f>
        <v>356.64</v>
      </c>
      <c r="W34" s="4">
        <f ca="1">ROUND(_Google_ads[[#This Row],[conversions]]*RANDBETWEEN(8,12)/10,0)</f>
        <v>78</v>
      </c>
      <c r="X34" s="4">
        <f ca="1">ROUND(_Google_ads[[#This Row],[conversion_value]]*RANDBETWEEN(8,12)/10,0)</f>
        <v>2840</v>
      </c>
      <c r="Y34" s="4">
        <f ca="1">_Google_ads[[#This Row],[ctr]]*RANDBETWEEN(8,12)/10</f>
        <v>3.4500000000000003E-2</v>
      </c>
      <c r="Z34" s="4">
        <f ca="1">_Google_ads[[#This Row],[avg_cpc]]*RANDBETWEEN(8,12)/10</f>
        <v>0.16199999999999998</v>
      </c>
      <c r="AA34" s="4">
        <f ca="1">ROUND(_Google_ads[[#This Row],[quality_score]]*RANDBETWEEN(8,12)/10,0)</f>
        <v>7</v>
      </c>
      <c r="AB34" s="4">
        <f ca="1">_Google_ads[[#This Row],[search_impression_share]]*RANDBETWEEN(8,12)/10</f>
        <v>0.748</v>
      </c>
      <c r="AD34" s="3">
        <f t="shared" ref="AD34:AD65" ca="1" si="7">DATE(2023,2,RANDBETWEEN(1,28))</f>
        <v>44965</v>
      </c>
      <c r="AE34" s="4" t="s">
        <v>108</v>
      </c>
      <c r="AF34" s="4" t="s">
        <v>109</v>
      </c>
      <c r="AG34" s="4" t="s">
        <v>110</v>
      </c>
      <c r="AH34" s="4" t="s">
        <v>111</v>
      </c>
      <c r="AI34" s="4">
        <f ca="1">ROUND(T_Tiktok_ads[[#This Row],[impressions]]*RANDBETWEEN(8,12)/10,0)</f>
        <v>281480</v>
      </c>
      <c r="AJ34" s="4">
        <f ca="1">ROUND(T_Tiktok_ads[[#This Row],[clicks]]*RANDBETWEEN(8,12)/10,0)</f>
        <v>3410</v>
      </c>
      <c r="AK34" s="4">
        <v>456.8</v>
      </c>
      <c r="AL34" s="4">
        <f ca="1">ROUND(T_Tiktok_ads[[#This Row],[conversions]]*RANDBETWEEN(8,12)/10,0)</f>
        <v>26</v>
      </c>
      <c r="AM34" s="4">
        <f ca="1">ROUND(T_Tiktok_ads[[#This Row],[video_views]]*RANDBETWEEN(8,12)/10,0)</f>
        <v>170311</v>
      </c>
      <c r="AN34" s="4">
        <f ca="1">ROUND(T_Tiktok_ads[[#This Row],[video_watch_25]]*RANDBETWEEN(8,12)/10,0)</f>
        <v>114854</v>
      </c>
      <c r="AO34" s="4">
        <f ca="1">ROUND(T_Tiktok_ads[[#This Row],[video_watch_50]]*RANDBETWEEN(8,12)/10,0)</f>
        <v>136147</v>
      </c>
      <c r="AP34" s="4">
        <f ca="1">ROUND(T_Tiktok_ads[[#This Row],[video_watch_75]]*RANDBETWEEN(8,12)/10,0)</f>
        <v>88147</v>
      </c>
      <c r="AQ34" s="4">
        <f ca="1">ROUND(T_Tiktok_ads[[#This Row],[video_watch_100]]*RANDBETWEEN(8,12)/10,0)</f>
        <v>49024</v>
      </c>
      <c r="AR34" s="4">
        <f ca="1">ROUND(T_Tiktok_ads[[#This Row],[likes]]*RANDBETWEEN(8,12)/10,0)</f>
        <v>7910</v>
      </c>
      <c r="AS34" s="4">
        <f ca="1">ROUND(T_Tiktok_ads[[#This Row],[shares]]*RANDBETWEEN(8,12)/10,0)</f>
        <v>2434</v>
      </c>
      <c r="AT34" s="4">
        <f ca="1">ROUND(T_Tiktok_ads[[#This Row],[comments]]*RANDBETWEEN(8,12)/10,0)</f>
        <v>510</v>
      </c>
      <c r="AV34" s="5">
        <f t="shared" ref="AV34:AV65" ca="1" si="8">DATE(2023,2,RANDBETWEEN(1,28))</f>
        <v>44982</v>
      </c>
      <c r="AW34">
        <f t="shared" ca="1" si="4"/>
        <v>7</v>
      </c>
      <c r="AX34">
        <f ca="1">ROUND(T_Facebook_Ads1159[[#This Row],[impressions]]*RANDBETWEEN(2,10)/10,0)</f>
        <v>7162</v>
      </c>
      <c r="AY34">
        <f ca="1">ROUND(T_Facebook_Ads1159[[#This Row],[clicks]]*RANDBETWEEN(8,12)/10,0)</f>
        <v>1534</v>
      </c>
      <c r="AZ34">
        <f ca="1">T_Facebook_Ads1159[[#This Row],[spend]]*RANDBETWEEN(8,12)/10</f>
        <v>180.64000000000001</v>
      </c>
      <c r="BA34">
        <f ca="1">ROUND(T_Facebook_Ads1159[[#This Row],[conversions]]*RANDBETWEEN(8,12)/10,0)</f>
        <v>28</v>
      </c>
      <c r="BB34">
        <f ca="1">ROUND(T_Facebook_Ads1159[[#This Row],[video_views]]*RANDBETWEEN(8,12)/10,0)</f>
        <v>4365</v>
      </c>
    </row>
    <row r="35" spans="1:54" ht="15.75" thickBot="1" x14ac:dyDescent="0.3">
      <c r="A35" s="3">
        <f t="shared" ca="1" si="5"/>
        <v>44974</v>
      </c>
      <c r="B35" s="4" t="s">
        <v>64</v>
      </c>
      <c r="C35" s="4" t="s">
        <v>65</v>
      </c>
      <c r="D35" s="4" t="s">
        <v>66</v>
      </c>
      <c r="E35" s="4" t="s">
        <v>67</v>
      </c>
      <c r="F35" s="4">
        <f ca="1">ROUND(T_Facebook_Ads[[#This Row],[impressions]]*RANDBETWEEN(8,12)/10,0)</f>
        <v>60987</v>
      </c>
      <c r="G35" s="4">
        <v>278</v>
      </c>
      <c r="H35" s="4">
        <f ca="1">T_Facebook_Ads[[#This Row],[spend]]*RANDBETWEEN(8,12)/10</f>
        <v>81.2</v>
      </c>
      <c r="I35" s="4">
        <f ca="1">ROUND(T_Facebook_Ads[[#This Row],[conversions]]*RANDBETWEEN(8,12)/10,0)</f>
        <v>9</v>
      </c>
      <c r="J35" s="4">
        <f ca="1">ROUND(T_Facebook_Ads[[#This Row],[video_views]]*RANDBETWEEN(8,12)/10,0)</f>
        <v>41876</v>
      </c>
      <c r="K35" s="4">
        <f ca="1">T_Facebook_Ads[[#This Row],[engagement_rate]]*RANDBETWEEN(8,12)/10</f>
        <v>2.96E-3</v>
      </c>
      <c r="L35" s="4">
        <f ca="1">ROUND(T_Facebook_Ads[[#This Row],[reach]]*RANDBETWEEN(8,12)/10,0)</f>
        <v>74947</v>
      </c>
      <c r="M35" s="4">
        <f ca="1">T_Facebook_Ads[[#This Row],[frequency]]*RANDBETWEEN(8,12)/10</f>
        <v>1.0980000000000001</v>
      </c>
      <c r="O35" s="3">
        <f t="shared" ca="1" si="6"/>
        <v>44972</v>
      </c>
      <c r="P35" s="4" t="s">
        <v>88</v>
      </c>
      <c r="Q35" s="4" t="s">
        <v>89</v>
      </c>
      <c r="R35" s="4" t="s">
        <v>90</v>
      </c>
      <c r="S35" s="4" t="s">
        <v>59</v>
      </c>
      <c r="T35" s="4">
        <f ca="1">ROUND(_Google_ads[[#This Row],[impressions]]*RANDBETWEEN(8,12)/10,0)</f>
        <v>136789</v>
      </c>
      <c r="U35" s="4">
        <f ca="1">ROUND(_Google_ads[[#This Row],[clicks]]*RANDBETWEEN(8,12)/10,0)</f>
        <v>410</v>
      </c>
      <c r="V35" s="4">
        <f ca="1">_Google_ads[[#This Row],[cost]]*RANDBETWEEN(8,12)/10</f>
        <v>170.76000000000002</v>
      </c>
      <c r="W35" s="4">
        <f ca="1">ROUND(_Google_ads[[#This Row],[conversions]]*RANDBETWEEN(8,12)/10,0)</f>
        <v>14</v>
      </c>
      <c r="X35" s="4">
        <f ca="1">ROUND(_Google_ads[[#This Row],[conversion_value]]*RANDBETWEEN(8,12)/10,0)</f>
        <v>750</v>
      </c>
      <c r="Y35" s="4">
        <f ca="1">_Google_ads[[#This Row],[ctr]]*RANDBETWEEN(8,12)/10</f>
        <v>4.0699999999999998E-3</v>
      </c>
      <c r="Z35" s="4">
        <f ca="1">_Google_ads[[#This Row],[avg_cpc]]*RANDBETWEEN(8,12)/10</f>
        <v>0.28000000000000003</v>
      </c>
      <c r="AA35" s="4">
        <f ca="1">ROUND(_Google_ads[[#This Row],[quality_score]]*RANDBETWEEN(8,12)/10,0)</f>
        <v>8</v>
      </c>
      <c r="AB35" s="4">
        <f ca="1">_Google_ads[[#This Row],[search_impression_share]]*RANDBETWEEN(8,12)/10</f>
        <v>0.36</v>
      </c>
      <c r="AD35" s="3">
        <f t="shared" ca="1" si="7"/>
        <v>44984</v>
      </c>
      <c r="AE35" s="4" t="s">
        <v>112</v>
      </c>
      <c r="AF35" s="4" t="s">
        <v>113</v>
      </c>
      <c r="AG35" s="4" t="s">
        <v>114</v>
      </c>
      <c r="AH35" s="4" t="s">
        <v>115</v>
      </c>
      <c r="AI35" s="4">
        <f ca="1">ROUND(T_Tiktok_ads[[#This Row],[impressions]]*RANDBETWEEN(8,12)/10,0)</f>
        <v>453580</v>
      </c>
      <c r="AJ35" s="4">
        <f ca="1">ROUND(T_Tiktok_ads[[#This Row],[clicks]]*RANDBETWEEN(8,12)/10,0)</f>
        <v>8147</v>
      </c>
      <c r="AK35" s="4">
        <v>1023.4</v>
      </c>
      <c r="AL35" s="4">
        <f ca="1">ROUND(T_Tiktok_ads[[#This Row],[conversions]]*RANDBETWEEN(8,12)/10,0)</f>
        <v>124</v>
      </c>
      <c r="AM35" s="4">
        <f ca="1">ROUND(T_Tiktok_ads[[#This Row],[video_views]]*RANDBETWEEN(8,12)/10,0)</f>
        <v>345678</v>
      </c>
      <c r="AN35" s="4">
        <f ca="1">ROUND(T_Tiktok_ads[[#This Row],[video_watch_25]]*RANDBETWEEN(8,12)/10,0)</f>
        <v>306791</v>
      </c>
      <c r="AO35" s="4">
        <f ca="1">ROUND(T_Tiktok_ads[[#This Row],[video_watch_50]]*RANDBETWEEN(8,12)/10,0)</f>
        <v>245802</v>
      </c>
      <c r="AP35" s="4">
        <f ca="1">ROUND(T_Tiktok_ads[[#This Row],[video_watch_75]]*RANDBETWEEN(8,12)/10,0)</f>
        <v>127387</v>
      </c>
      <c r="AQ35" s="4">
        <f ca="1">ROUND(T_Tiktok_ads[[#This Row],[video_watch_100]]*RANDBETWEEN(8,12)/10,0)</f>
        <v>95110</v>
      </c>
      <c r="AR35" s="4">
        <f ca="1">ROUND(T_Tiktok_ads[[#This Row],[likes]]*RANDBETWEEN(8,12)/10,0)</f>
        <v>18234</v>
      </c>
      <c r="AS35" s="4">
        <f ca="1">ROUND(T_Tiktok_ads[[#This Row],[shares]]*RANDBETWEEN(8,12)/10,0)</f>
        <v>5757</v>
      </c>
      <c r="AT35" s="4">
        <f ca="1">ROUND(T_Tiktok_ads[[#This Row],[comments]]*RANDBETWEEN(8,12)/10,0)</f>
        <v>1456</v>
      </c>
      <c r="AV35" s="5">
        <f t="shared" ca="1" si="8"/>
        <v>44967</v>
      </c>
      <c r="AW35">
        <f t="shared" ca="1" si="4"/>
        <v>5</v>
      </c>
      <c r="AX35">
        <f ca="1">ROUND(T_Facebook_Ads1159[[#This Row],[impressions]]*RANDBETWEEN(2,10)/10,0)</f>
        <v>24395</v>
      </c>
      <c r="AY35">
        <f ca="1">ROUND(T_Facebook_Ads1159[[#This Row],[clicks]]*RANDBETWEEN(8,12)/10,0)</f>
        <v>306</v>
      </c>
      <c r="AZ35">
        <f ca="1">T_Facebook_Ads1159[[#This Row],[spend]]*RANDBETWEEN(8,12)/10</f>
        <v>81.2</v>
      </c>
      <c r="BA35">
        <f ca="1">ROUND(T_Facebook_Ads1159[[#This Row],[conversions]]*RANDBETWEEN(8,12)/10,0)</f>
        <v>9</v>
      </c>
      <c r="BB35">
        <f ca="1">ROUND(T_Facebook_Ads1159[[#This Row],[video_views]]*RANDBETWEEN(8,12)/10,0)</f>
        <v>37688</v>
      </c>
    </row>
    <row r="36" spans="1:54" ht="15.75" thickBot="1" x14ac:dyDescent="0.3">
      <c r="A36" s="3">
        <f t="shared" ca="1" si="5"/>
        <v>44963</v>
      </c>
      <c r="B36" s="4" t="s">
        <v>52</v>
      </c>
      <c r="C36" s="4" t="s">
        <v>53</v>
      </c>
      <c r="D36" s="4" t="s">
        <v>54</v>
      </c>
      <c r="E36" s="4" t="s">
        <v>55</v>
      </c>
      <c r="F36" s="4">
        <f ca="1">ROUND(T_Facebook_Ads[[#This Row],[impressions]]*RANDBETWEEN(8,12)/10,0)</f>
        <v>49234</v>
      </c>
      <c r="G36" s="4">
        <v>1012</v>
      </c>
      <c r="H36" s="4">
        <f ca="1">T_Facebook_Ads[[#This Row],[spend]]*RANDBETWEEN(8,12)/10</f>
        <v>112.24000000000001</v>
      </c>
      <c r="I36" s="4">
        <f ca="1">ROUND(T_Facebook_Ads[[#This Row],[conversions]]*RANDBETWEEN(8,12)/10,0)</f>
        <v>14</v>
      </c>
      <c r="J36" s="4">
        <f ca="1">ROUND(T_Facebook_Ads[[#This Row],[video_views]]*RANDBETWEEN(8,12)/10,0)</f>
        <v>7298</v>
      </c>
      <c r="K36" s="4">
        <f ca="1">T_Facebook_Ads[[#This Row],[engagement_rate]]*RANDBETWEEN(8,12)/10</f>
        <v>2.06E-2</v>
      </c>
      <c r="L36" s="4">
        <f ca="1">ROUND(T_Facebook_Ads[[#This Row],[reach]]*RANDBETWEEN(8,12)/10,0)</f>
        <v>45724</v>
      </c>
      <c r="M36" s="4">
        <f ca="1">T_Facebook_Ads[[#This Row],[frequency]]*RANDBETWEEN(8,12)/10</f>
        <v>1.4159999999999999</v>
      </c>
      <c r="O36" s="3">
        <f t="shared" ca="1" si="6"/>
        <v>44961</v>
      </c>
      <c r="P36" s="4" t="s">
        <v>76</v>
      </c>
      <c r="Q36" s="4" t="s">
        <v>77</v>
      </c>
      <c r="R36" s="4" t="s">
        <v>78</v>
      </c>
      <c r="S36" s="4" t="s">
        <v>79</v>
      </c>
      <c r="T36" s="4">
        <f ca="1">ROUND(_Google_ads[[#This Row],[impressions]]*RANDBETWEEN(8,12)/10,0)</f>
        <v>20098</v>
      </c>
      <c r="U36" s="4">
        <f ca="1">ROUND(_Google_ads[[#This Row],[clicks]]*RANDBETWEEN(8,12)/10,0)</f>
        <v>1050</v>
      </c>
      <c r="V36" s="4">
        <f ca="1">_Google_ads[[#This Row],[cost]]*RANDBETWEEN(8,12)/10</f>
        <v>225.35999999999999</v>
      </c>
      <c r="W36" s="4">
        <f ca="1">ROUND(_Google_ads[[#This Row],[conversions]]*RANDBETWEEN(8,12)/10,0)</f>
        <v>59</v>
      </c>
      <c r="X36" s="4">
        <f ca="1">ROUND(_Google_ads[[#This Row],[conversion_value]]*RANDBETWEEN(8,12)/10,0)</f>
        <v>2940</v>
      </c>
      <c r="Y36" s="4">
        <f ca="1">_Google_ads[[#This Row],[ctr]]*RANDBETWEEN(8,12)/10</f>
        <v>4.1760000000000005E-2</v>
      </c>
      <c r="Z36" s="4">
        <f ca="1">_Google_ads[[#This Row],[avg_cpc]]*RANDBETWEEN(8,12)/10</f>
        <v>0.19</v>
      </c>
      <c r="AA36" s="4">
        <f ca="1">ROUND(_Google_ads[[#This Row],[quality_score]]*RANDBETWEEN(8,12)/10,0)</f>
        <v>7</v>
      </c>
      <c r="AB36" s="4">
        <f ca="1">_Google_ads[[#This Row],[search_impression_share]]*RANDBETWEEN(8,12)/10</f>
        <v>0.72799999999999998</v>
      </c>
      <c r="AD36" s="3">
        <f t="shared" ca="1" si="7"/>
        <v>44985</v>
      </c>
      <c r="AE36" s="4" t="s">
        <v>100</v>
      </c>
      <c r="AF36" s="4" t="s">
        <v>101</v>
      </c>
      <c r="AG36" s="4" t="s">
        <v>102</v>
      </c>
      <c r="AH36" s="4" t="s">
        <v>103</v>
      </c>
      <c r="AI36" s="4">
        <f ca="1">ROUND(T_Tiktok_ads[[#This Row],[impressions]]*RANDBETWEEN(8,12)/10,0)</f>
        <v>294679</v>
      </c>
      <c r="AJ36" s="4">
        <f ca="1">ROUND(T_Tiktok_ads[[#This Row],[clicks]]*RANDBETWEEN(8,12)/10,0)</f>
        <v>3156</v>
      </c>
      <c r="AK36" s="4">
        <v>501.2</v>
      </c>
      <c r="AL36" s="4">
        <f ca="1">ROUND(T_Tiktok_ads[[#This Row],[conversions]]*RANDBETWEEN(8,12)/10,0)</f>
        <v>44</v>
      </c>
      <c r="AM36" s="4">
        <f ca="1">ROUND(T_Tiktok_ads[[#This Row],[video_views]]*RANDBETWEEN(8,12)/10,0)</f>
        <v>265481</v>
      </c>
      <c r="AN36" s="4">
        <f ca="1">ROUND(T_Tiktok_ads[[#This Row],[video_watch_25]]*RANDBETWEEN(8,12)/10,0)</f>
        <v>173456</v>
      </c>
      <c r="AO36" s="4">
        <f ca="1">ROUND(T_Tiktok_ads[[#This Row],[video_watch_50]]*RANDBETWEEN(8,12)/10,0)</f>
        <v>131081</v>
      </c>
      <c r="AP36" s="4">
        <f ca="1">ROUND(T_Tiktok_ads[[#This Row],[video_watch_75]]*RANDBETWEEN(8,12)/10,0)</f>
        <v>80924</v>
      </c>
      <c r="AQ36" s="4">
        <f ca="1">ROUND(T_Tiktok_ads[[#This Row],[video_watch_100]]*RANDBETWEEN(8,12)/10,0)</f>
        <v>54157</v>
      </c>
      <c r="AR36" s="4">
        <f ca="1">ROUND(T_Tiktok_ads[[#This Row],[likes]]*RANDBETWEEN(8,12)/10,0)</f>
        <v>7831</v>
      </c>
      <c r="AS36" s="4">
        <f ca="1">ROUND(T_Tiktok_ads[[#This Row],[shares]]*RANDBETWEEN(8,12)/10,0)</f>
        <v>2371</v>
      </c>
      <c r="AT36" s="4">
        <f ca="1">ROUND(T_Tiktok_ads[[#This Row],[comments]]*RANDBETWEEN(8,12)/10,0)</f>
        <v>748</v>
      </c>
      <c r="AV36" s="5">
        <f t="shared" ca="1" si="8"/>
        <v>44985</v>
      </c>
      <c r="AW36">
        <f t="shared" ca="1" si="4"/>
        <v>3</v>
      </c>
      <c r="AX36">
        <f ca="1">ROUND(T_Facebook_Ads1159[[#This Row],[impressions]]*RANDBETWEEN(2,10)/10,0)</f>
        <v>49234</v>
      </c>
      <c r="AY36">
        <f ca="1">ROUND(T_Facebook_Ads1159[[#This Row],[clicks]]*RANDBETWEEN(8,12)/10,0)</f>
        <v>1214</v>
      </c>
      <c r="AZ36">
        <f ca="1">T_Facebook_Ads1159[[#This Row],[spend]]*RANDBETWEEN(8,12)/10</f>
        <v>101.01600000000001</v>
      </c>
      <c r="BA36">
        <f ca="1">ROUND(T_Facebook_Ads1159[[#This Row],[conversions]]*RANDBETWEEN(8,12)/10,0)</f>
        <v>11</v>
      </c>
      <c r="BB36">
        <f ca="1">ROUND(T_Facebook_Ads1159[[#This Row],[video_views]]*RANDBETWEEN(8,12)/10,0)</f>
        <v>6568</v>
      </c>
    </row>
    <row r="37" spans="1:54" ht="15.75" thickBot="1" x14ac:dyDescent="0.3">
      <c r="A37" s="3">
        <f t="shared" ca="1" si="5"/>
        <v>44959</v>
      </c>
      <c r="B37" s="4" t="s">
        <v>56</v>
      </c>
      <c r="C37" s="4" t="s">
        <v>57</v>
      </c>
      <c r="D37" s="4" t="s">
        <v>58</v>
      </c>
      <c r="E37" s="4" t="s">
        <v>59</v>
      </c>
      <c r="F37" s="4">
        <f ca="1">ROUND(T_Facebook_Ads[[#This Row],[impressions]]*RANDBETWEEN(8,12)/10,0)</f>
        <v>10765</v>
      </c>
      <c r="G37" s="4">
        <v>634</v>
      </c>
      <c r="H37" s="4">
        <f ca="1">T_Facebook_Ads[[#This Row],[spend]]*RANDBETWEEN(8,12)/10</f>
        <v>239.7</v>
      </c>
      <c r="I37" s="4">
        <f ca="1">ROUND(T_Facebook_Ads[[#This Row],[conversions]]*RANDBETWEEN(8,12)/10,0)</f>
        <v>39</v>
      </c>
      <c r="J37" s="4">
        <f ca="1">ROUND(T_Facebook_Ads[[#This Row],[video_views]]*RANDBETWEEN(8,12)/10,0)</f>
        <v>1516</v>
      </c>
      <c r="K37" s="4">
        <f ca="1">T_Facebook_Ads[[#This Row],[engagement_rate]]*RANDBETWEEN(8,12)/10</f>
        <v>5.6520000000000001E-2</v>
      </c>
      <c r="L37" s="4">
        <f ca="1">ROUND(T_Facebook_Ads[[#This Row],[reach]]*RANDBETWEEN(8,12)/10,0)</f>
        <v>8454</v>
      </c>
      <c r="M37" s="4">
        <f ca="1">T_Facebook_Ads[[#This Row],[frequency]]*RANDBETWEEN(8,12)/10</f>
        <v>1.397</v>
      </c>
      <c r="O37" s="3">
        <f t="shared" ca="1" si="6"/>
        <v>44980</v>
      </c>
      <c r="P37" s="4" t="s">
        <v>80</v>
      </c>
      <c r="Q37" s="4" t="s">
        <v>81</v>
      </c>
      <c r="R37" s="4" t="s">
        <v>82</v>
      </c>
      <c r="S37" s="4" t="s">
        <v>83</v>
      </c>
      <c r="T37" s="4">
        <f ca="1">ROUND(_Google_ads[[#This Row],[impressions]]*RANDBETWEEN(8,12)/10,0)</f>
        <v>51224</v>
      </c>
      <c r="U37" s="4">
        <f ca="1">ROUND(_Google_ads[[#This Row],[clicks]]*RANDBETWEEN(8,12)/10,0)</f>
        <v>1003</v>
      </c>
      <c r="V37" s="4">
        <f ca="1">_Google_ads[[#This Row],[cost]]*RANDBETWEEN(8,12)/10</f>
        <v>477.36</v>
      </c>
      <c r="W37" s="4">
        <f ca="1">ROUND(_Google_ads[[#This Row],[conversions]]*RANDBETWEEN(8,12)/10,0)</f>
        <v>22</v>
      </c>
      <c r="X37" s="4">
        <f ca="1">ROUND(_Google_ads[[#This Row],[conversion_value]]*RANDBETWEEN(8,12)/10,0)</f>
        <v>1320</v>
      </c>
      <c r="Y37" s="4">
        <f ca="1">_Google_ads[[#This Row],[ctr]]*RANDBETWEEN(8,12)/10</f>
        <v>2.1559999999999999E-2</v>
      </c>
      <c r="Z37" s="4">
        <f ca="1">_Google_ads[[#This Row],[avg_cpc]]*RANDBETWEEN(8,12)/10</f>
        <v>0.78</v>
      </c>
      <c r="AA37" s="4">
        <f ca="1">ROUND(_Google_ads[[#This Row],[quality_score]]*RANDBETWEEN(8,12)/10,0)</f>
        <v>6</v>
      </c>
      <c r="AB37" s="4">
        <f ca="1">_Google_ads[[#This Row],[search_impression_share]]*RANDBETWEEN(8,12)/10</f>
        <v>0.54</v>
      </c>
      <c r="AD37" s="3">
        <f t="shared" ca="1" si="7"/>
        <v>44981</v>
      </c>
      <c r="AE37" s="4" t="s">
        <v>104</v>
      </c>
      <c r="AF37" s="4" t="s">
        <v>105</v>
      </c>
      <c r="AG37" s="4" t="s">
        <v>106</v>
      </c>
      <c r="AH37" s="4" t="s">
        <v>107</v>
      </c>
      <c r="AI37" s="4">
        <f ca="1">ROUND(T_Tiktok_ads[[#This Row],[impressions]]*RANDBETWEEN(8,12)/10,0)</f>
        <v>134011</v>
      </c>
      <c r="AJ37" s="4">
        <f ca="1">ROUND(T_Tiktok_ads[[#This Row],[clicks]]*RANDBETWEEN(8,12)/10,0)</f>
        <v>3401</v>
      </c>
      <c r="AK37" s="4">
        <v>767.5</v>
      </c>
      <c r="AL37" s="4">
        <f ca="1">ROUND(T_Tiktok_ads[[#This Row],[conversions]]*RANDBETWEEN(8,12)/10,0)</f>
        <v>85</v>
      </c>
      <c r="AM37" s="4">
        <f ca="1">ROUND(T_Tiktok_ads[[#This Row],[video_views]]*RANDBETWEEN(8,12)/10,0)</f>
        <v>93110</v>
      </c>
      <c r="AN37" s="4">
        <f ca="1">ROUND(T_Tiktok_ads[[#This Row],[video_watch_25]]*RANDBETWEEN(8,12)/10,0)</f>
        <v>76234</v>
      </c>
      <c r="AO37" s="4">
        <f ca="1">ROUND(T_Tiktok_ads[[#This Row],[video_watch_50]]*RANDBETWEEN(8,12)/10,0)</f>
        <v>56357</v>
      </c>
      <c r="AP37" s="4">
        <f ca="1">ROUND(T_Tiktok_ads[[#This Row],[video_watch_75]]*RANDBETWEEN(8,12)/10,0)</f>
        <v>42424</v>
      </c>
      <c r="AQ37" s="4">
        <f ca="1">ROUND(T_Tiktok_ads[[#This Row],[video_watch_100]]*RANDBETWEEN(8,12)/10,0)</f>
        <v>30947</v>
      </c>
      <c r="AR37" s="4">
        <f ca="1">ROUND(T_Tiktok_ads[[#This Row],[likes]]*RANDBETWEEN(8,12)/10,0)</f>
        <v>5635</v>
      </c>
      <c r="AS37" s="4">
        <f ca="1">ROUND(T_Tiktok_ads[[#This Row],[shares]]*RANDBETWEEN(8,12)/10,0)</f>
        <v>1456</v>
      </c>
      <c r="AT37" s="4">
        <f ca="1">ROUND(T_Tiktok_ads[[#This Row],[comments]]*RANDBETWEEN(8,12)/10,0)</f>
        <v>250</v>
      </c>
      <c r="AV37" s="5">
        <f t="shared" ca="1" si="8"/>
        <v>44985</v>
      </c>
      <c r="AW37">
        <f t="shared" ca="1" si="4"/>
        <v>4</v>
      </c>
      <c r="AX37">
        <f ca="1">ROUND(T_Facebook_Ads1159[[#This Row],[impressions]]*RANDBETWEEN(2,10)/10,0)</f>
        <v>8612</v>
      </c>
      <c r="AY37">
        <f ca="1">ROUND(T_Facebook_Ads1159[[#This Row],[clicks]]*RANDBETWEEN(8,12)/10,0)</f>
        <v>697</v>
      </c>
      <c r="AZ37">
        <f ca="1">T_Facebook_Ads1159[[#This Row],[spend]]*RANDBETWEEN(8,12)/10</f>
        <v>239.7</v>
      </c>
      <c r="BA37">
        <f ca="1">ROUND(T_Facebook_Ads1159[[#This Row],[conversions]]*RANDBETWEEN(8,12)/10,0)</f>
        <v>39</v>
      </c>
      <c r="BB37">
        <f ca="1">ROUND(T_Facebook_Ads1159[[#This Row],[video_views]]*RANDBETWEEN(8,12)/10,0)</f>
        <v>1364</v>
      </c>
    </row>
    <row r="38" spans="1:54" ht="15.75" thickBot="1" x14ac:dyDescent="0.3">
      <c r="A38" s="3">
        <f t="shared" ca="1" si="5"/>
        <v>44981</v>
      </c>
      <c r="B38" s="4" t="s">
        <v>60</v>
      </c>
      <c r="C38" s="4" t="s">
        <v>61</v>
      </c>
      <c r="D38" s="4" t="s">
        <v>62</v>
      </c>
      <c r="E38" s="4" t="s">
        <v>63</v>
      </c>
      <c r="F38" s="4">
        <f ca="1">ROUND(T_Facebook_Ads[[#This Row],[impressions]]*RANDBETWEEN(8,12)/10,0)</f>
        <v>37890</v>
      </c>
      <c r="G38" s="4">
        <v>1398</v>
      </c>
      <c r="H38" s="4">
        <f ca="1">T_Facebook_Ads[[#This Row],[spend]]*RANDBETWEEN(8,12)/10</f>
        <v>191.16000000000003</v>
      </c>
      <c r="I38" s="4">
        <f ca="1">ROUND(T_Facebook_Ads[[#This Row],[conversions]]*RANDBETWEEN(8,12)/10,0)</f>
        <v>25</v>
      </c>
      <c r="J38" s="4">
        <f ca="1">ROUND(T_Facebook_Ads[[#This Row],[video_views]]*RANDBETWEEN(8,12)/10,0)</f>
        <v>4010</v>
      </c>
      <c r="K38" s="4">
        <f ca="1">T_Facebook_Ads[[#This Row],[engagement_rate]]*RANDBETWEEN(8,12)/10</f>
        <v>4.428E-2</v>
      </c>
      <c r="L38" s="4">
        <f ca="1">ROUND(T_Facebook_Ads[[#This Row],[reach]]*RANDBETWEEN(8,12)/10,0)</f>
        <v>33979</v>
      </c>
      <c r="M38" s="4">
        <f ca="1">T_Facebook_Ads[[#This Row],[frequency]]*RANDBETWEEN(8,12)/10</f>
        <v>1.476</v>
      </c>
      <c r="O38" s="3">
        <f t="shared" ca="1" si="6"/>
        <v>44966</v>
      </c>
      <c r="P38" s="4" t="s">
        <v>84</v>
      </c>
      <c r="Q38" s="4" t="s">
        <v>85</v>
      </c>
      <c r="R38" s="4" t="s">
        <v>86</v>
      </c>
      <c r="S38" s="4" t="s">
        <v>87</v>
      </c>
      <c r="T38" s="4">
        <f ca="1">ROUND(_Google_ads[[#This Row],[impressions]]*RANDBETWEEN(8,12)/10,0)</f>
        <v>76879</v>
      </c>
      <c r="U38" s="4">
        <f ca="1">ROUND(_Google_ads[[#This Row],[clicks]]*RANDBETWEEN(8,12)/10,0)</f>
        <v>2101</v>
      </c>
      <c r="V38" s="4">
        <f ca="1">_Google_ads[[#This Row],[cost]]*RANDBETWEEN(8,12)/10</f>
        <v>386.01</v>
      </c>
      <c r="W38" s="4">
        <f ca="1">ROUND(_Google_ads[[#This Row],[conversions]]*RANDBETWEEN(8,12)/10,0)</f>
        <v>79</v>
      </c>
      <c r="X38" s="4">
        <f ca="1">ROUND(_Google_ads[[#This Row],[conversion_value]]*RANDBETWEEN(8,12)/10,0)</f>
        <v>3960</v>
      </c>
      <c r="Y38" s="4">
        <f ca="1">_Google_ads[[#This Row],[ctr]]*RANDBETWEEN(8,12)/10</f>
        <v>3.0059999999999996E-2</v>
      </c>
      <c r="Z38" s="4">
        <f ca="1">_Google_ads[[#This Row],[avg_cpc]]*RANDBETWEEN(8,12)/10</f>
        <v>0.16199999999999998</v>
      </c>
      <c r="AA38" s="4">
        <f ca="1">ROUND(_Google_ads[[#This Row],[quality_score]]*RANDBETWEEN(8,12)/10,0)</f>
        <v>8</v>
      </c>
      <c r="AB38" s="4">
        <f ca="1">_Google_ads[[#This Row],[search_impression_share]]*RANDBETWEEN(8,12)/10</f>
        <v>0.73699999999999999</v>
      </c>
      <c r="AD38" s="3">
        <f t="shared" ca="1" si="7"/>
        <v>44969</v>
      </c>
      <c r="AE38" s="4" t="s">
        <v>108</v>
      </c>
      <c r="AF38" s="4" t="s">
        <v>109</v>
      </c>
      <c r="AG38" s="4" t="s">
        <v>110</v>
      </c>
      <c r="AH38" s="4" t="s">
        <v>111</v>
      </c>
      <c r="AI38" s="4">
        <f ca="1">ROUND(T_Tiktok_ads[[#This Row],[impressions]]*RANDBETWEEN(8,12)/10,0)</f>
        <v>251791</v>
      </c>
      <c r="AJ38" s="4">
        <f ca="1">ROUND(T_Tiktok_ads[[#This Row],[clicks]]*RANDBETWEEN(8,12)/10,0)</f>
        <v>3271</v>
      </c>
      <c r="AK38" s="4">
        <v>441.9</v>
      </c>
      <c r="AL38" s="4">
        <f ca="1">ROUND(T_Tiktok_ads[[#This Row],[conversions]]*RANDBETWEEN(8,12)/10,0)</f>
        <v>28</v>
      </c>
      <c r="AM38" s="4">
        <f ca="1">ROUND(T_Tiktok_ads[[#This Row],[video_views]]*RANDBETWEEN(8,12)/10,0)</f>
        <v>218814</v>
      </c>
      <c r="AN38" s="4">
        <f ca="1">ROUND(T_Tiktok_ads[[#This Row],[video_watch_25]]*RANDBETWEEN(8,12)/10,0)</f>
        <v>124101</v>
      </c>
      <c r="AO38" s="4">
        <f ca="1">ROUND(T_Tiktok_ads[[#This Row],[video_watch_50]]*RANDBETWEEN(8,12)/10,0)</f>
        <v>108901</v>
      </c>
      <c r="AP38" s="4">
        <f ca="1">ROUND(T_Tiktok_ads[[#This Row],[video_watch_75]]*RANDBETWEEN(8,12)/10,0)</f>
        <v>63510</v>
      </c>
      <c r="AQ38" s="4">
        <f ca="1">ROUND(T_Tiktok_ads[[#This Row],[video_watch_100]]*RANDBETWEEN(8,12)/10,0)</f>
        <v>34231</v>
      </c>
      <c r="AR38" s="4">
        <f ca="1">ROUND(T_Tiktok_ads[[#This Row],[likes]]*RANDBETWEEN(8,12)/10,0)</f>
        <v>7610</v>
      </c>
      <c r="AS38" s="4">
        <f ca="1">ROUND(T_Tiktok_ads[[#This Row],[shares]]*RANDBETWEEN(8,12)/10,0)</f>
        <v>1841</v>
      </c>
      <c r="AT38" s="4">
        <f ca="1">ROUND(T_Tiktok_ads[[#This Row],[comments]]*RANDBETWEEN(8,12)/10,0)</f>
        <v>600</v>
      </c>
      <c r="AV38" s="5">
        <f t="shared" ca="1" si="8"/>
        <v>44985</v>
      </c>
      <c r="AW38">
        <f t="shared" ca="1" si="4"/>
        <v>8</v>
      </c>
      <c r="AX38">
        <f ca="1">ROUND(T_Facebook_Ads1159[[#This Row],[impressions]]*RANDBETWEEN(2,10)/10,0)</f>
        <v>34101</v>
      </c>
      <c r="AY38">
        <f ca="1">ROUND(T_Facebook_Ads1159[[#This Row],[clicks]]*RANDBETWEEN(8,12)/10,0)</f>
        <v>1398</v>
      </c>
      <c r="AZ38">
        <f ca="1">T_Facebook_Ads1159[[#This Row],[spend]]*RANDBETWEEN(8,12)/10</f>
        <v>191.16000000000003</v>
      </c>
      <c r="BA38">
        <f ca="1">ROUND(T_Facebook_Ads1159[[#This Row],[conversions]]*RANDBETWEEN(8,12)/10,0)</f>
        <v>25</v>
      </c>
      <c r="BB38">
        <f ca="1">ROUND(T_Facebook_Ads1159[[#This Row],[video_views]]*RANDBETWEEN(8,12)/10,0)</f>
        <v>4010</v>
      </c>
    </row>
    <row r="39" spans="1:54" ht="15.75" thickBot="1" x14ac:dyDescent="0.3">
      <c r="A39" s="3">
        <f t="shared" ca="1" si="5"/>
        <v>44984</v>
      </c>
      <c r="B39" s="4" t="s">
        <v>64</v>
      </c>
      <c r="C39" s="4" t="s">
        <v>65</v>
      </c>
      <c r="D39" s="4" t="s">
        <v>66</v>
      </c>
      <c r="E39" s="4" t="s">
        <v>67</v>
      </c>
      <c r="F39" s="4">
        <f ca="1">ROUND(T_Facebook_Ads[[#This Row],[impressions]]*RANDBETWEEN(8,12)/10,0)</f>
        <v>80179</v>
      </c>
      <c r="G39" s="4">
        <v>261</v>
      </c>
      <c r="H39" s="4">
        <f ca="1">T_Facebook_Ads[[#This Row],[spend]]*RANDBETWEEN(8,12)/10</f>
        <v>106.47999999999999</v>
      </c>
      <c r="I39" s="4">
        <f ca="1">ROUND(T_Facebook_Ads[[#This Row],[conversions]]*RANDBETWEEN(8,12)/10,0)</f>
        <v>8</v>
      </c>
      <c r="J39" s="4">
        <f ca="1">ROUND(T_Facebook_Ads[[#This Row],[video_views]]*RANDBETWEEN(8,12)/10,0)</f>
        <v>39654</v>
      </c>
      <c r="K39" s="4">
        <f ca="1">T_Facebook_Ads[[#This Row],[engagement_rate]]*RANDBETWEEN(8,12)/10</f>
        <v>3.2399999999999998E-3</v>
      </c>
      <c r="L39" s="4">
        <f ca="1">ROUND(T_Facebook_Ads[[#This Row],[reach]]*RANDBETWEEN(8,12)/10,0)</f>
        <v>53211</v>
      </c>
      <c r="M39" s="4">
        <f ca="1">T_Facebook_Ads[[#This Row],[frequency]]*RANDBETWEEN(8,12)/10</f>
        <v>0.98399999999999999</v>
      </c>
      <c r="O39" s="3">
        <f t="shared" ca="1" si="6"/>
        <v>44960</v>
      </c>
      <c r="P39" s="4" t="s">
        <v>88</v>
      </c>
      <c r="Q39" s="4" t="s">
        <v>89</v>
      </c>
      <c r="R39" s="4" t="s">
        <v>90</v>
      </c>
      <c r="S39" s="4" t="s">
        <v>59</v>
      </c>
      <c r="T39" s="4">
        <f ca="1">ROUND(_Google_ads[[#This Row],[impressions]]*RANDBETWEEN(8,12)/10,0)</f>
        <v>133456</v>
      </c>
      <c r="U39" s="4">
        <f ca="1">ROUND(_Google_ads[[#This Row],[clicks]]*RANDBETWEEN(8,12)/10,0)</f>
        <v>489</v>
      </c>
      <c r="V39" s="4">
        <f ca="1">_Google_ads[[#This Row],[cost]]*RANDBETWEEN(8,12)/10</f>
        <v>118.08</v>
      </c>
      <c r="W39" s="4">
        <f ca="1">ROUND(_Google_ads[[#This Row],[conversions]]*RANDBETWEEN(8,12)/10,0)</f>
        <v>15</v>
      </c>
      <c r="X39" s="4">
        <f ca="1">ROUND(_Google_ads[[#This Row],[conversion_value]]*RANDBETWEEN(8,12)/10,0)</f>
        <v>700</v>
      </c>
      <c r="Y39" s="4">
        <f ca="1">_Google_ads[[#This Row],[ctr]]*RANDBETWEEN(8,12)/10</f>
        <v>3.7000000000000006E-3</v>
      </c>
      <c r="Z39" s="4">
        <f ca="1">_Google_ads[[#This Row],[avg_cpc]]*RANDBETWEEN(8,12)/10</f>
        <v>0.24300000000000002</v>
      </c>
      <c r="AA39" s="4">
        <f ca="1">ROUND(_Google_ads[[#This Row],[quality_score]]*RANDBETWEEN(8,12)/10,0)</f>
        <v>8</v>
      </c>
      <c r="AB39" s="4">
        <f ca="1">_Google_ads[[#This Row],[search_impression_share]]*RANDBETWEEN(8,12)/10</f>
        <v>0.27999999999999997</v>
      </c>
      <c r="AD39" s="3">
        <f t="shared" ca="1" si="7"/>
        <v>44971</v>
      </c>
      <c r="AE39" s="4" t="s">
        <v>112</v>
      </c>
      <c r="AF39" s="4" t="s">
        <v>113</v>
      </c>
      <c r="AG39" s="4" t="s">
        <v>114</v>
      </c>
      <c r="AH39" s="4" t="s">
        <v>115</v>
      </c>
      <c r="AI39" s="4">
        <f ca="1">ROUND(T_Tiktok_ads[[#This Row],[impressions]]*RANDBETWEEN(8,12)/10,0)</f>
        <v>398567</v>
      </c>
      <c r="AJ39" s="4">
        <f ca="1">ROUND(T_Tiktok_ads[[#This Row],[clicks]]*RANDBETWEEN(8,12)/10,0)</f>
        <v>7841</v>
      </c>
      <c r="AK39" s="4">
        <v>998.7</v>
      </c>
      <c r="AL39" s="4">
        <f ca="1">ROUND(T_Tiktok_ads[[#This Row],[conversions]]*RANDBETWEEN(8,12)/10,0)</f>
        <v>98</v>
      </c>
      <c r="AM39" s="4">
        <f ca="1">ROUND(T_Tiktok_ads[[#This Row],[video_views]]*RANDBETWEEN(8,12)/10,0)</f>
        <v>299111</v>
      </c>
      <c r="AN39" s="4">
        <f ca="1">ROUND(T_Tiktok_ads[[#This Row],[video_watch_25]]*RANDBETWEEN(8,12)/10,0)</f>
        <v>321468</v>
      </c>
      <c r="AO39" s="4">
        <f ca="1">ROUND(T_Tiktok_ads[[#This Row],[video_watch_50]]*RANDBETWEEN(8,12)/10,0)</f>
        <v>193110</v>
      </c>
      <c r="AP39" s="4">
        <f ca="1">ROUND(T_Tiktok_ads[[#This Row],[video_watch_75]]*RANDBETWEEN(8,12)/10,0)</f>
        <v>181481</v>
      </c>
      <c r="AQ39" s="4">
        <f ca="1">ROUND(T_Tiktok_ads[[#This Row],[video_watch_100]]*RANDBETWEEN(8,12)/10,0)</f>
        <v>79654</v>
      </c>
      <c r="AR39" s="4">
        <f ca="1">ROUND(T_Tiktok_ads[[#This Row],[likes]]*RANDBETWEEN(8,12)/10,0)</f>
        <v>15980</v>
      </c>
      <c r="AS39" s="4">
        <f ca="1">ROUND(T_Tiktok_ads[[#This Row],[shares]]*RANDBETWEEN(8,12)/10,0)</f>
        <v>4010</v>
      </c>
      <c r="AT39" s="4">
        <f ca="1">ROUND(T_Tiktok_ads[[#This Row],[comments]]*RANDBETWEEN(8,12)/10,0)</f>
        <v>1389</v>
      </c>
      <c r="AV39" s="5">
        <f t="shared" ca="1" si="8"/>
        <v>44969</v>
      </c>
      <c r="AW39">
        <f t="shared" ca="1" si="4"/>
        <v>6</v>
      </c>
      <c r="AX39">
        <f ca="1">ROUND(T_Facebook_Ads1159[[#This Row],[impressions]]*RANDBETWEEN(2,10)/10,0)</f>
        <v>48107</v>
      </c>
      <c r="AY39">
        <f ca="1">ROUND(T_Facebook_Ads1159[[#This Row],[clicks]]*RANDBETWEEN(8,12)/10,0)</f>
        <v>313</v>
      </c>
      <c r="AZ39">
        <f ca="1">T_Facebook_Ads1159[[#This Row],[spend]]*RANDBETWEEN(8,12)/10</f>
        <v>117.128</v>
      </c>
      <c r="BA39">
        <f ca="1">ROUND(T_Facebook_Ads1159[[#This Row],[conversions]]*RANDBETWEEN(8,12)/10,0)</f>
        <v>7</v>
      </c>
      <c r="BB39">
        <f ca="1">ROUND(T_Facebook_Ads1159[[#This Row],[video_views]]*RANDBETWEEN(8,12)/10,0)</f>
        <v>35689</v>
      </c>
    </row>
    <row r="40" spans="1:54" ht="15.75" thickBot="1" x14ac:dyDescent="0.3">
      <c r="A40" s="3">
        <f t="shared" ca="1" si="5"/>
        <v>44977</v>
      </c>
      <c r="B40" s="4" t="s">
        <v>52</v>
      </c>
      <c r="C40" s="4" t="s">
        <v>53</v>
      </c>
      <c r="D40" s="4" t="s">
        <v>54</v>
      </c>
      <c r="E40" s="4" t="s">
        <v>55</v>
      </c>
      <c r="F40" s="4">
        <f ca="1">ROUND(T_Facebook_Ads[[#This Row],[impressions]]*RANDBETWEEN(8,12)/10,0)</f>
        <v>42345</v>
      </c>
      <c r="G40" s="4">
        <v>856</v>
      </c>
      <c r="H40" s="4">
        <f ca="1">T_Facebook_Ads[[#This Row],[spend]]*RANDBETWEEN(8,12)/10</f>
        <v>145.80000000000001</v>
      </c>
      <c r="I40" s="4">
        <f ca="1">ROUND(T_Facebook_Ads[[#This Row],[conversions]]*RANDBETWEEN(8,12)/10,0)</f>
        <v>11</v>
      </c>
      <c r="J40" s="4">
        <f ca="1">ROUND(T_Facebook_Ads[[#This Row],[video_views]]*RANDBETWEEN(8,12)/10,0)</f>
        <v>8679</v>
      </c>
      <c r="K40" s="4">
        <f ca="1">T_Facebook_Ads[[#This Row],[engagement_rate]]*RANDBETWEEN(8,12)/10</f>
        <v>1.8179999999999998E-2</v>
      </c>
      <c r="L40" s="4">
        <f ca="1">ROUND(T_Facebook_Ads[[#This Row],[reach]]*RANDBETWEEN(8,12)/10,0)</f>
        <v>42814</v>
      </c>
      <c r="M40" s="4">
        <f ca="1">T_Facebook_Ads[[#This Row],[frequency]]*RANDBETWEEN(8,12)/10</f>
        <v>1.4279999999999999</v>
      </c>
      <c r="O40" s="3">
        <f t="shared" ca="1" si="6"/>
        <v>44958</v>
      </c>
      <c r="P40" s="4" t="s">
        <v>76</v>
      </c>
      <c r="Q40" s="4" t="s">
        <v>77</v>
      </c>
      <c r="R40" s="4" t="s">
        <v>78</v>
      </c>
      <c r="S40" s="4" t="s">
        <v>79</v>
      </c>
      <c r="T40" s="4">
        <f ca="1">ROUND(_Google_ads[[#This Row],[impressions]]*RANDBETWEEN(8,12)/10,0)</f>
        <v>20210</v>
      </c>
      <c r="U40" s="4">
        <f ca="1">ROUND(_Google_ads[[#This Row],[clicks]]*RANDBETWEEN(8,12)/10,0)</f>
        <v>925</v>
      </c>
      <c r="V40" s="4">
        <f ca="1">_Google_ads[[#This Row],[cost]]*RANDBETWEEN(8,12)/10</f>
        <v>242.44</v>
      </c>
      <c r="W40" s="4">
        <f ca="1">ROUND(_Google_ads[[#This Row],[conversions]]*RANDBETWEEN(8,12)/10,0)</f>
        <v>47</v>
      </c>
      <c r="X40" s="4">
        <f ca="1">ROUND(_Google_ads[[#This Row],[conversion_value]]*RANDBETWEEN(8,12)/10,0)</f>
        <v>1935</v>
      </c>
      <c r="Y40" s="4">
        <f ca="1">_Google_ads[[#This Row],[ctr]]*RANDBETWEEN(8,12)/10</f>
        <v>6.1800000000000001E-2</v>
      </c>
      <c r="Z40" s="4">
        <f ca="1">_Google_ads[[#This Row],[avg_cpc]]*RANDBETWEEN(8,12)/10</f>
        <v>0.152</v>
      </c>
      <c r="AA40" s="4">
        <f ca="1">ROUND(_Google_ads[[#This Row],[quality_score]]*RANDBETWEEN(8,12)/10,0)</f>
        <v>11</v>
      </c>
      <c r="AB40" s="4">
        <f ca="1">_Google_ads[[#This Row],[search_impression_share]]*RANDBETWEEN(8,12)/10</f>
        <v>0.99</v>
      </c>
      <c r="AD40" s="3">
        <f t="shared" ca="1" si="7"/>
        <v>44965</v>
      </c>
      <c r="AE40" s="4" t="s">
        <v>100</v>
      </c>
      <c r="AF40" s="4" t="s">
        <v>101</v>
      </c>
      <c r="AG40" s="4" t="s">
        <v>102</v>
      </c>
      <c r="AH40" s="4" t="s">
        <v>103</v>
      </c>
      <c r="AI40" s="4">
        <f ca="1">ROUND(T_Tiktok_ads[[#This Row],[impressions]]*RANDBETWEEN(8,12)/10,0)</f>
        <v>187654</v>
      </c>
      <c r="AJ40" s="4">
        <f ca="1">ROUND(T_Tiktok_ads[[#This Row],[clicks]]*RANDBETWEEN(8,12)/10,0)</f>
        <v>3110</v>
      </c>
      <c r="AK40" s="4">
        <v>456.7</v>
      </c>
      <c r="AL40" s="4">
        <f ca="1">ROUND(T_Tiktok_ads[[#This Row],[conversions]]*RANDBETWEEN(8,12)/10,0)</f>
        <v>41</v>
      </c>
      <c r="AM40" s="4">
        <f ca="1">ROUND(T_Tiktok_ads[[#This Row],[video_views]]*RANDBETWEEN(8,12)/10,0)</f>
        <v>218057</v>
      </c>
      <c r="AN40" s="4">
        <f ca="1">ROUND(T_Tiktok_ads[[#This Row],[video_watch_25]]*RANDBETWEEN(8,12)/10,0)</f>
        <v>171857</v>
      </c>
      <c r="AO40" s="4">
        <f ca="1">ROUND(T_Tiktok_ads[[#This Row],[video_watch_50]]*RANDBETWEEN(8,12)/10,0)</f>
        <v>88411</v>
      </c>
      <c r="AP40" s="4">
        <f ca="1">ROUND(T_Tiktok_ads[[#This Row],[video_watch_75]]*RANDBETWEEN(8,12)/10,0)</f>
        <v>80681</v>
      </c>
      <c r="AQ40" s="4">
        <f ca="1">ROUND(T_Tiktok_ads[[#This Row],[video_watch_100]]*RANDBETWEEN(8,12)/10,0)</f>
        <v>54281</v>
      </c>
      <c r="AR40" s="4">
        <f ca="1">ROUND(T_Tiktok_ads[[#This Row],[likes]]*RANDBETWEEN(8,12)/10,0)</f>
        <v>8923</v>
      </c>
      <c r="AS40" s="4">
        <f ca="1">ROUND(T_Tiktok_ads[[#This Row],[shares]]*RANDBETWEEN(8,12)/10,0)</f>
        <v>1876</v>
      </c>
      <c r="AT40" s="4">
        <f ca="1">ROUND(T_Tiktok_ads[[#This Row],[comments]]*RANDBETWEEN(8,12)/10,0)</f>
        <v>567</v>
      </c>
      <c r="AV40" s="5">
        <f t="shared" ca="1" si="8"/>
        <v>44972</v>
      </c>
      <c r="AW40">
        <f t="shared" ca="1" si="4"/>
        <v>1</v>
      </c>
      <c r="AX40">
        <f ca="1">ROUND(T_Facebook_Ads1159[[#This Row],[impressions]]*RANDBETWEEN(2,10)/10,0)</f>
        <v>8469</v>
      </c>
      <c r="AY40">
        <f ca="1">ROUND(T_Facebook_Ads1159[[#This Row],[clicks]]*RANDBETWEEN(8,12)/10,0)</f>
        <v>856</v>
      </c>
      <c r="AZ40">
        <f ca="1">T_Facebook_Ads1159[[#This Row],[spend]]*RANDBETWEEN(8,12)/10</f>
        <v>145.80000000000001</v>
      </c>
      <c r="BA40">
        <f ca="1">ROUND(T_Facebook_Ads1159[[#This Row],[conversions]]*RANDBETWEEN(8,12)/10,0)</f>
        <v>9</v>
      </c>
      <c r="BB40">
        <f ca="1">ROUND(T_Facebook_Ads1159[[#This Row],[video_views]]*RANDBETWEEN(8,12)/10,0)</f>
        <v>10415</v>
      </c>
    </row>
    <row r="41" spans="1:54" ht="15.75" thickBot="1" x14ac:dyDescent="0.3">
      <c r="A41" s="3">
        <f t="shared" ca="1" si="5"/>
        <v>44958</v>
      </c>
      <c r="B41" s="4" t="s">
        <v>56</v>
      </c>
      <c r="C41" s="4" t="s">
        <v>57</v>
      </c>
      <c r="D41" s="4" t="s">
        <v>58</v>
      </c>
      <c r="E41" s="4" t="s">
        <v>59</v>
      </c>
      <c r="F41" s="4">
        <f ca="1">ROUND(T_Facebook_Ads[[#This Row],[impressions]]*RANDBETWEEN(8,12)/10,0)</f>
        <v>10111</v>
      </c>
      <c r="G41" s="4">
        <v>523</v>
      </c>
      <c r="H41" s="4">
        <f ca="1">T_Facebook_Ads[[#This Row],[spend]]*RANDBETWEEN(8,12)/10</f>
        <v>218.45999999999998</v>
      </c>
      <c r="I41" s="4">
        <f ca="1">ROUND(T_Facebook_Ads[[#This Row],[conversions]]*RANDBETWEEN(8,12)/10,0)</f>
        <v>32</v>
      </c>
      <c r="J41" s="4">
        <f ca="1">ROUND(T_Facebook_Ads[[#This Row],[video_views]]*RANDBETWEEN(8,12)/10,0)</f>
        <v>1235</v>
      </c>
      <c r="K41" s="4">
        <f ca="1">T_Facebook_Ads[[#This Row],[engagement_rate]]*RANDBETWEEN(8,12)/10</f>
        <v>3.7280000000000001E-2</v>
      </c>
      <c r="L41" s="4">
        <f ca="1">ROUND(T_Facebook_Ads[[#This Row],[reach]]*RANDBETWEEN(8,12)/10,0)</f>
        <v>10681</v>
      </c>
      <c r="M41" s="4">
        <f ca="1">T_Facebook_Ads[[#This Row],[frequency]]*RANDBETWEEN(8,12)/10</f>
        <v>1.397</v>
      </c>
      <c r="O41" s="3">
        <f t="shared" ca="1" si="6"/>
        <v>44981</v>
      </c>
      <c r="P41" s="4" t="s">
        <v>80</v>
      </c>
      <c r="Q41" s="4" t="s">
        <v>81</v>
      </c>
      <c r="R41" s="4" t="s">
        <v>82</v>
      </c>
      <c r="S41" s="4" t="s">
        <v>83</v>
      </c>
      <c r="T41" s="4">
        <f ca="1">ROUND(_Google_ads[[#This Row],[impressions]]*RANDBETWEEN(8,12)/10,0)</f>
        <v>49481</v>
      </c>
      <c r="U41" s="4">
        <f ca="1">ROUND(_Google_ads[[#This Row],[clicks]]*RANDBETWEEN(8,12)/10,0)</f>
        <v>658</v>
      </c>
      <c r="V41" s="4">
        <f ca="1">_Google_ads[[#This Row],[cost]]*RANDBETWEEN(8,12)/10</f>
        <v>634.67999999999995</v>
      </c>
      <c r="W41" s="4">
        <f ca="1">ROUND(_Google_ads[[#This Row],[conversions]]*RANDBETWEEN(8,12)/10,0)</f>
        <v>25</v>
      </c>
      <c r="X41" s="4">
        <f ca="1">ROUND(_Google_ads[[#This Row],[conversion_value]]*RANDBETWEEN(8,12)/10,0)</f>
        <v>1260</v>
      </c>
      <c r="Y41" s="4">
        <f ca="1">_Google_ads[[#This Row],[ctr]]*RANDBETWEEN(8,12)/10</f>
        <v>1.7999999999999999E-2</v>
      </c>
      <c r="Z41" s="4">
        <f ca="1">_Google_ads[[#This Row],[avg_cpc]]*RANDBETWEEN(8,12)/10</f>
        <v>0.70399999999999996</v>
      </c>
      <c r="AA41" s="4">
        <f ca="1">ROUND(_Google_ads[[#This Row],[quality_score]]*RANDBETWEEN(8,12)/10,0)</f>
        <v>6</v>
      </c>
      <c r="AB41" s="4">
        <f ca="1">_Google_ads[[#This Row],[search_impression_share]]*RANDBETWEEN(8,12)/10</f>
        <v>0.38700000000000001</v>
      </c>
      <c r="AD41" s="3">
        <f t="shared" ca="1" si="7"/>
        <v>44967</v>
      </c>
      <c r="AE41" s="4" t="s">
        <v>104</v>
      </c>
      <c r="AF41" s="4" t="s">
        <v>105</v>
      </c>
      <c r="AG41" s="4" t="s">
        <v>106</v>
      </c>
      <c r="AH41" s="4" t="s">
        <v>107</v>
      </c>
      <c r="AI41" s="4">
        <f ca="1">ROUND(T_Tiktok_ads[[#This Row],[impressions]]*RANDBETWEEN(8,12)/10,0)</f>
        <v>134567</v>
      </c>
      <c r="AJ41" s="4">
        <f ca="1">ROUND(T_Tiktok_ads[[#This Row],[clicks]]*RANDBETWEEN(8,12)/10,0)</f>
        <v>2567</v>
      </c>
      <c r="AK41" s="4">
        <v>712.3</v>
      </c>
      <c r="AL41" s="4">
        <f ca="1">ROUND(T_Tiktok_ads[[#This Row],[conversions]]*RANDBETWEEN(8,12)/10,0)</f>
        <v>85</v>
      </c>
      <c r="AM41" s="4">
        <f ca="1">ROUND(T_Tiktok_ads[[#This Row],[video_views]]*RANDBETWEEN(8,12)/10,0)</f>
        <v>114814</v>
      </c>
      <c r="AN41" s="4">
        <f ca="1">ROUND(T_Tiktok_ads[[#This Row],[video_watch_25]]*RANDBETWEEN(8,12)/10,0)</f>
        <v>78357</v>
      </c>
      <c r="AO41" s="4">
        <f ca="1">ROUND(T_Tiktok_ads[[#This Row],[video_watch_50]]*RANDBETWEEN(8,12)/10,0)</f>
        <v>53057</v>
      </c>
      <c r="AP41" s="4">
        <f ca="1">ROUND(T_Tiktok_ads[[#This Row],[video_watch_75]]*RANDBETWEEN(8,12)/10,0)</f>
        <v>39857</v>
      </c>
      <c r="AQ41" s="4">
        <f ca="1">ROUND(T_Tiktok_ads[[#This Row],[video_watch_100]]*RANDBETWEEN(8,12)/10,0)</f>
        <v>22110</v>
      </c>
      <c r="AR41" s="4">
        <f ca="1">ROUND(T_Tiktok_ads[[#This Row],[likes]]*RANDBETWEEN(8,12)/10,0)</f>
        <v>5747</v>
      </c>
      <c r="AS41" s="4">
        <f ca="1">ROUND(T_Tiktok_ads[[#This Row],[shares]]*RANDBETWEEN(8,12)/10,0)</f>
        <v>1480</v>
      </c>
      <c r="AT41" s="4">
        <f ca="1">ROUND(T_Tiktok_ads[[#This Row],[comments]]*RANDBETWEEN(8,12)/10,0)</f>
        <v>221</v>
      </c>
      <c r="AV41" s="5">
        <f t="shared" ca="1" si="8"/>
        <v>44964</v>
      </c>
      <c r="AW41">
        <f t="shared" ca="1" si="4"/>
        <v>1</v>
      </c>
      <c r="AX41">
        <f ca="1">ROUND(T_Facebook_Ads1159[[#This Row],[impressions]]*RANDBETWEEN(2,10)/10,0)</f>
        <v>6067</v>
      </c>
      <c r="AY41">
        <f ca="1">ROUND(T_Facebook_Ads1159[[#This Row],[clicks]]*RANDBETWEEN(8,12)/10,0)</f>
        <v>418</v>
      </c>
      <c r="AZ41">
        <f ca="1">T_Facebook_Ads1159[[#This Row],[spend]]*RANDBETWEEN(8,12)/10</f>
        <v>240.30599999999998</v>
      </c>
      <c r="BA41">
        <f ca="1">ROUND(T_Facebook_Ads1159[[#This Row],[conversions]]*RANDBETWEEN(8,12)/10,0)</f>
        <v>35</v>
      </c>
      <c r="BB41">
        <f ca="1">ROUND(T_Facebook_Ads1159[[#This Row],[video_views]]*RANDBETWEEN(8,12)/10,0)</f>
        <v>1359</v>
      </c>
    </row>
    <row r="42" spans="1:54" ht="15.75" thickBot="1" x14ac:dyDescent="0.3">
      <c r="A42" s="3">
        <f t="shared" ca="1" si="5"/>
        <v>44979</v>
      </c>
      <c r="B42" s="4" t="s">
        <v>60</v>
      </c>
      <c r="C42" s="4" t="s">
        <v>61</v>
      </c>
      <c r="D42" s="4" t="s">
        <v>62</v>
      </c>
      <c r="E42" s="4" t="s">
        <v>63</v>
      </c>
      <c r="F42" s="4">
        <f ca="1">ROUND(T_Facebook_Ads[[#This Row],[impressions]]*RANDBETWEEN(8,12)/10,0)</f>
        <v>26765</v>
      </c>
      <c r="G42" s="4">
        <v>1203</v>
      </c>
      <c r="H42" s="4">
        <f ca="1">T_Facebook_Ads[[#This Row],[spend]]*RANDBETWEEN(8,12)/10</f>
        <v>203.83</v>
      </c>
      <c r="I42" s="4">
        <f ca="1">ROUND(T_Facebook_Ads[[#This Row],[conversions]]*RANDBETWEEN(8,12)/10,0)</f>
        <v>23</v>
      </c>
      <c r="J42" s="4">
        <f ca="1">ROUND(T_Facebook_Ads[[#This Row],[video_views]]*RANDBETWEEN(8,12)/10,0)</f>
        <v>4234</v>
      </c>
      <c r="K42" s="4">
        <f ca="1">T_Facebook_Ads[[#This Row],[engagement_rate]]*RANDBETWEEN(8,12)/10</f>
        <v>3.5999999999999997E-2</v>
      </c>
      <c r="L42" s="4">
        <f ca="1">ROUND(T_Facebook_Ads[[#This Row],[reach]]*RANDBETWEEN(8,12)/10,0)</f>
        <v>22312</v>
      </c>
      <c r="M42" s="4">
        <f ca="1">T_Facebook_Ads[[#This Row],[frequency]]*RANDBETWEEN(8,12)/10</f>
        <v>0.96</v>
      </c>
      <c r="O42" s="3">
        <f t="shared" ca="1" si="6"/>
        <v>44961</v>
      </c>
      <c r="P42" s="4" t="s">
        <v>84</v>
      </c>
      <c r="Q42" s="4" t="s">
        <v>85</v>
      </c>
      <c r="R42" s="4" t="s">
        <v>86</v>
      </c>
      <c r="S42" s="4" t="s">
        <v>87</v>
      </c>
      <c r="T42" s="4">
        <f ca="1">ROUND(_Google_ads[[#This Row],[impressions]]*RANDBETWEEN(8,12)/10,0)</f>
        <v>69802</v>
      </c>
      <c r="U42" s="4">
        <f ca="1">ROUND(_Google_ads[[#This Row],[clicks]]*RANDBETWEEN(8,12)/10,0)</f>
        <v>1880</v>
      </c>
      <c r="V42" s="4">
        <f ca="1">_Google_ads[[#This Row],[cost]]*RANDBETWEEN(8,12)/10</f>
        <v>420.86</v>
      </c>
      <c r="W42" s="4">
        <f ca="1">ROUND(_Google_ads[[#This Row],[conversions]]*RANDBETWEEN(8,12)/10,0)</f>
        <v>54</v>
      </c>
      <c r="X42" s="4">
        <f ca="1">ROUND(_Google_ads[[#This Row],[conversion_value]]*RANDBETWEEN(8,12)/10,0)</f>
        <v>3300</v>
      </c>
      <c r="Y42" s="4">
        <f ca="1">_Google_ads[[#This Row],[ctr]]*RANDBETWEEN(8,12)/10</f>
        <v>3.9480000000000001E-2</v>
      </c>
      <c r="Z42" s="4">
        <f ca="1">_Google_ads[[#This Row],[avg_cpc]]*RANDBETWEEN(8,12)/10</f>
        <v>0.14399999999999999</v>
      </c>
      <c r="AA42" s="4">
        <f ca="1">ROUND(_Google_ads[[#This Row],[quality_score]]*RANDBETWEEN(8,12)/10,0)</f>
        <v>6</v>
      </c>
      <c r="AB42" s="4">
        <f ca="1">_Google_ads[[#This Row],[search_impression_share]]*RANDBETWEEN(8,12)/10</f>
        <v>0.58500000000000008</v>
      </c>
      <c r="AD42" s="3">
        <f t="shared" ca="1" si="7"/>
        <v>44977</v>
      </c>
      <c r="AE42" s="4" t="s">
        <v>108</v>
      </c>
      <c r="AF42" s="4" t="s">
        <v>109</v>
      </c>
      <c r="AG42" s="4" t="s">
        <v>110</v>
      </c>
      <c r="AH42" s="4" t="s">
        <v>111</v>
      </c>
      <c r="AI42" s="4">
        <f ca="1">ROUND(T_Tiktok_ads[[#This Row],[impressions]]*RANDBETWEEN(8,12)/10,0)</f>
        <v>241481</v>
      </c>
      <c r="AJ42" s="4">
        <f ca="1">ROUND(T_Tiktok_ads[[#This Row],[clicks]]*RANDBETWEEN(8,12)/10,0)</f>
        <v>3435</v>
      </c>
      <c r="AK42" s="4">
        <v>374.5</v>
      </c>
      <c r="AL42" s="4">
        <f ca="1">ROUND(T_Tiktok_ads[[#This Row],[conversions]]*RANDBETWEEN(8,12)/10,0)</f>
        <v>29</v>
      </c>
      <c r="AM42" s="4">
        <f ca="1">ROUND(T_Tiktok_ads[[#This Row],[video_views]]*RANDBETWEEN(8,12)/10,0)</f>
        <v>126312</v>
      </c>
      <c r="AN42" s="4">
        <f ca="1">ROUND(T_Tiktok_ads[[#This Row],[video_watch_25]]*RANDBETWEEN(8,12)/10,0)</f>
        <v>121234</v>
      </c>
      <c r="AO42" s="4">
        <f ca="1">ROUND(T_Tiktok_ads[[#This Row],[video_watch_50]]*RANDBETWEEN(8,12)/10,0)</f>
        <v>96234</v>
      </c>
      <c r="AP42" s="4">
        <f ca="1">ROUND(T_Tiktok_ads[[#This Row],[video_watch_75]]*RANDBETWEEN(8,12)/10,0)</f>
        <v>55111</v>
      </c>
      <c r="AQ42" s="4">
        <f ca="1">ROUND(T_Tiktok_ads[[#This Row],[video_watch_100]]*RANDBETWEEN(8,12)/10,0)</f>
        <v>41202</v>
      </c>
      <c r="AR42" s="4">
        <f ca="1">ROUND(T_Tiktok_ads[[#This Row],[likes]]*RANDBETWEEN(8,12)/10,0)</f>
        <v>8080</v>
      </c>
      <c r="AS42" s="4">
        <f ca="1">ROUND(T_Tiktok_ads[[#This Row],[shares]]*RANDBETWEEN(8,12)/10,0)</f>
        <v>2034</v>
      </c>
      <c r="AT42" s="4">
        <f ca="1">ROUND(T_Tiktok_ads[[#This Row],[comments]]*RANDBETWEEN(8,12)/10,0)</f>
        <v>538</v>
      </c>
      <c r="AV42" s="5">
        <f t="shared" ca="1" si="8"/>
        <v>44968</v>
      </c>
      <c r="AW42">
        <f t="shared" ca="1" si="4"/>
        <v>5</v>
      </c>
      <c r="AX42">
        <f ca="1">ROUND(T_Facebook_Ads1159[[#This Row],[impressions]]*RANDBETWEEN(2,10)/10,0)</f>
        <v>8030</v>
      </c>
      <c r="AY42">
        <f ca="1">ROUND(T_Facebook_Ads1159[[#This Row],[clicks]]*RANDBETWEEN(8,12)/10,0)</f>
        <v>1444</v>
      </c>
      <c r="AZ42">
        <f ca="1">T_Facebook_Ads1159[[#This Row],[spend]]*RANDBETWEEN(8,12)/10</f>
        <v>224.21300000000002</v>
      </c>
      <c r="BA42">
        <f ca="1">ROUND(T_Facebook_Ads1159[[#This Row],[conversions]]*RANDBETWEEN(8,12)/10,0)</f>
        <v>28</v>
      </c>
      <c r="BB42">
        <f ca="1">ROUND(T_Facebook_Ads1159[[#This Row],[video_views]]*RANDBETWEEN(8,12)/10,0)</f>
        <v>5081</v>
      </c>
    </row>
    <row r="43" spans="1:54" ht="15.75" thickBot="1" x14ac:dyDescent="0.3">
      <c r="A43" s="3">
        <f t="shared" ca="1" si="5"/>
        <v>44974</v>
      </c>
      <c r="B43" s="4" t="s">
        <v>64</v>
      </c>
      <c r="C43" s="4" t="s">
        <v>65</v>
      </c>
      <c r="D43" s="4" t="s">
        <v>66</v>
      </c>
      <c r="E43" s="4" t="s">
        <v>67</v>
      </c>
      <c r="F43" s="4">
        <f ca="1">ROUND(T_Facebook_Ads[[#This Row],[impressions]]*RANDBETWEEN(8,12)/10,0)</f>
        <v>77480</v>
      </c>
      <c r="G43" s="4">
        <v>238</v>
      </c>
      <c r="H43" s="4">
        <f ca="1">T_Facebook_Ads[[#This Row],[spend]]*RANDBETWEEN(8,12)/10</f>
        <v>91.740000000000009</v>
      </c>
      <c r="I43" s="4">
        <f ca="1">ROUND(T_Facebook_Ads[[#This Row],[conversions]]*RANDBETWEEN(8,12)/10,0)</f>
        <v>4</v>
      </c>
      <c r="J43" s="4">
        <f ca="1">ROUND(T_Facebook_Ads[[#This Row],[video_views]]*RANDBETWEEN(8,12)/10,0)</f>
        <v>34587</v>
      </c>
      <c r="K43" s="4">
        <f ca="1">T_Facebook_Ads[[#This Row],[engagement_rate]]*RANDBETWEEN(8,12)/10</f>
        <v>3.7000000000000006E-3</v>
      </c>
      <c r="L43" s="4">
        <f ca="1">ROUND(T_Facebook_Ads[[#This Row],[reach]]*RANDBETWEEN(8,12)/10,0)</f>
        <v>63468</v>
      </c>
      <c r="M43" s="4">
        <f ca="1">T_Facebook_Ads[[#This Row],[frequency]]*RANDBETWEEN(8,12)/10</f>
        <v>1.0980000000000001</v>
      </c>
      <c r="O43" s="3">
        <f t="shared" ca="1" si="6"/>
        <v>44974</v>
      </c>
      <c r="P43" s="4" t="s">
        <v>88</v>
      </c>
      <c r="Q43" s="4" t="s">
        <v>89</v>
      </c>
      <c r="R43" s="4" t="s">
        <v>90</v>
      </c>
      <c r="S43" s="4" t="s">
        <v>59</v>
      </c>
      <c r="T43" s="4">
        <f ca="1">ROUND(_Google_ads[[#This Row],[impressions]]*RANDBETWEEN(8,12)/10,0)</f>
        <v>119234</v>
      </c>
      <c r="U43" s="4">
        <f ca="1">ROUND(_Google_ads[[#This Row],[clicks]]*RANDBETWEEN(8,12)/10,0)</f>
        <v>391</v>
      </c>
      <c r="V43" s="4">
        <f ca="1">_Google_ads[[#This Row],[cost]]*RANDBETWEEN(8,12)/10</f>
        <v>105.12</v>
      </c>
      <c r="W43" s="4">
        <f ca="1">ROUND(_Google_ads[[#This Row],[conversions]]*RANDBETWEEN(8,12)/10,0)</f>
        <v>11</v>
      </c>
      <c r="X43" s="4">
        <f ca="1">ROUND(_Google_ads[[#This Row],[conversion_value]]*RANDBETWEEN(8,12)/10,0)</f>
        <v>480</v>
      </c>
      <c r="Y43" s="4">
        <f ca="1">_Google_ads[[#This Row],[ctr]]*RANDBETWEEN(8,12)/10</f>
        <v>3.5999999999999999E-3</v>
      </c>
      <c r="Z43" s="4">
        <f ca="1">_Google_ads[[#This Row],[avg_cpc]]*RANDBETWEEN(8,12)/10</f>
        <v>0.21600000000000003</v>
      </c>
      <c r="AA43" s="4">
        <f ca="1">ROUND(_Google_ads[[#This Row],[quality_score]]*RANDBETWEEN(8,12)/10,0)</f>
        <v>8</v>
      </c>
      <c r="AB43" s="4">
        <f ca="1">_Google_ads[[#This Row],[search_impression_share]]*RANDBETWEEN(8,12)/10</f>
        <v>0.36300000000000004</v>
      </c>
      <c r="AD43" s="3">
        <f t="shared" ca="1" si="7"/>
        <v>44970</v>
      </c>
      <c r="AE43" s="4" t="s">
        <v>112</v>
      </c>
      <c r="AF43" s="4" t="s">
        <v>113</v>
      </c>
      <c r="AG43" s="4" t="s">
        <v>114</v>
      </c>
      <c r="AH43" s="4" t="s">
        <v>115</v>
      </c>
      <c r="AI43" s="4">
        <f ca="1">ROUND(T_Tiktok_ads[[#This Row],[impressions]]*RANDBETWEEN(8,12)/10,0)</f>
        <v>367890</v>
      </c>
      <c r="AJ43" s="4">
        <f ca="1">ROUND(T_Tiktok_ads[[#This Row],[clicks]]*RANDBETWEEN(8,12)/10,0)</f>
        <v>5411</v>
      </c>
      <c r="AK43" s="4">
        <v>923.4</v>
      </c>
      <c r="AL43" s="4">
        <f ca="1">ROUND(T_Tiktok_ads[[#This Row],[conversions]]*RANDBETWEEN(8,12)/10,0)</f>
        <v>85</v>
      </c>
      <c r="AM43" s="4">
        <f ca="1">ROUND(T_Tiktok_ads[[#This Row],[video_views]]*RANDBETWEEN(8,12)/10,0)</f>
        <v>271111</v>
      </c>
      <c r="AN43" s="4">
        <f ca="1">ROUND(T_Tiktok_ads[[#This Row],[video_watch_25]]*RANDBETWEEN(8,12)/10,0)</f>
        <v>245678</v>
      </c>
      <c r="AO43" s="4">
        <f ca="1">ROUND(T_Tiktok_ads[[#This Row],[video_watch_50]]*RANDBETWEEN(8,12)/10,0)</f>
        <v>216468</v>
      </c>
      <c r="AP43" s="4">
        <f ca="1">ROUND(T_Tiktok_ads[[#This Row],[video_watch_75]]*RANDBETWEEN(8,12)/10,0)</f>
        <v>140234</v>
      </c>
      <c r="AQ43" s="4">
        <f ca="1">ROUND(T_Tiktok_ads[[#This Row],[video_watch_100]]*RANDBETWEEN(8,12)/10,0)</f>
        <v>112147</v>
      </c>
      <c r="AR43" s="4">
        <f ca="1">ROUND(T_Tiktok_ads[[#This Row],[likes]]*RANDBETWEEN(8,12)/10,0)</f>
        <v>19481</v>
      </c>
      <c r="AS43" s="4">
        <f ca="1">ROUND(T_Tiktok_ads[[#This Row],[shares]]*RANDBETWEEN(8,12)/10,0)</f>
        <v>5747</v>
      </c>
      <c r="AT43" s="4">
        <f ca="1">ROUND(T_Tiktok_ads[[#This Row],[comments]]*RANDBETWEEN(8,12)/10,0)</f>
        <v>1031</v>
      </c>
      <c r="AV43" s="5">
        <f t="shared" ca="1" si="8"/>
        <v>44961</v>
      </c>
      <c r="AW43">
        <f t="shared" ca="1" si="4"/>
        <v>3</v>
      </c>
      <c r="AX43">
        <f ca="1">ROUND(T_Facebook_Ads1159[[#This Row],[impressions]]*RANDBETWEEN(2,10)/10,0)</f>
        <v>30992</v>
      </c>
      <c r="AY43">
        <f ca="1">ROUND(T_Facebook_Ads1159[[#This Row],[clicks]]*RANDBETWEEN(8,12)/10,0)</f>
        <v>286</v>
      </c>
      <c r="AZ43">
        <f ca="1">T_Facebook_Ads1159[[#This Row],[spend]]*RANDBETWEEN(8,12)/10</f>
        <v>110.08800000000001</v>
      </c>
      <c r="BA43">
        <f ca="1">ROUND(T_Facebook_Ads1159[[#This Row],[conversions]]*RANDBETWEEN(8,12)/10,0)</f>
        <v>3</v>
      </c>
      <c r="BB43">
        <f ca="1">ROUND(T_Facebook_Ads1159[[#This Row],[video_views]]*RANDBETWEEN(8,12)/10,0)</f>
        <v>41504</v>
      </c>
    </row>
    <row r="44" spans="1:54" ht="15.75" thickBot="1" x14ac:dyDescent="0.3">
      <c r="A44" s="3">
        <f t="shared" ca="1" si="5"/>
        <v>44972</v>
      </c>
      <c r="B44" s="4" t="s">
        <v>52</v>
      </c>
      <c r="C44" s="4" t="s">
        <v>53</v>
      </c>
      <c r="D44" s="4" t="s">
        <v>54</v>
      </c>
      <c r="E44" s="4" t="s">
        <v>55</v>
      </c>
      <c r="F44" s="4">
        <f ca="1">ROUND(T_Facebook_Ads[[#This Row],[impressions]]*RANDBETWEEN(8,12)/10,0)</f>
        <v>44135</v>
      </c>
      <c r="G44" s="4">
        <v>798</v>
      </c>
      <c r="H44" s="4">
        <f ca="1">T_Facebook_Ads[[#This Row],[spend]]*RANDBETWEEN(8,12)/10</f>
        <v>137.64000000000001</v>
      </c>
      <c r="I44" s="4">
        <f ca="1">ROUND(T_Facebook_Ads[[#This Row],[conversions]]*RANDBETWEEN(8,12)/10,0)</f>
        <v>10</v>
      </c>
      <c r="J44" s="4">
        <f ca="1">ROUND(T_Facebook_Ads[[#This Row],[video_views]]*RANDBETWEEN(8,12)/10,0)</f>
        <v>8080</v>
      </c>
      <c r="K44" s="4">
        <f ca="1">T_Facebook_Ads[[#This Row],[engagement_rate]]*RANDBETWEEN(8,12)/10</f>
        <v>1.7910000000000002E-2</v>
      </c>
      <c r="L44" s="4">
        <f ca="1">ROUND(T_Facebook_Ads[[#This Row],[reach]]*RANDBETWEEN(8,12)/10,0)</f>
        <v>26765</v>
      </c>
      <c r="M44" s="4">
        <f ca="1">T_Facebook_Ads[[#This Row],[frequency]]*RANDBETWEEN(8,12)/10</f>
        <v>0.96</v>
      </c>
      <c r="O44" s="3">
        <f t="shared" ca="1" si="6"/>
        <v>44970</v>
      </c>
      <c r="P44" s="4" t="s">
        <v>76</v>
      </c>
      <c r="Q44" s="4" t="s">
        <v>77</v>
      </c>
      <c r="R44" s="4" t="s">
        <v>78</v>
      </c>
      <c r="S44" s="4" t="s">
        <v>79</v>
      </c>
      <c r="T44" s="4">
        <f ca="1">ROUND(_Google_ads[[#This Row],[impressions]]*RANDBETWEEN(8,12)/10,0)</f>
        <v>16987</v>
      </c>
      <c r="U44" s="4">
        <f ca="1">ROUND(_Google_ads[[#This Row],[clicks]]*RANDBETWEEN(8,12)/10,0)</f>
        <v>980</v>
      </c>
      <c r="V44" s="4">
        <f ca="1">_Google_ads[[#This Row],[cost]]*RANDBETWEEN(8,12)/10</f>
        <v>207.8</v>
      </c>
      <c r="W44" s="4">
        <f ca="1">ROUND(_Google_ads[[#This Row],[conversions]]*RANDBETWEEN(8,12)/10,0)</f>
        <v>37</v>
      </c>
      <c r="X44" s="4">
        <f ca="1">ROUND(_Google_ads[[#This Row],[conversion_value]]*RANDBETWEEN(8,12)/10,0)</f>
        <v>1640</v>
      </c>
      <c r="Y44" s="4">
        <f ca="1">_Google_ads[[#This Row],[ctr]]*RANDBETWEEN(8,12)/10</f>
        <v>4.104E-2</v>
      </c>
      <c r="Z44" s="4">
        <f ca="1">_Google_ads[[#This Row],[avg_cpc]]*RANDBETWEEN(8,12)/10</f>
        <v>0.17099999999999999</v>
      </c>
      <c r="AA44" s="4">
        <f ca="1">ROUND(_Google_ads[[#This Row],[quality_score]]*RANDBETWEEN(8,12)/10,0)</f>
        <v>9</v>
      </c>
      <c r="AB44" s="4">
        <f ca="1">_Google_ads[[#This Row],[search_impression_share]]*RANDBETWEEN(8,12)/10</f>
        <v>0.80099999999999993</v>
      </c>
      <c r="AD44" s="3">
        <f t="shared" ca="1" si="7"/>
        <v>44965</v>
      </c>
      <c r="AE44" s="4" t="s">
        <v>100</v>
      </c>
      <c r="AF44" s="4" t="s">
        <v>101</v>
      </c>
      <c r="AG44" s="4" t="s">
        <v>102</v>
      </c>
      <c r="AH44" s="4" t="s">
        <v>103</v>
      </c>
      <c r="AI44" s="4">
        <f ca="1">ROUND(T_Tiktok_ads[[#This Row],[impressions]]*RANDBETWEEN(8,12)/10,0)</f>
        <v>201110</v>
      </c>
      <c r="AJ44" s="4">
        <f ca="1">ROUND(T_Tiktok_ads[[#This Row],[clicks]]*RANDBETWEEN(8,12)/10,0)</f>
        <v>3881</v>
      </c>
      <c r="AK44" s="4">
        <v>434.5</v>
      </c>
      <c r="AL44" s="4">
        <f ca="1">ROUND(T_Tiktok_ads[[#This Row],[conversions]]*RANDBETWEEN(8,12)/10,0)</f>
        <v>38</v>
      </c>
      <c r="AM44" s="4">
        <f ca="1">ROUND(T_Tiktok_ads[[#This Row],[video_views]]*RANDBETWEEN(8,12)/10,0)</f>
        <v>151387</v>
      </c>
      <c r="AN44" s="4">
        <f ca="1">ROUND(T_Tiktok_ads[[#This Row],[video_watch_25]]*RANDBETWEEN(8,12)/10,0)</f>
        <v>133411</v>
      </c>
      <c r="AO44" s="4">
        <f ca="1">ROUND(T_Tiktok_ads[[#This Row],[video_watch_50]]*RANDBETWEEN(8,12)/10,0)</f>
        <v>102557</v>
      </c>
      <c r="AP44" s="4">
        <f ca="1">ROUND(T_Tiktok_ads[[#This Row],[video_watch_75]]*RANDBETWEEN(8,12)/10,0)</f>
        <v>63456</v>
      </c>
      <c r="AQ44" s="4">
        <f ca="1">ROUND(T_Tiktok_ads[[#This Row],[video_watch_100]]*RANDBETWEEN(8,12)/10,0)</f>
        <v>34587</v>
      </c>
      <c r="AR44" s="4">
        <f ca="1">ROUND(T_Tiktok_ads[[#This Row],[likes]]*RANDBETWEEN(8,12)/10,0)</f>
        <v>7710</v>
      </c>
      <c r="AS44" s="4">
        <f ca="1">ROUND(T_Tiktok_ads[[#This Row],[shares]]*RANDBETWEEN(8,12)/10,0)</f>
        <v>2457</v>
      </c>
      <c r="AT44" s="4">
        <f ca="1">ROUND(T_Tiktok_ads[[#This Row],[comments]]*RANDBETWEEN(8,12)/10,0)</f>
        <v>481</v>
      </c>
      <c r="AV44" s="5">
        <f t="shared" ca="1" si="8"/>
        <v>44960</v>
      </c>
      <c r="AW44">
        <f t="shared" ca="1" si="4"/>
        <v>1</v>
      </c>
      <c r="AX44">
        <f ca="1">ROUND(T_Facebook_Ads1159[[#This Row],[impressions]]*RANDBETWEEN(2,10)/10,0)</f>
        <v>35308</v>
      </c>
      <c r="AY44">
        <f ca="1">ROUND(T_Facebook_Ads1159[[#This Row],[clicks]]*RANDBETWEEN(8,12)/10,0)</f>
        <v>798</v>
      </c>
      <c r="AZ44">
        <f ca="1">T_Facebook_Ads1159[[#This Row],[spend]]*RANDBETWEEN(8,12)/10</f>
        <v>137.64000000000001</v>
      </c>
      <c r="BA44">
        <f ca="1">ROUND(T_Facebook_Ads1159[[#This Row],[conversions]]*RANDBETWEEN(8,12)/10,0)</f>
        <v>10</v>
      </c>
      <c r="BB44">
        <f ca="1">ROUND(T_Facebook_Ads1159[[#This Row],[video_views]]*RANDBETWEEN(8,12)/10,0)</f>
        <v>7272</v>
      </c>
    </row>
    <row r="45" spans="1:54" ht="15.75" thickBot="1" x14ac:dyDescent="0.3">
      <c r="A45" s="3">
        <f t="shared" ca="1" si="5"/>
        <v>44960</v>
      </c>
      <c r="B45" s="4" t="s">
        <v>56</v>
      </c>
      <c r="C45" s="4" t="s">
        <v>57</v>
      </c>
      <c r="D45" s="4" t="s">
        <v>58</v>
      </c>
      <c r="E45" s="4" t="s">
        <v>59</v>
      </c>
      <c r="F45" s="4">
        <f ca="1">ROUND(T_Facebook_Ads[[#This Row],[impressions]]*RANDBETWEEN(8,12)/10,0)</f>
        <v>8454</v>
      </c>
      <c r="G45" s="4">
        <v>489</v>
      </c>
      <c r="H45" s="4">
        <f ca="1">T_Facebook_Ads[[#This Row],[spend]]*RANDBETWEEN(8,12)/10</f>
        <v>204.49</v>
      </c>
      <c r="I45" s="4">
        <f ca="1">ROUND(T_Facebook_Ads[[#This Row],[conversions]]*RANDBETWEEN(8,12)/10,0)</f>
        <v>26</v>
      </c>
      <c r="J45" s="4">
        <f ca="1">ROUND(T_Facebook_Ads[[#This Row],[video_views]]*RANDBETWEEN(8,12)/10,0)</f>
        <v>798</v>
      </c>
      <c r="K45" s="4">
        <f ca="1">T_Facebook_Ads[[#This Row],[engagement_rate]]*RANDBETWEEN(8,12)/10</f>
        <v>5.5559999999999998E-2</v>
      </c>
      <c r="L45" s="4">
        <f ca="1">ROUND(T_Facebook_Ads[[#This Row],[reach]]*RANDBETWEEN(8,12)/10,0)</f>
        <v>8234</v>
      </c>
      <c r="M45" s="4">
        <f ca="1">T_Facebook_Ads[[#This Row],[frequency]]*RANDBETWEEN(8,12)/10</f>
        <v>1.28</v>
      </c>
      <c r="O45" s="3">
        <f t="shared" ca="1" si="6"/>
        <v>44976</v>
      </c>
      <c r="P45" s="4" t="s">
        <v>80</v>
      </c>
      <c r="Q45" s="4" t="s">
        <v>81</v>
      </c>
      <c r="R45" s="4" t="s">
        <v>82</v>
      </c>
      <c r="S45" s="4" t="s">
        <v>83</v>
      </c>
      <c r="T45" s="4">
        <f ca="1">ROUND(_Google_ads[[#This Row],[impressions]]*RANDBETWEEN(8,12)/10,0)</f>
        <v>47480</v>
      </c>
      <c r="U45" s="4">
        <f ca="1">ROUND(_Google_ads[[#This Row],[clicks]]*RANDBETWEEN(8,12)/10,0)</f>
        <v>947</v>
      </c>
      <c r="V45" s="4">
        <f ca="1">_Google_ads[[#This Row],[cost]]*RANDBETWEEN(8,12)/10</f>
        <v>608.87999999999988</v>
      </c>
      <c r="W45" s="4">
        <f ca="1">ROUND(_Google_ads[[#This Row],[conversions]]*RANDBETWEEN(8,12)/10,0)</f>
        <v>15</v>
      </c>
      <c r="X45" s="4">
        <f ca="1">ROUND(_Google_ads[[#This Row],[conversion_value]]*RANDBETWEEN(8,12)/10,0)</f>
        <v>1140</v>
      </c>
      <c r="Y45" s="4">
        <f ca="1">_Google_ads[[#This Row],[ctr]]*RANDBETWEEN(8,12)/10</f>
        <v>2.189E-2</v>
      </c>
      <c r="Z45" s="4">
        <f ca="1">_Google_ads[[#This Row],[avg_cpc]]*RANDBETWEEN(8,12)/10</f>
        <v>0.57599999999999996</v>
      </c>
      <c r="AA45" s="4">
        <f ca="1">ROUND(_Google_ads[[#This Row],[quality_score]]*RANDBETWEEN(8,12)/10,0)</f>
        <v>5</v>
      </c>
      <c r="AB45" s="4">
        <f ca="1">_Google_ads[[#This Row],[search_impression_share]]*RANDBETWEEN(8,12)/10</f>
        <v>0.378</v>
      </c>
      <c r="AD45" s="3">
        <f t="shared" ca="1" si="7"/>
        <v>44972</v>
      </c>
      <c r="AE45" s="4" t="s">
        <v>104</v>
      </c>
      <c r="AF45" s="4" t="s">
        <v>105</v>
      </c>
      <c r="AG45" s="4" t="s">
        <v>106</v>
      </c>
      <c r="AH45" s="4" t="s">
        <v>107</v>
      </c>
      <c r="AI45" s="4">
        <f ca="1">ROUND(T_Tiktok_ads[[#This Row],[impressions]]*RANDBETWEEN(8,12)/10,0)</f>
        <v>154681</v>
      </c>
      <c r="AJ45" s="4">
        <f ca="1">ROUND(T_Tiktok_ads[[#This Row],[clicks]]*RANDBETWEEN(8,12)/10,0)</f>
        <v>2456</v>
      </c>
      <c r="AK45" s="4">
        <v>689.5</v>
      </c>
      <c r="AL45" s="4">
        <f ca="1">ROUND(T_Tiktok_ads[[#This Row],[conversions]]*RANDBETWEEN(8,12)/10,0)</f>
        <v>75</v>
      </c>
      <c r="AM45" s="4">
        <f ca="1">ROUND(T_Tiktok_ads[[#This Row],[video_views]]*RANDBETWEEN(8,12)/10,0)</f>
        <v>109481</v>
      </c>
      <c r="AN45" s="4">
        <f ca="1">ROUND(T_Tiktok_ads[[#This Row],[video_watch_25]]*RANDBETWEEN(8,12)/10,0)</f>
        <v>75057</v>
      </c>
      <c r="AO45" s="4">
        <f ca="1">ROUND(T_Tiktok_ads[[#This Row],[video_watch_50]]*RANDBETWEEN(8,12)/10,0)</f>
        <v>45789</v>
      </c>
      <c r="AP45" s="4">
        <f ca="1">ROUND(T_Tiktok_ads[[#This Row],[video_watch_75]]*RANDBETWEEN(8,12)/10,0)</f>
        <v>38024</v>
      </c>
      <c r="AQ45" s="4">
        <f ca="1">ROUND(T_Tiktok_ads[[#This Row],[video_watch_100]]*RANDBETWEEN(8,12)/10,0)</f>
        <v>28414</v>
      </c>
      <c r="AR45" s="4">
        <f ca="1">ROUND(T_Tiktok_ads[[#This Row],[likes]]*RANDBETWEEN(8,12)/10,0)</f>
        <v>3742</v>
      </c>
      <c r="AS45" s="4">
        <f ca="1">ROUND(T_Tiktok_ads[[#This Row],[shares]]*RANDBETWEEN(8,12)/10,0)</f>
        <v>1267</v>
      </c>
      <c r="AT45" s="4">
        <f ca="1">ROUND(T_Tiktok_ads[[#This Row],[comments]]*RANDBETWEEN(8,12)/10,0)</f>
        <v>213</v>
      </c>
      <c r="AV45" s="5">
        <f t="shared" ca="1" si="8"/>
        <v>44960</v>
      </c>
      <c r="AW45">
        <f t="shared" ca="1" si="4"/>
        <v>1</v>
      </c>
      <c r="AX45">
        <f ca="1">ROUND(T_Facebook_Ads1159[[#This Row],[impressions]]*RANDBETWEEN(2,10)/10,0)</f>
        <v>7609</v>
      </c>
      <c r="AY45">
        <f ca="1">ROUND(T_Facebook_Ads1159[[#This Row],[clicks]]*RANDBETWEEN(8,12)/10,0)</f>
        <v>587</v>
      </c>
      <c r="AZ45">
        <f ca="1">T_Facebook_Ads1159[[#This Row],[spend]]*RANDBETWEEN(8,12)/10</f>
        <v>184.041</v>
      </c>
      <c r="BA45">
        <f ca="1">ROUND(T_Facebook_Ads1159[[#This Row],[conversions]]*RANDBETWEEN(8,12)/10,0)</f>
        <v>29</v>
      </c>
      <c r="BB45">
        <f ca="1">ROUND(T_Facebook_Ads1159[[#This Row],[video_views]]*RANDBETWEEN(8,12)/10,0)</f>
        <v>958</v>
      </c>
    </row>
    <row r="46" spans="1:54" ht="15.75" thickBot="1" x14ac:dyDescent="0.3">
      <c r="A46" s="3">
        <f t="shared" ca="1" si="5"/>
        <v>44958</v>
      </c>
      <c r="B46" s="4" t="s">
        <v>60</v>
      </c>
      <c r="C46" s="4" t="s">
        <v>61</v>
      </c>
      <c r="D46" s="4" t="s">
        <v>62</v>
      </c>
      <c r="E46" s="4" t="s">
        <v>63</v>
      </c>
      <c r="F46" s="4">
        <f ca="1">ROUND(T_Facebook_Ads[[#This Row],[impressions]]*RANDBETWEEN(8,12)/10,0)</f>
        <v>37481</v>
      </c>
      <c r="G46" s="4">
        <v>1123</v>
      </c>
      <c r="H46" s="4">
        <f ca="1">T_Facebook_Ads[[#This Row],[spend]]*RANDBETWEEN(8,12)/10</f>
        <v>191.18</v>
      </c>
      <c r="I46" s="4">
        <f ca="1">ROUND(T_Facebook_Ads[[#This Row],[conversions]]*RANDBETWEEN(8,12)/10,0)</f>
        <v>23</v>
      </c>
      <c r="J46" s="4">
        <f ca="1">ROUND(T_Facebook_Ads[[#This Row],[video_views]]*RANDBETWEEN(8,12)/10,0)</f>
        <v>4279</v>
      </c>
      <c r="K46" s="4">
        <f ca="1">T_Facebook_Ads[[#This Row],[engagement_rate]]*RANDBETWEEN(8,12)/10</f>
        <v>2.8799999999999999E-2</v>
      </c>
      <c r="L46" s="4">
        <f ca="1">ROUND(T_Facebook_Ads[[#This Row],[reach]]*RANDBETWEEN(8,12)/10,0)</f>
        <v>31348</v>
      </c>
      <c r="M46" s="4">
        <f ca="1">T_Facebook_Ads[[#This Row],[frequency]]*RANDBETWEEN(8,12)/10</f>
        <v>1.2</v>
      </c>
      <c r="O46" s="3">
        <f t="shared" ca="1" si="6"/>
        <v>44983</v>
      </c>
      <c r="P46" s="4" t="s">
        <v>84</v>
      </c>
      <c r="Q46" s="4" t="s">
        <v>85</v>
      </c>
      <c r="R46" s="4" t="s">
        <v>86</v>
      </c>
      <c r="S46" s="4" t="s">
        <v>87</v>
      </c>
      <c r="T46" s="4">
        <f ca="1">ROUND(_Google_ads[[#This Row],[impressions]]*RANDBETWEEN(8,12)/10,0)</f>
        <v>49512</v>
      </c>
      <c r="U46" s="4">
        <f ca="1">ROUND(_Google_ads[[#This Row],[clicks]]*RANDBETWEEN(8,12)/10,0)</f>
        <v>1610</v>
      </c>
      <c r="V46" s="4">
        <f ca="1">_Google_ads[[#This Row],[cost]]*RANDBETWEEN(8,12)/10</f>
        <v>295.44</v>
      </c>
      <c r="W46" s="4">
        <f ca="1">ROUND(_Google_ads[[#This Row],[conversions]]*RANDBETWEEN(8,12)/10,0)</f>
        <v>64</v>
      </c>
      <c r="X46" s="4">
        <f ca="1">ROUND(_Google_ads[[#This Row],[conversion_value]]*RANDBETWEEN(8,12)/10,0)</f>
        <v>2610</v>
      </c>
      <c r="Y46" s="4">
        <f ca="1">_Google_ads[[#This Row],[ctr]]*RANDBETWEEN(8,12)/10</f>
        <v>3.5750000000000004E-2</v>
      </c>
      <c r="Z46" s="4">
        <f ca="1">_Google_ads[[#This Row],[avg_cpc]]*RANDBETWEEN(8,12)/10</f>
        <v>0.21600000000000003</v>
      </c>
      <c r="AA46" s="4">
        <f ca="1">ROUND(_Google_ads[[#This Row],[quality_score]]*RANDBETWEEN(8,12)/10,0)</f>
        <v>8</v>
      </c>
      <c r="AB46" s="4">
        <f ca="1">_Google_ads[[#This Row],[search_impression_share]]*RANDBETWEEN(8,12)/10</f>
        <v>0.70399999999999996</v>
      </c>
      <c r="AD46" s="3">
        <f t="shared" ca="1" si="7"/>
        <v>44972</v>
      </c>
      <c r="AE46" s="4" t="s">
        <v>108</v>
      </c>
      <c r="AF46" s="4" t="s">
        <v>109</v>
      </c>
      <c r="AG46" s="4" t="s">
        <v>110</v>
      </c>
      <c r="AH46" s="4" t="s">
        <v>111</v>
      </c>
      <c r="AI46" s="4">
        <f ca="1">ROUND(T_Tiktok_ads[[#This Row],[impressions]]*RANDBETWEEN(8,12)/10,0)</f>
        <v>215246</v>
      </c>
      <c r="AJ46" s="4">
        <f ca="1">ROUND(T_Tiktok_ads[[#This Row],[clicks]]*RANDBETWEEN(8,12)/10,0)</f>
        <v>3587</v>
      </c>
      <c r="AK46" s="4">
        <v>361.2</v>
      </c>
      <c r="AL46" s="4">
        <f ca="1">ROUND(T_Tiktok_ads[[#This Row],[conversions]]*RANDBETWEEN(8,12)/10,0)</f>
        <v>28</v>
      </c>
      <c r="AM46" s="4">
        <f ca="1">ROUND(T_Tiktok_ads[[#This Row],[video_views]]*RANDBETWEEN(8,12)/10,0)</f>
        <v>167580</v>
      </c>
      <c r="AN46" s="4">
        <f ca="1">ROUND(T_Tiktok_ads[[#This Row],[video_watch_25]]*RANDBETWEEN(8,12)/10,0)</f>
        <v>105511</v>
      </c>
      <c r="AO46" s="4">
        <f ca="1">ROUND(T_Tiktok_ads[[#This Row],[video_watch_50]]*RANDBETWEEN(8,12)/10,0)</f>
        <v>111881</v>
      </c>
      <c r="AP46" s="4">
        <f ca="1">ROUND(T_Tiktok_ads[[#This Row],[video_watch_75]]*RANDBETWEEN(8,12)/10,0)</f>
        <v>59234</v>
      </c>
      <c r="AQ46" s="4">
        <f ca="1">ROUND(T_Tiktok_ads[[#This Row],[video_watch_100]]*RANDBETWEEN(8,12)/10,0)</f>
        <v>39857</v>
      </c>
      <c r="AR46" s="4">
        <f ca="1">ROUND(T_Tiktok_ads[[#This Row],[likes]]*RANDBETWEEN(8,12)/10,0)</f>
        <v>5698</v>
      </c>
      <c r="AS46" s="4">
        <f ca="1">ROUND(T_Tiktok_ads[[#This Row],[shares]]*RANDBETWEEN(8,12)/10,0)</f>
        <v>2164</v>
      </c>
      <c r="AT46" s="4">
        <f ca="1">ROUND(T_Tiktok_ads[[#This Row],[comments]]*RANDBETWEEN(8,12)/10,0)</f>
        <v>526</v>
      </c>
      <c r="AV46" s="5">
        <f t="shared" ca="1" si="8"/>
        <v>44959</v>
      </c>
      <c r="AW46">
        <f t="shared" ca="1" si="4"/>
        <v>5</v>
      </c>
      <c r="AX46">
        <f ca="1">ROUND(T_Facebook_Ads1159[[#This Row],[impressions]]*RANDBETWEEN(2,10)/10,0)</f>
        <v>14992</v>
      </c>
      <c r="AY46">
        <f ca="1">ROUND(T_Facebook_Ads1159[[#This Row],[clicks]]*RANDBETWEEN(8,12)/10,0)</f>
        <v>1123</v>
      </c>
      <c r="AZ46">
        <f ca="1">T_Facebook_Ads1159[[#This Row],[spend]]*RANDBETWEEN(8,12)/10</f>
        <v>210.298</v>
      </c>
      <c r="BA46">
        <f ca="1">ROUND(T_Facebook_Ads1159[[#This Row],[conversions]]*RANDBETWEEN(8,12)/10,0)</f>
        <v>25</v>
      </c>
      <c r="BB46">
        <f ca="1">ROUND(T_Facebook_Ads1159[[#This Row],[video_views]]*RANDBETWEEN(8,12)/10,0)</f>
        <v>3423</v>
      </c>
    </row>
    <row r="47" spans="1:54" ht="15.75" thickBot="1" x14ac:dyDescent="0.3">
      <c r="A47" s="3">
        <f t="shared" ca="1" si="5"/>
        <v>44973</v>
      </c>
      <c r="B47" s="4" t="s">
        <v>64</v>
      </c>
      <c r="C47" s="4" t="s">
        <v>65</v>
      </c>
      <c r="D47" s="4" t="s">
        <v>66</v>
      </c>
      <c r="E47" s="4" t="s">
        <v>67</v>
      </c>
      <c r="F47" s="4">
        <f ca="1">ROUND(T_Facebook_Ads[[#This Row],[impressions]]*RANDBETWEEN(8,12)/10,0)</f>
        <v>48987</v>
      </c>
      <c r="G47" s="4">
        <v>223</v>
      </c>
      <c r="H47" s="4">
        <f ca="1">T_Facebook_Ads[[#This Row],[spend]]*RANDBETWEEN(8,12)/10</f>
        <v>71.010000000000005</v>
      </c>
      <c r="I47" s="4">
        <f ca="1">ROUND(T_Facebook_Ads[[#This Row],[conversions]]*RANDBETWEEN(8,12)/10,0)</f>
        <v>5</v>
      </c>
      <c r="J47" s="4">
        <f ca="1">ROUND(T_Facebook_Ads[[#This Row],[video_views]]*RANDBETWEEN(8,12)/10,0)</f>
        <v>32454</v>
      </c>
      <c r="K47" s="4">
        <f ca="1">T_Facebook_Ads[[#This Row],[engagement_rate]]*RANDBETWEEN(8,12)/10</f>
        <v>4.3200000000000001E-3</v>
      </c>
      <c r="L47" s="4">
        <f ca="1">ROUND(T_Facebook_Ads[[#This Row],[reach]]*RANDBETWEEN(8,12)/10,0)</f>
        <v>40098</v>
      </c>
      <c r="M47" s="4">
        <f ca="1">T_Facebook_Ads[[#This Row],[frequency]]*RANDBETWEEN(8,12)/10</f>
        <v>0.97599999999999998</v>
      </c>
      <c r="O47" s="3">
        <f t="shared" ca="1" si="6"/>
        <v>44968</v>
      </c>
      <c r="P47" s="4" t="s">
        <v>88</v>
      </c>
      <c r="Q47" s="4" t="s">
        <v>89</v>
      </c>
      <c r="R47" s="4" t="s">
        <v>90</v>
      </c>
      <c r="S47" s="4" t="s">
        <v>59</v>
      </c>
      <c r="T47" s="4">
        <f ca="1">ROUND(_Google_ads[[#This Row],[impressions]]*RANDBETWEEN(8,12)/10,0)</f>
        <v>115678</v>
      </c>
      <c r="U47" s="4">
        <f ca="1">ROUND(_Google_ads[[#This Row],[clicks]]*RANDBETWEEN(8,12)/10,0)</f>
        <v>412</v>
      </c>
      <c r="V47" s="4">
        <f ca="1">_Google_ads[[#This Row],[cost]]*RANDBETWEEN(8,12)/10</f>
        <v>102.06</v>
      </c>
      <c r="W47" s="4">
        <f ca="1">ROUND(_Google_ads[[#This Row],[conversions]]*RANDBETWEEN(8,12)/10,0)</f>
        <v>9</v>
      </c>
      <c r="X47" s="4">
        <f ca="1">ROUND(_Google_ads[[#This Row],[conversion_value]]*RANDBETWEEN(8,12)/10,0)</f>
        <v>495</v>
      </c>
      <c r="Y47" s="4">
        <f ca="1">_Google_ads[[#This Row],[ctr]]*RANDBETWEEN(8,12)/10</f>
        <v>4.3200000000000001E-3</v>
      </c>
      <c r="Z47" s="4">
        <f ca="1">_Google_ads[[#This Row],[avg_cpc]]*RANDBETWEEN(8,12)/10</f>
        <v>0.308</v>
      </c>
      <c r="AA47" s="4">
        <f ca="1">ROUND(_Google_ads[[#This Row],[quality_score]]*RANDBETWEEN(8,12)/10,0)</f>
        <v>8</v>
      </c>
      <c r="AB47" s="4">
        <f ca="1">_Google_ads[[#This Row],[search_impression_share]]*RANDBETWEEN(8,12)/10</f>
        <v>0.32</v>
      </c>
      <c r="AD47" s="3">
        <f t="shared" ca="1" si="7"/>
        <v>44973</v>
      </c>
      <c r="AE47" s="4" t="s">
        <v>112</v>
      </c>
      <c r="AF47" s="4" t="s">
        <v>113</v>
      </c>
      <c r="AG47" s="4" t="s">
        <v>114</v>
      </c>
      <c r="AH47" s="4" t="s">
        <v>115</v>
      </c>
      <c r="AI47" s="4">
        <f ca="1">ROUND(T_Tiktok_ads[[#This Row],[impressions]]*RANDBETWEEN(8,12)/10,0)</f>
        <v>285431</v>
      </c>
      <c r="AJ47" s="4">
        <f ca="1">ROUND(T_Tiktok_ads[[#This Row],[clicks]]*RANDBETWEEN(8,12)/10,0)</f>
        <v>6417</v>
      </c>
      <c r="AK47" s="4">
        <v>901.2</v>
      </c>
      <c r="AL47" s="4">
        <f ca="1">ROUND(T_Tiktok_ads[[#This Row],[conversions]]*RANDBETWEEN(8,12)/10,0)</f>
        <v>82</v>
      </c>
      <c r="AM47" s="4">
        <f ca="1">ROUND(T_Tiktok_ads[[#This Row],[video_views]]*RANDBETWEEN(8,12)/10,0)</f>
        <v>264110</v>
      </c>
      <c r="AN47" s="4">
        <f ca="1">ROUND(T_Tiktok_ads[[#This Row],[video_watch_25]]*RANDBETWEEN(8,12)/10,0)</f>
        <v>215311</v>
      </c>
      <c r="AO47" s="4">
        <f ca="1">ROUND(T_Tiktok_ads[[#This Row],[video_watch_50]]*RANDBETWEEN(8,12)/10,0)</f>
        <v>191234</v>
      </c>
      <c r="AP47" s="4">
        <f ca="1">ROUND(T_Tiktok_ads[[#This Row],[video_watch_75]]*RANDBETWEEN(8,12)/10,0)</f>
        <v>122611</v>
      </c>
      <c r="AQ47" s="4">
        <f ca="1">ROUND(T_Tiktok_ads[[#This Row],[video_watch_100]]*RANDBETWEEN(8,12)/10,0)</f>
        <v>81211</v>
      </c>
      <c r="AR47" s="4">
        <f ca="1">ROUND(T_Tiktok_ads[[#This Row],[likes]]*RANDBETWEEN(8,12)/10,0)</f>
        <v>14301</v>
      </c>
      <c r="AS47" s="4">
        <f ca="1">ROUND(T_Tiktok_ads[[#This Row],[shares]]*RANDBETWEEN(8,12)/10,0)</f>
        <v>5097</v>
      </c>
      <c r="AT47" s="4">
        <f ca="1">ROUND(T_Tiktok_ads[[#This Row],[comments]]*RANDBETWEEN(8,12)/10,0)</f>
        <v>1382</v>
      </c>
      <c r="AV47" s="5">
        <f t="shared" ca="1" si="8"/>
        <v>44971</v>
      </c>
      <c r="AW47">
        <f t="shared" ca="1" si="4"/>
        <v>6</v>
      </c>
      <c r="AX47">
        <f ca="1">ROUND(T_Facebook_Ads1159[[#This Row],[impressions]]*RANDBETWEEN(2,10)/10,0)</f>
        <v>24494</v>
      </c>
      <c r="AY47">
        <f ca="1">ROUND(T_Facebook_Ads1159[[#This Row],[clicks]]*RANDBETWEEN(8,12)/10,0)</f>
        <v>268</v>
      </c>
      <c r="AZ47">
        <f ca="1">T_Facebook_Ads1159[[#This Row],[spend]]*RANDBETWEEN(8,12)/10</f>
        <v>56.808000000000007</v>
      </c>
      <c r="BA47">
        <f ca="1">ROUND(T_Facebook_Ads1159[[#This Row],[conversions]]*RANDBETWEEN(8,12)/10,0)</f>
        <v>6</v>
      </c>
      <c r="BB47">
        <f ca="1">ROUND(T_Facebook_Ads1159[[#This Row],[video_views]]*RANDBETWEEN(8,12)/10,0)</f>
        <v>25963</v>
      </c>
    </row>
    <row r="48" spans="1:54" ht="15.75" thickBot="1" x14ac:dyDescent="0.3">
      <c r="A48" s="3">
        <f t="shared" ca="1" si="5"/>
        <v>44974</v>
      </c>
      <c r="B48" s="4" t="s">
        <v>52</v>
      </c>
      <c r="C48" s="4" t="s">
        <v>53</v>
      </c>
      <c r="D48" s="4" t="s">
        <v>54</v>
      </c>
      <c r="E48" s="4" t="s">
        <v>55</v>
      </c>
      <c r="F48" s="4">
        <f ca="1">ROUND(T_Facebook_Ads[[#This Row],[impressions]]*RANDBETWEEN(8,12)/10,0)</f>
        <v>46789</v>
      </c>
      <c r="G48" s="4">
        <v>934</v>
      </c>
      <c r="H48" s="4">
        <f ca="1">T_Facebook_Ads[[#This Row],[spend]]*RANDBETWEEN(8,12)/10</f>
        <v>158.88000000000002</v>
      </c>
      <c r="I48" s="4">
        <f ca="1">ROUND(T_Facebook_Ads[[#This Row],[conversions]]*RANDBETWEEN(8,12)/10,0)</f>
        <v>11</v>
      </c>
      <c r="J48" s="4">
        <f ca="1">ROUND(T_Facebook_Ads[[#This Row],[video_views]]*RANDBETWEEN(8,12)/10,0)</f>
        <v>9424</v>
      </c>
      <c r="K48" s="4">
        <f ca="1">T_Facebook_Ads[[#This Row],[engagement_rate]]*RANDBETWEEN(8,12)/10</f>
        <v>1.6E-2</v>
      </c>
      <c r="L48" s="4">
        <f ca="1">ROUND(T_Facebook_Ads[[#This Row],[reach]]*RANDBETWEEN(8,12)/10,0)</f>
        <v>47081</v>
      </c>
      <c r="M48" s="4">
        <f ca="1">T_Facebook_Ads[[#This Row],[frequency]]*RANDBETWEEN(8,12)/10</f>
        <v>1.4279999999999999</v>
      </c>
      <c r="O48" s="3">
        <f t="shared" ca="1" si="6"/>
        <v>44976</v>
      </c>
      <c r="P48" s="4" t="s">
        <v>76</v>
      </c>
      <c r="Q48" s="4" t="s">
        <v>77</v>
      </c>
      <c r="R48" s="4" t="s">
        <v>78</v>
      </c>
      <c r="S48" s="4" t="s">
        <v>79</v>
      </c>
      <c r="T48" s="4">
        <f ca="1">ROUND(_Google_ads[[#This Row],[impressions]]*RANDBETWEEN(8,12)/10,0)</f>
        <v>26279</v>
      </c>
      <c r="U48" s="4">
        <f ca="1">ROUND(_Google_ads[[#This Row],[clicks]]*RANDBETWEEN(8,12)/10,0)</f>
        <v>1234</v>
      </c>
      <c r="V48" s="4">
        <f ca="1">_Google_ads[[#This Row],[cost]]*RANDBETWEEN(8,12)/10</f>
        <v>259.15999999999997</v>
      </c>
      <c r="W48" s="4">
        <f ca="1">ROUND(_Google_ads[[#This Row],[conversions]]*RANDBETWEEN(8,12)/10,0)</f>
        <v>37</v>
      </c>
      <c r="X48" s="4">
        <f ca="1">ROUND(_Google_ads[[#This Row],[conversion_value]]*RANDBETWEEN(8,12)/10,0)</f>
        <v>2300</v>
      </c>
      <c r="Y48" s="4">
        <f ca="1">_Google_ads[[#This Row],[ctr]]*RANDBETWEEN(8,12)/10</f>
        <v>4.1360000000000001E-2</v>
      </c>
      <c r="Z48" s="4">
        <f ca="1">_Google_ads[[#This Row],[avg_cpc]]*RANDBETWEEN(8,12)/10</f>
        <v>0.19</v>
      </c>
      <c r="AA48" s="4">
        <f ca="1">ROUND(_Google_ads[[#This Row],[quality_score]]*RANDBETWEEN(8,12)/10,0)</f>
        <v>8</v>
      </c>
      <c r="AB48" s="4">
        <f ca="1">_Google_ads[[#This Row],[search_impression_share]]*RANDBETWEEN(8,12)/10</f>
        <v>0.81899999999999995</v>
      </c>
      <c r="AD48" s="3">
        <f t="shared" ca="1" si="7"/>
        <v>44971</v>
      </c>
      <c r="AE48" s="4" t="s">
        <v>100</v>
      </c>
      <c r="AF48" s="4" t="s">
        <v>101</v>
      </c>
      <c r="AG48" s="4" t="s">
        <v>102</v>
      </c>
      <c r="AH48" s="4" t="s">
        <v>103</v>
      </c>
      <c r="AI48" s="4">
        <f ca="1">ROUND(T_Tiktok_ads[[#This Row],[impressions]]*RANDBETWEEN(8,12)/10,0)</f>
        <v>271468</v>
      </c>
      <c r="AJ48" s="4">
        <f ca="1">ROUND(T_Tiktok_ads[[#This Row],[clicks]]*RANDBETWEEN(8,12)/10,0)</f>
        <v>4414</v>
      </c>
      <c r="AK48" s="4">
        <v>478.9</v>
      </c>
      <c r="AL48" s="4">
        <f ca="1">ROUND(T_Tiktok_ads[[#This Row],[conversions]]*RANDBETWEEN(8,12)/10,0)</f>
        <v>43</v>
      </c>
      <c r="AM48" s="4">
        <f ca="1">ROUND(T_Tiktok_ads[[#This Row],[video_views]]*RANDBETWEEN(8,12)/10,0)</f>
        <v>248814</v>
      </c>
      <c r="AN48" s="4">
        <f ca="1">ROUND(T_Tiktok_ads[[#This Row],[video_watch_25]]*RANDBETWEEN(8,12)/10,0)</f>
        <v>130765</v>
      </c>
      <c r="AO48" s="4">
        <f ca="1">ROUND(T_Tiktok_ads[[#This Row],[video_watch_50]]*RANDBETWEEN(8,12)/10,0)</f>
        <v>112580</v>
      </c>
      <c r="AP48" s="4">
        <f ca="1">ROUND(T_Tiktok_ads[[#This Row],[video_watch_75]]*RANDBETWEEN(8,12)/10,0)</f>
        <v>70234</v>
      </c>
      <c r="AQ48" s="4">
        <f ca="1">ROUND(T_Tiktok_ads[[#This Row],[video_watch_100]]*RANDBETWEEN(8,12)/10,0)</f>
        <v>56681</v>
      </c>
      <c r="AR48" s="4">
        <f ca="1">ROUND(T_Tiktok_ads[[#This Row],[likes]]*RANDBETWEEN(8,12)/10,0)</f>
        <v>11081</v>
      </c>
      <c r="AS48" s="4">
        <f ca="1">ROUND(T_Tiktok_ads[[#This Row],[shares]]*RANDBETWEEN(8,12)/10,0)</f>
        <v>2210</v>
      </c>
      <c r="AT48" s="4">
        <f ca="1">ROUND(T_Tiktok_ads[[#This Row],[comments]]*RANDBETWEEN(8,12)/10,0)</f>
        <v>530</v>
      </c>
      <c r="AV48" s="5">
        <f t="shared" ca="1" si="8"/>
        <v>44980</v>
      </c>
      <c r="AW48">
        <f t="shared" ca="1" si="4"/>
        <v>5</v>
      </c>
      <c r="AX48">
        <f ca="1">ROUND(T_Facebook_Ads1159[[#This Row],[impressions]]*RANDBETWEEN(2,10)/10,0)</f>
        <v>14037</v>
      </c>
      <c r="AY48">
        <f ca="1">ROUND(T_Facebook_Ads1159[[#This Row],[clicks]]*RANDBETWEEN(8,12)/10,0)</f>
        <v>934</v>
      </c>
      <c r="AZ48">
        <f ca="1">T_Facebook_Ads1159[[#This Row],[spend]]*RANDBETWEEN(8,12)/10</f>
        <v>158.88000000000002</v>
      </c>
      <c r="BA48">
        <f ca="1">ROUND(T_Facebook_Ads1159[[#This Row],[conversions]]*RANDBETWEEN(8,12)/10,0)</f>
        <v>10</v>
      </c>
      <c r="BB48">
        <f ca="1">ROUND(T_Facebook_Ads1159[[#This Row],[video_views]]*RANDBETWEEN(8,12)/10,0)</f>
        <v>10366</v>
      </c>
    </row>
    <row r="49" spans="1:54" ht="15.75" thickBot="1" x14ac:dyDescent="0.3">
      <c r="A49" s="3">
        <f t="shared" ca="1" si="5"/>
        <v>44983</v>
      </c>
      <c r="B49" s="4" t="s">
        <v>56</v>
      </c>
      <c r="C49" s="4" t="s">
        <v>57</v>
      </c>
      <c r="D49" s="4" t="s">
        <v>58</v>
      </c>
      <c r="E49" s="4" t="s">
        <v>59</v>
      </c>
      <c r="F49" s="4">
        <f ca="1">ROUND(T_Facebook_Ads[[#This Row],[impressions]]*RANDBETWEEN(8,12)/10,0)</f>
        <v>14179</v>
      </c>
      <c r="G49" s="4">
        <v>567</v>
      </c>
      <c r="H49" s="4">
        <f ca="1">T_Facebook_Ads[[#This Row],[spend]]*RANDBETWEEN(8,12)/10</f>
        <v>177.04000000000002</v>
      </c>
      <c r="I49" s="4">
        <f ca="1">ROUND(T_Facebook_Ads[[#This Row],[conversions]]*RANDBETWEEN(8,12)/10,0)</f>
        <v>33</v>
      </c>
      <c r="J49" s="4">
        <f ca="1">ROUND(T_Facebook_Ads[[#This Row],[video_views]]*RANDBETWEEN(8,12)/10,0)</f>
        <v>1480</v>
      </c>
      <c r="K49" s="4">
        <f ca="1">T_Facebook_Ads[[#This Row],[engagement_rate]]*RANDBETWEEN(8,12)/10</f>
        <v>3.5199999999999995E-2</v>
      </c>
      <c r="L49" s="4">
        <f ca="1">ROUND(T_Facebook_Ads[[#This Row],[reach]]*RANDBETWEEN(8,12)/10,0)</f>
        <v>12148</v>
      </c>
      <c r="M49" s="4">
        <f ca="1">T_Facebook_Ads[[#This Row],[frequency]]*RANDBETWEEN(8,12)/10</f>
        <v>1.397</v>
      </c>
      <c r="O49" s="3">
        <f t="shared" ca="1" si="6"/>
        <v>44970</v>
      </c>
      <c r="P49" s="4" t="s">
        <v>80</v>
      </c>
      <c r="Q49" s="4" t="s">
        <v>81</v>
      </c>
      <c r="R49" s="4" t="s">
        <v>82</v>
      </c>
      <c r="S49" s="4" t="s">
        <v>83</v>
      </c>
      <c r="T49" s="4">
        <f ca="1">ROUND(_Google_ads[[#This Row],[impressions]]*RANDBETWEEN(8,12)/10,0)</f>
        <v>43789</v>
      </c>
      <c r="U49" s="4">
        <f ca="1">ROUND(_Google_ads[[#This Row],[clicks]]*RANDBETWEEN(8,12)/10,0)</f>
        <v>1027</v>
      </c>
      <c r="V49" s="4">
        <f ca="1">_Google_ads[[#This Row],[cost]]*RANDBETWEEN(8,12)/10</f>
        <v>673.07999999999993</v>
      </c>
      <c r="W49" s="4">
        <f ca="1">ROUND(_Google_ads[[#This Row],[conversions]]*RANDBETWEEN(8,12)/10,0)</f>
        <v>26</v>
      </c>
      <c r="X49" s="4">
        <f ca="1">ROUND(_Google_ads[[#This Row],[conversion_value]]*RANDBETWEEN(8,12)/10,0)</f>
        <v>1210</v>
      </c>
      <c r="Y49" s="4">
        <f ca="1">_Google_ads[[#This Row],[ctr]]*RANDBETWEEN(8,12)/10</f>
        <v>1.755E-2</v>
      </c>
      <c r="Z49" s="4">
        <f ca="1">_Google_ads[[#This Row],[avg_cpc]]*RANDBETWEEN(8,12)/10</f>
        <v>0.59400000000000008</v>
      </c>
      <c r="AA49" s="4">
        <f ca="1">ROUND(_Google_ads[[#This Row],[quality_score]]*RANDBETWEEN(8,12)/10,0)</f>
        <v>8</v>
      </c>
      <c r="AB49" s="4">
        <f ca="1">_Google_ads[[#This Row],[search_impression_share]]*RANDBETWEEN(8,12)/10</f>
        <v>0.39600000000000002</v>
      </c>
      <c r="AD49" s="3">
        <f t="shared" ca="1" si="7"/>
        <v>44971</v>
      </c>
      <c r="AE49" s="4" t="s">
        <v>104</v>
      </c>
      <c r="AF49" s="4" t="s">
        <v>105</v>
      </c>
      <c r="AG49" s="4" t="s">
        <v>106</v>
      </c>
      <c r="AH49" s="4" t="s">
        <v>107</v>
      </c>
      <c r="AI49" s="4">
        <f ca="1">ROUND(T_Tiktok_ads[[#This Row],[impressions]]*RANDBETWEEN(8,12)/10,0)</f>
        <v>170814</v>
      </c>
      <c r="AJ49" s="4">
        <f ca="1">ROUND(T_Tiktok_ads[[#This Row],[clicks]]*RANDBETWEEN(8,12)/10,0)</f>
        <v>3214</v>
      </c>
      <c r="AK49" s="4">
        <v>734.5</v>
      </c>
      <c r="AL49" s="4">
        <f ca="1">ROUND(T_Tiktok_ads[[#This Row],[conversions]]*RANDBETWEEN(8,12)/10,0)</f>
        <v>58</v>
      </c>
      <c r="AM49" s="4">
        <f ca="1">ROUND(T_Tiktok_ads[[#This Row],[video_views]]*RANDBETWEEN(8,12)/10,0)</f>
        <v>78312</v>
      </c>
      <c r="AN49" s="4">
        <f ca="1">ROUND(T_Tiktok_ads[[#This Row],[video_watch_25]]*RANDBETWEEN(8,12)/10,0)</f>
        <v>79580</v>
      </c>
      <c r="AO49" s="4">
        <f ca="1">ROUND(T_Tiktok_ads[[#This Row],[video_watch_50]]*RANDBETWEEN(8,12)/10,0)</f>
        <v>44011</v>
      </c>
      <c r="AP49" s="4">
        <f ca="1">ROUND(T_Tiktok_ads[[#This Row],[video_watch_75]]*RANDBETWEEN(8,12)/10,0)</f>
        <v>29431</v>
      </c>
      <c r="AQ49" s="4">
        <f ca="1">ROUND(T_Tiktok_ads[[#This Row],[video_watch_100]]*RANDBETWEEN(8,12)/10,0)</f>
        <v>27379</v>
      </c>
      <c r="AR49" s="4">
        <f ca="1">ROUND(T_Tiktok_ads[[#This Row],[likes]]*RANDBETWEEN(8,12)/10,0)</f>
        <v>5391</v>
      </c>
      <c r="AS49" s="4">
        <f ca="1">ROUND(T_Tiktok_ads[[#This Row],[shares]]*RANDBETWEEN(8,12)/10,0)</f>
        <v>1085</v>
      </c>
      <c r="AT49" s="4">
        <f ca="1">ROUND(T_Tiktok_ads[[#This Row],[comments]]*RANDBETWEEN(8,12)/10,0)</f>
        <v>230</v>
      </c>
      <c r="AV49" s="5">
        <f t="shared" ca="1" si="8"/>
        <v>44982</v>
      </c>
      <c r="AW49">
        <f t="shared" ca="1" si="4"/>
        <v>3</v>
      </c>
      <c r="AX49">
        <f ca="1">ROUND(T_Facebook_Ads1159[[#This Row],[impressions]]*RANDBETWEEN(2,10)/10,0)</f>
        <v>11343</v>
      </c>
      <c r="AY49">
        <f ca="1">ROUND(T_Facebook_Ads1159[[#This Row],[clicks]]*RANDBETWEEN(8,12)/10,0)</f>
        <v>680</v>
      </c>
      <c r="AZ49">
        <f ca="1">T_Facebook_Ads1159[[#This Row],[spend]]*RANDBETWEEN(8,12)/10</f>
        <v>141.63200000000001</v>
      </c>
      <c r="BA49">
        <f ca="1">ROUND(T_Facebook_Ads1159[[#This Row],[conversions]]*RANDBETWEEN(8,12)/10,0)</f>
        <v>30</v>
      </c>
      <c r="BB49">
        <f ca="1">ROUND(T_Facebook_Ads1159[[#This Row],[video_views]]*RANDBETWEEN(8,12)/10,0)</f>
        <v>1480</v>
      </c>
    </row>
    <row r="50" spans="1:54" ht="15.75" thickBot="1" x14ac:dyDescent="0.3">
      <c r="A50" s="3">
        <f t="shared" ca="1" si="5"/>
        <v>44968</v>
      </c>
      <c r="B50" s="4" t="s">
        <v>60</v>
      </c>
      <c r="C50" s="4" t="s">
        <v>61</v>
      </c>
      <c r="D50" s="4" t="s">
        <v>62</v>
      </c>
      <c r="E50" s="4" t="s">
        <v>63</v>
      </c>
      <c r="F50" s="4">
        <f ca="1">ROUND(T_Facebook_Ads[[#This Row],[impressions]]*RANDBETWEEN(8,12)/10,0)</f>
        <v>35678</v>
      </c>
      <c r="G50" s="4">
        <v>1289</v>
      </c>
      <c r="H50" s="4">
        <f ca="1">T_Facebook_Ads[[#This Row],[spend]]*RANDBETWEEN(8,12)/10</f>
        <v>176.94</v>
      </c>
      <c r="I50" s="4">
        <f ca="1">ROUND(T_Facebook_Ads[[#This Row],[conversions]]*RANDBETWEEN(8,12)/10,0)</f>
        <v>30</v>
      </c>
      <c r="J50" s="4">
        <f ca="1">ROUND(T_Facebook_Ads[[#This Row],[video_views]]*RANDBETWEEN(8,12)/10,0)</f>
        <v>5614</v>
      </c>
      <c r="K50" s="4">
        <f ca="1">T_Facebook_Ads[[#This Row],[engagement_rate]]*RANDBETWEEN(8,12)/10</f>
        <v>3.61E-2</v>
      </c>
      <c r="L50" s="4">
        <f ca="1">ROUND(T_Facebook_Ads[[#This Row],[reach]]*RANDBETWEEN(8,12)/10,0)</f>
        <v>23476</v>
      </c>
      <c r="M50" s="4">
        <f ca="1">T_Facebook_Ads[[#This Row],[frequency]]*RANDBETWEEN(8,12)/10</f>
        <v>0.97599999999999998</v>
      </c>
      <c r="O50" s="3">
        <f t="shared" ca="1" si="6"/>
        <v>44972</v>
      </c>
      <c r="P50" s="4" t="s">
        <v>84</v>
      </c>
      <c r="Q50" s="4" t="s">
        <v>85</v>
      </c>
      <c r="R50" s="4" t="s">
        <v>86</v>
      </c>
      <c r="S50" s="4" t="s">
        <v>87</v>
      </c>
      <c r="T50" s="4">
        <f ca="1">ROUND(_Google_ads[[#This Row],[impressions]]*RANDBETWEEN(8,12)/10,0)</f>
        <v>53787</v>
      </c>
      <c r="U50" s="4">
        <f ca="1">ROUND(_Google_ads[[#This Row],[clicks]]*RANDBETWEEN(8,12)/10,0)</f>
        <v>2011</v>
      </c>
      <c r="V50" s="4">
        <f ca="1">_Google_ads[[#This Row],[cost]]*RANDBETWEEN(8,12)/10</f>
        <v>370.53</v>
      </c>
      <c r="W50" s="4">
        <f ca="1">ROUND(_Google_ads[[#This Row],[conversions]]*RANDBETWEEN(8,12)/10,0)</f>
        <v>65</v>
      </c>
      <c r="X50" s="4">
        <f ca="1">ROUND(_Google_ads[[#This Row],[conversion_value]]*RANDBETWEEN(8,12)/10,0)</f>
        <v>2925</v>
      </c>
      <c r="Y50" s="4">
        <f ca="1">_Google_ads[[#This Row],[ctr]]*RANDBETWEEN(8,12)/10</f>
        <v>2.656E-2</v>
      </c>
      <c r="Z50" s="4">
        <f ca="1">_Google_ads[[#This Row],[avg_cpc]]*RANDBETWEEN(8,12)/10</f>
        <v>0.18</v>
      </c>
      <c r="AA50" s="4">
        <f ca="1">ROUND(_Google_ads[[#This Row],[quality_score]]*RANDBETWEEN(8,12)/10,0)</f>
        <v>7</v>
      </c>
      <c r="AB50" s="4">
        <f ca="1">_Google_ads[[#This Row],[search_impression_share]]*RANDBETWEEN(8,12)/10</f>
        <v>0.52800000000000002</v>
      </c>
      <c r="AD50" s="3">
        <f t="shared" ca="1" si="7"/>
        <v>44980</v>
      </c>
      <c r="AE50" s="4" t="s">
        <v>108</v>
      </c>
      <c r="AF50" s="4" t="s">
        <v>109</v>
      </c>
      <c r="AG50" s="4" t="s">
        <v>110</v>
      </c>
      <c r="AH50" s="4" t="s">
        <v>111</v>
      </c>
      <c r="AI50" s="4">
        <f ca="1">ROUND(T_Tiktok_ads[[#This Row],[impressions]]*RANDBETWEEN(8,12)/10,0)</f>
        <v>254814</v>
      </c>
      <c r="AJ50" s="4">
        <f ca="1">ROUND(T_Tiktok_ads[[#This Row],[clicks]]*RANDBETWEEN(8,12)/10,0)</f>
        <v>3680</v>
      </c>
      <c r="AK50" s="4">
        <v>401.1</v>
      </c>
      <c r="AL50" s="4">
        <f ca="1">ROUND(T_Tiktok_ads[[#This Row],[conversions]]*RANDBETWEEN(8,12)/10,0)</f>
        <v>25</v>
      </c>
      <c r="AM50" s="4">
        <f ca="1">ROUND(T_Tiktok_ads[[#This Row],[video_views]]*RANDBETWEEN(8,12)/10,0)</f>
        <v>201468</v>
      </c>
      <c r="AN50" s="4">
        <f ca="1">ROUND(T_Tiktok_ads[[#This Row],[video_watch_25]]*RANDBETWEEN(8,12)/10,0)</f>
        <v>141057</v>
      </c>
      <c r="AO50" s="4">
        <f ca="1">ROUND(T_Tiktok_ads[[#This Row],[video_watch_50]]*RANDBETWEEN(8,12)/10,0)</f>
        <v>101234</v>
      </c>
      <c r="AP50" s="4">
        <f ca="1">ROUND(T_Tiktok_ads[[#This Row],[video_watch_75]]*RANDBETWEEN(8,12)/10,0)</f>
        <v>58711</v>
      </c>
      <c r="AQ50" s="4">
        <f ca="1">ROUND(T_Tiktok_ads[[#This Row],[video_watch_100]]*RANDBETWEEN(8,12)/10,0)</f>
        <v>47347</v>
      </c>
      <c r="AR50" s="4">
        <f ca="1">ROUND(T_Tiktok_ads[[#This Row],[likes]]*RANDBETWEEN(8,12)/10,0)</f>
        <v>6231</v>
      </c>
      <c r="AS50" s="4">
        <f ca="1">ROUND(T_Tiktok_ads[[#This Row],[shares]]*RANDBETWEEN(8,12)/10,0)</f>
        <v>2360</v>
      </c>
      <c r="AT50" s="4">
        <f ca="1">ROUND(T_Tiktok_ads[[#This Row],[comments]]*RANDBETWEEN(8,12)/10,0)</f>
        <v>410</v>
      </c>
      <c r="AV50" s="5">
        <f t="shared" ca="1" si="8"/>
        <v>44982</v>
      </c>
      <c r="AW50">
        <f t="shared" ca="1" si="4"/>
        <v>3</v>
      </c>
      <c r="AX50">
        <f ca="1">ROUND(T_Facebook_Ads1159[[#This Row],[impressions]]*RANDBETWEEN(2,10)/10,0)</f>
        <v>21407</v>
      </c>
      <c r="AY50">
        <f ca="1">ROUND(T_Facebook_Ads1159[[#This Row],[clicks]]*RANDBETWEEN(8,12)/10,0)</f>
        <v>1160</v>
      </c>
      <c r="AZ50">
        <f ca="1">T_Facebook_Ads1159[[#This Row],[spend]]*RANDBETWEEN(8,12)/10</f>
        <v>141.55199999999999</v>
      </c>
      <c r="BA50">
        <f ca="1">ROUND(T_Facebook_Ads1159[[#This Row],[conversions]]*RANDBETWEEN(8,12)/10,0)</f>
        <v>24</v>
      </c>
      <c r="BB50">
        <f ca="1">ROUND(T_Facebook_Ads1159[[#This Row],[video_views]]*RANDBETWEEN(8,12)/10,0)</f>
        <v>4491</v>
      </c>
    </row>
    <row r="51" spans="1:54" ht="15.75" thickBot="1" x14ac:dyDescent="0.3">
      <c r="A51" s="3">
        <f t="shared" ca="1" si="5"/>
        <v>44968</v>
      </c>
      <c r="B51" s="4" t="s">
        <v>64</v>
      </c>
      <c r="C51" s="4" t="s">
        <v>65</v>
      </c>
      <c r="D51" s="4" t="s">
        <v>66</v>
      </c>
      <c r="E51" s="4" t="s">
        <v>67</v>
      </c>
      <c r="F51" s="4">
        <f ca="1">ROUND(T_Facebook_Ads[[#This Row],[impressions]]*RANDBETWEEN(8,12)/10,0)</f>
        <v>68456</v>
      </c>
      <c r="G51" s="4">
        <v>248</v>
      </c>
      <c r="H51" s="4">
        <f ca="1">T_Facebook_Ads[[#This Row],[spend]]*RANDBETWEEN(8,12)/10</f>
        <v>70.08</v>
      </c>
      <c r="I51" s="4">
        <f ca="1">ROUND(T_Facebook_Ads[[#This Row],[conversions]]*RANDBETWEEN(8,12)/10,0)</f>
        <v>7</v>
      </c>
      <c r="J51" s="4">
        <f ca="1">ROUND(T_Facebook_Ads[[#This Row],[video_views]]*RANDBETWEEN(8,12)/10,0)</f>
        <v>50857</v>
      </c>
      <c r="K51" s="4">
        <f ca="1">T_Facebook_Ads[[#This Row],[engagement_rate]]*RANDBETWEEN(8,12)/10</f>
        <v>3.2399999999999998E-3</v>
      </c>
      <c r="L51" s="4">
        <f ca="1">ROUND(T_Facebook_Ads[[#This Row],[reach]]*RANDBETWEEN(8,12)/10,0)</f>
        <v>68147</v>
      </c>
      <c r="M51" s="4">
        <f ca="1">T_Facebook_Ads[[#This Row],[frequency]]*RANDBETWEEN(8,12)/10</f>
        <v>0.96799999999999997</v>
      </c>
      <c r="O51" s="3">
        <f t="shared" ca="1" si="6"/>
        <v>44985</v>
      </c>
      <c r="P51" s="4" t="s">
        <v>88</v>
      </c>
      <c r="Q51" s="4" t="s">
        <v>89</v>
      </c>
      <c r="R51" s="4" t="s">
        <v>90</v>
      </c>
      <c r="S51" s="4" t="s">
        <v>59</v>
      </c>
      <c r="T51" s="4">
        <f ca="1">ROUND(_Google_ads[[#This Row],[impressions]]*RANDBETWEEN(8,12)/10,0)</f>
        <v>116011</v>
      </c>
      <c r="U51" s="4">
        <f ca="1">ROUND(_Google_ads[[#This Row],[clicks]]*RANDBETWEEN(8,12)/10,0)</f>
        <v>560</v>
      </c>
      <c r="V51" s="4">
        <f ca="1">_Google_ads[[#This Row],[cost]]*RANDBETWEEN(8,12)/10</f>
        <v>101.36</v>
      </c>
      <c r="W51" s="4">
        <f ca="1">ROUND(_Google_ads[[#This Row],[conversions]]*RANDBETWEEN(8,12)/10,0)</f>
        <v>10</v>
      </c>
      <c r="X51" s="4">
        <f ca="1">ROUND(_Google_ads[[#This Row],[conversion_value]]*RANDBETWEEN(8,12)/10,0)</f>
        <v>650</v>
      </c>
      <c r="Y51" s="4">
        <f ca="1">_Google_ads[[#This Row],[ctr]]*RANDBETWEEN(8,12)/10</f>
        <v>3.5999999999999999E-3</v>
      </c>
      <c r="Z51" s="4">
        <f ca="1">_Google_ads[[#This Row],[avg_cpc]]*RANDBETWEEN(8,12)/10</f>
        <v>0.24300000000000002</v>
      </c>
      <c r="AA51" s="4">
        <f ca="1">ROUND(_Google_ads[[#This Row],[quality_score]]*RANDBETWEEN(8,12)/10,0)</f>
        <v>6</v>
      </c>
      <c r="AB51" s="4">
        <f ca="1">_Google_ads[[#This Row],[search_impression_share]]*RANDBETWEEN(8,12)/10</f>
        <v>0.374</v>
      </c>
      <c r="AD51" s="3">
        <f t="shared" ca="1" si="7"/>
        <v>44960</v>
      </c>
      <c r="AE51" s="4" t="s">
        <v>112</v>
      </c>
      <c r="AF51" s="4" t="s">
        <v>113</v>
      </c>
      <c r="AG51" s="4" t="s">
        <v>114</v>
      </c>
      <c r="AH51" s="4" t="s">
        <v>115</v>
      </c>
      <c r="AI51" s="4">
        <f ca="1">ROUND(T_Tiktok_ads[[#This Row],[impressions]]*RANDBETWEEN(8,12)/10,0)</f>
        <v>454681</v>
      </c>
      <c r="AJ51" s="4">
        <f ca="1">ROUND(T_Tiktok_ads[[#This Row],[clicks]]*RANDBETWEEN(8,12)/10,0)</f>
        <v>6735</v>
      </c>
      <c r="AK51" s="4">
        <v>945.6</v>
      </c>
      <c r="AL51" s="4">
        <f ca="1">ROUND(T_Tiktok_ads[[#This Row],[conversions]]*RANDBETWEEN(8,12)/10,0)</f>
        <v>115</v>
      </c>
      <c r="AM51" s="4">
        <f ca="1">ROUND(T_Tiktok_ads[[#This Row],[video_views]]*RANDBETWEEN(8,12)/10,0)</f>
        <v>374814</v>
      </c>
      <c r="AN51" s="4">
        <f ca="1">ROUND(T_Tiktok_ads[[#This Row],[video_watch_25]]*RANDBETWEEN(8,12)/10,0)</f>
        <v>251234</v>
      </c>
      <c r="AO51" s="4">
        <f ca="1">ROUND(T_Tiktok_ads[[#This Row],[video_watch_50]]*RANDBETWEEN(8,12)/10,0)</f>
        <v>221357</v>
      </c>
      <c r="AP51" s="4">
        <f ca="1">ROUND(T_Tiktok_ads[[#This Row],[video_watch_75]]*RANDBETWEEN(8,12)/10,0)</f>
        <v>143456</v>
      </c>
      <c r="AQ51" s="4">
        <f ca="1">ROUND(T_Tiktok_ads[[#This Row],[video_watch_100]]*RANDBETWEEN(8,12)/10,0)</f>
        <v>95234</v>
      </c>
      <c r="AR51" s="4">
        <f ca="1">ROUND(T_Tiktok_ads[[#This Row],[likes]]*RANDBETWEEN(8,12)/10,0)</f>
        <v>16567</v>
      </c>
      <c r="AS51" s="4">
        <f ca="1">ROUND(T_Tiktok_ads[[#This Row],[shares]]*RANDBETWEEN(8,12)/10,0)</f>
        <v>5305</v>
      </c>
      <c r="AT51" s="4">
        <f ca="1">ROUND(T_Tiktok_ads[[#This Row],[comments]]*RANDBETWEEN(8,12)/10,0)</f>
        <v>1443</v>
      </c>
      <c r="AV51" s="5">
        <f t="shared" ca="1" si="8"/>
        <v>44968</v>
      </c>
      <c r="AW51">
        <f t="shared" ca="1" si="4"/>
        <v>7</v>
      </c>
      <c r="AX51">
        <f ca="1">ROUND(T_Facebook_Ads1159[[#This Row],[impressions]]*RANDBETWEEN(2,10)/10,0)</f>
        <v>20537</v>
      </c>
      <c r="AY51">
        <f ca="1">ROUND(T_Facebook_Ads1159[[#This Row],[clicks]]*RANDBETWEEN(8,12)/10,0)</f>
        <v>198</v>
      </c>
      <c r="AZ51">
        <f ca="1">T_Facebook_Ads1159[[#This Row],[spend]]*RANDBETWEEN(8,12)/10</f>
        <v>56.064</v>
      </c>
      <c r="BA51">
        <f ca="1">ROUND(T_Facebook_Ads1159[[#This Row],[conversions]]*RANDBETWEEN(8,12)/10,0)</f>
        <v>6</v>
      </c>
      <c r="BB51">
        <f ca="1">ROUND(T_Facebook_Ads1159[[#This Row],[video_views]]*RANDBETWEEN(8,12)/10,0)</f>
        <v>45771</v>
      </c>
    </row>
    <row r="52" spans="1:54" ht="15.75" thickBot="1" x14ac:dyDescent="0.3">
      <c r="A52" s="3">
        <f t="shared" ca="1" si="5"/>
        <v>44985</v>
      </c>
      <c r="B52" s="4" t="s">
        <v>52</v>
      </c>
      <c r="C52" s="4" t="s">
        <v>53</v>
      </c>
      <c r="D52" s="4" t="s">
        <v>54</v>
      </c>
      <c r="E52" s="4" t="s">
        <v>55</v>
      </c>
      <c r="F52" s="4">
        <f ca="1">ROUND(T_Facebook_Ads[[#This Row],[impressions]]*RANDBETWEEN(8,12)/10,0)</f>
        <v>40187</v>
      </c>
      <c r="G52" s="4">
        <v>1023</v>
      </c>
      <c r="H52" s="4">
        <f ca="1">T_Facebook_Ads[[#This Row],[spend]]*RANDBETWEEN(8,12)/10</f>
        <v>172.56</v>
      </c>
      <c r="I52" s="4">
        <f ca="1">ROUND(T_Facebook_Ads[[#This Row],[conversions]]*RANDBETWEEN(8,12)/10,0)</f>
        <v>18</v>
      </c>
      <c r="J52" s="4">
        <f ca="1">ROUND(T_Facebook_Ads[[#This Row],[video_views]]*RANDBETWEEN(8,12)/10,0)</f>
        <v>10157</v>
      </c>
      <c r="K52" s="4">
        <f ca="1">T_Facebook_Ads[[#This Row],[engagement_rate]]*RANDBETWEEN(8,12)/10</f>
        <v>2.0400000000000001E-2</v>
      </c>
      <c r="L52" s="4">
        <f ca="1">ROUND(T_Facebook_Ads[[#This Row],[reach]]*RANDBETWEEN(8,12)/10,0)</f>
        <v>33876</v>
      </c>
      <c r="M52" s="4">
        <f ca="1">T_Facebook_Ads[[#This Row],[frequency]]*RANDBETWEEN(8,12)/10</f>
        <v>1.4279999999999999</v>
      </c>
      <c r="O52" s="3">
        <f t="shared" ca="1" si="6"/>
        <v>44973</v>
      </c>
      <c r="P52" s="4" t="s">
        <v>76</v>
      </c>
      <c r="Q52" s="4" t="s">
        <v>77</v>
      </c>
      <c r="R52" s="4" t="s">
        <v>78</v>
      </c>
      <c r="S52" s="4" t="s">
        <v>79</v>
      </c>
      <c r="T52" s="4">
        <f ca="1">ROUND(_Google_ads[[#This Row],[impressions]]*RANDBETWEEN(8,12)/10,0)</f>
        <v>22910</v>
      </c>
      <c r="U52" s="4">
        <f ca="1">ROUND(_Google_ads[[#This Row],[clicks]]*RANDBETWEEN(8,12)/10,0)</f>
        <v>1345</v>
      </c>
      <c r="V52" s="4">
        <f ca="1">_Google_ads[[#This Row],[cost]]*RANDBETWEEN(8,12)/10</f>
        <v>283.03000000000003</v>
      </c>
      <c r="W52" s="4">
        <f ca="1">ROUND(_Google_ads[[#This Row],[conversions]]*RANDBETWEEN(8,12)/10,0)</f>
        <v>56</v>
      </c>
      <c r="X52" s="4">
        <f ca="1">ROUND(_Google_ads[[#This Row],[conversion_value]]*RANDBETWEEN(8,12)/10,0)</f>
        <v>2040</v>
      </c>
      <c r="Y52" s="4">
        <f ca="1">_Google_ads[[#This Row],[ctr]]*RANDBETWEEN(8,12)/10</f>
        <v>6.336E-2</v>
      </c>
      <c r="Z52" s="4">
        <f ca="1">_Google_ads[[#This Row],[avg_cpc]]*RANDBETWEEN(8,12)/10</f>
        <v>0.20899999999999999</v>
      </c>
      <c r="AA52" s="4">
        <f ca="1">ROUND(_Google_ads[[#This Row],[quality_score]]*RANDBETWEEN(8,12)/10,0)</f>
        <v>11</v>
      </c>
      <c r="AB52" s="4">
        <f ca="1">_Google_ads[[#This Row],[search_impression_share]]*RANDBETWEEN(8,12)/10</f>
        <v>1.1040000000000001</v>
      </c>
      <c r="AD52" s="3">
        <f t="shared" ca="1" si="7"/>
        <v>44984</v>
      </c>
      <c r="AE52" s="4" t="s">
        <v>100</v>
      </c>
      <c r="AF52" s="4" t="s">
        <v>101</v>
      </c>
      <c r="AG52" s="4" t="s">
        <v>102</v>
      </c>
      <c r="AH52" s="4" t="s">
        <v>103</v>
      </c>
      <c r="AI52" s="4">
        <f ca="1">ROUND(T_Tiktok_ads[[#This Row],[impressions]]*RANDBETWEEN(8,12)/10,0)</f>
        <v>260111</v>
      </c>
      <c r="AJ52" s="4">
        <f ca="1">ROUND(T_Tiktok_ads[[#This Row],[clicks]]*RANDBETWEEN(8,12)/10,0)</f>
        <v>3811</v>
      </c>
      <c r="AK52" s="4">
        <v>556.70000000000005</v>
      </c>
      <c r="AL52" s="4">
        <f ca="1">ROUND(T_Tiktok_ads[[#This Row],[conversions]]*RANDBETWEEN(8,12)/10,0)</f>
        <v>52</v>
      </c>
      <c r="AM52" s="4">
        <f ca="1">ROUND(T_Tiktok_ads[[#This Row],[video_views]]*RANDBETWEEN(8,12)/10,0)</f>
        <v>211110</v>
      </c>
      <c r="AN52" s="4">
        <f ca="1">ROUND(T_Tiktok_ads[[#This Row],[video_watch_25]]*RANDBETWEEN(8,12)/10,0)</f>
        <v>200580</v>
      </c>
      <c r="AO52" s="4">
        <f ca="1">ROUND(T_Tiktok_ads[[#This Row],[video_watch_50]]*RANDBETWEEN(8,12)/10,0)</f>
        <v>126024</v>
      </c>
      <c r="AP52" s="4">
        <f ca="1">ROUND(T_Tiktok_ads[[#This Row],[video_watch_75]]*RANDBETWEEN(8,12)/10,0)</f>
        <v>77234</v>
      </c>
      <c r="AQ52" s="4">
        <f ca="1">ROUND(T_Tiktok_ads[[#This Row],[video_watch_100]]*RANDBETWEEN(8,12)/10,0)</f>
        <v>40987</v>
      </c>
      <c r="AR52" s="4">
        <f ca="1">ROUND(T_Tiktok_ads[[#This Row],[likes]]*RANDBETWEEN(8,12)/10,0)</f>
        <v>12414</v>
      </c>
      <c r="AS52" s="4">
        <f ca="1">ROUND(T_Tiktok_ads[[#This Row],[shares]]*RANDBETWEEN(8,12)/10,0)</f>
        <v>3068</v>
      </c>
      <c r="AT52" s="4">
        <f ca="1">ROUND(T_Tiktok_ads[[#This Row],[comments]]*RANDBETWEEN(8,12)/10,0)</f>
        <v>722</v>
      </c>
      <c r="AV52" s="5">
        <f t="shared" ca="1" si="8"/>
        <v>44976</v>
      </c>
      <c r="AW52">
        <f t="shared" ca="1" si="4"/>
        <v>2</v>
      </c>
      <c r="AX52">
        <f ca="1">ROUND(T_Facebook_Ads1159[[#This Row],[impressions]]*RANDBETWEEN(2,10)/10,0)</f>
        <v>16075</v>
      </c>
      <c r="AY52">
        <f ca="1">ROUND(T_Facebook_Ads1159[[#This Row],[clicks]]*RANDBETWEEN(8,12)/10,0)</f>
        <v>1125</v>
      </c>
      <c r="AZ52">
        <f ca="1">T_Facebook_Ads1159[[#This Row],[spend]]*RANDBETWEEN(8,12)/10</f>
        <v>138.048</v>
      </c>
      <c r="BA52">
        <f ca="1">ROUND(T_Facebook_Ads1159[[#This Row],[conversions]]*RANDBETWEEN(8,12)/10,0)</f>
        <v>16</v>
      </c>
      <c r="BB52">
        <f ca="1">ROUND(T_Facebook_Ads1159[[#This Row],[video_views]]*RANDBETWEEN(8,12)/10,0)</f>
        <v>9141</v>
      </c>
    </row>
    <row r="53" spans="1:54" ht="15.75" thickBot="1" x14ac:dyDescent="0.3">
      <c r="A53" s="3">
        <f t="shared" ca="1" si="5"/>
        <v>44971</v>
      </c>
      <c r="B53" s="4" t="s">
        <v>56</v>
      </c>
      <c r="C53" s="4" t="s">
        <v>57</v>
      </c>
      <c r="D53" s="4" t="s">
        <v>58</v>
      </c>
      <c r="E53" s="4" t="s">
        <v>59</v>
      </c>
      <c r="F53" s="4">
        <f ca="1">ROUND(T_Facebook_Ads[[#This Row],[impressions]]*RANDBETWEEN(8,12)/10,0)</f>
        <v>14234</v>
      </c>
      <c r="G53" s="4">
        <v>678</v>
      </c>
      <c r="H53" s="4">
        <f ca="1">T_Facebook_Ads[[#This Row],[spend]]*RANDBETWEEN(8,12)/10</f>
        <v>298.2</v>
      </c>
      <c r="I53" s="4">
        <f ca="1">ROUND(T_Facebook_Ads[[#This Row],[conversions]]*RANDBETWEEN(8,12)/10,0)</f>
        <v>34</v>
      </c>
      <c r="J53" s="4">
        <f ca="1">ROUND(T_Facebook_Ads[[#This Row],[video_views]]*RANDBETWEEN(8,12)/10,0)</f>
        <v>1410</v>
      </c>
      <c r="K53" s="4">
        <f ca="1">T_Facebook_Ads[[#This Row],[engagement_rate]]*RANDBETWEEN(8,12)/10</f>
        <v>5.2469999999999996E-2</v>
      </c>
      <c r="L53" s="4">
        <f ca="1">ROUND(T_Facebook_Ads[[#This Row],[reach]]*RANDBETWEEN(8,12)/10,0)</f>
        <v>11234</v>
      </c>
      <c r="M53" s="4">
        <f ca="1">T_Facebook_Ads[[#This Row],[frequency]]*RANDBETWEEN(8,12)/10</f>
        <v>1.016</v>
      </c>
      <c r="O53" s="3">
        <f t="shared" ca="1" si="6"/>
        <v>44976</v>
      </c>
      <c r="P53" s="4" t="s">
        <v>80</v>
      </c>
      <c r="Q53" s="4" t="s">
        <v>81</v>
      </c>
      <c r="R53" s="4" t="s">
        <v>82</v>
      </c>
      <c r="S53" s="4" t="s">
        <v>83</v>
      </c>
      <c r="T53" s="4">
        <f ca="1">ROUND(_Google_ads[[#This Row],[impressions]]*RANDBETWEEN(8,12)/10,0)</f>
        <v>41110</v>
      </c>
      <c r="U53" s="4">
        <f ca="1">ROUND(_Google_ads[[#This Row],[clicks]]*RANDBETWEEN(8,12)/10,0)</f>
        <v>1081</v>
      </c>
      <c r="V53" s="4">
        <f ca="1">_Google_ads[[#This Row],[cost]]*RANDBETWEEN(8,12)/10</f>
        <v>642.95000000000005</v>
      </c>
      <c r="W53" s="4">
        <f ca="1">ROUND(_Google_ads[[#This Row],[conversions]]*RANDBETWEEN(8,12)/10,0)</f>
        <v>26</v>
      </c>
      <c r="X53" s="4">
        <f ca="1">ROUND(_Google_ads[[#This Row],[conversion_value]]*RANDBETWEEN(8,12)/10,0)</f>
        <v>1200</v>
      </c>
      <c r="Y53" s="4">
        <f ca="1">_Google_ads[[#This Row],[ctr]]*RANDBETWEEN(8,12)/10</f>
        <v>2.1669999999999998E-2</v>
      </c>
      <c r="Z53" s="4">
        <f ca="1">_Google_ads[[#This Row],[avg_cpc]]*RANDBETWEEN(8,12)/10</f>
        <v>0.58500000000000008</v>
      </c>
      <c r="AA53" s="4">
        <f ca="1">ROUND(_Google_ads[[#This Row],[quality_score]]*RANDBETWEEN(8,12)/10,0)</f>
        <v>6</v>
      </c>
      <c r="AB53" s="4">
        <f ca="1">_Google_ads[[#This Row],[search_impression_share]]*RANDBETWEEN(8,12)/10</f>
        <v>0.495</v>
      </c>
      <c r="AD53" s="3">
        <f t="shared" ca="1" si="7"/>
        <v>44959</v>
      </c>
      <c r="AE53" s="4" t="s">
        <v>104</v>
      </c>
      <c r="AF53" s="4" t="s">
        <v>105</v>
      </c>
      <c r="AG53" s="4" t="s">
        <v>106</v>
      </c>
      <c r="AH53" s="4" t="s">
        <v>107</v>
      </c>
      <c r="AI53" s="4">
        <f ca="1">ROUND(T_Tiktok_ads[[#This Row],[impressions]]*RANDBETWEEN(8,12)/10,0)</f>
        <v>172468</v>
      </c>
      <c r="AJ53" s="4">
        <f ca="1">ROUND(T_Tiktok_ads[[#This Row],[clicks]]*RANDBETWEEN(8,12)/10,0)</f>
        <v>3313</v>
      </c>
      <c r="AK53" s="4">
        <v>812.3</v>
      </c>
      <c r="AL53" s="4">
        <f ca="1">ROUND(T_Tiktok_ads[[#This Row],[conversions]]*RANDBETWEEN(8,12)/10,0)</f>
        <v>98</v>
      </c>
      <c r="AM53" s="4">
        <f ca="1">ROUND(T_Tiktok_ads[[#This Row],[video_views]]*RANDBETWEEN(8,12)/10,0)</f>
        <v>109876</v>
      </c>
      <c r="AN53" s="4">
        <f ca="1">ROUND(T_Tiktok_ads[[#This Row],[video_watch_25]]*RANDBETWEEN(8,12)/10,0)</f>
        <v>73111</v>
      </c>
      <c r="AO53" s="4">
        <f ca="1">ROUND(T_Tiktok_ads[[#This Row],[video_watch_50]]*RANDBETWEEN(8,12)/10,0)</f>
        <v>43742</v>
      </c>
      <c r="AP53" s="4">
        <f ca="1">ROUND(T_Tiktok_ads[[#This Row],[video_watch_75]]*RANDBETWEEN(8,12)/10,0)</f>
        <v>32987</v>
      </c>
      <c r="AQ53" s="4">
        <f ca="1">ROUND(T_Tiktok_ads[[#This Row],[video_watch_100]]*RANDBETWEEN(8,12)/10,0)</f>
        <v>30324</v>
      </c>
      <c r="AR53" s="4">
        <f ca="1">ROUND(T_Tiktok_ads[[#This Row],[likes]]*RANDBETWEEN(8,12)/10,0)</f>
        <v>6002</v>
      </c>
      <c r="AS53" s="4">
        <f ca="1">ROUND(T_Tiktok_ads[[#This Row],[shares]]*RANDBETWEEN(8,12)/10,0)</f>
        <v>1724</v>
      </c>
      <c r="AT53" s="4">
        <f ca="1">ROUND(T_Tiktok_ads[[#This Row],[comments]]*RANDBETWEEN(8,12)/10,0)</f>
        <v>347</v>
      </c>
      <c r="AV53" s="5">
        <f t="shared" ca="1" si="8"/>
        <v>44967</v>
      </c>
      <c r="AW53">
        <f t="shared" ca="1" si="4"/>
        <v>4</v>
      </c>
      <c r="AX53">
        <f ca="1">ROUND(T_Facebook_Ads1159[[#This Row],[impressions]]*RANDBETWEEN(2,10)/10,0)</f>
        <v>2847</v>
      </c>
      <c r="AY53">
        <f ca="1">ROUND(T_Facebook_Ads1159[[#This Row],[clicks]]*RANDBETWEEN(8,12)/10,0)</f>
        <v>814</v>
      </c>
      <c r="AZ53">
        <f ca="1">T_Facebook_Ads1159[[#This Row],[spend]]*RANDBETWEEN(8,12)/10</f>
        <v>328.02</v>
      </c>
      <c r="BA53">
        <f ca="1">ROUND(T_Facebook_Ads1159[[#This Row],[conversions]]*RANDBETWEEN(8,12)/10,0)</f>
        <v>41</v>
      </c>
      <c r="BB53">
        <f ca="1">ROUND(T_Facebook_Ads1159[[#This Row],[video_views]]*RANDBETWEEN(8,12)/10,0)</f>
        <v>1692</v>
      </c>
    </row>
    <row r="54" spans="1:54" ht="15.75" thickBot="1" x14ac:dyDescent="0.3">
      <c r="A54" s="3">
        <f t="shared" ca="1" si="5"/>
        <v>44976</v>
      </c>
      <c r="B54" s="4" t="s">
        <v>60</v>
      </c>
      <c r="C54" s="4" t="s">
        <v>61</v>
      </c>
      <c r="D54" s="4" t="s">
        <v>62</v>
      </c>
      <c r="E54" s="4" t="s">
        <v>63</v>
      </c>
      <c r="F54" s="4">
        <f ca="1">ROUND(T_Facebook_Ads[[#This Row],[impressions]]*RANDBETWEEN(8,12)/10,0)</f>
        <v>30765</v>
      </c>
      <c r="G54" s="4">
        <v>1423</v>
      </c>
      <c r="H54" s="4">
        <f ca="1">T_Facebook_Ads[[#This Row],[spend]]*RANDBETWEEN(8,12)/10</f>
        <v>196.82999999999998</v>
      </c>
      <c r="I54" s="4">
        <f ca="1">ROUND(T_Facebook_Ads[[#This Row],[conversions]]*RANDBETWEEN(8,12)/10,0)</f>
        <v>30</v>
      </c>
      <c r="J54" s="4">
        <f ca="1">ROUND(T_Facebook_Ads[[#This Row],[video_views]]*RANDBETWEEN(8,12)/10,0)</f>
        <v>5635</v>
      </c>
      <c r="K54" s="4">
        <f ca="1">T_Facebook_Ads[[#This Row],[engagement_rate]]*RANDBETWEEN(8,12)/10</f>
        <v>3.6999999999999998E-2</v>
      </c>
      <c r="L54" s="4">
        <f ca="1">ROUND(T_Facebook_Ads[[#This Row],[reach]]*RANDBETWEEN(8,12)/10,0)</f>
        <v>24987</v>
      </c>
      <c r="M54" s="4">
        <f ca="1">T_Facebook_Ads[[#This Row],[frequency]]*RANDBETWEEN(8,12)/10</f>
        <v>1.23</v>
      </c>
      <c r="O54" s="3">
        <f t="shared" ca="1" si="6"/>
        <v>44973</v>
      </c>
      <c r="P54" s="4" t="s">
        <v>84</v>
      </c>
      <c r="Q54" s="4" t="s">
        <v>85</v>
      </c>
      <c r="R54" s="4" t="s">
        <v>86</v>
      </c>
      <c r="S54" s="4" t="s">
        <v>87</v>
      </c>
      <c r="T54" s="4">
        <f ca="1">ROUND(_Google_ads[[#This Row],[impressions]]*RANDBETWEEN(8,12)/10,0)</f>
        <v>77135</v>
      </c>
      <c r="U54" s="4">
        <f ca="1">ROUND(_Google_ads[[#This Row],[clicks]]*RANDBETWEEN(8,12)/10,0)</f>
        <v>1902</v>
      </c>
      <c r="V54" s="4">
        <f ca="1">_Google_ads[[#This Row],[cost]]*RANDBETWEEN(8,12)/10</f>
        <v>348.64</v>
      </c>
      <c r="W54" s="4">
        <f ca="1">ROUND(_Google_ads[[#This Row],[conversions]]*RANDBETWEEN(8,12)/10,0)</f>
        <v>76</v>
      </c>
      <c r="X54" s="4">
        <f ca="1">ROUND(_Google_ads[[#This Row],[conversion_value]]*RANDBETWEEN(8,12)/10,0)</f>
        <v>3105</v>
      </c>
      <c r="Y54" s="4">
        <f ca="1">_Google_ads[[#This Row],[ctr]]*RANDBETWEEN(8,12)/10</f>
        <v>3.0509999999999999E-2</v>
      </c>
      <c r="Z54" s="4">
        <f ca="1">_Google_ads[[#This Row],[avg_cpc]]*RANDBETWEEN(8,12)/10</f>
        <v>0.21600000000000003</v>
      </c>
      <c r="AA54" s="4">
        <f ca="1">ROUND(_Google_ads[[#This Row],[quality_score]]*RANDBETWEEN(8,12)/10,0)</f>
        <v>7</v>
      </c>
      <c r="AB54" s="4">
        <f ca="1">_Google_ads[[#This Row],[search_impression_share]]*RANDBETWEEN(8,12)/10</f>
        <v>0.80400000000000005</v>
      </c>
      <c r="AD54" s="3">
        <f t="shared" ca="1" si="7"/>
        <v>44980</v>
      </c>
      <c r="AE54" s="4" t="s">
        <v>108</v>
      </c>
      <c r="AF54" s="4" t="s">
        <v>109</v>
      </c>
      <c r="AG54" s="4" t="s">
        <v>110</v>
      </c>
      <c r="AH54" s="4" t="s">
        <v>111</v>
      </c>
      <c r="AI54" s="4">
        <f ca="1">ROUND(T_Tiktok_ads[[#This Row],[impressions]]*RANDBETWEEN(8,12)/10,0)</f>
        <v>294814</v>
      </c>
      <c r="AJ54" s="4">
        <f ca="1">ROUND(T_Tiktok_ads[[#This Row],[clicks]]*RANDBETWEEN(8,12)/10,0)</f>
        <v>4668</v>
      </c>
      <c r="AK54" s="4">
        <v>467.8</v>
      </c>
      <c r="AL54" s="4">
        <f ca="1">ROUND(T_Tiktok_ads[[#This Row],[conversions]]*RANDBETWEEN(8,12)/10,0)</f>
        <v>34</v>
      </c>
      <c r="AM54" s="4">
        <f ca="1">ROUND(T_Tiktok_ads[[#This Row],[video_views]]*RANDBETWEEN(8,12)/10,0)</f>
        <v>215246</v>
      </c>
      <c r="AN54" s="4">
        <f ca="1">ROUND(T_Tiktok_ads[[#This Row],[video_watch_25]]*RANDBETWEEN(8,12)/10,0)</f>
        <v>148234</v>
      </c>
      <c r="AO54" s="4">
        <f ca="1">ROUND(T_Tiktok_ads[[#This Row],[video_watch_50]]*RANDBETWEEN(8,12)/10,0)</f>
        <v>105511</v>
      </c>
      <c r="AP54" s="4">
        <f ca="1">ROUND(T_Tiktok_ads[[#This Row],[video_watch_75]]*RANDBETWEEN(8,12)/10,0)</f>
        <v>82757</v>
      </c>
      <c r="AQ54" s="4">
        <f ca="1">ROUND(T_Tiktok_ads[[#This Row],[video_watch_100]]*RANDBETWEEN(8,12)/10,0)</f>
        <v>50368</v>
      </c>
      <c r="AR54" s="4">
        <f ca="1">ROUND(T_Tiktok_ads[[#This Row],[likes]]*RANDBETWEEN(8,12)/10,0)</f>
        <v>7710</v>
      </c>
      <c r="AS54" s="4">
        <f ca="1">ROUND(T_Tiktok_ads[[#This Row],[shares]]*RANDBETWEEN(8,12)/10,0)</f>
        <v>2111</v>
      </c>
      <c r="AT54" s="4">
        <f ca="1">ROUND(T_Tiktok_ads[[#This Row],[comments]]*RANDBETWEEN(8,12)/10,0)</f>
        <v>680</v>
      </c>
      <c r="AV54" s="5">
        <f t="shared" ca="1" si="8"/>
        <v>44965</v>
      </c>
      <c r="AW54">
        <f t="shared" ca="1" si="4"/>
        <v>3</v>
      </c>
      <c r="AX54">
        <f ca="1">ROUND(T_Facebook_Ads1159[[#This Row],[impressions]]*RANDBETWEEN(2,10)/10,0)</f>
        <v>30765</v>
      </c>
      <c r="AY54">
        <f ca="1">ROUND(T_Facebook_Ads1159[[#This Row],[clicks]]*RANDBETWEEN(8,12)/10,0)</f>
        <v>1708</v>
      </c>
      <c r="AZ54">
        <f ca="1">T_Facebook_Ads1159[[#This Row],[spend]]*RANDBETWEEN(8,12)/10</f>
        <v>216.51299999999998</v>
      </c>
      <c r="BA54">
        <f ca="1">ROUND(T_Facebook_Ads1159[[#This Row],[conversions]]*RANDBETWEEN(8,12)/10,0)</f>
        <v>33</v>
      </c>
      <c r="BB54">
        <f ca="1">ROUND(T_Facebook_Ads1159[[#This Row],[video_views]]*RANDBETWEEN(8,12)/10,0)</f>
        <v>5635</v>
      </c>
    </row>
    <row r="55" spans="1:54" ht="15.75" thickBot="1" x14ac:dyDescent="0.3">
      <c r="A55" s="3">
        <f t="shared" ca="1" si="5"/>
        <v>44967</v>
      </c>
      <c r="B55" s="4" t="s">
        <v>64</v>
      </c>
      <c r="C55" s="4" t="s">
        <v>65</v>
      </c>
      <c r="D55" s="4" t="s">
        <v>66</v>
      </c>
      <c r="E55" s="4" t="s">
        <v>67</v>
      </c>
      <c r="F55" s="4">
        <f ca="1">ROUND(T_Facebook_Ads[[#This Row],[impressions]]*RANDBETWEEN(8,12)/10,0)</f>
        <v>88147</v>
      </c>
      <c r="G55" s="4">
        <v>267</v>
      </c>
      <c r="H55" s="4">
        <f ca="1">T_Facebook_Ads[[#This Row],[spend]]*RANDBETWEEN(8,12)/10</f>
        <v>84.78</v>
      </c>
      <c r="I55" s="4">
        <f ca="1">ROUND(T_Facebook_Ads[[#This Row],[conversions]]*RANDBETWEEN(8,12)/10,0)</f>
        <v>7</v>
      </c>
      <c r="J55" s="4">
        <f ca="1">ROUND(T_Facebook_Ads[[#This Row],[video_views]]*RANDBETWEEN(8,12)/10,0)</f>
        <v>59868</v>
      </c>
      <c r="K55" s="4">
        <f ca="1">T_Facebook_Ads[[#This Row],[engagement_rate]]*RANDBETWEEN(8,12)/10</f>
        <v>3.96E-3</v>
      </c>
      <c r="L55" s="4">
        <f ca="1">ROUND(T_Facebook_Ads[[#This Row],[reach]]*RANDBETWEEN(8,12)/10,0)</f>
        <v>59567</v>
      </c>
      <c r="M55" s="4">
        <f ca="1">T_Facebook_Ads[[#This Row],[frequency]]*RANDBETWEEN(8,12)/10</f>
        <v>1.1160000000000001</v>
      </c>
      <c r="O55" s="3">
        <f t="shared" ca="1" si="6"/>
        <v>44961</v>
      </c>
      <c r="P55" s="4" t="s">
        <v>88</v>
      </c>
      <c r="Q55" s="4" t="s">
        <v>89</v>
      </c>
      <c r="R55" s="4" t="s">
        <v>90</v>
      </c>
      <c r="S55" s="4" t="s">
        <v>59</v>
      </c>
      <c r="T55" s="4">
        <f ca="1">ROUND(_Google_ads[[#This Row],[impressions]]*RANDBETWEEN(8,12)/10,0)</f>
        <v>119310</v>
      </c>
      <c r="U55" s="4">
        <f ca="1">ROUND(_Google_ads[[#This Row],[clicks]]*RANDBETWEEN(8,12)/10,0)</f>
        <v>538</v>
      </c>
      <c r="V55" s="4">
        <f ca="1">_Google_ads[[#This Row],[cost]]*RANDBETWEEN(8,12)/10</f>
        <v>104.4</v>
      </c>
      <c r="W55" s="4">
        <f ca="1">ROUND(_Google_ads[[#This Row],[conversions]]*RANDBETWEEN(8,12)/10,0)</f>
        <v>11</v>
      </c>
      <c r="X55" s="4">
        <f ca="1">ROUND(_Google_ads[[#This Row],[conversion_value]]*RANDBETWEEN(8,12)/10,0)</f>
        <v>840</v>
      </c>
      <c r="Y55" s="4">
        <f ca="1">_Google_ads[[#This Row],[ctr]]*RANDBETWEEN(8,12)/10</f>
        <v>2.96E-3</v>
      </c>
      <c r="Z55" s="4">
        <f ca="1">_Google_ads[[#This Row],[avg_cpc]]*RANDBETWEEN(8,12)/10</f>
        <v>0.32400000000000001</v>
      </c>
      <c r="AA55" s="4">
        <f ca="1">ROUND(_Google_ads[[#This Row],[quality_score]]*RANDBETWEEN(8,12)/10,0)</f>
        <v>7</v>
      </c>
      <c r="AB55" s="4">
        <f ca="1">_Google_ads[[#This Row],[search_impression_share]]*RANDBETWEEN(8,12)/10</f>
        <v>0.38499999999999995</v>
      </c>
      <c r="AD55" s="3">
        <f t="shared" ca="1" si="7"/>
        <v>44961</v>
      </c>
      <c r="AE55" s="4" t="s">
        <v>112</v>
      </c>
      <c r="AF55" s="4" t="s">
        <v>113</v>
      </c>
      <c r="AG55" s="4" t="s">
        <v>114</v>
      </c>
      <c r="AH55" s="4" t="s">
        <v>115</v>
      </c>
      <c r="AI55" s="4">
        <f ca="1">ROUND(T_Tiktok_ads[[#This Row],[impressions]]*RANDBETWEEN(8,12)/10,0)</f>
        <v>465802</v>
      </c>
      <c r="AJ55" s="4">
        <f ca="1">ROUND(T_Tiktok_ads[[#This Row],[clicks]]*RANDBETWEEN(8,12)/10,0)</f>
        <v>5512</v>
      </c>
      <c r="AK55" s="4">
        <v>1056.8</v>
      </c>
      <c r="AL55" s="4">
        <f ca="1">ROUND(T_Tiktok_ads[[#This Row],[conversions]]*RANDBETWEEN(8,12)/10,0)</f>
        <v>96</v>
      </c>
      <c r="AM55" s="4">
        <f ca="1">ROUND(T_Tiktok_ads[[#This Row],[video_views]]*RANDBETWEEN(8,12)/10,0)</f>
        <v>428147</v>
      </c>
      <c r="AN55" s="4">
        <f ca="1">ROUND(T_Tiktok_ads[[#This Row],[video_watch_25]]*RANDBETWEEN(8,12)/10,0)</f>
        <v>289234</v>
      </c>
      <c r="AO55" s="4">
        <f ca="1">ROUND(T_Tiktok_ads[[#This Row],[video_watch_50]]*RANDBETWEEN(8,12)/10,0)</f>
        <v>185165</v>
      </c>
      <c r="AP55" s="4">
        <f ca="1">ROUND(T_Tiktok_ads[[#This Row],[video_watch_75]]*RANDBETWEEN(8,12)/10,0)</f>
        <v>131654</v>
      </c>
      <c r="AQ55" s="4">
        <f ca="1">ROUND(T_Tiktok_ads[[#This Row],[video_watch_100]]*RANDBETWEEN(8,12)/10,0)</f>
        <v>87387</v>
      </c>
      <c r="AR55" s="4">
        <f ca="1">ROUND(T_Tiktok_ads[[#This Row],[likes]]*RANDBETWEEN(8,12)/10,0)</f>
        <v>15112</v>
      </c>
      <c r="AS55" s="4">
        <f ca="1">ROUND(T_Tiktok_ads[[#This Row],[shares]]*RANDBETWEEN(8,12)/10,0)</f>
        <v>6547</v>
      </c>
      <c r="AT55" s="4">
        <f ca="1">ROUND(T_Tiktok_ads[[#This Row],[comments]]*RANDBETWEEN(8,12)/10,0)</f>
        <v>1191</v>
      </c>
      <c r="AV55" s="5">
        <f t="shared" ca="1" si="8"/>
        <v>44959</v>
      </c>
      <c r="AW55">
        <f t="shared" ca="1" si="4"/>
        <v>8</v>
      </c>
      <c r="AX55">
        <f ca="1">ROUND(T_Facebook_Ads1159[[#This Row],[impressions]]*RANDBETWEEN(2,10)/10,0)</f>
        <v>17629</v>
      </c>
      <c r="AY55">
        <f ca="1">ROUND(T_Facebook_Ads1159[[#This Row],[clicks]]*RANDBETWEEN(8,12)/10,0)</f>
        <v>320</v>
      </c>
      <c r="AZ55">
        <f ca="1">T_Facebook_Ads1159[[#This Row],[spend]]*RANDBETWEEN(8,12)/10</f>
        <v>67.823999999999998</v>
      </c>
      <c r="BA55">
        <f ca="1">ROUND(T_Facebook_Ads1159[[#This Row],[conversions]]*RANDBETWEEN(8,12)/10,0)</f>
        <v>6</v>
      </c>
      <c r="BB55">
        <f ca="1">ROUND(T_Facebook_Ads1159[[#This Row],[video_views]]*RANDBETWEEN(8,12)/10,0)</f>
        <v>53881</v>
      </c>
    </row>
    <row r="56" spans="1:54" ht="15.75" thickBot="1" x14ac:dyDescent="0.3">
      <c r="A56" s="3">
        <f t="shared" ca="1" si="5"/>
        <v>44984</v>
      </c>
      <c r="B56" s="4" t="s">
        <v>52</v>
      </c>
      <c r="C56" s="4" t="s">
        <v>53</v>
      </c>
      <c r="D56" s="4" t="s">
        <v>54</v>
      </c>
      <c r="E56" s="4" t="s">
        <v>55</v>
      </c>
      <c r="F56" s="4">
        <f ca="1">ROUND(T_Facebook_Ads[[#This Row],[impressions]]*RANDBETWEEN(8,12)/10,0)</f>
        <v>51789</v>
      </c>
      <c r="G56" s="4">
        <v>1089</v>
      </c>
      <c r="H56" s="4">
        <f ca="1">T_Facebook_Ads[[#This Row],[spend]]*RANDBETWEEN(8,12)/10</f>
        <v>182.76000000000002</v>
      </c>
      <c r="I56" s="4">
        <f ca="1">ROUND(T_Facebook_Ads[[#This Row],[conversions]]*RANDBETWEEN(8,12)/10,0)</f>
        <v>14</v>
      </c>
      <c r="J56" s="4">
        <f ca="1">ROUND(T_Facebook_Ads[[#This Row],[video_views]]*RANDBETWEEN(8,12)/10,0)</f>
        <v>10524</v>
      </c>
      <c r="K56" s="4">
        <f ca="1">T_Facebook_Ads[[#This Row],[engagement_rate]]*RANDBETWEEN(8,12)/10</f>
        <v>2.52E-2</v>
      </c>
      <c r="L56" s="4">
        <f ca="1">ROUND(T_Facebook_Ads[[#This Row],[reach]]*RANDBETWEEN(8,12)/10,0)</f>
        <v>39210</v>
      </c>
      <c r="M56" s="4">
        <f ca="1">T_Facebook_Ads[[#This Row],[frequency]]*RANDBETWEEN(8,12)/10</f>
        <v>0.95199999999999996</v>
      </c>
      <c r="O56" s="3">
        <f t="shared" ca="1" si="6"/>
        <v>44969</v>
      </c>
      <c r="P56" s="4" t="s">
        <v>76</v>
      </c>
      <c r="Q56" s="4" t="s">
        <v>77</v>
      </c>
      <c r="R56" s="4" t="s">
        <v>78</v>
      </c>
      <c r="S56" s="4" t="s">
        <v>79</v>
      </c>
      <c r="T56" s="4">
        <f ca="1">ROUND(_Google_ads[[#This Row],[impressions]]*RANDBETWEEN(8,12)/10,0)</f>
        <v>26789</v>
      </c>
      <c r="U56" s="4">
        <f ca="1">ROUND(_Google_ads[[#This Row],[clicks]]*RANDBETWEEN(8,12)/10,0)</f>
        <v>1165</v>
      </c>
      <c r="V56" s="4">
        <f ca="1">_Google_ads[[#This Row],[cost]]*RANDBETWEEN(8,12)/10</f>
        <v>251.01</v>
      </c>
      <c r="W56" s="4">
        <f ca="1">ROUND(_Google_ads[[#This Row],[conversions]]*RANDBETWEEN(8,12)/10,0)</f>
        <v>59</v>
      </c>
      <c r="X56" s="4">
        <f ca="1">ROUND(_Google_ads[[#This Row],[conversion_value]]*RANDBETWEEN(8,12)/10,0)</f>
        <v>2970</v>
      </c>
      <c r="Y56" s="4">
        <f ca="1">_Google_ads[[#This Row],[ctr]]*RANDBETWEEN(8,12)/10</f>
        <v>4.3519999999999996E-2</v>
      </c>
      <c r="Z56" s="4">
        <f ca="1">_Google_ads[[#This Row],[avg_cpc]]*RANDBETWEEN(8,12)/10</f>
        <v>0.17099999999999999</v>
      </c>
      <c r="AA56" s="4">
        <f ca="1">ROUND(_Google_ads[[#This Row],[quality_score]]*RANDBETWEEN(8,12)/10,0)</f>
        <v>7</v>
      </c>
      <c r="AB56" s="4">
        <f ca="1">_Google_ads[[#This Row],[search_impression_share]]*RANDBETWEEN(8,12)/10</f>
        <v>0.83700000000000008</v>
      </c>
      <c r="AD56" s="3">
        <f t="shared" ca="1" si="7"/>
        <v>44969</v>
      </c>
      <c r="AE56" s="4" t="s">
        <v>100</v>
      </c>
      <c r="AF56" s="4" t="s">
        <v>101</v>
      </c>
      <c r="AG56" s="4" t="s">
        <v>102</v>
      </c>
      <c r="AH56" s="4" t="s">
        <v>103</v>
      </c>
      <c r="AI56" s="4">
        <f ca="1">ROUND(T_Tiktok_ads[[#This Row],[impressions]]*RANDBETWEEN(8,12)/10,0)</f>
        <v>331357</v>
      </c>
      <c r="AJ56" s="4">
        <f ca="1">ROUND(T_Tiktok_ads[[#This Row],[clicks]]*RANDBETWEEN(8,12)/10,0)</f>
        <v>5347</v>
      </c>
      <c r="AK56" s="4">
        <v>589.9</v>
      </c>
      <c r="AL56" s="4">
        <f ca="1">ROUND(T_Tiktok_ads[[#This Row],[conversions]]*RANDBETWEEN(8,12)/10,0)</f>
        <v>55</v>
      </c>
      <c r="AM56" s="4">
        <f ca="1">ROUND(T_Tiktok_ads[[#This Row],[video_views]]*RANDBETWEEN(8,12)/10,0)</f>
        <v>270246</v>
      </c>
      <c r="AN56" s="4">
        <f ca="1">ROUND(T_Tiktok_ads[[#This Row],[video_watch_25]]*RANDBETWEEN(8,12)/10,0)</f>
        <v>229481</v>
      </c>
      <c r="AO56" s="4">
        <f ca="1">ROUND(T_Tiktok_ads[[#This Row],[video_watch_50]]*RANDBETWEEN(8,12)/10,0)</f>
        <v>107311</v>
      </c>
      <c r="AP56" s="4">
        <f ca="1">ROUND(T_Tiktok_ads[[#This Row],[video_watch_75]]*RANDBETWEEN(8,12)/10,0)</f>
        <v>72211</v>
      </c>
      <c r="AQ56" s="4">
        <f ca="1">ROUND(T_Tiktok_ads[[#This Row],[video_watch_100]]*RANDBETWEEN(8,12)/10,0)</f>
        <v>58802</v>
      </c>
      <c r="AR56" s="4">
        <f ca="1">ROUND(T_Tiktok_ads[[#This Row],[likes]]*RANDBETWEEN(8,12)/10,0)</f>
        <v>9710</v>
      </c>
      <c r="AS56" s="4">
        <f ca="1">ROUND(T_Tiktok_ads[[#This Row],[shares]]*RANDBETWEEN(8,12)/10,0)</f>
        <v>3481</v>
      </c>
      <c r="AT56" s="4">
        <f ca="1">ROUND(T_Tiktok_ads[[#This Row],[comments]]*RANDBETWEEN(8,12)/10,0)</f>
        <v>551</v>
      </c>
      <c r="AV56" s="5">
        <f t="shared" ca="1" si="8"/>
        <v>44981</v>
      </c>
      <c r="AW56">
        <f t="shared" ca="1" si="4"/>
        <v>1</v>
      </c>
      <c r="AX56">
        <f ca="1">ROUND(T_Facebook_Ads1159[[#This Row],[impressions]]*RANDBETWEEN(2,10)/10,0)</f>
        <v>31073</v>
      </c>
      <c r="AY56">
        <f ca="1">ROUND(T_Facebook_Ads1159[[#This Row],[clicks]]*RANDBETWEEN(8,12)/10,0)</f>
        <v>980</v>
      </c>
      <c r="AZ56">
        <f ca="1">T_Facebook_Ads1159[[#This Row],[spend]]*RANDBETWEEN(8,12)/10</f>
        <v>201.036</v>
      </c>
      <c r="BA56">
        <f ca="1">ROUND(T_Facebook_Ads1159[[#This Row],[conversions]]*RANDBETWEEN(8,12)/10,0)</f>
        <v>17</v>
      </c>
      <c r="BB56">
        <f ca="1">ROUND(T_Facebook_Ads1159[[#This Row],[video_views]]*RANDBETWEEN(8,12)/10,0)</f>
        <v>8419</v>
      </c>
    </row>
    <row r="57" spans="1:54" ht="15.75" thickBot="1" x14ac:dyDescent="0.3">
      <c r="A57" s="3">
        <f t="shared" ca="1" si="5"/>
        <v>44958</v>
      </c>
      <c r="B57" s="4" t="s">
        <v>56</v>
      </c>
      <c r="C57" s="4" t="s">
        <v>57</v>
      </c>
      <c r="D57" s="4" t="s">
        <v>58</v>
      </c>
      <c r="E57" s="4" t="s">
        <v>59</v>
      </c>
      <c r="F57" s="4">
        <f ca="1">ROUND(T_Facebook_Ads[[#This Row],[impressions]]*RANDBETWEEN(8,12)/10,0)</f>
        <v>15234</v>
      </c>
      <c r="G57" s="4">
        <v>734</v>
      </c>
      <c r="H57" s="4">
        <f ca="1">T_Facebook_Ads[[#This Row],[spend]]*RANDBETWEEN(8,12)/10</f>
        <v>317.64</v>
      </c>
      <c r="I57" s="4">
        <f ca="1">ROUND(T_Facebook_Ads[[#This Row],[conversions]]*RANDBETWEEN(8,12)/10,0)</f>
        <v>51</v>
      </c>
      <c r="J57" s="4">
        <f ca="1">ROUND(T_Facebook_Ads[[#This Row],[video_views]]*RANDBETWEEN(8,12)/10,0)</f>
        <v>1510</v>
      </c>
      <c r="K57" s="4">
        <f ca="1">T_Facebook_Ads[[#This Row],[engagement_rate]]*RANDBETWEEN(8,12)/10</f>
        <v>4.82E-2</v>
      </c>
      <c r="L57" s="4">
        <f ca="1">ROUND(T_Facebook_Ads[[#This Row],[reach]]*RANDBETWEEN(8,12)/10,0)</f>
        <v>13335</v>
      </c>
      <c r="M57" s="4">
        <f ca="1">T_Facebook_Ads[[#This Row],[frequency]]*RANDBETWEEN(8,12)/10</f>
        <v>1.008</v>
      </c>
      <c r="O57" s="3">
        <f t="shared" ca="1" si="6"/>
        <v>44963</v>
      </c>
      <c r="P57" s="4" t="s">
        <v>80</v>
      </c>
      <c r="Q57" s="4" t="s">
        <v>81</v>
      </c>
      <c r="R57" s="4" t="s">
        <v>82</v>
      </c>
      <c r="S57" s="4" t="s">
        <v>83</v>
      </c>
      <c r="T57" s="4">
        <f ca="1">ROUND(_Google_ads[[#This Row],[impressions]]*RANDBETWEEN(8,12)/10,0)</f>
        <v>56681</v>
      </c>
      <c r="U57" s="4">
        <f ca="1">ROUND(_Google_ads[[#This Row],[clicks]]*RANDBETWEEN(8,12)/10,0)</f>
        <v>870</v>
      </c>
      <c r="V57" s="4">
        <f ca="1">_Google_ads[[#This Row],[cost]]*RANDBETWEEN(8,12)/10</f>
        <v>726.72</v>
      </c>
      <c r="W57" s="4">
        <f ca="1">ROUND(_Google_ads[[#This Row],[conversions]]*RANDBETWEEN(8,12)/10,0)</f>
        <v>30</v>
      </c>
      <c r="X57" s="4">
        <f ca="1">ROUND(_Google_ads[[#This Row],[conversion_value]]*RANDBETWEEN(8,12)/10,0)</f>
        <v>1250</v>
      </c>
      <c r="Y57" s="4">
        <f ca="1">_Google_ads[[#This Row],[ctr]]*RANDBETWEEN(8,12)/10</f>
        <v>2.46E-2</v>
      </c>
      <c r="Z57" s="4">
        <f ca="1">_Google_ads[[#This Row],[avg_cpc]]*RANDBETWEEN(8,12)/10</f>
        <v>0.56699999999999995</v>
      </c>
      <c r="AA57" s="4">
        <f ca="1">ROUND(_Google_ads[[#This Row],[quality_score]]*RANDBETWEEN(8,12)/10,0)</f>
        <v>8</v>
      </c>
      <c r="AB57" s="4">
        <f ca="1">_Google_ads[[#This Row],[search_impression_share]]*RANDBETWEEN(8,12)/10</f>
        <v>0.36799999999999999</v>
      </c>
      <c r="AD57" s="3">
        <f t="shared" ca="1" si="7"/>
        <v>44968</v>
      </c>
      <c r="AE57" s="4" t="s">
        <v>104</v>
      </c>
      <c r="AF57" s="4" t="s">
        <v>105</v>
      </c>
      <c r="AG57" s="4" t="s">
        <v>106</v>
      </c>
      <c r="AH57" s="4" t="s">
        <v>107</v>
      </c>
      <c r="AI57" s="4">
        <f ca="1">ROUND(T_Tiktok_ads[[#This Row],[impressions]]*RANDBETWEEN(8,12)/10,0)</f>
        <v>134312</v>
      </c>
      <c r="AJ57" s="4">
        <f ca="1">ROUND(T_Tiktok_ads[[#This Row],[clicks]]*RANDBETWEEN(8,12)/10,0)</f>
        <v>3234</v>
      </c>
      <c r="AK57" s="4">
        <v>845.6</v>
      </c>
      <c r="AL57" s="4">
        <f ca="1">ROUND(T_Tiktok_ads[[#This Row],[conversions]]*RANDBETWEEN(8,12)/10,0)</f>
        <v>68</v>
      </c>
      <c r="AM57" s="4">
        <f ca="1">ROUND(T_Tiktok_ads[[#This Row],[video_views]]*RANDBETWEEN(8,12)/10,0)</f>
        <v>129679</v>
      </c>
      <c r="AN57" s="4">
        <f ca="1">ROUND(T_Tiktok_ads[[#This Row],[video_watch_25]]*RANDBETWEEN(8,12)/10,0)</f>
        <v>69787</v>
      </c>
      <c r="AO57" s="4">
        <f ca="1">ROUND(T_Tiktok_ads[[#This Row],[video_watch_50]]*RANDBETWEEN(8,12)/10,0)</f>
        <v>64791</v>
      </c>
      <c r="AP57" s="4">
        <f ca="1">ROUND(T_Tiktok_ads[[#This Row],[video_watch_75]]*RANDBETWEEN(8,12)/10,0)</f>
        <v>53081</v>
      </c>
      <c r="AQ57" s="4">
        <f ca="1">ROUND(T_Tiktok_ads[[#This Row],[video_watch_100]]*RANDBETWEEN(8,12)/10,0)</f>
        <v>23654</v>
      </c>
      <c r="AR57" s="4">
        <f ca="1">ROUND(T_Tiktok_ads[[#This Row],[likes]]*RANDBETWEEN(8,12)/10,0)</f>
        <v>5110</v>
      </c>
      <c r="AS57" s="4">
        <f ca="1">ROUND(T_Tiktok_ads[[#This Row],[shares]]*RANDBETWEEN(8,12)/10,0)</f>
        <v>1307</v>
      </c>
      <c r="AT57" s="4">
        <f ca="1">ROUND(T_Tiktok_ads[[#This Row],[comments]]*RANDBETWEEN(8,12)/10,0)</f>
        <v>281</v>
      </c>
      <c r="AV57" s="5">
        <f t="shared" ca="1" si="8"/>
        <v>44981</v>
      </c>
      <c r="AW57">
        <f t="shared" ca="1" si="4"/>
        <v>1</v>
      </c>
      <c r="AX57">
        <f ca="1">ROUND(T_Facebook_Ads1159[[#This Row],[impressions]]*RANDBETWEEN(2,10)/10,0)</f>
        <v>9140</v>
      </c>
      <c r="AY57">
        <f ca="1">ROUND(T_Facebook_Ads1159[[#This Row],[clicks]]*RANDBETWEEN(8,12)/10,0)</f>
        <v>807</v>
      </c>
      <c r="AZ57">
        <f ca="1">T_Facebook_Ads1159[[#This Row],[spend]]*RANDBETWEEN(8,12)/10</f>
        <v>381.16800000000001</v>
      </c>
      <c r="BA57">
        <f ca="1">ROUND(T_Facebook_Ads1159[[#This Row],[conversions]]*RANDBETWEEN(8,12)/10,0)</f>
        <v>56</v>
      </c>
      <c r="BB57">
        <f ca="1">ROUND(T_Facebook_Ads1159[[#This Row],[video_views]]*RANDBETWEEN(8,12)/10,0)</f>
        <v>1510</v>
      </c>
    </row>
    <row r="58" spans="1:54" ht="15.75" thickBot="1" x14ac:dyDescent="0.3">
      <c r="A58" s="3">
        <f t="shared" ca="1" si="5"/>
        <v>44979</v>
      </c>
      <c r="B58" s="4" t="s">
        <v>60</v>
      </c>
      <c r="C58" s="4" t="s">
        <v>61</v>
      </c>
      <c r="D58" s="4" t="s">
        <v>62</v>
      </c>
      <c r="E58" s="4" t="s">
        <v>63</v>
      </c>
      <c r="F58" s="4">
        <f ca="1">ROUND(T_Facebook_Ads[[#This Row],[impressions]]*RANDBETWEEN(8,12)/10,0)</f>
        <v>36111</v>
      </c>
      <c r="G58" s="4">
        <v>1534</v>
      </c>
      <c r="H58" s="4">
        <f ca="1">T_Facebook_Ads[[#This Row],[spend]]*RANDBETWEEN(8,12)/10</f>
        <v>256.08000000000004</v>
      </c>
      <c r="I58" s="4">
        <f ca="1">ROUND(T_Facebook_Ads[[#This Row],[conversions]]*RANDBETWEEN(8,12)/10,0)</f>
        <v>36</v>
      </c>
      <c r="J58" s="4">
        <f ca="1">ROUND(T_Facebook_Ads[[#This Row],[video_views]]*RANDBETWEEN(8,12)/10,0)</f>
        <v>6547</v>
      </c>
      <c r="K58" s="4">
        <f ca="1">T_Facebook_Ads[[#This Row],[engagement_rate]]*RANDBETWEEN(8,12)/10</f>
        <v>4.5839999999999999E-2</v>
      </c>
      <c r="L58" s="4">
        <f ca="1">ROUND(T_Facebook_Ads[[#This Row],[reach]]*RANDBETWEEN(8,12)/10,0)</f>
        <v>39468</v>
      </c>
      <c r="M58" s="4">
        <f ca="1">T_Facebook_Ads[[#This Row],[frequency]]*RANDBETWEEN(8,12)/10</f>
        <v>1.22</v>
      </c>
      <c r="O58" s="3">
        <f t="shared" ca="1" si="6"/>
        <v>44972</v>
      </c>
      <c r="P58" s="4" t="s">
        <v>84</v>
      </c>
      <c r="Q58" s="4" t="s">
        <v>85</v>
      </c>
      <c r="R58" s="4" t="s">
        <v>86</v>
      </c>
      <c r="S58" s="4" t="s">
        <v>87</v>
      </c>
      <c r="T58" s="4">
        <f ca="1">ROUND(_Google_ads[[#This Row],[impressions]]*RANDBETWEEN(8,12)/10,0)</f>
        <v>57965</v>
      </c>
      <c r="U58" s="4">
        <f ca="1">ROUND(_Google_ads[[#This Row],[clicks]]*RANDBETWEEN(8,12)/10,0)</f>
        <v>2987</v>
      </c>
      <c r="V58" s="4">
        <f ca="1">_Google_ads[[#This Row],[cost]]*RANDBETWEEN(8,12)/10</f>
        <v>405.63</v>
      </c>
      <c r="W58" s="4">
        <f ca="1">ROUND(_Google_ads[[#This Row],[conversions]]*RANDBETWEEN(8,12)/10,0)</f>
        <v>86</v>
      </c>
      <c r="X58" s="4">
        <f ca="1">ROUND(_Google_ads[[#This Row],[conversion_value]]*RANDBETWEEN(8,12)/10,0)</f>
        <v>4320</v>
      </c>
      <c r="Y58" s="4">
        <f ca="1">_Google_ads[[#This Row],[ctr]]*RANDBETWEEN(8,12)/10</f>
        <v>3.7839999999999999E-2</v>
      </c>
      <c r="Z58" s="4">
        <f ca="1">_Google_ads[[#This Row],[avg_cpc]]*RANDBETWEEN(8,12)/10</f>
        <v>0.18</v>
      </c>
      <c r="AA58" s="4">
        <f ca="1">ROUND(_Google_ads[[#This Row],[quality_score]]*RANDBETWEEN(8,12)/10,0)</f>
        <v>6</v>
      </c>
      <c r="AB58" s="4">
        <f ca="1">_Google_ads[[#This Row],[search_impression_share]]*RANDBETWEEN(8,12)/10</f>
        <v>0.81600000000000006</v>
      </c>
      <c r="AD58" s="3">
        <f t="shared" ca="1" si="7"/>
        <v>44969</v>
      </c>
      <c r="AE58" s="4" t="s">
        <v>108</v>
      </c>
      <c r="AF58" s="4" t="s">
        <v>109</v>
      </c>
      <c r="AG58" s="4" t="s">
        <v>110</v>
      </c>
      <c r="AH58" s="4" t="s">
        <v>111</v>
      </c>
      <c r="AI58" s="4">
        <f ca="1">ROUND(T_Tiktok_ads[[#This Row],[impressions]]*RANDBETWEEN(8,12)/10,0)</f>
        <v>282468</v>
      </c>
      <c r="AJ58" s="4">
        <f ca="1">ROUND(T_Tiktok_ads[[#This Row],[clicks]]*RANDBETWEEN(8,12)/10,0)</f>
        <v>3210</v>
      </c>
      <c r="AK58" s="4">
        <v>489.2</v>
      </c>
      <c r="AL58" s="4">
        <f ca="1">ROUND(T_Tiktok_ads[[#This Row],[conversions]]*RANDBETWEEN(8,12)/10,0)</f>
        <v>36</v>
      </c>
      <c r="AM58" s="4">
        <f ca="1">ROUND(T_Tiktok_ads[[#This Row],[video_views]]*RANDBETWEEN(8,12)/10,0)</f>
        <v>241481</v>
      </c>
      <c r="AN58" s="4">
        <f ca="1">ROUND(T_Tiktok_ads[[#This Row],[video_watch_25]]*RANDBETWEEN(8,12)/10,0)</f>
        <v>137111</v>
      </c>
      <c r="AO58" s="4">
        <f ca="1">ROUND(T_Tiktok_ads[[#This Row],[video_watch_50]]*RANDBETWEEN(8,12)/10,0)</f>
        <v>120456</v>
      </c>
      <c r="AP58" s="4">
        <f ca="1">ROUND(T_Tiktok_ads[[#This Row],[video_watch_75]]*RANDBETWEEN(8,12)/10,0)</f>
        <v>93468</v>
      </c>
      <c r="AQ58" s="4">
        <f ca="1">ROUND(T_Tiktok_ads[[#This Row],[video_watch_100]]*RANDBETWEEN(8,12)/10,0)</f>
        <v>42511</v>
      </c>
      <c r="AR58" s="4">
        <f ca="1">ROUND(T_Tiktok_ads[[#This Row],[likes]]*RANDBETWEEN(8,12)/10,0)</f>
        <v>7121</v>
      </c>
      <c r="AS58" s="4">
        <f ca="1">ROUND(T_Tiktok_ads[[#This Row],[shares]]*RANDBETWEEN(8,12)/10,0)</f>
        <v>2702</v>
      </c>
      <c r="AT58" s="4">
        <f ca="1">ROUND(T_Tiktok_ads[[#This Row],[comments]]*RANDBETWEEN(8,12)/10,0)</f>
        <v>707</v>
      </c>
      <c r="AV58" s="5">
        <f t="shared" ca="1" si="8"/>
        <v>44970</v>
      </c>
      <c r="AW58">
        <f t="shared" ca="1" si="4"/>
        <v>7</v>
      </c>
      <c r="AX58">
        <f ca="1">ROUND(T_Facebook_Ads1159[[#This Row],[impressions]]*RANDBETWEEN(2,10)/10,0)</f>
        <v>21667</v>
      </c>
      <c r="AY58">
        <f ca="1">ROUND(T_Facebook_Ads1159[[#This Row],[clicks]]*RANDBETWEEN(8,12)/10,0)</f>
        <v>1841</v>
      </c>
      <c r="AZ58">
        <f ca="1">T_Facebook_Ads1159[[#This Row],[spend]]*RANDBETWEEN(8,12)/10</f>
        <v>230.47200000000004</v>
      </c>
      <c r="BA58">
        <f ca="1">ROUND(T_Facebook_Ads1159[[#This Row],[conversions]]*RANDBETWEEN(8,12)/10,0)</f>
        <v>32</v>
      </c>
      <c r="BB58">
        <f ca="1">ROUND(T_Facebook_Ads1159[[#This Row],[video_views]]*RANDBETWEEN(8,12)/10,0)</f>
        <v>6547</v>
      </c>
    </row>
    <row r="59" spans="1:54" ht="15.75" thickBot="1" x14ac:dyDescent="0.3">
      <c r="A59" s="3">
        <f t="shared" ca="1" si="5"/>
        <v>44971</v>
      </c>
      <c r="B59" s="4" t="s">
        <v>64</v>
      </c>
      <c r="C59" s="4" t="s">
        <v>65</v>
      </c>
      <c r="D59" s="4" t="s">
        <v>66</v>
      </c>
      <c r="E59" s="4" t="s">
        <v>67</v>
      </c>
      <c r="F59" s="4">
        <f ca="1">ROUND(T_Facebook_Ads[[#This Row],[impressions]]*RANDBETWEEN(8,12)/10,0)</f>
        <v>83479</v>
      </c>
      <c r="G59" s="4">
        <v>278</v>
      </c>
      <c r="H59" s="4">
        <f ca="1">T_Facebook_Ads[[#This Row],[spend]]*RANDBETWEEN(8,12)/10</f>
        <v>98.5</v>
      </c>
      <c r="I59" s="4">
        <f ca="1">ROUND(T_Facebook_Ads[[#This Row],[conversions]]*RANDBETWEEN(8,12)/10,0)</f>
        <v>10</v>
      </c>
      <c r="J59" s="4">
        <f ca="1">ROUND(T_Facebook_Ads[[#This Row],[video_views]]*RANDBETWEEN(8,12)/10,0)</f>
        <v>56357</v>
      </c>
      <c r="K59" s="4">
        <f ca="1">T_Facebook_Ads[[#This Row],[engagement_rate]]*RANDBETWEEN(8,12)/10</f>
        <v>3.7000000000000006E-3</v>
      </c>
      <c r="L59" s="4">
        <f ca="1">ROUND(T_Facebook_Ads[[#This Row],[reach]]*RANDBETWEEN(8,12)/10,0)</f>
        <v>55410</v>
      </c>
      <c r="M59" s="4">
        <f ca="1">T_Facebook_Ads[[#This Row],[frequency]]*RANDBETWEEN(8,12)/10</f>
        <v>0.98399999999999999</v>
      </c>
      <c r="O59" s="3">
        <f t="shared" ca="1" si="6"/>
        <v>44968</v>
      </c>
      <c r="P59" s="4" t="s">
        <v>88</v>
      </c>
      <c r="Q59" s="4" t="s">
        <v>89</v>
      </c>
      <c r="R59" s="4" t="s">
        <v>90</v>
      </c>
      <c r="S59" s="4" t="s">
        <v>59</v>
      </c>
      <c r="T59" s="4">
        <f ca="1">ROUND(_Google_ads[[#This Row],[impressions]]*RANDBETWEEN(8,12)/10,0)</f>
        <v>152791</v>
      </c>
      <c r="U59" s="4">
        <f ca="1">ROUND(_Google_ads[[#This Row],[clicks]]*RANDBETWEEN(8,12)/10,0)</f>
        <v>587</v>
      </c>
      <c r="V59" s="4">
        <f ca="1">_Google_ads[[#This Row],[cost]]*RANDBETWEEN(8,12)/10</f>
        <v>122.76000000000002</v>
      </c>
      <c r="W59" s="4">
        <f ca="1">ROUND(_Google_ads[[#This Row],[conversions]]*RANDBETWEEN(8,12)/10,0)</f>
        <v>12</v>
      </c>
      <c r="X59" s="4">
        <f ca="1">ROUND(_Google_ads[[#This Row],[conversion_value]]*RANDBETWEEN(8,12)/10,0)</f>
        <v>750</v>
      </c>
      <c r="Y59" s="4">
        <f ca="1">_Google_ads[[#This Row],[ctr]]*RANDBETWEEN(8,12)/10</f>
        <v>4.5599999999999998E-3</v>
      </c>
      <c r="Z59" s="4">
        <f ca="1">_Google_ads[[#This Row],[avg_cpc]]*RANDBETWEEN(8,12)/10</f>
        <v>0.26</v>
      </c>
      <c r="AA59" s="4">
        <f ca="1">ROUND(_Google_ads[[#This Row],[quality_score]]*RANDBETWEEN(8,12)/10,0)</f>
        <v>6</v>
      </c>
      <c r="AB59" s="4">
        <f ca="1">_Google_ads[[#This Row],[search_impression_share]]*RANDBETWEEN(8,12)/10</f>
        <v>0.28799999999999998</v>
      </c>
      <c r="AD59" s="3">
        <f t="shared" ca="1" si="7"/>
        <v>44964</v>
      </c>
      <c r="AE59" s="4" t="s">
        <v>112</v>
      </c>
      <c r="AF59" s="4" t="s">
        <v>113</v>
      </c>
      <c r="AG59" s="4" t="s">
        <v>114</v>
      </c>
      <c r="AH59" s="4" t="s">
        <v>115</v>
      </c>
      <c r="AI59" s="4">
        <f ca="1">ROUND(T_Tiktok_ads[[#This Row],[impressions]]*RANDBETWEEN(8,12)/10,0)</f>
        <v>490246</v>
      </c>
      <c r="AJ59" s="4">
        <f ca="1">ROUND(T_Tiktok_ads[[#This Row],[clicks]]*RANDBETWEEN(8,12)/10,0)</f>
        <v>8681</v>
      </c>
      <c r="AK59" s="4">
        <v>1123.5</v>
      </c>
      <c r="AL59" s="4">
        <f ca="1">ROUND(T_Tiktok_ads[[#This Row],[conversions]]*RANDBETWEEN(8,12)/10,0)</f>
        <v>90</v>
      </c>
      <c r="AM59" s="4">
        <f ca="1">ROUND(T_Tiktok_ads[[#This Row],[video_views]]*RANDBETWEEN(8,12)/10,0)</f>
        <v>378901</v>
      </c>
      <c r="AN59" s="4">
        <f ca="1">ROUND(T_Tiktok_ads[[#This Row],[video_watch_25]]*RANDBETWEEN(8,12)/10,0)</f>
        <v>243654</v>
      </c>
      <c r="AO59" s="4">
        <f ca="1">ROUND(T_Tiktok_ads[[#This Row],[video_watch_50]]*RANDBETWEEN(8,12)/10,0)</f>
        <v>292147</v>
      </c>
      <c r="AP59" s="4">
        <f ca="1">ROUND(T_Tiktok_ads[[#This Row],[video_watch_75]]*RANDBETWEEN(8,12)/10,0)</f>
        <v>155111</v>
      </c>
      <c r="AQ59" s="4">
        <f ca="1">ROUND(T_Tiktok_ads[[#This Row],[video_watch_100]]*RANDBETWEEN(8,12)/10,0)</f>
        <v>103110</v>
      </c>
      <c r="AR59" s="4">
        <f ca="1">ROUND(T_Tiktok_ads[[#This Row],[likes]]*RANDBETWEEN(8,12)/10,0)</f>
        <v>23480</v>
      </c>
      <c r="AS59" s="4">
        <f ca="1">ROUND(T_Tiktok_ads[[#This Row],[shares]]*RANDBETWEEN(8,12)/10,0)</f>
        <v>4542</v>
      </c>
      <c r="AT59" s="4">
        <f ca="1">ROUND(T_Tiktok_ads[[#This Row],[comments]]*RANDBETWEEN(8,12)/10,0)</f>
        <v>1724</v>
      </c>
      <c r="AV59" s="5">
        <f t="shared" ca="1" si="8"/>
        <v>44982</v>
      </c>
      <c r="AW59">
        <f t="shared" ca="1" si="4"/>
        <v>2</v>
      </c>
      <c r="AX59">
        <f ca="1">ROUND(T_Facebook_Ads1159[[#This Row],[impressions]]*RANDBETWEEN(2,10)/10,0)</f>
        <v>33392</v>
      </c>
      <c r="AY59">
        <f ca="1">ROUND(T_Facebook_Ads1159[[#This Row],[clicks]]*RANDBETWEEN(8,12)/10,0)</f>
        <v>222</v>
      </c>
      <c r="AZ59">
        <f ca="1">T_Facebook_Ads1159[[#This Row],[spend]]*RANDBETWEEN(8,12)/10</f>
        <v>78.8</v>
      </c>
      <c r="BA59">
        <f ca="1">ROUND(T_Facebook_Ads1159[[#This Row],[conversions]]*RANDBETWEEN(8,12)/10,0)</f>
        <v>11</v>
      </c>
      <c r="BB59">
        <f ca="1">ROUND(T_Facebook_Ads1159[[#This Row],[video_views]]*RANDBETWEEN(8,12)/10,0)</f>
        <v>56357</v>
      </c>
    </row>
    <row r="60" spans="1:54" ht="15.75" thickBot="1" x14ac:dyDescent="0.3">
      <c r="A60" s="3">
        <f t="shared" ca="1" si="5"/>
        <v>44968</v>
      </c>
      <c r="B60" s="4" t="s">
        <v>52</v>
      </c>
      <c r="C60" s="4" t="s">
        <v>53</v>
      </c>
      <c r="D60" s="4" t="s">
        <v>54</v>
      </c>
      <c r="E60" s="4" t="s">
        <v>55</v>
      </c>
      <c r="F60" s="4">
        <f ca="1">ROUND(T_Facebook_Ads[[#This Row],[impressions]]*RANDBETWEEN(8,12)/10,0)</f>
        <v>59480</v>
      </c>
      <c r="G60" s="4">
        <v>1012</v>
      </c>
      <c r="H60" s="4">
        <f ca="1">T_Facebook_Ads[[#This Row],[spend]]*RANDBETWEEN(8,12)/10</f>
        <v>173.51999999999998</v>
      </c>
      <c r="I60" s="4">
        <f ca="1">ROUND(T_Facebook_Ads[[#This Row],[conversions]]*RANDBETWEEN(8,12)/10,0)</f>
        <v>16</v>
      </c>
      <c r="J60" s="4">
        <f ca="1">ROUND(T_Facebook_Ads[[#This Row],[video_views]]*RANDBETWEEN(8,12)/10,0)</f>
        <v>8211</v>
      </c>
      <c r="K60" s="4">
        <f ca="1">T_Facebook_Ads[[#This Row],[engagement_rate]]*RANDBETWEEN(8,12)/10</f>
        <v>2.2440000000000002E-2</v>
      </c>
      <c r="L60" s="4">
        <f ca="1">ROUND(T_Facebook_Ads[[#This Row],[reach]]*RANDBETWEEN(8,12)/10,0)</f>
        <v>33512</v>
      </c>
      <c r="M60" s="4">
        <f ca="1">T_Facebook_Ads[[#This Row],[frequency]]*RANDBETWEEN(8,12)/10</f>
        <v>1.4159999999999999</v>
      </c>
      <c r="O60" s="3">
        <f t="shared" ca="1" si="6"/>
        <v>44977</v>
      </c>
      <c r="P60" s="4" t="s">
        <v>76</v>
      </c>
      <c r="Q60" s="4" t="s">
        <v>77</v>
      </c>
      <c r="R60" s="4" t="s">
        <v>78</v>
      </c>
      <c r="S60" s="4" t="s">
        <v>79</v>
      </c>
      <c r="T60" s="4">
        <f ca="1">ROUND(_Google_ads[[#This Row],[impressions]]*RANDBETWEEN(8,12)/10,0)</f>
        <v>25789</v>
      </c>
      <c r="U60" s="4">
        <f ca="1">ROUND(_Google_ads[[#This Row],[clicks]]*RANDBETWEEN(8,12)/10,0)</f>
        <v>1111</v>
      </c>
      <c r="V60" s="4">
        <f ca="1">_Google_ads[[#This Row],[cost]]*RANDBETWEEN(8,12)/10</f>
        <v>318.23999999999995</v>
      </c>
      <c r="W60" s="4">
        <f ca="1">ROUND(_Google_ads[[#This Row],[conversions]]*RANDBETWEEN(8,12)/10,0)</f>
        <v>47</v>
      </c>
      <c r="X60" s="4">
        <f ca="1">ROUND(_Google_ads[[#This Row],[conversion_value]]*RANDBETWEEN(8,12)/10,0)</f>
        <v>2860</v>
      </c>
      <c r="Y60" s="4">
        <f ca="1">_Google_ads[[#This Row],[ctr]]*RANDBETWEEN(8,12)/10</f>
        <v>4.3040000000000002E-2</v>
      </c>
      <c r="Z60" s="4">
        <f ca="1">_Google_ads[[#This Row],[avg_cpc]]*RANDBETWEEN(8,12)/10</f>
        <v>0.17099999999999999</v>
      </c>
      <c r="AA60" s="4">
        <f ca="1">ROUND(_Google_ads[[#This Row],[quality_score]]*RANDBETWEEN(8,12)/10,0)</f>
        <v>11</v>
      </c>
      <c r="AB60" s="4">
        <f ca="1">_Google_ads[[#This Row],[search_impression_share]]*RANDBETWEEN(8,12)/10</f>
        <v>0.92000000000000015</v>
      </c>
      <c r="AD60" s="3">
        <f t="shared" ca="1" si="7"/>
        <v>44962</v>
      </c>
      <c r="AE60" s="4" t="s">
        <v>100</v>
      </c>
      <c r="AF60" s="4" t="s">
        <v>101</v>
      </c>
      <c r="AG60" s="4" t="s">
        <v>102</v>
      </c>
      <c r="AH60" s="4" t="s">
        <v>103</v>
      </c>
      <c r="AI60" s="4">
        <f ca="1">ROUND(T_Tiktok_ads[[#This Row],[impressions]]*RANDBETWEEN(8,12)/10,0)</f>
        <v>232098</v>
      </c>
      <c r="AJ60" s="4">
        <f ca="1">ROUND(T_Tiktok_ads[[#This Row],[clicks]]*RANDBETWEEN(8,12)/10,0)</f>
        <v>3351</v>
      </c>
      <c r="AK60" s="4">
        <v>567.79999999999995</v>
      </c>
      <c r="AL60" s="4">
        <f ca="1">ROUND(T_Tiktok_ads[[#This Row],[conversions]]*RANDBETWEEN(8,12)/10,0)</f>
        <v>35</v>
      </c>
      <c r="AM60" s="4">
        <f ca="1">ROUND(T_Tiktok_ads[[#This Row],[video_views]]*RANDBETWEEN(8,12)/10,0)</f>
        <v>213110</v>
      </c>
      <c r="AN60" s="4">
        <f ca="1">ROUND(T_Tiktok_ads[[#This Row],[video_watch_25]]*RANDBETWEEN(8,12)/10,0)</f>
        <v>147654</v>
      </c>
      <c r="AO60" s="4">
        <f ca="1">ROUND(T_Tiktok_ads[[#This Row],[video_watch_50]]*RANDBETWEEN(8,12)/10,0)</f>
        <v>115678</v>
      </c>
      <c r="AP60" s="4">
        <f ca="1">ROUND(T_Tiktok_ads[[#This Row],[video_watch_75]]*RANDBETWEEN(8,12)/10,0)</f>
        <v>70411</v>
      </c>
      <c r="AQ60" s="4">
        <f ca="1">ROUND(T_Tiktok_ads[[#This Row],[video_watch_100]]*RANDBETWEEN(8,12)/10,0)</f>
        <v>57580</v>
      </c>
      <c r="AR60" s="4">
        <f ca="1">ROUND(T_Tiktok_ads[[#This Row],[likes]]*RANDBETWEEN(8,12)/10,0)</f>
        <v>12547</v>
      </c>
      <c r="AS60" s="4">
        <f ca="1">ROUND(T_Tiktok_ads[[#This Row],[shares]]*RANDBETWEEN(8,12)/10,0)</f>
        <v>2531</v>
      </c>
      <c r="AT60" s="4">
        <f ca="1">ROUND(T_Tiktok_ads[[#This Row],[comments]]*RANDBETWEEN(8,12)/10,0)</f>
        <v>542</v>
      </c>
      <c r="AV60" s="5">
        <f t="shared" ca="1" si="8"/>
        <v>44983</v>
      </c>
      <c r="AW60">
        <f t="shared" ca="1" si="4"/>
        <v>1</v>
      </c>
      <c r="AX60">
        <f ca="1">ROUND(T_Facebook_Ads1159[[#This Row],[impressions]]*RANDBETWEEN(2,10)/10,0)</f>
        <v>23792</v>
      </c>
      <c r="AY60">
        <f ca="1">ROUND(T_Facebook_Ads1159[[#This Row],[clicks]]*RANDBETWEEN(8,12)/10,0)</f>
        <v>1113</v>
      </c>
      <c r="AZ60">
        <f ca="1">T_Facebook_Ads1159[[#This Row],[spend]]*RANDBETWEEN(8,12)/10</f>
        <v>208.22399999999999</v>
      </c>
      <c r="BA60">
        <f ca="1">ROUND(T_Facebook_Ads1159[[#This Row],[conversions]]*RANDBETWEEN(8,12)/10,0)</f>
        <v>16</v>
      </c>
      <c r="BB60">
        <f ca="1">ROUND(T_Facebook_Ads1159[[#This Row],[video_views]]*RANDBETWEEN(8,12)/10,0)</f>
        <v>9032</v>
      </c>
    </row>
    <row r="61" spans="1:54" ht="15.75" thickBot="1" x14ac:dyDescent="0.3">
      <c r="A61" s="3">
        <f t="shared" ca="1" si="5"/>
        <v>44974</v>
      </c>
      <c r="B61" s="4" t="s">
        <v>56</v>
      </c>
      <c r="C61" s="4" t="s">
        <v>57</v>
      </c>
      <c r="D61" s="4" t="s">
        <v>58</v>
      </c>
      <c r="E61" s="4" t="s">
        <v>59</v>
      </c>
      <c r="F61" s="4">
        <f ca="1">ROUND(T_Facebook_Ads[[#This Row],[impressions]]*RANDBETWEEN(8,12)/10,0)</f>
        <v>11654</v>
      </c>
      <c r="G61" s="4">
        <v>689</v>
      </c>
      <c r="H61" s="4">
        <f ca="1">T_Facebook_Ads[[#This Row],[spend]]*RANDBETWEEN(8,12)/10</f>
        <v>202.72</v>
      </c>
      <c r="I61" s="4">
        <f ca="1">ROUND(T_Facebook_Ads[[#This Row],[conversions]]*RANDBETWEEN(8,12)/10,0)</f>
        <v>34</v>
      </c>
      <c r="J61" s="4">
        <f ca="1">ROUND(T_Facebook_Ads[[#This Row],[video_views]]*RANDBETWEEN(8,12)/10,0)</f>
        <v>1638</v>
      </c>
      <c r="K61" s="4">
        <f ca="1">T_Facebook_Ads[[#This Row],[engagement_rate]]*RANDBETWEEN(8,12)/10</f>
        <v>3.7839999999999999E-2</v>
      </c>
      <c r="L61" s="4">
        <f ca="1">ROUND(T_Facebook_Ads[[#This Row],[reach]]*RANDBETWEEN(8,12)/10,0)</f>
        <v>12724</v>
      </c>
      <c r="M61" s="4">
        <f ca="1">T_Facebook_Ads[[#This Row],[frequency]]*RANDBETWEEN(8,12)/10</f>
        <v>1.1339999999999999</v>
      </c>
      <c r="O61" s="3">
        <f t="shared" ca="1" si="6"/>
        <v>44964</v>
      </c>
      <c r="P61" s="4" t="s">
        <v>80</v>
      </c>
      <c r="Q61" s="4" t="s">
        <v>81</v>
      </c>
      <c r="R61" s="4" t="s">
        <v>82</v>
      </c>
      <c r="S61" s="4" t="s">
        <v>83</v>
      </c>
      <c r="T61" s="4">
        <f ca="1">ROUND(_Google_ads[[#This Row],[impressions]]*RANDBETWEEN(8,12)/10,0)</f>
        <v>55348</v>
      </c>
      <c r="U61" s="4">
        <f ca="1">ROUND(_Google_ads[[#This Row],[clicks]]*RANDBETWEEN(8,12)/10,0)</f>
        <v>831</v>
      </c>
      <c r="V61" s="4">
        <f ca="1">_Google_ads[[#This Row],[cost]]*RANDBETWEEN(8,12)/10</f>
        <v>708.3599999999999</v>
      </c>
      <c r="W61" s="4">
        <f ca="1">ROUND(_Google_ads[[#This Row],[conversions]]*RANDBETWEEN(8,12)/10,0)</f>
        <v>22</v>
      </c>
      <c r="X61" s="4">
        <f ca="1">ROUND(_Google_ads[[#This Row],[conversion_value]]*RANDBETWEEN(8,12)/10,0)</f>
        <v>1440</v>
      </c>
      <c r="Y61" s="4">
        <f ca="1">_Google_ads[[#This Row],[ctr]]*RANDBETWEEN(8,12)/10</f>
        <v>1.6E-2</v>
      </c>
      <c r="Z61" s="4">
        <f ca="1">_Google_ads[[#This Row],[avg_cpc]]*RANDBETWEEN(8,12)/10</f>
        <v>0.64</v>
      </c>
      <c r="AA61" s="4">
        <f ca="1">ROUND(_Google_ads[[#This Row],[quality_score]]*RANDBETWEEN(8,12)/10,0)</f>
        <v>8</v>
      </c>
      <c r="AB61" s="4">
        <f ca="1">_Google_ads[[#This Row],[search_impression_share]]*RANDBETWEEN(8,12)/10</f>
        <v>0.36</v>
      </c>
      <c r="AD61" s="3">
        <f t="shared" ca="1" si="7"/>
        <v>44977</v>
      </c>
      <c r="AE61" s="4" t="s">
        <v>104</v>
      </c>
      <c r="AF61" s="4" t="s">
        <v>105</v>
      </c>
      <c r="AG61" s="4" t="s">
        <v>106</v>
      </c>
      <c r="AH61" s="4" t="s">
        <v>107</v>
      </c>
      <c r="AI61" s="4">
        <f ca="1">ROUND(T_Tiktok_ads[[#This Row],[impressions]]*RANDBETWEEN(8,12)/10,0)</f>
        <v>128987</v>
      </c>
      <c r="AJ61" s="4">
        <f ca="1">ROUND(T_Tiktok_ads[[#This Row],[clicks]]*RANDBETWEEN(8,12)/10,0)</f>
        <v>2471</v>
      </c>
      <c r="AK61" s="4">
        <v>823.7</v>
      </c>
      <c r="AL61" s="4">
        <f ca="1">ROUND(T_Tiktok_ads[[#This Row],[conversions]]*RANDBETWEEN(8,12)/10,0)</f>
        <v>66</v>
      </c>
      <c r="AM61" s="4">
        <f ca="1">ROUND(T_Tiktok_ads[[#This Row],[video_views]]*RANDBETWEEN(8,12)/10,0)</f>
        <v>136147</v>
      </c>
      <c r="AN61" s="4">
        <f ca="1">ROUND(T_Tiktok_ads[[#This Row],[video_watch_25]]*RANDBETWEEN(8,12)/10,0)</f>
        <v>66854</v>
      </c>
      <c r="AO61" s="4">
        <f ca="1">ROUND(T_Tiktok_ads[[#This Row],[video_watch_50]]*RANDBETWEEN(8,12)/10,0)</f>
        <v>67481</v>
      </c>
      <c r="AP61" s="4">
        <f ca="1">ROUND(T_Tiktok_ads[[#This Row],[video_watch_75]]*RANDBETWEEN(8,12)/10,0)</f>
        <v>33876</v>
      </c>
      <c r="AQ61" s="4">
        <f ca="1">ROUND(T_Tiktok_ads[[#This Row],[video_watch_100]]*RANDBETWEEN(8,12)/10,0)</f>
        <v>31057</v>
      </c>
      <c r="AR61" s="4">
        <f ca="1">ROUND(T_Tiktok_ads[[#This Row],[likes]]*RANDBETWEEN(8,12)/10,0)</f>
        <v>4971</v>
      </c>
      <c r="AS61" s="4">
        <f ca="1">ROUND(T_Tiktok_ads[[#This Row],[shares]]*RANDBETWEEN(8,12)/10,0)</f>
        <v>1748</v>
      </c>
      <c r="AT61" s="4">
        <f ca="1">ROUND(T_Tiktok_ads[[#This Row],[comments]]*RANDBETWEEN(8,12)/10,0)</f>
        <v>331</v>
      </c>
      <c r="AV61" s="5">
        <f t="shared" ca="1" si="8"/>
        <v>44959</v>
      </c>
      <c r="AW61">
        <f t="shared" ca="1" si="4"/>
        <v>5</v>
      </c>
      <c r="AX61">
        <f ca="1">ROUND(T_Facebook_Ads1159[[#This Row],[impressions]]*RANDBETWEEN(2,10)/10,0)</f>
        <v>8158</v>
      </c>
      <c r="AY61">
        <f ca="1">ROUND(T_Facebook_Ads1159[[#This Row],[clicks]]*RANDBETWEEN(8,12)/10,0)</f>
        <v>689</v>
      </c>
      <c r="AZ61">
        <f ca="1">T_Facebook_Ads1159[[#This Row],[spend]]*RANDBETWEEN(8,12)/10</f>
        <v>162.17599999999999</v>
      </c>
      <c r="BA61">
        <f ca="1">ROUND(T_Facebook_Ads1159[[#This Row],[conversions]]*RANDBETWEEN(8,12)/10,0)</f>
        <v>41</v>
      </c>
      <c r="BB61">
        <f ca="1">ROUND(T_Facebook_Ads1159[[#This Row],[video_views]]*RANDBETWEEN(8,12)/10,0)</f>
        <v>1474</v>
      </c>
    </row>
    <row r="62" spans="1:54" ht="15.75" thickBot="1" x14ac:dyDescent="0.3">
      <c r="A62" s="3">
        <f t="shared" ca="1" si="5"/>
        <v>44979</v>
      </c>
      <c r="B62" s="4" t="s">
        <v>60</v>
      </c>
      <c r="C62" s="4" t="s">
        <v>61</v>
      </c>
      <c r="D62" s="4" t="s">
        <v>62</v>
      </c>
      <c r="E62" s="4" t="s">
        <v>63</v>
      </c>
      <c r="F62" s="4">
        <f ca="1">ROUND(T_Facebook_Ads[[#This Row],[impressions]]*RANDBETWEEN(8,12)/10,0)</f>
        <v>42791</v>
      </c>
      <c r="G62" s="4">
        <v>1456</v>
      </c>
      <c r="H62" s="4">
        <f ca="1">T_Facebook_Ads[[#This Row],[spend]]*RANDBETWEEN(8,12)/10</f>
        <v>179.6</v>
      </c>
      <c r="I62" s="4">
        <f ca="1">ROUND(T_Facebook_Ads[[#This Row],[conversions]]*RANDBETWEEN(8,12)/10,0)</f>
        <v>28</v>
      </c>
      <c r="J62" s="4">
        <f ca="1">ROUND(T_Facebook_Ads[[#This Row],[video_views]]*RANDBETWEEN(8,12)/10,0)</f>
        <v>6281</v>
      </c>
      <c r="K62" s="4">
        <f ca="1">T_Facebook_Ads[[#This Row],[engagement_rate]]*RANDBETWEEN(8,12)/10</f>
        <v>3.7400000000000003E-2</v>
      </c>
      <c r="L62" s="4">
        <f ca="1">ROUND(T_Facebook_Ads[[#This Row],[reach]]*RANDBETWEEN(8,12)/10,0)</f>
        <v>28310</v>
      </c>
      <c r="M62" s="4">
        <f ca="1">T_Facebook_Ads[[#This Row],[frequency]]*RANDBETWEEN(8,12)/10</f>
        <v>1.1160000000000001</v>
      </c>
      <c r="O62" s="3">
        <f t="shared" ca="1" si="6"/>
        <v>44961</v>
      </c>
      <c r="P62" s="4" t="s">
        <v>84</v>
      </c>
      <c r="Q62" s="4" t="s">
        <v>85</v>
      </c>
      <c r="R62" s="4" t="s">
        <v>86</v>
      </c>
      <c r="S62" s="4" t="s">
        <v>87</v>
      </c>
      <c r="T62" s="4">
        <f ca="1">ROUND(_Google_ads[[#This Row],[impressions]]*RANDBETWEEN(8,12)/10,0)</f>
        <v>78724</v>
      </c>
      <c r="U62" s="4">
        <f ca="1">ROUND(_Google_ads[[#This Row],[clicks]]*RANDBETWEEN(8,12)/10,0)</f>
        <v>2653</v>
      </c>
      <c r="V62" s="4">
        <f ca="1">_Google_ads[[#This Row],[cost]]*RANDBETWEEN(8,12)/10</f>
        <v>530.76</v>
      </c>
      <c r="W62" s="4">
        <f ca="1">ROUND(_Google_ads[[#This Row],[conversions]]*RANDBETWEEN(8,12)/10,0)</f>
        <v>77</v>
      </c>
      <c r="X62" s="4">
        <f ca="1">ROUND(_Google_ads[[#This Row],[conversion_value]]*RANDBETWEEN(8,12)/10,0)</f>
        <v>3150</v>
      </c>
      <c r="Y62" s="4">
        <f ca="1">_Google_ads[[#This Row],[ctr]]*RANDBETWEEN(8,12)/10</f>
        <v>3.3700000000000001E-2</v>
      </c>
      <c r="Z62" s="4">
        <f ca="1">_Google_ads[[#This Row],[avg_cpc]]*RANDBETWEEN(8,12)/10</f>
        <v>0.21600000000000003</v>
      </c>
      <c r="AA62" s="4">
        <f ca="1">ROUND(_Google_ads[[#This Row],[quality_score]]*RANDBETWEEN(8,12)/10,0)</f>
        <v>9</v>
      </c>
      <c r="AB62" s="4">
        <f ca="1">_Google_ads[[#This Row],[search_impression_share]]*RANDBETWEEN(8,12)/10</f>
        <v>0.54400000000000004</v>
      </c>
      <c r="AD62" s="3">
        <f t="shared" ca="1" si="7"/>
        <v>44977</v>
      </c>
      <c r="AE62" s="4" t="s">
        <v>108</v>
      </c>
      <c r="AF62" s="4" t="s">
        <v>109</v>
      </c>
      <c r="AG62" s="4" t="s">
        <v>110</v>
      </c>
      <c r="AH62" s="4" t="s">
        <v>111</v>
      </c>
      <c r="AI62" s="4">
        <f ca="1">ROUND(T_Tiktok_ads[[#This Row],[impressions]]*RANDBETWEEN(8,12)/10,0)</f>
        <v>273791</v>
      </c>
      <c r="AJ62" s="4">
        <f ca="1">ROUND(T_Tiktok_ads[[#This Row],[clicks]]*RANDBETWEEN(8,12)/10,0)</f>
        <v>3934</v>
      </c>
      <c r="AK62" s="4">
        <v>478.5</v>
      </c>
      <c r="AL62" s="4">
        <f ca="1">ROUND(T_Tiktok_ads[[#This Row],[conversions]]*RANDBETWEEN(8,12)/10,0)</f>
        <v>28</v>
      </c>
      <c r="AM62" s="4">
        <f ca="1">ROUND(T_Tiktok_ads[[#This Row],[video_views]]*RANDBETWEEN(8,12)/10,0)</f>
        <v>175711</v>
      </c>
      <c r="AN62" s="4">
        <f ca="1">ROUND(T_Tiktok_ads[[#This Row],[video_watch_25]]*RANDBETWEEN(8,12)/10,0)</f>
        <v>148901</v>
      </c>
      <c r="AO62" s="4">
        <f ca="1">ROUND(T_Tiktok_ads[[#This Row],[video_watch_50]]*RANDBETWEEN(8,12)/10,0)</f>
        <v>117890</v>
      </c>
      <c r="AP62" s="4">
        <f ca="1">ROUND(T_Tiktok_ads[[#This Row],[video_watch_75]]*RANDBETWEEN(8,12)/10,0)</f>
        <v>91481</v>
      </c>
      <c r="AQ62" s="4">
        <f ca="1">ROUND(T_Tiktok_ads[[#This Row],[video_watch_100]]*RANDBETWEEN(8,12)/10,0)</f>
        <v>55481</v>
      </c>
      <c r="AR62" s="4">
        <f ca="1">ROUND(T_Tiktok_ads[[#This Row],[likes]]*RANDBETWEEN(8,12)/10,0)</f>
        <v>7861</v>
      </c>
      <c r="AS62" s="4">
        <f ca="1">ROUND(T_Tiktok_ads[[#This Row],[shares]]*RANDBETWEEN(8,12)/10,0)</f>
        <v>2881</v>
      </c>
      <c r="AT62" s="4">
        <f ca="1">ROUND(T_Tiktok_ads[[#This Row],[comments]]*RANDBETWEEN(8,12)/10,0)</f>
        <v>520</v>
      </c>
      <c r="AV62" s="5">
        <f t="shared" ca="1" si="8"/>
        <v>44966</v>
      </c>
      <c r="AW62">
        <f t="shared" ca="1" si="4"/>
        <v>4</v>
      </c>
      <c r="AX62">
        <f ca="1">ROUND(T_Facebook_Ads1159[[#This Row],[impressions]]*RANDBETWEEN(2,10)/10,0)</f>
        <v>25675</v>
      </c>
      <c r="AY62">
        <f ca="1">ROUND(T_Facebook_Ads1159[[#This Row],[clicks]]*RANDBETWEEN(8,12)/10,0)</f>
        <v>1456</v>
      </c>
      <c r="AZ62">
        <f ca="1">T_Facebook_Ads1159[[#This Row],[spend]]*RANDBETWEEN(8,12)/10</f>
        <v>143.68</v>
      </c>
      <c r="BA62">
        <f ca="1">ROUND(T_Facebook_Ads1159[[#This Row],[conversions]]*RANDBETWEEN(8,12)/10,0)</f>
        <v>25</v>
      </c>
      <c r="BB62">
        <f ca="1">ROUND(T_Facebook_Ads1159[[#This Row],[video_views]]*RANDBETWEEN(8,12)/10,0)</f>
        <v>5653</v>
      </c>
    </row>
    <row r="63" spans="1:54" ht="15.75" thickBot="1" x14ac:dyDescent="0.3">
      <c r="A63" s="3">
        <f t="shared" ca="1" si="5"/>
        <v>44961</v>
      </c>
      <c r="B63" s="4" t="s">
        <v>64</v>
      </c>
      <c r="C63" s="4" t="s">
        <v>65</v>
      </c>
      <c r="D63" s="4" t="s">
        <v>66</v>
      </c>
      <c r="E63" s="4" t="s">
        <v>67</v>
      </c>
      <c r="F63" s="4">
        <f ca="1">ROUND(T_Facebook_Ads[[#This Row],[impressions]]*RANDBETWEEN(8,12)/10,0)</f>
        <v>57876</v>
      </c>
      <c r="G63" s="4">
        <v>261</v>
      </c>
      <c r="H63" s="4">
        <f ca="1">T_Facebook_Ads[[#This Row],[spend]]*RANDBETWEEN(8,12)/10</f>
        <v>111.24000000000001</v>
      </c>
      <c r="I63" s="4">
        <f ca="1">ROUND(T_Facebook_Ads[[#This Row],[conversions]]*RANDBETWEEN(8,12)/10,0)</f>
        <v>7</v>
      </c>
      <c r="J63" s="4">
        <f ca="1">ROUND(T_Facebook_Ads[[#This Row],[video_views]]*RANDBETWEEN(8,12)/10,0)</f>
        <v>43710</v>
      </c>
      <c r="K63" s="4">
        <f ca="1">T_Facebook_Ads[[#This Row],[engagement_rate]]*RANDBETWEEN(8,12)/10</f>
        <v>3.5999999999999999E-3</v>
      </c>
      <c r="L63" s="4">
        <f ca="1">ROUND(T_Facebook_Ads[[#This Row],[reach]]*RANDBETWEEN(8,12)/10,0)</f>
        <v>52411</v>
      </c>
      <c r="M63" s="4">
        <f ca="1">T_Facebook_Ads[[#This Row],[frequency]]*RANDBETWEEN(8,12)/10</f>
        <v>0.99199999999999999</v>
      </c>
      <c r="O63" s="3">
        <f t="shared" ca="1" si="6"/>
        <v>44979</v>
      </c>
      <c r="P63" s="4" t="s">
        <v>88</v>
      </c>
      <c r="Q63" s="4" t="s">
        <v>89</v>
      </c>
      <c r="R63" s="4" t="s">
        <v>90</v>
      </c>
      <c r="S63" s="4" t="s">
        <v>59</v>
      </c>
      <c r="T63" s="4">
        <f ca="1">ROUND(_Google_ads[[#This Row],[impressions]]*RANDBETWEEN(8,12)/10,0)</f>
        <v>121711</v>
      </c>
      <c r="U63" s="4">
        <f ca="1">ROUND(_Google_ads[[#This Row],[clicks]]*RANDBETWEEN(8,12)/10,0)</f>
        <v>551</v>
      </c>
      <c r="V63" s="4">
        <f ca="1">_Google_ads[[#This Row],[cost]]*RANDBETWEEN(8,12)/10</f>
        <v>120.23999999999998</v>
      </c>
      <c r="W63" s="4">
        <f ca="1">ROUND(_Google_ads[[#This Row],[conversions]]*RANDBETWEEN(8,12)/10,0)</f>
        <v>17</v>
      </c>
      <c r="X63" s="4">
        <f ca="1">ROUND(_Google_ads[[#This Row],[conversion_value]]*RANDBETWEEN(8,12)/10,0)</f>
        <v>630</v>
      </c>
      <c r="Y63" s="4">
        <f ca="1">_Google_ads[[#This Row],[ctr]]*RANDBETWEEN(8,12)/10</f>
        <v>4.4400000000000004E-3</v>
      </c>
      <c r="Z63" s="4">
        <f ca="1">_Google_ads[[#This Row],[avg_cpc]]*RANDBETWEEN(8,12)/10</f>
        <v>0.29700000000000004</v>
      </c>
      <c r="AA63" s="4">
        <f ca="1">ROUND(_Google_ads[[#This Row],[quality_score]]*RANDBETWEEN(8,12)/10,0)</f>
        <v>8</v>
      </c>
      <c r="AB63" s="4">
        <f ca="1">_Google_ads[[#This Row],[search_impression_share]]*RANDBETWEEN(8,12)/10</f>
        <v>0.35</v>
      </c>
      <c r="AD63" s="3">
        <f t="shared" ca="1" si="7"/>
        <v>44969</v>
      </c>
      <c r="AE63" s="4" t="s">
        <v>112</v>
      </c>
      <c r="AF63" s="4" t="s">
        <v>113</v>
      </c>
      <c r="AG63" s="4" t="s">
        <v>114</v>
      </c>
      <c r="AH63" s="4" t="s">
        <v>115</v>
      </c>
      <c r="AI63" s="4">
        <f ca="1">ROUND(T_Tiktok_ads[[#This Row],[impressions]]*RANDBETWEEN(8,12)/10,0)</f>
        <v>521480</v>
      </c>
      <c r="AJ63" s="4">
        <f ca="1">ROUND(T_Tiktok_ads[[#This Row],[clicks]]*RANDBETWEEN(8,12)/10,0)</f>
        <v>8414</v>
      </c>
      <c r="AK63" s="4">
        <v>1089.3</v>
      </c>
      <c r="AL63" s="4">
        <f ca="1">ROUND(T_Tiktok_ads[[#This Row],[conversions]]*RANDBETWEEN(8,12)/10,0)</f>
        <v>87</v>
      </c>
      <c r="AM63" s="4">
        <f ca="1">ROUND(T_Tiktok_ads[[#This Row],[video_views]]*RANDBETWEEN(8,12)/10,0)</f>
        <v>367890</v>
      </c>
      <c r="AN63" s="4">
        <f ca="1">ROUND(T_Tiktok_ads[[#This Row],[video_watch_25]]*RANDBETWEEN(8,12)/10,0)</f>
        <v>355481</v>
      </c>
      <c r="AO63" s="4">
        <f ca="1">ROUND(T_Tiktok_ads[[#This Row],[video_watch_50]]*RANDBETWEEN(8,12)/10,0)</f>
        <v>214101</v>
      </c>
      <c r="AP63" s="4">
        <f ca="1">ROUND(T_Tiktok_ads[[#This Row],[video_watch_75]]*RANDBETWEEN(8,12)/10,0)</f>
        <v>185057</v>
      </c>
      <c r="AQ63" s="4">
        <f ca="1">ROUND(T_Tiktok_ads[[#This Row],[video_watch_100]]*RANDBETWEEN(8,12)/10,0)</f>
        <v>133481</v>
      </c>
      <c r="AR63" s="4">
        <f ca="1">ROUND(T_Tiktok_ads[[#This Row],[likes]]*RANDBETWEEN(8,12)/10,0)</f>
        <v>19234</v>
      </c>
      <c r="AS63" s="4">
        <f ca="1">ROUND(T_Tiktok_ads[[#This Row],[shares]]*RANDBETWEEN(8,12)/10,0)</f>
        <v>4427</v>
      </c>
      <c r="AT63" s="4">
        <f ca="1">ROUND(T_Tiktok_ads[[#This Row],[comments]]*RANDBETWEEN(8,12)/10,0)</f>
        <v>1828</v>
      </c>
      <c r="AV63" s="5">
        <f t="shared" ca="1" si="8"/>
        <v>44960</v>
      </c>
      <c r="AW63">
        <f t="shared" ca="1" si="4"/>
        <v>7</v>
      </c>
      <c r="AX63">
        <f ca="1">ROUND(T_Facebook_Ads1159[[#This Row],[impressions]]*RANDBETWEEN(2,10)/10,0)</f>
        <v>28938</v>
      </c>
      <c r="AY63">
        <f ca="1">ROUND(T_Facebook_Ads1159[[#This Row],[clicks]]*RANDBETWEEN(8,12)/10,0)</f>
        <v>313</v>
      </c>
      <c r="AZ63">
        <f ca="1">T_Facebook_Ads1159[[#This Row],[spend]]*RANDBETWEEN(8,12)/10</f>
        <v>100.11600000000001</v>
      </c>
      <c r="BA63">
        <f ca="1">ROUND(T_Facebook_Ads1159[[#This Row],[conversions]]*RANDBETWEEN(8,12)/10,0)</f>
        <v>8</v>
      </c>
      <c r="BB63">
        <f ca="1">ROUND(T_Facebook_Ads1159[[#This Row],[video_views]]*RANDBETWEEN(8,12)/10,0)</f>
        <v>34968</v>
      </c>
    </row>
    <row r="64" spans="1:54" ht="15.75" thickBot="1" x14ac:dyDescent="0.3">
      <c r="A64" s="3">
        <f t="shared" ca="1" si="5"/>
        <v>44975</v>
      </c>
      <c r="B64" s="4" t="s">
        <v>52</v>
      </c>
      <c r="C64" s="4" t="s">
        <v>53</v>
      </c>
      <c r="D64" s="4" t="s">
        <v>54</v>
      </c>
      <c r="E64" s="4" t="s">
        <v>55</v>
      </c>
      <c r="F64" s="4">
        <f ca="1">ROUND(T_Facebook_Ads[[#This Row],[impressions]]*RANDBETWEEN(8,12)/10,0)</f>
        <v>43101</v>
      </c>
      <c r="G64" s="4">
        <v>967</v>
      </c>
      <c r="H64" s="4">
        <f ca="1">T_Facebook_Ads[[#This Row],[spend]]*RANDBETWEEN(8,12)/10</f>
        <v>110.72</v>
      </c>
      <c r="I64" s="4">
        <f ca="1">ROUND(T_Facebook_Ads[[#This Row],[conversions]]*RANDBETWEEN(8,12)/10,0)</f>
        <v>14</v>
      </c>
      <c r="J64" s="4">
        <f ca="1">ROUND(T_Facebook_Ads[[#This Row],[video_views]]*RANDBETWEEN(8,12)/10,0)</f>
        <v>8789</v>
      </c>
      <c r="K64" s="4">
        <f ca="1">T_Facebook_Ads[[#This Row],[engagement_rate]]*RANDBETWEEN(8,12)/10</f>
        <v>2.4240000000000001E-2</v>
      </c>
      <c r="L64" s="4">
        <f ca="1">ROUND(T_Facebook_Ads[[#This Row],[reach]]*RANDBETWEEN(8,12)/10,0)</f>
        <v>36211</v>
      </c>
      <c r="M64" s="4">
        <f ca="1">T_Facebook_Ads[[#This Row],[frequency]]*RANDBETWEEN(8,12)/10</f>
        <v>0.95199999999999996</v>
      </c>
      <c r="O64" s="3">
        <f t="shared" ca="1" si="6"/>
        <v>44962</v>
      </c>
      <c r="P64" s="4" t="s">
        <v>76</v>
      </c>
      <c r="Q64" s="4" t="s">
        <v>77</v>
      </c>
      <c r="R64" s="4" t="s">
        <v>78</v>
      </c>
      <c r="S64" s="4" t="s">
        <v>79</v>
      </c>
      <c r="T64" s="4">
        <f ca="1">ROUND(_Google_ads[[#This Row],[impressions]]*RANDBETWEEN(8,12)/10,0)</f>
        <v>27024</v>
      </c>
      <c r="U64" s="4">
        <f ca="1">ROUND(_Google_ads[[#This Row],[clicks]]*RANDBETWEEN(8,12)/10,0)</f>
        <v>1160</v>
      </c>
      <c r="V64" s="4">
        <f ca="1">_Google_ads[[#This Row],[cost]]*RANDBETWEEN(8,12)/10</f>
        <v>271.48</v>
      </c>
      <c r="W64" s="4">
        <f ca="1">ROUND(_Google_ads[[#This Row],[conversions]]*RANDBETWEEN(8,12)/10,0)</f>
        <v>48</v>
      </c>
      <c r="X64" s="4">
        <f ca="1">ROUND(_Google_ads[[#This Row],[conversion_value]]*RANDBETWEEN(8,12)/10,0)</f>
        <v>2400</v>
      </c>
      <c r="Y64" s="4">
        <f ca="1">_Google_ads[[#This Row],[ctr]]*RANDBETWEEN(8,12)/10</f>
        <v>5.7750000000000003E-2</v>
      </c>
      <c r="Z64" s="4">
        <f ca="1">_Google_ads[[#This Row],[avg_cpc]]*RANDBETWEEN(8,12)/10</f>
        <v>0.19</v>
      </c>
      <c r="AA64" s="4">
        <f ca="1">ROUND(_Google_ads[[#This Row],[quality_score]]*RANDBETWEEN(8,12)/10,0)</f>
        <v>9</v>
      </c>
      <c r="AB64" s="4">
        <f ca="1">_Google_ads[[#This Row],[search_impression_share]]*RANDBETWEEN(8,12)/10</f>
        <v>0.90999999999999992</v>
      </c>
      <c r="AD64" s="3">
        <f t="shared" ca="1" si="7"/>
        <v>44964</v>
      </c>
      <c r="AE64" s="4" t="s">
        <v>100</v>
      </c>
      <c r="AF64" s="4" t="s">
        <v>101</v>
      </c>
      <c r="AG64" s="4" t="s">
        <v>102</v>
      </c>
      <c r="AH64" s="4" t="s">
        <v>103</v>
      </c>
      <c r="AI64" s="4">
        <f ca="1">ROUND(T_Tiktok_ads[[#This Row],[impressions]]*RANDBETWEEN(8,12)/10,0)</f>
        <v>278901</v>
      </c>
      <c r="AJ64" s="4">
        <f ca="1">ROUND(T_Tiktok_ads[[#This Row],[clicks]]*RANDBETWEEN(8,12)/10,0)</f>
        <v>3711</v>
      </c>
      <c r="AK64" s="4">
        <v>545.6</v>
      </c>
      <c r="AL64" s="4">
        <f ca="1">ROUND(T_Tiktok_ads[[#This Row],[conversions]]*RANDBETWEEN(8,12)/10,0)</f>
        <v>38</v>
      </c>
      <c r="AM64" s="4">
        <f ca="1">ROUND(T_Tiktok_ads[[#This Row],[video_views]]*RANDBETWEEN(8,12)/10,0)</f>
        <v>229234</v>
      </c>
      <c r="AN64" s="4">
        <f ca="1">ROUND(T_Tiktok_ads[[#This Row],[video_watch_25]]*RANDBETWEEN(8,12)/10,0)</f>
        <v>215081</v>
      </c>
      <c r="AO64" s="4">
        <f ca="1">ROUND(T_Tiktok_ads[[#This Row],[video_watch_50]]*RANDBETWEEN(8,12)/10,0)</f>
        <v>134681</v>
      </c>
      <c r="AP64" s="4">
        <f ca="1">ROUND(T_Tiktok_ads[[#This Row],[video_watch_75]]*RANDBETWEEN(8,12)/10,0)</f>
        <v>90814</v>
      </c>
      <c r="AQ64" s="4">
        <f ca="1">ROUND(T_Tiktok_ads[[#This Row],[video_watch_100]]*RANDBETWEEN(8,12)/10,0)</f>
        <v>45211</v>
      </c>
      <c r="AR64" s="4">
        <f ca="1">ROUND(T_Tiktok_ads[[#This Row],[likes]]*RANDBETWEEN(8,12)/10,0)</f>
        <v>12148</v>
      </c>
      <c r="AS64" s="4">
        <f ca="1">ROUND(T_Tiktok_ads[[#This Row],[shares]]*RANDBETWEEN(8,12)/10,0)</f>
        <v>2712</v>
      </c>
      <c r="AT64" s="4">
        <f ca="1">ROUND(T_Tiktok_ads[[#This Row],[comments]]*RANDBETWEEN(8,12)/10,0)</f>
        <v>774</v>
      </c>
      <c r="AV64" s="5">
        <f t="shared" ca="1" si="8"/>
        <v>44979</v>
      </c>
      <c r="AW64">
        <f t="shared" ca="1" si="4"/>
        <v>6</v>
      </c>
      <c r="AX64">
        <f ca="1">ROUND(T_Facebook_Ads1159[[#This Row],[impressions]]*RANDBETWEEN(2,10)/10,0)</f>
        <v>30171</v>
      </c>
      <c r="AY64">
        <f ca="1">ROUND(T_Facebook_Ads1159[[#This Row],[clicks]]*RANDBETWEEN(8,12)/10,0)</f>
        <v>774</v>
      </c>
      <c r="AZ64">
        <f ca="1">T_Facebook_Ads1159[[#This Row],[spend]]*RANDBETWEEN(8,12)/10</f>
        <v>88.575999999999993</v>
      </c>
      <c r="BA64">
        <f ca="1">ROUND(T_Facebook_Ads1159[[#This Row],[conversions]]*RANDBETWEEN(8,12)/10,0)</f>
        <v>13</v>
      </c>
      <c r="BB64">
        <f ca="1">ROUND(T_Facebook_Ads1159[[#This Row],[video_views]]*RANDBETWEEN(8,12)/10,0)</f>
        <v>10547</v>
      </c>
    </row>
    <row r="65" spans="1:54" ht="15.75" thickBot="1" x14ac:dyDescent="0.3">
      <c r="A65" s="3">
        <f t="shared" ca="1" si="5"/>
        <v>44967</v>
      </c>
      <c r="B65" s="4" t="s">
        <v>56</v>
      </c>
      <c r="C65" s="4" t="s">
        <v>57</v>
      </c>
      <c r="D65" s="4" t="s">
        <v>58</v>
      </c>
      <c r="E65" s="4" t="s">
        <v>59</v>
      </c>
      <c r="F65" s="4">
        <f ca="1">ROUND(T_Facebook_Ads[[#This Row],[impressions]]*RANDBETWEEN(8,12)/10,0)</f>
        <v>12501</v>
      </c>
      <c r="G65" s="4">
        <v>634</v>
      </c>
      <c r="H65" s="4">
        <f ca="1">T_Facebook_Ads[[#This Row],[spend]]*RANDBETWEEN(8,12)/10</f>
        <v>259.38</v>
      </c>
      <c r="I65" s="4">
        <f ca="1">ROUND(T_Facebook_Ads[[#This Row],[conversions]]*RANDBETWEEN(8,12)/10,0)</f>
        <v>36</v>
      </c>
      <c r="J65" s="4">
        <f ca="1">ROUND(T_Facebook_Ads[[#This Row],[video_views]]*RANDBETWEEN(8,12)/10,0)</f>
        <v>1654</v>
      </c>
      <c r="K65" s="4">
        <f ca="1">T_Facebook_Ads[[#This Row],[engagement_rate]]*RANDBETWEEN(8,12)/10</f>
        <v>4.5699999999999998E-2</v>
      </c>
      <c r="L65" s="4">
        <f ca="1">ROUND(T_Facebook_Ads[[#This Row],[reach]]*RANDBETWEEN(8,12)/10,0)</f>
        <v>13068</v>
      </c>
      <c r="M65" s="4">
        <f ca="1">T_Facebook_Ads[[#This Row],[frequency]]*RANDBETWEEN(8,12)/10</f>
        <v>1.524</v>
      </c>
      <c r="O65" s="3">
        <f t="shared" ca="1" si="6"/>
        <v>44965</v>
      </c>
      <c r="P65" s="4" t="s">
        <v>80</v>
      </c>
      <c r="Q65" s="4" t="s">
        <v>81</v>
      </c>
      <c r="R65" s="4" t="s">
        <v>82</v>
      </c>
      <c r="S65" s="4" t="s">
        <v>83</v>
      </c>
      <c r="T65" s="4">
        <f ca="1">ROUND(_Google_ads[[#This Row],[impressions]]*RANDBETWEEN(8,12)/10,0)</f>
        <v>35912</v>
      </c>
      <c r="U65" s="4">
        <f ca="1">ROUND(_Google_ads[[#This Row],[clicks]]*RANDBETWEEN(8,12)/10,0)</f>
        <v>712</v>
      </c>
      <c r="V65" s="4">
        <f ca="1">_Google_ads[[#This Row],[cost]]*RANDBETWEEN(8,12)/10</f>
        <v>459.76000000000005</v>
      </c>
      <c r="W65" s="4">
        <f ca="1">ROUND(_Google_ads[[#This Row],[conversions]]*RANDBETWEEN(8,12)/10,0)</f>
        <v>21</v>
      </c>
      <c r="X65" s="4">
        <f ca="1">ROUND(_Google_ads[[#This Row],[conversion_value]]*RANDBETWEEN(8,12)/10,0)</f>
        <v>920</v>
      </c>
      <c r="Y65" s="4">
        <f ca="1">_Google_ads[[#This Row],[ctr]]*RANDBETWEEN(8,12)/10</f>
        <v>1.584E-2</v>
      </c>
      <c r="Z65" s="4">
        <f ca="1">_Google_ads[[#This Row],[avg_cpc]]*RANDBETWEEN(8,12)/10</f>
        <v>0.71500000000000008</v>
      </c>
      <c r="AA65" s="4">
        <f ca="1">ROUND(_Google_ads[[#This Row],[quality_score]]*RANDBETWEEN(8,12)/10,0)</f>
        <v>8</v>
      </c>
      <c r="AB65" s="4">
        <f ca="1">_Google_ads[[#This Row],[search_impression_share]]*RANDBETWEEN(8,12)/10</f>
        <v>0.48399999999999999</v>
      </c>
      <c r="AD65" s="3">
        <f t="shared" ca="1" si="7"/>
        <v>44980</v>
      </c>
      <c r="AE65" s="4" t="s">
        <v>104</v>
      </c>
      <c r="AF65" s="4" t="s">
        <v>105</v>
      </c>
      <c r="AG65" s="4" t="s">
        <v>106</v>
      </c>
      <c r="AH65" s="4" t="s">
        <v>107</v>
      </c>
      <c r="AI65" s="4">
        <f ca="1">ROUND(T_Tiktok_ads[[#This Row],[impressions]]*RANDBETWEEN(8,12)/10,0)</f>
        <v>122765</v>
      </c>
      <c r="AJ65" s="4">
        <f ca="1">ROUND(T_Tiktok_ads[[#This Row],[clicks]]*RANDBETWEEN(8,12)/10,0)</f>
        <v>3240</v>
      </c>
      <c r="AK65" s="4">
        <v>789.2</v>
      </c>
      <c r="AL65" s="4">
        <f ca="1">ROUND(T_Tiktok_ads[[#This Row],[conversions]]*RANDBETWEEN(8,12)/10,0)</f>
        <v>71</v>
      </c>
      <c r="AM65" s="4">
        <f ca="1">ROUND(T_Tiktok_ads[[#This Row],[video_views]]*RANDBETWEEN(8,12)/10,0)</f>
        <v>129468</v>
      </c>
      <c r="AN65" s="4">
        <f ca="1">ROUND(T_Tiktok_ads[[#This Row],[video_watch_25]]*RANDBETWEEN(8,12)/10,0)</f>
        <v>71610</v>
      </c>
      <c r="AO65" s="4">
        <f ca="1">ROUND(T_Tiktok_ads[[#This Row],[video_watch_50]]*RANDBETWEEN(8,12)/10,0)</f>
        <v>48310</v>
      </c>
      <c r="AP65" s="4">
        <f ca="1">ROUND(T_Tiktok_ads[[#This Row],[video_watch_75]]*RANDBETWEEN(8,12)/10,0)</f>
        <v>32187</v>
      </c>
      <c r="AQ65" s="4">
        <f ca="1">ROUND(T_Tiktok_ads[[#This Row],[video_watch_100]]*RANDBETWEEN(8,12)/10,0)</f>
        <v>21512</v>
      </c>
      <c r="AR65" s="4">
        <f ca="1">ROUND(T_Tiktok_ads[[#This Row],[likes]]*RANDBETWEEN(8,12)/10,0)</f>
        <v>6281</v>
      </c>
      <c r="AS65" s="4">
        <f ca="1">ROUND(T_Tiktok_ads[[#This Row],[shares]]*RANDBETWEEN(8,12)/10,0)</f>
        <v>1310</v>
      </c>
      <c r="AT65" s="4">
        <f ca="1">ROUND(T_Tiktok_ads[[#This Row],[comments]]*RANDBETWEEN(8,12)/10,0)</f>
        <v>250</v>
      </c>
      <c r="AV65" s="5">
        <f t="shared" ca="1" si="8"/>
        <v>44975</v>
      </c>
      <c r="AW65">
        <f t="shared" ca="1" si="4"/>
        <v>8</v>
      </c>
      <c r="AX65">
        <f ca="1">ROUND(T_Facebook_Ads1159[[#This Row],[impressions]]*RANDBETWEEN(2,10)/10,0)</f>
        <v>6251</v>
      </c>
      <c r="AY65">
        <f ca="1">ROUND(T_Facebook_Ads1159[[#This Row],[clicks]]*RANDBETWEEN(8,12)/10,0)</f>
        <v>697</v>
      </c>
      <c r="AZ65">
        <f ca="1">T_Facebook_Ads1159[[#This Row],[spend]]*RANDBETWEEN(8,12)/10</f>
        <v>259.38</v>
      </c>
      <c r="BA65">
        <f ca="1">ROUND(T_Facebook_Ads1159[[#This Row],[conversions]]*RANDBETWEEN(8,12)/10,0)</f>
        <v>43</v>
      </c>
      <c r="BB65">
        <f ca="1">ROUND(T_Facebook_Ads1159[[#This Row],[video_views]]*RANDBETWEEN(8,12)/10,0)</f>
        <v>1985</v>
      </c>
    </row>
    <row r="66" spans="1:54" ht="15.75" thickBot="1" x14ac:dyDescent="0.3">
      <c r="A66" s="3">
        <f t="shared" ref="A66:A97" ca="1" si="9">DATE(2023,2,RANDBETWEEN(1,28))</f>
        <v>44970</v>
      </c>
      <c r="B66" s="4" t="s">
        <v>60</v>
      </c>
      <c r="C66" s="4" t="s">
        <v>61</v>
      </c>
      <c r="D66" s="4" t="s">
        <v>62</v>
      </c>
      <c r="E66" s="4" t="s">
        <v>63</v>
      </c>
      <c r="F66" s="4">
        <f ca="1">ROUND(T_Facebook_Ads[[#This Row],[impressions]]*RANDBETWEEN(8,12)/10,0)</f>
        <v>40957</v>
      </c>
      <c r="G66" s="4">
        <v>1367</v>
      </c>
      <c r="H66" s="4">
        <f ca="1">T_Facebook_Ads[[#This Row],[spend]]*RANDBETWEEN(8,12)/10</f>
        <v>230.89000000000001</v>
      </c>
      <c r="I66" s="4">
        <f ca="1">ROUND(T_Facebook_Ads[[#This Row],[conversions]]*RANDBETWEEN(8,12)/10,0)</f>
        <v>22</v>
      </c>
      <c r="J66" s="4">
        <f ca="1">ROUND(T_Facebook_Ads[[#This Row],[video_views]]*RANDBETWEEN(8,12)/10,0)</f>
        <v>5513</v>
      </c>
      <c r="K66" s="4">
        <f ca="1">T_Facebook_Ads[[#This Row],[engagement_rate]]*RANDBETWEEN(8,12)/10</f>
        <v>3.6700000000000003E-2</v>
      </c>
      <c r="L66" s="4">
        <f ca="1">ROUND(T_Facebook_Ads[[#This Row],[reach]]*RANDBETWEEN(8,12)/10,0)</f>
        <v>36814</v>
      </c>
      <c r="M66" s="4">
        <f ca="1">T_Facebook_Ads[[#This Row],[frequency]]*RANDBETWEEN(8,12)/10</f>
        <v>0.96799999999999997</v>
      </c>
      <c r="O66" s="3">
        <f t="shared" ref="O66:O97" ca="1" si="10">DATE(2023,2,RANDBETWEEN(1,28))</f>
        <v>44974</v>
      </c>
      <c r="P66" s="4" t="s">
        <v>84</v>
      </c>
      <c r="Q66" s="4" t="s">
        <v>85</v>
      </c>
      <c r="R66" s="4" t="s">
        <v>86</v>
      </c>
      <c r="S66" s="4" t="s">
        <v>87</v>
      </c>
      <c r="T66" s="4">
        <f ca="1">ROUND(_Google_ads[[#This Row],[impressions]]*RANDBETWEEN(8,12)/10,0)</f>
        <v>76157</v>
      </c>
      <c r="U66" s="4">
        <f ca="1">ROUND(_Google_ads[[#This Row],[clicks]]*RANDBETWEEN(8,12)/10,0)</f>
        <v>2071</v>
      </c>
      <c r="V66" s="4">
        <f ca="1">_Google_ads[[#This Row],[cost]]*RANDBETWEEN(8,12)/10</f>
        <v>423.5</v>
      </c>
      <c r="W66" s="4">
        <f ca="1">ROUND(_Google_ads[[#This Row],[conversions]]*RANDBETWEEN(8,12)/10,0)</f>
        <v>54</v>
      </c>
      <c r="X66" s="4">
        <f ca="1">ROUND(_Google_ads[[#This Row],[conversion_value]]*RANDBETWEEN(8,12)/10,0)</f>
        <v>3350</v>
      </c>
      <c r="Y66" s="4">
        <f ca="1">_Google_ads[[#This Row],[ctr]]*RANDBETWEEN(8,12)/10</f>
        <v>2.656E-2</v>
      </c>
      <c r="Z66" s="4">
        <f ca="1">_Google_ads[[#This Row],[avg_cpc]]*RANDBETWEEN(8,12)/10</f>
        <v>0.14399999999999999</v>
      </c>
      <c r="AA66" s="4">
        <f ca="1">ROUND(_Google_ads[[#This Row],[quality_score]]*RANDBETWEEN(8,12)/10,0)</f>
        <v>8</v>
      </c>
      <c r="AB66" s="4">
        <f ca="1">_Google_ads[[#This Row],[search_impression_share]]*RANDBETWEEN(8,12)/10</f>
        <v>0.73699999999999999</v>
      </c>
      <c r="AD66" s="3">
        <f t="shared" ref="AD66:AD97" ca="1" si="11">DATE(2023,2,RANDBETWEEN(1,28))</f>
        <v>44981</v>
      </c>
      <c r="AE66" s="4" t="s">
        <v>108</v>
      </c>
      <c r="AF66" s="4" t="s">
        <v>109</v>
      </c>
      <c r="AG66" s="4" t="s">
        <v>110</v>
      </c>
      <c r="AH66" s="4" t="s">
        <v>111</v>
      </c>
      <c r="AI66" s="4">
        <f ca="1">ROUND(T_Tiktok_ads[[#This Row],[impressions]]*RANDBETWEEN(8,12)/10,0)</f>
        <v>213110</v>
      </c>
      <c r="AJ66" s="4">
        <f ca="1">ROUND(T_Tiktok_ads[[#This Row],[clicks]]*RANDBETWEEN(8,12)/10,0)</f>
        <v>4481</v>
      </c>
      <c r="AK66" s="4">
        <v>456.8</v>
      </c>
      <c r="AL66" s="4">
        <f ca="1">ROUND(T_Tiktok_ads[[#This Row],[conversions]]*RANDBETWEEN(8,12)/10,0)</f>
        <v>26</v>
      </c>
      <c r="AM66" s="4">
        <f ca="1">ROUND(T_Tiktok_ads[[#This Row],[video_views]]*RANDBETWEEN(8,12)/10,0)</f>
        <v>150312</v>
      </c>
      <c r="AN66" s="4">
        <f ca="1">ROUND(T_Tiktok_ads[[#This Row],[video_watch_25]]*RANDBETWEEN(8,12)/10,0)</f>
        <v>156580</v>
      </c>
      <c r="AO66" s="4">
        <f ca="1">ROUND(T_Tiktok_ads[[#This Row],[video_watch_50]]*RANDBETWEEN(8,12)/10,0)</f>
        <v>134814</v>
      </c>
      <c r="AP66" s="4">
        <f ca="1">ROUND(T_Tiktok_ads[[#This Row],[video_watch_75]]*RANDBETWEEN(8,12)/10,0)</f>
        <v>86814</v>
      </c>
      <c r="AQ66" s="4">
        <f ca="1">ROUND(T_Tiktok_ads[[#This Row],[video_watch_100]]*RANDBETWEEN(8,12)/10,0)</f>
        <v>52547</v>
      </c>
      <c r="AR66" s="4">
        <f ca="1">ROUND(T_Tiktok_ads[[#This Row],[likes]]*RANDBETWEEN(8,12)/10,0)</f>
        <v>6765</v>
      </c>
      <c r="AS66" s="4">
        <f ca="1">ROUND(T_Tiktok_ads[[#This Row],[shares]]*RANDBETWEEN(8,12)/10,0)</f>
        <v>2040</v>
      </c>
      <c r="AT66" s="4">
        <f ca="1">ROUND(T_Tiktok_ads[[#This Row],[comments]]*RANDBETWEEN(8,12)/10,0)</f>
        <v>436</v>
      </c>
      <c r="AV66" s="5">
        <f t="shared" ref="AV66:AV97" ca="1" si="12">DATE(2023,2,RANDBETWEEN(1,28))</f>
        <v>44969</v>
      </c>
      <c r="AW66">
        <f t="shared" ca="1" si="4"/>
        <v>8</v>
      </c>
      <c r="AX66">
        <f ca="1">ROUND(T_Facebook_Ads1159[[#This Row],[impressions]]*RANDBETWEEN(2,10)/10,0)</f>
        <v>36861</v>
      </c>
      <c r="AY66">
        <f ca="1">ROUND(T_Facebook_Ads1159[[#This Row],[clicks]]*RANDBETWEEN(8,12)/10,0)</f>
        <v>1230</v>
      </c>
      <c r="AZ66">
        <f ca="1">T_Facebook_Ads1159[[#This Row],[spend]]*RANDBETWEEN(8,12)/10</f>
        <v>277.06800000000004</v>
      </c>
      <c r="BA66">
        <f ca="1">ROUND(T_Facebook_Ads1159[[#This Row],[conversions]]*RANDBETWEEN(8,12)/10,0)</f>
        <v>24</v>
      </c>
      <c r="BB66">
        <f ca="1">ROUND(T_Facebook_Ads1159[[#This Row],[video_views]]*RANDBETWEEN(8,12)/10,0)</f>
        <v>5513</v>
      </c>
    </row>
    <row r="67" spans="1:54" ht="15.75" thickBot="1" x14ac:dyDescent="0.3">
      <c r="A67" s="3">
        <f t="shared" ca="1" si="9"/>
        <v>44961</v>
      </c>
      <c r="B67" s="4" t="s">
        <v>64</v>
      </c>
      <c r="C67" s="4" t="s">
        <v>65</v>
      </c>
      <c r="D67" s="4" t="s">
        <v>66</v>
      </c>
      <c r="E67" s="4" t="s">
        <v>67</v>
      </c>
      <c r="F67" s="4">
        <f ca="1">ROUND(T_Facebook_Ads[[#This Row],[impressions]]*RANDBETWEEN(8,12)/10,0)</f>
        <v>70123</v>
      </c>
      <c r="G67" s="4">
        <v>253</v>
      </c>
      <c r="H67" s="4">
        <f ca="1">T_Facebook_Ads[[#This Row],[spend]]*RANDBETWEEN(8,12)/10</f>
        <v>71.52000000000001</v>
      </c>
      <c r="I67" s="4">
        <f ca="1">ROUND(T_Facebook_Ads[[#This Row],[conversions]]*RANDBETWEEN(8,12)/10,0)</f>
        <v>7</v>
      </c>
      <c r="J67" s="4">
        <f ca="1">ROUND(T_Facebook_Ads[[#This Row],[video_views]]*RANDBETWEEN(8,12)/10,0)</f>
        <v>37787</v>
      </c>
      <c r="K67" s="4">
        <f ca="1">T_Facebook_Ads[[#This Row],[engagement_rate]]*RANDBETWEEN(8,12)/10</f>
        <v>2.8799999999999997E-3</v>
      </c>
      <c r="L67" s="4">
        <f ca="1">ROUND(T_Facebook_Ads[[#This Row],[reach]]*RANDBETWEEN(8,12)/10,0)</f>
        <v>46312</v>
      </c>
      <c r="M67" s="4">
        <f ca="1">T_Facebook_Ads[[#This Row],[frequency]]*RANDBETWEEN(8,12)/10</f>
        <v>1.21</v>
      </c>
      <c r="O67" s="3">
        <f t="shared" ca="1" si="10"/>
        <v>44962</v>
      </c>
      <c r="P67" s="4" t="s">
        <v>88</v>
      </c>
      <c r="Q67" s="4" t="s">
        <v>89</v>
      </c>
      <c r="R67" s="4" t="s">
        <v>90</v>
      </c>
      <c r="S67" s="4" t="s">
        <v>59</v>
      </c>
      <c r="T67" s="4">
        <f ca="1">ROUND(_Google_ads[[#This Row],[impressions]]*RANDBETWEEN(8,12)/10,0)</f>
        <v>118410</v>
      </c>
      <c r="U67" s="4">
        <f ca="1">ROUND(_Google_ads[[#This Row],[clicks]]*RANDBETWEEN(8,12)/10,0)</f>
        <v>574</v>
      </c>
      <c r="V67" s="4">
        <f ca="1">_Google_ads[[#This Row],[cost]]*RANDBETWEEN(8,12)/10</f>
        <v>103.52000000000001</v>
      </c>
      <c r="W67" s="4">
        <f ca="1">ROUND(_Google_ads[[#This Row],[conversions]]*RANDBETWEEN(8,12)/10,0)</f>
        <v>10</v>
      </c>
      <c r="X67" s="4">
        <f ca="1">ROUND(_Google_ads[[#This Row],[conversion_value]]*RANDBETWEEN(8,12)/10,0)</f>
        <v>650</v>
      </c>
      <c r="Y67" s="4">
        <f ca="1">_Google_ads[[#This Row],[ctr]]*RANDBETWEEN(8,12)/10</f>
        <v>4.3200000000000001E-3</v>
      </c>
      <c r="Z67" s="4">
        <f ca="1">_Google_ads[[#This Row],[avg_cpc]]*RANDBETWEEN(8,12)/10</f>
        <v>0.27</v>
      </c>
      <c r="AA67" s="4">
        <f ca="1">ROUND(_Google_ads[[#This Row],[quality_score]]*RANDBETWEEN(8,12)/10,0)</f>
        <v>6</v>
      </c>
      <c r="AB67" s="4">
        <f ca="1">_Google_ads[[#This Row],[search_impression_share]]*RANDBETWEEN(8,12)/10</f>
        <v>0.30599999999999999</v>
      </c>
      <c r="AD67" s="3">
        <f t="shared" ca="1" si="11"/>
        <v>44959</v>
      </c>
      <c r="AE67" s="4" t="s">
        <v>112</v>
      </c>
      <c r="AF67" s="4" t="s">
        <v>113</v>
      </c>
      <c r="AG67" s="4" t="s">
        <v>114</v>
      </c>
      <c r="AH67" s="4" t="s">
        <v>115</v>
      </c>
      <c r="AI67" s="4">
        <f ca="1">ROUND(T_Tiktok_ads[[#This Row],[impressions]]*RANDBETWEEN(8,12)/10,0)</f>
        <v>381110</v>
      </c>
      <c r="AJ67" s="4">
        <f ca="1">ROUND(T_Tiktok_ads[[#This Row],[clicks]]*RANDBETWEEN(8,12)/10,0)</f>
        <v>5431</v>
      </c>
      <c r="AK67" s="4">
        <v>1034.5</v>
      </c>
      <c r="AL67" s="4">
        <f ca="1">ROUND(T_Tiktok_ads[[#This Row],[conversions]]*RANDBETWEEN(8,12)/10,0)</f>
        <v>94</v>
      </c>
      <c r="AM67" s="4">
        <f ca="1">ROUND(T_Tiktok_ads[[#This Row],[video_views]]*RANDBETWEEN(8,12)/10,0)</f>
        <v>428147</v>
      </c>
      <c r="AN67" s="4">
        <f ca="1">ROUND(T_Tiktok_ads[[#This Row],[video_watch_25]]*RANDBETWEEN(8,12)/10,0)</f>
        <v>315957</v>
      </c>
      <c r="AO67" s="4">
        <f ca="1">ROUND(T_Tiktok_ads[[#This Row],[video_watch_50]]*RANDBETWEEN(8,12)/10,0)</f>
        <v>275081</v>
      </c>
      <c r="AP67" s="4">
        <f ca="1">ROUND(T_Tiktok_ads[[#This Row],[video_watch_75]]*RANDBETWEEN(8,12)/10,0)</f>
        <v>146111</v>
      </c>
      <c r="AQ67" s="4">
        <f ca="1">ROUND(T_Tiktok_ads[[#This Row],[video_watch_100]]*RANDBETWEEN(8,12)/10,0)</f>
        <v>107890</v>
      </c>
      <c r="AR67" s="4">
        <f ca="1">ROUND(T_Tiktok_ads[[#This Row],[likes]]*RANDBETWEEN(8,12)/10,0)</f>
        <v>22507</v>
      </c>
      <c r="AS67" s="4">
        <f ca="1">ROUND(T_Tiktok_ads[[#This Row],[shares]]*RANDBETWEEN(8,12)/10,0)</f>
        <v>4276</v>
      </c>
      <c r="AT67" s="4">
        <f ca="1">ROUND(T_Tiktok_ads[[#This Row],[comments]]*RANDBETWEEN(8,12)/10,0)</f>
        <v>1602</v>
      </c>
      <c r="AV67" s="5">
        <f t="shared" ca="1" si="12"/>
        <v>44961</v>
      </c>
      <c r="AW67">
        <f t="shared" ref="AW67:AW111" ca="1" si="13">RANDBETWEEN(1,8)</f>
        <v>6</v>
      </c>
      <c r="AX67">
        <f ca="1">ROUND(T_Facebook_Ads1159[[#This Row],[impressions]]*RANDBETWEEN(2,10)/10,0)</f>
        <v>42074</v>
      </c>
      <c r="AY67">
        <f ca="1">ROUND(T_Facebook_Ads1159[[#This Row],[clicks]]*RANDBETWEEN(8,12)/10,0)</f>
        <v>202</v>
      </c>
      <c r="AZ67">
        <f ca="1">T_Facebook_Ads1159[[#This Row],[spend]]*RANDBETWEEN(8,12)/10</f>
        <v>71.52000000000001</v>
      </c>
      <c r="BA67">
        <f ca="1">ROUND(T_Facebook_Ads1159[[#This Row],[conversions]]*RANDBETWEEN(8,12)/10,0)</f>
        <v>8</v>
      </c>
      <c r="BB67">
        <f ca="1">ROUND(T_Facebook_Ads1159[[#This Row],[video_views]]*RANDBETWEEN(8,12)/10,0)</f>
        <v>37787</v>
      </c>
    </row>
    <row r="68" spans="1:54" ht="15.75" thickBot="1" x14ac:dyDescent="0.3">
      <c r="A68" s="3">
        <f t="shared" ca="1" si="9"/>
        <v>44982</v>
      </c>
      <c r="B68" s="4" t="s">
        <v>52</v>
      </c>
      <c r="C68" s="4" t="s">
        <v>53</v>
      </c>
      <c r="D68" s="4" t="s">
        <v>54</v>
      </c>
      <c r="E68" s="4" t="s">
        <v>55</v>
      </c>
      <c r="F68" s="4">
        <f ca="1">ROUND(T_Facebook_Ads[[#This Row],[impressions]]*RANDBETWEEN(8,12)/10,0)</f>
        <v>51881</v>
      </c>
      <c r="G68" s="4">
        <v>878</v>
      </c>
      <c r="H68" s="4">
        <f ca="1">T_Facebook_Ads[[#This Row],[spend]]*RANDBETWEEN(8,12)/10</f>
        <v>100.56</v>
      </c>
      <c r="I68" s="4">
        <f ca="1">ROUND(T_Facebook_Ads[[#This Row],[conversions]]*RANDBETWEEN(8,12)/10,0)</f>
        <v>16</v>
      </c>
      <c r="J68" s="4">
        <f ca="1">ROUND(T_Facebook_Ads[[#This Row],[video_views]]*RANDBETWEEN(8,12)/10,0)</f>
        <v>9468</v>
      </c>
      <c r="K68" s="4">
        <f ca="1">T_Facebook_Ads[[#This Row],[engagement_rate]]*RANDBETWEEN(8,12)/10</f>
        <v>1.6239999999999997E-2</v>
      </c>
      <c r="L68" s="4">
        <f ca="1">ROUND(T_Facebook_Ads[[#This Row],[reach]]*RANDBETWEEN(8,12)/10,0)</f>
        <v>32910</v>
      </c>
      <c r="M68" s="4">
        <f ca="1">T_Facebook_Ads[[#This Row],[frequency]]*RANDBETWEEN(8,12)/10</f>
        <v>1.2979999999999998</v>
      </c>
      <c r="O68" s="3">
        <f t="shared" ca="1" si="10"/>
        <v>44976</v>
      </c>
      <c r="P68" s="4" t="s">
        <v>76</v>
      </c>
      <c r="Q68" s="4" t="s">
        <v>77</v>
      </c>
      <c r="R68" s="4" t="s">
        <v>78</v>
      </c>
      <c r="S68" s="4" t="s">
        <v>79</v>
      </c>
      <c r="T68" s="4">
        <f ca="1">ROUND(_Google_ads[[#This Row],[impressions]]*RANDBETWEEN(8,12)/10,0)</f>
        <v>20111</v>
      </c>
      <c r="U68" s="4">
        <f ca="1">ROUND(_Google_ads[[#This Row],[clicks]]*RANDBETWEEN(8,12)/10,0)</f>
        <v>898</v>
      </c>
      <c r="V68" s="4">
        <f ca="1">_Google_ads[[#This Row],[cost]]*RANDBETWEEN(8,12)/10</f>
        <v>171.6</v>
      </c>
      <c r="W68" s="4">
        <f ca="1">ROUND(_Google_ads[[#This Row],[conversions]]*RANDBETWEEN(8,12)/10,0)</f>
        <v>38</v>
      </c>
      <c r="X68" s="4">
        <f ca="1">ROUND(_Google_ads[[#This Row],[conversion_value]]*RANDBETWEEN(8,12)/10,0)</f>
        <v>1890</v>
      </c>
      <c r="Y68" s="4">
        <f ca="1">_Google_ads[[#This Row],[ctr]]*RANDBETWEEN(8,12)/10</f>
        <v>5.0299999999999997E-2</v>
      </c>
      <c r="Z68" s="4">
        <f ca="1">_Google_ads[[#This Row],[avg_cpc]]*RANDBETWEEN(8,12)/10</f>
        <v>0.152</v>
      </c>
      <c r="AA68" s="4">
        <f ca="1">ROUND(_Google_ads[[#This Row],[quality_score]]*RANDBETWEEN(8,12)/10,0)</f>
        <v>11</v>
      </c>
      <c r="AB68" s="4">
        <f ca="1">_Google_ads[[#This Row],[search_impression_share]]*RANDBETWEEN(8,12)/10</f>
        <v>0.71199999999999997</v>
      </c>
      <c r="AD68" s="3">
        <f t="shared" ca="1" si="11"/>
        <v>44963</v>
      </c>
      <c r="AE68" s="4" t="s">
        <v>100</v>
      </c>
      <c r="AF68" s="4" t="s">
        <v>101</v>
      </c>
      <c r="AG68" s="4" t="s">
        <v>102</v>
      </c>
      <c r="AH68" s="4" t="s">
        <v>103</v>
      </c>
      <c r="AI68" s="4">
        <f ca="1">ROUND(T_Tiktok_ads[[#This Row],[impressions]]*RANDBETWEEN(8,12)/10,0)</f>
        <v>230611</v>
      </c>
      <c r="AJ68" s="4">
        <f ca="1">ROUND(T_Tiktok_ads[[#This Row],[clicks]]*RANDBETWEEN(8,12)/10,0)</f>
        <v>3331</v>
      </c>
      <c r="AK68" s="4">
        <v>490.5</v>
      </c>
      <c r="AL68" s="4">
        <f ca="1">ROUND(T_Tiktok_ads[[#This Row],[conversions]]*RANDBETWEEN(8,12)/10,0)</f>
        <v>30</v>
      </c>
      <c r="AM68" s="4">
        <f ca="1">ROUND(T_Tiktok_ads[[#This Row],[video_views]]*RANDBETWEEN(8,12)/10,0)</f>
        <v>209234</v>
      </c>
      <c r="AN68" s="4">
        <f ca="1">ROUND(T_Tiktok_ads[[#This Row],[video_watch_25]]*RANDBETWEEN(8,12)/10,0)</f>
        <v>130854</v>
      </c>
      <c r="AO68" s="4">
        <f ca="1">ROUND(T_Tiktok_ads[[#This Row],[video_watch_50]]*RANDBETWEEN(8,12)/10,0)</f>
        <v>102567</v>
      </c>
      <c r="AP68" s="4">
        <f ca="1">ROUND(T_Tiktok_ads[[#This Row],[video_watch_75]]*RANDBETWEEN(8,12)/10,0)</f>
        <v>69567</v>
      </c>
      <c r="AQ68" s="4">
        <f ca="1">ROUND(T_Tiktok_ads[[#This Row],[video_watch_100]]*RANDBETWEEN(8,12)/10,0)</f>
        <v>55880</v>
      </c>
      <c r="AR68" s="4">
        <f ca="1">ROUND(T_Tiktok_ads[[#This Row],[likes]]*RANDBETWEEN(8,12)/10,0)</f>
        <v>10035</v>
      </c>
      <c r="AS68" s="4">
        <f ca="1">ROUND(T_Tiktok_ads[[#This Row],[shares]]*RANDBETWEEN(8,12)/10,0)</f>
        <v>2665</v>
      </c>
      <c r="AT68" s="4">
        <f ca="1">ROUND(T_Tiktok_ads[[#This Row],[comments]]*RANDBETWEEN(8,12)/10,0)</f>
        <v>721</v>
      </c>
      <c r="AV68" s="5">
        <f t="shared" ca="1" si="12"/>
        <v>44961</v>
      </c>
      <c r="AW68">
        <f t="shared" ca="1" si="13"/>
        <v>5</v>
      </c>
      <c r="AX68">
        <f ca="1">ROUND(T_Facebook_Ads1159[[#This Row],[impressions]]*RANDBETWEEN(2,10)/10,0)</f>
        <v>20752</v>
      </c>
      <c r="AY68">
        <f ca="1">ROUND(T_Facebook_Ads1159[[#This Row],[clicks]]*RANDBETWEEN(8,12)/10,0)</f>
        <v>878</v>
      </c>
      <c r="AZ68">
        <f ca="1">T_Facebook_Ads1159[[#This Row],[spend]]*RANDBETWEEN(8,12)/10</f>
        <v>120.672</v>
      </c>
      <c r="BA68">
        <f ca="1">ROUND(T_Facebook_Ads1159[[#This Row],[conversions]]*RANDBETWEEN(8,12)/10,0)</f>
        <v>16</v>
      </c>
      <c r="BB68">
        <f ca="1">ROUND(T_Facebook_Ads1159[[#This Row],[video_views]]*RANDBETWEEN(8,12)/10,0)</f>
        <v>7574</v>
      </c>
    </row>
    <row r="69" spans="1:54" ht="15.75" thickBot="1" x14ac:dyDescent="0.3">
      <c r="A69" s="3">
        <f t="shared" ca="1" si="9"/>
        <v>44960</v>
      </c>
      <c r="B69" s="4" t="s">
        <v>56</v>
      </c>
      <c r="C69" s="4" t="s">
        <v>57</v>
      </c>
      <c r="D69" s="4" t="s">
        <v>58</v>
      </c>
      <c r="E69" s="4" t="s">
        <v>59</v>
      </c>
      <c r="F69" s="4">
        <f ca="1">ROUND(T_Facebook_Ads[[#This Row],[impressions]]*RANDBETWEEN(8,12)/10,0)</f>
        <v>11890</v>
      </c>
      <c r="G69" s="4">
        <v>545</v>
      </c>
      <c r="H69" s="4">
        <f ca="1">T_Facebook_Ads[[#This Row],[spend]]*RANDBETWEEN(8,12)/10</f>
        <v>242.76000000000005</v>
      </c>
      <c r="I69" s="4">
        <f ca="1">ROUND(T_Facebook_Ads[[#This Row],[conversions]]*RANDBETWEEN(8,12)/10,0)</f>
        <v>34</v>
      </c>
      <c r="J69" s="4">
        <f ca="1">ROUND(T_Facebook_Ads[[#This Row],[video_views]]*RANDBETWEEN(8,12)/10,0)</f>
        <v>1272</v>
      </c>
      <c r="K69" s="4">
        <f ca="1">T_Facebook_Ads[[#This Row],[engagement_rate]]*RANDBETWEEN(8,12)/10</f>
        <v>4.122E-2</v>
      </c>
      <c r="L69" s="4">
        <f ca="1">ROUND(T_Facebook_Ads[[#This Row],[reach]]*RANDBETWEEN(8,12)/10,0)</f>
        <v>8610</v>
      </c>
      <c r="M69" s="4">
        <f ca="1">T_Facebook_Ads[[#This Row],[frequency]]*RANDBETWEEN(8,12)/10</f>
        <v>1.1519999999999999</v>
      </c>
      <c r="O69" s="3">
        <f t="shared" ca="1" si="10"/>
        <v>44964</v>
      </c>
      <c r="P69" s="4" t="s">
        <v>80</v>
      </c>
      <c r="Q69" s="4" t="s">
        <v>81</v>
      </c>
      <c r="R69" s="4" t="s">
        <v>82</v>
      </c>
      <c r="S69" s="4" t="s">
        <v>83</v>
      </c>
      <c r="T69" s="4">
        <f ca="1">ROUND(_Google_ads[[#This Row],[impressions]]*RANDBETWEEN(8,12)/10,0)</f>
        <v>32454</v>
      </c>
      <c r="U69" s="4">
        <f ca="1">ROUND(_Google_ads[[#This Row],[clicks]]*RANDBETWEEN(8,12)/10,0)</f>
        <v>731</v>
      </c>
      <c r="V69" s="4">
        <f ca="1">_Google_ads[[#This Row],[cost]]*RANDBETWEEN(8,12)/10</f>
        <v>520.4</v>
      </c>
      <c r="W69" s="4">
        <f ca="1">ROUND(_Google_ads[[#This Row],[conversions]]*RANDBETWEEN(8,12)/10,0)</f>
        <v>20</v>
      </c>
      <c r="X69" s="4">
        <f ca="1">ROUND(_Google_ads[[#This Row],[conversion_value]]*RANDBETWEEN(8,12)/10,0)</f>
        <v>1000</v>
      </c>
      <c r="Y69" s="4">
        <f ca="1">_Google_ads[[#This Row],[ctr]]*RANDBETWEEN(8,12)/10</f>
        <v>1.7999999999999999E-2</v>
      </c>
      <c r="Z69" s="4">
        <f ca="1">_Google_ads[[#This Row],[avg_cpc]]*RANDBETWEEN(8,12)/10</f>
        <v>0.70399999999999996</v>
      </c>
      <c r="AA69" s="4">
        <f ca="1">ROUND(_Google_ads[[#This Row],[quality_score]]*RANDBETWEEN(8,12)/10,0)</f>
        <v>7</v>
      </c>
      <c r="AB69" s="4">
        <f ca="1">_Google_ads[[#This Row],[search_impression_share]]*RANDBETWEEN(8,12)/10</f>
        <v>0.378</v>
      </c>
      <c r="AD69" s="3">
        <f t="shared" ca="1" si="11"/>
        <v>44980</v>
      </c>
      <c r="AE69" s="4" t="s">
        <v>104</v>
      </c>
      <c r="AF69" s="4" t="s">
        <v>105</v>
      </c>
      <c r="AG69" s="4" t="s">
        <v>106</v>
      </c>
      <c r="AH69" s="4" t="s">
        <v>107</v>
      </c>
      <c r="AI69" s="4">
        <f ca="1">ROUND(T_Tiktok_ads[[#This Row],[impressions]]*RANDBETWEEN(8,12)/10,0)</f>
        <v>128111</v>
      </c>
      <c r="AJ69" s="4">
        <f ca="1">ROUND(T_Tiktok_ads[[#This Row],[clicks]]*RANDBETWEEN(8,12)/10,0)</f>
        <v>2410</v>
      </c>
      <c r="AK69" s="4">
        <v>734.5</v>
      </c>
      <c r="AL69" s="4">
        <f ca="1">ROUND(T_Tiktok_ads[[#This Row],[conversions]]*RANDBETWEEN(8,12)/10,0)</f>
        <v>73</v>
      </c>
      <c r="AM69" s="4">
        <f ca="1">ROUND(T_Tiktok_ads[[#This Row],[video_views]]*RANDBETWEEN(8,12)/10,0)</f>
        <v>117468</v>
      </c>
      <c r="AN69" s="4">
        <f ca="1">ROUND(T_Tiktok_ads[[#This Row],[video_watch_25]]*RANDBETWEEN(8,12)/10,0)</f>
        <v>72345</v>
      </c>
      <c r="AO69" s="4">
        <f ca="1">ROUND(T_Tiktok_ads[[#This Row],[video_watch_50]]*RANDBETWEEN(8,12)/10,0)</f>
        <v>44011</v>
      </c>
      <c r="AP69" s="4">
        <f ca="1">ROUND(T_Tiktok_ads[[#This Row],[video_watch_75]]*RANDBETWEEN(8,12)/10,0)</f>
        <v>33110</v>
      </c>
      <c r="AQ69" s="4">
        <f ca="1">ROUND(T_Tiktok_ads[[#This Row],[video_watch_100]]*RANDBETWEEN(8,12)/10,0)</f>
        <v>22401</v>
      </c>
      <c r="AR69" s="4">
        <f ca="1">ROUND(T_Tiktok_ads[[#This Row],[likes]]*RANDBETWEEN(8,12)/10,0)</f>
        <v>4411</v>
      </c>
      <c r="AS69" s="4">
        <f ca="1">ROUND(T_Tiktok_ads[[#This Row],[shares]]*RANDBETWEEN(8,12)/10,0)</f>
        <v>1220</v>
      </c>
      <c r="AT69" s="4">
        <f ca="1">ROUND(T_Tiktok_ads[[#This Row],[comments]]*RANDBETWEEN(8,12)/10,0)</f>
        <v>205</v>
      </c>
      <c r="AV69" s="5">
        <f t="shared" ca="1" si="12"/>
        <v>44981</v>
      </c>
      <c r="AW69">
        <f t="shared" ca="1" si="13"/>
        <v>6</v>
      </c>
      <c r="AX69">
        <f ca="1">ROUND(T_Facebook_Ads1159[[#This Row],[impressions]]*RANDBETWEEN(2,10)/10,0)</f>
        <v>3567</v>
      </c>
      <c r="AY69">
        <f ca="1">ROUND(T_Facebook_Ads1159[[#This Row],[clicks]]*RANDBETWEEN(8,12)/10,0)</f>
        <v>654</v>
      </c>
      <c r="AZ69">
        <f ca="1">T_Facebook_Ads1159[[#This Row],[spend]]*RANDBETWEEN(8,12)/10</f>
        <v>242.76000000000005</v>
      </c>
      <c r="BA69">
        <f ca="1">ROUND(T_Facebook_Ads1159[[#This Row],[conversions]]*RANDBETWEEN(8,12)/10,0)</f>
        <v>34</v>
      </c>
      <c r="BB69">
        <f ca="1">ROUND(T_Facebook_Ads1159[[#This Row],[video_views]]*RANDBETWEEN(8,12)/10,0)</f>
        <v>1526</v>
      </c>
    </row>
    <row r="70" spans="1:54" ht="15.75" thickBot="1" x14ac:dyDescent="0.3">
      <c r="A70" s="3">
        <f t="shared" ca="1" si="9"/>
        <v>44964</v>
      </c>
      <c r="B70" s="4" t="s">
        <v>60</v>
      </c>
      <c r="C70" s="4" t="s">
        <v>61</v>
      </c>
      <c r="D70" s="4" t="s">
        <v>62</v>
      </c>
      <c r="E70" s="4" t="s">
        <v>63</v>
      </c>
      <c r="F70" s="4">
        <f ca="1">ROUND(T_Facebook_Ads[[#This Row],[impressions]]*RANDBETWEEN(8,12)/10,0)</f>
        <v>27654</v>
      </c>
      <c r="G70" s="4">
        <v>1234</v>
      </c>
      <c r="H70" s="4">
        <f ca="1">T_Facebook_Ads[[#This Row],[spend]]*RANDBETWEEN(8,12)/10</f>
        <v>189.6</v>
      </c>
      <c r="I70" s="4">
        <f ca="1">ROUND(T_Facebook_Ads[[#This Row],[conversions]]*RANDBETWEEN(8,12)/10,0)</f>
        <v>26</v>
      </c>
      <c r="J70" s="4">
        <f ca="1">ROUND(T_Facebook_Ads[[#This Row],[video_views]]*RANDBETWEEN(8,12)/10,0)</f>
        <v>3654</v>
      </c>
      <c r="K70" s="4">
        <f ca="1">T_Facebook_Ads[[#This Row],[engagement_rate]]*RANDBETWEEN(8,12)/10</f>
        <v>3.9270000000000006E-2</v>
      </c>
      <c r="L70" s="4">
        <f ca="1">ROUND(T_Facebook_Ads[[#This Row],[reach]]*RANDBETWEEN(8,12)/10,0)</f>
        <v>26041</v>
      </c>
      <c r="M70" s="4">
        <f ca="1">T_Facebook_Ads[[#This Row],[frequency]]*RANDBETWEEN(8,12)/10</f>
        <v>1.3089999999999999</v>
      </c>
      <c r="O70" s="3">
        <f t="shared" ca="1" si="10"/>
        <v>44985</v>
      </c>
      <c r="P70" s="4" t="s">
        <v>84</v>
      </c>
      <c r="Q70" s="4" t="s">
        <v>85</v>
      </c>
      <c r="R70" s="4" t="s">
        <v>86</v>
      </c>
      <c r="S70" s="4" t="s">
        <v>87</v>
      </c>
      <c r="T70" s="4">
        <f ca="1">ROUND(_Google_ads[[#This Row],[impressions]]*RANDBETWEEN(8,12)/10,0)</f>
        <v>77868</v>
      </c>
      <c r="U70" s="4">
        <f ca="1">ROUND(_Google_ads[[#This Row],[clicks]]*RANDBETWEEN(8,12)/10,0)</f>
        <v>2480</v>
      </c>
      <c r="V70" s="4">
        <f ca="1">_Google_ads[[#This Row],[cost]]*RANDBETWEEN(8,12)/10</f>
        <v>376.8</v>
      </c>
      <c r="W70" s="4">
        <f ca="1">ROUND(_Google_ads[[#This Row],[conversions]]*RANDBETWEEN(8,12)/10,0)</f>
        <v>53</v>
      </c>
      <c r="X70" s="4">
        <f ca="1">ROUND(_Google_ads[[#This Row],[conversion_value]]*RANDBETWEEN(8,12)/10,0)</f>
        <v>2360</v>
      </c>
      <c r="Y70" s="4">
        <f ca="1">_Google_ads[[#This Row],[ctr]]*RANDBETWEEN(8,12)/10</f>
        <v>3.1899999999999998E-2</v>
      </c>
      <c r="Z70" s="4">
        <f ca="1">_Google_ads[[#This Row],[avg_cpc]]*RANDBETWEEN(8,12)/10</f>
        <v>0.19800000000000001</v>
      </c>
      <c r="AA70" s="4">
        <f ca="1">ROUND(_Google_ads[[#This Row],[quality_score]]*RANDBETWEEN(8,12)/10,0)</f>
        <v>6</v>
      </c>
      <c r="AB70" s="4">
        <f ca="1">_Google_ads[[#This Row],[search_impression_share]]*RANDBETWEEN(8,12)/10</f>
        <v>0.71500000000000008</v>
      </c>
      <c r="AD70" s="3">
        <f t="shared" ca="1" si="11"/>
        <v>44958</v>
      </c>
      <c r="AE70" s="4" t="s">
        <v>108</v>
      </c>
      <c r="AF70" s="4" t="s">
        <v>109</v>
      </c>
      <c r="AG70" s="4" t="s">
        <v>110</v>
      </c>
      <c r="AH70" s="4" t="s">
        <v>111</v>
      </c>
      <c r="AI70" s="4">
        <f ca="1">ROUND(T_Tiktok_ads[[#This Row],[impressions]]*RANDBETWEEN(8,12)/10,0)</f>
        <v>218901</v>
      </c>
      <c r="AJ70" s="4">
        <f ca="1">ROUND(T_Tiktok_ads[[#This Row],[clicks]]*RANDBETWEEN(8,12)/10,0)</f>
        <v>3456</v>
      </c>
      <c r="AK70" s="4">
        <v>414.4</v>
      </c>
      <c r="AL70" s="4">
        <f ca="1">ROUND(T_Tiktok_ads[[#This Row],[conversions]]*RANDBETWEEN(8,12)/10,0)</f>
        <v>32</v>
      </c>
      <c r="AM70" s="4">
        <f ca="1">ROUND(T_Tiktok_ads[[#This Row],[video_views]]*RANDBETWEEN(8,12)/10,0)</f>
        <v>156110</v>
      </c>
      <c r="AN70" s="4">
        <f ca="1">ROUND(T_Tiktok_ads[[#This Row],[video_watch_25]]*RANDBETWEEN(8,12)/10,0)</f>
        <v>157880</v>
      </c>
      <c r="AO70" s="4">
        <f ca="1">ROUND(T_Tiktok_ads[[#This Row],[video_watch_50]]*RANDBETWEEN(8,12)/10,0)</f>
        <v>103567</v>
      </c>
      <c r="AP70" s="4">
        <f ca="1">ROUND(T_Tiktok_ads[[#This Row],[video_watch_75]]*RANDBETWEEN(8,12)/10,0)</f>
        <v>60511</v>
      </c>
      <c r="AQ70" s="4">
        <f ca="1">ROUND(T_Tiktok_ads[[#This Row],[video_watch_100]]*RANDBETWEEN(8,12)/10,0)</f>
        <v>32454</v>
      </c>
      <c r="AR70" s="4">
        <f ca="1">ROUND(T_Tiktok_ads[[#This Row],[likes]]*RANDBETWEEN(8,12)/10,0)</f>
        <v>8813</v>
      </c>
      <c r="AS70" s="4">
        <f ca="1">ROUND(T_Tiktok_ads[[#This Row],[shares]]*RANDBETWEEN(8,12)/10,0)</f>
        <v>2201</v>
      </c>
      <c r="AT70" s="4">
        <f ca="1">ROUND(T_Tiktok_ads[[#This Row],[comments]]*RANDBETWEEN(8,12)/10,0)</f>
        <v>418</v>
      </c>
      <c r="AV70" s="5">
        <f t="shared" ca="1" si="12"/>
        <v>44980</v>
      </c>
      <c r="AW70">
        <f t="shared" ca="1" si="13"/>
        <v>6</v>
      </c>
      <c r="AX70">
        <f ca="1">ROUND(T_Facebook_Ads1159[[#This Row],[impressions]]*RANDBETWEEN(2,10)/10,0)</f>
        <v>19358</v>
      </c>
      <c r="AY70">
        <f ca="1">ROUND(T_Facebook_Ads1159[[#This Row],[clicks]]*RANDBETWEEN(8,12)/10,0)</f>
        <v>1357</v>
      </c>
      <c r="AZ70">
        <f ca="1">T_Facebook_Ads1159[[#This Row],[spend]]*RANDBETWEEN(8,12)/10</f>
        <v>227.51999999999998</v>
      </c>
      <c r="BA70">
        <f ca="1">ROUND(T_Facebook_Ads1159[[#This Row],[conversions]]*RANDBETWEEN(8,12)/10,0)</f>
        <v>29</v>
      </c>
      <c r="BB70">
        <f ca="1">ROUND(T_Facebook_Ads1159[[#This Row],[video_views]]*RANDBETWEEN(8,12)/10,0)</f>
        <v>4019</v>
      </c>
    </row>
    <row r="71" spans="1:54" ht="15.75" thickBot="1" x14ac:dyDescent="0.3">
      <c r="A71" s="3">
        <f t="shared" ca="1" si="9"/>
        <v>44970</v>
      </c>
      <c r="B71" s="4" t="s">
        <v>64</v>
      </c>
      <c r="C71" s="4" t="s">
        <v>65</v>
      </c>
      <c r="D71" s="4" t="s">
        <v>66</v>
      </c>
      <c r="E71" s="4" t="s">
        <v>67</v>
      </c>
      <c r="F71" s="4">
        <f ca="1">ROUND(T_Facebook_Ads[[#This Row],[impressions]]*RANDBETWEEN(8,12)/10,0)</f>
        <v>58711</v>
      </c>
      <c r="G71" s="4">
        <v>234</v>
      </c>
      <c r="H71" s="4">
        <f ca="1">T_Facebook_Ads[[#This Row],[spend]]*RANDBETWEEN(8,12)/10</f>
        <v>81.2</v>
      </c>
      <c r="I71" s="4">
        <f ca="1">ROUND(T_Facebook_Ads[[#This Row],[conversions]]*RANDBETWEEN(8,12)/10,0)</f>
        <v>5</v>
      </c>
      <c r="J71" s="4">
        <f ca="1">ROUND(T_Facebook_Ads[[#This Row],[video_views]]*RANDBETWEEN(8,12)/10,0)</f>
        <v>39210</v>
      </c>
      <c r="K71" s="4">
        <f ca="1">T_Facebook_Ads[[#This Row],[engagement_rate]]*RANDBETWEEN(8,12)/10</f>
        <v>3.5999999999999999E-3</v>
      </c>
      <c r="L71" s="4">
        <f ca="1">ROUND(T_Facebook_Ads[[#This Row],[reach]]*RANDBETWEEN(8,12)/10,0)</f>
        <v>53456</v>
      </c>
      <c r="M71" s="4">
        <f ca="1">T_Facebook_Ads[[#This Row],[frequency]]*RANDBETWEEN(8,12)/10</f>
        <v>0.95199999999999996</v>
      </c>
      <c r="O71" s="3">
        <f t="shared" ca="1" si="10"/>
        <v>44978</v>
      </c>
      <c r="P71" s="4" t="s">
        <v>88</v>
      </c>
      <c r="Q71" s="4" t="s">
        <v>89</v>
      </c>
      <c r="R71" s="4" t="s">
        <v>90</v>
      </c>
      <c r="S71" s="4" t="s">
        <v>59</v>
      </c>
      <c r="T71" s="4">
        <f ca="1">ROUND(_Google_ads[[#This Row],[impressions]]*RANDBETWEEN(8,12)/10,0)</f>
        <v>149480</v>
      </c>
      <c r="U71" s="4">
        <f ca="1">ROUND(_Google_ads[[#This Row],[clicks]]*RANDBETWEEN(8,12)/10,0)</f>
        <v>490</v>
      </c>
      <c r="V71" s="4">
        <f ca="1">_Google_ads[[#This Row],[cost]]*RANDBETWEEN(8,12)/10</f>
        <v>146.76</v>
      </c>
      <c r="W71" s="4">
        <f ca="1">ROUND(_Google_ads[[#This Row],[conversions]]*RANDBETWEEN(8,12)/10,0)</f>
        <v>14</v>
      </c>
      <c r="X71" s="4">
        <f ca="1">ROUND(_Google_ads[[#This Row],[conversion_value]]*RANDBETWEEN(8,12)/10,0)</f>
        <v>720</v>
      </c>
      <c r="Y71" s="4">
        <f ca="1">_Google_ads[[#This Row],[ctr]]*RANDBETWEEN(8,12)/10</f>
        <v>4.3200000000000001E-3</v>
      </c>
      <c r="Z71" s="4">
        <f ca="1">_Google_ads[[#This Row],[avg_cpc]]*RANDBETWEEN(8,12)/10</f>
        <v>0.32400000000000001</v>
      </c>
      <c r="AA71" s="4">
        <f ca="1">ROUND(_Google_ads[[#This Row],[quality_score]]*RANDBETWEEN(8,12)/10,0)</f>
        <v>6</v>
      </c>
      <c r="AB71" s="4">
        <f ca="1">_Google_ads[[#This Row],[search_impression_share]]*RANDBETWEEN(8,12)/10</f>
        <v>0.26400000000000001</v>
      </c>
      <c r="AD71" s="3">
        <f t="shared" ca="1" si="11"/>
        <v>44972</v>
      </c>
      <c r="AE71" s="4" t="s">
        <v>112</v>
      </c>
      <c r="AF71" s="4" t="s">
        <v>113</v>
      </c>
      <c r="AG71" s="4" t="s">
        <v>114</v>
      </c>
      <c r="AH71" s="4" t="s">
        <v>115</v>
      </c>
      <c r="AI71" s="4">
        <f ca="1">ROUND(T_Tiktok_ads[[#This Row],[impressions]]*RANDBETWEEN(8,12)/10,0)</f>
        <v>466814</v>
      </c>
      <c r="AJ71" s="4">
        <f ca="1">ROUND(T_Tiktok_ads[[#This Row],[clicks]]*RANDBETWEEN(8,12)/10,0)</f>
        <v>6234</v>
      </c>
      <c r="AK71" s="4">
        <v>967.8</v>
      </c>
      <c r="AL71" s="4">
        <f ca="1">ROUND(T_Tiktok_ads[[#This Row],[conversions]]*RANDBETWEEN(8,12)/10,0)</f>
        <v>78</v>
      </c>
      <c r="AM71" s="4">
        <f ca="1">ROUND(T_Tiktok_ads[[#This Row],[video_views]]*RANDBETWEEN(8,12)/10,0)</f>
        <v>256987</v>
      </c>
      <c r="AN71" s="4">
        <f ca="1">ROUND(T_Tiktok_ads[[#This Row],[video_watch_25]]*RANDBETWEEN(8,12)/10,0)</f>
        <v>207121</v>
      </c>
      <c r="AO71" s="4">
        <f ca="1">ROUND(T_Tiktok_ads[[#This Row],[video_watch_50]]*RANDBETWEEN(8,12)/10,0)</f>
        <v>166312</v>
      </c>
      <c r="AP71" s="4">
        <f ca="1">ROUND(T_Tiktok_ads[[#This Row],[video_watch_75]]*RANDBETWEEN(8,12)/10,0)</f>
        <v>117787</v>
      </c>
      <c r="AQ71" s="4">
        <f ca="1">ROUND(T_Tiktok_ads[[#This Row],[video_watch_100]]*RANDBETWEEN(8,12)/10,0)</f>
        <v>77965</v>
      </c>
      <c r="AR71" s="4">
        <f ca="1">ROUND(T_Tiktok_ads[[#This Row],[likes]]*RANDBETWEEN(8,12)/10,0)</f>
        <v>13521</v>
      </c>
      <c r="AS71" s="4">
        <f ca="1">ROUND(T_Tiktok_ads[[#This Row],[shares]]*RANDBETWEEN(8,12)/10,0)</f>
        <v>4421</v>
      </c>
      <c r="AT71" s="4">
        <f ca="1">ROUND(T_Tiktok_ads[[#This Row],[comments]]*RANDBETWEEN(8,12)/10,0)</f>
        <v>1211</v>
      </c>
      <c r="AV71" s="5">
        <f t="shared" ca="1" si="12"/>
        <v>44961</v>
      </c>
      <c r="AW71">
        <f t="shared" ca="1" si="13"/>
        <v>8</v>
      </c>
      <c r="AX71">
        <f ca="1">ROUND(T_Facebook_Ads1159[[#This Row],[impressions]]*RANDBETWEEN(2,10)/10,0)</f>
        <v>23484</v>
      </c>
      <c r="AY71">
        <f ca="1">ROUND(T_Facebook_Ads1159[[#This Row],[clicks]]*RANDBETWEEN(8,12)/10,0)</f>
        <v>211</v>
      </c>
      <c r="AZ71">
        <f ca="1">T_Facebook_Ads1159[[#This Row],[spend]]*RANDBETWEEN(8,12)/10</f>
        <v>97.440000000000012</v>
      </c>
      <c r="BA71">
        <f ca="1">ROUND(T_Facebook_Ads1159[[#This Row],[conversions]]*RANDBETWEEN(8,12)/10,0)</f>
        <v>6</v>
      </c>
      <c r="BB71">
        <f ca="1">ROUND(T_Facebook_Ads1159[[#This Row],[video_views]]*RANDBETWEEN(8,12)/10,0)</f>
        <v>39210</v>
      </c>
    </row>
    <row r="72" spans="1:54" ht="15.75" thickBot="1" x14ac:dyDescent="0.3">
      <c r="A72" s="3">
        <f t="shared" ca="1" si="9"/>
        <v>44972</v>
      </c>
      <c r="B72" s="4" t="s">
        <v>52</v>
      </c>
      <c r="C72" s="4" t="s">
        <v>53</v>
      </c>
      <c r="D72" s="4" t="s">
        <v>54</v>
      </c>
      <c r="E72" s="4" t="s">
        <v>55</v>
      </c>
      <c r="F72" s="4">
        <f ca="1">ROUND(T_Facebook_Ads[[#This Row],[impressions]]*RANDBETWEEN(8,12)/10,0)</f>
        <v>49880</v>
      </c>
      <c r="G72" s="4">
        <v>823</v>
      </c>
      <c r="H72" s="4">
        <f ca="1">T_Facebook_Ads[[#This Row],[spend]]*RANDBETWEEN(8,12)/10</f>
        <v>142.68</v>
      </c>
      <c r="I72" s="4">
        <f ca="1">ROUND(T_Facebook_Ads[[#This Row],[conversions]]*RANDBETWEEN(8,12)/10,0)</f>
        <v>12</v>
      </c>
      <c r="J72" s="4">
        <f ca="1">ROUND(T_Facebook_Ads[[#This Row],[video_views]]*RANDBETWEEN(8,12)/10,0)</f>
        <v>7456</v>
      </c>
      <c r="K72" s="4">
        <f ca="1">T_Facebook_Ads[[#This Row],[engagement_rate]]*RANDBETWEEN(8,12)/10</f>
        <v>1.9800000000000002E-2</v>
      </c>
      <c r="L72" s="4">
        <f ca="1">ROUND(T_Facebook_Ads[[#This Row],[reach]]*RANDBETWEEN(8,12)/10,0)</f>
        <v>31611</v>
      </c>
      <c r="M72" s="4">
        <f ca="1">T_Facebook_Ads[[#This Row],[frequency]]*RANDBETWEEN(8,12)/10</f>
        <v>1.0619999999999998</v>
      </c>
      <c r="O72" s="3">
        <f t="shared" ca="1" si="10"/>
        <v>44981</v>
      </c>
      <c r="P72" s="4" t="s">
        <v>76</v>
      </c>
      <c r="Q72" s="4" t="s">
        <v>77</v>
      </c>
      <c r="R72" s="4" t="s">
        <v>78</v>
      </c>
      <c r="S72" s="4" t="s">
        <v>79</v>
      </c>
      <c r="T72" s="4">
        <f ca="1">ROUND(_Google_ads[[#This Row],[impressions]]*RANDBETWEEN(8,12)/10,0)</f>
        <v>19410</v>
      </c>
      <c r="U72" s="4">
        <f ca="1">ROUND(_Google_ads[[#This Row],[clicks]]*RANDBETWEEN(8,12)/10,0)</f>
        <v>980</v>
      </c>
      <c r="V72" s="4">
        <f ca="1">_Google_ads[[#This Row],[cost]]*RANDBETWEEN(8,12)/10</f>
        <v>207.8</v>
      </c>
      <c r="W72" s="4">
        <f ca="1">ROUND(_Google_ads[[#This Row],[conversions]]*RANDBETWEEN(8,12)/10,0)</f>
        <v>45</v>
      </c>
      <c r="X72" s="4">
        <f ca="1">ROUND(_Google_ads[[#This Row],[conversion_value]]*RANDBETWEEN(8,12)/10,0)</f>
        <v>1845</v>
      </c>
      <c r="Y72" s="4">
        <f ca="1">_Google_ads[[#This Row],[ctr]]*RANDBETWEEN(8,12)/10</f>
        <v>4.0400000000000005E-2</v>
      </c>
      <c r="Z72" s="4">
        <f ca="1">_Google_ads[[#This Row],[avg_cpc]]*RANDBETWEEN(8,12)/10</f>
        <v>0.20899999999999999</v>
      </c>
      <c r="AA72" s="4">
        <f ca="1">ROUND(_Google_ads[[#This Row],[quality_score]]*RANDBETWEEN(8,12)/10,0)</f>
        <v>9</v>
      </c>
      <c r="AB72" s="4">
        <f ca="1">_Google_ads[[#This Row],[search_impression_share]]*RANDBETWEEN(8,12)/10</f>
        <v>0.79200000000000004</v>
      </c>
      <c r="AD72" s="3">
        <f t="shared" ca="1" si="11"/>
        <v>44973</v>
      </c>
      <c r="AE72" s="4" t="s">
        <v>100</v>
      </c>
      <c r="AF72" s="4" t="s">
        <v>101</v>
      </c>
      <c r="AG72" s="4" t="s">
        <v>102</v>
      </c>
      <c r="AH72" s="4" t="s">
        <v>103</v>
      </c>
      <c r="AI72" s="4">
        <f ca="1">ROUND(T_Tiktok_ads[[#This Row],[impressions]]*RANDBETWEEN(8,12)/10,0)</f>
        <v>187654</v>
      </c>
      <c r="AJ72" s="4">
        <f ca="1">ROUND(T_Tiktok_ads[[#This Row],[clicks]]*RANDBETWEEN(8,12)/10,0)</f>
        <v>3456</v>
      </c>
      <c r="AK72" s="4">
        <v>445.7</v>
      </c>
      <c r="AL72" s="4">
        <f ca="1">ROUND(T_Tiktok_ads[[#This Row],[conversions]]*RANDBETWEEN(8,12)/10,0)</f>
        <v>34</v>
      </c>
      <c r="AM72" s="4">
        <f ca="1">ROUND(T_Tiktok_ads[[#This Row],[video_views]]*RANDBETWEEN(8,12)/10,0)</f>
        <v>234281</v>
      </c>
      <c r="AN72" s="4">
        <f ca="1">ROUND(T_Tiktok_ads[[#This Row],[video_watch_25]]*RANDBETWEEN(8,12)/10,0)</f>
        <v>153456</v>
      </c>
      <c r="AO72" s="4">
        <f ca="1">ROUND(T_Tiktok_ads[[#This Row],[video_watch_50]]*RANDBETWEEN(8,12)/10,0)</f>
        <v>105857</v>
      </c>
      <c r="AP72" s="4">
        <f ca="1">ROUND(T_Tiktok_ads[[#This Row],[video_watch_75]]*RANDBETWEEN(8,12)/10,0)</f>
        <v>65234</v>
      </c>
      <c r="AQ72" s="4">
        <f ca="1">ROUND(T_Tiktok_ads[[#This Row],[video_watch_100]]*RANDBETWEEN(8,12)/10,0)</f>
        <v>39210</v>
      </c>
      <c r="AR72" s="4">
        <f ca="1">ROUND(T_Tiktok_ads[[#This Row],[likes]]*RANDBETWEEN(8,12)/10,0)</f>
        <v>10507</v>
      </c>
      <c r="AS72" s="4">
        <f ca="1">ROUND(T_Tiktok_ads[[#This Row],[shares]]*RANDBETWEEN(8,12)/10,0)</f>
        <v>1787</v>
      </c>
      <c r="AT72" s="4">
        <f ca="1">ROUND(T_Tiktok_ads[[#This Row],[comments]]*RANDBETWEEN(8,12)/10,0)</f>
        <v>427</v>
      </c>
      <c r="AV72" s="5">
        <f t="shared" ca="1" si="12"/>
        <v>44961</v>
      </c>
      <c r="AW72">
        <f t="shared" ca="1" si="13"/>
        <v>3</v>
      </c>
      <c r="AX72">
        <f ca="1">ROUND(T_Facebook_Ads1159[[#This Row],[impressions]]*RANDBETWEEN(2,10)/10,0)</f>
        <v>39904</v>
      </c>
      <c r="AY72">
        <f ca="1">ROUND(T_Facebook_Ads1159[[#This Row],[clicks]]*RANDBETWEEN(8,12)/10,0)</f>
        <v>658</v>
      </c>
      <c r="AZ72">
        <f ca="1">T_Facebook_Ads1159[[#This Row],[spend]]*RANDBETWEEN(8,12)/10</f>
        <v>171.21600000000001</v>
      </c>
      <c r="BA72">
        <f ca="1">ROUND(T_Facebook_Ads1159[[#This Row],[conversions]]*RANDBETWEEN(8,12)/10,0)</f>
        <v>14</v>
      </c>
      <c r="BB72">
        <f ca="1">ROUND(T_Facebook_Ads1159[[#This Row],[video_views]]*RANDBETWEEN(8,12)/10,0)</f>
        <v>8202</v>
      </c>
    </row>
    <row r="73" spans="1:54" ht="15.75" thickBot="1" x14ac:dyDescent="0.3">
      <c r="A73" s="3">
        <f t="shared" ca="1" si="9"/>
        <v>44966</v>
      </c>
      <c r="B73" s="4" t="s">
        <v>56</v>
      </c>
      <c r="C73" s="4" t="s">
        <v>57</v>
      </c>
      <c r="D73" s="4" t="s">
        <v>58</v>
      </c>
      <c r="E73" s="4" t="s">
        <v>59</v>
      </c>
      <c r="F73" s="4">
        <f ca="1">ROUND(T_Facebook_Ads[[#This Row],[impressions]]*RANDBETWEEN(8,12)/10,0)</f>
        <v>10234</v>
      </c>
      <c r="G73" s="4">
        <v>467</v>
      </c>
      <c r="H73" s="4">
        <f ca="1">T_Facebook_Ads[[#This Row],[spend]]*RANDBETWEEN(8,12)/10</f>
        <v>196.24</v>
      </c>
      <c r="I73" s="4">
        <f ca="1">ROUND(T_Facebook_Ads[[#This Row],[conversions]]*RANDBETWEEN(8,12)/10,0)</f>
        <v>33</v>
      </c>
      <c r="J73" s="4">
        <f ca="1">ROUND(T_Facebook_Ads[[#This Row],[video_views]]*RANDBETWEEN(8,12)/10,0)</f>
        <v>945</v>
      </c>
      <c r="K73" s="4">
        <f ca="1">T_Facebook_Ads[[#This Row],[engagement_rate]]*RANDBETWEEN(8,12)/10</f>
        <v>4.104E-2</v>
      </c>
      <c r="L73" s="4">
        <f ca="1">ROUND(T_Facebook_Ads[[#This Row],[reach]]*RANDBETWEEN(8,12)/10,0)</f>
        <v>10147</v>
      </c>
      <c r="M73" s="4">
        <f ca="1">T_Facebook_Ads[[#This Row],[frequency]]*RANDBETWEEN(8,12)/10</f>
        <v>1.21</v>
      </c>
      <c r="O73" s="3">
        <f t="shared" ca="1" si="10"/>
        <v>44971</v>
      </c>
      <c r="P73" s="4" t="s">
        <v>80</v>
      </c>
      <c r="Q73" s="4" t="s">
        <v>81</v>
      </c>
      <c r="R73" s="4" t="s">
        <v>82</v>
      </c>
      <c r="S73" s="4" t="s">
        <v>83</v>
      </c>
      <c r="T73" s="4">
        <f ca="1">ROUND(_Google_ads[[#This Row],[impressions]]*RANDBETWEEN(8,12)/10,0)</f>
        <v>46681</v>
      </c>
      <c r="U73" s="4">
        <f ca="1">ROUND(_Google_ads[[#This Row],[clicks]]*RANDBETWEEN(8,12)/10,0)</f>
        <v>700</v>
      </c>
      <c r="V73" s="4">
        <f ca="1">_Google_ads[[#This Row],[cost]]*RANDBETWEEN(8,12)/10</f>
        <v>498.7</v>
      </c>
      <c r="W73" s="4">
        <f ca="1">ROUND(_Google_ads[[#This Row],[conversions]]*RANDBETWEEN(8,12)/10,0)</f>
        <v>19</v>
      </c>
      <c r="X73" s="4">
        <f ca="1">ROUND(_Google_ads[[#This Row],[conversion_value]]*RANDBETWEEN(8,12)/10,0)</f>
        <v>1045</v>
      </c>
      <c r="Y73" s="4">
        <f ca="1">_Google_ads[[#This Row],[ctr]]*RANDBETWEEN(8,12)/10</f>
        <v>2.1999999999999999E-2</v>
      </c>
      <c r="Z73" s="4">
        <f ca="1">_Google_ads[[#This Row],[avg_cpc]]*RANDBETWEEN(8,12)/10</f>
        <v>0.70399999999999996</v>
      </c>
      <c r="AA73" s="4">
        <f ca="1">ROUND(_Google_ads[[#This Row],[quality_score]]*RANDBETWEEN(8,12)/10,0)</f>
        <v>5</v>
      </c>
      <c r="AB73" s="4">
        <f ca="1">_Google_ads[[#This Row],[search_impression_share]]*RANDBETWEEN(8,12)/10</f>
        <v>0.49199999999999999</v>
      </c>
      <c r="AD73" s="3">
        <f t="shared" ca="1" si="11"/>
        <v>44962</v>
      </c>
      <c r="AE73" s="4" t="s">
        <v>104</v>
      </c>
      <c r="AF73" s="4" t="s">
        <v>105</v>
      </c>
      <c r="AG73" s="4" t="s">
        <v>106</v>
      </c>
      <c r="AH73" s="4" t="s">
        <v>107</v>
      </c>
      <c r="AI73" s="4">
        <f ca="1">ROUND(T_Tiktok_ads[[#This Row],[impressions]]*RANDBETWEEN(8,12)/10,0)</f>
        <v>128901</v>
      </c>
      <c r="AJ73" s="4">
        <f ca="1">ROUND(T_Tiktok_ads[[#This Row],[clicks]]*RANDBETWEEN(8,12)/10,0)</f>
        <v>2702</v>
      </c>
      <c r="AK73" s="4">
        <v>678.9</v>
      </c>
      <c r="AL73" s="4">
        <f ca="1">ROUND(T_Tiktok_ads[[#This Row],[conversions]]*RANDBETWEEN(8,12)/10,0)</f>
        <v>54</v>
      </c>
      <c r="AM73" s="4">
        <f ca="1">ROUND(T_Tiktok_ads[[#This Row],[video_views]]*RANDBETWEEN(8,12)/10,0)</f>
        <v>98157</v>
      </c>
      <c r="AN73" s="4">
        <f ca="1">ROUND(T_Tiktok_ads[[#This Row],[video_watch_25]]*RANDBETWEEN(8,12)/10,0)</f>
        <v>80681</v>
      </c>
      <c r="AO73" s="4">
        <f ca="1">ROUND(T_Tiktok_ads[[#This Row],[video_watch_50]]*RANDBETWEEN(8,12)/10,0)</f>
        <v>36187</v>
      </c>
      <c r="AP73" s="4">
        <f ca="1">ROUND(T_Tiktok_ads[[#This Row],[video_watch_75]]*RANDBETWEEN(8,12)/10,0)</f>
        <v>37657</v>
      </c>
      <c r="AQ73" s="4">
        <f ca="1">ROUND(T_Tiktok_ads[[#This Row],[video_watch_100]]*RANDBETWEEN(8,12)/10,0)</f>
        <v>23456</v>
      </c>
      <c r="AR73" s="4">
        <f ca="1">ROUND(T_Tiktok_ads[[#This Row],[likes]]*RANDBETWEEN(8,12)/10,0)</f>
        <v>4567</v>
      </c>
      <c r="AS73" s="4">
        <f ca="1">ROUND(T_Tiktok_ads[[#This Row],[shares]]*RANDBETWEEN(8,12)/10,0)</f>
        <v>1481</v>
      </c>
      <c r="AT73" s="4">
        <f ca="1">ROUND(T_Tiktok_ads[[#This Row],[comments]]*RANDBETWEEN(8,12)/10,0)</f>
        <v>234</v>
      </c>
      <c r="AV73" s="5">
        <f t="shared" ca="1" si="12"/>
        <v>44974</v>
      </c>
      <c r="AW73">
        <f t="shared" ca="1" si="13"/>
        <v>1</v>
      </c>
      <c r="AX73">
        <f ca="1">ROUND(T_Facebook_Ads1159[[#This Row],[impressions]]*RANDBETWEEN(2,10)/10,0)</f>
        <v>8187</v>
      </c>
      <c r="AY73">
        <f ca="1">ROUND(T_Facebook_Ads1159[[#This Row],[clicks]]*RANDBETWEEN(8,12)/10,0)</f>
        <v>420</v>
      </c>
      <c r="AZ73">
        <f ca="1">T_Facebook_Ads1159[[#This Row],[spend]]*RANDBETWEEN(8,12)/10</f>
        <v>196.24</v>
      </c>
      <c r="BA73">
        <f ca="1">ROUND(T_Facebook_Ads1159[[#This Row],[conversions]]*RANDBETWEEN(8,12)/10,0)</f>
        <v>33</v>
      </c>
      <c r="BB73">
        <f ca="1">ROUND(T_Facebook_Ads1159[[#This Row],[video_views]]*RANDBETWEEN(8,12)/10,0)</f>
        <v>1040</v>
      </c>
    </row>
    <row r="74" spans="1:54" ht="15.75" thickBot="1" x14ac:dyDescent="0.3">
      <c r="A74" s="3">
        <f t="shared" ca="1" si="9"/>
        <v>44959</v>
      </c>
      <c r="B74" s="4" t="s">
        <v>60</v>
      </c>
      <c r="C74" s="4" t="s">
        <v>61</v>
      </c>
      <c r="D74" s="4" t="s">
        <v>62</v>
      </c>
      <c r="E74" s="4" t="s">
        <v>63</v>
      </c>
      <c r="F74" s="4">
        <f ca="1">ROUND(T_Facebook_Ads[[#This Row],[impressions]]*RANDBETWEEN(8,12)/10,0)</f>
        <v>36179</v>
      </c>
      <c r="G74" s="4">
        <v>1178</v>
      </c>
      <c r="H74" s="4">
        <f ca="1">T_Facebook_Ads[[#This Row],[spend]]*RANDBETWEEN(8,12)/10</f>
        <v>154.07999999999998</v>
      </c>
      <c r="I74" s="4">
        <f ca="1">ROUND(T_Facebook_Ads[[#This Row],[conversions]]*RANDBETWEEN(8,12)/10,0)</f>
        <v>22</v>
      </c>
      <c r="J74" s="4">
        <f ca="1">ROUND(T_Facebook_Ads[[#This Row],[video_views]]*RANDBETWEEN(8,12)/10,0)</f>
        <v>4547</v>
      </c>
      <c r="K74" s="4">
        <f ca="1">T_Facebook_Ads[[#This Row],[engagement_rate]]*RANDBETWEEN(8,12)/10</f>
        <v>2.8639999999999999E-2</v>
      </c>
      <c r="L74" s="4">
        <f ca="1">ROUND(T_Facebook_Ads[[#This Row],[reach]]*RANDBETWEEN(8,12)/10,0)</f>
        <v>29957</v>
      </c>
      <c r="M74" s="4">
        <f ca="1">T_Facebook_Ads[[#This Row],[frequency]]*RANDBETWEEN(8,12)/10</f>
        <v>1.331</v>
      </c>
      <c r="O74" s="3">
        <f t="shared" ca="1" si="10"/>
        <v>44963</v>
      </c>
      <c r="P74" s="4" t="s">
        <v>84</v>
      </c>
      <c r="Q74" s="4" t="s">
        <v>85</v>
      </c>
      <c r="R74" s="4" t="s">
        <v>86</v>
      </c>
      <c r="S74" s="4" t="s">
        <v>87</v>
      </c>
      <c r="T74" s="4">
        <f ca="1">ROUND(_Google_ads[[#This Row],[impressions]]*RANDBETWEEN(8,12)/10,0)</f>
        <v>56111</v>
      </c>
      <c r="U74" s="4">
        <f ca="1">ROUND(_Google_ads[[#This Row],[clicks]]*RANDBETWEEN(8,12)/10,0)</f>
        <v>1989</v>
      </c>
      <c r="V74" s="4">
        <f ca="1">_Google_ads[[#This Row],[cost]]*RANDBETWEEN(8,12)/10</f>
        <v>365.4</v>
      </c>
      <c r="W74" s="4">
        <f ca="1">ROUND(_Google_ads[[#This Row],[conversions]]*RANDBETWEEN(8,12)/10,0)</f>
        <v>63</v>
      </c>
      <c r="X74" s="4">
        <f ca="1">ROUND(_Google_ads[[#This Row],[conversion_value]]*RANDBETWEEN(8,12)/10,0)</f>
        <v>2850</v>
      </c>
      <c r="Y74" s="4">
        <f ca="1">_Google_ads[[#This Row],[ctr]]*RANDBETWEEN(8,12)/10</f>
        <v>3.5089999999999996E-2</v>
      </c>
      <c r="Z74" s="4">
        <f ca="1">_Google_ads[[#This Row],[avg_cpc]]*RANDBETWEEN(8,12)/10</f>
        <v>0.21600000000000003</v>
      </c>
      <c r="AA74" s="4">
        <f ca="1">ROUND(_Google_ads[[#This Row],[quality_score]]*RANDBETWEEN(8,12)/10,0)</f>
        <v>9</v>
      </c>
      <c r="AB74" s="4">
        <f ca="1">_Google_ads[[#This Row],[search_impression_share]]*RANDBETWEEN(8,12)/10</f>
        <v>0.75600000000000001</v>
      </c>
      <c r="AD74" s="3">
        <f t="shared" ca="1" si="11"/>
        <v>44981</v>
      </c>
      <c r="AE74" s="4" t="s">
        <v>108</v>
      </c>
      <c r="AF74" s="4" t="s">
        <v>109</v>
      </c>
      <c r="AG74" s="4" t="s">
        <v>110</v>
      </c>
      <c r="AH74" s="4" t="s">
        <v>111</v>
      </c>
      <c r="AI74" s="4">
        <f ca="1">ROUND(T_Tiktok_ads[[#This Row],[impressions]]*RANDBETWEEN(8,12)/10,0)</f>
        <v>221357</v>
      </c>
      <c r="AJ74" s="4">
        <f ca="1">ROUND(T_Tiktok_ads[[#This Row],[clicks]]*RANDBETWEEN(8,12)/10,0)</f>
        <v>3123</v>
      </c>
      <c r="AK74" s="4">
        <v>374.5</v>
      </c>
      <c r="AL74" s="4">
        <f ca="1">ROUND(T_Tiktok_ads[[#This Row],[conversions]]*RANDBETWEEN(8,12)/10,0)</f>
        <v>23</v>
      </c>
      <c r="AM74" s="4">
        <f ca="1">ROUND(T_Tiktok_ads[[#This Row],[video_views]]*RANDBETWEEN(8,12)/10,0)</f>
        <v>173679</v>
      </c>
      <c r="AN74" s="4">
        <f ca="1">ROUND(T_Tiktok_ads[[#This Row],[video_watch_25]]*RANDBETWEEN(8,12)/10,0)</f>
        <v>133357</v>
      </c>
      <c r="AO74" s="4">
        <f ca="1">ROUND(T_Tiktok_ads[[#This Row],[video_watch_50]]*RANDBETWEEN(8,12)/10,0)</f>
        <v>105857</v>
      </c>
      <c r="AP74" s="4">
        <f ca="1">ROUND(T_Tiktok_ads[[#This Row],[video_watch_75]]*RANDBETWEEN(8,12)/10,0)</f>
        <v>61234</v>
      </c>
      <c r="AQ74" s="4">
        <f ca="1">ROUND(T_Tiktok_ads[[#This Row],[video_watch_100]]*RANDBETWEEN(8,12)/10,0)</f>
        <v>33710</v>
      </c>
      <c r="AR74" s="4">
        <f ca="1">ROUND(T_Tiktok_ads[[#This Row],[likes]]*RANDBETWEEN(8,12)/10,0)</f>
        <v>8080</v>
      </c>
      <c r="AS74" s="4">
        <f ca="1">ROUND(T_Tiktok_ads[[#This Row],[shares]]*RANDBETWEEN(8,12)/10,0)</f>
        <v>1627</v>
      </c>
      <c r="AT74" s="4">
        <f ca="1">ROUND(T_Tiktok_ads[[#This Row],[comments]]*RANDBETWEEN(8,12)/10,0)</f>
        <v>391</v>
      </c>
      <c r="AV74" s="5">
        <f t="shared" ca="1" si="12"/>
        <v>44964</v>
      </c>
      <c r="AW74">
        <f t="shared" ca="1" si="13"/>
        <v>7</v>
      </c>
      <c r="AX74">
        <f ca="1">ROUND(T_Facebook_Ads1159[[#This Row],[impressions]]*RANDBETWEEN(2,10)/10,0)</f>
        <v>7236</v>
      </c>
      <c r="AY74">
        <f ca="1">ROUND(T_Facebook_Ads1159[[#This Row],[clicks]]*RANDBETWEEN(8,12)/10,0)</f>
        <v>1296</v>
      </c>
      <c r="AZ74">
        <f ca="1">T_Facebook_Ads1159[[#This Row],[spend]]*RANDBETWEEN(8,12)/10</f>
        <v>154.07999999999998</v>
      </c>
      <c r="BA74">
        <f ca="1">ROUND(T_Facebook_Ads1159[[#This Row],[conversions]]*RANDBETWEEN(8,12)/10,0)</f>
        <v>20</v>
      </c>
      <c r="BB74">
        <f ca="1">ROUND(T_Facebook_Ads1159[[#This Row],[video_views]]*RANDBETWEEN(8,12)/10,0)</f>
        <v>5002</v>
      </c>
    </row>
    <row r="75" spans="1:54" ht="15.75" thickBot="1" x14ac:dyDescent="0.3">
      <c r="A75" s="3">
        <f t="shared" ca="1" si="9"/>
        <v>44958</v>
      </c>
      <c r="B75" s="4" t="s">
        <v>64</v>
      </c>
      <c r="C75" s="4" t="s">
        <v>65</v>
      </c>
      <c r="D75" s="4" t="s">
        <v>66</v>
      </c>
      <c r="E75" s="4" t="s">
        <v>67</v>
      </c>
      <c r="F75" s="4">
        <f ca="1">ROUND(T_Facebook_Ads[[#This Row],[impressions]]*RANDBETWEEN(8,12)/10,0)</f>
        <v>56111</v>
      </c>
      <c r="G75" s="4">
        <v>223</v>
      </c>
      <c r="H75" s="4">
        <f ca="1">T_Facebook_Ads[[#This Row],[spend]]*RANDBETWEEN(8,12)/10</f>
        <v>83.929999999999993</v>
      </c>
      <c r="I75" s="4">
        <f ca="1">ROUND(T_Facebook_Ads[[#This Row],[conversions]]*RANDBETWEEN(8,12)/10,0)</f>
        <v>4</v>
      </c>
      <c r="J75" s="4">
        <f ca="1">ROUND(T_Facebook_Ads[[#This Row],[video_views]]*RANDBETWEEN(8,12)/10,0)</f>
        <v>41234</v>
      </c>
      <c r="K75" s="4">
        <f ca="1">T_Facebook_Ads[[#This Row],[engagement_rate]]*RANDBETWEEN(8,12)/10</f>
        <v>3.2399999999999998E-3</v>
      </c>
      <c r="L75" s="4">
        <f ca="1">ROUND(T_Facebook_Ads[[#This Row],[reach]]*RANDBETWEEN(8,12)/10,0)</f>
        <v>41254</v>
      </c>
      <c r="M75" s="4">
        <f ca="1">T_Facebook_Ads[[#This Row],[frequency]]*RANDBETWEEN(8,12)/10</f>
        <v>0.96</v>
      </c>
      <c r="O75" s="3">
        <f t="shared" ca="1" si="10"/>
        <v>44981</v>
      </c>
      <c r="P75" s="4" t="s">
        <v>88</v>
      </c>
      <c r="Q75" s="4" t="s">
        <v>89</v>
      </c>
      <c r="R75" s="4" t="s">
        <v>90</v>
      </c>
      <c r="S75" s="4" t="s">
        <v>59</v>
      </c>
      <c r="T75" s="4">
        <f ca="1">ROUND(_Google_ads[[#This Row],[impressions]]*RANDBETWEEN(8,12)/10,0)</f>
        <v>130057</v>
      </c>
      <c r="U75" s="4">
        <f ca="1">ROUND(_Google_ads[[#This Row],[clicks]]*RANDBETWEEN(8,12)/10,0)</f>
        <v>381</v>
      </c>
      <c r="V75" s="4">
        <f ca="1">_Google_ads[[#This Row],[cost]]*RANDBETWEEN(8,12)/10</f>
        <v>116.2</v>
      </c>
      <c r="W75" s="4">
        <f ca="1">ROUND(_Google_ads[[#This Row],[conversions]]*RANDBETWEEN(8,12)/10,0)</f>
        <v>9</v>
      </c>
      <c r="X75" s="4">
        <f ca="1">ROUND(_Google_ads[[#This Row],[conversion_value]]*RANDBETWEEN(8,12)/10,0)</f>
        <v>660</v>
      </c>
      <c r="Y75" s="4">
        <f ca="1">_Google_ads[[#This Row],[ctr]]*RANDBETWEEN(8,12)/10</f>
        <v>3.96E-3</v>
      </c>
      <c r="Z75" s="4">
        <f ca="1">_Google_ads[[#This Row],[avg_cpc]]*RANDBETWEEN(8,12)/10</f>
        <v>0.32400000000000001</v>
      </c>
      <c r="AA75" s="4">
        <f ca="1">ROUND(_Google_ads[[#This Row],[quality_score]]*RANDBETWEEN(8,12)/10,0)</f>
        <v>6</v>
      </c>
      <c r="AB75" s="4">
        <f ca="1">_Google_ads[[#This Row],[search_impression_share]]*RANDBETWEEN(8,12)/10</f>
        <v>0.28799999999999998</v>
      </c>
      <c r="AD75" s="3">
        <f t="shared" ca="1" si="11"/>
        <v>44982</v>
      </c>
      <c r="AE75" s="4" t="s">
        <v>112</v>
      </c>
      <c r="AF75" s="4" t="s">
        <v>113</v>
      </c>
      <c r="AG75" s="4" t="s">
        <v>114</v>
      </c>
      <c r="AH75" s="4" t="s">
        <v>115</v>
      </c>
      <c r="AI75" s="4">
        <f ca="1">ROUND(T_Tiktok_ads[[#This Row],[impressions]]*RANDBETWEEN(8,12)/10,0)</f>
        <v>441468</v>
      </c>
      <c r="AJ75" s="4">
        <f ca="1">ROUND(T_Tiktok_ads[[#This Row],[clicks]]*RANDBETWEEN(8,12)/10,0)</f>
        <v>6613</v>
      </c>
      <c r="AK75" s="4">
        <v>923.4</v>
      </c>
      <c r="AL75" s="4">
        <f ca="1">ROUND(T_Tiktok_ads[[#This Row],[conversions]]*RANDBETWEEN(8,12)/10,0)</f>
        <v>94</v>
      </c>
      <c r="AM75" s="4">
        <f ca="1">ROUND(T_Tiktok_ads[[#This Row],[video_views]]*RANDBETWEEN(8,12)/10,0)</f>
        <v>271111</v>
      </c>
      <c r="AN75" s="4">
        <f ca="1">ROUND(T_Tiktok_ads[[#This Row],[video_watch_25]]*RANDBETWEEN(8,12)/10,0)</f>
        <v>221110</v>
      </c>
      <c r="AO75" s="4">
        <f ca="1">ROUND(T_Tiktok_ads[[#This Row],[video_watch_50]]*RANDBETWEEN(8,12)/10,0)</f>
        <v>157431</v>
      </c>
      <c r="AP75" s="4">
        <f ca="1">ROUND(T_Tiktok_ads[[#This Row],[video_watch_75]]*RANDBETWEEN(8,12)/10,0)</f>
        <v>112187</v>
      </c>
      <c r="AQ75" s="4">
        <f ca="1">ROUND(T_Tiktok_ads[[#This Row],[video_watch_100]]*RANDBETWEEN(8,12)/10,0)</f>
        <v>74765</v>
      </c>
      <c r="AR75" s="4">
        <f ca="1">ROUND(T_Tiktok_ads[[#This Row],[likes]]*RANDBETWEEN(8,12)/10,0)</f>
        <v>17857</v>
      </c>
      <c r="AS75" s="4">
        <f ca="1">ROUND(T_Tiktok_ads[[#This Row],[shares]]*RANDBETWEEN(8,12)/10,0)</f>
        <v>4789</v>
      </c>
      <c r="AT75" s="4">
        <f ca="1">ROUND(T_Tiktok_ads[[#This Row],[comments]]*RANDBETWEEN(8,12)/10,0)</f>
        <v>1031</v>
      </c>
      <c r="AV75" s="5">
        <f t="shared" ca="1" si="12"/>
        <v>44975</v>
      </c>
      <c r="AW75">
        <f t="shared" ca="1" si="13"/>
        <v>5</v>
      </c>
      <c r="AX75">
        <f ca="1">ROUND(T_Facebook_Ads1159[[#This Row],[impressions]]*RANDBETWEEN(2,10)/10,0)</f>
        <v>22444</v>
      </c>
      <c r="AY75">
        <f ca="1">ROUND(T_Facebook_Ads1159[[#This Row],[clicks]]*RANDBETWEEN(8,12)/10,0)</f>
        <v>178</v>
      </c>
      <c r="AZ75">
        <f ca="1">T_Facebook_Ads1159[[#This Row],[spend]]*RANDBETWEEN(8,12)/10</f>
        <v>75.536999999999992</v>
      </c>
      <c r="BA75">
        <f ca="1">ROUND(T_Facebook_Ads1159[[#This Row],[conversions]]*RANDBETWEEN(8,12)/10,0)</f>
        <v>3</v>
      </c>
      <c r="BB75">
        <f ca="1">ROUND(T_Facebook_Ads1159[[#This Row],[video_views]]*RANDBETWEEN(8,12)/10,0)</f>
        <v>45357</v>
      </c>
    </row>
    <row r="76" spans="1:54" ht="15.75" thickBot="1" x14ac:dyDescent="0.3">
      <c r="A76" s="3">
        <f t="shared" ca="1" si="9"/>
        <v>44968</v>
      </c>
      <c r="B76" s="4" t="s">
        <v>52</v>
      </c>
      <c r="C76" s="4" t="s">
        <v>53</v>
      </c>
      <c r="D76" s="4" t="s">
        <v>54</v>
      </c>
      <c r="E76" s="4" t="s">
        <v>55</v>
      </c>
      <c r="F76" s="4">
        <f ca="1">ROUND(T_Facebook_Ads[[#This Row],[impressions]]*RANDBETWEEN(8,12)/10,0)</f>
        <v>49757</v>
      </c>
      <c r="G76" s="4">
        <v>912</v>
      </c>
      <c r="H76" s="4">
        <f ca="1">T_Facebook_Ads[[#This Row],[spend]]*RANDBETWEEN(8,12)/10</f>
        <v>155.76000000000002</v>
      </c>
      <c r="I76" s="4">
        <f ca="1">ROUND(T_Facebook_Ads[[#This Row],[conversions]]*RANDBETWEEN(8,12)/10,0)</f>
        <v>17</v>
      </c>
      <c r="J76" s="4">
        <f ca="1">ROUND(T_Facebook_Ads[[#This Row],[video_views]]*RANDBETWEEN(8,12)/10,0)</f>
        <v>8234</v>
      </c>
      <c r="K76" s="4">
        <f ca="1">T_Facebook_Ads[[#This Row],[engagement_rate]]*RANDBETWEEN(8,12)/10</f>
        <v>2.4240000000000001E-2</v>
      </c>
      <c r="L76" s="4">
        <f ca="1">ROUND(T_Facebook_Ads[[#This Row],[reach]]*RANDBETWEEN(8,12)/10,0)</f>
        <v>42424</v>
      </c>
      <c r="M76" s="4">
        <f ca="1">T_Facebook_Ads[[#This Row],[frequency]]*RANDBETWEEN(8,12)/10</f>
        <v>1.0529999999999999</v>
      </c>
      <c r="O76" s="3">
        <f t="shared" ca="1" si="10"/>
        <v>44983</v>
      </c>
      <c r="P76" s="4" t="s">
        <v>76</v>
      </c>
      <c r="Q76" s="4" t="s">
        <v>77</v>
      </c>
      <c r="R76" s="4" t="s">
        <v>78</v>
      </c>
      <c r="S76" s="4" t="s">
        <v>79</v>
      </c>
      <c r="T76" s="4">
        <f ca="1">ROUND(_Google_ads[[#This Row],[impressions]]*RANDBETWEEN(8,12)/10,0)</f>
        <v>29081</v>
      </c>
      <c r="U76" s="4">
        <f ca="1">ROUND(_Google_ads[[#This Row],[clicks]]*RANDBETWEEN(8,12)/10,0)</f>
        <v>1140</v>
      </c>
      <c r="V76" s="4">
        <f ca="1">_Google_ads[[#This Row],[cost]]*RANDBETWEEN(8,12)/10</f>
        <v>265.32</v>
      </c>
      <c r="W76" s="4">
        <f ca="1">ROUND(_Google_ads[[#This Row],[conversions]]*RANDBETWEEN(8,12)/10,0)</f>
        <v>42</v>
      </c>
      <c r="X76" s="4">
        <f ca="1">ROUND(_Google_ads[[#This Row],[conversion_value]]*RANDBETWEEN(8,12)/10,0)</f>
        <v>2585</v>
      </c>
      <c r="Y76" s="4">
        <f ca="1">_Google_ads[[#This Row],[ctr]]*RANDBETWEEN(8,12)/10</f>
        <v>5.7530000000000005E-2</v>
      </c>
      <c r="Z76" s="4">
        <f ca="1">_Google_ads[[#This Row],[avg_cpc]]*RANDBETWEEN(8,12)/10</f>
        <v>0.17099999999999999</v>
      </c>
      <c r="AA76" s="4">
        <f ca="1">ROUND(_Google_ads[[#This Row],[quality_score]]*RANDBETWEEN(8,12)/10,0)</f>
        <v>8</v>
      </c>
      <c r="AB76" s="4">
        <f ca="1">_Google_ads[[#This Row],[search_impression_share]]*RANDBETWEEN(8,12)/10</f>
        <v>0.81899999999999995</v>
      </c>
      <c r="AD76" s="3">
        <f t="shared" ca="1" si="11"/>
        <v>44963</v>
      </c>
      <c r="AE76" s="4" t="s">
        <v>100</v>
      </c>
      <c r="AF76" s="4" t="s">
        <v>101</v>
      </c>
      <c r="AG76" s="4" t="s">
        <v>102</v>
      </c>
      <c r="AH76" s="4" t="s">
        <v>103</v>
      </c>
      <c r="AI76" s="4">
        <f ca="1">ROUND(T_Tiktok_ads[[#This Row],[impressions]]*RANDBETWEEN(8,12)/10,0)</f>
        <v>294679</v>
      </c>
      <c r="AJ76" s="4">
        <f ca="1">ROUND(T_Tiktok_ads[[#This Row],[clicks]]*RANDBETWEEN(8,12)/10,0)</f>
        <v>3551</v>
      </c>
      <c r="AK76" s="4">
        <v>523.4</v>
      </c>
      <c r="AL76" s="4">
        <f ca="1">ROUND(T_Tiktok_ads[[#This Row],[conversions]]*RANDBETWEEN(8,12)/10,0)</f>
        <v>32</v>
      </c>
      <c r="AM76" s="4">
        <f ca="1">ROUND(T_Tiktok_ads[[#This Row],[video_views]]*RANDBETWEEN(8,12)/10,0)</f>
        <v>199111</v>
      </c>
      <c r="AN76" s="4">
        <f ca="1">ROUND(T_Tiktok_ads[[#This Row],[video_watch_25]]*RANDBETWEEN(8,12)/10,0)</f>
        <v>138765</v>
      </c>
      <c r="AO76" s="4">
        <f ca="1">ROUND(T_Tiktok_ads[[#This Row],[video_watch_50]]*RANDBETWEEN(8,12)/10,0)</f>
        <v>87387</v>
      </c>
      <c r="AP76" s="4">
        <f ca="1">ROUND(T_Tiktok_ads[[#This Row],[video_watch_75]]*RANDBETWEEN(8,12)/10,0)</f>
        <v>73567</v>
      </c>
      <c r="AQ76" s="4">
        <f ca="1">ROUND(T_Tiktok_ads[[#This Row],[video_watch_100]]*RANDBETWEEN(8,12)/10,0)</f>
        <v>54157</v>
      </c>
      <c r="AR76" s="4">
        <f ca="1">ROUND(T_Tiktok_ads[[#This Row],[likes]]*RANDBETWEEN(8,12)/10,0)</f>
        <v>7831</v>
      </c>
      <c r="AS76" s="4">
        <f ca="1">ROUND(T_Tiktok_ads[[#This Row],[shares]]*RANDBETWEEN(8,12)/10,0)</f>
        <v>3161</v>
      </c>
      <c r="AT76" s="4">
        <f ca="1">ROUND(T_Tiktok_ads[[#This Row],[comments]]*RANDBETWEEN(8,12)/10,0)</f>
        <v>748</v>
      </c>
      <c r="AV76" s="5">
        <f t="shared" ca="1" si="12"/>
        <v>44983</v>
      </c>
      <c r="AW76">
        <f t="shared" ca="1" si="13"/>
        <v>6</v>
      </c>
      <c r="AX76">
        <f ca="1">ROUND(T_Facebook_Ads1159[[#This Row],[impressions]]*RANDBETWEEN(2,10)/10,0)</f>
        <v>14927</v>
      </c>
      <c r="AY76">
        <f ca="1">ROUND(T_Facebook_Ads1159[[#This Row],[clicks]]*RANDBETWEEN(8,12)/10,0)</f>
        <v>1094</v>
      </c>
      <c r="AZ76">
        <f ca="1">T_Facebook_Ads1159[[#This Row],[spend]]*RANDBETWEEN(8,12)/10</f>
        <v>155.76000000000002</v>
      </c>
      <c r="BA76">
        <f ca="1">ROUND(T_Facebook_Ads1159[[#This Row],[conversions]]*RANDBETWEEN(8,12)/10,0)</f>
        <v>14</v>
      </c>
      <c r="BB76">
        <f ca="1">ROUND(T_Facebook_Ads1159[[#This Row],[video_views]]*RANDBETWEEN(8,12)/10,0)</f>
        <v>8234</v>
      </c>
    </row>
    <row r="77" spans="1:54" ht="15.75" thickBot="1" x14ac:dyDescent="0.3">
      <c r="A77" s="3">
        <f t="shared" ca="1" si="9"/>
        <v>44965</v>
      </c>
      <c r="B77" s="4" t="s">
        <v>56</v>
      </c>
      <c r="C77" s="4" t="s">
        <v>57</v>
      </c>
      <c r="D77" s="4" t="s">
        <v>58</v>
      </c>
      <c r="E77" s="4" t="s">
        <v>59</v>
      </c>
      <c r="F77" s="4">
        <f ca="1">ROUND(T_Facebook_Ads[[#This Row],[impressions]]*RANDBETWEEN(8,12)/10,0)</f>
        <v>9965</v>
      </c>
      <c r="G77" s="4">
        <v>567</v>
      </c>
      <c r="H77" s="4">
        <f ca="1">T_Facebook_Ads[[#This Row],[spend]]*RANDBETWEEN(8,12)/10</f>
        <v>167.68</v>
      </c>
      <c r="I77" s="4">
        <f ca="1">ROUND(T_Facebook_Ads[[#This Row],[conversions]]*RANDBETWEEN(8,12)/10,0)</f>
        <v>32</v>
      </c>
      <c r="J77" s="4">
        <f ca="1">ROUND(T_Facebook_Ads[[#This Row],[video_views]]*RANDBETWEEN(8,12)/10,0)</f>
        <v>1481</v>
      </c>
      <c r="K77" s="4">
        <f ca="1">T_Facebook_Ads[[#This Row],[engagement_rate]]*RANDBETWEEN(8,12)/10</f>
        <v>5.4600000000000003E-2</v>
      </c>
      <c r="L77" s="4">
        <f ca="1">ROUND(T_Facebook_Ads[[#This Row],[reach]]*RANDBETWEEN(8,12)/10,0)</f>
        <v>9876</v>
      </c>
      <c r="M77" s="4">
        <f ca="1">T_Facebook_Ads[[#This Row],[frequency]]*RANDBETWEEN(8,12)/10</f>
        <v>1.008</v>
      </c>
      <c r="O77" s="3">
        <f t="shared" ca="1" si="10"/>
        <v>44960</v>
      </c>
      <c r="P77" s="4" t="s">
        <v>80</v>
      </c>
      <c r="Q77" s="4" t="s">
        <v>81</v>
      </c>
      <c r="R77" s="4" t="s">
        <v>82</v>
      </c>
      <c r="S77" s="4" t="s">
        <v>83</v>
      </c>
      <c r="T77" s="4">
        <f ca="1">ROUND(_Google_ads[[#This Row],[impressions]]*RANDBETWEEN(8,12)/10,0)</f>
        <v>51468</v>
      </c>
      <c r="U77" s="4">
        <f ca="1">ROUND(_Google_ads[[#This Row],[clicks]]*RANDBETWEEN(8,12)/10,0)</f>
        <v>761</v>
      </c>
      <c r="V77" s="4">
        <f ca="1">_Google_ads[[#This Row],[cost]]*RANDBETWEEN(8,12)/10</f>
        <v>549.29999999999995</v>
      </c>
      <c r="W77" s="4">
        <f ca="1">ROUND(_Google_ads[[#This Row],[conversions]]*RANDBETWEEN(8,12)/10,0)</f>
        <v>24</v>
      </c>
      <c r="X77" s="4">
        <f ca="1">ROUND(_Google_ads[[#This Row],[conversion_value]]*RANDBETWEEN(8,12)/10,0)</f>
        <v>990</v>
      </c>
      <c r="Y77" s="4">
        <f ca="1">_Google_ads[[#This Row],[ctr]]*RANDBETWEEN(8,12)/10</f>
        <v>1.576E-2</v>
      </c>
      <c r="Z77" s="4">
        <f ca="1">_Google_ads[[#This Row],[avg_cpc]]*RANDBETWEEN(8,12)/10</f>
        <v>0.52</v>
      </c>
      <c r="AA77" s="4">
        <f ca="1">ROUND(_Google_ads[[#This Row],[quality_score]]*RANDBETWEEN(8,12)/10,0)</f>
        <v>8</v>
      </c>
      <c r="AB77" s="4">
        <f ca="1">_Google_ads[[#This Row],[search_impression_share]]*RANDBETWEEN(8,12)/10</f>
        <v>0.48399999999999999</v>
      </c>
      <c r="AD77" s="3">
        <f t="shared" ca="1" si="11"/>
        <v>44980</v>
      </c>
      <c r="AE77" s="4" t="s">
        <v>104</v>
      </c>
      <c r="AF77" s="4" t="s">
        <v>105</v>
      </c>
      <c r="AG77" s="4" t="s">
        <v>106</v>
      </c>
      <c r="AH77" s="4" t="s">
        <v>107</v>
      </c>
      <c r="AI77" s="4">
        <f ca="1">ROUND(T_Tiktok_ads[[#This Row],[impressions]]*RANDBETWEEN(8,12)/10,0)</f>
        <v>163791</v>
      </c>
      <c r="AJ77" s="4">
        <f ca="1">ROUND(T_Tiktok_ads[[#This Row],[clicks]]*RANDBETWEEN(8,12)/10,0)</f>
        <v>2551</v>
      </c>
      <c r="AK77" s="4">
        <v>767.5</v>
      </c>
      <c r="AL77" s="4">
        <f ca="1">ROUND(T_Tiktok_ads[[#This Row],[conversions]]*RANDBETWEEN(8,12)/10,0)</f>
        <v>92</v>
      </c>
      <c r="AM77" s="4">
        <f ca="1">ROUND(T_Tiktok_ads[[#This Row],[video_views]]*RANDBETWEEN(8,12)/10,0)</f>
        <v>82765</v>
      </c>
      <c r="AN77" s="4">
        <f ca="1">ROUND(T_Tiktok_ads[[#This Row],[video_watch_25]]*RANDBETWEEN(8,12)/10,0)</f>
        <v>68611</v>
      </c>
      <c r="AO77" s="4">
        <f ca="1">ROUND(T_Tiktok_ads[[#This Row],[video_watch_50]]*RANDBETWEEN(8,12)/10,0)</f>
        <v>61481</v>
      </c>
      <c r="AP77" s="4">
        <f ca="1">ROUND(T_Tiktok_ads[[#This Row],[video_watch_75]]*RANDBETWEEN(8,12)/10,0)</f>
        <v>42424</v>
      </c>
      <c r="AQ77" s="4">
        <f ca="1">ROUND(T_Tiktok_ads[[#This Row],[video_watch_100]]*RANDBETWEEN(8,12)/10,0)</f>
        <v>30947</v>
      </c>
      <c r="AR77" s="4">
        <f ca="1">ROUND(T_Tiktok_ads[[#This Row],[likes]]*RANDBETWEEN(8,12)/10,0)</f>
        <v>6148</v>
      </c>
      <c r="AS77" s="4">
        <f ca="1">ROUND(T_Tiktok_ads[[#This Row],[shares]]*RANDBETWEEN(8,12)/10,0)</f>
        <v>1456</v>
      </c>
      <c r="AT77" s="4">
        <f ca="1">ROUND(T_Tiktok_ads[[#This Row],[comments]]*RANDBETWEEN(8,12)/10,0)</f>
        <v>334</v>
      </c>
      <c r="AV77" s="5">
        <f t="shared" ca="1" si="12"/>
        <v>44985</v>
      </c>
      <c r="AW77">
        <f t="shared" ca="1" si="13"/>
        <v>1</v>
      </c>
      <c r="AX77">
        <f ca="1">ROUND(T_Facebook_Ads1159[[#This Row],[impressions]]*RANDBETWEEN(2,10)/10,0)</f>
        <v>9965</v>
      </c>
      <c r="AY77">
        <f ca="1">ROUND(T_Facebook_Ads1159[[#This Row],[clicks]]*RANDBETWEEN(8,12)/10,0)</f>
        <v>567</v>
      </c>
      <c r="AZ77">
        <f ca="1">T_Facebook_Ads1159[[#This Row],[spend]]*RANDBETWEEN(8,12)/10</f>
        <v>184.44800000000001</v>
      </c>
      <c r="BA77">
        <f ca="1">ROUND(T_Facebook_Ads1159[[#This Row],[conversions]]*RANDBETWEEN(8,12)/10,0)</f>
        <v>38</v>
      </c>
      <c r="BB77">
        <f ca="1">ROUND(T_Facebook_Ads1159[[#This Row],[video_views]]*RANDBETWEEN(8,12)/10,0)</f>
        <v>1333</v>
      </c>
    </row>
    <row r="78" spans="1:54" ht="15.75" thickBot="1" x14ac:dyDescent="0.3">
      <c r="A78" s="3">
        <f t="shared" ca="1" si="9"/>
        <v>44981</v>
      </c>
      <c r="B78" s="4" t="s">
        <v>60</v>
      </c>
      <c r="C78" s="4" t="s">
        <v>61</v>
      </c>
      <c r="D78" s="4" t="s">
        <v>62</v>
      </c>
      <c r="E78" s="4" t="s">
        <v>63</v>
      </c>
      <c r="F78" s="4">
        <f ca="1">ROUND(T_Facebook_Ads[[#This Row],[impressions]]*RANDBETWEEN(8,12)/10,0)</f>
        <v>28098</v>
      </c>
      <c r="G78" s="4">
        <v>1267</v>
      </c>
      <c r="H78" s="4">
        <f ca="1">T_Facebook_Ads[[#This Row],[spend]]*RANDBETWEEN(8,12)/10</f>
        <v>175.05</v>
      </c>
      <c r="I78" s="4">
        <f ca="1">ROUND(T_Facebook_Ads[[#This Row],[conversions]]*RANDBETWEEN(8,12)/10,0)</f>
        <v>23</v>
      </c>
      <c r="J78" s="4">
        <f ca="1">ROUND(T_Facebook_Ads[[#This Row],[video_views]]*RANDBETWEEN(8,12)/10,0)</f>
        <v>3911</v>
      </c>
      <c r="K78" s="4">
        <f ca="1">T_Facebook_Ads[[#This Row],[engagement_rate]]*RANDBETWEEN(8,12)/10</f>
        <v>3.9710000000000002E-2</v>
      </c>
      <c r="L78" s="4">
        <f ca="1">ROUND(T_Facebook_Ads[[#This Row],[reach]]*RANDBETWEEN(8,12)/10,0)</f>
        <v>26211</v>
      </c>
      <c r="M78" s="4">
        <f ca="1">T_Facebook_Ads[[#This Row],[frequency]]*RANDBETWEEN(8,12)/10</f>
        <v>1.089</v>
      </c>
      <c r="O78" s="3">
        <f t="shared" ca="1" si="10"/>
        <v>44961</v>
      </c>
      <c r="P78" s="4" t="s">
        <v>84</v>
      </c>
      <c r="Q78" s="4" t="s">
        <v>85</v>
      </c>
      <c r="R78" s="4" t="s">
        <v>86</v>
      </c>
      <c r="S78" s="4" t="s">
        <v>87</v>
      </c>
      <c r="T78" s="4">
        <f ca="1">ROUND(_Google_ads[[#This Row],[impressions]]*RANDBETWEEN(8,12)/10,0)</f>
        <v>66789</v>
      </c>
      <c r="U78" s="4">
        <f ca="1">ROUND(_Google_ads[[#This Row],[clicks]]*RANDBETWEEN(8,12)/10,0)</f>
        <v>2445</v>
      </c>
      <c r="V78" s="4">
        <f ca="1">_Google_ads[[#This Row],[cost]]*RANDBETWEEN(8,12)/10</f>
        <v>448.68999999999994</v>
      </c>
      <c r="W78" s="4">
        <f ca="1">ROUND(_Google_ads[[#This Row],[conversions]]*RANDBETWEEN(8,12)/10,0)</f>
        <v>51</v>
      </c>
      <c r="X78" s="4">
        <f ca="1">ROUND(_Google_ads[[#This Row],[conversion_value]]*RANDBETWEEN(8,12)/10,0)</f>
        <v>3840</v>
      </c>
      <c r="Y78" s="4">
        <f ca="1">_Google_ads[[#This Row],[ctr]]*RANDBETWEEN(8,12)/10</f>
        <v>3.6630000000000003E-2</v>
      </c>
      <c r="Z78" s="4">
        <f ca="1">_Google_ads[[#This Row],[avg_cpc]]*RANDBETWEEN(8,12)/10</f>
        <v>0.14399999999999999</v>
      </c>
      <c r="AA78" s="4">
        <f ca="1">ROUND(_Google_ads[[#This Row],[quality_score]]*RANDBETWEEN(8,12)/10,0)</f>
        <v>7</v>
      </c>
      <c r="AB78" s="4">
        <f ca="1">_Google_ads[[#This Row],[search_impression_share]]*RANDBETWEEN(8,12)/10</f>
        <v>0.79200000000000004</v>
      </c>
      <c r="AD78" s="3">
        <f t="shared" ca="1" si="11"/>
        <v>44965</v>
      </c>
      <c r="AE78" s="4" t="s">
        <v>108</v>
      </c>
      <c r="AF78" s="4" t="s">
        <v>109</v>
      </c>
      <c r="AG78" s="4" t="s">
        <v>110</v>
      </c>
      <c r="AH78" s="4" t="s">
        <v>111</v>
      </c>
      <c r="AI78" s="4">
        <f ca="1">ROUND(T_Tiktok_ads[[#This Row],[impressions]]*RANDBETWEEN(8,12)/10,0)</f>
        <v>274681</v>
      </c>
      <c r="AJ78" s="4">
        <f ca="1">ROUND(T_Tiktok_ads[[#This Row],[clicks]]*RANDBETWEEN(8,12)/10,0)</f>
        <v>2907</v>
      </c>
      <c r="AK78" s="4">
        <v>441.9</v>
      </c>
      <c r="AL78" s="4">
        <f ca="1">ROUND(T_Tiktok_ads[[#This Row],[conversions]]*RANDBETWEEN(8,12)/10,0)</f>
        <v>25</v>
      </c>
      <c r="AM78" s="4">
        <f ca="1">ROUND(T_Tiktok_ads[[#This Row],[video_views]]*RANDBETWEEN(8,12)/10,0)</f>
        <v>164111</v>
      </c>
      <c r="AN78" s="4">
        <f ca="1">ROUND(T_Tiktok_ads[[#This Row],[video_watch_25]]*RANDBETWEEN(8,12)/10,0)</f>
        <v>165468</v>
      </c>
      <c r="AO78" s="4">
        <f ca="1">ROUND(T_Tiktok_ads[[#This Row],[video_watch_50]]*RANDBETWEEN(8,12)/10,0)</f>
        <v>130681</v>
      </c>
      <c r="AP78" s="4">
        <f ca="1">ROUND(T_Tiktok_ads[[#This Row],[video_watch_75]]*RANDBETWEEN(8,12)/10,0)</f>
        <v>84680</v>
      </c>
      <c r="AQ78" s="4">
        <f ca="1">ROUND(T_Tiktok_ads[[#This Row],[video_watch_100]]*RANDBETWEEN(8,12)/10,0)</f>
        <v>51347</v>
      </c>
      <c r="AR78" s="4">
        <f ca="1">ROUND(T_Tiktok_ads[[#This Row],[likes]]*RANDBETWEEN(8,12)/10,0)</f>
        <v>6765</v>
      </c>
      <c r="AS78" s="4">
        <f ca="1">ROUND(T_Tiktok_ads[[#This Row],[shares]]*RANDBETWEEN(8,12)/10,0)</f>
        <v>2531</v>
      </c>
      <c r="AT78" s="4">
        <f ca="1">ROUND(T_Tiktok_ads[[#This Row],[comments]]*RANDBETWEEN(8,12)/10,0)</f>
        <v>491</v>
      </c>
      <c r="AV78" s="5">
        <f t="shared" ca="1" si="12"/>
        <v>44973</v>
      </c>
      <c r="AW78">
        <f t="shared" ca="1" si="13"/>
        <v>2</v>
      </c>
      <c r="AX78">
        <f ca="1">ROUND(T_Facebook_Ads1159[[#This Row],[impressions]]*RANDBETWEEN(2,10)/10,0)</f>
        <v>5620</v>
      </c>
      <c r="AY78">
        <f ca="1">ROUND(T_Facebook_Ads1159[[#This Row],[clicks]]*RANDBETWEEN(8,12)/10,0)</f>
        <v>1140</v>
      </c>
      <c r="AZ78">
        <f ca="1">T_Facebook_Ads1159[[#This Row],[spend]]*RANDBETWEEN(8,12)/10</f>
        <v>210.06000000000003</v>
      </c>
      <c r="BA78">
        <f ca="1">ROUND(T_Facebook_Ads1159[[#This Row],[conversions]]*RANDBETWEEN(8,12)/10,0)</f>
        <v>21</v>
      </c>
      <c r="BB78">
        <f ca="1">ROUND(T_Facebook_Ads1159[[#This Row],[video_views]]*RANDBETWEEN(8,12)/10,0)</f>
        <v>3911</v>
      </c>
    </row>
    <row r="79" spans="1:54" ht="15.75" thickBot="1" x14ac:dyDescent="0.3">
      <c r="A79" s="3">
        <f t="shared" ca="1" si="9"/>
        <v>44961</v>
      </c>
      <c r="B79" s="4" t="s">
        <v>64</v>
      </c>
      <c r="C79" s="4" t="s">
        <v>65</v>
      </c>
      <c r="D79" s="4" t="s">
        <v>66</v>
      </c>
      <c r="E79" s="4" t="s">
        <v>67</v>
      </c>
      <c r="F79" s="4">
        <f ca="1">ROUND(T_Facebook_Ads[[#This Row],[impressions]]*RANDBETWEEN(8,12)/10,0)</f>
        <v>60110</v>
      </c>
      <c r="G79" s="4">
        <v>245</v>
      </c>
      <c r="H79" s="4">
        <f ca="1">T_Facebook_Ads[[#This Row],[spend]]*RANDBETWEEN(8,12)/10</f>
        <v>93.17</v>
      </c>
      <c r="I79" s="4">
        <f ca="1">ROUND(T_Facebook_Ads[[#This Row],[conversions]]*RANDBETWEEN(8,12)/10,0)</f>
        <v>4</v>
      </c>
      <c r="J79" s="4">
        <f ca="1">ROUND(T_Facebook_Ads[[#This Row],[video_views]]*RANDBETWEEN(8,12)/10,0)</f>
        <v>53480</v>
      </c>
      <c r="K79" s="4">
        <f ca="1">T_Facebook_Ads[[#This Row],[engagement_rate]]*RANDBETWEEN(8,12)/10</f>
        <v>3.3300000000000005E-3</v>
      </c>
      <c r="L79" s="4">
        <f ca="1">ROUND(T_Facebook_Ads[[#This Row],[reach]]*RANDBETWEEN(8,12)/10,0)</f>
        <v>60379</v>
      </c>
      <c r="M79" s="4">
        <f ca="1">T_Facebook_Ads[[#This Row],[frequency]]*RANDBETWEEN(8,12)/10</f>
        <v>0.97599999999999998</v>
      </c>
      <c r="O79" s="3">
        <f t="shared" ca="1" si="10"/>
        <v>44972</v>
      </c>
      <c r="P79" s="4" t="s">
        <v>88</v>
      </c>
      <c r="Q79" s="4" t="s">
        <v>89</v>
      </c>
      <c r="R79" s="4" t="s">
        <v>90</v>
      </c>
      <c r="S79" s="4" t="s">
        <v>59</v>
      </c>
      <c r="T79" s="4">
        <f ca="1">ROUND(_Google_ads[[#This Row],[impressions]]*RANDBETWEEN(8,12)/10,0)</f>
        <v>102312</v>
      </c>
      <c r="U79" s="4">
        <f ca="1">ROUND(_Google_ads[[#This Row],[clicks]]*RANDBETWEEN(8,12)/10,0)</f>
        <v>502</v>
      </c>
      <c r="V79" s="4">
        <f ca="1">_Google_ads[[#This Row],[cost]]*RANDBETWEEN(8,12)/10</f>
        <v>150.71999999999997</v>
      </c>
      <c r="W79" s="4">
        <f ca="1">ROUND(_Google_ads[[#This Row],[conversions]]*RANDBETWEEN(8,12)/10,0)</f>
        <v>16</v>
      </c>
      <c r="X79" s="4">
        <f ca="1">ROUND(_Google_ads[[#This Row],[conversion_value]]*RANDBETWEEN(8,12)/10,0)</f>
        <v>780</v>
      </c>
      <c r="Y79" s="4">
        <f ca="1">_Google_ads[[#This Row],[ctr]]*RANDBETWEEN(8,12)/10</f>
        <v>3.2399999999999998E-3</v>
      </c>
      <c r="Z79" s="4">
        <f ca="1">_Google_ads[[#This Row],[avg_cpc]]*RANDBETWEEN(8,12)/10</f>
        <v>0.25200000000000006</v>
      </c>
      <c r="AA79" s="4">
        <f ca="1">ROUND(_Google_ads[[#This Row],[quality_score]]*RANDBETWEEN(8,12)/10,0)</f>
        <v>8</v>
      </c>
      <c r="AB79" s="4">
        <f ca="1">_Google_ads[[#This Row],[search_impression_share]]*RANDBETWEEN(8,12)/10</f>
        <v>0.40800000000000003</v>
      </c>
      <c r="AD79" s="3">
        <f t="shared" ca="1" si="11"/>
        <v>44958</v>
      </c>
      <c r="AE79" s="4" t="s">
        <v>112</v>
      </c>
      <c r="AF79" s="4" t="s">
        <v>113</v>
      </c>
      <c r="AG79" s="4" t="s">
        <v>114</v>
      </c>
      <c r="AH79" s="4" t="s">
        <v>115</v>
      </c>
      <c r="AI79" s="4">
        <f ca="1">ROUND(T_Tiktok_ads[[#This Row],[impressions]]*RANDBETWEEN(8,12)/10,0)</f>
        <v>358710</v>
      </c>
      <c r="AJ79" s="4">
        <f ca="1">ROUND(T_Tiktok_ads[[#This Row],[clicks]]*RANDBETWEEN(8,12)/10,0)</f>
        <v>7841</v>
      </c>
      <c r="AK79" s="4">
        <v>998.7</v>
      </c>
      <c r="AL79" s="4">
        <f ca="1">ROUND(T_Tiktok_ads[[#This Row],[conversions]]*RANDBETWEEN(8,12)/10,0)</f>
        <v>98</v>
      </c>
      <c r="AM79" s="4">
        <f ca="1">ROUND(T_Tiktok_ads[[#This Row],[video_views]]*RANDBETWEEN(8,12)/10,0)</f>
        <v>398814</v>
      </c>
      <c r="AN79" s="4">
        <f ca="1">ROUND(T_Tiktok_ads[[#This Row],[video_watch_25]]*RANDBETWEEN(8,12)/10,0)</f>
        <v>321468</v>
      </c>
      <c r="AO79" s="4">
        <f ca="1">ROUND(T_Tiktok_ads[[#This Row],[video_watch_50]]*RANDBETWEEN(8,12)/10,0)</f>
        <v>214567</v>
      </c>
      <c r="AP79" s="4">
        <f ca="1">ROUND(T_Tiktok_ads[[#This Row],[video_watch_75]]*RANDBETWEEN(8,12)/10,0)</f>
        <v>136111</v>
      </c>
      <c r="AQ79" s="4">
        <f ca="1">ROUND(T_Tiktok_ads[[#This Row],[video_watch_100]]*RANDBETWEEN(8,12)/10,0)</f>
        <v>109524</v>
      </c>
      <c r="AR79" s="4">
        <f ca="1">ROUND(T_Tiktok_ads[[#This Row],[likes]]*RANDBETWEEN(8,12)/10,0)</f>
        <v>19532</v>
      </c>
      <c r="AS79" s="4">
        <f ca="1">ROUND(T_Tiktok_ads[[#This Row],[shares]]*RANDBETWEEN(8,12)/10,0)</f>
        <v>4010</v>
      </c>
      <c r="AT79" s="4">
        <f ca="1">ROUND(T_Tiktok_ads[[#This Row],[comments]]*RANDBETWEEN(8,12)/10,0)</f>
        <v>1528</v>
      </c>
      <c r="AV79" s="5">
        <f t="shared" ca="1" si="12"/>
        <v>44962</v>
      </c>
      <c r="AW79">
        <f t="shared" ca="1" si="13"/>
        <v>6</v>
      </c>
      <c r="AX79">
        <f ca="1">ROUND(T_Facebook_Ads1159[[#This Row],[impressions]]*RANDBETWEEN(2,10)/10,0)</f>
        <v>60110</v>
      </c>
      <c r="AY79">
        <f ca="1">ROUND(T_Facebook_Ads1159[[#This Row],[clicks]]*RANDBETWEEN(8,12)/10,0)</f>
        <v>294</v>
      </c>
      <c r="AZ79">
        <f ca="1">T_Facebook_Ads1159[[#This Row],[spend]]*RANDBETWEEN(8,12)/10</f>
        <v>83.852999999999994</v>
      </c>
      <c r="BA79">
        <f ca="1">ROUND(T_Facebook_Ads1159[[#This Row],[conversions]]*RANDBETWEEN(8,12)/10,0)</f>
        <v>4</v>
      </c>
      <c r="BB79">
        <f ca="1">ROUND(T_Facebook_Ads1159[[#This Row],[video_views]]*RANDBETWEEN(8,12)/10,0)</f>
        <v>48132</v>
      </c>
    </row>
    <row r="80" spans="1:54" ht="15.75" thickBot="1" x14ac:dyDescent="0.3">
      <c r="A80" s="3">
        <f t="shared" ca="1" si="9"/>
        <v>44964</v>
      </c>
      <c r="B80" s="4" t="s">
        <v>52</v>
      </c>
      <c r="C80" s="4" t="s">
        <v>53</v>
      </c>
      <c r="D80" s="4" t="s">
        <v>54</v>
      </c>
      <c r="E80" s="4" t="s">
        <v>55</v>
      </c>
      <c r="F80" s="4">
        <f ca="1">ROUND(T_Facebook_Ads[[#This Row],[impressions]]*RANDBETWEEN(8,12)/10,0)</f>
        <v>43710</v>
      </c>
      <c r="G80" s="4">
        <v>989</v>
      </c>
      <c r="H80" s="4">
        <f ca="1">T_Facebook_Ads[[#This Row],[spend]]*RANDBETWEEN(8,12)/10</f>
        <v>154.33000000000001</v>
      </c>
      <c r="I80" s="4">
        <f ca="1">ROUND(T_Facebook_Ads[[#This Row],[conversions]]*RANDBETWEEN(8,12)/10,0)</f>
        <v>14</v>
      </c>
      <c r="J80" s="4">
        <f ca="1">ROUND(T_Facebook_Ads[[#This Row],[video_views]]*RANDBETWEEN(8,12)/10,0)</f>
        <v>7156</v>
      </c>
      <c r="K80" s="4">
        <f ca="1">T_Facebook_Ads[[#This Row],[engagement_rate]]*RANDBETWEEN(8,12)/10</f>
        <v>1.6320000000000001E-2</v>
      </c>
      <c r="L80" s="4">
        <f ca="1">ROUND(T_Facebook_Ads[[#This Row],[reach]]*RANDBETWEEN(8,12)/10,0)</f>
        <v>44502</v>
      </c>
      <c r="M80" s="4">
        <f ca="1">T_Facebook_Ads[[#This Row],[frequency]]*RANDBETWEEN(8,12)/10</f>
        <v>1.44</v>
      </c>
      <c r="O80" s="3">
        <f t="shared" ca="1" si="10"/>
        <v>44964</v>
      </c>
      <c r="P80" s="4" t="s">
        <v>76</v>
      </c>
      <c r="Q80" s="4" t="s">
        <v>77</v>
      </c>
      <c r="R80" s="4" t="s">
        <v>78</v>
      </c>
      <c r="S80" s="4" t="s">
        <v>79</v>
      </c>
      <c r="T80" s="4">
        <f ca="1">ROUND(_Google_ads[[#This Row],[impressions]]*RANDBETWEEN(8,12)/10,0)</f>
        <v>28246</v>
      </c>
      <c r="U80" s="4">
        <f ca="1">ROUND(_Google_ads[[#This Row],[clicks]]*RANDBETWEEN(8,12)/10,0)</f>
        <v>1220</v>
      </c>
      <c r="V80" s="4">
        <f ca="1">_Google_ads[[#This Row],[cost]]*RANDBETWEEN(8,12)/10</f>
        <v>311.27999999999997</v>
      </c>
      <c r="W80" s="4">
        <f ca="1">ROUND(_Google_ads[[#This Row],[conversions]]*RANDBETWEEN(8,12)/10,0)</f>
        <v>41</v>
      </c>
      <c r="X80" s="4">
        <f ca="1">ROUND(_Google_ads[[#This Row],[conversion_value]]*RANDBETWEEN(8,12)/10,0)</f>
        <v>2805</v>
      </c>
      <c r="Y80" s="4">
        <f ca="1">_Google_ads[[#This Row],[ctr]]*RANDBETWEEN(8,12)/10</f>
        <v>4.752E-2</v>
      </c>
      <c r="Z80" s="4">
        <f ca="1">_Google_ads[[#This Row],[avg_cpc]]*RANDBETWEEN(8,12)/10</f>
        <v>0.152</v>
      </c>
      <c r="AA80" s="4">
        <f ca="1">ROUND(_Google_ads[[#This Row],[quality_score]]*RANDBETWEEN(8,12)/10,0)</f>
        <v>8</v>
      </c>
      <c r="AB80" s="4">
        <f ca="1">_Google_ads[[#This Row],[search_impression_share]]*RANDBETWEEN(8,12)/10</f>
        <v>0.92000000000000015</v>
      </c>
      <c r="AD80" s="3">
        <f t="shared" ca="1" si="11"/>
        <v>44958</v>
      </c>
      <c r="AE80" s="4" t="s">
        <v>100</v>
      </c>
      <c r="AF80" s="4" t="s">
        <v>101</v>
      </c>
      <c r="AG80" s="4" t="s">
        <v>102</v>
      </c>
      <c r="AH80" s="4" t="s">
        <v>103</v>
      </c>
      <c r="AI80" s="4">
        <f ca="1">ROUND(T_Tiktok_ads[[#This Row],[impressions]]*RANDBETWEEN(8,12)/10,0)</f>
        <v>231210</v>
      </c>
      <c r="AJ80" s="4">
        <f ca="1">ROUND(T_Tiktok_ads[[#This Row],[clicks]]*RANDBETWEEN(8,12)/10,0)</f>
        <v>4657</v>
      </c>
      <c r="AK80" s="4">
        <v>556.70000000000005</v>
      </c>
      <c r="AL80" s="4">
        <f ca="1">ROUND(T_Tiktok_ads[[#This Row],[conversions]]*RANDBETWEEN(8,12)/10,0)</f>
        <v>52</v>
      </c>
      <c r="AM80" s="4">
        <f ca="1">ROUND(T_Tiktok_ads[[#This Row],[video_views]]*RANDBETWEEN(8,12)/10,0)</f>
        <v>258024</v>
      </c>
      <c r="AN80" s="4">
        <f ca="1">ROUND(T_Tiktok_ads[[#This Row],[video_watch_25]]*RANDBETWEEN(8,12)/10,0)</f>
        <v>145876</v>
      </c>
      <c r="AO80" s="4">
        <f ca="1">ROUND(T_Tiktok_ads[[#This Row],[video_watch_50]]*RANDBETWEEN(8,12)/10,0)</f>
        <v>137480</v>
      </c>
      <c r="AP80" s="4">
        <f ca="1">ROUND(T_Tiktok_ads[[#This Row],[video_watch_75]]*RANDBETWEEN(8,12)/10,0)</f>
        <v>69511</v>
      </c>
      <c r="AQ80" s="4">
        <f ca="1">ROUND(T_Tiktok_ads[[#This Row],[video_watch_100]]*RANDBETWEEN(8,12)/10,0)</f>
        <v>40987</v>
      </c>
      <c r="AR80" s="4">
        <f ca="1">ROUND(T_Tiktok_ads[[#This Row],[likes]]*RANDBETWEEN(8,12)/10,0)</f>
        <v>9311</v>
      </c>
      <c r="AS80" s="4">
        <f ca="1">ROUND(T_Tiktok_ads[[#This Row],[shares]]*RANDBETWEEN(8,12)/10,0)</f>
        <v>2231</v>
      </c>
      <c r="AT80" s="4">
        <f ca="1">ROUND(T_Tiktok_ads[[#This Row],[comments]]*RANDBETWEEN(8,12)/10,0)</f>
        <v>787</v>
      </c>
      <c r="AV80" s="5">
        <f t="shared" ca="1" si="12"/>
        <v>44980</v>
      </c>
      <c r="AW80">
        <f t="shared" ca="1" si="13"/>
        <v>7</v>
      </c>
      <c r="AX80">
        <f ca="1">ROUND(T_Facebook_Ads1159[[#This Row],[impressions]]*RANDBETWEEN(2,10)/10,0)</f>
        <v>17484</v>
      </c>
      <c r="AY80">
        <f ca="1">ROUND(T_Facebook_Ads1159[[#This Row],[clicks]]*RANDBETWEEN(8,12)/10,0)</f>
        <v>1187</v>
      </c>
      <c r="AZ80">
        <f ca="1">T_Facebook_Ads1159[[#This Row],[spend]]*RANDBETWEEN(8,12)/10</f>
        <v>138.89699999999999</v>
      </c>
      <c r="BA80">
        <f ca="1">ROUND(T_Facebook_Ads1159[[#This Row],[conversions]]*RANDBETWEEN(8,12)/10,0)</f>
        <v>15</v>
      </c>
      <c r="BB80">
        <f ca="1">ROUND(T_Facebook_Ads1159[[#This Row],[video_views]]*RANDBETWEEN(8,12)/10,0)</f>
        <v>7156</v>
      </c>
    </row>
    <row r="81" spans="1:54" ht="15.75" thickBot="1" x14ac:dyDescent="0.3">
      <c r="A81" s="3">
        <f t="shared" ca="1" si="9"/>
        <v>44970</v>
      </c>
      <c r="B81" s="4" t="s">
        <v>56</v>
      </c>
      <c r="C81" s="4" t="s">
        <v>57</v>
      </c>
      <c r="D81" s="4" t="s">
        <v>58</v>
      </c>
      <c r="E81" s="4" t="s">
        <v>59</v>
      </c>
      <c r="F81" s="4">
        <f ca="1">ROUND(T_Facebook_Ads[[#This Row],[impressions]]*RANDBETWEEN(8,12)/10,0)</f>
        <v>16547</v>
      </c>
      <c r="G81" s="4">
        <v>623</v>
      </c>
      <c r="H81" s="4">
        <f ca="1">T_Facebook_Ads[[#This Row],[spend]]*RANDBETWEEN(8,12)/10</f>
        <v>275.76000000000005</v>
      </c>
      <c r="I81" s="4">
        <f ca="1">ROUND(T_Facebook_Ads[[#This Row],[conversions]]*RANDBETWEEN(8,12)/10,0)</f>
        <v>30</v>
      </c>
      <c r="J81" s="4">
        <f ca="1">ROUND(T_Facebook_Ads[[#This Row],[video_views]]*RANDBETWEEN(8,12)/10,0)</f>
        <v>1340</v>
      </c>
      <c r="K81" s="4">
        <f ca="1">T_Facebook_Ads[[#This Row],[engagement_rate]]*RANDBETWEEN(8,12)/10</f>
        <v>5.4239999999999997E-2</v>
      </c>
      <c r="L81" s="4">
        <f ca="1">ROUND(T_Facebook_Ads[[#This Row],[reach]]*RANDBETWEEN(8,12)/10,0)</f>
        <v>11868</v>
      </c>
      <c r="M81" s="4">
        <f ca="1">T_Facebook_Ads[[#This Row],[frequency]]*RANDBETWEEN(8,12)/10</f>
        <v>1.1519999999999999</v>
      </c>
      <c r="O81" s="3">
        <f t="shared" ca="1" si="10"/>
        <v>44966</v>
      </c>
      <c r="P81" s="4" t="s">
        <v>80</v>
      </c>
      <c r="Q81" s="4" t="s">
        <v>81</v>
      </c>
      <c r="R81" s="4" t="s">
        <v>82</v>
      </c>
      <c r="S81" s="4" t="s">
        <v>83</v>
      </c>
      <c r="T81" s="4">
        <f ca="1">ROUND(_Google_ads[[#This Row],[impressions]]*RANDBETWEEN(8,12)/10,0)</f>
        <v>36098</v>
      </c>
      <c r="U81" s="4">
        <f ca="1">ROUND(_Google_ads[[#This Row],[clicks]]*RANDBETWEEN(8,12)/10,0)</f>
        <v>912</v>
      </c>
      <c r="V81" s="4">
        <f ca="1">_Google_ads[[#This Row],[cost]]*RANDBETWEEN(8,12)/10</f>
        <v>577.79999999999995</v>
      </c>
      <c r="W81" s="4">
        <f ca="1">ROUND(_Google_ads[[#This Row],[conversions]]*RANDBETWEEN(8,12)/10,0)</f>
        <v>22</v>
      </c>
      <c r="X81" s="4">
        <f ca="1">ROUND(_Google_ads[[#This Row],[conversion_value]]*RANDBETWEEN(8,12)/10,0)</f>
        <v>960</v>
      </c>
      <c r="Y81" s="4">
        <f ca="1">_Google_ads[[#This Row],[ctr]]*RANDBETWEEN(8,12)/10</f>
        <v>2.4240000000000001E-2</v>
      </c>
      <c r="Z81" s="4">
        <f ca="1">_Google_ads[[#This Row],[avg_cpc]]*RANDBETWEEN(8,12)/10</f>
        <v>0.75600000000000001</v>
      </c>
      <c r="AA81" s="4">
        <f ca="1">ROUND(_Google_ads[[#This Row],[quality_score]]*RANDBETWEEN(8,12)/10,0)</f>
        <v>7</v>
      </c>
      <c r="AB81" s="4">
        <f ca="1">_Google_ads[[#This Row],[search_impression_share]]*RANDBETWEEN(8,12)/10</f>
        <v>0.495</v>
      </c>
      <c r="AD81" s="3">
        <f t="shared" ca="1" si="11"/>
        <v>44975</v>
      </c>
      <c r="AE81" s="4" t="s">
        <v>104</v>
      </c>
      <c r="AF81" s="4" t="s">
        <v>105</v>
      </c>
      <c r="AG81" s="4" t="s">
        <v>106</v>
      </c>
      <c r="AH81" s="4" t="s">
        <v>107</v>
      </c>
      <c r="AI81" s="4">
        <f ca="1">ROUND(T_Tiktok_ads[[#This Row],[impressions]]*RANDBETWEEN(8,12)/10,0)</f>
        <v>141110</v>
      </c>
      <c r="AJ81" s="4">
        <f ca="1">ROUND(T_Tiktok_ads[[#This Row],[clicks]]*RANDBETWEEN(8,12)/10,0)</f>
        <v>3012</v>
      </c>
      <c r="AK81" s="4">
        <v>812.3</v>
      </c>
      <c r="AL81" s="4">
        <f ca="1">ROUND(T_Tiktok_ads[[#This Row],[conversions]]*RANDBETWEEN(8,12)/10,0)</f>
        <v>66</v>
      </c>
      <c r="AM81" s="4">
        <f ca="1">ROUND(T_Tiktok_ads[[#This Row],[video_views]]*RANDBETWEEN(8,12)/10,0)</f>
        <v>87901</v>
      </c>
      <c r="AN81" s="4">
        <f ca="1">ROUND(T_Tiktok_ads[[#This Row],[video_watch_25]]*RANDBETWEEN(8,12)/10,0)</f>
        <v>97481</v>
      </c>
      <c r="AO81" s="4">
        <f ca="1">ROUND(T_Tiktok_ads[[#This Row],[video_watch_50]]*RANDBETWEEN(8,12)/10,0)</f>
        <v>65614</v>
      </c>
      <c r="AP81" s="4">
        <f ca="1">ROUND(T_Tiktok_ads[[#This Row],[video_watch_75]]*RANDBETWEEN(8,12)/10,0)</f>
        <v>49481</v>
      </c>
      <c r="AQ81" s="4">
        <f ca="1">ROUND(T_Tiktok_ads[[#This Row],[video_watch_100]]*RANDBETWEEN(8,12)/10,0)</f>
        <v>22054</v>
      </c>
      <c r="AR81" s="4">
        <f ca="1">ROUND(T_Tiktok_ads[[#This Row],[likes]]*RANDBETWEEN(8,12)/10,0)</f>
        <v>4910</v>
      </c>
      <c r="AS81" s="4">
        <f ca="1">ROUND(T_Tiktok_ads[[#This Row],[shares]]*RANDBETWEEN(8,12)/10,0)</f>
        <v>1567</v>
      </c>
      <c r="AT81" s="4">
        <f ca="1">ROUND(T_Tiktok_ads[[#This Row],[comments]]*RANDBETWEEN(8,12)/10,0)</f>
        <v>260</v>
      </c>
      <c r="AV81" s="5">
        <f t="shared" ca="1" si="12"/>
        <v>44973</v>
      </c>
      <c r="AW81">
        <f t="shared" ca="1" si="13"/>
        <v>6</v>
      </c>
      <c r="AX81">
        <f ca="1">ROUND(T_Facebook_Ads1159[[#This Row],[impressions]]*RANDBETWEEN(2,10)/10,0)</f>
        <v>14892</v>
      </c>
      <c r="AY81">
        <f ca="1">ROUND(T_Facebook_Ads1159[[#This Row],[clicks]]*RANDBETWEEN(8,12)/10,0)</f>
        <v>561</v>
      </c>
      <c r="AZ81">
        <f ca="1">T_Facebook_Ads1159[[#This Row],[spend]]*RANDBETWEEN(8,12)/10</f>
        <v>275.76000000000005</v>
      </c>
      <c r="BA81">
        <f ca="1">ROUND(T_Facebook_Ads1159[[#This Row],[conversions]]*RANDBETWEEN(8,12)/10,0)</f>
        <v>24</v>
      </c>
      <c r="BB81">
        <f ca="1">ROUND(T_Facebook_Ads1159[[#This Row],[video_views]]*RANDBETWEEN(8,12)/10,0)</f>
        <v>1340</v>
      </c>
    </row>
    <row r="82" spans="1:54" ht="15.75" thickBot="1" x14ac:dyDescent="0.3">
      <c r="A82" s="3">
        <f t="shared" ca="1" si="9"/>
        <v>44984</v>
      </c>
      <c r="B82" s="4" t="s">
        <v>60</v>
      </c>
      <c r="C82" s="4" t="s">
        <v>61</v>
      </c>
      <c r="D82" s="4" t="s">
        <v>62</v>
      </c>
      <c r="E82" s="4" t="s">
        <v>63</v>
      </c>
      <c r="F82" s="4">
        <f ca="1">ROUND(T_Facebook_Ads[[#This Row],[impressions]]*RANDBETWEEN(8,12)/10,0)</f>
        <v>37456</v>
      </c>
      <c r="G82" s="4">
        <v>1389</v>
      </c>
      <c r="H82" s="4">
        <f ca="1">T_Facebook_Ads[[#This Row],[spend]]*RANDBETWEEN(8,12)/10</f>
        <v>170.72</v>
      </c>
      <c r="I82" s="4">
        <f ca="1">ROUND(T_Facebook_Ads[[#This Row],[conversions]]*RANDBETWEEN(8,12)/10,0)</f>
        <v>26</v>
      </c>
      <c r="J82" s="4">
        <f ca="1">ROUND(T_Facebook_Ads[[#This Row],[video_views]]*RANDBETWEEN(8,12)/10,0)</f>
        <v>4401</v>
      </c>
      <c r="K82" s="4">
        <f ca="1">T_Facebook_Ads[[#This Row],[engagement_rate]]*RANDBETWEEN(8,12)/10</f>
        <v>2.9680000000000002E-2</v>
      </c>
      <c r="L82" s="4">
        <f ca="1">ROUND(T_Facebook_Ads[[#This Row],[reach]]*RANDBETWEEN(8,12)/10,0)</f>
        <v>33624</v>
      </c>
      <c r="M82" s="4">
        <f ca="1">T_Facebook_Ads[[#This Row],[frequency]]*RANDBETWEEN(8,12)/10</f>
        <v>1.22</v>
      </c>
      <c r="O82" s="3">
        <f t="shared" ca="1" si="10"/>
        <v>44985</v>
      </c>
      <c r="P82" s="4" t="s">
        <v>84</v>
      </c>
      <c r="Q82" s="4" t="s">
        <v>85</v>
      </c>
      <c r="R82" s="4" t="s">
        <v>86</v>
      </c>
      <c r="S82" s="4" t="s">
        <v>87</v>
      </c>
      <c r="T82" s="4">
        <f ca="1">ROUND(_Google_ads[[#This Row],[impressions]]*RANDBETWEEN(8,12)/10,0)</f>
        <v>70234</v>
      </c>
      <c r="U82" s="4">
        <f ca="1">ROUND(_Google_ads[[#This Row],[clicks]]*RANDBETWEEN(8,12)/10,0)</f>
        <v>2150</v>
      </c>
      <c r="V82" s="4">
        <f ca="1">_Google_ads[[#This Row],[cost]]*RANDBETWEEN(8,12)/10</f>
        <v>389.34000000000003</v>
      </c>
      <c r="W82" s="4">
        <f ca="1">ROUND(_Google_ads[[#This Row],[conversions]]*RANDBETWEEN(8,12)/10,0)</f>
        <v>83</v>
      </c>
      <c r="X82" s="4">
        <f ca="1">ROUND(_Google_ads[[#This Row],[conversion_value]]*RANDBETWEEN(8,12)/10,0)</f>
        <v>4140</v>
      </c>
      <c r="Y82" s="4">
        <f ca="1">_Google_ads[[#This Row],[ctr]]*RANDBETWEEN(8,12)/10</f>
        <v>2.7200000000000002E-2</v>
      </c>
      <c r="Z82" s="4">
        <f ca="1">_Google_ads[[#This Row],[avg_cpc]]*RANDBETWEEN(8,12)/10</f>
        <v>0.21600000000000003</v>
      </c>
      <c r="AA82" s="4">
        <f ca="1">ROUND(_Google_ads[[#This Row],[quality_score]]*RANDBETWEEN(8,12)/10,0)</f>
        <v>8</v>
      </c>
      <c r="AB82" s="4">
        <f ca="1">_Google_ads[[#This Row],[search_impression_share]]*RANDBETWEEN(8,12)/10</f>
        <v>0.67</v>
      </c>
      <c r="AD82" s="3">
        <f t="shared" ca="1" si="11"/>
        <v>44966</v>
      </c>
      <c r="AE82" s="4" t="s">
        <v>108</v>
      </c>
      <c r="AF82" s="4" t="s">
        <v>109</v>
      </c>
      <c r="AG82" s="4" t="s">
        <v>110</v>
      </c>
      <c r="AH82" s="4" t="s">
        <v>111</v>
      </c>
      <c r="AI82" s="4">
        <f ca="1">ROUND(T_Tiktok_ads[[#This Row],[impressions]]*RANDBETWEEN(8,12)/10,0)</f>
        <v>196542</v>
      </c>
      <c r="AJ82" s="4">
        <f ca="1">ROUND(T_Tiktok_ads[[#This Row],[clicks]]*RANDBETWEEN(8,12)/10,0)</f>
        <v>3890</v>
      </c>
      <c r="AK82" s="4">
        <v>467.8</v>
      </c>
      <c r="AL82" s="4">
        <f ca="1">ROUND(T_Tiktok_ads[[#This Row],[conversions]]*RANDBETWEEN(8,12)/10,0)</f>
        <v>37</v>
      </c>
      <c r="AM82" s="4">
        <f ca="1">ROUND(T_Tiktok_ads[[#This Row],[video_views]]*RANDBETWEEN(8,12)/10,0)</f>
        <v>195678</v>
      </c>
      <c r="AN82" s="4">
        <f ca="1">ROUND(T_Tiktok_ads[[#This Row],[video_watch_25]]*RANDBETWEEN(8,12)/10,0)</f>
        <v>177881</v>
      </c>
      <c r="AO82" s="4">
        <f ca="1">ROUND(T_Tiktok_ads[[#This Row],[video_watch_50]]*RANDBETWEEN(8,12)/10,0)</f>
        <v>93787</v>
      </c>
      <c r="AP82" s="4">
        <f ca="1">ROUND(T_Tiktok_ads[[#This Row],[video_watch_75]]*RANDBETWEEN(8,12)/10,0)</f>
        <v>75234</v>
      </c>
      <c r="AQ82" s="4">
        <f ca="1">ROUND(T_Tiktok_ads[[#This Row],[video_watch_100]]*RANDBETWEEN(8,12)/10,0)</f>
        <v>45789</v>
      </c>
      <c r="AR82" s="4">
        <f ca="1">ROUND(T_Tiktok_ads[[#This Row],[likes]]*RANDBETWEEN(8,12)/10,0)</f>
        <v>9424</v>
      </c>
      <c r="AS82" s="4">
        <f ca="1">ROUND(T_Tiktok_ads[[#This Row],[shares]]*RANDBETWEEN(8,12)/10,0)</f>
        <v>2345</v>
      </c>
      <c r="AT82" s="4">
        <f ca="1">ROUND(T_Tiktok_ads[[#This Row],[comments]]*RANDBETWEEN(8,12)/10,0)</f>
        <v>567</v>
      </c>
      <c r="AV82" s="5">
        <f t="shared" ca="1" si="12"/>
        <v>44976</v>
      </c>
      <c r="AW82">
        <f t="shared" ca="1" si="13"/>
        <v>2</v>
      </c>
      <c r="AX82">
        <f ca="1">ROUND(T_Facebook_Ads1159[[#This Row],[impressions]]*RANDBETWEEN(2,10)/10,0)</f>
        <v>18728</v>
      </c>
      <c r="AY82">
        <f ca="1">ROUND(T_Facebook_Ads1159[[#This Row],[clicks]]*RANDBETWEEN(8,12)/10,0)</f>
        <v>1111</v>
      </c>
      <c r="AZ82">
        <f ca="1">T_Facebook_Ads1159[[#This Row],[spend]]*RANDBETWEEN(8,12)/10</f>
        <v>153.648</v>
      </c>
      <c r="BA82">
        <f ca="1">ROUND(T_Facebook_Ads1159[[#This Row],[conversions]]*RANDBETWEEN(8,12)/10,0)</f>
        <v>23</v>
      </c>
      <c r="BB82">
        <f ca="1">ROUND(T_Facebook_Ads1159[[#This Row],[video_views]]*RANDBETWEEN(8,12)/10,0)</f>
        <v>4841</v>
      </c>
    </row>
    <row r="83" spans="1:54" ht="15.75" thickBot="1" x14ac:dyDescent="0.3">
      <c r="A83" s="3">
        <f t="shared" ca="1" si="9"/>
        <v>44984</v>
      </c>
      <c r="B83" s="4" t="s">
        <v>64</v>
      </c>
      <c r="C83" s="4" t="s">
        <v>65</v>
      </c>
      <c r="D83" s="4" t="s">
        <v>66</v>
      </c>
      <c r="E83" s="4" t="s">
        <v>67</v>
      </c>
      <c r="F83" s="4">
        <f ca="1">ROUND(T_Facebook_Ads[[#This Row],[impressions]]*RANDBETWEEN(8,12)/10,0)</f>
        <v>56987</v>
      </c>
      <c r="G83" s="4">
        <v>256</v>
      </c>
      <c r="H83" s="4">
        <f ca="1">T_Facebook_Ads[[#This Row],[spend]]*RANDBETWEEN(8,12)/10</f>
        <v>90.5</v>
      </c>
      <c r="I83" s="4">
        <f ca="1">ROUND(T_Facebook_Ads[[#This Row],[conversions]]*RANDBETWEEN(8,12)/10,0)</f>
        <v>5</v>
      </c>
      <c r="J83" s="4">
        <f ca="1">ROUND(T_Facebook_Ads[[#This Row],[video_views]]*RANDBETWEEN(8,12)/10,0)</f>
        <v>43311</v>
      </c>
      <c r="K83" s="4">
        <f ca="1">T_Facebook_Ads[[#This Row],[engagement_rate]]*RANDBETWEEN(8,12)/10</f>
        <v>3.2399999999999998E-3</v>
      </c>
      <c r="L83" s="4">
        <f ca="1">ROUND(T_Facebook_Ads[[#This Row],[reach]]*RANDBETWEEN(8,12)/10,0)</f>
        <v>52710</v>
      </c>
      <c r="M83" s="4">
        <f ca="1">T_Facebook_Ads[[#This Row],[frequency]]*RANDBETWEEN(8,12)/10</f>
        <v>1.464</v>
      </c>
      <c r="O83" s="3">
        <f t="shared" ca="1" si="10"/>
        <v>44980</v>
      </c>
      <c r="P83" s="4" t="s">
        <v>88</v>
      </c>
      <c r="Q83" s="4" t="s">
        <v>89</v>
      </c>
      <c r="R83" s="4" t="s">
        <v>90</v>
      </c>
      <c r="S83" s="4" t="s">
        <v>59</v>
      </c>
      <c r="T83" s="4">
        <f ca="1">ROUND(_Google_ads[[#This Row],[impressions]]*RANDBETWEEN(8,12)/10,0)</f>
        <v>106765</v>
      </c>
      <c r="U83" s="4">
        <f ca="1">ROUND(_Google_ads[[#This Row],[clicks]]*RANDBETWEEN(8,12)/10,0)</f>
        <v>587</v>
      </c>
      <c r="V83" s="4">
        <f ca="1">_Google_ads[[#This Row],[cost]]*RANDBETWEEN(8,12)/10</f>
        <v>157.44</v>
      </c>
      <c r="W83" s="4">
        <f ca="1">ROUND(_Google_ads[[#This Row],[conversions]]*RANDBETWEEN(8,12)/10,0)</f>
        <v>13</v>
      </c>
      <c r="X83" s="4">
        <f ca="1">ROUND(_Google_ads[[#This Row],[conversion_value]]*RANDBETWEEN(8,12)/10,0)</f>
        <v>840</v>
      </c>
      <c r="Y83" s="4">
        <f ca="1">_Google_ads[[#This Row],[ctr]]*RANDBETWEEN(8,12)/10</f>
        <v>3.3300000000000005E-3</v>
      </c>
      <c r="Z83" s="4">
        <f ca="1">_Google_ads[[#This Row],[avg_cpc]]*RANDBETWEEN(8,12)/10</f>
        <v>0.27</v>
      </c>
      <c r="AA83" s="4">
        <f ca="1">ROUND(_Google_ads[[#This Row],[quality_score]]*RANDBETWEEN(8,12)/10,0)</f>
        <v>8</v>
      </c>
      <c r="AB83" s="4">
        <f ca="1">_Google_ads[[#This Row],[search_impression_share]]*RANDBETWEEN(8,12)/10</f>
        <v>0.35</v>
      </c>
      <c r="AD83" s="3">
        <f t="shared" ca="1" si="11"/>
        <v>44984</v>
      </c>
      <c r="AE83" s="4" t="s">
        <v>112</v>
      </c>
      <c r="AF83" s="4" t="s">
        <v>113</v>
      </c>
      <c r="AG83" s="4" t="s">
        <v>114</v>
      </c>
      <c r="AH83" s="4" t="s">
        <v>115</v>
      </c>
      <c r="AI83" s="4">
        <f ca="1">ROUND(T_Tiktok_ads[[#This Row],[impressions]]*RANDBETWEEN(8,12)/10,0)</f>
        <v>508147</v>
      </c>
      <c r="AJ83" s="4">
        <f ca="1">ROUND(T_Tiktok_ads[[#This Row],[clicks]]*RANDBETWEEN(8,12)/10,0)</f>
        <v>7579</v>
      </c>
      <c r="AK83" s="4">
        <v>1056.8</v>
      </c>
      <c r="AL83" s="4">
        <f ca="1">ROUND(T_Tiktok_ads[[#This Row],[conversions]]*RANDBETWEEN(8,12)/10,0)</f>
        <v>128</v>
      </c>
      <c r="AM83" s="4">
        <f ca="1">ROUND(T_Tiktok_ads[[#This Row],[video_views]]*RANDBETWEEN(8,12)/10,0)</f>
        <v>285431</v>
      </c>
      <c r="AN83" s="4">
        <f ca="1">ROUND(T_Tiktok_ads[[#This Row],[video_watch_25]]*RANDBETWEEN(8,12)/10,0)</f>
        <v>318157</v>
      </c>
      <c r="AO83" s="4">
        <f ca="1">ROUND(T_Tiktok_ads[[#This Row],[video_watch_50]]*RANDBETWEEN(8,12)/10,0)</f>
        <v>185165</v>
      </c>
      <c r="AP83" s="4">
        <f ca="1">ROUND(T_Tiktok_ads[[#This Row],[video_watch_75]]*RANDBETWEEN(8,12)/10,0)</f>
        <v>164567</v>
      </c>
      <c r="AQ83" s="4">
        <f ca="1">ROUND(T_Tiktok_ads[[#This Row],[video_watch_100]]*RANDBETWEEN(8,12)/10,0)</f>
        <v>120157</v>
      </c>
      <c r="AR83" s="4">
        <f ca="1">ROUND(T_Tiktok_ads[[#This Row],[likes]]*RANDBETWEEN(8,12)/10,0)</f>
        <v>17001</v>
      </c>
      <c r="AS83" s="4">
        <f ca="1">ROUND(T_Tiktok_ads[[#This Row],[shares]]*RANDBETWEEN(8,12)/10,0)</f>
        <v>4910</v>
      </c>
      <c r="AT83" s="4">
        <f ca="1">ROUND(T_Tiktok_ads[[#This Row],[comments]]*RANDBETWEEN(8,12)/10,0)</f>
        <v>1638</v>
      </c>
      <c r="AV83" s="5">
        <f t="shared" ca="1" si="12"/>
        <v>44959</v>
      </c>
      <c r="AW83">
        <f t="shared" ca="1" si="13"/>
        <v>4</v>
      </c>
      <c r="AX83">
        <f ca="1">ROUND(T_Facebook_Ads1159[[#This Row],[impressions]]*RANDBETWEEN(2,10)/10,0)</f>
        <v>34192</v>
      </c>
      <c r="AY83">
        <f ca="1">ROUND(T_Facebook_Ads1159[[#This Row],[clicks]]*RANDBETWEEN(8,12)/10,0)</f>
        <v>205</v>
      </c>
      <c r="AZ83">
        <f ca="1">T_Facebook_Ads1159[[#This Row],[spend]]*RANDBETWEEN(8,12)/10</f>
        <v>72.400000000000006</v>
      </c>
      <c r="BA83">
        <f ca="1">ROUND(T_Facebook_Ads1159[[#This Row],[conversions]]*RANDBETWEEN(8,12)/10,0)</f>
        <v>5</v>
      </c>
      <c r="BB83">
        <f ca="1">ROUND(T_Facebook_Ads1159[[#This Row],[video_views]]*RANDBETWEEN(8,12)/10,0)</f>
        <v>34649</v>
      </c>
    </row>
    <row r="84" spans="1:54" ht="15.75" thickBot="1" x14ac:dyDescent="0.3">
      <c r="A84" s="3">
        <f t="shared" ca="1" si="9"/>
        <v>44960</v>
      </c>
      <c r="B84" s="4" t="s">
        <v>52</v>
      </c>
      <c r="C84" s="4" t="s">
        <v>53</v>
      </c>
      <c r="D84" s="4" t="s">
        <v>54</v>
      </c>
      <c r="E84" s="4" t="s">
        <v>55</v>
      </c>
      <c r="F84" s="4">
        <f ca="1">ROUND(T_Facebook_Ads[[#This Row],[impressions]]*RANDBETWEEN(8,12)/10,0)</f>
        <v>40987</v>
      </c>
      <c r="G84" s="4">
        <v>1067</v>
      </c>
      <c r="H84" s="4">
        <f ca="1">T_Facebook_Ads[[#This Row],[spend]]*RANDBETWEEN(8,12)/10</f>
        <v>134.72999999999999</v>
      </c>
      <c r="I84" s="4">
        <f ca="1">ROUND(T_Facebook_Ads[[#This Row],[conversions]]*RANDBETWEEN(8,12)/10,0)</f>
        <v>19</v>
      </c>
      <c r="J84" s="4">
        <f ca="1">ROUND(T_Facebook_Ads[[#This Row],[video_views]]*RANDBETWEEN(8,12)/10,0)</f>
        <v>9234</v>
      </c>
      <c r="K84" s="4">
        <f ca="1">T_Facebook_Ads[[#This Row],[engagement_rate]]*RANDBETWEEN(8,12)/10</f>
        <v>2.496E-2</v>
      </c>
      <c r="L84" s="4">
        <f ca="1">ROUND(T_Facebook_Ads[[#This Row],[reach]]*RANDBETWEEN(8,12)/10,0)</f>
        <v>46824</v>
      </c>
      <c r="M84" s="4">
        <f ca="1">T_Facebook_Ads[[#This Row],[frequency]]*RANDBETWEEN(8,12)/10</f>
        <v>1.0799999999999998</v>
      </c>
      <c r="O84" s="3">
        <f t="shared" ca="1" si="10"/>
        <v>44974</v>
      </c>
      <c r="P84" s="4" t="s">
        <v>76</v>
      </c>
      <c r="Q84" s="4" t="s">
        <v>77</v>
      </c>
      <c r="R84" s="4" t="s">
        <v>78</v>
      </c>
      <c r="S84" s="4" t="s">
        <v>79</v>
      </c>
      <c r="T84" s="4">
        <f ca="1">ROUND(_Google_ads[[#This Row],[impressions]]*RANDBETWEEN(8,12)/10,0)</f>
        <v>32548</v>
      </c>
      <c r="U84" s="4">
        <f ca="1">ROUND(_Google_ads[[#This Row],[clicks]]*RANDBETWEEN(8,12)/10,0)</f>
        <v>1577</v>
      </c>
      <c r="V84" s="4">
        <f ca="1">_Google_ads[[#This Row],[cost]]*RANDBETWEEN(8,12)/10</f>
        <v>301.73</v>
      </c>
      <c r="W84" s="4">
        <f ca="1">ROUND(_Google_ads[[#This Row],[conversions]]*RANDBETWEEN(8,12)/10,0)</f>
        <v>55</v>
      </c>
      <c r="X84" s="4">
        <f ca="1">ROUND(_Google_ads[[#This Row],[conversion_value]]*RANDBETWEEN(8,12)/10,0)</f>
        <v>2200</v>
      </c>
      <c r="Y84" s="4">
        <f ca="1">_Google_ads[[#This Row],[ctr]]*RANDBETWEEN(8,12)/10</f>
        <v>6.3480000000000009E-2</v>
      </c>
      <c r="Z84" s="4">
        <f ca="1">_Google_ads[[#This Row],[avg_cpc]]*RANDBETWEEN(8,12)/10</f>
        <v>0.20899999999999999</v>
      </c>
      <c r="AA84" s="4">
        <f ca="1">ROUND(_Google_ads[[#This Row],[quality_score]]*RANDBETWEEN(8,12)/10,0)</f>
        <v>8</v>
      </c>
      <c r="AB84" s="4">
        <f ca="1">_Google_ads[[#This Row],[search_impression_share]]*RANDBETWEEN(8,12)/10</f>
        <v>1.1160000000000001</v>
      </c>
      <c r="AD84" s="3">
        <f t="shared" ca="1" si="11"/>
        <v>44980</v>
      </c>
      <c r="AE84" s="4" t="s">
        <v>100</v>
      </c>
      <c r="AF84" s="4" t="s">
        <v>101</v>
      </c>
      <c r="AG84" s="4" t="s">
        <v>102</v>
      </c>
      <c r="AH84" s="4" t="s">
        <v>103</v>
      </c>
      <c r="AI84" s="4">
        <f ca="1">ROUND(T_Tiktok_ads[[#This Row],[impressions]]*RANDBETWEEN(8,12)/10,0)</f>
        <v>249876</v>
      </c>
      <c r="AJ84" s="4">
        <f ca="1">ROUND(T_Tiktok_ads[[#This Row],[clicks]]*RANDBETWEEN(8,12)/10,0)</f>
        <v>3654</v>
      </c>
      <c r="AK84" s="4">
        <v>623.4</v>
      </c>
      <c r="AL84" s="4">
        <f ca="1">ROUND(T_Tiktok_ads[[#This Row],[conversions]]*RANDBETWEEN(8,12)/10,0)</f>
        <v>58</v>
      </c>
      <c r="AM84" s="4">
        <f ca="1">ROUND(T_Tiktok_ads[[#This Row],[video_views]]*RANDBETWEEN(8,12)/10,0)</f>
        <v>308147</v>
      </c>
      <c r="AN84" s="4">
        <f ca="1">ROUND(T_Tiktok_ads[[#This Row],[video_watch_25]]*RANDBETWEEN(8,12)/10,0)</f>
        <v>240281</v>
      </c>
      <c r="AO84" s="4">
        <f ca="1">ROUND(T_Tiktok_ads[[#This Row],[video_watch_50]]*RANDBETWEEN(8,12)/10,0)</f>
        <v>113110</v>
      </c>
      <c r="AP84" s="4">
        <f ca="1">ROUND(T_Tiktok_ads[[#This Row],[video_watch_75]]*RANDBETWEEN(8,12)/10,0)</f>
        <v>101480</v>
      </c>
      <c r="AQ84" s="4">
        <f ca="1">ROUND(T_Tiktok_ads[[#This Row],[video_watch_100]]*RANDBETWEEN(8,12)/10,0)</f>
        <v>56234</v>
      </c>
      <c r="AR84" s="4">
        <f ca="1">ROUND(T_Tiktok_ads[[#This Row],[likes]]*RANDBETWEEN(8,12)/10,0)</f>
        <v>11234</v>
      </c>
      <c r="AS84" s="4">
        <f ca="1">ROUND(T_Tiktok_ads[[#This Row],[shares]]*RANDBETWEEN(8,12)/10,0)</f>
        <v>2711</v>
      </c>
      <c r="AT84" s="4">
        <f ca="1">ROUND(T_Tiktok_ads[[#This Row],[comments]]*RANDBETWEEN(8,12)/10,0)</f>
        <v>723</v>
      </c>
      <c r="AV84" s="5">
        <f t="shared" ca="1" si="12"/>
        <v>44965</v>
      </c>
      <c r="AW84">
        <f t="shared" ca="1" si="13"/>
        <v>5</v>
      </c>
      <c r="AX84">
        <f ca="1">ROUND(T_Facebook_Ads1159[[#This Row],[impressions]]*RANDBETWEEN(2,10)/10,0)</f>
        <v>24592</v>
      </c>
      <c r="AY84">
        <f ca="1">ROUND(T_Facebook_Ads1159[[#This Row],[clicks]]*RANDBETWEEN(8,12)/10,0)</f>
        <v>1280</v>
      </c>
      <c r="AZ84">
        <f ca="1">T_Facebook_Ads1159[[#This Row],[spend]]*RANDBETWEEN(8,12)/10</f>
        <v>161.67599999999999</v>
      </c>
      <c r="BA84">
        <f ca="1">ROUND(T_Facebook_Ads1159[[#This Row],[conversions]]*RANDBETWEEN(8,12)/10,0)</f>
        <v>21</v>
      </c>
      <c r="BB84">
        <f ca="1">ROUND(T_Facebook_Ads1159[[#This Row],[video_views]]*RANDBETWEEN(8,12)/10,0)</f>
        <v>7387</v>
      </c>
    </row>
    <row r="85" spans="1:54" ht="15.75" thickBot="1" x14ac:dyDescent="0.3">
      <c r="A85" s="3">
        <f t="shared" ca="1" si="9"/>
        <v>44981</v>
      </c>
      <c r="B85" s="4" t="s">
        <v>56</v>
      </c>
      <c r="C85" s="4" t="s">
        <v>57</v>
      </c>
      <c r="D85" s="4" t="s">
        <v>58</v>
      </c>
      <c r="E85" s="4" t="s">
        <v>59</v>
      </c>
      <c r="F85" s="4">
        <f ca="1">ROUND(T_Facebook_Ads[[#This Row],[impressions]]*RANDBETWEEN(8,12)/10,0)</f>
        <v>13401</v>
      </c>
      <c r="G85" s="4">
        <v>712</v>
      </c>
      <c r="H85" s="4">
        <f ca="1">T_Facebook_Ads[[#This Row],[spend]]*RANDBETWEEN(8,12)/10</f>
        <v>226.44</v>
      </c>
      <c r="I85" s="4">
        <f ca="1">ROUND(T_Facebook_Ads[[#This Row],[conversions]]*RANDBETWEEN(8,12)/10,0)</f>
        <v>34</v>
      </c>
      <c r="J85" s="4">
        <f ca="1">ROUND(T_Facebook_Ads[[#This Row],[video_views]]*RANDBETWEEN(8,12)/10,0)</f>
        <v>1578</v>
      </c>
      <c r="K85" s="4">
        <f ca="1">T_Facebook_Ads[[#This Row],[engagement_rate]]*RANDBETWEEN(8,12)/10</f>
        <v>3.8240000000000003E-2</v>
      </c>
      <c r="L85" s="4">
        <f ca="1">ROUND(T_Facebook_Ads[[#This Row],[reach]]*RANDBETWEEN(8,12)/10,0)</f>
        <v>14148</v>
      </c>
      <c r="M85" s="4">
        <f ca="1">T_Facebook_Ads[[#This Row],[frequency]]*RANDBETWEEN(8,12)/10</f>
        <v>1.26</v>
      </c>
      <c r="O85" s="3">
        <f t="shared" ca="1" si="10"/>
        <v>44983</v>
      </c>
      <c r="P85" s="4" t="s">
        <v>80</v>
      </c>
      <c r="Q85" s="4" t="s">
        <v>81</v>
      </c>
      <c r="R85" s="4" t="s">
        <v>82</v>
      </c>
      <c r="S85" s="4" t="s">
        <v>83</v>
      </c>
      <c r="T85" s="4">
        <f ca="1">ROUND(_Google_ads[[#This Row],[impressions]]*RANDBETWEEN(8,12)/10,0)</f>
        <v>52679</v>
      </c>
      <c r="U85" s="4">
        <f ca="1">ROUND(_Google_ads[[#This Row],[clicks]]*RANDBETWEEN(8,12)/10,0)</f>
        <v>1076</v>
      </c>
      <c r="V85" s="4">
        <f ca="1">_Google_ads[[#This Row],[cost]]*RANDBETWEEN(8,12)/10</f>
        <v>613.5</v>
      </c>
      <c r="W85" s="4">
        <f ca="1">ROUND(_Google_ads[[#This Row],[conversions]]*RANDBETWEEN(8,12)/10,0)</f>
        <v>31</v>
      </c>
      <c r="X85" s="4">
        <f ca="1">ROUND(_Google_ads[[#This Row],[conversion_value]]*RANDBETWEEN(8,12)/10,0)</f>
        <v>1300</v>
      </c>
      <c r="Y85" s="4">
        <f ca="1">_Google_ads[[#This Row],[ctr]]*RANDBETWEEN(8,12)/10</f>
        <v>2.2440000000000002E-2</v>
      </c>
      <c r="Z85" s="4">
        <f ca="1">_Google_ads[[#This Row],[avg_cpc]]*RANDBETWEEN(8,12)/10</f>
        <v>0.504</v>
      </c>
      <c r="AA85" s="4">
        <f ca="1">ROUND(_Google_ads[[#This Row],[quality_score]]*RANDBETWEEN(8,12)/10,0)</f>
        <v>8</v>
      </c>
      <c r="AB85" s="4">
        <f ca="1">_Google_ads[[#This Row],[search_impression_share]]*RANDBETWEEN(8,12)/10</f>
        <v>0.55200000000000005</v>
      </c>
      <c r="AD85" s="3">
        <f t="shared" ca="1" si="11"/>
        <v>44961</v>
      </c>
      <c r="AE85" s="4" t="s">
        <v>104</v>
      </c>
      <c r="AF85" s="4" t="s">
        <v>105</v>
      </c>
      <c r="AG85" s="4" t="s">
        <v>106</v>
      </c>
      <c r="AH85" s="4" t="s">
        <v>107</v>
      </c>
      <c r="AI85" s="4">
        <f ca="1">ROUND(T_Tiktok_ads[[#This Row],[impressions]]*RANDBETWEEN(8,12)/10,0)</f>
        <v>172345</v>
      </c>
      <c r="AJ85" s="4">
        <f ca="1">ROUND(T_Tiktok_ads[[#This Row],[clicks]]*RANDBETWEEN(8,12)/10,0)</f>
        <v>3680</v>
      </c>
      <c r="AK85" s="4">
        <v>867.9</v>
      </c>
      <c r="AL85" s="4">
        <f ca="1">ROUND(T_Tiktok_ads[[#This Row],[conversions]]*RANDBETWEEN(8,12)/10,0)</f>
        <v>70</v>
      </c>
      <c r="AM85" s="4">
        <f ca="1">ROUND(T_Tiktok_ads[[#This Row],[video_views]]*RANDBETWEEN(8,12)/10,0)</f>
        <v>98765</v>
      </c>
      <c r="AN85" s="4">
        <f ca="1">ROUND(T_Tiktok_ads[[#This Row],[video_watch_25]]*RANDBETWEEN(8,12)/10,0)</f>
        <v>72987</v>
      </c>
      <c r="AO85" s="4">
        <f ca="1">ROUND(T_Tiktok_ads[[#This Row],[video_watch_50]]*RANDBETWEEN(8,12)/10,0)</f>
        <v>61567</v>
      </c>
      <c r="AP85" s="4">
        <f ca="1">ROUND(T_Tiktok_ads[[#This Row],[video_watch_75]]*RANDBETWEEN(8,12)/10,0)</f>
        <v>46234</v>
      </c>
      <c r="AQ85" s="4">
        <f ca="1">ROUND(T_Tiktok_ads[[#This Row],[video_watch_100]]*RANDBETWEEN(8,12)/10,0)</f>
        <v>30789</v>
      </c>
      <c r="AR85" s="4">
        <f ca="1">ROUND(T_Tiktok_ads[[#This Row],[likes]]*RANDBETWEEN(8,12)/10,0)</f>
        <v>7068</v>
      </c>
      <c r="AS85" s="4">
        <f ca="1">ROUND(T_Tiktok_ads[[#This Row],[shares]]*RANDBETWEEN(8,12)/10,0)</f>
        <v>1678</v>
      </c>
      <c r="AT85" s="4">
        <f ca="1">ROUND(T_Tiktok_ads[[#This Row],[comments]]*RANDBETWEEN(8,12)/10,0)</f>
        <v>401</v>
      </c>
      <c r="AV85" s="5">
        <f t="shared" ca="1" si="12"/>
        <v>44960</v>
      </c>
      <c r="AW85">
        <f t="shared" ca="1" si="13"/>
        <v>8</v>
      </c>
      <c r="AX85">
        <f ca="1">ROUND(T_Facebook_Ads1159[[#This Row],[impressions]]*RANDBETWEEN(2,10)/10,0)</f>
        <v>12061</v>
      </c>
      <c r="AY85">
        <f ca="1">ROUND(T_Facebook_Ads1159[[#This Row],[clicks]]*RANDBETWEEN(8,12)/10,0)</f>
        <v>783</v>
      </c>
      <c r="AZ85">
        <f ca="1">T_Facebook_Ads1159[[#This Row],[spend]]*RANDBETWEEN(8,12)/10</f>
        <v>181.15199999999999</v>
      </c>
      <c r="BA85">
        <f ca="1">ROUND(T_Facebook_Ads1159[[#This Row],[conversions]]*RANDBETWEEN(8,12)/10,0)</f>
        <v>27</v>
      </c>
      <c r="BB85">
        <f ca="1">ROUND(T_Facebook_Ads1159[[#This Row],[video_views]]*RANDBETWEEN(8,12)/10,0)</f>
        <v>1578</v>
      </c>
    </row>
    <row r="86" spans="1:54" ht="15.75" thickBot="1" x14ac:dyDescent="0.3">
      <c r="A86" s="3">
        <f t="shared" ca="1" si="9"/>
        <v>44972</v>
      </c>
      <c r="B86" s="4" t="s">
        <v>60</v>
      </c>
      <c r="C86" s="4" t="s">
        <v>61</v>
      </c>
      <c r="D86" s="4" t="s">
        <v>62</v>
      </c>
      <c r="E86" s="4" t="s">
        <v>63</v>
      </c>
      <c r="F86" s="4">
        <f ca="1">ROUND(T_Facebook_Ads[[#This Row],[impressions]]*RANDBETWEEN(8,12)/10,0)</f>
        <v>39234</v>
      </c>
      <c r="G86" s="4">
        <v>1489</v>
      </c>
      <c r="H86" s="4">
        <f ca="1">T_Facebook_Ads[[#This Row],[spend]]*RANDBETWEEN(8,12)/10</f>
        <v>205.10999999999999</v>
      </c>
      <c r="I86" s="4">
        <f ca="1">ROUND(T_Facebook_Ads[[#This Row],[conversions]]*RANDBETWEEN(8,12)/10,0)</f>
        <v>38</v>
      </c>
      <c r="J86" s="4">
        <f ca="1">ROUND(T_Facebook_Ads[[#This Row],[video_views]]*RANDBETWEEN(8,12)/10,0)</f>
        <v>4711</v>
      </c>
      <c r="K86" s="4">
        <f ca="1">T_Facebook_Ads[[#This Row],[engagement_rate]]*RANDBETWEEN(8,12)/10</f>
        <v>3.4110000000000001E-2</v>
      </c>
      <c r="L86" s="4">
        <f ca="1">ROUND(T_Facebook_Ads[[#This Row],[reach]]*RANDBETWEEN(8,12)/10,0)</f>
        <v>38548</v>
      </c>
      <c r="M86" s="4">
        <f ca="1">T_Facebook_Ads[[#This Row],[frequency]]*RANDBETWEEN(8,12)/10</f>
        <v>1.3420000000000001</v>
      </c>
      <c r="O86" s="3">
        <f t="shared" ca="1" si="10"/>
        <v>44970</v>
      </c>
      <c r="P86" s="4" t="s">
        <v>84</v>
      </c>
      <c r="Q86" s="4" t="s">
        <v>85</v>
      </c>
      <c r="R86" s="4" t="s">
        <v>86</v>
      </c>
      <c r="S86" s="4" t="s">
        <v>87</v>
      </c>
      <c r="T86" s="4">
        <f ca="1">ROUND(_Google_ads[[#This Row],[impressions]]*RANDBETWEEN(8,12)/10,0)</f>
        <v>66110</v>
      </c>
      <c r="U86" s="4">
        <f ca="1">ROUND(_Google_ads[[#This Row],[clicks]]*RANDBETWEEN(8,12)/10,0)</f>
        <v>3001</v>
      </c>
      <c r="V86" s="4">
        <f ca="1">_Google_ads[[#This Row],[cost]]*RANDBETWEEN(8,12)/10</f>
        <v>411.03000000000003</v>
      </c>
      <c r="W86" s="4">
        <f ca="1">ROUND(_Google_ads[[#This Row],[conversions]]*RANDBETWEEN(8,12)/10,0)</f>
        <v>88</v>
      </c>
      <c r="X86" s="4">
        <f ca="1">ROUND(_Google_ads[[#This Row],[conversion_value]]*RANDBETWEEN(8,12)/10,0)</f>
        <v>4380</v>
      </c>
      <c r="Y86" s="4">
        <f ca="1">_Google_ads[[#This Row],[ctr]]*RANDBETWEEN(8,12)/10</f>
        <v>3.4000000000000002E-2</v>
      </c>
      <c r="Z86" s="4">
        <f ca="1">_Google_ads[[#This Row],[avg_cpc]]*RANDBETWEEN(8,12)/10</f>
        <v>0.16199999999999998</v>
      </c>
      <c r="AA86" s="4">
        <f ca="1">ROUND(_Google_ads[[#This Row],[quality_score]]*RANDBETWEEN(8,12)/10,0)</f>
        <v>8</v>
      </c>
      <c r="AB86" s="4">
        <f ca="1">_Google_ads[[#This Row],[search_impression_share]]*RANDBETWEEN(8,12)/10</f>
        <v>0.82799999999999996</v>
      </c>
      <c r="AD86" s="3">
        <f t="shared" ca="1" si="11"/>
        <v>44973</v>
      </c>
      <c r="AE86" s="4" t="s">
        <v>108</v>
      </c>
      <c r="AF86" s="4" t="s">
        <v>109</v>
      </c>
      <c r="AG86" s="4" t="s">
        <v>110</v>
      </c>
      <c r="AH86" s="4" t="s">
        <v>111</v>
      </c>
      <c r="AI86" s="4">
        <f ca="1">ROUND(T_Tiktok_ads[[#This Row],[impressions]]*RANDBETWEEN(8,12)/10,0)</f>
        <v>241101</v>
      </c>
      <c r="AJ86" s="4">
        <f ca="1">ROUND(T_Tiktok_ads[[#This Row],[clicks]]*RANDBETWEEN(8,12)/10,0)</f>
        <v>3298</v>
      </c>
      <c r="AK86" s="4">
        <v>512.6</v>
      </c>
      <c r="AL86" s="4">
        <f ca="1">ROUND(T_Tiktok_ads[[#This Row],[conversions]]*RANDBETWEEN(8,12)/10,0)</f>
        <v>37</v>
      </c>
      <c r="AM86" s="4">
        <f ca="1">ROUND(T_Tiktok_ads[[#This Row],[video_views]]*RANDBETWEEN(8,12)/10,0)</f>
        <v>169876</v>
      </c>
      <c r="AN86" s="4">
        <f ca="1">ROUND(T_Tiktok_ads[[#This Row],[video_watch_25]]*RANDBETWEEN(8,12)/10,0)</f>
        <v>176257</v>
      </c>
      <c r="AO86" s="4">
        <f ca="1">ROUND(T_Tiktok_ads[[#This Row],[video_watch_50]]*RANDBETWEEN(8,12)/10,0)</f>
        <v>101431</v>
      </c>
      <c r="AP86" s="4">
        <f ca="1">ROUND(T_Tiktok_ads[[#This Row],[video_watch_75]]*RANDBETWEEN(8,12)/10,0)</f>
        <v>89357</v>
      </c>
      <c r="AQ86" s="4">
        <f ca="1">ROUND(T_Tiktok_ads[[#This Row],[video_watch_100]]*RANDBETWEEN(8,12)/10,0)</f>
        <v>39387</v>
      </c>
      <c r="AR86" s="4">
        <f ca="1">ROUND(T_Tiktok_ads[[#This Row],[likes]]*RANDBETWEEN(8,12)/10,0)</f>
        <v>10948</v>
      </c>
      <c r="AS86" s="4">
        <f ca="1">ROUND(T_Tiktok_ads[[#This Row],[shares]]*RANDBETWEEN(8,12)/10,0)</f>
        <v>2567</v>
      </c>
      <c r="AT86" s="4">
        <f ca="1">ROUND(T_Tiktok_ads[[#This Row],[comments]]*RANDBETWEEN(8,12)/10,0)</f>
        <v>612</v>
      </c>
      <c r="AV86" s="5">
        <f t="shared" ca="1" si="12"/>
        <v>44961</v>
      </c>
      <c r="AW86">
        <f t="shared" ca="1" si="13"/>
        <v>7</v>
      </c>
      <c r="AX86">
        <f ca="1">ROUND(T_Facebook_Ads1159[[#This Row],[impressions]]*RANDBETWEEN(2,10)/10,0)</f>
        <v>27464</v>
      </c>
      <c r="AY86">
        <f ca="1">ROUND(T_Facebook_Ads1159[[#This Row],[clicks]]*RANDBETWEEN(8,12)/10,0)</f>
        <v>1489</v>
      </c>
      <c r="AZ86">
        <f ca="1">T_Facebook_Ads1159[[#This Row],[spend]]*RANDBETWEEN(8,12)/10</f>
        <v>184.59899999999999</v>
      </c>
      <c r="BA86">
        <f ca="1">ROUND(T_Facebook_Ads1159[[#This Row],[conversions]]*RANDBETWEEN(8,12)/10,0)</f>
        <v>42</v>
      </c>
      <c r="BB86">
        <f ca="1">ROUND(T_Facebook_Ads1159[[#This Row],[video_views]]*RANDBETWEEN(8,12)/10,0)</f>
        <v>4711</v>
      </c>
    </row>
    <row r="87" spans="1:54" ht="15.75" thickBot="1" x14ac:dyDescent="0.3">
      <c r="A87" s="3">
        <f t="shared" ca="1" si="9"/>
        <v>44972</v>
      </c>
      <c r="B87" s="4" t="s">
        <v>64</v>
      </c>
      <c r="C87" s="4" t="s">
        <v>65</v>
      </c>
      <c r="D87" s="4" t="s">
        <v>66</v>
      </c>
      <c r="E87" s="4" t="s">
        <v>67</v>
      </c>
      <c r="F87" s="4">
        <f ca="1">ROUND(T_Facebook_Ads[[#This Row],[impressions]]*RANDBETWEEN(8,12)/10,0)</f>
        <v>59654</v>
      </c>
      <c r="G87" s="4">
        <v>267</v>
      </c>
      <c r="H87" s="4">
        <f ca="1">T_Facebook_Ads[[#This Row],[spend]]*RANDBETWEEN(8,12)/10</f>
        <v>95.8</v>
      </c>
      <c r="I87" s="4">
        <f ca="1">ROUND(T_Facebook_Ads[[#This Row],[conversions]]*RANDBETWEEN(8,12)/10,0)</f>
        <v>8</v>
      </c>
      <c r="J87" s="4">
        <f ca="1">ROUND(T_Facebook_Ads[[#This Row],[video_views]]*RANDBETWEEN(8,12)/10,0)</f>
        <v>60281</v>
      </c>
      <c r="K87" s="4">
        <f ca="1">T_Facebook_Ads[[#This Row],[engagement_rate]]*RANDBETWEEN(8,12)/10</f>
        <v>3.96E-3</v>
      </c>
      <c r="L87" s="4">
        <f ca="1">ROUND(T_Facebook_Ads[[#This Row],[reach]]*RANDBETWEEN(8,12)/10,0)</f>
        <v>66868</v>
      </c>
      <c r="M87" s="4">
        <f ca="1">T_Facebook_Ads[[#This Row],[frequency]]*RANDBETWEEN(8,12)/10</f>
        <v>0.98399999999999999</v>
      </c>
      <c r="O87" s="3">
        <f t="shared" ca="1" si="10"/>
        <v>44959</v>
      </c>
      <c r="P87" s="4" t="s">
        <v>88</v>
      </c>
      <c r="Q87" s="4" t="s">
        <v>89</v>
      </c>
      <c r="R87" s="4" t="s">
        <v>90</v>
      </c>
      <c r="S87" s="4" t="s">
        <v>59</v>
      </c>
      <c r="T87" s="4">
        <f ca="1">ROUND(_Google_ads[[#This Row],[impressions]]*RANDBETWEEN(8,12)/10,0)</f>
        <v>167081</v>
      </c>
      <c r="U87" s="4">
        <f ca="1">ROUND(_Google_ads[[#This Row],[clicks]]*RANDBETWEEN(8,12)/10,0)</f>
        <v>418</v>
      </c>
      <c r="V87" s="4">
        <f ca="1">_Google_ads[[#This Row],[cost]]*RANDBETWEEN(8,12)/10</f>
        <v>123.12</v>
      </c>
      <c r="W87" s="4">
        <f ca="1">ROUND(_Google_ads[[#This Row],[conversions]]*RANDBETWEEN(8,12)/10,0)</f>
        <v>12</v>
      </c>
      <c r="X87" s="4">
        <f ca="1">ROUND(_Google_ads[[#This Row],[conversion_value]]*RANDBETWEEN(8,12)/10,0)</f>
        <v>900</v>
      </c>
      <c r="Y87" s="4">
        <f ca="1">_Google_ads[[#This Row],[ctr]]*RANDBETWEEN(8,12)/10</f>
        <v>4.1799999999999997E-3</v>
      </c>
      <c r="Z87" s="4">
        <f ca="1">_Google_ads[[#This Row],[avg_cpc]]*RANDBETWEEN(8,12)/10</f>
        <v>0.312</v>
      </c>
      <c r="AA87" s="4">
        <f ca="1">ROUND(_Google_ads[[#This Row],[quality_score]]*RANDBETWEEN(8,12)/10,0)</f>
        <v>7</v>
      </c>
      <c r="AB87" s="4">
        <f ca="1">_Google_ads[[#This Row],[search_impression_share]]*RANDBETWEEN(8,12)/10</f>
        <v>0.36</v>
      </c>
      <c r="AD87" s="3">
        <f t="shared" ca="1" si="11"/>
        <v>44976</v>
      </c>
      <c r="AE87" s="4" t="s">
        <v>112</v>
      </c>
      <c r="AF87" s="4" t="s">
        <v>113</v>
      </c>
      <c r="AG87" s="4" t="s">
        <v>114</v>
      </c>
      <c r="AH87" s="4" t="s">
        <v>115</v>
      </c>
      <c r="AI87" s="4">
        <f ca="1">ROUND(T_Tiktok_ads[[#This Row],[impressions]]*RANDBETWEEN(8,12)/10,0)</f>
        <v>548147</v>
      </c>
      <c r="AJ87" s="4">
        <f ca="1">ROUND(T_Tiktok_ads[[#This Row],[clicks]]*RANDBETWEEN(8,12)/10,0)</f>
        <v>8947</v>
      </c>
      <c r="AK87" s="4">
        <v>1167.8</v>
      </c>
      <c r="AL87" s="4">
        <f ca="1">ROUND(T_Tiktok_ads[[#This Row],[conversions]]*RANDBETWEEN(8,12)/10,0)</f>
        <v>106</v>
      </c>
      <c r="AM87" s="4">
        <f ca="1">ROUND(T_Tiktok_ads[[#This Row],[video_views]]*RANDBETWEEN(8,12)/10,0)</f>
        <v>350111</v>
      </c>
      <c r="AN87" s="4">
        <f ca="1">ROUND(T_Tiktok_ads[[#This Row],[video_watch_25]]*RANDBETWEEN(8,12)/10,0)</f>
        <v>249876</v>
      </c>
      <c r="AO87" s="4">
        <f ca="1">ROUND(T_Tiktok_ads[[#This Row],[video_watch_50]]*RANDBETWEEN(8,12)/10,0)</f>
        <v>199387</v>
      </c>
      <c r="AP87" s="4">
        <f ca="1">ROUND(T_Tiktok_ads[[#This Row],[video_watch_75]]*RANDBETWEEN(8,12)/10,0)</f>
        <v>213468</v>
      </c>
      <c r="AQ87" s="4">
        <f ca="1">ROUND(T_Tiktok_ads[[#This Row],[video_watch_100]]*RANDBETWEEN(8,12)/10,0)</f>
        <v>94587</v>
      </c>
      <c r="AR87" s="4">
        <f ca="1">ROUND(T_Tiktok_ads[[#This Row],[likes]]*RANDBETWEEN(8,12)/10,0)</f>
        <v>20234</v>
      </c>
      <c r="AS87" s="4">
        <f ca="1">ROUND(T_Tiktok_ads[[#This Row],[shares]]*RANDBETWEEN(8,12)/10,0)</f>
        <v>4730</v>
      </c>
      <c r="AT87" s="4">
        <f ca="1">ROUND(T_Tiktok_ads[[#This Row],[comments]]*RANDBETWEEN(8,12)/10,0)</f>
        <v>1461</v>
      </c>
      <c r="AV87" s="5">
        <f t="shared" ca="1" si="12"/>
        <v>44962</v>
      </c>
      <c r="AW87">
        <f t="shared" ca="1" si="13"/>
        <v>6</v>
      </c>
      <c r="AX87">
        <f ca="1">ROUND(T_Facebook_Ads1159[[#This Row],[impressions]]*RANDBETWEEN(2,10)/10,0)</f>
        <v>17896</v>
      </c>
      <c r="AY87">
        <f ca="1">ROUND(T_Facebook_Ads1159[[#This Row],[clicks]]*RANDBETWEEN(8,12)/10,0)</f>
        <v>214</v>
      </c>
      <c r="AZ87">
        <f ca="1">T_Facebook_Ads1159[[#This Row],[spend]]*RANDBETWEEN(8,12)/10</f>
        <v>86.22</v>
      </c>
      <c r="BA87">
        <f ca="1">ROUND(T_Facebook_Ads1159[[#This Row],[conversions]]*RANDBETWEEN(8,12)/10,0)</f>
        <v>10</v>
      </c>
      <c r="BB87">
        <f ca="1">ROUND(T_Facebook_Ads1159[[#This Row],[video_views]]*RANDBETWEEN(8,12)/10,0)</f>
        <v>72337</v>
      </c>
    </row>
    <row r="88" spans="1:54" ht="15.75" thickBot="1" x14ac:dyDescent="0.3">
      <c r="A88" s="3">
        <f t="shared" ca="1" si="9"/>
        <v>44961</v>
      </c>
      <c r="B88" s="4" t="s">
        <v>52</v>
      </c>
      <c r="C88" s="4" t="s">
        <v>53</v>
      </c>
      <c r="D88" s="4" t="s">
        <v>54</v>
      </c>
      <c r="E88" s="4" t="s">
        <v>55</v>
      </c>
      <c r="F88" s="4">
        <f ca="1">ROUND(T_Facebook_Ads[[#This Row],[impressions]]*RANDBETWEEN(8,12)/10,0)</f>
        <v>47510</v>
      </c>
      <c r="G88" s="4">
        <v>1123</v>
      </c>
      <c r="H88" s="4">
        <f ca="1">T_Facebook_Ads[[#This Row],[spend]]*RANDBETWEEN(8,12)/10</f>
        <v>156.4</v>
      </c>
      <c r="I88" s="4">
        <f ca="1">ROUND(T_Facebook_Ads[[#This Row],[conversions]]*RANDBETWEEN(8,12)/10,0)</f>
        <v>22</v>
      </c>
      <c r="J88" s="4">
        <f ca="1">ROUND(T_Facebook_Ads[[#This Row],[video_views]]*RANDBETWEEN(8,12)/10,0)</f>
        <v>11480</v>
      </c>
      <c r="K88" s="4">
        <f ca="1">T_Facebook_Ads[[#This Row],[engagement_rate]]*RANDBETWEEN(8,12)/10</f>
        <v>2.3429999999999999E-2</v>
      </c>
      <c r="L88" s="4">
        <f ca="1">ROUND(T_Facebook_Ads[[#This Row],[reach]]*RANDBETWEEN(8,12)/10,0)</f>
        <v>48279</v>
      </c>
      <c r="M88" s="4">
        <f ca="1">T_Facebook_Ads[[#This Row],[frequency]]*RANDBETWEEN(8,12)/10</f>
        <v>1.44</v>
      </c>
      <c r="O88" s="3">
        <f t="shared" ca="1" si="10"/>
        <v>44958</v>
      </c>
      <c r="P88" s="4" t="s">
        <v>76</v>
      </c>
      <c r="Q88" s="4" t="s">
        <v>77</v>
      </c>
      <c r="R88" s="4" t="s">
        <v>78</v>
      </c>
      <c r="S88" s="4" t="s">
        <v>79</v>
      </c>
      <c r="T88" s="4">
        <f ca="1">ROUND(_Google_ads[[#This Row],[impressions]]*RANDBETWEEN(8,12)/10,0)</f>
        <v>33881</v>
      </c>
      <c r="U88" s="4">
        <f ca="1">ROUND(_Google_ads[[#This Row],[clicks]]*RANDBETWEEN(8,12)/10,0)</f>
        <v>1361</v>
      </c>
      <c r="V88" s="4">
        <f ca="1">_Google_ads[[#This Row],[cost]]*RANDBETWEEN(8,12)/10</f>
        <v>345.12</v>
      </c>
      <c r="W88" s="4">
        <f ca="1">ROUND(_Google_ads[[#This Row],[conversions]]*RANDBETWEEN(8,12)/10,0)</f>
        <v>70</v>
      </c>
      <c r="X88" s="4">
        <f ca="1">ROUND(_Google_ads[[#This Row],[conversion_value]]*RANDBETWEEN(8,12)/10,0)</f>
        <v>2610</v>
      </c>
      <c r="Y88" s="4">
        <f ca="1">_Google_ads[[#This Row],[ctr]]*RANDBETWEEN(8,12)/10</f>
        <v>4.2799999999999998E-2</v>
      </c>
      <c r="Z88" s="4">
        <f ca="1">_Google_ads[[#This Row],[avg_cpc]]*RANDBETWEEN(8,12)/10</f>
        <v>0.19</v>
      </c>
      <c r="AA88" s="4">
        <f ca="1">ROUND(_Google_ads[[#This Row],[quality_score]]*RANDBETWEEN(8,12)/10,0)</f>
        <v>11</v>
      </c>
      <c r="AB88" s="4">
        <f ca="1">_Google_ads[[#This Row],[search_impression_share]]*RANDBETWEEN(8,12)/10</f>
        <v>0.84599999999999986</v>
      </c>
      <c r="AD88" s="3">
        <f t="shared" ca="1" si="11"/>
        <v>44966</v>
      </c>
      <c r="AE88" s="4" t="s">
        <v>100</v>
      </c>
      <c r="AF88" s="4" t="s">
        <v>101</v>
      </c>
      <c r="AG88" s="4" t="s">
        <v>102</v>
      </c>
      <c r="AH88" s="4" t="s">
        <v>103</v>
      </c>
      <c r="AI88" s="4">
        <f ca="1">ROUND(T_Tiktok_ads[[#This Row],[impressions]]*RANDBETWEEN(8,12)/10,0)</f>
        <v>291110</v>
      </c>
      <c r="AJ88" s="4">
        <f ca="1">ROUND(T_Tiktok_ads[[#This Row],[clicks]]*RANDBETWEEN(8,12)/10,0)</f>
        <v>3831</v>
      </c>
      <c r="AK88" s="4">
        <v>645.70000000000005</v>
      </c>
      <c r="AL88" s="4">
        <f ca="1">ROUND(T_Tiktok_ads[[#This Row],[conversions]]*RANDBETWEEN(8,12)/10,0)</f>
        <v>60</v>
      </c>
      <c r="AM88" s="4">
        <f ca="1">ROUND(T_Tiktok_ads[[#This Row],[video_views]]*RANDBETWEEN(8,12)/10,0)</f>
        <v>294679</v>
      </c>
      <c r="AN88" s="4">
        <f ca="1">ROUND(T_Tiktok_ads[[#This Row],[video_watch_25]]*RANDBETWEEN(8,12)/10,0)</f>
        <v>167121</v>
      </c>
      <c r="AO88" s="4">
        <f ca="1">ROUND(T_Tiktok_ads[[#This Row],[video_watch_50]]*RANDBETWEEN(8,12)/10,0)</f>
        <v>157481</v>
      </c>
      <c r="AP88" s="4">
        <f ca="1">ROUND(T_Tiktok_ads[[#This Row],[video_watch_75]]*RANDBETWEEN(8,12)/10,0)</f>
        <v>105881</v>
      </c>
      <c r="AQ88" s="4">
        <f ca="1">ROUND(T_Tiktok_ads[[#This Row],[video_watch_100]]*RANDBETWEEN(8,12)/10,0)</f>
        <v>58901</v>
      </c>
      <c r="AR88" s="4">
        <f ca="1">ROUND(T_Tiktok_ads[[#This Row],[likes]]*RANDBETWEEN(8,12)/10,0)</f>
        <v>13880</v>
      </c>
      <c r="AS88" s="4">
        <f ca="1">ROUND(T_Tiktok_ads[[#This Row],[shares]]*RANDBETWEEN(8,12)/10,0)</f>
        <v>3447</v>
      </c>
      <c r="AT88" s="4">
        <f ca="1">ROUND(T_Tiktok_ads[[#This Row],[comments]]*RANDBETWEEN(8,12)/10,0)</f>
        <v>881</v>
      </c>
      <c r="AV88" s="5">
        <f t="shared" ca="1" si="12"/>
        <v>44971</v>
      </c>
      <c r="AW88">
        <f t="shared" ca="1" si="13"/>
        <v>2</v>
      </c>
      <c r="AX88">
        <f ca="1">ROUND(T_Facebook_Ads1159[[#This Row],[impressions]]*RANDBETWEEN(2,10)/10,0)</f>
        <v>33257</v>
      </c>
      <c r="AY88">
        <f ca="1">ROUND(T_Facebook_Ads1159[[#This Row],[clicks]]*RANDBETWEEN(8,12)/10,0)</f>
        <v>1011</v>
      </c>
      <c r="AZ88">
        <f ca="1">T_Facebook_Ads1159[[#This Row],[spend]]*RANDBETWEEN(8,12)/10</f>
        <v>125.12</v>
      </c>
      <c r="BA88">
        <f ca="1">ROUND(T_Facebook_Ads1159[[#This Row],[conversions]]*RANDBETWEEN(8,12)/10,0)</f>
        <v>22</v>
      </c>
      <c r="BB88">
        <f ca="1">ROUND(T_Facebook_Ads1159[[#This Row],[video_views]]*RANDBETWEEN(8,12)/10,0)</f>
        <v>11480</v>
      </c>
    </row>
    <row r="89" spans="1:54" ht="15.75" thickBot="1" x14ac:dyDescent="0.3">
      <c r="A89" s="3">
        <f t="shared" ca="1" si="9"/>
        <v>44964</v>
      </c>
      <c r="B89" s="4" t="s">
        <v>56</v>
      </c>
      <c r="C89" s="4" t="s">
        <v>57</v>
      </c>
      <c r="D89" s="4" t="s">
        <v>58</v>
      </c>
      <c r="E89" s="4" t="s">
        <v>59</v>
      </c>
      <c r="F89" s="4">
        <f ca="1">ROUND(T_Facebook_Ads[[#This Row],[impressions]]*RANDBETWEEN(8,12)/10,0)</f>
        <v>14110</v>
      </c>
      <c r="G89" s="4">
        <v>756</v>
      </c>
      <c r="H89" s="4">
        <f ca="1">T_Facebook_Ads[[#This Row],[spend]]*RANDBETWEEN(8,12)/10</f>
        <v>242.01</v>
      </c>
      <c r="I89" s="4">
        <f ca="1">ROUND(T_Facebook_Ads[[#This Row],[conversions]]*RANDBETWEEN(8,12)/10,0)</f>
        <v>56</v>
      </c>
      <c r="J89" s="4">
        <f ca="1">ROUND(T_Facebook_Ads[[#This Row],[video_views]]*RANDBETWEEN(8,12)/10,0)</f>
        <v>1678</v>
      </c>
      <c r="K89" s="4">
        <f ca="1">T_Facebook_Ads[[#This Row],[engagement_rate]]*RANDBETWEEN(8,12)/10</f>
        <v>5.7840000000000003E-2</v>
      </c>
      <c r="L89" s="4">
        <f ca="1">ROUND(T_Facebook_Ads[[#This Row],[reach]]*RANDBETWEEN(8,12)/10,0)</f>
        <v>14814</v>
      </c>
      <c r="M89" s="4">
        <f ca="1">T_Facebook_Ads[[#This Row],[frequency]]*RANDBETWEEN(8,12)/10</f>
        <v>1.524</v>
      </c>
      <c r="O89" s="3">
        <f t="shared" ca="1" si="10"/>
        <v>44977</v>
      </c>
      <c r="P89" s="4" t="s">
        <v>80</v>
      </c>
      <c r="Q89" s="4" t="s">
        <v>81</v>
      </c>
      <c r="R89" s="4" t="s">
        <v>82</v>
      </c>
      <c r="S89" s="4" t="s">
        <v>83</v>
      </c>
      <c r="T89" s="4">
        <f ca="1">ROUND(_Google_ads[[#This Row],[impressions]]*RANDBETWEEN(8,12)/10,0)</f>
        <v>54524</v>
      </c>
      <c r="U89" s="4">
        <f ca="1">ROUND(_Google_ads[[#This Row],[clicks]]*RANDBETWEEN(8,12)/10,0)</f>
        <v>1113</v>
      </c>
      <c r="V89" s="4">
        <f ca="1">_Google_ads[[#This Row],[cost]]*RANDBETWEEN(8,12)/10</f>
        <v>634.20000000000005</v>
      </c>
      <c r="W89" s="4">
        <f ca="1">ROUND(_Google_ads[[#This Row],[conversions]]*RANDBETWEEN(8,12)/10,0)</f>
        <v>22</v>
      </c>
      <c r="X89" s="4">
        <f ca="1">ROUND(_Google_ads[[#This Row],[conversion_value]]*RANDBETWEEN(8,12)/10,0)</f>
        <v>1215</v>
      </c>
      <c r="Y89" s="4">
        <f ca="1">_Google_ads[[#This Row],[ctr]]*RANDBETWEEN(8,12)/10</f>
        <v>2.0400000000000001E-2</v>
      </c>
      <c r="Z89" s="4">
        <f ca="1">_Google_ads[[#This Row],[avg_cpc]]*RANDBETWEEN(8,12)/10</f>
        <v>0.63</v>
      </c>
      <c r="AA89" s="4">
        <f ca="1">ROUND(_Google_ads[[#This Row],[quality_score]]*RANDBETWEEN(8,12)/10,0)</f>
        <v>6</v>
      </c>
      <c r="AB89" s="4">
        <f ca="1">_Google_ads[[#This Row],[search_impression_share]]*RANDBETWEEN(8,12)/10</f>
        <v>0.46999999999999992</v>
      </c>
      <c r="AD89" s="3">
        <f t="shared" ca="1" si="11"/>
        <v>44974</v>
      </c>
      <c r="AE89" s="4" t="s">
        <v>104</v>
      </c>
      <c r="AF89" s="4" t="s">
        <v>105</v>
      </c>
      <c r="AG89" s="4" t="s">
        <v>106</v>
      </c>
      <c r="AH89" s="4" t="s">
        <v>107</v>
      </c>
      <c r="AI89" s="4">
        <f ca="1">ROUND(T_Tiktok_ads[[#This Row],[impressions]]*RANDBETWEEN(8,12)/10,0)</f>
        <v>143121</v>
      </c>
      <c r="AJ89" s="4">
        <f ca="1">ROUND(T_Tiktok_ads[[#This Row],[clicks]]*RANDBETWEEN(8,12)/10,0)</f>
        <v>4147</v>
      </c>
      <c r="AK89" s="4">
        <v>889.5</v>
      </c>
      <c r="AL89" s="4">
        <f ca="1">ROUND(T_Tiktok_ads[[#This Row],[conversions]]*RANDBETWEEN(8,12)/10,0)</f>
        <v>80</v>
      </c>
      <c r="AM89" s="4">
        <f ca="1">ROUND(T_Tiktok_ads[[#This Row],[video_views]]*RANDBETWEEN(8,12)/10,0)</f>
        <v>116011</v>
      </c>
      <c r="AN89" s="4">
        <f ca="1">ROUND(T_Tiktok_ads[[#This Row],[video_watch_25]]*RANDBETWEEN(8,12)/10,0)</f>
        <v>105246</v>
      </c>
      <c r="AO89" s="4">
        <f ca="1">ROUND(T_Tiktok_ads[[#This Row],[video_watch_50]]*RANDBETWEEN(8,12)/10,0)</f>
        <v>64567</v>
      </c>
      <c r="AP89" s="4">
        <f ca="1">ROUND(T_Tiktok_ads[[#This Row],[video_watch_75]]*RANDBETWEEN(8,12)/10,0)</f>
        <v>58280</v>
      </c>
      <c r="AQ89" s="4">
        <f ca="1">ROUND(T_Tiktok_ads[[#This Row],[video_watch_100]]*RANDBETWEEN(8,12)/10,0)</f>
        <v>25876</v>
      </c>
      <c r="AR89" s="4">
        <f ca="1">ROUND(T_Tiktok_ads[[#This Row],[likes]]*RANDBETWEEN(8,12)/10,0)</f>
        <v>6123</v>
      </c>
      <c r="AS89" s="4">
        <f ca="1">ROUND(T_Tiktok_ads[[#This Row],[shares]]*RANDBETWEEN(8,12)/10,0)</f>
        <v>2081</v>
      </c>
      <c r="AT89" s="4">
        <f ca="1">ROUND(T_Tiktok_ads[[#This Row],[comments]]*RANDBETWEEN(8,12)/10,0)</f>
        <v>311</v>
      </c>
      <c r="AV89" s="5">
        <f t="shared" ca="1" si="12"/>
        <v>44960</v>
      </c>
      <c r="AW89">
        <f t="shared" ca="1" si="13"/>
        <v>2</v>
      </c>
      <c r="AX89">
        <f ca="1">ROUND(T_Facebook_Ads1159[[#This Row],[impressions]]*RANDBETWEEN(2,10)/10,0)</f>
        <v>8466</v>
      </c>
      <c r="AY89">
        <f ca="1">ROUND(T_Facebook_Ads1159[[#This Row],[clicks]]*RANDBETWEEN(8,12)/10,0)</f>
        <v>756</v>
      </c>
      <c r="AZ89">
        <f ca="1">T_Facebook_Ads1159[[#This Row],[spend]]*RANDBETWEEN(8,12)/10</f>
        <v>242.01</v>
      </c>
      <c r="BA89">
        <f ca="1">ROUND(T_Facebook_Ads1159[[#This Row],[conversions]]*RANDBETWEEN(8,12)/10,0)</f>
        <v>45</v>
      </c>
      <c r="BB89">
        <f ca="1">ROUND(T_Facebook_Ads1159[[#This Row],[video_views]]*RANDBETWEEN(8,12)/10,0)</f>
        <v>1342</v>
      </c>
    </row>
    <row r="90" spans="1:54" ht="15.75" thickBot="1" x14ac:dyDescent="0.3">
      <c r="A90" s="3">
        <f t="shared" ca="1" si="9"/>
        <v>44964</v>
      </c>
      <c r="B90" s="4" t="s">
        <v>60</v>
      </c>
      <c r="C90" s="4" t="s">
        <v>61</v>
      </c>
      <c r="D90" s="4" t="s">
        <v>62</v>
      </c>
      <c r="E90" s="4" t="s">
        <v>63</v>
      </c>
      <c r="F90" s="4">
        <f ca="1">ROUND(T_Facebook_Ads[[#This Row],[impressions]]*RANDBETWEEN(8,12)/10,0)</f>
        <v>32454</v>
      </c>
      <c r="G90" s="4">
        <v>1567</v>
      </c>
      <c r="H90" s="4">
        <f ca="1">T_Facebook_Ads[[#This Row],[spend]]*RANDBETWEEN(8,12)/10</f>
        <v>286.32</v>
      </c>
      <c r="I90" s="4">
        <f ca="1">ROUND(T_Facebook_Ads[[#This Row],[conversions]]*RANDBETWEEN(8,12)/10,0)</f>
        <v>41</v>
      </c>
      <c r="J90" s="4">
        <f ca="1">ROUND(T_Facebook_Ads[[#This Row],[video_views]]*RANDBETWEEN(8,12)/10,0)</f>
        <v>6547</v>
      </c>
      <c r="K90" s="4">
        <f ca="1">T_Facebook_Ads[[#This Row],[engagement_rate]]*RANDBETWEEN(8,12)/10</f>
        <v>3.0880000000000001E-2</v>
      </c>
      <c r="L90" s="4">
        <f ca="1">ROUND(T_Facebook_Ads[[#This Row],[reach]]*RANDBETWEEN(8,12)/10,0)</f>
        <v>36557</v>
      </c>
      <c r="M90" s="4">
        <f ca="1">T_Facebook_Ads[[#This Row],[frequency]]*RANDBETWEEN(8,12)/10</f>
        <v>1.464</v>
      </c>
      <c r="O90" s="3">
        <f t="shared" ca="1" si="10"/>
        <v>44958</v>
      </c>
      <c r="P90" s="4" t="s">
        <v>84</v>
      </c>
      <c r="Q90" s="4" t="s">
        <v>85</v>
      </c>
      <c r="R90" s="4" t="s">
        <v>86</v>
      </c>
      <c r="S90" s="4" t="s">
        <v>87</v>
      </c>
      <c r="T90" s="4">
        <f ca="1">ROUND(_Google_ads[[#This Row],[impressions]]*RANDBETWEEN(8,12)/10,0)</f>
        <v>60187</v>
      </c>
      <c r="U90" s="4">
        <f ca="1">ROUND(_Google_ads[[#This Row],[clicks]]*RANDBETWEEN(8,12)/10,0)</f>
        <v>3080</v>
      </c>
      <c r="V90" s="4">
        <f ca="1">_Google_ads[[#This Row],[cost]]*RANDBETWEEN(8,12)/10</f>
        <v>561.36</v>
      </c>
      <c r="W90" s="4">
        <f ca="1">ROUND(_Google_ads[[#This Row],[conversions]]*RANDBETWEEN(8,12)/10,0)</f>
        <v>68</v>
      </c>
      <c r="X90" s="4">
        <f ca="1">ROUND(_Google_ads[[#This Row],[conversion_value]]*RANDBETWEEN(8,12)/10,0)</f>
        <v>3750</v>
      </c>
      <c r="Y90" s="4">
        <f ca="1">_Google_ads[[#This Row],[ctr]]*RANDBETWEEN(8,12)/10</f>
        <v>4.0919999999999998E-2</v>
      </c>
      <c r="Z90" s="4">
        <f ca="1">_Google_ads[[#This Row],[avg_cpc]]*RANDBETWEEN(8,12)/10</f>
        <v>0.18</v>
      </c>
      <c r="AA90" s="4">
        <f ca="1">ROUND(_Google_ads[[#This Row],[quality_score]]*RANDBETWEEN(8,12)/10,0)</f>
        <v>10</v>
      </c>
      <c r="AB90" s="4">
        <f ca="1">_Google_ads[[#This Row],[search_impression_share]]*RANDBETWEEN(8,12)/10</f>
        <v>0.55999999999999994</v>
      </c>
      <c r="AD90" s="3">
        <f t="shared" ca="1" si="11"/>
        <v>44979</v>
      </c>
      <c r="AE90" s="4" t="s">
        <v>108</v>
      </c>
      <c r="AF90" s="4" t="s">
        <v>109</v>
      </c>
      <c r="AG90" s="4" t="s">
        <v>110</v>
      </c>
      <c r="AH90" s="4" t="s">
        <v>111</v>
      </c>
      <c r="AI90" s="4">
        <f ca="1">ROUND(T_Tiktok_ads[[#This Row],[impressions]]*RANDBETWEEN(8,12)/10,0)</f>
        <v>278901</v>
      </c>
      <c r="AJ90" s="4">
        <f ca="1">ROUND(T_Tiktok_ads[[#This Row],[clicks]]*RANDBETWEEN(8,12)/10,0)</f>
        <v>4234</v>
      </c>
      <c r="AK90" s="4">
        <v>534.20000000000005</v>
      </c>
      <c r="AL90" s="4">
        <f ca="1">ROUND(T_Tiktok_ads[[#This Row],[conversions]]*RANDBETWEEN(8,12)/10,0)</f>
        <v>39</v>
      </c>
      <c r="AM90" s="4">
        <f ca="1">ROUND(T_Tiktok_ads[[#This Row],[video_views]]*RANDBETWEEN(8,12)/10,0)</f>
        <v>201110</v>
      </c>
      <c r="AN90" s="4">
        <f ca="1">ROUND(T_Tiktok_ads[[#This Row],[video_watch_25]]*RANDBETWEEN(8,12)/10,0)</f>
        <v>135121</v>
      </c>
      <c r="AO90" s="4">
        <f ca="1">ROUND(T_Tiktok_ads[[#This Row],[video_watch_50]]*RANDBETWEEN(8,12)/10,0)</f>
        <v>106765</v>
      </c>
      <c r="AP90" s="4">
        <f ca="1">ROUND(T_Tiktok_ads[[#This Row],[video_watch_75]]*RANDBETWEEN(8,12)/10,0)</f>
        <v>85678</v>
      </c>
      <c r="AQ90" s="4">
        <f ca="1">ROUND(T_Tiktok_ads[[#This Row],[video_watch_100]]*RANDBETWEEN(8,12)/10,0)</f>
        <v>46610</v>
      </c>
      <c r="AR90" s="4">
        <f ca="1">ROUND(T_Tiktok_ads[[#This Row],[likes]]*RANDBETWEEN(8,12)/10,0)</f>
        <v>10402</v>
      </c>
      <c r="AS90" s="4">
        <f ca="1">ROUND(T_Tiktok_ads[[#This Row],[shares]]*RANDBETWEEN(8,12)/10,0)</f>
        <v>2634</v>
      </c>
      <c r="AT90" s="4">
        <f ca="1">ROUND(T_Tiktok_ads[[#This Row],[comments]]*RANDBETWEEN(8,12)/10,0)</f>
        <v>685</v>
      </c>
      <c r="AV90" s="5">
        <f t="shared" ca="1" si="12"/>
        <v>44977</v>
      </c>
      <c r="AW90">
        <f t="shared" ca="1" si="13"/>
        <v>7</v>
      </c>
      <c r="AX90">
        <f ca="1">ROUND(T_Facebook_Ads1159[[#This Row],[impressions]]*RANDBETWEEN(2,10)/10,0)</f>
        <v>6491</v>
      </c>
      <c r="AY90">
        <f ca="1">ROUND(T_Facebook_Ads1159[[#This Row],[clicks]]*RANDBETWEEN(8,12)/10,0)</f>
        <v>1410</v>
      </c>
      <c r="AZ90">
        <f ca="1">T_Facebook_Ads1159[[#This Row],[spend]]*RANDBETWEEN(8,12)/10</f>
        <v>286.32</v>
      </c>
      <c r="BA90">
        <f ca="1">ROUND(T_Facebook_Ads1159[[#This Row],[conversions]]*RANDBETWEEN(8,12)/10,0)</f>
        <v>49</v>
      </c>
      <c r="BB90">
        <f ca="1">ROUND(T_Facebook_Ads1159[[#This Row],[video_views]]*RANDBETWEEN(8,12)/10,0)</f>
        <v>5238</v>
      </c>
    </row>
    <row r="91" spans="1:54" ht="15.75" thickBot="1" x14ac:dyDescent="0.3">
      <c r="A91" s="3">
        <f t="shared" ca="1" si="9"/>
        <v>44984</v>
      </c>
      <c r="B91" s="4" t="s">
        <v>64</v>
      </c>
      <c r="C91" s="4" t="s">
        <v>65</v>
      </c>
      <c r="D91" s="4" t="s">
        <v>66</v>
      </c>
      <c r="E91" s="4" t="s">
        <v>67</v>
      </c>
      <c r="F91" s="4">
        <f ca="1">ROUND(T_Facebook_Ads[[#This Row],[impressions]]*RANDBETWEEN(8,12)/10,0)</f>
        <v>69201</v>
      </c>
      <c r="G91" s="4">
        <v>278</v>
      </c>
      <c r="H91" s="4">
        <f ca="1">T_Facebook_Ads[[#This Row],[spend]]*RANDBETWEEN(8,12)/10</f>
        <v>119.04</v>
      </c>
      <c r="I91" s="4">
        <f ca="1">ROUND(T_Facebook_Ads[[#This Row],[conversions]]*RANDBETWEEN(8,12)/10,0)</f>
        <v>6</v>
      </c>
      <c r="J91" s="4">
        <f ca="1">ROUND(T_Facebook_Ads[[#This Row],[video_views]]*RANDBETWEEN(8,12)/10,0)</f>
        <v>41254</v>
      </c>
      <c r="K91" s="4">
        <f ca="1">T_Facebook_Ads[[#This Row],[engagement_rate]]*RANDBETWEEN(8,12)/10</f>
        <v>3.5999999999999999E-3</v>
      </c>
      <c r="L91" s="4">
        <f ca="1">ROUND(T_Facebook_Ads[[#This Row],[reach]]*RANDBETWEEN(8,12)/10,0)</f>
        <v>56601</v>
      </c>
      <c r="M91" s="4">
        <f ca="1">T_Facebook_Ads[[#This Row],[frequency]]*RANDBETWEEN(8,12)/10</f>
        <v>1.107</v>
      </c>
      <c r="O91" s="3">
        <f t="shared" ca="1" si="10"/>
        <v>44961</v>
      </c>
      <c r="P91" s="4" t="s">
        <v>88</v>
      </c>
      <c r="Q91" s="4" t="s">
        <v>89</v>
      </c>
      <c r="R91" s="4" t="s">
        <v>90</v>
      </c>
      <c r="S91" s="4" t="s">
        <v>59</v>
      </c>
      <c r="T91" s="4">
        <f ca="1">ROUND(_Google_ads[[#This Row],[impressions]]*RANDBETWEEN(8,12)/10,0)</f>
        <v>113876</v>
      </c>
      <c r="U91" s="4">
        <f ca="1">ROUND(_Google_ads[[#This Row],[clicks]]*RANDBETWEEN(8,12)/10,0)</f>
        <v>436</v>
      </c>
      <c r="V91" s="4">
        <f ca="1">_Google_ads[[#This Row],[cost]]*RANDBETWEEN(8,12)/10</f>
        <v>167.88000000000002</v>
      </c>
      <c r="W91" s="4">
        <f ca="1">ROUND(_Google_ads[[#This Row],[conversions]]*RANDBETWEEN(8,12)/10,0)</f>
        <v>13</v>
      </c>
      <c r="X91" s="4">
        <f ca="1">ROUND(_Google_ads[[#This Row],[conversion_value]]*RANDBETWEEN(8,12)/10,0)</f>
        <v>880</v>
      </c>
      <c r="Y91" s="4">
        <f ca="1">_Google_ads[[#This Row],[ctr]]*RANDBETWEEN(8,12)/10</f>
        <v>4.5599999999999998E-3</v>
      </c>
      <c r="Z91" s="4">
        <f ca="1">_Google_ads[[#This Row],[avg_cpc]]*RANDBETWEEN(8,12)/10</f>
        <v>0.28600000000000003</v>
      </c>
      <c r="AA91" s="4">
        <f ca="1">ROUND(_Google_ads[[#This Row],[quality_score]]*RANDBETWEEN(8,12)/10,0)</f>
        <v>6</v>
      </c>
      <c r="AB91" s="4">
        <f ca="1">_Google_ads[[#This Row],[search_impression_share]]*RANDBETWEEN(8,12)/10</f>
        <v>0.33300000000000002</v>
      </c>
      <c r="AD91" s="3">
        <f t="shared" ca="1" si="11"/>
        <v>44977</v>
      </c>
      <c r="AE91" s="4" t="s">
        <v>112</v>
      </c>
      <c r="AF91" s="4" t="s">
        <v>113</v>
      </c>
      <c r="AG91" s="4" t="s">
        <v>114</v>
      </c>
      <c r="AH91" s="4" t="s">
        <v>115</v>
      </c>
      <c r="AI91" s="4">
        <f ca="1">ROUND(T_Tiktok_ads[[#This Row],[impressions]]*RANDBETWEEN(8,12)/10,0)</f>
        <v>467890</v>
      </c>
      <c r="AJ91" s="4">
        <f ca="1">ROUND(T_Tiktok_ads[[#This Row],[clicks]]*RANDBETWEEN(8,12)/10,0)</f>
        <v>6861</v>
      </c>
      <c r="AK91" s="4">
        <v>1189.4000000000001</v>
      </c>
      <c r="AL91" s="4">
        <f ca="1">ROUND(T_Tiktok_ads[[#This Row],[conversions]]*RANDBETWEEN(8,12)/10,0)</f>
        <v>120</v>
      </c>
      <c r="AM91" s="4">
        <f ca="1">ROUND(T_Tiktok_ads[[#This Row],[video_views]]*RANDBETWEEN(8,12)/10,0)</f>
        <v>361111</v>
      </c>
      <c r="AN91" s="4">
        <f ca="1">ROUND(T_Tiktok_ads[[#This Row],[video_watch_25]]*RANDBETWEEN(8,12)/10,0)</f>
        <v>258765</v>
      </c>
      <c r="AO91" s="4">
        <f ca="1">ROUND(T_Tiktok_ads[[#This Row],[video_watch_50]]*RANDBETWEEN(8,12)/10,0)</f>
        <v>207121</v>
      </c>
      <c r="AP91" s="4">
        <f ca="1">ROUND(T_Tiktok_ads[[#This Row],[video_watch_75]]*RANDBETWEEN(8,12)/10,0)</f>
        <v>184567</v>
      </c>
      <c r="AQ91" s="4">
        <f ca="1">ROUND(T_Tiktok_ads[[#This Row],[video_watch_100]]*RANDBETWEEN(8,12)/10,0)</f>
        <v>110111</v>
      </c>
      <c r="AR91" s="4">
        <f ca="1">ROUND(T_Tiktok_ads[[#This Row],[likes]]*RANDBETWEEN(8,12)/10,0)</f>
        <v>22868</v>
      </c>
      <c r="AS91" s="4">
        <f ca="1">ROUND(T_Tiktok_ads[[#This Row],[shares]]*RANDBETWEEN(8,12)/10,0)</f>
        <v>7241</v>
      </c>
      <c r="AT91" s="4">
        <f ca="1">ROUND(T_Tiktok_ads[[#This Row],[comments]]*RANDBETWEEN(8,12)/10,0)</f>
        <v>1846</v>
      </c>
      <c r="AV91" s="5">
        <f t="shared" ca="1" si="12"/>
        <v>44963</v>
      </c>
      <c r="AW91">
        <f t="shared" ca="1" si="13"/>
        <v>5</v>
      </c>
      <c r="AX91">
        <f ca="1">ROUND(T_Facebook_Ads1159[[#This Row],[impressions]]*RANDBETWEEN(2,10)/10,0)</f>
        <v>34601</v>
      </c>
      <c r="AY91">
        <f ca="1">ROUND(T_Facebook_Ads1159[[#This Row],[clicks]]*RANDBETWEEN(8,12)/10,0)</f>
        <v>250</v>
      </c>
      <c r="AZ91">
        <f ca="1">T_Facebook_Ads1159[[#This Row],[spend]]*RANDBETWEEN(8,12)/10</f>
        <v>130.94400000000002</v>
      </c>
      <c r="BA91">
        <f ca="1">ROUND(T_Facebook_Ads1159[[#This Row],[conversions]]*RANDBETWEEN(8,12)/10,0)</f>
        <v>6</v>
      </c>
      <c r="BB91">
        <f ca="1">ROUND(T_Facebook_Ads1159[[#This Row],[video_views]]*RANDBETWEEN(8,12)/10,0)</f>
        <v>49505</v>
      </c>
    </row>
    <row r="92" spans="1:54" ht="15.75" thickBot="1" x14ac:dyDescent="0.3">
      <c r="A92" s="3">
        <f t="shared" ca="1" si="9"/>
        <v>44985</v>
      </c>
      <c r="B92" s="4" t="s">
        <v>52</v>
      </c>
      <c r="C92" s="4" t="s">
        <v>53</v>
      </c>
      <c r="D92" s="4" t="s">
        <v>54</v>
      </c>
      <c r="E92" s="4" t="s">
        <v>55</v>
      </c>
      <c r="F92" s="4">
        <f ca="1">ROUND(T_Facebook_Ads[[#This Row],[impressions]]*RANDBETWEEN(8,12)/10,0)</f>
        <v>40098</v>
      </c>
      <c r="G92" s="4">
        <v>1034</v>
      </c>
      <c r="H92" s="4">
        <f ca="1">T_Facebook_Ads[[#This Row],[spend]]*RANDBETWEEN(8,12)/10</f>
        <v>118</v>
      </c>
      <c r="I92" s="4">
        <f ca="1">ROUND(T_Facebook_Ads[[#This Row],[conversions]]*RANDBETWEEN(8,12)/10,0)</f>
        <v>15</v>
      </c>
      <c r="J92" s="4">
        <f ca="1">ROUND(T_Facebook_Ads[[#This Row],[video_views]]*RANDBETWEEN(8,12)/10,0)</f>
        <v>9123</v>
      </c>
      <c r="K92" s="4">
        <f ca="1">T_Facebook_Ads[[#This Row],[engagement_rate]]*RANDBETWEEN(8,12)/10</f>
        <v>2.266E-2</v>
      </c>
      <c r="L92" s="4">
        <f ca="1">ROUND(T_Facebook_Ads[[#This Row],[reach]]*RANDBETWEEN(8,12)/10,0)</f>
        <v>46079</v>
      </c>
      <c r="M92" s="4">
        <f ca="1">T_Facebook_Ads[[#This Row],[frequency]]*RANDBETWEEN(8,12)/10</f>
        <v>1.44</v>
      </c>
      <c r="O92" s="3">
        <f t="shared" ca="1" si="10"/>
        <v>44958</v>
      </c>
      <c r="P92" s="4" t="s">
        <v>76</v>
      </c>
      <c r="Q92" s="4" t="s">
        <v>77</v>
      </c>
      <c r="R92" s="4" t="s">
        <v>78</v>
      </c>
      <c r="S92" s="4" t="s">
        <v>79</v>
      </c>
      <c r="T92" s="4">
        <f ca="1">ROUND(_Google_ads[[#This Row],[impressions]]*RANDBETWEEN(8,12)/10,0)</f>
        <v>32147</v>
      </c>
      <c r="U92" s="4">
        <f ca="1">ROUND(_Google_ads[[#This Row],[clicks]]*RANDBETWEEN(8,12)/10,0)</f>
        <v>1516</v>
      </c>
      <c r="V92" s="4">
        <f ca="1">_Google_ads[[#This Row],[cost]]*RANDBETWEEN(8,12)/10</f>
        <v>237.06</v>
      </c>
      <c r="W92" s="4">
        <f ca="1">ROUND(_Google_ads[[#This Row],[conversions]]*RANDBETWEEN(8,12)/10,0)</f>
        <v>42</v>
      </c>
      <c r="X92" s="4">
        <f ca="1">ROUND(_Google_ads[[#This Row],[conversion_value]]*RANDBETWEEN(8,12)/10,0)</f>
        <v>2385</v>
      </c>
      <c r="Y92" s="4">
        <f ca="1">_Google_ads[[#This Row],[ctr]]*RANDBETWEEN(8,12)/10</f>
        <v>5.6649999999999999E-2</v>
      </c>
      <c r="Z92" s="4">
        <f ca="1">_Google_ads[[#This Row],[avg_cpc]]*RANDBETWEEN(8,12)/10</f>
        <v>0.22800000000000004</v>
      </c>
      <c r="AA92" s="4">
        <f ca="1">ROUND(_Google_ads[[#This Row],[quality_score]]*RANDBETWEEN(8,12)/10,0)</f>
        <v>9</v>
      </c>
      <c r="AB92" s="4">
        <f ca="1">_Google_ads[[#This Row],[search_impression_share]]*RANDBETWEEN(8,12)/10</f>
        <v>1.012</v>
      </c>
      <c r="AD92" s="3">
        <f t="shared" ca="1" si="11"/>
        <v>44961</v>
      </c>
      <c r="AE92" s="4" t="s">
        <v>100</v>
      </c>
      <c r="AF92" s="4" t="s">
        <v>101</v>
      </c>
      <c r="AG92" s="4" t="s">
        <v>102</v>
      </c>
      <c r="AH92" s="4" t="s">
        <v>103</v>
      </c>
      <c r="AI92" s="4">
        <f ca="1">ROUND(T_Tiktok_ads[[#This Row],[impressions]]*RANDBETWEEN(8,12)/10,0)</f>
        <v>361481</v>
      </c>
      <c r="AJ92" s="4">
        <f ca="1">ROUND(T_Tiktok_ads[[#This Row],[clicks]]*RANDBETWEEN(8,12)/10,0)</f>
        <v>4902</v>
      </c>
      <c r="AK92" s="4">
        <v>589.9</v>
      </c>
      <c r="AL92" s="4">
        <f ca="1">ROUND(T_Tiktok_ads[[#This Row],[conversions]]*RANDBETWEEN(8,12)/10,0)</f>
        <v>51</v>
      </c>
      <c r="AM92" s="4">
        <f ca="1">ROUND(T_Tiktok_ads[[#This Row],[video_views]]*RANDBETWEEN(8,12)/10,0)</f>
        <v>245678</v>
      </c>
      <c r="AN92" s="4">
        <f ca="1">ROUND(T_Tiktok_ads[[#This Row],[video_watch_25]]*RANDBETWEEN(8,12)/10,0)</f>
        <v>191234</v>
      </c>
      <c r="AO92" s="4">
        <f ca="1">ROUND(T_Tiktok_ads[[#This Row],[video_watch_50]]*RANDBETWEEN(8,12)/10,0)</f>
        <v>107311</v>
      </c>
      <c r="AP92" s="4">
        <f ca="1">ROUND(T_Tiktok_ads[[#This Row],[video_watch_75]]*RANDBETWEEN(8,12)/10,0)</f>
        <v>64187</v>
      </c>
      <c r="AQ92" s="4">
        <f ca="1">ROUND(T_Tiktok_ads[[#This Row],[video_watch_100]]*RANDBETWEEN(8,12)/10,0)</f>
        <v>58802</v>
      </c>
      <c r="AR92" s="4">
        <f ca="1">ROUND(T_Tiktok_ads[[#This Row],[likes]]*RANDBETWEEN(8,12)/10,0)</f>
        <v>10789</v>
      </c>
      <c r="AS92" s="4">
        <f ca="1">ROUND(T_Tiktok_ads[[#This Row],[shares]]*RANDBETWEEN(8,12)/10,0)</f>
        <v>2321</v>
      </c>
      <c r="AT92" s="4">
        <f ca="1">ROUND(T_Tiktok_ads[[#This Row],[comments]]*RANDBETWEEN(8,12)/10,0)</f>
        <v>620</v>
      </c>
      <c r="AV92" s="5">
        <f t="shared" ca="1" si="12"/>
        <v>44964</v>
      </c>
      <c r="AW92">
        <f t="shared" ca="1" si="13"/>
        <v>3</v>
      </c>
      <c r="AX92">
        <f ca="1">ROUND(T_Facebook_Ads1159[[#This Row],[impressions]]*RANDBETWEEN(2,10)/10,0)</f>
        <v>36088</v>
      </c>
      <c r="AY92">
        <f ca="1">ROUND(T_Facebook_Ads1159[[#This Row],[clicks]]*RANDBETWEEN(8,12)/10,0)</f>
        <v>1034</v>
      </c>
      <c r="AZ92">
        <f ca="1">T_Facebook_Ads1159[[#This Row],[spend]]*RANDBETWEEN(8,12)/10</f>
        <v>106.2</v>
      </c>
      <c r="BA92">
        <f ca="1">ROUND(T_Facebook_Ads1159[[#This Row],[conversions]]*RANDBETWEEN(8,12)/10,0)</f>
        <v>12</v>
      </c>
      <c r="BB92">
        <f ca="1">ROUND(T_Facebook_Ads1159[[#This Row],[video_views]]*RANDBETWEEN(8,12)/10,0)</f>
        <v>10035</v>
      </c>
    </row>
    <row r="93" spans="1:54" ht="15.75" thickBot="1" x14ac:dyDescent="0.3">
      <c r="A93" s="3">
        <f t="shared" ca="1" si="9"/>
        <v>44981</v>
      </c>
      <c r="B93" s="4" t="s">
        <v>56</v>
      </c>
      <c r="C93" s="4" t="s">
        <v>57</v>
      </c>
      <c r="D93" s="4" t="s">
        <v>58</v>
      </c>
      <c r="E93" s="4" t="s">
        <v>59</v>
      </c>
      <c r="F93" s="4">
        <f ca="1">ROUND(T_Facebook_Ads[[#This Row],[impressions]]*RANDBETWEEN(8,12)/10,0)</f>
        <v>11387</v>
      </c>
      <c r="G93" s="4">
        <v>689</v>
      </c>
      <c r="H93" s="4">
        <f ca="1">T_Facebook_Ads[[#This Row],[spend]]*RANDBETWEEN(8,12)/10</f>
        <v>203.76</v>
      </c>
      <c r="I93" s="4">
        <f ca="1">ROUND(T_Facebook_Ads[[#This Row],[conversions]]*RANDBETWEEN(8,12)/10,0)</f>
        <v>40</v>
      </c>
      <c r="J93" s="4">
        <f ca="1">ROUND(T_Facebook_Ads[[#This Row],[video_views]]*RANDBETWEEN(8,12)/10,0)</f>
        <v>1456</v>
      </c>
      <c r="K93" s="4">
        <f ca="1">T_Facebook_Ads[[#This Row],[engagement_rate]]*RANDBETWEEN(8,12)/10</f>
        <v>4.8399999999999999E-2</v>
      </c>
      <c r="L93" s="4">
        <f ca="1">ROUND(T_Facebook_Ads[[#This Row],[reach]]*RANDBETWEEN(8,12)/10,0)</f>
        <v>13481</v>
      </c>
      <c r="M93" s="4">
        <f ca="1">T_Facebook_Ads[[#This Row],[frequency]]*RANDBETWEEN(8,12)/10</f>
        <v>1.397</v>
      </c>
      <c r="O93" s="3">
        <f t="shared" ca="1" si="10"/>
        <v>44966</v>
      </c>
      <c r="P93" s="4" t="s">
        <v>80</v>
      </c>
      <c r="Q93" s="4" t="s">
        <v>81</v>
      </c>
      <c r="R93" s="4" t="s">
        <v>82</v>
      </c>
      <c r="S93" s="4" t="s">
        <v>83</v>
      </c>
      <c r="T93" s="4">
        <f ca="1">ROUND(_Google_ads[[#This Row],[impressions]]*RANDBETWEEN(8,12)/10,0)</f>
        <v>37787</v>
      </c>
      <c r="U93" s="4">
        <f ca="1">ROUND(_Google_ads[[#This Row],[clicks]]*RANDBETWEEN(8,12)/10,0)</f>
        <v>1040</v>
      </c>
      <c r="V93" s="4">
        <f ca="1">_Google_ads[[#This Row],[cost]]*RANDBETWEEN(8,12)/10</f>
        <v>545.04000000000008</v>
      </c>
      <c r="W93" s="4">
        <f ca="1">ROUND(_Google_ads[[#This Row],[conversions]]*RANDBETWEEN(8,12)/10,0)</f>
        <v>20</v>
      </c>
      <c r="X93" s="4">
        <f ca="1">ROUND(_Google_ads[[#This Row],[conversion_value]]*RANDBETWEEN(8,12)/10,0)</f>
        <v>1125</v>
      </c>
      <c r="Y93" s="4">
        <f ca="1">_Google_ads[[#This Row],[ctr]]*RANDBETWEEN(8,12)/10</f>
        <v>0.02</v>
      </c>
      <c r="Z93" s="4">
        <f ca="1">_Google_ads[[#This Row],[avg_cpc]]*RANDBETWEEN(8,12)/10</f>
        <v>0.76800000000000002</v>
      </c>
      <c r="AA93" s="4">
        <f ca="1">ROUND(_Google_ads[[#This Row],[quality_score]]*RANDBETWEEN(8,12)/10,0)</f>
        <v>8</v>
      </c>
      <c r="AB93" s="4">
        <f ca="1">_Google_ads[[#This Row],[search_impression_share]]*RANDBETWEEN(8,12)/10</f>
        <v>0.36799999999999999</v>
      </c>
      <c r="AD93" s="3">
        <f t="shared" ca="1" si="11"/>
        <v>44969</v>
      </c>
      <c r="AE93" s="4" t="s">
        <v>104</v>
      </c>
      <c r="AF93" s="4" t="s">
        <v>105</v>
      </c>
      <c r="AG93" s="4" t="s">
        <v>106</v>
      </c>
      <c r="AH93" s="4" t="s">
        <v>107</v>
      </c>
      <c r="AI93" s="4">
        <f ca="1">ROUND(T_Tiktok_ads[[#This Row],[impressions]]*RANDBETWEEN(8,12)/10,0)</f>
        <v>201468</v>
      </c>
      <c r="AJ93" s="4">
        <f ca="1">ROUND(T_Tiktok_ads[[#This Row],[clicks]]*RANDBETWEEN(8,12)/10,0)</f>
        <v>2587</v>
      </c>
      <c r="AK93" s="4">
        <v>845.6</v>
      </c>
      <c r="AL93" s="4">
        <f ca="1">ROUND(T_Tiktok_ads[[#This Row],[conversions]]*RANDBETWEEN(8,12)/10,0)</f>
        <v>85</v>
      </c>
      <c r="AM93" s="4">
        <f ca="1">ROUND(T_Tiktok_ads[[#This Row],[video_views]]*RANDBETWEEN(8,12)/10,0)</f>
        <v>129679</v>
      </c>
      <c r="AN93" s="4">
        <f ca="1">ROUND(T_Tiktok_ads[[#This Row],[video_watch_25]]*RANDBETWEEN(8,12)/10,0)</f>
        <v>87234</v>
      </c>
      <c r="AO93" s="4">
        <f ca="1">ROUND(T_Tiktok_ads[[#This Row],[video_watch_50]]*RANDBETWEEN(8,12)/10,0)</f>
        <v>58901</v>
      </c>
      <c r="AP93" s="4">
        <f ca="1">ROUND(T_Tiktok_ads[[#This Row],[video_watch_75]]*RANDBETWEEN(8,12)/10,0)</f>
        <v>44234</v>
      </c>
      <c r="AQ93" s="4">
        <f ca="1">ROUND(T_Tiktok_ads[[#This Row],[video_watch_100]]*RANDBETWEEN(8,12)/10,0)</f>
        <v>23654</v>
      </c>
      <c r="AR93" s="4">
        <f ca="1">ROUND(T_Tiktok_ads[[#This Row],[likes]]*RANDBETWEEN(8,12)/10,0)</f>
        <v>6814</v>
      </c>
      <c r="AS93" s="4">
        <f ca="1">ROUND(T_Tiktok_ads[[#This Row],[shares]]*RANDBETWEEN(8,12)/10,0)</f>
        <v>1634</v>
      </c>
      <c r="AT93" s="4">
        <f ca="1">ROUND(T_Tiktok_ads[[#This Row],[comments]]*RANDBETWEEN(8,12)/10,0)</f>
        <v>343</v>
      </c>
      <c r="AV93" s="5">
        <f t="shared" ca="1" si="12"/>
        <v>44977</v>
      </c>
      <c r="AW93">
        <f t="shared" ca="1" si="13"/>
        <v>4</v>
      </c>
      <c r="AX93">
        <f ca="1">ROUND(T_Facebook_Ads1159[[#This Row],[impressions]]*RANDBETWEEN(2,10)/10,0)</f>
        <v>9110</v>
      </c>
      <c r="AY93">
        <f ca="1">ROUND(T_Facebook_Ads1159[[#This Row],[clicks]]*RANDBETWEEN(8,12)/10,0)</f>
        <v>827</v>
      </c>
      <c r="AZ93">
        <f ca="1">T_Facebook_Ads1159[[#This Row],[spend]]*RANDBETWEEN(8,12)/10</f>
        <v>163.00799999999998</v>
      </c>
      <c r="BA93">
        <f ca="1">ROUND(T_Facebook_Ads1159[[#This Row],[conversions]]*RANDBETWEEN(8,12)/10,0)</f>
        <v>48</v>
      </c>
      <c r="BB93">
        <f ca="1">ROUND(T_Facebook_Ads1159[[#This Row],[video_views]]*RANDBETWEEN(8,12)/10,0)</f>
        <v>1602</v>
      </c>
    </row>
    <row r="94" spans="1:54" ht="15.75" thickBot="1" x14ac:dyDescent="0.3">
      <c r="A94" s="3">
        <f t="shared" ca="1" si="9"/>
        <v>44961</v>
      </c>
      <c r="B94" s="4" t="s">
        <v>60</v>
      </c>
      <c r="C94" s="4" t="s">
        <v>61</v>
      </c>
      <c r="D94" s="4" t="s">
        <v>62</v>
      </c>
      <c r="E94" s="4" t="s">
        <v>63</v>
      </c>
      <c r="F94" s="4">
        <f ca="1">ROUND(T_Facebook_Ads[[#This Row],[impressions]]*RANDBETWEEN(8,12)/10,0)</f>
        <v>35001</v>
      </c>
      <c r="G94" s="4">
        <v>1445</v>
      </c>
      <c r="H94" s="4">
        <f ca="1">T_Facebook_Ads[[#This Row],[spend]]*RANDBETWEEN(8,12)/10</f>
        <v>277.43999999999994</v>
      </c>
      <c r="I94" s="4">
        <f ca="1">ROUND(T_Facebook_Ads[[#This Row],[conversions]]*RANDBETWEEN(8,12)/10,0)</f>
        <v>26</v>
      </c>
      <c r="J94" s="4">
        <f ca="1">ROUND(T_Facebook_Ads[[#This Row],[video_views]]*RANDBETWEEN(8,12)/10,0)</f>
        <v>4611</v>
      </c>
      <c r="K94" s="4">
        <f ca="1">T_Facebook_Ads[[#This Row],[engagement_rate]]*RANDBETWEEN(8,12)/10</f>
        <v>2.9759999999999998E-2</v>
      </c>
      <c r="L94" s="4">
        <f ca="1">ROUND(T_Facebook_Ads[[#This Row],[reach]]*RANDBETWEEN(8,12)/10,0)</f>
        <v>31567</v>
      </c>
      <c r="M94" s="4">
        <f ca="1">T_Facebook_Ads[[#This Row],[frequency]]*RANDBETWEEN(8,12)/10</f>
        <v>1.107</v>
      </c>
      <c r="O94" s="3">
        <f t="shared" ca="1" si="10"/>
        <v>44974</v>
      </c>
      <c r="P94" s="4" t="s">
        <v>84</v>
      </c>
      <c r="Q94" s="4" t="s">
        <v>85</v>
      </c>
      <c r="R94" s="4" t="s">
        <v>86</v>
      </c>
      <c r="S94" s="4" t="s">
        <v>87</v>
      </c>
      <c r="T94" s="4">
        <f ca="1">ROUND(_Google_ads[[#This Row],[impressions]]*RANDBETWEEN(8,12)/10,0)</f>
        <v>58312</v>
      </c>
      <c r="U94" s="4">
        <f ca="1">ROUND(_Google_ads[[#This Row],[clicks]]*RANDBETWEEN(8,12)/10,0)</f>
        <v>2434</v>
      </c>
      <c r="V94" s="4">
        <f ca="1">_Google_ads[[#This Row],[cost]]*RANDBETWEEN(8,12)/10</f>
        <v>405.17999999999995</v>
      </c>
      <c r="W94" s="4">
        <f ca="1">ROUND(_Google_ads[[#This Row],[conversions]]*RANDBETWEEN(8,12)/10,0)</f>
        <v>78</v>
      </c>
      <c r="X94" s="4">
        <f ca="1">ROUND(_Google_ads[[#This Row],[conversion_value]]*RANDBETWEEN(8,12)/10,0)</f>
        <v>2840</v>
      </c>
      <c r="Y94" s="4">
        <f ca="1">_Google_ads[[#This Row],[ctr]]*RANDBETWEEN(8,12)/10</f>
        <v>3.6740000000000002E-2</v>
      </c>
      <c r="Z94" s="4">
        <f ca="1">_Google_ads[[#This Row],[avg_cpc]]*RANDBETWEEN(8,12)/10</f>
        <v>0.14399999999999999</v>
      </c>
      <c r="AA94" s="4">
        <f ca="1">ROUND(_Google_ads[[#This Row],[quality_score]]*RANDBETWEEN(8,12)/10,0)</f>
        <v>6</v>
      </c>
      <c r="AB94" s="4">
        <f ca="1">_Google_ads[[#This Row],[search_impression_share]]*RANDBETWEEN(8,12)/10</f>
        <v>0.75900000000000001</v>
      </c>
      <c r="AD94" s="3">
        <f t="shared" ca="1" si="11"/>
        <v>44970</v>
      </c>
      <c r="AE94" s="4" t="s">
        <v>108</v>
      </c>
      <c r="AF94" s="4" t="s">
        <v>109</v>
      </c>
      <c r="AG94" s="4" t="s">
        <v>110</v>
      </c>
      <c r="AH94" s="4" t="s">
        <v>111</v>
      </c>
      <c r="AI94" s="4">
        <f ca="1">ROUND(T_Tiktok_ads[[#This Row],[impressions]]*RANDBETWEEN(8,12)/10,0)</f>
        <v>205431</v>
      </c>
      <c r="AJ94" s="4">
        <f ca="1">ROUND(T_Tiktok_ads[[#This Row],[clicks]]*RANDBETWEEN(8,12)/10,0)</f>
        <v>4814</v>
      </c>
      <c r="AK94" s="4">
        <v>489.2</v>
      </c>
      <c r="AL94" s="4">
        <f ca="1">ROUND(T_Tiktok_ads[[#This Row],[conversions]]*RANDBETWEEN(8,12)/10,0)</f>
        <v>29</v>
      </c>
      <c r="AM94" s="4">
        <f ca="1">ROUND(T_Tiktok_ads[[#This Row],[video_views]]*RANDBETWEEN(8,12)/10,0)</f>
        <v>221357</v>
      </c>
      <c r="AN94" s="4">
        <f ca="1">ROUND(T_Tiktok_ads[[#This Row],[video_watch_25]]*RANDBETWEEN(8,12)/10,0)</f>
        <v>137111</v>
      </c>
      <c r="AO94" s="4">
        <f ca="1">ROUND(T_Tiktok_ads[[#This Row],[video_watch_50]]*RANDBETWEEN(8,12)/10,0)</f>
        <v>120456</v>
      </c>
      <c r="AP94" s="4">
        <f ca="1">ROUND(T_Tiktok_ads[[#This Row],[video_watch_75]]*RANDBETWEEN(8,12)/10,0)</f>
        <v>62312</v>
      </c>
      <c r="AQ94" s="4">
        <f ca="1">ROUND(T_Tiktok_ads[[#This Row],[video_watch_100]]*RANDBETWEEN(8,12)/10,0)</f>
        <v>47234</v>
      </c>
      <c r="AR94" s="4">
        <f ca="1">ROUND(T_Tiktok_ads[[#This Row],[likes]]*RANDBETWEEN(8,12)/10,0)</f>
        <v>9791</v>
      </c>
      <c r="AS94" s="4">
        <f ca="1">ROUND(T_Tiktok_ads[[#This Row],[shares]]*RANDBETWEEN(8,12)/10,0)</f>
        <v>2947</v>
      </c>
      <c r="AT94" s="4">
        <f ca="1">ROUND(T_Tiktok_ads[[#This Row],[comments]]*RANDBETWEEN(8,12)/10,0)</f>
        <v>589</v>
      </c>
      <c r="AV94" s="5">
        <f t="shared" ca="1" si="12"/>
        <v>44964</v>
      </c>
      <c r="AW94">
        <f t="shared" ca="1" si="13"/>
        <v>1</v>
      </c>
      <c r="AX94">
        <f ca="1">ROUND(T_Facebook_Ads1159[[#This Row],[impressions]]*RANDBETWEEN(2,10)/10,0)</f>
        <v>28001</v>
      </c>
      <c r="AY94">
        <f ca="1">ROUND(T_Facebook_Ads1159[[#This Row],[clicks]]*RANDBETWEEN(8,12)/10,0)</f>
        <v>1445</v>
      </c>
      <c r="AZ94">
        <f ca="1">T_Facebook_Ads1159[[#This Row],[spend]]*RANDBETWEEN(8,12)/10</f>
        <v>332.92799999999994</v>
      </c>
      <c r="BA94">
        <f ca="1">ROUND(T_Facebook_Ads1159[[#This Row],[conversions]]*RANDBETWEEN(8,12)/10,0)</f>
        <v>21</v>
      </c>
      <c r="BB94">
        <f ca="1">ROUND(T_Facebook_Ads1159[[#This Row],[video_views]]*RANDBETWEEN(8,12)/10,0)</f>
        <v>5072</v>
      </c>
    </row>
    <row r="95" spans="1:54" ht="15.75" thickBot="1" x14ac:dyDescent="0.3">
      <c r="A95" s="3">
        <f t="shared" ca="1" si="9"/>
        <v>44985</v>
      </c>
      <c r="B95" s="4" t="s">
        <v>64</v>
      </c>
      <c r="C95" s="4" t="s">
        <v>65</v>
      </c>
      <c r="D95" s="4" t="s">
        <v>66</v>
      </c>
      <c r="E95" s="4" t="s">
        <v>67</v>
      </c>
      <c r="F95" s="4">
        <f ca="1">ROUND(T_Facebook_Ads[[#This Row],[impressions]]*RANDBETWEEN(8,12)/10,0)</f>
        <v>80802</v>
      </c>
      <c r="G95" s="4">
        <v>261</v>
      </c>
      <c r="H95" s="4">
        <f ca="1">T_Facebook_Ads[[#This Row],[spend]]*RANDBETWEEN(8,12)/10</f>
        <v>75.679999999999993</v>
      </c>
      <c r="I95" s="4">
        <f ca="1">ROUND(T_Facebook_Ads[[#This Row],[conversions]]*RANDBETWEEN(8,12)/10,0)</f>
        <v>6</v>
      </c>
      <c r="J95" s="4">
        <f ca="1">ROUND(T_Facebook_Ads[[#This Row],[video_views]]*RANDBETWEEN(8,12)/10,0)</f>
        <v>54157</v>
      </c>
      <c r="K95" s="4">
        <f ca="1">T_Facebook_Ads[[#This Row],[engagement_rate]]*RANDBETWEEN(8,12)/10</f>
        <v>3.5999999999999999E-3</v>
      </c>
      <c r="L95" s="4">
        <f ca="1">ROUND(T_Facebook_Ads[[#This Row],[reach]]*RANDBETWEEN(8,12)/10,0)</f>
        <v>65524</v>
      </c>
      <c r="M95" s="4">
        <f ca="1">T_Facebook_Ads[[#This Row],[frequency]]*RANDBETWEEN(8,12)/10</f>
        <v>1.107</v>
      </c>
      <c r="O95" s="3">
        <f t="shared" ca="1" si="10"/>
        <v>44964</v>
      </c>
      <c r="P95" s="4" t="s">
        <v>88</v>
      </c>
      <c r="Q95" s="4" t="s">
        <v>89</v>
      </c>
      <c r="R95" s="4" t="s">
        <v>90</v>
      </c>
      <c r="S95" s="4" t="s">
        <v>59</v>
      </c>
      <c r="T95" s="4">
        <f ca="1">ROUND(_Google_ads[[#This Row],[impressions]]*RANDBETWEEN(8,12)/10,0)</f>
        <v>166280</v>
      </c>
      <c r="U95" s="4">
        <f ca="1">ROUND(_Google_ads[[#This Row],[clicks]]*RANDBETWEEN(8,12)/10,0)</f>
        <v>563</v>
      </c>
      <c r="V95" s="4">
        <f ca="1">_Google_ads[[#This Row],[cost]]*RANDBETWEEN(8,12)/10</f>
        <v>108.96</v>
      </c>
      <c r="W95" s="4">
        <f ca="1">ROUND(_Google_ads[[#This Row],[conversions]]*RANDBETWEEN(8,12)/10,0)</f>
        <v>12</v>
      </c>
      <c r="X95" s="4">
        <f ca="1">ROUND(_Google_ads[[#This Row],[conversion_value]]*RANDBETWEEN(8,12)/10,0)</f>
        <v>600</v>
      </c>
      <c r="Y95" s="4">
        <f ca="1">_Google_ads[[#This Row],[ctr]]*RANDBETWEEN(8,12)/10</f>
        <v>4.0699999999999998E-3</v>
      </c>
      <c r="Z95" s="4">
        <f ca="1">_Google_ads[[#This Row],[avg_cpc]]*RANDBETWEEN(8,12)/10</f>
        <v>0.27</v>
      </c>
      <c r="AA95" s="4">
        <f ca="1">ROUND(_Google_ads[[#This Row],[quality_score]]*RANDBETWEEN(8,12)/10,0)</f>
        <v>6</v>
      </c>
      <c r="AB95" s="4">
        <f ca="1">_Google_ads[[#This Row],[search_impression_share]]*RANDBETWEEN(8,12)/10</f>
        <v>0.28799999999999998</v>
      </c>
      <c r="AD95" s="3">
        <f t="shared" ca="1" si="11"/>
        <v>44981</v>
      </c>
      <c r="AE95" s="4" t="s">
        <v>112</v>
      </c>
      <c r="AF95" s="4" t="s">
        <v>113</v>
      </c>
      <c r="AG95" s="4" t="s">
        <v>114</v>
      </c>
      <c r="AH95" s="4" t="s">
        <v>115</v>
      </c>
      <c r="AI95" s="4">
        <f ca="1">ROUND(T_Tiktok_ads[[#This Row],[impressions]]*RANDBETWEEN(8,12)/10,0)</f>
        <v>401110</v>
      </c>
      <c r="AJ95" s="4">
        <f ca="1">ROUND(T_Tiktok_ads[[#This Row],[clicks]]*RANDBETWEEN(8,12)/10,0)</f>
        <v>6511</v>
      </c>
      <c r="AK95" s="4">
        <v>1123.5</v>
      </c>
      <c r="AL95" s="4">
        <f ca="1">ROUND(T_Tiktok_ads[[#This Row],[conversions]]*RANDBETWEEN(8,12)/10,0)</f>
        <v>113</v>
      </c>
      <c r="AM95" s="4">
        <f ca="1">ROUND(T_Tiktok_ads[[#This Row],[video_views]]*RANDBETWEEN(8,12)/10,0)</f>
        <v>378901</v>
      </c>
      <c r="AN95" s="4">
        <f ca="1">ROUND(T_Tiktok_ads[[#This Row],[video_watch_25]]*RANDBETWEEN(8,12)/10,0)</f>
        <v>274110</v>
      </c>
      <c r="AO95" s="4">
        <f ca="1">ROUND(T_Tiktok_ads[[#This Row],[video_watch_50]]*RANDBETWEEN(8,12)/10,0)</f>
        <v>194765</v>
      </c>
      <c r="AP95" s="4">
        <f ca="1">ROUND(T_Tiktok_ads[[#This Row],[video_watch_75]]*RANDBETWEEN(8,12)/10,0)</f>
        <v>189580</v>
      </c>
      <c r="AQ95" s="4">
        <f ca="1">ROUND(T_Tiktok_ads[[#This Row],[video_watch_100]]*RANDBETWEEN(8,12)/10,0)</f>
        <v>114567</v>
      </c>
      <c r="AR95" s="4">
        <f ca="1">ROUND(T_Tiktok_ads[[#This Row],[likes]]*RANDBETWEEN(8,12)/10,0)</f>
        <v>21524</v>
      </c>
      <c r="AS95" s="4">
        <f ca="1">ROUND(T_Tiktok_ads[[#This Row],[shares]]*RANDBETWEEN(8,12)/10,0)</f>
        <v>4542</v>
      </c>
      <c r="AT95" s="4">
        <f ca="1">ROUND(T_Tiktok_ads[[#This Row],[comments]]*RANDBETWEEN(8,12)/10,0)</f>
        <v>1254</v>
      </c>
      <c r="AV95" s="5">
        <f t="shared" ca="1" si="12"/>
        <v>44967</v>
      </c>
      <c r="AW95">
        <f t="shared" ca="1" si="13"/>
        <v>7</v>
      </c>
      <c r="AX95">
        <f ca="1">ROUND(T_Facebook_Ads1159[[#This Row],[impressions]]*RANDBETWEEN(2,10)/10,0)</f>
        <v>72722</v>
      </c>
      <c r="AY95">
        <f ca="1">ROUND(T_Facebook_Ads1159[[#This Row],[clicks]]*RANDBETWEEN(8,12)/10,0)</f>
        <v>261</v>
      </c>
      <c r="AZ95">
        <f ca="1">T_Facebook_Ads1159[[#This Row],[spend]]*RANDBETWEEN(8,12)/10</f>
        <v>75.679999999999993</v>
      </c>
      <c r="BA95">
        <f ca="1">ROUND(T_Facebook_Ads1159[[#This Row],[conversions]]*RANDBETWEEN(8,12)/10,0)</f>
        <v>6</v>
      </c>
      <c r="BB95">
        <f ca="1">ROUND(T_Facebook_Ads1159[[#This Row],[video_views]]*RANDBETWEEN(8,12)/10,0)</f>
        <v>43326</v>
      </c>
    </row>
    <row r="96" spans="1:54" ht="15.75" thickBot="1" x14ac:dyDescent="0.3">
      <c r="A96" s="3">
        <f t="shared" ca="1" si="9"/>
        <v>44970</v>
      </c>
      <c r="B96" s="4" t="s">
        <v>52</v>
      </c>
      <c r="C96" s="4" t="s">
        <v>53</v>
      </c>
      <c r="D96" s="4" t="s">
        <v>54</v>
      </c>
      <c r="E96" s="4" t="s">
        <v>55</v>
      </c>
      <c r="F96" s="4">
        <f ca="1">ROUND(T_Facebook_Ads[[#This Row],[impressions]]*RANDBETWEEN(8,12)/10,0)</f>
        <v>41611</v>
      </c>
      <c r="G96" s="4">
        <v>934</v>
      </c>
      <c r="H96" s="4">
        <f ca="1">T_Facebook_Ads[[#This Row],[spend]]*RANDBETWEEN(8,12)/10</f>
        <v>107.04</v>
      </c>
      <c r="I96" s="4">
        <f ca="1">ROUND(T_Facebook_Ads[[#This Row],[conversions]]*RANDBETWEEN(8,12)/10,0)</f>
        <v>14</v>
      </c>
      <c r="J96" s="4">
        <f ca="1">ROUND(T_Facebook_Ads[[#This Row],[video_views]]*RANDBETWEEN(8,12)/10,0)</f>
        <v>6765</v>
      </c>
      <c r="K96" s="4">
        <f ca="1">T_Facebook_Ads[[#This Row],[engagement_rate]]*RANDBETWEEN(8,12)/10</f>
        <v>1.6160000000000001E-2</v>
      </c>
      <c r="L96" s="4">
        <f ca="1">ROUND(T_Facebook_Ads[[#This Row],[reach]]*RANDBETWEEN(8,12)/10,0)</f>
        <v>35001</v>
      </c>
      <c r="M96" s="4">
        <f ca="1">T_Facebook_Ads[[#This Row],[frequency]]*RANDBETWEEN(8,12)/10</f>
        <v>0.95199999999999996</v>
      </c>
      <c r="O96" s="3">
        <f t="shared" ca="1" si="10"/>
        <v>44974</v>
      </c>
      <c r="P96" s="4" t="s">
        <v>76</v>
      </c>
      <c r="Q96" s="4" t="s">
        <v>77</v>
      </c>
      <c r="R96" s="4" t="s">
        <v>78</v>
      </c>
      <c r="S96" s="4" t="s">
        <v>79</v>
      </c>
      <c r="T96" s="4">
        <f ca="1">ROUND(_Google_ads[[#This Row],[impressions]]*RANDBETWEEN(8,12)/10,0)</f>
        <v>22711</v>
      </c>
      <c r="U96" s="4">
        <f ca="1">ROUND(_Google_ads[[#This Row],[clicks]]*RANDBETWEEN(8,12)/10,0)</f>
        <v>1574</v>
      </c>
      <c r="V96" s="4">
        <f ca="1">_Google_ads[[#This Row],[cost]]*RANDBETWEEN(8,12)/10</f>
        <v>200.24</v>
      </c>
      <c r="W96" s="4">
        <f ca="1">ROUND(_Google_ads[[#This Row],[conversions]]*RANDBETWEEN(8,12)/10,0)</f>
        <v>49</v>
      </c>
      <c r="X96" s="4">
        <f ca="1">ROUND(_Google_ads[[#This Row],[conversion_value]]*RANDBETWEEN(8,12)/10,0)</f>
        <v>2205</v>
      </c>
      <c r="Y96" s="4">
        <f ca="1">_Google_ads[[#This Row],[ctr]]*RANDBETWEEN(8,12)/10</f>
        <v>5.7199999999999994E-2</v>
      </c>
      <c r="Z96" s="4">
        <f ca="1">_Google_ads[[#This Row],[avg_cpc]]*RANDBETWEEN(8,12)/10</f>
        <v>0.22800000000000004</v>
      </c>
      <c r="AA96" s="4">
        <f ca="1">ROUND(_Google_ads[[#This Row],[quality_score]]*RANDBETWEEN(8,12)/10,0)</f>
        <v>11</v>
      </c>
      <c r="AB96" s="4">
        <f ca="1">_Google_ads[[#This Row],[search_impression_share]]*RANDBETWEEN(8,12)/10</f>
        <v>0.90999999999999992</v>
      </c>
      <c r="AD96" s="3">
        <f t="shared" ca="1" si="11"/>
        <v>44976</v>
      </c>
      <c r="AE96" s="4" t="s">
        <v>100</v>
      </c>
      <c r="AF96" s="4" t="s">
        <v>101</v>
      </c>
      <c r="AG96" s="4" t="s">
        <v>102</v>
      </c>
      <c r="AH96" s="4" t="s">
        <v>103</v>
      </c>
      <c r="AI96" s="4">
        <f ca="1">ROUND(T_Tiktok_ads[[#This Row],[impressions]]*RANDBETWEEN(8,12)/10,0)</f>
        <v>223121</v>
      </c>
      <c r="AJ96" s="4">
        <f ca="1">ROUND(T_Tiktok_ads[[#This Row],[clicks]]*RANDBETWEEN(8,12)/10,0)</f>
        <v>4535</v>
      </c>
      <c r="AK96" s="4">
        <v>545.6</v>
      </c>
      <c r="AL96" s="4">
        <f ca="1">ROUND(T_Tiktok_ads[[#This Row],[conversions]]*RANDBETWEEN(8,12)/10,0)</f>
        <v>46</v>
      </c>
      <c r="AM96" s="4">
        <f ca="1">ROUND(T_Tiktok_ads[[#This Row],[video_views]]*RANDBETWEEN(8,12)/10,0)</f>
        <v>183387</v>
      </c>
      <c r="AN96" s="4">
        <f ca="1">ROUND(T_Tiktok_ads[[#This Row],[video_watch_25]]*RANDBETWEEN(8,12)/10,0)</f>
        <v>179234</v>
      </c>
      <c r="AO96" s="4">
        <f ca="1">ROUND(T_Tiktok_ads[[#This Row],[video_watch_50]]*RANDBETWEEN(8,12)/10,0)</f>
        <v>112234</v>
      </c>
      <c r="AP96" s="4">
        <f ca="1">ROUND(T_Tiktok_ads[[#This Row],[video_watch_75]]*RANDBETWEEN(8,12)/10,0)</f>
        <v>68110</v>
      </c>
      <c r="AQ96" s="4">
        <f ca="1">ROUND(T_Tiktok_ads[[#This Row],[video_watch_100]]*RANDBETWEEN(8,12)/10,0)</f>
        <v>45211</v>
      </c>
      <c r="AR96" s="4">
        <f ca="1">ROUND(T_Tiktok_ads[[#This Row],[likes]]*RANDBETWEEN(8,12)/10,0)</f>
        <v>12148</v>
      </c>
      <c r="AS96" s="4">
        <f ca="1">ROUND(T_Tiktok_ads[[#This Row],[shares]]*RANDBETWEEN(8,12)/10,0)</f>
        <v>2983</v>
      </c>
      <c r="AT96" s="4">
        <f ca="1">ROUND(T_Tiktok_ads[[#This Row],[comments]]*RANDBETWEEN(8,12)/10,0)</f>
        <v>581</v>
      </c>
      <c r="AV96" s="5">
        <f t="shared" ca="1" si="12"/>
        <v>44974</v>
      </c>
      <c r="AW96">
        <f t="shared" ca="1" si="13"/>
        <v>4</v>
      </c>
      <c r="AX96">
        <f ca="1">ROUND(T_Facebook_Ads1159[[#This Row],[impressions]]*RANDBETWEEN(2,10)/10,0)</f>
        <v>41611</v>
      </c>
      <c r="AY96">
        <f ca="1">ROUND(T_Facebook_Ads1159[[#This Row],[clicks]]*RANDBETWEEN(8,12)/10,0)</f>
        <v>747</v>
      </c>
      <c r="AZ96">
        <f ca="1">T_Facebook_Ads1159[[#This Row],[spend]]*RANDBETWEEN(8,12)/10</f>
        <v>85.632000000000005</v>
      </c>
      <c r="BA96">
        <f ca="1">ROUND(T_Facebook_Ads1159[[#This Row],[conversions]]*RANDBETWEEN(8,12)/10,0)</f>
        <v>14</v>
      </c>
      <c r="BB96">
        <f ca="1">ROUND(T_Facebook_Ads1159[[#This Row],[video_views]]*RANDBETWEEN(8,12)/10,0)</f>
        <v>7442</v>
      </c>
    </row>
    <row r="97" spans="1:54" ht="15.75" thickBot="1" x14ac:dyDescent="0.3">
      <c r="A97" s="3">
        <f t="shared" ca="1" si="9"/>
        <v>44984</v>
      </c>
      <c r="B97" s="4" t="s">
        <v>56</v>
      </c>
      <c r="C97" s="4" t="s">
        <v>57</v>
      </c>
      <c r="D97" s="4" t="s">
        <v>58</v>
      </c>
      <c r="E97" s="4" t="s">
        <v>59</v>
      </c>
      <c r="F97" s="4">
        <f ca="1">ROUND(T_Facebook_Ads[[#This Row],[impressions]]*RANDBETWEEN(8,12)/10,0)</f>
        <v>15080</v>
      </c>
      <c r="G97" s="4">
        <v>567</v>
      </c>
      <c r="H97" s="4">
        <f ca="1">T_Facebook_Ads[[#This Row],[spend]]*RANDBETWEEN(8,12)/10</f>
        <v>230.34</v>
      </c>
      <c r="I97" s="4">
        <f ca="1">ROUND(T_Facebook_Ads[[#This Row],[conversions]]*RANDBETWEEN(8,12)/10,0)</f>
        <v>36</v>
      </c>
      <c r="J97" s="4">
        <f ca="1">ROUND(T_Facebook_Ads[[#This Row],[video_views]]*RANDBETWEEN(8,12)/10,0)</f>
        <v>1140</v>
      </c>
      <c r="K97" s="4">
        <f ca="1">T_Facebook_Ads[[#This Row],[engagement_rate]]*RANDBETWEEN(8,12)/10</f>
        <v>5.4120000000000001E-2</v>
      </c>
      <c r="L97" s="4">
        <f ca="1">ROUND(T_Facebook_Ads[[#This Row],[reach]]*RANDBETWEEN(8,12)/10,0)</f>
        <v>9890</v>
      </c>
      <c r="M97" s="4">
        <f ca="1">T_Facebook_Ads[[#This Row],[frequency]]*RANDBETWEEN(8,12)/10</f>
        <v>1.397</v>
      </c>
      <c r="O97" s="3">
        <f t="shared" ca="1" si="10"/>
        <v>44958</v>
      </c>
      <c r="P97" s="4" t="s">
        <v>80</v>
      </c>
      <c r="Q97" s="4" t="s">
        <v>81</v>
      </c>
      <c r="R97" s="4" t="s">
        <v>82</v>
      </c>
      <c r="S97" s="4" t="s">
        <v>83</v>
      </c>
      <c r="T97" s="4">
        <f ca="1">ROUND(_Google_ads[[#This Row],[impressions]]*RANDBETWEEN(8,12)/10,0)</f>
        <v>41110</v>
      </c>
      <c r="U97" s="4">
        <f ca="1">ROUND(_Google_ads[[#This Row],[clicks]]*RANDBETWEEN(8,12)/10,0)</f>
        <v>811</v>
      </c>
      <c r="V97" s="4">
        <f ca="1">_Google_ads[[#This Row],[cost]]*RANDBETWEEN(8,12)/10</f>
        <v>467.6</v>
      </c>
      <c r="W97" s="4">
        <f ca="1">ROUND(_Google_ads[[#This Row],[conversions]]*RANDBETWEEN(8,12)/10,0)</f>
        <v>26</v>
      </c>
      <c r="X97" s="4">
        <f ca="1">ROUND(_Google_ads[[#This Row],[conversion_value]]*RANDBETWEEN(8,12)/10,0)</f>
        <v>1080</v>
      </c>
      <c r="Y97" s="4">
        <f ca="1">_Google_ads[[#This Row],[ctr]]*RANDBETWEEN(8,12)/10</f>
        <v>1.9699999999999999E-2</v>
      </c>
      <c r="Z97" s="4">
        <f ca="1">_Google_ads[[#This Row],[avg_cpc]]*RANDBETWEEN(8,12)/10</f>
        <v>0.52</v>
      </c>
      <c r="AA97" s="4">
        <f ca="1">ROUND(_Google_ads[[#This Row],[quality_score]]*RANDBETWEEN(8,12)/10,0)</f>
        <v>6</v>
      </c>
      <c r="AB97" s="4">
        <f ca="1">_Google_ads[[#This Row],[search_impression_share]]*RANDBETWEEN(8,12)/10</f>
        <v>0.45</v>
      </c>
      <c r="AD97" s="3">
        <f t="shared" ca="1" si="11"/>
        <v>44961</v>
      </c>
      <c r="AE97" s="4" t="s">
        <v>104</v>
      </c>
      <c r="AF97" s="4" t="s">
        <v>105</v>
      </c>
      <c r="AG97" s="4" t="s">
        <v>106</v>
      </c>
      <c r="AH97" s="4" t="s">
        <v>107</v>
      </c>
      <c r="AI97" s="4">
        <f ca="1">ROUND(T_Tiktok_ads[[#This Row],[impressions]]*RANDBETWEEN(8,12)/10,0)</f>
        <v>138110</v>
      </c>
      <c r="AJ97" s="4">
        <f ca="1">ROUND(T_Tiktok_ads[[#This Row],[clicks]]*RANDBETWEEN(8,12)/10,0)</f>
        <v>3534</v>
      </c>
      <c r="AK97" s="4">
        <v>789.2</v>
      </c>
      <c r="AL97" s="4">
        <f ca="1">ROUND(T_Tiktok_ads[[#This Row],[conversions]]*RANDBETWEEN(8,12)/10,0)</f>
        <v>71</v>
      </c>
      <c r="AM97" s="4">
        <f ca="1">ROUND(T_Tiktok_ads[[#This Row],[video_views]]*RANDBETWEEN(8,12)/10,0)</f>
        <v>97101</v>
      </c>
      <c r="AN97" s="4">
        <f ca="1">ROUND(T_Tiktok_ads[[#This Row],[video_watch_25]]*RANDBETWEEN(8,12)/10,0)</f>
        <v>79567</v>
      </c>
      <c r="AO97" s="4">
        <f ca="1">ROUND(T_Tiktok_ads[[#This Row],[video_watch_50]]*RANDBETWEEN(8,12)/10,0)</f>
        <v>53678</v>
      </c>
      <c r="AP97" s="4">
        <f ca="1">ROUND(T_Tiktok_ads[[#This Row],[video_watch_75]]*RANDBETWEEN(8,12)/10,0)</f>
        <v>32187</v>
      </c>
      <c r="AQ97" s="4">
        <f ca="1">ROUND(T_Tiktok_ads[[#This Row],[video_watch_100]]*RANDBETWEEN(8,12)/10,0)</f>
        <v>21512</v>
      </c>
      <c r="AR97" s="4">
        <f ca="1">ROUND(T_Tiktok_ads[[#This Row],[likes]]*RANDBETWEEN(8,12)/10,0)</f>
        <v>4187</v>
      </c>
      <c r="AS97" s="4">
        <f ca="1">ROUND(T_Tiktok_ads[[#This Row],[shares]]*RANDBETWEEN(8,12)/10,0)</f>
        <v>1747</v>
      </c>
      <c r="AT97" s="4">
        <f ca="1">ROUND(T_Tiktok_ads[[#This Row],[comments]]*RANDBETWEEN(8,12)/10,0)</f>
        <v>334</v>
      </c>
      <c r="AV97" s="5">
        <f t="shared" ca="1" si="12"/>
        <v>44972</v>
      </c>
      <c r="AW97">
        <f t="shared" ca="1" si="13"/>
        <v>6</v>
      </c>
      <c r="AX97">
        <f ca="1">ROUND(T_Facebook_Ads1159[[#This Row],[impressions]]*RANDBETWEEN(2,10)/10,0)</f>
        <v>9048</v>
      </c>
      <c r="AY97">
        <f ca="1">ROUND(T_Facebook_Ads1159[[#This Row],[clicks]]*RANDBETWEEN(8,12)/10,0)</f>
        <v>567</v>
      </c>
      <c r="AZ97">
        <f ca="1">T_Facebook_Ads1159[[#This Row],[spend]]*RANDBETWEEN(8,12)/10</f>
        <v>230.34</v>
      </c>
      <c r="BA97">
        <f ca="1">ROUND(T_Facebook_Ads1159[[#This Row],[conversions]]*RANDBETWEEN(8,12)/10,0)</f>
        <v>29</v>
      </c>
      <c r="BB97">
        <f ca="1">ROUND(T_Facebook_Ads1159[[#This Row],[video_views]]*RANDBETWEEN(8,12)/10,0)</f>
        <v>1026</v>
      </c>
    </row>
    <row r="98" spans="1:54" ht="15.75" thickBot="1" x14ac:dyDescent="0.3">
      <c r="A98" s="3">
        <f t="shared" ref="A98:A111" ca="1" si="14">DATE(2023,2,RANDBETWEEN(1,28))</f>
        <v>44977</v>
      </c>
      <c r="B98" s="4" t="s">
        <v>60</v>
      </c>
      <c r="C98" s="4" t="s">
        <v>61</v>
      </c>
      <c r="D98" s="4" t="s">
        <v>62</v>
      </c>
      <c r="E98" s="4" t="s">
        <v>63</v>
      </c>
      <c r="F98" s="4">
        <f ca="1">ROUND(T_Facebook_Ads[[#This Row],[impressions]]*RANDBETWEEN(8,12)/10,0)</f>
        <v>39479</v>
      </c>
      <c r="G98" s="4">
        <v>1289</v>
      </c>
      <c r="H98" s="4">
        <f ca="1">T_Facebook_Ads[[#This Row],[spend]]*RANDBETWEEN(8,12)/10</f>
        <v>237.36000000000004</v>
      </c>
      <c r="I98" s="4">
        <f ca="1">ROUND(T_Facebook_Ads[[#This Row],[conversions]]*RANDBETWEEN(8,12)/10,0)</f>
        <v>32</v>
      </c>
      <c r="J98" s="4">
        <f ca="1">ROUND(T_Facebook_Ads[[#This Row],[video_views]]*RANDBETWEEN(8,12)/10,0)</f>
        <v>4567</v>
      </c>
      <c r="K98" s="4">
        <f ca="1">T_Facebook_Ads[[#This Row],[engagement_rate]]*RANDBETWEEN(8,12)/10</f>
        <v>4.308E-2</v>
      </c>
      <c r="L98" s="4">
        <f ca="1">ROUND(T_Facebook_Ads[[#This Row],[reach]]*RANDBETWEEN(8,12)/10,0)</f>
        <v>32524</v>
      </c>
      <c r="M98" s="4">
        <f ca="1">T_Facebook_Ads[[#This Row],[frequency]]*RANDBETWEEN(8,12)/10</f>
        <v>1.452</v>
      </c>
      <c r="O98" s="3">
        <f t="shared" ref="O98:O111" ca="1" si="15">DATE(2023,2,RANDBETWEEN(1,28))</f>
        <v>44971</v>
      </c>
      <c r="P98" s="4" t="s">
        <v>84</v>
      </c>
      <c r="Q98" s="4" t="s">
        <v>85</v>
      </c>
      <c r="R98" s="4" t="s">
        <v>86</v>
      </c>
      <c r="S98" s="4" t="s">
        <v>87</v>
      </c>
      <c r="T98" s="4">
        <f ca="1">ROUND(_Google_ads[[#This Row],[impressions]]*RANDBETWEEN(8,12)/10,0)</f>
        <v>84148</v>
      </c>
      <c r="U98" s="4">
        <f ca="1">ROUND(_Google_ads[[#This Row],[clicks]]*RANDBETWEEN(8,12)/10,0)</f>
        <v>2120</v>
      </c>
      <c r="V98" s="4">
        <f ca="1">_Google_ads[[#This Row],[cost]]*RANDBETWEEN(8,12)/10</f>
        <v>517.43999999999994</v>
      </c>
      <c r="W98" s="4">
        <f ca="1">ROUND(_Google_ads[[#This Row],[conversions]]*RANDBETWEEN(8,12)/10,0)</f>
        <v>82</v>
      </c>
      <c r="X98" s="4">
        <f ca="1">ROUND(_Google_ads[[#This Row],[conversion_value]]*RANDBETWEEN(8,12)/10,0)</f>
        <v>2720</v>
      </c>
      <c r="Y98" s="4">
        <f ca="1">_Google_ads[[#This Row],[ctr]]*RANDBETWEEN(8,12)/10</f>
        <v>2.6879999999999998E-2</v>
      </c>
      <c r="Z98" s="4">
        <f ca="1">_Google_ads[[#This Row],[avg_cpc]]*RANDBETWEEN(8,12)/10</f>
        <v>0.19800000000000001</v>
      </c>
      <c r="AA98" s="4">
        <f ca="1">ROUND(_Google_ads[[#This Row],[quality_score]]*RANDBETWEEN(8,12)/10,0)</f>
        <v>10</v>
      </c>
      <c r="AB98" s="4">
        <f ca="1">_Google_ads[[#This Row],[search_impression_share]]*RANDBETWEEN(8,12)/10</f>
        <v>0.748</v>
      </c>
      <c r="AD98" s="3">
        <f t="shared" ref="AD98:AD111" ca="1" si="16">DATE(2023,2,RANDBETWEEN(1,28))</f>
        <v>44984</v>
      </c>
      <c r="AE98" s="4" t="s">
        <v>108</v>
      </c>
      <c r="AF98" s="4" t="s">
        <v>109</v>
      </c>
      <c r="AG98" s="4" t="s">
        <v>110</v>
      </c>
      <c r="AH98" s="4" t="s">
        <v>111</v>
      </c>
      <c r="AI98" s="4">
        <f ca="1">ROUND(T_Tiktok_ads[[#This Row],[impressions]]*RANDBETWEEN(8,12)/10,0)</f>
        <v>260468</v>
      </c>
      <c r="AJ98" s="4">
        <f ca="1">ROUND(T_Tiktok_ads[[#This Row],[clicks]]*RANDBETWEEN(8,12)/10,0)</f>
        <v>4107</v>
      </c>
      <c r="AK98" s="4">
        <v>456.8</v>
      </c>
      <c r="AL98" s="4">
        <f ca="1">ROUND(T_Tiktok_ads[[#This Row],[conversions]]*RANDBETWEEN(8,12)/10,0)</f>
        <v>33</v>
      </c>
      <c r="AM98" s="4">
        <f ca="1">ROUND(T_Tiktok_ads[[#This Row],[video_views]]*RANDBETWEEN(8,12)/10,0)</f>
        <v>169101</v>
      </c>
      <c r="AN98" s="4">
        <f ca="1">ROUND(T_Tiktok_ads[[#This Row],[video_watch_25]]*RANDBETWEEN(8,12)/10,0)</f>
        <v>156580</v>
      </c>
      <c r="AO98" s="4">
        <f ca="1">ROUND(T_Tiktok_ads[[#This Row],[video_watch_50]]*RANDBETWEEN(8,12)/10,0)</f>
        <v>101111</v>
      </c>
      <c r="AP98" s="4">
        <f ca="1">ROUND(T_Tiktok_ads[[#This Row],[video_watch_75]]*RANDBETWEEN(8,12)/10,0)</f>
        <v>57876</v>
      </c>
      <c r="AQ98" s="4">
        <f ca="1">ROUND(T_Tiktok_ads[[#This Row],[video_watch_100]]*RANDBETWEEN(8,12)/10,0)</f>
        <v>35031</v>
      </c>
      <c r="AR98" s="4">
        <f ca="1">ROUND(T_Tiktok_ads[[#This Row],[likes]]*RANDBETWEEN(8,12)/10,0)</f>
        <v>9302</v>
      </c>
      <c r="AS98" s="4">
        <f ca="1">ROUND(T_Tiktok_ads[[#This Row],[shares]]*RANDBETWEEN(8,12)/10,0)</f>
        <v>2267</v>
      </c>
      <c r="AT98" s="4">
        <f ca="1">ROUND(T_Tiktok_ads[[#This Row],[comments]]*RANDBETWEEN(8,12)/10,0)</f>
        <v>600</v>
      </c>
      <c r="AV98" s="5">
        <f t="shared" ref="AV98:AV111" ca="1" si="17">DATE(2023,2,RANDBETWEEN(1,28))</f>
        <v>44981</v>
      </c>
      <c r="AW98">
        <f t="shared" ca="1" si="13"/>
        <v>7</v>
      </c>
      <c r="AX98">
        <f ca="1">ROUND(T_Facebook_Ads1159[[#This Row],[impressions]]*RANDBETWEEN(2,10)/10,0)</f>
        <v>27635</v>
      </c>
      <c r="AY98">
        <f ca="1">ROUND(T_Facebook_Ads1159[[#This Row],[clicks]]*RANDBETWEEN(8,12)/10,0)</f>
        <v>1031</v>
      </c>
      <c r="AZ98">
        <f ca="1">T_Facebook_Ads1159[[#This Row],[spend]]*RANDBETWEEN(8,12)/10</f>
        <v>261.09600000000006</v>
      </c>
      <c r="BA98">
        <f ca="1">ROUND(T_Facebook_Ads1159[[#This Row],[conversions]]*RANDBETWEEN(8,12)/10,0)</f>
        <v>38</v>
      </c>
      <c r="BB98">
        <f ca="1">ROUND(T_Facebook_Ads1159[[#This Row],[video_views]]*RANDBETWEEN(8,12)/10,0)</f>
        <v>3654</v>
      </c>
    </row>
    <row r="99" spans="1:54" ht="15.75" thickBot="1" x14ac:dyDescent="0.3">
      <c r="A99" s="3">
        <f t="shared" ca="1" si="14"/>
        <v>44966</v>
      </c>
      <c r="B99" s="4" t="s">
        <v>64</v>
      </c>
      <c r="C99" s="4" t="s">
        <v>65</v>
      </c>
      <c r="D99" s="4" t="s">
        <v>66</v>
      </c>
      <c r="E99" s="4" t="s">
        <v>67</v>
      </c>
      <c r="F99" s="4">
        <f ca="1">ROUND(T_Facebook_Ads[[#This Row],[impressions]]*RANDBETWEEN(8,12)/10,0)</f>
        <v>61411</v>
      </c>
      <c r="G99" s="4">
        <v>245</v>
      </c>
      <c r="H99" s="4">
        <f ca="1">T_Facebook_Ads[[#This Row],[spend]]*RANDBETWEEN(8,12)/10</f>
        <v>77.31</v>
      </c>
      <c r="I99" s="4">
        <f ca="1">ROUND(T_Facebook_Ads[[#This Row],[conversions]]*RANDBETWEEN(8,12)/10,0)</f>
        <v>6</v>
      </c>
      <c r="J99" s="4">
        <f ca="1">ROUND(T_Facebook_Ads[[#This Row],[video_views]]*RANDBETWEEN(8,12)/10,0)</f>
        <v>41110</v>
      </c>
      <c r="K99" s="4">
        <f ca="1">T_Facebook_Ads[[#This Row],[engagement_rate]]*RANDBETWEEN(8,12)/10</f>
        <v>3.2399999999999998E-3</v>
      </c>
      <c r="L99" s="4">
        <f ca="1">ROUND(T_Facebook_Ads[[#This Row],[reach]]*RANDBETWEEN(8,12)/10,0)</f>
        <v>50301</v>
      </c>
      <c r="M99" s="4">
        <f ca="1">T_Facebook_Ads[[#This Row],[frequency]]*RANDBETWEEN(8,12)/10</f>
        <v>0.97599999999999998</v>
      </c>
      <c r="O99" s="3">
        <f t="shared" ca="1" si="15"/>
        <v>44959</v>
      </c>
      <c r="P99" s="4" t="s">
        <v>88</v>
      </c>
      <c r="Q99" s="4" t="s">
        <v>89</v>
      </c>
      <c r="R99" s="4" t="s">
        <v>90</v>
      </c>
      <c r="S99" s="4" t="s">
        <v>59</v>
      </c>
      <c r="T99" s="4">
        <f ca="1">ROUND(_Google_ads[[#This Row],[impressions]]*RANDBETWEEN(8,12)/10,0)</f>
        <v>107912</v>
      </c>
      <c r="U99" s="4">
        <f ca="1">ROUND(_Google_ads[[#This Row],[clicks]]*RANDBETWEEN(8,12)/10,0)</f>
        <v>440</v>
      </c>
      <c r="V99" s="4">
        <f ca="1">_Google_ads[[#This Row],[cost]]*RANDBETWEEN(8,12)/10</f>
        <v>132.69999999999999</v>
      </c>
      <c r="W99" s="4">
        <f ca="1">ROUND(_Google_ads[[#This Row],[conversions]]*RANDBETWEEN(8,12)/10,0)</f>
        <v>13</v>
      </c>
      <c r="X99" s="4">
        <f ca="1">ROUND(_Google_ads[[#This Row],[conversion_value]]*RANDBETWEEN(8,12)/10,0)</f>
        <v>630</v>
      </c>
      <c r="Y99" s="4">
        <f ca="1">_Google_ads[[#This Row],[ctr]]*RANDBETWEEN(8,12)/10</f>
        <v>2.8799999999999997E-3</v>
      </c>
      <c r="Z99" s="4">
        <f ca="1">_Google_ads[[#This Row],[avg_cpc]]*RANDBETWEEN(8,12)/10</f>
        <v>0.24300000000000002</v>
      </c>
      <c r="AA99" s="4">
        <f ca="1">ROUND(_Google_ads[[#This Row],[quality_score]]*RANDBETWEEN(8,12)/10,0)</f>
        <v>8</v>
      </c>
      <c r="AB99" s="4">
        <f ca="1">_Google_ads[[#This Row],[search_impression_share]]*RANDBETWEEN(8,12)/10</f>
        <v>0.41999999999999993</v>
      </c>
      <c r="AD99" s="3">
        <f t="shared" ca="1" si="16"/>
        <v>44959</v>
      </c>
      <c r="AE99" s="4" t="s">
        <v>112</v>
      </c>
      <c r="AF99" s="4" t="s">
        <v>113</v>
      </c>
      <c r="AG99" s="4" t="s">
        <v>114</v>
      </c>
      <c r="AH99" s="4" t="s">
        <v>115</v>
      </c>
      <c r="AI99" s="4">
        <f ca="1">ROUND(T_Tiktok_ads[[#This Row],[impressions]]*RANDBETWEEN(8,12)/10,0)</f>
        <v>423456</v>
      </c>
      <c r="AJ99" s="4">
        <f ca="1">ROUND(T_Tiktok_ads[[#This Row],[clicks]]*RANDBETWEEN(8,12)/10,0)</f>
        <v>6789</v>
      </c>
      <c r="AK99" s="4">
        <v>1034.5</v>
      </c>
      <c r="AL99" s="4">
        <f ca="1">ROUND(T_Tiktok_ads[[#This Row],[conversions]]*RANDBETWEEN(8,12)/10,0)</f>
        <v>94</v>
      </c>
      <c r="AM99" s="4">
        <f ca="1">ROUND(T_Tiktok_ads[[#This Row],[video_views]]*RANDBETWEEN(8,12)/10,0)</f>
        <v>321110</v>
      </c>
      <c r="AN99" s="4">
        <f ca="1">ROUND(T_Tiktok_ads[[#This Row],[video_watch_25]]*RANDBETWEEN(8,12)/10,0)</f>
        <v>258511</v>
      </c>
      <c r="AO99" s="4">
        <f ca="1">ROUND(T_Tiktok_ads[[#This Row],[video_watch_50]]*RANDBETWEEN(8,12)/10,0)</f>
        <v>229234</v>
      </c>
      <c r="AP99" s="4">
        <f ca="1">ROUND(T_Tiktok_ads[[#This Row],[video_watch_75]]*RANDBETWEEN(8,12)/10,0)</f>
        <v>162345</v>
      </c>
      <c r="AQ99" s="4">
        <f ca="1">ROUND(T_Tiktok_ads[[#This Row],[video_watch_100]]*RANDBETWEEN(8,12)/10,0)</f>
        <v>129468</v>
      </c>
      <c r="AR99" s="4">
        <f ca="1">ROUND(T_Tiktok_ads[[#This Row],[likes]]*RANDBETWEEN(8,12)/10,0)</f>
        <v>22507</v>
      </c>
      <c r="AS99" s="4">
        <f ca="1">ROUND(T_Tiktok_ads[[#This Row],[shares]]*RANDBETWEEN(8,12)/10,0)</f>
        <v>6414</v>
      </c>
      <c r="AT99" s="4">
        <f ca="1">ROUND(T_Tiktok_ads[[#This Row],[comments]]*RANDBETWEEN(8,12)/10,0)</f>
        <v>1310</v>
      </c>
      <c r="AV99" s="5">
        <f t="shared" ca="1" si="17"/>
        <v>44983</v>
      </c>
      <c r="AW99">
        <f t="shared" ca="1" si="13"/>
        <v>3</v>
      </c>
      <c r="AX99">
        <f ca="1">ROUND(T_Facebook_Ads1159[[#This Row],[impressions]]*RANDBETWEEN(2,10)/10,0)</f>
        <v>36847</v>
      </c>
      <c r="AY99">
        <f ca="1">ROUND(T_Facebook_Ads1159[[#This Row],[clicks]]*RANDBETWEEN(8,12)/10,0)</f>
        <v>221</v>
      </c>
      <c r="AZ99">
        <f ca="1">T_Facebook_Ads1159[[#This Row],[spend]]*RANDBETWEEN(8,12)/10</f>
        <v>61.847999999999999</v>
      </c>
      <c r="BA99">
        <f ca="1">ROUND(T_Facebook_Ads1159[[#This Row],[conversions]]*RANDBETWEEN(8,12)/10,0)</f>
        <v>5</v>
      </c>
      <c r="BB99">
        <f ca="1">ROUND(T_Facebook_Ads1159[[#This Row],[video_views]]*RANDBETWEEN(8,12)/10,0)</f>
        <v>49332</v>
      </c>
    </row>
    <row r="100" spans="1:54" ht="15.75" thickBot="1" x14ac:dyDescent="0.3">
      <c r="A100" s="3">
        <f t="shared" ca="1" si="14"/>
        <v>44982</v>
      </c>
      <c r="B100" s="4" t="s">
        <v>52</v>
      </c>
      <c r="C100" s="4" t="s">
        <v>53</v>
      </c>
      <c r="D100" s="4" t="s">
        <v>54</v>
      </c>
      <c r="E100" s="4" t="s">
        <v>55</v>
      </c>
      <c r="F100" s="4">
        <f ca="1">ROUND(T_Facebook_Ads[[#This Row],[impressions]]*RANDBETWEEN(8,12)/10,0)</f>
        <v>44567</v>
      </c>
      <c r="G100" s="4">
        <v>890</v>
      </c>
      <c r="H100" s="4">
        <f ca="1">T_Facebook_Ads[[#This Row],[spend]]*RANDBETWEEN(8,12)/10</f>
        <v>102.08</v>
      </c>
      <c r="I100" s="4">
        <f ca="1">ROUND(T_Facebook_Ads[[#This Row],[conversions]]*RANDBETWEEN(8,12)/10,0)</f>
        <v>12</v>
      </c>
      <c r="J100" s="4">
        <f ca="1">ROUND(T_Facebook_Ads[[#This Row],[video_views]]*RANDBETWEEN(8,12)/10,0)</f>
        <v>7311</v>
      </c>
      <c r="K100" s="4">
        <f ca="1">T_Facebook_Ads[[#This Row],[engagement_rate]]*RANDBETWEEN(8,12)/10</f>
        <v>1.6E-2</v>
      </c>
      <c r="L100" s="4">
        <f ca="1">ROUND(T_Facebook_Ads[[#This Row],[reach]]*RANDBETWEEN(8,12)/10,0)</f>
        <v>37456</v>
      </c>
      <c r="M100" s="4">
        <f ca="1">T_Facebook_Ads[[#This Row],[frequency]]*RANDBETWEEN(8,12)/10</f>
        <v>1.071</v>
      </c>
      <c r="O100" s="3">
        <f t="shared" ca="1" si="15"/>
        <v>44982</v>
      </c>
      <c r="P100" s="4" t="s">
        <v>76</v>
      </c>
      <c r="Q100" s="4" t="s">
        <v>77</v>
      </c>
      <c r="R100" s="4" t="s">
        <v>78</v>
      </c>
      <c r="S100" s="4" t="s">
        <v>79</v>
      </c>
      <c r="T100" s="4">
        <f ca="1">ROUND(_Google_ads[[#This Row],[impressions]]*RANDBETWEEN(8,12)/10,0)</f>
        <v>23567</v>
      </c>
      <c r="U100" s="4">
        <f ca="1">ROUND(_Google_ads[[#This Row],[clicks]]*RANDBETWEEN(8,12)/10,0)</f>
        <v>1189</v>
      </c>
      <c r="V100" s="4">
        <f ca="1">_Google_ads[[#This Row],[cost]]*RANDBETWEEN(8,12)/10</f>
        <v>272.16000000000003</v>
      </c>
      <c r="W100" s="4">
        <f ca="1">ROUND(_Google_ads[[#This Row],[conversions]]*RANDBETWEEN(8,12)/10,0)</f>
        <v>44</v>
      </c>
      <c r="X100" s="4">
        <f ca="1">ROUND(_Google_ads[[#This Row],[conversion_value]]*RANDBETWEEN(8,12)/10,0)</f>
        <v>1760</v>
      </c>
      <c r="Y100" s="4">
        <f ca="1">_Google_ads[[#This Row],[ctr]]*RANDBETWEEN(8,12)/10</f>
        <v>4.5450000000000004E-2</v>
      </c>
      <c r="Z100" s="4">
        <f ca="1">_Google_ads[[#This Row],[avg_cpc]]*RANDBETWEEN(8,12)/10</f>
        <v>0.22800000000000004</v>
      </c>
      <c r="AA100" s="4">
        <f ca="1">ROUND(_Google_ads[[#This Row],[quality_score]]*RANDBETWEEN(8,12)/10,0)</f>
        <v>10</v>
      </c>
      <c r="AB100" s="4">
        <f ca="1">_Google_ads[[#This Row],[search_impression_share]]*RANDBETWEEN(8,12)/10</f>
        <v>0.80999999999999994</v>
      </c>
      <c r="AD100" s="3">
        <f t="shared" ca="1" si="16"/>
        <v>44967</v>
      </c>
      <c r="AE100" s="4" t="s">
        <v>100</v>
      </c>
      <c r="AF100" s="4" t="s">
        <v>101</v>
      </c>
      <c r="AG100" s="4" t="s">
        <v>102</v>
      </c>
      <c r="AH100" s="4" t="s">
        <v>103</v>
      </c>
      <c r="AI100" s="4">
        <f ca="1">ROUND(T_Tiktok_ads[[#This Row],[impressions]]*RANDBETWEEN(8,12)/10,0)</f>
        <v>214312</v>
      </c>
      <c r="AJ100" s="4">
        <f ca="1">ROUND(T_Tiktok_ads[[#This Row],[clicks]]*RANDBETWEEN(8,12)/10,0)</f>
        <v>3551</v>
      </c>
      <c r="AK100" s="4">
        <v>501.2</v>
      </c>
      <c r="AL100" s="4">
        <f ca="1">ROUND(T_Tiktok_ads[[#This Row],[conversions]]*RANDBETWEEN(8,12)/10,0)</f>
        <v>44</v>
      </c>
      <c r="AM100" s="4">
        <f ca="1">ROUND(T_Tiktok_ads[[#This Row],[video_views]]*RANDBETWEEN(8,12)/10,0)</f>
        <v>221234</v>
      </c>
      <c r="AN100" s="4">
        <f ca="1">ROUND(T_Tiktok_ads[[#This Row],[video_watch_25]]*RANDBETWEEN(8,12)/10,0)</f>
        <v>156110</v>
      </c>
      <c r="AO100" s="4">
        <f ca="1">ROUND(T_Tiktok_ads[[#This Row],[video_watch_50]]*RANDBETWEEN(8,12)/10,0)</f>
        <v>87387</v>
      </c>
      <c r="AP100" s="4">
        <f ca="1">ROUND(T_Tiktok_ads[[#This Row],[video_watch_75]]*RANDBETWEEN(8,12)/10,0)</f>
        <v>73567</v>
      </c>
      <c r="AQ100" s="4">
        <f ca="1">ROUND(T_Tiktok_ads[[#This Row],[video_watch_100]]*RANDBETWEEN(8,12)/10,0)</f>
        <v>49234</v>
      </c>
      <c r="AR100" s="4">
        <f ca="1">ROUND(T_Tiktok_ads[[#This Row],[likes]]*RANDBETWEEN(8,12)/10,0)</f>
        <v>10768</v>
      </c>
      <c r="AS100" s="4">
        <f ca="1">ROUND(T_Tiktok_ads[[#This Row],[shares]]*RANDBETWEEN(8,12)/10,0)</f>
        <v>2107</v>
      </c>
      <c r="AT100" s="4">
        <f ca="1">ROUND(T_Tiktok_ads[[#This Row],[comments]]*RANDBETWEEN(8,12)/10,0)</f>
        <v>685</v>
      </c>
      <c r="AV100" s="5">
        <f t="shared" ca="1" si="17"/>
        <v>44961</v>
      </c>
      <c r="AW100">
        <f t="shared" ca="1" si="13"/>
        <v>6</v>
      </c>
      <c r="AX100">
        <f ca="1">ROUND(T_Facebook_Ads1159[[#This Row],[impressions]]*RANDBETWEEN(2,10)/10,0)</f>
        <v>44567</v>
      </c>
      <c r="AY100">
        <f ca="1">ROUND(T_Facebook_Ads1159[[#This Row],[clicks]]*RANDBETWEEN(8,12)/10,0)</f>
        <v>712</v>
      </c>
      <c r="AZ100">
        <f ca="1">T_Facebook_Ads1159[[#This Row],[spend]]*RANDBETWEEN(8,12)/10</f>
        <v>112.28799999999998</v>
      </c>
      <c r="BA100">
        <f ca="1">ROUND(T_Facebook_Ads1159[[#This Row],[conversions]]*RANDBETWEEN(8,12)/10,0)</f>
        <v>12</v>
      </c>
      <c r="BB100">
        <f ca="1">ROUND(T_Facebook_Ads1159[[#This Row],[video_views]]*RANDBETWEEN(8,12)/10,0)</f>
        <v>6580</v>
      </c>
    </row>
    <row r="101" spans="1:54" ht="15.75" thickBot="1" x14ac:dyDescent="0.3">
      <c r="A101" s="3">
        <f t="shared" ca="1" si="14"/>
        <v>44977</v>
      </c>
      <c r="B101" s="4" t="s">
        <v>56</v>
      </c>
      <c r="C101" s="4" t="s">
        <v>57</v>
      </c>
      <c r="D101" s="4" t="s">
        <v>58</v>
      </c>
      <c r="E101" s="4" t="s">
        <v>59</v>
      </c>
      <c r="F101" s="4">
        <f ca="1">ROUND(T_Facebook_Ads[[#This Row],[impressions]]*RANDBETWEEN(8,12)/10,0)</f>
        <v>13747</v>
      </c>
      <c r="G101" s="4">
        <v>523</v>
      </c>
      <c r="H101" s="4">
        <f ca="1">T_Facebook_Ads[[#This Row],[spend]]*RANDBETWEEN(8,12)/10</f>
        <v>153.84</v>
      </c>
      <c r="I101" s="4">
        <f ca="1">ROUND(T_Facebook_Ads[[#This Row],[conversions]]*RANDBETWEEN(8,12)/10,0)</f>
        <v>33</v>
      </c>
      <c r="J101" s="4">
        <f ca="1">ROUND(T_Facebook_Ads[[#This Row],[video_views]]*RANDBETWEEN(8,12)/10,0)</f>
        <v>1307</v>
      </c>
      <c r="K101" s="4">
        <f ca="1">T_Facebook_Ads[[#This Row],[engagement_rate]]*RANDBETWEEN(8,12)/10</f>
        <v>3.6559999999999995E-2</v>
      </c>
      <c r="L101" s="4">
        <f ca="1">ROUND(T_Facebook_Ads[[#This Row],[reach]]*RANDBETWEEN(8,12)/10,0)</f>
        <v>8967</v>
      </c>
      <c r="M101" s="4">
        <f ca="1">T_Facebook_Ads[[#This Row],[frequency]]*RANDBETWEEN(8,12)/10</f>
        <v>1.536</v>
      </c>
      <c r="O101" s="3">
        <f t="shared" ca="1" si="15"/>
        <v>44984</v>
      </c>
      <c r="P101" s="4" t="s">
        <v>80</v>
      </c>
      <c r="Q101" s="4" t="s">
        <v>81</v>
      </c>
      <c r="R101" s="4" t="s">
        <v>82</v>
      </c>
      <c r="S101" s="4" t="s">
        <v>83</v>
      </c>
      <c r="T101" s="4">
        <f ca="1">ROUND(_Google_ads[[#This Row],[impressions]]*RANDBETWEEN(8,12)/10,0)</f>
        <v>34312</v>
      </c>
      <c r="U101" s="4">
        <f ca="1">ROUND(_Google_ads[[#This Row],[clicks]]*RANDBETWEEN(8,12)/10,0)</f>
        <v>751</v>
      </c>
      <c r="V101" s="4">
        <f ca="1">_Google_ads[[#This Row],[cost]]*RANDBETWEEN(8,12)/10</f>
        <v>659.16</v>
      </c>
      <c r="W101" s="4">
        <f ca="1">ROUND(_Google_ads[[#This Row],[conversions]]*RANDBETWEEN(8,12)/10,0)</f>
        <v>23</v>
      </c>
      <c r="X101" s="4">
        <f ca="1">ROUND(_Google_ads[[#This Row],[conversion_value]]*RANDBETWEEN(8,12)/10,0)</f>
        <v>1050</v>
      </c>
      <c r="Y101" s="4">
        <f ca="1">_Google_ads[[#This Row],[ctr]]*RANDBETWEEN(8,12)/10</f>
        <v>1.95E-2</v>
      </c>
      <c r="Z101" s="4">
        <f ca="1">_Google_ads[[#This Row],[avg_cpc]]*RANDBETWEEN(8,12)/10</f>
        <v>0.52800000000000002</v>
      </c>
      <c r="AA101" s="4">
        <f ca="1">ROUND(_Google_ads[[#This Row],[quality_score]]*RANDBETWEEN(8,12)/10,0)</f>
        <v>7</v>
      </c>
      <c r="AB101" s="4">
        <f ca="1">_Google_ads[[#This Row],[search_impression_share]]*RANDBETWEEN(8,12)/10</f>
        <v>0.38700000000000001</v>
      </c>
      <c r="AD101" s="3">
        <f t="shared" ca="1" si="16"/>
        <v>44966</v>
      </c>
      <c r="AE101" s="4" t="s">
        <v>104</v>
      </c>
      <c r="AF101" s="4" t="s">
        <v>105</v>
      </c>
      <c r="AG101" s="4" t="s">
        <v>106</v>
      </c>
      <c r="AH101" s="4" t="s">
        <v>107</v>
      </c>
      <c r="AI101" s="4">
        <f ca="1">ROUND(T_Tiktok_ads[[#This Row],[impressions]]*RANDBETWEEN(8,12)/10,0)</f>
        <v>178681</v>
      </c>
      <c r="AJ101" s="4">
        <f ca="1">ROUND(T_Tiktok_ads[[#This Row],[clicks]]*RANDBETWEEN(8,12)/10,0)</f>
        <v>2267</v>
      </c>
      <c r="AK101" s="4">
        <v>756.7</v>
      </c>
      <c r="AL101" s="4">
        <f ca="1">ROUND(T_Tiktok_ads[[#This Row],[conversions]]*RANDBETWEEN(8,12)/10,0)</f>
        <v>68</v>
      </c>
      <c r="AM101" s="4">
        <f ca="1">ROUND(T_Tiktok_ads[[#This Row],[video_views]]*RANDBETWEEN(8,12)/10,0)</f>
        <v>91111</v>
      </c>
      <c r="AN101" s="4">
        <f ca="1">ROUND(T_Tiktok_ads[[#This Row],[video_watch_25]]*RANDBETWEEN(8,12)/10,0)</f>
        <v>67110</v>
      </c>
      <c r="AO101" s="4">
        <f ca="1">ROUND(T_Tiktok_ads[[#This Row],[video_watch_50]]*RANDBETWEEN(8,12)/10,0)</f>
        <v>60281</v>
      </c>
      <c r="AP101" s="4">
        <f ca="1">ROUND(T_Tiktok_ads[[#This Row],[video_watch_75]]*RANDBETWEEN(8,12)/10,0)</f>
        <v>45468</v>
      </c>
      <c r="AQ101" s="4">
        <f ca="1">ROUND(T_Tiktok_ads[[#This Row],[video_watch_100]]*RANDBETWEEN(8,12)/10,0)</f>
        <v>25234</v>
      </c>
      <c r="AR101" s="4">
        <f ca="1">ROUND(T_Tiktok_ads[[#This Row],[likes]]*RANDBETWEEN(8,12)/10,0)</f>
        <v>5012</v>
      </c>
      <c r="AS101" s="4">
        <f ca="1">ROUND(T_Tiktok_ads[[#This Row],[shares]]*RANDBETWEEN(8,12)/10,0)</f>
        <v>1565</v>
      </c>
      <c r="AT101" s="4">
        <f ca="1">ROUND(T_Tiktok_ads[[#This Row],[comments]]*RANDBETWEEN(8,12)/10,0)</f>
        <v>214</v>
      </c>
      <c r="AV101" s="5">
        <f t="shared" ca="1" si="17"/>
        <v>44979</v>
      </c>
      <c r="AW101">
        <f t="shared" ca="1" si="13"/>
        <v>5</v>
      </c>
      <c r="AX101">
        <f ca="1">ROUND(T_Facebook_Ads1159[[#This Row],[impressions]]*RANDBETWEEN(2,10)/10,0)</f>
        <v>9623</v>
      </c>
      <c r="AY101">
        <f ca="1">ROUND(T_Facebook_Ads1159[[#This Row],[clicks]]*RANDBETWEEN(8,12)/10,0)</f>
        <v>575</v>
      </c>
      <c r="AZ101">
        <f ca="1">T_Facebook_Ads1159[[#This Row],[spend]]*RANDBETWEEN(8,12)/10</f>
        <v>184.608</v>
      </c>
      <c r="BA101">
        <f ca="1">ROUND(T_Facebook_Ads1159[[#This Row],[conversions]]*RANDBETWEEN(8,12)/10,0)</f>
        <v>30</v>
      </c>
      <c r="BB101">
        <f ca="1">ROUND(T_Facebook_Ads1159[[#This Row],[video_views]]*RANDBETWEEN(8,12)/10,0)</f>
        <v>1568</v>
      </c>
    </row>
    <row r="102" spans="1:54" ht="15.75" thickBot="1" x14ac:dyDescent="0.3">
      <c r="A102" s="3">
        <f t="shared" ca="1" si="14"/>
        <v>44967</v>
      </c>
      <c r="B102" s="4" t="s">
        <v>60</v>
      </c>
      <c r="C102" s="4" t="s">
        <v>61</v>
      </c>
      <c r="D102" s="4" t="s">
        <v>62</v>
      </c>
      <c r="E102" s="4" t="s">
        <v>63</v>
      </c>
      <c r="F102" s="4">
        <f ca="1">ROUND(T_Facebook_Ads[[#This Row],[impressions]]*RANDBETWEEN(8,12)/10,0)</f>
        <v>26854</v>
      </c>
      <c r="G102" s="4">
        <v>1203</v>
      </c>
      <c r="H102" s="4">
        <f ca="1">T_Facebook_Ads[[#This Row],[spend]]*RANDBETWEEN(8,12)/10</f>
        <v>166.05</v>
      </c>
      <c r="I102" s="4">
        <f ca="1">ROUND(T_Facebook_Ads[[#This Row],[conversions]]*RANDBETWEEN(8,12)/10,0)</f>
        <v>28</v>
      </c>
      <c r="J102" s="4">
        <f ca="1">ROUND(T_Facebook_Ads[[#This Row],[video_views]]*RANDBETWEEN(8,12)/10,0)</f>
        <v>3298</v>
      </c>
      <c r="K102" s="4">
        <f ca="1">T_Facebook_Ads[[#This Row],[engagement_rate]]*RANDBETWEEN(8,12)/10</f>
        <v>2.8639999999999999E-2</v>
      </c>
      <c r="L102" s="4">
        <f ca="1">ROUND(T_Facebook_Ads[[#This Row],[reach]]*RANDBETWEEN(8,12)/10,0)</f>
        <v>22312</v>
      </c>
      <c r="M102" s="4">
        <f ca="1">T_Facebook_Ads[[#This Row],[frequency]]*RANDBETWEEN(8,12)/10</f>
        <v>1.3199999999999998</v>
      </c>
      <c r="O102" s="3">
        <f t="shared" ca="1" si="15"/>
        <v>44974</v>
      </c>
      <c r="P102" s="4" t="s">
        <v>84</v>
      </c>
      <c r="Q102" s="4" t="s">
        <v>85</v>
      </c>
      <c r="R102" s="4" t="s">
        <v>86</v>
      </c>
      <c r="S102" s="4" t="s">
        <v>87</v>
      </c>
      <c r="T102" s="4">
        <f ca="1">ROUND(_Google_ads[[#This Row],[impressions]]*RANDBETWEEN(8,12)/10,0)</f>
        <v>79481</v>
      </c>
      <c r="U102" s="4">
        <f ca="1">ROUND(_Google_ads[[#This Row],[clicks]]*RANDBETWEEN(8,12)/10,0)</f>
        <v>1950</v>
      </c>
      <c r="V102" s="4">
        <f ca="1">_Google_ads[[#This Row],[cost]]*RANDBETWEEN(8,12)/10</f>
        <v>356.22</v>
      </c>
      <c r="W102" s="4">
        <f ca="1">ROUND(_Google_ads[[#This Row],[conversions]]*RANDBETWEEN(8,12)/10,0)</f>
        <v>49</v>
      </c>
      <c r="X102" s="4">
        <f ca="1">ROUND(_Google_ads[[#This Row],[conversion_value]]*RANDBETWEEN(8,12)/10,0)</f>
        <v>2440</v>
      </c>
      <c r="Y102" s="4">
        <f ca="1">_Google_ads[[#This Row],[ctr]]*RANDBETWEEN(8,12)/10</f>
        <v>3.27E-2</v>
      </c>
      <c r="Z102" s="4">
        <f ca="1">_Google_ads[[#This Row],[avg_cpc]]*RANDBETWEEN(8,12)/10</f>
        <v>0.18</v>
      </c>
      <c r="AA102" s="4">
        <f ca="1">ROUND(_Google_ads[[#This Row],[quality_score]]*RANDBETWEEN(8,12)/10,0)</f>
        <v>10</v>
      </c>
      <c r="AB102" s="4">
        <f ca="1">_Google_ads[[#This Row],[search_impression_share]]*RANDBETWEEN(8,12)/10</f>
        <v>0.72600000000000009</v>
      </c>
      <c r="AD102" s="3">
        <f t="shared" ca="1" si="16"/>
        <v>44967</v>
      </c>
      <c r="AE102" s="4" t="s">
        <v>108</v>
      </c>
      <c r="AF102" s="4" t="s">
        <v>109</v>
      </c>
      <c r="AG102" s="4" t="s">
        <v>110</v>
      </c>
      <c r="AH102" s="4" t="s">
        <v>111</v>
      </c>
      <c r="AI102" s="4">
        <f ca="1">ROUND(T_Tiktok_ads[[#This Row],[impressions]]*RANDBETWEEN(8,12)/10,0)</f>
        <v>245802</v>
      </c>
      <c r="AJ102" s="4">
        <f ca="1">ROUND(T_Tiktok_ads[[#This Row],[clicks]]*RANDBETWEEN(8,12)/10,0)</f>
        <v>2854</v>
      </c>
      <c r="AK102" s="4">
        <v>427.7</v>
      </c>
      <c r="AL102" s="4">
        <f ca="1">ROUND(T_Tiktok_ads[[#This Row],[conversions]]*RANDBETWEEN(8,12)/10,0)</f>
        <v>27</v>
      </c>
      <c r="AM102" s="4">
        <f ca="1">ROUND(T_Tiktok_ads[[#This Row],[video_views]]*RANDBETWEEN(8,12)/10,0)</f>
        <v>214681</v>
      </c>
      <c r="AN102" s="4">
        <f ca="1">ROUND(T_Tiktok_ads[[#This Row],[video_watch_25]]*RANDBETWEEN(8,12)/10,0)</f>
        <v>148757</v>
      </c>
      <c r="AO102" s="4">
        <f ca="1">ROUND(T_Tiktok_ads[[#This Row],[video_watch_50]]*RANDBETWEEN(8,12)/10,0)</f>
        <v>117468</v>
      </c>
      <c r="AP102" s="4">
        <f ca="1">ROUND(T_Tiktok_ads[[#This Row],[video_watch_75]]*RANDBETWEEN(8,12)/10,0)</f>
        <v>76157</v>
      </c>
      <c r="AQ102" s="4">
        <f ca="1">ROUND(T_Tiktok_ads[[#This Row],[video_watch_100]]*RANDBETWEEN(8,12)/10,0)</f>
        <v>41789</v>
      </c>
      <c r="AR102" s="4">
        <f ca="1">ROUND(T_Tiktok_ads[[#This Row],[likes]]*RANDBETWEEN(8,12)/10,0)</f>
        <v>7411</v>
      </c>
      <c r="AS102" s="4">
        <f ca="1">ROUND(T_Tiktok_ads[[#This Row],[shares]]*RANDBETWEEN(8,12)/10,0)</f>
        <v>2720</v>
      </c>
      <c r="AT102" s="4">
        <f ca="1">ROUND(T_Tiktok_ads[[#This Row],[comments]]*RANDBETWEEN(8,12)/10,0)</f>
        <v>481</v>
      </c>
      <c r="AV102" s="5">
        <f t="shared" ca="1" si="17"/>
        <v>44983</v>
      </c>
      <c r="AW102">
        <f t="shared" ca="1" si="13"/>
        <v>8</v>
      </c>
      <c r="AX102">
        <f ca="1">ROUND(T_Facebook_Ads1159[[#This Row],[impressions]]*RANDBETWEEN(2,10)/10,0)</f>
        <v>21483</v>
      </c>
      <c r="AY102">
        <f ca="1">ROUND(T_Facebook_Ads1159[[#This Row],[clicks]]*RANDBETWEEN(8,12)/10,0)</f>
        <v>1444</v>
      </c>
      <c r="AZ102">
        <f ca="1">T_Facebook_Ads1159[[#This Row],[spend]]*RANDBETWEEN(8,12)/10</f>
        <v>166.05</v>
      </c>
      <c r="BA102">
        <f ca="1">ROUND(T_Facebook_Ads1159[[#This Row],[conversions]]*RANDBETWEEN(8,12)/10,0)</f>
        <v>31</v>
      </c>
      <c r="BB102">
        <f ca="1">ROUND(T_Facebook_Ads1159[[#This Row],[video_views]]*RANDBETWEEN(8,12)/10,0)</f>
        <v>2968</v>
      </c>
    </row>
    <row r="103" spans="1:54" ht="15.75" thickBot="1" x14ac:dyDescent="0.3">
      <c r="A103" s="3">
        <f t="shared" ca="1" si="14"/>
        <v>44984</v>
      </c>
      <c r="B103" s="4" t="s">
        <v>64</v>
      </c>
      <c r="C103" s="4" t="s">
        <v>65</v>
      </c>
      <c r="D103" s="4" t="s">
        <v>66</v>
      </c>
      <c r="E103" s="4" t="s">
        <v>67</v>
      </c>
      <c r="F103" s="4">
        <f ca="1">ROUND(T_Facebook_Ads[[#This Row],[impressions]]*RANDBETWEEN(8,12)/10,0)</f>
        <v>65789</v>
      </c>
      <c r="G103" s="4">
        <v>234</v>
      </c>
      <c r="H103" s="4">
        <f ca="1">T_Facebook_Ads[[#This Row],[spend]]*RANDBETWEEN(8,12)/10</f>
        <v>96.48</v>
      </c>
      <c r="I103" s="4">
        <f ca="1">ROUND(T_Facebook_Ads[[#This Row],[conversions]]*RANDBETWEEN(8,12)/10,0)</f>
        <v>3</v>
      </c>
      <c r="J103" s="4">
        <f ca="1">ROUND(T_Facebook_Ads[[#This Row],[video_views]]*RANDBETWEEN(8,12)/10,0)</f>
        <v>52668</v>
      </c>
      <c r="K103" s="4">
        <f ca="1">T_Facebook_Ads[[#This Row],[engagement_rate]]*RANDBETWEEN(8,12)/10</f>
        <v>2.8799999999999997E-3</v>
      </c>
      <c r="L103" s="4">
        <f ca="1">ROUND(T_Facebook_Ads[[#This Row],[reach]]*RANDBETWEEN(8,12)/10,0)</f>
        <v>64948</v>
      </c>
      <c r="M103" s="4">
        <f ca="1">T_Facebook_Ads[[#This Row],[frequency]]*RANDBETWEEN(8,12)/10</f>
        <v>1.21</v>
      </c>
      <c r="O103" s="3">
        <f t="shared" ca="1" si="15"/>
        <v>44966</v>
      </c>
      <c r="P103" s="4" t="s">
        <v>88</v>
      </c>
      <c r="Q103" s="4" t="s">
        <v>89</v>
      </c>
      <c r="R103" s="4" t="s">
        <v>90</v>
      </c>
      <c r="S103" s="4" t="s">
        <v>59</v>
      </c>
      <c r="T103" s="4">
        <f ca="1">ROUND(_Google_ads[[#This Row],[impressions]]*RANDBETWEEN(8,12)/10,0)</f>
        <v>140080</v>
      </c>
      <c r="U103" s="4">
        <f ca="1">ROUND(_Google_ads[[#This Row],[clicks]]*RANDBETWEEN(8,12)/10,0)</f>
        <v>356</v>
      </c>
      <c r="V103" s="4">
        <f ca="1">_Google_ads[[#This Row],[cost]]*RANDBETWEEN(8,12)/10</f>
        <v>112.58999999999999</v>
      </c>
      <c r="W103" s="4">
        <f ca="1">ROUND(_Google_ads[[#This Row],[conversions]]*RANDBETWEEN(8,12)/10,0)</f>
        <v>11</v>
      </c>
      <c r="X103" s="4">
        <f ca="1">ROUND(_Google_ads[[#This Row],[conversion_value]]*RANDBETWEEN(8,12)/10,0)</f>
        <v>540</v>
      </c>
      <c r="Y103" s="4">
        <f ca="1">_Google_ads[[#This Row],[ctr]]*RANDBETWEEN(8,12)/10</f>
        <v>3.15E-3</v>
      </c>
      <c r="Z103" s="4">
        <f ca="1">_Google_ads[[#This Row],[avg_cpc]]*RANDBETWEEN(8,12)/10</f>
        <v>0.22400000000000003</v>
      </c>
      <c r="AA103" s="4">
        <f ca="1">ROUND(_Google_ads[[#This Row],[quality_score]]*RANDBETWEEN(8,12)/10,0)</f>
        <v>6</v>
      </c>
      <c r="AB103" s="4">
        <f ca="1">_Google_ads[[#This Row],[search_impression_share]]*RANDBETWEEN(8,12)/10</f>
        <v>0.29700000000000004</v>
      </c>
      <c r="AD103" s="3">
        <f t="shared" ca="1" si="16"/>
        <v>44963</v>
      </c>
      <c r="AE103" s="4" t="s">
        <v>112</v>
      </c>
      <c r="AF103" s="4" t="s">
        <v>113</v>
      </c>
      <c r="AG103" s="4" t="s">
        <v>114</v>
      </c>
      <c r="AH103" s="4" t="s">
        <v>115</v>
      </c>
      <c r="AI103" s="4">
        <f ca="1">ROUND(T_Tiktok_ads[[#This Row],[impressions]]*RANDBETWEEN(8,12)/10,0)</f>
        <v>401234</v>
      </c>
      <c r="AJ103" s="4">
        <f ca="1">ROUND(T_Tiktok_ads[[#This Row],[clicks]]*RANDBETWEEN(8,12)/10,0)</f>
        <v>6456</v>
      </c>
      <c r="AK103" s="4">
        <v>989.9</v>
      </c>
      <c r="AL103" s="4">
        <f ca="1">ROUND(T_Tiktok_ads[[#This Row],[conversions]]*RANDBETWEEN(8,12)/10,0)</f>
        <v>91</v>
      </c>
      <c r="AM103" s="4">
        <f ca="1">ROUND(T_Tiktok_ads[[#This Row],[video_views]]*RANDBETWEEN(8,12)/10,0)</f>
        <v>398814</v>
      </c>
      <c r="AN103" s="4">
        <f ca="1">ROUND(T_Tiktok_ads[[#This Row],[video_watch_25]]*RANDBETWEEN(8,12)/10,0)</f>
        <v>241101</v>
      </c>
      <c r="AO103" s="4">
        <f ca="1">ROUND(T_Tiktok_ads[[#This Row],[video_watch_50]]*RANDBETWEEN(8,12)/10,0)</f>
        <v>193110</v>
      </c>
      <c r="AP103" s="4">
        <f ca="1">ROUND(T_Tiktok_ads[[#This Row],[video_watch_75]]*RANDBETWEEN(8,12)/10,0)</f>
        <v>151234</v>
      </c>
      <c r="AQ103" s="4">
        <f ca="1">ROUND(T_Tiktok_ads[[#This Row],[video_watch_100]]*RANDBETWEEN(8,12)/10,0)</f>
        <v>89610</v>
      </c>
      <c r="AR103" s="4">
        <f ca="1">ROUND(T_Tiktok_ads[[#This Row],[likes]]*RANDBETWEEN(8,12)/10,0)</f>
        <v>20681</v>
      </c>
      <c r="AS103" s="4">
        <f ca="1">ROUND(T_Tiktok_ads[[#This Row],[shares]]*RANDBETWEEN(8,12)/10,0)</f>
        <v>6014</v>
      </c>
      <c r="AT103" s="4">
        <f ca="1">ROUND(T_Tiktok_ads[[#This Row],[comments]]*RANDBETWEEN(8,12)/10,0)</f>
        <v>1102</v>
      </c>
      <c r="AV103" s="5">
        <f t="shared" ca="1" si="17"/>
        <v>44959</v>
      </c>
      <c r="AW103">
        <f t="shared" ca="1" si="13"/>
        <v>1</v>
      </c>
      <c r="AX103">
        <f ca="1">ROUND(T_Facebook_Ads1159[[#This Row],[impressions]]*RANDBETWEEN(2,10)/10,0)</f>
        <v>59210</v>
      </c>
      <c r="AY103">
        <f ca="1">ROUND(T_Facebook_Ads1159[[#This Row],[clicks]]*RANDBETWEEN(8,12)/10,0)</f>
        <v>187</v>
      </c>
      <c r="AZ103">
        <f ca="1">T_Facebook_Ads1159[[#This Row],[spend]]*RANDBETWEEN(8,12)/10</f>
        <v>77.183999999999997</v>
      </c>
      <c r="BA103">
        <f ca="1">ROUND(T_Facebook_Ads1159[[#This Row],[conversions]]*RANDBETWEEN(8,12)/10,0)</f>
        <v>3</v>
      </c>
      <c r="BB103">
        <f ca="1">ROUND(T_Facebook_Ads1159[[#This Row],[video_views]]*RANDBETWEEN(8,12)/10,0)</f>
        <v>42134</v>
      </c>
    </row>
    <row r="104" spans="1:54" ht="15.75" thickBot="1" x14ac:dyDescent="0.3">
      <c r="A104" s="3">
        <f t="shared" ca="1" si="14"/>
        <v>44967</v>
      </c>
      <c r="B104" s="4" t="s">
        <v>52</v>
      </c>
      <c r="C104" s="4" t="s">
        <v>53</v>
      </c>
      <c r="D104" s="4" t="s">
        <v>54</v>
      </c>
      <c r="E104" s="4" t="s">
        <v>55</v>
      </c>
      <c r="F104" s="4">
        <f ca="1">ROUND(T_Facebook_Ads[[#This Row],[impressions]]*RANDBETWEEN(8,12)/10,0)</f>
        <v>52679</v>
      </c>
      <c r="G104" s="4">
        <v>967</v>
      </c>
      <c r="H104" s="4">
        <f ca="1">T_Facebook_Ads[[#This Row],[spend]]*RANDBETWEEN(8,12)/10</f>
        <v>152.24</v>
      </c>
      <c r="I104" s="4">
        <f ca="1">ROUND(T_Facebook_Ads[[#This Row],[conversions]]*RANDBETWEEN(8,12)/10,0)</f>
        <v>17</v>
      </c>
      <c r="J104" s="4">
        <f ca="1">ROUND(T_Facebook_Ads[[#This Row],[video_views]]*RANDBETWEEN(8,12)/10,0)</f>
        <v>9668</v>
      </c>
      <c r="K104" s="4">
        <f ca="1">T_Facebook_Ads[[#This Row],[engagement_rate]]*RANDBETWEEN(8,12)/10</f>
        <v>1.8179999999999998E-2</v>
      </c>
      <c r="L104" s="4">
        <f ca="1">ROUND(T_Facebook_Ads[[#This Row],[reach]]*RANDBETWEEN(8,12)/10,0)</f>
        <v>40234</v>
      </c>
      <c r="M104" s="4">
        <f ca="1">T_Facebook_Ads[[#This Row],[frequency]]*RANDBETWEEN(8,12)/10</f>
        <v>1.071</v>
      </c>
      <c r="O104" s="3">
        <f t="shared" ca="1" si="15"/>
        <v>44976</v>
      </c>
      <c r="P104" s="4" t="s">
        <v>76</v>
      </c>
      <c r="Q104" s="4" t="s">
        <v>77</v>
      </c>
      <c r="R104" s="4" t="s">
        <v>78</v>
      </c>
      <c r="S104" s="4" t="s">
        <v>79</v>
      </c>
      <c r="T104" s="4">
        <f ca="1">ROUND(_Google_ads[[#This Row],[impressions]]*RANDBETWEEN(8,12)/10,0)</f>
        <v>22401</v>
      </c>
      <c r="U104" s="4">
        <f ca="1">ROUND(_Google_ads[[#This Row],[clicks]]*RANDBETWEEN(8,12)/10,0)</f>
        <v>1150</v>
      </c>
      <c r="V104" s="4">
        <f ca="1">_Google_ads[[#This Row],[cost]]*RANDBETWEEN(8,12)/10</f>
        <v>268.62</v>
      </c>
      <c r="W104" s="4">
        <f ca="1">ROUND(_Google_ads[[#This Row],[conversions]]*RANDBETWEEN(8,12)/10,0)</f>
        <v>47</v>
      </c>
      <c r="X104" s="4">
        <f ca="1">ROUND(_Google_ads[[#This Row],[conversion_value]]*RANDBETWEEN(8,12)/10,0)</f>
        <v>2820</v>
      </c>
      <c r="Y104" s="4">
        <f ca="1">_Google_ads[[#This Row],[ctr]]*RANDBETWEEN(8,12)/10</f>
        <v>4.6170000000000003E-2</v>
      </c>
      <c r="Z104" s="4">
        <f ca="1">_Google_ads[[#This Row],[avg_cpc]]*RANDBETWEEN(8,12)/10</f>
        <v>0.19</v>
      </c>
      <c r="AA104" s="4">
        <f ca="1">ROUND(_Google_ads[[#This Row],[quality_score]]*RANDBETWEEN(8,12)/10,0)</f>
        <v>9</v>
      </c>
      <c r="AB104" s="4">
        <f ca="1">_Google_ads[[#This Row],[search_impression_share]]*RANDBETWEEN(8,12)/10</f>
        <v>0.90999999999999992</v>
      </c>
      <c r="AD104" s="3">
        <f t="shared" ca="1" si="16"/>
        <v>44970</v>
      </c>
      <c r="AE104" s="4" t="s">
        <v>100</v>
      </c>
      <c r="AF104" s="4" t="s">
        <v>101</v>
      </c>
      <c r="AG104" s="4" t="s">
        <v>102</v>
      </c>
      <c r="AH104" s="4" t="s">
        <v>103</v>
      </c>
      <c r="AI104" s="4">
        <f ca="1">ROUND(T_Tiktok_ads[[#This Row],[impressions]]*RANDBETWEEN(8,12)/10,0)</f>
        <v>260111</v>
      </c>
      <c r="AJ104" s="4">
        <f ca="1">ROUND(T_Tiktok_ads[[#This Row],[clicks]]*RANDBETWEEN(8,12)/10,0)</f>
        <v>5081</v>
      </c>
      <c r="AK104" s="4">
        <v>556.70000000000005</v>
      </c>
      <c r="AL104" s="4">
        <f ca="1">ROUND(T_Tiktok_ads[[#This Row],[conversions]]*RANDBETWEEN(8,12)/10,0)</f>
        <v>39</v>
      </c>
      <c r="AM104" s="4">
        <f ca="1">ROUND(T_Tiktok_ads[[#This Row],[video_views]]*RANDBETWEEN(8,12)/10,0)</f>
        <v>281480</v>
      </c>
      <c r="AN104" s="4">
        <f ca="1">ROUND(T_Tiktok_ads[[#This Row],[video_watch_25]]*RANDBETWEEN(8,12)/10,0)</f>
        <v>145876</v>
      </c>
      <c r="AO104" s="4">
        <f ca="1">ROUND(T_Tiktok_ads[[#This Row],[video_watch_50]]*RANDBETWEEN(8,12)/10,0)</f>
        <v>91654</v>
      </c>
      <c r="AP104" s="4">
        <f ca="1">ROUND(T_Tiktok_ads[[#This Row],[video_watch_75]]*RANDBETWEEN(8,12)/10,0)</f>
        <v>69511</v>
      </c>
      <c r="AQ104" s="4">
        <f ca="1">ROUND(T_Tiktok_ads[[#This Row],[video_watch_100]]*RANDBETWEEN(8,12)/10,0)</f>
        <v>40987</v>
      </c>
      <c r="AR104" s="4">
        <f ca="1">ROUND(T_Tiktok_ads[[#This Row],[likes]]*RANDBETWEEN(8,12)/10,0)</f>
        <v>10345</v>
      </c>
      <c r="AS104" s="4">
        <f ca="1">ROUND(T_Tiktok_ads[[#This Row],[shares]]*RANDBETWEEN(8,12)/10,0)</f>
        <v>3347</v>
      </c>
      <c r="AT104" s="4">
        <f ca="1">ROUND(T_Tiktok_ads[[#This Row],[comments]]*RANDBETWEEN(8,12)/10,0)</f>
        <v>525</v>
      </c>
      <c r="AV104" s="5">
        <f t="shared" ca="1" si="17"/>
        <v>44978</v>
      </c>
      <c r="AW104">
        <f t="shared" ca="1" si="13"/>
        <v>4</v>
      </c>
      <c r="AX104">
        <f ca="1">ROUND(T_Facebook_Ads1159[[#This Row],[impressions]]*RANDBETWEEN(2,10)/10,0)</f>
        <v>47411</v>
      </c>
      <c r="AY104">
        <f ca="1">ROUND(T_Facebook_Ads1159[[#This Row],[clicks]]*RANDBETWEEN(8,12)/10,0)</f>
        <v>774</v>
      </c>
      <c r="AZ104">
        <f ca="1">T_Facebook_Ads1159[[#This Row],[spend]]*RANDBETWEEN(8,12)/10</f>
        <v>137.01600000000002</v>
      </c>
      <c r="BA104">
        <f ca="1">ROUND(T_Facebook_Ads1159[[#This Row],[conversions]]*RANDBETWEEN(8,12)/10,0)</f>
        <v>20</v>
      </c>
      <c r="BB104">
        <f ca="1">ROUND(T_Facebook_Ads1159[[#This Row],[video_views]]*RANDBETWEEN(8,12)/10,0)</f>
        <v>9668</v>
      </c>
    </row>
    <row r="105" spans="1:54" ht="15.75" thickBot="1" x14ac:dyDescent="0.3">
      <c r="A105" s="3">
        <f t="shared" ca="1" si="14"/>
        <v>44975</v>
      </c>
      <c r="B105" s="4" t="s">
        <v>56</v>
      </c>
      <c r="C105" s="4" t="s">
        <v>57</v>
      </c>
      <c r="D105" s="4" t="s">
        <v>58</v>
      </c>
      <c r="E105" s="4" t="s">
        <v>59</v>
      </c>
      <c r="F105" s="4">
        <f ca="1">ROUND(T_Facebook_Ads[[#This Row],[impressions]]*RANDBETWEEN(8,12)/10,0)</f>
        <v>11911</v>
      </c>
      <c r="G105" s="4">
        <v>612</v>
      </c>
      <c r="H105" s="4">
        <f ca="1">T_Facebook_Ads[[#This Row],[spend]]*RANDBETWEEN(8,12)/10</f>
        <v>226.5</v>
      </c>
      <c r="I105" s="4">
        <f ca="1">ROUND(T_Facebook_Ads[[#This Row],[conversions]]*RANDBETWEEN(8,12)/10,0)</f>
        <v>31</v>
      </c>
      <c r="J105" s="4">
        <f ca="1">ROUND(T_Facebook_Ads[[#This Row],[video_views]]*RANDBETWEEN(8,12)/10,0)</f>
        <v>1480</v>
      </c>
      <c r="K105" s="4">
        <f ca="1">T_Facebook_Ads[[#This Row],[engagement_rate]]*RANDBETWEEN(8,12)/10</f>
        <v>3.7040000000000003E-2</v>
      </c>
      <c r="L105" s="4">
        <f ca="1">ROUND(T_Facebook_Ads[[#This Row],[reach]]*RANDBETWEEN(8,12)/10,0)</f>
        <v>8365</v>
      </c>
      <c r="M105" s="4">
        <f ca="1">T_Facebook_Ads[[#This Row],[frequency]]*RANDBETWEEN(8,12)/10</f>
        <v>1.524</v>
      </c>
      <c r="O105" s="3">
        <f t="shared" ca="1" si="15"/>
        <v>44984</v>
      </c>
      <c r="P105" s="4" t="s">
        <v>80</v>
      </c>
      <c r="Q105" s="4" t="s">
        <v>81</v>
      </c>
      <c r="R105" s="4" t="s">
        <v>82</v>
      </c>
      <c r="S105" s="4" t="s">
        <v>83</v>
      </c>
      <c r="T105" s="4">
        <f ca="1">ROUND(_Google_ads[[#This Row],[impressions]]*RANDBETWEEN(8,12)/10,0)</f>
        <v>40110</v>
      </c>
      <c r="U105" s="4">
        <f ca="1">ROUND(_Google_ads[[#This Row],[clicks]]*RANDBETWEEN(8,12)/10,0)</f>
        <v>790</v>
      </c>
      <c r="V105" s="4">
        <f ca="1">_Google_ads[[#This Row],[cost]]*RANDBETWEEN(8,12)/10</f>
        <v>684.95999999999992</v>
      </c>
      <c r="W105" s="4">
        <f ca="1">ROUND(_Google_ads[[#This Row],[conversions]]*RANDBETWEEN(8,12)/10,0)</f>
        <v>25</v>
      </c>
      <c r="X105" s="4">
        <f ca="1">ROUND(_Google_ads[[#This Row],[conversion_value]]*RANDBETWEEN(8,12)/10,0)</f>
        <v>1150</v>
      </c>
      <c r="Y105" s="4">
        <f ca="1">_Google_ads[[#This Row],[ctr]]*RANDBETWEEN(8,12)/10</f>
        <v>1.576E-2</v>
      </c>
      <c r="Z105" s="4">
        <f ca="1">_Google_ads[[#This Row],[avg_cpc]]*RANDBETWEEN(8,12)/10</f>
        <v>0.78</v>
      </c>
      <c r="AA105" s="4">
        <f ca="1">ROUND(_Google_ads[[#This Row],[quality_score]]*RANDBETWEEN(8,12)/10,0)</f>
        <v>6</v>
      </c>
      <c r="AB105" s="4">
        <f ca="1">_Google_ads[[#This Row],[search_impression_share]]*RANDBETWEEN(8,12)/10</f>
        <v>0.39600000000000002</v>
      </c>
      <c r="AD105" s="3">
        <f t="shared" ca="1" si="16"/>
        <v>44968</v>
      </c>
      <c r="AE105" s="4" t="s">
        <v>104</v>
      </c>
      <c r="AF105" s="4" t="s">
        <v>105</v>
      </c>
      <c r="AG105" s="4" t="s">
        <v>106</v>
      </c>
      <c r="AH105" s="4" t="s">
        <v>107</v>
      </c>
      <c r="AI105" s="4">
        <f ca="1">ROUND(T_Tiktok_ads[[#This Row],[impressions]]*RANDBETWEEN(8,12)/10,0)</f>
        <v>188147</v>
      </c>
      <c r="AJ105" s="4">
        <f ca="1">ROUND(T_Tiktok_ads[[#This Row],[clicks]]*RANDBETWEEN(8,12)/10,0)</f>
        <v>3614</v>
      </c>
      <c r="AK105" s="4">
        <v>812.3</v>
      </c>
      <c r="AL105" s="4">
        <f ca="1">ROUND(T_Tiktok_ads[[#This Row],[conversions]]*RANDBETWEEN(8,12)/10,0)</f>
        <v>74</v>
      </c>
      <c r="AM105" s="4">
        <f ca="1">ROUND(T_Tiktok_ads[[#This Row],[video_views]]*RANDBETWEEN(8,12)/10,0)</f>
        <v>109876</v>
      </c>
      <c r="AN105" s="4">
        <f ca="1">ROUND(T_Tiktok_ads[[#This Row],[video_watch_25]]*RANDBETWEEN(8,12)/10,0)</f>
        <v>89357</v>
      </c>
      <c r="AO105" s="4">
        <f ca="1">ROUND(T_Tiktok_ads[[#This Row],[video_watch_50]]*RANDBETWEEN(8,12)/10,0)</f>
        <v>43742</v>
      </c>
      <c r="AP105" s="4">
        <f ca="1">ROUND(T_Tiktok_ads[[#This Row],[video_watch_75]]*RANDBETWEEN(8,12)/10,0)</f>
        <v>32987</v>
      </c>
      <c r="AQ105" s="4">
        <f ca="1">ROUND(T_Tiktok_ads[[#This Row],[video_watch_100]]*RANDBETWEEN(8,12)/10,0)</f>
        <v>27567</v>
      </c>
      <c r="AR105" s="4">
        <f ca="1">ROUND(T_Tiktok_ads[[#This Row],[likes]]*RANDBETWEEN(8,12)/10,0)</f>
        <v>4910</v>
      </c>
      <c r="AS105" s="4">
        <f ca="1">ROUND(T_Tiktok_ads[[#This Row],[shares]]*RANDBETWEEN(8,12)/10,0)</f>
        <v>1724</v>
      </c>
      <c r="AT105" s="4">
        <f ca="1">ROUND(T_Tiktok_ads[[#This Row],[comments]]*RANDBETWEEN(8,12)/10,0)</f>
        <v>260</v>
      </c>
      <c r="AV105" s="5">
        <f t="shared" ca="1" si="17"/>
        <v>44961</v>
      </c>
      <c r="AW105">
        <f t="shared" ca="1" si="13"/>
        <v>5</v>
      </c>
      <c r="AX105">
        <f ca="1">ROUND(T_Facebook_Ads1159[[#This Row],[impressions]]*RANDBETWEEN(2,10)/10,0)</f>
        <v>5956</v>
      </c>
      <c r="AY105">
        <f ca="1">ROUND(T_Facebook_Ads1159[[#This Row],[clicks]]*RANDBETWEEN(8,12)/10,0)</f>
        <v>612</v>
      </c>
      <c r="AZ105">
        <f ca="1">T_Facebook_Ads1159[[#This Row],[spend]]*RANDBETWEEN(8,12)/10</f>
        <v>226.5</v>
      </c>
      <c r="BA105">
        <f ca="1">ROUND(T_Facebook_Ads1159[[#This Row],[conversions]]*RANDBETWEEN(8,12)/10,0)</f>
        <v>31</v>
      </c>
      <c r="BB105">
        <f ca="1">ROUND(T_Facebook_Ads1159[[#This Row],[video_views]]*RANDBETWEEN(8,12)/10,0)</f>
        <v>1776</v>
      </c>
    </row>
    <row r="106" spans="1:54" ht="15.75" thickBot="1" x14ac:dyDescent="0.3">
      <c r="A106" s="3">
        <f t="shared" ca="1" si="14"/>
        <v>44970</v>
      </c>
      <c r="B106" s="4" t="s">
        <v>60</v>
      </c>
      <c r="C106" s="4" t="s">
        <v>61</v>
      </c>
      <c r="D106" s="4" t="s">
        <v>62</v>
      </c>
      <c r="E106" s="4" t="s">
        <v>63</v>
      </c>
      <c r="F106" s="4">
        <f ca="1">ROUND(T_Facebook_Ads[[#This Row],[impressions]]*RANDBETWEEN(8,12)/10,0)</f>
        <v>36234</v>
      </c>
      <c r="G106" s="4">
        <v>1334</v>
      </c>
      <c r="H106" s="4">
        <f ca="1">T_Facebook_Ads[[#This Row],[spend]]*RANDBETWEEN(8,12)/10</f>
        <v>203.7</v>
      </c>
      <c r="I106" s="4">
        <f ca="1">ROUND(T_Facebook_Ads[[#This Row],[conversions]]*RANDBETWEEN(8,12)/10,0)</f>
        <v>34</v>
      </c>
      <c r="J106" s="4">
        <f ca="1">ROUND(T_Facebook_Ads[[#This Row],[video_views]]*RANDBETWEEN(8,12)/10,0)</f>
        <v>5614</v>
      </c>
      <c r="K106" s="4">
        <f ca="1">T_Facebook_Ads[[#This Row],[engagement_rate]]*RANDBETWEEN(8,12)/10</f>
        <v>3.6799999999999999E-2</v>
      </c>
      <c r="L106" s="4">
        <f ca="1">ROUND(T_Facebook_Ads[[#This Row],[reach]]*RANDBETWEEN(8,12)/10,0)</f>
        <v>30123</v>
      </c>
      <c r="M106" s="4">
        <f ca="1">T_Facebook_Ads[[#This Row],[frequency]]*RANDBETWEEN(8,12)/10</f>
        <v>0.96</v>
      </c>
      <c r="O106" s="3">
        <f t="shared" ca="1" si="15"/>
        <v>44971</v>
      </c>
      <c r="P106" s="4" t="s">
        <v>84</v>
      </c>
      <c r="Q106" s="4" t="s">
        <v>85</v>
      </c>
      <c r="R106" s="4" t="s">
        <v>86</v>
      </c>
      <c r="S106" s="4" t="s">
        <v>87</v>
      </c>
      <c r="T106" s="4">
        <f ca="1">ROUND(_Google_ads[[#This Row],[impressions]]*RANDBETWEEN(8,12)/10,0)</f>
        <v>61610</v>
      </c>
      <c r="U106" s="4">
        <f ca="1">ROUND(_Google_ads[[#This Row],[clicks]]*RANDBETWEEN(8,12)/10,0)</f>
        <v>2289</v>
      </c>
      <c r="V106" s="4">
        <f ca="1">_Google_ads[[#This Row],[cost]]*RANDBETWEEN(8,12)/10</f>
        <v>503.4</v>
      </c>
      <c r="W106" s="4">
        <f ca="1">ROUND(_Google_ads[[#This Row],[conversions]]*RANDBETWEEN(8,12)/10,0)</f>
        <v>79</v>
      </c>
      <c r="X106" s="4">
        <f ca="1">ROUND(_Google_ads[[#This Row],[conversion_value]]*RANDBETWEEN(8,12)/10,0)</f>
        <v>3630</v>
      </c>
      <c r="Y106" s="4">
        <f ca="1">_Google_ads[[#This Row],[ctr]]*RANDBETWEEN(8,12)/10</f>
        <v>3.3399999999999999E-2</v>
      </c>
      <c r="Z106" s="4">
        <f ca="1">_Google_ads[[#This Row],[avg_cpc]]*RANDBETWEEN(8,12)/10</f>
        <v>0.16199999999999998</v>
      </c>
      <c r="AA106" s="4">
        <f ca="1">ROUND(_Google_ads[[#This Row],[quality_score]]*RANDBETWEEN(8,12)/10,0)</f>
        <v>8</v>
      </c>
      <c r="AB106" s="4">
        <f ca="1">_Google_ads[[#This Row],[search_impression_share]]*RANDBETWEEN(8,12)/10</f>
        <v>0.53600000000000003</v>
      </c>
      <c r="AD106" s="3">
        <f t="shared" ca="1" si="16"/>
        <v>44970</v>
      </c>
      <c r="AE106" s="4" t="s">
        <v>108</v>
      </c>
      <c r="AF106" s="4" t="s">
        <v>109</v>
      </c>
      <c r="AG106" s="4" t="s">
        <v>110</v>
      </c>
      <c r="AH106" s="4" t="s">
        <v>111</v>
      </c>
      <c r="AI106" s="4">
        <f ca="1">ROUND(T_Tiktok_ads[[#This Row],[impressions]]*RANDBETWEEN(8,12)/10,0)</f>
        <v>245678</v>
      </c>
      <c r="AJ106" s="4">
        <f ca="1">ROUND(T_Tiktok_ads[[#This Row],[clicks]]*RANDBETWEEN(8,12)/10,0)</f>
        <v>4279</v>
      </c>
      <c r="AK106" s="4">
        <v>467.8</v>
      </c>
      <c r="AL106" s="4">
        <f ca="1">ROUND(T_Tiktok_ads[[#This Row],[conversions]]*RANDBETWEEN(8,12)/10,0)</f>
        <v>41</v>
      </c>
      <c r="AM106" s="4">
        <f ca="1">ROUND(T_Tiktok_ads[[#This Row],[video_views]]*RANDBETWEEN(8,12)/10,0)</f>
        <v>215246</v>
      </c>
      <c r="AN106" s="4">
        <f ca="1">ROUND(T_Tiktok_ads[[#This Row],[video_watch_25]]*RANDBETWEEN(8,12)/10,0)</f>
        <v>163057</v>
      </c>
      <c r="AO106" s="4">
        <f ca="1">ROUND(T_Tiktok_ads[[#This Row],[video_watch_50]]*RANDBETWEEN(8,12)/10,0)</f>
        <v>128957</v>
      </c>
      <c r="AP106" s="4">
        <f ca="1">ROUND(T_Tiktok_ads[[#This Row],[video_watch_75]]*RANDBETWEEN(8,12)/10,0)</f>
        <v>67711</v>
      </c>
      <c r="AQ106" s="4">
        <f ca="1">ROUND(T_Tiktok_ads[[#This Row],[video_watch_100]]*RANDBETWEEN(8,12)/10,0)</f>
        <v>45789</v>
      </c>
      <c r="AR106" s="4">
        <f ca="1">ROUND(T_Tiktok_ads[[#This Row],[likes]]*RANDBETWEEN(8,12)/10,0)</f>
        <v>7710</v>
      </c>
      <c r="AS106" s="4">
        <f ca="1">ROUND(T_Tiktok_ads[[#This Row],[shares]]*RANDBETWEEN(8,12)/10,0)</f>
        <v>2111</v>
      </c>
      <c r="AT106" s="4">
        <f ca="1">ROUND(T_Tiktok_ads[[#This Row],[comments]]*RANDBETWEEN(8,12)/10,0)</f>
        <v>624</v>
      </c>
      <c r="AV106" s="5">
        <f t="shared" ca="1" si="17"/>
        <v>44976</v>
      </c>
      <c r="AW106">
        <f t="shared" ca="1" si="13"/>
        <v>2</v>
      </c>
      <c r="AX106">
        <f ca="1">ROUND(T_Facebook_Ads1159[[#This Row],[impressions]]*RANDBETWEEN(2,10)/10,0)</f>
        <v>7247</v>
      </c>
      <c r="AY106">
        <f ca="1">ROUND(T_Facebook_Ads1159[[#This Row],[clicks]]*RANDBETWEEN(8,12)/10,0)</f>
        <v>1201</v>
      </c>
      <c r="AZ106">
        <f ca="1">T_Facebook_Ads1159[[#This Row],[spend]]*RANDBETWEEN(8,12)/10</f>
        <v>162.95999999999998</v>
      </c>
      <c r="BA106">
        <f ca="1">ROUND(T_Facebook_Ads1159[[#This Row],[conversions]]*RANDBETWEEN(8,12)/10,0)</f>
        <v>37</v>
      </c>
      <c r="BB106">
        <f ca="1">ROUND(T_Facebook_Ads1159[[#This Row],[video_views]]*RANDBETWEEN(8,12)/10,0)</f>
        <v>5614</v>
      </c>
    </row>
    <row r="107" spans="1:54" ht="15.75" thickBot="1" x14ac:dyDescent="0.3">
      <c r="A107" s="3">
        <f t="shared" ca="1" si="14"/>
        <v>44985</v>
      </c>
      <c r="B107" s="4" t="s">
        <v>64</v>
      </c>
      <c r="C107" s="4" t="s">
        <v>65</v>
      </c>
      <c r="D107" s="4" t="s">
        <v>66</v>
      </c>
      <c r="E107" s="4" t="s">
        <v>67</v>
      </c>
      <c r="F107" s="4">
        <f ca="1">ROUND(T_Facebook_Ads[[#This Row],[impressions]]*RANDBETWEEN(8,12)/10,0)</f>
        <v>55654</v>
      </c>
      <c r="G107" s="4">
        <v>253</v>
      </c>
      <c r="H107" s="4">
        <f ca="1">T_Facebook_Ads[[#This Row],[spend]]*RANDBETWEEN(8,12)/10</f>
        <v>88.7</v>
      </c>
      <c r="I107" s="4">
        <f ca="1">ROUND(T_Facebook_Ads[[#This Row],[conversions]]*RANDBETWEEN(8,12)/10,0)</f>
        <v>7</v>
      </c>
      <c r="J107" s="4">
        <f ca="1">ROUND(T_Facebook_Ads[[#This Row],[video_views]]*RANDBETWEEN(8,12)/10,0)</f>
        <v>46890</v>
      </c>
      <c r="K107" s="4">
        <f ca="1">T_Facebook_Ads[[#This Row],[engagement_rate]]*RANDBETWEEN(8,12)/10</f>
        <v>2.8799999999999997E-3</v>
      </c>
      <c r="L107" s="4">
        <f ca="1">ROUND(T_Facebook_Ads[[#This Row],[reach]]*RANDBETWEEN(8,12)/10,0)</f>
        <v>62835</v>
      </c>
      <c r="M107" s="4">
        <f ca="1">T_Facebook_Ads[[#This Row],[frequency]]*RANDBETWEEN(8,12)/10</f>
        <v>1.0980000000000001</v>
      </c>
      <c r="O107" s="3">
        <f t="shared" ca="1" si="15"/>
        <v>44981</v>
      </c>
      <c r="P107" s="4" t="s">
        <v>88</v>
      </c>
      <c r="Q107" s="4" t="s">
        <v>89</v>
      </c>
      <c r="R107" s="4" t="s">
        <v>90</v>
      </c>
      <c r="S107" s="4" t="s">
        <v>59</v>
      </c>
      <c r="T107" s="4">
        <f ca="1">ROUND(_Google_ads[[#This Row],[impressions]]*RANDBETWEEN(8,12)/10,0)</f>
        <v>157481</v>
      </c>
      <c r="U107" s="4">
        <f ca="1">ROUND(_Google_ads[[#This Row],[clicks]]*RANDBETWEEN(8,12)/10,0)</f>
        <v>374</v>
      </c>
      <c r="V107" s="4">
        <f ca="1">_Google_ads[[#This Row],[cost]]*RANDBETWEEN(8,12)/10</f>
        <v>128.9</v>
      </c>
      <c r="W107" s="4">
        <f ca="1">ROUND(_Google_ads[[#This Row],[conversions]]*RANDBETWEEN(8,12)/10,0)</f>
        <v>12</v>
      </c>
      <c r="X107" s="4">
        <f ca="1">ROUND(_Google_ads[[#This Row],[conversion_value]]*RANDBETWEEN(8,12)/10,0)</f>
        <v>780</v>
      </c>
      <c r="Y107" s="4">
        <f ca="1">_Google_ads[[#This Row],[ctr]]*RANDBETWEEN(8,12)/10</f>
        <v>3.96E-3</v>
      </c>
      <c r="Z107" s="4">
        <f ca="1">_Google_ads[[#This Row],[avg_cpc]]*RANDBETWEEN(8,12)/10</f>
        <v>0.33600000000000002</v>
      </c>
      <c r="AA107" s="4">
        <f ca="1">ROUND(_Google_ads[[#This Row],[quality_score]]*RANDBETWEEN(8,12)/10,0)</f>
        <v>6</v>
      </c>
      <c r="AB107" s="4">
        <f ca="1">_Google_ads[[#This Row],[search_impression_share]]*RANDBETWEEN(8,12)/10</f>
        <v>0.27200000000000002</v>
      </c>
      <c r="AD107" s="3">
        <f t="shared" ca="1" si="16"/>
        <v>44979</v>
      </c>
      <c r="AE107" s="4" t="s">
        <v>112</v>
      </c>
      <c r="AF107" s="4" t="s">
        <v>113</v>
      </c>
      <c r="AG107" s="4" t="s">
        <v>114</v>
      </c>
      <c r="AH107" s="4" t="s">
        <v>115</v>
      </c>
      <c r="AI107" s="4">
        <f ca="1">ROUND(T_Tiktok_ads[[#This Row],[impressions]]*RANDBETWEEN(8,12)/10,0)</f>
        <v>338765</v>
      </c>
      <c r="AJ107" s="4">
        <f ca="1">ROUND(T_Tiktok_ads[[#This Row],[clicks]]*RANDBETWEEN(8,12)/10,0)</f>
        <v>7579</v>
      </c>
      <c r="AK107" s="4">
        <v>1056.8</v>
      </c>
      <c r="AL107" s="4">
        <f ca="1">ROUND(T_Tiktok_ads[[#This Row],[conversions]]*RANDBETWEEN(8,12)/10,0)</f>
        <v>107</v>
      </c>
      <c r="AM107" s="4">
        <f ca="1">ROUND(T_Tiktok_ads[[#This Row],[video_views]]*RANDBETWEEN(8,12)/10,0)</f>
        <v>428147</v>
      </c>
      <c r="AN107" s="4">
        <f ca="1">ROUND(T_Tiktok_ads[[#This Row],[video_watch_25]]*RANDBETWEEN(8,12)/10,0)</f>
        <v>318157</v>
      </c>
      <c r="AO107" s="4">
        <f ca="1">ROUND(T_Tiktok_ads[[#This Row],[video_watch_50]]*RANDBETWEEN(8,12)/10,0)</f>
        <v>208310</v>
      </c>
      <c r="AP107" s="4">
        <f ca="1">ROUND(T_Tiktok_ads[[#This Row],[video_watch_75]]*RANDBETWEEN(8,12)/10,0)</f>
        <v>164567</v>
      </c>
      <c r="AQ107" s="4">
        <f ca="1">ROUND(T_Tiktok_ads[[#This Row],[video_watch_100]]*RANDBETWEEN(8,12)/10,0)</f>
        <v>109234</v>
      </c>
      <c r="AR107" s="4">
        <f ca="1">ROUND(T_Tiktok_ads[[#This Row],[likes]]*RANDBETWEEN(8,12)/10,0)</f>
        <v>22668</v>
      </c>
      <c r="AS107" s="4">
        <f ca="1">ROUND(T_Tiktok_ads[[#This Row],[shares]]*RANDBETWEEN(8,12)/10,0)</f>
        <v>4910</v>
      </c>
      <c r="AT107" s="4">
        <f ca="1">ROUND(T_Tiktok_ads[[#This Row],[comments]]*RANDBETWEEN(8,12)/10,0)</f>
        <v>1191</v>
      </c>
      <c r="AV107" s="5">
        <f t="shared" ca="1" si="17"/>
        <v>44982</v>
      </c>
      <c r="AW107">
        <f t="shared" ca="1" si="13"/>
        <v>3</v>
      </c>
      <c r="AX107">
        <f ca="1">ROUND(T_Facebook_Ads1159[[#This Row],[impressions]]*RANDBETWEEN(2,10)/10,0)</f>
        <v>38958</v>
      </c>
      <c r="AY107">
        <f ca="1">ROUND(T_Facebook_Ads1159[[#This Row],[clicks]]*RANDBETWEEN(8,12)/10,0)</f>
        <v>202</v>
      </c>
      <c r="AZ107">
        <f ca="1">T_Facebook_Ads1159[[#This Row],[spend]]*RANDBETWEEN(8,12)/10</f>
        <v>97.570000000000007</v>
      </c>
      <c r="BA107">
        <f ca="1">ROUND(T_Facebook_Ads1159[[#This Row],[conversions]]*RANDBETWEEN(8,12)/10,0)</f>
        <v>7</v>
      </c>
      <c r="BB107">
        <f ca="1">ROUND(T_Facebook_Ads1159[[#This Row],[video_views]]*RANDBETWEEN(8,12)/10,0)</f>
        <v>37512</v>
      </c>
    </row>
    <row r="108" spans="1:54" ht="15.75" thickBot="1" x14ac:dyDescent="0.3">
      <c r="A108" s="3">
        <f t="shared" ca="1" si="14"/>
        <v>44971</v>
      </c>
      <c r="B108" s="4" t="s">
        <v>52</v>
      </c>
      <c r="C108" s="4" t="s">
        <v>53</v>
      </c>
      <c r="D108" s="4" t="s">
        <v>54</v>
      </c>
      <c r="E108" s="4" t="s">
        <v>55</v>
      </c>
      <c r="F108" s="4">
        <f ca="1">ROUND(T_Facebook_Ads[[#This Row],[impressions]]*RANDBETWEEN(8,12)/10,0)</f>
        <v>39387</v>
      </c>
      <c r="G108" s="4">
        <v>1001</v>
      </c>
      <c r="H108" s="4">
        <f ca="1">T_Facebook_Ads[[#This Row],[spend]]*RANDBETWEEN(8,12)/10</f>
        <v>128.52000000000001</v>
      </c>
      <c r="I108" s="4">
        <f ca="1">ROUND(T_Facebook_Ads[[#This Row],[conversions]]*RANDBETWEEN(8,12)/10,0)</f>
        <v>16</v>
      </c>
      <c r="J108" s="4">
        <f ca="1">ROUND(T_Facebook_Ads[[#This Row],[video_views]]*RANDBETWEEN(8,12)/10,0)</f>
        <v>7210</v>
      </c>
      <c r="K108" s="4">
        <f ca="1">T_Facebook_Ads[[#This Row],[engagement_rate]]*RANDBETWEEN(8,12)/10</f>
        <v>2.0299999999999999E-2</v>
      </c>
      <c r="L108" s="4">
        <f ca="1">ROUND(T_Facebook_Ads[[#This Row],[reach]]*RANDBETWEEN(8,12)/10,0)</f>
        <v>37410</v>
      </c>
      <c r="M108" s="4">
        <f ca="1">T_Facebook_Ads[[#This Row],[frequency]]*RANDBETWEEN(8,12)/10</f>
        <v>1.2979999999999998</v>
      </c>
      <c r="O108" s="3">
        <f t="shared" ca="1" si="15"/>
        <v>44958</v>
      </c>
      <c r="P108" s="4" t="s">
        <v>76</v>
      </c>
      <c r="Q108" s="4" t="s">
        <v>77</v>
      </c>
      <c r="R108" s="4" t="s">
        <v>78</v>
      </c>
      <c r="S108" s="4" t="s">
        <v>79</v>
      </c>
      <c r="T108" s="4">
        <f ca="1">ROUND(_Google_ads[[#This Row],[impressions]]*RANDBETWEEN(8,12)/10,0)</f>
        <v>28002</v>
      </c>
      <c r="U108" s="4">
        <f ca="1">ROUND(_Google_ads[[#This Row],[clicks]]*RANDBETWEEN(8,12)/10,0)</f>
        <v>1067</v>
      </c>
      <c r="V108" s="4">
        <f ca="1">_Google_ads[[#This Row],[cost]]*RANDBETWEEN(8,12)/10</f>
        <v>280.06</v>
      </c>
      <c r="W108" s="4">
        <f ca="1">ROUND(_Google_ads[[#This Row],[conversions]]*RANDBETWEEN(8,12)/10,0)</f>
        <v>40</v>
      </c>
      <c r="X108" s="4">
        <f ca="1">ROUND(_Google_ads[[#This Row],[conversion_value]]*RANDBETWEEN(8,12)/10,0)</f>
        <v>2500</v>
      </c>
      <c r="Y108" s="4">
        <f ca="1">_Google_ads[[#This Row],[ctr]]*RANDBETWEEN(8,12)/10</f>
        <v>6.2880000000000005E-2</v>
      </c>
      <c r="Z108" s="4">
        <f ca="1">_Google_ads[[#This Row],[avg_cpc]]*RANDBETWEEN(8,12)/10</f>
        <v>0.17099999999999999</v>
      </c>
      <c r="AA108" s="4">
        <f ca="1">ROUND(_Google_ads[[#This Row],[quality_score]]*RANDBETWEEN(8,12)/10,0)</f>
        <v>9</v>
      </c>
      <c r="AB108" s="4">
        <f ca="1">_Google_ads[[#This Row],[search_impression_share]]*RANDBETWEEN(8,12)/10</f>
        <v>0.92000000000000015</v>
      </c>
      <c r="AD108" s="3">
        <f t="shared" ca="1" si="16"/>
        <v>44961</v>
      </c>
      <c r="AE108" s="4" t="s">
        <v>100</v>
      </c>
      <c r="AF108" s="4" t="s">
        <v>101</v>
      </c>
      <c r="AG108" s="4" t="s">
        <v>102</v>
      </c>
      <c r="AH108" s="4" t="s">
        <v>103</v>
      </c>
      <c r="AI108" s="4">
        <f ca="1">ROUND(T_Tiktok_ads[[#This Row],[impressions]]*RANDBETWEEN(8,12)/10,0)</f>
        <v>236542</v>
      </c>
      <c r="AJ108" s="4">
        <f ca="1">ROUND(T_Tiktok_ads[[#This Row],[clicks]]*RANDBETWEEN(8,12)/10,0)</f>
        <v>4780</v>
      </c>
      <c r="AK108" s="4">
        <v>573.20000000000005</v>
      </c>
      <c r="AL108" s="4">
        <f ca="1">ROUND(T_Tiktok_ads[[#This Row],[conversions]]*RANDBETWEEN(8,12)/10,0)</f>
        <v>44</v>
      </c>
      <c r="AM108" s="4">
        <f ca="1">ROUND(T_Tiktok_ads[[#This Row],[video_views]]*RANDBETWEEN(8,12)/10,0)</f>
        <v>217111</v>
      </c>
      <c r="AN108" s="4">
        <f ca="1">ROUND(T_Tiktok_ads[[#This Row],[video_watch_25]]*RANDBETWEEN(8,12)/10,0)</f>
        <v>207057</v>
      </c>
      <c r="AO108" s="4">
        <f ca="1">ROUND(T_Tiktok_ads[[#This Row],[video_watch_50]]*RANDBETWEEN(8,12)/10,0)</f>
        <v>94312</v>
      </c>
      <c r="AP108" s="4">
        <f ca="1">ROUND(T_Tiktok_ads[[#This Row],[video_watch_75]]*RANDBETWEEN(8,12)/10,0)</f>
        <v>95081</v>
      </c>
      <c r="AQ108" s="4">
        <f ca="1">ROUND(T_Tiktok_ads[[#This Row],[video_watch_100]]*RANDBETWEEN(8,12)/10,0)</f>
        <v>63347</v>
      </c>
      <c r="AR108" s="4">
        <f ca="1">ROUND(T_Tiktok_ads[[#This Row],[likes]]*RANDBETWEEN(8,12)/10,0)</f>
        <v>12680</v>
      </c>
      <c r="AS108" s="4">
        <f ca="1">ROUND(T_Tiktok_ads[[#This Row],[shares]]*RANDBETWEEN(8,12)/10,0)</f>
        <v>2570</v>
      </c>
      <c r="AT108" s="4">
        <f ca="1">ROUND(T_Tiktok_ads[[#This Row],[comments]]*RANDBETWEEN(8,12)/10,0)</f>
        <v>667</v>
      </c>
      <c r="AV108" s="5">
        <f t="shared" ca="1" si="17"/>
        <v>44974</v>
      </c>
      <c r="AW108">
        <f t="shared" ca="1" si="13"/>
        <v>6</v>
      </c>
      <c r="AX108">
        <f ca="1">ROUND(T_Facebook_Ads1159[[#This Row],[impressions]]*RANDBETWEEN(2,10)/10,0)</f>
        <v>11816</v>
      </c>
      <c r="AY108">
        <f ca="1">ROUND(T_Facebook_Ads1159[[#This Row],[clicks]]*RANDBETWEEN(8,12)/10,0)</f>
        <v>1001</v>
      </c>
      <c r="AZ108">
        <f ca="1">T_Facebook_Ads1159[[#This Row],[spend]]*RANDBETWEEN(8,12)/10</f>
        <v>141.37200000000001</v>
      </c>
      <c r="BA108">
        <f ca="1">ROUND(T_Facebook_Ads1159[[#This Row],[conversions]]*RANDBETWEEN(8,12)/10,0)</f>
        <v>16</v>
      </c>
      <c r="BB108">
        <f ca="1">ROUND(T_Facebook_Ads1159[[#This Row],[video_views]]*RANDBETWEEN(8,12)/10,0)</f>
        <v>7210</v>
      </c>
    </row>
    <row r="109" spans="1:54" ht="15.75" thickBot="1" x14ac:dyDescent="0.3">
      <c r="A109" s="3">
        <f t="shared" ca="1" si="14"/>
        <v>44968</v>
      </c>
      <c r="B109" s="4" t="s">
        <v>56</v>
      </c>
      <c r="C109" s="4" t="s">
        <v>57</v>
      </c>
      <c r="D109" s="4" t="s">
        <v>58</v>
      </c>
      <c r="E109" s="4" t="s">
        <v>59</v>
      </c>
      <c r="F109" s="4">
        <f ca="1">ROUND(T_Facebook_Ads[[#This Row],[impressions]]*RANDBETWEEN(8,12)/10,0)</f>
        <v>14123</v>
      </c>
      <c r="G109" s="4">
        <v>645</v>
      </c>
      <c r="H109" s="4">
        <f ca="1">T_Facebook_Ads[[#This Row],[spend]]*RANDBETWEEN(8,12)/10</f>
        <v>284.28000000000003</v>
      </c>
      <c r="I109" s="4">
        <f ca="1">ROUND(T_Facebook_Ads[[#This Row],[conversions]]*RANDBETWEEN(8,12)/10,0)</f>
        <v>45</v>
      </c>
      <c r="J109" s="4">
        <f ca="1">ROUND(T_Facebook_Ads[[#This Row],[video_views]]*RANDBETWEEN(8,12)/10,0)</f>
        <v>1565</v>
      </c>
      <c r="K109" s="4">
        <f ca="1">T_Facebook_Ads[[#This Row],[engagement_rate]]*RANDBETWEEN(8,12)/10</f>
        <v>5.484E-2</v>
      </c>
      <c r="L109" s="4">
        <f ca="1">ROUND(T_Facebook_Ads[[#This Row],[reach]]*RANDBETWEEN(8,12)/10,0)</f>
        <v>13348</v>
      </c>
      <c r="M109" s="4">
        <f ca="1">T_Facebook_Ads[[#This Row],[frequency]]*RANDBETWEEN(8,12)/10</f>
        <v>1.397</v>
      </c>
      <c r="O109" s="3">
        <f t="shared" ca="1" si="15"/>
        <v>44980</v>
      </c>
      <c r="P109" s="4" t="s">
        <v>80</v>
      </c>
      <c r="Q109" s="4" t="s">
        <v>81</v>
      </c>
      <c r="R109" s="4" t="s">
        <v>82</v>
      </c>
      <c r="S109" s="4" t="s">
        <v>83</v>
      </c>
      <c r="T109" s="4">
        <f ca="1">ROUND(_Google_ads[[#This Row],[impressions]]*RANDBETWEEN(8,12)/10,0)</f>
        <v>50479</v>
      </c>
      <c r="U109" s="4">
        <f ca="1">ROUND(_Google_ads[[#This Row],[clicks]]*RANDBETWEEN(8,12)/10,0)</f>
        <v>730</v>
      </c>
      <c r="V109" s="4">
        <f ca="1">_Google_ads[[#This Row],[cost]]*RANDBETWEEN(8,12)/10</f>
        <v>705.24</v>
      </c>
      <c r="W109" s="4">
        <f ca="1">ROUND(_Google_ads[[#This Row],[conversions]]*RANDBETWEEN(8,12)/10,0)</f>
        <v>26</v>
      </c>
      <c r="X109" s="4">
        <f ca="1">ROUND(_Google_ads[[#This Row],[conversion_value]]*RANDBETWEEN(8,12)/10,0)</f>
        <v>1320</v>
      </c>
      <c r="Y109" s="4">
        <f ca="1">_Google_ads[[#This Row],[ctr]]*RANDBETWEEN(8,12)/10</f>
        <v>1.592E-2</v>
      </c>
      <c r="Z109" s="4">
        <f ca="1">_Google_ads[[#This Row],[avg_cpc]]*RANDBETWEEN(8,12)/10</f>
        <v>0.57599999999999996</v>
      </c>
      <c r="AA109" s="4">
        <f ca="1">ROUND(_Google_ads[[#This Row],[quality_score]]*RANDBETWEEN(8,12)/10,0)</f>
        <v>8</v>
      </c>
      <c r="AB109" s="4">
        <f ca="1">_Google_ads[[#This Row],[search_impression_share]]*RANDBETWEEN(8,12)/10</f>
        <v>0.45</v>
      </c>
      <c r="AD109" s="3">
        <f t="shared" ca="1" si="16"/>
        <v>44961</v>
      </c>
      <c r="AE109" s="4" t="s">
        <v>104</v>
      </c>
      <c r="AF109" s="4" t="s">
        <v>105</v>
      </c>
      <c r="AG109" s="4" t="s">
        <v>106</v>
      </c>
      <c r="AH109" s="4" t="s">
        <v>107</v>
      </c>
      <c r="AI109" s="4">
        <f ca="1">ROUND(T_Tiktok_ads[[#This Row],[impressions]]*RANDBETWEEN(8,12)/10,0)</f>
        <v>177357</v>
      </c>
      <c r="AJ109" s="4">
        <f ca="1">ROUND(T_Tiktok_ads[[#This Row],[clicks]]*RANDBETWEEN(8,12)/10,0)</f>
        <v>2471</v>
      </c>
      <c r="AK109" s="4">
        <v>823.7</v>
      </c>
      <c r="AL109" s="4">
        <f ca="1">ROUND(T_Tiktok_ads[[#This Row],[conversions]]*RANDBETWEEN(8,12)/10,0)</f>
        <v>83</v>
      </c>
      <c r="AM109" s="4">
        <f ca="1">ROUND(T_Tiktok_ads[[#This Row],[video_views]]*RANDBETWEEN(8,12)/10,0)</f>
        <v>136147</v>
      </c>
      <c r="AN109" s="4">
        <f ca="1">ROUND(T_Tiktok_ads[[#This Row],[video_watch_25]]*RANDBETWEEN(8,12)/10,0)</f>
        <v>100280</v>
      </c>
      <c r="AO109" s="4">
        <f ca="1">ROUND(T_Tiktok_ads[[#This Row],[video_watch_50]]*RANDBETWEEN(8,12)/10,0)</f>
        <v>67481</v>
      </c>
      <c r="AP109" s="4">
        <f ca="1">ROUND(T_Tiktok_ads[[#This Row],[video_watch_75]]*RANDBETWEEN(8,12)/10,0)</f>
        <v>42345</v>
      </c>
      <c r="AQ109" s="4">
        <f ca="1">ROUND(T_Tiktok_ads[[#This Row],[video_watch_100]]*RANDBETWEEN(8,12)/10,0)</f>
        <v>33881</v>
      </c>
      <c r="AR109" s="4">
        <f ca="1">ROUND(T_Tiktok_ads[[#This Row],[likes]]*RANDBETWEEN(8,12)/10,0)</f>
        <v>6628</v>
      </c>
      <c r="AS109" s="4">
        <f ca="1">ROUND(T_Tiktok_ads[[#This Row],[shares]]*RANDBETWEEN(8,12)/10,0)</f>
        <v>1748</v>
      </c>
      <c r="AT109" s="4">
        <f ca="1">ROUND(T_Tiktok_ads[[#This Row],[comments]]*RANDBETWEEN(8,12)/10,0)</f>
        <v>331</v>
      </c>
      <c r="AV109" s="5">
        <f t="shared" ca="1" si="17"/>
        <v>44958</v>
      </c>
      <c r="AW109">
        <f t="shared" ca="1" si="13"/>
        <v>5</v>
      </c>
      <c r="AX109">
        <f ca="1">ROUND(T_Facebook_Ads1159[[#This Row],[impressions]]*RANDBETWEEN(2,10)/10,0)</f>
        <v>4237</v>
      </c>
      <c r="AY109">
        <f ca="1">ROUND(T_Facebook_Ads1159[[#This Row],[clicks]]*RANDBETWEEN(8,12)/10,0)</f>
        <v>710</v>
      </c>
      <c r="AZ109">
        <f ca="1">T_Facebook_Ads1159[[#This Row],[spend]]*RANDBETWEEN(8,12)/10</f>
        <v>227.42400000000004</v>
      </c>
      <c r="BA109">
        <f ca="1">ROUND(T_Facebook_Ads1159[[#This Row],[conversions]]*RANDBETWEEN(8,12)/10,0)</f>
        <v>36</v>
      </c>
      <c r="BB109">
        <f ca="1">ROUND(T_Facebook_Ads1159[[#This Row],[video_views]]*RANDBETWEEN(8,12)/10,0)</f>
        <v>1878</v>
      </c>
    </row>
    <row r="110" spans="1:54" ht="15.75" thickBot="1" x14ac:dyDescent="0.3">
      <c r="A110" s="3">
        <f t="shared" ca="1" si="14"/>
        <v>44979</v>
      </c>
      <c r="B110" s="4" t="s">
        <v>60</v>
      </c>
      <c r="C110" s="4" t="s">
        <v>61</v>
      </c>
      <c r="D110" s="4" t="s">
        <v>62</v>
      </c>
      <c r="E110" s="4" t="s">
        <v>63</v>
      </c>
      <c r="F110" s="4">
        <f ca="1">ROUND(T_Facebook_Ads[[#This Row],[impressions]]*RANDBETWEEN(8,12)/10,0)</f>
        <v>41679</v>
      </c>
      <c r="G110" s="4">
        <v>1412</v>
      </c>
      <c r="H110" s="4">
        <f ca="1">T_Facebook_Ads[[#This Row],[spend]]*RANDBETWEEN(8,12)/10</f>
        <v>173.2</v>
      </c>
      <c r="I110" s="4">
        <f ca="1">ROUND(T_Facebook_Ads[[#This Row],[conversions]]*RANDBETWEEN(8,12)/10,0)</f>
        <v>36</v>
      </c>
      <c r="J110" s="4">
        <f ca="1">ROUND(T_Facebook_Ads[[#This Row],[video_views]]*RANDBETWEEN(8,12)/10,0)</f>
        <v>5947</v>
      </c>
      <c r="K110" s="4">
        <f ca="1">T_Facebook_Ads[[#This Row],[engagement_rate]]*RANDBETWEEN(8,12)/10</f>
        <v>4.4760000000000001E-2</v>
      </c>
      <c r="L110" s="4">
        <f ca="1">ROUND(T_Facebook_Ads[[#This Row],[reach]]*RANDBETWEEN(8,12)/10,0)</f>
        <v>33979</v>
      </c>
      <c r="M110" s="4">
        <f ca="1">T_Facebook_Ads[[#This Row],[frequency]]*RANDBETWEEN(8,12)/10</f>
        <v>1.476</v>
      </c>
      <c r="O110" s="3">
        <f t="shared" ca="1" si="15"/>
        <v>44971</v>
      </c>
      <c r="P110" s="4" t="s">
        <v>84</v>
      </c>
      <c r="Q110" s="4" t="s">
        <v>85</v>
      </c>
      <c r="R110" s="4" t="s">
        <v>86</v>
      </c>
      <c r="S110" s="4" t="s">
        <v>87</v>
      </c>
      <c r="T110" s="4">
        <f ca="1">ROUND(_Google_ads[[#This Row],[impressions]]*RANDBETWEEN(8,12)/10,0)</f>
        <v>56187</v>
      </c>
      <c r="U110" s="4">
        <f ca="1">ROUND(_Google_ads[[#This Row],[clicks]]*RANDBETWEEN(8,12)/10,0)</f>
        <v>2130</v>
      </c>
      <c r="V110" s="4">
        <f ca="1">_Google_ads[[#This Row],[cost]]*RANDBETWEEN(8,12)/10</f>
        <v>518.5200000000001</v>
      </c>
      <c r="W110" s="4">
        <f ca="1">ROUND(_Google_ads[[#This Row],[conversions]]*RANDBETWEEN(8,12)/10,0)</f>
        <v>61</v>
      </c>
      <c r="X110" s="4">
        <f ca="1">ROUND(_Google_ads[[#This Row],[conversion_value]]*RANDBETWEEN(8,12)/10,0)</f>
        <v>3740</v>
      </c>
      <c r="Y110" s="4">
        <f ca="1">_Google_ads[[#This Row],[ctr]]*RANDBETWEEN(8,12)/10</f>
        <v>3.7070000000000006E-2</v>
      </c>
      <c r="Z110" s="4">
        <f ca="1">_Google_ads[[#This Row],[avg_cpc]]*RANDBETWEEN(8,12)/10</f>
        <v>0.19800000000000001</v>
      </c>
      <c r="AA110" s="4">
        <f ca="1">ROUND(_Google_ads[[#This Row],[quality_score]]*RANDBETWEEN(8,12)/10,0)</f>
        <v>9</v>
      </c>
      <c r="AB110" s="4">
        <f ca="1">_Google_ads[[#This Row],[search_impression_share]]*RANDBETWEEN(8,12)/10</f>
        <v>0.67</v>
      </c>
      <c r="AD110" s="3">
        <f t="shared" ca="1" si="16"/>
        <v>44969</v>
      </c>
      <c r="AE110" s="4" t="s">
        <v>108</v>
      </c>
      <c r="AF110" s="4" t="s">
        <v>109</v>
      </c>
      <c r="AG110" s="4" t="s">
        <v>110</v>
      </c>
      <c r="AH110" s="4" t="s">
        <v>111</v>
      </c>
      <c r="AI110" s="4">
        <f ca="1">ROUND(T_Tiktok_ads[[#This Row],[impressions]]*RANDBETWEEN(8,12)/10,0)</f>
        <v>276357</v>
      </c>
      <c r="AJ110" s="4">
        <f ca="1">ROUND(T_Tiktok_ads[[#This Row],[clicks]]*RANDBETWEEN(8,12)/10,0)</f>
        <v>4364</v>
      </c>
      <c r="AK110" s="4">
        <v>481.5</v>
      </c>
      <c r="AL110" s="4">
        <f ca="1">ROUND(T_Tiktok_ads[[#This Row],[conversions]]*RANDBETWEEN(8,12)/10,0)</f>
        <v>28</v>
      </c>
      <c r="AM110" s="4">
        <f ca="1">ROUND(T_Tiktok_ads[[#This Row],[video_views]]*RANDBETWEEN(8,12)/10,0)</f>
        <v>238681</v>
      </c>
      <c r="AN110" s="4">
        <f ca="1">ROUND(T_Tiktok_ads[[#This Row],[video_watch_25]]*RANDBETWEEN(8,12)/10,0)</f>
        <v>120454</v>
      </c>
      <c r="AO110" s="4">
        <f ca="1">ROUND(T_Tiktok_ads[[#This Row],[video_watch_50]]*RANDBETWEEN(8,12)/10,0)</f>
        <v>131157</v>
      </c>
      <c r="AP110" s="4">
        <f ca="1">ROUND(T_Tiktok_ads[[#This Row],[video_watch_75]]*RANDBETWEEN(8,12)/10,0)</f>
        <v>84579</v>
      </c>
      <c r="AQ110" s="4">
        <f ca="1">ROUND(T_Tiktok_ads[[#This Row],[video_watch_100]]*RANDBETWEEN(8,12)/10,0)</f>
        <v>55880</v>
      </c>
      <c r="AR110" s="4">
        <f ca="1">ROUND(T_Tiktok_ads[[#This Row],[likes]]*RANDBETWEEN(8,12)/10,0)</f>
        <v>6942</v>
      </c>
      <c r="AS110" s="4">
        <f ca="1">ROUND(T_Tiktok_ads[[#This Row],[shares]]*RANDBETWEEN(8,12)/10,0)</f>
        <v>1902</v>
      </c>
      <c r="AT110" s="4">
        <f ca="1">ROUND(T_Tiktok_ads[[#This Row],[comments]]*RANDBETWEEN(8,12)/10,0)</f>
        <v>612</v>
      </c>
      <c r="AV110" s="5">
        <f t="shared" ca="1" si="17"/>
        <v>44976</v>
      </c>
      <c r="AW110">
        <f t="shared" ca="1" si="13"/>
        <v>7</v>
      </c>
      <c r="AX110">
        <f ca="1">ROUND(T_Facebook_Ads1159[[#This Row],[impressions]]*RANDBETWEEN(2,10)/10,0)</f>
        <v>16672</v>
      </c>
      <c r="AY110">
        <f ca="1">ROUND(T_Facebook_Ads1159[[#This Row],[clicks]]*RANDBETWEEN(8,12)/10,0)</f>
        <v>1412</v>
      </c>
      <c r="AZ110">
        <f ca="1">T_Facebook_Ads1159[[#This Row],[spend]]*RANDBETWEEN(8,12)/10</f>
        <v>207.83999999999997</v>
      </c>
      <c r="BA110">
        <f ca="1">ROUND(T_Facebook_Ads1159[[#This Row],[conversions]]*RANDBETWEEN(8,12)/10,0)</f>
        <v>43</v>
      </c>
      <c r="BB110">
        <f ca="1">ROUND(T_Facebook_Ads1159[[#This Row],[video_views]]*RANDBETWEEN(8,12)/10,0)</f>
        <v>4758</v>
      </c>
    </row>
    <row r="111" spans="1:54" x14ac:dyDescent="0.25">
      <c r="A111" s="3">
        <f t="shared" ca="1" si="14"/>
        <v>44972</v>
      </c>
      <c r="B111" s="4" t="s">
        <v>64</v>
      </c>
      <c r="C111" s="4" t="s">
        <v>65</v>
      </c>
      <c r="D111" s="4" t="s">
        <v>66</v>
      </c>
      <c r="E111" s="4" t="s">
        <v>67</v>
      </c>
      <c r="F111" s="4">
        <f ca="1">ROUND(T_Facebook_Ads[[#This Row],[impressions]]*RANDBETWEEN(8,12)/10,0)</f>
        <v>72123</v>
      </c>
      <c r="G111" s="4">
        <v>261</v>
      </c>
      <c r="H111" s="4">
        <f ca="1">T_Facebook_Ads[[#This Row],[spend]]*RANDBETWEEN(8,12)/10</f>
        <v>91.3</v>
      </c>
      <c r="I111" s="4">
        <f ca="1">ROUND(T_Facebook_Ads[[#This Row],[conversions]]*RANDBETWEEN(8,12)/10,0)</f>
        <v>7</v>
      </c>
      <c r="J111" s="4">
        <f ca="1">ROUND(T_Facebook_Ads[[#This Row],[video_views]]*RANDBETWEEN(8,12)/10,0)</f>
        <v>58280</v>
      </c>
      <c r="K111" s="4">
        <f ca="1">T_Facebook_Ads[[#This Row],[engagement_rate]]*RANDBETWEEN(8,12)/10</f>
        <v>4.3200000000000001E-3</v>
      </c>
      <c r="L111" s="4">
        <f ca="1">ROUND(T_Facebook_Ads[[#This Row],[reach]]*RANDBETWEEN(8,12)/10,0)</f>
        <v>58890</v>
      </c>
      <c r="M111" s="4">
        <f ca="1">T_Facebook_Ads[[#This Row],[frequency]]*RANDBETWEEN(8,12)/10</f>
        <v>1.464</v>
      </c>
      <c r="O111" s="3">
        <f t="shared" ca="1" si="15"/>
        <v>44968</v>
      </c>
      <c r="P111" s="4" t="s">
        <v>88</v>
      </c>
      <c r="Q111" s="4" t="s">
        <v>89</v>
      </c>
      <c r="R111" s="4" t="s">
        <v>90</v>
      </c>
      <c r="S111" s="4" t="s">
        <v>59</v>
      </c>
      <c r="T111" s="4">
        <f ca="1">ROUND(_Google_ads[[#This Row],[impressions]]*RANDBETWEEN(8,12)/10,0)</f>
        <v>106765</v>
      </c>
      <c r="U111" s="4">
        <f ca="1">ROUND(_Google_ads[[#This Row],[clicks]]*RANDBETWEEN(8,12)/10,0)</f>
        <v>430</v>
      </c>
      <c r="V111" s="4">
        <f ca="1">_Google_ads[[#This Row],[cost]]*RANDBETWEEN(8,12)/10</f>
        <v>104.96</v>
      </c>
      <c r="W111" s="4">
        <f ca="1">ROUND(_Google_ads[[#This Row],[conversions]]*RANDBETWEEN(8,12)/10,0)</f>
        <v>17</v>
      </c>
      <c r="X111" s="4">
        <f ca="1">ROUND(_Google_ads[[#This Row],[conversion_value]]*RANDBETWEEN(8,12)/10,0)</f>
        <v>700</v>
      </c>
      <c r="Y111" s="4">
        <f ca="1">_Google_ads[[#This Row],[ctr]]*RANDBETWEEN(8,12)/10</f>
        <v>3.5999999999999999E-3</v>
      </c>
      <c r="Z111" s="4">
        <f ca="1">_Google_ads[[#This Row],[avg_cpc]]*RANDBETWEEN(8,12)/10</f>
        <v>0.24300000000000002</v>
      </c>
      <c r="AA111" s="4">
        <f ca="1">ROUND(_Google_ads[[#This Row],[quality_score]]*RANDBETWEEN(8,12)/10,0)</f>
        <v>6</v>
      </c>
      <c r="AB111" s="4">
        <f ca="1">_Google_ads[[#This Row],[search_impression_share]]*RANDBETWEEN(8,12)/10</f>
        <v>0.315</v>
      </c>
      <c r="AD111" s="3">
        <f t="shared" ca="1" si="16"/>
        <v>44981</v>
      </c>
      <c r="AE111" s="4" t="s">
        <v>112</v>
      </c>
      <c r="AF111" s="4" t="s">
        <v>113</v>
      </c>
      <c r="AG111" s="4" t="s">
        <v>114</v>
      </c>
      <c r="AH111" s="4" t="s">
        <v>115</v>
      </c>
      <c r="AI111" s="4">
        <f ca="1">ROUND(T_Tiktok_ads[[#This Row],[impressions]]*RANDBETWEEN(8,12)/10,0)</f>
        <v>478024</v>
      </c>
      <c r="AJ111" s="4">
        <f ca="1">ROUND(T_Tiktok_ads[[#This Row],[clicks]]*RANDBETWEEN(8,12)/10,0)</f>
        <v>7713</v>
      </c>
      <c r="AK111" s="4">
        <v>1089.3</v>
      </c>
      <c r="AL111" s="4">
        <f ca="1">ROUND(T_Tiktok_ads[[#This Row],[conversions]]*RANDBETWEEN(8,12)/10,0)</f>
        <v>109</v>
      </c>
      <c r="AM111" s="4">
        <f ca="1">ROUND(T_Tiktok_ads[[#This Row],[video_views]]*RANDBETWEEN(8,12)/10,0)</f>
        <v>294312</v>
      </c>
      <c r="AN111" s="4">
        <f ca="1">ROUND(T_Tiktok_ads[[#This Row],[video_watch_25]]*RANDBETWEEN(8,12)/10,0)</f>
        <v>355481</v>
      </c>
      <c r="AO111" s="4">
        <f ca="1">ROUND(T_Tiktok_ads[[#This Row],[video_watch_50]]*RANDBETWEEN(8,12)/10,0)</f>
        <v>190312</v>
      </c>
      <c r="AP111" s="4">
        <f ca="1">ROUND(T_Tiktok_ads[[#This Row],[video_watch_75]]*RANDBETWEEN(8,12)/10,0)</f>
        <v>168234</v>
      </c>
      <c r="AQ111" s="4">
        <f ca="1">ROUND(T_Tiktok_ads[[#This Row],[video_watch_100]]*RANDBETWEEN(8,12)/10,0)</f>
        <v>111234</v>
      </c>
      <c r="AR111" s="4">
        <f ca="1">ROUND(T_Tiktok_ads[[#This Row],[likes]]*RANDBETWEEN(8,12)/10,0)</f>
        <v>23081</v>
      </c>
      <c r="AS111" s="4">
        <f ca="1">ROUND(T_Tiktok_ads[[#This Row],[shares]]*RANDBETWEEN(8,12)/10,0)</f>
        <v>5534</v>
      </c>
      <c r="AT111" s="4">
        <f ca="1">ROUND(T_Tiktok_ads[[#This Row],[comments]]*RANDBETWEEN(8,12)/10,0)</f>
        <v>1218</v>
      </c>
      <c r="AV111" s="5">
        <f t="shared" ca="1" si="17"/>
        <v>44978</v>
      </c>
      <c r="AW111">
        <f t="shared" ca="1" si="13"/>
        <v>7</v>
      </c>
      <c r="AX111">
        <f ca="1">ROUND(T_Facebook_Ads1159[[#This Row],[impressions]]*RANDBETWEEN(2,10)/10,0)</f>
        <v>36062</v>
      </c>
      <c r="AY111">
        <f ca="1">ROUND(T_Facebook_Ads1159[[#This Row],[clicks]]*RANDBETWEEN(8,12)/10,0)</f>
        <v>209</v>
      </c>
      <c r="AZ111">
        <f ca="1">T_Facebook_Ads1159[[#This Row],[spend]]*RANDBETWEEN(8,12)/10</f>
        <v>109.55999999999999</v>
      </c>
      <c r="BA111">
        <f ca="1">ROUND(T_Facebook_Ads1159[[#This Row],[conversions]]*RANDBETWEEN(8,12)/10,0)</f>
        <v>6</v>
      </c>
      <c r="BB111">
        <f ca="1">ROUND(T_Facebook_Ads1159[[#This Row],[video_views]]*RANDBETWEEN(8,12)/10,0)</f>
        <v>52452</v>
      </c>
    </row>
  </sheetData>
  <pageMargins left="0.7" right="0.7" top="0.75" bottom="0.75" header="0.3" footer="0.3"/>
  <pageSetup orientation="portrait" r:id="rId1"/>
  <tableParts count="4">
    <tablePart r:id="rId2"/>
    <tablePart r:id="rId3"/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A703B-5D61-4033-B14B-E2E1857B44DF}">
  <dimension ref="A1:BB111"/>
  <sheetViews>
    <sheetView topLeftCell="AI1" workbookViewId="0">
      <selection activeCell="AY3" sqref="AY3"/>
    </sheetView>
  </sheetViews>
  <sheetFormatPr baseColWidth="10" defaultRowHeight="15" x14ac:dyDescent="0.25"/>
  <cols>
    <col min="2" max="2" width="14.42578125" customWidth="1"/>
    <col min="3" max="3" width="19.85546875" bestFit="1" customWidth="1"/>
    <col min="5" max="5" width="18.28515625" bestFit="1" customWidth="1"/>
    <col min="6" max="6" width="13.7109375" customWidth="1"/>
    <col min="9" max="10" width="13.7109375" customWidth="1"/>
    <col min="11" max="11" width="18.42578125" customWidth="1"/>
    <col min="13" max="13" width="12" customWidth="1"/>
    <col min="16" max="16" width="14.42578125" customWidth="1"/>
    <col min="17" max="17" width="18.5703125" bestFit="1" customWidth="1"/>
    <col min="18" max="18" width="14" customWidth="1"/>
    <col min="19" max="19" width="17.140625" customWidth="1"/>
    <col min="20" max="20" width="13.7109375" customWidth="1"/>
    <col min="21" max="21" width="8.140625" customWidth="1"/>
    <col min="22" max="22" width="6.85546875" customWidth="1"/>
    <col min="23" max="23" width="13.7109375" customWidth="1"/>
    <col min="24" max="24" width="18.42578125" customWidth="1"/>
    <col min="25" max="25" width="6.140625" bestFit="1" customWidth="1"/>
    <col min="26" max="26" width="10.28515625" customWidth="1"/>
    <col min="27" max="27" width="14.85546875" customWidth="1"/>
    <col min="28" max="28" width="25" customWidth="1"/>
    <col min="29" max="29" width="6.85546875" customWidth="1"/>
    <col min="30" max="30" width="8.42578125" bestFit="1" customWidth="1"/>
    <col min="31" max="31" width="14.42578125" customWidth="1"/>
    <col min="32" max="32" width="17.5703125" customWidth="1"/>
    <col min="33" max="33" width="13.140625" customWidth="1"/>
    <col min="34" max="34" width="16.28515625" customWidth="1"/>
    <col min="35" max="35" width="13.7109375" customWidth="1"/>
    <col min="36" max="36" width="8.140625" customWidth="1"/>
    <col min="37" max="37" width="6.85546875" customWidth="1"/>
    <col min="38" max="39" width="13.7109375" customWidth="1"/>
    <col min="40" max="42" width="17" customWidth="1"/>
    <col min="43" max="43" width="18" customWidth="1"/>
    <col min="44" max="44" width="7.140625" customWidth="1"/>
    <col min="45" max="45" width="8.7109375" customWidth="1"/>
    <col min="46" max="46" width="12.42578125" customWidth="1"/>
    <col min="49" max="49" width="14.28515625" customWidth="1"/>
    <col min="50" max="50" width="13.85546875" customWidth="1"/>
    <col min="53" max="53" width="13.7109375" customWidth="1"/>
    <col min="54" max="54" width="14.28515625" customWidth="1"/>
  </cols>
  <sheetData>
    <row r="1" spans="1:54" ht="15.75" thickBot="1" x14ac:dyDescent="0.3">
      <c r="A1" s="2" t="s">
        <v>39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  <c r="O1" s="2" t="s">
        <v>39</v>
      </c>
      <c r="P1" s="1" t="s">
        <v>40</v>
      </c>
      <c r="Q1" s="1" t="s">
        <v>41</v>
      </c>
      <c r="R1" s="1" t="s">
        <v>68</v>
      </c>
      <c r="S1" s="1" t="s">
        <v>69</v>
      </c>
      <c r="T1" s="1" t="s">
        <v>44</v>
      </c>
      <c r="U1" s="1" t="s">
        <v>45</v>
      </c>
      <c r="V1" s="1" t="s">
        <v>70</v>
      </c>
      <c r="W1" s="1" t="s">
        <v>47</v>
      </c>
      <c r="X1" s="1" t="s">
        <v>71</v>
      </c>
      <c r="Y1" s="1" t="s">
        <v>72</v>
      </c>
      <c r="Z1" s="1" t="s">
        <v>73</v>
      </c>
      <c r="AA1" s="1" t="s">
        <v>74</v>
      </c>
      <c r="AB1" s="1" t="s">
        <v>75</v>
      </c>
      <c r="AD1" s="2" t="s">
        <v>39</v>
      </c>
      <c r="AE1" s="1" t="s">
        <v>40</v>
      </c>
      <c r="AF1" s="1" t="s">
        <v>41</v>
      </c>
      <c r="AG1" s="1" t="s">
        <v>91</v>
      </c>
      <c r="AH1" s="1" t="s">
        <v>92</v>
      </c>
      <c r="AI1" s="1" t="s">
        <v>44</v>
      </c>
      <c r="AJ1" s="1" t="s">
        <v>45</v>
      </c>
      <c r="AK1" s="1" t="s">
        <v>70</v>
      </c>
      <c r="AL1" s="1" t="s">
        <v>47</v>
      </c>
      <c r="AM1" s="1" t="s">
        <v>48</v>
      </c>
      <c r="AN1" s="1" t="s">
        <v>93</v>
      </c>
      <c r="AO1" s="1" t="s">
        <v>94</v>
      </c>
      <c r="AP1" s="1" t="s">
        <v>95</v>
      </c>
      <c r="AQ1" s="1" t="s">
        <v>96</v>
      </c>
      <c r="AR1" s="1" t="s">
        <v>97</v>
      </c>
      <c r="AS1" s="1" t="s">
        <v>98</v>
      </c>
      <c r="AT1" s="1" t="s">
        <v>99</v>
      </c>
      <c r="AV1" t="s">
        <v>39</v>
      </c>
      <c r="AW1" t="s">
        <v>40</v>
      </c>
      <c r="AX1" t="s">
        <v>44</v>
      </c>
      <c r="AY1" t="s">
        <v>45</v>
      </c>
      <c r="AZ1" t="s">
        <v>46</v>
      </c>
      <c r="BA1" t="s">
        <v>47</v>
      </c>
      <c r="BB1" t="s">
        <v>48</v>
      </c>
    </row>
    <row r="2" spans="1:54" ht="15.75" thickBot="1" x14ac:dyDescent="0.3">
      <c r="A2" s="3">
        <f t="shared" ref="A2:A33" ca="1" si="0">DATE(2023,3,RANDBETWEEN(1,31))</f>
        <v>44989</v>
      </c>
      <c r="B2" s="4" t="s">
        <v>52</v>
      </c>
      <c r="C2" s="4" t="s">
        <v>53</v>
      </c>
      <c r="D2" s="4" t="s">
        <v>54</v>
      </c>
      <c r="E2" s="4" t="s">
        <v>55</v>
      </c>
      <c r="F2" s="4">
        <f ca="1">ROUND(T_Facebook_Ads[[#This Row],[impressions]]*RANDBETWEEN(8,12)/10,0)</f>
        <v>41061</v>
      </c>
      <c r="G2" s="4">
        <f ca="1">ROUND(T_Facebook_Ads[[#This Row],[clicks]]*RANDBETWEEN(8,12)/10,0)</f>
        <v>803</v>
      </c>
      <c r="H2" s="4">
        <f ca="1">T_Facebook_Ads[[#This Row],[spend]]*RANDBETWEEN(8,12)/10</f>
        <v>114.75</v>
      </c>
      <c r="I2" s="4">
        <f ca="1">ROUND(T_Facebook_Ads[[#This Row],[conversions]]*RANDBETWEEN(8,12)/10,0)</f>
        <v>11</v>
      </c>
      <c r="J2" s="4">
        <f ca="1">ROUND(T_Facebook_Ads[[#This Row],[video_views]]*RANDBETWEEN(8,12)/10,0)</f>
        <v>7411</v>
      </c>
      <c r="K2" s="4">
        <f ca="1">T_Facebook_Ads[[#This Row],[engagement_rate]]*RANDBETWEEN(8,12)/10</f>
        <v>1.95E-2</v>
      </c>
      <c r="L2" s="4">
        <f ca="1">ROUND(T_Facebook_Ads[[#This Row],[reach]]*RANDBETWEEN(8,12)/10,0)</f>
        <v>30587</v>
      </c>
      <c r="M2" s="4">
        <f ca="1">T_Facebook_Ads[[#This Row],[frequency]]*RANDBETWEEN(8,12)/10</f>
        <v>1.4279999999999999</v>
      </c>
      <c r="O2" s="3">
        <f t="shared" ref="O2:O33" ca="1" si="1">DATE(2023,3,RANDBETWEEN(1,31))</f>
        <v>45001</v>
      </c>
      <c r="P2" s="4" t="s">
        <v>76</v>
      </c>
      <c r="Q2" s="4" t="s">
        <v>77</v>
      </c>
      <c r="R2" s="4" t="s">
        <v>78</v>
      </c>
      <c r="S2" s="4" t="s">
        <v>79</v>
      </c>
      <c r="T2" s="4">
        <f ca="1">ROUND(_Google_ads[[#This Row],[impressions]]*RANDBETWEEN(8,12)/10,0)</f>
        <v>23456</v>
      </c>
      <c r="U2" s="4">
        <f ca="1">ROUND(_Google_ads[[#This Row],[clicks]]*RANDBETWEEN(8,12)/10,0)</f>
        <v>1481</v>
      </c>
      <c r="V2" s="4">
        <f ca="1">_Google_ads[[#This Row],[cost]]*RANDBETWEEN(8,12)/10</f>
        <v>187.6</v>
      </c>
      <c r="W2" s="4">
        <f ca="1">ROUND(_Google_ads[[#This Row],[conversions]]*RANDBETWEEN(8,12)/10,0)</f>
        <v>50</v>
      </c>
      <c r="X2" s="4">
        <f ca="1">ROUND(_Google_ads[[#This Row],[conversion_value]]*RANDBETWEEN(8,12)/10,0)</f>
        <v>2250</v>
      </c>
      <c r="Y2" s="4">
        <f ca="1">_Google_ads[[#This Row],[ctr]]*RANDBETWEEN(8,12)/10</f>
        <v>4.734E-2</v>
      </c>
      <c r="Z2" s="4">
        <f ca="1">_Google_ads[[#This Row],[avg_cpc]]*RANDBETWEEN(8,12)/10</f>
        <v>0.152</v>
      </c>
      <c r="AA2" s="4">
        <f ca="1">ROUND(_Google_ads[[#This Row],[quality_score]]*RANDBETWEEN(8,12)/10,0)</f>
        <v>9</v>
      </c>
      <c r="AB2" s="4">
        <f ca="1">_Google_ads[[#This Row],[search_impression_share]]*RANDBETWEEN(8,12)/10</f>
        <v>0.92000000000000015</v>
      </c>
      <c r="AD2" s="3">
        <f t="shared" ref="AD2:AD33" ca="1" si="2">DATE(2023,3,RANDBETWEEN(1,31))</f>
        <v>44989</v>
      </c>
      <c r="AE2" s="4" t="s">
        <v>100</v>
      </c>
      <c r="AF2" s="4" t="s">
        <v>101</v>
      </c>
      <c r="AG2" s="4" t="s">
        <v>102</v>
      </c>
      <c r="AH2" s="4" t="s">
        <v>103</v>
      </c>
      <c r="AI2" s="4">
        <f ca="1">ROUND(T_Tiktok_ads[[#This Row],[impressions]]*RANDBETWEEN(8,12)/10,0)</f>
        <v>211110</v>
      </c>
      <c r="AJ2" s="4">
        <f ca="1">ROUND(T_Tiktok_ads[[#This Row],[clicks]]*RANDBETWEEN(8,12)/10,0)</f>
        <v>3802</v>
      </c>
      <c r="AK2" s="4">
        <f ca="1">T_Tiktok_ads[[#This Row],[cost]]*RANDBETWEEN(8,12)/10</f>
        <v>456.7</v>
      </c>
      <c r="AL2" s="4">
        <f ca="1">ROUND(T_Tiktok_ads[[#This Row],[conversions]]*RANDBETWEEN(8,12)/10,0)</f>
        <v>31</v>
      </c>
      <c r="AM2" s="4">
        <f ca="1">ROUND(T_Tiktok_ads[[#This Row],[video_views]]*RANDBETWEEN(8,12)/10,0)</f>
        <v>158587</v>
      </c>
      <c r="AN2" s="4">
        <f ca="1">ROUND(T_Tiktok_ads[[#This Row],[video_watch_25]]*RANDBETWEEN(8,12)/10,0)</f>
        <v>171857</v>
      </c>
      <c r="AO2" s="4">
        <f ca="1">ROUND(T_Tiktok_ads[[#This Row],[video_watch_50]]*RANDBETWEEN(8,12)/10,0)</f>
        <v>78587</v>
      </c>
      <c r="AP2" s="4">
        <f ca="1">ROUND(T_Tiktok_ads[[#This Row],[video_watch_75]]*RANDBETWEEN(8,12)/10,0)</f>
        <v>80681</v>
      </c>
      <c r="AQ2" s="4">
        <f ca="1">ROUND(T_Tiktok_ads[[#This Row],[video_watch_100]]*RANDBETWEEN(8,12)/10,0)</f>
        <v>49757</v>
      </c>
      <c r="AR2" s="4">
        <f ca="1">ROUND(T_Tiktok_ads[[#This Row],[likes]]*RANDBETWEEN(8,12)/10,0)</f>
        <v>8923</v>
      </c>
      <c r="AS2" s="4">
        <f ca="1">ROUND(T_Tiktok_ads[[#This Row],[shares]]*RANDBETWEEN(8,12)/10,0)</f>
        <v>2111</v>
      </c>
      <c r="AT2" s="4">
        <f ca="1">ROUND(T_Tiktok_ads[[#This Row],[comments]]*RANDBETWEEN(8,12)/10,0)</f>
        <v>624</v>
      </c>
      <c r="AV2" s="3">
        <f t="shared" ref="AV2:AV33" ca="1" si="3">DATE(2023,3,RANDBETWEEN(1,31))</f>
        <v>44989</v>
      </c>
      <c r="AW2">
        <f ca="1">RANDBETWEEN(1,8)</f>
        <v>1</v>
      </c>
      <c r="AX2">
        <f ca="1">ROUND(T_Facebook_Ads115963[[#This Row],[impressions]]*RANDBETWEEN(8,12)/10,0)</f>
        <v>36955</v>
      </c>
      <c r="AY2">
        <f ca="1">ROUND(T_Facebook_Ads115963[[#This Row],[clicks]]*RANDBETWEEN(8,12)/10,0)</f>
        <v>642</v>
      </c>
      <c r="AZ2">
        <f ca="1">T_Facebook_Ads115963[[#This Row],[spend]]*RANDBETWEEN(8,12)/10</f>
        <v>137.69999999999999</v>
      </c>
      <c r="BA2">
        <f ca="1">ROUND(T_Facebook_Ads115963[[#This Row],[conversions]]*RANDBETWEEN(8,12)/10,0)</f>
        <v>9</v>
      </c>
      <c r="BB2">
        <f ca="1">ROUND(T_Facebook_Ads115963[[#This Row],[video_views]]*RANDBETWEEN(8,12)/10,0)</f>
        <v>7411</v>
      </c>
    </row>
    <row r="3" spans="1:54" ht="15.75" thickBot="1" x14ac:dyDescent="0.3">
      <c r="A3" s="3">
        <f t="shared" ca="1" si="0"/>
        <v>45002</v>
      </c>
      <c r="B3" s="4" t="s">
        <v>56</v>
      </c>
      <c r="C3" s="4" t="s">
        <v>57</v>
      </c>
      <c r="D3" s="4" t="s">
        <v>58</v>
      </c>
      <c r="E3" s="4" t="s">
        <v>59</v>
      </c>
      <c r="F3" s="4">
        <f ca="1">ROUND(T_Facebook_Ads[[#This Row],[impressions]]*RANDBETWEEN(8,12)/10,0)</f>
        <v>14947</v>
      </c>
      <c r="G3" s="4">
        <v>567</v>
      </c>
      <c r="H3" s="4">
        <f ca="1">T_Facebook_Ads[[#This Row],[spend]]*RANDBETWEEN(8,12)/10</f>
        <v>215.8</v>
      </c>
      <c r="I3" s="4">
        <f ca="1">ROUND(T_Facebook_Ads[[#This Row],[conversions]]*RANDBETWEEN(8,12)/10,0)</f>
        <v>27</v>
      </c>
      <c r="J3" s="4">
        <f ca="1">ROUND(T_Facebook_Ads[[#This Row],[video_views]]*RANDBETWEEN(8,12)/10,0)</f>
        <v>1234</v>
      </c>
      <c r="K3" s="4">
        <f ca="1">T_Facebook_Ads[[#This Row],[engagement_rate]]*RANDBETWEEN(8,12)/10</f>
        <v>3.6400000000000002E-2</v>
      </c>
      <c r="L3" s="4">
        <f ca="1">ROUND(T_Facebook_Ads[[#This Row],[reach]]*RANDBETWEEN(8,12)/10,0)</f>
        <v>8888</v>
      </c>
      <c r="M3" s="4">
        <f ca="1">T_Facebook_Ads[[#This Row],[frequency]]*RANDBETWEEN(8,12)/10</f>
        <v>1.008</v>
      </c>
      <c r="O3" s="3">
        <f t="shared" ca="1" si="1"/>
        <v>45004</v>
      </c>
      <c r="P3" s="4" t="s">
        <v>80</v>
      </c>
      <c r="Q3" s="4" t="s">
        <v>81</v>
      </c>
      <c r="R3" s="4" t="s">
        <v>82</v>
      </c>
      <c r="S3" s="4" t="s">
        <v>83</v>
      </c>
      <c r="T3" s="4">
        <f ca="1">ROUND(_Google_ads[[#This Row],[impressions]]*RANDBETWEEN(8,12)/10,0)</f>
        <v>41110</v>
      </c>
      <c r="U3" s="4">
        <f ca="1">ROUND(_Google_ads[[#This Row],[clicks]]*RANDBETWEEN(8,12)/10,0)</f>
        <v>979</v>
      </c>
      <c r="V3" s="4">
        <f ca="1">_Google_ads[[#This Row],[cost]]*RANDBETWEEN(8,12)/10</f>
        <v>511.02</v>
      </c>
      <c r="W3" s="4">
        <f ca="1">ROUND(_Google_ads[[#This Row],[conversions]]*RANDBETWEEN(8,12)/10,0)</f>
        <v>25</v>
      </c>
      <c r="X3" s="4">
        <f ca="1">ROUND(_Google_ads[[#This Row],[conversion_value]]*RANDBETWEEN(8,12)/10,0)</f>
        <v>1035</v>
      </c>
      <c r="Y3" s="4">
        <f ca="1">_Google_ads[[#This Row],[ctr]]*RANDBETWEEN(8,12)/10</f>
        <v>1.755E-2</v>
      </c>
      <c r="Z3" s="4">
        <f ca="1">_Google_ads[[#This Row],[avg_cpc]]*RANDBETWEEN(8,12)/10</f>
        <v>0.51200000000000001</v>
      </c>
      <c r="AA3" s="4">
        <f ca="1">ROUND(_Google_ads[[#This Row],[quality_score]]*RANDBETWEEN(8,12)/10,0)</f>
        <v>8</v>
      </c>
      <c r="AB3" s="4">
        <f ca="1">_Google_ads[[#This Row],[search_impression_share]]*RANDBETWEEN(8,12)/10</f>
        <v>0.40499999999999997</v>
      </c>
      <c r="AD3" s="3">
        <f t="shared" ca="1" si="2"/>
        <v>45004</v>
      </c>
      <c r="AE3" s="4" t="s">
        <v>104</v>
      </c>
      <c r="AF3" s="4" t="s">
        <v>105</v>
      </c>
      <c r="AG3" s="4" t="s">
        <v>106</v>
      </c>
      <c r="AH3" s="4" t="s">
        <v>107</v>
      </c>
      <c r="AI3" s="4">
        <f ca="1">ROUND(T_Tiktok_ads[[#This Row],[impressions]]*RANDBETWEEN(8,12)/10,0)</f>
        <v>111110</v>
      </c>
      <c r="AJ3" s="4">
        <f ca="1">ROUND(T_Tiktok_ads[[#This Row],[clicks]]*RANDBETWEEN(8,12)/10,0)</f>
        <v>2111</v>
      </c>
      <c r="AK3" s="4">
        <v>678.9</v>
      </c>
      <c r="AL3" s="4">
        <f ca="1">ROUND(T_Tiktok_ads[[#This Row],[conversions]]*RANDBETWEEN(8,12)/10,0)</f>
        <v>74</v>
      </c>
      <c r="AM3" s="4">
        <f ca="1">ROUND(T_Tiktok_ads[[#This Row],[video_views]]*RANDBETWEEN(8,12)/10,0)</f>
        <v>98157</v>
      </c>
      <c r="AN3" s="4">
        <f ca="1">ROUND(T_Tiktok_ads[[#This Row],[video_watch_25]]*RANDBETWEEN(8,12)/10,0)</f>
        <v>73957</v>
      </c>
      <c r="AO3" s="4">
        <f ca="1">ROUND(T_Tiktok_ads[[#This Row],[video_watch_50]]*RANDBETWEEN(8,12)/10,0)</f>
        <v>45234</v>
      </c>
      <c r="AP3" s="4">
        <f ca="1">ROUND(T_Tiktok_ads[[#This Row],[video_watch_75]]*RANDBETWEEN(8,12)/10,0)</f>
        <v>34234</v>
      </c>
      <c r="AQ3" s="4">
        <f ca="1">ROUND(T_Tiktok_ads[[#This Row],[video_watch_100]]*RANDBETWEEN(8,12)/10,0)</f>
        <v>21110</v>
      </c>
      <c r="AR3" s="4">
        <f ca="1">ROUND(T_Tiktok_ads[[#This Row],[likes]]*RANDBETWEEN(8,12)/10,0)</f>
        <v>5480</v>
      </c>
      <c r="AS3" s="4">
        <f ca="1">ROUND(T_Tiktok_ads[[#This Row],[shares]]*RANDBETWEEN(8,12)/10,0)</f>
        <v>1234</v>
      </c>
      <c r="AT3" s="4">
        <f ca="1">ROUND(T_Tiktok_ads[[#This Row],[comments]]*RANDBETWEEN(8,12)/10,0)</f>
        <v>234</v>
      </c>
      <c r="AV3" s="5">
        <f t="shared" ca="1" si="3"/>
        <v>45004</v>
      </c>
      <c r="AW3">
        <f t="shared" ref="AW3:AW66" ca="1" si="4">RANDBETWEEN(1,8)</f>
        <v>5</v>
      </c>
      <c r="AX3">
        <f ca="1">ROUND(T_Facebook_Ads115963[[#This Row],[impressions]]*RANDBETWEEN(8,12)/10,0)</f>
        <v>16442</v>
      </c>
      <c r="AY3">
        <f ca="1">ROUND(T_Facebook_Ads115963[[#This Row],[clicks]]*RANDBETWEEN(8,12)/10,0)</f>
        <v>567</v>
      </c>
      <c r="AZ3">
        <f ca="1">T_Facebook_Ads115963[[#This Row],[spend]]*RANDBETWEEN(8,12)/10</f>
        <v>237.38000000000002</v>
      </c>
      <c r="BA3">
        <f ca="1">ROUND(T_Facebook_Ads115963[[#This Row],[conversions]]*RANDBETWEEN(8,12)/10,0)</f>
        <v>27</v>
      </c>
      <c r="BB3">
        <f ca="1">ROUND(T_Facebook_Ads115963[[#This Row],[video_views]]*RANDBETWEEN(8,12)/10,0)</f>
        <v>1111</v>
      </c>
    </row>
    <row r="4" spans="1:54" ht="15.75" thickBot="1" x14ac:dyDescent="0.3">
      <c r="A4" s="3">
        <f t="shared" ca="1" si="0"/>
        <v>45008</v>
      </c>
      <c r="B4" s="4" t="s">
        <v>60</v>
      </c>
      <c r="C4" s="4" t="s">
        <v>61</v>
      </c>
      <c r="D4" s="4" t="s">
        <v>62</v>
      </c>
      <c r="E4" s="4" t="s">
        <v>63</v>
      </c>
      <c r="F4" s="4">
        <f ca="1">ROUND(T_Facebook_Ads[[#This Row],[impressions]]*RANDBETWEEN(8,12)/10,0)</f>
        <v>34567</v>
      </c>
      <c r="G4" s="4">
        <v>1234</v>
      </c>
      <c r="H4" s="4">
        <f ca="1">T_Facebook_Ads[[#This Row],[spend]]*RANDBETWEEN(8,12)/10</f>
        <v>151.92000000000002</v>
      </c>
      <c r="I4" s="4">
        <f ca="1">ROUND(T_Facebook_Ads[[#This Row],[conversions]]*RANDBETWEEN(8,12)/10,0)</f>
        <v>18</v>
      </c>
      <c r="J4" s="4">
        <f ca="1">ROUND(T_Facebook_Ads[[#This Row],[video_views]]*RANDBETWEEN(8,12)/10,0)</f>
        <v>5024</v>
      </c>
      <c r="K4" s="4">
        <f ca="1">T_Facebook_Ads[[#This Row],[engagement_rate]]*RANDBETWEEN(8,12)/10</f>
        <v>3.2130000000000006E-2</v>
      </c>
      <c r="L4" s="4">
        <f ca="1">ROUND(T_Facebook_Ads[[#This Row],[reach]]*RANDBETWEEN(8,12)/10,0)</f>
        <v>28934</v>
      </c>
      <c r="M4" s="4">
        <f ca="1">T_Facebook_Ads[[#This Row],[frequency]]*RANDBETWEEN(8,12)/10</f>
        <v>1.071</v>
      </c>
      <c r="O4" s="3">
        <f t="shared" ca="1" si="1"/>
        <v>44987</v>
      </c>
      <c r="P4" s="4" t="s">
        <v>84</v>
      </c>
      <c r="Q4" s="4" t="s">
        <v>85</v>
      </c>
      <c r="R4" s="4" t="s">
        <v>86</v>
      </c>
      <c r="S4" s="4" t="s">
        <v>87</v>
      </c>
      <c r="T4" s="4">
        <f ca="1">ROUND(_Google_ads[[#This Row],[impressions]]*RANDBETWEEN(8,12)/10,0)</f>
        <v>54312</v>
      </c>
      <c r="U4" s="4">
        <f ca="1">ROUND(_Google_ads[[#This Row],[clicks]]*RANDBETWEEN(8,12)/10,0)</f>
        <v>2345</v>
      </c>
      <c r="V4" s="4">
        <f ca="1">_Google_ads[[#This Row],[cost]]*RANDBETWEEN(8,12)/10</f>
        <v>508.32000000000005</v>
      </c>
      <c r="W4" s="4">
        <f ca="1">ROUND(_Google_ads[[#This Row],[conversions]]*RANDBETWEEN(8,12)/10,0)</f>
        <v>67</v>
      </c>
      <c r="X4" s="4">
        <f ca="1">ROUND(_Google_ads[[#This Row],[conversion_value]]*RANDBETWEEN(8,12)/10,0)</f>
        <v>4020</v>
      </c>
      <c r="Y4" s="4">
        <f ca="1">_Google_ads[[#This Row],[ctr]]*RANDBETWEEN(8,12)/10</f>
        <v>4.1400000000000006E-2</v>
      </c>
      <c r="Z4" s="4">
        <f ca="1">_Google_ads[[#This Row],[avg_cpc]]*RANDBETWEEN(8,12)/10</f>
        <v>0.16199999999999998</v>
      </c>
      <c r="AA4" s="4">
        <f ca="1">ROUND(_Google_ads[[#This Row],[quality_score]]*RANDBETWEEN(8,12)/10,0)</f>
        <v>6</v>
      </c>
      <c r="AB4" s="4">
        <f ca="1">_Google_ads[[#This Row],[search_impression_share]]*RANDBETWEEN(8,12)/10</f>
        <v>0.80400000000000005</v>
      </c>
      <c r="AD4" s="3">
        <f t="shared" ca="1" si="2"/>
        <v>45000</v>
      </c>
      <c r="AE4" s="4" t="s">
        <v>108</v>
      </c>
      <c r="AF4" s="4" t="s">
        <v>109</v>
      </c>
      <c r="AG4" s="4" t="s">
        <v>110</v>
      </c>
      <c r="AH4" s="4" t="s">
        <v>111</v>
      </c>
      <c r="AI4" s="4">
        <f ca="1">ROUND(T_Tiktok_ads[[#This Row],[impressions]]*RANDBETWEEN(8,12)/10,0)</f>
        <v>151387</v>
      </c>
      <c r="AJ4" s="4">
        <f ca="1">ROUND(T_Tiktok_ads[[#This Row],[clicks]]*RANDBETWEEN(8,12)/10,0)</f>
        <v>3179</v>
      </c>
      <c r="AK4" s="4">
        <v>345.6</v>
      </c>
      <c r="AL4" s="4">
        <f ca="1">ROUND(T_Tiktok_ads[[#This Row],[conversions]]*RANDBETWEEN(8,12)/10,0)</f>
        <v>25</v>
      </c>
      <c r="AM4" s="4">
        <f ca="1">ROUND(T_Tiktok_ads[[#This Row],[video_views]]*RANDBETWEEN(8,12)/10,0)</f>
        <v>160246</v>
      </c>
      <c r="AN4" s="4">
        <f ca="1">ROUND(T_Tiktok_ads[[#This Row],[video_watch_25]]*RANDBETWEEN(8,12)/10,0)</f>
        <v>112345</v>
      </c>
      <c r="AO4" s="4">
        <f ca="1">ROUND(T_Tiktok_ads[[#This Row],[video_watch_50]]*RANDBETWEEN(8,12)/10,0)</f>
        <v>71387</v>
      </c>
      <c r="AP4" s="4">
        <f ca="1">ROUND(T_Tiktok_ads[[#This Row],[video_watch_75]]*RANDBETWEEN(8,12)/10,0)</f>
        <v>62468</v>
      </c>
      <c r="AQ4" s="4">
        <f ca="1">ROUND(T_Tiktok_ads[[#This Row],[video_watch_100]]*RANDBETWEEN(8,12)/10,0)</f>
        <v>41480</v>
      </c>
      <c r="AR4" s="4">
        <f ca="1">ROUND(T_Tiktok_ads[[#This Row],[likes]]*RANDBETWEEN(8,12)/10,0)</f>
        <v>6789</v>
      </c>
      <c r="AS4" s="4">
        <f ca="1">ROUND(T_Tiktok_ads[[#This Row],[shares]]*RANDBETWEEN(8,12)/10,0)</f>
        <v>2268</v>
      </c>
      <c r="AT4" s="4">
        <f ca="1">ROUND(T_Tiktok_ads[[#This Row],[comments]]*RANDBETWEEN(8,12)/10,0)</f>
        <v>456</v>
      </c>
      <c r="AV4" s="5">
        <f t="shared" ca="1" si="3"/>
        <v>44990</v>
      </c>
      <c r="AW4">
        <f t="shared" ca="1" si="4"/>
        <v>5</v>
      </c>
      <c r="AX4">
        <f ca="1">ROUND(T_Facebook_Ads115963[[#This Row],[impressions]]*RANDBETWEEN(8,12)/10,0)</f>
        <v>31110</v>
      </c>
      <c r="AY4">
        <f ca="1">ROUND(T_Facebook_Ads115963[[#This Row],[clicks]]*RANDBETWEEN(8,12)/10,0)</f>
        <v>1234</v>
      </c>
      <c r="AZ4">
        <f ca="1">T_Facebook_Ads115963[[#This Row],[spend]]*RANDBETWEEN(8,12)/10</f>
        <v>182.30400000000003</v>
      </c>
      <c r="BA4">
        <f ca="1">ROUND(T_Facebook_Ads115963[[#This Row],[conversions]]*RANDBETWEEN(8,12)/10,0)</f>
        <v>14</v>
      </c>
      <c r="BB4">
        <f ca="1">ROUND(T_Facebook_Ads115963[[#This Row],[video_views]]*RANDBETWEEN(8,12)/10,0)</f>
        <v>4522</v>
      </c>
    </row>
    <row r="5" spans="1:54" ht="15.75" thickBot="1" x14ac:dyDescent="0.3">
      <c r="A5" s="3">
        <f t="shared" ca="1" si="0"/>
        <v>44997</v>
      </c>
      <c r="B5" s="4" t="s">
        <v>52</v>
      </c>
      <c r="C5" s="4" t="s">
        <v>53</v>
      </c>
      <c r="D5" s="4" t="s">
        <v>54</v>
      </c>
      <c r="E5" s="4" t="s">
        <v>55</v>
      </c>
      <c r="F5" s="4">
        <f ca="1">ROUND(T_Facebook_Ads[[#This Row],[impressions]]*RANDBETWEEN(8,12)/10,0)</f>
        <v>38111</v>
      </c>
      <c r="G5" s="4">
        <v>823</v>
      </c>
      <c r="H5" s="4">
        <f ca="1">T_Facebook_Ads[[#This Row],[spend]]*RANDBETWEEN(8,12)/10</f>
        <v>106.38</v>
      </c>
      <c r="I5" s="4">
        <f ca="1">ROUND(T_Facebook_Ads[[#This Row],[conversions]]*RANDBETWEEN(8,12)/10,0)</f>
        <v>10</v>
      </c>
      <c r="J5" s="4">
        <f ca="1">ROUND(T_Facebook_Ads[[#This Row],[video_views]]*RANDBETWEEN(8,12)/10,0)</f>
        <v>6312</v>
      </c>
      <c r="K5" s="4">
        <f ca="1">T_Facebook_Ads[[#This Row],[engagement_rate]]*RANDBETWEEN(8,12)/10</f>
        <v>1.9400000000000001E-2</v>
      </c>
      <c r="L5" s="4">
        <f ca="1">ROUND(T_Facebook_Ads[[#This Row],[reach]]*RANDBETWEEN(8,12)/10,0)</f>
        <v>29431</v>
      </c>
      <c r="M5" s="4">
        <f ca="1">T_Facebook_Ads[[#This Row],[frequency]]*RANDBETWEEN(8,12)/10</f>
        <v>1.2649999999999999</v>
      </c>
      <c r="O5" s="3">
        <f t="shared" ca="1" si="1"/>
        <v>45001</v>
      </c>
      <c r="P5" s="4" t="s">
        <v>76</v>
      </c>
      <c r="Q5" s="4" t="s">
        <v>77</v>
      </c>
      <c r="R5" s="4" t="s">
        <v>78</v>
      </c>
      <c r="S5" s="4" t="s">
        <v>79</v>
      </c>
      <c r="T5" s="4">
        <f ca="1">ROUND(_Google_ads[[#This Row],[impressions]]*RANDBETWEEN(8,12)/10,0)</f>
        <v>19654</v>
      </c>
      <c r="U5" s="4">
        <f ca="1">ROUND(_Google_ads[[#This Row],[clicks]]*RANDBETWEEN(8,12)/10,0)</f>
        <v>1547</v>
      </c>
      <c r="V5" s="4">
        <f ca="1">_Google_ads[[#This Row],[cost]]*RANDBETWEEN(8,12)/10</f>
        <v>294.71999999999997</v>
      </c>
      <c r="W5" s="4">
        <f ca="1">ROUND(_Google_ads[[#This Row],[conversions]]*RANDBETWEEN(8,12)/10,0)</f>
        <v>43</v>
      </c>
      <c r="X5" s="4">
        <f ca="1">ROUND(_Google_ads[[#This Row],[conversion_value]]*RANDBETWEEN(8,12)/10,0)</f>
        <v>2640</v>
      </c>
      <c r="Y5" s="4">
        <f ca="1">_Google_ads[[#This Row],[ctr]]*RANDBETWEEN(8,12)/10</f>
        <v>4.725E-2</v>
      </c>
      <c r="Z5" s="4">
        <f ca="1">_Google_ads[[#This Row],[avg_cpc]]*RANDBETWEEN(8,12)/10</f>
        <v>0.22800000000000004</v>
      </c>
      <c r="AA5" s="4">
        <f ca="1">ROUND(_Google_ads[[#This Row],[quality_score]]*RANDBETWEEN(8,12)/10,0)</f>
        <v>8</v>
      </c>
      <c r="AB5" s="4">
        <f ca="1">_Google_ads[[#This Row],[search_impression_share]]*RANDBETWEEN(8,12)/10</f>
        <v>0.72799999999999998</v>
      </c>
      <c r="AD5" s="3">
        <f t="shared" ca="1" si="2"/>
        <v>44991</v>
      </c>
      <c r="AE5" s="4" t="s">
        <v>100</v>
      </c>
      <c r="AF5" s="4" t="s">
        <v>101</v>
      </c>
      <c r="AG5" s="4" t="s">
        <v>102</v>
      </c>
      <c r="AH5" s="4" t="s">
        <v>103</v>
      </c>
      <c r="AI5" s="4">
        <f ca="1">ROUND(T_Tiktok_ads[[#This Row],[impressions]]*RANDBETWEEN(8,12)/10,0)</f>
        <v>270246</v>
      </c>
      <c r="AJ5" s="4">
        <f ca="1">ROUND(T_Tiktok_ads[[#This Row],[clicks]]*RANDBETWEEN(8,12)/10,0)</f>
        <v>3310</v>
      </c>
      <c r="AK5" s="4">
        <v>478.9</v>
      </c>
      <c r="AL5" s="4">
        <f ca="1">ROUND(T_Tiktok_ads[[#This Row],[conversions]]*RANDBETWEEN(8,12)/10,0)</f>
        <v>43</v>
      </c>
      <c r="AM5" s="4">
        <f ca="1">ROUND(T_Tiktok_ads[[#This Row],[video_views]]*RANDBETWEEN(8,12)/10,0)</f>
        <v>248814</v>
      </c>
      <c r="AN5" s="4">
        <f ca="1">ROUND(T_Tiktok_ads[[#This Row],[video_watch_25]]*RANDBETWEEN(8,12)/10,0)</f>
        <v>163456</v>
      </c>
      <c r="AO5" s="4">
        <f ca="1">ROUND(T_Tiktok_ads[[#This Row],[video_watch_50]]*RANDBETWEEN(8,12)/10,0)</f>
        <v>102345</v>
      </c>
      <c r="AP5" s="4">
        <f ca="1">ROUND(T_Tiktok_ads[[#This Row],[video_watch_75]]*RANDBETWEEN(8,12)/10,0)</f>
        <v>56187</v>
      </c>
      <c r="AQ5" s="4">
        <f ca="1">ROUND(T_Tiktok_ads[[#This Row],[video_watch_100]]*RANDBETWEEN(8,12)/10,0)</f>
        <v>51957</v>
      </c>
      <c r="AR5" s="4">
        <f ca="1">ROUND(T_Tiktok_ads[[#This Row],[likes]]*RANDBETWEEN(8,12)/10,0)</f>
        <v>10157</v>
      </c>
      <c r="AS5" s="4">
        <f ca="1">ROUND(T_Tiktok_ads[[#This Row],[shares]]*RANDBETWEEN(8,12)/10,0)</f>
        <v>2947</v>
      </c>
      <c r="AT5" s="4">
        <f ca="1">ROUND(T_Tiktok_ads[[#This Row],[comments]]*RANDBETWEEN(8,12)/10,0)</f>
        <v>648</v>
      </c>
      <c r="AV5" s="5">
        <f t="shared" ca="1" si="3"/>
        <v>45000</v>
      </c>
      <c r="AW5">
        <f ca="1">RANDBETWEEN(1,8)</f>
        <v>6</v>
      </c>
      <c r="AX5">
        <f ca="1">ROUND(T_Facebook_Ads115963[[#This Row],[impressions]]*RANDBETWEEN(8,12)/10,0)</f>
        <v>30489</v>
      </c>
      <c r="AY5">
        <f ca="1">ROUND(T_Facebook_Ads115963[[#This Row],[clicks]]*RANDBETWEEN(8,12)/10,0)</f>
        <v>741</v>
      </c>
      <c r="AZ5">
        <f ca="1">T_Facebook_Ads115963[[#This Row],[spend]]*RANDBETWEEN(8,12)/10</f>
        <v>117.01799999999999</v>
      </c>
      <c r="BA5">
        <f ca="1">ROUND(T_Facebook_Ads115963[[#This Row],[conversions]]*RANDBETWEEN(8,12)/10,0)</f>
        <v>10</v>
      </c>
      <c r="BB5">
        <f ca="1">ROUND(T_Facebook_Ads115963[[#This Row],[video_views]]*RANDBETWEEN(8,12)/10,0)</f>
        <v>5681</v>
      </c>
    </row>
    <row r="6" spans="1:54" ht="15.75" thickBot="1" x14ac:dyDescent="0.3">
      <c r="A6" s="3">
        <f t="shared" ca="1" si="0"/>
        <v>45014</v>
      </c>
      <c r="B6" s="4" t="s">
        <v>56</v>
      </c>
      <c r="C6" s="4" t="s">
        <v>57</v>
      </c>
      <c r="D6" s="4" t="s">
        <v>58</v>
      </c>
      <c r="E6" s="4" t="s">
        <v>59</v>
      </c>
      <c r="F6" s="4">
        <f ca="1">ROUND(T_Facebook_Ads[[#This Row],[impressions]]*RANDBETWEEN(8,12)/10,0)</f>
        <v>15046</v>
      </c>
      <c r="G6" s="4">
        <v>623</v>
      </c>
      <c r="H6" s="4">
        <f ca="1">T_Facebook_Ads[[#This Row],[spend]]*RANDBETWEEN(8,12)/10</f>
        <v>211.05</v>
      </c>
      <c r="I6" s="4">
        <f ca="1">ROUND(T_Facebook_Ads[[#This Row],[conversions]]*RANDBETWEEN(8,12)/10,0)</f>
        <v>42</v>
      </c>
      <c r="J6" s="4">
        <f ca="1">ROUND(T_Facebook_Ads[[#This Row],[video_views]]*RANDBETWEEN(8,12)/10,0)</f>
        <v>1456</v>
      </c>
      <c r="K6" s="4">
        <f ca="1">T_Facebook_Ads[[#This Row],[engagement_rate]]*RANDBETWEEN(8,12)/10</f>
        <v>3.6400000000000002E-2</v>
      </c>
      <c r="L6" s="4">
        <f ca="1">ROUND(T_Facebook_Ads[[#This Row],[reach]]*RANDBETWEEN(8,12)/10,0)</f>
        <v>10234</v>
      </c>
      <c r="M6" s="4">
        <f ca="1">T_Facebook_Ads[[#This Row],[frequency]]*RANDBETWEEN(8,12)/10</f>
        <v>1.0720000000000001</v>
      </c>
      <c r="O6" s="3">
        <f t="shared" ca="1" si="1"/>
        <v>45002</v>
      </c>
      <c r="P6" s="4" t="s">
        <v>80</v>
      </c>
      <c r="Q6" s="4" t="s">
        <v>81</v>
      </c>
      <c r="R6" s="4" t="s">
        <v>82</v>
      </c>
      <c r="S6" s="4" t="s">
        <v>83</v>
      </c>
      <c r="T6" s="4">
        <f ca="1">ROUND(_Google_ads[[#This Row],[impressions]]*RANDBETWEEN(8,12)/10,0)</f>
        <v>43234</v>
      </c>
      <c r="U6" s="4">
        <f ca="1">ROUND(_Google_ads[[#This Row],[clicks]]*RANDBETWEEN(8,12)/10,0)</f>
        <v>988</v>
      </c>
      <c r="V6" s="4">
        <f ca="1">_Google_ads[[#This Row],[cost]]*RANDBETWEEN(8,12)/10</f>
        <v>534.20000000000005</v>
      </c>
      <c r="W6" s="4">
        <f ca="1">ROUND(_Google_ads[[#This Row],[conversions]]*RANDBETWEEN(8,12)/10,0)</f>
        <v>23</v>
      </c>
      <c r="X6" s="4">
        <f ca="1">ROUND(_Google_ads[[#This Row],[conversion_value]]*RANDBETWEEN(8,12)/10,0)</f>
        <v>1050</v>
      </c>
      <c r="Y6" s="4">
        <f ca="1">_Google_ads[[#This Row],[ctr]]*RANDBETWEEN(8,12)/10</f>
        <v>2.2799999999999997E-2</v>
      </c>
      <c r="Z6" s="4">
        <f ca="1">_Google_ads[[#This Row],[avg_cpc]]*RANDBETWEEN(8,12)/10</f>
        <v>0.52</v>
      </c>
      <c r="AA6" s="4">
        <f ca="1">ROUND(_Google_ads[[#This Row],[quality_score]]*RANDBETWEEN(8,12)/10,0)</f>
        <v>6</v>
      </c>
      <c r="AB6" s="4">
        <f ca="1">_Google_ads[[#This Row],[search_impression_share]]*RANDBETWEEN(8,12)/10</f>
        <v>0.48399999999999999</v>
      </c>
      <c r="AD6" s="3">
        <f t="shared" ca="1" si="2"/>
        <v>44993</v>
      </c>
      <c r="AE6" s="4" t="s">
        <v>104</v>
      </c>
      <c r="AF6" s="4" t="s">
        <v>105</v>
      </c>
      <c r="AG6" s="4" t="s">
        <v>106</v>
      </c>
      <c r="AH6" s="4" t="s">
        <v>107</v>
      </c>
      <c r="AI6" s="4">
        <f ca="1">ROUND(T_Tiktok_ads[[#This Row],[impressions]]*RANDBETWEEN(8,12)/10,0)</f>
        <v>148024</v>
      </c>
      <c r="AJ6" s="4">
        <f ca="1">ROUND(T_Tiktok_ads[[#This Row],[clicks]]*RANDBETWEEN(8,12)/10,0)</f>
        <v>2567</v>
      </c>
      <c r="AK6" s="4">
        <v>712.3</v>
      </c>
      <c r="AL6" s="4">
        <f ca="1">ROUND(T_Tiktok_ads[[#This Row],[conversions]]*RANDBETWEEN(8,12)/10,0)</f>
        <v>78</v>
      </c>
      <c r="AM6" s="4">
        <f ca="1">ROUND(T_Tiktok_ads[[#This Row],[video_views]]*RANDBETWEEN(8,12)/10,0)</f>
        <v>86110</v>
      </c>
      <c r="AN6" s="4">
        <f ca="1">ROUND(T_Tiktok_ads[[#This Row],[video_watch_25]]*RANDBETWEEN(8,12)/10,0)</f>
        <v>64111</v>
      </c>
      <c r="AO6" s="4">
        <f ca="1">ROUND(T_Tiktok_ads[[#This Row],[video_watch_50]]*RANDBETWEEN(8,12)/10,0)</f>
        <v>38587</v>
      </c>
      <c r="AP6" s="4">
        <f ca="1">ROUND(T_Tiktok_ads[[#This Row],[video_watch_75]]*RANDBETWEEN(8,12)/10,0)</f>
        <v>28987</v>
      </c>
      <c r="AQ6" s="4">
        <f ca="1">ROUND(T_Tiktok_ads[[#This Row],[video_watch_100]]*RANDBETWEEN(8,12)/10,0)</f>
        <v>24567</v>
      </c>
      <c r="AR6" s="4">
        <f ca="1">ROUND(T_Tiktok_ads[[#This Row],[likes]]*RANDBETWEEN(8,12)/10,0)</f>
        <v>3831</v>
      </c>
      <c r="AS6" s="4">
        <f ca="1">ROUND(T_Tiktok_ads[[#This Row],[shares]]*RANDBETWEEN(8,12)/10,0)</f>
        <v>1345</v>
      </c>
      <c r="AT6" s="4">
        <f ca="1">ROUND(T_Tiktok_ads[[#This Row],[comments]]*RANDBETWEEN(8,12)/10,0)</f>
        <v>196</v>
      </c>
      <c r="AV6" s="5">
        <f t="shared" ca="1" si="3"/>
        <v>45001</v>
      </c>
      <c r="AW6">
        <f t="shared" ca="1" si="4"/>
        <v>1</v>
      </c>
      <c r="AX6">
        <f ca="1">ROUND(T_Facebook_Ads115963[[#This Row],[impressions]]*RANDBETWEEN(8,12)/10,0)</f>
        <v>18055</v>
      </c>
      <c r="AY6">
        <f ca="1">ROUND(T_Facebook_Ads115963[[#This Row],[clicks]]*RANDBETWEEN(8,12)/10,0)</f>
        <v>498</v>
      </c>
      <c r="AZ6">
        <f ca="1">T_Facebook_Ads115963[[#This Row],[spend]]*RANDBETWEEN(8,12)/10</f>
        <v>168.84</v>
      </c>
      <c r="BA6">
        <f ca="1">ROUND(T_Facebook_Ads115963[[#This Row],[conversions]]*RANDBETWEEN(8,12)/10,0)</f>
        <v>42</v>
      </c>
      <c r="BB6">
        <f ca="1">ROUND(T_Facebook_Ads115963[[#This Row],[video_views]]*RANDBETWEEN(8,12)/10,0)</f>
        <v>1165</v>
      </c>
    </row>
    <row r="7" spans="1:54" ht="15.75" thickBot="1" x14ac:dyDescent="0.3">
      <c r="A7" s="3">
        <f t="shared" ca="1" si="0"/>
        <v>45001</v>
      </c>
      <c r="B7" s="4" t="s">
        <v>60</v>
      </c>
      <c r="C7" s="4" t="s">
        <v>61</v>
      </c>
      <c r="D7" s="4" t="s">
        <v>62</v>
      </c>
      <c r="E7" s="4" t="s">
        <v>63</v>
      </c>
      <c r="F7" s="4">
        <f ca="1">ROUND(T_Facebook_Ads[[#This Row],[impressions]]*RANDBETWEEN(8,12)/10,0)</f>
        <v>33110</v>
      </c>
      <c r="G7" s="4">
        <v>1345</v>
      </c>
      <c r="H7" s="4">
        <f ca="1">T_Facebook_Ads[[#This Row],[spend]]*RANDBETWEEN(8,12)/10</f>
        <v>181.17000000000002</v>
      </c>
      <c r="I7" s="4">
        <f ca="1">ROUND(T_Facebook_Ads[[#This Row],[conversions]]*RANDBETWEEN(8,12)/10,0)</f>
        <v>20</v>
      </c>
      <c r="J7" s="4">
        <f ca="1">ROUND(T_Facebook_Ads[[#This Row],[video_views]]*RANDBETWEEN(8,12)/10,0)</f>
        <v>4890</v>
      </c>
      <c r="K7" s="4">
        <f ca="1">T_Facebook_Ads[[#This Row],[engagement_rate]]*RANDBETWEEN(8,12)/10</f>
        <v>3.6600000000000001E-2</v>
      </c>
      <c r="L7" s="4">
        <f ca="1">ROUND(T_Facebook_Ads[[#This Row],[reach]]*RANDBETWEEN(8,12)/10,0)</f>
        <v>24098</v>
      </c>
      <c r="M7" s="4">
        <f ca="1">T_Facebook_Ads[[#This Row],[frequency]]*RANDBETWEEN(8,12)/10</f>
        <v>1.464</v>
      </c>
      <c r="O7" s="3">
        <f t="shared" ca="1" si="1"/>
        <v>45008</v>
      </c>
      <c r="P7" s="4" t="s">
        <v>84</v>
      </c>
      <c r="Q7" s="4" t="s">
        <v>85</v>
      </c>
      <c r="R7" s="4" t="s">
        <v>86</v>
      </c>
      <c r="S7" s="4" t="s">
        <v>87</v>
      </c>
      <c r="T7" s="4">
        <f ca="1">ROUND(_Google_ads[[#This Row],[impressions]]*RANDBETWEEN(8,12)/10,0)</f>
        <v>56987</v>
      </c>
      <c r="U7" s="4">
        <f ca="1">ROUND(_Google_ads[[#This Row],[clicks]]*RANDBETWEEN(8,12)/10,0)</f>
        <v>2702</v>
      </c>
      <c r="V7" s="4">
        <f ca="1">_Google_ads[[#This Row],[cost]]*RANDBETWEEN(8,12)/10</f>
        <v>445.8</v>
      </c>
      <c r="W7" s="4">
        <f ca="1">ROUND(_Google_ads[[#This Row],[conversions]]*RANDBETWEEN(8,12)/10,0)</f>
        <v>57</v>
      </c>
      <c r="X7" s="4">
        <f ca="1">ROUND(_Google_ads[[#This Row],[conversion_value]]*RANDBETWEEN(8,12)/10,0)</f>
        <v>3550</v>
      </c>
      <c r="Y7" s="4">
        <f ca="1">_Google_ads[[#This Row],[ctr]]*RANDBETWEEN(8,12)/10</f>
        <v>2.7600000000000003E-2</v>
      </c>
      <c r="Z7" s="4">
        <f ca="1">_Google_ads[[#This Row],[avg_cpc]]*RANDBETWEEN(8,12)/10</f>
        <v>0.14399999999999999</v>
      </c>
      <c r="AA7" s="4">
        <f ca="1">ROUND(_Google_ads[[#This Row],[quality_score]]*RANDBETWEEN(8,12)/10,0)</f>
        <v>9</v>
      </c>
      <c r="AB7" s="4">
        <f ca="1">_Google_ads[[#This Row],[search_impression_share]]*RANDBETWEEN(8,12)/10</f>
        <v>0.68</v>
      </c>
      <c r="AD7" s="3">
        <f t="shared" ca="1" si="2"/>
        <v>44993</v>
      </c>
      <c r="AE7" s="4" t="s">
        <v>108</v>
      </c>
      <c r="AF7" s="4" t="s">
        <v>109</v>
      </c>
      <c r="AG7" s="4" t="s">
        <v>110</v>
      </c>
      <c r="AH7" s="4" t="s">
        <v>111</v>
      </c>
      <c r="AI7" s="4">
        <f ca="1">ROUND(T_Tiktok_ads[[#This Row],[impressions]]*RANDBETWEEN(8,12)/10,0)</f>
        <v>158676</v>
      </c>
      <c r="AJ7" s="4">
        <f ca="1">ROUND(T_Tiktok_ads[[#This Row],[clicks]]*RANDBETWEEN(8,12)/10,0)</f>
        <v>3012</v>
      </c>
      <c r="AK7" s="4">
        <v>361.2</v>
      </c>
      <c r="AL7" s="4">
        <f ca="1">ROUND(T_Tiktok_ads[[#This Row],[conversions]]*RANDBETWEEN(8,12)/10,0)</f>
        <v>20</v>
      </c>
      <c r="AM7" s="4">
        <f ca="1">ROUND(T_Tiktok_ads[[#This Row],[video_views]]*RANDBETWEEN(8,12)/10,0)</f>
        <v>137111</v>
      </c>
      <c r="AN7" s="4">
        <f ca="1">ROUND(T_Tiktok_ads[[#This Row],[video_watch_25]]*RANDBETWEEN(8,12)/10,0)</f>
        <v>140681</v>
      </c>
      <c r="AO7" s="4">
        <f ca="1">ROUND(T_Tiktok_ads[[#This Row],[video_watch_50]]*RANDBETWEEN(8,12)/10,0)</f>
        <v>102557</v>
      </c>
      <c r="AP7" s="4">
        <f ca="1">ROUND(T_Tiktok_ads[[#This Row],[video_watch_75]]*RANDBETWEEN(8,12)/10,0)</f>
        <v>71081</v>
      </c>
      <c r="AQ7" s="4">
        <f ca="1">ROUND(T_Tiktok_ads[[#This Row],[video_watch_100]]*RANDBETWEEN(8,12)/10,0)</f>
        <v>28987</v>
      </c>
      <c r="AR7" s="4">
        <f ca="1">ROUND(T_Tiktok_ads[[#This Row],[likes]]*RANDBETWEEN(8,12)/10,0)</f>
        <v>7123</v>
      </c>
      <c r="AS7" s="4">
        <f ca="1">ROUND(T_Tiktok_ads[[#This Row],[shares]]*RANDBETWEEN(8,12)/10,0)</f>
        <v>1574</v>
      </c>
      <c r="AT7" s="4">
        <f ca="1">ROUND(T_Tiktok_ads[[#This Row],[comments]]*RANDBETWEEN(8,12)/10,0)</f>
        <v>382</v>
      </c>
      <c r="AV7" s="5">
        <f t="shared" ca="1" si="3"/>
        <v>44989</v>
      </c>
      <c r="AW7">
        <f t="shared" ca="1" si="4"/>
        <v>8</v>
      </c>
      <c r="AX7">
        <f ca="1">ROUND(T_Facebook_Ads115963[[#This Row],[impressions]]*RANDBETWEEN(8,12)/10,0)</f>
        <v>29799</v>
      </c>
      <c r="AY7">
        <f ca="1">ROUND(T_Facebook_Ads115963[[#This Row],[clicks]]*RANDBETWEEN(8,12)/10,0)</f>
        <v>1345</v>
      </c>
      <c r="AZ7">
        <f ca="1">T_Facebook_Ads115963[[#This Row],[spend]]*RANDBETWEEN(8,12)/10</f>
        <v>217.404</v>
      </c>
      <c r="BA7">
        <f ca="1">ROUND(T_Facebook_Ads115963[[#This Row],[conversions]]*RANDBETWEEN(8,12)/10,0)</f>
        <v>16</v>
      </c>
      <c r="BB7">
        <f ca="1">ROUND(T_Facebook_Ads115963[[#This Row],[video_views]]*RANDBETWEEN(8,12)/10,0)</f>
        <v>5379</v>
      </c>
    </row>
    <row r="8" spans="1:54" ht="15.75" thickBot="1" x14ac:dyDescent="0.3">
      <c r="A8" s="3">
        <f t="shared" ca="1" si="0"/>
        <v>45012</v>
      </c>
      <c r="B8" s="4" t="s">
        <v>52</v>
      </c>
      <c r="C8" s="4" t="s">
        <v>53</v>
      </c>
      <c r="D8" s="4" t="s">
        <v>54</v>
      </c>
      <c r="E8" s="4" t="s">
        <v>55</v>
      </c>
      <c r="F8" s="4">
        <f ca="1">ROUND(T_Facebook_Ads[[#This Row],[impressions]]*RANDBETWEEN(8,12)/10,0)</f>
        <v>43411</v>
      </c>
      <c r="G8" s="4">
        <v>967</v>
      </c>
      <c r="H8" s="4">
        <f ca="1">T_Facebook_Ads[[#This Row],[spend]]*RANDBETWEEN(8,12)/10</f>
        <v>161.76000000000002</v>
      </c>
      <c r="I8" s="4">
        <f ca="1">ROUND(T_Facebook_Ads[[#This Row],[conversions]]*RANDBETWEEN(8,12)/10,0)</f>
        <v>17</v>
      </c>
      <c r="J8" s="4">
        <f ca="1">ROUND(T_Facebook_Ads[[#This Row],[video_views]]*RANDBETWEEN(8,12)/10,0)</f>
        <v>10681</v>
      </c>
      <c r="K8" s="4">
        <f ca="1">T_Facebook_Ads[[#This Row],[engagement_rate]]*RANDBETWEEN(8,12)/10</f>
        <v>2.01E-2</v>
      </c>
      <c r="L8" s="4">
        <f ca="1">ROUND(T_Facebook_Ads[[#This Row],[reach]]*RANDBETWEEN(8,12)/10,0)</f>
        <v>32098</v>
      </c>
      <c r="M8" s="4">
        <f ca="1">T_Facebook_Ads[[#This Row],[frequency]]*RANDBETWEEN(8,12)/10</f>
        <v>1.2</v>
      </c>
      <c r="O8" s="3">
        <f t="shared" ca="1" si="1"/>
        <v>44991</v>
      </c>
      <c r="P8" s="4" t="s">
        <v>76</v>
      </c>
      <c r="Q8" s="4" t="s">
        <v>77</v>
      </c>
      <c r="R8" s="4" t="s">
        <v>78</v>
      </c>
      <c r="S8" s="4" t="s">
        <v>79</v>
      </c>
      <c r="T8" s="4">
        <f ca="1">ROUND(_Google_ads[[#This Row],[impressions]]*RANDBETWEEN(8,12)/10,0)</f>
        <v>17876</v>
      </c>
      <c r="U8" s="4">
        <f ca="1">ROUND(_Google_ads[[#This Row],[clicks]]*RANDBETWEEN(8,12)/10,0)</f>
        <v>898</v>
      </c>
      <c r="V8" s="4">
        <f ca="1">_Google_ads[[#This Row],[cost]]*RANDBETWEEN(8,12)/10</f>
        <v>192.06</v>
      </c>
      <c r="W8" s="4">
        <f ca="1">ROUND(_Google_ads[[#This Row],[conversions]]*RANDBETWEEN(8,12)/10,0)</f>
        <v>50</v>
      </c>
      <c r="X8" s="4">
        <f ca="1">ROUND(_Google_ads[[#This Row],[conversion_value]]*RANDBETWEEN(8,12)/10,0)</f>
        <v>2520</v>
      </c>
      <c r="Y8" s="4">
        <f ca="1">_Google_ads[[#This Row],[ctr]]*RANDBETWEEN(8,12)/10</f>
        <v>5.0299999999999997E-2</v>
      </c>
      <c r="Z8" s="4">
        <f ca="1">_Google_ads[[#This Row],[avg_cpc]]*RANDBETWEEN(8,12)/10</f>
        <v>0.19</v>
      </c>
      <c r="AA8" s="4">
        <f ca="1">ROUND(_Google_ads[[#This Row],[quality_score]]*RANDBETWEEN(8,12)/10,0)</f>
        <v>7</v>
      </c>
      <c r="AB8" s="4">
        <f ca="1">_Google_ads[[#This Row],[search_impression_share]]*RANDBETWEEN(8,12)/10</f>
        <v>0.93</v>
      </c>
      <c r="AD8" s="3">
        <f t="shared" ca="1" si="2"/>
        <v>44996</v>
      </c>
      <c r="AE8" s="4" t="s">
        <v>100</v>
      </c>
      <c r="AF8" s="4" t="s">
        <v>101</v>
      </c>
      <c r="AG8" s="4" t="s">
        <v>102</v>
      </c>
      <c r="AH8" s="4" t="s">
        <v>103</v>
      </c>
      <c r="AI8" s="4">
        <f ca="1">ROUND(T_Tiktok_ads[[#This Row],[impressions]]*RANDBETWEEN(8,12)/10,0)</f>
        <v>201110</v>
      </c>
      <c r="AJ8" s="4">
        <f ca="1">ROUND(T_Tiktok_ads[[#This Row],[clicks]]*RANDBETWEEN(8,12)/10,0)</f>
        <v>3234</v>
      </c>
      <c r="AK8" s="4">
        <v>434.5</v>
      </c>
      <c r="AL8" s="4">
        <f ca="1">ROUND(T_Tiktok_ads[[#This Row],[conversions]]*RANDBETWEEN(8,12)/10,0)</f>
        <v>29</v>
      </c>
      <c r="AM8" s="4">
        <f ca="1">ROUND(T_Tiktok_ads[[#This Row],[video_views]]*RANDBETWEEN(8,12)/10,0)</f>
        <v>170311</v>
      </c>
      <c r="AN8" s="4">
        <f ca="1">ROUND(T_Tiktok_ads[[#This Row],[video_watch_25]]*RANDBETWEEN(8,12)/10,0)</f>
        <v>148234</v>
      </c>
      <c r="AO8" s="4">
        <f ca="1">ROUND(T_Tiktok_ads[[#This Row],[video_watch_50]]*RANDBETWEEN(8,12)/10,0)</f>
        <v>74587</v>
      </c>
      <c r="AP8" s="4">
        <f ca="1">ROUND(T_Tiktok_ads[[#This Row],[video_watch_75]]*RANDBETWEEN(8,12)/10,0)</f>
        <v>57110</v>
      </c>
      <c r="AQ8" s="4">
        <f ca="1">ROUND(T_Tiktok_ads[[#This Row],[video_watch_100]]*RANDBETWEEN(8,12)/10,0)</f>
        <v>38911</v>
      </c>
      <c r="AR8" s="4">
        <f ca="1">ROUND(T_Tiktok_ads[[#This Row],[likes]]*RANDBETWEEN(8,12)/10,0)</f>
        <v>8567</v>
      </c>
      <c r="AS8" s="4">
        <f ca="1">ROUND(T_Tiktok_ads[[#This Row],[shares]]*RANDBETWEEN(8,12)/10,0)</f>
        <v>2681</v>
      </c>
      <c r="AT8" s="4">
        <f ca="1">ROUND(T_Tiktok_ads[[#This Row],[comments]]*RANDBETWEEN(8,12)/10,0)</f>
        <v>641</v>
      </c>
      <c r="AV8" s="5">
        <f t="shared" ca="1" si="3"/>
        <v>45009</v>
      </c>
      <c r="AW8">
        <f t="shared" ca="1" si="4"/>
        <v>2</v>
      </c>
      <c r="AX8">
        <f ca="1">ROUND(T_Facebook_Ads115963[[#This Row],[impressions]]*RANDBETWEEN(8,12)/10,0)</f>
        <v>34729</v>
      </c>
      <c r="AY8">
        <f ca="1">ROUND(T_Facebook_Ads115963[[#This Row],[clicks]]*RANDBETWEEN(8,12)/10,0)</f>
        <v>1064</v>
      </c>
      <c r="AZ8">
        <f ca="1">T_Facebook_Ads115963[[#This Row],[spend]]*RANDBETWEEN(8,12)/10</f>
        <v>161.76000000000002</v>
      </c>
      <c r="BA8">
        <f ca="1">ROUND(T_Facebook_Ads115963[[#This Row],[conversions]]*RANDBETWEEN(8,12)/10,0)</f>
        <v>17</v>
      </c>
      <c r="BB8">
        <f ca="1">ROUND(T_Facebook_Ads115963[[#This Row],[video_views]]*RANDBETWEEN(8,12)/10,0)</f>
        <v>11749</v>
      </c>
    </row>
    <row r="9" spans="1:54" ht="15.75" thickBot="1" x14ac:dyDescent="0.3">
      <c r="A9" s="3">
        <f t="shared" ca="1" si="0"/>
        <v>44991</v>
      </c>
      <c r="B9" s="4" t="s">
        <v>56</v>
      </c>
      <c r="C9" s="4" t="s">
        <v>57</v>
      </c>
      <c r="D9" s="4" t="s">
        <v>58</v>
      </c>
      <c r="E9" s="4" t="s">
        <v>59</v>
      </c>
      <c r="F9" s="4">
        <f ca="1">ROUND(T_Facebook_Ads[[#This Row],[impressions]]*RANDBETWEEN(8,12)/10,0)</f>
        <v>13481</v>
      </c>
      <c r="G9" s="4">
        <v>489</v>
      </c>
      <c r="H9" s="4">
        <f ca="1">T_Facebook_Ads[[#This Row],[spend]]*RANDBETWEEN(8,12)/10</f>
        <v>218.57</v>
      </c>
      <c r="I9" s="4">
        <f ca="1">ROUND(T_Facebook_Ads[[#This Row],[conversions]]*RANDBETWEEN(8,12)/10,0)</f>
        <v>31</v>
      </c>
      <c r="J9" s="4">
        <f ca="1">ROUND(T_Facebook_Ads[[#This Row],[video_views]]*RANDBETWEEN(8,12)/10,0)</f>
        <v>1011</v>
      </c>
      <c r="K9" s="4">
        <f ca="1">T_Facebook_Ads[[#This Row],[engagement_rate]]*RANDBETWEEN(8,12)/10</f>
        <v>3.4799999999999998E-2</v>
      </c>
      <c r="L9" s="4">
        <f ca="1">ROUND(T_Facebook_Ads[[#This Row],[reach]]*RANDBETWEEN(8,12)/10,0)</f>
        <v>10681</v>
      </c>
      <c r="M9" s="4">
        <f ca="1">T_Facebook_Ads[[#This Row],[frequency]]*RANDBETWEEN(8,12)/10</f>
        <v>1.512</v>
      </c>
      <c r="O9" s="3">
        <f t="shared" ca="1" si="1"/>
        <v>45001</v>
      </c>
      <c r="P9" s="4" t="s">
        <v>80</v>
      </c>
      <c r="Q9" s="4" t="s">
        <v>81</v>
      </c>
      <c r="R9" s="4" t="s">
        <v>82</v>
      </c>
      <c r="S9" s="4" t="s">
        <v>83</v>
      </c>
      <c r="T9" s="4">
        <f ca="1">ROUND(_Google_ads[[#This Row],[impressions]]*RANDBETWEEN(8,12)/10,0)</f>
        <v>38312</v>
      </c>
      <c r="U9" s="4">
        <f ca="1">ROUND(_Google_ads[[#This Row],[clicks]]*RANDBETWEEN(8,12)/10,0)</f>
        <v>967</v>
      </c>
      <c r="V9" s="4">
        <f ca="1">_Google_ads[[#This Row],[cost]]*RANDBETWEEN(8,12)/10</f>
        <v>748.2</v>
      </c>
      <c r="W9" s="4">
        <f ca="1">ROUND(_Google_ads[[#This Row],[conversions]]*RANDBETWEEN(8,12)/10,0)</f>
        <v>28</v>
      </c>
      <c r="X9" s="4">
        <f ca="1">ROUND(_Google_ads[[#This Row],[conversion_value]]*RANDBETWEEN(8,12)/10,0)</f>
        <v>1250</v>
      </c>
      <c r="Y9" s="4">
        <f ca="1">_Google_ads[[#This Row],[ctr]]*RANDBETWEEN(8,12)/10</f>
        <v>2.2219999999999997E-2</v>
      </c>
      <c r="Z9" s="4">
        <f ca="1">_Google_ads[[#This Row],[avg_cpc]]*RANDBETWEEN(8,12)/10</f>
        <v>0.70399999999999996</v>
      </c>
      <c r="AA9" s="4">
        <f ca="1">ROUND(_Google_ads[[#This Row],[quality_score]]*RANDBETWEEN(8,12)/10,0)</f>
        <v>7</v>
      </c>
      <c r="AB9" s="4">
        <f ca="1">_Google_ads[[#This Row],[search_impression_share]]*RANDBETWEEN(8,12)/10</f>
        <v>0.43</v>
      </c>
      <c r="AD9" s="3">
        <f t="shared" ca="1" si="2"/>
        <v>45011</v>
      </c>
      <c r="AE9" s="4" t="s">
        <v>104</v>
      </c>
      <c r="AF9" s="4" t="s">
        <v>105</v>
      </c>
      <c r="AG9" s="4" t="s">
        <v>106</v>
      </c>
      <c r="AH9" s="4" t="s">
        <v>107</v>
      </c>
      <c r="AI9" s="4">
        <f ca="1">ROUND(T_Tiktok_ads[[#This Row],[impressions]]*RANDBETWEEN(8,12)/10,0)</f>
        <v>134814</v>
      </c>
      <c r="AJ9" s="4">
        <f ca="1">ROUND(T_Tiktok_ads[[#This Row],[clicks]]*RANDBETWEEN(8,12)/10,0)</f>
        <v>1911</v>
      </c>
      <c r="AK9" s="4">
        <v>623.4</v>
      </c>
      <c r="AL9" s="4">
        <f ca="1">ROUND(T_Tiktok_ads[[#This Row],[conversions]]*RANDBETWEEN(8,12)/10,0)</f>
        <v>68</v>
      </c>
      <c r="AM9" s="4">
        <f ca="1">ROUND(T_Tiktok_ads[[#This Row],[video_views]]*RANDBETWEEN(8,12)/10,0)</f>
        <v>90580</v>
      </c>
      <c r="AN9" s="4">
        <f ca="1">ROUND(T_Tiktok_ads[[#This Row],[video_watch_25]]*RANDBETWEEN(8,12)/10,0)</f>
        <v>61234</v>
      </c>
      <c r="AO9" s="4">
        <f ca="1">ROUND(T_Tiktok_ads[[#This Row],[video_watch_50]]*RANDBETWEEN(8,12)/10,0)</f>
        <v>41234</v>
      </c>
      <c r="AP9" s="4">
        <f ca="1">ROUND(T_Tiktok_ads[[#This Row],[video_watch_75]]*RANDBETWEEN(8,12)/10,0)</f>
        <v>24987</v>
      </c>
      <c r="AQ9" s="4">
        <f ca="1">ROUND(T_Tiktok_ads[[#This Row],[video_watch_100]]*RANDBETWEEN(8,12)/10,0)</f>
        <v>19111</v>
      </c>
      <c r="AR9" s="4">
        <f ca="1">ROUND(T_Tiktok_ads[[#This Row],[likes]]*RANDBETWEEN(8,12)/10,0)</f>
        <v>3811</v>
      </c>
      <c r="AS9" s="4">
        <f ca="1">ROUND(T_Tiktok_ads[[#This Row],[shares]]*RANDBETWEEN(8,12)/10,0)</f>
        <v>1011</v>
      </c>
      <c r="AT9" s="4">
        <f ca="1">ROUND(T_Tiktok_ads[[#This Row],[comments]]*RANDBETWEEN(8,12)/10,0)</f>
        <v>170</v>
      </c>
      <c r="AV9" s="5">
        <f t="shared" ca="1" si="3"/>
        <v>44999</v>
      </c>
      <c r="AW9">
        <f t="shared" ca="1" si="4"/>
        <v>6</v>
      </c>
      <c r="AX9">
        <f ca="1">ROUND(T_Facebook_Ads115963[[#This Row],[impressions]]*RANDBETWEEN(8,12)/10,0)</f>
        <v>10785</v>
      </c>
      <c r="AY9">
        <f ca="1">ROUND(T_Facebook_Ads115963[[#This Row],[clicks]]*RANDBETWEEN(8,12)/10,0)</f>
        <v>440</v>
      </c>
      <c r="AZ9">
        <f ca="1">T_Facebook_Ads115963[[#This Row],[spend]]*RANDBETWEEN(8,12)/10</f>
        <v>174.85599999999999</v>
      </c>
      <c r="BA9">
        <f ca="1">ROUND(T_Facebook_Ads115963[[#This Row],[conversions]]*RANDBETWEEN(8,12)/10,0)</f>
        <v>28</v>
      </c>
      <c r="BB9">
        <f ca="1">ROUND(T_Facebook_Ads115963[[#This Row],[video_views]]*RANDBETWEEN(8,12)/10,0)</f>
        <v>1112</v>
      </c>
    </row>
    <row r="10" spans="1:54" ht="15.75" thickBot="1" x14ac:dyDescent="0.3">
      <c r="A10" s="3">
        <f t="shared" ca="1" si="0"/>
        <v>44989</v>
      </c>
      <c r="B10" s="4" t="s">
        <v>60</v>
      </c>
      <c r="C10" s="4" t="s">
        <v>61</v>
      </c>
      <c r="D10" s="4" t="s">
        <v>62</v>
      </c>
      <c r="E10" s="4" t="s">
        <v>63</v>
      </c>
      <c r="F10" s="4">
        <f ca="1">ROUND(T_Facebook_Ads[[#This Row],[impressions]]*RANDBETWEEN(8,12)/10,0)</f>
        <v>42791</v>
      </c>
      <c r="G10" s="4">
        <v>1456</v>
      </c>
      <c r="H10" s="4">
        <f ca="1">T_Facebook_Ads[[#This Row],[spend]]*RANDBETWEEN(8,12)/10</f>
        <v>256.08000000000004</v>
      </c>
      <c r="I10" s="4">
        <f ca="1">ROUND(T_Facebook_Ads[[#This Row],[conversions]]*RANDBETWEEN(8,12)/10,0)</f>
        <v>34</v>
      </c>
      <c r="J10" s="4">
        <f ca="1">ROUND(T_Facebook_Ads[[#This Row],[video_views]]*RANDBETWEEN(8,12)/10,0)</f>
        <v>5234</v>
      </c>
      <c r="K10" s="4">
        <f ca="1">T_Facebook_Ads[[#This Row],[engagement_rate]]*RANDBETWEEN(8,12)/10</f>
        <v>4.1249999999999995E-2</v>
      </c>
      <c r="L10" s="4">
        <f ca="1">ROUND(T_Facebook_Ads[[#This Row],[reach]]*RANDBETWEEN(8,12)/10,0)</f>
        <v>31456</v>
      </c>
      <c r="M10" s="4">
        <f ca="1">T_Facebook_Ads[[#This Row],[frequency]]*RANDBETWEEN(8,12)/10</f>
        <v>1.24</v>
      </c>
      <c r="O10" s="3">
        <f t="shared" ca="1" si="1"/>
        <v>44995</v>
      </c>
      <c r="P10" s="4" t="s">
        <v>88</v>
      </c>
      <c r="Q10" s="4" t="s">
        <v>89</v>
      </c>
      <c r="R10" s="4" t="s">
        <v>90</v>
      </c>
      <c r="S10" s="4" t="s">
        <v>59</v>
      </c>
      <c r="T10" s="4">
        <f ca="1">ROUND(_Google_ads[[#This Row],[impressions]]*RANDBETWEEN(8,12)/10,0)</f>
        <v>111110</v>
      </c>
      <c r="U10" s="4">
        <f ca="1">ROUND(_Google_ads[[#This Row],[clicks]]*RANDBETWEEN(8,12)/10,0)</f>
        <v>410</v>
      </c>
      <c r="V10" s="4">
        <f ca="1">_Google_ads[[#This Row],[cost]]*RANDBETWEEN(8,12)/10</f>
        <v>111.06000000000002</v>
      </c>
      <c r="W10" s="4">
        <f ca="1">ROUND(_Google_ads[[#This Row],[conversions]]*RANDBETWEEN(8,12)/10,0)</f>
        <v>10</v>
      </c>
      <c r="X10" s="4">
        <f ca="1">ROUND(_Google_ads[[#This Row],[conversion_value]]*RANDBETWEEN(8,12)/10,0)</f>
        <v>660</v>
      </c>
      <c r="Y10" s="4">
        <f ca="1">_Google_ads[[#This Row],[ctr]]*RANDBETWEEN(8,12)/10</f>
        <v>4.0699999999999998E-3</v>
      </c>
      <c r="Z10" s="4">
        <f ca="1">_Google_ads[[#This Row],[avg_cpc]]*RANDBETWEEN(8,12)/10</f>
        <v>0.21600000000000003</v>
      </c>
      <c r="AA10" s="4">
        <f ca="1">ROUND(_Google_ads[[#This Row],[quality_score]]*RANDBETWEEN(8,12)/10,0)</f>
        <v>6</v>
      </c>
      <c r="AB10" s="4">
        <f ca="1">_Google_ads[[#This Row],[search_impression_share]]*RANDBETWEEN(8,12)/10</f>
        <v>0.315</v>
      </c>
      <c r="AD10" s="3">
        <f t="shared" ca="1" si="2"/>
        <v>45003</v>
      </c>
      <c r="AE10" s="4" t="s">
        <v>112</v>
      </c>
      <c r="AF10" s="4" t="s">
        <v>113</v>
      </c>
      <c r="AG10" s="4" t="s">
        <v>114</v>
      </c>
      <c r="AH10" s="4" t="s">
        <v>115</v>
      </c>
      <c r="AI10" s="4">
        <f ca="1">ROUND(T_Tiktok_ads[[#This Row],[impressions]]*RANDBETWEEN(8,12)/10,0)</f>
        <v>380246</v>
      </c>
      <c r="AJ10" s="4">
        <f ca="1">ROUND(T_Tiktok_ads[[#This Row],[clicks]]*RANDBETWEEN(8,12)/10,0)</f>
        <v>6246</v>
      </c>
      <c r="AK10" s="4">
        <v>890.1</v>
      </c>
      <c r="AL10" s="4">
        <f ca="1">ROUND(T_Tiktok_ads[[#This Row],[conversions]]*RANDBETWEEN(8,12)/10,0)</f>
        <v>107</v>
      </c>
      <c r="AM10" s="4">
        <f ca="1">ROUND(T_Tiktok_ads[[#This Row],[video_views]]*RANDBETWEEN(8,12)/10,0)</f>
        <v>260311</v>
      </c>
      <c r="AN10" s="4">
        <f ca="1">ROUND(T_Tiktok_ads[[#This Row],[video_watch_25]]*RANDBETWEEN(8,12)/10,0)</f>
        <v>211110</v>
      </c>
      <c r="AO10" s="4">
        <f ca="1">ROUND(T_Tiktok_ads[[#This Row],[video_watch_50]]*RANDBETWEEN(8,12)/10,0)</f>
        <v>170311</v>
      </c>
      <c r="AP10" s="4">
        <f ca="1">ROUND(T_Tiktok_ads[[#This Row],[video_watch_75]]*RANDBETWEEN(8,12)/10,0)</f>
        <v>107654</v>
      </c>
      <c r="AQ10" s="4">
        <f ca="1">ROUND(T_Tiktok_ads[[#This Row],[video_watch_100]]*RANDBETWEEN(8,12)/10,0)</f>
        <v>98157</v>
      </c>
      <c r="AR10" s="4">
        <f ca="1">ROUND(T_Tiktok_ads[[#This Row],[likes]]*RANDBETWEEN(8,12)/10,0)</f>
        <v>18814</v>
      </c>
      <c r="AS10" s="4">
        <f ca="1">ROUND(T_Tiktok_ads[[#This Row],[shares]]*RANDBETWEEN(8,12)/10,0)</f>
        <v>4110</v>
      </c>
      <c r="AT10" s="4">
        <f ca="1">ROUND(T_Tiktok_ads[[#This Row],[comments]]*RANDBETWEEN(8,12)/10,0)</f>
        <v>1111</v>
      </c>
      <c r="AV10" s="5">
        <f t="shared" ca="1" si="3"/>
        <v>45008</v>
      </c>
      <c r="AW10">
        <f t="shared" ca="1" si="4"/>
        <v>4</v>
      </c>
      <c r="AX10">
        <f ca="1">ROUND(T_Facebook_Ads115963[[#This Row],[impressions]]*RANDBETWEEN(8,12)/10,0)</f>
        <v>42791</v>
      </c>
      <c r="AY10">
        <f ca="1">ROUND(T_Facebook_Ads115963[[#This Row],[clicks]]*RANDBETWEEN(8,12)/10,0)</f>
        <v>1310</v>
      </c>
      <c r="AZ10">
        <f ca="1">T_Facebook_Ads115963[[#This Row],[spend]]*RANDBETWEEN(8,12)/10</f>
        <v>230.47200000000004</v>
      </c>
      <c r="BA10">
        <f ca="1">ROUND(T_Facebook_Ads115963[[#This Row],[conversions]]*RANDBETWEEN(8,12)/10,0)</f>
        <v>34</v>
      </c>
      <c r="BB10">
        <f ca="1">ROUND(T_Facebook_Ads115963[[#This Row],[video_views]]*RANDBETWEEN(8,12)/10,0)</f>
        <v>5757</v>
      </c>
    </row>
    <row r="11" spans="1:54" ht="15.75" thickBot="1" x14ac:dyDescent="0.3">
      <c r="A11" s="3">
        <f t="shared" ca="1" si="0"/>
        <v>44996</v>
      </c>
      <c r="B11" s="4" t="s">
        <v>52</v>
      </c>
      <c r="C11" s="4" t="s">
        <v>53</v>
      </c>
      <c r="D11" s="4" t="s">
        <v>54</v>
      </c>
      <c r="E11" s="4" t="s">
        <v>55</v>
      </c>
      <c r="F11" s="4">
        <f ca="1">ROUND(T_Facebook_Ads[[#This Row],[impressions]]*RANDBETWEEN(8,12)/10,0)</f>
        <v>61481</v>
      </c>
      <c r="G11" s="4">
        <v>1023</v>
      </c>
      <c r="H11" s="4">
        <f ca="1">T_Facebook_Ads[[#This Row],[spend]]*RANDBETWEEN(8,12)/10</f>
        <v>128.07</v>
      </c>
      <c r="I11" s="4">
        <f ca="1">ROUND(T_Facebook_Ads[[#This Row],[conversions]]*RANDBETWEEN(8,12)/10,0)</f>
        <v>12</v>
      </c>
      <c r="J11" s="4">
        <f ca="1">ROUND(T_Facebook_Ads[[#This Row],[video_views]]*RANDBETWEEN(8,12)/10,0)</f>
        <v>7387</v>
      </c>
      <c r="K11" s="4">
        <f ca="1">T_Facebook_Ads[[#This Row],[engagement_rate]]*RANDBETWEEN(8,12)/10</f>
        <v>2.1999999999999999E-2</v>
      </c>
      <c r="L11" s="4">
        <f ca="1">ROUND(T_Facebook_Ads[[#This Row],[reach]]*RANDBETWEEN(8,12)/10,0)</f>
        <v>42567</v>
      </c>
      <c r="M11" s="4">
        <f ca="1">T_Facebook_Ads[[#This Row],[frequency]]*RANDBETWEEN(8,12)/10</f>
        <v>1.44</v>
      </c>
      <c r="O11" s="3">
        <f t="shared" ca="1" si="1"/>
        <v>45009</v>
      </c>
      <c r="P11" s="4" t="s">
        <v>76</v>
      </c>
      <c r="Q11" s="4" t="s">
        <v>77</v>
      </c>
      <c r="R11" s="4" t="s">
        <v>78</v>
      </c>
      <c r="S11" s="4" t="s">
        <v>79</v>
      </c>
      <c r="T11" s="4">
        <f ca="1">ROUND(_Google_ads[[#This Row],[impressions]]*RANDBETWEEN(8,12)/10,0)</f>
        <v>20542</v>
      </c>
      <c r="U11" s="4">
        <f ca="1">ROUND(_Google_ads[[#This Row],[clicks]]*RANDBETWEEN(8,12)/10,0)</f>
        <v>1480</v>
      </c>
      <c r="V11" s="4">
        <f ca="1">_Google_ads[[#This Row],[cost]]*RANDBETWEEN(8,12)/10</f>
        <v>282.37</v>
      </c>
      <c r="W11" s="4">
        <f ca="1">ROUND(_Google_ads[[#This Row],[conversions]]*RANDBETWEEN(8,12)/10,0)</f>
        <v>40</v>
      </c>
      <c r="X11" s="4">
        <f ca="1">ROUND(_Google_ads[[#This Row],[conversion_value]]*RANDBETWEEN(8,12)/10,0)</f>
        <v>2000</v>
      </c>
      <c r="Y11" s="4">
        <f ca="1">_Google_ads[[#This Row],[ctr]]*RANDBETWEEN(8,12)/10</f>
        <v>6.2880000000000005E-2</v>
      </c>
      <c r="Z11" s="4">
        <f ca="1">_Google_ads[[#This Row],[avg_cpc]]*RANDBETWEEN(8,12)/10</f>
        <v>0.19</v>
      </c>
      <c r="AA11" s="4">
        <f ca="1">ROUND(_Google_ads[[#This Row],[quality_score]]*RANDBETWEEN(8,12)/10,0)</f>
        <v>8</v>
      </c>
      <c r="AB11" s="4">
        <f ca="1">_Google_ads[[#This Row],[search_impression_share]]*RANDBETWEEN(8,12)/10</f>
        <v>0.82800000000000007</v>
      </c>
      <c r="AD11" s="3">
        <f t="shared" ca="1" si="2"/>
        <v>44989</v>
      </c>
      <c r="AE11" s="4" t="s">
        <v>100</v>
      </c>
      <c r="AF11" s="4" t="s">
        <v>101</v>
      </c>
      <c r="AG11" s="4" t="s">
        <v>102</v>
      </c>
      <c r="AH11" s="4" t="s">
        <v>103</v>
      </c>
      <c r="AI11" s="4">
        <f ca="1">ROUND(T_Tiktok_ads[[#This Row],[impressions]]*RANDBETWEEN(8,12)/10,0)</f>
        <v>231110</v>
      </c>
      <c r="AJ11" s="4">
        <f ca="1">ROUND(T_Tiktok_ads[[#This Row],[clicks]]*RANDBETWEEN(8,12)/10,0)</f>
        <v>3890</v>
      </c>
      <c r="AK11" s="4">
        <v>512.29999999999995</v>
      </c>
      <c r="AL11" s="4">
        <f ca="1">ROUND(T_Tiktok_ads[[#This Row],[conversions]]*RANDBETWEEN(8,12)/10,0)</f>
        <v>31</v>
      </c>
      <c r="AM11" s="4">
        <f ca="1">ROUND(T_Tiktok_ads[[#This Row],[video_views]]*RANDBETWEEN(8,12)/10,0)</f>
        <v>195710</v>
      </c>
      <c r="AN11" s="4">
        <f ca="1">ROUND(T_Tiktok_ads[[#This Row],[video_watch_25]]*RANDBETWEEN(8,12)/10,0)</f>
        <v>170234</v>
      </c>
      <c r="AO11" s="4">
        <f ca="1">ROUND(T_Tiktok_ads[[#This Row],[video_watch_50]]*RANDBETWEEN(8,12)/10,0)</f>
        <v>85787</v>
      </c>
      <c r="AP11" s="4">
        <f ca="1">ROUND(T_Tiktok_ads[[#This Row],[video_watch_75]]*RANDBETWEEN(8,12)/10,0)</f>
        <v>72456</v>
      </c>
      <c r="AQ11" s="4">
        <f ca="1">ROUND(T_Tiktok_ads[[#This Row],[video_watch_100]]*RANDBETWEEN(8,12)/10,0)</f>
        <v>38765</v>
      </c>
      <c r="AR11" s="4">
        <f ca="1">ROUND(T_Tiktok_ads[[#This Row],[likes]]*RANDBETWEEN(8,12)/10,0)</f>
        <v>10524</v>
      </c>
      <c r="AS11" s="4">
        <f ca="1">ROUND(T_Tiktok_ads[[#This Row],[shares]]*RANDBETWEEN(8,12)/10,0)</f>
        <v>2567</v>
      </c>
      <c r="AT11" s="4">
        <f ca="1">ROUND(T_Tiktok_ads[[#This Row],[comments]]*RANDBETWEEN(8,12)/10,0)</f>
        <v>734</v>
      </c>
      <c r="AV11" s="5">
        <f t="shared" ca="1" si="3"/>
        <v>45000</v>
      </c>
      <c r="AW11">
        <f t="shared" ca="1" si="4"/>
        <v>8</v>
      </c>
      <c r="AX11">
        <f ca="1">ROUND(T_Facebook_Ads115963[[#This Row],[impressions]]*RANDBETWEEN(8,12)/10,0)</f>
        <v>55333</v>
      </c>
      <c r="AY11">
        <f ca="1">ROUND(T_Facebook_Ads115963[[#This Row],[clicks]]*RANDBETWEEN(8,12)/10,0)</f>
        <v>921</v>
      </c>
      <c r="AZ11">
        <f ca="1">T_Facebook_Ads115963[[#This Row],[spend]]*RANDBETWEEN(8,12)/10</f>
        <v>140.87700000000001</v>
      </c>
      <c r="BA11">
        <f ca="1">ROUND(T_Facebook_Ads115963[[#This Row],[conversions]]*RANDBETWEEN(8,12)/10,0)</f>
        <v>13</v>
      </c>
      <c r="BB11">
        <f ca="1">ROUND(T_Facebook_Ads115963[[#This Row],[video_views]]*RANDBETWEEN(8,12)/10,0)</f>
        <v>8864</v>
      </c>
    </row>
    <row r="12" spans="1:54" ht="15.75" thickBot="1" x14ac:dyDescent="0.3">
      <c r="A12" s="3">
        <f t="shared" ca="1" si="0"/>
        <v>44995</v>
      </c>
      <c r="B12" s="4" t="s">
        <v>56</v>
      </c>
      <c r="C12" s="4" t="s">
        <v>57</v>
      </c>
      <c r="D12" s="4" t="s">
        <v>58</v>
      </c>
      <c r="E12" s="4" t="s">
        <v>59</v>
      </c>
      <c r="F12" s="4">
        <f ca="1">ROUND(T_Facebook_Ads[[#This Row],[impressions]]*RANDBETWEEN(8,12)/10,0)</f>
        <v>17480</v>
      </c>
      <c r="G12" s="4">
        <v>678</v>
      </c>
      <c r="H12" s="4">
        <f ca="1">T_Facebook_Ads[[#This Row],[spend]]*RANDBETWEEN(8,12)/10</f>
        <v>245.6</v>
      </c>
      <c r="I12" s="4">
        <f ca="1">ROUND(T_Facebook_Ads[[#This Row],[conversions]]*RANDBETWEEN(8,12)/10,0)</f>
        <v>50</v>
      </c>
      <c r="J12" s="4">
        <f ca="1">ROUND(T_Facebook_Ads[[#This Row],[video_views]]*RANDBETWEEN(8,12)/10,0)</f>
        <v>1880</v>
      </c>
      <c r="K12" s="4">
        <f ca="1">T_Facebook_Ads[[#This Row],[engagement_rate]]*RANDBETWEEN(8,12)/10</f>
        <v>4.1849999999999998E-2</v>
      </c>
      <c r="L12" s="4">
        <f ca="1">ROUND(T_Facebook_Ads[[#This Row],[reach]]*RANDBETWEEN(8,12)/10,0)</f>
        <v>11234</v>
      </c>
      <c r="M12" s="4">
        <f ca="1">T_Facebook_Ads[[#This Row],[frequency]]*RANDBETWEEN(8,12)/10</f>
        <v>1.56</v>
      </c>
      <c r="O12" s="3">
        <f t="shared" ca="1" si="1"/>
        <v>45006</v>
      </c>
      <c r="P12" s="4" t="s">
        <v>84</v>
      </c>
      <c r="Q12" s="4" t="s">
        <v>85</v>
      </c>
      <c r="R12" s="4" t="s">
        <v>86</v>
      </c>
      <c r="S12" s="4" t="s">
        <v>87</v>
      </c>
      <c r="T12" s="4">
        <f ca="1">ROUND(_Google_ads[[#This Row],[impressions]]*RANDBETWEEN(8,12)/10,0)</f>
        <v>62510</v>
      </c>
      <c r="U12" s="4">
        <f ca="1">ROUND(_Google_ads[[#This Row],[clicks]]*RANDBETWEEN(8,12)/10,0)</f>
        <v>2011</v>
      </c>
      <c r="V12" s="4">
        <f ca="1">_Google_ads[[#This Row],[cost]]*RANDBETWEEN(8,12)/10</f>
        <v>453.53000000000003</v>
      </c>
      <c r="W12" s="4">
        <f ca="1">ROUND(_Google_ads[[#This Row],[conversions]]*RANDBETWEEN(8,12)/10,0)</f>
        <v>78</v>
      </c>
      <c r="X12" s="4">
        <f ca="1">ROUND(_Google_ads[[#This Row],[conversion_value]]*RANDBETWEEN(8,12)/10,0)</f>
        <v>2600</v>
      </c>
      <c r="Y12" s="4">
        <f ca="1">_Google_ads[[#This Row],[ctr]]*RANDBETWEEN(8,12)/10</f>
        <v>3.2199999999999999E-2</v>
      </c>
      <c r="Z12" s="4">
        <f ca="1">_Google_ads[[#This Row],[avg_cpc]]*RANDBETWEEN(8,12)/10</f>
        <v>0.18</v>
      </c>
      <c r="AA12" s="4">
        <f ca="1">ROUND(_Google_ads[[#This Row],[quality_score]]*RANDBETWEEN(8,12)/10,0)</f>
        <v>7</v>
      </c>
      <c r="AB12" s="4">
        <f ca="1">_Google_ads[[#This Row],[search_impression_share]]*RANDBETWEEN(8,12)/10</f>
        <v>0.72600000000000009</v>
      </c>
      <c r="AD12" s="3">
        <f t="shared" ca="1" si="2"/>
        <v>44987</v>
      </c>
      <c r="AE12" s="4" t="s">
        <v>108</v>
      </c>
      <c r="AF12" s="4" t="s">
        <v>109</v>
      </c>
      <c r="AG12" s="4" t="s">
        <v>110</v>
      </c>
      <c r="AH12" s="4" t="s">
        <v>111</v>
      </c>
      <c r="AI12" s="4">
        <f ca="1">ROUND(T_Tiktok_ads[[#This Row],[impressions]]*RANDBETWEEN(8,12)/10,0)</f>
        <v>160987</v>
      </c>
      <c r="AJ12" s="4">
        <f ca="1">ROUND(T_Tiktok_ads[[#This Row],[clicks]]*RANDBETWEEN(8,12)/10,0)</f>
        <v>2498</v>
      </c>
      <c r="AK12" s="4">
        <v>374.5</v>
      </c>
      <c r="AL12" s="4">
        <f ca="1">ROUND(T_Tiktok_ads[[#This Row],[conversions]]*RANDBETWEEN(8,12)/10,0)</f>
        <v>26</v>
      </c>
      <c r="AM12" s="4">
        <f ca="1">ROUND(T_Tiktok_ads[[#This Row],[video_views]]*RANDBETWEEN(8,12)/10,0)</f>
        <v>126312</v>
      </c>
      <c r="AN12" s="4">
        <f ca="1">ROUND(T_Tiktok_ads[[#This Row],[video_watch_25]]*RANDBETWEEN(8,12)/10,0)</f>
        <v>109111</v>
      </c>
      <c r="AO12" s="4">
        <f ca="1">ROUND(T_Tiktok_ads[[#This Row],[video_watch_50]]*RANDBETWEEN(8,12)/10,0)</f>
        <v>76987</v>
      </c>
      <c r="AP12" s="4">
        <f ca="1">ROUND(T_Tiktok_ads[[#This Row],[video_watch_75]]*RANDBETWEEN(8,12)/10,0)</f>
        <v>67357</v>
      </c>
      <c r="AQ12" s="4">
        <f ca="1">ROUND(T_Tiktok_ads[[#This Row],[video_watch_100]]*RANDBETWEEN(8,12)/10,0)</f>
        <v>33710</v>
      </c>
      <c r="AR12" s="4">
        <f ca="1">ROUND(T_Tiktok_ads[[#This Row],[likes]]*RANDBETWEEN(8,12)/10,0)</f>
        <v>6611</v>
      </c>
      <c r="AS12" s="4">
        <f ca="1">ROUND(T_Tiktok_ads[[#This Row],[shares]]*RANDBETWEEN(8,12)/10,0)</f>
        <v>1831</v>
      </c>
      <c r="AT12" s="4">
        <f ca="1">ROUND(T_Tiktok_ads[[#This Row],[comments]]*RANDBETWEEN(8,12)/10,0)</f>
        <v>440</v>
      </c>
      <c r="AV12" s="5">
        <f t="shared" ca="1" si="3"/>
        <v>44998</v>
      </c>
      <c r="AW12">
        <f t="shared" ca="1" si="4"/>
        <v>8</v>
      </c>
      <c r="AX12">
        <f ca="1">ROUND(T_Facebook_Ads115963[[#This Row],[impressions]]*RANDBETWEEN(8,12)/10,0)</f>
        <v>17480</v>
      </c>
      <c r="AY12">
        <f ca="1">ROUND(T_Facebook_Ads115963[[#This Row],[clicks]]*RANDBETWEEN(8,12)/10,0)</f>
        <v>610</v>
      </c>
      <c r="AZ12">
        <f ca="1">T_Facebook_Ads115963[[#This Row],[spend]]*RANDBETWEEN(8,12)/10</f>
        <v>270.15999999999997</v>
      </c>
      <c r="BA12">
        <f ca="1">ROUND(T_Facebook_Ads115963[[#This Row],[conversions]]*RANDBETWEEN(8,12)/10,0)</f>
        <v>40</v>
      </c>
      <c r="BB12">
        <f ca="1">ROUND(T_Facebook_Ads115963[[#This Row],[video_views]]*RANDBETWEEN(8,12)/10,0)</f>
        <v>1692</v>
      </c>
    </row>
    <row r="13" spans="1:54" ht="15.75" thickBot="1" x14ac:dyDescent="0.3">
      <c r="A13" s="3">
        <f t="shared" ca="1" si="0"/>
        <v>44994</v>
      </c>
      <c r="B13" s="4" t="s">
        <v>64</v>
      </c>
      <c r="C13" s="4" t="s">
        <v>65</v>
      </c>
      <c r="D13" s="4" t="s">
        <v>66</v>
      </c>
      <c r="E13" s="4" t="s">
        <v>67</v>
      </c>
      <c r="F13" s="4">
        <f ca="1">ROUND(T_Facebook_Ads[[#This Row],[impressions]]*RANDBETWEEN(8,12)/10,0)</f>
        <v>67890</v>
      </c>
      <c r="G13" s="4">
        <v>234</v>
      </c>
      <c r="H13" s="4">
        <f ca="1">T_Facebook_Ads[[#This Row],[spend]]*RANDBETWEEN(8,12)/10</f>
        <v>71.599999999999994</v>
      </c>
      <c r="I13" s="4">
        <f ca="1">ROUND(T_Facebook_Ads[[#This Row],[conversions]]*RANDBETWEEN(8,12)/10,0)</f>
        <v>6</v>
      </c>
      <c r="J13" s="4">
        <f ca="1">ROUND(T_Facebook_Ads[[#This Row],[video_views]]*RANDBETWEEN(8,12)/10,0)</f>
        <v>50246</v>
      </c>
      <c r="K13" s="4">
        <f ca="1">T_Facebook_Ads[[#This Row],[engagement_rate]]*RANDBETWEEN(8,12)/10</f>
        <v>3.0599999999999998E-3</v>
      </c>
      <c r="L13" s="4">
        <f ca="1">ROUND(T_Facebook_Ads[[#This Row],[reach]]*RANDBETWEEN(8,12)/10,0)</f>
        <v>62468</v>
      </c>
      <c r="M13" s="4">
        <f ca="1">T_Facebook_Ads[[#This Row],[frequency]]*RANDBETWEEN(8,12)/10</f>
        <v>1.0799999999999998</v>
      </c>
      <c r="O13" s="3">
        <f t="shared" ca="1" si="1"/>
        <v>44998</v>
      </c>
      <c r="P13" s="4" t="s">
        <v>88</v>
      </c>
      <c r="Q13" s="4" t="s">
        <v>89</v>
      </c>
      <c r="R13" s="4" t="s">
        <v>90</v>
      </c>
      <c r="S13" s="4" t="s">
        <v>59</v>
      </c>
      <c r="T13" s="4">
        <f ca="1">ROUND(_Google_ads[[#This Row],[impressions]]*RANDBETWEEN(8,12)/10,0)</f>
        <v>148024</v>
      </c>
      <c r="U13" s="4">
        <f ca="1">ROUND(_Google_ads[[#This Row],[clicks]]*RANDBETWEEN(8,12)/10,0)</f>
        <v>538</v>
      </c>
      <c r="V13" s="4">
        <f ca="1">_Google_ads[[#This Row],[cost]]*RANDBETWEEN(8,12)/10</f>
        <v>121.05</v>
      </c>
      <c r="W13" s="4">
        <f ca="1">ROUND(_Google_ads[[#This Row],[conversions]]*RANDBETWEEN(8,12)/10,0)</f>
        <v>17</v>
      </c>
      <c r="X13" s="4">
        <f ca="1">ROUND(_Google_ads[[#This Row],[conversion_value]]*RANDBETWEEN(8,12)/10,0)</f>
        <v>560</v>
      </c>
      <c r="Y13" s="4">
        <f ca="1">_Google_ads[[#This Row],[ctr]]*RANDBETWEEN(8,12)/10</f>
        <v>3.96E-3</v>
      </c>
      <c r="Z13" s="4">
        <f ca="1">_Google_ads[[#This Row],[avg_cpc]]*RANDBETWEEN(8,12)/10</f>
        <v>0.28000000000000003</v>
      </c>
      <c r="AA13" s="4">
        <f ca="1">ROUND(_Google_ads[[#This Row],[quality_score]]*RANDBETWEEN(8,12)/10,0)</f>
        <v>6</v>
      </c>
      <c r="AB13" s="4">
        <f ca="1">_Google_ads[[#This Row],[search_impression_share]]*RANDBETWEEN(8,12)/10</f>
        <v>0.39600000000000002</v>
      </c>
      <c r="AD13" s="3">
        <f t="shared" ca="1" si="2"/>
        <v>45013</v>
      </c>
      <c r="AE13" s="4" t="s">
        <v>112</v>
      </c>
      <c r="AF13" s="4" t="s">
        <v>113</v>
      </c>
      <c r="AG13" s="4" t="s">
        <v>114</v>
      </c>
      <c r="AH13" s="4" t="s">
        <v>115</v>
      </c>
      <c r="AI13" s="4">
        <f ca="1">ROUND(T_Tiktok_ads[[#This Row],[impressions]]*RANDBETWEEN(8,12)/10,0)</f>
        <v>404679</v>
      </c>
      <c r="AJ13" s="4">
        <f ca="1">ROUND(T_Tiktok_ads[[#This Row],[clicks]]*RANDBETWEEN(8,12)/10,0)</f>
        <v>7214</v>
      </c>
      <c r="AK13" s="4">
        <v>923.4</v>
      </c>
      <c r="AL13" s="4">
        <f ca="1">ROUND(T_Tiktok_ads[[#This Row],[conversions]]*RANDBETWEEN(8,12)/10,0)</f>
        <v>85</v>
      </c>
      <c r="AM13" s="4">
        <f ca="1">ROUND(T_Tiktok_ads[[#This Row],[video_views]]*RANDBETWEEN(8,12)/10,0)</f>
        <v>331357</v>
      </c>
      <c r="AN13" s="4">
        <f ca="1">ROUND(T_Tiktok_ads[[#This Row],[video_watch_25]]*RANDBETWEEN(8,12)/10,0)</f>
        <v>245678</v>
      </c>
      <c r="AO13" s="4">
        <f ca="1">ROUND(T_Tiktok_ads[[#This Row],[video_watch_50]]*RANDBETWEEN(8,12)/10,0)</f>
        <v>236147</v>
      </c>
      <c r="AP13" s="4">
        <f ca="1">ROUND(T_Tiktok_ads[[#This Row],[video_watch_75]]*RANDBETWEEN(8,12)/10,0)</f>
        <v>168281</v>
      </c>
      <c r="AQ13" s="4">
        <f ca="1">ROUND(T_Tiktok_ads[[#This Row],[video_watch_100]]*RANDBETWEEN(8,12)/10,0)</f>
        <v>112147</v>
      </c>
      <c r="AR13" s="4">
        <f ca="1">ROUND(T_Tiktok_ads[[#This Row],[likes]]*RANDBETWEEN(8,12)/10,0)</f>
        <v>12987</v>
      </c>
      <c r="AS13" s="4">
        <f ca="1">ROUND(T_Tiktok_ads[[#This Row],[shares]]*RANDBETWEEN(8,12)/10,0)</f>
        <v>4310</v>
      </c>
      <c r="AT13" s="4">
        <f ca="1">ROUND(T_Tiktok_ads[[#This Row],[comments]]*RANDBETWEEN(8,12)/10,0)</f>
        <v>1289</v>
      </c>
      <c r="AV13" s="5">
        <f t="shared" ca="1" si="3"/>
        <v>44987</v>
      </c>
      <c r="AW13">
        <f t="shared" ca="1" si="4"/>
        <v>2</v>
      </c>
      <c r="AX13">
        <f ca="1">ROUND(T_Facebook_Ads115963[[#This Row],[impressions]]*RANDBETWEEN(8,12)/10,0)</f>
        <v>81468</v>
      </c>
      <c r="AY13">
        <f ca="1">ROUND(T_Facebook_Ads115963[[#This Row],[clicks]]*RANDBETWEEN(8,12)/10,0)</f>
        <v>234</v>
      </c>
      <c r="AZ13">
        <f ca="1">T_Facebook_Ads115963[[#This Row],[spend]]*RANDBETWEEN(8,12)/10</f>
        <v>85.919999999999987</v>
      </c>
      <c r="BA13">
        <f ca="1">ROUND(T_Facebook_Ads115963[[#This Row],[conversions]]*RANDBETWEEN(8,12)/10,0)</f>
        <v>5</v>
      </c>
      <c r="BB13">
        <f ca="1">ROUND(T_Facebook_Ads115963[[#This Row],[video_views]]*RANDBETWEEN(8,12)/10,0)</f>
        <v>45221</v>
      </c>
    </row>
    <row r="14" spans="1:54" ht="15.75" thickBot="1" x14ac:dyDescent="0.3">
      <c r="A14" s="3">
        <f t="shared" ca="1" si="0"/>
        <v>45015</v>
      </c>
      <c r="B14" s="4" t="s">
        <v>52</v>
      </c>
      <c r="C14" s="4" t="s">
        <v>53</v>
      </c>
      <c r="D14" s="4" t="s">
        <v>54</v>
      </c>
      <c r="E14" s="4" t="s">
        <v>55</v>
      </c>
      <c r="F14" s="4">
        <f ca="1">ROUND(T_Facebook_Ads[[#This Row],[impressions]]*RANDBETWEEN(8,12)/10,0)</f>
        <v>37431</v>
      </c>
      <c r="G14" s="4">
        <v>934</v>
      </c>
      <c r="H14" s="4">
        <f ca="1">T_Facebook_Ads[[#This Row],[spend]]*RANDBETWEEN(8,12)/10</f>
        <v>131.19999999999999</v>
      </c>
      <c r="I14" s="4">
        <f ca="1">ROUND(T_Facebook_Ads[[#This Row],[conversions]]*RANDBETWEEN(8,12)/10,0)</f>
        <v>13</v>
      </c>
      <c r="J14" s="4">
        <f ca="1">ROUND(T_Facebook_Ads[[#This Row],[video_views]]*RANDBETWEEN(8,12)/10,0)</f>
        <v>7710</v>
      </c>
      <c r="K14" s="4">
        <f ca="1">T_Facebook_Ads[[#This Row],[engagement_rate]]*RANDBETWEEN(8,12)/10</f>
        <v>0.02</v>
      </c>
      <c r="L14" s="4">
        <f ca="1">ROUND(T_Facebook_Ads[[#This Row],[reach]]*RANDBETWEEN(8,12)/10,0)</f>
        <v>39234</v>
      </c>
      <c r="M14" s="4">
        <f ca="1">T_Facebook_Ads[[#This Row],[frequency]]*RANDBETWEEN(8,12)/10</f>
        <v>0.95199999999999996</v>
      </c>
      <c r="O14" s="3">
        <f t="shared" ca="1" si="1"/>
        <v>45002</v>
      </c>
      <c r="P14" s="4" t="s">
        <v>76</v>
      </c>
      <c r="Q14" s="4" t="s">
        <v>77</v>
      </c>
      <c r="R14" s="4" t="s">
        <v>78</v>
      </c>
      <c r="S14" s="4" t="s">
        <v>79</v>
      </c>
      <c r="T14" s="4">
        <f ca="1">ROUND(_Google_ads[[#This Row],[impressions]]*RANDBETWEEN(8,12)/10,0)</f>
        <v>28668</v>
      </c>
      <c r="U14" s="4">
        <f ca="1">ROUND(_Google_ads[[#This Row],[clicks]]*RANDBETWEEN(8,12)/10,0)</f>
        <v>1357</v>
      </c>
      <c r="V14" s="4">
        <f ca="1">_Google_ads[[#This Row],[cost]]*RANDBETWEEN(8,12)/10</f>
        <v>211.41</v>
      </c>
      <c r="W14" s="4">
        <f ca="1">ROUND(_Google_ads[[#This Row],[conversions]]*RANDBETWEEN(8,12)/10,0)</f>
        <v>46</v>
      </c>
      <c r="X14" s="4">
        <f ca="1">ROUND(_Google_ads[[#This Row],[conversion_value]]*RANDBETWEEN(8,12)/10,0)</f>
        <v>2530</v>
      </c>
      <c r="Y14" s="4">
        <f ca="1">_Google_ads[[#This Row],[ctr]]*RANDBETWEEN(8,12)/10</f>
        <v>4.6530000000000002E-2</v>
      </c>
      <c r="Z14" s="4">
        <f ca="1">_Google_ads[[#This Row],[avg_cpc]]*RANDBETWEEN(8,12)/10</f>
        <v>0.20899999999999999</v>
      </c>
      <c r="AA14" s="4">
        <f ca="1">ROUND(_Google_ads[[#This Row],[quality_score]]*RANDBETWEEN(8,12)/10,0)</f>
        <v>9</v>
      </c>
      <c r="AB14" s="4">
        <f ca="1">_Google_ads[[#This Row],[search_impression_share]]*RANDBETWEEN(8,12)/10</f>
        <v>0.90999999999999992</v>
      </c>
      <c r="AD14" s="3">
        <f t="shared" ca="1" si="2"/>
        <v>45010</v>
      </c>
      <c r="AE14" s="4" t="s">
        <v>100</v>
      </c>
      <c r="AF14" s="4" t="s">
        <v>101</v>
      </c>
      <c r="AG14" s="4" t="s">
        <v>102</v>
      </c>
      <c r="AH14" s="4" t="s">
        <v>103</v>
      </c>
      <c r="AI14" s="4">
        <f ca="1">ROUND(T_Tiktok_ads[[#This Row],[impressions]]*RANDBETWEEN(8,12)/10,0)</f>
        <v>234234</v>
      </c>
      <c r="AJ14" s="4">
        <f ca="1">ROUND(T_Tiktok_ads[[#This Row],[clicks]]*RANDBETWEEN(8,12)/10,0)</f>
        <v>3120</v>
      </c>
      <c r="AK14" s="4">
        <v>460.2</v>
      </c>
      <c r="AL14" s="4">
        <f ca="1">ROUND(T_Tiktok_ads[[#This Row],[conversions]]*RANDBETWEEN(8,12)/10,0)</f>
        <v>39</v>
      </c>
      <c r="AM14" s="4">
        <f ca="1">ROUND(T_Tiktok_ads[[#This Row],[video_views]]*RANDBETWEEN(8,12)/10,0)</f>
        <v>199234</v>
      </c>
      <c r="AN14" s="4">
        <f ca="1">ROUND(T_Tiktok_ads[[#This Row],[video_watch_25]]*RANDBETWEEN(8,12)/10,0)</f>
        <v>125431</v>
      </c>
      <c r="AO14" s="4">
        <f ca="1">ROUND(T_Tiktok_ads[[#This Row],[video_watch_50]]*RANDBETWEEN(8,12)/10,0)</f>
        <v>118547</v>
      </c>
      <c r="AP14" s="4">
        <f ca="1">ROUND(T_Tiktok_ads[[#This Row],[video_watch_75]]*RANDBETWEEN(8,12)/10,0)</f>
        <v>74568</v>
      </c>
      <c r="AQ14" s="4">
        <f ca="1">ROUND(T_Tiktok_ads[[#This Row],[video_watch_100]]*RANDBETWEEN(8,12)/10,0)</f>
        <v>54547</v>
      </c>
      <c r="AR14" s="4">
        <f ca="1">ROUND(T_Tiktok_ads[[#This Row],[likes]]*RANDBETWEEN(8,12)/10,0)</f>
        <v>8051</v>
      </c>
      <c r="AS14" s="4">
        <f ca="1">ROUND(T_Tiktok_ads[[#This Row],[shares]]*RANDBETWEEN(8,12)/10,0)</f>
        <v>2130</v>
      </c>
      <c r="AT14" s="4">
        <f ca="1">ROUND(T_Tiktok_ads[[#This Row],[comments]]*RANDBETWEEN(8,12)/10,0)</f>
        <v>694</v>
      </c>
      <c r="AV14" s="5">
        <f t="shared" ca="1" si="3"/>
        <v>45001</v>
      </c>
      <c r="AW14">
        <f t="shared" ca="1" si="4"/>
        <v>8</v>
      </c>
      <c r="AX14">
        <f ca="1">ROUND(T_Facebook_Ads115963[[#This Row],[impressions]]*RANDBETWEEN(8,12)/10,0)</f>
        <v>44917</v>
      </c>
      <c r="AY14">
        <f ca="1">ROUND(T_Facebook_Ads115963[[#This Row],[clicks]]*RANDBETWEEN(8,12)/10,0)</f>
        <v>1121</v>
      </c>
      <c r="AZ14">
        <f ca="1">T_Facebook_Ads115963[[#This Row],[spend]]*RANDBETWEEN(8,12)/10</f>
        <v>131.19999999999999</v>
      </c>
      <c r="BA14">
        <f ca="1">ROUND(T_Facebook_Ads115963[[#This Row],[conversions]]*RANDBETWEEN(8,12)/10,0)</f>
        <v>16</v>
      </c>
      <c r="BB14">
        <f ca="1">ROUND(T_Facebook_Ads115963[[#This Row],[video_views]]*RANDBETWEEN(8,12)/10,0)</f>
        <v>9252</v>
      </c>
    </row>
    <row r="15" spans="1:54" ht="15.75" thickBot="1" x14ac:dyDescent="0.3">
      <c r="A15" s="3">
        <f t="shared" ca="1" si="0"/>
        <v>45014</v>
      </c>
      <c r="B15" s="4" t="s">
        <v>56</v>
      </c>
      <c r="C15" s="4" t="s">
        <v>57</v>
      </c>
      <c r="D15" s="4" t="s">
        <v>58</v>
      </c>
      <c r="E15" s="4" t="s">
        <v>59</v>
      </c>
      <c r="F15" s="4">
        <f ca="1">ROUND(T_Facebook_Ads[[#This Row],[impressions]]*RANDBETWEEN(8,12)/10,0)</f>
        <v>11601</v>
      </c>
      <c r="G15" s="4">
        <v>567</v>
      </c>
      <c r="H15" s="4">
        <f ca="1">T_Facebook_Ads[[#This Row],[spend]]*RANDBETWEEN(8,12)/10</f>
        <v>242.33</v>
      </c>
      <c r="I15" s="4">
        <f ca="1">ROUND(T_Facebook_Ads[[#This Row],[conversions]]*RANDBETWEEN(8,12)/10,0)</f>
        <v>29</v>
      </c>
      <c r="J15" s="4">
        <f ca="1">ROUND(T_Facebook_Ads[[#This Row],[video_views]]*RANDBETWEEN(8,12)/10,0)</f>
        <v>1480</v>
      </c>
      <c r="K15" s="4">
        <f ca="1">T_Facebook_Ads[[#This Row],[engagement_rate]]*RANDBETWEEN(8,12)/10</f>
        <v>4.3999999999999997E-2</v>
      </c>
      <c r="L15" s="4">
        <f ca="1">ROUND(T_Facebook_Ads[[#This Row],[reach]]*RANDBETWEEN(8,12)/10,0)</f>
        <v>8098</v>
      </c>
      <c r="M15" s="4">
        <f ca="1">T_Facebook_Ads[[#This Row],[frequency]]*RANDBETWEEN(8,12)/10</f>
        <v>1.143</v>
      </c>
      <c r="O15" s="3">
        <f t="shared" ca="1" si="1"/>
        <v>45014</v>
      </c>
      <c r="P15" s="4" t="s">
        <v>80</v>
      </c>
      <c r="Q15" s="4" t="s">
        <v>81</v>
      </c>
      <c r="R15" s="4" t="s">
        <v>82</v>
      </c>
      <c r="S15" s="4" t="s">
        <v>83</v>
      </c>
      <c r="T15" s="4">
        <f ca="1">ROUND(_Google_ads[[#This Row],[impressions]]*RANDBETWEEN(8,12)/10,0)</f>
        <v>41611</v>
      </c>
      <c r="U15" s="4">
        <f ca="1">ROUND(_Google_ads[[#This Row],[clicks]]*RANDBETWEEN(8,12)/10,0)</f>
        <v>821</v>
      </c>
      <c r="V15" s="4">
        <f ca="1">_Google_ads[[#This Row],[cost]]*RANDBETWEEN(8,12)/10</f>
        <v>648.2299999999999</v>
      </c>
      <c r="W15" s="4">
        <f ca="1">ROUND(_Google_ads[[#This Row],[conversions]]*RANDBETWEEN(8,12)/10,0)</f>
        <v>22</v>
      </c>
      <c r="X15" s="4">
        <f ca="1">ROUND(_Google_ads[[#This Row],[conversion_value]]*RANDBETWEEN(8,12)/10,0)</f>
        <v>1200</v>
      </c>
      <c r="Y15" s="4">
        <f ca="1">_Google_ads[[#This Row],[ctr]]*RANDBETWEEN(8,12)/10</f>
        <v>2.1669999999999998E-2</v>
      </c>
      <c r="Z15" s="4">
        <f ca="1">_Google_ads[[#This Row],[avg_cpc]]*RANDBETWEEN(8,12)/10</f>
        <v>0.71500000000000008</v>
      </c>
      <c r="AA15" s="4">
        <f ca="1">ROUND(_Google_ads[[#This Row],[quality_score]]*RANDBETWEEN(8,12)/10,0)</f>
        <v>7</v>
      </c>
      <c r="AB15" s="4">
        <f ca="1">_Google_ads[[#This Row],[search_impression_share]]*RANDBETWEEN(8,12)/10</f>
        <v>0.40499999999999997</v>
      </c>
      <c r="AD15" s="3">
        <f t="shared" ca="1" si="2"/>
        <v>44989</v>
      </c>
      <c r="AE15" s="4" t="s">
        <v>104</v>
      </c>
      <c r="AF15" s="4" t="s">
        <v>105</v>
      </c>
      <c r="AG15" s="4" t="s">
        <v>106</v>
      </c>
      <c r="AH15" s="4" t="s">
        <v>107</v>
      </c>
      <c r="AI15" s="4">
        <f ca="1">ROUND(T_Tiktok_ads[[#This Row],[impressions]]*RANDBETWEEN(8,12)/10,0)</f>
        <v>103121</v>
      </c>
      <c r="AJ15" s="4">
        <f ca="1">ROUND(T_Tiktok_ads[[#This Row],[clicks]]*RANDBETWEEN(8,12)/10,0)</f>
        <v>1965</v>
      </c>
      <c r="AK15" s="4">
        <v>689.5</v>
      </c>
      <c r="AL15" s="4">
        <f ca="1">ROUND(T_Tiktok_ads[[#This Row],[conversions]]*RANDBETWEEN(8,12)/10,0)</f>
        <v>61</v>
      </c>
      <c r="AM15" s="4">
        <f ca="1">ROUND(T_Tiktok_ads[[#This Row],[video_views]]*RANDBETWEEN(8,12)/10,0)</f>
        <v>72987</v>
      </c>
      <c r="AN15" s="4">
        <f ca="1">ROUND(T_Tiktok_ads[[#This Row],[video_watch_25]]*RANDBETWEEN(8,12)/10,0)</f>
        <v>54587</v>
      </c>
      <c r="AO15" s="4">
        <f ca="1">ROUND(T_Tiktok_ads[[#This Row],[video_watch_50]]*RANDBETWEEN(8,12)/10,0)</f>
        <v>36631</v>
      </c>
      <c r="AP15" s="4">
        <f ca="1">ROUND(T_Tiktok_ads[[#This Row],[video_watch_75]]*RANDBETWEEN(8,12)/10,0)</f>
        <v>27654</v>
      </c>
      <c r="AQ15" s="4">
        <f ca="1">ROUND(T_Tiktok_ads[[#This Row],[video_watch_100]]*RANDBETWEEN(8,12)/10,0)</f>
        <v>21310</v>
      </c>
      <c r="AR15" s="4">
        <f ca="1">ROUND(T_Tiktok_ads[[#This Row],[likes]]*RANDBETWEEN(8,12)/10,0)</f>
        <v>5146</v>
      </c>
      <c r="AS15" s="4">
        <f ca="1">ROUND(T_Tiktok_ads[[#This Row],[shares]]*RANDBETWEEN(8,12)/10,0)</f>
        <v>1140</v>
      </c>
      <c r="AT15" s="4">
        <f ca="1">ROUND(T_Tiktok_ads[[#This Row],[comments]]*RANDBETWEEN(8,12)/10,0)</f>
        <v>284</v>
      </c>
      <c r="AV15" s="5">
        <f t="shared" ca="1" si="3"/>
        <v>45008</v>
      </c>
      <c r="AW15">
        <f t="shared" ca="1" si="4"/>
        <v>2</v>
      </c>
      <c r="AX15">
        <f ca="1">ROUND(T_Facebook_Ads115963[[#This Row],[impressions]]*RANDBETWEEN(8,12)/10,0)</f>
        <v>12761</v>
      </c>
      <c r="AY15">
        <f ca="1">ROUND(T_Facebook_Ads115963[[#This Row],[clicks]]*RANDBETWEEN(8,12)/10,0)</f>
        <v>454</v>
      </c>
      <c r="AZ15">
        <f ca="1">T_Facebook_Ads115963[[#This Row],[spend]]*RANDBETWEEN(8,12)/10</f>
        <v>218.09700000000004</v>
      </c>
      <c r="BA15">
        <f ca="1">ROUND(T_Facebook_Ads115963[[#This Row],[conversions]]*RANDBETWEEN(8,12)/10,0)</f>
        <v>23</v>
      </c>
      <c r="BB15">
        <f ca="1">ROUND(T_Facebook_Ads115963[[#This Row],[video_views]]*RANDBETWEEN(8,12)/10,0)</f>
        <v>1184</v>
      </c>
    </row>
    <row r="16" spans="1:54" ht="15.75" thickBot="1" x14ac:dyDescent="0.3">
      <c r="A16" s="3">
        <f t="shared" ca="1" si="0"/>
        <v>45000</v>
      </c>
      <c r="B16" s="4" t="s">
        <v>64</v>
      </c>
      <c r="C16" s="4" t="s">
        <v>65</v>
      </c>
      <c r="D16" s="4" t="s">
        <v>66</v>
      </c>
      <c r="E16" s="4" t="s">
        <v>67</v>
      </c>
      <c r="F16" s="4">
        <f ca="1">ROUND(T_Facebook_Ads[[#This Row],[impressions]]*RANDBETWEEN(8,12)/10,0)</f>
        <v>64111</v>
      </c>
      <c r="G16" s="4">
        <v>256</v>
      </c>
      <c r="H16" s="4">
        <f ca="1">T_Facebook_Ads[[#This Row],[spend]]*RANDBETWEEN(8,12)/10</f>
        <v>75.84</v>
      </c>
      <c r="I16" s="4">
        <f ca="1">ROUND(T_Facebook_Ads[[#This Row],[conversions]]*RANDBETWEEN(8,12)/10,0)</f>
        <v>5</v>
      </c>
      <c r="J16" s="4">
        <f ca="1">ROUND(T_Facebook_Ads[[#This Row],[video_views]]*RANDBETWEEN(8,12)/10,0)</f>
        <v>44011</v>
      </c>
      <c r="K16" s="4">
        <f ca="1">T_Facebook_Ads[[#This Row],[engagement_rate]]*RANDBETWEEN(8,12)/10</f>
        <v>4.3200000000000001E-3</v>
      </c>
      <c r="L16" s="4">
        <f ca="1">ROUND(T_Facebook_Ads[[#This Row],[reach]]*RANDBETWEEN(8,12)/10,0)</f>
        <v>71081</v>
      </c>
      <c r="M16" s="4">
        <f ca="1">T_Facebook_Ads[[#This Row],[frequency]]*RANDBETWEEN(8,12)/10</f>
        <v>1.2</v>
      </c>
      <c r="O16" s="3">
        <f t="shared" ca="1" si="1"/>
        <v>44998</v>
      </c>
      <c r="P16" s="4" t="s">
        <v>88</v>
      </c>
      <c r="Q16" s="4" t="s">
        <v>89</v>
      </c>
      <c r="R16" s="4" t="s">
        <v>90</v>
      </c>
      <c r="S16" s="4" t="s">
        <v>59</v>
      </c>
      <c r="T16" s="4">
        <f ca="1">ROUND(_Google_ads[[#This Row],[impressions]]*RANDBETWEEN(8,12)/10,0)</f>
        <v>141791</v>
      </c>
      <c r="U16" s="4">
        <f ca="1">ROUND(_Google_ads[[#This Row],[clicks]]*RANDBETWEEN(8,12)/10,0)</f>
        <v>420</v>
      </c>
      <c r="V16" s="4">
        <f ca="1">_Google_ads[[#This Row],[cost]]*RANDBETWEEN(8,12)/10</f>
        <v>154.68</v>
      </c>
      <c r="W16" s="4">
        <f ca="1">ROUND(_Google_ads[[#This Row],[conversions]]*RANDBETWEEN(8,12)/10,0)</f>
        <v>16</v>
      </c>
      <c r="X16" s="4">
        <f ca="1">ROUND(_Google_ads[[#This Row],[conversion_value]]*RANDBETWEEN(8,12)/10,0)</f>
        <v>520</v>
      </c>
      <c r="Y16" s="4">
        <f ca="1">_Google_ads[[#This Row],[ctr]]*RANDBETWEEN(8,12)/10</f>
        <v>2.8799999999999997E-3</v>
      </c>
      <c r="Z16" s="4">
        <f ca="1">_Google_ads[[#This Row],[avg_cpc]]*RANDBETWEEN(8,12)/10</f>
        <v>0.22400000000000003</v>
      </c>
      <c r="AA16" s="4">
        <f ca="1">ROUND(_Google_ads[[#This Row],[quality_score]]*RANDBETWEEN(8,12)/10,0)</f>
        <v>8</v>
      </c>
      <c r="AB16" s="4">
        <f ca="1">_Google_ads[[#This Row],[search_impression_share]]*RANDBETWEEN(8,12)/10</f>
        <v>0.30599999999999999</v>
      </c>
      <c r="AD16" s="3">
        <f t="shared" ca="1" si="2"/>
        <v>45015</v>
      </c>
      <c r="AE16" s="4" t="s">
        <v>112</v>
      </c>
      <c r="AF16" s="4" t="s">
        <v>113</v>
      </c>
      <c r="AG16" s="4" t="s">
        <v>114</v>
      </c>
      <c r="AH16" s="4" t="s">
        <v>115</v>
      </c>
      <c r="AI16" s="4">
        <f ca="1">ROUND(T_Tiktok_ads[[#This Row],[impressions]]*RANDBETWEEN(8,12)/10,0)</f>
        <v>285431</v>
      </c>
      <c r="AJ16" s="4">
        <f ca="1">ROUND(T_Tiktok_ads[[#This Row],[clicks]]*RANDBETWEEN(8,12)/10,0)</f>
        <v>5251</v>
      </c>
      <c r="AK16" s="4">
        <v>901.2</v>
      </c>
      <c r="AL16" s="4">
        <f ca="1">ROUND(T_Tiktok_ads[[#This Row],[conversions]]*RANDBETWEEN(8,12)/10,0)</f>
        <v>91</v>
      </c>
      <c r="AM16" s="4">
        <f ca="1">ROUND(T_Tiktok_ads[[#This Row],[video_views]]*RANDBETWEEN(8,12)/10,0)</f>
        <v>352147</v>
      </c>
      <c r="AN16" s="4">
        <f ca="1">ROUND(T_Tiktok_ads[[#This Row],[video_watch_25]]*RANDBETWEEN(8,12)/10,0)</f>
        <v>263157</v>
      </c>
      <c r="AO16" s="4">
        <f ca="1">ROUND(T_Tiktok_ads[[#This Row],[video_watch_50]]*RANDBETWEEN(8,12)/10,0)</f>
        <v>191234</v>
      </c>
      <c r="AP16" s="4">
        <f ca="1">ROUND(T_Tiktok_ads[[#This Row],[video_watch_75]]*RANDBETWEEN(8,12)/10,0)</f>
        <v>108987</v>
      </c>
      <c r="AQ16" s="4">
        <f ca="1">ROUND(T_Tiktok_ads[[#This Row],[video_watch_100]]*RANDBETWEEN(8,12)/10,0)</f>
        <v>72187</v>
      </c>
      <c r="AR16" s="4">
        <f ca="1">ROUND(T_Tiktok_ads[[#This Row],[likes]]*RANDBETWEEN(8,12)/10,0)</f>
        <v>17479</v>
      </c>
      <c r="AS16" s="4">
        <f ca="1">ROUND(T_Tiktok_ads[[#This Row],[shares]]*RANDBETWEEN(8,12)/10,0)</f>
        <v>3707</v>
      </c>
      <c r="AT16" s="4">
        <f ca="1">ROUND(T_Tiktok_ads[[#This Row],[comments]]*RANDBETWEEN(8,12)/10,0)</f>
        <v>1507</v>
      </c>
      <c r="AV16" s="5">
        <f t="shared" ca="1" si="3"/>
        <v>45015</v>
      </c>
      <c r="AW16">
        <f t="shared" ca="1" si="4"/>
        <v>4</v>
      </c>
      <c r="AX16">
        <f ca="1">ROUND(T_Facebook_Ads115963[[#This Row],[impressions]]*RANDBETWEEN(8,12)/10,0)</f>
        <v>64111</v>
      </c>
      <c r="AY16">
        <f ca="1">ROUND(T_Facebook_Ads115963[[#This Row],[clicks]]*RANDBETWEEN(8,12)/10,0)</f>
        <v>205</v>
      </c>
      <c r="AZ16">
        <f ca="1">T_Facebook_Ads115963[[#This Row],[spend]]*RANDBETWEEN(8,12)/10</f>
        <v>68.256</v>
      </c>
      <c r="BA16">
        <f ca="1">ROUND(T_Facebook_Ads115963[[#This Row],[conversions]]*RANDBETWEEN(8,12)/10,0)</f>
        <v>5</v>
      </c>
      <c r="BB16">
        <f ca="1">ROUND(T_Facebook_Ads115963[[#This Row],[video_views]]*RANDBETWEEN(8,12)/10,0)</f>
        <v>52813</v>
      </c>
    </row>
    <row r="17" spans="1:54" ht="15.75" thickBot="1" x14ac:dyDescent="0.3">
      <c r="A17" s="3">
        <f t="shared" ca="1" si="0"/>
        <v>45003</v>
      </c>
      <c r="B17" s="4" t="s">
        <v>52</v>
      </c>
      <c r="C17" s="4" t="s">
        <v>53</v>
      </c>
      <c r="D17" s="4" t="s">
        <v>54</v>
      </c>
      <c r="E17" s="4" t="s">
        <v>55</v>
      </c>
      <c r="F17" s="4">
        <f ca="1">ROUND(T_Facebook_Ads[[#This Row],[impressions]]*RANDBETWEEN(8,12)/10,0)</f>
        <v>49024</v>
      </c>
      <c r="G17" s="4">
        <v>878</v>
      </c>
      <c r="H17" s="4">
        <f ca="1">T_Facebook_Ads[[#This Row],[spend]]*RANDBETWEEN(8,12)/10</f>
        <v>100.47999999999999</v>
      </c>
      <c r="I17" s="4">
        <f ca="1">ROUND(T_Facebook_Ads[[#This Row],[conversions]]*RANDBETWEEN(8,12)/10,0)</f>
        <v>13</v>
      </c>
      <c r="J17" s="4">
        <f ca="1">ROUND(T_Facebook_Ads[[#This Row],[video_views]]*RANDBETWEEN(8,12)/10,0)</f>
        <v>8935</v>
      </c>
      <c r="K17" s="4">
        <f ca="1">T_Facebook_Ads[[#This Row],[engagement_rate]]*RANDBETWEEN(8,12)/10</f>
        <v>2.3640000000000001E-2</v>
      </c>
      <c r="L17" s="4">
        <f ca="1">ROUND(T_Facebook_Ads[[#This Row],[reach]]*RANDBETWEEN(8,12)/10,0)</f>
        <v>44947</v>
      </c>
      <c r="M17" s="4">
        <f ca="1">T_Facebook_Ads[[#This Row],[frequency]]*RANDBETWEEN(8,12)/10</f>
        <v>1.071</v>
      </c>
      <c r="O17" s="3">
        <f t="shared" ca="1" si="1"/>
        <v>44997</v>
      </c>
      <c r="P17" s="4" t="s">
        <v>76</v>
      </c>
      <c r="Q17" s="4" t="s">
        <v>77</v>
      </c>
      <c r="R17" s="4" t="s">
        <v>78</v>
      </c>
      <c r="S17" s="4" t="s">
        <v>79</v>
      </c>
      <c r="T17" s="4">
        <f ca="1">ROUND(_Google_ads[[#This Row],[impressions]]*RANDBETWEEN(8,12)/10,0)</f>
        <v>21811</v>
      </c>
      <c r="U17" s="4">
        <f ca="1">ROUND(_Google_ads[[#This Row],[clicks]]*RANDBETWEEN(8,12)/10,0)</f>
        <v>1520</v>
      </c>
      <c r="V17" s="4">
        <f ca="1">_Google_ads[[#This Row],[cost]]*RANDBETWEEN(8,12)/10</f>
        <v>192.95999999999998</v>
      </c>
      <c r="W17" s="4">
        <f ca="1">ROUND(_Google_ads[[#This Row],[conversions]]*RANDBETWEEN(8,12)/10,0)</f>
        <v>56</v>
      </c>
      <c r="X17" s="4">
        <f ca="1">ROUND(_Google_ads[[#This Row],[conversion_value]]*RANDBETWEEN(8,12)/10,0)</f>
        <v>2585</v>
      </c>
      <c r="Y17" s="4">
        <f ca="1">_Google_ads[[#This Row],[ctr]]*RANDBETWEEN(8,12)/10</f>
        <v>5.2299999999999999E-2</v>
      </c>
      <c r="Z17" s="4">
        <f ca="1">_Google_ads[[#This Row],[avg_cpc]]*RANDBETWEEN(8,12)/10</f>
        <v>0.17099999999999999</v>
      </c>
      <c r="AA17" s="4">
        <f ca="1">ROUND(_Google_ads[[#This Row],[quality_score]]*RANDBETWEEN(8,12)/10,0)</f>
        <v>10</v>
      </c>
      <c r="AB17" s="4">
        <f ca="1">_Google_ads[[#This Row],[search_impression_share]]*RANDBETWEEN(8,12)/10</f>
        <v>1.1040000000000001</v>
      </c>
      <c r="AD17" s="3">
        <f t="shared" ca="1" si="2"/>
        <v>45002</v>
      </c>
      <c r="AE17" s="4" t="s">
        <v>100</v>
      </c>
      <c r="AF17" s="4" t="s">
        <v>101</v>
      </c>
      <c r="AG17" s="4" t="s">
        <v>102</v>
      </c>
      <c r="AH17" s="4" t="s">
        <v>103</v>
      </c>
      <c r="AI17" s="4">
        <f ca="1">ROUND(T_Tiktok_ads[[#This Row],[impressions]]*RANDBETWEEN(8,12)/10,0)</f>
        <v>321468</v>
      </c>
      <c r="AJ17" s="4">
        <f ca="1">ROUND(T_Tiktok_ads[[#This Row],[clicks]]*RANDBETWEEN(8,12)/10,0)</f>
        <v>3551</v>
      </c>
      <c r="AK17" s="4">
        <v>523.4</v>
      </c>
      <c r="AL17" s="4">
        <f ca="1">ROUND(T_Tiktok_ads[[#This Row],[conversions]]*RANDBETWEEN(8,12)/10,0)</f>
        <v>48</v>
      </c>
      <c r="AM17" s="4">
        <f ca="1">ROUND(T_Tiktok_ads[[#This Row],[video_views]]*RANDBETWEEN(8,12)/10,0)</f>
        <v>221234</v>
      </c>
      <c r="AN17" s="4">
        <f ca="1">ROUND(T_Tiktok_ads[[#This Row],[video_watch_25]]*RANDBETWEEN(8,12)/10,0)</f>
        <v>190802</v>
      </c>
      <c r="AO17" s="4">
        <f ca="1">ROUND(T_Tiktok_ads[[#This Row],[video_watch_50]]*RANDBETWEEN(8,12)/10,0)</f>
        <v>98311</v>
      </c>
      <c r="AP17" s="4">
        <f ca="1">ROUND(T_Tiktok_ads[[#This Row],[video_watch_75]]*RANDBETWEEN(8,12)/10,0)</f>
        <v>80924</v>
      </c>
      <c r="AQ17" s="4">
        <f ca="1">ROUND(T_Tiktok_ads[[#This Row],[video_watch_100]]*RANDBETWEEN(8,12)/10,0)</f>
        <v>44311</v>
      </c>
      <c r="AR17" s="4">
        <f ca="1">ROUND(T_Tiktok_ads[[#This Row],[likes]]*RANDBETWEEN(8,12)/10,0)</f>
        <v>10768</v>
      </c>
      <c r="AS17" s="4">
        <f ca="1">ROUND(T_Tiktok_ads[[#This Row],[shares]]*RANDBETWEEN(8,12)/10,0)</f>
        <v>2634</v>
      </c>
      <c r="AT17" s="4">
        <f ca="1">ROUND(T_Tiktok_ads[[#This Row],[comments]]*RANDBETWEEN(8,12)/10,0)</f>
        <v>748</v>
      </c>
      <c r="AV17" s="5">
        <f t="shared" ca="1" si="3"/>
        <v>44993</v>
      </c>
      <c r="AW17">
        <f t="shared" ca="1" si="4"/>
        <v>5</v>
      </c>
      <c r="AX17">
        <f ca="1">ROUND(T_Facebook_Ads115963[[#This Row],[impressions]]*RANDBETWEEN(8,12)/10,0)</f>
        <v>49024</v>
      </c>
      <c r="AY17">
        <f ca="1">ROUND(T_Facebook_Ads115963[[#This Row],[clicks]]*RANDBETWEEN(8,12)/10,0)</f>
        <v>1054</v>
      </c>
      <c r="AZ17">
        <f ca="1">T_Facebook_Ads115963[[#This Row],[spend]]*RANDBETWEEN(8,12)/10</f>
        <v>120.57599999999998</v>
      </c>
      <c r="BA17">
        <f ca="1">ROUND(T_Facebook_Ads115963[[#This Row],[conversions]]*RANDBETWEEN(8,12)/10,0)</f>
        <v>13</v>
      </c>
      <c r="BB17">
        <f ca="1">ROUND(T_Facebook_Ads115963[[#This Row],[video_views]]*RANDBETWEEN(8,12)/10,0)</f>
        <v>8042</v>
      </c>
    </row>
    <row r="18" spans="1:54" ht="15.75" thickBot="1" x14ac:dyDescent="0.3">
      <c r="A18" s="3">
        <f t="shared" ca="1" si="0"/>
        <v>45002</v>
      </c>
      <c r="B18" s="4" t="s">
        <v>60</v>
      </c>
      <c r="C18" s="4" t="s">
        <v>61</v>
      </c>
      <c r="D18" s="4" t="s">
        <v>62</v>
      </c>
      <c r="E18" s="4" t="s">
        <v>63</v>
      </c>
      <c r="F18" s="4">
        <f ca="1">ROUND(T_Facebook_Ads[[#This Row],[impressions]]*RANDBETWEEN(8,12)/10,0)</f>
        <v>39246</v>
      </c>
      <c r="G18" s="4">
        <v>1289</v>
      </c>
      <c r="H18" s="4">
        <f ca="1">T_Facebook_Ads[[#This Row],[spend]]*RANDBETWEEN(8,12)/10</f>
        <v>215.16</v>
      </c>
      <c r="I18" s="4">
        <f ca="1">ROUND(T_Facebook_Ads[[#This Row],[conversions]]*RANDBETWEEN(8,12)/10,0)</f>
        <v>26</v>
      </c>
      <c r="J18" s="4">
        <f ca="1">ROUND(T_Facebook_Ads[[#This Row],[video_views]]*RANDBETWEEN(8,12)/10,0)</f>
        <v>5146</v>
      </c>
      <c r="K18" s="4">
        <f ca="1">T_Facebook_Ads[[#This Row],[engagement_rate]]*RANDBETWEEN(8,12)/10</f>
        <v>2.8879999999999999E-2</v>
      </c>
      <c r="L18" s="4">
        <f ca="1">ROUND(T_Facebook_Ads[[#This Row],[reach]]*RANDBETWEEN(8,12)/10,0)</f>
        <v>29345</v>
      </c>
      <c r="M18" s="4">
        <f ca="1">T_Facebook_Ads[[#This Row],[frequency]]*RANDBETWEEN(8,12)/10</f>
        <v>1.464</v>
      </c>
      <c r="O18" s="3">
        <f t="shared" ca="1" si="1"/>
        <v>45007</v>
      </c>
      <c r="P18" s="4" t="s">
        <v>84</v>
      </c>
      <c r="Q18" s="4" t="s">
        <v>85</v>
      </c>
      <c r="R18" s="4" t="s">
        <v>86</v>
      </c>
      <c r="S18" s="4" t="s">
        <v>87</v>
      </c>
      <c r="T18" s="4">
        <f ca="1">ROUND(_Google_ads[[#This Row],[impressions]]*RANDBETWEEN(8,12)/10,0)</f>
        <v>57876</v>
      </c>
      <c r="U18" s="4">
        <f ca="1">ROUND(_Google_ads[[#This Row],[clicks]]*RANDBETWEEN(8,12)/10,0)</f>
        <v>2854</v>
      </c>
      <c r="V18" s="4">
        <f ca="1">_Google_ads[[#This Row],[cost]]*RANDBETWEEN(8,12)/10</f>
        <v>432.9</v>
      </c>
      <c r="W18" s="4">
        <f ca="1">ROUND(_Google_ads[[#This Row],[conversions]]*RANDBETWEEN(8,12)/10,0)</f>
        <v>62</v>
      </c>
      <c r="X18" s="4">
        <f ca="1">ROUND(_Google_ads[[#This Row],[conversion_value]]*RANDBETWEEN(8,12)/10,0)</f>
        <v>2760</v>
      </c>
      <c r="Y18" s="4">
        <f ca="1">_Google_ads[[#This Row],[ctr]]*RANDBETWEEN(8,12)/10</f>
        <v>3.2899999999999999E-2</v>
      </c>
      <c r="Z18" s="4">
        <f ca="1">_Google_ads[[#This Row],[avg_cpc]]*RANDBETWEEN(8,12)/10</f>
        <v>0.19800000000000001</v>
      </c>
      <c r="AA18" s="4">
        <f ca="1">ROUND(_Google_ads[[#This Row],[quality_score]]*RANDBETWEEN(8,12)/10,0)</f>
        <v>8</v>
      </c>
      <c r="AB18" s="4">
        <f ca="1">_Google_ads[[#This Row],[search_impression_share]]*RANDBETWEEN(8,12)/10</f>
        <v>0.80400000000000005</v>
      </c>
      <c r="AD18" s="3">
        <f t="shared" ca="1" si="2"/>
        <v>45006</v>
      </c>
      <c r="AE18" s="4" t="s">
        <v>108</v>
      </c>
      <c r="AF18" s="4" t="s">
        <v>109</v>
      </c>
      <c r="AG18" s="4" t="s">
        <v>110</v>
      </c>
      <c r="AH18" s="4" t="s">
        <v>111</v>
      </c>
      <c r="AI18" s="4">
        <f ca="1">ROUND(T_Tiktok_ads[[#This Row],[impressions]]*RANDBETWEEN(8,12)/10,0)</f>
        <v>185110</v>
      </c>
      <c r="AJ18" s="4">
        <f ca="1">ROUND(T_Tiktok_ads[[#This Row],[clicks]]*RANDBETWEEN(8,12)/10,0)</f>
        <v>3557</v>
      </c>
      <c r="AK18" s="4">
        <v>387.8</v>
      </c>
      <c r="AL18" s="4">
        <f ca="1">ROUND(T_Tiktok_ads[[#This Row],[conversions]]*RANDBETWEEN(8,12)/10,0)</f>
        <v>32</v>
      </c>
      <c r="AM18" s="4">
        <f ca="1">ROUND(T_Tiktok_ads[[#This Row],[video_views]]*RANDBETWEEN(8,12)/10,0)</f>
        <v>178580</v>
      </c>
      <c r="AN18" s="4">
        <f ca="1">ROUND(T_Tiktok_ads[[#This Row],[video_watch_25]]*RANDBETWEEN(8,12)/10,0)</f>
        <v>149480</v>
      </c>
      <c r="AO18" s="4">
        <f ca="1">ROUND(T_Tiktok_ads[[#This Row],[video_watch_50]]*RANDBETWEEN(8,12)/10,0)</f>
        <v>89011</v>
      </c>
      <c r="AP18" s="4">
        <f ca="1">ROUND(T_Tiktok_ads[[#This Row],[video_watch_75]]*RANDBETWEEN(8,12)/10,0)</f>
        <v>63234</v>
      </c>
      <c r="AQ18" s="4">
        <f ca="1">ROUND(T_Tiktok_ads[[#This Row],[video_watch_100]]*RANDBETWEEN(8,12)/10,0)</f>
        <v>38234</v>
      </c>
      <c r="AR18" s="4">
        <f ca="1">ROUND(T_Tiktok_ads[[#This Row],[likes]]*RANDBETWEEN(8,12)/10,0)</f>
        <v>7567</v>
      </c>
      <c r="AS18" s="4">
        <f ca="1">ROUND(T_Tiktok_ads[[#This Row],[shares]]*RANDBETWEEN(8,12)/10,0)</f>
        <v>1671</v>
      </c>
      <c r="AT18" s="4">
        <f ca="1">ROUND(T_Tiktok_ads[[#This Row],[comments]]*RANDBETWEEN(8,12)/10,0)</f>
        <v>601</v>
      </c>
      <c r="AV18" s="5">
        <f t="shared" ca="1" si="3"/>
        <v>45005</v>
      </c>
      <c r="AW18">
        <f t="shared" ca="1" si="4"/>
        <v>4</v>
      </c>
      <c r="AX18">
        <f ca="1">ROUND(T_Facebook_Ads115963[[#This Row],[impressions]]*RANDBETWEEN(8,12)/10,0)</f>
        <v>35321</v>
      </c>
      <c r="AY18">
        <f ca="1">ROUND(T_Facebook_Ads115963[[#This Row],[clicks]]*RANDBETWEEN(8,12)/10,0)</f>
        <v>1031</v>
      </c>
      <c r="AZ18">
        <f ca="1">T_Facebook_Ads115963[[#This Row],[spend]]*RANDBETWEEN(8,12)/10</f>
        <v>215.16</v>
      </c>
      <c r="BA18">
        <f ca="1">ROUND(T_Facebook_Ads115963[[#This Row],[conversions]]*RANDBETWEEN(8,12)/10,0)</f>
        <v>21</v>
      </c>
      <c r="BB18">
        <f ca="1">ROUND(T_Facebook_Ads115963[[#This Row],[video_views]]*RANDBETWEEN(8,12)/10,0)</f>
        <v>5146</v>
      </c>
    </row>
    <row r="19" spans="1:54" ht="15.75" thickBot="1" x14ac:dyDescent="0.3">
      <c r="A19" s="3">
        <f t="shared" ca="1" si="0"/>
        <v>44986</v>
      </c>
      <c r="B19" s="4" t="s">
        <v>64</v>
      </c>
      <c r="C19" s="4" t="s">
        <v>65</v>
      </c>
      <c r="D19" s="4" t="s">
        <v>66</v>
      </c>
      <c r="E19" s="4" t="s">
        <v>67</v>
      </c>
      <c r="F19" s="4">
        <f ca="1">ROUND(T_Facebook_Ads[[#This Row],[impressions]]*RANDBETWEEN(8,12)/10,0)</f>
        <v>55565</v>
      </c>
      <c r="G19" s="4">
        <v>245</v>
      </c>
      <c r="H19" s="4">
        <f ca="1">T_Facebook_Ads[[#This Row],[spend]]*RANDBETWEEN(8,12)/10</f>
        <v>109.44000000000001</v>
      </c>
      <c r="I19" s="4">
        <f ca="1">ROUND(T_Facebook_Ads[[#This Row],[conversions]]*RANDBETWEEN(8,12)/10,0)</f>
        <v>5</v>
      </c>
      <c r="J19" s="4">
        <f ca="1">ROUND(T_Facebook_Ads[[#This Row],[video_views]]*RANDBETWEEN(8,12)/10,0)</f>
        <v>51957</v>
      </c>
      <c r="K19" s="4">
        <f ca="1">T_Facebook_Ads[[#This Row],[engagement_rate]]*RANDBETWEEN(8,12)/10</f>
        <v>3.5000000000000005E-3</v>
      </c>
      <c r="L19" s="4">
        <f ca="1">ROUND(T_Facebook_Ads[[#This Row],[reach]]*RANDBETWEEN(8,12)/10,0)</f>
        <v>52101</v>
      </c>
      <c r="M19" s="4">
        <f ca="1">T_Facebook_Ads[[#This Row],[frequency]]*RANDBETWEEN(8,12)/10</f>
        <v>1.44</v>
      </c>
      <c r="O19" s="3">
        <f t="shared" ca="1" si="1"/>
        <v>45010</v>
      </c>
      <c r="P19" s="4" t="s">
        <v>88</v>
      </c>
      <c r="Q19" s="4" t="s">
        <v>89</v>
      </c>
      <c r="R19" s="4" t="s">
        <v>90</v>
      </c>
      <c r="S19" s="4" t="s">
        <v>59</v>
      </c>
      <c r="T19" s="4">
        <f ca="1">ROUND(_Google_ads[[#This Row],[impressions]]*RANDBETWEEN(8,12)/10,0)</f>
        <v>144357</v>
      </c>
      <c r="U19" s="4">
        <f ca="1">ROUND(_Google_ads[[#This Row],[clicks]]*RANDBETWEEN(8,12)/10,0)</f>
        <v>430</v>
      </c>
      <c r="V19" s="4">
        <f ca="1">_Google_ads[[#This Row],[cost]]*RANDBETWEEN(8,12)/10</f>
        <v>158.88000000000002</v>
      </c>
      <c r="W19" s="4">
        <f ca="1">ROUND(_Google_ads[[#This Row],[conversions]]*RANDBETWEEN(8,12)/10,0)</f>
        <v>12</v>
      </c>
      <c r="X19" s="4">
        <f ca="1">ROUND(_Google_ads[[#This Row],[conversion_value]]*RANDBETWEEN(8,12)/10,0)</f>
        <v>780</v>
      </c>
      <c r="Y19" s="4">
        <f ca="1">_Google_ads[[#This Row],[ctr]]*RANDBETWEEN(8,12)/10</f>
        <v>3.5999999999999999E-3</v>
      </c>
      <c r="Z19" s="4">
        <f ca="1">_Google_ads[[#This Row],[avg_cpc]]*RANDBETWEEN(8,12)/10</f>
        <v>0.33600000000000002</v>
      </c>
      <c r="AA19" s="4">
        <f ca="1">ROUND(_Google_ads[[#This Row],[quality_score]]*RANDBETWEEN(8,12)/10,0)</f>
        <v>6</v>
      </c>
      <c r="AB19" s="4">
        <f ca="1">_Google_ads[[#This Row],[search_impression_share]]*RANDBETWEEN(8,12)/10</f>
        <v>0.38499999999999995</v>
      </c>
      <c r="AD19" s="3">
        <f t="shared" ca="1" si="2"/>
        <v>45006</v>
      </c>
      <c r="AE19" s="4" t="s">
        <v>112</v>
      </c>
      <c r="AF19" s="4" t="s">
        <v>113</v>
      </c>
      <c r="AG19" s="4" t="s">
        <v>114</v>
      </c>
      <c r="AH19" s="4" t="s">
        <v>115</v>
      </c>
      <c r="AI19" s="4">
        <f ca="1">ROUND(T_Tiktok_ads[[#This Row],[impressions]]*RANDBETWEEN(8,12)/10,0)</f>
        <v>303121</v>
      </c>
      <c r="AJ19" s="4">
        <f ca="1">ROUND(T_Tiktok_ads[[#This Row],[clicks]]*RANDBETWEEN(8,12)/10,0)</f>
        <v>4898</v>
      </c>
      <c r="AK19" s="4">
        <v>945.6</v>
      </c>
      <c r="AL19" s="4">
        <f ca="1">ROUND(T_Tiktok_ads[[#This Row],[conversions]]*RANDBETWEEN(8,12)/10,0)</f>
        <v>86</v>
      </c>
      <c r="AM19" s="4">
        <f ca="1">ROUND(T_Tiktok_ads[[#This Row],[video_views]]*RANDBETWEEN(8,12)/10,0)</f>
        <v>343580</v>
      </c>
      <c r="AN19" s="4">
        <f ca="1">ROUND(T_Tiktok_ads[[#This Row],[video_watch_25]]*RANDBETWEEN(8,12)/10,0)</f>
        <v>226111</v>
      </c>
      <c r="AO19" s="4">
        <f ca="1">ROUND(T_Tiktok_ads[[#This Row],[video_watch_50]]*RANDBETWEEN(8,12)/10,0)</f>
        <v>201234</v>
      </c>
      <c r="AP19" s="4">
        <f ca="1">ROUND(T_Tiktok_ads[[#This Row],[video_watch_75]]*RANDBETWEEN(8,12)/10,0)</f>
        <v>114765</v>
      </c>
      <c r="AQ19" s="4">
        <f ca="1">ROUND(T_Tiktok_ads[[#This Row],[video_watch_100]]*RANDBETWEEN(8,12)/10,0)</f>
        <v>114281</v>
      </c>
      <c r="AR19" s="4">
        <f ca="1">ROUND(T_Tiktok_ads[[#This Row],[likes]]*RANDBETWEEN(8,12)/10,0)</f>
        <v>14910</v>
      </c>
      <c r="AS19" s="4">
        <f ca="1">ROUND(T_Tiktok_ads[[#This Row],[shares]]*RANDBETWEEN(8,12)/10,0)</f>
        <v>3858</v>
      </c>
      <c r="AT19" s="4">
        <f ca="1">ROUND(T_Tiktok_ads[[#This Row],[comments]]*RANDBETWEEN(8,12)/10,0)</f>
        <v>1181</v>
      </c>
      <c r="AV19" s="5">
        <f t="shared" ca="1" si="3"/>
        <v>45012</v>
      </c>
      <c r="AW19">
        <f t="shared" ca="1" si="4"/>
        <v>5</v>
      </c>
      <c r="AX19">
        <f ca="1">ROUND(T_Facebook_Ads115963[[#This Row],[impressions]]*RANDBETWEEN(8,12)/10,0)</f>
        <v>44452</v>
      </c>
      <c r="AY19">
        <f ca="1">ROUND(T_Facebook_Ads115963[[#This Row],[clicks]]*RANDBETWEEN(8,12)/10,0)</f>
        <v>221</v>
      </c>
      <c r="AZ19">
        <f ca="1">T_Facebook_Ads115963[[#This Row],[spend]]*RANDBETWEEN(8,12)/10</f>
        <v>87.552000000000007</v>
      </c>
      <c r="BA19">
        <f ca="1">ROUND(T_Facebook_Ads115963[[#This Row],[conversions]]*RANDBETWEEN(8,12)/10,0)</f>
        <v>4</v>
      </c>
      <c r="BB19">
        <f ca="1">ROUND(T_Facebook_Ads115963[[#This Row],[video_views]]*RANDBETWEEN(8,12)/10,0)</f>
        <v>41566</v>
      </c>
    </row>
    <row r="20" spans="1:54" ht="15.75" thickBot="1" x14ac:dyDescent="0.3">
      <c r="A20" s="3">
        <f t="shared" ca="1" si="0"/>
        <v>44999</v>
      </c>
      <c r="B20" s="4" t="s">
        <v>52</v>
      </c>
      <c r="C20" s="4" t="s">
        <v>53</v>
      </c>
      <c r="D20" s="4" t="s">
        <v>54</v>
      </c>
      <c r="E20" s="4" t="s">
        <v>55</v>
      </c>
      <c r="F20" s="4">
        <f ca="1">ROUND(T_Facebook_Ads[[#This Row],[impressions]]*RANDBETWEEN(8,12)/10,0)</f>
        <v>39901</v>
      </c>
      <c r="G20" s="4">
        <v>1067</v>
      </c>
      <c r="H20" s="4">
        <f ca="1">T_Facebook_Ads[[#This Row],[spend]]*RANDBETWEEN(8,12)/10</f>
        <v>145.9</v>
      </c>
      <c r="I20" s="4">
        <f ca="1">ROUND(T_Facebook_Ads[[#This Row],[conversions]]*RANDBETWEEN(8,12)/10,0)</f>
        <v>13</v>
      </c>
      <c r="J20" s="4">
        <f ca="1">ROUND(T_Facebook_Ads[[#This Row],[video_views]]*RANDBETWEEN(8,12)/10,0)</f>
        <v>9567</v>
      </c>
      <c r="K20" s="4">
        <f ca="1">T_Facebook_Ads[[#This Row],[engagement_rate]]*RANDBETWEEN(8,12)/10</f>
        <v>2.1399999999999999E-2</v>
      </c>
      <c r="L20" s="4">
        <f ca="1">ROUND(T_Facebook_Ads[[#This Row],[reach]]*RANDBETWEEN(8,12)/10,0)</f>
        <v>41234</v>
      </c>
      <c r="M20" s="4">
        <f ca="1">T_Facebook_Ads[[#This Row],[frequency]]*RANDBETWEEN(8,12)/10</f>
        <v>1.331</v>
      </c>
      <c r="O20" s="3">
        <f t="shared" ca="1" si="1"/>
        <v>45014</v>
      </c>
      <c r="P20" s="4" t="s">
        <v>76</v>
      </c>
      <c r="Q20" s="4" t="s">
        <v>77</v>
      </c>
      <c r="R20" s="4" t="s">
        <v>78</v>
      </c>
      <c r="S20" s="4" t="s">
        <v>79</v>
      </c>
      <c r="T20" s="4">
        <f ca="1">ROUND(_Google_ads[[#This Row],[impressions]]*RANDBETWEEN(8,12)/10,0)</f>
        <v>32147</v>
      </c>
      <c r="U20" s="4">
        <f ca="1">ROUND(_Google_ads[[#This Row],[clicks]]*RANDBETWEEN(8,12)/10,0)</f>
        <v>1602</v>
      </c>
      <c r="V20" s="4">
        <f ca="1">_Google_ads[[#This Row],[cost]]*RANDBETWEEN(8,12)/10</f>
        <v>306.78999999999996</v>
      </c>
      <c r="W20" s="4">
        <f ca="1">ROUND(_Google_ads[[#This Row],[conversions]]*RANDBETWEEN(8,12)/10,0)</f>
        <v>59</v>
      </c>
      <c r="X20" s="4">
        <f ca="1">ROUND(_Google_ads[[#This Row],[conversion_value]]*RANDBETWEEN(8,12)/10,0)</f>
        <v>2430</v>
      </c>
      <c r="Y20" s="4">
        <f ca="1">_Google_ads[[#This Row],[ctr]]*RANDBETWEEN(8,12)/10</f>
        <v>6.5279999999999991E-2</v>
      </c>
      <c r="Z20" s="4">
        <f ca="1">_Google_ads[[#This Row],[avg_cpc]]*RANDBETWEEN(8,12)/10</f>
        <v>0.22800000000000004</v>
      </c>
      <c r="AA20" s="4">
        <f ca="1">ROUND(_Google_ads[[#This Row],[quality_score]]*RANDBETWEEN(8,12)/10,0)</f>
        <v>9</v>
      </c>
      <c r="AB20" s="4">
        <f ca="1">_Google_ads[[#This Row],[search_impression_share]]*RANDBETWEEN(8,12)/10</f>
        <v>1.1160000000000001</v>
      </c>
      <c r="AD20" s="3">
        <f t="shared" ca="1" si="2"/>
        <v>45006</v>
      </c>
      <c r="AE20" s="4" t="s">
        <v>100</v>
      </c>
      <c r="AF20" s="4" t="s">
        <v>101</v>
      </c>
      <c r="AG20" s="4" t="s">
        <v>102</v>
      </c>
      <c r="AH20" s="4" t="s">
        <v>103</v>
      </c>
      <c r="AI20" s="4">
        <f ca="1">ROUND(T_Tiktok_ads[[#This Row],[impressions]]*RANDBETWEEN(8,12)/10,0)</f>
        <v>306791</v>
      </c>
      <c r="AJ20" s="4">
        <f ca="1">ROUND(T_Tiktok_ads[[#This Row],[clicks]]*RANDBETWEEN(8,12)/10,0)</f>
        <v>3298</v>
      </c>
      <c r="AK20" s="4">
        <v>545.6</v>
      </c>
      <c r="AL20" s="4">
        <f ca="1">ROUND(T_Tiktok_ads[[#This Row],[conversions]]*RANDBETWEEN(8,12)/10,0)</f>
        <v>38</v>
      </c>
      <c r="AM20" s="4">
        <f ca="1">ROUND(T_Tiktok_ads[[#This Row],[video_views]]*RANDBETWEEN(8,12)/10,0)</f>
        <v>183387</v>
      </c>
      <c r="AN20" s="4">
        <f ca="1">ROUND(T_Tiktok_ads[[#This Row],[video_watch_25]]*RANDBETWEEN(8,12)/10,0)</f>
        <v>179234</v>
      </c>
      <c r="AO20" s="4">
        <f ca="1">ROUND(T_Tiktok_ads[[#This Row],[video_watch_50]]*RANDBETWEEN(8,12)/10,0)</f>
        <v>112234</v>
      </c>
      <c r="AP20" s="4">
        <f ca="1">ROUND(T_Tiktok_ads[[#This Row],[video_watch_75]]*RANDBETWEEN(8,12)/10,0)</f>
        <v>60542</v>
      </c>
      <c r="AQ20" s="4">
        <f ca="1">ROUND(T_Tiktok_ads[[#This Row],[video_watch_100]]*RANDBETWEEN(8,12)/10,0)</f>
        <v>55257</v>
      </c>
      <c r="AR20" s="4">
        <f ca="1">ROUND(T_Tiktok_ads[[#This Row],[likes]]*RANDBETWEEN(8,12)/10,0)</f>
        <v>9111</v>
      </c>
      <c r="AS20" s="4">
        <f ca="1">ROUND(T_Tiktok_ads[[#This Row],[shares]]*RANDBETWEEN(8,12)/10,0)</f>
        <v>2170</v>
      </c>
      <c r="AT20" s="4">
        <f ca="1">ROUND(T_Tiktok_ads[[#This Row],[comments]]*RANDBETWEEN(8,12)/10,0)</f>
        <v>516</v>
      </c>
      <c r="AV20" s="5">
        <f t="shared" ca="1" si="3"/>
        <v>45001</v>
      </c>
      <c r="AW20">
        <f t="shared" ca="1" si="4"/>
        <v>5</v>
      </c>
      <c r="AX20">
        <f ca="1">ROUND(T_Facebook_Ads115963[[#This Row],[impressions]]*RANDBETWEEN(8,12)/10,0)</f>
        <v>43891</v>
      </c>
      <c r="AY20">
        <f ca="1">ROUND(T_Facebook_Ads115963[[#This Row],[clicks]]*RANDBETWEEN(8,12)/10,0)</f>
        <v>854</v>
      </c>
      <c r="AZ20">
        <f ca="1">T_Facebook_Ads115963[[#This Row],[spend]]*RANDBETWEEN(8,12)/10</f>
        <v>116.72</v>
      </c>
      <c r="BA20">
        <f ca="1">ROUND(T_Facebook_Ads115963[[#This Row],[conversions]]*RANDBETWEEN(8,12)/10,0)</f>
        <v>12</v>
      </c>
      <c r="BB20">
        <f ca="1">ROUND(T_Facebook_Ads115963[[#This Row],[video_views]]*RANDBETWEEN(8,12)/10,0)</f>
        <v>9567</v>
      </c>
    </row>
    <row r="21" spans="1:54" ht="15.75" thickBot="1" x14ac:dyDescent="0.3">
      <c r="A21" s="3">
        <f t="shared" ca="1" si="0"/>
        <v>45015</v>
      </c>
      <c r="B21" s="4" t="s">
        <v>56</v>
      </c>
      <c r="C21" s="4" t="s">
        <v>57</v>
      </c>
      <c r="D21" s="4" t="s">
        <v>58</v>
      </c>
      <c r="E21" s="4" t="s">
        <v>59</v>
      </c>
      <c r="F21" s="4">
        <f ca="1">ROUND(T_Facebook_Ads[[#This Row],[impressions]]*RANDBETWEEN(8,12)/10,0)</f>
        <v>14802</v>
      </c>
      <c r="G21" s="4">
        <v>623</v>
      </c>
      <c r="H21" s="4">
        <f ca="1">T_Facebook_Ads[[#This Row],[spend]]*RANDBETWEEN(8,12)/10</f>
        <v>261.58000000000004</v>
      </c>
      <c r="I21" s="4">
        <f ca="1">ROUND(T_Facebook_Ads[[#This Row],[conversions]]*RANDBETWEEN(8,12)/10,0)</f>
        <v>44</v>
      </c>
      <c r="J21" s="4">
        <f ca="1">ROUND(T_Facebook_Ads[[#This Row],[video_views]]*RANDBETWEEN(8,12)/10,0)</f>
        <v>1747</v>
      </c>
      <c r="K21" s="4">
        <f ca="1">T_Facebook_Ads[[#This Row],[engagement_rate]]*RANDBETWEEN(8,12)/10</f>
        <v>5.5559999999999998E-2</v>
      </c>
      <c r="L21" s="4">
        <f ca="1">ROUND(T_Facebook_Ads[[#This Row],[reach]]*RANDBETWEEN(8,12)/10,0)</f>
        <v>8454</v>
      </c>
      <c r="M21" s="4">
        <f ca="1">T_Facebook_Ads[[#This Row],[frequency]]*RANDBETWEEN(8,12)/10</f>
        <v>1.143</v>
      </c>
      <c r="O21" s="3">
        <f t="shared" ca="1" si="1"/>
        <v>45012</v>
      </c>
      <c r="P21" s="4" t="s">
        <v>80</v>
      </c>
      <c r="Q21" s="4" t="s">
        <v>81</v>
      </c>
      <c r="R21" s="4" t="s">
        <v>82</v>
      </c>
      <c r="S21" s="4" t="s">
        <v>83</v>
      </c>
      <c r="T21" s="4">
        <f ca="1">ROUND(_Google_ads[[#This Row],[impressions]]*RANDBETWEEN(8,12)/10,0)</f>
        <v>49024</v>
      </c>
      <c r="U21" s="4">
        <f ca="1">ROUND(_Google_ads[[#This Row],[clicks]]*RANDBETWEEN(8,12)/10,0)</f>
        <v>790</v>
      </c>
      <c r="V21" s="4">
        <f ca="1">_Google_ads[[#This Row],[cost]]*RANDBETWEEN(8,12)/10</f>
        <v>567.20000000000005</v>
      </c>
      <c r="W21" s="4">
        <f ca="1">ROUND(_Google_ads[[#This Row],[conversions]]*RANDBETWEEN(8,12)/10,0)</f>
        <v>20</v>
      </c>
      <c r="X21" s="4">
        <f ca="1">ROUND(_Google_ads[[#This Row],[conversion_value]]*RANDBETWEEN(8,12)/10,0)</f>
        <v>1210</v>
      </c>
      <c r="Y21" s="4">
        <f ca="1">_Google_ads[[#This Row],[ctr]]*RANDBETWEEN(8,12)/10</f>
        <v>1.9699999999999999E-2</v>
      </c>
      <c r="Z21" s="4">
        <f ca="1">_Google_ads[[#This Row],[avg_cpc]]*RANDBETWEEN(8,12)/10</f>
        <v>0.78</v>
      </c>
      <c r="AA21" s="4">
        <f ca="1">ROUND(_Google_ads[[#This Row],[quality_score]]*RANDBETWEEN(8,12)/10,0)</f>
        <v>5</v>
      </c>
      <c r="AB21" s="4">
        <f ca="1">_Google_ads[[#This Row],[search_impression_share]]*RANDBETWEEN(8,12)/10</f>
        <v>0.52800000000000002</v>
      </c>
      <c r="AD21" s="3">
        <f t="shared" ca="1" si="2"/>
        <v>45009</v>
      </c>
      <c r="AE21" s="4" t="s">
        <v>104</v>
      </c>
      <c r="AF21" s="4" t="s">
        <v>105</v>
      </c>
      <c r="AG21" s="4" t="s">
        <v>106</v>
      </c>
      <c r="AH21" s="4" t="s">
        <v>107</v>
      </c>
      <c r="AI21" s="4">
        <f ca="1">ROUND(T_Tiktok_ads[[#This Row],[impressions]]*RANDBETWEEN(8,12)/10,0)</f>
        <v>111121</v>
      </c>
      <c r="AJ21" s="4">
        <f ca="1">ROUND(T_Tiktok_ads[[#This Row],[clicks]]*RANDBETWEEN(8,12)/10,0)</f>
        <v>2678</v>
      </c>
      <c r="AK21" s="4">
        <v>734.5</v>
      </c>
      <c r="AL21" s="4">
        <f ca="1">ROUND(T_Tiktok_ads[[#This Row],[conversions]]*RANDBETWEEN(8,12)/10,0)</f>
        <v>73</v>
      </c>
      <c r="AM21" s="4">
        <f ca="1">ROUND(T_Tiktok_ads[[#This Row],[video_views]]*RANDBETWEEN(8,12)/10,0)</f>
        <v>107679</v>
      </c>
      <c r="AN21" s="4">
        <f ca="1">ROUND(T_Tiktok_ads[[#This Row],[video_watch_25]]*RANDBETWEEN(8,12)/10,0)</f>
        <v>57876</v>
      </c>
      <c r="AO21" s="4">
        <f ca="1">ROUND(T_Tiktok_ads[[#This Row],[video_watch_50]]*RANDBETWEEN(8,12)/10,0)</f>
        <v>44011</v>
      </c>
      <c r="AP21" s="4">
        <f ca="1">ROUND(T_Tiktok_ads[[#This Row],[video_watch_75]]*RANDBETWEEN(8,12)/10,0)</f>
        <v>40468</v>
      </c>
      <c r="AQ21" s="4">
        <f ca="1">ROUND(T_Tiktok_ads[[#This Row],[video_watch_100]]*RANDBETWEEN(8,12)/10,0)</f>
        <v>27379</v>
      </c>
      <c r="AR21" s="4">
        <f ca="1">ROUND(T_Tiktok_ads[[#This Row],[likes]]*RANDBETWEEN(8,12)/10,0)</f>
        <v>4901</v>
      </c>
      <c r="AS21" s="4">
        <f ca="1">ROUND(T_Tiktok_ads[[#This Row],[shares]]*RANDBETWEEN(8,12)/10,0)</f>
        <v>1085</v>
      </c>
      <c r="AT21" s="4">
        <f ca="1">ROUND(T_Tiktok_ads[[#This Row],[comments]]*RANDBETWEEN(8,12)/10,0)</f>
        <v>307</v>
      </c>
      <c r="AV21" s="5">
        <f t="shared" ca="1" si="3"/>
        <v>44989</v>
      </c>
      <c r="AW21">
        <f t="shared" ca="1" si="4"/>
        <v>5</v>
      </c>
      <c r="AX21">
        <f ca="1">ROUND(T_Facebook_Ads115963[[#This Row],[impressions]]*RANDBETWEEN(8,12)/10,0)</f>
        <v>17762</v>
      </c>
      <c r="AY21">
        <f ca="1">ROUND(T_Facebook_Ads115963[[#This Row],[clicks]]*RANDBETWEEN(8,12)/10,0)</f>
        <v>561</v>
      </c>
      <c r="AZ21">
        <f ca="1">T_Facebook_Ads115963[[#This Row],[spend]]*RANDBETWEEN(8,12)/10</f>
        <v>287.73800000000006</v>
      </c>
      <c r="BA21">
        <f ca="1">ROUND(T_Facebook_Ads115963[[#This Row],[conversions]]*RANDBETWEEN(8,12)/10,0)</f>
        <v>48</v>
      </c>
      <c r="BB21">
        <f ca="1">ROUND(T_Facebook_Ads115963[[#This Row],[video_views]]*RANDBETWEEN(8,12)/10,0)</f>
        <v>1398</v>
      </c>
    </row>
    <row r="22" spans="1:54" ht="15.75" thickBot="1" x14ac:dyDescent="0.3">
      <c r="A22" s="3">
        <f t="shared" ca="1" si="0"/>
        <v>44986</v>
      </c>
      <c r="B22" s="4" t="s">
        <v>60</v>
      </c>
      <c r="C22" s="4" t="s">
        <v>61</v>
      </c>
      <c r="D22" s="4" t="s">
        <v>62</v>
      </c>
      <c r="E22" s="4" t="s">
        <v>63</v>
      </c>
      <c r="F22" s="4">
        <f ca="1">ROUND(T_Facebook_Ads[[#This Row],[impressions]]*RANDBETWEEN(8,12)/10,0)</f>
        <v>37234</v>
      </c>
      <c r="G22" s="4">
        <v>1367</v>
      </c>
      <c r="H22" s="4">
        <f ca="1">T_Facebook_Ads[[#This Row],[spend]]*RANDBETWEEN(8,12)/10</f>
        <v>207.9</v>
      </c>
      <c r="I22" s="4">
        <f ca="1">ROUND(T_Facebook_Ads[[#This Row],[conversions]]*RANDBETWEEN(8,12)/10,0)</f>
        <v>30</v>
      </c>
      <c r="J22" s="4">
        <f ca="1">ROUND(T_Facebook_Ads[[#This Row],[video_views]]*RANDBETWEEN(8,12)/10,0)</f>
        <v>4511</v>
      </c>
      <c r="K22" s="4">
        <f ca="1">T_Facebook_Ads[[#This Row],[engagement_rate]]*RANDBETWEEN(8,12)/10</f>
        <v>4.4040000000000003E-2</v>
      </c>
      <c r="L22" s="4">
        <f ca="1">ROUND(T_Facebook_Ads[[#This Row],[reach]]*RANDBETWEEN(8,12)/10,0)</f>
        <v>33746</v>
      </c>
      <c r="M22" s="4">
        <f ca="1">T_Facebook_Ads[[#This Row],[frequency]]*RANDBETWEEN(8,12)/10</f>
        <v>0.96799999999999997</v>
      </c>
      <c r="O22" s="3">
        <f t="shared" ca="1" si="1"/>
        <v>44999</v>
      </c>
      <c r="P22" s="4" t="s">
        <v>84</v>
      </c>
      <c r="Q22" s="4" t="s">
        <v>85</v>
      </c>
      <c r="R22" s="4" t="s">
        <v>86</v>
      </c>
      <c r="S22" s="4" t="s">
        <v>87</v>
      </c>
      <c r="T22" s="4">
        <f ca="1">ROUND(_Google_ads[[#This Row],[impressions]]*RANDBETWEEN(8,12)/10,0)</f>
        <v>84281</v>
      </c>
      <c r="U22" s="4">
        <f ca="1">ROUND(_Google_ads[[#This Row],[clicks]]*RANDBETWEEN(8,12)/10,0)</f>
        <v>2289</v>
      </c>
      <c r="V22" s="4">
        <f ca="1">_Google_ads[[#This Row],[cost]]*RANDBETWEEN(8,12)/10</f>
        <v>461.45</v>
      </c>
      <c r="W22" s="4">
        <f ca="1">ROUND(_Google_ads[[#This Row],[conversions]]*RANDBETWEEN(8,12)/10,0)</f>
        <v>73</v>
      </c>
      <c r="X22" s="4">
        <f ca="1">ROUND(_Google_ads[[#This Row],[conversion_value]]*RANDBETWEEN(8,12)/10,0)</f>
        <v>3960</v>
      </c>
      <c r="Y22" s="4">
        <f ca="1">_Google_ads[[#This Row],[ctr]]*RANDBETWEEN(8,12)/10</f>
        <v>2.9339999999999998E-2</v>
      </c>
      <c r="Z22" s="4">
        <f ca="1">_Google_ads[[#This Row],[avg_cpc]]*RANDBETWEEN(8,12)/10</f>
        <v>0.19800000000000001</v>
      </c>
      <c r="AA22" s="4">
        <f ca="1">ROUND(_Google_ads[[#This Row],[quality_score]]*RANDBETWEEN(8,12)/10,0)</f>
        <v>9</v>
      </c>
      <c r="AB22" s="4">
        <f ca="1">_Google_ads[[#This Row],[search_impression_share]]*RANDBETWEEN(8,12)/10</f>
        <v>0.79200000000000004</v>
      </c>
      <c r="AD22" s="3">
        <f t="shared" ca="1" si="2"/>
        <v>45000</v>
      </c>
      <c r="AE22" s="4" t="s">
        <v>108</v>
      </c>
      <c r="AF22" s="4" t="s">
        <v>109</v>
      </c>
      <c r="AG22" s="4" t="s">
        <v>110</v>
      </c>
      <c r="AH22" s="4" t="s">
        <v>111</v>
      </c>
      <c r="AI22" s="4">
        <f ca="1">ROUND(T_Tiktok_ads[[#This Row],[impressions]]*RANDBETWEEN(8,12)/10,0)</f>
        <v>254814</v>
      </c>
      <c r="AJ22" s="4">
        <f ca="1">ROUND(T_Tiktok_ads[[#This Row],[clicks]]*RANDBETWEEN(8,12)/10,0)</f>
        <v>3680</v>
      </c>
      <c r="AK22" s="4">
        <v>401.1</v>
      </c>
      <c r="AL22" s="4">
        <f ca="1">ROUND(T_Tiktok_ads[[#This Row],[conversions]]*RANDBETWEEN(8,12)/10,0)</f>
        <v>22</v>
      </c>
      <c r="AM22" s="4">
        <f ca="1">ROUND(T_Tiktok_ads[[#This Row],[video_views]]*RANDBETWEEN(8,12)/10,0)</f>
        <v>134312</v>
      </c>
      <c r="AN22" s="4">
        <f ca="1">ROUND(T_Tiktok_ads[[#This Row],[video_watch_25]]*RANDBETWEEN(8,12)/10,0)</f>
        <v>102587</v>
      </c>
      <c r="AO22" s="4">
        <f ca="1">ROUND(T_Tiktok_ads[[#This Row],[video_watch_50]]*RANDBETWEEN(8,12)/10,0)</f>
        <v>121481</v>
      </c>
      <c r="AP22" s="4">
        <f ca="1">ROUND(T_Tiktok_ads[[#This Row],[video_watch_75]]*RANDBETWEEN(8,12)/10,0)</f>
        <v>65234</v>
      </c>
      <c r="AQ22" s="4">
        <f ca="1">ROUND(T_Tiktok_ads[[#This Row],[video_watch_100]]*RANDBETWEEN(8,12)/10,0)</f>
        <v>47347</v>
      </c>
      <c r="AR22" s="4">
        <f ca="1">ROUND(T_Tiktok_ads[[#This Row],[likes]]*RANDBETWEEN(8,12)/10,0)</f>
        <v>7789</v>
      </c>
      <c r="AS22" s="4">
        <f ca="1">ROUND(T_Tiktok_ads[[#This Row],[shares]]*RANDBETWEEN(8,12)/10,0)</f>
        <v>1716</v>
      </c>
      <c r="AT22" s="4">
        <f ca="1">ROUND(T_Tiktok_ads[[#This Row],[comments]]*RANDBETWEEN(8,12)/10,0)</f>
        <v>512</v>
      </c>
      <c r="AV22" s="5">
        <f t="shared" ca="1" si="3"/>
        <v>45015</v>
      </c>
      <c r="AW22">
        <f t="shared" ca="1" si="4"/>
        <v>2</v>
      </c>
      <c r="AX22">
        <f ca="1">ROUND(T_Facebook_Ads115963[[#This Row],[impressions]]*RANDBETWEEN(8,12)/10,0)</f>
        <v>29787</v>
      </c>
      <c r="AY22">
        <f ca="1">ROUND(T_Facebook_Ads115963[[#This Row],[clicks]]*RANDBETWEEN(8,12)/10,0)</f>
        <v>1230</v>
      </c>
      <c r="AZ22">
        <f ca="1">T_Facebook_Ads115963[[#This Row],[spend]]*RANDBETWEEN(8,12)/10</f>
        <v>207.9</v>
      </c>
      <c r="BA22">
        <f ca="1">ROUND(T_Facebook_Ads115963[[#This Row],[conversions]]*RANDBETWEEN(8,12)/10,0)</f>
        <v>27</v>
      </c>
      <c r="BB22">
        <f ca="1">ROUND(T_Facebook_Ads115963[[#This Row],[video_views]]*RANDBETWEEN(8,12)/10,0)</f>
        <v>4511</v>
      </c>
    </row>
    <row r="23" spans="1:54" ht="15.75" thickBot="1" x14ac:dyDescent="0.3">
      <c r="A23" s="3">
        <f t="shared" ca="1" si="0"/>
        <v>44999</v>
      </c>
      <c r="B23" s="4" t="s">
        <v>52</v>
      </c>
      <c r="C23" s="4" t="s">
        <v>53</v>
      </c>
      <c r="D23" s="4" t="s">
        <v>54</v>
      </c>
      <c r="E23" s="4" t="s">
        <v>55</v>
      </c>
      <c r="F23" s="4">
        <f ca="1">ROUND(T_Facebook_Ads[[#This Row],[impressions]]*RANDBETWEEN(8,12)/10,0)</f>
        <v>51957</v>
      </c>
      <c r="G23" s="4">
        <v>945</v>
      </c>
      <c r="H23" s="4">
        <f ca="1">T_Facebook_Ads[[#This Row],[spend]]*RANDBETWEEN(8,12)/10</f>
        <v>148.94</v>
      </c>
      <c r="I23" s="4">
        <f ca="1">ROUND(T_Facebook_Ads[[#This Row],[conversions]]*RANDBETWEEN(8,12)/10,0)</f>
        <v>15</v>
      </c>
      <c r="J23" s="4">
        <f ca="1">ROUND(T_Facebook_Ads[[#This Row],[video_views]]*RANDBETWEEN(8,12)/10,0)</f>
        <v>10547</v>
      </c>
      <c r="K23" s="4">
        <f ca="1">T_Facebook_Ads[[#This Row],[engagement_rate]]*RANDBETWEEN(8,12)/10</f>
        <v>1.6E-2</v>
      </c>
      <c r="L23" s="4">
        <f ca="1">ROUND(T_Facebook_Ads[[#This Row],[reach]]*RANDBETWEEN(8,12)/10,0)</f>
        <v>43524</v>
      </c>
      <c r="M23" s="4">
        <f ca="1">T_Facebook_Ads[[#This Row],[frequency]]*RANDBETWEEN(8,12)/10</f>
        <v>1.071</v>
      </c>
      <c r="O23" s="3">
        <f t="shared" ca="1" si="1"/>
        <v>44997</v>
      </c>
      <c r="P23" s="4" t="s">
        <v>76</v>
      </c>
      <c r="Q23" s="4" t="s">
        <v>77</v>
      </c>
      <c r="R23" s="4" t="s">
        <v>78</v>
      </c>
      <c r="S23" s="4" t="s">
        <v>79</v>
      </c>
      <c r="T23" s="4">
        <f ca="1">ROUND(_Google_ads[[#This Row],[impressions]]*RANDBETWEEN(8,12)/10,0)</f>
        <v>22567</v>
      </c>
      <c r="U23" s="4">
        <f ca="1">ROUND(_Google_ads[[#This Row],[clicks]]*RANDBETWEEN(8,12)/10,0)</f>
        <v>1021</v>
      </c>
      <c r="V23" s="4">
        <f ca="1">_Google_ads[[#This Row],[cost]]*RANDBETWEEN(8,12)/10</f>
        <v>173.44</v>
      </c>
      <c r="W23" s="4">
        <f ca="1">ROUND(_Google_ads[[#This Row],[conversions]]*RANDBETWEEN(8,12)/10,0)</f>
        <v>52</v>
      </c>
      <c r="X23" s="4">
        <f ca="1">ROUND(_Google_ads[[#This Row],[conversion_value]]*RANDBETWEEN(8,12)/10,0)</f>
        <v>1720</v>
      </c>
      <c r="Y23" s="4">
        <f ca="1">_Google_ads[[#This Row],[ctr]]*RANDBETWEEN(8,12)/10</f>
        <v>5.0299999999999997E-2</v>
      </c>
      <c r="Z23" s="4">
        <f ca="1">_Google_ads[[#This Row],[avg_cpc]]*RANDBETWEEN(8,12)/10</f>
        <v>0.152</v>
      </c>
      <c r="AA23" s="4">
        <f ca="1">ROUND(_Google_ads[[#This Row],[quality_score]]*RANDBETWEEN(8,12)/10,0)</f>
        <v>11</v>
      </c>
      <c r="AB23" s="4">
        <f ca="1">_Google_ads[[#This Row],[search_impression_share]]*RANDBETWEEN(8,12)/10</f>
        <v>0.90999999999999992</v>
      </c>
      <c r="AD23" s="3">
        <f t="shared" ca="1" si="2"/>
        <v>45006</v>
      </c>
      <c r="AE23" s="4" t="s">
        <v>100</v>
      </c>
      <c r="AF23" s="4" t="s">
        <v>101</v>
      </c>
      <c r="AG23" s="4" t="s">
        <v>102</v>
      </c>
      <c r="AH23" s="4" t="s">
        <v>103</v>
      </c>
      <c r="AI23" s="4">
        <f ca="1">ROUND(T_Tiktok_ads[[#This Row],[impressions]]*RANDBETWEEN(8,12)/10,0)</f>
        <v>269757</v>
      </c>
      <c r="AJ23" s="4">
        <f ca="1">ROUND(T_Tiktok_ads[[#This Row],[clicks]]*RANDBETWEEN(8,12)/10,0)</f>
        <v>3220</v>
      </c>
      <c r="AK23" s="4">
        <v>474.3</v>
      </c>
      <c r="AL23" s="4">
        <f ca="1">ROUND(T_Tiktok_ads[[#This Row],[conversions]]*RANDBETWEEN(8,12)/10,0)</f>
        <v>30</v>
      </c>
      <c r="AM23" s="4">
        <f ca="1">ROUND(T_Tiktok_ads[[#This Row],[video_views]]*RANDBETWEEN(8,12)/10,0)</f>
        <v>223802</v>
      </c>
      <c r="AN23" s="4">
        <f ca="1">ROUND(T_Tiktok_ads[[#This Row],[video_watch_25]]*RANDBETWEEN(8,12)/10,0)</f>
        <v>158901</v>
      </c>
      <c r="AO23" s="4">
        <f ca="1">ROUND(T_Tiktok_ads[[#This Row],[video_watch_50]]*RANDBETWEEN(8,12)/10,0)</f>
        <v>89610</v>
      </c>
      <c r="AP23" s="4">
        <f ca="1">ROUND(T_Tiktok_ads[[#This Row],[video_watch_75]]*RANDBETWEEN(8,12)/10,0)</f>
        <v>81881</v>
      </c>
      <c r="AQ23" s="4">
        <f ca="1">ROUND(T_Tiktok_ads[[#This Row],[video_watch_100]]*RANDBETWEEN(8,12)/10,0)</f>
        <v>36631</v>
      </c>
      <c r="AR23" s="4">
        <f ca="1">ROUND(T_Tiktok_ads[[#This Row],[likes]]*RANDBETWEEN(8,12)/10,0)</f>
        <v>10774</v>
      </c>
      <c r="AS23" s="4">
        <f ca="1">ROUND(T_Tiktok_ads[[#This Row],[shares]]*RANDBETWEEN(8,12)/10,0)</f>
        <v>2628</v>
      </c>
      <c r="AT23" s="4">
        <f ca="1">ROUND(T_Tiktok_ads[[#This Row],[comments]]*RANDBETWEEN(8,12)/10,0)</f>
        <v>531</v>
      </c>
      <c r="AV23" s="5">
        <f t="shared" ca="1" si="3"/>
        <v>45004</v>
      </c>
      <c r="AW23">
        <f t="shared" ca="1" si="4"/>
        <v>8</v>
      </c>
      <c r="AX23">
        <f ca="1">ROUND(T_Facebook_Ads115963[[#This Row],[impressions]]*RANDBETWEEN(8,12)/10,0)</f>
        <v>46761</v>
      </c>
      <c r="AY23">
        <f ca="1">ROUND(T_Facebook_Ads115963[[#This Row],[clicks]]*RANDBETWEEN(8,12)/10,0)</f>
        <v>945</v>
      </c>
      <c r="AZ23">
        <f ca="1">T_Facebook_Ads115963[[#This Row],[spend]]*RANDBETWEEN(8,12)/10</f>
        <v>163.834</v>
      </c>
      <c r="BA23">
        <f ca="1">ROUND(T_Facebook_Ads115963[[#This Row],[conversions]]*RANDBETWEEN(8,12)/10,0)</f>
        <v>12</v>
      </c>
      <c r="BB23">
        <f ca="1">ROUND(T_Facebook_Ads115963[[#This Row],[video_views]]*RANDBETWEEN(8,12)/10,0)</f>
        <v>12656</v>
      </c>
    </row>
    <row r="24" spans="1:54" ht="15.75" thickBot="1" x14ac:dyDescent="0.3">
      <c r="A24" s="3">
        <f t="shared" ca="1" si="0"/>
        <v>44993</v>
      </c>
      <c r="B24" s="4" t="s">
        <v>56</v>
      </c>
      <c r="C24" s="4" t="s">
        <v>57</v>
      </c>
      <c r="D24" s="4" t="s">
        <v>58</v>
      </c>
      <c r="E24" s="4" t="s">
        <v>59</v>
      </c>
      <c r="F24" s="4">
        <f ca="1">ROUND(T_Facebook_Ads[[#This Row],[impressions]]*RANDBETWEEN(8,12)/10,0)</f>
        <v>9698</v>
      </c>
      <c r="G24" s="4">
        <v>534</v>
      </c>
      <c r="H24" s="4">
        <f ca="1">T_Facebook_Ads[[#This Row],[spend]]*RANDBETWEEN(8,12)/10</f>
        <v>233.64000000000001</v>
      </c>
      <c r="I24" s="4">
        <f ca="1">ROUND(T_Facebook_Ads[[#This Row],[conversions]]*RANDBETWEEN(8,12)/10,0)</f>
        <v>32</v>
      </c>
      <c r="J24" s="4">
        <f ca="1">ROUND(T_Facebook_Ads[[#This Row],[video_views]]*RANDBETWEEN(8,12)/10,0)</f>
        <v>987</v>
      </c>
      <c r="K24" s="4">
        <f ca="1">T_Facebook_Ads[[#This Row],[engagement_rate]]*RANDBETWEEN(8,12)/10</f>
        <v>3.9690000000000003E-2</v>
      </c>
      <c r="L24" s="4">
        <f ca="1">ROUND(T_Facebook_Ads[[#This Row],[reach]]*RANDBETWEEN(8,12)/10,0)</f>
        <v>9567</v>
      </c>
      <c r="M24" s="4">
        <f ca="1">T_Facebook_Ads[[#This Row],[frequency]]*RANDBETWEEN(8,12)/10</f>
        <v>1.27</v>
      </c>
      <c r="O24" s="3">
        <f t="shared" ca="1" si="1"/>
        <v>44993</v>
      </c>
      <c r="P24" s="4" t="s">
        <v>80</v>
      </c>
      <c r="Q24" s="4" t="s">
        <v>81</v>
      </c>
      <c r="R24" s="4" t="s">
        <v>82</v>
      </c>
      <c r="S24" s="4" t="s">
        <v>83</v>
      </c>
      <c r="T24" s="4">
        <f ca="1">ROUND(_Google_ads[[#This Row],[impressions]]*RANDBETWEEN(8,12)/10,0)</f>
        <v>53057</v>
      </c>
      <c r="U24" s="4">
        <f ca="1">ROUND(_Google_ads[[#This Row],[clicks]]*RANDBETWEEN(8,12)/10,0)</f>
        <v>989</v>
      </c>
      <c r="V24" s="4">
        <f ca="1">_Google_ads[[#This Row],[cost]]*RANDBETWEEN(8,12)/10</f>
        <v>571.23</v>
      </c>
      <c r="W24" s="4">
        <f ca="1">ROUND(_Google_ads[[#This Row],[conversions]]*RANDBETWEEN(8,12)/10,0)</f>
        <v>21</v>
      </c>
      <c r="X24" s="4">
        <f ca="1">ROUND(_Google_ads[[#This Row],[conversion_value]]*RANDBETWEEN(8,12)/10,0)</f>
        <v>1040</v>
      </c>
      <c r="Y24" s="4">
        <f ca="1">_Google_ads[[#This Row],[ctr]]*RANDBETWEEN(8,12)/10</f>
        <v>2.46E-2</v>
      </c>
      <c r="Z24" s="4">
        <f ca="1">_Google_ads[[#This Row],[avg_cpc]]*RANDBETWEEN(8,12)/10</f>
        <v>0.70399999999999996</v>
      </c>
      <c r="AA24" s="4">
        <f ca="1">ROUND(_Google_ads[[#This Row],[quality_score]]*RANDBETWEEN(8,12)/10,0)</f>
        <v>7</v>
      </c>
      <c r="AB24" s="4">
        <f ca="1">_Google_ads[[#This Row],[search_impression_share]]*RANDBETWEEN(8,12)/10</f>
        <v>0.55200000000000005</v>
      </c>
      <c r="AD24" s="3">
        <f t="shared" ca="1" si="2"/>
        <v>45003</v>
      </c>
      <c r="AE24" s="4" t="s">
        <v>104</v>
      </c>
      <c r="AF24" s="4" t="s">
        <v>105</v>
      </c>
      <c r="AG24" s="4" t="s">
        <v>106</v>
      </c>
      <c r="AH24" s="4" t="s">
        <v>107</v>
      </c>
      <c r="AI24" s="4">
        <f ca="1">ROUND(T_Tiktok_ads[[#This Row],[impressions]]*RANDBETWEEN(8,12)/10,0)</f>
        <v>107311</v>
      </c>
      <c r="AJ24" s="4">
        <f ca="1">ROUND(T_Tiktok_ads[[#This Row],[clicks]]*RANDBETWEEN(8,12)/10,0)</f>
        <v>2011</v>
      </c>
      <c r="AK24" s="4">
        <v>645.6</v>
      </c>
      <c r="AL24" s="4">
        <f ca="1">ROUND(T_Tiktok_ads[[#This Row],[conversions]]*RANDBETWEEN(8,12)/10,0)</f>
        <v>64</v>
      </c>
      <c r="AM24" s="4">
        <f ca="1">ROUND(T_Tiktok_ads[[#This Row],[video_views]]*RANDBETWEEN(8,12)/10,0)</f>
        <v>68542</v>
      </c>
      <c r="AN24" s="4">
        <f ca="1">ROUND(T_Tiktok_ads[[#This Row],[video_watch_25]]*RANDBETWEEN(8,12)/10,0)</f>
        <v>63456</v>
      </c>
      <c r="AO24" s="4">
        <f ca="1">ROUND(T_Tiktok_ads[[#This Row],[video_watch_50]]*RANDBETWEEN(8,12)/10,0)</f>
        <v>42345</v>
      </c>
      <c r="AP24" s="4">
        <f ca="1">ROUND(T_Tiktok_ads[[#This Row],[video_watch_75]]*RANDBETWEEN(8,12)/10,0)</f>
        <v>32234</v>
      </c>
      <c r="AQ24" s="4">
        <f ca="1">ROUND(T_Tiktok_ads[[#This Row],[video_watch_100]]*RANDBETWEEN(8,12)/10,0)</f>
        <v>26681</v>
      </c>
      <c r="AR24" s="4">
        <f ca="1">ROUND(T_Tiktok_ads[[#This Row],[likes]]*RANDBETWEEN(8,12)/10,0)</f>
        <v>3476</v>
      </c>
      <c r="AS24" s="4">
        <f ca="1">ROUND(T_Tiktok_ads[[#This Row],[shares]]*RANDBETWEEN(8,12)/10,0)</f>
        <v>951</v>
      </c>
      <c r="AT24" s="4">
        <f ca="1">ROUND(T_Tiktok_ads[[#This Row],[comments]]*RANDBETWEEN(8,12)/10,0)</f>
        <v>245</v>
      </c>
      <c r="AV24" s="5">
        <f t="shared" ca="1" si="3"/>
        <v>45015</v>
      </c>
      <c r="AW24">
        <f t="shared" ca="1" si="4"/>
        <v>3</v>
      </c>
      <c r="AX24">
        <f ca="1">ROUND(T_Facebook_Ads115963[[#This Row],[impressions]]*RANDBETWEEN(8,12)/10,0)</f>
        <v>9698</v>
      </c>
      <c r="AY24">
        <f ca="1">ROUND(T_Facebook_Ads115963[[#This Row],[clicks]]*RANDBETWEEN(8,12)/10,0)</f>
        <v>534</v>
      </c>
      <c r="AZ24">
        <f ca="1">T_Facebook_Ads115963[[#This Row],[spend]]*RANDBETWEEN(8,12)/10</f>
        <v>280.36800000000005</v>
      </c>
      <c r="BA24">
        <f ca="1">ROUND(T_Facebook_Ads115963[[#This Row],[conversions]]*RANDBETWEEN(8,12)/10,0)</f>
        <v>26</v>
      </c>
      <c r="BB24">
        <f ca="1">ROUND(T_Facebook_Ads115963[[#This Row],[video_views]]*RANDBETWEEN(8,12)/10,0)</f>
        <v>790</v>
      </c>
    </row>
    <row r="25" spans="1:54" ht="15.75" thickBot="1" x14ac:dyDescent="0.3">
      <c r="A25" s="3">
        <f t="shared" ca="1" si="0"/>
        <v>44997</v>
      </c>
      <c r="B25" s="4" t="s">
        <v>64</v>
      </c>
      <c r="C25" s="4" t="s">
        <v>65</v>
      </c>
      <c r="D25" s="4" t="s">
        <v>66</v>
      </c>
      <c r="E25" s="4" t="s">
        <v>67</v>
      </c>
      <c r="F25" s="4">
        <f ca="1">ROUND(T_Facebook_Ads[[#This Row],[impressions]]*RANDBETWEEN(8,12)/10,0)</f>
        <v>73456</v>
      </c>
      <c r="G25" s="4">
        <v>267</v>
      </c>
      <c r="H25" s="4">
        <f ca="1">T_Facebook_Ads[[#This Row],[spend]]*RANDBETWEEN(8,12)/10</f>
        <v>108.13</v>
      </c>
      <c r="I25" s="4">
        <f ca="1">ROUND(T_Facebook_Ads[[#This Row],[conversions]]*RANDBETWEEN(8,12)/10,0)</f>
        <v>8</v>
      </c>
      <c r="J25" s="4">
        <f ca="1">ROUND(T_Facebook_Ads[[#This Row],[video_views]]*RANDBETWEEN(8,12)/10,0)</f>
        <v>40098</v>
      </c>
      <c r="K25" s="4">
        <f ca="1">T_Facebook_Ads[[#This Row],[engagement_rate]]*RANDBETWEEN(8,12)/10</f>
        <v>3.2399999999999998E-3</v>
      </c>
      <c r="L25" s="4">
        <f ca="1">ROUND(T_Facebook_Ads[[#This Row],[reach]]*RANDBETWEEN(8,12)/10,0)</f>
        <v>54211</v>
      </c>
      <c r="M25" s="4">
        <f ca="1">T_Facebook_Ads[[#This Row],[frequency]]*RANDBETWEEN(8,12)/10</f>
        <v>1.22</v>
      </c>
      <c r="O25" s="3">
        <f t="shared" ca="1" si="1"/>
        <v>45008</v>
      </c>
      <c r="P25" s="4" t="s">
        <v>88</v>
      </c>
      <c r="Q25" s="4" t="s">
        <v>89</v>
      </c>
      <c r="R25" s="4" t="s">
        <v>90</v>
      </c>
      <c r="S25" s="4" t="s">
        <v>59</v>
      </c>
      <c r="T25" s="4">
        <f ca="1">ROUND(_Google_ads[[#This Row],[impressions]]*RANDBETWEEN(8,12)/10,0)</f>
        <v>125678</v>
      </c>
      <c r="U25" s="4">
        <f ca="1">ROUND(_Google_ads[[#This Row],[clicks]]*RANDBETWEEN(8,12)/10,0)</f>
        <v>401</v>
      </c>
      <c r="V25" s="4">
        <f ca="1">_Google_ads[[#This Row],[cost]]*RANDBETWEEN(8,12)/10</f>
        <v>97.039999999999992</v>
      </c>
      <c r="W25" s="4">
        <f ca="1">ROUND(_Google_ads[[#This Row],[conversions]]*RANDBETWEEN(8,12)/10,0)</f>
        <v>11</v>
      </c>
      <c r="X25" s="4">
        <f ca="1">ROUND(_Google_ads[[#This Row],[conversion_value]]*RANDBETWEEN(8,12)/10,0)</f>
        <v>440</v>
      </c>
      <c r="Y25" s="4">
        <f ca="1">_Google_ads[[#This Row],[ctr]]*RANDBETWEEN(8,12)/10</f>
        <v>3.5000000000000005E-3</v>
      </c>
      <c r="Z25" s="4">
        <f ca="1">_Google_ads[[#This Row],[avg_cpc]]*RANDBETWEEN(8,12)/10</f>
        <v>0.32400000000000001</v>
      </c>
      <c r="AA25" s="4">
        <f ca="1">ROUND(_Google_ads[[#This Row],[quality_score]]*RANDBETWEEN(8,12)/10,0)</f>
        <v>8</v>
      </c>
      <c r="AB25" s="4">
        <f ca="1">_Google_ads[[#This Row],[search_impression_share]]*RANDBETWEEN(8,12)/10</f>
        <v>0.34</v>
      </c>
      <c r="AD25" s="3">
        <f t="shared" ca="1" si="2"/>
        <v>44993</v>
      </c>
      <c r="AE25" s="4" t="s">
        <v>112</v>
      </c>
      <c r="AF25" s="4" t="s">
        <v>113</v>
      </c>
      <c r="AG25" s="4" t="s">
        <v>114</v>
      </c>
      <c r="AH25" s="4" t="s">
        <v>115</v>
      </c>
      <c r="AI25" s="4">
        <f ca="1">ROUND(T_Tiktok_ads[[#This Row],[impressions]]*RANDBETWEEN(8,12)/10,0)</f>
        <v>311210</v>
      </c>
      <c r="AJ25" s="4">
        <f ca="1">ROUND(T_Tiktok_ads[[#This Row],[clicks]]*RANDBETWEEN(8,12)/10,0)</f>
        <v>6857</v>
      </c>
      <c r="AK25" s="4">
        <v>967.8</v>
      </c>
      <c r="AL25" s="4">
        <f ca="1">ROUND(T_Tiktok_ads[[#This Row],[conversions]]*RANDBETWEEN(8,12)/10,0)</f>
        <v>108</v>
      </c>
      <c r="AM25" s="4">
        <f ca="1">ROUND(T_Tiktok_ads[[#This Row],[video_views]]*RANDBETWEEN(8,12)/10,0)</f>
        <v>256987</v>
      </c>
      <c r="AN25" s="4">
        <f ca="1">ROUND(T_Tiktok_ads[[#This Row],[video_watch_25]]*RANDBETWEEN(8,12)/10,0)</f>
        <v>207121</v>
      </c>
      <c r="AO25" s="4">
        <f ca="1">ROUND(T_Tiktok_ads[[#This Row],[video_watch_50]]*RANDBETWEEN(8,12)/10,0)</f>
        <v>228679</v>
      </c>
      <c r="AP25" s="4">
        <f ca="1">ROUND(T_Tiktok_ads[[#This Row],[video_watch_75]]*RANDBETWEEN(8,12)/10,0)</f>
        <v>161957</v>
      </c>
      <c r="AQ25" s="4">
        <f ca="1">ROUND(T_Tiktok_ads[[#This Row],[video_watch_100]]*RANDBETWEEN(8,12)/10,0)</f>
        <v>107202</v>
      </c>
      <c r="AR25" s="4">
        <f ca="1">ROUND(T_Tiktok_ads[[#This Row],[likes]]*RANDBETWEEN(8,12)/10,0)</f>
        <v>16901</v>
      </c>
      <c r="AS25" s="4">
        <f ca="1">ROUND(T_Tiktok_ads[[#This Row],[shares]]*RANDBETWEEN(8,12)/10,0)</f>
        <v>5403</v>
      </c>
      <c r="AT25" s="4">
        <f ca="1">ROUND(T_Tiktok_ads[[#This Row],[comments]]*RANDBETWEEN(8,12)/10,0)</f>
        <v>1076</v>
      </c>
      <c r="AV25" s="5">
        <f t="shared" ca="1" si="3"/>
        <v>44986</v>
      </c>
      <c r="AW25">
        <f t="shared" ca="1" si="4"/>
        <v>3</v>
      </c>
      <c r="AX25">
        <f ca="1">ROUND(T_Facebook_Ads115963[[#This Row],[impressions]]*RANDBETWEEN(8,12)/10,0)</f>
        <v>66110</v>
      </c>
      <c r="AY25">
        <f ca="1">ROUND(T_Facebook_Ads115963[[#This Row],[clicks]]*RANDBETWEEN(8,12)/10,0)</f>
        <v>240</v>
      </c>
      <c r="AZ25">
        <f ca="1">T_Facebook_Ads115963[[#This Row],[spend]]*RANDBETWEEN(8,12)/10</f>
        <v>97.316999999999993</v>
      </c>
      <c r="BA25">
        <f ca="1">ROUND(T_Facebook_Ads115963[[#This Row],[conversions]]*RANDBETWEEN(8,12)/10,0)</f>
        <v>6</v>
      </c>
      <c r="BB25">
        <f ca="1">ROUND(T_Facebook_Ads115963[[#This Row],[video_views]]*RANDBETWEEN(8,12)/10,0)</f>
        <v>40098</v>
      </c>
    </row>
    <row r="26" spans="1:54" ht="15.75" thickBot="1" x14ac:dyDescent="0.3">
      <c r="A26" s="3">
        <f t="shared" ca="1" si="0"/>
        <v>45004</v>
      </c>
      <c r="B26" s="4" t="s">
        <v>52</v>
      </c>
      <c r="C26" s="4" t="s">
        <v>53</v>
      </c>
      <c r="D26" s="4" t="s">
        <v>54</v>
      </c>
      <c r="E26" s="4" t="s">
        <v>55</v>
      </c>
      <c r="F26" s="4">
        <f ca="1">ROUND(T_Facebook_Ads[[#This Row],[impressions]]*RANDBETWEEN(8,12)/10,0)</f>
        <v>50123</v>
      </c>
      <c r="G26" s="4">
        <v>1012</v>
      </c>
      <c r="H26" s="4">
        <f ca="1">T_Facebook_Ads[[#This Row],[spend]]*RANDBETWEEN(8,12)/10</f>
        <v>155.86999999999998</v>
      </c>
      <c r="I26" s="4">
        <f ca="1">ROUND(T_Facebook_Ads[[#This Row],[conversions]]*RANDBETWEEN(8,12)/10,0)</f>
        <v>15</v>
      </c>
      <c r="J26" s="4">
        <f ca="1">ROUND(T_Facebook_Ads[[#This Row],[video_views]]*RANDBETWEEN(8,12)/10,0)</f>
        <v>11214</v>
      </c>
      <c r="K26" s="4">
        <f ca="1">T_Facebook_Ads[[#This Row],[engagement_rate]]*RANDBETWEEN(8,12)/10</f>
        <v>2.0199999999999999E-2</v>
      </c>
      <c r="L26" s="4">
        <f ca="1">ROUND(T_Facebook_Ads[[#This Row],[reach]]*RANDBETWEEN(8,12)/10,0)</f>
        <v>41890</v>
      </c>
      <c r="M26" s="4">
        <f ca="1">T_Facebook_Ads[[#This Row],[frequency]]*RANDBETWEEN(8,12)/10</f>
        <v>1.44</v>
      </c>
      <c r="O26" s="3">
        <f t="shared" ca="1" si="1"/>
        <v>45016</v>
      </c>
      <c r="P26" s="4" t="s">
        <v>76</v>
      </c>
      <c r="Q26" s="4" t="s">
        <v>77</v>
      </c>
      <c r="R26" s="4" t="s">
        <v>78</v>
      </c>
      <c r="S26" s="4" t="s">
        <v>79</v>
      </c>
      <c r="T26" s="4">
        <f ca="1">ROUND(_Google_ads[[#This Row],[impressions]]*RANDBETWEEN(8,12)/10,0)</f>
        <v>25234</v>
      </c>
      <c r="U26" s="4">
        <f ca="1">ROUND(_Google_ads[[#This Row],[clicks]]*RANDBETWEEN(8,12)/10,0)</f>
        <v>1443</v>
      </c>
      <c r="V26" s="4">
        <f ca="1">_Google_ads[[#This Row],[cost]]*RANDBETWEEN(8,12)/10</f>
        <v>225.27000000000004</v>
      </c>
      <c r="W26" s="4">
        <f ca="1">ROUND(_Google_ads[[#This Row],[conversions]]*RANDBETWEEN(8,12)/10,0)</f>
        <v>44</v>
      </c>
      <c r="X26" s="4">
        <f ca="1">ROUND(_Google_ads[[#This Row],[conversion_value]]*RANDBETWEEN(8,12)/10,0)</f>
        <v>2940</v>
      </c>
      <c r="Y26" s="4">
        <f ca="1">_Google_ads[[#This Row],[ctr]]*RANDBETWEEN(8,12)/10</f>
        <v>6.2399999999999997E-2</v>
      </c>
      <c r="Z26" s="4">
        <f ca="1">_Google_ads[[#This Row],[avg_cpc]]*RANDBETWEEN(8,12)/10</f>
        <v>0.20899999999999999</v>
      </c>
      <c r="AA26" s="4">
        <f ca="1">ROUND(_Google_ads[[#This Row],[quality_score]]*RANDBETWEEN(8,12)/10,0)</f>
        <v>7</v>
      </c>
      <c r="AB26" s="4">
        <f ca="1">_Google_ads[[#This Row],[search_impression_share]]*RANDBETWEEN(8,12)/10</f>
        <v>0.92000000000000015</v>
      </c>
      <c r="AD26" s="3">
        <f t="shared" ca="1" si="2"/>
        <v>45009</v>
      </c>
      <c r="AE26" s="4" t="s">
        <v>100</v>
      </c>
      <c r="AF26" s="4" t="s">
        <v>101</v>
      </c>
      <c r="AG26" s="4" t="s">
        <v>102</v>
      </c>
      <c r="AH26" s="4" t="s">
        <v>103</v>
      </c>
      <c r="AI26" s="4">
        <f ca="1">ROUND(T_Tiktok_ads[[#This Row],[impressions]]*RANDBETWEEN(8,12)/10,0)</f>
        <v>346814</v>
      </c>
      <c r="AJ26" s="4">
        <f ca="1">ROUND(T_Tiktok_ads[[#This Row],[clicks]]*RANDBETWEEN(8,12)/10,0)</f>
        <v>4657</v>
      </c>
      <c r="AK26" s="4">
        <v>556.70000000000005</v>
      </c>
      <c r="AL26" s="4">
        <f ca="1">ROUND(T_Tiktok_ads[[#This Row],[conversions]]*RANDBETWEEN(8,12)/10,0)</f>
        <v>52</v>
      </c>
      <c r="AM26" s="4">
        <f ca="1">ROUND(T_Tiktok_ads[[#This Row],[video_views]]*RANDBETWEEN(8,12)/10,0)</f>
        <v>281480</v>
      </c>
      <c r="AN26" s="4">
        <f ca="1">ROUND(T_Tiktok_ads[[#This Row],[video_watch_25]]*RANDBETWEEN(8,12)/10,0)</f>
        <v>182345</v>
      </c>
      <c r="AO26" s="4">
        <f ca="1">ROUND(T_Tiktok_ads[[#This Row],[video_watch_50]]*RANDBETWEEN(8,12)/10,0)</f>
        <v>91654</v>
      </c>
      <c r="AP26" s="4">
        <f ca="1">ROUND(T_Tiktok_ads[[#This Row],[video_watch_75]]*RANDBETWEEN(8,12)/10,0)</f>
        <v>92681</v>
      </c>
      <c r="AQ26" s="4">
        <f ca="1">ROUND(T_Tiktok_ads[[#This Row],[video_watch_100]]*RANDBETWEEN(8,12)/10,0)</f>
        <v>61481</v>
      </c>
      <c r="AR26" s="4">
        <f ca="1">ROUND(T_Tiktok_ads[[#This Row],[likes]]*RANDBETWEEN(8,12)/10,0)</f>
        <v>8276</v>
      </c>
      <c r="AS26" s="4">
        <f ca="1">ROUND(T_Tiktok_ads[[#This Row],[shares]]*RANDBETWEEN(8,12)/10,0)</f>
        <v>3347</v>
      </c>
      <c r="AT26" s="4">
        <f ca="1">ROUND(T_Tiktok_ads[[#This Row],[comments]]*RANDBETWEEN(8,12)/10,0)</f>
        <v>525</v>
      </c>
      <c r="AV26" s="5">
        <f t="shared" ca="1" si="3"/>
        <v>44997</v>
      </c>
      <c r="AW26">
        <f t="shared" ca="1" si="4"/>
        <v>8</v>
      </c>
      <c r="AX26">
        <f ca="1">ROUND(T_Facebook_Ads115963[[#This Row],[impressions]]*RANDBETWEEN(8,12)/10,0)</f>
        <v>40098</v>
      </c>
      <c r="AY26">
        <f ca="1">ROUND(T_Facebook_Ads115963[[#This Row],[clicks]]*RANDBETWEEN(8,12)/10,0)</f>
        <v>1113</v>
      </c>
      <c r="AZ26">
        <f ca="1">T_Facebook_Ads115963[[#This Row],[spend]]*RANDBETWEEN(8,12)/10</f>
        <v>124.69599999999998</v>
      </c>
      <c r="BA26">
        <f ca="1">ROUND(T_Facebook_Ads115963[[#This Row],[conversions]]*RANDBETWEEN(8,12)/10,0)</f>
        <v>17</v>
      </c>
      <c r="BB26">
        <f ca="1">ROUND(T_Facebook_Ads115963[[#This Row],[video_views]]*RANDBETWEEN(8,12)/10,0)</f>
        <v>13457</v>
      </c>
    </row>
    <row r="27" spans="1:54" ht="15.75" thickBot="1" x14ac:dyDescent="0.3">
      <c r="A27" s="3">
        <f t="shared" ca="1" si="0"/>
        <v>45006</v>
      </c>
      <c r="B27" s="4" t="s">
        <v>60</v>
      </c>
      <c r="C27" s="4" t="s">
        <v>61</v>
      </c>
      <c r="D27" s="4" t="s">
        <v>62</v>
      </c>
      <c r="E27" s="4" t="s">
        <v>63</v>
      </c>
      <c r="F27" s="4">
        <f ca="1">ROUND(T_Facebook_Ads[[#This Row],[impressions]]*RANDBETWEEN(8,12)/10,0)</f>
        <v>29165</v>
      </c>
      <c r="G27" s="4">
        <v>1312</v>
      </c>
      <c r="H27" s="4">
        <f ca="1">T_Facebook_Ads[[#This Row],[spend]]*RANDBETWEEN(8,12)/10</f>
        <v>159.84</v>
      </c>
      <c r="I27" s="4">
        <f ca="1">ROUND(T_Facebook_Ads[[#This Row],[conversions]]*RANDBETWEEN(8,12)/10,0)</f>
        <v>31</v>
      </c>
      <c r="J27" s="4">
        <f ca="1">ROUND(T_Facebook_Ads[[#This Row],[video_views]]*RANDBETWEEN(8,12)/10,0)</f>
        <v>3858</v>
      </c>
      <c r="K27" s="4">
        <f ca="1">T_Facebook_Ads[[#This Row],[engagement_rate]]*RANDBETWEEN(8,12)/10</f>
        <v>3.5999999999999997E-2</v>
      </c>
      <c r="L27" s="4">
        <f ca="1">ROUND(T_Facebook_Ads[[#This Row],[reach]]*RANDBETWEEN(8,12)/10,0)</f>
        <v>30234</v>
      </c>
      <c r="M27" s="4">
        <f ca="1">T_Facebook_Ads[[#This Row],[frequency]]*RANDBETWEEN(8,12)/10</f>
        <v>1.331</v>
      </c>
      <c r="O27" s="3">
        <f t="shared" ca="1" si="1"/>
        <v>44998</v>
      </c>
      <c r="P27" s="4" t="s">
        <v>84</v>
      </c>
      <c r="Q27" s="4" t="s">
        <v>85</v>
      </c>
      <c r="R27" s="4" t="s">
        <v>86</v>
      </c>
      <c r="S27" s="4" t="s">
        <v>87</v>
      </c>
      <c r="T27" s="4">
        <f ca="1">ROUND(_Google_ads[[#This Row],[impressions]]*RANDBETWEEN(8,12)/10,0)</f>
        <v>73456</v>
      </c>
      <c r="U27" s="4">
        <f ca="1">ROUND(_Google_ads[[#This Row],[clicks]]*RANDBETWEEN(8,12)/10,0)</f>
        <v>1938</v>
      </c>
      <c r="V27" s="4">
        <f ca="1">_Google_ads[[#This Row],[cost]]*RANDBETWEEN(8,12)/10</f>
        <v>485.98</v>
      </c>
      <c r="W27" s="4">
        <f ca="1">ROUND(_Google_ads[[#This Row],[conversions]]*RANDBETWEEN(8,12)/10,0)</f>
        <v>56</v>
      </c>
      <c r="X27" s="4">
        <f ca="1">ROUND(_Google_ads[[#This Row],[conversion_value]]*RANDBETWEEN(8,12)/10,0)</f>
        <v>2800</v>
      </c>
      <c r="Y27" s="4">
        <f ca="1">_Google_ads[[#This Row],[ctr]]*RANDBETWEEN(8,12)/10</f>
        <v>2.64E-2</v>
      </c>
      <c r="Z27" s="4">
        <f ca="1">_Google_ads[[#This Row],[avg_cpc]]*RANDBETWEEN(8,12)/10</f>
        <v>0.14399999999999999</v>
      </c>
      <c r="AA27" s="4">
        <f ca="1">ROUND(_Google_ads[[#This Row],[quality_score]]*RANDBETWEEN(8,12)/10,0)</f>
        <v>10</v>
      </c>
      <c r="AB27" s="4">
        <f ca="1">_Google_ads[[#This Row],[search_impression_share]]*RANDBETWEEN(8,12)/10</f>
        <v>0.81600000000000006</v>
      </c>
      <c r="AD27" s="3">
        <f t="shared" ca="1" si="2"/>
        <v>45005</v>
      </c>
      <c r="AE27" s="4" t="s">
        <v>108</v>
      </c>
      <c r="AF27" s="4" t="s">
        <v>109</v>
      </c>
      <c r="AG27" s="4" t="s">
        <v>110</v>
      </c>
      <c r="AH27" s="4" t="s">
        <v>111</v>
      </c>
      <c r="AI27" s="4">
        <f ca="1">ROUND(T_Tiktok_ads[[#This Row],[impressions]]*RANDBETWEEN(8,12)/10,0)</f>
        <v>240791</v>
      </c>
      <c r="AJ27" s="4">
        <f ca="1">ROUND(T_Tiktok_ads[[#This Row],[clicks]]*RANDBETWEEN(8,12)/10,0)</f>
        <v>4147</v>
      </c>
      <c r="AK27" s="4">
        <v>414.4</v>
      </c>
      <c r="AL27" s="4">
        <f ca="1">ROUND(T_Tiktok_ads[[#This Row],[conversions]]*RANDBETWEEN(8,12)/10,0)</f>
        <v>29</v>
      </c>
      <c r="AM27" s="4">
        <f ca="1">ROUND(T_Tiktok_ads[[#This Row],[video_views]]*RANDBETWEEN(8,12)/10,0)</f>
        <v>208147</v>
      </c>
      <c r="AN27" s="4">
        <f ca="1">ROUND(T_Tiktok_ads[[#This Row],[video_watch_25]]*RANDBETWEEN(8,12)/10,0)</f>
        <v>118410</v>
      </c>
      <c r="AO27" s="4">
        <f ca="1">ROUND(T_Tiktok_ads[[#This Row],[video_watch_50]]*RANDBETWEEN(8,12)/10,0)</f>
        <v>124280</v>
      </c>
      <c r="AP27" s="4">
        <f ca="1">ROUND(T_Tiktok_ads[[#This Row],[video_watch_75]]*RANDBETWEEN(8,12)/10,0)</f>
        <v>60511</v>
      </c>
      <c r="AQ27" s="4">
        <f ca="1">ROUND(T_Tiktok_ads[[#This Row],[video_watch_100]]*RANDBETWEEN(8,12)/10,0)</f>
        <v>32454</v>
      </c>
      <c r="AR27" s="4">
        <f ca="1">ROUND(T_Tiktok_ads[[#This Row],[likes]]*RANDBETWEEN(8,12)/10,0)</f>
        <v>8012</v>
      </c>
      <c r="AS27" s="4">
        <f ca="1">ROUND(T_Tiktok_ads[[#This Row],[shares]]*RANDBETWEEN(8,12)/10,0)</f>
        <v>1981</v>
      </c>
      <c r="AT27" s="4">
        <f ca="1">ROUND(T_Tiktok_ads[[#This Row],[comments]]*RANDBETWEEN(8,12)/10,0)</f>
        <v>628</v>
      </c>
      <c r="AV27" s="5">
        <f t="shared" ca="1" si="3"/>
        <v>45001</v>
      </c>
      <c r="AW27">
        <f t="shared" ca="1" si="4"/>
        <v>7</v>
      </c>
      <c r="AX27">
        <f ca="1">ROUND(T_Facebook_Ads115963[[#This Row],[impressions]]*RANDBETWEEN(8,12)/10,0)</f>
        <v>23332</v>
      </c>
      <c r="AY27">
        <f ca="1">ROUND(T_Facebook_Ads115963[[#This Row],[clicks]]*RANDBETWEEN(8,12)/10,0)</f>
        <v>1050</v>
      </c>
      <c r="AZ27">
        <f ca="1">T_Facebook_Ads115963[[#This Row],[spend]]*RANDBETWEEN(8,12)/10</f>
        <v>143.85599999999999</v>
      </c>
      <c r="BA27">
        <f ca="1">ROUND(T_Facebook_Ads115963[[#This Row],[conversions]]*RANDBETWEEN(8,12)/10,0)</f>
        <v>28</v>
      </c>
      <c r="BB27">
        <f ca="1">ROUND(T_Facebook_Ads115963[[#This Row],[video_views]]*RANDBETWEEN(8,12)/10,0)</f>
        <v>4244</v>
      </c>
    </row>
    <row r="28" spans="1:54" ht="15.75" thickBot="1" x14ac:dyDescent="0.3">
      <c r="A28" s="3">
        <f t="shared" ca="1" si="0"/>
        <v>44990</v>
      </c>
      <c r="B28" s="4" t="s">
        <v>64</v>
      </c>
      <c r="C28" s="4" t="s">
        <v>65</v>
      </c>
      <c r="D28" s="4" t="s">
        <v>66</v>
      </c>
      <c r="E28" s="4" t="s">
        <v>67</v>
      </c>
      <c r="F28" s="4">
        <f ca="1">ROUND(T_Facebook_Ads[[#This Row],[impressions]]*RANDBETWEEN(8,12)/10,0)</f>
        <v>70123</v>
      </c>
      <c r="G28" s="4">
        <v>253</v>
      </c>
      <c r="H28" s="4">
        <f ca="1">T_Facebook_Ads[[#This Row],[spend]]*RANDBETWEEN(8,12)/10</f>
        <v>74.88</v>
      </c>
      <c r="I28" s="4">
        <f ca="1">ROUND(T_Facebook_Ads[[#This Row],[conversions]]*RANDBETWEEN(8,12)/10,0)</f>
        <v>5</v>
      </c>
      <c r="J28" s="4">
        <f ca="1">ROUND(T_Facebook_Ads[[#This Row],[video_views]]*RANDBETWEEN(8,12)/10,0)</f>
        <v>43411</v>
      </c>
      <c r="K28" s="4">
        <f ca="1">T_Facebook_Ads[[#This Row],[engagement_rate]]*RANDBETWEEN(8,12)/10</f>
        <v>2.8799999999999997E-3</v>
      </c>
      <c r="L28" s="4">
        <f ca="1">ROUND(T_Facebook_Ads[[#This Row],[reach]]*RANDBETWEEN(8,12)/10,0)</f>
        <v>64302</v>
      </c>
      <c r="M28" s="4">
        <f ca="1">T_Facebook_Ads[[#This Row],[frequency]]*RANDBETWEEN(8,12)/10</f>
        <v>0.96</v>
      </c>
      <c r="O28" s="3">
        <f t="shared" ca="1" si="1"/>
        <v>44988</v>
      </c>
      <c r="P28" s="4" t="s">
        <v>88</v>
      </c>
      <c r="Q28" s="4" t="s">
        <v>89</v>
      </c>
      <c r="R28" s="4" t="s">
        <v>90</v>
      </c>
      <c r="S28" s="4" t="s">
        <v>59</v>
      </c>
      <c r="T28" s="4">
        <f ca="1">ROUND(_Google_ads[[#This Row],[impressions]]*RANDBETWEEN(8,12)/10,0)</f>
        <v>103476</v>
      </c>
      <c r="U28" s="4">
        <f ca="1">ROUND(_Google_ads[[#This Row],[clicks]]*RANDBETWEEN(8,12)/10,0)</f>
        <v>410</v>
      </c>
      <c r="V28" s="4">
        <f ca="1">_Google_ads[[#This Row],[cost]]*RANDBETWEEN(8,12)/10</f>
        <v>113.03999999999999</v>
      </c>
      <c r="W28" s="4">
        <f ca="1">ROUND(_Google_ads[[#This Row],[conversions]]*RANDBETWEEN(8,12)/10,0)</f>
        <v>14</v>
      </c>
      <c r="X28" s="4">
        <f ca="1">ROUND(_Google_ads[[#This Row],[conversion_value]]*RANDBETWEEN(8,12)/10,0)</f>
        <v>600</v>
      </c>
      <c r="Y28" s="4">
        <f ca="1">_Google_ads[[#This Row],[ctr]]*RANDBETWEEN(8,12)/10</f>
        <v>4.2000000000000006E-3</v>
      </c>
      <c r="Z28" s="4">
        <f ca="1">_Google_ads[[#This Row],[avg_cpc]]*RANDBETWEEN(8,12)/10</f>
        <v>0.25200000000000006</v>
      </c>
      <c r="AA28" s="4">
        <f ca="1">ROUND(_Google_ads[[#This Row],[quality_score]]*RANDBETWEEN(8,12)/10,0)</f>
        <v>6</v>
      </c>
      <c r="AB28" s="4">
        <f ca="1">_Google_ads[[#This Row],[search_impression_share]]*RANDBETWEEN(8,12)/10</f>
        <v>0.35</v>
      </c>
      <c r="AD28" s="3">
        <f t="shared" ca="1" si="2"/>
        <v>45010</v>
      </c>
      <c r="AE28" s="4" t="s">
        <v>112</v>
      </c>
      <c r="AF28" s="4" t="s">
        <v>113</v>
      </c>
      <c r="AG28" s="4" t="s">
        <v>114</v>
      </c>
      <c r="AH28" s="4" t="s">
        <v>115</v>
      </c>
      <c r="AI28" s="4">
        <f ca="1">ROUND(T_Tiktok_ads[[#This Row],[impressions]]*RANDBETWEEN(8,12)/10,0)</f>
        <v>441357</v>
      </c>
      <c r="AJ28" s="4">
        <f ca="1">ROUND(T_Tiktok_ads[[#This Row],[clicks]]*RANDBETWEEN(8,12)/10,0)</f>
        <v>7747</v>
      </c>
      <c r="AK28" s="4">
        <v>989.9</v>
      </c>
      <c r="AL28" s="4">
        <f ca="1">ROUND(T_Tiktok_ads[[#This Row],[conversions]]*RANDBETWEEN(8,12)/10,0)</f>
        <v>91</v>
      </c>
      <c r="AM28" s="4">
        <f ca="1">ROUND(T_Tiktok_ads[[#This Row],[video_views]]*RANDBETWEEN(8,12)/10,0)</f>
        <v>398814</v>
      </c>
      <c r="AN28" s="4">
        <f ca="1">ROUND(T_Tiktok_ads[[#This Row],[video_watch_25]]*RANDBETWEEN(8,12)/10,0)</f>
        <v>321468</v>
      </c>
      <c r="AO28" s="4">
        <f ca="1">ROUND(T_Tiktok_ads[[#This Row],[video_watch_50]]*RANDBETWEEN(8,12)/10,0)</f>
        <v>193110</v>
      </c>
      <c r="AP28" s="4">
        <f ca="1">ROUND(T_Tiktok_ads[[#This Row],[video_watch_75]]*RANDBETWEEN(8,12)/10,0)</f>
        <v>136111</v>
      </c>
      <c r="AQ28" s="4">
        <f ca="1">ROUND(T_Tiktok_ads[[#This Row],[video_watch_100]]*RANDBETWEEN(8,12)/10,0)</f>
        <v>89610</v>
      </c>
      <c r="AR28" s="4">
        <f ca="1">ROUND(T_Tiktok_ads[[#This Row],[likes]]*RANDBETWEEN(8,12)/10,0)</f>
        <v>13787</v>
      </c>
      <c r="AS28" s="4">
        <f ca="1">ROUND(T_Tiktok_ads[[#This Row],[shares]]*RANDBETWEEN(8,12)/10,0)</f>
        <v>5513</v>
      </c>
      <c r="AT28" s="4">
        <f ca="1">ROUND(T_Tiktok_ads[[#This Row],[comments]]*RANDBETWEEN(8,12)/10,0)</f>
        <v>1516</v>
      </c>
      <c r="AV28" s="5">
        <f t="shared" ca="1" si="3"/>
        <v>44997</v>
      </c>
      <c r="AW28">
        <f t="shared" ca="1" si="4"/>
        <v>5</v>
      </c>
      <c r="AX28">
        <f ca="1">ROUND(T_Facebook_Ads115963[[#This Row],[impressions]]*RANDBETWEEN(8,12)/10,0)</f>
        <v>84148</v>
      </c>
      <c r="AY28">
        <f ca="1">ROUND(T_Facebook_Ads115963[[#This Row],[clicks]]*RANDBETWEEN(8,12)/10,0)</f>
        <v>304</v>
      </c>
      <c r="AZ28">
        <f ca="1">T_Facebook_Ads115963[[#This Row],[spend]]*RANDBETWEEN(8,12)/10</f>
        <v>74.88</v>
      </c>
      <c r="BA28">
        <f ca="1">ROUND(T_Facebook_Ads115963[[#This Row],[conversions]]*RANDBETWEEN(8,12)/10,0)</f>
        <v>5</v>
      </c>
      <c r="BB28">
        <f ca="1">ROUND(T_Facebook_Ads115963[[#This Row],[video_views]]*RANDBETWEEN(8,12)/10,0)</f>
        <v>52093</v>
      </c>
    </row>
    <row r="29" spans="1:54" ht="15.75" thickBot="1" x14ac:dyDescent="0.3">
      <c r="A29" s="3">
        <f t="shared" ca="1" si="0"/>
        <v>44994</v>
      </c>
      <c r="B29" s="4" t="s">
        <v>52</v>
      </c>
      <c r="C29" s="4" t="s">
        <v>53</v>
      </c>
      <c r="D29" s="4" t="s">
        <v>54</v>
      </c>
      <c r="E29" s="4" t="s">
        <v>55</v>
      </c>
      <c r="F29" s="4">
        <f ca="1">ROUND(T_Facebook_Ads[[#This Row],[impressions]]*RANDBETWEEN(8,12)/10,0)</f>
        <v>43710</v>
      </c>
      <c r="G29" s="4">
        <v>978</v>
      </c>
      <c r="H29" s="4">
        <f ca="1">T_Facebook_Ads[[#This Row],[spend]]*RANDBETWEEN(8,12)/10</f>
        <v>124.02000000000001</v>
      </c>
      <c r="I29" s="4">
        <f ca="1">ROUND(T_Facebook_Ads[[#This Row],[conversions]]*RANDBETWEEN(8,12)/10,0)</f>
        <v>15</v>
      </c>
      <c r="J29" s="4">
        <f ca="1">ROUND(T_Facebook_Ads[[#This Row],[video_views]]*RANDBETWEEN(8,12)/10,0)</f>
        <v>10734</v>
      </c>
      <c r="K29" s="4">
        <f ca="1">T_Facebook_Ads[[#This Row],[engagement_rate]]*RANDBETWEEN(8,12)/10</f>
        <v>2.2109999999999998E-2</v>
      </c>
      <c r="L29" s="4">
        <f ca="1">ROUND(T_Facebook_Ads[[#This Row],[reach]]*RANDBETWEEN(8,12)/10,0)</f>
        <v>44502</v>
      </c>
      <c r="M29" s="4">
        <f ca="1">T_Facebook_Ads[[#This Row],[frequency]]*RANDBETWEEN(8,12)/10</f>
        <v>1.3199999999999998</v>
      </c>
      <c r="O29" s="3">
        <f t="shared" ca="1" si="1"/>
        <v>45015</v>
      </c>
      <c r="P29" s="4" t="s">
        <v>76</v>
      </c>
      <c r="Q29" s="4" t="s">
        <v>77</v>
      </c>
      <c r="R29" s="4" t="s">
        <v>78</v>
      </c>
      <c r="S29" s="4" t="s">
        <v>79</v>
      </c>
      <c r="T29" s="4">
        <f ca="1">ROUND(_Google_ads[[#This Row],[impressions]]*RANDBETWEEN(8,12)/10,0)</f>
        <v>22210</v>
      </c>
      <c r="U29" s="4">
        <f ca="1">ROUND(_Google_ads[[#This Row],[clicks]]*RANDBETWEEN(8,12)/10,0)</f>
        <v>1547</v>
      </c>
      <c r="V29" s="4">
        <f ca="1">_Google_ads[[#This Row],[cost]]*RANDBETWEEN(8,12)/10</f>
        <v>295.08000000000004</v>
      </c>
      <c r="W29" s="4">
        <f ca="1">ROUND(_Google_ads[[#This Row],[conversions]]*RANDBETWEEN(8,12)/10,0)</f>
        <v>38</v>
      </c>
      <c r="X29" s="4">
        <f ca="1">ROUND(_Google_ads[[#This Row],[conversion_value]]*RANDBETWEEN(8,12)/10,0)</f>
        <v>2160</v>
      </c>
      <c r="Y29" s="4">
        <f ca="1">_Google_ads[[#This Row],[ctr]]*RANDBETWEEN(8,12)/10</f>
        <v>6.2640000000000001E-2</v>
      </c>
      <c r="Z29" s="4">
        <f ca="1">_Google_ads[[#This Row],[avg_cpc]]*RANDBETWEEN(8,12)/10</f>
        <v>0.152</v>
      </c>
      <c r="AA29" s="4">
        <f ca="1">ROUND(_Google_ads[[#This Row],[quality_score]]*RANDBETWEEN(8,12)/10,0)</f>
        <v>7</v>
      </c>
      <c r="AB29" s="4">
        <f ca="1">_Google_ads[[#This Row],[search_impression_share]]*RANDBETWEEN(8,12)/10</f>
        <v>1.0920000000000001</v>
      </c>
      <c r="AD29" s="3">
        <f t="shared" ca="1" si="2"/>
        <v>45009</v>
      </c>
      <c r="AE29" s="4" t="s">
        <v>100</v>
      </c>
      <c r="AF29" s="4" t="s">
        <v>101</v>
      </c>
      <c r="AG29" s="4" t="s">
        <v>102</v>
      </c>
      <c r="AH29" s="4" t="s">
        <v>103</v>
      </c>
      <c r="AI29" s="4">
        <f ca="1">ROUND(T_Tiktok_ads[[#This Row],[impressions]]*RANDBETWEEN(8,12)/10,0)</f>
        <v>281857</v>
      </c>
      <c r="AJ29" s="4">
        <f ca="1">ROUND(T_Tiktok_ads[[#This Row],[clicks]]*RANDBETWEEN(8,12)/10,0)</f>
        <v>4441</v>
      </c>
      <c r="AK29" s="4">
        <v>490.5</v>
      </c>
      <c r="AL29" s="4">
        <f ca="1">ROUND(T_Tiktok_ads[[#This Row],[conversions]]*RANDBETWEEN(8,12)/10,0)</f>
        <v>34</v>
      </c>
      <c r="AM29" s="4">
        <f ca="1">ROUND(T_Tiktok_ads[[#This Row],[video_views]]*RANDBETWEEN(8,12)/10,0)</f>
        <v>230157</v>
      </c>
      <c r="AN29" s="4">
        <f ca="1">ROUND(T_Tiktok_ads[[#This Row],[video_watch_25]]*RANDBETWEEN(8,12)/10,0)</f>
        <v>163567</v>
      </c>
      <c r="AO29" s="4">
        <f ca="1">ROUND(T_Tiktok_ads[[#This Row],[video_watch_50]]*RANDBETWEEN(8,12)/10,0)</f>
        <v>102567</v>
      </c>
      <c r="AP29" s="4">
        <f ca="1">ROUND(T_Tiktok_ads[[#This Row],[video_watch_75]]*RANDBETWEEN(8,12)/10,0)</f>
        <v>62610</v>
      </c>
      <c r="AQ29" s="4">
        <f ca="1">ROUND(T_Tiktok_ads[[#This Row],[video_watch_100]]*RANDBETWEEN(8,12)/10,0)</f>
        <v>41910</v>
      </c>
      <c r="AR29" s="4">
        <f ca="1">ROUND(T_Tiktok_ads[[#This Row],[likes]]*RANDBETWEEN(8,12)/10,0)</f>
        <v>9123</v>
      </c>
      <c r="AS29" s="4">
        <f ca="1">ROUND(T_Tiktok_ads[[#This Row],[shares]]*RANDBETWEEN(8,12)/10,0)</f>
        <v>2665</v>
      </c>
      <c r="AT29" s="4">
        <f ca="1">ROUND(T_Tiktok_ads[[#This Row],[comments]]*RANDBETWEEN(8,12)/10,0)</f>
        <v>541</v>
      </c>
      <c r="AV29" s="5">
        <f t="shared" ca="1" si="3"/>
        <v>44988</v>
      </c>
      <c r="AW29">
        <f t="shared" ca="1" si="4"/>
        <v>2</v>
      </c>
      <c r="AX29">
        <f ca="1">ROUND(T_Facebook_Ads115963[[#This Row],[impressions]]*RANDBETWEEN(8,12)/10,0)</f>
        <v>52452</v>
      </c>
      <c r="AY29">
        <f ca="1">ROUND(T_Facebook_Ads115963[[#This Row],[clicks]]*RANDBETWEEN(8,12)/10,0)</f>
        <v>782</v>
      </c>
      <c r="AZ29">
        <f ca="1">T_Facebook_Ads115963[[#This Row],[spend]]*RANDBETWEEN(8,12)/10</f>
        <v>111.61800000000001</v>
      </c>
      <c r="BA29">
        <f ca="1">ROUND(T_Facebook_Ads115963[[#This Row],[conversions]]*RANDBETWEEN(8,12)/10,0)</f>
        <v>12</v>
      </c>
      <c r="BB29">
        <f ca="1">ROUND(T_Facebook_Ads115963[[#This Row],[video_views]]*RANDBETWEEN(8,12)/10,0)</f>
        <v>9661</v>
      </c>
    </row>
    <row r="30" spans="1:54" ht="15.75" thickBot="1" x14ac:dyDescent="0.3">
      <c r="A30" s="3">
        <f t="shared" ca="1" si="0"/>
        <v>44987</v>
      </c>
      <c r="B30" s="4" t="s">
        <v>56</v>
      </c>
      <c r="C30" s="4" t="s">
        <v>57</v>
      </c>
      <c r="D30" s="4" t="s">
        <v>58</v>
      </c>
      <c r="E30" s="4" t="s">
        <v>59</v>
      </c>
      <c r="F30" s="4">
        <f ca="1">ROUND(T_Facebook_Ads[[#This Row],[impressions]]*RANDBETWEEN(8,12)/10,0)</f>
        <v>11031</v>
      </c>
      <c r="G30" s="4">
        <v>645</v>
      </c>
      <c r="H30" s="4">
        <f ca="1">T_Facebook_Ads[[#This Row],[spend]]*RANDBETWEEN(8,12)/10</f>
        <v>265.32</v>
      </c>
      <c r="I30" s="4">
        <f ca="1">ROUND(T_Facebook_Ads[[#This Row],[conversions]]*RANDBETWEEN(8,12)/10,0)</f>
        <v>33</v>
      </c>
      <c r="J30" s="4">
        <f ca="1">ROUND(T_Facebook_Ads[[#This Row],[video_views]]*RANDBETWEEN(8,12)/10,0)</f>
        <v>1340</v>
      </c>
      <c r="K30" s="4">
        <f ca="1">T_Facebook_Ads[[#This Row],[engagement_rate]]*RANDBETWEEN(8,12)/10</f>
        <v>5.1480000000000005E-2</v>
      </c>
      <c r="L30" s="4">
        <f ca="1">ROUND(T_Facebook_Ads[[#This Row],[reach]]*RANDBETWEEN(8,12)/10,0)</f>
        <v>8631</v>
      </c>
      <c r="M30" s="4">
        <f ca="1">T_Facebook_Ads[[#This Row],[frequency]]*RANDBETWEEN(8,12)/10</f>
        <v>1.024</v>
      </c>
      <c r="O30" s="3">
        <f t="shared" ca="1" si="1"/>
        <v>44992</v>
      </c>
      <c r="P30" s="4" t="s">
        <v>80</v>
      </c>
      <c r="Q30" s="4" t="s">
        <v>81</v>
      </c>
      <c r="R30" s="4" t="s">
        <v>82</v>
      </c>
      <c r="S30" s="4" t="s">
        <v>83</v>
      </c>
      <c r="T30" s="4">
        <f ca="1">ROUND(_Google_ads[[#This Row],[impressions]]*RANDBETWEEN(8,12)/10,0)</f>
        <v>45234</v>
      </c>
      <c r="U30" s="4">
        <f ca="1">ROUND(_Google_ads[[#This Row],[clicks]]*RANDBETWEEN(8,12)/10,0)</f>
        <v>721</v>
      </c>
      <c r="V30" s="4">
        <f ca="1">_Google_ads[[#This Row],[cost]]*RANDBETWEEN(8,12)/10</f>
        <v>694.68</v>
      </c>
      <c r="W30" s="4">
        <f ca="1">ROUND(_Google_ads[[#This Row],[conversions]]*RANDBETWEEN(8,12)/10,0)</f>
        <v>18</v>
      </c>
      <c r="X30" s="4">
        <f ca="1">ROUND(_Google_ads[[#This Row],[conversion_value]]*RANDBETWEEN(8,12)/10,0)</f>
        <v>1380</v>
      </c>
      <c r="Y30" s="4">
        <f ca="1">_Google_ads[[#This Row],[ctr]]*RANDBETWEEN(8,12)/10</f>
        <v>1.7910000000000002E-2</v>
      </c>
      <c r="Z30" s="4">
        <f ca="1">_Google_ads[[#This Row],[avg_cpc]]*RANDBETWEEN(8,12)/10</f>
        <v>0.76800000000000002</v>
      </c>
      <c r="AA30" s="4">
        <f ca="1">ROUND(_Google_ads[[#This Row],[quality_score]]*RANDBETWEEN(8,12)/10,0)</f>
        <v>6</v>
      </c>
      <c r="AB30" s="4">
        <f ca="1">_Google_ads[[#This Row],[search_impression_share]]*RANDBETWEEN(8,12)/10</f>
        <v>0.40499999999999997</v>
      </c>
      <c r="AD30" s="3">
        <f t="shared" ca="1" si="2"/>
        <v>44991</v>
      </c>
      <c r="AE30" s="4" t="s">
        <v>104</v>
      </c>
      <c r="AF30" s="4" t="s">
        <v>105</v>
      </c>
      <c r="AG30" s="4" t="s">
        <v>106</v>
      </c>
      <c r="AH30" s="4" t="s">
        <v>107</v>
      </c>
      <c r="AI30" s="4">
        <f ca="1">ROUND(T_Tiktok_ads[[#This Row],[impressions]]*RANDBETWEEN(8,12)/10,0)</f>
        <v>174814</v>
      </c>
      <c r="AJ30" s="4">
        <f ca="1">ROUND(T_Tiktok_ads[[#This Row],[clicks]]*RANDBETWEEN(8,12)/10,0)</f>
        <v>2789</v>
      </c>
      <c r="AK30" s="4">
        <v>756.7</v>
      </c>
      <c r="AL30" s="4">
        <f ca="1">ROUND(T_Tiktok_ads[[#This Row],[conversions]]*RANDBETWEEN(8,12)/10,0)</f>
        <v>61</v>
      </c>
      <c r="AM30" s="4">
        <f ca="1">ROUND(T_Tiktok_ads[[#This Row],[video_views]]*RANDBETWEEN(8,12)/10,0)</f>
        <v>91111</v>
      </c>
      <c r="AN30" s="4">
        <f ca="1">ROUND(T_Tiktok_ads[[#This Row],[video_watch_25]]*RANDBETWEEN(8,12)/10,0)</f>
        <v>82024</v>
      </c>
      <c r="AO30" s="4">
        <f ca="1">ROUND(T_Tiktok_ads[[#This Row],[video_watch_50]]*RANDBETWEEN(8,12)/10,0)</f>
        <v>40187</v>
      </c>
      <c r="AP30" s="4">
        <f ca="1">ROUND(T_Tiktok_ads[[#This Row],[video_watch_75]]*RANDBETWEEN(8,12)/10,0)</f>
        <v>34101</v>
      </c>
      <c r="AQ30" s="4">
        <f ca="1">ROUND(T_Tiktok_ads[[#This Row],[video_watch_100]]*RANDBETWEEN(8,12)/10,0)</f>
        <v>27757</v>
      </c>
      <c r="AR30" s="4">
        <f ca="1">ROUND(T_Tiktok_ads[[#This Row],[likes]]*RANDBETWEEN(8,12)/10,0)</f>
        <v>6014</v>
      </c>
      <c r="AS30" s="4">
        <f ca="1">ROUND(T_Tiktok_ads[[#This Row],[shares]]*RANDBETWEEN(8,12)/10,0)</f>
        <v>1423</v>
      </c>
      <c r="AT30" s="4">
        <f ca="1">ROUND(T_Tiktok_ads[[#This Row],[comments]]*RANDBETWEEN(8,12)/10,0)</f>
        <v>240</v>
      </c>
      <c r="AV30" s="5">
        <f t="shared" ca="1" si="3"/>
        <v>44992</v>
      </c>
      <c r="AW30">
        <f t="shared" ca="1" si="4"/>
        <v>7</v>
      </c>
      <c r="AX30">
        <f ca="1">ROUND(T_Facebook_Ads115963[[#This Row],[impressions]]*RANDBETWEEN(8,12)/10,0)</f>
        <v>8825</v>
      </c>
      <c r="AY30">
        <f ca="1">ROUND(T_Facebook_Ads115963[[#This Row],[clicks]]*RANDBETWEEN(8,12)/10,0)</f>
        <v>516</v>
      </c>
      <c r="AZ30">
        <f ca="1">T_Facebook_Ads115963[[#This Row],[spend]]*RANDBETWEEN(8,12)/10</f>
        <v>291.85199999999998</v>
      </c>
      <c r="BA30">
        <f ca="1">ROUND(T_Facebook_Ads115963[[#This Row],[conversions]]*RANDBETWEEN(8,12)/10,0)</f>
        <v>33</v>
      </c>
      <c r="BB30">
        <f ca="1">ROUND(T_Facebook_Ads115963[[#This Row],[video_views]]*RANDBETWEEN(8,12)/10,0)</f>
        <v>1474</v>
      </c>
    </row>
    <row r="31" spans="1:54" ht="15.75" thickBot="1" x14ac:dyDescent="0.3">
      <c r="A31" s="3">
        <f t="shared" ca="1" si="0"/>
        <v>44995</v>
      </c>
      <c r="B31" s="4" t="s">
        <v>60</v>
      </c>
      <c r="C31" s="4" t="s">
        <v>61</v>
      </c>
      <c r="D31" s="4" t="s">
        <v>62</v>
      </c>
      <c r="E31" s="4" t="s">
        <v>63</v>
      </c>
      <c r="F31" s="4">
        <f ca="1">ROUND(T_Facebook_Ads[[#This Row],[impressions]]*RANDBETWEEN(8,12)/10,0)</f>
        <v>34610</v>
      </c>
      <c r="G31" s="4">
        <v>1423</v>
      </c>
      <c r="H31" s="4">
        <f ca="1">T_Facebook_Ads[[#This Row],[spend]]*RANDBETWEEN(8,12)/10</f>
        <v>217.5</v>
      </c>
      <c r="I31" s="4">
        <f ca="1">ROUND(T_Facebook_Ads[[#This Row],[conversions]]*RANDBETWEEN(8,12)/10,0)</f>
        <v>23</v>
      </c>
      <c r="J31" s="4">
        <f ca="1">ROUND(T_Facebook_Ads[[#This Row],[video_views]]*RANDBETWEEN(8,12)/10,0)</f>
        <v>5123</v>
      </c>
      <c r="K31" s="4">
        <f ca="1">T_Facebook_Ads[[#This Row],[engagement_rate]]*RANDBETWEEN(8,12)/10</f>
        <v>3.3299999999999996E-2</v>
      </c>
      <c r="L31" s="4">
        <f ca="1">ROUND(T_Facebook_Ads[[#This Row],[reach]]*RANDBETWEEN(8,12)/10,0)</f>
        <v>28111</v>
      </c>
      <c r="M31" s="4">
        <f ca="1">T_Facebook_Ads[[#This Row],[frequency]]*RANDBETWEEN(8,12)/10</f>
        <v>1.107</v>
      </c>
      <c r="O31" s="3">
        <f t="shared" ca="1" si="1"/>
        <v>44999</v>
      </c>
      <c r="P31" s="4" t="s">
        <v>84</v>
      </c>
      <c r="Q31" s="4" t="s">
        <v>85</v>
      </c>
      <c r="R31" s="4" t="s">
        <v>86</v>
      </c>
      <c r="S31" s="4" t="s">
        <v>87</v>
      </c>
      <c r="T31" s="4">
        <f ca="1">ROUND(_Google_ads[[#This Row],[impressions]]*RANDBETWEEN(8,12)/10,0)</f>
        <v>55121</v>
      </c>
      <c r="U31" s="4">
        <f ca="1">ROUND(_Google_ads[[#This Row],[clicks]]*RANDBETWEEN(8,12)/10,0)</f>
        <v>2267</v>
      </c>
      <c r="V31" s="4">
        <f ca="1">_Google_ads[[#This Row],[cost]]*RANDBETWEEN(8,12)/10</f>
        <v>455.62</v>
      </c>
      <c r="W31" s="4">
        <f ca="1">ROUND(_Google_ads[[#This Row],[conversions]]*RANDBETWEEN(8,12)/10,0)</f>
        <v>58</v>
      </c>
      <c r="X31" s="4">
        <f ca="1">ROUND(_Google_ads[[#This Row],[conversion_value]]*RANDBETWEEN(8,12)/10,0)</f>
        <v>3520</v>
      </c>
      <c r="Y31" s="4">
        <f ca="1">_Google_ads[[#This Row],[ctr]]*RANDBETWEEN(8,12)/10</f>
        <v>3.9480000000000001E-2</v>
      </c>
      <c r="Z31" s="4">
        <f ca="1">_Google_ads[[#This Row],[avg_cpc]]*RANDBETWEEN(8,12)/10</f>
        <v>0.14399999999999999</v>
      </c>
      <c r="AA31" s="4">
        <f ca="1">ROUND(_Google_ads[[#This Row],[quality_score]]*RANDBETWEEN(8,12)/10,0)</f>
        <v>9</v>
      </c>
      <c r="AB31" s="4">
        <f ca="1">_Google_ads[[#This Row],[search_impression_share]]*RANDBETWEEN(8,12)/10</f>
        <v>0.73699999999999999</v>
      </c>
      <c r="AD31" s="3">
        <f t="shared" ca="1" si="2"/>
        <v>44999</v>
      </c>
      <c r="AE31" s="4" t="s">
        <v>108</v>
      </c>
      <c r="AF31" s="4" t="s">
        <v>109</v>
      </c>
      <c r="AG31" s="4" t="s">
        <v>110</v>
      </c>
      <c r="AH31" s="4" t="s">
        <v>111</v>
      </c>
      <c r="AI31" s="4">
        <f ca="1">ROUND(T_Tiktok_ads[[#This Row],[impressions]]*RANDBETWEEN(8,12)/10,0)</f>
        <v>178765</v>
      </c>
      <c r="AJ31" s="4">
        <f ca="1">ROUND(T_Tiktok_ads[[#This Row],[clicks]]*RANDBETWEEN(8,12)/10,0)</f>
        <v>2854</v>
      </c>
      <c r="AK31" s="4">
        <v>427.7</v>
      </c>
      <c r="AL31" s="4">
        <f ca="1">ROUND(T_Tiktok_ads[[#This Row],[conversions]]*RANDBETWEEN(8,12)/10,0)</f>
        <v>27</v>
      </c>
      <c r="AM31" s="4">
        <f ca="1">ROUND(T_Tiktok_ads[[#This Row],[video_views]]*RANDBETWEEN(8,12)/10,0)</f>
        <v>161011</v>
      </c>
      <c r="AN31" s="4">
        <f ca="1">ROUND(T_Tiktok_ads[[#This Row],[video_watch_25]]*RANDBETWEEN(8,12)/10,0)</f>
        <v>135234</v>
      </c>
      <c r="AO31" s="4">
        <f ca="1">ROUND(T_Tiktok_ads[[#This Row],[video_watch_50]]*RANDBETWEEN(8,12)/10,0)</f>
        <v>117468</v>
      </c>
      <c r="AP31" s="4">
        <f ca="1">ROUND(T_Tiktok_ads[[#This Row],[video_watch_75]]*RANDBETWEEN(8,12)/10,0)</f>
        <v>76157</v>
      </c>
      <c r="AQ31" s="4">
        <f ca="1">ROUND(T_Tiktok_ads[[#This Row],[video_watch_100]]*RANDBETWEEN(8,12)/10,0)</f>
        <v>41789</v>
      </c>
      <c r="AR31" s="4">
        <f ca="1">ROUND(T_Tiktok_ads[[#This Row],[likes]]*RANDBETWEEN(8,12)/10,0)</f>
        <v>7411</v>
      </c>
      <c r="AS31" s="4">
        <f ca="1">ROUND(T_Tiktok_ads[[#This Row],[shares]]*RANDBETWEEN(8,12)/10,0)</f>
        <v>2494</v>
      </c>
      <c r="AT31" s="4">
        <f ca="1">ROUND(T_Tiktok_ads[[#This Row],[comments]]*RANDBETWEEN(8,12)/10,0)</f>
        <v>641</v>
      </c>
      <c r="AV31" s="5">
        <f t="shared" ca="1" si="3"/>
        <v>44992</v>
      </c>
      <c r="AW31">
        <f t="shared" ca="1" si="4"/>
        <v>8</v>
      </c>
      <c r="AX31">
        <f ca="1">ROUND(T_Facebook_Ads115963[[#This Row],[impressions]]*RANDBETWEEN(8,12)/10,0)</f>
        <v>31149</v>
      </c>
      <c r="AY31">
        <f ca="1">ROUND(T_Facebook_Ads115963[[#This Row],[clicks]]*RANDBETWEEN(8,12)/10,0)</f>
        <v>1138</v>
      </c>
      <c r="AZ31">
        <f ca="1">T_Facebook_Ads115963[[#This Row],[spend]]*RANDBETWEEN(8,12)/10</f>
        <v>217.5</v>
      </c>
      <c r="BA31">
        <f ca="1">ROUND(T_Facebook_Ads115963[[#This Row],[conversions]]*RANDBETWEEN(8,12)/10,0)</f>
        <v>25</v>
      </c>
      <c r="BB31">
        <f ca="1">ROUND(T_Facebook_Ads115963[[#This Row],[video_views]]*RANDBETWEEN(8,12)/10,0)</f>
        <v>6148</v>
      </c>
    </row>
    <row r="32" spans="1:54" ht="15.75" thickBot="1" x14ac:dyDescent="0.3">
      <c r="A32" s="3">
        <f t="shared" ca="1" si="0"/>
        <v>44995</v>
      </c>
      <c r="B32" s="4" t="s">
        <v>52</v>
      </c>
      <c r="C32" s="4" t="s">
        <v>53</v>
      </c>
      <c r="D32" s="4" t="s">
        <v>54</v>
      </c>
      <c r="E32" s="4" t="s">
        <v>55</v>
      </c>
      <c r="F32" s="4">
        <f ca="1">ROUND(T_Facebook_Ads[[#This Row],[impressions]]*RANDBETWEEN(8,12)/10,0)</f>
        <v>57335</v>
      </c>
      <c r="G32" s="4">
        <v>1089</v>
      </c>
      <c r="H32" s="4">
        <f ca="1">T_Facebook_Ads[[#This Row],[spend]]*RANDBETWEEN(8,12)/10</f>
        <v>163.45999999999998</v>
      </c>
      <c r="I32" s="4">
        <f ca="1">ROUND(T_Facebook_Ads[[#This Row],[conversions]]*RANDBETWEEN(8,12)/10,0)</f>
        <v>14</v>
      </c>
      <c r="J32" s="4">
        <f ca="1">ROUND(T_Facebook_Ads[[#This Row],[video_views]]*RANDBETWEEN(8,12)/10,0)</f>
        <v>11480</v>
      </c>
      <c r="K32" s="4">
        <f ca="1">T_Facebook_Ads[[#This Row],[engagement_rate]]*RANDBETWEEN(8,12)/10</f>
        <v>2.299E-2</v>
      </c>
      <c r="L32" s="4">
        <f ca="1">ROUND(T_Facebook_Ads[[#This Row],[reach]]*RANDBETWEEN(8,12)/10,0)</f>
        <v>43234</v>
      </c>
      <c r="M32" s="4">
        <f ca="1">T_Facebook_Ads[[#This Row],[frequency]]*RANDBETWEEN(8,12)/10</f>
        <v>0.96799999999999997</v>
      </c>
      <c r="O32" s="3">
        <f t="shared" ca="1" si="1"/>
        <v>44986</v>
      </c>
      <c r="P32" s="4" t="s">
        <v>76</v>
      </c>
      <c r="Q32" s="4" t="s">
        <v>77</v>
      </c>
      <c r="R32" s="4" t="s">
        <v>78</v>
      </c>
      <c r="S32" s="4" t="s">
        <v>79</v>
      </c>
      <c r="T32" s="4">
        <f ca="1">ROUND(_Google_ads[[#This Row],[impressions]]*RANDBETWEEN(8,12)/10,0)</f>
        <v>31481</v>
      </c>
      <c r="U32" s="4">
        <f ca="1">ROUND(_Google_ads[[#This Row],[clicks]]*RANDBETWEEN(8,12)/10,0)</f>
        <v>1654</v>
      </c>
      <c r="V32" s="4">
        <f ca="1">_Google_ads[[#This Row],[cost]]*RANDBETWEEN(8,12)/10</f>
        <v>263.39999999999998</v>
      </c>
      <c r="W32" s="4">
        <f ca="1">ROUND(_Google_ads[[#This Row],[conversions]]*RANDBETWEEN(8,12)/10,0)</f>
        <v>52</v>
      </c>
      <c r="X32" s="4">
        <f ca="1">ROUND(_Google_ads[[#This Row],[conversion_value]]*RANDBETWEEN(8,12)/10,0)</f>
        <v>2860</v>
      </c>
      <c r="Y32" s="4">
        <f ca="1">_Google_ads[[#This Row],[ctr]]*RANDBETWEEN(8,12)/10</f>
        <v>5.2500000000000005E-2</v>
      </c>
      <c r="Z32" s="4">
        <f ca="1">_Google_ads[[#This Row],[avg_cpc]]*RANDBETWEEN(8,12)/10</f>
        <v>0.152</v>
      </c>
      <c r="AA32" s="4">
        <f ca="1">ROUND(_Google_ads[[#This Row],[quality_score]]*RANDBETWEEN(8,12)/10,0)</f>
        <v>7</v>
      </c>
      <c r="AB32" s="4">
        <f ca="1">_Google_ads[[#This Row],[search_impression_share]]*RANDBETWEEN(8,12)/10</f>
        <v>1.1040000000000001</v>
      </c>
      <c r="AD32" s="3">
        <f t="shared" ca="1" si="2"/>
        <v>45009</v>
      </c>
      <c r="AE32" s="4" t="s">
        <v>100</v>
      </c>
      <c r="AF32" s="4" t="s">
        <v>101</v>
      </c>
      <c r="AG32" s="4" t="s">
        <v>102</v>
      </c>
      <c r="AH32" s="4" t="s">
        <v>103</v>
      </c>
      <c r="AI32" s="4">
        <f ca="1">ROUND(T_Tiktok_ads[[#This Row],[impressions]]*RANDBETWEEN(8,12)/10,0)</f>
        <v>251011</v>
      </c>
      <c r="AJ32" s="4">
        <f ca="1">ROUND(T_Tiktok_ads[[#This Row],[clicks]]*RANDBETWEEN(8,12)/10,0)</f>
        <v>4123</v>
      </c>
      <c r="AK32" s="4">
        <v>523.6</v>
      </c>
      <c r="AL32" s="4">
        <f ca="1">ROUND(T_Tiktok_ads[[#This Row],[conversions]]*RANDBETWEEN(8,12)/10,0)</f>
        <v>38</v>
      </c>
      <c r="AM32" s="4">
        <f ca="1">ROUND(T_Tiktok_ads[[#This Row],[video_views]]*RANDBETWEEN(8,12)/10,0)</f>
        <v>234567</v>
      </c>
      <c r="AN32" s="4">
        <f ca="1">ROUND(T_Tiktok_ads[[#This Row],[video_watch_25]]*RANDBETWEEN(8,12)/10,0)</f>
        <v>164111</v>
      </c>
      <c r="AO32" s="4">
        <f ca="1">ROUND(T_Tiktok_ads[[#This Row],[video_watch_50]]*RANDBETWEEN(8,12)/10,0)</f>
        <v>137480</v>
      </c>
      <c r="AP32" s="4">
        <f ca="1">ROUND(T_Tiktok_ads[[#This Row],[video_watch_75]]*RANDBETWEEN(8,12)/10,0)</f>
        <v>77234</v>
      </c>
      <c r="AQ32" s="4">
        <f ca="1">ROUND(T_Tiktok_ads[[#This Row],[video_watch_100]]*RANDBETWEEN(8,12)/10,0)</f>
        <v>40987</v>
      </c>
      <c r="AR32" s="4">
        <f ca="1">ROUND(T_Tiktok_ads[[#This Row],[likes]]*RANDBETWEEN(8,12)/10,0)</f>
        <v>12414</v>
      </c>
      <c r="AS32" s="4">
        <f ca="1">ROUND(T_Tiktok_ads[[#This Row],[shares]]*RANDBETWEEN(8,12)/10,0)</f>
        <v>2789</v>
      </c>
      <c r="AT32" s="4">
        <f ca="1">ROUND(T_Tiktok_ads[[#This Row],[comments]]*RANDBETWEEN(8,12)/10,0)</f>
        <v>722</v>
      </c>
      <c r="AV32" s="5">
        <f t="shared" ca="1" si="3"/>
        <v>44994</v>
      </c>
      <c r="AW32">
        <f t="shared" ca="1" si="4"/>
        <v>6</v>
      </c>
      <c r="AX32">
        <f ca="1">ROUND(T_Facebook_Ads115963[[#This Row],[impressions]]*RANDBETWEEN(8,12)/10,0)</f>
        <v>45868</v>
      </c>
      <c r="AY32">
        <f ca="1">ROUND(T_Facebook_Ads115963[[#This Row],[clicks]]*RANDBETWEEN(8,12)/10,0)</f>
        <v>1198</v>
      </c>
      <c r="AZ32">
        <f ca="1">T_Facebook_Ads115963[[#This Row],[spend]]*RANDBETWEEN(8,12)/10</f>
        <v>179.80599999999998</v>
      </c>
      <c r="BA32">
        <f ca="1">ROUND(T_Facebook_Ads115963[[#This Row],[conversions]]*RANDBETWEEN(8,12)/10,0)</f>
        <v>14</v>
      </c>
      <c r="BB32">
        <f ca="1">ROUND(T_Facebook_Ads115963[[#This Row],[video_views]]*RANDBETWEEN(8,12)/10,0)</f>
        <v>12628</v>
      </c>
    </row>
    <row r="33" spans="1:54" ht="15.75" thickBot="1" x14ac:dyDescent="0.3">
      <c r="A33" s="3">
        <f t="shared" ca="1" si="0"/>
        <v>44986</v>
      </c>
      <c r="B33" s="4" t="s">
        <v>56</v>
      </c>
      <c r="C33" s="4" t="s">
        <v>57</v>
      </c>
      <c r="D33" s="4" t="s">
        <v>58</v>
      </c>
      <c r="E33" s="4" t="s">
        <v>59</v>
      </c>
      <c r="F33" s="4">
        <f ca="1">ROUND(T_Facebook_Ads[[#This Row],[impressions]]*RANDBETWEEN(8,12)/10,0)</f>
        <v>14567</v>
      </c>
      <c r="G33" s="4">
        <v>723</v>
      </c>
      <c r="H33" s="4">
        <f ca="1">T_Facebook_Ads[[#This Row],[spend]]*RANDBETWEEN(8,12)/10</f>
        <v>205.11999999999998</v>
      </c>
      <c r="I33" s="4">
        <f ca="1">ROUND(T_Facebook_Ads[[#This Row],[conversions]]*RANDBETWEEN(8,12)/10,0)</f>
        <v>53</v>
      </c>
      <c r="J33" s="4">
        <f ca="1">ROUND(T_Facebook_Ads[[#This Row],[video_views]]*RANDBETWEEN(8,12)/10,0)</f>
        <v>1451</v>
      </c>
      <c r="K33" s="4">
        <f ca="1">T_Facebook_Ads[[#This Row],[engagement_rate]]*RANDBETWEEN(8,12)/10</f>
        <v>5.4559999999999997E-2</v>
      </c>
      <c r="L33" s="4">
        <f ca="1">ROUND(T_Facebook_Ads[[#This Row],[reach]]*RANDBETWEEN(8,12)/10,0)</f>
        <v>11456</v>
      </c>
      <c r="M33" s="4">
        <f ca="1">T_Facebook_Ads[[#This Row],[frequency]]*RANDBETWEEN(8,12)/10</f>
        <v>1.016</v>
      </c>
      <c r="O33" s="3">
        <f t="shared" ca="1" si="1"/>
        <v>45004</v>
      </c>
      <c r="P33" s="4" t="s">
        <v>80</v>
      </c>
      <c r="Q33" s="4" t="s">
        <v>81</v>
      </c>
      <c r="R33" s="4" t="s">
        <v>82</v>
      </c>
      <c r="S33" s="4" t="s">
        <v>83</v>
      </c>
      <c r="T33" s="4">
        <f ca="1">ROUND(_Google_ads[[#This Row],[impressions]]*RANDBETWEEN(8,12)/10,0)</f>
        <v>38312</v>
      </c>
      <c r="U33" s="4">
        <f ca="1">ROUND(_Google_ads[[#This Row],[clicks]]*RANDBETWEEN(8,12)/10,0)</f>
        <v>841</v>
      </c>
      <c r="V33" s="4">
        <f ca="1">_Google_ads[[#This Row],[cost]]*RANDBETWEEN(8,12)/10</f>
        <v>673.75</v>
      </c>
      <c r="W33" s="4">
        <f ca="1">ROUND(_Google_ads[[#This Row],[conversions]]*RANDBETWEEN(8,12)/10,0)</f>
        <v>21</v>
      </c>
      <c r="X33" s="4">
        <f ca="1">ROUND(_Google_ads[[#This Row],[conversion_value]]*RANDBETWEEN(8,12)/10,0)</f>
        <v>1170</v>
      </c>
      <c r="Y33" s="4">
        <f ca="1">_Google_ads[[#This Row],[ctr]]*RANDBETWEEN(8,12)/10</f>
        <v>1.95E-2</v>
      </c>
      <c r="Z33" s="4">
        <f ca="1">_Google_ads[[#This Row],[avg_cpc]]*RANDBETWEEN(8,12)/10</f>
        <v>0.52800000000000002</v>
      </c>
      <c r="AA33" s="4">
        <f ca="1">ROUND(_Google_ads[[#This Row],[quality_score]]*RANDBETWEEN(8,12)/10,0)</f>
        <v>8</v>
      </c>
      <c r="AB33" s="4">
        <f ca="1">_Google_ads[[#This Row],[search_impression_share]]*RANDBETWEEN(8,12)/10</f>
        <v>0.50600000000000001</v>
      </c>
      <c r="AD33" s="3">
        <f t="shared" ca="1" si="2"/>
        <v>45013</v>
      </c>
      <c r="AE33" s="4" t="s">
        <v>104</v>
      </c>
      <c r="AF33" s="4" t="s">
        <v>105</v>
      </c>
      <c r="AG33" s="4" t="s">
        <v>106</v>
      </c>
      <c r="AH33" s="4" t="s">
        <v>107</v>
      </c>
      <c r="AI33" s="4">
        <f ca="1">ROUND(T_Tiktok_ads[[#This Row],[impressions]]*RANDBETWEEN(8,12)/10,0)</f>
        <v>141110</v>
      </c>
      <c r="AJ33" s="4">
        <f ca="1">ROUND(T_Tiktok_ads[[#This Row],[clicks]]*RANDBETWEEN(8,12)/10,0)</f>
        <v>3313</v>
      </c>
      <c r="AK33" s="4">
        <v>812.3</v>
      </c>
      <c r="AL33" s="4">
        <f ca="1">ROUND(T_Tiktok_ads[[#This Row],[conversions]]*RANDBETWEEN(8,12)/10,0)</f>
        <v>74</v>
      </c>
      <c r="AM33" s="4">
        <f ca="1">ROUND(T_Tiktok_ads[[#This Row],[video_views]]*RANDBETWEEN(8,12)/10,0)</f>
        <v>98888</v>
      </c>
      <c r="AN33" s="4">
        <f ca="1">ROUND(T_Tiktok_ads[[#This Row],[video_watch_25]]*RANDBETWEEN(8,12)/10,0)</f>
        <v>64987</v>
      </c>
      <c r="AO33" s="4">
        <f ca="1">ROUND(T_Tiktok_ads[[#This Row],[video_watch_50]]*RANDBETWEEN(8,12)/10,0)</f>
        <v>60146</v>
      </c>
      <c r="AP33" s="4">
        <f ca="1">ROUND(T_Tiktok_ads[[#This Row],[video_watch_75]]*RANDBETWEEN(8,12)/10,0)</f>
        <v>41234</v>
      </c>
      <c r="AQ33" s="4">
        <f ca="1">ROUND(T_Tiktok_ads[[#This Row],[video_watch_100]]*RANDBETWEEN(8,12)/10,0)</f>
        <v>27567</v>
      </c>
      <c r="AR33" s="4">
        <f ca="1">ROUND(T_Tiktok_ads[[#This Row],[likes]]*RANDBETWEEN(8,12)/10,0)</f>
        <v>5456</v>
      </c>
      <c r="AS33" s="4">
        <f ca="1">ROUND(T_Tiktok_ads[[#This Row],[shares]]*RANDBETWEEN(8,12)/10,0)</f>
        <v>1724</v>
      </c>
      <c r="AT33" s="4">
        <f ca="1">ROUND(T_Tiktok_ads[[#This Row],[comments]]*RANDBETWEEN(8,12)/10,0)</f>
        <v>260</v>
      </c>
      <c r="AV33" s="5">
        <f t="shared" ca="1" si="3"/>
        <v>44991</v>
      </c>
      <c r="AW33">
        <f t="shared" ca="1" si="4"/>
        <v>7</v>
      </c>
      <c r="AX33">
        <f ca="1">ROUND(T_Facebook_Ads115963[[#This Row],[impressions]]*RANDBETWEEN(8,12)/10,0)</f>
        <v>14567</v>
      </c>
      <c r="AY33">
        <f ca="1">ROUND(T_Facebook_Ads115963[[#This Row],[clicks]]*RANDBETWEEN(8,12)/10,0)</f>
        <v>651</v>
      </c>
      <c r="AZ33">
        <f ca="1">T_Facebook_Ads115963[[#This Row],[spend]]*RANDBETWEEN(8,12)/10</f>
        <v>246.14399999999995</v>
      </c>
      <c r="BA33">
        <f ca="1">ROUND(T_Facebook_Ads115963[[#This Row],[conversions]]*RANDBETWEEN(8,12)/10,0)</f>
        <v>64</v>
      </c>
      <c r="BB33">
        <f ca="1">ROUND(T_Facebook_Ads115963[[#This Row],[video_views]]*RANDBETWEEN(8,12)/10,0)</f>
        <v>1741</v>
      </c>
    </row>
    <row r="34" spans="1:54" ht="15.75" thickBot="1" x14ac:dyDescent="0.3">
      <c r="A34" s="3">
        <f t="shared" ref="A34:A65" ca="1" si="5">DATE(2023,3,RANDBETWEEN(1,31))</f>
        <v>44991</v>
      </c>
      <c r="B34" s="4" t="s">
        <v>60</v>
      </c>
      <c r="C34" s="4" t="s">
        <v>61</v>
      </c>
      <c r="D34" s="4" t="s">
        <v>62</v>
      </c>
      <c r="E34" s="4" t="s">
        <v>63</v>
      </c>
      <c r="F34" s="4">
        <f ca="1">ROUND(T_Facebook_Ads[[#This Row],[impressions]]*RANDBETWEEN(8,12)/10,0)</f>
        <v>35810</v>
      </c>
      <c r="G34" s="4">
        <v>1534</v>
      </c>
      <c r="H34" s="4">
        <f ca="1">T_Facebook_Ads[[#This Row],[spend]]*RANDBETWEEN(8,12)/10</f>
        <v>270.96000000000004</v>
      </c>
      <c r="I34" s="4">
        <f ca="1">ROUND(T_Facebook_Ads[[#This Row],[conversions]]*RANDBETWEEN(8,12)/10,0)</f>
        <v>25</v>
      </c>
      <c r="J34" s="4">
        <f ca="1">ROUND(T_Facebook_Ads[[#This Row],[video_views]]*RANDBETWEEN(8,12)/10,0)</f>
        <v>4365</v>
      </c>
      <c r="K34" s="4">
        <f ca="1">T_Facebook_Ads[[#This Row],[engagement_rate]]*RANDBETWEEN(8,12)/10</f>
        <v>4.2460000000000005E-2</v>
      </c>
      <c r="L34" s="4">
        <f ca="1">ROUND(T_Facebook_Ads[[#This Row],[reach]]*RANDBETWEEN(8,12)/10,0)</f>
        <v>35824</v>
      </c>
      <c r="M34" s="4">
        <f ca="1">T_Facebook_Ads[[#This Row],[frequency]]*RANDBETWEEN(8,12)/10</f>
        <v>0.97599999999999998</v>
      </c>
      <c r="O34" s="3">
        <f t="shared" ref="O34:O65" ca="1" si="6">DATE(2023,3,RANDBETWEEN(1,31))</f>
        <v>44996</v>
      </c>
      <c r="P34" s="4" t="s">
        <v>84</v>
      </c>
      <c r="Q34" s="4" t="s">
        <v>85</v>
      </c>
      <c r="R34" s="4" t="s">
        <v>86</v>
      </c>
      <c r="S34" s="4" t="s">
        <v>87</v>
      </c>
      <c r="T34" s="4">
        <f ca="1">ROUND(_Google_ads[[#This Row],[impressions]]*RANDBETWEEN(8,12)/10,0)</f>
        <v>85481</v>
      </c>
      <c r="U34" s="4">
        <f ca="1">ROUND(_Google_ads[[#This Row],[clicks]]*RANDBETWEEN(8,12)/10,0)</f>
        <v>2947</v>
      </c>
      <c r="V34" s="4">
        <f ca="1">_Google_ads[[#This Row],[cost]]*RANDBETWEEN(8,12)/10</f>
        <v>401.22</v>
      </c>
      <c r="W34" s="4">
        <f ca="1">ROUND(_Google_ads[[#This Row],[conversions]]*RANDBETWEEN(8,12)/10,0)</f>
        <v>71</v>
      </c>
      <c r="X34" s="4">
        <f ca="1">ROUND(_Google_ads[[#This Row],[conversion_value]]*RANDBETWEEN(8,12)/10,0)</f>
        <v>4260</v>
      </c>
      <c r="Y34" s="4">
        <f ca="1">_Google_ads[[#This Row],[ctr]]*RANDBETWEEN(8,12)/10</f>
        <v>4.1400000000000006E-2</v>
      </c>
      <c r="Z34" s="4">
        <f ca="1">_Google_ads[[#This Row],[avg_cpc]]*RANDBETWEEN(8,12)/10</f>
        <v>0.21600000000000003</v>
      </c>
      <c r="AA34" s="4">
        <f ca="1">ROUND(_Google_ads[[#This Row],[quality_score]]*RANDBETWEEN(8,12)/10,0)</f>
        <v>8</v>
      </c>
      <c r="AB34" s="4">
        <f ca="1">_Google_ads[[#This Row],[search_impression_share]]*RANDBETWEEN(8,12)/10</f>
        <v>0.54400000000000004</v>
      </c>
      <c r="AD34" s="3">
        <f t="shared" ref="AD34:AD65" ca="1" si="7">DATE(2023,3,RANDBETWEEN(1,31))</f>
        <v>44988</v>
      </c>
      <c r="AE34" s="4" t="s">
        <v>108</v>
      </c>
      <c r="AF34" s="4" t="s">
        <v>109</v>
      </c>
      <c r="AG34" s="4" t="s">
        <v>110</v>
      </c>
      <c r="AH34" s="4" t="s">
        <v>111</v>
      </c>
      <c r="AI34" s="4">
        <f ca="1">ROUND(T_Tiktok_ads[[#This Row],[impressions]]*RANDBETWEEN(8,12)/10,0)</f>
        <v>234567</v>
      </c>
      <c r="AJ34" s="4">
        <f ca="1">ROUND(T_Tiktok_ads[[#This Row],[clicks]]*RANDBETWEEN(8,12)/10,0)</f>
        <v>3410</v>
      </c>
      <c r="AK34" s="4">
        <v>456.8</v>
      </c>
      <c r="AL34" s="4">
        <f ca="1">ROUND(T_Tiktok_ads[[#This Row],[conversions]]*RANDBETWEEN(8,12)/10,0)</f>
        <v>26</v>
      </c>
      <c r="AM34" s="4">
        <f ca="1">ROUND(T_Tiktok_ads[[#This Row],[video_views]]*RANDBETWEEN(8,12)/10,0)</f>
        <v>151387</v>
      </c>
      <c r="AN34" s="4">
        <f ca="1">ROUND(T_Tiktok_ads[[#This Row],[video_watch_25]]*RANDBETWEEN(8,12)/10,0)</f>
        <v>172280</v>
      </c>
      <c r="AO34" s="4">
        <f ca="1">ROUND(T_Tiktok_ads[[#This Row],[video_watch_50]]*RANDBETWEEN(8,12)/10,0)</f>
        <v>136147</v>
      </c>
      <c r="AP34" s="4">
        <f ca="1">ROUND(T_Tiktok_ads[[#This Row],[video_watch_75]]*RANDBETWEEN(8,12)/10,0)</f>
        <v>58765</v>
      </c>
      <c r="AQ34" s="4">
        <f ca="1">ROUND(T_Tiktok_ads[[#This Row],[video_watch_100]]*RANDBETWEEN(8,12)/10,0)</f>
        <v>35654</v>
      </c>
      <c r="AR34" s="4">
        <f ca="1">ROUND(T_Tiktok_ads[[#This Row],[likes]]*RANDBETWEEN(8,12)/10,0)</f>
        <v>9668</v>
      </c>
      <c r="AS34" s="4">
        <f ca="1">ROUND(T_Tiktok_ads[[#This Row],[shares]]*RANDBETWEEN(8,12)/10,0)</f>
        <v>2434</v>
      </c>
      <c r="AT34" s="4">
        <f ca="1">ROUND(T_Tiktok_ads[[#This Row],[comments]]*RANDBETWEEN(8,12)/10,0)</f>
        <v>567</v>
      </c>
      <c r="AV34" s="5">
        <f t="shared" ref="AV34:AV65" ca="1" si="8">DATE(2023,3,RANDBETWEEN(1,31))</f>
        <v>45003</v>
      </c>
      <c r="AW34">
        <f t="shared" ca="1" si="4"/>
        <v>6</v>
      </c>
      <c r="AX34">
        <f ca="1">ROUND(T_Facebook_Ads115963[[#This Row],[impressions]]*RANDBETWEEN(8,12)/10,0)</f>
        <v>35810</v>
      </c>
      <c r="AY34">
        <f ca="1">ROUND(T_Facebook_Ads115963[[#This Row],[clicks]]*RANDBETWEEN(8,12)/10,0)</f>
        <v>1227</v>
      </c>
      <c r="AZ34">
        <f ca="1">T_Facebook_Ads115963[[#This Row],[spend]]*RANDBETWEEN(8,12)/10</f>
        <v>270.96000000000004</v>
      </c>
      <c r="BA34">
        <f ca="1">ROUND(T_Facebook_Ads115963[[#This Row],[conversions]]*RANDBETWEEN(8,12)/10,0)</f>
        <v>23</v>
      </c>
      <c r="BB34">
        <f ca="1">ROUND(T_Facebook_Ads115963[[#This Row],[video_views]]*RANDBETWEEN(8,12)/10,0)</f>
        <v>4802</v>
      </c>
    </row>
    <row r="35" spans="1:54" ht="15.75" thickBot="1" x14ac:dyDescent="0.3">
      <c r="A35" s="3">
        <f t="shared" ca="1" si="5"/>
        <v>44996</v>
      </c>
      <c r="B35" s="4" t="s">
        <v>64</v>
      </c>
      <c r="C35" s="4" t="s">
        <v>65</v>
      </c>
      <c r="D35" s="4" t="s">
        <v>66</v>
      </c>
      <c r="E35" s="4" t="s">
        <v>67</v>
      </c>
      <c r="F35" s="4">
        <f ca="1">ROUND(T_Facebook_Ads[[#This Row],[impressions]]*RANDBETWEEN(8,12)/10,0)</f>
        <v>83857</v>
      </c>
      <c r="G35" s="4">
        <v>278</v>
      </c>
      <c r="H35" s="4">
        <f ca="1">T_Facebook_Ads[[#This Row],[spend]]*RANDBETWEEN(8,12)/10</f>
        <v>81.2</v>
      </c>
      <c r="I35" s="4">
        <f ca="1">ROUND(T_Facebook_Ads[[#This Row],[conversions]]*RANDBETWEEN(8,12)/10,0)</f>
        <v>8</v>
      </c>
      <c r="J35" s="4">
        <f ca="1">ROUND(T_Facebook_Ads[[#This Row],[video_views]]*RANDBETWEEN(8,12)/10,0)</f>
        <v>57580</v>
      </c>
      <c r="K35" s="4">
        <f ca="1">T_Facebook_Ads[[#This Row],[engagement_rate]]*RANDBETWEEN(8,12)/10</f>
        <v>2.96E-3</v>
      </c>
      <c r="L35" s="4">
        <f ca="1">ROUND(T_Facebook_Ads[[#This Row],[reach]]*RANDBETWEEN(8,12)/10,0)</f>
        <v>56210</v>
      </c>
      <c r="M35" s="4">
        <f ca="1">T_Facebook_Ads[[#This Row],[frequency]]*RANDBETWEEN(8,12)/10</f>
        <v>1.464</v>
      </c>
      <c r="O35" s="3">
        <f t="shared" ca="1" si="6"/>
        <v>44988</v>
      </c>
      <c r="P35" s="4" t="s">
        <v>88</v>
      </c>
      <c r="Q35" s="4" t="s">
        <v>89</v>
      </c>
      <c r="R35" s="4" t="s">
        <v>90</v>
      </c>
      <c r="S35" s="4" t="s">
        <v>59</v>
      </c>
      <c r="T35" s="4">
        <f ca="1">ROUND(_Google_ads[[#This Row],[impressions]]*RANDBETWEEN(8,12)/10,0)</f>
        <v>164147</v>
      </c>
      <c r="U35" s="4">
        <f ca="1">ROUND(_Google_ads[[#This Row],[clicks]]*RANDBETWEEN(8,12)/10,0)</f>
        <v>563</v>
      </c>
      <c r="V35" s="4">
        <f ca="1">_Google_ads[[#This Row],[cost]]*RANDBETWEEN(8,12)/10</f>
        <v>113.84</v>
      </c>
      <c r="W35" s="4">
        <f ca="1">ROUND(_Google_ads[[#This Row],[conversions]]*RANDBETWEEN(8,12)/10,0)</f>
        <v>17</v>
      </c>
      <c r="X35" s="4">
        <f ca="1">ROUND(_Google_ads[[#This Row],[conversion_value]]*RANDBETWEEN(8,12)/10,0)</f>
        <v>825</v>
      </c>
      <c r="Y35" s="4">
        <f ca="1">_Google_ads[[#This Row],[ctr]]*RANDBETWEEN(8,12)/10</f>
        <v>2.96E-3</v>
      </c>
      <c r="Z35" s="4">
        <f ca="1">_Google_ads[[#This Row],[avg_cpc]]*RANDBETWEEN(8,12)/10</f>
        <v>0.25200000000000006</v>
      </c>
      <c r="AA35" s="4">
        <f ca="1">ROUND(_Google_ads[[#This Row],[quality_score]]*RANDBETWEEN(8,12)/10,0)</f>
        <v>6</v>
      </c>
      <c r="AB35" s="4">
        <f ca="1">_Google_ads[[#This Row],[search_impression_share]]*RANDBETWEEN(8,12)/10</f>
        <v>0.28799999999999998</v>
      </c>
      <c r="AD35" s="3">
        <f t="shared" ca="1" si="7"/>
        <v>44996</v>
      </c>
      <c r="AE35" s="4" t="s">
        <v>112</v>
      </c>
      <c r="AF35" s="4" t="s">
        <v>113</v>
      </c>
      <c r="AG35" s="4" t="s">
        <v>114</v>
      </c>
      <c r="AH35" s="4" t="s">
        <v>115</v>
      </c>
      <c r="AI35" s="4">
        <f ca="1">ROUND(T_Tiktok_ads[[#This Row],[impressions]]*RANDBETWEEN(8,12)/10,0)</f>
        <v>494814</v>
      </c>
      <c r="AJ35" s="4">
        <f ca="1">ROUND(T_Tiktok_ads[[#This Row],[clicks]]*RANDBETWEEN(8,12)/10,0)</f>
        <v>8147</v>
      </c>
      <c r="AK35" s="4">
        <v>1023.4</v>
      </c>
      <c r="AL35" s="4">
        <f ca="1">ROUND(T_Tiktok_ads[[#This Row],[conversions]]*RANDBETWEEN(8,12)/10,0)</f>
        <v>113</v>
      </c>
      <c r="AM35" s="4">
        <f ca="1">ROUND(T_Tiktok_ads[[#This Row],[video_views]]*RANDBETWEEN(8,12)/10,0)</f>
        <v>345678</v>
      </c>
      <c r="AN35" s="4">
        <f ca="1">ROUND(T_Tiktok_ads[[#This Row],[video_watch_25]]*RANDBETWEEN(8,12)/10,0)</f>
        <v>306791</v>
      </c>
      <c r="AO35" s="4">
        <f ca="1">ROUND(T_Tiktok_ads[[#This Row],[video_watch_50]]*RANDBETWEEN(8,12)/10,0)</f>
        <v>223456</v>
      </c>
      <c r="AP35" s="4">
        <f ca="1">ROUND(T_Tiktok_ads[[#This Row],[video_watch_75]]*RANDBETWEEN(8,12)/10,0)</f>
        <v>175157</v>
      </c>
      <c r="AQ35" s="4">
        <f ca="1">ROUND(T_Tiktok_ads[[#This Row],[video_watch_100]]*RANDBETWEEN(8,12)/10,0)</f>
        <v>126814</v>
      </c>
      <c r="AR35" s="4">
        <f ca="1">ROUND(T_Tiktok_ads[[#This Row],[likes]]*RANDBETWEEN(8,12)/10,0)</f>
        <v>21881</v>
      </c>
      <c r="AS35" s="4">
        <f ca="1">ROUND(T_Tiktok_ads[[#This Row],[shares]]*RANDBETWEEN(8,12)/10,0)</f>
        <v>4187</v>
      </c>
      <c r="AT35" s="4">
        <f ca="1">ROUND(T_Tiktok_ads[[#This Row],[comments]]*RANDBETWEEN(8,12)/10,0)</f>
        <v>1456</v>
      </c>
      <c r="AV35" s="5">
        <f t="shared" ca="1" si="8"/>
        <v>44986</v>
      </c>
      <c r="AW35">
        <f t="shared" ca="1" si="4"/>
        <v>1</v>
      </c>
      <c r="AX35">
        <f ca="1">ROUND(T_Facebook_Ads115963[[#This Row],[impressions]]*RANDBETWEEN(8,12)/10,0)</f>
        <v>100628</v>
      </c>
      <c r="AY35">
        <f ca="1">ROUND(T_Facebook_Ads115963[[#This Row],[clicks]]*RANDBETWEEN(8,12)/10,0)</f>
        <v>278</v>
      </c>
      <c r="AZ35">
        <f ca="1">T_Facebook_Ads115963[[#This Row],[spend]]*RANDBETWEEN(8,12)/10</f>
        <v>97.440000000000012</v>
      </c>
      <c r="BA35">
        <f ca="1">ROUND(T_Facebook_Ads115963[[#This Row],[conversions]]*RANDBETWEEN(8,12)/10,0)</f>
        <v>7</v>
      </c>
      <c r="BB35">
        <f ca="1">ROUND(T_Facebook_Ads115963[[#This Row],[video_views]]*RANDBETWEEN(8,12)/10,0)</f>
        <v>51822</v>
      </c>
    </row>
    <row r="36" spans="1:54" ht="15.75" thickBot="1" x14ac:dyDescent="0.3">
      <c r="A36" s="3">
        <f t="shared" ca="1" si="5"/>
        <v>45000</v>
      </c>
      <c r="B36" s="4" t="s">
        <v>52</v>
      </c>
      <c r="C36" s="4" t="s">
        <v>53</v>
      </c>
      <c r="D36" s="4" t="s">
        <v>54</v>
      </c>
      <c r="E36" s="4" t="s">
        <v>55</v>
      </c>
      <c r="F36" s="4">
        <f ca="1">ROUND(T_Facebook_Ads[[#This Row],[impressions]]*RANDBETWEEN(8,12)/10,0)</f>
        <v>49234</v>
      </c>
      <c r="G36" s="4">
        <v>1012</v>
      </c>
      <c r="H36" s="4">
        <f ca="1">T_Facebook_Ads[[#This Row],[spend]]*RANDBETWEEN(8,12)/10</f>
        <v>112.24000000000001</v>
      </c>
      <c r="I36" s="4">
        <f ca="1">ROUND(T_Facebook_Ads[[#This Row],[conversions]]*RANDBETWEEN(8,12)/10,0)</f>
        <v>17</v>
      </c>
      <c r="J36" s="4">
        <f ca="1">ROUND(T_Facebook_Ads[[#This Row],[video_views]]*RANDBETWEEN(8,12)/10,0)</f>
        <v>10948</v>
      </c>
      <c r="K36" s="4">
        <f ca="1">T_Facebook_Ads[[#This Row],[engagement_rate]]*RANDBETWEEN(8,12)/10</f>
        <v>1.8540000000000001E-2</v>
      </c>
      <c r="L36" s="4">
        <f ca="1">ROUND(T_Facebook_Ads[[#This Row],[reach]]*RANDBETWEEN(8,12)/10,0)</f>
        <v>33254</v>
      </c>
      <c r="M36" s="4">
        <f ca="1">T_Facebook_Ads[[#This Row],[frequency]]*RANDBETWEEN(8,12)/10</f>
        <v>1.18</v>
      </c>
      <c r="O36" s="3">
        <f t="shared" ca="1" si="6"/>
        <v>45015</v>
      </c>
      <c r="P36" s="4" t="s">
        <v>76</v>
      </c>
      <c r="Q36" s="4" t="s">
        <v>77</v>
      </c>
      <c r="R36" s="4" t="s">
        <v>78</v>
      </c>
      <c r="S36" s="4" t="s">
        <v>79</v>
      </c>
      <c r="T36" s="4">
        <f ca="1">ROUND(_Google_ads[[#This Row],[impressions]]*RANDBETWEEN(8,12)/10,0)</f>
        <v>20098</v>
      </c>
      <c r="U36" s="4">
        <f ca="1">ROUND(_Google_ads[[#This Row],[clicks]]*RANDBETWEEN(8,12)/10,0)</f>
        <v>1312</v>
      </c>
      <c r="V36" s="4">
        <f ca="1">_Google_ads[[#This Row],[cost]]*RANDBETWEEN(8,12)/10</f>
        <v>275.44</v>
      </c>
      <c r="W36" s="4">
        <f ca="1">ROUND(_Google_ads[[#This Row],[conversions]]*RANDBETWEEN(8,12)/10,0)</f>
        <v>49</v>
      </c>
      <c r="X36" s="4">
        <f ca="1">ROUND(_Google_ads[[#This Row],[conversion_value]]*RANDBETWEEN(8,12)/10,0)</f>
        <v>2205</v>
      </c>
      <c r="Y36" s="4">
        <f ca="1">_Google_ads[[#This Row],[ctr]]*RANDBETWEEN(8,12)/10</f>
        <v>5.7420000000000006E-2</v>
      </c>
      <c r="Z36" s="4">
        <f ca="1">_Google_ads[[#This Row],[avg_cpc]]*RANDBETWEEN(8,12)/10</f>
        <v>0.19</v>
      </c>
      <c r="AA36" s="4">
        <f ca="1">ROUND(_Google_ads[[#This Row],[quality_score]]*RANDBETWEEN(8,12)/10,0)</f>
        <v>9</v>
      </c>
      <c r="AB36" s="4">
        <f ca="1">_Google_ads[[#This Row],[search_impression_share]]*RANDBETWEEN(8,12)/10</f>
        <v>0.90999999999999992</v>
      </c>
      <c r="AD36" s="3">
        <f t="shared" ca="1" si="7"/>
        <v>44999</v>
      </c>
      <c r="AE36" s="4" t="s">
        <v>100</v>
      </c>
      <c r="AF36" s="4" t="s">
        <v>101</v>
      </c>
      <c r="AG36" s="4" t="s">
        <v>102</v>
      </c>
      <c r="AH36" s="4" t="s">
        <v>103</v>
      </c>
      <c r="AI36" s="4">
        <f ca="1">ROUND(T_Tiktok_ads[[#This Row],[impressions]]*RANDBETWEEN(8,12)/10,0)</f>
        <v>294679</v>
      </c>
      <c r="AJ36" s="4">
        <f ca="1">ROUND(T_Tiktok_ads[[#This Row],[clicks]]*RANDBETWEEN(8,12)/10,0)</f>
        <v>3945</v>
      </c>
      <c r="AK36" s="4">
        <v>501.2</v>
      </c>
      <c r="AL36" s="4">
        <f ca="1">ROUND(T_Tiktok_ads[[#This Row],[conversions]]*RANDBETWEEN(8,12)/10,0)</f>
        <v>36</v>
      </c>
      <c r="AM36" s="4">
        <f ca="1">ROUND(T_Tiktok_ads[[#This Row],[video_views]]*RANDBETWEEN(8,12)/10,0)</f>
        <v>265481</v>
      </c>
      <c r="AN36" s="4">
        <f ca="1">ROUND(T_Tiktok_ads[[#This Row],[video_watch_25]]*RANDBETWEEN(8,12)/10,0)</f>
        <v>138765</v>
      </c>
      <c r="AO36" s="4">
        <f ca="1">ROUND(T_Tiktok_ads[[#This Row],[video_watch_50]]*RANDBETWEEN(8,12)/10,0)</f>
        <v>87387</v>
      </c>
      <c r="AP36" s="4">
        <f ca="1">ROUND(T_Tiktok_ads[[#This Row],[video_watch_75]]*RANDBETWEEN(8,12)/10,0)</f>
        <v>80924</v>
      </c>
      <c r="AQ36" s="4">
        <f ca="1">ROUND(T_Tiktok_ads[[#This Row],[video_watch_100]]*RANDBETWEEN(8,12)/10,0)</f>
        <v>39387</v>
      </c>
      <c r="AR36" s="4">
        <f ca="1">ROUND(T_Tiktok_ads[[#This Row],[likes]]*RANDBETWEEN(8,12)/10,0)</f>
        <v>9789</v>
      </c>
      <c r="AS36" s="4">
        <f ca="1">ROUND(T_Tiktok_ads[[#This Row],[shares]]*RANDBETWEEN(8,12)/10,0)</f>
        <v>2107</v>
      </c>
      <c r="AT36" s="4">
        <f ca="1">ROUND(T_Tiktok_ads[[#This Row],[comments]]*RANDBETWEEN(8,12)/10,0)</f>
        <v>685</v>
      </c>
      <c r="AV36" s="5">
        <f t="shared" ca="1" si="8"/>
        <v>44999</v>
      </c>
      <c r="AW36">
        <f t="shared" ca="1" si="4"/>
        <v>8</v>
      </c>
      <c r="AX36">
        <f ca="1">ROUND(T_Facebook_Ads115963[[#This Row],[impressions]]*RANDBETWEEN(8,12)/10,0)</f>
        <v>49234</v>
      </c>
      <c r="AY36">
        <f ca="1">ROUND(T_Facebook_Ads115963[[#This Row],[clicks]]*RANDBETWEEN(8,12)/10,0)</f>
        <v>810</v>
      </c>
      <c r="AZ36">
        <f ca="1">T_Facebook_Ads115963[[#This Row],[spend]]*RANDBETWEEN(8,12)/10</f>
        <v>123.46400000000001</v>
      </c>
      <c r="BA36">
        <f ca="1">ROUND(T_Facebook_Ads115963[[#This Row],[conversions]]*RANDBETWEEN(8,12)/10,0)</f>
        <v>19</v>
      </c>
      <c r="BB36">
        <f ca="1">ROUND(T_Facebook_Ads115963[[#This Row],[video_views]]*RANDBETWEEN(8,12)/10,0)</f>
        <v>9853</v>
      </c>
    </row>
    <row r="37" spans="1:54" ht="15.75" thickBot="1" x14ac:dyDescent="0.3">
      <c r="A37" s="3">
        <f t="shared" ca="1" si="5"/>
        <v>44997</v>
      </c>
      <c r="B37" s="4" t="s">
        <v>56</v>
      </c>
      <c r="C37" s="4" t="s">
        <v>57</v>
      </c>
      <c r="D37" s="4" t="s">
        <v>58</v>
      </c>
      <c r="E37" s="4" t="s">
        <v>59</v>
      </c>
      <c r="F37" s="4">
        <f ca="1">ROUND(T_Facebook_Ads[[#This Row],[impressions]]*RANDBETWEEN(8,12)/10,0)</f>
        <v>14802</v>
      </c>
      <c r="G37" s="4">
        <v>634</v>
      </c>
      <c r="H37" s="4">
        <f ca="1">T_Facebook_Ads[[#This Row],[spend]]*RANDBETWEEN(8,12)/10</f>
        <v>191.76</v>
      </c>
      <c r="I37" s="4">
        <f ca="1">ROUND(T_Facebook_Ads[[#This Row],[conversions]]*RANDBETWEEN(8,12)/10,0)</f>
        <v>43</v>
      </c>
      <c r="J37" s="4">
        <f ca="1">ROUND(T_Facebook_Ads[[#This Row],[video_views]]*RANDBETWEEN(8,12)/10,0)</f>
        <v>1378</v>
      </c>
      <c r="K37" s="4">
        <f ca="1">T_Facebook_Ads[[#This Row],[engagement_rate]]*RANDBETWEEN(8,12)/10</f>
        <v>3.7680000000000005E-2</v>
      </c>
      <c r="L37" s="4">
        <f ca="1">ROUND(T_Facebook_Ads[[#This Row],[reach]]*RANDBETWEEN(8,12)/10,0)</f>
        <v>9510</v>
      </c>
      <c r="M37" s="4">
        <f ca="1">T_Facebook_Ads[[#This Row],[frequency]]*RANDBETWEEN(8,12)/10</f>
        <v>1.397</v>
      </c>
      <c r="O37" s="3">
        <f t="shared" ca="1" si="6"/>
        <v>44998</v>
      </c>
      <c r="P37" s="4" t="s">
        <v>80</v>
      </c>
      <c r="Q37" s="4" t="s">
        <v>81</v>
      </c>
      <c r="R37" s="4" t="s">
        <v>82</v>
      </c>
      <c r="S37" s="4" t="s">
        <v>83</v>
      </c>
      <c r="T37" s="4">
        <f ca="1">ROUND(_Google_ads[[#This Row],[impressions]]*RANDBETWEEN(8,12)/10,0)</f>
        <v>51224</v>
      </c>
      <c r="U37" s="4">
        <f ca="1">ROUND(_Google_ads[[#This Row],[clicks]]*RANDBETWEEN(8,12)/10,0)</f>
        <v>821</v>
      </c>
      <c r="V37" s="4">
        <f ca="1">_Google_ads[[#This Row],[cost]]*RANDBETWEEN(8,12)/10</f>
        <v>477.36</v>
      </c>
      <c r="W37" s="4">
        <f ca="1">ROUND(_Google_ads[[#This Row],[conversions]]*RANDBETWEEN(8,12)/10,0)</f>
        <v>26</v>
      </c>
      <c r="X37" s="4">
        <f ca="1">ROUND(_Google_ads[[#This Row],[conversion_value]]*RANDBETWEEN(8,12)/10,0)</f>
        <v>1440</v>
      </c>
      <c r="Y37" s="4">
        <f ca="1">_Google_ads[[#This Row],[ctr]]*RANDBETWEEN(8,12)/10</f>
        <v>2.3519999999999999E-2</v>
      </c>
      <c r="Z37" s="4">
        <f ca="1">_Google_ads[[#This Row],[avg_cpc]]*RANDBETWEEN(8,12)/10</f>
        <v>0.65</v>
      </c>
      <c r="AA37" s="4">
        <f ca="1">ROUND(_Google_ads[[#This Row],[quality_score]]*RANDBETWEEN(8,12)/10,0)</f>
        <v>7</v>
      </c>
      <c r="AB37" s="4">
        <f ca="1">_Google_ads[[#This Row],[search_impression_share]]*RANDBETWEEN(8,12)/10</f>
        <v>0.36</v>
      </c>
      <c r="AD37" s="3">
        <f t="shared" ca="1" si="7"/>
        <v>44991</v>
      </c>
      <c r="AE37" s="4" t="s">
        <v>104</v>
      </c>
      <c r="AF37" s="4" t="s">
        <v>105</v>
      </c>
      <c r="AG37" s="4" t="s">
        <v>106</v>
      </c>
      <c r="AH37" s="4" t="s">
        <v>107</v>
      </c>
      <c r="AI37" s="4">
        <f ca="1">ROUND(T_Tiktok_ads[[#This Row],[impressions]]*RANDBETWEEN(8,12)/10,0)</f>
        <v>178681</v>
      </c>
      <c r="AJ37" s="4">
        <f ca="1">ROUND(T_Tiktok_ads[[#This Row],[clicks]]*RANDBETWEEN(8,12)/10,0)</f>
        <v>2267</v>
      </c>
      <c r="AK37" s="4">
        <v>767.5</v>
      </c>
      <c r="AL37" s="4">
        <f ca="1">ROUND(T_Tiktok_ads[[#This Row],[conversions]]*RANDBETWEEN(8,12)/10,0)</f>
        <v>62</v>
      </c>
      <c r="AM37" s="4">
        <f ca="1">ROUND(T_Tiktok_ads[[#This Row],[video_views]]*RANDBETWEEN(8,12)/10,0)</f>
        <v>113802</v>
      </c>
      <c r="AN37" s="4">
        <f ca="1">ROUND(T_Tiktok_ads[[#This Row],[video_watch_25]]*RANDBETWEEN(8,12)/10,0)</f>
        <v>83857</v>
      </c>
      <c r="AO37" s="4">
        <f ca="1">ROUND(T_Tiktok_ads[[#This Row],[video_watch_50]]*RANDBETWEEN(8,12)/10,0)</f>
        <v>61481</v>
      </c>
      <c r="AP37" s="4">
        <f ca="1">ROUND(T_Tiktok_ads[[#This Row],[video_watch_75]]*RANDBETWEEN(8,12)/10,0)</f>
        <v>34710</v>
      </c>
      <c r="AQ37" s="4">
        <f ca="1">ROUND(T_Tiktok_ads[[#This Row],[video_watch_100]]*RANDBETWEEN(8,12)/10,0)</f>
        <v>23210</v>
      </c>
      <c r="AR37" s="4">
        <f ca="1">ROUND(T_Tiktok_ads[[#This Row],[likes]]*RANDBETWEEN(8,12)/10,0)</f>
        <v>5635</v>
      </c>
      <c r="AS37" s="4">
        <f ca="1">ROUND(T_Tiktok_ads[[#This Row],[shares]]*RANDBETWEEN(8,12)/10,0)</f>
        <v>1602</v>
      </c>
      <c r="AT37" s="4">
        <f ca="1">ROUND(T_Tiktok_ads[[#This Row],[comments]]*RANDBETWEEN(8,12)/10,0)</f>
        <v>222</v>
      </c>
      <c r="AV37" s="5">
        <f t="shared" ca="1" si="8"/>
        <v>45003</v>
      </c>
      <c r="AW37">
        <f t="shared" ca="1" si="4"/>
        <v>3</v>
      </c>
      <c r="AX37">
        <f ca="1">ROUND(T_Facebook_Ads115963[[#This Row],[impressions]]*RANDBETWEEN(8,12)/10,0)</f>
        <v>17762</v>
      </c>
      <c r="AY37">
        <f ca="1">ROUND(T_Facebook_Ads115963[[#This Row],[clicks]]*RANDBETWEEN(8,12)/10,0)</f>
        <v>634</v>
      </c>
      <c r="AZ37">
        <f ca="1">T_Facebook_Ads115963[[#This Row],[spend]]*RANDBETWEEN(8,12)/10</f>
        <v>230.11199999999999</v>
      </c>
      <c r="BA37">
        <f ca="1">ROUND(T_Facebook_Ads115963[[#This Row],[conversions]]*RANDBETWEEN(8,12)/10,0)</f>
        <v>43</v>
      </c>
      <c r="BB37">
        <f ca="1">ROUND(T_Facebook_Ads115963[[#This Row],[video_views]]*RANDBETWEEN(8,12)/10,0)</f>
        <v>1654</v>
      </c>
    </row>
    <row r="38" spans="1:54" ht="15.75" thickBot="1" x14ac:dyDescent="0.3">
      <c r="A38" s="3">
        <f t="shared" ca="1" si="5"/>
        <v>45006</v>
      </c>
      <c r="B38" s="4" t="s">
        <v>60</v>
      </c>
      <c r="C38" s="4" t="s">
        <v>61</v>
      </c>
      <c r="D38" s="4" t="s">
        <v>62</v>
      </c>
      <c r="E38" s="4" t="s">
        <v>63</v>
      </c>
      <c r="F38" s="4">
        <f ca="1">ROUND(T_Facebook_Ads[[#This Row],[impressions]]*RANDBETWEEN(8,12)/10,0)</f>
        <v>41679</v>
      </c>
      <c r="G38" s="4">
        <v>1398</v>
      </c>
      <c r="H38" s="4">
        <f ca="1">T_Facebook_Ads[[#This Row],[spend]]*RANDBETWEEN(8,12)/10</f>
        <v>212.4</v>
      </c>
      <c r="I38" s="4">
        <f ca="1">ROUND(T_Facebook_Ads[[#This Row],[conversions]]*RANDBETWEEN(8,12)/10,0)</f>
        <v>34</v>
      </c>
      <c r="J38" s="4">
        <f ca="1">ROUND(T_Facebook_Ads[[#This Row],[video_views]]*RANDBETWEEN(8,12)/10,0)</f>
        <v>4511</v>
      </c>
      <c r="K38" s="4">
        <f ca="1">T_Facebook_Ads[[#This Row],[engagement_rate]]*RANDBETWEEN(8,12)/10</f>
        <v>4.0590000000000001E-2</v>
      </c>
      <c r="L38" s="4">
        <f ca="1">ROUND(T_Facebook_Ads[[#This Row],[reach]]*RANDBETWEEN(8,12)/10,0)</f>
        <v>33979</v>
      </c>
      <c r="M38" s="4">
        <f ca="1">T_Facebook_Ads[[#This Row],[frequency]]*RANDBETWEEN(8,12)/10</f>
        <v>0.98399999999999999</v>
      </c>
      <c r="O38" s="3">
        <f t="shared" ca="1" si="6"/>
        <v>44987</v>
      </c>
      <c r="P38" s="4" t="s">
        <v>84</v>
      </c>
      <c r="Q38" s="4" t="s">
        <v>85</v>
      </c>
      <c r="R38" s="4" t="s">
        <v>86</v>
      </c>
      <c r="S38" s="4" t="s">
        <v>87</v>
      </c>
      <c r="T38" s="4">
        <f ca="1">ROUND(_Google_ads[[#This Row],[impressions]]*RANDBETWEEN(8,12)/10,0)</f>
        <v>69890</v>
      </c>
      <c r="U38" s="4">
        <f ca="1">ROUND(_Google_ads[[#This Row],[clicks]]*RANDBETWEEN(8,12)/10,0)</f>
        <v>2801</v>
      </c>
      <c r="V38" s="4">
        <f ca="1">_Google_ads[[#This Row],[cost]]*RANDBETWEEN(8,12)/10</f>
        <v>428.9</v>
      </c>
      <c r="W38" s="4">
        <f ca="1">ROUND(_Google_ads[[#This Row],[conversions]]*RANDBETWEEN(8,12)/10,0)</f>
        <v>59</v>
      </c>
      <c r="X38" s="4">
        <f ca="1">ROUND(_Google_ads[[#This Row],[conversion_value]]*RANDBETWEEN(8,12)/10,0)</f>
        <v>2970</v>
      </c>
      <c r="Y38" s="4">
        <f ca="1">_Google_ads[[#This Row],[ctr]]*RANDBETWEEN(8,12)/10</f>
        <v>3.3399999999999999E-2</v>
      </c>
      <c r="Z38" s="4">
        <f ca="1">_Google_ads[[#This Row],[avg_cpc]]*RANDBETWEEN(8,12)/10</f>
        <v>0.19800000000000001</v>
      </c>
      <c r="AA38" s="4">
        <f ca="1">ROUND(_Google_ads[[#This Row],[quality_score]]*RANDBETWEEN(8,12)/10,0)</f>
        <v>8</v>
      </c>
      <c r="AB38" s="4">
        <f ca="1">_Google_ads[[#This Row],[search_impression_share]]*RANDBETWEEN(8,12)/10</f>
        <v>0.60299999999999998</v>
      </c>
      <c r="AD38" s="3">
        <f t="shared" ca="1" si="7"/>
        <v>44998</v>
      </c>
      <c r="AE38" s="4" t="s">
        <v>108</v>
      </c>
      <c r="AF38" s="4" t="s">
        <v>109</v>
      </c>
      <c r="AG38" s="4" t="s">
        <v>110</v>
      </c>
      <c r="AH38" s="4" t="s">
        <v>111</v>
      </c>
      <c r="AI38" s="4">
        <f ca="1">ROUND(T_Tiktok_ads[[#This Row],[impressions]]*RANDBETWEEN(8,12)/10,0)</f>
        <v>228901</v>
      </c>
      <c r="AJ38" s="4">
        <f ca="1">ROUND(T_Tiktok_ads[[#This Row],[clicks]]*RANDBETWEEN(8,12)/10,0)</f>
        <v>4361</v>
      </c>
      <c r="AK38" s="4">
        <v>441.9</v>
      </c>
      <c r="AL38" s="4">
        <f ca="1">ROUND(T_Tiktok_ads[[#This Row],[conversions]]*RANDBETWEEN(8,12)/10,0)</f>
        <v>31</v>
      </c>
      <c r="AM38" s="4">
        <f ca="1">ROUND(T_Tiktok_ads[[#This Row],[video_views]]*RANDBETWEEN(8,12)/10,0)</f>
        <v>200580</v>
      </c>
      <c r="AN38" s="4">
        <f ca="1">ROUND(T_Tiktok_ads[[#This Row],[video_watch_25]]*RANDBETWEEN(8,12)/10,0)</f>
        <v>110312</v>
      </c>
      <c r="AO38" s="4">
        <f ca="1">ROUND(T_Tiktok_ads[[#This Row],[video_watch_50]]*RANDBETWEEN(8,12)/10,0)</f>
        <v>108901</v>
      </c>
      <c r="AP38" s="4">
        <f ca="1">ROUND(T_Tiktok_ads[[#This Row],[video_watch_75]]*RANDBETWEEN(8,12)/10,0)</f>
        <v>77624</v>
      </c>
      <c r="AQ38" s="4">
        <f ca="1">ROUND(T_Tiktok_ads[[#This Row],[video_watch_100]]*RANDBETWEEN(8,12)/10,0)</f>
        <v>42789</v>
      </c>
      <c r="AR38" s="4">
        <f ca="1">ROUND(T_Tiktok_ads[[#This Row],[likes]]*RANDBETWEEN(8,12)/10,0)</f>
        <v>7610</v>
      </c>
      <c r="AS38" s="4">
        <f ca="1">ROUND(T_Tiktok_ads[[#This Row],[shares]]*RANDBETWEEN(8,12)/10,0)</f>
        <v>2761</v>
      </c>
      <c r="AT38" s="4">
        <f ca="1">ROUND(T_Tiktok_ads[[#This Row],[comments]]*RANDBETWEEN(8,12)/10,0)</f>
        <v>545</v>
      </c>
      <c r="AV38" s="5">
        <f t="shared" ca="1" si="8"/>
        <v>45016</v>
      </c>
      <c r="AW38">
        <f t="shared" ca="1" si="4"/>
        <v>1</v>
      </c>
      <c r="AX38">
        <f ca="1">ROUND(T_Facebook_Ads115963[[#This Row],[impressions]]*RANDBETWEEN(8,12)/10,0)</f>
        <v>41679</v>
      </c>
      <c r="AY38">
        <f ca="1">ROUND(T_Facebook_Ads115963[[#This Row],[clicks]]*RANDBETWEEN(8,12)/10,0)</f>
        <v>1258</v>
      </c>
      <c r="AZ38">
        <f ca="1">T_Facebook_Ads115963[[#This Row],[spend]]*RANDBETWEEN(8,12)/10</f>
        <v>233.64000000000001</v>
      </c>
      <c r="BA38">
        <f ca="1">ROUND(T_Facebook_Ads115963[[#This Row],[conversions]]*RANDBETWEEN(8,12)/10,0)</f>
        <v>27</v>
      </c>
      <c r="BB38">
        <f ca="1">ROUND(T_Facebook_Ads115963[[#This Row],[video_views]]*RANDBETWEEN(8,12)/10,0)</f>
        <v>3609</v>
      </c>
    </row>
    <row r="39" spans="1:54" ht="15.75" thickBot="1" x14ac:dyDescent="0.3">
      <c r="A39" s="3">
        <f t="shared" ca="1" si="5"/>
        <v>45016</v>
      </c>
      <c r="B39" s="4" t="s">
        <v>64</v>
      </c>
      <c r="C39" s="4" t="s">
        <v>65</v>
      </c>
      <c r="D39" s="4" t="s">
        <v>66</v>
      </c>
      <c r="E39" s="4" t="s">
        <v>67</v>
      </c>
      <c r="F39" s="4">
        <f ca="1">ROUND(T_Facebook_Ads[[#This Row],[impressions]]*RANDBETWEEN(8,12)/10,0)</f>
        <v>58312</v>
      </c>
      <c r="G39" s="4">
        <v>261</v>
      </c>
      <c r="H39" s="4">
        <f ca="1">T_Facebook_Ads[[#This Row],[spend]]*RANDBETWEEN(8,12)/10</f>
        <v>96.8</v>
      </c>
      <c r="I39" s="4">
        <f ca="1">ROUND(T_Facebook_Ads[[#This Row],[conversions]]*RANDBETWEEN(8,12)/10,0)</f>
        <v>8</v>
      </c>
      <c r="J39" s="4">
        <f ca="1">ROUND(T_Facebook_Ads[[#This Row],[video_views]]*RANDBETWEEN(8,12)/10,0)</f>
        <v>44610</v>
      </c>
      <c r="K39" s="4">
        <f ca="1">T_Facebook_Ads[[#This Row],[engagement_rate]]*RANDBETWEEN(8,12)/10</f>
        <v>3.96E-3</v>
      </c>
      <c r="L39" s="4">
        <f ca="1">ROUND(T_Facebook_Ads[[#This Row],[reach]]*RANDBETWEEN(8,12)/10,0)</f>
        <v>47298</v>
      </c>
      <c r="M39" s="4">
        <f ca="1">T_Facebook_Ads[[#This Row],[frequency]]*RANDBETWEEN(8,12)/10</f>
        <v>1.107</v>
      </c>
      <c r="O39" s="3">
        <f t="shared" ca="1" si="6"/>
        <v>45002</v>
      </c>
      <c r="P39" s="4" t="s">
        <v>88</v>
      </c>
      <c r="Q39" s="4" t="s">
        <v>89</v>
      </c>
      <c r="R39" s="4" t="s">
        <v>90</v>
      </c>
      <c r="S39" s="4" t="s">
        <v>59</v>
      </c>
      <c r="T39" s="4">
        <f ca="1">ROUND(_Google_ads[[#This Row],[impressions]]*RANDBETWEEN(8,12)/10,0)</f>
        <v>160147</v>
      </c>
      <c r="U39" s="4">
        <f ca="1">ROUND(_Google_ads[[#This Row],[clicks]]*RANDBETWEEN(8,12)/10,0)</f>
        <v>489</v>
      </c>
      <c r="V39" s="4">
        <f ca="1">_Google_ads[[#This Row],[cost]]*RANDBETWEEN(8,12)/10</f>
        <v>131.19999999999999</v>
      </c>
      <c r="W39" s="4">
        <f ca="1">ROUND(_Google_ads[[#This Row],[conversions]]*RANDBETWEEN(8,12)/10,0)</f>
        <v>17</v>
      </c>
      <c r="X39" s="4">
        <f ca="1">ROUND(_Google_ads[[#This Row],[conversion_value]]*RANDBETWEEN(8,12)/10,0)</f>
        <v>560</v>
      </c>
      <c r="Y39" s="4">
        <f ca="1">_Google_ads[[#This Row],[ctr]]*RANDBETWEEN(8,12)/10</f>
        <v>4.0699999999999998E-3</v>
      </c>
      <c r="Z39" s="4">
        <f ca="1">_Google_ads[[#This Row],[avg_cpc]]*RANDBETWEEN(8,12)/10</f>
        <v>0.21600000000000003</v>
      </c>
      <c r="AA39" s="4">
        <f ca="1">ROUND(_Google_ads[[#This Row],[quality_score]]*RANDBETWEEN(8,12)/10,0)</f>
        <v>6</v>
      </c>
      <c r="AB39" s="4">
        <f ca="1">_Google_ads[[#This Row],[search_impression_share]]*RANDBETWEEN(8,12)/10</f>
        <v>0.41999999999999993</v>
      </c>
      <c r="AD39" s="3">
        <f t="shared" ca="1" si="7"/>
        <v>45005</v>
      </c>
      <c r="AE39" s="4" t="s">
        <v>112</v>
      </c>
      <c r="AF39" s="4" t="s">
        <v>113</v>
      </c>
      <c r="AG39" s="4" t="s">
        <v>114</v>
      </c>
      <c r="AH39" s="4" t="s">
        <v>115</v>
      </c>
      <c r="AI39" s="4">
        <f ca="1">ROUND(T_Tiktok_ads[[#This Row],[impressions]]*RANDBETWEEN(8,12)/10,0)</f>
        <v>478280</v>
      </c>
      <c r="AJ39" s="4">
        <f ca="1">ROUND(T_Tiktok_ads[[#This Row],[clicks]]*RANDBETWEEN(8,12)/10,0)</f>
        <v>7187</v>
      </c>
      <c r="AK39" s="4">
        <v>998.7</v>
      </c>
      <c r="AL39" s="4">
        <f ca="1">ROUND(T_Tiktok_ads[[#This Row],[conversions]]*RANDBETWEEN(8,12)/10,0)</f>
        <v>98</v>
      </c>
      <c r="AM39" s="4">
        <f ca="1">ROUND(T_Tiktok_ads[[#This Row],[video_views]]*RANDBETWEEN(8,12)/10,0)</f>
        <v>365580</v>
      </c>
      <c r="AN39" s="4">
        <f ca="1">ROUND(T_Tiktok_ads[[#This Row],[video_watch_25]]*RANDBETWEEN(8,12)/10,0)</f>
        <v>321468</v>
      </c>
      <c r="AO39" s="4">
        <f ca="1">ROUND(T_Tiktok_ads[[#This Row],[video_watch_50]]*RANDBETWEEN(8,12)/10,0)</f>
        <v>193110</v>
      </c>
      <c r="AP39" s="4">
        <f ca="1">ROUND(T_Tiktok_ads[[#This Row],[video_watch_75]]*RANDBETWEEN(8,12)/10,0)</f>
        <v>181481</v>
      </c>
      <c r="AQ39" s="4">
        <f ca="1">ROUND(T_Tiktok_ads[[#This Row],[video_watch_100]]*RANDBETWEEN(8,12)/10,0)</f>
        <v>119480</v>
      </c>
      <c r="AR39" s="4">
        <f ca="1">ROUND(T_Tiktok_ads[[#This Row],[likes]]*RANDBETWEEN(8,12)/10,0)</f>
        <v>14205</v>
      </c>
      <c r="AS39" s="4">
        <f ca="1">ROUND(T_Tiktok_ads[[#This Row],[shares]]*RANDBETWEEN(8,12)/10,0)</f>
        <v>6014</v>
      </c>
      <c r="AT39" s="4">
        <f ca="1">ROUND(T_Tiktok_ads[[#This Row],[comments]]*RANDBETWEEN(8,12)/10,0)</f>
        <v>1389</v>
      </c>
      <c r="AV39" s="5">
        <f t="shared" ca="1" si="8"/>
        <v>45000</v>
      </c>
      <c r="AW39">
        <f t="shared" ca="1" si="4"/>
        <v>4</v>
      </c>
      <c r="AX39">
        <f ca="1">ROUND(T_Facebook_Ads115963[[#This Row],[impressions]]*RANDBETWEEN(8,12)/10,0)</f>
        <v>52481</v>
      </c>
      <c r="AY39">
        <f ca="1">ROUND(T_Facebook_Ads115963[[#This Row],[clicks]]*RANDBETWEEN(8,12)/10,0)</f>
        <v>287</v>
      </c>
      <c r="AZ39">
        <f ca="1">T_Facebook_Ads115963[[#This Row],[spend]]*RANDBETWEEN(8,12)/10</f>
        <v>116.16</v>
      </c>
      <c r="BA39">
        <f ca="1">ROUND(T_Facebook_Ads115963[[#This Row],[conversions]]*RANDBETWEEN(8,12)/10,0)</f>
        <v>9</v>
      </c>
      <c r="BB39">
        <f ca="1">ROUND(T_Facebook_Ads115963[[#This Row],[video_views]]*RANDBETWEEN(8,12)/10,0)</f>
        <v>40149</v>
      </c>
    </row>
    <row r="40" spans="1:54" ht="15.75" thickBot="1" x14ac:dyDescent="0.3">
      <c r="A40" s="3">
        <f t="shared" ca="1" si="5"/>
        <v>44987</v>
      </c>
      <c r="B40" s="4" t="s">
        <v>52</v>
      </c>
      <c r="C40" s="4" t="s">
        <v>53</v>
      </c>
      <c r="D40" s="4" t="s">
        <v>54</v>
      </c>
      <c r="E40" s="4" t="s">
        <v>55</v>
      </c>
      <c r="F40" s="4">
        <f ca="1">ROUND(T_Facebook_Ads[[#This Row],[impressions]]*RANDBETWEEN(8,12)/10,0)</f>
        <v>38111</v>
      </c>
      <c r="G40" s="4">
        <v>856</v>
      </c>
      <c r="H40" s="4">
        <f ca="1">T_Facebook_Ads[[#This Row],[spend]]*RANDBETWEEN(8,12)/10</f>
        <v>145.80000000000001</v>
      </c>
      <c r="I40" s="4">
        <f ca="1">ROUND(T_Facebook_Ads[[#This Row],[conversions]]*RANDBETWEEN(8,12)/10,0)</f>
        <v>12</v>
      </c>
      <c r="J40" s="4">
        <f ca="1">ROUND(T_Facebook_Ads[[#This Row],[video_views]]*RANDBETWEEN(8,12)/10,0)</f>
        <v>7101</v>
      </c>
      <c r="K40" s="4">
        <f ca="1">T_Facebook_Ads[[#This Row],[engagement_rate]]*RANDBETWEEN(8,12)/10</f>
        <v>2.2219999999999997E-2</v>
      </c>
      <c r="L40" s="4">
        <f ca="1">ROUND(T_Facebook_Ads[[#This Row],[reach]]*RANDBETWEEN(8,12)/10,0)</f>
        <v>32110</v>
      </c>
      <c r="M40" s="4">
        <f ca="1">T_Facebook_Ads[[#This Row],[frequency]]*RANDBETWEEN(8,12)/10</f>
        <v>1.19</v>
      </c>
      <c r="O40" s="3">
        <f t="shared" ca="1" si="6"/>
        <v>45004</v>
      </c>
      <c r="P40" s="4" t="s">
        <v>76</v>
      </c>
      <c r="Q40" s="4" t="s">
        <v>77</v>
      </c>
      <c r="R40" s="4" t="s">
        <v>78</v>
      </c>
      <c r="S40" s="4" t="s">
        <v>79</v>
      </c>
      <c r="T40" s="4">
        <f ca="1">ROUND(_Google_ads[[#This Row],[impressions]]*RANDBETWEEN(8,12)/10,0)</f>
        <v>20210</v>
      </c>
      <c r="U40" s="4">
        <f ca="1">ROUND(_Google_ads[[#This Row],[clicks]]*RANDBETWEEN(8,12)/10,0)</f>
        <v>1272</v>
      </c>
      <c r="V40" s="4">
        <f ca="1">_Google_ads[[#This Row],[cost]]*RANDBETWEEN(8,12)/10</f>
        <v>242.44</v>
      </c>
      <c r="W40" s="4">
        <f ca="1">ROUND(_Google_ads[[#This Row],[conversions]]*RANDBETWEEN(8,12)/10,0)</f>
        <v>52</v>
      </c>
      <c r="X40" s="4">
        <f ca="1">ROUND(_Google_ads[[#This Row],[conversion_value]]*RANDBETWEEN(8,12)/10,0)</f>
        <v>2150</v>
      </c>
      <c r="Y40" s="4">
        <f ca="1">_Google_ads[[#This Row],[ctr]]*RANDBETWEEN(8,12)/10</f>
        <v>4.6349999999999995E-2</v>
      </c>
      <c r="Z40" s="4">
        <f ca="1">_Google_ads[[#This Row],[avg_cpc]]*RANDBETWEEN(8,12)/10</f>
        <v>0.17099999999999999</v>
      </c>
      <c r="AA40" s="4">
        <f ca="1">ROUND(_Google_ads[[#This Row],[quality_score]]*RANDBETWEEN(8,12)/10,0)</f>
        <v>9</v>
      </c>
      <c r="AB40" s="4">
        <f ca="1">_Google_ads[[#This Row],[search_impression_share]]*RANDBETWEEN(8,12)/10</f>
        <v>0.80999999999999994</v>
      </c>
      <c r="AD40" s="3">
        <f t="shared" ca="1" si="7"/>
        <v>45014</v>
      </c>
      <c r="AE40" s="4" t="s">
        <v>100</v>
      </c>
      <c r="AF40" s="4" t="s">
        <v>101</v>
      </c>
      <c r="AG40" s="4" t="s">
        <v>102</v>
      </c>
      <c r="AH40" s="4" t="s">
        <v>103</v>
      </c>
      <c r="AI40" s="4">
        <f ca="1">ROUND(T_Tiktok_ads[[#This Row],[impressions]]*RANDBETWEEN(8,12)/10,0)</f>
        <v>258024</v>
      </c>
      <c r="AJ40" s="4">
        <f ca="1">ROUND(T_Tiktok_ads[[#This Row],[clicks]]*RANDBETWEEN(8,12)/10,0)</f>
        <v>3456</v>
      </c>
      <c r="AK40" s="4">
        <v>456.7</v>
      </c>
      <c r="AL40" s="4">
        <f ca="1">ROUND(T_Tiktok_ads[[#This Row],[conversions]]*RANDBETWEEN(8,12)/10,0)</f>
        <v>27</v>
      </c>
      <c r="AM40" s="4">
        <f ca="1">ROUND(T_Tiktok_ads[[#This Row],[video_views]]*RANDBETWEEN(8,12)/10,0)</f>
        <v>178411</v>
      </c>
      <c r="AN40" s="4">
        <f ca="1">ROUND(T_Tiktok_ads[[#This Row],[video_watch_25]]*RANDBETWEEN(8,12)/10,0)</f>
        <v>156234</v>
      </c>
      <c r="AO40" s="4">
        <f ca="1">ROUND(T_Tiktok_ads[[#This Row],[video_watch_50]]*RANDBETWEEN(8,12)/10,0)</f>
        <v>117881</v>
      </c>
      <c r="AP40" s="4">
        <f ca="1">ROUND(T_Tiktok_ads[[#This Row],[video_watch_75]]*RANDBETWEEN(8,12)/10,0)</f>
        <v>73957</v>
      </c>
      <c r="AQ40" s="4">
        <f ca="1">ROUND(T_Tiktok_ads[[#This Row],[video_watch_100]]*RANDBETWEEN(8,12)/10,0)</f>
        <v>49757</v>
      </c>
      <c r="AR40" s="4">
        <f ca="1">ROUND(T_Tiktok_ads[[#This Row],[likes]]*RANDBETWEEN(8,12)/10,0)</f>
        <v>8031</v>
      </c>
      <c r="AS40" s="4">
        <f ca="1">ROUND(T_Tiktok_ads[[#This Row],[shares]]*RANDBETWEEN(8,12)/10,0)</f>
        <v>2580</v>
      </c>
      <c r="AT40" s="4">
        <f ca="1">ROUND(T_Tiktok_ads[[#This Row],[comments]]*RANDBETWEEN(8,12)/10,0)</f>
        <v>454</v>
      </c>
      <c r="AV40" s="5">
        <f t="shared" ca="1" si="8"/>
        <v>44994</v>
      </c>
      <c r="AW40">
        <f t="shared" ca="1" si="4"/>
        <v>7</v>
      </c>
      <c r="AX40">
        <f ca="1">ROUND(T_Facebook_Ads115963[[#This Row],[impressions]]*RANDBETWEEN(8,12)/10,0)</f>
        <v>45733</v>
      </c>
      <c r="AY40">
        <f ca="1">ROUND(T_Facebook_Ads115963[[#This Row],[clicks]]*RANDBETWEEN(8,12)/10,0)</f>
        <v>942</v>
      </c>
      <c r="AZ40">
        <f ca="1">T_Facebook_Ads115963[[#This Row],[spend]]*RANDBETWEEN(8,12)/10</f>
        <v>174.96</v>
      </c>
      <c r="BA40">
        <f ca="1">ROUND(T_Facebook_Ads115963[[#This Row],[conversions]]*RANDBETWEEN(8,12)/10,0)</f>
        <v>10</v>
      </c>
      <c r="BB40">
        <f ca="1">ROUND(T_Facebook_Ads115963[[#This Row],[video_views]]*RANDBETWEEN(8,12)/10,0)</f>
        <v>5681</v>
      </c>
    </row>
    <row r="41" spans="1:54" ht="15.75" thickBot="1" x14ac:dyDescent="0.3">
      <c r="A41" s="3">
        <f t="shared" ca="1" si="5"/>
        <v>44999</v>
      </c>
      <c r="B41" s="4" t="s">
        <v>56</v>
      </c>
      <c r="C41" s="4" t="s">
        <v>57</v>
      </c>
      <c r="D41" s="4" t="s">
        <v>58</v>
      </c>
      <c r="E41" s="4" t="s">
        <v>59</v>
      </c>
      <c r="F41" s="4">
        <f ca="1">ROUND(T_Facebook_Ads[[#This Row],[impressions]]*RANDBETWEEN(8,12)/10,0)</f>
        <v>13481</v>
      </c>
      <c r="G41" s="4">
        <v>523</v>
      </c>
      <c r="H41" s="4">
        <f ca="1">T_Facebook_Ads[[#This Row],[spend]]*RANDBETWEEN(8,12)/10</f>
        <v>198.6</v>
      </c>
      <c r="I41" s="4">
        <f ca="1">ROUND(T_Facebook_Ads[[#This Row],[conversions]]*RANDBETWEEN(8,12)/10,0)</f>
        <v>29</v>
      </c>
      <c r="J41" s="4">
        <f ca="1">ROUND(T_Facebook_Ads[[#This Row],[video_views]]*RANDBETWEEN(8,12)/10,0)</f>
        <v>1123</v>
      </c>
      <c r="K41" s="4">
        <f ca="1">T_Facebook_Ads[[#This Row],[engagement_rate]]*RANDBETWEEN(8,12)/10</f>
        <v>3.7280000000000001E-2</v>
      </c>
      <c r="L41" s="4">
        <f ca="1">ROUND(T_Facebook_Ads[[#This Row],[reach]]*RANDBETWEEN(8,12)/10,0)</f>
        <v>8011</v>
      </c>
      <c r="M41" s="4">
        <f ca="1">T_Facebook_Ads[[#This Row],[frequency]]*RANDBETWEEN(8,12)/10</f>
        <v>1.016</v>
      </c>
      <c r="O41" s="3">
        <f t="shared" ca="1" si="6"/>
        <v>44999</v>
      </c>
      <c r="P41" s="4" t="s">
        <v>80</v>
      </c>
      <c r="Q41" s="4" t="s">
        <v>81</v>
      </c>
      <c r="R41" s="4" t="s">
        <v>82</v>
      </c>
      <c r="S41" s="4" t="s">
        <v>83</v>
      </c>
      <c r="T41" s="4">
        <f ca="1">ROUND(_Google_ads[[#This Row],[impressions]]*RANDBETWEEN(8,12)/10,0)</f>
        <v>41234</v>
      </c>
      <c r="U41" s="4">
        <f ca="1">ROUND(_Google_ads[[#This Row],[clicks]]*RANDBETWEEN(8,12)/10,0)</f>
        <v>905</v>
      </c>
      <c r="V41" s="4">
        <f ca="1">_Google_ads[[#This Row],[cost]]*RANDBETWEEN(8,12)/10</f>
        <v>528.9</v>
      </c>
      <c r="W41" s="4">
        <f ca="1">ROUND(_Google_ads[[#This Row],[conversions]]*RANDBETWEEN(8,12)/10,0)</f>
        <v>17</v>
      </c>
      <c r="X41" s="4">
        <f ca="1">ROUND(_Google_ads[[#This Row],[conversion_value]]*RANDBETWEEN(8,12)/10,0)</f>
        <v>1260</v>
      </c>
      <c r="Y41" s="4">
        <f ca="1">_Google_ads[[#This Row],[ctr]]*RANDBETWEEN(8,12)/10</f>
        <v>0.02</v>
      </c>
      <c r="Z41" s="4">
        <f ca="1">_Google_ads[[#This Row],[avg_cpc]]*RANDBETWEEN(8,12)/10</f>
        <v>0.64</v>
      </c>
      <c r="AA41" s="4">
        <f ca="1">ROUND(_Google_ads[[#This Row],[quality_score]]*RANDBETWEEN(8,12)/10,0)</f>
        <v>6</v>
      </c>
      <c r="AB41" s="4">
        <f ca="1">_Google_ads[[#This Row],[search_impression_share]]*RANDBETWEEN(8,12)/10</f>
        <v>0.34399999999999997</v>
      </c>
      <c r="AD41" s="3">
        <f t="shared" ca="1" si="7"/>
        <v>45009</v>
      </c>
      <c r="AE41" s="4" t="s">
        <v>104</v>
      </c>
      <c r="AF41" s="4" t="s">
        <v>105</v>
      </c>
      <c r="AG41" s="4" t="s">
        <v>106</v>
      </c>
      <c r="AH41" s="4" t="s">
        <v>107</v>
      </c>
      <c r="AI41" s="4">
        <f ca="1">ROUND(T_Tiktok_ads[[#This Row],[impressions]]*RANDBETWEEN(8,12)/10,0)</f>
        <v>134567</v>
      </c>
      <c r="AJ41" s="4">
        <f ca="1">ROUND(T_Tiktok_ads[[#This Row],[clicks]]*RANDBETWEEN(8,12)/10,0)</f>
        <v>2054</v>
      </c>
      <c r="AK41" s="4">
        <v>712.3</v>
      </c>
      <c r="AL41" s="4">
        <f ca="1">ROUND(T_Tiktok_ads[[#This Row],[conversions]]*RANDBETWEEN(8,12)/10,0)</f>
        <v>64</v>
      </c>
      <c r="AM41" s="4">
        <f ca="1">ROUND(T_Tiktok_ads[[#This Row],[video_views]]*RANDBETWEEN(8,12)/10,0)</f>
        <v>95678</v>
      </c>
      <c r="AN41" s="4">
        <f ca="1">ROUND(T_Tiktok_ads[[#This Row],[video_watch_25]]*RANDBETWEEN(8,12)/10,0)</f>
        <v>71234</v>
      </c>
      <c r="AO41" s="4">
        <f ca="1">ROUND(T_Tiktok_ads[[#This Row],[video_watch_50]]*RANDBETWEEN(8,12)/10,0)</f>
        <v>43411</v>
      </c>
      <c r="AP41" s="4">
        <f ca="1">ROUND(T_Tiktok_ads[[#This Row],[video_watch_75]]*RANDBETWEEN(8,12)/10,0)</f>
        <v>43481</v>
      </c>
      <c r="AQ41" s="4">
        <f ca="1">ROUND(T_Tiktok_ads[[#This Row],[video_watch_100]]*RANDBETWEEN(8,12)/10,0)</f>
        <v>19654</v>
      </c>
      <c r="AR41" s="4">
        <f ca="1">ROUND(T_Tiktok_ads[[#This Row],[likes]]*RANDBETWEEN(8,12)/10,0)</f>
        <v>4310</v>
      </c>
      <c r="AS41" s="4">
        <f ca="1">ROUND(T_Tiktok_ads[[#This Row],[shares]]*RANDBETWEEN(8,12)/10,0)</f>
        <v>1614</v>
      </c>
      <c r="AT41" s="4">
        <f ca="1">ROUND(T_Tiktok_ads[[#This Row],[comments]]*RANDBETWEEN(8,12)/10,0)</f>
        <v>245</v>
      </c>
      <c r="AV41" s="5">
        <f t="shared" ca="1" si="8"/>
        <v>44991</v>
      </c>
      <c r="AW41">
        <f t="shared" ca="1" si="4"/>
        <v>4</v>
      </c>
      <c r="AX41">
        <f ca="1">ROUND(T_Facebook_Ads115963[[#This Row],[impressions]]*RANDBETWEEN(8,12)/10,0)</f>
        <v>16177</v>
      </c>
      <c r="AY41">
        <f ca="1">ROUND(T_Facebook_Ads115963[[#This Row],[clicks]]*RANDBETWEEN(8,12)/10,0)</f>
        <v>628</v>
      </c>
      <c r="AZ41">
        <f ca="1">T_Facebook_Ads115963[[#This Row],[spend]]*RANDBETWEEN(8,12)/10</f>
        <v>238.32</v>
      </c>
      <c r="BA41">
        <f ca="1">ROUND(T_Facebook_Ads115963[[#This Row],[conversions]]*RANDBETWEEN(8,12)/10,0)</f>
        <v>35</v>
      </c>
      <c r="BB41">
        <f ca="1">ROUND(T_Facebook_Ads115963[[#This Row],[video_views]]*RANDBETWEEN(8,12)/10,0)</f>
        <v>898</v>
      </c>
    </row>
    <row r="42" spans="1:54" ht="15.75" thickBot="1" x14ac:dyDescent="0.3">
      <c r="A42" s="3">
        <f t="shared" ca="1" si="5"/>
        <v>45004</v>
      </c>
      <c r="B42" s="4" t="s">
        <v>60</v>
      </c>
      <c r="C42" s="4" t="s">
        <v>61</v>
      </c>
      <c r="D42" s="4" t="s">
        <v>62</v>
      </c>
      <c r="E42" s="4" t="s">
        <v>63</v>
      </c>
      <c r="F42" s="4">
        <f ca="1">ROUND(T_Facebook_Ads[[#This Row],[impressions]]*RANDBETWEEN(8,12)/10,0)</f>
        <v>26765</v>
      </c>
      <c r="G42" s="4">
        <v>1203</v>
      </c>
      <c r="H42" s="4">
        <f ca="1">T_Facebook_Ads[[#This Row],[spend]]*RANDBETWEEN(8,12)/10</f>
        <v>203.83</v>
      </c>
      <c r="I42" s="4">
        <f ca="1">ROUND(T_Facebook_Ads[[#This Row],[conversions]]*RANDBETWEEN(8,12)/10,0)</f>
        <v>25</v>
      </c>
      <c r="J42" s="4">
        <f ca="1">ROUND(T_Facebook_Ads[[#This Row],[video_views]]*RANDBETWEEN(8,12)/10,0)</f>
        <v>4657</v>
      </c>
      <c r="K42" s="4">
        <f ca="1">T_Facebook_Ads[[#This Row],[engagement_rate]]*RANDBETWEEN(8,12)/10</f>
        <v>3.5999999999999997E-2</v>
      </c>
      <c r="L42" s="4">
        <f ca="1">ROUND(T_Facebook_Ads[[#This Row],[reach]]*RANDBETWEEN(8,12)/10,0)</f>
        <v>25101</v>
      </c>
      <c r="M42" s="4">
        <f ca="1">T_Facebook_Ads[[#This Row],[frequency]]*RANDBETWEEN(8,12)/10</f>
        <v>0.96</v>
      </c>
      <c r="O42" s="3">
        <f t="shared" ca="1" si="6"/>
        <v>45009</v>
      </c>
      <c r="P42" s="4" t="s">
        <v>84</v>
      </c>
      <c r="Q42" s="4" t="s">
        <v>85</v>
      </c>
      <c r="R42" s="4" t="s">
        <v>86</v>
      </c>
      <c r="S42" s="4" t="s">
        <v>87</v>
      </c>
      <c r="T42" s="4">
        <f ca="1">ROUND(_Google_ads[[#This Row],[impressions]]*RANDBETWEEN(8,12)/10,0)</f>
        <v>50765</v>
      </c>
      <c r="U42" s="4">
        <f ca="1">ROUND(_Google_ads[[#This Row],[clicks]]*RANDBETWEEN(8,12)/10,0)</f>
        <v>1880</v>
      </c>
      <c r="V42" s="4">
        <f ca="1">_Google_ads[[#This Row],[cost]]*RANDBETWEEN(8,12)/10</f>
        <v>420.86</v>
      </c>
      <c r="W42" s="4">
        <f ca="1">ROUND(_Google_ads[[#This Row],[conversions]]*RANDBETWEEN(8,12)/10,0)</f>
        <v>72</v>
      </c>
      <c r="X42" s="4">
        <f ca="1">ROUND(_Google_ads[[#This Row],[conversion_value]]*RANDBETWEEN(8,12)/10,0)</f>
        <v>3300</v>
      </c>
      <c r="Y42" s="4">
        <f ca="1">_Google_ads[[#This Row],[ctr]]*RANDBETWEEN(8,12)/10</f>
        <v>2.9609999999999997E-2</v>
      </c>
      <c r="Z42" s="4">
        <f ca="1">_Google_ads[[#This Row],[avg_cpc]]*RANDBETWEEN(8,12)/10</f>
        <v>0.21600000000000003</v>
      </c>
      <c r="AA42" s="4">
        <f ca="1">ROUND(_Google_ads[[#This Row],[quality_score]]*RANDBETWEEN(8,12)/10,0)</f>
        <v>8</v>
      </c>
      <c r="AB42" s="4">
        <f ca="1">_Google_ads[[#This Row],[search_impression_share]]*RANDBETWEEN(8,12)/10</f>
        <v>0.65</v>
      </c>
      <c r="AD42" s="3">
        <f t="shared" ca="1" si="7"/>
        <v>45011</v>
      </c>
      <c r="AE42" s="4" t="s">
        <v>108</v>
      </c>
      <c r="AF42" s="4" t="s">
        <v>109</v>
      </c>
      <c r="AG42" s="4" t="s">
        <v>110</v>
      </c>
      <c r="AH42" s="4" t="s">
        <v>111</v>
      </c>
      <c r="AI42" s="4">
        <f ca="1">ROUND(T_Tiktok_ads[[#This Row],[impressions]]*RANDBETWEEN(8,12)/10,0)</f>
        <v>181111</v>
      </c>
      <c r="AJ42" s="4">
        <f ca="1">ROUND(T_Tiktok_ads[[#This Row],[clicks]]*RANDBETWEEN(8,12)/10,0)</f>
        <v>2811</v>
      </c>
      <c r="AK42" s="4">
        <v>374.5</v>
      </c>
      <c r="AL42" s="4">
        <f ca="1">ROUND(T_Tiktok_ads[[#This Row],[conversions]]*RANDBETWEEN(8,12)/10,0)</f>
        <v>21</v>
      </c>
      <c r="AM42" s="4">
        <f ca="1">ROUND(T_Tiktok_ads[[#This Row],[video_views]]*RANDBETWEEN(8,12)/10,0)</f>
        <v>142101</v>
      </c>
      <c r="AN42" s="4">
        <f ca="1">ROUND(T_Tiktok_ads[[#This Row],[video_watch_25]]*RANDBETWEEN(8,12)/10,0)</f>
        <v>145481</v>
      </c>
      <c r="AO42" s="4">
        <f ca="1">ROUND(T_Tiktok_ads[[#This Row],[video_watch_50]]*RANDBETWEEN(8,12)/10,0)</f>
        <v>76987</v>
      </c>
      <c r="AP42" s="4">
        <f ca="1">ROUND(T_Tiktok_ads[[#This Row],[video_watch_75]]*RANDBETWEEN(8,12)/10,0)</f>
        <v>73481</v>
      </c>
      <c r="AQ42" s="4">
        <f ca="1">ROUND(T_Tiktok_ads[[#This Row],[video_watch_100]]*RANDBETWEEN(8,12)/10,0)</f>
        <v>41202</v>
      </c>
      <c r="AR42" s="4">
        <f ca="1">ROUND(T_Tiktok_ads[[#This Row],[likes]]*RANDBETWEEN(8,12)/10,0)</f>
        <v>7345</v>
      </c>
      <c r="AS42" s="4">
        <f ca="1">ROUND(T_Tiktok_ads[[#This Row],[shares]]*RANDBETWEEN(8,12)/10,0)</f>
        <v>2034</v>
      </c>
      <c r="AT42" s="4">
        <f ca="1">ROUND(T_Tiktok_ads[[#This Row],[comments]]*RANDBETWEEN(8,12)/10,0)</f>
        <v>391</v>
      </c>
      <c r="AV42" s="5">
        <f t="shared" ca="1" si="8"/>
        <v>45002</v>
      </c>
      <c r="AW42">
        <f t="shared" ca="1" si="4"/>
        <v>3</v>
      </c>
      <c r="AX42">
        <f ca="1">ROUND(T_Facebook_Ads115963[[#This Row],[impressions]]*RANDBETWEEN(8,12)/10,0)</f>
        <v>21412</v>
      </c>
      <c r="AY42">
        <f ca="1">ROUND(T_Facebook_Ads115963[[#This Row],[clicks]]*RANDBETWEEN(8,12)/10,0)</f>
        <v>1323</v>
      </c>
      <c r="AZ42">
        <f ca="1">T_Facebook_Ads115963[[#This Row],[spend]]*RANDBETWEEN(8,12)/10</f>
        <v>244.596</v>
      </c>
      <c r="BA42">
        <f ca="1">ROUND(T_Facebook_Ads115963[[#This Row],[conversions]]*RANDBETWEEN(8,12)/10,0)</f>
        <v>28</v>
      </c>
      <c r="BB42">
        <f ca="1">ROUND(T_Facebook_Ads115963[[#This Row],[video_views]]*RANDBETWEEN(8,12)/10,0)</f>
        <v>3726</v>
      </c>
    </row>
    <row r="43" spans="1:54" ht="15.75" thickBot="1" x14ac:dyDescent="0.3">
      <c r="A43" s="3">
        <f t="shared" ca="1" si="5"/>
        <v>44999</v>
      </c>
      <c r="B43" s="4" t="s">
        <v>64</v>
      </c>
      <c r="C43" s="4" t="s">
        <v>65</v>
      </c>
      <c r="D43" s="4" t="s">
        <v>66</v>
      </c>
      <c r="E43" s="4" t="s">
        <v>67</v>
      </c>
      <c r="F43" s="4">
        <f ca="1">ROUND(T_Facebook_Ads[[#This Row],[impressions]]*RANDBETWEEN(8,12)/10,0)</f>
        <v>77480</v>
      </c>
      <c r="G43" s="4">
        <v>238</v>
      </c>
      <c r="H43" s="4">
        <f ca="1">T_Facebook_Ads[[#This Row],[spend]]*RANDBETWEEN(8,12)/10</f>
        <v>75.06</v>
      </c>
      <c r="I43" s="4">
        <f ca="1">ROUND(T_Facebook_Ads[[#This Row],[conversions]]*RANDBETWEEN(8,12)/10,0)</f>
        <v>5</v>
      </c>
      <c r="J43" s="4">
        <f ca="1">ROUND(T_Facebook_Ads[[#This Row],[video_views]]*RANDBETWEEN(8,12)/10,0)</f>
        <v>38911</v>
      </c>
      <c r="K43" s="4">
        <f ca="1">T_Facebook_Ads[[#This Row],[engagement_rate]]*RANDBETWEEN(8,12)/10</f>
        <v>3.3300000000000005E-3</v>
      </c>
      <c r="L43" s="4">
        <f ca="1">ROUND(T_Facebook_Ads[[#This Row],[reach]]*RANDBETWEEN(8,12)/10,0)</f>
        <v>42312</v>
      </c>
      <c r="M43" s="4">
        <f ca="1">T_Facebook_Ads[[#This Row],[frequency]]*RANDBETWEEN(8,12)/10</f>
        <v>1.22</v>
      </c>
      <c r="O43" s="3">
        <f t="shared" ca="1" si="6"/>
        <v>44995</v>
      </c>
      <c r="P43" s="4" t="s">
        <v>88</v>
      </c>
      <c r="Q43" s="4" t="s">
        <v>89</v>
      </c>
      <c r="R43" s="4" t="s">
        <v>90</v>
      </c>
      <c r="S43" s="4" t="s">
        <v>59</v>
      </c>
      <c r="T43" s="4">
        <f ca="1">ROUND(_Google_ads[[#This Row],[impressions]]*RANDBETWEEN(8,12)/10,0)</f>
        <v>143081</v>
      </c>
      <c r="U43" s="4">
        <f ca="1">ROUND(_Google_ads[[#This Row],[clicks]]*RANDBETWEEN(8,12)/10,0)</f>
        <v>521</v>
      </c>
      <c r="V43" s="4">
        <f ca="1">_Google_ads[[#This Row],[cost]]*RANDBETWEEN(8,12)/10</f>
        <v>116.8</v>
      </c>
      <c r="W43" s="4">
        <f ca="1">ROUND(_Google_ads[[#This Row],[conversions]]*RANDBETWEEN(8,12)/10,0)</f>
        <v>10</v>
      </c>
      <c r="X43" s="4">
        <f ca="1">ROUND(_Google_ads[[#This Row],[conversion_value]]*RANDBETWEEN(8,12)/10,0)</f>
        <v>600</v>
      </c>
      <c r="Y43" s="4">
        <f ca="1">_Google_ads[[#This Row],[ctr]]*RANDBETWEEN(8,12)/10</f>
        <v>3.2399999999999998E-3</v>
      </c>
      <c r="Z43" s="4">
        <f ca="1">_Google_ads[[#This Row],[avg_cpc]]*RANDBETWEEN(8,12)/10</f>
        <v>0.32400000000000001</v>
      </c>
      <c r="AA43" s="4">
        <f ca="1">ROUND(_Google_ads[[#This Row],[quality_score]]*RANDBETWEEN(8,12)/10,0)</f>
        <v>8</v>
      </c>
      <c r="AB43" s="4">
        <f ca="1">_Google_ads[[#This Row],[search_impression_share]]*RANDBETWEEN(8,12)/10</f>
        <v>0.36300000000000004</v>
      </c>
      <c r="AD43" s="3">
        <f t="shared" ca="1" si="7"/>
        <v>45012</v>
      </c>
      <c r="AE43" s="4" t="s">
        <v>112</v>
      </c>
      <c r="AF43" s="4" t="s">
        <v>113</v>
      </c>
      <c r="AG43" s="4" t="s">
        <v>114</v>
      </c>
      <c r="AH43" s="4" t="s">
        <v>115</v>
      </c>
      <c r="AI43" s="4">
        <f ca="1">ROUND(T_Tiktok_ads[[#This Row],[impressions]]*RANDBETWEEN(8,12)/10,0)</f>
        <v>294312</v>
      </c>
      <c r="AJ43" s="4">
        <f ca="1">ROUND(T_Tiktok_ads[[#This Row],[clicks]]*RANDBETWEEN(8,12)/10,0)</f>
        <v>7214</v>
      </c>
      <c r="AK43" s="4">
        <v>923.4</v>
      </c>
      <c r="AL43" s="4">
        <f ca="1">ROUND(T_Tiktok_ads[[#This Row],[conversions]]*RANDBETWEEN(8,12)/10,0)</f>
        <v>75</v>
      </c>
      <c r="AM43" s="4">
        <f ca="1">ROUND(T_Tiktok_ads[[#This Row],[video_views]]*RANDBETWEEN(8,12)/10,0)</f>
        <v>361481</v>
      </c>
      <c r="AN43" s="4">
        <f ca="1">ROUND(T_Tiktok_ads[[#This Row],[video_watch_25]]*RANDBETWEEN(8,12)/10,0)</f>
        <v>245678</v>
      </c>
      <c r="AO43" s="4">
        <f ca="1">ROUND(T_Tiktok_ads[[#This Row],[video_watch_50]]*RANDBETWEEN(8,12)/10,0)</f>
        <v>216468</v>
      </c>
      <c r="AP43" s="4">
        <f ca="1">ROUND(T_Tiktok_ads[[#This Row],[video_watch_75]]*RANDBETWEEN(8,12)/10,0)</f>
        <v>140234</v>
      </c>
      <c r="AQ43" s="4">
        <f ca="1">ROUND(T_Tiktok_ads[[#This Row],[video_watch_100]]*RANDBETWEEN(8,12)/10,0)</f>
        <v>84110</v>
      </c>
      <c r="AR43" s="4">
        <f ca="1">ROUND(T_Tiktok_ads[[#This Row],[likes]]*RANDBETWEEN(8,12)/10,0)</f>
        <v>14611</v>
      </c>
      <c r="AS43" s="4">
        <f ca="1">ROUND(T_Tiktok_ads[[#This Row],[shares]]*RANDBETWEEN(8,12)/10,0)</f>
        <v>3831</v>
      </c>
      <c r="AT43" s="4">
        <f ca="1">ROUND(T_Tiktok_ads[[#This Row],[comments]]*RANDBETWEEN(8,12)/10,0)</f>
        <v>1418</v>
      </c>
      <c r="AV43" s="5">
        <f t="shared" ca="1" si="8"/>
        <v>44992</v>
      </c>
      <c r="AW43">
        <f t="shared" ca="1" si="4"/>
        <v>5</v>
      </c>
      <c r="AX43">
        <f ca="1">ROUND(T_Facebook_Ads115963[[#This Row],[impressions]]*RANDBETWEEN(8,12)/10,0)</f>
        <v>92976</v>
      </c>
      <c r="AY43">
        <f ca="1">ROUND(T_Facebook_Ads115963[[#This Row],[clicks]]*RANDBETWEEN(8,12)/10,0)</f>
        <v>190</v>
      </c>
      <c r="AZ43">
        <f ca="1">T_Facebook_Ads115963[[#This Row],[spend]]*RANDBETWEEN(8,12)/10</f>
        <v>82.566000000000003</v>
      </c>
      <c r="BA43">
        <f ca="1">ROUND(T_Facebook_Ads115963[[#This Row],[conversions]]*RANDBETWEEN(8,12)/10,0)</f>
        <v>6</v>
      </c>
      <c r="BB43">
        <f ca="1">ROUND(T_Facebook_Ads115963[[#This Row],[video_views]]*RANDBETWEEN(8,12)/10,0)</f>
        <v>31129</v>
      </c>
    </row>
    <row r="44" spans="1:54" ht="15.75" thickBot="1" x14ac:dyDescent="0.3">
      <c r="A44" s="3">
        <f t="shared" ca="1" si="5"/>
        <v>45004</v>
      </c>
      <c r="B44" s="4" t="s">
        <v>52</v>
      </c>
      <c r="C44" s="4" t="s">
        <v>53</v>
      </c>
      <c r="D44" s="4" t="s">
        <v>54</v>
      </c>
      <c r="E44" s="4" t="s">
        <v>55</v>
      </c>
      <c r="F44" s="4">
        <f ca="1">ROUND(T_Facebook_Ads[[#This Row],[impressions]]*RANDBETWEEN(8,12)/10,0)</f>
        <v>32098</v>
      </c>
      <c r="G44" s="4">
        <v>798</v>
      </c>
      <c r="H44" s="4">
        <f ca="1">T_Facebook_Ads[[#This Row],[spend]]*RANDBETWEEN(8,12)/10</f>
        <v>126.17</v>
      </c>
      <c r="I44" s="4">
        <f ca="1">ROUND(T_Facebook_Ads[[#This Row],[conversions]]*RANDBETWEEN(8,12)/10,0)</f>
        <v>13</v>
      </c>
      <c r="J44" s="4">
        <f ca="1">ROUND(T_Facebook_Ads[[#This Row],[video_views]]*RANDBETWEEN(8,12)/10,0)</f>
        <v>8814</v>
      </c>
      <c r="K44" s="4">
        <f ca="1">T_Facebook_Ads[[#This Row],[engagement_rate]]*RANDBETWEEN(8,12)/10</f>
        <v>1.9900000000000001E-2</v>
      </c>
      <c r="L44" s="4">
        <f ca="1">ROUND(T_Facebook_Ads[[#This Row],[reach]]*RANDBETWEEN(8,12)/10,0)</f>
        <v>33456</v>
      </c>
      <c r="M44" s="4">
        <f ca="1">T_Facebook_Ads[[#This Row],[frequency]]*RANDBETWEEN(8,12)/10</f>
        <v>0.96</v>
      </c>
      <c r="O44" s="3">
        <f t="shared" ca="1" si="6"/>
        <v>45014</v>
      </c>
      <c r="P44" s="4" t="s">
        <v>76</v>
      </c>
      <c r="Q44" s="4" t="s">
        <v>77</v>
      </c>
      <c r="R44" s="4" t="s">
        <v>78</v>
      </c>
      <c r="S44" s="4" t="s">
        <v>79</v>
      </c>
      <c r="T44" s="4">
        <f ca="1">ROUND(_Google_ads[[#This Row],[impressions]]*RANDBETWEEN(8,12)/10,0)</f>
        <v>16987</v>
      </c>
      <c r="U44" s="4">
        <f ca="1">ROUND(_Google_ads[[#This Row],[clicks]]*RANDBETWEEN(8,12)/10,0)</f>
        <v>1198</v>
      </c>
      <c r="V44" s="4">
        <f ca="1">_Google_ads[[#This Row],[cost]]*RANDBETWEEN(8,12)/10</f>
        <v>187.02</v>
      </c>
      <c r="W44" s="4">
        <f ca="1">ROUND(_Google_ads[[#This Row],[conversions]]*RANDBETWEEN(8,12)/10,0)</f>
        <v>37</v>
      </c>
      <c r="X44" s="4">
        <f ca="1">ROUND(_Google_ads[[#This Row],[conversion_value]]*RANDBETWEEN(8,12)/10,0)</f>
        <v>1845</v>
      </c>
      <c r="Y44" s="4">
        <f ca="1">_Google_ads[[#This Row],[ctr]]*RANDBETWEEN(8,12)/10</f>
        <v>6.155999999999999E-2</v>
      </c>
      <c r="Z44" s="4">
        <f ca="1">_Google_ads[[#This Row],[avg_cpc]]*RANDBETWEEN(8,12)/10</f>
        <v>0.20899999999999999</v>
      </c>
      <c r="AA44" s="4">
        <f ca="1">ROUND(_Google_ads[[#This Row],[quality_score]]*RANDBETWEEN(8,12)/10,0)</f>
        <v>7</v>
      </c>
      <c r="AB44" s="4">
        <f ca="1">_Google_ads[[#This Row],[search_impression_share]]*RANDBETWEEN(8,12)/10</f>
        <v>0.89</v>
      </c>
      <c r="AD44" s="3">
        <f t="shared" ca="1" si="7"/>
        <v>45012</v>
      </c>
      <c r="AE44" s="4" t="s">
        <v>100</v>
      </c>
      <c r="AF44" s="4" t="s">
        <v>101</v>
      </c>
      <c r="AG44" s="4" t="s">
        <v>102</v>
      </c>
      <c r="AH44" s="4" t="s">
        <v>103</v>
      </c>
      <c r="AI44" s="4">
        <f ca="1">ROUND(T_Tiktok_ads[[#This Row],[impressions]]*RANDBETWEEN(8,12)/10,0)</f>
        <v>268147</v>
      </c>
      <c r="AJ44" s="4">
        <f ca="1">ROUND(T_Tiktok_ads[[#This Row],[clicks]]*RANDBETWEEN(8,12)/10,0)</f>
        <v>3557</v>
      </c>
      <c r="AK44" s="4">
        <v>434.5</v>
      </c>
      <c r="AL44" s="4">
        <f ca="1">ROUND(T_Tiktok_ads[[#This Row],[conversions]]*RANDBETWEEN(8,12)/10,0)</f>
        <v>29</v>
      </c>
      <c r="AM44" s="4">
        <f ca="1">ROUND(T_Tiktok_ads[[#This Row],[video_views]]*RANDBETWEEN(8,12)/10,0)</f>
        <v>189234</v>
      </c>
      <c r="AN44" s="4">
        <f ca="1">ROUND(T_Tiktok_ads[[#This Row],[video_watch_25]]*RANDBETWEEN(8,12)/10,0)</f>
        <v>177881</v>
      </c>
      <c r="AO44" s="4">
        <f ca="1">ROUND(T_Tiktok_ads[[#This Row],[video_watch_50]]*RANDBETWEEN(8,12)/10,0)</f>
        <v>83911</v>
      </c>
      <c r="AP44" s="4">
        <f ca="1">ROUND(T_Tiktok_ads[[#This Row],[video_watch_75]]*RANDBETWEEN(8,12)/10,0)</f>
        <v>57110</v>
      </c>
      <c r="AQ44" s="4">
        <f ca="1">ROUND(T_Tiktok_ads[[#This Row],[video_watch_100]]*RANDBETWEEN(8,12)/10,0)</f>
        <v>38911</v>
      </c>
      <c r="AR44" s="4">
        <f ca="1">ROUND(T_Tiktok_ads[[#This Row],[likes]]*RANDBETWEEN(8,12)/10,0)</f>
        <v>8567</v>
      </c>
      <c r="AS44" s="4">
        <f ca="1">ROUND(T_Tiktok_ads[[#This Row],[shares]]*RANDBETWEEN(8,12)/10,0)</f>
        <v>1787</v>
      </c>
      <c r="AT44" s="4">
        <f ca="1">ROUND(T_Tiktok_ads[[#This Row],[comments]]*RANDBETWEEN(8,12)/10,0)</f>
        <v>587</v>
      </c>
      <c r="AV44" s="5">
        <f t="shared" ca="1" si="8"/>
        <v>44986</v>
      </c>
      <c r="AW44">
        <f t="shared" ca="1" si="4"/>
        <v>6</v>
      </c>
      <c r="AX44">
        <f ca="1">ROUND(T_Facebook_Ads115963[[#This Row],[impressions]]*RANDBETWEEN(8,12)/10,0)</f>
        <v>25678</v>
      </c>
      <c r="AY44">
        <f ca="1">ROUND(T_Facebook_Ads115963[[#This Row],[clicks]]*RANDBETWEEN(8,12)/10,0)</f>
        <v>638</v>
      </c>
      <c r="AZ44">
        <f ca="1">T_Facebook_Ads115963[[#This Row],[spend]]*RANDBETWEEN(8,12)/10</f>
        <v>151.404</v>
      </c>
      <c r="BA44">
        <f ca="1">ROUND(T_Facebook_Ads115963[[#This Row],[conversions]]*RANDBETWEEN(8,12)/10,0)</f>
        <v>14</v>
      </c>
      <c r="BB44">
        <f ca="1">ROUND(T_Facebook_Ads115963[[#This Row],[video_views]]*RANDBETWEEN(8,12)/10,0)</f>
        <v>8814</v>
      </c>
    </row>
    <row r="45" spans="1:54" ht="15.75" thickBot="1" x14ac:dyDescent="0.3">
      <c r="A45" s="3">
        <f t="shared" ca="1" si="5"/>
        <v>45015</v>
      </c>
      <c r="B45" s="4" t="s">
        <v>56</v>
      </c>
      <c r="C45" s="4" t="s">
        <v>57</v>
      </c>
      <c r="D45" s="4" t="s">
        <v>58</v>
      </c>
      <c r="E45" s="4" t="s">
        <v>59</v>
      </c>
      <c r="F45" s="4">
        <f ca="1">ROUND(T_Facebook_Ads[[#This Row],[impressions]]*RANDBETWEEN(8,12)/10,0)</f>
        <v>8454</v>
      </c>
      <c r="G45" s="4">
        <v>489</v>
      </c>
      <c r="H45" s="4">
        <f ca="1">T_Facebook_Ads[[#This Row],[spend]]*RANDBETWEEN(8,12)/10</f>
        <v>185.9</v>
      </c>
      <c r="I45" s="4">
        <f ca="1">ROUND(T_Facebook_Ads[[#This Row],[conversions]]*RANDBETWEEN(8,12)/10,0)</f>
        <v>29</v>
      </c>
      <c r="J45" s="4">
        <f ca="1">ROUND(T_Facebook_Ads[[#This Row],[video_views]]*RANDBETWEEN(8,12)/10,0)</f>
        <v>1198</v>
      </c>
      <c r="K45" s="4">
        <f ca="1">T_Facebook_Ads[[#This Row],[engagement_rate]]*RANDBETWEEN(8,12)/10</f>
        <v>5.5559999999999998E-2</v>
      </c>
      <c r="L45" s="4">
        <f ca="1">ROUND(T_Facebook_Ads[[#This Row],[reach]]*RANDBETWEEN(8,12)/10,0)</f>
        <v>9057</v>
      </c>
      <c r="M45" s="4">
        <f ca="1">T_Facebook_Ads[[#This Row],[frequency]]*RANDBETWEEN(8,12)/10</f>
        <v>1.1519999999999999</v>
      </c>
      <c r="O45" s="3">
        <f t="shared" ca="1" si="6"/>
        <v>45016</v>
      </c>
      <c r="P45" s="4" t="s">
        <v>80</v>
      </c>
      <c r="Q45" s="4" t="s">
        <v>81</v>
      </c>
      <c r="R45" s="4" t="s">
        <v>82</v>
      </c>
      <c r="S45" s="4" t="s">
        <v>83</v>
      </c>
      <c r="T45" s="4">
        <f ca="1">ROUND(_Google_ads[[#This Row],[impressions]]*RANDBETWEEN(8,12)/10,0)</f>
        <v>39567</v>
      </c>
      <c r="U45" s="4">
        <f ca="1">ROUND(_Google_ads[[#This Row],[clicks]]*RANDBETWEEN(8,12)/10,0)</f>
        <v>789</v>
      </c>
      <c r="V45" s="4">
        <f ca="1">_Google_ads[[#This Row],[cost]]*RANDBETWEEN(8,12)/10</f>
        <v>405.91999999999996</v>
      </c>
      <c r="W45" s="4">
        <f ca="1">ROUND(_Google_ads[[#This Row],[conversions]]*RANDBETWEEN(8,12)/10,0)</f>
        <v>15</v>
      </c>
      <c r="X45" s="4">
        <f ca="1">ROUND(_Google_ads[[#This Row],[conversion_value]]*RANDBETWEEN(8,12)/10,0)</f>
        <v>950</v>
      </c>
      <c r="Y45" s="4">
        <f ca="1">_Google_ads[[#This Row],[ctr]]*RANDBETWEEN(8,12)/10</f>
        <v>2.189E-2</v>
      </c>
      <c r="Z45" s="4">
        <f ca="1">_Google_ads[[#This Row],[avg_cpc]]*RANDBETWEEN(8,12)/10</f>
        <v>0.76800000000000002</v>
      </c>
      <c r="AA45" s="4">
        <f ca="1">ROUND(_Google_ads[[#This Row],[quality_score]]*RANDBETWEEN(8,12)/10,0)</f>
        <v>5</v>
      </c>
      <c r="AB45" s="4">
        <f ca="1">_Google_ads[[#This Row],[search_impression_share]]*RANDBETWEEN(8,12)/10</f>
        <v>0.33599999999999997</v>
      </c>
      <c r="AD45" s="3">
        <f t="shared" ca="1" si="7"/>
        <v>45001</v>
      </c>
      <c r="AE45" s="4" t="s">
        <v>104</v>
      </c>
      <c r="AF45" s="4" t="s">
        <v>105</v>
      </c>
      <c r="AG45" s="4" t="s">
        <v>106</v>
      </c>
      <c r="AH45" s="4" t="s">
        <v>107</v>
      </c>
      <c r="AI45" s="4">
        <f ca="1">ROUND(T_Tiktok_ads[[#This Row],[impressions]]*RANDBETWEEN(8,12)/10,0)</f>
        <v>128901</v>
      </c>
      <c r="AJ45" s="4">
        <f ca="1">ROUND(T_Tiktok_ads[[#This Row],[clicks]]*RANDBETWEEN(8,12)/10,0)</f>
        <v>2947</v>
      </c>
      <c r="AK45" s="4">
        <v>689.5</v>
      </c>
      <c r="AL45" s="4">
        <f ca="1">ROUND(T_Tiktok_ads[[#This Row],[conversions]]*RANDBETWEEN(8,12)/10,0)</f>
        <v>82</v>
      </c>
      <c r="AM45" s="4">
        <f ca="1">ROUND(T_Tiktok_ads[[#This Row],[video_views]]*RANDBETWEEN(8,12)/10,0)</f>
        <v>82111</v>
      </c>
      <c r="AN45" s="4">
        <f ca="1">ROUND(T_Tiktok_ads[[#This Row],[video_watch_25]]*RANDBETWEEN(8,12)/10,0)</f>
        <v>61411</v>
      </c>
      <c r="AO45" s="4">
        <f ca="1">ROUND(T_Tiktok_ads[[#This Row],[video_watch_50]]*RANDBETWEEN(8,12)/10,0)</f>
        <v>45789</v>
      </c>
      <c r="AP45" s="4">
        <f ca="1">ROUND(T_Tiktok_ads[[#This Row],[video_watch_75]]*RANDBETWEEN(8,12)/10,0)</f>
        <v>27654</v>
      </c>
      <c r="AQ45" s="4">
        <f ca="1">ROUND(T_Tiktok_ads[[#This Row],[video_watch_100]]*RANDBETWEEN(8,12)/10,0)</f>
        <v>21310</v>
      </c>
      <c r="AR45" s="4">
        <f ca="1">ROUND(T_Tiktok_ads[[#This Row],[likes]]*RANDBETWEEN(8,12)/10,0)</f>
        <v>4678</v>
      </c>
      <c r="AS45" s="4">
        <f ca="1">ROUND(T_Tiktok_ads[[#This Row],[shares]]*RANDBETWEEN(8,12)/10,0)</f>
        <v>1140</v>
      </c>
      <c r="AT45" s="4">
        <f ca="1">ROUND(T_Tiktok_ads[[#This Row],[comments]]*RANDBETWEEN(8,12)/10,0)</f>
        <v>190</v>
      </c>
      <c r="AV45" s="5">
        <f t="shared" ca="1" si="8"/>
        <v>45014</v>
      </c>
      <c r="AW45">
        <f t="shared" ca="1" si="4"/>
        <v>4</v>
      </c>
      <c r="AX45">
        <f ca="1">ROUND(T_Facebook_Ads115963[[#This Row],[impressions]]*RANDBETWEEN(8,12)/10,0)</f>
        <v>9299</v>
      </c>
      <c r="AY45">
        <f ca="1">ROUND(T_Facebook_Ads115963[[#This Row],[clicks]]*RANDBETWEEN(8,12)/10,0)</f>
        <v>538</v>
      </c>
      <c r="AZ45">
        <f ca="1">T_Facebook_Ads115963[[#This Row],[spend]]*RANDBETWEEN(8,12)/10</f>
        <v>185.9</v>
      </c>
      <c r="BA45">
        <f ca="1">ROUND(T_Facebook_Ads115963[[#This Row],[conversions]]*RANDBETWEEN(8,12)/10,0)</f>
        <v>26</v>
      </c>
      <c r="BB45">
        <f ca="1">ROUND(T_Facebook_Ads115963[[#This Row],[video_views]]*RANDBETWEEN(8,12)/10,0)</f>
        <v>1078</v>
      </c>
    </row>
    <row r="46" spans="1:54" ht="15.75" thickBot="1" x14ac:dyDescent="0.3">
      <c r="A46" s="3">
        <f t="shared" ca="1" si="5"/>
        <v>45014</v>
      </c>
      <c r="B46" s="4" t="s">
        <v>60</v>
      </c>
      <c r="C46" s="4" t="s">
        <v>61</v>
      </c>
      <c r="D46" s="4" t="s">
        <v>62</v>
      </c>
      <c r="E46" s="4" t="s">
        <v>63</v>
      </c>
      <c r="F46" s="4">
        <f ca="1">ROUND(T_Facebook_Ads[[#This Row],[impressions]]*RANDBETWEEN(8,12)/10,0)</f>
        <v>28111</v>
      </c>
      <c r="G46" s="4">
        <v>1123</v>
      </c>
      <c r="H46" s="4">
        <f ca="1">T_Facebook_Ads[[#This Row],[spend]]*RANDBETWEEN(8,12)/10</f>
        <v>139.04000000000002</v>
      </c>
      <c r="I46" s="4">
        <f ca="1">ROUND(T_Facebook_Ads[[#This Row],[conversions]]*RANDBETWEEN(8,12)/10,0)</f>
        <v>17</v>
      </c>
      <c r="J46" s="4">
        <f ca="1">ROUND(T_Facebook_Ads[[#This Row],[video_views]]*RANDBETWEEN(8,12)/10,0)</f>
        <v>4279</v>
      </c>
      <c r="K46" s="4">
        <f ca="1">T_Facebook_Ads[[#This Row],[engagement_rate]]*RANDBETWEEN(8,12)/10</f>
        <v>3.9599999999999996E-2</v>
      </c>
      <c r="L46" s="4">
        <f ca="1">ROUND(T_Facebook_Ads[[#This Row],[reach]]*RANDBETWEEN(8,12)/10,0)</f>
        <v>20898</v>
      </c>
      <c r="M46" s="4">
        <f ca="1">T_Facebook_Ads[[#This Row],[frequency]]*RANDBETWEEN(8,12)/10</f>
        <v>1.3199999999999998</v>
      </c>
      <c r="O46" s="3">
        <f t="shared" ca="1" si="6"/>
        <v>44991</v>
      </c>
      <c r="P46" s="4" t="s">
        <v>84</v>
      </c>
      <c r="Q46" s="4" t="s">
        <v>85</v>
      </c>
      <c r="R46" s="4" t="s">
        <v>86</v>
      </c>
      <c r="S46" s="4" t="s">
        <v>87</v>
      </c>
      <c r="T46" s="4">
        <f ca="1">ROUND(_Google_ads[[#This Row],[impressions]]*RANDBETWEEN(8,12)/10,0)</f>
        <v>49512</v>
      </c>
      <c r="U46" s="4">
        <f ca="1">ROUND(_Google_ads[[#This Row],[clicks]]*RANDBETWEEN(8,12)/10,0)</f>
        <v>1811</v>
      </c>
      <c r="V46" s="4">
        <f ca="1">_Google_ads[[#This Row],[cost]]*RANDBETWEEN(8,12)/10</f>
        <v>369.3</v>
      </c>
      <c r="W46" s="4">
        <f ca="1">ROUND(_Google_ads[[#This Row],[conversions]]*RANDBETWEEN(8,12)/10,0)</f>
        <v>58</v>
      </c>
      <c r="X46" s="4">
        <f ca="1">ROUND(_Google_ads[[#This Row],[conversion_value]]*RANDBETWEEN(8,12)/10,0)</f>
        <v>2900</v>
      </c>
      <c r="Y46" s="4">
        <f ca="1">_Google_ads[[#This Row],[ctr]]*RANDBETWEEN(8,12)/10</f>
        <v>2.6000000000000002E-2</v>
      </c>
      <c r="Z46" s="4">
        <f ca="1">_Google_ads[[#This Row],[avg_cpc]]*RANDBETWEEN(8,12)/10</f>
        <v>0.18</v>
      </c>
      <c r="AA46" s="4">
        <f ca="1">ROUND(_Google_ads[[#This Row],[quality_score]]*RANDBETWEEN(8,12)/10,0)</f>
        <v>6</v>
      </c>
      <c r="AB46" s="4">
        <f ca="1">_Google_ads[[#This Row],[search_impression_share]]*RANDBETWEEN(8,12)/10</f>
        <v>0.76800000000000002</v>
      </c>
      <c r="AD46" s="3">
        <f t="shared" ca="1" si="7"/>
        <v>44989</v>
      </c>
      <c r="AE46" s="4" t="s">
        <v>108</v>
      </c>
      <c r="AF46" s="4" t="s">
        <v>109</v>
      </c>
      <c r="AG46" s="4" t="s">
        <v>110</v>
      </c>
      <c r="AH46" s="4" t="s">
        <v>111</v>
      </c>
      <c r="AI46" s="4">
        <f ca="1">ROUND(T_Tiktok_ads[[#This Row],[impressions]]*RANDBETWEEN(8,12)/10,0)</f>
        <v>195678</v>
      </c>
      <c r="AJ46" s="4">
        <f ca="1">ROUND(T_Tiktok_ads[[#This Row],[clicks]]*RANDBETWEEN(8,12)/10,0)</f>
        <v>3587</v>
      </c>
      <c r="AK46" s="4">
        <v>361.2</v>
      </c>
      <c r="AL46" s="4">
        <f ca="1">ROUND(T_Tiktok_ads[[#This Row],[conversions]]*RANDBETWEEN(8,12)/10,0)</f>
        <v>28</v>
      </c>
      <c r="AM46" s="4">
        <f ca="1">ROUND(T_Tiktok_ads[[#This Row],[video_views]]*RANDBETWEEN(8,12)/10,0)</f>
        <v>182814</v>
      </c>
      <c r="AN46" s="4">
        <f ca="1">ROUND(T_Tiktok_ads[[#This Row],[video_watch_25]]*RANDBETWEEN(8,12)/10,0)</f>
        <v>93787</v>
      </c>
      <c r="AO46" s="4">
        <f ca="1">ROUND(T_Tiktok_ads[[#This Row],[video_watch_50]]*RANDBETWEEN(8,12)/10,0)</f>
        <v>111881</v>
      </c>
      <c r="AP46" s="4">
        <f ca="1">ROUND(T_Tiktok_ads[[#This Row],[video_watch_75]]*RANDBETWEEN(8,12)/10,0)</f>
        <v>65157</v>
      </c>
      <c r="AQ46" s="4">
        <f ca="1">ROUND(T_Tiktok_ads[[#This Row],[video_watch_100]]*RANDBETWEEN(8,12)/10,0)</f>
        <v>28987</v>
      </c>
      <c r="AR46" s="4">
        <f ca="1">ROUND(T_Tiktok_ads[[#This Row],[likes]]*RANDBETWEEN(8,12)/10,0)</f>
        <v>6411</v>
      </c>
      <c r="AS46" s="4">
        <f ca="1">ROUND(T_Tiktok_ads[[#This Row],[shares]]*RANDBETWEEN(8,12)/10,0)</f>
        <v>1574</v>
      </c>
      <c r="AT46" s="4">
        <f ca="1">ROUND(T_Tiktok_ads[[#This Row],[comments]]*RANDBETWEEN(8,12)/10,0)</f>
        <v>382</v>
      </c>
      <c r="AV46" s="5">
        <f t="shared" ca="1" si="8"/>
        <v>45016</v>
      </c>
      <c r="AW46">
        <f t="shared" ca="1" si="4"/>
        <v>7</v>
      </c>
      <c r="AX46">
        <f ca="1">ROUND(T_Facebook_Ads115963[[#This Row],[impressions]]*RANDBETWEEN(8,12)/10,0)</f>
        <v>30922</v>
      </c>
      <c r="AY46">
        <f ca="1">ROUND(T_Facebook_Ads115963[[#This Row],[clicks]]*RANDBETWEEN(8,12)/10,0)</f>
        <v>1123</v>
      </c>
      <c r="AZ46">
        <f ca="1">T_Facebook_Ads115963[[#This Row],[spend]]*RANDBETWEEN(8,12)/10</f>
        <v>166.84800000000001</v>
      </c>
      <c r="BA46">
        <f ca="1">ROUND(T_Facebook_Ads115963[[#This Row],[conversions]]*RANDBETWEEN(8,12)/10,0)</f>
        <v>17</v>
      </c>
      <c r="BB46">
        <f ca="1">ROUND(T_Facebook_Ads115963[[#This Row],[video_views]]*RANDBETWEEN(8,12)/10,0)</f>
        <v>3851</v>
      </c>
    </row>
    <row r="47" spans="1:54" ht="15.75" thickBot="1" x14ac:dyDescent="0.3">
      <c r="A47" s="3">
        <f t="shared" ca="1" si="5"/>
        <v>44996</v>
      </c>
      <c r="B47" s="4" t="s">
        <v>64</v>
      </c>
      <c r="C47" s="4" t="s">
        <v>65</v>
      </c>
      <c r="D47" s="4" t="s">
        <v>66</v>
      </c>
      <c r="E47" s="4" t="s">
        <v>67</v>
      </c>
      <c r="F47" s="4">
        <f ca="1">ROUND(T_Facebook_Ads[[#This Row],[impressions]]*RANDBETWEEN(8,12)/10,0)</f>
        <v>48987</v>
      </c>
      <c r="G47" s="4">
        <v>223</v>
      </c>
      <c r="H47" s="4">
        <f ca="1">T_Facebook_Ads[[#This Row],[spend]]*RANDBETWEEN(8,12)/10</f>
        <v>94.68</v>
      </c>
      <c r="I47" s="4">
        <f ca="1">ROUND(T_Facebook_Ads[[#This Row],[conversions]]*RANDBETWEEN(8,12)/10,0)</f>
        <v>4</v>
      </c>
      <c r="J47" s="4">
        <f ca="1">ROUND(T_Facebook_Ads[[#This Row],[video_views]]*RANDBETWEEN(8,12)/10,0)</f>
        <v>32454</v>
      </c>
      <c r="K47" s="4">
        <f ca="1">T_Facebook_Ads[[#This Row],[engagement_rate]]*RANDBETWEEN(8,12)/10</f>
        <v>3.5999999999999999E-3</v>
      </c>
      <c r="L47" s="4">
        <f ca="1">ROUND(T_Facebook_Ads[[#This Row],[reach]]*RANDBETWEEN(8,12)/10,0)</f>
        <v>40098</v>
      </c>
      <c r="M47" s="4">
        <f ca="1">T_Facebook_Ads[[#This Row],[frequency]]*RANDBETWEEN(8,12)/10</f>
        <v>1.464</v>
      </c>
      <c r="O47" s="3">
        <f t="shared" ca="1" si="6"/>
        <v>44988</v>
      </c>
      <c r="P47" s="4" t="s">
        <v>88</v>
      </c>
      <c r="Q47" s="4" t="s">
        <v>89</v>
      </c>
      <c r="R47" s="4" t="s">
        <v>90</v>
      </c>
      <c r="S47" s="4" t="s">
        <v>59</v>
      </c>
      <c r="T47" s="4">
        <f ca="1">ROUND(_Google_ads[[#This Row],[impressions]]*RANDBETWEEN(8,12)/10,0)</f>
        <v>104110</v>
      </c>
      <c r="U47" s="4">
        <f ca="1">ROUND(_Google_ads[[#This Row],[clicks]]*RANDBETWEEN(8,12)/10,0)</f>
        <v>330</v>
      </c>
      <c r="V47" s="4">
        <f ca="1">_Google_ads[[#This Row],[cost]]*RANDBETWEEN(8,12)/10</f>
        <v>136.08000000000001</v>
      </c>
      <c r="W47" s="4">
        <f ca="1">ROUND(_Google_ads[[#This Row],[conversions]]*RANDBETWEEN(8,12)/10,0)</f>
        <v>9</v>
      </c>
      <c r="X47" s="4">
        <f ca="1">ROUND(_Google_ads[[#This Row],[conversion_value]]*RANDBETWEEN(8,12)/10,0)</f>
        <v>495</v>
      </c>
      <c r="Y47" s="4">
        <f ca="1">_Google_ads[[#This Row],[ctr]]*RANDBETWEEN(8,12)/10</f>
        <v>3.96E-3</v>
      </c>
      <c r="Z47" s="4">
        <f ca="1">_Google_ads[[#This Row],[avg_cpc]]*RANDBETWEEN(8,12)/10</f>
        <v>0.308</v>
      </c>
      <c r="AA47" s="4">
        <f ca="1">ROUND(_Google_ads[[#This Row],[quality_score]]*RANDBETWEEN(8,12)/10,0)</f>
        <v>8</v>
      </c>
      <c r="AB47" s="4">
        <f ca="1">_Google_ads[[#This Row],[search_impression_share]]*RANDBETWEEN(8,12)/10</f>
        <v>0.28799999999999998</v>
      </c>
      <c r="AD47" s="3">
        <f t="shared" ca="1" si="7"/>
        <v>45006</v>
      </c>
      <c r="AE47" s="4" t="s">
        <v>112</v>
      </c>
      <c r="AF47" s="4" t="s">
        <v>113</v>
      </c>
      <c r="AG47" s="4" t="s">
        <v>114</v>
      </c>
      <c r="AH47" s="4" t="s">
        <v>115</v>
      </c>
      <c r="AI47" s="4">
        <f ca="1">ROUND(T_Tiktok_ads[[#This Row],[impressions]]*RANDBETWEEN(8,12)/10,0)</f>
        <v>428147</v>
      </c>
      <c r="AJ47" s="4">
        <f ca="1">ROUND(T_Tiktok_ads[[#This Row],[clicks]]*RANDBETWEEN(8,12)/10,0)</f>
        <v>4667</v>
      </c>
      <c r="AK47" s="4">
        <v>901.2</v>
      </c>
      <c r="AL47" s="4">
        <f ca="1">ROUND(T_Tiktok_ads[[#This Row],[conversions]]*RANDBETWEEN(8,12)/10,0)</f>
        <v>82</v>
      </c>
      <c r="AM47" s="4">
        <f ca="1">ROUND(T_Tiktok_ads[[#This Row],[video_views]]*RANDBETWEEN(8,12)/10,0)</f>
        <v>264110</v>
      </c>
      <c r="AN47" s="4">
        <f ca="1">ROUND(T_Tiktok_ads[[#This Row],[video_watch_25]]*RANDBETWEEN(8,12)/10,0)</f>
        <v>263157</v>
      </c>
      <c r="AO47" s="4">
        <f ca="1">ROUND(T_Tiktok_ads[[#This Row],[video_watch_50]]*RANDBETWEEN(8,12)/10,0)</f>
        <v>229481</v>
      </c>
      <c r="AP47" s="4">
        <f ca="1">ROUND(T_Tiktok_ads[[#This Row],[video_watch_75]]*RANDBETWEEN(8,12)/10,0)</f>
        <v>122611</v>
      </c>
      <c r="AQ47" s="4">
        <f ca="1">ROUND(T_Tiktok_ads[[#This Row],[video_watch_100]]*RANDBETWEEN(8,12)/10,0)</f>
        <v>90234</v>
      </c>
      <c r="AR47" s="4">
        <f ca="1">ROUND(T_Tiktok_ads[[#This Row],[likes]]*RANDBETWEEN(8,12)/10,0)</f>
        <v>15890</v>
      </c>
      <c r="AS47" s="4">
        <f ca="1">ROUND(T_Tiktok_ads[[#This Row],[shares]]*RANDBETWEEN(8,12)/10,0)</f>
        <v>5561</v>
      </c>
      <c r="AT47" s="4">
        <f ca="1">ROUND(T_Tiktok_ads[[#This Row],[comments]]*RANDBETWEEN(8,12)/10,0)</f>
        <v>1005</v>
      </c>
      <c r="AV47" s="5">
        <f t="shared" ca="1" si="8"/>
        <v>44987</v>
      </c>
      <c r="AW47">
        <f t="shared" ca="1" si="4"/>
        <v>6</v>
      </c>
      <c r="AX47">
        <f ca="1">ROUND(T_Facebook_Ads115963[[#This Row],[impressions]]*RANDBETWEEN(8,12)/10,0)</f>
        <v>39190</v>
      </c>
      <c r="AY47">
        <f ca="1">ROUND(T_Facebook_Ads115963[[#This Row],[clicks]]*RANDBETWEEN(8,12)/10,0)</f>
        <v>178</v>
      </c>
      <c r="AZ47">
        <f ca="1">T_Facebook_Ads115963[[#This Row],[spend]]*RANDBETWEEN(8,12)/10</f>
        <v>104.148</v>
      </c>
      <c r="BA47">
        <f ca="1">ROUND(T_Facebook_Ads115963[[#This Row],[conversions]]*RANDBETWEEN(8,12)/10,0)</f>
        <v>4</v>
      </c>
      <c r="BB47">
        <f ca="1">ROUND(T_Facebook_Ads115963[[#This Row],[video_views]]*RANDBETWEEN(8,12)/10,0)</f>
        <v>32454</v>
      </c>
    </row>
    <row r="48" spans="1:54" ht="15.75" thickBot="1" x14ac:dyDescent="0.3">
      <c r="A48" s="3">
        <f t="shared" ca="1" si="5"/>
        <v>45000</v>
      </c>
      <c r="B48" s="4" t="s">
        <v>52</v>
      </c>
      <c r="C48" s="4" t="s">
        <v>53</v>
      </c>
      <c r="D48" s="4" t="s">
        <v>54</v>
      </c>
      <c r="E48" s="4" t="s">
        <v>55</v>
      </c>
      <c r="F48" s="4">
        <f ca="1">ROUND(T_Facebook_Ads[[#This Row],[impressions]]*RANDBETWEEN(8,12)/10,0)</f>
        <v>46789</v>
      </c>
      <c r="G48" s="4">
        <v>934</v>
      </c>
      <c r="H48" s="4">
        <f ca="1">T_Facebook_Ads[[#This Row],[spend]]*RANDBETWEEN(8,12)/10</f>
        <v>158.88000000000002</v>
      </c>
      <c r="I48" s="4">
        <f ca="1">ROUND(T_Facebook_Ads[[#This Row],[conversions]]*RANDBETWEEN(8,12)/10,0)</f>
        <v>13</v>
      </c>
      <c r="J48" s="4">
        <f ca="1">ROUND(T_Facebook_Ads[[#This Row],[video_views]]*RANDBETWEEN(8,12)/10,0)</f>
        <v>6854</v>
      </c>
      <c r="K48" s="4">
        <f ca="1">T_Facebook_Ads[[#This Row],[engagement_rate]]*RANDBETWEEN(8,12)/10</f>
        <v>0.02</v>
      </c>
      <c r="L48" s="4">
        <f ca="1">ROUND(T_Facebook_Ads[[#This Row],[reach]]*RANDBETWEEN(8,12)/10,0)</f>
        <v>31387</v>
      </c>
      <c r="M48" s="4">
        <f ca="1">T_Facebook_Ads[[#This Row],[frequency]]*RANDBETWEEN(8,12)/10</f>
        <v>0.95199999999999996</v>
      </c>
      <c r="O48" s="3">
        <f t="shared" ca="1" si="6"/>
        <v>44987</v>
      </c>
      <c r="P48" s="4" t="s">
        <v>76</v>
      </c>
      <c r="Q48" s="4" t="s">
        <v>77</v>
      </c>
      <c r="R48" s="4" t="s">
        <v>78</v>
      </c>
      <c r="S48" s="4" t="s">
        <v>79</v>
      </c>
      <c r="T48" s="4">
        <f ca="1">ROUND(_Google_ads[[#This Row],[impressions]]*RANDBETWEEN(8,12)/10,0)</f>
        <v>23890</v>
      </c>
      <c r="U48" s="4">
        <f ca="1">ROUND(_Google_ads[[#This Row],[clicks]]*RANDBETWEEN(8,12)/10,0)</f>
        <v>1234</v>
      </c>
      <c r="V48" s="4">
        <f ca="1">_Google_ads[[#This Row],[cost]]*RANDBETWEEN(8,12)/10</f>
        <v>212.04000000000002</v>
      </c>
      <c r="W48" s="4">
        <f ca="1">ROUND(_Google_ads[[#This Row],[conversions]]*RANDBETWEEN(8,12)/10,0)</f>
        <v>41</v>
      </c>
      <c r="X48" s="4">
        <f ca="1">ROUND(_Google_ads[[#This Row],[conversion_value]]*RANDBETWEEN(8,12)/10,0)</f>
        <v>2070</v>
      </c>
      <c r="Y48" s="4">
        <f ca="1">_Google_ads[[#This Row],[ctr]]*RANDBETWEEN(8,12)/10</f>
        <v>5.6869999999999997E-2</v>
      </c>
      <c r="Z48" s="4">
        <f ca="1">_Google_ads[[#This Row],[avg_cpc]]*RANDBETWEEN(8,12)/10</f>
        <v>0.19</v>
      </c>
      <c r="AA48" s="4">
        <f ca="1">ROUND(_Google_ads[[#This Row],[quality_score]]*RANDBETWEEN(8,12)/10,0)</f>
        <v>8</v>
      </c>
      <c r="AB48" s="4">
        <f ca="1">_Google_ads[[#This Row],[search_impression_share]]*RANDBETWEEN(8,12)/10</f>
        <v>0.72799999999999998</v>
      </c>
      <c r="AD48" s="3">
        <f t="shared" ca="1" si="7"/>
        <v>44993</v>
      </c>
      <c r="AE48" s="4" t="s">
        <v>100</v>
      </c>
      <c r="AF48" s="4" t="s">
        <v>101</v>
      </c>
      <c r="AG48" s="4" t="s">
        <v>102</v>
      </c>
      <c r="AH48" s="4" t="s">
        <v>103</v>
      </c>
      <c r="AI48" s="4">
        <f ca="1">ROUND(T_Tiktok_ads[[#This Row],[impressions]]*RANDBETWEEN(8,12)/10,0)</f>
        <v>296147</v>
      </c>
      <c r="AJ48" s="4">
        <f ca="1">ROUND(T_Tiktok_ads[[#This Row],[clicks]]*RANDBETWEEN(8,12)/10,0)</f>
        <v>4046</v>
      </c>
      <c r="AK48" s="4">
        <v>478.9</v>
      </c>
      <c r="AL48" s="4">
        <f ca="1">ROUND(T_Tiktok_ads[[#This Row],[conversions]]*RANDBETWEEN(8,12)/10,0)</f>
        <v>43</v>
      </c>
      <c r="AM48" s="4">
        <f ca="1">ROUND(T_Tiktok_ads[[#This Row],[video_views]]*RANDBETWEEN(8,12)/10,0)</f>
        <v>207345</v>
      </c>
      <c r="AN48" s="4">
        <f ca="1">ROUND(T_Tiktok_ads[[#This Row],[video_watch_25]]*RANDBETWEEN(8,12)/10,0)</f>
        <v>179802</v>
      </c>
      <c r="AO48" s="4">
        <f ca="1">ROUND(T_Tiktok_ads[[#This Row],[video_watch_50]]*RANDBETWEEN(8,12)/10,0)</f>
        <v>92111</v>
      </c>
      <c r="AP48" s="4">
        <f ca="1">ROUND(T_Tiktok_ads[[#This Row],[video_watch_75]]*RANDBETWEEN(8,12)/10,0)</f>
        <v>77257</v>
      </c>
      <c r="AQ48" s="4">
        <f ca="1">ROUND(T_Tiktok_ads[[#This Row],[video_watch_100]]*RANDBETWEEN(8,12)/10,0)</f>
        <v>47234</v>
      </c>
      <c r="AR48" s="4">
        <f ca="1">ROUND(T_Tiktok_ads[[#This Row],[likes]]*RANDBETWEEN(8,12)/10,0)</f>
        <v>7387</v>
      </c>
      <c r="AS48" s="4">
        <f ca="1">ROUND(T_Tiktok_ads[[#This Row],[shares]]*RANDBETWEEN(8,12)/10,0)</f>
        <v>2702</v>
      </c>
      <c r="AT48" s="4">
        <f ca="1">ROUND(T_Tiktok_ads[[#This Row],[comments]]*RANDBETWEEN(8,12)/10,0)</f>
        <v>471</v>
      </c>
      <c r="AV48" s="5">
        <f t="shared" ca="1" si="8"/>
        <v>45015</v>
      </c>
      <c r="AW48">
        <f t="shared" ca="1" si="4"/>
        <v>6</v>
      </c>
      <c r="AX48">
        <f ca="1">ROUND(T_Facebook_Ads115963[[#This Row],[impressions]]*RANDBETWEEN(8,12)/10,0)</f>
        <v>37431</v>
      </c>
      <c r="AY48">
        <f ca="1">ROUND(T_Facebook_Ads115963[[#This Row],[clicks]]*RANDBETWEEN(8,12)/10,0)</f>
        <v>1027</v>
      </c>
      <c r="AZ48">
        <f ca="1">T_Facebook_Ads115963[[#This Row],[spend]]*RANDBETWEEN(8,12)/10</f>
        <v>158.88000000000002</v>
      </c>
      <c r="BA48">
        <f ca="1">ROUND(T_Facebook_Ads115963[[#This Row],[conversions]]*RANDBETWEEN(8,12)/10,0)</f>
        <v>10</v>
      </c>
      <c r="BB48">
        <f ca="1">ROUND(T_Facebook_Ads115963[[#This Row],[video_views]]*RANDBETWEEN(8,12)/10,0)</f>
        <v>8225</v>
      </c>
    </row>
    <row r="49" spans="1:54" ht="15.75" thickBot="1" x14ac:dyDescent="0.3">
      <c r="A49" s="3">
        <f t="shared" ca="1" si="5"/>
        <v>45006</v>
      </c>
      <c r="B49" s="4" t="s">
        <v>56</v>
      </c>
      <c r="C49" s="4" t="s">
        <v>57</v>
      </c>
      <c r="D49" s="4" t="s">
        <v>58</v>
      </c>
      <c r="E49" s="4" t="s">
        <v>59</v>
      </c>
      <c r="F49" s="4">
        <f ca="1">ROUND(T_Facebook_Ads[[#This Row],[impressions]]*RANDBETWEEN(8,12)/10,0)</f>
        <v>12890</v>
      </c>
      <c r="G49" s="4">
        <v>567</v>
      </c>
      <c r="H49" s="4">
        <f ca="1">T_Facebook_Ads[[#This Row],[spend]]*RANDBETWEEN(8,12)/10</f>
        <v>243.43</v>
      </c>
      <c r="I49" s="4">
        <f ca="1">ROUND(T_Facebook_Ads[[#This Row],[conversions]]*RANDBETWEEN(8,12)/10,0)</f>
        <v>33</v>
      </c>
      <c r="J49" s="4">
        <f ca="1">ROUND(T_Facebook_Ads[[#This Row],[video_views]]*RANDBETWEEN(8,12)/10,0)</f>
        <v>1211</v>
      </c>
      <c r="K49" s="4">
        <f ca="1">T_Facebook_Ads[[#This Row],[engagement_rate]]*RANDBETWEEN(8,12)/10</f>
        <v>3.5199999999999995E-2</v>
      </c>
      <c r="L49" s="4">
        <f ca="1">ROUND(T_Facebook_Ads[[#This Row],[reach]]*RANDBETWEEN(8,12)/10,0)</f>
        <v>8098</v>
      </c>
      <c r="M49" s="4">
        <f ca="1">T_Facebook_Ads[[#This Row],[frequency]]*RANDBETWEEN(8,12)/10</f>
        <v>1.27</v>
      </c>
      <c r="O49" s="3">
        <f t="shared" ca="1" si="6"/>
        <v>44989</v>
      </c>
      <c r="P49" s="4" t="s">
        <v>80</v>
      </c>
      <c r="Q49" s="4" t="s">
        <v>81</v>
      </c>
      <c r="R49" s="4" t="s">
        <v>82</v>
      </c>
      <c r="S49" s="4" t="s">
        <v>83</v>
      </c>
      <c r="T49" s="4">
        <f ca="1">ROUND(_Google_ads[[#This Row],[impressions]]*RANDBETWEEN(8,12)/10,0)</f>
        <v>48168</v>
      </c>
      <c r="U49" s="4">
        <f ca="1">ROUND(_Google_ads[[#This Row],[clicks]]*RANDBETWEEN(8,12)/10,0)</f>
        <v>685</v>
      </c>
      <c r="V49" s="4">
        <f ca="1">_Google_ads[[#This Row],[cost]]*RANDBETWEEN(8,12)/10</f>
        <v>448.71999999999997</v>
      </c>
      <c r="W49" s="4">
        <f ca="1">ROUND(_Google_ads[[#This Row],[conversions]]*RANDBETWEEN(8,12)/10,0)</f>
        <v>26</v>
      </c>
      <c r="X49" s="4">
        <f ca="1">ROUND(_Google_ads[[#This Row],[conversion_value]]*RANDBETWEEN(8,12)/10,0)</f>
        <v>1100</v>
      </c>
      <c r="Y49" s="4">
        <f ca="1">_Google_ads[[#This Row],[ctr]]*RANDBETWEEN(8,12)/10</f>
        <v>1.755E-2</v>
      </c>
      <c r="Z49" s="4">
        <f ca="1">_Google_ads[[#This Row],[avg_cpc]]*RANDBETWEEN(8,12)/10</f>
        <v>0.66</v>
      </c>
      <c r="AA49" s="4">
        <f ca="1">ROUND(_Google_ads[[#This Row],[quality_score]]*RANDBETWEEN(8,12)/10,0)</f>
        <v>8</v>
      </c>
      <c r="AB49" s="4">
        <f ca="1">_Google_ads[[#This Row],[search_impression_share]]*RANDBETWEEN(8,12)/10</f>
        <v>0.44000000000000006</v>
      </c>
      <c r="AD49" s="3">
        <f t="shared" ca="1" si="7"/>
        <v>45004</v>
      </c>
      <c r="AE49" s="4" t="s">
        <v>104</v>
      </c>
      <c r="AF49" s="4" t="s">
        <v>105</v>
      </c>
      <c r="AG49" s="4" t="s">
        <v>106</v>
      </c>
      <c r="AH49" s="4" t="s">
        <v>107</v>
      </c>
      <c r="AI49" s="4">
        <f ca="1">ROUND(T_Tiktok_ads[[#This Row],[impressions]]*RANDBETWEEN(8,12)/10,0)</f>
        <v>156580</v>
      </c>
      <c r="AJ49" s="4">
        <f ca="1">ROUND(T_Tiktok_ads[[#This Row],[clicks]]*RANDBETWEEN(8,12)/10,0)</f>
        <v>2678</v>
      </c>
      <c r="AK49" s="4">
        <v>734.5</v>
      </c>
      <c r="AL49" s="4">
        <f ca="1">ROUND(T_Tiktok_ads[[#This Row],[conversions]]*RANDBETWEEN(8,12)/10,0)</f>
        <v>58</v>
      </c>
      <c r="AM49" s="4">
        <f ca="1">ROUND(T_Tiktok_ads[[#This Row],[video_views]]*RANDBETWEEN(8,12)/10,0)</f>
        <v>107679</v>
      </c>
      <c r="AN49" s="4">
        <f ca="1">ROUND(T_Tiktok_ads[[#This Row],[video_watch_25]]*RANDBETWEEN(8,12)/10,0)</f>
        <v>86814</v>
      </c>
      <c r="AO49" s="4">
        <f ca="1">ROUND(T_Tiktok_ads[[#This Row],[video_watch_50]]*RANDBETWEEN(8,12)/10,0)</f>
        <v>44011</v>
      </c>
      <c r="AP49" s="4">
        <f ca="1">ROUND(T_Tiktok_ads[[#This Row],[video_watch_75]]*RANDBETWEEN(8,12)/10,0)</f>
        <v>44147</v>
      </c>
      <c r="AQ49" s="4">
        <f ca="1">ROUND(T_Tiktok_ads[[#This Row],[video_watch_100]]*RANDBETWEEN(8,12)/10,0)</f>
        <v>29868</v>
      </c>
      <c r="AR49" s="4">
        <f ca="1">ROUND(T_Tiktok_ads[[#This Row],[likes]]*RANDBETWEEN(8,12)/10,0)</f>
        <v>5391</v>
      </c>
      <c r="AS49" s="4">
        <f ca="1">ROUND(T_Tiktok_ads[[#This Row],[shares]]*RANDBETWEEN(8,12)/10,0)</f>
        <v>1220</v>
      </c>
      <c r="AT49" s="4">
        <f ca="1">ROUND(T_Tiktok_ads[[#This Row],[comments]]*RANDBETWEEN(8,12)/10,0)</f>
        <v>282</v>
      </c>
      <c r="AV49" s="5">
        <f t="shared" ca="1" si="8"/>
        <v>44997</v>
      </c>
      <c r="AW49">
        <f t="shared" ca="1" si="4"/>
        <v>4</v>
      </c>
      <c r="AX49">
        <f ca="1">ROUND(T_Facebook_Ads115963[[#This Row],[impressions]]*RANDBETWEEN(8,12)/10,0)</f>
        <v>10312</v>
      </c>
      <c r="AY49">
        <f ca="1">ROUND(T_Facebook_Ads115963[[#This Row],[clicks]]*RANDBETWEEN(8,12)/10,0)</f>
        <v>680</v>
      </c>
      <c r="AZ49">
        <f ca="1">T_Facebook_Ads115963[[#This Row],[spend]]*RANDBETWEEN(8,12)/10</f>
        <v>243.43</v>
      </c>
      <c r="BA49">
        <f ca="1">ROUND(T_Facebook_Ads115963[[#This Row],[conversions]]*RANDBETWEEN(8,12)/10,0)</f>
        <v>40</v>
      </c>
      <c r="BB49">
        <f ca="1">ROUND(T_Facebook_Ads115963[[#This Row],[video_views]]*RANDBETWEEN(8,12)/10,0)</f>
        <v>1332</v>
      </c>
    </row>
    <row r="50" spans="1:54" ht="15.75" thickBot="1" x14ac:dyDescent="0.3">
      <c r="A50" s="3">
        <f t="shared" ca="1" si="5"/>
        <v>44992</v>
      </c>
      <c r="B50" s="4" t="s">
        <v>60</v>
      </c>
      <c r="C50" s="4" t="s">
        <v>61</v>
      </c>
      <c r="D50" s="4" t="s">
        <v>62</v>
      </c>
      <c r="E50" s="4" t="s">
        <v>63</v>
      </c>
      <c r="F50" s="4">
        <f ca="1">ROUND(T_Facebook_Ads[[#This Row],[impressions]]*RANDBETWEEN(8,12)/10,0)</f>
        <v>28542</v>
      </c>
      <c r="G50" s="4">
        <v>1289</v>
      </c>
      <c r="H50" s="4">
        <f ca="1">T_Facebook_Ads[[#This Row],[spend]]*RANDBETWEEN(8,12)/10</f>
        <v>235.92</v>
      </c>
      <c r="I50" s="4">
        <f ca="1">ROUND(T_Facebook_Ads[[#This Row],[conversions]]*RANDBETWEEN(8,12)/10,0)</f>
        <v>20</v>
      </c>
      <c r="J50" s="4">
        <f ca="1">ROUND(T_Facebook_Ads[[#This Row],[video_views]]*RANDBETWEEN(8,12)/10,0)</f>
        <v>4210</v>
      </c>
      <c r="K50" s="4">
        <f ca="1">T_Facebook_Ads[[#This Row],[engagement_rate]]*RANDBETWEEN(8,12)/10</f>
        <v>3.61E-2</v>
      </c>
      <c r="L50" s="4">
        <f ca="1">ROUND(T_Facebook_Ads[[#This Row],[reach]]*RANDBETWEEN(8,12)/10,0)</f>
        <v>26411</v>
      </c>
      <c r="M50" s="4">
        <f ca="1">T_Facebook_Ads[[#This Row],[frequency]]*RANDBETWEEN(8,12)/10</f>
        <v>1.464</v>
      </c>
      <c r="O50" s="3">
        <f t="shared" ca="1" si="6"/>
        <v>45011</v>
      </c>
      <c r="P50" s="4" t="s">
        <v>84</v>
      </c>
      <c r="Q50" s="4" t="s">
        <v>85</v>
      </c>
      <c r="R50" s="4" t="s">
        <v>86</v>
      </c>
      <c r="S50" s="4" t="s">
        <v>87</v>
      </c>
      <c r="T50" s="4">
        <f ca="1">ROUND(_Google_ads[[#This Row],[impressions]]*RANDBETWEEN(8,12)/10,0)</f>
        <v>80681</v>
      </c>
      <c r="U50" s="4">
        <f ca="1">ROUND(_Google_ads[[#This Row],[clicks]]*RANDBETWEEN(8,12)/10,0)</f>
        <v>2457</v>
      </c>
      <c r="V50" s="4">
        <f ca="1">_Google_ads[[#This Row],[cost]]*RANDBETWEEN(8,12)/10</f>
        <v>494.03999999999996</v>
      </c>
      <c r="W50" s="4">
        <f ca="1">ROUND(_Google_ads[[#This Row],[conversions]]*RANDBETWEEN(8,12)/10,0)</f>
        <v>72</v>
      </c>
      <c r="X50" s="4">
        <f ca="1">ROUND(_Google_ads[[#This Row],[conversion_value]]*RANDBETWEEN(8,12)/10,0)</f>
        <v>3250</v>
      </c>
      <c r="Y50" s="4">
        <f ca="1">_Google_ads[[#This Row],[ctr]]*RANDBETWEEN(8,12)/10</f>
        <v>3.32E-2</v>
      </c>
      <c r="Z50" s="4">
        <f ca="1">_Google_ads[[#This Row],[avg_cpc]]*RANDBETWEEN(8,12)/10</f>
        <v>0.19800000000000001</v>
      </c>
      <c r="AA50" s="4">
        <f ca="1">ROUND(_Google_ads[[#This Row],[quality_score]]*RANDBETWEEN(8,12)/10,0)</f>
        <v>10</v>
      </c>
      <c r="AB50" s="4">
        <f ca="1">_Google_ads[[#This Row],[search_impression_share]]*RANDBETWEEN(8,12)/10</f>
        <v>0.79200000000000004</v>
      </c>
      <c r="AD50" s="3">
        <f t="shared" ca="1" si="7"/>
        <v>44995</v>
      </c>
      <c r="AE50" s="4" t="s">
        <v>108</v>
      </c>
      <c r="AF50" s="4" t="s">
        <v>109</v>
      </c>
      <c r="AG50" s="4" t="s">
        <v>110</v>
      </c>
      <c r="AH50" s="4" t="s">
        <v>111</v>
      </c>
      <c r="AI50" s="4">
        <f ca="1">ROUND(T_Tiktok_ads[[#This Row],[impressions]]*RANDBETWEEN(8,12)/10,0)</f>
        <v>169876</v>
      </c>
      <c r="AJ50" s="4">
        <f ca="1">ROUND(T_Tiktok_ads[[#This Row],[clicks]]*RANDBETWEEN(8,12)/10,0)</f>
        <v>3011</v>
      </c>
      <c r="AK50" s="4">
        <v>401.1</v>
      </c>
      <c r="AL50" s="4">
        <f ca="1">ROUND(T_Tiktok_ads[[#This Row],[conversions]]*RANDBETWEEN(8,12)/10,0)</f>
        <v>34</v>
      </c>
      <c r="AM50" s="4">
        <f ca="1">ROUND(T_Tiktok_ads[[#This Row],[video_views]]*RANDBETWEEN(8,12)/10,0)</f>
        <v>201468</v>
      </c>
      <c r="AN50" s="4">
        <f ca="1">ROUND(T_Tiktok_ads[[#This Row],[video_watch_25]]*RANDBETWEEN(8,12)/10,0)</f>
        <v>115411</v>
      </c>
      <c r="AO50" s="4">
        <f ca="1">ROUND(T_Tiktok_ads[[#This Row],[video_watch_50]]*RANDBETWEEN(8,12)/10,0)</f>
        <v>91111</v>
      </c>
      <c r="AP50" s="4">
        <f ca="1">ROUND(T_Tiktok_ads[[#This Row],[video_watch_75]]*RANDBETWEEN(8,12)/10,0)</f>
        <v>71757</v>
      </c>
      <c r="AQ50" s="4">
        <f ca="1">ROUND(T_Tiktok_ads[[#This Row],[video_watch_100]]*RANDBETWEEN(8,12)/10,0)</f>
        <v>35510</v>
      </c>
      <c r="AR50" s="4">
        <f ca="1">ROUND(T_Tiktok_ads[[#This Row],[likes]]*RANDBETWEEN(8,12)/10,0)</f>
        <v>8568</v>
      </c>
      <c r="AS50" s="4">
        <f ca="1">ROUND(T_Tiktok_ads[[#This Row],[shares]]*RANDBETWEEN(8,12)/10,0)</f>
        <v>2145</v>
      </c>
      <c r="AT50" s="4">
        <f ca="1">ROUND(T_Tiktok_ads[[#This Row],[comments]]*RANDBETWEEN(8,12)/10,0)</f>
        <v>563</v>
      </c>
      <c r="AV50" s="5">
        <f t="shared" ca="1" si="8"/>
        <v>45003</v>
      </c>
      <c r="AW50">
        <f t="shared" ca="1" si="4"/>
        <v>3</v>
      </c>
      <c r="AX50">
        <f ca="1">ROUND(T_Facebook_Ads115963[[#This Row],[impressions]]*RANDBETWEEN(8,12)/10,0)</f>
        <v>31396</v>
      </c>
      <c r="AY50">
        <f ca="1">ROUND(T_Facebook_Ads115963[[#This Row],[clicks]]*RANDBETWEEN(8,12)/10,0)</f>
        <v>1289</v>
      </c>
      <c r="AZ50">
        <f ca="1">T_Facebook_Ads115963[[#This Row],[spend]]*RANDBETWEEN(8,12)/10</f>
        <v>188.73599999999999</v>
      </c>
      <c r="BA50">
        <f ca="1">ROUND(T_Facebook_Ads115963[[#This Row],[conversions]]*RANDBETWEEN(8,12)/10,0)</f>
        <v>24</v>
      </c>
      <c r="BB50">
        <f ca="1">ROUND(T_Facebook_Ads115963[[#This Row],[video_views]]*RANDBETWEEN(8,12)/10,0)</f>
        <v>3368</v>
      </c>
    </row>
    <row r="51" spans="1:54" ht="15.75" thickBot="1" x14ac:dyDescent="0.3">
      <c r="A51" s="3">
        <f t="shared" ca="1" si="5"/>
        <v>44997</v>
      </c>
      <c r="B51" s="4" t="s">
        <v>64</v>
      </c>
      <c r="C51" s="4" t="s">
        <v>65</v>
      </c>
      <c r="D51" s="4" t="s">
        <v>66</v>
      </c>
      <c r="E51" s="4" t="s">
        <v>67</v>
      </c>
      <c r="F51" s="4">
        <f ca="1">ROUND(T_Facebook_Ads[[#This Row],[impressions]]*RANDBETWEEN(8,12)/10,0)</f>
        <v>68456</v>
      </c>
      <c r="G51" s="4">
        <v>248</v>
      </c>
      <c r="H51" s="4">
        <f ca="1">T_Facebook_Ads[[#This Row],[spend]]*RANDBETWEEN(8,12)/10</f>
        <v>96.359999999999985</v>
      </c>
      <c r="I51" s="4">
        <f ca="1">ROUND(T_Facebook_Ads[[#This Row],[conversions]]*RANDBETWEEN(8,12)/10,0)</f>
        <v>6</v>
      </c>
      <c r="J51" s="4">
        <f ca="1">ROUND(T_Facebook_Ads[[#This Row],[video_views]]*RANDBETWEEN(8,12)/10,0)</f>
        <v>36987</v>
      </c>
      <c r="K51" s="4">
        <f ca="1">T_Facebook_Ads[[#This Row],[engagement_rate]]*RANDBETWEEN(8,12)/10</f>
        <v>4.3200000000000001E-3</v>
      </c>
      <c r="L51" s="4">
        <f ca="1">ROUND(T_Facebook_Ads[[#This Row],[reach]]*RANDBETWEEN(8,12)/10,0)</f>
        <v>68147</v>
      </c>
      <c r="M51" s="4">
        <f ca="1">T_Facebook_Ads[[#This Row],[frequency]]*RANDBETWEEN(8,12)/10</f>
        <v>1.331</v>
      </c>
      <c r="O51" s="3">
        <f t="shared" ca="1" si="6"/>
        <v>45015</v>
      </c>
      <c r="P51" s="4" t="s">
        <v>88</v>
      </c>
      <c r="Q51" s="4" t="s">
        <v>89</v>
      </c>
      <c r="R51" s="4" t="s">
        <v>90</v>
      </c>
      <c r="S51" s="4" t="s">
        <v>59</v>
      </c>
      <c r="T51" s="4">
        <f ca="1">ROUND(_Google_ads[[#This Row],[impressions]]*RANDBETWEEN(8,12)/10,0)</f>
        <v>116011</v>
      </c>
      <c r="U51" s="4">
        <f ca="1">ROUND(_Google_ads[[#This Row],[clicks]]*RANDBETWEEN(8,12)/10,0)</f>
        <v>514</v>
      </c>
      <c r="V51" s="4">
        <f ca="1">_Google_ads[[#This Row],[cost]]*RANDBETWEEN(8,12)/10</f>
        <v>114.03</v>
      </c>
      <c r="W51" s="4">
        <f ca="1">ROUND(_Google_ads[[#This Row],[conversions]]*RANDBETWEEN(8,12)/10,0)</f>
        <v>13</v>
      </c>
      <c r="X51" s="4">
        <f ca="1">ROUND(_Google_ads[[#This Row],[conversion_value]]*RANDBETWEEN(8,12)/10,0)</f>
        <v>585</v>
      </c>
      <c r="Y51" s="4">
        <f ca="1">_Google_ads[[#This Row],[ctr]]*RANDBETWEEN(8,12)/10</f>
        <v>4.3200000000000001E-3</v>
      </c>
      <c r="Z51" s="4">
        <f ca="1">_Google_ads[[#This Row],[avg_cpc]]*RANDBETWEEN(8,12)/10</f>
        <v>0.27</v>
      </c>
      <c r="AA51" s="4">
        <f ca="1">ROUND(_Google_ads[[#This Row],[quality_score]]*RANDBETWEEN(8,12)/10,0)</f>
        <v>8</v>
      </c>
      <c r="AB51" s="4">
        <f ca="1">_Google_ads[[#This Row],[search_impression_share]]*RANDBETWEEN(8,12)/10</f>
        <v>0.27200000000000002</v>
      </c>
      <c r="AD51" s="3">
        <f t="shared" ca="1" si="7"/>
        <v>44999</v>
      </c>
      <c r="AE51" s="4" t="s">
        <v>112</v>
      </c>
      <c r="AF51" s="4" t="s">
        <v>113</v>
      </c>
      <c r="AG51" s="4" t="s">
        <v>114</v>
      </c>
      <c r="AH51" s="4" t="s">
        <v>115</v>
      </c>
      <c r="AI51" s="4">
        <f ca="1">ROUND(T_Tiktok_ads[[#This Row],[impressions]]*RANDBETWEEN(8,12)/10,0)</f>
        <v>454681</v>
      </c>
      <c r="AJ51" s="4">
        <f ca="1">ROUND(T_Tiktok_ads[[#This Row],[clicks]]*RANDBETWEEN(8,12)/10,0)</f>
        <v>6123</v>
      </c>
      <c r="AK51" s="4">
        <v>945.6</v>
      </c>
      <c r="AL51" s="4">
        <f ca="1">ROUND(T_Tiktok_ads[[#This Row],[conversions]]*RANDBETWEEN(8,12)/10,0)</f>
        <v>106</v>
      </c>
      <c r="AM51" s="4">
        <f ca="1">ROUND(T_Tiktok_ads[[#This Row],[video_views]]*RANDBETWEEN(8,12)/10,0)</f>
        <v>343580</v>
      </c>
      <c r="AN51" s="4">
        <f ca="1">ROUND(T_Tiktok_ads[[#This Row],[video_watch_25]]*RANDBETWEEN(8,12)/10,0)</f>
        <v>251234</v>
      </c>
      <c r="AO51" s="4">
        <f ca="1">ROUND(T_Tiktok_ads[[#This Row],[video_watch_50]]*RANDBETWEEN(8,12)/10,0)</f>
        <v>181111</v>
      </c>
      <c r="AP51" s="4">
        <f ca="1">ROUND(T_Tiktok_ads[[#This Row],[video_watch_75]]*RANDBETWEEN(8,12)/10,0)</f>
        <v>157802</v>
      </c>
      <c r="AQ51" s="4">
        <f ca="1">ROUND(T_Tiktok_ads[[#This Row],[video_watch_100]]*RANDBETWEEN(8,12)/10,0)</f>
        <v>76187</v>
      </c>
      <c r="AR51" s="4">
        <f ca="1">ROUND(T_Tiktok_ads[[#This Row],[likes]]*RANDBETWEEN(8,12)/10,0)</f>
        <v>19880</v>
      </c>
      <c r="AS51" s="4">
        <f ca="1">ROUND(T_Tiktok_ads[[#This Row],[shares]]*RANDBETWEEN(8,12)/10,0)</f>
        <v>5788</v>
      </c>
      <c r="AT51" s="4">
        <f ca="1">ROUND(T_Tiktok_ads[[#This Row],[comments]]*RANDBETWEEN(8,12)/10,0)</f>
        <v>1443</v>
      </c>
      <c r="AV51" s="5">
        <f t="shared" ca="1" si="8"/>
        <v>45007</v>
      </c>
      <c r="AW51">
        <f t="shared" ca="1" si="4"/>
        <v>6</v>
      </c>
      <c r="AX51">
        <f ca="1">ROUND(T_Facebook_Ads115963[[#This Row],[impressions]]*RANDBETWEEN(8,12)/10,0)</f>
        <v>54765</v>
      </c>
      <c r="AY51">
        <f ca="1">ROUND(T_Facebook_Ads115963[[#This Row],[clicks]]*RANDBETWEEN(8,12)/10,0)</f>
        <v>198</v>
      </c>
      <c r="AZ51">
        <f ca="1">T_Facebook_Ads115963[[#This Row],[spend]]*RANDBETWEEN(8,12)/10</f>
        <v>115.63199999999998</v>
      </c>
      <c r="BA51">
        <f ca="1">ROUND(T_Facebook_Ads115963[[#This Row],[conversions]]*RANDBETWEEN(8,12)/10,0)</f>
        <v>5</v>
      </c>
      <c r="BB51">
        <f ca="1">ROUND(T_Facebook_Ads115963[[#This Row],[video_views]]*RANDBETWEEN(8,12)/10,0)</f>
        <v>36987</v>
      </c>
    </row>
    <row r="52" spans="1:54" ht="15.75" thickBot="1" x14ac:dyDescent="0.3">
      <c r="A52" s="3">
        <f t="shared" ca="1" si="5"/>
        <v>45005</v>
      </c>
      <c r="B52" s="4" t="s">
        <v>52</v>
      </c>
      <c r="C52" s="4" t="s">
        <v>53</v>
      </c>
      <c r="D52" s="4" t="s">
        <v>54</v>
      </c>
      <c r="E52" s="4" t="s">
        <v>55</v>
      </c>
      <c r="F52" s="4">
        <f ca="1">ROUND(T_Facebook_Ads[[#This Row],[impressions]]*RANDBETWEEN(8,12)/10,0)</f>
        <v>60281</v>
      </c>
      <c r="G52" s="4">
        <v>1023</v>
      </c>
      <c r="H52" s="4">
        <f ca="1">T_Facebook_Ads[[#This Row],[spend]]*RANDBETWEEN(8,12)/10</f>
        <v>158.18</v>
      </c>
      <c r="I52" s="4">
        <f ca="1">ROUND(T_Facebook_Ads[[#This Row],[conversions]]*RANDBETWEEN(8,12)/10,0)</f>
        <v>16</v>
      </c>
      <c r="J52" s="4">
        <f ca="1">ROUND(T_Facebook_Ads[[#This Row],[video_views]]*RANDBETWEEN(8,12)/10,0)</f>
        <v>11081</v>
      </c>
      <c r="K52" s="4">
        <f ca="1">T_Facebook_Ads[[#This Row],[engagement_rate]]*RANDBETWEEN(8,12)/10</f>
        <v>2.0400000000000001E-2</v>
      </c>
      <c r="L52" s="4">
        <f ca="1">ROUND(T_Facebook_Ads[[#This Row],[reach]]*RANDBETWEEN(8,12)/10,0)</f>
        <v>50814</v>
      </c>
      <c r="M52" s="4">
        <f ca="1">T_Facebook_Ads[[#This Row],[frequency]]*RANDBETWEEN(8,12)/10</f>
        <v>1.19</v>
      </c>
      <c r="O52" s="3">
        <f t="shared" ca="1" si="6"/>
        <v>44992</v>
      </c>
      <c r="P52" s="4" t="s">
        <v>76</v>
      </c>
      <c r="Q52" s="4" t="s">
        <v>77</v>
      </c>
      <c r="R52" s="4" t="s">
        <v>78</v>
      </c>
      <c r="S52" s="4" t="s">
        <v>79</v>
      </c>
      <c r="T52" s="4">
        <f ca="1">ROUND(_Google_ads[[#This Row],[impressions]]*RANDBETWEEN(8,12)/10,0)</f>
        <v>25456</v>
      </c>
      <c r="U52" s="4">
        <f ca="1">ROUND(_Google_ads[[#This Row],[clicks]]*RANDBETWEEN(8,12)/10,0)</f>
        <v>1480</v>
      </c>
      <c r="V52" s="4">
        <f ca="1">_Google_ads[[#This Row],[cost]]*RANDBETWEEN(8,12)/10</f>
        <v>231.57000000000002</v>
      </c>
      <c r="W52" s="4">
        <f ca="1">ROUND(_Google_ads[[#This Row],[conversions]]*RANDBETWEEN(8,12)/10,0)</f>
        <v>56</v>
      </c>
      <c r="X52" s="4">
        <f ca="1">ROUND(_Google_ads[[#This Row],[conversion_value]]*RANDBETWEEN(8,12)/10,0)</f>
        <v>2295</v>
      </c>
      <c r="Y52" s="4">
        <f ca="1">_Google_ads[[#This Row],[ctr]]*RANDBETWEEN(8,12)/10</f>
        <v>4.752E-2</v>
      </c>
      <c r="Z52" s="4">
        <f ca="1">_Google_ads[[#This Row],[avg_cpc]]*RANDBETWEEN(8,12)/10</f>
        <v>0.22800000000000004</v>
      </c>
      <c r="AA52" s="4">
        <f ca="1">ROUND(_Google_ads[[#This Row],[quality_score]]*RANDBETWEEN(8,12)/10,0)</f>
        <v>10</v>
      </c>
      <c r="AB52" s="4">
        <f ca="1">_Google_ads[[#This Row],[search_impression_share]]*RANDBETWEEN(8,12)/10</f>
        <v>0.73599999999999999</v>
      </c>
      <c r="AD52" s="3">
        <f t="shared" ca="1" si="7"/>
        <v>44991</v>
      </c>
      <c r="AE52" s="4" t="s">
        <v>100</v>
      </c>
      <c r="AF52" s="4" t="s">
        <v>101</v>
      </c>
      <c r="AG52" s="4" t="s">
        <v>102</v>
      </c>
      <c r="AH52" s="4" t="s">
        <v>103</v>
      </c>
      <c r="AI52" s="4">
        <f ca="1">ROUND(T_Tiktok_ads[[#This Row],[impressions]]*RANDBETWEEN(8,12)/10,0)</f>
        <v>346814</v>
      </c>
      <c r="AJ52" s="4">
        <f ca="1">ROUND(T_Tiktok_ads[[#This Row],[clicks]]*RANDBETWEEN(8,12)/10,0)</f>
        <v>3387</v>
      </c>
      <c r="AK52" s="4">
        <v>556.70000000000005</v>
      </c>
      <c r="AL52" s="4">
        <f ca="1">ROUND(T_Tiktok_ads[[#This Row],[conversions]]*RANDBETWEEN(8,12)/10,0)</f>
        <v>52</v>
      </c>
      <c r="AM52" s="4">
        <f ca="1">ROUND(T_Tiktok_ads[[#This Row],[video_views]]*RANDBETWEEN(8,12)/10,0)</f>
        <v>234567</v>
      </c>
      <c r="AN52" s="4">
        <f ca="1">ROUND(T_Tiktok_ads[[#This Row],[video_watch_25]]*RANDBETWEEN(8,12)/10,0)</f>
        <v>164111</v>
      </c>
      <c r="AO52" s="4">
        <f ca="1">ROUND(T_Tiktok_ads[[#This Row],[video_watch_50]]*RANDBETWEEN(8,12)/10,0)</f>
        <v>137480</v>
      </c>
      <c r="AP52" s="4">
        <f ca="1">ROUND(T_Tiktok_ads[[#This Row],[video_watch_75]]*RANDBETWEEN(8,12)/10,0)</f>
        <v>92681</v>
      </c>
      <c r="AQ52" s="4">
        <f ca="1">ROUND(T_Tiktok_ads[[#This Row],[video_watch_100]]*RANDBETWEEN(8,12)/10,0)</f>
        <v>61481</v>
      </c>
      <c r="AR52" s="4">
        <f ca="1">ROUND(T_Tiktok_ads[[#This Row],[likes]]*RANDBETWEEN(8,12)/10,0)</f>
        <v>11380</v>
      </c>
      <c r="AS52" s="4">
        <f ca="1">ROUND(T_Tiktok_ads[[#This Row],[shares]]*RANDBETWEEN(8,12)/10,0)</f>
        <v>3347</v>
      </c>
      <c r="AT52" s="4">
        <f ca="1">ROUND(T_Tiktok_ads[[#This Row],[comments]]*RANDBETWEEN(8,12)/10,0)</f>
        <v>590</v>
      </c>
      <c r="AV52" s="5">
        <f t="shared" ca="1" si="8"/>
        <v>44986</v>
      </c>
      <c r="AW52">
        <f t="shared" ca="1" si="4"/>
        <v>5</v>
      </c>
      <c r="AX52">
        <f ca="1">ROUND(T_Facebook_Ads115963[[#This Row],[impressions]]*RANDBETWEEN(8,12)/10,0)</f>
        <v>54253</v>
      </c>
      <c r="AY52">
        <f ca="1">ROUND(T_Facebook_Ads115963[[#This Row],[clicks]]*RANDBETWEEN(8,12)/10,0)</f>
        <v>818</v>
      </c>
      <c r="AZ52">
        <f ca="1">T_Facebook_Ads115963[[#This Row],[spend]]*RANDBETWEEN(8,12)/10</f>
        <v>126.54400000000001</v>
      </c>
      <c r="BA52">
        <f ca="1">ROUND(T_Facebook_Ads115963[[#This Row],[conversions]]*RANDBETWEEN(8,12)/10,0)</f>
        <v>18</v>
      </c>
      <c r="BB52">
        <f ca="1">ROUND(T_Facebook_Ads115963[[#This Row],[video_views]]*RANDBETWEEN(8,12)/10,0)</f>
        <v>11081</v>
      </c>
    </row>
    <row r="53" spans="1:54" ht="15.75" thickBot="1" x14ac:dyDescent="0.3">
      <c r="A53" s="3">
        <f t="shared" ca="1" si="5"/>
        <v>45001</v>
      </c>
      <c r="B53" s="4" t="s">
        <v>56</v>
      </c>
      <c r="C53" s="4" t="s">
        <v>57</v>
      </c>
      <c r="D53" s="4" t="s">
        <v>58</v>
      </c>
      <c r="E53" s="4" t="s">
        <v>59</v>
      </c>
      <c r="F53" s="4">
        <f ca="1">ROUND(T_Facebook_Ads[[#This Row],[impressions]]*RANDBETWEEN(8,12)/10,0)</f>
        <v>17081</v>
      </c>
      <c r="G53" s="4">
        <v>678</v>
      </c>
      <c r="H53" s="4">
        <f ca="1">T_Facebook_Ads[[#This Row],[spend]]*RANDBETWEEN(8,12)/10</f>
        <v>223.65</v>
      </c>
      <c r="I53" s="4">
        <f ca="1">ROUND(T_Facebook_Ads[[#This Row],[conversions]]*RANDBETWEEN(8,12)/10,0)</f>
        <v>42</v>
      </c>
      <c r="J53" s="4">
        <f ca="1">ROUND(T_Facebook_Ads[[#This Row],[video_views]]*RANDBETWEEN(8,12)/10,0)</f>
        <v>1567</v>
      </c>
      <c r="K53" s="4">
        <f ca="1">T_Facebook_Ads[[#This Row],[engagement_rate]]*RANDBETWEEN(8,12)/10</f>
        <v>3.8159999999999999E-2</v>
      </c>
      <c r="L53" s="4">
        <f ca="1">ROUND(T_Facebook_Ads[[#This Row],[reach]]*RANDBETWEEN(8,12)/10,0)</f>
        <v>8987</v>
      </c>
      <c r="M53" s="4">
        <f ca="1">T_Facebook_Ads[[#This Row],[frequency]]*RANDBETWEEN(8,12)/10</f>
        <v>1.143</v>
      </c>
      <c r="O53" s="3">
        <f t="shared" ca="1" si="6"/>
        <v>45008</v>
      </c>
      <c r="P53" s="4" t="s">
        <v>80</v>
      </c>
      <c r="Q53" s="4" t="s">
        <v>81</v>
      </c>
      <c r="R53" s="4" t="s">
        <v>82</v>
      </c>
      <c r="S53" s="4" t="s">
        <v>83</v>
      </c>
      <c r="T53" s="4">
        <f ca="1">ROUND(_Google_ads[[#This Row],[impressions]]*RANDBETWEEN(8,12)/10,0)</f>
        <v>50246</v>
      </c>
      <c r="U53" s="4">
        <f ca="1">ROUND(_Google_ads[[#This Row],[clicks]]*RANDBETWEEN(8,12)/10,0)</f>
        <v>721</v>
      </c>
      <c r="V53" s="4">
        <f ca="1">_Google_ads[[#This Row],[cost]]*RANDBETWEEN(8,12)/10</f>
        <v>584.5</v>
      </c>
      <c r="W53" s="4">
        <f ca="1">ROUND(_Google_ads[[#This Row],[conversions]]*RANDBETWEEN(8,12)/10,0)</f>
        <v>19</v>
      </c>
      <c r="X53" s="4">
        <f ca="1">ROUND(_Google_ads[[#This Row],[conversion_value]]*RANDBETWEEN(8,12)/10,0)</f>
        <v>1320</v>
      </c>
      <c r="Y53" s="4">
        <f ca="1">_Google_ads[[#This Row],[ctr]]*RANDBETWEEN(8,12)/10</f>
        <v>2.1669999999999998E-2</v>
      </c>
      <c r="Z53" s="4">
        <f ca="1">_Google_ads[[#This Row],[avg_cpc]]*RANDBETWEEN(8,12)/10</f>
        <v>0.78</v>
      </c>
      <c r="AA53" s="4">
        <f ca="1">ROUND(_Google_ads[[#This Row],[quality_score]]*RANDBETWEEN(8,12)/10,0)</f>
        <v>7</v>
      </c>
      <c r="AB53" s="4">
        <f ca="1">_Google_ads[[#This Row],[search_impression_share]]*RANDBETWEEN(8,12)/10</f>
        <v>0.36</v>
      </c>
      <c r="AD53" s="3">
        <f t="shared" ca="1" si="7"/>
        <v>45002</v>
      </c>
      <c r="AE53" s="4" t="s">
        <v>104</v>
      </c>
      <c r="AF53" s="4" t="s">
        <v>105</v>
      </c>
      <c r="AG53" s="4" t="s">
        <v>106</v>
      </c>
      <c r="AH53" s="4" t="s">
        <v>107</v>
      </c>
      <c r="AI53" s="4">
        <f ca="1">ROUND(T_Tiktok_ads[[#This Row],[impressions]]*RANDBETWEEN(8,12)/10,0)</f>
        <v>156789</v>
      </c>
      <c r="AJ53" s="4">
        <f ca="1">ROUND(T_Tiktok_ads[[#This Row],[clicks]]*RANDBETWEEN(8,12)/10,0)</f>
        <v>2410</v>
      </c>
      <c r="AK53" s="4">
        <v>812.3</v>
      </c>
      <c r="AL53" s="4">
        <f ca="1">ROUND(T_Tiktok_ads[[#This Row],[conversions]]*RANDBETWEEN(8,12)/10,0)</f>
        <v>90</v>
      </c>
      <c r="AM53" s="4">
        <f ca="1">ROUND(T_Tiktok_ads[[#This Row],[video_views]]*RANDBETWEEN(8,12)/10,0)</f>
        <v>109876</v>
      </c>
      <c r="AN53" s="4">
        <f ca="1">ROUND(T_Tiktok_ads[[#This Row],[video_watch_25]]*RANDBETWEEN(8,12)/10,0)</f>
        <v>81234</v>
      </c>
      <c r="AO53" s="4">
        <f ca="1">ROUND(T_Tiktok_ads[[#This Row],[video_watch_50]]*RANDBETWEEN(8,12)/10,0)</f>
        <v>43742</v>
      </c>
      <c r="AP53" s="4">
        <f ca="1">ROUND(T_Tiktok_ads[[#This Row],[video_watch_75]]*RANDBETWEEN(8,12)/10,0)</f>
        <v>37111</v>
      </c>
      <c r="AQ53" s="4">
        <f ca="1">ROUND(T_Tiktok_ads[[#This Row],[video_watch_100]]*RANDBETWEEN(8,12)/10,0)</f>
        <v>24810</v>
      </c>
      <c r="AR53" s="4">
        <f ca="1">ROUND(T_Tiktok_ads[[#This Row],[likes]]*RANDBETWEEN(8,12)/10,0)</f>
        <v>4365</v>
      </c>
      <c r="AS53" s="4">
        <f ca="1">ROUND(T_Tiktok_ads[[#This Row],[shares]]*RANDBETWEEN(8,12)/10,0)</f>
        <v>1254</v>
      </c>
      <c r="AT53" s="4">
        <f ca="1">ROUND(T_Tiktok_ads[[#This Row],[comments]]*RANDBETWEEN(8,12)/10,0)</f>
        <v>231</v>
      </c>
      <c r="AV53" s="5">
        <f t="shared" ca="1" si="8"/>
        <v>44991</v>
      </c>
      <c r="AW53">
        <f t="shared" ca="1" si="4"/>
        <v>4</v>
      </c>
      <c r="AX53">
        <f ca="1">ROUND(T_Facebook_Ads115963[[#This Row],[impressions]]*RANDBETWEEN(8,12)/10,0)</f>
        <v>15373</v>
      </c>
      <c r="AY53">
        <f ca="1">ROUND(T_Facebook_Ads115963[[#This Row],[clicks]]*RANDBETWEEN(8,12)/10,0)</f>
        <v>814</v>
      </c>
      <c r="AZ53">
        <f ca="1">T_Facebook_Ads115963[[#This Row],[spend]]*RANDBETWEEN(8,12)/10</f>
        <v>223.65</v>
      </c>
      <c r="BA53">
        <f ca="1">ROUND(T_Facebook_Ads115963[[#This Row],[conversions]]*RANDBETWEEN(8,12)/10,0)</f>
        <v>34</v>
      </c>
      <c r="BB53">
        <f ca="1">ROUND(T_Facebook_Ads115963[[#This Row],[video_views]]*RANDBETWEEN(8,12)/10,0)</f>
        <v>1724</v>
      </c>
    </row>
    <row r="54" spans="1:54" ht="15.75" thickBot="1" x14ac:dyDescent="0.3">
      <c r="A54" s="3">
        <f t="shared" ca="1" si="5"/>
        <v>45008</v>
      </c>
      <c r="B54" s="4" t="s">
        <v>60</v>
      </c>
      <c r="C54" s="4" t="s">
        <v>61</v>
      </c>
      <c r="D54" s="4" t="s">
        <v>62</v>
      </c>
      <c r="E54" s="4" t="s">
        <v>63</v>
      </c>
      <c r="F54" s="4">
        <f ca="1">ROUND(T_Facebook_Ads[[#This Row],[impressions]]*RANDBETWEEN(8,12)/10,0)</f>
        <v>30765</v>
      </c>
      <c r="G54" s="4">
        <v>1423</v>
      </c>
      <c r="H54" s="4">
        <f ca="1">T_Facebook_Ads[[#This Row],[spend]]*RANDBETWEEN(8,12)/10</f>
        <v>240.57</v>
      </c>
      <c r="I54" s="4">
        <f ca="1">ROUND(T_Facebook_Ads[[#This Row],[conversions]]*RANDBETWEEN(8,12)/10,0)</f>
        <v>33</v>
      </c>
      <c r="J54" s="4">
        <f ca="1">ROUND(T_Facebook_Ads[[#This Row],[video_views]]*RANDBETWEEN(8,12)/10,0)</f>
        <v>6148</v>
      </c>
      <c r="K54" s="4">
        <f ca="1">T_Facebook_Ads[[#This Row],[engagement_rate]]*RANDBETWEEN(8,12)/10</f>
        <v>4.07E-2</v>
      </c>
      <c r="L54" s="4">
        <f ca="1">ROUND(T_Facebook_Ads[[#This Row],[reach]]*RANDBETWEEN(8,12)/10,0)</f>
        <v>31234</v>
      </c>
      <c r="M54" s="4">
        <f ca="1">T_Facebook_Ads[[#This Row],[frequency]]*RANDBETWEEN(8,12)/10</f>
        <v>1.353</v>
      </c>
      <c r="O54" s="3">
        <f t="shared" ca="1" si="6"/>
        <v>45009</v>
      </c>
      <c r="P54" s="4" t="s">
        <v>84</v>
      </c>
      <c r="Q54" s="4" t="s">
        <v>85</v>
      </c>
      <c r="R54" s="4" t="s">
        <v>86</v>
      </c>
      <c r="S54" s="4" t="s">
        <v>87</v>
      </c>
      <c r="T54" s="4">
        <f ca="1">ROUND(_Google_ads[[#This Row],[impressions]]*RANDBETWEEN(8,12)/10,0)</f>
        <v>63111</v>
      </c>
      <c r="U54" s="4">
        <f ca="1">ROUND(_Google_ads[[#This Row],[clicks]]*RANDBETWEEN(8,12)/10,0)</f>
        <v>2854</v>
      </c>
      <c r="V54" s="4">
        <f ca="1">_Google_ads[[#This Row],[cost]]*RANDBETWEEN(8,12)/10</f>
        <v>348.64</v>
      </c>
      <c r="W54" s="4">
        <f ca="1">ROUND(_Google_ads[[#This Row],[conversions]]*RANDBETWEEN(8,12)/10,0)</f>
        <v>69</v>
      </c>
      <c r="X54" s="4">
        <f ca="1">ROUND(_Google_ads[[#This Row],[conversion_value]]*RANDBETWEEN(8,12)/10,0)</f>
        <v>3105</v>
      </c>
      <c r="Y54" s="4">
        <f ca="1">_Google_ads[[#This Row],[ctr]]*RANDBETWEEN(8,12)/10</f>
        <v>4.0680000000000001E-2</v>
      </c>
      <c r="Z54" s="4">
        <f ca="1">_Google_ads[[#This Row],[avg_cpc]]*RANDBETWEEN(8,12)/10</f>
        <v>0.16199999999999998</v>
      </c>
      <c r="AA54" s="4">
        <f ca="1">ROUND(_Google_ads[[#This Row],[quality_score]]*RANDBETWEEN(8,12)/10,0)</f>
        <v>10</v>
      </c>
      <c r="AB54" s="4">
        <f ca="1">_Google_ads[[#This Row],[search_impression_share]]*RANDBETWEEN(8,12)/10</f>
        <v>0.67</v>
      </c>
      <c r="AD54" s="3">
        <f t="shared" ca="1" si="7"/>
        <v>44988</v>
      </c>
      <c r="AE54" s="4" t="s">
        <v>108</v>
      </c>
      <c r="AF54" s="4" t="s">
        <v>109</v>
      </c>
      <c r="AG54" s="4" t="s">
        <v>110</v>
      </c>
      <c r="AH54" s="4" t="s">
        <v>111</v>
      </c>
      <c r="AI54" s="4">
        <f ca="1">ROUND(T_Tiktok_ads[[#This Row],[impressions]]*RANDBETWEEN(8,12)/10,0)</f>
        <v>196542</v>
      </c>
      <c r="AJ54" s="4">
        <f ca="1">ROUND(T_Tiktok_ads[[#This Row],[clicks]]*RANDBETWEEN(8,12)/10,0)</f>
        <v>3890</v>
      </c>
      <c r="AK54" s="4">
        <v>467.8</v>
      </c>
      <c r="AL54" s="4">
        <f ca="1">ROUND(T_Tiktok_ads[[#This Row],[conversions]]*RANDBETWEEN(8,12)/10,0)</f>
        <v>41</v>
      </c>
      <c r="AM54" s="4">
        <f ca="1">ROUND(T_Tiktok_ads[[#This Row],[video_views]]*RANDBETWEEN(8,12)/10,0)</f>
        <v>176110</v>
      </c>
      <c r="AN54" s="4">
        <f ca="1">ROUND(T_Tiktok_ads[[#This Row],[video_watch_25]]*RANDBETWEEN(8,12)/10,0)</f>
        <v>177881</v>
      </c>
      <c r="AO54" s="4">
        <f ca="1">ROUND(T_Tiktok_ads[[#This Row],[video_watch_50]]*RANDBETWEEN(8,12)/10,0)</f>
        <v>105511</v>
      </c>
      <c r="AP54" s="4">
        <f ca="1">ROUND(T_Tiktok_ads[[#This Row],[video_watch_75]]*RANDBETWEEN(8,12)/10,0)</f>
        <v>82757</v>
      </c>
      <c r="AQ54" s="4">
        <f ca="1">ROUND(T_Tiktok_ads[[#This Row],[video_watch_100]]*RANDBETWEEN(8,12)/10,0)</f>
        <v>45789</v>
      </c>
      <c r="AR54" s="4">
        <f ca="1">ROUND(T_Tiktok_ads[[#This Row],[likes]]*RANDBETWEEN(8,12)/10,0)</f>
        <v>8567</v>
      </c>
      <c r="AS54" s="4">
        <f ca="1">ROUND(T_Tiktok_ads[[#This Row],[shares]]*RANDBETWEEN(8,12)/10,0)</f>
        <v>2814</v>
      </c>
      <c r="AT54" s="4">
        <f ca="1">ROUND(T_Tiktok_ads[[#This Row],[comments]]*RANDBETWEEN(8,12)/10,0)</f>
        <v>567</v>
      </c>
      <c r="AV54" s="5">
        <f t="shared" ca="1" si="8"/>
        <v>45015</v>
      </c>
      <c r="AW54">
        <f t="shared" ca="1" si="4"/>
        <v>1</v>
      </c>
      <c r="AX54">
        <f ca="1">ROUND(T_Facebook_Ads115963[[#This Row],[impressions]]*RANDBETWEEN(8,12)/10,0)</f>
        <v>27689</v>
      </c>
      <c r="AY54">
        <f ca="1">ROUND(T_Facebook_Ads115963[[#This Row],[clicks]]*RANDBETWEEN(8,12)/10,0)</f>
        <v>1281</v>
      </c>
      <c r="AZ54">
        <f ca="1">T_Facebook_Ads115963[[#This Row],[spend]]*RANDBETWEEN(8,12)/10</f>
        <v>240.57</v>
      </c>
      <c r="BA54">
        <f ca="1">ROUND(T_Facebook_Ads115963[[#This Row],[conversions]]*RANDBETWEEN(8,12)/10,0)</f>
        <v>36</v>
      </c>
      <c r="BB54">
        <f ca="1">ROUND(T_Facebook_Ads115963[[#This Row],[video_views]]*RANDBETWEEN(8,12)/10,0)</f>
        <v>5533</v>
      </c>
    </row>
    <row r="55" spans="1:54" ht="15.75" thickBot="1" x14ac:dyDescent="0.3">
      <c r="A55" s="3">
        <f t="shared" ca="1" si="5"/>
        <v>44996</v>
      </c>
      <c r="B55" s="4" t="s">
        <v>64</v>
      </c>
      <c r="C55" s="4" t="s">
        <v>65</v>
      </c>
      <c r="D55" s="4" t="s">
        <v>66</v>
      </c>
      <c r="E55" s="4" t="s">
        <v>67</v>
      </c>
      <c r="F55" s="4">
        <f ca="1">ROUND(T_Facebook_Ads[[#This Row],[impressions]]*RANDBETWEEN(8,12)/10,0)</f>
        <v>66110</v>
      </c>
      <c r="G55" s="4">
        <v>267</v>
      </c>
      <c r="H55" s="4">
        <f ca="1">T_Facebook_Ads[[#This Row],[spend]]*RANDBETWEEN(8,12)/10</f>
        <v>84.78</v>
      </c>
      <c r="I55" s="4">
        <f ca="1">ROUND(T_Facebook_Ads[[#This Row],[conversions]]*RANDBETWEEN(8,12)/10,0)</f>
        <v>8</v>
      </c>
      <c r="J55" s="4">
        <f ca="1">ROUND(T_Facebook_Ads[[#This Row],[video_views]]*RANDBETWEEN(8,12)/10,0)</f>
        <v>54879</v>
      </c>
      <c r="K55" s="4">
        <f ca="1">T_Facebook_Ads[[#This Row],[engagement_rate]]*RANDBETWEEN(8,12)/10</f>
        <v>3.5999999999999999E-3</v>
      </c>
      <c r="L55" s="4">
        <f ca="1">ROUND(T_Facebook_Ads[[#This Row],[reach]]*RANDBETWEEN(8,12)/10,0)</f>
        <v>59567</v>
      </c>
      <c r="M55" s="4">
        <f ca="1">T_Facebook_Ads[[#This Row],[frequency]]*RANDBETWEEN(8,12)/10</f>
        <v>1.3640000000000001</v>
      </c>
      <c r="O55" s="3">
        <f t="shared" ca="1" si="6"/>
        <v>44992</v>
      </c>
      <c r="P55" s="4" t="s">
        <v>88</v>
      </c>
      <c r="Q55" s="4" t="s">
        <v>89</v>
      </c>
      <c r="R55" s="4" t="s">
        <v>90</v>
      </c>
      <c r="S55" s="4" t="s">
        <v>59</v>
      </c>
      <c r="T55" s="4">
        <f ca="1">ROUND(_Google_ads[[#This Row],[impressions]]*RANDBETWEEN(8,12)/10,0)</f>
        <v>119310</v>
      </c>
      <c r="U55" s="4">
        <f ca="1">ROUND(_Google_ads[[#This Row],[clicks]]*RANDBETWEEN(8,12)/10,0)</f>
        <v>391</v>
      </c>
      <c r="V55" s="4">
        <f ca="1">_Google_ads[[#This Row],[cost]]*RANDBETWEEN(8,12)/10</f>
        <v>117.45</v>
      </c>
      <c r="W55" s="4">
        <f ca="1">ROUND(_Google_ads[[#This Row],[conversions]]*RANDBETWEEN(8,12)/10,0)</f>
        <v>14</v>
      </c>
      <c r="X55" s="4">
        <f ca="1">ROUND(_Google_ads[[#This Row],[conversion_value]]*RANDBETWEEN(8,12)/10,0)</f>
        <v>700</v>
      </c>
      <c r="Y55" s="4">
        <f ca="1">_Google_ads[[#This Row],[ctr]]*RANDBETWEEN(8,12)/10</f>
        <v>4.4400000000000004E-3</v>
      </c>
      <c r="Z55" s="4">
        <f ca="1">_Google_ads[[#This Row],[avg_cpc]]*RANDBETWEEN(8,12)/10</f>
        <v>0.29700000000000004</v>
      </c>
      <c r="AA55" s="4">
        <f ca="1">ROUND(_Google_ads[[#This Row],[quality_score]]*RANDBETWEEN(8,12)/10,0)</f>
        <v>8</v>
      </c>
      <c r="AB55" s="4">
        <f ca="1">_Google_ads[[#This Row],[search_impression_share]]*RANDBETWEEN(8,12)/10</f>
        <v>0.35</v>
      </c>
      <c r="AD55" s="3">
        <f t="shared" ca="1" si="7"/>
        <v>45002</v>
      </c>
      <c r="AE55" s="4" t="s">
        <v>112</v>
      </c>
      <c r="AF55" s="4" t="s">
        <v>113</v>
      </c>
      <c r="AG55" s="4" t="s">
        <v>114</v>
      </c>
      <c r="AH55" s="4" t="s">
        <v>115</v>
      </c>
      <c r="AI55" s="4">
        <f ca="1">ROUND(T_Tiktok_ads[[#This Row],[impressions]]*RANDBETWEEN(8,12)/10,0)</f>
        <v>423456</v>
      </c>
      <c r="AJ55" s="4">
        <f ca="1">ROUND(T_Tiktok_ads[[#This Row],[clicks]]*RANDBETWEEN(8,12)/10,0)</f>
        <v>6890</v>
      </c>
      <c r="AK55" s="4">
        <v>1056.8</v>
      </c>
      <c r="AL55" s="4">
        <f ca="1">ROUND(T_Tiktok_ads[[#This Row],[conversions]]*RANDBETWEEN(8,12)/10,0)</f>
        <v>86</v>
      </c>
      <c r="AM55" s="4">
        <f ca="1">ROUND(T_Tiktok_ads[[#This Row],[video_views]]*RANDBETWEEN(8,12)/10,0)</f>
        <v>285431</v>
      </c>
      <c r="AN55" s="4">
        <f ca="1">ROUND(T_Tiktok_ads[[#This Row],[video_watch_25]]*RANDBETWEEN(8,12)/10,0)</f>
        <v>318157</v>
      </c>
      <c r="AO55" s="4">
        <f ca="1">ROUND(T_Tiktok_ads[[#This Row],[video_watch_50]]*RANDBETWEEN(8,12)/10,0)</f>
        <v>277747</v>
      </c>
      <c r="AP55" s="4">
        <f ca="1">ROUND(T_Tiktok_ads[[#This Row],[video_watch_75]]*RANDBETWEEN(8,12)/10,0)</f>
        <v>148110</v>
      </c>
      <c r="AQ55" s="4">
        <f ca="1">ROUND(T_Tiktok_ads[[#This Row],[video_watch_100]]*RANDBETWEEN(8,12)/10,0)</f>
        <v>87387</v>
      </c>
      <c r="AR55" s="4">
        <f ca="1">ROUND(T_Tiktok_ads[[#This Row],[likes]]*RANDBETWEEN(8,12)/10,0)</f>
        <v>17001</v>
      </c>
      <c r="AS55" s="4">
        <f ca="1">ROUND(T_Tiktok_ads[[#This Row],[shares]]*RANDBETWEEN(8,12)/10,0)</f>
        <v>6547</v>
      </c>
      <c r="AT55" s="4">
        <f ca="1">ROUND(T_Tiktok_ads[[#This Row],[comments]]*RANDBETWEEN(8,12)/10,0)</f>
        <v>1489</v>
      </c>
      <c r="AV55" s="5">
        <f t="shared" ca="1" si="8"/>
        <v>44995</v>
      </c>
      <c r="AW55">
        <f t="shared" ca="1" si="4"/>
        <v>6</v>
      </c>
      <c r="AX55">
        <f ca="1">ROUND(T_Facebook_Ads115963[[#This Row],[impressions]]*RANDBETWEEN(8,12)/10,0)</f>
        <v>66110</v>
      </c>
      <c r="AY55">
        <f ca="1">ROUND(T_Facebook_Ads115963[[#This Row],[clicks]]*RANDBETWEEN(8,12)/10,0)</f>
        <v>320</v>
      </c>
      <c r="AZ55">
        <f ca="1">T_Facebook_Ads115963[[#This Row],[spend]]*RANDBETWEEN(8,12)/10</f>
        <v>84.78</v>
      </c>
      <c r="BA55">
        <f ca="1">ROUND(T_Facebook_Ads115963[[#This Row],[conversions]]*RANDBETWEEN(8,12)/10,0)</f>
        <v>10</v>
      </c>
      <c r="BB55">
        <f ca="1">ROUND(T_Facebook_Ads115963[[#This Row],[video_views]]*RANDBETWEEN(8,12)/10,0)</f>
        <v>43903</v>
      </c>
    </row>
    <row r="56" spans="1:54" ht="15.75" thickBot="1" x14ac:dyDescent="0.3">
      <c r="A56" s="3">
        <f t="shared" ca="1" si="5"/>
        <v>44994</v>
      </c>
      <c r="B56" s="4" t="s">
        <v>52</v>
      </c>
      <c r="C56" s="4" t="s">
        <v>53</v>
      </c>
      <c r="D56" s="4" t="s">
        <v>54</v>
      </c>
      <c r="E56" s="4" t="s">
        <v>55</v>
      </c>
      <c r="F56" s="4">
        <f ca="1">ROUND(T_Facebook_Ads[[#This Row],[impressions]]*RANDBETWEEN(8,12)/10,0)</f>
        <v>46610</v>
      </c>
      <c r="G56" s="4">
        <v>1089</v>
      </c>
      <c r="H56" s="4">
        <f ca="1">T_Facebook_Ads[[#This Row],[spend]]*RANDBETWEEN(8,12)/10</f>
        <v>167.53000000000003</v>
      </c>
      <c r="I56" s="4">
        <f ca="1">ROUND(T_Facebook_Ads[[#This Row],[conversions]]*RANDBETWEEN(8,12)/10,0)</f>
        <v>22</v>
      </c>
      <c r="J56" s="4">
        <f ca="1">ROUND(T_Facebook_Ads[[#This Row],[video_views]]*RANDBETWEEN(8,12)/10,0)</f>
        <v>9567</v>
      </c>
      <c r="K56" s="4">
        <f ca="1">T_Facebook_Ads[[#This Row],[engagement_rate]]*RANDBETWEEN(8,12)/10</f>
        <v>2.1000000000000001E-2</v>
      </c>
      <c r="L56" s="4">
        <f ca="1">ROUND(T_Facebook_Ads[[#This Row],[reach]]*RANDBETWEEN(8,12)/10,0)</f>
        <v>34854</v>
      </c>
      <c r="M56" s="4">
        <f ca="1">T_Facebook_Ads[[#This Row],[frequency]]*RANDBETWEEN(8,12)/10</f>
        <v>0.95199999999999996</v>
      </c>
      <c r="O56" s="3">
        <f t="shared" ca="1" si="6"/>
        <v>45009</v>
      </c>
      <c r="P56" s="4" t="s">
        <v>76</v>
      </c>
      <c r="Q56" s="4" t="s">
        <v>77</v>
      </c>
      <c r="R56" s="4" t="s">
        <v>78</v>
      </c>
      <c r="S56" s="4" t="s">
        <v>79</v>
      </c>
      <c r="T56" s="4">
        <f ca="1">ROUND(_Google_ads[[#This Row],[impressions]]*RANDBETWEEN(8,12)/10,0)</f>
        <v>21431</v>
      </c>
      <c r="U56" s="4">
        <f ca="1">ROUND(_Google_ads[[#This Row],[clicks]]*RANDBETWEEN(8,12)/10,0)</f>
        <v>1747</v>
      </c>
      <c r="V56" s="4">
        <f ca="1">_Google_ads[[#This Row],[cost]]*RANDBETWEEN(8,12)/10</f>
        <v>251.01</v>
      </c>
      <c r="W56" s="4">
        <f ca="1">ROUND(_Google_ads[[#This Row],[conversions]]*RANDBETWEEN(8,12)/10,0)</f>
        <v>43</v>
      </c>
      <c r="X56" s="4">
        <f ca="1">ROUND(_Google_ads[[#This Row],[conversion_value]]*RANDBETWEEN(8,12)/10,0)</f>
        <v>2160</v>
      </c>
      <c r="Y56" s="4">
        <f ca="1">_Google_ads[[#This Row],[ctr]]*RANDBETWEEN(8,12)/10</f>
        <v>5.439999999999999E-2</v>
      </c>
      <c r="Z56" s="4">
        <f ca="1">_Google_ads[[#This Row],[avg_cpc]]*RANDBETWEEN(8,12)/10</f>
        <v>0.17099999999999999</v>
      </c>
      <c r="AA56" s="4">
        <f ca="1">ROUND(_Google_ads[[#This Row],[quality_score]]*RANDBETWEEN(8,12)/10,0)</f>
        <v>11</v>
      </c>
      <c r="AB56" s="4">
        <f ca="1">_Google_ads[[#This Row],[search_impression_share]]*RANDBETWEEN(8,12)/10</f>
        <v>0.74399999999999999</v>
      </c>
      <c r="AD56" s="3">
        <f t="shared" ca="1" si="7"/>
        <v>45009</v>
      </c>
      <c r="AE56" s="4" t="s">
        <v>100</v>
      </c>
      <c r="AF56" s="4" t="s">
        <v>101</v>
      </c>
      <c r="AG56" s="4" t="s">
        <v>102</v>
      </c>
      <c r="AH56" s="4" t="s">
        <v>103</v>
      </c>
      <c r="AI56" s="4">
        <f ca="1">ROUND(T_Tiktok_ads[[#This Row],[impressions]]*RANDBETWEEN(8,12)/10,0)</f>
        <v>240987</v>
      </c>
      <c r="AJ56" s="4">
        <f ca="1">ROUND(T_Tiktok_ads[[#This Row],[clicks]]*RANDBETWEEN(8,12)/10,0)</f>
        <v>5347</v>
      </c>
      <c r="AK56" s="4">
        <v>589.9</v>
      </c>
      <c r="AL56" s="4">
        <f ca="1">ROUND(T_Tiktok_ads[[#This Row],[conversions]]*RANDBETWEEN(8,12)/10,0)</f>
        <v>37</v>
      </c>
      <c r="AM56" s="4">
        <f ca="1">ROUND(T_Tiktok_ads[[#This Row],[video_views]]*RANDBETWEEN(8,12)/10,0)</f>
        <v>294814</v>
      </c>
      <c r="AN56" s="4">
        <f ca="1">ROUND(T_Tiktok_ads[[#This Row],[video_watch_25]]*RANDBETWEEN(8,12)/10,0)</f>
        <v>172111</v>
      </c>
      <c r="AO56" s="4">
        <f ca="1">ROUND(T_Tiktok_ads[[#This Row],[video_watch_50]]*RANDBETWEEN(8,12)/10,0)</f>
        <v>143081</v>
      </c>
      <c r="AP56" s="4">
        <f ca="1">ROUND(T_Tiktok_ads[[#This Row],[video_watch_75]]*RANDBETWEEN(8,12)/10,0)</f>
        <v>80234</v>
      </c>
      <c r="AQ56" s="4">
        <f ca="1">ROUND(T_Tiktok_ads[[#This Row],[video_watch_100]]*RANDBETWEEN(8,12)/10,0)</f>
        <v>53456</v>
      </c>
      <c r="AR56" s="4">
        <f ca="1">ROUND(T_Tiktok_ads[[#This Row],[likes]]*RANDBETWEEN(8,12)/10,0)</f>
        <v>12947</v>
      </c>
      <c r="AS56" s="4">
        <f ca="1">ROUND(T_Tiktok_ads[[#This Row],[shares]]*RANDBETWEEN(8,12)/10,0)</f>
        <v>2611</v>
      </c>
      <c r="AT56" s="4">
        <f ca="1">ROUND(T_Tiktok_ads[[#This Row],[comments]]*RANDBETWEEN(8,12)/10,0)</f>
        <v>827</v>
      </c>
      <c r="AV56" s="5">
        <f t="shared" ca="1" si="8"/>
        <v>45012</v>
      </c>
      <c r="AW56">
        <f t="shared" ca="1" si="4"/>
        <v>8</v>
      </c>
      <c r="AX56">
        <f ca="1">ROUND(T_Facebook_Ads115963[[#This Row],[impressions]]*RANDBETWEEN(8,12)/10,0)</f>
        <v>41949</v>
      </c>
      <c r="AY56">
        <f ca="1">ROUND(T_Facebook_Ads115963[[#This Row],[clicks]]*RANDBETWEEN(8,12)/10,0)</f>
        <v>1198</v>
      </c>
      <c r="AZ56">
        <f ca="1">T_Facebook_Ads115963[[#This Row],[spend]]*RANDBETWEEN(8,12)/10</f>
        <v>150.77700000000002</v>
      </c>
      <c r="BA56">
        <f ca="1">ROUND(T_Facebook_Ads115963[[#This Row],[conversions]]*RANDBETWEEN(8,12)/10,0)</f>
        <v>24</v>
      </c>
      <c r="BB56">
        <f ca="1">ROUND(T_Facebook_Ads115963[[#This Row],[video_views]]*RANDBETWEEN(8,12)/10,0)</f>
        <v>11480</v>
      </c>
    </row>
    <row r="57" spans="1:54" ht="15.75" thickBot="1" x14ac:dyDescent="0.3">
      <c r="A57" s="3">
        <f t="shared" ca="1" si="5"/>
        <v>44996</v>
      </c>
      <c r="B57" s="4" t="s">
        <v>56</v>
      </c>
      <c r="C57" s="4" t="s">
        <v>57</v>
      </c>
      <c r="D57" s="4" t="s">
        <v>58</v>
      </c>
      <c r="E57" s="4" t="s">
        <v>59</v>
      </c>
      <c r="F57" s="4">
        <f ca="1">ROUND(T_Facebook_Ads[[#This Row],[impressions]]*RANDBETWEEN(8,12)/10,0)</f>
        <v>16757</v>
      </c>
      <c r="G57" s="4">
        <v>734</v>
      </c>
      <c r="H57" s="4">
        <f ca="1">T_Facebook_Ads[[#This Row],[spend]]*RANDBETWEEN(8,12)/10</f>
        <v>211.76</v>
      </c>
      <c r="I57" s="4">
        <f ca="1">ROUND(T_Facebook_Ads[[#This Row],[conversions]]*RANDBETWEEN(8,12)/10,0)</f>
        <v>37</v>
      </c>
      <c r="J57" s="4">
        <f ca="1">ROUND(T_Facebook_Ads[[#This Row],[video_views]]*RANDBETWEEN(8,12)/10,0)</f>
        <v>2014</v>
      </c>
      <c r="K57" s="4">
        <f ca="1">T_Facebook_Ads[[#This Row],[engagement_rate]]*RANDBETWEEN(8,12)/10</f>
        <v>4.82E-2</v>
      </c>
      <c r="L57" s="4">
        <f ca="1">ROUND(T_Facebook_Ads[[#This Row],[reach]]*RANDBETWEEN(8,12)/10,0)</f>
        <v>12123</v>
      </c>
      <c r="M57" s="4">
        <f ca="1">T_Facebook_Ads[[#This Row],[frequency]]*RANDBETWEEN(8,12)/10</f>
        <v>1.008</v>
      </c>
      <c r="O57" s="3">
        <f t="shared" ca="1" si="6"/>
        <v>44999</v>
      </c>
      <c r="P57" s="4" t="s">
        <v>80</v>
      </c>
      <c r="Q57" s="4" t="s">
        <v>81</v>
      </c>
      <c r="R57" s="4" t="s">
        <v>82</v>
      </c>
      <c r="S57" s="4" t="s">
        <v>83</v>
      </c>
      <c r="T57" s="4">
        <f ca="1">ROUND(_Google_ads[[#This Row],[impressions]]*RANDBETWEEN(8,12)/10,0)</f>
        <v>37787</v>
      </c>
      <c r="U57" s="4">
        <f ca="1">ROUND(_Google_ads[[#This Row],[clicks]]*RANDBETWEEN(8,12)/10,0)</f>
        <v>870</v>
      </c>
      <c r="V57" s="4">
        <f ca="1">_Google_ads[[#This Row],[cost]]*RANDBETWEEN(8,12)/10</f>
        <v>666.16000000000008</v>
      </c>
      <c r="W57" s="4">
        <f ca="1">ROUND(_Google_ads[[#This Row],[conversions]]*RANDBETWEEN(8,12)/10,0)</f>
        <v>23</v>
      </c>
      <c r="X57" s="4">
        <f ca="1">ROUND(_Google_ads[[#This Row],[conversion_value]]*RANDBETWEEN(8,12)/10,0)</f>
        <v>1000</v>
      </c>
      <c r="Y57" s="4">
        <f ca="1">_Google_ads[[#This Row],[ctr]]*RANDBETWEEN(8,12)/10</f>
        <v>2.46E-2</v>
      </c>
      <c r="Z57" s="4">
        <f ca="1">_Google_ads[[#This Row],[avg_cpc]]*RANDBETWEEN(8,12)/10</f>
        <v>0.69299999999999995</v>
      </c>
      <c r="AA57" s="4">
        <f ca="1">ROUND(_Google_ads[[#This Row],[quality_score]]*RANDBETWEEN(8,12)/10,0)</f>
        <v>6</v>
      </c>
      <c r="AB57" s="4">
        <f ca="1">_Google_ads[[#This Row],[search_impression_share]]*RANDBETWEEN(8,12)/10</f>
        <v>0.55200000000000005</v>
      </c>
      <c r="AD57" s="3">
        <f t="shared" ca="1" si="7"/>
        <v>44996</v>
      </c>
      <c r="AE57" s="4" t="s">
        <v>104</v>
      </c>
      <c r="AF57" s="4" t="s">
        <v>105</v>
      </c>
      <c r="AG57" s="4" t="s">
        <v>106</v>
      </c>
      <c r="AH57" s="4" t="s">
        <v>107</v>
      </c>
      <c r="AI57" s="4">
        <f ca="1">ROUND(T_Tiktok_ads[[#This Row],[impressions]]*RANDBETWEEN(8,12)/10,0)</f>
        <v>167890</v>
      </c>
      <c r="AJ57" s="4">
        <f ca="1">ROUND(T_Tiktok_ads[[#This Row],[clicks]]*RANDBETWEEN(8,12)/10,0)</f>
        <v>3881</v>
      </c>
      <c r="AK57" s="4">
        <v>845.6</v>
      </c>
      <c r="AL57" s="4">
        <f ca="1">ROUND(T_Tiktok_ads[[#This Row],[conversions]]*RANDBETWEEN(8,12)/10,0)</f>
        <v>77</v>
      </c>
      <c r="AM57" s="4">
        <f ca="1">ROUND(T_Tiktok_ads[[#This Row],[video_views]]*RANDBETWEEN(8,12)/10,0)</f>
        <v>94312</v>
      </c>
      <c r="AN57" s="4">
        <f ca="1">ROUND(T_Tiktok_ads[[#This Row],[video_watch_25]]*RANDBETWEEN(8,12)/10,0)</f>
        <v>69787</v>
      </c>
      <c r="AO57" s="4">
        <f ca="1">ROUND(T_Tiktok_ads[[#This Row],[video_watch_50]]*RANDBETWEEN(8,12)/10,0)</f>
        <v>53011</v>
      </c>
      <c r="AP57" s="4">
        <f ca="1">ROUND(T_Tiktok_ads[[#This Row],[video_watch_75]]*RANDBETWEEN(8,12)/10,0)</f>
        <v>35387</v>
      </c>
      <c r="AQ57" s="4">
        <f ca="1">ROUND(T_Tiktok_ads[[#This Row],[video_watch_100]]*RANDBETWEEN(8,12)/10,0)</f>
        <v>23654</v>
      </c>
      <c r="AR57" s="4">
        <f ca="1">ROUND(T_Tiktok_ads[[#This Row],[likes]]*RANDBETWEEN(8,12)/10,0)</f>
        <v>5110</v>
      </c>
      <c r="AS57" s="4">
        <f ca="1">ROUND(T_Tiktok_ads[[#This Row],[shares]]*RANDBETWEEN(8,12)/10,0)</f>
        <v>1307</v>
      </c>
      <c r="AT57" s="4">
        <f ca="1">ROUND(T_Tiktok_ads[[#This Row],[comments]]*RANDBETWEEN(8,12)/10,0)</f>
        <v>312</v>
      </c>
      <c r="AV57" s="5">
        <f t="shared" ca="1" si="8"/>
        <v>45002</v>
      </c>
      <c r="AW57">
        <f t="shared" ca="1" si="4"/>
        <v>5</v>
      </c>
      <c r="AX57">
        <f ca="1">ROUND(T_Facebook_Ads115963[[#This Row],[impressions]]*RANDBETWEEN(8,12)/10,0)</f>
        <v>20108</v>
      </c>
      <c r="AY57">
        <f ca="1">ROUND(T_Facebook_Ads115963[[#This Row],[clicks]]*RANDBETWEEN(8,12)/10,0)</f>
        <v>661</v>
      </c>
      <c r="AZ57">
        <f ca="1">T_Facebook_Ads115963[[#This Row],[spend]]*RANDBETWEEN(8,12)/10</f>
        <v>169.40799999999999</v>
      </c>
      <c r="BA57">
        <f ca="1">ROUND(T_Facebook_Ads115963[[#This Row],[conversions]]*RANDBETWEEN(8,12)/10,0)</f>
        <v>37</v>
      </c>
      <c r="BB57">
        <f ca="1">ROUND(T_Facebook_Ads115963[[#This Row],[video_views]]*RANDBETWEEN(8,12)/10,0)</f>
        <v>2215</v>
      </c>
    </row>
    <row r="58" spans="1:54" ht="15.75" thickBot="1" x14ac:dyDescent="0.3">
      <c r="A58" s="3">
        <f t="shared" ca="1" si="5"/>
        <v>44987</v>
      </c>
      <c r="B58" s="4" t="s">
        <v>60</v>
      </c>
      <c r="C58" s="4" t="s">
        <v>61</v>
      </c>
      <c r="D58" s="4" t="s">
        <v>62</v>
      </c>
      <c r="E58" s="4" t="s">
        <v>63</v>
      </c>
      <c r="F58" s="4">
        <f ca="1">ROUND(T_Facebook_Ads[[#This Row],[impressions]]*RANDBETWEEN(8,12)/10,0)</f>
        <v>36111</v>
      </c>
      <c r="G58" s="4">
        <v>1534</v>
      </c>
      <c r="H58" s="4">
        <f ca="1">T_Facebook_Ads[[#This Row],[spend]]*RANDBETWEEN(8,12)/10</f>
        <v>186.24</v>
      </c>
      <c r="I58" s="4">
        <f ca="1">ROUND(T_Facebook_Ads[[#This Row],[conversions]]*RANDBETWEEN(8,12)/10,0)</f>
        <v>33</v>
      </c>
      <c r="J58" s="4">
        <f ca="1">ROUND(T_Facebook_Ads[[#This Row],[video_views]]*RANDBETWEEN(8,12)/10,0)</f>
        <v>6002</v>
      </c>
      <c r="K58" s="4">
        <f ca="1">T_Facebook_Ads[[#This Row],[engagement_rate]]*RANDBETWEEN(8,12)/10</f>
        <v>4.2019999999999995E-2</v>
      </c>
      <c r="L58" s="4">
        <f ca="1">ROUND(T_Facebook_Ads[[#This Row],[reach]]*RANDBETWEEN(8,12)/10,0)</f>
        <v>32890</v>
      </c>
      <c r="M58" s="4">
        <f ca="1">T_Facebook_Ads[[#This Row],[frequency]]*RANDBETWEEN(8,12)/10</f>
        <v>1.3420000000000001</v>
      </c>
      <c r="O58" s="3">
        <f t="shared" ca="1" si="6"/>
        <v>44998</v>
      </c>
      <c r="P58" s="4" t="s">
        <v>84</v>
      </c>
      <c r="Q58" s="4" t="s">
        <v>85</v>
      </c>
      <c r="R58" s="4" t="s">
        <v>86</v>
      </c>
      <c r="S58" s="4" t="s">
        <v>87</v>
      </c>
      <c r="T58" s="4">
        <f ca="1">ROUND(_Google_ads[[#This Row],[impressions]]*RANDBETWEEN(8,12)/10,0)</f>
        <v>57965</v>
      </c>
      <c r="U58" s="4">
        <f ca="1">ROUND(_Google_ads[[#This Row],[clicks]]*RANDBETWEEN(8,12)/10,0)</f>
        <v>2489</v>
      </c>
      <c r="V58" s="4">
        <f ca="1">_Google_ads[[#This Row],[cost]]*RANDBETWEEN(8,12)/10</f>
        <v>405.63</v>
      </c>
      <c r="W58" s="4">
        <f ca="1">ROUND(_Google_ads[[#This Row],[conversions]]*RANDBETWEEN(8,12)/10,0)</f>
        <v>58</v>
      </c>
      <c r="X58" s="4">
        <f ca="1">ROUND(_Google_ads[[#This Row],[conversion_value]]*RANDBETWEEN(8,12)/10,0)</f>
        <v>2880</v>
      </c>
      <c r="Y58" s="4">
        <f ca="1">_Google_ads[[#This Row],[ctr]]*RANDBETWEEN(8,12)/10</f>
        <v>3.7839999999999999E-2</v>
      </c>
      <c r="Z58" s="4">
        <f ca="1">_Google_ads[[#This Row],[avg_cpc]]*RANDBETWEEN(8,12)/10</f>
        <v>0.18</v>
      </c>
      <c r="AA58" s="4">
        <f ca="1">ROUND(_Google_ads[[#This Row],[quality_score]]*RANDBETWEEN(8,12)/10,0)</f>
        <v>9</v>
      </c>
      <c r="AB58" s="4">
        <f ca="1">_Google_ads[[#This Row],[search_impression_share]]*RANDBETWEEN(8,12)/10</f>
        <v>0.54400000000000004</v>
      </c>
      <c r="AD58" s="3">
        <f t="shared" ca="1" si="7"/>
        <v>44986</v>
      </c>
      <c r="AE58" s="4" t="s">
        <v>108</v>
      </c>
      <c r="AF58" s="4" t="s">
        <v>109</v>
      </c>
      <c r="AG58" s="4" t="s">
        <v>110</v>
      </c>
      <c r="AH58" s="4" t="s">
        <v>111</v>
      </c>
      <c r="AI58" s="4">
        <f ca="1">ROUND(T_Tiktok_ads[[#This Row],[impressions]]*RANDBETWEEN(8,12)/10,0)</f>
        <v>205431</v>
      </c>
      <c r="AJ58" s="4">
        <f ca="1">ROUND(T_Tiktok_ads[[#This Row],[clicks]]*RANDBETWEEN(8,12)/10,0)</f>
        <v>3210</v>
      </c>
      <c r="AK58" s="4">
        <v>489.2</v>
      </c>
      <c r="AL58" s="4">
        <f ca="1">ROUND(T_Tiktok_ads[[#This Row],[conversions]]*RANDBETWEEN(8,12)/10,0)</f>
        <v>29</v>
      </c>
      <c r="AM58" s="4">
        <f ca="1">ROUND(T_Tiktok_ads[[#This Row],[video_views]]*RANDBETWEEN(8,12)/10,0)</f>
        <v>181111</v>
      </c>
      <c r="AN58" s="4">
        <f ca="1">ROUND(T_Tiktok_ads[[#This Row],[video_watch_25]]*RANDBETWEEN(8,12)/10,0)</f>
        <v>167580</v>
      </c>
      <c r="AO58" s="4">
        <f ca="1">ROUND(T_Tiktok_ads[[#This Row],[video_watch_50]]*RANDBETWEEN(8,12)/10,0)</f>
        <v>108410</v>
      </c>
      <c r="AP58" s="4">
        <f ca="1">ROUND(T_Tiktok_ads[[#This Row],[video_watch_75]]*RANDBETWEEN(8,12)/10,0)</f>
        <v>62312</v>
      </c>
      <c r="AQ58" s="4">
        <f ca="1">ROUND(T_Tiktok_ads[[#This Row],[video_watch_100]]*RANDBETWEEN(8,12)/10,0)</f>
        <v>51957</v>
      </c>
      <c r="AR58" s="4">
        <f ca="1">ROUND(T_Tiktok_ads[[#This Row],[likes]]*RANDBETWEEN(8,12)/10,0)</f>
        <v>9791</v>
      </c>
      <c r="AS58" s="4">
        <f ca="1">ROUND(T_Tiktok_ads[[#This Row],[shares]]*RANDBETWEEN(8,12)/10,0)</f>
        <v>2947</v>
      </c>
      <c r="AT58" s="4">
        <f ca="1">ROUND(T_Tiktok_ads[[#This Row],[comments]]*RANDBETWEEN(8,12)/10,0)</f>
        <v>530</v>
      </c>
      <c r="AV58" s="5">
        <f t="shared" ca="1" si="8"/>
        <v>44999</v>
      </c>
      <c r="AW58">
        <f t="shared" ca="1" si="4"/>
        <v>2</v>
      </c>
      <c r="AX58">
        <f ca="1">ROUND(T_Facebook_Ads115963[[#This Row],[impressions]]*RANDBETWEEN(8,12)/10,0)</f>
        <v>28889</v>
      </c>
      <c r="AY58">
        <f ca="1">ROUND(T_Facebook_Ads115963[[#This Row],[clicks]]*RANDBETWEEN(8,12)/10,0)</f>
        <v>1381</v>
      </c>
      <c r="AZ58">
        <f ca="1">T_Facebook_Ads115963[[#This Row],[spend]]*RANDBETWEEN(8,12)/10</f>
        <v>223.488</v>
      </c>
      <c r="BA58">
        <f ca="1">ROUND(T_Facebook_Ads115963[[#This Row],[conversions]]*RANDBETWEEN(8,12)/10,0)</f>
        <v>30</v>
      </c>
      <c r="BB58">
        <f ca="1">ROUND(T_Facebook_Ads115963[[#This Row],[video_views]]*RANDBETWEEN(8,12)/10,0)</f>
        <v>5402</v>
      </c>
    </row>
    <row r="59" spans="1:54" ht="15.75" thickBot="1" x14ac:dyDescent="0.3">
      <c r="A59" s="3">
        <f t="shared" ca="1" si="5"/>
        <v>44999</v>
      </c>
      <c r="B59" s="4" t="s">
        <v>64</v>
      </c>
      <c r="C59" s="4" t="s">
        <v>65</v>
      </c>
      <c r="D59" s="4" t="s">
        <v>66</v>
      </c>
      <c r="E59" s="4" t="s">
        <v>67</v>
      </c>
      <c r="F59" s="4">
        <f ca="1">ROUND(T_Facebook_Ads[[#This Row],[impressions]]*RANDBETWEEN(8,12)/10,0)</f>
        <v>83479</v>
      </c>
      <c r="G59" s="4">
        <v>278</v>
      </c>
      <c r="H59" s="4">
        <f ca="1">T_Facebook_Ads[[#This Row],[spend]]*RANDBETWEEN(8,12)/10</f>
        <v>88.65</v>
      </c>
      <c r="I59" s="4">
        <f ca="1">ROUND(T_Facebook_Ads[[#This Row],[conversions]]*RANDBETWEEN(8,12)/10,0)</f>
        <v>7</v>
      </c>
      <c r="J59" s="4">
        <f ca="1">ROUND(T_Facebook_Ads[[#This Row],[video_views]]*RANDBETWEEN(8,12)/10,0)</f>
        <v>51234</v>
      </c>
      <c r="K59" s="4">
        <f ca="1">T_Facebook_Ads[[#This Row],[engagement_rate]]*RANDBETWEEN(8,12)/10</f>
        <v>2.96E-3</v>
      </c>
      <c r="L59" s="4">
        <f ca="1">ROUND(T_Facebook_Ads[[#This Row],[reach]]*RANDBETWEEN(8,12)/10,0)</f>
        <v>49254</v>
      </c>
      <c r="M59" s="4">
        <f ca="1">T_Facebook_Ads[[#This Row],[frequency]]*RANDBETWEEN(8,12)/10</f>
        <v>1.107</v>
      </c>
      <c r="O59" s="3">
        <f t="shared" ca="1" si="6"/>
        <v>45015</v>
      </c>
      <c r="P59" s="4" t="s">
        <v>88</v>
      </c>
      <c r="Q59" s="4" t="s">
        <v>89</v>
      </c>
      <c r="R59" s="4" t="s">
        <v>90</v>
      </c>
      <c r="S59" s="4" t="s">
        <v>59</v>
      </c>
      <c r="T59" s="4">
        <f ca="1">ROUND(_Google_ads[[#This Row],[impressions]]*RANDBETWEEN(8,12)/10,0)</f>
        <v>111121</v>
      </c>
      <c r="U59" s="4">
        <f ca="1">ROUND(_Google_ads[[#This Row],[clicks]]*RANDBETWEEN(8,12)/10,0)</f>
        <v>481</v>
      </c>
      <c r="V59" s="4">
        <f ca="1">_Google_ads[[#This Row],[cost]]*RANDBETWEEN(8,12)/10</f>
        <v>122.76000000000002</v>
      </c>
      <c r="W59" s="4">
        <f ca="1">ROUND(_Google_ads[[#This Row],[conversions]]*RANDBETWEEN(8,12)/10,0)</f>
        <v>18</v>
      </c>
      <c r="X59" s="4">
        <f ca="1">ROUND(_Google_ads[[#This Row],[conversion_value]]*RANDBETWEEN(8,12)/10,0)</f>
        <v>900</v>
      </c>
      <c r="Y59" s="4">
        <f ca="1">_Google_ads[[#This Row],[ctr]]*RANDBETWEEN(8,12)/10</f>
        <v>4.5599999999999998E-3</v>
      </c>
      <c r="Z59" s="4">
        <f ca="1">_Google_ads[[#This Row],[avg_cpc]]*RANDBETWEEN(8,12)/10</f>
        <v>0.28600000000000003</v>
      </c>
      <c r="AA59" s="4">
        <f ca="1">ROUND(_Google_ads[[#This Row],[quality_score]]*RANDBETWEEN(8,12)/10,0)</f>
        <v>7</v>
      </c>
      <c r="AB59" s="4">
        <f ca="1">_Google_ads[[#This Row],[search_impression_share]]*RANDBETWEEN(8,12)/10</f>
        <v>0.39600000000000002</v>
      </c>
      <c r="AD59" s="3">
        <f t="shared" ca="1" si="7"/>
        <v>45003</v>
      </c>
      <c r="AE59" s="4" t="s">
        <v>112</v>
      </c>
      <c r="AF59" s="4" t="s">
        <v>113</v>
      </c>
      <c r="AG59" s="4" t="s">
        <v>114</v>
      </c>
      <c r="AH59" s="4" t="s">
        <v>115</v>
      </c>
      <c r="AI59" s="4">
        <f ca="1">ROUND(T_Tiktok_ads[[#This Row],[impressions]]*RANDBETWEEN(8,12)/10,0)</f>
        <v>445678</v>
      </c>
      <c r="AJ59" s="4">
        <f ca="1">ROUND(T_Tiktok_ads[[#This Row],[clicks]]*RANDBETWEEN(8,12)/10,0)</f>
        <v>7957</v>
      </c>
      <c r="AK59" s="4">
        <v>1123.5</v>
      </c>
      <c r="AL59" s="4">
        <f ca="1">ROUND(T_Tiktok_ads[[#This Row],[conversions]]*RANDBETWEEN(8,12)/10,0)</f>
        <v>124</v>
      </c>
      <c r="AM59" s="4">
        <f ca="1">ROUND(T_Tiktok_ads[[#This Row],[video_views]]*RANDBETWEEN(8,12)/10,0)</f>
        <v>454681</v>
      </c>
      <c r="AN59" s="4">
        <f ca="1">ROUND(T_Tiktok_ads[[#This Row],[video_watch_25]]*RANDBETWEEN(8,12)/10,0)</f>
        <v>335024</v>
      </c>
      <c r="AO59" s="4">
        <f ca="1">ROUND(T_Tiktok_ads[[#This Row],[video_watch_50]]*RANDBETWEEN(8,12)/10,0)</f>
        <v>219110</v>
      </c>
      <c r="AP59" s="4">
        <f ca="1">ROUND(T_Tiktok_ads[[#This Row],[video_watch_75]]*RANDBETWEEN(8,12)/10,0)</f>
        <v>155111</v>
      </c>
      <c r="AQ59" s="4">
        <f ca="1">ROUND(T_Tiktok_ads[[#This Row],[video_watch_100]]*RANDBETWEEN(8,12)/10,0)</f>
        <v>137480</v>
      </c>
      <c r="AR59" s="4">
        <f ca="1">ROUND(T_Tiktok_ads[[#This Row],[likes]]*RANDBETWEEN(8,12)/10,0)</f>
        <v>19567</v>
      </c>
      <c r="AS59" s="4">
        <f ca="1">ROUND(T_Tiktok_ads[[#This Row],[shares]]*RANDBETWEEN(8,12)/10,0)</f>
        <v>5110</v>
      </c>
      <c r="AT59" s="4">
        <f ca="1">ROUND(T_Tiktok_ads[[#This Row],[comments]]*RANDBETWEEN(8,12)/10,0)</f>
        <v>1567</v>
      </c>
      <c r="AV59" s="5">
        <f t="shared" ca="1" si="8"/>
        <v>45015</v>
      </c>
      <c r="AW59">
        <f t="shared" ca="1" si="4"/>
        <v>8</v>
      </c>
      <c r="AX59">
        <f ca="1">ROUND(T_Facebook_Ads115963[[#This Row],[impressions]]*RANDBETWEEN(8,12)/10,0)</f>
        <v>75131</v>
      </c>
      <c r="AY59">
        <f ca="1">ROUND(T_Facebook_Ads115963[[#This Row],[clicks]]*RANDBETWEEN(8,12)/10,0)</f>
        <v>222</v>
      </c>
      <c r="AZ59">
        <f ca="1">T_Facebook_Ads115963[[#This Row],[spend]]*RANDBETWEEN(8,12)/10</f>
        <v>70.92</v>
      </c>
      <c r="BA59">
        <f ca="1">ROUND(T_Facebook_Ads115963[[#This Row],[conversions]]*RANDBETWEEN(8,12)/10,0)</f>
        <v>8</v>
      </c>
      <c r="BB59">
        <f ca="1">ROUND(T_Facebook_Ads115963[[#This Row],[video_views]]*RANDBETWEEN(8,12)/10,0)</f>
        <v>40987</v>
      </c>
    </row>
    <row r="60" spans="1:54" ht="15.75" thickBot="1" x14ac:dyDescent="0.3">
      <c r="A60" s="3">
        <f t="shared" ca="1" si="5"/>
        <v>45014</v>
      </c>
      <c r="B60" s="4" t="s">
        <v>52</v>
      </c>
      <c r="C60" s="4" t="s">
        <v>53</v>
      </c>
      <c r="D60" s="4" t="s">
        <v>54</v>
      </c>
      <c r="E60" s="4" t="s">
        <v>55</v>
      </c>
      <c r="F60" s="4">
        <f ca="1">ROUND(T_Facebook_Ads[[#This Row],[impressions]]*RANDBETWEEN(8,12)/10,0)</f>
        <v>59480</v>
      </c>
      <c r="G60" s="4">
        <v>1012</v>
      </c>
      <c r="H60" s="4">
        <f ca="1">T_Facebook_Ads[[#This Row],[spend]]*RANDBETWEEN(8,12)/10</f>
        <v>130.13999999999999</v>
      </c>
      <c r="I60" s="4">
        <f ca="1">ROUND(T_Facebook_Ads[[#This Row],[conversions]]*RANDBETWEEN(8,12)/10,0)</f>
        <v>14</v>
      </c>
      <c r="J60" s="4">
        <f ca="1">ROUND(T_Facebook_Ads[[#This Row],[video_views]]*RANDBETWEEN(8,12)/10,0)</f>
        <v>8211</v>
      </c>
      <c r="K60" s="4">
        <f ca="1">T_Facebook_Ads[[#This Row],[engagement_rate]]*RANDBETWEEN(8,12)/10</f>
        <v>2.4480000000000002E-2</v>
      </c>
      <c r="L60" s="4">
        <f ca="1">ROUND(T_Facebook_Ads[[#This Row],[reach]]*RANDBETWEEN(8,12)/10,0)</f>
        <v>41890</v>
      </c>
      <c r="M60" s="4">
        <f ca="1">T_Facebook_Ads[[#This Row],[frequency]]*RANDBETWEEN(8,12)/10</f>
        <v>1.4159999999999999</v>
      </c>
      <c r="O60" s="3">
        <f t="shared" ca="1" si="6"/>
        <v>45008</v>
      </c>
      <c r="P60" s="4" t="s">
        <v>76</v>
      </c>
      <c r="Q60" s="4" t="s">
        <v>77</v>
      </c>
      <c r="R60" s="4" t="s">
        <v>78</v>
      </c>
      <c r="S60" s="4" t="s">
        <v>79</v>
      </c>
      <c r="T60" s="4">
        <f ca="1">ROUND(_Google_ads[[#This Row],[impressions]]*RANDBETWEEN(8,12)/10,0)</f>
        <v>30947</v>
      </c>
      <c r="U60" s="4">
        <f ca="1">ROUND(_Google_ads[[#This Row],[clicks]]*RANDBETWEEN(8,12)/10,0)</f>
        <v>1250</v>
      </c>
      <c r="V60" s="4">
        <f ca="1">_Google_ads[[#This Row],[cost]]*RANDBETWEEN(8,12)/10</f>
        <v>238.67999999999998</v>
      </c>
      <c r="W60" s="4">
        <f ca="1">ROUND(_Google_ads[[#This Row],[conversions]]*RANDBETWEEN(8,12)/10,0)</f>
        <v>52</v>
      </c>
      <c r="X60" s="4">
        <f ca="1">ROUND(_Google_ads[[#This Row],[conversion_value]]*RANDBETWEEN(8,12)/10,0)</f>
        <v>2340</v>
      </c>
      <c r="Y60" s="4">
        <f ca="1">_Google_ads[[#This Row],[ctr]]*RANDBETWEEN(8,12)/10</f>
        <v>5.3800000000000001E-2</v>
      </c>
      <c r="Z60" s="4">
        <f ca="1">_Google_ads[[#This Row],[avg_cpc]]*RANDBETWEEN(8,12)/10</f>
        <v>0.152</v>
      </c>
      <c r="AA60" s="4">
        <f ca="1">ROUND(_Google_ads[[#This Row],[quality_score]]*RANDBETWEEN(8,12)/10,0)</f>
        <v>8</v>
      </c>
      <c r="AB60" s="4">
        <f ca="1">_Google_ads[[#This Row],[search_impression_share]]*RANDBETWEEN(8,12)/10</f>
        <v>0.82800000000000007</v>
      </c>
      <c r="AD60" s="3">
        <f t="shared" ca="1" si="7"/>
        <v>44993</v>
      </c>
      <c r="AE60" s="4" t="s">
        <v>100</v>
      </c>
      <c r="AF60" s="4" t="s">
        <v>101</v>
      </c>
      <c r="AG60" s="4" t="s">
        <v>102</v>
      </c>
      <c r="AH60" s="4" t="s">
        <v>103</v>
      </c>
      <c r="AI60" s="4">
        <f ca="1">ROUND(T_Tiktok_ads[[#This Row],[impressions]]*RANDBETWEEN(8,12)/10,0)</f>
        <v>261111</v>
      </c>
      <c r="AJ60" s="4">
        <f ca="1">ROUND(T_Tiktok_ads[[#This Row],[clicks]]*RANDBETWEEN(8,12)/10,0)</f>
        <v>4608</v>
      </c>
      <c r="AK60" s="4">
        <v>567.79999999999995</v>
      </c>
      <c r="AL60" s="4">
        <f ca="1">ROUND(T_Tiktok_ads[[#This Row],[conversions]]*RANDBETWEEN(8,12)/10,0)</f>
        <v>40</v>
      </c>
      <c r="AM60" s="4">
        <f ca="1">ROUND(T_Tiktok_ads[[#This Row],[video_views]]*RANDBETWEEN(8,12)/10,0)</f>
        <v>236789</v>
      </c>
      <c r="AN60" s="4">
        <f ca="1">ROUND(T_Tiktok_ads[[#This Row],[video_watch_25]]*RANDBETWEEN(8,12)/10,0)</f>
        <v>166110</v>
      </c>
      <c r="AO60" s="4">
        <f ca="1">ROUND(T_Tiktok_ads[[#This Row],[video_watch_50]]*RANDBETWEEN(8,12)/10,0)</f>
        <v>138814</v>
      </c>
      <c r="AP60" s="4">
        <f ca="1">ROUND(T_Tiktok_ads[[#This Row],[video_watch_75]]*RANDBETWEEN(8,12)/10,0)</f>
        <v>86057</v>
      </c>
      <c r="AQ60" s="4">
        <f ca="1">ROUND(T_Tiktok_ads[[#This Row],[video_watch_100]]*RANDBETWEEN(8,12)/10,0)</f>
        <v>62814</v>
      </c>
      <c r="AR60" s="4">
        <f ca="1">ROUND(T_Tiktok_ads[[#This Row],[likes]]*RANDBETWEEN(8,12)/10,0)</f>
        <v>12547</v>
      </c>
      <c r="AS60" s="4">
        <f ca="1">ROUND(T_Tiktok_ads[[#This Row],[shares]]*RANDBETWEEN(8,12)/10,0)</f>
        <v>2531</v>
      </c>
      <c r="AT60" s="4">
        <f ca="1">ROUND(T_Tiktok_ads[[#This Row],[comments]]*RANDBETWEEN(8,12)/10,0)</f>
        <v>542</v>
      </c>
      <c r="AV60" s="5">
        <f t="shared" ca="1" si="8"/>
        <v>45006</v>
      </c>
      <c r="AW60">
        <f t="shared" ca="1" si="4"/>
        <v>1</v>
      </c>
      <c r="AX60">
        <f ca="1">ROUND(T_Facebook_Ads115963[[#This Row],[impressions]]*RANDBETWEEN(8,12)/10,0)</f>
        <v>53532</v>
      </c>
      <c r="AY60">
        <f ca="1">ROUND(T_Facebook_Ads115963[[#This Row],[clicks]]*RANDBETWEEN(8,12)/10,0)</f>
        <v>1214</v>
      </c>
      <c r="AZ60">
        <f ca="1">T_Facebook_Ads115963[[#This Row],[spend]]*RANDBETWEEN(8,12)/10</f>
        <v>104.11199999999999</v>
      </c>
      <c r="BA60">
        <f ca="1">ROUND(T_Facebook_Ads115963[[#This Row],[conversions]]*RANDBETWEEN(8,12)/10,0)</f>
        <v>13</v>
      </c>
      <c r="BB60">
        <f ca="1">ROUND(T_Facebook_Ads115963[[#This Row],[video_views]]*RANDBETWEEN(8,12)/10,0)</f>
        <v>8211</v>
      </c>
    </row>
    <row r="61" spans="1:54" ht="15.75" thickBot="1" x14ac:dyDescent="0.3">
      <c r="A61" s="3">
        <f t="shared" ca="1" si="5"/>
        <v>44988</v>
      </c>
      <c r="B61" s="4" t="s">
        <v>56</v>
      </c>
      <c r="C61" s="4" t="s">
        <v>57</v>
      </c>
      <c r="D61" s="4" t="s">
        <v>58</v>
      </c>
      <c r="E61" s="4" t="s">
        <v>59</v>
      </c>
      <c r="F61" s="4">
        <f ca="1">ROUND(T_Facebook_Ads[[#This Row],[impressions]]*RANDBETWEEN(8,12)/10,0)</f>
        <v>13110</v>
      </c>
      <c r="G61" s="4">
        <v>689</v>
      </c>
      <c r="H61" s="4">
        <f ca="1">T_Facebook_Ads[[#This Row],[spend]]*RANDBETWEEN(8,12)/10</f>
        <v>228.06</v>
      </c>
      <c r="I61" s="4">
        <f ca="1">ROUND(T_Facebook_Ads[[#This Row],[conversions]]*RANDBETWEEN(8,12)/10,0)</f>
        <v>43</v>
      </c>
      <c r="J61" s="4">
        <f ca="1">ROUND(T_Facebook_Ads[[#This Row],[video_views]]*RANDBETWEEN(8,12)/10,0)</f>
        <v>1638</v>
      </c>
      <c r="K61" s="4">
        <f ca="1">T_Facebook_Ads[[#This Row],[engagement_rate]]*RANDBETWEEN(8,12)/10</f>
        <v>5.203E-2</v>
      </c>
      <c r="L61" s="4">
        <f ca="1">ROUND(T_Facebook_Ads[[#This Row],[reach]]*RANDBETWEEN(8,12)/10,0)</f>
        <v>10410</v>
      </c>
      <c r="M61" s="4">
        <f ca="1">T_Facebook_Ads[[#This Row],[frequency]]*RANDBETWEEN(8,12)/10</f>
        <v>1.008</v>
      </c>
      <c r="O61" s="3">
        <f t="shared" ca="1" si="6"/>
        <v>45003</v>
      </c>
      <c r="P61" s="4" t="s">
        <v>80</v>
      </c>
      <c r="Q61" s="4" t="s">
        <v>81</v>
      </c>
      <c r="R61" s="4" t="s">
        <v>82</v>
      </c>
      <c r="S61" s="4" t="s">
        <v>83</v>
      </c>
      <c r="T61" s="4">
        <f ca="1">ROUND(_Google_ads[[#This Row],[impressions]]*RANDBETWEEN(8,12)/10,0)</f>
        <v>36898</v>
      </c>
      <c r="U61" s="4">
        <f ca="1">ROUND(_Google_ads[[#This Row],[clicks]]*RANDBETWEEN(8,12)/10,0)</f>
        <v>923</v>
      </c>
      <c r="V61" s="4">
        <f ca="1">_Google_ads[[#This Row],[cost]]*RANDBETWEEN(8,12)/10</f>
        <v>472.23999999999995</v>
      </c>
      <c r="W61" s="4">
        <f ca="1">ROUND(_Google_ads[[#This Row],[conversions]]*RANDBETWEEN(8,12)/10,0)</f>
        <v>22</v>
      </c>
      <c r="X61" s="4">
        <f ca="1">ROUND(_Google_ads[[#This Row],[conversion_value]]*RANDBETWEEN(8,12)/10,0)</f>
        <v>1440</v>
      </c>
      <c r="Y61" s="4">
        <f ca="1">_Google_ads[[#This Row],[ctr]]*RANDBETWEEN(8,12)/10</f>
        <v>1.7999999999999999E-2</v>
      </c>
      <c r="Z61" s="4">
        <f ca="1">_Google_ads[[#This Row],[avg_cpc]]*RANDBETWEEN(8,12)/10</f>
        <v>0.70399999999999996</v>
      </c>
      <c r="AA61" s="4">
        <f ca="1">ROUND(_Google_ads[[#This Row],[quality_score]]*RANDBETWEEN(8,12)/10,0)</f>
        <v>6</v>
      </c>
      <c r="AB61" s="4">
        <f ca="1">_Google_ads[[#This Row],[search_impression_share]]*RANDBETWEEN(8,12)/10</f>
        <v>0.36</v>
      </c>
      <c r="AD61" s="3">
        <f t="shared" ca="1" si="7"/>
        <v>45012</v>
      </c>
      <c r="AE61" s="4" t="s">
        <v>104</v>
      </c>
      <c r="AF61" s="4" t="s">
        <v>105</v>
      </c>
      <c r="AG61" s="4" t="s">
        <v>106</v>
      </c>
      <c r="AH61" s="4" t="s">
        <v>107</v>
      </c>
      <c r="AI61" s="4">
        <f ca="1">ROUND(T_Tiktok_ads[[#This Row],[impressions]]*RANDBETWEEN(8,12)/10,0)</f>
        <v>193481</v>
      </c>
      <c r="AJ61" s="4">
        <f ca="1">ROUND(T_Tiktok_ads[[#This Row],[clicks]]*RANDBETWEEN(8,12)/10,0)</f>
        <v>2780</v>
      </c>
      <c r="AK61" s="4">
        <v>823.7</v>
      </c>
      <c r="AL61" s="4">
        <f ca="1">ROUND(T_Tiktok_ads[[#This Row],[conversions]]*RANDBETWEEN(8,12)/10,0)</f>
        <v>100</v>
      </c>
      <c r="AM61" s="4">
        <f ca="1">ROUND(T_Tiktok_ads[[#This Row],[video_views]]*RANDBETWEEN(8,12)/10,0)</f>
        <v>124802</v>
      </c>
      <c r="AN61" s="4">
        <f ca="1">ROUND(T_Tiktok_ads[[#This Row],[video_watch_25]]*RANDBETWEEN(8,12)/10,0)</f>
        <v>100280</v>
      </c>
      <c r="AO61" s="4">
        <f ca="1">ROUND(T_Tiktok_ads[[#This Row],[video_watch_50]]*RANDBETWEEN(8,12)/10,0)</f>
        <v>50611</v>
      </c>
      <c r="AP61" s="4">
        <f ca="1">ROUND(T_Tiktok_ads[[#This Row],[video_watch_75]]*RANDBETWEEN(8,12)/10,0)</f>
        <v>38111</v>
      </c>
      <c r="AQ61" s="4">
        <f ca="1">ROUND(T_Tiktok_ads[[#This Row],[video_watch_100]]*RANDBETWEEN(8,12)/10,0)</f>
        <v>25411</v>
      </c>
      <c r="AR61" s="4">
        <f ca="1">ROUND(T_Tiktok_ads[[#This Row],[likes]]*RANDBETWEEN(8,12)/10,0)</f>
        <v>6628</v>
      </c>
      <c r="AS61" s="4">
        <f ca="1">ROUND(T_Tiktok_ads[[#This Row],[shares]]*RANDBETWEEN(8,12)/10,0)</f>
        <v>1907</v>
      </c>
      <c r="AT61" s="4">
        <f ca="1">ROUND(T_Tiktok_ads[[#This Row],[comments]]*RANDBETWEEN(8,12)/10,0)</f>
        <v>301</v>
      </c>
      <c r="AV61" s="5">
        <f t="shared" ca="1" si="8"/>
        <v>45008</v>
      </c>
      <c r="AW61">
        <f t="shared" ca="1" si="4"/>
        <v>4</v>
      </c>
      <c r="AX61">
        <f ca="1">ROUND(T_Facebook_Ads115963[[#This Row],[impressions]]*RANDBETWEEN(8,12)/10,0)</f>
        <v>14421</v>
      </c>
      <c r="AY61">
        <f ca="1">ROUND(T_Facebook_Ads115963[[#This Row],[clicks]]*RANDBETWEEN(8,12)/10,0)</f>
        <v>620</v>
      </c>
      <c r="AZ61">
        <f ca="1">T_Facebook_Ads115963[[#This Row],[spend]]*RANDBETWEEN(8,12)/10</f>
        <v>182.44800000000001</v>
      </c>
      <c r="BA61">
        <f ca="1">ROUND(T_Facebook_Ads115963[[#This Row],[conversions]]*RANDBETWEEN(8,12)/10,0)</f>
        <v>47</v>
      </c>
      <c r="BB61">
        <f ca="1">ROUND(T_Facebook_Ads115963[[#This Row],[video_views]]*RANDBETWEEN(8,12)/10,0)</f>
        <v>1966</v>
      </c>
    </row>
    <row r="62" spans="1:54" ht="15.75" thickBot="1" x14ac:dyDescent="0.3">
      <c r="A62" s="3">
        <f t="shared" ca="1" si="5"/>
        <v>44986</v>
      </c>
      <c r="B62" s="4" t="s">
        <v>60</v>
      </c>
      <c r="C62" s="4" t="s">
        <v>61</v>
      </c>
      <c r="D62" s="4" t="s">
        <v>62</v>
      </c>
      <c r="E62" s="4" t="s">
        <v>63</v>
      </c>
      <c r="F62" s="4">
        <f ca="1">ROUND(T_Facebook_Ads[[#This Row],[impressions]]*RANDBETWEEN(8,12)/10,0)</f>
        <v>31121</v>
      </c>
      <c r="G62" s="4">
        <v>1456</v>
      </c>
      <c r="H62" s="4">
        <f ca="1">T_Facebook_Ads[[#This Row],[spend]]*RANDBETWEEN(8,12)/10</f>
        <v>202.05</v>
      </c>
      <c r="I62" s="4">
        <f ca="1">ROUND(T_Facebook_Ads[[#This Row],[conversions]]*RANDBETWEEN(8,12)/10,0)</f>
        <v>34</v>
      </c>
      <c r="J62" s="4">
        <f ca="1">ROUND(T_Facebook_Ads[[#This Row],[video_views]]*RANDBETWEEN(8,12)/10,0)</f>
        <v>4711</v>
      </c>
      <c r="K62" s="4">
        <f ca="1">T_Facebook_Ads[[#This Row],[engagement_rate]]*RANDBETWEEN(8,12)/10</f>
        <v>4.1140000000000003E-2</v>
      </c>
      <c r="L62" s="4">
        <f ca="1">ROUND(T_Facebook_Ads[[#This Row],[reach]]*RANDBETWEEN(8,12)/10,0)</f>
        <v>37747</v>
      </c>
      <c r="M62" s="4">
        <f ca="1">T_Facebook_Ads[[#This Row],[frequency]]*RANDBETWEEN(8,12)/10</f>
        <v>0.99199999999999999</v>
      </c>
      <c r="O62" s="3">
        <f t="shared" ca="1" si="6"/>
        <v>45003</v>
      </c>
      <c r="P62" s="4" t="s">
        <v>84</v>
      </c>
      <c r="Q62" s="4" t="s">
        <v>85</v>
      </c>
      <c r="R62" s="4" t="s">
        <v>86</v>
      </c>
      <c r="S62" s="4" t="s">
        <v>87</v>
      </c>
      <c r="T62" s="4">
        <f ca="1">ROUND(_Google_ads[[#This Row],[impressions]]*RANDBETWEEN(8,12)/10,0)</f>
        <v>78724</v>
      </c>
      <c r="U62" s="4">
        <f ca="1">ROUND(_Google_ads[[#This Row],[clicks]]*RANDBETWEEN(8,12)/10,0)</f>
        <v>2653</v>
      </c>
      <c r="V62" s="4">
        <f ca="1">_Google_ads[[#This Row],[cost]]*RANDBETWEEN(8,12)/10</f>
        <v>442.3</v>
      </c>
      <c r="W62" s="4">
        <f ca="1">ROUND(_Google_ads[[#This Row],[conversions]]*RANDBETWEEN(8,12)/10,0)</f>
        <v>70</v>
      </c>
      <c r="X62" s="4">
        <f ca="1">ROUND(_Google_ads[[#This Row],[conversion_value]]*RANDBETWEEN(8,12)/10,0)</f>
        <v>3500</v>
      </c>
      <c r="Y62" s="4">
        <f ca="1">_Google_ads[[#This Row],[ctr]]*RANDBETWEEN(8,12)/10</f>
        <v>3.0330000000000003E-2</v>
      </c>
      <c r="Z62" s="4">
        <f ca="1">_Google_ads[[#This Row],[avg_cpc]]*RANDBETWEEN(8,12)/10</f>
        <v>0.21600000000000003</v>
      </c>
      <c r="AA62" s="4">
        <f ca="1">ROUND(_Google_ads[[#This Row],[quality_score]]*RANDBETWEEN(8,12)/10,0)</f>
        <v>9</v>
      </c>
      <c r="AB62" s="4">
        <f ca="1">_Google_ads[[#This Row],[search_impression_share]]*RANDBETWEEN(8,12)/10</f>
        <v>0.748</v>
      </c>
      <c r="AD62" s="3">
        <f t="shared" ca="1" si="7"/>
        <v>44998</v>
      </c>
      <c r="AE62" s="4" t="s">
        <v>108</v>
      </c>
      <c r="AF62" s="4" t="s">
        <v>109</v>
      </c>
      <c r="AG62" s="4" t="s">
        <v>110</v>
      </c>
      <c r="AH62" s="4" t="s">
        <v>111</v>
      </c>
      <c r="AI62" s="4">
        <f ca="1">ROUND(T_Tiktok_ads[[#This Row],[impressions]]*RANDBETWEEN(8,12)/10,0)</f>
        <v>248901</v>
      </c>
      <c r="AJ62" s="4">
        <f ca="1">ROUND(T_Tiktok_ads[[#This Row],[clicks]]*RANDBETWEEN(8,12)/10,0)</f>
        <v>4721</v>
      </c>
      <c r="AK62" s="4">
        <v>478.5</v>
      </c>
      <c r="AL62" s="4">
        <f ca="1">ROUND(T_Tiktok_ads[[#This Row],[conversions]]*RANDBETWEEN(8,12)/10,0)</f>
        <v>32</v>
      </c>
      <c r="AM62" s="4">
        <f ca="1">ROUND(T_Tiktok_ads[[#This Row],[video_views]]*RANDBETWEEN(8,12)/10,0)</f>
        <v>156187</v>
      </c>
      <c r="AN62" s="4">
        <f ca="1">ROUND(T_Tiktok_ads[[#This Row],[video_watch_25]]*RANDBETWEEN(8,12)/10,0)</f>
        <v>163791</v>
      </c>
      <c r="AO62" s="4">
        <f ca="1">ROUND(T_Tiktok_ads[[#This Row],[video_watch_50]]*RANDBETWEEN(8,12)/10,0)</f>
        <v>106101</v>
      </c>
      <c r="AP62" s="4">
        <f ca="1">ROUND(T_Tiktok_ads[[#This Row],[video_watch_75]]*RANDBETWEEN(8,12)/10,0)</f>
        <v>91481</v>
      </c>
      <c r="AQ62" s="4">
        <f ca="1">ROUND(T_Tiktok_ads[[#This Row],[video_watch_100]]*RANDBETWEEN(8,12)/10,0)</f>
        <v>41611</v>
      </c>
      <c r="AR62" s="4">
        <f ca="1">ROUND(T_Tiktok_ads[[#This Row],[likes]]*RANDBETWEEN(8,12)/10,0)</f>
        <v>7861</v>
      </c>
      <c r="AS62" s="4">
        <f ca="1">ROUND(T_Tiktok_ads[[#This Row],[shares]]*RANDBETWEEN(8,12)/10,0)</f>
        <v>2161</v>
      </c>
      <c r="AT62" s="4">
        <f ca="1">ROUND(T_Tiktok_ads[[#This Row],[comments]]*RANDBETWEEN(8,12)/10,0)</f>
        <v>636</v>
      </c>
      <c r="AV62" s="5">
        <f t="shared" ca="1" si="8"/>
        <v>45015</v>
      </c>
      <c r="AW62">
        <f t="shared" ca="1" si="4"/>
        <v>6</v>
      </c>
      <c r="AX62">
        <f ca="1">ROUND(T_Facebook_Ads115963[[#This Row],[impressions]]*RANDBETWEEN(8,12)/10,0)</f>
        <v>24897</v>
      </c>
      <c r="AY62">
        <f ca="1">ROUND(T_Facebook_Ads115963[[#This Row],[clicks]]*RANDBETWEEN(8,12)/10,0)</f>
        <v>1747</v>
      </c>
      <c r="AZ62">
        <f ca="1">T_Facebook_Ads115963[[#This Row],[spend]]*RANDBETWEEN(8,12)/10</f>
        <v>202.05</v>
      </c>
      <c r="BA62">
        <f ca="1">ROUND(T_Facebook_Ads115963[[#This Row],[conversions]]*RANDBETWEEN(8,12)/10,0)</f>
        <v>34</v>
      </c>
      <c r="BB62">
        <f ca="1">ROUND(T_Facebook_Ads115963[[#This Row],[video_views]]*RANDBETWEEN(8,12)/10,0)</f>
        <v>3769</v>
      </c>
    </row>
    <row r="63" spans="1:54" ht="15.75" thickBot="1" x14ac:dyDescent="0.3">
      <c r="A63" s="3">
        <f t="shared" ca="1" si="5"/>
        <v>45011</v>
      </c>
      <c r="B63" s="4" t="s">
        <v>64</v>
      </c>
      <c r="C63" s="4" t="s">
        <v>65</v>
      </c>
      <c r="D63" s="4" t="s">
        <v>66</v>
      </c>
      <c r="E63" s="4" t="s">
        <v>67</v>
      </c>
      <c r="F63" s="4">
        <f ca="1">ROUND(T_Facebook_Ads[[#This Row],[impressions]]*RANDBETWEEN(8,12)/10,0)</f>
        <v>65111</v>
      </c>
      <c r="G63" s="4">
        <v>261</v>
      </c>
      <c r="H63" s="4">
        <f ca="1">T_Facebook_Ads[[#This Row],[spend]]*RANDBETWEEN(8,12)/10</f>
        <v>92.7</v>
      </c>
      <c r="I63" s="4">
        <f ca="1">ROUND(T_Facebook_Ads[[#This Row],[conversions]]*RANDBETWEEN(8,12)/10,0)</f>
        <v>6</v>
      </c>
      <c r="J63" s="4">
        <f ca="1">ROUND(T_Facebook_Ads[[#This Row],[video_views]]*RANDBETWEEN(8,12)/10,0)</f>
        <v>38854</v>
      </c>
      <c r="K63" s="4">
        <f ca="1">T_Facebook_Ads[[#This Row],[engagement_rate]]*RANDBETWEEN(8,12)/10</f>
        <v>2.8799999999999997E-3</v>
      </c>
      <c r="L63" s="4">
        <f ca="1">ROUND(T_Facebook_Ads[[#This Row],[reach]]*RANDBETWEEN(8,12)/10,0)</f>
        <v>52411</v>
      </c>
      <c r="M63" s="4">
        <f ca="1">T_Facebook_Ads[[#This Row],[frequency]]*RANDBETWEEN(8,12)/10</f>
        <v>1.1160000000000001</v>
      </c>
      <c r="O63" s="3">
        <f t="shared" ca="1" si="6"/>
        <v>45002</v>
      </c>
      <c r="P63" s="4" t="s">
        <v>88</v>
      </c>
      <c r="Q63" s="4" t="s">
        <v>89</v>
      </c>
      <c r="R63" s="4" t="s">
        <v>90</v>
      </c>
      <c r="S63" s="4" t="s">
        <v>59</v>
      </c>
      <c r="T63" s="4">
        <f ca="1">ROUND(_Google_ads[[#This Row],[impressions]]*RANDBETWEEN(8,12)/10,0)</f>
        <v>148757</v>
      </c>
      <c r="U63" s="4">
        <f ca="1">ROUND(_Google_ads[[#This Row],[clicks]]*RANDBETWEEN(8,12)/10,0)</f>
        <v>401</v>
      </c>
      <c r="V63" s="4">
        <f ca="1">_Google_ads[[#This Row],[cost]]*RANDBETWEEN(8,12)/10</f>
        <v>133.6</v>
      </c>
      <c r="W63" s="4">
        <f ca="1">ROUND(_Google_ads[[#This Row],[conversions]]*RANDBETWEEN(8,12)/10,0)</f>
        <v>17</v>
      </c>
      <c r="X63" s="4">
        <f ca="1">ROUND(_Google_ads[[#This Row],[conversion_value]]*RANDBETWEEN(8,12)/10,0)</f>
        <v>700</v>
      </c>
      <c r="Y63" s="4">
        <f ca="1">_Google_ads[[#This Row],[ctr]]*RANDBETWEEN(8,12)/10</f>
        <v>2.96E-3</v>
      </c>
      <c r="Z63" s="4">
        <f ca="1">_Google_ads[[#This Row],[avg_cpc]]*RANDBETWEEN(8,12)/10</f>
        <v>0.29700000000000004</v>
      </c>
      <c r="AA63" s="4">
        <f ca="1">ROUND(_Google_ads[[#This Row],[quality_score]]*RANDBETWEEN(8,12)/10,0)</f>
        <v>7</v>
      </c>
      <c r="AB63" s="4">
        <f ca="1">_Google_ads[[#This Row],[search_impression_share]]*RANDBETWEEN(8,12)/10</f>
        <v>0.315</v>
      </c>
      <c r="AD63" s="3">
        <f t="shared" ca="1" si="7"/>
        <v>45014</v>
      </c>
      <c r="AE63" s="4" t="s">
        <v>112</v>
      </c>
      <c r="AF63" s="4" t="s">
        <v>113</v>
      </c>
      <c r="AG63" s="4" t="s">
        <v>114</v>
      </c>
      <c r="AH63" s="4" t="s">
        <v>115</v>
      </c>
      <c r="AI63" s="4">
        <f ca="1">ROUND(T_Tiktok_ads[[#This Row],[impressions]]*RANDBETWEEN(8,12)/10,0)</f>
        <v>391110</v>
      </c>
      <c r="AJ63" s="4">
        <f ca="1">ROUND(T_Tiktok_ads[[#This Row],[clicks]]*RANDBETWEEN(8,12)/10,0)</f>
        <v>5610</v>
      </c>
      <c r="AK63" s="4">
        <v>1089.3</v>
      </c>
      <c r="AL63" s="4">
        <f ca="1">ROUND(T_Tiktok_ads[[#This Row],[conversions]]*RANDBETWEEN(8,12)/10,0)</f>
        <v>109</v>
      </c>
      <c r="AM63" s="4">
        <f ca="1">ROUND(T_Tiktok_ads[[#This Row],[video_views]]*RANDBETWEEN(8,12)/10,0)</f>
        <v>441468</v>
      </c>
      <c r="AN63" s="4">
        <f ca="1">ROUND(T_Tiktok_ads[[#This Row],[video_watch_25]]*RANDBETWEEN(8,12)/10,0)</f>
        <v>325857</v>
      </c>
      <c r="AO63" s="4">
        <f ca="1">ROUND(T_Tiktok_ads[[#This Row],[video_watch_50]]*RANDBETWEEN(8,12)/10,0)</f>
        <v>261679</v>
      </c>
      <c r="AP63" s="4">
        <f ca="1">ROUND(T_Tiktok_ads[[#This Row],[video_watch_75]]*RANDBETWEEN(8,12)/10,0)</f>
        <v>201881</v>
      </c>
      <c r="AQ63" s="4">
        <f ca="1">ROUND(T_Tiktok_ads[[#This Row],[video_watch_100]]*RANDBETWEEN(8,12)/10,0)</f>
        <v>133481</v>
      </c>
      <c r="AR63" s="4">
        <f ca="1">ROUND(T_Tiktok_ads[[#This Row],[likes]]*RANDBETWEEN(8,12)/10,0)</f>
        <v>19234</v>
      </c>
      <c r="AS63" s="4">
        <f ca="1">ROUND(T_Tiktok_ads[[#This Row],[shares]]*RANDBETWEEN(8,12)/10,0)</f>
        <v>6087</v>
      </c>
      <c r="AT63" s="4">
        <f ca="1">ROUND(T_Tiktok_ads[[#This Row],[comments]]*RANDBETWEEN(8,12)/10,0)</f>
        <v>1828</v>
      </c>
      <c r="AV63" s="5">
        <f t="shared" ca="1" si="8"/>
        <v>44997</v>
      </c>
      <c r="AW63">
        <f t="shared" ca="1" si="4"/>
        <v>2</v>
      </c>
      <c r="AX63">
        <f ca="1">ROUND(T_Facebook_Ads115963[[#This Row],[impressions]]*RANDBETWEEN(8,12)/10,0)</f>
        <v>58600</v>
      </c>
      <c r="AY63">
        <f ca="1">ROUND(T_Facebook_Ads115963[[#This Row],[clicks]]*RANDBETWEEN(8,12)/10,0)</f>
        <v>287</v>
      </c>
      <c r="AZ63">
        <f ca="1">T_Facebook_Ads115963[[#This Row],[spend]]*RANDBETWEEN(8,12)/10</f>
        <v>111.24000000000001</v>
      </c>
      <c r="BA63">
        <f ca="1">ROUND(T_Facebook_Ads115963[[#This Row],[conversions]]*RANDBETWEEN(8,12)/10,0)</f>
        <v>7</v>
      </c>
      <c r="BB63">
        <f ca="1">ROUND(T_Facebook_Ads115963[[#This Row],[video_views]]*RANDBETWEEN(8,12)/10,0)</f>
        <v>46625</v>
      </c>
    </row>
    <row r="64" spans="1:54" ht="15.75" thickBot="1" x14ac:dyDescent="0.3">
      <c r="A64" s="3">
        <f t="shared" ca="1" si="5"/>
        <v>45003</v>
      </c>
      <c r="B64" s="4" t="s">
        <v>52</v>
      </c>
      <c r="C64" s="4" t="s">
        <v>53</v>
      </c>
      <c r="D64" s="4" t="s">
        <v>54</v>
      </c>
      <c r="E64" s="4" t="s">
        <v>55</v>
      </c>
      <c r="F64" s="4">
        <f ca="1">ROUND(T_Facebook_Ads[[#This Row],[impressions]]*RANDBETWEEN(8,12)/10,0)</f>
        <v>43101</v>
      </c>
      <c r="G64" s="4">
        <v>967</v>
      </c>
      <c r="H64" s="4">
        <f ca="1">T_Facebook_Ads[[#This Row],[spend]]*RANDBETWEEN(8,12)/10</f>
        <v>124.56000000000002</v>
      </c>
      <c r="I64" s="4">
        <f ca="1">ROUND(T_Facebook_Ads[[#This Row],[conversions]]*RANDBETWEEN(8,12)/10,0)</f>
        <v>17</v>
      </c>
      <c r="J64" s="4">
        <f ca="1">ROUND(T_Facebook_Ads[[#This Row],[video_views]]*RANDBETWEEN(8,12)/10,0)</f>
        <v>10547</v>
      </c>
      <c r="K64" s="4">
        <f ca="1">T_Facebook_Ads[[#This Row],[engagement_rate]]*RANDBETWEEN(8,12)/10</f>
        <v>2.0199999999999999E-2</v>
      </c>
      <c r="L64" s="4">
        <f ca="1">ROUND(T_Facebook_Ads[[#This Row],[reach]]*RANDBETWEEN(8,12)/10,0)</f>
        <v>48281</v>
      </c>
      <c r="M64" s="4">
        <f ca="1">T_Facebook_Ads[[#This Row],[frequency]]*RANDBETWEEN(8,12)/10</f>
        <v>1.19</v>
      </c>
      <c r="O64" s="3">
        <f t="shared" ca="1" si="6"/>
        <v>45001</v>
      </c>
      <c r="P64" s="4" t="s">
        <v>76</v>
      </c>
      <c r="Q64" s="4" t="s">
        <v>77</v>
      </c>
      <c r="R64" s="4" t="s">
        <v>78</v>
      </c>
      <c r="S64" s="4" t="s">
        <v>79</v>
      </c>
      <c r="T64" s="4">
        <f ca="1">ROUND(_Google_ads[[#This Row],[impressions]]*RANDBETWEEN(8,12)/10,0)</f>
        <v>29480</v>
      </c>
      <c r="U64" s="4">
        <f ca="1">ROUND(_Google_ads[[#This Row],[clicks]]*RANDBETWEEN(8,12)/10,0)</f>
        <v>1289</v>
      </c>
      <c r="V64" s="4">
        <f ca="1">_Google_ads[[#This Row],[cost]]*RANDBETWEEN(8,12)/10</f>
        <v>197.44</v>
      </c>
      <c r="W64" s="4">
        <f ca="1">ROUND(_Google_ads[[#This Row],[conversions]]*RANDBETWEEN(8,12)/10,0)</f>
        <v>58</v>
      </c>
      <c r="X64" s="4">
        <f ca="1">ROUND(_Google_ads[[#This Row],[conversion_value]]*RANDBETWEEN(8,12)/10,0)</f>
        <v>2400</v>
      </c>
      <c r="Y64" s="4">
        <f ca="1">_Google_ads[[#This Row],[ctr]]*RANDBETWEEN(8,12)/10</f>
        <v>5.2500000000000005E-2</v>
      </c>
      <c r="Z64" s="4">
        <f ca="1">_Google_ads[[#This Row],[avg_cpc]]*RANDBETWEEN(8,12)/10</f>
        <v>0.152</v>
      </c>
      <c r="AA64" s="4">
        <f ca="1">ROUND(_Google_ads[[#This Row],[quality_score]]*RANDBETWEEN(8,12)/10,0)</f>
        <v>7</v>
      </c>
      <c r="AB64" s="4">
        <f ca="1">_Google_ads[[#This Row],[search_impression_share]]*RANDBETWEEN(8,12)/10</f>
        <v>0.81899999999999995</v>
      </c>
      <c r="AD64" s="3">
        <f t="shared" ca="1" si="7"/>
        <v>45008</v>
      </c>
      <c r="AE64" s="4" t="s">
        <v>100</v>
      </c>
      <c r="AF64" s="4" t="s">
        <v>101</v>
      </c>
      <c r="AG64" s="4" t="s">
        <v>102</v>
      </c>
      <c r="AH64" s="4" t="s">
        <v>103</v>
      </c>
      <c r="AI64" s="4">
        <f ca="1">ROUND(T_Tiktok_ads[[#This Row],[impressions]]*RANDBETWEEN(8,12)/10,0)</f>
        <v>278901</v>
      </c>
      <c r="AJ64" s="4">
        <f ca="1">ROUND(T_Tiktok_ads[[#This Row],[clicks]]*RANDBETWEEN(8,12)/10,0)</f>
        <v>4535</v>
      </c>
      <c r="AK64" s="4">
        <v>545.6</v>
      </c>
      <c r="AL64" s="4">
        <f ca="1">ROUND(T_Tiktok_ads[[#This Row],[conversions]]*RANDBETWEEN(8,12)/10,0)</f>
        <v>34</v>
      </c>
      <c r="AM64" s="4">
        <f ca="1">ROUND(T_Tiktok_ads[[#This Row],[video_views]]*RANDBETWEEN(8,12)/10,0)</f>
        <v>252157</v>
      </c>
      <c r="AN64" s="4">
        <f ca="1">ROUND(T_Tiktok_ads[[#This Row],[video_watch_25]]*RANDBETWEEN(8,12)/10,0)</f>
        <v>179234</v>
      </c>
      <c r="AO64" s="4">
        <f ca="1">ROUND(T_Tiktok_ads[[#This Row],[video_watch_50]]*RANDBETWEEN(8,12)/10,0)</f>
        <v>89787</v>
      </c>
      <c r="AP64" s="4">
        <f ca="1">ROUND(T_Tiktok_ads[[#This Row],[video_watch_75]]*RANDBETWEEN(8,12)/10,0)</f>
        <v>83246</v>
      </c>
      <c r="AQ64" s="4">
        <f ca="1">ROUND(T_Tiktok_ads[[#This Row],[video_watch_100]]*RANDBETWEEN(8,12)/10,0)</f>
        <v>55257</v>
      </c>
      <c r="AR64" s="4">
        <f ca="1">ROUND(T_Tiktok_ads[[#This Row],[likes]]*RANDBETWEEN(8,12)/10,0)</f>
        <v>9111</v>
      </c>
      <c r="AS64" s="4">
        <f ca="1">ROUND(T_Tiktok_ads[[#This Row],[shares]]*RANDBETWEEN(8,12)/10,0)</f>
        <v>2983</v>
      </c>
      <c r="AT64" s="4">
        <f ca="1">ROUND(T_Tiktok_ads[[#This Row],[comments]]*RANDBETWEEN(8,12)/10,0)</f>
        <v>581</v>
      </c>
      <c r="AV64" s="5">
        <f t="shared" ca="1" si="8"/>
        <v>45004</v>
      </c>
      <c r="AW64">
        <f t="shared" ca="1" si="4"/>
        <v>5</v>
      </c>
      <c r="AX64">
        <f ca="1">ROUND(T_Facebook_Ads115963[[#This Row],[impressions]]*RANDBETWEEN(8,12)/10,0)</f>
        <v>47411</v>
      </c>
      <c r="AY64">
        <f ca="1">ROUND(T_Facebook_Ads115963[[#This Row],[clicks]]*RANDBETWEEN(8,12)/10,0)</f>
        <v>870</v>
      </c>
      <c r="AZ64">
        <f ca="1">T_Facebook_Ads115963[[#This Row],[spend]]*RANDBETWEEN(8,12)/10</f>
        <v>99.64800000000001</v>
      </c>
      <c r="BA64">
        <f ca="1">ROUND(T_Facebook_Ads115963[[#This Row],[conversions]]*RANDBETWEEN(8,12)/10,0)</f>
        <v>15</v>
      </c>
      <c r="BB64">
        <f ca="1">ROUND(T_Facebook_Ads115963[[#This Row],[video_views]]*RANDBETWEEN(8,12)/10,0)</f>
        <v>11602</v>
      </c>
    </row>
    <row r="65" spans="1:54" ht="15.75" thickBot="1" x14ac:dyDescent="0.3">
      <c r="A65" s="3">
        <f t="shared" ca="1" si="5"/>
        <v>44999</v>
      </c>
      <c r="B65" s="4" t="s">
        <v>56</v>
      </c>
      <c r="C65" s="4" t="s">
        <v>57</v>
      </c>
      <c r="D65" s="4" t="s">
        <v>58</v>
      </c>
      <c r="E65" s="4" t="s">
        <v>59</v>
      </c>
      <c r="F65" s="4">
        <f ca="1">ROUND(T_Facebook_Ads[[#This Row],[impressions]]*RANDBETWEEN(8,12)/10,0)</f>
        <v>12501</v>
      </c>
      <c r="G65" s="4">
        <v>634</v>
      </c>
      <c r="H65" s="4">
        <f ca="1">T_Facebook_Ads[[#This Row],[spend]]*RANDBETWEEN(8,12)/10</f>
        <v>212.22000000000003</v>
      </c>
      <c r="I65" s="4">
        <f ca="1">ROUND(T_Facebook_Ads[[#This Row],[conversions]]*RANDBETWEEN(8,12)/10,0)</f>
        <v>40</v>
      </c>
      <c r="J65" s="4">
        <f ca="1">ROUND(T_Facebook_Ads[[#This Row],[video_views]]*RANDBETWEEN(8,12)/10,0)</f>
        <v>1516</v>
      </c>
      <c r="K65" s="4">
        <f ca="1">T_Facebook_Ads[[#This Row],[engagement_rate]]*RANDBETWEEN(8,12)/10</f>
        <v>5.484E-2</v>
      </c>
      <c r="L65" s="4">
        <f ca="1">ROUND(T_Facebook_Ads[[#This Row],[reach]]*RANDBETWEEN(8,12)/10,0)</f>
        <v>11979</v>
      </c>
      <c r="M65" s="4">
        <f ca="1">T_Facebook_Ads[[#This Row],[frequency]]*RANDBETWEEN(8,12)/10</f>
        <v>1.143</v>
      </c>
      <c r="O65" s="3">
        <f t="shared" ca="1" si="6"/>
        <v>45005</v>
      </c>
      <c r="P65" s="4" t="s">
        <v>80</v>
      </c>
      <c r="Q65" s="4" t="s">
        <v>81</v>
      </c>
      <c r="R65" s="4" t="s">
        <v>82</v>
      </c>
      <c r="S65" s="4" t="s">
        <v>83</v>
      </c>
      <c r="T65" s="4">
        <f ca="1">ROUND(_Google_ads[[#This Row],[impressions]]*RANDBETWEEN(8,12)/10,0)</f>
        <v>44890</v>
      </c>
      <c r="U65" s="4">
        <f ca="1">ROUND(_Google_ads[[#This Row],[clicks]]*RANDBETWEEN(8,12)/10,0)</f>
        <v>801</v>
      </c>
      <c r="V65" s="4">
        <f ca="1">_Google_ads[[#This Row],[cost]]*RANDBETWEEN(8,12)/10</f>
        <v>459.76000000000005</v>
      </c>
      <c r="W65" s="4">
        <f ca="1">ROUND(_Google_ads[[#This Row],[conversions]]*RANDBETWEEN(8,12)/10,0)</f>
        <v>18</v>
      </c>
      <c r="X65" s="4">
        <f ca="1">ROUND(_Google_ads[[#This Row],[conversion_value]]*RANDBETWEEN(8,12)/10,0)</f>
        <v>920</v>
      </c>
      <c r="Y65" s="4">
        <f ca="1">_Google_ads[[#This Row],[ctr]]*RANDBETWEEN(8,12)/10</f>
        <v>2.1780000000000001E-2</v>
      </c>
      <c r="Z65" s="4">
        <f ca="1">_Google_ads[[#This Row],[avg_cpc]]*RANDBETWEEN(8,12)/10</f>
        <v>0.65</v>
      </c>
      <c r="AA65" s="4">
        <f ca="1">ROUND(_Google_ads[[#This Row],[quality_score]]*RANDBETWEEN(8,12)/10,0)</f>
        <v>6</v>
      </c>
      <c r="AB65" s="4">
        <f ca="1">_Google_ads[[#This Row],[search_impression_share]]*RANDBETWEEN(8,12)/10</f>
        <v>0.39600000000000002</v>
      </c>
      <c r="AD65" s="3">
        <f t="shared" ca="1" si="7"/>
        <v>45005</v>
      </c>
      <c r="AE65" s="4" t="s">
        <v>104</v>
      </c>
      <c r="AF65" s="4" t="s">
        <v>105</v>
      </c>
      <c r="AG65" s="4" t="s">
        <v>106</v>
      </c>
      <c r="AH65" s="4" t="s">
        <v>107</v>
      </c>
      <c r="AI65" s="4">
        <f ca="1">ROUND(T_Tiktok_ads[[#This Row],[impressions]]*RANDBETWEEN(8,12)/10,0)</f>
        <v>168802</v>
      </c>
      <c r="AJ65" s="4">
        <f ca="1">ROUND(T_Tiktok_ads[[#This Row],[clicks]]*RANDBETWEEN(8,12)/10,0)</f>
        <v>3240</v>
      </c>
      <c r="AK65" s="4">
        <v>789.2</v>
      </c>
      <c r="AL65" s="4">
        <f ca="1">ROUND(T_Tiktok_ads[[#This Row],[conversions]]*RANDBETWEEN(8,12)/10,0)</f>
        <v>63</v>
      </c>
      <c r="AM65" s="4">
        <f ca="1">ROUND(T_Tiktok_ads[[#This Row],[video_views]]*RANDBETWEEN(8,12)/10,0)</f>
        <v>97101</v>
      </c>
      <c r="AN65" s="4">
        <f ca="1">ROUND(T_Tiktok_ads[[#This Row],[video_watch_25]]*RANDBETWEEN(8,12)/10,0)</f>
        <v>71610</v>
      </c>
      <c r="AO65" s="4">
        <f ca="1">ROUND(T_Tiktok_ads[[#This Row],[video_watch_50]]*RANDBETWEEN(8,12)/10,0)</f>
        <v>53678</v>
      </c>
      <c r="AP65" s="4">
        <f ca="1">ROUND(T_Tiktok_ads[[#This Row],[video_watch_75]]*RANDBETWEEN(8,12)/10,0)</f>
        <v>32187</v>
      </c>
      <c r="AQ65" s="4">
        <f ca="1">ROUND(T_Tiktok_ads[[#This Row],[video_watch_100]]*RANDBETWEEN(8,12)/10,0)</f>
        <v>26890</v>
      </c>
      <c r="AR65" s="4">
        <f ca="1">ROUND(T_Tiktok_ads[[#This Row],[likes]]*RANDBETWEEN(8,12)/10,0)</f>
        <v>5757</v>
      </c>
      <c r="AS65" s="4">
        <f ca="1">ROUND(T_Tiktok_ads[[#This Row],[shares]]*RANDBETWEEN(8,12)/10,0)</f>
        <v>1165</v>
      </c>
      <c r="AT65" s="4">
        <f ca="1">ROUND(T_Tiktok_ads[[#This Row],[comments]]*RANDBETWEEN(8,12)/10,0)</f>
        <v>334</v>
      </c>
      <c r="AV65" s="5">
        <f t="shared" ca="1" si="8"/>
        <v>45009</v>
      </c>
      <c r="AW65">
        <f t="shared" ca="1" si="4"/>
        <v>7</v>
      </c>
      <c r="AX65">
        <f ca="1">ROUND(T_Facebook_Ads115963[[#This Row],[impressions]]*RANDBETWEEN(8,12)/10,0)</f>
        <v>10001</v>
      </c>
      <c r="AY65">
        <f ca="1">ROUND(T_Facebook_Ads115963[[#This Row],[clicks]]*RANDBETWEEN(8,12)/10,0)</f>
        <v>634</v>
      </c>
      <c r="AZ65">
        <f ca="1">T_Facebook_Ads115963[[#This Row],[spend]]*RANDBETWEEN(8,12)/10</f>
        <v>254.66400000000004</v>
      </c>
      <c r="BA65">
        <f ca="1">ROUND(T_Facebook_Ads115963[[#This Row],[conversions]]*RANDBETWEEN(8,12)/10,0)</f>
        <v>44</v>
      </c>
      <c r="BB65">
        <f ca="1">ROUND(T_Facebook_Ads115963[[#This Row],[video_views]]*RANDBETWEEN(8,12)/10,0)</f>
        <v>1668</v>
      </c>
    </row>
    <row r="66" spans="1:54" ht="15.75" thickBot="1" x14ac:dyDescent="0.3">
      <c r="A66" s="3">
        <f t="shared" ref="A66:A97" ca="1" si="9">DATE(2023,3,RANDBETWEEN(1,31))</f>
        <v>45005</v>
      </c>
      <c r="B66" s="4" t="s">
        <v>60</v>
      </c>
      <c r="C66" s="4" t="s">
        <v>61</v>
      </c>
      <c r="D66" s="4" t="s">
        <v>62</v>
      </c>
      <c r="E66" s="4" t="s">
        <v>63</v>
      </c>
      <c r="F66" s="4">
        <f ca="1">ROUND(T_Facebook_Ads[[#This Row],[impressions]]*RANDBETWEEN(8,12)/10,0)</f>
        <v>44681</v>
      </c>
      <c r="G66" s="4">
        <v>1367</v>
      </c>
      <c r="H66" s="4">
        <f ca="1">T_Facebook_Ads[[#This Row],[spend]]*RANDBETWEEN(8,12)/10</f>
        <v>167.92000000000002</v>
      </c>
      <c r="I66" s="4">
        <f ca="1">ROUND(T_Facebook_Ads[[#This Row],[conversions]]*RANDBETWEEN(8,12)/10,0)</f>
        <v>22</v>
      </c>
      <c r="J66" s="4">
        <f ca="1">ROUND(T_Facebook_Ads[[#This Row],[video_views]]*RANDBETWEEN(8,12)/10,0)</f>
        <v>6014</v>
      </c>
      <c r="K66" s="4">
        <f ca="1">T_Facebook_Ads[[#This Row],[engagement_rate]]*RANDBETWEEN(8,12)/10</f>
        <v>3.3030000000000004E-2</v>
      </c>
      <c r="L66" s="4">
        <f ca="1">ROUND(T_Facebook_Ads[[#This Row],[reach]]*RANDBETWEEN(8,12)/10,0)</f>
        <v>30678</v>
      </c>
      <c r="M66" s="4">
        <f ca="1">T_Facebook_Ads[[#This Row],[frequency]]*RANDBETWEEN(8,12)/10</f>
        <v>0.96799999999999997</v>
      </c>
      <c r="O66" s="3">
        <f t="shared" ref="O66:O97" ca="1" si="10">DATE(2023,3,RANDBETWEEN(1,31))</f>
        <v>44988</v>
      </c>
      <c r="P66" s="4" t="s">
        <v>84</v>
      </c>
      <c r="Q66" s="4" t="s">
        <v>85</v>
      </c>
      <c r="R66" s="4" t="s">
        <v>86</v>
      </c>
      <c r="S66" s="4" t="s">
        <v>87</v>
      </c>
      <c r="T66" s="4">
        <f ca="1">ROUND(_Google_ads[[#This Row],[impressions]]*RANDBETWEEN(8,12)/10,0)</f>
        <v>62311</v>
      </c>
      <c r="U66" s="4">
        <f ca="1">ROUND(_Google_ads[[#This Row],[clicks]]*RANDBETWEEN(8,12)/10,0)</f>
        <v>2761</v>
      </c>
      <c r="V66" s="4">
        <f ca="1">_Google_ads[[#This Row],[cost]]*RANDBETWEEN(8,12)/10</f>
        <v>465.85</v>
      </c>
      <c r="W66" s="4">
        <f ca="1">ROUND(_Google_ads[[#This Row],[conversions]]*RANDBETWEEN(8,12)/10,0)</f>
        <v>54</v>
      </c>
      <c r="X66" s="4">
        <f ca="1">ROUND(_Google_ads[[#This Row],[conversion_value]]*RANDBETWEEN(8,12)/10,0)</f>
        <v>2680</v>
      </c>
      <c r="Y66" s="4">
        <f ca="1">_Google_ads[[#This Row],[ctr]]*RANDBETWEEN(8,12)/10</f>
        <v>3.984E-2</v>
      </c>
      <c r="Z66" s="4">
        <f ca="1">_Google_ads[[#This Row],[avg_cpc]]*RANDBETWEEN(8,12)/10</f>
        <v>0.14399999999999999</v>
      </c>
      <c r="AA66" s="4">
        <f ca="1">ROUND(_Google_ads[[#This Row],[quality_score]]*RANDBETWEEN(8,12)/10,0)</f>
        <v>10</v>
      </c>
      <c r="AB66" s="4">
        <f ca="1">_Google_ads[[#This Row],[search_impression_share]]*RANDBETWEEN(8,12)/10</f>
        <v>0.73699999999999999</v>
      </c>
      <c r="AD66" s="3">
        <f t="shared" ref="AD66:AD97" ca="1" si="11">DATE(2023,3,RANDBETWEEN(1,31))</f>
        <v>45002</v>
      </c>
      <c r="AE66" s="4" t="s">
        <v>108</v>
      </c>
      <c r="AF66" s="4" t="s">
        <v>109</v>
      </c>
      <c r="AG66" s="4" t="s">
        <v>110</v>
      </c>
      <c r="AH66" s="4" t="s">
        <v>111</v>
      </c>
      <c r="AI66" s="4">
        <f ca="1">ROUND(T_Tiktok_ads[[#This Row],[impressions]]*RANDBETWEEN(8,12)/10,0)</f>
        <v>236789</v>
      </c>
      <c r="AJ66" s="4">
        <f ca="1">ROUND(T_Tiktok_ads[[#This Row],[clicks]]*RANDBETWEEN(8,12)/10,0)</f>
        <v>3734</v>
      </c>
      <c r="AK66" s="4">
        <v>456.8</v>
      </c>
      <c r="AL66" s="4">
        <f ca="1">ROUND(T_Tiktok_ads[[#This Row],[conversions]]*RANDBETWEEN(8,12)/10,0)</f>
        <v>40</v>
      </c>
      <c r="AM66" s="4">
        <f ca="1">ROUND(T_Tiktok_ads[[#This Row],[video_views]]*RANDBETWEEN(8,12)/10,0)</f>
        <v>187890</v>
      </c>
      <c r="AN66" s="4">
        <f ca="1">ROUND(T_Tiktok_ads[[#This Row],[video_watch_25]]*RANDBETWEEN(8,12)/10,0)</f>
        <v>156580</v>
      </c>
      <c r="AO66" s="4">
        <f ca="1">ROUND(T_Tiktok_ads[[#This Row],[video_watch_50]]*RANDBETWEEN(8,12)/10,0)</f>
        <v>134814</v>
      </c>
      <c r="AP66" s="4">
        <f ca="1">ROUND(T_Tiktok_ads[[#This Row],[video_watch_75]]*RANDBETWEEN(8,12)/10,0)</f>
        <v>86814</v>
      </c>
      <c r="AQ66" s="4">
        <f ca="1">ROUND(T_Tiktok_ads[[#This Row],[video_watch_100]]*RANDBETWEEN(8,12)/10,0)</f>
        <v>39410</v>
      </c>
      <c r="AR66" s="4">
        <f ca="1">ROUND(T_Tiktok_ads[[#This Row],[likes]]*RANDBETWEEN(8,12)/10,0)</f>
        <v>8456</v>
      </c>
      <c r="AS66" s="4">
        <f ca="1">ROUND(T_Tiktok_ads[[#This Row],[shares]]*RANDBETWEEN(8,12)/10,0)</f>
        <v>2040</v>
      </c>
      <c r="AT66" s="4">
        <f ca="1">ROUND(T_Tiktok_ads[[#This Row],[comments]]*RANDBETWEEN(8,12)/10,0)</f>
        <v>545</v>
      </c>
      <c r="AV66" s="5">
        <f t="shared" ref="AV66:AV97" ca="1" si="12">DATE(2023,3,RANDBETWEEN(1,31))</f>
        <v>45011</v>
      </c>
      <c r="AW66">
        <f t="shared" ca="1" si="4"/>
        <v>1</v>
      </c>
      <c r="AX66">
        <f ca="1">ROUND(T_Facebook_Ads115963[[#This Row],[impressions]]*RANDBETWEEN(8,12)/10,0)</f>
        <v>35745</v>
      </c>
      <c r="AY66">
        <f ca="1">ROUND(T_Facebook_Ads115963[[#This Row],[clicks]]*RANDBETWEEN(8,12)/10,0)</f>
        <v>1367</v>
      </c>
      <c r="AZ66">
        <f ca="1">T_Facebook_Ads115963[[#This Row],[spend]]*RANDBETWEEN(8,12)/10</f>
        <v>134.33600000000001</v>
      </c>
      <c r="BA66">
        <f ca="1">ROUND(T_Facebook_Ads115963[[#This Row],[conversions]]*RANDBETWEEN(8,12)/10,0)</f>
        <v>26</v>
      </c>
      <c r="BB66">
        <f ca="1">ROUND(T_Facebook_Ads115963[[#This Row],[video_views]]*RANDBETWEEN(8,12)/10,0)</f>
        <v>7217</v>
      </c>
    </row>
    <row r="67" spans="1:54" ht="15.75" thickBot="1" x14ac:dyDescent="0.3">
      <c r="A67" s="3">
        <f t="shared" ca="1" si="9"/>
        <v>45006</v>
      </c>
      <c r="B67" s="4" t="s">
        <v>64</v>
      </c>
      <c r="C67" s="4" t="s">
        <v>65</v>
      </c>
      <c r="D67" s="4" t="s">
        <v>66</v>
      </c>
      <c r="E67" s="4" t="s">
        <v>67</v>
      </c>
      <c r="F67" s="4">
        <f ca="1">ROUND(T_Facebook_Ads[[#This Row],[impressions]]*RANDBETWEEN(8,12)/10,0)</f>
        <v>63111</v>
      </c>
      <c r="G67" s="4">
        <v>253</v>
      </c>
      <c r="H67" s="4">
        <f ca="1">T_Facebook_Ads[[#This Row],[spend]]*RANDBETWEEN(8,12)/10</f>
        <v>71.52000000000001</v>
      </c>
      <c r="I67" s="4">
        <f ca="1">ROUND(T_Facebook_Ads[[#This Row],[conversions]]*RANDBETWEEN(8,12)/10,0)</f>
        <v>6</v>
      </c>
      <c r="J67" s="4">
        <f ca="1">ROUND(T_Facebook_Ads[[#This Row],[video_views]]*RANDBETWEEN(8,12)/10,0)</f>
        <v>37787</v>
      </c>
      <c r="K67" s="4">
        <f ca="1">T_Facebook_Ads[[#This Row],[engagement_rate]]*RANDBETWEEN(8,12)/10</f>
        <v>4.3200000000000001E-3</v>
      </c>
      <c r="L67" s="4">
        <f ca="1">ROUND(T_Facebook_Ads[[#This Row],[reach]]*RANDBETWEEN(8,12)/10,0)</f>
        <v>46312</v>
      </c>
      <c r="M67" s="4">
        <f ca="1">T_Facebook_Ads[[#This Row],[frequency]]*RANDBETWEEN(8,12)/10</f>
        <v>1.452</v>
      </c>
      <c r="O67" s="3">
        <f t="shared" ca="1" si="10"/>
        <v>45014</v>
      </c>
      <c r="P67" s="4" t="s">
        <v>88</v>
      </c>
      <c r="Q67" s="4" t="s">
        <v>89</v>
      </c>
      <c r="R67" s="4" t="s">
        <v>90</v>
      </c>
      <c r="S67" s="4" t="s">
        <v>59</v>
      </c>
      <c r="T67" s="4">
        <f ca="1">ROUND(_Google_ads[[#This Row],[impressions]]*RANDBETWEEN(8,12)/10,0)</f>
        <v>105254</v>
      </c>
      <c r="U67" s="4">
        <f ca="1">ROUND(_Google_ads[[#This Row],[clicks]]*RANDBETWEEN(8,12)/10,0)</f>
        <v>526</v>
      </c>
      <c r="V67" s="4">
        <f ca="1">_Google_ads[[#This Row],[cost]]*RANDBETWEEN(8,12)/10</f>
        <v>155.28000000000003</v>
      </c>
      <c r="W67" s="4">
        <f ca="1">ROUND(_Google_ads[[#This Row],[conversions]]*RANDBETWEEN(8,12)/10,0)</f>
        <v>10</v>
      </c>
      <c r="X67" s="4">
        <f ca="1">ROUND(_Google_ads[[#This Row],[conversion_value]]*RANDBETWEEN(8,12)/10,0)</f>
        <v>715</v>
      </c>
      <c r="Y67" s="4">
        <f ca="1">_Google_ads[[#This Row],[ctr]]*RANDBETWEEN(8,12)/10</f>
        <v>3.96E-3</v>
      </c>
      <c r="Z67" s="4">
        <f ca="1">_Google_ads[[#This Row],[avg_cpc]]*RANDBETWEEN(8,12)/10</f>
        <v>0.24300000000000002</v>
      </c>
      <c r="AA67" s="4">
        <f ca="1">ROUND(_Google_ads[[#This Row],[quality_score]]*RANDBETWEEN(8,12)/10,0)</f>
        <v>8</v>
      </c>
      <c r="AB67" s="4">
        <f ca="1">_Google_ads[[#This Row],[search_impression_share]]*RANDBETWEEN(8,12)/10</f>
        <v>0.40800000000000003</v>
      </c>
      <c r="AD67" s="3">
        <f t="shared" ca="1" si="11"/>
        <v>45015</v>
      </c>
      <c r="AE67" s="4" t="s">
        <v>112</v>
      </c>
      <c r="AF67" s="4" t="s">
        <v>113</v>
      </c>
      <c r="AG67" s="4" t="s">
        <v>114</v>
      </c>
      <c r="AH67" s="4" t="s">
        <v>115</v>
      </c>
      <c r="AI67" s="4">
        <f ca="1">ROUND(T_Tiktok_ads[[#This Row],[impressions]]*RANDBETWEEN(8,12)/10,0)</f>
        <v>508147</v>
      </c>
      <c r="AJ67" s="4">
        <f ca="1">ROUND(T_Tiktok_ads[[#This Row],[clicks]]*RANDBETWEEN(8,12)/10,0)</f>
        <v>6110</v>
      </c>
      <c r="AK67" s="4">
        <v>1034.5</v>
      </c>
      <c r="AL67" s="4">
        <f ca="1">ROUND(T_Tiktok_ads[[#This Row],[conversions]]*RANDBETWEEN(8,12)/10,0)</f>
        <v>114</v>
      </c>
      <c r="AM67" s="4">
        <f ca="1">ROUND(T_Tiktok_ads[[#This Row],[video_views]]*RANDBETWEEN(8,12)/10,0)</f>
        <v>392468</v>
      </c>
      <c r="AN67" s="4">
        <f ca="1">ROUND(T_Tiktok_ads[[#This Row],[video_watch_25]]*RANDBETWEEN(8,12)/10,0)</f>
        <v>229787</v>
      </c>
      <c r="AO67" s="4">
        <f ca="1">ROUND(T_Tiktok_ads[[#This Row],[video_watch_50]]*RANDBETWEEN(8,12)/10,0)</f>
        <v>206311</v>
      </c>
      <c r="AP67" s="4">
        <f ca="1">ROUND(T_Tiktok_ads[[#This Row],[video_watch_75]]*RANDBETWEEN(8,12)/10,0)</f>
        <v>178580</v>
      </c>
      <c r="AQ67" s="4">
        <f ca="1">ROUND(T_Tiktok_ads[[#This Row],[video_watch_100]]*RANDBETWEEN(8,12)/10,0)</f>
        <v>97101</v>
      </c>
      <c r="AR67" s="4">
        <f ca="1">ROUND(T_Tiktok_ads[[#This Row],[likes]]*RANDBETWEEN(8,12)/10,0)</f>
        <v>18756</v>
      </c>
      <c r="AS67" s="4">
        <f ca="1">ROUND(T_Tiktok_ads[[#This Row],[shares]]*RANDBETWEEN(8,12)/10,0)</f>
        <v>5345</v>
      </c>
      <c r="AT67" s="4">
        <f ca="1">ROUND(T_Tiktok_ads[[#This Row],[comments]]*RANDBETWEEN(8,12)/10,0)</f>
        <v>1310</v>
      </c>
      <c r="AV67" s="5">
        <f t="shared" ca="1" si="12"/>
        <v>44994</v>
      </c>
      <c r="AW67">
        <f t="shared" ref="AW67:AW111" ca="1" si="13">RANDBETWEEN(1,8)</f>
        <v>8</v>
      </c>
      <c r="AX67">
        <f ca="1">ROUND(T_Facebook_Ads115963[[#This Row],[impressions]]*RANDBETWEEN(8,12)/10,0)</f>
        <v>75733</v>
      </c>
      <c r="AY67">
        <f ca="1">ROUND(T_Facebook_Ads115963[[#This Row],[clicks]]*RANDBETWEEN(8,12)/10,0)</f>
        <v>278</v>
      </c>
      <c r="AZ67">
        <f ca="1">T_Facebook_Ads115963[[#This Row],[spend]]*RANDBETWEEN(8,12)/10</f>
        <v>64.368000000000009</v>
      </c>
      <c r="BA67">
        <f ca="1">ROUND(T_Facebook_Ads115963[[#This Row],[conversions]]*RANDBETWEEN(8,12)/10,0)</f>
        <v>7</v>
      </c>
      <c r="BB67">
        <f ca="1">ROUND(T_Facebook_Ads115963[[#This Row],[video_views]]*RANDBETWEEN(8,12)/10,0)</f>
        <v>30230</v>
      </c>
    </row>
    <row r="68" spans="1:54" ht="15.75" thickBot="1" x14ac:dyDescent="0.3">
      <c r="A68" s="3">
        <f t="shared" ca="1" si="9"/>
        <v>45013</v>
      </c>
      <c r="B68" s="4" t="s">
        <v>52</v>
      </c>
      <c r="C68" s="4" t="s">
        <v>53</v>
      </c>
      <c r="D68" s="4" t="s">
        <v>54</v>
      </c>
      <c r="E68" s="4" t="s">
        <v>55</v>
      </c>
      <c r="F68" s="4">
        <f ca="1">ROUND(T_Facebook_Ads[[#This Row],[impressions]]*RANDBETWEEN(8,12)/10,0)</f>
        <v>34587</v>
      </c>
      <c r="G68" s="4">
        <v>878</v>
      </c>
      <c r="H68" s="4">
        <f ca="1">T_Facebook_Ads[[#This Row],[spend]]*RANDBETWEEN(8,12)/10</f>
        <v>138.27000000000001</v>
      </c>
      <c r="I68" s="4">
        <f ca="1">ROUND(T_Facebook_Ads[[#This Row],[conversions]]*RANDBETWEEN(8,12)/10,0)</f>
        <v>13</v>
      </c>
      <c r="J68" s="4">
        <f ca="1">ROUND(T_Facebook_Ads[[#This Row],[video_views]]*RANDBETWEEN(8,12)/10,0)</f>
        <v>7101</v>
      </c>
      <c r="K68" s="4">
        <f ca="1">T_Facebook_Ads[[#This Row],[engagement_rate]]*RANDBETWEEN(8,12)/10</f>
        <v>2.436E-2</v>
      </c>
      <c r="L68" s="4">
        <f ca="1">ROUND(T_Facebook_Ads[[#This Row],[reach]]*RANDBETWEEN(8,12)/10,0)</f>
        <v>29254</v>
      </c>
      <c r="M68" s="4">
        <f ca="1">T_Facebook_Ads[[#This Row],[frequency]]*RANDBETWEEN(8,12)/10</f>
        <v>1.2979999999999998</v>
      </c>
      <c r="O68" s="3">
        <f t="shared" ca="1" si="10"/>
        <v>45009</v>
      </c>
      <c r="P68" s="4" t="s">
        <v>76</v>
      </c>
      <c r="Q68" s="4" t="s">
        <v>77</v>
      </c>
      <c r="R68" s="4" t="s">
        <v>78</v>
      </c>
      <c r="S68" s="4" t="s">
        <v>79</v>
      </c>
      <c r="T68" s="4">
        <f ca="1">ROUND(_Google_ads[[#This Row],[impressions]]*RANDBETWEEN(8,12)/10,0)</f>
        <v>17876</v>
      </c>
      <c r="U68" s="4">
        <f ca="1">ROUND(_Google_ads[[#This Row],[clicks]]*RANDBETWEEN(8,12)/10,0)</f>
        <v>1348</v>
      </c>
      <c r="V68" s="4">
        <f ca="1">_Google_ads[[#This Row],[cost]]*RANDBETWEEN(8,12)/10</f>
        <v>214.5</v>
      </c>
      <c r="W68" s="4">
        <f ca="1">ROUND(_Google_ads[[#This Row],[conversions]]*RANDBETWEEN(8,12)/10,0)</f>
        <v>42</v>
      </c>
      <c r="X68" s="4">
        <f ca="1">ROUND(_Google_ads[[#This Row],[conversion_value]]*RANDBETWEEN(8,12)/10,0)</f>
        <v>2520</v>
      </c>
      <c r="Y68" s="4">
        <f ca="1">_Google_ads[[#This Row],[ctr]]*RANDBETWEEN(8,12)/10</f>
        <v>5.0299999999999997E-2</v>
      </c>
      <c r="Z68" s="4">
        <f ca="1">_Google_ads[[#This Row],[avg_cpc]]*RANDBETWEEN(8,12)/10</f>
        <v>0.152</v>
      </c>
      <c r="AA68" s="4">
        <f ca="1">ROUND(_Google_ads[[#This Row],[quality_score]]*RANDBETWEEN(8,12)/10,0)</f>
        <v>10</v>
      </c>
      <c r="AB68" s="4">
        <f ca="1">_Google_ads[[#This Row],[search_impression_share]]*RANDBETWEEN(8,12)/10</f>
        <v>0.71199999999999997</v>
      </c>
      <c r="AD68" s="3">
        <f t="shared" ca="1" si="11"/>
        <v>44988</v>
      </c>
      <c r="AE68" s="4" t="s">
        <v>100</v>
      </c>
      <c r="AF68" s="4" t="s">
        <v>101</v>
      </c>
      <c r="AG68" s="4" t="s">
        <v>102</v>
      </c>
      <c r="AH68" s="4" t="s">
        <v>103</v>
      </c>
      <c r="AI68" s="4">
        <f ca="1">ROUND(T_Tiktok_ads[[#This Row],[impressions]]*RANDBETWEEN(8,12)/10,0)</f>
        <v>256234</v>
      </c>
      <c r="AJ68" s="4">
        <f ca="1">ROUND(T_Tiktok_ads[[#This Row],[clicks]]*RANDBETWEEN(8,12)/10,0)</f>
        <v>3701</v>
      </c>
      <c r="AK68" s="4">
        <v>490.5</v>
      </c>
      <c r="AL68" s="4">
        <f ca="1">ROUND(T_Tiktok_ads[[#This Row],[conversions]]*RANDBETWEEN(8,12)/10,0)</f>
        <v>30</v>
      </c>
      <c r="AM68" s="4">
        <f ca="1">ROUND(T_Tiktok_ads[[#This Row],[video_views]]*RANDBETWEEN(8,12)/10,0)</f>
        <v>188311</v>
      </c>
      <c r="AN68" s="4">
        <f ca="1">ROUND(T_Tiktok_ads[[#This Row],[video_watch_25]]*RANDBETWEEN(8,12)/10,0)</f>
        <v>147210</v>
      </c>
      <c r="AO68" s="4">
        <f ca="1">ROUND(T_Tiktok_ads[[#This Row],[video_watch_50]]*RANDBETWEEN(8,12)/10,0)</f>
        <v>112824</v>
      </c>
      <c r="AP68" s="4">
        <f ca="1">ROUND(T_Tiktok_ads[[#This Row],[video_watch_75]]*RANDBETWEEN(8,12)/10,0)</f>
        <v>69567</v>
      </c>
      <c r="AQ68" s="4">
        <f ca="1">ROUND(T_Tiktok_ads[[#This Row],[video_watch_100]]*RANDBETWEEN(8,12)/10,0)</f>
        <v>46567</v>
      </c>
      <c r="AR68" s="4">
        <f ca="1">ROUND(T_Tiktok_ads[[#This Row],[likes]]*RANDBETWEEN(8,12)/10,0)</f>
        <v>10035</v>
      </c>
      <c r="AS68" s="4">
        <f ca="1">ROUND(T_Tiktok_ads[[#This Row],[shares]]*RANDBETWEEN(8,12)/10,0)</f>
        <v>2908</v>
      </c>
      <c r="AT68" s="4">
        <f ca="1">ROUND(T_Tiktok_ads[[#This Row],[comments]]*RANDBETWEEN(8,12)/10,0)</f>
        <v>721</v>
      </c>
      <c r="AV68" s="5">
        <f t="shared" ca="1" si="12"/>
        <v>45003</v>
      </c>
      <c r="AW68">
        <f t="shared" ca="1" si="13"/>
        <v>1</v>
      </c>
      <c r="AX68">
        <f ca="1">ROUND(T_Facebook_Ads115963[[#This Row],[impressions]]*RANDBETWEEN(8,12)/10,0)</f>
        <v>34587</v>
      </c>
      <c r="AY68">
        <f ca="1">ROUND(T_Facebook_Ads115963[[#This Row],[clicks]]*RANDBETWEEN(8,12)/10,0)</f>
        <v>790</v>
      </c>
      <c r="AZ68">
        <f ca="1">T_Facebook_Ads115963[[#This Row],[spend]]*RANDBETWEEN(8,12)/10</f>
        <v>165.92400000000004</v>
      </c>
      <c r="BA68">
        <f ca="1">ROUND(T_Facebook_Ads115963[[#This Row],[conversions]]*RANDBETWEEN(8,12)/10,0)</f>
        <v>10</v>
      </c>
      <c r="BB68">
        <f ca="1">ROUND(T_Facebook_Ads115963[[#This Row],[video_views]]*RANDBETWEEN(8,12)/10,0)</f>
        <v>8521</v>
      </c>
    </row>
    <row r="69" spans="1:54" ht="15.75" thickBot="1" x14ac:dyDescent="0.3">
      <c r="A69" s="3">
        <f t="shared" ca="1" si="9"/>
        <v>45005</v>
      </c>
      <c r="B69" s="4" t="s">
        <v>56</v>
      </c>
      <c r="C69" s="4" t="s">
        <v>57</v>
      </c>
      <c r="D69" s="4" t="s">
        <v>58</v>
      </c>
      <c r="E69" s="4" t="s">
        <v>59</v>
      </c>
      <c r="F69" s="4">
        <f ca="1">ROUND(T_Facebook_Ads[[#This Row],[impressions]]*RANDBETWEEN(8,12)/10,0)</f>
        <v>9512</v>
      </c>
      <c r="G69" s="4">
        <v>545</v>
      </c>
      <c r="H69" s="4">
        <f ca="1">T_Facebook_Ads[[#This Row],[spend]]*RANDBETWEEN(8,12)/10</f>
        <v>222.53000000000003</v>
      </c>
      <c r="I69" s="4">
        <f ca="1">ROUND(T_Facebook_Ads[[#This Row],[conversions]]*RANDBETWEEN(8,12)/10,0)</f>
        <v>37</v>
      </c>
      <c r="J69" s="4">
        <f ca="1">ROUND(T_Facebook_Ads[[#This Row],[video_views]]*RANDBETWEEN(8,12)/10,0)</f>
        <v>925</v>
      </c>
      <c r="K69" s="4">
        <f ca="1">T_Facebook_Ads[[#This Row],[engagement_rate]]*RANDBETWEEN(8,12)/10</f>
        <v>5.0380000000000001E-2</v>
      </c>
      <c r="L69" s="4">
        <f ca="1">ROUND(T_Facebook_Ads[[#This Row],[reach]]*RANDBETWEEN(8,12)/10,0)</f>
        <v>9567</v>
      </c>
      <c r="M69" s="4">
        <f ca="1">T_Facebook_Ads[[#This Row],[frequency]]*RANDBETWEEN(8,12)/10</f>
        <v>1.28</v>
      </c>
      <c r="O69" s="3">
        <f t="shared" ca="1" si="10"/>
        <v>44987</v>
      </c>
      <c r="P69" s="4" t="s">
        <v>80</v>
      </c>
      <c r="Q69" s="4" t="s">
        <v>81</v>
      </c>
      <c r="R69" s="4" t="s">
        <v>82</v>
      </c>
      <c r="S69" s="4" t="s">
        <v>83</v>
      </c>
      <c r="T69" s="4">
        <f ca="1">ROUND(_Google_ads[[#This Row],[impressions]]*RANDBETWEEN(8,12)/10,0)</f>
        <v>32454</v>
      </c>
      <c r="U69" s="4">
        <f ca="1">ROUND(_Google_ads[[#This Row],[clicks]]*RANDBETWEEN(8,12)/10,0)</f>
        <v>893</v>
      </c>
      <c r="V69" s="4">
        <f ca="1">_Google_ads[[#This Row],[cost]]*RANDBETWEEN(8,12)/10</f>
        <v>416.32</v>
      </c>
      <c r="W69" s="4">
        <f ca="1">ROUND(_Google_ads[[#This Row],[conversions]]*RANDBETWEEN(8,12)/10,0)</f>
        <v>20</v>
      </c>
      <c r="X69" s="4">
        <f ca="1">ROUND(_Google_ads[[#This Row],[conversion_value]]*RANDBETWEEN(8,12)/10,0)</f>
        <v>1000</v>
      </c>
      <c r="Y69" s="4">
        <f ca="1">_Google_ads[[#This Row],[ctr]]*RANDBETWEEN(8,12)/10</f>
        <v>1.6E-2</v>
      </c>
      <c r="Z69" s="4">
        <f ca="1">_Google_ads[[#This Row],[avg_cpc]]*RANDBETWEEN(8,12)/10</f>
        <v>0.51200000000000001</v>
      </c>
      <c r="AA69" s="4">
        <f ca="1">ROUND(_Google_ads[[#This Row],[quality_score]]*RANDBETWEEN(8,12)/10,0)</f>
        <v>7</v>
      </c>
      <c r="AB69" s="4">
        <f ca="1">_Google_ads[[#This Row],[search_impression_share]]*RANDBETWEEN(8,12)/10</f>
        <v>0.378</v>
      </c>
      <c r="AD69" s="3">
        <f t="shared" ca="1" si="11"/>
        <v>44995</v>
      </c>
      <c r="AE69" s="4" t="s">
        <v>104</v>
      </c>
      <c r="AF69" s="4" t="s">
        <v>105</v>
      </c>
      <c r="AG69" s="4" t="s">
        <v>106</v>
      </c>
      <c r="AH69" s="4" t="s">
        <v>107</v>
      </c>
      <c r="AI69" s="4">
        <f ca="1">ROUND(T_Tiktok_ads[[#This Row],[impressions]]*RANDBETWEEN(8,12)/10,0)</f>
        <v>170814</v>
      </c>
      <c r="AJ69" s="4">
        <f ca="1">ROUND(T_Tiktok_ads[[#This Row],[clicks]]*RANDBETWEEN(8,12)/10,0)</f>
        <v>2410</v>
      </c>
      <c r="AK69" s="4">
        <v>734.5</v>
      </c>
      <c r="AL69" s="4">
        <f ca="1">ROUND(T_Tiktok_ads[[#This Row],[conversions]]*RANDBETWEEN(8,12)/10,0)</f>
        <v>73</v>
      </c>
      <c r="AM69" s="4">
        <f ca="1">ROUND(T_Tiktok_ads[[#This Row],[video_views]]*RANDBETWEEN(8,12)/10,0)</f>
        <v>97890</v>
      </c>
      <c r="AN69" s="4">
        <f ca="1">ROUND(T_Tiktok_ads[[#This Row],[video_watch_25]]*RANDBETWEEN(8,12)/10,0)</f>
        <v>57876</v>
      </c>
      <c r="AO69" s="4">
        <f ca="1">ROUND(T_Tiktok_ads[[#This Row],[video_watch_50]]*RANDBETWEEN(8,12)/10,0)</f>
        <v>53791</v>
      </c>
      <c r="AP69" s="4">
        <f ca="1">ROUND(T_Tiktok_ads[[#This Row],[video_watch_75]]*RANDBETWEEN(8,12)/10,0)</f>
        <v>29431</v>
      </c>
      <c r="AQ69" s="4">
        <f ca="1">ROUND(T_Tiktok_ads[[#This Row],[video_watch_100]]*RANDBETWEEN(8,12)/10,0)</f>
        <v>27379</v>
      </c>
      <c r="AR69" s="4">
        <f ca="1">ROUND(T_Tiktok_ads[[#This Row],[likes]]*RANDBETWEEN(8,12)/10,0)</f>
        <v>3921</v>
      </c>
      <c r="AS69" s="4">
        <f ca="1">ROUND(T_Tiktok_ads[[#This Row],[shares]]*RANDBETWEEN(8,12)/10,0)</f>
        <v>1356</v>
      </c>
      <c r="AT69" s="4">
        <f ca="1">ROUND(T_Tiktok_ads[[#This Row],[comments]]*RANDBETWEEN(8,12)/10,0)</f>
        <v>282</v>
      </c>
      <c r="AV69" s="5">
        <f t="shared" ca="1" si="12"/>
        <v>44989</v>
      </c>
      <c r="AW69">
        <f t="shared" ca="1" si="13"/>
        <v>2</v>
      </c>
      <c r="AX69">
        <f ca="1">ROUND(T_Facebook_Ads115963[[#This Row],[impressions]]*RANDBETWEEN(8,12)/10,0)</f>
        <v>9512</v>
      </c>
      <c r="AY69">
        <f ca="1">ROUND(T_Facebook_Ads115963[[#This Row],[clicks]]*RANDBETWEEN(8,12)/10,0)</f>
        <v>491</v>
      </c>
      <c r="AZ69">
        <f ca="1">T_Facebook_Ads115963[[#This Row],[spend]]*RANDBETWEEN(8,12)/10</f>
        <v>267.03600000000006</v>
      </c>
      <c r="BA69">
        <f ca="1">ROUND(T_Facebook_Ads115963[[#This Row],[conversions]]*RANDBETWEEN(8,12)/10,0)</f>
        <v>41</v>
      </c>
      <c r="BB69">
        <f ca="1">ROUND(T_Facebook_Ads115963[[#This Row],[video_views]]*RANDBETWEEN(8,12)/10,0)</f>
        <v>1018</v>
      </c>
    </row>
    <row r="70" spans="1:54" ht="15.75" thickBot="1" x14ac:dyDescent="0.3">
      <c r="A70" s="3">
        <f t="shared" ca="1" si="9"/>
        <v>45014</v>
      </c>
      <c r="B70" s="4" t="s">
        <v>60</v>
      </c>
      <c r="C70" s="4" t="s">
        <v>61</v>
      </c>
      <c r="D70" s="4" t="s">
        <v>62</v>
      </c>
      <c r="E70" s="4" t="s">
        <v>63</v>
      </c>
      <c r="F70" s="4">
        <f ca="1">ROUND(T_Facebook_Ads[[#This Row],[impressions]]*RANDBETWEEN(8,12)/10,0)</f>
        <v>41480</v>
      </c>
      <c r="G70" s="4">
        <v>1234</v>
      </c>
      <c r="H70" s="4">
        <f ca="1">T_Facebook_Ads[[#This Row],[spend]]*RANDBETWEEN(8,12)/10</f>
        <v>189.6</v>
      </c>
      <c r="I70" s="4">
        <f ca="1">ROUND(T_Facebook_Ads[[#This Row],[conversions]]*RANDBETWEEN(8,12)/10,0)</f>
        <v>19</v>
      </c>
      <c r="J70" s="4">
        <f ca="1">ROUND(T_Facebook_Ads[[#This Row],[video_views]]*RANDBETWEEN(8,12)/10,0)</f>
        <v>5024</v>
      </c>
      <c r="K70" s="4">
        <f ca="1">T_Facebook_Ads[[#This Row],[engagement_rate]]*RANDBETWEEN(8,12)/10</f>
        <v>3.9270000000000006E-2</v>
      </c>
      <c r="L70" s="4">
        <f ca="1">ROUND(T_Facebook_Ads[[#This Row],[reach]]*RANDBETWEEN(8,12)/10,0)</f>
        <v>23147</v>
      </c>
      <c r="M70" s="4">
        <f ca="1">T_Facebook_Ads[[#This Row],[frequency]]*RANDBETWEEN(8,12)/10</f>
        <v>1.3089999999999999</v>
      </c>
      <c r="O70" s="3">
        <f t="shared" ca="1" si="10"/>
        <v>45016</v>
      </c>
      <c r="P70" s="4" t="s">
        <v>84</v>
      </c>
      <c r="Q70" s="4" t="s">
        <v>85</v>
      </c>
      <c r="R70" s="4" t="s">
        <v>86</v>
      </c>
      <c r="S70" s="4" t="s">
        <v>87</v>
      </c>
      <c r="T70" s="4">
        <f ca="1">ROUND(_Google_ads[[#This Row],[impressions]]*RANDBETWEEN(8,12)/10,0)</f>
        <v>58401</v>
      </c>
      <c r="U70" s="4">
        <f ca="1">ROUND(_Google_ads[[#This Row],[clicks]]*RANDBETWEEN(8,12)/10,0)</f>
        <v>2274</v>
      </c>
      <c r="V70" s="4">
        <f ca="1">_Google_ads[[#This Row],[cost]]*RANDBETWEEN(8,12)/10</f>
        <v>339.12</v>
      </c>
      <c r="W70" s="4">
        <f ca="1">ROUND(_Google_ads[[#This Row],[conversions]]*RANDBETWEEN(8,12)/10,0)</f>
        <v>53</v>
      </c>
      <c r="X70" s="4">
        <f ca="1">ROUND(_Google_ads[[#This Row],[conversion_value]]*RANDBETWEEN(8,12)/10,0)</f>
        <v>2950</v>
      </c>
      <c r="Y70" s="4">
        <f ca="1">_Google_ads[[#This Row],[ctr]]*RANDBETWEEN(8,12)/10</f>
        <v>3.5089999999999996E-2</v>
      </c>
      <c r="Z70" s="4">
        <f ca="1">_Google_ads[[#This Row],[avg_cpc]]*RANDBETWEEN(8,12)/10</f>
        <v>0.18</v>
      </c>
      <c r="AA70" s="4">
        <f ca="1">ROUND(_Google_ads[[#This Row],[quality_score]]*RANDBETWEEN(8,12)/10,0)</f>
        <v>6</v>
      </c>
      <c r="AB70" s="4">
        <f ca="1">_Google_ads[[#This Row],[search_impression_share]]*RANDBETWEEN(8,12)/10</f>
        <v>0.71500000000000008</v>
      </c>
      <c r="AD70" s="3">
        <f t="shared" ca="1" si="11"/>
        <v>44986</v>
      </c>
      <c r="AE70" s="4" t="s">
        <v>108</v>
      </c>
      <c r="AF70" s="4" t="s">
        <v>109</v>
      </c>
      <c r="AG70" s="4" t="s">
        <v>110</v>
      </c>
      <c r="AH70" s="4" t="s">
        <v>111</v>
      </c>
      <c r="AI70" s="4">
        <f ca="1">ROUND(T_Tiktok_ads[[#This Row],[impressions]]*RANDBETWEEN(8,12)/10,0)</f>
        <v>262681</v>
      </c>
      <c r="AJ70" s="4">
        <f ca="1">ROUND(T_Tiktok_ads[[#This Row],[clicks]]*RANDBETWEEN(8,12)/10,0)</f>
        <v>2765</v>
      </c>
      <c r="AK70" s="4">
        <v>414.4</v>
      </c>
      <c r="AL70" s="4">
        <f ca="1">ROUND(T_Tiktok_ads[[#This Row],[conversions]]*RANDBETWEEN(8,12)/10,0)</f>
        <v>35</v>
      </c>
      <c r="AM70" s="4">
        <f ca="1">ROUND(T_Tiktok_ads[[#This Row],[video_views]]*RANDBETWEEN(8,12)/10,0)</f>
        <v>190802</v>
      </c>
      <c r="AN70" s="4">
        <f ca="1">ROUND(T_Tiktok_ads[[#This Row],[video_watch_25]]*RANDBETWEEN(8,12)/10,0)</f>
        <v>157880</v>
      </c>
      <c r="AO70" s="4">
        <f ca="1">ROUND(T_Tiktok_ads[[#This Row],[video_watch_50]]*RANDBETWEEN(8,12)/10,0)</f>
        <v>93210</v>
      </c>
      <c r="AP70" s="4">
        <f ca="1">ROUND(T_Tiktok_ads[[#This Row],[video_watch_75]]*RANDBETWEEN(8,12)/10,0)</f>
        <v>80681</v>
      </c>
      <c r="AQ70" s="4">
        <f ca="1">ROUND(T_Tiktok_ads[[#This Row],[video_watch_100]]*RANDBETWEEN(8,12)/10,0)</f>
        <v>48680</v>
      </c>
      <c r="AR70" s="4">
        <f ca="1">ROUND(T_Tiktok_ads[[#This Row],[likes]]*RANDBETWEEN(8,12)/10,0)</f>
        <v>9614</v>
      </c>
      <c r="AS70" s="4">
        <f ca="1">ROUND(T_Tiktok_ads[[#This Row],[shares]]*RANDBETWEEN(8,12)/10,0)</f>
        <v>1761</v>
      </c>
      <c r="AT70" s="4">
        <f ca="1">ROUND(T_Tiktok_ads[[#This Row],[comments]]*RANDBETWEEN(8,12)/10,0)</f>
        <v>575</v>
      </c>
      <c r="AV70" s="5">
        <f t="shared" ca="1" si="12"/>
        <v>45010</v>
      </c>
      <c r="AW70">
        <f t="shared" ca="1" si="13"/>
        <v>8</v>
      </c>
      <c r="AX70">
        <f ca="1">ROUND(T_Facebook_Ads115963[[#This Row],[impressions]]*RANDBETWEEN(8,12)/10,0)</f>
        <v>41480</v>
      </c>
      <c r="AY70">
        <f ca="1">ROUND(T_Facebook_Ads115963[[#This Row],[clicks]]*RANDBETWEEN(8,12)/10,0)</f>
        <v>987</v>
      </c>
      <c r="AZ70">
        <f ca="1">T_Facebook_Ads115963[[#This Row],[spend]]*RANDBETWEEN(8,12)/10</f>
        <v>227.51999999999998</v>
      </c>
      <c r="BA70">
        <f ca="1">ROUND(T_Facebook_Ads115963[[#This Row],[conversions]]*RANDBETWEEN(8,12)/10,0)</f>
        <v>19</v>
      </c>
      <c r="BB70">
        <f ca="1">ROUND(T_Facebook_Ads115963[[#This Row],[video_views]]*RANDBETWEEN(8,12)/10,0)</f>
        <v>4019</v>
      </c>
    </row>
    <row r="71" spans="1:54" ht="15.75" thickBot="1" x14ac:dyDescent="0.3">
      <c r="A71" s="3">
        <f t="shared" ca="1" si="9"/>
        <v>45009</v>
      </c>
      <c r="B71" s="4" t="s">
        <v>64</v>
      </c>
      <c r="C71" s="4" t="s">
        <v>65</v>
      </c>
      <c r="D71" s="4" t="s">
        <v>66</v>
      </c>
      <c r="E71" s="4" t="s">
        <v>67</v>
      </c>
      <c r="F71" s="4">
        <f ca="1">ROUND(T_Facebook_Ads[[#This Row],[impressions]]*RANDBETWEEN(8,12)/10,0)</f>
        <v>65234</v>
      </c>
      <c r="G71" s="4">
        <v>234</v>
      </c>
      <c r="H71" s="4">
        <f ca="1">T_Facebook_Ads[[#This Row],[spend]]*RANDBETWEEN(8,12)/10</f>
        <v>73.080000000000013</v>
      </c>
      <c r="I71" s="4">
        <f ca="1">ROUND(T_Facebook_Ads[[#This Row],[conversions]]*RANDBETWEEN(8,12)/10,0)</f>
        <v>6</v>
      </c>
      <c r="J71" s="4">
        <f ca="1">ROUND(T_Facebook_Ads[[#This Row],[video_views]]*RANDBETWEEN(8,12)/10,0)</f>
        <v>39210</v>
      </c>
      <c r="K71" s="4">
        <f ca="1">T_Facebook_Ads[[#This Row],[engagement_rate]]*RANDBETWEEN(8,12)/10</f>
        <v>3.96E-3</v>
      </c>
      <c r="L71" s="4">
        <f ca="1">ROUND(T_Facebook_Ads[[#This Row],[reach]]*RANDBETWEEN(8,12)/10,0)</f>
        <v>58802</v>
      </c>
      <c r="M71" s="4">
        <f ca="1">T_Facebook_Ads[[#This Row],[frequency]]*RANDBETWEEN(8,12)/10</f>
        <v>0.95199999999999996</v>
      </c>
      <c r="O71" s="3">
        <f t="shared" ca="1" si="10"/>
        <v>44990</v>
      </c>
      <c r="P71" s="4" t="s">
        <v>88</v>
      </c>
      <c r="Q71" s="4" t="s">
        <v>89</v>
      </c>
      <c r="R71" s="4" t="s">
        <v>90</v>
      </c>
      <c r="S71" s="4" t="s">
        <v>59</v>
      </c>
      <c r="T71" s="4">
        <f ca="1">ROUND(_Google_ads[[#This Row],[impressions]]*RANDBETWEEN(8,12)/10,0)</f>
        <v>137024</v>
      </c>
      <c r="U71" s="4">
        <f ca="1">ROUND(_Google_ads[[#This Row],[clicks]]*RANDBETWEEN(8,12)/10,0)</f>
        <v>534</v>
      </c>
      <c r="V71" s="4">
        <f ca="1">_Google_ads[[#This Row],[cost]]*RANDBETWEEN(8,12)/10</f>
        <v>122.3</v>
      </c>
      <c r="W71" s="4">
        <f ca="1">ROUND(_Google_ads[[#This Row],[conversions]]*RANDBETWEEN(8,12)/10,0)</f>
        <v>14</v>
      </c>
      <c r="X71" s="4">
        <f ca="1">ROUND(_Google_ads[[#This Row],[conversion_value]]*RANDBETWEEN(8,12)/10,0)</f>
        <v>720</v>
      </c>
      <c r="Y71" s="4">
        <f ca="1">_Google_ads[[#This Row],[ctr]]*RANDBETWEEN(8,12)/10</f>
        <v>4.3200000000000001E-3</v>
      </c>
      <c r="Z71" s="4">
        <f ca="1">_Google_ads[[#This Row],[avg_cpc]]*RANDBETWEEN(8,12)/10</f>
        <v>0.27</v>
      </c>
      <c r="AA71" s="4">
        <f ca="1">ROUND(_Google_ads[[#This Row],[quality_score]]*RANDBETWEEN(8,12)/10,0)</f>
        <v>8</v>
      </c>
      <c r="AB71" s="4">
        <f ca="1">_Google_ads[[#This Row],[search_impression_share]]*RANDBETWEEN(8,12)/10</f>
        <v>0.33</v>
      </c>
      <c r="AD71" s="3">
        <f t="shared" ca="1" si="11"/>
        <v>44995</v>
      </c>
      <c r="AE71" s="4" t="s">
        <v>112</v>
      </c>
      <c r="AF71" s="4" t="s">
        <v>113</v>
      </c>
      <c r="AG71" s="4" t="s">
        <v>114</v>
      </c>
      <c r="AH71" s="4" t="s">
        <v>115</v>
      </c>
      <c r="AI71" s="4">
        <f ca="1">ROUND(T_Tiktok_ads[[#This Row],[impressions]]*RANDBETWEEN(8,12)/10,0)</f>
        <v>311210</v>
      </c>
      <c r="AJ71" s="4">
        <f ca="1">ROUND(T_Tiktok_ads[[#This Row],[clicks]]*RANDBETWEEN(8,12)/10,0)</f>
        <v>6234</v>
      </c>
      <c r="AK71" s="4">
        <v>967.8</v>
      </c>
      <c r="AL71" s="4">
        <f ca="1">ROUND(T_Tiktok_ads[[#This Row],[conversions]]*RANDBETWEEN(8,12)/10,0)</f>
        <v>108</v>
      </c>
      <c r="AM71" s="4">
        <f ca="1">ROUND(T_Tiktok_ads[[#This Row],[video_views]]*RANDBETWEEN(8,12)/10,0)</f>
        <v>321234</v>
      </c>
      <c r="AN71" s="4">
        <f ca="1">ROUND(T_Tiktok_ads[[#This Row],[video_watch_25]]*RANDBETWEEN(8,12)/10,0)</f>
        <v>233011</v>
      </c>
      <c r="AO71" s="4">
        <f ca="1">ROUND(T_Tiktok_ads[[#This Row],[video_watch_50]]*RANDBETWEEN(8,12)/10,0)</f>
        <v>228679</v>
      </c>
      <c r="AP71" s="4">
        <f ca="1">ROUND(T_Tiktok_ads[[#This Row],[video_watch_75]]*RANDBETWEEN(8,12)/10,0)</f>
        <v>132511</v>
      </c>
      <c r="AQ71" s="4">
        <f ca="1">ROUND(T_Tiktok_ads[[#This Row],[video_watch_100]]*RANDBETWEEN(8,12)/10,0)</f>
        <v>97456</v>
      </c>
      <c r="AR71" s="4">
        <f ca="1">ROUND(T_Tiktok_ads[[#This Row],[likes]]*RANDBETWEEN(8,12)/10,0)</f>
        <v>16901</v>
      </c>
      <c r="AS71" s="4">
        <f ca="1">ROUND(T_Tiktok_ads[[#This Row],[shares]]*RANDBETWEEN(8,12)/10,0)</f>
        <v>4912</v>
      </c>
      <c r="AT71" s="4">
        <f ca="1">ROUND(T_Tiktok_ads[[#This Row],[comments]]*RANDBETWEEN(8,12)/10,0)</f>
        <v>1076</v>
      </c>
      <c r="AV71" s="5">
        <f t="shared" ca="1" si="12"/>
        <v>45004</v>
      </c>
      <c r="AW71">
        <f t="shared" ca="1" si="13"/>
        <v>5</v>
      </c>
      <c r="AX71">
        <f ca="1">ROUND(T_Facebook_Ads115963[[#This Row],[impressions]]*RANDBETWEEN(8,12)/10,0)</f>
        <v>52187</v>
      </c>
      <c r="AY71">
        <f ca="1">ROUND(T_Facebook_Ads115963[[#This Row],[clicks]]*RANDBETWEEN(8,12)/10,0)</f>
        <v>187</v>
      </c>
      <c r="AZ71">
        <f ca="1">T_Facebook_Ads115963[[#This Row],[spend]]*RANDBETWEEN(8,12)/10</f>
        <v>65.77200000000002</v>
      </c>
      <c r="BA71">
        <f ca="1">ROUND(T_Facebook_Ads115963[[#This Row],[conversions]]*RANDBETWEEN(8,12)/10,0)</f>
        <v>6</v>
      </c>
      <c r="BB71">
        <f ca="1">ROUND(T_Facebook_Ads115963[[#This Row],[video_views]]*RANDBETWEEN(8,12)/10,0)</f>
        <v>43131</v>
      </c>
    </row>
    <row r="72" spans="1:54" ht="15.75" thickBot="1" x14ac:dyDescent="0.3">
      <c r="A72" s="3">
        <f t="shared" ca="1" si="9"/>
        <v>44987</v>
      </c>
      <c r="B72" s="4" t="s">
        <v>52</v>
      </c>
      <c r="C72" s="4" t="s">
        <v>53</v>
      </c>
      <c r="D72" s="4" t="s">
        <v>54</v>
      </c>
      <c r="E72" s="4" t="s">
        <v>55</v>
      </c>
      <c r="F72" s="4">
        <f ca="1">ROUND(T_Facebook_Ads[[#This Row],[impressions]]*RANDBETWEEN(8,12)/10,0)</f>
        <v>33254</v>
      </c>
      <c r="G72" s="4">
        <v>823</v>
      </c>
      <c r="H72" s="4">
        <f ca="1">T_Facebook_Ads[[#This Row],[spend]]*RANDBETWEEN(8,12)/10</f>
        <v>130.79000000000002</v>
      </c>
      <c r="I72" s="4">
        <f ca="1">ROUND(T_Facebook_Ads[[#This Row],[conversions]]*RANDBETWEEN(8,12)/10,0)</f>
        <v>10</v>
      </c>
      <c r="J72" s="4">
        <f ca="1">ROUND(T_Facebook_Ads[[#This Row],[video_views]]*RANDBETWEEN(8,12)/10,0)</f>
        <v>7456</v>
      </c>
      <c r="K72" s="4">
        <f ca="1">T_Facebook_Ads[[#This Row],[engagement_rate]]*RANDBETWEEN(8,12)/10</f>
        <v>1.7820000000000003E-2</v>
      </c>
      <c r="L72" s="4">
        <f ca="1">ROUND(T_Facebook_Ads[[#This Row],[reach]]*RANDBETWEEN(8,12)/10,0)</f>
        <v>38635</v>
      </c>
      <c r="M72" s="4">
        <f ca="1">T_Facebook_Ads[[#This Row],[frequency]]*RANDBETWEEN(8,12)/10</f>
        <v>1.2979999999999998</v>
      </c>
      <c r="O72" s="3">
        <f t="shared" ca="1" si="10"/>
        <v>44988</v>
      </c>
      <c r="P72" s="4" t="s">
        <v>76</v>
      </c>
      <c r="Q72" s="4" t="s">
        <v>77</v>
      </c>
      <c r="R72" s="4" t="s">
        <v>78</v>
      </c>
      <c r="S72" s="4" t="s">
        <v>79</v>
      </c>
      <c r="T72" s="4">
        <f ca="1">ROUND(_Google_ads[[#This Row],[impressions]]*RANDBETWEEN(8,12)/10,0)</f>
        <v>17254</v>
      </c>
      <c r="U72" s="4">
        <f ca="1">ROUND(_Google_ads[[#This Row],[clicks]]*RANDBETWEEN(8,12)/10,0)</f>
        <v>1307</v>
      </c>
      <c r="V72" s="4">
        <f ca="1">_Google_ads[[#This Row],[cost]]*RANDBETWEEN(8,12)/10</f>
        <v>228.58</v>
      </c>
      <c r="W72" s="4">
        <f ca="1">ROUND(_Google_ads[[#This Row],[conversions]]*RANDBETWEEN(8,12)/10,0)</f>
        <v>45</v>
      </c>
      <c r="X72" s="4">
        <f ca="1">ROUND(_Google_ads[[#This Row],[conversion_value]]*RANDBETWEEN(8,12)/10,0)</f>
        <v>2460</v>
      </c>
      <c r="Y72" s="4">
        <f ca="1">_Google_ads[[#This Row],[ctr]]*RANDBETWEEN(8,12)/10</f>
        <v>4.0400000000000005E-2</v>
      </c>
      <c r="Z72" s="4">
        <f ca="1">_Google_ads[[#This Row],[avg_cpc]]*RANDBETWEEN(8,12)/10</f>
        <v>0.22800000000000004</v>
      </c>
      <c r="AA72" s="4">
        <f ca="1">ROUND(_Google_ads[[#This Row],[quality_score]]*RANDBETWEEN(8,12)/10,0)</f>
        <v>8</v>
      </c>
      <c r="AB72" s="4">
        <f ca="1">_Google_ads[[#This Row],[search_impression_share]]*RANDBETWEEN(8,12)/10</f>
        <v>0.96799999999999997</v>
      </c>
      <c r="AD72" s="3">
        <f t="shared" ca="1" si="11"/>
        <v>44992</v>
      </c>
      <c r="AE72" s="4" t="s">
        <v>100</v>
      </c>
      <c r="AF72" s="4" t="s">
        <v>101</v>
      </c>
      <c r="AG72" s="4" t="s">
        <v>102</v>
      </c>
      <c r="AH72" s="4" t="s">
        <v>103</v>
      </c>
      <c r="AI72" s="4">
        <f ca="1">ROUND(T_Tiktok_ads[[#This Row],[impressions]]*RANDBETWEEN(8,12)/10,0)</f>
        <v>281480</v>
      </c>
      <c r="AJ72" s="4">
        <f ca="1">ROUND(T_Tiktok_ads[[#This Row],[clicks]]*RANDBETWEEN(8,12)/10,0)</f>
        <v>2765</v>
      </c>
      <c r="AK72" s="4">
        <v>445.7</v>
      </c>
      <c r="AL72" s="4">
        <f ca="1">ROUND(T_Tiktok_ads[[#This Row],[conversions]]*RANDBETWEEN(8,12)/10,0)</f>
        <v>27</v>
      </c>
      <c r="AM72" s="4">
        <f ca="1">ROUND(T_Tiktok_ads[[#This Row],[video_views]]*RANDBETWEEN(8,12)/10,0)</f>
        <v>195234</v>
      </c>
      <c r="AN72" s="4">
        <f ca="1">ROUND(T_Tiktok_ads[[#This Row],[video_watch_25]]*RANDBETWEEN(8,12)/10,0)</f>
        <v>184147</v>
      </c>
      <c r="AO72" s="4">
        <f ca="1">ROUND(T_Tiktok_ads[[#This Row],[video_watch_50]]*RANDBETWEEN(8,12)/10,0)</f>
        <v>76987</v>
      </c>
      <c r="AP72" s="4">
        <f ca="1">ROUND(T_Tiktok_ads[[#This Row],[video_watch_75]]*RANDBETWEEN(8,12)/10,0)</f>
        <v>71757</v>
      </c>
      <c r="AQ72" s="4">
        <f ca="1">ROUND(T_Tiktok_ads[[#This Row],[video_watch_100]]*RANDBETWEEN(8,12)/10,0)</f>
        <v>39210</v>
      </c>
      <c r="AR72" s="4">
        <f ca="1">ROUND(T_Tiktok_ads[[#This Row],[likes]]*RANDBETWEEN(8,12)/10,0)</f>
        <v>8756</v>
      </c>
      <c r="AS72" s="4">
        <f ca="1">ROUND(T_Tiktok_ads[[#This Row],[shares]]*RANDBETWEEN(8,12)/10,0)</f>
        <v>1787</v>
      </c>
      <c r="AT72" s="4">
        <f ca="1">ROUND(T_Tiktok_ads[[#This Row],[comments]]*RANDBETWEEN(8,12)/10,0)</f>
        <v>641</v>
      </c>
      <c r="AV72" s="5">
        <f t="shared" ca="1" si="12"/>
        <v>45000</v>
      </c>
      <c r="AW72">
        <f t="shared" ca="1" si="13"/>
        <v>3</v>
      </c>
      <c r="AX72">
        <f ca="1">ROUND(T_Facebook_Ads115963[[#This Row],[impressions]]*RANDBETWEEN(8,12)/10,0)</f>
        <v>33254</v>
      </c>
      <c r="AY72">
        <f ca="1">ROUND(T_Facebook_Ads115963[[#This Row],[clicks]]*RANDBETWEEN(8,12)/10,0)</f>
        <v>905</v>
      </c>
      <c r="AZ72">
        <f ca="1">T_Facebook_Ads115963[[#This Row],[spend]]*RANDBETWEEN(8,12)/10</f>
        <v>156.94800000000004</v>
      </c>
      <c r="BA72">
        <f ca="1">ROUND(T_Facebook_Ads115963[[#This Row],[conversions]]*RANDBETWEEN(8,12)/10,0)</f>
        <v>12</v>
      </c>
      <c r="BB72">
        <f ca="1">ROUND(T_Facebook_Ads115963[[#This Row],[video_views]]*RANDBETWEEN(8,12)/10,0)</f>
        <v>8947</v>
      </c>
    </row>
    <row r="73" spans="1:54" ht="15.75" thickBot="1" x14ac:dyDescent="0.3">
      <c r="A73" s="3">
        <f t="shared" ca="1" si="9"/>
        <v>44995</v>
      </c>
      <c r="B73" s="4" t="s">
        <v>56</v>
      </c>
      <c r="C73" s="4" t="s">
        <v>57</v>
      </c>
      <c r="D73" s="4" t="s">
        <v>58</v>
      </c>
      <c r="E73" s="4" t="s">
        <v>59</v>
      </c>
      <c r="F73" s="4">
        <f ca="1">ROUND(T_Facebook_Ads[[#This Row],[impressions]]*RANDBETWEEN(8,12)/10,0)</f>
        <v>12281</v>
      </c>
      <c r="G73" s="4">
        <v>467</v>
      </c>
      <c r="H73" s="4">
        <f ca="1">T_Facebook_Ads[[#This Row],[spend]]*RANDBETWEEN(8,12)/10</f>
        <v>142.72</v>
      </c>
      <c r="I73" s="4">
        <f ca="1">ROUND(T_Facebook_Ads[[#This Row],[conversions]]*RANDBETWEEN(8,12)/10,0)</f>
        <v>24</v>
      </c>
      <c r="J73" s="4">
        <f ca="1">ROUND(T_Facebook_Ads[[#This Row],[video_views]]*RANDBETWEEN(8,12)/10,0)</f>
        <v>851</v>
      </c>
      <c r="K73" s="4">
        <f ca="1">T_Facebook_Ads[[#This Row],[engagement_rate]]*RANDBETWEEN(8,12)/10</f>
        <v>5.4720000000000005E-2</v>
      </c>
      <c r="L73" s="4">
        <f ca="1">ROUND(T_Facebook_Ads[[#This Row],[reach]]*RANDBETWEEN(8,12)/10,0)</f>
        <v>9302</v>
      </c>
      <c r="M73" s="4">
        <f ca="1">T_Facebook_Ads[[#This Row],[frequency]]*RANDBETWEEN(8,12)/10</f>
        <v>1.089</v>
      </c>
      <c r="O73" s="3">
        <f t="shared" ca="1" si="10"/>
        <v>45012</v>
      </c>
      <c r="P73" s="4" t="s">
        <v>80</v>
      </c>
      <c r="Q73" s="4" t="s">
        <v>81</v>
      </c>
      <c r="R73" s="4" t="s">
        <v>82</v>
      </c>
      <c r="S73" s="4" t="s">
        <v>83</v>
      </c>
      <c r="T73" s="4">
        <f ca="1">ROUND(_Google_ads[[#This Row],[impressions]]*RANDBETWEEN(8,12)/10,0)</f>
        <v>46681</v>
      </c>
      <c r="U73" s="4">
        <f ca="1">ROUND(_Google_ads[[#This Row],[clicks]]*RANDBETWEEN(8,12)/10,0)</f>
        <v>700</v>
      </c>
      <c r="V73" s="4">
        <f ca="1">_Google_ads[[#This Row],[cost]]*RANDBETWEEN(8,12)/10</f>
        <v>548.56999999999994</v>
      </c>
      <c r="W73" s="4">
        <f ca="1">ROUND(_Google_ads[[#This Row],[conversions]]*RANDBETWEEN(8,12)/10,0)</f>
        <v>21</v>
      </c>
      <c r="X73" s="4">
        <f ca="1">ROUND(_Google_ads[[#This Row],[conversion_value]]*RANDBETWEEN(8,12)/10,0)</f>
        <v>1045</v>
      </c>
      <c r="Y73" s="4">
        <f ca="1">_Google_ads[[#This Row],[ctr]]*RANDBETWEEN(8,12)/10</f>
        <v>0.02</v>
      </c>
      <c r="Z73" s="4">
        <f ca="1">_Google_ads[[#This Row],[avg_cpc]]*RANDBETWEEN(8,12)/10</f>
        <v>0.70399999999999996</v>
      </c>
      <c r="AA73" s="4">
        <f ca="1">ROUND(_Google_ads[[#This Row],[quality_score]]*RANDBETWEEN(8,12)/10,0)</f>
        <v>7</v>
      </c>
      <c r="AB73" s="4">
        <f ca="1">_Google_ads[[#This Row],[search_impression_share]]*RANDBETWEEN(8,12)/10</f>
        <v>0.32799999999999996</v>
      </c>
      <c r="AD73" s="3">
        <f t="shared" ca="1" si="11"/>
        <v>45008</v>
      </c>
      <c r="AE73" s="4" t="s">
        <v>104</v>
      </c>
      <c r="AF73" s="4" t="s">
        <v>105</v>
      </c>
      <c r="AG73" s="4" t="s">
        <v>106</v>
      </c>
      <c r="AH73" s="4" t="s">
        <v>107</v>
      </c>
      <c r="AI73" s="4">
        <f ca="1">ROUND(T_Tiktok_ads[[#This Row],[impressions]]*RANDBETWEEN(8,12)/10,0)</f>
        <v>141791</v>
      </c>
      <c r="AJ73" s="4">
        <f ca="1">ROUND(T_Tiktok_ads[[#This Row],[clicks]]*RANDBETWEEN(8,12)/10,0)</f>
        <v>2456</v>
      </c>
      <c r="AK73" s="4">
        <v>678.9</v>
      </c>
      <c r="AL73" s="4">
        <f ca="1">ROUND(T_Tiktok_ads[[#This Row],[conversions]]*RANDBETWEEN(8,12)/10,0)</f>
        <v>60</v>
      </c>
      <c r="AM73" s="4">
        <f ca="1">ROUND(T_Tiktok_ads[[#This Row],[video_views]]*RANDBETWEEN(8,12)/10,0)</f>
        <v>80311</v>
      </c>
      <c r="AN73" s="4">
        <f ca="1">ROUND(T_Tiktok_ads[[#This Row],[video_watch_25]]*RANDBETWEEN(8,12)/10,0)</f>
        <v>67234</v>
      </c>
      <c r="AO73" s="4">
        <f ca="1">ROUND(T_Tiktok_ads[[#This Row],[video_watch_50]]*RANDBETWEEN(8,12)/10,0)</f>
        <v>54281</v>
      </c>
      <c r="AP73" s="4">
        <f ca="1">ROUND(T_Tiktok_ads[[#This Row],[video_watch_75]]*RANDBETWEEN(8,12)/10,0)</f>
        <v>34234</v>
      </c>
      <c r="AQ73" s="4">
        <f ca="1">ROUND(T_Tiktok_ads[[#This Row],[video_watch_100]]*RANDBETWEEN(8,12)/10,0)</f>
        <v>28147</v>
      </c>
      <c r="AR73" s="4">
        <f ca="1">ROUND(T_Tiktok_ads[[#This Row],[likes]]*RANDBETWEEN(8,12)/10,0)</f>
        <v>5024</v>
      </c>
      <c r="AS73" s="4">
        <f ca="1">ROUND(T_Tiktok_ads[[#This Row],[shares]]*RANDBETWEEN(8,12)/10,0)</f>
        <v>1481</v>
      </c>
      <c r="AT73" s="4">
        <f ca="1">ROUND(T_Tiktok_ads[[#This Row],[comments]]*RANDBETWEEN(8,12)/10,0)</f>
        <v>281</v>
      </c>
      <c r="AV73" s="5">
        <f t="shared" ca="1" si="12"/>
        <v>45012</v>
      </c>
      <c r="AW73">
        <f t="shared" ca="1" si="13"/>
        <v>5</v>
      </c>
      <c r="AX73">
        <f ca="1">ROUND(T_Facebook_Ads115963[[#This Row],[impressions]]*RANDBETWEEN(8,12)/10,0)</f>
        <v>13509</v>
      </c>
      <c r="AY73">
        <f ca="1">ROUND(T_Facebook_Ads115963[[#This Row],[clicks]]*RANDBETWEEN(8,12)/10,0)</f>
        <v>467</v>
      </c>
      <c r="AZ73">
        <f ca="1">T_Facebook_Ads115963[[#This Row],[spend]]*RANDBETWEEN(8,12)/10</f>
        <v>128.44800000000001</v>
      </c>
      <c r="BA73">
        <f ca="1">ROUND(T_Facebook_Ads115963[[#This Row],[conversions]]*RANDBETWEEN(8,12)/10,0)</f>
        <v>19</v>
      </c>
      <c r="BB73">
        <f ca="1">ROUND(T_Facebook_Ads115963[[#This Row],[video_views]]*RANDBETWEEN(8,12)/10,0)</f>
        <v>681</v>
      </c>
    </row>
    <row r="74" spans="1:54" ht="15.75" thickBot="1" x14ac:dyDescent="0.3">
      <c r="A74" s="3">
        <f t="shared" ca="1" si="9"/>
        <v>44988</v>
      </c>
      <c r="B74" s="4" t="s">
        <v>60</v>
      </c>
      <c r="C74" s="4" t="s">
        <v>61</v>
      </c>
      <c r="D74" s="4" t="s">
        <v>62</v>
      </c>
      <c r="E74" s="4" t="s">
        <v>63</v>
      </c>
      <c r="F74" s="4">
        <f ca="1">ROUND(T_Facebook_Ads[[#This Row],[impressions]]*RANDBETWEEN(8,12)/10,0)</f>
        <v>32890</v>
      </c>
      <c r="G74" s="4">
        <v>1178</v>
      </c>
      <c r="H74" s="4">
        <f ca="1">T_Facebook_Ads[[#This Row],[spend]]*RANDBETWEEN(8,12)/10</f>
        <v>205.43999999999997</v>
      </c>
      <c r="I74" s="4">
        <f ca="1">ROUND(T_Facebook_Ads[[#This Row],[conversions]]*RANDBETWEEN(8,12)/10,0)</f>
        <v>26</v>
      </c>
      <c r="J74" s="4">
        <f ca="1">ROUND(T_Facebook_Ads[[#This Row],[video_views]]*RANDBETWEEN(8,12)/10,0)</f>
        <v>3410</v>
      </c>
      <c r="K74" s="4">
        <f ca="1">T_Facebook_Ads[[#This Row],[engagement_rate]]*RANDBETWEEN(8,12)/10</f>
        <v>2.8639999999999999E-2</v>
      </c>
      <c r="L74" s="4">
        <f ca="1">ROUND(T_Facebook_Ads[[#This Row],[reach]]*RANDBETWEEN(8,12)/10,0)</f>
        <v>27234</v>
      </c>
      <c r="M74" s="4">
        <f ca="1">T_Facebook_Ads[[#This Row],[frequency]]*RANDBETWEEN(8,12)/10</f>
        <v>1.089</v>
      </c>
      <c r="O74" s="3">
        <f t="shared" ca="1" si="10"/>
        <v>45011</v>
      </c>
      <c r="P74" s="4" t="s">
        <v>84</v>
      </c>
      <c r="Q74" s="4" t="s">
        <v>85</v>
      </c>
      <c r="R74" s="4" t="s">
        <v>86</v>
      </c>
      <c r="S74" s="4" t="s">
        <v>87</v>
      </c>
      <c r="T74" s="4">
        <f ca="1">ROUND(_Google_ads[[#This Row],[impressions]]*RANDBETWEEN(8,12)/10,0)</f>
        <v>49876</v>
      </c>
      <c r="U74" s="4">
        <f ca="1">ROUND(_Google_ads[[#This Row],[clicks]]*RANDBETWEEN(8,12)/10,0)</f>
        <v>2188</v>
      </c>
      <c r="V74" s="4">
        <f ca="1">_Google_ads[[#This Row],[cost]]*RANDBETWEEN(8,12)/10</f>
        <v>401.93999999999994</v>
      </c>
      <c r="W74" s="4">
        <f ca="1">ROUND(_Google_ads[[#This Row],[conversions]]*RANDBETWEEN(8,12)/10,0)</f>
        <v>68</v>
      </c>
      <c r="X74" s="4">
        <f ca="1">ROUND(_Google_ads[[#This Row],[conversion_value]]*RANDBETWEEN(8,12)/10,0)</f>
        <v>2850</v>
      </c>
      <c r="Y74" s="4">
        <f ca="1">_Google_ads[[#This Row],[ctr]]*RANDBETWEEN(8,12)/10</f>
        <v>3.1899999999999998E-2</v>
      </c>
      <c r="Z74" s="4">
        <f ca="1">_Google_ads[[#This Row],[avg_cpc]]*RANDBETWEEN(8,12)/10</f>
        <v>0.19800000000000001</v>
      </c>
      <c r="AA74" s="4">
        <f ca="1">ROUND(_Google_ads[[#This Row],[quality_score]]*RANDBETWEEN(8,12)/10,0)</f>
        <v>8</v>
      </c>
      <c r="AB74" s="4">
        <f ca="1">_Google_ads[[#This Row],[search_impression_share]]*RANDBETWEEN(8,12)/10</f>
        <v>0.504</v>
      </c>
      <c r="AD74" s="3">
        <f t="shared" ca="1" si="11"/>
        <v>44997</v>
      </c>
      <c r="AE74" s="4" t="s">
        <v>108</v>
      </c>
      <c r="AF74" s="4" t="s">
        <v>109</v>
      </c>
      <c r="AG74" s="4" t="s">
        <v>110</v>
      </c>
      <c r="AH74" s="4" t="s">
        <v>111</v>
      </c>
      <c r="AI74" s="4">
        <f ca="1">ROUND(T_Tiktok_ads[[#This Row],[impressions]]*RANDBETWEEN(8,12)/10,0)</f>
        <v>241481</v>
      </c>
      <c r="AJ74" s="4">
        <f ca="1">ROUND(T_Tiktok_ads[[#This Row],[clicks]]*RANDBETWEEN(8,12)/10,0)</f>
        <v>2811</v>
      </c>
      <c r="AK74" s="4">
        <v>374.5</v>
      </c>
      <c r="AL74" s="4">
        <f ca="1">ROUND(T_Tiktok_ads[[#This Row],[conversions]]*RANDBETWEEN(8,12)/10,0)</f>
        <v>21</v>
      </c>
      <c r="AM74" s="4">
        <f ca="1">ROUND(T_Tiktok_ads[[#This Row],[video_views]]*RANDBETWEEN(8,12)/10,0)</f>
        <v>157890</v>
      </c>
      <c r="AN74" s="4">
        <f ca="1">ROUND(T_Tiktok_ads[[#This Row],[video_watch_25]]*RANDBETWEEN(8,12)/10,0)</f>
        <v>133357</v>
      </c>
      <c r="AO74" s="4">
        <f ca="1">ROUND(T_Tiktok_ads[[#This Row],[video_watch_50]]*RANDBETWEEN(8,12)/10,0)</f>
        <v>96234</v>
      </c>
      <c r="AP74" s="4">
        <f ca="1">ROUND(T_Tiktok_ads[[#This Row],[video_watch_75]]*RANDBETWEEN(8,12)/10,0)</f>
        <v>55111</v>
      </c>
      <c r="AQ74" s="4">
        <f ca="1">ROUND(T_Tiktok_ads[[#This Row],[video_watch_100]]*RANDBETWEEN(8,12)/10,0)</f>
        <v>33710</v>
      </c>
      <c r="AR74" s="4">
        <f ca="1">ROUND(T_Tiktok_ads[[#This Row],[likes]]*RANDBETWEEN(8,12)/10,0)</f>
        <v>7345</v>
      </c>
      <c r="AS74" s="4">
        <f ca="1">ROUND(T_Tiktok_ads[[#This Row],[shares]]*RANDBETWEEN(8,12)/10,0)</f>
        <v>1627</v>
      </c>
      <c r="AT74" s="4">
        <f ca="1">ROUND(T_Tiktok_ads[[#This Row],[comments]]*RANDBETWEEN(8,12)/10,0)</f>
        <v>489</v>
      </c>
      <c r="AV74" s="5">
        <f t="shared" ca="1" si="12"/>
        <v>44990</v>
      </c>
      <c r="AW74">
        <f t="shared" ca="1" si="13"/>
        <v>1</v>
      </c>
      <c r="AX74">
        <f ca="1">ROUND(T_Facebook_Ads115963[[#This Row],[impressions]]*RANDBETWEEN(8,12)/10,0)</f>
        <v>39468</v>
      </c>
      <c r="AY74">
        <f ca="1">ROUND(T_Facebook_Ads115963[[#This Row],[clicks]]*RANDBETWEEN(8,12)/10,0)</f>
        <v>1414</v>
      </c>
      <c r="AZ74">
        <f ca="1">T_Facebook_Ads115963[[#This Row],[spend]]*RANDBETWEEN(8,12)/10</f>
        <v>205.43999999999997</v>
      </c>
      <c r="BA74">
        <f ca="1">ROUND(T_Facebook_Ads115963[[#This Row],[conversions]]*RANDBETWEEN(8,12)/10,0)</f>
        <v>23</v>
      </c>
      <c r="BB74">
        <f ca="1">ROUND(T_Facebook_Ads115963[[#This Row],[video_views]]*RANDBETWEEN(8,12)/10,0)</f>
        <v>4092</v>
      </c>
    </row>
    <row r="75" spans="1:54" ht="15.75" thickBot="1" x14ac:dyDescent="0.3">
      <c r="A75" s="3">
        <f t="shared" ca="1" si="9"/>
        <v>44990</v>
      </c>
      <c r="B75" s="4" t="s">
        <v>64</v>
      </c>
      <c r="C75" s="4" t="s">
        <v>65</v>
      </c>
      <c r="D75" s="4" t="s">
        <v>66</v>
      </c>
      <c r="E75" s="4" t="s">
        <v>67</v>
      </c>
      <c r="F75" s="4">
        <f ca="1">ROUND(T_Facebook_Ads[[#This Row],[impressions]]*RANDBETWEEN(8,12)/10,0)</f>
        <v>68580</v>
      </c>
      <c r="G75" s="4">
        <v>223</v>
      </c>
      <c r="H75" s="4">
        <f ca="1">T_Facebook_Ads[[#This Row],[spend]]*RANDBETWEEN(8,12)/10</f>
        <v>61.04</v>
      </c>
      <c r="I75" s="4">
        <f ca="1">ROUND(T_Facebook_Ads[[#This Row],[conversions]]*RANDBETWEEN(8,12)/10,0)</f>
        <v>4</v>
      </c>
      <c r="J75" s="4">
        <f ca="1">ROUND(T_Facebook_Ads[[#This Row],[video_views]]*RANDBETWEEN(8,12)/10,0)</f>
        <v>41234</v>
      </c>
      <c r="K75" s="4">
        <f ca="1">T_Facebook_Ads[[#This Row],[engagement_rate]]*RANDBETWEEN(8,12)/10</f>
        <v>3.96E-3</v>
      </c>
      <c r="L75" s="4">
        <f ca="1">ROUND(T_Facebook_Ads[[#This Row],[reach]]*RANDBETWEEN(8,12)/10,0)</f>
        <v>46410</v>
      </c>
      <c r="M75" s="4">
        <f ca="1">T_Facebook_Ads[[#This Row],[frequency]]*RANDBETWEEN(8,12)/10</f>
        <v>1.0799999999999998</v>
      </c>
      <c r="O75" s="3">
        <f t="shared" ca="1" si="10"/>
        <v>44992</v>
      </c>
      <c r="P75" s="4" t="s">
        <v>88</v>
      </c>
      <c r="Q75" s="4" t="s">
        <v>89</v>
      </c>
      <c r="R75" s="4" t="s">
        <v>90</v>
      </c>
      <c r="S75" s="4" t="s">
        <v>59</v>
      </c>
      <c r="T75" s="4">
        <f ca="1">ROUND(_Google_ads[[#This Row],[impressions]]*RANDBETWEEN(8,12)/10,0)</f>
        <v>141881</v>
      </c>
      <c r="U75" s="4">
        <f ca="1">ROUND(_Google_ads[[#This Row],[clicks]]*RANDBETWEEN(8,12)/10,0)</f>
        <v>465</v>
      </c>
      <c r="V75" s="4">
        <f ca="1">_Google_ads[[#This Row],[cost]]*RANDBETWEEN(8,12)/10</f>
        <v>104.58</v>
      </c>
      <c r="W75" s="4">
        <f ca="1">ROUND(_Google_ads[[#This Row],[conversions]]*RANDBETWEEN(8,12)/10,0)</f>
        <v>9</v>
      </c>
      <c r="X75" s="4">
        <f ca="1">ROUND(_Google_ads[[#This Row],[conversion_value]]*RANDBETWEEN(8,12)/10,0)</f>
        <v>440</v>
      </c>
      <c r="Y75" s="4">
        <f ca="1">_Google_ads[[#This Row],[ctr]]*RANDBETWEEN(8,12)/10</f>
        <v>4.3200000000000001E-3</v>
      </c>
      <c r="Z75" s="4">
        <f ca="1">_Google_ads[[#This Row],[avg_cpc]]*RANDBETWEEN(8,12)/10</f>
        <v>0.21600000000000003</v>
      </c>
      <c r="AA75" s="4">
        <f ca="1">ROUND(_Google_ads[[#This Row],[quality_score]]*RANDBETWEEN(8,12)/10,0)</f>
        <v>8</v>
      </c>
      <c r="AB75" s="4">
        <f ca="1">_Google_ads[[#This Row],[search_impression_share]]*RANDBETWEEN(8,12)/10</f>
        <v>0.25600000000000001</v>
      </c>
      <c r="AD75" s="3">
        <f t="shared" ca="1" si="11"/>
        <v>45012</v>
      </c>
      <c r="AE75" s="4" t="s">
        <v>112</v>
      </c>
      <c r="AF75" s="4" t="s">
        <v>113</v>
      </c>
      <c r="AG75" s="4" t="s">
        <v>114</v>
      </c>
      <c r="AH75" s="4" t="s">
        <v>115</v>
      </c>
      <c r="AI75" s="4">
        <f ca="1">ROUND(T_Tiktok_ads[[#This Row],[impressions]]*RANDBETWEEN(8,12)/10,0)</f>
        <v>367890</v>
      </c>
      <c r="AJ75" s="4">
        <f ca="1">ROUND(T_Tiktok_ads[[#This Row],[clicks]]*RANDBETWEEN(8,12)/10,0)</f>
        <v>7214</v>
      </c>
      <c r="AK75" s="4">
        <v>923.4</v>
      </c>
      <c r="AL75" s="4">
        <f ca="1">ROUND(T_Tiktok_ads[[#This Row],[conversions]]*RANDBETWEEN(8,12)/10,0)</f>
        <v>94</v>
      </c>
      <c r="AM75" s="4">
        <f ca="1">ROUND(T_Tiktok_ads[[#This Row],[video_views]]*RANDBETWEEN(8,12)/10,0)</f>
        <v>240987</v>
      </c>
      <c r="AN75" s="4">
        <f ca="1">ROUND(T_Tiktok_ads[[#This Row],[video_watch_25]]*RANDBETWEEN(8,12)/10,0)</f>
        <v>294814</v>
      </c>
      <c r="AO75" s="4">
        <f ca="1">ROUND(T_Tiktok_ads[[#This Row],[video_watch_50]]*RANDBETWEEN(8,12)/10,0)</f>
        <v>196789</v>
      </c>
      <c r="AP75" s="4">
        <f ca="1">ROUND(T_Tiktok_ads[[#This Row],[video_watch_75]]*RANDBETWEEN(8,12)/10,0)</f>
        <v>168281</v>
      </c>
      <c r="AQ75" s="4">
        <f ca="1">ROUND(T_Tiktok_ads[[#This Row],[video_watch_100]]*RANDBETWEEN(8,12)/10,0)</f>
        <v>102802</v>
      </c>
      <c r="AR75" s="4">
        <f ca="1">ROUND(T_Tiktok_ads[[#This Row],[likes]]*RANDBETWEEN(8,12)/10,0)</f>
        <v>16234</v>
      </c>
      <c r="AS75" s="4">
        <f ca="1">ROUND(T_Tiktok_ads[[#This Row],[shares]]*RANDBETWEEN(8,12)/10,0)</f>
        <v>5268</v>
      </c>
      <c r="AT75" s="4">
        <f ca="1">ROUND(T_Tiktok_ads[[#This Row],[comments]]*RANDBETWEEN(8,12)/10,0)</f>
        <v>1547</v>
      </c>
      <c r="AV75" s="5">
        <f t="shared" ca="1" si="12"/>
        <v>45014</v>
      </c>
      <c r="AW75">
        <f t="shared" ca="1" si="13"/>
        <v>8</v>
      </c>
      <c r="AX75">
        <f ca="1">ROUND(T_Facebook_Ads115963[[#This Row],[impressions]]*RANDBETWEEN(8,12)/10,0)</f>
        <v>75438</v>
      </c>
      <c r="AY75">
        <f ca="1">ROUND(T_Facebook_Ads115963[[#This Row],[clicks]]*RANDBETWEEN(8,12)/10,0)</f>
        <v>178</v>
      </c>
      <c r="AZ75">
        <f ca="1">T_Facebook_Ads115963[[#This Row],[spend]]*RANDBETWEEN(8,12)/10</f>
        <v>73.248000000000005</v>
      </c>
      <c r="BA75">
        <f ca="1">ROUND(T_Facebook_Ads115963[[#This Row],[conversions]]*RANDBETWEEN(8,12)/10,0)</f>
        <v>4</v>
      </c>
      <c r="BB75">
        <f ca="1">ROUND(T_Facebook_Ads115963[[#This Row],[video_views]]*RANDBETWEEN(8,12)/10,0)</f>
        <v>37111</v>
      </c>
    </row>
    <row r="76" spans="1:54" ht="15.75" thickBot="1" x14ac:dyDescent="0.3">
      <c r="A76" s="3">
        <f t="shared" ca="1" si="9"/>
        <v>44992</v>
      </c>
      <c r="B76" s="4" t="s">
        <v>52</v>
      </c>
      <c r="C76" s="4" t="s">
        <v>53</v>
      </c>
      <c r="D76" s="4" t="s">
        <v>54</v>
      </c>
      <c r="E76" s="4" t="s">
        <v>55</v>
      </c>
      <c r="F76" s="4">
        <f ca="1">ROUND(T_Facebook_Ads[[#This Row],[impressions]]*RANDBETWEEN(8,12)/10,0)</f>
        <v>54281</v>
      </c>
      <c r="G76" s="4">
        <v>912</v>
      </c>
      <c r="H76" s="4">
        <f ca="1">T_Facebook_Ads[[#This Row],[spend]]*RANDBETWEEN(8,12)/10</f>
        <v>103.84</v>
      </c>
      <c r="I76" s="4">
        <f ca="1">ROUND(T_Facebook_Ads[[#This Row],[conversions]]*RANDBETWEEN(8,12)/10,0)</f>
        <v>11</v>
      </c>
      <c r="J76" s="4">
        <f ca="1">ROUND(T_Facebook_Ads[[#This Row],[video_views]]*RANDBETWEEN(8,12)/10,0)</f>
        <v>8234</v>
      </c>
      <c r="K76" s="4">
        <f ca="1">T_Facebook_Ads[[#This Row],[engagement_rate]]*RANDBETWEEN(8,12)/10</f>
        <v>2.2219999999999997E-2</v>
      </c>
      <c r="L76" s="4">
        <f ca="1">ROUND(T_Facebook_Ads[[#This Row],[reach]]*RANDBETWEEN(8,12)/10,0)</f>
        <v>34710</v>
      </c>
      <c r="M76" s="4">
        <f ca="1">T_Facebook_Ads[[#This Row],[frequency]]*RANDBETWEEN(8,12)/10</f>
        <v>1.0529999999999999</v>
      </c>
      <c r="O76" s="3">
        <f t="shared" ca="1" si="10"/>
        <v>45014</v>
      </c>
      <c r="P76" s="4" t="s">
        <v>76</v>
      </c>
      <c r="Q76" s="4" t="s">
        <v>77</v>
      </c>
      <c r="R76" s="4" t="s">
        <v>78</v>
      </c>
      <c r="S76" s="4" t="s">
        <v>79</v>
      </c>
      <c r="T76" s="4">
        <f ca="1">ROUND(_Google_ads[[#This Row],[impressions]]*RANDBETWEEN(8,12)/10,0)</f>
        <v>29081</v>
      </c>
      <c r="U76" s="4">
        <f ca="1">ROUND(_Google_ads[[#This Row],[clicks]]*RANDBETWEEN(8,12)/10,0)</f>
        <v>1520</v>
      </c>
      <c r="V76" s="4">
        <f ca="1">_Google_ads[[#This Row],[cost]]*RANDBETWEEN(8,12)/10</f>
        <v>265.32</v>
      </c>
      <c r="W76" s="4">
        <f ca="1">ROUND(_Google_ads[[#This Row],[conversions]]*RANDBETWEEN(8,12)/10,0)</f>
        <v>52</v>
      </c>
      <c r="X76" s="4">
        <f ca="1">ROUND(_Google_ads[[#This Row],[conversion_value]]*RANDBETWEEN(8,12)/10,0)</f>
        <v>2350</v>
      </c>
      <c r="Y76" s="4">
        <f ca="1">_Google_ads[[#This Row],[ctr]]*RANDBETWEEN(8,12)/10</f>
        <v>6.2759999999999996E-2</v>
      </c>
      <c r="Z76" s="4">
        <f ca="1">_Google_ads[[#This Row],[avg_cpc]]*RANDBETWEEN(8,12)/10</f>
        <v>0.19</v>
      </c>
      <c r="AA76" s="4">
        <f ca="1">ROUND(_Google_ads[[#This Row],[quality_score]]*RANDBETWEEN(8,12)/10,0)</f>
        <v>7</v>
      </c>
      <c r="AB76" s="4">
        <f ca="1">_Google_ads[[#This Row],[search_impression_share]]*RANDBETWEEN(8,12)/10</f>
        <v>0.81899999999999995</v>
      </c>
      <c r="AD76" s="3">
        <f t="shared" ca="1" si="11"/>
        <v>45004</v>
      </c>
      <c r="AE76" s="4" t="s">
        <v>100</v>
      </c>
      <c r="AF76" s="4" t="s">
        <v>101</v>
      </c>
      <c r="AG76" s="4" t="s">
        <v>102</v>
      </c>
      <c r="AH76" s="4" t="s">
        <v>103</v>
      </c>
      <c r="AI76" s="4">
        <f ca="1">ROUND(T_Tiktok_ads[[#This Row],[impressions]]*RANDBETWEEN(8,12)/10,0)</f>
        <v>321468</v>
      </c>
      <c r="AJ76" s="4">
        <f ca="1">ROUND(T_Tiktok_ads[[#This Row],[clicks]]*RANDBETWEEN(8,12)/10,0)</f>
        <v>3945</v>
      </c>
      <c r="AK76" s="4">
        <v>523.4</v>
      </c>
      <c r="AL76" s="4">
        <f ca="1">ROUND(T_Tiktok_ads[[#This Row],[conversions]]*RANDBETWEEN(8,12)/10,0)</f>
        <v>48</v>
      </c>
      <c r="AM76" s="4">
        <f ca="1">ROUND(T_Tiktok_ads[[#This Row],[video_views]]*RANDBETWEEN(8,12)/10,0)</f>
        <v>199111</v>
      </c>
      <c r="AN76" s="4">
        <f ca="1">ROUND(T_Tiktok_ads[[#This Row],[video_watch_25]]*RANDBETWEEN(8,12)/10,0)</f>
        <v>190802</v>
      </c>
      <c r="AO76" s="4">
        <f ca="1">ROUND(T_Tiktok_ads[[#This Row],[video_watch_50]]*RANDBETWEEN(8,12)/10,0)</f>
        <v>120157</v>
      </c>
      <c r="AP76" s="4">
        <f ca="1">ROUND(T_Tiktok_ads[[#This Row],[video_watch_75]]*RANDBETWEEN(8,12)/10,0)</f>
        <v>73567</v>
      </c>
      <c r="AQ76" s="4">
        <f ca="1">ROUND(T_Tiktok_ads[[#This Row],[video_watch_100]]*RANDBETWEEN(8,12)/10,0)</f>
        <v>49234</v>
      </c>
      <c r="AR76" s="4">
        <f ca="1">ROUND(T_Tiktok_ads[[#This Row],[likes]]*RANDBETWEEN(8,12)/10,0)</f>
        <v>8810</v>
      </c>
      <c r="AS76" s="4">
        <f ca="1">ROUND(T_Tiktok_ads[[#This Row],[shares]]*RANDBETWEEN(8,12)/10,0)</f>
        <v>2371</v>
      </c>
      <c r="AT76" s="4">
        <f ca="1">ROUND(T_Tiktok_ads[[#This Row],[comments]]*RANDBETWEEN(8,12)/10,0)</f>
        <v>561</v>
      </c>
      <c r="AV76" s="5">
        <f t="shared" ca="1" si="12"/>
        <v>45015</v>
      </c>
      <c r="AW76">
        <f t="shared" ca="1" si="13"/>
        <v>4</v>
      </c>
      <c r="AX76">
        <f ca="1">ROUND(T_Facebook_Ads115963[[#This Row],[impressions]]*RANDBETWEEN(8,12)/10,0)</f>
        <v>54281</v>
      </c>
      <c r="AY76">
        <f ca="1">ROUND(T_Facebook_Ads115963[[#This Row],[clicks]]*RANDBETWEEN(8,12)/10,0)</f>
        <v>1003</v>
      </c>
      <c r="AZ76">
        <f ca="1">T_Facebook_Ads115963[[#This Row],[spend]]*RANDBETWEEN(8,12)/10</f>
        <v>93.456000000000003</v>
      </c>
      <c r="BA76">
        <f ca="1">ROUND(T_Facebook_Ads115963[[#This Row],[conversions]]*RANDBETWEEN(8,12)/10,0)</f>
        <v>10</v>
      </c>
      <c r="BB76">
        <f ca="1">ROUND(T_Facebook_Ads115963[[#This Row],[video_views]]*RANDBETWEEN(8,12)/10,0)</f>
        <v>6587</v>
      </c>
    </row>
    <row r="77" spans="1:54" ht="15.75" thickBot="1" x14ac:dyDescent="0.3">
      <c r="A77" s="3">
        <f t="shared" ca="1" si="9"/>
        <v>44986</v>
      </c>
      <c r="B77" s="4" t="s">
        <v>56</v>
      </c>
      <c r="C77" s="4" t="s">
        <v>57</v>
      </c>
      <c r="D77" s="4" t="s">
        <v>58</v>
      </c>
      <c r="E77" s="4" t="s">
        <v>59</v>
      </c>
      <c r="F77" s="4">
        <f ca="1">ROUND(T_Facebook_Ads[[#This Row],[impressions]]*RANDBETWEEN(8,12)/10,0)</f>
        <v>11210</v>
      </c>
      <c r="G77" s="4">
        <v>567</v>
      </c>
      <c r="H77" s="4">
        <f ca="1">T_Facebook_Ads[[#This Row],[spend]]*RANDBETWEEN(8,12)/10</f>
        <v>188.64</v>
      </c>
      <c r="I77" s="4">
        <f ca="1">ROUND(T_Facebook_Ads[[#This Row],[conversions]]*RANDBETWEEN(8,12)/10,0)</f>
        <v>43</v>
      </c>
      <c r="J77" s="4">
        <f ca="1">ROUND(T_Facebook_Ads[[#This Row],[video_views]]*RANDBETWEEN(8,12)/10,0)</f>
        <v>1111</v>
      </c>
      <c r="K77" s="4">
        <f ca="1">T_Facebook_Ads[[#This Row],[engagement_rate]]*RANDBETWEEN(8,12)/10</f>
        <v>4.5499999999999999E-2</v>
      </c>
      <c r="L77" s="4">
        <f ca="1">ROUND(T_Facebook_Ads[[#This Row],[reach]]*RANDBETWEEN(8,12)/10,0)</f>
        <v>7901</v>
      </c>
      <c r="M77" s="4">
        <f ca="1">T_Facebook_Ads[[#This Row],[frequency]]*RANDBETWEEN(8,12)/10</f>
        <v>1.3859999999999999</v>
      </c>
      <c r="O77" s="3">
        <f t="shared" ca="1" si="10"/>
        <v>45000</v>
      </c>
      <c r="P77" s="4" t="s">
        <v>80</v>
      </c>
      <c r="Q77" s="4" t="s">
        <v>81</v>
      </c>
      <c r="R77" s="4" t="s">
        <v>82</v>
      </c>
      <c r="S77" s="4" t="s">
        <v>83</v>
      </c>
      <c r="T77" s="4">
        <f ca="1">ROUND(_Google_ads[[#This Row],[impressions]]*RANDBETWEEN(8,12)/10,0)</f>
        <v>34312</v>
      </c>
      <c r="U77" s="4">
        <f ca="1">ROUND(_Google_ads[[#This Row],[clicks]]*RANDBETWEEN(8,12)/10,0)</f>
        <v>761</v>
      </c>
      <c r="V77" s="4">
        <f ca="1">_Google_ads[[#This Row],[cost]]*RANDBETWEEN(8,12)/10</f>
        <v>604.2299999999999</v>
      </c>
      <c r="W77" s="4">
        <f ca="1">ROUND(_Google_ads[[#This Row],[conversions]]*RANDBETWEEN(8,12)/10,0)</f>
        <v>26</v>
      </c>
      <c r="X77" s="4">
        <f ca="1">ROUND(_Google_ads[[#This Row],[conversion_value]]*RANDBETWEEN(8,12)/10,0)</f>
        <v>880</v>
      </c>
      <c r="Y77" s="4">
        <f ca="1">_Google_ads[[#This Row],[ctr]]*RANDBETWEEN(8,12)/10</f>
        <v>2.1669999999999998E-2</v>
      </c>
      <c r="Z77" s="4">
        <f ca="1">_Google_ads[[#This Row],[avg_cpc]]*RANDBETWEEN(8,12)/10</f>
        <v>0.78</v>
      </c>
      <c r="AA77" s="4">
        <f ca="1">ROUND(_Google_ads[[#This Row],[quality_score]]*RANDBETWEEN(8,12)/10,0)</f>
        <v>8</v>
      </c>
      <c r="AB77" s="4">
        <f ca="1">_Google_ads[[#This Row],[search_impression_share]]*RANDBETWEEN(8,12)/10</f>
        <v>0.39600000000000002</v>
      </c>
      <c r="AD77" s="3">
        <f t="shared" ca="1" si="11"/>
        <v>45004</v>
      </c>
      <c r="AE77" s="4" t="s">
        <v>104</v>
      </c>
      <c r="AF77" s="4" t="s">
        <v>105</v>
      </c>
      <c r="AG77" s="4" t="s">
        <v>106</v>
      </c>
      <c r="AH77" s="4" t="s">
        <v>107</v>
      </c>
      <c r="AI77" s="4">
        <f ca="1">ROUND(T_Tiktok_ads[[#This Row],[impressions]]*RANDBETWEEN(8,12)/10,0)</f>
        <v>119121</v>
      </c>
      <c r="AJ77" s="4">
        <f ca="1">ROUND(T_Tiktok_ads[[#This Row],[clicks]]*RANDBETWEEN(8,12)/10,0)</f>
        <v>3401</v>
      </c>
      <c r="AK77" s="4">
        <v>767.5</v>
      </c>
      <c r="AL77" s="4">
        <f ca="1">ROUND(T_Tiktok_ads[[#This Row],[conversions]]*RANDBETWEEN(8,12)/10,0)</f>
        <v>85</v>
      </c>
      <c r="AM77" s="4">
        <f ca="1">ROUND(T_Tiktok_ads[[#This Row],[video_views]]*RANDBETWEEN(8,12)/10,0)</f>
        <v>93110</v>
      </c>
      <c r="AN77" s="4">
        <f ca="1">ROUND(T_Tiktok_ads[[#This Row],[video_watch_25]]*RANDBETWEEN(8,12)/10,0)</f>
        <v>76234</v>
      </c>
      <c r="AO77" s="4">
        <f ca="1">ROUND(T_Tiktok_ads[[#This Row],[video_watch_50]]*RANDBETWEEN(8,12)/10,0)</f>
        <v>40987</v>
      </c>
      <c r="AP77" s="4">
        <f ca="1">ROUND(T_Tiktok_ads[[#This Row],[video_watch_75]]*RANDBETWEEN(8,12)/10,0)</f>
        <v>30854</v>
      </c>
      <c r="AQ77" s="4">
        <f ca="1">ROUND(T_Tiktok_ads[[#This Row],[video_watch_100]]*RANDBETWEEN(8,12)/10,0)</f>
        <v>25789</v>
      </c>
      <c r="AR77" s="4">
        <f ca="1">ROUND(T_Tiktok_ads[[#This Row],[likes]]*RANDBETWEEN(8,12)/10,0)</f>
        <v>5123</v>
      </c>
      <c r="AS77" s="4">
        <f ca="1">ROUND(T_Tiktok_ads[[#This Row],[shares]]*RANDBETWEEN(8,12)/10,0)</f>
        <v>1456</v>
      </c>
      <c r="AT77" s="4">
        <f ca="1">ROUND(T_Tiktok_ads[[#This Row],[comments]]*RANDBETWEEN(8,12)/10,0)</f>
        <v>250</v>
      </c>
      <c r="AV77" s="5">
        <f t="shared" ca="1" si="12"/>
        <v>44998</v>
      </c>
      <c r="AW77">
        <f t="shared" ca="1" si="13"/>
        <v>4</v>
      </c>
      <c r="AX77">
        <f ca="1">ROUND(T_Facebook_Ads115963[[#This Row],[impressions]]*RANDBETWEEN(8,12)/10,0)</f>
        <v>12331</v>
      </c>
      <c r="AY77">
        <f ca="1">ROUND(T_Facebook_Ads115963[[#This Row],[clicks]]*RANDBETWEEN(8,12)/10,0)</f>
        <v>680</v>
      </c>
      <c r="AZ77">
        <f ca="1">T_Facebook_Ads115963[[#This Row],[spend]]*RANDBETWEEN(8,12)/10</f>
        <v>150.91199999999998</v>
      </c>
      <c r="BA77">
        <f ca="1">ROUND(T_Facebook_Ads115963[[#This Row],[conversions]]*RANDBETWEEN(8,12)/10,0)</f>
        <v>34</v>
      </c>
      <c r="BB77">
        <f ca="1">ROUND(T_Facebook_Ads115963[[#This Row],[video_views]]*RANDBETWEEN(8,12)/10,0)</f>
        <v>1333</v>
      </c>
    </row>
    <row r="78" spans="1:54" ht="15.75" thickBot="1" x14ac:dyDescent="0.3">
      <c r="A78" s="3">
        <f t="shared" ca="1" si="9"/>
        <v>45003</v>
      </c>
      <c r="B78" s="4" t="s">
        <v>60</v>
      </c>
      <c r="C78" s="4" t="s">
        <v>61</v>
      </c>
      <c r="D78" s="4" t="s">
        <v>62</v>
      </c>
      <c r="E78" s="4" t="s">
        <v>63</v>
      </c>
      <c r="F78" s="4">
        <f ca="1">ROUND(T_Facebook_Ads[[#This Row],[impressions]]*RANDBETWEEN(8,12)/10,0)</f>
        <v>42148</v>
      </c>
      <c r="G78" s="4">
        <v>1267</v>
      </c>
      <c r="H78" s="4">
        <f ca="1">T_Facebook_Ads[[#This Row],[spend]]*RANDBETWEEN(8,12)/10</f>
        <v>194.5</v>
      </c>
      <c r="I78" s="4">
        <f ca="1">ROUND(T_Facebook_Ads[[#This Row],[conversions]]*RANDBETWEEN(8,12)/10,0)</f>
        <v>23</v>
      </c>
      <c r="J78" s="4">
        <f ca="1">ROUND(T_Facebook_Ads[[#This Row],[video_views]]*RANDBETWEEN(8,12)/10,0)</f>
        <v>5214</v>
      </c>
      <c r="K78" s="4">
        <f ca="1">T_Facebook_Ads[[#This Row],[engagement_rate]]*RANDBETWEEN(8,12)/10</f>
        <v>3.2490000000000005E-2</v>
      </c>
      <c r="L78" s="4">
        <f ca="1">ROUND(T_Facebook_Ads[[#This Row],[reach]]*RANDBETWEEN(8,12)/10,0)</f>
        <v>26211</v>
      </c>
      <c r="M78" s="4">
        <f ca="1">T_Facebook_Ads[[#This Row],[frequency]]*RANDBETWEEN(8,12)/10</f>
        <v>1.452</v>
      </c>
      <c r="O78" s="3">
        <f t="shared" ca="1" si="10"/>
        <v>44989</v>
      </c>
      <c r="P78" s="4" t="s">
        <v>84</v>
      </c>
      <c r="Q78" s="4" t="s">
        <v>85</v>
      </c>
      <c r="R78" s="4" t="s">
        <v>86</v>
      </c>
      <c r="S78" s="4" t="s">
        <v>87</v>
      </c>
      <c r="T78" s="4">
        <f ca="1">ROUND(_Google_ads[[#This Row],[impressions]]*RANDBETWEEN(8,12)/10,0)</f>
        <v>73468</v>
      </c>
      <c r="U78" s="4">
        <f ca="1">ROUND(_Google_ads[[#This Row],[clicks]]*RANDBETWEEN(8,12)/10,0)</f>
        <v>2445</v>
      </c>
      <c r="V78" s="4">
        <f ca="1">_Google_ads[[#This Row],[cost]]*RANDBETWEEN(8,12)/10</f>
        <v>367.11</v>
      </c>
      <c r="W78" s="4">
        <f ca="1">ROUND(_Google_ads[[#This Row],[conversions]]*RANDBETWEEN(8,12)/10,0)</f>
        <v>58</v>
      </c>
      <c r="X78" s="4">
        <f ca="1">ROUND(_Google_ads[[#This Row],[conversion_value]]*RANDBETWEEN(8,12)/10,0)</f>
        <v>3520</v>
      </c>
      <c r="Y78" s="4">
        <f ca="1">_Google_ads[[#This Row],[ctr]]*RANDBETWEEN(8,12)/10</f>
        <v>3.9960000000000009E-2</v>
      </c>
      <c r="Z78" s="4">
        <f ca="1">_Google_ads[[#This Row],[avg_cpc]]*RANDBETWEEN(8,12)/10</f>
        <v>0.18</v>
      </c>
      <c r="AA78" s="4">
        <f ca="1">ROUND(_Google_ads[[#This Row],[quality_score]]*RANDBETWEEN(8,12)/10,0)</f>
        <v>10</v>
      </c>
      <c r="AB78" s="4">
        <f ca="1">_Google_ads[[#This Row],[search_impression_share]]*RANDBETWEEN(8,12)/10</f>
        <v>0.52800000000000002</v>
      </c>
      <c r="AD78" s="3">
        <f t="shared" ca="1" si="11"/>
        <v>44997</v>
      </c>
      <c r="AE78" s="4" t="s">
        <v>108</v>
      </c>
      <c r="AF78" s="4" t="s">
        <v>109</v>
      </c>
      <c r="AG78" s="4" t="s">
        <v>110</v>
      </c>
      <c r="AH78" s="4" t="s">
        <v>111</v>
      </c>
      <c r="AI78" s="4">
        <f ca="1">ROUND(T_Tiktok_ads[[#This Row],[impressions]]*RANDBETWEEN(8,12)/10,0)</f>
        <v>228901</v>
      </c>
      <c r="AJ78" s="4">
        <f ca="1">ROUND(T_Tiktok_ads[[#This Row],[clicks]]*RANDBETWEEN(8,12)/10,0)</f>
        <v>3634</v>
      </c>
      <c r="AK78" s="4">
        <v>441.9</v>
      </c>
      <c r="AL78" s="4">
        <f ca="1">ROUND(T_Tiktok_ads[[#This Row],[conversions]]*RANDBETWEEN(8,12)/10,0)</f>
        <v>34</v>
      </c>
      <c r="AM78" s="4">
        <f ca="1">ROUND(T_Tiktok_ads[[#This Row],[video_views]]*RANDBETWEEN(8,12)/10,0)</f>
        <v>218814</v>
      </c>
      <c r="AN78" s="4">
        <f ca="1">ROUND(T_Tiktok_ads[[#This Row],[video_watch_25]]*RANDBETWEEN(8,12)/10,0)</f>
        <v>151679</v>
      </c>
      <c r="AO78" s="4">
        <f ca="1">ROUND(T_Tiktok_ads[[#This Row],[video_watch_50]]*RANDBETWEEN(8,12)/10,0)</f>
        <v>130681</v>
      </c>
      <c r="AP78" s="4">
        <f ca="1">ROUND(T_Tiktok_ads[[#This Row],[video_watch_75]]*RANDBETWEEN(8,12)/10,0)</f>
        <v>56454</v>
      </c>
      <c r="AQ78" s="4">
        <f ca="1">ROUND(T_Tiktok_ads[[#This Row],[video_watch_100]]*RANDBETWEEN(8,12)/10,0)</f>
        <v>38510</v>
      </c>
      <c r="AR78" s="4">
        <f ca="1">ROUND(T_Tiktok_ads[[#This Row],[likes]]*RANDBETWEEN(8,12)/10,0)</f>
        <v>7610</v>
      </c>
      <c r="AS78" s="4">
        <f ca="1">ROUND(T_Tiktok_ads[[#This Row],[shares]]*RANDBETWEEN(8,12)/10,0)</f>
        <v>2531</v>
      </c>
      <c r="AT78" s="4">
        <f ca="1">ROUND(T_Tiktok_ads[[#This Row],[comments]]*RANDBETWEEN(8,12)/10,0)</f>
        <v>545</v>
      </c>
      <c r="AV78" s="5">
        <f t="shared" ca="1" si="12"/>
        <v>45013</v>
      </c>
      <c r="AW78">
        <f t="shared" ca="1" si="13"/>
        <v>1</v>
      </c>
      <c r="AX78">
        <f ca="1">ROUND(T_Facebook_Ads115963[[#This Row],[impressions]]*RANDBETWEEN(8,12)/10,0)</f>
        <v>42148</v>
      </c>
      <c r="AY78">
        <f ca="1">ROUND(T_Facebook_Ads115963[[#This Row],[clicks]]*RANDBETWEEN(8,12)/10,0)</f>
        <v>1140</v>
      </c>
      <c r="AZ78">
        <f ca="1">T_Facebook_Ads115963[[#This Row],[spend]]*RANDBETWEEN(8,12)/10</f>
        <v>175.05</v>
      </c>
      <c r="BA78">
        <f ca="1">ROUND(T_Facebook_Ads115963[[#This Row],[conversions]]*RANDBETWEEN(8,12)/10,0)</f>
        <v>25</v>
      </c>
      <c r="BB78">
        <f ca="1">ROUND(T_Facebook_Ads115963[[#This Row],[video_views]]*RANDBETWEEN(8,12)/10,0)</f>
        <v>4693</v>
      </c>
    </row>
    <row r="79" spans="1:54" ht="15.75" thickBot="1" x14ac:dyDescent="0.3">
      <c r="A79" s="3">
        <f t="shared" ca="1" si="9"/>
        <v>45005</v>
      </c>
      <c r="B79" s="4" t="s">
        <v>64</v>
      </c>
      <c r="C79" s="4" t="s">
        <v>65</v>
      </c>
      <c r="D79" s="4" t="s">
        <v>66</v>
      </c>
      <c r="E79" s="4" t="s">
        <v>67</v>
      </c>
      <c r="F79" s="4">
        <f ca="1">ROUND(T_Facebook_Ads[[#This Row],[impressions]]*RANDBETWEEN(8,12)/10,0)</f>
        <v>80147</v>
      </c>
      <c r="G79" s="4">
        <v>245</v>
      </c>
      <c r="H79" s="4">
        <f ca="1">T_Facebook_Ads[[#This Row],[spend]]*RANDBETWEEN(8,12)/10</f>
        <v>101.64000000000001</v>
      </c>
      <c r="I79" s="4">
        <f ca="1">ROUND(T_Facebook_Ads[[#This Row],[conversions]]*RANDBETWEEN(8,12)/10,0)</f>
        <v>4</v>
      </c>
      <c r="J79" s="4">
        <f ca="1">ROUND(T_Facebook_Ads[[#This Row],[video_views]]*RANDBETWEEN(8,12)/10,0)</f>
        <v>40110</v>
      </c>
      <c r="K79" s="4">
        <f ca="1">T_Facebook_Ads[[#This Row],[engagement_rate]]*RANDBETWEEN(8,12)/10</f>
        <v>3.7000000000000006E-3</v>
      </c>
      <c r="L79" s="4">
        <f ca="1">ROUND(T_Facebook_Ads[[#This Row],[reach]]*RANDBETWEEN(8,12)/10,0)</f>
        <v>43912</v>
      </c>
      <c r="M79" s="4">
        <f ca="1">T_Facebook_Ads[[#This Row],[frequency]]*RANDBETWEEN(8,12)/10</f>
        <v>0.97599999999999998</v>
      </c>
      <c r="O79" s="3">
        <f t="shared" ca="1" si="10"/>
        <v>45007</v>
      </c>
      <c r="P79" s="4" t="s">
        <v>88</v>
      </c>
      <c r="Q79" s="4" t="s">
        <v>89</v>
      </c>
      <c r="R79" s="4" t="s">
        <v>90</v>
      </c>
      <c r="S79" s="4" t="s">
        <v>59</v>
      </c>
      <c r="T79" s="4">
        <f ca="1">ROUND(_Google_ads[[#This Row],[impressions]]*RANDBETWEEN(8,12)/10,0)</f>
        <v>153468</v>
      </c>
      <c r="U79" s="4">
        <f ca="1">ROUND(_Google_ads[[#This Row],[clicks]]*RANDBETWEEN(8,12)/10,0)</f>
        <v>410</v>
      </c>
      <c r="V79" s="4">
        <f ca="1">_Google_ads[[#This Row],[cost]]*RANDBETWEEN(8,12)/10</f>
        <v>138.16</v>
      </c>
      <c r="W79" s="4">
        <f ca="1">ROUND(_Google_ads[[#This Row],[conversions]]*RANDBETWEEN(8,12)/10,0)</f>
        <v>13</v>
      </c>
      <c r="X79" s="4">
        <f ca="1">ROUND(_Google_ads[[#This Row],[conversion_value]]*RANDBETWEEN(8,12)/10,0)</f>
        <v>585</v>
      </c>
      <c r="Y79" s="4">
        <f ca="1">_Google_ads[[#This Row],[ctr]]*RANDBETWEEN(8,12)/10</f>
        <v>2.8799999999999997E-3</v>
      </c>
      <c r="Z79" s="4">
        <f ca="1">_Google_ads[[#This Row],[avg_cpc]]*RANDBETWEEN(8,12)/10</f>
        <v>0.22400000000000003</v>
      </c>
      <c r="AA79" s="4">
        <f ca="1">ROUND(_Google_ads[[#This Row],[quality_score]]*RANDBETWEEN(8,12)/10,0)</f>
        <v>6</v>
      </c>
      <c r="AB79" s="4">
        <f ca="1">_Google_ads[[#This Row],[search_impression_share]]*RANDBETWEEN(8,12)/10</f>
        <v>0.374</v>
      </c>
      <c r="AD79" s="3">
        <f t="shared" ca="1" si="11"/>
        <v>45001</v>
      </c>
      <c r="AE79" s="4" t="s">
        <v>112</v>
      </c>
      <c r="AF79" s="4" t="s">
        <v>113</v>
      </c>
      <c r="AG79" s="4" t="s">
        <v>114</v>
      </c>
      <c r="AH79" s="4" t="s">
        <v>115</v>
      </c>
      <c r="AI79" s="4">
        <f ca="1">ROUND(T_Tiktok_ads[[#This Row],[impressions]]*RANDBETWEEN(8,12)/10,0)</f>
        <v>358710</v>
      </c>
      <c r="AJ79" s="4">
        <f ca="1">ROUND(T_Tiktok_ads[[#This Row],[clicks]]*RANDBETWEEN(8,12)/10,0)</f>
        <v>5227</v>
      </c>
      <c r="AK79" s="4">
        <v>998.7</v>
      </c>
      <c r="AL79" s="4">
        <f ca="1">ROUND(T_Tiktok_ads[[#This Row],[conversions]]*RANDBETWEEN(8,12)/10,0)</f>
        <v>88</v>
      </c>
      <c r="AM79" s="4">
        <f ca="1">ROUND(T_Tiktok_ads[[#This Row],[video_views]]*RANDBETWEEN(8,12)/10,0)</f>
        <v>265876</v>
      </c>
      <c r="AN79" s="4">
        <f ca="1">ROUND(T_Tiktok_ads[[#This Row],[video_watch_25]]*RANDBETWEEN(8,12)/10,0)</f>
        <v>214312</v>
      </c>
      <c r="AO79" s="4">
        <f ca="1">ROUND(T_Tiktok_ads[[#This Row],[video_watch_50]]*RANDBETWEEN(8,12)/10,0)</f>
        <v>193110</v>
      </c>
      <c r="AP79" s="4">
        <f ca="1">ROUND(T_Tiktok_ads[[#This Row],[video_watch_75]]*RANDBETWEEN(8,12)/10,0)</f>
        <v>181481</v>
      </c>
      <c r="AQ79" s="4">
        <f ca="1">ROUND(T_Tiktok_ads[[#This Row],[video_watch_100]]*RANDBETWEEN(8,12)/10,0)</f>
        <v>79654</v>
      </c>
      <c r="AR79" s="4">
        <f ca="1">ROUND(T_Tiktok_ads[[#This Row],[likes]]*RANDBETWEEN(8,12)/10,0)</f>
        <v>19532</v>
      </c>
      <c r="AS79" s="4">
        <f ca="1">ROUND(T_Tiktok_ads[[#This Row],[shares]]*RANDBETWEEN(8,12)/10,0)</f>
        <v>4511</v>
      </c>
      <c r="AT79" s="4">
        <f ca="1">ROUND(T_Tiktok_ads[[#This Row],[comments]]*RANDBETWEEN(8,12)/10,0)</f>
        <v>1667</v>
      </c>
      <c r="AV79" s="5">
        <f t="shared" ca="1" si="12"/>
        <v>44991</v>
      </c>
      <c r="AW79">
        <f t="shared" ca="1" si="13"/>
        <v>5</v>
      </c>
      <c r="AX79">
        <f ca="1">ROUND(T_Facebook_Ads115963[[#This Row],[impressions]]*RANDBETWEEN(8,12)/10,0)</f>
        <v>64118</v>
      </c>
      <c r="AY79">
        <f ca="1">ROUND(T_Facebook_Ads115963[[#This Row],[clicks]]*RANDBETWEEN(8,12)/10,0)</f>
        <v>221</v>
      </c>
      <c r="AZ79">
        <f ca="1">T_Facebook_Ads115963[[#This Row],[spend]]*RANDBETWEEN(8,12)/10</f>
        <v>91.476000000000013</v>
      </c>
      <c r="BA79">
        <f ca="1">ROUND(T_Facebook_Ads115963[[#This Row],[conversions]]*RANDBETWEEN(8,12)/10,0)</f>
        <v>4</v>
      </c>
      <c r="BB79">
        <f ca="1">ROUND(T_Facebook_Ads115963[[#This Row],[video_views]]*RANDBETWEEN(8,12)/10,0)</f>
        <v>36099</v>
      </c>
    </row>
    <row r="80" spans="1:54" ht="15.75" thickBot="1" x14ac:dyDescent="0.3">
      <c r="A80" s="3">
        <f t="shared" ca="1" si="9"/>
        <v>44995</v>
      </c>
      <c r="B80" s="4" t="s">
        <v>52</v>
      </c>
      <c r="C80" s="4" t="s">
        <v>53</v>
      </c>
      <c r="D80" s="4" t="s">
        <v>54</v>
      </c>
      <c r="E80" s="4" t="s">
        <v>55</v>
      </c>
      <c r="F80" s="4">
        <f ca="1">ROUND(T_Facebook_Ads[[#This Row],[impressions]]*RANDBETWEEN(8,12)/10,0)</f>
        <v>43710</v>
      </c>
      <c r="G80" s="4">
        <v>989</v>
      </c>
      <c r="H80" s="4">
        <f ca="1">T_Facebook_Ads[[#This Row],[spend]]*RANDBETWEEN(8,12)/10</f>
        <v>154.33000000000001</v>
      </c>
      <c r="I80" s="4">
        <f ca="1">ROUND(T_Facebook_Ads[[#This Row],[conversions]]*RANDBETWEEN(8,12)/10,0)</f>
        <v>15</v>
      </c>
      <c r="J80" s="4">
        <f ca="1">ROUND(T_Facebook_Ads[[#This Row],[video_views]]*RANDBETWEEN(8,12)/10,0)</f>
        <v>7156</v>
      </c>
      <c r="K80" s="4">
        <f ca="1">T_Facebook_Ads[[#This Row],[engagement_rate]]*RANDBETWEEN(8,12)/10</f>
        <v>2.0400000000000001E-2</v>
      </c>
      <c r="L80" s="4">
        <f ca="1">ROUND(T_Facebook_Ads[[#This Row],[reach]]*RANDBETWEEN(8,12)/10,0)</f>
        <v>48547</v>
      </c>
      <c r="M80" s="4">
        <f ca="1">T_Facebook_Ads[[#This Row],[frequency]]*RANDBETWEEN(8,12)/10</f>
        <v>1.2</v>
      </c>
      <c r="O80" s="3">
        <f t="shared" ca="1" si="10"/>
        <v>45001</v>
      </c>
      <c r="P80" s="4" t="s">
        <v>76</v>
      </c>
      <c r="Q80" s="4" t="s">
        <v>77</v>
      </c>
      <c r="R80" s="4" t="s">
        <v>78</v>
      </c>
      <c r="S80" s="4" t="s">
        <v>79</v>
      </c>
      <c r="T80" s="4">
        <f ca="1">ROUND(_Google_ads[[#This Row],[impressions]]*RANDBETWEEN(8,12)/10,0)</f>
        <v>20542</v>
      </c>
      <c r="U80" s="4">
        <f ca="1">ROUND(_Google_ads[[#This Row],[clicks]]*RANDBETWEEN(8,12)/10,0)</f>
        <v>1492</v>
      </c>
      <c r="V80" s="4">
        <f ca="1">_Google_ads[[#This Row],[cost]]*RANDBETWEEN(8,12)/10</f>
        <v>207.51999999999998</v>
      </c>
      <c r="W80" s="4">
        <f ca="1">ROUND(_Google_ads[[#This Row],[conversions]]*RANDBETWEEN(8,12)/10,0)</f>
        <v>46</v>
      </c>
      <c r="X80" s="4">
        <f ca="1">ROUND(_Google_ads[[#This Row],[conversion_value]]*RANDBETWEEN(8,12)/10,0)</f>
        <v>2040</v>
      </c>
      <c r="Y80" s="4">
        <f ca="1">_Google_ads[[#This Row],[ctr]]*RANDBETWEEN(8,12)/10</f>
        <v>4.224E-2</v>
      </c>
      <c r="Z80" s="4">
        <f ca="1">_Google_ads[[#This Row],[avg_cpc]]*RANDBETWEEN(8,12)/10</f>
        <v>0.19</v>
      </c>
      <c r="AA80" s="4">
        <f ca="1">ROUND(_Google_ads[[#This Row],[quality_score]]*RANDBETWEEN(8,12)/10,0)</f>
        <v>9</v>
      </c>
      <c r="AB80" s="4">
        <f ca="1">_Google_ads[[#This Row],[search_impression_share]]*RANDBETWEEN(8,12)/10</f>
        <v>0.92000000000000015</v>
      </c>
      <c r="AD80" s="3">
        <f t="shared" ca="1" si="11"/>
        <v>45012</v>
      </c>
      <c r="AE80" s="4" t="s">
        <v>100</v>
      </c>
      <c r="AF80" s="4" t="s">
        <v>101</v>
      </c>
      <c r="AG80" s="4" t="s">
        <v>102</v>
      </c>
      <c r="AH80" s="4" t="s">
        <v>103</v>
      </c>
      <c r="AI80" s="4">
        <f ca="1">ROUND(T_Tiktok_ads[[#This Row],[impressions]]*RANDBETWEEN(8,12)/10,0)</f>
        <v>260111</v>
      </c>
      <c r="AJ80" s="4">
        <f ca="1">ROUND(T_Tiktok_ads[[#This Row],[clicks]]*RANDBETWEEN(8,12)/10,0)</f>
        <v>3387</v>
      </c>
      <c r="AK80" s="4">
        <v>556.70000000000005</v>
      </c>
      <c r="AL80" s="4">
        <f ca="1">ROUND(T_Tiktok_ads[[#This Row],[conversions]]*RANDBETWEEN(8,12)/10,0)</f>
        <v>34</v>
      </c>
      <c r="AM80" s="4">
        <f ca="1">ROUND(T_Tiktok_ads[[#This Row],[video_views]]*RANDBETWEEN(8,12)/10,0)</f>
        <v>211110</v>
      </c>
      <c r="AN80" s="4">
        <f ca="1">ROUND(T_Tiktok_ads[[#This Row],[video_watch_25]]*RANDBETWEEN(8,12)/10,0)</f>
        <v>218814</v>
      </c>
      <c r="AO80" s="4">
        <f ca="1">ROUND(T_Tiktok_ads[[#This Row],[video_watch_50]]*RANDBETWEEN(8,12)/10,0)</f>
        <v>114567</v>
      </c>
      <c r="AP80" s="4">
        <f ca="1">ROUND(T_Tiktok_ads[[#This Row],[video_watch_75]]*RANDBETWEEN(8,12)/10,0)</f>
        <v>69511</v>
      </c>
      <c r="AQ80" s="4">
        <f ca="1">ROUND(T_Tiktok_ads[[#This Row],[video_watch_100]]*RANDBETWEEN(8,12)/10,0)</f>
        <v>61481</v>
      </c>
      <c r="AR80" s="4">
        <f ca="1">ROUND(T_Tiktok_ads[[#This Row],[likes]]*RANDBETWEEN(8,12)/10,0)</f>
        <v>10345</v>
      </c>
      <c r="AS80" s="4">
        <f ca="1">ROUND(T_Tiktok_ads[[#This Row],[shares]]*RANDBETWEEN(8,12)/10,0)</f>
        <v>2231</v>
      </c>
      <c r="AT80" s="4">
        <f ca="1">ROUND(T_Tiktok_ads[[#This Row],[comments]]*RANDBETWEEN(8,12)/10,0)</f>
        <v>787</v>
      </c>
      <c r="AV80" s="5">
        <f t="shared" ca="1" si="12"/>
        <v>44999</v>
      </c>
      <c r="AW80">
        <f t="shared" ca="1" si="13"/>
        <v>4</v>
      </c>
      <c r="AX80">
        <f ca="1">ROUND(T_Facebook_Ads115963[[#This Row],[impressions]]*RANDBETWEEN(8,12)/10,0)</f>
        <v>48081</v>
      </c>
      <c r="AY80">
        <f ca="1">ROUND(T_Facebook_Ads115963[[#This Row],[clicks]]*RANDBETWEEN(8,12)/10,0)</f>
        <v>989</v>
      </c>
      <c r="AZ80">
        <f ca="1">T_Facebook_Ads115963[[#This Row],[spend]]*RANDBETWEEN(8,12)/10</f>
        <v>185.196</v>
      </c>
      <c r="BA80">
        <f ca="1">ROUND(T_Facebook_Ads115963[[#This Row],[conversions]]*RANDBETWEEN(8,12)/10,0)</f>
        <v>18</v>
      </c>
      <c r="BB80">
        <f ca="1">ROUND(T_Facebook_Ads115963[[#This Row],[video_views]]*RANDBETWEEN(8,12)/10,0)</f>
        <v>7156</v>
      </c>
    </row>
    <row r="81" spans="1:54" ht="15.75" thickBot="1" x14ac:dyDescent="0.3">
      <c r="A81" s="3">
        <f t="shared" ca="1" si="9"/>
        <v>45013</v>
      </c>
      <c r="B81" s="4" t="s">
        <v>56</v>
      </c>
      <c r="C81" s="4" t="s">
        <v>57</v>
      </c>
      <c r="D81" s="4" t="s">
        <v>58</v>
      </c>
      <c r="E81" s="4" t="s">
        <v>59</v>
      </c>
      <c r="F81" s="4">
        <f ca="1">ROUND(T_Facebook_Ads[[#This Row],[impressions]]*RANDBETWEEN(8,12)/10,0)</f>
        <v>16547</v>
      </c>
      <c r="G81" s="4">
        <v>623</v>
      </c>
      <c r="H81" s="4">
        <f ca="1">T_Facebook_Ads[[#This Row],[spend]]*RANDBETWEEN(8,12)/10</f>
        <v>183.84</v>
      </c>
      <c r="I81" s="4">
        <f ca="1">ROUND(T_Facebook_Ads[[#This Row],[conversions]]*RANDBETWEEN(8,12)/10,0)</f>
        <v>46</v>
      </c>
      <c r="J81" s="4">
        <f ca="1">ROUND(T_Facebook_Ads[[#This Row],[video_views]]*RANDBETWEEN(8,12)/10,0)</f>
        <v>1787</v>
      </c>
      <c r="K81" s="4">
        <f ca="1">T_Facebook_Ads[[#This Row],[engagement_rate]]*RANDBETWEEN(8,12)/10</f>
        <v>5.4239999999999997E-2</v>
      </c>
      <c r="L81" s="4">
        <f ca="1">ROUND(T_Facebook_Ads[[#This Row],[reach]]*RANDBETWEEN(8,12)/10,0)</f>
        <v>12947</v>
      </c>
      <c r="M81" s="4">
        <f ca="1">T_Facebook_Ads[[#This Row],[frequency]]*RANDBETWEEN(8,12)/10</f>
        <v>1.024</v>
      </c>
      <c r="O81" s="3">
        <f t="shared" ca="1" si="10"/>
        <v>44987</v>
      </c>
      <c r="P81" s="4" t="s">
        <v>80</v>
      </c>
      <c r="Q81" s="4" t="s">
        <v>81</v>
      </c>
      <c r="R81" s="4" t="s">
        <v>82</v>
      </c>
      <c r="S81" s="4" t="s">
        <v>83</v>
      </c>
      <c r="T81" s="4">
        <f ca="1">ROUND(_Google_ads[[#This Row],[impressions]]*RANDBETWEEN(8,12)/10,0)</f>
        <v>49635</v>
      </c>
      <c r="U81" s="4">
        <f ca="1">ROUND(_Google_ads[[#This Row],[clicks]]*RANDBETWEEN(8,12)/10,0)</f>
        <v>912</v>
      </c>
      <c r="V81" s="4">
        <f ca="1">_Google_ads[[#This Row],[cost]]*RANDBETWEEN(8,12)/10</f>
        <v>635.57999999999993</v>
      </c>
      <c r="W81" s="4">
        <f ca="1">ROUND(_Google_ads[[#This Row],[conversions]]*RANDBETWEEN(8,12)/10,0)</f>
        <v>29</v>
      </c>
      <c r="X81" s="4">
        <f ca="1">ROUND(_Google_ads[[#This Row],[conversion_value]]*RANDBETWEEN(8,12)/10,0)</f>
        <v>1200</v>
      </c>
      <c r="Y81" s="4">
        <f ca="1">_Google_ads[[#This Row],[ctr]]*RANDBETWEEN(8,12)/10</f>
        <v>1.6160000000000001E-2</v>
      </c>
      <c r="Z81" s="4">
        <f ca="1">_Google_ads[[#This Row],[avg_cpc]]*RANDBETWEEN(8,12)/10</f>
        <v>0.69299999999999995</v>
      </c>
      <c r="AA81" s="4">
        <f ca="1">ROUND(_Google_ads[[#This Row],[quality_score]]*RANDBETWEEN(8,12)/10,0)</f>
        <v>6</v>
      </c>
      <c r="AB81" s="4">
        <f ca="1">_Google_ads[[#This Row],[search_impression_share]]*RANDBETWEEN(8,12)/10</f>
        <v>0.495</v>
      </c>
      <c r="AD81" s="3">
        <f t="shared" ca="1" si="11"/>
        <v>45000</v>
      </c>
      <c r="AE81" s="4" t="s">
        <v>104</v>
      </c>
      <c r="AF81" s="4" t="s">
        <v>105</v>
      </c>
      <c r="AG81" s="4" t="s">
        <v>106</v>
      </c>
      <c r="AH81" s="4" t="s">
        <v>107</v>
      </c>
      <c r="AI81" s="4">
        <f ca="1">ROUND(T_Tiktok_ads[[#This Row],[impressions]]*RANDBETWEEN(8,12)/10,0)</f>
        <v>156789</v>
      </c>
      <c r="AJ81" s="4">
        <f ca="1">ROUND(T_Tiktok_ads[[#This Row],[clicks]]*RANDBETWEEN(8,12)/10,0)</f>
        <v>3614</v>
      </c>
      <c r="AK81" s="4">
        <v>812.3</v>
      </c>
      <c r="AL81" s="4">
        <f ca="1">ROUND(T_Tiktok_ads[[#This Row],[conversions]]*RANDBETWEEN(8,12)/10,0)</f>
        <v>66</v>
      </c>
      <c r="AM81" s="4">
        <f ca="1">ROUND(T_Tiktok_ads[[#This Row],[video_views]]*RANDBETWEEN(8,12)/10,0)</f>
        <v>109876</v>
      </c>
      <c r="AN81" s="4">
        <f ca="1">ROUND(T_Tiktok_ads[[#This Row],[video_watch_25]]*RANDBETWEEN(8,12)/10,0)</f>
        <v>64987</v>
      </c>
      <c r="AO81" s="4">
        <f ca="1">ROUND(T_Tiktok_ads[[#This Row],[video_watch_50]]*RANDBETWEEN(8,12)/10,0)</f>
        <v>43742</v>
      </c>
      <c r="AP81" s="4">
        <f ca="1">ROUND(T_Tiktok_ads[[#This Row],[video_watch_75]]*RANDBETWEEN(8,12)/10,0)</f>
        <v>41234</v>
      </c>
      <c r="AQ81" s="4">
        <f ca="1">ROUND(T_Tiktok_ads[[#This Row],[video_watch_100]]*RANDBETWEEN(8,12)/10,0)</f>
        <v>33080</v>
      </c>
      <c r="AR81" s="4">
        <f ca="1">ROUND(T_Tiktok_ads[[#This Row],[likes]]*RANDBETWEEN(8,12)/10,0)</f>
        <v>6002</v>
      </c>
      <c r="AS81" s="4">
        <f ca="1">ROUND(T_Tiktok_ads[[#This Row],[shares]]*RANDBETWEEN(8,12)/10,0)</f>
        <v>1567</v>
      </c>
      <c r="AT81" s="4">
        <f ca="1">ROUND(T_Tiktok_ads[[#This Row],[comments]]*RANDBETWEEN(8,12)/10,0)</f>
        <v>289</v>
      </c>
      <c r="AV81" s="5">
        <f t="shared" ca="1" si="12"/>
        <v>45016</v>
      </c>
      <c r="AW81">
        <f t="shared" ca="1" si="13"/>
        <v>2</v>
      </c>
      <c r="AX81">
        <f ca="1">ROUND(T_Facebook_Ads115963[[#This Row],[impressions]]*RANDBETWEEN(8,12)/10,0)</f>
        <v>13238</v>
      </c>
      <c r="AY81">
        <f ca="1">ROUND(T_Facebook_Ads115963[[#This Row],[clicks]]*RANDBETWEEN(8,12)/10,0)</f>
        <v>748</v>
      </c>
      <c r="AZ81">
        <f ca="1">T_Facebook_Ads115963[[#This Row],[spend]]*RANDBETWEEN(8,12)/10</f>
        <v>202.22399999999999</v>
      </c>
      <c r="BA81">
        <f ca="1">ROUND(T_Facebook_Ads115963[[#This Row],[conversions]]*RANDBETWEEN(8,12)/10,0)</f>
        <v>46</v>
      </c>
      <c r="BB81">
        <f ca="1">ROUND(T_Facebook_Ads115963[[#This Row],[video_views]]*RANDBETWEEN(8,12)/10,0)</f>
        <v>1430</v>
      </c>
    </row>
    <row r="82" spans="1:54" ht="15.75" thickBot="1" x14ac:dyDescent="0.3">
      <c r="A82" s="3">
        <f t="shared" ca="1" si="9"/>
        <v>45004</v>
      </c>
      <c r="B82" s="4" t="s">
        <v>60</v>
      </c>
      <c r="C82" s="4" t="s">
        <v>61</v>
      </c>
      <c r="D82" s="4" t="s">
        <v>62</v>
      </c>
      <c r="E82" s="4" t="s">
        <v>63</v>
      </c>
      <c r="F82" s="4">
        <f ca="1">ROUND(T_Facebook_Ads[[#This Row],[impressions]]*RANDBETWEEN(8,12)/10,0)</f>
        <v>29965</v>
      </c>
      <c r="G82" s="4">
        <v>1389</v>
      </c>
      <c r="H82" s="4">
        <f ca="1">T_Facebook_Ads[[#This Row],[spend]]*RANDBETWEEN(8,12)/10</f>
        <v>234.74</v>
      </c>
      <c r="I82" s="4">
        <f ca="1">ROUND(T_Facebook_Ads[[#This Row],[conversions]]*RANDBETWEEN(8,12)/10,0)</f>
        <v>35</v>
      </c>
      <c r="J82" s="4">
        <f ca="1">ROUND(T_Facebook_Ads[[#This Row],[video_views]]*RANDBETWEEN(8,12)/10,0)</f>
        <v>3912</v>
      </c>
      <c r="K82" s="4">
        <f ca="1">T_Facebook_Ads[[#This Row],[engagement_rate]]*RANDBETWEEN(8,12)/10</f>
        <v>4.0809999999999999E-2</v>
      </c>
      <c r="L82" s="4">
        <f ca="1">ROUND(T_Facebook_Ads[[#This Row],[reach]]*RANDBETWEEN(8,12)/10,0)</f>
        <v>36680</v>
      </c>
      <c r="M82" s="4">
        <f ca="1">T_Facebook_Ads[[#This Row],[frequency]]*RANDBETWEEN(8,12)/10</f>
        <v>1.22</v>
      </c>
      <c r="O82" s="3">
        <f t="shared" ca="1" si="10"/>
        <v>45015</v>
      </c>
      <c r="P82" s="4" t="s">
        <v>84</v>
      </c>
      <c r="Q82" s="4" t="s">
        <v>85</v>
      </c>
      <c r="R82" s="4" t="s">
        <v>86</v>
      </c>
      <c r="S82" s="4" t="s">
        <v>87</v>
      </c>
      <c r="T82" s="4">
        <f ca="1">ROUND(_Google_ads[[#This Row],[impressions]]*RANDBETWEEN(8,12)/10,0)</f>
        <v>70234</v>
      </c>
      <c r="U82" s="4">
        <f ca="1">ROUND(_Google_ads[[#This Row],[clicks]]*RANDBETWEEN(8,12)/10,0)</f>
        <v>2867</v>
      </c>
      <c r="V82" s="4">
        <f ca="1">_Google_ads[[#This Row],[cost]]*RANDBETWEEN(8,12)/10</f>
        <v>475.86</v>
      </c>
      <c r="W82" s="4">
        <f ca="1">ROUND(_Google_ads[[#This Row],[conversions]]*RANDBETWEEN(8,12)/10,0)</f>
        <v>83</v>
      </c>
      <c r="X82" s="4">
        <f ca="1">ROUND(_Google_ads[[#This Row],[conversion_value]]*RANDBETWEEN(8,12)/10,0)</f>
        <v>3450</v>
      </c>
      <c r="Y82" s="4">
        <f ca="1">_Google_ads[[#This Row],[ctr]]*RANDBETWEEN(8,12)/10</f>
        <v>3.0600000000000006E-2</v>
      </c>
      <c r="Z82" s="4">
        <f ca="1">_Google_ads[[#This Row],[avg_cpc]]*RANDBETWEEN(8,12)/10</f>
        <v>0.16199999999999998</v>
      </c>
      <c r="AA82" s="4">
        <f ca="1">ROUND(_Google_ads[[#This Row],[quality_score]]*RANDBETWEEN(8,12)/10,0)</f>
        <v>7</v>
      </c>
      <c r="AB82" s="4">
        <f ca="1">_Google_ads[[#This Row],[search_impression_share]]*RANDBETWEEN(8,12)/10</f>
        <v>0.53600000000000003</v>
      </c>
      <c r="AD82" s="3">
        <f t="shared" ca="1" si="11"/>
        <v>45012</v>
      </c>
      <c r="AE82" s="4" t="s">
        <v>108</v>
      </c>
      <c r="AF82" s="4" t="s">
        <v>109</v>
      </c>
      <c r="AG82" s="4" t="s">
        <v>110</v>
      </c>
      <c r="AH82" s="4" t="s">
        <v>111</v>
      </c>
      <c r="AI82" s="4">
        <f ca="1">ROUND(T_Tiktok_ads[[#This Row],[impressions]]*RANDBETWEEN(8,12)/10,0)</f>
        <v>221110</v>
      </c>
      <c r="AJ82" s="4">
        <f ca="1">ROUND(T_Tiktok_ads[[#This Row],[clicks]]*RANDBETWEEN(8,12)/10,0)</f>
        <v>3501</v>
      </c>
      <c r="AK82" s="4">
        <v>467.8</v>
      </c>
      <c r="AL82" s="4">
        <f ca="1">ROUND(T_Tiktok_ads[[#This Row],[conversions]]*RANDBETWEEN(8,12)/10,0)</f>
        <v>37</v>
      </c>
      <c r="AM82" s="4">
        <f ca="1">ROUND(T_Tiktok_ads[[#This Row],[video_views]]*RANDBETWEEN(8,12)/10,0)</f>
        <v>234814</v>
      </c>
      <c r="AN82" s="4">
        <f ca="1">ROUND(T_Tiktok_ads[[#This Row],[video_watch_25]]*RANDBETWEEN(8,12)/10,0)</f>
        <v>163057</v>
      </c>
      <c r="AO82" s="4">
        <f ca="1">ROUND(T_Tiktok_ads[[#This Row],[video_watch_50]]*RANDBETWEEN(8,12)/10,0)</f>
        <v>140681</v>
      </c>
      <c r="AP82" s="4">
        <f ca="1">ROUND(T_Tiktok_ads[[#This Row],[video_watch_75]]*RANDBETWEEN(8,12)/10,0)</f>
        <v>90281</v>
      </c>
      <c r="AQ82" s="4">
        <f ca="1">ROUND(T_Tiktok_ads[[#This Row],[video_watch_100]]*RANDBETWEEN(8,12)/10,0)</f>
        <v>45789</v>
      </c>
      <c r="AR82" s="4">
        <f ca="1">ROUND(T_Tiktok_ads[[#This Row],[likes]]*RANDBETWEEN(8,12)/10,0)</f>
        <v>10280</v>
      </c>
      <c r="AS82" s="4">
        <f ca="1">ROUND(T_Tiktok_ads[[#This Row],[shares]]*RANDBETWEEN(8,12)/10,0)</f>
        <v>2580</v>
      </c>
      <c r="AT82" s="4">
        <f ca="1">ROUND(T_Tiktok_ads[[#This Row],[comments]]*RANDBETWEEN(8,12)/10,0)</f>
        <v>624</v>
      </c>
      <c r="AV82" s="5">
        <f t="shared" ca="1" si="12"/>
        <v>45008</v>
      </c>
      <c r="AW82">
        <f t="shared" ca="1" si="13"/>
        <v>3</v>
      </c>
      <c r="AX82">
        <f ca="1">ROUND(T_Facebook_Ads115963[[#This Row],[impressions]]*RANDBETWEEN(8,12)/10,0)</f>
        <v>23972</v>
      </c>
      <c r="AY82">
        <f ca="1">ROUND(T_Facebook_Ads115963[[#This Row],[clicks]]*RANDBETWEEN(8,12)/10,0)</f>
        <v>1250</v>
      </c>
      <c r="AZ82">
        <f ca="1">T_Facebook_Ads115963[[#This Row],[spend]]*RANDBETWEEN(8,12)/10</f>
        <v>258.21400000000006</v>
      </c>
      <c r="BA82">
        <f ca="1">ROUND(T_Facebook_Ads115963[[#This Row],[conversions]]*RANDBETWEEN(8,12)/10,0)</f>
        <v>28</v>
      </c>
      <c r="BB82">
        <f ca="1">ROUND(T_Facebook_Ads115963[[#This Row],[video_views]]*RANDBETWEEN(8,12)/10,0)</f>
        <v>3130</v>
      </c>
    </row>
    <row r="83" spans="1:54" ht="15.75" thickBot="1" x14ac:dyDescent="0.3">
      <c r="A83" s="3">
        <f t="shared" ca="1" si="9"/>
        <v>45000</v>
      </c>
      <c r="B83" s="4" t="s">
        <v>64</v>
      </c>
      <c r="C83" s="4" t="s">
        <v>65</v>
      </c>
      <c r="D83" s="4" t="s">
        <v>66</v>
      </c>
      <c r="E83" s="4" t="s">
        <v>67</v>
      </c>
      <c r="F83" s="4">
        <f ca="1">ROUND(T_Facebook_Ads[[#This Row],[impressions]]*RANDBETWEEN(8,12)/10,0)</f>
        <v>71234</v>
      </c>
      <c r="G83" s="4">
        <v>256</v>
      </c>
      <c r="H83" s="4">
        <f ca="1">T_Facebook_Ads[[#This Row],[spend]]*RANDBETWEEN(8,12)/10</f>
        <v>72.400000000000006</v>
      </c>
      <c r="I83" s="4">
        <f ca="1">ROUND(T_Facebook_Ads[[#This Row],[conversions]]*RANDBETWEEN(8,12)/10,0)</f>
        <v>7</v>
      </c>
      <c r="J83" s="4">
        <f ca="1">ROUND(T_Facebook_Ads[[#This Row],[video_views]]*RANDBETWEEN(8,12)/10,0)</f>
        <v>38498</v>
      </c>
      <c r="K83" s="4">
        <f ca="1">T_Facebook_Ads[[#This Row],[engagement_rate]]*RANDBETWEEN(8,12)/10</f>
        <v>4.3200000000000001E-3</v>
      </c>
      <c r="L83" s="4">
        <f ca="1">ROUND(T_Facebook_Ads[[#This Row],[reach]]*RANDBETWEEN(8,12)/10,0)</f>
        <v>64424</v>
      </c>
      <c r="M83" s="4">
        <f ca="1">T_Facebook_Ads[[#This Row],[frequency]]*RANDBETWEEN(8,12)/10</f>
        <v>1.22</v>
      </c>
      <c r="O83" s="3">
        <f t="shared" ca="1" si="10"/>
        <v>45002</v>
      </c>
      <c r="P83" s="4" t="s">
        <v>88</v>
      </c>
      <c r="Q83" s="4" t="s">
        <v>89</v>
      </c>
      <c r="R83" s="4" t="s">
        <v>90</v>
      </c>
      <c r="S83" s="4" t="s">
        <v>59</v>
      </c>
      <c r="T83" s="4">
        <f ca="1">ROUND(_Google_ads[[#This Row],[impressions]]*RANDBETWEEN(8,12)/10,0)</f>
        <v>133456</v>
      </c>
      <c r="U83" s="4">
        <f ca="1">ROUND(_Google_ads[[#This Row],[clicks]]*RANDBETWEEN(8,12)/10,0)</f>
        <v>538</v>
      </c>
      <c r="V83" s="4">
        <f ca="1">_Google_ads[[#This Row],[cost]]*RANDBETWEEN(8,12)/10</f>
        <v>104.96</v>
      </c>
      <c r="W83" s="4">
        <f ca="1">ROUND(_Google_ads[[#This Row],[conversions]]*RANDBETWEEN(8,12)/10,0)</f>
        <v>15</v>
      </c>
      <c r="X83" s="4">
        <f ca="1">ROUND(_Google_ads[[#This Row],[conversion_value]]*RANDBETWEEN(8,12)/10,0)</f>
        <v>840</v>
      </c>
      <c r="Y83" s="4">
        <f ca="1">_Google_ads[[#This Row],[ctr]]*RANDBETWEEN(8,12)/10</f>
        <v>4.4400000000000004E-3</v>
      </c>
      <c r="Z83" s="4">
        <f ca="1">_Google_ads[[#This Row],[avg_cpc]]*RANDBETWEEN(8,12)/10</f>
        <v>0.24300000000000002</v>
      </c>
      <c r="AA83" s="4">
        <f ca="1">ROUND(_Google_ads[[#This Row],[quality_score]]*RANDBETWEEN(8,12)/10,0)</f>
        <v>6</v>
      </c>
      <c r="AB83" s="4">
        <f ca="1">_Google_ads[[#This Row],[search_impression_share]]*RANDBETWEEN(8,12)/10</f>
        <v>0.315</v>
      </c>
      <c r="AD83" s="3">
        <f t="shared" ca="1" si="11"/>
        <v>44999</v>
      </c>
      <c r="AE83" s="4" t="s">
        <v>112</v>
      </c>
      <c r="AF83" s="4" t="s">
        <v>113</v>
      </c>
      <c r="AG83" s="4" t="s">
        <v>114</v>
      </c>
      <c r="AH83" s="4" t="s">
        <v>115</v>
      </c>
      <c r="AI83" s="4">
        <f ca="1">ROUND(T_Tiktok_ads[[#This Row],[impressions]]*RANDBETWEEN(8,12)/10,0)</f>
        <v>381110</v>
      </c>
      <c r="AJ83" s="4">
        <f ca="1">ROUND(T_Tiktok_ads[[#This Row],[clicks]]*RANDBETWEEN(8,12)/10,0)</f>
        <v>6201</v>
      </c>
      <c r="AK83" s="4">
        <v>1056.8</v>
      </c>
      <c r="AL83" s="4">
        <f ca="1">ROUND(T_Tiktok_ads[[#This Row],[conversions]]*RANDBETWEEN(8,12)/10,0)</f>
        <v>128</v>
      </c>
      <c r="AM83" s="4">
        <f ca="1">ROUND(T_Tiktok_ads[[#This Row],[video_views]]*RANDBETWEEN(8,12)/10,0)</f>
        <v>285431</v>
      </c>
      <c r="AN83" s="4">
        <f ca="1">ROUND(T_Tiktok_ads[[#This Row],[video_watch_25]]*RANDBETWEEN(8,12)/10,0)</f>
        <v>231387</v>
      </c>
      <c r="AO83" s="4">
        <f ca="1">ROUND(T_Tiktok_ads[[#This Row],[video_watch_50]]*RANDBETWEEN(8,12)/10,0)</f>
        <v>231456</v>
      </c>
      <c r="AP83" s="4">
        <f ca="1">ROUND(T_Tiktok_ads[[#This Row],[video_watch_75]]*RANDBETWEEN(8,12)/10,0)</f>
        <v>131654</v>
      </c>
      <c r="AQ83" s="4">
        <f ca="1">ROUND(T_Tiktok_ads[[#This Row],[video_watch_100]]*RANDBETWEEN(8,12)/10,0)</f>
        <v>131081</v>
      </c>
      <c r="AR83" s="4">
        <f ca="1">ROUND(T_Tiktok_ads[[#This Row],[likes]]*RANDBETWEEN(8,12)/10,0)</f>
        <v>22668</v>
      </c>
      <c r="AS83" s="4">
        <f ca="1">ROUND(T_Tiktok_ads[[#This Row],[shares]]*RANDBETWEEN(8,12)/10,0)</f>
        <v>6547</v>
      </c>
      <c r="AT83" s="4">
        <f ca="1">ROUND(T_Tiktok_ads[[#This Row],[comments]]*RANDBETWEEN(8,12)/10,0)</f>
        <v>1638</v>
      </c>
      <c r="AV83" s="5">
        <f t="shared" ca="1" si="12"/>
        <v>45000</v>
      </c>
      <c r="AW83">
        <f t="shared" ca="1" si="13"/>
        <v>1</v>
      </c>
      <c r="AX83">
        <f ca="1">ROUND(T_Facebook_Ads115963[[#This Row],[impressions]]*RANDBETWEEN(8,12)/10,0)</f>
        <v>85481</v>
      </c>
      <c r="AY83">
        <f ca="1">ROUND(T_Facebook_Ads115963[[#This Row],[clicks]]*RANDBETWEEN(8,12)/10,0)</f>
        <v>256</v>
      </c>
      <c r="AZ83">
        <f ca="1">T_Facebook_Ads115963[[#This Row],[spend]]*RANDBETWEEN(8,12)/10</f>
        <v>65.16</v>
      </c>
      <c r="BA83">
        <f ca="1">ROUND(T_Facebook_Ads115963[[#This Row],[conversions]]*RANDBETWEEN(8,12)/10,0)</f>
        <v>7</v>
      </c>
      <c r="BB83">
        <f ca="1">ROUND(T_Facebook_Ads115963[[#This Row],[video_views]]*RANDBETWEEN(8,12)/10,0)</f>
        <v>38498</v>
      </c>
    </row>
    <row r="84" spans="1:54" ht="15.75" thickBot="1" x14ac:dyDescent="0.3">
      <c r="A84" s="3">
        <f t="shared" ca="1" si="9"/>
        <v>45000</v>
      </c>
      <c r="B84" s="4" t="s">
        <v>52</v>
      </c>
      <c r="C84" s="4" t="s">
        <v>53</v>
      </c>
      <c r="D84" s="4" t="s">
        <v>54</v>
      </c>
      <c r="E84" s="4" t="s">
        <v>55</v>
      </c>
      <c r="F84" s="4">
        <f ca="1">ROUND(T_Facebook_Ads[[#This Row],[impressions]]*RANDBETWEEN(8,12)/10,0)</f>
        <v>61481</v>
      </c>
      <c r="G84" s="4">
        <v>1067</v>
      </c>
      <c r="H84" s="4">
        <f ca="1">T_Facebook_Ads[[#This Row],[spend]]*RANDBETWEEN(8,12)/10</f>
        <v>164.67</v>
      </c>
      <c r="I84" s="4">
        <f ca="1">ROUND(T_Facebook_Ads[[#This Row],[conversions]]*RANDBETWEEN(8,12)/10,0)</f>
        <v>17</v>
      </c>
      <c r="J84" s="4">
        <f ca="1">ROUND(T_Facebook_Ads[[#This Row],[video_views]]*RANDBETWEEN(8,12)/10,0)</f>
        <v>7387</v>
      </c>
      <c r="K84" s="4">
        <f ca="1">T_Facebook_Ads[[#This Row],[engagement_rate]]*RANDBETWEEN(8,12)/10</f>
        <v>1.8719999999999997E-2</v>
      </c>
      <c r="L84" s="4">
        <f ca="1">ROUND(T_Facebook_Ads[[#This Row],[reach]]*RANDBETWEEN(8,12)/10,0)</f>
        <v>34054</v>
      </c>
      <c r="M84" s="4">
        <f ca="1">T_Facebook_Ads[[#This Row],[frequency]]*RANDBETWEEN(8,12)/10</f>
        <v>1.2</v>
      </c>
      <c r="O84" s="3">
        <f t="shared" ca="1" si="10"/>
        <v>45016</v>
      </c>
      <c r="P84" s="4" t="s">
        <v>76</v>
      </c>
      <c r="Q84" s="4" t="s">
        <v>77</v>
      </c>
      <c r="R84" s="4" t="s">
        <v>78</v>
      </c>
      <c r="S84" s="4" t="s">
        <v>79</v>
      </c>
      <c r="T84" s="4">
        <f ca="1">ROUND(_Google_ads[[#This Row],[impressions]]*RANDBETWEEN(8,12)/10,0)</f>
        <v>32548</v>
      </c>
      <c r="U84" s="4">
        <f ca="1">ROUND(_Google_ads[[#This Row],[clicks]]*RANDBETWEEN(8,12)/10,0)</f>
        <v>1291</v>
      </c>
      <c r="V84" s="4">
        <f ca="1">_Google_ads[[#This Row],[cost]]*RANDBETWEEN(8,12)/10</f>
        <v>246.87000000000003</v>
      </c>
      <c r="W84" s="4">
        <f ca="1">ROUND(_Google_ads[[#This Row],[conversions]]*RANDBETWEEN(8,12)/10,0)</f>
        <v>55</v>
      </c>
      <c r="X84" s="4">
        <f ca="1">ROUND(_Google_ads[[#This Row],[conversion_value]]*RANDBETWEEN(8,12)/10,0)</f>
        <v>3025</v>
      </c>
      <c r="Y84" s="4">
        <f ca="1">_Google_ads[[#This Row],[ctr]]*RANDBETWEEN(8,12)/10</f>
        <v>4.761E-2</v>
      </c>
      <c r="Z84" s="4">
        <f ca="1">_Google_ads[[#This Row],[avg_cpc]]*RANDBETWEEN(8,12)/10</f>
        <v>0.17099999999999999</v>
      </c>
      <c r="AA84" s="4">
        <f ca="1">ROUND(_Google_ads[[#This Row],[quality_score]]*RANDBETWEEN(8,12)/10,0)</f>
        <v>10</v>
      </c>
      <c r="AB84" s="4">
        <f ca="1">_Google_ads[[#This Row],[search_impression_share]]*RANDBETWEEN(8,12)/10</f>
        <v>0.74399999999999999</v>
      </c>
      <c r="AD84" s="3">
        <f t="shared" ca="1" si="11"/>
        <v>44991</v>
      </c>
      <c r="AE84" s="4" t="s">
        <v>100</v>
      </c>
      <c r="AF84" s="4" t="s">
        <v>101</v>
      </c>
      <c r="AG84" s="4" t="s">
        <v>102</v>
      </c>
      <c r="AH84" s="4" t="s">
        <v>103</v>
      </c>
      <c r="AI84" s="4">
        <f ca="1">ROUND(T_Tiktok_ads[[#This Row],[impressions]]*RANDBETWEEN(8,12)/10,0)</f>
        <v>312345</v>
      </c>
      <c r="AJ84" s="4">
        <f ca="1">ROUND(T_Tiktok_ads[[#This Row],[clicks]]*RANDBETWEEN(8,12)/10,0)</f>
        <v>3654</v>
      </c>
      <c r="AK84" s="4">
        <v>623.4</v>
      </c>
      <c r="AL84" s="4">
        <f ca="1">ROUND(T_Tiktok_ads[[#This Row],[conversions]]*RANDBETWEEN(8,12)/10,0)</f>
        <v>38</v>
      </c>
      <c r="AM84" s="4">
        <f ca="1">ROUND(T_Tiktok_ads[[#This Row],[video_views]]*RANDBETWEEN(8,12)/10,0)</f>
        <v>256789</v>
      </c>
      <c r="AN84" s="4">
        <f ca="1">ROUND(T_Tiktok_ads[[#This Row],[video_watch_25]]*RANDBETWEEN(8,12)/10,0)</f>
        <v>180211</v>
      </c>
      <c r="AO84" s="4">
        <f ca="1">ROUND(T_Tiktok_ads[[#This Row],[video_watch_50]]*RANDBETWEEN(8,12)/10,0)</f>
        <v>138246</v>
      </c>
      <c r="AP84" s="4">
        <f ca="1">ROUND(T_Tiktok_ads[[#This Row],[video_watch_75]]*RANDBETWEEN(8,12)/10,0)</f>
        <v>93024</v>
      </c>
      <c r="AQ84" s="4">
        <f ca="1">ROUND(T_Tiktok_ads[[#This Row],[video_watch_100]]*RANDBETWEEN(8,12)/10,0)</f>
        <v>44987</v>
      </c>
      <c r="AR84" s="4">
        <f ca="1">ROUND(T_Tiktok_ads[[#This Row],[likes]]*RANDBETWEEN(8,12)/10,0)</f>
        <v>13481</v>
      </c>
      <c r="AS84" s="4">
        <f ca="1">ROUND(T_Tiktok_ads[[#This Row],[shares]]*RANDBETWEEN(8,12)/10,0)</f>
        <v>3614</v>
      </c>
      <c r="AT84" s="4">
        <f ca="1">ROUND(T_Tiktok_ads[[#This Row],[comments]]*RANDBETWEEN(8,12)/10,0)</f>
        <v>651</v>
      </c>
      <c r="AV84" s="5">
        <f t="shared" ca="1" si="12"/>
        <v>44989</v>
      </c>
      <c r="AW84">
        <f t="shared" ca="1" si="13"/>
        <v>1</v>
      </c>
      <c r="AX84">
        <f ca="1">ROUND(T_Facebook_Ads115963[[#This Row],[impressions]]*RANDBETWEEN(8,12)/10,0)</f>
        <v>55333</v>
      </c>
      <c r="AY84">
        <f ca="1">ROUND(T_Facebook_Ads115963[[#This Row],[clicks]]*RANDBETWEEN(8,12)/10,0)</f>
        <v>854</v>
      </c>
      <c r="AZ84">
        <f ca="1">T_Facebook_Ads115963[[#This Row],[spend]]*RANDBETWEEN(8,12)/10</f>
        <v>181.137</v>
      </c>
      <c r="BA84">
        <f ca="1">ROUND(T_Facebook_Ads115963[[#This Row],[conversions]]*RANDBETWEEN(8,12)/10,0)</f>
        <v>15</v>
      </c>
      <c r="BB84">
        <f ca="1">ROUND(T_Facebook_Ads115963[[#This Row],[video_views]]*RANDBETWEEN(8,12)/10,0)</f>
        <v>8126</v>
      </c>
    </row>
    <row r="85" spans="1:54" ht="15.75" thickBot="1" x14ac:dyDescent="0.3">
      <c r="A85" s="3">
        <f t="shared" ca="1" si="9"/>
        <v>44995</v>
      </c>
      <c r="B85" s="4" t="s">
        <v>56</v>
      </c>
      <c r="C85" s="4" t="s">
        <v>57</v>
      </c>
      <c r="D85" s="4" t="s">
        <v>58</v>
      </c>
      <c r="E85" s="4" t="s">
        <v>59</v>
      </c>
      <c r="F85" s="4">
        <f ca="1">ROUND(T_Facebook_Ads[[#This Row],[impressions]]*RANDBETWEEN(8,12)/10,0)</f>
        <v>14890</v>
      </c>
      <c r="G85" s="4">
        <v>712</v>
      </c>
      <c r="H85" s="4">
        <f ca="1">T_Facebook_Ads[[#This Row],[spend]]*RANDBETWEEN(8,12)/10</f>
        <v>301.91999999999996</v>
      </c>
      <c r="I85" s="4">
        <f ca="1">ROUND(T_Facebook_Ads[[#This Row],[conversions]]*RANDBETWEEN(8,12)/10,0)</f>
        <v>43</v>
      </c>
      <c r="J85" s="4">
        <f ca="1">ROUND(T_Facebook_Ads[[#This Row],[video_views]]*RANDBETWEEN(8,12)/10,0)</f>
        <v>1578</v>
      </c>
      <c r="K85" s="4">
        <f ca="1">T_Facebook_Ads[[#This Row],[engagement_rate]]*RANDBETWEEN(8,12)/10</f>
        <v>5.7360000000000001E-2</v>
      </c>
      <c r="L85" s="4">
        <f ca="1">ROUND(T_Facebook_Ads[[#This Row],[reach]]*RANDBETWEEN(8,12)/10,0)</f>
        <v>11790</v>
      </c>
      <c r="M85" s="4">
        <f ca="1">T_Facebook_Ads[[#This Row],[frequency]]*RANDBETWEEN(8,12)/10</f>
        <v>1.26</v>
      </c>
      <c r="O85" s="3">
        <f t="shared" ca="1" si="10"/>
        <v>45012</v>
      </c>
      <c r="P85" s="4" t="s">
        <v>80</v>
      </c>
      <c r="Q85" s="4" t="s">
        <v>81</v>
      </c>
      <c r="R85" s="4" t="s">
        <v>82</v>
      </c>
      <c r="S85" s="4" t="s">
        <v>83</v>
      </c>
      <c r="T85" s="4">
        <f ca="1">ROUND(_Google_ads[[#This Row],[impressions]]*RANDBETWEEN(8,12)/10,0)</f>
        <v>38312</v>
      </c>
      <c r="U85" s="4">
        <f ca="1">ROUND(_Google_ads[[#This Row],[clicks]]*RANDBETWEEN(8,12)/10,0)</f>
        <v>1076</v>
      </c>
      <c r="V85" s="4">
        <f ca="1">_Google_ads[[#This Row],[cost]]*RANDBETWEEN(8,12)/10</f>
        <v>552.15</v>
      </c>
      <c r="W85" s="4">
        <f ca="1">ROUND(_Google_ads[[#This Row],[conversions]]*RANDBETWEEN(8,12)/10,0)</f>
        <v>21</v>
      </c>
      <c r="X85" s="4">
        <f ca="1">ROUND(_Google_ads[[#This Row],[conversion_value]]*RANDBETWEEN(8,12)/10,0)</f>
        <v>1430</v>
      </c>
      <c r="Y85" s="4">
        <f ca="1">_Google_ads[[#This Row],[ctr]]*RANDBETWEEN(8,12)/10</f>
        <v>2.4480000000000002E-2</v>
      </c>
      <c r="Z85" s="4">
        <f ca="1">_Google_ads[[#This Row],[avg_cpc]]*RANDBETWEEN(8,12)/10</f>
        <v>0.56699999999999995</v>
      </c>
      <c r="AA85" s="4">
        <f ca="1">ROUND(_Google_ads[[#This Row],[quality_score]]*RANDBETWEEN(8,12)/10,0)</f>
        <v>8</v>
      </c>
      <c r="AB85" s="4">
        <f ca="1">_Google_ads[[#This Row],[search_impression_share]]*RANDBETWEEN(8,12)/10</f>
        <v>0.46000000000000008</v>
      </c>
      <c r="AD85" s="3">
        <f t="shared" ca="1" si="11"/>
        <v>45011</v>
      </c>
      <c r="AE85" s="4" t="s">
        <v>104</v>
      </c>
      <c r="AF85" s="4" t="s">
        <v>105</v>
      </c>
      <c r="AG85" s="4" t="s">
        <v>106</v>
      </c>
      <c r="AH85" s="4" t="s">
        <v>107</v>
      </c>
      <c r="AI85" s="4">
        <f ca="1">ROUND(T_Tiktok_ads[[#This Row],[impressions]]*RANDBETWEEN(8,12)/10,0)</f>
        <v>137876</v>
      </c>
      <c r="AJ85" s="4">
        <f ca="1">ROUND(T_Tiktok_ads[[#This Row],[clicks]]*RANDBETWEEN(8,12)/10,0)</f>
        <v>3345</v>
      </c>
      <c r="AK85" s="4">
        <v>867.9</v>
      </c>
      <c r="AL85" s="4">
        <f ca="1">ROUND(T_Tiktok_ads[[#This Row],[conversions]]*RANDBETWEEN(8,12)/10,0)</f>
        <v>87</v>
      </c>
      <c r="AM85" s="4">
        <f ca="1">ROUND(T_Tiktok_ads[[#This Row],[video_views]]*RANDBETWEEN(8,12)/10,0)</f>
        <v>98765</v>
      </c>
      <c r="AN85" s="4">
        <f ca="1">ROUND(T_Tiktok_ads[[#This Row],[video_watch_25]]*RANDBETWEEN(8,12)/10,0)</f>
        <v>109481</v>
      </c>
      <c r="AO85" s="4">
        <f ca="1">ROUND(T_Tiktok_ads[[#This Row],[video_watch_50]]*RANDBETWEEN(8,12)/10,0)</f>
        <v>61567</v>
      </c>
      <c r="AP85" s="4">
        <f ca="1">ROUND(T_Tiktok_ads[[#This Row],[video_watch_75]]*RANDBETWEEN(8,12)/10,0)</f>
        <v>55481</v>
      </c>
      <c r="AQ85" s="4">
        <f ca="1">ROUND(T_Tiktok_ads[[#This Row],[video_watch_100]]*RANDBETWEEN(8,12)/10,0)</f>
        <v>36947</v>
      </c>
      <c r="AR85" s="4">
        <f ca="1">ROUND(T_Tiktok_ads[[#This Row],[likes]]*RANDBETWEEN(8,12)/10,0)</f>
        <v>6479</v>
      </c>
      <c r="AS85" s="4">
        <f ca="1">ROUND(T_Tiktok_ads[[#This Row],[shares]]*RANDBETWEEN(8,12)/10,0)</f>
        <v>1510</v>
      </c>
      <c r="AT85" s="4">
        <f ca="1">ROUND(T_Tiktok_ads[[#This Row],[comments]]*RANDBETWEEN(8,12)/10,0)</f>
        <v>267</v>
      </c>
      <c r="AV85" s="5">
        <f t="shared" ca="1" si="12"/>
        <v>45009</v>
      </c>
      <c r="AW85">
        <f t="shared" ca="1" si="13"/>
        <v>1</v>
      </c>
      <c r="AX85">
        <f ca="1">ROUND(T_Facebook_Ads115963[[#This Row],[impressions]]*RANDBETWEEN(8,12)/10,0)</f>
        <v>13401</v>
      </c>
      <c r="AY85">
        <f ca="1">ROUND(T_Facebook_Ads115963[[#This Row],[clicks]]*RANDBETWEEN(8,12)/10,0)</f>
        <v>570</v>
      </c>
      <c r="AZ85">
        <f ca="1">T_Facebook_Ads115963[[#This Row],[spend]]*RANDBETWEEN(8,12)/10</f>
        <v>271.72799999999995</v>
      </c>
      <c r="BA85">
        <f ca="1">ROUND(T_Facebook_Ads115963[[#This Row],[conversions]]*RANDBETWEEN(8,12)/10,0)</f>
        <v>39</v>
      </c>
      <c r="BB85">
        <f ca="1">ROUND(T_Facebook_Ads115963[[#This Row],[video_views]]*RANDBETWEEN(8,12)/10,0)</f>
        <v>1420</v>
      </c>
    </row>
    <row r="86" spans="1:54" ht="15.75" thickBot="1" x14ac:dyDescent="0.3">
      <c r="A86" s="3">
        <f t="shared" ca="1" si="9"/>
        <v>45000</v>
      </c>
      <c r="B86" s="4" t="s">
        <v>60</v>
      </c>
      <c r="C86" s="4" t="s">
        <v>61</v>
      </c>
      <c r="D86" s="4" t="s">
        <v>62</v>
      </c>
      <c r="E86" s="4" t="s">
        <v>63</v>
      </c>
      <c r="F86" s="4">
        <f ca="1">ROUND(T_Facebook_Ads[[#This Row],[impressions]]*RANDBETWEEN(8,12)/10,0)</f>
        <v>35311</v>
      </c>
      <c r="G86" s="4">
        <v>1489</v>
      </c>
      <c r="H86" s="4">
        <f ca="1">T_Facebook_Ads[[#This Row],[spend]]*RANDBETWEEN(8,12)/10</f>
        <v>250.69</v>
      </c>
      <c r="I86" s="4">
        <f ca="1">ROUND(T_Facebook_Ads[[#This Row],[conversions]]*RANDBETWEEN(8,12)/10,0)</f>
        <v>26</v>
      </c>
      <c r="J86" s="4">
        <f ca="1">ROUND(T_Facebook_Ads[[#This Row],[video_views]]*RANDBETWEEN(8,12)/10,0)</f>
        <v>4187</v>
      </c>
      <c r="K86" s="4">
        <f ca="1">T_Facebook_Ads[[#This Row],[engagement_rate]]*RANDBETWEEN(8,12)/10</f>
        <v>4.5480000000000007E-2</v>
      </c>
      <c r="L86" s="4">
        <f ca="1">ROUND(T_Facebook_Ads[[#This Row],[reach]]*RANDBETWEEN(8,12)/10,0)</f>
        <v>38548</v>
      </c>
      <c r="M86" s="4">
        <f ca="1">T_Facebook_Ads[[#This Row],[frequency]]*RANDBETWEEN(8,12)/10</f>
        <v>0.97599999999999998</v>
      </c>
      <c r="O86" s="3">
        <f t="shared" ca="1" si="10"/>
        <v>45009</v>
      </c>
      <c r="P86" s="4" t="s">
        <v>84</v>
      </c>
      <c r="Q86" s="4" t="s">
        <v>85</v>
      </c>
      <c r="R86" s="4" t="s">
        <v>86</v>
      </c>
      <c r="S86" s="4" t="s">
        <v>87</v>
      </c>
      <c r="T86" s="4">
        <f ca="1">ROUND(_Google_ads[[#This Row],[impressions]]*RANDBETWEEN(8,12)/10,0)</f>
        <v>80802</v>
      </c>
      <c r="U86" s="4">
        <f ca="1">ROUND(_Google_ads[[#This Row],[clicks]]*RANDBETWEEN(8,12)/10,0)</f>
        <v>2251</v>
      </c>
      <c r="V86" s="4">
        <f ca="1">_Google_ads[[#This Row],[cost]]*RANDBETWEEN(8,12)/10</f>
        <v>365.36</v>
      </c>
      <c r="W86" s="4">
        <f ca="1">ROUND(_Google_ads[[#This Row],[conversions]]*RANDBETWEEN(8,12)/10,0)</f>
        <v>88</v>
      </c>
      <c r="X86" s="4">
        <f ca="1">ROUND(_Google_ads[[#This Row],[conversion_value]]*RANDBETWEEN(8,12)/10,0)</f>
        <v>3285</v>
      </c>
      <c r="Y86" s="4">
        <f ca="1">_Google_ads[[#This Row],[ctr]]*RANDBETWEEN(8,12)/10</f>
        <v>3.7400000000000003E-2</v>
      </c>
      <c r="Z86" s="4">
        <f ca="1">_Google_ads[[#This Row],[avg_cpc]]*RANDBETWEEN(8,12)/10</f>
        <v>0.21600000000000003</v>
      </c>
      <c r="AA86" s="4">
        <f ca="1">ROUND(_Google_ads[[#This Row],[quality_score]]*RANDBETWEEN(8,12)/10,0)</f>
        <v>8</v>
      </c>
      <c r="AB86" s="4">
        <f ca="1">_Google_ads[[#This Row],[search_impression_share]]*RANDBETWEEN(8,12)/10</f>
        <v>0.69</v>
      </c>
      <c r="AD86" s="3">
        <f t="shared" ca="1" si="11"/>
        <v>45012</v>
      </c>
      <c r="AE86" s="4" t="s">
        <v>108</v>
      </c>
      <c r="AF86" s="4" t="s">
        <v>109</v>
      </c>
      <c r="AG86" s="4" t="s">
        <v>110</v>
      </c>
      <c r="AH86" s="4" t="s">
        <v>111</v>
      </c>
      <c r="AI86" s="4">
        <f ca="1">ROUND(T_Tiktok_ads[[#This Row],[impressions]]*RANDBETWEEN(8,12)/10,0)</f>
        <v>214312</v>
      </c>
      <c r="AJ86" s="4">
        <f ca="1">ROUND(T_Tiktok_ads[[#This Row],[clicks]]*RANDBETWEEN(8,12)/10,0)</f>
        <v>4123</v>
      </c>
      <c r="AK86" s="4">
        <v>512.6</v>
      </c>
      <c r="AL86" s="4">
        <f ca="1">ROUND(T_Tiktok_ads[[#This Row],[conversions]]*RANDBETWEEN(8,12)/10,0)</f>
        <v>37</v>
      </c>
      <c r="AM86" s="4">
        <f ca="1">ROUND(T_Tiktok_ads[[#This Row],[video_views]]*RANDBETWEEN(8,12)/10,0)</f>
        <v>233580</v>
      </c>
      <c r="AN86" s="4">
        <f ca="1">ROUND(T_Tiktok_ads[[#This Row],[video_watch_25]]*RANDBETWEEN(8,12)/10,0)</f>
        <v>192281</v>
      </c>
      <c r="AO86" s="4">
        <f ca="1">ROUND(T_Tiktok_ads[[#This Row],[video_watch_50]]*RANDBETWEEN(8,12)/10,0)</f>
        <v>139468</v>
      </c>
      <c r="AP86" s="4">
        <f ca="1">ROUND(T_Tiktok_ads[[#This Row],[video_watch_75]]*RANDBETWEEN(8,12)/10,0)</f>
        <v>97481</v>
      </c>
      <c r="AQ86" s="4">
        <f ca="1">ROUND(T_Tiktok_ads[[#This Row],[video_watch_100]]*RANDBETWEEN(8,12)/10,0)</f>
        <v>39387</v>
      </c>
      <c r="AR86" s="4">
        <f ca="1">ROUND(T_Tiktok_ads[[#This Row],[likes]]*RANDBETWEEN(8,12)/10,0)</f>
        <v>9123</v>
      </c>
      <c r="AS86" s="4">
        <f ca="1">ROUND(T_Tiktok_ads[[#This Row],[shares]]*RANDBETWEEN(8,12)/10,0)</f>
        <v>2824</v>
      </c>
      <c r="AT86" s="4">
        <f ca="1">ROUND(T_Tiktok_ads[[#This Row],[comments]]*RANDBETWEEN(8,12)/10,0)</f>
        <v>673</v>
      </c>
      <c r="AV86" s="5">
        <f t="shared" ca="1" si="12"/>
        <v>45007</v>
      </c>
      <c r="AW86">
        <f t="shared" ca="1" si="13"/>
        <v>5</v>
      </c>
      <c r="AX86">
        <f ca="1">ROUND(T_Facebook_Ads115963[[#This Row],[impressions]]*RANDBETWEEN(8,12)/10,0)</f>
        <v>38842</v>
      </c>
      <c r="AY86">
        <f ca="1">ROUND(T_Facebook_Ads115963[[#This Row],[clicks]]*RANDBETWEEN(8,12)/10,0)</f>
        <v>1191</v>
      </c>
      <c r="AZ86">
        <f ca="1">T_Facebook_Ads115963[[#This Row],[spend]]*RANDBETWEEN(8,12)/10</f>
        <v>250.69</v>
      </c>
      <c r="BA86">
        <f ca="1">ROUND(T_Facebook_Ads115963[[#This Row],[conversions]]*RANDBETWEEN(8,12)/10,0)</f>
        <v>26</v>
      </c>
      <c r="BB86">
        <f ca="1">ROUND(T_Facebook_Ads115963[[#This Row],[video_views]]*RANDBETWEEN(8,12)/10,0)</f>
        <v>4606</v>
      </c>
    </row>
    <row r="87" spans="1:54" ht="15.75" thickBot="1" x14ac:dyDescent="0.3">
      <c r="A87" s="3">
        <f t="shared" ca="1" si="9"/>
        <v>44994</v>
      </c>
      <c r="B87" s="4" t="s">
        <v>64</v>
      </c>
      <c r="C87" s="4" t="s">
        <v>65</v>
      </c>
      <c r="D87" s="4" t="s">
        <v>66</v>
      </c>
      <c r="E87" s="4" t="s">
        <v>67</v>
      </c>
      <c r="F87" s="4">
        <f ca="1">ROUND(T_Facebook_Ads[[#This Row],[impressions]]*RANDBETWEEN(8,12)/10,0)</f>
        <v>59654</v>
      </c>
      <c r="G87" s="4">
        <v>267</v>
      </c>
      <c r="H87" s="4">
        <f ca="1">T_Facebook_Ads[[#This Row],[spend]]*RANDBETWEEN(8,12)/10</f>
        <v>76.64</v>
      </c>
      <c r="I87" s="4">
        <f ca="1">ROUND(T_Facebook_Ads[[#This Row],[conversions]]*RANDBETWEEN(8,12)/10,0)</f>
        <v>8</v>
      </c>
      <c r="J87" s="4">
        <f ca="1">ROUND(T_Facebook_Ads[[#This Row],[video_views]]*RANDBETWEEN(8,12)/10,0)</f>
        <v>40187</v>
      </c>
      <c r="K87" s="4">
        <f ca="1">T_Facebook_Ads[[#This Row],[engagement_rate]]*RANDBETWEEN(8,12)/10</f>
        <v>3.5999999999999999E-3</v>
      </c>
      <c r="L87" s="4">
        <f ca="1">ROUND(T_Facebook_Ads[[#This Row],[reach]]*RANDBETWEEN(8,12)/10,0)</f>
        <v>72947</v>
      </c>
      <c r="M87" s="4">
        <f ca="1">T_Facebook_Ads[[#This Row],[frequency]]*RANDBETWEEN(8,12)/10</f>
        <v>1.23</v>
      </c>
      <c r="O87" s="3">
        <f t="shared" ca="1" si="10"/>
        <v>45005</v>
      </c>
      <c r="P87" s="4" t="s">
        <v>88</v>
      </c>
      <c r="Q87" s="4" t="s">
        <v>89</v>
      </c>
      <c r="R87" s="4" t="s">
        <v>90</v>
      </c>
      <c r="S87" s="4" t="s">
        <v>59</v>
      </c>
      <c r="T87" s="4">
        <f ca="1">ROUND(_Google_ads[[#This Row],[impressions]]*RANDBETWEEN(8,12)/10,0)</f>
        <v>139234</v>
      </c>
      <c r="U87" s="4">
        <f ca="1">ROUND(_Google_ads[[#This Row],[clicks]]*RANDBETWEEN(8,12)/10,0)</f>
        <v>628</v>
      </c>
      <c r="V87" s="4">
        <f ca="1">_Google_ads[[#This Row],[cost]]*RANDBETWEEN(8,12)/10</f>
        <v>109.44000000000001</v>
      </c>
      <c r="W87" s="4">
        <f ca="1">ROUND(_Google_ads[[#This Row],[conversions]]*RANDBETWEEN(8,12)/10,0)</f>
        <v>18</v>
      </c>
      <c r="X87" s="4">
        <f ca="1">ROUND(_Google_ads[[#This Row],[conversion_value]]*RANDBETWEEN(8,12)/10,0)</f>
        <v>900</v>
      </c>
      <c r="Y87" s="4">
        <f ca="1">_Google_ads[[#This Row],[ctr]]*RANDBETWEEN(8,12)/10</f>
        <v>3.0400000000000002E-3</v>
      </c>
      <c r="Z87" s="4">
        <f ca="1">_Google_ads[[#This Row],[avg_cpc]]*RANDBETWEEN(8,12)/10</f>
        <v>0.23399999999999999</v>
      </c>
      <c r="AA87" s="4">
        <f ca="1">ROUND(_Google_ads[[#This Row],[quality_score]]*RANDBETWEEN(8,12)/10,0)</f>
        <v>6</v>
      </c>
      <c r="AB87" s="4">
        <f ca="1">_Google_ads[[#This Row],[search_impression_share]]*RANDBETWEEN(8,12)/10</f>
        <v>0.32399999999999995</v>
      </c>
      <c r="AD87" s="3">
        <f t="shared" ca="1" si="11"/>
        <v>44997</v>
      </c>
      <c r="AE87" s="4" t="s">
        <v>112</v>
      </c>
      <c r="AF87" s="4" t="s">
        <v>113</v>
      </c>
      <c r="AG87" s="4" t="s">
        <v>114</v>
      </c>
      <c r="AH87" s="4" t="s">
        <v>115</v>
      </c>
      <c r="AI87" s="4">
        <f ca="1">ROUND(T_Tiktok_ads[[#This Row],[impressions]]*RANDBETWEEN(8,12)/10,0)</f>
        <v>548147</v>
      </c>
      <c r="AJ87" s="4">
        <f ca="1">ROUND(T_Tiktok_ads[[#This Row],[clicks]]*RANDBETWEEN(8,12)/10,0)</f>
        <v>6710</v>
      </c>
      <c r="AK87" s="4">
        <v>1167.8</v>
      </c>
      <c r="AL87" s="4">
        <f ca="1">ROUND(T_Tiktok_ads[[#This Row],[conversions]]*RANDBETWEEN(8,12)/10,0)</f>
        <v>118</v>
      </c>
      <c r="AM87" s="4">
        <f ca="1">ROUND(T_Tiktok_ads[[#This Row],[video_views]]*RANDBETWEEN(8,12)/10,0)</f>
        <v>389012</v>
      </c>
      <c r="AN87" s="4">
        <f ca="1">ROUND(T_Tiktok_ads[[#This Row],[video_watch_25]]*RANDBETWEEN(8,12)/10,0)</f>
        <v>343580</v>
      </c>
      <c r="AO87" s="4">
        <f ca="1">ROUND(T_Tiktok_ads[[#This Row],[video_watch_50]]*RANDBETWEEN(8,12)/10,0)</f>
        <v>299081</v>
      </c>
      <c r="AP87" s="4">
        <f ca="1">ROUND(T_Tiktok_ads[[#This Row],[video_watch_75]]*RANDBETWEEN(8,12)/10,0)</f>
        <v>160101</v>
      </c>
      <c r="AQ87" s="4">
        <f ca="1">ROUND(T_Tiktok_ads[[#This Row],[video_watch_100]]*RANDBETWEEN(8,12)/10,0)</f>
        <v>118234</v>
      </c>
      <c r="AR87" s="4">
        <f ca="1">ROUND(T_Tiktok_ads[[#This Row],[likes]]*RANDBETWEEN(8,12)/10,0)</f>
        <v>16187</v>
      </c>
      <c r="AS87" s="4">
        <f ca="1">ROUND(T_Tiktok_ads[[#This Row],[shares]]*RANDBETWEEN(8,12)/10,0)</f>
        <v>6503</v>
      </c>
      <c r="AT87" s="4">
        <f ca="1">ROUND(T_Tiktok_ads[[#This Row],[comments]]*RANDBETWEEN(8,12)/10,0)</f>
        <v>1948</v>
      </c>
      <c r="AV87" s="5">
        <f t="shared" ca="1" si="12"/>
        <v>45003</v>
      </c>
      <c r="AW87">
        <f t="shared" ca="1" si="13"/>
        <v>2</v>
      </c>
      <c r="AX87">
        <f ca="1">ROUND(T_Facebook_Ads115963[[#This Row],[impressions]]*RANDBETWEEN(8,12)/10,0)</f>
        <v>47723</v>
      </c>
      <c r="AY87">
        <f ca="1">ROUND(T_Facebook_Ads115963[[#This Row],[clicks]]*RANDBETWEEN(8,12)/10,0)</f>
        <v>320</v>
      </c>
      <c r="AZ87">
        <f ca="1">T_Facebook_Ads115963[[#This Row],[spend]]*RANDBETWEEN(8,12)/10</f>
        <v>61.311999999999998</v>
      </c>
      <c r="BA87">
        <f ca="1">ROUND(T_Facebook_Ads115963[[#This Row],[conversions]]*RANDBETWEEN(8,12)/10,0)</f>
        <v>7</v>
      </c>
      <c r="BB87">
        <f ca="1">ROUND(T_Facebook_Ads115963[[#This Row],[video_views]]*RANDBETWEEN(8,12)/10,0)</f>
        <v>32150</v>
      </c>
    </row>
    <row r="88" spans="1:54" ht="15.75" thickBot="1" x14ac:dyDescent="0.3">
      <c r="A88" s="3">
        <f t="shared" ca="1" si="9"/>
        <v>44988</v>
      </c>
      <c r="B88" s="4" t="s">
        <v>52</v>
      </c>
      <c r="C88" s="4" t="s">
        <v>53</v>
      </c>
      <c r="D88" s="4" t="s">
        <v>54</v>
      </c>
      <c r="E88" s="4" t="s">
        <v>55</v>
      </c>
      <c r="F88" s="4">
        <f ca="1">ROUND(T_Facebook_Ads[[#This Row],[impressions]]*RANDBETWEEN(8,12)/10,0)</f>
        <v>47510</v>
      </c>
      <c r="G88" s="4">
        <v>1123</v>
      </c>
      <c r="H88" s="4">
        <f ca="1">T_Facebook_Ads[[#This Row],[spend]]*RANDBETWEEN(8,12)/10</f>
        <v>140.76000000000002</v>
      </c>
      <c r="I88" s="4">
        <f ca="1">ROUND(T_Facebook_Ads[[#This Row],[conversions]]*RANDBETWEEN(8,12)/10,0)</f>
        <v>18</v>
      </c>
      <c r="J88" s="4">
        <f ca="1">ROUND(T_Facebook_Ads[[#This Row],[video_views]]*RANDBETWEEN(8,12)/10,0)</f>
        <v>7654</v>
      </c>
      <c r="K88" s="4">
        <f ca="1">T_Facebook_Ads[[#This Row],[engagement_rate]]*RANDBETWEEN(8,12)/10</f>
        <v>2.5559999999999999E-2</v>
      </c>
      <c r="L88" s="4">
        <f ca="1">ROUND(T_Facebook_Ads[[#This Row],[reach]]*RANDBETWEEN(8,12)/10,0)</f>
        <v>43890</v>
      </c>
      <c r="M88" s="4">
        <f ca="1">T_Facebook_Ads[[#This Row],[frequency]]*RANDBETWEEN(8,12)/10</f>
        <v>1.2</v>
      </c>
      <c r="O88" s="3">
        <f t="shared" ca="1" si="10"/>
        <v>45016</v>
      </c>
      <c r="P88" s="4" t="s">
        <v>76</v>
      </c>
      <c r="Q88" s="4" t="s">
        <v>77</v>
      </c>
      <c r="R88" s="4" t="s">
        <v>78</v>
      </c>
      <c r="S88" s="4" t="s">
        <v>79</v>
      </c>
      <c r="T88" s="4">
        <f ca="1">ROUND(_Google_ads[[#This Row],[impressions]]*RANDBETWEEN(8,12)/10,0)</f>
        <v>22587</v>
      </c>
      <c r="U88" s="4">
        <f ca="1">ROUND(_Google_ads[[#This Row],[clicks]]*RANDBETWEEN(8,12)/10,0)</f>
        <v>1210</v>
      </c>
      <c r="V88" s="4">
        <f ca="1">_Google_ads[[#This Row],[cost]]*RANDBETWEEN(8,12)/10</f>
        <v>287.60000000000002</v>
      </c>
      <c r="W88" s="4">
        <f ca="1">ROUND(_Google_ads[[#This Row],[conversions]]*RANDBETWEEN(8,12)/10,0)</f>
        <v>64</v>
      </c>
      <c r="X88" s="4">
        <f ca="1">ROUND(_Google_ads[[#This Row],[conversion_value]]*RANDBETWEEN(8,12)/10,0)</f>
        <v>2900</v>
      </c>
      <c r="Y88" s="4">
        <f ca="1">_Google_ads[[#This Row],[ctr]]*RANDBETWEEN(8,12)/10</f>
        <v>4.2799999999999998E-2</v>
      </c>
      <c r="Z88" s="4">
        <f ca="1">_Google_ads[[#This Row],[avg_cpc]]*RANDBETWEEN(8,12)/10</f>
        <v>0.152</v>
      </c>
      <c r="AA88" s="4">
        <f ca="1">ROUND(_Google_ads[[#This Row],[quality_score]]*RANDBETWEEN(8,12)/10,0)</f>
        <v>11</v>
      </c>
      <c r="AB88" s="4">
        <f ca="1">_Google_ads[[#This Row],[search_impression_share]]*RANDBETWEEN(8,12)/10</f>
        <v>1.034</v>
      </c>
      <c r="AD88" s="3">
        <f t="shared" ca="1" si="11"/>
        <v>44997</v>
      </c>
      <c r="AE88" s="4" t="s">
        <v>100</v>
      </c>
      <c r="AF88" s="4" t="s">
        <v>101</v>
      </c>
      <c r="AG88" s="4" t="s">
        <v>102</v>
      </c>
      <c r="AH88" s="4" t="s">
        <v>103</v>
      </c>
      <c r="AI88" s="4">
        <f ca="1">ROUND(T_Tiktok_ads[[#This Row],[impressions]]*RANDBETWEEN(8,12)/10,0)</f>
        <v>258765</v>
      </c>
      <c r="AJ88" s="4">
        <f ca="1">ROUND(T_Tiktok_ads[[#This Row],[clicks]]*RANDBETWEEN(8,12)/10,0)</f>
        <v>4310</v>
      </c>
      <c r="AK88" s="4">
        <v>645.70000000000005</v>
      </c>
      <c r="AL88" s="4">
        <f ca="1">ROUND(T_Tiktok_ads[[#This Row],[conversions]]*RANDBETWEEN(8,12)/10,0)</f>
        <v>40</v>
      </c>
      <c r="AM88" s="4">
        <f ca="1">ROUND(T_Tiktok_ads[[#This Row],[video_views]]*RANDBETWEEN(8,12)/10,0)</f>
        <v>321468</v>
      </c>
      <c r="AN88" s="4">
        <f ca="1">ROUND(T_Tiktok_ads[[#This Row],[video_watch_25]]*RANDBETWEEN(8,12)/10,0)</f>
        <v>229791</v>
      </c>
      <c r="AO88" s="4">
        <f ca="1">ROUND(T_Tiktok_ads[[#This Row],[video_watch_50]]*RANDBETWEEN(8,12)/10,0)</f>
        <v>104987</v>
      </c>
      <c r="AP88" s="4">
        <f ca="1">ROUND(T_Tiktok_ads[[#This Row],[video_watch_75]]*RANDBETWEEN(8,12)/10,0)</f>
        <v>79411</v>
      </c>
      <c r="AQ88" s="4">
        <f ca="1">ROUND(T_Tiktok_ads[[#This Row],[video_watch_100]]*RANDBETWEEN(8,12)/10,0)</f>
        <v>64791</v>
      </c>
      <c r="AR88" s="4">
        <f ca="1">ROUND(T_Tiktok_ads[[#This Row],[likes]]*RANDBETWEEN(8,12)/10,0)</f>
        <v>12724</v>
      </c>
      <c r="AS88" s="4">
        <f ca="1">ROUND(T_Tiktok_ads[[#This Row],[shares]]*RANDBETWEEN(8,12)/10,0)</f>
        <v>3134</v>
      </c>
      <c r="AT88" s="4">
        <f ca="1">ROUND(T_Tiktok_ads[[#This Row],[comments]]*RANDBETWEEN(8,12)/10,0)</f>
        <v>587</v>
      </c>
      <c r="AV88" s="5">
        <f t="shared" ca="1" si="12"/>
        <v>44999</v>
      </c>
      <c r="AW88">
        <f t="shared" ca="1" si="13"/>
        <v>7</v>
      </c>
      <c r="AX88">
        <f ca="1">ROUND(T_Facebook_Ads115963[[#This Row],[impressions]]*RANDBETWEEN(8,12)/10,0)</f>
        <v>47510</v>
      </c>
      <c r="AY88">
        <f ca="1">ROUND(T_Facebook_Ads115963[[#This Row],[clicks]]*RANDBETWEEN(8,12)/10,0)</f>
        <v>1011</v>
      </c>
      <c r="AZ88">
        <f ca="1">T_Facebook_Ads115963[[#This Row],[spend]]*RANDBETWEEN(8,12)/10</f>
        <v>168.91200000000003</v>
      </c>
      <c r="BA88">
        <f ca="1">ROUND(T_Facebook_Ads115963[[#This Row],[conversions]]*RANDBETWEEN(8,12)/10,0)</f>
        <v>14</v>
      </c>
      <c r="BB88">
        <f ca="1">ROUND(T_Facebook_Ads115963[[#This Row],[video_views]]*RANDBETWEEN(8,12)/10,0)</f>
        <v>6123</v>
      </c>
    </row>
    <row r="89" spans="1:54" ht="15.75" thickBot="1" x14ac:dyDescent="0.3">
      <c r="A89" s="3">
        <f t="shared" ca="1" si="9"/>
        <v>44992</v>
      </c>
      <c r="B89" s="4" t="s">
        <v>56</v>
      </c>
      <c r="C89" s="4" t="s">
        <v>57</v>
      </c>
      <c r="D89" s="4" t="s">
        <v>58</v>
      </c>
      <c r="E89" s="4" t="s">
        <v>59</v>
      </c>
      <c r="F89" s="4">
        <f ca="1">ROUND(T_Facebook_Ads[[#This Row],[impressions]]*RANDBETWEEN(8,12)/10,0)</f>
        <v>18814</v>
      </c>
      <c r="G89" s="4">
        <v>756</v>
      </c>
      <c r="H89" s="4">
        <f ca="1">T_Facebook_Ads[[#This Row],[spend]]*RANDBETWEEN(8,12)/10</f>
        <v>295.78999999999996</v>
      </c>
      <c r="I89" s="4">
        <f ca="1">ROUND(T_Facebook_Ads[[#This Row],[conversions]]*RANDBETWEEN(8,12)/10,0)</f>
        <v>56</v>
      </c>
      <c r="J89" s="4">
        <f ca="1">ROUND(T_Facebook_Ads[[#This Row],[video_views]]*RANDBETWEEN(8,12)/10,0)</f>
        <v>1846</v>
      </c>
      <c r="K89" s="4">
        <f ca="1">T_Facebook_Ads[[#This Row],[engagement_rate]]*RANDBETWEEN(8,12)/10</f>
        <v>5.7840000000000003E-2</v>
      </c>
      <c r="L89" s="4">
        <f ca="1">ROUND(T_Facebook_Ads[[#This Row],[reach]]*RANDBETWEEN(8,12)/10,0)</f>
        <v>13580</v>
      </c>
      <c r="M89" s="4">
        <f ca="1">T_Facebook_Ads[[#This Row],[frequency]]*RANDBETWEEN(8,12)/10</f>
        <v>1.143</v>
      </c>
      <c r="O89" s="3">
        <f t="shared" ca="1" si="10"/>
        <v>45010</v>
      </c>
      <c r="P89" s="4" t="s">
        <v>80</v>
      </c>
      <c r="Q89" s="4" t="s">
        <v>81</v>
      </c>
      <c r="R89" s="4" t="s">
        <v>82</v>
      </c>
      <c r="S89" s="4" t="s">
        <v>83</v>
      </c>
      <c r="T89" s="4">
        <f ca="1">ROUND(_Google_ads[[#This Row],[impressions]]*RANDBETWEEN(8,12)/10,0)</f>
        <v>39654</v>
      </c>
      <c r="U89" s="4">
        <f ca="1">ROUND(_Google_ads[[#This Row],[clicks]]*RANDBETWEEN(8,12)/10,0)</f>
        <v>1214</v>
      </c>
      <c r="V89" s="4">
        <f ca="1">_Google_ads[[#This Row],[cost]]*RANDBETWEEN(8,12)/10</f>
        <v>697.62000000000012</v>
      </c>
      <c r="W89" s="4">
        <f ca="1">ROUND(_Google_ads[[#This Row],[conversions]]*RANDBETWEEN(8,12)/10,0)</f>
        <v>24</v>
      </c>
      <c r="X89" s="4">
        <f ca="1">ROUND(_Google_ads[[#This Row],[conversion_value]]*RANDBETWEEN(8,12)/10,0)</f>
        <v>1080</v>
      </c>
      <c r="Y89" s="4">
        <f ca="1">_Google_ads[[#This Row],[ctr]]*RANDBETWEEN(8,12)/10</f>
        <v>2.0400000000000001E-2</v>
      </c>
      <c r="Z89" s="4">
        <f ca="1">_Google_ads[[#This Row],[avg_cpc]]*RANDBETWEEN(8,12)/10</f>
        <v>0.63</v>
      </c>
      <c r="AA89" s="4">
        <f ca="1">ROUND(_Google_ads[[#This Row],[quality_score]]*RANDBETWEEN(8,12)/10,0)</f>
        <v>8</v>
      </c>
      <c r="AB89" s="4">
        <f ca="1">_Google_ads[[#This Row],[search_impression_share]]*RANDBETWEEN(8,12)/10</f>
        <v>0.46999999999999992</v>
      </c>
      <c r="AD89" s="3">
        <f t="shared" ca="1" si="11"/>
        <v>44998</v>
      </c>
      <c r="AE89" s="4" t="s">
        <v>104</v>
      </c>
      <c r="AF89" s="4" t="s">
        <v>105</v>
      </c>
      <c r="AG89" s="4" t="s">
        <v>106</v>
      </c>
      <c r="AH89" s="4" t="s">
        <v>107</v>
      </c>
      <c r="AI89" s="4">
        <f ca="1">ROUND(T_Tiktok_ads[[#This Row],[impressions]]*RANDBETWEEN(8,12)/10,0)</f>
        <v>214681</v>
      </c>
      <c r="AJ89" s="4">
        <f ca="1">ROUND(T_Tiktok_ads[[#This Row],[clicks]]*RANDBETWEEN(8,12)/10,0)</f>
        <v>4147</v>
      </c>
      <c r="AK89" s="4">
        <v>889.5</v>
      </c>
      <c r="AL89" s="4">
        <f ca="1">ROUND(T_Tiktok_ads[[#This Row],[conversions]]*RANDBETWEEN(8,12)/10,0)</f>
        <v>98</v>
      </c>
      <c r="AM89" s="4">
        <f ca="1">ROUND(T_Tiktok_ads[[#This Row],[video_views]]*RANDBETWEEN(8,12)/10,0)</f>
        <v>128901</v>
      </c>
      <c r="AN89" s="4">
        <f ca="1">ROUND(T_Tiktok_ads[[#This Row],[video_watch_25]]*RANDBETWEEN(8,12)/10,0)</f>
        <v>76542</v>
      </c>
      <c r="AO89" s="4">
        <f ca="1">ROUND(T_Tiktok_ads[[#This Row],[video_watch_50]]*RANDBETWEEN(8,12)/10,0)</f>
        <v>64567</v>
      </c>
      <c r="AP89" s="4">
        <f ca="1">ROUND(T_Tiktok_ads[[#This Row],[video_watch_75]]*RANDBETWEEN(8,12)/10,0)</f>
        <v>53424</v>
      </c>
      <c r="AQ89" s="4">
        <f ca="1">ROUND(T_Tiktok_ads[[#This Row],[video_watch_100]]*RANDBETWEEN(8,12)/10,0)</f>
        <v>25876</v>
      </c>
      <c r="AR89" s="4">
        <f ca="1">ROUND(T_Tiktok_ads[[#This Row],[likes]]*RANDBETWEEN(8,12)/10,0)</f>
        <v>6735</v>
      </c>
      <c r="AS89" s="4">
        <f ca="1">ROUND(T_Tiktok_ads[[#This Row],[shares]]*RANDBETWEEN(8,12)/10,0)</f>
        <v>2081</v>
      </c>
      <c r="AT89" s="4">
        <f ca="1">ROUND(T_Tiktok_ads[[#This Row],[comments]]*RANDBETWEEN(8,12)/10,0)</f>
        <v>276</v>
      </c>
      <c r="AV89" s="5">
        <f t="shared" ca="1" si="12"/>
        <v>45015</v>
      </c>
      <c r="AW89">
        <f t="shared" ca="1" si="13"/>
        <v>6</v>
      </c>
      <c r="AX89">
        <f ca="1">ROUND(T_Facebook_Ads115963[[#This Row],[impressions]]*RANDBETWEEN(8,12)/10,0)</f>
        <v>18814</v>
      </c>
      <c r="AY89">
        <f ca="1">ROUND(T_Facebook_Ads115963[[#This Row],[clicks]]*RANDBETWEEN(8,12)/10,0)</f>
        <v>756</v>
      </c>
      <c r="AZ89">
        <f ca="1">T_Facebook_Ads115963[[#This Row],[spend]]*RANDBETWEEN(8,12)/10</f>
        <v>266.21099999999996</v>
      </c>
      <c r="BA89">
        <f ca="1">ROUND(T_Facebook_Ads115963[[#This Row],[conversions]]*RANDBETWEEN(8,12)/10,0)</f>
        <v>67</v>
      </c>
      <c r="BB89">
        <f ca="1">ROUND(T_Facebook_Ads115963[[#This Row],[video_views]]*RANDBETWEEN(8,12)/10,0)</f>
        <v>1846</v>
      </c>
    </row>
    <row r="90" spans="1:54" ht="15.75" thickBot="1" x14ac:dyDescent="0.3">
      <c r="A90" s="3">
        <f t="shared" ca="1" si="9"/>
        <v>45016</v>
      </c>
      <c r="B90" s="4" t="s">
        <v>60</v>
      </c>
      <c r="C90" s="4" t="s">
        <v>61</v>
      </c>
      <c r="D90" s="4" t="s">
        <v>62</v>
      </c>
      <c r="E90" s="4" t="s">
        <v>63</v>
      </c>
      <c r="F90" s="4">
        <f ca="1">ROUND(T_Facebook_Ads[[#This Row],[impressions]]*RANDBETWEEN(8,12)/10,0)</f>
        <v>32454</v>
      </c>
      <c r="G90" s="4">
        <v>1567</v>
      </c>
      <c r="H90" s="4">
        <f ca="1">T_Facebook_Ads[[#This Row],[spend]]*RANDBETWEEN(8,12)/10</f>
        <v>214.74</v>
      </c>
      <c r="I90" s="4">
        <f ca="1">ROUND(T_Facebook_Ads[[#This Row],[conversions]]*RANDBETWEEN(8,12)/10,0)</f>
        <v>34</v>
      </c>
      <c r="J90" s="4">
        <f ca="1">ROUND(T_Facebook_Ads[[#This Row],[video_views]]*RANDBETWEEN(8,12)/10,0)</f>
        <v>5456</v>
      </c>
      <c r="K90" s="4">
        <f ca="1">T_Facebook_Ads[[#This Row],[engagement_rate]]*RANDBETWEEN(8,12)/10</f>
        <v>3.4740000000000007E-2</v>
      </c>
      <c r="L90" s="4">
        <f ca="1">ROUND(T_Facebook_Ads[[#This Row],[reach]]*RANDBETWEEN(8,12)/10,0)</f>
        <v>33234</v>
      </c>
      <c r="M90" s="4">
        <f ca="1">T_Facebook_Ads[[#This Row],[frequency]]*RANDBETWEEN(8,12)/10</f>
        <v>1.464</v>
      </c>
      <c r="O90" s="3">
        <f t="shared" ca="1" si="10"/>
        <v>45014</v>
      </c>
      <c r="P90" s="4" t="s">
        <v>84</v>
      </c>
      <c r="Q90" s="4" t="s">
        <v>85</v>
      </c>
      <c r="R90" s="4" t="s">
        <v>86</v>
      </c>
      <c r="S90" s="4" t="s">
        <v>87</v>
      </c>
      <c r="T90" s="4">
        <f ca="1">ROUND(_Google_ads[[#This Row],[impressions]]*RANDBETWEEN(8,12)/10,0)</f>
        <v>82757</v>
      </c>
      <c r="U90" s="4">
        <f ca="1">ROUND(_Google_ads[[#This Row],[clicks]]*RANDBETWEEN(8,12)/10,0)</f>
        <v>2054</v>
      </c>
      <c r="V90" s="4">
        <f ca="1">_Google_ads[[#This Row],[cost]]*RANDBETWEEN(8,12)/10</f>
        <v>561.36</v>
      </c>
      <c r="W90" s="4">
        <f ca="1">ROUND(_Google_ads[[#This Row],[conversions]]*RANDBETWEEN(8,12)/10,0)</f>
        <v>60</v>
      </c>
      <c r="X90" s="4">
        <f ca="1">ROUND(_Google_ads[[#This Row],[conversion_value]]*RANDBETWEEN(8,12)/10,0)</f>
        <v>3000</v>
      </c>
      <c r="Y90" s="4">
        <f ca="1">_Google_ads[[#This Row],[ctr]]*RANDBETWEEN(8,12)/10</f>
        <v>4.0919999999999998E-2</v>
      </c>
      <c r="Z90" s="4">
        <f ca="1">_Google_ads[[#This Row],[avg_cpc]]*RANDBETWEEN(8,12)/10</f>
        <v>0.21600000000000003</v>
      </c>
      <c r="AA90" s="4">
        <f ca="1">ROUND(_Google_ads[[#This Row],[quality_score]]*RANDBETWEEN(8,12)/10,0)</f>
        <v>9</v>
      </c>
      <c r="AB90" s="4">
        <f ca="1">_Google_ads[[#This Row],[search_impression_share]]*RANDBETWEEN(8,12)/10</f>
        <v>0.76999999999999991</v>
      </c>
      <c r="AD90" s="3">
        <f t="shared" ca="1" si="11"/>
        <v>45014</v>
      </c>
      <c r="AE90" s="4" t="s">
        <v>108</v>
      </c>
      <c r="AF90" s="4" t="s">
        <v>109</v>
      </c>
      <c r="AG90" s="4" t="s">
        <v>110</v>
      </c>
      <c r="AH90" s="4" t="s">
        <v>111</v>
      </c>
      <c r="AI90" s="4">
        <f ca="1">ROUND(T_Tiktok_ads[[#This Row],[impressions]]*RANDBETWEEN(8,12)/10,0)</f>
        <v>306791</v>
      </c>
      <c r="AJ90" s="4">
        <f ca="1">ROUND(T_Tiktok_ads[[#This Row],[clicks]]*RANDBETWEEN(8,12)/10,0)</f>
        <v>3811</v>
      </c>
      <c r="AK90" s="4">
        <v>534.20000000000005</v>
      </c>
      <c r="AL90" s="4">
        <f ca="1">ROUND(T_Tiktok_ads[[#This Row],[conversions]]*RANDBETWEEN(8,12)/10,0)</f>
        <v>39</v>
      </c>
      <c r="AM90" s="4">
        <f ca="1">ROUND(T_Tiktok_ads[[#This Row],[video_views]]*RANDBETWEEN(8,12)/10,0)</f>
        <v>245802</v>
      </c>
      <c r="AN90" s="4">
        <f ca="1">ROUND(T_Tiktok_ads[[#This Row],[video_watch_25]]*RANDBETWEEN(8,12)/10,0)</f>
        <v>185791</v>
      </c>
      <c r="AO90" s="4">
        <f ca="1">ROUND(T_Tiktok_ads[[#This Row],[video_watch_50]]*RANDBETWEEN(8,12)/10,0)</f>
        <v>133456</v>
      </c>
      <c r="AP90" s="4">
        <f ca="1">ROUND(T_Tiktok_ads[[#This Row],[video_watch_75]]*RANDBETWEEN(8,12)/10,0)</f>
        <v>102814</v>
      </c>
      <c r="AQ90" s="4">
        <f ca="1">ROUND(T_Tiktok_ads[[#This Row],[video_watch_100]]*RANDBETWEEN(8,12)/10,0)</f>
        <v>51789</v>
      </c>
      <c r="AR90" s="4">
        <f ca="1">ROUND(T_Tiktok_ads[[#This Row],[likes]]*RANDBETWEEN(8,12)/10,0)</f>
        <v>7565</v>
      </c>
      <c r="AS90" s="4">
        <f ca="1">ROUND(T_Tiktok_ads[[#This Row],[shares]]*RANDBETWEEN(8,12)/10,0)</f>
        <v>3161</v>
      </c>
      <c r="AT90" s="4">
        <f ca="1">ROUND(T_Tiktok_ads[[#This Row],[comments]]*RANDBETWEEN(8,12)/10,0)</f>
        <v>561</v>
      </c>
      <c r="AV90" s="5">
        <f t="shared" ca="1" si="12"/>
        <v>44986</v>
      </c>
      <c r="AW90">
        <f t="shared" ca="1" si="13"/>
        <v>6</v>
      </c>
      <c r="AX90">
        <f ca="1">ROUND(T_Facebook_Ads115963[[#This Row],[impressions]]*RANDBETWEEN(8,12)/10,0)</f>
        <v>29209</v>
      </c>
      <c r="AY90">
        <f ca="1">ROUND(T_Facebook_Ads115963[[#This Row],[clicks]]*RANDBETWEEN(8,12)/10,0)</f>
        <v>1567</v>
      </c>
      <c r="AZ90">
        <f ca="1">T_Facebook_Ads115963[[#This Row],[spend]]*RANDBETWEEN(8,12)/10</f>
        <v>236.21400000000003</v>
      </c>
      <c r="BA90">
        <f ca="1">ROUND(T_Facebook_Ads115963[[#This Row],[conversions]]*RANDBETWEEN(8,12)/10,0)</f>
        <v>34</v>
      </c>
      <c r="BB90">
        <f ca="1">ROUND(T_Facebook_Ads115963[[#This Row],[video_views]]*RANDBETWEEN(8,12)/10,0)</f>
        <v>6547</v>
      </c>
    </row>
    <row r="91" spans="1:54" ht="15.75" thickBot="1" x14ac:dyDescent="0.3">
      <c r="A91" s="3">
        <f t="shared" ca="1" si="9"/>
        <v>44987</v>
      </c>
      <c r="B91" s="4" t="s">
        <v>64</v>
      </c>
      <c r="C91" s="4" t="s">
        <v>65</v>
      </c>
      <c r="D91" s="4" t="s">
        <v>66</v>
      </c>
      <c r="E91" s="4" t="s">
        <v>67</v>
      </c>
      <c r="F91" s="4">
        <f ca="1">ROUND(T_Facebook_Ads[[#This Row],[impressions]]*RANDBETWEEN(8,12)/10,0)</f>
        <v>69201</v>
      </c>
      <c r="G91" s="4">
        <v>278</v>
      </c>
      <c r="H91" s="4">
        <f ca="1">T_Facebook_Ads[[#This Row],[spend]]*RANDBETWEEN(8,12)/10</f>
        <v>99.2</v>
      </c>
      <c r="I91" s="4">
        <f ca="1">ROUND(T_Facebook_Ads[[#This Row],[conversions]]*RANDBETWEEN(8,12)/10,0)</f>
        <v>8</v>
      </c>
      <c r="J91" s="4">
        <f ca="1">ROUND(T_Facebook_Ads[[#This Row],[video_views]]*RANDBETWEEN(8,12)/10,0)</f>
        <v>51567</v>
      </c>
      <c r="K91" s="4">
        <f ca="1">T_Facebook_Ads[[#This Row],[engagement_rate]]*RANDBETWEEN(8,12)/10</f>
        <v>3.5999999999999999E-3</v>
      </c>
      <c r="L91" s="4">
        <f ca="1">ROUND(T_Facebook_Ads[[#This Row],[reach]]*RANDBETWEEN(8,12)/10,0)</f>
        <v>62890</v>
      </c>
      <c r="M91" s="4">
        <f ca="1">T_Facebook_Ads[[#This Row],[frequency]]*RANDBETWEEN(8,12)/10</f>
        <v>1.23</v>
      </c>
      <c r="O91" s="3">
        <f t="shared" ca="1" si="10"/>
        <v>45003</v>
      </c>
      <c r="P91" s="4" t="s">
        <v>88</v>
      </c>
      <c r="Q91" s="4" t="s">
        <v>89</v>
      </c>
      <c r="R91" s="4" t="s">
        <v>90</v>
      </c>
      <c r="S91" s="4" t="s">
        <v>59</v>
      </c>
      <c r="T91" s="4">
        <f ca="1">ROUND(_Google_ads[[#This Row],[impressions]]*RANDBETWEEN(8,12)/10,0)</f>
        <v>142345</v>
      </c>
      <c r="U91" s="4">
        <f ca="1">ROUND(_Google_ads[[#This Row],[clicks]]*RANDBETWEEN(8,12)/10,0)</f>
        <v>654</v>
      </c>
      <c r="V91" s="4">
        <f ca="1">_Google_ads[[#This Row],[cost]]*RANDBETWEEN(8,12)/10</f>
        <v>125.91000000000001</v>
      </c>
      <c r="W91" s="4">
        <f ca="1">ROUND(_Google_ads[[#This Row],[conversions]]*RANDBETWEEN(8,12)/10,0)</f>
        <v>14</v>
      </c>
      <c r="X91" s="4">
        <f ca="1">ROUND(_Google_ads[[#This Row],[conversion_value]]*RANDBETWEEN(8,12)/10,0)</f>
        <v>800</v>
      </c>
      <c r="Y91" s="4">
        <f ca="1">_Google_ads[[#This Row],[ctr]]*RANDBETWEEN(8,12)/10</f>
        <v>3.8E-3</v>
      </c>
      <c r="Z91" s="4">
        <f ca="1">_Google_ads[[#This Row],[avg_cpc]]*RANDBETWEEN(8,12)/10</f>
        <v>0.26</v>
      </c>
      <c r="AA91" s="4">
        <f ca="1">ROUND(_Google_ads[[#This Row],[quality_score]]*RANDBETWEEN(8,12)/10,0)</f>
        <v>7</v>
      </c>
      <c r="AB91" s="4">
        <f ca="1">_Google_ads[[#This Row],[search_impression_share]]*RANDBETWEEN(8,12)/10</f>
        <v>0.33300000000000002</v>
      </c>
      <c r="AD91" s="3">
        <f t="shared" ca="1" si="11"/>
        <v>45002</v>
      </c>
      <c r="AE91" s="4" t="s">
        <v>112</v>
      </c>
      <c r="AF91" s="4" t="s">
        <v>113</v>
      </c>
      <c r="AG91" s="4" t="s">
        <v>114</v>
      </c>
      <c r="AH91" s="4" t="s">
        <v>115</v>
      </c>
      <c r="AI91" s="4">
        <f ca="1">ROUND(T_Tiktok_ads[[#This Row],[impressions]]*RANDBETWEEN(8,12)/10,0)</f>
        <v>374312</v>
      </c>
      <c r="AJ91" s="4">
        <f ca="1">ROUND(T_Tiktok_ads[[#This Row],[clicks]]*RANDBETWEEN(8,12)/10,0)</f>
        <v>7623</v>
      </c>
      <c r="AK91" s="4">
        <v>1189.4000000000001</v>
      </c>
      <c r="AL91" s="4">
        <f ca="1">ROUND(T_Tiktok_ads[[#This Row],[conversions]]*RANDBETWEEN(8,12)/10,0)</f>
        <v>132</v>
      </c>
      <c r="AM91" s="4">
        <f ca="1">ROUND(T_Tiktok_ads[[#This Row],[video_views]]*RANDBETWEEN(8,12)/10,0)</f>
        <v>481481</v>
      </c>
      <c r="AN91" s="4">
        <f ca="1">ROUND(T_Tiktok_ads[[#This Row],[video_watch_25]]*RANDBETWEEN(8,12)/10,0)</f>
        <v>355802</v>
      </c>
      <c r="AO91" s="4">
        <f ca="1">ROUND(T_Tiktok_ads[[#This Row],[video_watch_50]]*RANDBETWEEN(8,12)/10,0)</f>
        <v>207121</v>
      </c>
      <c r="AP91" s="4">
        <f ca="1">ROUND(T_Tiktok_ads[[#This Row],[video_watch_75]]*RANDBETWEEN(8,12)/10,0)</f>
        <v>166110</v>
      </c>
      <c r="AQ91" s="4">
        <f ca="1">ROUND(T_Tiktok_ads[[#This Row],[video_watch_100]]*RANDBETWEEN(8,12)/10,0)</f>
        <v>110111</v>
      </c>
      <c r="AR91" s="4">
        <f ca="1">ROUND(T_Tiktok_ads[[#This Row],[likes]]*RANDBETWEEN(8,12)/10,0)</f>
        <v>18710</v>
      </c>
      <c r="AS91" s="4">
        <f ca="1">ROUND(T_Tiktok_ads[[#This Row],[shares]]*RANDBETWEEN(8,12)/10,0)</f>
        <v>6034</v>
      </c>
      <c r="AT91" s="4">
        <f ca="1">ROUND(T_Tiktok_ads[[#This Row],[comments]]*RANDBETWEEN(8,12)/10,0)</f>
        <v>1510</v>
      </c>
      <c r="AV91" s="5">
        <f t="shared" ca="1" si="12"/>
        <v>45006</v>
      </c>
      <c r="AW91">
        <f t="shared" ca="1" si="13"/>
        <v>7</v>
      </c>
      <c r="AX91">
        <f ca="1">ROUND(T_Facebook_Ads115963[[#This Row],[impressions]]*RANDBETWEEN(8,12)/10,0)</f>
        <v>69201</v>
      </c>
      <c r="AY91">
        <f ca="1">ROUND(T_Facebook_Ads115963[[#This Row],[clicks]]*RANDBETWEEN(8,12)/10,0)</f>
        <v>278</v>
      </c>
      <c r="AZ91">
        <f ca="1">T_Facebook_Ads115963[[#This Row],[spend]]*RANDBETWEEN(8,12)/10</f>
        <v>109.12</v>
      </c>
      <c r="BA91">
        <f ca="1">ROUND(T_Facebook_Ads115963[[#This Row],[conversions]]*RANDBETWEEN(8,12)/10,0)</f>
        <v>6</v>
      </c>
      <c r="BB91">
        <f ca="1">ROUND(T_Facebook_Ads115963[[#This Row],[video_views]]*RANDBETWEEN(8,12)/10,0)</f>
        <v>56724</v>
      </c>
    </row>
    <row r="92" spans="1:54" ht="15.75" thickBot="1" x14ac:dyDescent="0.3">
      <c r="A92" s="3">
        <f t="shared" ca="1" si="9"/>
        <v>44996</v>
      </c>
      <c r="B92" s="4" t="s">
        <v>52</v>
      </c>
      <c r="C92" s="4" t="s">
        <v>53</v>
      </c>
      <c r="D92" s="4" t="s">
        <v>54</v>
      </c>
      <c r="E92" s="4" t="s">
        <v>55</v>
      </c>
      <c r="F92" s="4">
        <f ca="1">ROUND(T_Facebook_Ads[[#This Row],[impressions]]*RANDBETWEEN(8,12)/10,0)</f>
        <v>50123</v>
      </c>
      <c r="G92" s="4">
        <v>1034</v>
      </c>
      <c r="H92" s="4">
        <f ca="1">T_Facebook_Ads[[#This Row],[spend]]*RANDBETWEEN(8,12)/10</f>
        <v>147.5</v>
      </c>
      <c r="I92" s="4">
        <f ca="1">ROUND(T_Facebook_Ads[[#This Row],[conversions]]*RANDBETWEEN(8,12)/10,0)</f>
        <v>15</v>
      </c>
      <c r="J92" s="4">
        <f ca="1">ROUND(T_Facebook_Ads[[#This Row],[video_views]]*RANDBETWEEN(8,12)/10,0)</f>
        <v>9123</v>
      </c>
      <c r="K92" s="4">
        <f ca="1">T_Facebook_Ads[[#This Row],[engagement_rate]]*RANDBETWEEN(8,12)/10</f>
        <v>2.266E-2</v>
      </c>
      <c r="L92" s="4">
        <f ca="1">ROUND(T_Facebook_Ads[[#This Row],[reach]]*RANDBETWEEN(8,12)/10,0)</f>
        <v>41890</v>
      </c>
      <c r="M92" s="4">
        <f ca="1">T_Facebook_Ads[[#This Row],[frequency]]*RANDBETWEEN(8,12)/10</f>
        <v>1.2</v>
      </c>
      <c r="O92" s="3">
        <f t="shared" ca="1" si="10"/>
        <v>44991</v>
      </c>
      <c r="P92" s="4" t="s">
        <v>76</v>
      </c>
      <c r="Q92" s="4" t="s">
        <v>77</v>
      </c>
      <c r="R92" s="4" t="s">
        <v>78</v>
      </c>
      <c r="S92" s="4" t="s">
        <v>79</v>
      </c>
      <c r="T92" s="4">
        <f ca="1">ROUND(_Google_ads[[#This Row],[impressions]]*RANDBETWEEN(8,12)/10,0)</f>
        <v>29468</v>
      </c>
      <c r="U92" s="4">
        <f ca="1">ROUND(_Google_ads[[#This Row],[clicks]]*RANDBETWEEN(8,12)/10,0)</f>
        <v>1378</v>
      </c>
      <c r="V92" s="4">
        <f ca="1">_Google_ads[[#This Row],[cost]]*RANDBETWEEN(8,12)/10</f>
        <v>316.08</v>
      </c>
      <c r="W92" s="4">
        <f ca="1">ROUND(_Google_ads[[#This Row],[conversions]]*RANDBETWEEN(8,12)/10,0)</f>
        <v>48</v>
      </c>
      <c r="X92" s="4">
        <f ca="1">ROUND(_Google_ads[[#This Row],[conversion_value]]*RANDBETWEEN(8,12)/10,0)</f>
        <v>2650</v>
      </c>
      <c r="Y92" s="4">
        <f ca="1">_Google_ads[[#This Row],[ctr]]*RANDBETWEEN(8,12)/10</f>
        <v>5.6649999999999999E-2</v>
      </c>
      <c r="Z92" s="4">
        <f ca="1">_Google_ads[[#This Row],[avg_cpc]]*RANDBETWEEN(8,12)/10</f>
        <v>0.19</v>
      </c>
      <c r="AA92" s="4">
        <f ca="1">ROUND(_Google_ads[[#This Row],[quality_score]]*RANDBETWEEN(8,12)/10,0)</f>
        <v>7</v>
      </c>
      <c r="AB92" s="4">
        <f ca="1">_Google_ads[[#This Row],[search_impression_share]]*RANDBETWEEN(8,12)/10</f>
        <v>0.92000000000000015</v>
      </c>
      <c r="AD92" s="3">
        <f t="shared" ca="1" si="11"/>
        <v>45007</v>
      </c>
      <c r="AE92" s="4" t="s">
        <v>100</v>
      </c>
      <c r="AF92" s="4" t="s">
        <v>101</v>
      </c>
      <c r="AG92" s="4" t="s">
        <v>102</v>
      </c>
      <c r="AH92" s="4" t="s">
        <v>103</v>
      </c>
      <c r="AI92" s="4">
        <f ca="1">ROUND(T_Tiktok_ads[[#This Row],[impressions]]*RANDBETWEEN(8,12)/10,0)</f>
        <v>301234</v>
      </c>
      <c r="AJ92" s="4">
        <f ca="1">ROUND(T_Tiktok_ads[[#This Row],[clicks]]*RANDBETWEEN(8,12)/10,0)</f>
        <v>4456</v>
      </c>
      <c r="AK92" s="4">
        <v>589.9</v>
      </c>
      <c r="AL92" s="4">
        <f ca="1">ROUND(T_Tiktok_ads[[#This Row],[conversions]]*RANDBETWEEN(8,12)/10,0)</f>
        <v>46</v>
      </c>
      <c r="AM92" s="4">
        <f ca="1">ROUND(T_Tiktok_ads[[#This Row],[video_views]]*RANDBETWEEN(8,12)/10,0)</f>
        <v>196542</v>
      </c>
      <c r="AN92" s="4">
        <f ca="1">ROUND(T_Tiktok_ads[[#This Row],[video_watch_25]]*RANDBETWEEN(8,12)/10,0)</f>
        <v>191234</v>
      </c>
      <c r="AO92" s="4">
        <f ca="1">ROUND(T_Tiktok_ads[[#This Row],[video_watch_50]]*RANDBETWEEN(8,12)/10,0)</f>
        <v>131157</v>
      </c>
      <c r="AP92" s="4">
        <f ca="1">ROUND(T_Tiktok_ads[[#This Row],[video_watch_75]]*RANDBETWEEN(8,12)/10,0)</f>
        <v>96281</v>
      </c>
      <c r="AQ92" s="4">
        <f ca="1">ROUND(T_Tiktok_ads[[#This Row],[video_watch_100]]*RANDBETWEEN(8,12)/10,0)</f>
        <v>58802</v>
      </c>
      <c r="AR92" s="4">
        <f ca="1">ROUND(T_Tiktok_ads[[#This Row],[likes]]*RANDBETWEEN(8,12)/10,0)</f>
        <v>12947</v>
      </c>
      <c r="AS92" s="4">
        <f ca="1">ROUND(T_Tiktok_ads[[#This Row],[shares]]*RANDBETWEEN(8,12)/10,0)</f>
        <v>2321</v>
      </c>
      <c r="AT92" s="4">
        <f ca="1">ROUND(T_Tiktok_ads[[#This Row],[comments]]*RANDBETWEEN(8,12)/10,0)</f>
        <v>827</v>
      </c>
      <c r="AV92" s="5">
        <f t="shared" ca="1" si="12"/>
        <v>45013</v>
      </c>
      <c r="AW92">
        <f t="shared" ca="1" si="13"/>
        <v>3</v>
      </c>
      <c r="AX92">
        <f ca="1">ROUND(T_Facebook_Ads115963[[#This Row],[impressions]]*RANDBETWEEN(8,12)/10,0)</f>
        <v>60148</v>
      </c>
      <c r="AY92">
        <f ca="1">ROUND(T_Facebook_Ads115963[[#This Row],[clicks]]*RANDBETWEEN(8,12)/10,0)</f>
        <v>931</v>
      </c>
      <c r="AZ92">
        <f ca="1">T_Facebook_Ads115963[[#This Row],[spend]]*RANDBETWEEN(8,12)/10</f>
        <v>177</v>
      </c>
      <c r="BA92">
        <f ca="1">ROUND(T_Facebook_Ads115963[[#This Row],[conversions]]*RANDBETWEEN(8,12)/10,0)</f>
        <v>18</v>
      </c>
      <c r="BB92">
        <f ca="1">ROUND(T_Facebook_Ads115963[[#This Row],[video_views]]*RANDBETWEEN(8,12)/10,0)</f>
        <v>9123</v>
      </c>
    </row>
    <row r="93" spans="1:54" ht="15.75" thickBot="1" x14ac:dyDescent="0.3">
      <c r="A93" s="3">
        <f t="shared" ca="1" si="9"/>
        <v>45008</v>
      </c>
      <c r="B93" s="4" t="s">
        <v>56</v>
      </c>
      <c r="C93" s="4" t="s">
        <v>57</v>
      </c>
      <c r="D93" s="4" t="s">
        <v>58</v>
      </c>
      <c r="E93" s="4" t="s">
        <v>59</v>
      </c>
      <c r="F93" s="4">
        <f ca="1">ROUND(T_Facebook_Ads[[#This Row],[impressions]]*RANDBETWEEN(8,12)/10,0)</f>
        <v>14234</v>
      </c>
      <c r="G93" s="4">
        <v>689</v>
      </c>
      <c r="H93" s="4">
        <f ca="1">T_Facebook_Ads[[#This Row],[spend]]*RANDBETWEEN(8,12)/10</f>
        <v>203.76</v>
      </c>
      <c r="I93" s="4">
        <f ca="1">ROUND(T_Facebook_Ads[[#This Row],[conversions]]*RANDBETWEEN(8,12)/10,0)</f>
        <v>53</v>
      </c>
      <c r="J93" s="4">
        <f ca="1">ROUND(T_Facebook_Ads[[#This Row],[video_views]]*RANDBETWEEN(8,12)/10,0)</f>
        <v>1602</v>
      </c>
      <c r="K93" s="4">
        <f ca="1">T_Facebook_Ads[[#This Row],[engagement_rate]]*RANDBETWEEN(8,12)/10</f>
        <v>5.808E-2</v>
      </c>
      <c r="L93" s="4">
        <f ca="1">ROUND(T_Facebook_Ads[[#This Row],[reach]]*RANDBETWEEN(8,12)/10,0)</f>
        <v>8987</v>
      </c>
      <c r="M93" s="4">
        <f ca="1">T_Facebook_Ads[[#This Row],[frequency]]*RANDBETWEEN(8,12)/10</f>
        <v>1.143</v>
      </c>
      <c r="O93" s="3">
        <f t="shared" ca="1" si="10"/>
        <v>44998</v>
      </c>
      <c r="P93" s="4" t="s">
        <v>80</v>
      </c>
      <c r="Q93" s="4" t="s">
        <v>81</v>
      </c>
      <c r="R93" s="4" t="s">
        <v>82</v>
      </c>
      <c r="S93" s="4" t="s">
        <v>83</v>
      </c>
      <c r="T93" s="4">
        <f ca="1">ROUND(_Google_ads[[#This Row],[impressions]]*RANDBETWEEN(8,12)/10,0)</f>
        <v>47234</v>
      </c>
      <c r="U93" s="4">
        <f ca="1">ROUND(_Google_ads[[#This Row],[clicks]]*RANDBETWEEN(8,12)/10,0)</f>
        <v>945</v>
      </c>
      <c r="V93" s="4">
        <f ca="1">_Google_ads[[#This Row],[cost]]*RANDBETWEEN(8,12)/10</f>
        <v>545.04000000000008</v>
      </c>
      <c r="W93" s="4">
        <f ca="1">ROUND(_Google_ads[[#This Row],[conversions]]*RANDBETWEEN(8,12)/10,0)</f>
        <v>30</v>
      </c>
      <c r="X93" s="4">
        <f ca="1">ROUND(_Google_ads[[#This Row],[conversion_value]]*RANDBETWEEN(8,12)/10,0)</f>
        <v>1125</v>
      </c>
      <c r="Y93" s="4">
        <f ca="1">_Google_ads[[#This Row],[ctr]]*RANDBETWEEN(8,12)/10</f>
        <v>2.4E-2</v>
      </c>
      <c r="Z93" s="4">
        <f ca="1">_Google_ads[[#This Row],[avg_cpc]]*RANDBETWEEN(8,12)/10</f>
        <v>0.76800000000000002</v>
      </c>
      <c r="AA93" s="4">
        <f ca="1">ROUND(_Google_ads[[#This Row],[quality_score]]*RANDBETWEEN(8,12)/10,0)</f>
        <v>8</v>
      </c>
      <c r="AB93" s="4">
        <f ca="1">_Google_ads[[#This Row],[search_impression_share]]*RANDBETWEEN(8,12)/10</f>
        <v>0.50600000000000001</v>
      </c>
      <c r="AD93" s="3">
        <f t="shared" ca="1" si="11"/>
        <v>45003</v>
      </c>
      <c r="AE93" s="4" t="s">
        <v>104</v>
      </c>
      <c r="AF93" s="4" t="s">
        <v>105</v>
      </c>
      <c r="AG93" s="4" t="s">
        <v>106</v>
      </c>
      <c r="AH93" s="4" t="s">
        <v>107</v>
      </c>
      <c r="AI93" s="4">
        <f ca="1">ROUND(T_Tiktok_ads[[#This Row],[impressions]]*RANDBETWEEN(8,12)/10,0)</f>
        <v>134312</v>
      </c>
      <c r="AJ93" s="4">
        <f ca="1">ROUND(T_Tiktok_ads[[#This Row],[clicks]]*RANDBETWEEN(8,12)/10,0)</f>
        <v>3234</v>
      </c>
      <c r="AK93" s="4">
        <v>845.6</v>
      </c>
      <c r="AL93" s="4">
        <f ca="1">ROUND(T_Tiktok_ads[[#This Row],[conversions]]*RANDBETWEEN(8,12)/10,0)</f>
        <v>102</v>
      </c>
      <c r="AM93" s="4">
        <f ca="1">ROUND(T_Tiktok_ads[[#This Row],[video_views]]*RANDBETWEEN(8,12)/10,0)</f>
        <v>141468</v>
      </c>
      <c r="AN93" s="4">
        <f ca="1">ROUND(T_Tiktok_ads[[#This Row],[video_watch_25]]*RANDBETWEEN(8,12)/10,0)</f>
        <v>87234</v>
      </c>
      <c r="AO93" s="4">
        <f ca="1">ROUND(T_Tiktok_ads[[#This Row],[video_watch_50]]*RANDBETWEEN(8,12)/10,0)</f>
        <v>58901</v>
      </c>
      <c r="AP93" s="4">
        <f ca="1">ROUND(T_Tiktok_ads[[#This Row],[video_watch_75]]*RANDBETWEEN(8,12)/10,0)</f>
        <v>35387</v>
      </c>
      <c r="AQ93" s="4">
        <f ca="1">ROUND(T_Tiktok_ads[[#This Row],[video_watch_100]]*RANDBETWEEN(8,12)/10,0)</f>
        <v>35480</v>
      </c>
      <c r="AR93" s="4">
        <f ca="1">ROUND(T_Tiktok_ads[[#This Row],[likes]]*RANDBETWEEN(8,12)/10,0)</f>
        <v>6814</v>
      </c>
      <c r="AS93" s="4">
        <f ca="1">ROUND(T_Tiktok_ads[[#This Row],[shares]]*RANDBETWEEN(8,12)/10,0)</f>
        <v>1634</v>
      </c>
      <c r="AT93" s="4">
        <f ca="1">ROUND(T_Tiktok_ads[[#This Row],[comments]]*RANDBETWEEN(8,12)/10,0)</f>
        <v>250</v>
      </c>
      <c r="AV93" s="5">
        <f t="shared" ca="1" si="12"/>
        <v>45001</v>
      </c>
      <c r="AW93">
        <f t="shared" ca="1" si="13"/>
        <v>6</v>
      </c>
      <c r="AX93">
        <f ca="1">ROUND(T_Facebook_Ads115963[[#This Row],[impressions]]*RANDBETWEEN(8,12)/10,0)</f>
        <v>17081</v>
      </c>
      <c r="AY93">
        <f ca="1">ROUND(T_Facebook_Ads115963[[#This Row],[clicks]]*RANDBETWEEN(8,12)/10,0)</f>
        <v>620</v>
      </c>
      <c r="AZ93">
        <f ca="1">T_Facebook_Ads115963[[#This Row],[spend]]*RANDBETWEEN(8,12)/10</f>
        <v>183.38399999999999</v>
      </c>
      <c r="BA93">
        <f ca="1">ROUND(T_Facebook_Ads115963[[#This Row],[conversions]]*RANDBETWEEN(8,12)/10,0)</f>
        <v>53</v>
      </c>
      <c r="BB93">
        <f ca="1">ROUND(T_Facebook_Ads115963[[#This Row],[video_views]]*RANDBETWEEN(8,12)/10,0)</f>
        <v>1602</v>
      </c>
    </row>
    <row r="94" spans="1:54" ht="15.75" thickBot="1" x14ac:dyDescent="0.3">
      <c r="A94" s="3">
        <f t="shared" ca="1" si="9"/>
        <v>44989</v>
      </c>
      <c r="B94" s="4" t="s">
        <v>60</v>
      </c>
      <c r="C94" s="4" t="s">
        <v>61</v>
      </c>
      <c r="D94" s="4" t="s">
        <v>62</v>
      </c>
      <c r="E94" s="4" t="s">
        <v>63</v>
      </c>
      <c r="F94" s="4">
        <f ca="1">ROUND(T_Facebook_Ads[[#This Row],[impressions]]*RANDBETWEEN(8,12)/10,0)</f>
        <v>38890</v>
      </c>
      <c r="G94" s="4">
        <v>1445</v>
      </c>
      <c r="H94" s="4">
        <f ca="1">T_Facebook_Ads[[#This Row],[spend]]*RANDBETWEEN(8,12)/10</f>
        <v>277.43999999999994</v>
      </c>
      <c r="I94" s="4">
        <f ca="1">ROUND(T_Facebook_Ads[[#This Row],[conversions]]*RANDBETWEEN(8,12)/10,0)</f>
        <v>35</v>
      </c>
      <c r="J94" s="4">
        <f ca="1">ROUND(T_Facebook_Ads[[#This Row],[video_views]]*RANDBETWEEN(8,12)/10,0)</f>
        <v>5635</v>
      </c>
      <c r="K94" s="4">
        <f ca="1">T_Facebook_Ads[[#This Row],[engagement_rate]]*RANDBETWEEN(8,12)/10</f>
        <v>3.3479999999999996E-2</v>
      </c>
      <c r="L94" s="4">
        <f ca="1">ROUND(T_Facebook_Ads[[#This Row],[reach]]*RANDBETWEEN(8,12)/10,0)</f>
        <v>31567</v>
      </c>
      <c r="M94" s="4">
        <f ca="1">T_Facebook_Ads[[#This Row],[frequency]]*RANDBETWEEN(8,12)/10</f>
        <v>1.353</v>
      </c>
      <c r="O94" s="3">
        <f t="shared" ca="1" si="10"/>
        <v>45007</v>
      </c>
      <c r="P94" s="4" t="s">
        <v>84</v>
      </c>
      <c r="Q94" s="4" t="s">
        <v>85</v>
      </c>
      <c r="R94" s="4" t="s">
        <v>86</v>
      </c>
      <c r="S94" s="4" t="s">
        <v>87</v>
      </c>
      <c r="T94" s="4">
        <f ca="1">ROUND(_Google_ads[[#This Row],[impressions]]*RANDBETWEEN(8,12)/10,0)</f>
        <v>87468</v>
      </c>
      <c r="U94" s="4">
        <f ca="1">ROUND(_Google_ads[[#This Row],[clicks]]*RANDBETWEEN(8,12)/10,0)</f>
        <v>1947</v>
      </c>
      <c r="V94" s="4">
        <f ca="1">_Google_ads[[#This Row],[cost]]*RANDBETWEEN(8,12)/10</f>
        <v>495.21999999999997</v>
      </c>
      <c r="W94" s="4">
        <f ca="1">ROUND(_Google_ads[[#This Row],[conversions]]*RANDBETWEEN(8,12)/10,0)</f>
        <v>64</v>
      </c>
      <c r="X94" s="4">
        <f ca="1">ROUND(_Google_ads[[#This Row],[conversion_value]]*RANDBETWEEN(8,12)/10,0)</f>
        <v>3905</v>
      </c>
      <c r="Y94" s="4">
        <f ca="1">_Google_ads[[#This Row],[ctr]]*RANDBETWEEN(8,12)/10</f>
        <v>3.6740000000000002E-2</v>
      </c>
      <c r="Z94" s="4">
        <f ca="1">_Google_ads[[#This Row],[avg_cpc]]*RANDBETWEEN(8,12)/10</f>
        <v>0.19800000000000001</v>
      </c>
      <c r="AA94" s="4">
        <f ca="1">ROUND(_Google_ads[[#This Row],[quality_score]]*RANDBETWEEN(8,12)/10,0)</f>
        <v>6</v>
      </c>
      <c r="AB94" s="4">
        <f ca="1">_Google_ads[[#This Row],[search_impression_share]]*RANDBETWEEN(8,12)/10</f>
        <v>0.62099999999999989</v>
      </c>
      <c r="AD94" s="3">
        <f t="shared" ca="1" si="11"/>
        <v>45013</v>
      </c>
      <c r="AE94" s="4" t="s">
        <v>108</v>
      </c>
      <c r="AF94" s="4" t="s">
        <v>109</v>
      </c>
      <c r="AG94" s="4" t="s">
        <v>110</v>
      </c>
      <c r="AH94" s="4" t="s">
        <v>111</v>
      </c>
      <c r="AI94" s="4">
        <f ca="1">ROUND(T_Tiktok_ads[[#This Row],[impressions]]*RANDBETWEEN(8,12)/10,0)</f>
        <v>308147</v>
      </c>
      <c r="AJ94" s="4">
        <f ca="1">ROUND(T_Tiktok_ads[[#This Row],[clicks]]*RANDBETWEEN(8,12)/10,0)</f>
        <v>4814</v>
      </c>
      <c r="AK94" s="4">
        <v>489.2</v>
      </c>
      <c r="AL94" s="4">
        <f ca="1">ROUND(T_Tiktok_ads[[#This Row],[conversions]]*RANDBETWEEN(8,12)/10,0)</f>
        <v>32</v>
      </c>
      <c r="AM94" s="4">
        <f ca="1">ROUND(T_Tiktok_ads[[#This Row],[video_views]]*RANDBETWEEN(8,12)/10,0)</f>
        <v>241481</v>
      </c>
      <c r="AN94" s="4">
        <f ca="1">ROUND(T_Tiktok_ads[[#This Row],[video_watch_25]]*RANDBETWEEN(8,12)/10,0)</f>
        <v>137111</v>
      </c>
      <c r="AO94" s="4">
        <f ca="1">ROUND(T_Tiktok_ads[[#This Row],[video_watch_50]]*RANDBETWEEN(8,12)/10,0)</f>
        <v>132502</v>
      </c>
      <c r="AP94" s="4">
        <f ca="1">ROUND(T_Tiktok_ads[[#This Row],[video_watch_75]]*RANDBETWEEN(8,12)/10,0)</f>
        <v>62312</v>
      </c>
      <c r="AQ94" s="4">
        <f ca="1">ROUND(T_Tiktok_ads[[#This Row],[video_watch_100]]*RANDBETWEEN(8,12)/10,0)</f>
        <v>56681</v>
      </c>
      <c r="AR94" s="4">
        <f ca="1">ROUND(T_Tiktok_ads[[#This Row],[likes]]*RANDBETWEEN(8,12)/10,0)</f>
        <v>7121</v>
      </c>
      <c r="AS94" s="4">
        <f ca="1">ROUND(T_Tiktok_ads[[#This Row],[shares]]*RANDBETWEEN(8,12)/10,0)</f>
        <v>1965</v>
      </c>
      <c r="AT94" s="4">
        <f ca="1">ROUND(T_Tiktok_ads[[#This Row],[comments]]*RANDBETWEEN(8,12)/10,0)</f>
        <v>530</v>
      </c>
      <c r="AV94" s="5">
        <f t="shared" ca="1" si="12"/>
        <v>44997</v>
      </c>
      <c r="AW94">
        <f t="shared" ca="1" si="13"/>
        <v>3</v>
      </c>
      <c r="AX94">
        <f ca="1">ROUND(T_Facebook_Ads115963[[#This Row],[impressions]]*RANDBETWEEN(8,12)/10,0)</f>
        <v>31112</v>
      </c>
      <c r="AY94">
        <f ca="1">ROUND(T_Facebook_Ads115963[[#This Row],[clicks]]*RANDBETWEEN(8,12)/10,0)</f>
        <v>1590</v>
      </c>
      <c r="AZ94">
        <f ca="1">T_Facebook_Ads115963[[#This Row],[spend]]*RANDBETWEEN(8,12)/10</f>
        <v>305.18399999999991</v>
      </c>
      <c r="BA94">
        <f ca="1">ROUND(T_Facebook_Ads115963[[#This Row],[conversions]]*RANDBETWEEN(8,12)/10,0)</f>
        <v>32</v>
      </c>
      <c r="BB94">
        <f ca="1">ROUND(T_Facebook_Ads115963[[#This Row],[video_views]]*RANDBETWEEN(8,12)/10,0)</f>
        <v>5072</v>
      </c>
    </row>
    <row r="95" spans="1:54" ht="15.75" thickBot="1" x14ac:dyDescent="0.3">
      <c r="A95" s="3">
        <f t="shared" ca="1" si="9"/>
        <v>44998</v>
      </c>
      <c r="B95" s="4" t="s">
        <v>64</v>
      </c>
      <c r="C95" s="4" t="s">
        <v>65</v>
      </c>
      <c r="D95" s="4" t="s">
        <v>66</v>
      </c>
      <c r="E95" s="4" t="s">
        <v>67</v>
      </c>
      <c r="F95" s="4">
        <f ca="1">ROUND(T_Facebook_Ads[[#This Row],[impressions]]*RANDBETWEEN(8,12)/10,0)</f>
        <v>58765</v>
      </c>
      <c r="G95" s="4">
        <v>261</v>
      </c>
      <c r="H95" s="4">
        <f ca="1">T_Facebook_Ads[[#This Row],[spend]]*RANDBETWEEN(8,12)/10</f>
        <v>75.679999999999993</v>
      </c>
      <c r="I95" s="4">
        <f ca="1">ROUND(T_Facebook_Ads[[#This Row],[conversions]]*RANDBETWEEN(8,12)/10,0)</f>
        <v>8</v>
      </c>
      <c r="J95" s="4">
        <f ca="1">ROUND(T_Facebook_Ads[[#This Row],[video_views]]*RANDBETWEEN(8,12)/10,0)</f>
        <v>59081</v>
      </c>
      <c r="K95" s="4">
        <f ca="1">T_Facebook_Ads[[#This Row],[engagement_rate]]*RANDBETWEEN(8,12)/10</f>
        <v>4.3200000000000001E-3</v>
      </c>
      <c r="L95" s="4">
        <f ca="1">ROUND(T_Facebook_Ads[[#This Row],[reach]]*RANDBETWEEN(8,12)/10,0)</f>
        <v>65524</v>
      </c>
      <c r="M95" s="4">
        <f ca="1">T_Facebook_Ads[[#This Row],[frequency]]*RANDBETWEEN(8,12)/10</f>
        <v>1.476</v>
      </c>
      <c r="O95" s="3">
        <f t="shared" ca="1" si="10"/>
        <v>45015</v>
      </c>
      <c r="P95" s="4" t="s">
        <v>88</v>
      </c>
      <c r="Q95" s="4" t="s">
        <v>89</v>
      </c>
      <c r="R95" s="4" t="s">
        <v>90</v>
      </c>
      <c r="S95" s="4" t="s">
        <v>59</v>
      </c>
      <c r="T95" s="4">
        <f ca="1">ROUND(_Google_ads[[#This Row],[impressions]]*RANDBETWEEN(8,12)/10,0)</f>
        <v>152424</v>
      </c>
      <c r="U95" s="4">
        <f ca="1">ROUND(_Google_ads[[#This Row],[clicks]]*RANDBETWEEN(8,12)/10,0)</f>
        <v>512</v>
      </c>
      <c r="V95" s="4">
        <f ca="1">_Google_ads[[#This Row],[cost]]*RANDBETWEEN(8,12)/10</f>
        <v>149.82</v>
      </c>
      <c r="W95" s="4">
        <f ca="1">ROUND(_Google_ads[[#This Row],[conversions]]*RANDBETWEEN(8,12)/10,0)</f>
        <v>14</v>
      </c>
      <c r="X95" s="4">
        <f ca="1">ROUND(_Google_ads[[#This Row],[conversion_value]]*RANDBETWEEN(8,12)/10,0)</f>
        <v>675</v>
      </c>
      <c r="Y95" s="4">
        <f ca="1">_Google_ads[[#This Row],[ctr]]*RANDBETWEEN(8,12)/10</f>
        <v>3.7000000000000006E-3</v>
      </c>
      <c r="Z95" s="4">
        <f ca="1">_Google_ads[[#This Row],[avg_cpc]]*RANDBETWEEN(8,12)/10</f>
        <v>0.29700000000000004</v>
      </c>
      <c r="AA95" s="4">
        <f ca="1">ROUND(_Google_ads[[#This Row],[quality_score]]*RANDBETWEEN(8,12)/10,0)</f>
        <v>6</v>
      </c>
      <c r="AB95" s="4">
        <f ca="1">_Google_ads[[#This Row],[search_impression_share]]*RANDBETWEEN(8,12)/10</f>
        <v>0.36</v>
      </c>
      <c r="AD95" s="3">
        <f t="shared" ca="1" si="11"/>
        <v>45012</v>
      </c>
      <c r="AE95" s="4" t="s">
        <v>112</v>
      </c>
      <c r="AF95" s="4" t="s">
        <v>113</v>
      </c>
      <c r="AG95" s="4" t="s">
        <v>114</v>
      </c>
      <c r="AH95" s="4" t="s">
        <v>115</v>
      </c>
      <c r="AI95" s="4">
        <f ca="1">ROUND(T_Tiktok_ads[[#This Row],[impressions]]*RANDBETWEEN(8,12)/10,0)</f>
        <v>356542</v>
      </c>
      <c r="AJ95" s="4">
        <f ca="1">ROUND(T_Tiktok_ads[[#This Row],[clicks]]*RANDBETWEEN(8,12)/10,0)</f>
        <v>7234</v>
      </c>
      <c r="AK95" s="4">
        <v>1123.5</v>
      </c>
      <c r="AL95" s="4">
        <f ca="1">ROUND(T_Tiktok_ads[[#This Row],[conversions]]*RANDBETWEEN(8,12)/10,0)</f>
        <v>124</v>
      </c>
      <c r="AM95" s="4">
        <f ca="1">ROUND(T_Tiktok_ads[[#This Row],[video_views]]*RANDBETWEEN(8,12)/10,0)</f>
        <v>378901</v>
      </c>
      <c r="AN95" s="4">
        <f ca="1">ROUND(T_Tiktok_ads[[#This Row],[video_watch_25]]*RANDBETWEEN(8,12)/10,0)</f>
        <v>304567</v>
      </c>
      <c r="AO95" s="4">
        <f ca="1">ROUND(T_Tiktok_ads[[#This Row],[video_watch_50]]*RANDBETWEEN(8,12)/10,0)</f>
        <v>194765</v>
      </c>
      <c r="AP95" s="4">
        <f ca="1">ROUND(T_Tiktok_ads[[#This Row],[video_watch_75]]*RANDBETWEEN(8,12)/10,0)</f>
        <v>155111</v>
      </c>
      <c r="AQ95" s="4">
        <f ca="1">ROUND(T_Tiktok_ads[[#This Row],[video_watch_100]]*RANDBETWEEN(8,12)/10,0)</f>
        <v>103110</v>
      </c>
      <c r="AR95" s="4">
        <f ca="1">ROUND(T_Tiktok_ads[[#This Row],[likes]]*RANDBETWEEN(8,12)/10,0)</f>
        <v>21524</v>
      </c>
      <c r="AS95" s="4">
        <f ca="1">ROUND(T_Tiktok_ads[[#This Row],[shares]]*RANDBETWEEN(8,12)/10,0)</f>
        <v>6246</v>
      </c>
      <c r="AT95" s="4">
        <f ca="1">ROUND(T_Tiktok_ads[[#This Row],[comments]]*RANDBETWEEN(8,12)/10,0)</f>
        <v>1254</v>
      </c>
      <c r="AV95" s="5">
        <f t="shared" ca="1" si="12"/>
        <v>44998</v>
      </c>
      <c r="AW95">
        <f t="shared" ca="1" si="13"/>
        <v>7</v>
      </c>
      <c r="AX95">
        <f ca="1">ROUND(T_Facebook_Ads115963[[#This Row],[impressions]]*RANDBETWEEN(8,12)/10,0)</f>
        <v>70518</v>
      </c>
      <c r="AY95">
        <f ca="1">ROUND(T_Facebook_Ads115963[[#This Row],[clicks]]*RANDBETWEEN(8,12)/10,0)</f>
        <v>287</v>
      </c>
      <c r="AZ95">
        <f ca="1">T_Facebook_Ads115963[[#This Row],[spend]]*RANDBETWEEN(8,12)/10</f>
        <v>75.679999999999993</v>
      </c>
      <c r="BA95">
        <f ca="1">ROUND(T_Facebook_Ads115963[[#This Row],[conversions]]*RANDBETWEEN(8,12)/10,0)</f>
        <v>6</v>
      </c>
      <c r="BB95">
        <f ca="1">ROUND(T_Facebook_Ads115963[[#This Row],[video_views]]*RANDBETWEEN(8,12)/10,0)</f>
        <v>64989</v>
      </c>
    </row>
    <row r="96" spans="1:54" ht="15.75" thickBot="1" x14ac:dyDescent="0.3">
      <c r="A96" s="3">
        <f t="shared" ca="1" si="9"/>
        <v>45012</v>
      </c>
      <c r="B96" s="4" t="s">
        <v>52</v>
      </c>
      <c r="C96" s="4" t="s">
        <v>53</v>
      </c>
      <c r="D96" s="4" t="s">
        <v>54</v>
      </c>
      <c r="E96" s="4" t="s">
        <v>55</v>
      </c>
      <c r="F96" s="4">
        <f ca="1">ROUND(T_Facebook_Ads[[#This Row],[impressions]]*RANDBETWEEN(8,12)/10,0)</f>
        <v>55481</v>
      </c>
      <c r="G96" s="4">
        <v>934</v>
      </c>
      <c r="H96" s="4">
        <f ca="1">T_Facebook_Ads[[#This Row],[spend]]*RANDBETWEEN(8,12)/10</f>
        <v>120.42</v>
      </c>
      <c r="I96" s="4">
        <f ca="1">ROUND(T_Facebook_Ads[[#This Row],[conversions]]*RANDBETWEEN(8,12)/10,0)</f>
        <v>17</v>
      </c>
      <c r="J96" s="4">
        <f ca="1">ROUND(T_Facebook_Ads[[#This Row],[video_views]]*RANDBETWEEN(8,12)/10,0)</f>
        <v>10147</v>
      </c>
      <c r="K96" s="4">
        <f ca="1">T_Facebook_Ads[[#This Row],[engagement_rate]]*RANDBETWEEN(8,12)/10</f>
        <v>1.6160000000000001E-2</v>
      </c>
      <c r="L96" s="4">
        <f ca="1">ROUND(T_Facebook_Ads[[#This Row],[reach]]*RANDBETWEEN(8,12)/10,0)</f>
        <v>35001</v>
      </c>
      <c r="M96" s="4">
        <f ca="1">T_Facebook_Ads[[#This Row],[frequency]]*RANDBETWEEN(8,12)/10</f>
        <v>1.071</v>
      </c>
      <c r="O96" s="3">
        <f t="shared" ca="1" si="10"/>
        <v>45013</v>
      </c>
      <c r="P96" s="4" t="s">
        <v>76</v>
      </c>
      <c r="Q96" s="4" t="s">
        <v>77</v>
      </c>
      <c r="R96" s="4" t="s">
        <v>78</v>
      </c>
      <c r="S96" s="4" t="s">
        <v>79</v>
      </c>
      <c r="T96" s="4">
        <f ca="1">ROUND(_Google_ads[[#This Row],[impressions]]*RANDBETWEEN(8,12)/10,0)</f>
        <v>20187</v>
      </c>
      <c r="U96" s="4">
        <f ca="1">ROUND(_Google_ads[[#This Row],[clicks]]*RANDBETWEEN(8,12)/10,0)</f>
        <v>1050</v>
      </c>
      <c r="V96" s="4">
        <f ca="1">_Google_ads[[#This Row],[cost]]*RANDBETWEEN(8,12)/10</f>
        <v>300.36</v>
      </c>
      <c r="W96" s="4">
        <f ca="1">ROUND(_Google_ads[[#This Row],[conversions]]*RANDBETWEEN(8,12)/10,0)</f>
        <v>44</v>
      </c>
      <c r="X96" s="4">
        <f ca="1">ROUND(_Google_ads[[#This Row],[conversion_value]]*RANDBETWEEN(8,12)/10,0)</f>
        <v>2450</v>
      </c>
      <c r="Y96" s="4">
        <f ca="1">_Google_ads[[#This Row],[ctr]]*RANDBETWEEN(8,12)/10</f>
        <v>5.7199999999999994E-2</v>
      </c>
      <c r="Z96" s="4">
        <f ca="1">_Google_ads[[#This Row],[avg_cpc]]*RANDBETWEEN(8,12)/10</f>
        <v>0.22800000000000004</v>
      </c>
      <c r="AA96" s="4">
        <f ca="1">ROUND(_Google_ads[[#This Row],[quality_score]]*RANDBETWEEN(8,12)/10,0)</f>
        <v>11</v>
      </c>
      <c r="AB96" s="4">
        <f ca="1">_Google_ads[[#This Row],[search_impression_share]]*RANDBETWEEN(8,12)/10</f>
        <v>1.0009999999999999</v>
      </c>
      <c r="AD96" s="3">
        <f t="shared" ca="1" si="11"/>
        <v>44994</v>
      </c>
      <c r="AE96" s="4" t="s">
        <v>100</v>
      </c>
      <c r="AF96" s="4" t="s">
        <v>101</v>
      </c>
      <c r="AG96" s="4" t="s">
        <v>102</v>
      </c>
      <c r="AH96" s="4" t="s">
        <v>103</v>
      </c>
      <c r="AI96" s="4">
        <f ca="1">ROUND(T_Tiktok_ads[[#This Row],[impressions]]*RANDBETWEEN(8,12)/10,0)</f>
        <v>306791</v>
      </c>
      <c r="AJ96" s="4">
        <f ca="1">ROUND(T_Tiktok_ads[[#This Row],[clicks]]*RANDBETWEEN(8,12)/10,0)</f>
        <v>4948</v>
      </c>
      <c r="AK96" s="4">
        <v>545.6</v>
      </c>
      <c r="AL96" s="4">
        <f ca="1">ROUND(T_Tiktok_ads[[#This Row],[conversions]]*RANDBETWEEN(8,12)/10,0)</f>
        <v>46</v>
      </c>
      <c r="AM96" s="4">
        <f ca="1">ROUND(T_Tiktok_ads[[#This Row],[video_views]]*RANDBETWEEN(8,12)/10,0)</f>
        <v>229234</v>
      </c>
      <c r="AN96" s="4">
        <f ca="1">ROUND(T_Tiktok_ads[[#This Row],[video_watch_25]]*RANDBETWEEN(8,12)/10,0)</f>
        <v>179234</v>
      </c>
      <c r="AO96" s="4">
        <f ca="1">ROUND(T_Tiktok_ads[[#This Row],[video_watch_50]]*RANDBETWEEN(8,12)/10,0)</f>
        <v>134681</v>
      </c>
      <c r="AP96" s="4">
        <f ca="1">ROUND(T_Tiktok_ads[[#This Row],[video_watch_75]]*RANDBETWEEN(8,12)/10,0)</f>
        <v>90814</v>
      </c>
      <c r="AQ96" s="4">
        <f ca="1">ROUND(T_Tiktok_ads[[#This Row],[video_watch_100]]*RANDBETWEEN(8,12)/10,0)</f>
        <v>55257</v>
      </c>
      <c r="AR96" s="4">
        <f ca="1">ROUND(T_Tiktok_ads[[#This Row],[likes]]*RANDBETWEEN(8,12)/10,0)</f>
        <v>12148</v>
      </c>
      <c r="AS96" s="4">
        <f ca="1">ROUND(T_Tiktok_ads[[#This Row],[shares]]*RANDBETWEEN(8,12)/10,0)</f>
        <v>2441</v>
      </c>
      <c r="AT96" s="4">
        <f ca="1">ROUND(T_Tiktok_ads[[#This Row],[comments]]*RANDBETWEEN(8,12)/10,0)</f>
        <v>645</v>
      </c>
      <c r="AV96" s="5">
        <f t="shared" ca="1" si="12"/>
        <v>44988</v>
      </c>
      <c r="AW96">
        <f t="shared" ca="1" si="13"/>
        <v>1</v>
      </c>
      <c r="AX96">
        <f ca="1">ROUND(T_Facebook_Ads115963[[#This Row],[impressions]]*RANDBETWEEN(8,12)/10,0)</f>
        <v>61029</v>
      </c>
      <c r="AY96">
        <f ca="1">ROUND(T_Facebook_Ads115963[[#This Row],[clicks]]*RANDBETWEEN(8,12)/10,0)</f>
        <v>841</v>
      </c>
      <c r="AZ96">
        <f ca="1">T_Facebook_Ads115963[[#This Row],[spend]]*RANDBETWEEN(8,12)/10</f>
        <v>132.46200000000002</v>
      </c>
      <c r="BA96">
        <f ca="1">ROUND(T_Facebook_Ads115963[[#This Row],[conversions]]*RANDBETWEEN(8,12)/10,0)</f>
        <v>17</v>
      </c>
      <c r="BB96">
        <f ca="1">ROUND(T_Facebook_Ads115963[[#This Row],[video_views]]*RANDBETWEEN(8,12)/10,0)</f>
        <v>9132</v>
      </c>
    </row>
    <row r="97" spans="1:54" ht="15.75" thickBot="1" x14ac:dyDescent="0.3">
      <c r="A97" s="3">
        <f t="shared" ca="1" si="9"/>
        <v>45007</v>
      </c>
      <c r="B97" s="4" t="s">
        <v>56</v>
      </c>
      <c r="C97" s="4" t="s">
        <v>57</v>
      </c>
      <c r="D97" s="4" t="s">
        <v>58</v>
      </c>
      <c r="E97" s="4" t="s">
        <v>59</v>
      </c>
      <c r="F97" s="4">
        <f ca="1">ROUND(T_Facebook_Ads[[#This Row],[impressions]]*RANDBETWEEN(8,12)/10,0)</f>
        <v>15080</v>
      </c>
      <c r="G97" s="4">
        <v>567</v>
      </c>
      <c r="H97" s="4">
        <f ca="1">T_Facebook_Ads[[#This Row],[spend]]*RANDBETWEEN(8,12)/10</f>
        <v>167.52</v>
      </c>
      <c r="I97" s="4">
        <f ca="1">ROUND(T_Facebook_Ads[[#This Row],[conversions]]*RANDBETWEEN(8,12)/10,0)</f>
        <v>40</v>
      </c>
      <c r="J97" s="4">
        <f ca="1">ROUND(T_Facebook_Ads[[#This Row],[video_views]]*RANDBETWEEN(8,12)/10,0)</f>
        <v>1520</v>
      </c>
      <c r="K97" s="4">
        <f ca="1">T_Facebook_Ads[[#This Row],[engagement_rate]]*RANDBETWEEN(8,12)/10</f>
        <v>4.9610000000000001E-2</v>
      </c>
      <c r="L97" s="4">
        <f ca="1">ROUND(T_Facebook_Ads[[#This Row],[reach]]*RANDBETWEEN(8,12)/10,0)</f>
        <v>8901</v>
      </c>
      <c r="M97" s="4">
        <f ca="1">T_Facebook_Ads[[#This Row],[frequency]]*RANDBETWEEN(8,12)/10</f>
        <v>1.016</v>
      </c>
      <c r="O97" s="3">
        <f t="shared" ca="1" si="10"/>
        <v>45009</v>
      </c>
      <c r="P97" s="4" t="s">
        <v>80</v>
      </c>
      <c r="Q97" s="4" t="s">
        <v>81</v>
      </c>
      <c r="R97" s="4" t="s">
        <v>82</v>
      </c>
      <c r="S97" s="4" t="s">
        <v>83</v>
      </c>
      <c r="T97" s="4">
        <f ca="1">ROUND(_Google_ads[[#This Row],[impressions]]*RANDBETWEEN(8,12)/10,0)</f>
        <v>41110</v>
      </c>
      <c r="U97" s="4">
        <f ca="1">ROUND(_Google_ads[[#This Row],[clicks]]*RANDBETWEEN(8,12)/10,0)</f>
        <v>991</v>
      </c>
      <c r="V97" s="4">
        <f ca="1">_Google_ads[[#This Row],[cost]]*RANDBETWEEN(8,12)/10</f>
        <v>584.5</v>
      </c>
      <c r="W97" s="4">
        <f ca="1">ROUND(_Google_ads[[#This Row],[conversions]]*RANDBETWEEN(8,12)/10,0)</f>
        <v>29</v>
      </c>
      <c r="X97" s="4">
        <f ca="1">ROUND(_Google_ads[[#This Row],[conversion_value]]*RANDBETWEEN(8,12)/10,0)</f>
        <v>1200</v>
      </c>
      <c r="Y97" s="4">
        <f ca="1">_Google_ads[[#This Row],[ctr]]*RANDBETWEEN(8,12)/10</f>
        <v>1.7729999999999999E-2</v>
      </c>
      <c r="Z97" s="4">
        <f ca="1">_Google_ads[[#This Row],[avg_cpc]]*RANDBETWEEN(8,12)/10</f>
        <v>0.71500000000000008</v>
      </c>
      <c r="AA97" s="4">
        <f ca="1">ROUND(_Google_ads[[#This Row],[quality_score]]*RANDBETWEEN(8,12)/10,0)</f>
        <v>6</v>
      </c>
      <c r="AB97" s="4">
        <f ca="1">_Google_ads[[#This Row],[search_impression_share]]*RANDBETWEEN(8,12)/10</f>
        <v>0.45</v>
      </c>
      <c r="AD97" s="3">
        <f t="shared" ca="1" si="11"/>
        <v>44994</v>
      </c>
      <c r="AE97" s="4" t="s">
        <v>104</v>
      </c>
      <c r="AF97" s="4" t="s">
        <v>105</v>
      </c>
      <c r="AG97" s="4" t="s">
        <v>106</v>
      </c>
      <c r="AH97" s="4" t="s">
        <v>107</v>
      </c>
      <c r="AI97" s="4">
        <f ca="1">ROUND(T_Tiktok_ads[[#This Row],[impressions]]*RANDBETWEEN(8,12)/10,0)</f>
        <v>122765</v>
      </c>
      <c r="AJ97" s="4">
        <f ca="1">ROUND(T_Tiktok_ads[[#This Row],[clicks]]*RANDBETWEEN(8,12)/10,0)</f>
        <v>2651</v>
      </c>
      <c r="AK97" s="4">
        <v>789.2</v>
      </c>
      <c r="AL97" s="4">
        <f ca="1">ROUND(T_Tiktok_ads[[#This Row],[conversions]]*RANDBETWEEN(8,12)/10,0)</f>
        <v>63</v>
      </c>
      <c r="AM97" s="4">
        <f ca="1">ROUND(T_Tiktok_ads[[#This Row],[video_views]]*RANDBETWEEN(8,12)/10,0)</f>
        <v>97101</v>
      </c>
      <c r="AN97" s="4">
        <f ca="1">ROUND(T_Tiktok_ads[[#This Row],[video_watch_25]]*RANDBETWEEN(8,12)/10,0)</f>
        <v>63654</v>
      </c>
      <c r="AO97" s="4">
        <f ca="1">ROUND(T_Tiktok_ads[[#This Row],[video_watch_50]]*RANDBETWEEN(8,12)/10,0)</f>
        <v>48310</v>
      </c>
      <c r="AP97" s="4">
        <f ca="1">ROUND(T_Tiktok_ads[[#This Row],[video_watch_75]]*RANDBETWEEN(8,12)/10,0)</f>
        <v>40234</v>
      </c>
      <c r="AQ97" s="4">
        <f ca="1">ROUND(T_Tiktok_ads[[#This Row],[video_watch_100]]*RANDBETWEEN(8,12)/10,0)</f>
        <v>26890</v>
      </c>
      <c r="AR97" s="4">
        <f ca="1">ROUND(T_Tiktok_ads[[#This Row],[likes]]*RANDBETWEEN(8,12)/10,0)</f>
        <v>5234</v>
      </c>
      <c r="AS97" s="4">
        <f ca="1">ROUND(T_Tiktok_ads[[#This Row],[shares]]*RANDBETWEEN(8,12)/10,0)</f>
        <v>1747</v>
      </c>
      <c r="AT97" s="4">
        <f ca="1">ROUND(T_Tiktok_ads[[#This Row],[comments]]*RANDBETWEEN(8,12)/10,0)</f>
        <v>222</v>
      </c>
      <c r="AV97" s="5">
        <f t="shared" ca="1" si="12"/>
        <v>45000</v>
      </c>
      <c r="AW97">
        <f t="shared" ca="1" si="13"/>
        <v>6</v>
      </c>
      <c r="AX97">
        <f ca="1">ROUND(T_Facebook_Ads115963[[#This Row],[impressions]]*RANDBETWEEN(8,12)/10,0)</f>
        <v>16588</v>
      </c>
      <c r="AY97">
        <f ca="1">ROUND(T_Facebook_Ads115963[[#This Row],[clicks]]*RANDBETWEEN(8,12)/10,0)</f>
        <v>680</v>
      </c>
      <c r="AZ97">
        <f ca="1">T_Facebook_Ads115963[[#This Row],[spend]]*RANDBETWEEN(8,12)/10</f>
        <v>201.02400000000003</v>
      </c>
      <c r="BA97">
        <f ca="1">ROUND(T_Facebook_Ads115963[[#This Row],[conversions]]*RANDBETWEEN(8,12)/10,0)</f>
        <v>36</v>
      </c>
      <c r="BB97">
        <f ca="1">ROUND(T_Facebook_Ads115963[[#This Row],[video_views]]*RANDBETWEEN(8,12)/10,0)</f>
        <v>1672</v>
      </c>
    </row>
    <row r="98" spans="1:54" ht="15.75" thickBot="1" x14ac:dyDescent="0.3">
      <c r="A98" s="3">
        <f t="shared" ref="A98:A111" ca="1" si="14">DATE(2023,3,RANDBETWEEN(1,31))</f>
        <v>44988</v>
      </c>
      <c r="B98" s="4" t="s">
        <v>60</v>
      </c>
      <c r="C98" s="4" t="s">
        <v>61</v>
      </c>
      <c r="D98" s="4" t="s">
        <v>62</v>
      </c>
      <c r="E98" s="4" t="s">
        <v>63</v>
      </c>
      <c r="F98" s="4">
        <f ca="1">ROUND(T_Facebook_Ads[[#This Row],[impressions]]*RANDBETWEEN(8,12)/10,0)</f>
        <v>43068</v>
      </c>
      <c r="G98" s="4">
        <v>1289</v>
      </c>
      <c r="H98" s="4">
        <f ca="1">T_Facebook_Ads[[#This Row],[spend]]*RANDBETWEEN(8,12)/10</f>
        <v>178.02</v>
      </c>
      <c r="I98" s="4">
        <f ca="1">ROUND(T_Facebook_Ads[[#This Row],[conversions]]*RANDBETWEEN(8,12)/10,0)</f>
        <v>22</v>
      </c>
      <c r="J98" s="4">
        <f ca="1">ROUND(T_Facebook_Ads[[#This Row],[video_views]]*RANDBETWEEN(8,12)/10,0)</f>
        <v>3654</v>
      </c>
      <c r="K98" s="4">
        <f ca="1">T_Facebook_Ads[[#This Row],[engagement_rate]]*RANDBETWEEN(8,12)/10</f>
        <v>3.9490000000000004E-2</v>
      </c>
      <c r="L98" s="4">
        <f ca="1">ROUND(T_Facebook_Ads[[#This Row],[reach]]*RANDBETWEEN(8,12)/10,0)</f>
        <v>23654</v>
      </c>
      <c r="M98" s="4">
        <f ca="1">T_Facebook_Ads[[#This Row],[frequency]]*RANDBETWEEN(8,12)/10</f>
        <v>1.452</v>
      </c>
      <c r="O98" s="3">
        <f t="shared" ref="O98:O111" ca="1" si="15">DATE(2023,3,RANDBETWEEN(1,31))</f>
        <v>45001</v>
      </c>
      <c r="P98" s="4" t="s">
        <v>84</v>
      </c>
      <c r="Q98" s="4" t="s">
        <v>85</v>
      </c>
      <c r="R98" s="4" t="s">
        <v>86</v>
      </c>
      <c r="S98" s="4" t="s">
        <v>87</v>
      </c>
      <c r="T98" s="4">
        <f ca="1">ROUND(_Google_ads[[#This Row],[impressions]]*RANDBETWEEN(8,12)/10,0)</f>
        <v>77135</v>
      </c>
      <c r="U98" s="4">
        <f ca="1">ROUND(_Google_ads[[#This Row],[clicks]]*RANDBETWEEN(8,12)/10,0)</f>
        <v>1885</v>
      </c>
      <c r="V98" s="4">
        <f ca="1">_Google_ads[[#This Row],[cost]]*RANDBETWEEN(8,12)/10</f>
        <v>388.08</v>
      </c>
      <c r="W98" s="4">
        <f ca="1">ROUND(_Google_ads[[#This Row],[conversions]]*RANDBETWEEN(8,12)/10,0)</f>
        <v>82</v>
      </c>
      <c r="X98" s="4">
        <f ca="1">ROUND(_Google_ads[[#This Row],[conversion_value]]*RANDBETWEEN(8,12)/10,0)</f>
        <v>2720</v>
      </c>
      <c r="Y98" s="4">
        <f ca="1">_Google_ads[[#This Row],[ctr]]*RANDBETWEEN(8,12)/10</f>
        <v>3.696E-2</v>
      </c>
      <c r="Z98" s="4">
        <f ca="1">_Google_ads[[#This Row],[avg_cpc]]*RANDBETWEEN(8,12)/10</f>
        <v>0.14399999999999999</v>
      </c>
      <c r="AA98" s="4">
        <f ca="1">ROUND(_Google_ads[[#This Row],[quality_score]]*RANDBETWEEN(8,12)/10,0)</f>
        <v>8</v>
      </c>
      <c r="AB98" s="4">
        <f ca="1">_Google_ads[[#This Row],[search_impression_share]]*RANDBETWEEN(8,12)/10</f>
        <v>0.68</v>
      </c>
      <c r="AD98" s="3">
        <f t="shared" ref="AD98:AD111" ca="1" si="16">DATE(2023,3,RANDBETWEEN(1,31))</f>
        <v>45009</v>
      </c>
      <c r="AE98" s="4" t="s">
        <v>108</v>
      </c>
      <c r="AF98" s="4" t="s">
        <v>109</v>
      </c>
      <c r="AG98" s="4" t="s">
        <v>110</v>
      </c>
      <c r="AH98" s="4" t="s">
        <v>111</v>
      </c>
      <c r="AI98" s="4">
        <f ca="1">ROUND(T_Tiktok_ads[[#This Row],[impressions]]*RANDBETWEEN(8,12)/10,0)</f>
        <v>284147</v>
      </c>
      <c r="AJ98" s="4">
        <f ca="1">ROUND(T_Tiktok_ads[[#This Row],[clicks]]*RANDBETWEEN(8,12)/10,0)</f>
        <v>4481</v>
      </c>
      <c r="AK98" s="4">
        <v>456.8</v>
      </c>
      <c r="AL98" s="4">
        <f ca="1">ROUND(T_Tiktok_ads[[#This Row],[conversions]]*RANDBETWEEN(8,12)/10,0)</f>
        <v>36</v>
      </c>
      <c r="AM98" s="4">
        <f ca="1">ROUND(T_Tiktok_ads[[#This Row],[video_views]]*RANDBETWEEN(8,12)/10,0)</f>
        <v>206679</v>
      </c>
      <c r="AN98" s="4">
        <f ca="1">ROUND(T_Tiktok_ads[[#This Row],[video_watch_25]]*RANDBETWEEN(8,12)/10,0)</f>
        <v>156580</v>
      </c>
      <c r="AO98" s="4">
        <f ca="1">ROUND(T_Tiktok_ads[[#This Row],[video_watch_50]]*RANDBETWEEN(8,12)/10,0)</f>
        <v>89876</v>
      </c>
      <c r="AP98" s="4">
        <f ca="1">ROUND(T_Tiktok_ads[[#This Row],[video_watch_75]]*RANDBETWEEN(8,12)/10,0)</f>
        <v>86814</v>
      </c>
      <c r="AQ98" s="4">
        <f ca="1">ROUND(T_Tiktok_ads[[#This Row],[video_watch_100]]*RANDBETWEEN(8,12)/10,0)</f>
        <v>43789</v>
      </c>
      <c r="AR98" s="4">
        <f ca="1">ROUND(T_Tiktok_ads[[#This Row],[likes]]*RANDBETWEEN(8,12)/10,0)</f>
        <v>9302</v>
      </c>
      <c r="AS98" s="4">
        <f ca="1">ROUND(T_Tiktok_ads[[#This Row],[shares]]*RANDBETWEEN(8,12)/10,0)</f>
        <v>2494</v>
      </c>
      <c r="AT98" s="4">
        <f ca="1">ROUND(T_Tiktok_ads[[#This Row],[comments]]*RANDBETWEEN(8,12)/10,0)</f>
        <v>600</v>
      </c>
      <c r="AV98" s="5">
        <f t="shared" ref="AV98:AV111" ca="1" si="17">DATE(2023,3,RANDBETWEEN(1,31))</f>
        <v>44993</v>
      </c>
      <c r="AW98">
        <f t="shared" ca="1" si="13"/>
        <v>5</v>
      </c>
      <c r="AX98">
        <f ca="1">ROUND(T_Facebook_Ads115963[[#This Row],[impressions]]*RANDBETWEEN(8,12)/10,0)</f>
        <v>38761</v>
      </c>
      <c r="AY98">
        <f ca="1">ROUND(T_Facebook_Ads115963[[#This Row],[clicks]]*RANDBETWEEN(8,12)/10,0)</f>
        <v>1031</v>
      </c>
      <c r="AZ98">
        <f ca="1">T_Facebook_Ads115963[[#This Row],[spend]]*RANDBETWEEN(8,12)/10</f>
        <v>213.62400000000002</v>
      </c>
      <c r="BA98">
        <f ca="1">ROUND(T_Facebook_Ads115963[[#This Row],[conversions]]*RANDBETWEEN(8,12)/10,0)</f>
        <v>26</v>
      </c>
      <c r="BB98">
        <f ca="1">ROUND(T_Facebook_Ads115963[[#This Row],[video_views]]*RANDBETWEEN(8,12)/10,0)</f>
        <v>3654</v>
      </c>
    </row>
    <row r="99" spans="1:54" ht="15.75" thickBot="1" x14ac:dyDescent="0.3">
      <c r="A99" s="3">
        <f t="shared" ca="1" si="14"/>
        <v>45015</v>
      </c>
      <c r="B99" s="4" t="s">
        <v>64</v>
      </c>
      <c r="C99" s="4" t="s">
        <v>65</v>
      </c>
      <c r="D99" s="4" t="s">
        <v>66</v>
      </c>
      <c r="E99" s="4" t="s">
        <v>67</v>
      </c>
      <c r="F99" s="4">
        <f ca="1">ROUND(T_Facebook_Ads[[#This Row],[impressions]]*RANDBETWEEN(8,12)/10,0)</f>
        <v>61411</v>
      </c>
      <c r="G99" s="4">
        <v>245</v>
      </c>
      <c r="H99" s="4">
        <f ca="1">T_Facebook_Ads[[#This Row],[spend]]*RANDBETWEEN(8,12)/10</f>
        <v>68.72</v>
      </c>
      <c r="I99" s="4">
        <f ca="1">ROUND(T_Facebook_Ads[[#This Row],[conversions]]*RANDBETWEEN(8,12)/10,0)</f>
        <v>6</v>
      </c>
      <c r="J99" s="4">
        <f ca="1">ROUND(T_Facebook_Ads[[#This Row],[video_views]]*RANDBETWEEN(8,12)/10,0)</f>
        <v>36542</v>
      </c>
      <c r="K99" s="4">
        <f ca="1">T_Facebook_Ads[[#This Row],[engagement_rate]]*RANDBETWEEN(8,12)/10</f>
        <v>3.2399999999999998E-3</v>
      </c>
      <c r="L99" s="4">
        <f ca="1">ROUND(T_Facebook_Ads[[#This Row],[reach]]*RANDBETWEEN(8,12)/10,0)</f>
        <v>44712</v>
      </c>
      <c r="M99" s="4">
        <f ca="1">T_Facebook_Ads[[#This Row],[frequency]]*RANDBETWEEN(8,12)/10</f>
        <v>1.0980000000000001</v>
      </c>
      <c r="O99" s="3">
        <f t="shared" ca="1" si="15"/>
        <v>45015</v>
      </c>
      <c r="P99" s="4" t="s">
        <v>88</v>
      </c>
      <c r="Q99" s="4" t="s">
        <v>89</v>
      </c>
      <c r="R99" s="4" t="s">
        <v>90</v>
      </c>
      <c r="S99" s="4" t="s">
        <v>59</v>
      </c>
      <c r="T99" s="4">
        <f ca="1">ROUND(_Google_ads[[#This Row],[impressions]]*RANDBETWEEN(8,12)/10,0)</f>
        <v>148379</v>
      </c>
      <c r="U99" s="4">
        <f ca="1">ROUND(_Google_ads[[#This Row],[clicks]]*RANDBETWEEN(8,12)/10,0)</f>
        <v>440</v>
      </c>
      <c r="V99" s="4">
        <f ca="1">_Google_ads[[#This Row],[cost]]*RANDBETWEEN(8,12)/10</f>
        <v>145.96999999999997</v>
      </c>
      <c r="W99" s="4">
        <f ca="1">ROUND(_Google_ads[[#This Row],[conversions]]*RANDBETWEEN(8,12)/10,0)</f>
        <v>14</v>
      </c>
      <c r="X99" s="4">
        <f ca="1">ROUND(_Google_ads[[#This Row],[conversion_value]]*RANDBETWEEN(8,12)/10,0)</f>
        <v>700</v>
      </c>
      <c r="Y99" s="4">
        <f ca="1">_Google_ads[[#This Row],[ctr]]*RANDBETWEEN(8,12)/10</f>
        <v>3.2399999999999998E-3</v>
      </c>
      <c r="Z99" s="4">
        <f ca="1">_Google_ads[[#This Row],[avg_cpc]]*RANDBETWEEN(8,12)/10</f>
        <v>0.24300000000000002</v>
      </c>
      <c r="AA99" s="4">
        <f ca="1">ROUND(_Google_ads[[#This Row],[quality_score]]*RANDBETWEEN(8,12)/10,0)</f>
        <v>8</v>
      </c>
      <c r="AB99" s="4">
        <f ca="1">_Google_ads[[#This Row],[search_impression_share]]*RANDBETWEEN(8,12)/10</f>
        <v>0.38499999999999995</v>
      </c>
      <c r="AD99" s="3">
        <f t="shared" ca="1" si="16"/>
        <v>45009</v>
      </c>
      <c r="AE99" s="4" t="s">
        <v>112</v>
      </c>
      <c r="AF99" s="4" t="s">
        <v>113</v>
      </c>
      <c r="AG99" s="4" t="s">
        <v>114</v>
      </c>
      <c r="AH99" s="4" t="s">
        <v>115</v>
      </c>
      <c r="AI99" s="4">
        <f ca="1">ROUND(T_Tiktok_ads[[#This Row],[impressions]]*RANDBETWEEN(8,12)/10,0)</f>
        <v>465802</v>
      </c>
      <c r="AJ99" s="4">
        <f ca="1">ROUND(T_Tiktok_ads[[#This Row],[clicks]]*RANDBETWEEN(8,12)/10,0)</f>
        <v>6110</v>
      </c>
      <c r="AK99" s="4">
        <v>1034.5</v>
      </c>
      <c r="AL99" s="4">
        <f ca="1">ROUND(T_Tiktok_ads[[#This Row],[conversions]]*RANDBETWEEN(8,12)/10,0)</f>
        <v>94</v>
      </c>
      <c r="AM99" s="4">
        <f ca="1">ROUND(T_Tiktok_ads[[#This Row],[video_views]]*RANDBETWEEN(8,12)/10,0)</f>
        <v>428147</v>
      </c>
      <c r="AN99" s="4">
        <f ca="1">ROUND(T_Tiktok_ads[[#This Row],[video_watch_25]]*RANDBETWEEN(8,12)/10,0)</f>
        <v>315957</v>
      </c>
      <c r="AO99" s="4">
        <f ca="1">ROUND(T_Tiktok_ads[[#This Row],[video_watch_50]]*RANDBETWEEN(8,12)/10,0)</f>
        <v>206311</v>
      </c>
      <c r="AP99" s="4">
        <f ca="1">ROUND(T_Tiktok_ads[[#This Row],[video_watch_75]]*RANDBETWEEN(8,12)/10,0)</f>
        <v>146111</v>
      </c>
      <c r="AQ99" s="4">
        <f ca="1">ROUND(T_Tiktok_ads[[#This Row],[video_watch_100]]*RANDBETWEEN(8,12)/10,0)</f>
        <v>107890</v>
      </c>
      <c r="AR99" s="4">
        <f ca="1">ROUND(T_Tiktok_ads[[#This Row],[likes]]*RANDBETWEEN(8,12)/10,0)</f>
        <v>15005</v>
      </c>
      <c r="AS99" s="4">
        <f ca="1">ROUND(T_Tiktok_ads[[#This Row],[shares]]*RANDBETWEEN(8,12)/10,0)</f>
        <v>5345</v>
      </c>
      <c r="AT99" s="4">
        <f ca="1">ROUND(T_Tiktok_ads[[#This Row],[comments]]*RANDBETWEEN(8,12)/10,0)</f>
        <v>1747</v>
      </c>
      <c r="AV99" s="5">
        <f t="shared" ca="1" si="17"/>
        <v>45003</v>
      </c>
      <c r="AW99">
        <f t="shared" ca="1" si="13"/>
        <v>6</v>
      </c>
      <c r="AX99">
        <f ca="1">ROUND(T_Facebook_Ads115963[[#This Row],[impressions]]*RANDBETWEEN(8,12)/10,0)</f>
        <v>61411</v>
      </c>
      <c r="AY99">
        <f ca="1">ROUND(T_Facebook_Ads115963[[#This Row],[clicks]]*RANDBETWEEN(8,12)/10,0)</f>
        <v>294</v>
      </c>
      <c r="AZ99">
        <f ca="1">T_Facebook_Ads115963[[#This Row],[spend]]*RANDBETWEEN(8,12)/10</f>
        <v>61.847999999999999</v>
      </c>
      <c r="BA99">
        <f ca="1">ROUND(T_Facebook_Ads115963[[#This Row],[conversions]]*RANDBETWEEN(8,12)/10,0)</f>
        <v>5</v>
      </c>
      <c r="BB99">
        <f ca="1">ROUND(T_Facebook_Ads115963[[#This Row],[video_views]]*RANDBETWEEN(8,12)/10,0)</f>
        <v>29234</v>
      </c>
    </row>
    <row r="100" spans="1:54" ht="15.75" thickBot="1" x14ac:dyDescent="0.3">
      <c r="A100" s="3">
        <f t="shared" ca="1" si="14"/>
        <v>44998</v>
      </c>
      <c r="B100" s="4" t="s">
        <v>52</v>
      </c>
      <c r="C100" s="4" t="s">
        <v>53</v>
      </c>
      <c r="D100" s="4" t="s">
        <v>54</v>
      </c>
      <c r="E100" s="4" t="s">
        <v>55</v>
      </c>
      <c r="F100" s="4">
        <f ca="1">ROUND(T_Facebook_Ads[[#This Row],[impressions]]*RANDBETWEEN(8,12)/10,0)</f>
        <v>53480</v>
      </c>
      <c r="G100" s="4">
        <v>890</v>
      </c>
      <c r="H100" s="4">
        <f ca="1">T_Facebook_Ads[[#This Row],[spend]]*RANDBETWEEN(8,12)/10</f>
        <v>114.83999999999999</v>
      </c>
      <c r="I100" s="4">
        <f ca="1">ROUND(T_Facebook_Ads[[#This Row],[conversions]]*RANDBETWEEN(8,12)/10,0)</f>
        <v>14</v>
      </c>
      <c r="J100" s="4">
        <f ca="1">ROUND(T_Facebook_Ads[[#This Row],[video_views]]*RANDBETWEEN(8,12)/10,0)</f>
        <v>8123</v>
      </c>
      <c r="K100" s="4">
        <f ca="1">T_Facebook_Ads[[#This Row],[engagement_rate]]*RANDBETWEEN(8,12)/10</f>
        <v>0.02</v>
      </c>
      <c r="L100" s="4">
        <f ca="1">ROUND(T_Facebook_Ads[[#This Row],[reach]]*RANDBETWEEN(8,12)/10,0)</f>
        <v>33710</v>
      </c>
      <c r="M100" s="4">
        <f ca="1">T_Facebook_Ads[[#This Row],[frequency]]*RANDBETWEEN(8,12)/10</f>
        <v>1.071</v>
      </c>
      <c r="O100" s="3">
        <f t="shared" ca="1" si="15"/>
        <v>45008</v>
      </c>
      <c r="P100" s="4" t="s">
        <v>76</v>
      </c>
      <c r="Q100" s="4" t="s">
        <v>77</v>
      </c>
      <c r="R100" s="4" t="s">
        <v>78</v>
      </c>
      <c r="S100" s="4" t="s">
        <v>79</v>
      </c>
      <c r="T100" s="4">
        <f ca="1">ROUND(_Google_ads[[#This Row],[impressions]]*RANDBETWEEN(8,12)/10,0)</f>
        <v>21210</v>
      </c>
      <c r="U100" s="4">
        <f ca="1">ROUND(_Google_ads[[#This Row],[clicks]]*RANDBETWEEN(8,12)/10,0)</f>
        <v>1427</v>
      </c>
      <c r="V100" s="4">
        <f ca="1">_Google_ads[[#This Row],[cost]]*RANDBETWEEN(8,12)/10</f>
        <v>272.16000000000003</v>
      </c>
      <c r="W100" s="4">
        <f ca="1">ROUND(_Google_ads[[#This Row],[conversions]]*RANDBETWEEN(8,12)/10,0)</f>
        <v>40</v>
      </c>
      <c r="X100" s="4">
        <f ca="1">ROUND(_Google_ads[[#This Row],[conversion_value]]*RANDBETWEEN(8,12)/10,0)</f>
        <v>1760</v>
      </c>
      <c r="Y100" s="4">
        <f ca="1">_Google_ads[[#This Row],[ctr]]*RANDBETWEEN(8,12)/10</f>
        <v>5.0500000000000003E-2</v>
      </c>
      <c r="Z100" s="4">
        <f ca="1">_Google_ads[[#This Row],[avg_cpc]]*RANDBETWEEN(8,12)/10</f>
        <v>0.22800000000000004</v>
      </c>
      <c r="AA100" s="4">
        <f ca="1">ROUND(_Google_ads[[#This Row],[quality_score]]*RANDBETWEEN(8,12)/10,0)</f>
        <v>11</v>
      </c>
      <c r="AB100" s="4">
        <f ca="1">_Google_ads[[#This Row],[search_impression_share]]*RANDBETWEEN(8,12)/10</f>
        <v>0.72</v>
      </c>
      <c r="AD100" s="3">
        <f t="shared" ca="1" si="16"/>
        <v>45014</v>
      </c>
      <c r="AE100" s="4" t="s">
        <v>100</v>
      </c>
      <c r="AF100" s="4" t="s">
        <v>101</v>
      </c>
      <c r="AG100" s="4" t="s">
        <v>102</v>
      </c>
      <c r="AH100" s="4" t="s">
        <v>103</v>
      </c>
      <c r="AI100" s="4">
        <f ca="1">ROUND(T_Tiktok_ads[[#This Row],[impressions]]*RANDBETWEEN(8,12)/10,0)</f>
        <v>321468</v>
      </c>
      <c r="AJ100" s="4">
        <f ca="1">ROUND(T_Tiktok_ads[[#This Row],[clicks]]*RANDBETWEEN(8,12)/10,0)</f>
        <v>3945</v>
      </c>
      <c r="AK100" s="4">
        <v>501.2</v>
      </c>
      <c r="AL100" s="4">
        <f ca="1">ROUND(T_Tiktok_ads[[#This Row],[conversions]]*RANDBETWEEN(8,12)/10,0)</f>
        <v>40</v>
      </c>
      <c r="AM100" s="4">
        <f ca="1">ROUND(T_Tiktok_ads[[#This Row],[video_views]]*RANDBETWEEN(8,12)/10,0)</f>
        <v>199111</v>
      </c>
      <c r="AN100" s="4">
        <f ca="1">ROUND(T_Tiktok_ads[[#This Row],[video_watch_25]]*RANDBETWEEN(8,12)/10,0)</f>
        <v>208147</v>
      </c>
      <c r="AO100" s="4">
        <f ca="1">ROUND(T_Tiktok_ads[[#This Row],[video_watch_50]]*RANDBETWEEN(8,12)/10,0)</f>
        <v>131081</v>
      </c>
      <c r="AP100" s="4">
        <f ca="1">ROUND(T_Tiktok_ads[[#This Row],[video_watch_75]]*RANDBETWEEN(8,12)/10,0)</f>
        <v>66210</v>
      </c>
      <c r="AQ100" s="4">
        <f ca="1">ROUND(T_Tiktok_ads[[#This Row],[video_watch_100]]*RANDBETWEEN(8,12)/10,0)</f>
        <v>44311</v>
      </c>
      <c r="AR100" s="4">
        <f ca="1">ROUND(T_Tiktok_ads[[#This Row],[likes]]*RANDBETWEEN(8,12)/10,0)</f>
        <v>11747</v>
      </c>
      <c r="AS100" s="4">
        <f ca="1">ROUND(T_Tiktok_ads[[#This Row],[shares]]*RANDBETWEEN(8,12)/10,0)</f>
        <v>2371</v>
      </c>
      <c r="AT100" s="4">
        <f ca="1">ROUND(T_Tiktok_ads[[#This Row],[comments]]*RANDBETWEEN(8,12)/10,0)</f>
        <v>561</v>
      </c>
      <c r="AV100" s="5">
        <f t="shared" ca="1" si="17"/>
        <v>45000</v>
      </c>
      <c r="AW100">
        <f t="shared" ca="1" si="13"/>
        <v>3</v>
      </c>
      <c r="AX100">
        <f ca="1">ROUND(T_Facebook_Ads115963[[#This Row],[impressions]]*RANDBETWEEN(8,12)/10,0)</f>
        <v>42784</v>
      </c>
      <c r="AY100">
        <f ca="1">ROUND(T_Facebook_Ads115963[[#This Row],[clicks]]*RANDBETWEEN(8,12)/10,0)</f>
        <v>801</v>
      </c>
      <c r="AZ100">
        <f ca="1">T_Facebook_Ads115963[[#This Row],[spend]]*RANDBETWEEN(8,12)/10</f>
        <v>126.32399999999998</v>
      </c>
      <c r="BA100">
        <f ca="1">ROUND(T_Facebook_Ads115963[[#This Row],[conversions]]*RANDBETWEEN(8,12)/10,0)</f>
        <v>15</v>
      </c>
      <c r="BB100">
        <f ca="1">ROUND(T_Facebook_Ads115963[[#This Row],[video_views]]*RANDBETWEEN(8,12)/10,0)</f>
        <v>8935</v>
      </c>
    </row>
    <row r="101" spans="1:54" ht="15.75" thickBot="1" x14ac:dyDescent="0.3">
      <c r="A101" s="3">
        <f t="shared" ca="1" si="14"/>
        <v>45010</v>
      </c>
      <c r="B101" s="4" t="s">
        <v>56</v>
      </c>
      <c r="C101" s="4" t="s">
        <v>57</v>
      </c>
      <c r="D101" s="4" t="s">
        <v>58</v>
      </c>
      <c r="E101" s="4" t="s">
        <v>59</v>
      </c>
      <c r="F101" s="4">
        <f ca="1">ROUND(T_Facebook_Ads[[#This Row],[impressions]]*RANDBETWEEN(8,12)/10,0)</f>
        <v>11456</v>
      </c>
      <c r="G101" s="4">
        <v>523</v>
      </c>
      <c r="H101" s="4">
        <f ca="1">T_Facebook_Ads[[#This Row],[spend]]*RANDBETWEEN(8,12)/10</f>
        <v>153.84</v>
      </c>
      <c r="I101" s="4">
        <f ca="1">ROUND(T_Facebook_Ads[[#This Row],[conversions]]*RANDBETWEEN(8,12)/10,0)</f>
        <v>33</v>
      </c>
      <c r="J101" s="4">
        <f ca="1">ROUND(T_Facebook_Ads[[#This Row],[video_views]]*RANDBETWEEN(8,12)/10,0)</f>
        <v>1198</v>
      </c>
      <c r="K101" s="4">
        <f ca="1">T_Facebook_Ads[[#This Row],[engagement_rate]]*RANDBETWEEN(8,12)/10</f>
        <v>4.5699999999999998E-2</v>
      </c>
      <c r="L101" s="4">
        <f ca="1">ROUND(T_Facebook_Ads[[#This Row],[reach]]*RANDBETWEEN(8,12)/10,0)</f>
        <v>8070</v>
      </c>
      <c r="M101" s="4">
        <f ca="1">T_Facebook_Ads[[#This Row],[frequency]]*RANDBETWEEN(8,12)/10</f>
        <v>1.4079999999999999</v>
      </c>
      <c r="O101" s="3">
        <f t="shared" ca="1" si="15"/>
        <v>45009</v>
      </c>
      <c r="P101" s="4" t="s">
        <v>80</v>
      </c>
      <c r="Q101" s="4" t="s">
        <v>81</v>
      </c>
      <c r="R101" s="4" t="s">
        <v>82</v>
      </c>
      <c r="S101" s="4" t="s">
        <v>83</v>
      </c>
      <c r="T101" s="4">
        <f ca="1">ROUND(_Google_ads[[#This Row],[impressions]]*RANDBETWEEN(8,12)/10,0)</f>
        <v>47179</v>
      </c>
      <c r="U101" s="4">
        <f ca="1">ROUND(_Google_ads[[#This Row],[clicks]]*RANDBETWEEN(8,12)/10,0)</f>
        <v>667</v>
      </c>
      <c r="V101" s="4">
        <f ca="1">_Google_ads[[#This Row],[cost]]*RANDBETWEEN(8,12)/10</f>
        <v>549.29999999999995</v>
      </c>
      <c r="W101" s="4">
        <f ca="1">ROUND(_Google_ads[[#This Row],[conversions]]*RANDBETWEEN(8,12)/10,0)</f>
        <v>17</v>
      </c>
      <c r="X101" s="4">
        <f ca="1">ROUND(_Google_ads[[#This Row],[conversion_value]]*RANDBETWEEN(8,12)/10,0)</f>
        <v>1260</v>
      </c>
      <c r="Y101" s="4">
        <f ca="1">_Google_ads[[#This Row],[ctr]]*RANDBETWEEN(8,12)/10</f>
        <v>1.95E-2</v>
      </c>
      <c r="Z101" s="4">
        <f ca="1">_Google_ads[[#This Row],[avg_cpc]]*RANDBETWEEN(8,12)/10</f>
        <v>0.72600000000000009</v>
      </c>
      <c r="AA101" s="4">
        <f ca="1">ROUND(_Google_ads[[#This Row],[quality_score]]*RANDBETWEEN(8,12)/10,0)</f>
        <v>7</v>
      </c>
      <c r="AB101" s="4">
        <f ca="1">_Google_ads[[#This Row],[search_impression_share]]*RANDBETWEEN(8,12)/10</f>
        <v>0.38700000000000001</v>
      </c>
      <c r="AD101" s="3">
        <f t="shared" ca="1" si="16"/>
        <v>45009</v>
      </c>
      <c r="AE101" s="4" t="s">
        <v>104</v>
      </c>
      <c r="AF101" s="4" t="s">
        <v>105</v>
      </c>
      <c r="AG101" s="4" t="s">
        <v>106</v>
      </c>
      <c r="AH101" s="4" t="s">
        <v>107</v>
      </c>
      <c r="AI101" s="4">
        <f ca="1">ROUND(T_Tiktok_ads[[#This Row],[impressions]]*RANDBETWEEN(8,12)/10,0)</f>
        <v>163791</v>
      </c>
      <c r="AJ101" s="4">
        <f ca="1">ROUND(T_Tiktok_ads[[#This Row],[clicks]]*RANDBETWEEN(8,12)/10,0)</f>
        <v>2834</v>
      </c>
      <c r="AK101" s="4">
        <v>756.7</v>
      </c>
      <c r="AL101" s="4">
        <f ca="1">ROUND(T_Tiktok_ads[[#This Row],[conversions]]*RANDBETWEEN(8,12)/10,0)</f>
        <v>68</v>
      </c>
      <c r="AM101" s="4">
        <f ca="1">ROUND(T_Tiktok_ads[[#This Row],[video_views]]*RANDBETWEEN(8,12)/10,0)</f>
        <v>111357</v>
      </c>
      <c r="AN101" s="4">
        <f ca="1">ROUND(T_Tiktok_ads[[#This Row],[video_watch_25]]*RANDBETWEEN(8,12)/10,0)</f>
        <v>82024</v>
      </c>
      <c r="AO101" s="4">
        <f ca="1">ROUND(T_Tiktok_ads[[#This Row],[video_watch_50]]*RANDBETWEEN(8,12)/10,0)</f>
        <v>45211</v>
      </c>
      <c r="AP101" s="4">
        <f ca="1">ROUND(T_Tiktok_ads[[#This Row],[video_watch_75]]*RANDBETWEEN(8,12)/10,0)</f>
        <v>30312</v>
      </c>
      <c r="AQ101" s="4">
        <f ca="1">ROUND(T_Tiktok_ads[[#This Row],[video_watch_100]]*RANDBETWEEN(8,12)/10,0)</f>
        <v>22711</v>
      </c>
      <c r="AR101" s="4">
        <f ca="1">ROUND(T_Tiktok_ads[[#This Row],[likes]]*RANDBETWEEN(8,12)/10,0)</f>
        <v>5012</v>
      </c>
      <c r="AS101" s="4">
        <f ca="1">ROUND(T_Tiktok_ads[[#This Row],[shares]]*RANDBETWEEN(8,12)/10,0)</f>
        <v>1281</v>
      </c>
      <c r="AT101" s="4">
        <f ca="1">ROUND(T_Tiktok_ads[[#This Row],[comments]]*RANDBETWEEN(8,12)/10,0)</f>
        <v>240</v>
      </c>
      <c r="AV101" s="5">
        <f t="shared" ca="1" si="17"/>
        <v>45000</v>
      </c>
      <c r="AW101">
        <f t="shared" ca="1" si="13"/>
        <v>3</v>
      </c>
      <c r="AX101">
        <f ca="1">ROUND(T_Facebook_Ads115963[[#This Row],[impressions]]*RANDBETWEEN(8,12)/10,0)</f>
        <v>12602</v>
      </c>
      <c r="AY101">
        <f ca="1">ROUND(T_Facebook_Ads115963[[#This Row],[clicks]]*RANDBETWEEN(8,12)/10,0)</f>
        <v>628</v>
      </c>
      <c r="AZ101">
        <f ca="1">T_Facebook_Ads115963[[#This Row],[spend]]*RANDBETWEEN(8,12)/10</f>
        <v>138.45599999999999</v>
      </c>
      <c r="BA101">
        <f ca="1">ROUND(T_Facebook_Ads115963[[#This Row],[conversions]]*RANDBETWEEN(8,12)/10,0)</f>
        <v>26</v>
      </c>
      <c r="BB101">
        <f ca="1">ROUND(T_Facebook_Ads115963[[#This Row],[video_views]]*RANDBETWEEN(8,12)/10,0)</f>
        <v>1318</v>
      </c>
    </row>
    <row r="102" spans="1:54" ht="15.75" thickBot="1" x14ac:dyDescent="0.3">
      <c r="A102" s="3">
        <f t="shared" ca="1" si="14"/>
        <v>45015</v>
      </c>
      <c r="B102" s="4" t="s">
        <v>60</v>
      </c>
      <c r="C102" s="4" t="s">
        <v>61</v>
      </c>
      <c r="D102" s="4" t="s">
        <v>62</v>
      </c>
      <c r="E102" s="4" t="s">
        <v>63</v>
      </c>
      <c r="F102" s="4">
        <f ca="1">ROUND(T_Facebook_Ads[[#This Row],[impressions]]*RANDBETWEEN(8,12)/10,0)</f>
        <v>36924</v>
      </c>
      <c r="G102" s="4">
        <v>1203</v>
      </c>
      <c r="H102" s="4">
        <f ca="1">T_Facebook_Ads[[#This Row],[spend]]*RANDBETWEEN(8,12)/10</f>
        <v>221.4</v>
      </c>
      <c r="I102" s="4">
        <f ca="1">ROUND(T_Facebook_Ads[[#This Row],[conversions]]*RANDBETWEEN(8,12)/10,0)</f>
        <v>28</v>
      </c>
      <c r="J102" s="4">
        <f ca="1">ROUND(T_Facebook_Ads[[#This Row],[video_views]]*RANDBETWEEN(8,12)/10,0)</f>
        <v>4535</v>
      </c>
      <c r="K102" s="4">
        <f ca="1">T_Facebook_Ads[[#This Row],[engagement_rate]]*RANDBETWEEN(8,12)/10</f>
        <v>4.2959999999999998E-2</v>
      </c>
      <c r="L102" s="4">
        <f ca="1">ROUND(T_Facebook_Ads[[#This Row],[reach]]*RANDBETWEEN(8,12)/10,0)</f>
        <v>30679</v>
      </c>
      <c r="M102" s="4">
        <f ca="1">T_Facebook_Ads[[#This Row],[frequency]]*RANDBETWEEN(8,12)/10</f>
        <v>0.96</v>
      </c>
      <c r="O102" s="3">
        <f t="shared" ca="1" si="15"/>
        <v>44994</v>
      </c>
      <c r="P102" s="4" t="s">
        <v>84</v>
      </c>
      <c r="Q102" s="4" t="s">
        <v>85</v>
      </c>
      <c r="R102" s="4" t="s">
        <v>86</v>
      </c>
      <c r="S102" s="4" t="s">
        <v>87</v>
      </c>
      <c r="T102" s="4">
        <f ca="1">ROUND(_Google_ads[[#This Row],[impressions]]*RANDBETWEEN(8,12)/10,0)</f>
        <v>66234</v>
      </c>
      <c r="U102" s="4">
        <f ca="1">ROUND(_Google_ads[[#This Row],[clicks]]*RANDBETWEEN(8,12)/10,0)</f>
        <v>2167</v>
      </c>
      <c r="V102" s="4">
        <f ca="1">_Google_ads[[#This Row],[cost]]*RANDBETWEEN(8,12)/10</f>
        <v>474.96000000000004</v>
      </c>
      <c r="W102" s="4">
        <f ca="1">ROUND(_Google_ads[[#This Row],[conversions]]*RANDBETWEEN(8,12)/10,0)</f>
        <v>67</v>
      </c>
      <c r="X102" s="4">
        <f ca="1">ROUND(_Google_ads[[#This Row],[conversion_value]]*RANDBETWEEN(8,12)/10,0)</f>
        <v>2745</v>
      </c>
      <c r="Y102" s="4">
        <f ca="1">_Google_ads[[#This Row],[ctr]]*RANDBETWEEN(8,12)/10</f>
        <v>3.27E-2</v>
      </c>
      <c r="Z102" s="4">
        <f ca="1">_Google_ads[[#This Row],[avg_cpc]]*RANDBETWEEN(8,12)/10</f>
        <v>0.14399999999999999</v>
      </c>
      <c r="AA102" s="4">
        <f ca="1">ROUND(_Google_ads[[#This Row],[quality_score]]*RANDBETWEEN(8,12)/10,0)</f>
        <v>8</v>
      </c>
      <c r="AB102" s="4">
        <f ca="1">_Google_ads[[#This Row],[search_impression_share]]*RANDBETWEEN(8,12)/10</f>
        <v>0.59400000000000008</v>
      </c>
      <c r="AD102" s="3">
        <f t="shared" ca="1" si="16"/>
        <v>45004</v>
      </c>
      <c r="AE102" s="4" t="s">
        <v>108</v>
      </c>
      <c r="AF102" s="4" t="s">
        <v>109</v>
      </c>
      <c r="AG102" s="4" t="s">
        <v>110</v>
      </c>
      <c r="AH102" s="4" t="s">
        <v>111</v>
      </c>
      <c r="AI102" s="4">
        <f ca="1">ROUND(T_Tiktok_ads[[#This Row],[impressions]]*RANDBETWEEN(8,12)/10,0)</f>
        <v>245802</v>
      </c>
      <c r="AJ102" s="4">
        <f ca="1">ROUND(T_Tiktok_ads[[#This Row],[clicks]]*RANDBETWEEN(8,12)/10,0)</f>
        <v>3210</v>
      </c>
      <c r="AK102" s="4">
        <v>427.7</v>
      </c>
      <c r="AL102" s="4">
        <f ca="1">ROUND(T_Tiktok_ads[[#This Row],[conversions]]*RANDBETWEEN(8,12)/10,0)</f>
        <v>30</v>
      </c>
      <c r="AM102" s="4">
        <f ca="1">ROUND(T_Tiktok_ads[[#This Row],[video_views]]*RANDBETWEEN(8,12)/10,0)</f>
        <v>196791</v>
      </c>
      <c r="AN102" s="4">
        <f ca="1">ROUND(T_Tiktok_ads[[#This Row],[video_watch_25]]*RANDBETWEEN(8,12)/10,0)</f>
        <v>162281</v>
      </c>
      <c r="AO102" s="4">
        <f ca="1">ROUND(T_Tiktok_ads[[#This Row],[video_watch_50]]*RANDBETWEEN(8,12)/10,0)</f>
        <v>85431</v>
      </c>
      <c r="AP102" s="4">
        <f ca="1">ROUND(T_Tiktok_ads[[#This Row],[video_watch_75]]*RANDBETWEEN(8,12)/10,0)</f>
        <v>69234</v>
      </c>
      <c r="AQ102" s="4">
        <f ca="1">ROUND(T_Tiktok_ads[[#This Row],[video_watch_100]]*RANDBETWEEN(8,12)/10,0)</f>
        <v>50147</v>
      </c>
      <c r="AR102" s="4">
        <f ca="1">ROUND(T_Tiktok_ads[[#This Row],[likes]]*RANDBETWEEN(8,12)/10,0)</f>
        <v>6587</v>
      </c>
      <c r="AS102" s="4">
        <f ca="1">ROUND(T_Tiktok_ads[[#This Row],[shares]]*RANDBETWEEN(8,12)/10,0)</f>
        <v>1814</v>
      </c>
      <c r="AT102" s="4">
        <f ca="1">ROUND(T_Tiktok_ads[[#This Row],[comments]]*RANDBETWEEN(8,12)/10,0)</f>
        <v>641</v>
      </c>
      <c r="AV102" s="5">
        <f t="shared" ca="1" si="17"/>
        <v>45004</v>
      </c>
      <c r="AW102">
        <f t="shared" ca="1" si="13"/>
        <v>1</v>
      </c>
      <c r="AX102">
        <f ca="1">ROUND(T_Facebook_Ads115963[[#This Row],[impressions]]*RANDBETWEEN(8,12)/10,0)</f>
        <v>44309</v>
      </c>
      <c r="AY102">
        <f ca="1">ROUND(T_Facebook_Ads115963[[#This Row],[clicks]]*RANDBETWEEN(8,12)/10,0)</f>
        <v>962</v>
      </c>
      <c r="AZ102">
        <f ca="1">T_Facebook_Ads115963[[#This Row],[spend]]*RANDBETWEEN(8,12)/10</f>
        <v>221.4</v>
      </c>
      <c r="BA102">
        <f ca="1">ROUND(T_Facebook_Ads115963[[#This Row],[conversions]]*RANDBETWEEN(8,12)/10,0)</f>
        <v>34</v>
      </c>
      <c r="BB102">
        <f ca="1">ROUND(T_Facebook_Ads115963[[#This Row],[video_views]]*RANDBETWEEN(8,12)/10,0)</f>
        <v>4535</v>
      </c>
    </row>
    <row r="103" spans="1:54" ht="15.75" thickBot="1" x14ac:dyDescent="0.3">
      <c r="A103" s="3">
        <f t="shared" ca="1" si="14"/>
        <v>44994</v>
      </c>
      <c r="B103" s="4" t="s">
        <v>64</v>
      </c>
      <c r="C103" s="4" t="s">
        <v>65</v>
      </c>
      <c r="D103" s="4" t="s">
        <v>66</v>
      </c>
      <c r="E103" s="4" t="s">
        <v>67</v>
      </c>
      <c r="F103" s="4">
        <f ca="1">ROUND(T_Facebook_Ads[[#This Row],[impressions]]*RANDBETWEEN(8,12)/10,0)</f>
        <v>59210</v>
      </c>
      <c r="G103" s="4">
        <v>234</v>
      </c>
      <c r="H103" s="4">
        <f ca="1">T_Facebook_Ads[[#This Row],[spend]]*RANDBETWEEN(8,12)/10</f>
        <v>88.440000000000012</v>
      </c>
      <c r="I103" s="4">
        <f ca="1">ROUND(T_Facebook_Ads[[#This Row],[conversions]]*RANDBETWEEN(8,12)/10,0)</f>
        <v>4</v>
      </c>
      <c r="J103" s="4">
        <f ca="1">ROUND(T_Facebook_Ads[[#This Row],[video_views]]*RANDBETWEEN(8,12)/10,0)</f>
        <v>48279</v>
      </c>
      <c r="K103" s="4">
        <f ca="1">T_Facebook_Ads[[#This Row],[engagement_rate]]*RANDBETWEEN(8,12)/10</f>
        <v>4.3200000000000001E-3</v>
      </c>
      <c r="L103" s="4">
        <f ca="1">ROUND(T_Facebook_Ads[[#This Row],[reach]]*RANDBETWEEN(8,12)/10,0)</f>
        <v>59535</v>
      </c>
      <c r="M103" s="4">
        <f ca="1">T_Facebook_Ads[[#This Row],[frequency]]*RANDBETWEEN(8,12)/10</f>
        <v>1.452</v>
      </c>
      <c r="O103" s="3">
        <f t="shared" ca="1" si="15"/>
        <v>45012</v>
      </c>
      <c r="P103" s="4" t="s">
        <v>88</v>
      </c>
      <c r="Q103" s="4" t="s">
        <v>89</v>
      </c>
      <c r="R103" s="4" t="s">
        <v>90</v>
      </c>
      <c r="S103" s="4" t="s">
        <v>59</v>
      </c>
      <c r="T103" s="4">
        <f ca="1">ROUND(_Google_ads[[#This Row],[impressions]]*RANDBETWEEN(8,12)/10,0)</f>
        <v>152814</v>
      </c>
      <c r="U103" s="4">
        <f ca="1">ROUND(_Google_ads[[#This Row],[clicks]]*RANDBETWEEN(8,12)/10,0)</f>
        <v>534</v>
      </c>
      <c r="V103" s="4">
        <f ca="1">_Google_ads[[#This Row],[cost]]*RANDBETWEEN(8,12)/10</f>
        <v>125.1</v>
      </c>
      <c r="W103" s="4">
        <f ca="1">ROUND(_Google_ads[[#This Row],[conversions]]*RANDBETWEEN(8,12)/10,0)</f>
        <v>10</v>
      </c>
      <c r="X103" s="4">
        <f ca="1">ROUND(_Google_ads[[#This Row],[conversion_value]]*RANDBETWEEN(8,12)/10,0)</f>
        <v>660</v>
      </c>
      <c r="Y103" s="4">
        <f ca="1">_Google_ads[[#This Row],[ctr]]*RANDBETWEEN(8,12)/10</f>
        <v>3.8500000000000001E-3</v>
      </c>
      <c r="Z103" s="4">
        <f ca="1">_Google_ads[[#This Row],[avg_cpc]]*RANDBETWEEN(8,12)/10</f>
        <v>0.25200000000000006</v>
      </c>
      <c r="AA103" s="4">
        <f ca="1">ROUND(_Google_ads[[#This Row],[quality_score]]*RANDBETWEEN(8,12)/10,0)</f>
        <v>7</v>
      </c>
      <c r="AB103" s="4">
        <f ca="1">_Google_ads[[#This Row],[search_impression_share]]*RANDBETWEEN(8,12)/10</f>
        <v>0.26400000000000001</v>
      </c>
      <c r="AD103" s="3">
        <f t="shared" ca="1" si="16"/>
        <v>45003</v>
      </c>
      <c r="AE103" s="4" t="s">
        <v>112</v>
      </c>
      <c r="AF103" s="4" t="s">
        <v>113</v>
      </c>
      <c r="AG103" s="4" t="s">
        <v>114</v>
      </c>
      <c r="AH103" s="4" t="s">
        <v>115</v>
      </c>
      <c r="AI103" s="4">
        <f ca="1">ROUND(T_Tiktok_ads[[#This Row],[impressions]]*RANDBETWEEN(8,12)/10,0)</f>
        <v>481481</v>
      </c>
      <c r="AJ103" s="4">
        <f ca="1">ROUND(T_Tiktok_ads[[#This Row],[clicks]]*RANDBETWEEN(8,12)/10,0)</f>
        <v>5165</v>
      </c>
      <c r="AK103" s="4">
        <v>989.9</v>
      </c>
      <c r="AL103" s="4">
        <f ca="1">ROUND(T_Tiktok_ads[[#This Row],[conversions]]*RANDBETWEEN(8,12)/10,0)</f>
        <v>91</v>
      </c>
      <c r="AM103" s="4">
        <f ca="1">ROUND(T_Tiktok_ads[[#This Row],[video_views]]*RANDBETWEEN(8,12)/10,0)</f>
        <v>365580</v>
      </c>
      <c r="AN103" s="4">
        <f ca="1">ROUND(T_Tiktok_ads[[#This Row],[video_watch_25]]*RANDBETWEEN(8,12)/10,0)</f>
        <v>267890</v>
      </c>
      <c r="AO103" s="4">
        <f ca="1">ROUND(T_Tiktok_ads[[#This Row],[video_watch_50]]*RANDBETWEEN(8,12)/10,0)</f>
        <v>193110</v>
      </c>
      <c r="AP103" s="4">
        <f ca="1">ROUND(T_Tiktok_ads[[#This Row],[video_watch_75]]*RANDBETWEEN(8,12)/10,0)</f>
        <v>136111</v>
      </c>
      <c r="AQ103" s="4">
        <f ca="1">ROUND(T_Tiktok_ads[[#This Row],[video_watch_100]]*RANDBETWEEN(8,12)/10,0)</f>
        <v>89610</v>
      </c>
      <c r="AR103" s="4">
        <f ca="1">ROUND(T_Tiktok_ads[[#This Row],[likes]]*RANDBETWEEN(8,12)/10,0)</f>
        <v>20681</v>
      </c>
      <c r="AS103" s="4">
        <f ca="1">ROUND(T_Tiktok_ads[[#This Row],[shares]]*RANDBETWEEN(8,12)/10,0)</f>
        <v>6014</v>
      </c>
      <c r="AT103" s="4">
        <f ca="1">ROUND(T_Tiktok_ads[[#This Row],[comments]]*RANDBETWEEN(8,12)/10,0)</f>
        <v>1654</v>
      </c>
      <c r="AV103" s="5">
        <f t="shared" ca="1" si="17"/>
        <v>45004</v>
      </c>
      <c r="AW103">
        <f t="shared" ca="1" si="13"/>
        <v>6</v>
      </c>
      <c r="AX103">
        <f ca="1">ROUND(T_Facebook_Ads115963[[#This Row],[impressions]]*RANDBETWEEN(8,12)/10,0)</f>
        <v>47368</v>
      </c>
      <c r="AY103">
        <f ca="1">ROUND(T_Facebook_Ads115963[[#This Row],[clicks]]*RANDBETWEEN(8,12)/10,0)</f>
        <v>211</v>
      </c>
      <c r="AZ103">
        <f ca="1">T_Facebook_Ads115963[[#This Row],[spend]]*RANDBETWEEN(8,12)/10</f>
        <v>88.440000000000012</v>
      </c>
      <c r="BA103">
        <f ca="1">ROUND(T_Facebook_Ads115963[[#This Row],[conversions]]*RANDBETWEEN(8,12)/10,0)</f>
        <v>3</v>
      </c>
      <c r="BB103">
        <f ca="1">ROUND(T_Facebook_Ads115963[[#This Row],[video_views]]*RANDBETWEEN(8,12)/10,0)</f>
        <v>48279</v>
      </c>
    </row>
    <row r="104" spans="1:54" ht="15.75" thickBot="1" x14ac:dyDescent="0.3">
      <c r="A104" s="3">
        <f t="shared" ca="1" si="14"/>
        <v>45004</v>
      </c>
      <c r="B104" s="4" t="s">
        <v>52</v>
      </c>
      <c r="C104" s="4" t="s">
        <v>53</v>
      </c>
      <c r="D104" s="4" t="s">
        <v>54</v>
      </c>
      <c r="E104" s="4" t="s">
        <v>55</v>
      </c>
      <c r="F104" s="4">
        <f ca="1">ROUND(T_Facebook_Ads[[#This Row],[impressions]]*RANDBETWEEN(8,12)/10,0)</f>
        <v>43101</v>
      </c>
      <c r="G104" s="4">
        <v>967</v>
      </c>
      <c r="H104" s="4">
        <f ca="1">T_Facebook_Ads[[#This Row],[spend]]*RANDBETWEEN(8,12)/10</f>
        <v>124.56000000000002</v>
      </c>
      <c r="I104" s="4">
        <f ca="1">ROUND(T_Facebook_Ads[[#This Row],[conversions]]*RANDBETWEEN(8,12)/10,0)</f>
        <v>14</v>
      </c>
      <c r="J104" s="4">
        <f ca="1">ROUND(T_Facebook_Ads[[#This Row],[video_views]]*RANDBETWEEN(8,12)/10,0)</f>
        <v>7910</v>
      </c>
      <c r="K104" s="4">
        <f ca="1">T_Facebook_Ads[[#This Row],[engagement_rate]]*RANDBETWEEN(8,12)/10</f>
        <v>2.2219999999999997E-2</v>
      </c>
      <c r="L104" s="4">
        <f ca="1">ROUND(T_Facebook_Ads[[#This Row],[reach]]*RANDBETWEEN(8,12)/10,0)</f>
        <v>40234</v>
      </c>
      <c r="M104" s="4">
        <f ca="1">T_Facebook_Ads[[#This Row],[frequency]]*RANDBETWEEN(8,12)/10</f>
        <v>1.071</v>
      </c>
      <c r="O104" s="3">
        <f t="shared" ca="1" si="15"/>
        <v>44988</v>
      </c>
      <c r="P104" s="4" t="s">
        <v>76</v>
      </c>
      <c r="Q104" s="4" t="s">
        <v>77</v>
      </c>
      <c r="R104" s="4" t="s">
        <v>78</v>
      </c>
      <c r="S104" s="4" t="s">
        <v>79</v>
      </c>
      <c r="T104" s="4">
        <f ca="1">ROUND(_Google_ads[[#This Row],[impressions]]*RANDBETWEEN(8,12)/10,0)</f>
        <v>29868</v>
      </c>
      <c r="U104" s="4">
        <f ca="1">ROUND(_Google_ads[[#This Row],[clicks]]*RANDBETWEEN(8,12)/10,0)</f>
        <v>1406</v>
      </c>
      <c r="V104" s="4">
        <f ca="1">_Google_ads[[#This Row],[cost]]*RANDBETWEEN(8,12)/10</f>
        <v>244.2</v>
      </c>
      <c r="W104" s="4">
        <f ca="1">ROUND(_Google_ads[[#This Row],[conversions]]*RANDBETWEEN(8,12)/10,0)</f>
        <v>47</v>
      </c>
      <c r="X104" s="4">
        <f ca="1">ROUND(_Google_ads[[#This Row],[conversion_value]]*RANDBETWEEN(8,12)/10,0)</f>
        <v>2820</v>
      </c>
      <c r="Y104" s="4">
        <f ca="1">_Google_ads[[#This Row],[ctr]]*RANDBETWEEN(8,12)/10</f>
        <v>4.104E-2</v>
      </c>
      <c r="Z104" s="4">
        <f ca="1">_Google_ads[[#This Row],[avg_cpc]]*RANDBETWEEN(8,12)/10</f>
        <v>0.22800000000000004</v>
      </c>
      <c r="AA104" s="4">
        <f ca="1">ROUND(_Google_ads[[#This Row],[quality_score]]*RANDBETWEEN(8,12)/10,0)</f>
        <v>11</v>
      </c>
      <c r="AB104" s="4">
        <f ca="1">_Google_ads[[#This Row],[search_impression_share]]*RANDBETWEEN(8,12)/10</f>
        <v>0.90999999999999992</v>
      </c>
      <c r="AD104" s="3">
        <f t="shared" ca="1" si="16"/>
        <v>45016</v>
      </c>
      <c r="AE104" s="4" t="s">
        <v>100</v>
      </c>
      <c r="AF104" s="4" t="s">
        <v>101</v>
      </c>
      <c r="AG104" s="4" t="s">
        <v>102</v>
      </c>
      <c r="AH104" s="4" t="s">
        <v>103</v>
      </c>
      <c r="AI104" s="4">
        <f ca="1">ROUND(T_Tiktok_ads[[#This Row],[impressions]]*RANDBETWEEN(8,12)/10,0)</f>
        <v>260111</v>
      </c>
      <c r="AJ104" s="4">
        <f ca="1">ROUND(T_Tiktok_ads[[#This Row],[clicks]]*RANDBETWEEN(8,12)/10,0)</f>
        <v>3811</v>
      </c>
      <c r="AK104" s="4">
        <v>556.70000000000005</v>
      </c>
      <c r="AL104" s="4">
        <f ca="1">ROUND(T_Tiktok_ads[[#This Row],[conversions]]*RANDBETWEEN(8,12)/10,0)</f>
        <v>39</v>
      </c>
      <c r="AM104" s="4">
        <f ca="1">ROUND(T_Tiktok_ads[[#This Row],[video_views]]*RANDBETWEEN(8,12)/10,0)</f>
        <v>211110</v>
      </c>
      <c r="AN104" s="4">
        <f ca="1">ROUND(T_Tiktok_ads[[#This Row],[video_watch_25]]*RANDBETWEEN(8,12)/10,0)</f>
        <v>182345</v>
      </c>
      <c r="AO104" s="4">
        <f ca="1">ROUND(T_Tiktok_ads[[#This Row],[video_watch_50]]*RANDBETWEEN(8,12)/10,0)</f>
        <v>91654</v>
      </c>
      <c r="AP104" s="4">
        <f ca="1">ROUND(T_Tiktok_ads[[#This Row],[video_watch_75]]*RANDBETWEEN(8,12)/10,0)</f>
        <v>84957</v>
      </c>
      <c r="AQ104" s="4">
        <f ca="1">ROUND(T_Tiktok_ads[[#This Row],[video_watch_100]]*RANDBETWEEN(8,12)/10,0)</f>
        <v>61481</v>
      </c>
      <c r="AR104" s="4">
        <f ca="1">ROUND(T_Tiktok_ads[[#This Row],[likes]]*RANDBETWEEN(8,12)/10,0)</f>
        <v>8276</v>
      </c>
      <c r="AS104" s="4">
        <f ca="1">ROUND(T_Tiktok_ads[[#This Row],[shares]]*RANDBETWEEN(8,12)/10,0)</f>
        <v>2231</v>
      </c>
      <c r="AT104" s="4">
        <f ca="1">ROUND(T_Tiktok_ads[[#This Row],[comments]]*RANDBETWEEN(8,12)/10,0)</f>
        <v>787</v>
      </c>
      <c r="AV104" s="5">
        <f t="shared" ca="1" si="17"/>
        <v>44991</v>
      </c>
      <c r="AW104">
        <f t="shared" ca="1" si="13"/>
        <v>7</v>
      </c>
      <c r="AX104">
        <f ca="1">ROUND(T_Facebook_Ads115963[[#This Row],[impressions]]*RANDBETWEEN(8,12)/10,0)</f>
        <v>34481</v>
      </c>
      <c r="AY104">
        <f ca="1">ROUND(T_Facebook_Ads115963[[#This Row],[clicks]]*RANDBETWEEN(8,12)/10,0)</f>
        <v>774</v>
      </c>
      <c r="AZ104">
        <f ca="1">T_Facebook_Ads115963[[#This Row],[spend]]*RANDBETWEEN(8,12)/10</f>
        <v>124.56000000000002</v>
      </c>
      <c r="BA104">
        <f ca="1">ROUND(T_Facebook_Ads115963[[#This Row],[conversions]]*RANDBETWEEN(8,12)/10,0)</f>
        <v>17</v>
      </c>
      <c r="BB104">
        <f ca="1">ROUND(T_Facebook_Ads115963[[#This Row],[video_views]]*RANDBETWEEN(8,12)/10,0)</f>
        <v>7910</v>
      </c>
    </row>
    <row r="105" spans="1:54" ht="15.75" thickBot="1" x14ac:dyDescent="0.3">
      <c r="A105" s="3">
        <f t="shared" ca="1" si="14"/>
        <v>44995</v>
      </c>
      <c r="B105" s="4" t="s">
        <v>56</v>
      </c>
      <c r="C105" s="4" t="s">
        <v>57</v>
      </c>
      <c r="D105" s="4" t="s">
        <v>58</v>
      </c>
      <c r="E105" s="4" t="s">
        <v>59</v>
      </c>
      <c r="F105" s="4">
        <f ca="1">ROUND(T_Facebook_Ads[[#This Row],[impressions]]*RANDBETWEEN(8,12)/10,0)</f>
        <v>14557</v>
      </c>
      <c r="G105" s="4">
        <v>612</v>
      </c>
      <c r="H105" s="4">
        <f ca="1">T_Facebook_Ads[[#This Row],[spend]]*RANDBETWEEN(8,12)/10</f>
        <v>181.2</v>
      </c>
      <c r="I105" s="4">
        <f ca="1">ROUND(T_Facebook_Ads[[#This Row],[conversions]]*RANDBETWEEN(8,12)/10,0)</f>
        <v>39</v>
      </c>
      <c r="J105" s="4">
        <f ca="1">ROUND(T_Facebook_Ads[[#This Row],[video_views]]*RANDBETWEEN(8,12)/10,0)</f>
        <v>1211</v>
      </c>
      <c r="K105" s="4">
        <f ca="1">T_Facebook_Ads[[#This Row],[engagement_rate]]*RANDBETWEEN(8,12)/10</f>
        <v>5.0929999999999996E-2</v>
      </c>
      <c r="L105" s="4">
        <f ca="1">ROUND(T_Facebook_Ads[[#This Row],[reach]]*RANDBETWEEN(8,12)/10,0)</f>
        <v>12547</v>
      </c>
      <c r="M105" s="4">
        <f ca="1">T_Facebook_Ads[[#This Row],[frequency]]*RANDBETWEEN(8,12)/10</f>
        <v>1.524</v>
      </c>
      <c r="O105" s="3">
        <f t="shared" ca="1" si="15"/>
        <v>45001</v>
      </c>
      <c r="P105" s="4" t="s">
        <v>80</v>
      </c>
      <c r="Q105" s="4" t="s">
        <v>81</v>
      </c>
      <c r="R105" s="4" t="s">
        <v>82</v>
      </c>
      <c r="S105" s="4" t="s">
        <v>83</v>
      </c>
      <c r="T105" s="4">
        <f ca="1">ROUND(_Google_ads[[#This Row],[impressions]]*RANDBETWEEN(8,12)/10,0)</f>
        <v>40110</v>
      </c>
      <c r="U105" s="4">
        <f ca="1">ROUND(_Google_ads[[#This Row],[clicks]]*RANDBETWEEN(8,12)/10,0)</f>
        <v>790</v>
      </c>
      <c r="V105" s="4">
        <f ca="1">_Google_ads[[#This Row],[cost]]*RANDBETWEEN(8,12)/10</f>
        <v>513.72</v>
      </c>
      <c r="W105" s="4">
        <f ca="1">ROUND(_Google_ads[[#This Row],[conversions]]*RANDBETWEEN(8,12)/10,0)</f>
        <v>18</v>
      </c>
      <c r="X105" s="4">
        <f ca="1">ROUND(_Google_ads[[#This Row],[conversion_value]]*RANDBETWEEN(8,12)/10,0)</f>
        <v>920</v>
      </c>
      <c r="Y105" s="4">
        <f ca="1">_Google_ads[[#This Row],[ctr]]*RANDBETWEEN(8,12)/10</f>
        <v>2.1669999999999998E-2</v>
      </c>
      <c r="Z105" s="4">
        <f ca="1">_Google_ads[[#This Row],[avg_cpc]]*RANDBETWEEN(8,12)/10</f>
        <v>0.52</v>
      </c>
      <c r="AA105" s="4">
        <f ca="1">ROUND(_Google_ads[[#This Row],[quality_score]]*RANDBETWEEN(8,12)/10,0)</f>
        <v>6</v>
      </c>
      <c r="AB105" s="4">
        <f ca="1">_Google_ads[[#This Row],[search_impression_share]]*RANDBETWEEN(8,12)/10</f>
        <v>0.35199999999999998</v>
      </c>
      <c r="AD105" s="3">
        <f t="shared" ca="1" si="16"/>
        <v>44989</v>
      </c>
      <c r="AE105" s="4" t="s">
        <v>104</v>
      </c>
      <c r="AF105" s="4" t="s">
        <v>105</v>
      </c>
      <c r="AG105" s="4" t="s">
        <v>106</v>
      </c>
      <c r="AH105" s="4" t="s">
        <v>107</v>
      </c>
      <c r="AI105" s="4">
        <f ca="1">ROUND(T_Tiktok_ads[[#This Row],[impressions]]*RANDBETWEEN(8,12)/10,0)</f>
        <v>188147</v>
      </c>
      <c r="AJ105" s="4">
        <f ca="1">ROUND(T_Tiktok_ads[[#This Row],[clicks]]*RANDBETWEEN(8,12)/10,0)</f>
        <v>3313</v>
      </c>
      <c r="AK105" s="4">
        <v>812.3</v>
      </c>
      <c r="AL105" s="4">
        <f ca="1">ROUND(T_Tiktok_ads[[#This Row],[conversions]]*RANDBETWEEN(8,12)/10,0)</f>
        <v>66</v>
      </c>
      <c r="AM105" s="4">
        <f ca="1">ROUND(T_Tiktok_ads[[#This Row],[video_views]]*RANDBETWEEN(8,12)/10,0)</f>
        <v>131851</v>
      </c>
      <c r="AN105" s="4">
        <f ca="1">ROUND(T_Tiktok_ads[[#This Row],[video_watch_25]]*RANDBETWEEN(8,12)/10,0)</f>
        <v>89357</v>
      </c>
      <c r="AO105" s="4">
        <f ca="1">ROUND(T_Tiktok_ads[[#This Row],[video_watch_50]]*RANDBETWEEN(8,12)/10,0)</f>
        <v>49210</v>
      </c>
      <c r="AP105" s="4">
        <f ca="1">ROUND(T_Tiktok_ads[[#This Row],[video_watch_75]]*RANDBETWEEN(8,12)/10,0)</f>
        <v>45357</v>
      </c>
      <c r="AQ105" s="4">
        <f ca="1">ROUND(T_Tiktok_ads[[#This Row],[video_watch_100]]*RANDBETWEEN(8,12)/10,0)</f>
        <v>33080</v>
      </c>
      <c r="AR105" s="4">
        <f ca="1">ROUND(T_Tiktok_ads[[#This Row],[likes]]*RANDBETWEEN(8,12)/10,0)</f>
        <v>4365</v>
      </c>
      <c r="AS105" s="4">
        <f ca="1">ROUND(T_Tiktok_ads[[#This Row],[shares]]*RANDBETWEEN(8,12)/10,0)</f>
        <v>1567</v>
      </c>
      <c r="AT105" s="4">
        <f ca="1">ROUND(T_Tiktok_ads[[#This Row],[comments]]*RANDBETWEEN(8,12)/10,0)</f>
        <v>231</v>
      </c>
      <c r="AV105" s="5">
        <f t="shared" ca="1" si="17"/>
        <v>44992</v>
      </c>
      <c r="AW105">
        <f t="shared" ca="1" si="13"/>
        <v>5</v>
      </c>
      <c r="AX105">
        <f ca="1">ROUND(T_Facebook_Ads115963[[#This Row],[impressions]]*RANDBETWEEN(8,12)/10,0)</f>
        <v>13101</v>
      </c>
      <c r="AY105">
        <f ca="1">ROUND(T_Facebook_Ads115963[[#This Row],[clicks]]*RANDBETWEEN(8,12)/10,0)</f>
        <v>490</v>
      </c>
      <c r="AZ105">
        <f ca="1">T_Facebook_Ads115963[[#This Row],[spend]]*RANDBETWEEN(8,12)/10</f>
        <v>217.43999999999997</v>
      </c>
      <c r="BA105">
        <f ca="1">ROUND(T_Facebook_Ads115963[[#This Row],[conversions]]*RANDBETWEEN(8,12)/10,0)</f>
        <v>39</v>
      </c>
      <c r="BB105">
        <f ca="1">ROUND(T_Facebook_Ads115963[[#This Row],[video_views]]*RANDBETWEEN(8,12)/10,0)</f>
        <v>1211</v>
      </c>
    </row>
    <row r="106" spans="1:54" ht="15.75" thickBot="1" x14ac:dyDescent="0.3">
      <c r="A106" s="3">
        <f t="shared" ca="1" si="14"/>
        <v>45002</v>
      </c>
      <c r="B106" s="4" t="s">
        <v>60</v>
      </c>
      <c r="C106" s="4" t="s">
        <v>61</v>
      </c>
      <c r="D106" s="4" t="s">
        <v>62</v>
      </c>
      <c r="E106" s="4" t="s">
        <v>63</v>
      </c>
      <c r="F106" s="4">
        <f ca="1">ROUND(T_Facebook_Ads[[#This Row],[impressions]]*RANDBETWEEN(8,12)/10,0)</f>
        <v>39857</v>
      </c>
      <c r="G106" s="4">
        <v>1334</v>
      </c>
      <c r="H106" s="4">
        <f ca="1">T_Facebook_Ads[[#This Row],[spend]]*RANDBETWEEN(8,12)/10</f>
        <v>224.07</v>
      </c>
      <c r="I106" s="4">
        <f ca="1">ROUND(T_Facebook_Ads[[#This Row],[conversions]]*RANDBETWEEN(8,12)/10,0)</f>
        <v>25</v>
      </c>
      <c r="J106" s="4">
        <f ca="1">ROUND(T_Facebook_Ads[[#This Row],[video_views]]*RANDBETWEEN(8,12)/10,0)</f>
        <v>3742</v>
      </c>
      <c r="K106" s="4">
        <f ca="1">T_Facebook_Ads[[#This Row],[engagement_rate]]*RANDBETWEEN(8,12)/10</f>
        <v>4.4159999999999998E-2</v>
      </c>
      <c r="L106" s="4">
        <f ca="1">ROUND(T_Facebook_Ads[[#This Row],[reach]]*RANDBETWEEN(8,12)/10,0)</f>
        <v>33135</v>
      </c>
      <c r="M106" s="4">
        <f ca="1">T_Facebook_Ads[[#This Row],[frequency]]*RANDBETWEEN(8,12)/10</f>
        <v>1.0799999999999998</v>
      </c>
      <c r="O106" s="3">
        <f t="shared" ca="1" si="15"/>
        <v>45000</v>
      </c>
      <c r="P106" s="4" t="s">
        <v>84</v>
      </c>
      <c r="Q106" s="4" t="s">
        <v>85</v>
      </c>
      <c r="R106" s="4" t="s">
        <v>86</v>
      </c>
      <c r="S106" s="4" t="s">
        <v>87</v>
      </c>
      <c r="T106" s="4">
        <f ca="1">ROUND(_Google_ads[[#This Row],[impressions]]*RANDBETWEEN(8,12)/10,0)</f>
        <v>75302</v>
      </c>
      <c r="U106" s="4">
        <f ca="1">ROUND(_Google_ads[[#This Row],[clicks]]*RANDBETWEEN(8,12)/10,0)</f>
        <v>2518</v>
      </c>
      <c r="V106" s="4">
        <f ca="1">_Google_ads[[#This Row],[cost]]*RANDBETWEEN(8,12)/10</f>
        <v>335.6</v>
      </c>
      <c r="W106" s="4">
        <f ca="1">ROUND(_Google_ads[[#This Row],[conversions]]*RANDBETWEEN(8,12)/10,0)</f>
        <v>73</v>
      </c>
      <c r="X106" s="4">
        <f ca="1">ROUND(_Google_ads[[#This Row],[conversion_value]]*RANDBETWEEN(8,12)/10,0)</f>
        <v>3630</v>
      </c>
      <c r="Y106" s="4">
        <f ca="1">_Google_ads[[#This Row],[ctr]]*RANDBETWEEN(8,12)/10</f>
        <v>4.0079999999999998E-2</v>
      </c>
      <c r="Z106" s="4">
        <f ca="1">_Google_ads[[#This Row],[avg_cpc]]*RANDBETWEEN(8,12)/10</f>
        <v>0.19800000000000001</v>
      </c>
      <c r="AA106" s="4">
        <f ca="1">ROUND(_Google_ads[[#This Row],[quality_score]]*RANDBETWEEN(8,12)/10,0)</f>
        <v>6</v>
      </c>
      <c r="AB106" s="4">
        <f ca="1">_Google_ads[[#This Row],[search_impression_share]]*RANDBETWEEN(8,12)/10</f>
        <v>0.80400000000000005</v>
      </c>
      <c r="AD106" s="3">
        <f t="shared" ca="1" si="16"/>
        <v>45014</v>
      </c>
      <c r="AE106" s="4" t="s">
        <v>108</v>
      </c>
      <c r="AF106" s="4" t="s">
        <v>109</v>
      </c>
      <c r="AG106" s="4" t="s">
        <v>110</v>
      </c>
      <c r="AH106" s="4" t="s">
        <v>111</v>
      </c>
      <c r="AI106" s="4">
        <f ca="1">ROUND(T_Tiktok_ads[[#This Row],[impressions]]*RANDBETWEEN(8,12)/10,0)</f>
        <v>294814</v>
      </c>
      <c r="AJ106" s="4">
        <f ca="1">ROUND(T_Tiktok_ads[[#This Row],[clicks]]*RANDBETWEEN(8,12)/10,0)</f>
        <v>4279</v>
      </c>
      <c r="AK106" s="4">
        <v>467.8</v>
      </c>
      <c r="AL106" s="4">
        <f ca="1">ROUND(T_Tiktok_ads[[#This Row],[conversions]]*RANDBETWEEN(8,12)/10,0)</f>
        <v>34</v>
      </c>
      <c r="AM106" s="4">
        <f ca="1">ROUND(T_Tiktok_ads[[#This Row],[video_views]]*RANDBETWEEN(8,12)/10,0)</f>
        <v>176110</v>
      </c>
      <c r="AN106" s="4">
        <f ca="1">ROUND(T_Tiktok_ads[[#This Row],[video_watch_25]]*RANDBETWEEN(8,12)/10,0)</f>
        <v>148234</v>
      </c>
      <c r="AO106" s="4">
        <f ca="1">ROUND(T_Tiktok_ads[[#This Row],[video_watch_50]]*RANDBETWEEN(8,12)/10,0)</f>
        <v>105511</v>
      </c>
      <c r="AP106" s="4">
        <f ca="1">ROUND(T_Tiktok_ads[[#This Row],[video_watch_75]]*RANDBETWEEN(8,12)/10,0)</f>
        <v>90281</v>
      </c>
      <c r="AQ106" s="4">
        <f ca="1">ROUND(T_Tiktok_ads[[#This Row],[video_watch_100]]*RANDBETWEEN(8,12)/10,0)</f>
        <v>45789</v>
      </c>
      <c r="AR106" s="4">
        <f ca="1">ROUND(T_Tiktok_ads[[#This Row],[likes]]*RANDBETWEEN(8,12)/10,0)</f>
        <v>9424</v>
      </c>
      <c r="AS106" s="4">
        <f ca="1">ROUND(T_Tiktok_ads[[#This Row],[shares]]*RANDBETWEEN(8,12)/10,0)</f>
        <v>2111</v>
      </c>
      <c r="AT106" s="4">
        <f ca="1">ROUND(T_Tiktok_ads[[#This Row],[comments]]*RANDBETWEEN(8,12)/10,0)</f>
        <v>510</v>
      </c>
      <c r="AV106" s="5">
        <f t="shared" ca="1" si="17"/>
        <v>45004</v>
      </c>
      <c r="AW106">
        <f t="shared" ca="1" si="13"/>
        <v>7</v>
      </c>
      <c r="AX106">
        <f ca="1">ROUND(T_Facebook_Ads115963[[#This Row],[impressions]]*RANDBETWEEN(8,12)/10,0)</f>
        <v>31886</v>
      </c>
      <c r="AY106">
        <f ca="1">ROUND(T_Facebook_Ads115963[[#This Row],[clicks]]*RANDBETWEEN(8,12)/10,0)</f>
        <v>1334</v>
      </c>
      <c r="AZ106">
        <f ca="1">T_Facebook_Ads115963[[#This Row],[spend]]*RANDBETWEEN(8,12)/10</f>
        <v>201.66299999999998</v>
      </c>
      <c r="BA106">
        <f ca="1">ROUND(T_Facebook_Ads115963[[#This Row],[conversions]]*RANDBETWEEN(8,12)/10,0)</f>
        <v>28</v>
      </c>
      <c r="BB106">
        <f ca="1">ROUND(T_Facebook_Ads115963[[#This Row],[video_views]]*RANDBETWEEN(8,12)/10,0)</f>
        <v>4490</v>
      </c>
    </row>
    <row r="107" spans="1:54" ht="15.75" thickBot="1" x14ac:dyDescent="0.3">
      <c r="A107" s="3">
        <f t="shared" ca="1" si="14"/>
        <v>45007</v>
      </c>
      <c r="B107" s="4" t="s">
        <v>64</v>
      </c>
      <c r="C107" s="4" t="s">
        <v>65</v>
      </c>
      <c r="D107" s="4" t="s">
        <v>66</v>
      </c>
      <c r="E107" s="4" t="s">
        <v>67</v>
      </c>
      <c r="F107" s="4">
        <f ca="1">ROUND(T_Facebook_Ads[[#This Row],[impressions]]*RANDBETWEEN(8,12)/10,0)</f>
        <v>83480</v>
      </c>
      <c r="G107" s="4">
        <v>253</v>
      </c>
      <c r="H107" s="4">
        <f ca="1">T_Facebook_Ads[[#This Row],[spend]]*RANDBETWEEN(8,12)/10</f>
        <v>97.570000000000007</v>
      </c>
      <c r="I107" s="4">
        <f ca="1">ROUND(T_Facebook_Ads[[#This Row],[conversions]]*RANDBETWEEN(8,12)/10,0)</f>
        <v>7</v>
      </c>
      <c r="J107" s="4">
        <f ca="1">ROUND(T_Facebook_Ads[[#This Row],[video_views]]*RANDBETWEEN(8,12)/10,0)</f>
        <v>51579</v>
      </c>
      <c r="K107" s="4">
        <f ca="1">T_Facebook_Ads[[#This Row],[engagement_rate]]*RANDBETWEEN(8,12)/10</f>
        <v>3.2399999999999998E-3</v>
      </c>
      <c r="L107" s="4">
        <f ca="1">ROUND(T_Facebook_Ads[[#This Row],[reach]]*RANDBETWEEN(8,12)/10,0)</f>
        <v>51411</v>
      </c>
      <c r="M107" s="4">
        <f ca="1">T_Facebook_Ads[[#This Row],[frequency]]*RANDBETWEEN(8,12)/10</f>
        <v>1.22</v>
      </c>
      <c r="O107" s="3">
        <f t="shared" ca="1" si="15"/>
        <v>45006</v>
      </c>
      <c r="P107" s="4" t="s">
        <v>88</v>
      </c>
      <c r="Q107" s="4" t="s">
        <v>89</v>
      </c>
      <c r="R107" s="4" t="s">
        <v>90</v>
      </c>
      <c r="S107" s="4" t="s">
        <v>59</v>
      </c>
      <c r="T107" s="4">
        <f ca="1">ROUND(_Google_ads[[#This Row],[impressions]]*RANDBETWEEN(8,12)/10,0)</f>
        <v>104987</v>
      </c>
      <c r="U107" s="4">
        <f ca="1">ROUND(_Google_ads[[#This Row],[clicks]]*RANDBETWEEN(8,12)/10,0)</f>
        <v>560</v>
      </c>
      <c r="V107" s="4">
        <f ca="1">_Google_ads[[#This Row],[cost]]*RANDBETWEEN(8,12)/10</f>
        <v>154.68</v>
      </c>
      <c r="W107" s="4">
        <f ca="1">ROUND(_Google_ads[[#This Row],[conversions]]*RANDBETWEEN(8,12)/10,0)</f>
        <v>16</v>
      </c>
      <c r="X107" s="4">
        <f ca="1">ROUND(_Google_ads[[#This Row],[conversion_value]]*RANDBETWEEN(8,12)/10,0)</f>
        <v>780</v>
      </c>
      <c r="Y107" s="4">
        <f ca="1">_Google_ads[[#This Row],[ctr]]*RANDBETWEEN(8,12)/10</f>
        <v>3.5999999999999999E-3</v>
      </c>
      <c r="Z107" s="4">
        <f ca="1">_Google_ads[[#This Row],[avg_cpc]]*RANDBETWEEN(8,12)/10</f>
        <v>0.25200000000000006</v>
      </c>
      <c r="AA107" s="4">
        <f ca="1">ROUND(_Google_ads[[#This Row],[quality_score]]*RANDBETWEEN(8,12)/10,0)</f>
        <v>8</v>
      </c>
      <c r="AB107" s="4">
        <f ca="1">_Google_ads[[#This Row],[search_impression_share]]*RANDBETWEEN(8,12)/10</f>
        <v>0.374</v>
      </c>
      <c r="AD107" s="3">
        <f t="shared" ca="1" si="16"/>
        <v>44993</v>
      </c>
      <c r="AE107" s="4" t="s">
        <v>112</v>
      </c>
      <c r="AF107" s="4" t="s">
        <v>113</v>
      </c>
      <c r="AG107" s="4" t="s">
        <v>114</v>
      </c>
      <c r="AH107" s="4" t="s">
        <v>115</v>
      </c>
      <c r="AI107" s="4">
        <f ca="1">ROUND(T_Tiktok_ads[[#This Row],[impressions]]*RANDBETWEEN(8,12)/10,0)</f>
        <v>508147</v>
      </c>
      <c r="AJ107" s="4">
        <f ca="1">ROUND(T_Tiktok_ads[[#This Row],[clicks]]*RANDBETWEEN(8,12)/10,0)</f>
        <v>8268</v>
      </c>
      <c r="AK107" s="4">
        <v>1056.8</v>
      </c>
      <c r="AL107" s="4">
        <f ca="1">ROUND(T_Tiktok_ads[[#This Row],[conversions]]*RANDBETWEEN(8,12)/10,0)</f>
        <v>128</v>
      </c>
      <c r="AM107" s="4">
        <f ca="1">ROUND(T_Tiktok_ads[[#This Row],[video_views]]*RANDBETWEEN(8,12)/10,0)</f>
        <v>285431</v>
      </c>
      <c r="AN107" s="4">
        <f ca="1">ROUND(T_Tiktok_ads[[#This Row],[video_watch_25]]*RANDBETWEEN(8,12)/10,0)</f>
        <v>289234</v>
      </c>
      <c r="AO107" s="4">
        <f ca="1">ROUND(T_Tiktok_ads[[#This Row],[video_watch_50]]*RANDBETWEEN(8,12)/10,0)</f>
        <v>277747</v>
      </c>
      <c r="AP107" s="4">
        <f ca="1">ROUND(T_Tiktok_ads[[#This Row],[video_watch_75]]*RANDBETWEEN(8,12)/10,0)</f>
        <v>131654</v>
      </c>
      <c r="AQ107" s="4">
        <f ca="1">ROUND(T_Tiktok_ads[[#This Row],[video_watch_100]]*RANDBETWEEN(8,12)/10,0)</f>
        <v>131081</v>
      </c>
      <c r="AR107" s="4">
        <f ca="1">ROUND(T_Tiktok_ads[[#This Row],[likes]]*RANDBETWEEN(8,12)/10,0)</f>
        <v>22668</v>
      </c>
      <c r="AS107" s="4">
        <f ca="1">ROUND(T_Tiktok_ads[[#This Row],[shares]]*RANDBETWEEN(8,12)/10,0)</f>
        <v>4910</v>
      </c>
      <c r="AT107" s="4">
        <f ca="1">ROUND(T_Tiktok_ads[[#This Row],[comments]]*RANDBETWEEN(8,12)/10,0)</f>
        <v>1489</v>
      </c>
      <c r="AV107" s="5">
        <f t="shared" ca="1" si="17"/>
        <v>45012</v>
      </c>
      <c r="AW107">
        <f t="shared" ca="1" si="13"/>
        <v>4</v>
      </c>
      <c r="AX107">
        <f ca="1">ROUND(T_Facebook_Ads115963[[#This Row],[impressions]]*RANDBETWEEN(8,12)/10,0)</f>
        <v>75132</v>
      </c>
      <c r="AY107">
        <f ca="1">ROUND(T_Facebook_Ads115963[[#This Row],[clicks]]*RANDBETWEEN(8,12)/10,0)</f>
        <v>228</v>
      </c>
      <c r="AZ107">
        <f ca="1">T_Facebook_Ads115963[[#This Row],[spend]]*RANDBETWEEN(8,12)/10</f>
        <v>78.056000000000012</v>
      </c>
      <c r="BA107">
        <f ca="1">ROUND(T_Facebook_Ads115963[[#This Row],[conversions]]*RANDBETWEEN(8,12)/10,0)</f>
        <v>7</v>
      </c>
      <c r="BB107">
        <f ca="1">ROUND(T_Facebook_Ads115963[[#This Row],[video_views]]*RANDBETWEEN(8,12)/10,0)</f>
        <v>56737</v>
      </c>
    </row>
    <row r="108" spans="1:54" ht="15.75" thickBot="1" x14ac:dyDescent="0.3">
      <c r="A108" s="3">
        <f t="shared" ca="1" si="14"/>
        <v>45008</v>
      </c>
      <c r="B108" s="4" t="s">
        <v>52</v>
      </c>
      <c r="C108" s="4" t="s">
        <v>53</v>
      </c>
      <c r="D108" s="4" t="s">
        <v>54</v>
      </c>
      <c r="E108" s="4" t="s">
        <v>55</v>
      </c>
      <c r="F108" s="4">
        <f ca="1">ROUND(T_Facebook_Ads[[#This Row],[impressions]]*RANDBETWEEN(8,12)/10,0)</f>
        <v>59081</v>
      </c>
      <c r="G108" s="4">
        <v>1001</v>
      </c>
      <c r="H108" s="4">
        <f ca="1">T_Facebook_Ads[[#This Row],[spend]]*RANDBETWEEN(8,12)/10</f>
        <v>114.24000000000001</v>
      </c>
      <c r="I108" s="4">
        <f ca="1">ROUND(T_Facebook_Ads[[#This Row],[conversions]]*RANDBETWEEN(8,12)/10,0)</f>
        <v>16</v>
      </c>
      <c r="J108" s="4">
        <f ca="1">ROUND(T_Facebook_Ads[[#This Row],[video_views]]*RANDBETWEEN(8,12)/10,0)</f>
        <v>10814</v>
      </c>
      <c r="K108" s="4">
        <f ca="1">T_Facebook_Ads[[#This Row],[engagement_rate]]*RANDBETWEEN(8,12)/10</f>
        <v>1.6239999999999997E-2</v>
      </c>
      <c r="L108" s="4">
        <f ca="1">ROUND(T_Facebook_Ads[[#This Row],[reach]]*RANDBETWEEN(8,12)/10,0)</f>
        <v>33254</v>
      </c>
      <c r="M108" s="4">
        <f ca="1">T_Facebook_Ads[[#This Row],[frequency]]*RANDBETWEEN(8,12)/10</f>
        <v>1.2979999999999998</v>
      </c>
      <c r="O108" s="3">
        <f t="shared" ca="1" si="15"/>
        <v>44987</v>
      </c>
      <c r="P108" s="4" t="s">
        <v>76</v>
      </c>
      <c r="Q108" s="4" t="s">
        <v>77</v>
      </c>
      <c r="R108" s="4" t="s">
        <v>78</v>
      </c>
      <c r="S108" s="4" t="s">
        <v>79</v>
      </c>
      <c r="T108" s="4">
        <f ca="1">ROUND(_Google_ads[[#This Row],[impressions]]*RANDBETWEEN(8,12)/10,0)</f>
        <v>22910</v>
      </c>
      <c r="U108" s="4">
        <f ca="1">ROUND(_Google_ads[[#This Row],[clicks]]*RANDBETWEEN(8,12)/10,0)</f>
        <v>1067</v>
      </c>
      <c r="V108" s="4">
        <f ca="1">_Google_ads[[#This Row],[cost]]*RANDBETWEEN(8,12)/10</f>
        <v>280.06</v>
      </c>
      <c r="W108" s="4">
        <f ca="1">ROUND(_Google_ads[[#This Row],[conversions]]*RANDBETWEEN(8,12)/10,0)</f>
        <v>60</v>
      </c>
      <c r="X108" s="4">
        <f ca="1">ROUND(_Google_ads[[#This Row],[conversion_value]]*RANDBETWEEN(8,12)/10,0)</f>
        <v>3000</v>
      </c>
      <c r="Y108" s="4">
        <f ca="1">_Google_ads[[#This Row],[ctr]]*RANDBETWEEN(8,12)/10</f>
        <v>5.2400000000000002E-2</v>
      </c>
      <c r="Z108" s="4">
        <f ca="1">_Google_ads[[#This Row],[avg_cpc]]*RANDBETWEEN(8,12)/10</f>
        <v>0.17099999999999999</v>
      </c>
      <c r="AA108" s="4">
        <f ca="1">ROUND(_Google_ads[[#This Row],[quality_score]]*RANDBETWEEN(8,12)/10,0)</f>
        <v>8</v>
      </c>
      <c r="AB108" s="4">
        <f ca="1">_Google_ads[[#This Row],[search_impression_share]]*RANDBETWEEN(8,12)/10</f>
        <v>1.1040000000000001</v>
      </c>
      <c r="AD108" s="3">
        <f t="shared" ca="1" si="16"/>
        <v>45011</v>
      </c>
      <c r="AE108" s="4" t="s">
        <v>100</v>
      </c>
      <c r="AF108" s="4" t="s">
        <v>101</v>
      </c>
      <c r="AG108" s="4" t="s">
        <v>102</v>
      </c>
      <c r="AH108" s="4" t="s">
        <v>103</v>
      </c>
      <c r="AI108" s="4">
        <f ca="1">ROUND(T_Tiktok_ads[[#This Row],[impressions]]*RANDBETWEEN(8,12)/10,0)</f>
        <v>354814</v>
      </c>
      <c r="AJ108" s="4">
        <f ca="1">ROUND(T_Tiktok_ads[[#This Row],[clicks]]*RANDBETWEEN(8,12)/10,0)</f>
        <v>3476</v>
      </c>
      <c r="AK108" s="4">
        <v>573.20000000000005</v>
      </c>
      <c r="AL108" s="4">
        <f ca="1">ROUND(T_Tiktok_ads[[#This Row],[conversions]]*RANDBETWEEN(8,12)/10,0)</f>
        <v>35</v>
      </c>
      <c r="AM108" s="4">
        <f ca="1">ROUND(T_Tiktok_ads[[#This Row],[video_views]]*RANDBETWEEN(8,12)/10,0)</f>
        <v>192987</v>
      </c>
      <c r="AN108" s="4">
        <f ca="1">ROUND(T_Tiktok_ads[[#This Row],[video_watch_25]]*RANDBETWEEN(8,12)/10,0)</f>
        <v>225881</v>
      </c>
      <c r="AO108" s="4">
        <f ca="1">ROUND(T_Tiktok_ads[[#This Row],[video_watch_50]]*RANDBETWEEN(8,12)/10,0)</f>
        <v>141468</v>
      </c>
      <c r="AP108" s="4">
        <f ca="1">ROUND(T_Tiktok_ads[[#This Row],[video_watch_75]]*RANDBETWEEN(8,12)/10,0)</f>
        <v>95081</v>
      </c>
      <c r="AQ108" s="4">
        <f ca="1">ROUND(T_Tiktok_ads[[#This Row],[video_watch_100]]*RANDBETWEEN(8,12)/10,0)</f>
        <v>42231</v>
      </c>
      <c r="AR108" s="4">
        <f ca="1">ROUND(T_Tiktok_ads[[#This Row],[likes]]*RANDBETWEEN(8,12)/10,0)</f>
        <v>12680</v>
      </c>
      <c r="AS108" s="4">
        <f ca="1">ROUND(T_Tiktok_ads[[#This Row],[shares]]*RANDBETWEEN(8,12)/10,0)</f>
        <v>2856</v>
      </c>
      <c r="AT108" s="4">
        <f ca="1">ROUND(T_Tiktok_ads[[#This Row],[comments]]*RANDBETWEEN(8,12)/10,0)</f>
        <v>667</v>
      </c>
      <c r="AV108" s="5">
        <f t="shared" ca="1" si="17"/>
        <v>44996</v>
      </c>
      <c r="AW108">
        <f t="shared" ca="1" si="13"/>
        <v>5</v>
      </c>
      <c r="AX108">
        <f ca="1">ROUND(T_Facebook_Ads115963[[#This Row],[impressions]]*RANDBETWEEN(8,12)/10,0)</f>
        <v>70897</v>
      </c>
      <c r="AY108">
        <f ca="1">ROUND(T_Facebook_Ads115963[[#This Row],[clicks]]*RANDBETWEEN(8,12)/10,0)</f>
        <v>1001</v>
      </c>
      <c r="AZ108">
        <f ca="1">T_Facebook_Ads115963[[#This Row],[spend]]*RANDBETWEEN(8,12)/10</f>
        <v>114.24000000000001</v>
      </c>
      <c r="BA108">
        <f ca="1">ROUND(T_Facebook_Ads115963[[#This Row],[conversions]]*RANDBETWEEN(8,12)/10,0)</f>
        <v>13</v>
      </c>
      <c r="BB108">
        <f ca="1">ROUND(T_Facebook_Ads115963[[#This Row],[video_views]]*RANDBETWEEN(8,12)/10,0)</f>
        <v>12977</v>
      </c>
    </row>
    <row r="109" spans="1:54" ht="15.75" thickBot="1" x14ac:dyDescent="0.3">
      <c r="A109" s="3">
        <f t="shared" ca="1" si="14"/>
        <v>44990</v>
      </c>
      <c r="B109" s="4" t="s">
        <v>56</v>
      </c>
      <c r="C109" s="4" t="s">
        <v>57</v>
      </c>
      <c r="D109" s="4" t="s">
        <v>58</v>
      </c>
      <c r="E109" s="4" t="s">
        <v>59</v>
      </c>
      <c r="F109" s="4">
        <f ca="1">ROUND(T_Facebook_Ads[[#This Row],[impressions]]*RANDBETWEEN(8,12)/10,0)</f>
        <v>15535</v>
      </c>
      <c r="G109" s="4">
        <v>645</v>
      </c>
      <c r="H109" s="4">
        <f ca="1">T_Facebook_Ads[[#This Row],[spend]]*RANDBETWEEN(8,12)/10</f>
        <v>213.20999999999998</v>
      </c>
      <c r="I109" s="4">
        <f ca="1">ROUND(T_Facebook_Ads[[#This Row],[conversions]]*RANDBETWEEN(8,12)/10,0)</f>
        <v>49</v>
      </c>
      <c r="J109" s="4">
        <f ca="1">ROUND(T_Facebook_Ads[[#This Row],[video_views]]*RANDBETWEEN(8,12)/10,0)</f>
        <v>1281</v>
      </c>
      <c r="K109" s="4">
        <f ca="1">T_Facebook_Ads[[#This Row],[engagement_rate]]*RANDBETWEEN(8,12)/10</f>
        <v>4.113E-2</v>
      </c>
      <c r="L109" s="4">
        <f ca="1">ROUND(T_Facebook_Ads[[#This Row],[reach]]*RANDBETWEEN(8,12)/10,0)</f>
        <v>12235</v>
      </c>
      <c r="M109" s="4">
        <f ca="1">T_Facebook_Ads[[#This Row],[frequency]]*RANDBETWEEN(8,12)/10</f>
        <v>1.524</v>
      </c>
      <c r="O109" s="3">
        <f t="shared" ca="1" si="15"/>
        <v>44990</v>
      </c>
      <c r="P109" s="4" t="s">
        <v>80</v>
      </c>
      <c r="Q109" s="4" t="s">
        <v>81</v>
      </c>
      <c r="R109" s="4" t="s">
        <v>82</v>
      </c>
      <c r="S109" s="4" t="s">
        <v>83</v>
      </c>
      <c r="T109" s="4">
        <f ca="1">ROUND(_Google_ads[[#This Row],[impressions]]*RANDBETWEEN(8,12)/10,0)</f>
        <v>41301</v>
      </c>
      <c r="U109" s="4">
        <f ca="1">ROUND(_Google_ads[[#This Row],[clicks]]*RANDBETWEEN(8,12)/10,0)</f>
        <v>730</v>
      </c>
      <c r="V109" s="4">
        <f ca="1">_Google_ads[[#This Row],[cost]]*RANDBETWEEN(8,12)/10</f>
        <v>470.16</v>
      </c>
      <c r="W109" s="4">
        <f ca="1">ROUND(_Google_ads[[#This Row],[conversions]]*RANDBETWEEN(8,12)/10,0)</f>
        <v>22</v>
      </c>
      <c r="X109" s="4">
        <f ca="1">ROUND(_Google_ads[[#This Row],[conversion_value]]*RANDBETWEEN(8,12)/10,0)</f>
        <v>1080</v>
      </c>
      <c r="Y109" s="4">
        <f ca="1">_Google_ads[[#This Row],[ctr]]*RANDBETWEEN(8,12)/10</f>
        <v>1.9900000000000001E-2</v>
      </c>
      <c r="Z109" s="4">
        <f ca="1">_Google_ads[[#This Row],[avg_cpc]]*RANDBETWEEN(8,12)/10</f>
        <v>0.64</v>
      </c>
      <c r="AA109" s="4">
        <f ca="1">ROUND(_Google_ads[[#This Row],[quality_score]]*RANDBETWEEN(8,12)/10,0)</f>
        <v>8</v>
      </c>
      <c r="AB109" s="4">
        <f ca="1">_Google_ads[[#This Row],[search_impression_share]]*RANDBETWEEN(8,12)/10</f>
        <v>0.40499999999999997</v>
      </c>
      <c r="AD109" s="3">
        <f t="shared" ca="1" si="16"/>
        <v>45004</v>
      </c>
      <c r="AE109" s="4" t="s">
        <v>104</v>
      </c>
      <c r="AF109" s="4" t="s">
        <v>105</v>
      </c>
      <c r="AG109" s="4" t="s">
        <v>106</v>
      </c>
      <c r="AH109" s="4" t="s">
        <v>107</v>
      </c>
      <c r="AI109" s="4">
        <f ca="1">ROUND(T_Tiktok_ads[[#This Row],[impressions]]*RANDBETWEEN(8,12)/10,0)</f>
        <v>193481</v>
      </c>
      <c r="AJ109" s="4">
        <f ca="1">ROUND(T_Tiktok_ads[[#This Row],[clicks]]*RANDBETWEEN(8,12)/10,0)</f>
        <v>3707</v>
      </c>
      <c r="AK109" s="4">
        <v>823.7</v>
      </c>
      <c r="AL109" s="4">
        <f ca="1">ROUND(T_Tiktok_ads[[#This Row],[conversions]]*RANDBETWEEN(8,12)/10,0)</f>
        <v>66</v>
      </c>
      <c r="AM109" s="4">
        <f ca="1">ROUND(T_Tiktok_ads[[#This Row],[video_views]]*RANDBETWEEN(8,12)/10,0)</f>
        <v>102110</v>
      </c>
      <c r="AN109" s="4">
        <f ca="1">ROUND(T_Tiktok_ads[[#This Row],[video_watch_25]]*RANDBETWEEN(8,12)/10,0)</f>
        <v>75210</v>
      </c>
      <c r="AO109" s="4">
        <f ca="1">ROUND(T_Tiktok_ads[[#This Row],[video_watch_50]]*RANDBETWEEN(8,12)/10,0)</f>
        <v>44987</v>
      </c>
      <c r="AP109" s="4">
        <f ca="1">ROUND(T_Tiktok_ads[[#This Row],[video_watch_75]]*RANDBETWEEN(8,12)/10,0)</f>
        <v>33876</v>
      </c>
      <c r="AQ109" s="4">
        <f ca="1">ROUND(T_Tiktok_ads[[#This Row],[video_watch_100]]*RANDBETWEEN(8,12)/10,0)</f>
        <v>25411</v>
      </c>
      <c r="AR109" s="4">
        <f ca="1">ROUND(T_Tiktok_ads[[#This Row],[likes]]*RANDBETWEEN(8,12)/10,0)</f>
        <v>6075</v>
      </c>
      <c r="AS109" s="4">
        <f ca="1">ROUND(T_Tiktok_ads[[#This Row],[shares]]*RANDBETWEEN(8,12)/10,0)</f>
        <v>1907</v>
      </c>
      <c r="AT109" s="4">
        <f ca="1">ROUND(T_Tiktok_ads[[#This Row],[comments]]*RANDBETWEEN(8,12)/10,0)</f>
        <v>241</v>
      </c>
      <c r="AV109" s="5">
        <f t="shared" ca="1" si="17"/>
        <v>45016</v>
      </c>
      <c r="AW109">
        <f t="shared" ca="1" si="13"/>
        <v>4</v>
      </c>
      <c r="AX109">
        <f ca="1">ROUND(T_Facebook_Ads115963[[#This Row],[impressions]]*RANDBETWEEN(8,12)/10,0)</f>
        <v>13982</v>
      </c>
      <c r="AY109">
        <f ca="1">ROUND(T_Facebook_Ads115963[[#This Row],[clicks]]*RANDBETWEEN(8,12)/10,0)</f>
        <v>645</v>
      </c>
      <c r="AZ109">
        <f ca="1">T_Facebook_Ads115963[[#This Row],[spend]]*RANDBETWEEN(8,12)/10</f>
        <v>213.20999999999998</v>
      </c>
      <c r="BA109">
        <f ca="1">ROUND(T_Facebook_Ads115963[[#This Row],[conversions]]*RANDBETWEEN(8,12)/10,0)</f>
        <v>54</v>
      </c>
      <c r="BB109">
        <f ca="1">ROUND(T_Facebook_Ads115963[[#This Row],[video_views]]*RANDBETWEEN(8,12)/10,0)</f>
        <v>1153</v>
      </c>
    </row>
    <row r="110" spans="1:54" ht="15.75" thickBot="1" x14ac:dyDescent="0.3">
      <c r="A110" s="3">
        <f t="shared" ca="1" si="14"/>
        <v>45002</v>
      </c>
      <c r="B110" s="4" t="s">
        <v>60</v>
      </c>
      <c r="C110" s="4" t="s">
        <v>61</v>
      </c>
      <c r="D110" s="4" t="s">
        <v>62</v>
      </c>
      <c r="E110" s="4" t="s">
        <v>63</v>
      </c>
      <c r="F110" s="4">
        <f ca="1">ROUND(T_Facebook_Ads[[#This Row],[impressions]]*RANDBETWEEN(8,12)/10,0)</f>
        <v>45468</v>
      </c>
      <c r="G110" s="4">
        <v>1412</v>
      </c>
      <c r="H110" s="4">
        <f ca="1">T_Facebook_Ads[[#This Row],[spend]]*RANDBETWEEN(8,12)/10</f>
        <v>216.5</v>
      </c>
      <c r="I110" s="4">
        <f ca="1">ROUND(T_Facebook_Ads[[#This Row],[conversions]]*RANDBETWEEN(8,12)/10,0)</f>
        <v>27</v>
      </c>
      <c r="J110" s="4">
        <f ca="1">ROUND(T_Facebook_Ads[[#This Row],[video_views]]*RANDBETWEEN(8,12)/10,0)</f>
        <v>4956</v>
      </c>
      <c r="K110" s="4">
        <f ca="1">T_Facebook_Ads[[#This Row],[engagement_rate]]*RANDBETWEEN(8,12)/10</f>
        <v>3.73E-2</v>
      </c>
      <c r="L110" s="4">
        <f ca="1">ROUND(T_Facebook_Ads[[#This Row],[reach]]*RANDBETWEEN(8,12)/10,0)</f>
        <v>37068</v>
      </c>
      <c r="M110" s="4">
        <f ca="1">T_Facebook_Ads[[#This Row],[frequency]]*RANDBETWEEN(8,12)/10</f>
        <v>1.476</v>
      </c>
      <c r="O110" s="3">
        <f t="shared" ca="1" si="15"/>
        <v>44990</v>
      </c>
      <c r="P110" s="4" t="s">
        <v>84</v>
      </c>
      <c r="Q110" s="4" t="s">
        <v>85</v>
      </c>
      <c r="R110" s="4" t="s">
        <v>86</v>
      </c>
      <c r="S110" s="4" t="s">
        <v>87</v>
      </c>
      <c r="T110" s="4">
        <f ca="1">ROUND(_Google_ads[[#This Row],[impressions]]*RANDBETWEEN(8,12)/10,0)</f>
        <v>84281</v>
      </c>
      <c r="U110" s="4">
        <f ca="1">ROUND(_Google_ads[[#This Row],[clicks]]*RANDBETWEEN(8,12)/10,0)</f>
        <v>2604</v>
      </c>
      <c r="V110" s="4">
        <f ca="1">_Google_ads[[#This Row],[cost]]*RANDBETWEEN(8,12)/10</f>
        <v>345.68</v>
      </c>
      <c r="W110" s="4">
        <f ca="1">ROUND(_Google_ads[[#This Row],[conversions]]*RANDBETWEEN(8,12)/10,0)</f>
        <v>82</v>
      </c>
      <c r="X110" s="4">
        <f ca="1">ROUND(_Google_ads[[#This Row],[conversion_value]]*RANDBETWEEN(8,12)/10,0)</f>
        <v>3400</v>
      </c>
      <c r="Y110" s="4">
        <f ca="1">_Google_ads[[#This Row],[ctr]]*RANDBETWEEN(8,12)/10</f>
        <v>3.7070000000000006E-2</v>
      </c>
      <c r="Z110" s="4">
        <f ca="1">_Google_ads[[#This Row],[avg_cpc]]*RANDBETWEEN(8,12)/10</f>
        <v>0.18</v>
      </c>
      <c r="AA110" s="4">
        <f ca="1">ROUND(_Google_ads[[#This Row],[quality_score]]*RANDBETWEEN(8,12)/10,0)</f>
        <v>7</v>
      </c>
      <c r="AB110" s="4">
        <f ca="1">_Google_ads[[#This Row],[search_impression_share]]*RANDBETWEEN(8,12)/10</f>
        <v>0.80400000000000005</v>
      </c>
      <c r="AD110" s="3">
        <f t="shared" ca="1" si="16"/>
        <v>45007</v>
      </c>
      <c r="AE110" s="4" t="s">
        <v>108</v>
      </c>
      <c r="AF110" s="4" t="s">
        <v>109</v>
      </c>
      <c r="AG110" s="4" t="s">
        <v>110</v>
      </c>
      <c r="AH110" s="4" t="s">
        <v>111</v>
      </c>
      <c r="AI110" s="4">
        <f ca="1">ROUND(T_Tiktok_ads[[#This Row],[impressions]]*RANDBETWEEN(8,12)/10,0)</f>
        <v>226111</v>
      </c>
      <c r="AJ110" s="4">
        <f ca="1">ROUND(T_Tiktok_ads[[#This Row],[clicks]]*RANDBETWEEN(8,12)/10,0)</f>
        <v>3570</v>
      </c>
      <c r="AK110" s="4">
        <v>481.5</v>
      </c>
      <c r="AL110" s="4">
        <f ca="1">ROUND(T_Tiktok_ads[[#This Row],[conversions]]*RANDBETWEEN(8,12)/10,0)</f>
        <v>28</v>
      </c>
      <c r="AM110" s="4">
        <f ca="1">ROUND(T_Tiktok_ads[[#This Row],[video_views]]*RANDBETWEEN(8,12)/10,0)</f>
        <v>198901</v>
      </c>
      <c r="AN110" s="4">
        <f ca="1">ROUND(T_Tiktok_ads[[#This Row],[video_watch_25]]*RANDBETWEEN(8,12)/10,0)</f>
        <v>135510</v>
      </c>
      <c r="AO110" s="4">
        <f ca="1">ROUND(T_Tiktok_ads[[#This Row],[video_watch_50]]*RANDBETWEEN(8,12)/10,0)</f>
        <v>107311</v>
      </c>
      <c r="AP110" s="4">
        <f ca="1">ROUND(T_Tiktok_ads[[#This Row],[video_watch_75]]*RANDBETWEEN(8,12)/10,0)</f>
        <v>76890</v>
      </c>
      <c r="AQ110" s="4">
        <f ca="1">ROUND(T_Tiktok_ads[[#This Row],[video_watch_100]]*RANDBETWEEN(8,12)/10,0)</f>
        <v>41910</v>
      </c>
      <c r="AR110" s="4">
        <f ca="1">ROUND(T_Tiktok_ads[[#This Row],[likes]]*RANDBETWEEN(8,12)/10,0)</f>
        <v>6942</v>
      </c>
      <c r="AS110" s="4">
        <f ca="1">ROUND(T_Tiktok_ads[[#This Row],[shares]]*RANDBETWEEN(8,12)/10,0)</f>
        <v>2140</v>
      </c>
      <c r="AT110" s="4">
        <f ca="1">ROUND(T_Tiktok_ads[[#This Row],[comments]]*RANDBETWEEN(8,12)/10,0)</f>
        <v>612</v>
      </c>
      <c r="AV110" s="5">
        <f t="shared" ca="1" si="17"/>
        <v>45001</v>
      </c>
      <c r="AW110">
        <f t="shared" ca="1" si="13"/>
        <v>2</v>
      </c>
      <c r="AX110">
        <f ca="1">ROUND(T_Facebook_Ads115963[[#This Row],[impressions]]*RANDBETWEEN(8,12)/10,0)</f>
        <v>36374</v>
      </c>
      <c r="AY110">
        <f ca="1">ROUND(T_Facebook_Ads115963[[#This Row],[clicks]]*RANDBETWEEN(8,12)/10,0)</f>
        <v>1553</v>
      </c>
      <c r="AZ110">
        <f ca="1">T_Facebook_Ads115963[[#This Row],[spend]]*RANDBETWEEN(8,12)/10</f>
        <v>259.8</v>
      </c>
      <c r="BA110">
        <f ca="1">ROUND(T_Facebook_Ads115963[[#This Row],[conversions]]*RANDBETWEEN(8,12)/10,0)</f>
        <v>24</v>
      </c>
      <c r="BB110">
        <f ca="1">ROUND(T_Facebook_Ads115963[[#This Row],[video_views]]*RANDBETWEEN(8,12)/10,0)</f>
        <v>4956</v>
      </c>
    </row>
    <row r="111" spans="1:54" x14ac:dyDescent="0.25">
      <c r="A111" s="3">
        <f t="shared" ca="1" si="14"/>
        <v>45014</v>
      </c>
      <c r="B111" s="4" t="s">
        <v>64</v>
      </c>
      <c r="C111" s="4" t="s">
        <v>65</v>
      </c>
      <c r="D111" s="4" t="s">
        <v>66</v>
      </c>
      <c r="E111" s="4" t="s">
        <v>67</v>
      </c>
      <c r="F111" s="4">
        <f ca="1">ROUND(T_Facebook_Ads[[#This Row],[impressions]]*RANDBETWEEN(8,12)/10,0)</f>
        <v>86548</v>
      </c>
      <c r="G111" s="4">
        <v>261</v>
      </c>
      <c r="H111" s="4">
        <f ca="1">T_Facebook_Ads[[#This Row],[spend]]*RANDBETWEEN(8,12)/10</f>
        <v>73.039999999999992</v>
      </c>
      <c r="I111" s="4">
        <f ca="1">ROUND(T_Facebook_Ads[[#This Row],[conversions]]*RANDBETWEEN(8,12)/10,0)</f>
        <v>7</v>
      </c>
      <c r="J111" s="4">
        <f ca="1">ROUND(T_Facebook_Ads[[#This Row],[video_views]]*RANDBETWEEN(8,12)/10,0)</f>
        <v>53424</v>
      </c>
      <c r="K111" s="4">
        <f ca="1">T_Facebook_Ads[[#This Row],[engagement_rate]]*RANDBETWEEN(8,12)/10</f>
        <v>2.8799999999999997E-3</v>
      </c>
      <c r="L111" s="4">
        <f ca="1">ROUND(T_Facebook_Ads[[#This Row],[reach]]*RANDBETWEEN(8,12)/10,0)</f>
        <v>53001</v>
      </c>
      <c r="M111" s="4">
        <f ca="1">T_Facebook_Ads[[#This Row],[frequency]]*RANDBETWEEN(8,12)/10</f>
        <v>1.464</v>
      </c>
      <c r="O111" s="3">
        <f t="shared" ca="1" si="15"/>
        <v>44994</v>
      </c>
      <c r="P111" s="4" t="s">
        <v>88</v>
      </c>
      <c r="Q111" s="4" t="s">
        <v>89</v>
      </c>
      <c r="R111" s="4" t="s">
        <v>90</v>
      </c>
      <c r="S111" s="4" t="s">
        <v>59</v>
      </c>
      <c r="T111" s="4">
        <f ca="1">ROUND(_Google_ads[[#This Row],[impressions]]*RANDBETWEEN(8,12)/10,0)</f>
        <v>106765</v>
      </c>
      <c r="U111" s="4">
        <f ca="1">ROUND(_Google_ads[[#This Row],[clicks]]*RANDBETWEEN(8,12)/10,0)</f>
        <v>430</v>
      </c>
      <c r="V111" s="4">
        <f ca="1">_Google_ads[[#This Row],[cost]]*RANDBETWEEN(8,12)/10</f>
        <v>131.19999999999999</v>
      </c>
      <c r="W111" s="4">
        <f ca="1">ROUND(_Google_ads[[#This Row],[conversions]]*RANDBETWEEN(8,12)/10,0)</f>
        <v>11</v>
      </c>
      <c r="X111" s="4">
        <f ca="1">ROUND(_Google_ads[[#This Row],[conversion_value]]*RANDBETWEEN(8,12)/10,0)</f>
        <v>840</v>
      </c>
      <c r="Y111" s="4">
        <f ca="1">_Google_ads[[#This Row],[ctr]]*RANDBETWEEN(8,12)/10</f>
        <v>3.5999999999999999E-3</v>
      </c>
      <c r="Z111" s="4">
        <f ca="1">_Google_ads[[#This Row],[avg_cpc]]*RANDBETWEEN(8,12)/10</f>
        <v>0.24300000000000002</v>
      </c>
      <c r="AA111" s="4">
        <f ca="1">ROUND(_Google_ads[[#This Row],[quality_score]]*RANDBETWEEN(8,12)/10,0)</f>
        <v>8</v>
      </c>
      <c r="AB111" s="4">
        <f ca="1">_Google_ads[[#This Row],[search_impression_share]]*RANDBETWEEN(8,12)/10</f>
        <v>0.27999999999999997</v>
      </c>
      <c r="AD111" s="3">
        <f t="shared" ca="1" si="16"/>
        <v>44992</v>
      </c>
      <c r="AE111" s="4" t="s">
        <v>112</v>
      </c>
      <c r="AF111" s="4" t="s">
        <v>113</v>
      </c>
      <c r="AG111" s="4" t="s">
        <v>114</v>
      </c>
      <c r="AH111" s="4" t="s">
        <v>115</v>
      </c>
      <c r="AI111" s="4">
        <f ca="1">ROUND(T_Tiktok_ads[[#This Row],[impressions]]*RANDBETWEEN(8,12)/10,0)</f>
        <v>478024</v>
      </c>
      <c r="AJ111" s="4">
        <f ca="1">ROUND(T_Tiktok_ads[[#This Row],[clicks]]*RANDBETWEEN(8,12)/10,0)</f>
        <v>5610</v>
      </c>
      <c r="AK111" s="4">
        <v>1089.3</v>
      </c>
      <c r="AL111" s="4">
        <f ca="1">ROUND(T_Tiktok_ads[[#This Row],[conversions]]*RANDBETWEEN(8,12)/10,0)</f>
        <v>131</v>
      </c>
      <c r="AM111" s="4">
        <f ca="1">ROUND(T_Tiktok_ads[[#This Row],[video_views]]*RANDBETWEEN(8,12)/10,0)</f>
        <v>331101</v>
      </c>
      <c r="AN111" s="4">
        <f ca="1">ROUND(T_Tiktok_ads[[#This Row],[video_watch_25]]*RANDBETWEEN(8,12)/10,0)</f>
        <v>236987</v>
      </c>
      <c r="AO111" s="4">
        <f ca="1">ROUND(T_Tiktok_ads[[#This Row],[video_watch_50]]*RANDBETWEEN(8,12)/10,0)</f>
        <v>237890</v>
      </c>
      <c r="AP111" s="4">
        <f ca="1">ROUND(T_Tiktok_ads[[#This Row],[video_watch_75]]*RANDBETWEEN(8,12)/10,0)</f>
        <v>185057</v>
      </c>
      <c r="AQ111" s="4">
        <f ca="1">ROUND(T_Tiktok_ads[[#This Row],[video_watch_100]]*RANDBETWEEN(8,12)/10,0)</f>
        <v>100111</v>
      </c>
      <c r="AR111" s="4">
        <f ca="1">ROUND(T_Tiktok_ads[[#This Row],[likes]]*RANDBETWEEN(8,12)/10,0)</f>
        <v>19234</v>
      </c>
      <c r="AS111" s="4">
        <f ca="1">ROUND(T_Tiktok_ads[[#This Row],[shares]]*RANDBETWEEN(8,12)/10,0)</f>
        <v>5534</v>
      </c>
      <c r="AT111" s="4">
        <f ca="1">ROUND(T_Tiktok_ads[[#This Row],[comments]]*RANDBETWEEN(8,12)/10,0)</f>
        <v>1675</v>
      </c>
      <c r="AV111" s="5">
        <f t="shared" ca="1" si="17"/>
        <v>44999</v>
      </c>
      <c r="AW111">
        <f t="shared" ca="1" si="13"/>
        <v>4</v>
      </c>
      <c r="AX111">
        <f ca="1">ROUND(T_Facebook_Ads115963[[#This Row],[impressions]]*RANDBETWEEN(8,12)/10,0)</f>
        <v>69238</v>
      </c>
      <c r="AY111">
        <f ca="1">ROUND(T_Facebook_Ads115963[[#This Row],[clicks]]*RANDBETWEEN(8,12)/10,0)</f>
        <v>261</v>
      </c>
      <c r="AZ111">
        <f ca="1">T_Facebook_Ads115963[[#This Row],[spend]]*RANDBETWEEN(8,12)/10</f>
        <v>87.647999999999996</v>
      </c>
      <c r="BA111">
        <f ca="1">ROUND(T_Facebook_Ads115963[[#This Row],[conversions]]*RANDBETWEEN(8,12)/10,0)</f>
        <v>8</v>
      </c>
      <c r="BB111">
        <f ca="1">ROUND(T_Facebook_Ads115963[[#This Row],[video_views]]*RANDBETWEEN(8,12)/10,0)</f>
        <v>64109</v>
      </c>
    </row>
  </sheetData>
  <pageMargins left="0.7" right="0.7" top="0.75" bottom="0.75" header="0.3" footer="0.3"/>
  <pageSetup orientation="portrait" r:id="rId1"/>
  <tableParts count="4">
    <tablePart r:id="rId2"/>
    <tablePart r:id="rId3"/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6A239-80D6-4F6D-8218-CDAAD7A5803F}">
  <dimension ref="A1:BB111"/>
  <sheetViews>
    <sheetView topLeftCell="AI1" workbookViewId="0">
      <selection activeCell="AY3" sqref="AY3"/>
    </sheetView>
  </sheetViews>
  <sheetFormatPr baseColWidth="10" defaultRowHeight="15" x14ac:dyDescent="0.25"/>
  <cols>
    <col min="2" max="2" width="14.42578125" customWidth="1"/>
    <col min="3" max="3" width="19.85546875" bestFit="1" customWidth="1"/>
    <col min="5" max="5" width="18.28515625" bestFit="1" customWidth="1"/>
    <col min="6" max="6" width="13.7109375" customWidth="1"/>
    <col min="9" max="10" width="13.7109375" customWidth="1"/>
    <col min="11" max="11" width="18.42578125" customWidth="1"/>
    <col min="13" max="13" width="12" customWidth="1"/>
    <col min="16" max="16" width="14.42578125" customWidth="1"/>
    <col min="17" max="17" width="18.5703125" bestFit="1" customWidth="1"/>
    <col min="18" max="18" width="14" customWidth="1"/>
    <col min="19" max="19" width="17.140625" customWidth="1"/>
    <col min="20" max="20" width="13.7109375" customWidth="1"/>
    <col min="21" max="21" width="8.140625" customWidth="1"/>
    <col min="22" max="22" width="6.85546875" customWidth="1"/>
    <col min="23" max="23" width="13.7109375" customWidth="1"/>
    <col min="24" max="24" width="18.42578125" customWidth="1"/>
    <col min="25" max="25" width="6.140625" bestFit="1" customWidth="1"/>
    <col min="26" max="26" width="10.28515625" customWidth="1"/>
    <col min="27" max="27" width="14.85546875" customWidth="1"/>
    <col min="28" max="28" width="25" customWidth="1"/>
    <col min="29" max="29" width="6.85546875" customWidth="1"/>
    <col min="30" max="30" width="8.42578125" bestFit="1" customWidth="1"/>
    <col min="31" max="31" width="14.42578125" customWidth="1"/>
    <col min="32" max="32" width="17.5703125" customWidth="1"/>
    <col min="33" max="33" width="13.140625" customWidth="1"/>
    <col min="34" max="34" width="16.28515625" customWidth="1"/>
    <col min="35" max="35" width="13.7109375" customWidth="1"/>
    <col min="36" max="36" width="8.140625" customWidth="1"/>
    <col min="37" max="37" width="6.85546875" customWidth="1"/>
    <col min="38" max="39" width="13.7109375" customWidth="1"/>
    <col min="40" max="42" width="17" customWidth="1"/>
    <col min="43" max="43" width="18" customWidth="1"/>
    <col min="44" max="44" width="7.140625" customWidth="1"/>
    <col min="45" max="45" width="8.7109375" customWidth="1"/>
    <col min="46" max="46" width="12.42578125" customWidth="1"/>
    <col min="49" max="49" width="14.28515625" customWidth="1"/>
    <col min="50" max="50" width="13.85546875" customWidth="1"/>
    <col min="53" max="53" width="13.7109375" customWidth="1"/>
    <col min="54" max="54" width="14.28515625" customWidth="1"/>
  </cols>
  <sheetData>
    <row r="1" spans="1:54" ht="15.75" thickBot="1" x14ac:dyDescent="0.3">
      <c r="A1" s="2" t="s">
        <v>39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  <c r="O1" s="2" t="s">
        <v>39</v>
      </c>
      <c r="P1" s="1" t="s">
        <v>40</v>
      </c>
      <c r="Q1" s="1" t="s">
        <v>41</v>
      </c>
      <c r="R1" s="1" t="s">
        <v>68</v>
      </c>
      <c r="S1" s="1" t="s">
        <v>69</v>
      </c>
      <c r="T1" s="1" t="s">
        <v>44</v>
      </c>
      <c r="U1" s="1" t="s">
        <v>45</v>
      </c>
      <c r="V1" s="1" t="s">
        <v>70</v>
      </c>
      <c r="W1" s="1" t="s">
        <v>47</v>
      </c>
      <c r="X1" s="1" t="s">
        <v>71</v>
      </c>
      <c r="Y1" s="1" t="s">
        <v>72</v>
      </c>
      <c r="Z1" s="1" t="s">
        <v>73</v>
      </c>
      <c r="AA1" s="1" t="s">
        <v>74</v>
      </c>
      <c r="AB1" s="1" t="s">
        <v>75</v>
      </c>
      <c r="AD1" s="2" t="s">
        <v>39</v>
      </c>
      <c r="AE1" s="1" t="s">
        <v>40</v>
      </c>
      <c r="AF1" s="1" t="s">
        <v>41</v>
      </c>
      <c r="AG1" s="1" t="s">
        <v>91</v>
      </c>
      <c r="AH1" s="1" t="s">
        <v>92</v>
      </c>
      <c r="AI1" s="1" t="s">
        <v>44</v>
      </c>
      <c r="AJ1" s="1" t="s">
        <v>45</v>
      </c>
      <c r="AK1" s="1" t="s">
        <v>70</v>
      </c>
      <c r="AL1" s="1" t="s">
        <v>47</v>
      </c>
      <c r="AM1" s="1" t="s">
        <v>48</v>
      </c>
      <c r="AN1" s="1" t="s">
        <v>93</v>
      </c>
      <c r="AO1" s="1" t="s">
        <v>94</v>
      </c>
      <c r="AP1" s="1" t="s">
        <v>95</v>
      </c>
      <c r="AQ1" s="1" t="s">
        <v>96</v>
      </c>
      <c r="AR1" s="1" t="s">
        <v>97</v>
      </c>
      <c r="AS1" s="1" t="s">
        <v>98</v>
      </c>
      <c r="AT1" s="1" t="s">
        <v>99</v>
      </c>
      <c r="AV1" t="s">
        <v>39</v>
      </c>
      <c r="AW1" t="s">
        <v>40</v>
      </c>
      <c r="AX1" t="s">
        <v>44</v>
      </c>
      <c r="AY1" t="s">
        <v>45</v>
      </c>
      <c r="AZ1" t="s">
        <v>46</v>
      </c>
      <c r="BA1" t="s">
        <v>47</v>
      </c>
      <c r="BB1" t="s">
        <v>48</v>
      </c>
    </row>
    <row r="2" spans="1:54" ht="15.75" thickBot="1" x14ac:dyDescent="0.3">
      <c r="A2" s="3">
        <f t="shared" ref="A2:A33" ca="1" si="0">DATE(2023,4,RANDBETWEEN(1,30))</f>
        <v>45032</v>
      </c>
      <c r="B2" s="4" t="s">
        <v>52</v>
      </c>
      <c r="C2" s="4" t="s">
        <v>53</v>
      </c>
      <c r="D2" s="4" t="s">
        <v>54</v>
      </c>
      <c r="E2" s="4" t="s">
        <v>55</v>
      </c>
      <c r="F2" s="4">
        <f ca="1">ROUND(T_Facebook_Ads[[#This Row],[impressions]]*RANDBETWEEN(8,12)/10,0)</f>
        <v>54748</v>
      </c>
      <c r="G2" s="4">
        <f ca="1">ROUND(T_Facebook_Ads[[#This Row],[clicks]]*RANDBETWEEN(8,12)/10,0)</f>
        <v>1070</v>
      </c>
      <c r="H2" s="4">
        <f ca="1">T_Facebook_Ads[[#This Row],[spend]]*RANDBETWEEN(8,12)/10</f>
        <v>127.5</v>
      </c>
      <c r="I2" s="4">
        <f ca="1">ROUND(T_Facebook_Ads[[#This Row],[conversions]]*RANDBETWEEN(8,12)/10,0)</f>
        <v>14</v>
      </c>
      <c r="J2" s="4">
        <f ca="1">ROUND(T_Facebook_Ads[[#This Row],[video_views]]*RANDBETWEEN(8,12)/10,0)</f>
        <v>7411</v>
      </c>
      <c r="K2" s="4">
        <f ca="1">T_Facebook_Ads[[#This Row],[engagement_rate]]*RANDBETWEEN(8,12)/10</f>
        <v>1.95E-2</v>
      </c>
      <c r="L2" s="4">
        <f ca="1">ROUND(T_Facebook_Ads[[#This Row],[reach]]*RANDBETWEEN(8,12)/10,0)</f>
        <v>38234</v>
      </c>
      <c r="M2" s="4">
        <f ca="1">T_Facebook_Ads[[#This Row],[frequency]]*RANDBETWEEN(8,12)/10</f>
        <v>1.071</v>
      </c>
      <c r="O2" s="3">
        <f t="shared" ref="O2:O33" ca="1" si="1">DATE(2023,4,RANDBETWEEN(1,30))</f>
        <v>45033</v>
      </c>
      <c r="P2" s="4" t="s">
        <v>76</v>
      </c>
      <c r="Q2" s="4" t="s">
        <v>77</v>
      </c>
      <c r="R2" s="4" t="s">
        <v>78</v>
      </c>
      <c r="S2" s="4" t="s">
        <v>79</v>
      </c>
      <c r="T2" s="4">
        <f ca="1">ROUND(_Google_ads[[#This Row],[impressions]]*RANDBETWEEN(8,12)/10,0)</f>
        <v>28147</v>
      </c>
      <c r="U2" s="4">
        <f ca="1">ROUND(_Google_ads[[#This Row],[clicks]]*RANDBETWEEN(8,12)/10,0)</f>
        <v>1357</v>
      </c>
      <c r="V2" s="4">
        <f ca="1">_Google_ads[[#This Row],[cost]]*RANDBETWEEN(8,12)/10</f>
        <v>211.05</v>
      </c>
      <c r="W2" s="4">
        <f ca="1">ROUND(_Google_ads[[#This Row],[conversions]]*RANDBETWEEN(8,12)/10,0)</f>
        <v>36</v>
      </c>
      <c r="X2" s="4">
        <f ca="1">ROUND(_Google_ads[[#This Row],[conversion_value]]*RANDBETWEEN(8,12)/10,0)</f>
        <v>2475</v>
      </c>
      <c r="Y2" s="4">
        <f ca="1">_Google_ads[[#This Row],[ctr]]*RANDBETWEEN(8,12)/10</f>
        <v>5.2600000000000001E-2</v>
      </c>
      <c r="Z2" s="4">
        <f ca="1">_Google_ads[[#This Row],[avg_cpc]]*RANDBETWEEN(8,12)/10</f>
        <v>0.20899999999999999</v>
      </c>
      <c r="AA2" s="4">
        <f ca="1">ROUND(_Google_ads[[#This Row],[quality_score]]*RANDBETWEEN(8,12)/10,0)</f>
        <v>10</v>
      </c>
      <c r="AB2" s="4">
        <f ca="1">_Google_ads[[#This Row],[search_impression_share]]*RANDBETWEEN(8,12)/10</f>
        <v>1.012</v>
      </c>
      <c r="AD2" s="3">
        <f t="shared" ref="AD2:AD33" ca="1" si="2">DATE(2023,4,RANDBETWEEN(1,30))</f>
        <v>45024</v>
      </c>
      <c r="AE2" s="4" t="s">
        <v>100</v>
      </c>
      <c r="AF2" s="4" t="s">
        <v>101</v>
      </c>
      <c r="AG2" s="4" t="s">
        <v>102</v>
      </c>
      <c r="AH2" s="4" t="s">
        <v>103</v>
      </c>
      <c r="AI2" s="4">
        <f ca="1">ROUND(T_Tiktok_ads[[#This Row],[impressions]]*RANDBETWEEN(8,12)/10,0)</f>
        <v>258024</v>
      </c>
      <c r="AJ2" s="4">
        <f ca="1">ROUND(T_Tiktok_ads[[#This Row],[clicks]]*RANDBETWEEN(8,12)/10,0)</f>
        <v>3456</v>
      </c>
      <c r="AK2" s="4">
        <f ca="1">T_Tiktok_ads[[#This Row],[cost]]*RANDBETWEEN(8,12)/10</f>
        <v>548.04</v>
      </c>
      <c r="AL2" s="4">
        <f ca="1">ROUND(T_Tiktok_ads[[#This Row],[conversions]]*RANDBETWEEN(8,12)/10,0)</f>
        <v>34</v>
      </c>
      <c r="AM2" s="4">
        <f ca="1">ROUND(T_Tiktok_ads[[#This Row],[video_views]]*RANDBETWEEN(8,12)/10,0)</f>
        <v>178411</v>
      </c>
      <c r="AN2" s="4">
        <f ca="1">ROUND(T_Tiktok_ads[[#This Row],[video_watch_25]]*RANDBETWEEN(8,12)/10,0)</f>
        <v>156234</v>
      </c>
      <c r="AO2" s="4">
        <f ca="1">ROUND(T_Tiktok_ads[[#This Row],[video_watch_50]]*RANDBETWEEN(8,12)/10,0)</f>
        <v>78587</v>
      </c>
      <c r="AP2" s="4">
        <f ca="1">ROUND(T_Tiktok_ads[[#This Row],[video_watch_75]]*RANDBETWEEN(8,12)/10,0)</f>
        <v>67234</v>
      </c>
      <c r="AQ2" s="4">
        <f ca="1">ROUND(T_Tiktok_ads[[#This Row],[video_watch_100]]*RANDBETWEEN(8,12)/10,0)</f>
        <v>49757</v>
      </c>
      <c r="AR2" s="4">
        <f ca="1">ROUND(T_Tiktok_ads[[#This Row],[likes]]*RANDBETWEEN(8,12)/10,0)</f>
        <v>8923</v>
      </c>
      <c r="AS2" s="4">
        <f ca="1">ROUND(T_Tiktok_ads[[#This Row],[shares]]*RANDBETWEEN(8,12)/10,0)</f>
        <v>2111</v>
      </c>
      <c r="AT2" s="4">
        <f ca="1">ROUND(T_Tiktok_ads[[#This Row],[comments]]*RANDBETWEEN(8,12)/10,0)</f>
        <v>567</v>
      </c>
      <c r="AV2" s="3">
        <f t="shared" ref="AV2:AV33" ca="1" si="3">DATE(2023,4,RANDBETWEEN(1,30))</f>
        <v>45017</v>
      </c>
      <c r="AW2">
        <f ca="1">RANDBETWEEN(1,8)</f>
        <v>4</v>
      </c>
      <c r="AX2">
        <f ca="1">ROUND(T_Facebook_Ads11596367[[#This Row],[impressions]]*RANDBETWEEN(8,12)/10,0)</f>
        <v>60223</v>
      </c>
      <c r="AY2">
        <f ca="1">ROUND(T_Facebook_Ads11596367[[#This Row],[clicks]]*RANDBETWEEN(8,12)/10,0)</f>
        <v>963</v>
      </c>
      <c r="AZ2">
        <f ca="1">T_Facebook_Ads11596367[[#This Row],[spend]]*RANDBETWEEN(8,12)/10</f>
        <v>127.5</v>
      </c>
      <c r="BA2">
        <f ca="1">ROUND(T_Facebook_Ads11596367[[#This Row],[conversions]]*RANDBETWEEN(8,12)/10,0)</f>
        <v>14</v>
      </c>
      <c r="BB2">
        <f ca="1">ROUND(T_Facebook_Ads11596367[[#This Row],[video_views]]*RANDBETWEEN(8,12)/10,0)</f>
        <v>8152</v>
      </c>
    </row>
    <row r="3" spans="1:54" ht="15.75" thickBot="1" x14ac:dyDescent="0.3">
      <c r="A3" s="3">
        <f t="shared" ca="1" si="0"/>
        <v>45022</v>
      </c>
      <c r="B3" s="4" t="s">
        <v>56</v>
      </c>
      <c r="C3" s="4" t="s">
        <v>57</v>
      </c>
      <c r="D3" s="4" t="s">
        <v>58</v>
      </c>
      <c r="E3" s="4" t="s">
        <v>59</v>
      </c>
      <c r="F3" s="4">
        <f ca="1">ROUND(T_Facebook_Ads[[#This Row],[impressions]]*RANDBETWEEN(8,12)/10,0)</f>
        <v>13702</v>
      </c>
      <c r="G3" s="4">
        <v>567</v>
      </c>
      <c r="H3" s="4">
        <f ca="1">T_Facebook_Ads[[#This Row],[spend]]*RANDBETWEEN(8,12)/10</f>
        <v>172.64000000000001</v>
      </c>
      <c r="I3" s="4">
        <f ca="1">ROUND(T_Facebook_Ads[[#This Row],[conversions]]*RANDBETWEEN(8,12)/10,0)</f>
        <v>41</v>
      </c>
      <c r="J3" s="4">
        <f ca="1">ROUND(T_Facebook_Ads[[#This Row],[video_views]]*RANDBETWEEN(8,12)/10,0)</f>
        <v>1234</v>
      </c>
      <c r="K3" s="4">
        <f ca="1">T_Facebook_Ads[[#This Row],[engagement_rate]]*RANDBETWEEN(8,12)/10</f>
        <v>3.6400000000000002E-2</v>
      </c>
      <c r="L3" s="4">
        <f ca="1">ROUND(T_Facebook_Ads[[#This Row],[reach]]*RANDBETWEEN(8,12)/10,0)</f>
        <v>10864</v>
      </c>
      <c r="M3" s="4">
        <f ca="1">T_Facebook_Ads[[#This Row],[frequency]]*RANDBETWEEN(8,12)/10</f>
        <v>1.26</v>
      </c>
      <c r="O3" s="3">
        <f t="shared" ca="1" si="1"/>
        <v>45028</v>
      </c>
      <c r="P3" s="4" t="s">
        <v>80</v>
      </c>
      <c r="Q3" s="4" t="s">
        <v>81</v>
      </c>
      <c r="R3" s="4" t="s">
        <v>82</v>
      </c>
      <c r="S3" s="4" t="s">
        <v>83</v>
      </c>
      <c r="T3" s="4">
        <f ca="1">ROUND(_Google_ads[[#This Row],[impressions]]*RANDBETWEEN(8,12)/10,0)</f>
        <v>50246</v>
      </c>
      <c r="U3" s="4">
        <f ca="1">ROUND(_Google_ads[[#This Row],[clicks]]*RANDBETWEEN(8,12)/10,0)</f>
        <v>801</v>
      </c>
      <c r="V3" s="4">
        <f ca="1">_Google_ads[[#This Row],[cost]]*RANDBETWEEN(8,12)/10</f>
        <v>567.79999999999995</v>
      </c>
      <c r="W3" s="4">
        <f ca="1">ROUND(_Google_ads[[#This Row],[conversions]]*RANDBETWEEN(8,12)/10,0)</f>
        <v>18</v>
      </c>
      <c r="X3" s="4">
        <f ca="1">ROUND(_Google_ads[[#This Row],[conversion_value]]*RANDBETWEEN(8,12)/10,0)</f>
        <v>1035</v>
      </c>
      <c r="Y3" s="4">
        <f ca="1">_Google_ads[[#This Row],[ctr]]*RANDBETWEEN(8,12)/10</f>
        <v>1.5599999999999999E-2</v>
      </c>
      <c r="Z3" s="4">
        <f ca="1">_Google_ads[[#This Row],[avg_cpc]]*RANDBETWEEN(8,12)/10</f>
        <v>0.76800000000000002</v>
      </c>
      <c r="AA3" s="4">
        <f ca="1">ROUND(_Google_ads[[#This Row],[quality_score]]*RANDBETWEEN(8,12)/10,0)</f>
        <v>8</v>
      </c>
      <c r="AB3" s="4">
        <f ca="1">_Google_ads[[#This Row],[search_impression_share]]*RANDBETWEEN(8,12)/10</f>
        <v>0.54</v>
      </c>
      <c r="AD3" s="3">
        <f t="shared" ca="1" si="2"/>
        <v>45017</v>
      </c>
      <c r="AE3" s="4" t="s">
        <v>104</v>
      </c>
      <c r="AF3" s="4" t="s">
        <v>105</v>
      </c>
      <c r="AG3" s="4" t="s">
        <v>106</v>
      </c>
      <c r="AH3" s="4" t="s">
        <v>107</v>
      </c>
      <c r="AI3" s="4">
        <f ca="1">ROUND(T_Tiktok_ads[[#This Row],[impressions]]*RANDBETWEEN(8,12)/10,0)</f>
        <v>123456</v>
      </c>
      <c r="AJ3" s="4">
        <f ca="1">ROUND(T_Tiktok_ads[[#This Row],[clicks]]*RANDBETWEEN(8,12)/10,0)</f>
        <v>1876</v>
      </c>
      <c r="AK3" s="4">
        <v>678.9</v>
      </c>
      <c r="AL3" s="4">
        <f ca="1">ROUND(T_Tiktok_ads[[#This Row],[conversions]]*RANDBETWEEN(8,12)/10,0)</f>
        <v>54</v>
      </c>
      <c r="AM3" s="4">
        <f ca="1">ROUND(T_Tiktok_ads[[#This Row],[video_views]]*RANDBETWEEN(8,12)/10,0)</f>
        <v>98157</v>
      </c>
      <c r="AN3" s="4">
        <f ca="1">ROUND(T_Tiktok_ads[[#This Row],[video_watch_25]]*RANDBETWEEN(8,12)/10,0)</f>
        <v>80681</v>
      </c>
      <c r="AO3" s="4">
        <f ca="1">ROUND(T_Tiktok_ads[[#This Row],[video_watch_50]]*RANDBETWEEN(8,12)/10,0)</f>
        <v>49757</v>
      </c>
      <c r="AP3" s="4">
        <f ca="1">ROUND(T_Tiktok_ads[[#This Row],[video_watch_75]]*RANDBETWEEN(8,12)/10,0)</f>
        <v>34234</v>
      </c>
      <c r="AQ3" s="4">
        <f ca="1">ROUND(T_Tiktok_ads[[#This Row],[video_watch_100]]*RANDBETWEEN(8,12)/10,0)</f>
        <v>28147</v>
      </c>
      <c r="AR3" s="4">
        <f ca="1">ROUND(T_Tiktok_ads[[#This Row],[likes]]*RANDBETWEEN(8,12)/10,0)</f>
        <v>3654</v>
      </c>
      <c r="AS3" s="4">
        <f ca="1">ROUND(T_Tiktok_ads[[#This Row],[shares]]*RANDBETWEEN(8,12)/10,0)</f>
        <v>1234</v>
      </c>
      <c r="AT3" s="4">
        <f ca="1">ROUND(T_Tiktok_ads[[#This Row],[comments]]*RANDBETWEEN(8,12)/10,0)</f>
        <v>187</v>
      </c>
      <c r="AV3" s="5">
        <f t="shared" ca="1" si="3"/>
        <v>45034</v>
      </c>
      <c r="AW3">
        <f t="shared" ref="AW3:AW66" ca="1" si="4">RANDBETWEEN(1,8)</f>
        <v>1</v>
      </c>
      <c r="AX3">
        <f ca="1">ROUND(T_Facebook_Ads11596367[[#This Row],[impressions]]*RANDBETWEEN(8,12)/10,0)</f>
        <v>12332</v>
      </c>
      <c r="AY3">
        <f ca="1">ROUND(T_Facebook_Ads11596367[[#This Row],[clicks]]*RANDBETWEEN(8,12)/10,0)</f>
        <v>680</v>
      </c>
      <c r="AZ3">
        <f ca="1">T_Facebook_Ads11596367[[#This Row],[spend]]*RANDBETWEEN(8,12)/10</f>
        <v>172.64000000000001</v>
      </c>
      <c r="BA3">
        <f ca="1">ROUND(T_Facebook_Ads11596367[[#This Row],[conversions]]*RANDBETWEEN(8,12)/10,0)</f>
        <v>37</v>
      </c>
      <c r="BB3">
        <f ca="1">ROUND(T_Facebook_Ads11596367[[#This Row],[video_views]]*RANDBETWEEN(8,12)/10,0)</f>
        <v>1234</v>
      </c>
    </row>
    <row r="4" spans="1:54" ht="15.75" thickBot="1" x14ac:dyDescent="0.3">
      <c r="A4" s="3">
        <f t="shared" ca="1" si="0"/>
        <v>45025</v>
      </c>
      <c r="B4" s="4" t="s">
        <v>60</v>
      </c>
      <c r="C4" s="4" t="s">
        <v>61</v>
      </c>
      <c r="D4" s="4" t="s">
        <v>62</v>
      </c>
      <c r="E4" s="4" t="s">
        <v>63</v>
      </c>
      <c r="F4" s="4">
        <f ca="1">ROUND(T_Facebook_Ads[[#This Row],[impressions]]*RANDBETWEEN(8,12)/10,0)</f>
        <v>34567</v>
      </c>
      <c r="G4" s="4">
        <v>1234</v>
      </c>
      <c r="H4" s="4">
        <f ca="1">T_Facebook_Ads[[#This Row],[spend]]*RANDBETWEEN(8,12)/10</f>
        <v>151.92000000000002</v>
      </c>
      <c r="I4" s="4">
        <f ca="1">ROUND(T_Facebook_Ads[[#This Row],[conversions]]*RANDBETWEEN(8,12)/10,0)</f>
        <v>21</v>
      </c>
      <c r="J4" s="4">
        <f ca="1">ROUND(T_Facebook_Ads[[#This Row],[video_views]]*RANDBETWEEN(8,12)/10,0)</f>
        <v>4567</v>
      </c>
      <c r="K4" s="4">
        <f ca="1">T_Facebook_Ads[[#This Row],[engagement_rate]]*RANDBETWEEN(8,12)/10</f>
        <v>3.5700000000000003E-2</v>
      </c>
      <c r="L4" s="4">
        <f ca="1">ROUND(T_Facebook_Ads[[#This Row],[reach]]*RANDBETWEEN(8,12)/10,0)</f>
        <v>23147</v>
      </c>
      <c r="M4" s="4">
        <f ca="1">T_Facebook_Ads[[#This Row],[frequency]]*RANDBETWEEN(8,12)/10</f>
        <v>1.071</v>
      </c>
      <c r="O4" s="3">
        <f t="shared" ca="1" si="1"/>
        <v>45024</v>
      </c>
      <c r="P4" s="4" t="s">
        <v>84</v>
      </c>
      <c r="Q4" s="4" t="s">
        <v>85</v>
      </c>
      <c r="R4" s="4" t="s">
        <v>86</v>
      </c>
      <c r="S4" s="4" t="s">
        <v>87</v>
      </c>
      <c r="T4" s="4">
        <f ca="1">ROUND(_Google_ads[[#This Row],[impressions]]*RANDBETWEEN(8,12)/10,0)</f>
        <v>81468</v>
      </c>
      <c r="U4" s="4">
        <f ca="1">ROUND(_Google_ads[[#This Row],[clicks]]*RANDBETWEEN(8,12)/10,0)</f>
        <v>2580</v>
      </c>
      <c r="V4" s="4">
        <f ca="1">_Google_ads[[#This Row],[cost]]*RANDBETWEEN(8,12)/10</f>
        <v>423.6</v>
      </c>
      <c r="W4" s="4">
        <f ca="1">ROUND(_Google_ads[[#This Row],[conversions]]*RANDBETWEEN(8,12)/10,0)</f>
        <v>67</v>
      </c>
      <c r="X4" s="4">
        <f ca="1">ROUND(_Google_ads[[#This Row],[conversion_value]]*RANDBETWEEN(8,12)/10,0)</f>
        <v>2680</v>
      </c>
      <c r="Y4" s="4">
        <f ca="1">_Google_ads[[#This Row],[ctr]]*RANDBETWEEN(8,12)/10</f>
        <v>4.1400000000000006E-2</v>
      </c>
      <c r="Z4" s="4">
        <f ca="1">_Google_ads[[#This Row],[avg_cpc]]*RANDBETWEEN(8,12)/10</f>
        <v>0.16199999999999998</v>
      </c>
      <c r="AA4" s="4">
        <f ca="1">ROUND(_Google_ads[[#This Row],[quality_score]]*RANDBETWEEN(8,12)/10,0)</f>
        <v>9</v>
      </c>
      <c r="AB4" s="4">
        <f ca="1">_Google_ads[[#This Row],[search_impression_share]]*RANDBETWEEN(8,12)/10</f>
        <v>0.53600000000000003</v>
      </c>
      <c r="AD4" s="3">
        <f t="shared" ca="1" si="2"/>
        <v>45027</v>
      </c>
      <c r="AE4" s="4" t="s">
        <v>108</v>
      </c>
      <c r="AF4" s="4" t="s">
        <v>109</v>
      </c>
      <c r="AG4" s="4" t="s">
        <v>110</v>
      </c>
      <c r="AH4" s="4" t="s">
        <v>111</v>
      </c>
      <c r="AI4" s="4">
        <f ca="1">ROUND(T_Tiktok_ads[[#This Row],[impressions]]*RANDBETWEEN(8,12)/10,0)</f>
        <v>189234</v>
      </c>
      <c r="AJ4" s="4">
        <f ca="1">ROUND(T_Tiktok_ads[[#This Row],[clicks]]*RANDBETWEEN(8,12)/10,0)</f>
        <v>3179</v>
      </c>
      <c r="AK4" s="4">
        <v>345.6</v>
      </c>
      <c r="AL4" s="4">
        <f ca="1">ROUND(T_Tiktok_ads[[#This Row],[conversions]]*RANDBETWEEN(8,12)/10,0)</f>
        <v>25</v>
      </c>
      <c r="AM4" s="4">
        <f ca="1">ROUND(T_Tiktok_ads[[#This Row],[video_views]]*RANDBETWEEN(8,12)/10,0)</f>
        <v>174814</v>
      </c>
      <c r="AN4" s="4">
        <f ca="1">ROUND(T_Tiktok_ads[[#This Row],[video_watch_25]]*RANDBETWEEN(8,12)/10,0)</f>
        <v>112345</v>
      </c>
      <c r="AO4" s="4">
        <f ca="1">ROUND(T_Tiktok_ads[[#This Row],[video_watch_50]]*RANDBETWEEN(8,12)/10,0)</f>
        <v>71387</v>
      </c>
      <c r="AP4" s="4">
        <f ca="1">ROUND(T_Tiktok_ads[[#This Row],[video_watch_75]]*RANDBETWEEN(8,12)/10,0)</f>
        <v>51110</v>
      </c>
      <c r="AQ4" s="4">
        <f ca="1">ROUND(T_Tiktok_ads[[#This Row],[video_watch_100]]*RANDBETWEEN(8,12)/10,0)</f>
        <v>41480</v>
      </c>
      <c r="AR4" s="4">
        <f ca="1">ROUND(T_Tiktok_ads[[#This Row],[likes]]*RANDBETWEEN(8,12)/10,0)</f>
        <v>8147</v>
      </c>
      <c r="AS4" s="4">
        <f ca="1">ROUND(T_Tiktok_ads[[#This Row],[shares]]*RANDBETWEEN(8,12)/10,0)</f>
        <v>1701</v>
      </c>
      <c r="AT4" s="4">
        <f ca="1">ROUND(T_Tiktok_ads[[#This Row],[comments]]*RANDBETWEEN(8,12)/10,0)</f>
        <v>456</v>
      </c>
      <c r="AV4" s="5">
        <f t="shared" ca="1" si="3"/>
        <v>45042</v>
      </c>
      <c r="AW4">
        <f t="shared" ca="1" si="4"/>
        <v>5</v>
      </c>
      <c r="AX4">
        <f ca="1">ROUND(T_Facebook_Ads11596367[[#This Row],[impressions]]*RANDBETWEEN(8,12)/10,0)</f>
        <v>27654</v>
      </c>
      <c r="AY4">
        <f ca="1">ROUND(T_Facebook_Ads11596367[[#This Row],[clicks]]*RANDBETWEEN(8,12)/10,0)</f>
        <v>1111</v>
      </c>
      <c r="AZ4">
        <f ca="1">T_Facebook_Ads11596367[[#This Row],[spend]]*RANDBETWEEN(8,12)/10</f>
        <v>167.11200000000002</v>
      </c>
      <c r="BA4">
        <f ca="1">ROUND(T_Facebook_Ads11596367[[#This Row],[conversions]]*RANDBETWEEN(8,12)/10,0)</f>
        <v>23</v>
      </c>
      <c r="BB4">
        <f ca="1">ROUND(T_Facebook_Ads11596367[[#This Row],[video_views]]*RANDBETWEEN(8,12)/10,0)</f>
        <v>4567</v>
      </c>
    </row>
    <row r="5" spans="1:54" ht="15.75" thickBot="1" x14ac:dyDescent="0.3">
      <c r="A5" s="3">
        <f t="shared" ca="1" si="0"/>
        <v>45027</v>
      </c>
      <c r="B5" s="4" t="s">
        <v>52</v>
      </c>
      <c r="C5" s="4" t="s">
        <v>53</v>
      </c>
      <c r="D5" s="4" t="s">
        <v>54</v>
      </c>
      <c r="E5" s="4" t="s">
        <v>55</v>
      </c>
      <c r="F5" s="4">
        <f ca="1">ROUND(T_Facebook_Ads[[#This Row],[impressions]]*RANDBETWEEN(8,12)/10,0)</f>
        <v>50814</v>
      </c>
      <c r="G5" s="4">
        <v>823</v>
      </c>
      <c r="H5" s="4">
        <f ca="1">T_Facebook_Ads[[#This Row],[spend]]*RANDBETWEEN(8,12)/10</f>
        <v>106.38</v>
      </c>
      <c r="I5" s="4">
        <f ca="1">ROUND(T_Facebook_Ads[[#This Row],[conversions]]*RANDBETWEEN(8,12)/10,0)</f>
        <v>9</v>
      </c>
      <c r="J5" s="4">
        <f ca="1">ROUND(T_Facebook_Ads[[#This Row],[video_views]]*RANDBETWEEN(8,12)/10,0)</f>
        <v>7101</v>
      </c>
      <c r="K5" s="4">
        <f ca="1">T_Facebook_Ads[[#This Row],[engagement_rate]]*RANDBETWEEN(8,12)/10</f>
        <v>2.1340000000000001E-2</v>
      </c>
      <c r="L5" s="4">
        <f ca="1">ROUND(T_Facebook_Ads[[#This Row],[reach]]*RANDBETWEEN(8,12)/10,0)</f>
        <v>36789</v>
      </c>
      <c r="M5" s="4">
        <f ca="1">T_Facebook_Ads[[#This Row],[frequency]]*RANDBETWEEN(8,12)/10</f>
        <v>1.0349999999999999</v>
      </c>
      <c r="O5" s="3">
        <f t="shared" ca="1" si="1"/>
        <v>45027</v>
      </c>
      <c r="P5" s="4" t="s">
        <v>76</v>
      </c>
      <c r="Q5" s="4" t="s">
        <v>77</v>
      </c>
      <c r="R5" s="4" t="s">
        <v>78</v>
      </c>
      <c r="S5" s="4" t="s">
        <v>79</v>
      </c>
      <c r="T5" s="4">
        <f ca="1">ROUND(_Google_ads[[#This Row],[impressions]]*RANDBETWEEN(8,12)/10,0)</f>
        <v>27024</v>
      </c>
      <c r="U5" s="4">
        <f ca="1">ROUND(_Google_ads[[#This Row],[clicks]]*RANDBETWEEN(8,12)/10,0)</f>
        <v>1031</v>
      </c>
      <c r="V5" s="4">
        <f ca="1">_Google_ads[[#This Row],[cost]]*RANDBETWEEN(8,12)/10</f>
        <v>196.48</v>
      </c>
      <c r="W5" s="4">
        <f ca="1">ROUND(_Google_ads[[#This Row],[conversions]]*RANDBETWEEN(8,12)/10,0)</f>
        <v>58</v>
      </c>
      <c r="X5" s="4">
        <f ca="1">ROUND(_Google_ads[[#This Row],[conversion_value]]*RANDBETWEEN(8,12)/10,0)</f>
        <v>2400</v>
      </c>
      <c r="Y5" s="4">
        <f ca="1">_Google_ads[[#This Row],[ctr]]*RANDBETWEEN(8,12)/10</f>
        <v>6.3E-2</v>
      </c>
      <c r="Z5" s="4">
        <f ca="1">_Google_ads[[#This Row],[avg_cpc]]*RANDBETWEEN(8,12)/10</f>
        <v>0.20899999999999999</v>
      </c>
      <c r="AA5" s="4">
        <f ca="1">ROUND(_Google_ads[[#This Row],[quality_score]]*RANDBETWEEN(8,12)/10,0)</f>
        <v>7</v>
      </c>
      <c r="AB5" s="4">
        <f ca="1">_Google_ads[[#This Row],[search_impression_share]]*RANDBETWEEN(8,12)/10</f>
        <v>1.0920000000000001</v>
      </c>
      <c r="AD5" s="3">
        <f t="shared" ca="1" si="2"/>
        <v>45026</v>
      </c>
      <c r="AE5" s="4" t="s">
        <v>100</v>
      </c>
      <c r="AF5" s="4" t="s">
        <v>101</v>
      </c>
      <c r="AG5" s="4" t="s">
        <v>102</v>
      </c>
      <c r="AH5" s="4" t="s">
        <v>103</v>
      </c>
      <c r="AI5" s="4">
        <f ca="1">ROUND(T_Tiktok_ads[[#This Row],[impressions]]*RANDBETWEEN(8,12)/10,0)</f>
        <v>196542</v>
      </c>
      <c r="AJ5" s="4">
        <f ca="1">ROUND(T_Tiktok_ads[[#This Row],[clicks]]*RANDBETWEEN(8,12)/10,0)</f>
        <v>3678</v>
      </c>
      <c r="AK5" s="4">
        <v>478.9</v>
      </c>
      <c r="AL5" s="4">
        <f ca="1">ROUND(T_Tiktok_ads[[#This Row],[conversions]]*RANDBETWEEN(8,12)/10,0)</f>
        <v>32</v>
      </c>
      <c r="AM5" s="4">
        <f ca="1">ROUND(T_Tiktok_ads[[#This Row],[video_views]]*RANDBETWEEN(8,12)/10,0)</f>
        <v>248814</v>
      </c>
      <c r="AN5" s="4">
        <f ca="1">ROUND(T_Tiktok_ads[[#This Row],[video_watch_25]]*RANDBETWEEN(8,12)/10,0)</f>
        <v>179802</v>
      </c>
      <c r="AO5" s="4">
        <f ca="1">ROUND(T_Tiktok_ads[[#This Row],[video_watch_50]]*RANDBETWEEN(8,12)/10,0)</f>
        <v>102345</v>
      </c>
      <c r="AP5" s="4">
        <f ca="1">ROUND(T_Tiktok_ads[[#This Row],[video_watch_75]]*RANDBETWEEN(8,12)/10,0)</f>
        <v>70234</v>
      </c>
      <c r="AQ5" s="4">
        <f ca="1">ROUND(T_Tiktok_ads[[#This Row],[video_watch_100]]*RANDBETWEEN(8,12)/10,0)</f>
        <v>37787</v>
      </c>
      <c r="AR5" s="4">
        <f ca="1">ROUND(T_Tiktok_ads[[#This Row],[likes]]*RANDBETWEEN(8,12)/10,0)</f>
        <v>10157</v>
      </c>
      <c r="AS5" s="4">
        <f ca="1">ROUND(T_Tiktok_ads[[#This Row],[shares]]*RANDBETWEEN(8,12)/10,0)</f>
        <v>2947</v>
      </c>
      <c r="AT5" s="4">
        <f ca="1">ROUND(T_Tiktok_ads[[#This Row],[comments]]*RANDBETWEEN(8,12)/10,0)</f>
        <v>530</v>
      </c>
      <c r="AV5" s="5">
        <f t="shared" ca="1" si="3"/>
        <v>45039</v>
      </c>
      <c r="AW5">
        <f ca="1">RANDBETWEEN(1,8)</f>
        <v>3</v>
      </c>
      <c r="AX5">
        <f ca="1">ROUND(T_Facebook_Ads11596367[[#This Row],[impressions]]*RANDBETWEEN(8,12)/10,0)</f>
        <v>50814</v>
      </c>
      <c r="AY5">
        <f ca="1">ROUND(T_Facebook_Ads11596367[[#This Row],[clicks]]*RANDBETWEEN(8,12)/10,0)</f>
        <v>988</v>
      </c>
      <c r="AZ5">
        <f ca="1">T_Facebook_Ads11596367[[#This Row],[spend]]*RANDBETWEEN(8,12)/10</f>
        <v>106.38</v>
      </c>
      <c r="BA5">
        <f ca="1">ROUND(T_Facebook_Ads11596367[[#This Row],[conversions]]*RANDBETWEEN(8,12)/10,0)</f>
        <v>8</v>
      </c>
      <c r="BB5">
        <f ca="1">ROUND(T_Facebook_Ads11596367[[#This Row],[video_views]]*RANDBETWEEN(8,12)/10,0)</f>
        <v>7101</v>
      </c>
    </row>
    <row r="6" spans="1:54" ht="15.75" thickBot="1" x14ac:dyDescent="0.3">
      <c r="A6" s="3">
        <f t="shared" ca="1" si="0"/>
        <v>45041</v>
      </c>
      <c r="B6" s="4" t="s">
        <v>56</v>
      </c>
      <c r="C6" s="4" t="s">
        <v>57</v>
      </c>
      <c r="D6" s="4" t="s">
        <v>58</v>
      </c>
      <c r="E6" s="4" t="s">
        <v>59</v>
      </c>
      <c r="F6" s="4">
        <f ca="1">ROUND(T_Facebook_Ads[[#This Row],[impressions]]*RANDBETWEEN(8,12)/10,0)</f>
        <v>13678</v>
      </c>
      <c r="G6" s="4">
        <v>623</v>
      </c>
      <c r="H6" s="4">
        <f ca="1">T_Facebook_Ads[[#This Row],[spend]]*RANDBETWEEN(8,12)/10</f>
        <v>257.95</v>
      </c>
      <c r="I6" s="4">
        <f ca="1">ROUND(T_Facebook_Ads[[#This Row],[conversions]]*RANDBETWEEN(8,12)/10,0)</f>
        <v>34</v>
      </c>
      <c r="J6" s="4">
        <f ca="1">ROUND(T_Facebook_Ads[[#This Row],[video_views]]*RANDBETWEEN(8,12)/10,0)</f>
        <v>1165</v>
      </c>
      <c r="K6" s="4">
        <f ca="1">T_Facebook_Ads[[#This Row],[engagement_rate]]*RANDBETWEEN(8,12)/10</f>
        <v>5.0049999999999997E-2</v>
      </c>
      <c r="L6" s="4">
        <f ca="1">ROUND(T_Facebook_Ads[[#This Row],[reach]]*RANDBETWEEN(8,12)/10,0)</f>
        <v>11257</v>
      </c>
      <c r="M6" s="4">
        <f ca="1">T_Facebook_Ads[[#This Row],[frequency]]*RANDBETWEEN(8,12)/10</f>
        <v>1.474</v>
      </c>
      <c r="O6" s="3">
        <f t="shared" ca="1" si="1"/>
        <v>45022</v>
      </c>
      <c r="P6" s="4" t="s">
        <v>80</v>
      </c>
      <c r="Q6" s="4" t="s">
        <v>81</v>
      </c>
      <c r="R6" s="4" t="s">
        <v>82</v>
      </c>
      <c r="S6" s="4" t="s">
        <v>83</v>
      </c>
      <c r="T6" s="4">
        <f ca="1">ROUND(_Google_ads[[#This Row],[impressions]]*RANDBETWEEN(8,12)/10,0)</f>
        <v>34587</v>
      </c>
      <c r="U6" s="4">
        <f ca="1">ROUND(_Google_ads[[#This Row],[clicks]]*RANDBETWEEN(8,12)/10,0)</f>
        <v>658</v>
      </c>
      <c r="V6" s="4">
        <f ca="1">_Google_ads[[#This Row],[cost]]*RANDBETWEEN(8,12)/10</f>
        <v>427.36</v>
      </c>
      <c r="W6" s="4">
        <f ca="1">ROUND(_Google_ads[[#This Row],[conversions]]*RANDBETWEEN(8,12)/10,0)</f>
        <v>19</v>
      </c>
      <c r="X6" s="4">
        <f ca="1">ROUND(_Google_ads[[#This Row],[conversion_value]]*RANDBETWEEN(8,12)/10,0)</f>
        <v>1050</v>
      </c>
      <c r="Y6" s="4">
        <f ca="1">_Google_ads[[#This Row],[ctr]]*RANDBETWEEN(8,12)/10</f>
        <v>1.7099999999999997E-2</v>
      </c>
      <c r="Z6" s="4">
        <f ca="1">_Google_ads[[#This Row],[avg_cpc]]*RANDBETWEEN(8,12)/10</f>
        <v>0.71500000000000008</v>
      </c>
      <c r="AA6" s="4">
        <f ca="1">ROUND(_Google_ads[[#This Row],[quality_score]]*RANDBETWEEN(8,12)/10,0)</f>
        <v>8</v>
      </c>
      <c r="AB6" s="4">
        <f ca="1">_Google_ads[[#This Row],[search_impression_share]]*RANDBETWEEN(8,12)/10</f>
        <v>0.52800000000000002</v>
      </c>
      <c r="AD6" s="3">
        <f t="shared" ca="1" si="2"/>
        <v>45019</v>
      </c>
      <c r="AE6" s="4" t="s">
        <v>104</v>
      </c>
      <c r="AF6" s="4" t="s">
        <v>105</v>
      </c>
      <c r="AG6" s="4" t="s">
        <v>106</v>
      </c>
      <c r="AH6" s="4" t="s">
        <v>107</v>
      </c>
      <c r="AI6" s="4">
        <f ca="1">ROUND(T_Tiktok_ads[[#This Row],[impressions]]*RANDBETWEEN(8,12)/10,0)</f>
        <v>134567</v>
      </c>
      <c r="AJ6" s="4">
        <f ca="1">ROUND(T_Tiktok_ads[[#This Row],[clicks]]*RANDBETWEEN(8,12)/10,0)</f>
        <v>2054</v>
      </c>
      <c r="AK6" s="4">
        <v>712.3</v>
      </c>
      <c r="AL6" s="4">
        <f ca="1">ROUND(T_Tiktok_ads[[#This Row],[conversions]]*RANDBETWEEN(8,12)/10,0)</f>
        <v>71</v>
      </c>
      <c r="AM6" s="4">
        <f ca="1">ROUND(T_Tiktok_ads[[#This Row],[video_views]]*RANDBETWEEN(8,12)/10,0)</f>
        <v>105246</v>
      </c>
      <c r="AN6" s="4">
        <f ca="1">ROUND(T_Tiktok_ads[[#This Row],[video_watch_25]]*RANDBETWEEN(8,12)/10,0)</f>
        <v>78357</v>
      </c>
      <c r="AO6" s="4">
        <f ca="1">ROUND(T_Tiktok_ads[[#This Row],[video_watch_50]]*RANDBETWEEN(8,12)/10,0)</f>
        <v>43411</v>
      </c>
      <c r="AP6" s="4">
        <f ca="1">ROUND(T_Tiktok_ads[[#This Row],[video_watch_75]]*RANDBETWEEN(8,12)/10,0)</f>
        <v>36234</v>
      </c>
      <c r="AQ6" s="4">
        <f ca="1">ROUND(T_Tiktok_ads[[#This Row],[video_watch_100]]*RANDBETWEEN(8,12)/10,0)</f>
        <v>22110</v>
      </c>
      <c r="AR6" s="4">
        <f ca="1">ROUND(T_Tiktok_ads[[#This Row],[likes]]*RANDBETWEEN(8,12)/10,0)</f>
        <v>5747</v>
      </c>
      <c r="AS6" s="4">
        <f ca="1">ROUND(T_Tiktok_ads[[#This Row],[shares]]*RANDBETWEEN(8,12)/10,0)</f>
        <v>1614</v>
      </c>
      <c r="AT6" s="4">
        <f ca="1">ROUND(T_Tiktok_ads[[#This Row],[comments]]*RANDBETWEEN(8,12)/10,0)</f>
        <v>245</v>
      </c>
      <c r="AV6" s="5">
        <f t="shared" ca="1" si="3"/>
        <v>45045</v>
      </c>
      <c r="AW6">
        <f t="shared" ca="1" si="4"/>
        <v>8</v>
      </c>
      <c r="AX6">
        <f ca="1">ROUND(T_Facebook_Ads11596367[[#This Row],[impressions]]*RANDBETWEEN(8,12)/10,0)</f>
        <v>10942</v>
      </c>
      <c r="AY6">
        <f ca="1">ROUND(T_Facebook_Ads11596367[[#This Row],[clicks]]*RANDBETWEEN(8,12)/10,0)</f>
        <v>685</v>
      </c>
      <c r="AZ6">
        <f ca="1">T_Facebook_Ads11596367[[#This Row],[spend]]*RANDBETWEEN(8,12)/10</f>
        <v>257.95</v>
      </c>
      <c r="BA6">
        <f ca="1">ROUND(T_Facebook_Ads11596367[[#This Row],[conversions]]*RANDBETWEEN(8,12)/10,0)</f>
        <v>27</v>
      </c>
      <c r="BB6">
        <f ca="1">ROUND(T_Facebook_Ads11596367[[#This Row],[video_views]]*RANDBETWEEN(8,12)/10,0)</f>
        <v>1398</v>
      </c>
    </row>
    <row r="7" spans="1:54" ht="15.75" thickBot="1" x14ac:dyDescent="0.3">
      <c r="A7" s="3">
        <f t="shared" ca="1" si="0"/>
        <v>45023</v>
      </c>
      <c r="B7" s="4" t="s">
        <v>60</v>
      </c>
      <c r="C7" s="4" t="s">
        <v>61</v>
      </c>
      <c r="D7" s="4" t="s">
        <v>62</v>
      </c>
      <c r="E7" s="4" t="s">
        <v>63</v>
      </c>
      <c r="F7" s="4">
        <f ca="1">ROUND(T_Facebook_Ads[[#This Row],[impressions]]*RANDBETWEEN(8,12)/10,0)</f>
        <v>36789</v>
      </c>
      <c r="G7" s="4">
        <v>1345</v>
      </c>
      <c r="H7" s="4">
        <f ca="1">T_Facebook_Ads[[#This Row],[spend]]*RANDBETWEEN(8,12)/10</f>
        <v>161.04000000000002</v>
      </c>
      <c r="I7" s="4">
        <f ca="1">ROUND(T_Facebook_Ads[[#This Row],[conversions]]*RANDBETWEEN(8,12)/10,0)</f>
        <v>30</v>
      </c>
      <c r="J7" s="4">
        <f ca="1">ROUND(T_Facebook_Ads[[#This Row],[video_views]]*RANDBETWEEN(8,12)/10,0)</f>
        <v>5379</v>
      </c>
      <c r="K7" s="4">
        <f ca="1">T_Facebook_Ads[[#This Row],[engagement_rate]]*RANDBETWEEN(8,12)/10</f>
        <v>4.0260000000000004E-2</v>
      </c>
      <c r="L7" s="4">
        <f ca="1">ROUND(T_Facebook_Ads[[#This Row],[reach]]*RANDBETWEEN(8,12)/10,0)</f>
        <v>36148</v>
      </c>
      <c r="M7" s="4">
        <f ca="1">T_Facebook_Ads[[#This Row],[frequency]]*RANDBETWEEN(8,12)/10</f>
        <v>1.3420000000000001</v>
      </c>
      <c r="O7" s="3">
        <f t="shared" ca="1" si="1"/>
        <v>45021</v>
      </c>
      <c r="P7" s="4" t="s">
        <v>84</v>
      </c>
      <c r="Q7" s="4" t="s">
        <v>85</v>
      </c>
      <c r="R7" s="4" t="s">
        <v>86</v>
      </c>
      <c r="S7" s="4" t="s">
        <v>87</v>
      </c>
      <c r="T7" s="4">
        <f ca="1">ROUND(_Google_ads[[#This Row],[impressions]]*RANDBETWEEN(8,12)/10,0)</f>
        <v>56987</v>
      </c>
      <c r="U7" s="4">
        <f ca="1">ROUND(_Google_ads[[#This Row],[clicks]]*RANDBETWEEN(8,12)/10,0)</f>
        <v>2456</v>
      </c>
      <c r="V7" s="4">
        <f ca="1">_Google_ads[[#This Row],[cost]]*RANDBETWEEN(8,12)/10</f>
        <v>534.96</v>
      </c>
      <c r="W7" s="4">
        <f ca="1">ROUND(_Google_ads[[#This Row],[conversions]]*RANDBETWEEN(8,12)/10,0)</f>
        <v>71</v>
      </c>
      <c r="X7" s="4">
        <f ca="1">ROUND(_Google_ads[[#This Row],[conversion_value]]*RANDBETWEEN(8,12)/10,0)</f>
        <v>3195</v>
      </c>
      <c r="Y7" s="4">
        <f ca="1">_Google_ads[[#This Row],[ctr]]*RANDBETWEEN(8,12)/10</f>
        <v>3.7950000000000005E-2</v>
      </c>
      <c r="Z7" s="4">
        <f ca="1">_Google_ads[[#This Row],[avg_cpc]]*RANDBETWEEN(8,12)/10</f>
        <v>0.14399999999999999</v>
      </c>
      <c r="AA7" s="4">
        <f ca="1">ROUND(_Google_ads[[#This Row],[quality_score]]*RANDBETWEEN(8,12)/10,0)</f>
        <v>6</v>
      </c>
      <c r="AB7" s="4">
        <f ca="1">_Google_ads[[#This Row],[search_impression_share]]*RANDBETWEEN(8,12)/10</f>
        <v>0.68</v>
      </c>
      <c r="AD7" s="3">
        <f t="shared" ca="1" si="2"/>
        <v>45036</v>
      </c>
      <c r="AE7" s="4" t="s">
        <v>108</v>
      </c>
      <c r="AF7" s="4" t="s">
        <v>109</v>
      </c>
      <c r="AG7" s="4" t="s">
        <v>110</v>
      </c>
      <c r="AH7" s="4" t="s">
        <v>111</v>
      </c>
      <c r="AI7" s="4">
        <f ca="1">ROUND(T_Tiktok_ads[[#This Row],[impressions]]*RANDBETWEEN(8,12)/10,0)</f>
        <v>158676</v>
      </c>
      <c r="AJ7" s="4">
        <f ca="1">ROUND(T_Tiktok_ads[[#This Row],[clicks]]*RANDBETWEEN(8,12)/10,0)</f>
        <v>3313</v>
      </c>
      <c r="AK7" s="4">
        <v>361.2</v>
      </c>
      <c r="AL7" s="4">
        <f ca="1">ROUND(T_Tiktok_ads[[#This Row],[conversions]]*RANDBETWEEN(8,12)/10,0)</f>
        <v>20</v>
      </c>
      <c r="AM7" s="4">
        <f ca="1">ROUND(T_Tiktok_ads[[#This Row],[video_views]]*RANDBETWEEN(8,12)/10,0)</f>
        <v>137111</v>
      </c>
      <c r="AN7" s="4">
        <f ca="1">ROUND(T_Tiktok_ads[[#This Row],[video_watch_25]]*RANDBETWEEN(8,12)/10,0)</f>
        <v>117234</v>
      </c>
      <c r="AO7" s="4">
        <f ca="1">ROUND(T_Tiktok_ads[[#This Row],[video_watch_50]]*RANDBETWEEN(8,12)/10,0)</f>
        <v>93234</v>
      </c>
      <c r="AP7" s="4">
        <f ca="1">ROUND(T_Tiktok_ads[[#This Row],[video_watch_75]]*RANDBETWEEN(8,12)/10,0)</f>
        <v>59234</v>
      </c>
      <c r="AQ7" s="4">
        <f ca="1">ROUND(T_Tiktok_ads[[#This Row],[video_watch_100]]*RANDBETWEEN(8,12)/10,0)</f>
        <v>32611</v>
      </c>
      <c r="AR7" s="4">
        <f ca="1">ROUND(T_Tiktok_ads[[#This Row],[likes]]*RANDBETWEEN(8,12)/10,0)</f>
        <v>7123</v>
      </c>
      <c r="AS7" s="4">
        <f ca="1">ROUND(T_Tiktok_ads[[#This Row],[shares]]*RANDBETWEEN(8,12)/10,0)</f>
        <v>1967</v>
      </c>
      <c r="AT7" s="4">
        <f ca="1">ROUND(T_Tiktok_ads[[#This Row],[comments]]*RANDBETWEEN(8,12)/10,0)</f>
        <v>430</v>
      </c>
      <c r="AV7" s="5">
        <f t="shared" ca="1" si="3"/>
        <v>45045</v>
      </c>
      <c r="AW7">
        <f t="shared" ca="1" si="4"/>
        <v>4</v>
      </c>
      <c r="AX7">
        <f ca="1">ROUND(T_Facebook_Ads11596367[[#This Row],[impressions]]*RANDBETWEEN(8,12)/10,0)</f>
        <v>44147</v>
      </c>
      <c r="AY7">
        <f ca="1">ROUND(T_Facebook_Ads11596367[[#This Row],[clicks]]*RANDBETWEEN(8,12)/10,0)</f>
        <v>1076</v>
      </c>
      <c r="AZ7">
        <f ca="1">T_Facebook_Ads11596367[[#This Row],[spend]]*RANDBETWEEN(8,12)/10</f>
        <v>128.83200000000002</v>
      </c>
      <c r="BA7">
        <f ca="1">ROUND(T_Facebook_Ads11596367[[#This Row],[conversions]]*RANDBETWEEN(8,12)/10,0)</f>
        <v>27</v>
      </c>
      <c r="BB7">
        <f ca="1">ROUND(T_Facebook_Ads11596367[[#This Row],[video_views]]*RANDBETWEEN(8,12)/10,0)</f>
        <v>4303</v>
      </c>
    </row>
    <row r="8" spans="1:54" ht="15.75" thickBot="1" x14ac:dyDescent="0.3">
      <c r="A8" s="3">
        <f t="shared" ca="1" si="0"/>
        <v>45023</v>
      </c>
      <c r="B8" s="4" t="s">
        <v>52</v>
      </c>
      <c r="C8" s="4" t="s">
        <v>53</v>
      </c>
      <c r="D8" s="4" t="s">
        <v>54</v>
      </c>
      <c r="E8" s="4" t="s">
        <v>55</v>
      </c>
      <c r="F8" s="4">
        <f ca="1">ROUND(T_Facebook_Ads[[#This Row],[impressions]]*RANDBETWEEN(8,12)/10,0)</f>
        <v>57881</v>
      </c>
      <c r="G8" s="4">
        <v>967</v>
      </c>
      <c r="H8" s="4">
        <f ca="1">T_Facebook_Ads[[#This Row],[spend]]*RANDBETWEEN(8,12)/10</f>
        <v>161.76000000000002</v>
      </c>
      <c r="I8" s="4">
        <f ca="1">ROUND(T_Facebook_Ads[[#This Row],[conversions]]*RANDBETWEEN(8,12)/10,0)</f>
        <v>14</v>
      </c>
      <c r="J8" s="4">
        <f ca="1">ROUND(T_Facebook_Ads[[#This Row],[video_views]]*RANDBETWEEN(8,12)/10,0)</f>
        <v>7121</v>
      </c>
      <c r="K8" s="4">
        <f ca="1">T_Facebook_Ads[[#This Row],[engagement_rate]]*RANDBETWEEN(8,12)/10</f>
        <v>2.01E-2</v>
      </c>
      <c r="L8" s="4">
        <f ca="1">ROUND(T_Facebook_Ads[[#This Row],[reach]]*RANDBETWEEN(8,12)/10,0)</f>
        <v>48148</v>
      </c>
      <c r="M8" s="4">
        <f ca="1">T_Facebook_Ads[[#This Row],[frequency]]*RANDBETWEEN(8,12)/10</f>
        <v>0.96</v>
      </c>
      <c r="O8" s="3">
        <f t="shared" ca="1" si="1"/>
        <v>45037</v>
      </c>
      <c r="P8" s="4" t="s">
        <v>76</v>
      </c>
      <c r="Q8" s="4" t="s">
        <v>77</v>
      </c>
      <c r="R8" s="4" t="s">
        <v>78</v>
      </c>
      <c r="S8" s="4" t="s">
        <v>79</v>
      </c>
      <c r="T8" s="4">
        <f ca="1">ROUND(_Google_ads[[#This Row],[impressions]]*RANDBETWEEN(8,12)/10,0)</f>
        <v>22345</v>
      </c>
      <c r="U8" s="4">
        <f ca="1">ROUND(_Google_ads[[#This Row],[clicks]]*RANDBETWEEN(8,12)/10,0)</f>
        <v>1011</v>
      </c>
      <c r="V8" s="4">
        <f ca="1">_Google_ads[[#This Row],[cost]]*RANDBETWEEN(8,12)/10</f>
        <v>234.74</v>
      </c>
      <c r="W8" s="4">
        <f ca="1">ROUND(_Google_ads[[#This Row],[conversions]]*RANDBETWEEN(8,12)/10,0)</f>
        <v>50</v>
      </c>
      <c r="X8" s="4">
        <f ca="1">ROUND(_Google_ads[[#This Row],[conversion_value]]*RANDBETWEEN(8,12)/10,0)</f>
        <v>1890</v>
      </c>
      <c r="Y8" s="4">
        <f ca="1">_Google_ads[[#This Row],[ctr]]*RANDBETWEEN(8,12)/10</f>
        <v>4.5269999999999998E-2</v>
      </c>
      <c r="Z8" s="4">
        <f ca="1">_Google_ads[[#This Row],[avg_cpc]]*RANDBETWEEN(8,12)/10</f>
        <v>0.20899999999999999</v>
      </c>
      <c r="AA8" s="4">
        <f ca="1">ROUND(_Google_ads[[#This Row],[quality_score]]*RANDBETWEEN(8,12)/10,0)</f>
        <v>9</v>
      </c>
      <c r="AB8" s="4">
        <f ca="1">_Google_ads[[#This Row],[search_impression_share]]*RANDBETWEEN(8,12)/10</f>
        <v>1.0230000000000001</v>
      </c>
      <c r="AD8" s="3">
        <f t="shared" ca="1" si="2"/>
        <v>45021</v>
      </c>
      <c r="AE8" s="4" t="s">
        <v>100</v>
      </c>
      <c r="AF8" s="4" t="s">
        <v>101</v>
      </c>
      <c r="AG8" s="4" t="s">
        <v>102</v>
      </c>
      <c r="AH8" s="4" t="s">
        <v>103</v>
      </c>
      <c r="AI8" s="4">
        <f ca="1">ROUND(T_Tiktok_ads[[#This Row],[impressions]]*RANDBETWEEN(8,12)/10,0)</f>
        <v>268147</v>
      </c>
      <c r="AJ8" s="4">
        <f ca="1">ROUND(T_Tiktok_ads[[#This Row],[clicks]]*RANDBETWEEN(8,12)/10,0)</f>
        <v>3234</v>
      </c>
      <c r="AK8" s="4">
        <v>434.5</v>
      </c>
      <c r="AL8" s="4">
        <f ca="1">ROUND(T_Tiktok_ads[[#This Row],[conversions]]*RANDBETWEEN(8,12)/10,0)</f>
        <v>38</v>
      </c>
      <c r="AM8" s="4">
        <f ca="1">ROUND(T_Tiktok_ads[[#This Row],[video_views]]*RANDBETWEEN(8,12)/10,0)</f>
        <v>208157</v>
      </c>
      <c r="AN8" s="4">
        <f ca="1">ROUND(T_Tiktok_ads[[#This Row],[video_watch_25]]*RANDBETWEEN(8,12)/10,0)</f>
        <v>118587</v>
      </c>
      <c r="AO8" s="4">
        <f ca="1">ROUND(T_Tiktok_ads[[#This Row],[video_watch_50]]*RANDBETWEEN(8,12)/10,0)</f>
        <v>83911</v>
      </c>
      <c r="AP8" s="4">
        <f ca="1">ROUND(T_Tiktok_ads[[#This Row],[video_watch_75]]*RANDBETWEEN(8,12)/10,0)</f>
        <v>50765</v>
      </c>
      <c r="AQ8" s="4">
        <f ca="1">ROUND(T_Tiktok_ads[[#This Row],[video_watch_100]]*RANDBETWEEN(8,12)/10,0)</f>
        <v>51881</v>
      </c>
      <c r="AR8" s="4">
        <f ca="1">ROUND(T_Tiktok_ads[[#This Row],[likes]]*RANDBETWEEN(8,12)/10,0)</f>
        <v>8567</v>
      </c>
      <c r="AS8" s="4">
        <f ca="1">ROUND(T_Tiktok_ads[[#This Row],[shares]]*RANDBETWEEN(8,12)/10,0)</f>
        <v>2681</v>
      </c>
      <c r="AT8" s="4">
        <f ca="1">ROUND(T_Tiktok_ads[[#This Row],[comments]]*RANDBETWEEN(8,12)/10,0)</f>
        <v>534</v>
      </c>
      <c r="AV8" s="5">
        <f t="shared" ca="1" si="3"/>
        <v>45019</v>
      </c>
      <c r="AW8">
        <f t="shared" ca="1" si="4"/>
        <v>3</v>
      </c>
      <c r="AX8">
        <f ca="1">ROUND(T_Facebook_Ads11596367[[#This Row],[impressions]]*RANDBETWEEN(8,12)/10,0)</f>
        <v>57881</v>
      </c>
      <c r="AY8">
        <f ca="1">ROUND(T_Facebook_Ads11596367[[#This Row],[clicks]]*RANDBETWEEN(8,12)/10,0)</f>
        <v>967</v>
      </c>
      <c r="AZ8">
        <f ca="1">T_Facebook_Ads11596367[[#This Row],[spend]]*RANDBETWEEN(8,12)/10</f>
        <v>161.76000000000002</v>
      </c>
      <c r="BA8">
        <f ca="1">ROUND(T_Facebook_Ads11596367[[#This Row],[conversions]]*RANDBETWEEN(8,12)/10,0)</f>
        <v>17</v>
      </c>
      <c r="BB8">
        <f ca="1">ROUND(T_Facebook_Ads11596367[[#This Row],[video_views]]*RANDBETWEEN(8,12)/10,0)</f>
        <v>7121</v>
      </c>
    </row>
    <row r="9" spans="1:54" ht="15.75" thickBot="1" x14ac:dyDescent="0.3">
      <c r="A9" s="3">
        <f t="shared" ca="1" si="0"/>
        <v>45027</v>
      </c>
      <c r="B9" s="4" t="s">
        <v>56</v>
      </c>
      <c r="C9" s="4" t="s">
        <v>57</v>
      </c>
      <c r="D9" s="4" t="s">
        <v>58</v>
      </c>
      <c r="E9" s="4" t="s">
        <v>59</v>
      </c>
      <c r="F9" s="4">
        <f ca="1">ROUND(T_Facebook_Ads[[#This Row],[impressions]]*RANDBETWEEN(8,12)/10,0)</f>
        <v>10111</v>
      </c>
      <c r="G9" s="4">
        <v>489</v>
      </c>
      <c r="H9" s="4">
        <f ca="1">T_Facebook_Ads[[#This Row],[spend]]*RANDBETWEEN(8,12)/10</f>
        <v>158.95999999999998</v>
      </c>
      <c r="I9" s="4">
        <f ca="1">ROUND(T_Facebook_Ads[[#This Row],[conversions]]*RANDBETWEEN(8,12)/10,0)</f>
        <v>31</v>
      </c>
      <c r="J9" s="4">
        <f ca="1">ROUND(T_Facebook_Ads[[#This Row],[video_views]]*RANDBETWEEN(8,12)/10,0)</f>
        <v>1348</v>
      </c>
      <c r="K9" s="4">
        <f ca="1">T_Facebook_Ads[[#This Row],[engagement_rate]]*RANDBETWEEN(8,12)/10</f>
        <v>5.2200000000000003E-2</v>
      </c>
      <c r="L9" s="4">
        <f ca="1">ROUND(T_Facebook_Ads[[#This Row],[reach]]*RANDBETWEEN(8,12)/10,0)</f>
        <v>8901</v>
      </c>
      <c r="M9" s="4">
        <f ca="1">T_Facebook_Ads[[#This Row],[frequency]]*RANDBETWEEN(8,12)/10</f>
        <v>1.008</v>
      </c>
      <c r="O9" s="3">
        <f t="shared" ca="1" si="1"/>
        <v>45023</v>
      </c>
      <c r="P9" s="4" t="s">
        <v>80</v>
      </c>
      <c r="Q9" s="4" t="s">
        <v>81</v>
      </c>
      <c r="R9" s="4" t="s">
        <v>82</v>
      </c>
      <c r="S9" s="4" t="s">
        <v>83</v>
      </c>
      <c r="T9" s="4">
        <f ca="1">ROUND(_Google_ads[[#This Row],[impressions]]*RANDBETWEEN(8,12)/10,0)</f>
        <v>52679</v>
      </c>
      <c r="U9" s="4">
        <f ca="1">ROUND(_Google_ads[[#This Row],[clicks]]*RANDBETWEEN(8,12)/10,0)</f>
        <v>1160</v>
      </c>
      <c r="V9" s="4">
        <f ca="1">_Google_ads[[#This Row],[cost]]*RANDBETWEEN(8,12)/10</f>
        <v>623.5</v>
      </c>
      <c r="W9" s="4">
        <f ca="1">ROUND(_Google_ads[[#This Row],[conversions]]*RANDBETWEEN(8,12)/10,0)</f>
        <v>23</v>
      </c>
      <c r="X9" s="4">
        <f ca="1">ROUND(_Google_ads[[#This Row],[conversion_value]]*RANDBETWEEN(8,12)/10,0)</f>
        <v>1125</v>
      </c>
      <c r="Y9" s="4">
        <f ca="1">_Google_ads[[#This Row],[ctr]]*RANDBETWEEN(8,12)/10</f>
        <v>1.6160000000000001E-2</v>
      </c>
      <c r="Z9" s="4">
        <f ca="1">_Google_ads[[#This Row],[avg_cpc]]*RANDBETWEEN(8,12)/10</f>
        <v>0.57599999999999996</v>
      </c>
      <c r="AA9" s="4">
        <f ca="1">ROUND(_Google_ads[[#This Row],[quality_score]]*RANDBETWEEN(8,12)/10,0)</f>
        <v>6</v>
      </c>
      <c r="AB9" s="4">
        <f ca="1">_Google_ads[[#This Row],[search_impression_share]]*RANDBETWEEN(8,12)/10</f>
        <v>0.51600000000000001</v>
      </c>
      <c r="AD9" s="3">
        <f t="shared" ca="1" si="2"/>
        <v>45039</v>
      </c>
      <c r="AE9" s="4" t="s">
        <v>104</v>
      </c>
      <c r="AF9" s="4" t="s">
        <v>105</v>
      </c>
      <c r="AG9" s="4" t="s">
        <v>106</v>
      </c>
      <c r="AH9" s="4" t="s">
        <v>107</v>
      </c>
      <c r="AI9" s="4">
        <f ca="1">ROUND(T_Tiktok_ads[[#This Row],[impressions]]*RANDBETWEEN(8,12)/10,0)</f>
        <v>112345</v>
      </c>
      <c r="AJ9" s="4">
        <f ca="1">ROUND(T_Tiktok_ads[[#This Row],[clicks]]*RANDBETWEEN(8,12)/10,0)</f>
        <v>2548</v>
      </c>
      <c r="AK9" s="4">
        <v>623.4</v>
      </c>
      <c r="AL9" s="4">
        <f ca="1">ROUND(T_Tiktok_ads[[#This Row],[conversions]]*RANDBETWEEN(8,12)/10,0)</f>
        <v>56</v>
      </c>
      <c r="AM9" s="4">
        <f ca="1">ROUND(T_Tiktok_ads[[#This Row],[video_views]]*RANDBETWEEN(8,12)/10,0)</f>
        <v>65876</v>
      </c>
      <c r="AN9" s="4">
        <f ca="1">ROUND(T_Tiktok_ads[[#This Row],[video_watch_25]]*RANDBETWEEN(8,12)/10,0)</f>
        <v>55111</v>
      </c>
      <c r="AO9" s="4">
        <f ca="1">ROUND(T_Tiktok_ads[[#This Row],[video_watch_50]]*RANDBETWEEN(8,12)/10,0)</f>
        <v>37111</v>
      </c>
      <c r="AP9" s="4">
        <f ca="1">ROUND(T_Tiktok_ads[[#This Row],[video_watch_75]]*RANDBETWEEN(8,12)/10,0)</f>
        <v>24987</v>
      </c>
      <c r="AQ9" s="4">
        <f ca="1">ROUND(T_Tiktok_ads[[#This Row],[video_watch_100]]*RANDBETWEEN(8,12)/10,0)</f>
        <v>25481</v>
      </c>
      <c r="AR9" s="4">
        <f ca="1">ROUND(T_Tiktok_ads[[#This Row],[likes]]*RANDBETWEEN(8,12)/10,0)</f>
        <v>4234</v>
      </c>
      <c r="AS9" s="4">
        <f ca="1">ROUND(T_Tiktok_ads[[#This Row],[shares]]*RANDBETWEEN(8,12)/10,0)</f>
        <v>1011</v>
      </c>
      <c r="AT9" s="4">
        <f ca="1">ROUND(T_Tiktok_ads[[#This Row],[comments]]*RANDBETWEEN(8,12)/10,0)</f>
        <v>212</v>
      </c>
      <c r="AV9" s="5">
        <f t="shared" ca="1" si="3"/>
        <v>45038</v>
      </c>
      <c r="AW9">
        <f t="shared" ca="1" si="4"/>
        <v>8</v>
      </c>
      <c r="AX9">
        <f ca="1">ROUND(T_Facebook_Ads11596367[[#This Row],[impressions]]*RANDBETWEEN(8,12)/10,0)</f>
        <v>9100</v>
      </c>
      <c r="AY9">
        <f ca="1">ROUND(T_Facebook_Ads11596367[[#This Row],[clicks]]*RANDBETWEEN(8,12)/10,0)</f>
        <v>587</v>
      </c>
      <c r="AZ9">
        <f ca="1">T_Facebook_Ads11596367[[#This Row],[spend]]*RANDBETWEEN(8,12)/10</f>
        <v>190.75199999999998</v>
      </c>
      <c r="BA9">
        <f ca="1">ROUND(T_Facebook_Ads11596367[[#This Row],[conversions]]*RANDBETWEEN(8,12)/10,0)</f>
        <v>37</v>
      </c>
      <c r="BB9">
        <f ca="1">ROUND(T_Facebook_Ads11596367[[#This Row],[video_views]]*RANDBETWEEN(8,12)/10,0)</f>
        <v>1483</v>
      </c>
    </row>
    <row r="10" spans="1:54" ht="15.75" thickBot="1" x14ac:dyDescent="0.3">
      <c r="A10" s="3">
        <f t="shared" ca="1" si="0"/>
        <v>45045</v>
      </c>
      <c r="B10" s="4" t="s">
        <v>60</v>
      </c>
      <c r="C10" s="4" t="s">
        <v>61</v>
      </c>
      <c r="D10" s="4" t="s">
        <v>62</v>
      </c>
      <c r="E10" s="4" t="s">
        <v>63</v>
      </c>
      <c r="F10" s="4">
        <f ca="1">ROUND(T_Facebook_Ads[[#This Row],[impressions]]*RANDBETWEEN(8,12)/10,0)</f>
        <v>35011</v>
      </c>
      <c r="G10" s="4">
        <v>1456</v>
      </c>
      <c r="H10" s="4">
        <f ca="1">T_Facebook_Ads[[#This Row],[spend]]*RANDBETWEEN(8,12)/10</f>
        <v>192.06</v>
      </c>
      <c r="I10" s="4">
        <f ca="1">ROUND(T_Facebook_Ads[[#This Row],[conversions]]*RANDBETWEEN(8,12)/10,0)</f>
        <v>34</v>
      </c>
      <c r="J10" s="4">
        <f ca="1">ROUND(T_Facebook_Ads[[#This Row],[video_views]]*RANDBETWEEN(8,12)/10,0)</f>
        <v>4187</v>
      </c>
      <c r="K10" s="4">
        <f ca="1">T_Facebook_Ads[[#This Row],[engagement_rate]]*RANDBETWEEN(8,12)/10</f>
        <v>0.03</v>
      </c>
      <c r="L10" s="4">
        <f ca="1">ROUND(T_Facebook_Ads[[#This Row],[reach]]*RANDBETWEEN(8,12)/10,0)</f>
        <v>31456</v>
      </c>
      <c r="M10" s="4">
        <f ca="1">T_Facebook_Ads[[#This Row],[frequency]]*RANDBETWEEN(8,12)/10</f>
        <v>0.99199999999999999</v>
      </c>
      <c r="O10" s="3">
        <f t="shared" ca="1" si="1"/>
        <v>45027</v>
      </c>
      <c r="P10" s="4" t="s">
        <v>88</v>
      </c>
      <c r="Q10" s="4" t="s">
        <v>89</v>
      </c>
      <c r="R10" s="4" t="s">
        <v>90</v>
      </c>
      <c r="S10" s="4" t="s">
        <v>59</v>
      </c>
      <c r="T10" s="4">
        <f ca="1">ROUND(_Google_ads[[#This Row],[impressions]]*RANDBETWEEN(8,12)/10,0)</f>
        <v>98765</v>
      </c>
      <c r="U10" s="4">
        <f ca="1">ROUND(_Google_ads[[#This Row],[clicks]]*RANDBETWEEN(8,12)/10,0)</f>
        <v>456</v>
      </c>
      <c r="V10" s="4">
        <f ca="1">_Google_ads[[#This Row],[cost]]*RANDBETWEEN(8,12)/10</f>
        <v>148.08000000000001</v>
      </c>
      <c r="W10" s="4">
        <f ca="1">ROUND(_Google_ads[[#This Row],[conversions]]*RANDBETWEEN(8,12)/10,0)</f>
        <v>11</v>
      </c>
      <c r="X10" s="4">
        <f ca="1">ROUND(_Google_ads[[#This Row],[conversion_value]]*RANDBETWEEN(8,12)/10,0)</f>
        <v>480</v>
      </c>
      <c r="Y10" s="4">
        <f ca="1">_Google_ads[[#This Row],[ctr]]*RANDBETWEEN(8,12)/10</f>
        <v>4.0699999999999998E-3</v>
      </c>
      <c r="Z10" s="4">
        <f ca="1">_Google_ads[[#This Row],[avg_cpc]]*RANDBETWEEN(8,12)/10</f>
        <v>0.24300000000000002</v>
      </c>
      <c r="AA10" s="4">
        <f ca="1">ROUND(_Google_ads[[#This Row],[quality_score]]*RANDBETWEEN(8,12)/10,0)</f>
        <v>6</v>
      </c>
      <c r="AB10" s="4">
        <f ca="1">_Google_ads[[#This Row],[search_impression_share]]*RANDBETWEEN(8,12)/10</f>
        <v>0.35</v>
      </c>
      <c r="AD10" s="3">
        <f t="shared" ca="1" si="2"/>
        <v>45018</v>
      </c>
      <c r="AE10" s="4" t="s">
        <v>112</v>
      </c>
      <c r="AF10" s="4" t="s">
        <v>113</v>
      </c>
      <c r="AG10" s="4" t="s">
        <v>114</v>
      </c>
      <c r="AH10" s="4" t="s">
        <v>115</v>
      </c>
      <c r="AI10" s="4">
        <f ca="1">ROUND(T_Tiktok_ads[[#This Row],[impressions]]*RANDBETWEEN(8,12)/10,0)</f>
        <v>311110</v>
      </c>
      <c r="AJ10" s="4">
        <f ca="1">ROUND(T_Tiktok_ads[[#This Row],[clicks]]*RANDBETWEEN(8,12)/10,0)</f>
        <v>5678</v>
      </c>
      <c r="AK10" s="4">
        <v>890.1</v>
      </c>
      <c r="AL10" s="4">
        <f ca="1">ROUND(T_Tiktok_ads[[#This Row],[conversions]]*RANDBETWEEN(8,12)/10,0)</f>
        <v>107</v>
      </c>
      <c r="AM10" s="4">
        <f ca="1">ROUND(T_Tiktok_ads[[#This Row],[video_views]]*RANDBETWEEN(8,12)/10,0)</f>
        <v>260311</v>
      </c>
      <c r="AN10" s="4">
        <f ca="1">ROUND(T_Tiktok_ads[[#This Row],[video_watch_25]]*RANDBETWEEN(8,12)/10,0)</f>
        <v>211110</v>
      </c>
      <c r="AO10" s="4">
        <f ca="1">ROUND(T_Tiktok_ads[[#This Row],[video_watch_50]]*RANDBETWEEN(8,12)/10,0)</f>
        <v>208157</v>
      </c>
      <c r="AP10" s="4">
        <f ca="1">ROUND(T_Tiktok_ads[[#This Row],[video_watch_75]]*RANDBETWEEN(8,12)/10,0)</f>
        <v>161480</v>
      </c>
      <c r="AQ10" s="4">
        <f ca="1">ROUND(T_Tiktok_ads[[#This Row],[video_watch_100]]*RANDBETWEEN(8,12)/10,0)</f>
        <v>71387</v>
      </c>
      <c r="AR10" s="4">
        <f ca="1">ROUND(T_Tiktok_ads[[#This Row],[likes]]*RANDBETWEEN(8,12)/10,0)</f>
        <v>14110</v>
      </c>
      <c r="AS10" s="4">
        <f ca="1">ROUND(T_Tiktok_ads[[#This Row],[shares]]*RANDBETWEEN(8,12)/10,0)</f>
        <v>4110</v>
      </c>
      <c r="AT10" s="4">
        <f ca="1">ROUND(T_Tiktok_ads[[#This Row],[comments]]*RANDBETWEEN(8,12)/10,0)</f>
        <v>1111</v>
      </c>
      <c r="AV10" s="5">
        <f t="shared" ca="1" si="3"/>
        <v>45031</v>
      </c>
      <c r="AW10">
        <f t="shared" ca="1" si="4"/>
        <v>7</v>
      </c>
      <c r="AX10">
        <f ca="1">ROUND(T_Facebook_Ads11596367[[#This Row],[impressions]]*RANDBETWEEN(8,12)/10,0)</f>
        <v>38512</v>
      </c>
      <c r="AY10">
        <f ca="1">ROUND(T_Facebook_Ads11596367[[#This Row],[clicks]]*RANDBETWEEN(8,12)/10,0)</f>
        <v>1165</v>
      </c>
      <c r="AZ10">
        <f ca="1">T_Facebook_Ads11596367[[#This Row],[spend]]*RANDBETWEEN(8,12)/10</f>
        <v>172.85399999999998</v>
      </c>
      <c r="BA10">
        <f ca="1">ROUND(T_Facebook_Ads11596367[[#This Row],[conversions]]*RANDBETWEEN(8,12)/10,0)</f>
        <v>37</v>
      </c>
      <c r="BB10">
        <f ca="1">ROUND(T_Facebook_Ads11596367[[#This Row],[video_views]]*RANDBETWEEN(8,12)/10,0)</f>
        <v>3350</v>
      </c>
    </row>
    <row r="11" spans="1:54" ht="15.75" thickBot="1" x14ac:dyDescent="0.3">
      <c r="A11" s="3">
        <f t="shared" ca="1" si="0"/>
        <v>45040</v>
      </c>
      <c r="B11" s="4" t="s">
        <v>52</v>
      </c>
      <c r="C11" s="4" t="s">
        <v>53</v>
      </c>
      <c r="D11" s="4" t="s">
        <v>54</v>
      </c>
      <c r="E11" s="4" t="s">
        <v>55</v>
      </c>
      <c r="F11" s="4">
        <f ca="1">ROUND(T_Facebook_Ads[[#This Row],[impressions]]*RANDBETWEEN(8,12)/10,0)</f>
        <v>51234</v>
      </c>
      <c r="G11" s="4">
        <v>1023</v>
      </c>
      <c r="H11" s="4">
        <f ca="1">T_Facebook_Ads[[#This Row],[spend]]*RANDBETWEEN(8,12)/10</f>
        <v>142.30000000000001</v>
      </c>
      <c r="I11" s="4">
        <f ca="1">ROUND(T_Facebook_Ads[[#This Row],[conversions]]*RANDBETWEEN(8,12)/10,0)</f>
        <v>14</v>
      </c>
      <c r="J11" s="4">
        <f ca="1">ROUND(T_Facebook_Ads[[#This Row],[video_views]]*RANDBETWEEN(8,12)/10,0)</f>
        <v>8311</v>
      </c>
      <c r="K11" s="4">
        <f ca="1">T_Facebook_Ads[[#This Row],[engagement_rate]]*RANDBETWEEN(8,12)/10</f>
        <v>1.6E-2</v>
      </c>
      <c r="L11" s="4">
        <f ca="1">ROUND(T_Facebook_Ads[[#This Row],[reach]]*RANDBETWEEN(8,12)/10,0)</f>
        <v>42567</v>
      </c>
      <c r="M11" s="4">
        <f ca="1">T_Facebook_Ads[[#This Row],[frequency]]*RANDBETWEEN(8,12)/10</f>
        <v>1.0799999999999998</v>
      </c>
      <c r="O11" s="3">
        <f t="shared" ca="1" si="1"/>
        <v>45031</v>
      </c>
      <c r="P11" s="4" t="s">
        <v>76</v>
      </c>
      <c r="Q11" s="4" t="s">
        <v>77</v>
      </c>
      <c r="R11" s="4" t="s">
        <v>78</v>
      </c>
      <c r="S11" s="4" t="s">
        <v>79</v>
      </c>
      <c r="T11" s="4">
        <f ca="1">ROUND(_Google_ads[[#This Row],[impressions]]*RANDBETWEEN(8,12)/10,0)</f>
        <v>23110</v>
      </c>
      <c r="U11" s="4">
        <f ca="1">ROUND(_Google_ads[[#This Row],[clicks]]*RANDBETWEEN(8,12)/10,0)</f>
        <v>1480</v>
      </c>
      <c r="V11" s="4">
        <f ca="1">_Google_ads[[#This Row],[cost]]*RANDBETWEEN(8,12)/10</f>
        <v>231.02999999999997</v>
      </c>
      <c r="W11" s="4">
        <f ca="1">ROUND(_Google_ads[[#This Row],[conversions]]*RANDBETWEEN(8,12)/10,0)</f>
        <v>50</v>
      </c>
      <c r="X11" s="4">
        <f ca="1">ROUND(_Google_ads[[#This Row],[conversion_value]]*RANDBETWEEN(8,12)/10,0)</f>
        <v>2000</v>
      </c>
      <c r="Y11" s="4">
        <f ca="1">_Google_ads[[#This Row],[ctr]]*RANDBETWEEN(8,12)/10</f>
        <v>6.2880000000000005E-2</v>
      </c>
      <c r="Z11" s="4">
        <f ca="1">_Google_ads[[#This Row],[avg_cpc]]*RANDBETWEEN(8,12)/10</f>
        <v>0.17099999999999999</v>
      </c>
      <c r="AA11" s="4">
        <f ca="1">ROUND(_Google_ads[[#This Row],[quality_score]]*RANDBETWEEN(8,12)/10,0)</f>
        <v>8</v>
      </c>
      <c r="AB11" s="4">
        <f ca="1">_Google_ads[[#This Row],[search_impression_share]]*RANDBETWEEN(8,12)/10</f>
        <v>1.012</v>
      </c>
      <c r="AD11" s="3">
        <f t="shared" ca="1" si="2"/>
        <v>45017</v>
      </c>
      <c r="AE11" s="4" t="s">
        <v>100</v>
      </c>
      <c r="AF11" s="4" t="s">
        <v>101</v>
      </c>
      <c r="AG11" s="4" t="s">
        <v>102</v>
      </c>
      <c r="AH11" s="4" t="s">
        <v>103</v>
      </c>
      <c r="AI11" s="4">
        <f ca="1">ROUND(T_Tiktok_ads[[#This Row],[impressions]]*RANDBETWEEN(8,12)/10,0)</f>
        <v>231110</v>
      </c>
      <c r="AJ11" s="4">
        <f ca="1">ROUND(T_Tiktok_ads[[#This Row],[clicks]]*RANDBETWEEN(8,12)/10,0)</f>
        <v>3501</v>
      </c>
      <c r="AK11" s="4">
        <v>512.29999999999995</v>
      </c>
      <c r="AL11" s="4">
        <f ca="1">ROUND(T_Tiktok_ads[[#This Row],[conversions]]*RANDBETWEEN(8,12)/10,0)</f>
        <v>43</v>
      </c>
      <c r="AM11" s="4">
        <f ca="1">ROUND(T_Tiktok_ads[[#This Row],[video_views]]*RANDBETWEEN(8,12)/10,0)</f>
        <v>260947</v>
      </c>
      <c r="AN11" s="4">
        <f ca="1">ROUND(T_Tiktok_ads[[#This Row],[video_watch_25]]*RANDBETWEEN(8,12)/10,0)</f>
        <v>204281</v>
      </c>
      <c r="AO11" s="4">
        <f ca="1">ROUND(T_Tiktok_ads[[#This Row],[video_watch_50]]*RANDBETWEEN(8,12)/10,0)</f>
        <v>128681</v>
      </c>
      <c r="AP11" s="4">
        <f ca="1">ROUND(T_Tiktok_ads[[#This Row],[video_watch_75]]*RANDBETWEEN(8,12)/10,0)</f>
        <v>65210</v>
      </c>
      <c r="AQ11" s="4">
        <f ca="1">ROUND(T_Tiktok_ads[[#This Row],[video_watch_100]]*RANDBETWEEN(8,12)/10,0)</f>
        <v>53302</v>
      </c>
      <c r="AR11" s="4">
        <f ca="1">ROUND(T_Tiktok_ads[[#This Row],[likes]]*RANDBETWEEN(8,12)/10,0)</f>
        <v>11480</v>
      </c>
      <c r="AS11" s="4">
        <f ca="1">ROUND(T_Tiktok_ads[[#This Row],[shares]]*RANDBETWEEN(8,12)/10,0)</f>
        <v>2054</v>
      </c>
      <c r="AT11" s="4">
        <f ca="1">ROUND(T_Tiktok_ads[[#This Row],[comments]]*RANDBETWEEN(8,12)/10,0)</f>
        <v>551</v>
      </c>
      <c r="AV11" s="5">
        <f t="shared" ca="1" si="3"/>
        <v>45044</v>
      </c>
      <c r="AW11">
        <f t="shared" ca="1" si="4"/>
        <v>1</v>
      </c>
      <c r="AX11">
        <f ca="1">ROUND(T_Facebook_Ads11596367[[#This Row],[impressions]]*RANDBETWEEN(8,12)/10,0)</f>
        <v>40987</v>
      </c>
      <c r="AY11">
        <f ca="1">ROUND(T_Facebook_Ads11596367[[#This Row],[clicks]]*RANDBETWEEN(8,12)/10,0)</f>
        <v>818</v>
      </c>
      <c r="AZ11">
        <f ca="1">T_Facebook_Ads11596367[[#This Row],[spend]]*RANDBETWEEN(8,12)/10</f>
        <v>142.30000000000001</v>
      </c>
      <c r="BA11">
        <f ca="1">ROUND(T_Facebook_Ads11596367[[#This Row],[conversions]]*RANDBETWEEN(8,12)/10,0)</f>
        <v>11</v>
      </c>
      <c r="BB11">
        <f ca="1">ROUND(T_Facebook_Ads11596367[[#This Row],[video_views]]*RANDBETWEEN(8,12)/10,0)</f>
        <v>9973</v>
      </c>
    </row>
    <row r="12" spans="1:54" ht="15.75" thickBot="1" x14ac:dyDescent="0.3">
      <c r="A12" s="3">
        <f t="shared" ca="1" si="0"/>
        <v>45040</v>
      </c>
      <c r="B12" s="4" t="s">
        <v>56</v>
      </c>
      <c r="C12" s="4" t="s">
        <v>57</v>
      </c>
      <c r="D12" s="4" t="s">
        <v>58</v>
      </c>
      <c r="E12" s="4" t="s">
        <v>59</v>
      </c>
      <c r="F12" s="4">
        <f ca="1">ROUND(T_Facebook_Ads[[#This Row],[impressions]]*RANDBETWEEN(8,12)/10,0)</f>
        <v>14567</v>
      </c>
      <c r="G12" s="4">
        <v>678</v>
      </c>
      <c r="H12" s="4">
        <f ca="1">T_Facebook_Ads[[#This Row],[spend]]*RANDBETWEEN(8,12)/10</f>
        <v>196.48</v>
      </c>
      <c r="I12" s="4">
        <f ca="1">ROUND(T_Facebook_Ads[[#This Row],[conversions]]*RANDBETWEEN(8,12)/10,0)</f>
        <v>38</v>
      </c>
      <c r="J12" s="4">
        <f ca="1">ROUND(T_Facebook_Ads[[#This Row],[video_views]]*RANDBETWEEN(8,12)/10,0)</f>
        <v>1254</v>
      </c>
      <c r="K12" s="4">
        <f ca="1">T_Facebook_Ads[[#This Row],[engagement_rate]]*RANDBETWEEN(8,12)/10</f>
        <v>5.5800000000000002E-2</v>
      </c>
      <c r="L12" s="4">
        <f ca="1">ROUND(T_Facebook_Ads[[#This Row],[reach]]*RANDBETWEEN(8,12)/10,0)</f>
        <v>10111</v>
      </c>
      <c r="M12" s="4">
        <f ca="1">T_Facebook_Ads[[#This Row],[frequency]]*RANDBETWEEN(8,12)/10</f>
        <v>1.56</v>
      </c>
      <c r="O12" s="3">
        <f t="shared" ca="1" si="1"/>
        <v>45046</v>
      </c>
      <c r="P12" s="4" t="s">
        <v>84</v>
      </c>
      <c r="Q12" s="4" t="s">
        <v>85</v>
      </c>
      <c r="R12" s="4" t="s">
        <v>86</v>
      </c>
      <c r="S12" s="4" t="s">
        <v>87</v>
      </c>
      <c r="T12" s="4">
        <f ca="1">ROUND(_Google_ads[[#This Row],[impressions]]*RANDBETWEEN(8,12)/10,0)</f>
        <v>83347</v>
      </c>
      <c r="U12" s="4">
        <f ca="1">ROUND(_Google_ads[[#This Row],[clicks]]*RANDBETWEEN(8,12)/10,0)</f>
        <v>1787</v>
      </c>
      <c r="V12" s="4">
        <f ca="1">_Google_ads[[#This Row],[cost]]*RANDBETWEEN(8,12)/10</f>
        <v>371.07000000000005</v>
      </c>
      <c r="W12" s="4">
        <f ca="1">ROUND(_Google_ads[[#This Row],[conversions]]*RANDBETWEEN(8,12)/10,0)</f>
        <v>52</v>
      </c>
      <c r="X12" s="4">
        <f ca="1">ROUND(_Google_ads[[#This Row],[conversion_value]]*RANDBETWEEN(8,12)/10,0)</f>
        <v>3575</v>
      </c>
      <c r="Y12" s="4">
        <f ca="1">_Google_ads[[#This Row],[ctr]]*RANDBETWEEN(8,12)/10</f>
        <v>3.2199999999999999E-2</v>
      </c>
      <c r="Z12" s="4">
        <f ca="1">_Google_ads[[#This Row],[avg_cpc]]*RANDBETWEEN(8,12)/10</f>
        <v>0.14399999999999999</v>
      </c>
      <c r="AA12" s="4">
        <f ca="1">ROUND(_Google_ads[[#This Row],[quality_score]]*RANDBETWEEN(8,12)/10,0)</f>
        <v>10</v>
      </c>
      <c r="AB12" s="4">
        <f ca="1">_Google_ads[[#This Row],[search_impression_share]]*RANDBETWEEN(8,12)/10</f>
        <v>0.59400000000000008</v>
      </c>
      <c r="AD12" s="3">
        <f t="shared" ca="1" si="2"/>
        <v>45036</v>
      </c>
      <c r="AE12" s="4" t="s">
        <v>108</v>
      </c>
      <c r="AF12" s="4" t="s">
        <v>109</v>
      </c>
      <c r="AG12" s="4" t="s">
        <v>110</v>
      </c>
      <c r="AH12" s="4" t="s">
        <v>111</v>
      </c>
      <c r="AI12" s="4">
        <f ca="1">ROUND(T_Tiktok_ads[[#This Row],[impressions]]*RANDBETWEEN(8,12)/10,0)</f>
        <v>160987</v>
      </c>
      <c r="AJ12" s="4">
        <f ca="1">ROUND(T_Tiktok_ads[[#This Row],[clicks]]*RANDBETWEEN(8,12)/10,0)</f>
        <v>2498</v>
      </c>
      <c r="AK12" s="4">
        <v>374.5</v>
      </c>
      <c r="AL12" s="4">
        <f ca="1">ROUND(T_Tiktok_ads[[#This Row],[conversions]]*RANDBETWEEN(8,12)/10,0)</f>
        <v>21</v>
      </c>
      <c r="AM12" s="4">
        <f ca="1">ROUND(T_Tiktok_ads[[#This Row],[video_views]]*RANDBETWEEN(8,12)/10,0)</f>
        <v>189468</v>
      </c>
      <c r="AN12" s="4">
        <f ca="1">ROUND(T_Tiktok_ads[[#This Row],[video_watch_25]]*RANDBETWEEN(8,12)/10,0)</f>
        <v>145481</v>
      </c>
      <c r="AO12" s="4">
        <f ca="1">ROUND(T_Tiktok_ads[[#This Row],[video_watch_50]]*RANDBETWEEN(8,12)/10,0)</f>
        <v>96234</v>
      </c>
      <c r="AP12" s="4">
        <f ca="1">ROUND(T_Tiktok_ads[[#This Row],[video_watch_75]]*RANDBETWEEN(8,12)/10,0)</f>
        <v>61234</v>
      </c>
      <c r="AQ12" s="4">
        <f ca="1">ROUND(T_Tiktok_ads[[#This Row],[video_watch_100]]*RANDBETWEEN(8,12)/10,0)</f>
        <v>29965</v>
      </c>
      <c r="AR12" s="4">
        <f ca="1">ROUND(T_Tiktok_ads[[#This Row],[likes]]*RANDBETWEEN(8,12)/10,0)</f>
        <v>7345</v>
      </c>
      <c r="AS12" s="4">
        <f ca="1">ROUND(T_Tiktok_ads[[#This Row],[shares]]*RANDBETWEEN(8,12)/10,0)</f>
        <v>2441</v>
      </c>
      <c r="AT12" s="4">
        <f ca="1">ROUND(T_Tiktok_ads[[#This Row],[comments]]*RANDBETWEEN(8,12)/10,0)</f>
        <v>587</v>
      </c>
      <c r="AV12" s="5">
        <f t="shared" ca="1" si="3"/>
        <v>45034</v>
      </c>
      <c r="AW12">
        <f t="shared" ca="1" si="4"/>
        <v>5</v>
      </c>
      <c r="AX12">
        <f ca="1">ROUND(T_Facebook_Ads11596367[[#This Row],[impressions]]*RANDBETWEEN(8,12)/10,0)</f>
        <v>16024</v>
      </c>
      <c r="AY12">
        <f ca="1">ROUND(T_Facebook_Ads11596367[[#This Row],[clicks]]*RANDBETWEEN(8,12)/10,0)</f>
        <v>610</v>
      </c>
      <c r="AZ12">
        <f ca="1">T_Facebook_Ads11596367[[#This Row],[spend]]*RANDBETWEEN(8,12)/10</f>
        <v>216.12799999999999</v>
      </c>
      <c r="BA12">
        <f ca="1">ROUND(T_Facebook_Ads11596367[[#This Row],[conversions]]*RANDBETWEEN(8,12)/10,0)</f>
        <v>42</v>
      </c>
      <c r="BB12">
        <f ca="1">ROUND(T_Facebook_Ads11596367[[#This Row],[video_views]]*RANDBETWEEN(8,12)/10,0)</f>
        <v>1505</v>
      </c>
    </row>
    <row r="13" spans="1:54" ht="15.75" thickBot="1" x14ac:dyDescent="0.3">
      <c r="A13" s="3">
        <f t="shared" ca="1" si="0"/>
        <v>45040</v>
      </c>
      <c r="B13" s="4" t="s">
        <v>64</v>
      </c>
      <c r="C13" s="4" t="s">
        <v>65</v>
      </c>
      <c r="D13" s="4" t="s">
        <v>66</v>
      </c>
      <c r="E13" s="4" t="s">
        <v>67</v>
      </c>
      <c r="F13" s="4">
        <f ca="1">ROUND(T_Facebook_Ads[[#This Row],[impressions]]*RANDBETWEEN(8,12)/10,0)</f>
        <v>67890</v>
      </c>
      <c r="G13" s="4">
        <v>234</v>
      </c>
      <c r="H13" s="4">
        <f ca="1">T_Facebook_Ads[[#This Row],[spend]]*RANDBETWEEN(8,12)/10</f>
        <v>71.599999999999994</v>
      </c>
      <c r="I13" s="4">
        <f ca="1">ROUND(T_Facebook_Ads[[#This Row],[conversions]]*RANDBETWEEN(8,12)/10,0)</f>
        <v>5</v>
      </c>
      <c r="J13" s="4">
        <f ca="1">ROUND(T_Facebook_Ads[[#This Row],[video_views]]*RANDBETWEEN(8,12)/10,0)</f>
        <v>45678</v>
      </c>
      <c r="K13" s="4">
        <f ca="1">T_Facebook_Ads[[#This Row],[engagement_rate]]*RANDBETWEEN(8,12)/10</f>
        <v>3.3999999999999994E-3</v>
      </c>
      <c r="L13" s="4">
        <f ca="1">ROUND(T_Facebook_Ads[[#This Row],[reach]]*RANDBETWEEN(8,12)/10,0)</f>
        <v>62468</v>
      </c>
      <c r="M13" s="4">
        <f ca="1">T_Facebook_Ads[[#This Row],[frequency]]*RANDBETWEEN(8,12)/10</f>
        <v>1.3199999999999998</v>
      </c>
      <c r="O13" s="3">
        <f t="shared" ca="1" si="1"/>
        <v>45031</v>
      </c>
      <c r="P13" s="4" t="s">
        <v>88</v>
      </c>
      <c r="Q13" s="4" t="s">
        <v>89</v>
      </c>
      <c r="R13" s="4" t="s">
        <v>90</v>
      </c>
      <c r="S13" s="4" t="s">
        <v>59</v>
      </c>
      <c r="T13" s="4">
        <f ca="1">ROUND(_Google_ads[[#This Row],[impressions]]*RANDBETWEEN(8,12)/10,0)</f>
        <v>107654</v>
      </c>
      <c r="U13" s="4">
        <f ca="1">ROUND(_Google_ads[[#This Row],[clicks]]*RANDBETWEEN(8,12)/10,0)</f>
        <v>391</v>
      </c>
      <c r="V13" s="4">
        <f ca="1">_Google_ads[[#This Row],[cost]]*RANDBETWEEN(8,12)/10</f>
        <v>161.4</v>
      </c>
      <c r="W13" s="4">
        <f ca="1">ROUND(_Google_ads[[#This Row],[conversions]]*RANDBETWEEN(8,12)/10,0)</f>
        <v>14</v>
      </c>
      <c r="X13" s="4">
        <f ca="1">ROUND(_Google_ads[[#This Row],[conversion_value]]*RANDBETWEEN(8,12)/10,0)</f>
        <v>840</v>
      </c>
      <c r="Y13" s="4">
        <f ca="1">_Google_ads[[#This Row],[ctr]]*RANDBETWEEN(8,12)/10</f>
        <v>3.96E-3</v>
      </c>
      <c r="Z13" s="4">
        <f ca="1">_Google_ads[[#This Row],[avg_cpc]]*RANDBETWEEN(8,12)/10</f>
        <v>0.28000000000000003</v>
      </c>
      <c r="AA13" s="4">
        <f ca="1">ROUND(_Google_ads[[#This Row],[quality_score]]*RANDBETWEEN(8,12)/10,0)</f>
        <v>6</v>
      </c>
      <c r="AB13" s="4">
        <f ca="1">_Google_ads[[#This Row],[search_impression_share]]*RANDBETWEEN(8,12)/10</f>
        <v>0.43200000000000005</v>
      </c>
      <c r="AD13" s="3">
        <f t="shared" ca="1" si="2"/>
        <v>45046</v>
      </c>
      <c r="AE13" s="4" t="s">
        <v>112</v>
      </c>
      <c r="AF13" s="4" t="s">
        <v>113</v>
      </c>
      <c r="AG13" s="4" t="s">
        <v>114</v>
      </c>
      <c r="AH13" s="4" t="s">
        <v>115</v>
      </c>
      <c r="AI13" s="4">
        <f ca="1">ROUND(T_Tiktok_ads[[#This Row],[impressions]]*RANDBETWEEN(8,12)/10,0)</f>
        <v>404679</v>
      </c>
      <c r="AJ13" s="4">
        <f ca="1">ROUND(T_Tiktok_ads[[#This Row],[clicks]]*RANDBETWEEN(8,12)/10,0)</f>
        <v>7214</v>
      </c>
      <c r="AK13" s="4">
        <v>923.4</v>
      </c>
      <c r="AL13" s="4">
        <f ca="1">ROUND(T_Tiktok_ads[[#This Row],[conversions]]*RANDBETWEEN(8,12)/10,0)</f>
        <v>75</v>
      </c>
      <c r="AM13" s="4">
        <f ca="1">ROUND(T_Tiktok_ads[[#This Row],[video_views]]*RANDBETWEEN(8,12)/10,0)</f>
        <v>331357</v>
      </c>
      <c r="AN13" s="4">
        <f ca="1">ROUND(T_Tiktok_ads[[#This Row],[video_watch_25]]*RANDBETWEEN(8,12)/10,0)</f>
        <v>196542</v>
      </c>
      <c r="AO13" s="4">
        <f ca="1">ROUND(T_Tiktok_ads[[#This Row],[video_watch_50]]*RANDBETWEEN(8,12)/10,0)</f>
        <v>216468</v>
      </c>
      <c r="AP13" s="4">
        <f ca="1">ROUND(T_Tiktok_ads[[#This Row],[video_watch_75]]*RANDBETWEEN(8,12)/10,0)</f>
        <v>168281</v>
      </c>
      <c r="AQ13" s="4">
        <f ca="1">ROUND(T_Tiktok_ads[[#This Row],[video_watch_100]]*RANDBETWEEN(8,12)/10,0)</f>
        <v>74765</v>
      </c>
      <c r="AR13" s="4">
        <f ca="1">ROUND(T_Tiktok_ads[[#This Row],[likes]]*RANDBETWEEN(8,12)/10,0)</f>
        <v>16234</v>
      </c>
      <c r="AS13" s="4">
        <f ca="1">ROUND(T_Tiktok_ads[[#This Row],[shares]]*RANDBETWEEN(8,12)/10,0)</f>
        <v>3831</v>
      </c>
      <c r="AT13" s="4">
        <f ca="1">ROUND(T_Tiktok_ads[[#This Row],[comments]]*RANDBETWEEN(8,12)/10,0)</f>
        <v>1031</v>
      </c>
      <c r="AV13" s="5">
        <f t="shared" ca="1" si="3"/>
        <v>45032</v>
      </c>
      <c r="AW13">
        <f t="shared" ca="1" si="4"/>
        <v>1</v>
      </c>
      <c r="AX13">
        <f ca="1">ROUND(T_Facebook_Ads11596367[[#This Row],[impressions]]*RANDBETWEEN(8,12)/10,0)</f>
        <v>54312</v>
      </c>
      <c r="AY13">
        <f ca="1">ROUND(T_Facebook_Ads11596367[[#This Row],[clicks]]*RANDBETWEEN(8,12)/10,0)</f>
        <v>281</v>
      </c>
      <c r="AZ13">
        <f ca="1">T_Facebook_Ads11596367[[#This Row],[spend]]*RANDBETWEEN(8,12)/10</f>
        <v>71.599999999999994</v>
      </c>
      <c r="BA13">
        <f ca="1">ROUND(T_Facebook_Ads11596367[[#This Row],[conversions]]*RANDBETWEEN(8,12)/10,0)</f>
        <v>5</v>
      </c>
      <c r="BB13">
        <f ca="1">ROUND(T_Facebook_Ads11596367[[#This Row],[video_views]]*RANDBETWEEN(8,12)/10,0)</f>
        <v>45678</v>
      </c>
    </row>
    <row r="14" spans="1:54" ht="15.75" thickBot="1" x14ac:dyDescent="0.3">
      <c r="A14" s="3">
        <f t="shared" ca="1" si="0"/>
        <v>45045</v>
      </c>
      <c r="B14" s="4" t="s">
        <v>52</v>
      </c>
      <c r="C14" s="4" t="s">
        <v>53</v>
      </c>
      <c r="D14" s="4" t="s">
        <v>54</v>
      </c>
      <c r="E14" s="4" t="s">
        <v>55</v>
      </c>
      <c r="F14" s="4">
        <f ca="1">ROUND(T_Facebook_Ads[[#This Row],[impressions]]*RANDBETWEEN(8,12)/10,0)</f>
        <v>46789</v>
      </c>
      <c r="G14" s="4">
        <v>934</v>
      </c>
      <c r="H14" s="4">
        <f ca="1">T_Facebook_Ads[[#This Row],[spend]]*RANDBETWEEN(8,12)/10</f>
        <v>131.19999999999999</v>
      </c>
      <c r="I14" s="4">
        <f ca="1">ROUND(T_Facebook_Ads[[#This Row],[conversions]]*RANDBETWEEN(8,12)/10,0)</f>
        <v>16</v>
      </c>
      <c r="J14" s="4">
        <f ca="1">ROUND(T_Facebook_Ads[[#This Row],[video_views]]*RANDBETWEEN(8,12)/10,0)</f>
        <v>8567</v>
      </c>
      <c r="K14" s="4">
        <f ca="1">T_Facebook_Ads[[#This Row],[engagement_rate]]*RANDBETWEEN(8,12)/10</f>
        <v>2.1999999999999999E-2</v>
      </c>
      <c r="L14" s="4">
        <f ca="1">ROUND(T_Facebook_Ads[[#This Row],[reach]]*RANDBETWEEN(8,12)/10,0)</f>
        <v>43157</v>
      </c>
      <c r="M14" s="4">
        <f ca="1">T_Facebook_Ads[[#This Row],[frequency]]*RANDBETWEEN(8,12)/10</f>
        <v>1.4279999999999999</v>
      </c>
      <c r="O14" s="3">
        <f t="shared" ca="1" si="1"/>
        <v>45024</v>
      </c>
      <c r="P14" s="4" t="s">
        <v>76</v>
      </c>
      <c r="Q14" s="4" t="s">
        <v>77</v>
      </c>
      <c r="R14" s="4" t="s">
        <v>78</v>
      </c>
      <c r="S14" s="4" t="s">
        <v>79</v>
      </c>
      <c r="T14" s="4">
        <f ca="1">ROUND(_Google_ads[[#This Row],[impressions]]*RANDBETWEEN(8,12)/10,0)</f>
        <v>28668</v>
      </c>
      <c r="U14" s="4">
        <f ca="1">ROUND(_Google_ads[[#This Row],[clicks]]*RANDBETWEEN(8,12)/10,0)</f>
        <v>1357</v>
      </c>
      <c r="V14" s="4">
        <f ca="1">_Google_ads[[#This Row],[cost]]*RANDBETWEEN(8,12)/10</f>
        <v>211.41</v>
      </c>
      <c r="W14" s="4">
        <f ca="1">ROUND(_Google_ads[[#This Row],[conversions]]*RANDBETWEEN(8,12)/10,0)</f>
        <v>51</v>
      </c>
      <c r="X14" s="4">
        <f ca="1">ROUND(_Google_ads[[#This Row],[conversion_value]]*RANDBETWEEN(8,12)/10,0)</f>
        <v>2070</v>
      </c>
      <c r="Y14" s="4">
        <f ca="1">_Google_ads[[#This Row],[ctr]]*RANDBETWEEN(8,12)/10</f>
        <v>4.6530000000000002E-2</v>
      </c>
      <c r="Z14" s="4">
        <f ca="1">_Google_ads[[#This Row],[avg_cpc]]*RANDBETWEEN(8,12)/10</f>
        <v>0.22800000000000004</v>
      </c>
      <c r="AA14" s="4">
        <f ca="1">ROUND(_Google_ads[[#This Row],[quality_score]]*RANDBETWEEN(8,12)/10,0)</f>
        <v>9</v>
      </c>
      <c r="AB14" s="4">
        <f ca="1">_Google_ads[[#This Row],[search_impression_share]]*RANDBETWEEN(8,12)/10</f>
        <v>1.0009999999999999</v>
      </c>
      <c r="AD14" s="3">
        <f t="shared" ca="1" si="2"/>
        <v>45023</v>
      </c>
      <c r="AE14" s="4" t="s">
        <v>100</v>
      </c>
      <c r="AF14" s="4" t="s">
        <v>101</v>
      </c>
      <c r="AG14" s="4" t="s">
        <v>102</v>
      </c>
      <c r="AH14" s="4" t="s">
        <v>103</v>
      </c>
      <c r="AI14" s="4">
        <f ca="1">ROUND(T_Tiktok_ads[[#This Row],[impressions]]*RANDBETWEEN(8,12)/10,0)</f>
        <v>187387</v>
      </c>
      <c r="AJ14" s="4">
        <f ca="1">ROUND(T_Tiktok_ads[[#This Row],[clicks]]*RANDBETWEEN(8,12)/10,0)</f>
        <v>4160</v>
      </c>
      <c r="AK14" s="4">
        <v>460.2</v>
      </c>
      <c r="AL14" s="4">
        <f ca="1">ROUND(T_Tiktok_ads[[#This Row],[conversions]]*RANDBETWEEN(8,12)/10,0)</f>
        <v>28</v>
      </c>
      <c r="AM14" s="4">
        <f ca="1">ROUND(T_Tiktok_ads[[#This Row],[video_views]]*RANDBETWEEN(8,12)/10,0)</f>
        <v>239081</v>
      </c>
      <c r="AN14" s="4">
        <f ca="1">ROUND(T_Tiktok_ads[[#This Row],[video_watch_25]]*RANDBETWEEN(8,12)/10,0)</f>
        <v>172468</v>
      </c>
      <c r="AO14" s="4">
        <f ca="1">ROUND(T_Tiktok_ads[[#This Row],[video_watch_50]]*RANDBETWEEN(8,12)/10,0)</f>
        <v>88910</v>
      </c>
      <c r="AP14" s="4">
        <f ca="1">ROUND(T_Tiktok_ads[[#This Row],[video_watch_75]]*RANDBETWEEN(8,12)/10,0)</f>
        <v>74568</v>
      </c>
      <c r="AQ14" s="4">
        <f ca="1">ROUND(T_Tiktok_ads[[#This Row],[video_watch_100]]*RANDBETWEEN(8,12)/10,0)</f>
        <v>54547</v>
      </c>
      <c r="AR14" s="4">
        <f ca="1">ROUND(T_Tiktok_ads[[#This Row],[likes]]*RANDBETWEEN(8,12)/10,0)</f>
        <v>9840</v>
      </c>
      <c r="AS14" s="4">
        <f ca="1">ROUND(T_Tiktok_ads[[#This Row],[shares]]*RANDBETWEEN(8,12)/10,0)</f>
        <v>1894</v>
      </c>
      <c r="AT14" s="4">
        <f ca="1">ROUND(T_Tiktok_ads[[#This Row],[comments]]*RANDBETWEEN(8,12)/10,0)</f>
        <v>694</v>
      </c>
      <c r="AV14" s="5">
        <f t="shared" ca="1" si="3"/>
        <v>45040</v>
      </c>
      <c r="AW14">
        <f t="shared" ca="1" si="4"/>
        <v>8</v>
      </c>
      <c r="AX14">
        <f ca="1">ROUND(T_Facebook_Ads11596367[[#This Row],[impressions]]*RANDBETWEEN(8,12)/10,0)</f>
        <v>51468</v>
      </c>
      <c r="AY14">
        <f ca="1">ROUND(T_Facebook_Ads11596367[[#This Row],[clicks]]*RANDBETWEEN(8,12)/10,0)</f>
        <v>1121</v>
      </c>
      <c r="AZ14">
        <f ca="1">T_Facebook_Ads11596367[[#This Row],[spend]]*RANDBETWEEN(8,12)/10</f>
        <v>118.08</v>
      </c>
      <c r="BA14">
        <f ca="1">ROUND(T_Facebook_Ads11596367[[#This Row],[conversions]]*RANDBETWEEN(8,12)/10,0)</f>
        <v>16</v>
      </c>
      <c r="BB14">
        <f ca="1">ROUND(T_Facebook_Ads11596367[[#This Row],[video_views]]*RANDBETWEEN(8,12)/10,0)</f>
        <v>6854</v>
      </c>
    </row>
    <row r="15" spans="1:54" ht="15.75" thickBot="1" x14ac:dyDescent="0.3">
      <c r="A15" s="3">
        <f t="shared" ca="1" si="0"/>
        <v>45046</v>
      </c>
      <c r="B15" s="4" t="s">
        <v>56</v>
      </c>
      <c r="C15" s="4" t="s">
        <v>57</v>
      </c>
      <c r="D15" s="4" t="s">
        <v>58</v>
      </c>
      <c r="E15" s="4" t="s">
        <v>59</v>
      </c>
      <c r="F15" s="4">
        <f ca="1">ROUND(T_Facebook_Ads[[#This Row],[impressions]]*RANDBETWEEN(8,12)/10,0)</f>
        <v>11601</v>
      </c>
      <c r="G15" s="4">
        <v>567</v>
      </c>
      <c r="H15" s="4">
        <f ca="1">T_Facebook_Ads[[#This Row],[spend]]*RANDBETWEEN(8,12)/10</f>
        <v>198.27</v>
      </c>
      <c r="I15" s="4">
        <f ca="1">ROUND(T_Facebook_Ads[[#This Row],[conversions]]*RANDBETWEEN(8,12)/10,0)</f>
        <v>36</v>
      </c>
      <c r="J15" s="4">
        <f ca="1">ROUND(T_Facebook_Ads[[#This Row],[video_views]]*RANDBETWEEN(8,12)/10,0)</f>
        <v>1211</v>
      </c>
      <c r="K15" s="4">
        <f ca="1">T_Facebook_Ads[[#This Row],[engagement_rate]]*RANDBETWEEN(8,12)/10</f>
        <v>4.3999999999999997E-2</v>
      </c>
      <c r="L15" s="4">
        <f ca="1">ROUND(T_Facebook_Ads[[#This Row],[reach]]*RANDBETWEEN(8,12)/10,0)</f>
        <v>11135</v>
      </c>
      <c r="M15" s="4">
        <f ca="1">T_Facebook_Ads[[#This Row],[frequency]]*RANDBETWEEN(8,12)/10</f>
        <v>1.524</v>
      </c>
      <c r="O15" s="3">
        <f t="shared" ca="1" si="1"/>
        <v>45037</v>
      </c>
      <c r="P15" s="4" t="s">
        <v>80</v>
      </c>
      <c r="Q15" s="4" t="s">
        <v>81</v>
      </c>
      <c r="R15" s="4" t="s">
        <v>82</v>
      </c>
      <c r="S15" s="4" t="s">
        <v>83</v>
      </c>
      <c r="T15" s="4">
        <f ca="1">ROUND(_Google_ads[[#This Row],[impressions]]*RANDBETWEEN(8,12)/10,0)</f>
        <v>41611</v>
      </c>
      <c r="U15" s="4">
        <f ca="1">ROUND(_Google_ads[[#This Row],[clicks]]*RANDBETWEEN(8,12)/10,0)</f>
        <v>730</v>
      </c>
      <c r="V15" s="4">
        <f ca="1">_Google_ads[[#This Row],[cost]]*RANDBETWEEN(8,12)/10</f>
        <v>530.37</v>
      </c>
      <c r="W15" s="4">
        <f ca="1">ROUND(_Google_ads[[#This Row],[conversions]]*RANDBETWEEN(8,12)/10,0)</f>
        <v>24</v>
      </c>
      <c r="X15" s="4">
        <f ca="1">ROUND(_Google_ads[[#This Row],[conversion_value]]*RANDBETWEEN(8,12)/10,0)</f>
        <v>1440</v>
      </c>
      <c r="Y15" s="4">
        <f ca="1">_Google_ads[[#This Row],[ctr]]*RANDBETWEEN(8,12)/10</f>
        <v>1.576E-2</v>
      </c>
      <c r="Z15" s="4">
        <f ca="1">_Google_ads[[#This Row],[avg_cpc]]*RANDBETWEEN(8,12)/10</f>
        <v>0.65</v>
      </c>
      <c r="AA15" s="4">
        <f ca="1">ROUND(_Google_ads[[#This Row],[quality_score]]*RANDBETWEEN(8,12)/10,0)</f>
        <v>6</v>
      </c>
      <c r="AB15" s="4">
        <f ca="1">_Google_ads[[#This Row],[search_impression_share]]*RANDBETWEEN(8,12)/10</f>
        <v>0.40499999999999997</v>
      </c>
      <c r="AD15" s="3">
        <f t="shared" ca="1" si="2"/>
        <v>45029</v>
      </c>
      <c r="AE15" s="4" t="s">
        <v>104</v>
      </c>
      <c r="AF15" s="4" t="s">
        <v>105</v>
      </c>
      <c r="AG15" s="4" t="s">
        <v>106</v>
      </c>
      <c r="AH15" s="4" t="s">
        <v>107</v>
      </c>
      <c r="AI15" s="4">
        <f ca="1">ROUND(T_Tiktok_ads[[#This Row],[impressions]]*RANDBETWEEN(8,12)/10,0)</f>
        <v>154681</v>
      </c>
      <c r="AJ15" s="4">
        <f ca="1">ROUND(T_Tiktok_ads[[#This Row],[clicks]]*RANDBETWEEN(8,12)/10,0)</f>
        <v>2702</v>
      </c>
      <c r="AK15" s="4">
        <v>689.5</v>
      </c>
      <c r="AL15" s="4">
        <f ca="1">ROUND(T_Tiktok_ads[[#This Row],[conversions]]*RANDBETWEEN(8,12)/10,0)</f>
        <v>54</v>
      </c>
      <c r="AM15" s="4">
        <f ca="1">ROUND(T_Tiktok_ads[[#This Row],[video_views]]*RANDBETWEEN(8,12)/10,0)</f>
        <v>91234</v>
      </c>
      <c r="AN15" s="4">
        <f ca="1">ROUND(T_Tiktok_ads[[#This Row],[video_watch_25]]*RANDBETWEEN(8,12)/10,0)</f>
        <v>61411</v>
      </c>
      <c r="AO15" s="4">
        <f ca="1">ROUND(T_Tiktok_ads[[#This Row],[video_watch_50]]*RANDBETWEEN(8,12)/10,0)</f>
        <v>54947</v>
      </c>
      <c r="AP15" s="4">
        <f ca="1">ROUND(T_Tiktok_ads[[#This Row],[video_watch_75]]*RANDBETWEEN(8,12)/10,0)</f>
        <v>31110</v>
      </c>
      <c r="AQ15" s="4">
        <f ca="1">ROUND(T_Tiktok_ads[[#This Row],[video_watch_100]]*RANDBETWEEN(8,12)/10,0)</f>
        <v>26046</v>
      </c>
      <c r="AR15" s="4">
        <f ca="1">ROUND(T_Tiktok_ads[[#This Row],[likes]]*RANDBETWEEN(8,12)/10,0)</f>
        <v>5614</v>
      </c>
      <c r="AS15" s="4">
        <f ca="1">ROUND(T_Tiktok_ads[[#This Row],[shares]]*RANDBETWEEN(8,12)/10,0)</f>
        <v>1140</v>
      </c>
      <c r="AT15" s="4">
        <f ca="1">ROUND(T_Tiktok_ads[[#This Row],[comments]]*RANDBETWEEN(8,12)/10,0)</f>
        <v>261</v>
      </c>
      <c r="AV15" s="5">
        <f t="shared" ca="1" si="3"/>
        <v>45046</v>
      </c>
      <c r="AW15">
        <f t="shared" ca="1" si="4"/>
        <v>8</v>
      </c>
      <c r="AX15">
        <f ca="1">ROUND(T_Facebook_Ads11596367[[#This Row],[impressions]]*RANDBETWEEN(8,12)/10,0)</f>
        <v>10441</v>
      </c>
      <c r="AY15">
        <f ca="1">ROUND(T_Facebook_Ads11596367[[#This Row],[clicks]]*RANDBETWEEN(8,12)/10,0)</f>
        <v>510</v>
      </c>
      <c r="AZ15">
        <f ca="1">T_Facebook_Ads11596367[[#This Row],[spend]]*RANDBETWEEN(8,12)/10</f>
        <v>218.09700000000004</v>
      </c>
      <c r="BA15">
        <f ca="1">ROUND(T_Facebook_Ads11596367[[#This Row],[conversions]]*RANDBETWEEN(8,12)/10,0)</f>
        <v>40</v>
      </c>
      <c r="BB15">
        <f ca="1">ROUND(T_Facebook_Ads11596367[[#This Row],[video_views]]*RANDBETWEEN(8,12)/10,0)</f>
        <v>1332</v>
      </c>
    </row>
    <row r="16" spans="1:54" ht="15.75" thickBot="1" x14ac:dyDescent="0.3">
      <c r="A16" s="3">
        <f t="shared" ca="1" si="0"/>
        <v>45025</v>
      </c>
      <c r="B16" s="4" t="s">
        <v>64</v>
      </c>
      <c r="C16" s="4" t="s">
        <v>65</v>
      </c>
      <c r="D16" s="4" t="s">
        <v>66</v>
      </c>
      <c r="E16" s="4" t="s">
        <v>67</v>
      </c>
      <c r="F16" s="4">
        <f ca="1">ROUND(T_Facebook_Ads[[#This Row],[impressions]]*RANDBETWEEN(8,12)/10,0)</f>
        <v>71234</v>
      </c>
      <c r="G16" s="4">
        <v>256</v>
      </c>
      <c r="H16" s="4">
        <f ca="1">T_Facebook_Ads[[#This Row],[spend]]*RANDBETWEEN(8,12)/10</f>
        <v>75.84</v>
      </c>
      <c r="I16" s="4">
        <f ca="1">ROUND(T_Facebook_Ads[[#This Row],[conversions]]*RANDBETWEEN(8,12)/10,0)</f>
        <v>6</v>
      </c>
      <c r="J16" s="4">
        <f ca="1">ROUND(T_Facebook_Ads[[#This Row],[video_views]]*RANDBETWEEN(8,12)/10,0)</f>
        <v>44011</v>
      </c>
      <c r="K16" s="4">
        <f ca="1">T_Facebook_Ads[[#This Row],[engagement_rate]]*RANDBETWEEN(8,12)/10</f>
        <v>3.5999999999999999E-3</v>
      </c>
      <c r="L16" s="4">
        <f ca="1">ROUND(T_Facebook_Ads[[#This Row],[reach]]*RANDBETWEEN(8,12)/10,0)</f>
        <v>47387</v>
      </c>
      <c r="M16" s="4">
        <f ca="1">T_Facebook_Ads[[#This Row],[frequency]]*RANDBETWEEN(8,12)/10</f>
        <v>1.2</v>
      </c>
      <c r="O16" s="3">
        <f t="shared" ca="1" si="1"/>
        <v>45044</v>
      </c>
      <c r="P16" s="4" t="s">
        <v>88</v>
      </c>
      <c r="Q16" s="4" t="s">
        <v>89</v>
      </c>
      <c r="R16" s="4" t="s">
        <v>90</v>
      </c>
      <c r="S16" s="4" t="s">
        <v>59</v>
      </c>
      <c r="T16" s="4">
        <f ca="1">ROUND(_Google_ads[[#This Row],[impressions]]*RANDBETWEEN(8,12)/10,0)</f>
        <v>154681</v>
      </c>
      <c r="U16" s="4">
        <f ca="1">ROUND(_Google_ads[[#This Row],[clicks]]*RANDBETWEEN(8,12)/10,0)</f>
        <v>420</v>
      </c>
      <c r="V16" s="4">
        <f ca="1">_Google_ads[[#This Row],[cost]]*RANDBETWEEN(8,12)/10</f>
        <v>128.9</v>
      </c>
      <c r="W16" s="4">
        <f ca="1">ROUND(_Google_ads[[#This Row],[conversions]]*RANDBETWEEN(8,12)/10,0)</f>
        <v>13</v>
      </c>
      <c r="X16" s="4">
        <f ca="1">ROUND(_Google_ads[[#This Row],[conversion_value]]*RANDBETWEEN(8,12)/10,0)</f>
        <v>715</v>
      </c>
      <c r="Y16" s="4">
        <f ca="1">_Google_ads[[#This Row],[ctr]]*RANDBETWEEN(8,12)/10</f>
        <v>2.8799999999999997E-3</v>
      </c>
      <c r="Z16" s="4">
        <f ca="1">_Google_ads[[#This Row],[avg_cpc]]*RANDBETWEEN(8,12)/10</f>
        <v>0.22400000000000003</v>
      </c>
      <c r="AA16" s="4">
        <f ca="1">ROUND(_Google_ads[[#This Row],[quality_score]]*RANDBETWEEN(8,12)/10,0)</f>
        <v>8</v>
      </c>
      <c r="AB16" s="4">
        <f ca="1">_Google_ads[[#This Row],[search_impression_share]]*RANDBETWEEN(8,12)/10</f>
        <v>0.374</v>
      </c>
      <c r="AD16" s="3">
        <f t="shared" ca="1" si="2"/>
        <v>45022</v>
      </c>
      <c r="AE16" s="4" t="s">
        <v>112</v>
      </c>
      <c r="AF16" s="4" t="s">
        <v>113</v>
      </c>
      <c r="AG16" s="4" t="s">
        <v>114</v>
      </c>
      <c r="AH16" s="4" t="s">
        <v>115</v>
      </c>
      <c r="AI16" s="4">
        <f ca="1">ROUND(T_Tiktok_ads[[#This Row],[impressions]]*RANDBETWEEN(8,12)/10,0)</f>
        <v>428147</v>
      </c>
      <c r="AJ16" s="4">
        <f ca="1">ROUND(T_Tiktok_ads[[#This Row],[clicks]]*RANDBETWEEN(8,12)/10,0)</f>
        <v>5251</v>
      </c>
      <c r="AK16" s="4">
        <v>901.2</v>
      </c>
      <c r="AL16" s="4">
        <f ca="1">ROUND(T_Tiktok_ads[[#This Row],[conversions]]*RANDBETWEEN(8,12)/10,0)</f>
        <v>91</v>
      </c>
      <c r="AM16" s="4">
        <f ca="1">ROUND(T_Tiktok_ads[[#This Row],[video_views]]*RANDBETWEEN(8,12)/10,0)</f>
        <v>264110</v>
      </c>
      <c r="AN16" s="4">
        <f ca="1">ROUND(T_Tiktok_ads[[#This Row],[video_watch_25]]*RANDBETWEEN(8,12)/10,0)</f>
        <v>287081</v>
      </c>
      <c r="AO16" s="4">
        <f ca="1">ROUND(T_Tiktok_ads[[#This Row],[video_watch_50]]*RANDBETWEEN(8,12)/10,0)</f>
        <v>229481</v>
      </c>
      <c r="AP16" s="4">
        <f ca="1">ROUND(T_Tiktok_ads[[#This Row],[video_watch_75]]*RANDBETWEEN(8,12)/10,0)</f>
        <v>163481</v>
      </c>
      <c r="AQ16" s="4">
        <f ca="1">ROUND(T_Tiktok_ads[[#This Row],[video_watch_100]]*RANDBETWEEN(8,12)/10,0)</f>
        <v>72187</v>
      </c>
      <c r="AR16" s="4">
        <f ca="1">ROUND(T_Tiktok_ads[[#This Row],[likes]]*RANDBETWEEN(8,12)/10,0)</f>
        <v>14301</v>
      </c>
      <c r="AS16" s="4">
        <f ca="1">ROUND(T_Tiktok_ads[[#This Row],[shares]]*RANDBETWEEN(8,12)/10,0)</f>
        <v>5561</v>
      </c>
      <c r="AT16" s="4">
        <f ca="1">ROUND(T_Tiktok_ads[[#This Row],[comments]]*RANDBETWEEN(8,12)/10,0)</f>
        <v>1130</v>
      </c>
      <c r="AV16" s="5">
        <f t="shared" ca="1" si="3"/>
        <v>45045</v>
      </c>
      <c r="AW16">
        <f t="shared" ca="1" si="4"/>
        <v>8</v>
      </c>
      <c r="AX16">
        <f ca="1">ROUND(T_Facebook_Ads11596367[[#This Row],[impressions]]*RANDBETWEEN(8,12)/10,0)</f>
        <v>71234</v>
      </c>
      <c r="AY16">
        <f ca="1">ROUND(T_Facebook_Ads11596367[[#This Row],[clicks]]*RANDBETWEEN(8,12)/10,0)</f>
        <v>230</v>
      </c>
      <c r="AZ16">
        <f ca="1">T_Facebook_Ads11596367[[#This Row],[spend]]*RANDBETWEEN(8,12)/10</f>
        <v>60.672000000000004</v>
      </c>
      <c r="BA16">
        <f ca="1">ROUND(T_Facebook_Ads11596367[[#This Row],[conversions]]*RANDBETWEEN(8,12)/10,0)</f>
        <v>5</v>
      </c>
      <c r="BB16">
        <f ca="1">ROUND(T_Facebook_Ads11596367[[#This Row],[video_views]]*RANDBETWEEN(8,12)/10,0)</f>
        <v>52813</v>
      </c>
    </row>
    <row r="17" spans="1:54" ht="15.75" thickBot="1" x14ac:dyDescent="0.3">
      <c r="A17" s="3">
        <f t="shared" ca="1" si="0"/>
        <v>45039</v>
      </c>
      <c r="B17" s="4" t="s">
        <v>52</v>
      </c>
      <c r="C17" s="4" t="s">
        <v>53</v>
      </c>
      <c r="D17" s="4" t="s">
        <v>54</v>
      </c>
      <c r="E17" s="4" t="s">
        <v>55</v>
      </c>
      <c r="F17" s="4">
        <f ca="1">ROUND(T_Facebook_Ads[[#This Row],[impressions]]*RANDBETWEEN(8,12)/10,0)</f>
        <v>40110</v>
      </c>
      <c r="G17" s="4">
        <v>878</v>
      </c>
      <c r="H17" s="4">
        <f ca="1">T_Facebook_Ads[[#This Row],[spend]]*RANDBETWEEN(8,12)/10</f>
        <v>138.16</v>
      </c>
      <c r="I17" s="4">
        <f ca="1">ROUND(T_Facebook_Ads[[#This Row],[conversions]]*RANDBETWEEN(8,12)/10,0)</f>
        <v>12</v>
      </c>
      <c r="J17" s="4">
        <f ca="1">ROUND(T_Facebook_Ads[[#This Row],[video_views]]*RANDBETWEEN(8,12)/10,0)</f>
        <v>9748</v>
      </c>
      <c r="K17" s="4">
        <f ca="1">T_Facebook_Ads[[#This Row],[engagement_rate]]*RANDBETWEEN(8,12)/10</f>
        <v>1.9699999999999999E-2</v>
      </c>
      <c r="L17" s="4">
        <f ca="1">ROUND(T_Facebook_Ads[[#This Row],[reach]]*RANDBETWEEN(8,12)/10,0)</f>
        <v>29965</v>
      </c>
      <c r="M17" s="4">
        <f ca="1">T_Facebook_Ads[[#This Row],[frequency]]*RANDBETWEEN(8,12)/10</f>
        <v>1.071</v>
      </c>
      <c r="O17" s="3">
        <f t="shared" ca="1" si="1"/>
        <v>45021</v>
      </c>
      <c r="P17" s="4" t="s">
        <v>76</v>
      </c>
      <c r="Q17" s="4" t="s">
        <v>77</v>
      </c>
      <c r="R17" s="4" t="s">
        <v>78</v>
      </c>
      <c r="S17" s="4" t="s">
        <v>79</v>
      </c>
      <c r="T17" s="4">
        <f ca="1">ROUND(_Google_ads[[#This Row],[impressions]]*RANDBETWEEN(8,12)/10,0)</f>
        <v>29081</v>
      </c>
      <c r="U17" s="4">
        <f ca="1">ROUND(_Google_ads[[#This Row],[clicks]]*RANDBETWEEN(8,12)/10,0)</f>
        <v>1394</v>
      </c>
      <c r="V17" s="4">
        <f ca="1">_Google_ads[[#This Row],[cost]]*RANDBETWEEN(8,12)/10</f>
        <v>289.43999999999994</v>
      </c>
      <c r="W17" s="4">
        <f ca="1">ROUND(_Google_ads[[#This Row],[conversions]]*RANDBETWEEN(8,12)/10,0)</f>
        <v>42</v>
      </c>
      <c r="X17" s="4">
        <f ca="1">ROUND(_Google_ads[[#This Row],[conversion_value]]*RANDBETWEEN(8,12)/10,0)</f>
        <v>2820</v>
      </c>
      <c r="Y17" s="4">
        <f ca="1">_Google_ads[[#This Row],[ctr]]*RANDBETWEEN(8,12)/10</f>
        <v>5.7530000000000005E-2</v>
      </c>
      <c r="Z17" s="4">
        <f ca="1">_Google_ads[[#This Row],[avg_cpc]]*RANDBETWEEN(8,12)/10</f>
        <v>0.19</v>
      </c>
      <c r="AA17" s="4">
        <f ca="1">ROUND(_Google_ads[[#This Row],[quality_score]]*RANDBETWEEN(8,12)/10,0)</f>
        <v>11</v>
      </c>
      <c r="AB17" s="4">
        <f ca="1">_Google_ads[[#This Row],[search_impression_share]]*RANDBETWEEN(8,12)/10</f>
        <v>1.1040000000000001</v>
      </c>
      <c r="AD17" s="3">
        <f t="shared" ca="1" si="2"/>
        <v>45046</v>
      </c>
      <c r="AE17" s="4" t="s">
        <v>100</v>
      </c>
      <c r="AF17" s="4" t="s">
        <v>101</v>
      </c>
      <c r="AG17" s="4" t="s">
        <v>102</v>
      </c>
      <c r="AH17" s="4" t="s">
        <v>103</v>
      </c>
      <c r="AI17" s="4">
        <f ca="1">ROUND(T_Tiktok_ads[[#This Row],[impressions]]*RANDBETWEEN(8,12)/10,0)</f>
        <v>294679</v>
      </c>
      <c r="AJ17" s="4">
        <f ca="1">ROUND(T_Tiktok_ads[[#This Row],[clicks]]*RANDBETWEEN(8,12)/10,0)</f>
        <v>4734</v>
      </c>
      <c r="AK17" s="4">
        <v>523.4</v>
      </c>
      <c r="AL17" s="4">
        <f ca="1">ROUND(T_Tiktok_ads[[#This Row],[conversions]]*RANDBETWEEN(8,12)/10,0)</f>
        <v>40</v>
      </c>
      <c r="AM17" s="4">
        <f ca="1">ROUND(T_Tiktok_ads[[#This Row],[video_views]]*RANDBETWEEN(8,12)/10,0)</f>
        <v>243357</v>
      </c>
      <c r="AN17" s="4">
        <f ca="1">ROUND(T_Tiktok_ads[[#This Row],[video_watch_25]]*RANDBETWEEN(8,12)/10,0)</f>
        <v>138765</v>
      </c>
      <c r="AO17" s="4">
        <f ca="1">ROUND(T_Tiktok_ads[[#This Row],[video_watch_50]]*RANDBETWEEN(8,12)/10,0)</f>
        <v>109234</v>
      </c>
      <c r="AP17" s="4">
        <f ca="1">ROUND(T_Tiktok_ads[[#This Row],[video_watch_75]]*RANDBETWEEN(8,12)/10,0)</f>
        <v>66210</v>
      </c>
      <c r="AQ17" s="4">
        <f ca="1">ROUND(T_Tiktok_ads[[#This Row],[video_watch_100]]*RANDBETWEEN(8,12)/10,0)</f>
        <v>39387</v>
      </c>
      <c r="AR17" s="4">
        <f ca="1">ROUND(T_Tiktok_ads[[#This Row],[likes]]*RANDBETWEEN(8,12)/10,0)</f>
        <v>11747</v>
      </c>
      <c r="AS17" s="4">
        <f ca="1">ROUND(T_Tiktok_ads[[#This Row],[shares]]*RANDBETWEEN(8,12)/10,0)</f>
        <v>2371</v>
      </c>
      <c r="AT17" s="4">
        <f ca="1">ROUND(T_Tiktok_ads[[#This Row],[comments]]*RANDBETWEEN(8,12)/10,0)</f>
        <v>623</v>
      </c>
      <c r="AV17" s="5">
        <f t="shared" ca="1" si="3"/>
        <v>45027</v>
      </c>
      <c r="AW17">
        <f t="shared" ca="1" si="4"/>
        <v>2</v>
      </c>
      <c r="AX17">
        <f ca="1">ROUND(T_Facebook_Ads11596367[[#This Row],[impressions]]*RANDBETWEEN(8,12)/10,0)</f>
        <v>36099</v>
      </c>
      <c r="AY17">
        <f ca="1">ROUND(T_Facebook_Ads11596367[[#This Row],[clicks]]*RANDBETWEEN(8,12)/10,0)</f>
        <v>790</v>
      </c>
      <c r="AZ17">
        <f ca="1">T_Facebook_Ads11596367[[#This Row],[spend]]*RANDBETWEEN(8,12)/10</f>
        <v>151.976</v>
      </c>
      <c r="BA17">
        <f ca="1">ROUND(T_Facebook_Ads11596367[[#This Row],[conversions]]*RANDBETWEEN(8,12)/10,0)</f>
        <v>10</v>
      </c>
      <c r="BB17">
        <f ca="1">ROUND(T_Facebook_Ads11596367[[#This Row],[video_views]]*RANDBETWEEN(8,12)/10,0)</f>
        <v>9748</v>
      </c>
    </row>
    <row r="18" spans="1:54" ht="15.75" thickBot="1" x14ac:dyDescent="0.3">
      <c r="A18" s="3">
        <f t="shared" ca="1" si="0"/>
        <v>45021</v>
      </c>
      <c r="B18" s="4" t="s">
        <v>60</v>
      </c>
      <c r="C18" s="4" t="s">
        <v>61</v>
      </c>
      <c r="D18" s="4" t="s">
        <v>62</v>
      </c>
      <c r="E18" s="4" t="s">
        <v>63</v>
      </c>
      <c r="F18" s="4">
        <f ca="1">ROUND(T_Facebook_Ads[[#This Row],[impressions]]*RANDBETWEEN(8,12)/10,0)</f>
        <v>32110</v>
      </c>
      <c r="G18" s="4">
        <v>1289</v>
      </c>
      <c r="H18" s="4">
        <f ca="1">T_Facebook_Ads[[#This Row],[spend]]*RANDBETWEEN(8,12)/10</f>
        <v>234.71999999999997</v>
      </c>
      <c r="I18" s="4">
        <f ca="1">ROUND(T_Facebook_Ads[[#This Row],[conversions]]*RANDBETWEEN(8,12)/10,0)</f>
        <v>22</v>
      </c>
      <c r="J18" s="4">
        <f ca="1">ROUND(T_Facebook_Ads[[#This Row],[video_views]]*RANDBETWEEN(8,12)/10,0)</f>
        <v>4210</v>
      </c>
      <c r="K18" s="4">
        <f ca="1">T_Facebook_Ads[[#This Row],[engagement_rate]]*RANDBETWEEN(8,12)/10</f>
        <v>3.9710000000000002E-2</v>
      </c>
      <c r="L18" s="4">
        <f ca="1">ROUND(T_Facebook_Ads[[#This Row],[reach]]*RANDBETWEEN(8,12)/10,0)</f>
        <v>29345</v>
      </c>
      <c r="M18" s="4">
        <f ca="1">T_Facebook_Ads[[#This Row],[frequency]]*RANDBETWEEN(8,12)/10</f>
        <v>1.0980000000000001</v>
      </c>
      <c r="O18" s="3">
        <f t="shared" ca="1" si="1"/>
        <v>45018</v>
      </c>
      <c r="P18" s="4" t="s">
        <v>84</v>
      </c>
      <c r="Q18" s="4" t="s">
        <v>85</v>
      </c>
      <c r="R18" s="4" t="s">
        <v>86</v>
      </c>
      <c r="S18" s="4" t="s">
        <v>87</v>
      </c>
      <c r="T18" s="4">
        <f ca="1">ROUND(_Google_ads[[#This Row],[impressions]]*RANDBETWEEN(8,12)/10,0)</f>
        <v>72345</v>
      </c>
      <c r="U18" s="4">
        <f ca="1">ROUND(_Google_ads[[#This Row],[clicks]]*RANDBETWEEN(8,12)/10,0)</f>
        <v>2854</v>
      </c>
      <c r="V18" s="4">
        <f ca="1">_Google_ads[[#This Row],[cost]]*RANDBETWEEN(8,12)/10</f>
        <v>519.4799999999999</v>
      </c>
      <c r="W18" s="4">
        <f ca="1">ROUND(_Google_ads[[#This Row],[conversions]]*RANDBETWEEN(8,12)/10,0)</f>
        <v>62</v>
      </c>
      <c r="X18" s="4">
        <f ca="1">ROUND(_Google_ads[[#This Row],[conversion_value]]*RANDBETWEEN(8,12)/10,0)</f>
        <v>4140</v>
      </c>
      <c r="Y18" s="4">
        <f ca="1">_Google_ads[[#This Row],[ctr]]*RANDBETWEEN(8,12)/10</f>
        <v>2.632E-2</v>
      </c>
      <c r="Z18" s="4">
        <f ca="1">_Google_ads[[#This Row],[avg_cpc]]*RANDBETWEEN(8,12)/10</f>
        <v>0.14399999999999999</v>
      </c>
      <c r="AA18" s="4">
        <f ca="1">ROUND(_Google_ads[[#This Row],[quality_score]]*RANDBETWEEN(8,12)/10,0)</f>
        <v>10</v>
      </c>
      <c r="AB18" s="4">
        <f ca="1">_Google_ads[[#This Row],[search_impression_share]]*RANDBETWEEN(8,12)/10</f>
        <v>0.73699999999999999</v>
      </c>
      <c r="AD18" s="3">
        <f t="shared" ca="1" si="2"/>
        <v>45031</v>
      </c>
      <c r="AE18" s="4" t="s">
        <v>108</v>
      </c>
      <c r="AF18" s="4" t="s">
        <v>109</v>
      </c>
      <c r="AG18" s="4" t="s">
        <v>110</v>
      </c>
      <c r="AH18" s="4" t="s">
        <v>111</v>
      </c>
      <c r="AI18" s="4">
        <f ca="1">ROUND(T_Tiktok_ads[[#This Row],[impressions]]*RANDBETWEEN(8,12)/10,0)</f>
        <v>164542</v>
      </c>
      <c r="AJ18" s="4">
        <f ca="1">ROUND(T_Tiktok_ads[[#This Row],[clicks]]*RANDBETWEEN(8,12)/10,0)</f>
        <v>3234</v>
      </c>
      <c r="AK18" s="4">
        <v>387.8</v>
      </c>
      <c r="AL18" s="4">
        <f ca="1">ROUND(T_Tiktok_ads[[#This Row],[conversions]]*RANDBETWEEN(8,12)/10,0)</f>
        <v>27</v>
      </c>
      <c r="AM18" s="4">
        <f ca="1">ROUND(T_Tiktok_ads[[#This Row],[video_views]]*RANDBETWEEN(8,12)/10,0)</f>
        <v>129876</v>
      </c>
      <c r="AN18" s="4">
        <f ca="1">ROUND(T_Tiktok_ads[[#This Row],[video_watch_25]]*RANDBETWEEN(8,12)/10,0)</f>
        <v>112110</v>
      </c>
      <c r="AO18" s="4">
        <f ca="1">ROUND(T_Tiktok_ads[[#This Row],[video_watch_50]]*RANDBETWEEN(8,12)/10,0)</f>
        <v>79121</v>
      </c>
      <c r="AP18" s="4">
        <f ca="1">ROUND(T_Tiktok_ads[[#This Row],[video_watch_75]]*RANDBETWEEN(8,12)/10,0)</f>
        <v>75881</v>
      </c>
      <c r="AQ18" s="4">
        <f ca="1">ROUND(T_Tiktok_ads[[#This Row],[video_watch_100]]*RANDBETWEEN(8,12)/10,0)</f>
        <v>34411</v>
      </c>
      <c r="AR18" s="4">
        <f ca="1">ROUND(T_Tiktok_ads[[#This Row],[likes]]*RANDBETWEEN(8,12)/10,0)</f>
        <v>9080</v>
      </c>
      <c r="AS18" s="4">
        <f ca="1">ROUND(T_Tiktok_ads[[#This Row],[shares]]*RANDBETWEEN(8,12)/10,0)</f>
        <v>1880</v>
      </c>
      <c r="AT18" s="4">
        <f ca="1">ROUND(T_Tiktok_ads[[#This Row],[comments]]*RANDBETWEEN(8,12)/10,0)</f>
        <v>451</v>
      </c>
      <c r="AV18" s="5">
        <f t="shared" ca="1" si="3"/>
        <v>45025</v>
      </c>
      <c r="AW18">
        <f t="shared" ca="1" si="4"/>
        <v>3</v>
      </c>
      <c r="AX18">
        <f ca="1">ROUND(T_Facebook_Ads11596367[[#This Row],[impressions]]*RANDBETWEEN(8,12)/10,0)</f>
        <v>32110</v>
      </c>
      <c r="AY18">
        <f ca="1">ROUND(T_Facebook_Ads11596367[[#This Row],[clicks]]*RANDBETWEEN(8,12)/10,0)</f>
        <v>1289</v>
      </c>
      <c r="AZ18">
        <f ca="1">T_Facebook_Ads11596367[[#This Row],[spend]]*RANDBETWEEN(8,12)/10</f>
        <v>187.77599999999998</v>
      </c>
      <c r="BA18">
        <f ca="1">ROUND(T_Facebook_Ads11596367[[#This Row],[conversions]]*RANDBETWEEN(8,12)/10,0)</f>
        <v>24</v>
      </c>
      <c r="BB18">
        <f ca="1">ROUND(T_Facebook_Ads11596367[[#This Row],[video_views]]*RANDBETWEEN(8,12)/10,0)</f>
        <v>4631</v>
      </c>
    </row>
    <row r="19" spans="1:54" ht="15.75" thickBot="1" x14ac:dyDescent="0.3">
      <c r="A19" s="3">
        <f t="shared" ca="1" si="0"/>
        <v>45029</v>
      </c>
      <c r="B19" s="4" t="s">
        <v>64</v>
      </c>
      <c r="C19" s="4" t="s">
        <v>65</v>
      </c>
      <c r="D19" s="4" t="s">
        <v>66</v>
      </c>
      <c r="E19" s="4" t="s">
        <v>67</v>
      </c>
      <c r="F19" s="4">
        <f ca="1">ROUND(T_Facebook_Ads[[#This Row],[impressions]]*RANDBETWEEN(8,12)/10,0)</f>
        <v>55565</v>
      </c>
      <c r="G19" s="4">
        <v>245</v>
      </c>
      <c r="H19" s="4">
        <f ca="1">T_Facebook_Ads[[#This Row],[spend]]*RANDBETWEEN(8,12)/10</f>
        <v>91.2</v>
      </c>
      <c r="I19" s="4">
        <f ca="1">ROUND(T_Facebook_Ads[[#This Row],[conversions]]*RANDBETWEEN(8,12)/10,0)</f>
        <v>6</v>
      </c>
      <c r="J19" s="4">
        <f ca="1">ROUND(T_Facebook_Ads[[#This Row],[video_views]]*RANDBETWEEN(8,12)/10,0)</f>
        <v>47234</v>
      </c>
      <c r="K19" s="4">
        <f ca="1">T_Facebook_Ads[[#This Row],[engagement_rate]]*RANDBETWEEN(8,12)/10</f>
        <v>4.2000000000000006E-3</v>
      </c>
      <c r="L19" s="4">
        <f ca="1">ROUND(T_Facebook_Ads[[#This Row],[reach]]*RANDBETWEEN(8,12)/10,0)</f>
        <v>46312</v>
      </c>
      <c r="M19" s="4">
        <f ca="1">T_Facebook_Ads[[#This Row],[frequency]]*RANDBETWEEN(8,12)/10</f>
        <v>1.0799999999999998</v>
      </c>
      <c r="O19" s="3">
        <f t="shared" ca="1" si="1"/>
        <v>45044</v>
      </c>
      <c r="P19" s="4" t="s">
        <v>88</v>
      </c>
      <c r="Q19" s="4" t="s">
        <v>89</v>
      </c>
      <c r="R19" s="4" t="s">
        <v>90</v>
      </c>
      <c r="S19" s="4" t="s">
        <v>59</v>
      </c>
      <c r="T19" s="4">
        <f ca="1">ROUND(_Google_ads[[#This Row],[impressions]]*RANDBETWEEN(8,12)/10,0)</f>
        <v>118111</v>
      </c>
      <c r="U19" s="4">
        <f ca="1">ROUND(_Google_ads[[#This Row],[clicks]]*RANDBETWEEN(8,12)/10,0)</f>
        <v>526</v>
      </c>
      <c r="V19" s="4">
        <f ca="1">_Google_ads[[#This Row],[cost]]*RANDBETWEEN(8,12)/10</f>
        <v>132.4</v>
      </c>
      <c r="W19" s="4">
        <f ca="1">ROUND(_Google_ads[[#This Row],[conversions]]*RANDBETWEEN(8,12)/10,0)</f>
        <v>14</v>
      </c>
      <c r="X19" s="4">
        <f ca="1">ROUND(_Google_ads[[#This Row],[conversion_value]]*RANDBETWEEN(8,12)/10,0)</f>
        <v>650</v>
      </c>
      <c r="Y19" s="4">
        <f ca="1">_Google_ads[[#This Row],[ctr]]*RANDBETWEEN(8,12)/10</f>
        <v>3.5999999999999999E-3</v>
      </c>
      <c r="Z19" s="4">
        <f ca="1">_Google_ads[[#This Row],[avg_cpc]]*RANDBETWEEN(8,12)/10</f>
        <v>0.308</v>
      </c>
      <c r="AA19" s="4">
        <f ca="1">ROUND(_Google_ads[[#This Row],[quality_score]]*RANDBETWEEN(8,12)/10,0)</f>
        <v>7</v>
      </c>
      <c r="AB19" s="4">
        <f ca="1">_Google_ads[[#This Row],[search_impression_share]]*RANDBETWEEN(8,12)/10</f>
        <v>0.38499999999999995</v>
      </c>
      <c r="AD19" s="3">
        <f t="shared" ca="1" si="2"/>
        <v>45038</v>
      </c>
      <c r="AE19" s="4" t="s">
        <v>112</v>
      </c>
      <c r="AF19" s="4" t="s">
        <v>113</v>
      </c>
      <c r="AG19" s="4" t="s">
        <v>114</v>
      </c>
      <c r="AH19" s="4" t="s">
        <v>115</v>
      </c>
      <c r="AI19" s="4">
        <f ca="1">ROUND(T_Tiktok_ads[[#This Row],[impressions]]*RANDBETWEEN(8,12)/10,0)</f>
        <v>378901</v>
      </c>
      <c r="AJ19" s="4">
        <f ca="1">ROUND(T_Tiktok_ads[[#This Row],[clicks]]*RANDBETWEEN(8,12)/10,0)</f>
        <v>5511</v>
      </c>
      <c r="AK19" s="4">
        <v>945.6</v>
      </c>
      <c r="AL19" s="4">
        <f ca="1">ROUND(T_Tiktok_ads[[#This Row],[conversions]]*RANDBETWEEN(8,12)/10,0)</f>
        <v>96</v>
      </c>
      <c r="AM19" s="4">
        <f ca="1">ROUND(T_Tiktok_ads[[#This Row],[video_views]]*RANDBETWEEN(8,12)/10,0)</f>
        <v>374814</v>
      </c>
      <c r="AN19" s="4">
        <f ca="1">ROUND(T_Tiktok_ads[[#This Row],[video_watch_25]]*RANDBETWEEN(8,12)/10,0)</f>
        <v>200987</v>
      </c>
      <c r="AO19" s="4">
        <f ca="1">ROUND(T_Tiktok_ads[[#This Row],[video_watch_50]]*RANDBETWEEN(8,12)/10,0)</f>
        <v>160987</v>
      </c>
      <c r="AP19" s="4">
        <f ca="1">ROUND(T_Tiktok_ads[[#This Row],[video_watch_75]]*RANDBETWEEN(8,12)/10,0)</f>
        <v>172147</v>
      </c>
      <c r="AQ19" s="4">
        <f ca="1">ROUND(T_Tiktok_ads[[#This Row],[video_watch_100]]*RANDBETWEEN(8,12)/10,0)</f>
        <v>104757</v>
      </c>
      <c r="AR19" s="4">
        <f ca="1">ROUND(T_Tiktok_ads[[#This Row],[likes]]*RANDBETWEEN(8,12)/10,0)</f>
        <v>14910</v>
      </c>
      <c r="AS19" s="4">
        <f ca="1">ROUND(T_Tiktok_ads[[#This Row],[shares]]*RANDBETWEEN(8,12)/10,0)</f>
        <v>4341</v>
      </c>
      <c r="AT19" s="4">
        <f ca="1">ROUND(T_Tiktok_ads[[#This Row],[comments]]*RANDBETWEEN(8,12)/10,0)</f>
        <v>1574</v>
      </c>
      <c r="AV19" s="5">
        <f t="shared" ca="1" si="3"/>
        <v>45036</v>
      </c>
      <c r="AW19">
        <f t="shared" ca="1" si="4"/>
        <v>3</v>
      </c>
      <c r="AX19">
        <f ca="1">ROUND(T_Facebook_Ads11596367[[#This Row],[impressions]]*RANDBETWEEN(8,12)/10,0)</f>
        <v>66678</v>
      </c>
      <c r="AY19">
        <f ca="1">ROUND(T_Facebook_Ads11596367[[#This Row],[clicks]]*RANDBETWEEN(8,12)/10,0)</f>
        <v>221</v>
      </c>
      <c r="AZ19">
        <f ca="1">T_Facebook_Ads11596367[[#This Row],[spend]]*RANDBETWEEN(8,12)/10</f>
        <v>100.32000000000001</v>
      </c>
      <c r="BA19">
        <f ca="1">ROUND(T_Facebook_Ads11596367[[#This Row],[conversions]]*RANDBETWEEN(8,12)/10,0)</f>
        <v>6</v>
      </c>
      <c r="BB19">
        <f ca="1">ROUND(T_Facebook_Ads11596367[[#This Row],[video_views]]*RANDBETWEEN(8,12)/10,0)</f>
        <v>51957</v>
      </c>
    </row>
    <row r="20" spans="1:54" ht="15.75" thickBot="1" x14ac:dyDescent="0.3">
      <c r="A20" s="3">
        <f t="shared" ca="1" si="0"/>
        <v>45018</v>
      </c>
      <c r="B20" s="4" t="s">
        <v>52</v>
      </c>
      <c r="C20" s="4" t="s">
        <v>53</v>
      </c>
      <c r="D20" s="4" t="s">
        <v>54</v>
      </c>
      <c r="E20" s="4" t="s">
        <v>55</v>
      </c>
      <c r="F20" s="4">
        <f ca="1">ROUND(T_Facebook_Ads[[#This Row],[impressions]]*RANDBETWEEN(8,12)/10,0)</f>
        <v>54864</v>
      </c>
      <c r="G20" s="4">
        <v>1067</v>
      </c>
      <c r="H20" s="4">
        <f ca="1">T_Facebook_Ads[[#This Row],[spend]]*RANDBETWEEN(8,12)/10</f>
        <v>131.31</v>
      </c>
      <c r="I20" s="4">
        <f ca="1">ROUND(T_Facebook_Ads[[#This Row],[conversions]]*RANDBETWEEN(8,12)/10,0)</f>
        <v>14</v>
      </c>
      <c r="J20" s="4">
        <f ca="1">ROUND(T_Facebook_Ads[[#This Row],[video_views]]*RANDBETWEEN(8,12)/10,0)</f>
        <v>7654</v>
      </c>
      <c r="K20" s="4">
        <f ca="1">T_Facebook_Ads[[#This Row],[engagement_rate]]*RANDBETWEEN(8,12)/10</f>
        <v>1.9259999999999999E-2</v>
      </c>
      <c r="L20" s="4">
        <f ca="1">ROUND(T_Facebook_Ads[[#This Row],[reach]]*RANDBETWEEN(8,12)/10,0)</f>
        <v>45357</v>
      </c>
      <c r="M20" s="4">
        <f ca="1">T_Facebook_Ads[[#This Row],[frequency]]*RANDBETWEEN(8,12)/10</f>
        <v>1.089</v>
      </c>
      <c r="O20" s="3">
        <f t="shared" ca="1" si="1"/>
        <v>45032</v>
      </c>
      <c r="P20" s="4" t="s">
        <v>76</v>
      </c>
      <c r="Q20" s="4" t="s">
        <v>77</v>
      </c>
      <c r="R20" s="4" t="s">
        <v>78</v>
      </c>
      <c r="S20" s="4" t="s">
        <v>79</v>
      </c>
      <c r="T20" s="4">
        <f ca="1">ROUND(_Google_ads[[#This Row],[impressions]]*RANDBETWEEN(8,12)/10,0)</f>
        <v>32147</v>
      </c>
      <c r="U20" s="4">
        <f ca="1">ROUND(_Google_ads[[#This Row],[clicks]]*RANDBETWEEN(8,12)/10,0)</f>
        <v>1747</v>
      </c>
      <c r="V20" s="4">
        <f ca="1">_Google_ads[[#This Row],[cost]]*RANDBETWEEN(8,12)/10</f>
        <v>334.67999999999995</v>
      </c>
      <c r="W20" s="4">
        <f ca="1">ROUND(_Google_ads[[#This Row],[conversions]]*RANDBETWEEN(8,12)/10,0)</f>
        <v>43</v>
      </c>
      <c r="X20" s="4">
        <f ca="1">ROUND(_Google_ads[[#This Row],[conversion_value]]*RANDBETWEEN(8,12)/10,0)</f>
        <v>2160</v>
      </c>
      <c r="Y20" s="4">
        <f ca="1">_Google_ads[[#This Row],[ctr]]*RANDBETWEEN(8,12)/10</f>
        <v>6.5279999999999991E-2</v>
      </c>
      <c r="Z20" s="4">
        <f ca="1">_Google_ads[[#This Row],[avg_cpc]]*RANDBETWEEN(8,12)/10</f>
        <v>0.19</v>
      </c>
      <c r="AA20" s="4">
        <f ca="1">ROUND(_Google_ads[[#This Row],[quality_score]]*RANDBETWEEN(8,12)/10,0)</f>
        <v>7</v>
      </c>
      <c r="AB20" s="4">
        <f ca="1">_Google_ads[[#This Row],[search_impression_share]]*RANDBETWEEN(8,12)/10</f>
        <v>1.0230000000000001</v>
      </c>
      <c r="AD20" s="3">
        <f t="shared" ca="1" si="2"/>
        <v>45021</v>
      </c>
      <c r="AE20" s="4" t="s">
        <v>100</v>
      </c>
      <c r="AF20" s="4" t="s">
        <v>101</v>
      </c>
      <c r="AG20" s="4" t="s">
        <v>102</v>
      </c>
      <c r="AH20" s="4" t="s">
        <v>103</v>
      </c>
      <c r="AI20" s="4">
        <f ca="1">ROUND(T_Tiktok_ads[[#This Row],[impressions]]*RANDBETWEEN(8,12)/10,0)</f>
        <v>334681</v>
      </c>
      <c r="AJ20" s="4">
        <f ca="1">ROUND(T_Tiktok_ads[[#This Row],[clicks]]*RANDBETWEEN(8,12)/10,0)</f>
        <v>4535</v>
      </c>
      <c r="AK20" s="4">
        <v>545.6</v>
      </c>
      <c r="AL20" s="4">
        <f ca="1">ROUND(T_Tiktok_ads[[#This Row],[conversions]]*RANDBETWEEN(8,12)/10,0)</f>
        <v>46</v>
      </c>
      <c r="AM20" s="4">
        <f ca="1">ROUND(T_Tiktok_ads[[#This Row],[video_views]]*RANDBETWEEN(8,12)/10,0)</f>
        <v>252157</v>
      </c>
      <c r="AN20" s="4">
        <f ca="1">ROUND(T_Tiktok_ads[[#This Row],[video_watch_25]]*RANDBETWEEN(8,12)/10,0)</f>
        <v>197157</v>
      </c>
      <c r="AO20" s="4">
        <f ca="1">ROUND(T_Tiktok_ads[[#This Row],[video_watch_50]]*RANDBETWEEN(8,12)/10,0)</f>
        <v>101011</v>
      </c>
      <c r="AP20" s="4">
        <f ca="1">ROUND(T_Tiktok_ads[[#This Row],[video_watch_75]]*RANDBETWEEN(8,12)/10,0)</f>
        <v>68110</v>
      </c>
      <c r="AQ20" s="4">
        <f ca="1">ROUND(T_Tiktok_ads[[#This Row],[video_watch_100]]*RANDBETWEEN(8,12)/10,0)</f>
        <v>55257</v>
      </c>
      <c r="AR20" s="4">
        <f ca="1">ROUND(T_Tiktok_ads[[#This Row],[likes]]*RANDBETWEEN(8,12)/10,0)</f>
        <v>12148</v>
      </c>
      <c r="AS20" s="4">
        <f ca="1">ROUND(T_Tiktok_ads[[#This Row],[shares]]*RANDBETWEEN(8,12)/10,0)</f>
        <v>3254</v>
      </c>
      <c r="AT20" s="4">
        <f ca="1">ROUND(T_Tiktok_ads[[#This Row],[comments]]*RANDBETWEEN(8,12)/10,0)</f>
        <v>645</v>
      </c>
      <c r="AV20" s="5">
        <f t="shared" ca="1" si="3"/>
        <v>45033</v>
      </c>
      <c r="AW20">
        <f t="shared" ca="1" si="4"/>
        <v>6</v>
      </c>
      <c r="AX20">
        <f ca="1">ROUND(T_Facebook_Ads11596367[[#This Row],[impressions]]*RANDBETWEEN(8,12)/10,0)</f>
        <v>43891</v>
      </c>
      <c r="AY20">
        <f ca="1">ROUND(T_Facebook_Ads11596367[[#This Row],[clicks]]*RANDBETWEEN(8,12)/10,0)</f>
        <v>960</v>
      </c>
      <c r="AZ20">
        <f ca="1">T_Facebook_Ads11596367[[#This Row],[spend]]*RANDBETWEEN(8,12)/10</f>
        <v>131.31</v>
      </c>
      <c r="BA20">
        <f ca="1">ROUND(T_Facebook_Ads11596367[[#This Row],[conversions]]*RANDBETWEEN(8,12)/10,0)</f>
        <v>13</v>
      </c>
      <c r="BB20">
        <f ca="1">ROUND(T_Facebook_Ads11596367[[#This Row],[video_views]]*RANDBETWEEN(8,12)/10,0)</f>
        <v>6123</v>
      </c>
    </row>
    <row r="21" spans="1:54" ht="15.75" thickBot="1" x14ac:dyDescent="0.3">
      <c r="A21" s="3">
        <f t="shared" ca="1" si="0"/>
        <v>45029</v>
      </c>
      <c r="B21" s="4" t="s">
        <v>56</v>
      </c>
      <c r="C21" s="4" t="s">
        <v>57</v>
      </c>
      <c r="D21" s="4" t="s">
        <v>58</v>
      </c>
      <c r="E21" s="4" t="s">
        <v>59</v>
      </c>
      <c r="F21" s="4">
        <f ca="1">ROUND(T_Facebook_Ads[[#This Row],[impressions]]*RANDBETWEEN(8,12)/10,0)</f>
        <v>14802</v>
      </c>
      <c r="G21" s="4">
        <v>623</v>
      </c>
      <c r="H21" s="4">
        <f ca="1">T_Facebook_Ads[[#This Row],[spend]]*RANDBETWEEN(8,12)/10</f>
        <v>237.8</v>
      </c>
      <c r="I21" s="4">
        <f ca="1">ROUND(T_Facebook_Ads[[#This Row],[conversions]]*RANDBETWEEN(8,12)/10,0)</f>
        <v>32</v>
      </c>
      <c r="J21" s="4">
        <f ca="1">ROUND(T_Facebook_Ads[[#This Row],[video_views]]*RANDBETWEEN(8,12)/10,0)</f>
        <v>1310</v>
      </c>
      <c r="K21" s="4">
        <f ca="1">T_Facebook_Ads[[#This Row],[engagement_rate]]*RANDBETWEEN(8,12)/10</f>
        <v>5.5559999999999998E-2</v>
      </c>
      <c r="L21" s="4">
        <f ca="1">ROUND(T_Facebook_Ads[[#This Row],[reach]]*RANDBETWEEN(8,12)/10,0)</f>
        <v>9510</v>
      </c>
      <c r="M21" s="4">
        <f ca="1">T_Facebook_Ads[[#This Row],[frequency]]*RANDBETWEEN(8,12)/10</f>
        <v>1.143</v>
      </c>
      <c r="O21" s="3">
        <f t="shared" ca="1" si="1"/>
        <v>45033</v>
      </c>
      <c r="P21" s="4" t="s">
        <v>80</v>
      </c>
      <c r="Q21" s="4" t="s">
        <v>81</v>
      </c>
      <c r="R21" s="4" t="s">
        <v>82</v>
      </c>
      <c r="S21" s="4" t="s">
        <v>83</v>
      </c>
      <c r="T21" s="4">
        <f ca="1">ROUND(_Google_ads[[#This Row],[impressions]]*RANDBETWEEN(8,12)/10,0)</f>
        <v>40110</v>
      </c>
      <c r="U21" s="4">
        <f ca="1">ROUND(_Google_ads[[#This Row],[clicks]]*RANDBETWEEN(8,12)/10,0)</f>
        <v>702</v>
      </c>
      <c r="V21" s="4">
        <f ca="1">_Google_ads[[#This Row],[cost]]*RANDBETWEEN(8,12)/10</f>
        <v>623.92000000000007</v>
      </c>
      <c r="W21" s="4">
        <f ca="1">ROUND(_Google_ads[[#This Row],[conversions]]*RANDBETWEEN(8,12)/10,0)</f>
        <v>18</v>
      </c>
      <c r="X21" s="4">
        <f ca="1">ROUND(_Google_ads[[#This Row],[conversion_value]]*RANDBETWEEN(8,12)/10,0)</f>
        <v>880</v>
      </c>
      <c r="Y21" s="4">
        <f ca="1">_Google_ads[[#This Row],[ctr]]*RANDBETWEEN(8,12)/10</f>
        <v>2.1669999999999998E-2</v>
      </c>
      <c r="Z21" s="4">
        <f ca="1">_Google_ads[[#This Row],[avg_cpc]]*RANDBETWEEN(8,12)/10</f>
        <v>0.78</v>
      </c>
      <c r="AA21" s="4">
        <f ca="1">ROUND(_Google_ads[[#This Row],[quality_score]]*RANDBETWEEN(8,12)/10,0)</f>
        <v>5</v>
      </c>
      <c r="AB21" s="4">
        <f ca="1">_Google_ads[[#This Row],[search_impression_share]]*RANDBETWEEN(8,12)/10</f>
        <v>0.52800000000000002</v>
      </c>
      <c r="AD21" s="3">
        <f t="shared" ca="1" si="2"/>
        <v>45034</v>
      </c>
      <c r="AE21" s="4" t="s">
        <v>104</v>
      </c>
      <c r="AF21" s="4" t="s">
        <v>105</v>
      </c>
      <c r="AG21" s="4" t="s">
        <v>106</v>
      </c>
      <c r="AH21" s="4" t="s">
        <v>107</v>
      </c>
      <c r="AI21" s="4">
        <f ca="1">ROUND(T_Tiktok_ads[[#This Row],[impressions]]*RANDBETWEEN(8,12)/10,0)</f>
        <v>138901</v>
      </c>
      <c r="AJ21" s="4">
        <f ca="1">ROUND(T_Tiktok_ads[[#This Row],[clicks]]*RANDBETWEEN(8,12)/10,0)</f>
        <v>2410</v>
      </c>
      <c r="AK21" s="4">
        <v>734.5</v>
      </c>
      <c r="AL21" s="4">
        <f ca="1">ROUND(T_Tiktok_ads[[#This Row],[conversions]]*RANDBETWEEN(8,12)/10,0)</f>
        <v>88</v>
      </c>
      <c r="AM21" s="4">
        <f ca="1">ROUND(T_Tiktok_ads[[#This Row],[video_views]]*RANDBETWEEN(8,12)/10,0)</f>
        <v>117468</v>
      </c>
      <c r="AN21" s="4">
        <f ca="1">ROUND(T_Tiktok_ads[[#This Row],[video_watch_25]]*RANDBETWEEN(8,12)/10,0)</f>
        <v>57876</v>
      </c>
      <c r="AO21" s="4">
        <f ca="1">ROUND(T_Tiktok_ads[[#This Row],[video_watch_50]]*RANDBETWEEN(8,12)/10,0)</f>
        <v>53791</v>
      </c>
      <c r="AP21" s="4">
        <f ca="1">ROUND(T_Tiktok_ads[[#This Row],[video_watch_75]]*RANDBETWEEN(8,12)/10,0)</f>
        <v>44147</v>
      </c>
      <c r="AQ21" s="4">
        <f ca="1">ROUND(T_Tiktok_ads[[#This Row],[video_watch_100]]*RANDBETWEEN(8,12)/10,0)</f>
        <v>29868</v>
      </c>
      <c r="AR21" s="4">
        <f ca="1">ROUND(T_Tiktok_ads[[#This Row],[likes]]*RANDBETWEEN(8,12)/10,0)</f>
        <v>4901</v>
      </c>
      <c r="AS21" s="4">
        <f ca="1">ROUND(T_Tiktok_ads[[#This Row],[shares]]*RANDBETWEEN(8,12)/10,0)</f>
        <v>1492</v>
      </c>
      <c r="AT21" s="4">
        <f ca="1">ROUND(T_Tiktok_ads[[#This Row],[comments]]*RANDBETWEEN(8,12)/10,0)</f>
        <v>205</v>
      </c>
      <c r="AV21" s="5">
        <f t="shared" ca="1" si="3"/>
        <v>45027</v>
      </c>
      <c r="AW21">
        <f t="shared" ca="1" si="4"/>
        <v>3</v>
      </c>
      <c r="AX21">
        <f ca="1">ROUND(T_Facebook_Ads11596367[[#This Row],[impressions]]*RANDBETWEEN(8,12)/10,0)</f>
        <v>16282</v>
      </c>
      <c r="AY21">
        <f ca="1">ROUND(T_Facebook_Ads11596367[[#This Row],[clicks]]*RANDBETWEEN(8,12)/10,0)</f>
        <v>498</v>
      </c>
      <c r="AZ21">
        <f ca="1">T_Facebook_Ads11596367[[#This Row],[spend]]*RANDBETWEEN(8,12)/10</f>
        <v>261.58000000000004</v>
      </c>
      <c r="BA21">
        <f ca="1">ROUND(T_Facebook_Ads11596367[[#This Row],[conversions]]*RANDBETWEEN(8,12)/10,0)</f>
        <v>26</v>
      </c>
      <c r="BB21">
        <f ca="1">ROUND(T_Facebook_Ads11596367[[#This Row],[video_views]]*RANDBETWEEN(8,12)/10,0)</f>
        <v>1310</v>
      </c>
    </row>
    <row r="22" spans="1:54" ht="15.75" thickBot="1" x14ac:dyDescent="0.3">
      <c r="A22" s="3">
        <f t="shared" ca="1" si="0"/>
        <v>45041</v>
      </c>
      <c r="B22" s="4" t="s">
        <v>60</v>
      </c>
      <c r="C22" s="4" t="s">
        <v>61</v>
      </c>
      <c r="D22" s="4" t="s">
        <v>62</v>
      </c>
      <c r="E22" s="4" t="s">
        <v>63</v>
      </c>
      <c r="F22" s="4">
        <f ca="1">ROUND(T_Facebook_Ads[[#This Row],[impressions]]*RANDBETWEEN(8,12)/10,0)</f>
        <v>33511</v>
      </c>
      <c r="G22" s="4">
        <v>1367</v>
      </c>
      <c r="H22" s="4">
        <f ca="1">T_Facebook_Ads[[#This Row],[spend]]*RANDBETWEEN(8,12)/10</f>
        <v>166.32</v>
      </c>
      <c r="I22" s="4">
        <f ca="1">ROUND(T_Facebook_Ads[[#This Row],[conversions]]*RANDBETWEEN(8,12)/10,0)</f>
        <v>27</v>
      </c>
      <c r="J22" s="4">
        <f ca="1">ROUND(T_Facebook_Ads[[#This Row],[video_views]]*RANDBETWEEN(8,12)/10,0)</f>
        <v>4511</v>
      </c>
      <c r="K22" s="4">
        <f ca="1">T_Facebook_Ads[[#This Row],[engagement_rate]]*RANDBETWEEN(8,12)/10</f>
        <v>2.9360000000000004E-2</v>
      </c>
      <c r="L22" s="4">
        <f ca="1">ROUND(T_Facebook_Ads[[#This Row],[reach]]*RANDBETWEEN(8,12)/10,0)</f>
        <v>24542</v>
      </c>
      <c r="M22" s="4">
        <f ca="1">T_Facebook_Ads[[#This Row],[frequency]]*RANDBETWEEN(8,12)/10</f>
        <v>0.96799999999999997</v>
      </c>
      <c r="O22" s="3">
        <f t="shared" ca="1" si="1"/>
        <v>45017</v>
      </c>
      <c r="P22" s="4" t="s">
        <v>84</v>
      </c>
      <c r="Q22" s="4" t="s">
        <v>85</v>
      </c>
      <c r="R22" s="4" t="s">
        <v>86</v>
      </c>
      <c r="S22" s="4" t="s">
        <v>87</v>
      </c>
      <c r="T22" s="4">
        <f ca="1">ROUND(_Google_ads[[#This Row],[impressions]]*RANDBETWEEN(8,12)/10,0)</f>
        <v>56187</v>
      </c>
      <c r="U22" s="4">
        <f ca="1">ROUND(_Google_ads[[#This Row],[clicks]]*RANDBETWEEN(8,12)/10,0)</f>
        <v>2289</v>
      </c>
      <c r="V22" s="4">
        <f ca="1">_Google_ads[[#This Row],[cost]]*RANDBETWEEN(8,12)/10</f>
        <v>461.45</v>
      </c>
      <c r="W22" s="4">
        <f ca="1">ROUND(_Google_ads[[#This Row],[conversions]]*RANDBETWEEN(8,12)/10,0)</f>
        <v>53</v>
      </c>
      <c r="X22" s="4">
        <f ca="1">ROUND(_Google_ads[[#This Row],[conversion_value]]*RANDBETWEEN(8,12)/10,0)</f>
        <v>3630</v>
      </c>
      <c r="Y22" s="4">
        <f ca="1">_Google_ads[[#This Row],[ctr]]*RANDBETWEEN(8,12)/10</f>
        <v>3.5859999999999996E-2</v>
      </c>
      <c r="Z22" s="4">
        <f ca="1">_Google_ads[[#This Row],[avg_cpc]]*RANDBETWEEN(8,12)/10</f>
        <v>0.14399999999999999</v>
      </c>
      <c r="AA22" s="4">
        <f ca="1">ROUND(_Google_ads[[#This Row],[quality_score]]*RANDBETWEEN(8,12)/10,0)</f>
        <v>9</v>
      </c>
      <c r="AB22" s="4">
        <f ca="1">_Google_ads[[#This Row],[search_impression_share]]*RANDBETWEEN(8,12)/10</f>
        <v>0.66</v>
      </c>
      <c r="AD22" s="3">
        <f t="shared" ca="1" si="2"/>
        <v>45041</v>
      </c>
      <c r="AE22" s="4" t="s">
        <v>108</v>
      </c>
      <c r="AF22" s="4" t="s">
        <v>109</v>
      </c>
      <c r="AG22" s="4" t="s">
        <v>110</v>
      </c>
      <c r="AH22" s="4" t="s">
        <v>111</v>
      </c>
      <c r="AI22" s="4">
        <f ca="1">ROUND(T_Tiktok_ads[[#This Row],[impressions]]*RANDBETWEEN(8,12)/10,0)</f>
        <v>254814</v>
      </c>
      <c r="AJ22" s="4">
        <f ca="1">ROUND(T_Tiktok_ads[[#This Row],[clicks]]*RANDBETWEEN(8,12)/10,0)</f>
        <v>4014</v>
      </c>
      <c r="AK22" s="4">
        <v>401.1</v>
      </c>
      <c r="AL22" s="4">
        <f ca="1">ROUND(T_Tiktok_ads[[#This Row],[conversions]]*RANDBETWEEN(8,12)/10,0)</f>
        <v>28</v>
      </c>
      <c r="AM22" s="4">
        <f ca="1">ROUND(T_Tiktok_ads[[#This Row],[video_views]]*RANDBETWEEN(8,12)/10,0)</f>
        <v>151101</v>
      </c>
      <c r="AN22" s="4">
        <f ca="1">ROUND(T_Tiktok_ads[[#This Row],[video_watch_25]]*RANDBETWEEN(8,12)/10,0)</f>
        <v>141057</v>
      </c>
      <c r="AO22" s="4">
        <f ca="1">ROUND(T_Tiktok_ads[[#This Row],[video_watch_50]]*RANDBETWEEN(8,12)/10,0)</f>
        <v>80987</v>
      </c>
      <c r="AP22" s="4">
        <f ca="1">ROUND(T_Tiktok_ads[[#This Row],[video_watch_75]]*RANDBETWEEN(8,12)/10,0)</f>
        <v>65234</v>
      </c>
      <c r="AQ22" s="4">
        <f ca="1">ROUND(T_Tiktok_ads[[#This Row],[video_watch_100]]*RANDBETWEEN(8,12)/10,0)</f>
        <v>47347</v>
      </c>
      <c r="AR22" s="4">
        <f ca="1">ROUND(T_Tiktok_ads[[#This Row],[likes]]*RANDBETWEEN(8,12)/10,0)</f>
        <v>7789</v>
      </c>
      <c r="AS22" s="4">
        <f ca="1">ROUND(T_Tiktok_ads[[#This Row],[shares]]*RANDBETWEEN(8,12)/10,0)</f>
        <v>1716</v>
      </c>
      <c r="AT22" s="4">
        <f ca="1">ROUND(T_Tiktok_ads[[#This Row],[comments]]*RANDBETWEEN(8,12)/10,0)</f>
        <v>614</v>
      </c>
      <c r="AV22" s="5">
        <f t="shared" ca="1" si="3"/>
        <v>45031</v>
      </c>
      <c r="AW22">
        <f t="shared" ca="1" si="4"/>
        <v>5</v>
      </c>
      <c r="AX22">
        <f ca="1">ROUND(T_Facebook_Ads11596367[[#This Row],[impressions]]*RANDBETWEEN(8,12)/10,0)</f>
        <v>30160</v>
      </c>
      <c r="AY22">
        <f ca="1">ROUND(T_Facebook_Ads11596367[[#This Row],[clicks]]*RANDBETWEEN(8,12)/10,0)</f>
        <v>1230</v>
      </c>
      <c r="AZ22">
        <f ca="1">T_Facebook_Ads11596367[[#This Row],[spend]]*RANDBETWEEN(8,12)/10</f>
        <v>133.05599999999998</v>
      </c>
      <c r="BA22">
        <f ca="1">ROUND(T_Facebook_Ads11596367[[#This Row],[conversions]]*RANDBETWEEN(8,12)/10,0)</f>
        <v>24</v>
      </c>
      <c r="BB22">
        <f ca="1">ROUND(T_Facebook_Ads11596367[[#This Row],[video_views]]*RANDBETWEEN(8,12)/10,0)</f>
        <v>3609</v>
      </c>
    </row>
    <row r="23" spans="1:54" ht="15.75" thickBot="1" x14ac:dyDescent="0.3">
      <c r="A23" s="3">
        <f t="shared" ca="1" si="0"/>
        <v>45041</v>
      </c>
      <c r="B23" s="4" t="s">
        <v>52</v>
      </c>
      <c r="C23" s="4" t="s">
        <v>53</v>
      </c>
      <c r="D23" s="4" t="s">
        <v>54</v>
      </c>
      <c r="E23" s="4" t="s">
        <v>55</v>
      </c>
      <c r="F23" s="4">
        <f ca="1">ROUND(T_Facebook_Ads[[#This Row],[impressions]]*RANDBETWEEN(8,12)/10,0)</f>
        <v>42511</v>
      </c>
      <c r="G23" s="4">
        <v>945</v>
      </c>
      <c r="H23" s="4">
        <f ca="1">T_Facebook_Ads[[#This Row],[spend]]*RANDBETWEEN(8,12)/10</f>
        <v>108.32000000000001</v>
      </c>
      <c r="I23" s="4">
        <f ca="1">ROUND(T_Facebook_Ads[[#This Row],[conversions]]*RANDBETWEEN(8,12)/10,0)</f>
        <v>14</v>
      </c>
      <c r="J23" s="4">
        <f ca="1">ROUND(T_Facebook_Ads[[#This Row],[video_views]]*RANDBETWEEN(8,12)/10,0)</f>
        <v>8789</v>
      </c>
      <c r="K23" s="4">
        <f ca="1">T_Facebook_Ads[[#This Row],[engagement_rate]]*RANDBETWEEN(8,12)/10</f>
        <v>2.1999999999999999E-2</v>
      </c>
      <c r="L23" s="4">
        <f ca="1">ROUND(T_Facebook_Ads[[#This Row],[reach]]*RANDBETWEEN(8,12)/10,0)</f>
        <v>47480</v>
      </c>
      <c r="M23" s="4">
        <f ca="1">T_Facebook_Ads[[#This Row],[frequency]]*RANDBETWEEN(8,12)/10</f>
        <v>1.3089999999999999</v>
      </c>
      <c r="O23" s="3">
        <f t="shared" ca="1" si="1"/>
        <v>45039</v>
      </c>
      <c r="P23" s="4" t="s">
        <v>76</v>
      </c>
      <c r="Q23" s="4" t="s">
        <v>77</v>
      </c>
      <c r="R23" s="4" t="s">
        <v>78</v>
      </c>
      <c r="S23" s="4" t="s">
        <v>79</v>
      </c>
      <c r="T23" s="4">
        <f ca="1">ROUND(_Google_ads[[#This Row],[impressions]]*RANDBETWEEN(8,12)/10,0)</f>
        <v>22567</v>
      </c>
      <c r="U23" s="4">
        <f ca="1">ROUND(_Google_ads[[#This Row],[clicks]]*RANDBETWEEN(8,12)/10,0)</f>
        <v>1361</v>
      </c>
      <c r="V23" s="4">
        <f ca="1">_Google_ads[[#This Row],[cost]]*RANDBETWEEN(8,12)/10</f>
        <v>260.16000000000003</v>
      </c>
      <c r="W23" s="4">
        <f ca="1">ROUND(_Google_ads[[#This Row],[conversions]]*RANDBETWEEN(8,12)/10,0)</f>
        <v>43</v>
      </c>
      <c r="X23" s="4">
        <f ca="1">ROUND(_Google_ads[[#This Row],[conversion_value]]*RANDBETWEEN(8,12)/10,0)</f>
        <v>2150</v>
      </c>
      <c r="Y23" s="4">
        <f ca="1">_Google_ads[[#This Row],[ctr]]*RANDBETWEEN(8,12)/10</f>
        <v>5.0299999999999997E-2</v>
      </c>
      <c r="Z23" s="4">
        <f ca="1">_Google_ads[[#This Row],[avg_cpc]]*RANDBETWEEN(8,12)/10</f>
        <v>0.19</v>
      </c>
      <c r="AA23" s="4">
        <f ca="1">ROUND(_Google_ads[[#This Row],[quality_score]]*RANDBETWEEN(8,12)/10,0)</f>
        <v>7</v>
      </c>
      <c r="AB23" s="4">
        <f ca="1">_Google_ads[[#This Row],[search_impression_share]]*RANDBETWEEN(8,12)/10</f>
        <v>0.90999999999999992</v>
      </c>
      <c r="AD23" s="3">
        <f t="shared" ca="1" si="2"/>
        <v>45024</v>
      </c>
      <c r="AE23" s="4" t="s">
        <v>100</v>
      </c>
      <c r="AF23" s="4" t="s">
        <v>101</v>
      </c>
      <c r="AG23" s="4" t="s">
        <v>102</v>
      </c>
      <c r="AH23" s="4" t="s">
        <v>103</v>
      </c>
      <c r="AI23" s="4">
        <f ca="1">ROUND(T_Tiktok_ads[[#This Row],[impressions]]*RANDBETWEEN(8,12)/10,0)</f>
        <v>269757</v>
      </c>
      <c r="AJ23" s="4">
        <f ca="1">ROUND(T_Tiktok_ads[[#This Row],[clicks]]*RANDBETWEEN(8,12)/10,0)</f>
        <v>3936</v>
      </c>
      <c r="AK23" s="4">
        <v>474.3</v>
      </c>
      <c r="AL23" s="4">
        <f ca="1">ROUND(T_Tiktok_ads[[#This Row],[conversions]]*RANDBETWEEN(8,12)/10,0)</f>
        <v>41</v>
      </c>
      <c r="AM23" s="4">
        <f ca="1">ROUND(T_Tiktok_ads[[#This Row],[video_views]]*RANDBETWEEN(8,12)/10,0)</f>
        <v>183110</v>
      </c>
      <c r="AN23" s="4">
        <f ca="1">ROUND(T_Tiktok_ads[[#This Row],[video_watch_25]]*RANDBETWEEN(8,12)/10,0)</f>
        <v>190681</v>
      </c>
      <c r="AO23" s="4">
        <f ca="1">ROUND(T_Tiktok_ads[[#This Row],[video_watch_50]]*RANDBETWEEN(8,12)/10,0)</f>
        <v>89610</v>
      </c>
      <c r="AP23" s="4">
        <f ca="1">ROUND(T_Tiktok_ads[[#This Row],[video_watch_75]]*RANDBETWEEN(8,12)/10,0)</f>
        <v>54587</v>
      </c>
      <c r="AQ23" s="4">
        <f ca="1">ROUND(T_Tiktok_ads[[#This Row],[video_watch_100]]*RANDBETWEEN(8,12)/10,0)</f>
        <v>54947</v>
      </c>
      <c r="AR23" s="4">
        <f ca="1">ROUND(T_Tiktok_ads[[#This Row],[likes]]*RANDBETWEEN(8,12)/10,0)</f>
        <v>8978</v>
      </c>
      <c r="AS23" s="4">
        <f ca="1">ROUND(T_Tiktok_ads[[#This Row],[shares]]*RANDBETWEEN(8,12)/10,0)</f>
        <v>2389</v>
      </c>
      <c r="AT23" s="4">
        <f ca="1">ROUND(T_Tiktok_ads[[#This Row],[comments]]*RANDBETWEEN(8,12)/10,0)</f>
        <v>590</v>
      </c>
      <c r="AV23" s="5">
        <f t="shared" ca="1" si="3"/>
        <v>45029</v>
      </c>
      <c r="AW23">
        <f t="shared" ca="1" si="4"/>
        <v>5</v>
      </c>
      <c r="AX23">
        <f ca="1">ROUND(T_Facebook_Ads11596367[[#This Row],[impressions]]*RANDBETWEEN(8,12)/10,0)</f>
        <v>38260</v>
      </c>
      <c r="AY23">
        <f ca="1">ROUND(T_Facebook_Ads11596367[[#This Row],[clicks]]*RANDBETWEEN(8,12)/10,0)</f>
        <v>1134</v>
      </c>
      <c r="AZ23">
        <f ca="1">T_Facebook_Ads11596367[[#This Row],[spend]]*RANDBETWEEN(8,12)/10</f>
        <v>119.152</v>
      </c>
      <c r="BA23">
        <f ca="1">ROUND(T_Facebook_Ads11596367[[#This Row],[conversions]]*RANDBETWEEN(8,12)/10,0)</f>
        <v>13</v>
      </c>
      <c r="BB23">
        <f ca="1">ROUND(T_Facebook_Ads11596367[[#This Row],[video_views]]*RANDBETWEEN(8,12)/10,0)</f>
        <v>7031</v>
      </c>
    </row>
    <row r="24" spans="1:54" ht="15.75" thickBot="1" x14ac:dyDescent="0.3">
      <c r="A24" s="3">
        <f t="shared" ca="1" si="0"/>
        <v>45020</v>
      </c>
      <c r="B24" s="4" t="s">
        <v>56</v>
      </c>
      <c r="C24" s="4" t="s">
        <v>57</v>
      </c>
      <c r="D24" s="4" t="s">
        <v>58</v>
      </c>
      <c r="E24" s="4" t="s">
        <v>59</v>
      </c>
      <c r="F24" s="4">
        <f ca="1">ROUND(T_Facebook_Ads[[#This Row],[impressions]]*RANDBETWEEN(8,12)/10,0)</f>
        <v>12123</v>
      </c>
      <c r="G24" s="4">
        <v>534</v>
      </c>
      <c r="H24" s="4">
        <f ca="1">T_Facebook_Ads[[#This Row],[spend]]*RANDBETWEEN(8,12)/10</f>
        <v>212.4</v>
      </c>
      <c r="I24" s="4">
        <f ca="1">ROUND(T_Facebook_Ads[[#This Row],[conversions]]*RANDBETWEEN(8,12)/10,0)</f>
        <v>35</v>
      </c>
      <c r="J24" s="4">
        <f ca="1">ROUND(T_Facebook_Ads[[#This Row],[video_views]]*RANDBETWEEN(8,12)/10,0)</f>
        <v>1481</v>
      </c>
      <c r="K24" s="4">
        <f ca="1">T_Facebook_Ads[[#This Row],[engagement_rate]]*RANDBETWEEN(8,12)/10</f>
        <v>3.9690000000000003E-2</v>
      </c>
      <c r="L24" s="4">
        <f ca="1">ROUND(T_Facebook_Ads[[#This Row],[reach]]*RANDBETWEEN(8,12)/10,0)</f>
        <v>11480</v>
      </c>
      <c r="M24" s="4">
        <f ca="1">T_Facebook_Ads[[#This Row],[frequency]]*RANDBETWEEN(8,12)/10</f>
        <v>1.397</v>
      </c>
      <c r="O24" s="3">
        <f t="shared" ca="1" si="1"/>
        <v>45042</v>
      </c>
      <c r="P24" s="4" t="s">
        <v>80</v>
      </c>
      <c r="Q24" s="4" t="s">
        <v>81</v>
      </c>
      <c r="R24" s="4" t="s">
        <v>82</v>
      </c>
      <c r="S24" s="4" t="s">
        <v>83</v>
      </c>
      <c r="T24" s="4">
        <f ca="1">ROUND(_Google_ads[[#This Row],[impressions]]*RANDBETWEEN(8,12)/10,0)</f>
        <v>38587</v>
      </c>
      <c r="U24" s="4">
        <f ca="1">ROUND(_Google_ads[[#This Row],[clicks]]*RANDBETWEEN(8,12)/10,0)</f>
        <v>989</v>
      </c>
      <c r="V24" s="4">
        <f ca="1">_Google_ads[[#This Row],[cost]]*RANDBETWEEN(8,12)/10</f>
        <v>761.6400000000001</v>
      </c>
      <c r="W24" s="4">
        <f ca="1">ROUND(_Google_ads[[#This Row],[conversions]]*RANDBETWEEN(8,12)/10,0)</f>
        <v>29</v>
      </c>
      <c r="X24" s="4">
        <f ca="1">ROUND(_Google_ads[[#This Row],[conversion_value]]*RANDBETWEEN(8,12)/10,0)</f>
        <v>1170</v>
      </c>
      <c r="Y24" s="4">
        <f ca="1">_Google_ads[[#This Row],[ctr]]*RANDBETWEEN(8,12)/10</f>
        <v>2.0500000000000001E-2</v>
      </c>
      <c r="Z24" s="4">
        <f ca="1">_Google_ads[[#This Row],[avg_cpc]]*RANDBETWEEN(8,12)/10</f>
        <v>0.64</v>
      </c>
      <c r="AA24" s="4">
        <f ca="1">ROUND(_Google_ads[[#This Row],[quality_score]]*RANDBETWEEN(8,12)/10,0)</f>
        <v>7</v>
      </c>
      <c r="AB24" s="4">
        <f ca="1">_Google_ads[[#This Row],[search_impression_share]]*RANDBETWEEN(8,12)/10</f>
        <v>0.41400000000000003</v>
      </c>
      <c r="AD24" s="3">
        <f t="shared" ca="1" si="2"/>
        <v>45037</v>
      </c>
      <c r="AE24" s="4" t="s">
        <v>104</v>
      </c>
      <c r="AF24" s="4" t="s">
        <v>105</v>
      </c>
      <c r="AG24" s="4" t="s">
        <v>106</v>
      </c>
      <c r="AH24" s="4" t="s">
        <v>107</v>
      </c>
      <c r="AI24" s="4">
        <f ca="1">ROUND(T_Tiktok_ads[[#This Row],[impressions]]*RANDBETWEEN(8,12)/10,0)</f>
        <v>107311</v>
      </c>
      <c r="AJ24" s="4">
        <f ca="1">ROUND(T_Tiktok_ads[[#This Row],[clicks]]*RANDBETWEEN(8,12)/10,0)</f>
        <v>2681</v>
      </c>
      <c r="AK24" s="4">
        <v>645.6</v>
      </c>
      <c r="AL24" s="4">
        <f ca="1">ROUND(T_Tiktok_ads[[#This Row],[conversions]]*RANDBETWEEN(8,12)/10,0)</f>
        <v>64</v>
      </c>
      <c r="AM24" s="4">
        <f ca="1">ROUND(T_Tiktok_ads[[#This Row],[video_views]]*RANDBETWEEN(8,12)/10,0)</f>
        <v>77110</v>
      </c>
      <c r="AN24" s="4">
        <f ca="1">ROUND(T_Tiktok_ads[[#This Row],[video_watch_25]]*RANDBETWEEN(8,12)/10,0)</f>
        <v>50765</v>
      </c>
      <c r="AO24" s="4">
        <f ca="1">ROUND(T_Tiktok_ads[[#This Row],[video_watch_50]]*RANDBETWEEN(8,12)/10,0)</f>
        <v>50814</v>
      </c>
      <c r="AP24" s="4">
        <f ca="1">ROUND(T_Tiktok_ads[[#This Row],[video_watch_75]]*RANDBETWEEN(8,12)/10,0)</f>
        <v>25787</v>
      </c>
      <c r="AQ24" s="4">
        <f ca="1">ROUND(T_Tiktok_ads[[#This Row],[video_watch_100]]*RANDBETWEEN(8,12)/10,0)</f>
        <v>20011</v>
      </c>
      <c r="AR24" s="4">
        <f ca="1">ROUND(T_Tiktok_ads[[#This Row],[likes]]*RANDBETWEEN(8,12)/10,0)</f>
        <v>3476</v>
      </c>
      <c r="AS24" s="4">
        <f ca="1">ROUND(T_Tiktok_ads[[#This Row],[shares]]*RANDBETWEEN(8,12)/10,0)</f>
        <v>1189</v>
      </c>
      <c r="AT24" s="4">
        <f ca="1">ROUND(T_Tiktok_ads[[#This Row],[comments]]*RANDBETWEEN(8,12)/10,0)</f>
        <v>201</v>
      </c>
      <c r="AV24" s="5">
        <f t="shared" ca="1" si="3"/>
        <v>45035</v>
      </c>
      <c r="AW24">
        <f t="shared" ca="1" si="4"/>
        <v>4</v>
      </c>
      <c r="AX24">
        <f ca="1">ROUND(T_Facebook_Ads11596367[[#This Row],[impressions]]*RANDBETWEEN(8,12)/10,0)</f>
        <v>13335</v>
      </c>
      <c r="AY24">
        <f ca="1">ROUND(T_Facebook_Ads11596367[[#This Row],[clicks]]*RANDBETWEEN(8,12)/10,0)</f>
        <v>481</v>
      </c>
      <c r="AZ24">
        <f ca="1">T_Facebook_Ads11596367[[#This Row],[spend]]*RANDBETWEEN(8,12)/10</f>
        <v>233.64000000000001</v>
      </c>
      <c r="BA24">
        <f ca="1">ROUND(T_Facebook_Ads11596367[[#This Row],[conversions]]*RANDBETWEEN(8,12)/10,0)</f>
        <v>39</v>
      </c>
      <c r="BB24">
        <f ca="1">ROUND(T_Facebook_Ads11596367[[#This Row],[video_views]]*RANDBETWEEN(8,12)/10,0)</f>
        <v>1629</v>
      </c>
    </row>
    <row r="25" spans="1:54" ht="15.75" thickBot="1" x14ac:dyDescent="0.3">
      <c r="A25" s="3">
        <f t="shared" ca="1" si="0"/>
        <v>45033</v>
      </c>
      <c r="B25" s="4" t="s">
        <v>64</v>
      </c>
      <c r="C25" s="4" t="s">
        <v>65</v>
      </c>
      <c r="D25" s="4" t="s">
        <v>66</v>
      </c>
      <c r="E25" s="4" t="s">
        <v>67</v>
      </c>
      <c r="F25" s="4">
        <f ca="1">ROUND(T_Facebook_Ads[[#This Row],[impressions]]*RANDBETWEEN(8,12)/10,0)</f>
        <v>88147</v>
      </c>
      <c r="G25" s="4">
        <v>267</v>
      </c>
      <c r="H25" s="4">
        <f ca="1">T_Facebook_Ads[[#This Row],[spend]]*RANDBETWEEN(8,12)/10</f>
        <v>108.13</v>
      </c>
      <c r="I25" s="4">
        <f ca="1">ROUND(T_Facebook_Ads[[#This Row],[conversions]]*RANDBETWEEN(8,12)/10,0)</f>
        <v>6</v>
      </c>
      <c r="J25" s="4">
        <f ca="1">ROUND(T_Facebook_Ads[[#This Row],[video_views]]*RANDBETWEEN(8,12)/10,0)</f>
        <v>50123</v>
      </c>
      <c r="K25" s="4">
        <f ca="1">T_Facebook_Ads[[#This Row],[engagement_rate]]*RANDBETWEEN(8,12)/10</f>
        <v>3.96E-3</v>
      </c>
      <c r="L25" s="4">
        <f ca="1">ROUND(T_Facebook_Ads[[#This Row],[reach]]*RANDBETWEEN(8,12)/10,0)</f>
        <v>72281</v>
      </c>
      <c r="M25" s="4">
        <f ca="1">T_Facebook_Ads[[#This Row],[frequency]]*RANDBETWEEN(8,12)/10</f>
        <v>1.22</v>
      </c>
      <c r="O25" s="3">
        <f t="shared" ca="1" si="1"/>
        <v>45046</v>
      </c>
      <c r="P25" s="4" t="s">
        <v>88</v>
      </c>
      <c r="Q25" s="4" t="s">
        <v>89</v>
      </c>
      <c r="R25" s="4" t="s">
        <v>90</v>
      </c>
      <c r="S25" s="4" t="s">
        <v>59</v>
      </c>
      <c r="T25" s="4">
        <f ca="1">ROUND(_Google_ads[[#This Row],[impressions]]*RANDBETWEEN(8,12)/10,0)</f>
        <v>113110</v>
      </c>
      <c r="U25" s="4">
        <f ca="1">ROUND(_Google_ads[[#This Row],[clicks]]*RANDBETWEEN(8,12)/10,0)</f>
        <v>445</v>
      </c>
      <c r="V25" s="4">
        <f ca="1">_Google_ads[[#This Row],[cost]]*RANDBETWEEN(8,12)/10</f>
        <v>133.43</v>
      </c>
      <c r="W25" s="4">
        <f ca="1">ROUND(_Google_ads[[#This Row],[conversions]]*RANDBETWEEN(8,12)/10,0)</f>
        <v>11</v>
      </c>
      <c r="X25" s="4">
        <f ca="1">ROUND(_Google_ads[[#This Row],[conversion_value]]*RANDBETWEEN(8,12)/10,0)</f>
        <v>605</v>
      </c>
      <c r="Y25" s="4">
        <f ca="1">_Google_ads[[#This Row],[ctr]]*RANDBETWEEN(8,12)/10</f>
        <v>3.8500000000000001E-3</v>
      </c>
      <c r="Z25" s="4">
        <f ca="1">_Google_ads[[#This Row],[avg_cpc]]*RANDBETWEEN(8,12)/10</f>
        <v>0.32400000000000001</v>
      </c>
      <c r="AA25" s="4">
        <f ca="1">ROUND(_Google_ads[[#This Row],[quality_score]]*RANDBETWEEN(8,12)/10,0)</f>
        <v>6</v>
      </c>
      <c r="AB25" s="4">
        <f ca="1">_Google_ads[[#This Row],[search_impression_share]]*RANDBETWEEN(8,12)/10</f>
        <v>0.34</v>
      </c>
      <c r="AD25" s="3">
        <f t="shared" ca="1" si="2"/>
        <v>45036</v>
      </c>
      <c r="AE25" s="4" t="s">
        <v>112</v>
      </c>
      <c r="AF25" s="4" t="s">
        <v>113</v>
      </c>
      <c r="AG25" s="4" t="s">
        <v>114</v>
      </c>
      <c r="AH25" s="4" t="s">
        <v>115</v>
      </c>
      <c r="AI25" s="4">
        <f ca="1">ROUND(T_Tiktok_ads[[#This Row],[impressions]]*RANDBETWEEN(8,12)/10,0)</f>
        <v>427913</v>
      </c>
      <c r="AJ25" s="4">
        <f ca="1">ROUND(T_Tiktok_ads[[#This Row],[clicks]]*RANDBETWEEN(8,12)/10,0)</f>
        <v>6857</v>
      </c>
      <c r="AK25" s="4">
        <v>967.8</v>
      </c>
      <c r="AL25" s="4">
        <f ca="1">ROUND(T_Tiktok_ads[[#This Row],[conversions]]*RANDBETWEEN(8,12)/10,0)</f>
        <v>108</v>
      </c>
      <c r="AM25" s="4">
        <f ca="1">ROUND(T_Tiktok_ads[[#This Row],[video_views]]*RANDBETWEEN(8,12)/10,0)</f>
        <v>385481</v>
      </c>
      <c r="AN25" s="4">
        <f ca="1">ROUND(T_Tiktok_ads[[#This Row],[video_watch_25]]*RANDBETWEEN(8,12)/10,0)</f>
        <v>258901</v>
      </c>
      <c r="AO25" s="4">
        <f ca="1">ROUND(T_Tiktok_ads[[#This Row],[video_watch_50]]*RANDBETWEEN(8,12)/10,0)</f>
        <v>187101</v>
      </c>
      <c r="AP25" s="4">
        <f ca="1">ROUND(T_Tiktok_ads[[#This Row],[video_watch_75]]*RANDBETWEEN(8,12)/10,0)</f>
        <v>117787</v>
      </c>
      <c r="AQ25" s="4">
        <f ca="1">ROUND(T_Tiktok_ads[[#This Row],[video_watch_100]]*RANDBETWEEN(8,12)/10,0)</f>
        <v>116947</v>
      </c>
      <c r="AR25" s="4">
        <f ca="1">ROUND(T_Tiktok_ads[[#This Row],[likes]]*RANDBETWEEN(8,12)/10,0)</f>
        <v>13521</v>
      </c>
      <c r="AS25" s="4">
        <f ca="1">ROUND(T_Tiktok_ads[[#This Row],[shares]]*RANDBETWEEN(8,12)/10,0)</f>
        <v>5403</v>
      </c>
      <c r="AT25" s="4">
        <f ca="1">ROUND(T_Tiktok_ads[[#This Row],[comments]]*RANDBETWEEN(8,12)/10,0)</f>
        <v>1211</v>
      </c>
      <c r="AV25" s="5">
        <f t="shared" ca="1" si="3"/>
        <v>45034</v>
      </c>
      <c r="AW25">
        <f t="shared" ca="1" si="4"/>
        <v>4</v>
      </c>
      <c r="AX25">
        <f ca="1">ROUND(T_Facebook_Ads11596367[[#This Row],[impressions]]*RANDBETWEEN(8,12)/10,0)</f>
        <v>96962</v>
      </c>
      <c r="AY25">
        <f ca="1">ROUND(T_Facebook_Ads11596367[[#This Row],[clicks]]*RANDBETWEEN(8,12)/10,0)</f>
        <v>214</v>
      </c>
      <c r="AZ25">
        <f ca="1">T_Facebook_Ads11596367[[#This Row],[spend]]*RANDBETWEEN(8,12)/10</f>
        <v>86.503999999999991</v>
      </c>
      <c r="BA25">
        <f ca="1">ROUND(T_Facebook_Ads11596367[[#This Row],[conversions]]*RANDBETWEEN(8,12)/10,0)</f>
        <v>5</v>
      </c>
      <c r="BB25">
        <f ca="1">ROUND(T_Facebook_Ads11596367[[#This Row],[video_views]]*RANDBETWEEN(8,12)/10,0)</f>
        <v>45111</v>
      </c>
    </row>
    <row r="26" spans="1:54" ht="15.75" thickBot="1" x14ac:dyDescent="0.3">
      <c r="A26" s="3">
        <f t="shared" ca="1" si="0"/>
        <v>45032</v>
      </c>
      <c r="B26" s="4" t="s">
        <v>52</v>
      </c>
      <c r="C26" s="4" t="s">
        <v>53</v>
      </c>
      <c r="D26" s="4" t="s">
        <v>54</v>
      </c>
      <c r="E26" s="4" t="s">
        <v>55</v>
      </c>
      <c r="F26" s="4">
        <f ca="1">ROUND(T_Facebook_Ads[[#This Row],[impressions]]*RANDBETWEEN(8,12)/10,0)</f>
        <v>60148</v>
      </c>
      <c r="G26" s="4">
        <v>1012</v>
      </c>
      <c r="H26" s="4">
        <f ca="1">T_Facebook_Ads[[#This Row],[spend]]*RANDBETWEEN(8,12)/10</f>
        <v>170.04</v>
      </c>
      <c r="I26" s="4">
        <f ca="1">ROUND(T_Facebook_Ads[[#This Row],[conversions]]*RANDBETWEEN(8,12)/10,0)</f>
        <v>12</v>
      </c>
      <c r="J26" s="4">
        <f ca="1">ROUND(T_Facebook_Ads[[#This Row],[video_views]]*RANDBETWEEN(8,12)/10,0)</f>
        <v>7476</v>
      </c>
      <c r="K26" s="4">
        <f ca="1">T_Facebook_Ads[[#This Row],[engagement_rate]]*RANDBETWEEN(8,12)/10</f>
        <v>1.6160000000000001E-2</v>
      </c>
      <c r="L26" s="4">
        <f ca="1">ROUND(T_Facebook_Ads[[#This Row],[reach]]*RANDBETWEEN(8,12)/10,0)</f>
        <v>37701</v>
      </c>
      <c r="M26" s="4">
        <f ca="1">T_Facebook_Ads[[#This Row],[frequency]]*RANDBETWEEN(8,12)/10</f>
        <v>1.2</v>
      </c>
      <c r="O26" s="3">
        <f t="shared" ca="1" si="1"/>
        <v>45045</v>
      </c>
      <c r="P26" s="4" t="s">
        <v>76</v>
      </c>
      <c r="Q26" s="4" t="s">
        <v>77</v>
      </c>
      <c r="R26" s="4" t="s">
        <v>78</v>
      </c>
      <c r="S26" s="4" t="s">
        <v>79</v>
      </c>
      <c r="T26" s="4">
        <f ca="1">ROUND(_Google_ads[[#This Row],[impressions]]*RANDBETWEEN(8,12)/10,0)</f>
        <v>20187</v>
      </c>
      <c r="U26" s="4">
        <f ca="1">ROUND(_Google_ads[[#This Row],[clicks]]*RANDBETWEEN(8,12)/10,0)</f>
        <v>1574</v>
      </c>
      <c r="V26" s="4">
        <f ca="1">_Google_ads[[#This Row],[cost]]*RANDBETWEEN(8,12)/10</f>
        <v>225.27000000000004</v>
      </c>
      <c r="W26" s="4">
        <f ca="1">ROUND(_Google_ads[[#This Row],[conversions]]*RANDBETWEEN(8,12)/10,0)</f>
        <v>39</v>
      </c>
      <c r="X26" s="4">
        <f ca="1">ROUND(_Google_ads[[#This Row],[conversion_value]]*RANDBETWEEN(8,12)/10,0)</f>
        <v>1960</v>
      </c>
      <c r="Y26" s="4">
        <f ca="1">_Google_ads[[#This Row],[ctr]]*RANDBETWEEN(8,12)/10</f>
        <v>5.2000000000000005E-2</v>
      </c>
      <c r="Z26" s="4">
        <f ca="1">_Google_ads[[#This Row],[avg_cpc]]*RANDBETWEEN(8,12)/10</f>
        <v>0.17099999999999999</v>
      </c>
      <c r="AA26" s="4">
        <f ca="1">ROUND(_Google_ads[[#This Row],[quality_score]]*RANDBETWEEN(8,12)/10,0)</f>
        <v>10</v>
      </c>
      <c r="AB26" s="4">
        <f ca="1">_Google_ads[[#This Row],[search_impression_share]]*RANDBETWEEN(8,12)/10</f>
        <v>0.73599999999999999</v>
      </c>
      <c r="AD26" s="3">
        <f t="shared" ca="1" si="2"/>
        <v>45020</v>
      </c>
      <c r="AE26" s="4" t="s">
        <v>100</v>
      </c>
      <c r="AF26" s="4" t="s">
        <v>101</v>
      </c>
      <c r="AG26" s="4" t="s">
        <v>102</v>
      </c>
      <c r="AH26" s="4" t="s">
        <v>103</v>
      </c>
      <c r="AI26" s="4">
        <f ca="1">ROUND(T_Tiktok_ads[[#This Row],[impressions]]*RANDBETWEEN(8,12)/10,0)</f>
        <v>260111</v>
      </c>
      <c r="AJ26" s="4">
        <f ca="1">ROUND(T_Tiktok_ads[[#This Row],[clicks]]*RANDBETWEEN(8,12)/10,0)</f>
        <v>3387</v>
      </c>
      <c r="AK26" s="4">
        <v>556.70000000000005</v>
      </c>
      <c r="AL26" s="4">
        <f ca="1">ROUND(T_Tiktok_ads[[#This Row],[conversions]]*RANDBETWEEN(8,12)/10,0)</f>
        <v>39</v>
      </c>
      <c r="AM26" s="4">
        <f ca="1">ROUND(T_Tiktok_ads[[#This Row],[video_views]]*RANDBETWEEN(8,12)/10,0)</f>
        <v>211110</v>
      </c>
      <c r="AN26" s="4">
        <f ca="1">ROUND(T_Tiktok_ads[[#This Row],[video_watch_25]]*RANDBETWEEN(8,12)/10,0)</f>
        <v>145876</v>
      </c>
      <c r="AO26" s="4">
        <f ca="1">ROUND(T_Tiktok_ads[[#This Row],[video_watch_50]]*RANDBETWEEN(8,12)/10,0)</f>
        <v>114567</v>
      </c>
      <c r="AP26" s="4">
        <f ca="1">ROUND(T_Tiktok_ads[[#This Row],[video_watch_75]]*RANDBETWEEN(8,12)/10,0)</f>
        <v>92681</v>
      </c>
      <c r="AQ26" s="4">
        <f ca="1">ROUND(T_Tiktok_ads[[#This Row],[video_watch_100]]*RANDBETWEEN(8,12)/10,0)</f>
        <v>40987</v>
      </c>
      <c r="AR26" s="4">
        <f ca="1">ROUND(T_Tiktok_ads[[#This Row],[likes]]*RANDBETWEEN(8,12)/10,0)</f>
        <v>9311</v>
      </c>
      <c r="AS26" s="4">
        <f ca="1">ROUND(T_Tiktok_ads[[#This Row],[shares]]*RANDBETWEEN(8,12)/10,0)</f>
        <v>2231</v>
      </c>
      <c r="AT26" s="4">
        <f ca="1">ROUND(T_Tiktok_ads[[#This Row],[comments]]*RANDBETWEEN(8,12)/10,0)</f>
        <v>656</v>
      </c>
      <c r="AV26" s="5">
        <f t="shared" ca="1" si="3"/>
        <v>45039</v>
      </c>
      <c r="AW26">
        <f t="shared" ca="1" si="4"/>
        <v>6</v>
      </c>
      <c r="AX26">
        <f ca="1">ROUND(T_Facebook_Ads11596367[[#This Row],[impressions]]*RANDBETWEEN(8,12)/10,0)</f>
        <v>48118</v>
      </c>
      <c r="AY26">
        <f ca="1">ROUND(T_Facebook_Ads11596367[[#This Row],[clicks]]*RANDBETWEEN(8,12)/10,0)</f>
        <v>810</v>
      </c>
      <c r="AZ26">
        <f ca="1">T_Facebook_Ads11596367[[#This Row],[spend]]*RANDBETWEEN(8,12)/10</f>
        <v>153.036</v>
      </c>
      <c r="BA26">
        <f ca="1">ROUND(T_Facebook_Ads11596367[[#This Row],[conversions]]*RANDBETWEEN(8,12)/10,0)</f>
        <v>11</v>
      </c>
      <c r="BB26">
        <f ca="1">ROUND(T_Facebook_Ads11596367[[#This Row],[video_views]]*RANDBETWEEN(8,12)/10,0)</f>
        <v>8971</v>
      </c>
    </row>
    <row r="27" spans="1:54" ht="15.75" thickBot="1" x14ac:dyDescent="0.3">
      <c r="A27" s="3">
        <f t="shared" ca="1" si="0"/>
        <v>45030</v>
      </c>
      <c r="B27" s="4" t="s">
        <v>60</v>
      </c>
      <c r="C27" s="4" t="s">
        <v>61</v>
      </c>
      <c r="D27" s="4" t="s">
        <v>62</v>
      </c>
      <c r="E27" s="4" t="s">
        <v>63</v>
      </c>
      <c r="F27" s="4">
        <f ca="1">ROUND(T_Facebook_Ads[[#This Row],[impressions]]*RANDBETWEEN(8,12)/10,0)</f>
        <v>29165</v>
      </c>
      <c r="G27" s="4">
        <v>1312</v>
      </c>
      <c r="H27" s="4">
        <f ca="1">T_Facebook_Ads[[#This Row],[spend]]*RANDBETWEEN(8,12)/10</f>
        <v>159.84</v>
      </c>
      <c r="I27" s="4">
        <f ca="1">ROUND(T_Facebook_Ads[[#This Row],[conversions]]*RANDBETWEEN(8,12)/10,0)</f>
        <v>23</v>
      </c>
      <c r="J27" s="4">
        <f ca="1">ROUND(T_Facebook_Ads[[#This Row],[video_views]]*RANDBETWEEN(8,12)/10,0)</f>
        <v>4823</v>
      </c>
      <c r="K27" s="4">
        <f ca="1">T_Facebook_Ads[[#This Row],[engagement_rate]]*RANDBETWEEN(8,12)/10</f>
        <v>3.2399999999999998E-2</v>
      </c>
      <c r="L27" s="4">
        <f ca="1">ROUND(T_Facebook_Ads[[#This Row],[reach]]*RANDBETWEEN(8,12)/10,0)</f>
        <v>24187</v>
      </c>
      <c r="M27" s="4">
        <f ca="1">T_Facebook_Ads[[#This Row],[frequency]]*RANDBETWEEN(8,12)/10</f>
        <v>1.452</v>
      </c>
      <c r="O27" s="3">
        <f t="shared" ca="1" si="1"/>
        <v>45019</v>
      </c>
      <c r="P27" s="4" t="s">
        <v>84</v>
      </c>
      <c r="Q27" s="4" t="s">
        <v>85</v>
      </c>
      <c r="R27" s="4" t="s">
        <v>86</v>
      </c>
      <c r="S27" s="4" t="s">
        <v>87</v>
      </c>
      <c r="T27" s="4">
        <f ca="1">ROUND(_Google_ads[[#This Row],[impressions]]*RANDBETWEEN(8,12)/10,0)</f>
        <v>80802</v>
      </c>
      <c r="U27" s="4">
        <f ca="1">ROUND(_Google_ads[[#This Row],[clicks]]*RANDBETWEEN(8,12)/10,0)</f>
        <v>1938</v>
      </c>
      <c r="V27" s="4">
        <f ca="1">_Google_ads[[#This Row],[cost]]*RANDBETWEEN(8,12)/10</f>
        <v>353.44</v>
      </c>
      <c r="W27" s="4">
        <f ca="1">ROUND(_Google_ads[[#This Row],[conversions]]*RANDBETWEEN(8,12)/10,0)</f>
        <v>56</v>
      </c>
      <c r="X27" s="4">
        <f ca="1">ROUND(_Google_ads[[#This Row],[conversion_value]]*RANDBETWEEN(8,12)/10,0)</f>
        <v>2800</v>
      </c>
      <c r="Y27" s="4">
        <f ca="1">_Google_ads[[#This Row],[ctr]]*RANDBETWEEN(8,12)/10</f>
        <v>3.9600000000000003E-2</v>
      </c>
      <c r="Z27" s="4">
        <f ca="1">_Google_ads[[#This Row],[avg_cpc]]*RANDBETWEEN(8,12)/10</f>
        <v>0.18</v>
      </c>
      <c r="AA27" s="4">
        <f ca="1">ROUND(_Google_ads[[#This Row],[quality_score]]*RANDBETWEEN(8,12)/10,0)</f>
        <v>6</v>
      </c>
      <c r="AB27" s="4">
        <f ca="1">_Google_ads[[#This Row],[search_impression_share]]*RANDBETWEEN(8,12)/10</f>
        <v>0.81600000000000006</v>
      </c>
      <c r="AD27" s="3">
        <f t="shared" ca="1" si="2"/>
        <v>45022</v>
      </c>
      <c r="AE27" s="4" t="s">
        <v>108</v>
      </c>
      <c r="AF27" s="4" t="s">
        <v>109</v>
      </c>
      <c r="AG27" s="4" t="s">
        <v>110</v>
      </c>
      <c r="AH27" s="4" t="s">
        <v>111</v>
      </c>
      <c r="AI27" s="4">
        <f ca="1">ROUND(T_Tiktok_ads[[#This Row],[impressions]]*RANDBETWEEN(8,12)/10,0)</f>
        <v>218901</v>
      </c>
      <c r="AJ27" s="4">
        <f ca="1">ROUND(T_Tiktok_ads[[#This Row],[clicks]]*RANDBETWEEN(8,12)/10,0)</f>
        <v>2765</v>
      </c>
      <c r="AK27" s="4">
        <v>414.4</v>
      </c>
      <c r="AL27" s="4">
        <f ca="1">ROUND(T_Tiktok_ads[[#This Row],[conversions]]*RANDBETWEEN(8,12)/10,0)</f>
        <v>29</v>
      </c>
      <c r="AM27" s="4">
        <f ca="1">ROUND(T_Tiktok_ads[[#This Row],[video_views]]*RANDBETWEEN(8,12)/10,0)</f>
        <v>208147</v>
      </c>
      <c r="AN27" s="4">
        <f ca="1">ROUND(T_Tiktok_ads[[#This Row],[video_watch_25]]*RANDBETWEEN(8,12)/10,0)</f>
        <v>144724</v>
      </c>
      <c r="AO27" s="4">
        <f ca="1">ROUND(T_Tiktok_ads[[#This Row],[video_watch_50]]*RANDBETWEEN(8,12)/10,0)</f>
        <v>113924</v>
      </c>
      <c r="AP27" s="4">
        <f ca="1">ROUND(T_Tiktok_ads[[#This Row],[video_watch_75]]*RANDBETWEEN(8,12)/10,0)</f>
        <v>80681</v>
      </c>
      <c r="AQ27" s="4">
        <f ca="1">ROUND(T_Tiktok_ads[[#This Row],[video_watch_100]]*RANDBETWEEN(8,12)/10,0)</f>
        <v>48680</v>
      </c>
      <c r="AR27" s="4">
        <f ca="1">ROUND(T_Tiktok_ads[[#This Row],[likes]]*RANDBETWEEN(8,12)/10,0)</f>
        <v>9614</v>
      </c>
      <c r="AS27" s="4">
        <f ca="1">ROUND(T_Tiktok_ads[[#This Row],[shares]]*RANDBETWEEN(8,12)/10,0)</f>
        <v>2201</v>
      </c>
      <c r="AT27" s="4">
        <f ca="1">ROUND(T_Tiktok_ads[[#This Row],[comments]]*RANDBETWEEN(8,12)/10,0)</f>
        <v>471</v>
      </c>
      <c r="AV27" s="5">
        <f t="shared" ca="1" si="3"/>
        <v>45019</v>
      </c>
      <c r="AW27">
        <f t="shared" ca="1" si="4"/>
        <v>1</v>
      </c>
      <c r="AX27">
        <f ca="1">ROUND(T_Facebook_Ads11596367[[#This Row],[impressions]]*RANDBETWEEN(8,12)/10,0)</f>
        <v>23332</v>
      </c>
      <c r="AY27">
        <f ca="1">ROUND(T_Facebook_Ads11596367[[#This Row],[clicks]]*RANDBETWEEN(8,12)/10,0)</f>
        <v>1574</v>
      </c>
      <c r="AZ27">
        <f ca="1">T_Facebook_Ads11596367[[#This Row],[spend]]*RANDBETWEEN(8,12)/10</f>
        <v>127.872</v>
      </c>
      <c r="BA27">
        <f ca="1">ROUND(T_Facebook_Ads11596367[[#This Row],[conversions]]*RANDBETWEEN(8,12)/10,0)</f>
        <v>21</v>
      </c>
      <c r="BB27">
        <f ca="1">ROUND(T_Facebook_Ads11596367[[#This Row],[video_views]]*RANDBETWEEN(8,12)/10,0)</f>
        <v>5788</v>
      </c>
    </row>
    <row r="28" spans="1:54" ht="15.75" thickBot="1" x14ac:dyDescent="0.3">
      <c r="A28" s="3">
        <f t="shared" ca="1" si="0"/>
        <v>45032</v>
      </c>
      <c r="B28" s="4" t="s">
        <v>64</v>
      </c>
      <c r="C28" s="4" t="s">
        <v>65</v>
      </c>
      <c r="D28" s="4" t="s">
        <v>66</v>
      </c>
      <c r="E28" s="4" t="s">
        <v>67</v>
      </c>
      <c r="F28" s="4">
        <f ca="1">ROUND(T_Facebook_Ads[[#This Row],[impressions]]*RANDBETWEEN(8,12)/10,0)</f>
        <v>63111</v>
      </c>
      <c r="G28" s="4">
        <v>253</v>
      </c>
      <c r="H28" s="4">
        <f ca="1">T_Facebook_Ads[[#This Row],[spend]]*RANDBETWEEN(8,12)/10</f>
        <v>93.6</v>
      </c>
      <c r="I28" s="4">
        <f ca="1">ROUND(T_Facebook_Ads[[#This Row],[conversions]]*RANDBETWEEN(8,12)/10,0)</f>
        <v>6</v>
      </c>
      <c r="J28" s="4">
        <f ca="1">ROUND(T_Facebook_Ads[[#This Row],[video_views]]*RANDBETWEEN(8,12)/10,0)</f>
        <v>38587</v>
      </c>
      <c r="K28" s="4">
        <f ca="1">T_Facebook_Ads[[#This Row],[engagement_rate]]*RANDBETWEEN(8,12)/10</f>
        <v>3.96E-3</v>
      </c>
      <c r="L28" s="4">
        <f ca="1">ROUND(T_Facebook_Ads[[#This Row],[reach]]*RANDBETWEEN(8,12)/10,0)</f>
        <v>70147</v>
      </c>
      <c r="M28" s="4">
        <f ca="1">T_Facebook_Ads[[#This Row],[frequency]]*RANDBETWEEN(8,12)/10</f>
        <v>1.2</v>
      </c>
      <c r="O28" s="3">
        <f t="shared" ca="1" si="1"/>
        <v>45043</v>
      </c>
      <c r="P28" s="4" t="s">
        <v>88</v>
      </c>
      <c r="Q28" s="4" t="s">
        <v>89</v>
      </c>
      <c r="R28" s="4" t="s">
        <v>90</v>
      </c>
      <c r="S28" s="4" t="s">
        <v>59</v>
      </c>
      <c r="T28" s="4">
        <f ca="1">ROUND(_Google_ads[[#This Row],[impressions]]*RANDBETWEEN(8,12)/10,0)</f>
        <v>116411</v>
      </c>
      <c r="U28" s="4">
        <f ca="1">ROUND(_Google_ads[[#This Row],[clicks]]*RANDBETWEEN(8,12)/10,0)</f>
        <v>410</v>
      </c>
      <c r="V28" s="4">
        <f ca="1">_Google_ads[[#This Row],[cost]]*RANDBETWEEN(8,12)/10</f>
        <v>150.71999999999997</v>
      </c>
      <c r="W28" s="4">
        <f ca="1">ROUND(_Google_ads[[#This Row],[conversions]]*RANDBETWEEN(8,12)/10,0)</f>
        <v>14</v>
      </c>
      <c r="X28" s="4">
        <f ca="1">ROUND(_Google_ads[[#This Row],[conversion_value]]*RANDBETWEEN(8,12)/10,0)</f>
        <v>660</v>
      </c>
      <c r="Y28" s="4">
        <f ca="1">_Google_ads[[#This Row],[ctr]]*RANDBETWEEN(8,12)/10</f>
        <v>2.8E-3</v>
      </c>
      <c r="Z28" s="4">
        <f ca="1">_Google_ads[[#This Row],[avg_cpc]]*RANDBETWEEN(8,12)/10</f>
        <v>0.33600000000000002</v>
      </c>
      <c r="AA28" s="4">
        <f ca="1">ROUND(_Google_ads[[#This Row],[quality_score]]*RANDBETWEEN(8,12)/10,0)</f>
        <v>6</v>
      </c>
      <c r="AB28" s="4">
        <f ca="1">_Google_ads[[#This Row],[search_impression_share]]*RANDBETWEEN(8,12)/10</f>
        <v>0.315</v>
      </c>
      <c r="AD28" s="3">
        <f t="shared" ca="1" si="2"/>
        <v>45021</v>
      </c>
      <c r="AE28" s="4" t="s">
        <v>112</v>
      </c>
      <c r="AF28" s="4" t="s">
        <v>113</v>
      </c>
      <c r="AG28" s="4" t="s">
        <v>114</v>
      </c>
      <c r="AH28" s="4" t="s">
        <v>115</v>
      </c>
      <c r="AI28" s="4">
        <f ca="1">ROUND(T_Tiktok_ads[[#This Row],[impressions]]*RANDBETWEEN(8,12)/10,0)</f>
        <v>441357</v>
      </c>
      <c r="AJ28" s="4">
        <f ca="1">ROUND(T_Tiktok_ads[[#This Row],[clicks]]*RANDBETWEEN(8,12)/10,0)</f>
        <v>7102</v>
      </c>
      <c r="AK28" s="4">
        <v>989.9</v>
      </c>
      <c r="AL28" s="4">
        <f ca="1">ROUND(T_Tiktok_ads[[#This Row],[conversions]]*RANDBETWEEN(8,12)/10,0)</f>
        <v>81</v>
      </c>
      <c r="AM28" s="4">
        <f ca="1">ROUND(T_Tiktok_ads[[#This Row],[video_views]]*RANDBETWEEN(8,12)/10,0)</f>
        <v>365580</v>
      </c>
      <c r="AN28" s="4">
        <f ca="1">ROUND(T_Tiktok_ads[[#This Row],[video_watch_25]]*RANDBETWEEN(8,12)/10,0)</f>
        <v>294679</v>
      </c>
      <c r="AO28" s="4">
        <f ca="1">ROUND(T_Tiktok_ads[[#This Row],[video_watch_50]]*RANDBETWEEN(8,12)/10,0)</f>
        <v>236024</v>
      </c>
      <c r="AP28" s="4">
        <f ca="1">ROUND(T_Tiktok_ads[[#This Row],[video_watch_75]]*RANDBETWEEN(8,12)/10,0)</f>
        <v>166357</v>
      </c>
      <c r="AQ28" s="4">
        <f ca="1">ROUND(T_Tiktok_ads[[#This Row],[video_watch_100]]*RANDBETWEEN(8,12)/10,0)</f>
        <v>109524</v>
      </c>
      <c r="AR28" s="4">
        <f ca="1">ROUND(T_Tiktok_ads[[#This Row],[likes]]*RANDBETWEEN(8,12)/10,0)</f>
        <v>17234</v>
      </c>
      <c r="AS28" s="4">
        <f ca="1">ROUND(T_Tiktok_ads[[#This Row],[shares]]*RANDBETWEEN(8,12)/10,0)</f>
        <v>4010</v>
      </c>
      <c r="AT28" s="4">
        <f ca="1">ROUND(T_Tiktok_ads[[#This Row],[comments]]*RANDBETWEEN(8,12)/10,0)</f>
        <v>1240</v>
      </c>
      <c r="AV28" s="5">
        <f t="shared" ca="1" si="3"/>
        <v>45031</v>
      </c>
      <c r="AW28">
        <f t="shared" ca="1" si="4"/>
        <v>4</v>
      </c>
      <c r="AX28">
        <f ca="1">ROUND(T_Facebook_Ads11596367[[#This Row],[impressions]]*RANDBETWEEN(8,12)/10,0)</f>
        <v>63111</v>
      </c>
      <c r="AY28">
        <f ca="1">ROUND(T_Facebook_Ads11596367[[#This Row],[clicks]]*RANDBETWEEN(8,12)/10,0)</f>
        <v>202</v>
      </c>
      <c r="AZ28">
        <f ca="1">T_Facebook_Ads11596367[[#This Row],[spend]]*RANDBETWEEN(8,12)/10</f>
        <v>74.88</v>
      </c>
      <c r="BA28">
        <f ca="1">ROUND(T_Facebook_Ads11596367[[#This Row],[conversions]]*RANDBETWEEN(8,12)/10,0)</f>
        <v>7</v>
      </c>
      <c r="BB28">
        <f ca="1">ROUND(T_Facebook_Ads11596367[[#This Row],[video_views]]*RANDBETWEEN(8,12)/10,0)</f>
        <v>30870</v>
      </c>
    </row>
    <row r="29" spans="1:54" ht="15.75" thickBot="1" x14ac:dyDescent="0.3">
      <c r="A29" s="3">
        <f t="shared" ca="1" si="0"/>
        <v>45041</v>
      </c>
      <c r="B29" s="4" t="s">
        <v>52</v>
      </c>
      <c r="C29" s="4" t="s">
        <v>53</v>
      </c>
      <c r="D29" s="4" t="s">
        <v>54</v>
      </c>
      <c r="E29" s="4" t="s">
        <v>55</v>
      </c>
      <c r="F29" s="4">
        <f ca="1">ROUND(T_Facebook_Ads[[#This Row],[impressions]]*RANDBETWEEN(8,12)/10,0)</f>
        <v>58280</v>
      </c>
      <c r="G29" s="4">
        <v>978</v>
      </c>
      <c r="H29" s="4">
        <f ca="1">T_Facebook_Ads[[#This Row],[spend]]*RANDBETWEEN(8,12)/10</f>
        <v>124.02000000000001</v>
      </c>
      <c r="I29" s="4">
        <f ca="1">ROUND(T_Facebook_Ads[[#This Row],[conversions]]*RANDBETWEEN(8,12)/10,0)</f>
        <v>11</v>
      </c>
      <c r="J29" s="4">
        <f ca="1">ROUND(T_Facebook_Ads[[#This Row],[video_views]]*RANDBETWEEN(8,12)/10,0)</f>
        <v>8051</v>
      </c>
      <c r="K29" s="4">
        <f ca="1">T_Facebook_Ads[[#This Row],[engagement_rate]]*RANDBETWEEN(8,12)/10</f>
        <v>2.4119999999999999E-2</v>
      </c>
      <c r="L29" s="4">
        <f ca="1">ROUND(T_Facebook_Ads[[#This Row],[reach]]*RANDBETWEEN(8,12)/10,0)</f>
        <v>48547</v>
      </c>
      <c r="M29" s="4">
        <f ca="1">T_Facebook_Ads[[#This Row],[frequency]]*RANDBETWEEN(8,12)/10</f>
        <v>0.96</v>
      </c>
      <c r="O29" s="3">
        <f t="shared" ca="1" si="1"/>
        <v>45028</v>
      </c>
      <c r="P29" s="4" t="s">
        <v>76</v>
      </c>
      <c r="Q29" s="4" t="s">
        <v>77</v>
      </c>
      <c r="R29" s="4" t="s">
        <v>78</v>
      </c>
      <c r="S29" s="4" t="s">
        <v>79</v>
      </c>
      <c r="T29" s="4">
        <f ca="1">ROUND(_Google_ads[[#This Row],[impressions]]*RANDBETWEEN(8,12)/10,0)</f>
        <v>27146</v>
      </c>
      <c r="U29" s="4">
        <f ca="1">ROUND(_Google_ads[[#This Row],[clicks]]*RANDBETWEEN(8,12)/10,0)</f>
        <v>1547</v>
      </c>
      <c r="V29" s="4">
        <f ca="1">_Google_ads[[#This Row],[cost]]*RANDBETWEEN(8,12)/10</f>
        <v>295.08000000000004</v>
      </c>
      <c r="W29" s="4">
        <f ca="1">ROUND(_Google_ads[[#This Row],[conversions]]*RANDBETWEEN(8,12)/10,0)</f>
        <v>53</v>
      </c>
      <c r="X29" s="4">
        <f ca="1">ROUND(_Google_ads[[#This Row],[conversion_value]]*RANDBETWEEN(8,12)/10,0)</f>
        <v>2880</v>
      </c>
      <c r="Y29" s="4">
        <f ca="1">_Google_ads[[#This Row],[ctr]]*RANDBETWEEN(8,12)/10</f>
        <v>4.1760000000000005E-2</v>
      </c>
      <c r="Z29" s="4">
        <f ca="1">_Google_ads[[#This Row],[avg_cpc]]*RANDBETWEEN(8,12)/10</f>
        <v>0.17099999999999999</v>
      </c>
      <c r="AA29" s="4">
        <f ca="1">ROUND(_Google_ads[[#This Row],[quality_score]]*RANDBETWEEN(8,12)/10,0)</f>
        <v>11</v>
      </c>
      <c r="AB29" s="4">
        <f ca="1">_Google_ads[[#This Row],[search_impression_share]]*RANDBETWEEN(8,12)/10</f>
        <v>0.90999999999999992</v>
      </c>
      <c r="AD29" s="3">
        <f t="shared" ca="1" si="2"/>
        <v>45042</v>
      </c>
      <c r="AE29" s="4" t="s">
        <v>100</v>
      </c>
      <c r="AF29" s="4" t="s">
        <v>101</v>
      </c>
      <c r="AG29" s="4" t="s">
        <v>102</v>
      </c>
      <c r="AH29" s="4" t="s">
        <v>103</v>
      </c>
      <c r="AI29" s="4">
        <f ca="1">ROUND(T_Tiktok_ads[[#This Row],[impressions]]*RANDBETWEEN(8,12)/10,0)</f>
        <v>256234</v>
      </c>
      <c r="AJ29" s="4">
        <f ca="1">ROUND(T_Tiktok_ads[[#This Row],[clicks]]*RANDBETWEEN(8,12)/10,0)</f>
        <v>4071</v>
      </c>
      <c r="AK29" s="4">
        <v>490.5</v>
      </c>
      <c r="AL29" s="4">
        <f ca="1">ROUND(T_Tiktok_ads[[#This Row],[conversions]]*RANDBETWEEN(8,12)/10,0)</f>
        <v>34</v>
      </c>
      <c r="AM29" s="4">
        <f ca="1">ROUND(T_Tiktok_ads[[#This Row],[video_views]]*RANDBETWEEN(8,12)/10,0)</f>
        <v>230157</v>
      </c>
      <c r="AN29" s="4">
        <f ca="1">ROUND(T_Tiktok_ads[[#This Row],[video_watch_25]]*RANDBETWEEN(8,12)/10,0)</f>
        <v>196280</v>
      </c>
      <c r="AO29" s="4">
        <f ca="1">ROUND(T_Tiktok_ads[[#This Row],[video_watch_50]]*RANDBETWEEN(8,12)/10,0)</f>
        <v>82054</v>
      </c>
      <c r="AP29" s="4">
        <f ca="1">ROUND(T_Tiktok_ads[[#This Row],[video_watch_75]]*RANDBETWEEN(8,12)/10,0)</f>
        <v>76524</v>
      </c>
      <c r="AQ29" s="4">
        <f ca="1">ROUND(T_Tiktok_ads[[#This Row],[video_watch_100]]*RANDBETWEEN(8,12)/10,0)</f>
        <v>55880</v>
      </c>
      <c r="AR29" s="4">
        <f ca="1">ROUND(T_Tiktok_ads[[#This Row],[likes]]*RANDBETWEEN(8,12)/10,0)</f>
        <v>9123</v>
      </c>
      <c r="AS29" s="4">
        <f ca="1">ROUND(T_Tiktok_ads[[#This Row],[shares]]*RANDBETWEEN(8,12)/10,0)</f>
        <v>2181</v>
      </c>
      <c r="AT29" s="4">
        <f ca="1">ROUND(T_Tiktok_ads[[#This Row],[comments]]*RANDBETWEEN(8,12)/10,0)</f>
        <v>481</v>
      </c>
      <c r="AV29" s="5">
        <f t="shared" ca="1" si="3"/>
        <v>45027</v>
      </c>
      <c r="AW29">
        <f t="shared" ca="1" si="4"/>
        <v>7</v>
      </c>
      <c r="AX29">
        <f ca="1">ROUND(T_Facebook_Ads11596367[[#This Row],[impressions]]*RANDBETWEEN(8,12)/10,0)</f>
        <v>64108</v>
      </c>
      <c r="AY29">
        <f ca="1">ROUND(T_Facebook_Ads11596367[[#This Row],[clicks]]*RANDBETWEEN(8,12)/10,0)</f>
        <v>1076</v>
      </c>
      <c r="AZ29">
        <f ca="1">T_Facebook_Ads11596367[[#This Row],[spend]]*RANDBETWEEN(8,12)/10</f>
        <v>99.216000000000008</v>
      </c>
      <c r="BA29">
        <f ca="1">ROUND(T_Facebook_Ads11596367[[#This Row],[conversions]]*RANDBETWEEN(8,12)/10,0)</f>
        <v>9</v>
      </c>
      <c r="BB29">
        <f ca="1">ROUND(T_Facebook_Ads11596367[[#This Row],[video_views]]*RANDBETWEEN(8,12)/10,0)</f>
        <v>8856</v>
      </c>
    </row>
    <row r="30" spans="1:54" ht="15.75" thickBot="1" x14ac:dyDescent="0.3">
      <c r="A30" s="3">
        <f t="shared" ca="1" si="0"/>
        <v>45041</v>
      </c>
      <c r="B30" s="4" t="s">
        <v>56</v>
      </c>
      <c r="C30" s="4" t="s">
        <v>57</v>
      </c>
      <c r="D30" s="4" t="s">
        <v>58</v>
      </c>
      <c r="E30" s="4" t="s">
        <v>59</v>
      </c>
      <c r="F30" s="4">
        <f ca="1">ROUND(T_Facebook_Ads[[#This Row],[impressions]]*RANDBETWEEN(8,12)/10,0)</f>
        <v>11031</v>
      </c>
      <c r="G30" s="4">
        <v>645</v>
      </c>
      <c r="H30" s="4">
        <f ca="1">T_Facebook_Ads[[#This Row],[spend]]*RANDBETWEEN(8,12)/10</f>
        <v>241.2</v>
      </c>
      <c r="I30" s="4">
        <f ca="1">ROUND(T_Facebook_Ads[[#This Row],[conversions]]*RANDBETWEEN(8,12)/10,0)</f>
        <v>41</v>
      </c>
      <c r="J30" s="4">
        <f ca="1">ROUND(T_Facebook_Ads[[#This Row],[video_views]]*RANDBETWEEN(8,12)/10,0)</f>
        <v>1787</v>
      </c>
      <c r="K30" s="4">
        <f ca="1">T_Facebook_Ads[[#This Row],[engagement_rate]]*RANDBETWEEN(8,12)/10</f>
        <v>4.6800000000000001E-2</v>
      </c>
      <c r="L30" s="4">
        <f ca="1">ROUND(T_Facebook_Ads[[#This Row],[reach]]*RANDBETWEEN(8,12)/10,0)</f>
        <v>12947</v>
      </c>
      <c r="M30" s="4">
        <f ca="1">T_Facebook_Ads[[#This Row],[frequency]]*RANDBETWEEN(8,12)/10</f>
        <v>1.4079999999999999</v>
      </c>
      <c r="O30" s="3">
        <f t="shared" ca="1" si="1"/>
        <v>45030</v>
      </c>
      <c r="P30" s="4" t="s">
        <v>80</v>
      </c>
      <c r="Q30" s="4" t="s">
        <v>81</v>
      </c>
      <c r="R30" s="4" t="s">
        <v>82</v>
      </c>
      <c r="S30" s="4" t="s">
        <v>83</v>
      </c>
      <c r="T30" s="4">
        <f ca="1">ROUND(_Google_ads[[#This Row],[impressions]]*RANDBETWEEN(8,12)/10,0)</f>
        <v>45234</v>
      </c>
      <c r="U30" s="4">
        <f ca="1">ROUND(_Google_ads[[#This Row],[clicks]]*RANDBETWEEN(8,12)/10,0)</f>
        <v>721</v>
      </c>
      <c r="V30" s="4">
        <f ca="1">_Google_ads[[#This Row],[cost]]*RANDBETWEEN(8,12)/10</f>
        <v>521.01</v>
      </c>
      <c r="W30" s="4">
        <f ca="1">ROUND(_Google_ads[[#This Row],[conversions]]*RANDBETWEEN(8,12)/10,0)</f>
        <v>28</v>
      </c>
      <c r="X30" s="4">
        <f ca="1">ROUND(_Google_ads[[#This Row],[conversion_value]]*RANDBETWEEN(8,12)/10,0)</f>
        <v>1150</v>
      </c>
      <c r="Y30" s="4">
        <f ca="1">_Google_ads[[#This Row],[ctr]]*RANDBETWEEN(8,12)/10</f>
        <v>1.7910000000000002E-2</v>
      </c>
      <c r="Z30" s="4">
        <f ca="1">_Google_ads[[#This Row],[avg_cpc]]*RANDBETWEEN(8,12)/10</f>
        <v>0.70399999999999996</v>
      </c>
      <c r="AA30" s="4">
        <f ca="1">ROUND(_Google_ads[[#This Row],[quality_score]]*RANDBETWEEN(8,12)/10,0)</f>
        <v>7</v>
      </c>
      <c r="AB30" s="4">
        <f ca="1">_Google_ads[[#This Row],[search_impression_share]]*RANDBETWEEN(8,12)/10</f>
        <v>0.45</v>
      </c>
      <c r="AD30" s="3">
        <f t="shared" ca="1" si="2"/>
        <v>45035</v>
      </c>
      <c r="AE30" s="4" t="s">
        <v>104</v>
      </c>
      <c r="AF30" s="4" t="s">
        <v>105</v>
      </c>
      <c r="AG30" s="4" t="s">
        <v>106</v>
      </c>
      <c r="AH30" s="4" t="s">
        <v>107</v>
      </c>
      <c r="AI30" s="4">
        <f ca="1">ROUND(T_Tiktok_ads[[#This Row],[impressions]]*RANDBETWEEN(8,12)/10,0)</f>
        <v>174814</v>
      </c>
      <c r="AJ30" s="4">
        <f ca="1">ROUND(T_Tiktok_ads[[#This Row],[clicks]]*RANDBETWEEN(8,12)/10,0)</f>
        <v>2231</v>
      </c>
      <c r="AK30" s="4">
        <v>756.7</v>
      </c>
      <c r="AL30" s="4">
        <f ca="1">ROUND(T_Tiktok_ads[[#This Row],[conversions]]*RANDBETWEEN(8,12)/10,0)</f>
        <v>61</v>
      </c>
      <c r="AM30" s="4">
        <f ca="1">ROUND(T_Tiktok_ads[[#This Row],[video_views]]*RANDBETWEEN(8,12)/10,0)</f>
        <v>111357</v>
      </c>
      <c r="AN30" s="4">
        <f ca="1">ROUND(T_Tiktok_ads[[#This Row],[video_watch_25]]*RANDBETWEEN(8,12)/10,0)</f>
        <v>67110</v>
      </c>
      <c r="AO30" s="4">
        <f ca="1">ROUND(T_Tiktok_ads[[#This Row],[video_watch_50]]*RANDBETWEEN(8,12)/10,0)</f>
        <v>50234</v>
      </c>
      <c r="AP30" s="4">
        <f ca="1">ROUND(T_Tiktok_ads[[#This Row],[video_watch_75]]*RANDBETWEEN(8,12)/10,0)</f>
        <v>45468</v>
      </c>
      <c r="AQ30" s="4">
        <f ca="1">ROUND(T_Tiktok_ads[[#This Row],[video_watch_100]]*RANDBETWEEN(8,12)/10,0)</f>
        <v>25234</v>
      </c>
      <c r="AR30" s="4">
        <f ca="1">ROUND(T_Tiktok_ads[[#This Row],[likes]]*RANDBETWEEN(8,12)/10,0)</f>
        <v>5012</v>
      </c>
      <c r="AS30" s="4">
        <f ca="1">ROUND(T_Tiktok_ads[[#This Row],[shares]]*RANDBETWEEN(8,12)/10,0)</f>
        <v>1138</v>
      </c>
      <c r="AT30" s="4">
        <f ca="1">ROUND(T_Tiktok_ads[[#This Row],[comments]]*RANDBETWEEN(8,12)/10,0)</f>
        <v>294</v>
      </c>
      <c r="AV30" s="5">
        <f t="shared" ca="1" si="3"/>
        <v>45043</v>
      </c>
      <c r="AW30">
        <f t="shared" ca="1" si="4"/>
        <v>2</v>
      </c>
      <c r="AX30">
        <f ca="1">ROUND(T_Facebook_Ads11596367[[#This Row],[impressions]]*RANDBETWEEN(8,12)/10,0)</f>
        <v>11031</v>
      </c>
      <c r="AY30">
        <f ca="1">ROUND(T_Facebook_Ads11596367[[#This Row],[clicks]]*RANDBETWEEN(8,12)/10,0)</f>
        <v>581</v>
      </c>
      <c r="AZ30">
        <f ca="1">T_Facebook_Ads11596367[[#This Row],[spend]]*RANDBETWEEN(8,12)/10</f>
        <v>217.07999999999998</v>
      </c>
      <c r="BA30">
        <f ca="1">ROUND(T_Facebook_Ads11596367[[#This Row],[conversions]]*RANDBETWEEN(8,12)/10,0)</f>
        <v>37</v>
      </c>
      <c r="BB30">
        <f ca="1">ROUND(T_Facebook_Ads11596367[[#This Row],[video_views]]*RANDBETWEEN(8,12)/10,0)</f>
        <v>1966</v>
      </c>
    </row>
    <row r="31" spans="1:54" ht="15.75" thickBot="1" x14ac:dyDescent="0.3">
      <c r="A31" s="3">
        <f t="shared" ca="1" si="0"/>
        <v>45031</v>
      </c>
      <c r="B31" s="4" t="s">
        <v>60</v>
      </c>
      <c r="C31" s="4" t="s">
        <v>61</v>
      </c>
      <c r="D31" s="4" t="s">
        <v>62</v>
      </c>
      <c r="E31" s="4" t="s">
        <v>63</v>
      </c>
      <c r="F31" s="4">
        <f ca="1">ROUND(T_Facebook_Ads[[#This Row],[impressions]]*RANDBETWEEN(8,12)/10,0)</f>
        <v>38456</v>
      </c>
      <c r="G31" s="4">
        <v>1423</v>
      </c>
      <c r="H31" s="4">
        <f ca="1">T_Facebook_Ads[[#This Row],[spend]]*RANDBETWEEN(8,12)/10</f>
        <v>217.5</v>
      </c>
      <c r="I31" s="4">
        <f ca="1">ROUND(T_Facebook_Ads[[#This Row],[conversions]]*RANDBETWEEN(8,12)/10,0)</f>
        <v>23</v>
      </c>
      <c r="J31" s="4">
        <f ca="1">ROUND(T_Facebook_Ads[[#This Row],[video_views]]*RANDBETWEEN(8,12)/10,0)</f>
        <v>5635</v>
      </c>
      <c r="K31" s="4">
        <f ca="1">T_Facebook_Ads[[#This Row],[engagement_rate]]*RANDBETWEEN(8,12)/10</f>
        <v>4.07E-2</v>
      </c>
      <c r="L31" s="4">
        <f ca="1">ROUND(T_Facebook_Ads[[#This Row],[reach]]*RANDBETWEEN(8,12)/10,0)</f>
        <v>37481</v>
      </c>
      <c r="M31" s="4">
        <f ca="1">T_Facebook_Ads[[#This Row],[frequency]]*RANDBETWEEN(8,12)/10</f>
        <v>0.98399999999999999</v>
      </c>
      <c r="O31" s="3">
        <f t="shared" ca="1" si="1"/>
        <v>45042</v>
      </c>
      <c r="P31" s="4" t="s">
        <v>84</v>
      </c>
      <c r="Q31" s="4" t="s">
        <v>85</v>
      </c>
      <c r="R31" s="4" t="s">
        <v>86</v>
      </c>
      <c r="S31" s="4" t="s">
        <v>87</v>
      </c>
      <c r="T31" s="4">
        <f ca="1">ROUND(_Google_ads[[#This Row],[impressions]]*RANDBETWEEN(8,12)/10,0)</f>
        <v>82681</v>
      </c>
      <c r="U31" s="4">
        <f ca="1">ROUND(_Google_ads[[#This Row],[clicks]]*RANDBETWEEN(8,12)/10,0)</f>
        <v>1814</v>
      </c>
      <c r="V31" s="4">
        <f ca="1">_Google_ads[[#This Row],[cost]]*RANDBETWEEN(8,12)/10</f>
        <v>414.2</v>
      </c>
      <c r="W31" s="4">
        <f ca="1">ROUND(_Google_ads[[#This Row],[conversions]]*RANDBETWEEN(8,12)/10,0)</f>
        <v>77</v>
      </c>
      <c r="X31" s="4">
        <f ca="1">ROUND(_Google_ads[[#This Row],[conversion_value]]*RANDBETWEEN(8,12)/10,0)</f>
        <v>3200</v>
      </c>
      <c r="Y31" s="4">
        <f ca="1">_Google_ads[[#This Row],[ctr]]*RANDBETWEEN(8,12)/10</f>
        <v>2.632E-2</v>
      </c>
      <c r="Z31" s="4">
        <f ca="1">_Google_ads[[#This Row],[avg_cpc]]*RANDBETWEEN(8,12)/10</f>
        <v>0.14399999999999999</v>
      </c>
      <c r="AA31" s="4">
        <f ca="1">ROUND(_Google_ads[[#This Row],[quality_score]]*RANDBETWEEN(8,12)/10,0)</f>
        <v>10</v>
      </c>
      <c r="AB31" s="4">
        <f ca="1">_Google_ads[[#This Row],[search_impression_share]]*RANDBETWEEN(8,12)/10</f>
        <v>0.60299999999999998</v>
      </c>
      <c r="AD31" s="3">
        <f t="shared" ca="1" si="2"/>
        <v>45020</v>
      </c>
      <c r="AE31" s="4" t="s">
        <v>108</v>
      </c>
      <c r="AF31" s="4" t="s">
        <v>109</v>
      </c>
      <c r="AG31" s="4" t="s">
        <v>110</v>
      </c>
      <c r="AH31" s="4" t="s">
        <v>111</v>
      </c>
      <c r="AI31" s="4">
        <f ca="1">ROUND(T_Tiktok_ads[[#This Row],[impressions]]*RANDBETWEEN(8,12)/10,0)</f>
        <v>245802</v>
      </c>
      <c r="AJ31" s="4">
        <f ca="1">ROUND(T_Tiktok_ads[[#This Row],[clicks]]*RANDBETWEEN(8,12)/10,0)</f>
        <v>3210</v>
      </c>
      <c r="AK31" s="4">
        <v>427.7</v>
      </c>
      <c r="AL31" s="4">
        <f ca="1">ROUND(T_Tiktok_ads[[#This Row],[conversions]]*RANDBETWEEN(8,12)/10,0)</f>
        <v>27</v>
      </c>
      <c r="AM31" s="4">
        <f ca="1">ROUND(T_Tiktok_ads[[#This Row],[video_views]]*RANDBETWEEN(8,12)/10,0)</f>
        <v>143121</v>
      </c>
      <c r="AN31" s="4">
        <f ca="1">ROUND(T_Tiktok_ads[[#This Row],[video_watch_25]]*RANDBETWEEN(8,12)/10,0)</f>
        <v>162281</v>
      </c>
      <c r="AO31" s="4">
        <f ca="1">ROUND(T_Tiktok_ads[[#This Row],[video_watch_50]]*RANDBETWEEN(8,12)/10,0)</f>
        <v>106789</v>
      </c>
      <c r="AP31" s="4">
        <f ca="1">ROUND(T_Tiktok_ads[[#This Row],[video_watch_75]]*RANDBETWEEN(8,12)/10,0)</f>
        <v>62311</v>
      </c>
      <c r="AQ31" s="4">
        <f ca="1">ROUND(T_Tiktok_ads[[#This Row],[video_watch_100]]*RANDBETWEEN(8,12)/10,0)</f>
        <v>45968</v>
      </c>
      <c r="AR31" s="4">
        <f ca="1">ROUND(T_Tiktok_ads[[#This Row],[likes]]*RANDBETWEEN(8,12)/10,0)</f>
        <v>9057</v>
      </c>
      <c r="AS31" s="4">
        <f ca="1">ROUND(T_Tiktok_ads[[#This Row],[shares]]*RANDBETWEEN(8,12)/10,0)</f>
        <v>2494</v>
      </c>
      <c r="AT31" s="4">
        <f ca="1">ROUND(T_Tiktok_ads[[#This Row],[comments]]*RANDBETWEEN(8,12)/10,0)</f>
        <v>427</v>
      </c>
      <c r="AV31" s="5">
        <f t="shared" ca="1" si="3"/>
        <v>45034</v>
      </c>
      <c r="AW31">
        <f t="shared" ca="1" si="4"/>
        <v>2</v>
      </c>
      <c r="AX31">
        <f ca="1">ROUND(T_Facebook_Ads11596367[[#This Row],[impressions]]*RANDBETWEEN(8,12)/10,0)</f>
        <v>42302</v>
      </c>
      <c r="AY31">
        <f ca="1">ROUND(T_Facebook_Ads11596367[[#This Row],[clicks]]*RANDBETWEEN(8,12)/10,0)</f>
        <v>1281</v>
      </c>
      <c r="AZ31">
        <f ca="1">T_Facebook_Ads11596367[[#This Row],[spend]]*RANDBETWEEN(8,12)/10</f>
        <v>174</v>
      </c>
      <c r="BA31">
        <f ca="1">ROUND(T_Facebook_Ads11596367[[#This Row],[conversions]]*RANDBETWEEN(8,12)/10,0)</f>
        <v>23</v>
      </c>
      <c r="BB31">
        <f ca="1">ROUND(T_Facebook_Ads11596367[[#This Row],[video_views]]*RANDBETWEEN(8,12)/10,0)</f>
        <v>5072</v>
      </c>
    </row>
    <row r="32" spans="1:54" ht="15.75" thickBot="1" x14ac:dyDescent="0.3">
      <c r="A32" s="3">
        <f t="shared" ca="1" si="0"/>
        <v>45035</v>
      </c>
      <c r="B32" s="4" t="s">
        <v>52</v>
      </c>
      <c r="C32" s="4" t="s">
        <v>53</v>
      </c>
      <c r="D32" s="4" t="s">
        <v>54</v>
      </c>
      <c r="E32" s="4" t="s">
        <v>55</v>
      </c>
      <c r="F32" s="4">
        <f ca="1">ROUND(T_Facebook_Ads[[#This Row],[impressions]]*RANDBETWEEN(8,12)/10,0)</f>
        <v>52123</v>
      </c>
      <c r="G32" s="4">
        <v>1089</v>
      </c>
      <c r="H32" s="4">
        <f ca="1">T_Facebook_Ads[[#This Row],[spend]]*RANDBETWEEN(8,12)/10</f>
        <v>133.73999999999998</v>
      </c>
      <c r="I32" s="4">
        <f ca="1">ROUND(T_Facebook_Ads[[#This Row],[conversions]]*RANDBETWEEN(8,12)/10,0)</f>
        <v>15</v>
      </c>
      <c r="J32" s="4">
        <f ca="1">ROUND(T_Facebook_Ads[[#This Row],[video_views]]*RANDBETWEEN(8,12)/10,0)</f>
        <v>9567</v>
      </c>
      <c r="K32" s="4">
        <f ca="1">T_Facebook_Ads[[#This Row],[engagement_rate]]*RANDBETWEEN(8,12)/10</f>
        <v>2.0899999999999998E-2</v>
      </c>
      <c r="L32" s="4">
        <f ca="1">ROUND(T_Facebook_Ads[[#This Row],[reach]]*RANDBETWEEN(8,12)/10,0)</f>
        <v>47557</v>
      </c>
      <c r="M32" s="4">
        <f ca="1">T_Facebook_Ads[[#This Row],[frequency]]*RANDBETWEEN(8,12)/10</f>
        <v>1.452</v>
      </c>
      <c r="O32" s="3">
        <f t="shared" ca="1" si="1"/>
        <v>45045</v>
      </c>
      <c r="P32" s="4" t="s">
        <v>76</v>
      </c>
      <c r="Q32" s="4" t="s">
        <v>77</v>
      </c>
      <c r="R32" s="4" t="s">
        <v>78</v>
      </c>
      <c r="S32" s="4" t="s">
        <v>79</v>
      </c>
      <c r="T32" s="4">
        <f ca="1">ROUND(_Google_ads[[#This Row],[impressions]]*RANDBETWEEN(8,12)/10,0)</f>
        <v>28857</v>
      </c>
      <c r="U32" s="4">
        <f ca="1">ROUND(_Google_ads[[#This Row],[clicks]]*RANDBETWEEN(8,12)/10,0)</f>
        <v>1240</v>
      </c>
      <c r="V32" s="4">
        <f ca="1">_Google_ads[[#This Row],[cost]]*RANDBETWEEN(8,12)/10</f>
        <v>237.06</v>
      </c>
      <c r="W32" s="4">
        <f ca="1">ROUND(_Google_ads[[#This Row],[conversions]]*RANDBETWEEN(8,12)/10,0)</f>
        <v>42</v>
      </c>
      <c r="X32" s="4">
        <f ca="1">ROUND(_Google_ads[[#This Row],[conversion_value]]*RANDBETWEEN(8,12)/10,0)</f>
        <v>2080</v>
      </c>
      <c r="Y32" s="4">
        <f ca="1">_Google_ads[[#This Row],[ctr]]*RANDBETWEEN(8,12)/10</f>
        <v>6.3E-2</v>
      </c>
      <c r="Z32" s="4">
        <f ca="1">_Google_ads[[#This Row],[avg_cpc]]*RANDBETWEEN(8,12)/10</f>
        <v>0.20899999999999999</v>
      </c>
      <c r="AA32" s="4">
        <f ca="1">ROUND(_Google_ads[[#This Row],[quality_score]]*RANDBETWEEN(8,12)/10,0)</f>
        <v>10</v>
      </c>
      <c r="AB32" s="4">
        <f ca="1">_Google_ads[[#This Row],[search_impression_share]]*RANDBETWEEN(8,12)/10</f>
        <v>0.73599999999999999</v>
      </c>
      <c r="AD32" s="3">
        <f t="shared" ca="1" si="2"/>
        <v>45031</v>
      </c>
      <c r="AE32" s="4" t="s">
        <v>100</v>
      </c>
      <c r="AF32" s="4" t="s">
        <v>101</v>
      </c>
      <c r="AG32" s="4" t="s">
        <v>102</v>
      </c>
      <c r="AH32" s="4" t="s">
        <v>103</v>
      </c>
      <c r="AI32" s="4">
        <f ca="1">ROUND(T_Tiktok_ads[[#This Row],[impressions]]*RANDBETWEEN(8,12)/10,0)</f>
        <v>306791</v>
      </c>
      <c r="AJ32" s="4">
        <f ca="1">ROUND(T_Tiktok_ads[[#This Row],[clicks]]*RANDBETWEEN(8,12)/10,0)</f>
        <v>4535</v>
      </c>
      <c r="AK32" s="4">
        <v>523.6</v>
      </c>
      <c r="AL32" s="4">
        <f ca="1">ROUND(T_Tiktok_ads[[#This Row],[conversions]]*RANDBETWEEN(8,12)/10,0)</f>
        <v>34</v>
      </c>
      <c r="AM32" s="4">
        <f ca="1">ROUND(T_Tiktok_ads[[#This Row],[video_views]]*RANDBETWEEN(8,12)/10,0)</f>
        <v>234567</v>
      </c>
      <c r="AN32" s="4">
        <f ca="1">ROUND(T_Tiktok_ads[[#This Row],[video_watch_25]]*RANDBETWEEN(8,12)/10,0)</f>
        <v>218814</v>
      </c>
      <c r="AO32" s="4">
        <f ca="1">ROUND(T_Tiktok_ads[[#This Row],[video_watch_50]]*RANDBETWEEN(8,12)/10,0)</f>
        <v>126024</v>
      </c>
      <c r="AP32" s="4">
        <f ca="1">ROUND(T_Tiktok_ads[[#This Row],[video_watch_75]]*RANDBETWEEN(8,12)/10,0)</f>
        <v>77234</v>
      </c>
      <c r="AQ32" s="4">
        <f ca="1">ROUND(T_Tiktok_ads[[#This Row],[video_watch_100]]*RANDBETWEEN(8,12)/10,0)</f>
        <v>46111</v>
      </c>
      <c r="AR32" s="4">
        <f ca="1">ROUND(T_Tiktok_ads[[#This Row],[likes]]*RANDBETWEEN(8,12)/10,0)</f>
        <v>9311</v>
      </c>
      <c r="AS32" s="4">
        <f ca="1">ROUND(T_Tiktok_ads[[#This Row],[shares]]*RANDBETWEEN(8,12)/10,0)</f>
        <v>3347</v>
      </c>
      <c r="AT32" s="4">
        <f ca="1">ROUND(T_Tiktok_ads[[#This Row],[comments]]*RANDBETWEEN(8,12)/10,0)</f>
        <v>525</v>
      </c>
      <c r="AV32" s="5">
        <f t="shared" ca="1" si="3"/>
        <v>45027</v>
      </c>
      <c r="AW32">
        <f t="shared" ca="1" si="4"/>
        <v>8</v>
      </c>
      <c r="AX32">
        <f ca="1">ROUND(T_Facebook_Ads11596367[[#This Row],[impressions]]*RANDBETWEEN(8,12)/10,0)</f>
        <v>62548</v>
      </c>
      <c r="AY32">
        <f ca="1">ROUND(T_Facebook_Ads11596367[[#This Row],[clicks]]*RANDBETWEEN(8,12)/10,0)</f>
        <v>980</v>
      </c>
      <c r="AZ32">
        <f ca="1">T_Facebook_Ads11596367[[#This Row],[spend]]*RANDBETWEEN(8,12)/10</f>
        <v>120.36599999999999</v>
      </c>
      <c r="BA32">
        <f ca="1">ROUND(T_Facebook_Ads11596367[[#This Row],[conversions]]*RANDBETWEEN(8,12)/10,0)</f>
        <v>12</v>
      </c>
      <c r="BB32">
        <f ca="1">ROUND(T_Facebook_Ads11596367[[#This Row],[video_views]]*RANDBETWEEN(8,12)/10,0)</f>
        <v>9567</v>
      </c>
    </row>
    <row r="33" spans="1:54" ht="15.75" thickBot="1" x14ac:dyDescent="0.3">
      <c r="A33" s="3">
        <f t="shared" ca="1" si="0"/>
        <v>45028</v>
      </c>
      <c r="B33" s="4" t="s">
        <v>56</v>
      </c>
      <c r="C33" s="4" t="s">
        <v>57</v>
      </c>
      <c r="D33" s="4" t="s">
        <v>58</v>
      </c>
      <c r="E33" s="4" t="s">
        <v>59</v>
      </c>
      <c r="F33" s="4">
        <f ca="1">ROUND(T_Facebook_Ads[[#This Row],[impressions]]*RANDBETWEEN(8,12)/10,0)</f>
        <v>16024</v>
      </c>
      <c r="G33" s="4">
        <v>723</v>
      </c>
      <c r="H33" s="4">
        <f ca="1">T_Facebook_Ads[[#This Row],[spend]]*RANDBETWEEN(8,12)/10</f>
        <v>282.03999999999996</v>
      </c>
      <c r="I33" s="4">
        <f ca="1">ROUND(T_Facebook_Ads[[#This Row],[conversions]]*RANDBETWEEN(8,12)/10,0)</f>
        <v>44</v>
      </c>
      <c r="J33" s="4">
        <f ca="1">ROUND(T_Facebook_Ads[[#This Row],[video_views]]*RANDBETWEEN(8,12)/10,0)</f>
        <v>1451</v>
      </c>
      <c r="K33" s="4">
        <f ca="1">T_Facebook_Ads[[#This Row],[engagement_rate]]*RANDBETWEEN(8,12)/10</f>
        <v>4.9599999999999998E-2</v>
      </c>
      <c r="L33" s="4">
        <f ca="1">ROUND(T_Facebook_Ads[[#This Row],[reach]]*RANDBETWEEN(8,12)/10,0)</f>
        <v>10310</v>
      </c>
      <c r="M33" s="4">
        <f ca="1">T_Facebook_Ads[[#This Row],[frequency]]*RANDBETWEEN(8,12)/10</f>
        <v>1.27</v>
      </c>
      <c r="O33" s="3">
        <f t="shared" ca="1" si="1"/>
        <v>45037</v>
      </c>
      <c r="P33" s="4" t="s">
        <v>80</v>
      </c>
      <c r="Q33" s="4" t="s">
        <v>81</v>
      </c>
      <c r="R33" s="4" t="s">
        <v>82</v>
      </c>
      <c r="S33" s="4" t="s">
        <v>83</v>
      </c>
      <c r="T33" s="4">
        <f ca="1">ROUND(_Google_ads[[#This Row],[impressions]]*RANDBETWEEN(8,12)/10,0)</f>
        <v>43101</v>
      </c>
      <c r="U33" s="4">
        <f ca="1">ROUND(_Google_ads[[#This Row],[clicks]]*RANDBETWEEN(8,12)/10,0)</f>
        <v>841</v>
      </c>
      <c r="V33" s="4">
        <f ca="1">_Google_ads[[#This Row],[cost]]*RANDBETWEEN(8,12)/10</f>
        <v>735</v>
      </c>
      <c r="W33" s="4">
        <f ca="1">ROUND(_Google_ads[[#This Row],[conversions]]*RANDBETWEEN(8,12)/10,0)</f>
        <v>26</v>
      </c>
      <c r="X33" s="4">
        <f ca="1">ROUND(_Google_ads[[#This Row],[conversion_value]]*RANDBETWEEN(8,12)/10,0)</f>
        <v>1170</v>
      </c>
      <c r="Y33" s="4">
        <f ca="1">_Google_ads[[#This Row],[ctr]]*RANDBETWEEN(8,12)/10</f>
        <v>1.755E-2</v>
      </c>
      <c r="Z33" s="4">
        <f ca="1">_Google_ads[[#This Row],[avg_cpc]]*RANDBETWEEN(8,12)/10</f>
        <v>0.79200000000000004</v>
      </c>
      <c r="AA33" s="4">
        <f ca="1">ROUND(_Google_ads[[#This Row],[quality_score]]*RANDBETWEEN(8,12)/10,0)</f>
        <v>8</v>
      </c>
      <c r="AB33" s="4">
        <f ca="1">_Google_ads[[#This Row],[search_impression_share]]*RANDBETWEEN(8,12)/10</f>
        <v>0.55200000000000005</v>
      </c>
      <c r="AD33" s="3">
        <f t="shared" ca="1" si="2"/>
        <v>45018</v>
      </c>
      <c r="AE33" s="4" t="s">
        <v>104</v>
      </c>
      <c r="AF33" s="4" t="s">
        <v>105</v>
      </c>
      <c r="AG33" s="4" t="s">
        <v>106</v>
      </c>
      <c r="AH33" s="4" t="s">
        <v>107</v>
      </c>
      <c r="AI33" s="4">
        <f ca="1">ROUND(T_Tiktok_ads[[#This Row],[impressions]]*RANDBETWEEN(8,12)/10,0)</f>
        <v>172468</v>
      </c>
      <c r="AJ33" s="4">
        <f ca="1">ROUND(T_Tiktok_ads[[#This Row],[clicks]]*RANDBETWEEN(8,12)/10,0)</f>
        <v>2410</v>
      </c>
      <c r="AK33" s="4">
        <v>812.3</v>
      </c>
      <c r="AL33" s="4">
        <f ca="1">ROUND(T_Tiktok_ads[[#This Row],[conversions]]*RANDBETWEEN(8,12)/10,0)</f>
        <v>90</v>
      </c>
      <c r="AM33" s="4">
        <f ca="1">ROUND(T_Tiktok_ads[[#This Row],[video_views]]*RANDBETWEEN(8,12)/10,0)</f>
        <v>109876</v>
      </c>
      <c r="AN33" s="4">
        <f ca="1">ROUND(T_Tiktok_ads[[#This Row],[video_watch_25]]*RANDBETWEEN(8,12)/10,0)</f>
        <v>97481</v>
      </c>
      <c r="AO33" s="4">
        <f ca="1">ROUND(T_Tiktok_ads[[#This Row],[video_watch_50]]*RANDBETWEEN(8,12)/10,0)</f>
        <v>54678</v>
      </c>
      <c r="AP33" s="4">
        <f ca="1">ROUND(T_Tiktok_ads[[#This Row],[video_watch_75]]*RANDBETWEEN(8,12)/10,0)</f>
        <v>41234</v>
      </c>
      <c r="AQ33" s="4">
        <f ca="1">ROUND(T_Tiktok_ads[[#This Row],[video_watch_100]]*RANDBETWEEN(8,12)/10,0)</f>
        <v>22054</v>
      </c>
      <c r="AR33" s="4">
        <f ca="1">ROUND(T_Tiktok_ads[[#This Row],[likes]]*RANDBETWEEN(8,12)/10,0)</f>
        <v>4365</v>
      </c>
      <c r="AS33" s="4">
        <f ca="1">ROUND(T_Tiktok_ads[[#This Row],[shares]]*RANDBETWEEN(8,12)/10,0)</f>
        <v>1724</v>
      </c>
      <c r="AT33" s="4">
        <f ca="1">ROUND(T_Tiktok_ads[[#This Row],[comments]]*RANDBETWEEN(8,12)/10,0)</f>
        <v>231</v>
      </c>
      <c r="AV33" s="5">
        <f t="shared" ca="1" si="3"/>
        <v>45021</v>
      </c>
      <c r="AW33">
        <f t="shared" ca="1" si="4"/>
        <v>3</v>
      </c>
      <c r="AX33">
        <f ca="1">ROUND(T_Facebook_Ads11596367[[#This Row],[impressions]]*RANDBETWEEN(8,12)/10,0)</f>
        <v>16024</v>
      </c>
      <c r="AY33">
        <f ca="1">ROUND(T_Facebook_Ads11596367[[#This Row],[clicks]]*RANDBETWEEN(8,12)/10,0)</f>
        <v>651</v>
      </c>
      <c r="AZ33">
        <f ca="1">T_Facebook_Ads11596367[[#This Row],[spend]]*RANDBETWEEN(8,12)/10</f>
        <v>282.03999999999996</v>
      </c>
      <c r="BA33">
        <f ca="1">ROUND(T_Facebook_Ads11596367[[#This Row],[conversions]]*RANDBETWEEN(8,12)/10,0)</f>
        <v>40</v>
      </c>
      <c r="BB33">
        <f ca="1">ROUND(T_Facebook_Ads11596367[[#This Row],[video_views]]*RANDBETWEEN(8,12)/10,0)</f>
        <v>1161</v>
      </c>
    </row>
    <row r="34" spans="1:54" ht="15.75" thickBot="1" x14ac:dyDescent="0.3">
      <c r="A34" s="3">
        <f t="shared" ref="A34:A65" ca="1" si="5">DATE(2023,4,RANDBETWEEN(1,30))</f>
        <v>45035</v>
      </c>
      <c r="B34" s="4" t="s">
        <v>60</v>
      </c>
      <c r="C34" s="4" t="s">
        <v>61</v>
      </c>
      <c r="D34" s="4" t="s">
        <v>62</v>
      </c>
      <c r="E34" s="4" t="s">
        <v>63</v>
      </c>
      <c r="F34" s="4">
        <f ca="1">ROUND(T_Facebook_Ads[[#This Row],[impressions]]*RANDBETWEEN(8,12)/10,0)</f>
        <v>35810</v>
      </c>
      <c r="G34" s="4">
        <v>1534</v>
      </c>
      <c r="H34" s="4">
        <f ca="1">T_Facebook_Ads[[#This Row],[spend]]*RANDBETWEEN(8,12)/10</f>
        <v>203.22</v>
      </c>
      <c r="I34" s="4">
        <f ca="1">ROUND(T_Facebook_Ads[[#This Row],[conversions]]*RANDBETWEEN(8,12)/10,0)</f>
        <v>34</v>
      </c>
      <c r="J34" s="4">
        <f ca="1">ROUND(T_Facebook_Ads[[#This Row],[video_views]]*RANDBETWEEN(8,12)/10,0)</f>
        <v>5456</v>
      </c>
      <c r="K34" s="4">
        <f ca="1">T_Facebook_Ads[[#This Row],[engagement_rate]]*RANDBETWEEN(8,12)/10</f>
        <v>3.0880000000000001E-2</v>
      </c>
      <c r="L34" s="4">
        <f ca="1">ROUND(T_Facebook_Ads[[#This Row],[reach]]*RANDBETWEEN(8,12)/10,0)</f>
        <v>29310</v>
      </c>
      <c r="M34" s="4">
        <f ca="1">T_Facebook_Ads[[#This Row],[frequency]]*RANDBETWEEN(8,12)/10</f>
        <v>1.3420000000000001</v>
      </c>
      <c r="O34" s="3">
        <f t="shared" ref="O34:O65" ca="1" si="6">DATE(2023,4,RANDBETWEEN(1,30))</f>
        <v>45022</v>
      </c>
      <c r="P34" s="4" t="s">
        <v>84</v>
      </c>
      <c r="Q34" s="4" t="s">
        <v>85</v>
      </c>
      <c r="R34" s="4" t="s">
        <v>86</v>
      </c>
      <c r="S34" s="4" t="s">
        <v>87</v>
      </c>
      <c r="T34" s="4">
        <f ca="1">ROUND(_Google_ads[[#This Row],[impressions]]*RANDBETWEEN(8,12)/10,0)</f>
        <v>56987</v>
      </c>
      <c r="U34" s="4">
        <f ca="1">ROUND(_Google_ads[[#This Row],[clicks]]*RANDBETWEEN(8,12)/10,0)</f>
        <v>2210</v>
      </c>
      <c r="V34" s="4">
        <f ca="1">_Google_ads[[#This Row],[cost]]*RANDBETWEEN(8,12)/10</f>
        <v>534.96</v>
      </c>
      <c r="W34" s="4">
        <f ca="1">ROUND(_Google_ads[[#This Row],[conversions]]*RANDBETWEEN(8,12)/10,0)</f>
        <v>78</v>
      </c>
      <c r="X34" s="4">
        <f ca="1">ROUND(_Google_ads[[#This Row],[conversion_value]]*RANDBETWEEN(8,12)/10,0)</f>
        <v>2840</v>
      </c>
      <c r="Y34" s="4">
        <f ca="1">_Google_ads[[#This Row],[ctr]]*RANDBETWEEN(8,12)/10</f>
        <v>3.1050000000000001E-2</v>
      </c>
      <c r="Z34" s="4">
        <f ca="1">_Google_ads[[#This Row],[avg_cpc]]*RANDBETWEEN(8,12)/10</f>
        <v>0.16199999999999998</v>
      </c>
      <c r="AA34" s="4">
        <f ca="1">ROUND(_Google_ads[[#This Row],[quality_score]]*RANDBETWEEN(8,12)/10,0)</f>
        <v>6</v>
      </c>
      <c r="AB34" s="4">
        <f ca="1">_Google_ads[[#This Row],[search_impression_share]]*RANDBETWEEN(8,12)/10</f>
        <v>0.81600000000000006</v>
      </c>
      <c r="AD34" s="3">
        <f t="shared" ref="AD34:AD65" ca="1" si="7">DATE(2023,4,RANDBETWEEN(1,30))</f>
        <v>45042</v>
      </c>
      <c r="AE34" s="4" t="s">
        <v>108</v>
      </c>
      <c r="AF34" s="4" t="s">
        <v>109</v>
      </c>
      <c r="AG34" s="4" t="s">
        <v>110</v>
      </c>
      <c r="AH34" s="4" t="s">
        <v>111</v>
      </c>
      <c r="AI34" s="4">
        <f ca="1">ROUND(T_Tiktok_ads[[#This Row],[impressions]]*RANDBETWEEN(8,12)/10,0)</f>
        <v>211110</v>
      </c>
      <c r="AJ34" s="4">
        <f ca="1">ROUND(T_Tiktok_ads[[#This Row],[clicks]]*RANDBETWEEN(8,12)/10,0)</f>
        <v>3789</v>
      </c>
      <c r="AK34" s="4">
        <v>456.8</v>
      </c>
      <c r="AL34" s="4">
        <f ca="1">ROUND(T_Tiktok_ads[[#This Row],[conversions]]*RANDBETWEEN(8,12)/10,0)</f>
        <v>40</v>
      </c>
      <c r="AM34" s="4">
        <f ca="1">ROUND(T_Tiktok_ads[[#This Row],[video_views]]*RANDBETWEEN(8,12)/10,0)</f>
        <v>151387</v>
      </c>
      <c r="AN34" s="4">
        <f ca="1">ROUND(T_Tiktok_ads[[#This Row],[video_watch_25]]*RANDBETWEEN(8,12)/10,0)</f>
        <v>172280</v>
      </c>
      <c r="AO34" s="4">
        <f ca="1">ROUND(T_Tiktok_ads[[#This Row],[video_watch_50]]*RANDBETWEEN(8,12)/10,0)</f>
        <v>90765</v>
      </c>
      <c r="AP34" s="4">
        <f ca="1">ROUND(T_Tiktok_ads[[#This Row],[video_watch_75]]*RANDBETWEEN(8,12)/10,0)</f>
        <v>80802</v>
      </c>
      <c r="AQ34" s="4">
        <f ca="1">ROUND(T_Tiktok_ads[[#This Row],[video_watch_100]]*RANDBETWEEN(8,12)/10,0)</f>
        <v>49024</v>
      </c>
      <c r="AR34" s="4">
        <f ca="1">ROUND(T_Tiktok_ads[[#This Row],[likes]]*RANDBETWEEN(8,12)/10,0)</f>
        <v>7910</v>
      </c>
      <c r="AS34" s="4">
        <f ca="1">ROUND(T_Tiktok_ads[[#This Row],[shares]]*RANDBETWEEN(8,12)/10,0)</f>
        <v>2677</v>
      </c>
      <c r="AT34" s="4">
        <f ca="1">ROUND(T_Tiktok_ads[[#This Row],[comments]]*RANDBETWEEN(8,12)/10,0)</f>
        <v>624</v>
      </c>
      <c r="AV34" s="5">
        <f t="shared" ref="AV34:AV65" ca="1" si="8">DATE(2023,4,RANDBETWEEN(1,30))</f>
        <v>45026</v>
      </c>
      <c r="AW34">
        <f t="shared" ca="1" si="4"/>
        <v>7</v>
      </c>
      <c r="AX34">
        <f ca="1">ROUND(T_Facebook_Ads11596367[[#This Row],[impressions]]*RANDBETWEEN(8,12)/10,0)</f>
        <v>39391</v>
      </c>
      <c r="AY34">
        <f ca="1">ROUND(T_Facebook_Ads11596367[[#This Row],[clicks]]*RANDBETWEEN(8,12)/10,0)</f>
        <v>1534</v>
      </c>
      <c r="AZ34">
        <f ca="1">T_Facebook_Ads11596367[[#This Row],[spend]]*RANDBETWEEN(8,12)/10</f>
        <v>203.22</v>
      </c>
      <c r="BA34">
        <f ca="1">ROUND(T_Facebook_Ads11596367[[#This Row],[conversions]]*RANDBETWEEN(8,12)/10,0)</f>
        <v>41</v>
      </c>
      <c r="BB34">
        <f ca="1">ROUND(T_Facebook_Ads11596367[[#This Row],[video_views]]*RANDBETWEEN(8,12)/10,0)</f>
        <v>6547</v>
      </c>
    </row>
    <row r="35" spans="1:54" ht="15.75" thickBot="1" x14ac:dyDescent="0.3">
      <c r="A35" s="3">
        <f t="shared" ca="1" si="5"/>
        <v>45032</v>
      </c>
      <c r="B35" s="4" t="s">
        <v>64</v>
      </c>
      <c r="C35" s="4" t="s">
        <v>65</v>
      </c>
      <c r="D35" s="4" t="s">
        <v>66</v>
      </c>
      <c r="E35" s="4" t="s">
        <v>67</v>
      </c>
      <c r="F35" s="4">
        <f ca="1">ROUND(T_Facebook_Ads[[#This Row],[impressions]]*RANDBETWEEN(8,12)/10,0)</f>
        <v>68611</v>
      </c>
      <c r="G35" s="4">
        <v>278</v>
      </c>
      <c r="H35" s="4">
        <f ca="1">T_Facebook_Ads[[#This Row],[spend]]*RANDBETWEEN(8,12)/10</f>
        <v>121.8</v>
      </c>
      <c r="I35" s="4">
        <f ca="1">ROUND(T_Facebook_Ads[[#This Row],[conversions]]*RANDBETWEEN(8,12)/10,0)</f>
        <v>6</v>
      </c>
      <c r="J35" s="4">
        <f ca="1">ROUND(T_Facebook_Ads[[#This Row],[video_views]]*RANDBETWEEN(8,12)/10,0)</f>
        <v>41876</v>
      </c>
      <c r="K35" s="4">
        <f ca="1">T_Facebook_Ads[[#This Row],[engagement_rate]]*RANDBETWEEN(8,12)/10</f>
        <v>3.3300000000000005E-3</v>
      </c>
      <c r="L35" s="4">
        <f ca="1">ROUND(T_Facebook_Ads[[#This Row],[reach]]*RANDBETWEEN(8,12)/10,0)</f>
        <v>56210</v>
      </c>
      <c r="M35" s="4">
        <f ca="1">T_Facebook_Ads[[#This Row],[frequency]]*RANDBETWEEN(8,12)/10</f>
        <v>1.22</v>
      </c>
      <c r="O35" s="3">
        <f t="shared" ca="1" si="6"/>
        <v>45021</v>
      </c>
      <c r="P35" s="4" t="s">
        <v>88</v>
      </c>
      <c r="Q35" s="4" t="s">
        <v>89</v>
      </c>
      <c r="R35" s="4" t="s">
        <v>90</v>
      </c>
      <c r="S35" s="4" t="s">
        <v>59</v>
      </c>
      <c r="T35" s="4">
        <f ca="1">ROUND(_Google_ads[[#This Row],[impressions]]*RANDBETWEEN(8,12)/10,0)</f>
        <v>109431</v>
      </c>
      <c r="U35" s="4">
        <f ca="1">ROUND(_Google_ads[[#This Row],[clicks]]*RANDBETWEEN(8,12)/10,0)</f>
        <v>410</v>
      </c>
      <c r="V35" s="4">
        <f ca="1">_Google_ads[[#This Row],[cost]]*RANDBETWEEN(8,12)/10</f>
        <v>128.07</v>
      </c>
      <c r="W35" s="4">
        <f ca="1">ROUND(_Google_ads[[#This Row],[conversions]]*RANDBETWEEN(8,12)/10,0)</f>
        <v>18</v>
      </c>
      <c r="X35" s="4">
        <f ca="1">ROUND(_Google_ads[[#This Row],[conversion_value]]*RANDBETWEEN(8,12)/10,0)</f>
        <v>900</v>
      </c>
      <c r="Y35" s="4">
        <f ca="1">_Google_ads[[#This Row],[ctr]]*RANDBETWEEN(8,12)/10</f>
        <v>3.7000000000000006E-3</v>
      </c>
      <c r="Z35" s="4">
        <f ca="1">_Google_ads[[#This Row],[avg_cpc]]*RANDBETWEEN(8,12)/10</f>
        <v>0.33600000000000002</v>
      </c>
      <c r="AA35" s="4">
        <f ca="1">ROUND(_Google_ads[[#This Row],[quality_score]]*RANDBETWEEN(8,12)/10,0)</f>
        <v>6</v>
      </c>
      <c r="AB35" s="4">
        <f ca="1">_Google_ads[[#This Row],[search_impression_share]]*RANDBETWEEN(8,12)/10</f>
        <v>0.36</v>
      </c>
      <c r="AD35" s="3">
        <f t="shared" ca="1" si="7"/>
        <v>45017</v>
      </c>
      <c r="AE35" s="4" t="s">
        <v>112</v>
      </c>
      <c r="AF35" s="4" t="s">
        <v>113</v>
      </c>
      <c r="AG35" s="4" t="s">
        <v>114</v>
      </c>
      <c r="AH35" s="4" t="s">
        <v>115</v>
      </c>
      <c r="AI35" s="4">
        <f ca="1">ROUND(T_Tiktok_ads[[#This Row],[impressions]]*RANDBETWEEN(8,12)/10,0)</f>
        <v>329876</v>
      </c>
      <c r="AJ35" s="4">
        <f ca="1">ROUND(T_Tiktok_ads[[#This Row],[clicks]]*RANDBETWEEN(8,12)/10,0)</f>
        <v>7468</v>
      </c>
      <c r="AK35" s="4">
        <v>1023.4</v>
      </c>
      <c r="AL35" s="4">
        <f ca="1">ROUND(T_Tiktok_ads[[#This Row],[conversions]]*RANDBETWEEN(8,12)/10,0)</f>
        <v>124</v>
      </c>
      <c r="AM35" s="4">
        <f ca="1">ROUND(T_Tiktok_ads[[#This Row],[video_views]]*RANDBETWEEN(8,12)/10,0)</f>
        <v>345678</v>
      </c>
      <c r="AN35" s="4">
        <f ca="1">ROUND(T_Tiktok_ads[[#This Row],[video_watch_25]]*RANDBETWEEN(8,12)/10,0)</f>
        <v>223121</v>
      </c>
      <c r="AO35" s="4">
        <f ca="1">ROUND(T_Tiktok_ads[[#This Row],[video_watch_50]]*RANDBETWEEN(8,12)/10,0)</f>
        <v>201110</v>
      </c>
      <c r="AP35" s="4">
        <f ca="1">ROUND(T_Tiktok_ads[[#This Row],[video_watch_75]]*RANDBETWEEN(8,12)/10,0)</f>
        <v>143311</v>
      </c>
      <c r="AQ35" s="4">
        <f ca="1">ROUND(T_Tiktok_ads[[#This Row],[video_watch_100]]*RANDBETWEEN(8,12)/10,0)</f>
        <v>116246</v>
      </c>
      <c r="AR35" s="4">
        <f ca="1">ROUND(T_Tiktok_ads[[#This Row],[likes]]*RANDBETWEEN(8,12)/10,0)</f>
        <v>16411</v>
      </c>
      <c r="AS35" s="4">
        <f ca="1">ROUND(T_Tiktok_ads[[#This Row],[shares]]*RANDBETWEEN(8,12)/10,0)</f>
        <v>4187</v>
      </c>
      <c r="AT35" s="4">
        <f ca="1">ROUND(T_Tiktok_ads[[#This Row],[comments]]*RANDBETWEEN(8,12)/10,0)</f>
        <v>1165</v>
      </c>
      <c r="AV35" s="5">
        <f t="shared" ca="1" si="8"/>
        <v>45037</v>
      </c>
      <c r="AW35">
        <f t="shared" ca="1" si="4"/>
        <v>6</v>
      </c>
      <c r="AX35">
        <f ca="1">ROUND(T_Facebook_Ads11596367[[#This Row],[impressions]]*RANDBETWEEN(8,12)/10,0)</f>
        <v>68611</v>
      </c>
      <c r="AY35">
        <f ca="1">ROUND(T_Facebook_Ads11596367[[#This Row],[clicks]]*RANDBETWEEN(8,12)/10,0)</f>
        <v>334</v>
      </c>
      <c r="AZ35">
        <f ca="1">T_Facebook_Ads11596367[[#This Row],[spend]]*RANDBETWEEN(8,12)/10</f>
        <v>146.16</v>
      </c>
      <c r="BA35">
        <f ca="1">ROUND(T_Facebook_Ads11596367[[#This Row],[conversions]]*RANDBETWEEN(8,12)/10,0)</f>
        <v>6</v>
      </c>
      <c r="BB35">
        <f ca="1">ROUND(T_Facebook_Ads11596367[[#This Row],[video_views]]*RANDBETWEEN(8,12)/10,0)</f>
        <v>41876</v>
      </c>
    </row>
    <row r="36" spans="1:54" ht="15.75" thickBot="1" x14ac:dyDescent="0.3">
      <c r="A36" s="3">
        <f t="shared" ca="1" si="5"/>
        <v>45032</v>
      </c>
      <c r="B36" s="4" t="s">
        <v>52</v>
      </c>
      <c r="C36" s="4" t="s">
        <v>53</v>
      </c>
      <c r="D36" s="4" t="s">
        <v>54</v>
      </c>
      <c r="E36" s="4" t="s">
        <v>55</v>
      </c>
      <c r="F36" s="4">
        <f ca="1">ROUND(T_Facebook_Ads[[#This Row],[impressions]]*RANDBETWEEN(8,12)/10,0)</f>
        <v>59081</v>
      </c>
      <c r="G36" s="4">
        <v>1012</v>
      </c>
      <c r="H36" s="4">
        <f ca="1">T_Facebook_Ads[[#This Row],[spend]]*RANDBETWEEN(8,12)/10</f>
        <v>154.33000000000001</v>
      </c>
      <c r="I36" s="4">
        <f ca="1">ROUND(T_Facebook_Ads[[#This Row],[conversions]]*RANDBETWEEN(8,12)/10,0)</f>
        <v>12</v>
      </c>
      <c r="J36" s="4">
        <f ca="1">ROUND(T_Facebook_Ads[[#This Row],[video_views]]*RANDBETWEEN(8,12)/10,0)</f>
        <v>10948</v>
      </c>
      <c r="K36" s="4">
        <f ca="1">T_Facebook_Ads[[#This Row],[engagement_rate]]*RANDBETWEEN(8,12)/10</f>
        <v>1.6480000000000002E-2</v>
      </c>
      <c r="L36" s="4">
        <f ca="1">ROUND(T_Facebook_Ads[[#This Row],[reach]]*RANDBETWEEN(8,12)/10,0)</f>
        <v>33254</v>
      </c>
      <c r="M36" s="4">
        <f ca="1">T_Facebook_Ads[[#This Row],[frequency]]*RANDBETWEEN(8,12)/10</f>
        <v>0.94399999999999995</v>
      </c>
      <c r="O36" s="3">
        <f t="shared" ca="1" si="6"/>
        <v>45043</v>
      </c>
      <c r="P36" s="4" t="s">
        <v>76</v>
      </c>
      <c r="Q36" s="4" t="s">
        <v>77</v>
      </c>
      <c r="R36" s="4" t="s">
        <v>78</v>
      </c>
      <c r="S36" s="4" t="s">
        <v>79</v>
      </c>
      <c r="T36" s="4">
        <f ca="1">ROUND(_Google_ads[[#This Row],[impressions]]*RANDBETWEEN(8,12)/10,0)</f>
        <v>22611</v>
      </c>
      <c r="U36" s="4">
        <f ca="1">ROUND(_Google_ads[[#This Row],[clicks]]*RANDBETWEEN(8,12)/10,0)</f>
        <v>1574</v>
      </c>
      <c r="V36" s="4">
        <f ca="1">_Google_ads[[#This Row],[cost]]*RANDBETWEEN(8,12)/10</f>
        <v>200.32</v>
      </c>
      <c r="W36" s="4">
        <f ca="1">ROUND(_Google_ads[[#This Row],[conversions]]*RANDBETWEEN(8,12)/10,0)</f>
        <v>54</v>
      </c>
      <c r="X36" s="4">
        <f ca="1">ROUND(_Google_ads[[#This Row],[conversion_value]]*RANDBETWEEN(8,12)/10,0)</f>
        <v>2450</v>
      </c>
      <c r="Y36" s="4">
        <f ca="1">_Google_ads[[#This Row],[ctr]]*RANDBETWEEN(8,12)/10</f>
        <v>5.7420000000000006E-2</v>
      </c>
      <c r="Z36" s="4">
        <f ca="1">_Google_ads[[#This Row],[avg_cpc]]*RANDBETWEEN(8,12)/10</f>
        <v>0.19</v>
      </c>
      <c r="AA36" s="4">
        <f ca="1">ROUND(_Google_ads[[#This Row],[quality_score]]*RANDBETWEEN(8,12)/10,0)</f>
        <v>10</v>
      </c>
      <c r="AB36" s="4">
        <f ca="1">_Google_ads[[#This Row],[search_impression_share]]*RANDBETWEEN(8,12)/10</f>
        <v>0.81899999999999995</v>
      </c>
      <c r="AD36" s="3">
        <f t="shared" ca="1" si="7"/>
        <v>45031</v>
      </c>
      <c r="AE36" s="4" t="s">
        <v>100</v>
      </c>
      <c r="AF36" s="4" t="s">
        <v>101</v>
      </c>
      <c r="AG36" s="4" t="s">
        <v>102</v>
      </c>
      <c r="AH36" s="4" t="s">
        <v>103</v>
      </c>
      <c r="AI36" s="4">
        <f ca="1">ROUND(T_Tiktok_ads[[#This Row],[impressions]]*RANDBETWEEN(8,12)/10,0)</f>
        <v>321468</v>
      </c>
      <c r="AJ36" s="4">
        <f ca="1">ROUND(T_Tiktok_ads[[#This Row],[clicks]]*RANDBETWEEN(8,12)/10,0)</f>
        <v>3156</v>
      </c>
      <c r="AK36" s="4">
        <v>501.2</v>
      </c>
      <c r="AL36" s="4">
        <f ca="1">ROUND(T_Tiktok_ads[[#This Row],[conversions]]*RANDBETWEEN(8,12)/10,0)</f>
        <v>44</v>
      </c>
      <c r="AM36" s="4">
        <f ca="1">ROUND(T_Tiktok_ads[[#This Row],[video_views]]*RANDBETWEEN(8,12)/10,0)</f>
        <v>265481</v>
      </c>
      <c r="AN36" s="4">
        <f ca="1">ROUND(T_Tiktok_ads[[#This Row],[video_watch_25]]*RANDBETWEEN(8,12)/10,0)</f>
        <v>208147</v>
      </c>
      <c r="AO36" s="4">
        <f ca="1">ROUND(T_Tiktok_ads[[#This Row],[video_watch_50]]*RANDBETWEEN(8,12)/10,0)</f>
        <v>120157</v>
      </c>
      <c r="AP36" s="4">
        <f ca="1">ROUND(T_Tiktok_ads[[#This Row],[video_watch_75]]*RANDBETWEEN(8,12)/10,0)</f>
        <v>73567</v>
      </c>
      <c r="AQ36" s="4">
        <f ca="1">ROUND(T_Tiktok_ads[[#This Row],[video_watch_100]]*RANDBETWEEN(8,12)/10,0)</f>
        <v>44311</v>
      </c>
      <c r="AR36" s="4">
        <f ca="1">ROUND(T_Tiktok_ads[[#This Row],[likes]]*RANDBETWEEN(8,12)/10,0)</f>
        <v>7831</v>
      </c>
      <c r="AS36" s="4">
        <f ca="1">ROUND(T_Tiktok_ads[[#This Row],[shares]]*RANDBETWEEN(8,12)/10,0)</f>
        <v>2634</v>
      </c>
      <c r="AT36" s="4">
        <f ca="1">ROUND(T_Tiktok_ads[[#This Row],[comments]]*RANDBETWEEN(8,12)/10,0)</f>
        <v>561</v>
      </c>
      <c r="AV36" s="5">
        <f t="shared" ca="1" si="8"/>
        <v>45040</v>
      </c>
      <c r="AW36">
        <f t="shared" ca="1" si="4"/>
        <v>8</v>
      </c>
      <c r="AX36">
        <f ca="1">ROUND(T_Facebook_Ads11596367[[#This Row],[impressions]]*RANDBETWEEN(8,12)/10,0)</f>
        <v>70897</v>
      </c>
      <c r="AY36">
        <f ca="1">ROUND(T_Facebook_Ads11596367[[#This Row],[clicks]]*RANDBETWEEN(8,12)/10,0)</f>
        <v>810</v>
      </c>
      <c r="AZ36">
        <f ca="1">T_Facebook_Ads11596367[[#This Row],[spend]]*RANDBETWEEN(8,12)/10</f>
        <v>169.76300000000001</v>
      </c>
      <c r="BA36">
        <f ca="1">ROUND(T_Facebook_Ads11596367[[#This Row],[conversions]]*RANDBETWEEN(8,12)/10,0)</f>
        <v>14</v>
      </c>
      <c r="BB36">
        <f ca="1">ROUND(T_Facebook_Ads11596367[[#This Row],[video_views]]*RANDBETWEEN(8,12)/10,0)</f>
        <v>8758</v>
      </c>
    </row>
    <row r="37" spans="1:54" ht="15.75" thickBot="1" x14ac:dyDescent="0.3">
      <c r="A37" s="3">
        <f t="shared" ca="1" si="5"/>
        <v>45044</v>
      </c>
      <c r="B37" s="4" t="s">
        <v>56</v>
      </c>
      <c r="C37" s="4" t="s">
        <v>57</v>
      </c>
      <c r="D37" s="4" t="s">
        <v>58</v>
      </c>
      <c r="E37" s="4" t="s">
        <v>59</v>
      </c>
      <c r="F37" s="4">
        <f ca="1">ROUND(T_Facebook_Ads[[#This Row],[impressions]]*RANDBETWEEN(8,12)/10,0)</f>
        <v>10765</v>
      </c>
      <c r="G37" s="4">
        <v>634</v>
      </c>
      <c r="H37" s="4">
        <f ca="1">T_Facebook_Ads[[#This Row],[spend]]*RANDBETWEEN(8,12)/10</f>
        <v>287.64</v>
      </c>
      <c r="I37" s="4">
        <f ca="1">ROUND(T_Facebook_Ads[[#This Row],[conversions]]*RANDBETWEEN(8,12)/10,0)</f>
        <v>39</v>
      </c>
      <c r="J37" s="4">
        <f ca="1">ROUND(T_Facebook_Ads[[#This Row],[video_views]]*RANDBETWEEN(8,12)/10,0)</f>
        <v>1102</v>
      </c>
      <c r="K37" s="4">
        <f ca="1">T_Facebook_Ads[[#This Row],[engagement_rate]]*RANDBETWEEN(8,12)/10</f>
        <v>4.7100000000000003E-2</v>
      </c>
      <c r="L37" s="4">
        <f ca="1">ROUND(T_Facebook_Ads[[#This Row],[reach]]*RANDBETWEEN(8,12)/10,0)</f>
        <v>8454</v>
      </c>
      <c r="M37" s="4">
        <f ca="1">T_Facebook_Ads[[#This Row],[frequency]]*RANDBETWEEN(8,12)/10</f>
        <v>1.143</v>
      </c>
      <c r="O37" s="3">
        <f t="shared" ca="1" si="6"/>
        <v>45022</v>
      </c>
      <c r="P37" s="4" t="s">
        <v>80</v>
      </c>
      <c r="Q37" s="4" t="s">
        <v>81</v>
      </c>
      <c r="R37" s="4" t="s">
        <v>82</v>
      </c>
      <c r="S37" s="4" t="s">
        <v>83</v>
      </c>
      <c r="T37" s="4">
        <f ca="1">ROUND(_Google_ads[[#This Row],[impressions]]*RANDBETWEEN(8,12)/10,0)</f>
        <v>46567</v>
      </c>
      <c r="U37" s="4">
        <f ca="1">ROUND(_Google_ads[[#This Row],[clicks]]*RANDBETWEEN(8,12)/10,0)</f>
        <v>821</v>
      </c>
      <c r="V37" s="4">
        <f ca="1">_Google_ads[[#This Row],[cost]]*RANDBETWEEN(8,12)/10</f>
        <v>716.04000000000008</v>
      </c>
      <c r="W37" s="4">
        <f ca="1">ROUND(_Google_ads[[#This Row],[conversions]]*RANDBETWEEN(8,12)/10,0)</f>
        <v>19</v>
      </c>
      <c r="X37" s="4">
        <f ca="1">ROUND(_Google_ads[[#This Row],[conversion_value]]*RANDBETWEEN(8,12)/10,0)</f>
        <v>1080</v>
      </c>
      <c r="Y37" s="4">
        <f ca="1">_Google_ads[[#This Row],[ctr]]*RANDBETWEEN(8,12)/10</f>
        <v>1.9599999999999999E-2</v>
      </c>
      <c r="Z37" s="4">
        <f ca="1">_Google_ads[[#This Row],[avg_cpc]]*RANDBETWEEN(8,12)/10</f>
        <v>0.65</v>
      </c>
      <c r="AA37" s="4">
        <f ca="1">ROUND(_Google_ads[[#This Row],[quality_score]]*RANDBETWEEN(8,12)/10,0)</f>
        <v>8</v>
      </c>
      <c r="AB37" s="4">
        <f ca="1">_Google_ads[[#This Row],[search_impression_share]]*RANDBETWEEN(8,12)/10</f>
        <v>0.54</v>
      </c>
      <c r="AD37" s="3">
        <f t="shared" ca="1" si="7"/>
        <v>45019</v>
      </c>
      <c r="AE37" s="4" t="s">
        <v>104</v>
      </c>
      <c r="AF37" s="4" t="s">
        <v>105</v>
      </c>
      <c r="AG37" s="4" t="s">
        <v>106</v>
      </c>
      <c r="AH37" s="4" t="s">
        <v>107</v>
      </c>
      <c r="AI37" s="4">
        <f ca="1">ROUND(T_Tiktok_ads[[#This Row],[impressions]]*RANDBETWEEN(8,12)/10,0)</f>
        <v>178681</v>
      </c>
      <c r="AJ37" s="4">
        <f ca="1">ROUND(T_Tiktok_ads[[#This Row],[clicks]]*RANDBETWEEN(8,12)/10,0)</f>
        <v>3401</v>
      </c>
      <c r="AK37" s="4">
        <v>767.5</v>
      </c>
      <c r="AL37" s="4">
        <f ca="1">ROUND(T_Tiktok_ads[[#This Row],[conversions]]*RANDBETWEEN(8,12)/10,0)</f>
        <v>77</v>
      </c>
      <c r="AM37" s="4">
        <f ca="1">ROUND(T_Tiktok_ads[[#This Row],[video_views]]*RANDBETWEEN(8,12)/10,0)</f>
        <v>82765</v>
      </c>
      <c r="AN37" s="4">
        <f ca="1">ROUND(T_Tiktok_ads[[#This Row],[video_watch_25]]*RANDBETWEEN(8,12)/10,0)</f>
        <v>91481</v>
      </c>
      <c r="AO37" s="4">
        <f ca="1">ROUND(T_Tiktok_ads[[#This Row],[video_watch_50]]*RANDBETWEEN(8,12)/10,0)</f>
        <v>56357</v>
      </c>
      <c r="AP37" s="4">
        <f ca="1">ROUND(T_Tiktok_ads[[#This Row],[video_watch_75]]*RANDBETWEEN(8,12)/10,0)</f>
        <v>42424</v>
      </c>
      <c r="AQ37" s="4">
        <f ca="1">ROUND(T_Tiktok_ads[[#This Row],[video_watch_100]]*RANDBETWEEN(8,12)/10,0)</f>
        <v>28368</v>
      </c>
      <c r="AR37" s="4">
        <f ca="1">ROUND(T_Tiktok_ads[[#This Row],[likes]]*RANDBETWEEN(8,12)/10,0)</f>
        <v>4611</v>
      </c>
      <c r="AS37" s="4">
        <f ca="1">ROUND(T_Tiktok_ads[[#This Row],[shares]]*RANDBETWEEN(8,12)/10,0)</f>
        <v>1602</v>
      </c>
      <c r="AT37" s="4">
        <f ca="1">ROUND(T_Tiktok_ads[[#This Row],[comments]]*RANDBETWEEN(8,12)/10,0)</f>
        <v>306</v>
      </c>
      <c r="AV37" s="5">
        <f t="shared" ca="1" si="8"/>
        <v>45017</v>
      </c>
      <c r="AW37">
        <f t="shared" ca="1" si="4"/>
        <v>3</v>
      </c>
      <c r="AX37">
        <f ca="1">ROUND(T_Facebook_Ads11596367[[#This Row],[impressions]]*RANDBETWEEN(8,12)/10,0)</f>
        <v>11842</v>
      </c>
      <c r="AY37">
        <f ca="1">ROUND(T_Facebook_Ads11596367[[#This Row],[clicks]]*RANDBETWEEN(8,12)/10,0)</f>
        <v>571</v>
      </c>
      <c r="AZ37">
        <f ca="1">T_Facebook_Ads11596367[[#This Row],[spend]]*RANDBETWEEN(8,12)/10</f>
        <v>316.404</v>
      </c>
      <c r="BA37">
        <f ca="1">ROUND(T_Facebook_Ads11596367[[#This Row],[conversions]]*RANDBETWEEN(8,12)/10,0)</f>
        <v>47</v>
      </c>
      <c r="BB37">
        <f ca="1">ROUND(T_Facebook_Ads11596367[[#This Row],[video_views]]*RANDBETWEEN(8,12)/10,0)</f>
        <v>1102</v>
      </c>
    </row>
    <row r="38" spans="1:54" ht="15.75" thickBot="1" x14ac:dyDescent="0.3">
      <c r="A38" s="3">
        <f t="shared" ca="1" si="5"/>
        <v>45044</v>
      </c>
      <c r="B38" s="4" t="s">
        <v>60</v>
      </c>
      <c r="C38" s="4" t="s">
        <v>61</v>
      </c>
      <c r="D38" s="4" t="s">
        <v>62</v>
      </c>
      <c r="E38" s="4" t="s">
        <v>63</v>
      </c>
      <c r="F38" s="4">
        <f ca="1">ROUND(T_Facebook_Ads[[#This Row],[impressions]]*RANDBETWEEN(8,12)/10,0)</f>
        <v>34101</v>
      </c>
      <c r="G38" s="4">
        <v>1398</v>
      </c>
      <c r="H38" s="4">
        <f ca="1">T_Facebook_Ads[[#This Row],[spend]]*RANDBETWEEN(8,12)/10</f>
        <v>169.92000000000002</v>
      </c>
      <c r="I38" s="4">
        <f ca="1">ROUND(T_Facebook_Ads[[#This Row],[conversions]]*RANDBETWEEN(8,12)/10,0)</f>
        <v>25</v>
      </c>
      <c r="J38" s="4">
        <f ca="1">ROUND(T_Facebook_Ads[[#This Row],[video_views]]*RANDBETWEEN(8,12)/10,0)</f>
        <v>5513</v>
      </c>
      <c r="K38" s="4">
        <f ca="1">T_Facebook_Ads[[#This Row],[engagement_rate]]*RANDBETWEEN(8,12)/10</f>
        <v>3.3210000000000003E-2</v>
      </c>
      <c r="L38" s="4">
        <f ca="1">ROUND(T_Facebook_Ads[[#This Row],[reach]]*RANDBETWEEN(8,12)/10,0)</f>
        <v>37068</v>
      </c>
      <c r="M38" s="4">
        <f ca="1">T_Facebook_Ads[[#This Row],[frequency]]*RANDBETWEEN(8,12)/10</f>
        <v>1.476</v>
      </c>
      <c r="O38" s="3">
        <f t="shared" ca="1" si="6"/>
        <v>45018</v>
      </c>
      <c r="P38" s="4" t="s">
        <v>84</v>
      </c>
      <c r="Q38" s="4" t="s">
        <v>85</v>
      </c>
      <c r="R38" s="4" t="s">
        <v>86</v>
      </c>
      <c r="S38" s="4" t="s">
        <v>87</v>
      </c>
      <c r="T38" s="4">
        <f ca="1">ROUND(_Google_ads[[#This Row],[impressions]]*RANDBETWEEN(8,12)/10,0)</f>
        <v>55912</v>
      </c>
      <c r="U38" s="4">
        <f ca="1">ROUND(_Google_ads[[#This Row],[clicks]]*RANDBETWEEN(8,12)/10,0)</f>
        <v>2334</v>
      </c>
      <c r="V38" s="4">
        <f ca="1">_Google_ads[[#This Row],[cost]]*RANDBETWEEN(8,12)/10</f>
        <v>471.78999999999996</v>
      </c>
      <c r="W38" s="4">
        <f ca="1">ROUND(_Google_ads[[#This Row],[conversions]]*RANDBETWEEN(8,12)/10,0)</f>
        <v>59</v>
      </c>
      <c r="X38" s="4">
        <f ca="1">ROUND(_Google_ads[[#This Row],[conversion_value]]*RANDBETWEEN(8,12)/10,0)</f>
        <v>2640</v>
      </c>
      <c r="Y38" s="4">
        <f ca="1">_Google_ads[[#This Row],[ctr]]*RANDBETWEEN(8,12)/10</f>
        <v>2.6720000000000001E-2</v>
      </c>
      <c r="Z38" s="4">
        <f ca="1">_Google_ads[[#This Row],[avg_cpc]]*RANDBETWEEN(8,12)/10</f>
        <v>0.18</v>
      </c>
      <c r="AA38" s="4">
        <f ca="1">ROUND(_Google_ads[[#This Row],[quality_score]]*RANDBETWEEN(8,12)/10,0)</f>
        <v>6</v>
      </c>
      <c r="AB38" s="4">
        <f ca="1">_Google_ads[[#This Row],[search_impression_share]]*RANDBETWEEN(8,12)/10</f>
        <v>0.73699999999999999</v>
      </c>
      <c r="AD38" s="3">
        <f t="shared" ca="1" si="7"/>
        <v>45042</v>
      </c>
      <c r="AE38" s="4" t="s">
        <v>108</v>
      </c>
      <c r="AF38" s="4" t="s">
        <v>109</v>
      </c>
      <c r="AG38" s="4" t="s">
        <v>110</v>
      </c>
      <c r="AH38" s="4" t="s">
        <v>111</v>
      </c>
      <c r="AI38" s="4">
        <f ca="1">ROUND(T_Tiktok_ads[[#This Row],[impressions]]*RANDBETWEEN(8,12)/10,0)</f>
        <v>206011</v>
      </c>
      <c r="AJ38" s="4">
        <f ca="1">ROUND(T_Tiktok_ads[[#This Row],[clicks]]*RANDBETWEEN(8,12)/10,0)</f>
        <v>4361</v>
      </c>
      <c r="AK38" s="4">
        <v>441.9</v>
      </c>
      <c r="AL38" s="4">
        <f ca="1">ROUND(T_Tiktok_ads[[#This Row],[conversions]]*RANDBETWEEN(8,12)/10,0)</f>
        <v>31</v>
      </c>
      <c r="AM38" s="4">
        <f ca="1">ROUND(T_Tiktok_ads[[#This Row],[video_views]]*RANDBETWEEN(8,12)/10,0)</f>
        <v>200580</v>
      </c>
      <c r="AN38" s="4">
        <f ca="1">ROUND(T_Tiktok_ads[[#This Row],[video_watch_25]]*RANDBETWEEN(8,12)/10,0)</f>
        <v>151679</v>
      </c>
      <c r="AO38" s="4">
        <f ca="1">ROUND(T_Tiktok_ads[[#This Row],[video_watch_50]]*RANDBETWEEN(8,12)/10,0)</f>
        <v>130681</v>
      </c>
      <c r="AP38" s="4">
        <f ca="1">ROUND(T_Tiktok_ads[[#This Row],[video_watch_75]]*RANDBETWEEN(8,12)/10,0)</f>
        <v>70567</v>
      </c>
      <c r="AQ38" s="4">
        <f ca="1">ROUND(T_Tiktok_ads[[#This Row],[video_watch_100]]*RANDBETWEEN(8,12)/10,0)</f>
        <v>34231</v>
      </c>
      <c r="AR38" s="4">
        <f ca="1">ROUND(T_Tiktok_ads[[#This Row],[likes]]*RANDBETWEEN(8,12)/10,0)</f>
        <v>7610</v>
      </c>
      <c r="AS38" s="4">
        <f ca="1">ROUND(T_Tiktok_ads[[#This Row],[shares]]*RANDBETWEEN(8,12)/10,0)</f>
        <v>1841</v>
      </c>
      <c r="AT38" s="4">
        <f ca="1">ROUND(T_Tiktok_ads[[#This Row],[comments]]*RANDBETWEEN(8,12)/10,0)</f>
        <v>545</v>
      </c>
      <c r="AV38" s="5">
        <f t="shared" ca="1" si="8"/>
        <v>45025</v>
      </c>
      <c r="AW38">
        <f t="shared" ca="1" si="4"/>
        <v>6</v>
      </c>
      <c r="AX38">
        <f ca="1">ROUND(T_Facebook_Ads11596367[[#This Row],[impressions]]*RANDBETWEEN(8,12)/10,0)</f>
        <v>40921</v>
      </c>
      <c r="AY38">
        <f ca="1">ROUND(T_Facebook_Ads11596367[[#This Row],[clicks]]*RANDBETWEEN(8,12)/10,0)</f>
        <v>1258</v>
      </c>
      <c r="AZ38">
        <f ca="1">T_Facebook_Ads11596367[[#This Row],[spend]]*RANDBETWEEN(8,12)/10</f>
        <v>169.92000000000002</v>
      </c>
      <c r="BA38">
        <f ca="1">ROUND(T_Facebook_Ads11596367[[#This Row],[conversions]]*RANDBETWEEN(8,12)/10,0)</f>
        <v>28</v>
      </c>
      <c r="BB38">
        <f ca="1">ROUND(T_Facebook_Ads11596367[[#This Row],[video_views]]*RANDBETWEEN(8,12)/10,0)</f>
        <v>6064</v>
      </c>
    </row>
    <row r="39" spans="1:54" ht="15.75" thickBot="1" x14ac:dyDescent="0.3">
      <c r="A39" s="3">
        <f t="shared" ca="1" si="5"/>
        <v>45035</v>
      </c>
      <c r="B39" s="4" t="s">
        <v>64</v>
      </c>
      <c r="C39" s="4" t="s">
        <v>65</v>
      </c>
      <c r="D39" s="4" t="s">
        <v>66</v>
      </c>
      <c r="E39" s="4" t="s">
        <v>67</v>
      </c>
      <c r="F39" s="4">
        <f ca="1">ROUND(T_Facebook_Ads[[#This Row],[impressions]]*RANDBETWEEN(8,12)/10,0)</f>
        <v>87468</v>
      </c>
      <c r="G39" s="4">
        <v>261</v>
      </c>
      <c r="H39" s="4">
        <f ca="1">T_Facebook_Ads[[#This Row],[spend]]*RANDBETWEEN(8,12)/10</f>
        <v>77.44</v>
      </c>
      <c r="I39" s="4">
        <f ca="1">ROUND(T_Facebook_Ads[[#This Row],[conversions]]*RANDBETWEEN(8,12)/10,0)</f>
        <v>7</v>
      </c>
      <c r="J39" s="4">
        <f ca="1">ROUND(T_Facebook_Ads[[#This Row],[video_views]]*RANDBETWEEN(8,12)/10,0)</f>
        <v>54524</v>
      </c>
      <c r="K39" s="4">
        <f ca="1">T_Facebook_Ads[[#This Row],[engagement_rate]]*RANDBETWEEN(8,12)/10</f>
        <v>2.8799999999999997E-3</v>
      </c>
      <c r="L39" s="4">
        <f ca="1">ROUND(T_Facebook_Ads[[#This Row],[reach]]*RANDBETWEEN(8,12)/10,0)</f>
        <v>59123</v>
      </c>
      <c r="M39" s="4">
        <f ca="1">T_Facebook_Ads[[#This Row],[frequency]]*RANDBETWEEN(8,12)/10</f>
        <v>1.353</v>
      </c>
      <c r="O39" s="3">
        <f t="shared" ca="1" si="6"/>
        <v>45030</v>
      </c>
      <c r="P39" s="4" t="s">
        <v>88</v>
      </c>
      <c r="Q39" s="4" t="s">
        <v>89</v>
      </c>
      <c r="R39" s="4" t="s">
        <v>90</v>
      </c>
      <c r="S39" s="4" t="s">
        <v>59</v>
      </c>
      <c r="T39" s="4">
        <f ca="1">ROUND(_Google_ads[[#This Row],[impressions]]*RANDBETWEEN(8,12)/10,0)</f>
        <v>133456</v>
      </c>
      <c r="U39" s="4">
        <f ca="1">ROUND(_Google_ads[[#This Row],[clicks]]*RANDBETWEEN(8,12)/10,0)</f>
        <v>587</v>
      </c>
      <c r="V39" s="4">
        <f ca="1">_Google_ads[[#This Row],[cost]]*RANDBETWEEN(8,12)/10</f>
        <v>131.19999999999999</v>
      </c>
      <c r="W39" s="4">
        <f ca="1">ROUND(_Google_ads[[#This Row],[conversions]]*RANDBETWEEN(8,12)/10,0)</f>
        <v>11</v>
      </c>
      <c r="X39" s="4">
        <f ca="1">ROUND(_Google_ads[[#This Row],[conversion_value]]*RANDBETWEEN(8,12)/10,0)</f>
        <v>840</v>
      </c>
      <c r="Y39" s="4">
        <f ca="1">_Google_ads[[#This Row],[ctr]]*RANDBETWEEN(8,12)/10</f>
        <v>4.0699999999999998E-3</v>
      </c>
      <c r="Z39" s="4">
        <f ca="1">_Google_ads[[#This Row],[avg_cpc]]*RANDBETWEEN(8,12)/10</f>
        <v>0.24300000000000002</v>
      </c>
      <c r="AA39" s="4">
        <f ca="1">ROUND(_Google_ads[[#This Row],[quality_score]]*RANDBETWEEN(8,12)/10,0)</f>
        <v>7</v>
      </c>
      <c r="AB39" s="4">
        <f ca="1">_Google_ads[[#This Row],[search_impression_share]]*RANDBETWEEN(8,12)/10</f>
        <v>0.315</v>
      </c>
      <c r="AD39" s="3">
        <f t="shared" ca="1" si="7"/>
        <v>45020</v>
      </c>
      <c r="AE39" s="4" t="s">
        <v>112</v>
      </c>
      <c r="AF39" s="4" t="s">
        <v>113</v>
      </c>
      <c r="AG39" s="4" t="s">
        <v>114</v>
      </c>
      <c r="AH39" s="4" t="s">
        <v>115</v>
      </c>
      <c r="AI39" s="4">
        <f ca="1">ROUND(T_Tiktok_ads[[#This Row],[impressions]]*RANDBETWEEN(8,12)/10,0)</f>
        <v>398567</v>
      </c>
      <c r="AJ39" s="4">
        <f ca="1">ROUND(T_Tiktok_ads[[#This Row],[clicks]]*RANDBETWEEN(8,12)/10,0)</f>
        <v>5227</v>
      </c>
      <c r="AK39" s="4">
        <v>998.7</v>
      </c>
      <c r="AL39" s="4">
        <f ca="1">ROUND(T_Tiktok_ads[[#This Row],[conversions]]*RANDBETWEEN(8,12)/10,0)</f>
        <v>98</v>
      </c>
      <c r="AM39" s="4">
        <f ca="1">ROUND(T_Tiktok_ads[[#This Row],[video_views]]*RANDBETWEEN(8,12)/10,0)</f>
        <v>299111</v>
      </c>
      <c r="AN39" s="4">
        <f ca="1">ROUND(T_Tiktok_ads[[#This Row],[video_watch_25]]*RANDBETWEEN(8,12)/10,0)</f>
        <v>294679</v>
      </c>
      <c r="AO39" s="4">
        <f ca="1">ROUND(T_Tiktok_ads[[#This Row],[video_watch_50]]*RANDBETWEEN(8,12)/10,0)</f>
        <v>214567</v>
      </c>
      <c r="AP39" s="4">
        <f ca="1">ROUND(T_Tiktok_ads[[#This Row],[video_watch_75]]*RANDBETWEEN(8,12)/10,0)</f>
        <v>120987</v>
      </c>
      <c r="AQ39" s="4">
        <f ca="1">ROUND(T_Tiktok_ads[[#This Row],[video_watch_100]]*RANDBETWEEN(8,12)/10,0)</f>
        <v>109524</v>
      </c>
      <c r="AR39" s="4">
        <f ca="1">ROUND(T_Tiktok_ads[[#This Row],[likes]]*RANDBETWEEN(8,12)/10,0)</f>
        <v>21307</v>
      </c>
      <c r="AS39" s="4">
        <f ca="1">ROUND(T_Tiktok_ads[[#This Row],[shares]]*RANDBETWEEN(8,12)/10,0)</f>
        <v>5012</v>
      </c>
      <c r="AT39" s="4">
        <f ca="1">ROUND(T_Tiktok_ads[[#This Row],[comments]]*RANDBETWEEN(8,12)/10,0)</f>
        <v>1250</v>
      </c>
      <c r="AV39" s="5">
        <f t="shared" ca="1" si="8"/>
        <v>45018</v>
      </c>
      <c r="AW39">
        <f t="shared" ca="1" si="4"/>
        <v>3</v>
      </c>
      <c r="AX39">
        <f ca="1">ROUND(T_Facebook_Ads11596367[[#This Row],[impressions]]*RANDBETWEEN(8,12)/10,0)</f>
        <v>69974</v>
      </c>
      <c r="AY39">
        <f ca="1">ROUND(T_Facebook_Ads11596367[[#This Row],[clicks]]*RANDBETWEEN(8,12)/10,0)</f>
        <v>313</v>
      </c>
      <c r="AZ39">
        <f ca="1">T_Facebook_Ads11596367[[#This Row],[spend]]*RANDBETWEEN(8,12)/10</f>
        <v>85.183999999999997</v>
      </c>
      <c r="BA39">
        <f ca="1">ROUND(T_Facebook_Ads11596367[[#This Row],[conversions]]*RANDBETWEEN(8,12)/10,0)</f>
        <v>8</v>
      </c>
      <c r="BB39">
        <f ca="1">ROUND(T_Facebook_Ads11596367[[#This Row],[video_views]]*RANDBETWEEN(8,12)/10,0)</f>
        <v>49072</v>
      </c>
    </row>
    <row r="40" spans="1:54" ht="15.75" thickBot="1" x14ac:dyDescent="0.3">
      <c r="A40" s="3">
        <f t="shared" ca="1" si="5"/>
        <v>45020</v>
      </c>
      <c r="B40" s="4" t="s">
        <v>52</v>
      </c>
      <c r="C40" s="4" t="s">
        <v>53</v>
      </c>
      <c r="D40" s="4" t="s">
        <v>54</v>
      </c>
      <c r="E40" s="4" t="s">
        <v>55</v>
      </c>
      <c r="F40" s="4">
        <f ca="1">ROUND(T_Facebook_Ads[[#This Row],[impressions]]*RANDBETWEEN(8,12)/10,0)</f>
        <v>50814</v>
      </c>
      <c r="G40" s="4">
        <v>856</v>
      </c>
      <c r="H40" s="4">
        <f ca="1">T_Facebook_Ads[[#This Row],[spend]]*RANDBETWEEN(8,12)/10</f>
        <v>133.65</v>
      </c>
      <c r="I40" s="4">
        <f ca="1">ROUND(T_Facebook_Ads[[#This Row],[conversions]]*RANDBETWEEN(8,12)/10,0)</f>
        <v>12</v>
      </c>
      <c r="J40" s="4">
        <f ca="1">ROUND(T_Facebook_Ads[[#This Row],[video_views]]*RANDBETWEEN(8,12)/10,0)</f>
        <v>7101</v>
      </c>
      <c r="K40" s="4">
        <f ca="1">T_Facebook_Ads[[#This Row],[engagement_rate]]*RANDBETWEEN(8,12)/10</f>
        <v>1.6160000000000001E-2</v>
      </c>
      <c r="L40" s="4">
        <f ca="1">ROUND(T_Facebook_Ads[[#This Row],[reach]]*RANDBETWEEN(8,12)/10,0)</f>
        <v>28542</v>
      </c>
      <c r="M40" s="4">
        <f ca="1">T_Facebook_Ads[[#This Row],[frequency]]*RANDBETWEEN(8,12)/10</f>
        <v>0.95199999999999996</v>
      </c>
      <c r="O40" s="3">
        <f t="shared" ca="1" si="6"/>
        <v>45040</v>
      </c>
      <c r="P40" s="4" t="s">
        <v>76</v>
      </c>
      <c r="Q40" s="4" t="s">
        <v>77</v>
      </c>
      <c r="R40" s="4" t="s">
        <v>78</v>
      </c>
      <c r="S40" s="4" t="s">
        <v>79</v>
      </c>
      <c r="T40" s="4">
        <f ca="1">ROUND(_Google_ads[[#This Row],[impressions]]*RANDBETWEEN(8,12)/10,0)</f>
        <v>24702</v>
      </c>
      <c r="U40" s="4">
        <f ca="1">ROUND(_Google_ads[[#This Row],[clicks]]*RANDBETWEEN(8,12)/10,0)</f>
        <v>925</v>
      </c>
      <c r="V40" s="4">
        <f ca="1">_Google_ads[[#This Row],[cost]]*RANDBETWEEN(8,12)/10</f>
        <v>176.32</v>
      </c>
      <c r="W40" s="4">
        <f ca="1">ROUND(_Google_ads[[#This Row],[conversions]]*RANDBETWEEN(8,12)/10,0)</f>
        <v>47</v>
      </c>
      <c r="X40" s="4">
        <f ca="1">ROUND(_Google_ads[[#This Row],[conversion_value]]*RANDBETWEEN(8,12)/10,0)</f>
        <v>1935</v>
      </c>
      <c r="Y40" s="4">
        <f ca="1">_Google_ads[[#This Row],[ctr]]*RANDBETWEEN(8,12)/10</f>
        <v>5.6649999999999999E-2</v>
      </c>
      <c r="Z40" s="4">
        <f ca="1">_Google_ads[[#This Row],[avg_cpc]]*RANDBETWEEN(8,12)/10</f>
        <v>0.22800000000000004</v>
      </c>
      <c r="AA40" s="4">
        <f ca="1">ROUND(_Google_ads[[#This Row],[quality_score]]*RANDBETWEEN(8,12)/10,0)</f>
        <v>9</v>
      </c>
      <c r="AB40" s="4">
        <f ca="1">_Google_ads[[#This Row],[search_impression_share]]*RANDBETWEEN(8,12)/10</f>
        <v>0.72</v>
      </c>
      <c r="AD40" s="3">
        <f t="shared" ca="1" si="7"/>
        <v>45027</v>
      </c>
      <c r="AE40" s="4" t="s">
        <v>100</v>
      </c>
      <c r="AF40" s="4" t="s">
        <v>101</v>
      </c>
      <c r="AG40" s="4" t="s">
        <v>102</v>
      </c>
      <c r="AH40" s="4" t="s">
        <v>103</v>
      </c>
      <c r="AI40" s="4">
        <f ca="1">ROUND(T_Tiktok_ads[[#This Row],[impressions]]*RANDBETWEEN(8,12)/10,0)</f>
        <v>187654</v>
      </c>
      <c r="AJ40" s="4">
        <f ca="1">ROUND(T_Tiktok_ads[[#This Row],[clicks]]*RANDBETWEEN(8,12)/10,0)</f>
        <v>4147</v>
      </c>
      <c r="AK40" s="4">
        <v>456.7</v>
      </c>
      <c r="AL40" s="4">
        <f ca="1">ROUND(T_Tiktok_ads[[#This Row],[conversions]]*RANDBETWEEN(8,12)/10,0)</f>
        <v>41</v>
      </c>
      <c r="AM40" s="4">
        <f ca="1">ROUND(T_Tiktok_ads[[#This Row],[video_views]]*RANDBETWEEN(8,12)/10,0)</f>
        <v>198234</v>
      </c>
      <c r="AN40" s="4">
        <f ca="1">ROUND(T_Tiktok_ads[[#This Row],[video_watch_25]]*RANDBETWEEN(8,12)/10,0)</f>
        <v>124987</v>
      </c>
      <c r="AO40" s="4">
        <f ca="1">ROUND(T_Tiktok_ads[[#This Row],[video_watch_50]]*RANDBETWEEN(8,12)/10,0)</f>
        <v>98234</v>
      </c>
      <c r="AP40" s="4">
        <f ca="1">ROUND(T_Tiktok_ads[[#This Row],[video_watch_75]]*RANDBETWEEN(8,12)/10,0)</f>
        <v>80681</v>
      </c>
      <c r="AQ40" s="4">
        <f ca="1">ROUND(T_Tiktok_ads[[#This Row],[video_watch_100]]*RANDBETWEEN(8,12)/10,0)</f>
        <v>45234</v>
      </c>
      <c r="AR40" s="4">
        <f ca="1">ROUND(T_Tiktok_ads[[#This Row],[likes]]*RANDBETWEEN(8,12)/10,0)</f>
        <v>8923</v>
      </c>
      <c r="AS40" s="4">
        <f ca="1">ROUND(T_Tiktok_ads[[#This Row],[shares]]*RANDBETWEEN(8,12)/10,0)</f>
        <v>2111</v>
      </c>
      <c r="AT40" s="4">
        <f ca="1">ROUND(T_Tiktok_ads[[#This Row],[comments]]*RANDBETWEEN(8,12)/10,0)</f>
        <v>567</v>
      </c>
      <c r="AV40" s="5">
        <f t="shared" ca="1" si="8"/>
        <v>45038</v>
      </c>
      <c r="AW40">
        <f t="shared" ca="1" si="4"/>
        <v>3</v>
      </c>
      <c r="AX40">
        <f ca="1">ROUND(T_Facebook_Ads11596367[[#This Row],[impressions]]*RANDBETWEEN(8,12)/10,0)</f>
        <v>40651</v>
      </c>
      <c r="AY40">
        <f ca="1">ROUND(T_Facebook_Ads11596367[[#This Row],[clicks]]*RANDBETWEEN(8,12)/10,0)</f>
        <v>770</v>
      </c>
      <c r="AZ40">
        <f ca="1">T_Facebook_Ads11596367[[#This Row],[spend]]*RANDBETWEEN(8,12)/10</f>
        <v>120.28500000000001</v>
      </c>
      <c r="BA40">
        <f ca="1">ROUND(T_Facebook_Ads11596367[[#This Row],[conversions]]*RANDBETWEEN(8,12)/10,0)</f>
        <v>11</v>
      </c>
      <c r="BB40">
        <f ca="1">ROUND(T_Facebook_Ads11596367[[#This Row],[video_views]]*RANDBETWEEN(8,12)/10,0)</f>
        <v>5681</v>
      </c>
    </row>
    <row r="41" spans="1:54" ht="15.75" thickBot="1" x14ac:dyDescent="0.3">
      <c r="A41" s="3">
        <f t="shared" ca="1" si="5"/>
        <v>45046</v>
      </c>
      <c r="B41" s="4" t="s">
        <v>56</v>
      </c>
      <c r="C41" s="4" t="s">
        <v>57</v>
      </c>
      <c r="D41" s="4" t="s">
        <v>58</v>
      </c>
      <c r="E41" s="4" t="s">
        <v>59</v>
      </c>
      <c r="F41" s="4">
        <f ca="1">ROUND(T_Facebook_Ads[[#This Row],[impressions]]*RANDBETWEEN(8,12)/10,0)</f>
        <v>13481</v>
      </c>
      <c r="G41" s="4">
        <v>523</v>
      </c>
      <c r="H41" s="4">
        <f ca="1">T_Facebook_Ads[[#This Row],[spend]]*RANDBETWEEN(8,12)/10</f>
        <v>198.6</v>
      </c>
      <c r="I41" s="4">
        <f ca="1">ROUND(T_Facebook_Ads[[#This Row],[conversions]]*RANDBETWEEN(8,12)/10,0)</f>
        <v>26</v>
      </c>
      <c r="J41" s="4">
        <f ca="1">ROUND(T_Facebook_Ads[[#This Row],[video_views]]*RANDBETWEEN(8,12)/10,0)</f>
        <v>1011</v>
      </c>
      <c r="K41" s="4">
        <f ca="1">T_Facebook_Ads[[#This Row],[engagement_rate]]*RANDBETWEEN(8,12)/10</f>
        <v>3.7280000000000001E-2</v>
      </c>
      <c r="L41" s="4">
        <f ca="1">ROUND(T_Facebook_Ads[[#This Row],[reach]]*RANDBETWEEN(8,12)/10,0)</f>
        <v>8011</v>
      </c>
      <c r="M41" s="4">
        <f ca="1">T_Facebook_Ads[[#This Row],[frequency]]*RANDBETWEEN(8,12)/10</f>
        <v>1.016</v>
      </c>
      <c r="O41" s="3">
        <f t="shared" ca="1" si="6"/>
        <v>45044</v>
      </c>
      <c r="P41" s="4" t="s">
        <v>80</v>
      </c>
      <c r="Q41" s="4" t="s">
        <v>81</v>
      </c>
      <c r="R41" s="4" t="s">
        <v>82</v>
      </c>
      <c r="S41" s="4" t="s">
        <v>83</v>
      </c>
      <c r="T41" s="4">
        <f ca="1">ROUND(_Google_ads[[#This Row],[impressions]]*RANDBETWEEN(8,12)/10,0)</f>
        <v>32987</v>
      </c>
      <c r="U41" s="4">
        <f ca="1">ROUND(_Google_ads[[#This Row],[clicks]]*RANDBETWEEN(8,12)/10,0)</f>
        <v>658</v>
      </c>
      <c r="V41" s="4">
        <f ca="1">_Google_ads[[#This Row],[cost]]*RANDBETWEEN(8,12)/10</f>
        <v>634.67999999999995</v>
      </c>
      <c r="W41" s="4">
        <f ca="1">ROUND(_Google_ads[[#This Row],[conversions]]*RANDBETWEEN(8,12)/10,0)</f>
        <v>17</v>
      </c>
      <c r="X41" s="4">
        <f ca="1">ROUND(_Google_ads[[#This Row],[conversion_value]]*RANDBETWEEN(8,12)/10,0)</f>
        <v>1050</v>
      </c>
      <c r="Y41" s="4">
        <f ca="1">_Google_ads[[#This Row],[ctr]]*RANDBETWEEN(8,12)/10</f>
        <v>2.4E-2</v>
      </c>
      <c r="Z41" s="4">
        <f ca="1">_Google_ads[[#This Row],[avg_cpc]]*RANDBETWEEN(8,12)/10</f>
        <v>0.51200000000000001</v>
      </c>
      <c r="AA41" s="4">
        <f ca="1">ROUND(_Google_ads[[#This Row],[quality_score]]*RANDBETWEEN(8,12)/10,0)</f>
        <v>5</v>
      </c>
      <c r="AB41" s="4">
        <f ca="1">_Google_ads[[#This Row],[search_impression_share]]*RANDBETWEEN(8,12)/10</f>
        <v>0.47299999999999998</v>
      </c>
      <c r="AD41" s="3">
        <f t="shared" ca="1" si="7"/>
        <v>45028</v>
      </c>
      <c r="AE41" s="4" t="s">
        <v>104</v>
      </c>
      <c r="AF41" s="4" t="s">
        <v>105</v>
      </c>
      <c r="AG41" s="4" t="s">
        <v>106</v>
      </c>
      <c r="AH41" s="4" t="s">
        <v>107</v>
      </c>
      <c r="AI41" s="4">
        <f ca="1">ROUND(T_Tiktok_ads[[#This Row],[impressions]]*RANDBETWEEN(8,12)/10,0)</f>
        <v>161480</v>
      </c>
      <c r="AJ41" s="4">
        <f ca="1">ROUND(T_Tiktok_ads[[#This Row],[clicks]]*RANDBETWEEN(8,12)/10,0)</f>
        <v>2054</v>
      </c>
      <c r="AK41" s="4">
        <v>712.3</v>
      </c>
      <c r="AL41" s="4">
        <f ca="1">ROUND(T_Tiktok_ads[[#This Row],[conversions]]*RANDBETWEEN(8,12)/10,0)</f>
        <v>85</v>
      </c>
      <c r="AM41" s="4">
        <f ca="1">ROUND(T_Tiktok_ads[[#This Row],[video_views]]*RANDBETWEEN(8,12)/10,0)</f>
        <v>86110</v>
      </c>
      <c r="AN41" s="4">
        <f ca="1">ROUND(T_Tiktok_ads[[#This Row],[video_watch_25]]*RANDBETWEEN(8,12)/10,0)</f>
        <v>64111</v>
      </c>
      <c r="AO41" s="4">
        <f ca="1">ROUND(T_Tiktok_ads[[#This Row],[video_watch_50]]*RANDBETWEEN(8,12)/10,0)</f>
        <v>38587</v>
      </c>
      <c r="AP41" s="4">
        <f ca="1">ROUND(T_Tiktok_ads[[#This Row],[video_watch_75]]*RANDBETWEEN(8,12)/10,0)</f>
        <v>39857</v>
      </c>
      <c r="AQ41" s="4">
        <f ca="1">ROUND(T_Tiktok_ads[[#This Row],[video_watch_100]]*RANDBETWEEN(8,12)/10,0)</f>
        <v>27024</v>
      </c>
      <c r="AR41" s="4">
        <f ca="1">ROUND(T_Tiktok_ads[[#This Row],[likes]]*RANDBETWEEN(8,12)/10,0)</f>
        <v>5747</v>
      </c>
      <c r="AS41" s="4">
        <f ca="1">ROUND(T_Tiktok_ads[[#This Row],[shares]]*RANDBETWEEN(8,12)/10,0)</f>
        <v>1614</v>
      </c>
      <c r="AT41" s="4">
        <f ca="1">ROUND(T_Tiktok_ads[[#This Row],[comments]]*RANDBETWEEN(8,12)/10,0)</f>
        <v>294</v>
      </c>
      <c r="AV41" s="5">
        <f t="shared" ca="1" si="8"/>
        <v>45044</v>
      </c>
      <c r="AW41">
        <f t="shared" ca="1" si="4"/>
        <v>2</v>
      </c>
      <c r="AX41">
        <f ca="1">ROUND(T_Facebook_Ads11596367[[#This Row],[impressions]]*RANDBETWEEN(8,12)/10,0)</f>
        <v>14829</v>
      </c>
      <c r="AY41">
        <f ca="1">ROUND(T_Facebook_Ads11596367[[#This Row],[clicks]]*RANDBETWEEN(8,12)/10,0)</f>
        <v>418</v>
      </c>
      <c r="AZ41">
        <f ca="1">T_Facebook_Ads11596367[[#This Row],[spend]]*RANDBETWEEN(8,12)/10</f>
        <v>158.88</v>
      </c>
      <c r="BA41">
        <f ca="1">ROUND(T_Facebook_Ads11596367[[#This Row],[conversions]]*RANDBETWEEN(8,12)/10,0)</f>
        <v>31</v>
      </c>
      <c r="BB41">
        <f ca="1">ROUND(T_Facebook_Ads11596367[[#This Row],[video_views]]*RANDBETWEEN(8,12)/10,0)</f>
        <v>809</v>
      </c>
    </row>
    <row r="42" spans="1:54" ht="15.75" thickBot="1" x14ac:dyDescent="0.3">
      <c r="A42" s="3">
        <f t="shared" ca="1" si="5"/>
        <v>45038</v>
      </c>
      <c r="B42" s="4" t="s">
        <v>60</v>
      </c>
      <c r="C42" s="4" t="s">
        <v>61</v>
      </c>
      <c r="D42" s="4" t="s">
        <v>62</v>
      </c>
      <c r="E42" s="4" t="s">
        <v>63</v>
      </c>
      <c r="F42" s="4">
        <f ca="1">ROUND(T_Facebook_Ads[[#This Row],[impressions]]*RANDBETWEEN(8,12)/10,0)</f>
        <v>33456</v>
      </c>
      <c r="G42" s="4">
        <v>1203</v>
      </c>
      <c r="H42" s="4">
        <f ca="1">T_Facebook_Ads[[#This Row],[spend]]*RANDBETWEEN(8,12)/10</f>
        <v>166.77</v>
      </c>
      <c r="I42" s="4">
        <f ca="1">ROUND(T_Facebook_Ads[[#This Row],[conversions]]*RANDBETWEEN(8,12)/10,0)</f>
        <v>23</v>
      </c>
      <c r="J42" s="4">
        <f ca="1">ROUND(T_Facebook_Ads[[#This Row],[video_views]]*RANDBETWEEN(8,12)/10,0)</f>
        <v>3387</v>
      </c>
      <c r="K42" s="4">
        <f ca="1">T_Facebook_Ads[[#This Row],[engagement_rate]]*RANDBETWEEN(8,12)/10</f>
        <v>3.2399999999999998E-2</v>
      </c>
      <c r="L42" s="4">
        <f ca="1">ROUND(T_Facebook_Ads[[#This Row],[reach]]*RANDBETWEEN(8,12)/10,0)</f>
        <v>30679</v>
      </c>
      <c r="M42" s="4">
        <f ca="1">T_Facebook_Ads[[#This Row],[frequency]]*RANDBETWEEN(8,12)/10</f>
        <v>1.0799999999999998</v>
      </c>
      <c r="O42" s="3">
        <f t="shared" ca="1" si="6"/>
        <v>45026</v>
      </c>
      <c r="P42" s="4" t="s">
        <v>84</v>
      </c>
      <c r="Q42" s="4" t="s">
        <v>85</v>
      </c>
      <c r="R42" s="4" t="s">
        <v>86</v>
      </c>
      <c r="S42" s="4" t="s">
        <v>87</v>
      </c>
      <c r="T42" s="4">
        <f ca="1">ROUND(_Google_ads[[#This Row],[impressions]]*RANDBETWEEN(8,12)/10,0)</f>
        <v>63456</v>
      </c>
      <c r="U42" s="4">
        <f ca="1">ROUND(_Google_ads[[#This Row],[clicks]]*RANDBETWEEN(8,12)/10,0)</f>
        <v>2507</v>
      </c>
      <c r="V42" s="4">
        <f ca="1">_Google_ads[[#This Row],[cost]]*RANDBETWEEN(8,12)/10</f>
        <v>459.12000000000006</v>
      </c>
      <c r="W42" s="4">
        <f ca="1">ROUND(_Google_ads[[#This Row],[conversions]]*RANDBETWEEN(8,12)/10,0)</f>
        <v>54</v>
      </c>
      <c r="X42" s="4">
        <f ca="1">ROUND(_Google_ads[[#This Row],[conversion_value]]*RANDBETWEEN(8,12)/10,0)</f>
        <v>3600</v>
      </c>
      <c r="Y42" s="4">
        <f ca="1">_Google_ads[[#This Row],[ctr]]*RANDBETWEEN(8,12)/10</f>
        <v>2.9609999999999997E-2</v>
      </c>
      <c r="Z42" s="4">
        <f ca="1">_Google_ads[[#This Row],[avg_cpc]]*RANDBETWEEN(8,12)/10</f>
        <v>0.18</v>
      </c>
      <c r="AA42" s="4">
        <f ca="1">ROUND(_Google_ads[[#This Row],[quality_score]]*RANDBETWEEN(8,12)/10,0)</f>
        <v>9</v>
      </c>
      <c r="AB42" s="4">
        <f ca="1">_Google_ads[[#This Row],[search_impression_share]]*RANDBETWEEN(8,12)/10</f>
        <v>0.58500000000000008</v>
      </c>
      <c r="AD42" s="3">
        <f t="shared" ca="1" si="7"/>
        <v>45046</v>
      </c>
      <c r="AE42" s="4" t="s">
        <v>108</v>
      </c>
      <c r="AF42" s="4" t="s">
        <v>109</v>
      </c>
      <c r="AG42" s="4" t="s">
        <v>110</v>
      </c>
      <c r="AH42" s="4" t="s">
        <v>111</v>
      </c>
      <c r="AI42" s="4">
        <f ca="1">ROUND(T_Tiktok_ads[[#This Row],[impressions]]*RANDBETWEEN(8,12)/10,0)</f>
        <v>181111</v>
      </c>
      <c r="AJ42" s="4">
        <f ca="1">ROUND(T_Tiktok_ads[[#This Row],[clicks]]*RANDBETWEEN(8,12)/10,0)</f>
        <v>3123</v>
      </c>
      <c r="AK42" s="4">
        <v>374.5</v>
      </c>
      <c r="AL42" s="4">
        <f ca="1">ROUND(T_Tiktok_ads[[#This Row],[conversions]]*RANDBETWEEN(8,12)/10,0)</f>
        <v>21</v>
      </c>
      <c r="AM42" s="4">
        <f ca="1">ROUND(T_Tiktok_ads[[#This Row],[video_views]]*RANDBETWEEN(8,12)/10,0)</f>
        <v>142101</v>
      </c>
      <c r="AN42" s="4">
        <f ca="1">ROUND(T_Tiktok_ads[[#This Row],[video_watch_25]]*RANDBETWEEN(8,12)/10,0)</f>
        <v>145481</v>
      </c>
      <c r="AO42" s="4">
        <f ca="1">ROUND(T_Tiktok_ads[[#This Row],[video_watch_50]]*RANDBETWEEN(8,12)/10,0)</f>
        <v>105857</v>
      </c>
      <c r="AP42" s="4">
        <f ca="1">ROUND(T_Tiktok_ads[[#This Row],[video_watch_75]]*RANDBETWEEN(8,12)/10,0)</f>
        <v>61234</v>
      </c>
      <c r="AQ42" s="4">
        <f ca="1">ROUND(T_Tiktok_ads[[#This Row],[video_watch_100]]*RANDBETWEEN(8,12)/10,0)</f>
        <v>33710</v>
      </c>
      <c r="AR42" s="4">
        <f ca="1">ROUND(T_Tiktok_ads[[#This Row],[likes]]*RANDBETWEEN(8,12)/10,0)</f>
        <v>5876</v>
      </c>
      <c r="AS42" s="4">
        <f ca="1">ROUND(T_Tiktok_ads[[#This Row],[shares]]*RANDBETWEEN(8,12)/10,0)</f>
        <v>2237</v>
      </c>
      <c r="AT42" s="4">
        <f ca="1">ROUND(T_Tiktok_ads[[#This Row],[comments]]*RANDBETWEEN(8,12)/10,0)</f>
        <v>489</v>
      </c>
      <c r="AV42" s="5">
        <f t="shared" ca="1" si="8"/>
        <v>45045</v>
      </c>
      <c r="AW42">
        <f t="shared" ca="1" si="4"/>
        <v>3</v>
      </c>
      <c r="AX42">
        <f ca="1">ROUND(T_Facebook_Ads11596367[[#This Row],[impressions]]*RANDBETWEEN(8,12)/10,0)</f>
        <v>33456</v>
      </c>
      <c r="AY42">
        <f ca="1">ROUND(T_Facebook_Ads11596367[[#This Row],[clicks]]*RANDBETWEEN(8,12)/10,0)</f>
        <v>1083</v>
      </c>
      <c r="AZ42">
        <f ca="1">T_Facebook_Ads11596367[[#This Row],[spend]]*RANDBETWEEN(8,12)/10</f>
        <v>166.77</v>
      </c>
      <c r="BA42">
        <f ca="1">ROUND(T_Facebook_Ads11596367[[#This Row],[conversions]]*RANDBETWEEN(8,12)/10,0)</f>
        <v>23</v>
      </c>
      <c r="BB42">
        <f ca="1">ROUND(T_Facebook_Ads11596367[[#This Row],[video_views]]*RANDBETWEEN(8,12)/10,0)</f>
        <v>2710</v>
      </c>
    </row>
    <row r="43" spans="1:54" ht="15.75" thickBot="1" x14ac:dyDescent="0.3">
      <c r="A43" s="3">
        <f t="shared" ca="1" si="5"/>
        <v>45026</v>
      </c>
      <c r="B43" s="4" t="s">
        <v>64</v>
      </c>
      <c r="C43" s="4" t="s">
        <v>65</v>
      </c>
      <c r="D43" s="4" t="s">
        <v>66</v>
      </c>
      <c r="E43" s="4" t="s">
        <v>67</v>
      </c>
      <c r="F43" s="4">
        <f ca="1">ROUND(T_Facebook_Ads[[#This Row],[impressions]]*RANDBETWEEN(8,12)/10,0)</f>
        <v>77480</v>
      </c>
      <c r="G43" s="4">
        <v>238</v>
      </c>
      <c r="H43" s="4">
        <f ca="1">T_Facebook_Ads[[#This Row],[spend]]*RANDBETWEEN(8,12)/10</f>
        <v>83.4</v>
      </c>
      <c r="I43" s="4">
        <f ca="1">ROUND(T_Facebook_Ads[[#This Row],[conversions]]*RANDBETWEEN(8,12)/10,0)</f>
        <v>6</v>
      </c>
      <c r="J43" s="4">
        <f ca="1">ROUND(T_Facebook_Ads[[#This Row],[video_views]]*RANDBETWEEN(8,12)/10,0)</f>
        <v>47557</v>
      </c>
      <c r="K43" s="4">
        <f ca="1">T_Facebook_Ads[[#This Row],[engagement_rate]]*RANDBETWEEN(8,12)/10</f>
        <v>3.3300000000000005E-3</v>
      </c>
      <c r="L43" s="4">
        <f ca="1">ROUND(T_Facebook_Ads[[#This Row],[reach]]*RANDBETWEEN(8,12)/10,0)</f>
        <v>58179</v>
      </c>
      <c r="M43" s="4">
        <f ca="1">T_Facebook_Ads[[#This Row],[frequency]]*RANDBETWEEN(8,12)/10</f>
        <v>1.3420000000000001</v>
      </c>
      <c r="O43" s="3">
        <f t="shared" ca="1" si="6"/>
        <v>45019</v>
      </c>
      <c r="P43" s="4" t="s">
        <v>88</v>
      </c>
      <c r="Q43" s="4" t="s">
        <v>89</v>
      </c>
      <c r="R43" s="4" t="s">
        <v>90</v>
      </c>
      <c r="S43" s="4" t="s">
        <v>59</v>
      </c>
      <c r="T43" s="4">
        <f ca="1">ROUND(_Google_ads[[#This Row],[impressions]]*RANDBETWEEN(8,12)/10,0)</f>
        <v>95387</v>
      </c>
      <c r="U43" s="4">
        <f ca="1">ROUND(_Google_ads[[#This Row],[clicks]]*RANDBETWEEN(8,12)/10,0)</f>
        <v>477</v>
      </c>
      <c r="V43" s="4">
        <f ca="1">_Google_ads[[#This Row],[cost]]*RANDBETWEEN(8,12)/10</f>
        <v>128.47999999999999</v>
      </c>
      <c r="W43" s="4">
        <f ca="1">ROUND(_Google_ads[[#This Row],[conversions]]*RANDBETWEEN(8,12)/10,0)</f>
        <v>13</v>
      </c>
      <c r="X43" s="4">
        <f ca="1">ROUND(_Google_ads[[#This Row],[conversion_value]]*RANDBETWEEN(8,12)/10,0)</f>
        <v>540</v>
      </c>
      <c r="Y43" s="4">
        <f ca="1">_Google_ads[[#This Row],[ctr]]*RANDBETWEEN(8,12)/10</f>
        <v>3.2399999999999998E-3</v>
      </c>
      <c r="Z43" s="4">
        <f ca="1">_Google_ads[[#This Row],[avg_cpc]]*RANDBETWEEN(8,12)/10</f>
        <v>0.21600000000000003</v>
      </c>
      <c r="AA43" s="4">
        <f ca="1">ROUND(_Google_ads[[#This Row],[quality_score]]*RANDBETWEEN(8,12)/10,0)</f>
        <v>6</v>
      </c>
      <c r="AB43" s="4">
        <f ca="1">_Google_ads[[#This Row],[search_impression_share]]*RANDBETWEEN(8,12)/10</f>
        <v>0.26400000000000001</v>
      </c>
      <c r="AD43" s="3">
        <f t="shared" ca="1" si="7"/>
        <v>45042</v>
      </c>
      <c r="AE43" s="4" t="s">
        <v>112</v>
      </c>
      <c r="AF43" s="4" t="s">
        <v>113</v>
      </c>
      <c r="AG43" s="4" t="s">
        <v>114</v>
      </c>
      <c r="AH43" s="4" t="s">
        <v>115</v>
      </c>
      <c r="AI43" s="4">
        <f ca="1">ROUND(T_Tiktok_ads[[#This Row],[impressions]]*RANDBETWEEN(8,12)/10,0)</f>
        <v>331101</v>
      </c>
      <c r="AJ43" s="4">
        <f ca="1">ROUND(T_Tiktok_ads[[#This Row],[clicks]]*RANDBETWEEN(8,12)/10,0)</f>
        <v>6012</v>
      </c>
      <c r="AK43" s="4">
        <v>923.4</v>
      </c>
      <c r="AL43" s="4">
        <f ca="1">ROUND(T_Tiktok_ads[[#This Row],[conversions]]*RANDBETWEEN(8,12)/10,0)</f>
        <v>103</v>
      </c>
      <c r="AM43" s="4">
        <f ca="1">ROUND(T_Tiktok_ads[[#This Row],[video_views]]*RANDBETWEEN(8,12)/10,0)</f>
        <v>361481</v>
      </c>
      <c r="AN43" s="4">
        <f ca="1">ROUND(T_Tiktok_ads[[#This Row],[video_watch_25]]*RANDBETWEEN(8,12)/10,0)</f>
        <v>221110</v>
      </c>
      <c r="AO43" s="4">
        <f ca="1">ROUND(T_Tiktok_ads[[#This Row],[video_watch_50]]*RANDBETWEEN(8,12)/10,0)</f>
        <v>196789</v>
      </c>
      <c r="AP43" s="4">
        <f ca="1">ROUND(T_Tiktok_ads[[#This Row],[video_watch_75]]*RANDBETWEEN(8,12)/10,0)</f>
        <v>168281</v>
      </c>
      <c r="AQ43" s="4">
        <f ca="1">ROUND(T_Tiktok_ads[[#This Row],[video_watch_100]]*RANDBETWEEN(8,12)/10,0)</f>
        <v>74765</v>
      </c>
      <c r="AR43" s="4">
        <f ca="1">ROUND(T_Tiktok_ads[[#This Row],[likes]]*RANDBETWEEN(8,12)/10,0)</f>
        <v>16234</v>
      </c>
      <c r="AS43" s="4">
        <f ca="1">ROUND(T_Tiktok_ads[[#This Row],[shares]]*RANDBETWEEN(8,12)/10,0)</f>
        <v>5747</v>
      </c>
      <c r="AT43" s="4">
        <f ca="1">ROUND(T_Tiktok_ads[[#This Row],[comments]]*RANDBETWEEN(8,12)/10,0)</f>
        <v>1160</v>
      </c>
      <c r="AV43" s="5">
        <f t="shared" ca="1" si="8"/>
        <v>45033</v>
      </c>
      <c r="AW43">
        <f t="shared" ca="1" si="4"/>
        <v>5</v>
      </c>
      <c r="AX43">
        <f ca="1">ROUND(T_Facebook_Ads11596367[[#This Row],[impressions]]*RANDBETWEEN(8,12)/10,0)</f>
        <v>85228</v>
      </c>
      <c r="AY43">
        <f ca="1">ROUND(T_Facebook_Ads11596367[[#This Row],[clicks]]*RANDBETWEEN(8,12)/10,0)</f>
        <v>214</v>
      </c>
      <c r="AZ43">
        <f ca="1">T_Facebook_Ads11596367[[#This Row],[spend]]*RANDBETWEEN(8,12)/10</f>
        <v>66.72</v>
      </c>
      <c r="BA43">
        <f ca="1">ROUND(T_Facebook_Ads11596367[[#This Row],[conversions]]*RANDBETWEEN(8,12)/10,0)</f>
        <v>5</v>
      </c>
      <c r="BB43">
        <f ca="1">ROUND(T_Facebook_Ads11596367[[#This Row],[video_views]]*RANDBETWEEN(8,12)/10,0)</f>
        <v>42801</v>
      </c>
    </row>
    <row r="44" spans="1:54" ht="15.75" thickBot="1" x14ac:dyDescent="0.3">
      <c r="A44" s="3">
        <f t="shared" ca="1" si="5"/>
        <v>45033</v>
      </c>
      <c r="B44" s="4" t="s">
        <v>52</v>
      </c>
      <c r="C44" s="4" t="s">
        <v>53</v>
      </c>
      <c r="D44" s="4" t="s">
        <v>54</v>
      </c>
      <c r="E44" s="4" t="s">
        <v>55</v>
      </c>
      <c r="F44" s="4">
        <f ca="1">ROUND(T_Facebook_Ads[[#This Row],[impressions]]*RANDBETWEEN(8,12)/10,0)</f>
        <v>40123</v>
      </c>
      <c r="G44" s="4">
        <v>798</v>
      </c>
      <c r="H44" s="4">
        <f ca="1">T_Facebook_Ads[[#This Row],[spend]]*RANDBETWEEN(8,12)/10</f>
        <v>126.17</v>
      </c>
      <c r="I44" s="4">
        <f ca="1">ROUND(T_Facebook_Ads[[#This Row],[conversions]]*RANDBETWEEN(8,12)/10,0)</f>
        <v>11</v>
      </c>
      <c r="J44" s="4">
        <f ca="1">ROUND(T_Facebook_Ads[[#This Row],[video_views]]*RANDBETWEEN(8,12)/10,0)</f>
        <v>6611</v>
      </c>
      <c r="K44" s="4">
        <f ca="1">T_Facebook_Ads[[#This Row],[engagement_rate]]*RANDBETWEEN(8,12)/10</f>
        <v>1.592E-2</v>
      </c>
      <c r="L44" s="4">
        <f ca="1">ROUND(T_Facebook_Ads[[#This Row],[reach]]*RANDBETWEEN(8,12)/10,0)</f>
        <v>33456</v>
      </c>
      <c r="M44" s="4">
        <f ca="1">T_Facebook_Ads[[#This Row],[frequency]]*RANDBETWEEN(8,12)/10</f>
        <v>1.3199999999999998</v>
      </c>
      <c r="O44" s="3">
        <f t="shared" ca="1" si="6"/>
        <v>45024</v>
      </c>
      <c r="P44" s="4" t="s">
        <v>76</v>
      </c>
      <c r="Q44" s="4" t="s">
        <v>77</v>
      </c>
      <c r="R44" s="4" t="s">
        <v>78</v>
      </c>
      <c r="S44" s="4" t="s">
        <v>79</v>
      </c>
      <c r="T44" s="4">
        <f ca="1">ROUND(_Google_ads[[#This Row],[impressions]]*RANDBETWEEN(8,12)/10,0)</f>
        <v>19111</v>
      </c>
      <c r="U44" s="4">
        <f ca="1">ROUND(_Google_ads[[#This Row],[clicks]]*RANDBETWEEN(8,12)/10,0)</f>
        <v>1307</v>
      </c>
      <c r="V44" s="4">
        <f ca="1">_Google_ads[[#This Row],[cost]]*RANDBETWEEN(8,12)/10</f>
        <v>187.02</v>
      </c>
      <c r="W44" s="4">
        <f ca="1">ROUND(_Google_ads[[#This Row],[conversions]]*RANDBETWEEN(8,12)/10,0)</f>
        <v>37</v>
      </c>
      <c r="X44" s="4">
        <f ca="1">ROUND(_Google_ads[[#This Row],[conversion_value]]*RANDBETWEEN(8,12)/10,0)</f>
        <v>1640</v>
      </c>
      <c r="Y44" s="4">
        <f ca="1">_Google_ads[[#This Row],[ctr]]*RANDBETWEEN(8,12)/10</f>
        <v>4.6170000000000003E-2</v>
      </c>
      <c r="Z44" s="4">
        <f ca="1">_Google_ads[[#This Row],[avg_cpc]]*RANDBETWEEN(8,12)/10</f>
        <v>0.17099999999999999</v>
      </c>
      <c r="AA44" s="4">
        <f ca="1">ROUND(_Google_ads[[#This Row],[quality_score]]*RANDBETWEEN(8,12)/10,0)</f>
        <v>10</v>
      </c>
      <c r="AB44" s="4">
        <f ca="1">_Google_ads[[#This Row],[search_impression_share]]*RANDBETWEEN(8,12)/10</f>
        <v>0.89</v>
      </c>
      <c r="AD44" s="3">
        <f t="shared" ca="1" si="7"/>
        <v>45026</v>
      </c>
      <c r="AE44" s="4" t="s">
        <v>100</v>
      </c>
      <c r="AF44" s="4" t="s">
        <v>101</v>
      </c>
      <c r="AG44" s="4" t="s">
        <v>102</v>
      </c>
      <c r="AH44" s="4" t="s">
        <v>103</v>
      </c>
      <c r="AI44" s="4">
        <f ca="1">ROUND(T_Tiktok_ads[[#This Row],[impressions]]*RANDBETWEEN(8,12)/10,0)</f>
        <v>268147</v>
      </c>
      <c r="AJ44" s="4">
        <f ca="1">ROUND(T_Tiktok_ads[[#This Row],[clicks]]*RANDBETWEEN(8,12)/10,0)</f>
        <v>3234</v>
      </c>
      <c r="AK44" s="4">
        <v>434.5</v>
      </c>
      <c r="AL44" s="4">
        <f ca="1">ROUND(T_Tiktok_ads[[#This Row],[conversions]]*RANDBETWEEN(8,12)/10,0)</f>
        <v>29</v>
      </c>
      <c r="AM44" s="4">
        <f ca="1">ROUND(T_Tiktok_ads[[#This Row],[video_views]]*RANDBETWEEN(8,12)/10,0)</f>
        <v>227081</v>
      </c>
      <c r="AN44" s="4">
        <f ca="1">ROUND(T_Tiktok_ads[[#This Row],[video_watch_25]]*RANDBETWEEN(8,12)/10,0)</f>
        <v>133411</v>
      </c>
      <c r="AO44" s="4">
        <f ca="1">ROUND(T_Tiktok_ads[[#This Row],[video_watch_50]]*RANDBETWEEN(8,12)/10,0)</f>
        <v>93234</v>
      </c>
      <c r="AP44" s="4">
        <f ca="1">ROUND(T_Tiktok_ads[[#This Row],[video_watch_75]]*RANDBETWEEN(8,12)/10,0)</f>
        <v>69802</v>
      </c>
      <c r="AQ44" s="4">
        <f ca="1">ROUND(T_Tiktok_ads[[#This Row],[video_watch_100]]*RANDBETWEEN(8,12)/10,0)</f>
        <v>51881</v>
      </c>
      <c r="AR44" s="4">
        <f ca="1">ROUND(T_Tiktok_ads[[#This Row],[likes]]*RANDBETWEEN(8,12)/10,0)</f>
        <v>7710</v>
      </c>
      <c r="AS44" s="4">
        <f ca="1">ROUND(T_Tiktok_ads[[#This Row],[shares]]*RANDBETWEEN(8,12)/10,0)</f>
        <v>2457</v>
      </c>
      <c r="AT44" s="4">
        <f ca="1">ROUND(T_Tiktok_ads[[#This Row],[comments]]*RANDBETWEEN(8,12)/10,0)</f>
        <v>427</v>
      </c>
      <c r="AV44" s="5">
        <f t="shared" ca="1" si="8"/>
        <v>45025</v>
      </c>
      <c r="AW44">
        <f t="shared" ca="1" si="4"/>
        <v>3</v>
      </c>
      <c r="AX44">
        <f ca="1">ROUND(T_Facebook_Ads11596367[[#This Row],[impressions]]*RANDBETWEEN(8,12)/10,0)</f>
        <v>36111</v>
      </c>
      <c r="AY44">
        <f ca="1">ROUND(T_Facebook_Ads11596367[[#This Row],[clicks]]*RANDBETWEEN(8,12)/10,0)</f>
        <v>718</v>
      </c>
      <c r="AZ44">
        <f ca="1">T_Facebook_Ads11596367[[#This Row],[spend]]*RANDBETWEEN(8,12)/10</f>
        <v>138.78700000000001</v>
      </c>
      <c r="BA44">
        <f ca="1">ROUND(T_Facebook_Ads11596367[[#This Row],[conversions]]*RANDBETWEEN(8,12)/10,0)</f>
        <v>9</v>
      </c>
      <c r="BB44">
        <f ca="1">ROUND(T_Facebook_Ads11596367[[#This Row],[video_views]]*RANDBETWEEN(8,12)/10,0)</f>
        <v>5950</v>
      </c>
    </row>
    <row r="45" spans="1:54" ht="15.75" thickBot="1" x14ac:dyDescent="0.3">
      <c r="A45" s="3">
        <f t="shared" ca="1" si="5"/>
        <v>45036</v>
      </c>
      <c r="B45" s="4" t="s">
        <v>56</v>
      </c>
      <c r="C45" s="4" t="s">
        <v>57</v>
      </c>
      <c r="D45" s="4" t="s">
        <v>58</v>
      </c>
      <c r="E45" s="4" t="s">
        <v>59</v>
      </c>
      <c r="F45" s="4">
        <f ca="1">ROUND(T_Facebook_Ads[[#This Row],[impressions]]*RANDBETWEEN(8,12)/10,0)</f>
        <v>9510</v>
      </c>
      <c r="G45" s="4">
        <v>489</v>
      </c>
      <c r="H45" s="4">
        <f ca="1">T_Facebook_Ads[[#This Row],[spend]]*RANDBETWEEN(8,12)/10</f>
        <v>167.31</v>
      </c>
      <c r="I45" s="4">
        <f ca="1">ROUND(T_Facebook_Ads[[#This Row],[conversions]]*RANDBETWEEN(8,12)/10,0)</f>
        <v>32</v>
      </c>
      <c r="J45" s="4">
        <f ca="1">ROUND(T_Facebook_Ads[[#This Row],[video_views]]*RANDBETWEEN(8,12)/10,0)</f>
        <v>898</v>
      </c>
      <c r="K45" s="4">
        <f ca="1">T_Facebook_Ads[[#This Row],[engagement_rate]]*RANDBETWEEN(8,12)/10</f>
        <v>3.7040000000000003E-2</v>
      </c>
      <c r="L45" s="4">
        <f ca="1">ROUND(T_Facebook_Ads[[#This Row],[reach]]*RANDBETWEEN(8,12)/10,0)</f>
        <v>9881</v>
      </c>
      <c r="M45" s="4">
        <f ca="1">T_Facebook_Ads[[#This Row],[frequency]]*RANDBETWEEN(8,12)/10</f>
        <v>1.024</v>
      </c>
      <c r="O45" s="3">
        <f t="shared" ca="1" si="6"/>
        <v>45017</v>
      </c>
      <c r="P45" s="4" t="s">
        <v>80</v>
      </c>
      <c r="Q45" s="4" t="s">
        <v>81</v>
      </c>
      <c r="R45" s="4" t="s">
        <v>82</v>
      </c>
      <c r="S45" s="4" t="s">
        <v>83</v>
      </c>
      <c r="T45" s="4">
        <f ca="1">ROUND(_Google_ads[[#This Row],[impressions]]*RANDBETWEEN(8,12)/10,0)</f>
        <v>47480</v>
      </c>
      <c r="U45" s="4">
        <f ca="1">ROUND(_Google_ads[[#This Row],[clicks]]*RANDBETWEEN(8,12)/10,0)</f>
        <v>868</v>
      </c>
      <c r="V45" s="4">
        <f ca="1">_Google_ads[[#This Row],[cost]]*RANDBETWEEN(8,12)/10</f>
        <v>608.87999999999988</v>
      </c>
      <c r="W45" s="4">
        <f ca="1">ROUND(_Google_ads[[#This Row],[conversions]]*RANDBETWEEN(8,12)/10,0)</f>
        <v>23</v>
      </c>
      <c r="X45" s="4">
        <f ca="1">ROUND(_Google_ads[[#This Row],[conversion_value]]*RANDBETWEEN(8,12)/10,0)</f>
        <v>760</v>
      </c>
      <c r="Y45" s="4">
        <f ca="1">_Google_ads[[#This Row],[ctr]]*RANDBETWEEN(8,12)/10</f>
        <v>1.7910000000000002E-2</v>
      </c>
      <c r="Z45" s="4">
        <f ca="1">_Google_ads[[#This Row],[avg_cpc]]*RANDBETWEEN(8,12)/10</f>
        <v>0.57599999999999996</v>
      </c>
      <c r="AA45" s="4">
        <f ca="1">ROUND(_Google_ads[[#This Row],[quality_score]]*RANDBETWEEN(8,12)/10,0)</f>
        <v>6</v>
      </c>
      <c r="AB45" s="4">
        <f ca="1">_Google_ads[[#This Row],[search_impression_share]]*RANDBETWEEN(8,12)/10</f>
        <v>0.504</v>
      </c>
      <c r="AD45" s="3">
        <f t="shared" ca="1" si="7"/>
        <v>45019</v>
      </c>
      <c r="AE45" s="4" t="s">
        <v>104</v>
      </c>
      <c r="AF45" s="4" t="s">
        <v>105</v>
      </c>
      <c r="AG45" s="4" t="s">
        <v>106</v>
      </c>
      <c r="AH45" s="4" t="s">
        <v>107</v>
      </c>
      <c r="AI45" s="4">
        <f ca="1">ROUND(T_Tiktok_ads[[#This Row],[impressions]]*RANDBETWEEN(8,12)/10,0)</f>
        <v>141791</v>
      </c>
      <c r="AJ45" s="4">
        <f ca="1">ROUND(T_Tiktok_ads[[#This Row],[clicks]]*RANDBETWEEN(8,12)/10,0)</f>
        <v>2210</v>
      </c>
      <c r="AK45" s="4">
        <v>689.5</v>
      </c>
      <c r="AL45" s="4">
        <f ca="1">ROUND(T_Tiktok_ads[[#This Row],[conversions]]*RANDBETWEEN(8,12)/10,0)</f>
        <v>68</v>
      </c>
      <c r="AM45" s="4">
        <f ca="1">ROUND(T_Tiktok_ads[[#This Row],[video_views]]*RANDBETWEEN(8,12)/10,0)</f>
        <v>100357</v>
      </c>
      <c r="AN45" s="4">
        <f ca="1">ROUND(T_Tiktok_ads[[#This Row],[video_watch_25]]*RANDBETWEEN(8,12)/10,0)</f>
        <v>75057</v>
      </c>
      <c r="AO45" s="4">
        <f ca="1">ROUND(T_Tiktok_ads[[#This Row],[video_watch_50]]*RANDBETWEEN(8,12)/10,0)</f>
        <v>50368</v>
      </c>
      <c r="AP45" s="4">
        <f ca="1">ROUND(T_Tiktok_ads[[#This Row],[video_watch_75]]*RANDBETWEEN(8,12)/10,0)</f>
        <v>27654</v>
      </c>
      <c r="AQ45" s="4">
        <f ca="1">ROUND(T_Tiktok_ads[[#This Row],[video_watch_100]]*RANDBETWEEN(8,12)/10,0)</f>
        <v>18942</v>
      </c>
      <c r="AR45" s="4">
        <f ca="1">ROUND(T_Tiktok_ads[[#This Row],[likes]]*RANDBETWEEN(8,12)/10,0)</f>
        <v>4678</v>
      </c>
      <c r="AS45" s="4">
        <f ca="1">ROUND(T_Tiktok_ads[[#This Row],[shares]]*RANDBETWEEN(8,12)/10,0)</f>
        <v>1014</v>
      </c>
      <c r="AT45" s="4">
        <f ca="1">ROUND(T_Tiktok_ads[[#This Row],[comments]]*RANDBETWEEN(8,12)/10,0)</f>
        <v>261</v>
      </c>
      <c r="AV45" s="5">
        <f t="shared" ca="1" si="8"/>
        <v>45042</v>
      </c>
      <c r="AW45">
        <f t="shared" ca="1" si="4"/>
        <v>8</v>
      </c>
      <c r="AX45">
        <f ca="1">ROUND(T_Facebook_Ads11596367[[#This Row],[impressions]]*RANDBETWEEN(8,12)/10,0)</f>
        <v>9510</v>
      </c>
      <c r="AY45">
        <f ca="1">ROUND(T_Facebook_Ads11596367[[#This Row],[clicks]]*RANDBETWEEN(8,12)/10,0)</f>
        <v>489</v>
      </c>
      <c r="AZ45">
        <f ca="1">T_Facebook_Ads11596367[[#This Row],[spend]]*RANDBETWEEN(8,12)/10</f>
        <v>133.84800000000001</v>
      </c>
      <c r="BA45">
        <f ca="1">ROUND(T_Facebook_Ads11596367[[#This Row],[conversions]]*RANDBETWEEN(8,12)/10,0)</f>
        <v>26</v>
      </c>
      <c r="BB45">
        <f ca="1">ROUND(T_Facebook_Ads11596367[[#This Row],[video_views]]*RANDBETWEEN(8,12)/10,0)</f>
        <v>808</v>
      </c>
    </row>
    <row r="46" spans="1:54" ht="15.75" thickBot="1" x14ac:dyDescent="0.3">
      <c r="A46" s="3">
        <f t="shared" ca="1" si="5"/>
        <v>45043</v>
      </c>
      <c r="B46" s="4" t="s">
        <v>60</v>
      </c>
      <c r="C46" s="4" t="s">
        <v>61</v>
      </c>
      <c r="D46" s="4" t="s">
        <v>62</v>
      </c>
      <c r="E46" s="4" t="s">
        <v>63</v>
      </c>
      <c r="F46" s="4">
        <f ca="1">ROUND(T_Facebook_Ads[[#This Row],[impressions]]*RANDBETWEEN(8,12)/10,0)</f>
        <v>34357</v>
      </c>
      <c r="G46" s="4">
        <v>1123</v>
      </c>
      <c r="H46" s="4">
        <f ca="1">T_Facebook_Ads[[#This Row],[spend]]*RANDBETWEEN(8,12)/10</f>
        <v>173.8</v>
      </c>
      <c r="I46" s="4">
        <f ca="1">ROUND(T_Facebook_Ads[[#This Row],[conversions]]*RANDBETWEEN(8,12)/10,0)</f>
        <v>17</v>
      </c>
      <c r="J46" s="4">
        <f ca="1">ROUND(T_Facebook_Ads[[#This Row],[video_views]]*RANDBETWEEN(8,12)/10,0)</f>
        <v>3501</v>
      </c>
      <c r="K46" s="4">
        <f ca="1">T_Facebook_Ads[[#This Row],[engagement_rate]]*RANDBETWEEN(8,12)/10</f>
        <v>4.3199999999999995E-2</v>
      </c>
      <c r="L46" s="4">
        <f ca="1">ROUND(T_Facebook_Ads[[#This Row],[reach]]*RANDBETWEEN(8,12)/10,0)</f>
        <v>28735</v>
      </c>
      <c r="M46" s="4">
        <f ca="1">T_Facebook_Ads[[#This Row],[frequency]]*RANDBETWEEN(8,12)/10</f>
        <v>1.44</v>
      </c>
      <c r="O46" s="3">
        <f t="shared" ca="1" si="6"/>
        <v>45041</v>
      </c>
      <c r="P46" s="4" t="s">
        <v>84</v>
      </c>
      <c r="Q46" s="4" t="s">
        <v>85</v>
      </c>
      <c r="R46" s="4" t="s">
        <v>86</v>
      </c>
      <c r="S46" s="4" t="s">
        <v>87</v>
      </c>
      <c r="T46" s="4">
        <f ca="1">ROUND(_Google_ads[[#This Row],[impressions]]*RANDBETWEEN(8,12)/10,0)</f>
        <v>55701</v>
      </c>
      <c r="U46" s="4">
        <f ca="1">ROUND(_Google_ads[[#This Row],[clicks]]*RANDBETWEEN(8,12)/10,0)</f>
        <v>1610</v>
      </c>
      <c r="V46" s="4">
        <f ca="1">_Google_ads[[#This Row],[cost]]*RANDBETWEEN(8,12)/10</f>
        <v>369.3</v>
      </c>
      <c r="W46" s="4">
        <f ca="1">ROUND(_Google_ads[[#This Row],[conversions]]*RANDBETWEEN(8,12)/10,0)</f>
        <v>52</v>
      </c>
      <c r="X46" s="4">
        <f ca="1">ROUND(_Google_ads[[#This Row],[conversion_value]]*RANDBETWEEN(8,12)/10,0)</f>
        <v>2610</v>
      </c>
      <c r="Y46" s="4">
        <f ca="1">_Google_ads[[#This Row],[ctr]]*RANDBETWEEN(8,12)/10</f>
        <v>3.2500000000000001E-2</v>
      </c>
      <c r="Z46" s="4">
        <f ca="1">_Google_ads[[#This Row],[avg_cpc]]*RANDBETWEEN(8,12)/10</f>
        <v>0.19800000000000001</v>
      </c>
      <c r="AA46" s="4">
        <f ca="1">ROUND(_Google_ads[[#This Row],[quality_score]]*RANDBETWEEN(8,12)/10,0)</f>
        <v>10</v>
      </c>
      <c r="AB46" s="4">
        <f ca="1">_Google_ads[[#This Row],[search_impression_share]]*RANDBETWEEN(8,12)/10</f>
        <v>0.70399999999999996</v>
      </c>
      <c r="AD46" s="3">
        <f t="shared" ca="1" si="7"/>
        <v>45031</v>
      </c>
      <c r="AE46" s="4" t="s">
        <v>108</v>
      </c>
      <c r="AF46" s="4" t="s">
        <v>109</v>
      </c>
      <c r="AG46" s="4" t="s">
        <v>110</v>
      </c>
      <c r="AH46" s="4" t="s">
        <v>111</v>
      </c>
      <c r="AI46" s="4">
        <f ca="1">ROUND(T_Tiktok_ads[[#This Row],[impressions]]*RANDBETWEEN(8,12)/10,0)</f>
        <v>195678</v>
      </c>
      <c r="AJ46" s="4">
        <f ca="1">ROUND(T_Tiktok_ads[[#This Row],[clicks]]*RANDBETWEEN(8,12)/10,0)</f>
        <v>3587</v>
      </c>
      <c r="AK46" s="4">
        <v>361.2</v>
      </c>
      <c r="AL46" s="4">
        <f ca="1">ROUND(T_Tiktok_ads[[#This Row],[conversions]]*RANDBETWEEN(8,12)/10,0)</f>
        <v>30</v>
      </c>
      <c r="AM46" s="4">
        <f ca="1">ROUND(T_Tiktok_ads[[#This Row],[video_views]]*RANDBETWEEN(8,12)/10,0)</f>
        <v>121876</v>
      </c>
      <c r="AN46" s="4">
        <f ca="1">ROUND(T_Tiktok_ads[[#This Row],[video_watch_25]]*RANDBETWEEN(8,12)/10,0)</f>
        <v>140681</v>
      </c>
      <c r="AO46" s="4">
        <f ca="1">ROUND(T_Tiktok_ads[[#This Row],[video_watch_50]]*RANDBETWEEN(8,12)/10,0)</f>
        <v>74587</v>
      </c>
      <c r="AP46" s="4">
        <f ca="1">ROUND(T_Tiktok_ads[[#This Row],[video_watch_75]]*RANDBETWEEN(8,12)/10,0)</f>
        <v>59234</v>
      </c>
      <c r="AQ46" s="4">
        <f ca="1">ROUND(T_Tiktok_ads[[#This Row],[video_watch_100]]*RANDBETWEEN(8,12)/10,0)</f>
        <v>36234</v>
      </c>
      <c r="AR46" s="4">
        <f ca="1">ROUND(T_Tiktok_ads[[#This Row],[likes]]*RANDBETWEEN(8,12)/10,0)</f>
        <v>8548</v>
      </c>
      <c r="AS46" s="4">
        <f ca="1">ROUND(T_Tiktok_ads[[#This Row],[shares]]*RANDBETWEEN(8,12)/10,0)</f>
        <v>1967</v>
      </c>
      <c r="AT46" s="4">
        <f ca="1">ROUND(T_Tiktok_ads[[#This Row],[comments]]*RANDBETWEEN(8,12)/10,0)</f>
        <v>574</v>
      </c>
      <c r="AV46" s="5">
        <f t="shared" ca="1" si="8"/>
        <v>45036</v>
      </c>
      <c r="AW46">
        <f t="shared" ca="1" si="4"/>
        <v>6</v>
      </c>
      <c r="AX46">
        <f ca="1">ROUND(T_Facebook_Ads11596367[[#This Row],[impressions]]*RANDBETWEEN(8,12)/10,0)</f>
        <v>27486</v>
      </c>
      <c r="AY46">
        <f ca="1">ROUND(T_Facebook_Ads11596367[[#This Row],[clicks]]*RANDBETWEEN(8,12)/10,0)</f>
        <v>1235</v>
      </c>
      <c r="AZ46">
        <f ca="1">T_Facebook_Ads11596367[[#This Row],[spend]]*RANDBETWEEN(8,12)/10</f>
        <v>139.04000000000002</v>
      </c>
      <c r="BA46">
        <f ca="1">ROUND(T_Facebook_Ads11596367[[#This Row],[conversions]]*RANDBETWEEN(8,12)/10,0)</f>
        <v>19</v>
      </c>
      <c r="BB46">
        <f ca="1">ROUND(T_Facebook_Ads11596367[[#This Row],[video_views]]*RANDBETWEEN(8,12)/10,0)</f>
        <v>3151</v>
      </c>
    </row>
    <row r="47" spans="1:54" ht="15.75" thickBot="1" x14ac:dyDescent="0.3">
      <c r="A47" s="3">
        <f t="shared" ca="1" si="5"/>
        <v>45035</v>
      </c>
      <c r="B47" s="4" t="s">
        <v>64</v>
      </c>
      <c r="C47" s="4" t="s">
        <v>65</v>
      </c>
      <c r="D47" s="4" t="s">
        <v>66</v>
      </c>
      <c r="E47" s="4" t="s">
        <v>67</v>
      </c>
      <c r="F47" s="4">
        <f ca="1">ROUND(T_Facebook_Ads[[#This Row],[impressions]]*RANDBETWEEN(8,12)/10,0)</f>
        <v>61234</v>
      </c>
      <c r="G47" s="4">
        <v>223</v>
      </c>
      <c r="H47" s="4">
        <f ca="1">T_Facebook_Ads[[#This Row],[spend]]*RANDBETWEEN(8,12)/10</f>
        <v>63.120000000000005</v>
      </c>
      <c r="I47" s="4">
        <f ca="1">ROUND(T_Facebook_Ads[[#This Row],[conversions]]*RANDBETWEEN(8,12)/10,0)</f>
        <v>4</v>
      </c>
      <c r="J47" s="4">
        <f ca="1">ROUND(T_Facebook_Ads[[#This Row],[video_views]]*RANDBETWEEN(8,12)/10,0)</f>
        <v>32454</v>
      </c>
      <c r="K47" s="4">
        <f ca="1">T_Facebook_Ads[[#This Row],[engagement_rate]]*RANDBETWEEN(8,12)/10</f>
        <v>3.5999999999999999E-3</v>
      </c>
      <c r="L47" s="4">
        <f ca="1">ROUND(T_Facebook_Ads[[#This Row],[reach]]*RANDBETWEEN(8,12)/10,0)</f>
        <v>55135</v>
      </c>
      <c r="M47" s="4">
        <f ca="1">T_Facebook_Ads[[#This Row],[frequency]]*RANDBETWEEN(8,12)/10</f>
        <v>1.464</v>
      </c>
      <c r="O47" s="3">
        <f t="shared" ca="1" si="6"/>
        <v>45029</v>
      </c>
      <c r="P47" s="4" t="s">
        <v>88</v>
      </c>
      <c r="Q47" s="4" t="s">
        <v>89</v>
      </c>
      <c r="R47" s="4" t="s">
        <v>90</v>
      </c>
      <c r="S47" s="4" t="s">
        <v>59</v>
      </c>
      <c r="T47" s="4">
        <f ca="1">ROUND(_Google_ads[[#This Row],[impressions]]*RANDBETWEEN(8,12)/10,0)</f>
        <v>92542</v>
      </c>
      <c r="U47" s="4">
        <f ca="1">ROUND(_Google_ads[[#This Row],[clicks]]*RANDBETWEEN(8,12)/10,0)</f>
        <v>330</v>
      </c>
      <c r="V47" s="4">
        <f ca="1">_Google_ads[[#This Row],[cost]]*RANDBETWEEN(8,12)/10</f>
        <v>124.74000000000001</v>
      </c>
      <c r="W47" s="4">
        <f ca="1">ROUND(_Google_ads[[#This Row],[conversions]]*RANDBETWEEN(8,12)/10,0)</f>
        <v>12</v>
      </c>
      <c r="X47" s="4">
        <f ca="1">ROUND(_Google_ads[[#This Row],[conversion_value]]*RANDBETWEEN(8,12)/10,0)</f>
        <v>550</v>
      </c>
      <c r="Y47" s="4">
        <f ca="1">_Google_ads[[#This Row],[ctr]]*RANDBETWEEN(8,12)/10</f>
        <v>4.3200000000000001E-3</v>
      </c>
      <c r="Z47" s="4">
        <f ca="1">_Google_ads[[#This Row],[avg_cpc]]*RANDBETWEEN(8,12)/10</f>
        <v>0.22400000000000003</v>
      </c>
      <c r="AA47" s="4">
        <f ca="1">ROUND(_Google_ads[[#This Row],[quality_score]]*RANDBETWEEN(8,12)/10,0)</f>
        <v>6</v>
      </c>
      <c r="AB47" s="4">
        <f ca="1">_Google_ads[[#This Row],[search_impression_share]]*RANDBETWEEN(8,12)/10</f>
        <v>0.38400000000000001</v>
      </c>
      <c r="AD47" s="3">
        <f t="shared" ca="1" si="7"/>
        <v>45025</v>
      </c>
      <c r="AE47" s="4" t="s">
        <v>112</v>
      </c>
      <c r="AF47" s="4" t="s">
        <v>113</v>
      </c>
      <c r="AG47" s="4" t="s">
        <v>114</v>
      </c>
      <c r="AH47" s="4" t="s">
        <v>115</v>
      </c>
      <c r="AI47" s="4">
        <f ca="1">ROUND(T_Tiktok_ads[[#This Row],[impressions]]*RANDBETWEEN(8,12)/10,0)</f>
        <v>321110</v>
      </c>
      <c r="AJ47" s="4">
        <f ca="1">ROUND(T_Tiktok_ads[[#This Row],[clicks]]*RANDBETWEEN(8,12)/10,0)</f>
        <v>6417</v>
      </c>
      <c r="AK47" s="4">
        <v>901.2</v>
      </c>
      <c r="AL47" s="4">
        <f ca="1">ROUND(T_Tiktok_ads[[#This Row],[conversions]]*RANDBETWEEN(8,12)/10,0)</f>
        <v>91</v>
      </c>
      <c r="AM47" s="4">
        <f ca="1">ROUND(T_Tiktok_ads[[#This Row],[video_views]]*RANDBETWEEN(8,12)/10,0)</f>
        <v>234765</v>
      </c>
      <c r="AN47" s="4">
        <f ca="1">ROUND(T_Tiktok_ads[[#This Row],[video_watch_25]]*RANDBETWEEN(8,12)/10,0)</f>
        <v>287081</v>
      </c>
      <c r="AO47" s="4">
        <f ca="1">ROUND(T_Tiktok_ads[[#This Row],[video_watch_50]]*RANDBETWEEN(8,12)/10,0)</f>
        <v>210357</v>
      </c>
      <c r="AP47" s="4">
        <f ca="1">ROUND(T_Tiktok_ads[[#This Row],[video_watch_75]]*RANDBETWEEN(8,12)/10,0)</f>
        <v>122611</v>
      </c>
      <c r="AQ47" s="4">
        <f ca="1">ROUND(T_Tiktok_ads[[#This Row],[video_watch_100]]*RANDBETWEEN(8,12)/10,0)</f>
        <v>99257</v>
      </c>
      <c r="AR47" s="4">
        <f ca="1">ROUND(T_Tiktok_ads[[#This Row],[likes]]*RANDBETWEEN(8,12)/10,0)</f>
        <v>14301</v>
      </c>
      <c r="AS47" s="4">
        <f ca="1">ROUND(T_Tiktok_ads[[#This Row],[shares]]*RANDBETWEEN(8,12)/10,0)</f>
        <v>4634</v>
      </c>
      <c r="AT47" s="4">
        <f ca="1">ROUND(T_Tiktok_ads[[#This Row],[comments]]*RANDBETWEEN(8,12)/10,0)</f>
        <v>1507</v>
      </c>
      <c r="AV47" s="5">
        <f t="shared" ca="1" si="8"/>
        <v>45035</v>
      </c>
      <c r="AW47">
        <f t="shared" ca="1" si="4"/>
        <v>1</v>
      </c>
      <c r="AX47">
        <f ca="1">ROUND(T_Facebook_Ads11596367[[#This Row],[impressions]]*RANDBETWEEN(8,12)/10,0)</f>
        <v>48987</v>
      </c>
      <c r="AY47">
        <f ca="1">ROUND(T_Facebook_Ads11596367[[#This Row],[clicks]]*RANDBETWEEN(8,12)/10,0)</f>
        <v>268</v>
      </c>
      <c r="AZ47">
        <f ca="1">T_Facebook_Ads11596367[[#This Row],[spend]]*RANDBETWEEN(8,12)/10</f>
        <v>56.808000000000007</v>
      </c>
      <c r="BA47">
        <f ca="1">ROUND(T_Facebook_Ads11596367[[#This Row],[conversions]]*RANDBETWEEN(8,12)/10,0)</f>
        <v>5</v>
      </c>
      <c r="BB47">
        <f ca="1">ROUND(T_Facebook_Ads11596367[[#This Row],[video_views]]*RANDBETWEEN(8,12)/10,0)</f>
        <v>25963</v>
      </c>
    </row>
    <row r="48" spans="1:54" ht="15.75" thickBot="1" x14ac:dyDescent="0.3">
      <c r="A48" s="3">
        <f t="shared" ca="1" si="5"/>
        <v>45024</v>
      </c>
      <c r="B48" s="4" t="s">
        <v>52</v>
      </c>
      <c r="C48" s="4" t="s">
        <v>53</v>
      </c>
      <c r="D48" s="4" t="s">
        <v>54</v>
      </c>
      <c r="E48" s="4" t="s">
        <v>55</v>
      </c>
      <c r="F48" s="4">
        <f ca="1">ROUND(T_Facebook_Ads[[#This Row],[impressions]]*RANDBETWEEN(8,12)/10,0)</f>
        <v>42110</v>
      </c>
      <c r="G48" s="4">
        <v>934</v>
      </c>
      <c r="H48" s="4">
        <f ca="1">T_Facebook_Ads[[#This Row],[spend]]*RANDBETWEEN(8,12)/10</f>
        <v>132.4</v>
      </c>
      <c r="I48" s="4">
        <f ca="1">ROUND(T_Facebook_Ads[[#This Row],[conversions]]*RANDBETWEEN(8,12)/10,0)</f>
        <v>15</v>
      </c>
      <c r="J48" s="4">
        <f ca="1">ROUND(T_Facebook_Ads[[#This Row],[video_views]]*RANDBETWEEN(8,12)/10,0)</f>
        <v>6854</v>
      </c>
      <c r="K48" s="4">
        <f ca="1">T_Facebook_Ads[[#This Row],[engagement_rate]]*RANDBETWEEN(8,12)/10</f>
        <v>1.6E-2</v>
      </c>
      <c r="L48" s="4">
        <f ca="1">ROUND(T_Facebook_Ads[[#This Row],[reach]]*RANDBETWEEN(8,12)/10,0)</f>
        <v>35311</v>
      </c>
      <c r="M48" s="4">
        <f ca="1">T_Facebook_Ads[[#This Row],[frequency]]*RANDBETWEEN(8,12)/10</f>
        <v>1.3089999999999999</v>
      </c>
      <c r="O48" s="3">
        <f t="shared" ca="1" si="6"/>
        <v>45026</v>
      </c>
      <c r="P48" s="4" t="s">
        <v>76</v>
      </c>
      <c r="Q48" s="4" t="s">
        <v>77</v>
      </c>
      <c r="R48" s="4" t="s">
        <v>78</v>
      </c>
      <c r="S48" s="4" t="s">
        <v>79</v>
      </c>
      <c r="T48" s="4">
        <f ca="1">ROUND(_Google_ads[[#This Row],[impressions]]*RANDBETWEEN(8,12)/10,0)</f>
        <v>23890</v>
      </c>
      <c r="U48" s="4">
        <f ca="1">ROUND(_Google_ads[[#This Row],[clicks]]*RANDBETWEEN(8,12)/10,0)</f>
        <v>1481</v>
      </c>
      <c r="V48" s="4">
        <f ca="1">_Google_ads[[#This Row],[cost]]*RANDBETWEEN(8,12)/10</f>
        <v>212.04000000000002</v>
      </c>
      <c r="W48" s="4">
        <f ca="1">ROUND(_Google_ads[[#This Row],[conversions]]*RANDBETWEEN(8,12)/10,0)</f>
        <v>46</v>
      </c>
      <c r="X48" s="4">
        <f ca="1">ROUND(_Google_ads[[#This Row],[conversion_value]]*RANDBETWEEN(8,12)/10,0)</f>
        <v>2760</v>
      </c>
      <c r="Y48" s="4">
        <f ca="1">_Google_ads[[#This Row],[ctr]]*RANDBETWEEN(8,12)/10</f>
        <v>4.1360000000000001E-2</v>
      </c>
      <c r="Z48" s="4">
        <f ca="1">_Google_ads[[#This Row],[avg_cpc]]*RANDBETWEEN(8,12)/10</f>
        <v>0.20899999999999999</v>
      </c>
      <c r="AA48" s="4">
        <f ca="1">ROUND(_Google_ads[[#This Row],[quality_score]]*RANDBETWEEN(8,12)/10,0)</f>
        <v>9</v>
      </c>
      <c r="AB48" s="4">
        <f ca="1">_Google_ads[[#This Row],[search_impression_share]]*RANDBETWEEN(8,12)/10</f>
        <v>0.81899999999999995</v>
      </c>
      <c r="AD48" s="3">
        <f t="shared" ca="1" si="7"/>
        <v>45026</v>
      </c>
      <c r="AE48" s="4" t="s">
        <v>100</v>
      </c>
      <c r="AF48" s="4" t="s">
        <v>101</v>
      </c>
      <c r="AG48" s="4" t="s">
        <v>102</v>
      </c>
      <c r="AH48" s="4" t="s">
        <v>103</v>
      </c>
      <c r="AI48" s="4">
        <f ca="1">ROUND(T_Tiktok_ads[[#This Row],[impressions]]*RANDBETWEEN(8,12)/10,0)</f>
        <v>271468</v>
      </c>
      <c r="AJ48" s="4">
        <f ca="1">ROUND(T_Tiktok_ads[[#This Row],[clicks]]*RANDBETWEEN(8,12)/10,0)</f>
        <v>4414</v>
      </c>
      <c r="AK48" s="4">
        <v>478.9</v>
      </c>
      <c r="AL48" s="4">
        <f ca="1">ROUND(T_Tiktok_ads[[#This Row],[conversions]]*RANDBETWEEN(8,12)/10,0)</f>
        <v>43</v>
      </c>
      <c r="AM48" s="4">
        <f ca="1">ROUND(T_Tiktok_ads[[#This Row],[video_views]]*RANDBETWEEN(8,12)/10,0)</f>
        <v>248814</v>
      </c>
      <c r="AN48" s="4">
        <f ca="1">ROUND(T_Tiktok_ads[[#This Row],[video_watch_25]]*RANDBETWEEN(8,12)/10,0)</f>
        <v>179802</v>
      </c>
      <c r="AO48" s="4">
        <f ca="1">ROUND(T_Tiktok_ads[[#This Row],[video_watch_50]]*RANDBETWEEN(8,12)/10,0)</f>
        <v>81876</v>
      </c>
      <c r="AP48" s="4">
        <f ca="1">ROUND(T_Tiktok_ads[[#This Row],[video_watch_75]]*RANDBETWEEN(8,12)/10,0)</f>
        <v>77257</v>
      </c>
      <c r="AQ48" s="4">
        <f ca="1">ROUND(T_Tiktok_ads[[#This Row],[video_watch_100]]*RANDBETWEEN(8,12)/10,0)</f>
        <v>37787</v>
      </c>
      <c r="AR48" s="4">
        <f ca="1">ROUND(T_Tiktok_ads[[#This Row],[likes]]*RANDBETWEEN(8,12)/10,0)</f>
        <v>8311</v>
      </c>
      <c r="AS48" s="4">
        <f ca="1">ROUND(T_Tiktok_ads[[#This Row],[shares]]*RANDBETWEEN(8,12)/10,0)</f>
        <v>2210</v>
      </c>
      <c r="AT48" s="4">
        <f ca="1">ROUND(T_Tiktok_ads[[#This Row],[comments]]*RANDBETWEEN(8,12)/10,0)</f>
        <v>648</v>
      </c>
      <c r="AV48" s="5">
        <f t="shared" ca="1" si="8"/>
        <v>45043</v>
      </c>
      <c r="AW48">
        <f t="shared" ca="1" si="4"/>
        <v>7</v>
      </c>
      <c r="AX48">
        <f ca="1">ROUND(T_Facebook_Ads11596367[[#This Row],[impressions]]*RANDBETWEEN(8,12)/10,0)</f>
        <v>46321</v>
      </c>
      <c r="AY48">
        <f ca="1">ROUND(T_Facebook_Ads11596367[[#This Row],[clicks]]*RANDBETWEEN(8,12)/10,0)</f>
        <v>1121</v>
      </c>
      <c r="AZ48">
        <f ca="1">T_Facebook_Ads11596367[[#This Row],[spend]]*RANDBETWEEN(8,12)/10</f>
        <v>105.92</v>
      </c>
      <c r="BA48">
        <f ca="1">ROUND(T_Facebook_Ads11596367[[#This Row],[conversions]]*RANDBETWEEN(8,12)/10,0)</f>
        <v>12</v>
      </c>
      <c r="BB48">
        <f ca="1">ROUND(T_Facebook_Ads11596367[[#This Row],[video_views]]*RANDBETWEEN(8,12)/10,0)</f>
        <v>8225</v>
      </c>
    </row>
    <row r="49" spans="1:54" ht="15.75" thickBot="1" x14ac:dyDescent="0.3">
      <c r="A49" s="3">
        <f t="shared" ca="1" si="5"/>
        <v>45043</v>
      </c>
      <c r="B49" s="4" t="s">
        <v>56</v>
      </c>
      <c r="C49" s="4" t="s">
        <v>57</v>
      </c>
      <c r="D49" s="4" t="s">
        <v>58</v>
      </c>
      <c r="E49" s="4" t="s">
        <v>59</v>
      </c>
      <c r="F49" s="4">
        <f ca="1">ROUND(T_Facebook_Ads[[#This Row],[impressions]]*RANDBETWEEN(8,12)/10,0)</f>
        <v>10312</v>
      </c>
      <c r="G49" s="4">
        <v>567</v>
      </c>
      <c r="H49" s="4">
        <f ca="1">T_Facebook_Ads[[#This Row],[spend]]*RANDBETWEEN(8,12)/10</f>
        <v>243.43</v>
      </c>
      <c r="I49" s="4">
        <f ca="1">ROUND(T_Facebook_Ads[[#This Row],[conversions]]*RANDBETWEEN(8,12)/10,0)</f>
        <v>37</v>
      </c>
      <c r="J49" s="4">
        <f ca="1">ROUND(T_Facebook_Ads[[#This Row],[video_views]]*RANDBETWEEN(8,12)/10,0)</f>
        <v>1345</v>
      </c>
      <c r="K49" s="4">
        <f ca="1">T_Facebook_Ads[[#This Row],[engagement_rate]]*RANDBETWEEN(8,12)/10</f>
        <v>5.28E-2</v>
      </c>
      <c r="L49" s="4">
        <f ca="1">ROUND(T_Facebook_Ads[[#This Row],[reach]]*RANDBETWEEN(8,12)/10,0)</f>
        <v>9111</v>
      </c>
      <c r="M49" s="4">
        <f ca="1">T_Facebook_Ads[[#This Row],[frequency]]*RANDBETWEEN(8,12)/10</f>
        <v>1.016</v>
      </c>
      <c r="O49" s="3">
        <f t="shared" ca="1" si="6"/>
        <v>45034</v>
      </c>
      <c r="P49" s="4" t="s">
        <v>80</v>
      </c>
      <c r="Q49" s="4" t="s">
        <v>81</v>
      </c>
      <c r="R49" s="4" t="s">
        <v>82</v>
      </c>
      <c r="S49" s="4" t="s">
        <v>83</v>
      </c>
      <c r="T49" s="4">
        <f ca="1">ROUND(_Google_ads[[#This Row],[impressions]]*RANDBETWEEN(8,12)/10,0)</f>
        <v>35031</v>
      </c>
      <c r="U49" s="4">
        <f ca="1">ROUND(_Google_ads[[#This Row],[clicks]]*RANDBETWEEN(8,12)/10,0)</f>
        <v>770</v>
      </c>
      <c r="V49" s="4">
        <f ca="1">_Google_ads[[#This Row],[cost]]*RANDBETWEEN(8,12)/10</f>
        <v>448.71999999999997</v>
      </c>
      <c r="W49" s="4">
        <f ca="1">ROUND(_Google_ads[[#This Row],[conversions]]*RANDBETWEEN(8,12)/10,0)</f>
        <v>26</v>
      </c>
      <c r="X49" s="4">
        <f ca="1">ROUND(_Google_ads[[#This Row],[conversion_value]]*RANDBETWEEN(8,12)/10,0)</f>
        <v>1100</v>
      </c>
      <c r="Y49" s="4">
        <f ca="1">_Google_ads[[#This Row],[ctr]]*RANDBETWEEN(8,12)/10</f>
        <v>2.3399999999999997E-2</v>
      </c>
      <c r="Z49" s="4">
        <f ca="1">_Google_ads[[#This Row],[avg_cpc]]*RANDBETWEEN(8,12)/10</f>
        <v>0.79200000000000004</v>
      </c>
      <c r="AA49" s="4">
        <f ca="1">ROUND(_Google_ads[[#This Row],[quality_score]]*RANDBETWEEN(8,12)/10,0)</f>
        <v>7</v>
      </c>
      <c r="AB49" s="4">
        <f ca="1">_Google_ads[[#This Row],[search_impression_share]]*RANDBETWEEN(8,12)/10</f>
        <v>0.44000000000000006</v>
      </c>
      <c r="AD49" s="3">
        <f t="shared" ca="1" si="7"/>
        <v>45045</v>
      </c>
      <c r="AE49" s="4" t="s">
        <v>104</v>
      </c>
      <c r="AF49" s="4" t="s">
        <v>105</v>
      </c>
      <c r="AG49" s="4" t="s">
        <v>106</v>
      </c>
      <c r="AH49" s="4" t="s">
        <v>107</v>
      </c>
      <c r="AI49" s="4">
        <f ca="1">ROUND(T_Tiktok_ads[[#This Row],[impressions]]*RANDBETWEEN(8,12)/10,0)</f>
        <v>170814</v>
      </c>
      <c r="AJ49" s="4">
        <f ca="1">ROUND(T_Tiktok_ads[[#This Row],[clicks]]*RANDBETWEEN(8,12)/10,0)</f>
        <v>2142</v>
      </c>
      <c r="AK49" s="4">
        <v>734.5</v>
      </c>
      <c r="AL49" s="4">
        <f ca="1">ROUND(T_Tiktok_ads[[#This Row],[conversions]]*RANDBETWEEN(8,12)/10,0)</f>
        <v>80</v>
      </c>
      <c r="AM49" s="4">
        <f ca="1">ROUND(T_Tiktok_ads[[#This Row],[video_views]]*RANDBETWEEN(8,12)/10,0)</f>
        <v>78312</v>
      </c>
      <c r="AN49" s="4">
        <f ca="1">ROUND(T_Tiktok_ads[[#This Row],[video_watch_25]]*RANDBETWEEN(8,12)/10,0)</f>
        <v>79580</v>
      </c>
      <c r="AO49" s="4">
        <f ca="1">ROUND(T_Tiktok_ads[[#This Row],[video_watch_50]]*RANDBETWEEN(8,12)/10,0)</f>
        <v>44011</v>
      </c>
      <c r="AP49" s="4">
        <f ca="1">ROUND(T_Tiktok_ads[[#This Row],[video_watch_75]]*RANDBETWEEN(8,12)/10,0)</f>
        <v>40468</v>
      </c>
      <c r="AQ49" s="4">
        <f ca="1">ROUND(T_Tiktok_ads[[#This Row],[video_watch_100]]*RANDBETWEEN(8,12)/10,0)</f>
        <v>22401</v>
      </c>
      <c r="AR49" s="4">
        <f ca="1">ROUND(T_Tiktok_ads[[#This Row],[likes]]*RANDBETWEEN(8,12)/10,0)</f>
        <v>4901</v>
      </c>
      <c r="AS49" s="4">
        <f ca="1">ROUND(T_Tiktok_ads[[#This Row],[shares]]*RANDBETWEEN(8,12)/10,0)</f>
        <v>1492</v>
      </c>
      <c r="AT49" s="4">
        <f ca="1">ROUND(T_Tiktok_ads[[#This Row],[comments]]*RANDBETWEEN(8,12)/10,0)</f>
        <v>205</v>
      </c>
      <c r="AV49" s="5">
        <f t="shared" ca="1" si="8"/>
        <v>45044</v>
      </c>
      <c r="AW49">
        <f t="shared" ca="1" si="4"/>
        <v>3</v>
      </c>
      <c r="AX49">
        <f ca="1">ROUND(T_Facebook_Ads11596367[[#This Row],[impressions]]*RANDBETWEEN(8,12)/10,0)</f>
        <v>9281</v>
      </c>
      <c r="AY49">
        <f ca="1">ROUND(T_Facebook_Ads11596367[[#This Row],[clicks]]*RANDBETWEEN(8,12)/10,0)</f>
        <v>567</v>
      </c>
      <c r="AZ49">
        <f ca="1">T_Facebook_Ads11596367[[#This Row],[spend]]*RANDBETWEEN(8,12)/10</f>
        <v>267.77300000000002</v>
      </c>
      <c r="BA49">
        <f ca="1">ROUND(T_Facebook_Ads11596367[[#This Row],[conversions]]*RANDBETWEEN(8,12)/10,0)</f>
        <v>33</v>
      </c>
      <c r="BB49">
        <f ca="1">ROUND(T_Facebook_Ads11596367[[#This Row],[video_views]]*RANDBETWEEN(8,12)/10,0)</f>
        <v>1480</v>
      </c>
    </row>
    <row r="50" spans="1:54" ht="15.75" thickBot="1" x14ac:dyDescent="0.3">
      <c r="A50" s="3">
        <f t="shared" ca="1" si="5"/>
        <v>45022</v>
      </c>
      <c r="B50" s="4" t="s">
        <v>60</v>
      </c>
      <c r="C50" s="4" t="s">
        <v>61</v>
      </c>
      <c r="D50" s="4" t="s">
        <v>62</v>
      </c>
      <c r="E50" s="4" t="s">
        <v>63</v>
      </c>
      <c r="F50" s="4">
        <f ca="1">ROUND(T_Facebook_Ads[[#This Row],[impressions]]*RANDBETWEEN(8,12)/10,0)</f>
        <v>32110</v>
      </c>
      <c r="G50" s="4">
        <v>1289</v>
      </c>
      <c r="H50" s="4">
        <f ca="1">T_Facebook_Ads[[#This Row],[spend]]*RANDBETWEEN(8,12)/10</f>
        <v>216.26</v>
      </c>
      <c r="I50" s="4">
        <f ca="1">ROUND(T_Facebook_Ads[[#This Row],[conversions]]*RANDBETWEEN(8,12)/10,0)</f>
        <v>30</v>
      </c>
      <c r="J50" s="4">
        <f ca="1">ROUND(T_Facebook_Ads[[#This Row],[video_views]]*RANDBETWEEN(8,12)/10,0)</f>
        <v>4210</v>
      </c>
      <c r="K50" s="4">
        <f ca="1">T_Facebook_Ads[[#This Row],[engagement_rate]]*RANDBETWEEN(8,12)/10</f>
        <v>3.9710000000000002E-2</v>
      </c>
      <c r="L50" s="4">
        <f ca="1">ROUND(T_Facebook_Ads[[#This Row],[reach]]*RANDBETWEEN(8,12)/10,0)</f>
        <v>29345</v>
      </c>
      <c r="M50" s="4">
        <f ca="1">T_Facebook_Ads[[#This Row],[frequency]]*RANDBETWEEN(8,12)/10</f>
        <v>1.464</v>
      </c>
      <c r="O50" s="3">
        <f t="shared" ca="1" si="6"/>
        <v>45034</v>
      </c>
      <c r="P50" s="4" t="s">
        <v>84</v>
      </c>
      <c r="Q50" s="4" t="s">
        <v>85</v>
      </c>
      <c r="R50" s="4" t="s">
        <v>86</v>
      </c>
      <c r="S50" s="4" t="s">
        <v>87</v>
      </c>
      <c r="T50" s="4">
        <f ca="1">ROUND(_Google_ads[[#This Row],[impressions]]*RANDBETWEEN(8,12)/10,0)</f>
        <v>67234</v>
      </c>
      <c r="U50" s="4">
        <f ca="1">ROUND(_Google_ads[[#This Row],[clicks]]*RANDBETWEEN(8,12)/10,0)</f>
        <v>2457</v>
      </c>
      <c r="V50" s="4">
        <f ca="1">_Google_ads[[#This Row],[cost]]*RANDBETWEEN(8,12)/10</f>
        <v>494.03999999999996</v>
      </c>
      <c r="W50" s="4">
        <f ca="1">ROUND(_Google_ads[[#This Row],[conversions]]*RANDBETWEEN(8,12)/10,0)</f>
        <v>72</v>
      </c>
      <c r="X50" s="4">
        <f ca="1">ROUND(_Google_ads[[#This Row],[conversion_value]]*RANDBETWEEN(8,12)/10,0)</f>
        <v>3575</v>
      </c>
      <c r="Y50" s="4">
        <f ca="1">_Google_ads[[#This Row],[ctr]]*RANDBETWEEN(8,12)/10</f>
        <v>2.988E-2</v>
      </c>
      <c r="Z50" s="4">
        <f ca="1">_Google_ads[[#This Row],[avg_cpc]]*RANDBETWEEN(8,12)/10</f>
        <v>0.21600000000000003</v>
      </c>
      <c r="AA50" s="4">
        <f ca="1">ROUND(_Google_ads[[#This Row],[quality_score]]*RANDBETWEEN(8,12)/10,0)</f>
        <v>7</v>
      </c>
      <c r="AB50" s="4">
        <f ca="1">_Google_ads[[#This Row],[search_impression_share]]*RANDBETWEEN(8,12)/10</f>
        <v>0.72600000000000009</v>
      </c>
      <c r="AD50" s="3">
        <f t="shared" ca="1" si="7"/>
        <v>45019</v>
      </c>
      <c r="AE50" s="4" t="s">
        <v>108</v>
      </c>
      <c r="AF50" s="4" t="s">
        <v>109</v>
      </c>
      <c r="AG50" s="4" t="s">
        <v>110</v>
      </c>
      <c r="AH50" s="4" t="s">
        <v>111</v>
      </c>
      <c r="AI50" s="4">
        <f ca="1">ROUND(T_Tiktok_ads[[#This Row],[impressions]]*RANDBETWEEN(8,12)/10,0)</f>
        <v>212345</v>
      </c>
      <c r="AJ50" s="4">
        <f ca="1">ROUND(T_Tiktok_ads[[#This Row],[clicks]]*RANDBETWEEN(8,12)/10,0)</f>
        <v>3680</v>
      </c>
      <c r="AK50" s="4">
        <v>401.1</v>
      </c>
      <c r="AL50" s="4">
        <f ca="1">ROUND(T_Tiktok_ads[[#This Row],[conversions]]*RANDBETWEEN(8,12)/10,0)</f>
        <v>34</v>
      </c>
      <c r="AM50" s="4">
        <f ca="1">ROUND(T_Tiktok_ads[[#This Row],[video_views]]*RANDBETWEEN(8,12)/10,0)</f>
        <v>134312</v>
      </c>
      <c r="AN50" s="4">
        <f ca="1">ROUND(T_Tiktok_ads[[#This Row],[video_watch_25]]*RANDBETWEEN(8,12)/10,0)</f>
        <v>102587</v>
      </c>
      <c r="AO50" s="4">
        <f ca="1">ROUND(T_Tiktok_ads[[#This Row],[video_watch_50]]*RANDBETWEEN(8,12)/10,0)</f>
        <v>91111</v>
      </c>
      <c r="AP50" s="4">
        <f ca="1">ROUND(T_Tiktok_ads[[#This Row],[video_watch_75]]*RANDBETWEEN(8,12)/10,0)</f>
        <v>78281</v>
      </c>
      <c r="AQ50" s="4">
        <f ca="1">ROUND(T_Tiktok_ads[[#This Row],[video_watch_100]]*RANDBETWEEN(8,12)/10,0)</f>
        <v>47347</v>
      </c>
      <c r="AR50" s="4">
        <f ca="1">ROUND(T_Tiktok_ads[[#This Row],[likes]]*RANDBETWEEN(8,12)/10,0)</f>
        <v>9347</v>
      </c>
      <c r="AS50" s="4">
        <f ca="1">ROUND(T_Tiktok_ads[[#This Row],[shares]]*RANDBETWEEN(8,12)/10,0)</f>
        <v>2574</v>
      </c>
      <c r="AT50" s="4">
        <f ca="1">ROUND(T_Tiktok_ads[[#This Row],[comments]]*RANDBETWEEN(8,12)/10,0)</f>
        <v>512</v>
      </c>
      <c r="AV50" s="5">
        <f t="shared" ca="1" si="8"/>
        <v>45030</v>
      </c>
      <c r="AW50">
        <f t="shared" ca="1" si="4"/>
        <v>5</v>
      </c>
      <c r="AX50">
        <f ca="1">ROUND(T_Facebook_Ads11596367[[#This Row],[impressions]]*RANDBETWEEN(8,12)/10,0)</f>
        <v>32110</v>
      </c>
      <c r="AY50">
        <f ca="1">ROUND(T_Facebook_Ads11596367[[#This Row],[clicks]]*RANDBETWEEN(8,12)/10,0)</f>
        <v>1289</v>
      </c>
      <c r="AZ50">
        <f ca="1">T_Facebook_Ads11596367[[#This Row],[spend]]*RANDBETWEEN(8,12)/10</f>
        <v>173.00799999999998</v>
      </c>
      <c r="BA50">
        <f ca="1">ROUND(T_Facebook_Ads11596367[[#This Row],[conversions]]*RANDBETWEEN(8,12)/10,0)</f>
        <v>27</v>
      </c>
      <c r="BB50">
        <f ca="1">ROUND(T_Facebook_Ads11596367[[#This Row],[video_views]]*RANDBETWEEN(8,12)/10,0)</f>
        <v>5052</v>
      </c>
    </row>
    <row r="51" spans="1:54" ht="15.75" thickBot="1" x14ac:dyDescent="0.3">
      <c r="A51" s="3">
        <f t="shared" ca="1" si="5"/>
        <v>45023</v>
      </c>
      <c r="B51" s="4" t="s">
        <v>64</v>
      </c>
      <c r="C51" s="4" t="s">
        <v>65</v>
      </c>
      <c r="D51" s="4" t="s">
        <v>66</v>
      </c>
      <c r="E51" s="4" t="s">
        <v>67</v>
      </c>
      <c r="F51" s="4">
        <f ca="1">ROUND(T_Facebook_Ads[[#This Row],[impressions]]*RANDBETWEEN(8,12)/10,0)</f>
        <v>68456</v>
      </c>
      <c r="G51" s="4">
        <v>248</v>
      </c>
      <c r="H51" s="4">
        <f ca="1">T_Facebook_Ads[[#This Row],[spend]]*RANDBETWEEN(8,12)/10</f>
        <v>70.08</v>
      </c>
      <c r="I51" s="4">
        <f ca="1">ROUND(T_Facebook_Ads[[#This Row],[conversions]]*RANDBETWEEN(8,12)/10,0)</f>
        <v>5</v>
      </c>
      <c r="J51" s="4">
        <f ca="1">ROUND(T_Facebook_Ads[[#This Row],[video_views]]*RANDBETWEEN(8,12)/10,0)</f>
        <v>36987</v>
      </c>
      <c r="K51" s="4">
        <f ca="1">T_Facebook_Ads[[#This Row],[engagement_rate]]*RANDBETWEEN(8,12)/10</f>
        <v>3.2399999999999998E-3</v>
      </c>
      <c r="L51" s="4">
        <f ca="1">ROUND(T_Facebook_Ads[[#This Row],[reach]]*RANDBETWEEN(8,12)/10,0)</f>
        <v>51110</v>
      </c>
      <c r="M51" s="4">
        <f ca="1">T_Facebook_Ads[[#This Row],[frequency]]*RANDBETWEEN(8,12)/10</f>
        <v>1.089</v>
      </c>
      <c r="O51" s="3">
        <f t="shared" ca="1" si="6"/>
        <v>45019</v>
      </c>
      <c r="P51" s="4" t="s">
        <v>88</v>
      </c>
      <c r="Q51" s="4" t="s">
        <v>89</v>
      </c>
      <c r="R51" s="4" t="s">
        <v>90</v>
      </c>
      <c r="S51" s="4" t="s">
        <v>59</v>
      </c>
      <c r="T51" s="4">
        <f ca="1">ROUND(_Google_ads[[#This Row],[impressions]]*RANDBETWEEN(8,12)/10,0)</f>
        <v>116011</v>
      </c>
      <c r="U51" s="4">
        <f ca="1">ROUND(_Google_ads[[#This Row],[clicks]]*RANDBETWEEN(8,12)/10,0)</f>
        <v>514</v>
      </c>
      <c r="V51" s="4">
        <f ca="1">_Google_ads[[#This Row],[cost]]*RANDBETWEEN(8,12)/10</f>
        <v>114.03</v>
      </c>
      <c r="W51" s="4">
        <f ca="1">ROUND(_Google_ads[[#This Row],[conversions]]*RANDBETWEEN(8,12)/10,0)</f>
        <v>13</v>
      </c>
      <c r="X51" s="4">
        <f ca="1">ROUND(_Google_ads[[#This Row],[conversion_value]]*RANDBETWEEN(8,12)/10,0)</f>
        <v>715</v>
      </c>
      <c r="Y51" s="4">
        <f ca="1">_Google_ads[[#This Row],[ctr]]*RANDBETWEEN(8,12)/10</f>
        <v>3.5999999999999999E-3</v>
      </c>
      <c r="Z51" s="4">
        <f ca="1">_Google_ads[[#This Row],[avg_cpc]]*RANDBETWEEN(8,12)/10</f>
        <v>0.24300000000000002</v>
      </c>
      <c r="AA51" s="4">
        <f ca="1">ROUND(_Google_ads[[#This Row],[quality_score]]*RANDBETWEEN(8,12)/10,0)</f>
        <v>8</v>
      </c>
      <c r="AB51" s="4">
        <f ca="1">_Google_ads[[#This Row],[search_impression_share]]*RANDBETWEEN(8,12)/10</f>
        <v>0.27200000000000002</v>
      </c>
      <c r="AD51" s="3">
        <f t="shared" ca="1" si="7"/>
        <v>45030</v>
      </c>
      <c r="AE51" s="4" t="s">
        <v>112</v>
      </c>
      <c r="AF51" s="4" t="s">
        <v>113</v>
      </c>
      <c r="AG51" s="4" t="s">
        <v>114</v>
      </c>
      <c r="AH51" s="4" t="s">
        <v>115</v>
      </c>
      <c r="AI51" s="4">
        <f ca="1">ROUND(T_Tiktok_ads[[#This Row],[impressions]]*RANDBETWEEN(8,12)/10,0)</f>
        <v>303121</v>
      </c>
      <c r="AJ51" s="4">
        <f ca="1">ROUND(T_Tiktok_ads[[#This Row],[clicks]]*RANDBETWEEN(8,12)/10,0)</f>
        <v>4898</v>
      </c>
      <c r="AK51" s="4">
        <v>945.6</v>
      </c>
      <c r="AL51" s="4">
        <f ca="1">ROUND(T_Tiktok_ads[[#This Row],[conversions]]*RANDBETWEEN(8,12)/10,0)</f>
        <v>86</v>
      </c>
      <c r="AM51" s="4">
        <f ca="1">ROUND(T_Tiktok_ads[[#This Row],[video_views]]*RANDBETWEEN(8,12)/10,0)</f>
        <v>374814</v>
      </c>
      <c r="AN51" s="4">
        <f ca="1">ROUND(T_Tiktok_ads[[#This Row],[video_watch_25]]*RANDBETWEEN(8,12)/10,0)</f>
        <v>226111</v>
      </c>
      <c r="AO51" s="4">
        <f ca="1">ROUND(T_Tiktok_ads[[#This Row],[video_watch_50]]*RANDBETWEEN(8,12)/10,0)</f>
        <v>241481</v>
      </c>
      <c r="AP51" s="4">
        <f ca="1">ROUND(T_Tiktok_ads[[#This Row],[video_watch_75]]*RANDBETWEEN(8,12)/10,0)</f>
        <v>157802</v>
      </c>
      <c r="AQ51" s="4">
        <f ca="1">ROUND(T_Tiktok_ads[[#This Row],[video_watch_100]]*RANDBETWEEN(8,12)/10,0)</f>
        <v>95234</v>
      </c>
      <c r="AR51" s="4">
        <f ca="1">ROUND(T_Tiktok_ads[[#This Row],[likes]]*RANDBETWEEN(8,12)/10,0)</f>
        <v>16567</v>
      </c>
      <c r="AS51" s="4">
        <f ca="1">ROUND(T_Tiktok_ads[[#This Row],[shares]]*RANDBETWEEN(8,12)/10,0)</f>
        <v>5305</v>
      </c>
      <c r="AT51" s="4">
        <f ca="1">ROUND(T_Tiktok_ads[[#This Row],[comments]]*RANDBETWEEN(8,12)/10,0)</f>
        <v>1574</v>
      </c>
      <c r="AV51" s="5">
        <f t="shared" ca="1" si="8"/>
        <v>45019</v>
      </c>
      <c r="AW51">
        <f t="shared" ca="1" si="4"/>
        <v>1</v>
      </c>
      <c r="AX51">
        <f ca="1">ROUND(T_Facebook_Ads11596367[[#This Row],[impressions]]*RANDBETWEEN(8,12)/10,0)</f>
        <v>54765</v>
      </c>
      <c r="AY51">
        <f ca="1">ROUND(T_Facebook_Ads11596367[[#This Row],[clicks]]*RANDBETWEEN(8,12)/10,0)</f>
        <v>198</v>
      </c>
      <c r="AZ51">
        <f ca="1">T_Facebook_Ads11596367[[#This Row],[spend]]*RANDBETWEEN(8,12)/10</f>
        <v>84.096000000000004</v>
      </c>
      <c r="BA51">
        <f ca="1">ROUND(T_Facebook_Ads11596367[[#This Row],[conversions]]*RANDBETWEEN(8,12)/10,0)</f>
        <v>6</v>
      </c>
      <c r="BB51">
        <f ca="1">ROUND(T_Facebook_Ads11596367[[#This Row],[video_views]]*RANDBETWEEN(8,12)/10,0)</f>
        <v>44384</v>
      </c>
    </row>
    <row r="52" spans="1:54" ht="15.75" thickBot="1" x14ac:dyDescent="0.3">
      <c r="A52" s="3">
        <f t="shared" ca="1" si="5"/>
        <v>45038</v>
      </c>
      <c r="B52" s="4" t="s">
        <v>52</v>
      </c>
      <c r="C52" s="4" t="s">
        <v>53</v>
      </c>
      <c r="D52" s="4" t="s">
        <v>54</v>
      </c>
      <c r="E52" s="4" t="s">
        <v>55</v>
      </c>
      <c r="F52" s="4">
        <f ca="1">ROUND(T_Facebook_Ads[[#This Row],[impressions]]*RANDBETWEEN(8,12)/10,0)</f>
        <v>40187</v>
      </c>
      <c r="G52" s="4">
        <v>1023</v>
      </c>
      <c r="H52" s="4">
        <f ca="1">T_Facebook_Ads[[#This Row],[spend]]*RANDBETWEEN(8,12)/10</f>
        <v>172.56</v>
      </c>
      <c r="I52" s="4">
        <f ca="1">ROUND(T_Facebook_Ads[[#This Row],[conversions]]*RANDBETWEEN(8,12)/10,0)</f>
        <v>18</v>
      </c>
      <c r="J52" s="4">
        <f ca="1">ROUND(T_Facebook_Ads[[#This Row],[video_views]]*RANDBETWEEN(8,12)/10,0)</f>
        <v>7387</v>
      </c>
      <c r="K52" s="4">
        <f ca="1">T_Facebook_Ads[[#This Row],[engagement_rate]]*RANDBETWEEN(8,12)/10</f>
        <v>2.4480000000000002E-2</v>
      </c>
      <c r="L52" s="4">
        <f ca="1">ROUND(T_Facebook_Ads[[#This Row],[reach]]*RANDBETWEEN(8,12)/10,0)</f>
        <v>38111</v>
      </c>
      <c r="M52" s="4">
        <f ca="1">T_Facebook_Ads[[#This Row],[frequency]]*RANDBETWEEN(8,12)/10</f>
        <v>1.3089999999999999</v>
      </c>
      <c r="O52" s="3">
        <f t="shared" ca="1" si="6"/>
        <v>45019</v>
      </c>
      <c r="P52" s="4" t="s">
        <v>76</v>
      </c>
      <c r="Q52" s="4" t="s">
        <v>77</v>
      </c>
      <c r="R52" s="4" t="s">
        <v>78</v>
      </c>
      <c r="S52" s="4" t="s">
        <v>79</v>
      </c>
      <c r="T52" s="4">
        <f ca="1">ROUND(_Google_ads[[#This Row],[impressions]]*RANDBETWEEN(8,12)/10,0)</f>
        <v>22910</v>
      </c>
      <c r="U52" s="4">
        <f ca="1">ROUND(_Google_ads[[#This Row],[clicks]]*RANDBETWEEN(8,12)/10,0)</f>
        <v>1614</v>
      </c>
      <c r="V52" s="4">
        <f ca="1">_Google_ads[[#This Row],[cost]]*RANDBETWEEN(8,12)/10</f>
        <v>308.76000000000005</v>
      </c>
      <c r="W52" s="4">
        <f ca="1">ROUND(_Google_ads[[#This Row],[conversions]]*RANDBETWEEN(8,12)/10,0)</f>
        <v>61</v>
      </c>
      <c r="X52" s="4">
        <f ca="1">ROUND(_Google_ads[[#This Row],[conversion_value]]*RANDBETWEEN(8,12)/10,0)</f>
        <v>2040</v>
      </c>
      <c r="Y52" s="4">
        <f ca="1">_Google_ads[[#This Row],[ctr]]*RANDBETWEEN(8,12)/10</f>
        <v>4.752E-2</v>
      </c>
      <c r="Z52" s="4">
        <f ca="1">_Google_ads[[#This Row],[avg_cpc]]*RANDBETWEEN(8,12)/10</f>
        <v>0.20899999999999999</v>
      </c>
      <c r="AA52" s="4">
        <f ca="1">ROUND(_Google_ads[[#This Row],[quality_score]]*RANDBETWEEN(8,12)/10,0)</f>
        <v>7</v>
      </c>
      <c r="AB52" s="4">
        <f ca="1">_Google_ads[[#This Row],[search_impression_share]]*RANDBETWEEN(8,12)/10</f>
        <v>0.92000000000000015</v>
      </c>
      <c r="AD52" s="3">
        <f t="shared" ca="1" si="7"/>
        <v>45028</v>
      </c>
      <c r="AE52" s="4" t="s">
        <v>100</v>
      </c>
      <c r="AF52" s="4" t="s">
        <v>101</v>
      </c>
      <c r="AG52" s="4" t="s">
        <v>102</v>
      </c>
      <c r="AH52" s="4" t="s">
        <v>103</v>
      </c>
      <c r="AI52" s="4">
        <f ca="1">ROUND(T_Tiktok_ads[[#This Row],[impressions]]*RANDBETWEEN(8,12)/10,0)</f>
        <v>289012</v>
      </c>
      <c r="AJ52" s="4">
        <f ca="1">ROUND(T_Tiktok_ads[[#This Row],[clicks]]*RANDBETWEEN(8,12)/10,0)</f>
        <v>4657</v>
      </c>
      <c r="AK52" s="4">
        <v>556.70000000000005</v>
      </c>
      <c r="AL52" s="4">
        <f ca="1">ROUND(T_Tiktok_ads[[#This Row],[conversions]]*RANDBETWEEN(8,12)/10,0)</f>
        <v>43</v>
      </c>
      <c r="AM52" s="4">
        <f ca="1">ROUND(T_Tiktok_ads[[#This Row],[video_views]]*RANDBETWEEN(8,12)/10,0)</f>
        <v>281480</v>
      </c>
      <c r="AN52" s="4">
        <f ca="1">ROUND(T_Tiktok_ads[[#This Row],[video_watch_25]]*RANDBETWEEN(8,12)/10,0)</f>
        <v>218814</v>
      </c>
      <c r="AO52" s="4">
        <f ca="1">ROUND(T_Tiktok_ads[[#This Row],[video_watch_50]]*RANDBETWEEN(8,12)/10,0)</f>
        <v>114567</v>
      </c>
      <c r="AP52" s="4">
        <f ca="1">ROUND(T_Tiktok_ads[[#This Row],[video_watch_75]]*RANDBETWEEN(8,12)/10,0)</f>
        <v>84957</v>
      </c>
      <c r="AQ52" s="4">
        <f ca="1">ROUND(T_Tiktok_ads[[#This Row],[video_watch_100]]*RANDBETWEEN(8,12)/10,0)</f>
        <v>61481</v>
      </c>
      <c r="AR52" s="4">
        <f ca="1">ROUND(T_Tiktok_ads[[#This Row],[likes]]*RANDBETWEEN(8,12)/10,0)</f>
        <v>12414</v>
      </c>
      <c r="AS52" s="4">
        <f ca="1">ROUND(T_Tiktok_ads[[#This Row],[shares]]*RANDBETWEEN(8,12)/10,0)</f>
        <v>2510</v>
      </c>
      <c r="AT52" s="4">
        <f ca="1">ROUND(T_Tiktok_ads[[#This Row],[comments]]*RANDBETWEEN(8,12)/10,0)</f>
        <v>525</v>
      </c>
      <c r="AV52" s="5">
        <f t="shared" ca="1" si="8"/>
        <v>45026</v>
      </c>
      <c r="AW52">
        <f t="shared" ca="1" si="4"/>
        <v>6</v>
      </c>
      <c r="AX52">
        <f ca="1">ROUND(T_Facebook_Ads11596367[[#This Row],[impressions]]*RANDBETWEEN(8,12)/10,0)</f>
        <v>36168</v>
      </c>
      <c r="AY52">
        <f ca="1">ROUND(T_Facebook_Ads11596367[[#This Row],[clicks]]*RANDBETWEEN(8,12)/10,0)</f>
        <v>921</v>
      </c>
      <c r="AZ52">
        <f ca="1">T_Facebook_Ads11596367[[#This Row],[spend]]*RANDBETWEEN(8,12)/10</f>
        <v>172.56</v>
      </c>
      <c r="BA52">
        <f ca="1">ROUND(T_Facebook_Ads11596367[[#This Row],[conversions]]*RANDBETWEEN(8,12)/10,0)</f>
        <v>16</v>
      </c>
      <c r="BB52">
        <f ca="1">ROUND(T_Facebook_Ads11596367[[#This Row],[video_views]]*RANDBETWEEN(8,12)/10,0)</f>
        <v>7387</v>
      </c>
    </row>
    <row r="53" spans="1:54" ht="15.75" thickBot="1" x14ac:dyDescent="0.3">
      <c r="A53" s="3">
        <f t="shared" ca="1" si="5"/>
        <v>45033</v>
      </c>
      <c r="B53" s="4" t="s">
        <v>56</v>
      </c>
      <c r="C53" s="4" t="s">
        <v>57</v>
      </c>
      <c r="D53" s="4" t="s">
        <v>58</v>
      </c>
      <c r="E53" s="4" t="s">
        <v>59</v>
      </c>
      <c r="F53" s="4">
        <f ca="1">ROUND(T_Facebook_Ads[[#This Row],[impressions]]*RANDBETWEEN(8,12)/10,0)</f>
        <v>17081</v>
      </c>
      <c r="G53" s="4">
        <v>678</v>
      </c>
      <c r="H53" s="4">
        <f ca="1">T_Facebook_Ads[[#This Row],[spend]]*RANDBETWEEN(8,12)/10</f>
        <v>273.35000000000002</v>
      </c>
      <c r="I53" s="4">
        <f ca="1">ROUND(T_Facebook_Ads[[#This Row],[conversions]]*RANDBETWEEN(8,12)/10,0)</f>
        <v>50</v>
      </c>
      <c r="J53" s="4">
        <f ca="1">ROUND(T_Facebook_Ads[[#This Row],[video_views]]*RANDBETWEEN(8,12)/10,0)</f>
        <v>1410</v>
      </c>
      <c r="K53" s="4">
        <f ca="1">T_Facebook_Ads[[#This Row],[engagement_rate]]*RANDBETWEEN(8,12)/10</f>
        <v>5.2469999999999996E-2</v>
      </c>
      <c r="L53" s="4">
        <f ca="1">ROUND(T_Facebook_Ads[[#This Row],[reach]]*RANDBETWEEN(8,12)/10,0)</f>
        <v>13481</v>
      </c>
      <c r="M53" s="4">
        <f ca="1">T_Facebook_Ads[[#This Row],[frequency]]*RANDBETWEEN(8,12)/10</f>
        <v>1.524</v>
      </c>
      <c r="O53" s="3">
        <f t="shared" ca="1" si="6"/>
        <v>45028</v>
      </c>
      <c r="P53" s="4" t="s">
        <v>80</v>
      </c>
      <c r="Q53" s="4" t="s">
        <v>81</v>
      </c>
      <c r="R53" s="4" t="s">
        <v>82</v>
      </c>
      <c r="S53" s="4" t="s">
        <v>83</v>
      </c>
      <c r="T53" s="4">
        <f ca="1">ROUND(_Google_ads[[#This Row],[impressions]]*RANDBETWEEN(8,12)/10,0)</f>
        <v>50246</v>
      </c>
      <c r="U53" s="4">
        <f ca="1">ROUND(_Google_ads[[#This Row],[clicks]]*RANDBETWEEN(8,12)/10,0)</f>
        <v>1081</v>
      </c>
      <c r="V53" s="4">
        <f ca="1">_Google_ads[[#This Row],[cost]]*RANDBETWEEN(8,12)/10</f>
        <v>526.04999999999995</v>
      </c>
      <c r="W53" s="4">
        <f ca="1">ROUND(_Google_ads[[#This Row],[conversions]]*RANDBETWEEN(8,12)/10,0)</f>
        <v>22</v>
      </c>
      <c r="X53" s="4">
        <f ca="1">ROUND(_Google_ads[[#This Row],[conversion_value]]*RANDBETWEEN(8,12)/10,0)</f>
        <v>1440</v>
      </c>
      <c r="Y53" s="4">
        <f ca="1">_Google_ads[[#This Row],[ctr]]*RANDBETWEEN(8,12)/10</f>
        <v>2.1669999999999998E-2</v>
      </c>
      <c r="Z53" s="4">
        <f ca="1">_Google_ads[[#This Row],[avg_cpc]]*RANDBETWEEN(8,12)/10</f>
        <v>0.78</v>
      </c>
      <c r="AA53" s="4">
        <f ca="1">ROUND(_Google_ads[[#This Row],[quality_score]]*RANDBETWEEN(8,12)/10,0)</f>
        <v>7</v>
      </c>
      <c r="AB53" s="4">
        <f ca="1">_Google_ads[[#This Row],[search_impression_share]]*RANDBETWEEN(8,12)/10</f>
        <v>0.40499999999999997</v>
      </c>
      <c r="AD53" s="3">
        <f t="shared" ca="1" si="7"/>
        <v>45021</v>
      </c>
      <c r="AE53" s="4" t="s">
        <v>104</v>
      </c>
      <c r="AF53" s="4" t="s">
        <v>105</v>
      </c>
      <c r="AG53" s="4" t="s">
        <v>106</v>
      </c>
      <c r="AH53" s="4" t="s">
        <v>107</v>
      </c>
      <c r="AI53" s="4">
        <f ca="1">ROUND(T_Tiktok_ads[[#This Row],[impressions]]*RANDBETWEEN(8,12)/10,0)</f>
        <v>156789</v>
      </c>
      <c r="AJ53" s="4">
        <f ca="1">ROUND(T_Tiktok_ads[[#This Row],[clicks]]*RANDBETWEEN(8,12)/10,0)</f>
        <v>3313</v>
      </c>
      <c r="AK53" s="4">
        <v>812.3</v>
      </c>
      <c r="AL53" s="4">
        <f ca="1">ROUND(T_Tiktok_ads[[#This Row],[conversions]]*RANDBETWEEN(8,12)/10,0)</f>
        <v>90</v>
      </c>
      <c r="AM53" s="4">
        <f ca="1">ROUND(T_Tiktok_ads[[#This Row],[video_views]]*RANDBETWEEN(8,12)/10,0)</f>
        <v>87901</v>
      </c>
      <c r="AN53" s="4">
        <f ca="1">ROUND(T_Tiktok_ads[[#This Row],[video_watch_25]]*RANDBETWEEN(8,12)/10,0)</f>
        <v>97481</v>
      </c>
      <c r="AO53" s="4">
        <f ca="1">ROUND(T_Tiktok_ads[[#This Row],[video_watch_50]]*RANDBETWEEN(8,12)/10,0)</f>
        <v>49210</v>
      </c>
      <c r="AP53" s="4">
        <f ca="1">ROUND(T_Tiktok_ads[[#This Row],[video_watch_75]]*RANDBETWEEN(8,12)/10,0)</f>
        <v>41234</v>
      </c>
      <c r="AQ53" s="4">
        <f ca="1">ROUND(T_Tiktok_ads[[#This Row],[video_watch_100]]*RANDBETWEEN(8,12)/10,0)</f>
        <v>33080</v>
      </c>
      <c r="AR53" s="4">
        <f ca="1">ROUND(T_Tiktok_ads[[#This Row],[likes]]*RANDBETWEEN(8,12)/10,0)</f>
        <v>6547</v>
      </c>
      <c r="AS53" s="4">
        <f ca="1">ROUND(T_Tiktok_ads[[#This Row],[shares]]*RANDBETWEEN(8,12)/10,0)</f>
        <v>1410</v>
      </c>
      <c r="AT53" s="4">
        <f ca="1">ROUND(T_Tiktok_ads[[#This Row],[comments]]*RANDBETWEEN(8,12)/10,0)</f>
        <v>289</v>
      </c>
      <c r="AV53" s="5">
        <f t="shared" ca="1" si="8"/>
        <v>45037</v>
      </c>
      <c r="AW53">
        <f t="shared" ca="1" si="4"/>
        <v>1</v>
      </c>
      <c r="AX53">
        <f ca="1">ROUND(T_Facebook_Ads11596367[[#This Row],[impressions]]*RANDBETWEEN(8,12)/10,0)</f>
        <v>20497</v>
      </c>
      <c r="AY53">
        <f ca="1">ROUND(T_Facebook_Ads11596367[[#This Row],[clicks]]*RANDBETWEEN(8,12)/10,0)</f>
        <v>610</v>
      </c>
      <c r="AZ53">
        <f ca="1">T_Facebook_Ads11596367[[#This Row],[spend]]*RANDBETWEEN(8,12)/10</f>
        <v>300.68500000000006</v>
      </c>
      <c r="BA53">
        <f ca="1">ROUND(T_Facebook_Ads11596367[[#This Row],[conversions]]*RANDBETWEEN(8,12)/10,0)</f>
        <v>50</v>
      </c>
      <c r="BB53">
        <f ca="1">ROUND(T_Facebook_Ads11596367[[#This Row],[video_views]]*RANDBETWEEN(8,12)/10,0)</f>
        <v>1128</v>
      </c>
    </row>
    <row r="54" spans="1:54" ht="15.75" thickBot="1" x14ac:dyDescent="0.3">
      <c r="A54" s="3">
        <f t="shared" ca="1" si="5"/>
        <v>45021</v>
      </c>
      <c r="B54" s="4" t="s">
        <v>60</v>
      </c>
      <c r="C54" s="4" t="s">
        <v>61</v>
      </c>
      <c r="D54" s="4" t="s">
        <v>62</v>
      </c>
      <c r="E54" s="4" t="s">
        <v>63</v>
      </c>
      <c r="F54" s="4">
        <f ca="1">ROUND(T_Facebook_Ads[[#This Row],[impressions]]*RANDBETWEEN(8,12)/10,0)</f>
        <v>46147</v>
      </c>
      <c r="G54" s="4">
        <v>1423</v>
      </c>
      <c r="H54" s="4">
        <f ca="1">T_Facebook_Ads[[#This Row],[spend]]*RANDBETWEEN(8,12)/10</f>
        <v>174.95999999999998</v>
      </c>
      <c r="I54" s="4">
        <f ca="1">ROUND(T_Facebook_Ads[[#This Row],[conversions]]*RANDBETWEEN(8,12)/10,0)</f>
        <v>33</v>
      </c>
      <c r="J54" s="4">
        <f ca="1">ROUND(T_Facebook_Ads[[#This Row],[video_views]]*RANDBETWEEN(8,12)/10,0)</f>
        <v>5635</v>
      </c>
      <c r="K54" s="4">
        <f ca="1">T_Facebook_Ads[[#This Row],[engagement_rate]]*RANDBETWEEN(8,12)/10</f>
        <v>3.6999999999999998E-2</v>
      </c>
      <c r="L54" s="4">
        <f ca="1">ROUND(T_Facebook_Ads[[#This Row],[reach]]*RANDBETWEEN(8,12)/10,0)</f>
        <v>31234</v>
      </c>
      <c r="M54" s="4">
        <f ca="1">T_Facebook_Ads[[#This Row],[frequency]]*RANDBETWEEN(8,12)/10</f>
        <v>1.353</v>
      </c>
      <c r="O54" s="3">
        <f t="shared" ca="1" si="6"/>
        <v>45024</v>
      </c>
      <c r="P54" s="4" t="s">
        <v>84</v>
      </c>
      <c r="Q54" s="4" t="s">
        <v>85</v>
      </c>
      <c r="R54" s="4" t="s">
        <v>86</v>
      </c>
      <c r="S54" s="4" t="s">
        <v>87</v>
      </c>
      <c r="T54" s="4">
        <f ca="1">ROUND(_Google_ads[[#This Row],[impressions]]*RANDBETWEEN(8,12)/10,0)</f>
        <v>77135</v>
      </c>
      <c r="U54" s="4">
        <f ca="1">ROUND(_Google_ads[[#This Row],[clicks]]*RANDBETWEEN(8,12)/10,0)</f>
        <v>1902</v>
      </c>
      <c r="V54" s="4">
        <f ca="1">_Google_ads[[#This Row],[cost]]*RANDBETWEEN(8,12)/10</f>
        <v>435.8</v>
      </c>
      <c r="W54" s="4">
        <f ca="1">ROUND(_Google_ads[[#This Row],[conversions]]*RANDBETWEEN(8,12)/10,0)</f>
        <v>76</v>
      </c>
      <c r="X54" s="4">
        <f ca="1">ROUND(_Google_ads[[#This Row],[conversion_value]]*RANDBETWEEN(8,12)/10,0)</f>
        <v>2760</v>
      </c>
      <c r="Y54" s="4">
        <f ca="1">_Google_ads[[#This Row],[ctr]]*RANDBETWEEN(8,12)/10</f>
        <v>4.0680000000000001E-2</v>
      </c>
      <c r="Z54" s="4">
        <f ca="1">_Google_ads[[#This Row],[avg_cpc]]*RANDBETWEEN(8,12)/10</f>
        <v>0.19800000000000001</v>
      </c>
      <c r="AA54" s="4">
        <f ca="1">ROUND(_Google_ads[[#This Row],[quality_score]]*RANDBETWEEN(8,12)/10,0)</f>
        <v>9</v>
      </c>
      <c r="AB54" s="4">
        <f ca="1">_Google_ads[[#This Row],[search_impression_share]]*RANDBETWEEN(8,12)/10</f>
        <v>0.80400000000000005</v>
      </c>
      <c r="AD54" s="3">
        <f t="shared" ca="1" si="7"/>
        <v>45036</v>
      </c>
      <c r="AE54" s="4" t="s">
        <v>108</v>
      </c>
      <c r="AF54" s="4" t="s">
        <v>109</v>
      </c>
      <c r="AG54" s="4" t="s">
        <v>110</v>
      </c>
      <c r="AH54" s="4" t="s">
        <v>111</v>
      </c>
      <c r="AI54" s="4">
        <f ca="1">ROUND(T_Tiktok_ads[[#This Row],[impressions]]*RANDBETWEEN(8,12)/10,0)</f>
        <v>270246</v>
      </c>
      <c r="AJ54" s="4">
        <f ca="1">ROUND(T_Tiktok_ads[[#This Row],[clicks]]*RANDBETWEEN(8,12)/10,0)</f>
        <v>4279</v>
      </c>
      <c r="AK54" s="4">
        <v>467.8</v>
      </c>
      <c r="AL54" s="4">
        <f ca="1">ROUND(T_Tiktok_ads[[#This Row],[conversions]]*RANDBETWEEN(8,12)/10,0)</f>
        <v>27</v>
      </c>
      <c r="AM54" s="4">
        <f ca="1">ROUND(T_Tiktok_ads[[#This Row],[video_views]]*RANDBETWEEN(8,12)/10,0)</f>
        <v>176110</v>
      </c>
      <c r="AN54" s="4">
        <f ca="1">ROUND(T_Tiktok_ads[[#This Row],[video_watch_25]]*RANDBETWEEN(8,12)/10,0)</f>
        <v>177881</v>
      </c>
      <c r="AO54" s="4">
        <f ca="1">ROUND(T_Tiktok_ads[[#This Row],[video_watch_50]]*RANDBETWEEN(8,12)/10,0)</f>
        <v>128957</v>
      </c>
      <c r="AP54" s="4">
        <f ca="1">ROUND(T_Tiktok_ads[[#This Row],[video_watch_75]]*RANDBETWEEN(8,12)/10,0)</f>
        <v>90281</v>
      </c>
      <c r="AQ54" s="4">
        <f ca="1">ROUND(T_Tiktok_ads[[#This Row],[video_watch_100]]*RANDBETWEEN(8,12)/10,0)</f>
        <v>45789</v>
      </c>
      <c r="AR54" s="4">
        <f ca="1">ROUND(T_Tiktok_ads[[#This Row],[likes]]*RANDBETWEEN(8,12)/10,0)</f>
        <v>6854</v>
      </c>
      <c r="AS54" s="4">
        <f ca="1">ROUND(T_Tiktok_ads[[#This Row],[shares]]*RANDBETWEEN(8,12)/10,0)</f>
        <v>2111</v>
      </c>
      <c r="AT54" s="4">
        <f ca="1">ROUND(T_Tiktok_ads[[#This Row],[comments]]*RANDBETWEEN(8,12)/10,0)</f>
        <v>567</v>
      </c>
      <c r="AV54" s="5">
        <f t="shared" ca="1" si="8"/>
        <v>45037</v>
      </c>
      <c r="AW54">
        <f t="shared" ca="1" si="4"/>
        <v>7</v>
      </c>
      <c r="AX54">
        <f ca="1">ROUND(T_Facebook_Ads11596367[[#This Row],[impressions]]*RANDBETWEEN(8,12)/10,0)</f>
        <v>46147</v>
      </c>
      <c r="AY54">
        <f ca="1">ROUND(T_Facebook_Ads11596367[[#This Row],[clicks]]*RANDBETWEEN(8,12)/10,0)</f>
        <v>1565</v>
      </c>
      <c r="AZ54">
        <f ca="1">T_Facebook_Ads11596367[[#This Row],[spend]]*RANDBETWEEN(8,12)/10</f>
        <v>139.96799999999999</v>
      </c>
      <c r="BA54">
        <f ca="1">ROUND(T_Facebook_Ads11596367[[#This Row],[conversions]]*RANDBETWEEN(8,12)/10,0)</f>
        <v>26</v>
      </c>
      <c r="BB54">
        <f ca="1">ROUND(T_Facebook_Ads11596367[[#This Row],[video_views]]*RANDBETWEEN(8,12)/10,0)</f>
        <v>6762</v>
      </c>
    </row>
    <row r="55" spans="1:54" ht="15.75" thickBot="1" x14ac:dyDescent="0.3">
      <c r="A55" s="3">
        <f t="shared" ca="1" si="5"/>
        <v>45023</v>
      </c>
      <c r="B55" s="4" t="s">
        <v>64</v>
      </c>
      <c r="C55" s="4" t="s">
        <v>65</v>
      </c>
      <c r="D55" s="4" t="s">
        <v>66</v>
      </c>
      <c r="E55" s="4" t="s">
        <v>67</v>
      </c>
      <c r="F55" s="4">
        <f ca="1">ROUND(T_Facebook_Ads[[#This Row],[impressions]]*RANDBETWEEN(8,12)/10,0)</f>
        <v>80802</v>
      </c>
      <c r="G55" s="4">
        <v>267</v>
      </c>
      <c r="H55" s="4">
        <f ca="1">T_Facebook_Ads[[#This Row],[spend]]*RANDBETWEEN(8,12)/10</f>
        <v>75.36</v>
      </c>
      <c r="I55" s="4">
        <f ca="1">ROUND(T_Facebook_Ads[[#This Row],[conversions]]*RANDBETWEEN(8,12)/10,0)</f>
        <v>6</v>
      </c>
      <c r="J55" s="4">
        <f ca="1">ROUND(T_Facebook_Ads[[#This Row],[video_views]]*RANDBETWEEN(8,12)/10,0)</f>
        <v>44901</v>
      </c>
      <c r="K55" s="4">
        <f ca="1">T_Facebook_Ads[[#This Row],[engagement_rate]]*RANDBETWEEN(8,12)/10</f>
        <v>3.96E-3</v>
      </c>
      <c r="L55" s="4">
        <f ca="1">ROUND(T_Facebook_Ads[[#This Row],[reach]]*RANDBETWEEN(8,12)/10,0)</f>
        <v>71480</v>
      </c>
      <c r="M55" s="4">
        <f ca="1">T_Facebook_Ads[[#This Row],[frequency]]*RANDBETWEEN(8,12)/10</f>
        <v>1.1160000000000001</v>
      </c>
      <c r="O55" s="3">
        <f t="shared" ca="1" si="6"/>
        <v>45034</v>
      </c>
      <c r="P55" s="4" t="s">
        <v>88</v>
      </c>
      <c r="Q55" s="4" t="s">
        <v>89</v>
      </c>
      <c r="R55" s="4" t="s">
        <v>90</v>
      </c>
      <c r="S55" s="4" t="s">
        <v>59</v>
      </c>
      <c r="T55" s="4">
        <f ca="1">ROUND(_Google_ads[[#This Row],[impressions]]*RANDBETWEEN(8,12)/10,0)</f>
        <v>106054</v>
      </c>
      <c r="U55" s="4">
        <f ca="1">ROUND(_Google_ads[[#This Row],[clicks]]*RANDBETWEEN(8,12)/10,0)</f>
        <v>538</v>
      </c>
      <c r="V55" s="4">
        <f ca="1">_Google_ads[[#This Row],[cost]]*RANDBETWEEN(8,12)/10</f>
        <v>130.5</v>
      </c>
      <c r="W55" s="4">
        <f ca="1">ROUND(_Google_ads[[#This Row],[conversions]]*RANDBETWEEN(8,12)/10,0)</f>
        <v>17</v>
      </c>
      <c r="X55" s="4">
        <f ca="1">ROUND(_Google_ads[[#This Row],[conversion_value]]*RANDBETWEEN(8,12)/10,0)</f>
        <v>630</v>
      </c>
      <c r="Y55" s="4">
        <f ca="1">_Google_ads[[#This Row],[ctr]]*RANDBETWEEN(8,12)/10</f>
        <v>2.96E-3</v>
      </c>
      <c r="Z55" s="4">
        <f ca="1">_Google_ads[[#This Row],[avg_cpc]]*RANDBETWEEN(8,12)/10</f>
        <v>0.21600000000000003</v>
      </c>
      <c r="AA55" s="4">
        <f ca="1">ROUND(_Google_ads[[#This Row],[quality_score]]*RANDBETWEEN(8,12)/10,0)</f>
        <v>7</v>
      </c>
      <c r="AB55" s="4">
        <f ca="1">_Google_ads[[#This Row],[search_impression_share]]*RANDBETWEEN(8,12)/10</f>
        <v>0.38499999999999995</v>
      </c>
      <c r="AD55" s="3">
        <f t="shared" ca="1" si="7"/>
        <v>45046</v>
      </c>
      <c r="AE55" s="4" t="s">
        <v>112</v>
      </c>
      <c r="AF55" s="4" t="s">
        <v>113</v>
      </c>
      <c r="AG55" s="4" t="s">
        <v>114</v>
      </c>
      <c r="AH55" s="4" t="s">
        <v>115</v>
      </c>
      <c r="AI55" s="4">
        <f ca="1">ROUND(T_Tiktok_ads[[#This Row],[impressions]]*RANDBETWEEN(8,12)/10,0)</f>
        <v>381110</v>
      </c>
      <c r="AJ55" s="4">
        <f ca="1">ROUND(T_Tiktok_ads[[#This Row],[clicks]]*RANDBETWEEN(8,12)/10,0)</f>
        <v>7579</v>
      </c>
      <c r="AK55" s="4">
        <v>1056.8</v>
      </c>
      <c r="AL55" s="4">
        <f ca="1">ROUND(T_Tiktok_ads[[#This Row],[conversions]]*RANDBETWEEN(8,12)/10,0)</f>
        <v>86</v>
      </c>
      <c r="AM55" s="4">
        <f ca="1">ROUND(T_Tiktok_ads[[#This Row],[video_views]]*RANDBETWEEN(8,12)/10,0)</f>
        <v>392468</v>
      </c>
      <c r="AN55" s="4">
        <f ca="1">ROUND(T_Tiktok_ads[[#This Row],[video_watch_25]]*RANDBETWEEN(8,12)/10,0)</f>
        <v>289234</v>
      </c>
      <c r="AO55" s="4">
        <f ca="1">ROUND(T_Tiktok_ads[[#This Row],[video_watch_50]]*RANDBETWEEN(8,12)/10,0)</f>
        <v>254602</v>
      </c>
      <c r="AP55" s="4">
        <f ca="1">ROUND(T_Tiktok_ads[[#This Row],[video_watch_75]]*RANDBETWEEN(8,12)/10,0)</f>
        <v>131654</v>
      </c>
      <c r="AQ55" s="4">
        <f ca="1">ROUND(T_Tiktok_ads[[#This Row],[video_watch_100]]*RANDBETWEEN(8,12)/10,0)</f>
        <v>120157</v>
      </c>
      <c r="AR55" s="4">
        <f ca="1">ROUND(T_Tiktok_ads[[#This Row],[likes]]*RANDBETWEEN(8,12)/10,0)</f>
        <v>15112</v>
      </c>
      <c r="AS55" s="4">
        <f ca="1">ROUND(T_Tiktok_ads[[#This Row],[shares]]*RANDBETWEEN(8,12)/10,0)</f>
        <v>4910</v>
      </c>
      <c r="AT55" s="4">
        <f ca="1">ROUND(T_Tiktok_ads[[#This Row],[comments]]*RANDBETWEEN(8,12)/10,0)</f>
        <v>1489</v>
      </c>
      <c r="AV55" s="5">
        <f t="shared" ca="1" si="8"/>
        <v>45035</v>
      </c>
      <c r="AW55">
        <f t="shared" ca="1" si="4"/>
        <v>8</v>
      </c>
      <c r="AX55">
        <f ca="1">ROUND(T_Facebook_Ads11596367[[#This Row],[impressions]]*RANDBETWEEN(8,12)/10,0)</f>
        <v>96962</v>
      </c>
      <c r="AY55">
        <f ca="1">ROUND(T_Facebook_Ads11596367[[#This Row],[clicks]]*RANDBETWEEN(8,12)/10,0)</f>
        <v>240</v>
      </c>
      <c r="AZ55">
        <f ca="1">T_Facebook_Ads11596367[[#This Row],[spend]]*RANDBETWEEN(8,12)/10</f>
        <v>82.896000000000001</v>
      </c>
      <c r="BA55">
        <f ca="1">ROUND(T_Facebook_Ads11596367[[#This Row],[conversions]]*RANDBETWEEN(8,12)/10,0)</f>
        <v>5</v>
      </c>
      <c r="BB55">
        <f ca="1">ROUND(T_Facebook_Ads11596367[[#This Row],[video_views]]*RANDBETWEEN(8,12)/10,0)</f>
        <v>40411</v>
      </c>
    </row>
    <row r="56" spans="1:54" ht="15.75" thickBot="1" x14ac:dyDescent="0.3">
      <c r="A56" s="3">
        <f t="shared" ca="1" si="5"/>
        <v>45030</v>
      </c>
      <c r="B56" s="4" t="s">
        <v>52</v>
      </c>
      <c r="C56" s="4" t="s">
        <v>53</v>
      </c>
      <c r="D56" s="4" t="s">
        <v>54</v>
      </c>
      <c r="E56" s="4" t="s">
        <v>55</v>
      </c>
      <c r="F56" s="4">
        <f ca="1">ROUND(T_Facebook_Ads[[#This Row],[impressions]]*RANDBETWEEN(8,12)/10,0)</f>
        <v>62147</v>
      </c>
      <c r="G56" s="4">
        <v>1089</v>
      </c>
      <c r="H56" s="4">
        <f ca="1">T_Facebook_Ads[[#This Row],[spend]]*RANDBETWEEN(8,12)/10</f>
        <v>182.76000000000002</v>
      </c>
      <c r="I56" s="4">
        <f ca="1">ROUND(T_Facebook_Ads[[#This Row],[conversions]]*RANDBETWEEN(8,12)/10,0)</f>
        <v>20</v>
      </c>
      <c r="J56" s="4">
        <f ca="1">ROUND(T_Facebook_Ads[[#This Row],[video_views]]*RANDBETWEEN(8,12)/10,0)</f>
        <v>11480</v>
      </c>
      <c r="K56" s="4">
        <f ca="1">T_Facebook_Ads[[#This Row],[engagement_rate]]*RANDBETWEEN(8,12)/10</f>
        <v>1.6800000000000002E-2</v>
      </c>
      <c r="L56" s="4">
        <f ca="1">ROUND(T_Facebook_Ads[[#This Row],[reach]]*RANDBETWEEN(8,12)/10,0)</f>
        <v>43567</v>
      </c>
      <c r="M56" s="4">
        <f ca="1">T_Facebook_Ads[[#This Row],[frequency]]*RANDBETWEEN(8,12)/10</f>
        <v>1.3089999999999999</v>
      </c>
      <c r="O56" s="3">
        <f t="shared" ca="1" si="6"/>
        <v>45030</v>
      </c>
      <c r="P56" s="4" t="s">
        <v>76</v>
      </c>
      <c r="Q56" s="4" t="s">
        <v>77</v>
      </c>
      <c r="R56" s="4" t="s">
        <v>78</v>
      </c>
      <c r="S56" s="4" t="s">
        <v>79</v>
      </c>
      <c r="T56" s="4">
        <f ca="1">ROUND(_Google_ads[[#This Row],[impressions]]*RANDBETWEEN(8,12)/10,0)</f>
        <v>29468</v>
      </c>
      <c r="U56" s="4">
        <f ca="1">ROUND(_Google_ads[[#This Row],[clicks]]*RANDBETWEEN(8,12)/10,0)</f>
        <v>1602</v>
      </c>
      <c r="V56" s="4">
        <f ca="1">_Google_ads[[#This Row],[cost]]*RANDBETWEEN(8,12)/10</f>
        <v>306.78999999999996</v>
      </c>
      <c r="W56" s="4">
        <f ca="1">ROUND(_Google_ads[[#This Row],[conversions]]*RANDBETWEEN(8,12)/10,0)</f>
        <v>65</v>
      </c>
      <c r="X56" s="4">
        <f ca="1">ROUND(_Google_ads[[#This Row],[conversion_value]]*RANDBETWEEN(8,12)/10,0)</f>
        <v>2160</v>
      </c>
      <c r="Y56" s="4">
        <f ca="1">_Google_ads[[#This Row],[ctr]]*RANDBETWEEN(8,12)/10</f>
        <v>4.8959999999999997E-2</v>
      </c>
      <c r="Z56" s="4">
        <f ca="1">_Google_ads[[#This Row],[avg_cpc]]*RANDBETWEEN(8,12)/10</f>
        <v>0.17099999999999999</v>
      </c>
      <c r="AA56" s="4">
        <f ca="1">ROUND(_Google_ads[[#This Row],[quality_score]]*RANDBETWEEN(8,12)/10,0)</f>
        <v>10</v>
      </c>
      <c r="AB56" s="4">
        <f ca="1">_Google_ads[[#This Row],[search_impression_share]]*RANDBETWEEN(8,12)/10</f>
        <v>1.1160000000000001</v>
      </c>
      <c r="AD56" s="3">
        <f t="shared" ca="1" si="7"/>
        <v>45033</v>
      </c>
      <c r="AE56" s="4" t="s">
        <v>100</v>
      </c>
      <c r="AF56" s="4" t="s">
        <v>101</v>
      </c>
      <c r="AG56" s="4" t="s">
        <v>102</v>
      </c>
      <c r="AH56" s="4" t="s">
        <v>103</v>
      </c>
      <c r="AI56" s="4">
        <f ca="1">ROUND(T_Tiktok_ads[[#This Row],[impressions]]*RANDBETWEEN(8,12)/10,0)</f>
        <v>240987</v>
      </c>
      <c r="AJ56" s="4">
        <f ca="1">ROUND(T_Tiktok_ads[[#This Row],[clicks]]*RANDBETWEEN(8,12)/10,0)</f>
        <v>4902</v>
      </c>
      <c r="AK56" s="4">
        <v>589.9</v>
      </c>
      <c r="AL56" s="4">
        <f ca="1">ROUND(T_Tiktok_ads[[#This Row],[conversions]]*RANDBETWEEN(8,12)/10,0)</f>
        <v>55</v>
      </c>
      <c r="AM56" s="4">
        <f ca="1">ROUND(T_Tiktok_ads[[#This Row],[video_views]]*RANDBETWEEN(8,12)/10,0)</f>
        <v>294814</v>
      </c>
      <c r="AN56" s="4">
        <f ca="1">ROUND(T_Tiktok_ads[[#This Row],[video_watch_25]]*RANDBETWEEN(8,12)/10,0)</f>
        <v>172111</v>
      </c>
      <c r="AO56" s="4">
        <f ca="1">ROUND(T_Tiktok_ads[[#This Row],[video_watch_50]]*RANDBETWEEN(8,12)/10,0)</f>
        <v>143081</v>
      </c>
      <c r="AP56" s="4">
        <f ca="1">ROUND(T_Tiktok_ads[[#This Row],[video_watch_75]]*RANDBETWEEN(8,12)/10,0)</f>
        <v>64187</v>
      </c>
      <c r="AQ56" s="4">
        <f ca="1">ROUND(T_Tiktok_ads[[#This Row],[video_watch_100]]*RANDBETWEEN(8,12)/10,0)</f>
        <v>58802</v>
      </c>
      <c r="AR56" s="4">
        <f ca="1">ROUND(T_Tiktok_ads[[#This Row],[likes]]*RANDBETWEEN(8,12)/10,0)</f>
        <v>11868</v>
      </c>
      <c r="AS56" s="4">
        <f ca="1">ROUND(T_Tiktok_ads[[#This Row],[shares]]*RANDBETWEEN(8,12)/10,0)</f>
        <v>3191</v>
      </c>
      <c r="AT56" s="4">
        <f ca="1">ROUND(T_Tiktok_ads[[#This Row],[comments]]*RANDBETWEEN(8,12)/10,0)</f>
        <v>620</v>
      </c>
      <c r="AV56" s="5">
        <f t="shared" ca="1" si="8"/>
        <v>45027</v>
      </c>
      <c r="AW56">
        <f t="shared" ca="1" si="4"/>
        <v>4</v>
      </c>
      <c r="AX56">
        <f ca="1">ROUND(T_Facebook_Ads11596367[[#This Row],[impressions]]*RANDBETWEEN(8,12)/10,0)</f>
        <v>55932</v>
      </c>
      <c r="AY56">
        <f ca="1">ROUND(T_Facebook_Ads11596367[[#This Row],[clicks]]*RANDBETWEEN(8,12)/10,0)</f>
        <v>1089</v>
      </c>
      <c r="AZ56">
        <f ca="1">T_Facebook_Ads11596367[[#This Row],[spend]]*RANDBETWEEN(8,12)/10</f>
        <v>182.76000000000002</v>
      </c>
      <c r="BA56">
        <f ca="1">ROUND(T_Facebook_Ads11596367[[#This Row],[conversions]]*RANDBETWEEN(8,12)/10,0)</f>
        <v>20</v>
      </c>
      <c r="BB56">
        <f ca="1">ROUND(T_Facebook_Ads11596367[[#This Row],[video_views]]*RANDBETWEEN(8,12)/10,0)</f>
        <v>9184</v>
      </c>
    </row>
    <row r="57" spans="1:54" ht="15.75" thickBot="1" x14ac:dyDescent="0.3">
      <c r="A57" s="3">
        <f t="shared" ca="1" si="5"/>
        <v>45031</v>
      </c>
      <c r="B57" s="4" t="s">
        <v>56</v>
      </c>
      <c r="C57" s="4" t="s">
        <v>57</v>
      </c>
      <c r="D57" s="4" t="s">
        <v>58</v>
      </c>
      <c r="E57" s="4" t="s">
        <v>59</v>
      </c>
      <c r="F57" s="4">
        <f ca="1">ROUND(T_Facebook_Ads[[#This Row],[impressions]]*RANDBETWEEN(8,12)/10,0)</f>
        <v>13711</v>
      </c>
      <c r="G57" s="4">
        <v>734</v>
      </c>
      <c r="H57" s="4">
        <f ca="1">T_Facebook_Ads[[#This Row],[spend]]*RANDBETWEEN(8,12)/10</f>
        <v>317.64</v>
      </c>
      <c r="I57" s="4">
        <f ca="1">ROUND(T_Facebook_Ads[[#This Row],[conversions]]*RANDBETWEEN(8,12)/10,0)</f>
        <v>41</v>
      </c>
      <c r="J57" s="4">
        <f ca="1">ROUND(T_Facebook_Ads[[#This Row],[video_views]]*RANDBETWEEN(8,12)/10,0)</f>
        <v>2014</v>
      </c>
      <c r="K57" s="4">
        <f ca="1">T_Facebook_Ads[[#This Row],[engagement_rate]]*RANDBETWEEN(8,12)/10</f>
        <v>4.82E-2</v>
      </c>
      <c r="L57" s="4">
        <f ca="1">ROUND(T_Facebook_Ads[[#This Row],[reach]]*RANDBETWEEN(8,12)/10,0)</f>
        <v>10911</v>
      </c>
      <c r="M57" s="4">
        <f ca="1">T_Facebook_Ads[[#This Row],[frequency]]*RANDBETWEEN(8,12)/10</f>
        <v>1.26</v>
      </c>
      <c r="O57" s="3">
        <f t="shared" ca="1" si="6"/>
        <v>45018</v>
      </c>
      <c r="P57" s="4" t="s">
        <v>80</v>
      </c>
      <c r="Q57" s="4" t="s">
        <v>81</v>
      </c>
      <c r="R57" s="4" t="s">
        <v>82</v>
      </c>
      <c r="S57" s="4" t="s">
        <v>83</v>
      </c>
      <c r="T57" s="4">
        <f ca="1">ROUND(_Google_ads[[#This Row],[impressions]]*RANDBETWEEN(8,12)/10,0)</f>
        <v>56681</v>
      </c>
      <c r="U57" s="4">
        <f ca="1">ROUND(_Google_ads[[#This Row],[clicks]]*RANDBETWEEN(8,12)/10,0)</f>
        <v>967</v>
      </c>
      <c r="V57" s="4">
        <f ca="1">_Google_ads[[#This Row],[cost]]*RANDBETWEEN(8,12)/10</f>
        <v>666.16000000000008</v>
      </c>
      <c r="W57" s="4">
        <f ca="1">ROUND(_Google_ads[[#This Row],[conversions]]*RANDBETWEEN(8,12)/10,0)</f>
        <v>23</v>
      </c>
      <c r="X57" s="4">
        <f ca="1">ROUND(_Google_ads[[#This Row],[conversion_value]]*RANDBETWEEN(8,12)/10,0)</f>
        <v>1375</v>
      </c>
      <c r="Y57" s="4">
        <f ca="1">_Google_ads[[#This Row],[ctr]]*RANDBETWEEN(8,12)/10</f>
        <v>2.2550000000000001E-2</v>
      </c>
      <c r="Z57" s="4">
        <f ca="1">_Google_ads[[#This Row],[avg_cpc]]*RANDBETWEEN(8,12)/10</f>
        <v>0.504</v>
      </c>
      <c r="AA57" s="4">
        <f ca="1">ROUND(_Google_ads[[#This Row],[quality_score]]*RANDBETWEEN(8,12)/10,0)</f>
        <v>8</v>
      </c>
      <c r="AB57" s="4">
        <f ca="1">_Google_ads[[#This Row],[search_impression_share]]*RANDBETWEEN(8,12)/10</f>
        <v>0.36799999999999999</v>
      </c>
      <c r="AD57" s="3">
        <f t="shared" ca="1" si="7"/>
        <v>45022</v>
      </c>
      <c r="AE57" s="4" t="s">
        <v>104</v>
      </c>
      <c r="AF57" s="4" t="s">
        <v>105</v>
      </c>
      <c r="AG57" s="4" t="s">
        <v>106</v>
      </c>
      <c r="AH57" s="4" t="s">
        <v>107</v>
      </c>
      <c r="AI57" s="4">
        <f ca="1">ROUND(T_Tiktok_ads[[#This Row],[impressions]]*RANDBETWEEN(8,12)/10,0)</f>
        <v>184679</v>
      </c>
      <c r="AJ57" s="4">
        <f ca="1">ROUND(T_Tiktok_ads[[#This Row],[clicks]]*RANDBETWEEN(8,12)/10,0)</f>
        <v>2587</v>
      </c>
      <c r="AK57" s="4">
        <v>845.6</v>
      </c>
      <c r="AL57" s="4">
        <f ca="1">ROUND(T_Tiktok_ads[[#This Row],[conversions]]*RANDBETWEEN(8,12)/10,0)</f>
        <v>102</v>
      </c>
      <c r="AM57" s="4">
        <f ca="1">ROUND(T_Tiktok_ads[[#This Row],[video_views]]*RANDBETWEEN(8,12)/10,0)</f>
        <v>94312</v>
      </c>
      <c r="AN57" s="4">
        <f ca="1">ROUND(T_Tiktok_ads[[#This Row],[video_watch_25]]*RANDBETWEEN(8,12)/10,0)</f>
        <v>78511</v>
      </c>
      <c r="AO57" s="4">
        <f ca="1">ROUND(T_Tiktok_ads[[#This Row],[video_watch_50]]*RANDBETWEEN(8,12)/10,0)</f>
        <v>64791</v>
      </c>
      <c r="AP57" s="4">
        <f ca="1">ROUND(T_Tiktok_ads[[#This Row],[video_watch_75]]*RANDBETWEEN(8,12)/10,0)</f>
        <v>48657</v>
      </c>
      <c r="AQ57" s="4">
        <f ca="1">ROUND(T_Tiktok_ads[[#This Row],[video_watch_100]]*RANDBETWEEN(8,12)/10,0)</f>
        <v>35480</v>
      </c>
      <c r="AR57" s="4">
        <f ca="1">ROUND(T_Tiktok_ads[[#This Row],[likes]]*RANDBETWEEN(8,12)/10,0)</f>
        <v>5110</v>
      </c>
      <c r="AS57" s="4">
        <f ca="1">ROUND(T_Tiktok_ads[[#This Row],[shares]]*RANDBETWEEN(8,12)/10,0)</f>
        <v>1471</v>
      </c>
      <c r="AT57" s="4">
        <f ca="1">ROUND(T_Tiktok_ads[[#This Row],[comments]]*RANDBETWEEN(8,12)/10,0)</f>
        <v>312</v>
      </c>
      <c r="AV57" s="5">
        <f t="shared" ca="1" si="8"/>
        <v>45045</v>
      </c>
      <c r="AW57">
        <f t="shared" ca="1" si="4"/>
        <v>4</v>
      </c>
      <c r="AX57">
        <f ca="1">ROUND(T_Facebook_Ads11596367[[#This Row],[impressions]]*RANDBETWEEN(8,12)/10,0)</f>
        <v>12340</v>
      </c>
      <c r="AY57">
        <f ca="1">ROUND(T_Facebook_Ads11596367[[#This Row],[clicks]]*RANDBETWEEN(8,12)/10,0)</f>
        <v>881</v>
      </c>
      <c r="AZ57">
        <f ca="1">T_Facebook_Ads11596367[[#This Row],[spend]]*RANDBETWEEN(8,12)/10</f>
        <v>381.16800000000001</v>
      </c>
      <c r="BA57">
        <f ca="1">ROUND(T_Facebook_Ads11596367[[#This Row],[conversions]]*RANDBETWEEN(8,12)/10,0)</f>
        <v>33</v>
      </c>
      <c r="BB57">
        <f ca="1">ROUND(T_Facebook_Ads11596367[[#This Row],[video_views]]*RANDBETWEEN(8,12)/10,0)</f>
        <v>2215</v>
      </c>
    </row>
    <row r="58" spans="1:54" ht="15.75" thickBot="1" x14ac:dyDescent="0.3">
      <c r="A58" s="3">
        <f t="shared" ca="1" si="5"/>
        <v>45029</v>
      </c>
      <c r="B58" s="4" t="s">
        <v>60</v>
      </c>
      <c r="C58" s="4" t="s">
        <v>61</v>
      </c>
      <c r="D58" s="4" t="s">
        <v>62</v>
      </c>
      <c r="E58" s="4" t="s">
        <v>63</v>
      </c>
      <c r="F58" s="4">
        <f ca="1">ROUND(T_Facebook_Ads[[#This Row],[impressions]]*RANDBETWEEN(8,12)/10,0)</f>
        <v>36111</v>
      </c>
      <c r="G58" s="4">
        <v>1534</v>
      </c>
      <c r="H58" s="4">
        <f ca="1">T_Facebook_Ads[[#This Row],[spend]]*RANDBETWEEN(8,12)/10</f>
        <v>232.8</v>
      </c>
      <c r="I58" s="4">
        <f ca="1">ROUND(T_Facebook_Ads[[#This Row],[conversions]]*RANDBETWEEN(8,12)/10,0)</f>
        <v>26</v>
      </c>
      <c r="J58" s="4">
        <f ca="1">ROUND(T_Facebook_Ads[[#This Row],[video_views]]*RANDBETWEEN(8,12)/10,0)</f>
        <v>6002</v>
      </c>
      <c r="K58" s="4">
        <f ca="1">T_Facebook_Ads[[#This Row],[engagement_rate]]*RANDBETWEEN(8,12)/10</f>
        <v>4.2019999999999995E-2</v>
      </c>
      <c r="L58" s="4">
        <f ca="1">ROUND(T_Facebook_Ads[[#This Row],[reach]]*RANDBETWEEN(8,12)/10,0)</f>
        <v>36179</v>
      </c>
      <c r="M58" s="4">
        <f ca="1">T_Facebook_Ads[[#This Row],[frequency]]*RANDBETWEEN(8,12)/10</f>
        <v>1.0980000000000001</v>
      </c>
      <c r="O58" s="3">
        <f t="shared" ca="1" si="6"/>
        <v>45026</v>
      </c>
      <c r="P58" s="4" t="s">
        <v>84</v>
      </c>
      <c r="Q58" s="4" t="s">
        <v>85</v>
      </c>
      <c r="R58" s="4" t="s">
        <v>86</v>
      </c>
      <c r="S58" s="4" t="s">
        <v>87</v>
      </c>
      <c r="T58" s="4">
        <f ca="1">ROUND(_Google_ads[[#This Row],[impressions]]*RANDBETWEEN(8,12)/10,0)</f>
        <v>86947</v>
      </c>
      <c r="U58" s="4">
        <f ca="1">ROUND(_Google_ads[[#This Row],[clicks]]*RANDBETWEEN(8,12)/10,0)</f>
        <v>2987</v>
      </c>
      <c r="V58" s="4">
        <f ca="1">_Google_ads[[#This Row],[cost]]*RANDBETWEEN(8,12)/10</f>
        <v>405.63</v>
      </c>
      <c r="W58" s="4">
        <f ca="1">ROUND(_Google_ads[[#This Row],[conversions]]*RANDBETWEEN(8,12)/10,0)</f>
        <v>58</v>
      </c>
      <c r="X58" s="4">
        <f ca="1">ROUND(_Google_ads[[#This Row],[conversion_value]]*RANDBETWEEN(8,12)/10,0)</f>
        <v>3960</v>
      </c>
      <c r="Y58" s="4">
        <f ca="1">_Google_ads[[#This Row],[ctr]]*RANDBETWEEN(8,12)/10</f>
        <v>2.7519999999999999E-2</v>
      </c>
      <c r="Z58" s="4">
        <f ca="1">_Google_ads[[#This Row],[avg_cpc]]*RANDBETWEEN(8,12)/10</f>
        <v>0.14399999999999999</v>
      </c>
      <c r="AA58" s="4">
        <f ca="1">ROUND(_Google_ads[[#This Row],[quality_score]]*RANDBETWEEN(8,12)/10,0)</f>
        <v>8</v>
      </c>
      <c r="AB58" s="4">
        <f ca="1">_Google_ads[[#This Row],[search_impression_share]]*RANDBETWEEN(8,12)/10</f>
        <v>0.748</v>
      </c>
      <c r="AD58" s="3">
        <f t="shared" ca="1" si="7"/>
        <v>45018</v>
      </c>
      <c r="AE58" s="4" t="s">
        <v>108</v>
      </c>
      <c r="AF58" s="4" t="s">
        <v>109</v>
      </c>
      <c r="AG58" s="4" t="s">
        <v>110</v>
      </c>
      <c r="AH58" s="4" t="s">
        <v>111</v>
      </c>
      <c r="AI58" s="4">
        <f ca="1">ROUND(T_Tiktok_ads[[#This Row],[impressions]]*RANDBETWEEN(8,12)/10,0)</f>
        <v>256789</v>
      </c>
      <c r="AJ58" s="4">
        <f ca="1">ROUND(T_Tiktok_ads[[#This Row],[clicks]]*RANDBETWEEN(8,12)/10,0)</f>
        <v>4413</v>
      </c>
      <c r="AK58" s="4">
        <v>489.2</v>
      </c>
      <c r="AL58" s="4">
        <f ca="1">ROUND(T_Tiktok_ads[[#This Row],[conversions]]*RANDBETWEEN(8,12)/10,0)</f>
        <v>40</v>
      </c>
      <c r="AM58" s="4">
        <f ca="1">ROUND(T_Tiktok_ads[[#This Row],[video_views]]*RANDBETWEEN(8,12)/10,0)</f>
        <v>221357</v>
      </c>
      <c r="AN58" s="4">
        <f ca="1">ROUND(T_Tiktok_ads[[#This Row],[video_watch_25]]*RANDBETWEEN(8,12)/10,0)</f>
        <v>152345</v>
      </c>
      <c r="AO58" s="4">
        <f ca="1">ROUND(T_Tiktok_ads[[#This Row],[video_watch_50]]*RANDBETWEEN(8,12)/10,0)</f>
        <v>132502</v>
      </c>
      <c r="AP58" s="4">
        <f ca="1">ROUND(T_Tiktok_ads[[#This Row],[video_watch_75]]*RANDBETWEEN(8,12)/10,0)</f>
        <v>77890</v>
      </c>
      <c r="AQ58" s="4">
        <f ca="1">ROUND(T_Tiktok_ads[[#This Row],[video_watch_100]]*RANDBETWEEN(8,12)/10,0)</f>
        <v>47234</v>
      </c>
      <c r="AR58" s="4">
        <f ca="1">ROUND(T_Tiktok_ads[[#This Row],[likes]]*RANDBETWEEN(8,12)/10,0)</f>
        <v>10681</v>
      </c>
      <c r="AS58" s="4">
        <f ca="1">ROUND(T_Tiktok_ads[[#This Row],[shares]]*RANDBETWEEN(8,12)/10,0)</f>
        <v>2210</v>
      </c>
      <c r="AT58" s="4">
        <f ca="1">ROUND(T_Tiktok_ads[[#This Row],[comments]]*RANDBETWEEN(8,12)/10,0)</f>
        <v>471</v>
      </c>
      <c r="AV58" s="5">
        <f t="shared" ca="1" si="8"/>
        <v>45027</v>
      </c>
      <c r="AW58">
        <f t="shared" ca="1" si="4"/>
        <v>1</v>
      </c>
      <c r="AX58">
        <f ca="1">ROUND(T_Facebook_Ads11596367[[#This Row],[impressions]]*RANDBETWEEN(8,12)/10,0)</f>
        <v>39722</v>
      </c>
      <c r="AY58">
        <f ca="1">ROUND(T_Facebook_Ads11596367[[#This Row],[clicks]]*RANDBETWEEN(8,12)/10,0)</f>
        <v>1841</v>
      </c>
      <c r="AZ58">
        <f ca="1">T_Facebook_Ads11596367[[#This Row],[spend]]*RANDBETWEEN(8,12)/10</f>
        <v>232.8</v>
      </c>
      <c r="BA58">
        <f ca="1">ROUND(T_Facebook_Ads11596367[[#This Row],[conversions]]*RANDBETWEEN(8,12)/10,0)</f>
        <v>26</v>
      </c>
      <c r="BB58">
        <f ca="1">ROUND(T_Facebook_Ads11596367[[#This Row],[video_views]]*RANDBETWEEN(8,12)/10,0)</f>
        <v>5402</v>
      </c>
    </row>
    <row r="59" spans="1:54" ht="15.75" thickBot="1" x14ac:dyDescent="0.3">
      <c r="A59" s="3">
        <f t="shared" ca="1" si="5"/>
        <v>45030</v>
      </c>
      <c r="B59" s="4" t="s">
        <v>64</v>
      </c>
      <c r="C59" s="4" t="s">
        <v>65</v>
      </c>
      <c r="D59" s="4" t="s">
        <v>66</v>
      </c>
      <c r="E59" s="4" t="s">
        <v>67</v>
      </c>
      <c r="F59" s="4">
        <f ca="1">ROUND(T_Facebook_Ads[[#This Row],[impressions]]*RANDBETWEEN(8,12)/10,0)</f>
        <v>75890</v>
      </c>
      <c r="G59" s="4">
        <v>278</v>
      </c>
      <c r="H59" s="4">
        <f ca="1">T_Facebook_Ads[[#This Row],[spend]]*RANDBETWEEN(8,12)/10</f>
        <v>78.8</v>
      </c>
      <c r="I59" s="4">
        <f ca="1">ROUND(T_Facebook_Ads[[#This Row],[conversions]]*RANDBETWEEN(8,12)/10,0)</f>
        <v>6</v>
      </c>
      <c r="J59" s="4">
        <f ca="1">ROUND(T_Facebook_Ads[[#This Row],[video_views]]*RANDBETWEEN(8,12)/10,0)</f>
        <v>40987</v>
      </c>
      <c r="K59" s="4">
        <f ca="1">T_Facebook_Ads[[#This Row],[engagement_rate]]*RANDBETWEEN(8,12)/10</f>
        <v>3.3300000000000005E-3</v>
      </c>
      <c r="L59" s="4">
        <f ca="1">ROUND(T_Facebook_Ads[[#This Row],[reach]]*RANDBETWEEN(8,12)/10,0)</f>
        <v>49254</v>
      </c>
      <c r="M59" s="4">
        <f ca="1">T_Facebook_Ads[[#This Row],[frequency]]*RANDBETWEEN(8,12)/10</f>
        <v>1.107</v>
      </c>
      <c r="O59" s="3">
        <f t="shared" ca="1" si="6"/>
        <v>45040</v>
      </c>
      <c r="P59" s="4" t="s">
        <v>88</v>
      </c>
      <c r="Q59" s="4" t="s">
        <v>89</v>
      </c>
      <c r="R59" s="4" t="s">
        <v>90</v>
      </c>
      <c r="S59" s="4" t="s">
        <v>59</v>
      </c>
      <c r="T59" s="4">
        <f ca="1">ROUND(_Google_ads[[#This Row],[impressions]]*RANDBETWEEN(8,12)/10,0)</f>
        <v>152791</v>
      </c>
      <c r="U59" s="4">
        <f ca="1">ROUND(_Google_ads[[#This Row],[clicks]]*RANDBETWEEN(8,12)/10,0)</f>
        <v>534</v>
      </c>
      <c r="V59" s="4">
        <f ca="1">_Google_ads[[#This Row],[cost]]*RANDBETWEEN(8,12)/10</f>
        <v>122.76000000000002</v>
      </c>
      <c r="W59" s="4">
        <f ca="1">ROUND(_Google_ads[[#This Row],[conversions]]*RANDBETWEEN(8,12)/10,0)</f>
        <v>14</v>
      </c>
      <c r="X59" s="4">
        <f ca="1">ROUND(_Google_ads[[#This Row],[conversion_value]]*RANDBETWEEN(8,12)/10,0)</f>
        <v>900</v>
      </c>
      <c r="Y59" s="4">
        <f ca="1">_Google_ads[[#This Row],[ctr]]*RANDBETWEEN(8,12)/10</f>
        <v>4.5599999999999998E-3</v>
      </c>
      <c r="Z59" s="4">
        <f ca="1">_Google_ads[[#This Row],[avg_cpc]]*RANDBETWEEN(8,12)/10</f>
        <v>0.28600000000000003</v>
      </c>
      <c r="AA59" s="4">
        <f ca="1">ROUND(_Google_ads[[#This Row],[quality_score]]*RANDBETWEEN(8,12)/10,0)</f>
        <v>8</v>
      </c>
      <c r="AB59" s="4">
        <f ca="1">_Google_ads[[#This Row],[search_impression_share]]*RANDBETWEEN(8,12)/10</f>
        <v>0.28799999999999998</v>
      </c>
      <c r="AD59" s="3">
        <f t="shared" ca="1" si="7"/>
        <v>45032</v>
      </c>
      <c r="AE59" s="4" t="s">
        <v>112</v>
      </c>
      <c r="AF59" s="4" t="s">
        <v>113</v>
      </c>
      <c r="AG59" s="4" t="s">
        <v>114</v>
      </c>
      <c r="AH59" s="4" t="s">
        <v>115</v>
      </c>
      <c r="AI59" s="4">
        <f ca="1">ROUND(T_Tiktok_ads[[#This Row],[impressions]]*RANDBETWEEN(8,12)/10,0)</f>
        <v>356542</v>
      </c>
      <c r="AJ59" s="4">
        <f ca="1">ROUND(T_Tiktok_ads[[#This Row],[clicks]]*RANDBETWEEN(8,12)/10,0)</f>
        <v>5787</v>
      </c>
      <c r="AK59" s="4">
        <v>1123.5</v>
      </c>
      <c r="AL59" s="4">
        <f ca="1">ROUND(T_Tiktok_ads[[#This Row],[conversions]]*RANDBETWEEN(8,12)/10,0)</f>
        <v>102</v>
      </c>
      <c r="AM59" s="4">
        <f ca="1">ROUND(T_Tiktok_ads[[#This Row],[video_views]]*RANDBETWEEN(8,12)/10,0)</f>
        <v>416791</v>
      </c>
      <c r="AN59" s="4">
        <f ca="1">ROUND(T_Tiktok_ads[[#This Row],[video_watch_25]]*RANDBETWEEN(8,12)/10,0)</f>
        <v>365480</v>
      </c>
      <c r="AO59" s="4">
        <f ca="1">ROUND(T_Tiktok_ads[[#This Row],[video_watch_50]]*RANDBETWEEN(8,12)/10,0)</f>
        <v>194765</v>
      </c>
      <c r="AP59" s="4">
        <f ca="1">ROUND(T_Tiktok_ads[[#This Row],[video_watch_75]]*RANDBETWEEN(8,12)/10,0)</f>
        <v>206814</v>
      </c>
      <c r="AQ59" s="4">
        <f ca="1">ROUND(T_Tiktok_ads[[#This Row],[video_watch_100]]*RANDBETWEEN(8,12)/10,0)</f>
        <v>137480</v>
      </c>
      <c r="AR59" s="4">
        <f ca="1">ROUND(T_Tiktok_ads[[#This Row],[likes]]*RANDBETWEEN(8,12)/10,0)</f>
        <v>19567</v>
      </c>
      <c r="AS59" s="4">
        <f ca="1">ROUND(T_Tiktok_ads[[#This Row],[shares]]*RANDBETWEEN(8,12)/10,0)</f>
        <v>6814</v>
      </c>
      <c r="AT59" s="4">
        <f ca="1">ROUND(T_Tiktok_ads[[#This Row],[comments]]*RANDBETWEEN(8,12)/10,0)</f>
        <v>1254</v>
      </c>
      <c r="AV59" s="5">
        <f t="shared" ca="1" si="8"/>
        <v>45029</v>
      </c>
      <c r="AW59">
        <f t="shared" ca="1" si="4"/>
        <v>2</v>
      </c>
      <c r="AX59">
        <f ca="1">ROUND(T_Facebook_Ads11596367[[#This Row],[impressions]]*RANDBETWEEN(8,12)/10,0)</f>
        <v>91068</v>
      </c>
      <c r="AY59">
        <f ca="1">ROUND(T_Facebook_Ads11596367[[#This Row],[clicks]]*RANDBETWEEN(8,12)/10,0)</f>
        <v>334</v>
      </c>
      <c r="AZ59">
        <f ca="1">T_Facebook_Ads11596367[[#This Row],[spend]]*RANDBETWEEN(8,12)/10</f>
        <v>86.679999999999993</v>
      </c>
      <c r="BA59">
        <f ca="1">ROUND(T_Facebook_Ads11596367[[#This Row],[conversions]]*RANDBETWEEN(8,12)/10,0)</f>
        <v>5</v>
      </c>
      <c r="BB59">
        <f ca="1">ROUND(T_Facebook_Ads11596367[[#This Row],[video_views]]*RANDBETWEEN(8,12)/10,0)</f>
        <v>45086</v>
      </c>
    </row>
    <row r="60" spans="1:54" ht="15.75" thickBot="1" x14ac:dyDescent="0.3">
      <c r="A60" s="3">
        <f t="shared" ca="1" si="5"/>
        <v>45022</v>
      </c>
      <c r="B60" s="4" t="s">
        <v>52</v>
      </c>
      <c r="C60" s="4" t="s">
        <v>53</v>
      </c>
      <c r="D60" s="4" t="s">
        <v>54</v>
      </c>
      <c r="E60" s="4" t="s">
        <v>55</v>
      </c>
      <c r="F60" s="4">
        <f ca="1">ROUND(T_Facebook_Ads[[#This Row],[impressions]]*RANDBETWEEN(8,12)/10,0)</f>
        <v>59480</v>
      </c>
      <c r="G60" s="4">
        <v>1012</v>
      </c>
      <c r="H60" s="4">
        <f ca="1">T_Facebook_Ads[[#This Row],[spend]]*RANDBETWEEN(8,12)/10</f>
        <v>159.06</v>
      </c>
      <c r="I60" s="4">
        <f ca="1">ROUND(T_Facebook_Ads[[#This Row],[conversions]]*RANDBETWEEN(8,12)/10,0)</f>
        <v>16</v>
      </c>
      <c r="J60" s="4">
        <f ca="1">ROUND(T_Facebook_Ads[[#This Row],[video_views]]*RANDBETWEEN(8,12)/10,0)</f>
        <v>9123</v>
      </c>
      <c r="K60" s="4">
        <f ca="1">T_Facebook_Ads[[#This Row],[engagement_rate]]*RANDBETWEEN(8,12)/10</f>
        <v>1.8360000000000001E-2</v>
      </c>
      <c r="L60" s="4">
        <f ca="1">ROUND(T_Facebook_Ads[[#This Row],[reach]]*RANDBETWEEN(8,12)/10,0)</f>
        <v>50268</v>
      </c>
      <c r="M60" s="4">
        <f ca="1">T_Facebook_Ads[[#This Row],[frequency]]*RANDBETWEEN(8,12)/10</f>
        <v>0.94399999999999995</v>
      </c>
      <c r="O60" s="3">
        <f t="shared" ca="1" si="6"/>
        <v>45025</v>
      </c>
      <c r="P60" s="4" t="s">
        <v>76</v>
      </c>
      <c r="Q60" s="4" t="s">
        <v>77</v>
      </c>
      <c r="R60" s="4" t="s">
        <v>78</v>
      </c>
      <c r="S60" s="4" t="s">
        <v>79</v>
      </c>
      <c r="T60" s="4">
        <f ca="1">ROUND(_Google_ads[[#This Row],[impressions]]*RANDBETWEEN(8,12)/10,0)</f>
        <v>28368</v>
      </c>
      <c r="U60" s="4">
        <f ca="1">ROUND(_Google_ads[[#This Row],[clicks]]*RANDBETWEEN(8,12)/10,0)</f>
        <v>1250</v>
      </c>
      <c r="V60" s="4">
        <f ca="1">_Google_ads[[#This Row],[cost]]*RANDBETWEEN(8,12)/10</f>
        <v>238.67999999999998</v>
      </c>
      <c r="W60" s="4">
        <f ca="1">ROUND(_Google_ads[[#This Row],[conversions]]*RANDBETWEEN(8,12)/10,0)</f>
        <v>42</v>
      </c>
      <c r="X60" s="4">
        <f ca="1">ROUND(_Google_ads[[#This Row],[conversion_value]]*RANDBETWEEN(8,12)/10,0)</f>
        <v>3120</v>
      </c>
      <c r="Y60" s="4">
        <f ca="1">_Google_ads[[#This Row],[ctr]]*RANDBETWEEN(8,12)/10</f>
        <v>4.3040000000000002E-2</v>
      </c>
      <c r="Z60" s="4">
        <f ca="1">_Google_ads[[#This Row],[avg_cpc]]*RANDBETWEEN(8,12)/10</f>
        <v>0.22800000000000004</v>
      </c>
      <c r="AA60" s="4">
        <f ca="1">ROUND(_Google_ads[[#This Row],[quality_score]]*RANDBETWEEN(8,12)/10,0)</f>
        <v>10</v>
      </c>
      <c r="AB60" s="4">
        <f ca="1">_Google_ads[[#This Row],[search_impression_share]]*RANDBETWEEN(8,12)/10</f>
        <v>0.92000000000000015</v>
      </c>
      <c r="AD60" s="3">
        <f t="shared" ca="1" si="7"/>
        <v>45018</v>
      </c>
      <c r="AE60" s="4" t="s">
        <v>100</v>
      </c>
      <c r="AF60" s="4" t="s">
        <v>101</v>
      </c>
      <c r="AG60" s="4" t="s">
        <v>102</v>
      </c>
      <c r="AH60" s="4" t="s">
        <v>103</v>
      </c>
      <c r="AI60" s="4">
        <f ca="1">ROUND(T_Tiktok_ads[[#This Row],[impressions]]*RANDBETWEEN(8,12)/10,0)</f>
        <v>348148</v>
      </c>
      <c r="AJ60" s="4">
        <f ca="1">ROUND(T_Tiktok_ads[[#This Row],[clicks]]*RANDBETWEEN(8,12)/10,0)</f>
        <v>4189</v>
      </c>
      <c r="AK60" s="4">
        <v>567.79999999999995</v>
      </c>
      <c r="AL60" s="4">
        <f ca="1">ROUND(T_Tiktok_ads[[#This Row],[conversions]]*RANDBETWEEN(8,12)/10,0)</f>
        <v>48</v>
      </c>
      <c r="AM60" s="4">
        <f ca="1">ROUND(T_Tiktok_ads[[#This Row],[video_views]]*RANDBETWEEN(8,12)/10,0)</f>
        <v>213110</v>
      </c>
      <c r="AN60" s="4">
        <f ca="1">ROUND(T_Tiktok_ads[[#This Row],[video_watch_25]]*RANDBETWEEN(8,12)/10,0)</f>
        <v>166110</v>
      </c>
      <c r="AO60" s="4">
        <f ca="1">ROUND(T_Tiktok_ads[[#This Row],[video_watch_50]]*RANDBETWEEN(8,12)/10,0)</f>
        <v>104110</v>
      </c>
      <c r="AP60" s="4">
        <f ca="1">ROUND(T_Tiktok_ads[[#This Row],[video_watch_75]]*RANDBETWEEN(8,12)/10,0)</f>
        <v>78234</v>
      </c>
      <c r="AQ60" s="4">
        <f ca="1">ROUND(T_Tiktok_ads[[#This Row],[video_watch_100]]*RANDBETWEEN(8,12)/10,0)</f>
        <v>47111</v>
      </c>
      <c r="AR60" s="4">
        <f ca="1">ROUND(T_Tiktok_ads[[#This Row],[likes]]*RANDBETWEEN(8,12)/10,0)</f>
        <v>11502</v>
      </c>
      <c r="AS60" s="4">
        <f ca="1">ROUND(T_Tiktok_ads[[#This Row],[shares]]*RANDBETWEEN(8,12)/10,0)</f>
        <v>2531</v>
      </c>
      <c r="AT60" s="4">
        <f ca="1">ROUND(T_Tiktok_ads[[#This Row],[comments]]*RANDBETWEEN(8,12)/10,0)</f>
        <v>610</v>
      </c>
      <c r="AV60" s="5">
        <f t="shared" ca="1" si="8"/>
        <v>45040</v>
      </c>
      <c r="AW60">
        <f t="shared" ca="1" si="4"/>
        <v>4</v>
      </c>
      <c r="AX60">
        <f ca="1">ROUND(T_Facebook_Ads11596367[[#This Row],[impressions]]*RANDBETWEEN(8,12)/10,0)</f>
        <v>59480</v>
      </c>
      <c r="AY60">
        <f ca="1">ROUND(T_Facebook_Ads11596367[[#This Row],[clicks]]*RANDBETWEEN(8,12)/10,0)</f>
        <v>810</v>
      </c>
      <c r="AZ60">
        <f ca="1">T_Facebook_Ads11596367[[#This Row],[spend]]*RANDBETWEEN(8,12)/10</f>
        <v>174.96600000000001</v>
      </c>
      <c r="BA60">
        <f ca="1">ROUND(T_Facebook_Ads11596367[[#This Row],[conversions]]*RANDBETWEEN(8,12)/10,0)</f>
        <v>16</v>
      </c>
      <c r="BB60">
        <f ca="1">ROUND(T_Facebook_Ads11596367[[#This Row],[video_views]]*RANDBETWEEN(8,12)/10,0)</f>
        <v>10035</v>
      </c>
    </row>
    <row r="61" spans="1:54" ht="15.75" thickBot="1" x14ac:dyDescent="0.3">
      <c r="A61" s="3">
        <f t="shared" ca="1" si="5"/>
        <v>45018</v>
      </c>
      <c r="B61" s="4" t="s">
        <v>56</v>
      </c>
      <c r="C61" s="4" t="s">
        <v>57</v>
      </c>
      <c r="D61" s="4" t="s">
        <v>58</v>
      </c>
      <c r="E61" s="4" t="s">
        <v>59</v>
      </c>
      <c r="F61" s="4">
        <f ca="1">ROUND(T_Facebook_Ads[[#This Row],[impressions]]*RANDBETWEEN(8,12)/10,0)</f>
        <v>16024</v>
      </c>
      <c r="G61" s="4">
        <v>689</v>
      </c>
      <c r="H61" s="4">
        <f ca="1">T_Facebook_Ads[[#This Row],[spend]]*RANDBETWEEN(8,12)/10</f>
        <v>278.74</v>
      </c>
      <c r="I61" s="4">
        <f ca="1">ROUND(T_Facebook_Ads[[#This Row],[conversions]]*RANDBETWEEN(8,12)/10,0)</f>
        <v>39</v>
      </c>
      <c r="J61" s="4">
        <f ca="1">ROUND(T_Facebook_Ads[[#This Row],[video_views]]*RANDBETWEEN(8,12)/10,0)</f>
        <v>1638</v>
      </c>
      <c r="K61" s="4">
        <f ca="1">T_Facebook_Ads[[#This Row],[engagement_rate]]*RANDBETWEEN(8,12)/10</f>
        <v>5.6759999999999998E-2</v>
      </c>
      <c r="L61" s="4">
        <f ca="1">ROUND(T_Facebook_Ads[[#This Row],[reach]]*RANDBETWEEN(8,12)/10,0)</f>
        <v>9254</v>
      </c>
      <c r="M61" s="4">
        <f ca="1">T_Facebook_Ads[[#This Row],[frequency]]*RANDBETWEEN(8,12)/10</f>
        <v>1.3859999999999999</v>
      </c>
      <c r="O61" s="3">
        <f t="shared" ca="1" si="6"/>
        <v>45022</v>
      </c>
      <c r="P61" s="4" t="s">
        <v>80</v>
      </c>
      <c r="Q61" s="4" t="s">
        <v>81</v>
      </c>
      <c r="R61" s="4" t="s">
        <v>82</v>
      </c>
      <c r="S61" s="4" t="s">
        <v>83</v>
      </c>
      <c r="T61" s="4">
        <f ca="1">ROUND(_Google_ads[[#This Row],[impressions]]*RANDBETWEEN(8,12)/10,0)</f>
        <v>46123</v>
      </c>
      <c r="U61" s="4">
        <f ca="1">ROUND(_Google_ads[[#This Row],[clicks]]*RANDBETWEEN(8,12)/10,0)</f>
        <v>831</v>
      </c>
      <c r="V61" s="4">
        <f ca="1">_Google_ads[[#This Row],[cost]]*RANDBETWEEN(8,12)/10</f>
        <v>472.23999999999995</v>
      </c>
      <c r="W61" s="4">
        <f ca="1">ROUND(_Google_ads[[#This Row],[conversions]]*RANDBETWEEN(8,12)/10,0)</f>
        <v>29</v>
      </c>
      <c r="X61" s="4">
        <f ca="1">ROUND(_Google_ads[[#This Row],[conversion_value]]*RANDBETWEEN(8,12)/10,0)</f>
        <v>960</v>
      </c>
      <c r="Y61" s="4">
        <f ca="1">_Google_ads[[#This Row],[ctr]]*RANDBETWEEN(8,12)/10</f>
        <v>0.02</v>
      </c>
      <c r="Z61" s="4">
        <f ca="1">_Google_ads[[#This Row],[avg_cpc]]*RANDBETWEEN(8,12)/10</f>
        <v>0.57599999999999996</v>
      </c>
      <c r="AA61" s="4">
        <f ca="1">ROUND(_Google_ads[[#This Row],[quality_score]]*RANDBETWEEN(8,12)/10,0)</f>
        <v>8</v>
      </c>
      <c r="AB61" s="4">
        <f ca="1">_Google_ads[[#This Row],[search_impression_share]]*RANDBETWEEN(8,12)/10</f>
        <v>0.45</v>
      </c>
      <c r="AD61" s="3">
        <f t="shared" ca="1" si="7"/>
        <v>45035</v>
      </c>
      <c r="AE61" s="4" t="s">
        <v>104</v>
      </c>
      <c r="AF61" s="4" t="s">
        <v>105</v>
      </c>
      <c r="AG61" s="4" t="s">
        <v>106</v>
      </c>
      <c r="AH61" s="4" t="s">
        <v>107</v>
      </c>
      <c r="AI61" s="4">
        <f ca="1">ROUND(T_Tiktok_ads[[#This Row],[impressions]]*RANDBETWEEN(8,12)/10,0)</f>
        <v>193481</v>
      </c>
      <c r="AJ61" s="4">
        <f ca="1">ROUND(T_Tiktok_ads[[#This Row],[clicks]]*RANDBETWEEN(8,12)/10,0)</f>
        <v>3707</v>
      </c>
      <c r="AK61" s="4">
        <v>823.7</v>
      </c>
      <c r="AL61" s="4">
        <f ca="1">ROUND(T_Tiktok_ads[[#This Row],[conversions]]*RANDBETWEEN(8,12)/10,0)</f>
        <v>66</v>
      </c>
      <c r="AM61" s="4">
        <f ca="1">ROUND(T_Tiktok_ads[[#This Row],[video_views]]*RANDBETWEEN(8,12)/10,0)</f>
        <v>136147</v>
      </c>
      <c r="AN61" s="4">
        <f ca="1">ROUND(T_Tiktok_ads[[#This Row],[video_watch_25]]*RANDBETWEEN(8,12)/10,0)</f>
        <v>66854</v>
      </c>
      <c r="AO61" s="4">
        <f ca="1">ROUND(T_Tiktok_ads[[#This Row],[video_watch_50]]*RANDBETWEEN(8,12)/10,0)</f>
        <v>50611</v>
      </c>
      <c r="AP61" s="4">
        <f ca="1">ROUND(T_Tiktok_ads[[#This Row],[video_watch_75]]*RANDBETWEEN(8,12)/10,0)</f>
        <v>42345</v>
      </c>
      <c r="AQ61" s="4">
        <f ca="1">ROUND(T_Tiktok_ads[[#This Row],[video_watch_100]]*RANDBETWEEN(8,12)/10,0)</f>
        <v>31057</v>
      </c>
      <c r="AR61" s="4">
        <f ca="1">ROUND(T_Tiktok_ads[[#This Row],[likes]]*RANDBETWEEN(8,12)/10,0)</f>
        <v>4418</v>
      </c>
      <c r="AS61" s="4">
        <f ca="1">ROUND(T_Tiktok_ads[[#This Row],[shares]]*RANDBETWEEN(8,12)/10,0)</f>
        <v>1907</v>
      </c>
      <c r="AT61" s="4">
        <f ca="1">ROUND(T_Tiktok_ads[[#This Row],[comments]]*RANDBETWEEN(8,12)/10,0)</f>
        <v>241</v>
      </c>
      <c r="AV61" s="5">
        <f t="shared" ca="1" si="8"/>
        <v>45030</v>
      </c>
      <c r="AW61">
        <f t="shared" ca="1" si="4"/>
        <v>4</v>
      </c>
      <c r="AX61">
        <f ca="1">ROUND(T_Facebook_Ads11596367[[#This Row],[impressions]]*RANDBETWEEN(8,12)/10,0)</f>
        <v>19229</v>
      </c>
      <c r="AY61">
        <f ca="1">ROUND(T_Facebook_Ads11596367[[#This Row],[clicks]]*RANDBETWEEN(8,12)/10,0)</f>
        <v>551</v>
      </c>
      <c r="AZ61">
        <f ca="1">T_Facebook_Ads11596367[[#This Row],[spend]]*RANDBETWEEN(8,12)/10</f>
        <v>306.61400000000003</v>
      </c>
      <c r="BA61">
        <f ca="1">ROUND(T_Facebook_Ads11596367[[#This Row],[conversions]]*RANDBETWEEN(8,12)/10,0)</f>
        <v>31</v>
      </c>
      <c r="BB61">
        <f ca="1">ROUND(T_Facebook_Ads11596367[[#This Row],[video_views]]*RANDBETWEEN(8,12)/10,0)</f>
        <v>1966</v>
      </c>
    </row>
    <row r="62" spans="1:54" ht="15.75" thickBot="1" x14ac:dyDescent="0.3">
      <c r="A62" s="3">
        <f t="shared" ca="1" si="5"/>
        <v>45025</v>
      </c>
      <c r="B62" s="4" t="s">
        <v>60</v>
      </c>
      <c r="C62" s="4" t="s">
        <v>61</v>
      </c>
      <c r="D62" s="4" t="s">
        <v>62</v>
      </c>
      <c r="E62" s="4" t="s">
        <v>63</v>
      </c>
      <c r="F62" s="4">
        <f ca="1">ROUND(T_Facebook_Ads[[#This Row],[impressions]]*RANDBETWEEN(8,12)/10,0)</f>
        <v>38901</v>
      </c>
      <c r="G62" s="4">
        <v>1456</v>
      </c>
      <c r="H62" s="4">
        <f ca="1">T_Facebook_Ads[[#This Row],[spend]]*RANDBETWEEN(8,12)/10</f>
        <v>202.05</v>
      </c>
      <c r="I62" s="4">
        <f ca="1">ROUND(T_Facebook_Ads[[#This Row],[conversions]]*RANDBETWEEN(8,12)/10,0)</f>
        <v>34</v>
      </c>
      <c r="J62" s="4">
        <f ca="1">ROUND(T_Facebook_Ads[[#This Row],[video_views]]*RANDBETWEEN(8,12)/10,0)</f>
        <v>5234</v>
      </c>
      <c r="K62" s="4">
        <f ca="1">T_Facebook_Ads[[#This Row],[engagement_rate]]*RANDBETWEEN(8,12)/10</f>
        <v>3.7400000000000003E-2</v>
      </c>
      <c r="L62" s="4">
        <f ca="1">ROUND(T_Facebook_Ads[[#This Row],[reach]]*RANDBETWEEN(8,12)/10,0)</f>
        <v>34602</v>
      </c>
      <c r="M62" s="4">
        <f ca="1">T_Facebook_Ads[[#This Row],[frequency]]*RANDBETWEEN(8,12)/10</f>
        <v>1.1160000000000001</v>
      </c>
      <c r="O62" s="3">
        <f t="shared" ca="1" si="6"/>
        <v>45044</v>
      </c>
      <c r="P62" s="4" t="s">
        <v>84</v>
      </c>
      <c r="Q62" s="4" t="s">
        <v>85</v>
      </c>
      <c r="R62" s="4" t="s">
        <v>86</v>
      </c>
      <c r="S62" s="4" t="s">
        <v>87</v>
      </c>
      <c r="T62" s="4">
        <f ca="1">ROUND(_Google_ads[[#This Row],[impressions]]*RANDBETWEEN(8,12)/10,0)</f>
        <v>78724</v>
      </c>
      <c r="U62" s="4">
        <f ca="1">ROUND(_Google_ads[[#This Row],[clicks]]*RANDBETWEEN(8,12)/10,0)</f>
        <v>2894</v>
      </c>
      <c r="V62" s="4">
        <f ca="1">_Google_ads[[#This Row],[cost]]*RANDBETWEEN(8,12)/10</f>
        <v>530.76</v>
      </c>
      <c r="W62" s="4">
        <f ca="1">ROUND(_Google_ads[[#This Row],[conversions]]*RANDBETWEEN(8,12)/10,0)</f>
        <v>63</v>
      </c>
      <c r="X62" s="4">
        <f ca="1">ROUND(_Google_ads[[#This Row],[conversion_value]]*RANDBETWEEN(8,12)/10,0)</f>
        <v>3500</v>
      </c>
      <c r="Y62" s="4">
        <f ca="1">_Google_ads[[#This Row],[ctr]]*RANDBETWEEN(8,12)/10</f>
        <v>4.0439999999999997E-2</v>
      </c>
      <c r="Z62" s="4">
        <f ca="1">_Google_ads[[#This Row],[avg_cpc]]*RANDBETWEEN(8,12)/10</f>
        <v>0.14399999999999999</v>
      </c>
      <c r="AA62" s="4">
        <f ca="1">ROUND(_Google_ads[[#This Row],[quality_score]]*RANDBETWEEN(8,12)/10,0)</f>
        <v>6</v>
      </c>
      <c r="AB62" s="4">
        <f ca="1">_Google_ads[[#This Row],[search_impression_share]]*RANDBETWEEN(8,12)/10</f>
        <v>0.748</v>
      </c>
      <c r="AD62" s="3">
        <f t="shared" ca="1" si="7"/>
        <v>45046</v>
      </c>
      <c r="AE62" s="4" t="s">
        <v>108</v>
      </c>
      <c r="AF62" s="4" t="s">
        <v>109</v>
      </c>
      <c r="AG62" s="4" t="s">
        <v>110</v>
      </c>
      <c r="AH62" s="4" t="s">
        <v>111</v>
      </c>
      <c r="AI62" s="4">
        <f ca="1">ROUND(T_Tiktok_ads[[#This Row],[impressions]]*RANDBETWEEN(8,12)/10,0)</f>
        <v>298681</v>
      </c>
      <c r="AJ62" s="4">
        <f ca="1">ROUND(T_Tiktok_ads[[#This Row],[clicks]]*RANDBETWEEN(8,12)/10,0)</f>
        <v>3934</v>
      </c>
      <c r="AK62" s="4">
        <v>478.5</v>
      </c>
      <c r="AL62" s="4">
        <f ca="1">ROUND(T_Tiktok_ads[[#This Row],[conversions]]*RANDBETWEEN(8,12)/10,0)</f>
        <v>28</v>
      </c>
      <c r="AM62" s="4">
        <f ca="1">ROUND(T_Tiktok_ads[[#This Row],[video_views]]*RANDBETWEEN(8,12)/10,0)</f>
        <v>195234</v>
      </c>
      <c r="AN62" s="4">
        <f ca="1">ROUND(T_Tiktok_ads[[#This Row],[video_watch_25]]*RANDBETWEEN(8,12)/10,0)</f>
        <v>134011</v>
      </c>
      <c r="AO62" s="4">
        <f ca="1">ROUND(T_Tiktok_ads[[#This Row],[video_watch_50]]*RANDBETWEEN(8,12)/10,0)</f>
        <v>117890</v>
      </c>
      <c r="AP62" s="4">
        <f ca="1">ROUND(T_Tiktok_ads[[#This Row],[video_watch_75]]*RANDBETWEEN(8,12)/10,0)</f>
        <v>60987</v>
      </c>
      <c r="AQ62" s="4">
        <f ca="1">ROUND(T_Tiktok_ads[[#This Row],[video_watch_100]]*RANDBETWEEN(8,12)/10,0)</f>
        <v>46234</v>
      </c>
      <c r="AR62" s="4">
        <f ca="1">ROUND(T_Tiktok_ads[[#This Row],[likes]]*RANDBETWEEN(8,12)/10,0)</f>
        <v>7861</v>
      </c>
      <c r="AS62" s="4">
        <f ca="1">ROUND(T_Tiktok_ads[[#This Row],[shares]]*RANDBETWEEN(8,12)/10,0)</f>
        <v>2641</v>
      </c>
      <c r="AT62" s="4">
        <f ca="1">ROUND(T_Tiktok_ads[[#This Row],[comments]]*RANDBETWEEN(8,12)/10,0)</f>
        <v>694</v>
      </c>
      <c r="AV62" s="5">
        <f t="shared" ca="1" si="8"/>
        <v>45022</v>
      </c>
      <c r="AW62">
        <f t="shared" ca="1" si="4"/>
        <v>8</v>
      </c>
      <c r="AX62">
        <f ca="1">ROUND(T_Facebook_Ads11596367[[#This Row],[impressions]]*RANDBETWEEN(8,12)/10,0)</f>
        <v>46681</v>
      </c>
      <c r="AY62">
        <f ca="1">ROUND(T_Facebook_Ads11596367[[#This Row],[clicks]]*RANDBETWEEN(8,12)/10,0)</f>
        <v>1456</v>
      </c>
      <c r="AZ62">
        <f ca="1">T_Facebook_Ads11596367[[#This Row],[spend]]*RANDBETWEEN(8,12)/10</f>
        <v>181.845</v>
      </c>
      <c r="BA62">
        <f ca="1">ROUND(T_Facebook_Ads11596367[[#This Row],[conversions]]*RANDBETWEEN(8,12)/10,0)</f>
        <v>34</v>
      </c>
      <c r="BB62">
        <f ca="1">ROUND(T_Facebook_Ads11596367[[#This Row],[video_views]]*RANDBETWEEN(8,12)/10,0)</f>
        <v>6281</v>
      </c>
    </row>
    <row r="63" spans="1:54" ht="15.75" thickBot="1" x14ac:dyDescent="0.3">
      <c r="A63" s="3">
        <f t="shared" ca="1" si="5"/>
        <v>45021</v>
      </c>
      <c r="B63" s="4" t="s">
        <v>64</v>
      </c>
      <c r="C63" s="4" t="s">
        <v>65</v>
      </c>
      <c r="D63" s="4" t="s">
        <v>66</v>
      </c>
      <c r="E63" s="4" t="s">
        <v>67</v>
      </c>
      <c r="F63" s="4">
        <f ca="1">ROUND(T_Facebook_Ads[[#This Row],[impressions]]*RANDBETWEEN(8,12)/10,0)</f>
        <v>72345</v>
      </c>
      <c r="G63" s="4">
        <v>261</v>
      </c>
      <c r="H63" s="4">
        <f ca="1">T_Facebook_Ads[[#This Row],[spend]]*RANDBETWEEN(8,12)/10</f>
        <v>111.24000000000001</v>
      </c>
      <c r="I63" s="4">
        <f ca="1">ROUND(T_Facebook_Ads[[#This Row],[conversions]]*RANDBETWEEN(8,12)/10,0)</f>
        <v>7</v>
      </c>
      <c r="J63" s="4">
        <f ca="1">ROUND(T_Facebook_Ads[[#This Row],[video_views]]*RANDBETWEEN(8,12)/10,0)</f>
        <v>43710</v>
      </c>
      <c r="K63" s="4">
        <f ca="1">T_Facebook_Ads[[#This Row],[engagement_rate]]*RANDBETWEEN(8,12)/10</f>
        <v>2.8799999999999997E-3</v>
      </c>
      <c r="L63" s="4">
        <f ca="1">ROUND(T_Facebook_Ads[[#This Row],[reach]]*RANDBETWEEN(8,12)/10,0)</f>
        <v>69881</v>
      </c>
      <c r="M63" s="4">
        <f ca="1">T_Facebook_Ads[[#This Row],[frequency]]*RANDBETWEEN(8,12)/10</f>
        <v>0.99199999999999999</v>
      </c>
      <c r="O63" s="3">
        <f t="shared" ca="1" si="6"/>
        <v>45022</v>
      </c>
      <c r="P63" s="4" t="s">
        <v>88</v>
      </c>
      <c r="Q63" s="4" t="s">
        <v>89</v>
      </c>
      <c r="R63" s="4" t="s">
        <v>90</v>
      </c>
      <c r="S63" s="4" t="s">
        <v>59</v>
      </c>
      <c r="T63" s="4">
        <f ca="1">ROUND(_Google_ads[[#This Row],[impressions]]*RANDBETWEEN(8,12)/10,0)</f>
        <v>108187</v>
      </c>
      <c r="U63" s="4">
        <f ca="1">ROUND(_Google_ads[[#This Row],[clicks]]*RANDBETWEEN(8,12)/10,0)</f>
        <v>601</v>
      </c>
      <c r="V63" s="4">
        <f ca="1">_Google_ads[[#This Row],[cost]]*RANDBETWEEN(8,12)/10</f>
        <v>160.32</v>
      </c>
      <c r="W63" s="4">
        <f ca="1">ROUND(_Google_ads[[#This Row],[conversions]]*RANDBETWEEN(8,12)/10,0)</f>
        <v>11</v>
      </c>
      <c r="X63" s="4">
        <f ca="1">ROUND(_Google_ads[[#This Row],[conversion_value]]*RANDBETWEEN(8,12)/10,0)</f>
        <v>700</v>
      </c>
      <c r="Y63" s="4">
        <f ca="1">_Google_ads[[#This Row],[ctr]]*RANDBETWEEN(8,12)/10</f>
        <v>3.3300000000000005E-3</v>
      </c>
      <c r="Z63" s="4">
        <f ca="1">_Google_ads[[#This Row],[avg_cpc]]*RANDBETWEEN(8,12)/10</f>
        <v>0.24300000000000002</v>
      </c>
      <c r="AA63" s="4">
        <f ca="1">ROUND(_Google_ads[[#This Row],[quality_score]]*RANDBETWEEN(8,12)/10,0)</f>
        <v>6</v>
      </c>
      <c r="AB63" s="4">
        <f ca="1">_Google_ads[[#This Row],[search_impression_share]]*RANDBETWEEN(8,12)/10</f>
        <v>0.315</v>
      </c>
      <c r="AD63" s="3">
        <f t="shared" ca="1" si="7"/>
        <v>45030</v>
      </c>
      <c r="AE63" s="4" t="s">
        <v>112</v>
      </c>
      <c r="AF63" s="4" t="s">
        <v>113</v>
      </c>
      <c r="AG63" s="4" t="s">
        <v>114</v>
      </c>
      <c r="AH63" s="4" t="s">
        <v>115</v>
      </c>
      <c r="AI63" s="4">
        <f ca="1">ROUND(T_Tiktok_ads[[#This Row],[impressions]]*RANDBETWEEN(8,12)/10,0)</f>
        <v>391110</v>
      </c>
      <c r="AJ63" s="4">
        <f ca="1">ROUND(T_Tiktok_ads[[#This Row],[clicks]]*RANDBETWEEN(8,12)/10,0)</f>
        <v>6311</v>
      </c>
      <c r="AK63" s="4">
        <v>1089.3</v>
      </c>
      <c r="AL63" s="4">
        <f ca="1">ROUND(T_Tiktok_ads[[#This Row],[conversions]]*RANDBETWEEN(8,12)/10,0)</f>
        <v>131</v>
      </c>
      <c r="AM63" s="4">
        <f ca="1">ROUND(T_Tiktok_ads[[#This Row],[video_views]]*RANDBETWEEN(8,12)/10,0)</f>
        <v>331101</v>
      </c>
      <c r="AN63" s="4">
        <f ca="1">ROUND(T_Tiktok_ads[[#This Row],[video_watch_25]]*RANDBETWEEN(8,12)/10,0)</f>
        <v>296234</v>
      </c>
      <c r="AO63" s="4">
        <f ca="1">ROUND(T_Tiktok_ads[[#This Row],[video_watch_50]]*RANDBETWEEN(8,12)/10,0)</f>
        <v>237890</v>
      </c>
      <c r="AP63" s="4">
        <f ca="1">ROUND(T_Tiktok_ads[[#This Row],[video_watch_75]]*RANDBETWEEN(8,12)/10,0)</f>
        <v>168234</v>
      </c>
      <c r="AQ63" s="4">
        <f ca="1">ROUND(T_Tiktok_ads[[#This Row],[video_watch_100]]*RANDBETWEEN(8,12)/10,0)</f>
        <v>133481</v>
      </c>
      <c r="AR63" s="4">
        <f ca="1">ROUND(T_Tiktok_ads[[#This Row],[likes]]*RANDBETWEEN(8,12)/10,0)</f>
        <v>19234</v>
      </c>
      <c r="AS63" s="4">
        <f ca="1">ROUND(T_Tiktok_ads[[#This Row],[shares]]*RANDBETWEEN(8,12)/10,0)</f>
        <v>5534</v>
      </c>
      <c r="AT63" s="4">
        <f ca="1">ROUND(T_Tiktok_ads[[#This Row],[comments]]*RANDBETWEEN(8,12)/10,0)</f>
        <v>1828</v>
      </c>
      <c r="AV63" s="5">
        <f t="shared" ca="1" si="8"/>
        <v>45036</v>
      </c>
      <c r="AW63">
        <f t="shared" ca="1" si="4"/>
        <v>5</v>
      </c>
      <c r="AX63">
        <f ca="1">ROUND(T_Facebook_Ads11596367[[#This Row],[impressions]]*RANDBETWEEN(8,12)/10,0)</f>
        <v>86814</v>
      </c>
      <c r="AY63">
        <f ca="1">ROUND(T_Facebook_Ads11596367[[#This Row],[clicks]]*RANDBETWEEN(8,12)/10,0)</f>
        <v>313</v>
      </c>
      <c r="AZ63">
        <f ca="1">T_Facebook_Ads11596367[[#This Row],[spend]]*RANDBETWEEN(8,12)/10</f>
        <v>100.11600000000001</v>
      </c>
      <c r="BA63">
        <f ca="1">ROUND(T_Facebook_Ads11596367[[#This Row],[conversions]]*RANDBETWEEN(8,12)/10,0)</f>
        <v>7</v>
      </c>
      <c r="BB63">
        <f ca="1">ROUND(T_Facebook_Ads11596367[[#This Row],[video_views]]*RANDBETWEEN(8,12)/10,0)</f>
        <v>34968</v>
      </c>
    </row>
    <row r="64" spans="1:54" ht="15.75" thickBot="1" x14ac:dyDescent="0.3">
      <c r="A64" s="3">
        <f t="shared" ca="1" si="5"/>
        <v>45043</v>
      </c>
      <c r="B64" s="4" t="s">
        <v>52</v>
      </c>
      <c r="C64" s="4" t="s">
        <v>53</v>
      </c>
      <c r="D64" s="4" t="s">
        <v>54</v>
      </c>
      <c r="E64" s="4" t="s">
        <v>55</v>
      </c>
      <c r="F64" s="4">
        <f ca="1">ROUND(T_Facebook_Ads[[#This Row],[impressions]]*RANDBETWEEN(8,12)/10,0)</f>
        <v>38312</v>
      </c>
      <c r="G64" s="4">
        <v>967</v>
      </c>
      <c r="H64" s="4">
        <f ca="1">T_Facebook_Ads[[#This Row],[spend]]*RANDBETWEEN(8,12)/10</f>
        <v>138.4</v>
      </c>
      <c r="I64" s="4">
        <f ca="1">ROUND(T_Facebook_Ads[[#This Row],[conversions]]*RANDBETWEEN(8,12)/10,0)</f>
        <v>15</v>
      </c>
      <c r="J64" s="4">
        <f ca="1">ROUND(T_Facebook_Ads[[#This Row],[video_views]]*RANDBETWEEN(8,12)/10,0)</f>
        <v>8789</v>
      </c>
      <c r="K64" s="4">
        <f ca="1">T_Facebook_Ads[[#This Row],[engagement_rate]]*RANDBETWEEN(8,12)/10</f>
        <v>1.8179999999999998E-2</v>
      </c>
      <c r="L64" s="4">
        <f ca="1">ROUND(T_Facebook_Ads[[#This Row],[reach]]*RANDBETWEEN(8,12)/10,0)</f>
        <v>36211</v>
      </c>
      <c r="M64" s="4">
        <f ca="1">T_Facebook_Ads[[#This Row],[frequency]]*RANDBETWEEN(8,12)/10</f>
        <v>0.95199999999999996</v>
      </c>
      <c r="O64" s="3">
        <f t="shared" ca="1" si="6"/>
        <v>45022</v>
      </c>
      <c r="P64" s="4" t="s">
        <v>76</v>
      </c>
      <c r="Q64" s="4" t="s">
        <v>77</v>
      </c>
      <c r="R64" s="4" t="s">
        <v>78</v>
      </c>
      <c r="S64" s="4" t="s">
        <v>79</v>
      </c>
      <c r="T64" s="4">
        <f ca="1">ROUND(_Google_ads[[#This Row],[impressions]]*RANDBETWEEN(8,12)/10,0)</f>
        <v>19654</v>
      </c>
      <c r="U64" s="4">
        <f ca="1">ROUND(_Google_ads[[#This Row],[clicks]]*RANDBETWEEN(8,12)/10,0)</f>
        <v>1547</v>
      </c>
      <c r="V64" s="4">
        <f ca="1">_Google_ads[[#This Row],[cost]]*RANDBETWEEN(8,12)/10</f>
        <v>296.16000000000003</v>
      </c>
      <c r="W64" s="4">
        <f ca="1">ROUND(_Google_ads[[#This Row],[conversions]]*RANDBETWEEN(8,12)/10,0)</f>
        <v>58</v>
      </c>
      <c r="X64" s="4">
        <f ca="1">ROUND(_Google_ads[[#This Row],[conversion_value]]*RANDBETWEEN(8,12)/10,0)</f>
        <v>2640</v>
      </c>
      <c r="Y64" s="4">
        <f ca="1">_Google_ads[[#This Row],[ctr]]*RANDBETWEEN(8,12)/10</f>
        <v>6.3E-2</v>
      </c>
      <c r="Z64" s="4">
        <f ca="1">_Google_ads[[#This Row],[avg_cpc]]*RANDBETWEEN(8,12)/10</f>
        <v>0.22800000000000004</v>
      </c>
      <c r="AA64" s="4">
        <f ca="1">ROUND(_Google_ads[[#This Row],[quality_score]]*RANDBETWEEN(8,12)/10,0)</f>
        <v>11</v>
      </c>
      <c r="AB64" s="4">
        <f ca="1">_Google_ads[[#This Row],[search_impression_share]]*RANDBETWEEN(8,12)/10</f>
        <v>0.81899999999999995</v>
      </c>
      <c r="AD64" s="3">
        <f t="shared" ca="1" si="7"/>
        <v>45021</v>
      </c>
      <c r="AE64" s="4" t="s">
        <v>100</v>
      </c>
      <c r="AF64" s="4" t="s">
        <v>101</v>
      </c>
      <c r="AG64" s="4" t="s">
        <v>102</v>
      </c>
      <c r="AH64" s="4" t="s">
        <v>103</v>
      </c>
      <c r="AI64" s="4">
        <f ca="1">ROUND(T_Tiktok_ads[[#This Row],[impressions]]*RANDBETWEEN(8,12)/10,0)</f>
        <v>334681</v>
      </c>
      <c r="AJ64" s="4">
        <f ca="1">ROUND(T_Tiktok_ads[[#This Row],[clicks]]*RANDBETWEEN(8,12)/10,0)</f>
        <v>4123</v>
      </c>
      <c r="AK64" s="4">
        <v>545.6</v>
      </c>
      <c r="AL64" s="4">
        <f ca="1">ROUND(T_Tiktok_ads[[#This Row],[conversions]]*RANDBETWEEN(8,12)/10,0)</f>
        <v>46</v>
      </c>
      <c r="AM64" s="4">
        <f ca="1">ROUND(T_Tiktok_ads[[#This Row],[video_views]]*RANDBETWEEN(8,12)/10,0)</f>
        <v>275081</v>
      </c>
      <c r="AN64" s="4">
        <f ca="1">ROUND(T_Tiktok_ads[[#This Row],[video_watch_25]]*RANDBETWEEN(8,12)/10,0)</f>
        <v>161311</v>
      </c>
      <c r="AO64" s="4">
        <f ca="1">ROUND(T_Tiktok_ads[[#This Row],[video_watch_50]]*RANDBETWEEN(8,12)/10,0)</f>
        <v>89787</v>
      </c>
      <c r="AP64" s="4">
        <f ca="1">ROUND(T_Tiktok_ads[[#This Row],[video_watch_75]]*RANDBETWEEN(8,12)/10,0)</f>
        <v>83246</v>
      </c>
      <c r="AQ64" s="4">
        <f ca="1">ROUND(T_Tiktok_ads[[#This Row],[video_watch_100]]*RANDBETWEEN(8,12)/10,0)</f>
        <v>55257</v>
      </c>
      <c r="AR64" s="4">
        <f ca="1">ROUND(T_Tiktok_ads[[#This Row],[likes]]*RANDBETWEEN(8,12)/10,0)</f>
        <v>11135</v>
      </c>
      <c r="AS64" s="4">
        <f ca="1">ROUND(T_Tiktok_ads[[#This Row],[shares]]*RANDBETWEEN(8,12)/10,0)</f>
        <v>2983</v>
      </c>
      <c r="AT64" s="4">
        <f ca="1">ROUND(T_Tiktok_ads[[#This Row],[comments]]*RANDBETWEEN(8,12)/10,0)</f>
        <v>581</v>
      </c>
      <c r="AV64" s="5">
        <f t="shared" ca="1" si="8"/>
        <v>45027</v>
      </c>
      <c r="AW64">
        <f t="shared" ca="1" si="4"/>
        <v>5</v>
      </c>
      <c r="AX64">
        <f ca="1">ROUND(T_Facebook_Ads11596367[[#This Row],[impressions]]*RANDBETWEEN(8,12)/10,0)</f>
        <v>30650</v>
      </c>
      <c r="AY64">
        <f ca="1">ROUND(T_Facebook_Ads11596367[[#This Row],[clicks]]*RANDBETWEEN(8,12)/10,0)</f>
        <v>967</v>
      </c>
      <c r="AZ64">
        <f ca="1">T_Facebook_Ads11596367[[#This Row],[spend]]*RANDBETWEEN(8,12)/10</f>
        <v>110.72</v>
      </c>
      <c r="BA64">
        <f ca="1">ROUND(T_Facebook_Ads11596367[[#This Row],[conversions]]*RANDBETWEEN(8,12)/10,0)</f>
        <v>15</v>
      </c>
      <c r="BB64">
        <f ca="1">ROUND(T_Facebook_Ads11596367[[#This Row],[video_views]]*RANDBETWEEN(8,12)/10,0)</f>
        <v>7910</v>
      </c>
    </row>
    <row r="65" spans="1:54" ht="15.75" thickBot="1" x14ac:dyDescent="0.3">
      <c r="A65" s="3">
        <f t="shared" ca="1" si="5"/>
        <v>45041</v>
      </c>
      <c r="B65" s="4" t="s">
        <v>56</v>
      </c>
      <c r="C65" s="4" t="s">
        <v>57</v>
      </c>
      <c r="D65" s="4" t="s">
        <v>58</v>
      </c>
      <c r="E65" s="4" t="s">
        <v>59</v>
      </c>
      <c r="F65" s="4">
        <f ca="1">ROUND(T_Facebook_Ads[[#This Row],[impressions]]*RANDBETWEEN(8,12)/10,0)</f>
        <v>11112</v>
      </c>
      <c r="G65" s="4">
        <v>634</v>
      </c>
      <c r="H65" s="4">
        <f ca="1">T_Facebook_Ads[[#This Row],[spend]]*RANDBETWEEN(8,12)/10</f>
        <v>188.64000000000001</v>
      </c>
      <c r="I65" s="4">
        <f ca="1">ROUND(T_Facebook_Ads[[#This Row],[conversions]]*RANDBETWEEN(8,12)/10,0)</f>
        <v>48</v>
      </c>
      <c r="J65" s="4">
        <f ca="1">ROUND(T_Facebook_Ads[[#This Row],[video_views]]*RANDBETWEEN(8,12)/10,0)</f>
        <v>1240</v>
      </c>
      <c r="K65" s="4">
        <f ca="1">T_Facebook_Ads[[#This Row],[engagement_rate]]*RANDBETWEEN(8,12)/10</f>
        <v>5.484E-2</v>
      </c>
      <c r="L65" s="4">
        <f ca="1">ROUND(T_Facebook_Ads[[#This Row],[reach]]*RANDBETWEEN(8,12)/10,0)</f>
        <v>11979</v>
      </c>
      <c r="M65" s="4">
        <f ca="1">T_Facebook_Ads[[#This Row],[frequency]]*RANDBETWEEN(8,12)/10</f>
        <v>1.016</v>
      </c>
      <c r="O65" s="3">
        <f t="shared" ca="1" si="6"/>
        <v>45035</v>
      </c>
      <c r="P65" s="4" t="s">
        <v>80</v>
      </c>
      <c r="Q65" s="4" t="s">
        <v>81</v>
      </c>
      <c r="R65" s="4" t="s">
        <v>82</v>
      </c>
      <c r="S65" s="4" t="s">
        <v>83</v>
      </c>
      <c r="T65" s="4">
        <f ca="1">ROUND(_Google_ads[[#This Row],[impressions]]*RANDBETWEEN(8,12)/10,0)</f>
        <v>35912</v>
      </c>
      <c r="U65" s="4">
        <f ca="1">ROUND(_Google_ads[[#This Row],[clicks]]*RANDBETWEEN(8,12)/10,0)</f>
        <v>801</v>
      </c>
      <c r="V65" s="4">
        <f ca="1">_Google_ads[[#This Row],[cost]]*RANDBETWEEN(8,12)/10</f>
        <v>459.76000000000005</v>
      </c>
      <c r="W65" s="4">
        <f ca="1">ROUND(_Google_ads[[#This Row],[conversions]]*RANDBETWEEN(8,12)/10,0)</f>
        <v>23</v>
      </c>
      <c r="X65" s="4">
        <f ca="1">ROUND(_Google_ads[[#This Row],[conversion_value]]*RANDBETWEEN(8,12)/10,0)</f>
        <v>1265</v>
      </c>
      <c r="Y65" s="4">
        <f ca="1">_Google_ads[[#This Row],[ctr]]*RANDBETWEEN(8,12)/10</f>
        <v>1.584E-2</v>
      </c>
      <c r="Z65" s="4">
        <f ca="1">_Google_ads[[#This Row],[avg_cpc]]*RANDBETWEEN(8,12)/10</f>
        <v>0.58500000000000008</v>
      </c>
      <c r="AA65" s="4">
        <f ca="1">ROUND(_Google_ads[[#This Row],[quality_score]]*RANDBETWEEN(8,12)/10,0)</f>
        <v>6</v>
      </c>
      <c r="AB65" s="4">
        <f ca="1">_Google_ads[[#This Row],[search_impression_share]]*RANDBETWEEN(8,12)/10</f>
        <v>0.35199999999999998</v>
      </c>
      <c r="AD65" s="3">
        <f t="shared" ca="1" si="7"/>
        <v>45042</v>
      </c>
      <c r="AE65" s="4" t="s">
        <v>104</v>
      </c>
      <c r="AF65" s="4" t="s">
        <v>105</v>
      </c>
      <c r="AG65" s="4" t="s">
        <v>106</v>
      </c>
      <c r="AH65" s="4" t="s">
        <v>107</v>
      </c>
      <c r="AI65" s="4">
        <f ca="1">ROUND(T_Tiktok_ads[[#This Row],[impressions]]*RANDBETWEEN(8,12)/10,0)</f>
        <v>138110</v>
      </c>
      <c r="AJ65" s="4">
        <f ca="1">ROUND(T_Tiktok_ads[[#This Row],[clicks]]*RANDBETWEEN(8,12)/10,0)</f>
        <v>2651</v>
      </c>
      <c r="AK65" s="4">
        <v>789.2</v>
      </c>
      <c r="AL65" s="4">
        <f ca="1">ROUND(T_Tiktok_ads[[#This Row],[conversions]]*RANDBETWEEN(8,12)/10,0)</f>
        <v>79</v>
      </c>
      <c r="AM65" s="4">
        <f ca="1">ROUND(T_Tiktok_ads[[#This Row],[video_views]]*RANDBETWEEN(8,12)/10,0)</f>
        <v>97101</v>
      </c>
      <c r="AN65" s="4">
        <f ca="1">ROUND(T_Tiktok_ads[[#This Row],[video_watch_25]]*RANDBETWEEN(8,12)/10,0)</f>
        <v>63654</v>
      </c>
      <c r="AO65" s="4">
        <f ca="1">ROUND(T_Tiktok_ads[[#This Row],[video_watch_50]]*RANDBETWEEN(8,12)/10,0)</f>
        <v>48310</v>
      </c>
      <c r="AP65" s="4">
        <f ca="1">ROUND(T_Tiktok_ads[[#This Row],[video_watch_75]]*RANDBETWEEN(8,12)/10,0)</f>
        <v>44257</v>
      </c>
      <c r="AQ65" s="4">
        <f ca="1">ROUND(T_Tiktok_ads[[#This Row],[video_watch_100]]*RANDBETWEEN(8,12)/10,0)</f>
        <v>21512</v>
      </c>
      <c r="AR65" s="4">
        <f ca="1">ROUND(T_Tiktok_ads[[#This Row],[likes]]*RANDBETWEEN(8,12)/10,0)</f>
        <v>4187</v>
      </c>
      <c r="AS65" s="4">
        <f ca="1">ROUND(T_Tiktok_ads[[#This Row],[shares]]*RANDBETWEEN(8,12)/10,0)</f>
        <v>1747</v>
      </c>
      <c r="AT65" s="4">
        <f ca="1">ROUND(T_Tiktok_ads[[#This Row],[comments]]*RANDBETWEEN(8,12)/10,0)</f>
        <v>306</v>
      </c>
      <c r="AV65" s="5">
        <f t="shared" ca="1" si="8"/>
        <v>45024</v>
      </c>
      <c r="AW65">
        <f t="shared" ca="1" si="4"/>
        <v>6</v>
      </c>
      <c r="AX65">
        <f ca="1">ROUND(T_Facebook_Ads11596367[[#This Row],[impressions]]*RANDBETWEEN(8,12)/10,0)</f>
        <v>12223</v>
      </c>
      <c r="AY65">
        <f ca="1">ROUND(T_Facebook_Ads11596367[[#This Row],[clicks]]*RANDBETWEEN(8,12)/10,0)</f>
        <v>571</v>
      </c>
      <c r="AZ65">
        <f ca="1">T_Facebook_Ads11596367[[#This Row],[spend]]*RANDBETWEEN(8,12)/10</f>
        <v>226.36800000000002</v>
      </c>
      <c r="BA65">
        <f ca="1">ROUND(T_Facebook_Ads11596367[[#This Row],[conversions]]*RANDBETWEEN(8,12)/10,0)</f>
        <v>43</v>
      </c>
      <c r="BB65">
        <f ca="1">ROUND(T_Facebook_Ads11596367[[#This Row],[video_views]]*RANDBETWEEN(8,12)/10,0)</f>
        <v>1488</v>
      </c>
    </row>
    <row r="66" spans="1:54" ht="15.75" thickBot="1" x14ac:dyDescent="0.3">
      <c r="A66" s="3">
        <f t="shared" ref="A66:A97" ca="1" si="9">DATE(2023,4,RANDBETWEEN(1,30))</f>
        <v>45025</v>
      </c>
      <c r="B66" s="4" t="s">
        <v>60</v>
      </c>
      <c r="C66" s="4" t="s">
        <v>61</v>
      </c>
      <c r="D66" s="4" t="s">
        <v>62</v>
      </c>
      <c r="E66" s="4" t="s">
        <v>63</v>
      </c>
      <c r="F66" s="4">
        <f ca="1">ROUND(T_Facebook_Ads[[#This Row],[impressions]]*RANDBETWEEN(8,12)/10,0)</f>
        <v>33511</v>
      </c>
      <c r="G66" s="4">
        <v>1367</v>
      </c>
      <c r="H66" s="4">
        <f ca="1">T_Facebook_Ads[[#This Row],[spend]]*RANDBETWEEN(8,12)/10</f>
        <v>251.88000000000002</v>
      </c>
      <c r="I66" s="4">
        <f ca="1">ROUND(T_Facebook_Ads[[#This Row],[conversions]]*RANDBETWEEN(8,12)/10,0)</f>
        <v>28</v>
      </c>
      <c r="J66" s="4">
        <f ca="1">ROUND(T_Facebook_Ads[[#This Row],[video_views]]*RANDBETWEEN(8,12)/10,0)</f>
        <v>6014</v>
      </c>
      <c r="K66" s="4">
        <f ca="1">T_Facebook_Ads[[#This Row],[engagement_rate]]*RANDBETWEEN(8,12)/10</f>
        <v>3.3030000000000004E-2</v>
      </c>
      <c r="L66" s="4">
        <f ca="1">ROUND(T_Facebook_Ads[[#This Row],[reach]]*RANDBETWEEN(8,12)/10,0)</f>
        <v>33746</v>
      </c>
      <c r="M66" s="4">
        <f ca="1">T_Facebook_Ads[[#This Row],[frequency]]*RANDBETWEEN(8,12)/10</f>
        <v>1.089</v>
      </c>
      <c r="O66" s="3">
        <f t="shared" ref="O66:O97" ca="1" si="10">DATE(2023,4,RANDBETWEEN(1,30))</f>
        <v>45018</v>
      </c>
      <c r="P66" s="4" t="s">
        <v>84</v>
      </c>
      <c r="Q66" s="4" t="s">
        <v>85</v>
      </c>
      <c r="R66" s="4" t="s">
        <v>86</v>
      </c>
      <c r="S66" s="4" t="s">
        <v>87</v>
      </c>
      <c r="T66" s="4">
        <f ca="1">ROUND(_Google_ads[[#This Row],[impressions]]*RANDBETWEEN(8,12)/10,0)</f>
        <v>76157</v>
      </c>
      <c r="U66" s="4">
        <f ca="1">ROUND(_Google_ads[[#This Row],[clicks]]*RANDBETWEEN(8,12)/10,0)</f>
        <v>1841</v>
      </c>
      <c r="V66" s="4">
        <f ca="1">_Google_ads[[#This Row],[cost]]*RANDBETWEEN(8,12)/10</f>
        <v>508.2</v>
      </c>
      <c r="W66" s="4">
        <f ca="1">ROUND(_Google_ads[[#This Row],[conversions]]*RANDBETWEEN(8,12)/10,0)</f>
        <v>60</v>
      </c>
      <c r="X66" s="4">
        <f ca="1">ROUND(_Google_ads[[#This Row],[conversion_value]]*RANDBETWEEN(8,12)/10,0)</f>
        <v>3350</v>
      </c>
      <c r="Y66" s="4">
        <f ca="1">_Google_ads[[#This Row],[ctr]]*RANDBETWEEN(8,12)/10</f>
        <v>3.984E-2</v>
      </c>
      <c r="Z66" s="4">
        <f ca="1">_Google_ads[[#This Row],[avg_cpc]]*RANDBETWEEN(8,12)/10</f>
        <v>0.19800000000000001</v>
      </c>
      <c r="AA66" s="4">
        <f ca="1">ROUND(_Google_ads[[#This Row],[quality_score]]*RANDBETWEEN(8,12)/10,0)</f>
        <v>9</v>
      </c>
      <c r="AB66" s="4">
        <f ca="1">_Google_ads[[#This Row],[search_impression_share]]*RANDBETWEEN(8,12)/10</f>
        <v>0.60299999999999998</v>
      </c>
      <c r="AD66" s="3">
        <f t="shared" ref="AD66:AD97" ca="1" si="11">DATE(2023,4,RANDBETWEEN(1,30))</f>
        <v>45031</v>
      </c>
      <c r="AE66" s="4" t="s">
        <v>108</v>
      </c>
      <c r="AF66" s="4" t="s">
        <v>109</v>
      </c>
      <c r="AG66" s="4" t="s">
        <v>110</v>
      </c>
      <c r="AH66" s="4" t="s">
        <v>111</v>
      </c>
      <c r="AI66" s="4">
        <f ca="1">ROUND(T_Tiktok_ads[[#This Row],[impressions]]*RANDBETWEEN(8,12)/10,0)</f>
        <v>284147</v>
      </c>
      <c r="AJ66" s="4">
        <f ca="1">ROUND(T_Tiktok_ads[[#This Row],[clicks]]*RANDBETWEEN(8,12)/10,0)</f>
        <v>3734</v>
      </c>
      <c r="AK66" s="4">
        <v>456.8</v>
      </c>
      <c r="AL66" s="4">
        <f ca="1">ROUND(T_Tiktok_ads[[#This Row],[conversions]]*RANDBETWEEN(8,12)/10,0)</f>
        <v>36</v>
      </c>
      <c r="AM66" s="4">
        <f ca="1">ROUND(T_Tiktok_ads[[#This Row],[video_views]]*RANDBETWEEN(8,12)/10,0)</f>
        <v>169101</v>
      </c>
      <c r="AN66" s="4">
        <f ca="1">ROUND(T_Tiktok_ads[[#This Row],[video_watch_25]]*RANDBETWEEN(8,12)/10,0)</f>
        <v>142345</v>
      </c>
      <c r="AO66" s="4">
        <f ca="1">ROUND(T_Tiktok_ads[[#This Row],[video_watch_50]]*RANDBETWEEN(8,12)/10,0)</f>
        <v>101111</v>
      </c>
      <c r="AP66" s="4">
        <f ca="1">ROUND(T_Tiktok_ads[[#This Row],[video_watch_75]]*RANDBETWEEN(8,12)/10,0)</f>
        <v>86814</v>
      </c>
      <c r="AQ66" s="4">
        <f ca="1">ROUND(T_Tiktok_ads[[#This Row],[video_watch_100]]*RANDBETWEEN(8,12)/10,0)</f>
        <v>35031</v>
      </c>
      <c r="AR66" s="4">
        <f ca="1">ROUND(T_Tiktok_ads[[#This Row],[likes]]*RANDBETWEEN(8,12)/10,0)</f>
        <v>9302</v>
      </c>
      <c r="AS66" s="4">
        <f ca="1">ROUND(T_Tiktok_ads[[#This Row],[shares]]*RANDBETWEEN(8,12)/10,0)</f>
        <v>2267</v>
      </c>
      <c r="AT66" s="4">
        <f ca="1">ROUND(T_Tiktok_ads[[#This Row],[comments]]*RANDBETWEEN(8,12)/10,0)</f>
        <v>436</v>
      </c>
      <c r="AV66" s="5">
        <f t="shared" ref="AV66:AV97" ca="1" si="12">DATE(2023,4,RANDBETWEEN(1,30))</f>
        <v>45046</v>
      </c>
      <c r="AW66">
        <f t="shared" ca="1" si="4"/>
        <v>3</v>
      </c>
      <c r="AX66">
        <f ca="1">ROUND(T_Facebook_Ads11596367[[#This Row],[impressions]]*RANDBETWEEN(8,12)/10,0)</f>
        <v>33511</v>
      </c>
      <c r="AY66">
        <f ca="1">ROUND(T_Facebook_Ads11596367[[#This Row],[clicks]]*RANDBETWEEN(8,12)/10,0)</f>
        <v>1640</v>
      </c>
      <c r="AZ66">
        <f ca="1">T_Facebook_Ads11596367[[#This Row],[spend]]*RANDBETWEEN(8,12)/10</f>
        <v>226.69200000000001</v>
      </c>
      <c r="BA66">
        <f ca="1">ROUND(T_Facebook_Ads11596367[[#This Row],[conversions]]*RANDBETWEEN(8,12)/10,0)</f>
        <v>34</v>
      </c>
      <c r="BB66">
        <f ca="1">ROUND(T_Facebook_Ads11596367[[#This Row],[video_views]]*RANDBETWEEN(8,12)/10,0)</f>
        <v>6014</v>
      </c>
    </row>
    <row r="67" spans="1:54" ht="15.75" thickBot="1" x14ac:dyDescent="0.3">
      <c r="A67" s="3">
        <f t="shared" ca="1" si="9"/>
        <v>45022</v>
      </c>
      <c r="B67" s="4" t="s">
        <v>64</v>
      </c>
      <c r="C67" s="4" t="s">
        <v>65</v>
      </c>
      <c r="D67" s="4" t="s">
        <v>66</v>
      </c>
      <c r="E67" s="4" t="s">
        <v>67</v>
      </c>
      <c r="F67" s="4">
        <f ca="1">ROUND(T_Facebook_Ads[[#This Row],[impressions]]*RANDBETWEEN(8,12)/10,0)</f>
        <v>77135</v>
      </c>
      <c r="G67" s="4">
        <v>253</v>
      </c>
      <c r="H67" s="4">
        <f ca="1">T_Facebook_Ads[[#This Row],[spend]]*RANDBETWEEN(8,12)/10</f>
        <v>71.52000000000001</v>
      </c>
      <c r="I67" s="4">
        <f ca="1">ROUND(T_Facebook_Ads[[#This Row],[conversions]]*RANDBETWEEN(8,12)/10,0)</f>
        <v>5</v>
      </c>
      <c r="J67" s="4">
        <f ca="1">ROUND(T_Facebook_Ads[[#This Row],[video_views]]*RANDBETWEEN(8,12)/10,0)</f>
        <v>56681</v>
      </c>
      <c r="K67" s="4">
        <f ca="1">T_Facebook_Ads[[#This Row],[engagement_rate]]*RANDBETWEEN(8,12)/10</f>
        <v>3.96E-3</v>
      </c>
      <c r="L67" s="4">
        <f ca="1">ROUND(T_Facebook_Ads[[#This Row],[reach]]*RANDBETWEEN(8,12)/10,0)</f>
        <v>69468</v>
      </c>
      <c r="M67" s="4">
        <f ca="1">T_Facebook_Ads[[#This Row],[frequency]]*RANDBETWEEN(8,12)/10</f>
        <v>1.21</v>
      </c>
      <c r="O67" s="3">
        <f t="shared" ca="1" si="10"/>
        <v>45037</v>
      </c>
      <c r="P67" s="4" t="s">
        <v>88</v>
      </c>
      <c r="Q67" s="4" t="s">
        <v>89</v>
      </c>
      <c r="R67" s="4" t="s">
        <v>90</v>
      </c>
      <c r="S67" s="4" t="s">
        <v>59</v>
      </c>
      <c r="T67" s="4">
        <f ca="1">ROUND(_Google_ads[[#This Row],[impressions]]*RANDBETWEEN(8,12)/10,0)</f>
        <v>105254</v>
      </c>
      <c r="U67" s="4">
        <f ca="1">ROUND(_Google_ads[[#This Row],[clicks]]*RANDBETWEEN(8,12)/10,0)</f>
        <v>526</v>
      </c>
      <c r="V67" s="4">
        <f ca="1">_Google_ads[[#This Row],[cost]]*RANDBETWEEN(8,12)/10</f>
        <v>103.52000000000001</v>
      </c>
      <c r="W67" s="4">
        <f ca="1">ROUND(_Google_ads[[#This Row],[conversions]]*RANDBETWEEN(8,12)/10,0)</f>
        <v>16</v>
      </c>
      <c r="X67" s="4">
        <f ca="1">ROUND(_Google_ads[[#This Row],[conversion_value]]*RANDBETWEEN(8,12)/10,0)</f>
        <v>650</v>
      </c>
      <c r="Y67" s="4">
        <f ca="1">_Google_ads[[#This Row],[ctr]]*RANDBETWEEN(8,12)/10</f>
        <v>2.8799999999999997E-3</v>
      </c>
      <c r="Z67" s="4">
        <f ca="1">_Google_ads[[#This Row],[avg_cpc]]*RANDBETWEEN(8,12)/10</f>
        <v>0.29700000000000004</v>
      </c>
      <c r="AA67" s="4">
        <f ca="1">ROUND(_Google_ads[[#This Row],[quality_score]]*RANDBETWEEN(8,12)/10,0)</f>
        <v>6</v>
      </c>
      <c r="AB67" s="4">
        <f ca="1">_Google_ads[[#This Row],[search_impression_share]]*RANDBETWEEN(8,12)/10</f>
        <v>0.27200000000000002</v>
      </c>
      <c r="AD67" s="3">
        <f t="shared" ca="1" si="11"/>
        <v>45023</v>
      </c>
      <c r="AE67" s="4" t="s">
        <v>112</v>
      </c>
      <c r="AF67" s="4" t="s">
        <v>113</v>
      </c>
      <c r="AG67" s="4" t="s">
        <v>114</v>
      </c>
      <c r="AH67" s="4" t="s">
        <v>115</v>
      </c>
      <c r="AI67" s="4">
        <f ca="1">ROUND(T_Tiktok_ads[[#This Row],[impressions]]*RANDBETWEEN(8,12)/10,0)</f>
        <v>465802</v>
      </c>
      <c r="AJ67" s="4">
        <f ca="1">ROUND(T_Tiktok_ads[[#This Row],[clicks]]*RANDBETWEEN(8,12)/10,0)</f>
        <v>7468</v>
      </c>
      <c r="AK67" s="4">
        <v>1034.5</v>
      </c>
      <c r="AL67" s="4">
        <f ca="1">ROUND(T_Tiktok_ads[[#This Row],[conversions]]*RANDBETWEEN(8,12)/10,0)</f>
        <v>83</v>
      </c>
      <c r="AM67" s="4">
        <f ca="1">ROUND(T_Tiktok_ads[[#This Row],[video_views]]*RANDBETWEEN(8,12)/10,0)</f>
        <v>428147</v>
      </c>
      <c r="AN67" s="4">
        <f ca="1">ROUND(T_Tiktok_ads[[#This Row],[video_watch_25]]*RANDBETWEEN(8,12)/10,0)</f>
        <v>287234</v>
      </c>
      <c r="AO67" s="4">
        <f ca="1">ROUND(T_Tiktok_ads[[#This Row],[video_watch_50]]*RANDBETWEEN(8,12)/10,0)</f>
        <v>252157</v>
      </c>
      <c r="AP67" s="4">
        <f ca="1">ROUND(T_Tiktok_ads[[#This Row],[video_watch_75]]*RANDBETWEEN(8,12)/10,0)</f>
        <v>178580</v>
      </c>
      <c r="AQ67" s="4">
        <f ca="1">ROUND(T_Tiktok_ads[[#This Row],[video_watch_100]]*RANDBETWEEN(8,12)/10,0)</f>
        <v>118679</v>
      </c>
      <c r="AR67" s="4">
        <f ca="1">ROUND(T_Tiktok_ads[[#This Row],[likes]]*RANDBETWEEN(8,12)/10,0)</f>
        <v>16880</v>
      </c>
      <c r="AS67" s="4">
        <f ca="1">ROUND(T_Tiktok_ads[[#This Row],[shares]]*RANDBETWEEN(8,12)/10,0)</f>
        <v>5880</v>
      </c>
      <c r="AT67" s="4">
        <f ca="1">ROUND(T_Tiktok_ads[[#This Row],[comments]]*RANDBETWEEN(8,12)/10,0)</f>
        <v>1602</v>
      </c>
      <c r="AV67" s="5">
        <f t="shared" ca="1" si="12"/>
        <v>45024</v>
      </c>
      <c r="AW67">
        <f t="shared" ref="AW67:AW111" ca="1" si="13">RANDBETWEEN(1,8)</f>
        <v>8</v>
      </c>
      <c r="AX67">
        <f ca="1">ROUND(T_Facebook_Ads11596367[[#This Row],[impressions]]*RANDBETWEEN(8,12)/10,0)</f>
        <v>84849</v>
      </c>
      <c r="AY67">
        <f ca="1">ROUND(T_Facebook_Ads11596367[[#This Row],[clicks]]*RANDBETWEEN(8,12)/10,0)</f>
        <v>278</v>
      </c>
      <c r="AZ67">
        <f ca="1">T_Facebook_Ads11596367[[#This Row],[spend]]*RANDBETWEEN(8,12)/10</f>
        <v>78.672000000000011</v>
      </c>
      <c r="BA67">
        <f ca="1">ROUND(T_Facebook_Ads11596367[[#This Row],[conversions]]*RANDBETWEEN(8,12)/10,0)</f>
        <v>6</v>
      </c>
      <c r="BB67">
        <f ca="1">ROUND(T_Facebook_Ads11596367[[#This Row],[video_views]]*RANDBETWEEN(8,12)/10,0)</f>
        <v>45345</v>
      </c>
    </row>
    <row r="68" spans="1:54" ht="15.75" thickBot="1" x14ac:dyDescent="0.3">
      <c r="A68" s="3">
        <f t="shared" ca="1" si="9"/>
        <v>45045</v>
      </c>
      <c r="B68" s="4" t="s">
        <v>52</v>
      </c>
      <c r="C68" s="4" t="s">
        <v>53</v>
      </c>
      <c r="D68" s="4" t="s">
        <v>54</v>
      </c>
      <c r="E68" s="4" t="s">
        <v>55</v>
      </c>
      <c r="F68" s="4">
        <f ca="1">ROUND(T_Facebook_Ads[[#This Row],[impressions]]*RANDBETWEEN(8,12)/10,0)</f>
        <v>38911</v>
      </c>
      <c r="G68" s="4">
        <v>878</v>
      </c>
      <c r="H68" s="4">
        <f ca="1">T_Facebook_Ads[[#This Row],[spend]]*RANDBETWEEN(8,12)/10</f>
        <v>113.13</v>
      </c>
      <c r="I68" s="4">
        <f ca="1">ROUND(T_Facebook_Ads[[#This Row],[conversions]]*RANDBETWEEN(8,12)/10,0)</f>
        <v>13</v>
      </c>
      <c r="J68" s="4">
        <f ca="1">ROUND(T_Facebook_Ads[[#This Row],[video_views]]*RANDBETWEEN(8,12)/10,0)</f>
        <v>9468</v>
      </c>
      <c r="K68" s="4">
        <f ca="1">T_Facebook_Ads[[#This Row],[engagement_rate]]*RANDBETWEEN(8,12)/10</f>
        <v>1.8269999999999998E-2</v>
      </c>
      <c r="L68" s="4">
        <f ca="1">ROUND(T_Facebook_Ads[[#This Row],[reach]]*RANDBETWEEN(8,12)/10,0)</f>
        <v>32910</v>
      </c>
      <c r="M68" s="4">
        <f ca="1">T_Facebook_Ads[[#This Row],[frequency]]*RANDBETWEEN(8,12)/10</f>
        <v>1.0619999999999998</v>
      </c>
      <c r="O68" s="3">
        <f t="shared" ca="1" si="10"/>
        <v>45043</v>
      </c>
      <c r="P68" s="4" t="s">
        <v>76</v>
      </c>
      <c r="Q68" s="4" t="s">
        <v>77</v>
      </c>
      <c r="R68" s="4" t="s">
        <v>78</v>
      </c>
      <c r="S68" s="4" t="s">
        <v>79</v>
      </c>
      <c r="T68" s="4">
        <f ca="1">ROUND(_Google_ads[[#This Row],[impressions]]*RANDBETWEEN(8,12)/10,0)</f>
        <v>26814</v>
      </c>
      <c r="U68" s="4">
        <f ca="1">ROUND(_Google_ads[[#This Row],[clicks]]*RANDBETWEEN(8,12)/10,0)</f>
        <v>1011</v>
      </c>
      <c r="V68" s="4">
        <f ca="1">_Google_ads[[#This Row],[cost]]*RANDBETWEEN(8,12)/10</f>
        <v>214.5</v>
      </c>
      <c r="W68" s="4">
        <f ca="1">ROUND(_Google_ads[[#This Row],[conversions]]*RANDBETWEEN(8,12)/10,0)</f>
        <v>50</v>
      </c>
      <c r="X68" s="4">
        <f ca="1">ROUND(_Google_ads[[#This Row],[conversion_value]]*RANDBETWEEN(8,12)/10,0)</f>
        <v>2100</v>
      </c>
      <c r="Y68" s="4">
        <f ca="1">_Google_ads[[#This Row],[ctr]]*RANDBETWEEN(8,12)/10</f>
        <v>6.035999999999999E-2</v>
      </c>
      <c r="Z68" s="4">
        <f ca="1">_Google_ads[[#This Row],[avg_cpc]]*RANDBETWEEN(8,12)/10</f>
        <v>0.17099999999999999</v>
      </c>
      <c r="AA68" s="4">
        <f ca="1">ROUND(_Google_ads[[#This Row],[quality_score]]*RANDBETWEEN(8,12)/10,0)</f>
        <v>9</v>
      </c>
      <c r="AB68" s="4">
        <f ca="1">_Google_ads[[#This Row],[search_impression_share]]*RANDBETWEEN(8,12)/10</f>
        <v>0.71199999999999997</v>
      </c>
      <c r="AD68" s="3">
        <f t="shared" ca="1" si="11"/>
        <v>45035</v>
      </c>
      <c r="AE68" s="4" t="s">
        <v>100</v>
      </c>
      <c r="AF68" s="4" t="s">
        <v>101</v>
      </c>
      <c r="AG68" s="4" t="s">
        <v>102</v>
      </c>
      <c r="AH68" s="4" t="s">
        <v>103</v>
      </c>
      <c r="AI68" s="4">
        <f ca="1">ROUND(T_Tiktok_ads[[#This Row],[impressions]]*RANDBETWEEN(8,12)/10,0)</f>
        <v>204987</v>
      </c>
      <c r="AJ68" s="4">
        <f ca="1">ROUND(T_Tiktok_ads[[#This Row],[clicks]]*RANDBETWEEN(8,12)/10,0)</f>
        <v>4441</v>
      </c>
      <c r="AK68" s="4">
        <v>490.5</v>
      </c>
      <c r="AL68" s="4">
        <f ca="1">ROUND(T_Tiktok_ads[[#This Row],[conversions]]*RANDBETWEEN(8,12)/10,0)</f>
        <v>38</v>
      </c>
      <c r="AM68" s="4">
        <f ca="1">ROUND(T_Tiktok_ads[[#This Row],[video_views]]*RANDBETWEEN(8,12)/10,0)</f>
        <v>209234</v>
      </c>
      <c r="AN68" s="4">
        <f ca="1">ROUND(T_Tiktok_ads[[#This Row],[video_watch_25]]*RANDBETWEEN(8,12)/10,0)</f>
        <v>163567</v>
      </c>
      <c r="AO68" s="4">
        <f ca="1">ROUND(T_Tiktok_ads[[#This Row],[video_watch_50]]*RANDBETWEEN(8,12)/10,0)</f>
        <v>102567</v>
      </c>
      <c r="AP68" s="4">
        <f ca="1">ROUND(T_Tiktok_ads[[#This Row],[video_watch_75]]*RANDBETWEEN(8,12)/10,0)</f>
        <v>55654</v>
      </c>
      <c r="AQ68" s="4">
        <f ca="1">ROUND(T_Tiktok_ads[[#This Row],[video_watch_100]]*RANDBETWEEN(8,12)/10,0)</f>
        <v>37254</v>
      </c>
      <c r="AR68" s="4">
        <f ca="1">ROUND(T_Tiktok_ads[[#This Row],[likes]]*RANDBETWEEN(8,12)/10,0)</f>
        <v>8211</v>
      </c>
      <c r="AS68" s="4">
        <f ca="1">ROUND(T_Tiktok_ads[[#This Row],[shares]]*RANDBETWEEN(8,12)/10,0)</f>
        <v>2908</v>
      </c>
      <c r="AT68" s="4">
        <f ca="1">ROUND(T_Tiktok_ads[[#This Row],[comments]]*RANDBETWEEN(8,12)/10,0)</f>
        <v>541</v>
      </c>
      <c r="AV68" s="5">
        <f t="shared" ca="1" si="12"/>
        <v>45041</v>
      </c>
      <c r="AW68">
        <f t="shared" ca="1" si="13"/>
        <v>1</v>
      </c>
      <c r="AX68">
        <f ca="1">ROUND(T_Facebook_Ads11596367[[#This Row],[impressions]]*RANDBETWEEN(8,12)/10,0)</f>
        <v>42802</v>
      </c>
      <c r="AY68">
        <f ca="1">ROUND(T_Facebook_Ads11596367[[#This Row],[clicks]]*RANDBETWEEN(8,12)/10,0)</f>
        <v>790</v>
      </c>
      <c r="AZ68">
        <f ca="1">T_Facebook_Ads11596367[[#This Row],[spend]]*RANDBETWEEN(8,12)/10</f>
        <v>113.13</v>
      </c>
      <c r="BA68">
        <f ca="1">ROUND(T_Facebook_Ads11596367[[#This Row],[conversions]]*RANDBETWEEN(8,12)/10,0)</f>
        <v>16</v>
      </c>
      <c r="BB68">
        <f ca="1">ROUND(T_Facebook_Ads11596367[[#This Row],[video_views]]*RANDBETWEEN(8,12)/10,0)</f>
        <v>8521</v>
      </c>
    </row>
    <row r="69" spans="1:54" ht="15.75" thickBot="1" x14ac:dyDescent="0.3">
      <c r="A69" s="3">
        <f t="shared" ca="1" si="9"/>
        <v>45042</v>
      </c>
      <c r="B69" s="4" t="s">
        <v>56</v>
      </c>
      <c r="C69" s="4" t="s">
        <v>57</v>
      </c>
      <c r="D69" s="4" t="s">
        <v>58</v>
      </c>
      <c r="E69" s="4" t="s">
        <v>59</v>
      </c>
      <c r="F69" s="4">
        <f ca="1">ROUND(T_Facebook_Ads[[#This Row],[impressions]]*RANDBETWEEN(8,12)/10,0)</f>
        <v>11890</v>
      </c>
      <c r="G69" s="4">
        <v>545</v>
      </c>
      <c r="H69" s="4">
        <f ca="1">T_Facebook_Ads[[#This Row],[spend]]*RANDBETWEEN(8,12)/10</f>
        <v>202.3</v>
      </c>
      <c r="I69" s="4">
        <f ca="1">ROUND(T_Facebook_Ads[[#This Row],[conversions]]*RANDBETWEEN(8,12)/10,0)</f>
        <v>41</v>
      </c>
      <c r="J69" s="4">
        <f ca="1">ROUND(T_Facebook_Ads[[#This Row],[video_views]]*RANDBETWEEN(8,12)/10,0)</f>
        <v>1040</v>
      </c>
      <c r="K69" s="4">
        <f ca="1">T_Facebook_Ads[[#This Row],[engagement_rate]]*RANDBETWEEN(8,12)/10</f>
        <v>4.58E-2</v>
      </c>
      <c r="L69" s="4">
        <f ca="1">ROUND(T_Facebook_Ads[[#This Row],[reach]]*RANDBETWEEN(8,12)/10,0)</f>
        <v>10524</v>
      </c>
      <c r="M69" s="4">
        <f ca="1">T_Facebook_Ads[[#This Row],[frequency]]*RANDBETWEEN(8,12)/10</f>
        <v>1.536</v>
      </c>
      <c r="O69" s="3">
        <f t="shared" ca="1" si="10"/>
        <v>45026</v>
      </c>
      <c r="P69" s="4" t="s">
        <v>80</v>
      </c>
      <c r="Q69" s="4" t="s">
        <v>81</v>
      </c>
      <c r="R69" s="4" t="s">
        <v>82</v>
      </c>
      <c r="S69" s="4" t="s">
        <v>83</v>
      </c>
      <c r="T69" s="4">
        <f ca="1">ROUND(_Google_ads[[#This Row],[impressions]]*RANDBETWEEN(8,12)/10,0)</f>
        <v>48680</v>
      </c>
      <c r="U69" s="4">
        <f ca="1">ROUND(_Google_ads[[#This Row],[clicks]]*RANDBETWEEN(8,12)/10,0)</f>
        <v>650</v>
      </c>
      <c r="V69" s="4">
        <f ca="1">_Google_ads[[#This Row],[cost]]*RANDBETWEEN(8,12)/10</f>
        <v>624.4799999999999</v>
      </c>
      <c r="W69" s="4">
        <f ca="1">ROUND(_Google_ads[[#This Row],[conversions]]*RANDBETWEEN(8,12)/10,0)</f>
        <v>20</v>
      </c>
      <c r="X69" s="4">
        <f ca="1">ROUND(_Google_ads[[#This Row],[conversion_value]]*RANDBETWEEN(8,12)/10,0)</f>
        <v>800</v>
      </c>
      <c r="Y69" s="4">
        <f ca="1">_Google_ads[[#This Row],[ctr]]*RANDBETWEEN(8,12)/10</f>
        <v>1.6E-2</v>
      </c>
      <c r="Z69" s="4">
        <f ca="1">_Google_ads[[#This Row],[avg_cpc]]*RANDBETWEEN(8,12)/10</f>
        <v>0.51200000000000001</v>
      </c>
      <c r="AA69" s="4">
        <f ca="1">ROUND(_Google_ads[[#This Row],[quality_score]]*RANDBETWEEN(8,12)/10,0)</f>
        <v>7</v>
      </c>
      <c r="AB69" s="4">
        <f ca="1">_Google_ads[[#This Row],[search_impression_share]]*RANDBETWEEN(8,12)/10</f>
        <v>0.504</v>
      </c>
      <c r="AD69" s="3">
        <f t="shared" ca="1" si="11"/>
        <v>45028</v>
      </c>
      <c r="AE69" s="4" t="s">
        <v>104</v>
      </c>
      <c r="AF69" s="4" t="s">
        <v>105</v>
      </c>
      <c r="AG69" s="4" t="s">
        <v>106</v>
      </c>
      <c r="AH69" s="4" t="s">
        <v>107</v>
      </c>
      <c r="AI69" s="4">
        <f ca="1">ROUND(T_Tiktok_ads[[#This Row],[impressions]]*RANDBETWEEN(8,12)/10,0)</f>
        <v>170814</v>
      </c>
      <c r="AJ69" s="4">
        <f ca="1">ROUND(T_Tiktok_ads[[#This Row],[clicks]]*RANDBETWEEN(8,12)/10,0)</f>
        <v>3214</v>
      </c>
      <c r="AK69" s="4">
        <v>734.5</v>
      </c>
      <c r="AL69" s="4">
        <f ca="1">ROUND(T_Tiktok_ads[[#This Row],[conversions]]*RANDBETWEEN(8,12)/10,0)</f>
        <v>58</v>
      </c>
      <c r="AM69" s="4">
        <f ca="1">ROUND(T_Tiktok_ads[[#This Row],[video_views]]*RANDBETWEEN(8,12)/10,0)</f>
        <v>78312</v>
      </c>
      <c r="AN69" s="4">
        <f ca="1">ROUND(T_Tiktok_ads[[#This Row],[video_watch_25]]*RANDBETWEEN(8,12)/10,0)</f>
        <v>65111</v>
      </c>
      <c r="AO69" s="4">
        <f ca="1">ROUND(T_Tiktok_ads[[#This Row],[video_watch_50]]*RANDBETWEEN(8,12)/10,0)</f>
        <v>53791</v>
      </c>
      <c r="AP69" s="4">
        <f ca="1">ROUND(T_Tiktok_ads[[#This Row],[video_watch_75]]*RANDBETWEEN(8,12)/10,0)</f>
        <v>33110</v>
      </c>
      <c r="AQ69" s="4">
        <f ca="1">ROUND(T_Tiktok_ads[[#This Row],[video_watch_100]]*RANDBETWEEN(8,12)/10,0)</f>
        <v>22401</v>
      </c>
      <c r="AR69" s="4">
        <f ca="1">ROUND(T_Tiktok_ads[[#This Row],[likes]]*RANDBETWEEN(8,12)/10,0)</f>
        <v>4411</v>
      </c>
      <c r="AS69" s="4">
        <f ca="1">ROUND(T_Tiktok_ads[[#This Row],[shares]]*RANDBETWEEN(8,12)/10,0)</f>
        <v>1356</v>
      </c>
      <c r="AT69" s="4">
        <f ca="1">ROUND(T_Tiktok_ads[[#This Row],[comments]]*RANDBETWEEN(8,12)/10,0)</f>
        <v>230</v>
      </c>
      <c r="AV69" s="5">
        <f t="shared" ca="1" si="12"/>
        <v>45035</v>
      </c>
      <c r="AW69">
        <f t="shared" ca="1" si="13"/>
        <v>5</v>
      </c>
      <c r="AX69">
        <f ca="1">ROUND(T_Facebook_Ads11596367[[#This Row],[impressions]]*RANDBETWEEN(8,12)/10,0)</f>
        <v>14268</v>
      </c>
      <c r="AY69">
        <f ca="1">ROUND(T_Facebook_Ads11596367[[#This Row],[clicks]]*RANDBETWEEN(8,12)/10,0)</f>
        <v>491</v>
      </c>
      <c r="AZ69">
        <f ca="1">T_Facebook_Ads11596367[[#This Row],[spend]]*RANDBETWEEN(8,12)/10</f>
        <v>242.76000000000005</v>
      </c>
      <c r="BA69">
        <f ca="1">ROUND(T_Facebook_Ads11596367[[#This Row],[conversions]]*RANDBETWEEN(8,12)/10,0)</f>
        <v>45</v>
      </c>
      <c r="BB69">
        <f ca="1">ROUND(T_Facebook_Ads11596367[[#This Row],[video_views]]*RANDBETWEEN(8,12)/10,0)</f>
        <v>1248</v>
      </c>
    </row>
    <row r="70" spans="1:54" ht="15.75" thickBot="1" x14ac:dyDescent="0.3">
      <c r="A70" s="3">
        <f t="shared" ca="1" si="9"/>
        <v>45023</v>
      </c>
      <c r="B70" s="4" t="s">
        <v>60</v>
      </c>
      <c r="C70" s="4" t="s">
        <v>61</v>
      </c>
      <c r="D70" s="4" t="s">
        <v>62</v>
      </c>
      <c r="E70" s="4" t="s">
        <v>63</v>
      </c>
      <c r="F70" s="4">
        <f ca="1">ROUND(T_Facebook_Ads[[#This Row],[impressions]]*RANDBETWEEN(8,12)/10,0)</f>
        <v>27654</v>
      </c>
      <c r="G70" s="4">
        <v>1234</v>
      </c>
      <c r="H70" s="4">
        <f ca="1">T_Facebook_Ads[[#This Row],[spend]]*RANDBETWEEN(8,12)/10</f>
        <v>227.51999999999998</v>
      </c>
      <c r="I70" s="4">
        <f ca="1">ROUND(T_Facebook_Ads[[#This Row],[conversions]]*RANDBETWEEN(8,12)/10,0)</f>
        <v>24</v>
      </c>
      <c r="J70" s="4">
        <f ca="1">ROUND(T_Facebook_Ads[[#This Row],[video_views]]*RANDBETWEEN(8,12)/10,0)</f>
        <v>5024</v>
      </c>
      <c r="K70" s="4">
        <f ca="1">T_Facebook_Ads[[#This Row],[engagement_rate]]*RANDBETWEEN(8,12)/10</f>
        <v>3.9270000000000006E-2</v>
      </c>
      <c r="L70" s="4">
        <f ca="1">ROUND(T_Facebook_Ads[[#This Row],[reach]]*RANDBETWEEN(8,12)/10,0)</f>
        <v>28934</v>
      </c>
      <c r="M70" s="4">
        <f ca="1">T_Facebook_Ads[[#This Row],[frequency]]*RANDBETWEEN(8,12)/10</f>
        <v>1.071</v>
      </c>
      <c r="O70" s="3">
        <f t="shared" ca="1" si="10"/>
        <v>45018</v>
      </c>
      <c r="P70" s="4" t="s">
        <v>84</v>
      </c>
      <c r="Q70" s="4" t="s">
        <v>85</v>
      </c>
      <c r="R70" s="4" t="s">
        <v>86</v>
      </c>
      <c r="S70" s="4" t="s">
        <v>87</v>
      </c>
      <c r="T70" s="4">
        <f ca="1">ROUND(_Google_ads[[#This Row],[impressions]]*RANDBETWEEN(8,12)/10,0)</f>
        <v>71379</v>
      </c>
      <c r="U70" s="4">
        <f ca="1">ROUND(_Google_ads[[#This Row],[clicks]]*RANDBETWEEN(8,12)/10,0)</f>
        <v>2274</v>
      </c>
      <c r="V70" s="4">
        <f ca="1">_Google_ads[[#This Row],[cost]]*RANDBETWEEN(8,12)/10</f>
        <v>376.8</v>
      </c>
      <c r="W70" s="4">
        <f ca="1">ROUND(_Google_ads[[#This Row],[conversions]]*RANDBETWEEN(8,12)/10,0)</f>
        <v>59</v>
      </c>
      <c r="X70" s="4">
        <f ca="1">ROUND(_Google_ads[[#This Row],[conversion_value]]*RANDBETWEEN(8,12)/10,0)</f>
        <v>3245</v>
      </c>
      <c r="Y70" s="4">
        <f ca="1">_Google_ads[[#This Row],[ctr]]*RANDBETWEEN(8,12)/10</f>
        <v>2.5519999999999998E-2</v>
      </c>
      <c r="Z70" s="4">
        <f ca="1">_Google_ads[[#This Row],[avg_cpc]]*RANDBETWEEN(8,12)/10</f>
        <v>0.16199999999999998</v>
      </c>
      <c r="AA70" s="4">
        <f ca="1">ROUND(_Google_ads[[#This Row],[quality_score]]*RANDBETWEEN(8,12)/10,0)</f>
        <v>8</v>
      </c>
      <c r="AB70" s="4">
        <f ca="1">_Google_ads[[#This Row],[search_impression_share]]*RANDBETWEEN(8,12)/10</f>
        <v>0.52</v>
      </c>
      <c r="AD70" s="3">
        <f t="shared" ca="1" si="11"/>
        <v>45022</v>
      </c>
      <c r="AE70" s="4" t="s">
        <v>108</v>
      </c>
      <c r="AF70" s="4" t="s">
        <v>109</v>
      </c>
      <c r="AG70" s="4" t="s">
        <v>110</v>
      </c>
      <c r="AH70" s="4" t="s">
        <v>111</v>
      </c>
      <c r="AI70" s="4">
        <f ca="1">ROUND(T_Tiktok_ads[[#This Row],[impressions]]*RANDBETWEEN(8,12)/10,0)</f>
        <v>175121</v>
      </c>
      <c r="AJ70" s="4">
        <f ca="1">ROUND(T_Tiktok_ads[[#This Row],[clicks]]*RANDBETWEEN(8,12)/10,0)</f>
        <v>3456</v>
      </c>
      <c r="AK70" s="4">
        <v>414.4</v>
      </c>
      <c r="AL70" s="4">
        <f ca="1">ROUND(T_Tiktok_ads[[#This Row],[conversions]]*RANDBETWEEN(8,12)/10,0)</f>
        <v>35</v>
      </c>
      <c r="AM70" s="4">
        <f ca="1">ROUND(T_Tiktok_ads[[#This Row],[video_views]]*RANDBETWEEN(8,12)/10,0)</f>
        <v>208147</v>
      </c>
      <c r="AN70" s="4">
        <f ca="1">ROUND(T_Tiktok_ads[[#This Row],[video_watch_25]]*RANDBETWEEN(8,12)/10,0)</f>
        <v>144724</v>
      </c>
      <c r="AO70" s="4">
        <f ca="1">ROUND(T_Tiktok_ads[[#This Row],[video_watch_50]]*RANDBETWEEN(8,12)/10,0)</f>
        <v>103567</v>
      </c>
      <c r="AP70" s="4">
        <f ca="1">ROUND(T_Tiktok_ads[[#This Row],[video_watch_75]]*RANDBETWEEN(8,12)/10,0)</f>
        <v>73957</v>
      </c>
      <c r="AQ70" s="4">
        <f ca="1">ROUND(T_Tiktok_ads[[#This Row],[video_watch_100]]*RANDBETWEEN(8,12)/10,0)</f>
        <v>40567</v>
      </c>
      <c r="AR70" s="4">
        <f ca="1">ROUND(T_Tiktok_ads[[#This Row],[likes]]*RANDBETWEEN(8,12)/10,0)</f>
        <v>8813</v>
      </c>
      <c r="AS70" s="4">
        <f ca="1">ROUND(T_Tiktok_ads[[#This Row],[shares]]*RANDBETWEEN(8,12)/10,0)</f>
        <v>1981</v>
      </c>
      <c r="AT70" s="4">
        <f ca="1">ROUND(T_Tiktok_ads[[#This Row],[comments]]*RANDBETWEEN(8,12)/10,0)</f>
        <v>471</v>
      </c>
      <c r="AV70" s="5">
        <f t="shared" ca="1" si="12"/>
        <v>45027</v>
      </c>
      <c r="AW70">
        <f t="shared" ca="1" si="13"/>
        <v>3</v>
      </c>
      <c r="AX70">
        <f ca="1">ROUND(T_Facebook_Ads11596367[[#This Row],[impressions]]*RANDBETWEEN(8,12)/10,0)</f>
        <v>27654</v>
      </c>
      <c r="AY70">
        <f ca="1">ROUND(T_Facebook_Ads11596367[[#This Row],[clicks]]*RANDBETWEEN(8,12)/10,0)</f>
        <v>987</v>
      </c>
      <c r="AZ70">
        <f ca="1">T_Facebook_Ads11596367[[#This Row],[spend]]*RANDBETWEEN(8,12)/10</f>
        <v>204.76799999999997</v>
      </c>
      <c r="BA70">
        <f ca="1">ROUND(T_Facebook_Ads11596367[[#This Row],[conversions]]*RANDBETWEEN(8,12)/10,0)</f>
        <v>29</v>
      </c>
      <c r="BB70">
        <f ca="1">ROUND(T_Facebook_Ads11596367[[#This Row],[video_views]]*RANDBETWEEN(8,12)/10,0)</f>
        <v>4522</v>
      </c>
    </row>
    <row r="71" spans="1:54" ht="15.75" thickBot="1" x14ac:dyDescent="0.3">
      <c r="A71" s="3">
        <f t="shared" ca="1" si="9"/>
        <v>45035</v>
      </c>
      <c r="B71" s="4" t="s">
        <v>64</v>
      </c>
      <c r="C71" s="4" t="s">
        <v>65</v>
      </c>
      <c r="D71" s="4" t="s">
        <v>66</v>
      </c>
      <c r="E71" s="4" t="s">
        <v>67</v>
      </c>
      <c r="F71" s="4">
        <f ca="1">ROUND(T_Facebook_Ads[[#This Row],[impressions]]*RANDBETWEEN(8,12)/10,0)</f>
        <v>78281</v>
      </c>
      <c r="G71" s="4">
        <v>234</v>
      </c>
      <c r="H71" s="4">
        <f ca="1">T_Facebook_Ads[[#This Row],[spend]]*RANDBETWEEN(8,12)/10</f>
        <v>97.440000000000012</v>
      </c>
      <c r="I71" s="4">
        <f ca="1">ROUND(T_Facebook_Ads[[#This Row],[conversions]]*RANDBETWEEN(8,12)/10,0)</f>
        <v>4</v>
      </c>
      <c r="J71" s="4">
        <f ca="1">ROUND(T_Facebook_Ads[[#This Row],[video_views]]*RANDBETWEEN(8,12)/10,0)</f>
        <v>43567</v>
      </c>
      <c r="K71" s="4">
        <f ca="1">T_Facebook_Ads[[#This Row],[engagement_rate]]*RANDBETWEEN(8,12)/10</f>
        <v>4.3200000000000001E-3</v>
      </c>
      <c r="L71" s="4">
        <f ca="1">ROUND(T_Facebook_Ads[[#This Row],[reach]]*RANDBETWEEN(8,12)/10,0)</f>
        <v>42765</v>
      </c>
      <c r="M71" s="4">
        <f ca="1">T_Facebook_Ads[[#This Row],[frequency]]*RANDBETWEEN(8,12)/10</f>
        <v>1.19</v>
      </c>
      <c r="O71" s="3">
        <f t="shared" ca="1" si="10"/>
        <v>45031</v>
      </c>
      <c r="P71" s="4" t="s">
        <v>88</v>
      </c>
      <c r="Q71" s="4" t="s">
        <v>89</v>
      </c>
      <c r="R71" s="4" t="s">
        <v>90</v>
      </c>
      <c r="S71" s="4" t="s">
        <v>59</v>
      </c>
      <c r="T71" s="4">
        <f ca="1">ROUND(_Google_ads[[#This Row],[impressions]]*RANDBETWEEN(8,12)/10,0)</f>
        <v>149480</v>
      </c>
      <c r="U71" s="4">
        <f ca="1">ROUND(_Google_ads[[#This Row],[clicks]]*RANDBETWEEN(8,12)/10,0)</f>
        <v>445</v>
      </c>
      <c r="V71" s="4">
        <f ca="1">_Google_ads[[#This Row],[cost]]*RANDBETWEEN(8,12)/10</f>
        <v>146.76</v>
      </c>
      <c r="W71" s="4">
        <f ca="1">ROUND(_Google_ads[[#This Row],[conversions]]*RANDBETWEEN(8,12)/10,0)</f>
        <v>14</v>
      </c>
      <c r="X71" s="4">
        <f ca="1">ROUND(_Google_ads[[#This Row],[conversion_value]]*RANDBETWEEN(8,12)/10,0)</f>
        <v>480</v>
      </c>
      <c r="Y71" s="4">
        <f ca="1">_Google_ads[[#This Row],[ctr]]*RANDBETWEEN(8,12)/10</f>
        <v>2.8799999999999997E-3</v>
      </c>
      <c r="Z71" s="4">
        <f ca="1">_Google_ads[[#This Row],[avg_cpc]]*RANDBETWEEN(8,12)/10</f>
        <v>0.21600000000000003</v>
      </c>
      <c r="AA71" s="4">
        <f ca="1">ROUND(_Google_ads[[#This Row],[quality_score]]*RANDBETWEEN(8,12)/10,0)</f>
        <v>6</v>
      </c>
      <c r="AB71" s="4">
        <f ca="1">_Google_ads[[#This Row],[search_impression_share]]*RANDBETWEEN(8,12)/10</f>
        <v>0.33</v>
      </c>
      <c r="AD71" s="3">
        <f t="shared" ca="1" si="11"/>
        <v>45045</v>
      </c>
      <c r="AE71" s="4" t="s">
        <v>112</v>
      </c>
      <c r="AF71" s="4" t="s">
        <v>113</v>
      </c>
      <c r="AG71" s="4" t="s">
        <v>114</v>
      </c>
      <c r="AH71" s="4" t="s">
        <v>115</v>
      </c>
      <c r="AI71" s="4">
        <f ca="1">ROUND(T_Tiktok_ads[[#This Row],[impressions]]*RANDBETWEEN(8,12)/10,0)</f>
        <v>389012</v>
      </c>
      <c r="AJ71" s="4">
        <f ca="1">ROUND(T_Tiktok_ads[[#This Row],[clicks]]*RANDBETWEEN(8,12)/10,0)</f>
        <v>5611</v>
      </c>
      <c r="AK71" s="4">
        <v>967.8</v>
      </c>
      <c r="AL71" s="4">
        <f ca="1">ROUND(T_Tiktok_ads[[#This Row],[conversions]]*RANDBETWEEN(8,12)/10,0)</f>
        <v>108</v>
      </c>
      <c r="AM71" s="4">
        <f ca="1">ROUND(T_Tiktok_ads[[#This Row],[video_views]]*RANDBETWEEN(8,12)/10,0)</f>
        <v>256987</v>
      </c>
      <c r="AN71" s="4">
        <f ca="1">ROUND(T_Tiktok_ads[[#This Row],[video_watch_25]]*RANDBETWEEN(8,12)/10,0)</f>
        <v>258901</v>
      </c>
      <c r="AO71" s="4">
        <f ca="1">ROUND(T_Tiktok_ads[[#This Row],[video_watch_50]]*RANDBETWEEN(8,12)/10,0)</f>
        <v>228679</v>
      </c>
      <c r="AP71" s="4">
        <f ca="1">ROUND(T_Tiktok_ads[[#This Row],[video_watch_75]]*RANDBETWEEN(8,12)/10,0)</f>
        <v>117787</v>
      </c>
      <c r="AQ71" s="4">
        <f ca="1">ROUND(T_Tiktok_ads[[#This Row],[video_watch_100]]*RANDBETWEEN(8,12)/10,0)</f>
        <v>87710</v>
      </c>
      <c r="AR71" s="4">
        <f ca="1">ROUND(T_Tiktok_ads[[#This Row],[likes]]*RANDBETWEEN(8,12)/10,0)</f>
        <v>13521</v>
      </c>
      <c r="AS71" s="4">
        <f ca="1">ROUND(T_Tiktok_ads[[#This Row],[shares]]*RANDBETWEEN(8,12)/10,0)</f>
        <v>5403</v>
      </c>
      <c r="AT71" s="4">
        <f ca="1">ROUND(T_Tiktok_ads[[#This Row],[comments]]*RANDBETWEEN(8,12)/10,0)</f>
        <v>1076</v>
      </c>
      <c r="AV71" s="5">
        <f t="shared" ca="1" si="12"/>
        <v>45017</v>
      </c>
      <c r="AW71">
        <f t="shared" ca="1" si="13"/>
        <v>5</v>
      </c>
      <c r="AX71">
        <f ca="1">ROUND(T_Facebook_Ads11596367[[#This Row],[impressions]]*RANDBETWEEN(8,12)/10,0)</f>
        <v>70453</v>
      </c>
      <c r="AY71">
        <f ca="1">ROUND(T_Facebook_Ads11596367[[#This Row],[clicks]]*RANDBETWEEN(8,12)/10,0)</f>
        <v>257</v>
      </c>
      <c r="AZ71">
        <f ca="1">T_Facebook_Ads11596367[[#This Row],[spend]]*RANDBETWEEN(8,12)/10</f>
        <v>87.696000000000012</v>
      </c>
      <c r="BA71">
        <f ca="1">ROUND(T_Facebook_Ads11596367[[#This Row],[conversions]]*RANDBETWEEN(8,12)/10,0)</f>
        <v>3</v>
      </c>
      <c r="BB71">
        <f ca="1">ROUND(T_Facebook_Ads11596367[[#This Row],[video_views]]*RANDBETWEEN(8,12)/10,0)</f>
        <v>39210</v>
      </c>
    </row>
    <row r="72" spans="1:54" ht="15.75" thickBot="1" x14ac:dyDescent="0.3">
      <c r="A72" s="3">
        <f t="shared" ca="1" si="9"/>
        <v>45024</v>
      </c>
      <c r="B72" s="4" t="s">
        <v>52</v>
      </c>
      <c r="C72" s="4" t="s">
        <v>53</v>
      </c>
      <c r="D72" s="4" t="s">
        <v>54</v>
      </c>
      <c r="E72" s="4" t="s">
        <v>55</v>
      </c>
      <c r="F72" s="4">
        <f ca="1">ROUND(T_Facebook_Ads[[#This Row],[impressions]]*RANDBETWEEN(8,12)/10,0)</f>
        <v>37410</v>
      </c>
      <c r="G72" s="4">
        <v>823</v>
      </c>
      <c r="H72" s="4">
        <f ca="1">T_Facebook_Ads[[#This Row],[spend]]*RANDBETWEEN(8,12)/10</f>
        <v>95.12</v>
      </c>
      <c r="I72" s="4">
        <f ca="1">ROUND(T_Facebook_Ads[[#This Row],[conversions]]*RANDBETWEEN(8,12)/10,0)</f>
        <v>12</v>
      </c>
      <c r="J72" s="4">
        <f ca="1">ROUND(T_Facebook_Ads[[#This Row],[video_views]]*RANDBETWEEN(8,12)/10,0)</f>
        <v>8947</v>
      </c>
      <c r="K72" s="4">
        <f ca="1">T_Facebook_Ads[[#This Row],[engagement_rate]]*RANDBETWEEN(8,12)/10</f>
        <v>2.1780000000000001E-2</v>
      </c>
      <c r="L72" s="4">
        <f ca="1">ROUND(T_Facebook_Ads[[#This Row],[reach]]*RANDBETWEEN(8,12)/10,0)</f>
        <v>31611</v>
      </c>
      <c r="M72" s="4">
        <f ca="1">T_Facebook_Ads[[#This Row],[frequency]]*RANDBETWEEN(8,12)/10</f>
        <v>1.0619999999999998</v>
      </c>
      <c r="O72" s="3">
        <f t="shared" ca="1" si="10"/>
        <v>45044</v>
      </c>
      <c r="P72" s="4" t="s">
        <v>76</v>
      </c>
      <c r="Q72" s="4" t="s">
        <v>77</v>
      </c>
      <c r="R72" s="4" t="s">
        <v>78</v>
      </c>
      <c r="S72" s="4" t="s">
        <v>79</v>
      </c>
      <c r="T72" s="4">
        <f ca="1">ROUND(_Google_ads[[#This Row],[impressions]]*RANDBETWEEN(8,12)/10,0)</f>
        <v>17254</v>
      </c>
      <c r="U72" s="4">
        <f ca="1">ROUND(_Google_ads[[#This Row],[clicks]]*RANDBETWEEN(8,12)/10,0)</f>
        <v>980</v>
      </c>
      <c r="V72" s="4">
        <f ca="1">_Google_ads[[#This Row],[cost]]*RANDBETWEEN(8,12)/10</f>
        <v>187.02</v>
      </c>
      <c r="W72" s="4">
        <f ca="1">ROUND(_Google_ads[[#This Row],[conversions]]*RANDBETWEEN(8,12)/10,0)</f>
        <v>33</v>
      </c>
      <c r="X72" s="4">
        <f ca="1">ROUND(_Google_ads[[#This Row],[conversion_value]]*RANDBETWEEN(8,12)/10,0)</f>
        <v>2050</v>
      </c>
      <c r="Y72" s="4">
        <f ca="1">_Google_ads[[#This Row],[ctr]]*RANDBETWEEN(8,12)/10</f>
        <v>4.5450000000000004E-2</v>
      </c>
      <c r="Z72" s="4">
        <f ca="1">_Google_ads[[#This Row],[avg_cpc]]*RANDBETWEEN(8,12)/10</f>
        <v>0.20899999999999999</v>
      </c>
      <c r="AA72" s="4">
        <f ca="1">ROUND(_Google_ads[[#This Row],[quality_score]]*RANDBETWEEN(8,12)/10,0)</f>
        <v>9</v>
      </c>
      <c r="AB72" s="4">
        <f ca="1">_Google_ads[[#This Row],[search_impression_share]]*RANDBETWEEN(8,12)/10</f>
        <v>0.88000000000000012</v>
      </c>
      <c r="AD72" s="3">
        <f t="shared" ca="1" si="11"/>
        <v>45041</v>
      </c>
      <c r="AE72" s="4" t="s">
        <v>100</v>
      </c>
      <c r="AF72" s="4" t="s">
        <v>101</v>
      </c>
      <c r="AG72" s="4" t="s">
        <v>102</v>
      </c>
      <c r="AH72" s="4" t="s">
        <v>103</v>
      </c>
      <c r="AI72" s="4">
        <f ca="1">ROUND(T_Tiktok_ads[[#This Row],[impressions]]*RANDBETWEEN(8,12)/10,0)</f>
        <v>234567</v>
      </c>
      <c r="AJ72" s="4">
        <f ca="1">ROUND(T_Tiktok_ads[[#This Row],[clicks]]*RANDBETWEEN(8,12)/10,0)</f>
        <v>4147</v>
      </c>
      <c r="AK72" s="4">
        <v>445.7</v>
      </c>
      <c r="AL72" s="4">
        <f ca="1">ROUND(T_Tiktok_ads[[#This Row],[conversions]]*RANDBETWEEN(8,12)/10,0)</f>
        <v>34</v>
      </c>
      <c r="AM72" s="4">
        <f ca="1">ROUND(T_Tiktok_ads[[#This Row],[video_views]]*RANDBETWEEN(8,12)/10,0)</f>
        <v>214757</v>
      </c>
      <c r="AN72" s="4">
        <f ca="1">ROUND(T_Tiktok_ads[[#This Row],[video_watch_25]]*RANDBETWEEN(8,12)/10,0)</f>
        <v>168802</v>
      </c>
      <c r="AO72" s="4">
        <f ca="1">ROUND(T_Tiktok_ads[[#This Row],[video_watch_50]]*RANDBETWEEN(8,12)/10,0)</f>
        <v>96234</v>
      </c>
      <c r="AP72" s="4">
        <f ca="1">ROUND(T_Tiktok_ads[[#This Row],[video_watch_75]]*RANDBETWEEN(8,12)/10,0)</f>
        <v>78281</v>
      </c>
      <c r="AQ72" s="4">
        <f ca="1">ROUND(T_Tiktok_ads[[#This Row],[video_watch_100]]*RANDBETWEEN(8,12)/10,0)</f>
        <v>34854</v>
      </c>
      <c r="AR72" s="4">
        <f ca="1">ROUND(T_Tiktok_ads[[#This Row],[likes]]*RANDBETWEEN(8,12)/10,0)</f>
        <v>9632</v>
      </c>
      <c r="AS72" s="4">
        <f ca="1">ROUND(T_Tiktok_ads[[#This Row],[shares]]*RANDBETWEEN(8,12)/10,0)</f>
        <v>2681</v>
      </c>
      <c r="AT72" s="4">
        <f ca="1">ROUND(T_Tiktok_ads[[#This Row],[comments]]*RANDBETWEEN(8,12)/10,0)</f>
        <v>641</v>
      </c>
      <c r="AV72" s="5">
        <f t="shared" ca="1" si="12"/>
        <v>45032</v>
      </c>
      <c r="AW72">
        <f t="shared" ca="1" si="13"/>
        <v>1</v>
      </c>
      <c r="AX72">
        <f ca="1">ROUND(T_Facebook_Ads11596367[[#This Row],[impressions]]*RANDBETWEEN(8,12)/10,0)</f>
        <v>37410</v>
      </c>
      <c r="AY72">
        <f ca="1">ROUND(T_Facebook_Ads11596367[[#This Row],[clicks]]*RANDBETWEEN(8,12)/10,0)</f>
        <v>823</v>
      </c>
      <c r="AZ72">
        <f ca="1">T_Facebook_Ads11596367[[#This Row],[spend]]*RANDBETWEEN(8,12)/10</f>
        <v>76.096000000000004</v>
      </c>
      <c r="BA72">
        <f ca="1">ROUND(T_Facebook_Ads11596367[[#This Row],[conversions]]*RANDBETWEEN(8,12)/10,0)</f>
        <v>10</v>
      </c>
      <c r="BB72">
        <f ca="1">ROUND(T_Facebook_Ads11596367[[#This Row],[video_views]]*RANDBETWEEN(8,12)/10,0)</f>
        <v>9842</v>
      </c>
    </row>
    <row r="73" spans="1:54" ht="15.75" thickBot="1" x14ac:dyDescent="0.3">
      <c r="A73" s="3">
        <f t="shared" ca="1" si="9"/>
        <v>45037</v>
      </c>
      <c r="B73" s="4" t="s">
        <v>56</v>
      </c>
      <c r="C73" s="4" t="s">
        <v>57</v>
      </c>
      <c r="D73" s="4" t="s">
        <v>58</v>
      </c>
      <c r="E73" s="4" t="s">
        <v>59</v>
      </c>
      <c r="F73" s="4">
        <f ca="1">ROUND(T_Facebook_Ads[[#This Row],[impressions]]*RANDBETWEEN(8,12)/10,0)</f>
        <v>12281</v>
      </c>
      <c r="G73" s="4">
        <v>467</v>
      </c>
      <c r="H73" s="4">
        <f ca="1">T_Facebook_Ads[[#This Row],[spend]]*RANDBETWEEN(8,12)/10</f>
        <v>196.24</v>
      </c>
      <c r="I73" s="4">
        <f ca="1">ROUND(T_Facebook_Ads[[#This Row],[conversions]]*RANDBETWEEN(8,12)/10,0)</f>
        <v>24</v>
      </c>
      <c r="J73" s="4">
        <f ca="1">ROUND(T_Facebook_Ads[[#This Row],[video_views]]*RANDBETWEEN(8,12)/10,0)</f>
        <v>851</v>
      </c>
      <c r="K73" s="4">
        <f ca="1">T_Facebook_Ads[[#This Row],[engagement_rate]]*RANDBETWEEN(8,12)/10</f>
        <v>4.5600000000000002E-2</v>
      </c>
      <c r="L73" s="4">
        <f ca="1">ROUND(T_Facebook_Ads[[#This Row],[reach]]*RANDBETWEEN(8,12)/10,0)</f>
        <v>7610</v>
      </c>
      <c r="M73" s="4">
        <f ca="1">T_Facebook_Ads[[#This Row],[frequency]]*RANDBETWEEN(8,12)/10</f>
        <v>1.331</v>
      </c>
      <c r="O73" s="3">
        <f t="shared" ca="1" si="10"/>
        <v>45045</v>
      </c>
      <c r="P73" s="4" t="s">
        <v>80</v>
      </c>
      <c r="Q73" s="4" t="s">
        <v>81</v>
      </c>
      <c r="R73" s="4" t="s">
        <v>82</v>
      </c>
      <c r="S73" s="4" t="s">
        <v>83</v>
      </c>
      <c r="T73" s="4">
        <f ca="1">ROUND(_Google_ads[[#This Row],[impressions]]*RANDBETWEEN(8,12)/10,0)</f>
        <v>42791</v>
      </c>
      <c r="U73" s="4">
        <f ca="1">ROUND(_Google_ads[[#This Row],[clicks]]*RANDBETWEEN(8,12)/10,0)</f>
        <v>856</v>
      </c>
      <c r="V73" s="4">
        <f ca="1">_Google_ads[[#This Row],[cost]]*RANDBETWEEN(8,12)/10</f>
        <v>548.56999999999994</v>
      </c>
      <c r="W73" s="4">
        <f ca="1">ROUND(_Google_ads[[#This Row],[conversions]]*RANDBETWEEN(8,12)/10,0)</f>
        <v>21</v>
      </c>
      <c r="X73" s="4">
        <f ca="1">ROUND(_Google_ads[[#This Row],[conversion_value]]*RANDBETWEEN(8,12)/10,0)</f>
        <v>950</v>
      </c>
      <c r="Y73" s="4">
        <f ca="1">_Google_ads[[#This Row],[ctr]]*RANDBETWEEN(8,12)/10</f>
        <v>2.4E-2</v>
      </c>
      <c r="Z73" s="4">
        <f ca="1">_Google_ads[[#This Row],[avg_cpc]]*RANDBETWEEN(8,12)/10</f>
        <v>0.64</v>
      </c>
      <c r="AA73" s="4">
        <f ca="1">ROUND(_Google_ads[[#This Row],[quality_score]]*RANDBETWEEN(8,12)/10,0)</f>
        <v>5</v>
      </c>
      <c r="AB73" s="4">
        <f ca="1">_Google_ads[[#This Row],[search_impression_share]]*RANDBETWEEN(8,12)/10</f>
        <v>0.41</v>
      </c>
      <c r="AD73" s="3">
        <f t="shared" ca="1" si="11"/>
        <v>45028</v>
      </c>
      <c r="AE73" s="4" t="s">
        <v>104</v>
      </c>
      <c r="AF73" s="4" t="s">
        <v>105</v>
      </c>
      <c r="AG73" s="4" t="s">
        <v>106</v>
      </c>
      <c r="AH73" s="4" t="s">
        <v>107</v>
      </c>
      <c r="AI73" s="4">
        <f ca="1">ROUND(T_Tiktok_ads[[#This Row],[impressions]]*RANDBETWEEN(8,12)/10,0)</f>
        <v>128901</v>
      </c>
      <c r="AJ73" s="4">
        <f ca="1">ROUND(T_Tiktok_ads[[#This Row],[clicks]]*RANDBETWEEN(8,12)/10,0)</f>
        <v>2947</v>
      </c>
      <c r="AK73" s="4">
        <v>678.9</v>
      </c>
      <c r="AL73" s="4">
        <f ca="1">ROUND(T_Tiktok_ads[[#This Row],[conversions]]*RANDBETWEEN(8,12)/10,0)</f>
        <v>74</v>
      </c>
      <c r="AM73" s="4">
        <f ca="1">ROUND(T_Tiktok_ads[[#This Row],[video_views]]*RANDBETWEEN(8,12)/10,0)</f>
        <v>107081</v>
      </c>
      <c r="AN73" s="4">
        <f ca="1">ROUND(T_Tiktok_ads[[#This Row],[video_watch_25]]*RANDBETWEEN(8,12)/10,0)</f>
        <v>60511</v>
      </c>
      <c r="AO73" s="4">
        <f ca="1">ROUND(T_Tiktok_ads[[#This Row],[video_watch_50]]*RANDBETWEEN(8,12)/10,0)</f>
        <v>45234</v>
      </c>
      <c r="AP73" s="4">
        <f ca="1">ROUND(T_Tiktok_ads[[#This Row],[video_watch_75]]*RANDBETWEEN(8,12)/10,0)</f>
        <v>34234</v>
      </c>
      <c r="AQ73" s="4">
        <f ca="1">ROUND(T_Tiktok_ads[[#This Row],[video_watch_100]]*RANDBETWEEN(8,12)/10,0)</f>
        <v>23456</v>
      </c>
      <c r="AR73" s="4">
        <f ca="1">ROUND(T_Tiktok_ads[[#This Row],[likes]]*RANDBETWEEN(8,12)/10,0)</f>
        <v>5024</v>
      </c>
      <c r="AS73" s="4">
        <f ca="1">ROUND(T_Tiktok_ads[[#This Row],[shares]]*RANDBETWEEN(8,12)/10,0)</f>
        <v>1234</v>
      </c>
      <c r="AT73" s="4">
        <f ca="1">ROUND(T_Tiktok_ads[[#This Row],[comments]]*RANDBETWEEN(8,12)/10,0)</f>
        <v>281</v>
      </c>
      <c r="AV73" s="5">
        <f t="shared" ca="1" si="12"/>
        <v>45042</v>
      </c>
      <c r="AW73">
        <f t="shared" ca="1" si="13"/>
        <v>5</v>
      </c>
      <c r="AX73">
        <f ca="1">ROUND(T_Facebook_Ads11596367[[#This Row],[impressions]]*RANDBETWEEN(8,12)/10,0)</f>
        <v>12281</v>
      </c>
      <c r="AY73">
        <f ca="1">ROUND(T_Facebook_Ads11596367[[#This Row],[clicks]]*RANDBETWEEN(8,12)/10,0)</f>
        <v>514</v>
      </c>
      <c r="AZ73">
        <f ca="1">T_Facebook_Ads11596367[[#This Row],[spend]]*RANDBETWEEN(8,12)/10</f>
        <v>156.99200000000002</v>
      </c>
      <c r="BA73">
        <f ca="1">ROUND(T_Facebook_Ads11596367[[#This Row],[conversions]]*RANDBETWEEN(8,12)/10,0)</f>
        <v>22</v>
      </c>
      <c r="BB73">
        <f ca="1">ROUND(T_Facebook_Ads11596367[[#This Row],[video_views]]*RANDBETWEEN(8,12)/10,0)</f>
        <v>851</v>
      </c>
    </row>
    <row r="74" spans="1:54" ht="15.75" thickBot="1" x14ac:dyDescent="0.3">
      <c r="A74" s="3">
        <f t="shared" ca="1" si="9"/>
        <v>45033</v>
      </c>
      <c r="B74" s="4" t="s">
        <v>60</v>
      </c>
      <c r="C74" s="4" t="s">
        <v>61</v>
      </c>
      <c r="D74" s="4" t="s">
        <v>62</v>
      </c>
      <c r="E74" s="4" t="s">
        <v>63</v>
      </c>
      <c r="F74" s="4">
        <f ca="1">ROUND(T_Facebook_Ads[[#This Row],[impressions]]*RANDBETWEEN(8,12)/10,0)</f>
        <v>39468</v>
      </c>
      <c r="G74" s="4">
        <v>1178</v>
      </c>
      <c r="H74" s="4">
        <f ca="1">T_Facebook_Ads[[#This Row],[spend]]*RANDBETWEEN(8,12)/10</f>
        <v>154.07999999999998</v>
      </c>
      <c r="I74" s="4">
        <f ca="1">ROUND(T_Facebook_Ads[[#This Row],[conversions]]*RANDBETWEEN(8,12)/10,0)</f>
        <v>26</v>
      </c>
      <c r="J74" s="4">
        <f ca="1">ROUND(T_Facebook_Ads[[#This Row],[video_views]]*RANDBETWEEN(8,12)/10,0)</f>
        <v>3410</v>
      </c>
      <c r="K74" s="4">
        <f ca="1">T_Facebook_Ads[[#This Row],[engagement_rate]]*RANDBETWEEN(8,12)/10</f>
        <v>3.2219999999999999E-2</v>
      </c>
      <c r="L74" s="4">
        <f ca="1">ROUND(T_Facebook_Ads[[#This Row],[reach]]*RANDBETWEEN(8,12)/10,0)</f>
        <v>27234</v>
      </c>
      <c r="M74" s="4">
        <f ca="1">T_Facebook_Ads[[#This Row],[frequency]]*RANDBETWEEN(8,12)/10</f>
        <v>1.089</v>
      </c>
      <c r="O74" s="3">
        <f t="shared" ca="1" si="10"/>
        <v>45024</v>
      </c>
      <c r="P74" s="4" t="s">
        <v>84</v>
      </c>
      <c r="Q74" s="4" t="s">
        <v>85</v>
      </c>
      <c r="R74" s="4" t="s">
        <v>86</v>
      </c>
      <c r="S74" s="4" t="s">
        <v>87</v>
      </c>
      <c r="T74" s="4">
        <f ca="1">ROUND(_Google_ads[[#This Row],[impressions]]*RANDBETWEEN(8,12)/10,0)</f>
        <v>68580</v>
      </c>
      <c r="U74" s="4">
        <f ca="1">ROUND(_Google_ads[[#This Row],[clicks]]*RANDBETWEEN(8,12)/10,0)</f>
        <v>2387</v>
      </c>
      <c r="V74" s="4">
        <f ca="1">_Google_ads[[#This Row],[cost]]*RANDBETWEEN(8,12)/10</f>
        <v>438.4799999999999</v>
      </c>
      <c r="W74" s="4">
        <f ca="1">ROUND(_Google_ads[[#This Row],[conversions]]*RANDBETWEEN(8,12)/10,0)</f>
        <v>68</v>
      </c>
      <c r="X74" s="4">
        <f ca="1">ROUND(_Google_ads[[#This Row],[conversion_value]]*RANDBETWEEN(8,12)/10,0)</f>
        <v>2280</v>
      </c>
      <c r="Y74" s="4">
        <f ca="1">_Google_ads[[#This Row],[ctr]]*RANDBETWEEN(8,12)/10</f>
        <v>3.1899999999999998E-2</v>
      </c>
      <c r="Z74" s="4">
        <f ca="1">_Google_ads[[#This Row],[avg_cpc]]*RANDBETWEEN(8,12)/10</f>
        <v>0.19800000000000001</v>
      </c>
      <c r="AA74" s="4">
        <f ca="1">ROUND(_Google_ads[[#This Row],[quality_score]]*RANDBETWEEN(8,12)/10,0)</f>
        <v>10</v>
      </c>
      <c r="AB74" s="4">
        <f ca="1">_Google_ads[[#This Row],[search_impression_share]]*RANDBETWEEN(8,12)/10</f>
        <v>0.63</v>
      </c>
      <c r="AD74" s="3">
        <f t="shared" ca="1" si="11"/>
        <v>45031</v>
      </c>
      <c r="AE74" s="4" t="s">
        <v>108</v>
      </c>
      <c r="AF74" s="4" t="s">
        <v>109</v>
      </c>
      <c r="AG74" s="4" t="s">
        <v>110</v>
      </c>
      <c r="AH74" s="4" t="s">
        <v>111</v>
      </c>
      <c r="AI74" s="4">
        <f ca="1">ROUND(T_Tiktok_ads[[#This Row],[impressions]]*RANDBETWEEN(8,12)/10,0)</f>
        <v>160987</v>
      </c>
      <c r="AJ74" s="4">
        <f ca="1">ROUND(T_Tiktok_ads[[#This Row],[clicks]]*RANDBETWEEN(8,12)/10,0)</f>
        <v>3123</v>
      </c>
      <c r="AK74" s="4">
        <v>374.5</v>
      </c>
      <c r="AL74" s="4">
        <f ca="1">ROUND(T_Tiktok_ads[[#This Row],[conversions]]*RANDBETWEEN(8,12)/10,0)</f>
        <v>21</v>
      </c>
      <c r="AM74" s="4">
        <f ca="1">ROUND(T_Tiktok_ads[[#This Row],[video_views]]*RANDBETWEEN(8,12)/10,0)</f>
        <v>126312</v>
      </c>
      <c r="AN74" s="4">
        <f ca="1">ROUND(T_Tiktok_ads[[#This Row],[video_watch_25]]*RANDBETWEEN(8,12)/10,0)</f>
        <v>121234</v>
      </c>
      <c r="AO74" s="4">
        <f ca="1">ROUND(T_Tiktok_ads[[#This Row],[video_watch_50]]*RANDBETWEEN(8,12)/10,0)</f>
        <v>96234</v>
      </c>
      <c r="AP74" s="4">
        <f ca="1">ROUND(T_Tiktok_ads[[#This Row],[video_watch_75]]*RANDBETWEEN(8,12)/10,0)</f>
        <v>48987</v>
      </c>
      <c r="AQ74" s="4">
        <f ca="1">ROUND(T_Tiktok_ads[[#This Row],[video_watch_100]]*RANDBETWEEN(8,12)/10,0)</f>
        <v>37456</v>
      </c>
      <c r="AR74" s="4">
        <f ca="1">ROUND(T_Tiktok_ads[[#This Row],[likes]]*RANDBETWEEN(8,12)/10,0)</f>
        <v>5876</v>
      </c>
      <c r="AS74" s="4">
        <f ca="1">ROUND(T_Tiktok_ads[[#This Row],[shares]]*RANDBETWEEN(8,12)/10,0)</f>
        <v>2034</v>
      </c>
      <c r="AT74" s="4">
        <f ca="1">ROUND(T_Tiktok_ads[[#This Row],[comments]]*RANDBETWEEN(8,12)/10,0)</f>
        <v>489</v>
      </c>
      <c r="AV74" s="5">
        <f t="shared" ca="1" si="12"/>
        <v>45045</v>
      </c>
      <c r="AW74">
        <f t="shared" ca="1" si="13"/>
        <v>2</v>
      </c>
      <c r="AX74">
        <f ca="1">ROUND(T_Facebook_Ads11596367[[#This Row],[impressions]]*RANDBETWEEN(8,12)/10,0)</f>
        <v>31574</v>
      </c>
      <c r="AY74">
        <f ca="1">ROUND(T_Facebook_Ads11596367[[#This Row],[clicks]]*RANDBETWEEN(8,12)/10,0)</f>
        <v>1060</v>
      </c>
      <c r="AZ74">
        <f ca="1">T_Facebook_Ads11596367[[#This Row],[spend]]*RANDBETWEEN(8,12)/10</f>
        <v>184.89599999999999</v>
      </c>
      <c r="BA74">
        <f ca="1">ROUND(T_Facebook_Ads11596367[[#This Row],[conversions]]*RANDBETWEEN(8,12)/10,0)</f>
        <v>29</v>
      </c>
      <c r="BB74">
        <f ca="1">ROUND(T_Facebook_Ads11596367[[#This Row],[video_views]]*RANDBETWEEN(8,12)/10,0)</f>
        <v>4092</v>
      </c>
    </row>
    <row r="75" spans="1:54" ht="15.75" thickBot="1" x14ac:dyDescent="0.3">
      <c r="A75" s="3">
        <f t="shared" ca="1" si="9"/>
        <v>45023</v>
      </c>
      <c r="B75" s="4" t="s">
        <v>64</v>
      </c>
      <c r="C75" s="4" t="s">
        <v>65</v>
      </c>
      <c r="D75" s="4" t="s">
        <v>66</v>
      </c>
      <c r="E75" s="4" t="s">
        <v>67</v>
      </c>
      <c r="F75" s="4">
        <f ca="1">ROUND(T_Facebook_Ads[[#This Row],[impressions]]*RANDBETWEEN(8,12)/10,0)</f>
        <v>49876</v>
      </c>
      <c r="G75" s="4">
        <v>223</v>
      </c>
      <c r="H75" s="4">
        <f ca="1">T_Facebook_Ads[[#This Row],[spend]]*RANDBETWEEN(8,12)/10</f>
        <v>68.669999999999987</v>
      </c>
      <c r="I75" s="4">
        <f ca="1">ROUND(T_Facebook_Ads[[#This Row],[conversions]]*RANDBETWEEN(8,12)/10,0)</f>
        <v>4</v>
      </c>
      <c r="J75" s="4">
        <f ca="1">ROUND(T_Facebook_Ads[[#This Row],[video_views]]*RANDBETWEEN(8,12)/10,0)</f>
        <v>49481</v>
      </c>
      <c r="K75" s="4">
        <f ca="1">T_Facebook_Ads[[#This Row],[engagement_rate]]*RANDBETWEEN(8,12)/10</f>
        <v>2.8799999999999997E-3</v>
      </c>
      <c r="L75" s="4">
        <f ca="1">ROUND(T_Facebook_Ads[[#This Row],[reach]]*RANDBETWEEN(8,12)/10,0)</f>
        <v>56724</v>
      </c>
      <c r="M75" s="4">
        <f ca="1">T_Facebook_Ads[[#This Row],[frequency]]*RANDBETWEEN(8,12)/10</f>
        <v>1.2</v>
      </c>
      <c r="O75" s="3">
        <f t="shared" ca="1" si="10"/>
        <v>45030</v>
      </c>
      <c r="P75" s="4" t="s">
        <v>88</v>
      </c>
      <c r="Q75" s="4" t="s">
        <v>89</v>
      </c>
      <c r="R75" s="4" t="s">
        <v>90</v>
      </c>
      <c r="S75" s="4" t="s">
        <v>59</v>
      </c>
      <c r="T75" s="4">
        <f ca="1">ROUND(_Google_ads[[#This Row],[impressions]]*RANDBETWEEN(8,12)/10,0)</f>
        <v>94587</v>
      </c>
      <c r="U75" s="4">
        <f ca="1">ROUND(_Google_ads[[#This Row],[clicks]]*RANDBETWEEN(8,12)/10,0)</f>
        <v>423</v>
      </c>
      <c r="V75" s="4">
        <f ca="1">_Google_ads[[#This Row],[cost]]*RANDBETWEEN(8,12)/10</f>
        <v>92.960000000000008</v>
      </c>
      <c r="W75" s="4">
        <f ca="1">ROUND(_Google_ads[[#This Row],[conversions]]*RANDBETWEEN(8,12)/10,0)</f>
        <v>13</v>
      </c>
      <c r="X75" s="4">
        <f ca="1">ROUND(_Google_ads[[#This Row],[conversion_value]]*RANDBETWEEN(8,12)/10,0)</f>
        <v>495</v>
      </c>
      <c r="Y75" s="4">
        <f ca="1">_Google_ads[[#This Row],[ctr]]*RANDBETWEEN(8,12)/10</f>
        <v>4.3200000000000001E-3</v>
      </c>
      <c r="Z75" s="4">
        <f ca="1">_Google_ads[[#This Row],[avg_cpc]]*RANDBETWEEN(8,12)/10</f>
        <v>0.27</v>
      </c>
      <c r="AA75" s="4">
        <f ca="1">ROUND(_Google_ads[[#This Row],[quality_score]]*RANDBETWEEN(8,12)/10,0)</f>
        <v>8</v>
      </c>
      <c r="AB75" s="4">
        <f ca="1">_Google_ads[[#This Row],[search_impression_share]]*RANDBETWEEN(8,12)/10</f>
        <v>0.25600000000000001</v>
      </c>
      <c r="AD75" s="3">
        <f t="shared" ca="1" si="11"/>
        <v>45024</v>
      </c>
      <c r="AE75" s="4" t="s">
        <v>112</v>
      </c>
      <c r="AF75" s="4" t="s">
        <v>113</v>
      </c>
      <c r="AG75" s="4" t="s">
        <v>114</v>
      </c>
      <c r="AH75" s="4" t="s">
        <v>115</v>
      </c>
      <c r="AI75" s="4">
        <f ca="1">ROUND(T_Tiktok_ads[[#This Row],[impressions]]*RANDBETWEEN(8,12)/10,0)</f>
        <v>294312</v>
      </c>
      <c r="AJ75" s="4">
        <f ca="1">ROUND(T_Tiktok_ads[[#This Row],[clicks]]*RANDBETWEEN(8,12)/10,0)</f>
        <v>6012</v>
      </c>
      <c r="AK75" s="4">
        <v>923.4</v>
      </c>
      <c r="AL75" s="4">
        <f ca="1">ROUND(T_Tiktok_ads[[#This Row],[conversions]]*RANDBETWEEN(8,12)/10,0)</f>
        <v>94</v>
      </c>
      <c r="AM75" s="4">
        <f ca="1">ROUND(T_Tiktok_ads[[#This Row],[video_views]]*RANDBETWEEN(8,12)/10,0)</f>
        <v>331357</v>
      </c>
      <c r="AN75" s="4">
        <f ca="1">ROUND(T_Tiktok_ads[[#This Row],[video_watch_25]]*RANDBETWEEN(8,12)/10,0)</f>
        <v>245678</v>
      </c>
      <c r="AO75" s="4">
        <f ca="1">ROUND(T_Tiktok_ads[[#This Row],[video_watch_50]]*RANDBETWEEN(8,12)/10,0)</f>
        <v>196789</v>
      </c>
      <c r="AP75" s="4">
        <f ca="1">ROUND(T_Tiktok_ads[[#This Row],[video_watch_75]]*RANDBETWEEN(8,12)/10,0)</f>
        <v>126211</v>
      </c>
      <c r="AQ75" s="4">
        <f ca="1">ROUND(T_Tiktok_ads[[#This Row],[video_watch_100]]*RANDBETWEEN(8,12)/10,0)</f>
        <v>84110</v>
      </c>
      <c r="AR75" s="4">
        <f ca="1">ROUND(T_Tiktok_ads[[#This Row],[likes]]*RANDBETWEEN(8,12)/10,0)</f>
        <v>16234</v>
      </c>
      <c r="AS75" s="4">
        <f ca="1">ROUND(T_Tiktok_ads[[#This Row],[shares]]*RANDBETWEEN(8,12)/10,0)</f>
        <v>3831</v>
      </c>
      <c r="AT75" s="4">
        <f ca="1">ROUND(T_Tiktok_ads[[#This Row],[comments]]*RANDBETWEEN(8,12)/10,0)</f>
        <v>1160</v>
      </c>
      <c r="AV75" s="5">
        <f t="shared" ca="1" si="12"/>
        <v>45040</v>
      </c>
      <c r="AW75">
        <f t="shared" ca="1" si="13"/>
        <v>1</v>
      </c>
      <c r="AX75">
        <f ca="1">ROUND(T_Facebook_Ads11596367[[#This Row],[impressions]]*RANDBETWEEN(8,12)/10,0)</f>
        <v>49876</v>
      </c>
      <c r="AY75">
        <f ca="1">ROUND(T_Facebook_Ads11596367[[#This Row],[clicks]]*RANDBETWEEN(8,12)/10,0)</f>
        <v>223</v>
      </c>
      <c r="AZ75">
        <f ca="1">T_Facebook_Ads11596367[[#This Row],[spend]]*RANDBETWEEN(8,12)/10</f>
        <v>61.802999999999983</v>
      </c>
      <c r="BA75">
        <f ca="1">ROUND(T_Facebook_Ads11596367[[#This Row],[conversions]]*RANDBETWEEN(8,12)/10,0)</f>
        <v>5</v>
      </c>
      <c r="BB75">
        <f ca="1">ROUND(T_Facebook_Ads11596367[[#This Row],[video_views]]*RANDBETWEEN(8,12)/10,0)</f>
        <v>54429</v>
      </c>
    </row>
    <row r="76" spans="1:54" ht="15.75" thickBot="1" x14ac:dyDescent="0.3">
      <c r="A76" s="3">
        <f t="shared" ca="1" si="9"/>
        <v>45046</v>
      </c>
      <c r="B76" s="4" t="s">
        <v>52</v>
      </c>
      <c r="C76" s="4" t="s">
        <v>53</v>
      </c>
      <c r="D76" s="4" t="s">
        <v>54</v>
      </c>
      <c r="E76" s="4" t="s">
        <v>55</v>
      </c>
      <c r="F76" s="4">
        <f ca="1">ROUND(T_Facebook_Ads[[#This Row],[impressions]]*RANDBETWEEN(8,12)/10,0)</f>
        <v>45234</v>
      </c>
      <c r="G76" s="4">
        <v>912</v>
      </c>
      <c r="H76" s="4">
        <f ca="1">T_Facebook_Ads[[#This Row],[spend]]*RANDBETWEEN(8,12)/10</f>
        <v>155.76000000000002</v>
      </c>
      <c r="I76" s="4">
        <f ca="1">ROUND(T_Facebook_Ads[[#This Row],[conversions]]*RANDBETWEEN(8,12)/10,0)</f>
        <v>14</v>
      </c>
      <c r="J76" s="4">
        <f ca="1">ROUND(T_Facebook_Ads[[#This Row],[video_views]]*RANDBETWEEN(8,12)/10,0)</f>
        <v>8234</v>
      </c>
      <c r="K76" s="4">
        <f ca="1">T_Facebook_Ads[[#This Row],[engagement_rate]]*RANDBETWEEN(8,12)/10</f>
        <v>1.6160000000000001E-2</v>
      </c>
      <c r="L76" s="4">
        <f ca="1">ROUND(T_Facebook_Ads[[#This Row],[reach]]*RANDBETWEEN(8,12)/10,0)</f>
        <v>34710</v>
      </c>
      <c r="M76" s="4">
        <f ca="1">T_Facebook_Ads[[#This Row],[frequency]]*RANDBETWEEN(8,12)/10</f>
        <v>1.17</v>
      </c>
      <c r="O76" s="3">
        <f t="shared" ca="1" si="10"/>
        <v>45042</v>
      </c>
      <c r="P76" s="4" t="s">
        <v>76</v>
      </c>
      <c r="Q76" s="4" t="s">
        <v>77</v>
      </c>
      <c r="R76" s="4" t="s">
        <v>78</v>
      </c>
      <c r="S76" s="4" t="s">
        <v>79</v>
      </c>
      <c r="T76" s="4">
        <f ca="1">ROUND(_Google_ads[[#This Row],[impressions]]*RANDBETWEEN(8,12)/10,0)</f>
        <v>21811</v>
      </c>
      <c r="U76" s="4">
        <f ca="1">ROUND(_Google_ads[[#This Row],[clicks]]*RANDBETWEEN(8,12)/10,0)</f>
        <v>1140</v>
      </c>
      <c r="V76" s="4">
        <f ca="1">_Google_ads[[#This Row],[cost]]*RANDBETWEEN(8,12)/10</f>
        <v>289.43999999999994</v>
      </c>
      <c r="W76" s="4">
        <f ca="1">ROUND(_Google_ads[[#This Row],[conversions]]*RANDBETWEEN(8,12)/10,0)</f>
        <v>56</v>
      </c>
      <c r="X76" s="4">
        <f ca="1">ROUND(_Google_ads[[#This Row],[conversion_value]]*RANDBETWEEN(8,12)/10,0)</f>
        <v>2820</v>
      </c>
      <c r="Y76" s="4">
        <f ca="1">_Google_ads[[#This Row],[ctr]]*RANDBETWEEN(8,12)/10</f>
        <v>5.2299999999999999E-2</v>
      </c>
      <c r="Z76" s="4">
        <f ca="1">_Google_ads[[#This Row],[avg_cpc]]*RANDBETWEEN(8,12)/10</f>
        <v>0.22800000000000004</v>
      </c>
      <c r="AA76" s="4">
        <f ca="1">ROUND(_Google_ads[[#This Row],[quality_score]]*RANDBETWEEN(8,12)/10,0)</f>
        <v>10</v>
      </c>
      <c r="AB76" s="4">
        <f ca="1">_Google_ads[[#This Row],[search_impression_share]]*RANDBETWEEN(8,12)/10</f>
        <v>0.72799999999999998</v>
      </c>
      <c r="AD76" s="3">
        <f t="shared" ca="1" si="11"/>
        <v>45038</v>
      </c>
      <c r="AE76" s="4" t="s">
        <v>100</v>
      </c>
      <c r="AF76" s="4" t="s">
        <v>101</v>
      </c>
      <c r="AG76" s="4" t="s">
        <v>102</v>
      </c>
      <c r="AH76" s="4" t="s">
        <v>103</v>
      </c>
      <c r="AI76" s="4">
        <f ca="1">ROUND(T_Tiktok_ads[[#This Row],[impressions]]*RANDBETWEEN(8,12)/10,0)</f>
        <v>214312</v>
      </c>
      <c r="AJ76" s="4">
        <f ca="1">ROUND(T_Tiktok_ads[[#This Row],[clicks]]*RANDBETWEEN(8,12)/10,0)</f>
        <v>3551</v>
      </c>
      <c r="AK76" s="4">
        <v>523.4</v>
      </c>
      <c r="AL76" s="4">
        <f ca="1">ROUND(T_Tiktok_ads[[#This Row],[conversions]]*RANDBETWEEN(8,12)/10,0)</f>
        <v>36</v>
      </c>
      <c r="AM76" s="4">
        <f ca="1">ROUND(T_Tiktok_ads[[#This Row],[video_views]]*RANDBETWEEN(8,12)/10,0)</f>
        <v>265481</v>
      </c>
      <c r="AN76" s="4">
        <f ca="1">ROUND(T_Tiktok_ads[[#This Row],[video_watch_25]]*RANDBETWEEN(8,12)/10,0)</f>
        <v>138765</v>
      </c>
      <c r="AO76" s="4">
        <f ca="1">ROUND(T_Tiktok_ads[[#This Row],[video_watch_50]]*RANDBETWEEN(8,12)/10,0)</f>
        <v>109234</v>
      </c>
      <c r="AP76" s="4">
        <f ca="1">ROUND(T_Tiktok_ads[[#This Row],[video_watch_75]]*RANDBETWEEN(8,12)/10,0)</f>
        <v>88280</v>
      </c>
      <c r="AQ76" s="4">
        <f ca="1">ROUND(T_Tiktok_ads[[#This Row],[video_watch_100]]*RANDBETWEEN(8,12)/10,0)</f>
        <v>49234</v>
      </c>
      <c r="AR76" s="4">
        <f ca="1">ROUND(T_Tiktok_ads[[#This Row],[likes]]*RANDBETWEEN(8,12)/10,0)</f>
        <v>10768</v>
      </c>
      <c r="AS76" s="4">
        <f ca="1">ROUND(T_Tiktok_ads[[#This Row],[shares]]*RANDBETWEEN(8,12)/10,0)</f>
        <v>2897</v>
      </c>
      <c r="AT76" s="4">
        <f ca="1">ROUND(T_Tiktok_ads[[#This Row],[comments]]*RANDBETWEEN(8,12)/10,0)</f>
        <v>623</v>
      </c>
      <c r="AV76" s="5">
        <f t="shared" ca="1" si="12"/>
        <v>45043</v>
      </c>
      <c r="AW76">
        <f t="shared" ca="1" si="13"/>
        <v>5</v>
      </c>
      <c r="AX76">
        <f ca="1">ROUND(T_Facebook_Ads11596367[[#This Row],[impressions]]*RANDBETWEEN(8,12)/10,0)</f>
        <v>54281</v>
      </c>
      <c r="AY76">
        <f ca="1">ROUND(T_Facebook_Ads11596367[[#This Row],[clicks]]*RANDBETWEEN(8,12)/10,0)</f>
        <v>1094</v>
      </c>
      <c r="AZ76">
        <f ca="1">T_Facebook_Ads11596367[[#This Row],[spend]]*RANDBETWEEN(8,12)/10</f>
        <v>140.18400000000003</v>
      </c>
      <c r="BA76">
        <f ca="1">ROUND(T_Facebook_Ads11596367[[#This Row],[conversions]]*RANDBETWEEN(8,12)/10,0)</f>
        <v>17</v>
      </c>
      <c r="BB76">
        <f ca="1">ROUND(T_Facebook_Ads11596367[[#This Row],[video_views]]*RANDBETWEEN(8,12)/10,0)</f>
        <v>6587</v>
      </c>
    </row>
    <row r="77" spans="1:54" ht="15.75" thickBot="1" x14ac:dyDescent="0.3">
      <c r="A77" s="3">
        <f t="shared" ca="1" si="9"/>
        <v>45041</v>
      </c>
      <c r="B77" s="4" t="s">
        <v>56</v>
      </c>
      <c r="C77" s="4" t="s">
        <v>57</v>
      </c>
      <c r="D77" s="4" t="s">
        <v>58</v>
      </c>
      <c r="E77" s="4" t="s">
        <v>59</v>
      </c>
      <c r="F77" s="4">
        <f ca="1">ROUND(T_Facebook_Ads[[#This Row],[impressions]]*RANDBETWEEN(8,12)/10,0)</f>
        <v>11210</v>
      </c>
      <c r="G77" s="4">
        <v>567</v>
      </c>
      <c r="H77" s="4">
        <f ca="1">T_Facebook_Ads[[#This Row],[spend]]*RANDBETWEEN(8,12)/10</f>
        <v>209.6</v>
      </c>
      <c r="I77" s="4">
        <f ca="1">ROUND(T_Facebook_Ads[[#This Row],[conversions]]*RANDBETWEEN(8,12)/10,0)</f>
        <v>43</v>
      </c>
      <c r="J77" s="4">
        <f ca="1">ROUND(T_Facebook_Ads[[#This Row],[video_views]]*RANDBETWEEN(8,12)/10,0)</f>
        <v>987</v>
      </c>
      <c r="K77" s="4">
        <f ca="1">T_Facebook_Ads[[#This Row],[engagement_rate]]*RANDBETWEEN(8,12)/10</f>
        <v>5.4600000000000003E-2</v>
      </c>
      <c r="L77" s="4">
        <f ca="1">ROUND(T_Facebook_Ads[[#This Row],[reach]]*RANDBETWEEN(8,12)/10,0)</f>
        <v>7901</v>
      </c>
      <c r="M77" s="4">
        <f ca="1">T_Facebook_Ads[[#This Row],[frequency]]*RANDBETWEEN(8,12)/10</f>
        <v>1.3859999999999999</v>
      </c>
      <c r="O77" s="3">
        <f t="shared" ca="1" si="10"/>
        <v>45023</v>
      </c>
      <c r="P77" s="4" t="s">
        <v>80</v>
      </c>
      <c r="Q77" s="4" t="s">
        <v>81</v>
      </c>
      <c r="R77" s="4" t="s">
        <v>82</v>
      </c>
      <c r="S77" s="4" t="s">
        <v>83</v>
      </c>
      <c r="T77" s="4">
        <f ca="1">ROUND(_Google_ads[[#This Row],[impressions]]*RANDBETWEEN(8,12)/10,0)</f>
        <v>47179</v>
      </c>
      <c r="U77" s="4">
        <f ca="1">ROUND(_Google_ads[[#This Row],[clicks]]*RANDBETWEEN(8,12)/10,0)</f>
        <v>676</v>
      </c>
      <c r="V77" s="4">
        <f ca="1">_Google_ads[[#This Row],[cost]]*RANDBETWEEN(8,12)/10</f>
        <v>494.37</v>
      </c>
      <c r="W77" s="4">
        <f ca="1">ROUND(_Google_ads[[#This Row],[conversions]]*RANDBETWEEN(8,12)/10,0)</f>
        <v>18</v>
      </c>
      <c r="X77" s="4">
        <f ca="1">ROUND(_Google_ads[[#This Row],[conversion_value]]*RANDBETWEEN(8,12)/10,0)</f>
        <v>1100</v>
      </c>
      <c r="Y77" s="4">
        <f ca="1">_Google_ads[[#This Row],[ctr]]*RANDBETWEEN(8,12)/10</f>
        <v>1.7729999999999999E-2</v>
      </c>
      <c r="Z77" s="4">
        <f ca="1">_Google_ads[[#This Row],[avg_cpc]]*RANDBETWEEN(8,12)/10</f>
        <v>0.58500000000000008</v>
      </c>
      <c r="AA77" s="4">
        <f ca="1">ROUND(_Google_ads[[#This Row],[quality_score]]*RANDBETWEEN(8,12)/10,0)</f>
        <v>7</v>
      </c>
      <c r="AB77" s="4">
        <f ca="1">_Google_ads[[#This Row],[search_impression_share]]*RANDBETWEEN(8,12)/10</f>
        <v>0.39600000000000002</v>
      </c>
      <c r="AD77" s="3">
        <f t="shared" ca="1" si="11"/>
        <v>45040</v>
      </c>
      <c r="AE77" s="4" t="s">
        <v>104</v>
      </c>
      <c r="AF77" s="4" t="s">
        <v>105</v>
      </c>
      <c r="AG77" s="4" t="s">
        <v>106</v>
      </c>
      <c r="AH77" s="4" t="s">
        <v>107</v>
      </c>
      <c r="AI77" s="4">
        <f ca="1">ROUND(T_Tiktok_ads[[#This Row],[impressions]]*RANDBETWEEN(8,12)/10,0)</f>
        <v>134011</v>
      </c>
      <c r="AJ77" s="4">
        <f ca="1">ROUND(T_Tiktok_ads[[#This Row],[clicks]]*RANDBETWEEN(8,12)/10,0)</f>
        <v>3117</v>
      </c>
      <c r="AK77" s="4">
        <v>767.5</v>
      </c>
      <c r="AL77" s="4">
        <f ca="1">ROUND(T_Tiktok_ads[[#This Row],[conversions]]*RANDBETWEEN(8,12)/10,0)</f>
        <v>62</v>
      </c>
      <c r="AM77" s="4">
        <f ca="1">ROUND(T_Tiktok_ads[[#This Row],[video_views]]*RANDBETWEEN(8,12)/10,0)</f>
        <v>103456</v>
      </c>
      <c r="AN77" s="4">
        <f ca="1">ROUND(T_Tiktok_ads[[#This Row],[video_watch_25]]*RANDBETWEEN(8,12)/10,0)</f>
        <v>68611</v>
      </c>
      <c r="AO77" s="4">
        <f ca="1">ROUND(T_Tiktok_ads[[#This Row],[video_watch_50]]*RANDBETWEEN(8,12)/10,0)</f>
        <v>56357</v>
      </c>
      <c r="AP77" s="4">
        <f ca="1">ROUND(T_Tiktok_ads[[#This Row],[video_watch_75]]*RANDBETWEEN(8,12)/10,0)</f>
        <v>46280</v>
      </c>
      <c r="AQ77" s="4">
        <f ca="1">ROUND(T_Tiktok_ads[[#This Row],[video_watch_100]]*RANDBETWEEN(8,12)/10,0)</f>
        <v>28368</v>
      </c>
      <c r="AR77" s="4">
        <f ca="1">ROUND(T_Tiktok_ads[[#This Row],[likes]]*RANDBETWEEN(8,12)/10,0)</f>
        <v>4611</v>
      </c>
      <c r="AS77" s="4">
        <f ca="1">ROUND(T_Tiktok_ads[[#This Row],[shares]]*RANDBETWEEN(8,12)/10,0)</f>
        <v>1602</v>
      </c>
      <c r="AT77" s="4">
        <f ca="1">ROUND(T_Tiktok_ads[[#This Row],[comments]]*RANDBETWEEN(8,12)/10,0)</f>
        <v>250</v>
      </c>
      <c r="AV77" s="5">
        <f t="shared" ca="1" si="12"/>
        <v>45030</v>
      </c>
      <c r="AW77">
        <f t="shared" ca="1" si="13"/>
        <v>2</v>
      </c>
      <c r="AX77">
        <f ca="1">ROUND(T_Facebook_Ads11596367[[#This Row],[impressions]]*RANDBETWEEN(8,12)/10,0)</f>
        <v>11210</v>
      </c>
      <c r="AY77">
        <f ca="1">ROUND(T_Facebook_Ads11596367[[#This Row],[clicks]]*RANDBETWEEN(8,12)/10,0)</f>
        <v>624</v>
      </c>
      <c r="AZ77">
        <f ca="1">T_Facebook_Ads11596367[[#This Row],[spend]]*RANDBETWEEN(8,12)/10</f>
        <v>188.64</v>
      </c>
      <c r="BA77">
        <f ca="1">ROUND(T_Facebook_Ads11596367[[#This Row],[conversions]]*RANDBETWEEN(8,12)/10,0)</f>
        <v>47</v>
      </c>
      <c r="BB77">
        <f ca="1">ROUND(T_Facebook_Ads11596367[[#This Row],[video_views]]*RANDBETWEEN(8,12)/10,0)</f>
        <v>888</v>
      </c>
    </row>
    <row r="78" spans="1:54" ht="15.75" thickBot="1" x14ac:dyDescent="0.3">
      <c r="A78" s="3">
        <f t="shared" ca="1" si="9"/>
        <v>45022</v>
      </c>
      <c r="B78" s="4" t="s">
        <v>60</v>
      </c>
      <c r="C78" s="4" t="s">
        <v>61</v>
      </c>
      <c r="D78" s="4" t="s">
        <v>62</v>
      </c>
      <c r="E78" s="4" t="s">
        <v>63</v>
      </c>
      <c r="F78" s="4">
        <f ca="1">ROUND(T_Facebook_Ads[[#This Row],[impressions]]*RANDBETWEEN(8,12)/10,0)</f>
        <v>31611</v>
      </c>
      <c r="G78" s="4">
        <v>1267</v>
      </c>
      <c r="H78" s="4">
        <f ca="1">T_Facebook_Ads[[#This Row],[spend]]*RANDBETWEEN(8,12)/10</f>
        <v>233.4</v>
      </c>
      <c r="I78" s="4">
        <f ca="1">ROUND(T_Facebook_Ads[[#This Row],[conversions]]*RANDBETWEEN(8,12)/10,0)</f>
        <v>26</v>
      </c>
      <c r="J78" s="4">
        <f ca="1">ROUND(T_Facebook_Ads[[#This Row],[video_views]]*RANDBETWEEN(8,12)/10,0)</f>
        <v>3911</v>
      </c>
      <c r="K78" s="4">
        <f ca="1">T_Facebook_Ads[[#This Row],[engagement_rate]]*RANDBETWEEN(8,12)/10</f>
        <v>3.61E-2</v>
      </c>
      <c r="L78" s="4">
        <f ca="1">ROUND(T_Facebook_Ads[[#This Row],[reach]]*RANDBETWEEN(8,12)/10,0)</f>
        <v>26211</v>
      </c>
      <c r="M78" s="4">
        <f ca="1">T_Facebook_Ads[[#This Row],[frequency]]*RANDBETWEEN(8,12)/10</f>
        <v>0.96799999999999997</v>
      </c>
      <c r="O78" s="3">
        <f t="shared" ca="1" si="10"/>
        <v>45030</v>
      </c>
      <c r="P78" s="4" t="s">
        <v>84</v>
      </c>
      <c r="Q78" s="4" t="s">
        <v>85</v>
      </c>
      <c r="R78" s="4" t="s">
        <v>86</v>
      </c>
      <c r="S78" s="4" t="s">
        <v>87</v>
      </c>
      <c r="T78" s="4">
        <f ca="1">ROUND(_Google_ads[[#This Row],[impressions]]*RANDBETWEEN(8,12)/10,0)</f>
        <v>66789</v>
      </c>
      <c r="U78" s="4">
        <f ca="1">ROUND(_Google_ads[[#This Row],[clicks]]*RANDBETWEEN(8,12)/10,0)</f>
        <v>2223</v>
      </c>
      <c r="V78" s="4">
        <f ca="1">_Google_ads[[#This Row],[cost]]*RANDBETWEEN(8,12)/10</f>
        <v>489.4799999999999</v>
      </c>
      <c r="W78" s="4">
        <f ca="1">ROUND(_Google_ads[[#This Row],[conversions]]*RANDBETWEEN(8,12)/10,0)</f>
        <v>77</v>
      </c>
      <c r="X78" s="4">
        <f ca="1">ROUND(_Google_ads[[#This Row],[conversion_value]]*RANDBETWEEN(8,12)/10,0)</f>
        <v>2880</v>
      </c>
      <c r="Y78" s="4">
        <f ca="1">_Google_ads[[#This Row],[ctr]]*RANDBETWEEN(8,12)/10</f>
        <v>3.6630000000000003E-2</v>
      </c>
      <c r="Z78" s="4">
        <f ca="1">_Google_ads[[#This Row],[avg_cpc]]*RANDBETWEEN(8,12)/10</f>
        <v>0.21600000000000003</v>
      </c>
      <c r="AA78" s="4">
        <f ca="1">ROUND(_Google_ads[[#This Row],[quality_score]]*RANDBETWEEN(8,12)/10,0)</f>
        <v>9</v>
      </c>
      <c r="AB78" s="4">
        <f ca="1">_Google_ads[[#This Row],[search_impression_share]]*RANDBETWEEN(8,12)/10</f>
        <v>0.72600000000000009</v>
      </c>
      <c r="AD78" s="3">
        <f t="shared" ca="1" si="11"/>
        <v>45038</v>
      </c>
      <c r="AE78" s="4" t="s">
        <v>108</v>
      </c>
      <c r="AF78" s="4" t="s">
        <v>109</v>
      </c>
      <c r="AG78" s="4" t="s">
        <v>110</v>
      </c>
      <c r="AH78" s="4" t="s">
        <v>111</v>
      </c>
      <c r="AI78" s="4">
        <f ca="1">ROUND(T_Tiktok_ads[[#This Row],[impressions]]*RANDBETWEEN(8,12)/10,0)</f>
        <v>251791</v>
      </c>
      <c r="AJ78" s="4">
        <f ca="1">ROUND(T_Tiktok_ads[[#This Row],[clicks]]*RANDBETWEEN(8,12)/10,0)</f>
        <v>4361</v>
      </c>
      <c r="AK78" s="4">
        <v>441.9</v>
      </c>
      <c r="AL78" s="4">
        <f ca="1">ROUND(T_Tiktok_ads[[#This Row],[conversions]]*RANDBETWEEN(8,12)/10,0)</f>
        <v>34</v>
      </c>
      <c r="AM78" s="4">
        <f ca="1">ROUND(T_Tiktok_ads[[#This Row],[video_views]]*RANDBETWEEN(8,12)/10,0)</f>
        <v>145876</v>
      </c>
      <c r="AN78" s="4">
        <f ca="1">ROUND(T_Tiktok_ads[[#This Row],[video_watch_25]]*RANDBETWEEN(8,12)/10,0)</f>
        <v>124101</v>
      </c>
      <c r="AO78" s="4">
        <f ca="1">ROUND(T_Tiktok_ads[[#This Row],[video_watch_50]]*RANDBETWEEN(8,12)/10,0)</f>
        <v>130681</v>
      </c>
      <c r="AP78" s="4">
        <f ca="1">ROUND(T_Tiktok_ads[[#This Row],[video_watch_75]]*RANDBETWEEN(8,12)/10,0)</f>
        <v>63510</v>
      </c>
      <c r="AQ78" s="4">
        <f ca="1">ROUND(T_Tiktok_ads[[#This Row],[video_watch_100]]*RANDBETWEEN(8,12)/10,0)</f>
        <v>42789</v>
      </c>
      <c r="AR78" s="4">
        <f ca="1">ROUND(T_Tiktok_ads[[#This Row],[likes]]*RANDBETWEEN(8,12)/10,0)</f>
        <v>7610</v>
      </c>
      <c r="AS78" s="4">
        <f ca="1">ROUND(T_Tiktok_ads[[#This Row],[shares]]*RANDBETWEEN(8,12)/10,0)</f>
        <v>1841</v>
      </c>
      <c r="AT78" s="4">
        <f ca="1">ROUND(T_Tiktok_ads[[#This Row],[comments]]*RANDBETWEEN(8,12)/10,0)</f>
        <v>436</v>
      </c>
      <c r="AV78" s="5">
        <f t="shared" ca="1" si="12"/>
        <v>45039</v>
      </c>
      <c r="AW78">
        <f t="shared" ca="1" si="13"/>
        <v>7</v>
      </c>
      <c r="AX78">
        <f ca="1">ROUND(T_Facebook_Ads11596367[[#This Row],[impressions]]*RANDBETWEEN(8,12)/10,0)</f>
        <v>25289</v>
      </c>
      <c r="AY78">
        <f ca="1">ROUND(T_Facebook_Ads11596367[[#This Row],[clicks]]*RANDBETWEEN(8,12)/10,0)</f>
        <v>1014</v>
      </c>
      <c r="AZ78">
        <f ca="1">T_Facebook_Ads11596367[[#This Row],[spend]]*RANDBETWEEN(8,12)/10</f>
        <v>256.74</v>
      </c>
      <c r="BA78">
        <f ca="1">ROUND(T_Facebook_Ads11596367[[#This Row],[conversions]]*RANDBETWEEN(8,12)/10,0)</f>
        <v>21</v>
      </c>
      <c r="BB78">
        <f ca="1">ROUND(T_Facebook_Ads11596367[[#This Row],[video_views]]*RANDBETWEEN(8,12)/10,0)</f>
        <v>4302</v>
      </c>
    </row>
    <row r="79" spans="1:54" ht="15.75" thickBot="1" x14ac:dyDescent="0.3">
      <c r="A79" s="3">
        <f t="shared" ca="1" si="9"/>
        <v>45027</v>
      </c>
      <c r="B79" s="4" t="s">
        <v>64</v>
      </c>
      <c r="C79" s="4" t="s">
        <v>65</v>
      </c>
      <c r="D79" s="4" t="s">
        <v>66</v>
      </c>
      <c r="E79" s="4" t="s">
        <v>67</v>
      </c>
      <c r="F79" s="4">
        <f ca="1">ROUND(T_Facebook_Ads[[#This Row],[impressions]]*RANDBETWEEN(8,12)/10,0)</f>
        <v>66789</v>
      </c>
      <c r="G79" s="4">
        <v>245</v>
      </c>
      <c r="H79" s="4">
        <f ca="1">T_Facebook_Ads[[#This Row],[spend]]*RANDBETWEEN(8,12)/10</f>
        <v>84.7</v>
      </c>
      <c r="I79" s="4">
        <f ca="1">ROUND(T_Facebook_Ads[[#This Row],[conversions]]*RANDBETWEEN(8,12)/10,0)</f>
        <v>6</v>
      </c>
      <c r="J79" s="4">
        <f ca="1">ROUND(T_Facebook_Ads[[#This Row],[video_views]]*RANDBETWEEN(8,12)/10,0)</f>
        <v>35654</v>
      </c>
      <c r="K79" s="4">
        <f ca="1">T_Facebook_Ads[[#This Row],[engagement_rate]]*RANDBETWEEN(8,12)/10</f>
        <v>3.3300000000000005E-3</v>
      </c>
      <c r="L79" s="4">
        <f ca="1">ROUND(T_Facebook_Ads[[#This Row],[reach]]*RANDBETWEEN(8,12)/10,0)</f>
        <v>49401</v>
      </c>
      <c r="M79" s="4">
        <f ca="1">T_Facebook_Ads[[#This Row],[frequency]]*RANDBETWEEN(8,12)/10</f>
        <v>1.3420000000000001</v>
      </c>
      <c r="O79" s="3">
        <f t="shared" ca="1" si="10"/>
        <v>45026</v>
      </c>
      <c r="P79" s="4" t="s">
        <v>88</v>
      </c>
      <c r="Q79" s="4" t="s">
        <v>89</v>
      </c>
      <c r="R79" s="4" t="s">
        <v>90</v>
      </c>
      <c r="S79" s="4" t="s">
        <v>59</v>
      </c>
      <c r="T79" s="4">
        <f ca="1">ROUND(_Google_ads[[#This Row],[impressions]]*RANDBETWEEN(8,12)/10,0)</f>
        <v>115101</v>
      </c>
      <c r="U79" s="4">
        <f ca="1">ROUND(_Google_ads[[#This Row],[clicks]]*RANDBETWEEN(8,12)/10,0)</f>
        <v>547</v>
      </c>
      <c r="V79" s="4">
        <f ca="1">_Google_ads[[#This Row],[cost]]*RANDBETWEEN(8,12)/10</f>
        <v>125.6</v>
      </c>
      <c r="W79" s="4">
        <f ca="1">ROUND(_Google_ads[[#This Row],[conversions]]*RANDBETWEEN(8,12)/10,0)</f>
        <v>14</v>
      </c>
      <c r="X79" s="4">
        <f ca="1">ROUND(_Google_ads[[#This Row],[conversion_value]]*RANDBETWEEN(8,12)/10,0)</f>
        <v>715</v>
      </c>
      <c r="Y79" s="4">
        <f ca="1">_Google_ads[[#This Row],[ctr]]*RANDBETWEEN(8,12)/10</f>
        <v>2.8799999999999997E-3</v>
      </c>
      <c r="Z79" s="4">
        <f ca="1">_Google_ads[[#This Row],[avg_cpc]]*RANDBETWEEN(8,12)/10</f>
        <v>0.28000000000000003</v>
      </c>
      <c r="AA79" s="4">
        <f ca="1">ROUND(_Google_ads[[#This Row],[quality_score]]*RANDBETWEEN(8,12)/10,0)</f>
        <v>7</v>
      </c>
      <c r="AB79" s="4">
        <f ca="1">_Google_ads[[#This Row],[search_impression_share]]*RANDBETWEEN(8,12)/10</f>
        <v>0.374</v>
      </c>
      <c r="AD79" s="3">
        <f t="shared" ca="1" si="11"/>
        <v>45033</v>
      </c>
      <c r="AE79" s="4" t="s">
        <v>112</v>
      </c>
      <c r="AF79" s="4" t="s">
        <v>113</v>
      </c>
      <c r="AG79" s="4" t="s">
        <v>114</v>
      </c>
      <c r="AH79" s="4" t="s">
        <v>115</v>
      </c>
      <c r="AI79" s="4">
        <f ca="1">ROUND(T_Tiktok_ads[[#This Row],[impressions]]*RANDBETWEEN(8,12)/10,0)</f>
        <v>398567</v>
      </c>
      <c r="AJ79" s="4">
        <f ca="1">ROUND(T_Tiktok_ads[[#This Row],[clicks]]*RANDBETWEEN(8,12)/10,0)</f>
        <v>7841</v>
      </c>
      <c r="AK79" s="4">
        <v>998.7</v>
      </c>
      <c r="AL79" s="4">
        <f ca="1">ROUND(T_Tiktok_ads[[#This Row],[conversions]]*RANDBETWEEN(8,12)/10,0)</f>
        <v>98</v>
      </c>
      <c r="AM79" s="4">
        <f ca="1">ROUND(T_Tiktok_ads[[#This Row],[video_views]]*RANDBETWEEN(8,12)/10,0)</f>
        <v>365580</v>
      </c>
      <c r="AN79" s="4">
        <f ca="1">ROUND(T_Tiktok_ads[[#This Row],[video_watch_25]]*RANDBETWEEN(8,12)/10,0)</f>
        <v>214312</v>
      </c>
      <c r="AO79" s="4">
        <f ca="1">ROUND(T_Tiktok_ads[[#This Row],[video_watch_50]]*RANDBETWEEN(8,12)/10,0)</f>
        <v>171654</v>
      </c>
      <c r="AP79" s="4">
        <f ca="1">ROUND(T_Tiktok_ads[[#This Row],[video_watch_75]]*RANDBETWEEN(8,12)/10,0)</f>
        <v>136111</v>
      </c>
      <c r="AQ79" s="4">
        <f ca="1">ROUND(T_Tiktok_ads[[#This Row],[video_watch_100]]*RANDBETWEEN(8,12)/10,0)</f>
        <v>99567</v>
      </c>
      <c r="AR79" s="4">
        <f ca="1">ROUND(T_Tiktok_ads[[#This Row],[likes]]*RANDBETWEEN(8,12)/10,0)</f>
        <v>14205</v>
      </c>
      <c r="AS79" s="4">
        <f ca="1">ROUND(T_Tiktok_ads[[#This Row],[shares]]*RANDBETWEEN(8,12)/10,0)</f>
        <v>5012</v>
      </c>
      <c r="AT79" s="4">
        <f ca="1">ROUND(T_Tiktok_ads[[#This Row],[comments]]*RANDBETWEEN(8,12)/10,0)</f>
        <v>1667</v>
      </c>
      <c r="AV79" s="5">
        <f t="shared" ca="1" si="12"/>
        <v>45019</v>
      </c>
      <c r="AW79">
        <f t="shared" ca="1" si="13"/>
        <v>7</v>
      </c>
      <c r="AX79">
        <f ca="1">ROUND(T_Facebook_Ads11596367[[#This Row],[impressions]]*RANDBETWEEN(8,12)/10,0)</f>
        <v>53431</v>
      </c>
      <c r="AY79">
        <f ca="1">ROUND(T_Facebook_Ads11596367[[#This Row],[clicks]]*RANDBETWEEN(8,12)/10,0)</f>
        <v>196</v>
      </c>
      <c r="AZ79">
        <f ca="1">T_Facebook_Ads11596367[[#This Row],[spend]]*RANDBETWEEN(8,12)/10</f>
        <v>67.760000000000005</v>
      </c>
      <c r="BA79">
        <f ca="1">ROUND(T_Facebook_Ads11596367[[#This Row],[conversions]]*RANDBETWEEN(8,12)/10,0)</f>
        <v>6</v>
      </c>
      <c r="BB79">
        <f ca="1">ROUND(T_Facebook_Ads11596367[[#This Row],[video_views]]*RANDBETWEEN(8,12)/10,0)</f>
        <v>35654</v>
      </c>
    </row>
    <row r="80" spans="1:54" ht="15.75" thickBot="1" x14ac:dyDescent="0.3">
      <c r="A80" s="3">
        <f t="shared" ca="1" si="9"/>
        <v>45041</v>
      </c>
      <c r="B80" s="4" t="s">
        <v>52</v>
      </c>
      <c r="C80" s="4" t="s">
        <v>53</v>
      </c>
      <c r="D80" s="4" t="s">
        <v>54</v>
      </c>
      <c r="E80" s="4" t="s">
        <v>55</v>
      </c>
      <c r="F80" s="4">
        <f ca="1">ROUND(T_Facebook_Ads[[#This Row],[impressions]]*RANDBETWEEN(8,12)/10,0)</f>
        <v>53424</v>
      </c>
      <c r="G80" s="4">
        <v>989</v>
      </c>
      <c r="H80" s="4">
        <f ca="1">T_Facebook_Ads[[#This Row],[spend]]*RANDBETWEEN(8,12)/10</f>
        <v>112.24000000000001</v>
      </c>
      <c r="I80" s="4">
        <f ca="1">ROUND(T_Facebook_Ads[[#This Row],[conversions]]*RANDBETWEEN(8,12)/10,0)</f>
        <v>17</v>
      </c>
      <c r="J80" s="4">
        <f ca="1">ROUND(T_Facebook_Ads[[#This Row],[video_views]]*RANDBETWEEN(8,12)/10,0)</f>
        <v>8051</v>
      </c>
      <c r="K80" s="4">
        <f ca="1">T_Facebook_Ads[[#This Row],[engagement_rate]]*RANDBETWEEN(8,12)/10</f>
        <v>2.0400000000000001E-2</v>
      </c>
      <c r="L80" s="4">
        <f ca="1">ROUND(T_Facebook_Ads[[#This Row],[reach]]*RANDBETWEEN(8,12)/10,0)</f>
        <v>36410</v>
      </c>
      <c r="M80" s="4">
        <f ca="1">T_Facebook_Ads[[#This Row],[frequency]]*RANDBETWEEN(8,12)/10</f>
        <v>0.96</v>
      </c>
      <c r="O80" s="3">
        <f t="shared" ca="1" si="10"/>
        <v>45021</v>
      </c>
      <c r="P80" s="4" t="s">
        <v>76</v>
      </c>
      <c r="Q80" s="4" t="s">
        <v>77</v>
      </c>
      <c r="R80" s="4" t="s">
        <v>78</v>
      </c>
      <c r="S80" s="4" t="s">
        <v>79</v>
      </c>
      <c r="T80" s="4">
        <f ca="1">ROUND(_Google_ads[[#This Row],[impressions]]*RANDBETWEEN(8,12)/10,0)</f>
        <v>30814</v>
      </c>
      <c r="U80" s="4">
        <f ca="1">ROUND(_Google_ads[[#This Row],[clicks]]*RANDBETWEEN(8,12)/10,0)</f>
        <v>1085</v>
      </c>
      <c r="V80" s="4">
        <f ca="1">_Google_ads[[#This Row],[cost]]*RANDBETWEEN(8,12)/10</f>
        <v>311.27999999999997</v>
      </c>
      <c r="W80" s="4">
        <f ca="1">ROUND(_Google_ads[[#This Row],[conversions]]*RANDBETWEEN(8,12)/10,0)</f>
        <v>41</v>
      </c>
      <c r="X80" s="4">
        <f ca="1">ROUND(_Google_ads[[#This Row],[conversion_value]]*RANDBETWEEN(8,12)/10,0)</f>
        <v>2550</v>
      </c>
      <c r="Y80" s="4">
        <f ca="1">_Google_ads[[#This Row],[ctr]]*RANDBETWEEN(8,12)/10</f>
        <v>5.28E-2</v>
      </c>
      <c r="Z80" s="4">
        <f ca="1">_Google_ads[[#This Row],[avg_cpc]]*RANDBETWEEN(8,12)/10</f>
        <v>0.17099999999999999</v>
      </c>
      <c r="AA80" s="4">
        <f ca="1">ROUND(_Google_ads[[#This Row],[quality_score]]*RANDBETWEEN(8,12)/10,0)</f>
        <v>9</v>
      </c>
      <c r="AB80" s="4">
        <f ca="1">_Google_ads[[#This Row],[search_impression_share]]*RANDBETWEEN(8,12)/10</f>
        <v>0.73599999999999999</v>
      </c>
      <c r="AD80" s="3">
        <f t="shared" ca="1" si="11"/>
        <v>45018</v>
      </c>
      <c r="AE80" s="4" t="s">
        <v>100</v>
      </c>
      <c r="AF80" s="4" t="s">
        <v>101</v>
      </c>
      <c r="AG80" s="4" t="s">
        <v>102</v>
      </c>
      <c r="AH80" s="4" t="s">
        <v>103</v>
      </c>
      <c r="AI80" s="4">
        <f ca="1">ROUND(T_Tiktok_ads[[#This Row],[impressions]]*RANDBETWEEN(8,12)/10,0)</f>
        <v>231210</v>
      </c>
      <c r="AJ80" s="4">
        <f ca="1">ROUND(T_Tiktok_ads[[#This Row],[clicks]]*RANDBETWEEN(8,12)/10,0)</f>
        <v>5081</v>
      </c>
      <c r="AK80" s="4">
        <v>556.70000000000005</v>
      </c>
      <c r="AL80" s="4">
        <f ca="1">ROUND(T_Tiktok_ads[[#This Row],[conversions]]*RANDBETWEEN(8,12)/10,0)</f>
        <v>52</v>
      </c>
      <c r="AM80" s="4">
        <f ca="1">ROUND(T_Tiktok_ads[[#This Row],[video_views]]*RANDBETWEEN(8,12)/10,0)</f>
        <v>258024</v>
      </c>
      <c r="AN80" s="4">
        <f ca="1">ROUND(T_Tiktok_ads[[#This Row],[video_watch_25]]*RANDBETWEEN(8,12)/10,0)</f>
        <v>164111</v>
      </c>
      <c r="AO80" s="4">
        <f ca="1">ROUND(T_Tiktok_ads[[#This Row],[video_watch_50]]*RANDBETWEEN(8,12)/10,0)</f>
        <v>126024</v>
      </c>
      <c r="AP80" s="4">
        <f ca="1">ROUND(T_Tiktok_ads[[#This Row],[video_watch_75]]*RANDBETWEEN(8,12)/10,0)</f>
        <v>92681</v>
      </c>
      <c r="AQ80" s="4">
        <f ca="1">ROUND(T_Tiktok_ads[[#This Row],[video_watch_100]]*RANDBETWEEN(8,12)/10,0)</f>
        <v>51234</v>
      </c>
      <c r="AR80" s="4">
        <f ca="1">ROUND(T_Tiktok_ads[[#This Row],[likes]]*RANDBETWEEN(8,12)/10,0)</f>
        <v>8276</v>
      </c>
      <c r="AS80" s="4">
        <f ca="1">ROUND(T_Tiktok_ads[[#This Row],[shares]]*RANDBETWEEN(8,12)/10,0)</f>
        <v>3347</v>
      </c>
      <c r="AT80" s="4">
        <f ca="1">ROUND(T_Tiktok_ads[[#This Row],[comments]]*RANDBETWEEN(8,12)/10,0)</f>
        <v>525</v>
      </c>
      <c r="AV80" s="5">
        <f t="shared" ca="1" si="12"/>
        <v>45041</v>
      </c>
      <c r="AW80">
        <f t="shared" ca="1" si="13"/>
        <v>7</v>
      </c>
      <c r="AX80">
        <f ca="1">ROUND(T_Facebook_Ads11596367[[#This Row],[impressions]]*RANDBETWEEN(8,12)/10,0)</f>
        <v>64109</v>
      </c>
      <c r="AY80">
        <f ca="1">ROUND(T_Facebook_Ads11596367[[#This Row],[clicks]]*RANDBETWEEN(8,12)/10,0)</f>
        <v>890</v>
      </c>
      <c r="AZ80">
        <f ca="1">T_Facebook_Ads11596367[[#This Row],[spend]]*RANDBETWEEN(8,12)/10</f>
        <v>112.24000000000001</v>
      </c>
      <c r="BA80">
        <f ca="1">ROUND(T_Facebook_Ads11596367[[#This Row],[conversions]]*RANDBETWEEN(8,12)/10,0)</f>
        <v>15</v>
      </c>
      <c r="BB80">
        <f ca="1">ROUND(T_Facebook_Ads11596367[[#This Row],[video_views]]*RANDBETWEEN(8,12)/10,0)</f>
        <v>6441</v>
      </c>
    </row>
    <row r="81" spans="1:54" ht="15.75" thickBot="1" x14ac:dyDescent="0.3">
      <c r="A81" s="3">
        <f t="shared" ca="1" si="9"/>
        <v>45025</v>
      </c>
      <c r="B81" s="4" t="s">
        <v>56</v>
      </c>
      <c r="C81" s="4" t="s">
        <v>57</v>
      </c>
      <c r="D81" s="4" t="s">
        <v>58</v>
      </c>
      <c r="E81" s="4" t="s">
        <v>59</v>
      </c>
      <c r="F81" s="4">
        <f ca="1">ROUND(T_Facebook_Ads[[#This Row],[impressions]]*RANDBETWEEN(8,12)/10,0)</f>
        <v>16547</v>
      </c>
      <c r="G81" s="4">
        <v>623</v>
      </c>
      <c r="H81" s="4">
        <f ca="1">T_Facebook_Ads[[#This Row],[spend]]*RANDBETWEEN(8,12)/10</f>
        <v>229.8</v>
      </c>
      <c r="I81" s="4">
        <f ca="1">ROUND(T_Facebook_Ads[[#This Row],[conversions]]*RANDBETWEEN(8,12)/10,0)</f>
        <v>38</v>
      </c>
      <c r="J81" s="4">
        <f ca="1">ROUND(T_Facebook_Ads[[#This Row],[video_views]]*RANDBETWEEN(8,12)/10,0)</f>
        <v>1787</v>
      </c>
      <c r="K81" s="4">
        <f ca="1">T_Facebook_Ads[[#This Row],[engagement_rate]]*RANDBETWEEN(8,12)/10</f>
        <v>4.0680000000000001E-2</v>
      </c>
      <c r="L81" s="4">
        <f ca="1">ROUND(T_Facebook_Ads[[#This Row],[reach]]*RANDBETWEEN(8,12)/10,0)</f>
        <v>11868</v>
      </c>
      <c r="M81" s="4">
        <f ca="1">T_Facebook_Ads[[#This Row],[frequency]]*RANDBETWEEN(8,12)/10</f>
        <v>1.536</v>
      </c>
      <c r="O81" s="3">
        <f t="shared" ca="1" si="10"/>
        <v>45023</v>
      </c>
      <c r="P81" s="4" t="s">
        <v>80</v>
      </c>
      <c r="Q81" s="4" t="s">
        <v>81</v>
      </c>
      <c r="R81" s="4" t="s">
        <v>82</v>
      </c>
      <c r="S81" s="4" t="s">
        <v>83</v>
      </c>
      <c r="T81" s="4">
        <f ca="1">ROUND(_Google_ads[[#This Row],[impressions]]*RANDBETWEEN(8,12)/10,0)</f>
        <v>36098</v>
      </c>
      <c r="U81" s="4">
        <f ca="1">ROUND(_Google_ads[[#This Row],[clicks]]*RANDBETWEEN(8,12)/10,0)</f>
        <v>1003</v>
      </c>
      <c r="V81" s="4">
        <f ca="1">_Google_ads[[#This Row],[cost]]*RANDBETWEEN(8,12)/10</f>
        <v>577.79999999999995</v>
      </c>
      <c r="W81" s="4">
        <f ca="1">ROUND(_Google_ads[[#This Row],[conversions]]*RANDBETWEEN(8,12)/10,0)</f>
        <v>26</v>
      </c>
      <c r="X81" s="4">
        <f ca="1">ROUND(_Google_ads[[#This Row],[conversion_value]]*RANDBETWEEN(8,12)/10,0)</f>
        <v>1200</v>
      </c>
      <c r="Y81" s="4">
        <f ca="1">_Google_ads[[#This Row],[ctr]]*RANDBETWEEN(8,12)/10</f>
        <v>1.6160000000000001E-2</v>
      </c>
      <c r="Z81" s="4">
        <f ca="1">_Google_ads[[#This Row],[avg_cpc]]*RANDBETWEEN(8,12)/10</f>
        <v>0.504</v>
      </c>
      <c r="AA81" s="4">
        <f ca="1">ROUND(_Google_ads[[#This Row],[quality_score]]*RANDBETWEEN(8,12)/10,0)</f>
        <v>6</v>
      </c>
      <c r="AB81" s="4">
        <f ca="1">_Google_ads[[#This Row],[search_impression_share]]*RANDBETWEEN(8,12)/10</f>
        <v>0.40499999999999997</v>
      </c>
      <c r="AD81" s="3">
        <f t="shared" ca="1" si="11"/>
        <v>45040</v>
      </c>
      <c r="AE81" s="4" t="s">
        <v>104</v>
      </c>
      <c r="AF81" s="4" t="s">
        <v>105</v>
      </c>
      <c r="AG81" s="4" t="s">
        <v>106</v>
      </c>
      <c r="AH81" s="4" t="s">
        <v>107</v>
      </c>
      <c r="AI81" s="4">
        <f ca="1">ROUND(T_Tiktok_ads[[#This Row],[impressions]]*RANDBETWEEN(8,12)/10,0)</f>
        <v>172468</v>
      </c>
      <c r="AJ81" s="4">
        <f ca="1">ROUND(T_Tiktok_ads[[#This Row],[clicks]]*RANDBETWEEN(8,12)/10,0)</f>
        <v>3012</v>
      </c>
      <c r="AK81" s="4">
        <v>812.3</v>
      </c>
      <c r="AL81" s="4">
        <f ca="1">ROUND(T_Tiktok_ads[[#This Row],[conversions]]*RANDBETWEEN(8,12)/10,0)</f>
        <v>74</v>
      </c>
      <c r="AM81" s="4">
        <f ca="1">ROUND(T_Tiktok_ads[[#This Row],[video_views]]*RANDBETWEEN(8,12)/10,0)</f>
        <v>131851</v>
      </c>
      <c r="AN81" s="4">
        <f ca="1">ROUND(T_Tiktok_ads[[#This Row],[video_watch_25]]*RANDBETWEEN(8,12)/10,0)</f>
        <v>97481</v>
      </c>
      <c r="AO81" s="4">
        <f ca="1">ROUND(T_Tiktok_ads[[#This Row],[video_watch_50]]*RANDBETWEEN(8,12)/10,0)</f>
        <v>60146</v>
      </c>
      <c r="AP81" s="4">
        <f ca="1">ROUND(T_Tiktok_ads[[#This Row],[video_watch_75]]*RANDBETWEEN(8,12)/10,0)</f>
        <v>45357</v>
      </c>
      <c r="AQ81" s="4">
        <f ca="1">ROUND(T_Tiktok_ads[[#This Row],[video_watch_100]]*RANDBETWEEN(8,12)/10,0)</f>
        <v>33080</v>
      </c>
      <c r="AR81" s="4">
        <f ca="1">ROUND(T_Tiktok_ads[[#This Row],[likes]]*RANDBETWEEN(8,12)/10,0)</f>
        <v>4365</v>
      </c>
      <c r="AS81" s="4">
        <f ca="1">ROUND(T_Tiktok_ads[[#This Row],[shares]]*RANDBETWEEN(8,12)/10,0)</f>
        <v>1410</v>
      </c>
      <c r="AT81" s="4">
        <f ca="1">ROUND(T_Tiktok_ads[[#This Row],[comments]]*RANDBETWEEN(8,12)/10,0)</f>
        <v>318</v>
      </c>
      <c r="AV81" s="5">
        <f t="shared" ca="1" si="12"/>
        <v>45035</v>
      </c>
      <c r="AW81">
        <f t="shared" ca="1" si="13"/>
        <v>7</v>
      </c>
      <c r="AX81">
        <f ca="1">ROUND(T_Facebook_Ads11596367[[#This Row],[impressions]]*RANDBETWEEN(8,12)/10,0)</f>
        <v>16547</v>
      </c>
      <c r="AY81">
        <f ca="1">ROUND(T_Facebook_Ads11596367[[#This Row],[clicks]]*RANDBETWEEN(8,12)/10,0)</f>
        <v>561</v>
      </c>
      <c r="AZ81">
        <f ca="1">T_Facebook_Ads11596367[[#This Row],[spend]]*RANDBETWEEN(8,12)/10</f>
        <v>252.78000000000003</v>
      </c>
      <c r="BA81">
        <f ca="1">ROUND(T_Facebook_Ads11596367[[#This Row],[conversions]]*RANDBETWEEN(8,12)/10,0)</f>
        <v>34</v>
      </c>
      <c r="BB81">
        <f ca="1">ROUND(T_Facebook_Ads11596367[[#This Row],[video_views]]*RANDBETWEEN(8,12)/10,0)</f>
        <v>1430</v>
      </c>
    </row>
    <row r="82" spans="1:54" ht="15.75" thickBot="1" x14ac:dyDescent="0.3">
      <c r="A82" s="3">
        <f t="shared" ca="1" si="9"/>
        <v>45027</v>
      </c>
      <c r="B82" s="4" t="s">
        <v>60</v>
      </c>
      <c r="C82" s="4" t="s">
        <v>61</v>
      </c>
      <c r="D82" s="4" t="s">
        <v>62</v>
      </c>
      <c r="E82" s="4" t="s">
        <v>63</v>
      </c>
      <c r="F82" s="4">
        <f ca="1">ROUND(T_Facebook_Ads[[#This Row],[impressions]]*RANDBETWEEN(8,12)/10,0)</f>
        <v>37456</v>
      </c>
      <c r="G82" s="4">
        <v>1389</v>
      </c>
      <c r="H82" s="4">
        <f ca="1">T_Facebook_Ads[[#This Row],[spend]]*RANDBETWEEN(8,12)/10</f>
        <v>213.4</v>
      </c>
      <c r="I82" s="4">
        <f ca="1">ROUND(T_Facebook_Ads[[#This Row],[conversions]]*RANDBETWEEN(8,12)/10,0)</f>
        <v>29</v>
      </c>
      <c r="J82" s="4">
        <f ca="1">ROUND(T_Facebook_Ads[[#This Row],[video_views]]*RANDBETWEEN(8,12)/10,0)</f>
        <v>4401</v>
      </c>
      <c r="K82" s="4">
        <f ca="1">T_Facebook_Ads[[#This Row],[engagement_rate]]*RANDBETWEEN(8,12)/10</f>
        <v>4.0809999999999999E-2</v>
      </c>
      <c r="L82" s="4">
        <f ca="1">ROUND(T_Facebook_Ads[[#This Row],[reach]]*RANDBETWEEN(8,12)/10,0)</f>
        <v>30567</v>
      </c>
      <c r="M82" s="4">
        <f ca="1">T_Facebook_Ads[[#This Row],[frequency]]*RANDBETWEEN(8,12)/10</f>
        <v>1.464</v>
      </c>
      <c r="O82" s="3">
        <f t="shared" ca="1" si="10"/>
        <v>45018</v>
      </c>
      <c r="P82" s="4" t="s">
        <v>84</v>
      </c>
      <c r="Q82" s="4" t="s">
        <v>85</v>
      </c>
      <c r="R82" s="4" t="s">
        <v>86</v>
      </c>
      <c r="S82" s="4" t="s">
        <v>87</v>
      </c>
      <c r="T82" s="4">
        <f ca="1">ROUND(_Google_ads[[#This Row],[impressions]]*RANDBETWEEN(8,12)/10,0)</f>
        <v>84281</v>
      </c>
      <c r="U82" s="4">
        <f ca="1">ROUND(_Google_ads[[#This Row],[clicks]]*RANDBETWEEN(8,12)/10,0)</f>
        <v>2150</v>
      </c>
      <c r="V82" s="4">
        <f ca="1">_Google_ads[[#This Row],[cost]]*RANDBETWEEN(8,12)/10</f>
        <v>346.08000000000004</v>
      </c>
      <c r="W82" s="4">
        <f ca="1">ROUND(_Google_ads[[#This Row],[conversions]]*RANDBETWEEN(8,12)/10,0)</f>
        <v>76</v>
      </c>
      <c r="X82" s="4">
        <f ca="1">ROUND(_Google_ads[[#This Row],[conversion_value]]*RANDBETWEEN(8,12)/10,0)</f>
        <v>2760</v>
      </c>
      <c r="Y82" s="4">
        <f ca="1">_Google_ads[[#This Row],[ctr]]*RANDBETWEEN(8,12)/10</f>
        <v>3.4000000000000002E-2</v>
      </c>
      <c r="Z82" s="4">
        <f ca="1">_Google_ads[[#This Row],[avg_cpc]]*RANDBETWEEN(8,12)/10</f>
        <v>0.21600000000000003</v>
      </c>
      <c r="AA82" s="4">
        <f ca="1">ROUND(_Google_ads[[#This Row],[quality_score]]*RANDBETWEEN(8,12)/10,0)</f>
        <v>6</v>
      </c>
      <c r="AB82" s="4">
        <f ca="1">_Google_ads[[#This Row],[search_impression_share]]*RANDBETWEEN(8,12)/10</f>
        <v>0.80400000000000005</v>
      </c>
      <c r="AD82" s="3">
        <f t="shared" ca="1" si="11"/>
        <v>45038</v>
      </c>
      <c r="AE82" s="4" t="s">
        <v>108</v>
      </c>
      <c r="AF82" s="4" t="s">
        <v>109</v>
      </c>
      <c r="AG82" s="4" t="s">
        <v>110</v>
      </c>
      <c r="AH82" s="4" t="s">
        <v>111</v>
      </c>
      <c r="AI82" s="4">
        <f ca="1">ROUND(T_Tiktok_ads[[#This Row],[impressions]]*RANDBETWEEN(8,12)/10,0)</f>
        <v>270246</v>
      </c>
      <c r="AJ82" s="4">
        <f ca="1">ROUND(T_Tiktok_ads[[#This Row],[clicks]]*RANDBETWEEN(8,12)/10,0)</f>
        <v>3890</v>
      </c>
      <c r="AK82" s="4">
        <v>467.8</v>
      </c>
      <c r="AL82" s="4">
        <f ca="1">ROUND(T_Tiktok_ads[[#This Row],[conversions]]*RANDBETWEEN(8,12)/10,0)</f>
        <v>34</v>
      </c>
      <c r="AM82" s="4">
        <f ca="1">ROUND(T_Tiktok_ads[[#This Row],[video_views]]*RANDBETWEEN(8,12)/10,0)</f>
        <v>156542</v>
      </c>
      <c r="AN82" s="4">
        <f ca="1">ROUND(T_Tiktok_ads[[#This Row],[video_watch_25]]*RANDBETWEEN(8,12)/10,0)</f>
        <v>163057</v>
      </c>
      <c r="AO82" s="4">
        <f ca="1">ROUND(T_Tiktok_ads[[#This Row],[video_watch_50]]*RANDBETWEEN(8,12)/10,0)</f>
        <v>93787</v>
      </c>
      <c r="AP82" s="4">
        <f ca="1">ROUND(T_Tiktok_ads[[#This Row],[video_watch_75]]*RANDBETWEEN(8,12)/10,0)</f>
        <v>75234</v>
      </c>
      <c r="AQ82" s="4">
        <f ca="1">ROUND(T_Tiktok_ads[[#This Row],[video_watch_100]]*RANDBETWEEN(8,12)/10,0)</f>
        <v>50368</v>
      </c>
      <c r="AR82" s="4">
        <f ca="1">ROUND(T_Tiktok_ads[[#This Row],[likes]]*RANDBETWEEN(8,12)/10,0)</f>
        <v>7710</v>
      </c>
      <c r="AS82" s="4">
        <f ca="1">ROUND(T_Tiktok_ads[[#This Row],[shares]]*RANDBETWEEN(8,12)/10,0)</f>
        <v>2345</v>
      </c>
      <c r="AT82" s="4">
        <f ca="1">ROUND(T_Tiktok_ads[[#This Row],[comments]]*RANDBETWEEN(8,12)/10,0)</f>
        <v>624</v>
      </c>
      <c r="AV82" s="5">
        <f t="shared" ca="1" si="12"/>
        <v>45027</v>
      </c>
      <c r="AW82">
        <f t="shared" ca="1" si="13"/>
        <v>5</v>
      </c>
      <c r="AX82">
        <f ca="1">ROUND(T_Facebook_Ads11596367[[#This Row],[impressions]]*RANDBETWEEN(8,12)/10,0)</f>
        <v>29965</v>
      </c>
      <c r="AY82">
        <f ca="1">ROUND(T_Facebook_Ads11596367[[#This Row],[clicks]]*RANDBETWEEN(8,12)/10,0)</f>
        <v>1667</v>
      </c>
      <c r="AZ82">
        <f ca="1">T_Facebook_Ads11596367[[#This Row],[spend]]*RANDBETWEEN(8,12)/10</f>
        <v>213.4</v>
      </c>
      <c r="BA82">
        <f ca="1">ROUND(T_Facebook_Ads11596367[[#This Row],[conversions]]*RANDBETWEEN(8,12)/10,0)</f>
        <v>29</v>
      </c>
      <c r="BB82">
        <f ca="1">ROUND(T_Facebook_Ads11596367[[#This Row],[video_views]]*RANDBETWEEN(8,12)/10,0)</f>
        <v>4401</v>
      </c>
    </row>
    <row r="83" spans="1:54" ht="15.75" thickBot="1" x14ac:dyDescent="0.3">
      <c r="A83" s="3">
        <f t="shared" ca="1" si="9"/>
        <v>45026</v>
      </c>
      <c r="B83" s="4" t="s">
        <v>64</v>
      </c>
      <c r="C83" s="4" t="s">
        <v>65</v>
      </c>
      <c r="D83" s="4" t="s">
        <v>66</v>
      </c>
      <c r="E83" s="4" t="s">
        <v>67</v>
      </c>
      <c r="F83" s="4">
        <f ca="1">ROUND(T_Facebook_Ads[[#This Row],[impressions]]*RANDBETWEEN(8,12)/10,0)</f>
        <v>71234</v>
      </c>
      <c r="G83" s="4">
        <v>256</v>
      </c>
      <c r="H83" s="4">
        <f ca="1">T_Facebook_Ads[[#This Row],[spend]]*RANDBETWEEN(8,12)/10</f>
        <v>72.400000000000006</v>
      </c>
      <c r="I83" s="4">
        <f ca="1">ROUND(T_Facebook_Ads[[#This Row],[conversions]]*RANDBETWEEN(8,12)/10,0)</f>
        <v>5</v>
      </c>
      <c r="J83" s="4">
        <f ca="1">ROUND(T_Facebook_Ads[[#This Row],[video_views]]*RANDBETWEEN(8,12)/10,0)</f>
        <v>43311</v>
      </c>
      <c r="K83" s="4">
        <f ca="1">T_Facebook_Ads[[#This Row],[engagement_rate]]*RANDBETWEEN(8,12)/10</f>
        <v>3.5999999999999999E-3</v>
      </c>
      <c r="L83" s="4">
        <f ca="1">ROUND(T_Facebook_Ads[[#This Row],[reach]]*RANDBETWEEN(8,12)/10,0)</f>
        <v>46854</v>
      </c>
      <c r="M83" s="4">
        <f ca="1">T_Facebook_Ads[[#This Row],[frequency]]*RANDBETWEEN(8,12)/10</f>
        <v>0.97599999999999998</v>
      </c>
      <c r="O83" s="3">
        <f t="shared" ca="1" si="10"/>
        <v>45022</v>
      </c>
      <c r="P83" s="4" t="s">
        <v>88</v>
      </c>
      <c r="Q83" s="4" t="s">
        <v>89</v>
      </c>
      <c r="R83" s="4" t="s">
        <v>90</v>
      </c>
      <c r="S83" s="4" t="s">
        <v>59</v>
      </c>
      <c r="T83" s="4">
        <f ca="1">ROUND(_Google_ads[[#This Row],[impressions]]*RANDBETWEEN(8,12)/10,0)</f>
        <v>133456</v>
      </c>
      <c r="U83" s="4">
        <f ca="1">ROUND(_Google_ads[[#This Row],[clicks]]*RANDBETWEEN(8,12)/10,0)</f>
        <v>440</v>
      </c>
      <c r="V83" s="4">
        <f ca="1">_Google_ads[[#This Row],[cost]]*RANDBETWEEN(8,12)/10</f>
        <v>157.44</v>
      </c>
      <c r="W83" s="4">
        <f ca="1">ROUND(_Google_ads[[#This Row],[conversions]]*RANDBETWEEN(8,12)/10,0)</f>
        <v>11</v>
      </c>
      <c r="X83" s="4">
        <f ca="1">ROUND(_Google_ads[[#This Row],[conversion_value]]*RANDBETWEEN(8,12)/10,0)</f>
        <v>560</v>
      </c>
      <c r="Y83" s="4">
        <f ca="1">_Google_ads[[#This Row],[ctr]]*RANDBETWEEN(8,12)/10</f>
        <v>3.7000000000000006E-3</v>
      </c>
      <c r="Z83" s="4">
        <f ca="1">_Google_ads[[#This Row],[avg_cpc]]*RANDBETWEEN(8,12)/10</f>
        <v>0.21600000000000003</v>
      </c>
      <c r="AA83" s="4">
        <f ca="1">ROUND(_Google_ads[[#This Row],[quality_score]]*RANDBETWEEN(8,12)/10,0)</f>
        <v>8</v>
      </c>
      <c r="AB83" s="4">
        <f ca="1">_Google_ads[[#This Row],[search_impression_share]]*RANDBETWEEN(8,12)/10</f>
        <v>0.41999999999999993</v>
      </c>
      <c r="AD83" s="3">
        <f t="shared" ca="1" si="11"/>
        <v>45040</v>
      </c>
      <c r="AE83" s="4" t="s">
        <v>112</v>
      </c>
      <c r="AF83" s="4" t="s">
        <v>113</v>
      </c>
      <c r="AG83" s="4" t="s">
        <v>114</v>
      </c>
      <c r="AH83" s="4" t="s">
        <v>115</v>
      </c>
      <c r="AI83" s="4">
        <f ca="1">ROUND(T_Tiktok_ads[[#This Row],[impressions]]*RANDBETWEEN(8,12)/10,0)</f>
        <v>423456</v>
      </c>
      <c r="AJ83" s="4">
        <f ca="1">ROUND(T_Tiktok_ads[[#This Row],[clicks]]*RANDBETWEEN(8,12)/10,0)</f>
        <v>6201</v>
      </c>
      <c r="AK83" s="4">
        <v>1056.8</v>
      </c>
      <c r="AL83" s="4">
        <f ca="1">ROUND(T_Tiktok_ads[[#This Row],[conversions]]*RANDBETWEEN(8,12)/10,0)</f>
        <v>118</v>
      </c>
      <c r="AM83" s="4">
        <f ca="1">ROUND(T_Tiktok_ads[[#This Row],[video_views]]*RANDBETWEEN(8,12)/10,0)</f>
        <v>321110</v>
      </c>
      <c r="AN83" s="4">
        <f ca="1">ROUND(T_Tiktok_ads[[#This Row],[video_watch_25]]*RANDBETWEEN(8,12)/10,0)</f>
        <v>289234</v>
      </c>
      <c r="AO83" s="4">
        <f ca="1">ROUND(T_Tiktok_ads[[#This Row],[video_watch_50]]*RANDBETWEEN(8,12)/10,0)</f>
        <v>208310</v>
      </c>
      <c r="AP83" s="4">
        <f ca="1">ROUND(T_Tiktok_ads[[#This Row],[video_watch_75]]*RANDBETWEEN(8,12)/10,0)</f>
        <v>197480</v>
      </c>
      <c r="AQ83" s="4">
        <f ca="1">ROUND(T_Tiktok_ads[[#This Row],[video_watch_100]]*RANDBETWEEN(8,12)/10,0)</f>
        <v>109234</v>
      </c>
      <c r="AR83" s="4">
        <f ca="1">ROUND(T_Tiktok_ads[[#This Row],[likes]]*RANDBETWEEN(8,12)/10,0)</f>
        <v>17001</v>
      </c>
      <c r="AS83" s="4">
        <f ca="1">ROUND(T_Tiktok_ads[[#This Row],[shares]]*RANDBETWEEN(8,12)/10,0)</f>
        <v>4365</v>
      </c>
      <c r="AT83" s="4">
        <f ca="1">ROUND(T_Tiktok_ads[[#This Row],[comments]]*RANDBETWEEN(8,12)/10,0)</f>
        <v>1787</v>
      </c>
      <c r="AV83" s="5">
        <f t="shared" ca="1" si="12"/>
        <v>45045</v>
      </c>
      <c r="AW83">
        <f t="shared" ca="1" si="13"/>
        <v>1</v>
      </c>
      <c r="AX83">
        <f ca="1">ROUND(T_Facebook_Ads11596367[[#This Row],[impressions]]*RANDBETWEEN(8,12)/10,0)</f>
        <v>78357</v>
      </c>
      <c r="AY83">
        <f ca="1">ROUND(T_Facebook_Ads11596367[[#This Row],[clicks]]*RANDBETWEEN(8,12)/10,0)</f>
        <v>256</v>
      </c>
      <c r="AZ83">
        <f ca="1">T_Facebook_Ads11596367[[#This Row],[spend]]*RANDBETWEEN(8,12)/10</f>
        <v>65.16</v>
      </c>
      <c r="BA83">
        <f ca="1">ROUND(T_Facebook_Ads11596367[[#This Row],[conversions]]*RANDBETWEEN(8,12)/10,0)</f>
        <v>5</v>
      </c>
      <c r="BB83">
        <f ca="1">ROUND(T_Facebook_Ads11596367[[#This Row],[video_views]]*RANDBETWEEN(8,12)/10,0)</f>
        <v>38980</v>
      </c>
    </row>
    <row r="84" spans="1:54" ht="15.75" thickBot="1" x14ac:dyDescent="0.3">
      <c r="A84" s="3">
        <f t="shared" ca="1" si="9"/>
        <v>45028</v>
      </c>
      <c r="B84" s="4" t="s">
        <v>52</v>
      </c>
      <c r="C84" s="4" t="s">
        <v>53</v>
      </c>
      <c r="D84" s="4" t="s">
        <v>54</v>
      </c>
      <c r="E84" s="4" t="s">
        <v>55</v>
      </c>
      <c r="F84" s="4">
        <f ca="1">ROUND(T_Facebook_Ads[[#This Row],[impressions]]*RANDBETWEEN(8,12)/10,0)</f>
        <v>46111</v>
      </c>
      <c r="G84" s="4">
        <v>1067</v>
      </c>
      <c r="H84" s="4">
        <f ca="1">T_Facebook_Ads[[#This Row],[spend]]*RANDBETWEEN(8,12)/10</f>
        <v>164.67</v>
      </c>
      <c r="I84" s="4">
        <f ca="1">ROUND(T_Facebook_Ads[[#This Row],[conversions]]*RANDBETWEEN(8,12)/10,0)</f>
        <v>15</v>
      </c>
      <c r="J84" s="4">
        <f ca="1">ROUND(T_Facebook_Ads[[#This Row],[video_views]]*RANDBETWEEN(8,12)/10,0)</f>
        <v>11081</v>
      </c>
      <c r="K84" s="4">
        <f ca="1">T_Facebook_Ads[[#This Row],[engagement_rate]]*RANDBETWEEN(8,12)/10</f>
        <v>1.8719999999999997E-2</v>
      </c>
      <c r="L84" s="4">
        <f ca="1">ROUND(T_Facebook_Ads[[#This Row],[reach]]*RANDBETWEEN(8,12)/10,0)</f>
        <v>34054</v>
      </c>
      <c r="M84" s="4">
        <f ca="1">T_Facebook_Ads[[#This Row],[frequency]]*RANDBETWEEN(8,12)/10</f>
        <v>1.2</v>
      </c>
      <c r="O84" s="3">
        <f t="shared" ca="1" si="10"/>
        <v>45029</v>
      </c>
      <c r="P84" s="4" t="s">
        <v>76</v>
      </c>
      <c r="Q84" s="4" t="s">
        <v>77</v>
      </c>
      <c r="R84" s="4" t="s">
        <v>78</v>
      </c>
      <c r="S84" s="4" t="s">
        <v>79</v>
      </c>
      <c r="T84" s="4">
        <f ca="1">ROUND(_Google_ads[[#This Row],[impressions]]*RANDBETWEEN(8,12)/10,0)</f>
        <v>29835</v>
      </c>
      <c r="U84" s="4">
        <f ca="1">ROUND(_Google_ads[[#This Row],[clicks]]*RANDBETWEEN(8,12)/10,0)</f>
        <v>1147</v>
      </c>
      <c r="V84" s="4">
        <f ca="1">_Google_ads[[#This Row],[cost]]*RANDBETWEEN(8,12)/10</f>
        <v>301.73</v>
      </c>
      <c r="W84" s="4">
        <f ca="1">ROUND(_Google_ads[[#This Row],[conversions]]*RANDBETWEEN(8,12)/10,0)</f>
        <v>61</v>
      </c>
      <c r="X84" s="4">
        <f ca="1">ROUND(_Google_ads[[#This Row],[conversion_value]]*RANDBETWEEN(8,12)/10,0)</f>
        <v>2200</v>
      </c>
      <c r="Y84" s="4">
        <f ca="1">_Google_ads[[#This Row],[ctr]]*RANDBETWEEN(8,12)/10</f>
        <v>4.2320000000000003E-2</v>
      </c>
      <c r="Z84" s="4">
        <f ca="1">_Google_ads[[#This Row],[avg_cpc]]*RANDBETWEEN(8,12)/10</f>
        <v>0.20899999999999999</v>
      </c>
      <c r="AA84" s="4">
        <f ca="1">ROUND(_Google_ads[[#This Row],[quality_score]]*RANDBETWEEN(8,12)/10,0)</f>
        <v>9</v>
      </c>
      <c r="AB84" s="4">
        <f ca="1">_Google_ads[[#This Row],[search_impression_share]]*RANDBETWEEN(8,12)/10</f>
        <v>1.1160000000000001</v>
      </c>
      <c r="AD84" s="3">
        <f t="shared" ca="1" si="11"/>
        <v>45039</v>
      </c>
      <c r="AE84" s="4" t="s">
        <v>100</v>
      </c>
      <c r="AF84" s="4" t="s">
        <v>101</v>
      </c>
      <c r="AG84" s="4" t="s">
        <v>102</v>
      </c>
      <c r="AH84" s="4" t="s">
        <v>103</v>
      </c>
      <c r="AI84" s="4">
        <f ca="1">ROUND(T_Tiktok_ads[[#This Row],[impressions]]*RANDBETWEEN(8,12)/10,0)</f>
        <v>312345</v>
      </c>
      <c r="AJ84" s="4">
        <f ca="1">ROUND(T_Tiktok_ads[[#This Row],[clicks]]*RANDBETWEEN(8,12)/10,0)</f>
        <v>4110</v>
      </c>
      <c r="AK84" s="4">
        <v>623.4</v>
      </c>
      <c r="AL84" s="4">
        <f ca="1">ROUND(T_Tiktok_ads[[#This Row],[conversions]]*RANDBETWEEN(8,12)/10,0)</f>
        <v>38</v>
      </c>
      <c r="AM84" s="4">
        <f ca="1">ROUND(T_Tiktok_ads[[#This Row],[video_views]]*RANDBETWEEN(8,12)/10,0)</f>
        <v>205431</v>
      </c>
      <c r="AN84" s="4">
        <f ca="1">ROUND(T_Tiktok_ads[[#This Row],[video_watch_25]]*RANDBETWEEN(8,12)/10,0)</f>
        <v>160187</v>
      </c>
      <c r="AO84" s="4">
        <f ca="1">ROUND(T_Tiktok_ads[[#This Row],[video_watch_50]]*RANDBETWEEN(8,12)/10,0)</f>
        <v>113110</v>
      </c>
      <c r="AP84" s="4">
        <f ca="1">ROUND(T_Tiktok_ads[[#This Row],[video_watch_75]]*RANDBETWEEN(8,12)/10,0)</f>
        <v>101480</v>
      </c>
      <c r="AQ84" s="4">
        <f ca="1">ROUND(T_Tiktok_ads[[#This Row],[video_watch_100]]*RANDBETWEEN(8,12)/10,0)</f>
        <v>56234</v>
      </c>
      <c r="AR84" s="4">
        <f ca="1">ROUND(T_Tiktok_ads[[#This Row],[likes]]*RANDBETWEEN(8,12)/10,0)</f>
        <v>11234</v>
      </c>
      <c r="AS84" s="4">
        <f ca="1">ROUND(T_Tiktok_ads[[#This Row],[shares]]*RANDBETWEEN(8,12)/10,0)</f>
        <v>3313</v>
      </c>
      <c r="AT84" s="4">
        <f ca="1">ROUND(T_Tiktok_ads[[#This Row],[comments]]*RANDBETWEEN(8,12)/10,0)</f>
        <v>795</v>
      </c>
      <c r="AV84" s="5">
        <f t="shared" ca="1" si="12"/>
        <v>45025</v>
      </c>
      <c r="AW84">
        <f t="shared" ca="1" si="13"/>
        <v>5</v>
      </c>
      <c r="AX84">
        <f ca="1">ROUND(T_Facebook_Ads11596367[[#This Row],[impressions]]*RANDBETWEEN(8,12)/10,0)</f>
        <v>50722</v>
      </c>
      <c r="AY84">
        <f ca="1">ROUND(T_Facebook_Ads11596367[[#This Row],[clicks]]*RANDBETWEEN(8,12)/10,0)</f>
        <v>960</v>
      </c>
      <c r="AZ84">
        <f ca="1">T_Facebook_Ads11596367[[#This Row],[spend]]*RANDBETWEEN(8,12)/10</f>
        <v>181.137</v>
      </c>
      <c r="BA84">
        <f ca="1">ROUND(T_Facebook_Ads11596367[[#This Row],[conversions]]*RANDBETWEEN(8,12)/10,0)</f>
        <v>15</v>
      </c>
      <c r="BB84">
        <f ca="1">ROUND(T_Facebook_Ads11596367[[#This Row],[video_views]]*RANDBETWEEN(8,12)/10,0)</f>
        <v>12189</v>
      </c>
    </row>
    <row r="85" spans="1:54" ht="15.75" thickBot="1" x14ac:dyDescent="0.3">
      <c r="A85" s="3">
        <f t="shared" ca="1" si="9"/>
        <v>45030</v>
      </c>
      <c r="B85" s="4" t="s">
        <v>56</v>
      </c>
      <c r="C85" s="4" t="s">
        <v>57</v>
      </c>
      <c r="D85" s="4" t="s">
        <v>58</v>
      </c>
      <c r="E85" s="4" t="s">
        <v>59</v>
      </c>
      <c r="F85" s="4">
        <f ca="1">ROUND(T_Facebook_Ads[[#This Row],[impressions]]*RANDBETWEEN(8,12)/10,0)</f>
        <v>13401</v>
      </c>
      <c r="G85" s="4">
        <v>712</v>
      </c>
      <c r="H85" s="4">
        <f ca="1">T_Facebook_Ads[[#This Row],[spend]]*RANDBETWEEN(8,12)/10</f>
        <v>301.91999999999996</v>
      </c>
      <c r="I85" s="4">
        <f ca="1">ROUND(T_Facebook_Ads[[#This Row],[conversions]]*RANDBETWEEN(8,12)/10,0)</f>
        <v>39</v>
      </c>
      <c r="J85" s="4">
        <f ca="1">ROUND(T_Facebook_Ads[[#This Row],[video_views]]*RANDBETWEEN(8,12)/10,0)</f>
        <v>1262</v>
      </c>
      <c r="K85" s="4">
        <f ca="1">T_Facebook_Ads[[#This Row],[engagement_rate]]*RANDBETWEEN(8,12)/10</f>
        <v>3.8240000000000003E-2</v>
      </c>
      <c r="L85" s="4">
        <f ca="1">ROUND(T_Facebook_Ads[[#This Row],[reach]]*RANDBETWEEN(8,12)/10,0)</f>
        <v>12969</v>
      </c>
      <c r="M85" s="4">
        <f ca="1">T_Facebook_Ads[[#This Row],[frequency]]*RANDBETWEEN(8,12)/10</f>
        <v>1.512</v>
      </c>
      <c r="O85" s="3">
        <f t="shared" ca="1" si="10"/>
        <v>45030</v>
      </c>
      <c r="P85" s="4" t="s">
        <v>80</v>
      </c>
      <c r="Q85" s="4" t="s">
        <v>81</v>
      </c>
      <c r="R85" s="4" t="s">
        <v>82</v>
      </c>
      <c r="S85" s="4" t="s">
        <v>83</v>
      </c>
      <c r="T85" s="4">
        <f ca="1">ROUND(_Google_ads[[#This Row],[impressions]]*RANDBETWEEN(8,12)/10,0)</f>
        <v>38312</v>
      </c>
      <c r="U85" s="4">
        <f ca="1">ROUND(_Google_ads[[#This Row],[clicks]]*RANDBETWEEN(8,12)/10,0)</f>
        <v>880</v>
      </c>
      <c r="V85" s="4">
        <f ca="1">_Google_ads[[#This Row],[cost]]*RANDBETWEEN(8,12)/10</f>
        <v>552.15</v>
      </c>
      <c r="W85" s="4">
        <f ca="1">ROUND(_Google_ads[[#This Row],[conversions]]*RANDBETWEEN(8,12)/10,0)</f>
        <v>31</v>
      </c>
      <c r="X85" s="4">
        <f ca="1">ROUND(_Google_ads[[#This Row],[conversion_value]]*RANDBETWEEN(8,12)/10,0)</f>
        <v>1040</v>
      </c>
      <c r="Y85" s="4">
        <f ca="1">_Google_ads[[#This Row],[ctr]]*RANDBETWEEN(8,12)/10</f>
        <v>1.6320000000000001E-2</v>
      </c>
      <c r="Z85" s="4">
        <f ca="1">_Google_ads[[#This Row],[avg_cpc]]*RANDBETWEEN(8,12)/10</f>
        <v>0.504</v>
      </c>
      <c r="AA85" s="4">
        <f ca="1">ROUND(_Google_ads[[#This Row],[quality_score]]*RANDBETWEEN(8,12)/10,0)</f>
        <v>8</v>
      </c>
      <c r="AB85" s="4">
        <f ca="1">_Google_ads[[#This Row],[search_impression_share]]*RANDBETWEEN(8,12)/10</f>
        <v>0.36799999999999999</v>
      </c>
      <c r="AD85" s="3">
        <f t="shared" ca="1" si="11"/>
        <v>45026</v>
      </c>
      <c r="AE85" s="4" t="s">
        <v>104</v>
      </c>
      <c r="AF85" s="4" t="s">
        <v>105</v>
      </c>
      <c r="AG85" s="4" t="s">
        <v>106</v>
      </c>
      <c r="AH85" s="4" t="s">
        <v>107</v>
      </c>
      <c r="AI85" s="4">
        <f ca="1">ROUND(T_Tiktok_ads[[#This Row],[impressions]]*RANDBETWEEN(8,12)/10,0)</f>
        <v>172345</v>
      </c>
      <c r="AJ85" s="4">
        <f ca="1">ROUND(T_Tiktok_ads[[#This Row],[clicks]]*RANDBETWEEN(8,12)/10,0)</f>
        <v>3345</v>
      </c>
      <c r="AK85" s="4">
        <v>867.9</v>
      </c>
      <c r="AL85" s="4">
        <f ca="1">ROUND(T_Tiktok_ads[[#This Row],[conversions]]*RANDBETWEEN(8,12)/10,0)</f>
        <v>70</v>
      </c>
      <c r="AM85" s="4">
        <f ca="1">ROUND(T_Tiktok_ads[[#This Row],[video_views]]*RANDBETWEEN(8,12)/10,0)</f>
        <v>148147</v>
      </c>
      <c r="AN85" s="4">
        <f ca="1">ROUND(T_Tiktok_ads[[#This Row],[video_watch_25]]*RANDBETWEEN(8,12)/10,0)</f>
        <v>100357</v>
      </c>
      <c r="AO85" s="4">
        <f ca="1">ROUND(T_Tiktok_ads[[#This Row],[video_watch_50]]*RANDBETWEEN(8,12)/10,0)</f>
        <v>49254</v>
      </c>
      <c r="AP85" s="4">
        <f ca="1">ROUND(T_Tiktok_ads[[#This Row],[video_watch_75]]*RANDBETWEEN(8,12)/10,0)</f>
        <v>41611</v>
      </c>
      <c r="AQ85" s="4">
        <f ca="1">ROUND(T_Tiktok_ads[[#This Row],[video_watch_100]]*RANDBETWEEN(8,12)/10,0)</f>
        <v>24631</v>
      </c>
      <c r="AR85" s="4">
        <f ca="1">ROUND(T_Tiktok_ads[[#This Row],[likes]]*RANDBETWEEN(8,12)/10,0)</f>
        <v>4712</v>
      </c>
      <c r="AS85" s="4">
        <f ca="1">ROUND(T_Tiktok_ads[[#This Row],[shares]]*RANDBETWEEN(8,12)/10,0)</f>
        <v>1678</v>
      </c>
      <c r="AT85" s="4">
        <f ca="1">ROUND(T_Tiktok_ads[[#This Row],[comments]]*RANDBETWEEN(8,12)/10,0)</f>
        <v>301</v>
      </c>
      <c r="AV85" s="5">
        <f t="shared" ca="1" si="12"/>
        <v>45033</v>
      </c>
      <c r="AW85">
        <f t="shared" ca="1" si="13"/>
        <v>3</v>
      </c>
      <c r="AX85">
        <f ca="1">ROUND(T_Facebook_Ads11596367[[#This Row],[impressions]]*RANDBETWEEN(8,12)/10,0)</f>
        <v>10721</v>
      </c>
      <c r="AY85">
        <f ca="1">ROUND(T_Facebook_Ads11596367[[#This Row],[clicks]]*RANDBETWEEN(8,12)/10,0)</f>
        <v>783</v>
      </c>
      <c r="AZ85">
        <f ca="1">T_Facebook_Ads11596367[[#This Row],[spend]]*RANDBETWEEN(8,12)/10</f>
        <v>271.72799999999995</v>
      </c>
      <c r="BA85">
        <f ca="1">ROUND(T_Facebook_Ads11596367[[#This Row],[conversions]]*RANDBETWEEN(8,12)/10,0)</f>
        <v>43</v>
      </c>
      <c r="BB85">
        <f ca="1">ROUND(T_Facebook_Ads11596367[[#This Row],[video_views]]*RANDBETWEEN(8,12)/10,0)</f>
        <v>1136</v>
      </c>
    </row>
    <row r="86" spans="1:54" ht="15.75" thickBot="1" x14ac:dyDescent="0.3">
      <c r="A86" s="3">
        <f t="shared" ca="1" si="9"/>
        <v>45044</v>
      </c>
      <c r="B86" s="4" t="s">
        <v>60</v>
      </c>
      <c r="C86" s="4" t="s">
        <v>61</v>
      </c>
      <c r="D86" s="4" t="s">
        <v>62</v>
      </c>
      <c r="E86" s="4" t="s">
        <v>63</v>
      </c>
      <c r="F86" s="4">
        <f ca="1">ROUND(T_Facebook_Ads[[#This Row],[impressions]]*RANDBETWEEN(8,12)/10,0)</f>
        <v>47081</v>
      </c>
      <c r="G86" s="4">
        <v>1489</v>
      </c>
      <c r="H86" s="4">
        <f ca="1">T_Facebook_Ads[[#This Row],[spend]]*RANDBETWEEN(8,12)/10</f>
        <v>273.48</v>
      </c>
      <c r="I86" s="4">
        <f ca="1">ROUND(T_Facebook_Ads[[#This Row],[conversions]]*RANDBETWEEN(8,12)/10,0)</f>
        <v>35</v>
      </c>
      <c r="J86" s="4">
        <f ca="1">ROUND(T_Facebook_Ads[[#This Row],[video_views]]*RANDBETWEEN(8,12)/10,0)</f>
        <v>6281</v>
      </c>
      <c r="K86" s="4">
        <f ca="1">T_Facebook_Ads[[#This Row],[engagement_rate]]*RANDBETWEEN(8,12)/10</f>
        <v>4.1690000000000005E-2</v>
      </c>
      <c r="L86" s="4">
        <f ca="1">ROUND(T_Facebook_Ads[[#This Row],[reach]]*RANDBETWEEN(8,12)/10,0)</f>
        <v>28911</v>
      </c>
      <c r="M86" s="4">
        <f ca="1">T_Facebook_Ads[[#This Row],[frequency]]*RANDBETWEEN(8,12)/10</f>
        <v>1.22</v>
      </c>
      <c r="O86" s="3">
        <f t="shared" ca="1" si="10"/>
        <v>45035</v>
      </c>
      <c r="P86" s="4" t="s">
        <v>84</v>
      </c>
      <c r="Q86" s="4" t="s">
        <v>85</v>
      </c>
      <c r="R86" s="4" t="s">
        <v>86</v>
      </c>
      <c r="S86" s="4" t="s">
        <v>87</v>
      </c>
      <c r="T86" s="4">
        <f ca="1">ROUND(_Google_ads[[#This Row],[impressions]]*RANDBETWEEN(8,12)/10,0)</f>
        <v>66110</v>
      </c>
      <c r="U86" s="4">
        <f ca="1">ROUND(_Google_ads[[#This Row],[clicks]]*RANDBETWEEN(8,12)/10,0)</f>
        <v>2751</v>
      </c>
      <c r="V86" s="4">
        <f ca="1">_Google_ads[[#This Row],[cost]]*RANDBETWEEN(8,12)/10</f>
        <v>502.37</v>
      </c>
      <c r="W86" s="4">
        <f ca="1">ROUND(_Google_ads[[#This Row],[conversions]]*RANDBETWEEN(8,12)/10,0)</f>
        <v>80</v>
      </c>
      <c r="X86" s="4">
        <f ca="1">ROUND(_Google_ads[[#This Row],[conversion_value]]*RANDBETWEEN(8,12)/10,0)</f>
        <v>2920</v>
      </c>
      <c r="Y86" s="4">
        <f ca="1">_Google_ads[[#This Row],[ctr]]*RANDBETWEEN(8,12)/10</f>
        <v>3.4000000000000002E-2</v>
      </c>
      <c r="Z86" s="4">
        <f ca="1">_Google_ads[[#This Row],[avg_cpc]]*RANDBETWEEN(8,12)/10</f>
        <v>0.21600000000000003</v>
      </c>
      <c r="AA86" s="4">
        <f ca="1">ROUND(_Google_ads[[#This Row],[quality_score]]*RANDBETWEEN(8,12)/10,0)</f>
        <v>7</v>
      </c>
      <c r="AB86" s="4">
        <f ca="1">_Google_ads[[#This Row],[search_impression_share]]*RANDBETWEEN(8,12)/10</f>
        <v>0.55199999999999994</v>
      </c>
      <c r="AD86" s="3">
        <f t="shared" ca="1" si="11"/>
        <v>45031</v>
      </c>
      <c r="AE86" s="4" t="s">
        <v>108</v>
      </c>
      <c r="AF86" s="4" t="s">
        <v>109</v>
      </c>
      <c r="AG86" s="4" t="s">
        <v>110</v>
      </c>
      <c r="AH86" s="4" t="s">
        <v>111</v>
      </c>
      <c r="AI86" s="4">
        <f ca="1">ROUND(T_Tiktok_ads[[#This Row],[impressions]]*RANDBETWEEN(8,12)/10,0)</f>
        <v>294679</v>
      </c>
      <c r="AJ86" s="4">
        <f ca="1">ROUND(T_Tiktok_ads[[#This Row],[clicks]]*RANDBETWEEN(8,12)/10,0)</f>
        <v>3711</v>
      </c>
      <c r="AK86" s="4">
        <v>512.6</v>
      </c>
      <c r="AL86" s="4">
        <f ca="1">ROUND(T_Tiktok_ads[[#This Row],[conversions]]*RANDBETWEEN(8,12)/10,0)</f>
        <v>37</v>
      </c>
      <c r="AM86" s="4">
        <f ca="1">ROUND(T_Tiktok_ads[[#This Row],[video_views]]*RANDBETWEEN(8,12)/10,0)</f>
        <v>254814</v>
      </c>
      <c r="AN86" s="4">
        <f ca="1">ROUND(T_Tiktok_ads[[#This Row],[video_watch_25]]*RANDBETWEEN(8,12)/10,0)</f>
        <v>144211</v>
      </c>
      <c r="AO86" s="4">
        <f ca="1">ROUND(T_Tiktok_ads[[#This Row],[video_watch_50]]*RANDBETWEEN(8,12)/10,0)</f>
        <v>101431</v>
      </c>
      <c r="AP86" s="4">
        <f ca="1">ROUND(T_Tiktok_ads[[#This Row],[video_watch_75]]*RANDBETWEEN(8,12)/10,0)</f>
        <v>64987</v>
      </c>
      <c r="AQ86" s="4">
        <f ca="1">ROUND(T_Tiktok_ads[[#This Row],[video_watch_100]]*RANDBETWEEN(8,12)/10,0)</f>
        <v>39387</v>
      </c>
      <c r="AR86" s="4">
        <f ca="1">ROUND(T_Tiktok_ads[[#This Row],[likes]]*RANDBETWEEN(8,12)/10,0)</f>
        <v>8211</v>
      </c>
      <c r="AS86" s="4">
        <f ca="1">ROUND(T_Tiktok_ads[[#This Row],[shares]]*RANDBETWEEN(8,12)/10,0)</f>
        <v>2567</v>
      </c>
      <c r="AT86" s="4">
        <f ca="1">ROUND(T_Tiktok_ads[[#This Row],[comments]]*RANDBETWEEN(8,12)/10,0)</f>
        <v>673</v>
      </c>
      <c r="AV86" s="5">
        <f t="shared" ca="1" si="12"/>
        <v>45039</v>
      </c>
      <c r="AW86">
        <f t="shared" ca="1" si="13"/>
        <v>1</v>
      </c>
      <c r="AX86">
        <f ca="1">ROUND(T_Facebook_Ads11596367[[#This Row],[impressions]]*RANDBETWEEN(8,12)/10,0)</f>
        <v>51789</v>
      </c>
      <c r="AY86">
        <f ca="1">ROUND(T_Facebook_Ads11596367[[#This Row],[clicks]]*RANDBETWEEN(8,12)/10,0)</f>
        <v>1638</v>
      </c>
      <c r="AZ86">
        <f ca="1">T_Facebook_Ads11596367[[#This Row],[spend]]*RANDBETWEEN(8,12)/10</f>
        <v>273.48</v>
      </c>
      <c r="BA86">
        <f ca="1">ROUND(T_Facebook_Ads11596367[[#This Row],[conversions]]*RANDBETWEEN(8,12)/10,0)</f>
        <v>42</v>
      </c>
      <c r="BB86">
        <f ca="1">ROUND(T_Facebook_Ads11596367[[#This Row],[video_views]]*RANDBETWEEN(8,12)/10,0)</f>
        <v>6909</v>
      </c>
    </row>
    <row r="87" spans="1:54" ht="15.75" thickBot="1" x14ac:dyDescent="0.3">
      <c r="A87" s="3">
        <f t="shared" ca="1" si="9"/>
        <v>45022</v>
      </c>
      <c r="B87" s="4" t="s">
        <v>64</v>
      </c>
      <c r="C87" s="4" t="s">
        <v>65</v>
      </c>
      <c r="D87" s="4" t="s">
        <v>66</v>
      </c>
      <c r="E87" s="4" t="s">
        <v>67</v>
      </c>
      <c r="F87" s="4">
        <f ca="1">ROUND(T_Facebook_Ads[[#This Row],[impressions]]*RANDBETWEEN(8,12)/10,0)</f>
        <v>59654</v>
      </c>
      <c r="G87" s="4">
        <v>267</v>
      </c>
      <c r="H87" s="4">
        <f ca="1">T_Facebook_Ads[[#This Row],[spend]]*RANDBETWEEN(8,12)/10</f>
        <v>105.38</v>
      </c>
      <c r="I87" s="4">
        <f ca="1">ROUND(T_Facebook_Ads[[#This Row],[conversions]]*RANDBETWEEN(8,12)/10,0)</f>
        <v>7</v>
      </c>
      <c r="J87" s="4">
        <f ca="1">ROUND(T_Facebook_Ads[[#This Row],[video_views]]*RANDBETWEEN(8,12)/10,0)</f>
        <v>55257</v>
      </c>
      <c r="K87" s="4">
        <f ca="1">T_Facebook_Ads[[#This Row],[engagement_rate]]*RANDBETWEEN(8,12)/10</f>
        <v>3.96E-3</v>
      </c>
      <c r="L87" s="4">
        <f ca="1">ROUND(T_Facebook_Ads[[#This Row],[reach]]*RANDBETWEEN(8,12)/10,0)</f>
        <v>72947</v>
      </c>
      <c r="M87" s="4">
        <f ca="1">T_Facebook_Ads[[#This Row],[frequency]]*RANDBETWEEN(8,12)/10</f>
        <v>1.107</v>
      </c>
      <c r="O87" s="3">
        <f t="shared" ca="1" si="10"/>
        <v>45045</v>
      </c>
      <c r="P87" s="4" t="s">
        <v>88</v>
      </c>
      <c r="Q87" s="4" t="s">
        <v>89</v>
      </c>
      <c r="R87" s="4" t="s">
        <v>90</v>
      </c>
      <c r="S87" s="4" t="s">
        <v>59</v>
      </c>
      <c r="T87" s="4">
        <f ca="1">ROUND(_Google_ads[[#This Row],[impressions]]*RANDBETWEEN(8,12)/10,0)</f>
        <v>153157</v>
      </c>
      <c r="U87" s="4">
        <f ca="1">ROUND(_Google_ads[[#This Row],[clicks]]*RANDBETWEEN(8,12)/10,0)</f>
        <v>628</v>
      </c>
      <c r="V87" s="4">
        <f ca="1">_Google_ads[[#This Row],[cost]]*RANDBETWEEN(8,12)/10</f>
        <v>136.80000000000001</v>
      </c>
      <c r="W87" s="4">
        <f ca="1">ROUND(_Google_ads[[#This Row],[conversions]]*RANDBETWEEN(8,12)/10,0)</f>
        <v>12</v>
      </c>
      <c r="X87" s="4">
        <f ca="1">ROUND(_Google_ads[[#This Row],[conversion_value]]*RANDBETWEEN(8,12)/10,0)</f>
        <v>750</v>
      </c>
      <c r="Y87" s="4">
        <f ca="1">_Google_ads[[#This Row],[ctr]]*RANDBETWEEN(8,12)/10</f>
        <v>4.5599999999999998E-3</v>
      </c>
      <c r="Z87" s="4">
        <f ca="1">_Google_ads[[#This Row],[avg_cpc]]*RANDBETWEEN(8,12)/10</f>
        <v>0.26</v>
      </c>
      <c r="AA87" s="4">
        <f ca="1">ROUND(_Google_ads[[#This Row],[quality_score]]*RANDBETWEEN(8,12)/10,0)</f>
        <v>6</v>
      </c>
      <c r="AB87" s="4">
        <f ca="1">_Google_ads[[#This Row],[search_impression_share]]*RANDBETWEEN(8,12)/10</f>
        <v>0.32399999999999995</v>
      </c>
      <c r="AD87" s="3">
        <f t="shared" ca="1" si="11"/>
        <v>45022</v>
      </c>
      <c r="AE87" s="4" t="s">
        <v>112</v>
      </c>
      <c r="AF87" s="4" t="s">
        <v>113</v>
      </c>
      <c r="AG87" s="4" t="s">
        <v>114</v>
      </c>
      <c r="AH87" s="4" t="s">
        <v>115</v>
      </c>
      <c r="AI87" s="4">
        <f ca="1">ROUND(T_Tiktok_ads[[#This Row],[impressions]]*RANDBETWEEN(8,12)/10,0)</f>
        <v>365431</v>
      </c>
      <c r="AJ87" s="4">
        <f ca="1">ROUND(T_Tiktok_ads[[#This Row],[clicks]]*RANDBETWEEN(8,12)/10,0)</f>
        <v>8202</v>
      </c>
      <c r="AK87" s="4">
        <v>1167.8</v>
      </c>
      <c r="AL87" s="4">
        <f ca="1">ROUND(T_Tiktok_ads[[#This Row],[conversions]]*RANDBETWEEN(8,12)/10,0)</f>
        <v>130</v>
      </c>
      <c r="AM87" s="4">
        <f ca="1">ROUND(T_Tiktok_ads[[#This Row],[video_views]]*RANDBETWEEN(8,12)/10,0)</f>
        <v>389012</v>
      </c>
      <c r="AN87" s="4">
        <f ca="1">ROUND(T_Tiktok_ads[[#This Row],[video_watch_25]]*RANDBETWEEN(8,12)/10,0)</f>
        <v>281111</v>
      </c>
      <c r="AO87" s="4">
        <f ca="1">ROUND(T_Tiktok_ads[[#This Row],[video_watch_50]]*RANDBETWEEN(8,12)/10,0)</f>
        <v>249234</v>
      </c>
      <c r="AP87" s="4">
        <f ca="1">ROUND(T_Tiktok_ads[[#This Row],[video_watch_75]]*RANDBETWEEN(8,12)/10,0)</f>
        <v>177890</v>
      </c>
      <c r="AQ87" s="4">
        <f ca="1">ROUND(T_Tiktok_ads[[#This Row],[video_watch_100]]*RANDBETWEEN(8,12)/10,0)</f>
        <v>130057</v>
      </c>
      <c r="AR87" s="4">
        <f ca="1">ROUND(T_Tiktok_ads[[#This Row],[likes]]*RANDBETWEEN(8,12)/10,0)</f>
        <v>18211</v>
      </c>
      <c r="AS87" s="4">
        <f ca="1">ROUND(T_Tiktok_ads[[#This Row],[shares]]*RANDBETWEEN(8,12)/10,0)</f>
        <v>4730</v>
      </c>
      <c r="AT87" s="4">
        <f ca="1">ROUND(T_Tiktok_ads[[#This Row],[comments]]*RANDBETWEEN(8,12)/10,0)</f>
        <v>1298</v>
      </c>
      <c r="AV87" s="5">
        <f t="shared" ca="1" si="12"/>
        <v>45032</v>
      </c>
      <c r="AW87">
        <f t="shared" ca="1" si="13"/>
        <v>3</v>
      </c>
      <c r="AX87">
        <f ca="1">ROUND(T_Facebook_Ads11596367[[#This Row],[impressions]]*RANDBETWEEN(8,12)/10,0)</f>
        <v>71585</v>
      </c>
      <c r="AY87">
        <f ca="1">ROUND(T_Facebook_Ads11596367[[#This Row],[clicks]]*RANDBETWEEN(8,12)/10,0)</f>
        <v>267</v>
      </c>
      <c r="AZ87">
        <f ca="1">T_Facebook_Ads11596367[[#This Row],[spend]]*RANDBETWEEN(8,12)/10</f>
        <v>105.38</v>
      </c>
      <c r="BA87">
        <f ca="1">ROUND(T_Facebook_Ads11596367[[#This Row],[conversions]]*RANDBETWEEN(8,12)/10,0)</f>
        <v>7</v>
      </c>
      <c r="BB87">
        <f ca="1">ROUND(T_Facebook_Ads11596367[[#This Row],[video_views]]*RANDBETWEEN(8,12)/10,0)</f>
        <v>60783</v>
      </c>
    </row>
    <row r="88" spans="1:54" ht="15.75" thickBot="1" x14ac:dyDescent="0.3">
      <c r="A88" s="3">
        <f t="shared" ca="1" si="9"/>
        <v>45026</v>
      </c>
      <c r="B88" s="4" t="s">
        <v>52</v>
      </c>
      <c r="C88" s="4" t="s">
        <v>53</v>
      </c>
      <c r="D88" s="4" t="s">
        <v>54</v>
      </c>
      <c r="E88" s="4" t="s">
        <v>55</v>
      </c>
      <c r="F88" s="4">
        <f ca="1">ROUND(T_Facebook_Ads[[#This Row],[impressions]]*RANDBETWEEN(8,12)/10,0)</f>
        <v>63347</v>
      </c>
      <c r="G88" s="4">
        <v>1123</v>
      </c>
      <c r="H88" s="4">
        <f ca="1">T_Facebook_Ads[[#This Row],[spend]]*RANDBETWEEN(8,12)/10</f>
        <v>156.4</v>
      </c>
      <c r="I88" s="4">
        <f ca="1">ROUND(T_Facebook_Ads[[#This Row],[conversions]]*RANDBETWEEN(8,12)/10,0)</f>
        <v>22</v>
      </c>
      <c r="J88" s="4">
        <f ca="1">ROUND(T_Facebook_Ads[[#This Row],[video_views]]*RANDBETWEEN(8,12)/10,0)</f>
        <v>8610</v>
      </c>
      <c r="K88" s="4">
        <f ca="1">T_Facebook_Ads[[#This Row],[engagement_rate]]*RANDBETWEEN(8,12)/10</f>
        <v>2.3429999999999999E-2</v>
      </c>
      <c r="L88" s="4">
        <f ca="1">ROUND(T_Facebook_Ads[[#This Row],[reach]]*RANDBETWEEN(8,12)/10,0)</f>
        <v>43890</v>
      </c>
      <c r="M88" s="4">
        <f ca="1">T_Facebook_Ads[[#This Row],[frequency]]*RANDBETWEEN(8,12)/10</f>
        <v>1.0799999999999998</v>
      </c>
      <c r="O88" s="3">
        <f t="shared" ca="1" si="10"/>
        <v>45022</v>
      </c>
      <c r="P88" s="4" t="s">
        <v>76</v>
      </c>
      <c r="Q88" s="4" t="s">
        <v>77</v>
      </c>
      <c r="R88" s="4" t="s">
        <v>78</v>
      </c>
      <c r="S88" s="4" t="s">
        <v>79</v>
      </c>
      <c r="T88" s="4">
        <f ca="1">ROUND(_Google_ads[[#This Row],[impressions]]*RANDBETWEEN(8,12)/10,0)</f>
        <v>28234</v>
      </c>
      <c r="U88" s="4">
        <f ca="1">ROUND(_Google_ads[[#This Row],[clicks]]*RANDBETWEEN(8,12)/10,0)</f>
        <v>1814</v>
      </c>
      <c r="V88" s="4">
        <f ca="1">_Google_ads[[#This Row],[cost]]*RANDBETWEEN(8,12)/10</f>
        <v>230.08</v>
      </c>
      <c r="W88" s="4">
        <f ca="1">ROUND(_Google_ads[[#This Row],[conversions]]*RANDBETWEEN(8,12)/10,0)</f>
        <v>70</v>
      </c>
      <c r="X88" s="4">
        <f ca="1">ROUND(_Google_ads[[#This Row],[conversion_value]]*RANDBETWEEN(8,12)/10,0)</f>
        <v>2320</v>
      </c>
      <c r="Y88" s="4">
        <f ca="1">_Google_ads[[#This Row],[ctr]]*RANDBETWEEN(8,12)/10</f>
        <v>5.885E-2</v>
      </c>
      <c r="Z88" s="4">
        <f ca="1">_Google_ads[[#This Row],[avg_cpc]]*RANDBETWEEN(8,12)/10</f>
        <v>0.152</v>
      </c>
      <c r="AA88" s="4">
        <f ca="1">ROUND(_Google_ads[[#This Row],[quality_score]]*RANDBETWEEN(8,12)/10,0)</f>
        <v>11</v>
      </c>
      <c r="AB88" s="4">
        <f ca="1">_Google_ads[[#This Row],[search_impression_share]]*RANDBETWEEN(8,12)/10</f>
        <v>1.1279999999999999</v>
      </c>
      <c r="AD88" s="3">
        <f t="shared" ca="1" si="11"/>
        <v>45040</v>
      </c>
      <c r="AE88" s="4" t="s">
        <v>100</v>
      </c>
      <c r="AF88" s="4" t="s">
        <v>101</v>
      </c>
      <c r="AG88" s="4" t="s">
        <v>102</v>
      </c>
      <c r="AH88" s="4" t="s">
        <v>103</v>
      </c>
      <c r="AI88" s="4">
        <f ca="1">ROUND(T_Tiktok_ads[[#This Row],[impressions]]*RANDBETWEEN(8,12)/10,0)</f>
        <v>258765</v>
      </c>
      <c r="AJ88" s="4">
        <f ca="1">ROUND(T_Tiktok_ads[[#This Row],[clicks]]*RANDBETWEEN(8,12)/10,0)</f>
        <v>5747</v>
      </c>
      <c r="AK88" s="4">
        <v>645.70000000000005</v>
      </c>
      <c r="AL88" s="4">
        <f ca="1">ROUND(T_Tiktok_ads[[#This Row],[conversions]]*RANDBETWEEN(8,12)/10,0)</f>
        <v>60</v>
      </c>
      <c r="AM88" s="4">
        <f ca="1">ROUND(T_Tiktok_ads[[#This Row],[video_views]]*RANDBETWEEN(8,12)/10,0)</f>
        <v>214312</v>
      </c>
      <c r="AN88" s="4">
        <f ca="1">ROUND(T_Tiktok_ads[[#This Row],[video_watch_25]]*RANDBETWEEN(8,12)/10,0)</f>
        <v>167121</v>
      </c>
      <c r="AO88" s="4">
        <f ca="1">ROUND(T_Tiktok_ads[[#This Row],[video_watch_50]]*RANDBETWEEN(8,12)/10,0)</f>
        <v>144357</v>
      </c>
      <c r="AP88" s="4">
        <f ca="1">ROUND(T_Tiktok_ads[[#This Row],[video_watch_75]]*RANDBETWEEN(8,12)/10,0)</f>
        <v>79411</v>
      </c>
      <c r="AQ88" s="4">
        <f ca="1">ROUND(T_Tiktok_ads[[#This Row],[video_watch_100]]*RANDBETWEEN(8,12)/10,0)</f>
        <v>64791</v>
      </c>
      <c r="AR88" s="4">
        <f ca="1">ROUND(T_Tiktok_ads[[#This Row],[likes]]*RANDBETWEEN(8,12)/10,0)</f>
        <v>11567</v>
      </c>
      <c r="AS88" s="4">
        <f ca="1">ROUND(T_Tiktok_ads[[#This Row],[shares]]*RANDBETWEEN(8,12)/10,0)</f>
        <v>2507</v>
      </c>
      <c r="AT88" s="4">
        <f ca="1">ROUND(T_Tiktok_ads[[#This Row],[comments]]*RANDBETWEEN(8,12)/10,0)</f>
        <v>587</v>
      </c>
      <c r="AV88" s="5">
        <f t="shared" ca="1" si="12"/>
        <v>45037</v>
      </c>
      <c r="AW88">
        <f t="shared" ca="1" si="13"/>
        <v>8</v>
      </c>
      <c r="AX88">
        <f ca="1">ROUND(T_Facebook_Ads11596367[[#This Row],[impressions]]*RANDBETWEEN(8,12)/10,0)</f>
        <v>63347</v>
      </c>
      <c r="AY88">
        <f ca="1">ROUND(T_Facebook_Ads11596367[[#This Row],[clicks]]*RANDBETWEEN(8,12)/10,0)</f>
        <v>1123</v>
      </c>
      <c r="AZ88">
        <f ca="1">T_Facebook_Ads11596367[[#This Row],[spend]]*RANDBETWEEN(8,12)/10</f>
        <v>172.04000000000002</v>
      </c>
      <c r="BA88">
        <f ca="1">ROUND(T_Facebook_Ads11596367[[#This Row],[conversions]]*RANDBETWEEN(8,12)/10,0)</f>
        <v>24</v>
      </c>
      <c r="BB88">
        <f ca="1">ROUND(T_Facebook_Ads11596367[[#This Row],[video_views]]*RANDBETWEEN(8,12)/10,0)</f>
        <v>6888</v>
      </c>
    </row>
    <row r="89" spans="1:54" ht="15.75" thickBot="1" x14ac:dyDescent="0.3">
      <c r="A89" s="3">
        <f t="shared" ca="1" si="9"/>
        <v>45018</v>
      </c>
      <c r="B89" s="4" t="s">
        <v>56</v>
      </c>
      <c r="C89" s="4" t="s">
        <v>57</v>
      </c>
      <c r="D89" s="4" t="s">
        <v>58</v>
      </c>
      <c r="E89" s="4" t="s">
        <v>59</v>
      </c>
      <c r="F89" s="4">
        <f ca="1">ROUND(T_Facebook_Ads[[#This Row],[impressions]]*RANDBETWEEN(8,12)/10,0)</f>
        <v>12542</v>
      </c>
      <c r="G89" s="4">
        <v>756</v>
      </c>
      <c r="H89" s="4">
        <f ca="1">T_Facebook_Ads[[#This Row],[spend]]*RANDBETWEEN(8,12)/10</f>
        <v>215.11999999999998</v>
      </c>
      <c r="I89" s="4">
        <f ca="1">ROUND(T_Facebook_Ads[[#This Row],[conversions]]*RANDBETWEEN(8,12)/10,0)</f>
        <v>56</v>
      </c>
      <c r="J89" s="4">
        <f ca="1">ROUND(T_Facebook_Ads[[#This Row],[video_views]]*RANDBETWEEN(8,12)/10,0)</f>
        <v>1678</v>
      </c>
      <c r="K89" s="4">
        <f ca="1">T_Facebook_Ads[[#This Row],[engagement_rate]]*RANDBETWEEN(8,12)/10</f>
        <v>5.7840000000000003E-2</v>
      </c>
      <c r="L89" s="4">
        <f ca="1">ROUND(T_Facebook_Ads[[#This Row],[reach]]*RANDBETWEEN(8,12)/10,0)</f>
        <v>9876</v>
      </c>
      <c r="M89" s="4">
        <f ca="1">T_Facebook_Ads[[#This Row],[frequency]]*RANDBETWEEN(8,12)/10</f>
        <v>1.397</v>
      </c>
      <c r="O89" s="3">
        <f t="shared" ca="1" si="10"/>
        <v>45018</v>
      </c>
      <c r="P89" s="4" t="s">
        <v>80</v>
      </c>
      <c r="Q89" s="4" t="s">
        <v>81</v>
      </c>
      <c r="R89" s="4" t="s">
        <v>82</v>
      </c>
      <c r="S89" s="4" t="s">
        <v>83</v>
      </c>
      <c r="T89" s="4">
        <f ca="1">ROUND(_Google_ads[[#This Row],[impressions]]*RANDBETWEEN(8,12)/10,0)</f>
        <v>39654</v>
      </c>
      <c r="U89" s="4">
        <f ca="1">ROUND(_Google_ads[[#This Row],[clicks]]*RANDBETWEEN(8,12)/10,0)</f>
        <v>1214</v>
      </c>
      <c r="V89" s="4">
        <f ca="1">_Google_ads[[#This Row],[cost]]*RANDBETWEEN(8,12)/10</f>
        <v>761.04000000000008</v>
      </c>
      <c r="W89" s="4">
        <f ca="1">ROUND(_Google_ads[[#This Row],[conversions]]*RANDBETWEEN(8,12)/10,0)</f>
        <v>27</v>
      </c>
      <c r="X89" s="4">
        <f ca="1">ROUND(_Google_ads[[#This Row],[conversion_value]]*RANDBETWEEN(8,12)/10,0)</f>
        <v>1485</v>
      </c>
      <c r="Y89" s="4">
        <f ca="1">_Google_ads[[#This Row],[ctr]]*RANDBETWEEN(8,12)/10</f>
        <v>2.2440000000000002E-2</v>
      </c>
      <c r="Z89" s="4">
        <f ca="1">_Google_ads[[#This Row],[avg_cpc]]*RANDBETWEEN(8,12)/10</f>
        <v>0.75600000000000001</v>
      </c>
      <c r="AA89" s="4">
        <f ca="1">ROUND(_Google_ads[[#This Row],[quality_score]]*RANDBETWEEN(8,12)/10,0)</f>
        <v>6</v>
      </c>
      <c r="AB89" s="4">
        <f ca="1">_Google_ads[[#This Row],[search_impression_share]]*RANDBETWEEN(8,12)/10</f>
        <v>0.376</v>
      </c>
      <c r="AD89" s="3">
        <f t="shared" ca="1" si="11"/>
        <v>45028</v>
      </c>
      <c r="AE89" s="4" t="s">
        <v>104</v>
      </c>
      <c r="AF89" s="4" t="s">
        <v>105</v>
      </c>
      <c r="AG89" s="4" t="s">
        <v>106</v>
      </c>
      <c r="AH89" s="4" t="s">
        <v>107</v>
      </c>
      <c r="AI89" s="4">
        <f ca="1">ROUND(T_Tiktok_ads[[#This Row],[impressions]]*RANDBETWEEN(8,12)/10,0)</f>
        <v>161011</v>
      </c>
      <c r="AJ89" s="4">
        <f ca="1">ROUND(T_Tiktok_ads[[#This Row],[clicks]]*RANDBETWEEN(8,12)/10,0)</f>
        <v>3802</v>
      </c>
      <c r="AK89" s="4">
        <v>889.5</v>
      </c>
      <c r="AL89" s="4">
        <f ca="1">ROUND(T_Tiktok_ads[[#This Row],[conversions]]*RANDBETWEEN(8,12)/10,0)</f>
        <v>107</v>
      </c>
      <c r="AM89" s="4">
        <f ca="1">ROUND(T_Tiktok_ads[[#This Row],[video_views]]*RANDBETWEEN(8,12)/10,0)</f>
        <v>103121</v>
      </c>
      <c r="AN89" s="4">
        <f ca="1">ROUND(T_Tiktok_ads[[#This Row],[video_watch_25]]*RANDBETWEEN(8,12)/10,0)</f>
        <v>105246</v>
      </c>
      <c r="AO89" s="4">
        <f ca="1">ROUND(T_Tiktok_ads[[#This Row],[video_watch_50]]*RANDBETWEEN(8,12)/10,0)</f>
        <v>51654</v>
      </c>
      <c r="AP89" s="4">
        <f ca="1">ROUND(T_Tiktok_ads[[#This Row],[video_watch_75]]*RANDBETWEEN(8,12)/10,0)</f>
        <v>48567</v>
      </c>
      <c r="AQ89" s="4">
        <f ca="1">ROUND(T_Tiktok_ads[[#This Row],[video_watch_100]]*RANDBETWEEN(8,12)/10,0)</f>
        <v>25876</v>
      </c>
      <c r="AR89" s="4">
        <f ca="1">ROUND(T_Tiktok_ads[[#This Row],[likes]]*RANDBETWEEN(8,12)/10,0)</f>
        <v>6123</v>
      </c>
      <c r="AS89" s="4">
        <f ca="1">ROUND(T_Tiktok_ads[[#This Row],[shares]]*RANDBETWEEN(8,12)/10,0)</f>
        <v>1561</v>
      </c>
      <c r="AT89" s="4">
        <f ca="1">ROUND(T_Tiktok_ads[[#This Row],[comments]]*RANDBETWEEN(8,12)/10,0)</f>
        <v>345</v>
      </c>
      <c r="AV89" s="5">
        <f t="shared" ca="1" si="12"/>
        <v>45033</v>
      </c>
      <c r="AW89">
        <f t="shared" ca="1" si="13"/>
        <v>5</v>
      </c>
      <c r="AX89">
        <f ca="1">ROUND(T_Facebook_Ads11596367[[#This Row],[impressions]]*RANDBETWEEN(8,12)/10,0)</f>
        <v>12542</v>
      </c>
      <c r="AY89">
        <f ca="1">ROUND(T_Facebook_Ads11596367[[#This Row],[clicks]]*RANDBETWEEN(8,12)/10,0)</f>
        <v>907</v>
      </c>
      <c r="AZ89">
        <f ca="1">T_Facebook_Ads11596367[[#This Row],[spend]]*RANDBETWEEN(8,12)/10</f>
        <v>258.14399999999995</v>
      </c>
      <c r="BA89">
        <f ca="1">ROUND(T_Facebook_Ads11596367[[#This Row],[conversions]]*RANDBETWEEN(8,12)/10,0)</f>
        <v>50</v>
      </c>
      <c r="BB89">
        <f ca="1">ROUND(T_Facebook_Ads11596367[[#This Row],[video_views]]*RANDBETWEEN(8,12)/10,0)</f>
        <v>1342</v>
      </c>
    </row>
    <row r="90" spans="1:54" ht="15.75" thickBot="1" x14ac:dyDescent="0.3">
      <c r="A90" s="3">
        <f t="shared" ca="1" si="9"/>
        <v>45019</v>
      </c>
      <c r="B90" s="4" t="s">
        <v>60</v>
      </c>
      <c r="C90" s="4" t="s">
        <v>61</v>
      </c>
      <c r="D90" s="4" t="s">
        <v>62</v>
      </c>
      <c r="E90" s="4" t="s">
        <v>63</v>
      </c>
      <c r="F90" s="4">
        <f ca="1">ROUND(T_Facebook_Ads[[#This Row],[impressions]]*RANDBETWEEN(8,12)/10,0)</f>
        <v>32454</v>
      </c>
      <c r="G90" s="4">
        <v>1567</v>
      </c>
      <c r="H90" s="4">
        <f ca="1">T_Facebook_Ads[[#This Row],[spend]]*RANDBETWEEN(8,12)/10</f>
        <v>190.88</v>
      </c>
      <c r="I90" s="4">
        <f ca="1">ROUND(T_Facebook_Ads[[#This Row],[conversions]]*RANDBETWEEN(8,12)/10,0)</f>
        <v>31</v>
      </c>
      <c r="J90" s="4">
        <f ca="1">ROUND(T_Facebook_Ads[[#This Row],[video_views]]*RANDBETWEEN(8,12)/10,0)</f>
        <v>4365</v>
      </c>
      <c r="K90" s="4">
        <f ca="1">T_Facebook_Ads[[#This Row],[engagement_rate]]*RANDBETWEEN(8,12)/10</f>
        <v>4.6320000000000007E-2</v>
      </c>
      <c r="L90" s="4">
        <f ca="1">ROUND(T_Facebook_Ads[[#This Row],[reach]]*RANDBETWEEN(8,12)/10,0)</f>
        <v>29911</v>
      </c>
      <c r="M90" s="4">
        <f ca="1">T_Facebook_Ads[[#This Row],[frequency]]*RANDBETWEEN(8,12)/10</f>
        <v>1.464</v>
      </c>
      <c r="O90" s="3">
        <f t="shared" ca="1" si="10"/>
        <v>45046</v>
      </c>
      <c r="P90" s="4" t="s">
        <v>84</v>
      </c>
      <c r="Q90" s="4" t="s">
        <v>85</v>
      </c>
      <c r="R90" s="4" t="s">
        <v>86</v>
      </c>
      <c r="S90" s="4" t="s">
        <v>87</v>
      </c>
      <c r="T90" s="4">
        <f ca="1">ROUND(_Google_ads[[#This Row],[impressions]]*RANDBETWEEN(8,12)/10,0)</f>
        <v>75234</v>
      </c>
      <c r="U90" s="4">
        <f ca="1">ROUND(_Google_ads[[#This Row],[clicks]]*RANDBETWEEN(8,12)/10,0)</f>
        <v>2310</v>
      </c>
      <c r="V90" s="4">
        <f ca="1">_Google_ads[[#This Row],[cost]]*RANDBETWEEN(8,12)/10</f>
        <v>421.02</v>
      </c>
      <c r="W90" s="4">
        <f ca="1">ROUND(_Google_ads[[#This Row],[conversions]]*RANDBETWEEN(8,12)/10,0)</f>
        <v>90</v>
      </c>
      <c r="X90" s="4">
        <f ca="1">ROUND(_Google_ads[[#This Row],[conversion_value]]*RANDBETWEEN(8,12)/10,0)</f>
        <v>3000</v>
      </c>
      <c r="Y90" s="4">
        <f ca="1">_Google_ads[[#This Row],[ctr]]*RANDBETWEEN(8,12)/10</f>
        <v>3.7510000000000002E-2</v>
      </c>
      <c r="Z90" s="4">
        <f ca="1">_Google_ads[[#This Row],[avg_cpc]]*RANDBETWEEN(8,12)/10</f>
        <v>0.16199999999999998</v>
      </c>
      <c r="AA90" s="4">
        <f ca="1">ROUND(_Google_ads[[#This Row],[quality_score]]*RANDBETWEEN(8,12)/10,0)</f>
        <v>8</v>
      </c>
      <c r="AB90" s="4">
        <f ca="1">_Google_ads[[#This Row],[search_impression_share]]*RANDBETWEEN(8,12)/10</f>
        <v>0.63</v>
      </c>
      <c r="AD90" s="3">
        <f t="shared" ca="1" si="11"/>
        <v>45024</v>
      </c>
      <c r="AE90" s="4" t="s">
        <v>108</v>
      </c>
      <c r="AF90" s="4" t="s">
        <v>109</v>
      </c>
      <c r="AG90" s="4" t="s">
        <v>110</v>
      </c>
      <c r="AH90" s="4" t="s">
        <v>111</v>
      </c>
      <c r="AI90" s="4">
        <f ca="1">ROUND(T_Tiktok_ads[[#This Row],[impressions]]*RANDBETWEEN(8,12)/10,0)</f>
        <v>223121</v>
      </c>
      <c r="AJ90" s="4">
        <f ca="1">ROUND(T_Tiktok_ads[[#This Row],[clicks]]*RANDBETWEEN(8,12)/10,0)</f>
        <v>3811</v>
      </c>
      <c r="AK90" s="4">
        <v>534.20000000000005</v>
      </c>
      <c r="AL90" s="4">
        <f ca="1">ROUND(T_Tiktok_ads[[#This Row],[conversions]]*RANDBETWEEN(8,12)/10,0)</f>
        <v>43</v>
      </c>
      <c r="AM90" s="4">
        <f ca="1">ROUND(T_Tiktok_ads[[#This Row],[video_views]]*RANDBETWEEN(8,12)/10,0)</f>
        <v>201110</v>
      </c>
      <c r="AN90" s="4">
        <f ca="1">ROUND(T_Tiktok_ads[[#This Row],[video_watch_25]]*RANDBETWEEN(8,12)/10,0)</f>
        <v>185791</v>
      </c>
      <c r="AO90" s="4">
        <f ca="1">ROUND(T_Tiktok_ads[[#This Row],[video_watch_50]]*RANDBETWEEN(8,12)/10,0)</f>
        <v>133456</v>
      </c>
      <c r="AP90" s="4">
        <f ca="1">ROUND(T_Tiktok_ads[[#This Row],[video_watch_75]]*RANDBETWEEN(8,12)/10,0)</f>
        <v>77110</v>
      </c>
      <c r="AQ90" s="4">
        <f ca="1">ROUND(T_Tiktok_ads[[#This Row],[video_watch_100]]*RANDBETWEEN(8,12)/10,0)</f>
        <v>41431</v>
      </c>
      <c r="AR90" s="4">
        <f ca="1">ROUND(T_Tiktok_ads[[#This Row],[likes]]*RANDBETWEEN(8,12)/10,0)</f>
        <v>10402</v>
      </c>
      <c r="AS90" s="4">
        <f ca="1">ROUND(T_Tiktok_ads[[#This Row],[shares]]*RANDBETWEEN(8,12)/10,0)</f>
        <v>2634</v>
      </c>
      <c r="AT90" s="4">
        <f ca="1">ROUND(T_Tiktok_ads[[#This Row],[comments]]*RANDBETWEEN(8,12)/10,0)</f>
        <v>561</v>
      </c>
      <c r="AV90" s="5">
        <f t="shared" ca="1" si="12"/>
        <v>45022</v>
      </c>
      <c r="AW90">
        <f t="shared" ca="1" si="13"/>
        <v>8</v>
      </c>
      <c r="AX90">
        <f ca="1">ROUND(T_Facebook_Ads11596367[[#This Row],[impressions]]*RANDBETWEEN(8,12)/10,0)</f>
        <v>32454</v>
      </c>
      <c r="AY90">
        <f ca="1">ROUND(T_Facebook_Ads11596367[[#This Row],[clicks]]*RANDBETWEEN(8,12)/10,0)</f>
        <v>1724</v>
      </c>
      <c r="AZ90">
        <f ca="1">T_Facebook_Ads11596367[[#This Row],[spend]]*RANDBETWEEN(8,12)/10</f>
        <v>171.792</v>
      </c>
      <c r="BA90">
        <f ca="1">ROUND(T_Facebook_Ads11596367[[#This Row],[conversions]]*RANDBETWEEN(8,12)/10,0)</f>
        <v>37</v>
      </c>
      <c r="BB90">
        <f ca="1">ROUND(T_Facebook_Ads11596367[[#This Row],[video_views]]*RANDBETWEEN(8,12)/10,0)</f>
        <v>3929</v>
      </c>
    </row>
    <row r="91" spans="1:54" ht="15.75" thickBot="1" x14ac:dyDescent="0.3">
      <c r="A91" s="3">
        <f t="shared" ca="1" si="9"/>
        <v>45042</v>
      </c>
      <c r="B91" s="4" t="s">
        <v>64</v>
      </c>
      <c r="C91" s="4" t="s">
        <v>65</v>
      </c>
      <c r="D91" s="4" t="s">
        <v>66</v>
      </c>
      <c r="E91" s="4" t="s">
        <v>67</v>
      </c>
      <c r="F91" s="4">
        <f ca="1">ROUND(T_Facebook_Ads[[#This Row],[impressions]]*RANDBETWEEN(8,12)/10,0)</f>
        <v>84579</v>
      </c>
      <c r="G91" s="4">
        <v>278</v>
      </c>
      <c r="H91" s="4">
        <f ca="1">T_Facebook_Ads[[#This Row],[spend]]*RANDBETWEEN(8,12)/10</f>
        <v>109.12</v>
      </c>
      <c r="I91" s="4">
        <f ca="1">ROUND(T_Facebook_Ads[[#This Row],[conversions]]*RANDBETWEEN(8,12)/10,0)</f>
        <v>6</v>
      </c>
      <c r="J91" s="4">
        <f ca="1">ROUND(T_Facebook_Ads[[#This Row],[video_views]]*RANDBETWEEN(8,12)/10,0)</f>
        <v>46410</v>
      </c>
      <c r="K91" s="4">
        <f ca="1">T_Facebook_Ads[[#This Row],[engagement_rate]]*RANDBETWEEN(8,12)/10</f>
        <v>3.96E-3</v>
      </c>
      <c r="L91" s="4">
        <f ca="1">ROUND(T_Facebook_Ads[[#This Row],[reach]]*RANDBETWEEN(8,12)/10,0)</f>
        <v>69179</v>
      </c>
      <c r="M91" s="4">
        <f ca="1">T_Facebook_Ads[[#This Row],[frequency]]*RANDBETWEEN(8,12)/10</f>
        <v>1.476</v>
      </c>
      <c r="O91" s="3">
        <f t="shared" ca="1" si="10"/>
        <v>45022</v>
      </c>
      <c r="P91" s="4" t="s">
        <v>88</v>
      </c>
      <c r="Q91" s="4" t="s">
        <v>89</v>
      </c>
      <c r="R91" s="4" t="s">
        <v>90</v>
      </c>
      <c r="S91" s="4" t="s">
        <v>59</v>
      </c>
      <c r="T91" s="4">
        <f ca="1">ROUND(_Google_ads[[#This Row],[impressions]]*RANDBETWEEN(8,12)/10,0)</f>
        <v>113876</v>
      </c>
      <c r="U91" s="4">
        <f ca="1">ROUND(_Google_ads[[#This Row],[clicks]]*RANDBETWEEN(8,12)/10,0)</f>
        <v>491</v>
      </c>
      <c r="V91" s="4">
        <f ca="1">_Google_ads[[#This Row],[cost]]*RANDBETWEEN(8,12)/10</f>
        <v>111.92</v>
      </c>
      <c r="W91" s="4">
        <f ca="1">ROUND(_Google_ads[[#This Row],[conversions]]*RANDBETWEEN(8,12)/10,0)</f>
        <v>16</v>
      </c>
      <c r="X91" s="4">
        <f ca="1">ROUND(_Google_ads[[#This Row],[conversion_value]]*RANDBETWEEN(8,12)/10,0)</f>
        <v>720</v>
      </c>
      <c r="Y91" s="4">
        <f ca="1">_Google_ads[[#This Row],[ctr]]*RANDBETWEEN(8,12)/10</f>
        <v>3.0400000000000002E-3</v>
      </c>
      <c r="Z91" s="4">
        <f ca="1">_Google_ads[[#This Row],[avg_cpc]]*RANDBETWEEN(8,12)/10</f>
        <v>0.23399999999999999</v>
      </c>
      <c r="AA91" s="4">
        <f ca="1">ROUND(_Google_ads[[#This Row],[quality_score]]*RANDBETWEEN(8,12)/10,0)</f>
        <v>8</v>
      </c>
      <c r="AB91" s="4">
        <f ca="1">_Google_ads[[#This Row],[search_impression_share]]*RANDBETWEEN(8,12)/10</f>
        <v>0.29599999999999999</v>
      </c>
      <c r="AD91" s="3">
        <f t="shared" ca="1" si="11"/>
        <v>45017</v>
      </c>
      <c r="AE91" s="4" t="s">
        <v>112</v>
      </c>
      <c r="AF91" s="4" t="s">
        <v>113</v>
      </c>
      <c r="AG91" s="4" t="s">
        <v>114</v>
      </c>
      <c r="AH91" s="4" t="s">
        <v>115</v>
      </c>
      <c r="AI91" s="4">
        <f ca="1">ROUND(T_Tiktok_ads[[#This Row],[impressions]]*RANDBETWEEN(8,12)/10,0)</f>
        <v>421101</v>
      </c>
      <c r="AJ91" s="4">
        <f ca="1">ROUND(T_Tiktok_ads[[#This Row],[clicks]]*RANDBETWEEN(8,12)/10,0)</f>
        <v>9148</v>
      </c>
      <c r="AK91" s="4">
        <v>1189.4000000000001</v>
      </c>
      <c r="AL91" s="4">
        <f ca="1">ROUND(T_Tiktok_ads[[#This Row],[conversions]]*RANDBETWEEN(8,12)/10,0)</f>
        <v>120</v>
      </c>
      <c r="AM91" s="4">
        <f ca="1">ROUND(T_Tiktok_ads[[#This Row],[video_views]]*RANDBETWEEN(8,12)/10,0)</f>
        <v>401234</v>
      </c>
      <c r="AN91" s="4">
        <f ca="1">ROUND(T_Tiktok_ads[[#This Row],[video_watch_25]]*RANDBETWEEN(8,12)/10,0)</f>
        <v>291110</v>
      </c>
      <c r="AO91" s="4">
        <f ca="1">ROUND(T_Tiktok_ads[[#This Row],[video_watch_50]]*RANDBETWEEN(8,12)/10,0)</f>
        <v>258901</v>
      </c>
      <c r="AP91" s="4">
        <f ca="1">ROUND(T_Tiktok_ads[[#This Row],[video_watch_75]]*RANDBETWEEN(8,12)/10,0)</f>
        <v>147654</v>
      </c>
      <c r="AQ91" s="4">
        <f ca="1">ROUND(T_Tiktok_ads[[#This Row],[video_watch_100]]*RANDBETWEEN(8,12)/10,0)</f>
        <v>134580</v>
      </c>
      <c r="AR91" s="4">
        <f ca="1">ROUND(T_Tiktok_ads[[#This Row],[likes]]*RANDBETWEEN(8,12)/10,0)</f>
        <v>16631</v>
      </c>
      <c r="AS91" s="4">
        <f ca="1">ROUND(T_Tiktok_ads[[#This Row],[shares]]*RANDBETWEEN(8,12)/10,0)</f>
        <v>5431</v>
      </c>
      <c r="AT91" s="4">
        <f ca="1">ROUND(T_Tiktok_ads[[#This Row],[comments]]*RANDBETWEEN(8,12)/10,0)</f>
        <v>2014</v>
      </c>
      <c r="AV91" s="5">
        <f t="shared" ca="1" si="12"/>
        <v>45040</v>
      </c>
      <c r="AW91">
        <f t="shared" ca="1" si="13"/>
        <v>5</v>
      </c>
      <c r="AX91">
        <f ca="1">ROUND(T_Facebook_Ads11596367[[#This Row],[impressions]]*RANDBETWEEN(8,12)/10,0)</f>
        <v>93037</v>
      </c>
      <c r="AY91">
        <f ca="1">ROUND(T_Facebook_Ads11596367[[#This Row],[clicks]]*RANDBETWEEN(8,12)/10,0)</f>
        <v>278</v>
      </c>
      <c r="AZ91">
        <f ca="1">T_Facebook_Ads11596367[[#This Row],[spend]]*RANDBETWEEN(8,12)/10</f>
        <v>120.03200000000001</v>
      </c>
      <c r="BA91">
        <f ca="1">ROUND(T_Facebook_Ads11596367[[#This Row],[conversions]]*RANDBETWEEN(8,12)/10,0)</f>
        <v>5</v>
      </c>
      <c r="BB91">
        <f ca="1">ROUND(T_Facebook_Ads11596367[[#This Row],[video_views]]*RANDBETWEEN(8,12)/10,0)</f>
        <v>37128</v>
      </c>
    </row>
    <row r="92" spans="1:54" ht="15.75" thickBot="1" x14ac:dyDescent="0.3">
      <c r="A92" s="3">
        <f t="shared" ca="1" si="9"/>
        <v>45038</v>
      </c>
      <c r="B92" s="4" t="s">
        <v>52</v>
      </c>
      <c r="C92" s="4" t="s">
        <v>53</v>
      </c>
      <c r="D92" s="4" t="s">
        <v>54</v>
      </c>
      <c r="E92" s="4" t="s">
        <v>55</v>
      </c>
      <c r="F92" s="4">
        <f ca="1">ROUND(T_Facebook_Ads[[#This Row],[impressions]]*RANDBETWEEN(8,12)/10,0)</f>
        <v>50123</v>
      </c>
      <c r="G92" s="4">
        <v>1034</v>
      </c>
      <c r="H92" s="4">
        <f ca="1">T_Facebook_Ads[[#This Row],[spend]]*RANDBETWEEN(8,12)/10</f>
        <v>177</v>
      </c>
      <c r="I92" s="4">
        <f ca="1">ROUND(T_Facebook_Ads[[#This Row],[conversions]]*RANDBETWEEN(8,12)/10,0)</f>
        <v>14</v>
      </c>
      <c r="J92" s="4">
        <f ca="1">ROUND(T_Facebook_Ads[[#This Row],[video_views]]*RANDBETWEEN(8,12)/10,0)</f>
        <v>10035</v>
      </c>
      <c r="K92" s="4">
        <f ca="1">T_Facebook_Ads[[#This Row],[engagement_rate]]*RANDBETWEEN(8,12)/10</f>
        <v>1.8540000000000001E-2</v>
      </c>
      <c r="L92" s="4">
        <f ca="1">ROUND(T_Facebook_Ads[[#This Row],[reach]]*RANDBETWEEN(8,12)/10,0)</f>
        <v>33512</v>
      </c>
      <c r="M92" s="4">
        <f ca="1">T_Facebook_Ads[[#This Row],[frequency]]*RANDBETWEEN(8,12)/10</f>
        <v>0.96</v>
      </c>
      <c r="O92" s="3">
        <f t="shared" ca="1" si="10"/>
        <v>45043</v>
      </c>
      <c r="P92" s="4" t="s">
        <v>76</v>
      </c>
      <c r="Q92" s="4" t="s">
        <v>77</v>
      </c>
      <c r="R92" s="4" t="s">
        <v>78</v>
      </c>
      <c r="S92" s="4" t="s">
        <v>79</v>
      </c>
      <c r="T92" s="4">
        <f ca="1">ROUND(_Google_ads[[#This Row],[impressions]]*RANDBETWEEN(8,12)/10,0)</f>
        <v>32147</v>
      </c>
      <c r="U92" s="4">
        <f ca="1">ROUND(_Google_ads[[#This Row],[clicks]]*RANDBETWEEN(8,12)/10,0)</f>
        <v>1102</v>
      </c>
      <c r="V92" s="4">
        <f ca="1">_Google_ads[[#This Row],[cost]]*RANDBETWEEN(8,12)/10</f>
        <v>237.06</v>
      </c>
      <c r="W92" s="4">
        <f ca="1">ROUND(_Google_ads[[#This Row],[conversions]]*RANDBETWEEN(8,12)/10,0)</f>
        <v>42</v>
      </c>
      <c r="X92" s="4">
        <f ca="1">ROUND(_Google_ads[[#This Row],[conversion_value]]*RANDBETWEEN(8,12)/10,0)</f>
        <v>2385</v>
      </c>
      <c r="Y92" s="4">
        <f ca="1">_Google_ads[[#This Row],[ctr]]*RANDBETWEEN(8,12)/10</f>
        <v>4.6349999999999995E-2</v>
      </c>
      <c r="Z92" s="4">
        <f ca="1">_Google_ads[[#This Row],[avg_cpc]]*RANDBETWEEN(8,12)/10</f>
        <v>0.152</v>
      </c>
      <c r="AA92" s="4">
        <f ca="1">ROUND(_Google_ads[[#This Row],[quality_score]]*RANDBETWEEN(8,12)/10,0)</f>
        <v>8</v>
      </c>
      <c r="AB92" s="4">
        <f ca="1">_Google_ads[[#This Row],[search_impression_share]]*RANDBETWEEN(8,12)/10</f>
        <v>0.82800000000000007</v>
      </c>
      <c r="AD92" s="3">
        <f t="shared" ca="1" si="11"/>
        <v>45044</v>
      </c>
      <c r="AE92" s="4" t="s">
        <v>100</v>
      </c>
      <c r="AF92" s="4" t="s">
        <v>101</v>
      </c>
      <c r="AG92" s="4" t="s">
        <v>102</v>
      </c>
      <c r="AH92" s="4" t="s">
        <v>103</v>
      </c>
      <c r="AI92" s="4">
        <f ca="1">ROUND(T_Tiktok_ads[[#This Row],[impressions]]*RANDBETWEEN(8,12)/10,0)</f>
        <v>331357</v>
      </c>
      <c r="AJ92" s="4">
        <f ca="1">ROUND(T_Tiktok_ads[[#This Row],[clicks]]*RANDBETWEEN(8,12)/10,0)</f>
        <v>4010</v>
      </c>
      <c r="AK92" s="4">
        <v>589.9</v>
      </c>
      <c r="AL92" s="4">
        <f ca="1">ROUND(T_Tiktok_ads[[#This Row],[conversions]]*RANDBETWEEN(8,12)/10,0)</f>
        <v>55</v>
      </c>
      <c r="AM92" s="4">
        <f ca="1">ROUND(T_Tiktok_ads[[#This Row],[video_views]]*RANDBETWEEN(8,12)/10,0)</f>
        <v>196542</v>
      </c>
      <c r="AN92" s="4">
        <f ca="1">ROUND(T_Tiktok_ads[[#This Row],[video_watch_25]]*RANDBETWEEN(8,12)/10,0)</f>
        <v>229481</v>
      </c>
      <c r="AO92" s="4">
        <f ca="1">ROUND(T_Tiktok_ads[[#This Row],[video_watch_50]]*RANDBETWEEN(8,12)/10,0)</f>
        <v>119234</v>
      </c>
      <c r="AP92" s="4">
        <f ca="1">ROUND(T_Tiktok_ads[[#This Row],[video_watch_75]]*RANDBETWEEN(8,12)/10,0)</f>
        <v>96281</v>
      </c>
      <c r="AQ92" s="4">
        <f ca="1">ROUND(T_Tiktok_ads[[#This Row],[video_watch_100]]*RANDBETWEEN(8,12)/10,0)</f>
        <v>53456</v>
      </c>
      <c r="AR92" s="4">
        <f ca="1">ROUND(T_Tiktok_ads[[#This Row],[likes]]*RANDBETWEEN(8,12)/10,0)</f>
        <v>9710</v>
      </c>
      <c r="AS92" s="4">
        <f ca="1">ROUND(T_Tiktok_ads[[#This Row],[shares]]*RANDBETWEEN(8,12)/10,0)</f>
        <v>3481</v>
      </c>
      <c r="AT92" s="4">
        <f ca="1">ROUND(T_Tiktok_ads[[#This Row],[comments]]*RANDBETWEEN(8,12)/10,0)</f>
        <v>758</v>
      </c>
      <c r="AV92" s="5">
        <f t="shared" ca="1" si="12"/>
        <v>45043</v>
      </c>
      <c r="AW92">
        <f t="shared" ca="1" si="13"/>
        <v>5</v>
      </c>
      <c r="AX92">
        <f ca="1">ROUND(T_Facebook_Ads11596367[[#This Row],[impressions]]*RANDBETWEEN(8,12)/10,0)</f>
        <v>50123</v>
      </c>
      <c r="AY92">
        <f ca="1">ROUND(T_Facebook_Ads11596367[[#This Row],[clicks]]*RANDBETWEEN(8,12)/10,0)</f>
        <v>1137</v>
      </c>
      <c r="AZ92">
        <f ca="1">T_Facebook_Ads11596367[[#This Row],[spend]]*RANDBETWEEN(8,12)/10</f>
        <v>159.30000000000001</v>
      </c>
      <c r="BA92">
        <f ca="1">ROUND(T_Facebook_Ads11596367[[#This Row],[conversions]]*RANDBETWEEN(8,12)/10,0)</f>
        <v>14</v>
      </c>
      <c r="BB92">
        <f ca="1">ROUND(T_Facebook_Ads11596367[[#This Row],[video_views]]*RANDBETWEEN(8,12)/10,0)</f>
        <v>8028</v>
      </c>
    </row>
    <row r="93" spans="1:54" ht="15.75" thickBot="1" x14ac:dyDescent="0.3">
      <c r="A93" s="3">
        <f t="shared" ca="1" si="9"/>
        <v>45040</v>
      </c>
      <c r="B93" s="4" t="s">
        <v>56</v>
      </c>
      <c r="C93" s="4" t="s">
        <v>57</v>
      </c>
      <c r="D93" s="4" t="s">
        <v>58</v>
      </c>
      <c r="E93" s="4" t="s">
        <v>59</v>
      </c>
      <c r="F93" s="4">
        <f ca="1">ROUND(T_Facebook_Ads[[#This Row],[impressions]]*RANDBETWEEN(8,12)/10,0)</f>
        <v>12811</v>
      </c>
      <c r="G93" s="4">
        <v>689</v>
      </c>
      <c r="H93" s="4">
        <f ca="1">T_Facebook_Ads[[#This Row],[spend]]*RANDBETWEEN(8,12)/10</f>
        <v>229.22999999999996</v>
      </c>
      <c r="I93" s="4">
        <f ca="1">ROUND(T_Facebook_Ads[[#This Row],[conversions]]*RANDBETWEEN(8,12)/10,0)</f>
        <v>44</v>
      </c>
      <c r="J93" s="4">
        <f ca="1">ROUND(T_Facebook_Ads[[#This Row],[video_views]]*RANDBETWEEN(8,12)/10,0)</f>
        <v>1165</v>
      </c>
      <c r="K93" s="4">
        <f ca="1">T_Facebook_Ads[[#This Row],[engagement_rate]]*RANDBETWEEN(8,12)/10</f>
        <v>3.8719999999999997E-2</v>
      </c>
      <c r="L93" s="4">
        <f ca="1">ROUND(T_Facebook_Ads[[#This Row],[reach]]*RANDBETWEEN(8,12)/10,0)</f>
        <v>8987</v>
      </c>
      <c r="M93" s="4">
        <f ca="1">T_Facebook_Ads[[#This Row],[frequency]]*RANDBETWEEN(8,12)/10</f>
        <v>1.524</v>
      </c>
      <c r="O93" s="3">
        <f t="shared" ca="1" si="10"/>
        <v>45039</v>
      </c>
      <c r="P93" s="4" t="s">
        <v>80</v>
      </c>
      <c r="Q93" s="4" t="s">
        <v>81</v>
      </c>
      <c r="R93" s="4" t="s">
        <v>82</v>
      </c>
      <c r="S93" s="4" t="s">
        <v>83</v>
      </c>
      <c r="T93" s="4">
        <f ca="1">ROUND(_Google_ads[[#This Row],[impressions]]*RANDBETWEEN(8,12)/10,0)</f>
        <v>42511</v>
      </c>
      <c r="U93" s="4">
        <f ca="1">ROUND(_Google_ads[[#This Row],[clicks]]*RANDBETWEEN(8,12)/10,0)</f>
        <v>756</v>
      </c>
      <c r="V93" s="4">
        <f ca="1">_Google_ads[[#This Row],[cost]]*RANDBETWEEN(8,12)/10</f>
        <v>484.48</v>
      </c>
      <c r="W93" s="4">
        <f ca="1">ROUND(_Google_ads[[#This Row],[conversions]]*RANDBETWEEN(8,12)/10,0)</f>
        <v>20</v>
      </c>
      <c r="X93" s="4">
        <f ca="1">ROUND(_Google_ads[[#This Row],[conversion_value]]*RANDBETWEEN(8,12)/10,0)</f>
        <v>1125</v>
      </c>
      <c r="Y93" s="4">
        <f ca="1">_Google_ads[[#This Row],[ctr]]*RANDBETWEEN(8,12)/10</f>
        <v>2.1999999999999999E-2</v>
      </c>
      <c r="Z93" s="4">
        <f ca="1">_Google_ads[[#This Row],[avg_cpc]]*RANDBETWEEN(8,12)/10</f>
        <v>0.57599999999999996</v>
      </c>
      <c r="AA93" s="4">
        <f ca="1">ROUND(_Google_ads[[#This Row],[quality_score]]*RANDBETWEEN(8,12)/10,0)</f>
        <v>8</v>
      </c>
      <c r="AB93" s="4">
        <f ca="1">_Google_ads[[#This Row],[search_impression_share]]*RANDBETWEEN(8,12)/10</f>
        <v>0.50600000000000001</v>
      </c>
      <c r="AD93" s="3">
        <f t="shared" ca="1" si="11"/>
        <v>45031</v>
      </c>
      <c r="AE93" s="4" t="s">
        <v>104</v>
      </c>
      <c r="AF93" s="4" t="s">
        <v>105</v>
      </c>
      <c r="AG93" s="4" t="s">
        <v>106</v>
      </c>
      <c r="AH93" s="4" t="s">
        <v>107</v>
      </c>
      <c r="AI93" s="4">
        <f ca="1">ROUND(T_Tiktok_ads[[#This Row],[impressions]]*RANDBETWEEN(8,12)/10,0)</f>
        <v>184679</v>
      </c>
      <c r="AJ93" s="4">
        <f ca="1">ROUND(T_Tiktok_ads[[#This Row],[clicks]]*RANDBETWEEN(8,12)/10,0)</f>
        <v>3234</v>
      </c>
      <c r="AK93" s="4">
        <v>845.6</v>
      </c>
      <c r="AL93" s="4">
        <f ca="1">ROUND(T_Tiktok_ads[[#This Row],[conversions]]*RANDBETWEEN(8,12)/10,0)</f>
        <v>68</v>
      </c>
      <c r="AM93" s="4">
        <f ca="1">ROUND(T_Tiktok_ads[[#This Row],[video_views]]*RANDBETWEEN(8,12)/10,0)</f>
        <v>129679</v>
      </c>
      <c r="AN93" s="4">
        <f ca="1">ROUND(T_Tiktok_ads[[#This Row],[video_watch_25]]*RANDBETWEEN(8,12)/10,0)</f>
        <v>87234</v>
      </c>
      <c r="AO93" s="4">
        <f ca="1">ROUND(T_Tiktok_ads[[#This Row],[video_watch_50]]*RANDBETWEEN(8,12)/10,0)</f>
        <v>70681</v>
      </c>
      <c r="AP93" s="4">
        <f ca="1">ROUND(T_Tiktok_ads[[#This Row],[video_watch_75]]*RANDBETWEEN(8,12)/10,0)</f>
        <v>35387</v>
      </c>
      <c r="AQ93" s="4">
        <f ca="1">ROUND(T_Tiktok_ads[[#This Row],[video_watch_100]]*RANDBETWEEN(8,12)/10,0)</f>
        <v>29567</v>
      </c>
      <c r="AR93" s="4">
        <f ca="1">ROUND(T_Tiktok_ads[[#This Row],[likes]]*RANDBETWEEN(8,12)/10,0)</f>
        <v>5678</v>
      </c>
      <c r="AS93" s="4">
        <f ca="1">ROUND(T_Tiktok_ads[[#This Row],[shares]]*RANDBETWEEN(8,12)/10,0)</f>
        <v>1307</v>
      </c>
      <c r="AT93" s="4">
        <f ca="1">ROUND(T_Tiktok_ads[[#This Row],[comments]]*RANDBETWEEN(8,12)/10,0)</f>
        <v>250</v>
      </c>
      <c r="AV93" s="5">
        <f t="shared" ca="1" si="12"/>
        <v>45024</v>
      </c>
      <c r="AW93">
        <f t="shared" ca="1" si="13"/>
        <v>1</v>
      </c>
      <c r="AX93">
        <f ca="1">ROUND(T_Facebook_Ads11596367[[#This Row],[impressions]]*RANDBETWEEN(8,12)/10,0)</f>
        <v>12811</v>
      </c>
      <c r="AY93">
        <f ca="1">ROUND(T_Facebook_Ads11596367[[#This Row],[clicks]]*RANDBETWEEN(8,12)/10,0)</f>
        <v>827</v>
      </c>
      <c r="AZ93">
        <f ca="1">T_Facebook_Ads11596367[[#This Row],[spend]]*RANDBETWEEN(8,12)/10</f>
        <v>206.30699999999996</v>
      </c>
      <c r="BA93">
        <f ca="1">ROUND(T_Facebook_Ads11596367[[#This Row],[conversions]]*RANDBETWEEN(8,12)/10,0)</f>
        <v>40</v>
      </c>
      <c r="BB93">
        <f ca="1">ROUND(T_Facebook_Ads11596367[[#This Row],[video_views]]*RANDBETWEEN(8,12)/10,0)</f>
        <v>1165</v>
      </c>
    </row>
    <row r="94" spans="1:54" ht="15.75" thickBot="1" x14ac:dyDescent="0.3">
      <c r="A94" s="3">
        <f t="shared" ca="1" si="9"/>
        <v>45040</v>
      </c>
      <c r="B94" s="4" t="s">
        <v>60</v>
      </c>
      <c r="C94" s="4" t="s">
        <v>61</v>
      </c>
      <c r="D94" s="4" t="s">
        <v>62</v>
      </c>
      <c r="E94" s="4" t="s">
        <v>63</v>
      </c>
      <c r="F94" s="4">
        <f ca="1">ROUND(T_Facebook_Ads[[#This Row],[impressions]]*RANDBETWEEN(8,12)/10,0)</f>
        <v>42779</v>
      </c>
      <c r="G94" s="4">
        <v>1445</v>
      </c>
      <c r="H94" s="4">
        <f ca="1">T_Facebook_Ads[[#This Row],[spend]]*RANDBETWEEN(8,12)/10</f>
        <v>277.43999999999994</v>
      </c>
      <c r="I94" s="4">
        <f ca="1">ROUND(T_Facebook_Ads[[#This Row],[conversions]]*RANDBETWEEN(8,12)/10,0)</f>
        <v>32</v>
      </c>
      <c r="J94" s="4">
        <f ca="1">ROUND(T_Facebook_Ads[[#This Row],[video_views]]*RANDBETWEEN(8,12)/10,0)</f>
        <v>5123</v>
      </c>
      <c r="K94" s="4">
        <f ca="1">T_Facebook_Ads[[#This Row],[engagement_rate]]*RANDBETWEEN(8,12)/10</f>
        <v>3.3479999999999996E-2</v>
      </c>
      <c r="L94" s="4">
        <f ca="1">ROUND(T_Facebook_Ads[[#This Row],[reach]]*RANDBETWEEN(8,12)/10,0)</f>
        <v>31567</v>
      </c>
      <c r="M94" s="4">
        <f ca="1">T_Facebook_Ads[[#This Row],[frequency]]*RANDBETWEEN(8,12)/10</f>
        <v>0.98399999999999999</v>
      </c>
      <c r="O94" s="3">
        <f t="shared" ca="1" si="10"/>
        <v>45033</v>
      </c>
      <c r="P94" s="4" t="s">
        <v>84</v>
      </c>
      <c r="Q94" s="4" t="s">
        <v>85</v>
      </c>
      <c r="R94" s="4" t="s">
        <v>86</v>
      </c>
      <c r="S94" s="4" t="s">
        <v>87</v>
      </c>
      <c r="T94" s="4">
        <f ca="1">ROUND(_Google_ads[[#This Row],[impressions]]*RANDBETWEEN(8,12)/10,0)</f>
        <v>72890</v>
      </c>
      <c r="U94" s="4">
        <f ca="1">ROUND(_Google_ads[[#This Row],[clicks]]*RANDBETWEEN(8,12)/10,0)</f>
        <v>2191</v>
      </c>
      <c r="V94" s="4">
        <f ca="1">_Google_ads[[#This Row],[cost]]*RANDBETWEEN(8,12)/10</f>
        <v>405.17999999999995</v>
      </c>
      <c r="W94" s="4">
        <f ca="1">ROUND(_Google_ads[[#This Row],[conversions]]*RANDBETWEEN(8,12)/10,0)</f>
        <v>78</v>
      </c>
      <c r="X94" s="4">
        <f ca="1">ROUND(_Google_ads[[#This Row],[conversion_value]]*RANDBETWEEN(8,12)/10,0)</f>
        <v>2840</v>
      </c>
      <c r="Y94" s="4">
        <f ca="1">_Google_ads[[#This Row],[ctr]]*RANDBETWEEN(8,12)/10</f>
        <v>3.6740000000000002E-2</v>
      </c>
      <c r="Z94" s="4">
        <f ca="1">_Google_ads[[#This Row],[avg_cpc]]*RANDBETWEEN(8,12)/10</f>
        <v>0.16199999999999998</v>
      </c>
      <c r="AA94" s="4">
        <f ca="1">ROUND(_Google_ads[[#This Row],[quality_score]]*RANDBETWEEN(8,12)/10,0)</f>
        <v>7</v>
      </c>
      <c r="AB94" s="4">
        <f ca="1">_Google_ads[[#This Row],[search_impression_share]]*RANDBETWEEN(8,12)/10</f>
        <v>0.62099999999999989</v>
      </c>
      <c r="AD94" s="3">
        <f t="shared" ca="1" si="11"/>
        <v>45028</v>
      </c>
      <c r="AE94" s="4" t="s">
        <v>108</v>
      </c>
      <c r="AF94" s="4" t="s">
        <v>109</v>
      </c>
      <c r="AG94" s="4" t="s">
        <v>110</v>
      </c>
      <c r="AH94" s="4" t="s">
        <v>111</v>
      </c>
      <c r="AI94" s="4">
        <f ca="1">ROUND(T_Tiktok_ads[[#This Row],[impressions]]*RANDBETWEEN(8,12)/10,0)</f>
        <v>256789</v>
      </c>
      <c r="AJ94" s="4">
        <f ca="1">ROUND(T_Tiktok_ads[[#This Row],[clicks]]*RANDBETWEEN(8,12)/10,0)</f>
        <v>4012</v>
      </c>
      <c r="AK94" s="4">
        <v>489.2</v>
      </c>
      <c r="AL94" s="4">
        <f ca="1">ROUND(T_Tiktok_ads[[#This Row],[conversions]]*RANDBETWEEN(8,12)/10,0)</f>
        <v>40</v>
      </c>
      <c r="AM94" s="4">
        <f ca="1">ROUND(T_Tiktok_ads[[#This Row],[video_views]]*RANDBETWEEN(8,12)/10,0)</f>
        <v>221357</v>
      </c>
      <c r="AN94" s="4">
        <f ca="1">ROUND(T_Tiktok_ads[[#This Row],[video_watch_25]]*RANDBETWEEN(8,12)/10,0)</f>
        <v>167580</v>
      </c>
      <c r="AO94" s="4">
        <f ca="1">ROUND(T_Tiktok_ads[[#This Row],[video_watch_50]]*RANDBETWEEN(8,12)/10,0)</f>
        <v>132502</v>
      </c>
      <c r="AP94" s="4">
        <f ca="1">ROUND(T_Tiktok_ads[[#This Row],[video_watch_75]]*RANDBETWEEN(8,12)/10,0)</f>
        <v>93468</v>
      </c>
      <c r="AQ94" s="4">
        <f ca="1">ROUND(T_Tiktok_ads[[#This Row],[video_watch_100]]*RANDBETWEEN(8,12)/10,0)</f>
        <v>56681</v>
      </c>
      <c r="AR94" s="4">
        <f ca="1">ROUND(T_Tiktok_ads[[#This Row],[likes]]*RANDBETWEEN(8,12)/10,0)</f>
        <v>10681</v>
      </c>
      <c r="AS94" s="4">
        <f ca="1">ROUND(T_Tiktok_ads[[#This Row],[shares]]*RANDBETWEEN(8,12)/10,0)</f>
        <v>2456</v>
      </c>
      <c r="AT94" s="4">
        <f ca="1">ROUND(T_Tiktok_ads[[#This Row],[comments]]*RANDBETWEEN(8,12)/10,0)</f>
        <v>648</v>
      </c>
      <c r="AV94" s="5">
        <f t="shared" ca="1" si="12"/>
        <v>45037</v>
      </c>
      <c r="AW94">
        <f t="shared" ca="1" si="13"/>
        <v>3</v>
      </c>
      <c r="AX94">
        <f ca="1">ROUND(T_Facebook_Ads11596367[[#This Row],[impressions]]*RANDBETWEEN(8,12)/10,0)</f>
        <v>42779</v>
      </c>
      <c r="AY94">
        <f ca="1">ROUND(T_Facebook_Ads11596367[[#This Row],[clicks]]*RANDBETWEEN(8,12)/10,0)</f>
        <v>1156</v>
      </c>
      <c r="AZ94">
        <f ca="1">T_Facebook_Ads11596367[[#This Row],[spend]]*RANDBETWEEN(8,12)/10</f>
        <v>332.92799999999994</v>
      </c>
      <c r="BA94">
        <f ca="1">ROUND(T_Facebook_Ads11596367[[#This Row],[conversions]]*RANDBETWEEN(8,12)/10,0)</f>
        <v>32</v>
      </c>
      <c r="BB94">
        <f ca="1">ROUND(T_Facebook_Ads11596367[[#This Row],[video_views]]*RANDBETWEEN(8,12)/10,0)</f>
        <v>5635</v>
      </c>
    </row>
    <row r="95" spans="1:54" ht="15.75" thickBot="1" x14ac:dyDescent="0.3">
      <c r="A95" s="3">
        <f t="shared" ca="1" si="9"/>
        <v>45030</v>
      </c>
      <c r="B95" s="4" t="s">
        <v>64</v>
      </c>
      <c r="C95" s="4" t="s">
        <v>65</v>
      </c>
      <c r="D95" s="4" t="s">
        <v>66</v>
      </c>
      <c r="E95" s="4" t="s">
        <v>67</v>
      </c>
      <c r="F95" s="4">
        <f ca="1">ROUND(T_Facebook_Ads[[#This Row],[impressions]]*RANDBETWEEN(8,12)/10,0)</f>
        <v>66110</v>
      </c>
      <c r="G95" s="4">
        <v>261</v>
      </c>
      <c r="H95" s="4">
        <f ca="1">T_Facebook_Ads[[#This Row],[spend]]*RANDBETWEEN(8,12)/10</f>
        <v>94.6</v>
      </c>
      <c r="I95" s="4">
        <f ca="1">ROUND(T_Facebook_Ads[[#This Row],[conversions]]*RANDBETWEEN(8,12)/10,0)</f>
        <v>6</v>
      </c>
      <c r="J95" s="4">
        <f ca="1">ROUND(T_Facebook_Ads[[#This Row],[video_views]]*RANDBETWEEN(8,12)/10,0)</f>
        <v>39387</v>
      </c>
      <c r="K95" s="4">
        <f ca="1">T_Facebook_Ads[[#This Row],[engagement_rate]]*RANDBETWEEN(8,12)/10</f>
        <v>4.3200000000000001E-3</v>
      </c>
      <c r="L95" s="4">
        <f ca="1">ROUND(T_Facebook_Ads[[#This Row],[reach]]*RANDBETWEEN(8,12)/10,0)</f>
        <v>53610</v>
      </c>
      <c r="M95" s="4">
        <f ca="1">T_Facebook_Ads[[#This Row],[frequency]]*RANDBETWEEN(8,12)/10</f>
        <v>1.353</v>
      </c>
      <c r="O95" s="3">
        <f t="shared" ca="1" si="10"/>
        <v>45045</v>
      </c>
      <c r="P95" s="4" t="s">
        <v>88</v>
      </c>
      <c r="Q95" s="4" t="s">
        <v>89</v>
      </c>
      <c r="R95" s="4" t="s">
        <v>90</v>
      </c>
      <c r="S95" s="4" t="s">
        <v>59</v>
      </c>
      <c r="T95" s="4">
        <f ca="1">ROUND(_Google_ads[[#This Row],[impressions]]*RANDBETWEEN(8,12)/10,0)</f>
        <v>110854</v>
      </c>
      <c r="U95" s="4">
        <f ca="1">ROUND(_Google_ads[[#This Row],[clicks]]*RANDBETWEEN(8,12)/10,0)</f>
        <v>563</v>
      </c>
      <c r="V95" s="4">
        <f ca="1">_Google_ads[[#This Row],[cost]]*RANDBETWEEN(8,12)/10</f>
        <v>136.19999999999999</v>
      </c>
      <c r="W95" s="4">
        <f ca="1">ROUND(_Google_ads[[#This Row],[conversions]]*RANDBETWEEN(8,12)/10,0)</f>
        <v>14</v>
      </c>
      <c r="X95" s="4">
        <f ca="1">ROUND(_Google_ads[[#This Row],[conversion_value]]*RANDBETWEEN(8,12)/10,0)</f>
        <v>675</v>
      </c>
      <c r="Y95" s="4">
        <f ca="1">_Google_ads[[#This Row],[ctr]]*RANDBETWEEN(8,12)/10</f>
        <v>3.7000000000000006E-3</v>
      </c>
      <c r="Z95" s="4">
        <f ca="1">_Google_ads[[#This Row],[avg_cpc]]*RANDBETWEEN(8,12)/10</f>
        <v>0.27</v>
      </c>
      <c r="AA95" s="4">
        <f ca="1">ROUND(_Google_ads[[#This Row],[quality_score]]*RANDBETWEEN(8,12)/10,0)</f>
        <v>7</v>
      </c>
      <c r="AB95" s="4">
        <f ca="1">_Google_ads[[#This Row],[search_impression_share]]*RANDBETWEEN(8,12)/10</f>
        <v>0.36</v>
      </c>
      <c r="AD95" s="3">
        <f t="shared" ca="1" si="11"/>
        <v>45022</v>
      </c>
      <c r="AE95" s="4" t="s">
        <v>112</v>
      </c>
      <c r="AF95" s="4" t="s">
        <v>113</v>
      </c>
      <c r="AG95" s="4" t="s">
        <v>114</v>
      </c>
      <c r="AH95" s="4" t="s">
        <v>115</v>
      </c>
      <c r="AI95" s="4">
        <f ca="1">ROUND(T_Tiktok_ads[[#This Row],[impressions]]*RANDBETWEEN(8,12)/10,0)</f>
        <v>534814</v>
      </c>
      <c r="AJ95" s="4">
        <f ca="1">ROUND(T_Tiktok_ads[[#This Row],[clicks]]*RANDBETWEEN(8,12)/10,0)</f>
        <v>7234</v>
      </c>
      <c r="AK95" s="4">
        <v>1123.5</v>
      </c>
      <c r="AL95" s="4">
        <f ca="1">ROUND(T_Tiktok_ads[[#This Row],[conversions]]*RANDBETWEEN(8,12)/10,0)</f>
        <v>102</v>
      </c>
      <c r="AM95" s="4">
        <f ca="1">ROUND(T_Tiktok_ads[[#This Row],[video_views]]*RANDBETWEEN(8,12)/10,0)</f>
        <v>454681</v>
      </c>
      <c r="AN95" s="4">
        <f ca="1">ROUND(T_Tiktok_ads[[#This Row],[video_watch_25]]*RANDBETWEEN(8,12)/10,0)</f>
        <v>335024</v>
      </c>
      <c r="AO95" s="4">
        <f ca="1">ROUND(T_Tiktok_ads[[#This Row],[video_watch_50]]*RANDBETWEEN(8,12)/10,0)</f>
        <v>219110</v>
      </c>
      <c r="AP95" s="4">
        <f ca="1">ROUND(T_Tiktok_ads[[#This Row],[video_watch_75]]*RANDBETWEEN(8,12)/10,0)</f>
        <v>189580</v>
      </c>
      <c r="AQ95" s="4">
        <f ca="1">ROUND(T_Tiktok_ads[[#This Row],[video_watch_100]]*RANDBETWEEN(8,12)/10,0)</f>
        <v>137480</v>
      </c>
      <c r="AR95" s="4">
        <f ca="1">ROUND(T_Tiktok_ads[[#This Row],[likes]]*RANDBETWEEN(8,12)/10,0)</f>
        <v>17610</v>
      </c>
      <c r="AS95" s="4">
        <f ca="1">ROUND(T_Tiktok_ads[[#This Row],[shares]]*RANDBETWEEN(8,12)/10,0)</f>
        <v>6814</v>
      </c>
      <c r="AT95" s="4">
        <f ca="1">ROUND(T_Tiktok_ads[[#This Row],[comments]]*RANDBETWEEN(8,12)/10,0)</f>
        <v>1880</v>
      </c>
      <c r="AV95" s="5">
        <f t="shared" ca="1" si="12"/>
        <v>45031</v>
      </c>
      <c r="AW95">
        <f t="shared" ca="1" si="13"/>
        <v>8</v>
      </c>
      <c r="AX95">
        <f ca="1">ROUND(T_Facebook_Ads11596367[[#This Row],[impressions]]*RANDBETWEEN(8,12)/10,0)</f>
        <v>79332</v>
      </c>
      <c r="AY95">
        <f ca="1">ROUND(T_Facebook_Ads11596367[[#This Row],[clicks]]*RANDBETWEEN(8,12)/10,0)</f>
        <v>287</v>
      </c>
      <c r="AZ95">
        <f ca="1">T_Facebook_Ads11596367[[#This Row],[spend]]*RANDBETWEEN(8,12)/10</f>
        <v>113.51999999999998</v>
      </c>
      <c r="BA95">
        <f ca="1">ROUND(T_Facebook_Ads11596367[[#This Row],[conversions]]*RANDBETWEEN(8,12)/10,0)</f>
        <v>5</v>
      </c>
      <c r="BB95">
        <f ca="1">ROUND(T_Facebook_Ads11596367[[#This Row],[video_views]]*RANDBETWEEN(8,12)/10,0)</f>
        <v>35448</v>
      </c>
    </row>
    <row r="96" spans="1:54" ht="15.75" thickBot="1" x14ac:dyDescent="0.3">
      <c r="A96" s="3">
        <f t="shared" ca="1" si="9"/>
        <v>45040</v>
      </c>
      <c r="B96" s="4" t="s">
        <v>52</v>
      </c>
      <c r="C96" s="4" t="s">
        <v>53</v>
      </c>
      <c r="D96" s="4" t="s">
        <v>54</v>
      </c>
      <c r="E96" s="4" t="s">
        <v>55</v>
      </c>
      <c r="F96" s="4">
        <f ca="1">ROUND(T_Facebook_Ads[[#This Row],[impressions]]*RANDBETWEEN(8,12)/10,0)</f>
        <v>41611</v>
      </c>
      <c r="G96" s="4">
        <v>934</v>
      </c>
      <c r="H96" s="4">
        <f ca="1">T_Facebook_Ads[[#This Row],[spend]]*RANDBETWEEN(8,12)/10</f>
        <v>147.18</v>
      </c>
      <c r="I96" s="4">
        <f ca="1">ROUND(T_Facebook_Ads[[#This Row],[conversions]]*RANDBETWEEN(8,12)/10,0)</f>
        <v>12</v>
      </c>
      <c r="J96" s="4">
        <f ca="1">ROUND(T_Facebook_Ads[[#This Row],[video_views]]*RANDBETWEEN(8,12)/10,0)</f>
        <v>7610</v>
      </c>
      <c r="K96" s="4">
        <f ca="1">T_Facebook_Ads[[#This Row],[engagement_rate]]*RANDBETWEEN(8,12)/10</f>
        <v>2.0199999999999999E-2</v>
      </c>
      <c r="L96" s="4">
        <f ca="1">ROUND(T_Facebook_Ads[[#This Row],[reach]]*RANDBETWEEN(8,12)/10,0)</f>
        <v>46668</v>
      </c>
      <c r="M96" s="4">
        <f ca="1">T_Facebook_Ads[[#This Row],[frequency]]*RANDBETWEEN(8,12)/10</f>
        <v>1.4279999999999999</v>
      </c>
      <c r="O96" s="3">
        <f t="shared" ca="1" si="10"/>
        <v>45040</v>
      </c>
      <c r="P96" s="4" t="s">
        <v>76</v>
      </c>
      <c r="Q96" s="4" t="s">
        <v>77</v>
      </c>
      <c r="R96" s="4" t="s">
        <v>78</v>
      </c>
      <c r="S96" s="4" t="s">
        <v>79</v>
      </c>
      <c r="T96" s="4">
        <f ca="1">ROUND(_Google_ads[[#This Row],[impressions]]*RANDBETWEEN(8,12)/10,0)</f>
        <v>22711</v>
      </c>
      <c r="U96" s="4">
        <f ca="1">ROUND(_Google_ads[[#This Row],[clicks]]*RANDBETWEEN(8,12)/10,0)</f>
        <v>1574</v>
      </c>
      <c r="V96" s="4">
        <f ca="1">_Google_ads[[#This Row],[cost]]*RANDBETWEEN(8,12)/10</f>
        <v>300.36</v>
      </c>
      <c r="W96" s="4">
        <f ca="1">ROUND(_Google_ads[[#This Row],[conversions]]*RANDBETWEEN(8,12)/10,0)</f>
        <v>54</v>
      </c>
      <c r="X96" s="4">
        <f ca="1">ROUND(_Google_ads[[#This Row],[conversion_value]]*RANDBETWEEN(8,12)/10,0)</f>
        <v>2940</v>
      </c>
      <c r="Y96" s="4">
        <f ca="1">_Google_ads[[#This Row],[ctr]]*RANDBETWEEN(8,12)/10</f>
        <v>6.2399999999999997E-2</v>
      </c>
      <c r="Z96" s="4">
        <f ca="1">_Google_ads[[#This Row],[avg_cpc]]*RANDBETWEEN(8,12)/10</f>
        <v>0.152</v>
      </c>
      <c r="AA96" s="4">
        <f ca="1">ROUND(_Google_ads[[#This Row],[quality_score]]*RANDBETWEEN(8,12)/10,0)</f>
        <v>8</v>
      </c>
      <c r="AB96" s="4">
        <f ca="1">_Google_ads[[#This Row],[search_impression_share]]*RANDBETWEEN(8,12)/10</f>
        <v>1.0920000000000001</v>
      </c>
      <c r="AD96" s="3">
        <f t="shared" ca="1" si="11"/>
        <v>45046</v>
      </c>
      <c r="AE96" s="4" t="s">
        <v>100</v>
      </c>
      <c r="AF96" s="4" t="s">
        <v>101</v>
      </c>
      <c r="AG96" s="4" t="s">
        <v>102</v>
      </c>
      <c r="AH96" s="4" t="s">
        <v>103</v>
      </c>
      <c r="AI96" s="4">
        <f ca="1">ROUND(T_Tiktok_ads[[#This Row],[impressions]]*RANDBETWEEN(8,12)/10,0)</f>
        <v>223121</v>
      </c>
      <c r="AJ96" s="4">
        <f ca="1">ROUND(T_Tiktok_ads[[#This Row],[clicks]]*RANDBETWEEN(8,12)/10,0)</f>
        <v>4948</v>
      </c>
      <c r="AK96" s="4">
        <v>545.6</v>
      </c>
      <c r="AL96" s="4">
        <f ca="1">ROUND(T_Tiktok_ads[[#This Row],[conversions]]*RANDBETWEEN(8,12)/10,0)</f>
        <v>38</v>
      </c>
      <c r="AM96" s="4">
        <f ca="1">ROUND(T_Tiktok_ads[[#This Row],[video_views]]*RANDBETWEEN(8,12)/10,0)</f>
        <v>183387</v>
      </c>
      <c r="AN96" s="4">
        <f ca="1">ROUND(T_Tiktok_ads[[#This Row],[video_watch_25]]*RANDBETWEEN(8,12)/10,0)</f>
        <v>161311</v>
      </c>
      <c r="AO96" s="4">
        <f ca="1">ROUND(T_Tiktok_ads[[#This Row],[video_watch_50]]*RANDBETWEEN(8,12)/10,0)</f>
        <v>134681</v>
      </c>
      <c r="AP96" s="4">
        <f ca="1">ROUND(T_Tiktok_ads[[#This Row],[video_watch_75]]*RANDBETWEEN(8,12)/10,0)</f>
        <v>90814</v>
      </c>
      <c r="AQ96" s="4">
        <f ca="1">ROUND(T_Tiktok_ads[[#This Row],[video_watch_100]]*RANDBETWEEN(8,12)/10,0)</f>
        <v>40187</v>
      </c>
      <c r="AR96" s="4">
        <f ca="1">ROUND(T_Tiktok_ads[[#This Row],[likes]]*RANDBETWEEN(8,12)/10,0)</f>
        <v>11135</v>
      </c>
      <c r="AS96" s="4">
        <f ca="1">ROUND(T_Tiktok_ads[[#This Row],[shares]]*RANDBETWEEN(8,12)/10,0)</f>
        <v>2441</v>
      </c>
      <c r="AT96" s="4">
        <f ca="1">ROUND(T_Tiktok_ads[[#This Row],[comments]]*RANDBETWEEN(8,12)/10,0)</f>
        <v>645</v>
      </c>
      <c r="AV96" s="5">
        <f t="shared" ca="1" si="12"/>
        <v>45021</v>
      </c>
      <c r="AW96">
        <f t="shared" ca="1" si="13"/>
        <v>3</v>
      </c>
      <c r="AX96">
        <f ca="1">ROUND(T_Facebook_Ads11596367[[#This Row],[impressions]]*RANDBETWEEN(8,12)/10,0)</f>
        <v>41611</v>
      </c>
      <c r="AY96">
        <f ca="1">ROUND(T_Facebook_Ads11596367[[#This Row],[clicks]]*RANDBETWEEN(8,12)/10,0)</f>
        <v>1027</v>
      </c>
      <c r="AZ96">
        <f ca="1">T_Facebook_Ads11596367[[#This Row],[spend]]*RANDBETWEEN(8,12)/10</f>
        <v>132.46200000000002</v>
      </c>
      <c r="BA96">
        <f ca="1">ROUND(T_Facebook_Ads11596367[[#This Row],[conversions]]*RANDBETWEEN(8,12)/10,0)</f>
        <v>13</v>
      </c>
      <c r="BB96">
        <f ca="1">ROUND(T_Facebook_Ads11596367[[#This Row],[video_views]]*RANDBETWEEN(8,12)/10,0)</f>
        <v>8371</v>
      </c>
    </row>
    <row r="97" spans="1:54" ht="15.75" thickBot="1" x14ac:dyDescent="0.3">
      <c r="A97" s="3">
        <f t="shared" ca="1" si="9"/>
        <v>45024</v>
      </c>
      <c r="B97" s="4" t="s">
        <v>56</v>
      </c>
      <c r="C97" s="4" t="s">
        <v>57</v>
      </c>
      <c r="D97" s="4" t="s">
        <v>58</v>
      </c>
      <c r="E97" s="4" t="s">
        <v>59</v>
      </c>
      <c r="F97" s="4">
        <f ca="1">ROUND(T_Facebook_Ads[[#This Row],[impressions]]*RANDBETWEEN(8,12)/10,0)</f>
        <v>13824</v>
      </c>
      <c r="G97" s="4">
        <v>567</v>
      </c>
      <c r="H97" s="4">
        <f ca="1">T_Facebook_Ads[[#This Row],[spend]]*RANDBETWEEN(8,12)/10</f>
        <v>188.46</v>
      </c>
      <c r="I97" s="4">
        <f ca="1">ROUND(T_Facebook_Ads[[#This Row],[conversions]]*RANDBETWEEN(8,12)/10,0)</f>
        <v>43</v>
      </c>
      <c r="J97" s="4">
        <f ca="1">ROUND(T_Facebook_Ads[[#This Row],[video_views]]*RANDBETWEEN(8,12)/10,0)</f>
        <v>1140</v>
      </c>
      <c r="K97" s="4">
        <f ca="1">T_Facebook_Ads[[#This Row],[engagement_rate]]*RANDBETWEEN(8,12)/10</f>
        <v>4.5100000000000001E-2</v>
      </c>
      <c r="L97" s="4">
        <f ca="1">ROUND(T_Facebook_Ads[[#This Row],[reach]]*RANDBETWEEN(8,12)/10,0)</f>
        <v>11868</v>
      </c>
      <c r="M97" s="4">
        <f ca="1">T_Facebook_Ads[[#This Row],[frequency]]*RANDBETWEEN(8,12)/10</f>
        <v>1.016</v>
      </c>
      <c r="O97" s="3">
        <f t="shared" ca="1" si="10"/>
        <v>45018</v>
      </c>
      <c r="P97" s="4" t="s">
        <v>80</v>
      </c>
      <c r="Q97" s="4" t="s">
        <v>81</v>
      </c>
      <c r="R97" s="4" t="s">
        <v>82</v>
      </c>
      <c r="S97" s="4" t="s">
        <v>83</v>
      </c>
      <c r="T97" s="4">
        <f ca="1">ROUND(_Google_ads[[#This Row],[impressions]]*RANDBETWEEN(8,12)/10,0)</f>
        <v>54814</v>
      </c>
      <c r="U97" s="4">
        <f ca="1">ROUND(_Google_ads[[#This Row],[clicks]]*RANDBETWEEN(8,12)/10,0)</f>
        <v>901</v>
      </c>
      <c r="V97" s="4">
        <f ca="1">_Google_ads[[#This Row],[cost]]*RANDBETWEEN(8,12)/10</f>
        <v>642.95000000000005</v>
      </c>
      <c r="W97" s="4">
        <f ca="1">ROUND(_Google_ads[[#This Row],[conversions]]*RANDBETWEEN(8,12)/10,0)</f>
        <v>24</v>
      </c>
      <c r="X97" s="4">
        <f ca="1">ROUND(_Google_ads[[#This Row],[conversion_value]]*RANDBETWEEN(8,12)/10,0)</f>
        <v>1320</v>
      </c>
      <c r="Y97" s="4">
        <f ca="1">_Google_ads[[#This Row],[ctr]]*RANDBETWEEN(8,12)/10</f>
        <v>2.3640000000000001E-2</v>
      </c>
      <c r="Z97" s="4">
        <f ca="1">_Google_ads[[#This Row],[avg_cpc]]*RANDBETWEEN(8,12)/10</f>
        <v>0.65</v>
      </c>
      <c r="AA97" s="4">
        <f ca="1">ROUND(_Google_ads[[#This Row],[quality_score]]*RANDBETWEEN(8,12)/10,0)</f>
        <v>8</v>
      </c>
      <c r="AB97" s="4">
        <f ca="1">_Google_ads[[#This Row],[search_impression_share]]*RANDBETWEEN(8,12)/10</f>
        <v>0.36</v>
      </c>
      <c r="AD97" s="3">
        <f t="shared" ca="1" si="11"/>
        <v>45021</v>
      </c>
      <c r="AE97" s="4" t="s">
        <v>104</v>
      </c>
      <c r="AF97" s="4" t="s">
        <v>105</v>
      </c>
      <c r="AG97" s="4" t="s">
        <v>106</v>
      </c>
      <c r="AH97" s="4" t="s">
        <v>107</v>
      </c>
      <c r="AI97" s="4">
        <f ca="1">ROUND(T_Tiktok_ads[[#This Row],[impressions]]*RANDBETWEEN(8,12)/10,0)</f>
        <v>184147</v>
      </c>
      <c r="AJ97" s="4">
        <f ca="1">ROUND(T_Tiktok_ads[[#This Row],[clicks]]*RANDBETWEEN(8,12)/10,0)</f>
        <v>2945</v>
      </c>
      <c r="AK97" s="4">
        <v>789.2</v>
      </c>
      <c r="AL97" s="4">
        <f ca="1">ROUND(T_Tiktok_ads[[#This Row],[conversions]]*RANDBETWEEN(8,12)/10,0)</f>
        <v>87</v>
      </c>
      <c r="AM97" s="4">
        <f ca="1">ROUND(T_Tiktok_ads[[#This Row],[video_views]]*RANDBETWEEN(8,12)/10,0)</f>
        <v>129468</v>
      </c>
      <c r="AN97" s="4">
        <f ca="1">ROUND(T_Tiktok_ads[[#This Row],[video_watch_25]]*RANDBETWEEN(8,12)/10,0)</f>
        <v>87524</v>
      </c>
      <c r="AO97" s="4">
        <f ca="1">ROUND(T_Tiktok_ads[[#This Row],[video_watch_50]]*RANDBETWEEN(8,12)/10,0)</f>
        <v>59046</v>
      </c>
      <c r="AP97" s="4">
        <f ca="1">ROUND(T_Tiktok_ads[[#This Row],[video_watch_75]]*RANDBETWEEN(8,12)/10,0)</f>
        <v>48281</v>
      </c>
      <c r="AQ97" s="4">
        <f ca="1">ROUND(T_Tiktok_ads[[#This Row],[video_watch_100]]*RANDBETWEEN(8,12)/10,0)</f>
        <v>24201</v>
      </c>
      <c r="AR97" s="4">
        <f ca="1">ROUND(T_Tiktok_ads[[#This Row],[likes]]*RANDBETWEEN(8,12)/10,0)</f>
        <v>6281</v>
      </c>
      <c r="AS97" s="4">
        <f ca="1">ROUND(T_Tiktok_ads[[#This Row],[shares]]*RANDBETWEEN(8,12)/10,0)</f>
        <v>1456</v>
      </c>
      <c r="AT97" s="4">
        <f ca="1">ROUND(T_Tiktok_ads[[#This Row],[comments]]*RANDBETWEEN(8,12)/10,0)</f>
        <v>222</v>
      </c>
      <c r="AV97" s="5">
        <f t="shared" ca="1" si="12"/>
        <v>45032</v>
      </c>
      <c r="AW97">
        <f t="shared" ca="1" si="13"/>
        <v>1</v>
      </c>
      <c r="AX97">
        <f ca="1">ROUND(T_Facebook_Ads11596367[[#This Row],[impressions]]*RANDBETWEEN(8,12)/10,0)</f>
        <v>13824</v>
      </c>
      <c r="AY97">
        <f ca="1">ROUND(T_Facebook_Ads11596367[[#This Row],[clicks]]*RANDBETWEEN(8,12)/10,0)</f>
        <v>510</v>
      </c>
      <c r="AZ97">
        <f ca="1">T_Facebook_Ads11596367[[#This Row],[spend]]*RANDBETWEEN(8,12)/10</f>
        <v>169.614</v>
      </c>
      <c r="BA97">
        <f ca="1">ROUND(T_Facebook_Ads11596367[[#This Row],[conversions]]*RANDBETWEEN(8,12)/10,0)</f>
        <v>39</v>
      </c>
      <c r="BB97">
        <f ca="1">ROUND(T_Facebook_Ads11596367[[#This Row],[video_views]]*RANDBETWEEN(8,12)/10,0)</f>
        <v>912</v>
      </c>
    </row>
    <row r="98" spans="1:54" ht="15.75" thickBot="1" x14ac:dyDescent="0.3">
      <c r="A98" s="3">
        <f t="shared" ref="A98:A111" ca="1" si="14">DATE(2023,4,RANDBETWEEN(1,30))</f>
        <v>45032</v>
      </c>
      <c r="B98" s="4" t="s">
        <v>60</v>
      </c>
      <c r="C98" s="4" t="s">
        <v>61</v>
      </c>
      <c r="D98" s="4" t="s">
        <v>62</v>
      </c>
      <c r="E98" s="4" t="s">
        <v>63</v>
      </c>
      <c r="F98" s="4">
        <f ca="1">ROUND(T_Facebook_Ads[[#This Row],[impressions]]*RANDBETWEEN(8,12)/10,0)</f>
        <v>39479</v>
      </c>
      <c r="G98" s="4">
        <v>1289</v>
      </c>
      <c r="H98" s="4">
        <f ca="1">T_Facebook_Ads[[#This Row],[spend]]*RANDBETWEEN(8,12)/10</f>
        <v>197.8</v>
      </c>
      <c r="I98" s="4">
        <f ca="1">ROUND(T_Facebook_Ads[[#This Row],[conversions]]*RANDBETWEEN(8,12)/10,0)</f>
        <v>32</v>
      </c>
      <c r="J98" s="4">
        <f ca="1">ROUND(T_Facebook_Ads[[#This Row],[video_views]]*RANDBETWEEN(8,12)/10,0)</f>
        <v>5480</v>
      </c>
      <c r="K98" s="4">
        <f ca="1">T_Facebook_Ads[[#This Row],[engagement_rate]]*RANDBETWEEN(8,12)/10</f>
        <v>3.2309999999999998E-2</v>
      </c>
      <c r="L98" s="4">
        <f ca="1">ROUND(T_Facebook_Ads[[#This Row],[reach]]*RANDBETWEEN(8,12)/10,0)</f>
        <v>23654</v>
      </c>
      <c r="M98" s="4">
        <f ca="1">T_Facebook_Ads[[#This Row],[frequency]]*RANDBETWEEN(8,12)/10</f>
        <v>0.96799999999999997</v>
      </c>
      <c r="O98" s="3">
        <f t="shared" ref="O98:O111" ca="1" si="15">DATE(2023,4,RANDBETWEEN(1,30))</f>
        <v>45043</v>
      </c>
      <c r="P98" s="4" t="s">
        <v>84</v>
      </c>
      <c r="Q98" s="4" t="s">
        <v>85</v>
      </c>
      <c r="R98" s="4" t="s">
        <v>86</v>
      </c>
      <c r="S98" s="4" t="s">
        <v>87</v>
      </c>
      <c r="T98" s="4">
        <f ca="1">ROUND(_Google_ads[[#This Row],[impressions]]*RANDBETWEEN(8,12)/10,0)</f>
        <v>63111</v>
      </c>
      <c r="U98" s="4">
        <f ca="1">ROUND(_Google_ads[[#This Row],[clicks]]*RANDBETWEEN(8,12)/10,0)</f>
        <v>2120</v>
      </c>
      <c r="V98" s="4">
        <f ca="1">_Google_ads[[#This Row],[cost]]*RANDBETWEEN(8,12)/10</f>
        <v>431.2</v>
      </c>
      <c r="W98" s="4">
        <f ca="1">ROUND(_Google_ads[[#This Row],[conversions]]*RANDBETWEEN(8,12)/10,0)</f>
        <v>82</v>
      </c>
      <c r="X98" s="4">
        <f ca="1">ROUND(_Google_ads[[#This Row],[conversion_value]]*RANDBETWEEN(8,12)/10,0)</f>
        <v>3060</v>
      </c>
      <c r="Y98" s="4">
        <f ca="1">_Google_ads[[#This Row],[ctr]]*RANDBETWEEN(8,12)/10</f>
        <v>2.6879999999999998E-2</v>
      </c>
      <c r="Z98" s="4">
        <f ca="1">_Google_ads[[#This Row],[avg_cpc]]*RANDBETWEEN(8,12)/10</f>
        <v>0.19800000000000001</v>
      </c>
      <c r="AA98" s="4">
        <f ca="1">ROUND(_Google_ads[[#This Row],[quality_score]]*RANDBETWEEN(8,12)/10,0)</f>
        <v>9</v>
      </c>
      <c r="AB98" s="4">
        <f ca="1">_Google_ads[[#This Row],[search_impression_share]]*RANDBETWEEN(8,12)/10</f>
        <v>0.81600000000000006</v>
      </c>
      <c r="AD98" s="3">
        <f t="shared" ref="AD98:AD111" ca="1" si="16">DATE(2023,4,RANDBETWEEN(1,30))</f>
        <v>45045</v>
      </c>
      <c r="AE98" s="4" t="s">
        <v>108</v>
      </c>
      <c r="AF98" s="4" t="s">
        <v>109</v>
      </c>
      <c r="AG98" s="4" t="s">
        <v>110</v>
      </c>
      <c r="AH98" s="4" t="s">
        <v>111</v>
      </c>
      <c r="AI98" s="4">
        <f ca="1">ROUND(T_Tiktok_ads[[#This Row],[impressions]]*RANDBETWEEN(8,12)/10,0)</f>
        <v>236789</v>
      </c>
      <c r="AJ98" s="4">
        <f ca="1">ROUND(T_Tiktok_ads[[#This Row],[clicks]]*RANDBETWEEN(8,12)/10,0)</f>
        <v>3734</v>
      </c>
      <c r="AK98" s="4">
        <v>456.8</v>
      </c>
      <c r="AL98" s="4">
        <f ca="1">ROUND(T_Tiktok_ads[[#This Row],[conversions]]*RANDBETWEEN(8,12)/10,0)</f>
        <v>40</v>
      </c>
      <c r="AM98" s="4">
        <f ca="1">ROUND(T_Tiktok_ads[[#This Row],[video_views]]*RANDBETWEEN(8,12)/10,0)</f>
        <v>206679</v>
      </c>
      <c r="AN98" s="4">
        <f ca="1">ROUND(T_Tiktok_ads[[#This Row],[video_watch_25]]*RANDBETWEEN(8,12)/10,0)</f>
        <v>142345</v>
      </c>
      <c r="AO98" s="4">
        <f ca="1">ROUND(T_Tiktok_ads[[#This Row],[video_watch_50]]*RANDBETWEEN(8,12)/10,0)</f>
        <v>101111</v>
      </c>
      <c r="AP98" s="4">
        <f ca="1">ROUND(T_Tiktok_ads[[#This Row],[video_watch_75]]*RANDBETWEEN(8,12)/10,0)</f>
        <v>65111</v>
      </c>
      <c r="AQ98" s="4">
        <f ca="1">ROUND(T_Tiktok_ads[[#This Row],[video_watch_100]]*RANDBETWEEN(8,12)/10,0)</f>
        <v>35031</v>
      </c>
      <c r="AR98" s="4">
        <f ca="1">ROUND(T_Tiktok_ads[[#This Row],[likes]]*RANDBETWEEN(8,12)/10,0)</f>
        <v>8456</v>
      </c>
      <c r="AS98" s="4">
        <f ca="1">ROUND(T_Tiktok_ads[[#This Row],[shares]]*RANDBETWEEN(8,12)/10,0)</f>
        <v>1814</v>
      </c>
      <c r="AT98" s="4">
        <f ca="1">ROUND(T_Tiktok_ads[[#This Row],[comments]]*RANDBETWEEN(8,12)/10,0)</f>
        <v>436</v>
      </c>
      <c r="AV98" s="5">
        <f t="shared" ref="AV98:AV111" ca="1" si="17">DATE(2023,4,RANDBETWEEN(1,30))</f>
        <v>45032</v>
      </c>
      <c r="AW98">
        <f t="shared" ca="1" si="13"/>
        <v>3</v>
      </c>
      <c r="AX98">
        <f ca="1">ROUND(T_Facebook_Ads11596367[[#This Row],[impressions]]*RANDBETWEEN(8,12)/10,0)</f>
        <v>31583</v>
      </c>
      <c r="AY98">
        <f ca="1">ROUND(T_Facebook_Ads11596367[[#This Row],[clicks]]*RANDBETWEEN(8,12)/10,0)</f>
        <v>1289</v>
      </c>
      <c r="AZ98">
        <f ca="1">T_Facebook_Ads11596367[[#This Row],[spend]]*RANDBETWEEN(8,12)/10</f>
        <v>158.24</v>
      </c>
      <c r="BA98">
        <f ca="1">ROUND(T_Facebook_Ads11596367[[#This Row],[conversions]]*RANDBETWEEN(8,12)/10,0)</f>
        <v>35</v>
      </c>
      <c r="BB98">
        <f ca="1">ROUND(T_Facebook_Ads11596367[[#This Row],[video_views]]*RANDBETWEEN(8,12)/10,0)</f>
        <v>6028</v>
      </c>
    </row>
    <row r="99" spans="1:54" ht="15.75" thickBot="1" x14ac:dyDescent="0.3">
      <c r="A99" s="3">
        <f t="shared" ca="1" si="14"/>
        <v>45038</v>
      </c>
      <c r="B99" s="4" t="s">
        <v>64</v>
      </c>
      <c r="C99" s="4" t="s">
        <v>65</v>
      </c>
      <c r="D99" s="4" t="s">
        <v>66</v>
      </c>
      <c r="E99" s="4" t="s">
        <v>67</v>
      </c>
      <c r="F99" s="4">
        <f ca="1">ROUND(T_Facebook_Ads[[#This Row],[impressions]]*RANDBETWEEN(8,12)/10,0)</f>
        <v>81881</v>
      </c>
      <c r="G99" s="4">
        <v>245</v>
      </c>
      <c r="H99" s="4">
        <f ca="1">T_Facebook_Ads[[#This Row],[spend]]*RANDBETWEEN(8,12)/10</f>
        <v>94.490000000000009</v>
      </c>
      <c r="I99" s="4">
        <f ca="1">ROUND(T_Facebook_Ads[[#This Row],[conversions]]*RANDBETWEEN(8,12)/10,0)</f>
        <v>5</v>
      </c>
      <c r="J99" s="4">
        <f ca="1">ROUND(T_Facebook_Ads[[#This Row],[video_views]]*RANDBETWEEN(8,12)/10,0)</f>
        <v>41110</v>
      </c>
      <c r="K99" s="4">
        <f ca="1">T_Facebook_Ads[[#This Row],[engagement_rate]]*RANDBETWEEN(8,12)/10</f>
        <v>3.2399999999999998E-3</v>
      </c>
      <c r="L99" s="4">
        <f ca="1">ROUND(T_Facebook_Ads[[#This Row],[reach]]*RANDBETWEEN(8,12)/10,0)</f>
        <v>44712</v>
      </c>
      <c r="M99" s="4">
        <f ca="1">T_Facebook_Ads[[#This Row],[frequency]]*RANDBETWEEN(8,12)/10</f>
        <v>1.464</v>
      </c>
      <c r="O99" s="3">
        <f t="shared" ca="1" si="15"/>
        <v>45019</v>
      </c>
      <c r="P99" s="4" t="s">
        <v>88</v>
      </c>
      <c r="Q99" s="4" t="s">
        <v>89</v>
      </c>
      <c r="R99" s="4" t="s">
        <v>90</v>
      </c>
      <c r="S99" s="4" t="s">
        <v>59</v>
      </c>
      <c r="T99" s="4">
        <f ca="1">ROUND(_Google_ads[[#This Row],[impressions]]*RANDBETWEEN(8,12)/10,0)</f>
        <v>134890</v>
      </c>
      <c r="U99" s="4">
        <f ca="1">ROUND(_Google_ads[[#This Row],[clicks]]*RANDBETWEEN(8,12)/10,0)</f>
        <v>440</v>
      </c>
      <c r="V99" s="4">
        <f ca="1">_Google_ads[[#This Row],[cost]]*RANDBETWEEN(8,12)/10</f>
        <v>106.16</v>
      </c>
      <c r="W99" s="4">
        <f ca="1">ROUND(_Google_ads[[#This Row],[conversions]]*RANDBETWEEN(8,12)/10,0)</f>
        <v>17</v>
      </c>
      <c r="X99" s="4">
        <f ca="1">ROUND(_Google_ads[[#This Row],[conversion_value]]*RANDBETWEEN(8,12)/10,0)</f>
        <v>560</v>
      </c>
      <c r="Y99" s="4">
        <f ca="1">_Google_ads[[#This Row],[ctr]]*RANDBETWEEN(8,12)/10</f>
        <v>4.3200000000000001E-3</v>
      </c>
      <c r="Z99" s="4">
        <f ca="1">_Google_ads[[#This Row],[avg_cpc]]*RANDBETWEEN(8,12)/10</f>
        <v>0.21600000000000003</v>
      </c>
      <c r="AA99" s="4">
        <f ca="1">ROUND(_Google_ads[[#This Row],[quality_score]]*RANDBETWEEN(8,12)/10,0)</f>
        <v>8</v>
      </c>
      <c r="AB99" s="4">
        <f ca="1">_Google_ads[[#This Row],[search_impression_share]]*RANDBETWEEN(8,12)/10</f>
        <v>0.38499999999999995</v>
      </c>
      <c r="AD99" s="3">
        <f t="shared" ca="1" si="16"/>
        <v>45020</v>
      </c>
      <c r="AE99" s="4" t="s">
        <v>112</v>
      </c>
      <c r="AF99" s="4" t="s">
        <v>113</v>
      </c>
      <c r="AG99" s="4" t="s">
        <v>114</v>
      </c>
      <c r="AH99" s="4" t="s">
        <v>115</v>
      </c>
      <c r="AI99" s="4">
        <f ca="1">ROUND(T_Tiktok_ads[[#This Row],[impressions]]*RANDBETWEEN(8,12)/10,0)</f>
        <v>423456</v>
      </c>
      <c r="AJ99" s="4">
        <f ca="1">ROUND(T_Tiktok_ads[[#This Row],[clicks]]*RANDBETWEEN(8,12)/10,0)</f>
        <v>7468</v>
      </c>
      <c r="AK99" s="4">
        <v>1034.5</v>
      </c>
      <c r="AL99" s="4">
        <f ca="1">ROUND(T_Tiktok_ads[[#This Row],[conversions]]*RANDBETWEEN(8,12)/10,0)</f>
        <v>83</v>
      </c>
      <c r="AM99" s="4">
        <f ca="1">ROUND(T_Tiktok_ads[[#This Row],[video_views]]*RANDBETWEEN(8,12)/10,0)</f>
        <v>428147</v>
      </c>
      <c r="AN99" s="4">
        <f ca="1">ROUND(T_Tiktok_ads[[#This Row],[video_watch_25]]*RANDBETWEEN(8,12)/10,0)</f>
        <v>229787</v>
      </c>
      <c r="AO99" s="4">
        <f ca="1">ROUND(T_Tiktok_ads[[#This Row],[video_watch_50]]*RANDBETWEEN(8,12)/10,0)</f>
        <v>252157</v>
      </c>
      <c r="AP99" s="4">
        <f ca="1">ROUND(T_Tiktok_ads[[#This Row],[video_watch_75]]*RANDBETWEEN(8,12)/10,0)</f>
        <v>129876</v>
      </c>
      <c r="AQ99" s="4">
        <f ca="1">ROUND(T_Tiktok_ads[[#This Row],[video_watch_100]]*RANDBETWEEN(8,12)/10,0)</f>
        <v>118679</v>
      </c>
      <c r="AR99" s="4">
        <f ca="1">ROUND(T_Tiktok_ads[[#This Row],[likes]]*RANDBETWEEN(8,12)/10,0)</f>
        <v>22507</v>
      </c>
      <c r="AS99" s="4">
        <f ca="1">ROUND(T_Tiktok_ads[[#This Row],[shares]]*RANDBETWEEN(8,12)/10,0)</f>
        <v>4811</v>
      </c>
      <c r="AT99" s="4">
        <f ca="1">ROUND(T_Tiktok_ads[[#This Row],[comments]]*RANDBETWEEN(8,12)/10,0)</f>
        <v>1602</v>
      </c>
      <c r="AV99" s="5">
        <f t="shared" ca="1" si="17"/>
        <v>45023</v>
      </c>
      <c r="AW99">
        <f t="shared" ca="1" si="13"/>
        <v>1</v>
      </c>
      <c r="AX99">
        <f ca="1">ROUND(T_Facebook_Ads11596367[[#This Row],[impressions]]*RANDBETWEEN(8,12)/10,0)</f>
        <v>98257</v>
      </c>
      <c r="AY99">
        <f ca="1">ROUND(T_Facebook_Ads11596367[[#This Row],[clicks]]*RANDBETWEEN(8,12)/10,0)</f>
        <v>270</v>
      </c>
      <c r="AZ99">
        <f ca="1">T_Facebook_Ads11596367[[#This Row],[spend]]*RANDBETWEEN(8,12)/10</f>
        <v>103.93900000000001</v>
      </c>
      <c r="BA99">
        <f ca="1">ROUND(T_Facebook_Ads11596367[[#This Row],[conversions]]*RANDBETWEEN(8,12)/10,0)</f>
        <v>6</v>
      </c>
      <c r="BB99">
        <f ca="1">ROUND(T_Facebook_Ads11596367[[#This Row],[video_views]]*RANDBETWEEN(8,12)/10,0)</f>
        <v>49332</v>
      </c>
    </row>
    <row r="100" spans="1:54" ht="15.75" thickBot="1" x14ac:dyDescent="0.3">
      <c r="A100" s="3">
        <f t="shared" ca="1" si="14"/>
        <v>45043</v>
      </c>
      <c r="B100" s="4" t="s">
        <v>52</v>
      </c>
      <c r="C100" s="4" t="s">
        <v>53</v>
      </c>
      <c r="D100" s="4" t="s">
        <v>54</v>
      </c>
      <c r="E100" s="4" t="s">
        <v>55</v>
      </c>
      <c r="F100" s="4">
        <f ca="1">ROUND(T_Facebook_Ads[[#This Row],[impressions]]*RANDBETWEEN(8,12)/10,0)</f>
        <v>53480</v>
      </c>
      <c r="G100" s="4">
        <v>890</v>
      </c>
      <c r="H100" s="4">
        <f ca="1">T_Facebook_Ads[[#This Row],[spend]]*RANDBETWEEN(8,12)/10</f>
        <v>153.11999999999998</v>
      </c>
      <c r="I100" s="4">
        <f ca="1">ROUND(T_Facebook_Ads[[#This Row],[conversions]]*RANDBETWEEN(8,12)/10,0)</f>
        <v>13</v>
      </c>
      <c r="J100" s="4">
        <f ca="1">ROUND(T_Facebook_Ads[[#This Row],[video_views]]*RANDBETWEEN(8,12)/10,0)</f>
        <v>8935</v>
      </c>
      <c r="K100" s="4">
        <f ca="1">T_Facebook_Ads[[#This Row],[engagement_rate]]*RANDBETWEEN(8,12)/10</f>
        <v>2.1999999999999999E-2</v>
      </c>
      <c r="L100" s="4">
        <f ca="1">ROUND(T_Facebook_Ads[[#This Row],[reach]]*RANDBETWEEN(8,12)/10,0)</f>
        <v>44947</v>
      </c>
      <c r="M100" s="4">
        <f ca="1">T_Facebook_Ads[[#This Row],[frequency]]*RANDBETWEEN(8,12)/10</f>
        <v>1.3089999999999999</v>
      </c>
      <c r="O100" s="3">
        <f t="shared" ca="1" si="15"/>
        <v>45046</v>
      </c>
      <c r="P100" s="4" t="s">
        <v>76</v>
      </c>
      <c r="Q100" s="4" t="s">
        <v>77</v>
      </c>
      <c r="R100" s="4" t="s">
        <v>78</v>
      </c>
      <c r="S100" s="4" t="s">
        <v>79</v>
      </c>
      <c r="T100" s="4">
        <f ca="1">ROUND(_Google_ads[[#This Row],[impressions]]*RANDBETWEEN(8,12)/10,0)</f>
        <v>28280</v>
      </c>
      <c r="U100" s="4">
        <f ca="1">ROUND(_Google_ads[[#This Row],[clicks]]*RANDBETWEEN(8,12)/10,0)</f>
        <v>1189</v>
      </c>
      <c r="V100" s="4">
        <f ca="1">_Google_ads[[#This Row],[cost]]*RANDBETWEEN(8,12)/10</f>
        <v>226.8</v>
      </c>
      <c r="W100" s="4">
        <f ca="1">ROUND(_Google_ads[[#This Row],[conversions]]*RANDBETWEEN(8,12)/10,0)</f>
        <v>48</v>
      </c>
      <c r="X100" s="4">
        <f ca="1">ROUND(_Google_ads[[#This Row],[conversion_value]]*RANDBETWEEN(8,12)/10,0)</f>
        <v>2640</v>
      </c>
      <c r="Y100" s="4">
        <f ca="1">_Google_ads[[#This Row],[ctr]]*RANDBETWEEN(8,12)/10</f>
        <v>5.5550000000000002E-2</v>
      </c>
      <c r="Z100" s="4">
        <f ca="1">_Google_ads[[#This Row],[avg_cpc]]*RANDBETWEEN(8,12)/10</f>
        <v>0.20899999999999999</v>
      </c>
      <c r="AA100" s="4">
        <f ca="1">ROUND(_Google_ads[[#This Row],[quality_score]]*RANDBETWEEN(8,12)/10,0)</f>
        <v>11</v>
      </c>
      <c r="AB100" s="4">
        <f ca="1">_Google_ads[[#This Row],[search_impression_share]]*RANDBETWEEN(8,12)/10</f>
        <v>1.08</v>
      </c>
      <c r="AD100" s="3">
        <f t="shared" ca="1" si="16"/>
        <v>45037</v>
      </c>
      <c r="AE100" s="4" t="s">
        <v>100</v>
      </c>
      <c r="AF100" s="4" t="s">
        <v>101</v>
      </c>
      <c r="AG100" s="4" t="s">
        <v>102</v>
      </c>
      <c r="AH100" s="4" t="s">
        <v>103</v>
      </c>
      <c r="AI100" s="4">
        <f ca="1">ROUND(T_Tiktok_ads[[#This Row],[impressions]]*RANDBETWEEN(8,12)/10,0)</f>
        <v>294679</v>
      </c>
      <c r="AJ100" s="4">
        <f ca="1">ROUND(T_Tiktok_ads[[#This Row],[clicks]]*RANDBETWEEN(8,12)/10,0)</f>
        <v>3945</v>
      </c>
      <c r="AK100" s="4">
        <v>501.2</v>
      </c>
      <c r="AL100" s="4">
        <f ca="1">ROUND(T_Tiktok_ads[[#This Row],[conversions]]*RANDBETWEEN(8,12)/10,0)</f>
        <v>48</v>
      </c>
      <c r="AM100" s="4">
        <f ca="1">ROUND(T_Tiktok_ads[[#This Row],[video_views]]*RANDBETWEEN(8,12)/10,0)</f>
        <v>176987</v>
      </c>
      <c r="AN100" s="4">
        <f ca="1">ROUND(T_Tiktok_ads[[#This Row],[video_watch_25]]*RANDBETWEEN(8,12)/10,0)</f>
        <v>190802</v>
      </c>
      <c r="AO100" s="4">
        <f ca="1">ROUND(T_Tiktok_ads[[#This Row],[video_watch_50]]*RANDBETWEEN(8,12)/10,0)</f>
        <v>131081</v>
      </c>
      <c r="AP100" s="4">
        <f ca="1">ROUND(T_Tiktok_ads[[#This Row],[video_watch_75]]*RANDBETWEEN(8,12)/10,0)</f>
        <v>80924</v>
      </c>
      <c r="AQ100" s="4">
        <f ca="1">ROUND(T_Tiktok_ads[[#This Row],[video_watch_100]]*RANDBETWEEN(8,12)/10,0)</f>
        <v>49234</v>
      </c>
      <c r="AR100" s="4">
        <f ca="1">ROUND(T_Tiktok_ads[[#This Row],[likes]]*RANDBETWEEN(8,12)/10,0)</f>
        <v>7831</v>
      </c>
      <c r="AS100" s="4">
        <f ca="1">ROUND(T_Tiktok_ads[[#This Row],[shares]]*RANDBETWEEN(8,12)/10,0)</f>
        <v>3161</v>
      </c>
      <c r="AT100" s="4">
        <f ca="1">ROUND(T_Tiktok_ads[[#This Row],[comments]]*RANDBETWEEN(8,12)/10,0)</f>
        <v>561</v>
      </c>
      <c r="AV100" s="5">
        <f t="shared" ca="1" si="17"/>
        <v>45019</v>
      </c>
      <c r="AW100">
        <f t="shared" ca="1" si="13"/>
        <v>7</v>
      </c>
      <c r="AX100">
        <f ca="1">ROUND(T_Facebook_Ads11596367[[#This Row],[impressions]]*RANDBETWEEN(8,12)/10,0)</f>
        <v>48132</v>
      </c>
      <c r="AY100">
        <f ca="1">ROUND(T_Facebook_Ads11596367[[#This Row],[clicks]]*RANDBETWEEN(8,12)/10,0)</f>
        <v>979</v>
      </c>
      <c r="AZ100">
        <f ca="1">T_Facebook_Ads11596367[[#This Row],[spend]]*RANDBETWEEN(8,12)/10</f>
        <v>122.49599999999998</v>
      </c>
      <c r="BA100">
        <f ca="1">ROUND(T_Facebook_Ads11596367[[#This Row],[conversions]]*RANDBETWEEN(8,12)/10,0)</f>
        <v>10</v>
      </c>
      <c r="BB100">
        <f ca="1">ROUND(T_Facebook_Ads11596367[[#This Row],[video_views]]*RANDBETWEEN(8,12)/10,0)</f>
        <v>9829</v>
      </c>
    </row>
    <row r="101" spans="1:54" ht="15.75" thickBot="1" x14ac:dyDescent="0.3">
      <c r="A101" s="3">
        <f t="shared" ca="1" si="14"/>
        <v>45019</v>
      </c>
      <c r="B101" s="4" t="s">
        <v>56</v>
      </c>
      <c r="C101" s="4" t="s">
        <v>57</v>
      </c>
      <c r="D101" s="4" t="s">
        <v>58</v>
      </c>
      <c r="E101" s="4" t="s">
        <v>59</v>
      </c>
      <c r="F101" s="4">
        <f ca="1">ROUND(T_Facebook_Ads[[#This Row],[impressions]]*RANDBETWEEN(8,12)/10,0)</f>
        <v>12602</v>
      </c>
      <c r="G101" s="4">
        <v>523</v>
      </c>
      <c r="H101" s="4">
        <f ca="1">T_Facebook_Ads[[#This Row],[spend]]*RANDBETWEEN(8,12)/10</f>
        <v>230.76000000000005</v>
      </c>
      <c r="I101" s="4">
        <f ca="1">ROUND(T_Facebook_Ads[[#This Row],[conversions]]*RANDBETWEEN(8,12)/10,0)</f>
        <v>26</v>
      </c>
      <c r="J101" s="4">
        <f ca="1">ROUND(T_Facebook_Ads[[#This Row],[video_views]]*RANDBETWEEN(8,12)/10,0)</f>
        <v>1307</v>
      </c>
      <c r="K101" s="4">
        <f ca="1">T_Facebook_Ads[[#This Row],[engagement_rate]]*RANDBETWEEN(8,12)/10</f>
        <v>3.6559999999999995E-2</v>
      </c>
      <c r="L101" s="4">
        <f ca="1">ROUND(T_Facebook_Ads[[#This Row],[reach]]*RANDBETWEEN(8,12)/10,0)</f>
        <v>7174</v>
      </c>
      <c r="M101" s="4">
        <f ca="1">T_Facebook_Ads[[#This Row],[frequency]]*RANDBETWEEN(8,12)/10</f>
        <v>1.4079999999999999</v>
      </c>
      <c r="O101" s="3">
        <f t="shared" ca="1" si="15"/>
        <v>45020</v>
      </c>
      <c r="P101" s="4" t="s">
        <v>80</v>
      </c>
      <c r="Q101" s="4" t="s">
        <v>81</v>
      </c>
      <c r="R101" s="4" t="s">
        <v>82</v>
      </c>
      <c r="S101" s="4" t="s">
        <v>83</v>
      </c>
      <c r="T101" s="4">
        <f ca="1">ROUND(_Google_ads[[#This Row],[impressions]]*RANDBETWEEN(8,12)/10,0)</f>
        <v>47179</v>
      </c>
      <c r="U101" s="4">
        <f ca="1">ROUND(_Google_ads[[#This Row],[clicks]]*RANDBETWEEN(8,12)/10,0)</f>
        <v>834</v>
      </c>
      <c r="V101" s="4">
        <f ca="1">_Google_ads[[#This Row],[cost]]*RANDBETWEEN(8,12)/10</f>
        <v>604.2299999999999</v>
      </c>
      <c r="W101" s="4">
        <f ca="1">ROUND(_Google_ads[[#This Row],[conversions]]*RANDBETWEEN(8,12)/10,0)</f>
        <v>19</v>
      </c>
      <c r="X101" s="4">
        <f ca="1">ROUND(_Google_ads[[#This Row],[conversion_value]]*RANDBETWEEN(8,12)/10,0)</f>
        <v>1260</v>
      </c>
      <c r="Y101" s="4">
        <f ca="1">_Google_ads[[#This Row],[ctr]]*RANDBETWEEN(8,12)/10</f>
        <v>1.755E-2</v>
      </c>
      <c r="Z101" s="4">
        <f ca="1">_Google_ads[[#This Row],[avg_cpc]]*RANDBETWEEN(8,12)/10</f>
        <v>0.66</v>
      </c>
      <c r="AA101" s="4">
        <f ca="1">ROUND(_Google_ads[[#This Row],[quality_score]]*RANDBETWEEN(8,12)/10,0)</f>
        <v>7</v>
      </c>
      <c r="AB101" s="4">
        <f ca="1">_Google_ads[[#This Row],[search_impression_share]]*RANDBETWEEN(8,12)/10</f>
        <v>0.34399999999999997</v>
      </c>
      <c r="AD101" s="3">
        <f t="shared" ca="1" si="16"/>
        <v>45031</v>
      </c>
      <c r="AE101" s="4" t="s">
        <v>104</v>
      </c>
      <c r="AF101" s="4" t="s">
        <v>105</v>
      </c>
      <c r="AG101" s="4" t="s">
        <v>106</v>
      </c>
      <c r="AH101" s="4" t="s">
        <v>107</v>
      </c>
      <c r="AI101" s="4">
        <f ca="1">ROUND(T_Tiktok_ads[[#This Row],[impressions]]*RANDBETWEEN(8,12)/10,0)</f>
        <v>178681</v>
      </c>
      <c r="AJ101" s="4">
        <f ca="1">ROUND(T_Tiktok_ads[[#This Row],[clicks]]*RANDBETWEEN(8,12)/10,0)</f>
        <v>2267</v>
      </c>
      <c r="AK101" s="4">
        <v>756.7</v>
      </c>
      <c r="AL101" s="4">
        <f ca="1">ROUND(T_Tiktok_ads[[#This Row],[conversions]]*RANDBETWEEN(8,12)/10,0)</f>
        <v>61</v>
      </c>
      <c r="AM101" s="4">
        <f ca="1">ROUND(T_Tiktok_ads[[#This Row],[video_views]]*RANDBETWEEN(8,12)/10,0)</f>
        <v>91111</v>
      </c>
      <c r="AN101" s="4">
        <f ca="1">ROUND(T_Tiktok_ads[[#This Row],[video_watch_25]]*RANDBETWEEN(8,12)/10,0)</f>
        <v>89480</v>
      </c>
      <c r="AO101" s="4">
        <f ca="1">ROUND(T_Tiktok_ads[[#This Row],[video_watch_50]]*RANDBETWEEN(8,12)/10,0)</f>
        <v>50234</v>
      </c>
      <c r="AP101" s="4">
        <f ca="1">ROUND(T_Tiktok_ads[[#This Row],[video_watch_75]]*RANDBETWEEN(8,12)/10,0)</f>
        <v>41679</v>
      </c>
      <c r="AQ101" s="4">
        <f ca="1">ROUND(T_Tiktok_ads[[#This Row],[video_watch_100]]*RANDBETWEEN(8,12)/10,0)</f>
        <v>30281</v>
      </c>
      <c r="AR101" s="4">
        <f ca="1">ROUND(T_Tiktok_ads[[#This Row],[likes]]*RANDBETWEEN(8,12)/10,0)</f>
        <v>5012</v>
      </c>
      <c r="AS101" s="4">
        <f ca="1">ROUND(T_Tiktok_ads[[#This Row],[shares]]*RANDBETWEEN(8,12)/10,0)</f>
        <v>1281</v>
      </c>
      <c r="AT101" s="4">
        <f ca="1">ROUND(T_Tiktok_ads[[#This Row],[comments]]*RANDBETWEEN(8,12)/10,0)</f>
        <v>214</v>
      </c>
      <c r="AV101" s="5">
        <f t="shared" ca="1" si="17"/>
        <v>45026</v>
      </c>
      <c r="AW101">
        <f t="shared" ca="1" si="13"/>
        <v>2</v>
      </c>
      <c r="AX101">
        <f ca="1">ROUND(T_Facebook_Ads11596367[[#This Row],[impressions]]*RANDBETWEEN(8,12)/10,0)</f>
        <v>11342</v>
      </c>
      <c r="AY101">
        <f ca="1">ROUND(T_Facebook_Ads11596367[[#This Row],[clicks]]*RANDBETWEEN(8,12)/10,0)</f>
        <v>628</v>
      </c>
      <c r="AZ101">
        <f ca="1">T_Facebook_Ads11596367[[#This Row],[spend]]*RANDBETWEEN(8,12)/10</f>
        <v>253.83600000000007</v>
      </c>
      <c r="BA101">
        <f ca="1">ROUND(T_Facebook_Ads11596367[[#This Row],[conversions]]*RANDBETWEEN(8,12)/10,0)</f>
        <v>29</v>
      </c>
      <c r="BB101">
        <f ca="1">ROUND(T_Facebook_Ads11596367[[#This Row],[video_views]]*RANDBETWEEN(8,12)/10,0)</f>
        <v>1046</v>
      </c>
    </row>
    <row r="102" spans="1:54" ht="15.75" thickBot="1" x14ac:dyDescent="0.3">
      <c r="A102" s="3">
        <f t="shared" ca="1" si="14"/>
        <v>45043</v>
      </c>
      <c r="B102" s="4" t="s">
        <v>60</v>
      </c>
      <c r="C102" s="4" t="s">
        <v>61</v>
      </c>
      <c r="D102" s="4" t="s">
        <v>62</v>
      </c>
      <c r="E102" s="4" t="s">
        <v>63</v>
      </c>
      <c r="F102" s="4">
        <f ca="1">ROUND(T_Facebook_Ads[[#This Row],[impressions]]*RANDBETWEEN(8,12)/10,0)</f>
        <v>26854</v>
      </c>
      <c r="G102" s="4">
        <v>1203</v>
      </c>
      <c r="H102" s="4">
        <f ca="1">T_Facebook_Ads[[#This Row],[spend]]*RANDBETWEEN(8,12)/10</f>
        <v>202.95</v>
      </c>
      <c r="I102" s="4">
        <f ca="1">ROUND(T_Facebook_Ads[[#This Row],[conversions]]*RANDBETWEEN(8,12)/10,0)</f>
        <v>20</v>
      </c>
      <c r="J102" s="4">
        <f ca="1">ROUND(T_Facebook_Ads[[#This Row],[video_views]]*RANDBETWEEN(8,12)/10,0)</f>
        <v>3298</v>
      </c>
      <c r="K102" s="4">
        <f ca="1">T_Facebook_Ads[[#This Row],[engagement_rate]]*RANDBETWEEN(8,12)/10</f>
        <v>3.2219999999999999E-2</v>
      </c>
      <c r="L102" s="4">
        <f ca="1">ROUND(T_Facebook_Ads[[#This Row],[reach]]*RANDBETWEEN(8,12)/10,0)</f>
        <v>27890</v>
      </c>
      <c r="M102" s="4">
        <f ca="1">T_Facebook_Ads[[#This Row],[frequency]]*RANDBETWEEN(8,12)/10</f>
        <v>1.44</v>
      </c>
      <c r="O102" s="3">
        <f t="shared" ca="1" si="15"/>
        <v>45031</v>
      </c>
      <c r="P102" s="4" t="s">
        <v>84</v>
      </c>
      <c r="Q102" s="4" t="s">
        <v>85</v>
      </c>
      <c r="R102" s="4" t="s">
        <v>86</v>
      </c>
      <c r="S102" s="4" t="s">
        <v>87</v>
      </c>
      <c r="T102" s="4">
        <f ca="1">ROUND(_Google_ads[[#This Row],[impressions]]*RANDBETWEEN(8,12)/10,0)</f>
        <v>79481</v>
      </c>
      <c r="U102" s="4">
        <f ca="1">ROUND(_Google_ads[[#This Row],[clicks]]*RANDBETWEEN(8,12)/10,0)</f>
        <v>2384</v>
      </c>
      <c r="V102" s="4">
        <f ca="1">_Google_ads[[#This Row],[cost]]*RANDBETWEEN(8,12)/10</f>
        <v>474.96000000000004</v>
      </c>
      <c r="W102" s="4">
        <f ca="1">ROUND(_Google_ads[[#This Row],[conversions]]*RANDBETWEEN(8,12)/10,0)</f>
        <v>67</v>
      </c>
      <c r="X102" s="4">
        <f ca="1">ROUND(_Google_ads[[#This Row],[conversion_value]]*RANDBETWEEN(8,12)/10,0)</f>
        <v>3355</v>
      </c>
      <c r="Y102" s="4">
        <f ca="1">_Google_ads[[#This Row],[ctr]]*RANDBETWEEN(8,12)/10</f>
        <v>3.27E-2</v>
      </c>
      <c r="Z102" s="4">
        <f ca="1">_Google_ads[[#This Row],[avg_cpc]]*RANDBETWEEN(8,12)/10</f>
        <v>0.18</v>
      </c>
      <c r="AA102" s="4">
        <f ca="1">ROUND(_Google_ads[[#This Row],[quality_score]]*RANDBETWEEN(8,12)/10,0)</f>
        <v>10</v>
      </c>
      <c r="AB102" s="4">
        <f ca="1">_Google_ads[[#This Row],[search_impression_share]]*RANDBETWEEN(8,12)/10</f>
        <v>0.59400000000000008</v>
      </c>
      <c r="AD102" s="3">
        <f t="shared" ca="1" si="16"/>
        <v>45037</v>
      </c>
      <c r="AE102" s="4" t="s">
        <v>108</v>
      </c>
      <c r="AF102" s="4" t="s">
        <v>109</v>
      </c>
      <c r="AG102" s="4" t="s">
        <v>110</v>
      </c>
      <c r="AH102" s="4" t="s">
        <v>111</v>
      </c>
      <c r="AI102" s="4">
        <f ca="1">ROUND(T_Tiktok_ads[[#This Row],[impressions]]*RANDBETWEEN(8,12)/10,0)</f>
        <v>223456</v>
      </c>
      <c r="AJ102" s="4">
        <f ca="1">ROUND(T_Tiktok_ads[[#This Row],[clicks]]*RANDBETWEEN(8,12)/10,0)</f>
        <v>3567</v>
      </c>
      <c r="AK102" s="4">
        <v>427.7</v>
      </c>
      <c r="AL102" s="4">
        <f ca="1">ROUND(T_Tiktok_ads[[#This Row],[conversions]]*RANDBETWEEN(8,12)/10,0)</f>
        <v>36</v>
      </c>
      <c r="AM102" s="4">
        <f ca="1">ROUND(T_Tiktok_ads[[#This Row],[video_views]]*RANDBETWEEN(8,12)/10,0)</f>
        <v>161011</v>
      </c>
      <c r="AN102" s="4">
        <f ca="1">ROUND(T_Tiktok_ads[[#This Row],[video_watch_25]]*RANDBETWEEN(8,12)/10,0)</f>
        <v>148757</v>
      </c>
      <c r="AO102" s="4">
        <f ca="1">ROUND(T_Tiktok_ads[[#This Row],[video_watch_50]]*RANDBETWEEN(8,12)/10,0)</f>
        <v>106789</v>
      </c>
      <c r="AP102" s="4">
        <f ca="1">ROUND(T_Tiktok_ads[[#This Row],[video_watch_75]]*RANDBETWEEN(8,12)/10,0)</f>
        <v>69234</v>
      </c>
      <c r="AQ102" s="4">
        <f ca="1">ROUND(T_Tiktok_ads[[#This Row],[video_watch_100]]*RANDBETWEEN(8,12)/10,0)</f>
        <v>41789</v>
      </c>
      <c r="AR102" s="4">
        <f ca="1">ROUND(T_Tiktok_ads[[#This Row],[likes]]*RANDBETWEEN(8,12)/10,0)</f>
        <v>9057</v>
      </c>
      <c r="AS102" s="4">
        <f ca="1">ROUND(T_Tiktok_ads[[#This Row],[shares]]*RANDBETWEEN(8,12)/10,0)</f>
        <v>2494</v>
      </c>
      <c r="AT102" s="4">
        <f ca="1">ROUND(T_Tiktok_ads[[#This Row],[comments]]*RANDBETWEEN(8,12)/10,0)</f>
        <v>641</v>
      </c>
      <c r="AV102" s="5">
        <f t="shared" ca="1" si="17"/>
        <v>45034</v>
      </c>
      <c r="AW102">
        <f t="shared" ca="1" si="13"/>
        <v>6</v>
      </c>
      <c r="AX102">
        <f ca="1">ROUND(T_Facebook_Ads11596367[[#This Row],[impressions]]*RANDBETWEEN(8,12)/10,0)</f>
        <v>32225</v>
      </c>
      <c r="AY102">
        <f ca="1">ROUND(T_Facebook_Ads11596367[[#This Row],[clicks]]*RANDBETWEEN(8,12)/10,0)</f>
        <v>1323</v>
      </c>
      <c r="AZ102">
        <f ca="1">T_Facebook_Ads11596367[[#This Row],[spend]]*RANDBETWEEN(8,12)/10</f>
        <v>162.35999999999999</v>
      </c>
      <c r="BA102">
        <f ca="1">ROUND(T_Facebook_Ads11596367[[#This Row],[conversions]]*RANDBETWEEN(8,12)/10,0)</f>
        <v>22</v>
      </c>
      <c r="BB102">
        <f ca="1">ROUND(T_Facebook_Ads11596367[[#This Row],[video_views]]*RANDBETWEEN(8,12)/10,0)</f>
        <v>2638</v>
      </c>
    </row>
    <row r="103" spans="1:54" ht="15.75" thickBot="1" x14ac:dyDescent="0.3">
      <c r="A103" s="3">
        <f t="shared" ca="1" si="14"/>
        <v>45019</v>
      </c>
      <c r="B103" s="4" t="s">
        <v>64</v>
      </c>
      <c r="C103" s="4" t="s">
        <v>65</v>
      </c>
      <c r="D103" s="4" t="s">
        <v>66</v>
      </c>
      <c r="E103" s="4" t="s">
        <v>67</v>
      </c>
      <c r="F103" s="4">
        <f ca="1">ROUND(T_Facebook_Ads[[#This Row],[impressions]]*RANDBETWEEN(8,12)/10,0)</f>
        <v>52631</v>
      </c>
      <c r="G103" s="4">
        <v>234</v>
      </c>
      <c r="H103" s="4">
        <f ca="1">T_Facebook_Ads[[#This Row],[spend]]*RANDBETWEEN(8,12)/10</f>
        <v>64.320000000000007</v>
      </c>
      <c r="I103" s="4">
        <f ca="1">ROUND(T_Facebook_Ads[[#This Row],[conversions]]*RANDBETWEEN(8,12)/10,0)</f>
        <v>4</v>
      </c>
      <c r="J103" s="4">
        <f ca="1">ROUND(T_Facebook_Ads[[#This Row],[video_views]]*RANDBETWEEN(8,12)/10,0)</f>
        <v>48279</v>
      </c>
      <c r="K103" s="4">
        <f ca="1">T_Facebook_Ads[[#This Row],[engagement_rate]]*RANDBETWEEN(8,12)/10</f>
        <v>4.3200000000000001E-3</v>
      </c>
      <c r="L103" s="4">
        <f ca="1">ROUND(T_Facebook_Ads[[#This Row],[reach]]*RANDBETWEEN(8,12)/10,0)</f>
        <v>48711</v>
      </c>
      <c r="M103" s="4">
        <f ca="1">T_Facebook_Ads[[#This Row],[frequency]]*RANDBETWEEN(8,12)/10</f>
        <v>0.96799999999999997</v>
      </c>
      <c r="O103" s="3">
        <f t="shared" ca="1" si="15"/>
        <v>45019</v>
      </c>
      <c r="P103" s="4" t="s">
        <v>88</v>
      </c>
      <c r="Q103" s="4" t="s">
        <v>89</v>
      </c>
      <c r="R103" s="4" t="s">
        <v>90</v>
      </c>
      <c r="S103" s="4" t="s">
        <v>59</v>
      </c>
      <c r="T103" s="4">
        <f ca="1">ROUND(_Google_ads[[#This Row],[impressions]]*RANDBETWEEN(8,12)/10,0)</f>
        <v>152814</v>
      </c>
      <c r="U103" s="4">
        <f ca="1">ROUND(_Google_ads[[#This Row],[clicks]]*RANDBETWEEN(8,12)/10,0)</f>
        <v>534</v>
      </c>
      <c r="V103" s="4">
        <f ca="1">_Google_ads[[#This Row],[cost]]*RANDBETWEEN(8,12)/10</f>
        <v>100.08</v>
      </c>
      <c r="W103" s="4">
        <f ca="1">ROUND(_Google_ads[[#This Row],[conversions]]*RANDBETWEEN(8,12)/10,0)</f>
        <v>11</v>
      </c>
      <c r="X103" s="4">
        <f ca="1">ROUND(_Google_ads[[#This Row],[conversion_value]]*RANDBETWEEN(8,12)/10,0)</f>
        <v>720</v>
      </c>
      <c r="Y103" s="4">
        <f ca="1">_Google_ads[[#This Row],[ctr]]*RANDBETWEEN(8,12)/10</f>
        <v>2.8E-3</v>
      </c>
      <c r="Z103" s="4">
        <f ca="1">_Google_ads[[#This Row],[avg_cpc]]*RANDBETWEEN(8,12)/10</f>
        <v>0.25200000000000006</v>
      </c>
      <c r="AA103" s="4">
        <f ca="1">ROUND(_Google_ads[[#This Row],[quality_score]]*RANDBETWEEN(8,12)/10,0)</f>
        <v>6</v>
      </c>
      <c r="AB103" s="4">
        <f ca="1">_Google_ads[[#This Row],[search_impression_share]]*RANDBETWEEN(8,12)/10</f>
        <v>0.26400000000000001</v>
      </c>
      <c r="AD103" s="3">
        <f t="shared" ca="1" si="16"/>
        <v>45028</v>
      </c>
      <c r="AE103" s="4" t="s">
        <v>112</v>
      </c>
      <c r="AF103" s="4" t="s">
        <v>113</v>
      </c>
      <c r="AG103" s="4" t="s">
        <v>114</v>
      </c>
      <c r="AH103" s="4" t="s">
        <v>115</v>
      </c>
      <c r="AI103" s="4">
        <f ca="1">ROUND(T_Tiktok_ads[[#This Row],[impressions]]*RANDBETWEEN(8,12)/10,0)</f>
        <v>481481</v>
      </c>
      <c r="AJ103" s="4">
        <f ca="1">ROUND(T_Tiktok_ads[[#This Row],[clicks]]*RANDBETWEEN(8,12)/10,0)</f>
        <v>7102</v>
      </c>
      <c r="AK103" s="4">
        <v>989.9</v>
      </c>
      <c r="AL103" s="4">
        <f ca="1">ROUND(T_Tiktok_ads[[#This Row],[conversions]]*RANDBETWEEN(8,12)/10,0)</f>
        <v>111</v>
      </c>
      <c r="AM103" s="4">
        <f ca="1">ROUND(T_Tiktok_ads[[#This Row],[video_views]]*RANDBETWEEN(8,12)/10,0)</f>
        <v>398814</v>
      </c>
      <c r="AN103" s="4">
        <f ca="1">ROUND(T_Tiktok_ads[[#This Row],[video_watch_25]]*RANDBETWEEN(8,12)/10,0)</f>
        <v>267890</v>
      </c>
      <c r="AO103" s="4">
        <f ca="1">ROUND(T_Tiktok_ads[[#This Row],[video_watch_50]]*RANDBETWEEN(8,12)/10,0)</f>
        <v>214567</v>
      </c>
      <c r="AP103" s="4">
        <f ca="1">ROUND(T_Tiktok_ads[[#This Row],[video_watch_75]]*RANDBETWEEN(8,12)/10,0)</f>
        <v>166357</v>
      </c>
      <c r="AQ103" s="4">
        <f ca="1">ROUND(T_Tiktok_ads[[#This Row],[video_watch_100]]*RANDBETWEEN(8,12)/10,0)</f>
        <v>99567</v>
      </c>
      <c r="AR103" s="4">
        <f ca="1">ROUND(T_Tiktok_ads[[#This Row],[likes]]*RANDBETWEEN(8,12)/10,0)</f>
        <v>20681</v>
      </c>
      <c r="AS103" s="4">
        <f ca="1">ROUND(T_Tiktok_ads[[#This Row],[shares]]*RANDBETWEEN(8,12)/10,0)</f>
        <v>4010</v>
      </c>
      <c r="AT103" s="4">
        <f ca="1">ROUND(T_Tiktok_ads[[#This Row],[comments]]*RANDBETWEEN(8,12)/10,0)</f>
        <v>1378</v>
      </c>
      <c r="AV103" s="5">
        <f t="shared" ca="1" si="17"/>
        <v>45020</v>
      </c>
      <c r="AW103">
        <f t="shared" ca="1" si="13"/>
        <v>6</v>
      </c>
      <c r="AX103">
        <f ca="1">ROUND(T_Facebook_Ads11596367[[#This Row],[impressions]]*RANDBETWEEN(8,12)/10,0)</f>
        <v>57894</v>
      </c>
      <c r="AY103">
        <f ca="1">ROUND(T_Facebook_Ads11596367[[#This Row],[clicks]]*RANDBETWEEN(8,12)/10,0)</f>
        <v>257</v>
      </c>
      <c r="AZ103">
        <f ca="1">T_Facebook_Ads11596367[[#This Row],[spend]]*RANDBETWEEN(8,12)/10</f>
        <v>70.75200000000001</v>
      </c>
      <c r="BA103">
        <f ca="1">ROUND(T_Facebook_Ads11596367[[#This Row],[conversions]]*RANDBETWEEN(8,12)/10,0)</f>
        <v>4</v>
      </c>
      <c r="BB103">
        <f ca="1">ROUND(T_Facebook_Ads11596367[[#This Row],[video_views]]*RANDBETWEEN(8,12)/10,0)</f>
        <v>38623</v>
      </c>
    </row>
    <row r="104" spans="1:54" ht="15.75" thickBot="1" x14ac:dyDescent="0.3">
      <c r="A104" s="3">
        <f t="shared" ca="1" si="14"/>
        <v>45039</v>
      </c>
      <c r="B104" s="4" t="s">
        <v>52</v>
      </c>
      <c r="C104" s="4" t="s">
        <v>53</v>
      </c>
      <c r="D104" s="4" t="s">
        <v>54</v>
      </c>
      <c r="E104" s="4" t="s">
        <v>55</v>
      </c>
      <c r="F104" s="4">
        <f ca="1">ROUND(T_Facebook_Ads[[#This Row],[impressions]]*RANDBETWEEN(8,12)/10,0)</f>
        <v>52679</v>
      </c>
      <c r="G104" s="4">
        <v>967</v>
      </c>
      <c r="H104" s="4">
        <f ca="1">T_Facebook_Ads[[#This Row],[spend]]*RANDBETWEEN(8,12)/10</f>
        <v>124.56000000000002</v>
      </c>
      <c r="I104" s="4">
        <f ca="1">ROUND(T_Facebook_Ads[[#This Row],[conversions]]*RANDBETWEEN(8,12)/10,0)</f>
        <v>12</v>
      </c>
      <c r="J104" s="4">
        <f ca="1">ROUND(T_Facebook_Ads[[#This Row],[video_views]]*RANDBETWEEN(8,12)/10,0)</f>
        <v>9668</v>
      </c>
      <c r="K104" s="4">
        <f ca="1">T_Facebook_Ads[[#This Row],[engagement_rate]]*RANDBETWEEN(8,12)/10</f>
        <v>2.2219999999999997E-2</v>
      </c>
      <c r="L104" s="4">
        <f ca="1">ROUND(T_Facebook_Ads[[#This Row],[reach]]*RANDBETWEEN(8,12)/10,0)</f>
        <v>32187</v>
      </c>
      <c r="M104" s="4">
        <f ca="1">T_Facebook_Ads[[#This Row],[frequency]]*RANDBETWEEN(8,12)/10</f>
        <v>1.19</v>
      </c>
      <c r="O104" s="3">
        <f t="shared" ca="1" si="15"/>
        <v>45026</v>
      </c>
      <c r="P104" s="4" t="s">
        <v>76</v>
      </c>
      <c r="Q104" s="4" t="s">
        <v>77</v>
      </c>
      <c r="R104" s="4" t="s">
        <v>78</v>
      </c>
      <c r="S104" s="4" t="s">
        <v>79</v>
      </c>
      <c r="T104" s="4">
        <f ca="1">ROUND(_Google_ads[[#This Row],[impressions]]*RANDBETWEEN(8,12)/10,0)</f>
        <v>19912</v>
      </c>
      <c r="U104" s="4">
        <f ca="1">ROUND(_Google_ads[[#This Row],[clicks]]*RANDBETWEEN(8,12)/10,0)</f>
        <v>1278</v>
      </c>
      <c r="V104" s="4">
        <f ca="1">_Google_ads[[#This Row],[cost]]*RANDBETWEEN(8,12)/10</f>
        <v>293.03999999999996</v>
      </c>
      <c r="W104" s="4">
        <f ca="1">ROUND(_Google_ads[[#This Row],[conversions]]*RANDBETWEEN(8,12)/10,0)</f>
        <v>56</v>
      </c>
      <c r="X104" s="4">
        <f ca="1">ROUND(_Google_ads[[#This Row],[conversion_value]]*RANDBETWEEN(8,12)/10,0)</f>
        <v>2350</v>
      </c>
      <c r="Y104" s="4">
        <f ca="1">_Google_ads[[#This Row],[ctr]]*RANDBETWEEN(8,12)/10</f>
        <v>4.104E-2</v>
      </c>
      <c r="Z104" s="4">
        <f ca="1">_Google_ads[[#This Row],[avg_cpc]]*RANDBETWEEN(8,12)/10</f>
        <v>0.20899999999999999</v>
      </c>
      <c r="AA104" s="4">
        <f ca="1">ROUND(_Google_ads[[#This Row],[quality_score]]*RANDBETWEEN(8,12)/10,0)</f>
        <v>11</v>
      </c>
      <c r="AB104" s="4">
        <f ca="1">_Google_ads[[#This Row],[search_impression_share]]*RANDBETWEEN(8,12)/10</f>
        <v>1.0920000000000001</v>
      </c>
      <c r="AD104" s="3">
        <f t="shared" ca="1" si="16"/>
        <v>45018</v>
      </c>
      <c r="AE104" s="4" t="s">
        <v>100</v>
      </c>
      <c r="AF104" s="4" t="s">
        <v>101</v>
      </c>
      <c r="AG104" s="4" t="s">
        <v>102</v>
      </c>
      <c r="AH104" s="4" t="s">
        <v>103</v>
      </c>
      <c r="AI104" s="4">
        <f ca="1">ROUND(T_Tiktok_ads[[#This Row],[impressions]]*RANDBETWEEN(8,12)/10,0)</f>
        <v>231210</v>
      </c>
      <c r="AJ104" s="4">
        <f ca="1">ROUND(T_Tiktok_ads[[#This Row],[clicks]]*RANDBETWEEN(8,12)/10,0)</f>
        <v>4234</v>
      </c>
      <c r="AK104" s="4">
        <v>556.70000000000005</v>
      </c>
      <c r="AL104" s="4">
        <f ca="1">ROUND(T_Tiktok_ads[[#This Row],[conversions]]*RANDBETWEEN(8,12)/10,0)</f>
        <v>34</v>
      </c>
      <c r="AM104" s="4">
        <f ca="1">ROUND(T_Tiktok_ads[[#This Row],[video_views]]*RANDBETWEEN(8,12)/10,0)</f>
        <v>234567</v>
      </c>
      <c r="AN104" s="4">
        <f ca="1">ROUND(T_Tiktok_ads[[#This Row],[video_watch_25]]*RANDBETWEEN(8,12)/10,0)</f>
        <v>218814</v>
      </c>
      <c r="AO104" s="4">
        <f ca="1">ROUND(T_Tiktok_ads[[#This Row],[video_watch_50]]*RANDBETWEEN(8,12)/10,0)</f>
        <v>91654</v>
      </c>
      <c r="AP104" s="4">
        <f ca="1">ROUND(T_Tiktok_ads[[#This Row],[video_watch_75]]*RANDBETWEEN(8,12)/10,0)</f>
        <v>77234</v>
      </c>
      <c r="AQ104" s="4">
        <f ca="1">ROUND(T_Tiktok_ads[[#This Row],[video_watch_100]]*RANDBETWEEN(8,12)/10,0)</f>
        <v>51234</v>
      </c>
      <c r="AR104" s="4">
        <f ca="1">ROUND(T_Tiktok_ads[[#This Row],[likes]]*RANDBETWEEN(8,12)/10,0)</f>
        <v>10345</v>
      </c>
      <c r="AS104" s="4">
        <f ca="1">ROUND(T_Tiktok_ads[[#This Row],[shares]]*RANDBETWEEN(8,12)/10,0)</f>
        <v>2789</v>
      </c>
      <c r="AT104" s="4">
        <f ca="1">ROUND(T_Tiktok_ads[[#This Row],[comments]]*RANDBETWEEN(8,12)/10,0)</f>
        <v>590</v>
      </c>
      <c r="AV104" s="5">
        <f t="shared" ca="1" si="17"/>
        <v>45019</v>
      </c>
      <c r="AW104">
        <f t="shared" ca="1" si="13"/>
        <v>8</v>
      </c>
      <c r="AX104">
        <f ca="1">ROUND(T_Facebook_Ads11596367[[#This Row],[impressions]]*RANDBETWEEN(8,12)/10,0)</f>
        <v>63215</v>
      </c>
      <c r="AY104">
        <f ca="1">ROUND(T_Facebook_Ads11596367[[#This Row],[clicks]]*RANDBETWEEN(8,12)/10,0)</f>
        <v>1160</v>
      </c>
      <c r="AZ104">
        <f ca="1">T_Facebook_Ads11596367[[#This Row],[spend]]*RANDBETWEEN(8,12)/10</f>
        <v>99.64800000000001</v>
      </c>
      <c r="BA104">
        <f ca="1">ROUND(T_Facebook_Ads11596367[[#This Row],[conversions]]*RANDBETWEEN(8,12)/10,0)</f>
        <v>11</v>
      </c>
      <c r="BB104">
        <f ca="1">ROUND(T_Facebook_Ads11596367[[#This Row],[video_views]]*RANDBETWEEN(8,12)/10,0)</f>
        <v>10635</v>
      </c>
    </row>
    <row r="105" spans="1:54" ht="15.75" thickBot="1" x14ac:dyDescent="0.3">
      <c r="A105" s="3">
        <f t="shared" ca="1" si="14"/>
        <v>45041</v>
      </c>
      <c r="B105" s="4" t="s">
        <v>56</v>
      </c>
      <c r="C105" s="4" t="s">
        <v>57</v>
      </c>
      <c r="D105" s="4" t="s">
        <v>58</v>
      </c>
      <c r="E105" s="4" t="s">
        <v>59</v>
      </c>
      <c r="F105" s="4">
        <f ca="1">ROUND(T_Facebook_Ads[[#This Row],[impressions]]*RANDBETWEEN(8,12)/10,0)</f>
        <v>14557</v>
      </c>
      <c r="G105" s="4">
        <v>612</v>
      </c>
      <c r="H105" s="4">
        <f ca="1">T_Facebook_Ads[[#This Row],[spend]]*RANDBETWEEN(8,12)/10</f>
        <v>249.15</v>
      </c>
      <c r="I105" s="4">
        <f ca="1">ROUND(T_Facebook_Ads[[#This Row],[conversions]]*RANDBETWEEN(8,12)/10,0)</f>
        <v>43</v>
      </c>
      <c r="J105" s="4">
        <f ca="1">ROUND(T_Facebook_Ads[[#This Row],[video_views]]*RANDBETWEEN(8,12)/10,0)</f>
        <v>1211</v>
      </c>
      <c r="K105" s="4">
        <f ca="1">T_Facebook_Ads[[#This Row],[engagement_rate]]*RANDBETWEEN(8,12)/10</f>
        <v>4.1669999999999999E-2</v>
      </c>
      <c r="L105" s="4">
        <f ca="1">ROUND(T_Facebook_Ads[[#This Row],[reach]]*RANDBETWEEN(8,12)/10,0)</f>
        <v>9410</v>
      </c>
      <c r="M105" s="4">
        <f ca="1">T_Facebook_Ads[[#This Row],[frequency]]*RANDBETWEEN(8,12)/10</f>
        <v>1.016</v>
      </c>
      <c r="O105" s="3">
        <f t="shared" ca="1" si="15"/>
        <v>45042</v>
      </c>
      <c r="P105" s="4" t="s">
        <v>80</v>
      </c>
      <c r="Q105" s="4" t="s">
        <v>81</v>
      </c>
      <c r="R105" s="4" t="s">
        <v>82</v>
      </c>
      <c r="S105" s="4" t="s">
        <v>83</v>
      </c>
      <c r="T105" s="4">
        <f ca="1">ROUND(_Google_ads[[#This Row],[impressions]]*RANDBETWEEN(8,12)/10,0)</f>
        <v>35654</v>
      </c>
      <c r="U105" s="4">
        <f ca="1">ROUND(_Google_ads[[#This Row],[clicks]]*RANDBETWEEN(8,12)/10,0)</f>
        <v>1054</v>
      </c>
      <c r="V105" s="4">
        <f ca="1">_Google_ads[[#This Row],[cost]]*RANDBETWEEN(8,12)/10</f>
        <v>684.95999999999992</v>
      </c>
      <c r="W105" s="4">
        <f ca="1">ROUND(_Google_ads[[#This Row],[conversions]]*RANDBETWEEN(8,12)/10,0)</f>
        <v>25</v>
      </c>
      <c r="X105" s="4">
        <f ca="1">ROUND(_Google_ads[[#This Row],[conversion_value]]*RANDBETWEEN(8,12)/10,0)</f>
        <v>1380</v>
      </c>
      <c r="Y105" s="4">
        <f ca="1">_Google_ads[[#This Row],[ctr]]*RANDBETWEEN(8,12)/10</f>
        <v>1.7729999999999999E-2</v>
      </c>
      <c r="Z105" s="4">
        <f ca="1">_Google_ads[[#This Row],[avg_cpc]]*RANDBETWEEN(8,12)/10</f>
        <v>0.65</v>
      </c>
      <c r="AA105" s="4">
        <f ca="1">ROUND(_Google_ads[[#This Row],[quality_score]]*RANDBETWEEN(8,12)/10,0)</f>
        <v>8</v>
      </c>
      <c r="AB105" s="4">
        <f ca="1">_Google_ads[[#This Row],[search_impression_share]]*RANDBETWEEN(8,12)/10</f>
        <v>0.48399999999999999</v>
      </c>
      <c r="AD105" s="3">
        <f t="shared" ca="1" si="16"/>
        <v>45028</v>
      </c>
      <c r="AE105" s="4" t="s">
        <v>104</v>
      </c>
      <c r="AF105" s="4" t="s">
        <v>105</v>
      </c>
      <c r="AG105" s="4" t="s">
        <v>106</v>
      </c>
      <c r="AH105" s="4" t="s">
        <v>107</v>
      </c>
      <c r="AI105" s="4">
        <f ca="1">ROUND(T_Tiktok_ads[[#This Row],[impressions]]*RANDBETWEEN(8,12)/10,0)</f>
        <v>156789</v>
      </c>
      <c r="AJ105" s="4">
        <f ca="1">ROUND(T_Tiktok_ads[[#This Row],[clicks]]*RANDBETWEEN(8,12)/10,0)</f>
        <v>2711</v>
      </c>
      <c r="AK105" s="4">
        <v>812.3</v>
      </c>
      <c r="AL105" s="4">
        <f ca="1">ROUND(T_Tiktok_ads[[#This Row],[conversions]]*RANDBETWEEN(8,12)/10,0)</f>
        <v>90</v>
      </c>
      <c r="AM105" s="4">
        <f ca="1">ROUND(T_Tiktok_ads[[#This Row],[video_views]]*RANDBETWEEN(8,12)/10,0)</f>
        <v>98888</v>
      </c>
      <c r="AN105" s="4">
        <f ca="1">ROUND(T_Tiktok_ads[[#This Row],[video_watch_25]]*RANDBETWEEN(8,12)/10,0)</f>
        <v>81234</v>
      </c>
      <c r="AO105" s="4">
        <f ca="1">ROUND(T_Tiktok_ads[[#This Row],[video_watch_50]]*RANDBETWEEN(8,12)/10,0)</f>
        <v>65614</v>
      </c>
      <c r="AP105" s="4">
        <f ca="1">ROUND(T_Tiktok_ads[[#This Row],[video_watch_75]]*RANDBETWEEN(8,12)/10,0)</f>
        <v>37111</v>
      </c>
      <c r="AQ105" s="4">
        <f ca="1">ROUND(T_Tiktok_ads[[#This Row],[video_watch_100]]*RANDBETWEEN(8,12)/10,0)</f>
        <v>30324</v>
      </c>
      <c r="AR105" s="4">
        <f ca="1">ROUND(T_Tiktok_ads[[#This Row],[likes]]*RANDBETWEEN(8,12)/10,0)</f>
        <v>5456</v>
      </c>
      <c r="AS105" s="4">
        <f ca="1">ROUND(T_Tiktok_ads[[#This Row],[shares]]*RANDBETWEEN(8,12)/10,0)</f>
        <v>1567</v>
      </c>
      <c r="AT105" s="4">
        <f ca="1">ROUND(T_Tiktok_ads[[#This Row],[comments]]*RANDBETWEEN(8,12)/10,0)</f>
        <v>289</v>
      </c>
      <c r="AV105" s="5">
        <f t="shared" ca="1" si="17"/>
        <v>45020</v>
      </c>
      <c r="AW105">
        <f t="shared" ca="1" si="13"/>
        <v>1</v>
      </c>
      <c r="AX105">
        <f ca="1">ROUND(T_Facebook_Ads11596367[[#This Row],[impressions]]*RANDBETWEEN(8,12)/10,0)</f>
        <v>11646</v>
      </c>
      <c r="AY105">
        <f ca="1">ROUND(T_Facebook_Ads11596367[[#This Row],[clicks]]*RANDBETWEEN(8,12)/10,0)</f>
        <v>551</v>
      </c>
      <c r="AZ105">
        <f ca="1">T_Facebook_Ads11596367[[#This Row],[spend]]*RANDBETWEEN(8,12)/10</f>
        <v>249.15</v>
      </c>
      <c r="BA105">
        <f ca="1">ROUND(T_Facebook_Ads11596367[[#This Row],[conversions]]*RANDBETWEEN(8,12)/10,0)</f>
        <v>52</v>
      </c>
      <c r="BB105">
        <f ca="1">ROUND(T_Facebook_Ads11596367[[#This Row],[video_views]]*RANDBETWEEN(8,12)/10,0)</f>
        <v>1211</v>
      </c>
    </row>
    <row r="106" spans="1:54" ht="15.75" thickBot="1" x14ac:dyDescent="0.3">
      <c r="A106" s="3">
        <f t="shared" ca="1" si="14"/>
        <v>45028</v>
      </c>
      <c r="B106" s="4" t="s">
        <v>60</v>
      </c>
      <c r="C106" s="4" t="s">
        <v>61</v>
      </c>
      <c r="D106" s="4" t="s">
        <v>62</v>
      </c>
      <c r="E106" s="4" t="s">
        <v>63</v>
      </c>
      <c r="F106" s="4">
        <f ca="1">ROUND(T_Facebook_Ads[[#This Row],[impressions]]*RANDBETWEEN(8,12)/10,0)</f>
        <v>43481</v>
      </c>
      <c r="G106" s="4">
        <v>1334</v>
      </c>
      <c r="H106" s="4">
        <f ca="1">T_Facebook_Ads[[#This Row],[spend]]*RANDBETWEEN(8,12)/10</f>
        <v>244.43999999999997</v>
      </c>
      <c r="I106" s="4">
        <f ca="1">ROUND(T_Facebook_Ads[[#This Row],[conversions]]*RANDBETWEEN(8,12)/10,0)</f>
        <v>31</v>
      </c>
      <c r="J106" s="4">
        <f ca="1">ROUND(T_Facebook_Ads[[#This Row],[video_views]]*RANDBETWEEN(8,12)/10,0)</f>
        <v>4210</v>
      </c>
      <c r="K106" s="4">
        <f ca="1">T_Facebook_Ads[[#This Row],[engagement_rate]]*RANDBETWEEN(8,12)/10</f>
        <v>3.6799999999999999E-2</v>
      </c>
      <c r="L106" s="4">
        <f ca="1">ROUND(T_Facebook_Ads[[#This Row],[reach]]*RANDBETWEEN(8,12)/10,0)</f>
        <v>36148</v>
      </c>
      <c r="M106" s="4">
        <f ca="1">T_Facebook_Ads[[#This Row],[frequency]]*RANDBETWEEN(8,12)/10</f>
        <v>1.3199999999999998</v>
      </c>
      <c r="O106" s="3">
        <f t="shared" ca="1" si="15"/>
        <v>45044</v>
      </c>
      <c r="P106" s="4" t="s">
        <v>84</v>
      </c>
      <c r="Q106" s="4" t="s">
        <v>85</v>
      </c>
      <c r="R106" s="4" t="s">
        <v>86</v>
      </c>
      <c r="S106" s="4" t="s">
        <v>87</v>
      </c>
      <c r="T106" s="4">
        <f ca="1">ROUND(_Google_ads[[#This Row],[impressions]]*RANDBETWEEN(8,12)/10,0)</f>
        <v>54765</v>
      </c>
      <c r="U106" s="4">
        <f ca="1">ROUND(_Google_ads[[#This Row],[clicks]]*RANDBETWEEN(8,12)/10,0)</f>
        <v>2518</v>
      </c>
      <c r="V106" s="4">
        <f ca="1">_Google_ads[[#This Row],[cost]]*RANDBETWEEN(8,12)/10</f>
        <v>377.55</v>
      </c>
      <c r="W106" s="4">
        <f ca="1">ROUND(_Google_ads[[#This Row],[conversions]]*RANDBETWEEN(8,12)/10,0)</f>
        <v>66</v>
      </c>
      <c r="X106" s="4">
        <f ca="1">ROUND(_Google_ads[[#This Row],[conversion_value]]*RANDBETWEEN(8,12)/10,0)</f>
        <v>3960</v>
      </c>
      <c r="Y106" s="4">
        <f ca="1">_Google_ads[[#This Row],[ctr]]*RANDBETWEEN(8,12)/10</f>
        <v>3.6740000000000002E-2</v>
      </c>
      <c r="Z106" s="4">
        <f ca="1">_Google_ads[[#This Row],[avg_cpc]]*RANDBETWEEN(8,12)/10</f>
        <v>0.19800000000000001</v>
      </c>
      <c r="AA106" s="4">
        <f ca="1">ROUND(_Google_ads[[#This Row],[quality_score]]*RANDBETWEEN(8,12)/10,0)</f>
        <v>10</v>
      </c>
      <c r="AB106" s="4">
        <f ca="1">_Google_ads[[#This Row],[search_impression_share]]*RANDBETWEEN(8,12)/10</f>
        <v>0.67</v>
      </c>
      <c r="AD106" s="3">
        <f t="shared" ca="1" si="16"/>
        <v>45044</v>
      </c>
      <c r="AE106" s="4" t="s">
        <v>108</v>
      </c>
      <c r="AF106" s="4" t="s">
        <v>109</v>
      </c>
      <c r="AG106" s="4" t="s">
        <v>110</v>
      </c>
      <c r="AH106" s="4" t="s">
        <v>111</v>
      </c>
      <c r="AI106" s="4">
        <f ca="1">ROUND(T_Tiktok_ads[[#This Row],[impressions]]*RANDBETWEEN(8,12)/10,0)</f>
        <v>245678</v>
      </c>
      <c r="AJ106" s="4">
        <f ca="1">ROUND(T_Tiktok_ads[[#This Row],[clicks]]*RANDBETWEEN(8,12)/10,0)</f>
        <v>4279</v>
      </c>
      <c r="AK106" s="4">
        <v>467.8</v>
      </c>
      <c r="AL106" s="4">
        <f ca="1">ROUND(T_Tiktok_ads[[#This Row],[conversions]]*RANDBETWEEN(8,12)/10,0)</f>
        <v>31</v>
      </c>
      <c r="AM106" s="4">
        <f ca="1">ROUND(T_Tiktok_ads[[#This Row],[video_views]]*RANDBETWEEN(8,12)/10,0)</f>
        <v>156542</v>
      </c>
      <c r="AN106" s="4">
        <f ca="1">ROUND(T_Tiktok_ads[[#This Row],[video_watch_25]]*RANDBETWEEN(8,12)/10,0)</f>
        <v>163057</v>
      </c>
      <c r="AO106" s="4">
        <f ca="1">ROUND(T_Tiktok_ads[[#This Row],[video_watch_50]]*RANDBETWEEN(8,12)/10,0)</f>
        <v>117234</v>
      </c>
      <c r="AP106" s="4">
        <f ca="1">ROUND(T_Tiktok_ads[[#This Row],[video_watch_75]]*RANDBETWEEN(8,12)/10,0)</f>
        <v>60187</v>
      </c>
      <c r="AQ106" s="4">
        <f ca="1">ROUND(T_Tiktok_ads[[#This Row],[video_watch_100]]*RANDBETWEEN(8,12)/10,0)</f>
        <v>54947</v>
      </c>
      <c r="AR106" s="4">
        <f ca="1">ROUND(T_Tiktok_ads[[#This Row],[likes]]*RANDBETWEEN(8,12)/10,0)</f>
        <v>10280</v>
      </c>
      <c r="AS106" s="4">
        <f ca="1">ROUND(T_Tiktok_ads[[#This Row],[shares]]*RANDBETWEEN(8,12)/10,0)</f>
        <v>2580</v>
      </c>
      <c r="AT106" s="4">
        <f ca="1">ROUND(T_Tiktok_ads[[#This Row],[comments]]*RANDBETWEEN(8,12)/10,0)</f>
        <v>680</v>
      </c>
      <c r="AV106" s="5">
        <f t="shared" ca="1" si="17"/>
        <v>45024</v>
      </c>
      <c r="AW106">
        <f t="shared" ca="1" si="13"/>
        <v>5</v>
      </c>
      <c r="AX106">
        <f ca="1">ROUND(T_Facebook_Ads11596367[[#This Row],[impressions]]*RANDBETWEEN(8,12)/10,0)</f>
        <v>47829</v>
      </c>
      <c r="AY106">
        <f ca="1">ROUND(T_Facebook_Ads11596367[[#This Row],[clicks]]*RANDBETWEEN(8,12)/10,0)</f>
        <v>1067</v>
      </c>
      <c r="AZ106">
        <f ca="1">T_Facebook_Ads11596367[[#This Row],[spend]]*RANDBETWEEN(8,12)/10</f>
        <v>244.43999999999997</v>
      </c>
      <c r="BA106">
        <f ca="1">ROUND(T_Facebook_Ads11596367[[#This Row],[conversions]]*RANDBETWEEN(8,12)/10,0)</f>
        <v>25</v>
      </c>
      <c r="BB106">
        <f ca="1">ROUND(T_Facebook_Ads11596367[[#This Row],[video_views]]*RANDBETWEEN(8,12)/10,0)</f>
        <v>5052</v>
      </c>
    </row>
    <row r="107" spans="1:54" ht="15.75" thickBot="1" x14ac:dyDescent="0.3">
      <c r="A107" s="3">
        <f t="shared" ca="1" si="14"/>
        <v>45044</v>
      </c>
      <c r="B107" s="4" t="s">
        <v>64</v>
      </c>
      <c r="C107" s="4" t="s">
        <v>65</v>
      </c>
      <c r="D107" s="4" t="s">
        <v>66</v>
      </c>
      <c r="E107" s="4" t="s">
        <v>67</v>
      </c>
      <c r="F107" s="4">
        <f ca="1">ROUND(T_Facebook_Ads[[#This Row],[impressions]]*RANDBETWEEN(8,12)/10,0)</f>
        <v>76524</v>
      </c>
      <c r="G107" s="4">
        <v>253</v>
      </c>
      <c r="H107" s="4">
        <f ca="1">T_Facebook_Ads[[#This Row],[spend]]*RANDBETWEEN(8,12)/10</f>
        <v>106.44000000000001</v>
      </c>
      <c r="I107" s="4">
        <f ca="1">ROUND(T_Facebook_Ads[[#This Row],[conversions]]*RANDBETWEEN(8,12)/10,0)</f>
        <v>7</v>
      </c>
      <c r="J107" s="4">
        <f ca="1">ROUND(T_Facebook_Ads[[#This Row],[video_views]]*RANDBETWEEN(8,12)/10,0)</f>
        <v>46890</v>
      </c>
      <c r="K107" s="4">
        <f ca="1">T_Facebook_Ads[[#This Row],[engagement_rate]]*RANDBETWEEN(8,12)/10</f>
        <v>3.5999999999999999E-3</v>
      </c>
      <c r="L107" s="4">
        <f ca="1">ROUND(T_Facebook_Ads[[#This Row],[reach]]*RANDBETWEEN(8,12)/10,0)</f>
        <v>62835</v>
      </c>
      <c r="M107" s="4">
        <f ca="1">T_Facebook_Ads[[#This Row],[frequency]]*RANDBETWEEN(8,12)/10</f>
        <v>1.0980000000000001</v>
      </c>
      <c r="O107" s="3">
        <f t="shared" ca="1" si="15"/>
        <v>45021</v>
      </c>
      <c r="P107" s="4" t="s">
        <v>88</v>
      </c>
      <c r="Q107" s="4" t="s">
        <v>89</v>
      </c>
      <c r="R107" s="4" t="s">
        <v>90</v>
      </c>
      <c r="S107" s="4" t="s">
        <v>59</v>
      </c>
      <c r="T107" s="4">
        <f ca="1">ROUND(_Google_ads[[#This Row],[impressions]]*RANDBETWEEN(8,12)/10,0)</f>
        <v>104987</v>
      </c>
      <c r="U107" s="4">
        <f ca="1">ROUND(_Google_ads[[#This Row],[clicks]]*RANDBETWEEN(8,12)/10,0)</f>
        <v>514</v>
      </c>
      <c r="V107" s="4">
        <f ca="1">_Google_ads[[#This Row],[cost]]*RANDBETWEEN(8,12)/10</f>
        <v>116.01000000000002</v>
      </c>
      <c r="W107" s="4">
        <f ca="1">ROUND(_Google_ads[[#This Row],[conversions]]*RANDBETWEEN(8,12)/10,0)</f>
        <v>14</v>
      </c>
      <c r="X107" s="4">
        <f ca="1">ROUND(_Google_ads[[#This Row],[conversion_value]]*RANDBETWEEN(8,12)/10,0)</f>
        <v>585</v>
      </c>
      <c r="Y107" s="4">
        <f ca="1">_Google_ads[[#This Row],[ctr]]*RANDBETWEEN(8,12)/10</f>
        <v>2.8799999999999997E-3</v>
      </c>
      <c r="Z107" s="4">
        <f ca="1">_Google_ads[[#This Row],[avg_cpc]]*RANDBETWEEN(8,12)/10</f>
        <v>0.308</v>
      </c>
      <c r="AA107" s="4">
        <f ca="1">ROUND(_Google_ads[[#This Row],[quality_score]]*RANDBETWEEN(8,12)/10,0)</f>
        <v>6</v>
      </c>
      <c r="AB107" s="4">
        <f ca="1">_Google_ads[[#This Row],[search_impression_share]]*RANDBETWEEN(8,12)/10</f>
        <v>0.34</v>
      </c>
      <c r="AD107" s="3">
        <f t="shared" ca="1" si="16"/>
        <v>45021</v>
      </c>
      <c r="AE107" s="4" t="s">
        <v>112</v>
      </c>
      <c r="AF107" s="4" t="s">
        <v>113</v>
      </c>
      <c r="AG107" s="4" t="s">
        <v>114</v>
      </c>
      <c r="AH107" s="4" t="s">
        <v>115</v>
      </c>
      <c r="AI107" s="4">
        <f ca="1">ROUND(T_Tiktok_ads[[#This Row],[impressions]]*RANDBETWEEN(8,12)/10,0)</f>
        <v>508147</v>
      </c>
      <c r="AJ107" s="4">
        <f ca="1">ROUND(T_Tiktok_ads[[#This Row],[clicks]]*RANDBETWEEN(8,12)/10,0)</f>
        <v>6201</v>
      </c>
      <c r="AK107" s="4">
        <v>1056.8</v>
      </c>
      <c r="AL107" s="4">
        <f ca="1">ROUND(T_Tiktok_ads[[#This Row],[conversions]]*RANDBETWEEN(8,12)/10,0)</f>
        <v>118</v>
      </c>
      <c r="AM107" s="4">
        <f ca="1">ROUND(T_Tiktok_ads[[#This Row],[video_views]]*RANDBETWEEN(8,12)/10,0)</f>
        <v>392468</v>
      </c>
      <c r="AN107" s="4">
        <f ca="1">ROUND(T_Tiktok_ads[[#This Row],[video_watch_25]]*RANDBETWEEN(8,12)/10,0)</f>
        <v>260311</v>
      </c>
      <c r="AO107" s="4">
        <f ca="1">ROUND(T_Tiktok_ads[[#This Row],[video_watch_50]]*RANDBETWEEN(8,12)/10,0)</f>
        <v>231456</v>
      </c>
      <c r="AP107" s="4">
        <f ca="1">ROUND(T_Tiktok_ads[[#This Row],[video_watch_75]]*RANDBETWEEN(8,12)/10,0)</f>
        <v>131654</v>
      </c>
      <c r="AQ107" s="4">
        <f ca="1">ROUND(T_Tiktok_ads[[#This Row],[video_watch_100]]*RANDBETWEEN(8,12)/10,0)</f>
        <v>109234</v>
      </c>
      <c r="AR107" s="4">
        <f ca="1">ROUND(T_Tiktok_ads[[#This Row],[likes]]*RANDBETWEEN(8,12)/10,0)</f>
        <v>20779</v>
      </c>
      <c r="AS107" s="4">
        <f ca="1">ROUND(T_Tiktok_ads[[#This Row],[shares]]*RANDBETWEEN(8,12)/10,0)</f>
        <v>4910</v>
      </c>
      <c r="AT107" s="4">
        <f ca="1">ROUND(T_Tiktok_ads[[#This Row],[comments]]*RANDBETWEEN(8,12)/10,0)</f>
        <v>1191</v>
      </c>
      <c r="AV107" s="5">
        <f t="shared" ca="1" si="17"/>
        <v>45032</v>
      </c>
      <c r="AW107">
        <f t="shared" ca="1" si="13"/>
        <v>2</v>
      </c>
      <c r="AX107">
        <f ca="1">ROUND(T_Facebook_Ads11596367[[#This Row],[impressions]]*RANDBETWEEN(8,12)/10,0)</f>
        <v>68872</v>
      </c>
      <c r="AY107">
        <f ca="1">ROUND(T_Facebook_Ads11596367[[#This Row],[clicks]]*RANDBETWEEN(8,12)/10,0)</f>
        <v>228</v>
      </c>
      <c r="AZ107">
        <f ca="1">T_Facebook_Ads11596367[[#This Row],[spend]]*RANDBETWEEN(8,12)/10</f>
        <v>106.44000000000001</v>
      </c>
      <c r="BA107">
        <f ca="1">ROUND(T_Facebook_Ads11596367[[#This Row],[conversions]]*RANDBETWEEN(8,12)/10,0)</f>
        <v>8</v>
      </c>
      <c r="BB107">
        <f ca="1">ROUND(T_Facebook_Ads11596367[[#This Row],[video_views]]*RANDBETWEEN(8,12)/10,0)</f>
        <v>46890</v>
      </c>
    </row>
    <row r="108" spans="1:54" ht="15.75" thickBot="1" x14ac:dyDescent="0.3">
      <c r="A108" s="3">
        <f t="shared" ca="1" si="14"/>
        <v>45023</v>
      </c>
      <c r="B108" s="4" t="s">
        <v>52</v>
      </c>
      <c r="C108" s="4" t="s">
        <v>53</v>
      </c>
      <c r="D108" s="4" t="s">
        <v>54</v>
      </c>
      <c r="E108" s="4" t="s">
        <v>55</v>
      </c>
      <c r="F108" s="4">
        <f ca="1">ROUND(T_Facebook_Ads[[#This Row],[impressions]]*RANDBETWEEN(8,12)/10,0)</f>
        <v>44311</v>
      </c>
      <c r="G108" s="4">
        <v>1001</v>
      </c>
      <c r="H108" s="4">
        <f ca="1">T_Facebook_Ads[[#This Row],[spend]]*RANDBETWEEN(8,12)/10</f>
        <v>171.36</v>
      </c>
      <c r="I108" s="4">
        <f ca="1">ROUND(T_Facebook_Ads[[#This Row],[conversions]]*RANDBETWEEN(8,12)/10,0)</f>
        <v>16</v>
      </c>
      <c r="J108" s="4">
        <f ca="1">ROUND(T_Facebook_Ads[[#This Row],[video_views]]*RANDBETWEEN(8,12)/10,0)</f>
        <v>9012</v>
      </c>
      <c r="K108" s="4">
        <f ca="1">T_Facebook_Ads[[#This Row],[engagement_rate]]*RANDBETWEEN(8,12)/10</f>
        <v>1.8269999999999998E-2</v>
      </c>
      <c r="L108" s="4">
        <f ca="1">ROUND(T_Facebook_Ads[[#This Row],[reach]]*RANDBETWEEN(8,12)/10,0)</f>
        <v>49880</v>
      </c>
      <c r="M108" s="4">
        <f ca="1">T_Facebook_Ads[[#This Row],[frequency]]*RANDBETWEEN(8,12)/10</f>
        <v>0.94399999999999995</v>
      </c>
      <c r="O108" s="3">
        <f t="shared" ca="1" si="15"/>
        <v>45018</v>
      </c>
      <c r="P108" s="4" t="s">
        <v>76</v>
      </c>
      <c r="Q108" s="4" t="s">
        <v>77</v>
      </c>
      <c r="R108" s="4" t="s">
        <v>78</v>
      </c>
      <c r="S108" s="4" t="s">
        <v>79</v>
      </c>
      <c r="T108" s="4">
        <f ca="1">ROUND(_Google_ads[[#This Row],[impressions]]*RANDBETWEEN(8,12)/10,0)</f>
        <v>25456</v>
      </c>
      <c r="U108" s="4">
        <f ca="1">ROUND(_Google_ads[[#This Row],[clicks]]*RANDBETWEEN(8,12)/10,0)</f>
        <v>1201</v>
      </c>
      <c r="V108" s="4">
        <f ca="1">_Google_ads[[#This Row],[cost]]*RANDBETWEEN(8,12)/10</f>
        <v>203.68</v>
      </c>
      <c r="W108" s="4">
        <f ca="1">ROUND(_Google_ads[[#This Row],[conversions]]*RANDBETWEEN(8,12)/10,0)</f>
        <v>60</v>
      </c>
      <c r="X108" s="4">
        <f ca="1">ROUND(_Google_ads[[#This Row],[conversion_value]]*RANDBETWEEN(8,12)/10,0)</f>
        <v>2500</v>
      </c>
      <c r="Y108" s="4">
        <f ca="1">_Google_ads[[#This Row],[ctr]]*RANDBETWEEN(8,12)/10</f>
        <v>6.2880000000000005E-2</v>
      </c>
      <c r="Z108" s="4">
        <f ca="1">_Google_ads[[#This Row],[avg_cpc]]*RANDBETWEEN(8,12)/10</f>
        <v>0.20899999999999999</v>
      </c>
      <c r="AA108" s="4">
        <f ca="1">ROUND(_Google_ads[[#This Row],[quality_score]]*RANDBETWEEN(8,12)/10,0)</f>
        <v>7</v>
      </c>
      <c r="AB108" s="4">
        <f ca="1">_Google_ads[[#This Row],[search_impression_share]]*RANDBETWEEN(8,12)/10</f>
        <v>0.73599999999999999</v>
      </c>
      <c r="AD108" s="3">
        <f t="shared" ca="1" si="16"/>
        <v>45027</v>
      </c>
      <c r="AE108" s="4" t="s">
        <v>100</v>
      </c>
      <c r="AF108" s="4" t="s">
        <v>101</v>
      </c>
      <c r="AG108" s="4" t="s">
        <v>102</v>
      </c>
      <c r="AH108" s="4" t="s">
        <v>103</v>
      </c>
      <c r="AI108" s="4">
        <f ca="1">ROUND(T_Tiktok_ads[[#This Row],[impressions]]*RANDBETWEEN(8,12)/10,0)</f>
        <v>325246</v>
      </c>
      <c r="AJ108" s="4">
        <f ca="1">ROUND(T_Tiktok_ads[[#This Row],[clicks]]*RANDBETWEEN(8,12)/10,0)</f>
        <v>4345</v>
      </c>
      <c r="AK108" s="4">
        <v>573.20000000000005</v>
      </c>
      <c r="AL108" s="4">
        <f ca="1">ROUND(T_Tiktok_ads[[#This Row],[conversions]]*RANDBETWEEN(8,12)/10,0)</f>
        <v>40</v>
      </c>
      <c r="AM108" s="4">
        <f ca="1">ROUND(T_Tiktok_ads[[#This Row],[video_views]]*RANDBETWEEN(8,12)/10,0)</f>
        <v>265357</v>
      </c>
      <c r="AN108" s="4">
        <f ca="1">ROUND(T_Tiktok_ads[[#This Row],[video_watch_25]]*RANDBETWEEN(8,12)/10,0)</f>
        <v>188234</v>
      </c>
      <c r="AO108" s="4">
        <f ca="1">ROUND(T_Tiktok_ads[[#This Row],[video_watch_50]]*RANDBETWEEN(8,12)/10,0)</f>
        <v>117890</v>
      </c>
      <c r="AP108" s="4">
        <f ca="1">ROUND(T_Tiktok_ads[[#This Row],[video_watch_75]]*RANDBETWEEN(8,12)/10,0)</f>
        <v>95081</v>
      </c>
      <c r="AQ108" s="4">
        <f ca="1">ROUND(T_Tiktok_ads[[#This Row],[video_watch_100]]*RANDBETWEEN(8,12)/10,0)</f>
        <v>47510</v>
      </c>
      <c r="AR108" s="4">
        <f ca="1">ROUND(T_Tiktok_ads[[#This Row],[likes]]*RANDBETWEEN(8,12)/10,0)</f>
        <v>9510</v>
      </c>
      <c r="AS108" s="4">
        <f ca="1">ROUND(T_Tiktok_ads[[#This Row],[shares]]*RANDBETWEEN(8,12)/10,0)</f>
        <v>3427</v>
      </c>
      <c r="AT108" s="4">
        <f ca="1">ROUND(T_Tiktok_ads[[#This Row],[comments]]*RANDBETWEEN(8,12)/10,0)</f>
        <v>800</v>
      </c>
      <c r="AV108" s="5">
        <f t="shared" ca="1" si="17"/>
        <v>45025</v>
      </c>
      <c r="AW108">
        <f t="shared" ca="1" si="13"/>
        <v>2</v>
      </c>
      <c r="AX108">
        <f ca="1">ROUND(T_Facebook_Ads11596367[[#This Row],[impressions]]*RANDBETWEEN(8,12)/10,0)</f>
        <v>48742</v>
      </c>
      <c r="AY108">
        <f ca="1">ROUND(T_Facebook_Ads11596367[[#This Row],[clicks]]*RANDBETWEEN(8,12)/10,0)</f>
        <v>1001</v>
      </c>
      <c r="AZ108">
        <f ca="1">T_Facebook_Ads11596367[[#This Row],[spend]]*RANDBETWEEN(8,12)/10</f>
        <v>171.36</v>
      </c>
      <c r="BA108">
        <f ca="1">ROUND(T_Facebook_Ads11596367[[#This Row],[conversions]]*RANDBETWEEN(8,12)/10,0)</f>
        <v>16</v>
      </c>
      <c r="BB108">
        <f ca="1">ROUND(T_Facebook_Ads11596367[[#This Row],[video_views]]*RANDBETWEEN(8,12)/10,0)</f>
        <v>8111</v>
      </c>
    </row>
    <row r="109" spans="1:54" ht="15.75" thickBot="1" x14ac:dyDescent="0.3">
      <c r="A109" s="3">
        <f t="shared" ca="1" si="14"/>
        <v>45025</v>
      </c>
      <c r="B109" s="4" t="s">
        <v>56</v>
      </c>
      <c r="C109" s="4" t="s">
        <v>57</v>
      </c>
      <c r="D109" s="4" t="s">
        <v>58</v>
      </c>
      <c r="E109" s="4" t="s">
        <v>59</v>
      </c>
      <c r="F109" s="4">
        <f ca="1">ROUND(T_Facebook_Ads[[#This Row],[impressions]]*RANDBETWEEN(8,12)/10,0)</f>
        <v>15535</v>
      </c>
      <c r="G109" s="4">
        <v>645</v>
      </c>
      <c r="H109" s="4">
        <f ca="1">T_Facebook_Ads[[#This Row],[spend]]*RANDBETWEEN(8,12)/10</f>
        <v>213.20999999999998</v>
      </c>
      <c r="I109" s="4">
        <f ca="1">ROUND(T_Facebook_Ads[[#This Row],[conversions]]*RANDBETWEEN(8,12)/10,0)</f>
        <v>45</v>
      </c>
      <c r="J109" s="4">
        <f ca="1">ROUND(T_Facebook_Ads[[#This Row],[video_views]]*RANDBETWEEN(8,12)/10,0)</f>
        <v>1565</v>
      </c>
      <c r="K109" s="4">
        <f ca="1">T_Facebook_Ads[[#This Row],[engagement_rate]]*RANDBETWEEN(8,12)/10</f>
        <v>4.113E-2</v>
      </c>
      <c r="L109" s="4">
        <f ca="1">ROUND(T_Facebook_Ads[[#This Row],[reach]]*RANDBETWEEN(8,12)/10,0)</f>
        <v>11123</v>
      </c>
      <c r="M109" s="4">
        <f ca="1">T_Facebook_Ads[[#This Row],[frequency]]*RANDBETWEEN(8,12)/10</f>
        <v>1.143</v>
      </c>
      <c r="O109" s="3">
        <f t="shared" ca="1" si="15"/>
        <v>45034</v>
      </c>
      <c r="P109" s="4" t="s">
        <v>80</v>
      </c>
      <c r="Q109" s="4" t="s">
        <v>81</v>
      </c>
      <c r="R109" s="4" t="s">
        <v>82</v>
      </c>
      <c r="S109" s="4" t="s">
        <v>83</v>
      </c>
      <c r="T109" s="4">
        <f ca="1">ROUND(_Google_ads[[#This Row],[impressions]]*RANDBETWEEN(8,12)/10,0)</f>
        <v>50479</v>
      </c>
      <c r="U109" s="4">
        <f ca="1">ROUND(_Google_ads[[#This Row],[clicks]]*RANDBETWEEN(8,12)/10,0)</f>
        <v>1094</v>
      </c>
      <c r="V109" s="4">
        <f ca="1">_Google_ads[[#This Row],[cost]]*RANDBETWEEN(8,12)/10</f>
        <v>705.24</v>
      </c>
      <c r="W109" s="4">
        <f ca="1">ROUND(_Google_ads[[#This Row],[conversions]]*RANDBETWEEN(8,12)/10,0)</f>
        <v>22</v>
      </c>
      <c r="X109" s="4">
        <f ca="1">ROUND(_Google_ads[[#This Row],[conversion_value]]*RANDBETWEEN(8,12)/10,0)</f>
        <v>1200</v>
      </c>
      <c r="Y109" s="4">
        <f ca="1">_Google_ads[[#This Row],[ctr]]*RANDBETWEEN(8,12)/10</f>
        <v>1.592E-2</v>
      </c>
      <c r="Z109" s="4">
        <f ca="1">_Google_ads[[#This Row],[avg_cpc]]*RANDBETWEEN(8,12)/10</f>
        <v>0.70399999999999996</v>
      </c>
      <c r="AA109" s="4">
        <f ca="1">ROUND(_Google_ads[[#This Row],[quality_score]]*RANDBETWEEN(8,12)/10,0)</f>
        <v>6</v>
      </c>
      <c r="AB109" s="4">
        <f ca="1">_Google_ads[[#This Row],[search_impression_share]]*RANDBETWEEN(8,12)/10</f>
        <v>0.40499999999999997</v>
      </c>
      <c r="AD109" s="3">
        <f t="shared" ca="1" si="16"/>
        <v>45041</v>
      </c>
      <c r="AE109" s="4" t="s">
        <v>104</v>
      </c>
      <c r="AF109" s="4" t="s">
        <v>105</v>
      </c>
      <c r="AG109" s="4" t="s">
        <v>106</v>
      </c>
      <c r="AH109" s="4" t="s">
        <v>107</v>
      </c>
      <c r="AI109" s="4">
        <f ca="1">ROUND(T_Tiktok_ads[[#This Row],[impressions]]*RANDBETWEEN(8,12)/10,0)</f>
        <v>193481</v>
      </c>
      <c r="AJ109" s="4">
        <f ca="1">ROUND(T_Tiktok_ads[[#This Row],[clicks]]*RANDBETWEEN(8,12)/10,0)</f>
        <v>3707</v>
      </c>
      <c r="AK109" s="4">
        <v>823.7</v>
      </c>
      <c r="AL109" s="4">
        <f ca="1">ROUND(T_Tiktok_ads[[#This Row],[conversions]]*RANDBETWEEN(8,12)/10,0)</f>
        <v>91</v>
      </c>
      <c r="AM109" s="4">
        <f ca="1">ROUND(T_Tiktok_ads[[#This Row],[video_views]]*RANDBETWEEN(8,12)/10,0)</f>
        <v>136147</v>
      </c>
      <c r="AN109" s="4">
        <f ca="1">ROUND(T_Tiktok_ads[[#This Row],[video_watch_25]]*RANDBETWEEN(8,12)/10,0)</f>
        <v>66854</v>
      </c>
      <c r="AO109" s="4">
        <f ca="1">ROUND(T_Tiktok_ads[[#This Row],[video_watch_50]]*RANDBETWEEN(8,12)/10,0)</f>
        <v>56234</v>
      </c>
      <c r="AP109" s="4">
        <f ca="1">ROUND(T_Tiktok_ads[[#This Row],[video_watch_75]]*RANDBETWEEN(8,12)/10,0)</f>
        <v>50814</v>
      </c>
      <c r="AQ109" s="4">
        <f ca="1">ROUND(T_Tiktok_ads[[#This Row],[video_watch_100]]*RANDBETWEEN(8,12)/10,0)</f>
        <v>28234</v>
      </c>
      <c r="AR109" s="4">
        <f ca="1">ROUND(T_Tiktok_ads[[#This Row],[likes]]*RANDBETWEEN(8,12)/10,0)</f>
        <v>6628</v>
      </c>
      <c r="AS109" s="4">
        <f ca="1">ROUND(T_Tiktok_ads[[#This Row],[shares]]*RANDBETWEEN(8,12)/10,0)</f>
        <v>1271</v>
      </c>
      <c r="AT109" s="4">
        <f ca="1">ROUND(T_Tiktok_ads[[#This Row],[comments]]*RANDBETWEEN(8,12)/10,0)</f>
        <v>301</v>
      </c>
      <c r="AV109" s="5">
        <f t="shared" ca="1" si="17"/>
        <v>45046</v>
      </c>
      <c r="AW109">
        <f t="shared" ca="1" si="13"/>
        <v>2</v>
      </c>
      <c r="AX109">
        <f ca="1">ROUND(T_Facebook_Ads11596367[[#This Row],[impressions]]*RANDBETWEEN(8,12)/10,0)</f>
        <v>13982</v>
      </c>
      <c r="AY109">
        <f ca="1">ROUND(T_Facebook_Ads11596367[[#This Row],[clicks]]*RANDBETWEEN(8,12)/10,0)</f>
        <v>645</v>
      </c>
      <c r="AZ109">
        <f ca="1">T_Facebook_Ads11596367[[#This Row],[spend]]*RANDBETWEEN(8,12)/10</f>
        <v>191.88899999999998</v>
      </c>
      <c r="BA109">
        <f ca="1">ROUND(T_Facebook_Ads11596367[[#This Row],[conversions]]*RANDBETWEEN(8,12)/10,0)</f>
        <v>45</v>
      </c>
      <c r="BB109">
        <f ca="1">ROUND(T_Facebook_Ads11596367[[#This Row],[video_views]]*RANDBETWEEN(8,12)/10,0)</f>
        <v>1252</v>
      </c>
    </row>
    <row r="110" spans="1:54" ht="15.75" thickBot="1" x14ac:dyDescent="0.3">
      <c r="A110" s="3">
        <f t="shared" ca="1" si="14"/>
        <v>45033</v>
      </c>
      <c r="B110" s="4" t="s">
        <v>60</v>
      </c>
      <c r="C110" s="4" t="s">
        <v>61</v>
      </c>
      <c r="D110" s="4" t="s">
        <v>62</v>
      </c>
      <c r="E110" s="4" t="s">
        <v>63</v>
      </c>
      <c r="F110" s="4">
        <f ca="1">ROUND(T_Facebook_Ads[[#This Row],[impressions]]*RANDBETWEEN(8,12)/10,0)</f>
        <v>41679</v>
      </c>
      <c r="G110" s="4">
        <v>1412</v>
      </c>
      <c r="H110" s="4">
        <f ca="1">T_Facebook_Ads[[#This Row],[spend]]*RANDBETWEEN(8,12)/10</f>
        <v>194.85</v>
      </c>
      <c r="I110" s="4">
        <f ca="1">ROUND(T_Facebook_Ads[[#This Row],[conversions]]*RANDBETWEEN(8,12)/10,0)</f>
        <v>24</v>
      </c>
      <c r="J110" s="4">
        <f ca="1">ROUND(T_Facebook_Ads[[#This Row],[video_views]]*RANDBETWEEN(8,12)/10,0)</f>
        <v>4956</v>
      </c>
      <c r="K110" s="4">
        <f ca="1">T_Facebook_Ads[[#This Row],[engagement_rate]]*RANDBETWEEN(8,12)/10</f>
        <v>2.9839999999999998E-2</v>
      </c>
      <c r="L110" s="4">
        <f ca="1">ROUND(T_Facebook_Ads[[#This Row],[reach]]*RANDBETWEEN(8,12)/10,0)</f>
        <v>37068</v>
      </c>
      <c r="M110" s="4">
        <f ca="1">T_Facebook_Ads[[#This Row],[frequency]]*RANDBETWEEN(8,12)/10</f>
        <v>1.476</v>
      </c>
      <c r="O110" s="3">
        <f t="shared" ca="1" si="15"/>
        <v>45046</v>
      </c>
      <c r="P110" s="4" t="s">
        <v>84</v>
      </c>
      <c r="Q110" s="4" t="s">
        <v>85</v>
      </c>
      <c r="R110" s="4" t="s">
        <v>86</v>
      </c>
      <c r="S110" s="4" t="s">
        <v>87</v>
      </c>
      <c r="T110" s="4">
        <f ca="1">ROUND(_Google_ads[[#This Row],[impressions]]*RANDBETWEEN(8,12)/10,0)</f>
        <v>63211</v>
      </c>
      <c r="U110" s="4">
        <f ca="1">ROUND(_Google_ads[[#This Row],[clicks]]*RANDBETWEEN(8,12)/10,0)</f>
        <v>2130</v>
      </c>
      <c r="V110" s="4">
        <f ca="1">_Google_ads[[#This Row],[cost]]*RANDBETWEEN(8,12)/10</f>
        <v>388.89</v>
      </c>
      <c r="W110" s="4">
        <f ca="1">ROUND(_Google_ads[[#This Row],[conversions]]*RANDBETWEEN(8,12)/10,0)</f>
        <v>82</v>
      </c>
      <c r="X110" s="4">
        <f ca="1">ROUND(_Google_ads[[#This Row],[conversion_value]]*RANDBETWEEN(8,12)/10,0)</f>
        <v>3060</v>
      </c>
      <c r="Y110" s="4">
        <f ca="1">_Google_ads[[#This Row],[ctr]]*RANDBETWEEN(8,12)/10</f>
        <v>3.7070000000000006E-2</v>
      </c>
      <c r="Z110" s="4">
        <f ca="1">_Google_ads[[#This Row],[avg_cpc]]*RANDBETWEEN(8,12)/10</f>
        <v>0.18</v>
      </c>
      <c r="AA110" s="4">
        <f ca="1">ROUND(_Google_ads[[#This Row],[quality_score]]*RANDBETWEEN(8,12)/10,0)</f>
        <v>6</v>
      </c>
      <c r="AB110" s="4">
        <f ca="1">_Google_ads[[#This Row],[search_impression_share]]*RANDBETWEEN(8,12)/10</f>
        <v>0.60299999999999998</v>
      </c>
      <c r="AD110" s="3">
        <f t="shared" ca="1" si="16"/>
        <v>45042</v>
      </c>
      <c r="AE110" s="4" t="s">
        <v>108</v>
      </c>
      <c r="AF110" s="4" t="s">
        <v>109</v>
      </c>
      <c r="AG110" s="4" t="s">
        <v>110</v>
      </c>
      <c r="AH110" s="4" t="s">
        <v>111</v>
      </c>
      <c r="AI110" s="4">
        <f ca="1">ROUND(T_Tiktok_ads[[#This Row],[impressions]]*RANDBETWEEN(8,12)/10,0)</f>
        <v>301481</v>
      </c>
      <c r="AJ110" s="4">
        <f ca="1">ROUND(T_Tiktok_ads[[#This Row],[clicks]]*RANDBETWEEN(8,12)/10,0)</f>
        <v>3570</v>
      </c>
      <c r="AK110" s="4">
        <v>481.5</v>
      </c>
      <c r="AL110" s="4">
        <f ca="1">ROUND(T_Tiktok_ads[[#This Row],[conversions]]*RANDBETWEEN(8,12)/10,0)</f>
        <v>39</v>
      </c>
      <c r="AM110" s="4">
        <f ca="1">ROUND(T_Tiktok_ads[[#This Row],[video_views]]*RANDBETWEEN(8,12)/10,0)</f>
        <v>218791</v>
      </c>
      <c r="AN110" s="4">
        <f ca="1">ROUND(T_Tiktok_ads[[#This Row],[video_watch_25]]*RANDBETWEEN(8,12)/10,0)</f>
        <v>165624</v>
      </c>
      <c r="AO110" s="4">
        <f ca="1">ROUND(T_Tiktok_ads[[#This Row],[video_watch_50]]*RANDBETWEEN(8,12)/10,0)</f>
        <v>143081</v>
      </c>
      <c r="AP110" s="4">
        <f ca="1">ROUND(T_Tiktok_ads[[#This Row],[video_watch_75]]*RANDBETWEEN(8,12)/10,0)</f>
        <v>69201</v>
      </c>
      <c r="AQ110" s="4">
        <f ca="1">ROUND(T_Tiktok_ads[[#This Row],[video_watch_100]]*RANDBETWEEN(8,12)/10,0)</f>
        <v>41910</v>
      </c>
      <c r="AR110" s="4">
        <f ca="1">ROUND(T_Tiktok_ads[[#This Row],[likes]]*RANDBETWEEN(8,12)/10,0)</f>
        <v>7810</v>
      </c>
      <c r="AS110" s="4">
        <f ca="1">ROUND(T_Tiktok_ads[[#This Row],[shares]]*RANDBETWEEN(8,12)/10,0)</f>
        <v>2140</v>
      </c>
      <c r="AT110" s="4">
        <f ca="1">ROUND(T_Tiktok_ads[[#This Row],[comments]]*RANDBETWEEN(8,12)/10,0)</f>
        <v>445</v>
      </c>
      <c r="AV110" s="5">
        <f t="shared" ca="1" si="17"/>
        <v>45024</v>
      </c>
      <c r="AW110">
        <f t="shared" ca="1" si="13"/>
        <v>1</v>
      </c>
      <c r="AX110">
        <f ca="1">ROUND(T_Facebook_Ads11596367[[#This Row],[impressions]]*RANDBETWEEN(8,12)/10,0)</f>
        <v>45847</v>
      </c>
      <c r="AY110">
        <f ca="1">ROUND(T_Facebook_Ads11596367[[#This Row],[clicks]]*RANDBETWEEN(8,12)/10,0)</f>
        <v>1694</v>
      </c>
      <c r="AZ110">
        <f ca="1">T_Facebook_Ads11596367[[#This Row],[spend]]*RANDBETWEEN(8,12)/10</f>
        <v>155.88</v>
      </c>
      <c r="BA110">
        <f ca="1">ROUND(T_Facebook_Ads11596367[[#This Row],[conversions]]*RANDBETWEEN(8,12)/10,0)</f>
        <v>19</v>
      </c>
      <c r="BB110">
        <f ca="1">ROUND(T_Facebook_Ads11596367[[#This Row],[video_views]]*RANDBETWEEN(8,12)/10,0)</f>
        <v>3965</v>
      </c>
    </row>
    <row r="111" spans="1:54" x14ac:dyDescent="0.25">
      <c r="A111" s="3">
        <f t="shared" ca="1" si="14"/>
        <v>45030</v>
      </c>
      <c r="B111" s="4" t="s">
        <v>64</v>
      </c>
      <c r="C111" s="4" t="s">
        <v>65</v>
      </c>
      <c r="D111" s="4" t="s">
        <v>66</v>
      </c>
      <c r="E111" s="4" t="s">
        <v>67</v>
      </c>
      <c r="F111" s="4">
        <f ca="1">ROUND(T_Facebook_Ads[[#This Row],[impressions]]*RANDBETWEEN(8,12)/10,0)</f>
        <v>79335</v>
      </c>
      <c r="G111" s="4">
        <v>261</v>
      </c>
      <c r="H111" s="4">
        <f ca="1">T_Facebook_Ads[[#This Row],[spend]]*RANDBETWEEN(8,12)/10</f>
        <v>109.55999999999999</v>
      </c>
      <c r="I111" s="4">
        <f ca="1">ROUND(T_Facebook_Ads[[#This Row],[conversions]]*RANDBETWEEN(8,12)/10,0)</f>
        <v>6</v>
      </c>
      <c r="J111" s="4">
        <f ca="1">ROUND(T_Facebook_Ads[[#This Row],[video_views]]*RANDBETWEEN(8,12)/10,0)</f>
        <v>53424</v>
      </c>
      <c r="K111" s="4">
        <f ca="1">T_Facebook_Ads[[#This Row],[engagement_rate]]*RANDBETWEEN(8,12)/10</f>
        <v>4.3200000000000001E-3</v>
      </c>
      <c r="L111" s="4">
        <f ca="1">ROUND(T_Facebook_Ads[[#This Row],[reach]]*RANDBETWEEN(8,12)/10,0)</f>
        <v>53001</v>
      </c>
      <c r="M111" s="4">
        <f ca="1">T_Facebook_Ads[[#This Row],[frequency]]*RANDBETWEEN(8,12)/10</f>
        <v>0.97599999999999998</v>
      </c>
      <c r="O111" s="3">
        <f t="shared" ca="1" si="15"/>
        <v>45040</v>
      </c>
      <c r="P111" s="4" t="s">
        <v>88</v>
      </c>
      <c r="Q111" s="4" t="s">
        <v>89</v>
      </c>
      <c r="R111" s="4" t="s">
        <v>90</v>
      </c>
      <c r="S111" s="4" t="s">
        <v>59</v>
      </c>
      <c r="T111" s="4">
        <f ca="1">ROUND(_Google_ads[[#This Row],[impressions]]*RANDBETWEEN(8,12)/10,0)</f>
        <v>120110</v>
      </c>
      <c r="U111" s="4">
        <f ca="1">ROUND(_Google_ads[[#This Row],[clicks]]*RANDBETWEEN(8,12)/10,0)</f>
        <v>430</v>
      </c>
      <c r="V111" s="4">
        <f ca="1">_Google_ads[[#This Row],[cost]]*RANDBETWEEN(8,12)/10</f>
        <v>118.08</v>
      </c>
      <c r="W111" s="4">
        <f ca="1">ROUND(_Google_ads[[#This Row],[conversions]]*RANDBETWEEN(8,12)/10,0)</f>
        <v>14</v>
      </c>
      <c r="X111" s="4">
        <f ca="1">ROUND(_Google_ads[[#This Row],[conversion_value]]*RANDBETWEEN(8,12)/10,0)</f>
        <v>560</v>
      </c>
      <c r="Y111" s="4">
        <f ca="1">_Google_ads[[#This Row],[ctr]]*RANDBETWEEN(8,12)/10</f>
        <v>3.96E-3</v>
      </c>
      <c r="Z111" s="4">
        <f ca="1">_Google_ads[[#This Row],[avg_cpc]]*RANDBETWEEN(8,12)/10</f>
        <v>0.32400000000000001</v>
      </c>
      <c r="AA111" s="4">
        <f ca="1">ROUND(_Google_ads[[#This Row],[quality_score]]*RANDBETWEEN(8,12)/10,0)</f>
        <v>6</v>
      </c>
      <c r="AB111" s="4">
        <f ca="1">_Google_ads[[#This Row],[search_impression_share]]*RANDBETWEEN(8,12)/10</f>
        <v>0.41999999999999993</v>
      </c>
      <c r="AD111" s="3">
        <f t="shared" ca="1" si="16"/>
        <v>45020</v>
      </c>
      <c r="AE111" s="4" t="s">
        <v>112</v>
      </c>
      <c r="AF111" s="4" t="s">
        <v>113</v>
      </c>
      <c r="AG111" s="4" t="s">
        <v>114</v>
      </c>
      <c r="AH111" s="4" t="s">
        <v>115</v>
      </c>
      <c r="AI111" s="4">
        <f ca="1">ROUND(T_Tiktok_ads[[#This Row],[impressions]]*RANDBETWEEN(8,12)/10,0)</f>
        <v>347654</v>
      </c>
      <c r="AJ111" s="4">
        <f ca="1">ROUND(T_Tiktok_ads[[#This Row],[clicks]]*RANDBETWEEN(8,12)/10,0)</f>
        <v>7713</v>
      </c>
      <c r="AK111" s="4">
        <v>1089.3</v>
      </c>
      <c r="AL111" s="4">
        <f ca="1">ROUND(T_Tiktok_ads[[#This Row],[conversions]]*RANDBETWEEN(8,12)/10,0)</f>
        <v>87</v>
      </c>
      <c r="AM111" s="4">
        <f ca="1">ROUND(T_Tiktok_ads[[#This Row],[video_views]]*RANDBETWEEN(8,12)/10,0)</f>
        <v>367890</v>
      </c>
      <c r="AN111" s="4">
        <f ca="1">ROUND(T_Tiktok_ads[[#This Row],[video_watch_25]]*RANDBETWEEN(8,12)/10,0)</f>
        <v>236987</v>
      </c>
      <c r="AO111" s="4">
        <f ca="1">ROUND(T_Tiktok_ads[[#This Row],[video_watch_50]]*RANDBETWEEN(8,12)/10,0)</f>
        <v>214101</v>
      </c>
      <c r="AP111" s="4">
        <f ca="1">ROUND(T_Tiktok_ads[[#This Row],[video_watch_75]]*RANDBETWEEN(8,12)/10,0)</f>
        <v>185057</v>
      </c>
      <c r="AQ111" s="4">
        <f ca="1">ROUND(T_Tiktok_ads[[#This Row],[video_watch_100]]*RANDBETWEEN(8,12)/10,0)</f>
        <v>88987</v>
      </c>
      <c r="AR111" s="4">
        <f ca="1">ROUND(T_Tiktok_ads[[#This Row],[likes]]*RANDBETWEEN(8,12)/10,0)</f>
        <v>21157</v>
      </c>
      <c r="AS111" s="4">
        <f ca="1">ROUND(T_Tiktok_ads[[#This Row],[shares]]*RANDBETWEEN(8,12)/10,0)</f>
        <v>6641</v>
      </c>
      <c r="AT111" s="4">
        <f ca="1">ROUND(T_Tiktok_ads[[#This Row],[comments]]*RANDBETWEEN(8,12)/10,0)</f>
        <v>1371</v>
      </c>
      <c r="AV111" s="5">
        <f t="shared" ca="1" si="17"/>
        <v>45023</v>
      </c>
      <c r="AW111">
        <f t="shared" ca="1" si="13"/>
        <v>4</v>
      </c>
      <c r="AX111">
        <f ca="1">ROUND(T_Facebook_Ads11596367[[#This Row],[impressions]]*RANDBETWEEN(8,12)/10,0)</f>
        <v>63468</v>
      </c>
      <c r="AY111">
        <f ca="1">ROUND(T_Facebook_Ads11596367[[#This Row],[clicks]]*RANDBETWEEN(8,12)/10,0)</f>
        <v>261</v>
      </c>
      <c r="AZ111">
        <f ca="1">T_Facebook_Ads11596367[[#This Row],[spend]]*RANDBETWEEN(8,12)/10</f>
        <v>120.51599999999999</v>
      </c>
      <c r="BA111">
        <f ca="1">ROUND(T_Facebook_Ads11596367[[#This Row],[conversions]]*RANDBETWEEN(8,12)/10,0)</f>
        <v>5</v>
      </c>
      <c r="BB111">
        <f ca="1">ROUND(T_Facebook_Ads11596367[[#This Row],[video_views]]*RANDBETWEEN(8,12)/10,0)</f>
        <v>53424</v>
      </c>
    </row>
  </sheetData>
  <pageMargins left="0.7" right="0.7" top="0.75" bottom="0.75" header="0.3" footer="0.3"/>
  <pageSetup orientation="portrait" r:id="rId1"/>
  <tableParts count="4">
    <tablePart r:id="rId2"/>
    <tablePart r:id="rId3"/>
    <tablePart r:id="rId4"/>
    <tablePart r:id="rId5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CFB62-08C7-4BCD-AD19-0D71D2870BAB}">
  <dimension ref="A1:BB111"/>
  <sheetViews>
    <sheetView topLeftCell="AI1" workbookViewId="0">
      <selection activeCell="AY3" sqref="AY3"/>
    </sheetView>
  </sheetViews>
  <sheetFormatPr baseColWidth="10" defaultRowHeight="15" x14ac:dyDescent="0.25"/>
  <cols>
    <col min="2" max="2" width="14.42578125" customWidth="1"/>
    <col min="3" max="3" width="19.85546875" bestFit="1" customWidth="1"/>
    <col min="5" max="5" width="18.28515625" bestFit="1" customWidth="1"/>
    <col min="6" max="6" width="13.7109375" customWidth="1"/>
    <col min="9" max="10" width="13.7109375" customWidth="1"/>
    <col min="11" max="11" width="18.42578125" customWidth="1"/>
    <col min="13" max="13" width="12" customWidth="1"/>
    <col min="16" max="16" width="14.42578125" customWidth="1"/>
    <col min="17" max="17" width="18.5703125" bestFit="1" customWidth="1"/>
    <col min="18" max="18" width="14" customWidth="1"/>
    <col min="19" max="19" width="17.140625" customWidth="1"/>
    <col min="20" max="20" width="13.7109375" customWidth="1"/>
    <col min="21" max="21" width="8.140625" customWidth="1"/>
    <col min="22" max="22" width="6.85546875" customWidth="1"/>
    <col min="23" max="23" width="13.7109375" customWidth="1"/>
    <col min="24" max="24" width="18.42578125" customWidth="1"/>
    <col min="25" max="25" width="6.140625" bestFit="1" customWidth="1"/>
    <col min="26" max="26" width="10.28515625" customWidth="1"/>
    <col min="27" max="27" width="14.85546875" customWidth="1"/>
    <col min="28" max="28" width="25" customWidth="1"/>
    <col min="29" max="29" width="6.85546875" customWidth="1"/>
    <col min="30" max="30" width="8.42578125" bestFit="1" customWidth="1"/>
    <col min="31" max="31" width="14.42578125" customWidth="1"/>
    <col min="32" max="32" width="17.5703125" customWidth="1"/>
    <col min="33" max="33" width="13.140625" customWidth="1"/>
    <col min="34" max="34" width="16.28515625" customWidth="1"/>
    <col min="35" max="35" width="13.7109375" customWidth="1"/>
    <col min="36" max="36" width="8.140625" customWidth="1"/>
    <col min="37" max="37" width="6.85546875" customWidth="1"/>
    <col min="38" max="39" width="13.7109375" customWidth="1"/>
    <col min="40" max="42" width="17" customWidth="1"/>
    <col min="43" max="43" width="18" customWidth="1"/>
    <col min="44" max="44" width="7.140625" customWidth="1"/>
    <col min="45" max="45" width="8.7109375" customWidth="1"/>
    <col min="46" max="46" width="12.42578125" customWidth="1"/>
    <col min="49" max="49" width="14.28515625" customWidth="1"/>
    <col min="50" max="50" width="13.85546875" customWidth="1"/>
    <col min="53" max="53" width="13.7109375" customWidth="1"/>
    <col min="54" max="54" width="14.28515625" customWidth="1"/>
  </cols>
  <sheetData>
    <row r="1" spans="1:54" ht="15.75" thickBot="1" x14ac:dyDescent="0.3">
      <c r="A1" s="2" t="s">
        <v>39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  <c r="O1" s="2" t="s">
        <v>39</v>
      </c>
      <c r="P1" s="1" t="s">
        <v>40</v>
      </c>
      <c r="Q1" s="1" t="s">
        <v>41</v>
      </c>
      <c r="R1" s="1" t="s">
        <v>68</v>
      </c>
      <c r="S1" s="1" t="s">
        <v>69</v>
      </c>
      <c r="T1" s="1" t="s">
        <v>44</v>
      </c>
      <c r="U1" s="1" t="s">
        <v>45</v>
      </c>
      <c r="V1" s="1" t="s">
        <v>70</v>
      </c>
      <c r="W1" s="1" t="s">
        <v>47</v>
      </c>
      <c r="X1" s="1" t="s">
        <v>71</v>
      </c>
      <c r="Y1" s="1" t="s">
        <v>72</v>
      </c>
      <c r="Z1" s="1" t="s">
        <v>73</v>
      </c>
      <c r="AA1" s="1" t="s">
        <v>74</v>
      </c>
      <c r="AB1" s="1" t="s">
        <v>75</v>
      </c>
      <c r="AD1" s="2" t="s">
        <v>39</v>
      </c>
      <c r="AE1" s="1" t="s">
        <v>40</v>
      </c>
      <c r="AF1" s="1" t="s">
        <v>41</v>
      </c>
      <c r="AG1" s="1" t="s">
        <v>91</v>
      </c>
      <c r="AH1" s="1" t="s">
        <v>92</v>
      </c>
      <c r="AI1" s="1" t="s">
        <v>44</v>
      </c>
      <c r="AJ1" s="1" t="s">
        <v>45</v>
      </c>
      <c r="AK1" s="1" t="s">
        <v>70</v>
      </c>
      <c r="AL1" s="1" t="s">
        <v>47</v>
      </c>
      <c r="AM1" s="1" t="s">
        <v>48</v>
      </c>
      <c r="AN1" s="1" t="s">
        <v>93</v>
      </c>
      <c r="AO1" s="1" t="s">
        <v>94</v>
      </c>
      <c r="AP1" s="1" t="s">
        <v>95</v>
      </c>
      <c r="AQ1" s="1" t="s">
        <v>96</v>
      </c>
      <c r="AR1" s="1" t="s">
        <v>97</v>
      </c>
      <c r="AS1" s="1" t="s">
        <v>98</v>
      </c>
      <c r="AT1" s="1" t="s">
        <v>99</v>
      </c>
      <c r="AV1" t="s">
        <v>39</v>
      </c>
      <c r="AW1" t="s">
        <v>40</v>
      </c>
      <c r="AX1" t="s">
        <v>44</v>
      </c>
      <c r="AY1" t="s">
        <v>45</v>
      </c>
      <c r="AZ1" t="s">
        <v>46</v>
      </c>
      <c r="BA1" t="s">
        <v>47</v>
      </c>
      <c r="BB1" t="s">
        <v>48</v>
      </c>
    </row>
    <row r="2" spans="1:54" ht="15.75" thickBot="1" x14ac:dyDescent="0.3">
      <c r="A2" s="3">
        <f t="shared" ref="A2:A33" ca="1" si="0">DATE(2023,5,RANDBETWEEN(1,31))</f>
        <v>45063</v>
      </c>
      <c r="B2" s="4" t="s">
        <v>52</v>
      </c>
      <c r="C2" s="4" t="s">
        <v>53</v>
      </c>
      <c r="D2" s="4" t="s">
        <v>54</v>
      </c>
      <c r="E2" s="4" t="s">
        <v>55</v>
      </c>
      <c r="F2" s="4">
        <f ca="1">ROUND(T_Facebook_Ads[[#This Row],[impressions]]*RANDBETWEEN(8,12)/10,0)</f>
        <v>50185</v>
      </c>
      <c r="G2" s="4">
        <f ca="1">ROUND(T_Facebook_Ads[[#This Row],[clicks]]*RANDBETWEEN(8,12)/10,0)</f>
        <v>892</v>
      </c>
      <c r="H2" s="4">
        <f ca="1">T_Facebook_Ads[[#This Row],[spend]]*RANDBETWEEN(8,12)/10</f>
        <v>140.25</v>
      </c>
      <c r="I2" s="4">
        <f ca="1">ROUND(T_Facebook_Ads[[#This Row],[conversions]]*RANDBETWEEN(8,12)/10,0)</f>
        <v>11</v>
      </c>
      <c r="J2" s="4">
        <f ca="1">ROUND(T_Facebook_Ads[[#This Row],[video_views]]*RANDBETWEEN(8,12)/10,0)</f>
        <v>9881</v>
      </c>
      <c r="K2" s="4">
        <f ca="1">T_Facebook_Ads[[#This Row],[engagement_rate]]*RANDBETWEEN(8,12)/10</f>
        <v>1.95E-2</v>
      </c>
      <c r="L2" s="4">
        <f ca="1">ROUND(T_Facebook_Ads[[#This Row],[reach]]*RANDBETWEEN(8,12)/10,0)</f>
        <v>34411</v>
      </c>
      <c r="M2" s="4">
        <f ca="1">T_Facebook_Ads[[#This Row],[frequency]]*RANDBETWEEN(8,12)/10</f>
        <v>1.4279999999999999</v>
      </c>
      <c r="O2" s="3">
        <f t="shared" ref="O2:O33" ca="1" si="1">DATE(2023,5,RANDBETWEEN(1,31))</f>
        <v>45073</v>
      </c>
      <c r="P2" s="4" t="s">
        <v>76</v>
      </c>
      <c r="Q2" s="4" t="s">
        <v>77</v>
      </c>
      <c r="R2" s="4" t="s">
        <v>78</v>
      </c>
      <c r="S2" s="4" t="s">
        <v>79</v>
      </c>
      <c r="T2" s="4">
        <f ca="1">ROUND(_Google_ads[[#This Row],[impressions]]*RANDBETWEEN(8,12)/10,0)</f>
        <v>21110</v>
      </c>
      <c r="U2" s="4">
        <f ca="1">ROUND(_Google_ads[[#This Row],[clicks]]*RANDBETWEEN(8,12)/10,0)</f>
        <v>1481</v>
      </c>
      <c r="V2" s="4">
        <f ca="1">_Google_ads[[#This Row],[cost]]*RANDBETWEEN(8,12)/10</f>
        <v>281.39999999999998</v>
      </c>
      <c r="W2" s="4">
        <f ca="1">ROUND(_Google_ads[[#This Row],[conversions]]*RANDBETWEEN(8,12)/10,0)</f>
        <v>50</v>
      </c>
      <c r="X2" s="4">
        <f ca="1">ROUND(_Google_ads[[#This Row],[conversion_value]]*RANDBETWEEN(8,12)/10,0)</f>
        <v>2700</v>
      </c>
      <c r="Y2" s="4">
        <f ca="1">_Google_ads[[#This Row],[ctr]]*RANDBETWEEN(8,12)/10</f>
        <v>4.734E-2</v>
      </c>
      <c r="Z2" s="4">
        <f ca="1">_Google_ads[[#This Row],[avg_cpc]]*RANDBETWEEN(8,12)/10</f>
        <v>0.17099999999999999</v>
      </c>
      <c r="AA2" s="4">
        <f ca="1">ROUND(_Google_ads[[#This Row],[quality_score]]*RANDBETWEEN(8,12)/10,0)</f>
        <v>7</v>
      </c>
      <c r="AB2" s="4">
        <f ca="1">_Google_ads[[#This Row],[search_impression_share]]*RANDBETWEEN(8,12)/10</f>
        <v>1.012</v>
      </c>
      <c r="AD2" s="3">
        <f t="shared" ref="AD2:AD33" ca="1" si="2">DATE(2023,5,RANDBETWEEN(1,31))</f>
        <v>45072</v>
      </c>
      <c r="AE2" s="4" t="s">
        <v>100</v>
      </c>
      <c r="AF2" s="4" t="s">
        <v>101</v>
      </c>
      <c r="AG2" s="4" t="s">
        <v>102</v>
      </c>
      <c r="AH2" s="4" t="s">
        <v>103</v>
      </c>
      <c r="AI2" s="4">
        <f ca="1">ROUND(T_Tiktok_ads[[#This Row],[impressions]]*RANDBETWEEN(8,12)/10,0)</f>
        <v>234567</v>
      </c>
      <c r="AJ2" s="4">
        <f ca="1">ROUND(T_Tiktok_ads[[#This Row],[clicks]]*RANDBETWEEN(8,12)/10,0)</f>
        <v>3802</v>
      </c>
      <c r="AK2" s="4">
        <f ca="1">T_Tiktok_ads[[#This Row],[cost]]*RANDBETWEEN(8,12)/10</f>
        <v>411.03000000000003</v>
      </c>
      <c r="AL2" s="4">
        <f ca="1">ROUND(T_Tiktok_ads[[#This Row],[conversions]]*RANDBETWEEN(8,12)/10,0)</f>
        <v>34</v>
      </c>
      <c r="AM2" s="4">
        <f ca="1">ROUND(T_Tiktok_ads[[#This Row],[video_views]]*RANDBETWEEN(8,12)/10,0)</f>
        <v>178411</v>
      </c>
      <c r="AN2" s="4">
        <f ca="1">ROUND(T_Tiktok_ads[[#This Row],[video_watch_25]]*RANDBETWEEN(8,12)/10,0)</f>
        <v>156234</v>
      </c>
      <c r="AO2" s="4">
        <f ca="1">ROUND(T_Tiktok_ads[[#This Row],[video_watch_50]]*RANDBETWEEN(8,12)/10,0)</f>
        <v>108057</v>
      </c>
      <c r="AP2" s="4">
        <f ca="1">ROUND(T_Tiktok_ads[[#This Row],[video_watch_75]]*RANDBETWEEN(8,12)/10,0)</f>
        <v>67234</v>
      </c>
      <c r="AQ2" s="4">
        <f ca="1">ROUND(T_Tiktok_ads[[#This Row],[video_watch_100]]*RANDBETWEEN(8,12)/10,0)</f>
        <v>54281</v>
      </c>
      <c r="AR2" s="4">
        <f ca="1">ROUND(T_Tiktok_ads[[#This Row],[likes]]*RANDBETWEEN(8,12)/10,0)</f>
        <v>10708</v>
      </c>
      <c r="AS2" s="4">
        <f ca="1">ROUND(T_Tiktok_ads[[#This Row],[shares]]*RANDBETWEEN(8,12)/10,0)</f>
        <v>2580</v>
      </c>
      <c r="AT2" s="4">
        <f ca="1">ROUND(T_Tiktok_ads[[#This Row],[comments]]*RANDBETWEEN(8,12)/10,0)</f>
        <v>454</v>
      </c>
      <c r="AV2" s="3">
        <f t="shared" ref="AV2:AV33" ca="1" si="3">DATE(2023,5,RANDBETWEEN(1,31))</f>
        <v>45071</v>
      </c>
      <c r="AW2">
        <f ca="1">RANDBETWEEN(1,8)</f>
        <v>1</v>
      </c>
      <c r="AX2">
        <f ca="1">ROUND(T_Facebook_Ads1159636771[[#This Row],[impressions]]*RANDBETWEEN(8,12)/10,0)</f>
        <v>55204</v>
      </c>
      <c r="AY2">
        <f ca="1">ROUND(T_Facebook_Ads1159636771[[#This Row],[clicks]]*RANDBETWEEN(8,12)/10,0)</f>
        <v>714</v>
      </c>
      <c r="AZ2">
        <f ca="1">T_Facebook_Ads1159636771[[#This Row],[spend]]*RANDBETWEEN(8,12)/10</f>
        <v>140.25</v>
      </c>
      <c r="BA2">
        <f ca="1">ROUND(T_Facebook_Ads1159636771[[#This Row],[conversions]]*RANDBETWEEN(8,12)/10,0)</f>
        <v>11</v>
      </c>
      <c r="BB2">
        <f ca="1">ROUND(T_Facebook_Ads1159636771[[#This Row],[video_views]]*RANDBETWEEN(8,12)/10,0)</f>
        <v>9881</v>
      </c>
    </row>
    <row r="3" spans="1:54" ht="15.75" thickBot="1" x14ac:dyDescent="0.3">
      <c r="A3" s="3">
        <f t="shared" ca="1" si="0"/>
        <v>45074</v>
      </c>
      <c r="B3" s="4" t="s">
        <v>56</v>
      </c>
      <c r="C3" s="4" t="s">
        <v>57</v>
      </c>
      <c r="D3" s="4" t="s">
        <v>58</v>
      </c>
      <c r="E3" s="4" t="s">
        <v>59</v>
      </c>
      <c r="F3" s="4">
        <f ca="1">ROUND(T_Facebook_Ads[[#This Row],[impressions]]*RANDBETWEEN(8,12)/10,0)</f>
        <v>9965</v>
      </c>
      <c r="G3" s="4">
        <v>567</v>
      </c>
      <c r="H3" s="4">
        <f ca="1">T_Facebook_Ads[[#This Row],[spend]]*RANDBETWEEN(8,12)/10</f>
        <v>172.64000000000001</v>
      </c>
      <c r="I3" s="4">
        <f ca="1">ROUND(T_Facebook_Ads[[#This Row],[conversions]]*RANDBETWEEN(8,12)/10,0)</f>
        <v>31</v>
      </c>
      <c r="J3" s="4">
        <f ca="1">ROUND(T_Facebook_Ads[[#This Row],[video_views]]*RANDBETWEEN(8,12)/10,0)</f>
        <v>987</v>
      </c>
      <c r="K3" s="4">
        <f ca="1">T_Facebook_Ads[[#This Row],[engagement_rate]]*RANDBETWEEN(8,12)/10</f>
        <v>5.0049999999999997E-2</v>
      </c>
      <c r="L3" s="4">
        <f ca="1">ROUND(T_Facebook_Ads[[#This Row],[reach]]*RANDBETWEEN(8,12)/10,0)</f>
        <v>10864</v>
      </c>
      <c r="M3" s="4">
        <f ca="1">T_Facebook_Ads[[#This Row],[frequency]]*RANDBETWEEN(8,12)/10</f>
        <v>1.3859999999999999</v>
      </c>
      <c r="O3" s="3">
        <f t="shared" ca="1" si="1"/>
        <v>45074</v>
      </c>
      <c r="P3" s="4" t="s">
        <v>80</v>
      </c>
      <c r="Q3" s="4" t="s">
        <v>81</v>
      </c>
      <c r="R3" s="4" t="s">
        <v>82</v>
      </c>
      <c r="S3" s="4" t="s">
        <v>83</v>
      </c>
      <c r="T3" s="4">
        <f ca="1">ROUND(_Google_ads[[#This Row],[impressions]]*RANDBETWEEN(8,12)/10,0)</f>
        <v>41110</v>
      </c>
      <c r="U3" s="4">
        <f ca="1">ROUND(_Google_ads[[#This Row],[clicks]]*RANDBETWEEN(8,12)/10,0)</f>
        <v>801</v>
      </c>
      <c r="V3" s="4">
        <f ca="1">_Google_ads[[#This Row],[cost]]*RANDBETWEEN(8,12)/10</f>
        <v>454.23999999999995</v>
      </c>
      <c r="W3" s="4">
        <f ca="1">ROUND(_Google_ads[[#This Row],[conversions]]*RANDBETWEEN(8,12)/10,0)</f>
        <v>28</v>
      </c>
      <c r="X3" s="4">
        <f ca="1">ROUND(_Google_ads[[#This Row],[conversion_value]]*RANDBETWEEN(8,12)/10,0)</f>
        <v>1150</v>
      </c>
      <c r="Y3" s="4">
        <f ca="1">_Google_ads[[#This Row],[ctr]]*RANDBETWEEN(8,12)/10</f>
        <v>2.145E-2</v>
      </c>
      <c r="Z3" s="4">
        <f ca="1">_Google_ads[[#This Row],[avg_cpc]]*RANDBETWEEN(8,12)/10</f>
        <v>0.57599999999999996</v>
      </c>
      <c r="AA3" s="4">
        <f ca="1">ROUND(_Google_ads[[#This Row],[quality_score]]*RANDBETWEEN(8,12)/10,0)</f>
        <v>7</v>
      </c>
      <c r="AB3" s="4">
        <f ca="1">_Google_ads[[#This Row],[search_impression_share]]*RANDBETWEEN(8,12)/10</f>
        <v>0.54</v>
      </c>
      <c r="AD3" s="3">
        <f t="shared" ca="1" si="2"/>
        <v>45063</v>
      </c>
      <c r="AE3" s="4" t="s">
        <v>104</v>
      </c>
      <c r="AF3" s="4" t="s">
        <v>105</v>
      </c>
      <c r="AG3" s="4" t="s">
        <v>106</v>
      </c>
      <c r="AH3" s="4" t="s">
        <v>107</v>
      </c>
      <c r="AI3" s="4">
        <f ca="1">ROUND(T_Tiktok_ads[[#This Row],[impressions]]*RANDBETWEEN(8,12)/10,0)</f>
        <v>123456</v>
      </c>
      <c r="AJ3" s="4">
        <f ca="1">ROUND(T_Tiktok_ads[[#This Row],[clicks]]*RANDBETWEEN(8,12)/10,0)</f>
        <v>2580</v>
      </c>
      <c r="AK3" s="4">
        <v>678.9</v>
      </c>
      <c r="AL3" s="4">
        <f ca="1">ROUND(T_Tiktok_ads[[#This Row],[conversions]]*RANDBETWEEN(8,12)/10,0)</f>
        <v>60</v>
      </c>
      <c r="AM3" s="4">
        <f ca="1">ROUND(T_Tiktok_ads[[#This Row],[video_views]]*RANDBETWEEN(8,12)/10,0)</f>
        <v>89234</v>
      </c>
      <c r="AN3" s="4">
        <f ca="1">ROUND(T_Tiktok_ads[[#This Row],[video_watch_25]]*RANDBETWEEN(8,12)/10,0)</f>
        <v>80681</v>
      </c>
      <c r="AO3" s="4">
        <f ca="1">ROUND(T_Tiktok_ads[[#This Row],[video_watch_50]]*RANDBETWEEN(8,12)/10,0)</f>
        <v>54281</v>
      </c>
      <c r="AP3" s="4">
        <f ca="1">ROUND(T_Tiktok_ads[[#This Row],[video_watch_75]]*RANDBETWEEN(8,12)/10,0)</f>
        <v>41081</v>
      </c>
      <c r="AQ3" s="4">
        <f ca="1">ROUND(T_Tiktok_ads[[#This Row],[video_watch_100]]*RANDBETWEEN(8,12)/10,0)</f>
        <v>23456</v>
      </c>
      <c r="AR3" s="4">
        <f ca="1">ROUND(T_Tiktok_ads[[#This Row],[likes]]*RANDBETWEEN(8,12)/10,0)</f>
        <v>4567</v>
      </c>
      <c r="AS3" s="4">
        <f ca="1">ROUND(T_Tiktok_ads[[#This Row],[shares]]*RANDBETWEEN(8,12)/10,0)</f>
        <v>1481</v>
      </c>
      <c r="AT3" s="4">
        <f ca="1">ROUND(T_Tiktok_ads[[#This Row],[comments]]*RANDBETWEEN(8,12)/10,0)</f>
        <v>234</v>
      </c>
      <c r="AV3" s="5">
        <f t="shared" ca="1" si="3"/>
        <v>45058</v>
      </c>
      <c r="AW3">
        <f t="shared" ref="AW3:AW66" ca="1" si="4">RANDBETWEEN(1,8)</f>
        <v>6</v>
      </c>
      <c r="AX3">
        <f ca="1">ROUND(T_Facebook_Ads1159636771[[#This Row],[impressions]]*RANDBETWEEN(8,12)/10,0)</f>
        <v>11958</v>
      </c>
      <c r="AY3">
        <f ca="1">ROUND(T_Facebook_Ads1159636771[[#This Row],[clicks]]*RANDBETWEEN(8,12)/10,0)</f>
        <v>680</v>
      </c>
      <c r="AZ3">
        <f ca="1">T_Facebook_Ads1159636771[[#This Row],[spend]]*RANDBETWEEN(8,12)/10</f>
        <v>155.37600000000003</v>
      </c>
      <c r="BA3">
        <f ca="1">ROUND(T_Facebook_Ads1159636771[[#This Row],[conversions]]*RANDBETWEEN(8,12)/10,0)</f>
        <v>31</v>
      </c>
      <c r="BB3">
        <f ca="1">ROUND(T_Facebook_Ads1159636771[[#This Row],[video_views]]*RANDBETWEEN(8,12)/10,0)</f>
        <v>1086</v>
      </c>
    </row>
    <row r="4" spans="1:54" ht="15.75" thickBot="1" x14ac:dyDescent="0.3">
      <c r="A4" s="3">
        <f t="shared" ca="1" si="0"/>
        <v>45066</v>
      </c>
      <c r="B4" s="4" t="s">
        <v>60</v>
      </c>
      <c r="C4" s="4" t="s">
        <v>61</v>
      </c>
      <c r="D4" s="4" t="s">
        <v>62</v>
      </c>
      <c r="E4" s="4" t="s">
        <v>63</v>
      </c>
      <c r="F4" s="4">
        <f ca="1">ROUND(T_Facebook_Ads[[#This Row],[impressions]]*RANDBETWEEN(8,12)/10,0)</f>
        <v>41480</v>
      </c>
      <c r="G4" s="4">
        <v>1234</v>
      </c>
      <c r="H4" s="4">
        <f ca="1">T_Facebook_Ads[[#This Row],[spend]]*RANDBETWEEN(8,12)/10</f>
        <v>208.89000000000001</v>
      </c>
      <c r="I4" s="4">
        <f ca="1">ROUND(T_Facebook_Ads[[#This Row],[conversions]]*RANDBETWEEN(8,12)/10,0)</f>
        <v>23</v>
      </c>
      <c r="J4" s="4">
        <f ca="1">ROUND(T_Facebook_Ads[[#This Row],[video_views]]*RANDBETWEEN(8,12)/10,0)</f>
        <v>4567</v>
      </c>
      <c r="K4" s="4">
        <f ca="1">T_Facebook_Ads[[#This Row],[engagement_rate]]*RANDBETWEEN(8,12)/10</f>
        <v>4.2840000000000003E-2</v>
      </c>
      <c r="L4" s="4">
        <f ca="1">ROUND(T_Facebook_Ads[[#This Row],[reach]]*RANDBETWEEN(8,12)/10,0)</f>
        <v>28934</v>
      </c>
      <c r="M4" s="4">
        <f ca="1">T_Facebook_Ads[[#This Row],[frequency]]*RANDBETWEEN(8,12)/10</f>
        <v>1.4279999999999999</v>
      </c>
      <c r="O4" s="3">
        <f t="shared" ca="1" si="1"/>
        <v>45075</v>
      </c>
      <c r="P4" s="4" t="s">
        <v>84</v>
      </c>
      <c r="Q4" s="4" t="s">
        <v>85</v>
      </c>
      <c r="R4" s="4" t="s">
        <v>86</v>
      </c>
      <c r="S4" s="4" t="s">
        <v>87</v>
      </c>
      <c r="T4" s="4">
        <f ca="1">ROUND(_Google_ads[[#This Row],[impressions]]*RANDBETWEEN(8,12)/10,0)</f>
        <v>54312</v>
      </c>
      <c r="U4" s="4">
        <f ca="1">ROUND(_Google_ads[[#This Row],[clicks]]*RANDBETWEEN(8,12)/10,0)</f>
        <v>2345</v>
      </c>
      <c r="V4" s="4">
        <f ca="1">_Google_ads[[#This Row],[cost]]*RANDBETWEEN(8,12)/10</f>
        <v>381.24</v>
      </c>
      <c r="W4" s="4">
        <f ca="1">ROUND(_Google_ads[[#This Row],[conversions]]*RANDBETWEEN(8,12)/10,0)</f>
        <v>54</v>
      </c>
      <c r="X4" s="4">
        <f ca="1">ROUND(_Google_ads[[#This Row],[conversion_value]]*RANDBETWEEN(8,12)/10,0)</f>
        <v>3685</v>
      </c>
      <c r="Y4" s="4">
        <f ca="1">_Google_ads[[#This Row],[ctr]]*RANDBETWEEN(8,12)/10</f>
        <v>3.1050000000000001E-2</v>
      </c>
      <c r="Z4" s="4">
        <f ca="1">_Google_ads[[#This Row],[avg_cpc]]*RANDBETWEEN(8,12)/10</f>
        <v>0.18</v>
      </c>
      <c r="AA4" s="4">
        <f ca="1">ROUND(_Google_ads[[#This Row],[quality_score]]*RANDBETWEEN(8,12)/10,0)</f>
        <v>6</v>
      </c>
      <c r="AB4" s="4">
        <f ca="1">_Google_ads[[#This Row],[search_impression_share]]*RANDBETWEEN(8,12)/10</f>
        <v>0.60299999999999998</v>
      </c>
      <c r="AD4" s="3">
        <f t="shared" ca="1" si="2"/>
        <v>45067</v>
      </c>
      <c r="AE4" s="4" t="s">
        <v>108</v>
      </c>
      <c r="AF4" s="4" t="s">
        <v>109</v>
      </c>
      <c r="AG4" s="4" t="s">
        <v>110</v>
      </c>
      <c r="AH4" s="4" t="s">
        <v>111</v>
      </c>
      <c r="AI4" s="4">
        <f ca="1">ROUND(T_Tiktok_ads[[#This Row],[impressions]]*RANDBETWEEN(8,12)/10,0)</f>
        <v>227081</v>
      </c>
      <c r="AJ4" s="4">
        <f ca="1">ROUND(T_Tiktok_ads[[#This Row],[clicks]]*RANDBETWEEN(8,12)/10,0)</f>
        <v>2312</v>
      </c>
      <c r="AK4" s="4">
        <v>345.6</v>
      </c>
      <c r="AL4" s="4">
        <f ca="1">ROUND(T_Tiktok_ads[[#This Row],[conversions]]*RANDBETWEEN(8,12)/10,0)</f>
        <v>18</v>
      </c>
      <c r="AM4" s="4">
        <f ca="1">ROUND(T_Tiktok_ads[[#This Row],[video_views]]*RANDBETWEEN(8,12)/10,0)</f>
        <v>160246</v>
      </c>
      <c r="AN4" s="4">
        <f ca="1">ROUND(T_Tiktok_ads[[#This Row],[video_watch_25]]*RANDBETWEEN(8,12)/10,0)</f>
        <v>112345</v>
      </c>
      <c r="AO4" s="4">
        <f ca="1">ROUND(T_Tiktok_ads[[#This Row],[video_watch_50]]*RANDBETWEEN(8,12)/10,0)</f>
        <v>98157</v>
      </c>
      <c r="AP4" s="4">
        <f ca="1">ROUND(T_Tiktok_ads[[#This Row],[video_watch_75]]*RANDBETWEEN(8,12)/10,0)</f>
        <v>68147</v>
      </c>
      <c r="AQ4" s="4">
        <f ca="1">ROUND(T_Tiktok_ads[[#This Row],[video_watch_100]]*RANDBETWEEN(8,12)/10,0)</f>
        <v>31110</v>
      </c>
      <c r="AR4" s="4">
        <f ca="1">ROUND(T_Tiktok_ads[[#This Row],[likes]]*RANDBETWEEN(8,12)/10,0)</f>
        <v>6110</v>
      </c>
      <c r="AS4" s="4">
        <f ca="1">ROUND(T_Tiktok_ads[[#This Row],[shares]]*RANDBETWEEN(8,12)/10,0)</f>
        <v>1701</v>
      </c>
      <c r="AT4" s="4">
        <f ca="1">ROUND(T_Tiktok_ads[[#This Row],[comments]]*RANDBETWEEN(8,12)/10,0)</f>
        <v>502</v>
      </c>
      <c r="AV4" s="5">
        <f t="shared" ca="1" si="3"/>
        <v>45053</v>
      </c>
      <c r="AW4">
        <f t="shared" ca="1" si="4"/>
        <v>5</v>
      </c>
      <c r="AX4">
        <f ca="1">ROUND(T_Facebook_Ads1159636771[[#This Row],[impressions]]*RANDBETWEEN(8,12)/10,0)</f>
        <v>41480</v>
      </c>
      <c r="AY4">
        <f ca="1">ROUND(T_Facebook_Ads1159636771[[#This Row],[clicks]]*RANDBETWEEN(8,12)/10,0)</f>
        <v>1357</v>
      </c>
      <c r="AZ4">
        <f ca="1">T_Facebook_Ads1159636771[[#This Row],[spend]]*RANDBETWEEN(8,12)/10</f>
        <v>229.779</v>
      </c>
      <c r="BA4">
        <f ca="1">ROUND(T_Facebook_Ads1159636771[[#This Row],[conversions]]*RANDBETWEEN(8,12)/10,0)</f>
        <v>23</v>
      </c>
      <c r="BB4">
        <f ca="1">ROUND(T_Facebook_Ads1159636771[[#This Row],[video_views]]*RANDBETWEEN(8,12)/10,0)</f>
        <v>4110</v>
      </c>
    </row>
    <row r="5" spans="1:54" ht="15.75" thickBot="1" x14ac:dyDescent="0.3">
      <c r="A5" s="3">
        <f t="shared" ca="1" si="0"/>
        <v>45066</v>
      </c>
      <c r="B5" s="4" t="s">
        <v>52</v>
      </c>
      <c r="C5" s="4" t="s">
        <v>53</v>
      </c>
      <c r="D5" s="4" t="s">
        <v>54</v>
      </c>
      <c r="E5" s="4" t="s">
        <v>55</v>
      </c>
      <c r="F5" s="4">
        <f ca="1">ROUND(T_Facebook_Ads[[#This Row],[impressions]]*RANDBETWEEN(8,12)/10,0)</f>
        <v>42345</v>
      </c>
      <c r="G5" s="4">
        <v>823</v>
      </c>
      <c r="H5" s="4">
        <f ca="1">T_Facebook_Ads[[#This Row],[spend]]*RANDBETWEEN(8,12)/10</f>
        <v>94.56</v>
      </c>
      <c r="I5" s="4">
        <f ca="1">ROUND(T_Facebook_Ads[[#This Row],[conversions]]*RANDBETWEEN(8,12)/10,0)</f>
        <v>12</v>
      </c>
      <c r="J5" s="4">
        <f ca="1">ROUND(T_Facebook_Ads[[#This Row],[video_views]]*RANDBETWEEN(8,12)/10,0)</f>
        <v>6312</v>
      </c>
      <c r="K5" s="4">
        <f ca="1">T_Facebook_Ads[[#This Row],[engagement_rate]]*RANDBETWEEN(8,12)/10</f>
        <v>1.9400000000000001E-2</v>
      </c>
      <c r="L5" s="4">
        <f ca="1">ROUND(T_Facebook_Ads[[#This Row],[reach]]*RANDBETWEEN(8,12)/10,0)</f>
        <v>33110</v>
      </c>
      <c r="M5" s="4">
        <f ca="1">T_Facebook_Ads[[#This Row],[frequency]]*RANDBETWEEN(8,12)/10</f>
        <v>1.38</v>
      </c>
      <c r="O5" s="3">
        <f t="shared" ca="1" si="1"/>
        <v>45048</v>
      </c>
      <c r="P5" s="4" t="s">
        <v>76</v>
      </c>
      <c r="Q5" s="4" t="s">
        <v>77</v>
      </c>
      <c r="R5" s="4" t="s">
        <v>78</v>
      </c>
      <c r="S5" s="4" t="s">
        <v>79</v>
      </c>
      <c r="T5" s="4">
        <f ca="1">ROUND(_Google_ads[[#This Row],[impressions]]*RANDBETWEEN(8,12)/10,0)</f>
        <v>19654</v>
      </c>
      <c r="U5" s="4">
        <f ca="1">ROUND(_Google_ads[[#This Row],[clicks]]*RANDBETWEEN(8,12)/10,0)</f>
        <v>1418</v>
      </c>
      <c r="V5" s="4">
        <f ca="1">_Google_ads[[#This Row],[cost]]*RANDBETWEEN(8,12)/10</f>
        <v>270.15999999999997</v>
      </c>
      <c r="W5" s="4">
        <f ca="1">ROUND(_Google_ads[[#This Row],[conversions]]*RANDBETWEEN(8,12)/10,0)</f>
        <v>53</v>
      </c>
      <c r="X5" s="4">
        <f ca="1">ROUND(_Google_ads[[#This Row],[conversion_value]]*RANDBETWEEN(8,12)/10,0)</f>
        <v>2640</v>
      </c>
      <c r="Y5" s="4">
        <f ca="1">_Google_ads[[#This Row],[ctr]]*RANDBETWEEN(8,12)/10</f>
        <v>5.2500000000000005E-2</v>
      </c>
      <c r="Z5" s="4">
        <f ca="1">_Google_ads[[#This Row],[avg_cpc]]*RANDBETWEEN(8,12)/10</f>
        <v>0.20899999999999999</v>
      </c>
      <c r="AA5" s="4">
        <f ca="1">ROUND(_Google_ads[[#This Row],[quality_score]]*RANDBETWEEN(8,12)/10,0)</f>
        <v>10</v>
      </c>
      <c r="AB5" s="4">
        <f ca="1">_Google_ads[[#This Row],[search_impression_share]]*RANDBETWEEN(8,12)/10</f>
        <v>0.81899999999999995</v>
      </c>
      <c r="AD5" s="3">
        <f t="shared" ca="1" si="2"/>
        <v>45076</v>
      </c>
      <c r="AE5" s="4" t="s">
        <v>100</v>
      </c>
      <c r="AF5" s="4" t="s">
        <v>101</v>
      </c>
      <c r="AG5" s="4" t="s">
        <v>102</v>
      </c>
      <c r="AH5" s="4" t="s">
        <v>103</v>
      </c>
      <c r="AI5" s="4">
        <f ca="1">ROUND(T_Tiktok_ads[[#This Row],[impressions]]*RANDBETWEEN(8,12)/10,0)</f>
        <v>245678</v>
      </c>
      <c r="AJ5" s="4">
        <f ca="1">ROUND(T_Tiktok_ads[[#This Row],[clicks]]*RANDBETWEEN(8,12)/10,0)</f>
        <v>4414</v>
      </c>
      <c r="AK5" s="4">
        <v>478.9</v>
      </c>
      <c r="AL5" s="4">
        <f ca="1">ROUND(T_Tiktok_ads[[#This Row],[conversions]]*RANDBETWEEN(8,12)/10,0)</f>
        <v>36</v>
      </c>
      <c r="AM5" s="4">
        <f ca="1">ROUND(T_Tiktok_ads[[#This Row],[video_views]]*RANDBETWEEN(8,12)/10,0)</f>
        <v>186611</v>
      </c>
      <c r="AN5" s="4">
        <f ca="1">ROUND(T_Tiktok_ads[[#This Row],[video_watch_25]]*RANDBETWEEN(8,12)/10,0)</f>
        <v>147110</v>
      </c>
      <c r="AO5" s="4">
        <f ca="1">ROUND(T_Tiktok_ads[[#This Row],[video_watch_50]]*RANDBETWEEN(8,12)/10,0)</f>
        <v>102345</v>
      </c>
      <c r="AP5" s="4">
        <f ca="1">ROUND(T_Tiktok_ads[[#This Row],[video_watch_75]]*RANDBETWEEN(8,12)/10,0)</f>
        <v>63211</v>
      </c>
      <c r="AQ5" s="4">
        <f ca="1">ROUND(T_Tiktok_ads[[#This Row],[video_watch_100]]*RANDBETWEEN(8,12)/10,0)</f>
        <v>47234</v>
      </c>
      <c r="AR5" s="4">
        <f ca="1">ROUND(T_Tiktok_ads[[#This Row],[likes]]*RANDBETWEEN(8,12)/10,0)</f>
        <v>11081</v>
      </c>
      <c r="AS5" s="4">
        <f ca="1">ROUND(T_Tiktok_ads[[#This Row],[shares]]*RANDBETWEEN(8,12)/10,0)</f>
        <v>2456</v>
      </c>
      <c r="AT5" s="4">
        <f ca="1">ROUND(T_Tiktok_ads[[#This Row],[comments]]*RANDBETWEEN(8,12)/10,0)</f>
        <v>471</v>
      </c>
      <c r="AV5" s="5">
        <f t="shared" ca="1" si="3"/>
        <v>45068</v>
      </c>
      <c r="AW5">
        <f ca="1">RANDBETWEEN(1,8)</f>
        <v>1</v>
      </c>
      <c r="AX5">
        <f ca="1">ROUND(T_Facebook_Ads1159636771[[#This Row],[impressions]]*RANDBETWEEN(8,12)/10,0)</f>
        <v>46580</v>
      </c>
      <c r="AY5">
        <f ca="1">ROUND(T_Facebook_Ads1159636771[[#This Row],[clicks]]*RANDBETWEEN(8,12)/10,0)</f>
        <v>741</v>
      </c>
      <c r="AZ5">
        <f ca="1">T_Facebook_Ads1159636771[[#This Row],[spend]]*RANDBETWEEN(8,12)/10</f>
        <v>85.103999999999999</v>
      </c>
      <c r="BA5">
        <f ca="1">ROUND(T_Facebook_Ads1159636771[[#This Row],[conversions]]*RANDBETWEEN(8,12)/10,0)</f>
        <v>11</v>
      </c>
      <c r="BB5">
        <f ca="1">ROUND(T_Facebook_Ads1159636771[[#This Row],[video_views]]*RANDBETWEEN(8,12)/10,0)</f>
        <v>5050</v>
      </c>
    </row>
    <row r="6" spans="1:54" ht="15.75" thickBot="1" x14ac:dyDescent="0.3">
      <c r="A6" s="3">
        <f t="shared" ca="1" si="0"/>
        <v>45052</v>
      </c>
      <c r="B6" s="4" t="s">
        <v>56</v>
      </c>
      <c r="C6" s="4" t="s">
        <v>57</v>
      </c>
      <c r="D6" s="4" t="s">
        <v>58</v>
      </c>
      <c r="E6" s="4" t="s">
        <v>59</v>
      </c>
      <c r="F6" s="4">
        <f ca="1">ROUND(T_Facebook_Ads[[#This Row],[impressions]]*RANDBETWEEN(8,12)/10,0)</f>
        <v>16414</v>
      </c>
      <c r="G6" s="4">
        <v>623</v>
      </c>
      <c r="H6" s="4">
        <f ca="1">T_Facebook_Ads[[#This Row],[spend]]*RANDBETWEEN(8,12)/10</f>
        <v>281.39999999999998</v>
      </c>
      <c r="I6" s="4">
        <f ca="1">ROUND(T_Facebook_Ads[[#This Row],[conversions]]*RANDBETWEEN(8,12)/10,0)</f>
        <v>46</v>
      </c>
      <c r="J6" s="4">
        <f ca="1">ROUND(T_Facebook_Ads[[#This Row],[video_views]]*RANDBETWEEN(8,12)/10,0)</f>
        <v>1456</v>
      </c>
      <c r="K6" s="4">
        <f ca="1">T_Facebook_Ads[[#This Row],[engagement_rate]]*RANDBETWEEN(8,12)/10</f>
        <v>5.0049999999999997E-2</v>
      </c>
      <c r="L6" s="4">
        <f ca="1">ROUND(T_Facebook_Ads[[#This Row],[reach]]*RANDBETWEEN(8,12)/10,0)</f>
        <v>8187</v>
      </c>
      <c r="M6" s="4">
        <f ca="1">T_Facebook_Ads[[#This Row],[frequency]]*RANDBETWEEN(8,12)/10</f>
        <v>1.6080000000000001</v>
      </c>
      <c r="O6" s="3">
        <f t="shared" ca="1" si="1"/>
        <v>45058</v>
      </c>
      <c r="P6" s="4" t="s">
        <v>80</v>
      </c>
      <c r="Q6" s="4" t="s">
        <v>81</v>
      </c>
      <c r="R6" s="4" t="s">
        <v>82</v>
      </c>
      <c r="S6" s="4" t="s">
        <v>83</v>
      </c>
      <c r="T6" s="4">
        <f ca="1">ROUND(_Google_ads[[#This Row],[impressions]]*RANDBETWEEN(8,12)/10,0)</f>
        <v>38911</v>
      </c>
      <c r="U6" s="4">
        <f ca="1">ROUND(_Google_ads[[#This Row],[clicks]]*RANDBETWEEN(8,12)/10,0)</f>
        <v>823</v>
      </c>
      <c r="V6" s="4">
        <f ca="1">_Google_ads[[#This Row],[cost]]*RANDBETWEEN(8,12)/10</f>
        <v>480.78000000000003</v>
      </c>
      <c r="W6" s="4">
        <f ca="1">ROUND(_Google_ads[[#This Row],[conversions]]*RANDBETWEEN(8,12)/10,0)</f>
        <v>23</v>
      </c>
      <c r="X6" s="4">
        <f ca="1">ROUND(_Google_ads[[#This Row],[conversion_value]]*RANDBETWEEN(8,12)/10,0)</f>
        <v>945</v>
      </c>
      <c r="Y6" s="4">
        <f ca="1">_Google_ads[[#This Row],[ctr]]*RANDBETWEEN(8,12)/10</f>
        <v>1.9E-2</v>
      </c>
      <c r="Z6" s="4">
        <f ca="1">_Google_ads[[#This Row],[avg_cpc]]*RANDBETWEEN(8,12)/10</f>
        <v>0.65</v>
      </c>
      <c r="AA6" s="4">
        <f ca="1">ROUND(_Google_ads[[#This Row],[quality_score]]*RANDBETWEEN(8,12)/10,0)</f>
        <v>7</v>
      </c>
      <c r="AB6" s="4">
        <f ca="1">_Google_ads[[#This Row],[search_impression_share]]*RANDBETWEEN(8,12)/10</f>
        <v>0.44000000000000006</v>
      </c>
      <c r="AD6" s="3">
        <f t="shared" ca="1" si="2"/>
        <v>45075</v>
      </c>
      <c r="AE6" s="4" t="s">
        <v>104</v>
      </c>
      <c r="AF6" s="4" t="s">
        <v>105</v>
      </c>
      <c r="AG6" s="4" t="s">
        <v>106</v>
      </c>
      <c r="AH6" s="4" t="s">
        <v>107</v>
      </c>
      <c r="AI6" s="4">
        <f ca="1">ROUND(T_Tiktok_ads[[#This Row],[impressions]]*RANDBETWEEN(8,12)/10,0)</f>
        <v>148024</v>
      </c>
      <c r="AJ6" s="4">
        <f ca="1">ROUND(T_Tiktok_ads[[#This Row],[clicks]]*RANDBETWEEN(8,12)/10,0)</f>
        <v>2310</v>
      </c>
      <c r="AK6" s="4">
        <v>712.3</v>
      </c>
      <c r="AL6" s="4">
        <f ca="1">ROUND(T_Tiktok_ads[[#This Row],[conversions]]*RANDBETWEEN(8,12)/10,0)</f>
        <v>85</v>
      </c>
      <c r="AM6" s="4">
        <f ca="1">ROUND(T_Tiktok_ads[[#This Row],[video_views]]*RANDBETWEEN(8,12)/10,0)</f>
        <v>95678</v>
      </c>
      <c r="AN6" s="4">
        <f ca="1">ROUND(T_Tiktok_ads[[#This Row],[video_watch_25]]*RANDBETWEEN(8,12)/10,0)</f>
        <v>85481</v>
      </c>
      <c r="AO6" s="4">
        <f ca="1">ROUND(T_Tiktok_ads[[#This Row],[video_watch_50]]*RANDBETWEEN(8,12)/10,0)</f>
        <v>57881</v>
      </c>
      <c r="AP6" s="4">
        <f ca="1">ROUND(T_Tiktok_ads[[#This Row],[video_watch_75]]*RANDBETWEEN(8,12)/10,0)</f>
        <v>36234</v>
      </c>
      <c r="AQ6" s="4">
        <f ca="1">ROUND(T_Tiktok_ads[[#This Row],[video_watch_100]]*RANDBETWEEN(8,12)/10,0)</f>
        <v>22110</v>
      </c>
      <c r="AR6" s="4">
        <f ca="1">ROUND(T_Tiktok_ads[[#This Row],[likes]]*RANDBETWEEN(8,12)/10,0)</f>
        <v>5747</v>
      </c>
      <c r="AS6" s="4">
        <f ca="1">ROUND(T_Tiktok_ads[[#This Row],[shares]]*RANDBETWEEN(8,12)/10,0)</f>
        <v>1345</v>
      </c>
      <c r="AT6" s="4">
        <f ca="1">ROUND(T_Tiktok_ads[[#This Row],[comments]]*RANDBETWEEN(8,12)/10,0)</f>
        <v>221</v>
      </c>
      <c r="AV6" s="5">
        <f t="shared" ca="1" si="3"/>
        <v>45063</v>
      </c>
      <c r="AW6">
        <f t="shared" ca="1" si="4"/>
        <v>6</v>
      </c>
      <c r="AX6">
        <f ca="1">ROUND(T_Facebook_Ads1159636771[[#This Row],[impressions]]*RANDBETWEEN(8,12)/10,0)</f>
        <v>13131</v>
      </c>
      <c r="AY6">
        <f ca="1">ROUND(T_Facebook_Ads1159636771[[#This Row],[clicks]]*RANDBETWEEN(8,12)/10,0)</f>
        <v>498</v>
      </c>
      <c r="AZ6">
        <f ca="1">T_Facebook_Ads1159636771[[#This Row],[spend]]*RANDBETWEEN(8,12)/10</f>
        <v>225.11999999999998</v>
      </c>
      <c r="BA6">
        <f ca="1">ROUND(T_Facebook_Ads1159636771[[#This Row],[conversions]]*RANDBETWEEN(8,12)/10,0)</f>
        <v>51</v>
      </c>
      <c r="BB6">
        <f ca="1">ROUND(T_Facebook_Ads1159636771[[#This Row],[video_views]]*RANDBETWEEN(8,12)/10,0)</f>
        <v>1747</v>
      </c>
    </row>
    <row r="7" spans="1:54" ht="15.75" thickBot="1" x14ac:dyDescent="0.3">
      <c r="A7" s="3">
        <f t="shared" ca="1" si="0"/>
        <v>45064</v>
      </c>
      <c r="B7" s="4" t="s">
        <v>60</v>
      </c>
      <c r="C7" s="4" t="s">
        <v>61</v>
      </c>
      <c r="D7" s="4" t="s">
        <v>62</v>
      </c>
      <c r="E7" s="4" t="s">
        <v>63</v>
      </c>
      <c r="F7" s="4">
        <f ca="1">ROUND(T_Facebook_Ads[[#This Row],[impressions]]*RANDBETWEEN(8,12)/10,0)</f>
        <v>36789</v>
      </c>
      <c r="G7" s="4">
        <v>1345</v>
      </c>
      <c r="H7" s="4">
        <f ca="1">T_Facebook_Ads[[#This Row],[spend]]*RANDBETWEEN(8,12)/10</f>
        <v>241.56000000000003</v>
      </c>
      <c r="I7" s="4">
        <f ca="1">ROUND(T_Facebook_Ads[[#This Row],[conversions]]*RANDBETWEEN(8,12)/10,0)</f>
        <v>23</v>
      </c>
      <c r="J7" s="4">
        <f ca="1">ROUND(T_Facebook_Ads[[#This Row],[video_views]]*RANDBETWEEN(8,12)/10,0)</f>
        <v>5868</v>
      </c>
      <c r="K7" s="4">
        <f ca="1">T_Facebook_Ads[[#This Row],[engagement_rate]]*RANDBETWEEN(8,12)/10</f>
        <v>4.3920000000000001E-2</v>
      </c>
      <c r="L7" s="4">
        <f ca="1">ROUND(T_Facebook_Ads[[#This Row],[reach]]*RANDBETWEEN(8,12)/10,0)</f>
        <v>27111</v>
      </c>
      <c r="M7" s="4">
        <f ca="1">T_Facebook_Ads[[#This Row],[frequency]]*RANDBETWEEN(8,12)/10</f>
        <v>1.464</v>
      </c>
      <c r="O7" s="3">
        <f t="shared" ca="1" si="1"/>
        <v>45073</v>
      </c>
      <c r="P7" s="4" t="s">
        <v>84</v>
      </c>
      <c r="Q7" s="4" t="s">
        <v>85</v>
      </c>
      <c r="R7" s="4" t="s">
        <v>86</v>
      </c>
      <c r="S7" s="4" t="s">
        <v>87</v>
      </c>
      <c r="T7" s="4">
        <f ca="1">ROUND(_Google_ads[[#This Row],[impressions]]*RANDBETWEEN(8,12)/10,0)</f>
        <v>78357</v>
      </c>
      <c r="U7" s="4">
        <f ca="1">ROUND(_Google_ads[[#This Row],[clicks]]*RANDBETWEEN(8,12)/10,0)</f>
        <v>2210</v>
      </c>
      <c r="V7" s="4">
        <f ca="1">_Google_ads[[#This Row],[cost]]*RANDBETWEEN(8,12)/10</f>
        <v>401.22</v>
      </c>
      <c r="W7" s="4">
        <f ca="1">ROUND(_Google_ads[[#This Row],[conversions]]*RANDBETWEEN(8,12)/10,0)</f>
        <v>57</v>
      </c>
      <c r="X7" s="4">
        <f ca="1">ROUND(_Google_ads[[#This Row],[conversion_value]]*RANDBETWEEN(8,12)/10,0)</f>
        <v>4260</v>
      </c>
      <c r="Y7" s="4">
        <f ca="1">_Google_ads[[#This Row],[ctr]]*RANDBETWEEN(8,12)/10</f>
        <v>3.1050000000000001E-2</v>
      </c>
      <c r="Z7" s="4">
        <f ca="1">_Google_ads[[#This Row],[avg_cpc]]*RANDBETWEEN(8,12)/10</f>
        <v>0.19800000000000001</v>
      </c>
      <c r="AA7" s="4">
        <f ca="1">ROUND(_Google_ads[[#This Row],[quality_score]]*RANDBETWEEN(8,12)/10,0)</f>
        <v>6</v>
      </c>
      <c r="AB7" s="4">
        <f ca="1">_Google_ads[[#This Row],[search_impression_share]]*RANDBETWEEN(8,12)/10</f>
        <v>0.54400000000000004</v>
      </c>
      <c r="AD7" s="3">
        <f t="shared" ca="1" si="2"/>
        <v>45076</v>
      </c>
      <c r="AE7" s="4" t="s">
        <v>108</v>
      </c>
      <c r="AF7" s="4" t="s">
        <v>109</v>
      </c>
      <c r="AG7" s="4" t="s">
        <v>110</v>
      </c>
      <c r="AH7" s="4" t="s">
        <v>111</v>
      </c>
      <c r="AI7" s="4">
        <f ca="1">ROUND(T_Tiktok_ads[[#This Row],[impressions]]*RANDBETWEEN(8,12)/10,0)</f>
        <v>158676</v>
      </c>
      <c r="AJ7" s="4">
        <f ca="1">ROUND(T_Tiktok_ads[[#This Row],[clicks]]*RANDBETWEEN(8,12)/10,0)</f>
        <v>3614</v>
      </c>
      <c r="AK7" s="4">
        <v>361.2</v>
      </c>
      <c r="AL7" s="4">
        <f ca="1">ROUND(T_Tiktok_ads[[#This Row],[conversions]]*RANDBETWEEN(8,12)/10,0)</f>
        <v>28</v>
      </c>
      <c r="AM7" s="4">
        <f ca="1">ROUND(T_Tiktok_ads[[#This Row],[video_views]]*RANDBETWEEN(8,12)/10,0)</f>
        <v>121876</v>
      </c>
      <c r="AN7" s="4">
        <f ca="1">ROUND(T_Tiktok_ads[[#This Row],[video_watch_25]]*RANDBETWEEN(8,12)/10,0)</f>
        <v>93787</v>
      </c>
      <c r="AO7" s="4">
        <f ca="1">ROUND(T_Tiktok_ads[[#This Row],[video_watch_50]]*RANDBETWEEN(8,12)/10,0)</f>
        <v>111881</v>
      </c>
      <c r="AP7" s="4">
        <f ca="1">ROUND(T_Tiktok_ads[[#This Row],[video_watch_75]]*RANDBETWEEN(8,12)/10,0)</f>
        <v>65157</v>
      </c>
      <c r="AQ7" s="4">
        <f ca="1">ROUND(T_Tiktok_ads[[#This Row],[video_watch_100]]*RANDBETWEEN(8,12)/10,0)</f>
        <v>32611</v>
      </c>
      <c r="AR7" s="4">
        <f ca="1">ROUND(T_Tiktok_ads[[#This Row],[likes]]*RANDBETWEEN(8,12)/10,0)</f>
        <v>7835</v>
      </c>
      <c r="AS7" s="4">
        <f ca="1">ROUND(T_Tiktok_ads[[#This Row],[shares]]*RANDBETWEEN(8,12)/10,0)</f>
        <v>1967</v>
      </c>
      <c r="AT7" s="4">
        <f ca="1">ROUND(T_Tiktok_ads[[#This Row],[comments]]*RANDBETWEEN(8,12)/10,0)</f>
        <v>526</v>
      </c>
      <c r="AV7" s="5">
        <f t="shared" ca="1" si="3"/>
        <v>45048</v>
      </c>
      <c r="AW7">
        <f t="shared" ca="1" si="4"/>
        <v>3</v>
      </c>
      <c r="AX7">
        <f ca="1">ROUND(T_Facebook_Ads1159636771[[#This Row],[impressions]]*RANDBETWEEN(8,12)/10,0)</f>
        <v>36789</v>
      </c>
      <c r="AY7">
        <f ca="1">ROUND(T_Facebook_Ads1159636771[[#This Row],[clicks]]*RANDBETWEEN(8,12)/10,0)</f>
        <v>1211</v>
      </c>
      <c r="AZ7">
        <f ca="1">T_Facebook_Ads1159636771[[#This Row],[spend]]*RANDBETWEEN(8,12)/10</f>
        <v>289.87200000000001</v>
      </c>
      <c r="BA7">
        <f ca="1">ROUND(T_Facebook_Ads1159636771[[#This Row],[conversions]]*RANDBETWEEN(8,12)/10,0)</f>
        <v>28</v>
      </c>
      <c r="BB7">
        <f ca="1">ROUND(T_Facebook_Ads1159636771[[#This Row],[video_views]]*RANDBETWEEN(8,12)/10,0)</f>
        <v>4694</v>
      </c>
    </row>
    <row r="8" spans="1:54" ht="15.75" thickBot="1" x14ac:dyDescent="0.3">
      <c r="A8" s="3">
        <f t="shared" ca="1" si="0"/>
        <v>45055</v>
      </c>
      <c r="B8" s="4" t="s">
        <v>52</v>
      </c>
      <c r="C8" s="4" t="s">
        <v>53</v>
      </c>
      <c r="D8" s="4" t="s">
        <v>54</v>
      </c>
      <c r="E8" s="4" t="s">
        <v>55</v>
      </c>
      <c r="F8" s="4">
        <f ca="1">ROUND(T_Facebook_Ads[[#This Row],[impressions]]*RANDBETWEEN(8,12)/10,0)</f>
        <v>43411</v>
      </c>
      <c r="G8" s="4">
        <v>967</v>
      </c>
      <c r="H8" s="4">
        <f ca="1">T_Facebook_Ads[[#This Row],[spend]]*RANDBETWEEN(8,12)/10</f>
        <v>107.84</v>
      </c>
      <c r="I8" s="4">
        <f ca="1">ROUND(T_Facebook_Ads[[#This Row],[conversions]]*RANDBETWEEN(8,12)/10,0)</f>
        <v>13</v>
      </c>
      <c r="J8" s="4">
        <f ca="1">ROUND(T_Facebook_Ads[[#This Row],[video_views]]*RANDBETWEEN(8,12)/10,0)</f>
        <v>8011</v>
      </c>
      <c r="K8" s="4">
        <f ca="1">T_Facebook_Ads[[#This Row],[engagement_rate]]*RANDBETWEEN(8,12)/10</f>
        <v>2.01E-2</v>
      </c>
      <c r="L8" s="4">
        <f ca="1">ROUND(T_Facebook_Ads[[#This Row],[reach]]*RANDBETWEEN(8,12)/10,0)</f>
        <v>40123</v>
      </c>
      <c r="M8" s="4">
        <f ca="1">T_Facebook_Ads[[#This Row],[frequency]]*RANDBETWEEN(8,12)/10</f>
        <v>1.2</v>
      </c>
      <c r="O8" s="3">
        <f t="shared" ca="1" si="1"/>
        <v>45074</v>
      </c>
      <c r="P8" s="4" t="s">
        <v>76</v>
      </c>
      <c r="Q8" s="4" t="s">
        <v>77</v>
      </c>
      <c r="R8" s="4" t="s">
        <v>78</v>
      </c>
      <c r="S8" s="4" t="s">
        <v>79</v>
      </c>
      <c r="T8" s="4">
        <f ca="1">ROUND(_Google_ads[[#This Row],[impressions]]*RANDBETWEEN(8,12)/10,0)</f>
        <v>20111</v>
      </c>
      <c r="U8" s="4">
        <f ca="1">ROUND(_Google_ads[[#This Row],[clicks]]*RANDBETWEEN(8,12)/10,0)</f>
        <v>1235</v>
      </c>
      <c r="V8" s="4">
        <f ca="1">_Google_ads[[#This Row],[cost]]*RANDBETWEEN(8,12)/10</f>
        <v>192.06</v>
      </c>
      <c r="W8" s="4">
        <f ca="1">ROUND(_Google_ads[[#This Row],[conversions]]*RANDBETWEEN(8,12)/10,0)</f>
        <v>38</v>
      </c>
      <c r="X8" s="4">
        <f ca="1">ROUND(_Google_ads[[#This Row],[conversion_value]]*RANDBETWEEN(8,12)/10,0)</f>
        <v>1680</v>
      </c>
      <c r="Y8" s="4">
        <f ca="1">_Google_ads[[#This Row],[ctr]]*RANDBETWEEN(8,12)/10</f>
        <v>5.5330000000000004E-2</v>
      </c>
      <c r="Z8" s="4">
        <f ca="1">_Google_ads[[#This Row],[avg_cpc]]*RANDBETWEEN(8,12)/10</f>
        <v>0.19</v>
      </c>
      <c r="AA8" s="4">
        <f ca="1">ROUND(_Google_ads[[#This Row],[quality_score]]*RANDBETWEEN(8,12)/10,0)</f>
        <v>10</v>
      </c>
      <c r="AB8" s="4">
        <f ca="1">_Google_ads[[#This Row],[search_impression_share]]*RANDBETWEEN(8,12)/10</f>
        <v>1.0230000000000001</v>
      </c>
      <c r="AD8" s="3">
        <f t="shared" ca="1" si="2"/>
        <v>45067</v>
      </c>
      <c r="AE8" s="4" t="s">
        <v>100</v>
      </c>
      <c r="AF8" s="4" t="s">
        <v>101</v>
      </c>
      <c r="AG8" s="4" t="s">
        <v>102</v>
      </c>
      <c r="AH8" s="4" t="s">
        <v>103</v>
      </c>
      <c r="AI8" s="4">
        <f ca="1">ROUND(T_Tiktok_ads[[#This Row],[impressions]]*RANDBETWEEN(8,12)/10,0)</f>
        <v>223456</v>
      </c>
      <c r="AJ8" s="4">
        <f ca="1">ROUND(T_Tiktok_ads[[#This Row],[clicks]]*RANDBETWEEN(8,12)/10,0)</f>
        <v>3881</v>
      </c>
      <c r="AK8" s="4">
        <v>434.5</v>
      </c>
      <c r="AL8" s="4">
        <f ca="1">ROUND(T_Tiktok_ads[[#This Row],[conversions]]*RANDBETWEEN(8,12)/10,0)</f>
        <v>26</v>
      </c>
      <c r="AM8" s="4">
        <f ca="1">ROUND(T_Tiktok_ads[[#This Row],[video_views]]*RANDBETWEEN(8,12)/10,0)</f>
        <v>151387</v>
      </c>
      <c r="AN8" s="4">
        <f ca="1">ROUND(T_Tiktok_ads[[#This Row],[video_watch_25]]*RANDBETWEEN(8,12)/10,0)</f>
        <v>133411</v>
      </c>
      <c r="AO8" s="4">
        <f ca="1">ROUND(T_Tiktok_ads[[#This Row],[video_watch_50]]*RANDBETWEEN(8,12)/10,0)</f>
        <v>111881</v>
      </c>
      <c r="AP8" s="4">
        <f ca="1">ROUND(T_Tiktok_ads[[#This Row],[video_watch_75]]*RANDBETWEEN(8,12)/10,0)</f>
        <v>50765</v>
      </c>
      <c r="AQ8" s="4">
        <f ca="1">ROUND(T_Tiktok_ads[[#This Row],[video_watch_100]]*RANDBETWEEN(8,12)/10,0)</f>
        <v>51881</v>
      </c>
      <c r="AR8" s="4">
        <f ca="1">ROUND(T_Tiktok_ads[[#This Row],[likes]]*RANDBETWEEN(8,12)/10,0)</f>
        <v>8567</v>
      </c>
      <c r="AS8" s="4">
        <f ca="1">ROUND(T_Tiktok_ads[[#This Row],[shares]]*RANDBETWEEN(8,12)/10,0)</f>
        <v>2011</v>
      </c>
      <c r="AT8" s="4">
        <f ca="1">ROUND(T_Tiktok_ads[[#This Row],[comments]]*RANDBETWEEN(8,12)/10,0)</f>
        <v>641</v>
      </c>
      <c r="AV8" s="5">
        <f t="shared" ca="1" si="3"/>
        <v>45057</v>
      </c>
      <c r="AW8">
        <f t="shared" ca="1" si="4"/>
        <v>4</v>
      </c>
      <c r="AX8">
        <f ca="1">ROUND(T_Facebook_Ads1159636771[[#This Row],[impressions]]*RANDBETWEEN(8,12)/10,0)</f>
        <v>47752</v>
      </c>
      <c r="AY8">
        <f ca="1">ROUND(T_Facebook_Ads1159636771[[#This Row],[clicks]]*RANDBETWEEN(8,12)/10,0)</f>
        <v>870</v>
      </c>
      <c r="AZ8">
        <f ca="1">T_Facebook_Ads1159636771[[#This Row],[spend]]*RANDBETWEEN(8,12)/10</f>
        <v>129.40799999999999</v>
      </c>
      <c r="BA8">
        <f ca="1">ROUND(T_Facebook_Ads1159636771[[#This Row],[conversions]]*RANDBETWEEN(8,12)/10,0)</f>
        <v>14</v>
      </c>
      <c r="BB8">
        <f ca="1">ROUND(T_Facebook_Ads1159636771[[#This Row],[video_views]]*RANDBETWEEN(8,12)/10,0)</f>
        <v>6409</v>
      </c>
    </row>
    <row r="9" spans="1:54" ht="15.75" thickBot="1" x14ac:dyDescent="0.3">
      <c r="A9" s="3">
        <f t="shared" ca="1" si="0"/>
        <v>45057</v>
      </c>
      <c r="B9" s="4" t="s">
        <v>56</v>
      </c>
      <c r="C9" s="4" t="s">
        <v>57</v>
      </c>
      <c r="D9" s="4" t="s">
        <v>58</v>
      </c>
      <c r="E9" s="4" t="s">
        <v>59</v>
      </c>
      <c r="F9" s="4">
        <f ca="1">ROUND(T_Facebook_Ads[[#This Row],[impressions]]*RANDBETWEEN(8,12)/10,0)</f>
        <v>13481</v>
      </c>
      <c r="G9" s="4">
        <v>489</v>
      </c>
      <c r="H9" s="4">
        <f ca="1">T_Facebook_Ads[[#This Row],[spend]]*RANDBETWEEN(8,12)/10</f>
        <v>238.43999999999997</v>
      </c>
      <c r="I9" s="4">
        <f ca="1">ROUND(T_Facebook_Ads[[#This Row],[conversions]]*RANDBETWEEN(8,12)/10,0)</f>
        <v>31</v>
      </c>
      <c r="J9" s="4">
        <f ca="1">ROUND(T_Facebook_Ads[[#This Row],[video_views]]*RANDBETWEEN(8,12)/10,0)</f>
        <v>898</v>
      </c>
      <c r="K9" s="4">
        <f ca="1">T_Facebook_Ads[[#This Row],[engagement_rate]]*RANDBETWEEN(8,12)/10</f>
        <v>3.4799999999999998E-2</v>
      </c>
      <c r="L9" s="4">
        <f ca="1">ROUND(T_Facebook_Ads[[#This Row],[reach]]*RANDBETWEEN(8,12)/10,0)</f>
        <v>8901</v>
      </c>
      <c r="M9" s="4">
        <f ca="1">T_Facebook_Ads[[#This Row],[frequency]]*RANDBETWEEN(8,12)/10</f>
        <v>1.008</v>
      </c>
      <c r="O9" s="3">
        <f t="shared" ca="1" si="1"/>
        <v>45055</v>
      </c>
      <c r="P9" s="4" t="s">
        <v>80</v>
      </c>
      <c r="Q9" s="4" t="s">
        <v>81</v>
      </c>
      <c r="R9" s="4" t="s">
        <v>82</v>
      </c>
      <c r="S9" s="4" t="s">
        <v>83</v>
      </c>
      <c r="T9" s="4">
        <f ca="1">ROUND(_Google_ads[[#This Row],[impressions]]*RANDBETWEEN(8,12)/10,0)</f>
        <v>52679</v>
      </c>
      <c r="U9" s="4">
        <f ca="1">ROUND(_Google_ads[[#This Row],[clicks]]*RANDBETWEEN(8,12)/10,0)</f>
        <v>967</v>
      </c>
      <c r="V9" s="4">
        <f ca="1">_Google_ads[[#This Row],[cost]]*RANDBETWEEN(8,12)/10</f>
        <v>561.15</v>
      </c>
      <c r="W9" s="4">
        <f ca="1">ROUND(_Google_ads[[#This Row],[conversions]]*RANDBETWEEN(8,12)/10,0)</f>
        <v>20</v>
      </c>
      <c r="X9" s="4">
        <f ca="1">ROUND(_Google_ads[[#This Row],[conversion_value]]*RANDBETWEEN(8,12)/10,0)</f>
        <v>1500</v>
      </c>
      <c r="Y9" s="4">
        <f ca="1">_Google_ads[[#This Row],[ctr]]*RANDBETWEEN(8,12)/10</f>
        <v>1.6160000000000001E-2</v>
      </c>
      <c r="Z9" s="4">
        <f ca="1">_Google_ads[[#This Row],[avg_cpc]]*RANDBETWEEN(8,12)/10</f>
        <v>0.64</v>
      </c>
      <c r="AA9" s="4">
        <f ca="1">ROUND(_Google_ads[[#This Row],[quality_score]]*RANDBETWEEN(8,12)/10,0)</f>
        <v>7</v>
      </c>
      <c r="AB9" s="4">
        <f ca="1">_Google_ads[[#This Row],[search_impression_share]]*RANDBETWEEN(8,12)/10</f>
        <v>0.51600000000000001</v>
      </c>
      <c r="AD9" s="3">
        <f t="shared" ca="1" si="2"/>
        <v>45056</v>
      </c>
      <c r="AE9" s="4" t="s">
        <v>104</v>
      </c>
      <c r="AF9" s="4" t="s">
        <v>105</v>
      </c>
      <c r="AG9" s="4" t="s">
        <v>106</v>
      </c>
      <c r="AH9" s="4" t="s">
        <v>107</v>
      </c>
      <c r="AI9" s="4">
        <f ca="1">ROUND(T_Tiktok_ads[[#This Row],[impressions]]*RANDBETWEEN(8,12)/10,0)</f>
        <v>112345</v>
      </c>
      <c r="AJ9" s="4">
        <f ca="1">ROUND(T_Tiktok_ads[[#This Row],[clicks]]*RANDBETWEEN(8,12)/10,0)</f>
        <v>1698</v>
      </c>
      <c r="AK9" s="4">
        <v>623.4</v>
      </c>
      <c r="AL9" s="4">
        <f ca="1">ROUND(T_Tiktok_ads[[#This Row],[conversions]]*RANDBETWEEN(8,12)/10,0)</f>
        <v>56</v>
      </c>
      <c r="AM9" s="4">
        <f ca="1">ROUND(T_Tiktok_ads[[#This Row],[video_views]]*RANDBETWEEN(8,12)/10,0)</f>
        <v>90580</v>
      </c>
      <c r="AN9" s="4">
        <f ca="1">ROUND(T_Tiktok_ads[[#This Row],[video_watch_25]]*RANDBETWEEN(8,12)/10,0)</f>
        <v>73481</v>
      </c>
      <c r="AO9" s="4">
        <f ca="1">ROUND(T_Tiktok_ads[[#This Row],[video_watch_50]]*RANDBETWEEN(8,12)/10,0)</f>
        <v>37111</v>
      </c>
      <c r="AP9" s="4">
        <f ca="1">ROUND(T_Tiktok_ads[[#This Row],[video_watch_75]]*RANDBETWEEN(8,12)/10,0)</f>
        <v>24987</v>
      </c>
      <c r="AQ9" s="4">
        <f ca="1">ROUND(T_Tiktok_ads[[#This Row],[video_watch_100]]*RANDBETWEEN(8,12)/10,0)</f>
        <v>19111</v>
      </c>
      <c r="AR9" s="4">
        <f ca="1">ROUND(T_Tiktok_ads[[#This Row],[likes]]*RANDBETWEEN(8,12)/10,0)</f>
        <v>4234</v>
      </c>
      <c r="AS9" s="4">
        <f ca="1">ROUND(T_Tiktok_ads[[#This Row],[shares]]*RANDBETWEEN(8,12)/10,0)</f>
        <v>898</v>
      </c>
      <c r="AT9" s="4">
        <f ca="1">ROUND(T_Tiktok_ads[[#This Row],[comments]]*RANDBETWEEN(8,12)/10,0)</f>
        <v>191</v>
      </c>
      <c r="AV9" s="5">
        <f t="shared" ca="1" si="3"/>
        <v>45073</v>
      </c>
      <c r="AW9">
        <f t="shared" ca="1" si="4"/>
        <v>8</v>
      </c>
      <c r="AX9">
        <f ca="1">ROUND(T_Facebook_Ads1159636771[[#This Row],[impressions]]*RANDBETWEEN(8,12)/10,0)</f>
        <v>12133</v>
      </c>
      <c r="AY9">
        <f ca="1">ROUND(T_Facebook_Ads1159636771[[#This Row],[clicks]]*RANDBETWEEN(8,12)/10,0)</f>
        <v>587</v>
      </c>
      <c r="AZ9">
        <f ca="1">T_Facebook_Ads1159636771[[#This Row],[spend]]*RANDBETWEEN(8,12)/10</f>
        <v>286.12799999999999</v>
      </c>
      <c r="BA9">
        <f ca="1">ROUND(T_Facebook_Ads1159636771[[#This Row],[conversions]]*RANDBETWEEN(8,12)/10,0)</f>
        <v>28</v>
      </c>
      <c r="BB9">
        <f ca="1">ROUND(T_Facebook_Ads1159636771[[#This Row],[video_views]]*RANDBETWEEN(8,12)/10,0)</f>
        <v>898</v>
      </c>
    </row>
    <row r="10" spans="1:54" ht="15.75" thickBot="1" x14ac:dyDescent="0.3">
      <c r="A10" s="3">
        <f t="shared" ca="1" si="0"/>
        <v>45064</v>
      </c>
      <c r="B10" s="4" t="s">
        <v>60</v>
      </c>
      <c r="C10" s="4" t="s">
        <v>61</v>
      </c>
      <c r="D10" s="4" t="s">
        <v>62</v>
      </c>
      <c r="E10" s="4" t="s">
        <v>63</v>
      </c>
      <c r="F10" s="4">
        <f ca="1">ROUND(T_Facebook_Ads[[#This Row],[impressions]]*RANDBETWEEN(8,12)/10,0)</f>
        <v>35011</v>
      </c>
      <c r="G10" s="4">
        <v>1456</v>
      </c>
      <c r="H10" s="4">
        <f ca="1">T_Facebook_Ads[[#This Row],[spend]]*RANDBETWEEN(8,12)/10</f>
        <v>234.74</v>
      </c>
      <c r="I10" s="4">
        <f ca="1">ROUND(T_Facebook_Ads[[#This Row],[conversions]]*RANDBETWEEN(8,12)/10,0)</f>
        <v>25</v>
      </c>
      <c r="J10" s="4">
        <f ca="1">ROUND(T_Facebook_Ads[[#This Row],[video_views]]*RANDBETWEEN(8,12)/10,0)</f>
        <v>4187</v>
      </c>
      <c r="K10" s="4">
        <f ca="1">T_Facebook_Ads[[#This Row],[engagement_rate]]*RANDBETWEEN(8,12)/10</f>
        <v>4.1249999999999995E-2</v>
      </c>
      <c r="L10" s="4">
        <f ca="1">ROUND(T_Facebook_Ads[[#This Row],[reach]]*RANDBETWEEN(8,12)/10,0)</f>
        <v>25165</v>
      </c>
      <c r="M10" s="4">
        <f ca="1">T_Facebook_Ads[[#This Row],[frequency]]*RANDBETWEEN(8,12)/10</f>
        <v>0.99199999999999999</v>
      </c>
      <c r="O10" s="3">
        <f t="shared" ca="1" si="1"/>
        <v>45076</v>
      </c>
      <c r="P10" s="4" t="s">
        <v>88</v>
      </c>
      <c r="Q10" s="4" t="s">
        <v>89</v>
      </c>
      <c r="R10" s="4" t="s">
        <v>90</v>
      </c>
      <c r="S10" s="4" t="s">
        <v>59</v>
      </c>
      <c r="T10" s="4">
        <f ca="1">ROUND(_Google_ads[[#This Row],[impressions]]*RANDBETWEEN(8,12)/10,0)</f>
        <v>111110</v>
      </c>
      <c r="U10" s="4">
        <f ca="1">ROUND(_Google_ads[[#This Row],[clicks]]*RANDBETWEEN(8,12)/10,0)</f>
        <v>547</v>
      </c>
      <c r="V10" s="4">
        <f ca="1">_Google_ads[[#This Row],[cost]]*RANDBETWEEN(8,12)/10</f>
        <v>98.72</v>
      </c>
      <c r="W10" s="4">
        <f ca="1">ROUND(_Google_ads[[#This Row],[conversions]]*RANDBETWEEN(8,12)/10,0)</f>
        <v>14</v>
      </c>
      <c r="X10" s="4">
        <f ca="1">ROUND(_Google_ads[[#This Row],[conversion_value]]*RANDBETWEEN(8,12)/10,0)</f>
        <v>540</v>
      </c>
      <c r="Y10" s="4">
        <f ca="1">_Google_ads[[#This Row],[ctr]]*RANDBETWEEN(8,12)/10</f>
        <v>4.4400000000000004E-3</v>
      </c>
      <c r="Z10" s="4">
        <f ca="1">_Google_ads[[#This Row],[avg_cpc]]*RANDBETWEEN(8,12)/10</f>
        <v>0.21600000000000003</v>
      </c>
      <c r="AA10" s="4">
        <f ca="1">ROUND(_Google_ads[[#This Row],[quality_score]]*RANDBETWEEN(8,12)/10,0)</f>
        <v>8</v>
      </c>
      <c r="AB10" s="4">
        <f ca="1">_Google_ads[[#This Row],[search_impression_share]]*RANDBETWEEN(8,12)/10</f>
        <v>0.27999999999999997</v>
      </c>
      <c r="AD10" s="3">
        <f t="shared" ca="1" si="2"/>
        <v>45075</v>
      </c>
      <c r="AE10" s="4" t="s">
        <v>112</v>
      </c>
      <c r="AF10" s="4" t="s">
        <v>113</v>
      </c>
      <c r="AG10" s="4" t="s">
        <v>114</v>
      </c>
      <c r="AH10" s="4" t="s">
        <v>115</v>
      </c>
      <c r="AI10" s="4">
        <f ca="1">ROUND(T_Tiktok_ads[[#This Row],[impressions]]*RANDBETWEEN(8,12)/10,0)</f>
        <v>311110</v>
      </c>
      <c r="AJ10" s="4">
        <f ca="1">ROUND(T_Tiktok_ads[[#This Row],[clicks]]*RANDBETWEEN(8,12)/10,0)</f>
        <v>4542</v>
      </c>
      <c r="AK10" s="4">
        <v>890.1</v>
      </c>
      <c r="AL10" s="4">
        <f ca="1">ROUND(T_Tiktok_ads[[#This Row],[conversions]]*RANDBETWEEN(8,12)/10,0)</f>
        <v>71</v>
      </c>
      <c r="AM10" s="4">
        <f ca="1">ROUND(T_Tiktok_ads[[#This Row],[video_views]]*RANDBETWEEN(8,12)/10,0)</f>
        <v>260311</v>
      </c>
      <c r="AN10" s="4">
        <f ca="1">ROUND(T_Tiktok_ads[[#This Row],[video_watch_25]]*RANDBETWEEN(8,12)/10,0)</f>
        <v>187654</v>
      </c>
      <c r="AO10" s="4">
        <f ca="1">ROUND(T_Tiktok_ads[[#This Row],[video_watch_50]]*RANDBETWEEN(8,12)/10,0)</f>
        <v>189234</v>
      </c>
      <c r="AP10" s="4">
        <f ca="1">ROUND(T_Tiktok_ads[[#This Row],[video_watch_75]]*RANDBETWEEN(8,12)/10,0)</f>
        <v>148024</v>
      </c>
      <c r="AQ10" s="4">
        <f ca="1">ROUND(T_Tiktok_ads[[#This Row],[video_watch_100]]*RANDBETWEEN(8,12)/10,0)</f>
        <v>98157</v>
      </c>
      <c r="AR10" s="4">
        <f ca="1">ROUND(T_Tiktok_ads[[#This Row],[likes]]*RANDBETWEEN(8,12)/10,0)</f>
        <v>15678</v>
      </c>
      <c r="AS10" s="4">
        <f ca="1">ROUND(T_Tiktok_ads[[#This Row],[shares]]*RANDBETWEEN(8,12)/10,0)</f>
        <v>5480</v>
      </c>
      <c r="AT10" s="4">
        <f ca="1">ROUND(T_Tiktok_ads[[#This Row],[comments]]*RANDBETWEEN(8,12)/10,0)</f>
        <v>1481</v>
      </c>
      <c r="AV10" s="5">
        <f t="shared" ca="1" si="3"/>
        <v>45055</v>
      </c>
      <c r="AW10">
        <f t="shared" ca="1" si="4"/>
        <v>4</v>
      </c>
      <c r="AX10">
        <f ca="1">ROUND(T_Facebook_Ads1159636771[[#This Row],[impressions]]*RANDBETWEEN(8,12)/10,0)</f>
        <v>42013</v>
      </c>
      <c r="AY10">
        <f ca="1">ROUND(T_Facebook_Ads1159636771[[#This Row],[clicks]]*RANDBETWEEN(8,12)/10,0)</f>
        <v>1456</v>
      </c>
      <c r="AZ10">
        <f ca="1">T_Facebook_Ads1159636771[[#This Row],[spend]]*RANDBETWEEN(8,12)/10</f>
        <v>234.74</v>
      </c>
      <c r="BA10">
        <f ca="1">ROUND(T_Facebook_Ads1159636771[[#This Row],[conversions]]*RANDBETWEEN(8,12)/10,0)</f>
        <v>20</v>
      </c>
      <c r="BB10">
        <f ca="1">ROUND(T_Facebook_Ads1159636771[[#This Row],[video_views]]*RANDBETWEEN(8,12)/10,0)</f>
        <v>3768</v>
      </c>
    </row>
    <row r="11" spans="1:54" ht="15.75" thickBot="1" x14ac:dyDescent="0.3">
      <c r="A11" s="3">
        <f t="shared" ca="1" si="0"/>
        <v>45076</v>
      </c>
      <c r="B11" s="4" t="s">
        <v>52</v>
      </c>
      <c r="C11" s="4" t="s">
        <v>53</v>
      </c>
      <c r="D11" s="4" t="s">
        <v>54</v>
      </c>
      <c r="E11" s="4" t="s">
        <v>55</v>
      </c>
      <c r="F11" s="4">
        <f ca="1">ROUND(T_Facebook_Ads[[#This Row],[impressions]]*RANDBETWEEN(8,12)/10,0)</f>
        <v>56357</v>
      </c>
      <c r="G11" s="4">
        <v>1023</v>
      </c>
      <c r="H11" s="4">
        <f ca="1">T_Facebook_Ads[[#This Row],[spend]]*RANDBETWEEN(8,12)/10</f>
        <v>170.76000000000002</v>
      </c>
      <c r="I11" s="4">
        <f ca="1">ROUND(T_Facebook_Ads[[#This Row],[conversions]]*RANDBETWEEN(8,12)/10,0)</f>
        <v>17</v>
      </c>
      <c r="J11" s="4">
        <f ca="1">ROUND(T_Facebook_Ads[[#This Row],[video_views]]*RANDBETWEEN(8,12)/10,0)</f>
        <v>10157</v>
      </c>
      <c r="K11" s="4">
        <f ca="1">T_Facebook_Ads[[#This Row],[engagement_rate]]*RANDBETWEEN(8,12)/10</f>
        <v>1.6E-2</v>
      </c>
      <c r="L11" s="4">
        <f ca="1">ROUND(T_Facebook_Ads[[#This Row],[reach]]*RANDBETWEEN(8,12)/10,0)</f>
        <v>51080</v>
      </c>
      <c r="M11" s="4">
        <f ca="1">T_Facebook_Ads[[#This Row],[frequency]]*RANDBETWEEN(8,12)/10</f>
        <v>0.96</v>
      </c>
      <c r="O11" s="3">
        <f t="shared" ca="1" si="1"/>
        <v>45063</v>
      </c>
      <c r="P11" s="4" t="s">
        <v>76</v>
      </c>
      <c r="Q11" s="4" t="s">
        <v>77</v>
      </c>
      <c r="R11" s="4" t="s">
        <v>78</v>
      </c>
      <c r="S11" s="4" t="s">
        <v>79</v>
      </c>
      <c r="T11" s="4">
        <f ca="1">ROUND(_Google_ads[[#This Row],[impressions]]*RANDBETWEEN(8,12)/10,0)</f>
        <v>25678</v>
      </c>
      <c r="U11" s="4">
        <f ca="1">ROUND(_Google_ads[[#This Row],[clicks]]*RANDBETWEEN(8,12)/10,0)</f>
        <v>1614</v>
      </c>
      <c r="V11" s="4">
        <f ca="1">_Google_ads[[#This Row],[cost]]*RANDBETWEEN(8,12)/10</f>
        <v>282.37</v>
      </c>
      <c r="W11" s="4">
        <f ca="1">ROUND(_Google_ads[[#This Row],[conversions]]*RANDBETWEEN(8,12)/10,0)</f>
        <v>55</v>
      </c>
      <c r="X11" s="4">
        <f ca="1">ROUND(_Google_ads[[#This Row],[conversion_value]]*RANDBETWEEN(8,12)/10,0)</f>
        <v>2500</v>
      </c>
      <c r="Y11" s="4">
        <f ca="1">_Google_ads[[#This Row],[ctr]]*RANDBETWEEN(8,12)/10</f>
        <v>4.7160000000000001E-2</v>
      </c>
      <c r="Z11" s="4">
        <f ca="1">_Google_ads[[#This Row],[avg_cpc]]*RANDBETWEEN(8,12)/10</f>
        <v>0.22800000000000004</v>
      </c>
      <c r="AA11" s="4">
        <f ca="1">ROUND(_Google_ads[[#This Row],[quality_score]]*RANDBETWEEN(8,12)/10,0)</f>
        <v>7</v>
      </c>
      <c r="AB11" s="4">
        <f ca="1">_Google_ads[[#This Row],[search_impression_share]]*RANDBETWEEN(8,12)/10</f>
        <v>1.012</v>
      </c>
      <c r="AD11" s="3">
        <f t="shared" ca="1" si="2"/>
        <v>45056</v>
      </c>
      <c r="AE11" s="4" t="s">
        <v>100</v>
      </c>
      <c r="AF11" s="4" t="s">
        <v>101</v>
      </c>
      <c r="AG11" s="4" t="s">
        <v>102</v>
      </c>
      <c r="AH11" s="4" t="s">
        <v>103</v>
      </c>
      <c r="AI11" s="4">
        <f ca="1">ROUND(T_Tiktok_ads[[#This Row],[impressions]]*RANDBETWEEN(8,12)/10,0)</f>
        <v>282468</v>
      </c>
      <c r="AJ11" s="4">
        <f ca="1">ROUND(T_Tiktok_ads[[#This Row],[clicks]]*RANDBETWEEN(8,12)/10,0)</f>
        <v>4668</v>
      </c>
      <c r="AK11" s="4">
        <v>512.29999999999995</v>
      </c>
      <c r="AL11" s="4">
        <f ca="1">ROUND(T_Tiktok_ads[[#This Row],[conversions]]*RANDBETWEEN(8,12)/10,0)</f>
        <v>47</v>
      </c>
      <c r="AM11" s="4">
        <f ca="1">ROUND(T_Tiktok_ads[[#This Row],[video_views]]*RANDBETWEEN(8,12)/10,0)</f>
        <v>195710</v>
      </c>
      <c r="AN11" s="4">
        <f ca="1">ROUND(T_Tiktok_ads[[#This Row],[video_watch_25]]*RANDBETWEEN(8,12)/10,0)</f>
        <v>153211</v>
      </c>
      <c r="AO11" s="4">
        <f ca="1">ROUND(T_Tiktok_ads[[#This Row],[video_watch_50]]*RANDBETWEEN(8,12)/10,0)</f>
        <v>96511</v>
      </c>
      <c r="AP11" s="4">
        <f ca="1">ROUND(T_Tiktok_ads[[#This Row],[video_watch_75]]*RANDBETWEEN(8,12)/10,0)</f>
        <v>86947</v>
      </c>
      <c r="AQ11" s="4">
        <f ca="1">ROUND(T_Tiktok_ads[[#This Row],[video_watch_100]]*RANDBETWEEN(8,12)/10,0)</f>
        <v>43610</v>
      </c>
      <c r="AR11" s="4">
        <f ca="1">ROUND(T_Tiktok_ads[[#This Row],[likes]]*RANDBETWEEN(8,12)/10,0)</f>
        <v>7654</v>
      </c>
      <c r="AS11" s="4">
        <f ca="1">ROUND(T_Tiktok_ads[[#This Row],[shares]]*RANDBETWEEN(8,12)/10,0)</f>
        <v>3080</v>
      </c>
      <c r="AT11" s="4">
        <f ca="1">ROUND(T_Tiktok_ads[[#This Row],[comments]]*RANDBETWEEN(8,12)/10,0)</f>
        <v>490</v>
      </c>
      <c r="AV11" s="5">
        <f t="shared" ca="1" si="3"/>
        <v>45049</v>
      </c>
      <c r="AW11">
        <f t="shared" ca="1" si="4"/>
        <v>8</v>
      </c>
      <c r="AX11">
        <f ca="1">ROUND(T_Facebook_Ads1159636771[[#This Row],[impressions]]*RANDBETWEEN(8,12)/10,0)</f>
        <v>67628</v>
      </c>
      <c r="AY11">
        <f ca="1">ROUND(T_Facebook_Ads1159636771[[#This Row],[clicks]]*RANDBETWEEN(8,12)/10,0)</f>
        <v>818</v>
      </c>
      <c r="AZ11">
        <f ca="1">T_Facebook_Ads1159636771[[#This Row],[spend]]*RANDBETWEEN(8,12)/10</f>
        <v>136.608</v>
      </c>
      <c r="BA11">
        <f ca="1">ROUND(T_Facebook_Ads1159636771[[#This Row],[conversions]]*RANDBETWEEN(8,12)/10,0)</f>
        <v>17</v>
      </c>
      <c r="BB11">
        <f ca="1">ROUND(T_Facebook_Ads1159636771[[#This Row],[video_views]]*RANDBETWEEN(8,12)/10,0)</f>
        <v>8126</v>
      </c>
    </row>
    <row r="12" spans="1:54" ht="15.75" thickBot="1" x14ac:dyDescent="0.3">
      <c r="A12" s="3">
        <f t="shared" ca="1" si="0"/>
        <v>45058</v>
      </c>
      <c r="B12" s="4" t="s">
        <v>56</v>
      </c>
      <c r="C12" s="4" t="s">
        <v>57</v>
      </c>
      <c r="D12" s="4" t="s">
        <v>58</v>
      </c>
      <c r="E12" s="4" t="s">
        <v>59</v>
      </c>
      <c r="F12" s="4">
        <f ca="1">ROUND(T_Facebook_Ads[[#This Row],[impressions]]*RANDBETWEEN(8,12)/10,0)</f>
        <v>14567</v>
      </c>
      <c r="G12" s="4">
        <v>678</v>
      </c>
      <c r="H12" s="4">
        <f ca="1">T_Facebook_Ads[[#This Row],[spend]]*RANDBETWEEN(8,12)/10</f>
        <v>196.48</v>
      </c>
      <c r="I12" s="4">
        <f ca="1">ROUND(T_Facebook_Ads[[#This Row],[conversions]]*RANDBETWEEN(8,12)/10,0)</f>
        <v>34</v>
      </c>
      <c r="J12" s="4">
        <f ca="1">ROUND(T_Facebook_Ads[[#This Row],[video_views]]*RANDBETWEEN(8,12)/10,0)</f>
        <v>1410</v>
      </c>
      <c r="K12" s="4">
        <f ca="1">T_Facebook_Ads[[#This Row],[engagement_rate]]*RANDBETWEEN(8,12)/10</f>
        <v>5.5800000000000002E-2</v>
      </c>
      <c r="L12" s="4">
        <f ca="1">ROUND(T_Facebook_Ads[[#This Row],[reach]]*RANDBETWEEN(8,12)/10,0)</f>
        <v>11234</v>
      </c>
      <c r="M12" s="4">
        <f ca="1">T_Facebook_Ads[[#This Row],[frequency]]*RANDBETWEEN(8,12)/10</f>
        <v>1.4300000000000002</v>
      </c>
      <c r="O12" s="3">
        <f t="shared" ca="1" si="1"/>
        <v>45057</v>
      </c>
      <c r="P12" s="4" t="s">
        <v>84</v>
      </c>
      <c r="Q12" s="4" t="s">
        <v>85</v>
      </c>
      <c r="R12" s="4" t="s">
        <v>86</v>
      </c>
      <c r="S12" s="4" t="s">
        <v>87</v>
      </c>
      <c r="T12" s="4">
        <f ca="1">ROUND(_Google_ads[[#This Row],[impressions]]*RANDBETWEEN(8,12)/10,0)</f>
        <v>69456</v>
      </c>
      <c r="U12" s="4">
        <f ca="1">ROUND(_Google_ads[[#This Row],[clicks]]*RANDBETWEEN(8,12)/10,0)</f>
        <v>2457</v>
      </c>
      <c r="V12" s="4">
        <f ca="1">_Google_ads[[#This Row],[cost]]*RANDBETWEEN(8,12)/10</f>
        <v>329.84000000000003</v>
      </c>
      <c r="W12" s="4">
        <f ca="1">ROUND(_Google_ads[[#This Row],[conversions]]*RANDBETWEEN(8,12)/10,0)</f>
        <v>59</v>
      </c>
      <c r="X12" s="4">
        <f ca="1">ROUND(_Google_ads[[#This Row],[conversion_value]]*RANDBETWEEN(8,12)/10,0)</f>
        <v>2600</v>
      </c>
      <c r="Y12" s="4">
        <f ca="1">_Google_ads[[#This Row],[ctr]]*RANDBETWEEN(8,12)/10</f>
        <v>3.542E-2</v>
      </c>
      <c r="Z12" s="4">
        <f ca="1">_Google_ads[[#This Row],[avg_cpc]]*RANDBETWEEN(8,12)/10</f>
        <v>0.16199999999999998</v>
      </c>
      <c r="AA12" s="4">
        <f ca="1">ROUND(_Google_ads[[#This Row],[quality_score]]*RANDBETWEEN(8,12)/10,0)</f>
        <v>8</v>
      </c>
      <c r="AB12" s="4">
        <f ca="1">_Google_ads[[#This Row],[search_impression_share]]*RANDBETWEEN(8,12)/10</f>
        <v>0.79200000000000004</v>
      </c>
      <c r="AD12" s="3">
        <f t="shared" ca="1" si="2"/>
        <v>45077</v>
      </c>
      <c r="AE12" s="4" t="s">
        <v>108</v>
      </c>
      <c r="AF12" s="4" t="s">
        <v>109</v>
      </c>
      <c r="AG12" s="4" t="s">
        <v>110</v>
      </c>
      <c r="AH12" s="4" t="s">
        <v>111</v>
      </c>
      <c r="AI12" s="4">
        <f ca="1">ROUND(T_Tiktok_ads[[#This Row],[impressions]]*RANDBETWEEN(8,12)/10,0)</f>
        <v>201234</v>
      </c>
      <c r="AJ12" s="4">
        <f ca="1">ROUND(T_Tiktok_ads[[#This Row],[clicks]]*RANDBETWEEN(8,12)/10,0)</f>
        <v>2498</v>
      </c>
      <c r="AK12" s="4">
        <v>374.5</v>
      </c>
      <c r="AL12" s="4">
        <f ca="1">ROUND(T_Tiktok_ads[[#This Row],[conversions]]*RANDBETWEEN(8,12)/10,0)</f>
        <v>29</v>
      </c>
      <c r="AM12" s="4">
        <f ca="1">ROUND(T_Tiktok_ads[[#This Row],[video_views]]*RANDBETWEEN(8,12)/10,0)</f>
        <v>173679</v>
      </c>
      <c r="AN12" s="4">
        <f ca="1">ROUND(T_Tiktok_ads[[#This Row],[video_watch_25]]*RANDBETWEEN(8,12)/10,0)</f>
        <v>109111</v>
      </c>
      <c r="AO12" s="4">
        <f ca="1">ROUND(T_Tiktok_ads[[#This Row],[video_watch_50]]*RANDBETWEEN(8,12)/10,0)</f>
        <v>105857</v>
      </c>
      <c r="AP12" s="4">
        <f ca="1">ROUND(T_Tiktok_ads[[#This Row],[video_watch_75]]*RANDBETWEEN(8,12)/10,0)</f>
        <v>48987</v>
      </c>
      <c r="AQ12" s="4">
        <f ca="1">ROUND(T_Tiktok_ads[[#This Row],[video_watch_100]]*RANDBETWEEN(8,12)/10,0)</f>
        <v>33710</v>
      </c>
      <c r="AR12" s="4">
        <f ca="1">ROUND(T_Tiktok_ads[[#This Row],[likes]]*RANDBETWEEN(8,12)/10,0)</f>
        <v>7345</v>
      </c>
      <c r="AS12" s="4">
        <f ca="1">ROUND(T_Tiktok_ads[[#This Row],[shares]]*RANDBETWEEN(8,12)/10,0)</f>
        <v>1627</v>
      </c>
      <c r="AT12" s="4">
        <f ca="1">ROUND(T_Tiktok_ads[[#This Row],[comments]]*RANDBETWEEN(8,12)/10,0)</f>
        <v>538</v>
      </c>
      <c r="AV12" s="5">
        <f t="shared" ca="1" si="3"/>
        <v>45048</v>
      </c>
      <c r="AW12">
        <f t="shared" ca="1" si="4"/>
        <v>7</v>
      </c>
      <c r="AX12">
        <f ca="1">ROUND(T_Facebook_Ads1159636771[[#This Row],[impressions]]*RANDBETWEEN(8,12)/10,0)</f>
        <v>11654</v>
      </c>
      <c r="AY12">
        <f ca="1">ROUND(T_Facebook_Ads1159636771[[#This Row],[clicks]]*RANDBETWEEN(8,12)/10,0)</f>
        <v>678</v>
      </c>
      <c r="AZ12">
        <f ca="1">T_Facebook_Ads1159636771[[#This Row],[spend]]*RANDBETWEEN(8,12)/10</f>
        <v>216.12799999999999</v>
      </c>
      <c r="BA12">
        <f ca="1">ROUND(T_Facebook_Ads1159636771[[#This Row],[conversions]]*RANDBETWEEN(8,12)/10,0)</f>
        <v>34</v>
      </c>
      <c r="BB12">
        <f ca="1">ROUND(T_Facebook_Ads1159636771[[#This Row],[video_views]]*RANDBETWEEN(8,12)/10,0)</f>
        <v>1551</v>
      </c>
    </row>
    <row r="13" spans="1:54" ht="15.75" thickBot="1" x14ac:dyDescent="0.3">
      <c r="A13" s="3">
        <f t="shared" ca="1" si="0"/>
        <v>45065</v>
      </c>
      <c r="B13" s="4" t="s">
        <v>64</v>
      </c>
      <c r="C13" s="4" t="s">
        <v>65</v>
      </c>
      <c r="D13" s="4" t="s">
        <v>66</v>
      </c>
      <c r="E13" s="4" t="s">
        <v>67</v>
      </c>
      <c r="F13" s="4">
        <f ca="1">ROUND(T_Facebook_Ads[[#This Row],[impressions]]*RANDBETWEEN(8,12)/10,0)</f>
        <v>74679</v>
      </c>
      <c r="G13" s="4">
        <v>234</v>
      </c>
      <c r="H13" s="4">
        <f ca="1">T_Facebook_Ads[[#This Row],[spend]]*RANDBETWEEN(8,12)/10</f>
        <v>107.4</v>
      </c>
      <c r="I13" s="4">
        <f ca="1">ROUND(T_Facebook_Ads[[#This Row],[conversions]]*RANDBETWEEN(8,12)/10,0)</f>
        <v>5</v>
      </c>
      <c r="J13" s="4">
        <f ca="1">ROUND(T_Facebook_Ads[[#This Row],[video_views]]*RANDBETWEEN(8,12)/10,0)</f>
        <v>41110</v>
      </c>
      <c r="K13" s="4">
        <f ca="1">T_Facebook_Ads[[#This Row],[engagement_rate]]*RANDBETWEEN(8,12)/10</f>
        <v>3.7399999999999994E-3</v>
      </c>
      <c r="L13" s="4">
        <f ca="1">ROUND(T_Facebook_Ads[[#This Row],[reach]]*RANDBETWEEN(8,12)/10,0)</f>
        <v>45431</v>
      </c>
      <c r="M13" s="4">
        <f ca="1">T_Facebook_Ads[[#This Row],[frequency]]*RANDBETWEEN(8,12)/10</f>
        <v>1.2</v>
      </c>
      <c r="O13" s="3">
        <f t="shared" ca="1" si="1"/>
        <v>45072</v>
      </c>
      <c r="P13" s="4" t="s">
        <v>88</v>
      </c>
      <c r="Q13" s="4" t="s">
        <v>89</v>
      </c>
      <c r="R13" s="4" t="s">
        <v>90</v>
      </c>
      <c r="S13" s="4" t="s">
        <v>59</v>
      </c>
      <c r="T13" s="4">
        <f ca="1">ROUND(_Google_ads[[#This Row],[impressions]]*RANDBETWEEN(8,12)/10,0)</f>
        <v>107654</v>
      </c>
      <c r="U13" s="4">
        <f ca="1">ROUND(_Google_ads[[#This Row],[clicks]]*RANDBETWEEN(8,12)/10,0)</f>
        <v>587</v>
      </c>
      <c r="V13" s="4">
        <f ca="1">_Google_ads[[#This Row],[cost]]*RANDBETWEEN(8,12)/10</f>
        <v>147.94999999999999</v>
      </c>
      <c r="W13" s="4">
        <f ca="1">ROUND(_Google_ads[[#This Row],[conversions]]*RANDBETWEEN(8,12)/10,0)</f>
        <v>17</v>
      </c>
      <c r="X13" s="4">
        <f ca="1">ROUND(_Google_ads[[#This Row],[conversion_value]]*RANDBETWEEN(8,12)/10,0)</f>
        <v>700</v>
      </c>
      <c r="Y13" s="4">
        <f ca="1">_Google_ads[[#This Row],[ctr]]*RANDBETWEEN(8,12)/10</f>
        <v>3.2399999999999998E-3</v>
      </c>
      <c r="Z13" s="4">
        <f ca="1">_Google_ads[[#This Row],[avg_cpc]]*RANDBETWEEN(8,12)/10</f>
        <v>0.25200000000000006</v>
      </c>
      <c r="AA13" s="4">
        <f ca="1">ROUND(_Google_ads[[#This Row],[quality_score]]*RANDBETWEEN(8,12)/10,0)</f>
        <v>6</v>
      </c>
      <c r="AB13" s="4">
        <f ca="1">_Google_ads[[#This Row],[search_impression_share]]*RANDBETWEEN(8,12)/10</f>
        <v>0.32399999999999995</v>
      </c>
      <c r="AD13" s="3">
        <f t="shared" ca="1" si="2"/>
        <v>45066</v>
      </c>
      <c r="AE13" s="4" t="s">
        <v>112</v>
      </c>
      <c r="AF13" s="4" t="s">
        <v>113</v>
      </c>
      <c r="AG13" s="4" t="s">
        <v>114</v>
      </c>
      <c r="AH13" s="4" t="s">
        <v>115</v>
      </c>
      <c r="AI13" s="4">
        <f ca="1">ROUND(T_Tiktok_ads[[#This Row],[impressions]]*RANDBETWEEN(8,12)/10,0)</f>
        <v>331101</v>
      </c>
      <c r="AJ13" s="4">
        <f ca="1">ROUND(T_Tiktok_ads[[#This Row],[clicks]]*RANDBETWEEN(8,12)/10,0)</f>
        <v>5411</v>
      </c>
      <c r="AK13" s="4">
        <v>923.4</v>
      </c>
      <c r="AL13" s="4">
        <f ca="1">ROUND(T_Tiktok_ads[[#This Row],[conversions]]*RANDBETWEEN(8,12)/10,0)</f>
        <v>85</v>
      </c>
      <c r="AM13" s="4">
        <f ca="1">ROUND(T_Tiktok_ads[[#This Row],[video_views]]*RANDBETWEEN(8,12)/10,0)</f>
        <v>240987</v>
      </c>
      <c r="AN13" s="4">
        <f ca="1">ROUND(T_Tiktok_ads[[#This Row],[video_watch_25]]*RANDBETWEEN(8,12)/10,0)</f>
        <v>294814</v>
      </c>
      <c r="AO13" s="4">
        <f ca="1">ROUND(T_Tiktok_ads[[#This Row],[video_watch_50]]*RANDBETWEEN(8,12)/10,0)</f>
        <v>216468</v>
      </c>
      <c r="AP13" s="4">
        <f ca="1">ROUND(T_Tiktok_ads[[#This Row],[video_watch_75]]*RANDBETWEEN(8,12)/10,0)</f>
        <v>126211</v>
      </c>
      <c r="AQ13" s="4">
        <f ca="1">ROUND(T_Tiktok_ads[[#This Row],[video_watch_100]]*RANDBETWEEN(8,12)/10,0)</f>
        <v>74765</v>
      </c>
      <c r="AR13" s="4">
        <f ca="1">ROUND(T_Tiktok_ads[[#This Row],[likes]]*RANDBETWEEN(8,12)/10,0)</f>
        <v>16234</v>
      </c>
      <c r="AS13" s="4">
        <f ca="1">ROUND(T_Tiktok_ads[[#This Row],[shares]]*RANDBETWEEN(8,12)/10,0)</f>
        <v>4789</v>
      </c>
      <c r="AT13" s="4">
        <f ca="1">ROUND(T_Tiktok_ads[[#This Row],[comments]]*RANDBETWEEN(8,12)/10,0)</f>
        <v>1160</v>
      </c>
      <c r="AV13" s="5">
        <f t="shared" ca="1" si="3"/>
        <v>45049</v>
      </c>
      <c r="AW13">
        <f t="shared" ca="1" si="4"/>
        <v>1</v>
      </c>
      <c r="AX13">
        <f ca="1">ROUND(T_Facebook_Ads1159636771[[#This Row],[impressions]]*RANDBETWEEN(8,12)/10,0)</f>
        <v>89615</v>
      </c>
      <c r="AY13">
        <f ca="1">ROUND(T_Facebook_Ads1159636771[[#This Row],[clicks]]*RANDBETWEEN(8,12)/10,0)</f>
        <v>187</v>
      </c>
      <c r="AZ13">
        <f ca="1">T_Facebook_Ads1159636771[[#This Row],[spend]]*RANDBETWEEN(8,12)/10</f>
        <v>118.14000000000001</v>
      </c>
      <c r="BA13">
        <f ca="1">ROUND(T_Facebook_Ads1159636771[[#This Row],[conversions]]*RANDBETWEEN(8,12)/10,0)</f>
        <v>6</v>
      </c>
      <c r="BB13">
        <f ca="1">ROUND(T_Facebook_Ads1159636771[[#This Row],[video_views]]*RANDBETWEEN(8,12)/10,0)</f>
        <v>45221</v>
      </c>
    </row>
    <row r="14" spans="1:54" ht="15.75" thickBot="1" x14ac:dyDescent="0.3">
      <c r="A14" s="3">
        <f t="shared" ca="1" si="0"/>
        <v>45065</v>
      </c>
      <c r="B14" s="4" t="s">
        <v>52</v>
      </c>
      <c r="C14" s="4" t="s">
        <v>53</v>
      </c>
      <c r="D14" s="4" t="s">
        <v>54</v>
      </c>
      <c r="E14" s="4" t="s">
        <v>55</v>
      </c>
      <c r="F14" s="4">
        <f ca="1">ROUND(T_Facebook_Ads[[#This Row],[impressions]]*RANDBETWEEN(8,12)/10,0)</f>
        <v>56147</v>
      </c>
      <c r="G14" s="4">
        <v>934</v>
      </c>
      <c r="H14" s="4">
        <f ca="1">T_Facebook_Ads[[#This Row],[spend]]*RANDBETWEEN(8,12)/10</f>
        <v>144.32</v>
      </c>
      <c r="I14" s="4">
        <f ca="1">ROUND(T_Facebook_Ads[[#This Row],[conversions]]*RANDBETWEEN(8,12)/10,0)</f>
        <v>16</v>
      </c>
      <c r="J14" s="4">
        <f ca="1">ROUND(T_Facebook_Ads[[#This Row],[video_views]]*RANDBETWEEN(8,12)/10,0)</f>
        <v>10280</v>
      </c>
      <c r="K14" s="4">
        <f ca="1">T_Facebook_Ads[[#This Row],[engagement_rate]]*RANDBETWEEN(8,12)/10</f>
        <v>0.02</v>
      </c>
      <c r="L14" s="4">
        <f ca="1">ROUND(T_Facebook_Ads[[#This Row],[reach]]*RANDBETWEEN(8,12)/10,0)</f>
        <v>35311</v>
      </c>
      <c r="M14" s="4">
        <f ca="1">T_Facebook_Ads[[#This Row],[frequency]]*RANDBETWEEN(8,12)/10</f>
        <v>1.3089999999999999</v>
      </c>
      <c r="O14" s="3">
        <f t="shared" ca="1" si="1"/>
        <v>45050</v>
      </c>
      <c r="P14" s="4" t="s">
        <v>76</v>
      </c>
      <c r="Q14" s="4" t="s">
        <v>77</v>
      </c>
      <c r="R14" s="4" t="s">
        <v>78</v>
      </c>
      <c r="S14" s="4" t="s">
        <v>79</v>
      </c>
      <c r="T14" s="4">
        <f ca="1">ROUND(_Google_ads[[#This Row],[impressions]]*RANDBETWEEN(8,12)/10,0)</f>
        <v>19112</v>
      </c>
      <c r="U14" s="4">
        <f ca="1">ROUND(_Google_ads[[#This Row],[clicks]]*RANDBETWEEN(8,12)/10,0)</f>
        <v>1481</v>
      </c>
      <c r="V14" s="4">
        <f ca="1">_Google_ads[[#This Row],[cost]]*RANDBETWEEN(8,12)/10</f>
        <v>211.41</v>
      </c>
      <c r="W14" s="4">
        <f ca="1">ROUND(_Google_ads[[#This Row],[conversions]]*RANDBETWEEN(8,12)/10,0)</f>
        <v>55</v>
      </c>
      <c r="X14" s="4">
        <f ca="1">ROUND(_Google_ads[[#This Row],[conversion_value]]*RANDBETWEEN(8,12)/10,0)</f>
        <v>1840</v>
      </c>
      <c r="Y14" s="4">
        <f ca="1">_Google_ads[[#This Row],[ctr]]*RANDBETWEEN(8,12)/10</f>
        <v>5.6869999999999997E-2</v>
      </c>
      <c r="Z14" s="4">
        <f ca="1">_Google_ads[[#This Row],[avg_cpc]]*RANDBETWEEN(8,12)/10</f>
        <v>0.152</v>
      </c>
      <c r="AA14" s="4">
        <f ca="1">ROUND(_Google_ads[[#This Row],[quality_score]]*RANDBETWEEN(8,12)/10,0)</f>
        <v>7</v>
      </c>
      <c r="AB14" s="4">
        <f ca="1">_Google_ads[[#This Row],[search_impression_share]]*RANDBETWEEN(8,12)/10</f>
        <v>1.0009999999999999</v>
      </c>
      <c r="AD14" s="3">
        <f t="shared" ca="1" si="2"/>
        <v>45073</v>
      </c>
      <c r="AE14" s="4" t="s">
        <v>100</v>
      </c>
      <c r="AF14" s="4" t="s">
        <v>101</v>
      </c>
      <c r="AG14" s="4" t="s">
        <v>102</v>
      </c>
      <c r="AH14" s="4" t="s">
        <v>103</v>
      </c>
      <c r="AI14" s="4">
        <f ca="1">ROUND(T_Tiktok_ads[[#This Row],[impressions]]*RANDBETWEEN(8,12)/10,0)</f>
        <v>234234</v>
      </c>
      <c r="AJ14" s="4">
        <f ca="1">ROUND(T_Tiktok_ads[[#This Row],[clicks]]*RANDBETWEEN(8,12)/10,0)</f>
        <v>2774</v>
      </c>
      <c r="AK14" s="4">
        <v>460.2</v>
      </c>
      <c r="AL14" s="4">
        <f ca="1">ROUND(T_Tiktok_ads[[#This Row],[conversions]]*RANDBETWEEN(8,12)/10,0)</f>
        <v>35</v>
      </c>
      <c r="AM14" s="4">
        <f ca="1">ROUND(T_Tiktok_ads[[#This Row],[video_views]]*RANDBETWEEN(8,12)/10,0)</f>
        <v>199234</v>
      </c>
      <c r="AN14" s="4">
        <f ca="1">ROUND(T_Tiktok_ads[[#This Row],[video_watch_25]]*RANDBETWEEN(8,12)/10,0)</f>
        <v>156789</v>
      </c>
      <c r="AO14" s="4">
        <f ca="1">ROUND(T_Tiktok_ads[[#This Row],[video_watch_50]]*RANDBETWEEN(8,12)/10,0)</f>
        <v>79031</v>
      </c>
      <c r="AP14" s="4">
        <f ca="1">ROUND(T_Tiktok_ads[[#This Row],[video_watch_75]]*RANDBETWEEN(8,12)/10,0)</f>
        <v>61010</v>
      </c>
      <c r="AQ14" s="4">
        <f ca="1">ROUND(T_Tiktok_ads[[#This Row],[video_watch_100]]*RANDBETWEEN(8,12)/10,0)</f>
        <v>54547</v>
      </c>
      <c r="AR14" s="4">
        <f ca="1">ROUND(T_Tiktok_ads[[#This Row],[likes]]*RANDBETWEEN(8,12)/10,0)</f>
        <v>10734</v>
      </c>
      <c r="AS14" s="4">
        <f ca="1">ROUND(T_Tiktok_ads[[#This Row],[shares]]*RANDBETWEEN(8,12)/10,0)</f>
        <v>2367</v>
      </c>
      <c r="AT14" s="4">
        <f ca="1">ROUND(T_Tiktok_ads[[#This Row],[comments]]*RANDBETWEEN(8,12)/10,0)</f>
        <v>462</v>
      </c>
      <c r="AV14" s="5">
        <f t="shared" ca="1" si="3"/>
        <v>45064</v>
      </c>
      <c r="AW14">
        <f t="shared" ca="1" si="4"/>
        <v>4</v>
      </c>
      <c r="AX14">
        <f ca="1">ROUND(T_Facebook_Ads1159636771[[#This Row],[impressions]]*RANDBETWEEN(8,12)/10,0)</f>
        <v>50532</v>
      </c>
      <c r="AY14">
        <f ca="1">ROUND(T_Facebook_Ads1159636771[[#This Row],[clicks]]*RANDBETWEEN(8,12)/10,0)</f>
        <v>1027</v>
      </c>
      <c r="AZ14">
        <f ca="1">T_Facebook_Ads1159636771[[#This Row],[spend]]*RANDBETWEEN(8,12)/10</f>
        <v>158.75200000000001</v>
      </c>
      <c r="BA14">
        <f ca="1">ROUND(T_Facebook_Ads1159636771[[#This Row],[conversions]]*RANDBETWEEN(8,12)/10,0)</f>
        <v>14</v>
      </c>
      <c r="BB14">
        <f ca="1">ROUND(T_Facebook_Ads1159636771[[#This Row],[video_views]]*RANDBETWEEN(8,12)/10,0)</f>
        <v>8224</v>
      </c>
    </row>
    <row r="15" spans="1:54" ht="15.75" thickBot="1" x14ac:dyDescent="0.3">
      <c r="A15" s="3">
        <f t="shared" ca="1" si="0"/>
        <v>45066</v>
      </c>
      <c r="B15" s="4" t="s">
        <v>56</v>
      </c>
      <c r="C15" s="4" t="s">
        <v>57</v>
      </c>
      <c r="D15" s="4" t="s">
        <v>58</v>
      </c>
      <c r="E15" s="4" t="s">
        <v>59</v>
      </c>
      <c r="F15" s="4">
        <f ca="1">ROUND(T_Facebook_Ads[[#This Row],[impressions]]*RANDBETWEEN(8,12)/10,0)</f>
        <v>12890</v>
      </c>
      <c r="G15" s="4">
        <v>567</v>
      </c>
      <c r="H15" s="4">
        <f ca="1">T_Facebook_Ads[[#This Row],[spend]]*RANDBETWEEN(8,12)/10</f>
        <v>220.3</v>
      </c>
      <c r="I15" s="4">
        <f ca="1">ROUND(T_Facebook_Ads[[#This Row],[conversions]]*RANDBETWEEN(8,12)/10,0)</f>
        <v>36</v>
      </c>
      <c r="J15" s="4">
        <f ca="1">ROUND(T_Facebook_Ads[[#This Row],[video_views]]*RANDBETWEEN(8,12)/10,0)</f>
        <v>1211</v>
      </c>
      <c r="K15" s="4">
        <f ca="1">T_Facebook_Ads[[#This Row],[engagement_rate]]*RANDBETWEEN(8,12)/10</f>
        <v>3.5199999999999995E-2</v>
      </c>
      <c r="L15" s="4">
        <f ca="1">ROUND(T_Facebook_Ads[[#This Row],[reach]]*RANDBETWEEN(8,12)/10,0)</f>
        <v>10123</v>
      </c>
      <c r="M15" s="4">
        <f ca="1">T_Facebook_Ads[[#This Row],[frequency]]*RANDBETWEEN(8,12)/10</f>
        <v>1.524</v>
      </c>
      <c r="O15" s="3">
        <f t="shared" ca="1" si="1"/>
        <v>45056</v>
      </c>
      <c r="P15" s="4" t="s">
        <v>80</v>
      </c>
      <c r="Q15" s="4" t="s">
        <v>81</v>
      </c>
      <c r="R15" s="4" t="s">
        <v>82</v>
      </c>
      <c r="S15" s="4" t="s">
        <v>83</v>
      </c>
      <c r="T15" s="4">
        <f ca="1">ROUND(_Google_ads[[#This Row],[impressions]]*RANDBETWEEN(8,12)/10,0)</f>
        <v>41611</v>
      </c>
      <c r="U15" s="4">
        <f ca="1">ROUND(_Google_ads[[#This Row],[clicks]]*RANDBETWEEN(8,12)/10,0)</f>
        <v>730</v>
      </c>
      <c r="V15" s="4">
        <f ca="1">_Google_ads[[#This Row],[cost]]*RANDBETWEEN(8,12)/10</f>
        <v>648.2299999999999</v>
      </c>
      <c r="W15" s="4">
        <f ca="1">ROUND(_Google_ads[[#This Row],[conversions]]*RANDBETWEEN(8,12)/10,0)</f>
        <v>22</v>
      </c>
      <c r="X15" s="4">
        <f ca="1">ROUND(_Google_ads[[#This Row],[conversion_value]]*RANDBETWEEN(8,12)/10,0)</f>
        <v>1200</v>
      </c>
      <c r="Y15" s="4">
        <f ca="1">_Google_ads[[#This Row],[ctr]]*RANDBETWEEN(8,12)/10</f>
        <v>2.1669999999999998E-2</v>
      </c>
      <c r="Z15" s="4">
        <f ca="1">_Google_ads[[#This Row],[avg_cpc]]*RANDBETWEEN(8,12)/10</f>
        <v>0.52</v>
      </c>
      <c r="AA15" s="4">
        <f ca="1">ROUND(_Google_ads[[#This Row],[quality_score]]*RANDBETWEEN(8,12)/10,0)</f>
        <v>7</v>
      </c>
      <c r="AB15" s="4">
        <f ca="1">_Google_ads[[#This Row],[search_impression_share]]*RANDBETWEEN(8,12)/10</f>
        <v>0.54</v>
      </c>
      <c r="AD15" s="3">
        <f t="shared" ca="1" si="2"/>
        <v>45067</v>
      </c>
      <c r="AE15" s="4" t="s">
        <v>104</v>
      </c>
      <c r="AF15" s="4" t="s">
        <v>105</v>
      </c>
      <c r="AG15" s="4" t="s">
        <v>106</v>
      </c>
      <c r="AH15" s="4" t="s">
        <v>107</v>
      </c>
      <c r="AI15" s="4">
        <f ca="1">ROUND(T_Tiktok_ads[[#This Row],[impressions]]*RANDBETWEEN(8,12)/10,0)</f>
        <v>116011</v>
      </c>
      <c r="AJ15" s="4">
        <f ca="1">ROUND(T_Tiktok_ads[[#This Row],[clicks]]*RANDBETWEEN(8,12)/10,0)</f>
        <v>1965</v>
      </c>
      <c r="AK15" s="4">
        <v>689.5</v>
      </c>
      <c r="AL15" s="4">
        <f ca="1">ROUND(T_Tiktok_ads[[#This Row],[conversions]]*RANDBETWEEN(8,12)/10,0)</f>
        <v>82</v>
      </c>
      <c r="AM15" s="4">
        <f ca="1">ROUND(T_Tiktok_ads[[#This Row],[video_views]]*RANDBETWEEN(8,12)/10,0)</f>
        <v>82111</v>
      </c>
      <c r="AN15" s="4">
        <f ca="1">ROUND(T_Tiktok_ads[[#This Row],[video_watch_25]]*RANDBETWEEN(8,12)/10,0)</f>
        <v>68234</v>
      </c>
      <c r="AO15" s="4">
        <f ca="1">ROUND(T_Tiktok_ads[[#This Row],[video_watch_50]]*RANDBETWEEN(8,12)/10,0)</f>
        <v>36631</v>
      </c>
      <c r="AP15" s="4">
        <f ca="1">ROUND(T_Tiktok_ads[[#This Row],[video_watch_75]]*RANDBETWEEN(8,12)/10,0)</f>
        <v>34567</v>
      </c>
      <c r="AQ15" s="4">
        <f ca="1">ROUND(T_Tiktok_ads[[#This Row],[video_watch_100]]*RANDBETWEEN(8,12)/10,0)</f>
        <v>18942</v>
      </c>
      <c r="AR15" s="4">
        <f ca="1">ROUND(T_Tiktok_ads[[#This Row],[likes]]*RANDBETWEEN(8,12)/10,0)</f>
        <v>5146</v>
      </c>
      <c r="AS15" s="4">
        <f ca="1">ROUND(T_Tiktok_ads[[#This Row],[shares]]*RANDBETWEEN(8,12)/10,0)</f>
        <v>1520</v>
      </c>
      <c r="AT15" s="4">
        <f ca="1">ROUND(T_Tiktok_ads[[#This Row],[comments]]*RANDBETWEEN(8,12)/10,0)</f>
        <v>213</v>
      </c>
      <c r="AV15" s="5">
        <f t="shared" ca="1" si="3"/>
        <v>45064</v>
      </c>
      <c r="AW15">
        <f t="shared" ca="1" si="4"/>
        <v>1</v>
      </c>
      <c r="AX15">
        <f ca="1">ROUND(T_Facebook_Ads1159636771[[#This Row],[impressions]]*RANDBETWEEN(8,12)/10,0)</f>
        <v>10312</v>
      </c>
      <c r="AY15">
        <f ca="1">ROUND(T_Facebook_Ads1159636771[[#This Row],[clicks]]*RANDBETWEEN(8,12)/10,0)</f>
        <v>624</v>
      </c>
      <c r="AZ15">
        <f ca="1">T_Facebook_Ads1159636771[[#This Row],[spend]]*RANDBETWEEN(8,12)/10</f>
        <v>176.24</v>
      </c>
      <c r="BA15">
        <f ca="1">ROUND(T_Facebook_Ads1159636771[[#This Row],[conversions]]*RANDBETWEEN(8,12)/10,0)</f>
        <v>43</v>
      </c>
      <c r="BB15">
        <f ca="1">ROUND(T_Facebook_Ads1159636771[[#This Row],[video_views]]*RANDBETWEEN(8,12)/10,0)</f>
        <v>1453</v>
      </c>
    </row>
    <row r="16" spans="1:54" ht="15.75" thickBot="1" x14ac:dyDescent="0.3">
      <c r="A16" s="3">
        <f t="shared" ca="1" si="0"/>
        <v>45074</v>
      </c>
      <c r="B16" s="4" t="s">
        <v>64</v>
      </c>
      <c r="C16" s="4" t="s">
        <v>65</v>
      </c>
      <c r="D16" s="4" t="s">
        <v>66</v>
      </c>
      <c r="E16" s="4" t="s">
        <v>67</v>
      </c>
      <c r="F16" s="4">
        <f ca="1">ROUND(T_Facebook_Ads[[#This Row],[impressions]]*RANDBETWEEN(8,12)/10,0)</f>
        <v>56987</v>
      </c>
      <c r="G16" s="4">
        <v>256</v>
      </c>
      <c r="H16" s="4">
        <f ca="1">T_Facebook_Ads[[#This Row],[spend]]*RANDBETWEEN(8,12)/10</f>
        <v>75.84</v>
      </c>
      <c r="I16" s="4">
        <f ca="1">ROUND(T_Facebook_Ads[[#This Row],[conversions]]*RANDBETWEEN(8,12)/10,0)</f>
        <v>7</v>
      </c>
      <c r="J16" s="4">
        <f ca="1">ROUND(T_Facebook_Ads[[#This Row],[video_views]]*RANDBETWEEN(8,12)/10,0)</f>
        <v>48901</v>
      </c>
      <c r="K16" s="4">
        <f ca="1">T_Facebook_Ads[[#This Row],[engagement_rate]]*RANDBETWEEN(8,12)/10</f>
        <v>3.96E-3</v>
      </c>
      <c r="L16" s="4">
        <f ca="1">ROUND(T_Facebook_Ads[[#This Row],[reach]]*RANDBETWEEN(8,12)/10,0)</f>
        <v>47387</v>
      </c>
      <c r="M16" s="4">
        <f ca="1">T_Facebook_Ads[[#This Row],[frequency]]*RANDBETWEEN(8,12)/10</f>
        <v>1.0799999999999998</v>
      </c>
      <c r="O16" s="3">
        <f t="shared" ca="1" si="1"/>
        <v>45075</v>
      </c>
      <c r="P16" s="4" t="s">
        <v>88</v>
      </c>
      <c r="Q16" s="4" t="s">
        <v>89</v>
      </c>
      <c r="R16" s="4" t="s">
        <v>90</v>
      </c>
      <c r="S16" s="4" t="s">
        <v>59</v>
      </c>
      <c r="T16" s="4">
        <f ca="1">ROUND(_Google_ads[[#This Row],[impressions]]*RANDBETWEEN(8,12)/10,0)</f>
        <v>154681</v>
      </c>
      <c r="U16" s="4">
        <f ca="1">ROUND(_Google_ads[[#This Row],[clicks]]*RANDBETWEEN(8,12)/10,0)</f>
        <v>420</v>
      </c>
      <c r="V16" s="4">
        <f ca="1">_Google_ads[[#This Row],[cost]]*RANDBETWEEN(8,12)/10</f>
        <v>141.79000000000002</v>
      </c>
      <c r="W16" s="4">
        <f ca="1">ROUND(_Google_ads[[#This Row],[conversions]]*RANDBETWEEN(8,12)/10,0)</f>
        <v>16</v>
      </c>
      <c r="X16" s="4">
        <f ca="1">ROUND(_Google_ads[[#This Row],[conversion_value]]*RANDBETWEEN(8,12)/10,0)</f>
        <v>780</v>
      </c>
      <c r="Y16" s="4">
        <f ca="1">_Google_ads[[#This Row],[ctr]]*RANDBETWEEN(8,12)/10</f>
        <v>3.2399999999999998E-3</v>
      </c>
      <c r="Z16" s="4">
        <f ca="1">_Google_ads[[#This Row],[avg_cpc]]*RANDBETWEEN(8,12)/10</f>
        <v>0.22400000000000003</v>
      </c>
      <c r="AA16" s="4">
        <f ca="1">ROUND(_Google_ads[[#This Row],[quality_score]]*RANDBETWEEN(8,12)/10,0)</f>
        <v>6</v>
      </c>
      <c r="AB16" s="4">
        <f ca="1">_Google_ads[[#This Row],[search_impression_share]]*RANDBETWEEN(8,12)/10</f>
        <v>0.30599999999999999</v>
      </c>
      <c r="AD16" s="3">
        <f t="shared" ca="1" si="2"/>
        <v>45074</v>
      </c>
      <c r="AE16" s="4" t="s">
        <v>112</v>
      </c>
      <c r="AF16" s="4" t="s">
        <v>113</v>
      </c>
      <c r="AG16" s="4" t="s">
        <v>114</v>
      </c>
      <c r="AH16" s="4" t="s">
        <v>115</v>
      </c>
      <c r="AI16" s="4">
        <f ca="1">ROUND(T_Tiktok_ads[[#This Row],[impressions]]*RANDBETWEEN(8,12)/10,0)</f>
        <v>356789</v>
      </c>
      <c r="AJ16" s="4">
        <f ca="1">ROUND(T_Tiktok_ads[[#This Row],[clicks]]*RANDBETWEEN(8,12)/10,0)</f>
        <v>5251</v>
      </c>
      <c r="AK16" s="4">
        <v>901.2</v>
      </c>
      <c r="AL16" s="4">
        <f ca="1">ROUND(T_Tiktok_ads[[#This Row],[conversions]]*RANDBETWEEN(8,12)/10,0)</f>
        <v>100</v>
      </c>
      <c r="AM16" s="4">
        <f ca="1">ROUND(T_Tiktok_ads[[#This Row],[video_views]]*RANDBETWEEN(8,12)/10,0)</f>
        <v>234765</v>
      </c>
      <c r="AN16" s="4">
        <f ca="1">ROUND(T_Tiktok_ads[[#This Row],[video_watch_25]]*RANDBETWEEN(8,12)/10,0)</f>
        <v>215311</v>
      </c>
      <c r="AO16" s="4">
        <f ca="1">ROUND(T_Tiktok_ads[[#This Row],[video_watch_50]]*RANDBETWEEN(8,12)/10,0)</f>
        <v>191234</v>
      </c>
      <c r="AP16" s="4">
        <f ca="1">ROUND(T_Tiktok_ads[[#This Row],[video_watch_75]]*RANDBETWEEN(8,12)/10,0)</f>
        <v>163481</v>
      </c>
      <c r="AQ16" s="4">
        <f ca="1">ROUND(T_Tiktok_ads[[#This Row],[video_watch_100]]*RANDBETWEEN(8,12)/10,0)</f>
        <v>108281</v>
      </c>
      <c r="AR16" s="4">
        <f ca="1">ROUND(T_Tiktok_ads[[#This Row],[likes]]*RANDBETWEEN(8,12)/10,0)</f>
        <v>19068</v>
      </c>
      <c r="AS16" s="4">
        <f ca="1">ROUND(T_Tiktok_ads[[#This Row],[shares]]*RANDBETWEEN(8,12)/10,0)</f>
        <v>3707</v>
      </c>
      <c r="AT16" s="4">
        <f ca="1">ROUND(T_Tiktok_ads[[#This Row],[comments]]*RANDBETWEEN(8,12)/10,0)</f>
        <v>1382</v>
      </c>
      <c r="AV16" s="5">
        <f t="shared" ca="1" si="3"/>
        <v>45071</v>
      </c>
      <c r="AW16">
        <f t="shared" ca="1" si="4"/>
        <v>7</v>
      </c>
      <c r="AX16">
        <f ca="1">ROUND(T_Facebook_Ads1159636771[[#This Row],[impressions]]*RANDBETWEEN(8,12)/10,0)</f>
        <v>56987</v>
      </c>
      <c r="AY16">
        <f ca="1">ROUND(T_Facebook_Ads1159636771[[#This Row],[clicks]]*RANDBETWEEN(8,12)/10,0)</f>
        <v>205</v>
      </c>
      <c r="AZ16">
        <f ca="1">T_Facebook_Ads1159636771[[#This Row],[spend]]*RANDBETWEEN(8,12)/10</f>
        <v>83.424000000000007</v>
      </c>
      <c r="BA16">
        <f ca="1">ROUND(T_Facebook_Ads1159636771[[#This Row],[conversions]]*RANDBETWEEN(8,12)/10,0)</f>
        <v>6</v>
      </c>
      <c r="BB16">
        <f ca="1">ROUND(T_Facebook_Ads1159636771[[#This Row],[video_views]]*RANDBETWEEN(8,12)/10,0)</f>
        <v>44011</v>
      </c>
    </row>
    <row r="17" spans="1:54" ht="15.75" thickBot="1" x14ac:dyDescent="0.3">
      <c r="A17" s="3">
        <f t="shared" ca="1" si="0"/>
        <v>45062</v>
      </c>
      <c r="B17" s="4" t="s">
        <v>52</v>
      </c>
      <c r="C17" s="4" t="s">
        <v>53</v>
      </c>
      <c r="D17" s="4" t="s">
        <v>54</v>
      </c>
      <c r="E17" s="4" t="s">
        <v>55</v>
      </c>
      <c r="F17" s="4">
        <f ca="1">ROUND(T_Facebook_Ads[[#This Row],[impressions]]*RANDBETWEEN(8,12)/10,0)</f>
        <v>40110</v>
      </c>
      <c r="G17" s="4">
        <v>878</v>
      </c>
      <c r="H17" s="4">
        <f ca="1">T_Facebook_Ads[[#This Row],[spend]]*RANDBETWEEN(8,12)/10</f>
        <v>113.03999999999999</v>
      </c>
      <c r="I17" s="4">
        <f ca="1">ROUND(T_Facebook_Ads[[#This Row],[conversions]]*RANDBETWEEN(8,12)/10,0)</f>
        <v>9</v>
      </c>
      <c r="J17" s="4">
        <f ca="1">ROUND(T_Facebook_Ads[[#This Row],[video_views]]*RANDBETWEEN(8,12)/10,0)</f>
        <v>9748</v>
      </c>
      <c r="K17" s="4">
        <f ca="1">T_Facebook_Ads[[#This Row],[engagement_rate]]*RANDBETWEEN(8,12)/10</f>
        <v>2.1669999999999998E-2</v>
      </c>
      <c r="L17" s="4">
        <f ca="1">ROUND(T_Facebook_Ads[[#This Row],[reach]]*RANDBETWEEN(8,12)/10,0)</f>
        <v>29965</v>
      </c>
      <c r="M17" s="4">
        <f ca="1">T_Facebook_Ads[[#This Row],[frequency]]*RANDBETWEEN(8,12)/10</f>
        <v>0.95199999999999996</v>
      </c>
      <c r="O17" s="3">
        <f t="shared" ca="1" si="1"/>
        <v>45056</v>
      </c>
      <c r="P17" s="4" t="s">
        <v>76</v>
      </c>
      <c r="Q17" s="4" t="s">
        <v>77</v>
      </c>
      <c r="R17" s="4" t="s">
        <v>78</v>
      </c>
      <c r="S17" s="4" t="s">
        <v>79</v>
      </c>
      <c r="T17" s="4">
        <f ca="1">ROUND(_Google_ads[[#This Row],[impressions]]*RANDBETWEEN(8,12)/10,0)</f>
        <v>26657</v>
      </c>
      <c r="U17" s="4">
        <f ca="1">ROUND(_Google_ads[[#This Row],[clicks]]*RANDBETWEEN(8,12)/10,0)</f>
        <v>1394</v>
      </c>
      <c r="V17" s="4">
        <f ca="1">_Google_ads[[#This Row],[cost]]*RANDBETWEEN(8,12)/10</f>
        <v>217.07999999999998</v>
      </c>
      <c r="W17" s="4">
        <f ca="1">ROUND(_Google_ads[[#This Row],[conversions]]*RANDBETWEEN(8,12)/10,0)</f>
        <v>38</v>
      </c>
      <c r="X17" s="4">
        <f ca="1">ROUND(_Google_ads[[#This Row],[conversion_value]]*RANDBETWEEN(8,12)/10,0)</f>
        <v>2585</v>
      </c>
      <c r="Y17" s="4">
        <f ca="1">_Google_ads[[#This Row],[ctr]]*RANDBETWEEN(8,12)/10</f>
        <v>6.2759999999999996E-2</v>
      </c>
      <c r="Z17" s="4">
        <f ca="1">_Google_ads[[#This Row],[avg_cpc]]*RANDBETWEEN(8,12)/10</f>
        <v>0.17099999999999999</v>
      </c>
      <c r="AA17" s="4">
        <f ca="1">ROUND(_Google_ads[[#This Row],[quality_score]]*RANDBETWEEN(8,12)/10,0)</f>
        <v>7</v>
      </c>
      <c r="AB17" s="4">
        <f ca="1">_Google_ads[[#This Row],[search_impression_share]]*RANDBETWEEN(8,12)/10</f>
        <v>0.82800000000000007</v>
      </c>
      <c r="AD17" s="3">
        <f t="shared" ca="1" si="2"/>
        <v>45061</v>
      </c>
      <c r="AE17" s="4" t="s">
        <v>100</v>
      </c>
      <c r="AF17" s="4" t="s">
        <v>101</v>
      </c>
      <c r="AG17" s="4" t="s">
        <v>102</v>
      </c>
      <c r="AH17" s="4" t="s">
        <v>103</v>
      </c>
      <c r="AI17" s="4">
        <f ca="1">ROUND(T_Tiktok_ads[[#This Row],[impressions]]*RANDBETWEEN(8,12)/10,0)</f>
        <v>241101</v>
      </c>
      <c r="AJ17" s="4">
        <f ca="1">ROUND(T_Tiktok_ads[[#This Row],[clicks]]*RANDBETWEEN(8,12)/10,0)</f>
        <v>4340</v>
      </c>
      <c r="AK17" s="4">
        <v>523.4</v>
      </c>
      <c r="AL17" s="4">
        <f ca="1">ROUND(T_Tiktok_ads[[#This Row],[conversions]]*RANDBETWEEN(8,12)/10,0)</f>
        <v>44</v>
      </c>
      <c r="AM17" s="4">
        <f ca="1">ROUND(T_Tiktok_ads[[#This Row],[video_views]]*RANDBETWEEN(8,12)/10,0)</f>
        <v>176987</v>
      </c>
      <c r="AN17" s="4">
        <f ca="1">ROUND(T_Tiktok_ads[[#This Row],[video_watch_25]]*RANDBETWEEN(8,12)/10,0)</f>
        <v>190802</v>
      </c>
      <c r="AO17" s="4">
        <f ca="1">ROUND(T_Tiktok_ads[[#This Row],[video_watch_50]]*RANDBETWEEN(8,12)/10,0)</f>
        <v>87387</v>
      </c>
      <c r="AP17" s="4">
        <f ca="1">ROUND(T_Tiktok_ads[[#This Row],[video_watch_75]]*RANDBETWEEN(8,12)/10,0)</f>
        <v>88280</v>
      </c>
      <c r="AQ17" s="4">
        <f ca="1">ROUND(T_Tiktok_ads[[#This Row],[video_watch_100]]*RANDBETWEEN(8,12)/10,0)</f>
        <v>44311</v>
      </c>
      <c r="AR17" s="4">
        <f ca="1">ROUND(T_Tiktok_ads[[#This Row],[likes]]*RANDBETWEEN(8,12)/10,0)</f>
        <v>8810</v>
      </c>
      <c r="AS17" s="4">
        <f ca="1">ROUND(T_Tiktok_ads[[#This Row],[shares]]*RANDBETWEEN(8,12)/10,0)</f>
        <v>3161</v>
      </c>
      <c r="AT17" s="4">
        <f ca="1">ROUND(T_Tiktok_ads[[#This Row],[comments]]*RANDBETWEEN(8,12)/10,0)</f>
        <v>498</v>
      </c>
      <c r="AV17" s="5">
        <f t="shared" ca="1" si="3"/>
        <v>45055</v>
      </c>
      <c r="AW17">
        <f t="shared" ca="1" si="4"/>
        <v>5</v>
      </c>
      <c r="AX17">
        <f ca="1">ROUND(T_Facebook_Ads1159636771[[#This Row],[impressions]]*RANDBETWEEN(8,12)/10,0)</f>
        <v>36099</v>
      </c>
      <c r="AY17">
        <f ca="1">ROUND(T_Facebook_Ads1159636771[[#This Row],[clicks]]*RANDBETWEEN(8,12)/10,0)</f>
        <v>702</v>
      </c>
      <c r="AZ17">
        <f ca="1">T_Facebook_Ads1159636771[[#This Row],[spend]]*RANDBETWEEN(8,12)/10</f>
        <v>101.73599999999999</v>
      </c>
      <c r="BA17">
        <f ca="1">ROUND(T_Facebook_Ads1159636771[[#This Row],[conversions]]*RANDBETWEEN(8,12)/10,0)</f>
        <v>7</v>
      </c>
      <c r="BB17">
        <f ca="1">ROUND(T_Facebook_Ads1159636771[[#This Row],[video_views]]*RANDBETWEEN(8,12)/10,0)</f>
        <v>9748</v>
      </c>
    </row>
    <row r="18" spans="1:54" ht="15.75" thickBot="1" x14ac:dyDescent="0.3">
      <c r="A18" s="3">
        <f t="shared" ca="1" si="0"/>
        <v>45053</v>
      </c>
      <c r="B18" s="4" t="s">
        <v>60</v>
      </c>
      <c r="C18" s="4" t="s">
        <v>61</v>
      </c>
      <c r="D18" s="4" t="s">
        <v>62</v>
      </c>
      <c r="E18" s="4" t="s">
        <v>63</v>
      </c>
      <c r="F18" s="4">
        <f ca="1">ROUND(T_Facebook_Ads[[#This Row],[impressions]]*RANDBETWEEN(8,12)/10,0)</f>
        <v>39246</v>
      </c>
      <c r="G18" s="4">
        <v>1289</v>
      </c>
      <c r="H18" s="4">
        <f ca="1">T_Facebook_Ads[[#This Row],[spend]]*RANDBETWEEN(8,12)/10</f>
        <v>195.6</v>
      </c>
      <c r="I18" s="4">
        <f ca="1">ROUND(T_Facebook_Ads[[#This Row],[conversions]]*RANDBETWEEN(8,12)/10,0)</f>
        <v>24</v>
      </c>
      <c r="J18" s="4">
        <f ca="1">ROUND(T_Facebook_Ads[[#This Row],[video_views]]*RANDBETWEEN(8,12)/10,0)</f>
        <v>5614</v>
      </c>
      <c r="K18" s="4">
        <f ca="1">T_Facebook_Ads[[#This Row],[engagement_rate]]*RANDBETWEEN(8,12)/10</f>
        <v>3.61E-2</v>
      </c>
      <c r="L18" s="4">
        <f ca="1">ROUND(T_Facebook_Ads[[#This Row],[reach]]*RANDBETWEEN(8,12)/10,0)</f>
        <v>23476</v>
      </c>
      <c r="M18" s="4">
        <f ca="1">T_Facebook_Ads[[#This Row],[frequency]]*RANDBETWEEN(8,12)/10</f>
        <v>1.0980000000000001</v>
      </c>
      <c r="O18" s="3">
        <f t="shared" ca="1" si="1"/>
        <v>45067</v>
      </c>
      <c r="P18" s="4" t="s">
        <v>84</v>
      </c>
      <c r="Q18" s="4" t="s">
        <v>85</v>
      </c>
      <c r="R18" s="4" t="s">
        <v>86</v>
      </c>
      <c r="S18" s="4" t="s">
        <v>87</v>
      </c>
      <c r="T18" s="4">
        <f ca="1">ROUND(_Google_ads[[#This Row],[impressions]]*RANDBETWEEN(8,12)/10,0)</f>
        <v>65111</v>
      </c>
      <c r="U18" s="4">
        <f ca="1">ROUND(_Google_ads[[#This Row],[clicks]]*RANDBETWEEN(8,12)/10,0)</f>
        <v>2378</v>
      </c>
      <c r="V18" s="4">
        <f ca="1">_Google_ads[[#This Row],[cost]]*RANDBETWEEN(8,12)/10</f>
        <v>389.61</v>
      </c>
      <c r="W18" s="4">
        <f ca="1">ROUND(_Google_ads[[#This Row],[conversions]]*RANDBETWEEN(8,12)/10,0)</f>
        <v>83</v>
      </c>
      <c r="X18" s="4">
        <f ca="1">ROUND(_Google_ads[[#This Row],[conversion_value]]*RANDBETWEEN(8,12)/10,0)</f>
        <v>4140</v>
      </c>
      <c r="Y18" s="4">
        <f ca="1">_Google_ads[[#This Row],[ctr]]*RANDBETWEEN(8,12)/10</f>
        <v>3.619E-2</v>
      </c>
      <c r="Z18" s="4">
        <f ca="1">_Google_ads[[#This Row],[avg_cpc]]*RANDBETWEEN(8,12)/10</f>
        <v>0.18</v>
      </c>
      <c r="AA18" s="4">
        <f ca="1">ROUND(_Google_ads[[#This Row],[quality_score]]*RANDBETWEEN(8,12)/10,0)</f>
        <v>6</v>
      </c>
      <c r="AB18" s="4">
        <f ca="1">_Google_ads[[#This Row],[search_impression_share]]*RANDBETWEEN(8,12)/10</f>
        <v>0.53600000000000003</v>
      </c>
      <c r="AD18" s="3">
        <f t="shared" ca="1" si="2"/>
        <v>45049</v>
      </c>
      <c r="AE18" s="4" t="s">
        <v>108</v>
      </c>
      <c r="AF18" s="4" t="s">
        <v>109</v>
      </c>
      <c r="AG18" s="4" t="s">
        <v>110</v>
      </c>
      <c r="AH18" s="4" t="s">
        <v>111</v>
      </c>
      <c r="AI18" s="4">
        <f ca="1">ROUND(T_Tiktok_ads[[#This Row],[impressions]]*RANDBETWEEN(8,12)/10,0)</f>
        <v>246814</v>
      </c>
      <c r="AJ18" s="4">
        <f ca="1">ROUND(T_Tiktok_ads[[#This Row],[clicks]]*RANDBETWEEN(8,12)/10,0)</f>
        <v>3557</v>
      </c>
      <c r="AK18" s="4">
        <v>387.8</v>
      </c>
      <c r="AL18" s="4">
        <f ca="1">ROUND(T_Tiktok_ads[[#This Row],[conversions]]*RANDBETWEEN(8,12)/10,0)</f>
        <v>22</v>
      </c>
      <c r="AM18" s="4">
        <f ca="1">ROUND(T_Tiktok_ads[[#This Row],[video_views]]*RANDBETWEEN(8,12)/10,0)</f>
        <v>178580</v>
      </c>
      <c r="AN18" s="4">
        <f ca="1">ROUND(T_Tiktok_ads[[#This Row],[video_watch_25]]*RANDBETWEEN(8,12)/10,0)</f>
        <v>112110</v>
      </c>
      <c r="AO18" s="4">
        <f ca="1">ROUND(T_Tiktok_ads[[#This Row],[video_watch_50]]*RANDBETWEEN(8,12)/10,0)</f>
        <v>79121</v>
      </c>
      <c r="AP18" s="4">
        <f ca="1">ROUND(T_Tiktok_ads[[#This Row],[video_watch_75]]*RANDBETWEEN(8,12)/10,0)</f>
        <v>69557</v>
      </c>
      <c r="AQ18" s="4">
        <f ca="1">ROUND(T_Tiktok_ads[[#This Row],[video_watch_100]]*RANDBETWEEN(8,12)/10,0)</f>
        <v>42057</v>
      </c>
      <c r="AR18" s="4">
        <f ca="1">ROUND(T_Tiktok_ads[[#This Row],[likes]]*RANDBETWEEN(8,12)/10,0)</f>
        <v>7567</v>
      </c>
      <c r="AS18" s="4">
        <f ca="1">ROUND(T_Tiktok_ads[[#This Row],[shares]]*RANDBETWEEN(8,12)/10,0)</f>
        <v>1671</v>
      </c>
      <c r="AT18" s="4">
        <f ca="1">ROUND(T_Tiktok_ads[[#This Row],[comments]]*RANDBETWEEN(8,12)/10,0)</f>
        <v>401</v>
      </c>
      <c r="AV18" s="5">
        <f t="shared" ca="1" si="3"/>
        <v>45068</v>
      </c>
      <c r="AW18">
        <f t="shared" ca="1" si="4"/>
        <v>2</v>
      </c>
      <c r="AX18">
        <f ca="1">ROUND(T_Facebook_Ads1159636771[[#This Row],[impressions]]*RANDBETWEEN(8,12)/10,0)</f>
        <v>39246</v>
      </c>
      <c r="AY18">
        <f ca="1">ROUND(T_Facebook_Ads1159636771[[#This Row],[clicks]]*RANDBETWEEN(8,12)/10,0)</f>
        <v>1289</v>
      </c>
      <c r="AZ18">
        <f ca="1">T_Facebook_Ads1159636771[[#This Row],[spend]]*RANDBETWEEN(8,12)/10</f>
        <v>234.71999999999997</v>
      </c>
      <c r="BA18">
        <f ca="1">ROUND(T_Facebook_Ads1159636771[[#This Row],[conversions]]*RANDBETWEEN(8,12)/10,0)</f>
        <v>26</v>
      </c>
      <c r="BB18">
        <f ca="1">ROUND(T_Facebook_Ads1159636771[[#This Row],[video_views]]*RANDBETWEEN(8,12)/10,0)</f>
        <v>6737</v>
      </c>
    </row>
    <row r="19" spans="1:54" ht="15.75" thickBot="1" x14ac:dyDescent="0.3">
      <c r="A19" s="3">
        <f t="shared" ca="1" si="0"/>
        <v>45076</v>
      </c>
      <c r="B19" s="4" t="s">
        <v>64</v>
      </c>
      <c r="C19" s="4" t="s">
        <v>65</v>
      </c>
      <c r="D19" s="4" t="s">
        <v>66</v>
      </c>
      <c r="E19" s="4" t="s">
        <v>67</v>
      </c>
      <c r="F19" s="4">
        <f ca="1">ROUND(T_Facebook_Ads[[#This Row],[impressions]]*RANDBETWEEN(8,12)/10,0)</f>
        <v>69456</v>
      </c>
      <c r="G19" s="4">
        <v>245</v>
      </c>
      <c r="H19" s="4">
        <f ca="1">T_Facebook_Ads[[#This Row],[spend]]*RANDBETWEEN(8,12)/10</f>
        <v>91.2</v>
      </c>
      <c r="I19" s="4">
        <f ca="1">ROUND(T_Facebook_Ads[[#This Row],[conversions]]*RANDBETWEEN(8,12)/10,0)</f>
        <v>6</v>
      </c>
      <c r="J19" s="4">
        <f ca="1">ROUND(T_Facebook_Ads[[#This Row],[video_views]]*RANDBETWEEN(8,12)/10,0)</f>
        <v>42511</v>
      </c>
      <c r="K19" s="4">
        <f ca="1">T_Facebook_Ads[[#This Row],[engagement_rate]]*RANDBETWEEN(8,12)/10</f>
        <v>4.2000000000000006E-3</v>
      </c>
      <c r="L19" s="4">
        <f ca="1">ROUND(T_Facebook_Ads[[#This Row],[reach]]*RANDBETWEEN(8,12)/10,0)</f>
        <v>63679</v>
      </c>
      <c r="M19" s="4">
        <f ca="1">T_Facebook_Ads[[#This Row],[frequency]]*RANDBETWEEN(8,12)/10</f>
        <v>1.2</v>
      </c>
      <c r="O19" s="3">
        <f t="shared" ca="1" si="1"/>
        <v>45047</v>
      </c>
      <c r="P19" s="4" t="s">
        <v>88</v>
      </c>
      <c r="Q19" s="4" t="s">
        <v>89</v>
      </c>
      <c r="R19" s="4" t="s">
        <v>90</v>
      </c>
      <c r="S19" s="4" t="s">
        <v>59</v>
      </c>
      <c r="T19" s="4">
        <f ca="1">ROUND(_Google_ads[[#This Row],[impressions]]*RANDBETWEEN(8,12)/10,0)</f>
        <v>104987</v>
      </c>
      <c r="U19" s="4">
        <f ca="1">ROUND(_Google_ads[[#This Row],[clicks]]*RANDBETWEEN(8,12)/10,0)</f>
        <v>574</v>
      </c>
      <c r="V19" s="4">
        <f ca="1">_Google_ads[[#This Row],[cost]]*RANDBETWEEN(8,12)/10</f>
        <v>132.4</v>
      </c>
      <c r="W19" s="4">
        <f ca="1">ROUND(_Google_ads[[#This Row],[conversions]]*RANDBETWEEN(8,12)/10,0)</f>
        <v>10</v>
      </c>
      <c r="X19" s="4">
        <f ca="1">ROUND(_Google_ads[[#This Row],[conversion_value]]*RANDBETWEEN(8,12)/10,0)</f>
        <v>780</v>
      </c>
      <c r="Y19" s="4">
        <f ca="1">_Google_ads[[#This Row],[ctr]]*RANDBETWEEN(8,12)/10</f>
        <v>2.8799999999999997E-3</v>
      </c>
      <c r="Z19" s="4">
        <f ca="1">_Google_ads[[#This Row],[avg_cpc]]*RANDBETWEEN(8,12)/10</f>
        <v>0.28000000000000003</v>
      </c>
      <c r="AA19" s="4">
        <f ca="1">ROUND(_Google_ads[[#This Row],[quality_score]]*RANDBETWEEN(8,12)/10,0)</f>
        <v>7</v>
      </c>
      <c r="AB19" s="4">
        <f ca="1">_Google_ads[[#This Row],[search_impression_share]]*RANDBETWEEN(8,12)/10</f>
        <v>0.35</v>
      </c>
      <c r="AD19" s="3">
        <f t="shared" ca="1" si="2"/>
        <v>45071</v>
      </c>
      <c r="AE19" s="4" t="s">
        <v>112</v>
      </c>
      <c r="AF19" s="4" t="s">
        <v>113</v>
      </c>
      <c r="AG19" s="4" t="s">
        <v>114</v>
      </c>
      <c r="AH19" s="4" t="s">
        <v>115</v>
      </c>
      <c r="AI19" s="4">
        <f ca="1">ROUND(T_Tiktok_ads[[#This Row],[impressions]]*RANDBETWEEN(8,12)/10,0)</f>
        <v>454681</v>
      </c>
      <c r="AJ19" s="4">
        <f ca="1">ROUND(T_Tiktok_ads[[#This Row],[clicks]]*RANDBETWEEN(8,12)/10,0)</f>
        <v>5511</v>
      </c>
      <c r="AK19" s="4">
        <v>945.6</v>
      </c>
      <c r="AL19" s="4">
        <f ca="1">ROUND(T_Tiktok_ads[[#This Row],[conversions]]*RANDBETWEEN(8,12)/10,0)</f>
        <v>96</v>
      </c>
      <c r="AM19" s="4">
        <f ca="1">ROUND(T_Tiktok_ads[[#This Row],[video_views]]*RANDBETWEEN(8,12)/10,0)</f>
        <v>312345</v>
      </c>
      <c r="AN19" s="4">
        <f ca="1">ROUND(T_Tiktok_ads[[#This Row],[video_watch_25]]*RANDBETWEEN(8,12)/10,0)</f>
        <v>226111</v>
      </c>
      <c r="AO19" s="4">
        <f ca="1">ROUND(T_Tiktok_ads[[#This Row],[video_watch_50]]*RANDBETWEEN(8,12)/10,0)</f>
        <v>241481</v>
      </c>
      <c r="AP19" s="4">
        <f ca="1">ROUND(T_Tiktok_ads[[#This Row],[video_watch_75]]*RANDBETWEEN(8,12)/10,0)</f>
        <v>157802</v>
      </c>
      <c r="AQ19" s="4">
        <f ca="1">ROUND(T_Tiktok_ads[[#This Row],[video_watch_100]]*RANDBETWEEN(8,12)/10,0)</f>
        <v>104757</v>
      </c>
      <c r="AR19" s="4">
        <f ca="1">ROUND(T_Tiktok_ads[[#This Row],[likes]]*RANDBETWEEN(8,12)/10,0)</f>
        <v>14910</v>
      </c>
      <c r="AS19" s="4">
        <f ca="1">ROUND(T_Tiktok_ads[[#This Row],[shares]]*RANDBETWEEN(8,12)/10,0)</f>
        <v>5305</v>
      </c>
      <c r="AT19" s="4">
        <f ca="1">ROUND(T_Tiktok_ads[[#This Row],[comments]]*RANDBETWEEN(8,12)/10,0)</f>
        <v>1574</v>
      </c>
      <c r="AV19" s="5">
        <f t="shared" ca="1" si="3"/>
        <v>45065</v>
      </c>
      <c r="AW19">
        <f t="shared" ca="1" si="4"/>
        <v>3</v>
      </c>
      <c r="AX19">
        <f ca="1">ROUND(T_Facebook_Ads1159636771[[#This Row],[impressions]]*RANDBETWEEN(8,12)/10,0)</f>
        <v>55565</v>
      </c>
      <c r="AY19">
        <f ca="1">ROUND(T_Facebook_Ads1159636771[[#This Row],[clicks]]*RANDBETWEEN(8,12)/10,0)</f>
        <v>196</v>
      </c>
      <c r="AZ19">
        <f ca="1">T_Facebook_Ads1159636771[[#This Row],[spend]]*RANDBETWEEN(8,12)/10</f>
        <v>82.080000000000013</v>
      </c>
      <c r="BA19">
        <f ca="1">ROUND(T_Facebook_Ads1159636771[[#This Row],[conversions]]*RANDBETWEEN(8,12)/10,0)</f>
        <v>6</v>
      </c>
      <c r="BB19">
        <f ca="1">ROUND(T_Facebook_Ads1159636771[[#This Row],[video_views]]*RANDBETWEEN(8,12)/10,0)</f>
        <v>38260</v>
      </c>
    </row>
    <row r="20" spans="1:54" ht="15.75" thickBot="1" x14ac:dyDescent="0.3">
      <c r="A20" s="3">
        <f t="shared" ca="1" si="0"/>
        <v>45076</v>
      </c>
      <c r="B20" s="4" t="s">
        <v>52</v>
      </c>
      <c r="C20" s="4" t="s">
        <v>53</v>
      </c>
      <c r="D20" s="4" t="s">
        <v>54</v>
      </c>
      <c r="E20" s="4" t="s">
        <v>55</v>
      </c>
      <c r="F20" s="4">
        <f ca="1">ROUND(T_Facebook_Ads[[#This Row],[impressions]]*RANDBETWEEN(8,12)/10,0)</f>
        <v>39901</v>
      </c>
      <c r="G20" s="4">
        <v>1067</v>
      </c>
      <c r="H20" s="4">
        <f ca="1">T_Facebook_Ads[[#This Row],[spend]]*RANDBETWEEN(8,12)/10</f>
        <v>160.49</v>
      </c>
      <c r="I20" s="4">
        <f ca="1">ROUND(T_Facebook_Ads[[#This Row],[conversions]]*RANDBETWEEN(8,12)/10,0)</f>
        <v>16</v>
      </c>
      <c r="J20" s="4">
        <f ca="1">ROUND(T_Facebook_Ads[[#This Row],[video_views]]*RANDBETWEEN(8,12)/10,0)</f>
        <v>8610</v>
      </c>
      <c r="K20" s="4">
        <f ca="1">T_Facebook_Ads[[#This Row],[engagement_rate]]*RANDBETWEEN(8,12)/10</f>
        <v>2.5679999999999998E-2</v>
      </c>
      <c r="L20" s="4">
        <f ca="1">ROUND(T_Facebook_Ads[[#This Row],[reach]]*RANDBETWEEN(8,12)/10,0)</f>
        <v>49481</v>
      </c>
      <c r="M20" s="4">
        <f ca="1">T_Facebook_Ads[[#This Row],[frequency]]*RANDBETWEEN(8,12)/10</f>
        <v>0.96799999999999997</v>
      </c>
      <c r="O20" s="3">
        <f t="shared" ca="1" si="1"/>
        <v>45067</v>
      </c>
      <c r="P20" s="4" t="s">
        <v>76</v>
      </c>
      <c r="Q20" s="4" t="s">
        <v>77</v>
      </c>
      <c r="R20" s="4" t="s">
        <v>78</v>
      </c>
      <c r="S20" s="4" t="s">
        <v>79</v>
      </c>
      <c r="T20" s="4">
        <f ca="1">ROUND(_Google_ads[[#This Row],[impressions]]*RANDBETWEEN(8,12)/10,0)</f>
        <v>21431</v>
      </c>
      <c r="U20" s="4">
        <f ca="1">ROUND(_Google_ads[[#This Row],[clicks]]*RANDBETWEEN(8,12)/10,0)</f>
        <v>1747</v>
      </c>
      <c r="V20" s="4">
        <f ca="1">_Google_ads[[#This Row],[cost]]*RANDBETWEEN(8,12)/10</f>
        <v>306.78999999999996</v>
      </c>
      <c r="W20" s="4">
        <f ca="1">ROUND(_Google_ads[[#This Row],[conversions]]*RANDBETWEEN(8,12)/10,0)</f>
        <v>54</v>
      </c>
      <c r="X20" s="4">
        <f ca="1">ROUND(_Google_ads[[#This Row],[conversion_value]]*RANDBETWEEN(8,12)/10,0)</f>
        <v>2160</v>
      </c>
      <c r="Y20" s="4">
        <f ca="1">_Google_ads[[#This Row],[ctr]]*RANDBETWEEN(8,12)/10</f>
        <v>4.3519999999999996E-2</v>
      </c>
      <c r="Z20" s="4">
        <f ca="1">_Google_ads[[#This Row],[avg_cpc]]*RANDBETWEEN(8,12)/10</f>
        <v>0.17099999999999999</v>
      </c>
      <c r="AA20" s="4">
        <f ca="1">ROUND(_Google_ads[[#This Row],[quality_score]]*RANDBETWEEN(8,12)/10,0)</f>
        <v>8</v>
      </c>
      <c r="AB20" s="4">
        <f ca="1">_Google_ads[[#This Row],[search_impression_share]]*RANDBETWEEN(8,12)/10</f>
        <v>0.83700000000000008</v>
      </c>
      <c r="AD20" s="3">
        <f t="shared" ca="1" si="2"/>
        <v>45075</v>
      </c>
      <c r="AE20" s="4" t="s">
        <v>100</v>
      </c>
      <c r="AF20" s="4" t="s">
        <v>101</v>
      </c>
      <c r="AG20" s="4" t="s">
        <v>102</v>
      </c>
      <c r="AH20" s="4" t="s">
        <v>103</v>
      </c>
      <c r="AI20" s="4">
        <f ca="1">ROUND(T_Tiktok_ads[[#This Row],[impressions]]*RANDBETWEEN(8,12)/10,0)</f>
        <v>306791</v>
      </c>
      <c r="AJ20" s="4">
        <f ca="1">ROUND(T_Tiktok_ads[[#This Row],[clicks]]*RANDBETWEEN(8,12)/10,0)</f>
        <v>3298</v>
      </c>
      <c r="AK20" s="4">
        <v>545.6</v>
      </c>
      <c r="AL20" s="4">
        <f ca="1">ROUND(T_Tiktok_ads[[#This Row],[conversions]]*RANDBETWEEN(8,12)/10,0)</f>
        <v>50</v>
      </c>
      <c r="AM20" s="4">
        <f ca="1">ROUND(T_Tiktok_ads[[#This Row],[video_views]]*RANDBETWEEN(8,12)/10,0)</f>
        <v>183387</v>
      </c>
      <c r="AN20" s="4">
        <f ca="1">ROUND(T_Tiktok_ads[[#This Row],[video_watch_25]]*RANDBETWEEN(8,12)/10,0)</f>
        <v>143387</v>
      </c>
      <c r="AO20" s="4">
        <f ca="1">ROUND(T_Tiktok_ads[[#This Row],[video_watch_50]]*RANDBETWEEN(8,12)/10,0)</f>
        <v>101011</v>
      </c>
      <c r="AP20" s="4">
        <f ca="1">ROUND(T_Tiktok_ads[[#This Row],[video_watch_75]]*RANDBETWEEN(8,12)/10,0)</f>
        <v>90814</v>
      </c>
      <c r="AQ20" s="4">
        <f ca="1">ROUND(T_Tiktok_ads[[#This Row],[video_watch_100]]*RANDBETWEEN(8,12)/10,0)</f>
        <v>45211</v>
      </c>
      <c r="AR20" s="4">
        <f ca="1">ROUND(T_Tiktok_ads[[#This Row],[likes]]*RANDBETWEEN(8,12)/10,0)</f>
        <v>11135</v>
      </c>
      <c r="AS20" s="4">
        <f ca="1">ROUND(T_Tiktok_ads[[#This Row],[shares]]*RANDBETWEEN(8,12)/10,0)</f>
        <v>2441</v>
      </c>
      <c r="AT20" s="4">
        <f ca="1">ROUND(T_Tiktok_ads[[#This Row],[comments]]*RANDBETWEEN(8,12)/10,0)</f>
        <v>645</v>
      </c>
      <c r="AV20" s="5">
        <f t="shared" ca="1" si="3"/>
        <v>45075</v>
      </c>
      <c r="AW20">
        <f t="shared" ca="1" si="4"/>
        <v>2</v>
      </c>
      <c r="AX20">
        <f ca="1">ROUND(T_Facebook_Ads1159636771[[#This Row],[impressions]]*RANDBETWEEN(8,12)/10,0)</f>
        <v>47881</v>
      </c>
      <c r="AY20">
        <f ca="1">ROUND(T_Facebook_Ads1159636771[[#This Row],[clicks]]*RANDBETWEEN(8,12)/10,0)</f>
        <v>1174</v>
      </c>
      <c r="AZ20">
        <f ca="1">T_Facebook_Ads1159636771[[#This Row],[spend]]*RANDBETWEEN(8,12)/10</f>
        <v>144.441</v>
      </c>
      <c r="BA20">
        <f ca="1">ROUND(T_Facebook_Ads1159636771[[#This Row],[conversions]]*RANDBETWEEN(8,12)/10,0)</f>
        <v>16</v>
      </c>
      <c r="BB20">
        <f ca="1">ROUND(T_Facebook_Ads1159636771[[#This Row],[video_views]]*RANDBETWEEN(8,12)/10,0)</f>
        <v>10332</v>
      </c>
    </row>
    <row r="21" spans="1:54" ht="15.75" thickBot="1" x14ac:dyDescent="0.3">
      <c r="A21" s="3">
        <f t="shared" ca="1" si="0"/>
        <v>45050</v>
      </c>
      <c r="B21" s="4" t="s">
        <v>56</v>
      </c>
      <c r="C21" s="4" t="s">
        <v>57</v>
      </c>
      <c r="D21" s="4" t="s">
        <v>58</v>
      </c>
      <c r="E21" s="4" t="s">
        <v>59</v>
      </c>
      <c r="F21" s="4">
        <f ca="1">ROUND(T_Facebook_Ads[[#This Row],[impressions]]*RANDBETWEEN(8,12)/10,0)</f>
        <v>12110</v>
      </c>
      <c r="G21" s="4">
        <v>623</v>
      </c>
      <c r="H21" s="4">
        <f ca="1">T_Facebook_Ads[[#This Row],[spend]]*RANDBETWEEN(8,12)/10</f>
        <v>190.24</v>
      </c>
      <c r="I21" s="4">
        <f ca="1">ROUND(T_Facebook_Ads[[#This Row],[conversions]]*RANDBETWEEN(8,12)/10,0)</f>
        <v>44</v>
      </c>
      <c r="J21" s="4">
        <f ca="1">ROUND(T_Facebook_Ads[[#This Row],[video_views]]*RANDBETWEEN(8,12)/10,0)</f>
        <v>1165</v>
      </c>
      <c r="K21" s="4">
        <f ca="1">T_Facebook_Ads[[#This Row],[engagement_rate]]*RANDBETWEEN(8,12)/10</f>
        <v>5.5559999999999998E-2</v>
      </c>
      <c r="L21" s="4">
        <f ca="1">ROUND(T_Facebook_Ads[[#This Row],[reach]]*RANDBETWEEN(8,12)/10,0)</f>
        <v>8454</v>
      </c>
      <c r="M21" s="4">
        <f ca="1">T_Facebook_Ads[[#This Row],[frequency]]*RANDBETWEEN(8,12)/10</f>
        <v>1.27</v>
      </c>
      <c r="O21" s="3">
        <f t="shared" ca="1" si="1"/>
        <v>45071</v>
      </c>
      <c r="P21" s="4" t="s">
        <v>80</v>
      </c>
      <c r="Q21" s="4" t="s">
        <v>81</v>
      </c>
      <c r="R21" s="4" t="s">
        <v>82</v>
      </c>
      <c r="S21" s="4" t="s">
        <v>83</v>
      </c>
      <c r="T21" s="4">
        <f ca="1">ROUND(_Google_ads[[#This Row],[impressions]]*RANDBETWEEN(8,12)/10,0)</f>
        <v>35654</v>
      </c>
      <c r="U21" s="4">
        <f ca="1">ROUND(_Google_ads[[#This Row],[clicks]]*RANDBETWEEN(8,12)/10,0)</f>
        <v>790</v>
      </c>
      <c r="V21" s="4">
        <f ca="1">_Google_ads[[#This Row],[cost]]*RANDBETWEEN(8,12)/10</f>
        <v>510.48</v>
      </c>
      <c r="W21" s="4">
        <f ca="1">ROUND(_Google_ads[[#This Row],[conversions]]*RANDBETWEEN(8,12)/10,0)</f>
        <v>22</v>
      </c>
      <c r="X21" s="4">
        <f ca="1">ROUND(_Google_ads[[#This Row],[conversion_value]]*RANDBETWEEN(8,12)/10,0)</f>
        <v>880</v>
      </c>
      <c r="Y21" s="4">
        <f ca="1">_Google_ads[[#This Row],[ctr]]*RANDBETWEEN(8,12)/10</f>
        <v>2.3640000000000001E-2</v>
      </c>
      <c r="Z21" s="4">
        <f ca="1">_Google_ads[[#This Row],[avg_cpc]]*RANDBETWEEN(8,12)/10</f>
        <v>0.52</v>
      </c>
      <c r="AA21" s="4">
        <f ca="1">ROUND(_Google_ads[[#This Row],[quality_score]]*RANDBETWEEN(8,12)/10,0)</f>
        <v>7</v>
      </c>
      <c r="AB21" s="4">
        <f ca="1">_Google_ads[[#This Row],[search_impression_share]]*RANDBETWEEN(8,12)/10</f>
        <v>0.44000000000000006</v>
      </c>
      <c r="AD21" s="3">
        <f t="shared" ca="1" si="2"/>
        <v>45067</v>
      </c>
      <c r="AE21" s="4" t="s">
        <v>104</v>
      </c>
      <c r="AF21" s="4" t="s">
        <v>105</v>
      </c>
      <c r="AG21" s="4" t="s">
        <v>106</v>
      </c>
      <c r="AH21" s="4" t="s">
        <v>107</v>
      </c>
      <c r="AI21" s="4">
        <f ca="1">ROUND(T_Tiktok_ads[[#This Row],[impressions]]*RANDBETWEEN(8,12)/10,0)</f>
        <v>166681</v>
      </c>
      <c r="AJ21" s="4">
        <f ca="1">ROUND(T_Tiktok_ads[[#This Row],[clicks]]*RANDBETWEEN(8,12)/10,0)</f>
        <v>2410</v>
      </c>
      <c r="AK21" s="4">
        <v>734.5</v>
      </c>
      <c r="AL21" s="4">
        <f ca="1">ROUND(T_Tiktok_ads[[#This Row],[conversions]]*RANDBETWEEN(8,12)/10,0)</f>
        <v>66</v>
      </c>
      <c r="AM21" s="4">
        <f ca="1">ROUND(T_Tiktok_ads[[#This Row],[video_views]]*RANDBETWEEN(8,12)/10,0)</f>
        <v>97890</v>
      </c>
      <c r="AN21" s="4">
        <f ca="1">ROUND(T_Tiktok_ads[[#This Row],[video_watch_25]]*RANDBETWEEN(8,12)/10,0)</f>
        <v>65111</v>
      </c>
      <c r="AO21" s="4">
        <f ca="1">ROUND(T_Tiktok_ads[[#This Row],[video_watch_50]]*RANDBETWEEN(8,12)/10,0)</f>
        <v>39121</v>
      </c>
      <c r="AP21" s="4">
        <f ca="1">ROUND(T_Tiktok_ads[[#This Row],[video_watch_75]]*RANDBETWEEN(8,12)/10,0)</f>
        <v>44147</v>
      </c>
      <c r="AQ21" s="4">
        <f ca="1">ROUND(T_Tiktok_ads[[#This Row],[video_watch_100]]*RANDBETWEEN(8,12)/10,0)</f>
        <v>24890</v>
      </c>
      <c r="AR21" s="4">
        <f ca="1">ROUND(T_Tiktok_ads[[#This Row],[likes]]*RANDBETWEEN(8,12)/10,0)</f>
        <v>5881</v>
      </c>
      <c r="AS21" s="4">
        <f ca="1">ROUND(T_Tiktok_ads[[#This Row],[shares]]*RANDBETWEEN(8,12)/10,0)</f>
        <v>1085</v>
      </c>
      <c r="AT21" s="4">
        <f ca="1">ROUND(T_Tiktok_ads[[#This Row],[comments]]*RANDBETWEEN(8,12)/10,0)</f>
        <v>256</v>
      </c>
      <c r="AV21" s="5">
        <f t="shared" ca="1" si="3"/>
        <v>45066</v>
      </c>
      <c r="AW21">
        <f t="shared" ca="1" si="4"/>
        <v>7</v>
      </c>
      <c r="AX21">
        <f ca="1">ROUND(T_Facebook_Ads1159636771[[#This Row],[impressions]]*RANDBETWEEN(8,12)/10,0)</f>
        <v>12110</v>
      </c>
      <c r="AY21">
        <f ca="1">ROUND(T_Facebook_Ads1159636771[[#This Row],[clicks]]*RANDBETWEEN(8,12)/10,0)</f>
        <v>685</v>
      </c>
      <c r="AZ21">
        <f ca="1">T_Facebook_Ads1159636771[[#This Row],[spend]]*RANDBETWEEN(8,12)/10</f>
        <v>209.26400000000004</v>
      </c>
      <c r="BA21">
        <f ca="1">ROUND(T_Facebook_Ads1159636771[[#This Row],[conversions]]*RANDBETWEEN(8,12)/10,0)</f>
        <v>44</v>
      </c>
      <c r="BB21">
        <f ca="1">ROUND(T_Facebook_Ads1159636771[[#This Row],[video_views]]*RANDBETWEEN(8,12)/10,0)</f>
        <v>1049</v>
      </c>
    </row>
    <row r="22" spans="1:54" ht="15.75" thickBot="1" x14ac:dyDescent="0.3">
      <c r="A22" s="3">
        <f t="shared" ca="1" si="0"/>
        <v>45071</v>
      </c>
      <c r="B22" s="4" t="s">
        <v>60</v>
      </c>
      <c r="C22" s="4" t="s">
        <v>61</v>
      </c>
      <c r="D22" s="4" t="s">
        <v>62</v>
      </c>
      <c r="E22" s="4" t="s">
        <v>63</v>
      </c>
      <c r="F22" s="4">
        <f ca="1">ROUND(T_Facebook_Ads[[#This Row],[impressions]]*RANDBETWEEN(8,12)/10,0)</f>
        <v>37234</v>
      </c>
      <c r="G22" s="4">
        <v>1367</v>
      </c>
      <c r="H22" s="4">
        <f ca="1">T_Facebook_Ads[[#This Row],[spend]]*RANDBETWEEN(8,12)/10</f>
        <v>207.9</v>
      </c>
      <c r="I22" s="4">
        <f ca="1">ROUND(T_Facebook_Ads[[#This Row],[conversions]]*RANDBETWEEN(8,12)/10,0)</f>
        <v>24</v>
      </c>
      <c r="J22" s="4">
        <f ca="1">ROUND(T_Facebook_Ads[[#This Row],[video_views]]*RANDBETWEEN(8,12)/10,0)</f>
        <v>4010</v>
      </c>
      <c r="K22" s="4">
        <f ca="1">T_Facebook_Ads[[#This Row],[engagement_rate]]*RANDBETWEEN(8,12)/10</f>
        <v>4.0370000000000003E-2</v>
      </c>
      <c r="L22" s="4">
        <f ca="1">ROUND(T_Facebook_Ads[[#This Row],[reach]]*RANDBETWEEN(8,12)/10,0)</f>
        <v>30678</v>
      </c>
      <c r="M22" s="4">
        <f ca="1">T_Facebook_Ads[[#This Row],[frequency]]*RANDBETWEEN(8,12)/10</f>
        <v>1.21</v>
      </c>
      <c r="O22" s="3">
        <f t="shared" ca="1" si="1"/>
        <v>45064</v>
      </c>
      <c r="P22" s="4" t="s">
        <v>84</v>
      </c>
      <c r="Q22" s="4" t="s">
        <v>85</v>
      </c>
      <c r="R22" s="4" t="s">
        <v>86</v>
      </c>
      <c r="S22" s="4" t="s">
        <v>87</v>
      </c>
      <c r="T22" s="4">
        <f ca="1">ROUND(_Google_ads[[#This Row],[impressions]]*RANDBETWEEN(8,12)/10,0)</f>
        <v>84281</v>
      </c>
      <c r="U22" s="4">
        <f ca="1">ROUND(_Google_ads[[#This Row],[clicks]]*RANDBETWEEN(8,12)/10,0)</f>
        <v>2747</v>
      </c>
      <c r="V22" s="4">
        <f ca="1">_Google_ads[[#This Row],[cost]]*RANDBETWEEN(8,12)/10</f>
        <v>419.5</v>
      </c>
      <c r="W22" s="4">
        <f ca="1">ROUND(_Google_ads[[#This Row],[conversions]]*RANDBETWEEN(8,12)/10,0)</f>
        <v>79</v>
      </c>
      <c r="X22" s="4">
        <f ca="1">ROUND(_Google_ads[[#This Row],[conversion_value]]*RANDBETWEEN(8,12)/10,0)</f>
        <v>3960</v>
      </c>
      <c r="Y22" s="4">
        <f ca="1">_Google_ads[[#This Row],[ctr]]*RANDBETWEEN(8,12)/10</f>
        <v>3.9120000000000002E-2</v>
      </c>
      <c r="Z22" s="4">
        <f ca="1">_Google_ads[[#This Row],[avg_cpc]]*RANDBETWEEN(8,12)/10</f>
        <v>0.19800000000000001</v>
      </c>
      <c r="AA22" s="4">
        <f ca="1">ROUND(_Google_ads[[#This Row],[quality_score]]*RANDBETWEEN(8,12)/10,0)</f>
        <v>7</v>
      </c>
      <c r="AB22" s="4">
        <f ca="1">_Google_ads[[#This Row],[search_impression_share]]*RANDBETWEEN(8,12)/10</f>
        <v>0.79200000000000004</v>
      </c>
      <c r="AD22" s="3">
        <f t="shared" ca="1" si="2"/>
        <v>45055</v>
      </c>
      <c r="AE22" s="4" t="s">
        <v>108</v>
      </c>
      <c r="AF22" s="4" t="s">
        <v>109</v>
      </c>
      <c r="AG22" s="4" t="s">
        <v>110</v>
      </c>
      <c r="AH22" s="4" t="s">
        <v>111</v>
      </c>
      <c r="AI22" s="4">
        <f ca="1">ROUND(T_Tiktok_ads[[#This Row],[impressions]]*RANDBETWEEN(8,12)/10,0)</f>
        <v>191111</v>
      </c>
      <c r="AJ22" s="4">
        <f ca="1">ROUND(T_Tiktok_ads[[#This Row],[clicks]]*RANDBETWEEN(8,12)/10,0)</f>
        <v>3345</v>
      </c>
      <c r="AK22" s="4">
        <v>401.1</v>
      </c>
      <c r="AL22" s="4">
        <f ca="1">ROUND(T_Tiktok_ads[[#This Row],[conversions]]*RANDBETWEEN(8,12)/10,0)</f>
        <v>34</v>
      </c>
      <c r="AM22" s="4">
        <f ca="1">ROUND(T_Tiktok_ads[[#This Row],[video_views]]*RANDBETWEEN(8,12)/10,0)</f>
        <v>134312</v>
      </c>
      <c r="AN22" s="4">
        <f ca="1">ROUND(T_Tiktok_ads[[#This Row],[video_watch_25]]*RANDBETWEEN(8,12)/10,0)</f>
        <v>141057</v>
      </c>
      <c r="AO22" s="4">
        <f ca="1">ROUND(T_Tiktok_ads[[#This Row],[video_watch_50]]*RANDBETWEEN(8,12)/10,0)</f>
        <v>91111</v>
      </c>
      <c r="AP22" s="4">
        <f ca="1">ROUND(T_Tiktok_ads[[#This Row],[video_watch_75]]*RANDBETWEEN(8,12)/10,0)</f>
        <v>52187</v>
      </c>
      <c r="AQ22" s="4">
        <f ca="1">ROUND(T_Tiktok_ads[[#This Row],[video_watch_100]]*RANDBETWEEN(8,12)/10,0)</f>
        <v>43402</v>
      </c>
      <c r="AR22" s="4">
        <f ca="1">ROUND(T_Tiktok_ads[[#This Row],[likes]]*RANDBETWEEN(8,12)/10,0)</f>
        <v>6231</v>
      </c>
      <c r="AS22" s="4">
        <f ca="1">ROUND(T_Tiktok_ads[[#This Row],[shares]]*RANDBETWEEN(8,12)/10,0)</f>
        <v>2145</v>
      </c>
      <c r="AT22" s="4">
        <f ca="1">ROUND(T_Tiktok_ads[[#This Row],[comments]]*RANDBETWEEN(8,12)/10,0)</f>
        <v>563</v>
      </c>
      <c r="AV22" s="5">
        <f t="shared" ca="1" si="3"/>
        <v>45068</v>
      </c>
      <c r="AW22">
        <f t="shared" ca="1" si="4"/>
        <v>4</v>
      </c>
      <c r="AX22">
        <f ca="1">ROUND(T_Facebook_Ads1159636771[[#This Row],[impressions]]*RANDBETWEEN(8,12)/10,0)</f>
        <v>29787</v>
      </c>
      <c r="AY22">
        <f ca="1">ROUND(T_Facebook_Ads1159636771[[#This Row],[clicks]]*RANDBETWEEN(8,12)/10,0)</f>
        <v>1230</v>
      </c>
      <c r="AZ22">
        <f ca="1">T_Facebook_Ads1159636771[[#This Row],[spend]]*RANDBETWEEN(8,12)/10</f>
        <v>207.9</v>
      </c>
      <c r="BA22">
        <f ca="1">ROUND(T_Facebook_Ads1159636771[[#This Row],[conversions]]*RANDBETWEEN(8,12)/10,0)</f>
        <v>19</v>
      </c>
      <c r="BB22">
        <f ca="1">ROUND(T_Facebook_Ads1159636771[[#This Row],[video_views]]*RANDBETWEEN(8,12)/10,0)</f>
        <v>3208</v>
      </c>
    </row>
    <row r="23" spans="1:54" ht="15.75" thickBot="1" x14ac:dyDescent="0.3">
      <c r="A23" s="3">
        <f t="shared" ca="1" si="0"/>
        <v>45070</v>
      </c>
      <c r="B23" s="4" t="s">
        <v>52</v>
      </c>
      <c r="C23" s="4" t="s">
        <v>53</v>
      </c>
      <c r="D23" s="4" t="s">
        <v>54</v>
      </c>
      <c r="E23" s="4" t="s">
        <v>55</v>
      </c>
      <c r="F23" s="4">
        <f ca="1">ROUND(T_Facebook_Ads[[#This Row],[impressions]]*RANDBETWEEN(8,12)/10,0)</f>
        <v>42511</v>
      </c>
      <c r="G23" s="4">
        <v>945</v>
      </c>
      <c r="H23" s="4">
        <f ca="1">T_Facebook_Ads[[#This Row],[spend]]*RANDBETWEEN(8,12)/10</f>
        <v>162.48000000000002</v>
      </c>
      <c r="I23" s="4">
        <f ca="1">ROUND(T_Facebook_Ads[[#This Row],[conversions]]*RANDBETWEEN(8,12)/10,0)</f>
        <v>13</v>
      </c>
      <c r="J23" s="4">
        <f ca="1">ROUND(T_Facebook_Ads[[#This Row],[video_views]]*RANDBETWEEN(8,12)/10,0)</f>
        <v>10547</v>
      </c>
      <c r="K23" s="4">
        <f ca="1">T_Facebook_Ads[[#This Row],[engagement_rate]]*RANDBETWEEN(8,12)/10</f>
        <v>2.1999999999999999E-2</v>
      </c>
      <c r="L23" s="4">
        <f ca="1">ROUND(T_Facebook_Ads[[#This Row],[reach]]*RANDBETWEEN(8,12)/10,0)</f>
        <v>35610</v>
      </c>
      <c r="M23" s="4">
        <f ca="1">T_Facebook_Ads[[#This Row],[frequency]]*RANDBETWEEN(8,12)/10</f>
        <v>1.4279999999999999</v>
      </c>
      <c r="O23" s="3">
        <f t="shared" ca="1" si="1"/>
        <v>45052</v>
      </c>
      <c r="P23" s="4" t="s">
        <v>76</v>
      </c>
      <c r="Q23" s="4" t="s">
        <v>77</v>
      </c>
      <c r="R23" s="4" t="s">
        <v>78</v>
      </c>
      <c r="S23" s="4" t="s">
        <v>79</v>
      </c>
      <c r="T23" s="4">
        <f ca="1">ROUND(_Google_ads[[#This Row],[impressions]]*RANDBETWEEN(8,12)/10,0)</f>
        <v>27080</v>
      </c>
      <c r="U23" s="4">
        <f ca="1">ROUND(_Google_ads[[#This Row],[clicks]]*RANDBETWEEN(8,12)/10,0)</f>
        <v>1021</v>
      </c>
      <c r="V23" s="4">
        <f ca="1">_Google_ads[[#This Row],[cost]]*RANDBETWEEN(8,12)/10</f>
        <v>238.48000000000002</v>
      </c>
      <c r="W23" s="4">
        <f ca="1">ROUND(_Google_ads[[#This Row],[conversions]]*RANDBETWEEN(8,12)/10,0)</f>
        <v>39</v>
      </c>
      <c r="X23" s="4">
        <f ca="1">ROUND(_Google_ads[[#This Row],[conversion_value]]*RANDBETWEEN(8,12)/10,0)</f>
        <v>2365</v>
      </c>
      <c r="Y23" s="4">
        <f ca="1">_Google_ads[[#This Row],[ctr]]*RANDBETWEEN(8,12)/10</f>
        <v>6.035999999999999E-2</v>
      </c>
      <c r="Z23" s="4">
        <f ca="1">_Google_ads[[#This Row],[avg_cpc]]*RANDBETWEEN(8,12)/10</f>
        <v>0.22800000000000004</v>
      </c>
      <c r="AA23" s="4">
        <f ca="1">ROUND(_Google_ads[[#This Row],[quality_score]]*RANDBETWEEN(8,12)/10,0)</f>
        <v>9</v>
      </c>
      <c r="AB23" s="4">
        <f ca="1">_Google_ads[[#This Row],[search_impression_share]]*RANDBETWEEN(8,12)/10</f>
        <v>0.72799999999999998</v>
      </c>
      <c r="AD23" s="3">
        <f t="shared" ca="1" si="2"/>
        <v>45070</v>
      </c>
      <c r="AE23" s="4" t="s">
        <v>100</v>
      </c>
      <c r="AF23" s="4" t="s">
        <v>101</v>
      </c>
      <c r="AG23" s="4" t="s">
        <v>102</v>
      </c>
      <c r="AH23" s="4" t="s">
        <v>103</v>
      </c>
      <c r="AI23" s="4">
        <f ca="1">ROUND(T_Tiktok_ads[[#This Row],[impressions]]*RANDBETWEEN(8,12)/10,0)</f>
        <v>245234</v>
      </c>
      <c r="AJ23" s="4">
        <f ca="1">ROUND(T_Tiktok_ads[[#This Row],[clicks]]*RANDBETWEEN(8,12)/10,0)</f>
        <v>4294</v>
      </c>
      <c r="AK23" s="4">
        <v>474.3</v>
      </c>
      <c r="AL23" s="4">
        <f ca="1">ROUND(T_Tiktok_ads[[#This Row],[conversions]]*RANDBETWEEN(8,12)/10,0)</f>
        <v>30</v>
      </c>
      <c r="AM23" s="4">
        <f ca="1">ROUND(T_Tiktok_ads[[#This Row],[video_views]]*RANDBETWEEN(8,12)/10,0)</f>
        <v>223802</v>
      </c>
      <c r="AN23" s="4">
        <f ca="1">ROUND(T_Tiktok_ads[[#This Row],[video_watch_25]]*RANDBETWEEN(8,12)/10,0)</f>
        <v>174791</v>
      </c>
      <c r="AO23" s="4">
        <f ca="1">ROUND(T_Tiktok_ads[[#This Row],[video_watch_50]]*RANDBETWEEN(8,12)/10,0)</f>
        <v>89610</v>
      </c>
      <c r="AP23" s="4">
        <f ca="1">ROUND(T_Tiktok_ads[[#This Row],[video_watch_75]]*RANDBETWEEN(8,12)/10,0)</f>
        <v>61411</v>
      </c>
      <c r="AQ23" s="4">
        <f ca="1">ROUND(T_Tiktok_ads[[#This Row],[video_watch_100]]*RANDBETWEEN(8,12)/10,0)</f>
        <v>50368</v>
      </c>
      <c r="AR23" s="4">
        <f ca="1">ROUND(T_Tiktok_ads[[#This Row],[likes]]*RANDBETWEEN(8,12)/10,0)</f>
        <v>7182</v>
      </c>
      <c r="AS23" s="4">
        <f ca="1">ROUND(T_Tiktok_ads[[#This Row],[shares]]*RANDBETWEEN(8,12)/10,0)</f>
        <v>2389</v>
      </c>
      <c r="AT23" s="4">
        <f ca="1">ROUND(T_Tiktok_ads[[#This Row],[comments]]*RANDBETWEEN(8,12)/10,0)</f>
        <v>472</v>
      </c>
      <c r="AV23" s="5">
        <f t="shared" ca="1" si="3"/>
        <v>45072</v>
      </c>
      <c r="AW23">
        <f t="shared" ca="1" si="4"/>
        <v>1</v>
      </c>
      <c r="AX23">
        <f ca="1">ROUND(T_Facebook_Ads1159636771[[#This Row],[impressions]]*RANDBETWEEN(8,12)/10,0)</f>
        <v>46762</v>
      </c>
      <c r="AY23">
        <f ca="1">ROUND(T_Facebook_Ads1159636771[[#This Row],[clicks]]*RANDBETWEEN(8,12)/10,0)</f>
        <v>1040</v>
      </c>
      <c r="AZ23">
        <f ca="1">T_Facebook_Ads1159636771[[#This Row],[spend]]*RANDBETWEEN(8,12)/10</f>
        <v>162.48000000000002</v>
      </c>
      <c r="BA23">
        <f ca="1">ROUND(T_Facebook_Ads1159636771[[#This Row],[conversions]]*RANDBETWEEN(8,12)/10,0)</f>
        <v>13</v>
      </c>
      <c r="BB23">
        <f ca="1">ROUND(T_Facebook_Ads1159636771[[#This Row],[video_views]]*RANDBETWEEN(8,12)/10,0)</f>
        <v>10547</v>
      </c>
    </row>
    <row r="24" spans="1:54" ht="15.75" thickBot="1" x14ac:dyDescent="0.3">
      <c r="A24" s="3">
        <f t="shared" ca="1" si="0"/>
        <v>45048</v>
      </c>
      <c r="B24" s="4" t="s">
        <v>56</v>
      </c>
      <c r="C24" s="4" t="s">
        <v>57</v>
      </c>
      <c r="D24" s="4" t="s">
        <v>58</v>
      </c>
      <c r="E24" s="4" t="s">
        <v>59</v>
      </c>
      <c r="F24" s="4">
        <f ca="1">ROUND(T_Facebook_Ads[[#This Row],[impressions]]*RANDBETWEEN(8,12)/10,0)</f>
        <v>9698</v>
      </c>
      <c r="G24" s="4">
        <v>534</v>
      </c>
      <c r="H24" s="4">
        <f ca="1">T_Facebook_Ads[[#This Row],[spend]]*RANDBETWEEN(8,12)/10</f>
        <v>169.92000000000002</v>
      </c>
      <c r="I24" s="4">
        <f ca="1">ROUND(T_Facebook_Ads[[#This Row],[conversions]]*RANDBETWEEN(8,12)/10,0)</f>
        <v>28</v>
      </c>
      <c r="J24" s="4">
        <f ca="1">ROUND(T_Facebook_Ads[[#This Row],[video_views]]*RANDBETWEEN(8,12)/10,0)</f>
        <v>1357</v>
      </c>
      <c r="K24" s="4">
        <f ca="1">T_Facebook_Ads[[#This Row],[engagement_rate]]*RANDBETWEEN(8,12)/10</f>
        <v>5.2920000000000002E-2</v>
      </c>
      <c r="L24" s="4">
        <f ca="1">ROUND(T_Facebook_Ads[[#This Row],[reach]]*RANDBETWEEN(8,12)/10,0)</f>
        <v>8610</v>
      </c>
      <c r="M24" s="4">
        <f ca="1">T_Facebook_Ads[[#This Row],[frequency]]*RANDBETWEEN(8,12)/10</f>
        <v>1.27</v>
      </c>
      <c r="O24" s="3">
        <f t="shared" ca="1" si="1"/>
        <v>45069</v>
      </c>
      <c r="P24" s="4" t="s">
        <v>80</v>
      </c>
      <c r="Q24" s="4" t="s">
        <v>81</v>
      </c>
      <c r="R24" s="4" t="s">
        <v>82</v>
      </c>
      <c r="S24" s="4" t="s">
        <v>83</v>
      </c>
      <c r="T24" s="4">
        <f ca="1">ROUND(_Google_ads[[#This Row],[impressions]]*RANDBETWEEN(8,12)/10,0)</f>
        <v>57881</v>
      </c>
      <c r="U24" s="4">
        <f ca="1">ROUND(_Google_ads[[#This Row],[clicks]]*RANDBETWEEN(8,12)/10,0)</f>
        <v>791</v>
      </c>
      <c r="V24" s="4">
        <f ca="1">_Google_ads[[#This Row],[cost]]*RANDBETWEEN(8,12)/10</f>
        <v>698.17000000000007</v>
      </c>
      <c r="W24" s="4">
        <f ca="1">ROUND(_Google_ads[[#This Row],[conversions]]*RANDBETWEEN(8,12)/10,0)</f>
        <v>23</v>
      </c>
      <c r="X24" s="4">
        <f ca="1">ROUND(_Google_ads[[#This Row],[conversion_value]]*RANDBETWEEN(8,12)/10,0)</f>
        <v>1040</v>
      </c>
      <c r="Y24" s="4">
        <f ca="1">_Google_ads[[#This Row],[ctr]]*RANDBETWEEN(8,12)/10</f>
        <v>1.6400000000000001E-2</v>
      </c>
      <c r="Z24" s="4">
        <f ca="1">_Google_ads[[#This Row],[avg_cpc]]*RANDBETWEEN(8,12)/10</f>
        <v>0.64</v>
      </c>
      <c r="AA24" s="4">
        <f ca="1">ROUND(_Google_ads[[#This Row],[quality_score]]*RANDBETWEEN(8,12)/10,0)</f>
        <v>7</v>
      </c>
      <c r="AB24" s="4">
        <f ca="1">_Google_ads[[#This Row],[search_impression_share]]*RANDBETWEEN(8,12)/10</f>
        <v>0.36799999999999999</v>
      </c>
      <c r="AD24" s="3">
        <f t="shared" ca="1" si="2"/>
        <v>45075</v>
      </c>
      <c r="AE24" s="4" t="s">
        <v>104</v>
      </c>
      <c r="AF24" s="4" t="s">
        <v>105</v>
      </c>
      <c r="AG24" s="4" t="s">
        <v>106</v>
      </c>
      <c r="AH24" s="4" t="s">
        <v>107</v>
      </c>
      <c r="AI24" s="4">
        <f ca="1">ROUND(T_Tiktok_ads[[#This Row],[impressions]]*RANDBETWEEN(8,12)/10,0)</f>
        <v>131157</v>
      </c>
      <c r="AJ24" s="4">
        <f ca="1">ROUND(T_Tiktok_ads[[#This Row],[clicks]]*RANDBETWEEN(8,12)/10,0)</f>
        <v>2011</v>
      </c>
      <c r="AK24" s="4">
        <v>645.6</v>
      </c>
      <c r="AL24" s="4">
        <f ca="1">ROUND(T_Tiktok_ads[[#This Row],[conversions]]*RANDBETWEEN(8,12)/10,0)</f>
        <v>70</v>
      </c>
      <c r="AM24" s="4">
        <f ca="1">ROUND(T_Tiktok_ads[[#This Row],[video_views]]*RANDBETWEEN(8,12)/10,0)</f>
        <v>94246</v>
      </c>
      <c r="AN24" s="4">
        <f ca="1">ROUND(T_Tiktok_ads[[#This Row],[video_watch_25]]*RANDBETWEEN(8,12)/10,0)</f>
        <v>69802</v>
      </c>
      <c r="AO24" s="4">
        <f ca="1">ROUND(T_Tiktok_ads[[#This Row],[video_watch_50]]*RANDBETWEEN(8,12)/10,0)</f>
        <v>33876</v>
      </c>
      <c r="AP24" s="4">
        <f ca="1">ROUND(T_Tiktok_ads[[#This Row],[video_watch_75]]*RANDBETWEEN(8,12)/10,0)</f>
        <v>32234</v>
      </c>
      <c r="AQ24" s="4">
        <f ca="1">ROUND(T_Tiktok_ads[[#This Row],[video_watch_100]]*RANDBETWEEN(8,12)/10,0)</f>
        <v>24457</v>
      </c>
      <c r="AR24" s="4">
        <f ca="1">ROUND(T_Tiktok_ads[[#This Row],[likes]]*RANDBETWEEN(8,12)/10,0)</f>
        <v>4780</v>
      </c>
      <c r="AS24" s="4">
        <f ca="1">ROUND(T_Tiktok_ads[[#This Row],[shares]]*RANDBETWEEN(8,12)/10,0)</f>
        <v>1427</v>
      </c>
      <c r="AT24" s="4">
        <f ca="1">ROUND(T_Tiktok_ads[[#This Row],[comments]]*RANDBETWEEN(8,12)/10,0)</f>
        <v>201</v>
      </c>
      <c r="AV24" s="5">
        <f t="shared" ca="1" si="3"/>
        <v>45075</v>
      </c>
      <c r="AW24">
        <f t="shared" ca="1" si="4"/>
        <v>2</v>
      </c>
      <c r="AX24">
        <f ca="1">ROUND(T_Facebook_Ads1159636771[[#This Row],[impressions]]*RANDBETWEEN(8,12)/10,0)</f>
        <v>10668</v>
      </c>
      <c r="AY24">
        <f ca="1">ROUND(T_Facebook_Ads1159636771[[#This Row],[clicks]]*RANDBETWEEN(8,12)/10,0)</f>
        <v>427</v>
      </c>
      <c r="AZ24">
        <f ca="1">T_Facebook_Ads1159636771[[#This Row],[spend]]*RANDBETWEEN(8,12)/10</f>
        <v>203.90400000000002</v>
      </c>
      <c r="BA24">
        <f ca="1">ROUND(T_Facebook_Ads1159636771[[#This Row],[conversions]]*RANDBETWEEN(8,12)/10,0)</f>
        <v>25</v>
      </c>
      <c r="BB24">
        <f ca="1">ROUND(T_Facebook_Ads1159636771[[#This Row],[video_views]]*RANDBETWEEN(8,12)/10,0)</f>
        <v>1221</v>
      </c>
    </row>
    <row r="25" spans="1:54" ht="15.75" thickBot="1" x14ac:dyDescent="0.3">
      <c r="A25" s="3">
        <f t="shared" ca="1" si="0"/>
        <v>45057</v>
      </c>
      <c r="B25" s="4" t="s">
        <v>64</v>
      </c>
      <c r="C25" s="4" t="s">
        <v>65</v>
      </c>
      <c r="D25" s="4" t="s">
        <v>66</v>
      </c>
      <c r="E25" s="4" t="s">
        <v>67</v>
      </c>
      <c r="F25" s="4">
        <f ca="1">ROUND(T_Facebook_Ads[[#This Row],[impressions]]*RANDBETWEEN(8,12)/10,0)</f>
        <v>66110</v>
      </c>
      <c r="G25" s="4">
        <v>267</v>
      </c>
      <c r="H25" s="4">
        <f ca="1">T_Facebook_Ads[[#This Row],[spend]]*RANDBETWEEN(8,12)/10</f>
        <v>88.47</v>
      </c>
      <c r="I25" s="4">
        <f ca="1">ROUND(T_Facebook_Ads[[#This Row],[conversions]]*RANDBETWEEN(8,12)/10,0)</f>
        <v>6</v>
      </c>
      <c r="J25" s="4">
        <f ca="1">ROUND(T_Facebook_Ads[[#This Row],[video_views]]*RANDBETWEEN(8,12)/10,0)</f>
        <v>45111</v>
      </c>
      <c r="K25" s="4">
        <f ca="1">T_Facebook_Ads[[#This Row],[engagement_rate]]*RANDBETWEEN(8,12)/10</f>
        <v>4.3200000000000001E-3</v>
      </c>
      <c r="L25" s="4">
        <f ca="1">ROUND(T_Facebook_Ads[[#This Row],[reach]]*RANDBETWEEN(8,12)/10,0)</f>
        <v>60234</v>
      </c>
      <c r="M25" s="4">
        <f ca="1">T_Facebook_Ads[[#This Row],[frequency]]*RANDBETWEEN(8,12)/10</f>
        <v>1.22</v>
      </c>
      <c r="O25" s="3">
        <f t="shared" ca="1" si="1"/>
        <v>45059</v>
      </c>
      <c r="P25" s="4" t="s">
        <v>88</v>
      </c>
      <c r="Q25" s="4" t="s">
        <v>89</v>
      </c>
      <c r="R25" s="4" t="s">
        <v>90</v>
      </c>
      <c r="S25" s="4" t="s">
        <v>59</v>
      </c>
      <c r="T25" s="4">
        <f ca="1">ROUND(_Google_ads[[#This Row],[impressions]]*RANDBETWEEN(8,12)/10,0)</f>
        <v>100542</v>
      </c>
      <c r="U25" s="4">
        <f ca="1">ROUND(_Google_ads[[#This Row],[clicks]]*RANDBETWEEN(8,12)/10,0)</f>
        <v>490</v>
      </c>
      <c r="V25" s="4">
        <f ca="1">_Google_ads[[#This Row],[cost]]*RANDBETWEEN(8,12)/10</f>
        <v>145.56</v>
      </c>
      <c r="W25" s="4">
        <f ca="1">ROUND(_Google_ads[[#This Row],[conversions]]*RANDBETWEEN(8,12)/10,0)</f>
        <v>11</v>
      </c>
      <c r="X25" s="4">
        <f ca="1">ROUND(_Google_ads[[#This Row],[conversion_value]]*RANDBETWEEN(8,12)/10,0)</f>
        <v>440</v>
      </c>
      <c r="Y25" s="4">
        <f ca="1">_Google_ads[[#This Row],[ctr]]*RANDBETWEEN(8,12)/10</f>
        <v>3.15E-3</v>
      </c>
      <c r="Z25" s="4">
        <f ca="1">_Google_ads[[#This Row],[avg_cpc]]*RANDBETWEEN(8,12)/10</f>
        <v>0.21600000000000003</v>
      </c>
      <c r="AA25" s="4">
        <f ca="1">ROUND(_Google_ads[[#This Row],[quality_score]]*RANDBETWEEN(8,12)/10,0)</f>
        <v>6</v>
      </c>
      <c r="AB25" s="4">
        <f ca="1">_Google_ads[[#This Row],[search_impression_share]]*RANDBETWEEN(8,12)/10</f>
        <v>0.374</v>
      </c>
      <c r="AD25" s="3">
        <f t="shared" ca="1" si="2"/>
        <v>45056</v>
      </c>
      <c r="AE25" s="4" t="s">
        <v>112</v>
      </c>
      <c r="AF25" s="4" t="s">
        <v>113</v>
      </c>
      <c r="AG25" s="4" t="s">
        <v>114</v>
      </c>
      <c r="AH25" s="4" t="s">
        <v>115</v>
      </c>
      <c r="AI25" s="4">
        <f ca="1">ROUND(T_Tiktok_ads[[#This Row],[impressions]]*RANDBETWEEN(8,12)/10,0)</f>
        <v>466814</v>
      </c>
      <c r="AJ25" s="4">
        <f ca="1">ROUND(T_Tiktok_ads[[#This Row],[clicks]]*RANDBETWEEN(8,12)/10,0)</f>
        <v>6857</v>
      </c>
      <c r="AK25" s="4">
        <v>967.8</v>
      </c>
      <c r="AL25" s="4">
        <f ca="1">ROUND(T_Tiktok_ads[[#This Row],[conversions]]*RANDBETWEEN(8,12)/10,0)</f>
        <v>88</v>
      </c>
      <c r="AM25" s="4">
        <f ca="1">ROUND(T_Tiktok_ads[[#This Row],[video_views]]*RANDBETWEEN(8,12)/10,0)</f>
        <v>385481</v>
      </c>
      <c r="AN25" s="4">
        <f ca="1">ROUND(T_Tiktok_ads[[#This Row],[video_watch_25]]*RANDBETWEEN(8,12)/10,0)</f>
        <v>233011</v>
      </c>
      <c r="AO25" s="4">
        <f ca="1">ROUND(T_Tiktok_ads[[#This Row],[video_watch_50]]*RANDBETWEEN(8,12)/10,0)</f>
        <v>187101</v>
      </c>
      <c r="AP25" s="4">
        <f ca="1">ROUND(T_Tiktok_ads[[#This Row],[video_watch_75]]*RANDBETWEEN(8,12)/10,0)</f>
        <v>176681</v>
      </c>
      <c r="AQ25" s="4">
        <f ca="1">ROUND(T_Tiktok_ads[[#This Row],[video_watch_100]]*RANDBETWEEN(8,12)/10,0)</f>
        <v>77965</v>
      </c>
      <c r="AR25" s="4">
        <f ca="1">ROUND(T_Tiktok_ads[[#This Row],[likes]]*RANDBETWEEN(8,12)/10,0)</f>
        <v>13521</v>
      </c>
      <c r="AS25" s="4">
        <f ca="1">ROUND(T_Tiktok_ads[[#This Row],[shares]]*RANDBETWEEN(8,12)/10,0)</f>
        <v>3930</v>
      </c>
      <c r="AT25" s="4">
        <f ca="1">ROUND(T_Tiktok_ads[[#This Row],[comments]]*RANDBETWEEN(8,12)/10,0)</f>
        <v>1345</v>
      </c>
      <c r="AV25" s="5">
        <f t="shared" ca="1" si="3"/>
        <v>45074</v>
      </c>
      <c r="AW25">
        <f t="shared" ca="1" si="4"/>
        <v>1</v>
      </c>
      <c r="AX25">
        <f ca="1">ROUND(T_Facebook_Ads1159636771[[#This Row],[impressions]]*RANDBETWEEN(8,12)/10,0)</f>
        <v>59499</v>
      </c>
      <c r="AY25">
        <f ca="1">ROUND(T_Facebook_Ads1159636771[[#This Row],[clicks]]*RANDBETWEEN(8,12)/10,0)</f>
        <v>214</v>
      </c>
      <c r="AZ25">
        <f ca="1">T_Facebook_Ads1159636771[[#This Row],[spend]]*RANDBETWEEN(8,12)/10</f>
        <v>79.623000000000005</v>
      </c>
      <c r="BA25">
        <f ca="1">ROUND(T_Facebook_Ads1159636771[[#This Row],[conversions]]*RANDBETWEEN(8,12)/10,0)</f>
        <v>7</v>
      </c>
      <c r="BB25">
        <f ca="1">ROUND(T_Facebook_Ads1159636771[[#This Row],[video_views]]*RANDBETWEEN(8,12)/10,0)</f>
        <v>49622</v>
      </c>
    </row>
    <row r="26" spans="1:54" ht="15.75" thickBot="1" x14ac:dyDescent="0.3">
      <c r="A26" s="3">
        <f t="shared" ca="1" si="0"/>
        <v>45069</v>
      </c>
      <c r="B26" s="4" t="s">
        <v>52</v>
      </c>
      <c r="C26" s="4" t="s">
        <v>53</v>
      </c>
      <c r="D26" s="4" t="s">
        <v>54</v>
      </c>
      <c r="E26" s="4" t="s">
        <v>55</v>
      </c>
      <c r="F26" s="4">
        <f ca="1">ROUND(T_Facebook_Ads[[#This Row],[impressions]]*RANDBETWEEN(8,12)/10,0)</f>
        <v>40098</v>
      </c>
      <c r="G26" s="4">
        <v>1012</v>
      </c>
      <c r="H26" s="4">
        <f ca="1">T_Facebook_Ads[[#This Row],[spend]]*RANDBETWEEN(8,12)/10</f>
        <v>127.53</v>
      </c>
      <c r="I26" s="4">
        <f ca="1">ROUND(T_Facebook_Ads[[#This Row],[conversions]]*RANDBETWEEN(8,12)/10,0)</f>
        <v>14</v>
      </c>
      <c r="J26" s="4">
        <f ca="1">ROUND(T_Facebook_Ads[[#This Row],[video_views]]*RANDBETWEEN(8,12)/10,0)</f>
        <v>7476</v>
      </c>
      <c r="K26" s="4">
        <f ca="1">T_Facebook_Ads[[#This Row],[engagement_rate]]*RANDBETWEEN(8,12)/10</f>
        <v>2.4240000000000001E-2</v>
      </c>
      <c r="L26" s="4">
        <f ca="1">ROUND(T_Facebook_Ads[[#This Row],[reach]]*RANDBETWEEN(8,12)/10,0)</f>
        <v>41890</v>
      </c>
      <c r="M26" s="4">
        <f ca="1">T_Facebook_Ads[[#This Row],[frequency]]*RANDBETWEEN(8,12)/10</f>
        <v>1.2</v>
      </c>
      <c r="O26" s="3">
        <f t="shared" ca="1" si="1"/>
        <v>45052</v>
      </c>
      <c r="P26" s="4" t="s">
        <v>76</v>
      </c>
      <c r="Q26" s="4" t="s">
        <v>77</v>
      </c>
      <c r="R26" s="4" t="s">
        <v>78</v>
      </c>
      <c r="S26" s="4" t="s">
        <v>79</v>
      </c>
      <c r="T26" s="4">
        <f ca="1">ROUND(_Google_ads[[#This Row],[impressions]]*RANDBETWEEN(8,12)/10,0)</f>
        <v>25234</v>
      </c>
      <c r="U26" s="4">
        <f ca="1">ROUND(_Google_ads[[#This Row],[clicks]]*RANDBETWEEN(8,12)/10,0)</f>
        <v>1312</v>
      </c>
      <c r="V26" s="4">
        <f ca="1">_Google_ads[[#This Row],[cost]]*RANDBETWEEN(8,12)/10</f>
        <v>250.3</v>
      </c>
      <c r="W26" s="4">
        <f ca="1">ROUND(_Google_ads[[#This Row],[conversions]]*RANDBETWEEN(8,12)/10,0)</f>
        <v>59</v>
      </c>
      <c r="X26" s="4">
        <f ca="1">ROUND(_Google_ads[[#This Row],[conversion_value]]*RANDBETWEEN(8,12)/10,0)</f>
        <v>2205</v>
      </c>
      <c r="Y26" s="4">
        <f ca="1">_Google_ads[[#This Row],[ctr]]*RANDBETWEEN(8,12)/10</f>
        <v>5.2000000000000005E-2</v>
      </c>
      <c r="Z26" s="4">
        <f ca="1">_Google_ads[[#This Row],[avg_cpc]]*RANDBETWEEN(8,12)/10</f>
        <v>0.20899999999999999</v>
      </c>
      <c r="AA26" s="4">
        <f ca="1">ROUND(_Google_ads[[#This Row],[quality_score]]*RANDBETWEEN(8,12)/10,0)</f>
        <v>10</v>
      </c>
      <c r="AB26" s="4">
        <f ca="1">_Google_ads[[#This Row],[search_impression_share]]*RANDBETWEEN(8,12)/10</f>
        <v>1.1040000000000001</v>
      </c>
      <c r="AD26" s="3">
        <f t="shared" ca="1" si="2"/>
        <v>45076</v>
      </c>
      <c r="AE26" s="4" t="s">
        <v>100</v>
      </c>
      <c r="AF26" s="4" t="s">
        <v>101</v>
      </c>
      <c r="AG26" s="4" t="s">
        <v>102</v>
      </c>
      <c r="AH26" s="4" t="s">
        <v>103</v>
      </c>
      <c r="AI26" s="4">
        <f ca="1">ROUND(T_Tiktok_ads[[#This Row],[impressions]]*RANDBETWEEN(8,12)/10,0)</f>
        <v>346814</v>
      </c>
      <c r="AJ26" s="4">
        <f ca="1">ROUND(T_Tiktok_ads[[#This Row],[clicks]]*RANDBETWEEN(8,12)/10,0)</f>
        <v>4234</v>
      </c>
      <c r="AK26" s="4">
        <v>556.70000000000005</v>
      </c>
      <c r="AL26" s="4">
        <f ca="1">ROUND(T_Tiktok_ads[[#This Row],[conversions]]*RANDBETWEEN(8,12)/10,0)</f>
        <v>43</v>
      </c>
      <c r="AM26" s="4">
        <f ca="1">ROUND(T_Tiktok_ads[[#This Row],[video_views]]*RANDBETWEEN(8,12)/10,0)</f>
        <v>211110</v>
      </c>
      <c r="AN26" s="4">
        <f ca="1">ROUND(T_Tiktok_ads[[#This Row],[video_watch_25]]*RANDBETWEEN(8,12)/10,0)</f>
        <v>200580</v>
      </c>
      <c r="AO26" s="4">
        <f ca="1">ROUND(T_Tiktok_ads[[#This Row],[video_watch_50]]*RANDBETWEEN(8,12)/10,0)</f>
        <v>137480</v>
      </c>
      <c r="AP26" s="4">
        <f ca="1">ROUND(T_Tiktok_ads[[#This Row],[video_watch_75]]*RANDBETWEEN(8,12)/10,0)</f>
        <v>92681</v>
      </c>
      <c r="AQ26" s="4">
        <f ca="1">ROUND(T_Tiktok_ads[[#This Row],[video_watch_100]]*RANDBETWEEN(8,12)/10,0)</f>
        <v>56357</v>
      </c>
      <c r="AR26" s="4">
        <f ca="1">ROUND(T_Tiktok_ads[[#This Row],[likes]]*RANDBETWEEN(8,12)/10,0)</f>
        <v>11380</v>
      </c>
      <c r="AS26" s="4">
        <f ca="1">ROUND(T_Tiktok_ads[[#This Row],[shares]]*RANDBETWEEN(8,12)/10,0)</f>
        <v>3347</v>
      </c>
      <c r="AT26" s="4">
        <f ca="1">ROUND(T_Tiktok_ads[[#This Row],[comments]]*RANDBETWEEN(8,12)/10,0)</f>
        <v>656</v>
      </c>
      <c r="AV26" s="5">
        <f t="shared" ca="1" si="3"/>
        <v>45056</v>
      </c>
      <c r="AW26">
        <f t="shared" ca="1" si="4"/>
        <v>8</v>
      </c>
      <c r="AX26">
        <f ca="1">ROUND(T_Facebook_Ads1159636771[[#This Row],[impressions]]*RANDBETWEEN(8,12)/10,0)</f>
        <v>44108</v>
      </c>
      <c r="AY26">
        <f ca="1">ROUND(T_Facebook_Ads1159636771[[#This Row],[clicks]]*RANDBETWEEN(8,12)/10,0)</f>
        <v>1113</v>
      </c>
      <c r="AZ26">
        <f ca="1">T_Facebook_Ads1159636771[[#This Row],[spend]]*RANDBETWEEN(8,12)/10</f>
        <v>140.28299999999999</v>
      </c>
      <c r="BA26">
        <f ca="1">ROUND(T_Facebook_Ads1159636771[[#This Row],[conversions]]*RANDBETWEEN(8,12)/10,0)</f>
        <v>11</v>
      </c>
      <c r="BB26">
        <f ca="1">ROUND(T_Facebook_Ads1159636771[[#This Row],[video_views]]*RANDBETWEEN(8,12)/10,0)</f>
        <v>7476</v>
      </c>
    </row>
    <row r="27" spans="1:54" ht="15.75" thickBot="1" x14ac:dyDescent="0.3">
      <c r="A27" s="3">
        <f t="shared" ca="1" si="0"/>
        <v>45064</v>
      </c>
      <c r="B27" s="4" t="s">
        <v>60</v>
      </c>
      <c r="C27" s="4" t="s">
        <v>61</v>
      </c>
      <c r="D27" s="4" t="s">
        <v>62</v>
      </c>
      <c r="E27" s="4" t="s">
        <v>63</v>
      </c>
      <c r="F27" s="4">
        <f ca="1">ROUND(T_Facebook_Ads[[#This Row],[impressions]]*RANDBETWEEN(8,12)/10,0)</f>
        <v>29165</v>
      </c>
      <c r="G27" s="4">
        <v>1312</v>
      </c>
      <c r="H27" s="4">
        <f ca="1">T_Facebook_Ads[[#This Row],[spend]]*RANDBETWEEN(8,12)/10</f>
        <v>219.78000000000003</v>
      </c>
      <c r="I27" s="4">
        <f ca="1">ROUND(T_Facebook_Ads[[#This Row],[conversions]]*RANDBETWEEN(8,12)/10,0)</f>
        <v>29</v>
      </c>
      <c r="J27" s="4">
        <f ca="1">ROUND(T_Facebook_Ads[[#This Row],[video_views]]*RANDBETWEEN(8,12)/10,0)</f>
        <v>5788</v>
      </c>
      <c r="K27" s="4">
        <f ca="1">T_Facebook_Ads[[#This Row],[engagement_rate]]*RANDBETWEEN(8,12)/10</f>
        <v>3.9599999999999996E-2</v>
      </c>
      <c r="L27" s="4">
        <f ca="1">ROUND(T_Facebook_Ads[[#This Row],[reach]]*RANDBETWEEN(8,12)/10,0)</f>
        <v>27211</v>
      </c>
      <c r="M27" s="4">
        <f ca="1">T_Facebook_Ads[[#This Row],[frequency]]*RANDBETWEEN(8,12)/10</f>
        <v>0.96799999999999997</v>
      </c>
      <c r="O27" s="3">
        <f t="shared" ca="1" si="1"/>
        <v>45052</v>
      </c>
      <c r="P27" s="4" t="s">
        <v>84</v>
      </c>
      <c r="Q27" s="4" t="s">
        <v>85</v>
      </c>
      <c r="R27" s="4" t="s">
        <v>86</v>
      </c>
      <c r="S27" s="4" t="s">
        <v>87</v>
      </c>
      <c r="T27" s="4">
        <f ca="1">ROUND(_Google_ads[[#This Row],[impressions]]*RANDBETWEEN(8,12)/10,0)</f>
        <v>58765</v>
      </c>
      <c r="U27" s="4">
        <f ca="1">ROUND(_Google_ads[[#This Row],[clicks]]*RANDBETWEEN(8,12)/10,0)</f>
        <v>1938</v>
      </c>
      <c r="V27" s="4">
        <f ca="1">_Google_ads[[#This Row],[cost]]*RANDBETWEEN(8,12)/10</f>
        <v>353.44</v>
      </c>
      <c r="W27" s="4">
        <f ca="1">ROUND(_Google_ads[[#This Row],[conversions]]*RANDBETWEEN(8,12)/10,0)</f>
        <v>56</v>
      </c>
      <c r="X27" s="4">
        <f ca="1">ROUND(_Google_ads[[#This Row],[conversion_value]]*RANDBETWEEN(8,12)/10,0)</f>
        <v>3500</v>
      </c>
      <c r="Y27" s="4">
        <f ca="1">_Google_ads[[#This Row],[ctr]]*RANDBETWEEN(8,12)/10</f>
        <v>3.9600000000000003E-2</v>
      </c>
      <c r="Z27" s="4">
        <f ca="1">_Google_ads[[#This Row],[avg_cpc]]*RANDBETWEEN(8,12)/10</f>
        <v>0.19800000000000001</v>
      </c>
      <c r="AA27" s="4">
        <f ca="1">ROUND(_Google_ads[[#This Row],[quality_score]]*RANDBETWEEN(8,12)/10,0)</f>
        <v>6</v>
      </c>
      <c r="AB27" s="4">
        <f ca="1">_Google_ads[[#This Row],[search_impression_share]]*RANDBETWEEN(8,12)/10</f>
        <v>0.54400000000000004</v>
      </c>
      <c r="AD27" s="3">
        <f t="shared" ca="1" si="2"/>
        <v>45053</v>
      </c>
      <c r="AE27" s="4" t="s">
        <v>108</v>
      </c>
      <c r="AF27" s="4" t="s">
        <v>109</v>
      </c>
      <c r="AG27" s="4" t="s">
        <v>110</v>
      </c>
      <c r="AH27" s="4" t="s">
        <v>111</v>
      </c>
      <c r="AI27" s="4">
        <f ca="1">ROUND(T_Tiktok_ads[[#This Row],[impressions]]*RANDBETWEEN(8,12)/10,0)</f>
        <v>197011</v>
      </c>
      <c r="AJ27" s="4">
        <f ca="1">ROUND(T_Tiktok_ads[[#This Row],[clicks]]*RANDBETWEEN(8,12)/10,0)</f>
        <v>3110</v>
      </c>
      <c r="AK27" s="4">
        <v>414.4</v>
      </c>
      <c r="AL27" s="4">
        <f ca="1">ROUND(T_Tiktok_ads[[#This Row],[conversions]]*RANDBETWEEN(8,12)/10,0)</f>
        <v>29</v>
      </c>
      <c r="AM27" s="4">
        <f ca="1">ROUND(T_Tiktok_ads[[#This Row],[video_views]]*RANDBETWEEN(8,12)/10,0)</f>
        <v>138765</v>
      </c>
      <c r="AN27" s="4">
        <f ca="1">ROUND(T_Tiktok_ads[[#This Row],[video_watch_25]]*RANDBETWEEN(8,12)/10,0)</f>
        <v>144724</v>
      </c>
      <c r="AO27" s="4">
        <f ca="1">ROUND(T_Tiktok_ads[[#This Row],[video_watch_50]]*RANDBETWEEN(8,12)/10,0)</f>
        <v>82854</v>
      </c>
      <c r="AP27" s="4">
        <f ca="1">ROUND(T_Tiktok_ads[[#This Row],[video_watch_75]]*RANDBETWEEN(8,12)/10,0)</f>
        <v>60511</v>
      </c>
      <c r="AQ27" s="4">
        <f ca="1">ROUND(T_Tiktok_ads[[#This Row],[video_watch_100]]*RANDBETWEEN(8,12)/10,0)</f>
        <v>40567</v>
      </c>
      <c r="AR27" s="4">
        <f ca="1">ROUND(T_Tiktok_ads[[#This Row],[likes]]*RANDBETWEEN(8,12)/10,0)</f>
        <v>8012</v>
      </c>
      <c r="AS27" s="4">
        <f ca="1">ROUND(T_Tiktok_ads[[#This Row],[shares]]*RANDBETWEEN(8,12)/10,0)</f>
        <v>1981</v>
      </c>
      <c r="AT27" s="4">
        <f ca="1">ROUND(T_Tiktok_ads[[#This Row],[comments]]*RANDBETWEEN(8,12)/10,0)</f>
        <v>628</v>
      </c>
      <c r="AV27" s="5">
        <f t="shared" ca="1" si="3"/>
        <v>45061</v>
      </c>
      <c r="AW27">
        <f t="shared" ca="1" si="4"/>
        <v>3</v>
      </c>
      <c r="AX27">
        <f ca="1">ROUND(T_Facebook_Ads1159636771[[#This Row],[impressions]]*RANDBETWEEN(8,12)/10,0)</f>
        <v>23332</v>
      </c>
      <c r="AY27">
        <f ca="1">ROUND(T_Facebook_Ads1159636771[[#This Row],[clicks]]*RANDBETWEEN(8,12)/10,0)</f>
        <v>1443</v>
      </c>
      <c r="AZ27">
        <f ca="1">T_Facebook_Ads1159636771[[#This Row],[spend]]*RANDBETWEEN(8,12)/10</f>
        <v>241.75800000000004</v>
      </c>
      <c r="BA27">
        <f ca="1">ROUND(T_Facebook_Ads1159636771[[#This Row],[conversions]]*RANDBETWEEN(8,12)/10,0)</f>
        <v>26</v>
      </c>
      <c r="BB27">
        <f ca="1">ROUND(T_Facebook_Ads1159636771[[#This Row],[video_views]]*RANDBETWEEN(8,12)/10,0)</f>
        <v>5788</v>
      </c>
    </row>
    <row r="28" spans="1:54" ht="15.75" thickBot="1" x14ac:dyDescent="0.3">
      <c r="A28" s="3">
        <f t="shared" ca="1" si="0"/>
        <v>45074</v>
      </c>
      <c r="B28" s="4" t="s">
        <v>64</v>
      </c>
      <c r="C28" s="4" t="s">
        <v>65</v>
      </c>
      <c r="D28" s="4" t="s">
        <v>66</v>
      </c>
      <c r="E28" s="4" t="s">
        <v>67</v>
      </c>
      <c r="F28" s="4">
        <f ca="1">ROUND(T_Facebook_Ads[[#This Row],[impressions]]*RANDBETWEEN(8,12)/10,0)</f>
        <v>77135</v>
      </c>
      <c r="G28" s="4">
        <v>253</v>
      </c>
      <c r="H28" s="4">
        <f ca="1">T_Facebook_Ads[[#This Row],[spend]]*RANDBETWEEN(8,12)/10</f>
        <v>93.6</v>
      </c>
      <c r="I28" s="4">
        <f ca="1">ROUND(T_Facebook_Ads[[#This Row],[conversions]]*RANDBETWEEN(8,12)/10,0)</f>
        <v>5</v>
      </c>
      <c r="J28" s="4">
        <f ca="1">ROUND(T_Facebook_Ads[[#This Row],[video_views]]*RANDBETWEEN(8,12)/10,0)</f>
        <v>43411</v>
      </c>
      <c r="K28" s="4">
        <f ca="1">T_Facebook_Ads[[#This Row],[engagement_rate]]*RANDBETWEEN(8,12)/10</f>
        <v>3.96E-3</v>
      </c>
      <c r="L28" s="4">
        <f ca="1">ROUND(T_Facebook_Ads[[#This Row],[reach]]*RANDBETWEEN(8,12)/10,0)</f>
        <v>46765</v>
      </c>
      <c r="M28" s="4">
        <f ca="1">T_Facebook_Ads[[#This Row],[frequency]]*RANDBETWEEN(8,12)/10</f>
        <v>0.96</v>
      </c>
      <c r="O28" s="3">
        <f t="shared" ca="1" si="1"/>
        <v>45077</v>
      </c>
      <c r="P28" s="4" t="s">
        <v>88</v>
      </c>
      <c r="Q28" s="4" t="s">
        <v>89</v>
      </c>
      <c r="R28" s="4" t="s">
        <v>90</v>
      </c>
      <c r="S28" s="4" t="s">
        <v>59</v>
      </c>
      <c r="T28" s="4">
        <f ca="1">ROUND(_Google_ads[[#This Row],[impressions]]*RANDBETWEEN(8,12)/10,0)</f>
        <v>142280</v>
      </c>
      <c r="U28" s="4">
        <f ca="1">ROUND(_Google_ads[[#This Row],[clicks]]*RANDBETWEEN(8,12)/10,0)</f>
        <v>456</v>
      </c>
      <c r="V28" s="4">
        <f ca="1">_Google_ads[[#This Row],[cost]]*RANDBETWEEN(8,12)/10</f>
        <v>100.47999999999999</v>
      </c>
      <c r="W28" s="4">
        <f ca="1">ROUND(_Google_ads[[#This Row],[conversions]]*RANDBETWEEN(8,12)/10,0)</f>
        <v>12</v>
      </c>
      <c r="X28" s="4">
        <f ca="1">ROUND(_Google_ads[[#This Row],[conversion_value]]*RANDBETWEEN(8,12)/10,0)</f>
        <v>540</v>
      </c>
      <c r="Y28" s="4">
        <f ca="1">_Google_ads[[#This Row],[ctr]]*RANDBETWEEN(8,12)/10</f>
        <v>3.5000000000000005E-3</v>
      </c>
      <c r="Z28" s="4">
        <f ca="1">_Google_ads[[#This Row],[avg_cpc]]*RANDBETWEEN(8,12)/10</f>
        <v>0.28000000000000003</v>
      </c>
      <c r="AA28" s="4">
        <f ca="1">ROUND(_Google_ads[[#This Row],[quality_score]]*RANDBETWEEN(8,12)/10,0)</f>
        <v>8</v>
      </c>
      <c r="AB28" s="4">
        <f ca="1">_Google_ads[[#This Row],[search_impression_share]]*RANDBETWEEN(8,12)/10</f>
        <v>0.315</v>
      </c>
      <c r="AD28" s="3">
        <f t="shared" ca="1" si="2"/>
        <v>45047</v>
      </c>
      <c r="AE28" s="4" t="s">
        <v>112</v>
      </c>
      <c r="AF28" s="4" t="s">
        <v>113</v>
      </c>
      <c r="AG28" s="4" t="s">
        <v>114</v>
      </c>
      <c r="AH28" s="4" t="s">
        <v>115</v>
      </c>
      <c r="AI28" s="4">
        <f ca="1">ROUND(T_Tiktok_ads[[#This Row],[impressions]]*RANDBETWEEN(8,12)/10,0)</f>
        <v>401234</v>
      </c>
      <c r="AJ28" s="4">
        <f ca="1">ROUND(T_Tiktok_ads[[#This Row],[clicks]]*RANDBETWEEN(8,12)/10,0)</f>
        <v>7747</v>
      </c>
      <c r="AK28" s="4">
        <v>989.9</v>
      </c>
      <c r="AL28" s="4">
        <f ca="1">ROUND(T_Tiktok_ads[[#This Row],[conversions]]*RANDBETWEEN(8,12)/10,0)</f>
        <v>91</v>
      </c>
      <c r="AM28" s="4">
        <f ca="1">ROUND(T_Tiktok_ads[[#This Row],[video_views]]*RANDBETWEEN(8,12)/10,0)</f>
        <v>332345</v>
      </c>
      <c r="AN28" s="4">
        <f ca="1">ROUND(T_Tiktok_ads[[#This Row],[video_watch_25]]*RANDBETWEEN(8,12)/10,0)</f>
        <v>267890</v>
      </c>
      <c r="AO28" s="4">
        <f ca="1">ROUND(T_Tiktok_ads[[#This Row],[video_watch_50]]*RANDBETWEEN(8,12)/10,0)</f>
        <v>257480</v>
      </c>
      <c r="AP28" s="4">
        <f ca="1">ROUND(T_Tiktok_ads[[#This Row],[video_watch_75]]*RANDBETWEEN(8,12)/10,0)</f>
        <v>151234</v>
      </c>
      <c r="AQ28" s="4">
        <f ca="1">ROUND(T_Tiktok_ads[[#This Row],[video_watch_100]]*RANDBETWEEN(8,12)/10,0)</f>
        <v>79654</v>
      </c>
      <c r="AR28" s="4">
        <f ca="1">ROUND(T_Tiktok_ads[[#This Row],[likes]]*RANDBETWEEN(8,12)/10,0)</f>
        <v>18957</v>
      </c>
      <c r="AS28" s="4">
        <f ca="1">ROUND(T_Tiktok_ads[[#This Row],[shares]]*RANDBETWEEN(8,12)/10,0)</f>
        <v>5012</v>
      </c>
      <c r="AT28" s="4">
        <f ca="1">ROUND(T_Tiktok_ads[[#This Row],[comments]]*RANDBETWEEN(8,12)/10,0)</f>
        <v>1654</v>
      </c>
      <c r="AV28" s="5">
        <f t="shared" ca="1" si="3"/>
        <v>45057</v>
      </c>
      <c r="AW28">
        <f t="shared" ca="1" si="4"/>
        <v>7</v>
      </c>
      <c r="AX28">
        <f ca="1">ROUND(T_Facebook_Ads1159636771[[#This Row],[impressions]]*RANDBETWEEN(8,12)/10,0)</f>
        <v>92562</v>
      </c>
      <c r="AY28">
        <f ca="1">ROUND(T_Facebook_Ads1159636771[[#This Row],[clicks]]*RANDBETWEEN(8,12)/10,0)</f>
        <v>253</v>
      </c>
      <c r="AZ28">
        <f ca="1">T_Facebook_Ads1159636771[[#This Row],[spend]]*RANDBETWEEN(8,12)/10</f>
        <v>112.31999999999998</v>
      </c>
      <c r="BA28">
        <f ca="1">ROUND(T_Facebook_Ads1159636771[[#This Row],[conversions]]*RANDBETWEEN(8,12)/10,0)</f>
        <v>6</v>
      </c>
      <c r="BB28">
        <f ca="1">ROUND(T_Facebook_Ads1159636771[[#This Row],[video_views]]*RANDBETWEEN(8,12)/10,0)</f>
        <v>43411</v>
      </c>
    </row>
    <row r="29" spans="1:54" ht="15.75" thickBot="1" x14ac:dyDescent="0.3">
      <c r="A29" s="3">
        <f t="shared" ca="1" si="0"/>
        <v>45073</v>
      </c>
      <c r="B29" s="4" t="s">
        <v>52</v>
      </c>
      <c r="C29" s="4" t="s">
        <v>53</v>
      </c>
      <c r="D29" s="4" t="s">
        <v>54</v>
      </c>
      <c r="E29" s="4" t="s">
        <v>55</v>
      </c>
      <c r="F29" s="4">
        <f ca="1">ROUND(T_Facebook_Ads[[#This Row],[impressions]]*RANDBETWEEN(8,12)/10,0)</f>
        <v>53424</v>
      </c>
      <c r="G29" s="4">
        <v>978</v>
      </c>
      <c r="H29" s="4">
        <f ca="1">T_Facebook_Ads[[#This Row],[spend]]*RANDBETWEEN(8,12)/10</f>
        <v>124.02000000000001</v>
      </c>
      <c r="I29" s="4">
        <f ca="1">ROUND(T_Facebook_Ads[[#This Row],[conversions]]*RANDBETWEEN(8,12)/10,0)</f>
        <v>17</v>
      </c>
      <c r="J29" s="4">
        <f ca="1">ROUND(T_Facebook_Ads[[#This Row],[video_views]]*RANDBETWEEN(8,12)/10,0)</f>
        <v>8945</v>
      </c>
      <c r="K29" s="4">
        <f ca="1">T_Facebook_Ads[[#This Row],[engagement_rate]]*RANDBETWEEN(8,12)/10</f>
        <v>2.2109999999999998E-2</v>
      </c>
      <c r="L29" s="4">
        <f ca="1">ROUND(T_Facebook_Ads[[#This Row],[reach]]*RANDBETWEEN(8,12)/10,0)</f>
        <v>32365</v>
      </c>
      <c r="M29" s="4">
        <f ca="1">T_Facebook_Ads[[#This Row],[frequency]]*RANDBETWEEN(8,12)/10</f>
        <v>0.96</v>
      </c>
      <c r="O29" s="3">
        <f t="shared" ca="1" si="1"/>
        <v>45067</v>
      </c>
      <c r="P29" s="4" t="s">
        <v>76</v>
      </c>
      <c r="Q29" s="4" t="s">
        <v>77</v>
      </c>
      <c r="R29" s="4" t="s">
        <v>78</v>
      </c>
      <c r="S29" s="4" t="s">
        <v>79</v>
      </c>
      <c r="T29" s="4">
        <f ca="1">ROUND(_Google_ads[[#This Row],[impressions]]*RANDBETWEEN(8,12)/10,0)</f>
        <v>24678</v>
      </c>
      <c r="U29" s="4">
        <f ca="1">ROUND(_Google_ads[[#This Row],[clicks]]*RANDBETWEEN(8,12)/10,0)</f>
        <v>1289</v>
      </c>
      <c r="V29" s="4">
        <f ca="1">_Google_ads[[#This Row],[cost]]*RANDBETWEEN(8,12)/10</f>
        <v>221.31</v>
      </c>
      <c r="W29" s="4">
        <f ca="1">ROUND(_Google_ads[[#This Row],[conversions]]*RANDBETWEEN(8,12)/10,0)</f>
        <v>38</v>
      </c>
      <c r="X29" s="4">
        <f ca="1">ROUND(_Google_ads[[#This Row],[conversion_value]]*RANDBETWEEN(8,12)/10,0)</f>
        <v>2640</v>
      </c>
      <c r="Y29" s="4">
        <f ca="1">_Google_ads[[#This Row],[ctr]]*RANDBETWEEN(8,12)/10</f>
        <v>6.2640000000000001E-2</v>
      </c>
      <c r="Z29" s="4">
        <f ca="1">_Google_ads[[#This Row],[avg_cpc]]*RANDBETWEEN(8,12)/10</f>
        <v>0.152</v>
      </c>
      <c r="AA29" s="4">
        <f ca="1">ROUND(_Google_ads[[#This Row],[quality_score]]*RANDBETWEEN(8,12)/10,0)</f>
        <v>7</v>
      </c>
      <c r="AB29" s="4">
        <f ca="1">_Google_ads[[#This Row],[search_impression_share]]*RANDBETWEEN(8,12)/10</f>
        <v>0.90999999999999992</v>
      </c>
      <c r="AD29" s="3">
        <f t="shared" ca="1" si="2"/>
        <v>45076</v>
      </c>
      <c r="AE29" s="4" t="s">
        <v>100</v>
      </c>
      <c r="AF29" s="4" t="s">
        <v>101</v>
      </c>
      <c r="AG29" s="4" t="s">
        <v>102</v>
      </c>
      <c r="AH29" s="4" t="s">
        <v>103</v>
      </c>
      <c r="AI29" s="4">
        <f ca="1">ROUND(T_Tiktok_ads[[#This Row],[impressions]]*RANDBETWEEN(8,12)/10,0)</f>
        <v>204987</v>
      </c>
      <c r="AJ29" s="4">
        <f ca="1">ROUND(T_Tiktok_ads[[#This Row],[clicks]]*RANDBETWEEN(8,12)/10,0)</f>
        <v>4441</v>
      </c>
      <c r="AK29" s="4">
        <v>490.5</v>
      </c>
      <c r="AL29" s="4">
        <f ca="1">ROUND(T_Tiktok_ads[[#This Row],[conversions]]*RANDBETWEEN(8,12)/10,0)</f>
        <v>38</v>
      </c>
      <c r="AM29" s="4">
        <f ca="1">ROUND(T_Tiktok_ads[[#This Row],[video_views]]*RANDBETWEEN(8,12)/10,0)</f>
        <v>230157</v>
      </c>
      <c r="AN29" s="4">
        <f ca="1">ROUND(T_Tiktok_ads[[#This Row],[video_watch_25]]*RANDBETWEEN(8,12)/10,0)</f>
        <v>196280</v>
      </c>
      <c r="AO29" s="4">
        <f ca="1">ROUND(T_Tiktok_ads[[#This Row],[video_watch_50]]*RANDBETWEEN(8,12)/10,0)</f>
        <v>92310</v>
      </c>
      <c r="AP29" s="4">
        <f ca="1">ROUND(T_Tiktok_ads[[#This Row],[video_watch_75]]*RANDBETWEEN(8,12)/10,0)</f>
        <v>55654</v>
      </c>
      <c r="AQ29" s="4">
        <f ca="1">ROUND(T_Tiktok_ads[[#This Row],[video_watch_100]]*RANDBETWEEN(8,12)/10,0)</f>
        <v>55880</v>
      </c>
      <c r="AR29" s="4">
        <f ca="1">ROUND(T_Tiktok_ads[[#This Row],[likes]]*RANDBETWEEN(8,12)/10,0)</f>
        <v>10948</v>
      </c>
      <c r="AS29" s="4">
        <f ca="1">ROUND(T_Tiktok_ads[[#This Row],[shares]]*RANDBETWEEN(8,12)/10,0)</f>
        <v>2908</v>
      </c>
      <c r="AT29" s="4">
        <f ca="1">ROUND(T_Tiktok_ads[[#This Row],[comments]]*RANDBETWEEN(8,12)/10,0)</f>
        <v>661</v>
      </c>
      <c r="AV29" s="5">
        <f t="shared" ca="1" si="3"/>
        <v>45059</v>
      </c>
      <c r="AW29">
        <f t="shared" ca="1" si="4"/>
        <v>5</v>
      </c>
      <c r="AX29">
        <f ca="1">ROUND(T_Facebook_Ads1159636771[[#This Row],[impressions]]*RANDBETWEEN(8,12)/10,0)</f>
        <v>42739</v>
      </c>
      <c r="AY29">
        <f ca="1">ROUND(T_Facebook_Ads1159636771[[#This Row],[clicks]]*RANDBETWEEN(8,12)/10,0)</f>
        <v>1076</v>
      </c>
      <c r="AZ29">
        <f ca="1">T_Facebook_Ads1159636771[[#This Row],[spend]]*RANDBETWEEN(8,12)/10</f>
        <v>99.216000000000008</v>
      </c>
      <c r="BA29">
        <f ca="1">ROUND(T_Facebook_Ads1159636771[[#This Row],[conversions]]*RANDBETWEEN(8,12)/10,0)</f>
        <v>20</v>
      </c>
      <c r="BB29">
        <f ca="1">ROUND(T_Facebook_Ads1159636771[[#This Row],[video_views]]*RANDBETWEEN(8,12)/10,0)</f>
        <v>7156</v>
      </c>
    </row>
    <row r="30" spans="1:54" ht="15.75" thickBot="1" x14ac:dyDescent="0.3">
      <c r="A30" s="3">
        <f t="shared" ca="1" si="0"/>
        <v>45062</v>
      </c>
      <c r="B30" s="4" t="s">
        <v>56</v>
      </c>
      <c r="C30" s="4" t="s">
        <v>57</v>
      </c>
      <c r="D30" s="4" t="s">
        <v>58</v>
      </c>
      <c r="E30" s="4" t="s">
        <v>59</v>
      </c>
      <c r="F30" s="4">
        <f ca="1">ROUND(T_Facebook_Ads[[#This Row],[impressions]]*RANDBETWEEN(8,12)/10,0)</f>
        <v>11031</v>
      </c>
      <c r="G30" s="4">
        <v>645</v>
      </c>
      <c r="H30" s="4">
        <f ca="1">T_Facebook_Ads[[#This Row],[spend]]*RANDBETWEEN(8,12)/10</f>
        <v>192.95999999999998</v>
      </c>
      <c r="I30" s="4">
        <f ca="1">ROUND(T_Facebook_Ads[[#This Row],[conversions]]*RANDBETWEEN(8,12)/10,0)</f>
        <v>37</v>
      </c>
      <c r="J30" s="4">
        <f ca="1">ROUND(T_Facebook_Ads[[#This Row],[video_views]]*RANDBETWEEN(8,12)/10,0)</f>
        <v>1638</v>
      </c>
      <c r="K30" s="4">
        <f ca="1">T_Facebook_Ads[[#This Row],[engagement_rate]]*RANDBETWEEN(8,12)/10</f>
        <v>5.1480000000000005E-2</v>
      </c>
      <c r="L30" s="4">
        <f ca="1">ROUND(T_Facebook_Ads[[#This Row],[reach]]*RANDBETWEEN(8,12)/10,0)</f>
        <v>8631</v>
      </c>
      <c r="M30" s="4">
        <f ca="1">T_Facebook_Ads[[#This Row],[frequency]]*RANDBETWEEN(8,12)/10</f>
        <v>1.536</v>
      </c>
      <c r="O30" s="3">
        <f t="shared" ca="1" si="1"/>
        <v>45076</v>
      </c>
      <c r="P30" s="4" t="s">
        <v>80</v>
      </c>
      <c r="Q30" s="4" t="s">
        <v>81</v>
      </c>
      <c r="R30" s="4" t="s">
        <v>82</v>
      </c>
      <c r="S30" s="4" t="s">
        <v>83</v>
      </c>
      <c r="T30" s="4">
        <f ca="1">ROUND(_Google_ads[[#This Row],[impressions]]*RANDBETWEEN(8,12)/10,0)</f>
        <v>54281</v>
      </c>
      <c r="U30" s="4">
        <f ca="1">ROUND(_Google_ads[[#This Row],[clicks]]*RANDBETWEEN(8,12)/10,0)</f>
        <v>991</v>
      </c>
      <c r="V30" s="4">
        <f ca="1">_Google_ads[[#This Row],[cost]]*RANDBETWEEN(8,12)/10</f>
        <v>463.12</v>
      </c>
      <c r="W30" s="4">
        <f ca="1">ROUND(_Google_ads[[#This Row],[conversions]]*RANDBETWEEN(8,12)/10,0)</f>
        <v>18</v>
      </c>
      <c r="X30" s="4">
        <f ca="1">ROUND(_Google_ads[[#This Row],[conversion_value]]*RANDBETWEEN(8,12)/10,0)</f>
        <v>1265</v>
      </c>
      <c r="Y30" s="4">
        <f ca="1">_Google_ads[[#This Row],[ctr]]*RANDBETWEEN(8,12)/10</f>
        <v>1.7910000000000002E-2</v>
      </c>
      <c r="Z30" s="4">
        <f ca="1">_Google_ads[[#This Row],[avg_cpc]]*RANDBETWEEN(8,12)/10</f>
        <v>0.64</v>
      </c>
      <c r="AA30" s="4">
        <f ca="1">ROUND(_Google_ads[[#This Row],[quality_score]]*RANDBETWEEN(8,12)/10,0)</f>
        <v>6</v>
      </c>
      <c r="AB30" s="4">
        <f ca="1">_Google_ads[[#This Row],[search_impression_share]]*RANDBETWEEN(8,12)/10</f>
        <v>0.45</v>
      </c>
      <c r="AD30" s="3">
        <f t="shared" ca="1" si="2"/>
        <v>45061</v>
      </c>
      <c r="AE30" s="4" t="s">
        <v>104</v>
      </c>
      <c r="AF30" s="4" t="s">
        <v>105</v>
      </c>
      <c r="AG30" s="4" t="s">
        <v>106</v>
      </c>
      <c r="AH30" s="4" t="s">
        <v>107</v>
      </c>
      <c r="AI30" s="4">
        <f ca="1">ROUND(T_Tiktok_ads[[#This Row],[impressions]]*RANDBETWEEN(8,12)/10,0)</f>
        <v>116542</v>
      </c>
      <c r="AJ30" s="4">
        <f ca="1">ROUND(T_Tiktok_ads[[#This Row],[clicks]]*RANDBETWEEN(8,12)/10,0)</f>
        <v>3068</v>
      </c>
      <c r="AK30" s="4">
        <v>756.7</v>
      </c>
      <c r="AL30" s="4">
        <f ca="1">ROUND(T_Tiktok_ads[[#This Row],[conversions]]*RANDBETWEEN(8,12)/10,0)</f>
        <v>76</v>
      </c>
      <c r="AM30" s="4">
        <f ca="1">ROUND(T_Tiktok_ads[[#This Row],[video_views]]*RANDBETWEEN(8,12)/10,0)</f>
        <v>111357</v>
      </c>
      <c r="AN30" s="4">
        <f ca="1">ROUND(T_Tiktok_ads[[#This Row],[video_watch_25]]*RANDBETWEEN(8,12)/10,0)</f>
        <v>59654</v>
      </c>
      <c r="AO30" s="4">
        <f ca="1">ROUND(T_Tiktok_ads[[#This Row],[video_watch_50]]*RANDBETWEEN(8,12)/10,0)</f>
        <v>40187</v>
      </c>
      <c r="AP30" s="4">
        <f ca="1">ROUND(T_Tiktok_ads[[#This Row],[video_watch_75]]*RANDBETWEEN(8,12)/10,0)</f>
        <v>34101</v>
      </c>
      <c r="AQ30" s="4">
        <f ca="1">ROUND(T_Tiktok_ads[[#This Row],[video_watch_100]]*RANDBETWEEN(8,12)/10,0)</f>
        <v>27757</v>
      </c>
      <c r="AR30" s="4">
        <f ca="1">ROUND(T_Tiktok_ads[[#This Row],[likes]]*RANDBETWEEN(8,12)/10,0)</f>
        <v>5012</v>
      </c>
      <c r="AS30" s="4">
        <f ca="1">ROUND(T_Tiktok_ads[[#This Row],[shares]]*RANDBETWEEN(8,12)/10,0)</f>
        <v>1281</v>
      </c>
      <c r="AT30" s="4">
        <f ca="1">ROUND(T_Tiktok_ads[[#This Row],[comments]]*RANDBETWEEN(8,12)/10,0)</f>
        <v>240</v>
      </c>
      <c r="AV30" s="5">
        <f t="shared" ca="1" si="3"/>
        <v>45070</v>
      </c>
      <c r="AW30">
        <f t="shared" ca="1" si="4"/>
        <v>6</v>
      </c>
      <c r="AX30">
        <f ca="1">ROUND(T_Facebook_Ads1159636771[[#This Row],[impressions]]*RANDBETWEEN(8,12)/10,0)</f>
        <v>12134</v>
      </c>
      <c r="AY30">
        <f ca="1">ROUND(T_Facebook_Ads1159636771[[#This Row],[clicks]]*RANDBETWEEN(8,12)/10,0)</f>
        <v>774</v>
      </c>
      <c r="AZ30">
        <f ca="1">T_Facebook_Ads1159636771[[#This Row],[spend]]*RANDBETWEEN(8,12)/10</f>
        <v>154.36799999999999</v>
      </c>
      <c r="BA30">
        <f ca="1">ROUND(T_Facebook_Ads1159636771[[#This Row],[conversions]]*RANDBETWEEN(8,12)/10,0)</f>
        <v>44</v>
      </c>
      <c r="BB30">
        <f ca="1">ROUND(T_Facebook_Ads1159636771[[#This Row],[video_views]]*RANDBETWEEN(8,12)/10,0)</f>
        <v>1638</v>
      </c>
    </row>
    <row r="31" spans="1:54" ht="15.75" thickBot="1" x14ac:dyDescent="0.3">
      <c r="A31" s="3">
        <f t="shared" ca="1" si="0"/>
        <v>45070</v>
      </c>
      <c r="B31" s="4" t="s">
        <v>60</v>
      </c>
      <c r="C31" s="4" t="s">
        <v>61</v>
      </c>
      <c r="D31" s="4" t="s">
        <v>62</v>
      </c>
      <c r="E31" s="4" t="s">
        <v>63</v>
      </c>
      <c r="F31" s="4">
        <f ca="1">ROUND(T_Facebook_Ads[[#This Row],[impressions]]*RANDBETWEEN(8,12)/10,0)</f>
        <v>38456</v>
      </c>
      <c r="G31" s="4">
        <v>1423</v>
      </c>
      <c r="H31" s="4">
        <f ca="1">T_Facebook_Ads[[#This Row],[spend]]*RANDBETWEEN(8,12)/10</f>
        <v>261</v>
      </c>
      <c r="I31" s="4">
        <f ca="1">ROUND(T_Facebook_Ads[[#This Row],[conversions]]*RANDBETWEEN(8,12)/10,0)</f>
        <v>35</v>
      </c>
      <c r="J31" s="4">
        <f ca="1">ROUND(T_Facebook_Ads[[#This Row],[video_views]]*RANDBETWEEN(8,12)/10,0)</f>
        <v>5635</v>
      </c>
      <c r="K31" s="4">
        <f ca="1">T_Facebook_Ads[[#This Row],[engagement_rate]]*RANDBETWEEN(8,12)/10</f>
        <v>2.9599999999999998E-2</v>
      </c>
      <c r="L31" s="4">
        <f ca="1">ROUND(T_Facebook_Ads[[#This Row],[reach]]*RANDBETWEEN(8,12)/10,0)</f>
        <v>37481</v>
      </c>
      <c r="M31" s="4">
        <f ca="1">T_Facebook_Ads[[#This Row],[frequency]]*RANDBETWEEN(8,12)/10</f>
        <v>1.107</v>
      </c>
      <c r="O31" s="3">
        <f t="shared" ca="1" si="1"/>
        <v>45074</v>
      </c>
      <c r="P31" s="4" t="s">
        <v>84</v>
      </c>
      <c r="Q31" s="4" t="s">
        <v>85</v>
      </c>
      <c r="R31" s="4" t="s">
        <v>86</v>
      </c>
      <c r="S31" s="4" t="s">
        <v>87</v>
      </c>
      <c r="T31" s="4">
        <f ca="1">ROUND(_Google_ads[[#This Row],[impressions]]*RANDBETWEEN(8,12)/10,0)</f>
        <v>75791</v>
      </c>
      <c r="U31" s="4">
        <f ca="1">ROUND(_Google_ads[[#This Row],[clicks]]*RANDBETWEEN(8,12)/10,0)</f>
        <v>2040</v>
      </c>
      <c r="V31" s="4">
        <f ca="1">_Google_ads[[#This Row],[cost]]*RANDBETWEEN(8,12)/10</f>
        <v>372.78</v>
      </c>
      <c r="W31" s="4">
        <f ca="1">ROUND(_Google_ads[[#This Row],[conversions]]*RANDBETWEEN(8,12)/10,0)</f>
        <v>51</v>
      </c>
      <c r="X31" s="4">
        <f ca="1">ROUND(_Google_ads[[#This Row],[conversion_value]]*RANDBETWEEN(8,12)/10,0)</f>
        <v>3840</v>
      </c>
      <c r="Y31" s="4">
        <f ca="1">_Google_ads[[#This Row],[ctr]]*RANDBETWEEN(8,12)/10</f>
        <v>2.9609999999999997E-2</v>
      </c>
      <c r="Z31" s="4">
        <f ca="1">_Google_ads[[#This Row],[avg_cpc]]*RANDBETWEEN(8,12)/10</f>
        <v>0.21600000000000003</v>
      </c>
      <c r="AA31" s="4">
        <f ca="1">ROUND(_Google_ads[[#This Row],[quality_score]]*RANDBETWEEN(8,12)/10,0)</f>
        <v>8</v>
      </c>
      <c r="AB31" s="4">
        <f ca="1">_Google_ads[[#This Row],[search_impression_share]]*RANDBETWEEN(8,12)/10</f>
        <v>0.67</v>
      </c>
      <c r="AD31" s="3">
        <f t="shared" ca="1" si="2"/>
        <v>45073</v>
      </c>
      <c r="AE31" s="4" t="s">
        <v>108</v>
      </c>
      <c r="AF31" s="4" t="s">
        <v>109</v>
      </c>
      <c r="AG31" s="4" t="s">
        <v>110</v>
      </c>
      <c r="AH31" s="4" t="s">
        <v>111</v>
      </c>
      <c r="AI31" s="4">
        <f ca="1">ROUND(T_Tiktok_ads[[#This Row],[impressions]]*RANDBETWEEN(8,12)/10,0)</f>
        <v>245802</v>
      </c>
      <c r="AJ31" s="4">
        <f ca="1">ROUND(T_Tiktok_ads[[#This Row],[clicks]]*RANDBETWEEN(8,12)/10,0)</f>
        <v>2854</v>
      </c>
      <c r="AK31" s="4">
        <v>427.7</v>
      </c>
      <c r="AL31" s="4">
        <f ca="1">ROUND(T_Tiktok_ads[[#This Row],[conversions]]*RANDBETWEEN(8,12)/10,0)</f>
        <v>33</v>
      </c>
      <c r="AM31" s="4">
        <f ca="1">ROUND(T_Tiktok_ads[[#This Row],[video_views]]*RANDBETWEEN(8,12)/10,0)</f>
        <v>143121</v>
      </c>
      <c r="AN31" s="4">
        <f ca="1">ROUND(T_Tiktok_ads[[#This Row],[video_watch_25]]*RANDBETWEEN(8,12)/10,0)</f>
        <v>148757</v>
      </c>
      <c r="AO31" s="4">
        <f ca="1">ROUND(T_Tiktok_ads[[#This Row],[video_watch_50]]*RANDBETWEEN(8,12)/10,0)</f>
        <v>117468</v>
      </c>
      <c r="AP31" s="4">
        <f ca="1">ROUND(T_Tiktok_ads[[#This Row],[video_watch_75]]*RANDBETWEEN(8,12)/10,0)</f>
        <v>76157</v>
      </c>
      <c r="AQ31" s="4">
        <f ca="1">ROUND(T_Tiktok_ads[[#This Row],[video_watch_100]]*RANDBETWEEN(8,12)/10,0)</f>
        <v>41789</v>
      </c>
      <c r="AR31" s="4">
        <f ca="1">ROUND(T_Tiktok_ads[[#This Row],[likes]]*RANDBETWEEN(8,12)/10,0)</f>
        <v>9881</v>
      </c>
      <c r="AS31" s="4">
        <f ca="1">ROUND(T_Tiktok_ads[[#This Row],[shares]]*RANDBETWEEN(8,12)/10,0)</f>
        <v>2720</v>
      </c>
      <c r="AT31" s="4">
        <f ca="1">ROUND(T_Tiktok_ads[[#This Row],[comments]]*RANDBETWEEN(8,12)/10,0)</f>
        <v>427</v>
      </c>
      <c r="AV31" s="5">
        <f t="shared" ca="1" si="3"/>
        <v>45063</v>
      </c>
      <c r="AW31">
        <f t="shared" ca="1" si="4"/>
        <v>7</v>
      </c>
      <c r="AX31">
        <f ca="1">ROUND(T_Facebook_Ads1159636771[[#This Row],[impressions]]*RANDBETWEEN(8,12)/10,0)</f>
        <v>46147</v>
      </c>
      <c r="AY31">
        <f ca="1">ROUND(T_Facebook_Ads1159636771[[#This Row],[clicks]]*RANDBETWEEN(8,12)/10,0)</f>
        <v>1281</v>
      </c>
      <c r="AZ31">
        <f ca="1">T_Facebook_Ads1159636771[[#This Row],[spend]]*RANDBETWEEN(8,12)/10</f>
        <v>313.2</v>
      </c>
      <c r="BA31">
        <f ca="1">ROUND(T_Facebook_Ads1159636771[[#This Row],[conversions]]*RANDBETWEEN(8,12)/10,0)</f>
        <v>32</v>
      </c>
      <c r="BB31">
        <f ca="1">ROUND(T_Facebook_Ads1159636771[[#This Row],[video_views]]*RANDBETWEEN(8,12)/10,0)</f>
        <v>6762</v>
      </c>
    </row>
    <row r="32" spans="1:54" ht="15.75" thickBot="1" x14ac:dyDescent="0.3">
      <c r="A32" s="3">
        <f t="shared" ca="1" si="0"/>
        <v>45050</v>
      </c>
      <c r="B32" s="4" t="s">
        <v>52</v>
      </c>
      <c r="C32" s="4" t="s">
        <v>53</v>
      </c>
      <c r="D32" s="4" t="s">
        <v>54</v>
      </c>
      <c r="E32" s="4" t="s">
        <v>55</v>
      </c>
      <c r="F32" s="4">
        <f ca="1">ROUND(T_Facebook_Ads[[#This Row],[impressions]]*RANDBETWEEN(8,12)/10,0)</f>
        <v>46911</v>
      </c>
      <c r="G32" s="4">
        <v>1089</v>
      </c>
      <c r="H32" s="4">
        <f ca="1">T_Facebook_Ads[[#This Row],[spend]]*RANDBETWEEN(8,12)/10</f>
        <v>163.45999999999998</v>
      </c>
      <c r="I32" s="4">
        <f ca="1">ROUND(T_Facebook_Ads[[#This Row],[conversions]]*RANDBETWEEN(8,12)/10,0)</f>
        <v>19</v>
      </c>
      <c r="J32" s="4">
        <f ca="1">ROUND(T_Facebook_Ads[[#This Row],[video_views]]*RANDBETWEEN(8,12)/10,0)</f>
        <v>8610</v>
      </c>
      <c r="K32" s="4">
        <f ca="1">T_Facebook_Ads[[#This Row],[engagement_rate]]*RANDBETWEEN(8,12)/10</f>
        <v>2.0899999999999998E-2</v>
      </c>
      <c r="L32" s="4">
        <f ca="1">ROUND(T_Facebook_Ads[[#This Row],[reach]]*RANDBETWEEN(8,12)/10,0)</f>
        <v>34587</v>
      </c>
      <c r="M32" s="4">
        <f ca="1">T_Facebook_Ads[[#This Row],[frequency]]*RANDBETWEEN(8,12)/10</f>
        <v>1.21</v>
      </c>
      <c r="O32" s="3">
        <f t="shared" ca="1" si="1"/>
        <v>45070</v>
      </c>
      <c r="P32" s="4" t="s">
        <v>76</v>
      </c>
      <c r="Q32" s="4" t="s">
        <v>77</v>
      </c>
      <c r="R32" s="4" t="s">
        <v>78</v>
      </c>
      <c r="S32" s="4" t="s">
        <v>79</v>
      </c>
      <c r="T32" s="4">
        <f ca="1">ROUND(_Google_ads[[#This Row],[impressions]]*RANDBETWEEN(8,12)/10,0)</f>
        <v>31481</v>
      </c>
      <c r="U32" s="4">
        <f ca="1">ROUND(_Google_ads[[#This Row],[clicks]]*RANDBETWEEN(8,12)/10,0)</f>
        <v>1378</v>
      </c>
      <c r="V32" s="4">
        <f ca="1">_Google_ads[[#This Row],[cost]]*RANDBETWEEN(8,12)/10</f>
        <v>263.39999999999998</v>
      </c>
      <c r="W32" s="4">
        <f ca="1">ROUND(_Google_ads[[#This Row],[conversions]]*RANDBETWEEN(8,12)/10,0)</f>
        <v>57</v>
      </c>
      <c r="X32" s="4">
        <f ca="1">ROUND(_Google_ads[[#This Row],[conversion_value]]*RANDBETWEEN(8,12)/10,0)</f>
        <v>2340</v>
      </c>
      <c r="Y32" s="4">
        <f ca="1">_Google_ads[[#This Row],[ctr]]*RANDBETWEEN(8,12)/10</f>
        <v>4.1999999999999996E-2</v>
      </c>
      <c r="Z32" s="4">
        <f ca="1">_Google_ads[[#This Row],[avg_cpc]]*RANDBETWEEN(8,12)/10</f>
        <v>0.20899999999999999</v>
      </c>
      <c r="AA32" s="4">
        <f ca="1">ROUND(_Google_ads[[#This Row],[quality_score]]*RANDBETWEEN(8,12)/10,0)</f>
        <v>7</v>
      </c>
      <c r="AB32" s="4">
        <f ca="1">_Google_ads[[#This Row],[search_impression_share]]*RANDBETWEEN(8,12)/10</f>
        <v>0.92000000000000015</v>
      </c>
      <c r="AD32" s="3">
        <f t="shared" ca="1" si="2"/>
        <v>45075</v>
      </c>
      <c r="AE32" s="4" t="s">
        <v>100</v>
      </c>
      <c r="AF32" s="4" t="s">
        <v>101</v>
      </c>
      <c r="AG32" s="4" t="s">
        <v>102</v>
      </c>
      <c r="AH32" s="4" t="s">
        <v>103</v>
      </c>
      <c r="AI32" s="4">
        <f ca="1">ROUND(T_Tiktok_ads[[#This Row],[impressions]]*RANDBETWEEN(8,12)/10,0)</f>
        <v>223121</v>
      </c>
      <c r="AJ32" s="4">
        <f ca="1">ROUND(T_Tiktok_ads[[#This Row],[clicks]]*RANDBETWEEN(8,12)/10,0)</f>
        <v>4123</v>
      </c>
      <c r="AK32" s="4">
        <v>523.6</v>
      </c>
      <c r="AL32" s="4">
        <f ca="1">ROUND(T_Tiktok_ads[[#This Row],[conversions]]*RANDBETWEEN(8,12)/10,0)</f>
        <v>42</v>
      </c>
      <c r="AM32" s="4">
        <f ca="1">ROUND(T_Tiktok_ads[[#This Row],[video_views]]*RANDBETWEEN(8,12)/10,0)</f>
        <v>258024</v>
      </c>
      <c r="AN32" s="4">
        <f ca="1">ROUND(T_Tiktok_ads[[#This Row],[video_watch_25]]*RANDBETWEEN(8,12)/10,0)</f>
        <v>182345</v>
      </c>
      <c r="AO32" s="4">
        <f ca="1">ROUND(T_Tiktok_ads[[#This Row],[video_watch_50]]*RANDBETWEEN(8,12)/10,0)</f>
        <v>126024</v>
      </c>
      <c r="AP32" s="4">
        <f ca="1">ROUND(T_Tiktok_ads[[#This Row],[video_watch_75]]*RANDBETWEEN(8,12)/10,0)</f>
        <v>84957</v>
      </c>
      <c r="AQ32" s="4">
        <f ca="1">ROUND(T_Tiktok_ads[[#This Row],[video_watch_100]]*RANDBETWEEN(8,12)/10,0)</f>
        <v>46111</v>
      </c>
      <c r="AR32" s="4">
        <f ca="1">ROUND(T_Tiktok_ads[[#This Row],[likes]]*RANDBETWEEN(8,12)/10,0)</f>
        <v>11380</v>
      </c>
      <c r="AS32" s="4">
        <f ca="1">ROUND(T_Tiktok_ads[[#This Row],[shares]]*RANDBETWEEN(8,12)/10,0)</f>
        <v>3347</v>
      </c>
      <c r="AT32" s="4">
        <f ca="1">ROUND(T_Tiktok_ads[[#This Row],[comments]]*RANDBETWEEN(8,12)/10,0)</f>
        <v>590</v>
      </c>
      <c r="AV32" s="5">
        <f t="shared" ca="1" si="3"/>
        <v>45075</v>
      </c>
      <c r="AW32">
        <f t="shared" ca="1" si="4"/>
        <v>3</v>
      </c>
      <c r="AX32">
        <f ca="1">ROUND(T_Facebook_Ads1159636771[[#This Row],[impressions]]*RANDBETWEEN(8,12)/10,0)</f>
        <v>37529</v>
      </c>
      <c r="AY32">
        <f ca="1">ROUND(T_Facebook_Ads1159636771[[#This Row],[clicks]]*RANDBETWEEN(8,12)/10,0)</f>
        <v>1198</v>
      </c>
      <c r="AZ32">
        <f ca="1">T_Facebook_Ads1159636771[[#This Row],[spend]]*RANDBETWEEN(8,12)/10</f>
        <v>147.11399999999998</v>
      </c>
      <c r="BA32">
        <f ca="1">ROUND(T_Facebook_Ads1159636771[[#This Row],[conversions]]*RANDBETWEEN(8,12)/10,0)</f>
        <v>23</v>
      </c>
      <c r="BB32">
        <f ca="1">ROUND(T_Facebook_Ads1159636771[[#This Row],[video_views]]*RANDBETWEEN(8,12)/10,0)</f>
        <v>9471</v>
      </c>
    </row>
    <row r="33" spans="1:54" ht="15.75" thickBot="1" x14ac:dyDescent="0.3">
      <c r="A33" s="3">
        <f t="shared" ca="1" si="0"/>
        <v>45062</v>
      </c>
      <c r="B33" s="4" t="s">
        <v>56</v>
      </c>
      <c r="C33" s="4" t="s">
        <v>57</v>
      </c>
      <c r="D33" s="4" t="s">
        <v>58</v>
      </c>
      <c r="E33" s="4" t="s">
        <v>59</v>
      </c>
      <c r="F33" s="4">
        <f ca="1">ROUND(T_Facebook_Ads[[#This Row],[impressions]]*RANDBETWEEN(8,12)/10,0)</f>
        <v>14567</v>
      </c>
      <c r="G33" s="4">
        <v>723</v>
      </c>
      <c r="H33" s="4">
        <f ca="1">T_Facebook_Ads[[#This Row],[spend]]*RANDBETWEEN(8,12)/10</f>
        <v>256.39999999999998</v>
      </c>
      <c r="I33" s="4">
        <f ca="1">ROUND(T_Facebook_Ads[[#This Row],[conversions]]*RANDBETWEEN(8,12)/10,0)</f>
        <v>35</v>
      </c>
      <c r="J33" s="4">
        <f ca="1">ROUND(T_Facebook_Ads[[#This Row],[video_views]]*RANDBETWEEN(8,12)/10,0)</f>
        <v>1451</v>
      </c>
      <c r="K33" s="4">
        <f ca="1">T_Facebook_Ads[[#This Row],[engagement_rate]]*RANDBETWEEN(8,12)/10</f>
        <v>3.968E-2</v>
      </c>
      <c r="L33" s="4">
        <f ca="1">ROUND(T_Facebook_Ads[[#This Row],[reach]]*RANDBETWEEN(8,12)/10,0)</f>
        <v>11456</v>
      </c>
      <c r="M33" s="4">
        <f ca="1">T_Facebook_Ads[[#This Row],[frequency]]*RANDBETWEEN(8,12)/10</f>
        <v>1.524</v>
      </c>
      <c r="O33" s="3">
        <f t="shared" ca="1" si="1"/>
        <v>45076</v>
      </c>
      <c r="P33" s="4" t="s">
        <v>80</v>
      </c>
      <c r="Q33" s="4" t="s">
        <v>81</v>
      </c>
      <c r="R33" s="4" t="s">
        <v>82</v>
      </c>
      <c r="S33" s="4" t="s">
        <v>83</v>
      </c>
      <c r="T33" s="4">
        <f ca="1">ROUND(_Google_ads[[#This Row],[impressions]]*RANDBETWEEN(8,12)/10,0)</f>
        <v>38312</v>
      </c>
      <c r="U33" s="4">
        <f ca="1">ROUND(_Google_ads[[#This Row],[clicks]]*RANDBETWEEN(8,12)/10,0)</f>
        <v>841</v>
      </c>
      <c r="V33" s="4">
        <f ca="1">_Google_ads[[#This Row],[cost]]*RANDBETWEEN(8,12)/10</f>
        <v>612.5</v>
      </c>
      <c r="W33" s="4">
        <f ca="1">ROUND(_Google_ads[[#This Row],[conversions]]*RANDBETWEEN(8,12)/10,0)</f>
        <v>31</v>
      </c>
      <c r="X33" s="4">
        <f ca="1">ROUND(_Google_ads[[#This Row],[conversion_value]]*RANDBETWEEN(8,12)/10,0)</f>
        <v>1040</v>
      </c>
      <c r="Y33" s="4">
        <f ca="1">_Google_ads[[#This Row],[ctr]]*RANDBETWEEN(8,12)/10</f>
        <v>2.3399999999999997E-2</v>
      </c>
      <c r="Z33" s="4">
        <f ca="1">_Google_ads[[#This Row],[avg_cpc]]*RANDBETWEEN(8,12)/10</f>
        <v>0.79200000000000004</v>
      </c>
      <c r="AA33" s="4">
        <f ca="1">ROUND(_Google_ads[[#This Row],[quality_score]]*RANDBETWEEN(8,12)/10,0)</f>
        <v>8</v>
      </c>
      <c r="AB33" s="4">
        <f ca="1">_Google_ads[[#This Row],[search_impression_share]]*RANDBETWEEN(8,12)/10</f>
        <v>0.41400000000000003</v>
      </c>
      <c r="AD33" s="3">
        <f t="shared" ca="1" si="2"/>
        <v>45059</v>
      </c>
      <c r="AE33" s="4" t="s">
        <v>104</v>
      </c>
      <c r="AF33" s="4" t="s">
        <v>105</v>
      </c>
      <c r="AG33" s="4" t="s">
        <v>106</v>
      </c>
      <c r="AH33" s="4" t="s">
        <v>107</v>
      </c>
      <c r="AI33" s="4">
        <f ca="1">ROUND(T_Tiktok_ads[[#This Row],[impressions]]*RANDBETWEEN(8,12)/10,0)</f>
        <v>188147</v>
      </c>
      <c r="AJ33" s="4">
        <f ca="1">ROUND(T_Tiktok_ads[[#This Row],[clicks]]*RANDBETWEEN(8,12)/10,0)</f>
        <v>2410</v>
      </c>
      <c r="AK33" s="4">
        <v>812.3</v>
      </c>
      <c r="AL33" s="4">
        <f ca="1">ROUND(T_Tiktok_ads[[#This Row],[conversions]]*RANDBETWEEN(8,12)/10,0)</f>
        <v>74</v>
      </c>
      <c r="AM33" s="4">
        <f ca="1">ROUND(T_Tiktok_ads[[#This Row],[video_views]]*RANDBETWEEN(8,12)/10,0)</f>
        <v>120864</v>
      </c>
      <c r="AN33" s="4">
        <f ca="1">ROUND(T_Tiktok_ads[[#This Row],[video_watch_25]]*RANDBETWEEN(8,12)/10,0)</f>
        <v>73111</v>
      </c>
      <c r="AO33" s="4">
        <f ca="1">ROUND(T_Tiktok_ads[[#This Row],[video_watch_50]]*RANDBETWEEN(8,12)/10,0)</f>
        <v>60146</v>
      </c>
      <c r="AP33" s="4">
        <f ca="1">ROUND(T_Tiktok_ads[[#This Row],[video_watch_75]]*RANDBETWEEN(8,12)/10,0)</f>
        <v>32987</v>
      </c>
      <c r="AQ33" s="4">
        <f ca="1">ROUND(T_Tiktok_ads[[#This Row],[video_watch_100]]*RANDBETWEEN(8,12)/10,0)</f>
        <v>22054</v>
      </c>
      <c r="AR33" s="4">
        <f ca="1">ROUND(T_Tiktok_ads[[#This Row],[likes]]*RANDBETWEEN(8,12)/10,0)</f>
        <v>4910</v>
      </c>
      <c r="AS33" s="4">
        <f ca="1">ROUND(T_Tiktok_ads[[#This Row],[shares]]*RANDBETWEEN(8,12)/10,0)</f>
        <v>1567</v>
      </c>
      <c r="AT33" s="4">
        <f ca="1">ROUND(T_Tiktok_ads[[#This Row],[comments]]*RANDBETWEEN(8,12)/10,0)</f>
        <v>260</v>
      </c>
      <c r="AV33" s="5">
        <f t="shared" ca="1" si="3"/>
        <v>45062</v>
      </c>
      <c r="AW33">
        <f t="shared" ca="1" si="4"/>
        <v>5</v>
      </c>
      <c r="AX33">
        <f ca="1">ROUND(T_Facebook_Ads1159636771[[#This Row],[impressions]]*RANDBETWEEN(8,12)/10,0)</f>
        <v>17480</v>
      </c>
      <c r="AY33">
        <f ca="1">ROUND(T_Facebook_Ads1159636771[[#This Row],[clicks]]*RANDBETWEEN(8,12)/10,0)</f>
        <v>651</v>
      </c>
      <c r="AZ33">
        <f ca="1">T_Facebook_Ads1159636771[[#This Row],[spend]]*RANDBETWEEN(8,12)/10</f>
        <v>230.76</v>
      </c>
      <c r="BA33">
        <f ca="1">ROUND(T_Facebook_Ads1159636771[[#This Row],[conversions]]*RANDBETWEEN(8,12)/10,0)</f>
        <v>42</v>
      </c>
      <c r="BB33">
        <f ca="1">ROUND(T_Facebook_Ads1159636771[[#This Row],[video_views]]*RANDBETWEEN(8,12)/10,0)</f>
        <v>1451</v>
      </c>
    </row>
    <row r="34" spans="1:54" ht="15.75" thickBot="1" x14ac:dyDescent="0.3">
      <c r="A34" s="3">
        <f t="shared" ref="A34:A65" ca="1" si="5">DATE(2023,5,RANDBETWEEN(1,31))</f>
        <v>45055</v>
      </c>
      <c r="B34" s="4" t="s">
        <v>60</v>
      </c>
      <c r="C34" s="4" t="s">
        <v>61</v>
      </c>
      <c r="D34" s="4" t="s">
        <v>62</v>
      </c>
      <c r="E34" s="4" t="s">
        <v>63</v>
      </c>
      <c r="F34" s="4">
        <f ca="1">ROUND(T_Facebook_Ads[[#This Row],[impressions]]*RANDBETWEEN(8,12)/10,0)</f>
        <v>43768</v>
      </c>
      <c r="G34" s="4">
        <v>1534</v>
      </c>
      <c r="H34" s="4">
        <f ca="1">T_Facebook_Ads[[#This Row],[spend]]*RANDBETWEEN(8,12)/10</f>
        <v>180.64000000000001</v>
      </c>
      <c r="I34" s="4">
        <f ca="1">ROUND(T_Facebook_Ads[[#This Row],[conversions]]*RANDBETWEEN(8,12)/10,0)</f>
        <v>37</v>
      </c>
      <c r="J34" s="4">
        <f ca="1">ROUND(T_Facebook_Ads[[#This Row],[video_views]]*RANDBETWEEN(8,12)/10,0)</f>
        <v>6002</v>
      </c>
      <c r="K34" s="4">
        <f ca="1">T_Facebook_Ads[[#This Row],[engagement_rate]]*RANDBETWEEN(8,12)/10</f>
        <v>3.4740000000000007E-2</v>
      </c>
      <c r="L34" s="4">
        <f ca="1">ROUND(T_Facebook_Ads[[#This Row],[reach]]*RANDBETWEEN(8,12)/10,0)</f>
        <v>32567</v>
      </c>
      <c r="M34" s="4">
        <f ca="1">T_Facebook_Ads[[#This Row],[frequency]]*RANDBETWEEN(8,12)/10</f>
        <v>1.22</v>
      </c>
      <c r="O34" s="3">
        <f t="shared" ref="O34:O65" ca="1" si="6">DATE(2023,5,RANDBETWEEN(1,31))</f>
        <v>45058</v>
      </c>
      <c r="P34" s="4" t="s">
        <v>84</v>
      </c>
      <c r="Q34" s="4" t="s">
        <v>85</v>
      </c>
      <c r="R34" s="4" t="s">
        <v>86</v>
      </c>
      <c r="S34" s="4" t="s">
        <v>87</v>
      </c>
      <c r="T34" s="4">
        <f ca="1">ROUND(_Google_ads[[#This Row],[impressions]]*RANDBETWEEN(8,12)/10,0)</f>
        <v>71234</v>
      </c>
      <c r="U34" s="4">
        <f ca="1">ROUND(_Google_ads[[#This Row],[clicks]]*RANDBETWEEN(8,12)/10,0)</f>
        <v>2210</v>
      </c>
      <c r="V34" s="4">
        <f ca="1">_Google_ads[[#This Row],[cost]]*RANDBETWEEN(8,12)/10</f>
        <v>401.22</v>
      </c>
      <c r="W34" s="4">
        <f ca="1">ROUND(_Google_ads[[#This Row],[conversions]]*RANDBETWEEN(8,12)/10,0)</f>
        <v>71</v>
      </c>
      <c r="X34" s="4">
        <f ca="1">ROUND(_Google_ads[[#This Row],[conversion_value]]*RANDBETWEEN(8,12)/10,0)</f>
        <v>2840</v>
      </c>
      <c r="Y34" s="4">
        <f ca="1">_Google_ads[[#This Row],[ctr]]*RANDBETWEEN(8,12)/10</f>
        <v>3.7950000000000005E-2</v>
      </c>
      <c r="Z34" s="4">
        <f ca="1">_Google_ads[[#This Row],[avg_cpc]]*RANDBETWEEN(8,12)/10</f>
        <v>0.14399999999999999</v>
      </c>
      <c r="AA34" s="4">
        <f ca="1">ROUND(_Google_ads[[#This Row],[quality_score]]*RANDBETWEEN(8,12)/10,0)</f>
        <v>10</v>
      </c>
      <c r="AB34" s="4">
        <f ca="1">_Google_ads[[#This Row],[search_impression_share]]*RANDBETWEEN(8,12)/10</f>
        <v>0.81600000000000006</v>
      </c>
      <c r="AD34" s="3">
        <f t="shared" ref="AD34:AD65" ca="1" si="7">DATE(2023,5,RANDBETWEEN(1,31))</f>
        <v>45072</v>
      </c>
      <c r="AE34" s="4" t="s">
        <v>108</v>
      </c>
      <c r="AF34" s="4" t="s">
        <v>109</v>
      </c>
      <c r="AG34" s="4" t="s">
        <v>110</v>
      </c>
      <c r="AH34" s="4" t="s">
        <v>111</v>
      </c>
      <c r="AI34" s="4">
        <f ca="1">ROUND(T_Tiktok_ads[[#This Row],[impressions]]*RANDBETWEEN(8,12)/10,0)</f>
        <v>258024</v>
      </c>
      <c r="AJ34" s="4">
        <f ca="1">ROUND(T_Tiktok_ads[[#This Row],[clicks]]*RANDBETWEEN(8,12)/10,0)</f>
        <v>3789</v>
      </c>
      <c r="AK34" s="4">
        <v>456.8</v>
      </c>
      <c r="AL34" s="4">
        <f ca="1">ROUND(T_Tiktok_ads[[#This Row],[conversions]]*RANDBETWEEN(8,12)/10,0)</f>
        <v>33</v>
      </c>
      <c r="AM34" s="4">
        <f ca="1">ROUND(T_Tiktok_ads[[#This Row],[video_views]]*RANDBETWEEN(8,12)/10,0)</f>
        <v>151387</v>
      </c>
      <c r="AN34" s="4">
        <f ca="1">ROUND(T_Tiktok_ads[[#This Row],[video_watch_25]]*RANDBETWEEN(8,12)/10,0)</f>
        <v>157924</v>
      </c>
      <c r="AO34" s="4">
        <f ca="1">ROUND(T_Tiktok_ads[[#This Row],[video_watch_50]]*RANDBETWEEN(8,12)/10,0)</f>
        <v>102110</v>
      </c>
      <c r="AP34" s="4">
        <f ca="1">ROUND(T_Tiktok_ads[[#This Row],[video_watch_75]]*RANDBETWEEN(8,12)/10,0)</f>
        <v>73456</v>
      </c>
      <c r="AQ34" s="4">
        <f ca="1">ROUND(T_Tiktok_ads[[#This Row],[video_watch_100]]*RANDBETWEEN(8,12)/10,0)</f>
        <v>53480</v>
      </c>
      <c r="AR34" s="4">
        <f ca="1">ROUND(T_Tiktok_ads[[#This Row],[likes]]*RANDBETWEEN(8,12)/10,0)</f>
        <v>7031</v>
      </c>
      <c r="AS34" s="4">
        <f ca="1">ROUND(T_Tiktok_ads[[#This Row],[shares]]*RANDBETWEEN(8,12)/10,0)</f>
        <v>2434</v>
      </c>
      <c r="AT34" s="4">
        <f ca="1">ROUND(T_Tiktok_ads[[#This Row],[comments]]*RANDBETWEEN(8,12)/10,0)</f>
        <v>567</v>
      </c>
      <c r="AV34" s="5">
        <f t="shared" ref="AV34:AV65" ca="1" si="8">DATE(2023,5,RANDBETWEEN(1,31))</f>
        <v>45064</v>
      </c>
      <c r="AW34">
        <f t="shared" ca="1" si="4"/>
        <v>8</v>
      </c>
      <c r="AX34">
        <f ca="1">ROUND(T_Facebook_Ads1159636771[[#This Row],[impressions]]*RANDBETWEEN(8,12)/10,0)</f>
        <v>39391</v>
      </c>
      <c r="AY34">
        <f ca="1">ROUND(T_Facebook_Ads1159636771[[#This Row],[clicks]]*RANDBETWEEN(8,12)/10,0)</f>
        <v>1381</v>
      </c>
      <c r="AZ34">
        <f ca="1">T_Facebook_Ads1159636771[[#This Row],[spend]]*RANDBETWEEN(8,12)/10</f>
        <v>162.57600000000002</v>
      </c>
      <c r="BA34">
        <f ca="1">ROUND(T_Facebook_Ads1159636771[[#This Row],[conversions]]*RANDBETWEEN(8,12)/10,0)</f>
        <v>33</v>
      </c>
      <c r="BB34">
        <f ca="1">ROUND(T_Facebook_Ads1159636771[[#This Row],[video_views]]*RANDBETWEEN(8,12)/10,0)</f>
        <v>5402</v>
      </c>
    </row>
    <row r="35" spans="1:54" ht="15.75" thickBot="1" x14ac:dyDescent="0.3">
      <c r="A35" s="3">
        <f t="shared" ca="1" si="5"/>
        <v>45057</v>
      </c>
      <c r="B35" s="4" t="s">
        <v>64</v>
      </c>
      <c r="C35" s="4" t="s">
        <v>65</v>
      </c>
      <c r="D35" s="4" t="s">
        <v>66</v>
      </c>
      <c r="E35" s="4" t="s">
        <v>67</v>
      </c>
      <c r="F35" s="4">
        <f ca="1">ROUND(T_Facebook_Ads[[#This Row],[impressions]]*RANDBETWEEN(8,12)/10,0)</f>
        <v>68611</v>
      </c>
      <c r="G35" s="4">
        <v>278</v>
      </c>
      <c r="H35" s="4">
        <f ca="1">T_Facebook_Ads[[#This Row],[spend]]*RANDBETWEEN(8,12)/10</f>
        <v>91.35</v>
      </c>
      <c r="I35" s="4">
        <f ca="1">ROUND(T_Facebook_Ads[[#This Row],[conversions]]*RANDBETWEEN(8,12)/10,0)</f>
        <v>6</v>
      </c>
      <c r="J35" s="4">
        <f ca="1">ROUND(T_Facebook_Ads[[#This Row],[video_views]]*RANDBETWEEN(8,12)/10,0)</f>
        <v>47111</v>
      </c>
      <c r="K35" s="4">
        <f ca="1">T_Facebook_Ads[[#This Row],[engagement_rate]]*RANDBETWEEN(8,12)/10</f>
        <v>3.7000000000000006E-3</v>
      </c>
      <c r="L35" s="4">
        <f ca="1">ROUND(T_Facebook_Ads[[#This Row],[reach]]*RANDBETWEEN(8,12)/10,0)</f>
        <v>68702</v>
      </c>
      <c r="M35" s="4">
        <f ca="1">T_Facebook_Ads[[#This Row],[frequency]]*RANDBETWEEN(8,12)/10</f>
        <v>1.3420000000000001</v>
      </c>
      <c r="O35" s="3">
        <f t="shared" ca="1" si="6"/>
        <v>45061</v>
      </c>
      <c r="P35" s="4" t="s">
        <v>88</v>
      </c>
      <c r="Q35" s="4" t="s">
        <v>89</v>
      </c>
      <c r="R35" s="4" t="s">
        <v>90</v>
      </c>
      <c r="S35" s="4" t="s">
        <v>59</v>
      </c>
      <c r="T35" s="4">
        <f ca="1">ROUND(_Google_ads[[#This Row],[impressions]]*RANDBETWEEN(8,12)/10,0)</f>
        <v>150468</v>
      </c>
      <c r="U35" s="4">
        <f ca="1">ROUND(_Google_ads[[#This Row],[clicks]]*RANDBETWEEN(8,12)/10,0)</f>
        <v>512</v>
      </c>
      <c r="V35" s="4">
        <f ca="1">_Google_ads[[#This Row],[cost]]*RANDBETWEEN(8,12)/10</f>
        <v>128.07</v>
      </c>
      <c r="W35" s="4">
        <f ca="1">ROUND(_Google_ads[[#This Row],[conversions]]*RANDBETWEEN(8,12)/10,0)</f>
        <v>15</v>
      </c>
      <c r="X35" s="4">
        <f ca="1">ROUND(_Google_ads[[#This Row],[conversion_value]]*RANDBETWEEN(8,12)/10,0)</f>
        <v>750</v>
      </c>
      <c r="Y35" s="4">
        <f ca="1">_Google_ads[[#This Row],[ctr]]*RANDBETWEEN(8,12)/10</f>
        <v>4.0699999999999998E-3</v>
      </c>
      <c r="Z35" s="4">
        <f ca="1">_Google_ads[[#This Row],[avg_cpc]]*RANDBETWEEN(8,12)/10</f>
        <v>0.33600000000000002</v>
      </c>
      <c r="AA35" s="4">
        <f ca="1">ROUND(_Google_ads[[#This Row],[quality_score]]*RANDBETWEEN(8,12)/10,0)</f>
        <v>6</v>
      </c>
      <c r="AB35" s="4">
        <f ca="1">_Google_ads[[#This Row],[search_impression_share]]*RANDBETWEEN(8,12)/10</f>
        <v>0.43200000000000005</v>
      </c>
      <c r="AD35" s="3">
        <f t="shared" ca="1" si="7"/>
        <v>45057</v>
      </c>
      <c r="AE35" s="4" t="s">
        <v>112</v>
      </c>
      <c r="AF35" s="4" t="s">
        <v>113</v>
      </c>
      <c r="AG35" s="4" t="s">
        <v>114</v>
      </c>
      <c r="AH35" s="4" t="s">
        <v>115</v>
      </c>
      <c r="AI35" s="4">
        <f ca="1">ROUND(T_Tiktok_ads[[#This Row],[impressions]]*RANDBETWEEN(8,12)/10,0)</f>
        <v>453580</v>
      </c>
      <c r="AJ35" s="4">
        <f ca="1">ROUND(T_Tiktok_ads[[#This Row],[clicks]]*RANDBETWEEN(8,12)/10,0)</f>
        <v>7468</v>
      </c>
      <c r="AK35" s="4">
        <v>1023.4</v>
      </c>
      <c r="AL35" s="4">
        <f ca="1">ROUND(T_Tiktok_ads[[#This Row],[conversions]]*RANDBETWEEN(8,12)/10,0)</f>
        <v>82</v>
      </c>
      <c r="AM35" s="4">
        <f ca="1">ROUND(T_Tiktok_ads[[#This Row],[video_views]]*RANDBETWEEN(8,12)/10,0)</f>
        <v>311110</v>
      </c>
      <c r="AN35" s="4">
        <f ca="1">ROUND(T_Tiktok_ads[[#This Row],[video_watch_25]]*RANDBETWEEN(8,12)/10,0)</f>
        <v>278901</v>
      </c>
      <c r="AO35" s="4">
        <f ca="1">ROUND(T_Tiktok_ads[[#This Row],[video_watch_50]]*RANDBETWEEN(8,12)/10,0)</f>
        <v>223456</v>
      </c>
      <c r="AP35" s="4">
        <f ca="1">ROUND(T_Tiktok_ads[[#This Row],[video_watch_75]]*RANDBETWEEN(8,12)/10,0)</f>
        <v>127387</v>
      </c>
      <c r="AQ35" s="4">
        <f ca="1">ROUND(T_Tiktok_ads[[#This Row],[video_watch_100]]*RANDBETWEEN(8,12)/10,0)</f>
        <v>95110</v>
      </c>
      <c r="AR35" s="4">
        <f ca="1">ROUND(T_Tiktok_ads[[#This Row],[likes]]*RANDBETWEEN(8,12)/10,0)</f>
        <v>20057</v>
      </c>
      <c r="AS35" s="4">
        <f ca="1">ROUND(T_Tiktok_ads[[#This Row],[shares]]*RANDBETWEEN(8,12)/10,0)</f>
        <v>6281</v>
      </c>
      <c r="AT35" s="4">
        <f ca="1">ROUND(T_Tiktok_ads[[#This Row],[comments]]*RANDBETWEEN(8,12)/10,0)</f>
        <v>1602</v>
      </c>
      <c r="AV35" s="5">
        <f t="shared" ca="1" si="8"/>
        <v>45053</v>
      </c>
      <c r="AW35">
        <f t="shared" ca="1" si="4"/>
        <v>2</v>
      </c>
      <c r="AX35">
        <f ca="1">ROUND(T_Facebook_Ads1159636771[[#This Row],[impressions]]*RANDBETWEEN(8,12)/10,0)</f>
        <v>82333</v>
      </c>
      <c r="AY35">
        <f ca="1">ROUND(T_Facebook_Ads1159636771[[#This Row],[clicks]]*RANDBETWEEN(8,12)/10,0)</f>
        <v>278</v>
      </c>
      <c r="AZ35">
        <f ca="1">T_Facebook_Ads1159636771[[#This Row],[spend]]*RANDBETWEEN(8,12)/10</f>
        <v>100.48499999999999</v>
      </c>
      <c r="BA35">
        <f ca="1">ROUND(T_Facebook_Ads1159636771[[#This Row],[conversions]]*RANDBETWEEN(8,12)/10,0)</f>
        <v>5</v>
      </c>
      <c r="BB35">
        <f ca="1">ROUND(T_Facebook_Ads1159636771[[#This Row],[video_views]]*RANDBETWEEN(8,12)/10,0)</f>
        <v>37689</v>
      </c>
    </row>
    <row r="36" spans="1:54" ht="15.75" thickBot="1" x14ac:dyDescent="0.3">
      <c r="A36" s="3">
        <f t="shared" ca="1" si="5"/>
        <v>45069</v>
      </c>
      <c r="B36" s="4" t="s">
        <v>52</v>
      </c>
      <c r="C36" s="4" t="s">
        <v>53</v>
      </c>
      <c r="D36" s="4" t="s">
        <v>54</v>
      </c>
      <c r="E36" s="4" t="s">
        <v>55</v>
      </c>
      <c r="F36" s="4">
        <f ca="1">ROUND(T_Facebook_Ads[[#This Row],[impressions]]*RANDBETWEEN(8,12)/10,0)</f>
        <v>39387</v>
      </c>
      <c r="G36" s="4">
        <v>1012</v>
      </c>
      <c r="H36" s="4">
        <f ca="1">T_Facebook_Ads[[#This Row],[spend]]*RANDBETWEEN(8,12)/10</f>
        <v>154.33000000000001</v>
      </c>
      <c r="I36" s="4">
        <f ca="1">ROUND(T_Facebook_Ads[[#This Row],[conversions]]*RANDBETWEEN(8,12)/10,0)</f>
        <v>15</v>
      </c>
      <c r="J36" s="4">
        <f ca="1">ROUND(T_Facebook_Ads[[#This Row],[video_views]]*RANDBETWEEN(8,12)/10,0)</f>
        <v>8211</v>
      </c>
      <c r="K36" s="4">
        <f ca="1">T_Facebook_Ads[[#This Row],[engagement_rate]]*RANDBETWEEN(8,12)/10</f>
        <v>1.6480000000000002E-2</v>
      </c>
      <c r="L36" s="4">
        <f ca="1">ROUND(T_Facebook_Ads[[#This Row],[reach]]*RANDBETWEEN(8,12)/10,0)</f>
        <v>49880</v>
      </c>
      <c r="M36" s="4">
        <f ca="1">T_Facebook_Ads[[#This Row],[frequency]]*RANDBETWEEN(8,12)/10</f>
        <v>0.94399999999999995</v>
      </c>
      <c r="O36" s="3">
        <f t="shared" ca="1" si="6"/>
        <v>45054</v>
      </c>
      <c r="P36" s="4" t="s">
        <v>76</v>
      </c>
      <c r="Q36" s="4" t="s">
        <v>77</v>
      </c>
      <c r="R36" s="4" t="s">
        <v>78</v>
      </c>
      <c r="S36" s="4" t="s">
        <v>79</v>
      </c>
      <c r="T36" s="4">
        <f ca="1">ROUND(_Google_ads[[#This Row],[impressions]]*RANDBETWEEN(8,12)/10,0)</f>
        <v>20098</v>
      </c>
      <c r="U36" s="4">
        <f ca="1">ROUND(_Google_ads[[#This Row],[clicks]]*RANDBETWEEN(8,12)/10,0)</f>
        <v>1312</v>
      </c>
      <c r="V36" s="4">
        <f ca="1">_Google_ads[[#This Row],[cost]]*RANDBETWEEN(8,12)/10</f>
        <v>200.32</v>
      </c>
      <c r="W36" s="4">
        <f ca="1">ROUND(_Google_ads[[#This Row],[conversions]]*RANDBETWEEN(8,12)/10,0)</f>
        <v>44</v>
      </c>
      <c r="X36" s="4">
        <f ca="1">ROUND(_Google_ads[[#This Row],[conversion_value]]*RANDBETWEEN(8,12)/10,0)</f>
        <v>1960</v>
      </c>
      <c r="Y36" s="4">
        <f ca="1">_Google_ads[[#This Row],[ctr]]*RANDBETWEEN(8,12)/10</f>
        <v>5.2200000000000003E-2</v>
      </c>
      <c r="Z36" s="4">
        <f ca="1">_Google_ads[[#This Row],[avg_cpc]]*RANDBETWEEN(8,12)/10</f>
        <v>0.152</v>
      </c>
      <c r="AA36" s="4">
        <f ca="1">ROUND(_Google_ads[[#This Row],[quality_score]]*RANDBETWEEN(8,12)/10,0)</f>
        <v>7</v>
      </c>
      <c r="AB36" s="4">
        <f ca="1">_Google_ads[[#This Row],[search_impression_share]]*RANDBETWEEN(8,12)/10</f>
        <v>0.72799999999999998</v>
      </c>
      <c r="AD36" s="3">
        <f t="shared" ca="1" si="7"/>
        <v>45074</v>
      </c>
      <c r="AE36" s="4" t="s">
        <v>100</v>
      </c>
      <c r="AF36" s="4" t="s">
        <v>101</v>
      </c>
      <c r="AG36" s="4" t="s">
        <v>102</v>
      </c>
      <c r="AH36" s="4" t="s">
        <v>103</v>
      </c>
      <c r="AI36" s="4">
        <f ca="1">ROUND(T_Tiktok_ads[[#This Row],[impressions]]*RANDBETWEEN(8,12)/10,0)</f>
        <v>321468</v>
      </c>
      <c r="AJ36" s="4">
        <f ca="1">ROUND(T_Tiktok_ads[[#This Row],[clicks]]*RANDBETWEEN(8,12)/10,0)</f>
        <v>3551</v>
      </c>
      <c r="AK36" s="4">
        <v>501.2</v>
      </c>
      <c r="AL36" s="4">
        <f ca="1">ROUND(T_Tiktok_ads[[#This Row],[conversions]]*RANDBETWEEN(8,12)/10,0)</f>
        <v>44</v>
      </c>
      <c r="AM36" s="4">
        <f ca="1">ROUND(T_Tiktok_ads[[#This Row],[video_views]]*RANDBETWEEN(8,12)/10,0)</f>
        <v>199111</v>
      </c>
      <c r="AN36" s="4">
        <f ca="1">ROUND(T_Tiktok_ads[[#This Row],[video_watch_25]]*RANDBETWEEN(8,12)/10,0)</f>
        <v>208147</v>
      </c>
      <c r="AO36" s="4">
        <f ca="1">ROUND(T_Tiktok_ads[[#This Row],[video_watch_50]]*RANDBETWEEN(8,12)/10,0)</f>
        <v>87387</v>
      </c>
      <c r="AP36" s="4">
        <f ca="1">ROUND(T_Tiktok_ads[[#This Row],[video_watch_75]]*RANDBETWEEN(8,12)/10,0)</f>
        <v>80924</v>
      </c>
      <c r="AQ36" s="4">
        <f ca="1">ROUND(T_Tiktok_ads[[#This Row],[video_watch_100]]*RANDBETWEEN(8,12)/10,0)</f>
        <v>44311</v>
      </c>
      <c r="AR36" s="4">
        <f ca="1">ROUND(T_Tiktok_ads[[#This Row],[likes]]*RANDBETWEEN(8,12)/10,0)</f>
        <v>7831</v>
      </c>
      <c r="AS36" s="4">
        <f ca="1">ROUND(T_Tiktok_ads[[#This Row],[shares]]*RANDBETWEEN(8,12)/10,0)</f>
        <v>2107</v>
      </c>
      <c r="AT36" s="4">
        <f ca="1">ROUND(T_Tiktok_ads[[#This Row],[comments]]*RANDBETWEEN(8,12)/10,0)</f>
        <v>498</v>
      </c>
      <c r="AV36" s="5">
        <f t="shared" ca="1" si="8"/>
        <v>45076</v>
      </c>
      <c r="AW36">
        <f t="shared" ca="1" si="4"/>
        <v>2</v>
      </c>
      <c r="AX36">
        <f ca="1">ROUND(T_Facebook_Ads1159636771[[#This Row],[impressions]]*RANDBETWEEN(8,12)/10,0)</f>
        <v>31510</v>
      </c>
      <c r="AY36">
        <f ca="1">ROUND(T_Facebook_Ads1159636771[[#This Row],[clicks]]*RANDBETWEEN(8,12)/10,0)</f>
        <v>810</v>
      </c>
      <c r="AZ36">
        <f ca="1">T_Facebook_Ads1159636771[[#This Row],[spend]]*RANDBETWEEN(8,12)/10</f>
        <v>169.76300000000001</v>
      </c>
      <c r="BA36">
        <f ca="1">ROUND(T_Facebook_Ads1159636771[[#This Row],[conversions]]*RANDBETWEEN(8,12)/10,0)</f>
        <v>12</v>
      </c>
      <c r="BB36">
        <f ca="1">ROUND(T_Facebook_Ads1159636771[[#This Row],[video_views]]*RANDBETWEEN(8,12)/10,0)</f>
        <v>9853</v>
      </c>
    </row>
    <row r="37" spans="1:54" ht="15.75" thickBot="1" x14ac:dyDescent="0.3">
      <c r="A37" s="3">
        <f t="shared" ca="1" si="5"/>
        <v>45064</v>
      </c>
      <c r="B37" s="4" t="s">
        <v>56</v>
      </c>
      <c r="C37" s="4" t="s">
        <v>57</v>
      </c>
      <c r="D37" s="4" t="s">
        <v>58</v>
      </c>
      <c r="E37" s="4" t="s">
        <v>59</v>
      </c>
      <c r="F37" s="4">
        <f ca="1">ROUND(T_Facebook_Ads[[#This Row],[impressions]]*RANDBETWEEN(8,12)/10,0)</f>
        <v>16147</v>
      </c>
      <c r="G37" s="4">
        <v>634</v>
      </c>
      <c r="H37" s="4">
        <f ca="1">T_Facebook_Ads[[#This Row],[spend]]*RANDBETWEEN(8,12)/10</f>
        <v>191.76</v>
      </c>
      <c r="I37" s="4">
        <f ca="1">ROUND(T_Facebook_Ads[[#This Row],[conversions]]*RANDBETWEEN(8,12)/10,0)</f>
        <v>43</v>
      </c>
      <c r="J37" s="4">
        <f ca="1">ROUND(T_Facebook_Ads[[#This Row],[video_views]]*RANDBETWEEN(8,12)/10,0)</f>
        <v>1378</v>
      </c>
      <c r="K37" s="4">
        <f ca="1">T_Facebook_Ads[[#This Row],[engagement_rate]]*RANDBETWEEN(8,12)/10</f>
        <v>5.1810000000000002E-2</v>
      </c>
      <c r="L37" s="4">
        <f ca="1">ROUND(T_Facebook_Ads[[#This Row],[reach]]*RANDBETWEEN(8,12)/10,0)</f>
        <v>10567</v>
      </c>
      <c r="M37" s="4">
        <f ca="1">T_Facebook_Ads[[#This Row],[frequency]]*RANDBETWEEN(8,12)/10</f>
        <v>1.143</v>
      </c>
      <c r="O37" s="3">
        <f t="shared" ca="1" si="6"/>
        <v>45059</v>
      </c>
      <c r="P37" s="4" t="s">
        <v>80</v>
      </c>
      <c r="Q37" s="4" t="s">
        <v>81</v>
      </c>
      <c r="R37" s="4" t="s">
        <v>82</v>
      </c>
      <c r="S37" s="4" t="s">
        <v>83</v>
      </c>
      <c r="T37" s="4">
        <f ca="1">ROUND(_Google_ads[[#This Row],[impressions]]*RANDBETWEEN(8,12)/10,0)</f>
        <v>41910</v>
      </c>
      <c r="U37" s="4">
        <f ca="1">ROUND(_Google_ads[[#This Row],[clicks]]*RANDBETWEEN(8,12)/10,0)</f>
        <v>1094</v>
      </c>
      <c r="V37" s="4">
        <f ca="1">_Google_ads[[#This Row],[cost]]*RANDBETWEEN(8,12)/10</f>
        <v>596.70000000000005</v>
      </c>
      <c r="W37" s="4">
        <f ca="1">ROUND(_Google_ads[[#This Row],[conversions]]*RANDBETWEEN(8,12)/10,0)</f>
        <v>24</v>
      </c>
      <c r="X37" s="4">
        <f ca="1">ROUND(_Google_ads[[#This Row],[conversion_value]]*RANDBETWEEN(8,12)/10,0)</f>
        <v>1440</v>
      </c>
      <c r="Y37" s="4">
        <f ca="1">_Google_ads[[#This Row],[ctr]]*RANDBETWEEN(8,12)/10</f>
        <v>2.3519999999999999E-2</v>
      </c>
      <c r="Z37" s="4">
        <f ca="1">_Google_ads[[#This Row],[avg_cpc]]*RANDBETWEEN(8,12)/10</f>
        <v>0.65</v>
      </c>
      <c r="AA37" s="4">
        <f ca="1">ROUND(_Google_ads[[#This Row],[quality_score]]*RANDBETWEEN(8,12)/10,0)</f>
        <v>6</v>
      </c>
      <c r="AB37" s="4">
        <f ca="1">_Google_ads[[#This Row],[search_impression_share]]*RANDBETWEEN(8,12)/10</f>
        <v>0.495</v>
      </c>
      <c r="AD37" s="3">
        <f t="shared" ca="1" si="7"/>
        <v>45065</v>
      </c>
      <c r="AE37" s="4" t="s">
        <v>104</v>
      </c>
      <c r="AF37" s="4" t="s">
        <v>105</v>
      </c>
      <c r="AG37" s="4" t="s">
        <v>106</v>
      </c>
      <c r="AH37" s="4" t="s">
        <v>107</v>
      </c>
      <c r="AI37" s="4">
        <f ca="1">ROUND(T_Tiktok_ads[[#This Row],[impressions]]*RANDBETWEEN(8,12)/10,0)</f>
        <v>163791</v>
      </c>
      <c r="AJ37" s="4">
        <f ca="1">ROUND(T_Tiktok_ads[[#This Row],[clicks]]*RANDBETWEEN(8,12)/10,0)</f>
        <v>3117</v>
      </c>
      <c r="AK37" s="4">
        <v>767.5</v>
      </c>
      <c r="AL37" s="4">
        <f ca="1">ROUND(T_Tiktok_ads[[#This Row],[conversions]]*RANDBETWEEN(8,12)/10,0)</f>
        <v>77</v>
      </c>
      <c r="AM37" s="4">
        <f ca="1">ROUND(T_Tiktok_ads[[#This Row],[video_views]]*RANDBETWEEN(8,12)/10,0)</f>
        <v>124147</v>
      </c>
      <c r="AN37" s="4">
        <f ca="1">ROUND(T_Tiktok_ads[[#This Row],[video_watch_25]]*RANDBETWEEN(8,12)/10,0)</f>
        <v>91481</v>
      </c>
      <c r="AO37" s="4">
        <f ca="1">ROUND(T_Tiktok_ads[[#This Row],[video_watch_50]]*RANDBETWEEN(8,12)/10,0)</f>
        <v>51234</v>
      </c>
      <c r="AP37" s="4">
        <f ca="1">ROUND(T_Tiktok_ads[[#This Row],[video_watch_75]]*RANDBETWEEN(8,12)/10,0)</f>
        <v>38567</v>
      </c>
      <c r="AQ37" s="4">
        <f ca="1">ROUND(T_Tiktok_ads[[#This Row],[video_watch_100]]*RANDBETWEEN(8,12)/10,0)</f>
        <v>28368</v>
      </c>
      <c r="AR37" s="4">
        <f ca="1">ROUND(T_Tiktok_ads[[#This Row],[likes]]*RANDBETWEEN(8,12)/10,0)</f>
        <v>4611</v>
      </c>
      <c r="AS37" s="4">
        <f ca="1">ROUND(T_Tiktok_ads[[#This Row],[shares]]*RANDBETWEEN(8,12)/10,0)</f>
        <v>1165</v>
      </c>
      <c r="AT37" s="4">
        <f ca="1">ROUND(T_Tiktok_ads[[#This Row],[comments]]*RANDBETWEEN(8,12)/10,0)</f>
        <v>250</v>
      </c>
      <c r="AV37" s="5">
        <f t="shared" ca="1" si="8"/>
        <v>45069</v>
      </c>
      <c r="AW37">
        <f t="shared" ca="1" si="4"/>
        <v>3</v>
      </c>
      <c r="AX37">
        <f ca="1">ROUND(T_Facebook_Ads1159636771[[#This Row],[impressions]]*RANDBETWEEN(8,12)/10,0)</f>
        <v>12918</v>
      </c>
      <c r="AY37">
        <f ca="1">ROUND(T_Facebook_Ads1159636771[[#This Row],[clicks]]*RANDBETWEEN(8,12)/10,0)</f>
        <v>507</v>
      </c>
      <c r="AZ37">
        <f ca="1">T_Facebook_Ads1159636771[[#This Row],[spend]]*RANDBETWEEN(8,12)/10</f>
        <v>210.93599999999998</v>
      </c>
      <c r="BA37">
        <f ca="1">ROUND(T_Facebook_Ads1159636771[[#This Row],[conversions]]*RANDBETWEEN(8,12)/10,0)</f>
        <v>39</v>
      </c>
      <c r="BB37">
        <f ca="1">ROUND(T_Facebook_Ads1159636771[[#This Row],[video_views]]*RANDBETWEEN(8,12)/10,0)</f>
        <v>1378</v>
      </c>
    </row>
    <row r="38" spans="1:54" ht="15.75" thickBot="1" x14ac:dyDescent="0.3">
      <c r="A38" s="3">
        <f t="shared" ca="1" si="5"/>
        <v>45073</v>
      </c>
      <c r="B38" s="4" t="s">
        <v>60</v>
      </c>
      <c r="C38" s="4" t="s">
        <v>61</v>
      </c>
      <c r="D38" s="4" t="s">
        <v>62</v>
      </c>
      <c r="E38" s="4" t="s">
        <v>63</v>
      </c>
      <c r="F38" s="4">
        <f ca="1">ROUND(T_Facebook_Ads[[#This Row],[impressions]]*RANDBETWEEN(8,12)/10,0)</f>
        <v>30312</v>
      </c>
      <c r="G38" s="4">
        <v>1398</v>
      </c>
      <c r="H38" s="4">
        <f ca="1">T_Facebook_Ads[[#This Row],[spend]]*RANDBETWEEN(8,12)/10</f>
        <v>169.92000000000002</v>
      </c>
      <c r="I38" s="4">
        <f ca="1">ROUND(T_Facebook_Ads[[#This Row],[conversions]]*RANDBETWEEN(8,12)/10,0)</f>
        <v>31</v>
      </c>
      <c r="J38" s="4">
        <f ca="1">ROUND(T_Facebook_Ads[[#This Row],[video_views]]*RANDBETWEEN(8,12)/10,0)</f>
        <v>4010</v>
      </c>
      <c r="K38" s="4">
        <f ca="1">T_Facebook_Ads[[#This Row],[engagement_rate]]*RANDBETWEEN(8,12)/10</f>
        <v>3.3210000000000003E-2</v>
      </c>
      <c r="L38" s="4">
        <f ca="1">ROUND(T_Facebook_Ads[[#This Row],[reach]]*RANDBETWEEN(8,12)/10,0)</f>
        <v>27801</v>
      </c>
      <c r="M38" s="4">
        <f ca="1">T_Facebook_Ads[[#This Row],[frequency]]*RANDBETWEEN(8,12)/10</f>
        <v>1.23</v>
      </c>
      <c r="O38" s="3">
        <f t="shared" ca="1" si="6"/>
        <v>45049</v>
      </c>
      <c r="P38" s="4" t="s">
        <v>84</v>
      </c>
      <c r="Q38" s="4" t="s">
        <v>85</v>
      </c>
      <c r="R38" s="4" t="s">
        <v>86</v>
      </c>
      <c r="S38" s="4" t="s">
        <v>87</v>
      </c>
      <c r="T38" s="4">
        <f ca="1">ROUND(_Google_ads[[#This Row],[impressions]]*RANDBETWEEN(8,12)/10,0)</f>
        <v>69890</v>
      </c>
      <c r="U38" s="4">
        <f ca="1">ROUND(_Google_ads[[#This Row],[clicks]]*RANDBETWEEN(8,12)/10,0)</f>
        <v>2801</v>
      </c>
      <c r="V38" s="4">
        <f ca="1">_Google_ads[[#This Row],[cost]]*RANDBETWEEN(8,12)/10</f>
        <v>514.67999999999995</v>
      </c>
      <c r="W38" s="4">
        <f ca="1">ROUND(_Google_ads[[#This Row],[conversions]]*RANDBETWEEN(8,12)/10,0)</f>
        <v>59</v>
      </c>
      <c r="X38" s="4">
        <f ca="1">ROUND(_Google_ads[[#This Row],[conversion_value]]*RANDBETWEEN(8,12)/10,0)</f>
        <v>3630</v>
      </c>
      <c r="Y38" s="4">
        <f ca="1">_Google_ads[[#This Row],[ctr]]*RANDBETWEEN(8,12)/10</f>
        <v>3.0059999999999996E-2</v>
      </c>
      <c r="Z38" s="4">
        <f ca="1">_Google_ads[[#This Row],[avg_cpc]]*RANDBETWEEN(8,12)/10</f>
        <v>0.19800000000000001</v>
      </c>
      <c r="AA38" s="4">
        <f ca="1">ROUND(_Google_ads[[#This Row],[quality_score]]*RANDBETWEEN(8,12)/10,0)</f>
        <v>6</v>
      </c>
      <c r="AB38" s="4">
        <f ca="1">_Google_ads[[#This Row],[search_impression_share]]*RANDBETWEEN(8,12)/10</f>
        <v>0.73699999999999999</v>
      </c>
      <c r="AD38" s="3">
        <f t="shared" ca="1" si="7"/>
        <v>45051</v>
      </c>
      <c r="AE38" s="4" t="s">
        <v>108</v>
      </c>
      <c r="AF38" s="4" t="s">
        <v>109</v>
      </c>
      <c r="AG38" s="4" t="s">
        <v>110</v>
      </c>
      <c r="AH38" s="4" t="s">
        <v>111</v>
      </c>
      <c r="AI38" s="4">
        <f ca="1">ROUND(T_Tiktok_ads[[#This Row],[impressions]]*RANDBETWEEN(8,12)/10,0)</f>
        <v>251791</v>
      </c>
      <c r="AJ38" s="4">
        <f ca="1">ROUND(T_Tiktok_ads[[#This Row],[clicks]]*RANDBETWEEN(8,12)/10,0)</f>
        <v>3997</v>
      </c>
      <c r="AK38" s="4">
        <v>441.9</v>
      </c>
      <c r="AL38" s="4">
        <f ca="1">ROUND(T_Tiktok_ads[[#This Row],[conversions]]*RANDBETWEEN(8,12)/10,0)</f>
        <v>31</v>
      </c>
      <c r="AM38" s="4">
        <f ca="1">ROUND(T_Tiktok_ads[[#This Row],[video_views]]*RANDBETWEEN(8,12)/10,0)</f>
        <v>182345</v>
      </c>
      <c r="AN38" s="4">
        <f ca="1">ROUND(T_Tiktok_ads[[#This Row],[video_watch_25]]*RANDBETWEEN(8,12)/10,0)</f>
        <v>151679</v>
      </c>
      <c r="AO38" s="4">
        <f ca="1">ROUND(T_Tiktok_ads[[#This Row],[video_watch_50]]*RANDBETWEEN(8,12)/10,0)</f>
        <v>87121</v>
      </c>
      <c r="AP38" s="4">
        <f ca="1">ROUND(T_Tiktok_ads[[#This Row],[video_watch_75]]*RANDBETWEEN(8,12)/10,0)</f>
        <v>63510</v>
      </c>
      <c r="AQ38" s="4">
        <f ca="1">ROUND(T_Tiktok_ads[[#This Row],[video_watch_100]]*RANDBETWEEN(8,12)/10,0)</f>
        <v>51347</v>
      </c>
      <c r="AR38" s="4">
        <f ca="1">ROUND(T_Tiktok_ads[[#This Row],[likes]]*RANDBETWEEN(8,12)/10,0)</f>
        <v>7610</v>
      </c>
      <c r="AS38" s="4">
        <f ca="1">ROUND(T_Tiktok_ads[[#This Row],[shares]]*RANDBETWEEN(8,12)/10,0)</f>
        <v>2071</v>
      </c>
      <c r="AT38" s="4">
        <f ca="1">ROUND(T_Tiktok_ads[[#This Row],[comments]]*RANDBETWEEN(8,12)/10,0)</f>
        <v>654</v>
      </c>
      <c r="AV38" s="5">
        <f t="shared" ca="1" si="8"/>
        <v>45058</v>
      </c>
      <c r="AW38">
        <f t="shared" ca="1" si="4"/>
        <v>5</v>
      </c>
      <c r="AX38">
        <f ca="1">ROUND(T_Facebook_Ads1159636771[[#This Row],[impressions]]*RANDBETWEEN(8,12)/10,0)</f>
        <v>36374</v>
      </c>
      <c r="AY38">
        <f ca="1">ROUND(T_Facebook_Ads1159636771[[#This Row],[clicks]]*RANDBETWEEN(8,12)/10,0)</f>
        <v>1678</v>
      </c>
      <c r="AZ38">
        <f ca="1">T_Facebook_Ads1159636771[[#This Row],[spend]]*RANDBETWEEN(8,12)/10</f>
        <v>135.93600000000001</v>
      </c>
      <c r="BA38">
        <f ca="1">ROUND(T_Facebook_Ads1159636771[[#This Row],[conversions]]*RANDBETWEEN(8,12)/10,0)</f>
        <v>25</v>
      </c>
      <c r="BB38">
        <f ca="1">ROUND(T_Facebook_Ads1159636771[[#This Row],[video_views]]*RANDBETWEEN(8,12)/10,0)</f>
        <v>3208</v>
      </c>
    </row>
    <row r="39" spans="1:54" ht="15.75" thickBot="1" x14ac:dyDescent="0.3">
      <c r="A39" s="3">
        <f t="shared" ca="1" si="5"/>
        <v>45050</v>
      </c>
      <c r="B39" s="4" t="s">
        <v>64</v>
      </c>
      <c r="C39" s="4" t="s">
        <v>65</v>
      </c>
      <c r="D39" s="4" t="s">
        <v>66</v>
      </c>
      <c r="E39" s="4" t="s">
        <v>67</v>
      </c>
      <c r="F39" s="4">
        <f ca="1">ROUND(T_Facebook_Ads[[#This Row],[impressions]]*RANDBETWEEN(8,12)/10,0)</f>
        <v>72890</v>
      </c>
      <c r="G39" s="4">
        <v>261</v>
      </c>
      <c r="H39" s="4">
        <f ca="1">T_Facebook_Ads[[#This Row],[spend]]*RANDBETWEEN(8,12)/10</f>
        <v>106.47999999999999</v>
      </c>
      <c r="I39" s="4">
        <f ca="1">ROUND(T_Facebook_Ads[[#This Row],[conversions]]*RANDBETWEEN(8,12)/10,0)</f>
        <v>8</v>
      </c>
      <c r="J39" s="4">
        <f ca="1">ROUND(T_Facebook_Ads[[#This Row],[video_views]]*RANDBETWEEN(8,12)/10,0)</f>
        <v>44610</v>
      </c>
      <c r="K39" s="4">
        <f ca="1">T_Facebook_Ads[[#This Row],[engagement_rate]]*RANDBETWEEN(8,12)/10</f>
        <v>3.5999999999999999E-3</v>
      </c>
      <c r="L39" s="4">
        <f ca="1">ROUND(T_Facebook_Ads[[#This Row],[reach]]*RANDBETWEEN(8,12)/10,0)</f>
        <v>47298</v>
      </c>
      <c r="M39" s="4">
        <f ca="1">T_Facebook_Ads[[#This Row],[frequency]]*RANDBETWEEN(8,12)/10</f>
        <v>1.23</v>
      </c>
      <c r="O39" s="3">
        <f t="shared" ca="1" si="6"/>
        <v>45058</v>
      </c>
      <c r="P39" s="4" t="s">
        <v>88</v>
      </c>
      <c r="Q39" s="4" t="s">
        <v>89</v>
      </c>
      <c r="R39" s="4" t="s">
        <v>90</v>
      </c>
      <c r="S39" s="4" t="s">
        <v>59</v>
      </c>
      <c r="T39" s="4">
        <f ca="1">ROUND(_Google_ads[[#This Row],[impressions]]*RANDBETWEEN(8,12)/10,0)</f>
        <v>146802</v>
      </c>
      <c r="U39" s="4">
        <f ca="1">ROUND(_Google_ads[[#This Row],[clicks]]*RANDBETWEEN(8,12)/10,0)</f>
        <v>538</v>
      </c>
      <c r="V39" s="4">
        <f ca="1">_Google_ads[[#This Row],[cost]]*RANDBETWEEN(8,12)/10</f>
        <v>144.32</v>
      </c>
      <c r="W39" s="4">
        <f ca="1">ROUND(_Google_ads[[#This Row],[conversions]]*RANDBETWEEN(8,12)/10,0)</f>
        <v>11</v>
      </c>
      <c r="X39" s="4">
        <f ca="1">ROUND(_Google_ads[[#This Row],[conversion_value]]*RANDBETWEEN(8,12)/10,0)</f>
        <v>840</v>
      </c>
      <c r="Y39" s="4">
        <f ca="1">_Google_ads[[#This Row],[ctr]]*RANDBETWEEN(8,12)/10</f>
        <v>3.3300000000000005E-3</v>
      </c>
      <c r="Z39" s="4">
        <f ca="1">_Google_ads[[#This Row],[avg_cpc]]*RANDBETWEEN(8,12)/10</f>
        <v>0.24300000000000002</v>
      </c>
      <c r="AA39" s="4">
        <f ca="1">ROUND(_Google_ads[[#This Row],[quality_score]]*RANDBETWEEN(8,12)/10,0)</f>
        <v>6</v>
      </c>
      <c r="AB39" s="4">
        <f ca="1">_Google_ads[[#This Row],[search_impression_share]]*RANDBETWEEN(8,12)/10</f>
        <v>0.35</v>
      </c>
      <c r="AD39" s="3">
        <f t="shared" ca="1" si="7"/>
        <v>45075</v>
      </c>
      <c r="AE39" s="4" t="s">
        <v>112</v>
      </c>
      <c r="AF39" s="4" t="s">
        <v>113</v>
      </c>
      <c r="AG39" s="4" t="s">
        <v>114</v>
      </c>
      <c r="AH39" s="4" t="s">
        <v>115</v>
      </c>
      <c r="AI39" s="4">
        <f ca="1">ROUND(T_Tiktok_ads[[#This Row],[impressions]]*RANDBETWEEN(8,12)/10,0)</f>
        <v>358710</v>
      </c>
      <c r="AJ39" s="4">
        <f ca="1">ROUND(T_Tiktok_ads[[#This Row],[clicks]]*RANDBETWEEN(8,12)/10,0)</f>
        <v>5227</v>
      </c>
      <c r="AK39" s="4">
        <v>998.7</v>
      </c>
      <c r="AL39" s="4">
        <f ca="1">ROUND(T_Tiktok_ads[[#This Row],[conversions]]*RANDBETWEEN(8,12)/10,0)</f>
        <v>118</v>
      </c>
      <c r="AM39" s="4">
        <f ca="1">ROUND(T_Tiktok_ads[[#This Row],[video_views]]*RANDBETWEEN(8,12)/10,0)</f>
        <v>299111</v>
      </c>
      <c r="AN39" s="4">
        <f ca="1">ROUND(T_Tiktok_ads[[#This Row],[video_watch_25]]*RANDBETWEEN(8,12)/10,0)</f>
        <v>267890</v>
      </c>
      <c r="AO39" s="4">
        <f ca="1">ROUND(T_Tiktok_ads[[#This Row],[video_watch_50]]*RANDBETWEEN(8,12)/10,0)</f>
        <v>193110</v>
      </c>
      <c r="AP39" s="4">
        <f ca="1">ROUND(T_Tiktok_ads[[#This Row],[video_watch_75]]*RANDBETWEEN(8,12)/10,0)</f>
        <v>120987</v>
      </c>
      <c r="AQ39" s="4">
        <f ca="1">ROUND(T_Tiktok_ads[[#This Row],[video_watch_100]]*RANDBETWEEN(8,12)/10,0)</f>
        <v>109524</v>
      </c>
      <c r="AR39" s="4">
        <f ca="1">ROUND(T_Tiktok_ads[[#This Row],[likes]]*RANDBETWEEN(8,12)/10,0)</f>
        <v>19532</v>
      </c>
      <c r="AS39" s="4">
        <f ca="1">ROUND(T_Tiktok_ads[[#This Row],[shares]]*RANDBETWEEN(8,12)/10,0)</f>
        <v>6014</v>
      </c>
      <c r="AT39" s="4">
        <f ca="1">ROUND(T_Tiktok_ads[[#This Row],[comments]]*RANDBETWEEN(8,12)/10,0)</f>
        <v>1667</v>
      </c>
      <c r="AV39" s="5">
        <f t="shared" ca="1" si="8"/>
        <v>45066</v>
      </c>
      <c r="AW39">
        <f t="shared" ca="1" si="4"/>
        <v>2</v>
      </c>
      <c r="AX39">
        <f ca="1">ROUND(T_Facebook_Ads1159636771[[#This Row],[impressions]]*RANDBETWEEN(8,12)/10,0)</f>
        <v>65601</v>
      </c>
      <c r="AY39">
        <f ca="1">ROUND(T_Facebook_Ads1159636771[[#This Row],[clicks]]*RANDBETWEEN(8,12)/10,0)</f>
        <v>261</v>
      </c>
      <c r="AZ39">
        <f ca="1">T_Facebook_Ads1159636771[[#This Row],[spend]]*RANDBETWEEN(8,12)/10</f>
        <v>117.128</v>
      </c>
      <c r="BA39">
        <f ca="1">ROUND(T_Facebook_Ads1159636771[[#This Row],[conversions]]*RANDBETWEEN(8,12)/10,0)</f>
        <v>6</v>
      </c>
      <c r="BB39">
        <f ca="1">ROUND(T_Facebook_Ads1159636771[[#This Row],[video_views]]*RANDBETWEEN(8,12)/10,0)</f>
        <v>49071</v>
      </c>
    </row>
    <row r="40" spans="1:54" ht="15.75" thickBot="1" x14ac:dyDescent="0.3">
      <c r="A40" s="3">
        <f t="shared" ca="1" si="5"/>
        <v>45068</v>
      </c>
      <c r="B40" s="4" t="s">
        <v>52</v>
      </c>
      <c r="C40" s="4" t="s">
        <v>53</v>
      </c>
      <c r="D40" s="4" t="s">
        <v>54</v>
      </c>
      <c r="E40" s="4" t="s">
        <v>55</v>
      </c>
      <c r="F40" s="4">
        <f ca="1">ROUND(T_Facebook_Ads[[#This Row],[impressions]]*RANDBETWEEN(8,12)/10,0)</f>
        <v>46580</v>
      </c>
      <c r="G40" s="4">
        <v>856</v>
      </c>
      <c r="H40" s="4">
        <f ca="1">T_Facebook_Ads[[#This Row],[spend]]*RANDBETWEEN(8,12)/10</f>
        <v>97.2</v>
      </c>
      <c r="I40" s="4">
        <f ca="1">ROUND(T_Facebook_Ads[[#This Row],[conversions]]*RANDBETWEEN(8,12)/10,0)</f>
        <v>14</v>
      </c>
      <c r="J40" s="4">
        <f ca="1">ROUND(T_Facebook_Ads[[#This Row],[video_views]]*RANDBETWEEN(8,12)/10,0)</f>
        <v>8679</v>
      </c>
      <c r="K40" s="4">
        <f ca="1">T_Facebook_Ads[[#This Row],[engagement_rate]]*RANDBETWEEN(8,12)/10</f>
        <v>2.2219999999999997E-2</v>
      </c>
      <c r="L40" s="4">
        <f ca="1">ROUND(T_Facebook_Ads[[#This Row],[reach]]*RANDBETWEEN(8,12)/10,0)</f>
        <v>35678</v>
      </c>
      <c r="M40" s="4">
        <f ca="1">T_Facebook_Ads[[#This Row],[frequency]]*RANDBETWEEN(8,12)/10</f>
        <v>1.071</v>
      </c>
      <c r="O40" s="3">
        <f t="shared" ca="1" si="6"/>
        <v>45049</v>
      </c>
      <c r="P40" s="4" t="s">
        <v>76</v>
      </c>
      <c r="Q40" s="4" t="s">
        <v>77</v>
      </c>
      <c r="R40" s="4" t="s">
        <v>78</v>
      </c>
      <c r="S40" s="4" t="s">
        <v>79</v>
      </c>
      <c r="T40" s="4">
        <f ca="1">ROUND(_Google_ads[[#This Row],[impressions]]*RANDBETWEEN(8,12)/10,0)</f>
        <v>24702</v>
      </c>
      <c r="U40" s="4">
        <f ca="1">ROUND(_Google_ads[[#This Row],[clicks]]*RANDBETWEEN(8,12)/10,0)</f>
        <v>1272</v>
      </c>
      <c r="V40" s="4">
        <f ca="1">_Google_ads[[#This Row],[cost]]*RANDBETWEEN(8,12)/10</f>
        <v>176.32</v>
      </c>
      <c r="W40" s="4">
        <f ca="1">ROUND(_Google_ads[[#This Row],[conversions]]*RANDBETWEEN(8,12)/10,0)</f>
        <v>52</v>
      </c>
      <c r="X40" s="4">
        <f ca="1">ROUND(_Google_ads[[#This Row],[conversion_value]]*RANDBETWEEN(8,12)/10,0)</f>
        <v>2365</v>
      </c>
      <c r="Y40" s="4">
        <f ca="1">_Google_ads[[#This Row],[ctr]]*RANDBETWEEN(8,12)/10</f>
        <v>4.6349999999999995E-2</v>
      </c>
      <c r="Z40" s="4">
        <f ca="1">_Google_ads[[#This Row],[avg_cpc]]*RANDBETWEEN(8,12)/10</f>
        <v>0.152</v>
      </c>
      <c r="AA40" s="4">
        <f ca="1">ROUND(_Google_ads[[#This Row],[quality_score]]*RANDBETWEEN(8,12)/10,0)</f>
        <v>7</v>
      </c>
      <c r="AB40" s="4">
        <f ca="1">_Google_ads[[#This Row],[search_impression_share]]*RANDBETWEEN(8,12)/10</f>
        <v>0.72</v>
      </c>
      <c r="AD40" s="3">
        <f t="shared" ca="1" si="7"/>
        <v>45068</v>
      </c>
      <c r="AE40" s="4" t="s">
        <v>100</v>
      </c>
      <c r="AF40" s="4" t="s">
        <v>101</v>
      </c>
      <c r="AG40" s="4" t="s">
        <v>102</v>
      </c>
      <c r="AH40" s="4" t="s">
        <v>103</v>
      </c>
      <c r="AI40" s="4">
        <f ca="1">ROUND(T_Tiktok_ads[[#This Row],[impressions]]*RANDBETWEEN(8,12)/10,0)</f>
        <v>258024</v>
      </c>
      <c r="AJ40" s="4">
        <f ca="1">ROUND(T_Tiktok_ads[[#This Row],[clicks]]*RANDBETWEEN(8,12)/10,0)</f>
        <v>3110</v>
      </c>
      <c r="AK40" s="4">
        <v>456.7</v>
      </c>
      <c r="AL40" s="4">
        <f ca="1">ROUND(T_Tiktok_ads[[#This Row],[conversions]]*RANDBETWEEN(8,12)/10,0)</f>
        <v>31</v>
      </c>
      <c r="AM40" s="4">
        <f ca="1">ROUND(T_Tiktok_ads[[#This Row],[video_views]]*RANDBETWEEN(8,12)/10,0)</f>
        <v>237881</v>
      </c>
      <c r="AN40" s="4">
        <f ca="1">ROUND(T_Tiktok_ads[[#This Row],[video_watch_25]]*RANDBETWEEN(8,12)/10,0)</f>
        <v>124987</v>
      </c>
      <c r="AO40" s="4">
        <f ca="1">ROUND(T_Tiktok_ads[[#This Row],[video_watch_50]]*RANDBETWEEN(8,12)/10,0)</f>
        <v>78587</v>
      </c>
      <c r="AP40" s="4">
        <f ca="1">ROUND(T_Tiktok_ads[[#This Row],[video_watch_75]]*RANDBETWEEN(8,12)/10,0)</f>
        <v>67234</v>
      </c>
      <c r="AQ40" s="4">
        <f ca="1">ROUND(T_Tiktok_ads[[#This Row],[video_watch_100]]*RANDBETWEEN(8,12)/10,0)</f>
        <v>54281</v>
      </c>
      <c r="AR40" s="4">
        <f ca="1">ROUND(T_Tiktok_ads[[#This Row],[likes]]*RANDBETWEEN(8,12)/10,0)</f>
        <v>8923</v>
      </c>
      <c r="AS40" s="4">
        <f ca="1">ROUND(T_Tiktok_ads[[#This Row],[shares]]*RANDBETWEEN(8,12)/10,0)</f>
        <v>1876</v>
      </c>
      <c r="AT40" s="4">
        <f ca="1">ROUND(T_Tiktok_ads[[#This Row],[comments]]*RANDBETWEEN(8,12)/10,0)</f>
        <v>567</v>
      </c>
      <c r="AV40" s="5">
        <f t="shared" ca="1" si="8"/>
        <v>45051</v>
      </c>
      <c r="AW40">
        <f t="shared" ca="1" si="4"/>
        <v>6</v>
      </c>
      <c r="AX40">
        <f ca="1">ROUND(T_Facebook_Ads1159636771[[#This Row],[impressions]]*RANDBETWEEN(8,12)/10,0)</f>
        <v>41922</v>
      </c>
      <c r="AY40">
        <f ca="1">ROUND(T_Facebook_Ads1159636771[[#This Row],[clicks]]*RANDBETWEEN(8,12)/10,0)</f>
        <v>856</v>
      </c>
      <c r="AZ40">
        <f ca="1">T_Facebook_Ads1159636771[[#This Row],[spend]]*RANDBETWEEN(8,12)/10</f>
        <v>77.760000000000005</v>
      </c>
      <c r="BA40">
        <f ca="1">ROUND(T_Facebook_Ads1159636771[[#This Row],[conversions]]*RANDBETWEEN(8,12)/10,0)</f>
        <v>11</v>
      </c>
      <c r="BB40">
        <f ca="1">ROUND(T_Facebook_Ads1159636771[[#This Row],[video_views]]*RANDBETWEEN(8,12)/10,0)</f>
        <v>7811</v>
      </c>
    </row>
    <row r="41" spans="1:54" ht="15.75" thickBot="1" x14ac:dyDescent="0.3">
      <c r="A41" s="3">
        <f t="shared" ca="1" si="5"/>
        <v>45074</v>
      </c>
      <c r="B41" s="4" t="s">
        <v>56</v>
      </c>
      <c r="C41" s="4" t="s">
        <v>57</v>
      </c>
      <c r="D41" s="4" t="s">
        <v>58</v>
      </c>
      <c r="E41" s="4" t="s">
        <v>59</v>
      </c>
      <c r="F41" s="4">
        <f ca="1">ROUND(T_Facebook_Ads[[#This Row],[impressions]]*RANDBETWEEN(8,12)/10,0)</f>
        <v>8987</v>
      </c>
      <c r="G41" s="4">
        <v>523</v>
      </c>
      <c r="H41" s="4">
        <f ca="1">T_Facebook_Ads[[#This Row],[spend]]*RANDBETWEEN(8,12)/10</f>
        <v>198.6</v>
      </c>
      <c r="I41" s="4">
        <f ca="1">ROUND(T_Facebook_Ads[[#This Row],[conversions]]*RANDBETWEEN(8,12)/10,0)</f>
        <v>35</v>
      </c>
      <c r="J41" s="4">
        <f ca="1">ROUND(T_Facebook_Ads[[#This Row],[video_views]]*RANDBETWEEN(8,12)/10,0)</f>
        <v>1235</v>
      </c>
      <c r="K41" s="4">
        <f ca="1">T_Facebook_Ads[[#This Row],[engagement_rate]]*RANDBETWEEN(8,12)/10</f>
        <v>4.6600000000000003E-2</v>
      </c>
      <c r="L41" s="4">
        <f ca="1">ROUND(T_Facebook_Ads[[#This Row],[reach]]*RANDBETWEEN(8,12)/10,0)</f>
        <v>8011</v>
      </c>
      <c r="M41" s="4">
        <f ca="1">T_Facebook_Ads[[#This Row],[frequency]]*RANDBETWEEN(8,12)/10</f>
        <v>1.27</v>
      </c>
      <c r="O41" s="3">
        <f t="shared" ca="1" si="6"/>
        <v>45048</v>
      </c>
      <c r="P41" s="4" t="s">
        <v>80</v>
      </c>
      <c r="Q41" s="4" t="s">
        <v>81</v>
      </c>
      <c r="R41" s="4" t="s">
        <v>82</v>
      </c>
      <c r="S41" s="4" t="s">
        <v>83</v>
      </c>
      <c r="T41" s="4">
        <f ca="1">ROUND(_Google_ads[[#This Row],[impressions]]*RANDBETWEEN(8,12)/10,0)</f>
        <v>41234</v>
      </c>
      <c r="U41" s="4">
        <f ca="1">ROUND(_Google_ads[[#This Row],[clicks]]*RANDBETWEEN(8,12)/10,0)</f>
        <v>905</v>
      </c>
      <c r="V41" s="4">
        <f ca="1">_Google_ads[[#This Row],[cost]]*RANDBETWEEN(8,12)/10</f>
        <v>423.12</v>
      </c>
      <c r="W41" s="4">
        <f ca="1">ROUND(_Google_ads[[#This Row],[conversions]]*RANDBETWEEN(8,12)/10,0)</f>
        <v>23</v>
      </c>
      <c r="X41" s="4">
        <f ca="1">ROUND(_Google_ads[[#This Row],[conversion_value]]*RANDBETWEEN(8,12)/10,0)</f>
        <v>840</v>
      </c>
      <c r="Y41" s="4">
        <f ca="1">_Google_ads[[#This Row],[ctr]]*RANDBETWEEN(8,12)/10</f>
        <v>0.02</v>
      </c>
      <c r="Z41" s="4">
        <f ca="1">_Google_ads[[#This Row],[avg_cpc]]*RANDBETWEEN(8,12)/10</f>
        <v>0.57599999999999996</v>
      </c>
      <c r="AA41" s="4">
        <f ca="1">ROUND(_Google_ads[[#This Row],[quality_score]]*RANDBETWEEN(8,12)/10,0)</f>
        <v>5</v>
      </c>
      <c r="AB41" s="4">
        <f ca="1">_Google_ads[[#This Row],[search_impression_share]]*RANDBETWEEN(8,12)/10</f>
        <v>0.34399999999999997</v>
      </c>
      <c r="AD41" s="3">
        <f t="shared" ca="1" si="7"/>
        <v>45057</v>
      </c>
      <c r="AE41" s="4" t="s">
        <v>104</v>
      </c>
      <c r="AF41" s="4" t="s">
        <v>105</v>
      </c>
      <c r="AG41" s="4" t="s">
        <v>106</v>
      </c>
      <c r="AH41" s="4" t="s">
        <v>107</v>
      </c>
      <c r="AI41" s="4">
        <f ca="1">ROUND(T_Tiktok_ads[[#This Row],[impressions]]*RANDBETWEEN(8,12)/10,0)</f>
        <v>148024</v>
      </c>
      <c r="AJ41" s="4">
        <f ca="1">ROUND(T_Tiktok_ads[[#This Row],[clicks]]*RANDBETWEEN(8,12)/10,0)</f>
        <v>2824</v>
      </c>
      <c r="AK41" s="4">
        <v>712.3</v>
      </c>
      <c r="AL41" s="4">
        <f ca="1">ROUND(T_Tiktok_ads[[#This Row],[conversions]]*RANDBETWEEN(8,12)/10,0)</f>
        <v>78</v>
      </c>
      <c r="AM41" s="4">
        <f ca="1">ROUND(T_Tiktok_ads[[#This Row],[video_views]]*RANDBETWEEN(8,12)/10,0)</f>
        <v>86110</v>
      </c>
      <c r="AN41" s="4">
        <f ca="1">ROUND(T_Tiktok_ads[[#This Row],[video_watch_25]]*RANDBETWEEN(8,12)/10,0)</f>
        <v>71234</v>
      </c>
      <c r="AO41" s="4">
        <f ca="1">ROUND(T_Tiktok_ads[[#This Row],[video_watch_50]]*RANDBETWEEN(8,12)/10,0)</f>
        <v>57881</v>
      </c>
      <c r="AP41" s="4">
        <f ca="1">ROUND(T_Tiktok_ads[[#This Row],[video_watch_75]]*RANDBETWEEN(8,12)/10,0)</f>
        <v>36234</v>
      </c>
      <c r="AQ41" s="4">
        <f ca="1">ROUND(T_Tiktok_ads[[#This Row],[video_watch_100]]*RANDBETWEEN(8,12)/10,0)</f>
        <v>24567</v>
      </c>
      <c r="AR41" s="4">
        <f ca="1">ROUND(T_Tiktok_ads[[#This Row],[likes]]*RANDBETWEEN(8,12)/10,0)</f>
        <v>5747</v>
      </c>
      <c r="AS41" s="4">
        <f ca="1">ROUND(T_Tiktok_ads[[#This Row],[shares]]*RANDBETWEEN(8,12)/10,0)</f>
        <v>1614</v>
      </c>
      <c r="AT41" s="4">
        <f ca="1">ROUND(T_Tiktok_ads[[#This Row],[comments]]*RANDBETWEEN(8,12)/10,0)</f>
        <v>245</v>
      </c>
      <c r="AV41" s="5">
        <f t="shared" ca="1" si="8"/>
        <v>45065</v>
      </c>
      <c r="AW41">
        <f t="shared" ca="1" si="4"/>
        <v>8</v>
      </c>
      <c r="AX41">
        <f ca="1">ROUND(T_Facebook_Ads1159636771[[#This Row],[impressions]]*RANDBETWEEN(8,12)/10,0)</f>
        <v>8088</v>
      </c>
      <c r="AY41">
        <f ca="1">ROUND(T_Facebook_Ads1159636771[[#This Row],[clicks]]*RANDBETWEEN(8,12)/10,0)</f>
        <v>628</v>
      </c>
      <c r="AZ41">
        <f ca="1">T_Facebook_Ads1159636771[[#This Row],[spend]]*RANDBETWEEN(8,12)/10</f>
        <v>158.88</v>
      </c>
      <c r="BA41">
        <f ca="1">ROUND(T_Facebook_Ads1159636771[[#This Row],[conversions]]*RANDBETWEEN(8,12)/10,0)</f>
        <v>39</v>
      </c>
      <c r="BB41">
        <f ca="1">ROUND(T_Facebook_Ads1159636771[[#This Row],[video_views]]*RANDBETWEEN(8,12)/10,0)</f>
        <v>988</v>
      </c>
    </row>
    <row r="42" spans="1:54" ht="15.75" thickBot="1" x14ac:dyDescent="0.3">
      <c r="A42" s="3">
        <f t="shared" ca="1" si="5"/>
        <v>45053</v>
      </c>
      <c r="B42" s="4" t="s">
        <v>60</v>
      </c>
      <c r="C42" s="4" t="s">
        <v>61</v>
      </c>
      <c r="D42" s="4" t="s">
        <v>62</v>
      </c>
      <c r="E42" s="4" t="s">
        <v>63</v>
      </c>
      <c r="F42" s="4">
        <f ca="1">ROUND(T_Facebook_Ads[[#This Row],[impressions]]*RANDBETWEEN(8,12)/10,0)</f>
        <v>33456</v>
      </c>
      <c r="G42" s="4">
        <v>1203</v>
      </c>
      <c r="H42" s="4">
        <f ca="1">T_Facebook_Ads[[#This Row],[spend]]*RANDBETWEEN(8,12)/10</f>
        <v>148.24</v>
      </c>
      <c r="I42" s="4">
        <f ca="1">ROUND(T_Facebook_Ads[[#This Row],[conversions]]*RANDBETWEEN(8,12)/10,0)</f>
        <v>18</v>
      </c>
      <c r="J42" s="4">
        <f ca="1">ROUND(T_Facebook_Ads[[#This Row],[video_views]]*RANDBETWEEN(8,12)/10,0)</f>
        <v>4657</v>
      </c>
      <c r="K42" s="4">
        <f ca="1">T_Facebook_Ads[[#This Row],[engagement_rate]]*RANDBETWEEN(8,12)/10</f>
        <v>4.3199999999999995E-2</v>
      </c>
      <c r="L42" s="4">
        <f ca="1">ROUND(T_Facebook_Ads[[#This Row],[reach]]*RANDBETWEEN(8,12)/10,0)</f>
        <v>33468</v>
      </c>
      <c r="M42" s="4">
        <f ca="1">T_Facebook_Ads[[#This Row],[frequency]]*RANDBETWEEN(8,12)/10</f>
        <v>1.2</v>
      </c>
      <c r="O42" s="3">
        <f t="shared" ca="1" si="6"/>
        <v>45064</v>
      </c>
      <c r="P42" s="4" t="s">
        <v>84</v>
      </c>
      <c r="Q42" s="4" t="s">
        <v>85</v>
      </c>
      <c r="R42" s="4" t="s">
        <v>86</v>
      </c>
      <c r="S42" s="4" t="s">
        <v>87</v>
      </c>
      <c r="T42" s="4">
        <f ca="1">ROUND(_Google_ads[[#This Row],[impressions]]*RANDBETWEEN(8,12)/10,0)</f>
        <v>76147</v>
      </c>
      <c r="U42" s="4">
        <f ca="1">ROUND(_Google_ads[[#This Row],[clicks]]*RANDBETWEEN(8,12)/10,0)</f>
        <v>2089</v>
      </c>
      <c r="V42" s="4">
        <f ca="1">_Google_ads[[#This Row],[cost]]*RANDBETWEEN(8,12)/10</f>
        <v>382.6</v>
      </c>
      <c r="W42" s="4">
        <f ca="1">ROUND(_Google_ads[[#This Row],[conversions]]*RANDBETWEEN(8,12)/10,0)</f>
        <v>48</v>
      </c>
      <c r="X42" s="4">
        <f ca="1">ROUND(_Google_ads[[#This Row],[conversion_value]]*RANDBETWEEN(8,12)/10,0)</f>
        <v>3600</v>
      </c>
      <c r="Y42" s="4">
        <f ca="1">_Google_ads[[#This Row],[ctr]]*RANDBETWEEN(8,12)/10</f>
        <v>3.619E-2</v>
      </c>
      <c r="Z42" s="4">
        <f ca="1">_Google_ads[[#This Row],[avg_cpc]]*RANDBETWEEN(8,12)/10</f>
        <v>0.14399999999999999</v>
      </c>
      <c r="AA42" s="4">
        <f ca="1">ROUND(_Google_ads[[#This Row],[quality_score]]*RANDBETWEEN(8,12)/10,0)</f>
        <v>8</v>
      </c>
      <c r="AB42" s="4">
        <f ca="1">_Google_ads[[#This Row],[search_impression_share]]*RANDBETWEEN(8,12)/10</f>
        <v>0.78</v>
      </c>
      <c r="AD42" s="3">
        <f t="shared" ca="1" si="7"/>
        <v>45050</v>
      </c>
      <c r="AE42" s="4" t="s">
        <v>108</v>
      </c>
      <c r="AF42" s="4" t="s">
        <v>109</v>
      </c>
      <c r="AG42" s="4" t="s">
        <v>110</v>
      </c>
      <c r="AH42" s="4" t="s">
        <v>111</v>
      </c>
      <c r="AI42" s="4">
        <f ca="1">ROUND(T_Tiktok_ads[[#This Row],[impressions]]*RANDBETWEEN(8,12)/10,0)</f>
        <v>201234</v>
      </c>
      <c r="AJ42" s="4">
        <f ca="1">ROUND(T_Tiktok_ads[[#This Row],[clicks]]*RANDBETWEEN(8,12)/10,0)</f>
        <v>3435</v>
      </c>
      <c r="AK42" s="4">
        <v>374.5</v>
      </c>
      <c r="AL42" s="4">
        <f ca="1">ROUND(T_Tiktok_ads[[#This Row],[conversions]]*RANDBETWEEN(8,12)/10,0)</f>
        <v>23</v>
      </c>
      <c r="AM42" s="4">
        <f ca="1">ROUND(T_Tiktok_ads[[#This Row],[video_views]]*RANDBETWEEN(8,12)/10,0)</f>
        <v>173679</v>
      </c>
      <c r="AN42" s="4">
        <f ca="1">ROUND(T_Tiktok_ads[[#This Row],[video_watch_25]]*RANDBETWEEN(8,12)/10,0)</f>
        <v>133357</v>
      </c>
      <c r="AO42" s="4">
        <f ca="1">ROUND(T_Tiktok_ads[[#This Row],[video_watch_50]]*RANDBETWEEN(8,12)/10,0)</f>
        <v>105857</v>
      </c>
      <c r="AP42" s="4">
        <f ca="1">ROUND(T_Tiktok_ads[[#This Row],[video_watch_75]]*RANDBETWEEN(8,12)/10,0)</f>
        <v>48987</v>
      </c>
      <c r="AQ42" s="4">
        <f ca="1">ROUND(T_Tiktok_ads[[#This Row],[video_watch_100]]*RANDBETWEEN(8,12)/10,0)</f>
        <v>37456</v>
      </c>
      <c r="AR42" s="4">
        <f ca="1">ROUND(T_Tiktok_ads[[#This Row],[likes]]*RANDBETWEEN(8,12)/10,0)</f>
        <v>8814</v>
      </c>
      <c r="AS42" s="4">
        <f ca="1">ROUND(T_Tiktok_ads[[#This Row],[shares]]*RANDBETWEEN(8,12)/10,0)</f>
        <v>1627</v>
      </c>
      <c r="AT42" s="4">
        <f ca="1">ROUND(T_Tiktok_ads[[#This Row],[comments]]*RANDBETWEEN(8,12)/10,0)</f>
        <v>489</v>
      </c>
      <c r="AV42" s="5">
        <f t="shared" ca="1" si="8"/>
        <v>45067</v>
      </c>
      <c r="AW42">
        <f t="shared" ca="1" si="4"/>
        <v>5</v>
      </c>
      <c r="AX42">
        <f ca="1">ROUND(T_Facebook_Ads1159636771[[#This Row],[impressions]]*RANDBETWEEN(8,12)/10,0)</f>
        <v>40147</v>
      </c>
      <c r="AY42">
        <f ca="1">ROUND(T_Facebook_Ads1159636771[[#This Row],[clicks]]*RANDBETWEEN(8,12)/10,0)</f>
        <v>1083</v>
      </c>
      <c r="AZ42">
        <f ca="1">T_Facebook_Ads1159636771[[#This Row],[spend]]*RANDBETWEEN(8,12)/10</f>
        <v>118.59200000000001</v>
      </c>
      <c r="BA42">
        <f ca="1">ROUND(T_Facebook_Ads1159636771[[#This Row],[conversions]]*RANDBETWEEN(8,12)/10,0)</f>
        <v>14</v>
      </c>
      <c r="BB42">
        <f ca="1">ROUND(T_Facebook_Ads1159636771[[#This Row],[video_views]]*RANDBETWEEN(8,12)/10,0)</f>
        <v>5588</v>
      </c>
    </row>
    <row r="43" spans="1:54" ht="15.75" thickBot="1" x14ac:dyDescent="0.3">
      <c r="A43" s="3">
        <f t="shared" ca="1" si="5"/>
        <v>45070</v>
      </c>
      <c r="B43" s="4" t="s">
        <v>64</v>
      </c>
      <c r="C43" s="4" t="s">
        <v>65</v>
      </c>
      <c r="D43" s="4" t="s">
        <v>66</v>
      </c>
      <c r="E43" s="4" t="s">
        <v>67</v>
      </c>
      <c r="F43" s="4">
        <f ca="1">ROUND(T_Facebook_Ads[[#This Row],[impressions]]*RANDBETWEEN(8,12)/10,0)</f>
        <v>51654</v>
      </c>
      <c r="G43" s="4">
        <v>238</v>
      </c>
      <c r="H43" s="4">
        <f ca="1">T_Facebook_Ads[[#This Row],[spend]]*RANDBETWEEN(8,12)/10</f>
        <v>75.06</v>
      </c>
      <c r="I43" s="4">
        <f ca="1">ROUND(T_Facebook_Ads[[#This Row],[conversions]]*RANDBETWEEN(8,12)/10,0)</f>
        <v>6</v>
      </c>
      <c r="J43" s="4">
        <f ca="1">ROUND(T_Facebook_Ads[[#This Row],[video_views]]*RANDBETWEEN(8,12)/10,0)</f>
        <v>51881</v>
      </c>
      <c r="K43" s="4">
        <f ca="1">T_Facebook_Ads[[#This Row],[engagement_rate]]*RANDBETWEEN(8,12)/10</f>
        <v>2.96E-3</v>
      </c>
      <c r="L43" s="4">
        <f ca="1">ROUND(T_Facebook_Ads[[#This Row],[reach]]*RANDBETWEEN(8,12)/10,0)</f>
        <v>63468</v>
      </c>
      <c r="M43" s="4">
        <f ca="1">T_Facebook_Ads[[#This Row],[frequency]]*RANDBETWEEN(8,12)/10</f>
        <v>1.3420000000000001</v>
      </c>
      <c r="O43" s="3">
        <f t="shared" ca="1" si="6"/>
        <v>45072</v>
      </c>
      <c r="P43" s="4" t="s">
        <v>88</v>
      </c>
      <c r="Q43" s="4" t="s">
        <v>89</v>
      </c>
      <c r="R43" s="4" t="s">
        <v>90</v>
      </c>
      <c r="S43" s="4" t="s">
        <v>59</v>
      </c>
      <c r="T43" s="4">
        <f ca="1">ROUND(_Google_ads[[#This Row],[impressions]]*RANDBETWEEN(8,12)/10,0)</f>
        <v>143081</v>
      </c>
      <c r="U43" s="4">
        <f ca="1">ROUND(_Google_ads[[#This Row],[clicks]]*RANDBETWEEN(8,12)/10,0)</f>
        <v>434</v>
      </c>
      <c r="V43" s="4">
        <f ca="1">_Google_ads[[#This Row],[cost]]*RANDBETWEEN(8,12)/10</f>
        <v>93.44</v>
      </c>
      <c r="W43" s="4">
        <f ca="1">ROUND(_Google_ads[[#This Row],[conversions]]*RANDBETWEEN(8,12)/10,0)</f>
        <v>13</v>
      </c>
      <c r="X43" s="4">
        <f ca="1">ROUND(_Google_ads[[#This Row],[conversion_value]]*RANDBETWEEN(8,12)/10,0)</f>
        <v>480</v>
      </c>
      <c r="Y43" s="4">
        <f ca="1">_Google_ads[[#This Row],[ctr]]*RANDBETWEEN(8,12)/10</f>
        <v>3.96E-3</v>
      </c>
      <c r="Z43" s="4">
        <f ca="1">_Google_ads[[#This Row],[avg_cpc]]*RANDBETWEEN(8,12)/10</f>
        <v>0.29700000000000004</v>
      </c>
      <c r="AA43" s="4">
        <f ca="1">ROUND(_Google_ads[[#This Row],[quality_score]]*RANDBETWEEN(8,12)/10,0)</f>
        <v>7</v>
      </c>
      <c r="AB43" s="4">
        <f ca="1">_Google_ads[[#This Row],[search_impression_share]]*RANDBETWEEN(8,12)/10</f>
        <v>0.39600000000000002</v>
      </c>
      <c r="AD43" s="3">
        <f t="shared" ca="1" si="7"/>
        <v>45074</v>
      </c>
      <c r="AE43" s="4" t="s">
        <v>112</v>
      </c>
      <c r="AF43" s="4" t="s">
        <v>113</v>
      </c>
      <c r="AG43" s="4" t="s">
        <v>114</v>
      </c>
      <c r="AH43" s="4" t="s">
        <v>115</v>
      </c>
      <c r="AI43" s="4">
        <f ca="1">ROUND(T_Tiktok_ads[[#This Row],[impressions]]*RANDBETWEEN(8,12)/10,0)</f>
        <v>294312</v>
      </c>
      <c r="AJ43" s="4">
        <f ca="1">ROUND(T_Tiktok_ads[[#This Row],[clicks]]*RANDBETWEEN(8,12)/10,0)</f>
        <v>6613</v>
      </c>
      <c r="AK43" s="4">
        <v>923.4</v>
      </c>
      <c r="AL43" s="4">
        <f ca="1">ROUND(T_Tiktok_ads[[#This Row],[conversions]]*RANDBETWEEN(8,12)/10,0)</f>
        <v>113</v>
      </c>
      <c r="AM43" s="4">
        <f ca="1">ROUND(T_Tiktok_ads[[#This Row],[video_views]]*RANDBETWEEN(8,12)/10,0)</f>
        <v>240987</v>
      </c>
      <c r="AN43" s="4">
        <f ca="1">ROUND(T_Tiktok_ads[[#This Row],[video_watch_25]]*RANDBETWEEN(8,12)/10,0)</f>
        <v>294814</v>
      </c>
      <c r="AO43" s="4">
        <f ca="1">ROUND(T_Tiktok_ads[[#This Row],[video_watch_50]]*RANDBETWEEN(8,12)/10,0)</f>
        <v>177110</v>
      </c>
      <c r="AP43" s="4">
        <f ca="1">ROUND(T_Tiktok_ads[[#This Row],[video_watch_75]]*RANDBETWEEN(8,12)/10,0)</f>
        <v>140234</v>
      </c>
      <c r="AQ43" s="4">
        <f ca="1">ROUND(T_Tiktok_ads[[#This Row],[video_watch_100]]*RANDBETWEEN(8,12)/10,0)</f>
        <v>112147</v>
      </c>
      <c r="AR43" s="4">
        <f ca="1">ROUND(T_Tiktok_ads[[#This Row],[likes]]*RANDBETWEEN(8,12)/10,0)</f>
        <v>12987</v>
      </c>
      <c r="AS43" s="4">
        <f ca="1">ROUND(T_Tiktok_ads[[#This Row],[shares]]*RANDBETWEEN(8,12)/10,0)</f>
        <v>3831</v>
      </c>
      <c r="AT43" s="4">
        <f ca="1">ROUND(T_Tiktok_ads[[#This Row],[comments]]*RANDBETWEEN(8,12)/10,0)</f>
        <v>1547</v>
      </c>
      <c r="AV43" s="5">
        <f t="shared" ca="1" si="8"/>
        <v>45052</v>
      </c>
      <c r="AW43">
        <f t="shared" ca="1" si="4"/>
        <v>7</v>
      </c>
      <c r="AX43">
        <f ca="1">ROUND(T_Facebook_Ads1159636771[[#This Row],[impressions]]*RANDBETWEEN(8,12)/10,0)</f>
        <v>56819</v>
      </c>
      <c r="AY43">
        <f ca="1">ROUND(T_Facebook_Ads1159636771[[#This Row],[clicks]]*RANDBETWEEN(8,12)/10,0)</f>
        <v>286</v>
      </c>
      <c r="AZ43">
        <f ca="1">T_Facebook_Ads1159636771[[#This Row],[spend]]*RANDBETWEEN(8,12)/10</f>
        <v>82.566000000000003</v>
      </c>
      <c r="BA43">
        <f ca="1">ROUND(T_Facebook_Ads1159636771[[#This Row],[conversions]]*RANDBETWEEN(8,12)/10,0)</f>
        <v>6</v>
      </c>
      <c r="BB43">
        <f ca="1">ROUND(T_Facebook_Ads1159636771[[#This Row],[video_views]]*RANDBETWEEN(8,12)/10,0)</f>
        <v>41505</v>
      </c>
    </row>
    <row r="44" spans="1:54" ht="15.75" thickBot="1" x14ac:dyDescent="0.3">
      <c r="A44" s="3">
        <f t="shared" ca="1" si="5"/>
        <v>45057</v>
      </c>
      <c r="B44" s="4" t="s">
        <v>52</v>
      </c>
      <c r="C44" s="4" t="s">
        <v>53</v>
      </c>
      <c r="D44" s="4" t="s">
        <v>54</v>
      </c>
      <c r="E44" s="4" t="s">
        <v>55</v>
      </c>
      <c r="F44" s="4">
        <f ca="1">ROUND(T_Facebook_Ads[[#This Row],[impressions]]*RANDBETWEEN(8,12)/10,0)</f>
        <v>48148</v>
      </c>
      <c r="G44" s="4">
        <v>798</v>
      </c>
      <c r="H44" s="4">
        <f ca="1">T_Facebook_Ads[[#This Row],[spend]]*RANDBETWEEN(8,12)/10</f>
        <v>114.7</v>
      </c>
      <c r="I44" s="4">
        <f ca="1">ROUND(T_Facebook_Ads[[#This Row],[conversions]]*RANDBETWEEN(8,12)/10,0)</f>
        <v>9</v>
      </c>
      <c r="J44" s="4">
        <f ca="1">ROUND(T_Facebook_Ads[[#This Row],[video_views]]*RANDBETWEEN(8,12)/10,0)</f>
        <v>8080</v>
      </c>
      <c r="K44" s="4">
        <f ca="1">T_Facebook_Ads[[#This Row],[engagement_rate]]*RANDBETWEEN(8,12)/10</f>
        <v>2.3880000000000002E-2</v>
      </c>
      <c r="L44" s="4">
        <f ca="1">ROUND(T_Facebook_Ads[[#This Row],[reach]]*RANDBETWEEN(8,12)/10,0)</f>
        <v>30110</v>
      </c>
      <c r="M44" s="4">
        <f ca="1">T_Facebook_Ads[[#This Row],[frequency]]*RANDBETWEEN(8,12)/10</f>
        <v>1.3199999999999998</v>
      </c>
      <c r="O44" s="3">
        <f t="shared" ca="1" si="6"/>
        <v>45052</v>
      </c>
      <c r="P44" s="4" t="s">
        <v>76</v>
      </c>
      <c r="Q44" s="4" t="s">
        <v>77</v>
      </c>
      <c r="R44" s="4" t="s">
        <v>78</v>
      </c>
      <c r="S44" s="4" t="s">
        <v>79</v>
      </c>
      <c r="T44" s="4">
        <f ca="1">ROUND(_Google_ads[[#This Row],[impressions]]*RANDBETWEEN(8,12)/10,0)</f>
        <v>25481</v>
      </c>
      <c r="U44" s="4">
        <f ca="1">ROUND(_Google_ads[[#This Row],[clicks]]*RANDBETWEEN(8,12)/10,0)</f>
        <v>980</v>
      </c>
      <c r="V44" s="4">
        <f ca="1">_Google_ads[[#This Row],[cost]]*RANDBETWEEN(8,12)/10</f>
        <v>207.8</v>
      </c>
      <c r="W44" s="4">
        <f ca="1">ROUND(_Google_ads[[#This Row],[conversions]]*RANDBETWEEN(8,12)/10,0)</f>
        <v>45</v>
      </c>
      <c r="X44" s="4">
        <f ca="1">ROUND(_Google_ads[[#This Row],[conversion_value]]*RANDBETWEEN(8,12)/10,0)</f>
        <v>1640</v>
      </c>
      <c r="Y44" s="4">
        <f ca="1">_Google_ads[[#This Row],[ctr]]*RANDBETWEEN(8,12)/10</f>
        <v>6.155999999999999E-2</v>
      </c>
      <c r="Z44" s="4">
        <f ca="1">_Google_ads[[#This Row],[avg_cpc]]*RANDBETWEEN(8,12)/10</f>
        <v>0.22800000000000004</v>
      </c>
      <c r="AA44" s="4">
        <f ca="1">ROUND(_Google_ads[[#This Row],[quality_score]]*RANDBETWEEN(8,12)/10,0)</f>
        <v>8</v>
      </c>
      <c r="AB44" s="4">
        <f ca="1">_Google_ads[[#This Row],[search_impression_share]]*RANDBETWEEN(8,12)/10</f>
        <v>1.0680000000000001</v>
      </c>
      <c r="AD44" s="3">
        <f t="shared" ca="1" si="7"/>
        <v>45072</v>
      </c>
      <c r="AE44" s="4" t="s">
        <v>100</v>
      </c>
      <c r="AF44" s="4" t="s">
        <v>101</v>
      </c>
      <c r="AG44" s="4" t="s">
        <v>102</v>
      </c>
      <c r="AH44" s="4" t="s">
        <v>103</v>
      </c>
      <c r="AI44" s="4">
        <f ca="1">ROUND(T_Tiktok_ads[[#This Row],[impressions]]*RANDBETWEEN(8,12)/10,0)</f>
        <v>223456</v>
      </c>
      <c r="AJ44" s="4">
        <f ca="1">ROUND(T_Tiktok_ads[[#This Row],[clicks]]*RANDBETWEEN(8,12)/10,0)</f>
        <v>3881</v>
      </c>
      <c r="AK44" s="4">
        <v>434.5</v>
      </c>
      <c r="AL44" s="4">
        <f ca="1">ROUND(T_Tiktok_ads[[#This Row],[conversions]]*RANDBETWEEN(8,12)/10,0)</f>
        <v>32</v>
      </c>
      <c r="AM44" s="4">
        <f ca="1">ROUND(T_Tiktok_ads[[#This Row],[video_views]]*RANDBETWEEN(8,12)/10,0)</f>
        <v>170311</v>
      </c>
      <c r="AN44" s="4">
        <f ca="1">ROUND(T_Tiktok_ads[[#This Row],[video_watch_25]]*RANDBETWEEN(8,12)/10,0)</f>
        <v>163057</v>
      </c>
      <c r="AO44" s="4">
        <f ca="1">ROUND(T_Tiktok_ads[[#This Row],[video_watch_50]]*RANDBETWEEN(8,12)/10,0)</f>
        <v>111881</v>
      </c>
      <c r="AP44" s="4">
        <f ca="1">ROUND(T_Tiktok_ads[[#This Row],[video_watch_75]]*RANDBETWEEN(8,12)/10,0)</f>
        <v>76147</v>
      </c>
      <c r="AQ44" s="4">
        <f ca="1">ROUND(T_Tiktok_ads[[#This Row],[video_watch_100]]*RANDBETWEEN(8,12)/10,0)</f>
        <v>38911</v>
      </c>
      <c r="AR44" s="4">
        <f ca="1">ROUND(T_Tiktok_ads[[#This Row],[likes]]*RANDBETWEEN(8,12)/10,0)</f>
        <v>9424</v>
      </c>
      <c r="AS44" s="4">
        <f ca="1">ROUND(T_Tiktok_ads[[#This Row],[shares]]*RANDBETWEEN(8,12)/10,0)</f>
        <v>2011</v>
      </c>
      <c r="AT44" s="4">
        <f ca="1">ROUND(T_Tiktok_ads[[#This Row],[comments]]*RANDBETWEEN(8,12)/10,0)</f>
        <v>641</v>
      </c>
      <c r="AV44" s="5">
        <f t="shared" ca="1" si="8"/>
        <v>45053</v>
      </c>
      <c r="AW44">
        <f t="shared" ca="1" si="4"/>
        <v>4</v>
      </c>
      <c r="AX44">
        <f ca="1">ROUND(T_Facebook_Ads1159636771[[#This Row],[impressions]]*RANDBETWEEN(8,12)/10,0)</f>
        <v>48148</v>
      </c>
      <c r="AY44">
        <f ca="1">ROUND(T_Facebook_Ads1159636771[[#This Row],[clicks]]*RANDBETWEEN(8,12)/10,0)</f>
        <v>878</v>
      </c>
      <c r="AZ44">
        <f ca="1">T_Facebook_Ads1159636771[[#This Row],[spend]]*RANDBETWEEN(8,12)/10</f>
        <v>114.7</v>
      </c>
      <c r="BA44">
        <f ca="1">ROUND(T_Facebook_Ads1159636771[[#This Row],[conversions]]*RANDBETWEEN(8,12)/10,0)</f>
        <v>9</v>
      </c>
      <c r="BB44">
        <f ca="1">ROUND(T_Facebook_Ads1159636771[[#This Row],[video_views]]*RANDBETWEEN(8,12)/10,0)</f>
        <v>9696</v>
      </c>
    </row>
    <row r="45" spans="1:54" ht="15.75" thickBot="1" x14ac:dyDescent="0.3">
      <c r="A45" s="3">
        <f t="shared" ca="1" si="5"/>
        <v>45063</v>
      </c>
      <c r="B45" s="4" t="s">
        <v>56</v>
      </c>
      <c r="C45" s="4" t="s">
        <v>57</v>
      </c>
      <c r="D45" s="4" t="s">
        <v>58</v>
      </c>
      <c r="E45" s="4" t="s">
        <v>59</v>
      </c>
      <c r="F45" s="4">
        <f ca="1">ROUND(T_Facebook_Ads[[#This Row],[impressions]]*RANDBETWEEN(8,12)/10,0)</f>
        <v>11624</v>
      </c>
      <c r="G45" s="4">
        <v>489</v>
      </c>
      <c r="H45" s="4">
        <f ca="1">T_Facebook_Ads[[#This Row],[spend]]*RANDBETWEEN(8,12)/10</f>
        <v>185.9</v>
      </c>
      <c r="I45" s="4">
        <f ca="1">ROUND(T_Facebook_Ads[[#This Row],[conversions]]*RANDBETWEEN(8,12)/10,0)</f>
        <v>32</v>
      </c>
      <c r="J45" s="4">
        <f ca="1">ROUND(T_Facebook_Ads[[#This Row],[video_views]]*RANDBETWEEN(8,12)/10,0)</f>
        <v>798</v>
      </c>
      <c r="K45" s="4">
        <f ca="1">T_Facebook_Ads[[#This Row],[engagement_rate]]*RANDBETWEEN(8,12)/10</f>
        <v>5.0929999999999996E-2</v>
      </c>
      <c r="L45" s="4">
        <f ca="1">ROUND(T_Facebook_Ads[[#This Row],[reach]]*RANDBETWEEN(8,12)/10,0)</f>
        <v>8234</v>
      </c>
      <c r="M45" s="4">
        <f ca="1">T_Facebook_Ads[[#This Row],[frequency]]*RANDBETWEEN(8,12)/10</f>
        <v>1.024</v>
      </c>
      <c r="O45" s="3">
        <f t="shared" ca="1" si="6"/>
        <v>45054</v>
      </c>
      <c r="P45" s="4" t="s">
        <v>80</v>
      </c>
      <c r="Q45" s="4" t="s">
        <v>81</v>
      </c>
      <c r="R45" s="4" t="s">
        <v>82</v>
      </c>
      <c r="S45" s="4" t="s">
        <v>83</v>
      </c>
      <c r="T45" s="4">
        <f ca="1">ROUND(_Google_ads[[#This Row],[impressions]]*RANDBETWEEN(8,12)/10,0)</f>
        <v>31654</v>
      </c>
      <c r="U45" s="4">
        <f ca="1">ROUND(_Google_ads[[#This Row],[clicks]]*RANDBETWEEN(8,12)/10,0)</f>
        <v>631</v>
      </c>
      <c r="V45" s="4">
        <f ca="1">_Google_ads[[#This Row],[cost]]*RANDBETWEEN(8,12)/10</f>
        <v>405.91999999999996</v>
      </c>
      <c r="W45" s="4">
        <f ca="1">ROUND(_Google_ads[[#This Row],[conversions]]*RANDBETWEEN(8,12)/10,0)</f>
        <v>19</v>
      </c>
      <c r="X45" s="4">
        <f ca="1">ROUND(_Google_ads[[#This Row],[conversion_value]]*RANDBETWEEN(8,12)/10,0)</f>
        <v>1045</v>
      </c>
      <c r="Y45" s="4">
        <f ca="1">_Google_ads[[#This Row],[ctr]]*RANDBETWEEN(8,12)/10</f>
        <v>1.7910000000000002E-2</v>
      </c>
      <c r="Z45" s="4">
        <f ca="1">_Google_ads[[#This Row],[avg_cpc]]*RANDBETWEEN(8,12)/10</f>
        <v>0.57599999999999996</v>
      </c>
      <c r="AA45" s="4">
        <f ca="1">ROUND(_Google_ads[[#This Row],[quality_score]]*RANDBETWEEN(8,12)/10,0)</f>
        <v>6</v>
      </c>
      <c r="AB45" s="4">
        <f ca="1">_Google_ads[[#This Row],[search_impression_share]]*RANDBETWEEN(8,12)/10</f>
        <v>0.33599999999999997</v>
      </c>
      <c r="AD45" s="3">
        <f t="shared" ca="1" si="7"/>
        <v>45070</v>
      </c>
      <c r="AE45" s="4" t="s">
        <v>104</v>
      </c>
      <c r="AF45" s="4" t="s">
        <v>105</v>
      </c>
      <c r="AG45" s="4" t="s">
        <v>106</v>
      </c>
      <c r="AH45" s="4" t="s">
        <v>107</v>
      </c>
      <c r="AI45" s="4">
        <f ca="1">ROUND(T_Tiktok_ads[[#This Row],[impressions]]*RANDBETWEEN(8,12)/10,0)</f>
        <v>128901</v>
      </c>
      <c r="AJ45" s="4">
        <f ca="1">ROUND(T_Tiktok_ads[[#This Row],[clicks]]*RANDBETWEEN(8,12)/10,0)</f>
        <v>1965</v>
      </c>
      <c r="AK45" s="4">
        <v>689.5</v>
      </c>
      <c r="AL45" s="4">
        <f ca="1">ROUND(T_Tiktok_ads[[#This Row],[conversions]]*RANDBETWEEN(8,12)/10,0)</f>
        <v>82</v>
      </c>
      <c r="AM45" s="4">
        <f ca="1">ROUND(T_Tiktok_ads[[#This Row],[video_views]]*RANDBETWEEN(8,12)/10,0)</f>
        <v>72987</v>
      </c>
      <c r="AN45" s="4">
        <f ca="1">ROUND(T_Tiktok_ads[[#This Row],[video_watch_25]]*RANDBETWEEN(8,12)/10,0)</f>
        <v>68234</v>
      </c>
      <c r="AO45" s="4">
        <f ca="1">ROUND(T_Tiktok_ads[[#This Row],[video_watch_50]]*RANDBETWEEN(8,12)/10,0)</f>
        <v>41210</v>
      </c>
      <c r="AP45" s="4">
        <f ca="1">ROUND(T_Tiktok_ads[[#This Row],[video_watch_75]]*RANDBETWEEN(8,12)/10,0)</f>
        <v>38024</v>
      </c>
      <c r="AQ45" s="4">
        <f ca="1">ROUND(T_Tiktok_ads[[#This Row],[video_watch_100]]*RANDBETWEEN(8,12)/10,0)</f>
        <v>18942</v>
      </c>
      <c r="AR45" s="4">
        <f ca="1">ROUND(T_Tiktok_ads[[#This Row],[likes]]*RANDBETWEEN(8,12)/10,0)</f>
        <v>3742</v>
      </c>
      <c r="AS45" s="4">
        <f ca="1">ROUND(T_Tiktok_ads[[#This Row],[shares]]*RANDBETWEEN(8,12)/10,0)</f>
        <v>1014</v>
      </c>
      <c r="AT45" s="4">
        <f ca="1">ROUND(T_Tiktok_ads[[#This Row],[comments]]*RANDBETWEEN(8,12)/10,0)</f>
        <v>237</v>
      </c>
      <c r="AV45" s="5">
        <f t="shared" ca="1" si="8"/>
        <v>45076</v>
      </c>
      <c r="AW45">
        <f t="shared" ca="1" si="4"/>
        <v>5</v>
      </c>
      <c r="AX45">
        <f ca="1">ROUND(T_Facebook_Ads1159636771[[#This Row],[impressions]]*RANDBETWEEN(8,12)/10,0)</f>
        <v>9299</v>
      </c>
      <c r="AY45">
        <f ca="1">ROUND(T_Facebook_Ads1159636771[[#This Row],[clicks]]*RANDBETWEEN(8,12)/10,0)</f>
        <v>538</v>
      </c>
      <c r="AZ45">
        <f ca="1">T_Facebook_Ads1159636771[[#This Row],[spend]]*RANDBETWEEN(8,12)/10</f>
        <v>185.9</v>
      </c>
      <c r="BA45">
        <f ca="1">ROUND(T_Facebook_Ads1159636771[[#This Row],[conversions]]*RANDBETWEEN(8,12)/10,0)</f>
        <v>35</v>
      </c>
      <c r="BB45">
        <f ca="1">ROUND(T_Facebook_Ads1159636771[[#This Row],[video_views]]*RANDBETWEEN(8,12)/10,0)</f>
        <v>878</v>
      </c>
    </row>
    <row r="46" spans="1:54" ht="15.75" thickBot="1" x14ac:dyDescent="0.3">
      <c r="A46" s="3">
        <f t="shared" ca="1" si="5"/>
        <v>45049</v>
      </c>
      <c r="B46" s="4" t="s">
        <v>60</v>
      </c>
      <c r="C46" s="4" t="s">
        <v>61</v>
      </c>
      <c r="D46" s="4" t="s">
        <v>62</v>
      </c>
      <c r="E46" s="4" t="s">
        <v>63</v>
      </c>
      <c r="F46" s="4">
        <f ca="1">ROUND(T_Facebook_Ads[[#This Row],[impressions]]*RANDBETWEEN(8,12)/10,0)</f>
        <v>24987</v>
      </c>
      <c r="G46" s="4">
        <v>1123</v>
      </c>
      <c r="H46" s="4">
        <f ca="1">T_Facebook_Ads[[#This Row],[spend]]*RANDBETWEEN(8,12)/10</f>
        <v>139.04000000000002</v>
      </c>
      <c r="I46" s="4">
        <f ca="1">ROUND(T_Facebook_Ads[[#This Row],[conversions]]*RANDBETWEEN(8,12)/10,0)</f>
        <v>25</v>
      </c>
      <c r="J46" s="4">
        <f ca="1">ROUND(T_Facebook_Ads[[#This Row],[video_views]]*RANDBETWEEN(8,12)/10,0)</f>
        <v>3890</v>
      </c>
      <c r="K46" s="4">
        <f ca="1">T_Facebook_Ads[[#This Row],[engagement_rate]]*RANDBETWEEN(8,12)/10</f>
        <v>3.2399999999999998E-2</v>
      </c>
      <c r="L46" s="4">
        <f ca="1">ROUND(T_Facebook_Ads[[#This Row],[reach]]*RANDBETWEEN(8,12)/10,0)</f>
        <v>23511</v>
      </c>
      <c r="M46" s="4">
        <f ca="1">T_Facebook_Ads[[#This Row],[frequency]]*RANDBETWEEN(8,12)/10</f>
        <v>1.0799999999999998</v>
      </c>
      <c r="O46" s="3">
        <f t="shared" ca="1" si="6"/>
        <v>45071</v>
      </c>
      <c r="P46" s="4" t="s">
        <v>84</v>
      </c>
      <c r="Q46" s="4" t="s">
        <v>85</v>
      </c>
      <c r="R46" s="4" t="s">
        <v>86</v>
      </c>
      <c r="S46" s="4" t="s">
        <v>87</v>
      </c>
      <c r="T46" s="4">
        <f ca="1">ROUND(_Google_ads[[#This Row],[impressions]]*RANDBETWEEN(8,12)/10,0)</f>
        <v>49512</v>
      </c>
      <c r="U46" s="4">
        <f ca="1">ROUND(_Google_ads[[#This Row],[clicks]]*RANDBETWEEN(8,12)/10,0)</f>
        <v>2213</v>
      </c>
      <c r="V46" s="4">
        <f ca="1">_Google_ads[[#This Row],[cost]]*RANDBETWEEN(8,12)/10</f>
        <v>332.37</v>
      </c>
      <c r="W46" s="4">
        <f ca="1">ROUND(_Google_ads[[#This Row],[conversions]]*RANDBETWEEN(8,12)/10,0)</f>
        <v>46</v>
      </c>
      <c r="X46" s="4">
        <f ca="1">ROUND(_Google_ads[[#This Row],[conversion_value]]*RANDBETWEEN(8,12)/10,0)</f>
        <v>2610</v>
      </c>
      <c r="Y46" s="4">
        <f ca="1">_Google_ads[[#This Row],[ctr]]*RANDBETWEEN(8,12)/10</f>
        <v>2.6000000000000002E-2</v>
      </c>
      <c r="Z46" s="4">
        <f ca="1">_Google_ads[[#This Row],[avg_cpc]]*RANDBETWEEN(8,12)/10</f>
        <v>0.14399999999999999</v>
      </c>
      <c r="AA46" s="4">
        <f ca="1">ROUND(_Google_ads[[#This Row],[quality_score]]*RANDBETWEEN(8,12)/10,0)</f>
        <v>9</v>
      </c>
      <c r="AB46" s="4">
        <f ca="1">_Google_ads[[#This Row],[search_impression_share]]*RANDBETWEEN(8,12)/10</f>
        <v>0.70399999999999996</v>
      </c>
      <c r="AD46" s="3">
        <f t="shared" ca="1" si="7"/>
        <v>45061</v>
      </c>
      <c r="AE46" s="4" t="s">
        <v>108</v>
      </c>
      <c r="AF46" s="4" t="s">
        <v>109</v>
      </c>
      <c r="AG46" s="4" t="s">
        <v>110</v>
      </c>
      <c r="AH46" s="4" t="s">
        <v>111</v>
      </c>
      <c r="AI46" s="4">
        <f ca="1">ROUND(T_Tiktok_ads[[#This Row],[impressions]]*RANDBETWEEN(8,12)/10,0)</f>
        <v>195678</v>
      </c>
      <c r="AJ46" s="4">
        <f ca="1">ROUND(T_Tiktok_ads[[#This Row],[clicks]]*RANDBETWEEN(8,12)/10,0)</f>
        <v>3587</v>
      </c>
      <c r="AK46" s="4">
        <v>361.2</v>
      </c>
      <c r="AL46" s="4">
        <f ca="1">ROUND(T_Tiktok_ads[[#This Row],[conversions]]*RANDBETWEEN(8,12)/10,0)</f>
        <v>30</v>
      </c>
      <c r="AM46" s="4">
        <f ca="1">ROUND(T_Tiktok_ads[[#This Row],[video_views]]*RANDBETWEEN(8,12)/10,0)</f>
        <v>137111</v>
      </c>
      <c r="AN46" s="4">
        <f ca="1">ROUND(T_Tiktok_ads[[#This Row],[video_watch_25]]*RANDBETWEEN(8,12)/10,0)</f>
        <v>93787</v>
      </c>
      <c r="AO46" s="4">
        <f ca="1">ROUND(T_Tiktok_ads[[#This Row],[video_watch_50]]*RANDBETWEEN(8,12)/10,0)</f>
        <v>111881</v>
      </c>
      <c r="AP46" s="4">
        <f ca="1">ROUND(T_Tiktok_ads[[#This Row],[video_watch_75]]*RANDBETWEEN(8,12)/10,0)</f>
        <v>47387</v>
      </c>
      <c r="AQ46" s="4">
        <f ca="1">ROUND(T_Tiktok_ads[[#This Row],[video_watch_100]]*RANDBETWEEN(8,12)/10,0)</f>
        <v>39857</v>
      </c>
      <c r="AR46" s="4">
        <f ca="1">ROUND(T_Tiktok_ads[[#This Row],[likes]]*RANDBETWEEN(8,12)/10,0)</f>
        <v>6411</v>
      </c>
      <c r="AS46" s="4">
        <f ca="1">ROUND(T_Tiktok_ads[[#This Row],[shares]]*RANDBETWEEN(8,12)/10,0)</f>
        <v>1967</v>
      </c>
      <c r="AT46" s="4">
        <f ca="1">ROUND(T_Tiktok_ads[[#This Row],[comments]]*RANDBETWEEN(8,12)/10,0)</f>
        <v>430</v>
      </c>
      <c r="AV46" s="5">
        <f t="shared" ca="1" si="8"/>
        <v>45056</v>
      </c>
      <c r="AW46">
        <f t="shared" ca="1" si="4"/>
        <v>7</v>
      </c>
      <c r="AX46">
        <f ca="1">ROUND(T_Facebook_Ads1159636771[[#This Row],[impressions]]*RANDBETWEEN(8,12)/10,0)</f>
        <v>22488</v>
      </c>
      <c r="AY46">
        <f ca="1">ROUND(T_Facebook_Ads1159636771[[#This Row],[clicks]]*RANDBETWEEN(8,12)/10,0)</f>
        <v>898</v>
      </c>
      <c r="AZ46">
        <f ca="1">T_Facebook_Ads1159636771[[#This Row],[spend]]*RANDBETWEEN(8,12)/10</f>
        <v>125.13600000000001</v>
      </c>
      <c r="BA46">
        <f ca="1">ROUND(T_Facebook_Ads1159636771[[#This Row],[conversions]]*RANDBETWEEN(8,12)/10,0)</f>
        <v>23</v>
      </c>
      <c r="BB46">
        <f ca="1">ROUND(T_Facebook_Ads1159636771[[#This Row],[video_views]]*RANDBETWEEN(8,12)/10,0)</f>
        <v>3112</v>
      </c>
    </row>
    <row r="47" spans="1:54" ht="15.75" thickBot="1" x14ac:dyDescent="0.3">
      <c r="A47" s="3">
        <f t="shared" ca="1" si="5"/>
        <v>45071</v>
      </c>
      <c r="B47" s="4" t="s">
        <v>64</v>
      </c>
      <c r="C47" s="4" t="s">
        <v>65</v>
      </c>
      <c r="D47" s="4" t="s">
        <v>66</v>
      </c>
      <c r="E47" s="4" t="s">
        <v>67</v>
      </c>
      <c r="F47" s="4">
        <f ca="1">ROUND(T_Facebook_Ads[[#This Row],[impressions]]*RANDBETWEEN(8,12)/10,0)</f>
        <v>67357</v>
      </c>
      <c r="G47" s="4">
        <v>223</v>
      </c>
      <c r="H47" s="4">
        <f ca="1">T_Facebook_Ads[[#This Row],[spend]]*RANDBETWEEN(8,12)/10</f>
        <v>94.68</v>
      </c>
      <c r="I47" s="4">
        <f ca="1">ROUND(T_Facebook_Ads[[#This Row],[conversions]]*RANDBETWEEN(8,12)/10,0)</f>
        <v>4</v>
      </c>
      <c r="J47" s="4">
        <f ca="1">ROUND(T_Facebook_Ads[[#This Row],[video_views]]*RANDBETWEEN(8,12)/10,0)</f>
        <v>48680</v>
      </c>
      <c r="K47" s="4">
        <f ca="1">T_Facebook_Ads[[#This Row],[engagement_rate]]*RANDBETWEEN(8,12)/10</f>
        <v>4.3200000000000001E-3</v>
      </c>
      <c r="L47" s="4">
        <f ca="1">ROUND(T_Facebook_Ads[[#This Row],[reach]]*RANDBETWEEN(8,12)/10,0)</f>
        <v>40098</v>
      </c>
      <c r="M47" s="4">
        <f ca="1">T_Facebook_Ads[[#This Row],[frequency]]*RANDBETWEEN(8,12)/10</f>
        <v>1.0980000000000001</v>
      </c>
      <c r="O47" s="3">
        <f t="shared" ca="1" si="6"/>
        <v>45061</v>
      </c>
      <c r="P47" s="4" t="s">
        <v>88</v>
      </c>
      <c r="Q47" s="4" t="s">
        <v>89</v>
      </c>
      <c r="R47" s="4" t="s">
        <v>90</v>
      </c>
      <c r="S47" s="4" t="s">
        <v>59</v>
      </c>
      <c r="T47" s="4">
        <f ca="1">ROUND(_Google_ads[[#This Row],[impressions]]*RANDBETWEEN(8,12)/10,0)</f>
        <v>115678</v>
      </c>
      <c r="U47" s="4">
        <f ca="1">ROUND(_Google_ads[[#This Row],[clicks]]*RANDBETWEEN(8,12)/10,0)</f>
        <v>412</v>
      </c>
      <c r="V47" s="4">
        <f ca="1">_Google_ads[[#This Row],[cost]]*RANDBETWEEN(8,12)/10</f>
        <v>113.4</v>
      </c>
      <c r="W47" s="4">
        <f ca="1">ROUND(_Google_ads[[#This Row],[conversions]]*RANDBETWEEN(8,12)/10,0)</f>
        <v>12</v>
      </c>
      <c r="X47" s="4">
        <f ca="1">ROUND(_Google_ads[[#This Row],[conversion_value]]*RANDBETWEEN(8,12)/10,0)</f>
        <v>495</v>
      </c>
      <c r="Y47" s="4">
        <f ca="1">_Google_ads[[#This Row],[ctr]]*RANDBETWEEN(8,12)/10</f>
        <v>3.96E-3</v>
      </c>
      <c r="Z47" s="4">
        <f ca="1">_Google_ads[[#This Row],[avg_cpc]]*RANDBETWEEN(8,12)/10</f>
        <v>0.28000000000000003</v>
      </c>
      <c r="AA47" s="4">
        <f ca="1">ROUND(_Google_ads[[#This Row],[quality_score]]*RANDBETWEEN(8,12)/10,0)</f>
        <v>7</v>
      </c>
      <c r="AB47" s="4">
        <f ca="1">_Google_ads[[#This Row],[search_impression_share]]*RANDBETWEEN(8,12)/10</f>
        <v>0.32</v>
      </c>
      <c r="AD47" s="3">
        <f t="shared" ca="1" si="7"/>
        <v>45058</v>
      </c>
      <c r="AE47" s="4" t="s">
        <v>112</v>
      </c>
      <c r="AF47" s="4" t="s">
        <v>113</v>
      </c>
      <c r="AG47" s="4" t="s">
        <v>114</v>
      </c>
      <c r="AH47" s="4" t="s">
        <v>115</v>
      </c>
      <c r="AI47" s="4">
        <f ca="1">ROUND(T_Tiktok_ads[[#This Row],[impressions]]*RANDBETWEEN(8,12)/10,0)</f>
        <v>392468</v>
      </c>
      <c r="AJ47" s="4">
        <f ca="1">ROUND(T_Tiktok_ads[[#This Row],[clicks]]*RANDBETWEEN(8,12)/10,0)</f>
        <v>7001</v>
      </c>
      <c r="AK47" s="4">
        <v>901.2</v>
      </c>
      <c r="AL47" s="4">
        <f ca="1">ROUND(T_Tiktok_ads[[#This Row],[conversions]]*RANDBETWEEN(8,12)/10,0)</f>
        <v>73</v>
      </c>
      <c r="AM47" s="4">
        <f ca="1">ROUND(T_Tiktok_ads[[#This Row],[video_views]]*RANDBETWEEN(8,12)/10,0)</f>
        <v>322802</v>
      </c>
      <c r="AN47" s="4">
        <f ca="1">ROUND(T_Tiktok_ads[[#This Row],[video_watch_25]]*RANDBETWEEN(8,12)/10,0)</f>
        <v>239234</v>
      </c>
      <c r="AO47" s="4">
        <f ca="1">ROUND(T_Tiktok_ads[[#This Row],[video_watch_50]]*RANDBETWEEN(8,12)/10,0)</f>
        <v>172111</v>
      </c>
      <c r="AP47" s="4">
        <f ca="1">ROUND(T_Tiktok_ads[[#This Row],[video_watch_75]]*RANDBETWEEN(8,12)/10,0)</f>
        <v>136234</v>
      </c>
      <c r="AQ47" s="4">
        <f ca="1">ROUND(T_Tiktok_ads[[#This Row],[video_watch_100]]*RANDBETWEEN(8,12)/10,0)</f>
        <v>108281</v>
      </c>
      <c r="AR47" s="4">
        <f ca="1">ROUND(T_Tiktok_ads[[#This Row],[likes]]*RANDBETWEEN(8,12)/10,0)</f>
        <v>19068</v>
      </c>
      <c r="AS47" s="4">
        <f ca="1">ROUND(T_Tiktok_ads[[#This Row],[shares]]*RANDBETWEEN(8,12)/10,0)</f>
        <v>4634</v>
      </c>
      <c r="AT47" s="4">
        <f ca="1">ROUND(T_Tiktok_ads[[#This Row],[comments]]*RANDBETWEEN(8,12)/10,0)</f>
        <v>1382</v>
      </c>
      <c r="AV47" s="5">
        <f t="shared" ca="1" si="8"/>
        <v>45075</v>
      </c>
      <c r="AW47">
        <f t="shared" ca="1" si="4"/>
        <v>2</v>
      </c>
      <c r="AX47">
        <f ca="1">ROUND(T_Facebook_Ads1159636771[[#This Row],[impressions]]*RANDBETWEEN(8,12)/10,0)</f>
        <v>80828</v>
      </c>
      <c r="AY47">
        <f ca="1">ROUND(T_Facebook_Ads1159636771[[#This Row],[clicks]]*RANDBETWEEN(8,12)/10,0)</f>
        <v>223</v>
      </c>
      <c r="AZ47">
        <f ca="1">T_Facebook_Ads1159636771[[#This Row],[spend]]*RANDBETWEEN(8,12)/10</f>
        <v>104.148</v>
      </c>
      <c r="BA47">
        <f ca="1">ROUND(T_Facebook_Ads1159636771[[#This Row],[conversions]]*RANDBETWEEN(8,12)/10,0)</f>
        <v>3</v>
      </c>
      <c r="BB47">
        <f ca="1">ROUND(T_Facebook_Ads1159636771[[#This Row],[video_views]]*RANDBETWEEN(8,12)/10,0)</f>
        <v>38944</v>
      </c>
    </row>
    <row r="48" spans="1:54" ht="15.75" thickBot="1" x14ac:dyDescent="0.3">
      <c r="A48" s="3">
        <f t="shared" ca="1" si="5"/>
        <v>45056</v>
      </c>
      <c r="B48" s="4" t="s">
        <v>52</v>
      </c>
      <c r="C48" s="4" t="s">
        <v>53</v>
      </c>
      <c r="D48" s="4" t="s">
        <v>54</v>
      </c>
      <c r="E48" s="4" t="s">
        <v>55</v>
      </c>
      <c r="F48" s="4">
        <f ca="1">ROUND(T_Facebook_Ads[[#This Row],[impressions]]*RANDBETWEEN(8,12)/10,0)</f>
        <v>46789</v>
      </c>
      <c r="G48" s="4">
        <v>934</v>
      </c>
      <c r="H48" s="4">
        <f ca="1">T_Facebook_Ads[[#This Row],[spend]]*RANDBETWEEN(8,12)/10</f>
        <v>105.92</v>
      </c>
      <c r="I48" s="4">
        <f ca="1">ROUND(T_Facebook_Ads[[#This Row],[conversions]]*RANDBETWEEN(8,12)/10,0)</f>
        <v>14</v>
      </c>
      <c r="J48" s="4">
        <f ca="1">ROUND(T_Facebook_Ads[[#This Row],[video_views]]*RANDBETWEEN(8,12)/10,0)</f>
        <v>7710</v>
      </c>
      <c r="K48" s="4">
        <f ca="1">T_Facebook_Ads[[#This Row],[engagement_rate]]*RANDBETWEEN(8,12)/10</f>
        <v>1.7999999999999999E-2</v>
      </c>
      <c r="L48" s="4">
        <f ca="1">ROUND(T_Facebook_Ads[[#This Row],[reach]]*RANDBETWEEN(8,12)/10,0)</f>
        <v>31387</v>
      </c>
      <c r="M48" s="4">
        <f ca="1">T_Facebook_Ads[[#This Row],[frequency]]*RANDBETWEEN(8,12)/10</f>
        <v>1.19</v>
      </c>
      <c r="O48" s="3">
        <f t="shared" ca="1" si="6"/>
        <v>45066</v>
      </c>
      <c r="P48" s="4" t="s">
        <v>76</v>
      </c>
      <c r="Q48" s="4" t="s">
        <v>77</v>
      </c>
      <c r="R48" s="4" t="s">
        <v>78</v>
      </c>
      <c r="S48" s="4" t="s">
        <v>79</v>
      </c>
      <c r="T48" s="4">
        <f ca="1">ROUND(_Google_ads[[#This Row],[impressions]]*RANDBETWEEN(8,12)/10,0)</f>
        <v>19112</v>
      </c>
      <c r="U48" s="4">
        <f ca="1">ROUND(_Google_ads[[#This Row],[clicks]]*RANDBETWEEN(8,12)/10,0)</f>
        <v>1111</v>
      </c>
      <c r="V48" s="4">
        <f ca="1">_Google_ads[[#This Row],[cost]]*RANDBETWEEN(8,12)/10</f>
        <v>212.04000000000002</v>
      </c>
      <c r="W48" s="4">
        <f ca="1">ROUND(_Google_ads[[#This Row],[conversions]]*RANDBETWEEN(8,12)/10,0)</f>
        <v>51</v>
      </c>
      <c r="X48" s="4">
        <f ca="1">ROUND(_Google_ads[[#This Row],[conversion_value]]*RANDBETWEEN(8,12)/10,0)</f>
        <v>2070</v>
      </c>
      <c r="Y48" s="4">
        <f ca="1">_Google_ads[[#This Row],[ctr]]*RANDBETWEEN(8,12)/10</f>
        <v>4.1360000000000001E-2</v>
      </c>
      <c r="Z48" s="4">
        <f ca="1">_Google_ads[[#This Row],[avg_cpc]]*RANDBETWEEN(8,12)/10</f>
        <v>0.17099999999999999</v>
      </c>
      <c r="AA48" s="4">
        <f ca="1">ROUND(_Google_ads[[#This Row],[quality_score]]*RANDBETWEEN(8,12)/10,0)</f>
        <v>9</v>
      </c>
      <c r="AB48" s="4">
        <f ca="1">_Google_ads[[#This Row],[search_impression_share]]*RANDBETWEEN(8,12)/10</f>
        <v>0.81899999999999995</v>
      </c>
      <c r="AD48" s="3">
        <f t="shared" ca="1" si="7"/>
        <v>45071</v>
      </c>
      <c r="AE48" s="4" t="s">
        <v>100</v>
      </c>
      <c r="AF48" s="4" t="s">
        <v>101</v>
      </c>
      <c r="AG48" s="4" t="s">
        <v>102</v>
      </c>
      <c r="AH48" s="4" t="s">
        <v>103</v>
      </c>
      <c r="AI48" s="4">
        <f ca="1">ROUND(T_Tiktok_ads[[#This Row],[impressions]]*RANDBETWEEN(8,12)/10,0)</f>
        <v>271468</v>
      </c>
      <c r="AJ48" s="4">
        <f ca="1">ROUND(T_Tiktok_ads[[#This Row],[clicks]]*RANDBETWEEN(8,12)/10,0)</f>
        <v>3310</v>
      </c>
      <c r="AK48" s="4">
        <v>478.9</v>
      </c>
      <c r="AL48" s="4">
        <f ca="1">ROUND(T_Tiktok_ads[[#This Row],[conversions]]*RANDBETWEEN(8,12)/10,0)</f>
        <v>40</v>
      </c>
      <c r="AM48" s="4">
        <f ca="1">ROUND(T_Tiktok_ads[[#This Row],[video_views]]*RANDBETWEEN(8,12)/10,0)</f>
        <v>186611</v>
      </c>
      <c r="AN48" s="4">
        <f ca="1">ROUND(T_Tiktok_ads[[#This Row],[video_watch_25]]*RANDBETWEEN(8,12)/10,0)</f>
        <v>163456</v>
      </c>
      <c r="AO48" s="4">
        <f ca="1">ROUND(T_Tiktok_ads[[#This Row],[video_watch_50]]*RANDBETWEEN(8,12)/10,0)</f>
        <v>122814</v>
      </c>
      <c r="AP48" s="4">
        <f ca="1">ROUND(T_Tiktok_ads[[#This Row],[video_watch_75]]*RANDBETWEEN(8,12)/10,0)</f>
        <v>63211</v>
      </c>
      <c r="AQ48" s="4">
        <f ca="1">ROUND(T_Tiktok_ads[[#This Row],[video_watch_100]]*RANDBETWEEN(8,12)/10,0)</f>
        <v>51957</v>
      </c>
      <c r="AR48" s="4">
        <f ca="1">ROUND(T_Tiktok_ads[[#This Row],[likes]]*RANDBETWEEN(8,12)/10,0)</f>
        <v>10157</v>
      </c>
      <c r="AS48" s="4">
        <f ca="1">ROUND(T_Tiktok_ads[[#This Row],[shares]]*RANDBETWEEN(8,12)/10,0)</f>
        <v>2210</v>
      </c>
      <c r="AT48" s="4">
        <f ca="1">ROUND(T_Tiktok_ads[[#This Row],[comments]]*RANDBETWEEN(8,12)/10,0)</f>
        <v>589</v>
      </c>
      <c r="AV48" s="5">
        <f t="shared" ca="1" si="8"/>
        <v>45058</v>
      </c>
      <c r="AW48">
        <f t="shared" ca="1" si="4"/>
        <v>5</v>
      </c>
      <c r="AX48">
        <f ca="1">ROUND(T_Facebook_Ads1159636771[[#This Row],[impressions]]*RANDBETWEEN(8,12)/10,0)</f>
        <v>56147</v>
      </c>
      <c r="AY48">
        <f ca="1">ROUND(T_Facebook_Ads1159636771[[#This Row],[clicks]]*RANDBETWEEN(8,12)/10,0)</f>
        <v>841</v>
      </c>
      <c r="AZ48">
        <f ca="1">T_Facebook_Ads1159636771[[#This Row],[spend]]*RANDBETWEEN(8,12)/10</f>
        <v>127.104</v>
      </c>
      <c r="BA48">
        <f ca="1">ROUND(T_Facebook_Ads1159636771[[#This Row],[conversions]]*RANDBETWEEN(8,12)/10,0)</f>
        <v>14</v>
      </c>
      <c r="BB48">
        <f ca="1">ROUND(T_Facebook_Ads1159636771[[#This Row],[video_views]]*RANDBETWEEN(8,12)/10,0)</f>
        <v>7710</v>
      </c>
    </row>
    <row r="49" spans="1:54" ht="15.75" thickBot="1" x14ac:dyDescent="0.3">
      <c r="A49" s="3">
        <f t="shared" ca="1" si="5"/>
        <v>45069</v>
      </c>
      <c r="B49" s="4" t="s">
        <v>56</v>
      </c>
      <c r="C49" s="4" t="s">
        <v>57</v>
      </c>
      <c r="D49" s="4" t="s">
        <v>58</v>
      </c>
      <c r="E49" s="4" t="s">
        <v>59</v>
      </c>
      <c r="F49" s="4">
        <f ca="1">ROUND(T_Facebook_Ads[[#This Row],[impressions]]*RANDBETWEEN(8,12)/10,0)</f>
        <v>12890</v>
      </c>
      <c r="G49" s="4">
        <v>567</v>
      </c>
      <c r="H49" s="4">
        <f ca="1">T_Facebook_Ads[[#This Row],[spend]]*RANDBETWEEN(8,12)/10</f>
        <v>177.04000000000002</v>
      </c>
      <c r="I49" s="4">
        <f ca="1">ROUND(T_Facebook_Ads[[#This Row],[conversions]]*RANDBETWEEN(8,12)/10,0)</f>
        <v>41</v>
      </c>
      <c r="J49" s="4">
        <f ca="1">ROUND(T_Facebook_Ads[[#This Row],[video_views]]*RANDBETWEEN(8,12)/10,0)</f>
        <v>1076</v>
      </c>
      <c r="K49" s="4">
        <f ca="1">T_Facebook_Ads[[#This Row],[engagement_rate]]*RANDBETWEEN(8,12)/10</f>
        <v>4.8399999999999999E-2</v>
      </c>
      <c r="L49" s="4">
        <f ca="1">ROUND(T_Facebook_Ads[[#This Row],[reach]]*RANDBETWEEN(8,12)/10,0)</f>
        <v>12148</v>
      </c>
      <c r="M49" s="4">
        <f ca="1">T_Facebook_Ads[[#This Row],[frequency]]*RANDBETWEEN(8,12)/10</f>
        <v>1.016</v>
      </c>
      <c r="O49" s="3">
        <f t="shared" ca="1" si="6"/>
        <v>45070</v>
      </c>
      <c r="P49" s="4" t="s">
        <v>80</v>
      </c>
      <c r="Q49" s="4" t="s">
        <v>81</v>
      </c>
      <c r="R49" s="4" t="s">
        <v>82</v>
      </c>
      <c r="S49" s="4" t="s">
        <v>83</v>
      </c>
      <c r="T49" s="4">
        <f ca="1">ROUND(_Google_ads[[#This Row],[impressions]]*RANDBETWEEN(8,12)/10,0)</f>
        <v>35031</v>
      </c>
      <c r="U49" s="4">
        <f ca="1">ROUND(_Google_ads[[#This Row],[clicks]]*RANDBETWEEN(8,12)/10,0)</f>
        <v>856</v>
      </c>
      <c r="V49" s="4">
        <f ca="1">_Google_ads[[#This Row],[cost]]*RANDBETWEEN(8,12)/10</f>
        <v>504.80999999999995</v>
      </c>
      <c r="W49" s="4">
        <f ca="1">ROUND(_Google_ads[[#This Row],[conversions]]*RANDBETWEEN(8,12)/10,0)</f>
        <v>22</v>
      </c>
      <c r="X49" s="4">
        <f ca="1">ROUND(_Google_ads[[#This Row],[conversion_value]]*RANDBETWEEN(8,12)/10,0)</f>
        <v>1210</v>
      </c>
      <c r="Y49" s="4">
        <f ca="1">_Google_ads[[#This Row],[ctr]]*RANDBETWEEN(8,12)/10</f>
        <v>1.95E-2</v>
      </c>
      <c r="Z49" s="4">
        <f ca="1">_Google_ads[[#This Row],[avg_cpc]]*RANDBETWEEN(8,12)/10</f>
        <v>0.72600000000000009</v>
      </c>
      <c r="AA49" s="4">
        <f ca="1">ROUND(_Google_ads[[#This Row],[quality_score]]*RANDBETWEEN(8,12)/10,0)</f>
        <v>6</v>
      </c>
      <c r="AB49" s="4">
        <f ca="1">_Google_ads[[#This Row],[search_impression_share]]*RANDBETWEEN(8,12)/10</f>
        <v>0.44000000000000006</v>
      </c>
      <c r="AD49" s="3">
        <f t="shared" ca="1" si="7"/>
        <v>45058</v>
      </c>
      <c r="AE49" s="4" t="s">
        <v>104</v>
      </c>
      <c r="AF49" s="4" t="s">
        <v>105</v>
      </c>
      <c r="AG49" s="4" t="s">
        <v>106</v>
      </c>
      <c r="AH49" s="4" t="s">
        <v>107</v>
      </c>
      <c r="AI49" s="4">
        <f ca="1">ROUND(T_Tiktok_ads[[#This Row],[impressions]]*RANDBETWEEN(8,12)/10,0)</f>
        <v>142345</v>
      </c>
      <c r="AJ49" s="4">
        <f ca="1">ROUND(T_Tiktok_ads[[#This Row],[clicks]]*RANDBETWEEN(8,12)/10,0)</f>
        <v>3214</v>
      </c>
      <c r="AK49" s="4">
        <v>734.5</v>
      </c>
      <c r="AL49" s="4">
        <f ca="1">ROUND(T_Tiktok_ads[[#This Row],[conversions]]*RANDBETWEEN(8,12)/10,0)</f>
        <v>66</v>
      </c>
      <c r="AM49" s="4">
        <f ca="1">ROUND(T_Tiktok_ads[[#This Row],[video_views]]*RANDBETWEEN(8,12)/10,0)</f>
        <v>97890</v>
      </c>
      <c r="AN49" s="4">
        <f ca="1">ROUND(T_Tiktok_ads[[#This Row],[video_watch_25]]*RANDBETWEEN(8,12)/10,0)</f>
        <v>79580</v>
      </c>
      <c r="AO49" s="4">
        <f ca="1">ROUND(T_Tiktok_ads[[#This Row],[video_watch_50]]*RANDBETWEEN(8,12)/10,0)</f>
        <v>48901</v>
      </c>
      <c r="AP49" s="4">
        <f ca="1">ROUND(T_Tiktok_ads[[#This Row],[video_watch_75]]*RANDBETWEEN(8,12)/10,0)</f>
        <v>40468</v>
      </c>
      <c r="AQ49" s="4">
        <f ca="1">ROUND(T_Tiktok_ads[[#This Row],[video_watch_100]]*RANDBETWEEN(8,12)/10,0)</f>
        <v>29868</v>
      </c>
      <c r="AR49" s="4">
        <f ca="1">ROUND(T_Tiktok_ads[[#This Row],[likes]]*RANDBETWEEN(8,12)/10,0)</f>
        <v>5391</v>
      </c>
      <c r="AS49" s="4">
        <f ca="1">ROUND(T_Tiktok_ads[[#This Row],[shares]]*RANDBETWEEN(8,12)/10,0)</f>
        <v>1085</v>
      </c>
      <c r="AT49" s="4">
        <f ca="1">ROUND(T_Tiktok_ads[[#This Row],[comments]]*RANDBETWEEN(8,12)/10,0)</f>
        <v>205</v>
      </c>
      <c r="AV49" s="5">
        <f t="shared" ca="1" si="8"/>
        <v>45068</v>
      </c>
      <c r="AW49">
        <f t="shared" ca="1" si="4"/>
        <v>6</v>
      </c>
      <c r="AX49">
        <f ca="1">ROUND(T_Facebook_Ads1159636771[[#This Row],[impressions]]*RANDBETWEEN(8,12)/10,0)</f>
        <v>14179</v>
      </c>
      <c r="AY49">
        <f ca="1">ROUND(T_Facebook_Ads1159636771[[#This Row],[clicks]]*RANDBETWEEN(8,12)/10,0)</f>
        <v>680</v>
      </c>
      <c r="AZ49">
        <f ca="1">T_Facebook_Ads1159636771[[#This Row],[spend]]*RANDBETWEEN(8,12)/10</f>
        <v>177.04000000000002</v>
      </c>
      <c r="BA49">
        <f ca="1">ROUND(T_Facebook_Ads1159636771[[#This Row],[conversions]]*RANDBETWEEN(8,12)/10,0)</f>
        <v>41</v>
      </c>
      <c r="BB49">
        <f ca="1">ROUND(T_Facebook_Ads1159636771[[#This Row],[video_views]]*RANDBETWEEN(8,12)/10,0)</f>
        <v>1291</v>
      </c>
    </row>
    <row r="50" spans="1:54" ht="15.75" thickBot="1" x14ac:dyDescent="0.3">
      <c r="A50" s="3">
        <f t="shared" ca="1" si="5"/>
        <v>45056</v>
      </c>
      <c r="B50" s="4" t="s">
        <v>60</v>
      </c>
      <c r="C50" s="4" t="s">
        <v>61</v>
      </c>
      <c r="D50" s="4" t="s">
        <v>62</v>
      </c>
      <c r="E50" s="4" t="s">
        <v>63</v>
      </c>
      <c r="F50" s="4">
        <f ca="1">ROUND(T_Facebook_Ads[[#This Row],[impressions]]*RANDBETWEEN(8,12)/10,0)</f>
        <v>32110</v>
      </c>
      <c r="G50" s="4">
        <v>1289</v>
      </c>
      <c r="H50" s="4">
        <f ca="1">T_Facebook_Ads[[#This Row],[spend]]*RANDBETWEEN(8,12)/10</f>
        <v>216.26</v>
      </c>
      <c r="I50" s="4">
        <f ca="1">ROUND(T_Facebook_Ads[[#This Row],[conversions]]*RANDBETWEEN(8,12)/10,0)</f>
        <v>28</v>
      </c>
      <c r="J50" s="4">
        <f ca="1">ROUND(T_Facebook_Ads[[#This Row],[video_views]]*RANDBETWEEN(8,12)/10,0)</f>
        <v>5146</v>
      </c>
      <c r="K50" s="4">
        <f ca="1">T_Facebook_Ads[[#This Row],[engagement_rate]]*RANDBETWEEN(8,12)/10</f>
        <v>4.3320000000000004E-2</v>
      </c>
      <c r="L50" s="4">
        <f ca="1">ROUND(T_Facebook_Ads[[#This Row],[reach]]*RANDBETWEEN(8,12)/10,0)</f>
        <v>32280</v>
      </c>
      <c r="M50" s="4">
        <f ca="1">T_Facebook_Ads[[#This Row],[frequency]]*RANDBETWEEN(8,12)/10</f>
        <v>1.22</v>
      </c>
      <c r="O50" s="3">
        <f t="shared" ca="1" si="6"/>
        <v>45060</v>
      </c>
      <c r="P50" s="4" t="s">
        <v>84</v>
      </c>
      <c r="Q50" s="4" t="s">
        <v>85</v>
      </c>
      <c r="R50" s="4" t="s">
        <v>86</v>
      </c>
      <c r="S50" s="4" t="s">
        <v>87</v>
      </c>
      <c r="T50" s="4">
        <f ca="1">ROUND(_Google_ads[[#This Row],[impressions]]*RANDBETWEEN(8,12)/10,0)</f>
        <v>80681</v>
      </c>
      <c r="U50" s="4">
        <f ca="1">ROUND(_Google_ads[[#This Row],[clicks]]*RANDBETWEEN(8,12)/10,0)</f>
        <v>2457</v>
      </c>
      <c r="V50" s="4">
        <f ca="1">_Google_ads[[#This Row],[cost]]*RANDBETWEEN(8,12)/10</f>
        <v>494.03999999999996</v>
      </c>
      <c r="W50" s="4">
        <f ca="1">ROUND(_Google_ads[[#This Row],[conversions]]*RANDBETWEEN(8,12)/10,0)</f>
        <v>52</v>
      </c>
      <c r="X50" s="4">
        <f ca="1">ROUND(_Google_ads[[#This Row],[conversion_value]]*RANDBETWEEN(8,12)/10,0)</f>
        <v>3900</v>
      </c>
      <c r="Y50" s="4">
        <f ca="1">_Google_ads[[#This Row],[ctr]]*RANDBETWEEN(8,12)/10</f>
        <v>3.32E-2</v>
      </c>
      <c r="Z50" s="4">
        <f ca="1">_Google_ads[[#This Row],[avg_cpc]]*RANDBETWEEN(8,12)/10</f>
        <v>0.21600000000000003</v>
      </c>
      <c r="AA50" s="4">
        <f ca="1">ROUND(_Google_ads[[#This Row],[quality_score]]*RANDBETWEEN(8,12)/10,0)</f>
        <v>10</v>
      </c>
      <c r="AB50" s="4">
        <f ca="1">_Google_ads[[#This Row],[search_impression_share]]*RANDBETWEEN(8,12)/10</f>
        <v>0.52800000000000002</v>
      </c>
      <c r="AD50" s="3">
        <f t="shared" ca="1" si="7"/>
        <v>45057</v>
      </c>
      <c r="AE50" s="4" t="s">
        <v>108</v>
      </c>
      <c r="AF50" s="4" t="s">
        <v>109</v>
      </c>
      <c r="AG50" s="4" t="s">
        <v>110</v>
      </c>
      <c r="AH50" s="4" t="s">
        <v>111</v>
      </c>
      <c r="AI50" s="4">
        <f ca="1">ROUND(T_Tiktok_ads[[#This Row],[impressions]]*RANDBETWEEN(8,12)/10,0)</f>
        <v>233580</v>
      </c>
      <c r="AJ50" s="4">
        <f ca="1">ROUND(T_Tiktok_ads[[#This Row],[clicks]]*RANDBETWEEN(8,12)/10,0)</f>
        <v>4014</v>
      </c>
      <c r="AK50" s="4">
        <v>401.1</v>
      </c>
      <c r="AL50" s="4">
        <f ca="1">ROUND(T_Tiktok_ads[[#This Row],[conversions]]*RANDBETWEEN(8,12)/10,0)</f>
        <v>34</v>
      </c>
      <c r="AM50" s="4">
        <f ca="1">ROUND(T_Tiktok_ads[[#This Row],[video_views]]*RANDBETWEEN(8,12)/10,0)</f>
        <v>151101</v>
      </c>
      <c r="AN50" s="4">
        <f ca="1">ROUND(T_Tiktok_ads[[#This Row],[video_watch_25]]*RANDBETWEEN(8,12)/10,0)</f>
        <v>128234</v>
      </c>
      <c r="AO50" s="4">
        <f ca="1">ROUND(T_Tiktok_ads[[#This Row],[video_watch_50]]*RANDBETWEEN(8,12)/10,0)</f>
        <v>80987</v>
      </c>
      <c r="AP50" s="4">
        <f ca="1">ROUND(T_Tiktok_ads[[#This Row],[video_watch_75]]*RANDBETWEEN(8,12)/10,0)</f>
        <v>78281</v>
      </c>
      <c r="AQ50" s="4">
        <f ca="1">ROUND(T_Tiktok_ads[[#This Row],[video_watch_100]]*RANDBETWEEN(8,12)/10,0)</f>
        <v>39456</v>
      </c>
      <c r="AR50" s="4">
        <f ca="1">ROUND(T_Tiktok_ads[[#This Row],[likes]]*RANDBETWEEN(8,12)/10,0)</f>
        <v>7010</v>
      </c>
      <c r="AS50" s="4">
        <f ca="1">ROUND(T_Tiktok_ads[[#This Row],[shares]]*RANDBETWEEN(8,12)/10,0)</f>
        <v>2145</v>
      </c>
      <c r="AT50" s="4">
        <f ca="1">ROUND(T_Tiktok_ads[[#This Row],[comments]]*RANDBETWEEN(8,12)/10,0)</f>
        <v>512</v>
      </c>
      <c r="AV50" s="5">
        <f t="shared" ca="1" si="8"/>
        <v>45074</v>
      </c>
      <c r="AW50">
        <f t="shared" ca="1" si="4"/>
        <v>1</v>
      </c>
      <c r="AX50">
        <f ca="1">ROUND(T_Facebook_Ads1159636771[[#This Row],[impressions]]*RANDBETWEEN(8,12)/10,0)</f>
        <v>35321</v>
      </c>
      <c r="AY50">
        <f ca="1">ROUND(T_Facebook_Ads1159636771[[#This Row],[clicks]]*RANDBETWEEN(8,12)/10,0)</f>
        <v>1289</v>
      </c>
      <c r="AZ50">
        <f ca="1">T_Facebook_Ads1159636771[[#This Row],[spend]]*RANDBETWEEN(8,12)/10</f>
        <v>194.63399999999999</v>
      </c>
      <c r="BA50">
        <f ca="1">ROUND(T_Facebook_Ads1159636771[[#This Row],[conversions]]*RANDBETWEEN(8,12)/10,0)</f>
        <v>25</v>
      </c>
      <c r="BB50">
        <f ca="1">ROUND(T_Facebook_Ads1159636771[[#This Row],[video_views]]*RANDBETWEEN(8,12)/10,0)</f>
        <v>4117</v>
      </c>
    </row>
    <row r="51" spans="1:54" ht="15.75" thickBot="1" x14ac:dyDescent="0.3">
      <c r="A51" s="3">
        <f t="shared" ca="1" si="5"/>
        <v>45054</v>
      </c>
      <c r="B51" s="4" t="s">
        <v>64</v>
      </c>
      <c r="C51" s="4" t="s">
        <v>65</v>
      </c>
      <c r="D51" s="4" t="s">
        <v>66</v>
      </c>
      <c r="E51" s="4" t="s">
        <v>67</v>
      </c>
      <c r="F51" s="4">
        <f ca="1">ROUND(T_Facebook_Ads[[#This Row],[impressions]]*RANDBETWEEN(8,12)/10,0)</f>
        <v>75302</v>
      </c>
      <c r="G51" s="4">
        <v>248</v>
      </c>
      <c r="H51" s="4">
        <f ca="1">T_Facebook_Ads[[#This Row],[spend]]*RANDBETWEEN(8,12)/10</f>
        <v>78.84</v>
      </c>
      <c r="I51" s="4">
        <f ca="1">ROUND(T_Facebook_Ads[[#This Row],[conversions]]*RANDBETWEEN(8,12)/10,0)</f>
        <v>7</v>
      </c>
      <c r="J51" s="4">
        <f ca="1">ROUND(T_Facebook_Ads[[#This Row],[video_views]]*RANDBETWEEN(8,12)/10,0)</f>
        <v>41611</v>
      </c>
      <c r="K51" s="4">
        <f ca="1">T_Facebook_Ads[[#This Row],[engagement_rate]]*RANDBETWEEN(8,12)/10</f>
        <v>3.96E-3</v>
      </c>
      <c r="L51" s="4">
        <f ca="1">ROUND(T_Facebook_Ads[[#This Row],[reach]]*RANDBETWEEN(8,12)/10,0)</f>
        <v>68147</v>
      </c>
      <c r="M51" s="4">
        <f ca="1">T_Facebook_Ads[[#This Row],[frequency]]*RANDBETWEEN(8,12)/10</f>
        <v>1.331</v>
      </c>
      <c r="O51" s="3">
        <f t="shared" ca="1" si="6"/>
        <v>45076</v>
      </c>
      <c r="P51" s="4" t="s">
        <v>88</v>
      </c>
      <c r="Q51" s="4" t="s">
        <v>89</v>
      </c>
      <c r="R51" s="4" t="s">
        <v>90</v>
      </c>
      <c r="S51" s="4" t="s">
        <v>59</v>
      </c>
      <c r="T51" s="4">
        <f ca="1">ROUND(_Google_ads[[#This Row],[impressions]]*RANDBETWEEN(8,12)/10,0)</f>
        <v>141791</v>
      </c>
      <c r="U51" s="4">
        <f ca="1">ROUND(_Google_ads[[#This Row],[clicks]]*RANDBETWEEN(8,12)/10,0)</f>
        <v>560</v>
      </c>
      <c r="V51" s="4">
        <f ca="1">_Google_ads[[#This Row],[cost]]*RANDBETWEEN(8,12)/10</f>
        <v>114.03</v>
      </c>
      <c r="W51" s="4">
        <f ca="1">ROUND(_Google_ads[[#This Row],[conversions]]*RANDBETWEEN(8,12)/10,0)</f>
        <v>14</v>
      </c>
      <c r="X51" s="4">
        <f ca="1">ROUND(_Google_ads[[#This Row],[conversion_value]]*RANDBETWEEN(8,12)/10,0)</f>
        <v>715</v>
      </c>
      <c r="Y51" s="4">
        <f ca="1">_Google_ads[[#This Row],[ctr]]*RANDBETWEEN(8,12)/10</f>
        <v>3.2399999999999998E-3</v>
      </c>
      <c r="Z51" s="4">
        <f ca="1">_Google_ads[[#This Row],[avg_cpc]]*RANDBETWEEN(8,12)/10</f>
        <v>0.21600000000000003</v>
      </c>
      <c r="AA51" s="4">
        <f ca="1">ROUND(_Google_ads[[#This Row],[quality_score]]*RANDBETWEEN(8,12)/10,0)</f>
        <v>8</v>
      </c>
      <c r="AB51" s="4">
        <f ca="1">_Google_ads[[#This Row],[search_impression_share]]*RANDBETWEEN(8,12)/10</f>
        <v>0.34</v>
      </c>
      <c r="AD51" s="3">
        <f t="shared" ca="1" si="7"/>
        <v>45053</v>
      </c>
      <c r="AE51" s="4" t="s">
        <v>112</v>
      </c>
      <c r="AF51" s="4" t="s">
        <v>113</v>
      </c>
      <c r="AG51" s="4" t="s">
        <v>114</v>
      </c>
      <c r="AH51" s="4" t="s">
        <v>115</v>
      </c>
      <c r="AI51" s="4">
        <f ca="1">ROUND(T_Tiktok_ads[[#This Row],[impressions]]*RANDBETWEEN(8,12)/10,0)</f>
        <v>416791</v>
      </c>
      <c r="AJ51" s="4">
        <f ca="1">ROUND(T_Tiktok_ads[[#This Row],[clicks]]*RANDBETWEEN(8,12)/10,0)</f>
        <v>4898</v>
      </c>
      <c r="AK51" s="4">
        <v>945.6</v>
      </c>
      <c r="AL51" s="4">
        <f ca="1">ROUND(T_Tiktok_ads[[#This Row],[conversions]]*RANDBETWEEN(8,12)/10,0)</f>
        <v>115</v>
      </c>
      <c r="AM51" s="4">
        <f ca="1">ROUND(T_Tiktok_ads[[#This Row],[video_views]]*RANDBETWEEN(8,12)/10,0)</f>
        <v>249876</v>
      </c>
      <c r="AN51" s="4">
        <f ca="1">ROUND(T_Tiktok_ads[[#This Row],[video_watch_25]]*RANDBETWEEN(8,12)/10,0)</f>
        <v>276357</v>
      </c>
      <c r="AO51" s="4">
        <f ca="1">ROUND(T_Tiktok_ads[[#This Row],[video_watch_50]]*RANDBETWEEN(8,12)/10,0)</f>
        <v>221357</v>
      </c>
      <c r="AP51" s="4">
        <f ca="1">ROUND(T_Tiktok_ads[[#This Row],[video_watch_75]]*RANDBETWEEN(8,12)/10,0)</f>
        <v>172147</v>
      </c>
      <c r="AQ51" s="4">
        <f ca="1">ROUND(T_Tiktok_ads[[#This Row],[video_watch_100]]*RANDBETWEEN(8,12)/10,0)</f>
        <v>85711</v>
      </c>
      <c r="AR51" s="4">
        <f ca="1">ROUND(T_Tiktok_ads[[#This Row],[likes]]*RANDBETWEEN(8,12)/10,0)</f>
        <v>18224</v>
      </c>
      <c r="AS51" s="4">
        <f ca="1">ROUND(T_Tiktok_ads[[#This Row],[shares]]*RANDBETWEEN(8,12)/10,0)</f>
        <v>4823</v>
      </c>
      <c r="AT51" s="4">
        <f ca="1">ROUND(T_Tiktok_ads[[#This Row],[comments]]*RANDBETWEEN(8,12)/10,0)</f>
        <v>1574</v>
      </c>
      <c r="AV51" s="5">
        <f t="shared" ca="1" si="8"/>
        <v>45065</v>
      </c>
      <c r="AW51">
        <f t="shared" ca="1" si="4"/>
        <v>3</v>
      </c>
      <c r="AX51">
        <f ca="1">ROUND(T_Facebook_Ads1159636771[[#This Row],[impressions]]*RANDBETWEEN(8,12)/10,0)</f>
        <v>75302</v>
      </c>
      <c r="AY51">
        <f ca="1">ROUND(T_Facebook_Ads1159636771[[#This Row],[clicks]]*RANDBETWEEN(8,12)/10,0)</f>
        <v>223</v>
      </c>
      <c r="AZ51">
        <f ca="1">T_Facebook_Ads1159636771[[#This Row],[spend]]*RANDBETWEEN(8,12)/10</f>
        <v>78.84</v>
      </c>
      <c r="BA51">
        <f ca="1">ROUND(T_Facebook_Ads1159636771[[#This Row],[conversions]]*RANDBETWEEN(8,12)/10,0)</f>
        <v>8</v>
      </c>
      <c r="BB51">
        <f ca="1">ROUND(T_Facebook_Ads1159636771[[#This Row],[video_views]]*RANDBETWEEN(8,12)/10,0)</f>
        <v>49933</v>
      </c>
    </row>
    <row r="52" spans="1:54" ht="15.75" thickBot="1" x14ac:dyDescent="0.3">
      <c r="A52" s="3">
        <f t="shared" ca="1" si="5"/>
        <v>45055</v>
      </c>
      <c r="B52" s="4" t="s">
        <v>52</v>
      </c>
      <c r="C52" s="4" t="s">
        <v>53</v>
      </c>
      <c r="D52" s="4" t="s">
        <v>54</v>
      </c>
      <c r="E52" s="4" t="s">
        <v>55</v>
      </c>
      <c r="F52" s="4">
        <f ca="1">ROUND(T_Facebook_Ads[[#This Row],[impressions]]*RANDBETWEEN(8,12)/10,0)</f>
        <v>55257</v>
      </c>
      <c r="G52" s="4">
        <v>1023</v>
      </c>
      <c r="H52" s="4">
        <f ca="1">T_Facebook_Ads[[#This Row],[spend]]*RANDBETWEEN(8,12)/10</f>
        <v>115.04</v>
      </c>
      <c r="I52" s="4">
        <f ca="1">ROUND(T_Facebook_Ads[[#This Row],[conversions]]*RANDBETWEEN(8,12)/10,0)</f>
        <v>14</v>
      </c>
      <c r="J52" s="4">
        <f ca="1">ROUND(T_Facebook_Ads[[#This Row],[video_views]]*RANDBETWEEN(8,12)/10,0)</f>
        <v>9234</v>
      </c>
      <c r="K52" s="4">
        <f ca="1">T_Facebook_Ads[[#This Row],[engagement_rate]]*RANDBETWEEN(8,12)/10</f>
        <v>2.4480000000000002E-2</v>
      </c>
      <c r="L52" s="4">
        <f ca="1">ROUND(T_Facebook_Ads[[#This Row],[reach]]*RANDBETWEEN(8,12)/10,0)</f>
        <v>33876</v>
      </c>
      <c r="M52" s="4">
        <f ca="1">T_Facebook_Ads[[#This Row],[frequency]]*RANDBETWEEN(8,12)/10</f>
        <v>0.95199999999999996</v>
      </c>
      <c r="O52" s="3">
        <f t="shared" ca="1" si="6"/>
        <v>45065</v>
      </c>
      <c r="P52" s="4" t="s">
        <v>76</v>
      </c>
      <c r="Q52" s="4" t="s">
        <v>77</v>
      </c>
      <c r="R52" s="4" t="s">
        <v>78</v>
      </c>
      <c r="S52" s="4" t="s">
        <v>79</v>
      </c>
      <c r="T52" s="4">
        <f ca="1">ROUND(_Google_ads[[#This Row],[impressions]]*RANDBETWEEN(8,12)/10,0)</f>
        <v>25456</v>
      </c>
      <c r="U52" s="4">
        <f ca="1">ROUND(_Google_ads[[#This Row],[clicks]]*RANDBETWEEN(8,12)/10,0)</f>
        <v>1345</v>
      </c>
      <c r="V52" s="4">
        <f ca="1">_Google_ads[[#This Row],[cost]]*RANDBETWEEN(8,12)/10</f>
        <v>231.57000000000002</v>
      </c>
      <c r="W52" s="4">
        <f ca="1">ROUND(_Google_ads[[#This Row],[conversions]]*RANDBETWEEN(8,12)/10,0)</f>
        <v>56</v>
      </c>
      <c r="X52" s="4">
        <f ca="1">ROUND(_Google_ads[[#This Row],[conversion_value]]*RANDBETWEEN(8,12)/10,0)</f>
        <v>2295</v>
      </c>
      <c r="Y52" s="4">
        <f ca="1">_Google_ads[[#This Row],[ctr]]*RANDBETWEEN(8,12)/10</f>
        <v>4.752E-2</v>
      </c>
      <c r="Z52" s="4">
        <f ca="1">_Google_ads[[#This Row],[avg_cpc]]*RANDBETWEEN(8,12)/10</f>
        <v>0.17099999999999999</v>
      </c>
      <c r="AA52" s="4">
        <f ca="1">ROUND(_Google_ads[[#This Row],[quality_score]]*RANDBETWEEN(8,12)/10,0)</f>
        <v>7</v>
      </c>
      <c r="AB52" s="4">
        <f ca="1">_Google_ads[[#This Row],[search_impression_share]]*RANDBETWEEN(8,12)/10</f>
        <v>1.012</v>
      </c>
      <c r="AD52" s="3">
        <f t="shared" ca="1" si="7"/>
        <v>45055</v>
      </c>
      <c r="AE52" s="4" t="s">
        <v>100</v>
      </c>
      <c r="AF52" s="4" t="s">
        <v>101</v>
      </c>
      <c r="AG52" s="4" t="s">
        <v>102</v>
      </c>
      <c r="AH52" s="4" t="s">
        <v>103</v>
      </c>
      <c r="AI52" s="4">
        <f ca="1">ROUND(T_Tiktok_ads[[#This Row],[impressions]]*RANDBETWEEN(8,12)/10,0)</f>
        <v>231210</v>
      </c>
      <c r="AJ52" s="4">
        <f ca="1">ROUND(T_Tiktok_ads[[#This Row],[clicks]]*RANDBETWEEN(8,12)/10,0)</f>
        <v>4234</v>
      </c>
      <c r="AK52" s="4">
        <v>556.70000000000005</v>
      </c>
      <c r="AL52" s="4">
        <f ca="1">ROUND(T_Tiktok_ads[[#This Row],[conversions]]*RANDBETWEEN(8,12)/10,0)</f>
        <v>34</v>
      </c>
      <c r="AM52" s="4">
        <f ca="1">ROUND(T_Tiktok_ads[[#This Row],[video_views]]*RANDBETWEEN(8,12)/10,0)</f>
        <v>187654</v>
      </c>
      <c r="AN52" s="4">
        <f ca="1">ROUND(T_Tiktok_ads[[#This Row],[video_watch_25]]*RANDBETWEEN(8,12)/10,0)</f>
        <v>145876</v>
      </c>
      <c r="AO52" s="4">
        <f ca="1">ROUND(T_Tiktok_ads[[#This Row],[video_watch_50]]*RANDBETWEEN(8,12)/10,0)</f>
        <v>126024</v>
      </c>
      <c r="AP52" s="4">
        <f ca="1">ROUND(T_Tiktok_ads[[#This Row],[video_watch_75]]*RANDBETWEEN(8,12)/10,0)</f>
        <v>92681</v>
      </c>
      <c r="AQ52" s="4">
        <f ca="1">ROUND(T_Tiktok_ads[[#This Row],[video_watch_100]]*RANDBETWEEN(8,12)/10,0)</f>
        <v>40987</v>
      </c>
      <c r="AR52" s="4">
        <f ca="1">ROUND(T_Tiktok_ads[[#This Row],[likes]]*RANDBETWEEN(8,12)/10,0)</f>
        <v>9311</v>
      </c>
      <c r="AS52" s="4">
        <f ca="1">ROUND(T_Tiktok_ads[[#This Row],[shares]]*RANDBETWEEN(8,12)/10,0)</f>
        <v>3068</v>
      </c>
      <c r="AT52" s="4">
        <f ca="1">ROUND(T_Tiktok_ads[[#This Row],[comments]]*RANDBETWEEN(8,12)/10,0)</f>
        <v>590</v>
      </c>
      <c r="AV52" s="5">
        <f t="shared" ca="1" si="8"/>
        <v>45054</v>
      </c>
      <c r="AW52">
        <f t="shared" ca="1" si="4"/>
        <v>2</v>
      </c>
      <c r="AX52">
        <f ca="1">ROUND(T_Facebook_Ads1159636771[[#This Row],[impressions]]*RANDBETWEEN(8,12)/10,0)</f>
        <v>49731</v>
      </c>
      <c r="AY52">
        <f ca="1">ROUND(T_Facebook_Ads1159636771[[#This Row],[clicks]]*RANDBETWEEN(8,12)/10,0)</f>
        <v>1228</v>
      </c>
      <c r="AZ52">
        <f ca="1">T_Facebook_Ads1159636771[[#This Row],[spend]]*RANDBETWEEN(8,12)/10</f>
        <v>103.53600000000002</v>
      </c>
      <c r="BA52">
        <f ca="1">ROUND(T_Facebook_Ads1159636771[[#This Row],[conversions]]*RANDBETWEEN(8,12)/10,0)</f>
        <v>14</v>
      </c>
      <c r="BB52">
        <f ca="1">ROUND(T_Facebook_Ads1159636771[[#This Row],[video_views]]*RANDBETWEEN(8,12)/10,0)</f>
        <v>8311</v>
      </c>
    </row>
    <row r="53" spans="1:54" ht="15.75" thickBot="1" x14ac:dyDescent="0.3">
      <c r="A53" s="3">
        <f t="shared" ca="1" si="5"/>
        <v>45071</v>
      </c>
      <c r="B53" s="4" t="s">
        <v>56</v>
      </c>
      <c r="C53" s="4" t="s">
        <v>57</v>
      </c>
      <c r="D53" s="4" t="s">
        <v>58</v>
      </c>
      <c r="E53" s="4" t="s">
        <v>59</v>
      </c>
      <c r="F53" s="4">
        <f ca="1">ROUND(T_Facebook_Ads[[#This Row],[impressions]]*RANDBETWEEN(8,12)/10,0)</f>
        <v>17081</v>
      </c>
      <c r="G53" s="4">
        <v>678</v>
      </c>
      <c r="H53" s="4">
        <f ca="1">T_Facebook_Ads[[#This Row],[spend]]*RANDBETWEEN(8,12)/10</f>
        <v>248.5</v>
      </c>
      <c r="I53" s="4">
        <f ca="1">ROUND(T_Facebook_Ads[[#This Row],[conversions]]*RANDBETWEEN(8,12)/10,0)</f>
        <v>34</v>
      </c>
      <c r="J53" s="4">
        <f ca="1">ROUND(T_Facebook_Ads[[#This Row],[video_views]]*RANDBETWEEN(8,12)/10,0)</f>
        <v>1880</v>
      </c>
      <c r="K53" s="4">
        <f ca="1">T_Facebook_Ads[[#This Row],[engagement_rate]]*RANDBETWEEN(8,12)/10</f>
        <v>4.2930000000000003E-2</v>
      </c>
      <c r="L53" s="4">
        <f ca="1">ROUND(T_Facebook_Ads[[#This Row],[reach]]*RANDBETWEEN(8,12)/10,0)</f>
        <v>8987</v>
      </c>
      <c r="M53" s="4">
        <f ca="1">T_Facebook_Ads[[#This Row],[frequency]]*RANDBETWEEN(8,12)/10</f>
        <v>1.397</v>
      </c>
      <c r="O53" s="3">
        <f t="shared" ca="1" si="6"/>
        <v>45055</v>
      </c>
      <c r="P53" s="4" t="s">
        <v>80</v>
      </c>
      <c r="Q53" s="4" t="s">
        <v>81</v>
      </c>
      <c r="R53" s="4" t="s">
        <v>82</v>
      </c>
      <c r="S53" s="4" t="s">
        <v>83</v>
      </c>
      <c r="T53" s="4">
        <f ca="1">ROUND(_Google_ads[[#This Row],[impressions]]*RANDBETWEEN(8,12)/10,0)</f>
        <v>45678</v>
      </c>
      <c r="U53" s="4">
        <f ca="1">ROUND(_Google_ads[[#This Row],[clicks]]*RANDBETWEEN(8,12)/10,0)</f>
        <v>811</v>
      </c>
      <c r="V53" s="4">
        <f ca="1">_Google_ads[[#This Row],[cost]]*RANDBETWEEN(8,12)/10</f>
        <v>701.4</v>
      </c>
      <c r="W53" s="4">
        <f ca="1">ROUND(_Google_ads[[#This Row],[conversions]]*RANDBETWEEN(8,12)/10,0)</f>
        <v>26</v>
      </c>
      <c r="X53" s="4">
        <f ca="1">ROUND(_Google_ads[[#This Row],[conversion_value]]*RANDBETWEEN(8,12)/10,0)</f>
        <v>1200</v>
      </c>
      <c r="Y53" s="4">
        <f ca="1">_Google_ads[[#This Row],[ctr]]*RANDBETWEEN(8,12)/10</f>
        <v>2.3640000000000001E-2</v>
      </c>
      <c r="Z53" s="4">
        <f ca="1">_Google_ads[[#This Row],[avg_cpc]]*RANDBETWEEN(8,12)/10</f>
        <v>0.71500000000000008</v>
      </c>
      <c r="AA53" s="4">
        <f ca="1">ROUND(_Google_ads[[#This Row],[quality_score]]*RANDBETWEEN(8,12)/10,0)</f>
        <v>6</v>
      </c>
      <c r="AB53" s="4">
        <f ca="1">_Google_ads[[#This Row],[search_impression_share]]*RANDBETWEEN(8,12)/10</f>
        <v>0.36</v>
      </c>
      <c r="AD53" s="3">
        <f t="shared" ca="1" si="7"/>
        <v>45074</v>
      </c>
      <c r="AE53" s="4" t="s">
        <v>104</v>
      </c>
      <c r="AF53" s="4" t="s">
        <v>105</v>
      </c>
      <c r="AG53" s="4" t="s">
        <v>106</v>
      </c>
      <c r="AH53" s="4" t="s">
        <v>107</v>
      </c>
      <c r="AI53" s="4">
        <f ca="1">ROUND(T_Tiktok_ads[[#This Row],[impressions]]*RANDBETWEEN(8,12)/10,0)</f>
        <v>125431</v>
      </c>
      <c r="AJ53" s="4">
        <f ca="1">ROUND(T_Tiktok_ads[[#This Row],[clicks]]*RANDBETWEEN(8,12)/10,0)</f>
        <v>3614</v>
      </c>
      <c r="AK53" s="4">
        <v>812.3</v>
      </c>
      <c r="AL53" s="4">
        <f ca="1">ROUND(T_Tiktok_ads[[#This Row],[conversions]]*RANDBETWEEN(8,12)/10,0)</f>
        <v>74</v>
      </c>
      <c r="AM53" s="4">
        <f ca="1">ROUND(T_Tiktok_ads[[#This Row],[video_views]]*RANDBETWEEN(8,12)/10,0)</f>
        <v>131851</v>
      </c>
      <c r="AN53" s="4">
        <f ca="1">ROUND(T_Tiktok_ads[[#This Row],[video_watch_25]]*RANDBETWEEN(8,12)/10,0)</f>
        <v>64987</v>
      </c>
      <c r="AO53" s="4">
        <f ca="1">ROUND(T_Tiktok_ads[[#This Row],[video_watch_50]]*RANDBETWEEN(8,12)/10,0)</f>
        <v>43742</v>
      </c>
      <c r="AP53" s="4">
        <f ca="1">ROUND(T_Tiktok_ads[[#This Row],[video_watch_75]]*RANDBETWEEN(8,12)/10,0)</f>
        <v>41234</v>
      </c>
      <c r="AQ53" s="4">
        <f ca="1">ROUND(T_Tiktok_ads[[#This Row],[video_watch_100]]*RANDBETWEEN(8,12)/10,0)</f>
        <v>27567</v>
      </c>
      <c r="AR53" s="4">
        <f ca="1">ROUND(T_Tiktok_ads[[#This Row],[likes]]*RANDBETWEEN(8,12)/10,0)</f>
        <v>4365</v>
      </c>
      <c r="AS53" s="4">
        <f ca="1">ROUND(T_Tiktok_ads[[#This Row],[shares]]*RANDBETWEEN(8,12)/10,0)</f>
        <v>1567</v>
      </c>
      <c r="AT53" s="4">
        <f ca="1">ROUND(T_Tiktok_ads[[#This Row],[comments]]*RANDBETWEEN(8,12)/10,0)</f>
        <v>347</v>
      </c>
      <c r="AV53" s="5">
        <f t="shared" ca="1" si="8"/>
        <v>45070</v>
      </c>
      <c r="AW53">
        <f t="shared" ca="1" si="4"/>
        <v>3</v>
      </c>
      <c r="AX53">
        <f ca="1">ROUND(T_Facebook_Ads1159636771[[#This Row],[impressions]]*RANDBETWEEN(8,12)/10,0)</f>
        <v>17081</v>
      </c>
      <c r="AY53">
        <f ca="1">ROUND(T_Facebook_Ads1159636771[[#This Row],[clicks]]*RANDBETWEEN(8,12)/10,0)</f>
        <v>542</v>
      </c>
      <c r="AZ53">
        <f ca="1">T_Facebook_Ads1159636771[[#This Row],[spend]]*RANDBETWEEN(8,12)/10</f>
        <v>198.8</v>
      </c>
      <c r="BA53">
        <f ca="1">ROUND(T_Facebook_Ads1159636771[[#This Row],[conversions]]*RANDBETWEEN(8,12)/10,0)</f>
        <v>41</v>
      </c>
      <c r="BB53">
        <f ca="1">ROUND(T_Facebook_Ads1159636771[[#This Row],[video_views]]*RANDBETWEEN(8,12)/10,0)</f>
        <v>1692</v>
      </c>
    </row>
    <row r="54" spans="1:54" ht="15.75" thickBot="1" x14ac:dyDescent="0.3">
      <c r="A54" s="3">
        <f t="shared" ca="1" si="5"/>
        <v>45072</v>
      </c>
      <c r="B54" s="4" t="s">
        <v>60</v>
      </c>
      <c r="C54" s="4" t="s">
        <v>61</v>
      </c>
      <c r="D54" s="4" t="s">
        <v>62</v>
      </c>
      <c r="E54" s="4" t="s">
        <v>63</v>
      </c>
      <c r="F54" s="4">
        <f ca="1">ROUND(T_Facebook_Ads[[#This Row],[impressions]]*RANDBETWEEN(8,12)/10,0)</f>
        <v>42302</v>
      </c>
      <c r="G54" s="4">
        <v>1423</v>
      </c>
      <c r="H54" s="4">
        <f ca="1">T_Facebook_Ads[[#This Row],[spend]]*RANDBETWEEN(8,12)/10</f>
        <v>262.43999999999994</v>
      </c>
      <c r="I54" s="4">
        <f ca="1">ROUND(T_Facebook_Ads[[#This Row],[conversions]]*RANDBETWEEN(8,12)/10,0)</f>
        <v>30</v>
      </c>
      <c r="J54" s="4">
        <f ca="1">ROUND(T_Facebook_Ads[[#This Row],[video_views]]*RANDBETWEEN(8,12)/10,0)</f>
        <v>6148</v>
      </c>
      <c r="K54" s="4">
        <f ca="1">T_Facebook_Ads[[#This Row],[engagement_rate]]*RANDBETWEEN(8,12)/10</f>
        <v>4.07E-2</v>
      </c>
      <c r="L54" s="4">
        <f ca="1">ROUND(T_Facebook_Ads[[#This Row],[reach]]*RANDBETWEEN(8,12)/10,0)</f>
        <v>31234</v>
      </c>
      <c r="M54" s="4">
        <f ca="1">T_Facebook_Ads[[#This Row],[frequency]]*RANDBETWEEN(8,12)/10</f>
        <v>1.353</v>
      </c>
      <c r="O54" s="3">
        <f t="shared" ca="1" si="6"/>
        <v>45065</v>
      </c>
      <c r="P54" s="4" t="s">
        <v>84</v>
      </c>
      <c r="Q54" s="4" t="s">
        <v>85</v>
      </c>
      <c r="R54" s="4" t="s">
        <v>86</v>
      </c>
      <c r="S54" s="4" t="s">
        <v>87</v>
      </c>
      <c r="T54" s="4">
        <f ca="1">ROUND(_Google_ads[[#This Row],[impressions]]*RANDBETWEEN(8,12)/10,0)</f>
        <v>70123</v>
      </c>
      <c r="U54" s="4">
        <f ca="1">ROUND(_Google_ads[[#This Row],[clicks]]*RANDBETWEEN(8,12)/10,0)</f>
        <v>2378</v>
      </c>
      <c r="V54" s="4">
        <f ca="1">_Google_ads[[#This Row],[cost]]*RANDBETWEEN(8,12)/10</f>
        <v>522.96</v>
      </c>
      <c r="W54" s="4">
        <f ca="1">ROUND(_Google_ads[[#This Row],[conversions]]*RANDBETWEEN(8,12)/10,0)</f>
        <v>69</v>
      </c>
      <c r="X54" s="4">
        <f ca="1">ROUND(_Google_ads[[#This Row],[conversion_value]]*RANDBETWEEN(8,12)/10,0)</f>
        <v>4140</v>
      </c>
      <c r="Y54" s="4">
        <f ca="1">_Google_ads[[#This Row],[ctr]]*RANDBETWEEN(8,12)/10</f>
        <v>3.0509999999999999E-2</v>
      </c>
      <c r="Z54" s="4">
        <f ca="1">_Google_ads[[#This Row],[avg_cpc]]*RANDBETWEEN(8,12)/10</f>
        <v>0.19800000000000001</v>
      </c>
      <c r="AA54" s="4">
        <f ca="1">ROUND(_Google_ads[[#This Row],[quality_score]]*RANDBETWEEN(8,12)/10,0)</f>
        <v>9</v>
      </c>
      <c r="AB54" s="4">
        <f ca="1">_Google_ads[[#This Row],[search_impression_share]]*RANDBETWEEN(8,12)/10</f>
        <v>0.80400000000000005</v>
      </c>
      <c r="AD54" s="3">
        <f t="shared" ca="1" si="7"/>
        <v>45065</v>
      </c>
      <c r="AE54" s="4" t="s">
        <v>108</v>
      </c>
      <c r="AF54" s="4" t="s">
        <v>109</v>
      </c>
      <c r="AG54" s="4" t="s">
        <v>110</v>
      </c>
      <c r="AH54" s="4" t="s">
        <v>111</v>
      </c>
      <c r="AI54" s="4">
        <f ca="1">ROUND(T_Tiktok_ads[[#This Row],[impressions]]*RANDBETWEEN(8,12)/10,0)</f>
        <v>294814</v>
      </c>
      <c r="AJ54" s="4">
        <f ca="1">ROUND(T_Tiktok_ads[[#This Row],[clicks]]*RANDBETWEEN(8,12)/10,0)</f>
        <v>4668</v>
      </c>
      <c r="AK54" s="4">
        <v>467.8</v>
      </c>
      <c r="AL54" s="4">
        <f ca="1">ROUND(T_Tiktok_ads[[#This Row],[conversions]]*RANDBETWEEN(8,12)/10,0)</f>
        <v>31</v>
      </c>
      <c r="AM54" s="4">
        <f ca="1">ROUND(T_Tiktok_ads[[#This Row],[video_views]]*RANDBETWEEN(8,12)/10,0)</f>
        <v>234814</v>
      </c>
      <c r="AN54" s="4">
        <f ca="1">ROUND(T_Tiktok_ads[[#This Row],[video_watch_25]]*RANDBETWEEN(8,12)/10,0)</f>
        <v>177881</v>
      </c>
      <c r="AO54" s="4">
        <f ca="1">ROUND(T_Tiktok_ads[[#This Row],[video_watch_50]]*RANDBETWEEN(8,12)/10,0)</f>
        <v>105511</v>
      </c>
      <c r="AP54" s="4">
        <f ca="1">ROUND(T_Tiktok_ads[[#This Row],[video_watch_75]]*RANDBETWEEN(8,12)/10,0)</f>
        <v>60187</v>
      </c>
      <c r="AQ54" s="4">
        <f ca="1">ROUND(T_Tiktok_ads[[#This Row],[video_watch_100]]*RANDBETWEEN(8,12)/10,0)</f>
        <v>36631</v>
      </c>
      <c r="AR54" s="4">
        <f ca="1">ROUND(T_Tiktok_ads[[#This Row],[likes]]*RANDBETWEEN(8,12)/10,0)</f>
        <v>9424</v>
      </c>
      <c r="AS54" s="4">
        <f ca="1">ROUND(T_Tiktok_ads[[#This Row],[shares]]*RANDBETWEEN(8,12)/10,0)</f>
        <v>2814</v>
      </c>
      <c r="AT54" s="4">
        <f ca="1">ROUND(T_Tiktok_ads[[#This Row],[comments]]*RANDBETWEEN(8,12)/10,0)</f>
        <v>680</v>
      </c>
      <c r="AV54" s="5">
        <f t="shared" ca="1" si="8"/>
        <v>45067</v>
      </c>
      <c r="AW54">
        <f t="shared" ca="1" si="4"/>
        <v>1</v>
      </c>
      <c r="AX54">
        <f ca="1">ROUND(T_Facebook_Ads1159636771[[#This Row],[impressions]]*RANDBETWEEN(8,12)/10,0)</f>
        <v>33842</v>
      </c>
      <c r="AY54">
        <f ca="1">ROUND(T_Facebook_Ads1159636771[[#This Row],[clicks]]*RANDBETWEEN(8,12)/10,0)</f>
        <v>1565</v>
      </c>
      <c r="AZ54">
        <f ca="1">T_Facebook_Ads1159636771[[#This Row],[spend]]*RANDBETWEEN(8,12)/10</f>
        <v>288.68399999999991</v>
      </c>
      <c r="BA54">
        <f ca="1">ROUND(T_Facebook_Ads1159636771[[#This Row],[conversions]]*RANDBETWEEN(8,12)/10,0)</f>
        <v>36</v>
      </c>
      <c r="BB54">
        <f ca="1">ROUND(T_Facebook_Ads1159636771[[#This Row],[video_views]]*RANDBETWEEN(8,12)/10,0)</f>
        <v>6763</v>
      </c>
    </row>
    <row r="55" spans="1:54" ht="15.75" thickBot="1" x14ac:dyDescent="0.3">
      <c r="A55" s="3">
        <f t="shared" ca="1" si="5"/>
        <v>45074</v>
      </c>
      <c r="B55" s="4" t="s">
        <v>64</v>
      </c>
      <c r="C55" s="4" t="s">
        <v>65</v>
      </c>
      <c r="D55" s="4" t="s">
        <v>66</v>
      </c>
      <c r="E55" s="4" t="s">
        <v>67</v>
      </c>
      <c r="F55" s="4">
        <f ca="1">ROUND(T_Facebook_Ads[[#This Row],[impressions]]*RANDBETWEEN(8,12)/10,0)</f>
        <v>80802</v>
      </c>
      <c r="G55" s="4">
        <v>267</v>
      </c>
      <c r="H55" s="4">
        <f ca="1">T_Facebook_Ads[[#This Row],[spend]]*RANDBETWEEN(8,12)/10</f>
        <v>94.2</v>
      </c>
      <c r="I55" s="4">
        <f ca="1">ROUND(T_Facebook_Ads[[#This Row],[conversions]]*RANDBETWEEN(8,12)/10,0)</f>
        <v>8</v>
      </c>
      <c r="J55" s="4">
        <f ca="1">ROUND(T_Facebook_Ads[[#This Row],[video_views]]*RANDBETWEEN(8,12)/10,0)</f>
        <v>49890</v>
      </c>
      <c r="K55" s="4">
        <f ca="1">T_Facebook_Ads[[#This Row],[engagement_rate]]*RANDBETWEEN(8,12)/10</f>
        <v>4.3200000000000001E-3</v>
      </c>
      <c r="L55" s="4">
        <f ca="1">ROUND(T_Facebook_Ads[[#This Row],[reach]]*RANDBETWEEN(8,12)/10,0)</f>
        <v>65524</v>
      </c>
      <c r="M55" s="4">
        <f ca="1">T_Facebook_Ads[[#This Row],[frequency]]*RANDBETWEEN(8,12)/10</f>
        <v>1.488</v>
      </c>
      <c r="O55" s="3">
        <f t="shared" ca="1" si="6"/>
        <v>45067</v>
      </c>
      <c r="P55" s="4" t="s">
        <v>88</v>
      </c>
      <c r="Q55" s="4" t="s">
        <v>89</v>
      </c>
      <c r="R55" s="4" t="s">
        <v>90</v>
      </c>
      <c r="S55" s="4" t="s">
        <v>59</v>
      </c>
      <c r="T55" s="4">
        <f ca="1">ROUND(_Google_ads[[#This Row],[impressions]]*RANDBETWEEN(8,12)/10,0)</f>
        <v>119310</v>
      </c>
      <c r="U55" s="4">
        <f ca="1">ROUND(_Google_ads[[#This Row],[clicks]]*RANDBETWEEN(8,12)/10,0)</f>
        <v>587</v>
      </c>
      <c r="V55" s="4">
        <f ca="1">_Google_ads[[#This Row],[cost]]*RANDBETWEEN(8,12)/10</f>
        <v>104.4</v>
      </c>
      <c r="W55" s="4">
        <f ca="1">ROUND(_Google_ads[[#This Row],[conversions]]*RANDBETWEEN(8,12)/10,0)</f>
        <v>11</v>
      </c>
      <c r="X55" s="4">
        <f ca="1">ROUND(_Google_ads[[#This Row],[conversion_value]]*RANDBETWEEN(8,12)/10,0)</f>
        <v>770</v>
      </c>
      <c r="Y55" s="4">
        <f ca="1">_Google_ads[[#This Row],[ctr]]*RANDBETWEEN(8,12)/10</f>
        <v>4.0699999999999998E-3</v>
      </c>
      <c r="Z55" s="4">
        <f ca="1">_Google_ads[[#This Row],[avg_cpc]]*RANDBETWEEN(8,12)/10</f>
        <v>0.24300000000000002</v>
      </c>
      <c r="AA55" s="4">
        <f ca="1">ROUND(_Google_ads[[#This Row],[quality_score]]*RANDBETWEEN(8,12)/10,0)</f>
        <v>8</v>
      </c>
      <c r="AB55" s="4">
        <f ca="1">_Google_ads[[#This Row],[search_impression_share]]*RANDBETWEEN(8,12)/10</f>
        <v>0.35</v>
      </c>
      <c r="AD55" s="3">
        <f t="shared" ca="1" si="7"/>
        <v>45069</v>
      </c>
      <c r="AE55" s="4" t="s">
        <v>112</v>
      </c>
      <c r="AF55" s="4" t="s">
        <v>113</v>
      </c>
      <c r="AG55" s="4" t="s">
        <v>114</v>
      </c>
      <c r="AH55" s="4" t="s">
        <v>115</v>
      </c>
      <c r="AI55" s="4">
        <f ca="1">ROUND(T_Tiktok_ads[[#This Row],[impressions]]*RANDBETWEEN(8,12)/10,0)</f>
        <v>508147</v>
      </c>
      <c r="AJ55" s="4">
        <f ca="1">ROUND(T_Tiktok_ads[[#This Row],[clicks]]*RANDBETWEEN(8,12)/10,0)</f>
        <v>8268</v>
      </c>
      <c r="AK55" s="4">
        <v>1056.8</v>
      </c>
      <c r="AL55" s="4">
        <f ca="1">ROUND(T_Tiktok_ads[[#This Row],[conversions]]*RANDBETWEEN(8,12)/10,0)</f>
        <v>118</v>
      </c>
      <c r="AM55" s="4">
        <f ca="1">ROUND(T_Tiktok_ads[[#This Row],[video_views]]*RANDBETWEEN(8,12)/10,0)</f>
        <v>428147</v>
      </c>
      <c r="AN55" s="4">
        <f ca="1">ROUND(T_Tiktok_ads[[#This Row],[video_watch_25]]*RANDBETWEEN(8,12)/10,0)</f>
        <v>289234</v>
      </c>
      <c r="AO55" s="4">
        <f ca="1">ROUND(T_Tiktok_ads[[#This Row],[video_watch_50]]*RANDBETWEEN(8,12)/10,0)</f>
        <v>185165</v>
      </c>
      <c r="AP55" s="4">
        <f ca="1">ROUND(T_Tiktok_ads[[#This Row],[video_watch_75]]*RANDBETWEEN(8,12)/10,0)</f>
        <v>164567</v>
      </c>
      <c r="AQ55" s="4">
        <f ca="1">ROUND(T_Tiktok_ads[[#This Row],[video_watch_100]]*RANDBETWEEN(8,12)/10,0)</f>
        <v>131081</v>
      </c>
      <c r="AR55" s="4">
        <f ca="1">ROUND(T_Tiktok_ads[[#This Row],[likes]]*RANDBETWEEN(8,12)/10,0)</f>
        <v>18890</v>
      </c>
      <c r="AS55" s="4">
        <f ca="1">ROUND(T_Tiktok_ads[[#This Row],[shares]]*RANDBETWEEN(8,12)/10,0)</f>
        <v>6002</v>
      </c>
      <c r="AT55" s="4">
        <f ca="1">ROUND(T_Tiktok_ads[[#This Row],[comments]]*RANDBETWEEN(8,12)/10,0)</f>
        <v>1638</v>
      </c>
      <c r="AV55" s="5">
        <f t="shared" ca="1" si="8"/>
        <v>45051</v>
      </c>
      <c r="AW55">
        <f t="shared" ca="1" si="4"/>
        <v>1</v>
      </c>
      <c r="AX55">
        <f ca="1">ROUND(T_Facebook_Ads1159636771[[#This Row],[impressions]]*RANDBETWEEN(8,12)/10,0)</f>
        <v>64642</v>
      </c>
      <c r="AY55">
        <f ca="1">ROUND(T_Facebook_Ads1159636771[[#This Row],[clicks]]*RANDBETWEEN(8,12)/10,0)</f>
        <v>214</v>
      </c>
      <c r="AZ55">
        <f ca="1">T_Facebook_Ads1159636771[[#This Row],[spend]]*RANDBETWEEN(8,12)/10</f>
        <v>75.36</v>
      </c>
      <c r="BA55">
        <f ca="1">ROUND(T_Facebook_Ads1159636771[[#This Row],[conversions]]*RANDBETWEEN(8,12)/10,0)</f>
        <v>6</v>
      </c>
      <c r="BB55">
        <f ca="1">ROUND(T_Facebook_Ads1159636771[[#This Row],[video_views]]*RANDBETWEEN(8,12)/10,0)</f>
        <v>49890</v>
      </c>
    </row>
    <row r="56" spans="1:54" ht="15.75" thickBot="1" x14ac:dyDescent="0.3">
      <c r="A56" s="3">
        <f t="shared" ca="1" si="5"/>
        <v>45056</v>
      </c>
      <c r="B56" s="4" t="s">
        <v>52</v>
      </c>
      <c r="C56" s="4" t="s">
        <v>53</v>
      </c>
      <c r="D56" s="4" t="s">
        <v>54</v>
      </c>
      <c r="E56" s="4" t="s">
        <v>55</v>
      </c>
      <c r="F56" s="4">
        <f ca="1">ROUND(T_Facebook_Ads[[#This Row],[impressions]]*RANDBETWEEN(8,12)/10,0)</f>
        <v>56968</v>
      </c>
      <c r="G56" s="4">
        <v>1089</v>
      </c>
      <c r="H56" s="4">
        <f ca="1">T_Facebook_Ads[[#This Row],[spend]]*RANDBETWEEN(8,12)/10</f>
        <v>167.53000000000003</v>
      </c>
      <c r="I56" s="4">
        <f ca="1">ROUND(T_Facebook_Ads[[#This Row],[conversions]]*RANDBETWEEN(8,12)/10,0)</f>
        <v>18</v>
      </c>
      <c r="J56" s="4">
        <f ca="1">ROUND(T_Facebook_Ads[[#This Row],[video_views]]*RANDBETWEEN(8,12)/10,0)</f>
        <v>9567</v>
      </c>
      <c r="K56" s="4">
        <f ca="1">T_Facebook_Ads[[#This Row],[engagement_rate]]*RANDBETWEEN(8,12)/10</f>
        <v>2.3100000000000002E-2</v>
      </c>
      <c r="L56" s="4">
        <f ca="1">ROUND(T_Facebook_Ads[[#This Row],[reach]]*RANDBETWEEN(8,12)/10,0)</f>
        <v>39210</v>
      </c>
      <c r="M56" s="4">
        <f ca="1">T_Facebook_Ads[[#This Row],[frequency]]*RANDBETWEEN(8,12)/10</f>
        <v>1.3089999999999999</v>
      </c>
      <c r="O56" s="3">
        <f t="shared" ca="1" si="6"/>
        <v>45047</v>
      </c>
      <c r="P56" s="4" t="s">
        <v>76</v>
      </c>
      <c r="Q56" s="4" t="s">
        <v>77</v>
      </c>
      <c r="R56" s="4" t="s">
        <v>78</v>
      </c>
      <c r="S56" s="4" t="s">
        <v>79</v>
      </c>
      <c r="T56" s="4">
        <f ca="1">ROUND(_Google_ads[[#This Row],[impressions]]*RANDBETWEEN(8,12)/10,0)</f>
        <v>32147</v>
      </c>
      <c r="U56" s="4">
        <f ca="1">ROUND(_Google_ads[[#This Row],[clicks]]*RANDBETWEEN(8,12)/10,0)</f>
        <v>1747</v>
      </c>
      <c r="V56" s="4">
        <f ca="1">_Google_ads[[#This Row],[cost]]*RANDBETWEEN(8,12)/10</f>
        <v>334.67999999999995</v>
      </c>
      <c r="W56" s="4">
        <f ca="1">ROUND(_Google_ads[[#This Row],[conversions]]*RANDBETWEEN(8,12)/10,0)</f>
        <v>65</v>
      </c>
      <c r="X56" s="4">
        <f ca="1">ROUND(_Google_ads[[#This Row],[conversion_value]]*RANDBETWEEN(8,12)/10,0)</f>
        <v>2700</v>
      </c>
      <c r="Y56" s="4">
        <f ca="1">_Google_ads[[#This Row],[ctr]]*RANDBETWEEN(8,12)/10</f>
        <v>6.5279999999999991E-2</v>
      </c>
      <c r="Z56" s="4">
        <f ca="1">_Google_ads[[#This Row],[avg_cpc]]*RANDBETWEEN(8,12)/10</f>
        <v>0.20899999999999999</v>
      </c>
      <c r="AA56" s="4">
        <f ca="1">ROUND(_Google_ads[[#This Row],[quality_score]]*RANDBETWEEN(8,12)/10,0)</f>
        <v>7</v>
      </c>
      <c r="AB56" s="4">
        <f ca="1">_Google_ads[[#This Row],[search_impression_share]]*RANDBETWEEN(8,12)/10</f>
        <v>1.0230000000000001</v>
      </c>
      <c r="AD56" s="3">
        <f t="shared" ca="1" si="7"/>
        <v>45065</v>
      </c>
      <c r="AE56" s="4" t="s">
        <v>100</v>
      </c>
      <c r="AF56" s="4" t="s">
        <v>101</v>
      </c>
      <c r="AG56" s="4" t="s">
        <v>102</v>
      </c>
      <c r="AH56" s="4" t="s">
        <v>103</v>
      </c>
      <c r="AI56" s="4">
        <f ca="1">ROUND(T_Tiktok_ads[[#This Row],[impressions]]*RANDBETWEEN(8,12)/10,0)</f>
        <v>361481</v>
      </c>
      <c r="AJ56" s="4">
        <f ca="1">ROUND(T_Tiktok_ads[[#This Row],[clicks]]*RANDBETWEEN(8,12)/10,0)</f>
        <v>5347</v>
      </c>
      <c r="AK56" s="4">
        <v>589.9</v>
      </c>
      <c r="AL56" s="4">
        <f ca="1">ROUND(T_Tiktok_ads[[#This Row],[conversions]]*RANDBETWEEN(8,12)/10,0)</f>
        <v>55</v>
      </c>
      <c r="AM56" s="4">
        <f ca="1">ROUND(T_Tiktok_ads[[#This Row],[video_views]]*RANDBETWEEN(8,12)/10,0)</f>
        <v>270246</v>
      </c>
      <c r="AN56" s="4">
        <f ca="1">ROUND(T_Tiktok_ads[[#This Row],[video_watch_25]]*RANDBETWEEN(8,12)/10,0)</f>
        <v>152987</v>
      </c>
      <c r="AO56" s="4">
        <f ca="1">ROUND(T_Tiktok_ads[[#This Row],[video_watch_50]]*RANDBETWEEN(8,12)/10,0)</f>
        <v>143081</v>
      </c>
      <c r="AP56" s="4">
        <f ca="1">ROUND(T_Tiktok_ads[[#This Row],[video_watch_75]]*RANDBETWEEN(8,12)/10,0)</f>
        <v>64187</v>
      </c>
      <c r="AQ56" s="4">
        <f ca="1">ROUND(T_Tiktok_ads[[#This Row],[video_watch_100]]*RANDBETWEEN(8,12)/10,0)</f>
        <v>58802</v>
      </c>
      <c r="AR56" s="4">
        <f ca="1">ROUND(T_Tiktok_ads[[#This Row],[likes]]*RANDBETWEEN(8,12)/10,0)</f>
        <v>12947</v>
      </c>
      <c r="AS56" s="4">
        <f ca="1">ROUND(T_Tiktok_ads[[#This Row],[shares]]*RANDBETWEEN(8,12)/10,0)</f>
        <v>2901</v>
      </c>
      <c r="AT56" s="4">
        <f ca="1">ROUND(T_Tiktok_ads[[#This Row],[comments]]*RANDBETWEEN(8,12)/10,0)</f>
        <v>620</v>
      </c>
      <c r="AV56" s="5">
        <f t="shared" ca="1" si="8"/>
        <v>45062</v>
      </c>
      <c r="AW56">
        <f t="shared" ca="1" si="4"/>
        <v>7</v>
      </c>
      <c r="AX56">
        <f ca="1">ROUND(T_Facebook_Ads1159636771[[#This Row],[impressions]]*RANDBETWEEN(8,12)/10,0)</f>
        <v>45574</v>
      </c>
      <c r="AY56">
        <f ca="1">ROUND(T_Facebook_Ads1159636771[[#This Row],[clicks]]*RANDBETWEEN(8,12)/10,0)</f>
        <v>1089</v>
      </c>
      <c r="AZ56">
        <f ca="1">T_Facebook_Ads1159636771[[#This Row],[spend]]*RANDBETWEEN(8,12)/10</f>
        <v>150.77700000000002</v>
      </c>
      <c r="BA56">
        <f ca="1">ROUND(T_Facebook_Ads1159636771[[#This Row],[conversions]]*RANDBETWEEN(8,12)/10,0)</f>
        <v>16</v>
      </c>
      <c r="BB56">
        <f ca="1">ROUND(T_Facebook_Ads1159636771[[#This Row],[video_views]]*RANDBETWEEN(8,12)/10,0)</f>
        <v>11480</v>
      </c>
    </row>
    <row r="57" spans="1:54" ht="15.75" thickBot="1" x14ac:dyDescent="0.3">
      <c r="A57" s="3">
        <f t="shared" ca="1" si="5"/>
        <v>45050</v>
      </c>
      <c r="B57" s="4" t="s">
        <v>56</v>
      </c>
      <c r="C57" s="4" t="s">
        <v>57</v>
      </c>
      <c r="D57" s="4" t="s">
        <v>58</v>
      </c>
      <c r="E57" s="4" t="s">
        <v>59</v>
      </c>
      <c r="F57" s="4">
        <f ca="1">ROUND(T_Facebook_Ads[[#This Row],[impressions]]*RANDBETWEEN(8,12)/10,0)</f>
        <v>18281</v>
      </c>
      <c r="G57" s="4">
        <v>734</v>
      </c>
      <c r="H57" s="4">
        <f ca="1">T_Facebook_Ads[[#This Row],[spend]]*RANDBETWEEN(8,12)/10</f>
        <v>211.76</v>
      </c>
      <c r="I57" s="4">
        <f ca="1">ROUND(T_Facebook_Ads[[#This Row],[conversions]]*RANDBETWEEN(8,12)/10,0)</f>
        <v>41</v>
      </c>
      <c r="J57" s="4">
        <f ca="1">ROUND(T_Facebook_Ads[[#This Row],[video_views]]*RANDBETWEEN(8,12)/10,0)</f>
        <v>1510</v>
      </c>
      <c r="K57" s="4">
        <f ca="1">T_Facebook_Ads[[#This Row],[engagement_rate]]*RANDBETWEEN(8,12)/10</f>
        <v>5.3019999999999998E-2</v>
      </c>
      <c r="L57" s="4">
        <f ca="1">ROUND(T_Facebook_Ads[[#This Row],[reach]]*RANDBETWEEN(8,12)/10,0)</f>
        <v>12123</v>
      </c>
      <c r="M57" s="4">
        <f ca="1">T_Facebook_Ads[[#This Row],[frequency]]*RANDBETWEEN(8,12)/10</f>
        <v>1.512</v>
      </c>
      <c r="O57" s="3">
        <f t="shared" ca="1" si="6"/>
        <v>45073</v>
      </c>
      <c r="P57" s="4" t="s">
        <v>80</v>
      </c>
      <c r="Q57" s="4" t="s">
        <v>81</v>
      </c>
      <c r="R57" s="4" t="s">
        <v>82</v>
      </c>
      <c r="S57" s="4" t="s">
        <v>83</v>
      </c>
      <c r="T57" s="4">
        <f ca="1">ROUND(_Google_ads[[#This Row],[impressions]]*RANDBETWEEN(8,12)/10,0)</f>
        <v>47234</v>
      </c>
      <c r="U57" s="4">
        <f ca="1">ROUND(_Google_ads[[#This Row],[clicks]]*RANDBETWEEN(8,12)/10,0)</f>
        <v>1064</v>
      </c>
      <c r="V57" s="4">
        <f ca="1">_Google_ads[[#This Row],[cost]]*RANDBETWEEN(8,12)/10</f>
        <v>484.48</v>
      </c>
      <c r="W57" s="4">
        <f ca="1">ROUND(_Google_ads[[#This Row],[conversions]]*RANDBETWEEN(8,12)/10,0)</f>
        <v>28</v>
      </c>
      <c r="X57" s="4">
        <f ca="1">ROUND(_Google_ads[[#This Row],[conversion_value]]*RANDBETWEEN(8,12)/10,0)</f>
        <v>1000</v>
      </c>
      <c r="Y57" s="4">
        <f ca="1">_Google_ads[[#This Row],[ctr]]*RANDBETWEEN(8,12)/10</f>
        <v>1.8450000000000001E-2</v>
      </c>
      <c r="Z57" s="4">
        <f ca="1">_Google_ads[[#This Row],[avg_cpc]]*RANDBETWEEN(8,12)/10</f>
        <v>0.504</v>
      </c>
      <c r="AA57" s="4">
        <f ca="1">ROUND(_Google_ads[[#This Row],[quality_score]]*RANDBETWEEN(8,12)/10,0)</f>
        <v>8</v>
      </c>
      <c r="AB57" s="4">
        <f ca="1">_Google_ads[[#This Row],[search_impression_share]]*RANDBETWEEN(8,12)/10</f>
        <v>0.36799999999999999</v>
      </c>
      <c r="AD57" s="3">
        <f t="shared" ca="1" si="7"/>
        <v>45072</v>
      </c>
      <c r="AE57" s="4" t="s">
        <v>104</v>
      </c>
      <c r="AF57" s="4" t="s">
        <v>105</v>
      </c>
      <c r="AG57" s="4" t="s">
        <v>106</v>
      </c>
      <c r="AH57" s="4" t="s">
        <v>107</v>
      </c>
      <c r="AI57" s="4">
        <f ca="1">ROUND(T_Tiktok_ads[[#This Row],[impressions]]*RANDBETWEEN(8,12)/10,0)</f>
        <v>134312</v>
      </c>
      <c r="AJ57" s="4">
        <f ca="1">ROUND(T_Tiktok_ads[[#This Row],[clicks]]*RANDBETWEEN(8,12)/10,0)</f>
        <v>3557</v>
      </c>
      <c r="AK57" s="4">
        <v>845.6</v>
      </c>
      <c r="AL57" s="4">
        <f ca="1">ROUND(T_Tiktok_ads[[#This Row],[conversions]]*RANDBETWEEN(8,12)/10,0)</f>
        <v>85</v>
      </c>
      <c r="AM57" s="4">
        <f ca="1">ROUND(T_Tiktok_ads[[#This Row],[video_views]]*RANDBETWEEN(8,12)/10,0)</f>
        <v>94312</v>
      </c>
      <c r="AN57" s="4">
        <f ca="1">ROUND(T_Tiktok_ads[[#This Row],[video_watch_25]]*RANDBETWEEN(8,12)/10,0)</f>
        <v>95957</v>
      </c>
      <c r="AO57" s="4">
        <f ca="1">ROUND(T_Tiktok_ads[[#This Row],[video_watch_50]]*RANDBETWEEN(8,12)/10,0)</f>
        <v>47121</v>
      </c>
      <c r="AP57" s="4">
        <f ca="1">ROUND(T_Tiktok_ads[[#This Row],[video_watch_75]]*RANDBETWEEN(8,12)/10,0)</f>
        <v>53081</v>
      </c>
      <c r="AQ57" s="4">
        <f ca="1">ROUND(T_Tiktok_ads[[#This Row],[video_watch_100]]*RANDBETWEEN(8,12)/10,0)</f>
        <v>29567</v>
      </c>
      <c r="AR57" s="4">
        <f ca="1">ROUND(T_Tiktok_ads[[#This Row],[likes]]*RANDBETWEEN(8,12)/10,0)</f>
        <v>6246</v>
      </c>
      <c r="AS57" s="4">
        <f ca="1">ROUND(T_Tiktok_ads[[#This Row],[shares]]*RANDBETWEEN(8,12)/10,0)</f>
        <v>1634</v>
      </c>
      <c r="AT57" s="4">
        <f ca="1">ROUND(T_Tiktok_ads[[#This Row],[comments]]*RANDBETWEEN(8,12)/10,0)</f>
        <v>312</v>
      </c>
      <c r="AV57" s="5">
        <f t="shared" ca="1" si="8"/>
        <v>45051</v>
      </c>
      <c r="AW57">
        <f t="shared" ca="1" si="4"/>
        <v>2</v>
      </c>
      <c r="AX57">
        <f ca="1">ROUND(T_Facebook_Ads1159636771[[#This Row],[impressions]]*RANDBETWEEN(8,12)/10,0)</f>
        <v>21937</v>
      </c>
      <c r="AY57">
        <f ca="1">ROUND(T_Facebook_Ads1159636771[[#This Row],[clicks]]*RANDBETWEEN(8,12)/10,0)</f>
        <v>734</v>
      </c>
      <c r="AZ57">
        <f ca="1">T_Facebook_Ads1159636771[[#This Row],[spend]]*RANDBETWEEN(8,12)/10</f>
        <v>169.40799999999999</v>
      </c>
      <c r="BA57">
        <f ca="1">ROUND(T_Facebook_Ads1159636771[[#This Row],[conversions]]*RANDBETWEEN(8,12)/10,0)</f>
        <v>45</v>
      </c>
      <c r="BB57">
        <f ca="1">ROUND(T_Facebook_Ads1159636771[[#This Row],[video_views]]*RANDBETWEEN(8,12)/10,0)</f>
        <v>1812</v>
      </c>
    </row>
    <row r="58" spans="1:54" ht="15.75" thickBot="1" x14ac:dyDescent="0.3">
      <c r="A58" s="3">
        <f t="shared" ca="1" si="5"/>
        <v>45064</v>
      </c>
      <c r="B58" s="4" t="s">
        <v>60</v>
      </c>
      <c r="C58" s="4" t="s">
        <v>61</v>
      </c>
      <c r="D58" s="4" t="s">
        <v>62</v>
      </c>
      <c r="E58" s="4" t="s">
        <v>63</v>
      </c>
      <c r="F58" s="4">
        <f ca="1">ROUND(T_Facebook_Ads[[#This Row],[impressions]]*RANDBETWEEN(8,12)/10,0)</f>
        <v>36111</v>
      </c>
      <c r="G58" s="4">
        <v>1534</v>
      </c>
      <c r="H58" s="4">
        <f ca="1">T_Facebook_Ads[[#This Row],[spend]]*RANDBETWEEN(8,12)/10</f>
        <v>186.24</v>
      </c>
      <c r="I58" s="4">
        <f ca="1">ROUND(T_Facebook_Ads[[#This Row],[conversions]]*RANDBETWEEN(8,12)/10,0)</f>
        <v>40</v>
      </c>
      <c r="J58" s="4">
        <f ca="1">ROUND(T_Facebook_Ads[[#This Row],[video_views]]*RANDBETWEEN(8,12)/10,0)</f>
        <v>4365</v>
      </c>
      <c r="K58" s="4">
        <f ca="1">T_Facebook_Ads[[#This Row],[engagement_rate]]*RANDBETWEEN(8,12)/10</f>
        <v>4.2019999999999995E-2</v>
      </c>
      <c r="L58" s="4">
        <f ca="1">ROUND(T_Facebook_Ads[[#This Row],[reach]]*RANDBETWEEN(8,12)/10,0)</f>
        <v>26312</v>
      </c>
      <c r="M58" s="4">
        <f ca="1">T_Facebook_Ads[[#This Row],[frequency]]*RANDBETWEEN(8,12)/10</f>
        <v>1.464</v>
      </c>
      <c r="O58" s="3">
        <f t="shared" ca="1" si="6"/>
        <v>45048</v>
      </c>
      <c r="P58" s="4" t="s">
        <v>84</v>
      </c>
      <c r="Q58" s="4" t="s">
        <v>85</v>
      </c>
      <c r="R58" s="4" t="s">
        <v>86</v>
      </c>
      <c r="S58" s="4" t="s">
        <v>87</v>
      </c>
      <c r="T58" s="4">
        <f ca="1">ROUND(_Google_ads[[#This Row],[impressions]]*RANDBETWEEN(8,12)/10,0)</f>
        <v>86947</v>
      </c>
      <c r="U58" s="4">
        <f ca="1">ROUND(_Google_ads[[#This Row],[clicks]]*RANDBETWEEN(8,12)/10,0)</f>
        <v>2489</v>
      </c>
      <c r="V58" s="4">
        <f ca="1">_Google_ads[[#This Row],[cost]]*RANDBETWEEN(8,12)/10</f>
        <v>540.83999999999992</v>
      </c>
      <c r="W58" s="4">
        <f ca="1">ROUND(_Google_ads[[#This Row],[conversions]]*RANDBETWEEN(8,12)/10,0)</f>
        <v>65</v>
      </c>
      <c r="X58" s="4">
        <f ca="1">ROUND(_Google_ads[[#This Row],[conversion_value]]*RANDBETWEEN(8,12)/10,0)</f>
        <v>2880</v>
      </c>
      <c r="Y58" s="4">
        <f ca="1">_Google_ads[[#This Row],[ctr]]*RANDBETWEEN(8,12)/10</f>
        <v>3.44E-2</v>
      </c>
      <c r="Z58" s="4">
        <f ca="1">_Google_ads[[#This Row],[avg_cpc]]*RANDBETWEEN(8,12)/10</f>
        <v>0.21600000000000003</v>
      </c>
      <c r="AA58" s="4">
        <f ca="1">ROUND(_Google_ads[[#This Row],[quality_score]]*RANDBETWEEN(8,12)/10,0)</f>
        <v>7</v>
      </c>
      <c r="AB58" s="4">
        <f ca="1">_Google_ads[[#This Row],[search_impression_share]]*RANDBETWEEN(8,12)/10</f>
        <v>0.748</v>
      </c>
      <c r="AD58" s="3">
        <f t="shared" ca="1" si="7"/>
        <v>45065</v>
      </c>
      <c r="AE58" s="4" t="s">
        <v>108</v>
      </c>
      <c r="AF58" s="4" t="s">
        <v>109</v>
      </c>
      <c r="AG58" s="4" t="s">
        <v>110</v>
      </c>
      <c r="AH58" s="4" t="s">
        <v>111</v>
      </c>
      <c r="AI58" s="4">
        <f ca="1">ROUND(T_Tiktok_ads[[#This Row],[impressions]]*RANDBETWEEN(8,12)/10,0)</f>
        <v>256789</v>
      </c>
      <c r="AJ58" s="4">
        <f ca="1">ROUND(T_Tiktok_ads[[#This Row],[clicks]]*RANDBETWEEN(8,12)/10,0)</f>
        <v>3210</v>
      </c>
      <c r="AK58" s="4">
        <v>489.2</v>
      </c>
      <c r="AL58" s="4">
        <f ca="1">ROUND(T_Tiktok_ads[[#This Row],[conversions]]*RANDBETWEEN(8,12)/10,0)</f>
        <v>36</v>
      </c>
      <c r="AM58" s="4">
        <f ca="1">ROUND(T_Tiktok_ads[[#This Row],[video_views]]*RANDBETWEEN(8,12)/10,0)</f>
        <v>201234</v>
      </c>
      <c r="AN58" s="4">
        <f ca="1">ROUND(T_Tiktok_ads[[#This Row],[video_watch_25]]*RANDBETWEEN(8,12)/10,0)</f>
        <v>137111</v>
      </c>
      <c r="AO58" s="4">
        <f ca="1">ROUND(T_Tiktok_ads[[#This Row],[video_watch_50]]*RANDBETWEEN(8,12)/10,0)</f>
        <v>108410</v>
      </c>
      <c r="AP58" s="4">
        <f ca="1">ROUND(T_Tiktok_ads[[#This Row],[video_watch_75]]*RANDBETWEEN(8,12)/10,0)</f>
        <v>77890</v>
      </c>
      <c r="AQ58" s="4">
        <f ca="1">ROUND(T_Tiktok_ads[[#This Row],[video_watch_100]]*RANDBETWEEN(8,12)/10,0)</f>
        <v>51957</v>
      </c>
      <c r="AR58" s="4">
        <f ca="1">ROUND(T_Tiktok_ads[[#This Row],[likes]]*RANDBETWEEN(8,12)/10,0)</f>
        <v>8901</v>
      </c>
      <c r="AS58" s="4">
        <f ca="1">ROUND(T_Tiktok_ads[[#This Row],[shares]]*RANDBETWEEN(8,12)/10,0)</f>
        <v>2947</v>
      </c>
      <c r="AT58" s="4">
        <f ca="1">ROUND(T_Tiktok_ads[[#This Row],[comments]]*RANDBETWEEN(8,12)/10,0)</f>
        <v>471</v>
      </c>
      <c r="AV58" s="5">
        <f t="shared" ca="1" si="8"/>
        <v>45058</v>
      </c>
      <c r="AW58">
        <f t="shared" ca="1" si="4"/>
        <v>3</v>
      </c>
      <c r="AX58">
        <f ca="1">ROUND(T_Facebook_Ads1159636771[[#This Row],[impressions]]*RANDBETWEEN(8,12)/10,0)</f>
        <v>28889</v>
      </c>
      <c r="AY58">
        <f ca="1">ROUND(T_Facebook_Ads1159636771[[#This Row],[clicks]]*RANDBETWEEN(8,12)/10,0)</f>
        <v>1841</v>
      </c>
      <c r="AZ58">
        <f ca="1">T_Facebook_Ads1159636771[[#This Row],[spend]]*RANDBETWEEN(8,12)/10</f>
        <v>186.24</v>
      </c>
      <c r="BA58">
        <f ca="1">ROUND(T_Facebook_Ads1159636771[[#This Row],[conversions]]*RANDBETWEEN(8,12)/10,0)</f>
        <v>40</v>
      </c>
      <c r="BB58">
        <f ca="1">ROUND(T_Facebook_Ads1159636771[[#This Row],[video_views]]*RANDBETWEEN(8,12)/10,0)</f>
        <v>3929</v>
      </c>
    </row>
    <row r="59" spans="1:54" ht="15.75" thickBot="1" x14ac:dyDescent="0.3">
      <c r="A59" s="3">
        <f t="shared" ca="1" si="5"/>
        <v>45062</v>
      </c>
      <c r="B59" s="4" t="s">
        <v>64</v>
      </c>
      <c r="C59" s="4" t="s">
        <v>65</v>
      </c>
      <c r="D59" s="4" t="s">
        <v>66</v>
      </c>
      <c r="E59" s="4" t="s">
        <v>67</v>
      </c>
      <c r="F59" s="4">
        <f ca="1">ROUND(T_Facebook_Ads[[#This Row],[impressions]]*RANDBETWEEN(8,12)/10,0)</f>
        <v>60712</v>
      </c>
      <c r="G59" s="4">
        <v>278</v>
      </c>
      <c r="H59" s="4">
        <f ca="1">T_Facebook_Ads[[#This Row],[spend]]*RANDBETWEEN(8,12)/10</f>
        <v>98.5</v>
      </c>
      <c r="I59" s="4">
        <f ca="1">ROUND(T_Facebook_Ads[[#This Row],[conversions]]*RANDBETWEEN(8,12)/10,0)</f>
        <v>7</v>
      </c>
      <c r="J59" s="4">
        <f ca="1">ROUND(T_Facebook_Ads[[#This Row],[video_views]]*RANDBETWEEN(8,12)/10,0)</f>
        <v>40987</v>
      </c>
      <c r="K59" s="4">
        <f ca="1">T_Facebook_Ads[[#This Row],[engagement_rate]]*RANDBETWEEN(8,12)/10</f>
        <v>4.0699999999999998E-3</v>
      </c>
      <c r="L59" s="4">
        <f ca="1">ROUND(T_Facebook_Ads[[#This Row],[reach]]*RANDBETWEEN(8,12)/10,0)</f>
        <v>61567</v>
      </c>
      <c r="M59" s="4">
        <f ca="1">T_Facebook_Ads[[#This Row],[frequency]]*RANDBETWEEN(8,12)/10</f>
        <v>1.353</v>
      </c>
      <c r="O59" s="3">
        <f t="shared" ca="1" si="6"/>
        <v>45049</v>
      </c>
      <c r="P59" s="4" t="s">
        <v>88</v>
      </c>
      <c r="Q59" s="4" t="s">
        <v>89</v>
      </c>
      <c r="R59" s="4" t="s">
        <v>90</v>
      </c>
      <c r="S59" s="4" t="s">
        <v>59</v>
      </c>
      <c r="T59" s="4">
        <f ca="1">ROUND(_Google_ads[[#This Row],[impressions]]*RANDBETWEEN(8,12)/10,0)</f>
        <v>166681</v>
      </c>
      <c r="U59" s="4">
        <f ca="1">ROUND(_Google_ads[[#This Row],[clicks]]*RANDBETWEEN(8,12)/10,0)</f>
        <v>641</v>
      </c>
      <c r="V59" s="4">
        <f ca="1">_Google_ads[[#This Row],[cost]]*RANDBETWEEN(8,12)/10</f>
        <v>122.76000000000002</v>
      </c>
      <c r="W59" s="4">
        <f ca="1">ROUND(_Google_ads[[#This Row],[conversions]]*RANDBETWEEN(8,12)/10,0)</f>
        <v>17</v>
      </c>
      <c r="X59" s="4">
        <f ca="1">ROUND(_Google_ads[[#This Row],[conversion_value]]*RANDBETWEEN(8,12)/10,0)</f>
        <v>675</v>
      </c>
      <c r="Y59" s="4">
        <f ca="1">_Google_ads[[#This Row],[ctr]]*RANDBETWEEN(8,12)/10</f>
        <v>4.1799999999999997E-3</v>
      </c>
      <c r="Z59" s="4">
        <f ca="1">_Google_ads[[#This Row],[avg_cpc]]*RANDBETWEEN(8,12)/10</f>
        <v>0.312</v>
      </c>
      <c r="AA59" s="4">
        <f ca="1">ROUND(_Google_ads[[#This Row],[quality_score]]*RANDBETWEEN(8,12)/10,0)</f>
        <v>7</v>
      </c>
      <c r="AB59" s="4">
        <f ca="1">_Google_ads[[#This Row],[search_impression_share]]*RANDBETWEEN(8,12)/10</f>
        <v>0.36</v>
      </c>
      <c r="AD59" s="3">
        <f t="shared" ca="1" si="7"/>
        <v>45069</v>
      </c>
      <c r="AE59" s="4" t="s">
        <v>112</v>
      </c>
      <c r="AF59" s="4" t="s">
        <v>113</v>
      </c>
      <c r="AG59" s="4" t="s">
        <v>114</v>
      </c>
      <c r="AH59" s="4" t="s">
        <v>115</v>
      </c>
      <c r="AI59" s="4">
        <f ca="1">ROUND(T_Tiktok_ads[[#This Row],[impressions]]*RANDBETWEEN(8,12)/10,0)</f>
        <v>534814</v>
      </c>
      <c r="AJ59" s="4">
        <f ca="1">ROUND(T_Tiktok_ads[[#This Row],[clicks]]*RANDBETWEEN(8,12)/10,0)</f>
        <v>8681</v>
      </c>
      <c r="AK59" s="4">
        <v>1123.5</v>
      </c>
      <c r="AL59" s="4">
        <f ca="1">ROUND(T_Tiktok_ads[[#This Row],[conversions]]*RANDBETWEEN(8,12)/10,0)</f>
        <v>102</v>
      </c>
      <c r="AM59" s="4">
        <f ca="1">ROUND(T_Tiktok_ads[[#This Row],[video_views]]*RANDBETWEEN(8,12)/10,0)</f>
        <v>454681</v>
      </c>
      <c r="AN59" s="4">
        <f ca="1">ROUND(T_Tiktok_ads[[#This Row],[video_watch_25]]*RANDBETWEEN(8,12)/10,0)</f>
        <v>365480</v>
      </c>
      <c r="AO59" s="4">
        <f ca="1">ROUND(T_Tiktok_ads[[#This Row],[video_watch_50]]*RANDBETWEEN(8,12)/10,0)</f>
        <v>243456</v>
      </c>
      <c r="AP59" s="4">
        <f ca="1">ROUND(T_Tiktok_ads[[#This Row],[video_watch_75]]*RANDBETWEEN(8,12)/10,0)</f>
        <v>137876</v>
      </c>
      <c r="AQ59" s="4">
        <f ca="1">ROUND(T_Tiktok_ads[[#This Row],[video_watch_100]]*RANDBETWEEN(8,12)/10,0)</f>
        <v>91654</v>
      </c>
      <c r="AR59" s="4">
        <f ca="1">ROUND(T_Tiktok_ads[[#This Row],[likes]]*RANDBETWEEN(8,12)/10,0)</f>
        <v>15654</v>
      </c>
      <c r="AS59" s="4">
        <f ca="1">ROUND(T_Tiktok_ads[[#This Row],[shares]]*RANDBETWEEN(8,12)/10,0)</f>
        <v>4542</v>
      </c>
      <c r="AT59" s="4">
        <f ca="1">ROUND(T_Tiktok_ads[[#This Row],[comments]]*RANDBETWEEN(8,12)/10,0)</f>
        <v>1254</v>
      </c>
      <c r="AV59" s="5">
        <f t="shared" ca="1" si="8"/>
        <v>45058</v>
      </c>
      <c r="AW59">
        <f t="shared" ca="1" si="4"/>
        <v>1</v>
      </c>
      <c r="AX59">
        <f ca="1">ROUND(T_Facebook_Ads1159636771[[#This Row],[impressions]]*RANDBETWEEN(8,12)/10,0)</f>
        <v>66783</v>
      </c>
      <c r="AY59">
        <f ca="1">ROUND(T_Facebook_Ads1159636771[[#This Row],[clicks]]*RANDBETWEEN(8,12)/10,0)</f>
        <v>278</v>
      </c>
      <c r="AZ59">
        <f ca="1">T_Facebook_Ads1159636771[[#This Row],[spend]]*RANDBETWEEN(8,12)/10</f>
        <v>118.2</v>
      </c>
      <c r="BA59">
        <f ca="1">ROUND(T_Facebook_Ads1159636771[[#This Row],[conversions]]*RANDBETWEEN(8,12)/10,0)</f>
        <v>7</v>
      </c>
      <c r="BB59">
        <f ca="1">ROUND(T_Facebook_Ads1159636771[[#This Row],[video_views]]*RANDBETWEEN(8,12)/10,0)</f>
        <v>36888</v>
      </c>
    </row>
    <row r="60" spans="1:54" ht="15.75" thickBot="1" x14ac:dyDescent="0.3">
      <c r="A60" s="3">
        <f t="shared" ca="1" si="5"/>
        <v>45059</v>
      </c>
      <c r="B60" s="4" t="s">
        <v>52</v>
      </c>
      <c r="C60" s="4" t="s">
        <v>53</v>
      </c>
      <c r="D60" s="4" t="s">
        <v>54</v>
      </c>
      <c r="E60" s="4" t="s">
        <v>55</v>
      </c>
      <c r="F60" s="4">
        <f ca="1">ROUND(T_Facebook_Ads[[#This Row],[impressions]]*RANDBETWEEN(8,12)/10,0)</f>
        <v>44610</v>
      </c>
      <c r="G60" s="4">
        <v>1012</v>
      </c>
      <c r="H60" s="4">
        <f ca="1">T_Facebook_Ads[[#This Row],[spend]]*RANDBETWEEN(8,12)/10</f>
        <v>144.6</v>
      </c>
      <c r="I60" s="4">
        <f ca="1">ROUND(T_Facebook_Ads[[#This Row],[conversions]]*RANDBETWEEN(8,12)/10,0)</f>
        <v>19</v>
      </c>
      <c r="J60" s="4">
        <f ca="1">ROUND(T_Facebook_Ads[[#This Row],[video_views]]*RANDBETWEEN(8,12)/10,0)</f>
        <v>8211</v>
      </c>
      <c r="K60" s="4">
        <f ca="1">T_Facebook_Ads[[#This Row],[engagement_rate]]*RANDBETWEEN(8,12)/10</f>
        <v>2.0400000000000001E-2</v>
      </c>
      <c r="L60" s="4">
        <f ca="1">ROUND(T_Facebook_Ads[[#This Row],[reach]]*RANDBETWEEN(8,12)/10,0)</f>
        <v>37701</v>
      </c>
      <c r="M60" s="4">
        <f ca="1">T_Facebook_Ads[[#This Row],[frequency]]*RANDBETWEEN(8,12)/10</f>
        <v>1.18</v>
      </c>
      <c r="O60" s="3">
        <f t="shared" ca="1" si="6"/>
        <v>45060</v>
      </c>
      <c r="P60" s="4" t="s">
        <v>76</v>
      </c>
      <c r="Q60" s="4" t="s">
        <v>77</v>
      </c>
      <c r="R60" s="4" t="s">
        <v>78</v>
      </c>
      <c r="S60" s="4" t="s">
        <v>79</v>
      </c>
      <c r="T60" s="4">
        <f ca="1">ROUND(_Google_ads[[#This Row],[impressions]]*RANDBETWEEN(8,12)/10,0)</f>
        <v>30947</v>
      </c>
      <c r="U60" s="4">
        <f ca="1">ROUND(_Google_ads[[#This Row],[clicks]]*RANDBETWEEN(8,12)/10,0)</f>
        <v>1528</v>
      </c>
      <c r="V60" s="4">
        <f ca="1">_Google_ads[[#This Row],[cost]]*RANDBETWEEN(8,12)/10</f>
        <v>318.23999999999995</v>
      </c>
      <c r="W60" s="4">
        <f ca="1">ROUND(_Google_ads[[#This Row],[conversions]]*RANDBETWEEN(8,12)/10,0)</f>
        <v>42</v>
      </c>
      <c r="X60" s="4">
        <f ca="1">ROUND(_Google_ads[[#This Row],[conversion_value]]*RANDBETWEEN(8,12)/10,0)</f>
        <v>2600</v>
      </c>
      <c r="Y60" s="4">
        <f ca="1">_Google_ads[[#This Row],[ctr]]*RANDBETWEEN(8,12)/10</f>
        <v>4.8420000000000005E-2</v>
      </c>
      <c r="Z60" s="4">
        <f ca="1">_Google_ads[[#This Row],[avg_cpc]]*RANDBETWEEN(8,12)/10</f>
        <v>0.17099999999999999</v>
      </c>
      <c r="AA60" s="4">
        <f ca="1">ROUND(_Google_ads[[#This Row],[quality_score]]*RANDBETWEEN(8,12)/10,0)</f>
        <v>7</v>
      </c>
      <c r="AB60" s="4">
        <f ca="1">_Google_ads[[#This Row],[search_impression_share]]*RANDBETWEEN(8,12)/10</f>
        <v>0.73599999999999999</v>
      </c>
      <c r="AD60" s="3">
        <f t="shared" ca="1" si="7"/>
        <v>45047</v>
      </c>
      <c r="AE60" s="4" t="s">
        <v>100</v>
      </c>
      <c r="AF60" s="4" t="s">
        <v>101</v>
      </c>
      <c r="AG60" s="4" t="s">
        <v>102</v>
      </c>
      <c r="AH60" s="4" t="s">
        <v>103</v>
      </c>
      <c r="AI60" s="4">
        <f ca="1">ROUND(T_Tiktok_ads[[#This Row],[impressions]]*RANDBETWEEN(8,12)/10,0)</f>
        <v>232098</v>
      </c>
      <c r="AJ60" s="4">
        <f ca="1">ROUND(T_Tiktok_ads[[#This Row],[clicks]]*RANDBETWEEN(8,12)/10,0)</f>
        <v>5027</v>
      </c>
      <c r="AK60" s="4">
        <v>567.79999999999995</v>
      </c>
      <c r="AL60" s="4">
        <f ca="1">ROUND(T_Tiktok_ads[[#This Row],[conversions]]*RANDBETWEEN(8,12)/10,0)</f>
        <v>53</v>
      </c>
      <c r="AM60" s="4">
        <f ca="1">ROUND(T_Tiktok_ads[[#This Row],[video_views]]*RANDBETWEEN(8,12)/10,0)</f>
        <v>284147</v>
      </c>
      <c r="AN60" s="4">
        <f ca="1">ROUND(T_Tiktok_ads[[#This Row],[video_watch_25]]*RANDBETWEEN(8,12)/10,0)</f>
        <v>184567</v>
      </c>
      <c r="AO60" s="4">
        <f ca="1">ROUND(T_Tiktok_ads[[#This Row],[video_watch_50]]*RANDBETWEEN(8,12)/10,0)</f>
        <v>92542</v>
      </c>
      <c r="AP60" s="4">
        <f ca="1">ROUND(T_Tiktok_ads[[#This Row],[video_watch_75]]*RANDBETWEEN(8,12)/10,0)</f>
        <v>93881</v>
      </c>
      <c r="AQ60" s="4">
        <f ca="1">ROUND(T_Tiktok_ads[[#This Row],[video_watch_100]]*RANDBETWEEN(8,12)/10,0)</f>
        <v>41876</v>
      </c>
      <c r="AR60" s="4">
        <f ca="1">ROUND(T_Tiktok_ads[[#This Row],[likes]]*RANDBETWEEN(8,12)/10,0)</f>
        <v>10456</v>
      </c>
      <c r="AS60" s="4">
        <f ca="1">ROUND(T_Tiktok_ads[[#This Row],[shares]]*RANDBETWEEN(8,12)/10,0)</f>
        <v>2812</v>
      </c>
      <c r="AT60" s="4">
        <f ca="1">ROUND(T_Tiktok_ads[[#This Row],[comments]]*RANDBETWEEN(8,12)/10,0)</f>
        <v>610</v>
      </c>
      <c r="AV60" s="5">
        <f t="shared" ca="1" si="8"/>
        <v>45052</v>
      </c>
      <c r="AW60">
        <f t="shared" ca="1" si="4"/>
        <v>1</v>
      </c>
      <c r="AX60">
        <f ca="1">ROUND(T_Facebook_Ads1159636771[[#This Row],[impressions]]*RANDBETWEEN(8,12)/10,0)</f>
        <v>40149</v>
      </c>
      <c r="AY60">
        <f ca="1">ROUND(T_Facebook_Ads1159636771[[#This Row],[clicks]]*RANDBETWEEN(8,12)/10,0)</f>
        <v>1012</v>
      </c>
      <c r="AZ60">
        <f ca="1">T_Facebook_Ads1159636771[[#This Row],[spend]]*RANDBETWEEN(8,12)/10</f>
        <v>144.6</v>
      </c>
      <c r="BA60">
        <f ca="1">ROUND(T_Facebook_Ads1159636771[[#This Row],[conversions]]*RANDBETWEEN(8,12)/10,0)</f>
        <v>17</v>
      </c>
      <c r="BB60">
        <f ca="1">ROUND(T_Facebook_Ads1159636771[[#This Row],[video_views]]*RANDBETWEEN(8,12)/10,0)</f>
        <v>7390</v>
      </c>
    </row>
    <row r="61" spans="1:54" ht="15.75" thickBot="1" x14ac:dyDescent="0.3">
      <c r="A61" s="3">
        <f t="shared" ca="1" si="5"/>
        <v>45064</v>
      </c>
      <c r="B61" s="4" t="s">
        <v>56</v>
      </c>
      <c r="C61" s="4" t="s">
        <v>57</v>
      </c>
      <c r="D61" s="4" t="s">
        <v>58</v>
      </c>
      <c r="E61" s="4" t="s">
        <v>59</v>
      </c>
      <c r="F61" s="4">
        <f ca="1">ROUND(T_Facebook_Ads[[#This Row],[impressions]]*RANDBETWEEN(8,12)/10,0)</f>
        <v>11654</v>
      </c>
      <c r="G61" s="4">
        <v>689</v>
      </c>
      <c r="H61" s="4">
        <f ca="1">T_Facebook_Ads[[#This Row],[spend]]*RANDBETWEEN(8,12)/10</f>
        <v>228.06</v>
      </c>
      <c r="I61" s="4">
        <f ca="1">ROUND(T_Facebook_Ads[[#This Row],[conversions]]*RANDBETWEEN(8,12)/10,0)</f>
        <v>43</v>
      </c>
      <c r="J61" s="4">
        <f ca="1">ROUND(T_Facebook_Ads[[#This Row],[video_views]]*RANDBETWEEN(8,12)/10,0)</f>
        <v>1638</v>
      </c>
      <c r="K61" s="4">
        <f ca="1">T_Facebook_Ads[[#This Row],[engagement_rate]]*RANDBETWEEN(8,12)/10</f>
        <v>4.7300000000000002E-2</v>
      </c>
      <c r="L61" s="4">
        <f ca="1">ROUND(T_Facebook_Ads[[#This Row],[reach]]*RANDBETWEEN(8,12)/10,0)</f>
        <v>12724</v>
      </c>
      <c r="M61" s="4">
        <f ca="1">T_Facebook_Ads[[#This Row],[frequency]]*RANDBETWEEN(8,12)/10</f>
        <v>1.512</v>
      </c>
      <c r="O61" s="3">
        <f t="shared" ca="1" si="6"/>
        <v>45051</v>
      </c>
      <c r="P61" s="4" t="s">
        <v>80</v>
      </c>
      <c r="Q61" s="4" t="s">
        <v>81</v>
      </c>
      <c r="R61" s="4" t="s">
        <v>82</v>
      </c>
      <c r="S61" s="4" t="s">
        <v>83</v>
      </c>
      <c r="T61" s="4">
        <f ca="1">ROUND(_Google_ads[[#This Row],[impressions]]*RANDBETWEEN(8,12)/10,0)</f>
        <v>50735</v>
      </c>
      <c r="U61" s="4">
        <f ca="1">ROUND(_Google_ads[[#This Row],[clicks]]*RANDBETWEEN(8,12)/10,0)</f>
        <v>738</v>
      </c>
      <c r="V61" s="4">
        <f ca="1">_Google_ads[[#This Row],[cost]]*RANDBETWEEN(8,12)/10</f>
        <v>708.3599999999999</v>
      </c>
      <c r="W61" s="4">
        <f ca="1">ROUND(_Google_ads[[#This Row],[conversions]]*RANDBETWEEN(8,12)/10,0)</f>
        <v>26</v>
      </c>
      <c r="X61" s="4">
        <f ca="1">ROUND(_Google_ads[[#This Row],[conversion_value]]*RANDBETWEEN(8,12)/10,0)</f>
        <v>1440</v>
      </c>
      <c r="Y61" s="4">
        <f ca="1">_Google_ads[[#This Row],[ctr]]*RANDBETWEEN(8,12)/10</f>
        <v>2.1999999999999999E-2</v>
      </c>
      <c r="Z61" s="4">
        <f ca="1">_Google_ads[[#This Row],[avg_cpc]]*RANDBETWEEN(8,12)/10</f>
        <v>0.57599999999999996</v>
      </c>
      <c r="AA61" s="4">
        <f ca="1">ROUND(_Google_ads[[#This Row],[quality_score]]*RANDBETWEEN(8,12)/10,0)</f>
        <v>7</v>
      </c>
      <c r="AB61" s="4">
        <f ca="1">_Google_ads[[#This Row],[search_impression_share]]*RANDBETWEEN(8,12)/10</f>
        <v>0.45</v>
      </c>
      <c r="AD61" s="3">
        <f t="shared" ca="1" si="7"/>
        <v>45049</v>
      </c>
      <c r="AE61" s="4" t="s">
        <v>104</v>
      </c>
      <c r="AF61" s="4" t="s">
        <v>105</v>
      </c>
      <c r="AG61" s="4" t="s">
        <v>106</v>
      </c>
      <c r="AH61" s="4" t="s">
        <v>107</v>
      </c>
      <c r="AI61" s="4">
        <f ca="1">ROUND(T_Tiktok_ads[[#This Row],[impressions]]*RANDBETWEEN(8,12)/10,0)</f>
        <v>161234</v>
      </c>
      <c r="AJ61" s="4">
        <f ca="1">ROUND(T_Tiktok_ads[[#This Row],[clicks]]*RANDBETWEEN(8,12)/10,0)</f>
        <v>3398</v>
      </c>
      <c r="AK61" s="4">
        <v>823.7</v>
      </c>
      <c r="AL61" s="4">
        <f ca="1">ROUND(T_Tiktok_ads[[#This Row],[conversions]]*RANDBETWEEN(8,12)/10,0)</f>
        <v>100</v>
      </c>
      <c r="AM61" s="4">
        <f ca="1">ROUND(T_Tiktok_ads[[#This Row],[video_views]]*RANDBETWEEN(8,12)/10,0)</f>
        <v>136147</v>
      </c>
      <c r="AN61" s="4">
        <f ca="1">ROUND(T_Tiktok_ads[[#This Row],[video_watch_25]]*RANDBETWEEN(8,12)/10,0)</f>
        <v>91924</v>
      </c>
      <c r="AO61" s="4">
        <f ca="1">ROUND(T_Tiktok_ads[[#This Row],[video_watch_50]]*RANDBETWEEN(8,12)/10,0)</f>
        <v>56234</v>
      </c>
      <c r="AP61" s="4">
        <f ca="1">ROUND(T_Tiktok_ads[[#This Row],[video_watch_75]]*RANDBETWEEN(8,12)/10,0)</f>
        <v>38111</v>
      </c>
      <c r="AQ61" s="4">
        <f ca="1">ROUND(T_Tiktok_ads[[#This Row],[video_watch_100]]*RANDBETWEEN(8,12)/10,0)</f>
        <v>25411</v>
      </c>
      <c r="AR61" s="4">
        <f ca="1">ROUND(T_Tiktok_ads[[#This Row],[likes]]*RANDBETWEEN(8,12)/10,0)</f>
        <v>5523</v>
      </c>
      <c r="AS61" s="4">
        <f ca="1">ROUND(T_Tiktok_ads[[#This Row],[shares]]*RANDBETWEEN(8,12)/10,0)</f>
        <v>1748</v>
      </c>
      <c r="AT61" s="4">
        <f ca="1">ROUND(T_Tiktok_ads[[#This Row],[comments]]*RANDBETWEEN(8,12)/10,0)</f>
        <v>271</v>
      </c>
      <c r="AV61" s="5">
        <f t="shared" ca="1" si="8"/>
        <v>45067</v>
      </c>
      <c r="AW61">
        <f t="shared" ca="1" si="4"/>
        <v>8</v>
      </c>
      <c r="AX61">
        <f ca="1">ROUND(T_Facebook_Ads1159636771[[#This Row],[impressions]]*RANDBETWEEN(8,12)/10,0)</f>
        <v>12819</v>
      </c>
      <c r="AY61">
        <f ca="1">ROUND(T_Facebook_Ads1159636771[[#This Row],[clicks]]*RANDBETWEEN(8,12)/10,0)</f>
        <v>827</v>
      </c>
      <c r="AZ61">
        <f ca="1">T_Facebook_Ads1159636771[[#This Row],[spend]]*RANDBETWEEN(8,12)/10</f>
        <v>228.06</v>
      </c>
      <c r="BA61">
        <f ca="1">ROUND(T_Facebook_Ads1159636771[[#This Row],[conversions]]*RANDBETWEEN(8,12)/10,0)</f>
        <v>52</v>
      </c>
      <c r="BB61">
        <f ca="1">ROUND(T_Facebook_Ads1159636771[[#This Row],[video_views]]*RANDBETWEEN(8,12)/10,0)</f>
        <v>1474</v>
      </c>
    </row>
    <row r="62" spans="1:54" ht="15.75" thickBot="1" x14ac:dyDescent="0.3">
      <c r="A62" s="3">
        <f t="shared" ca="1" si="5"/>
        <v>45048</v>
      </c>
      <c r="B62" s="4" t="s">
        <v>60</v>
      </c>
      <c r="C62" s="4" t="s">
        <v>61</v>
      </c>
      <c r="D62" s="4" t="s">
        <v>62</v>
      </c>
      <c r="E62" s="4" t="s">
        <v>63</v>
      </c>
      <c r="F62" s="4">
        <f ca="1">ROUND(T_Facebook_Ads[[#This Row],[impressions]]*RANDBETWEEN(8,12)/10,0)</f>
        <v>42791</v>
      </c>
      <c r="G62" s="4">
        <v>1456</v>
      </c>
      <c r="H62" s="4">
        <f ca="1">T_Facebook_Ads[[#This Row],[spend]]*RANDBETWEEN(8,12)/10</f>
        <v>269.39999999999998</v>
      </c>
      <c r="I62" s="4">
        <f ca="1">ROUND(T_Facebook_Ads[[#This Row],[conversions]]*RANDBETWEEN(8,12)/10,0)</f>
        <v>34</v>
      </c>
      <c r="J62" s="4">
        <f ca="1">ROUND(T_Facebook_Ads[[#This Row],[video_views]]*RANDBETWEEN(8,12)/10,0)</f>
        <v>4711</v>
      </c>
      <c r="K62" s="4">
        <f ca="1">T_Facebook_Ads[[#This Row],[engagement_rate]]*RANDBETWEEN(8,12)/10</f>
        <v>4.1140000000000003E-2</v>
      </c>
      <c r="L62" s="4">
        <f ca="1">ROUND(T_Facebook_Ads[[#This Row],[reach]]*RANDBETWEEN(8,12)/10,0)</f>
        <v>25165</v>
      </c>
      <c r="M62" s="4">
        <f ca="1">T_Facebook_Ads[[#This Row],[frequency]]*RANDBETWEEN(8,12)/10</f>
        <v>1.24</v>
      </c>
      <c r="O62" s="3">
        <f t="shared" ca="1" si="6"/>
        <v>45056</v>
      </c>
      <c r="P62" s="4" t="s">
        <v>84</v>
      </c>
      <c r="Q62" s="4" t="s">
        <v>85</v>
      </c>
      <c r="R62" s="4" t="s">
        <v>86</v>
      </c>
      <c r="S62" s="4" t="s">
        <v>87</v>
      </c>
      <c r="T62" s="4">
        <f ca="1">ROUND(_Google_ads[[#This Row],[impressions]]*RANDBETWEEN(8,12)/10,0)</f>
        <v>71567</v>
      </c>
      <c r="U62" s="4">
        <f ca="1">ROUND(_Google_ads[[#This Row],[clicks]]*RANDBETWEEN(8,12)/10,0)</f>
        <v>2412</v>
      </c>
      <c r="V62" s="4">
        <f ca="1">_Google_ads[[#This Row],[cost]]*RANDBETWEEN(8,12)/10</f>
        <v>530.76</v>
      </c>
      <c r="W62" s="4">
        <f ca="1">ROUND(_Google_ads[[#This Row],[conversions]]*RANDBETWEEN(8,12)/10,0)</f>
        <v>77</v>
      </c>
      <c r="X62" s="4">
        <f ca="1">ROUND(_Google_ads[[#This Row],[conversion_value]]*RANDBETWEEN(8,12)/10,0)</f>
        <v>3850</v>
      </c>
      <c r="Y62" s="4">
        <f ca="1">_Google_ads[[#This Row],[ctr]]*RANDBETWEEN(8,12)/10</f>
        <v>2.6960000000000001E-2</v>
      </c>
      <c r="Z62" s="4">
        <f ca="1">_Google_ads[[#This Row],[avg_cpc]]*RANDBETWEEN(8,12)/10</f>
        <v>0.16199999999999998</v>
      </c>
      <c r="AA62" s="4">
        <f ca="1">ROUND(_Google_ads[[#This Row],[quality_score]]*RANDBETWEEN(8,12)/10,0)</f>
        <v>9</v>
      </c>
      <c r="AB62" s="4">
        <f ca="1">_Google_ads[[#This Row],[search_impression_share]]*RANDBETWEEN(8,12)/10</f>
        <v>0.748</v>
      </c>
      <c r="AD62" s="3">
        <f t="shared" ca="1" si="7"/>
        <v>45076</v>
      </c>
      <c r="AE62" s="4" t="s">
        <v>108</v>
      </c>
      <c r="AF62" s="4" t="s">
        <v>109</v>
      </c>
      <c r="AG62" s="4" t="s">
        <v>110</v>
      </c>
      <c r="AH62" s="4" t="s">
        <v>111</v>
      </c>
      <c r="AI62" s="4">
        <f ca="1">ROUND(T_Tiktok_ads[[#This Row],[impressions]]*RANDBETWEEN(8,12)/10,0)</f>
        <v>298681</v>
      </c>
      <c r="AJ62" s="4">
        <f ca="1">ROUND(T_Tiktok_ads[[#This Row],[clicks]]*RANDBETWEEN(8,12)/10,0)</f>
        <v>4327</v>
      </c>
      <c r="AK62" s="4">
        <v>478.5</v>
      </c>
      <c r="AL62" s="4">
        <f ca="1">ROUND(T_Tiktok_ads[[#This Row],[conversions]]*RANDBETWEEN(8,12)/10,0)</f>
        <v>28</v>
      </c>
      <c r="AM62" s="4">
        <f ca="1">ROUND(T_Tiktok_ads[[#This Row],[video_views]]*RANDBETWEEN(8,12)/10,0)</f>
        <v>214757</v>
      </c>
      <c r="AN62" s="4">
        <f ca="1">ROUND(T_Tiktok_ads[[#This Row],[video_watch_25]]*RANDBETWEEN(8,12)/10,0)</f>
        <v>163791</v>
      </c>
      <c r="AO62" s="4">
        <f ca="1">ROUND(T_Tiktok_ads[[#This Row],[video_watch_50]]*RANDBETWEEN(8,12)/10,0)</f>
        <v>117890</v>
      </c>
      <c r="AP62" s="4">
        <f ca="1">ROUND(T_Tiktok_ads[[#This Row],[video_watch_75]]*RANDBETWEEN(8,12)/10,0)</f>
        <v>68611</v>
      </c>
      <c r="AQ62" s="4">
        <f ca="1">ROUND(T_Tiktok_ads[[#This Row],[video_watch_100]]*RANDBETWEEN(8,12)/10,0)</f>
        <v>50857</v>
      </c>
      <c r="AR62" s="4">
        <f ca="1">ROUND(T_Tiktok_ads[[#This Row],[likes]]*RANDBETWEEN(8,12)/10,0)</f>
        <v>9607</v>
      </c>
      <c r="AS62" s="4">
        <f ca="1">ROUND(T_Tiktok_ads[[#This Row],[shares]]*RANDBETWEEN(8,12)/10,0)</f>
        <v>2641</v>
      </c>
      <c r="AT62" s="4">
        <f ca="1">ROUND(T_Tiktok_ads[[#This Row],[comments]]*RANDBETWEEN(8,12)/10,0)</f>
        <v>636</v>
      </c>
      <c r="AV62" s="5">
        <f t="shared" ca="1" si="8"/>
        <v>45070</v>
      </c>
      <c r="AW62">
        <f t="shared" ca="1" si="4"/>
        <v>7</v>
      </c>
      <c r="AX62">
        <f ca="1">ROUND(T_Facebook_Ads1159636771[[#This Row],[impressions]]*RANDBETWEEN(8,12)/10,0)</f>
        <v>42791</v>
      </c>
      <c r="AY62">
        <f ca="1">ROUND(T_Facebook_Ads1159636771[[#This Row],[clicks]]*RANDBETWEEN(8,12)/10,0)</f>
        <v>1165</v>
      </c>
      <c r="AZ62">
        <f ca="1">T_Facebook_Ads1159636771[[#This Row],[spend]]*RANDBETWEEN(8,12)/10</f>
        <v>215.51999999999998</v>
      </c>
      <c r="BA62">
        <f ca="1">ROUND(T_Facebook_Ads1159636771[[#This Row],[conversions]]*RANDBETWEEN(8,12)/10,0)</f>
        <v>27</v>
      </c>
      <c r="BB62">
        <f ca="1">ROUND(T_Facebook_Ads1159636771[[#This Row],[video_views]]*RANDBETWEEN(8,12)/10,0)</f>
        <v>5653</v>
      </c>
    </row>
    <row r="63" spans="1:54" ht="15.75" thickBot="1" x14ac:dyDescent="0.3">
      <c r="A63" s="3">
        <f t="shared" ca="1" si="5"/>
        <v>45065</v>
      </c>
      <c r="B63" s="4" t="s">
        <v>64</v>
      </c>
      <c r="C63" s="4" t="s">
        <v>65</v>
      </c>
      <c r="D63" s="4" t="s">
        <v>66</v>
      </c>
      <c r="E63" s="4" t="s">
        <v>67</v>
      </c>
      <c r="F63" s="4">
        <f ca="1">ROUND(T_Facebook_Ads[[#This Row],[impressions]]*RANDBETWEEN(8,12)/10,0)</f>
        <v>72345</v>
      </c>
      <c r="G63" s="4">
        <v>261</v>
      </c>
      <c r="H63" s="4">
        <f ca="1">T_Facebook_Ads[[#This Row],[spend]]*RANDBETWEEN(8,12)/10</f>
        <v>111.24000000000001</v>
      </c>
      <c r="I63" s="4">
        <f ca="1">ROUND(T_Facebook_Ads[[#This Row],[conversions]]*RANDBETWEEN(8,12)/10,0)</f>
        <v>7</v>
      </c>
      <c r="J63" s="4">
        <f ca="1">ROUND(T_Facebook_Ads[[#This Row],[video_views]]*RANDBETWEEN(8,12)/10,0)</f>
        <v>43710</v>
      </c>
      <c r="K63" s="4">
        <f ca="1">T_Facebook_Ads[[#This Row],[engagement_rate]]*RANDBETWEEN(8,12)/10</f>
        <v>3.5999999999999999E-3</v>
      </c>
      <c r="L63" s="4">
        <f ca="1">ROUND(T_Facebook_Ads[[#This Row],[reach]]*RANDBETWEEN(8,12)/10,0)</f>
        <v>58234</v>
      </c>
      <c r="M63" s="4">
        <f ca="1">T_Facebook_Ads[[#This Row],[frequency]]*RANDBETWEEN(8,12)/10</f>
        <v>0.99199999999999999</v>
      </c>
      <c r="O63" s="3">
        <f t="shared" ca="1" si="6"/>
        <v>45070</v>
      </c>
      <c r="P63" s="4" t="s">
        <v>88</v>
      </c>
      <c r="Q63" s="4" t="s">
        <v>89</v>
      </c>
      <c r="R63" s="4" t="s">
        <v>90</v>
      </c>
      <c r="S63" s="4" t="s">
        <v>59</v>
      </c>
      <c r="T63" s="4">
        <f ca="1">ROUND(_Google_ads[[#This Row],[impressions]]*RANDBETWEEN(8,12)/10,0)</f>
        <v>148757</v>
      </c>
      <c r="U63" s="4">
        <f ca="1">ROUND(_Google_ads[[#This Row],[clicks]]*RANDBETWEEN(8,12)/10,0)</f>
        <v>451</v>
      </c>
      <c r="V63" s="4">
        <f ca="1">_Google_ads[[#This Row],[cost]]*RANDBETWEEN(8,12)/10</f>
        <v>120.23999999999998</v>
      </c>
      <c r="W63" s="4">
        <f ca="1">ROUND(_Google_ads[[#This Row],[conversions]]*RANDBETWEEN(8,12)/10,0)</f>
        <v>14</v>
      </c>
      <c r="X63" s="4">
        <f ca="1">ROUND(_Google_ads[[#This Row],[conversion_value]]*RANDBETWEEN(8,12)/10,0)</f>
        <v>560</v>
      </c>
      <c r="Y63" s="4">
        <f ca="1">_Google_ads[[#This Row],[ctr]]*RANDBETWEEN(8,12)/10</f>
        <v>4.4400000000000004E-3</v>
      </c>
      <c r="Z63" s="4">
        <f ca="1">_Google_ads[[#This Row],[avg_cpc]]*RANDBETWEEN(8,12)/10</f>
        <v>0.24300000000000002</v>
      </c>
      <c r="AA63" s="4">
        <f ca="1">ROUND(_Google_ads[[#This Row],[quality_score]]*RANDBETWEEN(8,12)/10,0)</f>
        <v>8</v>
      </c>
      <c r="AB63" s="4">
        <f ca="1">_Google_ads[[#This Row],[search_impression_share]]*RANDBETWEEN(8,12)/10</f>
        <v>0.35</v>
      </c>
      <c r="AD63" s="3">
        <f t="shared" ca="1" si="7"/>
        <v>45057</v>
      </c>
      <c r="AE63" s="4" t="s">
        <v>112</v>
      </c>
      <c r="AF63" s="4" t="s">
        <v>113</v>
      </c>
      <c r="AG63" s="4" t="s">
        <v>114</v>
      </c>
      <c r="AH63" s="4" t="s">
        <v>115</v>
      </c>
      <c r="AI63" s="4">
        <f ca="1">ROUND(T_Tiktok_ads[[#This Row],[impressions]]*RANDBETWEEN(8,12)/10,0)</f>
        <v>521480</v>
      </c>
      <c r="AJ63" s="4">
        <f ca="1">ROUND(T_Tiktok_ads[[#This Row],[clicks]]*RANDBETWEEN(8,12)/10,0)</f>
        <v>5610</v>
      </c>
      <c r="AK63" s="4">
        <v>1089.3</v>
      </c>
      <c r="AL63" s="4">
        <f ca="1">ROUND(T_Tiktok_ads[[#This Row],[conversions]]*RANDBETWEEN(8,12)/10,0)</f>
        <v>87</v>
      </c>
      <c r="AM63" s="4">
        <f ca="1">ROUND(T_Tiktok_ads[[#This Row],[video_views]]*RANDBETWEEN(8,12)/10,0)</f>
        <v>367890</v>
      </c>
      <c r="AN63" s="4">
        <f ca="1">ROUND(T_Tiktok_ads[[#This Row],[video_watch_25]]*RANDBETWEEN(8,12)/10,0)</f>
        <v>236987</v>
      </c>
      <c r="AO63" s="4">
        <f ca="1">ROUND(T_Tiktok_ads[[#This Row],[video_watch_50]]*RANDBETWEEN(8,12)/10,0)</f>
        <v>285468</v>
      </c>
      <c r="AP63" s="4">
        <f ca="1">ROUND(T_Tiktok_ads[[#This Row],[video_watch_75]]*RANDBETWEEN(8,12)/10,0)</f>
        <v>134587</v>
      </c>
      <c r="AQ63" s="4">
        <f ca="1">ROUND(T_Tiktok_ads[[#This Row],[video_watch_100]]*RANDBETWEEN(8,12)/10,0)</f>
        <v>111234</v>
      </c>
      <c r="AR63" s="4">
        <f ca="1">ROUND(T_Tiktok_ads[[#This Row],[likes]]*RANDBETWEEN(8,12)/10,0)</f>
        <v>19234</v>
      </c>
      <c r="AS63" s="4">
        <f ca="1">ROUND(T_Tiktok_ads[[#This Row],[shares]]*RANDBETWEEN(8,12)/10,0)</f>
        <v>6641</v>
      </c>
      <c r="AT63" s="4">
        <f ca="1">ROUND(T_Tiktok_ads[[#This Row],[comments]]*RANDBETWEEN(8,12)/10,0)</f>
        <v>1371</v>
      </c>
      <c r="AV63" s="5">
        <f t="shared" ca="1" si="8"/>
        <v>45052</v>
      </c>
      <c r="AW63">
        <f t="shared" ca="1" si="4"/>
        <v>5</v>
      </c>
      <c r="AX63">
        <f ca="1">ROUND(T_Facebook_Ads1159636771[[#This Row],[impressions]]*RANDBETWEEN(8,12)/10,0)</f>
        <v>79580</v>
      </c>
      <c r="AY63">
        <f ca="1">ROUND(T_Facebook_Ads1159636771[[#This Row],[clicks]]*RANDBETWEEN(8,12)/10,0)</f>
        <v>313</v>
      </c>
      <c r="AZ63">
        <f ca="1">T_Facebook_Ads1159636771[[#This Row],[spend]]*RANDBETWEEN(8,12)/10</f>
        <v>122.364</v>
      </c>
      <c r="BA63">
        <f ca="1">ROUND(T_Facebook_Ads1159636771[[#This Row],[conversions]]*RANDBETWEEN(8,12)/10,0)</f>
        <v>7</v>
      </c>
      <c r="BB63">
        <f ca="1">ROUND(T_Facebook_Ads1159636771[[#This Row],[video_views]]*RANDBETWEEN(8,12)/10,0)</f>
        <v>52452</v>
      </c>
    </row>
    <row r="64" spans="1:54" ht="15.75" thickBot="1" x14ac:dyDescent="0.3">
      <c r="A64" s="3">
        <f t="shared" ca="1" si="5"/>
        <v>45055</v>
      </c>
      <c r="B64" s="4" t="s">
        <v>52</v>
      </c>
      <c r="C64" s="4" t="s">
        <v>53</v>
      </c>
      <c r="D64" s="4" t="s">
        <v>54</v>
      </c>
      <c r="E64" s="4" t="s">
        <v>55</v>
      </c>
      <c r="F64" s="4">
        <f ca="1">ROUND(T_Facebook_Ads[[#This Row],[impressions]]*RANDBETWEEN(8,12)/10,0)</f>
        <v>57468</v>
      </c>
      <c r="G64" s="4">
        <v>967</v>
      </c>
      <c r="H64" s="4">
        <f ca="1">T_Facebook_Ads[[#This Row],[spend]]*RANDBETWEEN(8,12)/10</f>
        <v>166.08</v>
      </c>
      <c r="I64" s="4">
        <f ca="1">ROUND(T_Facebook_Ads[[#This Row],[conversions]]*RANDBETWEEN(8,12)/10,0)</f>
        <v>17</v>
      </c>
      <c r="J64" s="4">
        <f ca="1">ROUND(T_Facebook_Ads[[#This Row],[video_views]]*RANDBETWEEN(8,12)/10,0)</f>
        <v>7910</v>
      </c>
      <c r="K64" s="4">
        <f ca="1">T_Facebook_Ads[[#This Row],[engagement_rate]]*RANDBETWEEN(8,12)/10</f>
        <v>2.2219999999999997E-2</v>
      </c>
      <c r="L64" s="4">
        <f ca="1">ROUND(T_Facebook_Ads[[#This Row],[reach]]*RANDBETWEEN(8,12)/10,0)</f>
        <v>44257</v>
      </c>
      <c r="M64" s="4">
        <f ca="1">T_Facebook_Ads[[#This Row],[frequency]]*RANDBETWEEN(8,12)/10</f>
        <v>0.95199999999999996</v>
      </c>
      <c r="O64" s="3">
        <f t="shared" ca="1" si="6"/>
        <v>45060</v>
      </c>
      <c r="P64" s="4" t="s">
        <v>76</v>
      </c>
      <c r="Q64" s="4" t="s">
        <v>77</v>
      </c>
      <c r="R64" s="4" t="s">
        <v>78</v>
      </c>
      <c r="S64" s="4" t="s">
        <v>79</v>
      </c>
      <c r="T64" s="4">
        <f ca="1">ROUND(_Google_ads[[#This Row],[impressions]]*RANDBETWEEN(8,12)/10,0)</f>
        <v>22110</v>
      </c>
      <c r="U64" s="4">
        <f ca="1">ROUND(_Google_ads[[#This Row],[clicks]]*RANDBETWEEN(8,12)/10,0)</f>
        <v>1160</v>
      </c>
      <c r="V64" s="4">
        <f ca="1">_Google_ads[[#This Row],[cost]]*RANDBETWEEN(8,12)/10</f>
        <v>271.48</v>
      </c>
      <c r="W64" s="4">
        <f ca="1">ROUND(_Google_ads[[#This Row],[conversions]]*RANDBETWEEN(8,12)/10,0)</f>
        <v>43</v>
      </c>
      <c r="X64" s="4">
        <f ca="1">ROUND(_Google_ads[[#This Row],[conversion_value]]*RANDBETWEEN(8,12)/10,0)</f>
        <v>1920</v>
      </c>
      <c r="Y64" s="4">
        <f ca="1">_Google_ads[[#This Row],[ctr]]*RANDBETWEEN(8,12)/10</f>
        <v>4.1999999999999996E-2</v>
      </c>
      <c r="Z64" s="4">
        <f ca="1">_Google_ads[[#This Row],[avg_cpc]]*RANDBETWEEN(8,12)/10</f>
        <v>0.22800000000000004</v>
      </c>
      <c r="AA64" s="4">
        <f ca="1">ROUND(_Google_ads[[#This Row],[quality_score]]*RANDBETWEEN(8,12)/10,0)</f>
        <v>10</v>
      </c>
      <c r="AB64" s="4">
        <f ca="1">_Google_ads[[#This Row],[search_impression_share]]*RANDBETWEEN(8,12)/10</f>
        <v>0.72799999999999998</v>
      </c>
      <c r="AD64" s="3">
        <f t="shared" ca="1" si="7"/>
        <v>45064</v>
      </c>
      <c r="AE64" s="4" t="s">
        <v>100</v>
      </c>
      <c r="AF64" s="4" t="s">
        <v>101</v>
      </c>
      <c r="AG64" s="4" t="s">
        <v>102</v>
      </c>
      <c r="AH64" s="4" t="s">
        <v>103</v>
      </c>
      <c r="AI64" s="4">
        <f ca="1">ROUND(T_Tiktok_ads[[#This Row],[impressions]]*RANDBETWEEN(8,12)/10,0)</f>
        <v>306791</v>
      </c>
      <c r="AJ64" s="4">
        <f ca="1">ROUND(T_Tiktok_ads[[#This Row],[clicks]]*RANDBETWEEN(8,12)/10,0)</f>
        <v>4948</v>
      </c>
      <c r="AK64" s="4">
        <v>545.6</v>
      </c>
      <c r="AL64" s="4">
        <f ca="1">ROUND(T_Tiktok_ads[[#This Row],[conversions]]*RANDBETWEEN(8,12)/10,0)</f>
        <v>50</v>
      </c>
      <c r="AM64" s="4">
        <f ca="1">ROUND(T_Tiktok_ads[[#This Row],[video_views]]*RANDBETWEEN(8,12)/10,0)</f>
        <v>183387</v>
      </c>
      <c r="AN64" s="4">
        <f ca="1">ROUND(T_Tiktok_ads[[#This Row],[video_watch_25]]*RANDBETWEEN(8,12)/10,0)</f>
        <v>161311</v>
      </c>
      <c r="AO64" s="4">
        <f ca="1">ROUND(T_Tiktok_ads[[#This Row],[video_watch_50]]*RANDBETWEEN(8,12)/10,0)</f>
        <v>101011</v>
      </c>
      <c r="AP64" s="4">
        <f ca="1">ROUND(T_Tiktok_ads[[#This Row],[video_watch_75]]*RANDBETWEEN(8,12)/10,0)</f>
        <v>60542</v>
      </c>
      <c r="AQ64" s="4">
        <f ca="1">ROUND(T_Tiktok_ads[[#This Row],[video_watch_100]]*RANDBETWEEN(8,12)/10,0)</f>
        <v>55257</v>
      </c>
      <c r="AR64" s="4">
        <f ca="1">ROUND(T_Tiktok_ads[[#This Row],[likes]]*RANDBETWEEN(8,12)/10,0)</f>
        <v>9111</v>
      </c>
      <c r="AS64" s="4">
        <f ca="1">ROUND(T_Tiktok_ads[[#This Row],[shares]]*RANDBETWEEN(8,12)/10,0)</f>
        <v>2170</v>
      </c>
      <c r="AT64" s="4">
        <f ca="1">ROUND(T_Tiktok_ads[[#This Row],[comments]]*RANDBETWEEN(8,12)/10,0)</f>
        <v>516</v>
      </c>
      <c r="AV64" s="5">
        <f t="shared" ca="1" si="8"/>
        <v>45073</v>
      </c>
      <c r="AW64">
        <f t="shared" ca="1" si="4"/>
        <v>3</v>
      </c>
      <c r="AX64">
        <f ca="1">ROUND(T_Facebook_Ads1159636771[[#This Row],[impressions]]*RANDBETWEEN(8,12)/10,0)</f>
        <v>45974</v>
      </c>
      <c r="AY64">
        <f ca="1">ROUND(T_Facebook_Ads1159636771[[#This Row],[clicks]]*RANDBETWEEN(8,12)/10,0)</f>
        <v>870</v>
      </c>
      <c r="AZ64">
        <f ca="1">T_Facebook_Ads1159636771[[#This Row],[spend]]*RANDBETWEEN(8,12)/10</f>
        <v>149.47200000000001</v>
      </c>
      <c r="BA64">
        <f ca="1">ROUND(T_Facebook_Ads1159636771[[#This Row],[conversions]]*RANDBETWEEN(8,12)/10,0)</f>
        <v>17</v>
      </c>
      <c r="BB64">
        <f ca="1">ROUND(T_Facebook_Ads1159636771[[#This Row],[video_views]]*RANDBETWEEN(8,12)/10,0)</f>
        <v>6328</v>
      </c>
    </row>
    <row r="65" spans="1:54" ht="15.75" thickBot="1" x14ac:dyDescent="0.3">
      <c r="A65" s="3">
        <f t="shared" ca="1" si="5"/>
        <v>45064</v>
      </c>
      <c r="B65" s="4" t="s">
        <v>56</v>
      </c>
      <c r="C65" s="4" t="s">
        <v>57</v>
      </c>
      <c r="D65" s="4" t="s">
        <v>58</v>
      </c>
      <c r="E65" s="4" t="s">
        <v>59</v>
      </c>
      <c r="F65" s="4">
        <f ca="1">ROUND(T_Facebook_Ads[[#This Row],[impressions]]*RANDBETWEEN(8,12)/10,0)</f>
        <v>12501</v>
      </c>
      <c r="G65" s="4">
        <v>634</v>
      </c>
      <c r="H65" s="4">
        <f ca="1">T_Facebook_Ads[[#This Row],[spend]]*RANDBETWEEN(8,12)/10</f>
        <v>259.38</v>
      </c>
      <c r="I65" s="4">
        <f ca="1">ROUND(T_Facebook_Ads[[#This Row],[conversions]]*RANDBETWEEN(8,12)/10,0)</f>
        <v>44</v>
      </c>
      <c r="J65" s="4">
        <f ca="1">ROUND(T_Facebook_Ads[[#This Row],[video_views]]*RANDBETWEEN(8,12)/10,0)</f>
        <v>1102</v>
      </c>
      <c r="K65" s="4">
        <f ca="1">T_Facebook_Ads[[#This Row],[engagement_rate]]*RANDBETWEEN(8,12)/10</f>
        <v>4.5699999999999998E-2</v>
      </c>
      <c r="L65" s="4">
        <f ca="1">ROUND(T_Facebook_Ads[[#This Row],[reach]]*RANDBETWEEN(8,12)/10,0)</f>
        <v>11979</v>
      </c>
      <c r="M65" s="4">
        <f ca="1">T_Facebook_Ads[[#This Row],[frequency]]*RANDBETWEEN(8,12)/10</f>
        <v>1.016</v>
      </c>
      <c r="O65" s="3">
        <f t="shared" ca="1" si="6"/>
        <v>45049</v>
      </c>
      <c r="P65" s="4" t="s">
        <v>80</v>
      </c>
      <c r="Q65" s="4" t="s">
        <v>81</v>
      </c>
      <c r="R65" s="4" t="s">
        <v>82</v>
      </c>
      <c r="S65" s="4" t="s">
        <v>83</v>
      </c>
      <c r="T65" s="4">
        <f ca="1">ROUND(_Google_ads[[#This Row],[impressions]]*RANDBETWEEN(8,12)/10,0)</f>
        <v>49379</v>
      </c>
      <c r="U65" s="4">
        <f ca="1">ROUND(_Google_ads[[#This Row],[clicks]]*RANDBETWEEN(8,12)/10,0)</f>
        <v>979</v>
      </c>
      <c r="V65" s="4">
        <f ca="1">_Google_ads[[#This Row],[cost]]*RANDBETWEEN(8,12)/10</f>
        <v>517.23</v>
      </c>
      <c r="W65" s="4">
        <f ca="1">ROUND(_Google_ads[[#This Row],[conversions]]*RANDBETWEEN(8,12)/10,0)</f>
        <v>23</v>
      </c>
      <c r="X65" s="4">
        <f ca="1">ROUND(_Google_ads[[#This Row],[conversion_value]]*RANDBETWEEN(8,12)/10,0)</f>
        <v>1035</v>
      </c>
      <c r="Y65" s="4">
        <f ca="1">_Google_ads[[#This Row],[ctr]]*RANDBETWEEN(8,12)/10</f>
        <v>2.1780000000000001E-2</v>
      </c>
      <c r="Z65" s="4">
        <f ca="1">_Google_ads[[#This Row],[avg_cpc]]*RANDBETWEEN(8,12)/10</f>
        <v>0.71500000000000008</v>
      </c>
      <c r="AA65" s="4">
        <f ca="1">ROUND(_Google_ads[[#This Row],[quality_score]]*RANDBETWEEN(8,12)/10,0)</f>
        <v>7</v>
      </c>
      <c r="AB65" s="4">
        <f ca="1">_Google_ads[[#This Row],[search_impression_share]]*RANDBETWEEN(8,12)/10</f>
        <v>0.39600000000000002</v>
      </c>
      <c r="AD65" s="3">
        <f t="shared" ca="1" si="7"/>
        <v>45049</v>
      </c>
      <c r="AE65" s="4" t="s">
        <v>104</v>
      </c>
      <c r="AF65" s="4" t="s">
        <v>105</v>
      </c>
      <c r="AG65" s="4" t="s">
        <v>106</v>
      </c>
      <c r="AH65" s="4" t="s">
        <v>107</v>
      </c>
      <c r="AI65" s="4">
        <f ca="1">ROUND(T_Tiktok_ads[[#This Row],[impressions]]*RANDBETWEEN(8,12)/10,0)</f>
        <v>122765</v>
      </c>
      <c r="AJ65" s="4">
        <f ca="1">ROUND(T_Tiktok_ads[[#This Row],[clicks]]*RANDBETWEEN(8,12)/10,0)</f>
        <v>2651</v>
      </c>
      <c r="AK65" s="4">
        <v>789.2</v>
      </c>
      <c r="AL65" s="4">
        <f ca="1">ROUND(T_Tiktok_ads[[#This Row],[conversions]]*RANDBETWEEN(8,12)/10,0)</f>
        <v>87</v>
      </c>
      <c r="AM65" s="4">
        <f ca="1">ROUND(T_Tiktok_ads[[#This Row],[video_views]]*RANDBETWEEN(8,12)/10,0)</f>
        <v>107890</v>
      </c>
      <c r="AN65" s="4">
        <f ca="1">ROUND(T_Tiktok_ads[[#This Row],[video_watch_25]]*RANDBETWEEN(8,12)/10,0)</f>
        <v>63654</v>
      </c>
      <c r="AO65" s="4">
        <f ca="1">ROUND(T_Tiktok_ads[[#This Row],[video_watch_50]]*RANDBETWEEN(8,12)/10,0)</f>
        <v>59046</v>
      </c>
      <c r="AP65" s="4">
        <f ca="1">ROUND(T_Tiktok_ads[[#This Row],[video_watch_75]]*RANDBETWEEN(8,12)/10,0)</f>
        <v>44257</v>
      </c>
      <c r="AQ65" s="4">
        <f ca="1">ROUND(T_Tiktok_ads[[#This Row],[video_watch_100]]*RANDBETWEEN(8,12)/10,0)</f>
        <v>29579</v>
      </c>
      <c r="AR65" s="4">
        <f ca="1">ROUND(T_Tiktok_ads[[#This Row],[likes]]*RANDBETWEEN(8,12)/10,0)</f>
        <v>5757</v>
      </c>
      <c r="AS65" s="4">
        <f ca="1">ROUND(T_Tiktok_ads[[#This Row],[shares]]*RANDBETWEEN(8,12)/10,0)</f>
        <v>1165</v>
      </c>
      <c r="AT65" s="4">
        <f ca="1">ROUND(T_Tiktok_ads[[#This Row],[comments]]*RANDBETWEEN(8,12)/10,0)</f>
        <v>334</v>
      </c>
      <c r="AV65" s="5">
        <f t="shared" ca="1" si="8"/>
        <v>45061</v>
      </c>
      <c r="AW65">
        <f t="shared" ca="1" si="4"/>
        <v>1</v>
      </c>
      <c r="AX65">
        <f ca="1">ROUND(T_Facebook_Ads1159636771[[#This Row],[impressions]]*RANDBETWEEN(8,12)/10,0)</f>
        <v>11251</v>
      </c>
      <c r="AY65">
        <f ca="1">ROUND(T_Facebook_Ads1159636771[[#This Row],[clicks]]*RANDBETWEEN(8,12)/10,0)</f>
        <v>571</v>
      </c>
      <c r="AZ65">
        <f ca="1">T_Facebook_Ads1159636771[[#This Row],[spend]]*RANDBETWEEN(8,12)/10</f>
        <v>259.38</v>
      </c>
      <c r="BA65">
        <f ca="1">ROUND(T_Facebook_Ads1159636771[[#This Row],[conversions]]*RANDBETWEEN(8,12)/10,0)</f>
        <v>40</v>
      </c>
      <c r="BB65">
        <f ca="1">ROUND(T_Facebook_Ads1159636771[[#This Row],[video_views]]*RANDBETWEEN(8,12)/10,0)</f>
        <v>1102</v>
      </c>
    </row>
    <row r="66" spans="1:54" ht="15.75" thickBot="1" x14ac:dyDescent="0.3">
      <c r="A66" s="3">
        <f t="shared" ref="A66:A97" ca="1" si="9">DATE(2023,5,RANDBETWEEN(1,31))</f>
        <v>45056</v>
      </c>
      <c r="B66" s="4" t="s">
        <v>60</v>
      </c>
      <c r="C66" s="4" t="s">
        <v>61</v>
      </c>
      <c r="D66" s="4" t="s">
        <v>62</v>
      </c>
      <c r="E66" s="4" t="s">
        <v>63</v>
      </c>
      <c r="F66" s="4">
        <f ca="1">ROUND(T_Facebook_Ads[[#This Row],[impressions]]*RANDBETWEEN(8,12)/10,0)</f>
        <v>40957</v>
      </c>
      <c r="G66" s="4">
        <v>1367</v>
      </c>
      <c r="H66" s="4">
        <f ca="1">T_Facebook_Ads[[#This Row],[spend]]*RANDBETWEEN(8,12)/10</f>
        <v>167.92000000000002</v>
      </c>
      <c r="I66" s="4">
        <f ca="1">ROUND(T_Facebook_Ads[[#This Row],[conversions]]*RANDBETWEEN(8,12)/10,0)</f>
        <v>25</v>
      </c>
      <c r="J66" s="4">
        <f ca="1">ROUND(T_Facebook_Ads[[#This Row],[video_views]]*RANDBETWEEN(8,12)/10,0)</f>
        <v>4511</v>
      </c>
      <c r="K66" s="4">
        <f ca="1">T_Facebook_Ads[[#This Row],[engagement_rate]]*RANDBETWEEN(8,12)/10</f>
        <v>4.4040000000000003E-2</v>
      </c>
      <c r="L66" s="4">
        <f ca="1">ROUND(T_Facebook_Ads[[#This Row],[reach]]*RANDBETWEEN(8,12)/10,0)</f>
        <v>24542</v>
      </c>
      <c r="M66" s="4">
        <f ca="1">T_Facebook_Ads[[#This Row],[frequency]]*RANDBETWEEN(8,12)/10</f>
        <v>1.21</v>
      </c>
      <c r="O66" s="3">
        <f t="shared" ref="O66:O97" ca="1" si="10">DATE(2023,5,RANDBETWEEN(1,31))</f>
        <v>45061</v>
      </c>
      <c r="P66" s="4" t="s">
        <v>84</v>
      </c>
      <c r="Q66" s="4" t="s">
        <v>85</v>
      </c>
      <c r="R66" s="4" t="s">
        <v>86</v>
      </c>
      <c r="S66" s="4" t="s">
        <v>87</v>
      </c>
      <c r="T66" s="4">
        <f ca="1">ROUND(_Google_ads[[#This Row],[impressions]]*RANDBETWEEN(8,12)/10,0)</f>
        <v>69234</v>
      </c>
      <c r="U66" s="4">
        <f ca="1">ROUND(_Google_ads[[#This Row],[clicks]]*RANDBETWEEN(8,12)/10,0)</f>
        <v>2761</v>
      </c>
      <c r="V66" s="4">
        <f ca="1">_Google_ads[[#This Row],[cost]]*RANDBETWEEN(8,12)/10</f>
        <v>465.85</v>
      </c>
      <c r="W66" s="4">
        <f ca="1">ROUND(_Google_ads[[#This Row],[conversions]]*RANDBETWEEN(8,12)/10,0)</f>
        <v>60</v>
      </c>
      <c r="X66" s="4">
        <f ca="1">ROUND(_Google_ads[[#This Row],[conversion_value]]*RANDBETWEEN(8,12)/10,0)</f>
        <v>3015</v>
      </c>
      <c r="Y66" s="4">
        <f ca="1">_Google_ads[[#This Row],[ctr]]*RANDBETWEEN(8,12)/10</f>
        <v>3.6520000000000004E-2</v>
      </c>
      <c r="Z66" s="4">
        <f ca="1">_Google_ads[[#This Row],[avg_cpc]]*RANDBETWEEN(8,12)/10</f>
        <v>0.21600000000000003</v>
      </c>
      <c r="AA66" s="4">
        <f ca="1">ROUND(_Google_ads[[#This Row],[quality_score]]*RANDBETWEEN(8,12)/10,0)</f>
        <v>8</v>
      </c>
      <c r="AB66" s="4">
        <f ca="1">_Google_ads[[#This Row],[search_impression_share]]*RANDBETWEEN(8,12)/10</f>
        <v>0.73699999999999999</v>
      </c>
      <c r="AD66" s="3">
        <f t="shared" ref="AD66:AD97" ca="1" si="11">DATE(2023,5,RANDBETWEEN(1,31))</f>
        <v>45058</v>
      </c>
      <c r="AE66" s="4" t="s">
        <v>108</v>
      </c>
      <c r="AF66" s="4" t="s">
        <v>109</v>
      </c>
      <c r="AG66" s="4" t="s">
        <v>110</v>
      </c>
      <c r="AH66" s="4" t="s">
        <v>111</v>
      </c>
      <c r="AI66" s="4">
        <f ca="1">ROUND(T_Tiktok_ads[[#This Row],[impressions]]*RANDBETWEEN(8,12)/10,0)</f>
        <v>284147</v>
      </c>
      <c r="AJ66" s="4">
        <f ca="1">ROUND(T_Tiktok_ads[[#This Row],[clicks]]*RANDBETWEEN(8,12)/10,0)</f>
        <v>4481</v>
      </c>
      <c r="AK66" s="4">
        <v>456.8</v>
      </c>
      <c r="AL66" s="4">
        <f ca="1">ROUND(T_Tiktok_ads[[#This Row],[conversions]]*RANDBETWEEN(8,12)/10,0)</f>
        <v>36</v>
      </c>
      <c r="AM66" s="4">
        <f ca="1">ROUND(T_Tiktok_ads[[#This Row],[video_views]]*RANDBETWEEN(8,12)/10,0)</f>
        <v>225468</v>
      </c>
      <c r="AN66" s="4">
        <f ca="1">ROUND(T_Tiktok_ads[[#This Row],[video_watch_25]]*RANDBETWEEN(8,12)/10,0)</f>
        <v>142345</v>
      </c>
      <c r="AO66" s="4">
        <f ca="1">ROUND(T_Tiktok_ads[[#This Row],[video_watch_50]]*RANDBETWEEN(8,12)/10,0)</f>
        <v>89876</v>
      </c>
      <c r="AP66" s="4">
        <f ca="1">ROUND(T_Tiktok_ads[[#This Row],[video_watch_75]]*RANDBETWEEN(8,12)/10,0)</f>
        <v>57876</v>
      </c>
      <c r="AQ66" s="4">
        <f ca="1">ROUND(T_Tiktok_ads[[#This Row],[video_watch_100]]*RANDBETWEEN(8,12)/10,0)</f>
        <v>43789</v>
      </c>
      <c r="AR66" s="4">
        <f ca="1">ROUND(T_Tiktok_ads[[#This Row],[likes]]*RANDBETWEEN(8,12)/10,0)</f>
        <v>7610</v>
      </c>
      <c r="AS66" s="4">
        <f ca="1">ROUND(T_Tiktok_ads[[#This Row],[shares]]*RANDBETWEEN(8,12)/10,0)</f>
        <v>2720</v>
      </c>
      <c r="AT66" s="4">
        <f ca="1">ROUND(T_Tiktok_ads[[#This Row],[comments]]*RANDBETWEEN(8,12)/10,0)</f>
        <v>600</v>
      </c>
      <c r="AV66" s="5">
        <f t="shared" ref="AV66:AV97" ca="1" si="12">DATE(2023,5,RANDBETWEEN(1,31))</f>
        <v>45048</v>
      </c>
      <c r="AW66">
        <f t="shared" ca="1" si="4"/>
        <v>5</v>
      </c>
      <c r="AX66">
        <f ca="1">ROUND(T_Facebook_Ads1159636771[[#This Row],[impressions]]*RANDBETWEEN(8,12)/10,0)</f>
        <v>36861</v>
      </c>
      <c r="AY66">
        <f ca="1">ROUND(T_Facebook_Ads1159636771[[#This Row],[clicks]]*RANDBETWEEN(8,12)/10,0)</f>
        <v>1504</v>
      </c>
      <c r="AZ66">
        <f ca="1">T_Facebook_Ads1159636771[[#This Row],[spend]]*RANDBETWEEN(8,12)/10</f>
        <v>151.12800000000001</v>
      </c>
      <c r="BA66">
        <f ca="1">ROUND(T_Facebook_Ads1159636771[[#This Row],[conversions]]*RANDBETWEEN(8,12)/10,0)</f>
        <v>28</v>
      </c>
      <c r="BB66">
        <f ca="1">ROUND(T_Facebook_Ads1159636771[[#This Row],[video_views]]*RANDBETWEEN(8,12)/10,0)</f>
        <v>4060</v>
      </c>
    </row>
    <row r="67" spans="1:54" ht="15.75" thickBot="1" x14ac:dyDescent="0.3">
      <c r="A67" s="3">
        <f t="shared" ca="1" si="9"/>
        <v>45067</v>
      </c>
      <c r="B67" s="4" t="s">
        <v>64</v>
      </c>
      <c r="C67" s="4" t="s">
        <v>65</v>
      </c>
      <c r="D67" s="4" t="s">
        <v>66</v>
      </c>
      <c r="E67" s="4" t="s">
        <v>67</v>
      </c>
      <c r="F67" s="4">
        <f ca="1">ROUND(T_Facebook_Ads[[#This Row],[impressions]]*RANDBETWEEN(8,12)/10,0)</f>
        <v>63111</v>
      </c>
      <c r="G67" s="4">
        <v>253</v>
      </c>
      <c r="H67" s="4">
        <f ca="1">T_Facebook_Ads[[#This Row],[spend]]*RANDBETWEEN(8,12)/10</f>
        <v>107.28000000000002</v>
      </c>
      <c r="I67" s="4">
        <f ca="1">ROUND(T_Facebook_Ads[[#This Row],[conversions]]*RANDBETWEEN(8,12)/10,0)</f>
        <v>5</v>
      </c>
      <c r="J67" s="4">
        <f ca="1">ROUND(T_Facebook_Ads[[#This Row],[video_views]]*RANDBETWEEN(8,12)/10,0)</f>
        <v>56681</v>
      </c>
      <c r="K67" s="4">
        <f ca="1">T_Facebook_Ads[[#This Row],[engagement_rate]]*RANDBETWEEN(8,12)/10</f>
        <v>2.8799999999999997E-3</v>
      </c>
      <c r="L67" s="4">
        <f ca="1">ROUND(T_Facebook_Ads[[#This Row],[reach]]*RANDBETWEEN(8,12)/10,0)</f>
        <v>63679</v>
      </c>
      <c r="M67" s="4">
        <f ca="1">T_Facebook_Ads[[#This Row],[frequency]]*RANDBETWEEN(8,12)/10</f>
        <v>1.089</v>
      </c>
      <c r="O67" s="3">
        <f t="shared" ca="1" si="10"/>
        <v>45047</v>
      </c>
      <c r="P67" s="4" t="s">
        <v>88</v>
      </c>
      <c r="Q67" s="4" t="s">
        <v>89</v>
      </c>
      <c r="R67" s="4" t="s">
        <v>90</v>
      </c>
      <c r="S67" s="4" t="s">
        <v>59</v>
      </c>
      <c r="T67" s="4">
        <f ca="1">ROUND(_Google_ads[[#This Row],[impressions]]*RANDBETWEEN(8,12)/10,0)</f>
        <v>157880</v>
      </c>
      <c r="U67" s="4">
        <f ca="1">ROUND(_Google_ads[[#This Row],[clicks]]*RANDBETWEEN(8,12)/10,0)</f>
        <v>574</v>
      </c>
      <c r="V67" s="4">
        <f ca="1">_Google_ads[[#This Row],[cost]]*RANDBETWEEN(8,12)/10</f>
        <v>155.28000000000003</v>
      </c>
      <c r="W67" s="4">
        <f ca="1">ROUND(_Google_ads[[#This Row],[conversions]]*RANDBETWEEN(8,12)/10,0)</f>
        <v>16</v>
      </c>
      <c r="X67" s="4">
        <f ca="1">ROUND(_Google_ads[[#This Row],[conversion_value]]*RANDBETWEEN(8,12)/10,0)</f>
        <v>650</v>
      </c>
      <c r="Y67" s="4">
        <f ca="1">_Google_ads[[#This Row],[ctr]]*RANDBETWEEN(8,12)/10</f>
        <v>3.96E-3</v>
      </c>
      <c r="Z67" s="4">
        <f ca="1">_Google_ads[[#This Row],[avg_cpc]]*RANDBETWEEN(8,12)/10</f>
        <v>0.21600000000000003</v>
      </c>
      <c r="AA67" s="4">
        <f ca="1">ROUND(_Google_ads[[#This Row],[quality_score]]*RANDBETWEEN(8,12)/10,0)</f>
        <v>6</v>
      </c>
      <c r="AB67" s="4">
        <f ca="1">_Google_ads[[#This Row],[search_impression_share]]*RANDBETWEEN(8,12)/10</f>
        <v>0.34</v>
      </c>
      <c r="AD67" s="3">
        <f t="shared" ca="1" si="11"/>
        <v>45049</v>
      </c>
      <c r="AE67" s="4" t="s">
        <v>112</v>
      </c>
      <c r="AF67" s="4" t="s">
        <v>113</v>
      </c>
      <c r="AG67" s="4" t="s">
        <v>114</v>
      </c>
      <c r="AH67" s="4" t="s">
        <v>115</v>
      </c>
      <c r="AI67" s="4">
        <f ca="1">ROUND(T_Tiktok_ads[[#This Row],[impressions]]*RANDBETWEEN(8,12)/10,0)</f>
        <v>381110</v>
      </c>
      <c r="AJ67" s="4">
        <f ca="1">ROUND(T_Tiktok_ads[[#This Row],[clicks]]*RANDBETWEEN(8,12)/10,0)</f>
        <v>6110</v>
      </c>
      <c r="AK67" s="4">
        <v>1034.5</v>
      </c>
      <c r="AL67" s="4">
        <f ca="1">ROUND(T_Tiktok_ads[[#This Row],[conversions]]*RANDBETWEEN(8,12)/10,0)</f>
        <v>104</v>
      </c>
      <c r="AM67" s="4">
        <f ca="1">ROUND(T_Tiktok_ads[[#This Row],[video_views]]*RANDBETWEEN(8,12)/10,0)</f>
        <v>428147</v>
      </c>
      <c r="AN67" s="4">
        <f ca="1">ROUND(T_Tiktok_ads[[#This Row],[video_watch_25]]*RANDBETWEEN(8,12)/10,0)</f>
        <v>287234</v>
      </c>
      <c r="AO67" s="4">
        <f ca="1">ROUND(T_Tiktok_ads[[#This Row],[video_watch_50]]*RANDBETWEEN(8,12)/10,0)</f>
        <v>229234</v>
      </c>
      <c r="AP67" s="4">
        <f ca="1">ROUND(T_Tiktok_ads[[#This Row],[video_watch_75]]*RANDBETWEEN(8,12)/10,0)</f>
        <v>129876</v>
      </c>
      <c r="AQ67" s="4">
        <f ca="1">ROUND(T_Tiktok_ads[[#This Row],[video_watch_100]]*RANDBETWEEN(8,12)/10,0)</f>
        <v>118679</v>
      </c>
      <c r="AR67" s="4">
        <f ca="1">ROUND(T_Tiktok_ads[[#This Row],[likes]]*RANDBETWEEN(8,12)/10,0)</f>
        <v>20632</v>
      </c>
      <c r="AS67" s="4">
        <f ca="1">ROUND(T_Tiktok_ads[[#This Row],[shares]]*RANDBETWEEN(8,12)/10,0)</f>
        <v>6414</v>
      </c>
      <c r="AT67" s="4">
        <f ca="1">ROUND(T_Tiktok_ads[[#This Row],[comments]]*RANDBETWEEN(8,12)/10,0)</f>
        <v>1456</v>
      </c>
      <c r="AV67" s="5">
        <f t="shared" ca="1" si="12"/>
        <v>45069</v>
      </c>
      <c r="AW67">
        <f t="shared" ref="AW67:AW111" ca="1" si="13">RANDBETWEEN(1,8)</f>
        <v>8</v>
      </c>
      <c r="AX67">
        <f ca="1">ROUND(T_Facebook_Ads1159636771[[#This Row],[impressions]]*RANDBETWEEN(8,12)/10,0)</f>
        <v>56800</v>
      </c>
      <c r="AY67">
        <f ca="1">ROUND(T_Facebook_Ads1159636771[[#This Row],[clicks]]*RANDBETWEEN(8,12)/10,0)</f>
        <v>304</v>
      </c>
      <c r="AZ67">
        <f ca="1">T_Facebook_Ads1159636771[[#This Row],[spend]]*RANDBETWEEN(8,12)/10</f>
        <v>85.824000000000012</v>
      </c>
      <c r="BA67">
        <f ca="1">ROUND(T_Facebook_Ads1159636771[[#This Row],[conversions]]*RANDBETWEEN(8,12)/10,0)</f>
        <v>5</v>
      </c>
      <c r="BB67">
        <f ca="1">ROUND(T_Facebook_Ads1159636771[[#This Row],[video_views]]*RANDBETWEEN(8,12)/10,0)</f>
        <v>51013</v>
      </c>
    </row>
    <row r="68" spans="1:54" ht="15.75" thickBot="1" x14ac:dyDescent="0.3">
      <c r="A68" s="3">
        <f t="shared" ca="1" si="9"/>
        <v>45066</v>
      </c>
      <c r="B68" s="4" t="s">
        <v>52</v>
      </c>
      <c r="C68" s="4" t="s">
        <v>53</v>
      </c>
      <c r="D68" s="4" t="s">
        <v>54</v>
      </c>
      <c r="E68" s="4" t="s">
        <v>55</v>
      </c>
      <c r="F68" s="4">
        <f ca="1">ROUND(T_Facebook_Ads[[#This Row],[impressions]]*RANDBETWEEN(8,12)/10,0)</f>
        <v>47557</v>
      </c>
      <c r="G68" s="4">
        <v>878</v>
      </c>
      <c r="H68" s="4">
        <f ca="1">T_Facebook_Ads[[#This Row],[spend]]*RANDBETWEEN(8,12)/10</f>
        <v>150.84</v>
      </c>
      <c r="I68" s="4">
        <f ca="1">ROUND(T_Facebook_Ads[[#This Row],[conversions]]*RANDBETWEEN(8,12)/10,0)</f>
        <v>12</v>
      </c>
      <c r="J68" s="4">
        <f ca="1">ROUND(T_Facebook_Ads[[#This Row],[video_views]]*RANDBETWEEN(8,12)/10,0)</f>
        <v>7890</v>
      </c>
      <c r="K68" s="4">
        <f ca="1">T_Facebook_Ads[[#This Row],[engagement_rate]]*RANDBETWEEN(8,12)/10</f>
        <v>1.6239999999999997E-2</v>
      </c>
      <c r="L68" s="4">
        <f ca="1">ROUND(T_Facebook_Ads[[#This Row],[reach]]*RANDBETWEEN(8,12)/10,0)</f>
        <v>29254</v>
      </c>
      <c r="M68" s="4">
        <f ca="1">T_Facebook_Ads[[#This Row],[frequency]]*RANDBETWEEN(8,12)/10</f>
        <v>1.4159999999999999</v>
      </c>
      <c r="O68" s="3">
        <f t="shared" ca="1" si="10"/>
        <v>45047</v>
      </c>
      <c r="P68" s="4" t="s">
        <v>76</v>
      </c>
      <c r="Q68" s="4" t="s">
        <v>77</v>
      </c>
      <c r="R68" s="4" t="s">
        <v>78</v>
      </c>
      <c r="S68" s="4" t="s">
        <v>79</v>
      </c>
      <c r="T68" s="4">
        <f ca="1">ROUND(_Google_ads[[#This Row],[impressions]]*RANDBETWEEN(8,12)/10,0)</f>
        <v>26814</v>
      </c>
      <c r="U68" s="4">
        <f ca="1">ROUND(_Google_ads[[#This Row],[clicks]]*RANDBETWEEN(8,12)/10,0)</f>
        <v>1348</v>
      </c>
      <c r="V68" s="4">
        <f ca="1">_Google_ads[[#This Row],[cost]]*RANDBETWEEN(8,12)/10</f>
        <v>235.95</v>
      </c>
      <c r="W68" s="4">
        <f ca="1">ROUND(_Google_ads[[#This Row],[conversions]]*RANDBETWEEN(8,12)/10,0)</f>
        <v>42</v>
      </c>
      <c r="X68" s="4">
        <f ca="1">ROUND(_Google_ads[[#This Row],[conversion_value]]*RANDBETWEEN(8,12)/10,0)</f>
        <v>1890</v>
      </c>
      <c r="Y68" s="4">
        <f ca="1">_Google_ads[[#This Row],[ctr]]*RANDBETWEEN(8,12)/10</f>
        <v>6.035999999999999E-2</v>
      </c>
      <c r="Z68" s="4">
        <f ca="1">_Google_ads[[#This Row],[avg_cpc]]*RANDBETWEEN(8,12)/10</f>
        <v>0.17099999999999999</v>
      </c>
      <c r="AA68" s="4">
        <f ca="1">ROUND(_Google_ads[[#This Row],[quality_score]]*RANDBETWEEN(8,12)/10,0)</f>
        <v>11</v>
      </c>
      <c r="AB68" s="4">
        <f ca="1">_Google_ads[[#This Row],[search_impression_share]]*RANDBETWEEN(8,12)/10</f>
        <v>0.97900000000000009</v>
      </c>
      <c r="AD68" s="3">
        <f t="shared" ca="1" si="11"/>
        <v>45054</v>
      </c>
      <c r="AE68" s="4" t="s">
        <v>100</v>
      </c>
      <c r="AF68" s="4" t="s">
        <v>101</v>
      </c>
      <c r="AG68" s="4" t="s">
        <v>102</v>
      </c>
      <c r="AH68" s="4" t="s">
        <v>103</v>
      </c>
      <c r="AI68" s="4">
        <f ca="1">ROUND(T_Tiktok_ads[[#This Row],[impressions]]*RANDBETWEEN(8,12)/10,0)</f>
        <v>230611</v>
      </c>
      <c r="AJ68" s="4">
        <f ca="1">ROUND(T_Tiktok_ads[[#This Row],[clicks]]*RANDBETWEEN(8,12)/10,0)</f>
        <v>4441</v>
      </c>
      <c r="AK68" s="4">
        <v>490.5</v>
      </c>
      <c r="AL68" s="4">
        <f ca="1">ROUND(T_Tiktok_ads[[#This Row],[conversions]]*RANDBETWEEN(8,12)/10,0)</f>
        <v>38</v>
      </c>
      <c r="AM68" s="4">
        <f ca="1">ROUND(T_Tiktok_ads[[#This Row],[video_views]]*RANDBETWEEN(8,12)/10,0)</f>
        <v>230157</v>
      </c>
      <c r="AN68" s="4">
        <f ca="1">ROUND(T_Tiktok_ads[[#This Row],[video_watch_25]]*RANDBETWEEN(8,12)/10,0)</f>
        <v>147210</v>
      </c>
      <c r="AO68" s="4">
        <f ca="1">ROUND(T_Tiktok_ads[[#This Row],[video_watch_50]]*RANDBETWEEN(8,12)/10,0)</f>
        <v>123080</v>
      </c>
      <c r="AP68" s="4">
        <f ca="1">ROUND(T_Tiktok_ads[[#This Row],[video_watch_75]]*RANDBETWEEN(8,12)/10,0)</f>
        <v>76524</v>
      </c>
      <c r="AQ68" s="4">
        <f ca="1">ROUND(T_Tiktok_ads[[#This Row],[video_watch_100]]*RANDBETWEEN(8,12)/10,0)</f>
        <v>37254</v>
      </c>
      <c r="AR68" s="4">
        <f ca="1">ROUND(T_Tiktok_ads[[#This Row],[likes]]*RANDBETWEEN(8,12)/10,0)</f>
        <v>10948</v>
      </c>
      <c r="AS68" s="4">
        <f ca="1">ROUND(T_Tiktok_ads[[#This Row],[shares]]*RANDBETWEEN(8,12)/10,0)</f>
        <v>2908</v>
      </c>
      <c r="AT68" s="4">
        <f ca="1">ROUND(T_Tiktok_ads[[#This Row],[comments]]*RANDBETWEEN(8,12)/10,0)</f>
        <v>721</v>
      </c>
      <c r="AV68" s="5">
        <f t="shared" ca="1" si="12"/>
        <v>45056</v>
      </c>
      <c r="AW68">
        <f t="shared" ca="1" si="13"/>
        <v>5</v>
      </c>
      <c r="AX68">
        <f ca="1">ROUND(T_Facebook_Ads1159636771[[#This Row],[impressions]]*RANDBETWEEN(8,12)/10,0)</f>
        <v>52313</v>
      </c>
      <c r="AY68">
        <f ca="1">ROUND(T_Facebook_Ads1159636771[[#This Row],[clicks]]*RANDBETWEEN(8,12)/10,0)</f>
        <v>790</v>
      </c>
      <c r="AZ68">
        <f ca="1">T_Facebook_Ads1159636771[[#This Row],[spend]]*RANDBETWEEN(8,12)/10</f>
        <v>135.756</v>
      </c>
      <c r="BA68">
        <f ca="1">ROUND(T_Facebook_Ads1159636771[[#This Row],[conversions]]*RANDBETWEEN(8,12)/10,0)</f>
        <v>12</v>
      </c>
      <c r="BB68">
        <f ca="1">ROUND(T_Facebook_Ads1159636771[[#This Row],[video_views]]*RANDBETWEEN(8,12)/10,0)</f>
        <v>9468</v>
      </c>
    </row>
    <row r="69" spans="1:54" ht="15.75" thickBot="1" x14ac:dyDescent="0.3">
      <c r="A69" s="3">
        <f t="shared" ca="1" si="9"/>
        <v>45072</v>
      </c>
      <c r="B69" s="4" t="s">
        <v>56</v>
      </c>
      <c r="C69" s="4" t="s">
        <v>57</v>
      </c>
      <c r="D69" s="4" t="s">
        <v>58</v>
      </c>
      <c r="E69" s="4" t="s">
        <v>59</v>
      </c>
      <c r="F69" s="4">
        <f ca="1">ROUND(T_Facebook_Ads[[#This Row],[impressions]]*RANDBETWEEN(8,12)/10,0)</f>
        <v>14268</v>
      </c>
      <c r="G69" s="4">
        <v>545</v>
      </c>
      <c r="H69" s="4">
        <f ca="1">T_Facebook_Ads[[#This Row],[spend]]*RANDBETWEEN(8,12)/10</f>
        <v>222.53000000000003</v>
      </c>
      <c r="I69" s="4">
        <f ca="1">ROUND(T_Facebook_Ads[[#This Row],[conversions]]*RANDBETWEEN(8,12)/10,0)</f>
        <v>37</v>
      </c>
      <c r="J69" s="4">
        <f ca="1">ROUND(T_Facebook_Ads[[#This Row],[video_views]]*RANDBETWEEN(8,12)/10,0)</f>
        <v>925</v>
      </c>
      <c r="K69" s="4">
        <f ca="1">T_Facebook_Ads[[#This Row],[engagement_rate]]*RANDBETWEEN(8,12)/10</f>
        <v>5.0380000000000001E-2</v>
      </c>
      <c r="L69" s="4">
        <f ca="1">ROUND(T_Facebook_Ads[[#This Row],[reach]]*RANDBETWEEN(8,12)/10,0)</f>
        <v>7654</v>
      </c>
      <c r="M69" s="4">
        <f ca="1">T_Facebook_Ads[[#This Row],[frequency]]*RANDBETWEEN(8,12)/10</f>
        <v>1.024</v>
      </c>
      <c r="O69" s="3">
        <f t="shared" ca="1" si="10"/>
        <v>45064</v>
      </c>
      <c r="P69" s="4" t="s">
        <v>80</v>
      </c>
      <c r="Q69" s="4" t="s">
        <v>81</v>
      </c>
      <c r="R69" s="4" t="s">
        <v>82</v>
      </c>
      <c r="S69" s="4" t="s">
        <v>83</v>
      </c>
      <c r="T69" s="4">
        <f ca="1">ROUND(_Google_ads[[#This Row],[impressions]]*RANDBETWEEN(8,12)/10,0)</f>
        <v>40567</v>
      </c>
      <c r="U69" s="4">
        <f ca="1">ROUND(_Google_ads[[#This Row],[clicks]]*RANDBETWEEN(8,12)/10,0)</f>
        <v>731</v>
      </c>
      <c r="V69" s="4">
        <f ca="1">_Google_ads[[#This Row],[cost]]*RANDBETWEEN(8,12)/10</f>
        <v>468.35999999999996</v>
      </c>
      <c r="W69" s="4">
        <f ca="1">ROUND(_Google_ads[[#This Row],[conversions]]*RANDBETWEEN(8,12)/10,0)</f>
        <v>24</v>
      </c>
      <c r="X69" s="4">
        <f ca="1">ROUND(_Google_ads[[#This Row],[conversion_value]]*RANDBETWEEN(8,12)/10,0)</f>
        <v>1000</v>
      </c>
      <c r="Y69" s="4">
        <f ca="1">_Google_ads[[#This Row],[ctr]]*RANDBETWEEN(8,12)/10</f>
        <v>2.4E-2</v>
      </c>
      <c r="Z69" s="4">
        <f ca="1">_Google_ads[[#This Row],[avg_cpc]]*RANDBETWEEN(8,12)/10</f>
        <v>0.64</v>
      </c>
      <c r="AA69" s="4">
        <f ca="1">ROUND(_Google_ads[[#This Row],[quality_score]]*RANDBETWEEN(8,12)/10,0)</f>
        <v>5</v>
      </c>
      <c r="AB69" s="4">
        <f ca="1">_Google_ads[[#This Row],[search_impression_share]]*RANDBETWEEN(8,12)/10</f>
        <v>0.504</v>
      </c>
      <c r="AD69" s="3">
        <f t="shared" ca="1" si="11"/>
        <v>45077</v>
      </c>
      <c r="AE69" s="4" t="s">
        <v>104</v>
      </c>
      <c r="AF69" s="4" t="s">
        <v>105</v>
      </c>
      <c r="AG69" s="4" t="s">
        <v>106</v>
      </c>
      <c r="AH69" s="4" t="s">
        <v>107</v>
      </c>
      <c r="AI69" s="4">
        <f ca="1">ROUND(T_Tiktok_ads[[#This Row],[impressions]]*RANDBETWEEN(8,12)/10,0)</f>
        <v>113876</v>
      </c>
      <c r="AJ69" s="4">
        <f ca="1">ROUND(T_Tiktok_ads[[#This Row],[clicks]]*RANDBETWEEN(8,12)/10,0)</f>
        <v>2946</v>
      </c>
      <c r="AK69" s="4">
        <v>734.5</v>
      </c>
      <c r="AL69" s="4">
        <f ca="1">ROUND(T_Tiktok_ads[[#This Row],[conversions]]*RANDBETWEEN(8,12)/10,0)</f>
        <v>58</v>
      </c>
      <c r="AM69" s="4">
        <f ca="1">ROUND(T_Tiktok_ads[[#This Row],[video_views]]*RANDBETWEEN(8,12)/10,0)</f>
        <v>117468</v>
      </c>
      <c r="AN69" s="4">
        <f ca="1">ROUND(T_Tiktok_ads[[#This Row],[video_watch_25]]*RANDBETWEEN(8,12)/10,0)</f>
        <v>57876</v>
      </c>
      <c r="AO69" s="4">
        <f ca="1">ROUND(T_Tiktok_ads[[#This Row],[video_watch_50]]*RANDBETWEEN(8,12)/10,0)</f>
        <v>39121</v>
      </c>
      <c r="AP69" s="4">
        <f ca="1">ROUND(T_Tiktok_ads[[#This Row],[video_watch_75]]*RANDBETWEEN(8,12)/10,0)</f>
        <v>33110</v>
      </c>
      <c r="AQ69" s="4">
        <f ca="1">ROUND(T_Tiktok_ads[[#This Row],[video_watch_100]]*RANDBETWEEN(8,12)/10,0)</f>
        <v>27379</v>
      </c>
      <c r="AR69" s="4">
        <f ca="1">ROUND(T_Tiktok_ads[[#This Row],[likes]]*RANDBETWEEN(8,12)/10,0)</f>
        <v>4901</v>
      </c>
      <c r="AS69" s="4">
        <f ca="1">ROUND(T_Tiktok_ads[[#This Row],[shares]]*RANDBETWEEN(8,12)/10,0)</f>
        <v>1627</v>
      </c>
      <c r="AT69" s="4">
        <f ca="1">ROUND(T_Tiktok_ads[[#This Row],[comments]]*RANDBETWEEN(8,12)/10,0)</f>
        <v>256</v>
      </c>
      <c r="AV69" s="5">
        <f t="shared" ca="1" si="12"/>
        <v>45076</v>
      </c>
      <c r="AW69">
        <f t="shared" ca="1" si="13"/>
        <v>4</v>
      </c>
      <c r="AX69">
        <f ca="1">ROUND(T_Facebook_Ads1159636771[[#This Row],[impressions]]*RANDBETWEEN(8,12)/10,0)</f>
        <v>15695</v>
      </c>
      <c r="AY69">
        <f ca="1">ROUND(T_Facebook_Ads1159636771[[#This Row],[clicks]]*RANDBETWEEN(8,12)/10,0)</f>
        <v>654</v>
      </c>
      <c r="AZ69">
        <f ca="1">T_Facebook_Ads1159636771[[#This Row],[spend]]*RANDBETWEEN(8,12)/10</f>
        <v>178.02400000000003</v>
      </c>
      <c r="BA69">
        <f ca="1">ROUND(T_Facebook_Ads1159636771[[#This Row],[conversions]]*RANDBETWEEN(8,12)/10,0)</f>
        <v>44</v>
      </c>
      <c r="BB69">
        <f ca="1">ROUND(T_Facebook_Ads1159636771[[#This Row],[video_views]]*RANDBETWEEN(8,12)/10,0)</f>
        <v>740</v>
      </c>
    </row>
    <row r="70" spans="1:54" ht="15.75" thickBot="1" x14ac:dyDescent="0.3">
      <c r="A70" s="3">
        <f t="shared" ca="1" si="9"/>
        <v>45050</v>
      </c>
      <c r="B70" s="4" t="s">
        <v>60</v>
      </c>
      <c r="C70" s="4" t="s">
        <v>61</v>
      </c>
      <c r="D70" s="4" t="s">
        <v>62</v>
      </c>
      <c r="E70" s="4" t="s">
        <v>63</v>
      </c>
      <c r="F70" s="4">
        <f ca="1">ROUND(T_Facebook_Ads[[#This Row],[impressions]]*RANDBETWEEN(8,12)/10,0)</f>
        <v>38024</v>
      </c>
      <c r="G70" s="4">
        <v>1234</v>
      </c>
      <c r="H70" s="4">
        <f ca="1">T_Facebook_Ads[[#This Row],[spend]]*RANDBETWEEN(8,12)/10</f>
        <v>170.64</v>
      </c>
      <c r="I70" s="4">
        <f ca="1">ROUND(T_Facebook_Ads[[#This Row],[conversions]]*RANDBETWEEN(8,12)/10,0)</f>
        <v>24</v>
      </c>
      <c r="J70" s="4">
        <f ca="1">ROUND(T_Facebook_Ads[[#This Row],[video_views]]*RANDBETWEEN(8,12)/10,0)</f>
        <v>4567</v>
      </c>
      <c r="K70" s="4">
        <f ca="1">T_Facebook_Ads[[#This Row],[engagement_rate]]*RANDBETWEEN(8,12)/10</f>
        <v>3.5700000000000003E-2</v>
      </c>
      <c r="L70" s="4">
        <f ca="1">ROUND(T_Facebook_Ads[[#This Row],[reach]]*RANDBETWEEN(8,12)/10,0)</f>
        <v>28934</v>
      </c>
      <c r="M70" s="4">
        <f ca="1">T_Facebook_Ads[[#This Row],[frequency]]*RANDBETWEEN(8,12)/10</f>
        <v>1.4279999999999999</v>
      </c>
      <c r="O70" s="3">
        <f t="shared" ca="1" si="10"/>
        <v>45047</v>
      </c>
      <c r="P70" s="4" t="s">
        <v>84</v>
      </c>
      <c r="Q70" s="4" t="s">
        <v>85</v>
      </c>
      <c r="R70" s="4" t="s">
        <v>86</v>
      </c>
      <c r="S70" s="4" t="s">
        <v>87</v>
      </c>
      <c r="T70" s="4">
        <f ca="1">ROUND(_Google_ads[[#This Row],[impressions]]*RANDBETWEEN(8,12)/10,0)</f>
        <v>64890</v>
      </c>
      <c r="U70" s="4">
        <f ca="1">ROUND(_Google_ads[[#This Row],[clicks]]*RANDBETWEEN(8,12)/10,0)</f>
        <v>2480</v>
      </c>
      <c r="V70" s="4">
        <f ca="1">_Google_ads[[#This Row],[cost]]*RANDBETWEEN(8,12)/10</f>
        <v>452.16</v>
      </c>
      <c r="W70" s="4">
        <f ca="1">ROUND(_Google_ads[[#This Row],[conversions]]*RANDBETWEEN(8,12)/10,0)</f>
        <v>47</v>
      </c>
      <c r="X70" s="4">
        <f ca="1">ROUND(_Google_ads[[#This Row],[conversion_value]]*RANDBETWEEN(8,12)/10,0)</f>
        <v>2655</v>
      </c>
      <c r="Y70" s="4">
        <f ca="1">_Google_ads[[#This Row],[ctr]]*RANDBETWEEN(8,12)/10</f>
        <v>2.5519999999999998E-2</v>
      </c>
      <c r="Z70" s="4">
        <f ca="1">_Google_ads[[#This Row],[avg_cpc]]*RANDBETWEEN(8,12)/10</f>
        <v>0.19800000000000001</v>
      </c>
      <c r="AA70" s="4">
        <f ca="1">ROUND(_Google_ads[[#This Row],[quality_score]]*RANDBETWEEN(8,12)/10,0)</f>
        <v>8</v>
      </c>
      <c r="AB70" s="4">
        <f ca="1">_Google_ads[[#This Row],[search_impression_share]]*RANDBETWEEN(8,12)/10</f>
        <v>0.71500000000000008</v>
      </c>
      <c r="AD70" s="3">
        <f t="shared" ca="1" si="11"/>
        <v>45071</v>
      </c>
      <c r="AE70" s="4" t="s">
        <v>108</v>
      </c>
      <c r="AF70" s="4" t="s">
        <v>109</v>
      </c>
      <c r="AG70" s="4" t="s">
        <v>110</v>
      </c>
      <c r="AH70" s="4" t="s">
        <v>111</v>
      </c>
      <c r="AI70" s="4">
        <f ca="1">ROUND(T_Tiktok_ads[[#This Row],[impressions]]*RANDBETWEEN(8,12)/10,0)</f>
        <v>218901</v>
      </c>
      <c r="AJ70" s="4">
        <f ca="1">ROUND(T_Tiktok_ads[[#This Row],[clicks]]*RANDBETWEEN(8,12)/10,0)</f>
        <v>3110</v>
      </c>
      <c r="AK70" s="4">
        <v>414.4</v>
      </c>
      <c r="AL70" s="4">
        <f ca="1">ROUND(T_Tiktok_ads[[#This Row],[conversions]]*RANDBETWEEN(8,12)/10,0)</f>
        <v>35</v>
      </c>
      <c r="AM70" s="4">
        <f ca="1">ROUND(T_Tiktok_ads[[#This Row],[video_views]]*RANDBETWEEN(8,12)/10,0)</f>
        <v>173456</v>
      </c>
      <c r="AN70" s="4">
        <f ca="1">ROUND(T_Tiktok_ads[[#This Row],[video_watch_25]]*RANDBETWEEN(8,12)/10,0)</f>
        <v>105254</v>
      </c>
      <c r="AO70" s="4">
        <f ca="1">ROUND(T_Tiktok_ads[[#This Row],[video_watch_50]]*RANDBETWEEN(8,12)/10,0)</f>
        <v>124280</v>
      </c>
      <c r="AP70" s="4">
        <f ca="1">ROUND(T_Tiktok_ads[[#This Row],[video_watch_75]]*RANDBETWEEN(8,12)/10,0)</f>
        <v>53787</v>
      </c>
      <c r="AQ70" s="4">
        <f ca="1">ROUND(T_Tiktok_ads[[#This Row],[video_watch_100]]*RANDBETWEEN(8,12)/10,0)</f>
        <v>48680</v>
      </c>
      <c r="AR70" s="4">
        <f ca="1">ROUND(T_Tiktok_ads[[#This Row],[likes]]*RANDBETWEEN(8,12)/10,0)</f>
        <v>8012</v>
      </c>
      <c r="AS70" s="4">
        <f ca="1">ROUND(T_Tiktok_ads[[#This Row],[shares]]*RANDBETWEEN(8,12)/10,0)</f>
        <v>2641</v>
      </c>
      <c r="AT70" s="4">
        <f ca="1">ROUND(T_Tiktok_ads[[#This Row],[comments]]*RANDBETWEEN(8,12)/10,0)</f>
        <v>628</v>
      </c>
      <c r="AV70" s="5">
        <f t="shared" ca="1" si="12"/>
        <v>45055</v>
      </c>
      <c r="AW70">
        <f t="shared" ca="1" si="13"/>
        <v>6</v>
      </c>
      <c r="AX70">
        <f ca="1">ROUND(T_Facebook_Ads1159636771[[#This Row],[impressions]]*RANDBETWEEN(8,12)/10,0)</f>
        <v>45629</v>
      </c>
      <c r="AY70">
        <f ca="1">ROUND(T_Facebook_Ads1159636771[[#This Row],[clicks]]*RANDBETWEEN(8,12)/10,0)</f>
        <v>987</v>
      </c>
      <c r="AZ70">
        <f ca="1">T_Facebook_Ads1159636771[[#This Row],[spend]]*RANDBETWEEN(8,12)/10</f>
        <v>153.57599999999996</v>
      </c>
      <c r="BA70">
        <f ca="1">ROUND(T_Facebook_Ads1159636771[[#This Row],[conversions]]*RANDBETWEEN(8,12)/10,0)</f>
        <v>19</v>
      </c>
      <c r="BB70">
        <f ca="1">ROUND(T_Facebook_Ads1159636771[[#This Row],[video_views]]*RANDBETWEEN(8,12)/10,0)</f>
        <v>4110</v>
      </c>
    </row>
    <row r="71" spans="1:54" ht="15.75" thickBot="1" x14ac:dyDescent="0.3">
      <c r="A71" s="3">
        <f t="shared" ca="1" si="9"/>
        <v>45071</v>
      </c>
      <c r="B71" s="4" t="s">
        <v>64</v>
      </c>
      <c r="C71" s="4" t="s">
        <v>65</v>
      </c>
      <c r="D71" s="4" t="s">
        <v>66</v>
      </c>
      <c r="E71" s="4" t="s">
        <v>67</v>
      </c>
      <c r="F71" s="4">
        <f ca="1">ROUND(T_Facebook_Ads[[#This Row],[impressions]]*RANDBETWEEN(8,12)/10,0)</f>
        <v>71757</v>
      </c>
      <c r="G71" s="4">
        <v>234</v>
      </c>
      <c r="H71" s="4">
        <f ca="1">T_Facebook_Ads[[#This Row],[spend]]*RANDBETWEEN(8,12)/10</f>
        <v>89.320000000000007</v>
      </c>
      <c r="I71" s="4">
        <f ca="1">ROUND(T_Facebook_Ads[[#This Row],[conversions]]*RANDBETWEEN(8,12)/10,0)</f>
        <v>5</v>
      </c>
      <c r="J71" s="4">
        <f ca="1">ROUND(T_Facebook_Ads[[#This Row],[video_views]]*RANDBETWEEN(8,12)/10,0)</f>
        <v>34854</v>
      </c>
      <c r="K71" s="4">
        <f ca="1">T_Facebook_Ads[[#This Row],[engagement_rate]]*RANDBETWEEN(8,12)/10</f>
        <v>3.2399999999999998E-3</v>
      </c>
      <c r="L71" s="4">
        <f ca="1">ROUND(T_Facebook_Ads[[#This Row],[reach]]*RANDBETWEEN(8,12)/10,0)</f>
        <v>64147</v>
      </c>
      <c r="M71" s="4">
        <f ca="1">T_Facebook_Ads[[#This Row],[frequency]]*RANDBETWEEN(8,12)/10</f>
        <v>1.4279999999999999</v>
      </c>
      <c r="O71" s="3">
        <f t="shared" ca="1" si="10"/>
        <v>45068</v>
      </c>
      <c r="P71" s="4" t="s">
        <v>88</v>
      </c>
      <c r="Q71" s="4" t="s">
        <v>89</v>
      </c>
      <c r="R71" s="4" t="s">
        <v>90</v>
      </c>
      <c r="S71" s="4" t="s">
        <v>59</v>
      </c>
      <c r="T71" s="4">
        <f ca="1">ROUND(_Google_ads[[#This Row],[impressions]]*RANDBETWEEN(8,12)/10,0)</f>
        <v>99654</v>
      </c>
      <c r="U71" s="4">
        <f ca="1">ROUND(_Google_ads[[#This Row],[clicks]]*RANDBETWEEN(8,12)/10,0)</f>
        <v>445</v>
      </c>
      <c r="V71" s="4">
        <f ca="1">_Google_ads[[#This Row],[cost]]*RANDBETWEEN(8,12)/10</f>
        <v>110.07000000000001</v>
      </c>
      <c r="W71" s="4">
        <f ca="1">ROUND(_Google_ads[[#This Row],[conversions]]*RANDBETWEEN(8,12)/10,0)</f>
        <v>11</v>
      </c>
      <c r="X71" s="4">
        <f ca="1">ROUND(_Google_ads[[#This Row],[conversion_value]]*RANDBETWEEN(8,12)/10,0)</f>
        <v>480</v>
      </c>
      <c r="Y71" s="4">
        <f ca="1">_Google_ads[[#This Row],[ctr]]*RANDBETWEEN(8,12)/10</f>
        <v>3.96E-3</v>
      </c>
      <c r="Z71" s="4">
        <f ca="1">_Google_ads[[#This Row],[avg_cpc]]*RANDBETWEEN(8,12)/10</f>
        <v>0.29700000000000004</v>
      </c>
      <c r="AA71" s="4">
        <f ca="1">ROUND(_Google_ads[[#This Row],[quality_score]]*RANDBETWEEN(8,12)/10,0)</f>
        <v>8</v>
      </c>
      <c r="AB71" s="4">
        <f ca="1">_Google_ads[[#This Row],[search_impression_share]]*RANDBETWEEN(8,12)/10</f>
        <v>0.29700000000000004</v>
      </c>
      <c r="AD71" s="3">
        <f t="shared" ca="1" si="11"/>
        <v>45063</v>
      </c>
      <c r="AE71" s="4" t="s">
        <v>112</v>
      </c>
      <c r="AF71" s="4" t="s">
        <v>113</v>
      </c>
      <c r="AG71" s="4" t="s">
        <v>114</v>
      </c>
      <c r="AH71" s="4" t="s">
        <v>115</v>
      </c>
      <c r="AI71" s="4">
        <f ca="1">ROUND(T_Tiktok_ads[[#This Row],[impressions]]*RANDBETWEEN(8,12)/10,0)</f>
        <v>311210</v>
      </c>
      <c r="AJ71" s="4">
        <f ca="1">ROUND(T_Tiktok_ads[[#This Row],[clicks]]*RANDBETWEEN(8,12)/10,0)</f>
        <v>4987</v>
      </c>
      <c r="AK71" s="4">
        <v>967.8</v>
      </c>
      <c r="AL71" s="4">
        <f ca="1">ROUND(T_Tiktok_ads[[#This Row],[conversions]]*RANDBETWEEN(8,12)/10,0)</f>
        <v>118</v>
      </c>
      <c r="AM71" s="4">
        <f ca="1">ROUND(T_Tiktok_ads[[#This Row],[video_views]]*RANDBETWEEN(8,12)/10,0)</f>
        <v>385481</v>
      </c>
      <c r="AN71" s="4">
        <f ca="1">ROUND(T_Tiktok_ads[[#This Row],[video_watch_25]]*RANDBETWEEN(8,12)/10,0)</f>
        <v>284791</v>
      </c>
      <c r="AO71" s="4">
        <f ca="1">ROUND(T_Tiktok_ads[[#This Row],[video_watch_50]]*RANDBETWEEN(8,12)/10,0)</f>
        <v>207890</v>
      </c>
      <c r="AP71" s="4">
        <f ca="1">ROUND(T_Tiktok_ads[[#This Row],[video_watch_75]]*RANDBETWEEN(8,12)/10,0)</f>
        <v>117787</v>
      </c>
      <c r="AQ71" s="4">
        <f ca="1">ROUND(T_Tiktok_ads[[#This Row],[video_watch_100]]*RANDBETWEEN(8,12)/10,0)</f>
        <v>77965</v>
      </c>
      <c r="AR71" s="4">
        <f ca="1">ROUND(T_Tiktok_ads[[#This Row],[likes]]*RANDBETWEEN(8,12)/10,0)</f>
        <v>16901</v>
      </c>
      <c r="AS71" s="4">
        <f ca="1">ROUND(T_Tiktok_ads[[#This Row],[shares]]*RANDBETWEEN(8,12)/10,0)</f>
        <v>3930</v>
      </c>
      <c r="AT71" s="4">
        <f ca="1">ROUND(T_Tiktok_ads[[#This Row],[comments]]*RANDBETWEEN(8,12)/10,0)</f>
        <v>1614</v>
      </c>
      <c r="AV71" s="5">
        <f t="shared" ca="1" si="12"/>
        <v>45050</v>
      </c>
      <c r="AW71">
        <f t="shared" ca="1" si="13"/>
        <v>6</v>
      </c>
      <c r="AX71">
        <f ca="1">ROUND(T_Facebook_Ads1159636771[[#This Row],[impressions]]*RANDBETWEEN(8,12)/10,0)</f>
        <v>64581</v>
      </c>
      <c r="AY71">
        <f ca="1">ROUND(T_Facebook_Ads1159636771[[#This Row],[clicks]]*RANDBETWEEN(8,12)/10,0)</f>
        <v>281</v>
      </c>
      <c r="AZ71">
        <f ca="1">T_Facebook_Ads1159636771[[#This Row],[spend]]*RANDBETWEEN(8,12)/10</f>
        <v>89.320000000000007</v>
      </c>
      <c r="BA71">
        <f ca="1">ROUND(T_Facebook_Ads1159636771[[#This Row],[conversions]]*RANDBETWEEN(8,12)/10,0)</f>
        <v>4</v>
      </c>
      <c r="BB71">
        <f ca="1">ROUND(T_Facebook_Ads1159636771[[#This Row],[video_views]]*RANDBETWEEN(8,12)/10,0)</f>
        <v>31369</v>
      </c>
    </row>
    <row r="72" spans="1:54" ht="15.75" thickBot="1" x14ac:dyDescent="0.3">
      <c r="A72" s="3">
        <f t="shared" ca="1" si="9"/>
        <v>45061</v>
      </c>
      <c r="B72" s="4" t="s">
        <v>52</v>
      </c>
      <c r="C72" s="4" t="s">
        <v>53</v>
      </c>
      <c r="D72" s="4" t="s">
        <v>54</v>
      </c>
      <c r="E72" s="4" t="s">
        <v>55</v>
      </c>
      <c r="F72" s="4">
        <f ca="1">ROUND(T_Facebook_Ads[[#This Row],[impressions]]*RANDBETWEEN(8,12)/10,0)</f>
        <v>49880</v>
      </c>
      <c r="G72" s="4">
        <v>823</v>
      </c>
      <c r="H72" s="4">
        <f ca="1">T_Facebook_Ads[[#This Row],[spend]]*RANDBETWEEN(8,12)/10</f>
        <v>118.9</v>
      </c>
      <c r="I72" s="4">
        <f ca="1">ROUND(T_Facebook_Ads[[#This Row],[conversions]]*RANDBETWEEN(8,12)/10,0)</f>
        <v>13</v>
      </c>
      <c r="J72" s="4">
        <f ca="1">ROUND(T_Facebook_Ads[[#This Row],[video_views]]*RANDBETWEEN(8,12)/10,0)</f>
        <v>7456</v>
      </c>
      <c r="K72" s="4">
        <f ca="1">T_Facebook_Ads[[#This Row],[engagement_rate]]*RANDBETWEEN(8,12)/10</f>
        <v>1.7820000000000003E-2</v>
      </c>
      <c r="L72" s="4">
        <f ca="1">ROUND(T_Facebook_Ads[[#This Row],[reach]]*RANDBETWEEN(8,12)/10,0)</f>
        <v>42148</v>
      </c>
      <c r="M72" s="4">
        <f ca="1">T_Facebook_Ads[[#This Row],[frequency]]*RANDBETWEEN(8,12)/10</f>
        <v>1.0619999999999998</v>
      </c>
      <c r="O72" s="3">
        <f t="shared" ca="1" si="10"/>
        <v>45072</v>
      </c>
      <c r="P72" s="4" t="s">
        <v>76</v>
      </c>
      <c r="Q72" s="4" t="s">
        <v>77</v>
      </c>
      <c r="R72" s="4" t="s">
        <v>78</v>
      </c>
      <c r="S72" s="4" t="s">
        <v>79</v>
      </c>
      <c r="T72" s="4">
        <f ca="1">ROUND(_Google_ads[[#This Row],[impressions]]*RANDBETWEEN(8,12)/10,0)</f>
        <v>23724</v>
      </c>
      <c r="U72" s="4">
        <f ca="1">ROUND(_Google_ads[[#This Row],[clicks]]*RANDBETWEEN(8,12)/10,0)</f>
        <v>980</v>
      </c>
      <c r="V72" s="4">
        <f ca="1">_Google_ads[[#This Row],[cost]]*RANDBETWEEN(8,12)/10</f>
        <v>228.58</v>
      </c>
      <c r="W72" s="4">
        <f ca="1">ROUND(_Google_ads[[#This Row],[conversions]]*RANDBETWEEN(8,12)/10,0)</f>
        <v>37</v>
      </c>
      <c r="X72" s="4">
        <f ca="1">ROUND(_Google_ads[[#This Row],[conversion_value]]*RANDBETWEEN(8,12)/10,0)</f>
        <v>1845</v>
      </c>
      <c r="Y72" s="4">
        <f ca="1">_Google_ads[[#This Row],[ctr]]*RANDBETWEEN(8,12)/10</f>
        <v>4.0400000000000005E-2</v>
      </c>
      <c r="Z72" s="4">
        <f ca="1">_Google_ads[[#This Row],[avg_cpc]]*RANDBETWEEN(8,12)/10</f>
        <v>0.20899999999999999</v>
      </c>
      <c r="AA72" s="4">
        <f ca="1">ROUND(_Google_ads[[#This Row],[quality_score]]*RANDBETWEEN(8,12)/10,0)</f>
        <v>8</v>
      </c>
      <c r="AB72" s="4">
        <f ca="1">_Google_ads[[#This Row],[search_impression_share]]*RANDBETWEEN(8,12)/10</f>
        <v>0.88000000000000012</v>
      </c>
      <c r="AD72" s="3">
        <f t="shared" ca="1" si="11"/>
        <v>45054</v>
      </c>
      <c r="AE72" s="4" t="s">
        <v>100</v>
      </c>
      <c r="AF72" s="4" t="s">
        <v>101</v>
      </c>
      <c r="AG72" s="4" t="s">
        <v>102</v>
      </c>
      <c r="AH72" s="4" t="s">
        <v>103</v>
      </c>
      <c r="AI72" s="4">
        <f ca="1">ROUND(T_Tiktok_ads[[#This Row],[impressions]]*RANDBETWEEN(8,12)/10,0)</f>
        <v>258024</v>
      </c>
      <c r="AJ72" s="4">
        <f ca="1">ROUND(T_Tiktok_ads[[#This Row],[clicks]]*RANDBETWEEN(8,12)/10,0)</f>
        <v>4147</v>
      </c>
      <c r="AK72" s="4">
        <v>445.7</v>
      </c>
      <c r="AL72" s="4">
        <f ca="1">ROUND(T_Tiktok_ads[[#This Row],[conversions]]*RANDBETWEEN(8,12)/10,0)</f>
        <v>27</v>
      </c>
      <c r="AM72" s="4">
        <f ca="1">ROUND(T_Tiktok_ads[[#This Row],[video_views]]*RANDBETWEEN(8,12)/10,0)</f>
        <v>175711</v>
      </c>
      <c r="AN72" s="4">
        <f ca="1">ROUND(T_Tiktok_ads[[#This Row],[video_watch_25]]*RANDBETWEEN(8,12)/10,0)</f>
        <v>184147</v>
      </c>
      <c r="AO72" s="4">
        <f ca="1">ROUND(T_Tiktok_ads[[#This Row],[video_watch_50]]*RANDBETWEEN(8,12)/10,0)</f>
        <v>86611</v>
      </c>
      <c r="AP72" s="4">
        <f ca="1">ROUND(T_Tiktok_ads[[#This Row],[video_watch_75]]*RANDBETWEEN(8,12)/10,0)</f>
        <v>71757</v>
      </c>
      <c r="AQ72" s="4">
        <f ca="1">ROUND(T_Tiktok_ads[[#This Row],[video_watch_100]]*RANDBETWEEN(8,12)/10,0)</f>
        <v>43567</v>
      </c>
      <c r="AR72" s="4">
        <f ca="1">ROUND(T_Tiktok_ads[[#This Row],[likes]]*RANDBETWEEN(8,12)/10,0)</f>
        <v>7005</v>
      </c>
      <c r="AS72" s="4">
        <f ca="1">ROUND(T_Tiktok_ads[[#This Row],[shares]]*RANDBETWEEN(8,12)/10,0)</f>
        <v>2234</v>
      </c>
      <c r="AT72" s="4">
        <f ca="1">ROUND(T_Tiktok_ads[[#This Row],[comments]]*RANDBETWEEN(8,12)/10,0)</f>
        <v>427</v>
      </c>
      <c r="AV72" s="5">
        <f t="shared" ca="1" si="12"/>
        <v>45057</v>
      </c>
      <c r="AW72">
        <f t="shared" ca="1" si="13"/>
        <v>3</v>
      </c>
      <c r="AX72">
        <f ca="1">ROUND(T_Facebook_Ads1159636771[[#This Row],[impressions]]*RANDBETWEEN(8,12)/10,0)</f>
        <v>54868</v>
      </c>
      <c r="AY72">
        <f ca="1">ROUND(T_Facebook_Ads1159636771[[#This Row],[clicks]]*RANDBETWEEN(8,12)/10,0)</f>
        <v>658</v>
      </c>
      <c r="AZ72">
        <f ca="1">T_Facebook_Ads1159636771[[#This Row],[spend]]*RANDBETWEEN(8,12)/10</f>
        <v>95.12</v>
      </c>
      <c r="BA72">
        <f ca="1">ROUND(T_Facebook_Ads1159636771[[#This Row],[conversions]]*RANDBETWEEN(8,12)/10,0)</f>
        <v>16</v>
      </c>
      <c r="BB72">
        <f ca="1">ROUND(T_Facebook_Ads1159636771[[#This Row],[video_views]]*RANDBETWEEN(8,12)/10,0)</f>
        <v>8947</v>
      </c>
    </row>
    <row r="73" spans="1:54" ht="15.75" thickBot="1" x14ac:dyDescent="0.3">
      <c r="A73" s="3">
        <f t="shared" ca="1" si="9"/>
        <v>45054</v>
      </c>
      <c r="B73" s="4" t="s">
        <v>56</v>
      </c>
      <c r="C73" s="4" t="s">
        <v>57</v>
      </c>
      <c r="D73" s="4" t="s">
        <v>58</v>
      </c>
      <c r="E73" s="4" t="s">
        <v>59</v>
      </c>
      <c r="F73" s="4">
        <f ca="1">ROUND(T_Facebook_Ads[[#This Row],[impressions]]*RANDBETWEEN(8,12)/10,0)</f>
        <v>8187</v>
      </c>
      <c r="G73" s="4">
        <v>467</v>
      </c>
      <c r="H73" s="4">
        <f ca="1">T_Facebook_Ads[[#This Row],[spend]]*RANDBETWEEN(8,12)/10</f>
        <v>178.4</v>
      </c>
      <c r="I73" s="4">
        <f ca="1">ROUND(T_Facebook_Ads[[#This Row],[conversions]]*RANDBETWEEN(8,12)/10,0)</f>
        <v>30</v>
      </c>
      <c r="J73" s="4">
        <f ca="1">ROUND(T_Facebook_Ads[[#This Row],[video_views]]*RANDBETWEEN(8,12)/10,0)</f>
        <v>756</v>
      </c>
      <c r="K73" s="4">
        <f ca="1">T_Facebook_Ads[[#This Row],[engagement_rate]]*RANDBETWEEN(8,12)/10</f>
        <v>4.5600000000000002E-2</v>
      </c>
      <c r="L73" s="4">
        <f ca="1">ROUND(T_Facebook_Ads[[#This Row],[reach]]*RANDBETWEEN(8,12)/10,0)</f>
        <v>6765</v>
      </c>
      <c r="M73" s="4">
        <f ca="1">T_Facebook_Ads[[#This Row],[frequency]]*RANDBETWEEN(8,12)/10</f>
        <v>1.452</v>
      </c>
      <c r="O73" s="3">
        <f t="shared" ca="1" si="10"/>
        <v>45072</v>
      </c>
      <c r="P73" s="4" t="s">
        <v>80</v>
      </c>
      <c r="Q73" s="4" t="s">
        <v>81</v>
      </c>
      <c r="R73" s="4" t="s">
        <v>82</v>
      </c>
      <c r="S73" s="4" t="s">
        <v>83</v>
      </c>
      <c r="T73" s="4">
        <f ca="1">ROUND(_Google_ads[[#This Row],[impressions]]*RANDBETWEEN(8,12)/10,0)</f>
        <v>42791</v>
      </c>
      <c r="U73" s="4">
        <f ca="1">ROUND(_Google_ads[[#This Row],[clicks]]*RANDBETWEEN(8,12)/10,0)</f>
        <v>778</v>
      </c>
      <c r="V73" s="4">
        <f ca="1">_Google_ads[[#This Row],[cost]]*RANDBETWEEN(8,12)/10</f>
        <v>448.83000000000004</v>
      </c>
      <c r="W73" s="4">
        <f ca="1">ROUND(_Google_ads[[#This Row],[conversions]]*RANDBETWEEN(8,12)/10,0)</f>
        <v>21</v>
      </c>
      <c r="X73" s="4">
        <f ca="1">ROUND(_Google_ads[[#This Row],[conversion_value]]*RANDBETWEEN(8,12)/10,0)</f>
        <v>760</v>
      </c>
      <c r="Y73" s="4">
        <f ca="1">_Google_ads[[#This Row],[ctr]]*RANDBETWEEN(8,12)/10</f>
        <v>2.1999999999999999E-2</v>
      </c>
      <c r="Z73" s="4">
        <f ca="1">_Google_ads[[#This Row],[avg_cpc]]*RANDBETWEEN(8,12)/10</f>
        <v>0.57599999999999996</v>
      </c>
      <c r="AA73" s="4">
        <f ca="1">ROUND(_Google_ads[[#This Row],[quality_score]]*RANDBETWEEN(8,12)/10,0)</f>
        <v>5</v>
      </c>
      <c r="AB73" s="4">
        <f ca="1">_Google_ads[[#This Row],[search_impression_share]]*RANDBETWEEN(8,12)/10</f>
        <v>0.36899999999999999</v>
      </c>
      <c r="AD73" s="3">
        <f t="shared" ca="1" si="11"/>
        <v>45077</v>
      </c>
      <c r="AE73" s="4" t="s">
        <v>104</v>
      </c>
      <c r="AF73" s="4" t="s">
        <v>105</v>
      </c>
      <c r="AG73" s="4" t="s">
        <v>106</v>
      </c>
      <c r="AH73" s="4" t="s">
        <v>107</v>
      </c>
      <c r="AI73" s="4">
        <f ca="1">ROUND(T_Tiktok_ads[[#This Row],[impressions]]*RANDBETWEEN(8,12)/10,0)</f>
        <v>154681</v>
      </c>
      <c r="AJ73" s="4">
        <f ca="1">ROUND(T_Tiktok_ads[[#This Row],[clicks]]*RANDBETWEEN(8,12)/10,0)</f>
        <v>2947</v>
      </c>
      <c r="AK73" s="4">
        <v>678.9</v>
      </c>
      <c r="AL73" s="4">
        <f ca="1">ROUND(T_Tiktok_ads[[#This Row],[conversions]]*RANDBETWEEN(8,12)/10,0)</f>
        <v>54</v>
      </c>
      <c r="AM73" s="4">
        <f ca="1">ROUND(T_Tiktok_ads[[#This Row],[video_views]]*RANDBETWEEN(8,12)/10,0)</f>
        <v>98157</v>
      </c>
      <c r="AN73" s="4">
        <f ca="1">ROUND(T_Tiktok_ads[[#This Row],[video_watch_25]]*RANDBETWEEN(8,12)/10,0)</f>
        <v>60511</v>
      </c>
      <c r="AO73" s="4">
        <f ca="1">ROUND(T_Tiktok_ads[[#This Row],[video_watch_50]]*RANDBETWEEN(8,12)/10,0)</f>
        <v>49757</v>
      </c>
      <c r="AP73" s="4">
        <f ca="1">ROUND(T_Tiktok_ads[[#This Row],[video_watch_75]]*RANDBETWEEN(8,12)/10,0)</f>
        <v>30811</v>
      </c>
      <c r="AQ73" s="4">
        <f ca="1">ROUND(T_Tiktok_ads[[#This Row],[video_watch_100]]*RANDBETWEEN(8,12)/10,0)</f>
        <v>21110</v>
      </c>
      <c r="AR73" s="4">
        <f ca="1">ROUND(T_Tiktok_ads[[#This Row],[likes]]*RANDBETWEEN(8,12)/10,0)</f>
        <v>5480</v>
      </c>
      <c r="AS73" s="4">
        <f ca="1">ROUND(T_Tiktok_ads[[#This Row],[shares]]*RANDBETWEEN(8,12)/10,0)</f>
        <v>1481</v>
      </c>
      <c r="AT73" s="4">
        <f ca="1">ROUND(T_Tiktok_ads[[#This Row],[comments]]*RANDBETWEEN(8,12)/10,0)</f>
        <v>187</v>
      </c>
      <c r="AV73" s="5">
        <f t="shared" ca="1" si="12"/>
        <v>45074</v>
      </c>
      <c r="AW73">
        <f t="shared" ca="1" si="13"/>
        <v>4</v>
      </c>
      <c r="AX73">
        <f ca="1">ROUND(T_Facebook_Ads1159636771[[#This Row],[impressions]]*RANDBETWEEN(8,12)/10,0)</f>
        <v>9824</v>
      </c>
      <c r="AY73">
        <f ca="1">ROUND(T_Facebook_Ads1159636771[[#This Row],[clicks]]*RANDBETWEEN(8,12)/10,0)</f>
        <v>467</v>
      </c>
      <c r="AZ73">
        <f ca="1">T_Facebook_Ads1159636771[[#This Row],[spend]]*RANDBETWEEN(8,12)/10</f>
        <v>142.72</v>
      </c>
      <c r="BA73">
        <f ca="1">ROUND(T_Facebook_Ads1159636771[[#This Row],[conversions]]*RANDBETWEEN(8,12)/10,0)</f>
        <v>27</v>
      </c>
      <c r="BB73">
        <f ca="1">ROUND(T_Facebook_Ads1159636771[[#This Row],[video_views]]*RANDBETWEEN(8,12)/10,0)</f>
        <v>680</v>
      </c>
    </row>
    <row r="74" spans="1:54" ht="15.75" thickBot="1" x14ac:dyDescent="0.3">
      <c r="A74" s="3">
        <f t="shared" ca="1" si="9"/>
        <v>45072</v>
      </c>
      <c r="B74" s="4" t="s">
        <v>60</v>
      </c>
      <c r="C74" s="4" t="s">
        <v>61</v>
      </c>
      <c r="D74" s="4" t="s">
        <v>62</v>
      </c>
      <c r="E74" s="4" t="s">
        <v>63</v>
      </c>
      <c r="F74" s="4">
        <f ca="1">ROUND(T_Facebook_Ads[[#This Row],[impressions]]*RANDBETWEEN(8,12)/10,0)</f>
        <v>32890</v>
      </c>
      <c r="G74" s="4">
        <v>1178</v>
      </c>
      <c r="H74" s="4">
        <f ca="1">T_Facebook_Ads[[#This Row],[spend]]*RANDBETWEEN(8,12)/10</f>
        <v>154.07999999999998</v>
      </c>
      <c r="I74" s="4">
        <f ca="1">ROUND(T_Facebook_Ads[[#This Row],[conversions]]*RANDBETWEEN(8,12)/10,0)</f>
        <v>18</v>
      </c>
      <c r="J74" s="4">
        <f ca="1">ROUND(T_Facebook_Ads[[#This Row],[video_views]]*RANDBETWEEN(8,12)/10,0)</f>
        <v>3789</v>
      </c>
      <c r="K74" s="4">
        <f ca="1">T_Facebook_Ads[[#This Row],[engagement_rate]]*RANDBETWEEN(8,12)/10</f>
        <v>4.2959999999999998E-2</v>
      </c>
      <c r="L74" s="4">
        <f ca="1">ROUND(T_Facebook_Ads[[#This Row],[reach]]*RANDBETWEEN(8,12)/10,0)</f>
        <v>27234</v>
      </c>
      <c r="M74" s="4">
        <f ca="1">T_Facebook_Ads[[#This Row],[frequency]]*RANDBETWEEN(8,12)/10</f>
        <v>1.21</v>
      </c>
      <c r="O74" s="3">
        <f t="shared" ca="1" si="10"/>
        <v>45060</v>
      </c>
      <c r="P74" s="4" t="s">
        <v>84</v>
      </c>
      <c r="Q74" s="4" t="s">
        <v>85</v>
      </c>
      <c r="R74" s="4" t="s">
        <v>86</v>
      </c>
      <c r="S74" s="4" t="s">
        <v>87</v>
      </c>
      <c r="T74" s="4">
        <f ca="1">ROUND(_Google_ads[[#This Row],[impressions]]*RANDBETWEEN(8,12)/10,0)</f>
        <v>68580</v>
      </c>
      <c r="U74" s="4">
        <f ca="1">ROUND(_Google_ads[[#This Row],[clicks]]*RANDBETWEEN(8,12)/10,0)</f>
        <v>1790</v>
      </c>
      <c r="V74" s="4">
        <f ca="1">_Google_ads[[#This Row],[cost]]*RANDBETWEEN(8,12)/10</f>
        <v>365.4</v>
      </c>
      <c r="W74" s="4">
        <f ca="1">ROUND(_Google_ads[[#This Row],[conversions]]*RANDBETWEEN(8,12)/10,0)</f>
        <v>63</v>
      </c>
      <c r="X74" s="4">
        <f ca="1">ROUND(_Google_ads[[#This Row],[conversion_value]]*RANDBETWEEN(8,12)/10,0)</f>
        <v>2280</v>
      </c>
      <c r="Y74" s="4">
        <f ca="1">_Google_ads[[#This Row],[ctr]]*RANDBETWEEN(8,12)/10</f>
        <v>2.5519999999999998E-2</v>
      </c>
      <c r="Z74" s="4">
        <f ca="1">_Google_ads[[#This Row],[avg_cpc]]*RANDBETWEEN(8,12)/10</f>
        <v>0.16199999999999998</v>
      </c>
      <c r="AA74" s="4">
        <f ca="1">ROUND(_Google_ads[[#This Row],[quality_score]]*RANDBETWEEN(8,12)/10,0)</f>
        <v>9</v>
      </c>
      <c r="AB74" s="4">
        <f ca="1">_Google_ads[[#This Row],[search_impression_share]]*RANDBETWEEN(8,12)/10</f>
        <v>0.75600000000000001</v>
      </c>
      <c r="AD74" s="3">
        <f t="shared" ca="1" si="11"/>
        <v>45069</v>
      </c>
      <c r="AE74" s="4" t="s">
        <v>108</v>
      </c>
      <c r="AF74" s="4" t="s">
        <v>109</v>
      </c>
      <c r="AG74" s="4" t="s">
        <v>110</v>
      </c>
      <c r="AH74" s="4" t="s">
        <v>111</v>
      </c>
      <c r="AI74" s="4">
        <f ca="1">ROUND(T_Tiktok_ads[[#This Row],[impressions]]*RANDBETWEEN(8,12)/10,0)</f>
        <v>241481</v>
      </c>
      <c r="AJ74" s="4">
        <f ca="1">ROUND(T_Tiktok_ads[[#This Row],[clicks]]*RANDBETWEEN(8,12)/10,0)</f>
        <v>3435</v>
      </c>
      <c r="AK74" s="4">
        <v>374.5</v>
      </c>
      <c r="AL74" s="4">
        <f ca="1">ROUND(T_Tiktok_ads[[#This Row],[conversions]]*RANDBETWEEN(8,12)/10,0)</f>
        <v>21</v>
      </c>
      <c r="AM74" s="4">
        <f ca="1">ROUND(T_Tiktok_ads[[#This Row],[video_views]]*RANDBETWEEN(8,12)/10,0)</f>
        <v>126312</v>
      </c>
      <c r="AN74" s="4">
        <f ca="1">ROUND(T_Tiktok_ads[[#This Row],[video_watch_25]]*RANDBETWEEN(8,12)/10,0)</f>
        <v>145481</v>
      </c>
      <c r="AO74" s="4">
        <f ca="1">ROUND(T_Tiktok_ads[[#This Row],[video_watch_50]]*RANDBETWEEN(8,12)/10,0)</f>
        <v>76987</v>
      </c>
      <c r="AP74" s="4">
        <f ca="1">ROUND(T_Tiktok_ads[[#This Row],[video_watch_75]]*RANDBETWEEN(8,12)/10,0)</f>
        <v>48987</v>
      </c>
      <c r="AQ74" s="4">
        <f ca="1">ROUND(T_Tiktok_ads[[#This Row],[video_watch_100]]*RANDBETWEEN(8,12)/10,0)</f>
        <v>33710</v>
      </c>
      <c r="AR74" s="4">
        <f ca="1">ROUND(T_Tiktok_ads[[#This Row],[likes]]*RANDBETWEEN(8,12)/10,0)</f>
        <v>5876</v>
      </c>
      <c r="AS74" s="4">
        <f ca="1">ROUND(T_Tiktok_ads[[#This Row],[shares]]*RANDBETWEEN(8,12)/10,0)</f>
        <v>1627</v>
      </c>
      <c r="AT74" s="4">
        <f ca="1">ROUND(T_Tiktok_ads[[#This Row],[comments]]*RANDBETWEEN(8,12)/10,0)</f>
        <v>587</v>
      </c>
      <c r="AV74" s="5">
        <f t="shared" ca="1" si="12"/>
        <v>45049</v>
      </c>
      <c r="AW74">
        <f t="shared" ca="1" si="13"/>
        <v>6</v>
      </c>
      <c r="AX74">
        <f ca="1">ROUND(T_Facebook_Ads1159636771[[#This Row],[impressions]]*RANDBETWEEN(8,12)/10,0)</f>
        <v>29601</v>
      </c>
      <c r="AY74">
        <f ca="1">ROUND(T_Facebook_Ads1159636771[[#This Row],[clicks]]*RANDBETWEEN(8,12)/10,0)</f>
        <v>1060</v>
      </c>
      <c r="AZ74">
        <f ca="1">T_Facebook_Ads1159636771[[#This Row],[spend]]*RANDBETWEEN(8,12)/10</f>
        <v>123.26399999999998</v>
      </c>
      <c r="BA74">
        <f ca="1">ROUND(T_Facebook_Ads1159636771[[#This Row],[conversions]]*RANDBETWEEN(8,12)/10,0)</f>
        <v>18</v>
      </c>
      <c r="BB74">
        <f ca="1">ROUND(T_Facebook_Ads1159636771[[#This Row],[video_views]]*RANDBETWEEN(8,12)/10,0)</f>
        <v>3031</v>
      </c>
    </row>
    <row r="75" spans="1:54" ht="15.75" thickBot="1" x14ac:dyDescent="0.3">
      <c r="A75" s="3">
        <f t="shared" ca="1" si="9"/>
        <v>45066</v>
      </c>
      <c r="B75" s="4" t="s">
        <v>64</v>
      </c>
      <c r="C75" s="4" t="s">
        <v>65</v>
      </c>
      <c r="D75" s="4" t="s">
        <v>66</v>
      </c>
      <c r="E75" s="4" t="s">
        <v>67</v>
      </c>
      <c r="F75" s="4">
        <f ca="1">ROUND(T_Facebook_Ads[[#This Row],[impressions]]*RANDBETWEEN(8,12)/10,0)</f>
        <v>49876</v>
      </c>
      <c r="G75" s="4">
        <v>223</v>
      </c>
      <c r="H75" s="4">
        <f ca="1">T_Facebook_Ads[[#This Row],[spend]]*RANDBETWEEN(8,12)/10</f>
        <v>68.669999999999987</v>
      </c>
      <c r="I75" s="4">
        <f ca="1">ROUND(T_Facebook_Ads[[#This Row],[conversions]]*RANDBETWEEN(8,12)/10,0)</f>
        <v>5</v>
      </c>
      <c r="J75" s="4">
        <f ca="1">ROUND(T_Facebook_Ads[[#This Row],[video_views]]*RANDBETWEEN(8,12)/10,0)</f>
        <v>41234</v>
      </c>
      <c r="K75" s="4">
        <f ca="1">T_Facebook_Ads[[#This Row],[engagement_rate]]*RANDBETWEEN(8,12)/10</f>
        <v>2.8799999999999997E-3</v>
      </c>
      <c r="L75" s="4">
        <f ca="1">ROUND(T_Facebook_Ads[[#This Row],[reach]]*RANDBETWEEN(8,12)/10,0)</f>
        <v>46410</v>
      </c>
      <c r="M75" s="4">
        <f ca="1">T_Facebook_Ads[[#This Row],[frequency]]*RANDBETWEEN(8,12)/10</f>
        <v>1.0799999999999998</v>
      </c>
      <c r="O75" s="3">
        <f t="shared" ca="1" si="10"/>
        <v>45060</v>
      </c>
      <c r="P75" s="4" t="s">
        <v>88</v>
      </c>
      <c r="Q75" s="4" t="s">
        <v>89</v>
      </c>
      <c r="R75" s="4" t="s">
        <v>90</v>
      </c>
      <c r="S75" s="4" t="s">
        <v>59</v>
      </c>
      <c r="T75" s="4">
        <f ca="1">ROUND(_Google_ads[[#This Row],[impressions]]*RANDBETWEEN(8,12)/10,0)</f>
        <v>130057</v>
      </c>
      <c r="U75" s="4">
        <f ca="1">ROUND(_Google_ads[[#This Row],[clicks]]*RANDBETWEEN(8,12)/10,0)</f>
        <v>423</v>
      </c>
      <c r="V75" s="4">
        <f ca="1">_Google_ads[[#This Row],[cost]]*RANDBETWEEN(8,12)/10</f>
        <v>104.58</v>
      </c>
      <c r="W75" s="4">
        <f ca="1">ROUND(_Google_ads[[#This Row],[conversions]]*RANDBETWEEN(8,12)/10,0)</f>
        <v>10</v>
      </c>
      <c r="X75" s="4">
        <f ca="1">ROUND(_Google_ads[[#This Row],[conversion_value]]*RANDBETWEEN(8,12)/10,0)</f>
        <v>495</v>
      </c>
      <c r="Y75" s="4">
        <f ca="1">_Google_ads[[#This Row],[ctr]]*RANDBETWEEN(8,12)/10</f>
        <v>3.96E-3</v>
      </c>
      <c r="Z75" s="4">
        <f ca="1">_Google_ads[[#This Row],[avg_cpc]]*RANDBETWEEN(8,12)/10</f>
        <v>0.32400000000000001</v>
      </c>
      <c r="AA75" s="4">
        <f ca="1">ROUND(_Google_ads[[#This Row],[quality_score]]*RANDBETWEEN(8,12)/10,0)</f>
        <v>8</v>
      </c>
      <c r="AB75" s="4">
        <f ca="1">_Google_ads[[#This Row],[search_impression_share]]*RANDBETWEEN(8,12)/10</f>
        <v>0.32</v>
      </c>
      <c r="AD75" s="3">
        <f t="shared" ca="1" si="11"/>
        <v>45060</v>
      </c>
      <c r="AE75" s="4" t="s">
        <v>112</v>
      </c>
      <c r="AF75" s="4" t="s">
        <v>113</v>
      </c>
      <c r="AG75" s="4" t="s">
        <v>114</v>
      </c>
      <c r="AH75" s="4" t="s">
        <v>115</v>
      </c>
      <c r="AI75" s="4">
        <f ca="1">ROUND(T_Tiktok_ads[[#This Row],[impressions]]*RANDBETWEEN(8,12)/10,0)</f>
        <v>404679</v>
      </c>
      <c r="AJ75" s="4">
        <f ca="1">ROUND(T_Tiktok_ads[[#This Row],[clicks]]*RANDBETWEEN(8,12)/10,0)</f>
        <v>4810</v>
      </c>
      <c r="AK75" s="4">
        <v>923.4</v>
      </c>
      <c r="AL75" s="4">
        <f ca="1">ROUND(T_Tiktok_ads[[#This Row],[conversions]]*RANDBETWEEN(8,12)/10,0)</f>
        <v>103</v>
      </c>
      <c r="AM75" s="4">
        <f ca="1">ROUND(T_Tiktok_ads[[#This Row],[video_views]]*RANDBETWEEN(8,12)/10,0)</f>
        <v>331357</v>
      </c>
      <c r="AN75" s="4">
        <f ca="1">ROUND(T_Tiktok_ads[[#This Row],[video_watch_25]]*RANDBETWEEN(8,12)/10,0)</f>
        <v>245678</v>
      </c>
      <c r="AO75" s="4">
        <f ca="1">ROUND(T_Tiktok_ads[[#This Row],[video_watch_50]]*RANDBETWEEN(8,12)/10,0)</f>
        <v>216468</v>
      </c>
      <c r="AP75" s="4">
        <f ca="1">ROUND(T_Tiktok_ads[[#This Row],[video_watch_75]]*RANDBETWEEN(8,12)/10,0)</f>
        <v>140234</v>
      </c>
      <c r="AQ75" s="4">
        <f ca="1">ROUND(T_Tiktok_ads[[#This Row],[video_watch_100]]*RANDBETWEEN(8,12)/10,0)</f>
        <v>112147</v>
      </c>
      <c r="AR75" s="4">
        <f ca="1">ROUND(T_Tiktok_ads[[#This Row],[likes]]*RANDBETWEEN(8,12)/10,0)</f>
        <v>12987</v>
      </c>
      <c r="AS75" s="4">
        <f ca="1">ROUND(T_Tiktok_ads[[#This Row],[shares]]*RANDBETWEEN(8,12)/10,0)</f>
        <v>5268</v>
      </c>
      <c r="AT75" s="4">
        <f ca="1">ROUND(T_Tiktok_ads[[#This Row],[comments]]*RANDBETWEEN(8,12)/10,0)</f>
        <v>1547</v>
      </c>
      <c r="AV75" s="5">
        <f t="shared" ca="1" si="12"/>
        <v>45062</v>
      </c>
      <c r="AW75">
        <f t="shared" ca="1" si="13"/>
        <v>2</v>
      </c>
      <c r="AX75">
        <f ca="1">ROUND(T_Facebook_Ads1159636771[[#This Row],[impressions]]*RANDBETWEEN(8,12)/10,0)</f>
        <v>44888</v>
      </c>
      <c r="AY75">
        <f ca="1">ROUND(T_Facebook_Ads1159636771[[#This Row],[clicks]]*RANDBETWEEN(8,12)/10,0)</f>
        <v>178</v>
      </c>
      <c r="AZ75">
        <f ca="1">T_Facebook_Ads1159636771[[#This Row],[spend]]*RANDBETWEEN(8,12)/10</f>
        <v>75.536999999999992</v>
      </c>
      <c r="BA75">
        <f ca="1">ROUND(T_Facebook_Ads1159636771[[#This Row],[conversions]]*RANDBETWEEN(8,12)/10,0)</f>
        <v>6</v>
      </c>
      <c r="BB75">
        <f ca="1">ROUND(T_Facebook_Ads1159636771[[#This Row],[video_views]]*RANDBETWEEN(8,12)/10,0)</f>
        <v>41234</v>
      </c>
    </row>
    <row r="76" spans="1:54" ht="15.75" thickBot="1" x14ac:dyDescent="0.3">
      <c r="A76" s="3">
        <f t="shared" ca="1" si="9"/>
        <v>45061</v>
      </c>
      <c r="B76" s="4" t="s">
        <v>52</v>
      </c>
      <c r="C76" s="4" t="s">
        <v>53</v>
      </c>
      <c r="D76" s="4" t="s">
        <v>54</v>
      </c>
      <c r="E76" s="4" t="s">
        <v>55</v>
      </c>
      <c r="F76" s="4">
        <f ca="1">ROUND(T_Facebook_Ads[[#This Row],[impressions]]*RANDBETWEEN(8,12)/10,0)</f>
        <v>54281</v>
      </c>
      <c r="G76" s="4">
        <v>912</v>
      </c>
      <c r="H76" s="4">
        <f ca="1">T_Facebook_Ads[[#This Row],[spend]]*RANDBETWEEN(8,12)/10</f>
        <v>129.80000000000001</v>
      </c>
      <c r="I76" s="4">
        <f ca="1">ROUND(T_Facebook_Ads[[#This Row],[conversions]]*RANDBETWEEN(8,12)/10,0)</f>
        <v>17</v>
      </c>
      <c r="J76" s="4">
        <f ca="1">ROUND(T_Facebook_Ads[[#This Row],[video_views]]*RANDBETWEEN(8,12)/10,0)</f>
        <v>6587</v>
      </c>
      <c r="K76" s="4">
        <f ca="1">T_Facebook_Ads[[#This Row],[engagement_rate]]*RANDBETWEEN(8,12)/10</f>
        <v>1.6160000000000001E-2</v>
      </c>
      <c r="L76" s="4">
        <f ca="1">ROUND(T_Facebook_Ads[[#This Row],[reach]]*RANDBETWEEN(8,12)/10,0)</f>
        <v>34710</v>
      </c>
      <c r="M76" s="4">
        <f ca="1">T_Facebook_Ads[[#This Row],[frequency]]*RANDBETWEEN(8,12)/10</f>
        <v>1.0529999999999999</v>
      </c>
      <c r="O76" s="3">
        <f t="shared" ca="1" si="10"/>
        <v>45055</v>
      </c>
      <c r="P76" s="4" t="s">
        <v>76</v>
      </c>
      <c r="Q76" s="4" t="s">
        <v>77</v>
      </c>
      <c r="R76" s="4" t="s">
        <v>78</v>
      </c>
      <c r="S76" s="4" t="s">
        <v>79</v>
      </c>
      <c r="T76" s="4">
        <f ca="1">ROUND(_Google_ads[[#This Row],[impressions]]*RANDBETWEEN(8,12)/10,0)</f>
        <v>29081</v>
      </c>
      <c r="U76" s="4">
        <f ca="1">ROUND(_Google_ads[[#This Row],[clicks]]*RANDBETWEEN(8,12)/10,0)</f>
        <v>1520</v>
      </c>
      <c r="V76" s="4">
        <f ca="1">_Google_ads[[#This Row],[cost]]*RANDBETWEEN(8,12)/10</f>
        <v>265.32</v>
      </c>
      <c r="W76" s="4">
        <f ca="1">ROUND(_Google_ads[[#This Row],[conversions]]*RANDBETWEEN(8,12)/10,0)</f>
        <v>56</v>
      </c>
      <c r="X76" s="4">
        <f ca="1">ROUND(_Google_ads[[#This Row],[conversion_value]]*RANDBETWEEN(8,12)/10,0)</f>
        <v>2820</v>
      </c>
      <c r="Y76" s="4">
        <f ca="1">_Google_ads[[#This Row],[ctr]]*RANDBETWEEN(8,12)/10</f>
        <v>4.7070000000000001E-2</v>
      </c>
      <c r="Z76" s="4">
        <f ca="1">_Google_ads[[#This Row],[avg_cpc]]*RANDBETWEEN(8,12)/10</f>
        <v>0.22800000000000004</v>
      </c>
      <c r="AA76" s="4">
        <f ca="1">ROUND(_Google_ads[[#This Row],[quality_score]]*RANDBETWEEN(8,12)/10,0)</f>
        <v>9</v>
      </c>
      <c r="AB76" s="4">
        <f ca="1">_Google_ads[[#This Row],[search_impression_share]]*RANDBETWEEN(8,12)/10</f>
        <v>1.0920000000000001</v>
      </c>
      <c r="AD76" s="3">
        <f t="shared" ca="1" si="11"/>
        <v>45067</v>
      </c>
      <c r="AE76" s="4" t="s">
        <v>100</v>
      </c>
      <c r="AF76" s="4" t="s">
        <v>101</v>
      </c>
      <c r="AG76" s="4" t="s">
        <v>102</v>
      </c>
      <c r="AH76" s="4" t="s">
        <v>103</v>
      </c>
      <c r="AI76" s="4">
        <f ca="1">ROUND(T_Tiktok_ads[[#This Row],[impressions]]*RANDBETWEEN(8,12)/10,0)</f>
        <v>214312</v>
      </c>
      <c r="AJ76" s="4">
        <f ca="1">ROUND(T_Tiktok_ads[[#This Row],[clicks]]*RANDBETWEEN(8,12)/10,0)</f>
        <v>3156</v>
      </c>
      <c r="AK76" s="4">
        <v>523.4</v>
      </c>
      <c r="AL76" s="4">
        <f ca="1">ROUND(T_Tiktok_ads[[#This Row],[conversions]]*RANDBETWEEN(8,12)/10,0)</f>
        <v>48</v>
      </c>
      <c r="AM76" s="4">
        <f ca="1">ROUND(T_Tiktok_ads[[#This Row],[video_views]]*RANDBETWEEN(8,12)/10,0)</f>
        <v>265481</v>
      </c>
      <c r="AN76" s="4">
        <f ca="1">ROUND(T_Tiktok_ads[[#This Row],[video_watch_25]]*RANDBETWEEN(8,12)/10,0)</f>
        <v>173456</v>
      </c>
      <c r="AO76" s="4">
        <f ca="1">ROUND(T_Tiktok_ads[[#This Row],[video_watch_50]]*RANDBETWEEN(8,12)/10,0)</f>
        <v>109234</v>
      </c>
      <c r="AP76" s="4">
        <f ca="1">ROUND(T_Tiktok_ads[[#This Row],[video_watch_75]]*RANDBETWEEN(8,12)/10,0)</f>
        <v>58854</v>
      </c>
      <c r="AQ76" s="4">
        <f ca="1">ROUND(T_Tiktok_ads[[#This Row],[video_watch_100]]*RANDBETWEEN(8,12)/10,0)</f>
        <v>59081</v>
      </c>
      <c r="AR76" s="4">
        <f ca="1">ROUND(T_Tiktok_ads[[#This Row],[likes]]*RANDBETWEEN(8,12)/10,0)</f>
        <v>10768</v>
      </c>
      <c r="AS76" s="4">
        <f ca="1">ROUND(T_Tiktok_ads[[#This Row],[shares]]*RANDBETWEEN(8,12)/10,0)</f>
        <v>2107</v>
      </c>
      <c r="AT76" s="4">
        <f ca="1">ROUND(T_Tiktok_ads[[#This Row],[comments]]*RANDBETWEEN(8,12)/10,0)</f>
        <v>685</v>
      </c>
      <c r="AV76" s="5">
        <f t="shared" ca="1" si="12"/>
        <v>45056</v>
      </c>
      <c r="AW76">
        <f t="shared" ca="1" si="13"/>
        <v>3</v>
      </c>
      <c r="AX76">
        <f ca="1">ROUND(T_Facebook_Ads1159636771[[#This Row],[impressions]]*RANDBETWEEN(8,12)/10,0)</f>
        <v>48853</v>
      </c>
      <c r="AY76">
        <f ca="1">ROUND(T_Facebook_Ads1159636771[[#This Row],[clicks]]*RANDBETWEEN(8,12)/10,0)</f>
        <v>1003</v>
      </c>
      <c r="AZ76">
        <f ca="1">T_Facebook_Ads1159636771[[#This Row],[spend]]*RANDBETWEEN(8,12)/10</f>
        <v>103.84</v>
      </c>
      <c r="BA76">
        <f ca="1">ROUND(T_Facebook_Ads1159636771[[#This Row],[conversions]]*RANDBETWEEN(8,12)/10,0)</f>
        <v>17</v>
      </c>
      <c r="BB76">
        <f ca="1">ROUND(T_Facebook_Ads1159636771[[#This Row],[video_views]]*RANDBETWEEN(8,12)/10,0)</f>
        <v>5928</v>
      </c>
    </row>
    <row r="77" spans="1:54" ht="15.75" thickBot="1" x14ac:dyDescent="0.3">
      <c r="A77" s="3">
        <f t="shared" ca="1" si="9"/>
        <v>45075</v>
      </c>
      <c r="B77" s="4" t="s">
        <v>56</v>
      </c>
      <c r="C77" s="4" t="s">
        <v>57</v>
      </c>
      <c r="D77" s="4" t="s">
        <v>58</v>
      </c>
      <c r="E77" s="4" t="s">
        <v>59</v>
      </c>
      <c r="F77" s="4">
        <f ca="1">ROUND(T_Facebook_Ads[[#This Row],[impressions]]*RANDBETWEEN(8,12)/10,0)</f>
        <v>11210</v>
      </c>
      <c r="G77" s="4">
        <v>567</v>
      </c>
      <c r="H77" s="4">
        <f ca="1">T_Facebook_Ads[[#This Row],[spend]]*RANDBETWEEN(8,12)/10</f>
        <v>167.68</v>
      </c>
      <c r="I77" s="4">
        <f ca="1">ROUND(T_Facebook_Ads[[#This Row],[conversions]]*RANDBETWEEN(8,12)/10,0)</f>
        <v>43</v>
      </c>
      <c r="J77" s="4">
        <f ca="1">ROUND(T_Facebook_Ads[[#This Row],[video_views]]*RANDBETWEEN(8,12)/10,0)</f>
        <v>1234</v>
      </c>
      <c r="K77" s="4">
        <f ca="1">T_Facebook_Ads[[#This Row],[engagement_rate]]*RANDBETWEEN(8,12)/10</f>
        <v>3.6400000000000002E-2</v>
      </c>
      <c r="L77" s="4">
        <f ca="1">ROUND(T_Facebook_Ads[[#This Row],[reach]]*RANDBETWEEN(8,12)/10,0)</f>
        <v>10864</v>
      </c>
      <c r="M77" s="4">
        <f ca="1">T_Facebook_Ads[[#This Row],[frequency]]*RANDBETWEEN(8,12)/10</f>
        <v>1.008</v>
      </c>
      <c r="O77" s="3">
        <f t="shared" ca="1" si="10"/>
        <v>45057</v>
      </c>
      <c r="P77" s="4" t="s">
        <v>80</v>
      </c>
      <c r="Q77" s="4" t="s">
        <v>81</v>
      </c>
      <c r="R77" s="4" t="s">
        <v>82</v>
      </c>
      <c r="S77" s="4" t="s">
        <v>83</v>
      </c>
      <c r="T77" s="4">
        <f ca="1">ROUND(_Google_ads[[#This Row],[impressions]]*RANDBETWEEN(8,12)/10,0)</f>
        <v>42890</v>
      </c>
      <c r="U77" s="4">
        <f ca="1">ROUND(_Google_ads[[#This Row],[clicks]]*RANDBETWEEN(8,12)/10,0)</f>
        <v>761</v>
      </c>
      <c r="V77" s="4">
        <f ca="1">_Google_ads[[#This Row],[cost]]*RANDBETWEEN(8,12)/10</f>
        <v>659.16</v>
      </c>
      <c r="W77" s="4">
        <f ca="1">ROUND(_Google_ads[[#This Row],[conversions]]*RANDBETWEEN(8,12)/10,0)</f>
        <v>20</v>
      </c>
      <c r="X77" s="4">
        <f ca="1">ROUND(_Google_ads[[#This Row],[conversion_value]]*RANDBETWEEN(8,12)/10,0)</f>
        <v>880</v>
      </c>
      <c r="Y77" s="4">
        <f ca="1">_Google_ads[[#This Row],[ctr]]*RANDBETWEEN(8,12)/10</f>
        <v>1.576E-2</v>
      </c>
      <c r="Z77" s="4">
        <f ca="1">_Google_ads[[#This Row],[avg_cpc]]*RANDBETWEEN(8,12)/10</f>
        <v>0.71500000000000008</v>
      </c>
      <c r="AA77" s="4">
        <f ca="1">ROUND(_Google_ads[[#This Row],[quality_score]]*RANDBETWEEN(8,12)/10,0)</f>
        <v>6</v>
      </c>
      <c r="AB77" s="4">
        <f ca="1">_Google_ads[[#This Row],[search_impression_share]]*RANDBETWEEN(8,12)/10</f>
        <v>0.35199999999999998</v>
      </c>
      <c r="AD77" s="3">
        <f t="shared" ca="1" si="11"/>
        <v>45056</v>
      </c>
      <c r="AE77" s="4" t="s">
        <v>104</v>
      </c>
      <c r="AF77" s="4" t="s">
        <v>105</v>
      </c>
      <c r="AG77" s="4" t="s">
        <v>106</v>
      </c>
      <c r="AH77" s="4" t="s">
        <v>107</v>
      </c>
      <c r="AI77" s="4">
        <f ca="1">ROUND(T_Tiktok_ads[[#This Row],[impressions]]*RANDBETWEEN(8,12)/10,0)</f>
        <v>178681</v>
      </c>
      <c r="AJ77" s="4">
        <f ca="1">ROUND(T_Tiktok_ads[[#This Row],[clicks]]*RANDBETWEEN(8,12)/10,0)</f>
        <v>2267</v>
      </c>
      <c r="AK77" s="4">
        <v>767.5</v>
      </c>
      <c r="AL77" s="4">
        <f ca="1">ROUND(T_Tiktok_ads[[#This Row],[conversions]]*RANDBETWEEN(8,12)/10,0)</f>
        <v>69</v>
      </c>
      <c r="AM77" s="4">
        <f ca="1">ROUND(T_Tiktok_ads[[#This Row],[video_views]]*RANDBETWEEN(8,12)/10,0)</f>
        <v>124147</v>
      </c>
      <c r="AN77" s="4">
        <f ca="1">ROUND(T_Tiktok_ads[[#This Row],[video_watch_25]]*RANDBETWEEN(8,12)/10,0)</f>
        <v>91481</v>
      </c>
      <c r="AO77" s="4">
        <f ca="1">ROUND(T_Tiktok_ads[[#This Row],[video_watch_50]]*RANDBETWEEN(8,12)/10,0)</f>
        <v>56357</v>
      </c>
      <c r="AP77" s="4">
        <f ca="1">ROUND(T_Tiktok_ads[[#This Row],[video_watch_75]]*RANDBETWEEN(8,12)/10,0)</f>
        <v>30854</v>
      </c>
      <c r="AQ77" s="4">
        <f ca="1">ROUND(T_Tiktok_ads[[#This Row],[video_watch_100]]*RANDBETWEEN(8,12)/10,0)</f>
        <v>25789</v>
      </c>
      <c r="AR77" s="4">
        <f ca="1">ROUND(T_Tiktok_ads[[#This Row],[likes]]*RANDBETWEEN(8,12)/10,0)</f>
        <v>5123</v>
      </c>
      <c r="AS77" s="4">
        <f ca="1">ROUND(T_Tiktok_ads[[#This Row],[shares]]*RANDBETWEEN(8,12)/10,0)</f>
        <v>1747</v>
      </c>
      <c r="AT77" s="4">
        <f ca="1">ROUND(T_Tiktok_ads[[#This Row],[comments]]*RANDBETWEEN(8,12)/10,0)</f>
        <v>222</v>
      </c>
      <c r="AV77" s="5">
        <f t="shared" ca="1" si="12"/>
        <v>45057</v>
      </c>
      <c r="AW77">
        <f t="shared" ca="1" si="13"/>
        <v>6</v>
      </c>
      <c r="AX77">
        <f ca="1">ROUND(T_Facebook_Ads1159636771[[#This Row],[impressions]]*RANDBETWEEN(8,12)/10,0)</f>
        <v>11210</v>
      </c>
      <c r="AY77">
        <f ca="1">ROUND(T_Facebook_Ads1159636771[[#This Row],[clicks]]*RANDBETWEEN(8,12)/10,0)</f>
        <v>510</v>
      </c>
      <c r="AZ77">
        <f ca="1">T_Facebook_Ads1159636771[[#This Row],[spend]]*RANDBETWEEN(8,12)/10</f>
        <v>134.14400000000001</v>
      </c>
      <c r="BA77">
        <f ca="1">ROUND(T_Facebook_Ads1159636771[[#This Row],[conversions]]*RANDBETWEEN(8,12)/10,0)</f>
        <v>52</v>
      </c>
      <c r="BB77">
        <f ca="1">ROUND(T_Facebook_Ads1159636771[[#This Row],[video_views]]*RANDBETWEEN(8,12)/10,0)</f>
        <v>1234</v>
      </c>
    </row>
    <row r="78" spans="1:54" ht="15.75" thickBot="1" x14ac:dyDescent="0.3">
      <c r="A78" s="3">
        <f t="shared" ca="1" si="9"/>
        <v>45051</v>
      </c>
      <c r="B78" s="4" t="s">
        <v>60</v>
      </c>
      <c r="C78" s="4" t="s">
        <v>61</v>
      </c>
      <c r="D78" s="4" t="s">
        <v>62</v>
      </c>
      <c r="E78" s="4" t="s">
        <v>63</v>
      </c>
      <c r="F78" s="4">
        <f ca="1">ROUND(T_Facebook_Ads[[#This Row],[impressions]]*RANDBETWEEN(8,12)/10,0)</f>
        <v>35123</v>
      </c>
      <c r="G78" s="4">
        <v>1267</v>
      </c>
      <c r="H78" s="4">
        <f ca="1">T_Facebook_Ads[[#This Row],[spend]]*RANDBETWEEN(8,12)/10</f>
        <v>175.05</v>
      </c>
      <c r="I78" s="4">
        <f ca="1">ROUND(T_Facebook_Ads[[#This Row],[conversions]]*RANDBETWEEN(8,12)/10,0)</f>
        <v>29</v>
      </c>
      <c r="J78" s="4">
        <f ca="1">ROUND(T_Facebook_Ads[[#This Row],[video_views]]*RANDBETWEEN(8,12)/10,0)</f>
        <v>3476</v>
      </c>
      <c r="K78" s="4">
        <f ca="1">T_Facebook_Ads[[#This Row],[engagement_rate]]*RANDBETWEEN(8,12)/10</f>
        <v>3.9710000000000002E-2</v>
      </c>
      <c r="L78" s="4">
        <f ca="1">ROUND(T_Facebook_Ads[[#This Row],[reach]]*RANDBETWEEN(8,12)/10,0)</f>
        <v>32035</v>
      </c>
      <c r="M78" s="4">
        <f ca="1">T_Facebook_Ads[[#This Row],[frequency]]*RANDBETWEEN(8,12)/10</f>
        <v>1.089</v>
      </c>
      <c r="O78" s="3">
        <f t="shared" ca="1" si="10"/>
        <v>45074</v>
      </c>
      <c r="P78" s="4" t="s">
        <v>84</v>
      </c>
      <c r="Q78" s="4" t="s">
        <v>85</v>
      </c>
      <c r="R78" s="4" t="s">
        <v>86</v>
      </c>
      <c r="S78" s="4" t="s">
        <v>87</v>
      </c>
      <c r="T78" s="4">
        <f ca="1">ROUND(_Google_ads[[#This Row],[impressions]]*RANDBETWEEN(8,12)/10,0)</f>
        <v>60110</v>
      </c>
      <c r="U78" s="4">
        <f ca="1">ROUND(_Google_ads[[#This Row],[clicks]]*RANDBETWEEN(8,12)/10,0)</f>
        <v>1778</v>
      </c>
      <c r="V78" s="4">
        <f ca="1">_Google_ads[[#This Row],[cost]]*RANDBETWEEN(8,12)/10</f>
        <v>367.11</v>
      </c>
      <c r="W78" s="4">
        <f ca="1">ROUND(_Google_ads[[#This Row],[conversions]]*RANDBETWEEN(8,12)/10,0)</f>
        <v>58</v>
      </c>
      <c r="X78" s="4">
        <f ca="1">ROUND(_Google_ads[[#This Row],[conversion_value]]*RANDBETWEEN(8,12)/10,0)</f>
        <v>2560</v>
      </c>
      <c r="Y78" s="4">
        <f ca="1">_Google_ads[[#This Row],[ctr]]*RANDBETWEEN(8,12)/10</f>
        <v>3.6630000000000003E-2</v>
      </c>
      <c r="Z78" s="4">
        <f ca="1">_Google_ads[[#This Row],[avg_cpc]]*RANDBETWEEN(8,12)/10</f>
        <v>0.19800000000000001</v>
      </c>
      <c r="AA78" s="4">
        <f ca="1">ROUND(_Google_ads[[#This Row],[quality_score]]*RANDBETWEEN(8,12)/10,0)</f>
        <v>9</v>
      </c>
      <c r="AB78" s="4">
        <f ca="1">_Google_ads[[#This Row],[search_impression_share]]*RANDBETWEEN(8,12)/10</f>
        <v>0.52800000000000002</v>
      </c>
      <c r="AD78" s="3">
        <f t="shared" ca="1" si="11"/>
        <v>45071</v>
      </c>
      <c r="AE78" s="4" t="s">
        <v>108</v>
      </c>
      <c r="AF78" s="4" t="s">
        <v>109</v>
      </c>
      <c r="AG78" s="4" t="s">
        <v>110</v>
      </c>
      <c r="AH78" s="4" t="s">
        <v>111</v>
      </c>
      <c r="AI78" s="4">
        <f ca="1">ROUND(T_Tiktok_ads[[#This Row],[impressions]]*RANDBETWEEN(8,12)/10,0)</f>
        <v>206011</v>
      </c>
      <c r="AJ78" s="4">
        <f ca="1">ROUND(T_Tiktok_ads[[#This Row],[clicks]]*RANDBETWEEN(8,12)/10,0)</f>
        <v>3634</v>
      </c>
      <c r="AK78" s="4">
        <v>441.9</v>
      </c>
      <c r="AL78" s="4">
        <f ca="1">ROUND(T_Tiktok_ads[[#This Row],[conversions]]*RANDBETWEEN(8,12)/10,0)</f>
        <v>25</v>
      </c>
      <c r="AM78" s="4">
        <f ca="1">ROUND(T_Tiktok_ads[[#This Row],[video_views]]*RANDBETWEEN(8,12)/10,0)</f>
        <v>182345</v>
      </c>
      <c r="AN78" s="4">
        <f ca="1">ROUND(T_Tiktok_ads[[#This Row],[video_watch_25]]*RANDBETWEEN(8,12)/10,0)</f>
        <v>110312</v>
      </c>
      <c r="AO78" s="4">
        <f ca="1">ROUND(T_Tiktok_ads[[#This Row],[video_watch_50]]*RANDBETWEEN(8,12)/10,0)</f>
        <v>130681</v>
      </c>
      <c r="AP78" s="4">
        <f ca="1">ROUND(T_Tiktok_ads[[#This Row],[video_watch_75]]*RANDBETWEEN(8,12)/10,0)</f>
        <v>77624</v>
      </c>
      <c r="AQ78" s="4">
        <f ca="1">ROUND(T_Tiktok_ads[[#This Row],[video_watch_100]]*RANDBETWEEN(8,12)/10,0)</f>
        <v>34231</v>
      </c>
      <c r="AR78" s="4">
        <f ca="1">ROUND(T_Tiktok_ads[[#This Row],[likes]]*RANDBETWEEN(8,12)/10,0)</f>
        <v>9302</v>
      </c>
      <c r="AS78" s="4">
        <f ca="1">ROUND(T_Tiktok_ads[[#This Row],[shares]]*RANDBETWEEN(8,12)/10,0)</f>
        <v>1841</v>
      </c>
      <c r="AT78" s="4">
        <f ca="1">ROUND(T_Tiktok_ads[[#This Row],[comments]]*RANDBETWEEN(8,12)/10,0)</f>
        <v>491</v>
      </c>
      <c r="AV78" s="5">
        <f t="shared" ca="1" si="12"/>
        <v>45065</v>
      </c>
      <c r="AW78">
        <f t="shared" ca="1" si="13"/>
        <v>5</v>
      </c>
      <c r="AX78">
        <f ca="1">ROUND(T_Facebook_Ads1159636771[[#This Row],[impressions]]*RANDBETWEEN(8,12)/10,0)</f>
        <v>38635</v>
      </c>
      <c r="AY78">
        <f ca="1">ROUND(T_Facebook_Ads1159636771[[#This Row],[clicks]]*RANDBETWEEN(8,12)/10,0)</f>
        <v>1394</v>
      </c>
      <c r="AZ78">
        <f ca="1">T_Facebook_Ads1159636771[[#This Row],[spend]]*RANDBETWEEN(8,12)/10</f>
        <v>210.06000000000003</v>
      </c>
      <c r="BA78">
        <f ca="1">ROUND(T_Facebook_Ads1159636771[[#This Row],[conversions]]*RANDBETWEEN(8,12)/10,0)</f>
        <v>23</v>
      </c>
      <c r="BB78">
        <f ca="1">ROUND(T_Facebook_Ads1159636771[[#This Row],[video_views]]*RANDBETWEEN(8,12)/10,0)</f>
        <v>3824</v>
      </c>
    </row>
    <row r="79" spans="1:54" ht="15.75" thickBot="1" x14ac:dyDescent="0.3">
      <c r="A79" s="3">
        <f t="shared" ca="1" si="9"/>
        <v>45077</v>
      </c>
      <c r="B79" s="4" t="s">
        <v>64</v>
      </c>
      <c r="C79" s="4" t="s">
        <v>65</v>
      </c>
      <c r="D79" s="4" t="s">
        <v>66</v>
      </c>
      <c r="E79" s="4" t="s">
        <v>67</v>
      </c>
      <c r="F79" s="4">
        <f ca="1">ROUND(T_Facebook_Ads[[#This Row],[impressions]]*RANDBETWEEN(8,12)/10,0)</f>
        <v>73468</v>
      </c>
      <c r="G79" s="4">
        <v>245</v>
      </c>
      <c r="H79" s="4">
        <f ca="1">T_Facebook_Ads[[#This Row],[spend]]*RANDBETWEEN(8,12)/10</f>
        <v>76.23</v>
      </c>
      <c r="I79" s="4">
        <f ca="1">ROUND(T_Facebook_Ads[[#This Row],[conversions]]*RANDBETWEEN(8,12)/10,0)</f>
        <v>5</v>
      </c>
      <c r="J79" s="4">
        <f ca="1">ROUND(T_Facebook_Ads[[#This Row],[video_views]]*RANDBETWEEN(8,12)/10,0)</f>
        <v>53480</v>
      </c>
      <c r="K79" s="4">
        <f ca="1">T_Facebook_Ads[[#This Row],[engagement_rate]]*RANDBETWEEN(8,12)/10</f>
        <v>3.3300000000000005E-3</v>
      </c>
      <c r="L79" s="4">
        <f ca="1">ROUND(T_Facebook_Ads[[#This Row],[reach]]*RANDBETWEEN(8,12)/10,0)</f>
        <v>43912</v>
      </c>
      <c r="M79" s="4">
        <f ca="1">T_Facebook_Ads[[#This Row],[frequency]]*RANDBETWEEN(8,12)/10</f>
        <v>1.22</v>
      </c>
      <c r="O79" s="3">
        <f t="shared" ca="1" si="10"/>
        <v>45075</v>
      </c>
      <c r="P79" s="4" t="s">
        <v>88</v>
      </c>
      <c r="Q79" s="4" t="s">
        <v>89</v>
      </c>
      <c r="R79" s="4" t="s">
        <v>90</v>
      </c>
      <c r="S79" s="4" t="s">
        <v>59</v>
      </c>
      <c r="T79" s="4">
        <f ca="1">ROUND(_Google_ads[[#This Row],[impressions]]*RANDBETWEEN(8,12)/10,0)</f>
        <v>153468</v>
      </c>
      <c r="U79" s="4">
        <f ca="1">ROUND(_Google_ads[[#This Row],[clicks]]*RANDBETWEEN(8,12)/10,0)</f>
        <v>410</v>
      </c>
      <c r="V79" s="4">
        <f ca="1">_Google_ads[[#This Row],[cost]]*RANDBETWEEN(8,12)/10</f>
        <v>100.47999999999999</v>
      </c>
      <c r="W79" s="4">
        <f ca="1">ROUND(_Google_ads[[#This Row],[conversions]]*RANDBETWEEN(8,12)/10,0)</f>
        <v>13</v>
      </c>
      <c r="X79" s="4">
        <f ca="1">ROUND(_Google_ads[[#This Row],[conversion_value]]*RANDBETWEEN(8,12)/10,0)</f>
        <v>520</v>
      </c>
      <c r="Y79" s="4">
        <f ca="1">_Google_ads[[#This Row],[ctr]]*RANDBETWEEN(8,12)/10</f>
        <v>2.8799999999999997E-3</v>
      </c>
      <c r="Z79" s="4">
        <f ca="1">_Google_ads[[#This Row],[avg_cpc]]*RANDBETWEEN(8,12)/10</f>
        <v>0.33600000000000002</v>
      </c>
      <c r="AA79" s="4">
        <f ca="1">ROUND(_Google_ads[[#This Row],[quality_score]]*RANDBETWEEN(8,12)/10,0)</f>
        <v>8</v>
      </c>
      <c r="AB79" s="4">
        <f ca="1">_Google_ads[[#This Row],[search_impression_share]]*RANDBETWEEN(8,12)/10</f>
        <v>0.40800000000000003</v>
      </c>
      <c r="AD79" s="3">
        <f t="shared" ca="1" si="11"/>
        <v>45048</v>
      </c>
      <c r="AE79" s="4" t="s">
        <v>112</v>
      </c>
      <c r="AF79" s="4" t="s">
        <v>113</v>
      </c>
      <c r="AG79" s="4" t="s">
        <v>114</v>
      </c>
      <c r="AH79" s="4" t="s">
        <v>115</v>
      </c>
      <c r="AI79" s="4">
        <f ca="1">ROUND(T_Tiktok_ads[[#This Row],[impressions]]*RANDBETWEEN(8,12)/10,0)</f>
        <v>398567</v>
      </c>
      <c r="AJ79" s="4">
        <f ca="1">ROUND(T_Tiktok_ads[[#This Row],[clicks]]*RANDBETWEEN(8,12)/10,0)</f>
        <v>7841</v>
      </c>
      <c r="AK79" s="4">
        <v>998.7</v>
      </c>
      <c r="AL79" s="4">
        <f ca="1">ROUND(T_Tiktok_ads[[#This Row],[conversions]]*RANDBETWEEN(8,12)/10,0)</f>
        <v>108</v>
      </c>
      <c r="AM79" s="4">
        <f ca="1">ROUND(T_Tiktok_ads[[#This Row],[video_views]]*RANDBETWEEN(8,12)/10,0)</f>
        <v>332345</v>
      </c>
      <c r="AN79" s="4">
        <f ca="1">ROUND(T_Tiktok_ads[[#This Row],[video_watch_25]]*RANDBETWEEN(8,12)/10,0)</f>
        <v>294679</v>
      </c>
      <c r="AO79" s="4">
        <f ca="1">ROUND(T_Tiktok_ads[[#This Row],[video_watch_50]]*RANDBETWEEN(8,12)/10,0)</f>
        <v>236024</v>
      </c>
      <c r="AP79" s="4">
        <f ca="1">ROUND(T_Tiktok_ads[[#This Row],[video_watch_75]]*RANDBETWEEN(8,12)/10,0)</f>
        <v>136111</v>
      </c>
      <c r="AQ79" s="4">
        <f ca="1">ROUND(T_Tiktok_ads[[#This Row],[video_watch_100]]*RANDBETWEEN(8,12)/10,0)</f>
        <v>119480</v>
      </c>
      <c r="AR79" s="4">
        <f ca="1">ROUND(T_Tiktok_ads[[#This Row],[likes]]*RANDBETWEEN(8,12)/10,0)</f>
        <v>17756</v>
      </c>
      <c r="AS79" s="4">
        <f ca="1">ROUND(T_Tiktok_ads[[#This Row],[shares]]*RANDBETWEEN(8,12)/10,0)</f>
        <v>6014</v>
      </c>
      <c r="AT79" s="4">
        <f ca="1">ROUND(T_Tiktok_ads[[#This Row],[comments]]*RANDBETWEEN(8,12)/10,0)</f>
        <v>1111</v>
      </c>
      <c r="AV79" s="5">
        <f t="shared" ca="1" si="12"/>
        <v>45067</v>
      </c>
      <c r="AW79">
        <f t="shared" ca="1" si="13"/>
        <v>4</v>
      </c>
      <c r="AX79">
        <f ca="1">ROUND(T_Facebook_Ads1159636771[[#This Row],[impressions]]*RANDBETWEEN(8,12)/10,0)</f>
        <v>73468</v>
      </c>
      <c r="AY79">
        <f ca="1">ROUND(T_Facebook_Ads1159636771[[#This Row],[clicks]]*RANDBETWEEN(8,12)/10,0)</f>
        <v>245</v>
      </c>
      <c r="AZ79">
        <f ca="1">T_Facebook_Ads1159636771[[#This Row],[spend]]*RANDBETWEEN(8,12)/10</f>
        <v>83.853000000000009</v>
      </c>
      <c r="BA79">
        <f ca="1">ROUND(T_Facebook_Ads1159636771[[#This Row],[conversions]]*RANDBETWEEN(8,12)/10,0)</f>
        <v>5</v>
      </c>
      <c r="BB79">
        <f ca="1">ROUND(T_Facebook_Ads1159636771[[#This Row],[video_views]]*RANDBETWEEN(8,12)/10,0)</f>
        <v>42784</v>
      </c>
    </row>
    <row r="80" spans="1:54" ht="15.75" thickBot="1" x14ac:dyDescent="0.3">
      <c r="A80" s="3">
        <f t="shared" ca="1" si="9"/>
        <v>45059</v>
      </c>
      <c r="B80" s="4" t="s">
        <v>52</v>
      </c>
      <c r="C80" s="4" t="s">
        <v>53</v>
      </c>
      <c r="D80" s="4" t="s">
        <v>54</v>
      </c>
      <c r="E80" s="4" t="s">
        <v>55</v>
      </c>
      <c r="F80" s="4">
        <f ca="1">ROUND(T_Facebook_Ads[[#This Row],[impressions]]*RANDBETWEEN(8,12)/10,0)</f>
        <v>58280</v>
      </c>
      <c r="G80" s="4">
        <v>989</v>
      </c>
      <c r="H80" s="4">
        <f ca="1">T_Facebook_Ads[[#This Row],[spend]]*RANDBETWEEN(8,12)/10</f>
        <v>126.27000000000001</v>
      </c>
      <c r="I80" s="4">
        <f ca="1">ROUND(T_Facebook_Ads[[#This Row],[conversions]]*RANDBETWEEN(8,12)/10,0)</f>
        <v>17</v>
      </c>
      <c r="J80" s="4">
        <f ca="1">ROUND(T_Facebook_Ads[[#This Row],[video_views]]*RANDBETWEEN(8,12)/10,0)</f>
        <v>7156</v>
      </c>
      <c r="K80" s="4">
        <f ca="1">T_Facebook_Ads[[#This Row],[engagement_rate]]*RANDBETWEEN(8,12)/10</f>
        <v>2.4480000000000002E-2</v>
      </c>
      <c r="L80" s="4">
        <f ca="1">ROUND(T_Facebook_Ads[[#This Row],[reach]]*RANDBETWEEN(8,12)/10,0)</f>
        <v>40456</v>
      </c>
      <c r="M80" s="4">
        <f ca="1">T_Facebook_Ads[[#This Row],[frequency]]*RANDBETWEEN(8,12)/10</f>
        <v>1.0799999999999998</v>
      </c>
      <c r="O80" s="3">
        <f t="shared" ca="1" si="10"/>
        <v>45067</v>
      </c>
      <c r="P80" s="4" t="s">
        <v>76</v>
      </c>
      <c r="Q80" s="4" t="s">
        <v>77</v>
      </c>
      <c r="R80" s="4" t="s">
        <v>78</v>
      </c>
      <c r="S80" s="4" t="s">
        <v>79</v>
      </c>
      <c r="T80" s="4">
        <f ca="1">ROUND(_Google_ads[[#This Row],[impressions]]*RANDBETWEEN(8,12)/10,0)</f>
        <v>25678</v>
      </c>
      <c r="U80" s="4">
        <f ca="1">ROUND(_Google_ads[[#This Row],[clicks]]*RANDBETWEEN(8,12)/10,0)</f>
        <v>1356</v>
      </c>
      <c r="V80" s="4">
        <f ca="1">_Google_ads[[#This Row],[cost]]*RANDBETWEEN(8,12)/10</f>
        <v>285.33999999999997</v>
      </c>
      <c r="W80" s="4">
        <f ca="1">ROUND(_Google_ads[[#This Row],[conversions]]*RANDBETWEEN(8,12)/10,0)</f>
        <v>41</v>
      </c>
      <c r="X80" s="4">
        <f ca="1">ROUND(_Google_ads[[#This Row],[conversion_value]]*RANDBETWEEN(8,12)/10,0)</f>
        <v>3060</v>
      </c>
      <c r="Y80" s="4">
        <f ca="1">_Google_ads[[#This Row],[ctr]]*RANDBETWEEN(8,12)/10</f>
        <v>4.752E-2</v>
      </c>
      <c r="Z80" s="4">
        <f ca="1">_Google_ads[[#This Row],[avg_cpc]]*RANDBETWEEN(8,12)/10</f>
        <v>0.19</v>
      </c>
      <c r="AA80" s="4">
        <f ca="1">ROUND(_Google_ads[[#This Row],[quality_score]]*RANDBETWEEN(8,12)/10,0)</f>
        <v>10</v>
      </c>
      <c r="AB80" s="4">
        <f ca="1">_Google_ads[[#This Row],[search_impression_share]]*RANDBETWEEN(8,12)/10</f>
        <v>0.82800000000000007</v>
      </c>
      <c r="AD80" s="3">
        <f t="shared" ca="1" si="11"/>
        <v>45052</v>
      </c>
      <c r="AE80" s="4" t="s">
        <v>100</v>
      </c>
      <c r="AF80" s="4" t="s">
        <v>101</v>
      </c>
      <c r="AG80" s="4" t="s">
        <v>102</v>
      </c>
      <c r="AH80" s="4" t="s">
        <v>103</v>
      </c>
      <c r="AI80" s="4">
        <f ca="1">ROUND(T_Tiktok_ads[[#This Row],[impressions]]*RANDBETWEEN(8,12)/10,0)</f>
        <v>317913</v>
      </c>
      <c r="AJ80" s="4">
        <f ca="1">ROUND(T_Tiktok_ads[[#This Row],[clicks]]*RANDBETWEEN(8,12)/10,0)</f>
        <v>4234</v>
      </c>
      <c r="AK80" s="4">
        <v>556.70000000000005</v>
      </c>
      <c r="AL80" s="4">
        <f ca="1">ROUND(T_Tiktok_ads[[#This Row],[conversions]]*RANDBETWEEN(8,12)/10,0)</f>
        <v>52</v>
      </c>
      <c r="AM80" s="4">
        <f ca="1">ROUND(T_Tiktok_ads[[#This Row],[video_views]]*RANDBETWEEN(8,12)/10,0)</f>
        <v>187654</v>
      </c>
      <c r="AN80" s="4">
        <f ca="1">ROUND(T_Tiktok_ads[[#This Row],[video_watch_25]]*RANDBETWEEN(8,12)/10,0)</f>
        <v>164111</v>
      </c>
      <c r="AO80" s="4">
        <f ca="1">ROUND(T_Tiktok_ads[[#This Row],[video_watch_50]]*RANDBETWEEN(8,12)/10,0)</f>
        <v>103110</v>
      </c>
      <c r="AP80" s="4">
        <f ca="1">ROUND(T_Tiktok_ads[[#This Row],[video_watch_75]]*RANDBETWEEN(8,12)/10,0)</f>
        <v>61787</v>
      </c>
      <c r="AQ80" s="4">
        <f ca="1">ROUND(T_Tiktok_ads[[#This Row],[video_watch_100]]*RANDBETWEEN(8,12)/10,0)</f>
        <v>61481</v>
      </c>
      <c r="AR80" s="4">
        <f ca="1">ROUND(T_Tiktok_ads[[#This Row],[likes]]*RANDBETWEEN(8,12)/10,0)</f>
        <v>11380</v>
      </c>
      <c r="AS80" s="4">
        <f ca="1">ROUND(T_Tiktok_ads[[#This Row],[shares]]*RANDBETWEEN(8,12)/10,0)</f>
        <v>2510</v>
      </c>
      <c r="AT80" s="4">
        <f ca="1">ROUND(T_Tiktok_ads[[#This Row],[comments]]*RANDBETWEEN(8,12)/10,0)</f>
        <v>590</v>
      </c>
      <c r="AV80" s="5">
        <f t="shared" ca="1" si="12"/>
        <v>45047</v>
      </c>
      <c r="AW80">
        <f t="shared" ca="1" si="13"/>
        <v>3</v>
      </c>
      <c r="AX80">
        <f ca="1">ROUND(T_Facebook_Ads1159636771[[#This Row],[impressions]]*RANDBETWEEN(8,12)/10,0)</f>
        <v>46624</v>
      </c>
      <c r="AY80">
        <f ca="1">ROUND(T_Facebook_Ads1159636771[[#This Row],[clicks]]*RANDBETWEEN(8,12)/10,0)</f>
        <v>1088</v>
      </c>
      <c r="AZ80">
        <f ca="1">T_Facebook_Ads1159636771[[#This Row],[spend]]*RANDBETWEEN(8,12)/10</f>
        <v>138.89699999999999</v>
      </c>
      <c r="BA80">
        <f ca="1">ROUND(T_Facebook_Ads1159636771[[#This Row],[conversions]]*RANDBETWEEN(8,12)/10,0)</f>
        <v>19</v>
      </c>
      <c r="BB80">
        <f ca="1">ROUND(T_Facebook_Ads1159636771[[#This Row],[video_views]]*RANDBETWEEN(8,12)/10,0)</f>
        <v>7872</v>
      </c>
    </row>
    <row r="81" spans="1:54" ht="15.75" thickBot="1" x14ac:dyDescent="0.3">
      <c r="A81" s="3">
        <f t="shared" ca="1" si="9"/>
        <v>45073</v>
      </c>
      <c r="B81" s="4" t="s">
        <v>56</v>
      </c>
      <c r="C81" s="4" t="s">
        <v>57</v>
      </c>
      <c r="D81" s="4" t="s">
        <v>58</v>
      </c>
      <c r="E81" s="4" t="s">
        <v>59</v>
      </c>
      <c r="F81" s="4">
        <f ca="1">ROUND(T_Facebook_Ads[[#This Row],[impressions]]*RANDBETWEEN(8,12)/10,0)</f>
        <v>15168</v>
      </c>
      <c r="G81" s="4">
        <v>623</v>
      </c>
      <c r="H81" s="4">
        <f ca="1">T_Facebook_Ads[[#This Row],[spend]]*RANDBETWEEN(8,12)/10</f>
        <v>183.84</v>
      </c>
      <c r="I81" s="4">
        <f ca="1">ROUND(T_Facebook_Ads[[#This Row],[conversions]]*RANDBETWEEN(8,12)/10,0)</f>
        <v>42</v>
      </c>
      <c r="J81" s="4">
        <f ca="1">ROUND(T_Facebook_Ads[[#This Row],[video_views]]*RANDBETWEEN(8,12)/10,0)</f>
        <v>1191</v>
      </c>
      <c r="K81" s="4">
        <f ca="1">T_Facebook_Ads[[#This Row],[engagement_rate]]*RANDBETWEEN(8,12)/10</f>
        <v>5.4239999999999997E-2</v>
      </c>
      <c r="L81" s="4">
        <f ca="1">ROUND(T_Facebook_Ads[[#This Row],[reach]]*RANDBETWEEN(8,12)/10,0)</f>
        <v>8631</v>
      </c>
      <c r="M81" s="4">
        <f ca="1">T_Facebook_Ads[[#This Row],[frequency]]*RANDBETWEEN(8,12)/10</f>
        <v>1.28</v>
      </c>
      <c r="O81" s="3">
        <f t="shared" ca="1" si="10"/>
        <v>45050</v>
      </c>
      <c r="P81" s="4" t="s">
        <v>80</v>
      </c>
      <c r="Q81" s="4" t="s">
        <v>81</v>
      </c>
      <c r="R81" s="4" t="s">
        <v>82</v>
      </c>
      <c r="S81" s="4" t="s">
        <v>83</v>
      </c>
      <c r="T81" s="4">
        <f ca="1">ROUND(_Google_ads[[#This Row],[impressions]]*RANDBETWEEN(8,12)/10,0)</f>
        <v>49635</v>
      </c>
      <c r="U81" s="4">
        <f ca="1">ROUND(_Google_ads[[#This Row],[clicks]]*RANDBETWEEN(8,12)/10,0)</f>
        <v>821</v>
      </c>
      <c r="V81" s="4">
        <f ca="1">_Google_ads[[#This Row],[cost]]*RANDBETWEEN(8,12)/10</f>
        <v>462.23999999999995</v>
      </c>
      <c r="W81" s="4">
        <f ca="1">ROUND(_Google_ads[[#This Row],[conversions]]*RANDBETWEEN(8,12)/10,0)</f>
        <v>24</v>
      </c>
      <c r="X81" s="4">
        <f ca="1">ROUND(_Google_ads[[#This Row],[conversion_value]]*RANDBETWEEN(8,12)/10,0)</f>
        <v>1200</v>
      </c>
      <c r="Y81" s="4">
        <f ca="1">_Google_ads[[#This Row],[ctr]]*RANDBETWEEN(8,12)/10</f>
        <v>2.4240000000000001E-2</v>
      </c>
      <c r="Z81" s="4">
        <f ca="1">_Google_ads[[#This Row],[avg_cpc]]*RANDBETWEEN(8,12)/10</f>
        <v>0.69299999999999995</v>
      </c>
      <c r="AA81" s="4">
        <f ca="1">ROUND(_Google_ads[[#This Row],[quality_score]]*RANDBETWEEN(8,12)/10,0)</f>
        <v>8</v>
      </c>
      <c r="AB81" s="4">
        <f ca="1">_Google_ads[[#This Row],[search_impression_share]]*RANDBETWEEN(8,12)/10</f>
        <v>0.40499999999999997</v>
      </c>
      <c r="AD81" s="3">
        <f t="shared" ca="1" si="11"/>
        <v>45069</v>
      </c>
      <c r="AE81" s="4" t="s">
        <v>104</v>
      </c>
      <c r="AF81" s="4" t="s">
        <v>105</v>
      </c>
      <c r="AG81" s="4" t="s">
        <v>106</v>
      </c>
      <c r="AH81" s="4" t="s">
        <v>107</v>
      </c>
      <c r="AI81" s="4">
        <f ca="1">ROUND(T_Tiktok_ads[[#This Row],[impressions]]*RANDBETWEEN(8,12)/10,0)</f>
        <v>172468</v>
      </c>
      <c r="AJ81" s="4">
        <f ca="1">ROUND(T_Tiktok_ads[[#This Row],[clicks]]*RANDBETWEEN(8,12)/10,0)</f>
        <v>3313</v>
      </c>
      <c r="AK81" s="4">
        <v>812.3</v>
      </c>
      <c r="AL81" s="4">
        <f ca="1">ROUND(T_Tiktok_ads[[#This Row],[conversions]]*RANDBETWEEN(8,12)/10,0)</f>
        <v>74</v>
      </c>
      <c r="AM81" s="4">
        <f ca="1">ROUND(T_Tiktok_ads[[#This Row],[video_views]]*RANDBETWEEN(8,12)/10,0)</f>
        <v>98888</v>
      </c>
      <c r="AN81" s="4">
        <f ca="1">ROUND(T_Tiktok_ads[[#This Row],[video_watch_25]]*RANDBETWEEN(8,12)/10,0)</f>
        <v>97481</v>
      </c>
      <c r="AO81" s="4">
        <f ca="1">ROUND(T_Tiktok_ads[[#This Row],[video_watch_50]]*RANDBETWEEN(8,12)/10,0)</f>
        <v>49210</v>
      </c>
      <c r="AP81" s="4">
        <f ca="1">ROUND(T_Tiktok_ads[[#This Row],[video_watch_75]]*RANDBETWEEN(8,12)/10,0)</f>
        <v>45357</v>
      </c>
      <c r="AQ81" s="4">
        <f ca="1">ROUND(T_Tiktok_ads[[#This Row],[video_watch_100]]*RANDBETWEEN(8,12)/10,0)</f>
        <v>27567</v>
      </c>
      <c r="AR81" s="4">
        <f ca="1">ROUND(T_Tiktok_ads[[#This Row],[likes]]*RANDBETWEEN(8,12)/10,0)</f>
        <v>4365</v>
      </c>
      <c r="AS81" s="4">
        <f ca="1">ROUND(T_Tiktok_ads[[#This Row],[shares]]*RANDBETWEEN(8,12)/10,0)</f>
        <v>1880</v>
      </c>
      <c r="AT81" s="4">
        <f ca="1">ROUND(T_Tiktok_ads[[#This Row],[comments]]*RANDBETWEEN(8,12)/10,0)</f>
        <v>231</v>
      </c>
      <c r="AV81" s="5">
        <f t="shared" ca="1" si="12"/>
        <v>45077</v>
      </c>
      <c r="AW81">
        <f t="shared" ca="1" si="13"/>
        <v>5</v>
      </c>
      <c r="AX81">
        <f ca="1">ROUND(T_Facebook_Ads1159636771[[#This Row],[impressions]]*RANDBETWEEN(8,12)/10,0)</f>
        <v>13651</v>
      </c>
      <c r="AY81">
        <f ca="1">ROUND(T_Facebook_Ads1159636771[[#This Row],[clicks]]*RANDBETWEEN(8,12)/10,0)</f>
        <v>561</v>
      </c>
      <c r="AZ81">
        <f ca="1">T_Facebook_Ads1159636771[[#This Row],[spend]]*RANDBETWEEN(8,12)/10</f>
        <v>202.22399999999999</v>
      </c>
      <c r="BA81">
        <f ca="1">ROUND(T_Facebook_Ads1159636771[[#This Row],[conversions]]*RANDBETWEEN(8,12)/10,0)</f>
        <v>38</v>
      </c>
      <c r="BB81">
        <f ca="1">ROUND(T_Facebook_Ads1159636771[[#This Row],[video_views]]*RANDBETWEEN(8,12)/10,0)</f>
        <v>1429</v>
      </c>
    </row>
    <row r="82" spans="1:54" ht="15.75" thickBot="1" x14ac:dyDescent="0.3">
      <c r="A82" s="3">
        <f t="shared" ca="1" si="9"/>
        <v>45052</v>
      </c>
      <c r="B82" s="4" t="s">
        <v>60</v>
      </c>
      <c r="C82" s="4" t="s">
        <v>61</v>
      </c>
      <c r="D82" s="4" t="s">
        <v>62</v>
      </c>
      <c r="E82" s="4" t="s">
        <v>63</v>
      </c>
      <c r="F82" s="4">
        <f ca="1">ROUND(T_Facebook_Ads[[#This Row],[impressions]]*RANDBETWEEN(8,12)/10,0)</f>
        <v>37456</v>
      </c>
      <c r="G82" s="4">
        <v>1389</v>
      </c>
      <c r="H82" s="4">
        <f ca="1">T_Facebook_Ads[[#This Row],[spend]]*RANDBETWEEN(8,12)/10</f>
        <v>234.74</v>
      </c>
      <c r="I82" s="4">
        <f ca="1">ROUND(T_Facebook_Ads[[#This Row],[conversions]]*RANDBETWEEN(8,12)/10,0)</f>
        <v>29</v>
      </c>
      <c r="J82" s="4">
        <f ca="1">ROUND(T_Facebook_Ads[[#This Row],[video_views]]*RANDBETWEEN(8,12)/10,0)</f>
        <v>4401</v>
      </c>
      <c r="K82" s="4">
        <f ca="1">T_Facebook_Ads[[#This Row],[engagement_rate]]*RANDBETWEEN(8,12)/10</f>
        <v>2.9680000000000002E-2</v>
      </c>
      <c r="L82" s="4">
        <f ca="1">ROUND(T_Facebook_Ads[[#This Row],[reach]]*RANDBETWEEN(8,12)/10,0)</f>
        <v>30567</v>
      </c>
      <c r="M82" s="4">
        <f ca="1">T_Facebook_Ads[[#This Row],[frequency]]*RANDBETWEEN(8,12)/10</f>
        <v>1.3420000000000001</v>
      </c>
      <c r="O82" s="3">
        <f t="shared" ca="1" si="10"/>
        <v>45071</v>
      </c>
      <c r="P82" s="4" t="s">
        <v>84</v>
      </c>
      <c r="Q82" s="4" t="s">
        <v>85</v>
      </c>
      <c r="R82" s="4" t="s">
        <v>86</v>
      </c>
      <c r="S82" s="4" t="s">
        <v>87</v>
      </c>
      <c r="T82" s="4">
        <f ca="1">ROUND(_Google_ads[[#This Row],[impressions]]*RANDBETWEEN(8,12)/10,0)</f>
        <v>63211</v>
      </c>
      <c r="U82" s="4">
        <f ca="1">ROUND(_Google_ads[[#This Row],[clicks]]*RANDBETWEEN(8,12)/10,0)</f>
        <v>2867</v>
      </c>
      <c r="V82" s="4">
        <f ca="1">_Google_ads[[#This Row],[cost]]*RANDBETWEEN(8,12)/10</f>
        <v>519.12000000000012</v>
      </c>
      <c r="W82" s="4">
        <f ca="1">ROUND(_Google_ads[[#This Row],[conversions]]*RANDBETWEEN(8,12)/10,0)</f>
        <v>76</v>
      </c>
      <c r="X82" s="4">
        <f ca="1">ROUND(_Google_ads[[#This Row],[conversion_value]]*RANDBETWEEN(8,12)/10,0)</f>
        <v>2760</v>
      </c>
      <c r="Y82" s="4">
        <f ca="1">_Google_ads[[#This Row],[ctr]]*RANDBETWEEN(8,12)/10</f>
        <v>4.0800000000000003E-2</v>
      </c>
      <c r="Z82" s="4">
        <f ca="1">_Google_ads[[#This Row],[avg_cpc]]*RANDBETWEEN(8,12)/10</f>
        <v>0.14399999999999999</v>
      </c>
      <c r="AA82" s="4">
        <f ca="1">ROUND(_Google_ads[[#This Row],[quality_score]]*RANDBETWEEN(8,12)/10,0)</f>
        <v>10</v>
      </c>
      <c r="AB82" s="4">
        <f ca="1">_Google_ads[[#This Row],[search_impression_share]]*RANDBETWEEN(8,12)/10</f>
        <v>0.67</v>
      </c>
      <c r="AD82" s="3">
        <f t="shared" ca="1" si="11"/>
        <v>45051</v>
      </c>
      <c r="AE82" s="4" t="s">
        <v>108</v>
      </c>
      <c r="AF82" s="4" t="s">
        <v>109</v>
      </c>
      <c r="AG82" s="4" t="s">
        <v>110</v>
      </c>
      <c r="AH82" s="4" t="s">
        <v>111</v>
      </c>
      <c r="AI82" s="4">
        <f ca="1">ROUND(T_Tiktok_ads[[#This Row],[impressions]]*RANDBETWEEN(8,12)/10,0)</f>
        <v>196542</v>
      </c>
      <c r="AJ82" s="4">
        <f ca="1">ROUND(T_Tiktok_ads[[#This Row],[clicks]]*RANDBETWEEN(8,12)/10,0)</f>
        <v>4668</v>
      </c>
      <c r="AK82" s="4">
        <v>467.8</v>
      </c>
      <c r="AL82" s="4">
        <f ca="1">ROUND(T_Tiktok_ads[[#This Row],[conversions]]*RANDBETWEEN(8,12)/10,0)</f>
        <v>31</v>
      </c>
      <c r="AM82" s="4">
        <f ca="1">ROUND(T_Tiktok_ads[[#This Row],[video_views]]*RANDBETWEEN(8,12)/10,0)</f>
        <v>176110</v>
      </c>
      <c r="AN82" s="4">
        <f ca="1">ROUND(T_Tiktok_ads[[#This Row],[video_watch_25]]*RANDBETWEEN(8,12)/10,0)</f>
        <v>148234</v>
      </c>
      <c r="AO82" s="4">
        <f ca="1">ROUND(T_Tiktok_ads[[#This Row],[video_watch_50]]*RANDBETWEEN(8,12)/10,0)</f>
        <v>117234</v>
      </c>
      <c r="AP82" s="4">
        <f ca="1">ROUND(T_Tiktok_ads[[#This Row],[video_watch_75]]*RANDBETWEEN(8,12)/10,0)</f>
        <v>82757</v>
      </c>
      <c r="AQ82" s="4">
        <f ca="1">ROUND(T_Tiktok_ads[[#This Row],[video_watch_100]]*RANDBETWEEN(8,12)/10,0)</f>
        <v>36631</v>
      </c>
      <c r="AR82" s="4">
        <f ca="1">ROUND(T_Tiktok_ads[[#This Row],[likes]]*RANDBETWEEN(8,12)/10,0)</f>
        <v>7710</v>
      </c>
      <c r="AS82" s="4">
        <f ca="1">ROUND(T_Tiktok_ads[[#This Row],[shares]]*RANDBETWEEN(8,12)/10,0)</f>
        <v>2814</v>
      </c>
      <c r="AT82" s="4">
        <f ca="1">ROUND(T_Tiktok_ads[[#This Row],[comments]]*RANDBETWEEN(8,12)/10,0)</f>
        <v>510</v>
      </c>
      <c r="AV82" s="5">
        <f t="shared" ca="1" si="12"/>
        <v>45055</v>
      </c>
      <c r="AW82">
        <f t="shared" ca="1" si="13"/>
        <v>5</v>
      </c>
      <c r="AX82">
        <f ca="1">ROUND(T_Facebook_Ads1159636771[[#This Row],[impressions]]*RANDBETWEEN(8,12)/10,0)</f>
        <v>44947</v>
      </c>
      <c r="AY82">
        <f ca="1">ROUND(T_Facebook_Ads1159636771[[#This Row],[clicks]]*RANDBETWEEN(8,12)/10,0)</f>
        <v>1528</v>
      </c>
      <c r="AZ82">
        <f ca="1">T_Facebook_Ads1159636771[[#This Row],[spend]]*RANDBETWEEN(8,12)/10</f>
        <v>234.74</v>
      </c>
      <c r="BA82">
        <f ca="1">ROUND(T_Facebook_Ads1159636771[[#This Row],[conversions]]*RANDBETWEEN(8,12)/10,0)</f>
        <v>23</v>
      </c>
      <c r="BB82">
        <f ca="1">ROUND(T_Facebook_Ads1159636771[[#This Row],[video_views]]*RANDBETWEEN(8,12)/10,0)</f>
        <v>3961</v>
      </c>
    </row>
    <row r="83" spans="1:54" ht="15.75" thickBot="1" x14ac:dyDescent="0.3">
      <c r="A83" s="3">
        <f t="shared" ca="1" si="9"/>
        <v>45076</v>
      </c>
      <c r="B83" s="4" t="s">
        <v>64</v>
      </c>
      <c r="C83" s="4" t="s">
        <v>65</v>
      </c>
      <c r="D83" s="4" t="s">
        <v>66</v>
      </c>
      <c r="E83" s="4" t="s">
        <v>67</v>
      </c>
      <c r="F83" s="4">
        <f ca="1">ROUND(T_Facebook_Ads[[#This Row],[impressions]]*RANDBETWEEN(8,12)/10,0)</f>
        <v>71234</v>
      </c>
      <c r="G83" s="4">
        <v>256</v>
      </c>
      <c r="H83" s="4">
        <f ca="1">T_Facebook_Ads[[#This Row],[spend]]*RANDBETWEEN(8,12)/10</f>
        <v>72.400000000000006</v>
      </c>
      <c r="I83" s="4">
        <f ca="1">ROUND(T_Facebook_Ads[[#This Row],[conversions]]*RANDBETWEEN(8,12)/10,0)</f>
        <v>5</v>
      </c>
      <c r="J83" s="4">
        <f ca="1">ROUND(T_Facebook_Ads[[#This Row],[video_views]]*RANDBETWEEN(8,12)/10,0)</f>
        <v>38498</v>
      </c>
      <c r="K83" s="4">
        <f ca="1">T_Facebook_Ads[[#This Row],[engagement_rate]]*RANDBETWEEN(8,12)/10</f>
        <v>3.2399999999999998E-3</v>
      </c>
      <c r="L83" s="4">
        <f ca="1">ROUND(T_Facebook_Ads[[#This Row],[reach]]*RANDBETWEEN(8,12)/10,0)</f>
        <v>58567</v>
      </c>
      <c r="M83" s="4">
        <f ca="1">T_Facebook_Ads[[#This Row],[frequency]]*RANDBETWEEN(8,12)/10</f>
        <v>0.97599999999999998</v>
      </c>
      <c r="O83" s="3">
        <f t="shared" ca="1" si="10"/>
        <v>45055</v>
      </c>
      <c r="P83" s="4" t="s">
        <v>88</v>
      </c>
      <c r="Q83" s="4" t="s">
        <v>89</v>
      </c>
      <c r="R83" s="4" t="s">
        <v>90</v>
      </c>
      <c r="S83" s="4" t="s">
        <v>59</v>
      </c>
      <c r="T83" s="4">
        <f ca="1">ROUND(_Google_ads[[#This Row],[impressions]]*RANDBETWEEN(8,12)/10,0)</f>
        <v>133456</v>
      </c>
      <c r="U83" s="4">
        <f ca="1">ROUND(_Google_ads[[#This Row],[clicks]]*RANDBETWEEN(8,12)/10,0)</f>
        <v>391</v>
      </c>
      <c r="V83" s="4">
        <f ca="1">_Google_ads[[#This Row],[cost]]*RANDBETWEEN(8,12)/10</f>
        <v>157.44</v>
      </c>
      <c r="W83" s="4">
        <f ca="1">ROUND(_Google_ads[[#This Row],[conversions]]*RANDBETWEEN(8,12)/10,0)</f>
        <v>15</v>
      </c>
      <c r="X83" s="4">
        <f ca="1">ROUND(_Google_ads[[#This Row],[conversion_value]]*RANDBETWEEN(8,12)/10,0)</f>
        <v>700</v>
      </c>
      <c r="Y83" s="4">
        <f ca="1">_Google_ads[[#This Row],[ctr]]*RANDBETWEEN(8,12)/10</f>
        <v>2.96E-3</v>
      </c>
      <c r="Z83" s="4">
        <f ca="1">_Google_ads[[#This Row],[avg_cpc]]*RANDBETWEEN(8,12)/10</f>
        <v>0.29700000000000004</v>
      </c>
      <c r="AA83" s="4">
        <f ca="1">ROUND(_Google_ads[[#This Row],[quality_score]]*RANDBETWEEN(8,12)/10,0)</f>
        <v>6</v>
      </c>
      <c r="AB83" s="4">
        <f ca="1">_Google_ads[[#This Row],[search_impression_share]]*RANDBETWEEN(8,12)/10</f>
        <v>0.35</v>
      </c>
      <c r="AD83" s="3">
        <f t="shared" ca="1" si="11"/>
        <v>45060</v>
      </c>
      <c r="AE83" s="4" t="s">
        <v>112</v>
      </c>
      <c r="AF83" s="4" t="s">
        <v>113</v>
      </c>
      <c r="AG83" s="4" t="s">
        <v>114</v>
      </c>
      <c r="AH83" s="4" t="s">
        <v>115</v>
      </c>
      <c r="AI83" s="4">
        <f ca="1">ROUND(T_Tiktok_ads[[#This Row],[impressions]]*RANDBETWEEN(8,12)/10,0)</f>
        <v>338765</v>
      </c>
      <c r="AJ83" s="4">
        <f ca="1">ROUND(T_Tiktok_ads[[#This Row],[clicks]]*RANDBETWEEN(8,12)/10,0)</f>
        <v>6890</v>
      </c>
      <c r="AK83" s="4">
        <v>1056.8</v>
      </c>
      <c r="AL83" s="4">
        <f ca="1">ROUND(T_Tiktok_ads[[#This Row],[conversions]]*RANDBETWEEN(8,12)/10,0)</f>
        <v>96</v>
      </c>
      <c r="AM83" s="4">
        <f ca="1">ROUND(T_Tiktok_ads[[#This Row],[video_views]]*RANDBETWEEN(8,12)/10,0)</f>
        <v>392468</v>
      </c>
      <c r="AN83" s="4">
        <f ca="1">ROUND(T_Tiktok_ads[[#This Row],[video_watch_25]]*RANDBETWEEN(8,12)/10,0)</f>
        <v>347081</v>
      </c>
      <c r="AO83" s="4">
        <f ca="1">ROUND(T_Tiktok_ads[[#This Row],[video_watch_50]]*RANDBETWEEN(8,12)/10,0)</f>
        <v>208310</v>
      </c>
      <c r="AP83" s="4">
        <f ca="1">ROUND(T_Tiktok_ads[[#This Row],[video_watch_75]]*RANDBETWEEN(8,12)/10,0)</f>
        <v>197480</v>
      </c>
      <c r="AQ83" s="4">
        <f ca="1">ROUND(T_Tiktok_ads[[#This Row],[video_watch_100]]*RANDBETWEEN(8,12)/10,0)</f>
        <v>120157</v>
      </c>
      <c r="AR83" s="4">
        <f ca="1">ROUND(T_Tiktok_ads[[#This Row],[likes]]*RANDBETWEEN(8,12)/10,0)</f>
        <v>20779</v>
      </c>
      <c r="AS83" s="4">
        <f ca="1">ROUND(T_Tiktok_ads[[#This Row],[shares]]*RANDBETWEEN(8,12)/10,0)</f>
        <v>6002</v>
      </c>
      <c r="AT83" s="4">
        <f ca="1">ROUND(T_Tiktok_ads[[#This Row],[comments]]*RANDBETWEEN(8,12)/10,0)</f>
        <v>1489</v>
      </c>
      <c r="AV83" s="5">
        <f t="shared" ca="1" si="12"/>
        <v>45049</v>
      </c>
      <c r="AW83">
        <f t="shared" ca="1" si="13"/>
        <v>4</v>
      </c>
      <c r="AX83">
        <f ca="1">ROUND(T_Facebook_Ads1159636771[[#This Row],[impressions]]*RANDBETWEEN(8,12)/10,0)</f>
        <v>64111</v>
      </c>
      <c r="AY83">
        <f ca="1">ROUND(T_Facebook_Ads1159636771[[#This Row],[clicks]]*RANDBETWEEN(8,12)/10,0)</f>
        <v>205</v>
      </c>
      <c r="AZ83">
        <f ca="1">T_Facebook_Ads1159636771[[#This Row],[spend]]*RANDBETWEEN(8,12)/10</f>
        <v>65.16</v>
      </c>
      <c r="BA83">
        <f ca="1">ROUND(T_Facebook_Ads1159636771[[#This Row],[conversions]]*RANDBETWEEN(8,12)/10,0)</f>
        <v>4</v>
      </c>
      <c r="BB83">
        <f ca="1">ROUND(T_Facebook_Ads1159636771[[#This Row],[video_views]]*RANDBETWEEN(8,12)/10,0)</f>
        <v>46198</v>
      </c>
    </row>
    <row r="84" spans="1:54" ht="15.75" thickBot="1" x14ac:dyDescent="0.3">
      <c r="A84" s="3">
        <f t="shared" ca="1" si="9"/>
        <v>45059</v>
      </c>
      <c r="B84" s="4" t="s">
        <v>52</v>
      </c>
      <c r="C84" s="4" t="s">
        <v>53</v>
      </c>
      <c r="D84" s="4" t="s">
        <v>54</v>
      </c>
      <c r="E84" s="4" t="s">
        <v>55</v>
      </c>
      <c r="F84" s="4">
        <f ca="1">ROUND(T_Facebook_Ads[[#This Row],[impressions]]*RANDBETWEEN(8,12)/10,0)</f>
        <v>51234</v>
      </c>
      <c r="G84" s="4">
        <v>1067</v>
      </c>
      <c r="H84" s="4">
        <f ca="1">T_Facebook_Ads[[#This Row],[spend]]*RANDBETWEEN(8,12)/10</f>
        <v>134.72999999999999</v>
      </c>
      <c r="I84" s="4">
        <f ca="1">ROUND(T_Facebook_Ads[[#This Row],[conversions]]*RANDBETWEEN(8,12)/10,0)</f>
        <v>20</v>
      </c>
      <c r="J84" s="4">
        <f ca="1">ROUND(T_Facebook_Ads[[#This Row],[video_views]]*RANDBETWEEN(8,12)/10,0)</f>
        <v>10157</v>
      </c>
      <c r="K84" s="4">
        <f ca="1">T_Facebook_Ads[[#This Row],[engagement_rate]]*RANDBETWEEN(8,12)/10</f>
        <v>2.496E-2</v>
      </c>
      <c r="L84" s="4">
        <f ca="1">ROUND(T_Facebook_Ads[[#This Row],[reach]]*RANDBETWEEN(8,12)/10,0)</f>
        <v>42567</v>
      </c>
      <c r="M84" s="4">
        <f ca="1">T_Facebook_Ads[[#This Row],[frequency]]*RANDBETWEEN(8,12)/10</f>
        <v>1.0799999999999998</v>
      </c>
      <c r="O84" s="3">
        <f t="shared" ca="1" si="10"/>
        <v>45062</v>
      </c>
      <c r="P84" s="4" t="s">
        <v>76</v>
      </c>
      <c r="Q84" s="4" t="s">
        <v>77</v>
      </c>
      <c r="R84" s="4" t="s">
        <v>78</v>
      </c>
      <c r="S84" s="4" t="s">
        <v>79</v>
      </c>
      <c r="T84" s="4">
        <f ca="1">ROUND(_Google_ads[[#This Row],[impressions]]*RANDBETWEEN(8,12)/10,0)</f>
        <v>24411</v>
      </c>
      <c r="U84" s="4">
        <f ca="1">ROUND(_Google_ads[[#This Row],[clicks]]*RANDBETWEEN(8,12)/10,0)</f>
        <v>1721</v>
      </c>
      <c r="V84" s="4">
        <f ca="1">_Google_ads[[#This Row],[cost]]*RANDBETWEEN(8,12)/10</f>
        <v>246.87000000000003</v>
      </c>
      <c r="W84" s="4">
        <f ca="1">ROUND(_Google_ads[[#This Row],[conversions]]*RANDBETWEEN(8,12)/10,0)</f>
        <v>55</v>
      </c>
      <c r="X84" s="4">
        <f ca="1">ROUND(_Google_ads[[#This Row],[conversion_value]]*RANDBETWEEN(8,12)/10,0)</f>
        <v>2200</v>
      </c>
      <c r="Y84" s="4">
        <f ca="1">_Google_ads[[#This Row],[ctr]]*RANDBETWEEN(8,12)/10</f>
        <v>6.3480000000000009E-2</v>
      </c>
      <c r="Z84" s="4">
        <f ca="1">_Google_ads[[#This Row],[avg_cpc]]*RANDBETWEEN(8,12)/10</f>
        <v>0.152</v>
      </c>
      <c r="AA84" s="4">
        <f ca="1">ROUND(_Google_ads[[#This Row],[quality_score]]*RANDBETWEEN(8,12)/10,0)</f>
        <v>7</v>
      </c>
      <c r="AB84" s="4">
        <f ca="1">_Google_ads[[#This Row],[search_impression_share]]*RANDBETWEEN(8,12)/10</f>
        <v>1.1160000000000001</v>
      </c>
      <c r="AD84" s="3">
        <f t="shared" ca="1" si="11"/>
        <v>45048</v>
      </c>
      <c r="AE84" s="4" t="s">
        <v>100</v>
      </c>
      <c r="AF84" s="4" t="s">
        <v>101</v>
      </c>
      <c r="AG84" s="4" t="s">
        <v>102</v>
      </c>
      <c r="AH84" s="4" t="s">
        <v>103</v>
      </c>
      <c r="AI84" s="4">
        <f ca="1">ROUND(T_Tiktok_ads[[#This Row],[impressions]]*RANDBETWEEN(8,12)/10,0)</f>
        <v>343580</v>
      </c>
      <c r="AJ84" s="4">
        <f ca="1">ROUND(T_Tiktok_ads[[#This Row],[clicks]]*RANDBETWEEN(8,12)/10,0)</f>
        <v>5480</v>
      </c>
      <c r="AK84" s="4">
        <v>623.4</v>
      </c>
      <c r="AL84" s="4">
        <f ca="1">ROUND(T_Tiktok_ads[[#This Row],[conversions]]*RANDBETWEEN(8,12)/10,0)</f>
        <v>43</v>
      </c>
      <c r="AM84" s="4">
        <f ca="1">ROUND(T_Tiktok_ads[[#This Row],[video_views]]*RANDBETWEEN(8,12)/10,0)</f>
        <v>308147</v>
      </c>
      <c r="AN84" s="4">
        <f ca="1">ROUND(T_Tiktok_ads[[#This Row],[video_watch_25]]*RANDBETWEEN(8,12)/10,0)</f>
        <v>220257</v>
      </c>
      <c r="AO84" s="4">
        <f ca="1">ROUND(T_Tiktok_ads[[#This Row],[video_watch_50]]*RANDBETWEEN(8,12)/10,0)</f>
        <v>125678</v>
      </c>
      <c r="AP84" s="4">
        <f ca="1">ROUND(T_Tiktok_ads[[#This Row],[video_watch_75]]*RANDBETWEEN(8,12)/10,0)</f>
        <v>84567</v>
      </c>
      <c r="AQ84" s="4">
        <f ca="1">ROUND(T_Tiktok_ads[[#This Row],[video_watch_100]]*RANDBETWEEN(8,12)/10,0)</f>
        <v>67481</v>
      </c>
      <c r="AR84" s="4">
        <f ca="1">ROUND(T_Tiktok_ads[[#This Row],[likes]]*RANDBETWEEN(8,12)/10,0)</f>
        <v>13481</v>
      </c>
      <c r="AS84" s="4">
        <f ca="1">ROUND(T_Tiktok_ads[[#This Row],[shares]]*RANDBETWEEN(8,12)/10,0)</f>
        <v>3012</v>
      </c>
      <c r="AT84" s="4">
        <f ca="1">ROUND(T_Tiktok_ads[[#This Row],[comments]]*RANDBETWEEN(8,12)/10,0)</f>
        <v>651</v>
      </c>
      <c r="AV84" s="5">
        <f t="shared" ca="1" si="12"/>
        <v>45054</v>
      </c>
      <c r="AW84">
        <f t="shared" ca="1" si="13"/>
        <v>8</v>
      </c>
      <c r="AX84">
        <f ca="1">ROUND(T_Facebook_Ads1159636771[[#This Row],[impressions]]*RANDBETWEEN(8,12)/10,0)</f>
        <v>56357</v>
      </c>
      <c r="AY84">
        <f ca="1">ROUND(T_Facebook_Ads1159636771[[#This Row],[clicks]]*RANDBETWEEN(8,12)/10,0)</f>
        <v>1280</v>
      </c>
      <c r="AZ84">
        <f ca="1">T_Facebook_Ads1159636771[[#This Row],[spend]]*RANDBETWEEN(8,12)/10</f>
        <v>148.203</v>
      </c>
      <c r="BA84">
        <f ca="1">ROUND(T_Facebook_Ads1159636771[[#This Row],[conversions]]*RANDBETWEEN(8,12)/10,0)</f>
        <v>18</v>
      </c>
      <c r="BB84">
        <f ca="1">ROUND(T_Facebook_Ads1159636771[[#This Row],[video_views]]*RANDBETWEEN(8,12)/10,0)</f>
        <v>9141</v>
      </c>
    </row>
    <row r="85" spans="1:54" ht="15.75" thickBot="1" x14ac:dyDescent="0.3">
      <c r="A85" s="3">
        <f t="shared" ca="1" si="9"/>
        <v>45073</v>
      </c>
      <c r="B85" s="4" t="s">
        <v>56</v>
      </c>
      <c r="C85" s="4" t="s">
        <v>57</v>
      </c>
      <c r="D85" s="4" t="s">
        <v>58</v>
      </c>
      <c r="E85" s="4" t="s">
        <v>59</v>
      </c>
      <c r="F85" s="4">
        <f ca="1">ROUND(T_Facebook_Ads[[#This Row],[impressions]]*RANDBETWEEN(8,12)/10,0)</f>
        <v>13401</v>
      </c>
      <c r="G85" s="4">
        <v>712</v>
      </c>
      <c r="H85" s="4">
        <f ca="1">T_Facebook_Ads[[#This Row],[spend]]*RANDBETWEEN(8,12)/10</f>
        <v>301.91999999999996</v>
      </c>
      <c r="I85" s="4">
        <f ca="1">ROUND(T_Facebook_Ads[[#This Row],[conversions]]*RANDBETWEEN(8,12)/10,0)</f>
        <v>52</v>
      </c>
      <c r="J85" s="4">
        <f ca="1">ROUND(T_Facebook_Ads[[#This Row],[video_views]]*RANDBETWEEN(8,12)/10,0)</f>
        <v>1894</v>
      </c>
      <c r="K85" s="4">
        <f ca="1">T_Facebook_Ads[[#This Row],[engagement_rate]]*RANDBETWEEN(8,12)/10</f>
        <v>5.2580000000000002E-2</v>
      </c>
      <c r="L85" s="4">
        <f ca="1">ROUND(T_Facebook_Ads[[#This Row],[reach]]*RANDBETWEEN(8,12)/10,0)</f>
        <v>12969</v>
      </c>
      <c r="M85" s="4">
        <f ca="1">T_Facebook_Ads[[#This Row],[frequency]]*RANDBETWEEN(8,12)/10</f>
        <v>1.3859999999999999</v>
      </c>
      <c r="O85" s="3">
        <f t="shared" ca="1" si="10"/>
        <v>45056</v>
      </c>
      <c r="P85" s="4" t="s">
        <v>80</v>
      </c>
      <c r="Q85" s="4" t="s">
        <v>81</v>
      </c>
      <c r="R85" s="4" t="s">
        <v>82</v>
      </c>
      <c r="S85" s="4" t="s">
        <v>83</v>
      </c>
      <c r="T85" s="4">
        <f ca="1">ROUND(_Google_ads[[#This Row],[impressions]]*RANDBETWEEN(8,12)/10,0)</f>
        <v>52679</v>
      </c>
      <c r="U85" s="4">
        <f ca="1">ROUND(_Google_ads[[#This Row],[clicks]]*RANDBETWEEN(8,12)/10,0)</f>
        <v>782</v>
      </c>
      <c r="V85" s="4">
        <f ca="1">_Google_ads[[#This Row],[cost]]*RANDBETWEEN(8,12)/10</f>
        <v>552.15</v>
      </c>
      <c r="W85" s="4">
        <f ca="1">ROUND(_Google_ads[[#This Row],[conversions]]*RANDBETWEEN(8,12)/10,0)</f>
        <v>29</v>
      </c>
      <c r="X85" s="4">
        <f ca="1">ROUND(_Google_ads[[#This Row],[conversion_value]]*RANDBETWEEN(8,12)/10,0)</f>
        <v>1170</v>
      </c>
      <c r="Y85" s="4">
        <f ca="1">_Google_ads[[#This Row],[ctr]]*RANDBETWEEN(8,12)/10</f>
        <v>2.2440000000000002E-2</v>
      </c>
      <c r="Z85" s="4">
        <f ca="1">_Google_ads[[#This Row],[avg_cpc]]*RANDBETWEEN(8,12)/10</f>
        <v>0.75600000000000001</v>
      </c>
      <c r="AA85" s="4">
        <f ca="1">ROUND(_Google_ads[[#This Row],[quality_score]]*RANDBETWEEN(8,12)/10,0)</f>
        <v>6</v>
      </c>
      <c r="AB85" s="4">
        <f ca="1">_Google_ads[[#This Row],[search_impression_share]]*RANDBETWEEN(8,12)/10</f>
        <v>0.50600000000000001</v>
      </c>
      <c r="AD85" s="3">
        <f t="shared" ca="1" si="11"/>
        <v>45068</v>
      </c>
      <c r="AE85" s="4" t="s">
        <v>104</v>
      </c>
      <c r="AF85" s="4" t="s">
        <v>105</v>
      </c>
      <c r="AG85" s="4" t="s">
        <v>106</v>
      </c>
      <c r="AH85" s="4" t="s">
        <v>107</v>
      </c>
      <c r="AI85" s="4">
        <f ca="1">ROUND(T_Tiktok_ads[[#This Row],[impressions]]*RANDBETWEEN(8,12)/10,0)</f>
        <v>155111</v>
      </c>
      <c r="AJ85" s="4">
        <f ca="1">ROUND(T_Tiktok_ads[[#This Row],[clicks]]*RANDBETWEEN(8,12)/10,0)</f>
        <v>2676</v>
      </c>
      <c r="AK85" s="4">
        <v>867.9</v>
      </c>
      <c r="AL85" s="4">
        <f ca="1">ROUND(T_Tiktok_ads[[#This Row],[conversions]]*RANDBETWEEN(8,12)/10,0)</f>
        <v>78</v>
      </c>
      <c r="AM85" s="4">
        <f ca="1">ROUND(T_Tiktok_ads[[#This Row],[video_views]]*RANDBETWEEN(8,12)/10,0)</f>
        <v>123456</v>
      </c>
      <c r="AN85" s="4">
        <f ca="1">ROUND(T_Tiktok_ads[[#This Row],[video_watch_25]]*RANDBETWEEN(8,12)/10,0)</f>
        <v>100357</v>
      </c>
      <c r="AO85" s="4">
        <f ca="1">ROUND(T_Tiktok_ads[[#This Row],[video_watch_50]]*RANDBETWEEN(8,12)/10,0)</f>
        <v>49254</v>
      </c>
      <c r="AP85" s="4">
        <f ca="1">ROUND(T_Tiktok_ads[[#This Row],[video_watch_75]]*RANDBETWEEN(8,12)/10,0)</f>
        <v>36987</v>
      </c>
      <c r="AQ85" s="4">
        <f ca="1">ROUND(T_Tiktok_ads[[#This Row],[video_watch_100]]*RANDBETWEEN(8,12)/10,0)</f>
        <v>30789</v>
      </c>
      <c r="AR85" s="4">
        <f ca="1">ROUND(T_Tiktok_ads[[#This Row],[likes]]*RANDBETWEEN(8,12)/10,0)</f>
        <v>4712</v>
      </c>
      <c r="AS85" s="4">
        <f ca="1">ROUND(T_Tiktok_ads[[#This Row],[shares]]*RANDBETWEEN(8,12)/10,0)</f>
        <v>1678</v>
      </c>
      <c r="AT85" s="4">
        <f ca="1">ROUND(T_Tiktok_ads[[#This Row],[comments]]*RANDBETWEEN(8,12)/10,0)</f>
        <v>267</v>
      </c>
      <c r="AV85" s="5">
        <f t="shared" ca="1" si="12"/>
        <v>45052</v>
      </c>
      <c r="AW85">
        <f t="shared" ca="1" si="13"/>
        <v>5</v>
      </c>
      <c r="AX85">
        <f ca="1">ROUND(T_Facebook_Ads1159636771[[#This Row],[impressions]]*RANDBETWEEN(8,12)/10,0)</f>
        <v>13401</v>
      </c>
      <c r="AY85">
        <f ca="1">ROUND(T_Facebook_Ads1159636771[[#This Row],[clicks]]*RANDBETWEEN(8,12)/10,0)</f>
        <v>712</v>
      </c>
      <c r="AZ85">
        <f ca="1">T_Facebook_Ads1159636771[[#This Row],[spend]]*RANDBETWEEN(8,12)/10</f>
        <v>271.72799999999995</v>
      </c>
      <c r="BA85">
        <f ca="1">ROUND(T_Facebook_Ads1159636771[[#This Row],[conversions]]*RANDBETWEEN(8,12)/10,0)</f>
        <v>42</v>
      </c>
      <c r="BB85">
        <f ca="1">ROUND(T_Facebook_Ads1159636771[[#This Row],[video_views]]*RANDBETWEEN(8,12)/10,0)</f>
        <v>2273</v>
      </c>
    </row>
    <row r="86" spans="1:54" ht="15.75" thickBot="1" x14ac:dyDescent="0.3">
      <c r="A86" s="3">
        <f t="shared" ca="1" si="9"/>
        <v>45058</v>
      </c>
      <c r="B86" s="4" t="s">
        <v>60</v>
      </c>
      <c r="C86" s="4" t="s">
        <v>61</v>
      </c>
      <c r="D86" s="4" t="s">
        <v>62</v>
      </c>
      <c r="E86" s="4" t="s">
        <v>63</v>
      </c>
      <c r="F86" s="4">
        <f ca="1">ROUND(T_Facebook_Ads[[#This Row],[impressions]]*RANDBETWEEN(8,12)/10,0)</f>
        <v>31387</v>
      </c>
      <c r="G86" s="4">
        <v>1489</v>
      </c>
      <c r="H86" s="4">
        <f ca="1">T_Facebook_Ads[[#This Row],[spend]]*RANDBETWEEN(8,12)/10</f>
        <v>182.32</v>
      </c>
      <c r="I86" s="4">
        <f ca="1">ROUND(T_Facebook_Ads[[#This Row],[conversions]]*RANDBETWEEN(8,12)/10,0)</f>
        <v>29</v>
      </c>
      <c r="J86" s="4">
        <f ca="1">ROUND(T_Facebook_Ads[[#This Row],[video_views]]*RANDBETWEEN(8,12)/10,0)</f>
        <v>4711</v>
      </c>
      <c r="K86" s="4">
        <f ca="1">T_Facebook_Ads[[#This Row],[engagement_rate]]*RANDBETWEEN(8,12)/10</f>
        <v>3.4110000000000001E-2</v>
      </c>
      <c r="L86" s="4">
        <f ca="1">ROUND(T_Facebook_Ads[[#This Row],[reach]]*RANDBETWEEN(8,12)/10,0)</f>
        <v>28911</v>
      </c>
      <c r="M86" s="4">
        <f ca="1">T_Facebook_Ads[[#This Row],[frequency]]*RANDBETWEEN(8,12)/10</f>
        <v>1.3420000000000001</v>
      </c>
      <c r="O86" s="3">
        <f t="shared" ca="1" si="10"/>
        <v>45053</v>
      </c>
      <c r="P86" s="4" t="s">
        <v>84</v>
      </c>
      <c r="Q86" s="4" t="s">
        <v>85</v>
      </c>
      <c r="R86" s="4" t="s">
        <v>86</v>
      </c>
      <c r="S86" s="4" t="s">
        <v>87</v>
      </c>
      <c r="T86" s="4">
        <f ca="1">ROUND(_Google_ads[[#This Row],[impressions]]*RANDBETWEEN(8,12)/10,0)</f>
        <v>73456</v>
      </c>
      <c r="U86" s="4">
        <f ca="1">ROUND(_Google_ads[[#This Row],[clicks]]*RANDBETWEEN(8,12)/10,0)</f>
        <v>2001</v>
      </c>
      <c r="V86" s="4">
        <f ca="1">_Google_ads[[#This Row],[cost]]*RANDBETWEEN(8,12)/10</f>
        <v>548.04</v>
      </c>
      <c r="W86" s="4">
        <f ca="1">ROUND(_Google_ads[[#This Row],[conversions]]*RANDBETWEEN(8,12)/10,0)</f>
        <v>80</v>
      </c>
      <c r="X86" s="4">
        <f ca="1">ROUND(_Google_ads[[#This Row],[conversion_value]]*RANDBETWEEN(8,12)/10,0)</f>
        <v>2920</v>
      </c>
      <c r="Y86" s="4">
        <f ca="1">_Google_ads[[#This Row],[ctr]]*RANDBETWEEN(8,12)/10</f>
        <v>3.4000000000000002E-2</v>
      </c>
      <c r="Z86" s="4">
        <f ca="1">_Google_ads[[#This Row],[avg_cpc]]*RANDBETWEEN(8,12)/10</f>
        <v>0.16199999999999998</v>
      </c>
      <c r="AA86" s="4">
        <f ca="1">ROUND(_Google_ads[[#This Row],[quality_score]]*RANDBETWEEN(8,12)/10,0)</f>
        <v>9</v>
      </c>
      <c r="AB86" s="4">
        <f ca="1">_Google_ads[[#This Row],[search_impression_share]]*RANDBETWEEN(8,12)/10</f>
        <v>0.82799999999999996</v>
      </c>
      <c r="AD86" s="3">
        <f t="shared" ca="1" si="11"/>
        <v>45063</v>
      </c>
      <c r="AE86" s="4" t="s">
        <v>108</v>
      </c>
      <c r="AF86" s="4" t="s">
        <v>109</v>
      </c>
      <c r="AG86" s="4" t="s">
        <v>110</v>
      </c>
      <c r="AH86" s="4" t="s">
        <v>111</v>
      </c>
      <c r="AI86" s="4">
        <f ca="1">ROUND(T_Tiktok_ads[[#This Row],[impressions]]*RANDBETWEEN(8,12)/10,0)</f>
        <v>241101</v>
      </c>
      <c r="AJ86" s="4">
        <f ca="1">ROUND(T_Tiktok_ads[[#This Row],[clicks]]*RANDBETWEEN(8,12)/10,0)</f>
        <v>4535</v>
      </c>
      <c r="AK86" s="4">
        <v>512.6</v>
      </c>
      <c r="AL86" s="4">
        <f ca="1">ROUND(T_Tiktok_ads[[#This Row],[conversions]]*RANDBETWEEN(8,12)/10,0)</f>
        <v>33</v>
      </c>
      <c r="AM86" s="4">
        <f ca="1">ROUND(T_Tiktok_ads[[#This Row],[video_views]]*RANDBETWEEN(8,12)/10,0)</f>
        <v>191111</v>
      </c>
      <c r="AN86" s="4">
        <f ca="1">ROUND(T_Tiktok_ads[[#This Row],[video_watch_25]]*RANDBETWEEN(8,12)/10,0)</f>
        <v>160234</v>
      </c>
      <c r="AO86" s="4">
        <f ca="1">ROUND(T_Tiktok_ads[[#This Row],[video_watch_50]]*RANDBETWEEN(8,12)/10,0)</f>
        <v>114110</v>
      </c>
      <c r="AP86" s="4">
        <f ca="1">ROUND(T_Tiktok_ads[[#This Row],[video_watch_75]]*RANDBETWEEN(8,12)/10,0)</f>
        <v>64987</v>
      </c>
      <c r="AQ86" s="4">
        <f ca="1">ROUND(T_Tiktok_ads[[#This Row],[video_watch_100]]*RANDBETWEEN(8,12)/10,0)</f>
        <v>54157</v>
      </c>
      <c r="AR86" s="4">
        <f ca="1">ROUND(T_Tiktok_ads[[#This Row],[likes]]*RANDBETWEEN(8,12)/10,0)</f>
        <v>8211</v>
      </c>
      <c r="AS86" s="4">
        <f ca="1">ROUND(T_Tiktok_ads[[#This Row],[shares]]*RANDBETWEEN(8,12)/10,0)</f>
        <v>2824</v>
      </c>
      <c r="AT86" s="4">
        <f ca="1">ROUND(T_Tiktok_ads[[#This Row],[comments]]*RANDBETWEEN(8,12)/10,0)</f>
        <v>673</v>
      </c>
      <c r="AV86" s="5">
        <f t="shared" ca="1" si="12"/>
        <v>45076</v>
      </c>
      <c r="AW86">
        <f t="shared" ca="1" si="13"/>
        <v>8</v>
      </c>
      <c r="AX86">
        <f ca="1">ROUND(T_Facebook_Ads1159636771[[#This Row],[impressions]]*RANDBETWEEN(8,12)/10,0)</f>
        <v>31387</v>
      </c>
      <c r="AY86">
        <f ca="1">ROUND(T_Facebook_Ads1159636771[[#This Row],[clicks]]*RANDBETWEEN(8,12)/10,0)</f>
        <v>1787</v>
      </c>
      <c r="AZ86">
        <f ca="1">T_Facebook_Ads1159636771[[#This Row],[spend]]*RANDBETWEEN(8,12)/10</f>
        <v>200.55199999999999</v>
      </c>
      <c r="BA86">
        <f ca="1">ROUND(T_Facebook_Ads1159636771[[#This Row],[conversions]]*RANDBETWEEN(8,12)/10,0)</f>
        <v>29</v>
      </c>
      <c r="BB86">
        <f ca="1">ROUND(T_Facebook_Ads1159636771[[#This Row],[video_views]]*RANDBETWEEN(8,12)/10,0)</f>
        <v>5653</v>
      </c>
    </row>
    <row r="87" spans="1:54" ht="15.75" thickBot="1" x14ac:dyDescent="0.3">
      <c r="A87" s="3">
        <f t="shared" ca="1" si="9"/>
        <v>45073</v>
      </c>
      <c r="B87" s="4" t="s">
        <v>64</v>
      </c>
      <c r="C87" s="4" t="s">
        <v>65</v>
      </c>
      <c r="D87" s="4" t="s">
        <v>66</v>
      </c>
      <c r="E87" s="4" t="s">
        <v>67</v>
      </c>
      <c r="F87" s="4">
        <f ca="1">ROUND(T_Facebook_Ads[[#This Row],[impressions]]*RANDBETWEEN(8,12)/10,0)</f>
        <v>67110</v>
      </c>
      <c r="G87" s="4">
        <v>267</v>
      </c>
      <c r="H87" s="4">
        <f ca="1">T_Facebook_Ads[[#This Row],[spend]]*RANDBETWEEN(8,12)/10</f>
        <v>105.38</v>
      </c>
      <c r="I87" s="4">
        <f ca="1">ROUND(T_Facebook_Ads[[#This Row],[conversions]]*RANDBETWEEN(8,12)/10,0)</f>
        <v>8</v>
      </c>
      <c r="J87" s="4">
        <f ca="1">ROUND(T_Facebook_Ads[[#This Row],[video_views]]*RANDBETWEEN(8,12)/10,0)</f>
        <v>60281</v>
      </c>
      <c r="K87" s="4">
        <f ca="1">T_Facebook_Ads[[#This Row],[engagement_rate]]*RANDBETWEEN(8,12)/10</f>
        <v>4.3200000000000001E-3</v>
      </c>
      <c r="L87" s="4">
        <f ca="1">ROUND(T_Facebook_Ads[[#This Row],[reach]]*RANDBETWEEN(8,12)/10,0)</f>
        <v>54710</v>
      </c>
      <c r="M87" s="4">
        <f ca="1">T_Facebook_Ads[[#This Row],[frequency]]*RANDBETWEEN(8,12)/10</f>
        <v>1.107</v>
      </c>
      <c r="O87" s="3">
        <f t="shared" ca="1" si="10"/>
        <v>45058</v>
      </c>
      <c r="P87" s="4" t="s">
        <v>88</v>
      </c>
      <c r="Q87" s="4" t="s">
        <v>89</v>
      </c>
      <c r="R87" s="4" t="s">
        <v>90</v>
      </c>
      <c r="S87" s="4" t="s">
        <v>59</v>
      </c>
      <c r="T87" s="4">
        <f ca="1">ROUND(_Google_ads[[#This Row],[impressions]]*RANDBETWEEN(8,12)/10,0)</f>
        <v>125311</v>
      </c>
      <c r="U87" s="4">
        <f ca="1">ROUND(_Google_ads[[#This Row],[clicks]]*RANDBETWEEN(8,12)/10,0)</f>
        <v>418</v>
      </c>
      <c r="V87" s="4">
        <f ca="1">_Google_ads[[#This Row],[cost]]*RANDBETWEEN(8,12)/10</f>
        <v>136.80000000000001</v>
      </c>
      <c r="W87" s="4">
        <f ca="1">ROUND(_Google_ads[[#This Row],[conversions]]*RANDBETWEEN(8,12)/10,0)</f>
        <v>15</v>
      </c>
      <c r="X87" s="4">
        <f ca="1">ROUND(_Google_ads[[#This Row],[conversion_value]]*RANDBETWEEN(8,12)/10,0)</f>
        <v>600</v>
      </c>
      <c r="Y87" s="4">
        <f ca="1">_Google_ads[[#This Row],[ctr]]*RANDBETWEEN(8,12)/10</f>
        <v>3.4200000000000003E-3</v>
      </c>
      <c r="Z87" s="4">
        <f ca="1">_Google_ads[[#This Row],[avg_cpc]]*RANDBETWEEN(8,12)/10</f>
        <v>0.312</v>
      </c>
      <c r="AA87" s="4">
        <f ca="1">ROUND(_Google_ads[[#This Row],[quality_score]]*RANDBETWEEN(8,12)/10,0)</f>
        <v>6</v>
      </c>
      <c r="AB87" s="4">
        <f ca="1">_Google_ads[[#This Row],[search_impression_share]]*RANDBETWEEN(8,12)/10</f>
        <v>0.36</v>
      </c>
      <c r="AD87" s="3">
        <f t="shared" ca="1" si="11"/>
        <v>45069</v>
      </c>
      <c r="AE87" s="4" t="s">
        <v>112</v>
      </c>
      <c r="AF87" s="4" t="s">
        <v>113</v>
      </c>
      <c r="AG87" s="4" t="s">
        <v>114</v>
      </c>
      <c r="AH87" s="4" t="s">
        <v>115</v>
      </c>
      <c r="AI87" s="4">
        <f ca="1">ROUND(T_Tiktok_ads[[#This Row],[impressions]]*RANDBETWEEN(8,12)/10,0)</f>
        <v>365431</v>
      </c>
      <c r="AJ87" s="4">
        <f ca="1">ROUND(T_Tiktok_ads[[#This Row],[clicks]]*RANDBETWEEN(8,12)/10,0)</f>
        <v>5965</v>
      </c>
      <c r="AK87" s="4">
        <v>1167.8</v>
      </c>
      <c r="AL87" s="4">
        <f ca="1">ROUND(T_Tiktok_ads[[#This Row],[conversions]]*RANDBETWEEN(8,12)/10,0)</f>
        <v>94</v>
      </c>
      <c r="AM87" s="4">
        <f ca="1">ROUND(T_Tiktok_ads[[#This Row],[video_views]]*RANDBETWEEN(8,12)/10,0)</f>
        <v>311210</v>
      </c>
      <c r="AN87" s="4">
        <f ca="1">ROUND(T_Tiktok_ads[[#This Row],[video_watch_25]]*RANDBETWEEN(8,12)/10,0)</f>
        <v>312345</v>
      </c>
      <c r="AO87" s="4">
        <f ca="1">ROUND(T_Tiktok_ads[[#This Row],[video_watch_50]]*RANDBETWEEN(8,12)/10,0)</f>
        <v>249234</v>
      </c>
      <c r="AP87" s="4">
        <f ca="1">ROUND(T_Tiktok_ads[[#This Row],[video_watch_75]]*RANDBETWEEN(8,12)/10,0)</f>
        <v>142312</v>
      </c>
      <c r="AQ87" s="4">
        <f ca="1">ROUND(T_Tiktok_ads[[#This Row],[video_watch_100]]*RANDBETWEEN(8,12)/10,0)</f>
        <v>130057</v>
      </c>
      <c r="AR87" s="4">
        <f ca="1">ROUND(T_Tiktok_ads[[#This Row],[likes]]*RANDBETWEEN(8,12)/10,0)</f>
        <v>20234</v>
      </c>
      <c r="AS87" s="4">
        <f ca="1">ROUND(T_Tiktok_ads[[#This Row],[shares]]*RANDBETWEEN(8,12)/10,0)</f>
        <v>5321</v>
      </c>
      <c r="AT87" s="4">
        <f ca="1">ROUND(T_Tiktok_ads[[#This Row],[comments]]*RANDBETWEEN(8,12)/10,0)</f>
        <v>1298</v>
      </c>
      <c r="AV87" s="5">
        <f t="shared" ca="1" si="12"/>
        <v>45062</v>
      </c>
      <c r="AW87">
        <f t="shared" ca="1" si="13"/>
        <v>3</v>
      </c>
      <c r="AX87">
        <f ca="1">ROUND(T_Facebook_Ads1159636771[[#This Row],[impressions]]*RANDBETWEEN(8,12)/10,0)</f>
        <v>80532</v>
      </c>
      <c r="AY87">
        <f ca="1">ROUND(T_Facebook_Ads1159636771[[#This Row],[clicks]]*RANDBETWEEN(8,12)/10,0)</f>
        <v>320</v>
      </c>
      <c r="AZ87">
        <f ca="1">T_Facebook_Ads1159636771[[#This Row],[spend]]*RANDBETWEEN(8,12)/10</f>
        <v>115.91799999999998</v>
      </c>
      <c r="BA87">
        <f ca="1">ROUND(T_Facebook_Ads1159636771[[#This Row],[conversions]]*RANDBETWEEN(8,12)/10,0)</f>
        <v>10</v>
      </c>
      <c r="BB87">
        <f ca="1">ROUND(T_Facebook_Ads1159636771[[#This Row],[video_views]]*RANDBETWEEN(8,12)/10,0)</f>
        <v>72337</v>
      </c>
    </row>
    <row r="88" spans="1:54" ht="15.75" thickBot="1" x14ac:dyDescent="0.3">
      <c r="A88" s="3">
        <f t="shared" ca="1" si="9"/>
        <v>45067</v>
      </c>
      <c r="B88" s="4" t="s">
        <v>52</v>
      </c>
      <c r="C88" s="4" t="s">
        <v>53</v>
      </c>
      <c r="D88" s="4" t="s">
        <v>54</v>
      </c>
      <c r="E88" s="4" t="s">
        <v>55</v>
      </c>
      <c r="F88" s="4">
        <f ca="1">ROUND(T_Facebook_Ads[[#This Row],[impressions]]*RANDBETWEEN(8,12)/10,0)</f>
        <v>52789</v>
      </c>
      <c r="G88" s="4">
        <v>1123</v>
      </c>
      <c r="H88" s="4">
        <f ca="1">T_Facebook_Ads[[#This Row],[spend]]*RANDBETWEEN(8,12)/10</f>
        <v>172.04000000000002</v>
      </c>
      <c r="I88" s="4">
        <f ca="1">ROUND(T_Facebook_Ads[[#This Row],[conversions]]*RANDBETWEEN(8,12)/10,0)</f>
        <v>16</v>
      </c>
      <c r="J88" s="4">
        <f ca="1">ROUND(T_Facebook_Ads[[#This Row],[video_views]]*RANDBETWEEN(8,12)/10,0)</f>
        <v>10524</v>
      </c>
      <c r="K88" s="4">
        <f ca="1">T_Facebook_Ads[[#This Row],[engagement_rate]]*RANDBETWEEN(8,12)/10</f>
        <v>2.1299999999999999E-2</v>
      </c>
      <c r="L88" s="4">
        <f ca="1">ROUND(T_Facebook_Ads[[#This Row],[reach]]*RANDBETWEEN(8,12)/10,0)</f>
        <v>39501</v>
      </c>
      <c r="M88" s="4">
        <f ca="1">T_Facebook_Ads[[#This Row],[frequency]]*RANDBETWEEN(8,12)/10</f>
        <v>1.44</v>
      </c>
      <c r="O88" s="3">
        <f t="shared" ca="1" si="10"/>
        <v>45074</v>
      </c>
      <c r="P88" s="4" t="s">
        <v>76</v>
      </c>
      <c r="Q88" s="4" t="s">
        <v>77</v>
      </c>
      <c r="R88" s="4" t="s">
        <v>78</v>
      </c>
      <c r="S88" s="4" t="s">
        <v>79</v>
      </c>
      <c r="T88" s="4">
        <f ca="1">ROUND(_Google_ads[[#This Row],[impressions]]*RANDBETWEEN(8,12)/10,0)</f>
        <v>31057</v>
      </c>
      <c r="U88" s="4">
        <f ca="1">ROUND(_Google_ads[[#This Row],[clicks]]*RANDBETWEEN(8,12)/10,0)</f>
        <v>1210</v>
      </c>
      <c r="V88" s="4">
        <f ca="1">_Google_ads[[#This Row],[cost]]*RANDBETWEEN(8,12)/10</f>
        <v>316.36</v>
      </c>
      <c r="W88" s="4">
        <f ca="1">ROUND(_Google_ads[[#This Row],[conversions]]*RANDBETWEEN(8,12)/10,0)</f>
        <v>70</v>
      </c>
      <c r="X88" s="4">
        <f ca="1">ROUND(_Google_ads[[#This Row],[conversion_value]]*RANDBETWEEN(8,12)/10,0)</f>
        <v>2610</v>
      </c>
      <c r="Y88" s="4">
        <f ca="1">_Google_ads[[#This Row],[ctr]]*RANDBETWEEN(8,12)/10</f>
        <v>4.2799999999999998E-2</v>
      </c>
      <c r="Z88" s="4">
        <f ca="1">_Google_ads[[#This Row],[avg_cpc]]*RANDBETWEEN(8,12)/10</f>
        <v>0.20899999999999999</v>
      </c>
      <c r="AA88" s="4">
        <f ca="1">ROUND(_Google_ads[[#This Row],[quality_score]]*RANDBETWEEN(8,12)/10,0)</f>
        <v>7</v>
      </c>
      <c r="AB88" s="4">
        <f ca="1">_Google_ads[[#This Row],[search_impression_share]]*RANDBETWEEN(8,12)/10</f>
        <v>0.93999999999999984</v>
      </c>
      <c r="AD88" s="3">
        <f t="shared" ca="1" si="11"/>
        <v>45076</v>
      </c>
      <c r="AE88" s="4" t="s">
        <v>100</v>
      </c>
      <c r="AF88" s="4" t="s">
        <v>101</v>
      </c>
      <c r="AG88" s="4" t="s">
        <v>102</v>
      </c>
      <c r="AH88" s="4" t="s">
        <v>103</v>
      </c>
      <c r="AI88" s="4">
        <f ca="1">ROUND(T_Tiktok_ads[[#This Row],[impressions]]*RANDBETWEEN(8,12)/10,0)</f>
        <v>388147</v>
      </c>
      <c r="AJ88" s="4">
        <f ca="1">ROUND(T_Tiktok_ads[[#This Row],[clicks]]*RANDBETWEEN(8,12)/10,0)</f>
        <v>5268</v>
      </c>
      <c r="AK88" s="4">
        <v>645.70000000000005</v>
      </c>
      <c r="AL88" s="4">
        <f ca="1">ROUND(T_Tiktok_ads[[#This Row],[conversions]]*RANDBETWEEN(8,12)/10,0)</f>
        <v>40</v>
      </c>
      <c r="AM88" s="4">
        <f ca="1">ROUND(T_Tiktok_ads[[#This Row],[video_views]]*RANDBETWEEN(8,12)/10,0)</f>
        <v>241101</v>
      </c>
      <c r="AN88" s="4">
        <f ca="1">ROUND(T_Tiktok_ads[[#This Row],[video_watch_25]]*RANDBETWEEN(8,12)/10,0)</f>
        <v>167121</v>
      </c>
      <c r="AO88" s="4">
        <f ca="1">ROUND(T_Tiktok_ads[[#This Row],[video_watch_50]]*RANDBETWEEN(8,12)/10,0)</f>
        <v>118111</v>
      </c>
      <c r="AP88" s="4">
        <f ca="1">ROUND(T_Tiktok_ads[[#This Row],[video_watch_75]]*RANDBETWEEN(8,12)/10,0)</f>
        <v>105881</v>
      </c>
      <c r="AQ88" s="4">
        <f ca="1">ROUND(T_Tiktok_ads[[#This Row],[video_watch_100]]*RANDBETWEEN(8,12)/10,0)</f>
        <v>53011</v>
      </c>
      <c r="AR88" s="4">
        <f ca="1">ROUND(T_Tiktok_ads[[#This Row],[likes]]*RANDBETWEEN(8,12)/10,0)</f>
        <v>11567</v>
      </c>
      <c r="AS88" s="4">
        <f ca="1">ROUND(T_Tiktok_ads[[#This Row],[shares]]*RANDBETWEEN(8,12)/10,0)</f>
        <v>3134</v>
      </c>
      <c r="AT88" s="4">
        <f ca="1">ROUND(T_Tiktok_ads[[#This Row],[comments]]*RANDBETWEEN(8,12)/10,0)</f>
        <v>587</v>
      </c>
      <c r="AV88" s="5">
        <f t="shared" ca="1" si="12"/>
        <v>45059</v>
      </c>
      <c r="AW88">
        <f t="shared" ca="1" si="13"/>
        <v>2</v>
      </c>
      <c r="AX88">
        <f ca="1">ROUND(T_Facebook_Ads1159636771[[#This Row],[impressions]]*RANDBETWEEN(8,12)/10,0)</f>
        <v>58068</v>
      </c>
      <c r="AY88">
        <f ca="1">ROUND(T_Facebook_Ads1159636771[[#This Row],[clicks]]*RANDBETWEEN(8,12)/10,0)</f>
        <v>1123</v>
      </c>
      <c r="AZ88">
        <f ca="1">T_Facebook_Ads1159636771[[#This Row],[spend]]*RANDBETWEEN(8,12)/10</f>
        <v>172.04000000000002</v>
      </c>
      <c r="BA88">
        <f ca="1">ROUND(T_Facebook_Ads1159636771[[#This Row],[conversions]]*RANDBETWEEN(8,12)/10,0)</f>
        <v>16</v>
      </c>
      <c r="BB88">
        <f ca="1">ROUND(T_Facebook_Ads1159636771[[#This Row],[video_views]]*RANDBETWEEN(8,12)/10,0)</f>
        <v>12629</v>
      </c>
    </row>
    <row r="89" spans="1:54" ht="15.75" thickBot="1" x14ac:dyDescent="0.3">
      <c r="A89" s="3">
        <f t="shared" ca="1" si="9"/>
        <v>45058</v>
      </c>
      <c r="B89" s="4" t="s">
        <v>56</v>
      </c>
      <c r="C89" s="4" t="s">
        <v>57</v>
      </c>
      <c r="D89" s="4" t="s">
        <v>58</v>
      </c>
      <c r="E89" s="4" t="s">
        <v>59</v>
      </c>
      <c r="F89" s="4">
        <f ca="1">ROUND(T_Facebook_Ads[[#This Row],[impressions]]*RANDBETWEEN(8,12)/10,0)</f>
        <v>15678</v>
      </c>
      <c r="G89" s="4">
        <v>756</v>
      </c>
      <c r="H89" s="4">
        <f ca="1">T_Facebook_Ads[[#This Row],[spend]]*RANDBETWEEN(8,12)/10</f>
        <v>242.01</v>
      </c>
      <c r="I89" s="4">
        <f ca="1">ROUND(T_Facebook_Ads[[#This Row],[conversions]]*RANDBETWEEN(8,12)/10,0)</f>
        <v>52</v>
      </c>
      <c r="J89" s="4">
        <f ca="1">ROUND(T_Facebook_Ads[[#This Row],[video_views]]*RANDBETWEEN(8,12)/10,0)</f>
        <v>1846</v>
      </c>
      <c r="K89" s="4">
        <f ca="1">T_Facebook_Ads[[#This Row],[engagement_rate]]*RANDBETWEEN(8,12)/10</f>
        <v>3.8559999999999997E-2</v>
      </c>
      <c r="L89" s="4">
        <f ca="1">ROUND(T_Facebook_Ads[[#This Row],[reach]]*RANDBETWEEN(8,12)/10,0)</f>
        <v>14814</v>
      </c>
      <c r="M89" s="4">
        <f ca="1">T_Facebook_Ads[[#This Row],[frequency]]*RANDBETWEEN(8,12)/10</f>
        <v>1.397</v>
      </c>
      <c r="O89" s="3">
        <f t="shared" ca="1" si="10"/>
        <v>45073</v>
      </c>
      <c r="P89" s="4" t="s">
        <v>80</v>
      </c>
      <c r="Q89" s="4" t="s">
        <v>81</v>
      </c>
      <c r="R89" s="4" t="s">
        <v>82</v>
      </c>
      <c r="S89" s="4" t="s">
        <v>83</v>
      </c>
      <c r="T89" s="4">
        <f ca="1">ROUND(_Google_ads[[#This Row],[impressions]]*RANDBETWEEN(8,12)/10,0)</f>
        <v>39654</v>
      </c>
      <c r="U89" s="4">
        <f ca="1">ROUND(_Google_ads[[#This Row],[clicks]]*RANDBETWEEN(8,12)/10,0)</f>
        <v>911</v>
      </c>
      <c r="V89" s="4">
        <f ca="1">_Google_ads[[#This Row],[cost]]*RANDBETWEEN(8,12)/10</f>
        <v>570.78</v>
      </c>
      <c r="W89" s="4">
        <f ca="1">ROUND(_Google_ads[[#This Row],[conversions]]*RANDBETWEEN(8,12)/10,0)</f>
        <v>27</v>
      </c>
      <c r="X89" s="4">
        <f ca="1">ROUND(_Google_ads[[#This Row],[conversion_value]]*RANDBETWEEN(8,12)/10,0)</f>
        <v>1620</v>
      </c>
      <c r="Y89" s="4">
        <f ca="1">_Google_ads[[#This Row],[ctr]]*RANDBETWEEN(8,12)/10</f>
        <v>2.2440000000000002E-2</v>
      </c>
      <c r="Z89" s="4">
        <f ca="1">_Google_ads[[#This Row],[avg_cpc]]*RANDBETWEEN(8,12)/10</f>
        <v>0.56699999999999995</v>
      </c>
      <c r="AA89" s="4">
        <f ca="1">ROUND(_Google_ads[[#This Row],[quality_score]]*RANDBETWEEN(8,12)/10,0)</f>
        <v>7</v>
      </c>
      <c r="AB89" s="4">
        <f ca="1">_Google_ads[[#This Row],[search_impression_share]]*RANDBETWEEN(8,12)/10</f>
        <v>0.376</v>
      </c>
      <c r="AD89" s="3">
        <f t="shared" ca="1" si="11"/>
        <v>45068</v>
      </c>
      <c r="AE89" s="4" t="s">
        <v>104</v>
      </c>
      <c r="AF89" s="4" t="s">
        <v>105</v>
      </c>
      <c r="AG89" s="4" t="s">
        <v>106</v>
      </c>
      <c r="AH89" s="4" t="s">
        <v>107</v>
      </c>
      <c r="AI89" s="4">
        <f ca="1">ROUND(T_Tiktok_ads[[#This Row],[impressions]]*RANDBETWEEN(8,12)/10,0)</f>
        <v>143121</v>
      </c>
      <c r="AJ89" s="4">
        <f ca="1">ROUND(T_Tiktok_ads[[#This Row],[clicks]]*RANDBETWEEN(8,12)/10,0)</f>
        <v>2765</v>
      </c>
      <c r="AK89" s="4">
        <v>889.5</v>
      </c>
      <c r="AL89" s="4">
        <f ca="1">ROUND(T_Tiktok_ads[[#This Row],[conversions]]*RANDBETWEEN(8,12)/10,0)</f>
        <v>89</v>
      </c>
      <c r="AM89" s="4">
        <f ca="1">ROUND(T_Tiktok_ads[[#This Row],[video_views]]*RANDBETWEEN(8,12)/10,0)</f>
        <v>103121</v>
      </c>
      <c r="AN89" s="4">
        <f ca="1">ROUND(T_Tiktok_ads[[#This Row],[video_watch_25]]*RANDBETWEEN(8,12)/10,0)</f>
        <v>105246</v>
      </c>
      <c r="AO89" s="4">
        <f ca="1">ROUND(T_Tiktok_ads[[#This Row],[video_watch_50]]*RANDBETWEEN(8,12)/10,0)</f>
        <v>71024</v>
      </c>
      <c r="AP89" s="4">
        <f ca="1">ROUND(T_Tiktok_ads[[#This Row],[video_watch_75]]*RANDBETWEEN(8,12)/10,0)</f>
        <v>58280</v>
      </c>
      <c r="AQ89" s="4">
        <f ca="1">ROUND(T_Tiktok_ads[[#This Row],[video_watch_100]]*RANDBETWEEN(8,12)/10,0)</f>
        <v>25876</v>
      </c>
      <c r="AR89" s="4">
        <f ca="1">ROUND(T_Tiktok_ads[[#This Row],[likes]]*RANDBETWEEN(8,12)/10,0)</f>
        <v>6123</v>
      </c>
      <c r="AS89" s="4">
        <f ca="1">ROUND(T_Tiktok_ads[[#This Row],[shares]]*RANDBETWEEN(8,12)/10,0)</f>
        <v>1561</v>
      </c>
      <c r="AT89" s="4">
        <f ca="1">ROUND(T_Tiktok_ads[[#This Row],[comments]]*RANDBETWEEN(8,12)/10,0)</f>
        <v>380</v>
      </c>
      <c r="AV89" s="5">
        <f t="shared" ca="1" si="12"/>
        <v>45049</v>
      </c>
      <c r="AW89">
        <f t="shared" ca="1" si="13"/>
        <v>7</v>
      </c>
      <c r="AX89">
        <f ca="1">ROUND(T_Facebook_Ads1159636771[[#This Row],[impressions]]*RANDBETWEEN(8,12)/10,0)</f>
        <v>17246</v>
      </c>
      <c r="AY89">
        <f ca="1">ROUND(T_Facebook_Ads1159636771[[#This Row],[clicks]]*RANDBETWEEN(8,12)/10,0)</f>
        <v>680</v>
      </c>
      <c r="AZ89">
        <f ca="1">T_Facebook_Ads1159636771[[#This Row],[spend]]*RANDBETWEEN(8,12)/10</f>
        <v>242.01</v>
      </c>
      <c r="BA89">
        <f ca="1">ROUND(T_Facebook_Ads1159636771[[#This Row],[conversions]]*RANDBETWEEN(8,12)/10,0)</f>
        <v>62</v>
      </c>
      <c r="BB89">
        <f ca="1">ROUND(T_Facebook_Ads1159636771[[#This Row],[video_views]]*RANDBETWEEN(8,12)/10,0)</f>
        <v>2215</v>
      </c>
    </row>
    <row r="90" spans="1:54" ht="15.75" thickBot="1" x14ac:dyDescent="0.3">
      <c r="A90" s="3">
        <f t="shared" ca="1" si="9"/>
        <v>45074</v>
      </c>
      <c r="B90" s="4" t="s">
        <v>60</v>
      </c>
      <c r="C90" s="4" t="s">
        <v>61</v>
      </c>
      <c r="D90" s="4" t="s">
        <v>62</v>
      </c>
      <c r="E90" s="4" t="s">
        <v>63</v>
      </c>
      <c r="F90" s="4">
        <f ca="1">ROUND(T_Facebook_Ads[[#This Row],[impressions]]*RANDBETWEEN(8,12)/10,0)</f>
        <v>40567</v>
      </c>
      <c r="G90" s="4">
        <v>1567</v>
      </c>
      <c r="H90" s="4">
        <f ca="1">T_Facebook_Ads[[#This Row],[spend]]*RANDBETWEEN(8,12)/10</f>
        <v>214.74</v>
      </c>
      <c r="I90" s="4">
        <f ca="1">ROUND(T_Facebook_Ads[[#This Row],[conversions]]*RANDBETWEEN(8,12)/10,0)</f>
        <v>34</v>
      </c>
      <c r="J90" s="4">
        <f ca="1">ROUND(T_Facebook_Ads[[#This Row],[video_views]]*RANDBETWEEN(8,12)/10,0)</f>
        <v>6547</v>
      </c>
      <c r="K90" s="4">
        <f ca="1">T_Facebook_Ads[[#This Row],[engagement_rate]]*RANDBETWEEN(8,12)/10</f>
        <v>4.2460000000000005E-2</v>
      </c>
      <c r="L90" s="4">
        <f ca="1">ROUND(T_Facebook_Ads[[#This Row],[reach]]*RANDBETWEEN(8,12)/10,0)</f>
        <v>33234</v>
      </c>
      <c r="M90" s="4">
        <f ca="1">T_Facebook_Ads[[#This Row],[frequency]]*RANDBETWEEN(8,12)/10</f>
        <v>1.464</v>
      </c>
      <c r="O90" s="3">
        <f t="shared" ca="1" si="10"/>
        <v>45051</v>
      </c>
      <c r="P90" s="4" t="s">
        <v>84</v>
      </c>
      <c r="Q90" s="4" t="s">
        <v>85</v>
      </c>
      <c r="R90" s="4" t="s">
        <v>86</v>
      </c>
      <c r="S90" s="4" t="s">
        <v>87</v>
      </c>
      <c r="T90" s="4">
        <f ca="1">ROUND(_Google_ads[[#This Row],[impressions]]*RANDBETWEEN(8,12)/10,0)</f>
        <v>90281</v>
      </c>
      <c r="U90" s="4">
        <f ca="1">ROUND(_Google_ads[[#This Row],[clicks]]*RANDBETWEEN(8,12)/10,0)</f>
        <v>2054</v>
      </c>
      <c r="V90" s="4">
        <f ca="1">_Google_ads[[#This Row],[cost]]*RANDBETWEEN(8,12)/10</f>
        <v>561.36</v>
      </c>
      <c r="W90" s="4">
        <f ca="1">ROUND(_Google_ads[[#This Row],[conversions]]*RANDBETWEEN(8,12)/10,0)</f>
        <v>60</v>
      </c>
      <c r="X90" s="4">
        <f ca="1">ROUND(_Google_ads[[#This Row],[conversion_value]]*RANDBETWEEN(8,12)/10,0)</f>
        <v>4125</v>
      </c>
      <c r="Y90" s="4">
        <f ca="1">_Google_ads[[#This Row],[ctr]]*RANDBETWEEN(8,12)/10</f>
        <v>3.7510000000000002E-2</v>
      </c>
      <c r="Z90" s="4">
        <f ca="1">_Google_ads[[#This Row],[avg_cpc]]*RANDBETWEEN(8,12)/10</f>
        <v>0.19800000000000001</v>
      </c>
      <c r="AA90" s="4">
        <f ca="1">ROUND(_Google_ads[[#This Row],[quality_score]]*RANDBETWEEN(8,12)/10,0)</f>
        <v>6</v>
      </c>
      <c r="AB90" s="4">
        <f ca="1">_Google_ads[[#This Row],[search_impression_share]]*RANDBETWEEN(8,12)/10</f>
        <v>0.55999999999999994</v>
      </c>
      <c r="AD90" s="3">
        <f t="shared" ca="1" si="11"/>
        <v>45055</v>
      </c>
      <c r="AE90" s="4" t="s">
        <v>108</v>
      </c>
      <c r="AF90" s="4" t="s">
        <v>109</v>
      </c>
      <c r="AG90" s="4" t="s">
        <v>110</v>
      </c>
      <c r="AH90" s="4" t="s">
        <v>111</v>
      </c>
      <c r="AI90" s="4">
        <f ca="1">ROUND(T_Tiktok_ads[[#This Row],[impressions]]*RANDBETWEEN(8,12)/10,0)</f>
        <v>223121</v>
      </c>
      <c r="AJ90" s="4">
        <f ca="1">ROUND(T_Tiktok_ads[[#This Row],[clicks]]*RANDBETWEEN(8,12)/10,0)</f>
        <v>4657</v>
      </c>
      <c r="AK90" s="4">
        <v>534.20000000000005</v>
      </c>
      <c r="AL90" s="4">
        <f ca="1">ROUND(T_Tiktok_ads[[#This Row],[conversions]]*RANDBETWEEN(8,12)/10,0)</f>
        <v>47</v>
      </c>
      <c r="AM90" s="4">
        <f ca="1">ROUND(T_Tiktok_ads[[#This Row],[video_views]]*RANDBETWEEN(8,12)/10,0)</f>
        <v>245802</v>
      </c>
      <c r="AN90" s="4">
        <f ca="1">ROUND(T_Tiktok_ads[[#This Row],[video_watch_25]]*RANDBETWEEN(8,12)/10,0)</f>
        <v>152011</v>
      </c>
      <c r="AO90" s="4">
        <f ca="1">ROUND(T_Tiktok_ads[[#This Row],[video_watch_50]]*RANDBETWEEN(8,12)/10,0)</f>
        <v>146802</v>
      </c>
      <c r="AP90" s="4">
        <f ca="1">ROUND(T_Tiktok_ads[[#This Row],[video_watch_75]]*RANDBETWEEN(8,12)/10,0)</f>
        <v>94246</v>
      </c>
      <c r="AQ90" s="4">
        <f ca="1">ROUND(T_Tiktok_ads[[#This Row],[video_watch_100]]*RANDBETWEEN(8,12)/10,0)</f>
        <v>46610</v>
      </c>
      <c r="AR90" s="4">
        <f ca="1">ROUND(T_Tiktok_ads[[#This Row],[likes]]*RANDBETWEEN(8,12)/10,0)</f>
        <v>11347</v>
      </c>
      <c r="AS90" s="4">
        <f ca="1">ROUND(T_Tiktok_ads[[#This Row],[shares]]*RANDBETWEEN(8,12)/10,0)</f>
        <v>2634</v>
      </c>
      <c r="AT90" s="4">
        <f ca="1">ROUND(T_Tiktok_ads[[#This Row],[comments]]*RANDBETWEEN(8,12)/10,0)</f>
        <v>748</v>
      </c>
      <c r="AV90" s="5">
        <f t="shared" ca="1" si="12"/>
        <v>45053</v>
      </c>
      <c r="AW90">
        <f t="shared" ca="1" si="13"/>
        <v>2</v>
      </c>
      <c r="AX90">
        <f ca="1">ROUND(T_Facebook_Ads1159636771[[#This Row],[impressions]]*RANDBETWEEN(8,12)/10,0)</f>
        <v>32454</v>
      </c>
      <c r="AY90">
        <f ca="1">ROUND(T_Facebook_Ads1159636771[[#This Row],[clicks]]*RANDBETWEEN(8,12)/10,0)</f>
        <v>1254</v>
      </c>
      <c r="AZ90">
        <f ca="1">T_Facebook_Ads1159636771[[#This Row],[spend]]*RANDBETWEEN(8,12)/10</f>
        <v>236.21400000000003</v>
      </c>
      <c r="BA90">
        <f ca="1">ROUND(T_Facebook_Ads1159636771[[#This Row],[conversions]]*RANDBETWEEN(8,12)/10,0)</f>
        <v>34</v>
      </c>
      <c r="BB90">
        <f ca="1">ROUND(T_Facebook_Ads1159636771[[#This Row],[video_views]]*RANDBETWEEN(8,12)/10,0)</f>
        <v>6547</v>
      </c>
    </row>
    <row r="91" spans="1:54" ht="15.75" thickBot="1" x14ac:dyDescent="0.3">
      <c r="A91" s="3">
        <f t="shared" ca="1" si="9"/>
        <v>45070</v>
      </c>
      <c r="B91" s="4" t="s">
        <v>64</v>
      </c>
      <c r="C91" s="4" t="s">
        <v>65</v>
      </c>
      <c r="D91" s="4" t="s">
        <v>66</v>
      </c>
      <c r="E91" s="4" t="s">
        <v>67</v>
      </c>
      <c r="F91" s="4">
        <f ca="1">ROUND(T_Facebook_Ads[[#This Row],[impressions]]*RANDBETWEEN(8,12)/10,0)</f>
        <v>69201</v>
      </c>
      <c r="G91" s="4">
        <v>278</v>
      </c>
      <c r="H91" s="4">
        <f ca="1">T_Facebook_Ads[[#This Row],[spend]]*RANDBETWEEN(8,12)/10</f>
        <v>119.04</v>
      </c>
      <c r="I91" s="4">
        <f ca="1">ROUND(T_Facebook_Ads[[#This Row],[conversions]]*RANDBETWEEN(8,12)/10,0)</f>
        <v>6</v>
      </c>
      <c r="J91" s="4">
        <f ca="1">ROUND(T_Facebook_Ads[[#This Row],[video_views]]*RANDBETWEEN(8,12)/10,0)</f>
        <v>56724</v>
      </c>
      <c r="K91" s="4">
        <f ca="1">T_Facebook_Ads[[#This Row],[engagement_rate]]*RANDBETWEEN(8,12)/10</f>
        <v>2.8799999999999997E-3</v>
      </c>
      <c r="L91" s="4">
        <f ca="1">ROUND(T_Facebook_Ads[[#This Row],[reach]]*RANDBETWEEN(8,12)/10,0)</f>
        <v>69179</v>
      </c>
      <c r="M91" s="4">
        <f ca="1">T_Facebook_Ads[[#This Row],[frequency]]*RANDBETWEEN(8,12)/10</f>
        <v>1.476</v>
      </c>
      <c r="O91" s="3">
        <f t="shared" ca="1" si="10"/>
        <v>45071</v>
      </c>
      <c r="P91" s="4" t="s">
        <v>88</v>
      </c>
      <c r="Q91" s="4" t="s">
        <v>89</v>
      </c>
      <c r="R91" s="4" t="s">
        <v>90</v>
      </c>
      <c r="S91" s="4" t="s">
        <v>59</v>
      </c>
      <c r="T91" s="4">
        <f ca="1">ROUND(_Google_ads[[#This Row],[impressions]]*RANDBETWEEN(8,12)/10,0)</f>
        <v>113876</v>
      </c>
      <c r="U91" s="4">
        <f ca="1">ROUND(_Google_ads[[#This Row],[clicks]]*RANDBETWEEN(8,12)/10,0)</f>
        <v>654</v>
      </c>
      <c r="V91" s="4">
        <f ca="1">_Google_ads[[#This Row],[cost]]*RANDBETWEEN(8,12)/10</f>
        <v>139.9</v>
      </c>
      <c r="W91" s="4">
        <f ca="1">ROUND(_Google_ads[[#This Row],[conversions]]*RANDBETWEEN(8,12)/10,0)</f>
        <v>19</v>
      </c>
      <c r="X91" s="4">
        <f ca="1">ROUND(_Google_ads[[#This Row],[conversion_value]]*RANDBETWEEN(8,12)/10,0)</f>
        <v>800</v>
      </c>
      <c r="Y91" s="4">
        <f ca="1">_Google_ads[[#This Row],[ctr]]*RANDBETWEEN(8,12)/10</f>
        <v>3.4200000000000003E-3</v>
      </c>
      <c r="Z91" s="4">
        <f ca="1">_Google_ads[[#This Row],[avg_cpc]]*RANDBETWEEN(8,12)/10</f>
        <v>0.312</v>
      </c>
      <c r="AA91" s="4">
        <f ca="1">ROUND(_Google_ads[[#This Row],[quality_score]]*RANDBETWEEN(8,12)/10,0)</f>
        <v>8</v>
      </c>
      <c r="AB91" s="4">
        <f ca="1">_Google_ads[[#This Row],[search_impression_share]]*RANDBETWEEN(8,12)/10</f>
        <v>0.29599999999999999</v>
      </c>
      <c r="AD91" s="3">
        <f t="shared" ca="1" si="11"/>
        <v>45077</v>
      </c>
      <c r="AE91" s="4" t="s">
        <v>112</v>
      </c>
      <c r="AF91" s="4" t="s">
        <v>113</v>
      </c>
      <c r="AG91" s="4" t="s">
        <v>114</v>
      </c>
      <c r="AH91" s="4" t="s">
        <v>115</v>
      </c>
      <c r="AI91" s="4">
        <f ca="1">ROUND(T_Tiktok_ads[[#This Row],[impressions]]*RANDBETWEEN(8,12)/10,0)</f>
        <v>421101</v>
      </c>
      <c r="AJ91" s="4">
        <f ca="1">ROUND(T_Tiktok_ads[[#This Row],[clicks]]*RANDBETWEEN(8,12)/10,0)</f>
        <v>7623</v>
      </c>
      <c r="AK91" s="4">
        <v>1189.4000000000001</v>
      </c>
      <c r="AL91" s="4">
        <f ca="1">ROUND(T_Tiktok_ads[[#This Row],[conversions]]*RANDBETWEEN(8,12)/10,0)</f>
        <v>120</v>
      </c>
      <c r="AM91" s="4">
        <f ca="1">ROUND(T_Tiktok_ads[[#This Row],[video_views]]*RANDBETWEEN(8,12)/10,0)</f>
        <v>401234</v>
      </c>
      <c r="AN91" s="4">
        <f ca="1">ROUND(T_Tiktok_ads[[#This Row],[video_watch_25]]*RANDBETWEEN(8,12)/10,0)</f>
        <v>388147</v>
      </c>
      <c r="AO91" s="4">
        <f ca="1">ROUND(T_Tiktok_ads[[#This Row],[video_watch_50]]*RANDBETWEEN(8,12)/10,0)</f>
        <v>207121</v>
      </c>
      <c r="AP91" s="4">
        <f ca="1">ROUND(T_Tiktok_ads[[#This Row],[video_watch_75]]*RANDBETWEEN(8,12)/10,0)</f>
        <v>203024</v>
      </c>
      <c r="AQ91" s="4">
        <f ca="1">ROUND(T_Tiktok_ads[[#This Row],[video_watch_100]]*RANDBETWEEN(8,12)/10,0)</f>
        <v>110111</v>
      </c>
      <c r="AR91" s="4">
        <f ca="1">ROUND(T_Tiktok_ads[[#This Row],[likes]]*RANDBETWEEN(8,12)/10,0)</f>
        <v>18710</v>
      </c>
      <c r="AS91" s="4">
        <f ca="1">ROUND(T_Tiktok_ads[[#This Row],[shares]]*RANDBETWEEN(8,12)/10,0)</f>
        <v>4827</v>
      </c>
      <c r="AT91" s="4">
        <f ca="1">ROUND(T_Tiktok_ads[[#This Row],[comments]]*RANDBETWEEN(8,12)/10,0)</f>
        <v>1342</v>
      </c>
      <c r="AV91" s="5">
        <f t="shared" ca="1" si="12"/>
        <v>45058</v>
      </c>
      <c r="AW91">
        <f t="shared" ca="1" si="13"/>
        <v>8</v>
      </c>
      <c r="AX91">
        <f ca="1">ROUND(T_Facebook_Ads1159636771[[#This Row],[impressions]]*RANDBETWEEN(8,12)/10,0)</f>
        <v>55361</v>
      </c>
      <c r="AY91">
        <f ca="1">ROUND(T_Facebook_Ads1159636771[[#This Row],[clicks]]*RANDBETWEEN(8,12)/10,0)</f>
        <v>334</v>
      </c>
      <c r="AZ91">
        <f ca="1">T_Facebook_Ads1159636771[[#This Row],[spend]]*RANDBETWEEN(8,12)/10</f>
        <v>142.84800000000001</v>
      </c>
      <c r="BA91">
        <f ca="1">ROUND(T_Facebook_Ads1159636771[[#This Row],[conversions]]*RANDBETWEEN(8,12)/10,0)</f>
        <v>7</v>
      </c>
      <c r="BB91">
        <f ca="1">ROUND(T_Facebook_Ads1159636771[[#This Row],[video_views]]*RANDBETWEEN(8,12)/10,0)</f>
        <v>45379</v>
      </c>
    </row>
    <row r="92" spans="1:54" ht="15.75" thickBot="1" x14ac:dyDescent="0.3">
      <c r="A92" s="3">
        <f t="shared" ca="1" si="9"/>
        <v>45072</v>
      </c>
      <c r="B92" s="4" t="s">
        <v>52</v>
      </c>
      <c r="C92" s="4" t="s">
        <v>53</v>
      </c>
      <c r="D92" s="4" t="s">
        <v>54</v>
      </c>
      <c r="E92" s="4" t="s">
        <v>55</v>
      </c>
      <c r="F92" s="4">
        <f ca="1">ROUND(T_Facebook_Ads[[#This Row],[impressions]]*RANDBETWEEN(8,12)/10,0)</f>
        <v>50123</v>
      </c>
      <c r="G92" s="4">
        <v>1034</v>
      </c>
      <c r="H92" s="4">
        <f ca="1">T_Facebook_Ads[[#This Row],[spend]]*RANDBETWEEN(8,12)/10</f>
        <v>162.25</v>
      </c>
      <c r="I92" s="4">
        <f ca="1">ROUND(T_Facebook_Ads[[#This Row],[conversions]]*RANDBETWEEN(8,12)/10,0)</f>
        <v>14</v>
      </c>
      <c r="J92" s="4">
        <f ca="1">ROUND(T_Facebook_Ads[[#This Row],[video_views]]*RANDBETWEEN(8,12)/10,0)</f>
        <v>10948</v>
      </c>
      <c r="K92" s="4">
        <f ca="1">T_Facebook_Ads[[#This Row],[engagement_rate]]*RANDBETWEEN(8,12)/10</f>
        <v>2.06E-2</v>
      </c>
      <c r="L92" s="4">
        <f ca="1">ROUND(T_Facebook_Ads[[#This Row],[reach]]*RANDBETWEEN(8,12)/10,0)</f>
        <v>33512</v>
      </c>
      <c r="M92" s="4">
        <f ca="1">T_Facebook_Ads[[#This Row],[frequency]]*RANDBETWEEN(8,12)/10</f>
        <v>0.96</v>
      </c>
      <c r="O92" s="3">
        <f t="shared" ca="1" si="10"/>
        <v>45047</v>
      </c>
      <c r="P92" s="4" t="s">
        <v>76</v>
      </c>
      <c r="Q92" s="4" t="s">
        <v>77</v>
      </c>
      <c r="R92" s="4" t="s">
        <v>78</v>
      </c>
      <c r="S92" s="4" t="s">
        <v>79</v>
      </c>
      <c r="T92" s="4">
        <f ca="1">ROUND(_Google_ads[[#This Row],[impressions]]*RANDBETWEEN(8,12)/10,0)</f>
        <v>24110</v>
      </c>
      <c r="U92" s="4">
        <f ca="1">ROUND(_Google_ads[[#This Row],[clicks]]*RANDBETWEEN(8,12)/10,0)</f>
        <v>1378</v>
      </c>
      <c r="V92" s="4">
        <f ca="1">_Google_ads[[#This Row],[cost]]*RANDBETWEEN(8,12)/10</f>
        <v>210.71999999999997</v>
      </c>
      <c r="W92" s="4">
        <f ca="1">ROUND(_Google_ads[[#This Row],[conversions]]*RANDBETWEEN(8,12)/10,0)</f>
        <v>64</v>
      </c>
      <c r="X92" s="4">
        <f ca="1">ROUND(_Google_ads[[#This Row],[conversion_value]]*RANDBETWEEN(8,12)/10,0)</f>
        <v>2915</v>
      </c>
      <c r="Y92" s="4">
        <f ca="1">_Google_ads[[#This Row],[ctr]]*RANDBETWEEN(8,12)/10</f>
        <v>5.1500000000000004E-2</v>
      </c>
      <c r="Z92" s="4">
        <f ca="1">_Google_ads[[#This Row],[avg_cpc]]*RANDBETWEEN(8,12)/10</f>
        <v>0.152</v>
      </c>
      <c r="AA92" s="4">
        <f ca="1">ROUND(_Google_ads[[#This Row],[quality_score]]*RANDBETWEEN(8,12)/10,0)</f>
        <v>9</v>
      </c>
      <c r="AB92" s="4">
        <f ca="1">_Google_ads[[#This Row],[search_impression_share]]*RANDBETWEEN(8,12)/10</f>
        <v>0.73599999999999999</v>
      </c>
      <c r="AD92" s="3">
        <f t="shared" ca="1" si="11"/>
        <v>45048</v>
      </c>
      <c r="AE92" s="4" t="s">
        <v>100</v>
      </c>
      <c r="AF92" s="4" t="s">
        <v>101</v>
      </c>
      <c r="AG92" s="4" t="s">
        <v>102</v>
      </c>
      <c r="AH92" s="4" t="s">
        <v>103</v>
      </c>
      <c r="AI92" s="4">
        <f ca="1">ROUND(T_Tiktok_ads[[#This Row],[impressions]]*RANDBETWEEN(8,12)/10,0)</f>
        <v>271111</v>
      </c>
      <c r="AJ92" s="4">
        <f ca="1">ROUND(T_Tiktok_ads[[#This Row],[clicks]]*RANDBETWEEN(8,12)/10,0)</f>
        <v>5347</v>
      </c>
      <c r="AK92" s="4">
        <v>589.9</v>
      </c>
      <c r="AL92" s="4">
        <f ca="1">ROUND(T_Tiktok_ads[[#This Row],[conversions]]*RANDBETWEEN(8,12)/10,0)</f>
        <v>51</v>
      </c>
      <c r="AM92" s="4">
        <f ca="1">ROUND(T_Tiktok_ads[[#This Row],[video_views]]*RANDBETWEEN(8,12)/10,0)</f>
        <v>245678</v>
      </c>
      <c r="AN92" s="4">
        <f ca="1">ROUND(T_Tiktok_ads[[#This Row],[video_watch_25]]*RANDBETWEEN(8,12)/10,0)</f>
        <v>229481</v>
      </c>
      <c r="AO92" s="4">
        <f ca="1">ROUND(T_Tiktok_ads[[#This Row],[video_watch_50]]*RANDBETWEEN(8,12)/10,0)</f>
        <v>131157</v>
      </c>
      <c r="AP92" s="4">
        <f ca="1">ROUND(T_Tiktok_ads[[#This Row],[video_watch_75]]*RANDBETWEEN(8,12)/10,0)</f>
        <v>72211</v>
      </c>
      <c r="AQ92" s="4">
        <f ca="1">ROUND(T_Tiktok_ads[[#This Row],[video_watch_100]]*RANDBETWEEN(8,12)/10,0)</f>
        <v>53456</v>
      </c>
      <c r="AR92" s="4">
        <f ca="1">ROUND(T_Tiktok_ads[[#This Row],[likes]]*RANDBETWEEN(8,12)/10,0)</f>
        <v>11868</v>
      </c>
      <c r="AS92" s="4">
        <f ca="1">ROUND(T_Tiktok_ads[[#This Row],[shares]]*RANDBETWEEN(8,12)/10,0)</f>
        <v>2321</v>
      </c>
      <c r="AT92" s="4">
        <f ca="1">ROUND(T_Tiktok_ads[[#This Row],[comments]]*RANDBETWEEN(8,12)/10,0)</f>
        <v>827</v>
      </c>
      <c r="AV92" s="5">
        <f t="shared" ca="1" si="12"/>
        <v>45064</v>
      </c>
      <c r="AW92">
        <f t="shared" ca="1" si="13"/>
        <v>8</v>
      </c>
      <c r="AX92">
        <f ca="1">ROUND(T_Facebook_Ads1159636771[[#This Row],[impressions]]*RANDBETWEEN(8,12)/10,0)</f>
        <v>55135</v>
      </c>
      <c r="AY92">
        <f ca="1">ROUND(T_Facebook_Ads1159636771[[#This Row],[clicks]]*RANDBETWEEN(8,12)/10,0)</f>
        <v>827</v>
      </c>
      <c r="AZ92">
        <f ca="1">T_Facebook_Ads1159636771[[#This Row],[spend]]*RANDBETWEEN(8,12)/10</f>
        <v>194.7</v>
      </c>
      <c r="BA92">
        <f ca="1">ROUND(T_Facebook_Ads1159636771[[#This Row],[conversions]]*RANDBETWEEN(8,12)/10,0)</f>
        <v>17</v>
      </c>
      <c r="BB92">
        <f ca="1">ROUND(T_Facebook_Ads1159636771[[#This Row],[video_views]]*RANDBETWEEN(8,12)/10,0)</f>
        <v>13138</v>
      </c>
    </row>
    <row r="93" spans="1:54" ht="15.75" thickBot="1" x14ac:dyDescent="0.3">
      <c r="A93" s="3">
        <f t="shared" ca="1" si="9"/>
        <v>45051</v>
      </c>
      <c r="B93" s="4" t="s">
        <v>56</v>
      </c>
      <c r="C93" s="4" t="s">
        <v>57</v>
      </c>
      <c r="D93" s="4" t="s">
        <v>58</v>
      </c>
      <c r="E93" s="4" t="s">
        <v>59</v>
      </c>
      <c r="F93" s="4">
        <f ca="1">ROUND(T_Facebook_Ads[[#This Row],[impressions]]*RANDBETWEEN(8,12)/10,0)</f>
        <v>14234</v>
      </c>
      <c r="G93" s="4">
        <v>689</v>
      </c>
      <c r="H93" s="4">
        <f ca="1">T_Facebook_Ads[[#This Row],[spend]]*RANDBETWEEN(8,12)/10</f>
        <v>305.64</v>
      </c>
      <c r="I93" s="4">
        <f ca="1">ROUND(T_Facebook_Ads[[#This Row],[conversions]]*RANDBETWEEN(8,12)/10,0)</f>
        <v>40</v>
      </c>
      <c r="J93" s="4">
        <f ca="1">ROUND(T_Facebook_Ads[[#This Row],[video_views]]*RANDBETWEEN(8,12)/10,0)</f>
        <v>1602</v>
      </c>
      <c r="K93" s="4">
        <f ca="1">T_Facebook_Ads[[#This Row],[engagement_rate]]*RANDBETWEEN(8,12)/10</f>
        <v>4.8399999999999999E-2</v>
      </c>
      <c r="L93" s="4">
        <f ca="1">ROUND(T_Facebook_Ads[[#This Row],[reach]]*RANDBETWEEN(8,12)/10,0)</f>
        <v>10111</v>
      </c>
      <c r="M93" s="4">
        <f ca="1">T_Facebook_Ads[[#This Row],[frequency]]*RANDBETWEEN(8,12)/10</f>
        <v>1.016</v>
      </c>
      <c r="O93" s="3">
        <f t="shared" ca="1" si="10"/>
        <v>45076</v>
      </c>
      <c r="P93" s="4" t="s">
        <v>80</v>
      </c>
      <c r="Q93" s="4" t="s">
        <v>81</v>
      </c>
      <c r="R93" s="4" t="s">
        <v>82</v>
      </c>
      <c r="S93" s="4" t="s">
        <v>83</v>
      </c>
      <c r="T93" s="4">
        <f ca="1">ROUND(_Google_ads[[#This Row],[impressions]]*RANDBETWEEN(8,12)/10,0)</f>
        <v>37787</v>
      </c>
      <c r="U93" s="4">
        <f ca="1">ROUND(_Google_ads[[#This Row],[clicks]]*RANDBETWEEN(8,12)/10,0)</f>
        <v>1134</v>
      </c>
      <c r="V93" s="4">
        <f ca="1">_Google_ads[[#This Row],[cost]]*RANDBETWEEN(8,12)/10</f>
        <v>545.04000000000008</v>
      </c>
      <c r="W93" s="4">
        <f ca="1">ROUND(_Google_ads[[#This Row],[conversions]]*RANDBETWEEN(8,12)/10,0)</f>
        <v>28</v>
      </c>
      <c r="X93" s="4">
        <f ca="1">ROUND(_Google_ads[[#This Row],[conversion_value]]*RANDBETWEEN(8,12)/10,0)</f>
        <v>1000</v>
      </c>
      <c r="Y93" s="4">
        <f ca="1">_Google_ads[[#This Row],[ctr]]*RANDBETWEEN(8,12)/10</f>
        <v>1.7999999999999999E-2</v>
      </c>
      <c r="Z93" s="4">
        <f ca="1">_Google_ads[[#This Row],[avg_cpc]]*RANDBETWEEN(8,12)/10</f>
        <v>0.64</v>
      </c>
      <c r="AA93" s="4">
        <f ca="1">ROUND(_Google_ads[[#This Row],[quality_score]]*RANDBETWEEN(8,12)/10,0)</f>
        <v>8</v>
      </c>
      <c r="AB93" s="4">
        <f ca="1">_Google_ads[[#This Row],[search_impression_share]]*RANDBETWEEN(8,12)/10</f>
        <v>0.46000000000000008</v>
      </c>
      <c r="AD93" s="3">
        <f t="shared" ca="1" si="11"/>
        <v>45067</v>
      </c>
      <c r="AE93" s="4" t="s">
        <v>104</v>
      </c>
      <c r="AF93" s="4" t="s">
        <v>105</v>
      </c>
      <c r="AG93" s="4" t="s">
        <v>106</v>
      </c>
      <c r="AH93" s="4" t="s">
        <v>107</v>
      </c>
      <c r="AI93" s="4">
        <f ca="1">ROUND(T_Tiktok_ads[[#This Row],[impressions]]*RANDBETWEEN(8,12)/10,0)</f>
        <v>201468</v>
      </c>
      <c r="AJ93" s="4">
        <f ca="1">ROUND(T_Tiktok_ads[[#This Row],[clicks]]*RANDBETWEEN(8,12)/10,0)</f>
        <v>3234</v>
      </c>
      <c r="AK93" s="4">
        <v>845.6</v>
      </c>
      <c r="AL93" s="4">
        <f ca="1">ROUND(T_Tiktok_ads[[#This Row],[conversions]]*RANDBETWEEN(8,12)/10,0)</f>
        <v>102</v>
      </c>
      <c r="AM93" s="4">
        <f ca="1">ROUND(T_Tiktok_ads[[#This Row],[video_views]]*RANDBETWEEN(8,12)/10,0)</f>
        <v>141468</v>
      </c>
      <c r="AN93" s="4">
        <f ca="1">ROUND(T_Tiktok_ads[[#This Row],[video_watch_25]]*RANDBETWEEN(8,12)/10,0)</f>
        <v>78511</v>
      </c>
      <c r="AO93" s="4">
        <f ca="1">ROUND(T_Tiktok_ads[[#This Row],[video_watch_50]]*RANDBETWEEN(8,12)/10,0)</f>
        <v>58901</v>
      </c>
      <c r="AP93" s="4">
        <f ca="1">ROUND(T_Tiktok_ads[[#This Row],[video_watch_75]]*RANDBETWEEN(8,12)/10,0)</f>
        <v>48657</v>
      </c>
      <c r="AQ93" s="4">
        <f ca="1">ROUND(T_Tiktok_ads[[#This Row],[video_watch_100]]*RANDBETWEEN(8,12)/10,0)</f>
        <v>35480</v>
      </c>
      <c r="AR93" s="4">
        <f ca="1">ROUND(T_Tiktok_ads[[#This Row],[likes]]*RANDBETWEEN(8,12)/10,0)</f>
        <v>6246</v>
      </c>
      <c r="AS93" s="4">
        <f ca="1">ROUND(T_Tiktok_ads[[#This Row],[shares]]*RANDBETWEEN(8,12)/10,0)</f>
        <v>1471</v>
      </c>
      <c r="AT93" s="4">
        <f ca="1">ROUND(T_Tiktok_ads[[#This Row],[comments]]*RANDBETWEEN(8,12)/10,0)</f>
        <v>312</v>
      </c>
      <c r="AV93" s="5">
        <f t="shared" ca="1" si="12"/>
        <v>45070</v>
      </c>
      <c r="AW93">
        <f t="shared" ca="1" si="13"/>
        <v>5</v>
      </c>
      <c r="AX93">
        <f ca="1">ROUND(T_Facebook_Ads1159636771[[#This Row],[impressions]]*RANDBETWEEN(8,12)/10,0)</f>
        <v>14234</v>
      </c>
      <c r="AY93">
        <f ca="1">ROUND(T_Facebook_Ads1159636771[[#This Row],[clicks]]*RANDBETWEEN(8,12)/10,0)</f>
        <v>758</v>
      </c>
      <c r="AZ93">
        <f ca="1">T_Facebook_Ads1159636771[[#This Row],[spend]]*RANDBETWEEN(8,12)/10</f>
        <v>336.20400000000001</v>
      </c>
      <c r="BA93">
        <f ca="1">ROUND(T_Facebook_Ads1159636771[[#This Row],[conversions]]*RANDBETWEEN(8,12)/10,0)</f>
        <v>44</v>
      </c>
      <c r="BB93">
        <f ca="1">ROUND(T_Facebook_Ads1159636771[[#This Row],[video_views]]*RANDBETWEEN(8,12)/10,0)</f>
        <v>1442</v>
      </c>
    </row>
    <row r="94" spans="1:54" ht="15.75" thickBot="1" x14ac:dyDescent="0.3">
      <c r="A94" s="3">
        <f t="shared" ca="1" si="9"/>
        <v>45068</v>
      </c>
      <c r="B94" s="4" t="s">
        <v>60</v>
      </c>
      <c r="C94" s="4" t="s">
        <v>61</v>
      </c>
      <c r="D94" s="4" t="s">
        <v>62</v>
      </c>
      <c r="E94" s="4" t="s">
        <v>63</v>
      </c>
      <c r="F94" s="4">
        <f ca="1">ROUND(T_Facebook_Ads[[#This Row],[impressions]]*RANDBETWEEN(8,12)/10,0)</f>
        <v>31112</v>
      </c>
      <c r="G94" s="4">
        <v>1445</v>
      </c>
      <c r="H94" s="4">
        <f ca="1">T_Facebook_Ads[[#This Row],[spend]]*RANDBETWEEN(8,12)/10</f>
        <v>277.43999999999994</v>
      </c>
      <c r="I94" s="4">
        <f ca="1">ROUND(T_Facebook_Ads[[#This Row],[conversions]]*RANDBETWEEN(8,12)/10,0)</f>
        <v>32</v>
      </c>
      <c r="J94" s="4">
        <f ca="1">ROUND(T_Facebook_Ads[[#This Row],[video_views]]*RANDBETWEEN(8,12)/10,0)</f>
        <v>5635</v>
      </c>
      <c r="K94" s="4">
        <f ca="1">T_Facebook_Ads[[#This Row],[engagement_rate]]*RANDBETWEEN(8,12)/10</f>
        <v>3.3479999999999996E-2</v>
      </c>
      <c r="L94" s="4">
        <f ca="1">ROUND(T_Facebook_Ads[[#This Row],[reach]]*RANDBETWEEN(8,12)/10,0)</f>
        <v>37880</v>
      </c>
      <c r="M94" s="4">
        <f ca="1">T_Facebook_Ads[[#This Row],[frequency]]*RANDBETWEEN(8,12)/10</f>
        <v>1.107</v>
      </c>
      <c r="O94" s="3">
        <f t="shared" ca="1" si="10"/>
        <v>45055</v>
      </c>
      <c r="P94" s="4" t="s">
        <v>84</v>
      </c>
      <c r="Q94" s="4" t="s">
        <v>85</v>
      </c>
      <c r="R94" s="4" t="s">
        <v>86</v>
      </c>
      <c r="S94" s="4" t="s">
        <v>87</v>
      </c>
      <c r="T94" s="4">
        <f ca="1">ROUND(_Google_ads[[#This Row],[impressions]]*RANDBETWEEN(8,12)/10,0)</f>
        <v>65601</v>
      </c>
      <c r="U94" s="4">
        <f ca="1">ROUND(_Google_ads[[#This Row],[clicks]]*RANDBETWEEN(8,12)/10,0)</f>
        <v>2677</v>
      </c>
      <c r="V94" s="4">
        <f ca="1">_Google_ads[[#This Row],[cost]]*RANDBETWEEN(8,12)/10</f>
        <v>405.17999999999995</v>
      </c>
      <c r="W94" s="4">
        <f ca="1">ROUND(_Google_ads[[#This Row],[conversions]]*RANDBETWEEN(8,12)/10,0)</f>
        <v>78</v>
      </c>
      <c r="X94" s="4">
        <f ca="1">ROUND(_Google_ads[[#This Row],[conversion_value]]*RANDBETWEEN(8,12)/10,0)</f>
        <v>4260</v>
      </c>
      <c r="Y94" s="4">
        <f ca="1">_Google_ads[[#This Row],[ctr]]*RANDBETWEEN(8,12)/10</f>
        <v>3.0059999999999996E-2</v>
      </c>
      <c r="Z94" s="4">
        <f ca="1">_Google_ads[[#This Row],[avg_cpc]]*RANDBETWEEN(8,12)/10</f>
        <v>0.21600000000000003</v>
      </c>
      <c r="AA94" s="4">
        <f ca="1">ROUND(_Google_ads[[#This Row],[quality_score]]*RANDBETWEEN(8,12)/10,0)</f>
        <v>8</v>
      </c>
      <c r="AB94" s="4">
        <f ca="1">_Google_ads[[#This Row],[search_impression_share]]*RANDBETWEEN(8,12)/10</f>
        <v>0.55199999999999994</v>
      </c>
      <c r="AD94" s="3">
        <f t="shared" ca="1" si="11"/>
        <v>45075</v>
      </c>
      <c r="AE94" s="4" t="s">
        <v>108</v>
      </c>
      <c r="AF94" s="4" t="s">
        <v>109</v>
      </c>
      <c r="AG94" s="4" t="s">
        <v>110</v>
      </c>
      <c r="AH94" s="4" t="s">
        <v>111</v>
      </c>
      <c r="AI94" s="4">
        <f ca="1">ROUND(T_Tiktok_ads[[#This Row],[impressions]]*RANDBETWEEN(8,12)/10,0)</f>
        <v>282468</v>
      </c>
      <c r="AJ94" s="4">
        <f ca="1">ROUND(T_Tiktok_ads[[#This Row],[clicks]]*RANDBETWEEN(8,12)/10,0)</f>
        <v>4012</v>
      </c>
      <c r="AK94" s="4">
        <v>489.2</v>
      </c>
      <c r="AL94" s="4">
        <f ca="1">ROUND(T_Tiktok_ads[[#This Row],[conversions]]*RANDBETWEEN(8,12)/10,0)</f>
        <v>32</v>
      </c>
      <c r="AM94" s="4">
        <f ca="1">ROUND(T_Tiktok_ads[[#This Row],[video_views]]*RANDBETWEEN(8,12)/10,0)</f>
        <v>241481</v>
      </c>
      <c r="AN94" s="4">
        <f ca="1">ROUND(T_Tiktok_ads[[#This Row],[video_watch_25]]*RANDBETWEEN(8,12)/10,0)</f>
        <v>182814</v>
      </c>
      <c r="AO94" s="4">
        <f ca="1">ROUND(T_Tiktok_ads[[#This Row],[video_watch_50]]*RANDBETWEEN(8,12)/10,0)</f>
        <v>144547</v>
      </c>
      <c r="AP94" s="4">
        <f ca="1">ROUND(T_Tiktok_ads[[#This Row],[video_watch_75]]*RANDBETWEEN(8,12)/10,0)</f>
        <v>93468</v>
      </c>
      <c r="AQ94" s="4">
        <f ca="1">ROUND(T_Tiktok_ads[[#This Row],[video_watch_100]]*RANDBETWEEN(8,12)/10,0)</f>
        <v>47234</v>
      </c>
      <c r="AR94" s="4">
        <f ca="1">ROUND(T_Tiktok_ads[[#This Row],[likes]]*RANDBETWEEN(8,12)/10,0)</f>
        <v>10681</v>
      </c>
      <c r="AS94" s="4">
        <f ca="1">ROUND(T_Tiktok_ads[[#This Row],[shares]]*RANDBETWEEN(8,12)/10,0)</f>
        <v>2702</v>
      </c>
      <c r="AT94" s="4">
        <f ca="1">ROUND(T_Tiktok_ads[[#This Row],[comments]]*RANDBETWEEN(8,12)/10,0)</f>
        <v>471</v>
      </c>
      <c r="AV94" s="5">
        <f t="shared" ca="1" si="12"/>
        <v>45049</v>
      </c>
      <c r="AW94">
        <f t="shared" ca="1" si="13"/>
        <v>7</v>
      </c>
      <c r="AX94">
        <f ca="1">ROUND(T_Facebook_Ads1159636771[[#This Row],[impressions]]*RANDBETWEEN(8,12)/10,0)</f>
        <v>24890</v>
      </c>
      <c r="AY94">
        <f ca="1">ROUND(T_Facebook_Ads1159636771[[#This Row],[clicks]]*RANDBETWEEN(8,12)/10,0)</f>
        <v>1156</v>
      </c>
      <c r="AZ94">
        <f ca="1">T_Facebook_Ads1159636771[[#This Row],[spend]]*RANDBETWEEN(8,12)/10</f>
        <v>277.43999999999994</v>
      </c>
      <c r="BA94">
        <f ca="1">ROUND(T_Facebook_Ads1159636771[[#This Row],[conversions]]*RANDBETWEEN(8,12)/10,0)</f>
        <v>32</v>
      </c>
      <c r="BB94">
        <f ca="1">ROUND(T_Facebook_Ads1159636771[[#This Row],[video_views]]*RANDBETWEEN(8,12)/10,0)</f>
        <v>6762</v>
      </c>
    </row>
    <row r="95" spans="1:54" ht="15.75" thickBot="1" x14ac:dyDescent="0.3">
      <c r="A95" s="3">
        <f t="shared" ca="1" si="9"/>
        <v>45060</v>
      </c>
      <c r="B95" s="4" t="s">
        <v>64</v>
      </c>
      <c r="C95" s="4" t="s">
        <v>65</v>
      </c>
      <c r="D95" s="4" t="s">
        <v>66</v>
      </c>
      <c r="E95" s="4" t="s">
        <v>67</v>
      </c>
      <c r="F95" s="4">
        <f ca="1">ROUND(T_Facebook_Ads[[#This Row],[impressions]]*RANDBETWEEN(8,12)/10,0)</f>
        <v>58765</v>
      </c>
      <c r="G95" s="4">
        <v>261</v>
      </c>
      <c r="H95" s="4">
        <f ca="1">T_Facebook_Ads[[#This Row],[spend]]*RANDBETWEEN(8,12)/10</f>
        <v>94.6</v>
      </c>
      <c r="I95" s="4">
        <f ca="1">ROUND(T_Facebook_Ads[[#This Row],[conversions]]*RANDBETWEEN(8,12)/10,0)</f>
        <v>6</v>
      </c>
      <c r="J95" s="4">
        <f ca="1">ROUND(T_Facebook_Ads[[#This Row],[video_views]]*RANDBETWEEN(8,12)/10,0)</f>
        <v>39387</v>
      </c>
      <c r="K95" s="4">
        <f ca="1">T_Facebook_Ads[[#This Row],[engagement_rate]]*RANDBETWEEN(8,12)/10</f>
        <v>3.96E-3</v>
      </c>
      <c r="L95" s="4">
        <f ca="1">ROUND(T_Facebook_Ads[[#This Row],[reach]]*RANDBETWEEN(8,12)/10,0)</f>
        <v>71480</v>
      </c>
      <c r="M95" s="4">
        <f ca="1">T_Facebook_Ads[[#This Row],[frequency]]*RANDBETWEEN(8,12)/10</f>
        <v>1.353</v>
      </c>
      <c r="O95" s="3">
        <f t="shared" ca="1" si="10"/>
        <v>45053</v>
      </c>
      <c r="P95" s="4" t="s">
        <v>88</v>
      </c>
      <c r="Q95" s="4" t="s">
        <v>89</v>
      </c>
      <c r="R95" s="4" t="s">
        <v>90</v>
      </c>
      <c r="S95" s="4" t="s">
        <v>59</v>
      </c>
      <c r="T95" s="4">
        <f ca="1">ROUND(_Google_ads[[#This Row],[impressions]]*RANDBETWEEN(8,12)/10,0)</f>
        <v>138567</v>
      </c>
      <c r="U95" s="4">
        <f ca="1">ROUND(_Google_ads[[#This Row],[clicks]]*RANDBETWEEN(8,12)/10,0)</f>
        <v>512</v>
      </c>
      <c r="V95" s="4">
        <f ca="1">_Google_ads[[#This Row],[cost]]*RANDBETWEEN(8,12)/10</f>
        <v>122.58</v>
      </c>
      <c r="W95" s="4">
        <f ca="1">ROUND(_Google_ads[[#This Row],[conversions]]*RANDBETWEEN(8,12)/10,0)</f>
        <v>15</v>
      </c>
      <c r="X95" s="4">
        <f ca="1">ROUND(_Google_ads[[#This Row],[conversion_value]]*RANDBETWEEN(8,12)/10,0)</f>
        <v>825</v>
      </c>
      <c r="Y95" s="4">
        <f ca="1">_Google_ads[[#This Row],[ctr]]*RANDBETWEEN(8,12)/10</f>
        <v>4.0699999999999998E-3</v>
      </c>
      <c r="Z95" s="4">
        <f ca="1">_Google_ads[[#This Row],[avg_cpc]]*RANDBETWEEN(8,12)/10</f>
        <v>0.24300000000000002</v>
      </c>
      <c r="AA95" s="4">
        <f ca="1">ROUND(_Google_ads[[#This Row],[quality_score]]*RANDBETWEEN(8,12)/10,0)</f>
        <v>7</v>
      </c>
      <c r="AB95" s="4">
        <f ca="1">_Google_ads[[#This Row],[search_impression_share]]*RANDBETWEEN(8,12)/10</f>
        <v>0.36</v>
      </c>
      <c r="AD95" s="3">
        <f t="shared" ca="1" si="11"/>
        <v>45072</v>
      </c>
      <c r="AE95" s="4" t="s">
        <v>112</v>
      </c>
      <c r="AF95" s="4" t="s">
        <v>113</v>
      </c>
      <c r="AG95" s="4" t="s">
        <v>114</v>
      </c>
      <c r="AH95" s="4" t="s">
        <v>115</v>
      </c>
      <c r="AI95" s="4">
        <f ca="1">ROUND(T_Tiktok_ads[[#This Row],[impressions]]*RANDBETWEEN(8,12)/10,0)</f>
        <v>401110</v>
      </c>
      <c r="AJ95" s="4">
        <f ca="1">ROUND(T_Tiktok_ads[[#This Row],[clicks]]*RANDBETWEEN(8,12)/10,0)</f>
        <v>7957</v>
      </c>
      <c r="AK95" s="4">
        <v>1123.5</v>
      </c>
      <c r="AL95" s="4">
        <f ca="1">ROUND(T_Tiktok_ads[[#This Row],[conversions]]*RANDBETWEEN(8,12)/10,0)</f>
        <v>136</v>
      </c>
      <c r="AM95" s="4">
        <f ca="1">ROUND(T_Tiktok_ads[[#This Row],[video_views]]*RANDBETWEEN(8,12)/10,0)</f>
        <v>341011</v>
      </c>
      <c r="AN95" s="4">
        <f ca="1">ROUND(T_Tiktok_ads[[#This Row],[video_watch_25]]*RANDBETWEEN(8,12)/10,0)</f>
        <v>365480</v>
      </c>
      <c r="AO95" s="4">
        <f ca="1">ROUND(T_Tiktok_ads[[#This Row],[video_watch_50]]*RANDBETWEEN(8,12)/10,0)</f>
        <v>219110</v>
      </c>
      <c r="AP95" s="4">
        <f ca="1">ROUND(T_Tiktok_ads[[#This Row],[video_watch_75]]*RANDBETWEEN(8,12)/10,0)</f>
        <v>189580</v>
      </c>
      <c r="AQ95" s="4">
        <f ca="1">ROUND(T_Tiktok_ads[[#This Row],[video_watch_100]]*RANDBETWEEN(8,12)/10,0)</f>
        <v>91654</v>
      </c>
      <c r="AR95" s="4">
        <f ca="1">ROUND(T_Tiktok_ads[[#This Row],[likes]]*RANDBETWEEN(8,12)/10,0)</f>
        <v>21524</v>
      </c>
      <c r="AS95" s="4">
        <f ca="1">ROUND(T_Tiktok_ads[[#This Row],[shares]]*RANDBETWEEN(8,12)/10,0)</f>
        <v>4542</v>
      </c>
      <c r="AT95" s="4">
        <f ca="1">ROUND(T_Tiktok_ads[[#This Row],[comments]]*RANDBETWEEN(8,12)/10,0)</f>
        <v>1724</v>
      </c>
      <c r="AV95" s="5">
        <f t="shared" ca="1" si="12"/>
        <v>45076</v>
      </c>
      <c r="AW95">
        <f t="shared" ca="1" si="13"/>
        <v>2</v>
      </c>
      <c r="AX95">
        <f ca="1">ROUND(T_Facebook_Ads1159636771[[#This Row],[impressions]]*RANDBETWEEN(8,12)/10,0)</f>
        <v>52889</v>
      </c>
      <c r="AY95">
        <f ca="1">ROUND(T_Facebook_Ads1159636771[[#This Row],[clicks]]*RANDBETWEEN(8,12)/10,0)</f>
        <v>235</v>
      </c>
      <c r="AZ95">
        <f ca="1">T_Facebook_Ads1159636771[[#This Row],[spend]]*RANDBETWEEN(8,12)/10</f>
        <v>75.679999999999993</v>
      </c>
      <c r="BA95">
        <f ca="1">ROUND(T_Facebook_Ads1159636771[[#This Row],[conversions]]*RANDBETWEEN(8,12)/10,0)</f>
        <v>7</v>
      </c>
      <c r="BB95">
        <f ca="1">ROUND(T_Facebook_Ads1159636771[[#This Row],[video_views]]*RANDBETWEEN(8,12)/10,0)</f>
        <v>43326</v>
      </c>
    </row>
    <row r="96" spans="1:54" ht="15.75" thickBot="1" x14ac:dyDescent="0.3">
      <c r="A96" s="3">
        <f t="shared" ca="1" si="9"/>
        <v>45067</v>
      </c>
      <c r="B96" s="4" t="s">
        <v>52</v>
      </c>
      <c r="C96" s="4" t="s">
        <v>53</v>
      </c>
      <c r="D96" s="4" t="s">
        <v>54</v>
      </c>
      <c r="E96" s="4" t="s">
        <v>55</v>
      </c>
      <c r="F96" s="4">
        <f ca="1">ROUND(T_Facebook_Ads[[#This Row],[impressions]]*RANDBETWEEN(8,12)/10,0)</f>
        <v>50857</v>
      </c>
      <c r="G96" s="4">
        <v>934</v>
      </c>
      <c r="H96" s="4">
        <f ca="1">T_Facebook_Ads[[#This Row],[spend]]*RANDBETWEEN(8,12)/10</f>
        <v>120.42</v>
      </c>
      <c r="I96" s="4">
        <f ca="1">ROUND(T_Facebook_Ads[[#This Row],[conversions]]*RANDBETWEEN(8,12)/10,0)</f>
        <v>12</v>
      </c>
      <c r="J96" s="4">
        <f ca="1">ROUND(T_Facebook_Ads[[#This Row],[video_views]]*RANDBETWEEN(8,12)/10,0)</f>
        <v>10147</v>
      </c>
      <c r="K96" s="4">
        <f ca="1">T_Facebook_Ads[[#This Row],[engagement_rate]]*RANDBETWEEN(8,12)/10</f>
        <v>2.0199999999999999E-2</v>
      </c>
      <c r="L96" s="4">
        <f ca="1">ROUND(T_Facebook_Ads[[#This Row],[reach]]*RANDBETWEEN(8,12)/10,0)</f>
        <v>46668</v>
      </c>
      <c r="M96" s="4">
        <f ca="1">T_Facebook_Ads[[#This Row],[frequency]]*RANDBETWEEN(8,12)/10</f>
        <v>1.071</v>
      </c>
      <c r="O96" s="3">
        <f t="shared" ca="1" si="10"/>
        <v>45062</v>
      </c>
      <c r="P96" s="4" t="s">
        <v>76</v>
      </c>
      <c r="Q96" s="4" t="s">
        <v>77</v>
      </c>
      <c r="R96" s="4" t="s">
        <v>78</v>
      </c>
      <c r="S96" s="4" t="s">
        <v>79</v>
      </c>
      <c r="T96" s="4">
        <f ca="1">ROUND(_Google_ads[[#This Row],[impressions]]*RANDBETWEEN(8,12)/10,0)</f>
        <v>25234</v>
      </c>
      <c r="U96" s="4">
        <f ca="1">ROUND(_Google_ads[[#This Row],[clicks]]*RANDBETWEEN(8,12)/10,0)</f>
        <v>1574</v>
      </c>
      <c r="V96" s="4">
        <f ca="1">_Google_ads[[#This Row],[cost]]*RANDBETWEEN(8,12)/10</f>
        <v>250.3</v>
      </c>
      <c r="W96" s="4">
        <f ca="1">ROUND(_Google_ads[[#This Row],[conversions]]*RANDBETWEEN(8,12)/10,0)</f>
        <v>59</v>
      </c>
      <c r="X96" s="4">
        <f ca="1">ROUND(_Google_ads[[#This Row],[conversion_value]]*RANDBETWEEN(8,12)/10,0)</f>
        <v>2940</v>
      </c>
      <c r="Y96" s="4">
        <f ca="1">_Google_ads[[#This Row],[ctr]]*RANDBETWEEN(8,12)/10</f>
        <v>4.6799999999999994E-2</v>
      </c>
      <c r="Z96" s="4">
        <f ca="1">_Google_ads[[#This Row],[avg_cpc]]*RANDBETWEEN(8,12)/10</f>
        <v>0.152</v>
      </c>
      <c r="AA96" s="4">
        <f ca="1">ROUND(_Google_ads[[#This Row],[quality_score]]*RANDBETWEEN(8,12)/10,0)</f>
        <v>10</v>
      </c>
      <c r="AB96" s="4">
        <f ca="1">_Google_ads[[#This Row],[search_impression_share]]*RANDBETWEEN(8,12)/10</f>
        <v>1.0009999999999999</v>
      </c>
      <c r="AD96" s="3">
        <f t="shared" ca="1" si="11"/>
        <v>45064</v>
      </c>
      <c r="AE96" s="4" t="s">
        <v>100</v>
      </c>
      <c r="AF96" s="4" t="s">
        <v>101</v>
      </c>
      <c r="AG96" s="4" t="s">
        <v>102</v>
      </c>
      <c r="AH96" s="4" t="s">
        <v>103</v>
      </c>
      <c r="AI96" s="4">
        <f ca="1">ROUND(T_Tiktok_ads[[#This Row],[impressions]]*RANDBETWEEN(8,12)/10,0)</f>
        <v>306791</v>
      </c>
      <c r="AJ96" s="4">
        <f ca="1">ROUND(T_Tiktok_ads[[#This Row],[clicks]]*RANDBETWEEN(8,12)/10,0)</f>
        <v>4123</v>
      </c>
      <c r="AK96" s="4">
        <v>545.6</v>
      </c>
      <c r="AL96" s="4">
        <f ca="1">ROUND(T_Tiktok_ads[[#This Row],[conversions]]*RANDBETWEEN(8,12)/10,0)</f>
        <v>42</v>
      </c>
      <c r="AM96" s="4">
        <f ca="1">ROUND(T_Tiktok_ads[[#This Row],[video_views]]*RANDBETWEEN(8,12)/10,0)</f>
        <v>183387</v>
      </c>
      <c r="AN96" s="4">
        <f ca="1">ROUND(T_Tiktok_ads[[#This Row],[video_watch_25]]*RANDBETWEEN(8,12)/10,0)</f>
        <v>143387</v>
      </c>
      <c r="AO96" s="4">
        <f ca="1">ROUND(T_Tiktok_ads[[#This Row],[video_watch_50]]*RANDBETWEEN(8,12)/10,0)</f>
        <v>112234</v>
      </c>
      <c r="AP96" s="4">
        <f ca="1">ROUND(T_Tiktok_ads[[#This Row],[video_watch_75]]*RANDBETWEEN(8,12)/10,0)</f>
        <v>68110</v>
      </c>
      <c r="AQ96" s="4">
        <f ca="1">ROUND(T_Tiktok_ads[[#This Row],[video_watch_100]]*RANDBETWEEN(8,12)/10,0)</f>
        <v>45211</v>
      </c>
      <c r="AR96" s="4">
        <f ca="1">ROUND(T_Tiktok_ads[[#This Row],[likes]]*RANDBETWEEN(8,12)/10,0)</f>
        <v>12148</v>
      </c>
      <c r="AS96" s="4">
        <f ca="1">ROUND(T_Tiktok_ads[[#This Row],[shares]]*RANDBETWEEN(8,12)/10,0)</f>
        <v>2170</v>
      </c>
      <c r="AT96" s="4">
        <f ca="1">ROUND(T_Tiktok_ads[[#This Row],[comments]]*RANDBETWEEN(8,12)/10,0)</f>
        <v>645</v>
      </c>
      <c r="AV96" s="5">
        <f t="shared" ca="1" si="12"/>
        <v>45055</v>
      </c>
      <c r="AW96">
        <f t="shared" ca="1" si="13"/>
        <v>3</v>
      </c>
      <c r="AX96">
        <f ca="1">ROUND(T_Facebook_Ads1159636771[[#This Row],[impressions]]*RANDBETWEEN(8,12)/10,0)</f>
        <v>55943</v>
      </c>
      <c r="AY96">
        <f ca="1">ROUND(T_Facebook_Ads1159636771[[#This Row],[clicks]]*RANDBETWEEN(8,12)/10,0)</f>
        <v>1121</v>
      </c>
      <c r="AZ96">
        <f ca="1">T_Facebook_Ads1159636771[[#This Row],[spend]]*RANDBETWEEN(8,12)/10</f>
        <v>120.42</v>
      </c>
      <c r="BA96">
        <f ca="1">ROUND(T_Facebook_Ads1159636771[[#This Row],[conversions]]*RANDBETWEEN(8,12)/10,0)</f>
        <v>13</v>
      </c>
      <c r="BB96">
        <f ca="1">ROUND(T_Facebook_Ads1159636771[[#This Row],[video_views]]*RANDBETWEEN(8,12)/10,0)</f>
        <v>11162</v>
      </c>
    </row>
    <row r="97" spans="1:54" ht="15.75" thickBot="1" x14ac:dyDescent="0.3">
      <c r="A97" s="3">
        <f t="shared" ca="1" si="9"/>
        <v>45075</v>
      </c>
      <c r="B97" s="4" t="s">
        <v>56</v>
      </c>
      <c r="C97" s="4" t="s">
        <v>57</v>
      </c>
      <c r="D97" s="4" t="s">
        <v>58</v>
      </c>
      <c r="E97" s="4" t="s">
        <v>59</v>
      </c>
      <c r="F97" s="4">
        <f ca="1">ROUND(T_Facebook_Ads[[#This Row],[impressions]]*RANDBETWEEN(8,12)/10,0)</f>
        <v>10054</v>
      </c>
      <c r="G97" s="4">
        <v>567</v>
      </c>
      <c r="H97" s="4">
        <f ca="1">T_Facebook_Ads[[#This Row],[spend]]*RANDBETWEEN(8,12)/10</f>
        <v>251.28000000000003</v>
      </c>
      <c r="I97" s="4">
        <f ca="1">ROUND(T_Facebook_Ads[[#This Row],[conversions]]*RANDBETWEEN(8,12)/10,0)</f>
        <v>32</v>
      </c>
      <c r="J97" s="4">
        <f ca="1">ROUND(T_Facebook_Ads[[#This Row],[video_views]]*RANDBETWEEN(8,12)/10,0)</f>
        <v>1520</v>
      </c>
      <c r="K97" s="4">
        <f ca="1">T_Facebook_Ads[[#This Row],[engagement_rate]]*RANDBETWEEN(8,12)/10</f>
        <v>5.4120000000000001E-2</v>
      </c>
      <c r="L97" s="4">
        <f ca="1">ROUND(T_Facebook_Ads[[#This Row],[reach]]*RANDBETWEEN(8,12)/10,0)</f>
        <v>11868</v>
      </c>
      <c r="M97" s="4">
        <f ca="1">T_Facebook_Ads[[#This Row],[frequency]]*RANDBETWEEN(8,12)/10</f>
        <v>1.524</v>
      </c>
      <c r="O97" s="3">
        <f t="shared" ca="1" si="10"/>
        <v>45068</v>
      </c>
      <c r="P97" s="4" t="s">
        <v>80</v>
      </c>
      <c r="Q97" s="4" t="s">
        <v>81</v>
      </c>
      <c r="R97" s="4" t="s">
        <v>82</v>
      </c>
      <c r="S97" s="4" t="s">
        <v>83</v>
      </c>
      <c r="T97" s="4">
        <f ca="1">ROUND(_Google_ads[[#This Row],[impressions]]*RANDBETWEEN(8,12)/10,0)</f>
        <v>45678</v>
      </c>
      <c r="U97" s="4">
        <f ca="1">ROUND(_Google_ads[[#This Row],[clicks]]*RANDBETWEEN(8,12)/10,0)</f>
        <v>901</v>
      </c>
      <c r="V97" s="4">
        <f ca="1">_Google_ads[[#This Row],[cost]]*RANDBETWEEN(8,12)/10</f>
        <v>584.5</v>
      </c>
      <c r="W97" s="4">
        <f ca="1">ROUND(_Google_ads[[#This Row],[conversions]]*RANDBETWEEN(8,12)/10,0)</f>
        <v>26</v>
      </c>
      <c r="X97" s="4">
        <f ca="1">ROUND(_Google_ads[[#This Row],[conversion_value]]*RANDBETWEEN(8,12)/10,0)</f>
        <v>1440</v>
      </c>
      <c r="Y97" s="4">
        <f ca="1">_Google_ads[[#This Row],[ctr]]*RANDBETWEEN(8,12)/10</f>
        <v>1.9699999999999999E-2</v>
      </c>
      <c r="Z97" s="4">
        <f ca="1">_Google_ads[[#This Row],[avg_cpc]]*RANDBETWEEN(8,12)/10</f>
        <v>0.71500000000000008</v>
      </c>
      <c r="AA97" s="4">
        <f ca="1">ROUND(_Google_ads[[#This Row],[quality_score]]*RANDBETWEEN(8,12)/10,0)</f>
        <v>6</v>
      </c>
      <c r="AB97" s="4">
        <f ca="1">_Google_ads[[#This Row],[search_impression_share]]*RANDBETWEEN(8,12)/10</f>
        <v>0.40499999999999997</v>
      </c>
      <c r="AD97" s="3">
        <f t="shared" ca="1" si="11"/>
        <v>45071</v>
      </c>
      <c r="AE97" s="4" t="s">
        <v>104</v>
      </c>
      <c r="AF97" s="4" t="s">
        <v>105</v>
      </c>
      <c r="AG97" s="4" t="s">
        <v>106</v>
      </c>
      <c r="AH97" s="4" t="s">
        <v>107</v>
      </c>
      <c r="AI97" s="4">
        <f ca="1">ROUND(T_Tiktok_ads[[#This Row],[impressions]]*RANDBETWEEN(8,12)/10,0)</f>
        <v>184147</v>
      </c>
      <c r="AJ97" s="4">
        <f ca="1">ROUND(T_Tiktok_ads[[#This Row],[clicks]]*RANDBETWEEN(8,12)/10,0)</f>
        <v>2945</v>
      </c>
      <c r="AK97" s="4">
        <v>789.2</v>
      </c>
      <c r="AL97" s="4">
        <f ca="1">ROUND(T_Tiktok_ads[[#This Row],[conversions]]*RANDBETWEEN(8,12)/10,0)</f>
        <v>95</v>
      </c>
      <c r="AM97" s="4">
        <f ca="1">ROUND(T_Tiktok_ads[[#This Row],[video_views]]*RANDBETWEEN(8,12)/10,0)</f>
        <v>86312</v>
      </c>
      <c r="AN97" s="4">
        <f ca="1">ROUND(T_Tiktok_ads[[#This Row],[video_watch_25]]*RANDBETWEEN(8,12)/10,0)</f>
        <v>79567</v>
      </c>
      <c r="AO97" s="4">
        <f ca="1">ROUND(T_Tiktok_ads[[#This Row],[video_watch_50]]*RANDBETWEEN(8,12)/10,0)</f>
        <v>48310</v>
      </c>
      <c r="AP97" s="4">
        <f ca="1">ROUND(T_Tiktok_ads[[#This Row],[video_watch_75]]*RANDBETWEEN(8,12)/10,0)</f>
        <v>36211</v>
      </c>
      <c r="AQ97" s="4">
        <f ca="1">ROUND(T_Tiktok_ads[[#This Row],[video_watch_100]]*RANDBETWEEN(8,12)/10,0)</f>
        <v>24201</v>
      </c>
      <c r="AR97" s="4">
        <f ca="1">ROUND(T_Tiktok_ads[[#This Row],[likes]]*RANDBETWEEN(8,12)/10,0)</f>
        <v>6281</v>
      </c>
      <c r="AS97" s="4">
        <f ca="1">ROUND(T_Tiktok_ads[[#This Row],[shares]]*RANDBETWEEN(8,12)/10,0)</f>
        <v>1747</v>
      </c>
      <c r="AT97" s="4">
        <f ca="1">ROUND(T_Tiktok_ads[[#This Row],[comments]]*RANDBETWEEN(8,12)/10,0)</f>
        <v>334</v>
      </c>
      <c r="AV97" s="5">
        <f t="shared" ca="1" si="12"/>
        <v>45058</v>
      </c>
      <c r="AW97">
        <f t="shared" ca="1" si="13"/>
        <v>7</v>
      </c>
      <c r="AX97">
        <f ca="1">ROUND(T_Facebook_Ads1159636771[[#This Row],[impressions]]*RANDBETWEEN(8,12)/10,0)</f>
        <v>8043</v>
      </c>
      <c r="AY97">
        <f ca="1">ROUND(T_Facebook_Ads1159636771[[#This Row],[clicks]]*RANDBETWEEN(8,12)/10,0)</f>
        <v>510</v>
      </c>
      <c r="AZ97">
        <f ca="1">T_Facebook_Ads1159636771[[#This Row],[spend]]*RANDBETWEEN(8,12)/10</f>
        <v>301.53600000000006</v>
      </c>
      <c r="BA97">
        <f ca="1">ROUND(T_Facebook_Ads1159636771[[#This Row],[conversions]]*RANDBETWEEN(8,12)/10,0)</f>
        <v>29</v>
      </c>
      <c r="BB97">
        <f ca="1">ROUND(T_Facebook_Ads1159636771[[#This Row],[video_views]]*RANDBETWEEN(8,12)/10,0)</f>
        <v>1216</v>
      </c>
    </row>
    <row r="98" spans="1:54" ht="15.75" thickBot="1" x14ac:dyDescent="0.3">
      <c r="A98" s="3">
        <f t="shared" ref="A98:A111" ca="1" si="14">DATE(2023,5,RANDBETWEEN(1,31))</f>
        <v>45051</v>
      </c>
      <c r="B98" s="4" t="s">
        <v>60</v>
      </c>
      <c r="C98" s="4" t="s">
        <v>61</v>
      </c>
      <c r="D98" s="4" t="s">
        <v>62</v>
      </c>
      <c r="E98" s="4" t="s">
        <v>63</v>
      </c>
      <c r="F98" s="4">
        <f ca="1">ROUND(T_Facebook_Ads[[#This Row],[impressions]]*RANDBETWEEN(8,12)/10,0)</f>
        <v>39479</v>
      </c>
      <c r="G98" s="4">
        <v>1289</v>
      </c>
      <c r="H98" s="4">
        <f ca="1">T_Facebook_Ads[[#This Row],[spend]]*RANDBETWEEN(8,12)/10</f>
        <v>158.24</v>
      </c>
      <c r="I98" s="4">
        <f ca="1">ROUND(T_Facebook_Ads[[#This Row],[conversions]]*RANDBETWEEN(8,12)/10,0)</f>
        <v>32</v>
      </c>
      <c r="J98" s="4">
        <f ca="1">ROUND(T_Facebook_Ads[[#This Row],[video_views]]*RANDBETWEEN(8,12)/10,0)</f>
        <v>5480</v>
      </c>
      <c r="K98" s="4">
        <f ca="1">T_Facebook_Ads[[#This Row],[engagement_rate]]*RANDBETWEEN(8,12)/10</f>
        <v>4.308E-2</v>
      </c>
      <c r="L98" s="4">
        <f ca="1">ROUND(T_Facebook_Ads[[#This Row],[reach]]*RANDBETWEEN(8,12)/10,0)</f>
        <v>23654</v>
      </c>
      <c r="M98" s="4">
        <f ca="1">T_Facebook_Ads[[#This Row],[frequency]]*RANDBETWEEN(8,12)/10</f>
        <v>1.452</v>
      </c>
      <c r="O98" s="3">
        <f t="shared" ref="O98:O111" ca="1" si="15">DATE(2023,5,RANDBETWEEN(1,31))</f>
        <v>45071</v>
      </c>
      <c r="P98" s="4" t="s">
        <v>84</v>
      </c>
      <c r="Q98" s="4" t="s">
        <v>85</v>
      </c>
      <c r="R98" s="4" t="s">
        <v>86</v>
      </c>
      <c r="S98" s="4" t="s">
        <v>87</v>
      </c>
      <c r="T98" s="4">
        <f ca="1">ROUND(_Google_ads[[#This Row],[impressions]]*RANDBETWEEN(8,12)/10,0)</f>
        <v>77135</v>
      </c>
      <c r="U98" s="4">
        <f ca="1">ROUND(_Google_ads[[#This Row],[clicks]]*RANDBETWEEN(8,12)/10,0)</f>
        <v>1885</v>
      </c>
      <c r="V98" s="4">
        <f ca="1">_Google_ads[[#This Row],[cost]]*RANDBETWEEN(8,12)/10</f>
        <v>474.32</v>
      </c>
      <c r="W98" s="4">
        <f ca="1">ROUND(_Google_ads[[#This Row],[conversions]]*RANDBETWEEN(8,12)/10,0)</f>
        <v>61</v>
      </c>
      <c r="X98" s="4">
        <f ca="1">ROUND(_Google_ads[[#This Row],[conversion_value]]*RANDBETWEEN(8,12)/10,0)</f>
        <v>3060</v>
      </c>
      <c r="Y98" s="4">
        <f ca="1">_Google_ads[[#This Row],[ctr]]*RANDBETWEEN(8,12)/10</f>
        <v>3.3599999999999998E-2</v>
      </c>
      <c r="Z98" s="4">
        <f ca="1">_Google_ads[[#This Row],[avg_cpc]]*RANDBETWEEN(8,12)/10</f>
        <v>0.19800000000000001</v>
      </c>
      <c r="AA98" s="4">
        <f ca="1">ROUND(_Google_ads[[#This Row],[quality_score]]*RANDBETWEEN(8,12)/10,0)</f>
        <v>10</v>
      </c>
      <c r="AB98" s="4">
        <f ca="1">_Google_ads[[#This Row],[search_impression_share]]*RANDBETWEEN(8,12)/10</f>
        <v>0.68</v>
      </c>
      <c r="AD98" s="3">
        <f t="shared" ref="AD98:AD111" ca="1" si="16">DATE(2023,5,RANDBETWEEN(1,31))</f>
        <v>45072</v>
      </c>
      <c r="AE98" s="4" t="s">
        <v>108</v>
      </c>
      <c r="AF98" s="4" t="s">
        <v>109</v>
      </c>
      <c r="AG98" s="4" t="s">
        <v>110</v>
      </c>
      <c r="AH98" s="4" t="s">
        <v>111</v>
      </c>
      <c r="AI98" s="4">
        <f ca="1">ROUND(T_Tiktok_ads[[#This Row],[impressions]]*RANDBETWEEN(8,12)/10,0)</f>
        <v>284147</v>
      </c>
      <c r="AJ98" s="4">
        <f ca="1">ROUND(T_Tiktok_ads[[#This Row],[clicks]]*RANDBETWEEN(8,12)/10,0)</f>
        <v>3734</v>
      </c>
      <c r="AK98" s="4">
        <v>456.8</v>
      </c>
      <c r="AL98" s="4">
        <f ca="1">ROUND(T_Tiktok_ads[[#This Row],[conversions]]*RANDBETWEEN(8,12)/10,0)</f>
        <v>26</v>
      </c>
      <c r="AM98" s="4">
        <f ca="1">ROUND(T_Tiktok_ads[[#This Row],[video_views]]*RANDBETWEEN(8,12)/10,0)</f>
        <v>150312</v>
      </c>
      <c r="AN98" s="4">
        <f ca="1">ROUND(T_Tiktok_ads[[#This Row],[video_watch_25]]*RANDBETWEEN(8,12)/10,0)</f>
        <v>170814</v>
      </c>
      <c r="AO98" s="4">
        <f ca="1">ROUND(T_Tiktok_ads[[#This Row],[video_watch_50]]*RANDBETWEEN(8,12)/10,0)</f>
        <v>123580</v>
      </c>
      <c r="AP98" s="4">
        <f ca="1">ROUND(T_Tiktok_ads[[#This Row],[video_watch_75]]*RANDBETWEEN(8,12)/10,0)</f>
        <v>72345</v>
      </c>
      <c r="AQ98" s="4">
        <f ca="1">ROUND(T_Tiktok_ads[[#This Row],[video_watch_100]]*RANDBETWEEN(8,12)/10,0)</f>
        <v>48168</v>
      </c>
      <c r="AR98" s="4">
        <f ca="1">ROUND(T_Tiktok_ads[[#This Row],[likes]]*RANDBETWEEN(8,12)/10,0)</f>
        <v>7610</v>
      </c>
      <c r="AS98" s="4">
        <f ca="1">ROUND(T_Tiktok_ads[[#This Row],[shares]]*RANDBETWEEN(8,12)/10,0)</f>
        <v>2494</v>
      </c>
      <c r="AT98" s="4">
        <f ca="1">ROUND(T_Tiktok_ads[[#This Row],[comments]]*RANDBETWEEN(8,12)/10,0)</f>
        <v>491</v>
      </c>
      <c r="AV98" s="5">
        <f t="shared" ref="AV98:AV111" ca="1" si="17">DATE(2023,5,RANDBETWEEN(1,31))</f>
        <v>45054</v>
      </c>
      <c r="AW98">
        <f t="shared" ca="1" si="13"/>
        <v>7</v>
      </c>
      <c r="AX98">
        <f ca="1">ROUND(T_Facebook_Ads1159636771[[#This Row],[impressions]]*RANDBETWEEN(8,12)/10,0)</f>
        <v>39479</v>
      </c>
      <c r="AY98">
        <f ca="1">ROUND(T_Facebook_Ads1159636771[[#This Row],[clicks]]*RANDBETWEEN(8,12)/10,0)</f>
        <v>1547</v>
      </c>
      <c r="AZ98">
        <f ca="1">T_Facebook_Ads1159636771[[#This Row],[spend]]*RANDBETWEEN(8,12)/10</f>
        <v>126.59200000000001</v>
      </c>
      <c r="BA98">
        <f ca="1">ROUND(T_Facebook_Ads1159636771[[#This Row],[conversions]]*RANDBETWEEN(8,12)/10,0)</f>
        <v>29</v>
      </c>
      <c r="BB98">
        <f ca="1">ROUND(T_Facebook_Ads1159636771[[#This Row],[video_views]]*RANDBETWEEN(8,12)/10,0)</f>
        <v>4384</v>
      </c>
    </row>
    <row r="99" spans="1:54" ht="15.75" thickBot="1" x14ac:dyDescent="0.3">
      <c r="A99" s="3">
        <f t="shared" ca="1" si="14"/>
        <v>45069</v>
      </c>
      <c r="B99" s="4" t="s">
        <v>64</v>
      </c>
      <c r="C99" s="4" t="s">
        <v>65</v>
      </c>
      <c r="D99" s="4" t="s">
        <v>66</v>
      </c>
      <c r="E99" s="4" t="s">
        <v>67</v>
      </c>
      <c r="F99" s="4">
        <f ca="1">ROUND(T_Facebook_Ads[[#This Row],[impressions]]*RANDBETWEEN(8,12)/10,0)</f>
        <v>81881</v>
      </c>
      <c r="G99" s="4">
        <v>245</v>
      </c>
      <c r="H99" s="4">
        <f ca="1">T_Facebook_Ads[[#This Row],[spend]]*RANDBETWEEN(8,12)/10</f>
        <v>77.31</v>
      </c>
      <c r="I99" s="4">
        <f ca="1">ROUND(T_Facebook_Ads[[#This Row],[conversions]]*RANDBETWEEN(8,12)/10,0)</f>
        <v>4</v>
      </c>
      <c r="J99" s="4">
        <f ca="1">ROUND(T_Facebook_Ads[[#This Row],[video_views]]*RANDBETWEEN(8,12)/10,0)</f>
        <v>45678</v>
      </c>
      <c r="K99" s="4">
        <f ca="1">T_Facebook_Ads[[#This Row],[engagement_rate]]*RANDBETWEEN(8,12)/10</f>
        <v>3.2399999999999998E-3</v>
      </c>
      <c r="L99" s="4">
        <f ca="1">ROUND(T_Facebook_Ads[[#This Row],[reach]]*RANDBETWEEN(8,12)/10,0)</f>
        <v>55890</v>
      </c>
      <c r="M99" s="4">
        <f ca="1">T_Facebook_Ads[[#This Row],[frequency]]*RANDBETWEEN(8,12)/10</f>
        <v>1.22</v>
      </c>
      <c r="O99" s="3">
        <f t="shared" ca="1" si="15"/>
        <v>45067</v>
      </c>
      <c r="P99" s="4" t="s">
        <v>88</v>
      </c>
      <c r="Q99" s="4" t="s">
        <v>89</v>
      </c>
      <c r="R99" s="4" t="s">
        <v>90</v>
      </c>
      <c r="S99" s="4" t="s">
        <v>59</v>
      </c>
      <c r="T99" s="4">
        <f ca="1">ROUND(_Google_ads[[#This Row],[impressions]]*RANDBETWEEN(8,12)/10,0)</f>
        <v>148379</v>
      </c>
      <c r="U99" s="4">
        <f ca="1">ROUND(_Google_ads[[#This Row],[clicks]]*RANDBETWEEN(8,12)/10,0)</f>
        <v>391</v>
      </c>
      <c r="V99" s="4">
        <f ca="1">_Google_ads[[#This Row],[cost]]*RANDBETWEEN(8,12)/10</f>
        <v>132.69999999999999</v>
      </c>
      <c r="W99" s="4">
        <f ca="1">ROUND(_Google_ads[[#This Row],[conversions]]*RANDBETWEEN(8,12)/10,0)</f>
        <v>14</v>
      </c>
      <c r="X99" s="4">
        <f ca="1">ROUND(_Google_ads[[#This Row],[conversion_value]]*RANDBETWEEN(8,12)/10,0)</f>
        <v>840</v>
      </c>
      <c r="Y99" s="4">
        <f ca="1">_Google_ads[[#This Row],[ctr]]*RANDBETWEEN(8,12)/10</f>
        <v>3.2399999999999998E-3</v>
      </c>
      <c r="Z99" s="4">
        <f ca="1">_Google_ads[[#This Row],[avg_cpc]]*RANDBETWEEN(8,12)/10</f>
        <v>0.24300000000000002</v>
      </c>
      <c r="AA99" s="4">
        <f ca="1">ROUND(_Google_ads[[#This Row],[quality_score]]*RANDBETWEEN(8,12)/10,0)</f>
        <v>8</v>
      </c>
      <c r="AB99" s="4">
        <f ca="1">_Google_ads[[#This Row],[search_impression_share]]*RANDBETWEEN(8,12)/10</f>
        <v>0.315</v>
      </c>
      <c r="AD99" s="3">
        <f t="shared" ca="1" si="16"/>
        <v>45051</v>
      </c>
      <c r="AE99" s="4" t="s">
        <v>112</v>
      </c>
      <c r="AF99" s="4" t="s">
        <v>113</v>
      </c>
      <c r="AG99" s="4" t="s">
        <v>114</v>
      </c>
      <c r="AH99" s="4" t="s">
        <v>115</v>
      </c>
      <c r="AI99" s="4">
        <f ca="1">ROUND(T_Tiktok_ads[[#This Row],[impressions]]*RANDBETWEEN(8,12)/10,0)</f>
        <v>381110</v>
      </c>
      <c r="AJ99" s="4">
        <f ca="1">ROUND(T_Tiktok_ads[[#This Row],[clicks]]*RANDBETWEEN(8,12)/10,0)</f>
        <v>5431</v>
      </c>
      <c r="AK99" s="4">
        <v>1034.5</v>
      </c>
      <c r="AL99" s="4">
        <f ca="1">ROUND(T_Tiktok_ads[[#This Row],[conversions]]*RANDBETWEEN(8,12)/10,0)</f>
        <v>83</v>
      </c>
      <c r="AM99" s="4">
        <f ca="1">ROUND(T_Tiktok_ads[[#This Row],[video_views]]*RANDBETWEEN(8,12)/10,0)</f>
        <v>285431</v>
      </c>
      <c r="AN99" s="4">
        <f ca="1">ROUND(T_Tiktok_ads[[#This Row],[video_watch_25]]*RANDBETWEEN(8,12)/10,0)</f>
        <v>315957</v>
      </c>
      <c r="AO99" s="4">
        <f ca="1">ROUND(T_Tiktok_ads[[#This Row],[video_watch_50]]*RANDBETWEEN(8,12)/10,0)</f>
        <v>229234</v>
      </c>
      <c r="AP99" s="4">
        <f ca="1">ROUND(T_Tiktok_ads[[#This Row],[video_watch_75]]*RANDBETWEEN(8,12)/10,0)</f>
        <v>162345</v>
      </c>
      <c r="AQ99" s="4">
        <f ca="1">ROUND(T_Tiktok_ads[[#This Row],[video_watch_100]]*RANDBETWEEN(8,12)/10,0)</f>
        <v>107890</v>
      </c>
      <c r="AR99" s="4">
        <f ca="1">ROUND(T_Tiktok_ads[[#This Row],[likes]]*RANDBETWEEN(8,12)/10,0)</f>
        <v>20632</v>
      </c>
      <c r="AS99" s="4">
        <f ca="1">ROUND(T_Tiktok_ads[[#This Row],[shares]]*RANDBETWEEN(8,12)/10,0)</f>
        <v>6414</v>
      </c>
      <c r="AT99" s="4">
        <f ca="1">ROUND(T_Tiktok_ads[[#This Row],[comments]]*RANDBETWEEN(8,12)/10,0)</f>
        <v>1602</v>
      </c>
      <c r="AV99" s="5">
        <f t="shared" ca="1" si="17"/>
        <v>45064</v>
      </c>
      <c r="AW99">
        <f t="shared" ca="1" si="13"/>
        <v>1</v>
      </c>
      <c r="AX99">
        <f ca="1">ROUND(T_Facebook_Ads1159636771[[#This Row],[impressions]]*RANDBETWEEN(8,12)/10,0)</f>
        <v>98257</v>
      </c>
      <c r="AY99">
        <f ca="1">ROUND(T_Facebook_Ads1159636771[[#This Row],[clicks]]*RANDBETWEEN(8,12)/10,0)</f>
        <v>270</v>
      </c>
      <c r="AZ99">
        <f ca="1">T_Facebook_Ads1159636771[[#This Row],[spend]]*RANDBETWEEN(8,12)/10</f>
        <v>85.041000000000011</v>
      </c>
      <c r="BA99">
        <f ca="1">ROUND(T_Facebook_Ads1159636771[[#This Row],[conversions]]*RANDBETWEEN(8,12)/10,0)</f>
        <v>4</v>
      </c>
      <c r="BB99">
        <f ca="1">ROUND(T_Facebook_Ads1159636771[[#This Row],[video_views]]*RANDBETWEEN(8,12)/10,0)</f>
        <v>45678</v>
      </c>
    </row>
    <row r="100" spans="1:54" ht="15.75" thickBot="1" x14ac:dyDescent="0.3">
      <c r="A100" s="3">
        <f t="shared" ca="1" si="14"/>
        <v>45066</v>
      </c>
      <c r="B100" s="4" t="s">
        <v>52</v>
      </c>
      <c r="C100" s="4" t="s">
        <v>53</v>
      </c>
      <c r="D100" s="4" t="s">
        <v>54</v>
      </c>
      <c r="E100" s="4" t="s">
        <v>55</v>
      </c>
      <c r="F100" s="4">
        <f ca="1">ROUND(T_Facebook_Ads[[#This Row],[impressions]]*RANDBETWEEN(8,12)/10,0)</f>
        <v>40110</v>
      </c>
      <c r="G100" s="4">
        <v>890</v>
      </c>
      <c r="H100" s="4">
        <f ca="1">T_Facebook_Ads[[#This Row],[spend]]*RANDBETWEEN(8,12)/10</f>
        <v>102.08</v>
      </c>
      <c r="I100" s="4">
        <f ca="1">ROUND(T_Facebook_Ads[[#This Row],[conversions]]*RANDBETWEEN(8,12)/10,0)</f>
        <v>14</v>
      </c>
      <c r="J100" s="4">
        <f ca="1">ROUND(T_Facebook_Ads[[#This Row],[video_views]]*RANDBETWEEN(8,12)/10,0)</f>
        <v>8123</v>
      </c>
      <c r="K100" s="4">
        <f ca="1">T_Facebook_Ads[[#This Row],[engagement_rate]]*RANDBETWEEN(8,12)/10</f>
        <v>1.7999999999999999E-2</v>
      </c>
      <c r="L100" s="4">
        <f ca="1">ROUND(T_Facebook_Ads[[#This Row],[reach]]*RANDBETWEEN(8,12)/10,0)</f>
        <v>44947</v>
      </c>
      <c r="M100" s="4">
        <f ca="1">T_Facebook_Ads[[#This Row],[frequency]]*RANDBETWEEN(8,12)/10</f>
        <v>0.95199999999999996</v>
      </c>
      <c r="O100" s="3">
        <f t="shared" ca="1" si="15"/>
        <v>45059</v>
      </c>
      <c r="P100" s="4" t="s">
        <v>76</v>
      </c>
      <c r="Q100" s="4" t="s">
        <v>77</v>
      </c>
      <c r="R100" s="4" t="s">
        <v>78</v>
      </c>
      <c r="S100" s="4" t="s">
        <v>79</v>
      </c>
      <c r="T100" s="4">
        <f ca="1">ROUND(_Google_ads[[#This Row],[impressions]]*RANDBETWEEN(8,12)/10,0)</f>
        <v>23567</v>
      </c>
      <c r="U100" s="4">
        <f ca="1">ROUND(_Google_ads[[#This Row],[clicks]]*RANDBETWEEN(8,12)/10,0)</f>
        <v>1308</v>
      </c>
      <c r="V100" s="4">
        <f ca="1">_Google_ads[[#This Row],[cost]]*RANDBETWEEN(8,12)/10</f>
        <v>226.8</v>
      </c>
      <c r="W100" s="4">
        <f ca="1">ROUND(_Google_ads[[#This Row],[conversions]]*RANDBETWEEN(8,12)/10,0)</f>
        <v>53</v>
      </c>
      <c r="X100" s="4">
        <f ca="1">ROUND(_Google_ads[[#This Row],[conversion_value]]*RANDBETWEEN(8,12)/10,0)</f>
        <v>1760</v>
      </c>
      <c r="Y100" s="4">
        <f ca="1">_Google_ads[[#This Row],[ctr]]*RANDBETWEEN(8,12)/10</f>
        <v>6.0600000000000008E-2</v>
      </c>
      <c r="Z100" s="4">
        <f ca="1">_Google_ads[[#This Row],[avg_cpc]]*RANDBETWEEN(8,12)/10</f>
        <v>0.17099999999999999</v>
      </c>
      <c r="AA100" s="4">
        <f ca="1">ROUND(_Google_ads[[#This Row],[quality_score]]*RANDBETWEEN(8,12)/10,0)</f>
        <v>11</v>
      </c>
      <c r="AB100" s="4">
        <f ca="1">_Google_ads[[#This Row],[search_impression_share]]*RANDBETWEEN(8,12)/10</f>
        <v>1.08</v>
      </c>
      <c r="AD100" s="3">
        <f t="shared" ca="1" si="16"/>
        <v>45067</v>
      </c>
      <c r="AE100" s="4" t="s">
        <v>100</v>
      </c>
      <c r="AF100" s="4" t="s">
        <v>101</v>
      </c>
      <c r="AG100" s="4" t="s">
        <v>102</v>
      </c>
      <c r="AH100" s="4" t="s">
        <v>103</v>
      </c>
      <c r="AI100" s="4">
        <f ca="1">ROUND(T_Tiktok_ads[[#This Row],[impressions]]*RANDBETWEEN(8,12)/10,0)</f>
        <v>267890</v>
      </c>
      <c r="AJ100" s="4">
        <f ca="1">ROUND(T_Tiktok_ads[[#This Row],[clicks]]*RANDBETWEEN(8,12)/10,0)</f>
        <v>3156</v>
      </c>
      <c r="AK100" s="4">
        <v>501.2</v>
      </c>
      <c r="AL100" s="4">
        <f ca="1">ROUND(T_Tiktok_ads[[#This Row],[conversions]]*RANDBETWEEN(8,12)/10,0)</f>
        <v>48</v>
      </c>
      <c r="AM100" s="4">
        <f ca="1">ROUND(T_Tiktok_ads[[#This Row],[video_views]]*RANDBETWEEN(8,12)/10,0)</f>
        <v>221234</v>
      </c>
      <c r="AN100" s="4">
        <f ca="1">ROUND(T_Tiktok_ads[[#This Row],[video_watch_25]]*RANDBETWEEN(8,12)/10,0)</f>
        <v>173456</v>
      </c>
      <c r="AO100" s="4">
        <f ca="1">ROUND(T_Tiktok_ads[[#This Row],[video_watch_50]]*RANDBETWEEN(8,12)/10,0)</f>
        <v>120157</v>
      </c>
      <c r="AP100" s="4">
        <f ca="1">ROUND(T_Tiktok_ads[[#This Row],[video_watch_75]]*RANDBETWEEN(8,12)/10,0)</f>
        <v>88280</v>
      </c>
      <c r="AQ100" s="4">
        <f ca="1">ROUND(T_Tiktok_ads[[#This Row],[video_watch_100]]*RANDBETWEEN(8,12)/10,0)</f>
        <v>39387</v>
      </c>
      <c r="AR100" s="4">
        <f ca="1">ROUND(T_Tiktok_ads[[#This Row],[likes]]*RANDBETWEEN(8,12)/10,0)</f>
        <v>7831</v>
      </c>
      <c r="AS100" s="4">
        <f ca="1">ROUND(T_Tiktok_ads[[#This Row],[shares]]*RANDBETWEEN(8,12)/10,0)</f>
        <v>2634</v>
      </c>
      <c r="AT100" s="4">
        <f ca="1">ROUND(T_Tiktok_ads[[#This Row],[comments]]*RANDBETWEEN(8,12)/10,0)</f>
        <v>623</v>
      </c>
      <c r="AV100" s="5">
        <f t="shared" ca="1" si="17"/>
        <v>45074</v>
      </c>
      <c r="AW100">
        <f t="shared" ca="1" si="13"/>
        <v>6</v>
      </c>
      <c r="AX100">
        <f ca="1">ROUND(T_Facebook_Ads1159636771[[#This Row],[impressions]]*RANDBETWEEN(8,12)/10,0)</f>
        <v>36099</v>
      </c>
      <c r="AY100">
        <f ca="1">ROUND(T_Facebook_Ads1159636771[[#This Row],[clicks]]*RANDBETWEEN(8,12)/10,0)</f>
        <v>801</v>
      </c>
      <c r="AZ100">
        <f ca="1">T_Facebook_Ads1159636771[[#This Row],[spend]]*RANDBETWEEN(8,12)/10</f>
        <v>112.28799999999998</v>
      </c>
      <c r="BA100">
        <f ca="1">ROUND(T_Facebook_Ads1159636771[[#This Row],[conversions]]*RANDBETWEEN(8,12)/10,0)</f>
        <v>11</v>
      </c>
      <c r="BB100">
        <f ca="1">ROUND(T_Facebook_Ads1159636771[[#This Row],[video_views]]*RANDBETWEEN(8,12)/10,0)</f>
        <v>8935</v>
      </c>
    </row>
    <row r="101" spans="1:54" ht="15.75" thickBot="1" x14ac:dyDescent="0.3">
      <c r="A101" s="3">
        <f t="shared" ca="1" si="14"/>
        <v>45070</v>
      </c>
      <c r="B101" s="4" t="s">
        <v>56</v>
      </c>
      <c r="C101" s="4" t="s">
        <v>57</v>
      </c>
      <c r="D101" s="4" t="s">
        <v>58</v>
      </c>
      <c r="E101" s="4" t="s">
        <v>59</v>
      </c>
      <c r="F101" s="4">
        <f ca="1">ROUND(T_Facebook_Ads[[#This Row],[impressions]]*RANDBETWEEN(8,12)/10,0)</f>
        <v>12602</v>
      </c>
      <c r="G101" s="4">
        <v>523</v>
      </c>
      <c r="H101" s="4">
        <f ca="1">T_Facebook_Ads[[#This Row],[spend]]*RANDBETWEEN(8,12)/10</f>
        <v>173.07</v>
      </c>
      <c r="I101" s="4">
        <f ca="1">ROUND(T_Facebook_Ads[[#This Row],[conversions]]*RANDBETWEEN(8,12)/10,0)</f>
        <v>30</v>
      </c>
      <c r="J101" s="4">
        <f ca="1">ROUND(T_Facebook_Ads[[#This Row],[video_views]]*RANDBETWEEN(8,12)/10,0)</f>
        <v>1198</v>
      </c>
      <c r="K101" s="4">
        <f ca="1">T_Facebook_Ads[[#This Row],[engagement_rate]]*RANDBETWEEN(8,12)/10</f>
        <v>3.6559999999999995E-2</v>
      </c>
      <c r="L101" s="4">
        <f ca="1">ROUND(T_Facebook_Ads[[#This Row],[reach]]*RANDBETWEEN(8,12)/10,0)</f>
        <v>7174</v>
      </c>
      <c r="M101" s="4">
        <f ca="1">T_Facebook_Ads[[#This Row],[frequency]]*RANDBETWEEN(8,12)/10</f>
        <v>1.4079999999999999</v>
      </c>
      <c r="O101" s="3">
        <f t="shared" ca="1" si="15"/>
        <v>45075</v>
      </c>
      <c r="P101" s="4" t="s">
        <v>80</v>
      </c>
      <c r="Q101" s="4" t="s">
        <v>81</v>
      </c>
      <c r="R101" s="4" t="s">
        <v>82</v>
      </c>
      <c r="S101" s="4" t="s">
        <v>83</v>
      </c>
      <c r="T101" s="4">
        <f ca="1">ROUND(_Google_ads[[#This Row],[impressions]]*RANDBETWEEN(8,12)/10,0)</f>
        <v>34312</v>
      </c>
      <c r="U101" s="4">
        <f ca="1">ROUND(_Google_ads[[#This Row],[clicks]]*RANDBETWEEN(8,12)/10,0)</f>
        <v>1001</v>
      </c>
      <c r="V101" s="4">
        <f ca="1">_Google_ads[[#This Row],[cost]]*RANDBETWEEN(8,12)/10</f>
        <v>494.37</v>
      </c>
      <c r="W101" s="4">
        <f ca="1">ROUND(_Google_ads[[#This Row],[conversions]]*RANDBETWEEN(8,12)/10,0)</f>
        <v>25</v>
      </c>
      <c r="X101" s="4">
        <f ca="1">ROUND(_Google_ads[[#This Row],[conversion_value]]*RANDBETWEEN(8,12)/10,0)</f>
        <v>1155</v>
      </c>
      <c r="Y101" s="4">
        <f ca="1">_Google_ads[[#This Row],[ctr]]*RANDBETWEEN(8,12)/10</f>
        <v>1.5599999999999999E-2</v>
      </c>
      <c r="Z101" s="4">
        <f ca="1">_Google_ads[[#This Row],[avg_cpc]]*RANDBETWEEN(8,12)/10</f>
        <v>0.59400000000000008</v>
      </c>
      <c r="AA101" s="4">
        <f ca="1">ROUND(_Google_ads[[#This Row],[quality_score]]*RANDBETWEEN(8,12)/10,0)</f>
        <v>6</v>
      </c>
      <c r="AB101" s="4">
        <f ca="1">_Google_ads[[#This Row],[search_impression_share]]*RANDBETWEEN(8,12)/10</f>
        <v>0.51600000000000001</v>
      </c>
      <c r="AD101" s="3">
        <f t="shared" ca="1" si="16"/>
        <v>45063</v>
      </c>
      <c r="AE101" s="4" t="s">
        <v>104</v>
      </c>
      <c r="AF101" s="4" t="s">
        <v>105</v>
      </c>
      <c r="AG101" s="4" t="s">
        <v>106</v>
      </c>
      <c r="AH101" s="4" t="s">
        <v>107</v>
      </c>
      <c r="AI101" s="4">
        <f ca="1">ROUND(T_Tiktok_ads[[#This Row],[impressions]]*RANDBETWEEN(8,12)/10,0)</f>
        <v>134011</v>
      </c>
      <c r="AJ101" s="4">
        <f ca="1">ROUND(T_Tiktok_ads[[#This Row],[clicks]]*RANDBETWEEN(8,12)/10,0)</f>
        <v>3401</v>
      </c>
      <c r="AK101" s="4">
        <v>756.7</v>
      </c>
      <c r="AL101" s="4">
        <f ca="1">ROUND(T_Tiktok_ads[[#This Row],[conversions]]*RANDBETWEEN(8,12)/10,0)</f>
        <v>84</v>
      </c>
      <c r="AM101" s="4">
        <f ca="1">ROUND(T_Tiktok_ads[[#This Row],[video_views]]*RANDBETWEEN(8,12)/10,0)</f>
        <v>91111</v>
      </c>
      <c r="AN101" s="4">
        <f ca="1">ROUND(T_Tiktok_ads[[#This Row],[video_watch_25]]*RANDBETWEEN(8,12)/10,0)</f>
        <v>74567</v>
      </c>
      <c r="AO101" s="4">
        <f ca="1">ROUND(T_Tiktok_ads[[#This Row],[video_watch_50]]*RANDBETWEEN(8,12)/10,0)</f>
        <v>50234</v>
      </c>
      <c r="AP101" s="4">
        <f ca="1">ROUND(T_Tiktok_ads[[#This Row],[video_watch_75]]*RANDBETWEEN(8,12)/10,0)</f>
        <v>34101</v>
      </c>
      <c r="AQ101" s="4">
        <f ca="1">ROUND(T_Tiktok_ads[[#This Row],[video_watch_100]]*RANDBETWEEN(8,12)/10,0)</f>
        <v>27757</v>
      </c>
      <c r="AR101" s="4">
        <f ca="1">ROUND(T_Tiktok_ads[[#This Row],[likes]]*RANDBETWEEN(8,12)/10,0)</f>
        <v>4511</v>
      </c>
      <c r="AS101" s="4">
        <f ca="1">ROUND(T_Tiktok_ads[[#This Row],[shares]]*RANDBETWEEN(8,12)/10,0)</f>
        <v>1708</v>
      </c>
      <c r="AT101" s="4">
        <f ca="1">ROUND(T_Tiktok_ads[[#This Row],[comments]]*RANDBETWEEN(8,12)/10,0)</f>
        <v>294</v>
      </c>
      <c r="AV101" s="5">
        <f t="shared" ca="1" si="17"/>
        <v>45049</v>
      </c>
      <c r="AW101">
        <f t="shared" ca="1" si="13"/>
        <v>2</v>
      </c>
      <c r="AX101">
        <f ca="1">ROUND(T_Facebook_Ads1159636771[[#This Row],[impressions]]*RANDBETWEEN(8,12)/10,0)</f>
        <v>10082</v>
      </c>
      <c r="AY101">
        <f ca="1">ROUND(T_Facebook_Ads1159636771[[#This Row],[clicks]]*RANDBETWEEN(8,12)/10,0)</f>
        <v>575</v>
      </c>
      <c r="AZ101">
        <f ca="1">T_Facebook_Ads1159636771[[#This Row],[spend]]*RANDBETWEEN(8,12)/10</f>
        <v>138.45599999999999</v>
      </c>
      <c r="BA101">
        <f ca="1">ROUND(T_Facebook_Ads1159636771[[#This Row],[conversions]]*RANDBETWEEN(8,12)/10,0)</f>
        <v>30</v>
      </c>
      <c r="BB101">
        <f ca="1">ROUND(T_Facebook_Ads1159636771[[#This Row],[video_views]]*RANDBETWEEN(8,12)/10,0)</f>
        <v>1078</v>
      </c>
    </row>
    <row r="102" spans="1:54" ht="15.75" thickBot="1" x14ac:dyDescent="0.3">
      <c r="A102" s="3">
        <f t="shared" ca="1" si="14"/>
        <v>45049</v>
      </c>
      <c r="B102" s="4" t="s">
        <v>60</v>
      </c>
      <c r="C102" s="4" t="s">
        <v>61</v>
      </c>
      <c r="D102" s="4" t="s">
        <v>62</v>
      </c>
      <c r="E102" s="4" t="s">
        <v>63</v>
      </c>
      <c r="F102" s="4">
        <f ca="1">ROUND(T_Facebook_Ads[[#This Row],[impressions]]*RANDBETWEEN(8,12)/10,0)</f>
        <v>36924</v>
      </c>
      <c r="G102" s="4">
        <v>1203</v>
      </c>
      <c r="H102" s="4">
        <f ca="1">T_Facebook_Ads[[#This Row],[spend]]*RANDBETWEEN(8,12)/10</f>
        <v>184.5</v>
      </c>
      <c r="I102" s="4">
        <f ca="1">ROUND(T_Facebook_Ads[[#This Row],[conversions]]*RANDBETWEEN(8,12)/10,0)</f>
        <v>25</v>
      </c>
      <c r="J102" s="4">
        <f ca="1">ROUND(T_Facebook_Ads[[#This Row],[video_views]]*RANDBETWEEN(8,12)/10,0)</f>
        <v>3298</v>
      </c>
      <c r="K102" s="4">
        <f ca="1">T_Facebook_Ads[[#This Row],[engagement_rate]]*RANDBETWEEN(8,12)/10</f>
        <v>2.8639999999999999E-2</v>
      </c>
      <c r="L102" s="4">
        <f ca="1">ROUND(T_Facebook_Ads[[#This Row],[reach]]*RANDBETWEEN(8,12)/10,0)</f>
        <v>27890</v>
      </c>
      <c r="M102" s="4">
        <f ca="1">T_Facebook_Ads[[#This Row],[frequency]]*RANDBETWEEN(8,12)/10</f>
        <v>0.96</v>
      </c>
      <c r="O102" s="3">
        <f t="shared" ca="1" si="15"/>
        <v>45072</v>
      </c>
      <c r="P102" s="4" t="s">
        <v>84</v>
      </c>
      <c r="Q102" s="4" t="s">
        <v>85</v>
      </c>
      <c r="R102" s="4" t="s">
        <v>86</v>
      </c>
      <c r="S102" s="4" t="s">
        <v>87</v>
      </c>
      <c r="T102" s="4">
        <f ca="1">ROUND(_Google_ads[[#This Row],[impressions]]*RANDBETWEEN(8,12)/10,0)</f>
        <v>59611</v>
      </c>
      <c r="U102" s="4">
        <f ca="1">ROUND(_Google_ads[[#This Row],[clicks]]*RANDBETWEEN(8,12)/10,0)</f>
        <v>2167</v>
      </c>
      <c r="V102" s="4">
        <f ca="1">_Google_ads[[#This Row],[cost]]*RANDBETWEEN(8,12)/10</f>
        <v>316.64</v>
      </c>
      <c r="W102" s="4">
        <f ca="1">ROUND(_Google_ads[[#This Row],[conversions]]*RANDBETWEEN(8,12)/10,0)</f>
        <v>73</v>
      </c>
      <c r="X102" s="4">
        <f ca="1">ROUND(_Google_ads[[#This Row],[conversion_value]]*RANDBETWEEN(8,12)/10,0)</f>
        <v>2440</v>
      </c>
      <c r="Y102" s="4">
        <f ca="1">_Google_ads[[#This Row],[ctr]]*RANDBETWEEN(8,12)/10</f>
        <v>2.9430000000000001E-2</v>
      </c>
      <c r="Z102" s="4">
        <f ca="1">_Google_ads[[#This Row],[avg_cpc]]*RANDBETWEEN(8,12)/10</f>
        <v>0.21600000000000003</v>
      </c>
      <c r="AA102" s="4">
        <f ca="1">ROUND(_Google_ads[[#This Row],[quality_score]]*RANDBETWEEN(8,12)/10,0)</f>
        <v>6</v>
      </c>
      <c r="AB102" s="4">
        <f ca="1">_Google_ads[[#This Row],[search_impression_share]]*RANDBETWEEN(8,12)/10</f>
        <v>0.79200000000000004</v>
      </c>
      <c r="AD102" s="3">
        <f t="shared" ca="1" si="16"/>
        <v>45051</v>
      </c>
      <c r="AE102" s="4" t="s">
        <v>108</v>
      </c>
      <c r="AF102" s="4" t="s">
        <v>109</v>
      </c>
      <c r="AG102" s="4" t="s">
        <v>110</v>
      </c>
      <c r="AH102" s="4" t="s">
        <v>111</v>
      </c>
      <c r="AI102" s="4">
        <f ca="1">ROUND(T_Tiktok_ads[[#This Row],[impressions]]*RANDBETWEEN(8,12)/10,0)</f>
        <v>245802</v>
      </c>
      <c r="AJ102" s="4">
        <f ca="1">ROUND(T_Tiktok_ads[[#This Row],[clicks]]*RANDBETWEEN(8,12)/10,0)</f>
        <v>2854</v>
      </c>
      <c r="AK102" s="4">
        <v>427.7</v>
      </c>
      <c r="AL102" s="4">
        <f ca="1">ROUND(T_Tiktok_ads[[#This Row],[conversions]]*RANDBETWEEN(8,12)/10,0)</f>
        <v>24</v>
      </c>
      <c r="AM102" s="4">
        <f ca="1">ROUND(T_Tiktok_ads[[#This Row],[video_views]]*RANDBETWEEN(8,12)/10,0)</f>
        <v>161011</v>
      </c>
      <c r="AN102" s="4">
        <f ca="1">ROUND(T_Tiktok_ads[[#This Row],[video_watch_25]]*RANDBETWEEN(8,12)/10,0)</f>
        <v>148757</v>
      </c>
      <c r="AO102" s="4">
        <f ca="1">ROUND(T_Tiktok_ads[[#This Row],[video_watch_50]]*RANDBETWEEN(8,12)/10,0)</f>
        <v>117468</v>
      </c>
      <c r="AP102" s="4">
        <f ca="1">ROUND(T_Tiktok_ads[[#This Row],[video_watch_75]]*RANDBETWEEN(8,12)/10,0)</f>
        <v>83081</v>
      </c>
      <c r="AQ102" s="4">
        <f ca="1">ROUND(T_Tiktok_ads[[#This Row],[video_watch_100]]*RANDBETWEEN(8,12)/10,0)</f>
        <v>33431</v>
      </c>
      <c r="AR102" s="4">
        <f ca="1">ROUND(T_Tiktok_ads[[#This Row],[likes]]*RANDBETWEEN(8,12)/10,0)</f>
        <v>9881</v>
      </c>
      <c r="AS102" s="4">
        <f ca="1">ROUND(T_Tiktok_ads[[#This Row],[shares]]*RANDBETWEEN(8,12)/10,0)</f>
        <v>2720</v>
      </c>
      <c r="AT102" s="4">
        <f ca="1">ROUND(T_Tiktok_ads[[#This Row],[comments]]*RANDBETWEEN(8,12)/10,0)</f>
        <v>534</v>
      </c>
      <c r="AV102" s="5">
        <f t="shared" ca="1" si="17"/>
        <v>45049</v>
      </c>
      <c r="AW102">
        <f t="shared" ca="1" si="13"/>
        <v>1</v>
      </c>
      <c r="AX102">
        <f ca="1">ROUND(T_Facebook_Ads1159636771[[#This Row],[impressions]]*RANDBETWEEN(8,12)/10,0)</f>
        <v>33232</v>
      </c>
      <c r="AY102">
        <f ca="1">ROUND(T_Facebook_Ads1159636771[[#This Row],[clicks]]*RANDBETWEEN(8,12)/10,0)</f>
        <v>1444</v>
      </c>
      <c r="AZ102">
        <f ca="1">T_Facebook_Ads1159636771[[#This Row],[spend]]*RANDBETWEEN(8,12)/10</f>
        <v>166.05</v>
      </c>
      <c r="BA102">
        <f ca="1">ROUND(T_Facebook_Ads1159636771[[#This Row],[conversions]]*RANDBETWEEN(8,12)/10,0)</f>
        <v>25</v>
      </c>
      <c r="BB102">
        <f ca="1">ROUND(T_Facebook_Ads1159636771[[#This Row],[video_views]]*RANDBETWEEN(8,12)/10,0)</f>
        <v>3298</v>
      </c>
    </row>
    <row r="103" spans="1:54" ht="15.75" thickBot="1" x14ac:dyDescent="0.3">
      <c r="A103" s="3">
        <f t="shared" ca="1" si="14"/>
        <v>45057</v>
      </c>
      <c r="B103" s="4" t="s">
        <v>64</v>
      </c>
      <c r="C103" s="4" t="s">
        <v>65</v>
      </c>
      <c r="D103" s="4" t="s">
        <v>66</v>
      </c>
      <c r="E103" s="4" t="s">
        <v>67</v>
      </c>
      <c r="F103" s="4">
        <f ca="1">ROUND(T_Facebook_Ads[[#This Row],[impressions]]*RANDBETWEEN(8,12)/10,0)</f>
        <v>65789</v>
      </c>
      <c r="G103" s="4">
        <v>234</v>
      </c>
      <c r="H103" s="4">
        <f ca="1">T_Facebook_Ads[[#This Row],[spend]]*RANDBETWEEN(8,12)/10</f>
        <v>88.440000000000012</v>
      </c>
      <c r="I103" s="4">
        <f ca="1">ROUND(T_Facebook_Ads[[#This Row],[conversions]]*RANDBETWEEN(8,12)/10,0)</f>
        <v>4</v>
      </c>
      <c r="J103" s="4">
        <f ca="1">ROUND(T_Facebook_Ads[[#This Row],[video_views]]*RANDBETWEEN(8,12)/10,0)</f>
        <v>48279</v>
      </c>
      <c r="K103" s="4">
        <f ca="1">T_Facebook_Ads[[#This Row],[engagement_rate]]*RANDBETWEEN(8,12)/10</f>
        <v>4.3200000000000001E-3</v>
      </c>
      <c r="L103" s="4">
        <f ca="1">ROUND(T_Facebook_Ads[[#This Row],[reach]]*RANDBETWEEN(8,12)/10,0)</f>
        <v>59535</v>
      </c>
      <c r="M103" s="4">
        <f ca="1">T_Facebook_Ads[[#This Row],[frequency]]*RANDBETWEEN(8,12)/10</f>
        <v>1.452</v>
      </c>
      <c r="O103" s="3">
        <f t="shared" ca="1" si="15"/>
        <v>45060</v>
      </c>
      <c r="P103" s="4" t="s">
        <v>88</v>
      </c>
      <c r="Q103" s="4" t="s">
        <v>89</v>
      </c>
      <c r="R103" s="4" t="s">
        <v>90</v>
      </c>
      <c r="S103" s="4" t="s">
        <v>59</v>
      </c>
      <c r="T103" s="4">
        <f ca="1">ROUND(_Google_ads[[#This Row],[impressions]]*RANDBETWEEN(8,12)/10,0)</f>
        <v>101876</v>
      </c>
      <c r="U103" s="4">
        <f ca="1">ROUND(_Google_ads[[#This Row],[clicks]]*RANDBETWEEN(8,12)/10,0)</f>
        <v>490</v>
      </c>
      <c r="V103" s="4">
        <f ca="1">_Google_ads[[#This Row],[cost]]*RANDBETWEEN(8,12)/10</f>
        <v>137.60999999999999</v>
      </c>
      <c r="W103" s="4">
        <f ca="1">ROUND(_Google_ads[[#This Row],[conversions]]*RANDBETWEEN(8,12)/10,0)</f>
        <v>11</v>
      </c>
      <c r="X103" s="4">
        <f ca="1">ROUND(_Google_ads[[#This Row],[conversion_value]]*RANDBETWEEN(8,12)/10,0)</f>
        <v>720</v>
      </c>
      <c r="Y103" s="4">
        <f ca="1">_Google_ads[[#This Row],[ctr]]*RANDBETWEEN(8,12)/10</f>
        <v>4.2000000000000006E-3</v>
      </c>
      <c r="Z103" s="4">
        <f ca="1">_Google_ads[[#This Row],[avg_cpc]]*RANDBETWEEN(8,12)/10</f>
        <v>0.28000000000000003</v>
      </c>
      <c r="AA103" s="4">
        <f ca="1">ROUND(_Google_ads[[#This Row],[quality_score]]*RANDBETWEEN(8,12)/10,0)</f>
        <v>8</v>
      </c>
      <c r="AB103" s="4">
        <f ca="1">_Google_ads[[#This Row],[search_impression_share]]*RANDBETWEEN(8,12)/10</f>
        <v>0.36300000000000004</v>
      </c>
      <c r="AD103" s="3">
        <f t="shared" ca="1" si="16"/>
        <v>45063</v>
      </c>
      <c r="AE103" s="4" t="s">
        <v>112</v>
      </c>
      <c r="AF103" s="4" t="s">
        <v>113</v>
      </c>
      <c r="AG103" s="4" t="s">
        <v>114</v>
      </c>
      <c r="AH103" s="4" t="s">
        <v>115</v>
      </c>
      <c r="AI103" s="4">
        <f ca="1">ROUND(T_Tiktok_ads[[#This Row],[impressions]]*RANDBETWEEN(8,12)/10,0)</f>
        <v>481481</v>
      </c>
      <c r="AJ103" s="4">
        <f ca="1">ROUND(T_Tiktok_ads[[#This Row],[clicks]]*RANDBETWEEN(8,12)/10,0)</f>
        <v>7747</v>
      </c>
      <c r="AK103" s="4">
        <v>989.9</v>
      </c>
      <c r="AL103" s="4">
        <f ca="1">ROUND(T_Tiktok_ads[[#This Row],[conversions]]*RANDBETWEEN(8,12)/10,0)</f>
        <v>121</v>
      </c>
      <c r="AM103" s="4">
        <f ca="1">ROUND(T_Tiktok_ads[[#This Row],[video_views]]*RANDBETWEEN(8,12)/10,0)</f>
        <v>332345</v>
      </c>
      <c r="AN103" s="4">
        <f ca="1">ROUND(T_Tiktok_ads[[#This Row],[video_watch_25]]*RANDBETWEEN(8,12)/10,0)</f>
        <v>267890</v>
      </c>
      <c r="AO103" s="4">
        <f ca="1">ROUND(T_Tiktok_ads[[#This Row],[video_watch_50]]*RANDBETWEEN(8,12)/10,0)</f>
        <v>236024</v>
      </c>
      <c r="AP103" s="4">
        <f ca="1">ROUND(T_Tiktok_ads[[#This Row],[video_watch_75]]*RANDBETWEEN(8,12)/10,0)</f>
        <v>136111</v>
      </c>
      <c r="AQ103" s="4">
        <f ca="1">ROUND(T_Tiktok_ads[[#This Row],[video_watch_100]]*RANDBETWEEN(8,12)/10,0)</f>
        <v>109524</v>
      </c>
      <c r="AR103" s="4">
        <f ca="1">ROUND(T_Tiktok_ads[[#This Row],[likes]]*RANDBETWEEN(8,12)/10,0)</f>
        <v>20681</v>
      </c>
      <c r="AS103" s="4">
        <f ca="1">ROUND(T_Tiktok_ads[[#This Row],[shares]]*RANDBETWEEN(8,12)/10,0)</f>
        <v>4010</v>
      </c>
      <c r="AT103" s="4">
        <f ca="1">ROUND(T_Tiktok_ads[[#This Row],[comments]]*RANDBETWEEN(8,12)/10,0)</f>
        <v>1240</v>
      </c>
      <c r="AV103" s="5">
        <f t="shared" ca="1" si="17"/>
        <v>45063</v>
      </c>
      <c r="AW103">
        <f t="shared" ca="1" si="13"/>
        <v>5</v>
      </c>
      <c r="AX103">
        <f ca="1">ROUND(T_Facebook_Ads1159636771[[#This Row],[impressions]]*RANDBETWEEN(8,12)/10,0)</f>
        <v>52631</v>
      </c>
      <c r="AY103">
        <f ca="1">ROUND(T_Facebook_Ads1159636771[[#This Row],[clicks]]*RANDBETWEEN(8,12)/10,0)</f>
        <v>211</v>
      </c>
      <c r="AZ103">
        <f ca="1">T_Facebook_Ads1159636771[[#This Row],[spend]]*RANDBETWEEN(8,12)/10</f>
        <v>70.75200000000001</v>
      </c>
      <c r="BA103">
        <f ca="1">ROUND(T_Facebook_Ads1159636771[[#This Row],[conversions]]*RANDBETWEEN(8,12)/10,0)</f>
        <v>5</v>
      </c>
      <c r="BB103">
        <f ca="1">ROUND(T_Facebook_Ads1159636771[[#This Row],[video_views]]*RANDBETWEEN(8,12)/10,0)</f>
        <v>53107</v>
      </c>
    </row>
    <row r="104" spans="1:54" ht="15.75" thickBot="1" x14ac:dyDescent="0.3">
      <c r="A104" s="3">
        <f t="shared" ca="1" si="14"/>
        <v>45053</v>
      </c>
      <c r="B104" s="4" t="s">
        <v>52</v>
      </c>
      <c r="C104" s="4" t="s">
        <v>53</v>
      </c>
      <c r="D104" s="4" t="s">
        <v>54</v>
      </c>
      <c r="E104" s="4" t="s">
        <v>55</v>
      </c>
      <c r="F104" s="4">
        <f ca="1">ROUND(T_Facebook_Ads[[#This Row],[impressions]]*RANDBETWEEN(8,12)/10,0)</f>
        <v>52679</v>
      </c>
      <c r="G104" s="4">
        <v>967</v>
      </c>
      <c r="H104" s="4">
        <f ca="1">T_Facebook_Ads[[#This Row],[spend]]*RANDBETWEEN(8,12)/10</f>
        <v>138.4</v>
      </c>
      <c r="I104" s="4">
        <f ca="1">ROUND(T_Facebook_Ads[[#This Row],[conversions]]*RANDBETWEEN(8,12)/10,0)</f>
        <v>18</v>
      </c>
      <c r="J104" s="4">
        <f ca="1">ROUND(T_Facebook_Ads[[#This Row],[video_views]]*RANDBETWEEN(8,12)/10,0)</f>
        <v>7031</v>
      </c>
      <c r="K104" s="4">
        <f ca="1">T_Facebook_Ads[[#This Row],[engagement_rate]]*RANDBETWEEN(8,12)/10</f>
        <v>1.8179999999999998E-2</v>
      </c>
      <c r="L104" s="4">
        <f ca="1">ROUND(T_Facebook_Ads[[#This Row],[reach]]*RANDBETWEEN(8,12)/10,0)</f>
        <v>44257</v>
      </c>
      <c r="M104" s="4">
        <f ca="1">T_Facebook_Ads[[#This Row],[frequency]]*RANDBETWEEN(8,12)/10</f>
        <v>1.19</v>
      </c>
      <c r="O104" s="3">
        <f t="shared" ca="1" si="15"/>
        <v>45074</v>
      </c>
      <c r="P104" s="4" t="s">
        <v>76</v>
      </c>
      <c r="Q104" s="4" t="s">
        <v>77</v>
      </c>
      <c r="R104" s="4" t="s">
        <v>78</v>
      </c>
      <c r="S104" s="4" t="s">
        <v>79</v>
      </c>
      <c r="T104" s="4">
        <f ca="1">ROUND(_Google_ads[[#This Row],[impressions]]*RANDBETWEEN(8,12)/10,0)</f>
        <v>29868</v>
      </c>
      <c r="U104" s="4">
        <f ca="1">ROUND(_Google_ads[[#This Row],[clicks]]*RANDBETWEEN(8,12)/10,0)</f>
        <v>1150</v>
      </c>
      <c r="V104" s="4">
        <f ca="1">_Google_ads[[#This Row],[cost]]*RANDBETWEEN(8,12)/10</f>
        <v>244.2</v>
      </c>
      <c r="W104" s="4">
        <f ca="1">ROUND(_Google_ads[[#This Row],[conversions]]*RANDBETWEEN(8,12)/10,0)</f>
        <v>47</v>
      </c>
      <c r="X104" s="4">
        <f ca="1">ROUND(_Google_ads[[#This Row],[conversion_value]]*RANDBETWEEN(8,12)/10,0)</f>
        <v>2115</v>
      </c>
      <c r="Y104" s="4">
        <f ca="1">_Google_ads[[#This Row],[ctr]]*RANDBETWEEN(8,12)/10</f>
        <v>4.104E-2</v>
      </c>
      <c r="Z104" s="4">
        <f ca="1">_Google_ads[[#This Row],[avg_cpc]]*RANDBETWEEN(8,12)/10</f>
        <v>0.19</v>
      </c>
      <c r="AA104" s="4">
        <f ca="1">ROUND(_Google_ads[[#This Row],[quality_score]]*RANDBETWEEN(8,12)/10,0)</f>
        <v>9</v>
      </c>
      <c r="AB104" s="4">
        <f ca="1">_Google_ads[[#This Row],[search_impression_share]]*RANDBETWEEN(8,12)/10</f>
        <v>0.90999999999999992</v>
      </c>
      <c r="AD104" s="3">
        <f t="shared" ca="1" si="16"/>
        <v>45063</v>
      </c>
      <c r="AE104" s="4" t="s">
        <v>100</v>
      </c>
      <c r="AF104" s="4" t="s">
        <v>101</v>
      </c>
      <c r="AG104" s="4" t="s">
        <v>102</v>
      </c>
      <c r="AH104" s="4" t="s">
        <v>103</v>
      </c>
      <c r="AI104" s="4">
        <f ca="1">ROUND(T_Tiktok_ads[[#This Row],[impressions]]*RANDBETWEEN(8,12)/10,0)</f>
        <v>231210</v>
      </c>
      <c r="AJ104" s="4">
        <f ca="1">ROUND(T_Tiktok_ads[[#This Row],[clicks]]*RANDBETWEEN(8,12)/10,0)</f>
        <v>4234</v>
      </c>
      <c r="AK104" s="4">
        <v>556.70000000000005</v>
      </c>
      <c r="AL104" s="4">
        <f ca="1">ROUND(T_Tiktok_ads[[#This Row],[conversions]]*RANDBETWEEN(8,12)/10,0)</f>
        <v>39</v>
      </c>
      <c r="AM104" s="4">
        <f ca="1">ROUND(T_Tiktok_ads[[#This Row],[video_views]]*RANDBETWEEN(8,12)/10,0)</f>
        <v>234567</v>
      </c>
      <c r="AN104" s="4">
        <f ca="1">ROUND(T_Tiktok_ads[[#This Row],[video_watch_25]]*RANDBETWEEN(8,12)/10,0)</f>
        <v>182345</v>
      </c>
      <c r="AO104" s="4">
        <f ca="1">ROUND(T_Tiktok_ads[[#This Row],[video_watch_50]]*RANDBETWEEN(8,12)/10,0)</f>
        <v>114567</v>
      </c>
      <c r="AP104" s="4">
        <f ca="1">ROUND(T_Tiktok_ads[[#This Row],[video_watch_75]]*RANDBETWEEN(8,12)/10,0)</f>
        <v>92681</v>
      </c>
      <c r="AQ104" s="4">
        <f ca="1">ROUND(T_Tiktok_ads[[#This Row],[video_watch_100]]*RANDBETWEEN(8,12)/10,0)</f>
        <v>61481</v>
      </c>
      <c r="AR104" s="4">
        <f ca="1">ROUND(T_Tiktok_ads[[#This Row],[likes]]*RANDBETWEEN(8,12)/10,0)</f>
        <v>11380</v>
      </c>
      <c r="AS104" s="4">
        <f ca="1">ROUND(T_Tiktok_ads[[#This Row],[shares]]*RANDBETWEEN(8,12)/10,0)</f>
        <v>2789</v>
      </c>
      <c r="AT104" s="4">
        <f ca="1">ROUND(T_Tiktok_ads[[#This Row],[comments]]*RANDBETWEEN(8,12)/10,0)</f>
        <v>590</v>
      </c>
      <c r="AV104" s="5">
        <f t="shared" ca="1" si="17"/>
        <v>45061</v>
      </c>
      <c r="AW104">
        <f t="shared" ca="1" si="13"/>
        <v>5</v>
      </c>
      <c r="AX104">
        <f ca="1">ROUND(T_Facebook_Ads1159636771[[#This Row],[impressions]]*RANDBETWEEN(8,12)/10,0)</f>
        <v>52679</v>
      </c>
      <c r="AY104">
        <f ca="1">ROUND(T_Facebook_Ads1159636771[[#This Row],[clicks]]*RANDBETWEEN(8,12)/10,0)</f>
        <v>1064</v>
      </c>
      <c r="AZ104">
        <f ca="1">T_Facebook_Ads1159636771[[#This Row],[spend]]*RANDBETWEEN(8,12)/10</f>
        <v>166.08</v>
      </c>
      <c r="BA104">
        <f ca="1">ROUND(T_Facebook_Ads1159636771[[#This Row],[conversions]]*RANDBETWEEN(8,12)/10,0)</f>
        <v>18</v>
      </c>
      <c r="BB104">
        <f ca="1">ROUND(T_Facebook_Ads1159636771[[#This Row],[video_views]]*RANDBETWEEN(8,12)/10,0)</f>
        <v>8437</v>
      </c>
    </row>
    <row r="105" spans="1:54" ht="15.75" thickBot="1" x14ac:dyDescent="0.3">
      <c r="A105" s="3">
        <f t="shared" ca="1" si="14"/>
        <v>45077</v>
      </c>
      <c r="B105" s="4" t="s">
        <v>56</v>
      </c>
      <c r="C105" s="4" t="s">
        <v>57</v>
      </c>
      <c r="D105" s="4" t="s">
        <v>58</v>
      </c>
      <c r="E105" s="4" t="s">
        <v>59</v>
      </c>
      <c r="F105" s="4">
        <f ca="1">ROUND(T_Facebook_Ads[[#This Row],[impressions]]*RANDBETWEEN(8,12)/10,0)</f>
        <v>15881</v>
      </c>
      <c r="G105" s="4">
        <v>612</v>
      </c>
      <c r="H105" s="4">
        <f ca="1">T_Facebook_Ads[[#This Row],[spend]]*RANDBETWEEN(8,12)/10</f>
        <v>203.85</v>
      </c>
      <c r="I105" s="4">
        <f ca="1">ROUND(T_Facebook_Ads[[#This Row],[conversions]]*RANDBETWEEN(8,12)/10,0)</f>
        <v>47</v>
      </c>
      <c r="J105" s="4">
        <f ca="1">ROUND(T_Facebook_Ads[[#This Row],[video_views]]*RANDBETWEEN(8,12)/10,0)</f>
        <v>1076</v>
      </c>
      <c r="K105" s="4">
        <f ca="1">T_Facebook_Ads[[#This Row],[engagement_rate]]*RANDBETWEEN(8,12)/10</f>
        <v>4.6300000000000001E-2</v>
      </c>
      <c r="L105" s="4">
        <f ca="1">ROUND(T_Facebook_Ads[[#This Row],[reach]]*RANDBETWEEN(8,12)/10,0)</f>
        <v>11502</v>
      </c>
      <c r="M105" s="4">
        <f ca="1">T_Facebook_Ads[[#This Row],[frequency]]*RANDBETWEEN(8,12)/10</f>
        <v>1.016</v>
      </c>
      <c r="O105" s="3">
        <f t="shared" ca="1" si="15"/>
        <v>45056</v>
      </c>
      <c r="P105" s="4" t="s">
        <v>80</v>
      </c>
      <c r="Q105" s="4" t="s">
        <v>81</v>
      </c>
      <c r="R105" s="4" t="s">
        <v>82</v>
      </c>
      <c r="S105" s="4" t="s">
        <v>83</v>
      </c>
      <c r="T105" s="4">
        <f ca="1">ROUND(_Google_ads[[#This Row],[impressions]]*RANDBETWEEN(8,12)/10,0)</f>
        <v>35654</v>
      </c>
      <c r="U105" s="4">
        <f ca="1">ROUND(_Google_ads[[#This Row],[clicks]]*RANDBETWEEN(8,12)/10,0)</f>
        <v>790</v>
      </c>
      <c r="V105" s="4">
        <f ca="1">_Google_ads[[#This Row],[cost]]*RANDBETWEEN(8,12)/10</f>
        <v>684.95999999999992</v>
      </c>
      <c r="W105" s="4">
        <f ca="1">ROUND(_Google_ads[[#This Row],[conversions]]*RANDBETWEEN(8,12)/10,0)</f>
        <v>23</v>
      </c>
      <c r="X105" s="4">
        <f ca="1">ROUND(_Google_ads[[#This Row],[conversion_value]]*RANDBETWEEN(8,12)/10,0)</f>
        <v>1035</v>
      </c>
      <c r="Y105" s="4">
        <f ca="1">_Google_ads[[#This Row],[ctr]]*RANDBETWEEN(8,12)/10</f>
        <v>2.1669999999999998E-2</v>
      </c>
      <c r="Z105" s="4">
        <f ca="1">_Google_ads[[#This Row],[avg_cpc]]*RANDBETWEEN(8,12)/10</f>
        <v>0.65</v>
      </c>
      <c r="AA105" s="4">
        <f ca="1">ROUND(_Google_ads[[#This Row],[quality_score]]*RANDBETWEEN(8,12)/10,0)</f>
        <v>7</v>
      </c>
      <c r="AB105" s="4">
        <f ca="1">_Google_ads[[#This Row],[search_impression_share]]*RANDBETWEEN(8,12)/10</f>
        <v>0.35199999999999998</v>
      </c>
      <c r="AD105" s="3">
        <f t="shared" ca="1" si="16"/>
        <v>45061</v>
      </c>
      <c r="AE105" s="4" t="s">
        <v>104</v>
      </c>
      <c r="AF105" s="4" t="s">
        <v>105</v>
      </c>
      <c r="AG105" s="4" t="s">
        <v>106</v>
      </c>
      <c r="AH105" s="4" t="s">
        <v>107</v>
      </c>
      <c r="AI105" s="4">
        <f ca="1">ROUND(T_Tiktok_ads[[#This Row],[impressions]]*RANDBETWEEN(8,12)/10,0)</f>
        <v>172468</v>
      </c>
      <c r="AJ105" s="4">
        <f ca="1">ROUND(T_Tiktok_ads[[#This Row],[clicks]]*RANDBETWEEN(8,12)/10,0)</f>
        <v>3012</v>
      </c>
      <c r="AK105" s="4">
        <v>812.3</v>
      </c>
      <c r="AL105" s="4">
        <f ca="1">ROUND(T_Tiktok_ads[[#This Row],[conversions]]*RANDBETWEEN(8,12)/10,0)</f>
        <v>82</v>
      </c>
      <c r="AM105" s="4">
        <f ca="1">ROUND(T_Tiktok_ads[[#This Row],[video_views]]*RANDBETWEEN(8,12)/10,0)</f>
        <v>87901</v>
      </c>
      <c r="AN105" s="4">
        <f ca="1">ROUND(T_Tiktok_ads[[#This Row],[video_watch_25]]*RANDBETWEEN(8,12)/10,0)</f>
        <v>73111</v>
      </c>
      <c r="AO105" s="4">
        <f ca="1">ROUND(T_Tiktok_ads[[#This Row],[video_watch_50]]*RANDBETWEEN(8,12)/10,0)</f>
        <v>60146</v>
      </c>
      <c r="AP105" s="4">
        <f ca="1">ROUND(T_Tiktok_ads[[#This Row],[video_watch_75]]*RANDBETWEEN(8,12)/10,0)</f>
        <v>41234</v>
      </c>
      <c r="AQ105" s="4">
        <f ca="1">ROUND(T_Tiktok_ads[[#This Row],[video_watch_100]]*RANDBETWEEN(8,12)/10,0)</f>
        <v>27567</v>
      </c>
      <c r="AR105" s="4">
        <f ca="1">ROUND(T_Tiktok_ads[[#This Row],[likes]]*RANDBETWEEN(8,12)/10,0)</f>
        <v>6002</v>
      </c>
      <c r="AS105" s="4">
        <f ca="1">ROUND(T_Tiktok_ads[[#This Row],[shares]]*RANDBETWEEN(8,12)/10,0)</f>
        <v>1410</v>
      </c>
      <c r="AT105" s="4">
        <f ca="1">ROUND(T_Tiktok_ads[[#This Row],[comments]]*RANDBETWEEN(8,12)/10,0)</f>
        <v>289</v>
      </c>
      <c r="AV105" s="5">
        <f t="shared" ca="1" si="17"/>
        <v>45062</v>
      </c>
      <c r="AW105">
        <f t="shared" ca="1" si="13"/>
        <v>1</v>
      </c>
      <c r="AX105">
        <f ca="1">ROUND(T_Facebook_Ads1159636771[[#This Row],[impressions]]*RANDBETWEEN(8,12)/10,0)</f>
        <v>19057</v>
      </c>
      <c r="AY105">
        <f ca="1">ROUND(T_Facebook_Ads1159636771[[#This Row],[clicks]]*RANDBETWEEN(8,12)/10,0)</f>
        <v>490</v>
      </c>
      <c r="AZ105">
        <f ca="1">T_Facebook_Ads1159636771[[#This Row],[spend]]*RANDBETWEEN(8,12)/10</f>
        <v>203.85</v>
      </c>
      <c r="BA105">
        <f ca="1">ROUND(T_Facebook_Ads1159636771[[#This Row],[conversions]]*RANDBETWEEN(8,12)/10,0)</f>
        <v>42</v>
      </c>
      <c r="BB105">
        <f ca="1">ROUND(T_Facebook_Ads1159636771[[#This Row],[video_views]]*RANDBETWEEN(8,12)/10,0)</f>
        <v>1291</v>
      </c>
    </row>
    <row r="106" spans="1:54" ht="15.75" thickBot="1" x14ac:dyDescent="0.3">
      <c r="A106" s="3">
        <f t="shared" ca="1" si="14"/>
        <v>45058</v>
      </c>
      <c r="B106" s="4" t="s">
        <v>60</v>
      </c>
      <c r="C106" s="4" t="s">
        <v>61</v>
      </c>
      <c r="D106" s="4" t="s">
        <v>62</v>
      </c>
      <c r="E106" s="4" t="s">
        <v>63</v>
      </c>
      <c r="F106" s="4">
        <f ca="1">ROUND(T_Facebook_Ads[[#This Row],[impressions]]*RANDBETWEEN(8,12)/10,0)</f>
        <v>43481</v>
      </c>
      <c r="G106" s="4">
        <v>1334</v>
      </c>
      <c r="H106" s="4">
        <f ca="1">T_Facebook_Ads[[#This Row],[spend]]*RANDBETWEEN(8,12)/10</f>
        <v>224.07</v>
      </c>
      <c r="I106" s="4">
        <f ca="1">ROUND(T_Facebook_Ads[[#This Row],[conversions]]*RANDBETWEEN(8,12)/10,0)</f>
        <v>34</v>
      </c>
      <c r="J106" s="4">
        <f ca="1">ROUND(T_Facebook_Ads[[#This Row],[video_views]]*RANDBETWEEN(8,12)/10,0)</f>
        <v>4678</v>
      </c>
      <c r="K106" s="4">
        <f ca="1">T_Facebook_Ads[[#This Row],[engagement_rate]]*RANDBETWEEN(8,12)/10</f>
        <v>4.0480000000000002E-2</v>
      </c>
      <c r="L106" s="4">
        <f ca="1">ROUND(T_Facebook_Ads[[#This Row],[reach]]*RANDBETWEEN(8,12)/10,0)</f>
        <v>24098</v>
      </c>
      <c r="M106" s="4">
        <f ca="1">T_Facebook_Ads[[#This Row],[frequency]]*RANDBETWEEN(8,12)/10</f>
        <v>0.96</v>
      </c>
      <c r="O106" s="3">
        <f t="shared" ca="1" si="15"/>
        <v>45061</v>
      </c>
      <c r="P106" s="4" t="s">
        <v>84</v>
      </c>
      <c r="Q106" s="4" t="s">
        <v>85</v>
      </c>
      <c r="R106" s="4" t="s">
        <v>86</v>
      </c>
      <c r="S106" s="4" t="s">
        <v>87</v>
      </c>
      <c r="T106" s="4">
        <f ca="1">ROUND(_Google_ads[[#This Row],[impressions]]*RANDBETWEEN(8,12)/10,0)</f>
        <v>75302</v>
      </c>
      <c r="U106" s="4">
        <f ca="1">ROUND(_Google_ads[[#This Row],[clicks]]*RANDBETWEEN(8,12)/10,0)</f>
        <v>2060</v>
      </c>
      <c r="V106" s="4">
        <f ca="1">_Google_ads[[#This Row],[cost]]*RANDBETWEEN(8,12)/10</f>
        <v>419.5</v>
      </c>
      <c r="W106" s="4">
        <f ca="1">ROUND(_Google_ads[[#This Row],[conversions]]*RANDBETWEEN(8,12)/10,0)</f>
        <v>79</v>
      </c>
      <c r="X106" s="4">
        <f ca="1">ROUND(_Google_ads[[#This Row],[conversion_value]]*RANDBETWEEN(8,12)/10,0)</f>
        <v>3300</v>
      </c>
      <c r="Y106" s="4">
        <f ca="1">_Google_ads[[#This Row],[ctr]]*RANDBETWEEN(8,12)/10</f>
        <v>4.0079999999999998E-2</v>
      </c>
      <c r="Z106" s="4">
        <f ca="1">_Google_ads[[#This Row],[avg_cpc]]*RANDBETWEEN(8,12)/10</f>
        <v>0.19800000000000001</v>
      </c>
      <c r="AA106" s="4">
        <f ca="1">ROUND(_Google_ads[[#This Row],[quality_score]]*RANDBETWEEN(8,12)/10,0)</f>
        <v>9</v>
      </c>
      <c r="AB106" s="4">
        <f ca="1">_Google_ads[[#This Row],[search_impression_share]]*RANDBETWEEN(8,12)/10</f>
        <v>0.60299999999999998</v>
      </c>
      <c r="AD106" s="3">
        <f t="shared" ca="1" si="16"/>
        <v>45048</v>
      </c>
      <c r="AE106" s="4" t="s">
        <v>108</v>
      </c>
      <c r="AF106" s="4" t="s">
        <v>109</v>
      </c>
      <c r="AG106" s="4" t="s">
        <v>110</v>
      </c>
      <c r="AH106" s="4" t="s">
        <v>111</v>
      </c>
      <c r="AI106" s="4">
        <f ca="1">ROUND(T_Tiktok_ads[[#This Row],[impressions]]*RANDBETWEEN(8,12)/10,0)</f>
        <v>270246</v>
      </c>
      <c r="AJ106" s="4">
        <f ca="1">ROUND(T_Tiktok_ads[[#This Row],[clicks]]*RANDBETWEEN(8,12)/10,0)</f>
        <v>3501</v>
      </c>
      <c r="AK106" s="4">
        <v>467.8</v>
      </c>
      <c r="AL106" s="4">
        <f ca="1">ROUND(T_Tiktok_ads[[#This Row],[conversions]]*RANDBETWEEN(8,12)/10,0)</f>
        <v>34</v>
      </c>
      <c r="AM106" s="4">
        <f ca="1">ROUND(T_Tiktok_ads[[#This Row],[video_views]]*RANDBETWEEN(8,12)/10,0)</f>
        <v>234814</v>
      </c>
      <c r="AN106" s="4">
        <f ca="1">ROUND(T_Tiktok_ads[[#This Row],[video_watch_25]]*RANDBETWEEN(8,12)/10,0)</f>
        <v>177881</v>
      </c>
      <c r="AO106" s="4">
        <f ca="1">ROUND(T_Tiktok_ads[[#This Row],[video_watch_50]]*RANDBETWEEN(8,12)/10,0)</f>
        <v>117234</v>
      </c>
      <c r="AP106" s="4">
        <f ca="1">ROUND(T_Tiktok_ads[[#This Row],[video_watch_75]]*RANDBETWEEN(8,12)/10,0)</f>
        <v>82757</v>
      </c>
      <c r="AQ106" s="4">
        <f ca="1">ROUND(T_Tiktok_ads[[#This Row],[video_watch_100]]*RANDBETWEEN(8,12)/10,0)</f>
        <v>41210</v>
      </c>
      <c r="AR106" s="4">
        <f ca="1">ROUND(T_Tiktok_ads[[#This Row],[likes]]*RANDBETWEEN(8,12)/10,0)</f>
        <v>9424</v>
      </c>
      <c r="AS106" s="4">
        <f ca="1">ROUND(T_Tiktok_ads[[#This Row],[shares]]*RANDBETWEEN(8,12)/10,0)</f>
        <v>1876</v>
      </c>
      <c r="AT106" s="4">
        <f ca="1">ROUND(T_Tiktok_ads[[#This Row],[comments]]*RANDBETWEEN(8,12)/10,0)</f>
        <v>510</v>
      </c>
      <c r="AV106" s="5">
        <f t="shared" ca="1" si="17"/>
        <v>45049</v>
      </c>
      <c r="AW106">
        <f t="shared" ca="1" si="13"/>
        <v>2</v>
      </c>
      <c r="AX106">
        <f ca="1">ROUND(T_Facebook_Ads1159636771[[#This Row],[impressions]]*RANDBETWEEN(8,12)/10,0)</f>
        <v>34785</v>
      </c>
      <c r="AY106">
        <f ca="1">ROUND(T_Facebook_Ads1159636771[[#This Row],[clicks]]*RANDBETWEEN(8,12)/10,0)</f>
        <v>1601</v>
      </c>
      <c r="AZ106">
        <f ca="1">T_Facebook_Ads1159636771[[#This Row],[spend]]*RANDBETWEEN(8,12)/10</f>
        <v>268.88400000000001</v>
      </c>
      <c r="BA106">
        <f ca="1">ROUND(T_Facebook_Ads1159636771[[#This Row],[conversions]]*RANDBETWEEN(8,12)/10,0)</f>
        <v>31</v>
      </c>
      <c r="BB106">
        <f ca="1">ROUND(T_Facebook_Ads1159636771[[#This Row],[video_views]]*RANDBETWEEN(8,12)/10,0)</f>
        <v>5146</v>
      </c>
    </row>
    <row r="107" spans="1:54" ht="15.75" thickBot="1" x14ac:dyDescent="0.3">
      <c r="A107" s="3">
        <f t="shared" ca="1" si="14"/>
        <v>45067</v>
      </c>
      <c r="B107" s="4" t="s">
        <v>64</v>
      </c>
      <c r="C107" s="4" t="s">
        <v>65</v>
      </c>
      <c r="D107" s="4" t="s">
        <v>66</v>
      </c>
      <c r="E107" s="4" t="s">
        <v>67</v>
      </c>
      <c r="F107" s="4">
        <f ca="1">ROUND(T_Facebook_Ads[[#This Row],[impressions]]*RANDBETWEEN(8,12)/10,0)</f>
        <v>55654</v>
      </c>
      <c r="G107" s="4">
        <v>253</v>
      </c>
      <c r="H107" s="4">
        <f ca="1">T_Facebook_Ads[[#This Row],[spend]]*RANDBETWEEN(8,12)/10</f>
        <v>106.44000000000001</v>
      </c>
      <c r="I107" s="4">
        <f ca="1">ROUND(T_Facebook_Ads[[#This Row],[conversions]]*RANDBETWEEN(8,12)/10,0)</f>
        <v>7</v>
      </c>
      <c r="J107" s="4">
        <f ca="1">ROUND(T_Facebook_Ads[[#This Row],[video_views]]*RANDBETWEEN(8,12)/10,0)</f>
        <v>46890</v>
      </c>
      <c r="K107" s="4">
        <f ca="1">T_Facebook_Ads[[#This Row],[engagement_rate]]*RANDBETWEEN(8,12)/10</f>
        <v>4.3200000000000001E-3</v>
      </c>
      <c r="L107" s="4">
        <f ca="1">ROUND(T_Facebook_Ads[[#This Row],[reach]]*RANDBETWEEN(8,12)/10,0)</f>
        <v>45698</v>
      </c>
      <c r="M107" s="4">
        <f ca="1">T_Facebook_Ads[[#This Row],[frequency]]*RANDBETWEEN(8,12)/10</f>
        <v>0.97599999999999998</v>
      </c>
      <c r="O107" s="3">
        <f t="shared" ca="1" si="15"/>
        <v>45063</v>
      </c>
      <c r="P107" s="4" t="s">
        <v>88</v>
      </c>
      <c r="Q107" s="4" t="s">
        <v>89</v>
      </c>
      <c r="R107" s="4" t="s">
        <v>90</v>
      </c>
      <c r="S107" s="4" t="s">
        <v>59</v>
      </c>
      <c r="T107" s="4">
        <f ca="1">ROUND(_Google_ads[[#This Row],[impressions]]*RANDBETWEEN(8,12)/10,0)</f>
        <v>144357</v>
      </c>
      <c r="U107" s="4">
        <f ca="1">ROUND(_Google_ads[[#This Row],[clicks]]*RANDBETWEEN(8,12)/10,0)</f>
        <v>374</v>
      </c>
      <c r="V107" s="4">
        <f ca="1">_Google_ads[[#This Row],[cost]]*RANDBETWEEN(8,12)/10</f>
        <v>154.68</v>
      </c>
      <c r="W107" s="4">
        <f ca="1">ROUND(_Google_ads[[#This Row],[conversions]]*RANDBETWEEN(8,12)/10,0)</f>
        <v>10</v>
      </c>
      <c r="X107" s="4">
        <f ca="1">ROUND(_Google_ads[[#This Row],[conversion_value]]*RANDBETWEEN(8,12)/10,0)</f>
        <v>650</v>
      </c>
      <c r="Y107" s="4">
        <f ca="1">_Google_ads[[#This Row],[ctr]]*RANDBETWEEN(8,12)/10</f>
        <v>3.96E-3</v>
      </c>
      <c r="Z107" s="4">
        <f ca="1">_Google_ads[[#This Row],[avg_cpc]]*RANDBETWEEN(8,12)/10</f>
        <v>0.28000000000000003</v>
      </c>
      <c r="AA107" s="4">
        <f ca="1">ROUND(_Google_ads[[#This Row],[quality_score]]*RANDBETWEEN(8,12)/10,0)</f>
        <v>6</v>
      </c>
      <c r="AB107" s="4">
        <f ca="1">_Google_ads[[#This Row],[search_impression_share]]*RANDBETWEEN(8,12)/10</f>
        <v>0.30599999999999999</v>
      </c>
      <c r="AD107" s="3">
        <f t="shared" ca="1" si="16"/>
        <v>45076</v>
      </c>
      <c r="AE107" s="4" t="s">
        <v>112</v>
      </c>
      <c r="AF107" s="4" t="s">
        <v>113</v>
      </c>
      <c r="AG107" s="4" t="s">
        <v>114</v>
      </c>
      <c r="AH107" s="4" t="s">
        <v>115</v>
      </c>
      <c r="AI107" s="4">
        <f ca="1">ROUND(T_Tiktok_ads[[#This Row],[impressions]]*RANDBETWEEN(8,12)/10,0)</f>
        <v>465802</v>
      </c>
      <c r="AJ107" s="4">
        <f ca="1">ROUND(T_Tiktok_ads[[#This Row],[clicks]]*RANDBETWEEN(8,12)/10,0)</f>
        <v>7579</v>
      </c>
      <c r="AK107" s="4">
        <v>1056.8</v>
      </c>
      <c r="AL107" s="4">
        <f ca="1">ROUND(T_Tiktok_ads[[#This Row],[conversions]]*RANDBETWEEN(8,12)/10,0)</f>
        <v>118</v>
      </c>
      <c r="AM107" s="4">
        <f ca="1">ROUND(T_Tiktok_ads[[#This Row],[video_views]]*RANDBETWEEN(8,12)/10,0)</f>
        <v>321110</v>
      </c>
      <c r="AN107" s="4">
        <f ca="1">ROUND(T_Tiktok_ads[[#This Row],[video_watch_25]]*RANDBETWEEN(8,12)/10,0)</f>
        <v>347081</v>
      </c>
      <c r="AO107" s="4">
        <f ca="1">ROUND(T_Tiktok_ads[[#This Row],[video_watch_50]]*RANDBETWEEN(8,12)/10,0)</f>
        <v>231456</v>
      </c>
      <c r="AP107" s="4">
        <f ca="1">ROUND(T_Tiktok_ads[[#This Row],[video_watch_75]]*RANDBETWEEN(8,12)/10,0)</f>
        <v>131654</v>
      </c>
      <c r="AQ107" s="4">
        <f ca="1">ROUND(T_Tiktok_ads[[#This Row],[video_watch_100]]*RANDBETWEEN(8,12)/10,0)</f>
        <v>131081</v>
      </c>
      <c r="AR107" s="4">
        <f ca="1">ROUND(T_Tiktok_ads[[#This Row],[likes]]*RANDBETWEEN(8,12)/10,0)</f>
        <v>22668</v>
      </c>
      <c r="AS107" s="4">
        <f ca="1">ROUND(T_Tiktok_ads[[#This Row],[shares]]*RANDBETWEEN(8,12)/10,0)</f>
        <v>6547</v>
      </c>
      <c r="AT107" s="4">
        <f ca="1">ROUND(T_Tiktok_ads[[#This Row],[comments]]*RANDBETWEEN(8,12)/10,0)</f>
        <v>1340</v>
      </c>
      <c r="AV107" s="5">
        <f t="shared" ca="1" si="17"/>
        <v>45070</v>
      </c>
      <c r="AW107">
        <f t="shared" ca="1" si="13"/>
        <v>1</v>
      </c>
      <c r="AX107">
        <f ca="1">ROUND(T_Facebook_Ads1159636771[[#This Row],[impressions]]*RANDBETWEEN(8,12)/10,0)</f>
        <v>50089</v>
      </c>
      <c r="AY107">
        <f ca="1">ROUND(T_Facebook_Ads1159636771[[#This Row],[clicks]]*RANDBETWEEN(8,12)/10,0)</f>
        <v>253</v>
      </c>
      <c r="AZ107">
        <f ca="1">T_Facebook_Ads1159636771[[#This Row],[spend]]*RANDBETWEEN(8,12)/10</f>
        <v>117.08400000000002</v>
      </c>
      <c r="BA107">
        <f ca="1">ROUND(T_Facebook_Ads1159636771[[#This Row],[conversions]]*RANDBETWEEN(8,12)/10,0)</f>
        <v>7</v>
      </c>
      <c r="BB107">
        <f ca="1">ROUND(T_Facebook_Ads1159636771[[#This Row],[video_views]]*RANDBETWEEN(8,12)/10,0)</f>
        <v>42201</v>
      </c>
    </row>
    <row r="108" spans="1:54" ht="15.75" thickBot="1" x14ac:dyDescent="0.3">
      <c r="A108" s="3">
        <f t="shared" ca="1" si="14"/>
        <v>45054</v>
      </c>
      <c r="B108" s="4" t="s">
        <v>52</v>
      </c>
      <c r="C108" s="4" t="s">
        <v>53</v>
      </c>
      <c r="D108" s="4" t="s">
        <v>54</v>
      </c>
      <c r="E108" s="4" t="s">
        <v>55</v>
      </c>
      <c r="F108" s="4">
        <f ca="1">ROUND(T_Facebook_Ads[[#This Row],[impressions]]*RANDBETWEEN(8,12)/10,0)</f>
        <v>54157</v>
      </c>
      <c r="G108" s="4">
        <v>1001</v>
      </c>
      <c r="H108" s="4">
        <f ca="1">T_Facebook_Ads[[#This Row],[spend]]*RANDBETWEEN(8,12)/10</f>
        <v>142.80000000000001</v>
      </c>
      <c r="I108" s="4">
        <f ca="1">ROUND(T_Facebook_Ads[[#This Row],[conversions]]*RANDBETWEEN(8,12)/10,0)</f>
        <v>13</v>
      </c>
      <c r="J108" s="4">
        <f ca="1">ROUND(T_Facebook_Ads[[#This Row],[video_views]]*RANDBETWEEN(8,12)/10,0)</f>
        <v>9012</v>
      </c>
      <c r="K108" s="4">
        <f ca="1">T_Facebook_Ads[[#This Row],[engagement_rate]]*RANDBETWEEN(8,12)/10</f>
        <v>1.6239999999999997E-2</v>
      </c>
      <c r="L108" s="4">
        <f ca="1">ROUND(T_Facebook_Ads[[#This Row],[reach]]*RANDBETWEEN(8,12)/10,0)</f>
        <v>33254</v>
      </c>
      <c r="M108" s="4">
        <f ca="1">T_Facebook_Ads[[#This Row],[frequency]]*RANDBETWEEN(8,12)/10</f>
        <v>0.94399999999999995</v>
      </c>
      <c r="O108" s="3">
        <f t="shared" ca="1" si="15"/>
        <v>45047</v>
      </c>
      <c r="P108" s="4" t="s">
        <v>76</v>
      </c>
      <c r="Q108" s="4" t="s">
        <v>77</v>
      </c>
      <c r="R108" s="4" t="s">
        <v>78</v>
      </c>
      <c r="S108" s="4" t="s">
        <v>79</v>
      </c>
      <c r="T108" s="4">
        <f ca="1">ROUND(_Google_ads[[#This Row],[impressions]]*RANDBETWEEN(8,12)/10,0)</f>
        <v>25456</v>
      </c>
      <c r="U108" s="4">
        <f ca="1">ROUND(_Google_ads[[#This Row],[clicks]]*RANDBETWEEN(8,12)/10,0)</f>
        <v>1067</v>
      </c>
      <c r="V108" s="4">
        <f ca="1">_Google_ads[[#This Row],[cost]]*RANDBETWEEN(8,12)/10</f>
        <v>229.14000000000001</v>
      </c>
      <c r="W108" s="4">
        <f ca="1">ROUND(_Google_ads[[#This Row],[conversions]]*RANDBETWEEN(8,12)/10,0)</f>
        <v>45</v>
      </c>
      <c r="X108" s="4">
        <f ca="1">ROUND(_Google_ads[[#This Row],[conversion_value]]*RANDBETWEEN(8,12)/10,0)</f>
        <v>2250</v>
      </c>
      <c r="Y108" s="4">
        <f ca="1">_Google_ads[[#This Row],[ctr]]*RANDBETWEEN(8,12)/10</f>
        <v>4.7160000000000001E-2</v>
      </c>
      <c r="Z108" s="4">
        <f ca="1">_Google_ads[[#This Row],[avg_cpc]]*RANDBETWEEN(8,12)/10</f>
        <v>0.19</v>
      </c>
      <c r="AA108" s="4">
        <f ca="1">ROUND(_Google_ads[[#This Row],[quality_score]]*RANDBETWEEN(8,12)/10,0)</f>
        <v>10</v>
      </c>
      <c r="AB108" s="4">
        <f ca="1">_Google_ads[[#This Row],[search_impression_share]]*RANDBETWEEN(8,12)/10</f>
        <v>0.73599999999999999</v>
      </c>
      <c r="AD108" s="3">
        <f t="shared" ca="1" si="16"/>
        <v>45052</v>
      </c>
      <c r="AE108" s="4" t="s">
        <v>100</v>
      </c>
      <c r="AF108" s="4" t="s">
        <v>101</v>
      </c>
      <c r="AG108" s="4" t="s">
        <v>102</v>
      </c>
      <c r="AH108" s="4" t="s">
        <v>103</v>
      </c>
      <c r="AI108" s="4">
        <f ca="1">ROUND(T_Tiktok_ads[[#This Row],[impressions]]*RANDBETWEEN(8,12)/10,0)</f>
        <v>266110</v>
      </c>
      <c r="AJ108" s="4">
        <f ca="1">ROUND(T_Tiktok_ads[[#This Row],[clicks]]*RANDBETWEEN(8,12)/10,0)</f>
        <v>4345</v>
      </c>
      <c r="AK108" s="4">
        <v>573.20000000000005</v>
      </c>
      <c r="AL108" s="4">
        <f ca="1">ROUND(T_Tiktok_ads[[#This Row],[conversions]]*RANDBETWEEN(8,12)/10,0)</f>
        <v>35</v>
      </c>
      <c r="AM108" s="4">
        <f ca="1">ROUND(T_Tiktok_ads[[#This Row],[video_views]]*RANDBETWEEN(8,12)/10,0)</f>
        <v>217111</v>
      </c>
      <c r="AN108" s="4">
        <f ca="1">ROUND(T_Tiktok_ads[[#This Row],[video_watch_25]]*RANDBETWEEN(8,12)/10,0)</f>
        <v>169411</v>
      </c>
      <c r="AO108" s="4">
        <f ca="1">ROUND(T_Tiktok_ads[[#This Row],[video_watch_50]]*RANDBETWEEN(8,12)/10,0)</f>
        <v>117890</v>
      </c>
      <c r="AP108" s="4">
        <f ca="1">ROUND(T_Tiktok_ads[[#This Row],[video_watch_75]]*RANDBETWEEN(8,12)/10,0)</f>
        <v>87157</v>
      </c>
      <c r="AQ108" s="4">
        <f ca="1">ROUND(T_Tiktok_ads[[#This Row],[video_watch_100]]*RANDBETWEEN(8,12)/10,0)</f>
        <v>58068</v>
      </c>
      <c r="AR108" s="4">
        <f ca="1">ROUND(T_Tiktok_ads[[#This Row],[likes]]*RANDBETWEEN(8,12)/10,0)</f>
        <v>12680</v>
      </c>
      <c r="AS108" s="4">
        <f ca="1">ROUND(T_Tiktok_ads[[#This Row],[shares]]*RANDBETWEEN(8,12)/10,0)</f>
        <v>3427</v>
      </c>
      <c r="AT108" s="4">
        <f ca="1">ROUND(T_Tiktok_ads[[#This Row],[comments]]*RANDBETWEEN(8,12)/10,0)</f>
        <v>667</v>
      </c>
      <c r="AV108" s="5">
        <f t="shared" ca="1" si="17"/>
        <v>45050</v>
      </c>
      <c r="AW108">
        <f t="shared" ca="1" si="13"/>
        <v>3</v>
      </c>
      <c r="AX108">
        <f ca="1">ROUND(T_Facebook_Ads1159636771[[#This Row],[impressions]]*RANDBETWEEN(8,12)/10,0)</f>
        <v>64988</v>
      </c>
      <c r="AY108">
        <f ca="1">ROUND(T_Facebook_Ads1159636771[[#This Row],[clicks]]*RANDBETWEEN(8,12)/10,0)</f>
        <v>1201</v>
      </c>
      <c r="AZ108">
        <f ca="1">T_Facebook_Ads1159636771[[#This Row],[spend]]*RANDBETWEEN(8,12)/10</f>
        <v>142.80000000000001</v>
      </c>
      <c r="BA108">
        <f ca="1">ROUND(T_Facebook_Ads1159636771[[#This Row],[conversions]]*RANDBETWEEN(8,12)/10,0)</f>
        <v>12</v>
      </c>
      <c r="BB108">
        <f ca="1">ROUND(T_Facebook_Ads1159636771[[#This Row],[video_views]]*RANDBETWEEN(8,12)/10,0)</f>
        <v>10814</v>
      </c>
    </row>
    <row r="109" spans="1:54" ht="15.75" thickBot="1" x14ac:dyDescent="0.3">
      <c r="A109" s="3">
        <f t="shared" ca="1" si="14"/>
        <v>45051</v>
      </c>
      <c r="B109" s="4" t="s">
        <v>56</v>
      </c>
      <c r="C109" s="4" t="s">
        <v>57</v>
      </c>
      <c r="D109" s="4" t="s">
        <v>58</v>
      </c>
      <c r="E109" s="4" t="s">
        <v>59</v>
      </c>
      <c r="F109" s="4">
        <f ca="1">ROUND(T_Facebook_Ads[[#This Row],[impressions]]*RANDBETWEEN(8,12)/10,0)</f>
        <v>14123</v>
      </c>
      <c r="G109" s="4">
        <v>645</v>
      </c>
      <c r="H109" s="4">
        <f ca="1">T_Facebook_Ads[[#This Row],[spend]]*RANDBETWEEN(8,12)/10</f>
        <v>213.20999999999998</v>
      </c>
      <c r="I109" s="4">
        <f ca="1">ROUND(T_Facebook_Ads[[#This Row],[conversions]]*RANDBETWEEN(8,12)/10,0)</f>
        <v>37</v>
      </c>
      <c r="J109" s="4">
        <f ca="1">ROUND(T_Facebook_Ads[[#This Row],[video_views]]*RANDBETWEEN(8,12)/10,0)</f>
        <v>1565</v>
      </c>
      <c r="K109" s="4">
        <f ca="1">T_Facebook_Ads[[#This Row],[engagement_rate]]*RANDBETWEEN(8,12)/10</f>
        <v>5.0269999999999995E-2</v>
      </c>
      <c r="L109" s="4">
        <f ca="1">ROUND(T_Facebook_Ads[[#This Row],[reach]]*RANDBETWEEN(8,12)/10,0)</f>
        <v>10011</v>
      </c>
      <c r="M109" s="4">
        <f ca="1">T_Facebook_Ads[[#This Row],[frequency]]*RANDBETWEEN(8,12)/10</f>
        <v>1.397</v>
      </c>
      <c r="O109" s="3">
        <f t="shared" ca="1" si="15"/>
        <v>45061</v>
      </c>
      <c r="P109" s="4" t="s">
        <v>80</v>
      </c>
      <c r="Q109" s="4" t="s">
        <v>81</v>
      </c>
      <c r="R109" s="4" t="s">
        <v>82</v>
      </c>
      <c r="S109" s="4" t="s">
        <v>83</v>
      </c>
      <c r="T109" s="4">
        <f ca="1">ROUND(_Google_ads[[#This Row],[impressions]]*RANDBETWEEN(8,12)/10,0)</f>
        <v>50479</v>
      </c>
      <c r="U109" s="4">
        <f ca="1">ROUND(_Google_ads[[#This Row],[clicks]]*RANDBETWEEN(8,12)/10,0)</f>
        <v>730</v>
      </c>
      <c r="V109" s="4">
        <f ca="1">_Google_ads[[#This Row],[cost]]*RANDBETWEEN(8,12)/10</f>
        <v>528.93000000000006</v>
      </c>
      <c r="W109" s="4">
        <f ca="1">ROUND(_Google_ads[[#This Row],[conversions]]*RANDBETWEEN(8,12)/10,0)</f>
        <v>26</v>
      </c>
      <c r="X109" s="4">
        <f ca="1">ROUND(_Google_ads[[#This Row],[conversion_value]]*RANDBETWEEN(8,12)/10,0)</f>
        <v>1440</v>
      </c>
      <c r="Y109" s="4">
        <f ca="1">_Google_ads[[#This Row],[ctr]]*RANDBETWEEN(8,12)/10</f>
        <v>2.189E-2</v>
      </c>
      <c r="Z109" s="4">
        <f ca="1">_Google_ads[[#This Row],[avg_cpc]]*RANDBETWEEN(8,12)/10</f>
        <v>0.57599999999999996</v>
      </c>
      <c r="AA109" s="4">
        <f ca="1">ROUND(_Google_ads[[#This Row],[quality_score]]*RANDBETWEEN(8,12)/10,0)</f>
        <v>6</v>
      </c>
      <c r="AB109" s="4">
        <f ca="1">_Google_ads[[#This Row],[search_impression_share]]*RANDBETWEEN(8,12)/10</f>
        <v>0.495</v>
      </c>
      <c r="AD109" s="3">
        <f t="shared" ca="1" si="16"/>
        <v>45058</v>
      </c>
      <c r="AE109" s="4" t="s">
        <v>104</v>
      </c>
      <c r="AF109" s="4" t="s">
        <v>105</v>
      </c>
      <c r="AG109" s="4" t="s">
        <v>106</v>
      </c>
      <c r="AH109" s="4" t="s">
        <v>107</v>
      </c>
      <c r="AI109" s="4">
        <f ca="1">ROUND(T_Tiktok_ads[[#This Row],[impressions]]*RANDBETWEEN(8,12)/10,0)</f>
        <v>128987</v>
      </c>
      <c r="AJ109" s="4">
        <f ca="1">ROUND(T_Tiktok_ads[[#This Row],[clicks]]*RANDBETWEEN(8,12)/10,0)</f>
        <v>3398</v>
      </c>
      <c r="AK109" s="4">
        <v>823.7</v>
      </c>
      <c r="AL109" s="4">
        <f ca="1">ROUND(T_Tiktok_ads[[#This Row],[conversions]]*RANDBETWEEN(8,12)/10,0)</f>
        <v>100</v>
      </c>
      <c r="AM109" s="4">
        <f ca="1">ROUND(T_Tiktok_ads[[#This Row],[video_views]]*RANDBETWEEN(8,12)/10,0)</f>
        <v>90765</v>
      </c>
      <c r="AN109" s="4">
        <f ca="1">ROUND(T_Tiktok_ads[[#This Row],[video_watch_25]]*RANDBETWEEN(8,12)/10,0)</f>
        <v>91924</v>
      </c>
      <c r="AO109" s="4">
        <f ca="1">ROUND(T_Tiktok_ads[[#This Row],[video_watch_50]]*RANDBETWEEN(8,12)/10,0)</f>
        <v>56234</v>
      </c>
      <c r="AP109" s="4">
        <f ca="1">ROUND(T_Tiktok_ads[[#This Row],[video_watch_75]]*RANDBETWEEN(8,12)/10,0)</f>
        <v>33876</v>
      </c>
      <c r="AQ109" s="4">
        <f ca="1">ROUND(T_Tiktok_ads[[#This Row],[video_watch_100]]*RANDBETWEEN(8,12)/10,0)</f>
        <v>22587</v>
      </c>
      <c r="AR109" s="4">
        <f ca="1">ROUND(T_Tiktok_ads[[#This Row],[likes]]*RANDBETWEEN(8,12)/10,0)</f>
        <v>6075</v>
      </c>
      <c r="AS109" s="4">
        <f ca="1">ROUND(T_Tiktok_ads[[#This Row],[shares]]*RANDBETWEEN(8,12)/10,0)</f>
        <v>1271</v>
      </c>
      <c r="AT109" s="4">
        <f ca="1">ROUND(T_Tiktok_ads[[#This Row],[comments]]*RANDBETWEEN(8,12)/10,0)</f>
        <v>331</v>
      </c>
      <c r="AV109" s="5">
        <f t="shared" ca="1" si="17"/>
        <v>45049</v>
      </c>
      <c r="AW109">
        <f t="shared" ca="1" si="13"/>
        <v>5</v>
      </c>
      <c r="AX109">
        <f ca="1">ROUND(T_Facebook_Ads1159636771[[#This Row],[impressions]]*RANDBETWEEN(8,12)/10,0)</f>
        <v>15535</v>
      </c>
      <c r="AY109">
        <f ca="1">ROUND(T_Facebook_Ads1159636771[[#This Row],[clicks]]*RANDBETWEEN(8,12)/10,0)</f>
        <v>645</v>
      </c>
      <c r="AZ109">
        <f ca="1">T_Facebook_Ads1159636771[[#This Row],[spend]]*RANDBETWEEN(8,12)/10</f>
        <v>213.20999999999998</v>
      </c>
      <c r="BA109">
        <f ca="1">ROUND(T_Facebook_Ads1159636771[[#This Row],[conversions]]*RANDBETWEEN(8,12)/10,0)</f>
        <v>37</v>
      </c>
      <c r="BB109">
        <f ca="1">ROUND(T_Facebook_Ads1159636771[[#This Row],[video_views]]*RANDBETWEEN(8,12)/10,0)</f>
        <v>1252</v>
      </c>
    </row>
    <row r="110" spans="1:54" ht="15.75" thickBot="1" x14ac:dyDescent="0.3">
      <c r="A110" s="3">
        <f t="shared" ca="1" si="14"/>
        <v>45072</v>
      </c>
      <c r="B110" s="4" t="s">
        <v>60</v>
      </c>
      <c r="C110" s="4" t="s">
        <v>61</v>
      </c>
      <c r="D110" s="4" t="s">
        <v>62</v>
      </c>
      <c r="E110" s="4" t="s">
        <v>63</v>
      </c>
      <c r="F110" s="4">
        <f ca="1">ROUND(T_Facebook_Ads[[#This Row],[impressions]]*RANDBETWEEN(8,12)/10,0)</f>
        <v>41679</v>
      </c>
      <c r="G110" s="4">
        <v>1412</v>
      </c>
      <c r="H110" s="4">
        <f ca="1">T_Facebook_Ads[[#This Row],[spend]]*RANDBETWEEN(8,12)/10</f>
        <v>216.5</v>
      </c>
      <c r="I110" s="4">
        <f ca="1">ROUND(T_Facebook_Ads[[#This Row],[conversions]]*RANDBETWEEN(8,12)/10,0)</f>
        <v>33</v>
      </c>
      <c r="J110" s="4">
        <f ca="1">ROUND(T_Facebook_Ads[[#This Row],[video_views]]*RANDBETWEEN(8,12)/10,0)</f>
        <v>4460</v>
      </c>
      <c r="K110" s="4">
        <f ca="1">T_Facebook_Ads[[#This Row],[engagement_rate]]*RANDBETWEEN(8,12)/10</f>
        <v>4.4760000000000001E-2</v>
      </c>
      <c r="L110" s="4">
        <f ca="1">ROUND(T_Facebook_Ads[[#This Row],[reach]]*RANDBETWEEN(8,12)/10,0)</f>
        <v>27801</v>
      </c>
      <c r="M110" s="4">
        <f ca="1">T_Facebook_Ads[[#This Row],[frequency]]*RANDBETWEEN(8,12)/10</f>
        <v>1.107</v>
      </c>
      <c r="O110" s="3">
        <f t="shared" ca="1" si="15"/>
        <v>45068</v>
      </c>
      <c r="P110" s="4" t="s">
        <v>84</v>
      </c>
      <c r="Q110" s="4" t="s">
        <v>85</v>
      </c>
      <c r="R110" s="4" t="s">
        <v>86</v>
      </c>
      <c r="S110" s="4" t="s">
        <v>87</v>
      </c>
      <c r="T110" s="4">
        <f ca="1">ROUND(_Google_ads[[#This Row],[impressions]]*RANDBETWEEN(8,12)/10,0)</f>
        <v>56187</v>
      </c>
      <c r="U110" s="4">
        <f ca="1">ROUND(_Google_ads[[#This Row],[clicks]]*RANDBETWEEN(8,12)/10,0)</f>
        <v>2130</v>
      </c>
      <c r="V110" s="4">
        <f ca="1">_Google_ads[[#This Row],[cost]]*RANDBETWEEN(8,12)/10</f>
        <v>345.68</v>
      </c>
      <c r="W110" s="4">
        <f ca="1">ROUND(_Google_ads[[#This Row],[conversions]]*RANDBETWEEN(8,12)/10,0)</f>
        <v>82</v>
      </c>
      <c r="X110" s="4">
        <f ca="1">ROUND(_Google_ads[[#This Row],[conversion_value]]*RANDBETWEEN(8,12)/10,0)</f>
        <v>2720</v>
      </c>
      <c r="Y110" s="4">
        <f ca="1">_Google_ads[[#This Row],[ctr]]*RANDBETWEEN(8,12)/10</f>
        <v>3.7070000000000006E-2</v>
      </c>
      <c r="Z110" s="4">
        <f ca="1">_Google_ads[[#This Row],[avg_cpc]]*RANDBETWEEN(8,12)/10</f>
        <v>0.16199999999999998</v>
      </c>
      <c r="AA110" s="4">
        <f ca="1">ROUND(_Google_ads[[#This Row],[quality_score]]*RANDBETWEEN(8,12)/10,0)</f>
        <v>9</v>
      </c>
      <c r="AB110" s="4">
        <f ca="1">_Google_ads[[#This Row],[search_impression_share]]*RANDBETWEEN(8,12)/10</f>
        <v>0.80400000000000005</v>
      </c>
      <c r="AD110" s="3">
        <f t="shared" ca="1" si="16"/>
        <v>45062</v>
      </c>
      <c r="AE110" s="4" t="s">
        <v>108</v>
      </c>
      <c r="AF110" s="4" t="s">
        <v>109</v>
      </c>
      <c r="AG110" s="4" t="s">
        <v>110</v>
      </c>
      <c r="AH110" s="4" t="s">
        <v>111</v>
      </c>
      <c r="AI110" s="4">
        <f ca="1">ROUND(T_Tiktok_ads[[#This Row],[impressions]]*RANDBETWEEN(8,12)/10,0)</f>
        <v>301481</v>
      </c>
      <c r="AJ110" s="4">
        <f ca="1">ROUND(T_Tiktok_ads[[#This Row],[clicks]]*RANDBETWEEN(8,12)/10,0)</f>
        <v>3967</v>
      </c>
      <c r="AK110" s="4">
        <v>481.5</v>
      </c>
      <c r="AL110" s="4">
        <f ca="1">ROUND(T_Tiktok_ads[[#This Row],[conversions]]*RANDBETWEEN(8,12)/10,0)</f>
        <v>35</v>
      </c>
      <c r="AM110" s="4">
        <f ca="1">ROUND(T_Tiktok_ads[[#This Row],[video_views]]*RANDBETWEEN(8,12)/10,0)</f>
        <v>159121</v>
      </c>
      <c r="AN110" s="4">
        <f ca="1">ROUND(T_Tiktok_ads[[#This Row],[video_watch_25]]*RANDBETWEEN(8,12)/10,0)</f>
        <v>165624</v>
      </c>
      <c r="AO110" s="4">
        <f ca="1">ROUND(T_Tiktok_ads[[#This Row],[video_watch_50]]*RANDBETWEEN(8,12)/10,0)</f>
        <v>143081</v>
      </c>
      <c r="AP110" s="4">
        <f ca="1">ROUND(T_Tiktok_ads[[#This Row],[video_watch_75]]*RANDBETWEEN(8,12)/10,0)</f>
        <v>92268</v>
      </c>
      <c r="AQ110" s="4">
        <f ca="1">ROUND(T_Tiktok_ads[[#This Row],[video_watch_100]]*RANDBETWEEN(8,12)/10,0)</f>
        <v>37254</v>
      </c>
      <c r="AR110" s="4">
        <f ca="1">ROUND(T_Tiktok_ads[[#This Row],[likes]]*RANDBETWEEN(8,12)/10,0)</f>
        <v>10414</v>
      </c>
      <c r="AS110" s="4">
        <f ca="1">ROUND(T_Tiktok_ads[[#This Row],[shares]]*RANDBETWEEN(8,12)/10,0)</f>
        <v>1902</v>
      </c>
      <c r="AT110" s="4">
        <f ca="1">ROUND(T_Tiktok_ads[[#This Row],[comments]]*RANDBETWEEN(8,12)/10,0)</f>
        <v>500</v>
      </c>
      <c r="AV110" s="5">
        <f t="shared" ca="1" si="17"/>
        <v>45057</v>
      </c>
      <c r="AW110">
        <f t="shared" ca="1" si="13"/>
        <v>3</v>
      </c>
      <c r="AX110">
        <f ca="1">ROUND(T_Facebook_Ads1159636771[[#This Row],[impressions]]*RANDBETWEEN(8,12)/10,0)</f>
        <v>41679</v>
      </c>
      <c r="AY110">
        <f ca="1">ROUND(T_Facebook_Ads1159636771[[#This Row],[clicks]]*RANDBETWEEN(8,12)/10,0)</f>
        <v>1694</v>
      </c>
      <c r="AZ110">
        <f ca="1">T_Facebook_Ads1159636771[[#This Row],[spend]]*RANDBETWEEN(8,12)/10</f>
        <v>238.15</v>
      </c>
      <c r="BA110">
        <f ca="1">ROUND(T_Facebook_Ads1159636771[[#This Row],[conversions]]*RANDBETWEEN(8,12)/10,0)</f>
        <v>40</v>
      </c>
      <c r="BB110">
        <f ca="1">ROUND(T_Facebook_Ads1159636771[[#This Row],[video_views]]*RANDBETWEEN(8,12)/10,0)</f>
        <v>3568</v>
      </c>
    </row>
    <row r="111" spans="1:54" x14ac:dyDescent="0.25">
      <c r="A111" s="3">
        <f t="shared" ca="1" si="14"/>
        <v>45074</v>
      </c>
      <c r="B111" s="4" t="s">
        <v>64</v>
      </c>
      <c r="C111" s="4" t="s">
        <v>65</v>
      </c>
      <c r="D111" s="4" t="s">
        <v>66</v>
      </c>
      <c r="E111" s="4" t="s">
        <v>67</v>
      </c>
      <c r="F111" s="4">
        <f ca="1">ROUND(T_Facebook_Ads[[#This Row],[impressions]]*RANDBETWEEN(8,12)/10,0)</f>
        <v>79335</v>
      </c>
      <c r="G111" s="4">
        <v>261</v>
      </c>
      <c r="H111" s="4">
        <f ca="1">T_Facebook_Ads[[#This Row],[spend]]*RANDBETWEEN(8,12)/10</f>
        <v>73.039999999999992</v>
      </c>
      <c r="I111" s="4">
        <f ca="1">ROUND(T_Facebook_Ads[[#This Row],[conversions]]*RANDBETWEEN(8,12)/10,0)</f>
        <v>6</v>
      </c>
      <c r="J111" s="4">
        <f ca="1">ROUND(T_Facebook_Ads[[#This Row],[video_views]]*RANDBETWEEN(8,12)/10,0)</f>
        <v>53424</v>
      </c>
      <c r="K111" s="4">
        <f ca="1">T_Facebook_Ads[[#This Row],[engagement_rate]]*RANDBETWEEN(8,12)/10</f>
        <v>4.3200000000000001E-3</v>
      </c>
      <c r="L111" s="4">
        <f ca="1">ROUND(T_Facebook_Ads[[#This Row],[reach]]*RANDBETWEEN(8,12)/10,0)</f>
        <v>70668</v>
      </c>
      <c r="M111" s="4">
        <f ca="1">T_Facebook_Ads[[#This Row],[frequency]]*RANDBETWEEN(8,12)/10</f>
        <v>1.464</v>
      </c>
      <c r="O111" s="3">
        <f t="shared" ca="1" si="15"/>
        <v>45050</v>
      </c>
      <c r="P111" s="4" t="s">
        <v>88</v>
      </c>
      <c r="Q111" s="4" t="s">
        <v>89</v>
      </c>
      <c r="R111" s="4" t="s">
        <v>90</v>
      </c>
      <c r="S111" s="4" t="s">
        <v>59</v>
      </c>
      <c r="T111" s="4">
        <f ca="1">ROUND(_Google_ads[[#This Row],[impressions]]*RANDBETWEEN(8,12)/10,0)</f>
        <v>160147</v>
      </c>
      <c r="U111" s="4">
        <f ca="1">ROUND(_Google_ads[[#This Row],[clicks]]*RANDBETWEEN(8,12)/10,0)</f>
        <v>478</v>
      </c>
      <c r="V111" s="4">
        <f ca="1">_Google_ads[[#This Row],[cost]]*RANDBETWEEN(8,12)/10</f>
        <v>131.19999999999999</v>
      </c>
      <c r="W111" s="4">
        <f ca="1">ROUND(_Google_ads[[#This Row],[conversions]]*RANDBETWEEN(8,12)/10,0)</f>
        <v>17</v>
      </c>
      <c r="X111" s="4">
        <f ca="1">ROUND(_Google_ads[[#This Row],[conversion_value]]*RANDBETWEEN(8,12)/10,0)</f>
        <v>560</v>
      </c>
      <c r="Y111" s="4">
        <f ca="1">_Google_ads[[#This Row],[ctr]]*RANDBETWEEN(8,12)/10</f>
        <v>3.5999999999999999E-3</v>
      </c>
      <c r="Z111" s="4">
        <f ca="1">_Google_ads[[#This Row],[avg_cpc]]*RANDBETWEEN(8,12)/10</f>
        <v>0.32400000000000001</v>
      </c>
      <c r="AA111" s="4">
        <f ca="1">ROUND(_Google_ads[[#This Row],[quality_score]]*RANDBETWEEN(8,12)/10,0)</f>
        <v>8</v>
      </c>
      <c r="AB111" s="4">
        <f ca="1">_Google_ads[[#This Row],[search_impression_share]]*RANDBETWEEN(8,12)/10</f>
        <v>0.41999999999999993</v>
      </c>
      <c r="AD111" s="3">
        <f t="shared" ca="1" si="16"/>
        <v>45072</v>
      </c>
      <c r="AE111" s="4" t="s">
        <v>112</v>
      </c>
      <c r="AF111" s="4" t="s">
        <v>113</v>
      </c>
      <c r="AG111" s="4" t="s">
        <v>114</v>
      </c>
      <c r="AH111" s="4" t="s">
        <v>115</v>
      </c>
      <c r="AI111" s="4">
        <f ca="1">ROUND(T_Tiktok_ads[[#This Row],[impressions]]*RANDBETWEEN(8,12)/10,0)</f>
        <v>478024</v>
      </c>
      <c r="AJ111" s="4">
        <f ca="1">ROUND(T_Tiktok_ads[[#This Row],[clicks]]*RANDBETWEEN(8,12)/10,0)</f>
        <v>8414</v>
      </c>
      <c r="AK111" s="4">
        <v>1089.3</v>
      </c>
      <c r="AL111" s="4">
        <f ca="1">ROUND(T_Tiktok_ads[[#This Row],[conversions]]*RANDBETWEEN(8,12)/10,0)</f>
        <v>120</v>
      </c>
      <c r="AM111" s="4">
        <f ca="1">ROUND(T_Tiktok_ads[[#This Row],[video_views]]*RANDBETWEEN(8,12)/10,0)</f>
        <v>331101</v>
      </c>
      <c r="AN111" s="4">
        <f ca="1">ROUND(T_Tiktok_ads[[#This Row],[video_watch_25]]*RANDBETWEEN(8,12)/10,0)</f>
        <v>266611</v>
      </c>
      <c r="AO111" s="4">
        <f ca="1">ROUND(T_Tiktok_ads[[#This Row],[video_watch_50]]*RANDBETWEEN(8,12)/10,0)</f>
        <v>214101</v>
      </c>
      <c r="AP111" s="4">
        <f ca="1">ROUND(T_Tiktok_ads[[#This Row],[video_watch_75]]*RANDBETWEEN(8,12)/10,0)</f>
        <v>168234</v>
      </c>
      <c r="AQ111" s="4">
        <f ca="1">ROUND(T_Tiktok_ads[[#This Row],[video_watch_100]]*RANDBETWEEN(8,12)/10,0)</f>
        <v>88987</v>
      </c>
      <c r="AR111" s="4">
        <f ca="1">ROUND(T_Tiktok_ads[[#This Row],[likes]]*RANDBETWEEN(8,12)/10,0)</f>
        <v>23081</v>
      </c>
      <c r="AS111" s="4">
        <f ca="1">ROUND(T_Tiktok_ads[[#This Row],[shares]]*RANDBETWEEN(8,12)/10,0)</f>
        <v>4427</v>
      </c>
      <c r="AT111" s="4">
        <f ca="1">ROUND(T_Tiktok_ads[[#This Row],[comments]]*RANDBETWEEN(8,12)/10,0)</f>
        <v>1371</v>
      </c>
      <c r="AV111" s="5">
        <f t="shared" ca="1" si="17"/>
        <v>45070</v>
      </c>
      <c r="AW111">
        <f t="shared" ca="1" si="13"/>
        <v>5</v>
      </c>
      <c r="AX111">
        <f ca="1">ROUND(T_Facebook_Ads1159636771[[#This Row],[impressions]]*RANDBETWEEN(8,12)/10,0)</f>
        <v>87269</v>
      </c>
      <c r="AY111">
        <f ca="1">ROUND(T_Facebook_Ads1159636771[[#This Row],[clicks]]*RANDBETWEEN(8,12)/10,0)</f>
        <v>261</v>
      </c>
      <c r="AZ111">
        <f ca="1">T_Facebook_Ads1159636771[[#This Row],[spend]]*RANDBETWEEN(8,12)/10</f>
        <v>65.73599999999999</v>
      </c>
      <c r="BA111">
        <f ca="1">ROUND(T_Facebook_Ads1159636771[[#This Row],[conversions]]*RANDBETWEEN(8,12)/10,0)</f>
        <v>7</v>
      </c>
      <c r="BB111">
        <f ca="1">ROUND(T_Facebook_Ads1159636771[[#This Row],[video_views]]*RANDBETWEEN(8,12)/10,0)</f>
        <v>58766</v>
      </c>
    </row>
  </sheetData>
  <pageMargins left="0.7" right="0.7" top="0.75" bottom="0.75" header="0.3" footer="0.3"/>
  <pageSetup orientation="portrait" r:id="rId1"/>
  <tableParts count="4"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93D5D-94D7-4978-BA43-D8F449706284}">
  <dimension ref="A1:BB111"/>
  <sheetViews>
    <sheetView topLeftCell="AK1" workbookViewId="0">
      <selection activeCell="AY3" sqref="AY3"/>
    </sheetView>
  </sheetViews>
  <sheetFormatPr baseColWidth="10" defaultRowHeight="15" x14ac:dyDescent="0.25"/>
  <cols>
    <col min="2" max="2" width="14.42578125" customWidth="1"/>
    <col min="3" max="3" width="19.85546875" bestFit="1" customWidth="1"/>
    <col min="5" max="5" width="18.28515625" bestFit="1" customWidth="1"/>
    <col min="6" max="6" width="13.7109375" customWidth="1"/>
    <col min="9" max="10" width="13.7109375" customWidth="1"/>
    <col min="11" max="11" width="18.42578125" customWidth="1"/>
    <col min="13" max="13" width="12" customWidth="1"/>
    <col min="16" max="16" width="14.42578125" customWidth="1"/>
    <col min="17" max="17" width="18.5703125" bestFit="1" customWidth="1"/>
    <col min="18" max="18" width="14" customWidth="1"/>
    <col min="19" max="19" width="17.140625" customWidth="1"/>
    <col min="20" max="20" width="13.7109375" customWidth="1"/>
    <col min="21" max="21" width="8.140625" customWidth="1"/>
    <col min="22" max="22" width="6.85546875" customWidth="1"/>
    <col min="23" max="23" width="13.7109375" customWidth="1"/>
    <col min="24" max="24" width="18.42578125" customWidth="1"/>
    <col min="25" max="25" width="6.140625" bestFit="1" customWidth="1"/>
    <col min="26" max="26" width="10.28515625" customWidth="1"/>
    <col min="27" max="27" width="14.85546875" customWidth="1"/>
    <col min="28" max="28" width="25" customWidth="1"/>
    <col min="29" max="29" width="6.85546875" customWidth="1"/>
    <col min="30" max="30" width="8.42578125" bestFit="1" customWidth="1"/>
    <col min="31" max="31" width="14.42578125" customWidth="1"/>
    <col min="32" max="32" width="17.5703125" customWidth="1"/>
    <col min="33" max="33" width="13.140625" customWidth="1"/>
    <col min="34" max="34" width="16.28515625" customWidth="1"/>
    <col min="35" max="35" width="13.7109375" customWidth="1"/>
    <col min="36" max="36" width="8.140625" customWidth="1"/>
    <col min="37" max="37" width="6.85546875" customWidth="1"/>
    <col min="38" max="39" width="13.7109375" customWidth="1"/>
    <col min="40" max="42" width="17" customWidth="1"/>
    <col min="43" max="43" width="18" customWidth="1"/>
    <col min="44" max="44" width="7.140625" customWidth="1"/>
    <col min="45" max="45" width="8.7109375" customWidth="1"/>
    <col min="46" max="46" width="12.42578125" customWidth="1"/>
    <col min="49" max="49" width="14.28515625" customWidth="1"/>
    <col min="50" max="50" width="13.85546875" customWidth="1"/>
    <col min="53" max="53" width="13.7109375" customWidth="1"/>
    <col min="54" max="54" width="14.28515625" customWidth="1"/>
  </cols>
  <sheetData>
    <row r="1" spans="1:54" ht="15.75" thickBot="1" x14ac:dyDescent="0.3">
      <c r="A1" s="2" t="s">
        <v>39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  <c r="O1" s="2" t="s">
        <v>39</v>
      </c>
      <c r="P1" s="1" t="s">
        <v>40</v>
      </c>
      <c r="Q1" s="1" t="s">
        <v>41</v>
      </c>
      <c r="R1" s="1" t="s">
        <v>68</v>
      </c>
      <c r="S1" s="1" t="s">
        <v>69</v>
      </c>
      <c r="T1" s="1" t="s">
        <v>44</v>
      </c>
      <c r="U1" s="1" t="s">
        <v>45</v>
      </c>
      <c r="V1" s="1" t="s">
        <v>70</v>
      </c>
      <c r="W1" s="1" t="s">
        <v>47</v>
      </c>
      <c r="X1" s="1" t="s">
        <v>71</v>
      </c>
      <c r="Y1" s="1" t="s">
        <v>72</v>
      </c>
      <c r="Z1" s="1" t="s">
        <v>73</v>
      </c>
      <c r="AA1" s="1" t="s">
        <v>74</v>
      </c>
      <c r="AB1" s="1" t="s">
        <v>75</v>
      </c>
      <c r="AD1" s="2" t="s">
        <v>39</v>
      </c>
      <c r="AE1" s="1" t="s">
        <v>40</v>
      </c>
      <c r="AF1" s="1" t="s">
        <v>41</v>
      </c>
      <c r="AG1" s="1" t="s">
        <v>91</v>
      </c>
      <c r="AH1" s="1" t="s">
        <v>92</v>
      </c>
      <c r="AI1" s="1" t="s">
        <v>44</v>
      </c>
      <c r="AJ1" s="1" t="s">
        <v>45</v>
      </c>
      <c r="AK1" s="1" t="s">
        <v>70</v>
      </c>
      <c r="AL1" s="1" t="s">
        <v>47</v>
      </c>
      <c r="AM1" s="1" t="s">
        <v>48</v>
      </c>
      <c r="AN1" s="1" t="s">
        <v>93</v>
      </c>
      <c r="AO1" s="1" t="s">
        <v>94</v>
      </c>
      <c r="AP1" s="1" t="s">
        <v>95</v>
      </c>
      <c r="AQ1" s="1" t="s">
        <v>96</v>
      </c>
      <c r="AR1" s="1" t="s">
        <v>97</v>
      </c>
      <c r="AS1" s="1" t="s">
        <v>98</v>
      </c>
      <c r="AT1" s="1" t="s">
        <v>99</v>
      </c>
      <c r="AV1" t="s">
        <v>39</v>
      </c>
      <c r="AW1" t="s">
        <v>40</v>
      </c>
      <c r="AX1" t="s">
        <v>44</v>
      </c>
      <c r="AY1" t="s">
        <v>45</v>
      </c>
      <c r="AZ1" t="s">
        <v>46</v>
      </c>
      <c r="BA1" t="s">
        <v>47</v>
      </c>
      <c r="BB1" t="s">
        <v>48</v>
      </c>
    </row>
    <row r="2" spans="1:54" ht="15.75" thickBot="1" x14ac:dyDescent="0.3">
      <c r="A2" s="3">
        <f t="shared" ref="A2:A33" ca="1" si="0">DATE(2023,6,RANDBETWEEN(1,30))</f>
        <v>45096</v>
      </c>
      <c r="B2" s="4" t="s">
        <v>52</v>
      </c>
      <c r="C2" s="4" t="s">
        <v>53</v>
      </c>
      <c r="D2" s="4" t="s">
        <v>54</v>
      </c>
      <c r="E2" s="4" t="s">
        <v>55</v>
      </c>
      <c r="F2" s="4">
        <f ca="1">ROUND(T_Facebook_Ads[[#This Row],[impressions]]*RANDBETWEEN(8,12)/10,0)</f>
        <v>50185</v>
      </c>
      <c r="G2" s="4">
        <f ca="1">ROUND(T_Facebook_Ads[[#This Row],[clicks]]*RANDBETWEEN(8,12)/10,0)</f>
        <v>1070</v>
      </c>
      <c r="H2" s="4">
        <f ca="1">T_Facebook_Ads[[#This Row],[spend]]*RANDBETWEEN(8,12)/10</f>
        <v>102</v>
      </c>
      <c r="I2" s="4">
        <f ca="1">ROUND(T_Facebook_Ads[[#This Row],[conversions]]*RANDBETWEEN(8,12)/10,0)</f>
        <v>13</v>
      </c>
      <c r="J2" s="4">
        <f ca="1">ROUND(T_Facebook_Ads[[#This Row],[video_views]]*RANDBETWEEN(8,12)/10,0)</f>
        <v>8234</v>
      </c>
      <c r="K2" s="4">
        <f ca="1">T_Facebook_Ads[[#This Row],[engagement_rate]]*RANDBETWEEN(8,12)/10</f>
        <v>1.755E-2</v>
      </c>
      <c r="L2" s="4">
        <f ca="1">ROUND(T_Facebook_Ads[[#This Row],[reach]]*RANDBETWEEN(8,12)/10,0)</f>
        <v>30587</v>
      </c>
      <c r="M2" s="4">
        <f ca="1">T_Facebook_Ads[[#This Row],[frequency]]*RANDBETWEEN(8,12)/10</f>
        <v>1.4279999999999999</v>
      </c>
      <c r="O2" s="3">
        <f t="shared" ref="O2:O33" ca="1" si="1">DATE(2023,6,RANDBETWEEN(1,30))</f>
        <v>45090</v>
      </c>
      <c r="P2" s="4" t="s">
        <v>76</v>
      </c>
      <c r="Q2" s="4" t="s">
        <v>77</v>
      </c>
      <c r="R2" s="4" t="s">
        <v>78</v>
      </c>
      <c r="S2" s="4" t="s">
        <v>79</v>
      </c>
      <c r="T2" s="4">
        <f ca="1">ROUND(_Google_ads[[#This Row],[impressions]]*RANDBETWEEN(8,12)/10,0)</f>
        <v>28147</v>
      </c>
      <c r="U2" s="4">
        <f ca="1">ROUND(_Google_ads[[#This Row],[clicks]]*RANDBETWEEN(8,12)/10,0)</f>
        <v>987</v>
      </c>
      <c r="V2" s="4">
        <f ca="1">_Google_ads[[#This Row],[cost]]*RANDBETWEEN(8,12)/10</f>
        <v>257.95</v>
      </c>
      <c r="W2" s="4">
        <f ca="1">ROUND(_Google_ads[[#This Row],[conversions]]*RANDBETWEEN(8,12)/10,0)</f>
        <v>41</v>
      </c>
      <c r="X2" s="4">
        <f ca="1">ROUND(_Google_ads[[#This Row],[conversion_value]]*RANDBETWEEN(8,12)/10,0)</f>
        <v>2700</v>
      </c>
      <c r="Y2" s="4">
        <f ca="1">_Google_ads[[#This Row],[ctr]]*RANDBETWEEN(8,12)/10</f>
        <v>4.2079999999999999E-2</v>
      </c>
      <c r="Z2" s="4">
        <f ca="1">_Google_ads[[#This Row],[avg_cpc]]*RANDBETWEEN(8,12)/10</f>
        <v>0.17099999999999999</v>
      </c>
      <c r="AA2" s="4">
        <f ca="1">ROUND(_Google_ads[[#This Row],[quality_score]]*RANDBETWEEN(8,12)/10,0)</f>
        <v>10</v>
      </c>
      <c r="AB2" s="4">
        <f ca="1">_Google_ads[[#This Row],[search_impression_share]]*RANDBETWEEN(8,12)/10</f>
        <v>1.1040000000000001</v>
      </c>
      <c r="AD2" s="3">
        <f t="shared" ref="AD2:AD33" ca="1" si="2">DATE(2023,6,RANDBETWEEN(1,30))</f>
        <v>45083</v>
      </c>
      <c r="AE2" s="4" t="s">
        <v>100</v>
      </c>
      <c r="AF2" s="4" t="s">
        <v>101</v>
      </c>
      <c r="AG2" s="4" t="s">
        <v>102</v>
      </c>
      <c r="AH2" s="4" t="s">
        <v>103</v>
      </c>
      <c r="AI2" s="4">
        <f ca="1">ROUND(T_Tiktok_ads[[#This Row],[impressions]]*RANDBETWEEN(8,12)/10,0)</f>
        <v>234567</v>
      </c>
      <c r="AJ2" s="4">
        <f ca="1">ROUND(T_Tiktok_ads[[#This Row],[clicks]]*RANDBETWEEN(8,12)/10,0)</f>
        <v>3802</v>
      </c>
      <c r="AK2" s="4">
        <f ca="1">T_Tiktok_ads[[#This Row],[cost]]*RANDBETWEEN(8,12)/10</f>
        <v>502.37</v>
      </c>
      <c r="AL2" s="4">
        <f ca="1">ROUND(T_Tiktok_ads[[#This Row],[conversions]]*RANDBETWEEN(8,12)/10,0)</f>
        <v>34</v>
      </c>
      <c r="AM2" s="4">
        <f ca="1">ROUND(T_Tiktok_ads[[#This Row],[video_views]]*RANDBETWEEN(8,12)/10,0)</f>
        <v>178411</v>
      </c>
      <c r="AN2" s="4">
        <f ca="1">ROUND(T_Tiktok_ads[[#This Row],[video_watch_25]]*RANDBETWEEN(8,12)/10,0)</f>
        <v>156234</v>
      </c>
      <c r="AO2" s="4">
        <f ca="1">ROUND(T_Tiktok_ads[[#This Row],[video_watch_50]]*RANDBETWEEN(8,12)/10,0)</f>
        <v>88411</v>
      </c>
      <c r="AP2" s="4">
        <f ca="1">ROUND(T_Tiktok_ads[[#This Row],[video_watch_75]]*RANDBETWEEN(8,12)/10,0)</f>
        <v>67234</v>
      </c>
      <c r="AQ2" s="4">
        <f ca="1">ROUND(T_Tiktok_ads[[#This Row],[video_watch_100]]*RANDBETWEEN(8,12)/10,0)</f>
        <v>49757</v>
      </c>
      <c r="AR2" s="4">
        <f ca="1">ROUND(T_Tiktok_ads[[#This Row],[likes]]*RANDBETWEEN(8,12)/10,0)</f>
        <v>8923</v>
      </c>
      <c r="AS2" s="4">
        <f ca="1">ROUND(T_Tiktok_ads[[#This Row],[shares]]*RANDBETWEEN(8,12)/10,0)</f>
        <v>2345</v>
      </c>
      <c r="AT2" s="4">
        <f ca="1">ROUND(T_Tiktok_ads[[#This Row],[comments]]*RANDBETWEEN(8,12)/10,0)</f>
        <v>567</v>
      </c>
      <c r="AV2" s="3">
        <f t="shared" ref="AV2:AV33" ca="1" si="3">DATE(2023,6,RANDBETWEEN(1,30))</f>
        <v>45105</v>
      </c>
      <c r="AW2">
        <f ca="1">RANDBETWEEN(1,8)</f>
        <v>2</v>
      </c>
      <c r="AX2">
        <f ca="1">ROUND(T_Facebook_Ads115963677175[[#This Row],[impressions]]*RANDBETWEEN(8,12)/10,0)</f>
        <v>55204</v>
      </c>
      <c r="AY2">
        <f ca="1">ROUND(T_Facebook_Ads115963677175[[#This Row],[clicks]]*RANDBETWEEN(8,12)/10,0)</f>
        <v>1284</v>
      </c>
      <c r="AZ2">
        <f ca="1">T_Facebook_Ads115963677175[[#This Row],[spend]]*RANDBETWEEN(8,12)/10</f>
        <v>81.599999999999994</v>
      </c>
      <c r="BA2">
        <f ca="1">ROUND(T_Facebook_Ads115963677175[[#This Row],[conversions]]*RANDBETWEEN(8,12)/10,0)</f>
        <v>16</v>
      </c>
      <c r="BB2">
        <f ca="1">ROUND(T_Facebook_Ads115963677175[[#This Row],[video_views]]*RANDBETWEEN(8,12)/10,0)</f>
        <v>8234</v>
      </c>
    </row>
    <row r="3" spans="1:54" ht="15.75" thickBot="1" x14ac:dyDescent="0.3">
      <c r="A3" s="3">
        <f t="shared" ca="1" si="0"/>
        <v>45087</v>
      </c>
      <c r="B3" s="4" t="s">
        <v>56</v>
      </c>
      <c r="C3" s="4" t="s">
        <v>57</v>
      </c>
      <c r="D3" s="4" t="s">
        <v>58</v>
      </c>
      <c r="E3" s="4" t="s">
        <v>59</v>
      </c>
      <c r="F3" s="4">
        <f ca="1">ROUND(T_Facebook_Ads[[#This Row],[impressions]]*RANDBETWEEN(8,12)/10,0)</f>
        <v>11210</v>
      </c>
      <c r="G3" s="4">
        <v>567</v>
      </c>
      <c r="H3" s="4">
        <f ca="1">T_Facebook_Ads[[#This Row],[spend]]*RANDBETWEEN(8,12)/10</f>
        <v>258.96000000000004</v>
      </c>
      <c r="I3" s="4">
        <f ca="1">ROUND(T_Facebook_Ads[[#This Row],[conversions]]*RANDBETWEEN(8,12)/10,0)</f>
        <v>37</v>
      </c>
      <c r="J3" s="4">
        <f ca="1">ROUND(T_Facebook_Ads[[#This Row],[video_views]]*RANDBETWEEN(8,12)/10,0)</f>
        <v>1111</v>
      </c>
      <c r="K3" s="4">
        <f ca="1">T_Facebook_Ads[[#This Row],[engagement_rate]]*RANDBETWEEN(8,12)/10</f>
        <v>3.6400000000000002E-2</v>
      </c>
      <c r="L3" s="4">
        <f ca="1">ROUND(T_Facebook_Ads[[#This Row],[reach]]*RANDBETWEEN(8,12)/10,0)</f>
        <v>10864</v>
      </c>
      <c r="M3" s="4">
        <f ca="1">T_Facebook_Ads[[#This Row],[frequency]]*RANDBETWEEN(8,12)/10</f>
        <v>1.26</v>
      </c>
      <c r="O3" s="3">
        <f t="shared" ca="1" si="1"/>
        <v>45078</v>
      </c>
      <c r="P3" s="4" t="s">
        <v>80</v>
      </c>
      <c r="Q3" s="4" t="s">
        <v>81</v>
      </c>
      <c r="R3" s="4" t="s">
        <v>82</v>
      </c>
      <c r="S3" s="4" t="s">
        <v>83</v>
      </c>
      <c r="T3" s="4">
        <f ca="1">ROUND(_Google_ads[[#This Row],[impressions]]*RANDBETWEEN(8,12)/10,0)</f>
        <v>36542</v>
      </c>
      <c r="U3" s="4">
        <f ca="1">ROUND(_Google_ads[[#This Row],[clicks]]*RANDBETWEEN(8,12)/10,0)</f>
        <v>979</v>
      </c>
      <c r="V3" s="4">
        <f ca="1">_Google_ads[[#This Row],[cost]]*RANDBETWEEN(8,12)/10</f>
        <v>511.02</v>
      </c>
      <c r="W3" s="4">
        <f ca="1">ROUND(_Google_ads[[#This Row],[conversions]]*RANDBETWEEN(8,12)/10,0)</f>
        <v>23</v>
      </c>
      <c r="X3" s="4">
        <f ca="1">ROUND(_Google_ads[[#This Row],[conversion_value]]*RANDBETWEEN(8,12)/10,0)</f>
        <v>1265</v>
      </c>
      <c r="Y3" s="4">
        <f ca="1">_Google_ads[[#This Row],[ctr]]*RANDBETWEEN(8,12)/10</f>
        <v>2.3399999999999997E-2</v>
      </c>
      <c r="Z3" s="4">
        <f ca="1">_Google_ads[[#This Row],[avg_cpc]]*RANDBETWEEN(8,12)/10</f>
        <v>0.76800000000000002</v>
      </c>
      <c r="AA3" s="4">
        <f ca="1">ROUND(_Google_ads[[#This Row],[quality_score]]*RANDBETWEEN(8,12)/10,0)</f>
        <v>6</v>
      </c>
      <c r="AB3" s="4">
        <f ca="1">_Google_ads[[#This Row],[search_impression_share]]*RANDBETWEEN(8,12)/10</f>
        <v>0.36</v>
      </c>
      <c r="AD3" s="3">
        <f t="shared" ca="1" si="2"/>
        <v>45088</v>
      </c>
      <c r="AE3" s="4" t="s">
        <v>104</v>
      </c>
      <c r="AF3" s="4" t="s">
        <v>105</v>
      </c>
      <c r="AG3" s="4" t="s">
        <v>106</v>
      </c>
      <c r="AH3" s="4" t="s">
        <v>107</v>
      </c>
      <c r="AI3" s="4">
        <f ca="1">ROUND(T_Tiktok_ads[[#This Row],[impressions]]*RANDBETWEEN(8,12)/10,0)</f>
        <v>135802</v>
      </c>
      <c r="AJ3" s="4">
        <f ca="1">ROUND(T_Tiktok_ads[[#This Row],[clicks]]*RANDBETWEEN(8,12)/10,0)</f>
        <v>2111</v>
      </c>
      <c r="AK3" s="4">
        <v>678.9</v>
      </c>
      <c r="AL3" s="4">
        <f ca="1">ROUND(T_Tiktok_ads[[#This Row],[conversions]]*RANDBETWEEN(8,12)/10,0)</f>
        <v>80</v>
      </c>
      <c r="AM3" s="4">
        <f ca="1">ROUND(T_Tiktok_ads[[#This Row],[video_views]]*RANDBETWEEN(8,12)/10,0)</f>
        <v>89234</v>
      </c>
      <c r="AN3" s="4">
        <f ca="1">ROUND(T_Tiktok_ads[[#This Row],[video_watch_25]]*RANDBETWEEN(8,12)/10,0)</f>
        <v>73957</v>
      </c>
      <c r="AO3" s="4">
        <f ca="1">ROUND(T_Tiktok_ads[[#This Row],[video_watch_50]]*RANDBETWEEN(8,12)/10,0)</f>
        <v>54281</v>
      </c>
      <c r="AP3" s="4">
        <f ca="1">ROUND(T_Tiktok_ads[[#This Row],[video_watch_75]]*RANDBETWEEN(8,12)/10,0)</f>
        <v>34234</v>
      </c>
      <c r="AQ3" s="4">
        <f ca="1">ROUND(T_Tiktok_ads[[#This Row],[video_watch_100]]*RANDBETWEEN(8,12)/10,0)</f>
        <v>21110</v>
      </c>
      <c r="AR3" s="4">
        <f ca="1">ROUND(T_Tiktok_ads[[#This Row],[likes]]*RANDBETWEEN(8,12)/10,0)</f>
        <v>3654</v>
      </c>
      <c r="AS3" s="4">
        <f ca="1">ROUND(T_Tiktok_ads[[#This Row],[shares]]*RANDBETWEEN(8,12)/10,0)</f>
        <v>987</v>
      </c>
      <c r="AT3" s="4">
        <f ca="1">ROUND(T_Tiktok_ads[[#This Row],[comments]]*RANDBETWEEN(8,12)/10,0)</f>
        <v>281</v>
      </c>
      <c r="AV3" s="5">
        <f t="shared" ca="1" si="3"/>
        <v>45093</v>
      </c>
      <c r="AW3">
        <f t="shared" ref="AW3:AW66" ca="1" si="4">RANDBETWEEN(1,8)</f>
        <v>7</v>
      </c>
      <c r="AX3">
        <f ca="1">ROUND(T_Facebook_Ads115963677175[[#This Row],[impressions]]*RANDBETWEEN(8,12)/10,0)</f>
        <v>8968</v>
      </c>
      <c r="AY3">
        <f ca="1">ROUND(T_Facebook_Ads115963677175[[#This Row],[clicks]]*RANDBETWEEN(8,12)/10,0)</f>
        <v>624</v>
      </c>
      <c r="AZ3">
        <f ca="1">T_Facebook_Ads115963677175[[#This Row],[spend]]*RANDBETWEEN(8,12)/10</f>
        <v>310.75200000000007</v>
      </c>
      <c r="BA3">
        <f ca="1">ROUND(T_Facebook_Ads115963677175[[#This Row],[conversions]]*RANDBETWEEN(8,12)/10,0)</f>
        <v>44</v>
      </c>
      <c r="BB3">
        <f ca="1">ROUND(T_Facebook_Ads115963677175[[#This Row],[video_views]]*RANDBETWEEN(8,12)/10,0)</f>
        <v>1222</v>
      </c>
    </row>
    <row r="4" spans="1:54" ht="15.75" thickBot="1" x14ac:dyDescent="0.3">
      <c r="A4" s="3">
        <f t="shared" ca="1" si="0"/>
        <v>45102</v>
      </c>
      <c r="B4" s="4" t="s">
        <v>60</v>
      </c>
      <c r="C4" s="4" t="s">
        <v>61</v>
      </c>
      <c r="D4" s="4" t="s">
        <v>62</v>
      </c>
      <c r="E4" s="4" t="s">
        <v>63</v>
      </c>
      <c r="F4" s="4">
        <f ca="1">ROUND(T_Facebook_Ads[[#This Row],[impressions]]*RANDBETWEEN(8,12)/10,0)</f>
        <v>34567</v>
      </c>
      <c r="G4" s="4">
        <v>1234</v>
      </c>
      <c r="H4" s="4">
        <f ca="1">T_Facebook_Ads[[#This Row],[spend]]*RANDBETWEEN(8,12)/10</f>
        <v>227.88000000000002</v>
      </c>
      <c r="I4" s="4">
        <f ca="1">ROUND(T_Facebook_Ads[[#This Row],[conversions]]*RANDBETWEEN(8,12)/10,0)</f>
        <v>23</v>
      </c>
      <c r="J4" s="4">
        <f ca="1">ROUND(T_Facebook_Ads[[#This Row],[video_views]]*RANDBETWEEN(8,12)/10,0)</f>
        <v>4110</v>
      </c>
      <c r="K4" s="4">
        <f ca="1">T_Facebook_Ads[[#This Row],[engagement_rate]]*RANDBETWEEN(8,12)/10</f>
        <v>3.5700000000000003E-2</v>
      </c>
      <c r="L4" s="4">
        <f ca="1">ROUND(T_Facebook_Ads[[#This Row],[reach]]*RANDBETWEEN(8,12)/10,0)</f>
        <v>31827</v>
      </c>
      <c r="M4" s="4">
        <f ca="1">T_Facebook_Ads[[#This Row],[frequency]]*RANDBETWEEN(8,12)/10</f>
        <v>1.4279999999999999</v>
      </c>
      <c r="O4" s="3">
        <f t="shared" ca="1" si="1"/>
        <v>45084</v>
      </c>
      <c r="P4" s="4" t="s">
        <v>84</v>
      </c>
      <c r="Q4" s="4" t="s">
        <v>85</v>
      </c>
      <c r="R4" s="4" t="s">
        <v>86</v>
      </c>
      <c r="S4" s="4" t="s">
        <v>87</v>
      </c>
      <c r="T4" s="4">
        <f ca="1">ROUND(_Google_ads[[#This Row],[impressions]]*RANDBETWEEN(8,12)/10,0)</f>
        <v>67890</v>
      </c>
      <c r="U4" s="4">
        <f ca="1">ROUND(_Google_ads[[#This Row],[clicks]]*RANDBETWEEN(8,12)/10,0)</f>
        <v>2345</v>
      </c>
      <c r="V4" s="4">
        <f ca="1">_Google_ads[[#This Row],[cost]]*RANDBETWEEN(8,12)/10</f>
        <v>338.88</v>
      </c>
      <c r="W4" s="4">
        <f ca="1">ROUND(_Google_ads[[#This Row],[conversions]]*RANDBETWEEN(8,12)/10,0)</f>
        <v>54</v>
      </c>
      <c r="X4" s="4">
        <f ca="1">ROUND(_Google_ads[[#This Row],[conversion_value]]*RANDBETWEEN(8,12)/10,0)</f>
        <v>3015</v>
      </c>
      <c r="Y4" s="4">
        <f ca="1">_Google_ads[[#This Row],[ctr]]*RANDBETWEEN(8,12)/10</f>
        <v>2.7600000000000003E-2</v>
      </c>
      <c r="Z4" s="4">
        <f ca="1">_Google_ads[[#This Row],[avg_cpc]]*RANDBETWEEN(8,12)/10</f>
        <v>0.14399999999999999</v>
      </c>
      <c r="AA4" s="4">
        <f ca="1">ROUND(_Google_ads[[#This Row],[quality_score]]*RANDBETWEEN(8,12)/10,0)</f>
        <v>8</v>
      </c>
      <c r="AB4" s="4">
        <f ca="1">_Google_ads[[#This Row],[search_impression_share]]*RANDBETWEEN(8,12)/10</f>
        <v>0.73699999999999999</v>
      </c>
      <c r="AD4" s="3">
        <f t="shared" ca="1" si="2"/>
        <v>45102</v>
      </c>
      <c r="AE4" s="4" t="s">
        <v>108</v>
      </c>
      <c r="AF4" s="4" t="s">
        <v>109</v>
      </c>
      <c r="AG4" s="4" t="s">
        <v>110</v>
      </c>
      <c r="AH4" s="4" t="s">
        <v>111</v>
      </c>
      <c r="AI4" s="4">
        <f ca="1">ROUND(T_Tiktok_ads[[#This Row],[impressions]]*RANDBETWEEN(8,12)/10,0)</f>
        <v>189234</v>
      </c>
      <c r="AJ4" s="4">
        <f ca="1">ROUND(T_Tiktok_ads[[#This Row],[clicks]]*RANDBETWEEN(8,12)/10,0)</f>
        <v>3468</v>
      </c>
      <c r="AK4" s="4">
        <v>345.6</v>
      </c>
      <c r="AL4" s="4">
        <f ca="1">ROUND(T_Tiktok_ads[[#This Row],[conversions]]*RANDBETWEEN(8,12)/10,0)</f>
        <v>18</v>
      </c>
      <c r="AM4" s="4">
        <f ca="1">ROUND(T_Tiktok_ads[[#This Row],[video_views]]*RANDBETWEEN(8,12)/10,0)</f>
        <v>174814</v>
      </c>
      <c r="AN4" s="4">
        <f ca="1">ROUND(T_Tiktok_ads[[#This Row],[video_watch_25]]*RANDBETWEEN(8,12)/10,0)</f>
        <v>134814</v>
      </c>
      <c r="AO4" s="4">
        <f ca="1">ROUND(T_Tiktok_ads[[#This Row],[video_watch_50]]*RANDBETWEEN(8,12)/10,0)</f>
        <v>98157</v>
      </c>
      <c r="AP4" s="4">
        <f ca="1">ROUND(T_Tiktok_ads[[#This Row],[video_watch_75]]*RANDBETWEEN(8,12)/10,0)</f>
        <v>51110</v>
      </c>
      <c r="AQ4" s="4">
        <f ca="1">ROUND(T_Tiktok_ads[[#This Row],[video_watch_100]]*RANDBETWEEN(8,12)/10,0)</f>
        <v>38024</v>
      </c>
      <c r="AR4" s="4">
        <f ca="1">ROUND(T_Tiktok_ads[[#This Row],[likes]]*RANDBETWEEN(8,12)/10,0)</f>
        <v>8147</v>
      </c>
      <c r="AS4" s="4">
        <f ca="1">ROUND(T_Tiktok_ads[[#This Row],[shares]]*RANDBETWEEN(8,12)/10,0)</f>
        <v>1890</v>
      </c>
      <c r="AT4" s="4">
        <f ca="1">ROUND(T_Tiktok_ads[[#This Row],[comments]]*RANDBETWEEN(8,12)/10,0)</f>
        <v>456</v>
      </c>
      <c r="AV4" s="5">
        <f t="shared" ca="1" si="3"/>
        <v>45103</v>
      </c>
      <c r="AW4">
        <f t="shared" ca="1" si="4"/>
        <v>8</v>
      </c>
      <c r="AX4">
        <f ca="1">ROUND(T_Facebook_Ads115963677175[[#This Row],[impressions]]*RANDBETWEEN(8,12)/10,0)</f>
        <v>34567</v>
      </c>
      <c r="AY4">
        <f ca="1">ROUND(T_Facebook_Ads115963677175[[#This Row],[clicks]]*RANDBETWEEN(8,12)/10,0)</f>
        <v>1111</v>
      </c>
      <c r="AZ4">
        <f ca="1">T_Facebook_Ads115963677175[[#This Row],[spend]]*RANDBETWEEN(8,12)/10</f>
        <v>227.88000000000002</v>
      </c>
      <c r="BA4">
        <f ca="1">ROUND(T_Facebook_Ads115963677175[[#This Row],[conversions]]*RANDBETWEEN(8,12)/10,0)</f>
        <v>18</v>
      </c>
      <c r="BB4">
        <f ca="1">ROUND(T_Facebook_Ads115963677175[[#This Row],[video_views]]*RANDBETWEEN(8,12)/10,0)</f>
        <v>4110</v>
      </c>
    </row>
    <row r="5" spans="1:54" ht="15.75" thickBot="1" x14ac:dyDescent="0.3">
      <c r="A5" s="3">
        <f t="shared" ca="1" si="0"/>
        <v>45078</v>
      </c>
      <c r="B5" s="4" t="s">
        <v>52</v>
      </c>
      <c r="C5" s="4" t="s">
        <v>53</v>
      </c>
      <c r="D5" s="4" t="s">
        <v>54</v>
      </c>
      <c r="E5" s="4" t="s">
        <v>55</v>
      </c>
      <c r="F5" s="4">
        <f ca="1">ROUND(T_Facebook_Ads[[#This Row],[impressions]]*RANDBETWEEN(8,12)/10,0)</f>
        <v>42345</v>
      </c>
      <c r="G5" s="4">
        <v>823</v>
      </c>
      <c r="H5" s="4">
        <f ca="1">T_Facebook_Ads[[#This Row],[spend]]*RANDBETWEEN(8,12)/10</f>
        <v>94.56</v>
      </c>
      <c r="I5" s="4">
        <f ca="1">ROUND(T_Facebook_Ads[[#This Row],[conversions]]*RANDBETWEEN(8,12)/10,0)</f>
        <v>9</v>
      </c>
      <c r="J5" s="4">
        <f ca="1">ROUND(T_Facebook_Ads[[#This Row],[video_views]]*RANDBETWEEN(8,12)/10,0)</f>
        <v>8679</v>
      </c>
      <c r="K5" s="4">
        <f ca="1">T_Facebook_Ads[[#This Row],[engagement_rate]]*RANDBETWEEN(8,12)/10</f>
        <v>2.3280000000000002E-2</v>
      </c>
      <c r="L5" s="4">
        <f ca="1">ROUND(T_Facebook_Ads[[#This Row],[reach]]*RANDBETWEEN(8,12)/10,0)</f>
        <v>44147</v>
      </c>
      <c r="M5" s="4">
        <f ca="1">T_Facebook_Ads[[#This Row],[frequency]]*RANDBETWEEN(8,12)/10</f>
        <v>1.1499999999999999</v>
      </c>
      <c r="O5" s="3">
        <f t="shared" ca="1" si="1"/>
        <v>45100</v>
      </c>
      <c r="P5" s="4" t="s">
        <v>76</v>
      </c>
      <c r="Q5" s="4" t="s">
        <v>77</v>
      </c>
      <c r="R5" s="4" t="s">
        <v>78</v>
      </c>
      <c r="S5" s="4" t="s">
        <v>79</v>
      </c>
      <c r="T5" s="4">
        <f ca="1">ROUND(_Google_ads[[#This Row],[impressions]]*RANDBETWEEN(8,12)/10,0)</f>
        <v>22110</v>
      </c>
      <c r="U5" s="4">
        <f ca="1">ROUND(_Google_ads[[#This Row],[clicks]]*RANDBETWEEN(8,12)/10,0)</f>
        <v>1160</v>
      </c>
      <c r="V5" s="4">
        <f ca="1">_Google_ads[[#This Row],[cost]]*RANDBETWEEN(8,12)/10</f>
        <v>221.04000000000002</v>
      </c>
      <c r="W5" s="4">
        <f ca="1">ROUND(_Google_ads[[#This Row],[conversions]]*RANDBETWEEN(8,12)/10,0)</f>
        <v>53</v>
      </c>
      <c r="X5" s="4">
        <f ca="1">ROUND(_Google_ads[[#This Row],[conversion_value]]*RANDBETWEEN(8,12)/10,0)</f>
        <v>2640</v>
      </c>
      <c r="Y5" s="4">
        <f ca="1">_Google_ads[[#This Row],[ctr]]*RANDBETWEEN(8,12)/10</f>
        <v>5.2500000000000005E-2</v>
      </c>
      <c r="Z5" s="4">
        <f ca="1">_Google_ads[[#This Row],[avg_cpc]]*RANDBETWEEN(8,12)/10</f>
        <v>0.152</v>
      </c>
      <c r="AA5" s="4">
        <f ca="1">ROUND(_Google_ads[[#This Row],[quality_score]]*RANDBETWEEN(8,12)/10,0)</f>
        <v>8</v>
      </c>
      <c r="AB5" s="4">
        <f ca="1">_Google_ads[[#This Row],[search_impression_share]]*RANDBETWEEN(8,12)/10</f>
        <v>1.0920000000000001</v>
      </c>
      <c r="AD5" s="3">
        <f t="shared" ca="1" si="2"/>
        <v>45081</v>
      </c>
      <c r="AE5" s="4" t="s">
        <v>100</v>
      </c>
      <c r="AF5" s="4" t="s">
        <v>101</v>
      </c>
      <c r="AG5" s="4" t="s">
        <v>102</v>
      </c>
      <c r="AH5" s="4" t="s">
        <v>103</v>
      </c>
      <c r="AI5" s="4">
        <f ca="1">ROUND(T_Tiktok_ads[[#This Row],[impressions]]*RANDBETWEEN(8,12)/10,0)</f>
        <v>196542</v>
      </c>
      <c r="AJ5" s="4">
        <f ca="1">ROUND(T_Tiktok_ads[[#This Row],[clicks]]*RANDBETWEEN(8,12)/10,0)</f>
        <v>3310</v>
      </c>
      <c r="AK5" s="4">
        <v>478.9</v>
      </c>
      <c r="AL5" s="4">
        <f ca="1">ROUND(T_Tiktok_ads[[#This Row],[conversions]]*RANDBETWEEN(8,12)/10,0)</f>
        <v>40</v>
      </c>
      <c r="AM5" s="4">
        <f ca="1">ROUND(T_Tiktok_ads[[#This Row],[video_views]]*RANDBETWEEN(8,12)/10,0)</f>
        <v>165876</v>
      </c>
      <c r="AN5" s="4">
        <f ca="1">ROUND(T_Tiktok_ads[[#This Row],[video_watch_25]]*RANDBETWEEN(8,12)/10,0)</f>
        <v>179802</v>
      </c>
      <c r="AO5" s="4">
        <f ca="1">ROUND(T_Tiktok_ads[[#This Row],[video_watch_50]]*RANDBETWEEN(8,12)/10,0)</f>
        <v>81876</v>
      </c>
      <c r="AP5" s="4">
        <f ca="1">ROUND(T_Tiktok_ads[[#This Row],[video_watch_75]]*RANDBETWEEN(8,12)/10,0)</f>
        <v>84281</v>
      </c>
      <c r="AQ5" s="4">
        <f ca="1">ROUND(T_Tiktok_ads[[#This Row],[video_watch_100]]*RANDBETWEEN(8,12)/10,0)</f>
        <v>42511</v>
      </c>
      <c r="AR5" s="4">
        <f ca="1">ROUND(T_Tiktok_ads[[#This Row],[likes]]*RANDBETWEEN(8,12)/10,0)</f>
        <v>8311</v>
      </c>
      <c r="AS5" s="4">
        <f ca="1">ROUND(T_Tiktok_ads[[#This Row],[shares]]*RANDBETWEEN(8,12)/10,0)</f>
        <v>2702</v>
      </c>
      <c r="AT5" s="4">
        <f ca="1">ROUND(T_Tiktok_ads[[#This Row],[comments]]*RANDBETWEEN(8,12)/10,0)</f>
        <v>707</v>
      </c>
      <c r="AV5" s="5">
        <f t="shared" ca="1" si="3"/>
        <v>45099</v>
      </c>
      <c r="AW5">
        <f ca="1">RANDBETWEEN(1,8)</f>
        <v>3</v>
      </c>
      <c r="AX5">
        <f ca="1">ROUND(T_Facebook_Ads115963677175[[#This Row],[impressions]]*RANDBETWEEN(8,12)/10,0)</f>
        <v>33876</v>
      </c>
      <c r="AY5">
        <f ca="1">ROUND(T_Facebook_Ads115963677175[[#This Row],[clicks]]*RANDBETWEEN(8,12)/10,0)</f>
        <v>823</v>
      </c>
      <c r="AZ5">
        <f ca="1">T_Facebook_Ads115963677175[[#This Row],[spend]]*RANDBETWEEN(8,12)/10</f>
        <v>85.103999999999999</v>
      </c>
      <c r="BA5">
        <f ca="1">ROUND(T_Facebook_Ads115963677175[[#This Row],[conversions]]*RANDBETWEEN(8,12)/10,0)</f>
        <v>7</v>
      </c>
      <c r="BB5">
        <f ca="1">ROUND(T_Facebook_Ads115963677175[[#This Row],[video_views]]*RANDBETWEEN(8,12)/10,0)</f>
        <v>6943</v>
      </c>
    </row>
    <row r="6" spans="1:54" ht="15.75" thickBot="1" x14ac:dyDescent="0.3">
      <c r="A6" s="3">
        <f t="shared" ca="1" si="0"/>
        <v>45098</v>
      </c>
      <c r="B6" s="4" t="s">
        <v>56</v>
      </c>
      <c r="C6" s="4" t="s">
        <v>57</v>
      </c>
      <c r="D6" s="4" t="s">
        <v>58</v>
      </c>
      <c r="E6" s="4" t="s">
        <v>59</v>
      </c>
      <c r="F6" s="4">
        <f ca="1">ROUND(T_Facebook_Ads[[#This Row],[impressions]]*RANDBETWEEN(8,12)/10,0)</f>
        <v>10942</v>
      </c>
      <c r="G6" s="4">
        <v>623</v>
      </c>
      <c r="H6" s="4">
        <f ca="1">T_Facebook_Ads[[#This Row],[spend]]*RANDBETWEEN(8,12)/10</f>
        <v>257.95</v>
      </c>
      <c r="I6" s="4">
        <f ca="1">ROUND(T_Facebook_Ads[[#This Row],[conversions]]*RANDBETWEEN(8,12)/10,0)</f>
        <v>30</v>
      </c>
      <c r="J6" s="4">
        <f ca="1">ROUND(T_Facebook_Ads[[#This Row],[video_views]]*RANDBETWEEN(8,12)/10,0)</f>
        <v>1747</v>
      </c>
      <c r="K6" s="4">
        <f ca="1">T_Facebook_Ads[[#This Row],[engagement_rate]]*RANDBETWEEN(8,12)/10</f>
        <v>4.5499999999999999E-2</v>
      </c>
      <c r="L6" s="4">
        <f ca="1">ROUND(T_Facebook_Ads[[#This Row],[reach]]*RANDBETWEEN(8,12)/10,0)</f>
        <v>10234</v>
      </c>
      <c r="M6" s="4">
        <f ca="1">T_Facebook_Ads[[#This Row],[frequency]]*RANDBETWEEN(8,12)/10</f>
        <v>1.34</v>
      </c>
      <c r="O6" s="3">
        <f t="shared" ca="1" si="1"/>
        <v>45091</v>
      </c>
      <c r="P6" s="4" t="s">
        <v>80</v>
      </c>
      <c r="Q6" s="4" t="s">
        <v>81</v>
      </c>
      <c r="R6" s="4" t="s">
        <v>82</v>
      </c>
      <c r="S6" s="4" t="s">
        <v>83</v>
      </c>
      <c r="T6" s="4">
        <f ca="1">ROUND(_Google_ads[[#This Row],[impressions]]*RANDBETWEEN(8,12)/10,0)</f>
        <v>38911</v>
      </c>
      <c r="U6" s="4">
        <f ca="1">ROUND(_Google_ads[[#This Row],[clicks]]*RANDBETWEEN(8,12)/10,0)</f>
        <v>658</v>
      </c>
      <c r="V6" s="4">
        <f ca="1">_Google_ads[[#This Row],[cost]]*RANDBETWEEN(8,12)/10</f>
        <v>427.36</v>
      </c>
      <c r="W6" s="4">
        <f ca="1">ROUND(_Google_ads[[#This Row],[conversions]]*RANDBETWEEN(8,12)/10,0)</f>
        <v>25</v>
      </c>
      <c r="X6" s="4">
        <f ca="1">ROUND(_Google_ads[[#This Row],[conversion_value]]*RANDBETWEEN(8,12)/10,0)</f>
        <v>1260</v>
      </c>
      <c r="Y6" s="4">
        <f ca="1">_Google_ads[[#This Row],[ctr]]*RANDBETWEEN(8,12)/10</f>
        <v>1.9E-2</v>
      </c>
      <c r="Z6" s="4">
        <f ca="1">_Google_ads[[#This Row],[avg_cpc]]*RANDBETWEEN(8,12)/10</f>
        <v>0.71500000000000008</v>
      </c>
      <c r="AA6" s="4">
        <f ca="1">ROUND(_Google_ads[[#This Row],[quality_score]]*RANDBETWEEN(8,12)/10,0)</f>
        <v>7</v>
      </c>
      <c r="AB6" s="4">
        <f ca="1">_Google_ads[[#This Row],[search_impression_share]]*RANDBETWEEN(8,12)/10</f>
        <v>0.52800000000000002</v>
      </c>
      <c r="AD6" s="3">
        <f t="shared" ca="1" si="2"/>
        <v>45094</v>
      </c>
      <c r="AE6" s="4" t="s">
        <v>104</v>
      </c>
      <c r="AF6" s="4" t="s">
        <v>105</v>
      </c>
      <c r="AG6" s="4" t="s">
        <v>106</v>
      </c>
      <c r="AH6" s="4" t="s">
        <v>107</v>
      </c>
      <c r="AI6" s="4">
        <f ca="1">ROUND(T_Tiktok_ads[[#This Row],[impressions]]*RANDBETWEEN(8,12)/10,0)</f>
        <v>107654</v>
      </c>
      <c r="AJ6" s="4">
        <f ca="1">ROUND(T_Tiktok_ads[[#This Row],[clicks]]*RANDBETWEEN(8,12)/10,0)</f>
        <v>2567</v>
      </c>
      <c r="AK6" s="4">
        <v>712.3</v>
      </c>
      <c r="AL6" s="4">
        <f ca="1">ROUND(T_Tiktok_ads[[#This Row],[conversions]]*RANDBETWEEN(8,12)/10,0)</f>
        <v>71</v>
      </c>
      <c r="AM6" s="4">
        <f ca="1">ROUND(T_Tiktok_ads[[#This Row],[video_views]]*RANDBETWEEN(8,12)/10,0)</f>
        <v>114814</v>
      </c>
      <c r="AN6" s="4">
        <f ca="1">ROUND(T_Tiktok_ads[[#This Row],[video_watch_25]]*RANDBETWEEN(8,12)/10,0)</f>
        <v>78357</v>
      </c>
      <c r="AO6" s="4">
        <f ca="1">ROUND(T_Tiktok_ads[[#This Row],[video_watch_50]]*RANDBETWEEN(8,12)/10,0)</f>
        <v>38587</v>
      </c>
      <c r="AP6" s="4">
        <f ca="1">ROUND(T_Tiktok_ads[[#This Row],[video_watch_75]]*RANDBETWEEN(8,12)/10,0)</f>
        <v>28987</v>
      </c>
      <c r="AQ6" s="4">
        <f ca="1">ROUND(T_Tiktok_ads[[#This Row],[video_watch_100]]*RANDBETWEEN(8,12)/10,0)</f>
        <v>19654</v>
      </c>
      <c r="AR6" s="4">
        <f ca="1">ROUND(T_Tiktok_ads[[#This Row],[likes]]*RANDBETWEEN(8,12)/10,0)</f>
        <v>4310</v>
      </c>
      <c r="AS6" s="4">
        <f ca="1">ROUND(T_Tiktok_ads[[#This Row],[shares]]*RANDBETWEEN(8,12)/10,0)</f>
        <v>1211</v>
      </c>
      <c r="AT6" s="4">
        <f ca="1">ROUND(T_Tiktok_ads[[#This Row],[comments]]*RANDBETWEEN(8,12)/10,0)</f>
        <v>196</v>
      </c>
      <c r="AV6" s="5">
        <f t="shared" ca="1" si="3"/>
        <v>45085</v>
      </c>
      <c r="AW6">
        <f t="shared" ca="1" si="4"/>
        <v>6</v>
      </c>
      <c r="AX6">
        <f ca="1">ROUND(T_Facebook_Ads115963677175[[#This Row],[impressions]]*RANDBETWEEN(8,12)/10,0)</f>
        <v>8754</v>
      </c>
      <c r="AY6">
        <f ca="1">ROUND(T_Facebook_Ads115963677175[[#This Row],[clicks]]*RANDBETWEEN(8,12)/10,0)</f>
        <v>748</v>
      </c>
      <c r="AZ6">
        <f ca="1">T_Facebook_Ads115963677175[[#This Row],[spend]]*RANDBETWEEN(8,12)/10</f>
        <v>309.53999999999996</v>
      </c>
      <c r="BA6">
        <f ca="1">ROUND(T_Facebook_Ads115963677175[[#This Row],[conversions]]*RANDBETWEEN(8,12)/10,0)</f>
        <v>27</v>
      </c>
      <c r="BB6">
        <f ca="1">ROUND(T_Facebook_Ads115963677175[[#This Row],[video_views]]*RANDBETWEEN(8,12)/10,0)</f>
        <v>1922</v>
      </c>
    </row>
    <row r="7" spans="1:54" ht="15.75" thickBot="1" x14ac:dyDescent="0.3">
      <c r="A7" s="3">
        <f t="shared" ca="1" si="0"/>
        <v>45091</v>
      </c>
      <c r="B7" s="4" t="s">
        <v>60</v>
      </c>
      <c r="C7" s="4" t="s">
        <v>61</v>
      </c>
      <c r="D7" s="4" t="s">
        <v>62</v>
      </c>
      <c r="E7" s="4" t="s">
        <v>63</v>
      </c>
      <c r="F7" s="4">
        <f ca="1">ROUND(T_Facebook_Ads[[#This Row],[impressions]]*RANDBETWEEN(8,12)/10,0)</f>
        <v>33110</v>
      </c>
      <c r="G7" s="4">
        <v>1345</v>
      </c>
      <c r="H7" s="4">
        <f ca="1">T_Facebook_Ads[[#This Row],[spend]]*RANDBETWEEN(8,12)/10</f>
        <v>221.43</v>
      </c>
      <c r="I7" s="4">
        <f ca="1">ROUND(T_Facebook_Ads[[#This Row],[conversions]]*RANDBETWEEN(8,12)/10,0)</f>
        <v>30</v>
      </c>
      <c r="J7" s="4">
        <f ca="1">ROUND(T_Facebook_Ads[[#This Row],[video_views]]*RANDBETWEEN(8,12)/10,0)</f>
        <v>5379</v>
      </c>
      <c r="K7" s="4">
        <f ca="1">T_Facebook_Ads[[#This Row],[engagement_rate]]*RANDBETWEEN(8,12)/10</f>
        <v>4.3920000000000001E-2</v>
      </c>
      <c r="L7" s="4">
        <f ca="1">ROUND(T_Facebook_Ads[[#This Row],[reach]]*RANDBETWEEN(8,12)/10,0)</f>
        <v>30123</v>
      </c>
      <c r="M7" s="4">
        <f ca="1">T_Facebook_Ads[[#This Row],[frequency]]*RANDBETWEEN(8,12)/10</f>
        <v>1.3420000000000001</v>
      </c>
      <c r="O7" s="3">
        <f t="shared" ca="1" si="1"/>
        <v>45097</v>
      </c>
      <c r="P7" s="4" t="s">
        <v>84</v>
      </c>
      <c r="Q7" s="4" t="s">
        <v>85</v>
      </c>
      <c r="R7" s="4" t="s">
        <v>86</v>
      </c>
      <c r="S7" s="4" t="s">
        <v>87</v>
      </c>
      <c r="T7" s="4">
        <f ca="1">ROUND(_Google_ads[[#This Row],[impressions]]*RANDBETWEEN(8,12)/10,0)</f>
        <v>85481</v>
      </c>
      <c r="U7" s="4">
        <f ca="1">ROUND(_Google_ads[[#This Row],[clicks]]*RANDBETWEEN(8,12)/10,0)</f>
        <v>2702</v>
      </c>
      <c r="V7" s="4">
        <f ca="1">_Google_ads[[#This Row],[cost]]*RANDBETWEEN(8,12)/10</f>
        <v>445.8</v>
      </c>
      <c r="W7" s="4">
        <f ca="1">ROUND(_Google_ads[[#This Row],[conversions]]*RANDBETWEEN(8,12)/10,0)</f>
        <v>57</v>
      </c>
      <c r="X7" s="4">
        <f ca="1">ROUND(_Google_ads[[#This Row],[conversion_value]]*RANDBETWEEN(8,12)/10,0)</f>
        <v>4260</v>
      </c>
      <c r="Y7" s="4">
        <f ca="1">_Google_ads[[#This Row],[ctr]]*RANDBETWEEN(8,12)/10</f>
        <v>4.1400000000000006E-2</v>
      </c>
      <c r="Z7" s="4">
        <f ca="1">_Google_ads[[#This Row],[avg_cpc]]*RANDBETWEEN(8,12)/10</f>
        <v>0.14399999999999999</v>
      </c>
      <c r="AA7" s="4">
        <f ca="1">ROUND(_Google_ads[[#This Row],[quality_score]]*RANDBETWEEN(8,12)/10,0)</f>
        <v>9</v>
      </c>
      <c r="AB7" s="4">
        <f ca="1">_Google_ads[[#This Row],[search_impression_share]]*RANDBETWEEN(8,12)/10</f>
        <v>0.748</v>
      </c>
      <c r="AD7" s="3">
        <f t="shared" ca="1" si="2"/>
        <v>45104</v>
      </c>
      <c r="AE7" s="4" t="s">
        <v>108</v>
      </c>
      <c r="AF7" s="4" t="s">
        <v>109</v>
      </c>
      <c r="AG7" s="4" t="s">
        <v>110</v>
      </c>
      <c r="AH7" s="4" t="s">
        <v>111</v>
      </c>
      <c r="AI7" s="4">
        <f ca="1">ROUND(T_Tiktok_ads[[#This Row],[impressions]]*RANDBETWEEN(8,12)/10,0)</f>
        <v>218180</v>
      </c>
      <c r="AJ7" s="4">
        <f ca="1">ROUND(T_Tiktok_ads[[#This Row],[clicks]]*RANDBETWEEN(8,12)/10,0)</f>
        <v>3614</v>
      </c>
      <c r="AK7" s="4">
        <v>361.2</v>
      </c>
      <c r="AL7" s="4">
        <f ca="1">ROUND(T_Tiktok_ads[[#This Row],[conversions]]*RANDBETWEEN(8,12)/10,0)</f>
        <v>28</v>
      </c>
      <c r="AM7" s="4">
        <f ca="1">ROUND(T_Tiktok_ads[[#This Row],[video_views]]*RANDBETWEEN(8,12)/10,0)</f>
        <v>121876</v>
      </c>
      <c r="AN7" s="4">
        <f ca="1">ROUND(T_Tiktok_ads[[#This Row],[video_watch_25]]*RANDBETWEEN(8,12)/10,0)</f>
        <v>128957</v>
      </c>
      <c r="AO7" s="4">
        <f ca="1">ROUND(T_Tiktok_ads[[#This Row],[video_watch_50]]*RANDBETWEEN(8,12)/10,0)</f>
        <v>74587</v>
      </c>
      <c r="AP7" s="4">
        <f ca="1">ROUND(T_Tiktok_ads[[#This Row],[video_watch_75]]*RANDBETWEEN(8,12)/10,0)</f>
        <v>53311</v>
      </c>
      <c r="AQ7" s="4">
        <f ca="1">ROUND(T_Tiktok_ads[[#This Row],[video_watch_100]]*RANDBETWEEN(8,12)/10,0)</f>
        <v>39857</v>
      </c>
      <c r="AR7" s="4">
        <f ca="1">ROUND(T_Tiktok_ads[[#This Row],[likes]]*RANDBETWEEN(8,12)/10,0)</f>
        <v>6411</v>
      </c>
      <c r="AS7" s="4">
        <f ca="1">ROUND(T_Tiktok_ads[[#This Row],[shares]]*RANDBETWEEN(8,12)/10,0)</f>
        <v>1574</v>
      </c>
      <c r="AT7" s="4">
        <f ca="1">ROUND(T_Tiktok_ads[[#This Row],[comments]]*RANDBETWEEN(8,12)/10,0)</f>
        <v>430</v>
      </c>
      <c r="AV7" s="5">
        <f t="shared" ca="1" si="3"/>
        <v>45097</v>
      </c>
      <c r="AW7">
        <f t="shared" ca="1" si="4"/>
        <v>1</v>
      </c>
      <c r="AX7">
        <f ca="1">ROUND(T_Facebook_Ads115963677175[[#This Row],[impressions]]*RANDBETWEEN(8,12)/10,0)</f>
        <v>33110</v>
      </c>
      <c r="AY7">
        <f ca="1">ROUND(T_Facebook_Ads115963677175[[#This Row],[clicks]]*RANDBETWEEN(8,12)/10,0)</f>
        <v>1614</v>
      </c>
      <c r="AZ7">
        <f ca="1">T_Facebook_Ads115963677175[[#This Row],[spend]]*RANDBETWEEN(8,12)/10</f>
        <v>243.57300000000001</v>
      </c>
      <c r="BA7">
        <f ca="1">ROUND(T_Facebook_Ads115963677175[[#This Row],[conversions]]*RANDBETWEEN(8,12)/10,0)</f>
        <v>30</v>
      </c>
      <c r="BB7">
        <f ca="1">ROUND(T_Facebook_Ads115963677175[[#This Row],[video_views]]*RANDBETWEEN(8,12)/10,0)</f>
        <v>5379</v>
      </c>
    </row>
    <row r="8" spans="1:54" ht="15.75" thickBot="1" x14ac:dyDescent="0.3">
      <c r="A8" s="3">
        <f t="shared" ca="1" si="0"/>
        <v>45078</v>
      </c>
      <c r="B8" s="4" t="s">
        <v>52</v>
      </c>
      <c r="C8" s="4" t="s">
        <v>53</v>
      </c>
      <c r="D8" s="4" t="s">
        <v>54</v>
      </c>
      <c r="E8" s="4" t="s">
        <v>55</v>
      </c>
      <c r="F8" s="4">
        <f ca="1">ROUND(T_Facebook_Ads[[#This Row],[impressions]]*RANDBETWEEN(8,12)/10,0)</f>
        <v>43411</v>
      </c>
      <c r="G8" s="4">
        <v>967</v>
      </c>
      <c r="H8" s="4">
        <f ca="1">T_Facebook_Ads[[#This Row],[spend]]*RANDBETWEEN(8,12)/10</f>
        <v>148.28000000000003</v>
      </c>
      <c r="I8" s="4">
        <f ca="1">ROUND(T_Facebook_Ads[[#This Row],[conversions]]*RANDBETWEEN(8,12)/10,0)</f>
        <v>11</v>
      </c>
      <c r="J8" s="4">
        <f ca="1">ROUND(T_Facebook_Ads[[#This Row],[video_views]]*RANDBETWEEN(8,12)/10,0)</f>
        <v>8011</v>
      </c>
      <c r="K8" s="4">
        <f ca="1">T_Facebook_Ads[[#This Row],[engagement_rate]]*RANDBETWEEN(8,12)/10</f>
        <v>2.4119999999999999E-2</v>
      </c>
      <c r="L8" s="4">
        <f ca="1">ROUND(T_Facebook_Ads[[#This Row],[reach]]*RANDBETWEEN(8,12)/10,0)</f>
        <v>32098</v>
      </c>
      <c r="M8" s="4">
        <f ca="1">T_Facebook_Ads[[#This Row],[frequency]]*RANDBETWEEN(8,12)/10</f>
        <v>1.3199999999999998</v>
      </c>
      <c r="O8" s="3">
        <f t="shared" ca="1" si="1"/>
        <v>45104</v>
      </c>
      <c r="P8" s="4" t="s">
        <v>76</v>
      </c>
      <c r="Q8" s="4" t="s">
        <v>77</v>
      </c>
      <c r="R8" s="4" t="s">
        <v>78</v>
      </c>
      <c r="S8" s="4" t="s">
        <v>79</v>
      </c>
      <c r="T8" s="4">
        <f ca="1">ROUND(_Google_ads[[#This Row],[impressions]]*RANDBETWEEN(8,12)/10,0)</f>
        <v>22345</v>
      </c>
      <c r="U8" s="4">
        <f ca="1">ROUND(_Google_ads[[#This Row],[clicks]]*RANDBETWEEN(8,12)/10,0)</f>
        <v>1348</v>
      </c>
      <c r="V8" s="4">
        <f ca="1">_Google_ads[[#This Row],[cost]]*RANDBETWEEN(8,12)/10</f>
        <v>213.4</v>
      </c>
      <c r="W8" s="4">
        <f ca="1">ROUND(_Google_ads[[#This Row],[conversions]]*RANDBETWEEN(8,12)/10,0)</f>
        <v>42</v>
      </c>
      <c r="X8" s="4">
        <f ca="1">ROUND(_Google_ads[[#This Row],[conversion_value]]*RANDBETWEEN(8,12)/10,0)</f>
        <v>2520</v>
      </c>
      <c r="Y8" s="4">
        <f ca="1">_Google_ads[[#This Row],[ctr]]*RANDBETWEEN(8,12)/10</f>
        <v>5.5330000000000004E-2</v>
      </c>
      <c r="Z8" s="4">
        <f ca="1">_Google_ads[[#This Row],[avg_cpc]]*RANDBETWEEN(8,12)/10</f>
        <v>0.22800000000000004</v>
      </c>
      <c r="AA8" s="4">
        <f ca="1">ROUND(_Google_ads[[#This Row],[quality_score]]*RANDBETWEEN(8,12)/10,0)</f>
        <v>9</v>
      </c>
      <c r="AB8" s="4">
        <f ca="1">_Google_ads[[#This Row],[search_impression_share]]*RANDBETWEEN(8,12)/10</f>
        <v>0.74399999999999999</v>
      </c>
      <c r="AD8" s="3">
        <f t="shared" ca="1" si="2"/>
        <v>45093</v>
      </c>
      <c r="AE8" s="4" t="s">
        <v>100</v>
      </c>
      <c r="AF8" s="4" t="s">
        <v>101</v>
      </c>
      <c r="AG8" s="4" t="s">
        <v>102</v>
      </c>
      <c r="AH8" s="4" t="s">
        <v>103</v>
      </c>
      <c r="AI8" s="4">
        <f ca="1">ROUND(T_Tiktok_ads[[#This Row],[impressions]]*RANDBETWEEN(8,12)/10,0)</f>
        <v>245802</v>
      </c>
      <c r="AJ8" s="4">
        <f ca="1">ROUND(T_Tiktok_ads[[#This Row],[clicks]]*RANDBETWEEN(8,12)/10,0)</f>
        <v>3557</v>
      </c>
      <c r="AK8" s="4">
        <v>434.5</v>
      </c>
      <c r="AL8" s="4">
        <f ca="1">ROUND(T_Tiktok_ads[[#This Row],[conversions]]*RANDBETWEEN(8,12)/10,0)</f>
        <v>26</v>
      </c>
      <c r="AM8" s="4">
        <f ca="1">ROUND(T_Tiktok_ads[[#This Row],[video_views]]*RANDBETWEEN(8,12)/10,0)</f>
        <v>151387</v>
      </c>
      <c r="AN8" s="4">
        <f ca="1">ROUND(T_Tiktok_ads[[#This Row],[video_watch_25]]*RANDBETWEEN(8,12)/10,0)</f>
        <v>163057</v>
      </c>
      <c r="AO8" s="4">
        <f ca="1">ROUND(T_Tiktok_ads[[#This Row],[video_watch_50]]*RANDBETWEEN(8,12)/10,0)</f>
        <v>83911</v>
      </c>
      <c r="AP8" s="4">
        <f ca="1">ROUND(T_Tiktok_ads[[#This Row],[video_watch_75]]*RANDBETWEEN(8,12)/10,0)</f>
        <v>69802</v>
      </c>
      <c r="AQ8" s="4">
        <f ca="1">ROUND(T_Tiktok_ads[[#This Row],[video_watch_100]]*RANDBETWEEN(8,12)/10,0)</f>
        <v>43234</v>
      </c>
      <c r="AR8" s="4">
        <f ca="1">ROUND(T_Tiktok_ads[[#This Row],[likes]]*RANDBETWEEN(8,12)/10,0)</f>
        <v>8567</v>
      </c>
      <c r="AS8" s="4">
        <f ca="1">ROUND(T_Tiktok_ads[[#This Row],[shares]]*RANDBETWEEN(8,12)/10,0)</f>
        <v>2011</v>
      </c>
      <c r="AT8" s="4">
        <f ca="1">ROUND(T_Tiktok_ads[[#This Row],[comments]]*RANDBETWEEN(8,12)/10,0)</f>
        <v>587</v>
      </c>
      <c r="AV8" s="5">
        <f t="shared" ca="1" si="3"/>
        <v>45106</v>
      </c>
      <c r="AW8">
        <f t="shared" ca="1" si="4"/>
        <v>3</v>
      </c>
      <c r="AX8">
        <f ca="1">ROUND(T_Facebook_Ads115963677175[[#This Row],[impressions]]*RANDBETWEEN(8,12)/10,0)</f>
        <v>47752</v>
      </c>
      <c r="AY8">
        <f ca="1">ROUND(T_Facebook_Ads115963677175[[#This Row],[clicks]]*RANDBETWEEN(8,12)/10,0)</f>
        <v>870</v>
      </c>
      <c r="AZ8">
        <f ca="1">T_Facebook_Ads115963677175[[#This Row],[spend]]*RANDBETWEEN(8,12)/10</f>
        <v>148.28000000000003</v>
      </c>
      <c r="BA8">
        <f ca="1">ROUND(T_Facebook_Ads115963677175[[#This Row],[conversions]]*RANDBETWEEN(8,12)/10,0)</f>
        <v>13</v>
      </c>
      <c r="BB8">
        <f ca="1">ROUND(T_Facebook_Ads115963677175[[#This Row],[video_views]]*RANDBETWEEN(8,12)/10,0)</f>
        <v>8812</v>
      </c>
    </row>
    <row r="9" spans="1:54" ht="15.75" thickBot="1" x14ac:dyDescent="0.3">
      <c r="A9" s="3">
        <f t="shared" ca="1" si="0"/>
        <v>45083</v>
      </c>
      <c r="B9" s="4" t="s">
        <v>56</v>
      </c>
      <c r="C9" s="4" t="s">
        <v>57</v>
      </c>
      <c r="D9" s="4" t="s">
        <v>58</v>
      </c>
      <c r="E9" s="4" t="s">
        <v>59</v>
      </c>
      <c r="F9" s="4">
        <f ca="1">ROUND(T_Facebook_Ads[[#This Row],[impressions]]*RANDBETWEEN(8,12)/10,0)</f>
        <v>12357</v>
      </c>
      <c r="G9" s="4">
        <v>489</v>
      </c>
      <c r="H9" s="4">
        <f ca="1">T_Facebook_Ads[[#This Row],[spend]]*RANDBETWEEN(8,12)/10</f>
        <v>158.95999999999998</v>
      </c>
      <c r="I9" s="4">
        <f ca="1">ROUND(T_Facebook_Ads[[#This Row],[conversions]]*RANDBETWEEN(8,12)/10,0)</f>
        <v>25</v>
      </c>
      <c r="J9" s="4">
        <f ca="1">ROUND(T_Facebook_Ads[[#This Row],[video_views]]*RANDBETWEEN(8,12)/10,0)</f>
        <v>1348</v>
      </c>
      <c r="K9" s="4">
        <f ca="1">T_Facebook_Ads[[#This Row],[engagement_rate]]*RANDBETWEEN(8,12)/10</f>
        <v>3.4799999999999998E-2</v>
      </c>
      <c r="L9" s="4">
        <f ca="1">ROUND(T_Facebook_Ads[[#This Row],[reach]]*RANDBETWEEN(8,12)/10,0)</f>
        <v>8901</v>
      </c>
      <c r="M9" s="4">
        <f ca="1">T_Facebook_Ads[[#This Row],[frequency]]*RANDBETWEEN(8,12)/10</f>
        <v>1.1339999999999999</v>
      </c>
      <c r="O9" s="3">
        <f t="shared" ca="1" si="1"/>
        <v>45105</v>
      </c>
      <c r="P9" s="4" t="s">
        <v>80</v>
      </c>
      <c r="Q9" s="4" t="s">
        <v>81</v>
      </c>
      <c r="R9" s="4" t="s">
        <v>82</v>
      </c>
      <c r="S9" s="4" t="s">
        <v>83</v>
      </c>
      <c r="T9" s="4">
        <f ca="1">ROUND(_Google_ads[[#This Row],[impressions]]*RANDBETWEEN(8,12)/10,0)</f>
        <v>52679</v>
      </c>
      <c r="U9" s="4">
        <f ca="1">ROUND(_Google_ads[[#This Row],[clicks]]*RANDBETWEEN(8,12)/10,0)</f>
        <v>1064</v>
      </c>
      <c r="V9" s="4">
        <f ca="1">_Google_ads[[#This Row],[cost]]*RANDBETWEEN(8,12)/10</f>
        <v>748.2</v>
      </c>
      <c r="W9" s="4">
        <f ca="1">ROUND(_Google_ads[[#This Row],[conversions]]*RANDBETWEEN(8,12)/10,0)</f>
        <v>30</v>
      </c>
      <c r="X9" s="4">
        <f ca="1">ROUND(_Google_ads[[#This Row],[conversion_value]]*RANDBETWEEN(8,12)/10,0)</f>
        <v>1250</v>
      </c>
      <c r="Y9" s="4">
        <f ca="1">_Google_ads[[#This Row],[ctr]]*RANDBETWEEN(8,12)/10</f>
        <v>2.2219999999999997E-2</v>
      </c>
      <c r="Z9" s="4">
        <f ca="1">_Google_ads[[#This Row],[avg_cpc]]*RANDBETWEEN(8,12)/10</f>
        <v>0.64</v>
      </c>
      <c r="AA9" s="4">
        <f ca="1">ROUND(_Google_ads[[#This Row],[quality_score]]*RANDBETWEEN(8,12)/10,0)</f>
        <v>5</v>
      </c>
      <c r="AB9" s="4">
        <f ca="1">_Google_ads[[#This Row],[search_impression_share]]*RANDBETWEEN(8,12)/10</f>
        <v>0.47299999999999998</v>
      </c>
      <c r="AD9" s="3">
        <f t="shared" ca="1" si="2"/>
        <v>45094</v>
      </c>
      <c r="AE9" s="4" t="s">
        <v>104</v>
      </c>
      <c r="AF9" s="4" t="s">
        <v>105</v>
      </c>
      <c r="AG9" s="4" t="s">
        <v>106</v>
      </c>
      <c r="AH9" s="4" t="s">
        <v>107</v>
      </c>
      <c r="AI9" s="4">
        <f ca="1">ROUND(T_Tiktok_ads[[#This Row],[impressions]]*RANDBETWEEN(8,12)/10,0)</f>
        <v>101111</v>
      </c>
      <c r="AJ9" s="4">
        <f ca="1">ROUND(T_Tiktok_ads[[#This Row],[clicks]]*RANDBETWEEN(8,12)/10,0)</f>
        <v>2335</v>
      </c>
      <c r="AK9" s="4">
        <v>623.4</v>
      </c>
      <c r="AL9" s="4">
        <f ca="1">ROUND(T_Tiktok_ads[[#This Row],[conversions]]*RANDBETWEEN(8,12)/10,0)</f>
        <v>74</v>
      </c>
      <c r="AM9" s="4">
        <f ca="1">ROUND(T_Tiktok_ads[[#This Row],[video_views]]*RANDBETWEEN(8,12)/10,0)</f>
        <v>82345</v>
      </c>
      <c r="AN9" s="4">
        <f ca="1">ROUND(T_Tiktok_ads[[#This Row],[video_watch_25]]*RANDBETWEEN(8,12)/10,0)</f>
        <v>73481</v>
      </c>
      <c r="AO9" s="4">
        <f ca="1">ROUND(T_Tiktok_ads[[#This Row],[video_watch_50]]*RANDBETWEEN(8,12)/10,0)</f>
        <v>49481</v>
      </c>
      <c r="AP9" s="4">
        <f ca="1">ROUND(T_Tiktok_ads[[#This Row],[video_watch_75]]*RANDBETWEEN(8,12)/10,0)</f>
        <v>31234</v>
      </c>
      <c r="AQ9" s="4">
        <f ca="1">ROUND(T_Tiktok_ads[[#This Row],[video_watch_100]]*RANDBETWEEN(8,12)/10,0)</f>
        <v>16987</v>
      </c>
      <c r="AR9" s="4">
        <f ca="1">ROUND(T_Tiktok_ads[[#This Row],[likes]]*RANDBETWEEN(8,12)/10,0)</f>
        <v>5081</v>
      </c>
      <c r="AS9" s="4">
        <f ca="1">ROUND(T_Tiktok_ads[[#This Row],[shares]]*RANDBETWEEN(8,12)/10,0)</f>
        <v>1011</v>
      </c>
      <c r="AT9" s="4">
        <f ca="1">ROUND(T_Tiktok_ads[[#This Row],[comments]]*RANDBETWEEN(8,12)/10,0)</f>
        <v>254</v>
      </c>
      <c r="AV9" s="5">
        <f t="shared" ca="1" si="3"/>
        <v>45096</v>
      </c>
      <c r="AW9">
        <f t="shared" ca="1" si="4"/>
        <v>8</v>
      </c>
      <c r="AX9">
        <f ca="1">ROUND(T_Facebook_Ads115963677175[[#This Row],[impressions]]*RANDBETWEEN(8,12)/10,0)</f>
        <v>12357</v>
      </c>
      <c r="AY9">
        <f ca="1">ROUND(T_Facebook_Ads115963677175[[#This Row],[clicks]]*RANDBETWEEN(8,12)/10,0)</f>
        <v>538</v>
      </c>
      <c r="AZ9">
        <f ca="1">T_Facebook_Ads115963677175[[#This Row],[spend]]*RANDBETWEEN(8,12)/10</f>
        <v>190.75199999999998</v>
      </c>
      <c r="BA9">
        <f ca="1">ROUND(T_Facebook_Ads115963677175[[#This Row],[conversions]]*RANDBETWEEN(8,12)/10,0)</f>
        <v>25</v>
      </c>
      <c r="BB9">
        <f ca="1">ROUND(T_Facebook_Ads115963677175[[#This Row],[video_views]]*RANDBETWEEN(8,12)/10,0)</f>
        <v>1483</v>
      </c>
    </row>
    <row r="10" spans="1:54" ht="15.75" thickBot="1" x14ac:dyDescent="0.3">
      <c r="A10" s="3">
        <f t="shared" ca="1" si="0"/>
        <v>45081</v>
      </c>
      <c r="B10" s="4" t="s">
        <v>60</v>
      </c>
      <c r="C10" s="4" t="s">
        <v>61</v>
      </c>
      <c r="D10" s="4" t="s">
        <v>62</v>
      </c>
      <c r="E10" s="4" t="s">
        <v>63</v>
      </c>
      <c r="F10" s="4">
        <f ca="1">ROUND(T_Facebook_Ads[[#This Row],[impressions]]*RANDBETWEEN(8,12)/10,0)</f>
        <v>38901</v>
      </c>
      <c r="G10" s="4">
        <v>1456</v>
      </c>
      <c r="H10" s="4">
        <f ca="1">T_Facebook_Ads[[#This Row],[spend]]*RANDBETWEEN(8,12)/10</f>
        <v>213.4</v>
      </c>
      <c r="I10" s="4">
        <f ca="1">ROUND(T_Facebook_Ads[[#This Row],[conversions]]*RANDBETWEEN(8,12)/10,0)</f>
        <v>25</v>
      </c>
      <c r="J10" s="4">
        <f ca="1">ROUND(T_Facebook_Ads[[#This Row],[video_views]]*RANDBETWEEN(8,12)/10,0)</f>
        <v>5234</v>
      </c>
      <c r="K10" s="4">
        <f ca="1">T_Facebook_Ads[[#This Row],[engagement_rate]]*RANDBETWEEN(8,12)/10</f>
        <v>3.3749999999999995E-2</v>
      </c>
      <c r="L10" s="4">
        <f ca="1">ROUND(T_Facebook_Ads[[#This Row],[reach]]*RANDBETWEEN(8,12)/10,0)</f>
        <v>28310</v>
      </c>
      <c r="M10" s="4">
        <f ca="1">T_Facebook_Ads[[#This Row],[frequency]]*RANDBETWEEN(8,12)/10</f>
        <v>1.1160000000000001</v>
      </c>
      <c r="O10" s="3">
        <f t="shared" ca="1" si="1"/>
        <v>45079</v>
      </c>
      <c r="P10" s="4" t="s">
        <v>88</v>
      </c>
      <c r="Q10" s="4" t="s">
        <v>89</v>
      </c>
      <c r="R10" s="4" t="s">
        <v>90</v>
      </c>
      <c r="S10" s="4" t="s">
        <v>59</v>
      </c>
      <c r="T10" s="4">
        <f ca="1">ROUND(_Google_ads[[#This Row],[impressions]]*RANDBETWEEN(8,12)/10,0)</f>
        <v>98765</v>
      </c>
      <c r="U10" s="4">
        <f ca="1">ROUND(_Google_ads[[#This Row],[clicks]]*RANDBETWEEN(8,12)/10,0)</f>
        <v>456</v>
      </c>
      <c r="V10" s="4">
        <f ca="1">_Google_ads[[#This Row],[cost]]*RANDBETWEEN(8,12)/10</f>
        <v>98.72</v>
      </c>
      <c r="W10" s="4">
        <f ca="1">ROUND(_Google_ads[[#This Row],[conversions]]*RANDBETWEEN(8,12)/10,0)</f>
        <v>14</v>
      </c>
      <c r="X10" s="4">
        <f ca="1">ROUND(_Google_ads[[#This Row],[conversion_value]]*RANDBETWEEN(8,12)/10,0)</f>
        <v>600</v>
      </c>
      <c r="Y10" s="4">
        <f ca="1">_Google_ads[[#This Row],[ctr]]*RANDBETWEEN(8,12)/10</f>
        <v>3.3300000000000005E-3</v>
      </c>
      <c r="Z10" s="4">
        <f ca="1">_Google_ads[[#This Row],[avg_cpc]]*RANDBETWEEN(8,12)/10</f>
        <v>0.24300000000000002</v>
      </c>
      <c r="AA10" s="4">
        <f ca="1">ROUND(_Google_ads[[#This Row],[quality_score]]*RANDBETWEEN(8,12)/10,0)</f>
        <v>6</v>
      </c>
      <c r="AB10" s="4">
        <f ca="1">_Google_ads[[#This Row],[search_impression_share]]*RANDBETWEEN(8,12)/10</f>
        <v>0.41999999999999993</v>
      </c>
      <c r="AD10" s="3">
        <f t="shared" ca="1" si="2"/>
        <v>45087</v>
      </c>
      <c r="AE10" s="4" t="s">
        <v>112</v>
      </c>
      <c r="AF10" s="4" t="s">
        <v>113</v>
      </c>
      <c r="AG10" s="4" t="s">
        <v>114</v>
      </c>
      <c r="AH10" s="4" t="s">
        <v>115</v>
      </c>
      <c r="AI10" s="4">
        <f ca="1">ROUND(T_Tiktok_ads[[#This Row],[impressions]]*RANDBETWEEN(8,12)/10,0)</f>
        <v>276542</v>
      </c>
      <c r="AJ10" s="4">
        <f ca="1">ROUND(T_Tiktok_ads[[#This Row],[clicks]]*RANDBETWEEN(8,12)/10,0)</f>
        <v>4542</v>
      </c>
      <c r="AK10" s="4">
        <v>890.1</v>
      </c>
      <c r="AL10" s="4">
        <f ca="1">ROUND(T_Tiktok_ads[[#This Row],[conversions]]*RANDBETWEEN(8,12)/10,0)</f>
        <v>71</v>
      </c>
      <c r="AM10" s="4">
        <f ca="1">ROUND(T_Tiktok_ads[[#This Row],[video_views]]*RANDBETWEEN(8,12)/10,0)</f>
        <v>347081</v>
      </c>
      <c r="AN10" s="4">
        <f ca="1">ROUND(T_Tiktok_ads[[#This Row],[video_watch_25]]*RANDBETWEEN(8,12)/10,0)</f>
        <v>187654</v>
      </c>
      <c r="AO10" s="4">
        <f ca="1">ROUND(T_Tiktok_ads[[#This Row],[video_watch_50]]*RANDBETWEEN(8,12)/10,0)</f>
        <v>227081</v>
      </c>
      <c r="AP10" s="4">
        <f ca="1">ROUND(T_Tiktok_ads[[#This Row],[video_watch_75]]*RANDBETWEEN(8,12)/10,0)</f>
        <v>107654</v>
      </c>
      <c r="AQ10" s="4">
        <f ca="1">ROUND(T_Tiktok_ads[[#This Row],[video_watch_100]]*RANDBETWEEN(8,12)/10,0)</f>
        <v>98157</v>
      </c>
      <c r="AR10" s="4">
        <f ca="1">ROUND(T_Tiktok_ads[[#This Row],[likes]]*RANDBETWEEN(8,12)/10,0)</f>
        <v>12542</v>
      </c>
      <c r="AS10" s="4">
        <f ca="1">ROUND(T_Tiktok_ads[[#This Row],[shares]]*RANDBETWEEN(8,12)/10,0)</f>
        <v>4567</v>
      </c>
      <c r="AT10" s="4">
        <f ca="1">ROUND(T_Tiktok_ads[[#This Row],[comments]]*RANDBETWEEN(8,12)/10,0)</f>
        <v>1357</v>
      </c>
      <c r="AV10" s="5">
        <f t="shared" ca="1" si="3"/>
        <v>45095</v>
      </c>
      <c r="AW10">
        <f t="shared" ca="1" si="4"/>
        <v>8</v>
      </c>
      <c r="AX10">
        <f ca="1">ROUND(T_Facebook_Ads115963677175[[#This Row],[impressions]]*RANDBETWEEN(8,12)/10,0)</f>
        <v>42791</v>
      </c>
      <c r="AY10">
        <f ca="1">ROUND(T_Facebook_Ads115963677175[[#This Row],[clicks]]*RANDBETWEEN(8,12)/10,0)</f>
        <v>1747</v>
      </c>
      <c r="AZ10">
        <f ca="1">T_Facebook_Ads115963677175[[#This Row],[spend]]*RANDBETWEEN(8,12)/10</f>
        <v>170.72</v>
      </c>
      <c r="BA10">
        <f ca="1">ROUND(T_Facebook_Ads115963677175[[#This Row],[conversions]]*RANDBETWEEN(8,12)/10,0)</f>
        <v>30</v>
      </c>
      <c r="BB10">
        <f ca="1">ROUND(T_Facebook_Ads115963677175[[#This Row],[video_views]]*RANDBETWEEN(8,12)/10,0)</f>
        <v>5757</v>
      </c>
    </row>
    <row r="11" spans="1:54" ht="15.75" thickBot="1" x14ac:dyDescent="0.3">
      <c r="A11" s="3">
        <f t="shared" ca="1" si="0"/>
        <v>45101</v>
      </c>
      <c r="B11" s="4" t="s">
        <v>52</v>
      </c>
      <c r="C11" s="4" t="s">
        <v>53</v>
      </c>
      <c r="D11" s="4" t="s">
        <v>54</v>
      </c>
      <c r="E11" s="4" t="s">
        <v>55</v>
      </c>
      <c r="F11" s="4">
        <f ca="1">ROUND(T_Facebook_Ads[[#This Row],[impressions]]*RANDBETWEEN(8,12)/10,0)</f>
        <v>46111</v>
      </c>
      <c r="G11" s="4">
        <v>1023</v>
      </c>
      <c r="H11" s="4">
        <f ca="1">T_Facebook_Ads[[#This Row],[spend]]*RANDBETWEEN(8,12)/10</f>
        <v>170.76000000000002</v>
      </c>
      <c r="I11" s="4">
        <f ca="1">ROUND(T_Facebook_Ads[[#This Row],[conversions]]*RANDBETWEEN(8,12)/10,0)</f>
        <v>18</v>
      </c>
      <c r="J11" s="4">
        <f ca="1">ROUND(T_Facebook_Ads[[#This Row],[video_views]]*RANDBETWEEN(8,12)/10,0)</f>
        <v>11081</v>
      </c>
      <c r="K11" s="4">
        <f ca="1">T_Facebook_Ads[[#This Row],[engagement_rate]]*RANDBETWEEN(8,12)/10</f>
        <v>1.7999999999999999E-2</v>
      </c>
      <c r="L11" s="4">
        <f ca="1">ROUND(T_Facebook_Ads[[#This Row],[reach]]*RANDBETWEEN(8,12)/10,0)</f>
        <v>46824</v>
      </c>
      <c r="M11" s="4">
        <f ca="1">T_Facebook_Ads[[#This Row],[frequency]]*RANDBETWEEN(8,12)/10</f>
        <v>0.96</v>
      </c>
      <c r="O11" s="3">
        <f t="shared" ca="1" si="1"/>
        <v>45089</v>
      </c>
      <c r="P11" s="4" t="s">
        <v>76</v>
      </c>
      <c r="Q11" s="4" t="s">
        <v>77</v>
      </c>
      <c r="R11" s="4" t="s">
        <v>78</v>
      </c>
      <c r="S11" s="4" t="s">
        <v>79</v>
      </c>
      <c r="T11" s="4">
        <f ca="1">ROUND(_Google_ads[[#This Row],[impressions]]*RANDBETWEEN(8,12)/10,0)</f>
        <v>25678</v>
      </c>
      <c r="U11" s="4">
        <f ca="1">ROUND(_Google_ads[[#This Row],[clicks]]*RANDBETWEEN(8,12)/10,0)</f>
        <v>1345</v>
      </c>
      <c r="V11" s="4">
        <f ca="1">_Google_ads[[#This Row],[cost]]*RANDBETWEEN(8,12)/10</f>
        <v>231.02999999999997</v>
      </c>
      <c r="W11" s="4">
        <f ca="1">ROUND(_Google_ads[[#This Row],[conversions]]*RANDBETWEEN(8,12)/10,0)</f>
        <v>40</v>
      </c>
      <c r="X11" s="4">
        <f ca="1">ROUND(_Google_ads[[#This Row],[conversion_value]]*RANDBETWEEN(8,12)/10,0)</f>
        <v>2250</v>
      </c>
      <c r="Y11" s="4">
        <f ca="1">_Google_ads[[#This Row],[ctr]]*RANDBETWEEN(8,12)/10</f>
        <v>5.2400000000000002E-2</v>
      </c>
      <c r="Z11" s="4">
        <f ca="1">_Google_ads[[#This Row],[avg_cpc]]*RANDBETWEEN(8,12)/10</f>
        <v>0.17099999999999999</v>
      </c>
      <c r="AA11" s="4">
        <f ca="1">ROUND(_Google_ads[[#This Row],[quality_score]]*RANDBETWEEN(8,12)/10,0)</f>
        <v>9</v>
      </c>
      <c r="AB11" s="4">
        <f ca="1">_Google_ads[[#This Row],[search_impression_share]]*RANDBETWEEN(8,12)/10</f>
        <v>0.73599999999999999</v>
      </c>
      <c r="AD11" s="3">
        <f t="shared" ca="1" si="2"/>
        <v>45103</v>
      </c>
      <c r="AE11" s="4" t="s">
        <v>100</v>
      </c>
      <c r="AF11" s="4" t="s">
        <v>101</v>
      </c>
      <c r="AG11" s="4" t="s">
        <v>102</v>
      </c>
      <c r="AH11" s="4" t="s">
        <v>103</v>
      </c>
      <c r="AI11" s="4">
        <f ca="1">ROUND(T_Tiktok_ads[[#This Row],[impressions]]*RANDBETWEEN(8,12)/10,0)</f>
        <v>231110</v>
      </c>
      <c r="AJ11" s="4">
        <f ca="1">ROUND(T_Tiktok_ads[[#This Row],[clicks]]*RANDBETWEEN(8,12)/10,0)</f>
        <v>3890</v>
      </c>
      <c r="AK11" s="4">
        <v>512.29999999999995</v>
      </c>
      <c r="AL11" s="4">
        <f ca="1">ROUND(T_Tiktok_ads[[#This Row],[conversions]]*RANDBETWEEN(8,12)/10,0)</f>
        <v>31</v>
      </c>
      <c r="AM11" s="4">
        <f ca="1">ROUND(T_Tiktok_ads[[#This Row],[video_views]]*RANDBETWEEN(8,12)/10,0)</f>
        <v>260947</v>
      </c>
      <c r="AN11" s="4">
        <f ca="1">ROUND(T_Tiktok_ads[[#This Row],[video_watch_25]]*RANDBETWEEN(8,12)/10,0)</f>
        <v>170234</v>
      </c>
      <c r="AO11" s="4">
        <f ca="1">ROUND(T_Tiktok_ads[[#This Row],[video_watch_50]]*RANDBETWEEN(8,12)/10,0)</f>
        <v>107234</v>
      </c>
      <c r="AP11" s="4">
        <f ca="1">ROUND(T_Tiktok_ads[[#This Row],[video_watch_75]]*RANDBETWEEN(8,12)/10,0)</f>
        <v>72456</v>
      </c>
      <c r="AQ11" s="4">
        <f ca="1">ROUND(T_Tiktok_ads[[#This Row],[video_watch_100]]*RANDBETWEEN(8,12)/10,0)</f>
        <v>53302</v>
      </c>
      <c r="AR11" s="4">
        <f ca="1">ROUND(T_Tiktok_ads[[#This Row],[likes]]*RANDBETWEEN(8,12)/10,0)</f>
        <v>8610</v>
      </c>
      <c r="AS11" s="4">
        <f ca="1">ROUND(T_Tiktok_ads[[#This Row],[shares]]*RANDBETWEEN(8,12)/10,0)</f>
        <v>3080</v>
      </c>
      <c r="AT11" s="4">
        <f ca="1">ROUND(T_Tiktok_ads[[#This Row],[comments]]*RANDBETWEEN(8,12)/10,0)</f>
        <v>551</v>
      </c>
      <c r="AV11" s="5">
        <f t="shared" ca="1" si="3"/>
        <v>45084</v>
      </c>
      <c r="AW11">
        <f t="shared" ca="1" si="4"/>
        <v>5</v>
      </c>
      <c r="AX11">
        <f ca="1">ROUND(T_Facebook_Ads115963677175[[#This Row],[impressions]]*RANDBETWEEN(8,12)/10,0)</f>
        <v>46111</v>
      </c>
      <c r="AY11">
        <f ca="1">ROUND(T_Facebook_Ads115963677175[[#This Row],[clicks]]*RANDBETWEEN(8,12)/10,0)</f>
        <v>921</v>
      </c>
      <c r="AZ11">
        <f ca="1">T_Facebook_Ads115963677175[[#This Row],[spend]]*RANDBETWEEN(8,12)/10</f>
        <v>153.68400000000003</v>
      </c>
      <c r="BA11">
        <f ca="1">ROUND(T_Facebook_Ads115963677175[[#This Row],[conversions]]*RANDBETWEEN(8,12)/10,0)</f>
        <v>22</v>
      </c>
      <c r="BB11">
        <f ca="1">ROUND(T_Facebook_Ads115963677175[[#This Row],[video_views]]*RANDBETWEEN(8,12)/10,0)</f>
        <v>13297</v>
      </c>
    </row>
    <row r="12" spans="1:54" ht="15.75" thickBot="1" x14ac:dyDescent="0.3">
      <c r="A12" s="3">
        <f t="shared" ca="1" si="0"/>
        <v>45103</v>
      </c>
      <c r="B12" s="4" t="s">
        <v>56</v>
      </c>
      <c r="C12" s="4" t="s">
        <v>57</v>
      </c>
      <c r="D12" s="4" t="s">
        <v>58</v>
      </c>
      <c r="E12" s="4" t="s">
        <v>59</v>
      </c>
      <c r="F12" s="4">
        <f ca="1">ROUND(T_Facebook_Ads[[#This Row],[impressions]]*RANDBETWEEN(8,12)/10,0)</f>
        <v>16024</v>
      </c>
      <c r="G12" s="4">
        <v>678</v>
      </c>
      <c r="H12" s="4">
        <f ca="1">T_Facebook_Ads[[#This Row],[spend]]*RANDBETWEEN(8,12)/10</f>
        <v>196.48</v>
      </c>
      <c r="I12" s="4">
        <f ca="1">ROUND(T_Facebook_Ads[[#This Row],[conversions]]*RANDBETWEEN(8,12)/10,0)</f>
        <v>38</v>
      </c>
      <c r="J12" s="4">
        <f ca="1">ROUND(T_Facebook_Ads[[#This Row],[video_views]]*RANDBETWEEN(8,12)/10,0)</f>
        <v>1410</v>
      </c>
      <c r="K12" s="4">
        <f ca="1">T_Facebook_Ads[[#This Row],[engagement_rate]]*RANDBETWEEN(8,12)/10</f>
        <v>5.1149999999999994E-2</v>
      </c>
      <c r="L12" s="4">
        <f ca="1">ROUND(T_Facebook_Ads[[#This Row],[reach]]*RANDBETWEEN(8,12)/10,0)</f>
        <v>8987</v>
      </c>
      <c r="M12" s="4">
        <f ca="1">T_Facebook_Ads[[#This Row],[frequency]]*RANDBETWEEN(8,12)/10</f>
        <v>1.4300000000000002</v>
      </c>
      <c r="O12" s="3">
        <f t="shared" ca="1" si="1"/>
        <v>45088</v>
      </c>
      <c r="P12" s="4" t="s">
        <v>84</v>
      </c>
      <c r="Q12" s="4" t="s">
        <v>85</v>
      </c>
      <c r="R12" s="4" t="s">
        <v>86</v>
      </c>
      <c r="S12" s="4" t="s">
        <v>87</v>
      </c>
      <c r="T12" s="4">
        <f ca="1">ROUND(_Google_ads[[#This Row],[impressions]]*RANDBETWEEN(8,12)/10,0)</f>
        <v>55565</v>
      </c>
      <c r="U12" s="4">
        <f ca="1">ROUND(_Google_ads[[#This Row],[clicks]]*RANDBETWEEN(8,12)/10,0)</f>
        <v>1787</v>
      </c>
      <c r="V12" s="4">
        <f ca="1">_Google_ads[[#This Row],[cost]]*RANDBETWEEN(8,12)/10</f>
        <v>453.53000000000003</v>
      </c>
      <c r="W12" s="4">
        <f ca="1">ROUND(_Google_ads[[#This Row],[conversions]]*RANDBETWEEN(8,12)/10,0)</f>
        <v>59</v>
      </c>
      <c r="X12" s="4">
        <f ca="1">ROUND(_Google_ads[[#This Row],[conversion_value]]*RANDBETWEEN(8,12)/10,0)</f>
        <v>2925</v>
      </c>
      <c r="Y12" s="4">
        <f ca="1">_Google_ads[[#This Row],[ctr]]*RANDBETWEEN(8,12)/10</f>
        <v>3.8639999999999994E-2</v>
      </c>
      <c r="Z12" s="4">
        <f ca="1">_Google_ads[[#This Row],[avg_cpc]]*RANDBETWEEN(8,12)/10</f>
        <v>0.18</v>
      </c>
      <c r="AA12" s="4">
        <f ca="1">ROUND(_Google_ads[[#This Row],[quality_score]]*RANDBETWEEN(8,12)/10,0)</f>
        <v>10</v>
      </c>
      <c r="AB12" s="4">
        <f ca="1">_Google_ads[[#This Row],[search_impression_share]]*RANDBETWEEN(8,12)/10</f>
        <v>0.66</v>
      </c>
      <c r="AD12" s="3">
        <f t="shared" ca="1" si="2"/>
        <v>45088</v>
      </c>
      <c r="AE12" s="4" t="s">
        <v>108</v>
      </c>
      <c r="AF12" s="4" t="s">
        <v>109</v>
      </c>
      <c r="AG12" s="4" t="s">
        <v>110</v>
      </c>
      <c r="AH12" s="4" t="s">
        <v>111</v>
      </c>
      <c r="AI12" s="4">
        <f ca="1">ROUND(T_Tiktok_ads[[#This Row],[impressions]]*RANDBETWEEN(8,12)/10,0)</f>
        <v>221357</v>
      </c>
      <c r="AJ12" s="4">
        <f ca="1">ROUND(T_Tiktok_ads[[#This Row],[clicks]]*RANDBETWEEN(8,12)/10,0)</f>
        <v>3435</v>
      </c>
      <c r="AK12" s="4">
        <v>374.5</v>
      </c>
      <c r="AL12" s="4">
        <f ca="1">ROUND(T_Tiktok_ads[[#This Row],[conversions]]*RANDBETWEEN(8,12)/10,0)</f>
        <v>23</v>
      </c>
      <c r="AM12" s="4">
        <f ca="1">ROUND(T_Tiktok_ads[[#This Row],[video_views]]*RANDBETWEEN(8,12)/10,0)</f>
        <v>189468</v>
      </c>
      <c r="AN12" s="4">
        <f ca="1">ROUND(T_Tiktok_ads[[#This Row],[video_watch_25]]*RANDBETWEEN(8,12)/10,0)</f>
        <v>109111</v>
      </c>
      <c r="AO12" s="4">
        <f ca="1">ROUND(T_Tiktok_ads[[#This Row],[video_watch_50]]*RANDBETWEEN(8,12)/10,0)</f>
        <v>115481</v>
      </c>
      <c r="AP12" s="4">
        <f ca="1">ROUND(T_Tiktok_ads[[#This Row],[video_watch_75]]*RANDBETWEEN(8,12)/10,0)</f>
        <v>61234</v>
      </c>
      <c r="AQ12" s="4">
        <f ca="1">ROUND(T_Tiktok_ads[[#This Row],[video_watch_100]]*RANDBETWEEN(8,12)/10,0)</f>
        <v>41202</v>
      </c>
      <c r="AR12" s="4">
        <f ca="1">ROUND(T_Tiktok_ads[[#This Row],[likes]]*RANDBETWEEN(8,12)/10,0)</f>
        <v>8080</v>
      </c>
      <c r="AS12" s="4">
        <f ca="1">ROUND(T_Tiktok_ads[[#This Row],[shares]]*RANDBETWEEN(8,12)/10,0)</f>
        <v>1627</v>
      </c>
      <c r="AT12" s="4">
        <f ca="1">ROUND(T_Tiktok_ads[[#This Row],[comments]]*RANDBETWEEN(8,12)/10,0)</f>
        <v>587</v>
      </c>
      <c r="AV12" s="5">
        <f t="shared" ca="1" si="3"/>
        <v>45086</v>
      </c>
      <c r="AW12">
        <f t="shared" ca="1" si="4"/>
        <v>2</v>
      </c>
      <c r="AX12">
        <f ca="1">ROUND(T_Facebook_Ads115963677175[[#This Row],[impressions]]*RANDBETWEEN(8,12)/10,0)</f>
        <v>14422</v>
      </c>
      <c r="AY12">
        <f ca="1">ROUND(T_Facebook_Ads115963677175[[#This Row],[clicks]]*RANDBETWEEN(8,12)/10,0)</f>
        <v>814</v>
      </c>
      <c r="AZ12">
        <f ca="1">T_Facebook_Ads115963677175[[#This Row],[spend]]*RANDBETWEEN(8,12)/10</f>
        <v>176.83199999999999</v>
      </c>
      <c r="BA12">
        <f ca="1">ROUND(T_Facebook_Ads115963677175[[#This Row],[conversions]]*RANDBETWEEN(8,12)/10,0)</f>
        <v>38</v>
      </c>
      <c r="BB12">
        <f ca="1">ROUND(T_Facebook_Ads115963677175[[#This Row],[video_views]]*RANDBETWEEN(8,12)/10,0)</f>
        <v>1692</v>
      </c>
    </row>
    <row r="13" spans="1:54" ht="15.75" thickBot="1" x14ac:dyDescent="0.3">
      <c r="A13" s="3">
        <f t="shared" ca="1" si="0"/>
        <v>45103</v>
      </c>
      <c r="B13" s="4" t="s">
        <v>64</v>
      </c>
      <c r="C13" s="4" t="s">
        <v>65</v>
      </c>
      <c r="D13" s="4" t="s">
        <v>66</v>
      </c>
      <c r="E13" s="4" t="s">
        <v>67</v>
      </c>
      <c r="F13" s="4">
        <f ca="1">ROUND(T_Facebook_Ads[[#This Row],[impressions]]*RANDBETWEEN(8,12)/10,0)</f>
        <v>67890</v>
      </c>
      <c r="G13" s="4">
        <v>234</v>
      </c>
      <c r="H13" s="4">
        <f ca="1">T_Facebook_Ads[[#This Row],[spend]]*RANDBETWEEN(8,12)/10</f>
        <v>80.55</v>
      </c>
      <c r="I13" s="4">
        <f ca="1">ROUND(T_Facebook_Ads[[#This Row],[conversions]]*RANDBETWEEN(8,12)/10,0)</f>
        <v>5</v>
      </c>
      <c r="J13" s="4">
        <f ca="1">ROUND(T_Facebook_Ads[[#This Row],[video_views]]*RANDBETWEEN(8,12)/10,0)</f>
        <v>45678</v>
      </c>
      <c r="K13" s="4">
        <f ca="1">T_Facebook_Ads[[#This Row],[engagement_rate]]*RANDBETWEEN(8,12)/10</f>
        <v>3.7399999999999994E-3</v>
      </c>
      <c r="L13" s="4">
        <f ca="1">ROUND(T_Facebook_Ads[[#This Row],[reach]]*RANDBETWEEN(8,12)/10,0)</f>
        <v>62468</v>
      </c>
      <c r="M13" s="4">
        <f ca="1">T_Facebook_Ads[[#This Row],[frequency]]*RANDBETWEEN(8,12)/10</f>
        <v>1.44</v>
      </c>
      <c r="O13" s="3">
        <f t="shared" ca="1" si="1"/>
        <v>45098</v>
      </c>
      <c r="P13" s="4" t="s">
        <v>88</v>
      </c>
      <c r="Q13" s="4" t="s">
        <v>89</v>
      </c>
      <c r="R13" s="4" t="s">
        <v>90</v>
      </c>
      <c r="S13" s="4" t="s">
        <v>59</v>
      </c>
      <c r="T13" s="4">
        <f ca="1">ROUND(_Google_ads[[#This Row],[impressions]]*RANDBETWEEN(8,12)/10,0)</f>
        <v>121110</v>
      </c>
      <c r="U13" s="4">
        <f ca="1">ROUND(_Google_ads[[#This Row],[clicks]]*RANDBETWEEN(8,12)/10,0)</f>
        <v>489</v>
      </c>
      <c r="V13" s="4">
        <f ca="1">_Google_ads[[#This Row],[cost]]*RANDBETWEEN(8,12)/10</f>
        <v>121.05</v>
      </c>
      <c r="W13" s="4">
        <f ca="1">ROUND(_Google_ads[[#This Row],[conversions]]*RANDBETWEEN(8,12)/10,0)</f>
        <v>14</v>
      </c>
      <c r="X13" s="4">
        <f ca="1">ROUND(_Google_ads[[#This Row],[conversion_value]]*RANDBETWEEN(8,12)/10,0)</f>
        <v>560</v>
      </c>
      <c r="Y13" s="4">
        <f ca="1">_Google_ads[[#This Row],[ctr]]*RANDBETWEEN(8,12)/10</f>
        <v>3.5999999999999999E-3</v>
      </c>
      <c r="Z13" s="4">
        <f ca="1">_Google_ads[[#This Row],[avg_cpc]]*RANDBETWEEN(8,12)/10</f>
        <v>0.28000000000000003</v>
      </c>
      <c r="AA13" s="4">
        <f ca="1">ROUND(_Google_ads[[#This Row],[quality_score]]*RANDBETWEEN(8,12)/10,0)</f>
        <v>6</v>
      </c>
      <c r="AB13" s="4">
        <f ca="1">_Google_ads[[#This Row],[search_impression_share]]*RANDBETWEEN(8,12)/10</f>
        <v>0.43200000000000005</v>
      </c>
      <c r="AD13" s="3">
        <f t="shared" ca="1" si="2"/>
        <v>45095</v>
      </c>
      <c r="AE13" s="4" t="s">
        <v>112</v>
      </c>
      <c r="AF13" s="4" t="s">
        <v>113</v>
      </c>
      <c r="AG13" s="4" t="s">
        <v>114</v>
      </c>
      <c r="AH13" s="4" t="s">
        <v>115</v>
      </c>
      <c r="AI13" s="4">
        <f ca="1">ROUND(T_Tiktok_ads[[#This Row],[impressions]]*RANDBETWEEN(8,12)/10,0)</f>
        <v>404679</v>
      </c>
      <c r="AJ13" s="4">
        <f ca="1">ROUND(T_Tiktok_ads[[#This Row],[clicks]]*RANDBETWEEN(8,12)/10,0)</f>
        <v>5411</v>
      </c>
      <c r="AK13" s="4">
        <v>923.4</v>
      </c>
      <c r="AL13" s="4">
        <f ca="1">ROUND(T_Tiktok_ads[[#This Row],[conversions]]*RANDBETWEEN(8,12)/10,0)</f>
        <v>75</v>
      </c>
      <c r="AM13" s="4">
        <f ca="1">ROUND(T_Tiktok_ads[[#This Row],[video_views]]*RANDBETWEEN(8,12)/10,0)</f>
        <v>331357</v>
      </c>
      <c r="AN13" s="4">
        <f ca="1">ROUND(T_Tiktok_ads[[#This Row],[video_watch_25]]*RANDBETWEEN(8,12)/10,0)</f>
        <v>245678</v>
      </c>
      <c r="AO13" s="4">
        <f ca="1">ROUND(T_Tiktok_ads[[#This Row],[video_watch_50]]*RANDBETWEEN(8,12)/10,0)</f>
        <v>216468</v>
      </c>
      <c r="AP13" s="4">
        <f ca="1">ROUND(T_Tiktok_ads[[#This Row],[video_watch_75]]*RANDBETWEEN(8,12)/10,0)</f>
        <v>112187</v>
      </c>
      <c r="AQ13" s="4">
        <f ca="1">ROUND(T_Tiktok_ads[[#This Row],[video_watch_100]]*RANDBETWEEN(8,12)/10,0)</f>
        <v>112147</v>
      </c>
      <c r="AR13" s="4">
        <f ca="1">ROUND(T_Tiktok_ads[[#This Row],[likes]]*RANDBETWEEN(8,12)/10,0)</f>
        <v>19481</v>
      </c>
      <c r="AS13" s="4">
        <f ca="1">ROUND(T_Tiktok_ads[[#This Row],[shares]]*RANDBETWEEN(8,12)/10,0)</f>
        <v>5268</v>
      </c>
      <c r="AT13" s="4">
        <f ca="1">ROUND(T_Tiktok_ads[[#This Row],[comments]]*RANDBETWEEN(8,12)/10,0)</f>
        <v>1547</v>
      </c>
      <c r="AV13" s="5">
        <f t="shared" ca="1" si="3"/>
        <v>45101</v>
      </c>
      <c r="AW13">
        <f t="shared" ca="1" si="4"/>
        <v>3</v>
      </c>
      <c r="AX13">
        <f ca="1">ROUND(T_Facebook_Ads115963677175[[#This Row],[impressions]]*RANDBETWEEN(8,12)/10,0)</f>
        <v>81468</v>
      </c>
      <c r="AY13">
        <f ca="1">ROUND(T_Facebook_Ads115963677175[[#This Row],[clicks]]*RANDBETWEEN(8,12)/10,0)</f>
        <v>281</v>
      </c>
      <c r="AZ13">
        <f ca="1">T_Facebook_Ads115963677175[[#This Row],[spend]]*RANDBETWEEN(8,12)/10</f>
        <v>64.44</v>
      </c>
      <c r="BA13">
        <f ca="1">ROUND(T_Facebook_Ads115963677175[[#This Row],[conversions]]*RANDBETWEEN(8,12)/10,0)</f>
        <v>6</v>
      </c>
      <c r="BB13">
        <f ca="1">ROUND(T_Facebook_Ads115963677175[[#This Row],[video_views]]*RANDBETWEEN(8,12)/10,0)</f>
        <v>50246</v>
      </c>
    </row>
    <row r="14" spans="1:54" ht="15.75" thickBot="1" x14ac:dyDescent="0.3">
      <c r="A14" s="3">
        <f t="shared" ca="1" si="0"/>
        <v>45106</v>
      </c>
      <c r="B14" s="4" t="s">
        <v>52</v>
      </c>
      <c r="C14" s="4" t="s">
        <v>53</v>
      </c>
      <c r="D14" s="4" t="s">
        <v>54</v>
      </c>
      <c r="E14" s="4" t="s">
        <v>55</v>
      </c>
      <c r="F14" s="4">
        <f ca="1">ROUND(T_Facebook_Ads[[#This Row],[impressions]]*RANDBETWEEN(8,12)/10,0)</f>
        <v>42110</v>
      </c>
      <c r="G14" s="4">
        <v>934</v>
      </c>
      <c r="H14" s="4">
        <f ca="1">T_Facebook_Ads[[#This Row],[spend]]*RANDBETWEEN(8,12)/10</f>
        <v>104.96</v>
      </c>
      <c r="I14" s="4">
        <f ca="1">ROUND(T_Facebook_Ads[[#This Row],[conversions]]*RANDBETWEEN(8,12)/10,0)</f>
        <v>16</v>
      </c>
      <c r="J14" s="4">
        <f ca="1">ROUND(T_Facebook_Ads[[#This Row],[video_views]]*RANDBETWEEN(8,12)/10,0)</f>
        <v>6854</v>
      </c>
      <c r="K14" s="4">
        <f ca="1">T_Facebook_Ads[[#This Row],[engagement_rate]]*RANDBETWEEN(8,12)/10</f>
        <v>1.7999999999999999E-2</v>
      </c>
      <c r="L14" s="4">
        <f ca="1">ROUND(T_Facebook_Ads[[#This Row],[reach]]*RANDBETWEEN(8,12)/10,0)</f>
        <v>47081</v>
      </c>
      <c r="M14" s="4">
        <f ca="1">T_Facebook_Ads[[#This Row],[frequency]]*RANDBETWEEN(8,12)/10</f>
        <v>1.4279999999999999</v>
      </c>
      <c r="O14" s="3">
        <f t="shared" ca="1" si="1"/>
        <v>45090</v>
      </c>
      <c r="P14" s="4" t="s">
        <v>76</v>
      </c>
      <c r="Q14" s="4" t="s">
        <v>77</v>
      </c>
      <c r="R14" s="4" t="s">
        <v>78</v>
      </c>
      <c r="S14" s="4" t="s">
        <v>79</v>
      </c>
      <c r="T14" s="4">
        <f ca="1">ROUND(_Google_ads[[#This Row],[impressions]]*RANDBETWEEN(8,12)/10,0)</f>
        <v>26279</v>
      </c>
      <c r="U14" s="4">
        <f ca="1">ROUND(_Google_ads[[#This Row],[clicks]]*RANDBETWEEN(8,12)/10,0)</f>
        <v>1357</v>
      </c>
      <c r="V14" s="4">
        <f ca="1">_Google_ads[[#This Row],[cost]]*RANDBETWEEN(8,12)/10</f>
        <v>187.92000000000002</v>
      </c>
      <c r="W14" s="4">
        <f ca="1">ROUND(_Google_ads[[#This Row],[conversions]]*RANDBETWEEN(8,12)/10,0)</f>
        <v>55</v>
      </c>
      <c r="X14" s="4">
        <f ca="1">ROUND(_Google_ads[[#This Row],[conversion_value]]*RANDBETWEEN(8,12)/10,0)</f>
        <v>2070</v>
      </c>
      <c r="Y14" s="4">
        <f ca="1">_Google_ads[[#This Row],[ctr]]*RANDBETWEEN(8,12)/10</f>
        <v>4.1360000000000001E-2</v>
      </c>
      <c r="Z14" s="4">
        <f ca="1">_Google_ads[[#This Row],[avg_cpc]]*RANDBETWEEN(8,12)/10</f>
        <v>0.19</v>
      </c>
      <c r="AA14" s="4">
        <f ca="1">ROUND(_Google_ads[[#This Row],[quality_score]]*RANDBETWEEN(8,12)/10,0)</f>
        <v>9</v>
      </c>
      <c r="AB14" s="4">
        <f ca="1">_Google_ads[[#This Row],[search_impression_share]]*RANDBETWEEN(8,12)/10</f>
        <v>0.81899999999999995</v>
      </c>
      <c r="AD14" s="3">
        <f t="shared" ca="1" si="2"/>
        <v>45107</v>
      </c>
      <c r="AE14" s="4" t="s">
        <v>100</v>
      </c>
      <c r="AF14" s="4" t="s">
        <v>101</v>
      </c>
      <c r="AG14" s="4" t="s">
        <v>102</v>
      </c>
      <c r="AH14" s="4" t="s">
        <v>103</v>
      </c>
      <c r="AI14" s="4">
        <f ca="1">ROUND(T_Tiktok_ads[[#This Row],[impressions]]*RANDBETWEEN(8,12)/10,0)</f>
        <v>257657</v>
      </c>
      <c r="AJ14" s="4">
        <f ca="1">ROUND(T_Tiktok_ads[[#This Row],[clicks]]*RANDBETWEEN(8,12)/10,0)</f>
        <v>3120</v>
      </c>
      <c r="AK14" s="4">
        <v>460.2</v>
      </c>
      <c r="AL14" s="4">
        <f ca="1">ROUND(T_Tiktok_ads[[#This Row],[conversions]]*RANDBETWEEN(8,12)/10,0)</f>
        <v>28</v>
      </c>
      <c r="AM14" s="4">
        <f ca="1">ROUND(T_Tiktok_ads[[#This Row],[video_views]]*RANDBETWEEN(8,12)/10,0)</f>
        <v>199234</v>
      </c>
      <c r="AN14" s="4">
        <f ca="1">ROUND(T_Tiktok_ads[[#This Row],[video_watch_25]]*RANDBETWEEN(8,12)/10,0)</f>
        <v>172468</v>
      </c>
      <c r="AO14" s="4">
        <f ca="1">ROUND(T_Tiktok_ads[[#This Row],[video_watch_50]]*RANDBETWEEN(8,12)/10,0)</f>
        <v>98789</v>
      </c>
      <c r="AP14" s="4">
        <f ca="1">ROUND(T_Tiktok_ads[[#This Row],[video_watch_75]]*RANDBETWEEN(8,12)/10,0)</f>
        <v>81347</v>
      </c>
      <c r="AQ14" s="4">
        <f ca="1">ROUND(T_Tiktok_ads[[#This Row],[video_watch_100]]*RANDBETWEEN(8,12)/10,0)</f>
        <v>40910</v>
      </c>
      <c r="AR14" s="4">
        <f ca="1">ROUND(T_Tiktok_ads[[#This Row],[likes]]*RANDBETWEEN(8,12)/10,0)</f>
        <v>9840</v>
      </c>
      <c r="AS14" s="4">
        <f ca="1">ROUND(T_Tiktok_ads[[#This Row],[shares]]*RANDBETWEEN(8,12)/10,0)</f>
        <v>2604</v>
      </c>
      <c r="AT14" s="4">
        <f ca="1">ROUND(T_Tiktok_ads[[#This Row],[comments]]*RANDBETWEEN(8,12)/10,0)</f>
        <v>520</v>
      </c>
      <c r="AV14" s="5">
        <f t="shared" ca="1" si="3"/>
        <v>45086</v>
      </c>
      <c r="AW14">
        <f t="shared" ca="1" si="4"/>
        <v>1</v>
      </c>
      <c r="AX14">
        <f ca="1">ROUND(T_Facebook_Ads115963677175[[#This Row],[impressions]]*RANDBETWEEN(8,12)/10,0)</f>
        <v>37899</v>
      </c>
      <c r="AY14">
        <f ca="1">ROUND(T_Facebook_Ads115963677175[[#This Row],[clicks]]*RANDBETWEEN(8,12)/10,0)</f>
        <v>934</v>
      </c>
      <c r="AZ14">
        <f ca="1">T_Facebook_Ads115963677175[[#This Row],[spend]]*RANDBETWEEN(8,12)/10</f>
        <v>94.463999999999999</v>
      </c>
      <c r="BA14">
        <f ca="1">ROUND(T_Facebook_Ads115963677175[[#This Row],[conversions]]*RANDBETWEEN(8,12)/10,0)</f>
        <v>16</v>
      </c>
      <c r="BB14">
        <f ca="1">ROUND(T_Facebook_Ads115963677175[[#This Row],[video_views]]*RANDBETWEEN(8,12)/10,0)</f>
        <v>5483</v>
      </c>
    </row>
    <row r="15" spans="1:54" ht="15.75" thickBot="1" x14ac:dyDescent="0.3">
      <c r="A15" s="3">
        <f t="shared" ca="1" si="0"/>
        <v>45083</v>
      </c>
      <c r="B15" s="4" t="s">
        <v>56</v>
      </c>
      <c r="C15" s="4" t="s">
        <v>57</v>
      </c>
      <c r="D15" s="4" t="s">
        <v>58</v>
      </c>
      <c r="E15" s="4" t="s">
        <v>59</v>
      </c>
      <c r="F15" s="4">
        <f ca="1">ROUND(T_Facebook_Ads[[#This Row],[impressions]]*RANDBETWEEN(8,12)/10,0)</f>
        <v>14179</v>
      </c>
      <c r="G15" s="4">
        <v>567</v>
      </c>
      <c r="H15" s="4">
        <f ca="1">T_Facebook_Ads[[#This Row],[spend]]*RANDBETWEEN(8,12)/10</f>
        <v>264.36</v>
      </c>
      <c r="I15" s="4">
        <f ca="1">ROUND(T_Facebook_Ads[[#This Row],[conversions]]*RANDBETWEEN(8,12)/10,0)</f>
        <v>29</v>
      </c>
      <c r="J15" s="4">
        <f ca="1">ROUND(T_Facebook_Ads[[#This Row],[video_views]]*RANDBETWEEN(8,12)/10,0)</f>
        <v>1480</v>
      </c>
      <c r="K15" s="4">
        <f ca="1">T_Facebook_Ads[[#This Row],[engagement_rate]]*RANDBETWEEN(8,12)/10</f>
        <v>3.5199999999999995E-2</v>
      </c>
      <c r="L15" s="4">
        <f ca="1">ROUND(T_Facebook_Ads[[#This Row],[reach]]*RANDBETWEEN(8,12)/10,0)</f>
        <v>11135</v>
      </c>
      <c r="M15" s="4">
        <f ca="1">T_Facebook_Ads[[#This Row],[frequency]]*RANDBETWEEN(8,12)/10</f>
        <v>1.524</v>
      </c>
      <c r="O15" s="3">
        <f t="shared" ca="1" si="1"/>
        <v>45083</v>
      </c>
      <c r="P15" s="4" t="s">
        <v>80</v>
      </c>
      <c r="Q15" s="4" t="s">
        <v>81</v>
      </c>
      <c r="R15" s="4" t="s">
        <v>82</v>
      </c>
      <c r="S15" s="4" t="s">
        <v>83</v>
      </c>
      <c r="T15" s="4">
        <f ca="1">ROUND(_Google_ads[[#This Row],[impressions]]*RANDBETWEEN(8,12)/10,0)</f>
        <v>55481</v>
      </c>
      <c r="U15" s="4">
        <f ca="1">ROUND(_Google_ads[[#This Row],[clicks]]*RANDBETWEEN(8,12)/10,0)</f>
        <v>730</v>
      </c>
      <c r="V15" s="4">
        <f ca="1">_Google_ads[[#This Row],[cost]]*RANDBETWEEN(8,12)/10</f>
        <v>589.29999999999995</v>
      </c>
      <c r="W15" s="4">
        <f ca="1">ROUND(_Google_ads[[#This Row],[conversions]]*RANDBETWEEN(8,12)/10,0)</f>
        <v>26</v>
      </c>
      <c r="X15" s="4">
        <f ca="1">ROUND(_Google_ads[[#This Row],[conversion_value]]*RANDBETWEEN(8,12)/10,0)</f>
        <v>1440</v>
      </c>
      <c r="Y15" s="4">
        <f ca="1">_Google_ads[[#This Row],[ctr]]*RANDBETWEEN(8,12)/10</f>
        <v>1.7729999999999999E-2</v>
      </c>
      <c r="Z15" s="4">
        <f ca="1">_Google_ads[[#This Row],[avg_cpc]]*RANDBETWEEN(8,12)/10</f>
        <v>0.65</v>
      </c>
      <c r="AA15" s="4">
        <f ca="1">ROUND(_Google_ads[[#This Row],[quality_score]]*RANDBETWEEN(8,12)/10,0)</f>
        <v>6</v>
      </c>
      <c r="AB15" s="4">
        <f ca="1">_Google_ads[[#This Row],[search_impression_share]]*RANDBETWEEN(8,12)/10</f>
        <v>0.45</v>
      </c>
      <c r="AD15" s="3">
        <f t="shared" ca="1" si="2"/>
        <v>45087</v>
      </c>
      <c r="AE15" s="4" t="s">
        <v>104</v>
      </c>
      <c r="AF15" s="4" t="s">
        <v>105</v>
      </c>
      <c r="AG15" s="4" t="s">
        <v>106</v>
      </c>
      <c r="AH15" s="4" t="s">
        <v>107</v>
      </c>
      <c r="AI15" s="4">
        <f ca="1">ROUND(T_Tiktok_ads[[#This Row],[impressions]]*RANDBETWEEN(8,12)/10,0)</f>
        <v>128901</v>
      </c>
      <c r="AJ15" s="4">
        <f ca="1">ROUND(T_Tiktok_ads[[#This Row],[clicks]]*RANDBETWEEN(8,12)/10,0)</f>
        <v>2947</v>
      </c>
      <c r="AK15" s="4">
        <v>689.5</v>
      </c>
      <c r="AL15" s="4">
        <f ca="1">ROUND(T_Tiktok_ads[[#This Row],[conversions]]*RANDBETWEEN(8,12)/10,0)</f>
        <v>54</v>
      </c>
      <c r="AM15" s="4">
        <f ca="1">ROUND(T_Tiktok_ads[[#This Row],[video_views]]*RANDBETWEEN(8,12)/10,0)</f>
        <v>100357</v>
      </c>
      <c r="AN15" s="4">
        <f ca="1">ROUND(T_Tiktok_ads[[#This Row],[video_watch_25]]*RANDBETWEEN(8,12)/10,0)</f>
        <v>81881</v>
      </c>
      <c r="AO15" s="4">
        <f ca="1">ROUND(T_Tiktok_ads[[#This Row],[video_watch_50]]*RANDBETWEEN(8,12)/10,0)</f>
        <v>54947</v>
      </c>
      <c r="AP15" s="4">
        <f ca="1">ROUND(T_Tiktok_ads[[#This Row],[video_watch_75]]*RANDBETWEEN(8,12)/10,0)</f>
        <v>38024</v>
      </c>
      <c r="AQ15" s="4">
        <f ca="1">ROUND(T_Tiktok_ads[[#This Row],[video_watch_100]]*RANDBETWEEN(8,12)/10,0)</f>
        <v>21310</v>
      </c>
      <c r="AR15" s="4">
        <f ca="1">ROUND(T_Tiktok_ads[[#This Row],[likes]]*RANDBETWEEN(8,12)/10,0)</f>
        <v>5614</v>
      </c>
      <c r="AS15" s="4">
        <f ca="1">ROUND(T_Tiktok_ads[[#This Row],[shares]]*RANDBETWEEN(8,12)/10,0)</f>
        <v>1140</v>
      </c>
      <c r="AT15" s="4">
        <f ca="1">ROUND(T_Tiktok_ads[[#This Row],[comments]]*RANDBETWEEN(8,12)/10,0)</f>
        <v>213</v>
      </c>
      <c r="AV15" s="5">
        <f t="shared" ca="1" si="3"/>
        <v>45090</v>
      </c>
      <c r="AW15">
        <f t="shared" ca="1" si="4"/>
        <v>8</v>
      </c>
      <c r="AX15">
        <f ca="1">ROUND(T_Facebook_Ads115963677175[[#This Row],[impressions]]*RANDBETWEEN(8,12)/10,0)</f>
        <v>14179</v>
      </c>
      <c r="AY15">
        <f ca="1">ROUND(T_Facebook_Ads115963677175[[#This Row],[clicks]]*RANDBETWEEN(8,12)/10,0)</f>
        <v>624</v>
      </c>
      <c r="AZ15">
        <f ca="1">T_Facebook_Ads115963677175[[#This Row],[spend]]*RANDBETWEEN(8,12)/10</f>
        <v>237.92400000000004</v>
      </c>
      <c r="BA15">
        <f ca="1">ROUND(T_Facebook_Ads115963677175[[#This Row],[conversions]]*RANDBETWEEN(8,12)/10,0)</f>
        <v>29</v>
      </c>
      <c r="BB15">
        <f ca="1">ROUND(T_Facebook_Ads115963677175[[#This Row],[video_views]]*RANDBETWEEN(8,12)/10,0)</f>
        <v>1776</v>
      </c>
    </row>
    <row r="16" spans="1:54" ht="15.75" thickBot="1" x14ac:dyDescent="0.3">
      <c r="A16" s="3">
        <f t="shared" ca="1" si="0"/>
        <v>45080</v>
      </c>
      <c r="B16" s="4" t="s">
        <v>64</v>
      </c>
      <c r="C16" s="4" t="s">
        <v>65</v>
      </c>
      <c r="D16" s="4" t="s">
        <v>66</v>
      </c>
      <c r="E16" s="4" t="s">
        <v>67</v>
      </c>
      <c r="F16" s="4">
        <f ca="1">ROUND(T_Facebook_Ads[[#This Row],[impressions]]*RANDBETWEEN(8,12)/10,0)</f>
        <v>56987</v>
      </c>
      <c r="G16" s="4">
        <v>256</v>
      </c>
      <c r="H16" s="4">
        <f ca="1">T_Facebook_Ads[[#This Row],[spend]]*RANDBETWEEN(8,12)/10</f>
        <v>113.75999999999999</v>
      </c>
      <c r="I16" s="4">
        <f ca="1">ROUND(T_Facebook_Ads[[#This Row],[conversions]]*RANDBETWEEN(8,12)/10,0)</f>
        <v>5</v>
      </c>
      <c r="J16" s="4">
        <f ca="1">ROUND(T_Facebook_Ads[[#This Row],[video_views]]*RANDBETWEEN(8,12)/10,0)</f>
        <v>58681</v>
      </c>
      <c r="K16" s="4">
        <f ca="1">T_Facebook_Ads[[#This Row],[engagement_rate]]*RANDBETWEEN(8,12)/10</f>
        <v>4.3200000000000001E-3</v>
      </c>
      <c r="L16" s="4">
        <f ca="1">ROUND(T_Facebook_Ads[[#This Row],[reach]]*RANDBETWEEN(8,12)/10,0)</f>
        <v>59234</v>
      </c>
      <c r="M16" s="4">
        <f ca="1">T_Facebook_Ads[[#This Row],[frequency]]*RANDBETWEEN(8,12)/10</f>
        <v>1.0799999999999998</v>
      </c>
      <c r="O16" s="3">
        <f t="shared" ca="1" si="1"/>
        <v>45094</v>
      </c>
      <c r="P16" s="4" t="s">
        <v>88</v>
      </c>
      <c r="Q16" s="4" t="s">
        <v>89</v>
      </c>
      <c r="R16" s="4" t="s">
        <v>90</v>
      </c>
      <c r="S16" s="4" t="s">
        <v>59</v>
      </c>
      <c r="T16" s="4">
        <f ca="1">ROUND(_Google_ads[[#This Row],[impressions]]*RANDBETWEEN(8,12)/10,0)</f>
        <v>103121</v>
      </c>
      <c r="U16" s="4">
        <f ca="1">ROUND(_Google_ads[[#This Row],[clicks]]*RANDBETWEEN(8,12)/10,0)</f>
        <v>514</v>
      </c>
      <c r="V16" s="4">
        <f ca="1">_Google_ads[[#This Row],[cost]]*RANDBETWEEN(8,12)/10</f>
        <v>116.01000000000002</v>
      </c>
      <c r="W16" s="4">
        <f ca="1">ROUND(_Google_ads[[#This Row],[conversions]]*RANDBETWEEN(8,12)/10,0)</f>
        <v>16</v>
      </c>
      <c r="X16" s="4">
        <f ca="1">ROUND(_Google_ads[[#This Row],[conversion_value]]*RANDBETWEEN(8,12)/10,0)</f>
        <v>650</v>
      </c>
      <c r="Y16" s="4">
        <f ca="1">_Google_ads[[#This Row],[ctr]]*RANDBETWEEN(8,12)/10</f>
        <v>3.5999999999999999E-3</v>
      </c>
      <c r="Z16" s="4">
        <f ca="1">_Google_ads[[#This Row],[avg_cpc]]*RANDBETWEEN(8,12)/10</f>
        <v>0.28000000000000003</v>
      </c>
      <c r="AA16" s="4">
        <f ca="1">ROUND(_Google_ads[[#This Row],[quality_score]]*RANDBETWEEN(8,12)/10,0)</f>
        <v>8</v>
      </c>
      <c r="AB16" s="4">
        <f ca="1">_Google_ads[[#This Row],[search_impression_share]]*RANDBETWEEN(8,12)/10</f>
        <v>0.27200000000000002</v>
      </c>
      <c r="AD16" s="3">
        <f t="shared" ca="1" si="2"/>
        <v>45090</v>
      </c>
      <c r="AE16" s="4" t="s">
        <v>112</v>
      </c>
      <c r="AF16" s="4" t="s">
        <v>113</v>
      </c>
      <c r="AG16" s="4" t="s">
        <v>114</v>
      </c>
      <c r="AH16" s="4" t="s">
        <v>115</v>
      </c>
      <c r="AI16" s="4">
        <f ca="1">ROUND(T_Tiktok_ads[[#This Row],[impressions]]*RANDBETWEEN(8,12)/10,0)</f>
        <v>285431</v>
      </c>
      <c r="AJ16" s="4">
        <f ca="1">ROUND(T_Tiktok_ads[[#This Row],[clicks]]*RANDBETWEEN(8,12)/10,0)</f>
        <v>7001</v>
      </c>
      <c r="AK16" s="4">
        <v>901.2</v>
      </c>
      <c r="AL16" s="4">
        <f ca="1">ROUND(T_Tiktok_ads[[#This Row],[conversions]]*RANDBETWEEN(8,12)/10,0)</f>
        <v>82</v>
      </c>
      <c r="AM16" s="4">
        <f ca="1">ROUND(T_Tiktok_ads[[#This Row],[video_views]]*RANDBETWEEN(8,12)/10,0)</f>
        <v>234765</v>
      </c>
      <c r="AN16" s="4">
        <f ca="1">ROUND(T_Tiktok_ads[[#This Row],[video_watch_25]]*RANDBETWEEN(8,12)/10,0)</f>
        <v>239234</v>
      </c>
      <c r="AO16" s="4">
        <f ca="1">ROUND(T_Tiktok_ads[[#This Row],[video_watch_50]]*RANDBETWEEN(8,12)/10,0)</f>
        <v>210357</v>
      </c>
      <c r="AP16" s="4">
        <f ca="1">ROUND(T_Tiktok_ads[[#This Row],[video_watch_75]]*RANDBETWEEN(8,12)/10,0)</f>
        <v>163481</v>
      </c>
      <c r="AQ16" s="4">
        <f ca="1">ROUND(T_Tiktok_ads[[#This Row],[video_watch_100]]*RANDBETWEEN(8,12)/10,0)</f>
        <v>81211</v>
      </c>
      <c r="AR16" s="4">
        <f ca="1">ROUND(T_Tiktok_ads[[#This Row],[likes]]*RANDBETWEEN(8,12)/10,0)</f>
        <v>15890</v>
      </c>
      <c r="AS16" s="4">
        <f ca="1">ROUND(T_Tiktok_ads[[#This Row],[shares]]*RANDBETWEEN(8,12)/10,0)</f>
        <v>5561</v>
      </c>
      <c r="AT16" s="4">
        <f ca="1">ROUND(T_Tiktok_ads[[#This Row],[comments]]*RANDBETWEEN(8,12)/10,0)</f>
        <v>1256</v>
      </c>
      <c r="AV16" s="5">
        <f t="shared" ca="1" si="3"/>
        <v>45100</v>
      </c>
      <c r="AW16">
        <f t="shared" ca="1" si="4"/>
        <v>1</v>
      </c>
      <c r="AX16">
        <f ca="1">ROUND(T_Facebook_Ads115963677175[[#This Row],[impressions]]*RANDBETWEEN(8,12)/10,0)</f>
        <v>68384</v>
      </c>
      <c r="AY16">
        <f ca="1">ROUND(T_Facebook_Ads115963677175[[#This Row],[clicks]]*RANDBETWEEN(8,12)/10,0)</f>
        <v>282</v>
      </c>
      <c r="AZ16">
        <f ca="1">T_Facebook_Ads115963677175[[#This Row],[spend]]*RANDBETWEEN(8,12)/10</f>
        <v>136.512</v>
      </c>
      <c r="BA16">
        <f ca="1">ROUND(T_Facebook_Ads115963677175[[#This Row],[conversions]]*RANDBETWEEN(8,12)/10,0)</f>
        <v>4</v>
      </c>
      <c r="BB16">
        <f ca="1">ROUND(T_Facebook_Ads115963677175[[#This Row],[video_views]]*RANDBETWEEN(8,12)/10,0)</f>
        <v>52813</v>
      </c>
    </row>
    <row r="17" spans="1:54" ht="15.75" thickBot="1" x14ac:dyDescent="0.3">
      <c r="A17" s="3">
        <f t="shared" ca="1" si="0"/>
        <v>45101</v>
      </c>
      <c r="B17" s="4" t="s">
        <v>52</v>
      </c>
      <c r="C17" s="4" t="s">
        <v>53</v>
      </c>
      <c r="D17" s="4" t="s">
        <v>54</v>
      </c>
      <c r="E17" s="4" t="s">
        <v>55</v>
      </c>
      <c r="F17" s="4">
        <f ca="1">ROUND(T_Facebook_Ads[[#This Row],[impressions]]*RANDBETWEEN(8,12)/10,0)</f>
        <v>44567</v>
      </c>
      <c r="G17" s="4">
        <v>878</v>
      </c>
      <c r="H17" s="4">
        <f ca="1">T_Facebook_Ads[[#This Row],[spend]]*RANDBETWEEN(8,12)/10</f>
        <v>125.6</v>
      </c>
      <c r="I17" s="4">
        <f ca="1">ROUND(T_Facebook_Ads[[#This Row],[conversions]]*RANDBETWEEN(8,12)/10,0)</f>
        <v>12</v>
      </c>
      <c r="J17" s="4">
        <f ca="1">ROUND(T_Facebook_Ads[[#This Row],[video_views]]*RANDBETWEEN(8,12)/10,0)</f>
        <v>9748</v>
      </c>
      <c r="K17" s="4">
        <f ca="1">T_Facebook_Ads[[#This Row],[engagement_rate]]*RANDBETWEEN(8,12)/10</f>
        <v>2.3640000000000001E-2</v>
      </c>
      <c r="L17" s="4">
        <f ca="1">ROUND(T_Facebook_Ads[[#This Row],[reach]]*RANDBETWEEN(8,12)/10,0)</f>
        <v>33710</v>
      </c>
      <c r="M17" s="4">
        <f ca="1">T_Facebook_Ads[[#This Row],[frequency]]*RANDBETWEEN(8,12)/10</f>
        <v>0.95199999999999996</v>
      </c>
      <c r="O17" s="3">
        <f t="shared" ca="1" si="1"/>
        <v>45097</v>
      </c>
      <c r="P17" s="4" t="s">
        <v>76</v>
      </c>
      <c r="Q17" s="4" t="s">
        <v>77</v>
      </c>
      <c r="R17" s="4" t="s">
        <v>78</v>
      </c>
      <c r="S17" s="4" t="s">
        <v>79</v>
      </c>
      <c r="T17" s="4">
        <f ca="1">ROUND(_Google_ads[[#This Row],[impressions]]*RANDBETWEEN(8,12)/10,0)</f>
        <v>29081</v>
      </c>
      <c r="U17" s="4">
        <f ca="1">ROUND(_Google_ads[[#This Row],[clicks]]*RANDBETWEEN(8,12)/10,0)</f>
        <v>1267</v>
      </c>
      <c r="V17" s="4">
        <f ca="1">_Google_ads[[#This Row],[cost]]*RANDBETWEEN(8,12)/10</f>
        <v>265.32</v>
      </c>
      <c r="W17" s="4">
        <f ca="1">ROUND(_Google_ads[[#This Row],[conversions]]*RANDBETWEEN(8,12)/10,0)</f>
        <v>52</v>
      </c>
      <c r="X17" s="4">
        <f ca="1">ROUND(_Google_ads[[#This Row],[conversion_value]]*RANDBETWEEN(8,12)/10,0)</f>
        <v>1880</v>
      </c>
      <c r="Y17" s="4">
        <f ca="1">_Google_ads[[#This Row],[ctr]]*RANDBETWEEN(8,12)/10</f>
        <v>5.7530000000000005E-2</v>
      </c>
      <c r="Z17" s="4">
        <f ca="1">_Google_ads[[#This Row],[avg_cpc]]*RANDBETWEEN(8,12)/10</f>
        <v>0.22800000000000004</v>
      </c>
      <c r="AA17" s="4">
        <f ca="1">ROUND(_Google_ads[[#This Row],[quality_score]]*RANDBETWEEN(8,12)/10,0)</f>
        <v>10</v>
      </c>
      <c r="AB17" s="4">
        <f ca="1">_Google_ads[[#This Row],[search_impression_share]]*RANDBETWEEN(8,12)/10</f>
        <v>1.012</v>
      </c>
      <c r="AD17" s="3">
        <f t="shared" ca="1" si="2"/>
        <v>45097</v>
      </c>
      <c r="AE17" s="4" t="s">
        <v>100</v>
      </c>
      <c r="AF17" s="4" t="s">
        <v>101</v>
      </c>
      <c r="AG17" s="4" t="s">
        <v>102</v>
      </c>
      <c r="AH17" s="4" t="s">
        <v>103</v>
      </c>
      <c r="AI17" s="4">
        <f ca="1">ROUND(T_Tiktok_ads[[#This Row],[impressions]]*RANDBETWEEN(8,12)/10,0)</f>
        <v>241101</v>
      </c>
      <c r="AJ17" s="4">
        <f ca="1">ROUND(T_Tiktok_ads[[#This Row],[clicks]]*RANDBETWEEN(8,12)/10,0)</f>
        <v>3156</v>
      </c>
      <c r="AK17" s="4">
        <v>523.4</v>
      </c>
      <c r="AL17" s="4">
        <f ca="1">ROUND(T_Tiktok_ads[[#This Row],[conversions]]*RANDBETWEEN(8,12)/10,0)</f>
        <v>32</v>
      </c>
      <c r="AM17" s="4">
        <f ca="1">ROUND(T_Tiktok_ads[[#This Row],[video_views]]*RANDBETWEEN(8,12)/10,0)</f>
        <v>199111</v>
      </c>
      <c r="AN17" s="4">
        <f ca="1">ROUND(T_Tiktok_ads[[#This Row],[video_watch_25]]*RANDBETWEEN(8,12)/10,0)</f>
        <v>173456</v>
      </c>
      <c r="AO17" s="4">
        <f ca="1">ROUND(T_Tiktok_ads[[#This Row],[video_watch_50]]*RANDBETWEEN(8,12)/10,0)</f>
        <v>87387</v>
      </c>
      <c r="AP17" s="4">
        <f ca="1">ROUND(T_Tiktok_ads[[#This Row],[video_watch_75]]*RANDBETWEEN(8,12)/10,0)</f>
        <v>58854</v>
      </c>
      <c r="AQ17" s="4">
        <f ca="1">ROUND(T_Tiktok_ads[[#This Row],[video_watch_100]]*RANDBETWEEN(8,12)/10,0)</f>
        <v>59081</v>
      </c>
      <c r="AR17" s="4">
        <f ca="1">ROUND(T_Tiktok_ads[[#This Row],[likes]]*RANDBETWEEN(8,12)/10,0)</f>
        <v>9789</v>
      </c>
      <c r="AS17" s="4">
        <f ca="1">ROUND(T_Tiktok_ads[[#This Row],[shares]]*RANDBETWEEN(8,12)/10,0)</f>
        <v>2897</v>
      </c>
      <c r="AT17" s="4">
        <f ca="1">ROUND(T_Tiktok_ads[[#This Row],[comments]]*RANDBETWEEN(8,12)/10,0)</f>
        <v>498</v>
      </c>
      <c r="AV17" s="5">
        <f t="shared" ca="1" si="3"/>
        <v>45100</v>
      </c>
      <c r="AW17">
        <f t="shared" ca="1" si="4"/>
        <v>6</v>
      </c>
      <c r="AX17">
        <f ca="1">ROUND(T_Facebook_Ads115963677175[[#This Row],[impressions]]*RANDBETWEEN(8,12)/10,0)</f>
        <v>53480</v>
      </c>
      <c r="AY17">
        <f ca="1">ROUND(T_Facebook_Ads115963677175[[#This Row],[clicks]]*RANDBETWEEN(8,12)/10,0)</f>
        <v>1054</v>
      </c>
      <c r="AZ17">
        <f ca="1">T_Facebook_Ads115963677175[[#This Row],[spend]]*RANDBETWEEN(8,12)/10</f>
        <v>113.03999999999999</v>
      </c>
      <c r="BA17">
        <f ca="1">ROUND(T_Facebook_Ads115963677175[[#This Row],[conversions]]*RANDBETWEEN(8,12)/10,0)</f>
        <v>14</v>
      </c>
      <c r="BB17">
        <f ca="1">ROUND(T_Facebook_Ads115963677175[[#This Row],[video_views]]*RANDBETWEEN(8,12)/10,0)</f>
        <v>8773</v>
      </c>
    </row>
    <row r="18" spans="1:54" ht="15.75" thickBot="1" x14ac:dyDescent="0.3">
      <c r="A18" s="3">
        <f t="shared" ca="1" si="0"/>
        <v>45099</v>
      </c>
      <c r="B18" s="4" t="s">
        <v>60</v>
      </c>
      <c r="C18" s="4" t="s">
        <v>61</v>
      </c>
      <c r="D18" s="4" t="s">
        <v>62</v>
      </c>
      <c r="E18" s="4" t="s">
        <v>63</v>
      </c>
      <c r="F18" s="4">
        <f ca="1">ROUND(T_Facebook_Ads[[#This Row],[impressions]]*RANDBETWEEN(8,12)/10,0)</f>
        <v>28542</v>
      </c>
      <c r="G18" s="4">
        <v>1289</v>
      </c>
      <c r="H18" s="4">
        <f ca="1">T_Facebook_Ads[[#This Row],[spend]]*RANDBETWEEN(8,12)/10</f>
        <v>195.6</v>
      </c>
      <c r="I18" s="4">
        <f ca="1">ROUND(T_Facebook_Ads[[#This Row],[conversions]]*RANDBETWEEN(8,12)/10,0)</f>
        <v>26</v>
      </c>
      <c r="J18" s="4">
        <f ca="1">ROUND(T_Facebook_Ads[[#This Row],[video_views]]*RANDBETWEEN(8,12)/10,0)</f>
        <v>5146</v>
      </c>
      <c r="K18" s="4">
        <f ca="1">T_Facebook_Ads[[#This Row],[engagement_rate]]*RANDBETWEEN(8,12)/10</f>
        <v>3.61E-2</v>
      </c>
      <c r="L18" s="4">
        <f ca="1">ROUND(T_Facebook_Ads[[#This Row],[reach]]*RANDBETWEEN(8,12)/10,0)</f>
        <v>29345</v>
      </c>
      <c r="M18" s="4">
        <f ca="1">T_Facebook_Ads[[#This Row],[frequency]]*RANDBETWEEN(8,12)/10</f>
        <v>1.0980000000000001</v>
      </c>
      <c r="O18" s="3">
        <f t="shared" ca="1" si="1"/>
        <v>45090</v>
      </c>
      <c r="P18" s="4" t="s">
        <v>84</v>
      </c>
      <c r="Q18" s="4" t="s">
        <v>85</v>
      </c>
      <c r="R18" s="4" t="s">
        <v>86</v>
      </c>
      <c r="S18" s="4" t="s">
        <v>87</v>
      </c>
      <c r="T18" s="4">
        <f ca="1">ROUND(_Google_ads[[#This Row],[impressions]]*RANDBETWEEN(8,12)/10,0)</f>
        <v>72345</v>
      </c>
      <c r="U18" s="4">
        <f ca="1">ROUND(_Google_ads[[#This Row],[clicks]]*RANDBETWEEN(8,12)/10,0)</f>
        <v>2616</v>
      </c>
      <c r="V18" s="4">
        <f ca="1">_Google_ads[[#This Row],[cost]]*RANDBETWEEN(8,12)/10</f>
        <v>346.32</v>
      </c>
      <c r="W18" s="4">
        <f ca="1">ROUND(_Google_ads[[#This Row],[conversions]]*RANDBETWEEN(8,12)/10,0)</f>
        <v>69</v>
      </c>
      <c r="X18" s="4">
        <f ca="1">ROUND(_Google_ads[[#This Row],[conversion_value]]*RANDBETWEEN(8,12)/10,0)</f>
        <v>3450</v>
      </c>
      <c r="Y18" s="4">
        <f ca="1">_Google_ads[[#This Row],[ctr]]*RANDBETWEEN(8,12)/10</f>
        <v>3.9480000000000001E-2</v>
      </c>
      <c r="Z18" s="4">
        <f ca="1">_Google_ads[[#This Row],[avg_cpc]]*RANDBETWEEN(8,12)/10</f>
        <v>0.16199999999999998</v>
      </c>
      <c r="AA18" s="4">
        <f ca="1">ROUND(_Google_ads[[#This Row],[quality_score]]*RANDBETWEEN(8,12)/10,0)</f>
        <v>7</v>
      </c>
      <c r="AB18" s="4">
        <f ca="1">_Google_ads[[#This Row],[search_impression_share]]*RANDBETWEEN(8,12)/10</f>
        <v>0.73699999999999999</v>
      </c>
      <c r="AD18" s="3">
        <f t="shared" ca="1" si="2"/>
        <v>45078</v>
      </c>
      <c r="AE18" s="4" t="s">
        <v>108</v>
      </c>
      <c r="AF18" s="4" t="s">
        <v>109</v>
      </c>
      <c r="AG18" s="4" t="s">
        <v>110</v>
      </c>
      <c r="AH18" s="4" t="s">
        <v>111</v>
      </c>
      <c r="AI18" s="4">
        <f ca="1">ROUND(T_Tiktok_ads[[#This Row],[impressions]]*RANDBETWEEN(8,12)/10,0)</f>
        <v>226246</v>
      </c>
      <c r="AJ18" s="4">
        <f ca="1">ROUND(T_Tiktok_ads[[#This Row],[clicks]]*RANDBETWEEN(8,12)/10,0)</f>
        <v>3881</v>
      </c>
      <c r="AK18" s="4">
        <v>387.8</v>
      </c>
      <c r="AL18" s="4">
        <f ca="1">ROUND(T_Tiktok_ads[[#This Row],[conversions]]*RANDBETWEEN(8,12)/10,0)</f>
        <v>22</v>
      </c>
      <c r="AM18" s="4">
        <f ca="1">ROUND(T_Tiktok_ads[[#This Row],[video_views]]*RANDBETWEEN(8,12)/10,0)</f>
        <v>162345</v>
      </c>
      <c r="AN18" s="4">
        <f ca="1">ROUND(T_Tiktok_ads[[#This Row],[video_watch_25]]*RANDBETWEEN(8,12)/10,0)</f>
        <v>124567</v>
      </c>
      <c r="AO18" s="4">
        <f ca="1">ROUND(T_Tiktok_ads[[#This Row],[video_watch_50]]*RANDBETWEEN(8,12)/10,0)</f>
        <v>79121</v>
      </c>
      <c r="AP18" s="4">
        <f ca="1">ROUND(T_Tiktok_ads[[#This Row],[video_watch_75]]*RANDBETWEEN(8,12)/10,0)</f>
        <v>63234</v>
      </c>
      <c r="AQ18" s="4">
        <f ca="1">ROUND(T_Tiktok_ads[[#This Row],[video_watch_100]]*RANDBETWEEN(8,12)/10,0)</f>
        <v>30587</v>
      </c>
      <c r="AR18" s="4">
        <f ca="1">ROUND(T_Tiktok_ads[[#This Row],[likes]]*RANDBETWEEN(8,12)/10,0)</f>
        <v>7567</v>
      </c>
      <c r="AS18" s="4">
        <f ca="1">ROUND(T_Tiktok_ads[[#This Row],[shares]]*RANDBETWEEN(8,12)/10,0)</f>
        <v>1671</v>
      </c>
      <c r="AT18" s="4">
        <f ca="1">ROUND(T_Tiktok_ads[[#This Row],[comments]]*RANDBETWEEN(8,12)/10,0)</f>
        <v>551</v>
      </c>
      <c r="AV18" s="5">
        <f t="shared" ca="1" si="3"/>
        <v>45104</v>
      </c>
      <c r="AW18">
        <f t="shared" ca="1" si="4"/>
        <v>4</v>
      </c>
      <c r="AX18">
        <f ca="1">ROUND(T_Facebook_Ads115963677175[[#This Row],[impressions]]*RANDBETWEEN(8,12)/10,0)</f>
        <v>28542</v>
      </c>
      <c r="AY18">
        <f ca="1">ROUND(T_Facebook_Ads115963677175[[#This Row],[clicks]]*RANDBETWEEN(8,12)/10,0)</f>
        <v>1547</v>
      </c>
      <c r="AZ18">
        <f ca="1">T_Facebook_Ads115963677175[[#This Row],[spend]]*RANDBETWEEN(8,12)/10</f>
        <v>195.6</v>
      </c>
      <c r="BA18">
        <f ca="1">ROUND(T_Facebook_Ads115963677175[[#This Row],[conversions]]*RANDBETWEEN(8,12)/10,0)</f>
        <v>21</v>
      </c>
      <c r="BB18">
        <f ca="1">ROUND(T_Facebook_Ads115963677175[[#This Row],[video_views]]*RANDBETWEEN(8,12)/10,0)</f>
        <v>6175</v>
      </c>
    </row>
    <row r="19" spans="1:54" ht="15.75" thickBot="1" x14ac:dyDescent="0.3">
      <c r="A19" s="3">
        <f t="shared" ca="1" si="0"/>
        <v>45087</v>
      </c>
      <c r="B19" s="4" t="s">
        <v>64</v>
      </c>
      <c r="C19" s="4" t="s">
        <v>65</v>
      </c>
      <c r="D19" s="4" t="s">
        <v>66</v>
      </c>
      <c r="E19" s="4" t="s">
        <v>67</v>
      </c>
      <c r="F19" s="4">
        <f ca="1">ROUND(T_Facebook_Ads[[#This Row],[impressions]]*RANDBETWEEN(8,12)/10,0)</f>
        <v>62510</v>
      </c>
      <c r="G19" s="4">
        <v>245</v>
      </c>
      <c r="H19" s="4">
        <f ca="1">T_Facebook_Ads[[#This Row],[spend]]*RANDBETWEEN(8,12)/10</f>
        <v>100.32000000000001</v>
      </c>
      <c r="I19" s="4">
        <f ca="1">ROUND(T_Facebook_Ads[[#This Row],[conversions]]*RANDBETWEEN(8,12)/10,0)</f>
        <v>6</v>
      </c>
      <c r="J19" s="4">
        <f ca="1">ROUND(T_Facebook_Ads[[#This Row],[video_views]]*RANDBETWEEN(8,12)/10,0)</f>
        <v>51957</v>
      </c>
      <c r="K19" s="4">
        <f ca="1">T_Facebook_Ads[[#This Row],[engagement_rate]]*RANDBETWEEN(8,12)/10</f>
        <v>3.15E-3</v>
      </c>
      <c r="L19" s="4">
        <f ca="1">ROUND(T_Facebook_Ads[[#This Row],[reach]]*RANDBETWEEN(8,12)/10,0)</f>
        <v>46312</v>
      </c>
      <c r="M19" s="4">
        <f ca="1">T_Facebook_Ads[[#This Row],[frequency]]*RANDBETWEEN(8,12)/10</f>
        <v>1.0799999999999998</v>
      </c>
      <c r="O19" s="3">
        <f t="shared" ca="1" si="1"/>
        <v>45100</v>
      </c>
      <c r="P19" s="4" t="s">
        <v>88</v>
      </c>
      <c r="Q19" s="4" t="s">
        <v>89</v>
      </c>
      <c r="R19" s="4" t="s">
        <v>90</v>
      </c>
      <c r="S19" s="4" t="s">
        <v>59</v>
      </c>
      <c r="T19" s="4">
        <f ca="1">ROUND(_Google_ads[[#This Row],[impressions]]*RANDBETWEEN(8,12)/10,0)</f>
        <v>104987</v>
      </c>
      <c r="U19" s="4">
        <f ca="1">ROUND(_Google_ads[[#This Row],[clicks]]*RANDBETWEEN(8,12)/10,0)</f>
        <v>526</v>
      </c>
      <c r="V19" s="4">
        <f ca="1">_Google_ads[[#This Row],[cost]]*RANDBETWEEN(8,12)/10</f>
        <v>105.92</v>
      </c>
      <c r="W19" s="4">
        <f ca="1">ROUND(_Google_ads[[#This Row],[conversions]]*RANDBETWEEN(8,12)/10,0)</f>
        <v>13</v>
      </c>
      <c r="X19" s="4">
        <f ca="1">ROUND(_Google_ads[[#This Row],[conversion_value]]*RANDBETWEEN(8,12)/10,0)</f>
        <v>585</v>
      </c>
      <c r="Y19" s="4">
        <f ca="1">_Google_ads[[#This Row],[ctr]]*RANDBETWEEN(8,12)/10</f>
        <v>2.8799999999999997E-3</v>
      </c>
      <c r="Z19" s="4">
        <f ca="1">_Google_ads[[#This Row],[avg_cpc]]*RANDBETWEEN(8,12)/10</f>
        <v>0.308</v>
      </c>
      <c r="AA19" s="4">
        <f ca="1">ROUND(_Google_ads[[#This Row],[quality_score]]*RANDBETWEEN(8,12)/10,0)</f>
        <v>6</v>
      </c>
      <c r="AB19" s="4">
        <f ca="1">_Google_ads[[#This Row],[search_impression_share]]*RANDBETWEEN(8,12)/10</f>
        <v>0.35</v>
      </c>
      <c r="AD19" s="3">
        <f t="shared" ca="1" si="2"/>
        <v>45083</v>
      </c>
      <c r="AE19" s="4" t="s">
        <v>112</v>
      </c>
      <c r="AF19" s="4" t="s">
        <v>113</v>
      </c>
      <c r="AG19" s="4" t="s">
        <v>114</v>
      </c>
      <c r="AH19" s="4" t="s">
        <v>115</v>
      </c>
      <c r="AI19" s="4">
        <f ca="1">ROUND(T_Tiktok_ads[[#This Row],[impressions]]*RANDBETWEEN(8,12)/10,0)</f>
        <v>416791</v>
      </c>
      <c r="AJ19" s="4">
        <f ca="1">ROUND(T_Tiktok_ads[[#This Row],[clicks]]*RANDBETWEEN(8,12)/10,0)</f>
        <v>7348</v>
      </c>
      <c r="AK19" s="4">
        <v>945.6</v>
      </c>
      <c r="AL19" s="4">
        <f ca="1">ROUND(T_Tiktok_ads[[#This Row],[conversions]]*RANDBETWEEN(8,12)/10,0)</f>
        <v>86</v>
      </c>
      <c r="AM19" s="4">
        <f ca="1">ROUND(T_Tiktok_ads[[#This Row],[video_views]]*RANDBETWEEN(8,12)/10,0)</f>
        <v>312345</v>
      </c>
      <c r="AN19" s="4">
        <f ca="1">ROUND(T_Tiktok_ads[[#This Row],[video_watch_25]]*RANDBETWEEN(8,12)/10,0)</f>
        <v>276357</v>
      </c>
      <c r="AO19" s="4">
        <f ca="1">ROUND(T_Tiktok_ads[[#This Row],[video_watch_50]]*RANDBETWEEN(8,12)/10,0)</f>
        <v>241481</v>
      </c>
      <c r="AP19" s="4">
        <f ca="1">ROUND(T_Tiktok_ads[[#This Row],[video_watch_75]]*RANDBETWEEN(8,12)/10,0)</f>
        <v>114765</v>
      </c>
      <c r="AQ19" s="4">
        <f ca="1">ROUND(T_Tiktok_ads[[#This Row],[video_watch_100]]*RANDBETWEEN(8,12)/10,0)</f>
        <v>95234</v>
      </c>
      <c r="AR19" s="4">
        <f ca="1">ROUND(T_Tiktok_ads[[#This Row],[likes]]*RANDBETWEEN(8,12)/10,0)</f>
        <v>16567</v>
      </c>
      <c r="AS19" s="4">
        <f ca="1">ROUND(T_Tiktok_ads[[#This Row],[shares]]*RANDBETWEEN(8,12)/10,0)</f>
        <v>5305</v>
      </c>
      <c r="AT19" s="4">
        <f ca="1">ROUND(T_Tiktok_ads[[#This Row],[comments]]*RANDBETWEEN(8,12)/10,0)</f>
        <v>1574</v>
      </c>
      <c r="AV19" s="5">
        <f t="shared" ca="1" si="3"/>
        <v>45103</v>
      </c>
      <c r="AW19">
        <f t="shared" ca="1" si="4"/>
        <v>6</v>
      </c>
      <c r="AX19">
        <f ca="1">ROUND(T_Facebook_Ads115963677175[[#This Row],[impressions]]*RANDBETWEEN(8,12)/10,0)</f>
        <v>68761</v>
      </c>
      <c r="AY19">
        <f ca="1">ROUND(T_Facebook_Ads115963677175[[#This Row],[clicks]]*RANDBETWEEN(8,12)/10,0)</f>
        <v>245</v>
      </c>
      <c r="AZ19">
        <f ca="1">T_Facebook_Ads115963677175[[#This Row],[spend]]*RANDBETWEEN(8,12)/10</f>
        <v>120.38400000000001</v>
      </c>
      <c r="BA19">
        <f ca="1">ROUND(T_Facebook_Ads115963677175[[#This Row],[conversions]]*RANDBETWEEN(8,12)/10,0)</f>
        <v>5</v>
      </c>
      <c r="BB19">
        <f ca="1">ROUND(T_Facebook_Ads115963677175[[#This Row],[video_views]]*RANDBETWEEN(8,12)/10,0)</f>
        <v>51957</v>
      </c>
    </row>
    <row r="20" spans="1:54" ht="15.75" thickBot="1" x14ac:dyDescent="0.3">
      <c r="A20" s="3">
        <f t="shared" ca="1" si="0"/>
        <v>45099</v>
      </c>
      <c r="B20" s="4" t="s">
        <v>52</v>
      </c>
      <c r="C20" s="4" t="s">
        <v>53</v>
      </c>
      <c r="D20" s="4" t="s">
        <v>54</v>
      </c>
      <c r="E20" s="4" t="s">
        <v>55</v>
      </c>
      <c r="F20" s="4">
        <f ca="1">ROUND(T_Facebook_Ads[[#This Row],[impressions]]*RANDBETWEEN(8,12)/10,0)</f>
        <v>44888</v>
      </c>
      <c r="G20" s="4">
        <v>1067</v>
      </c>
      <c r="H20" s="4">
        <f ca="1">T_Facebook_Ads[[#This Row],[spend]]*RANDBETWEEN(8,12)/10</f>
        <v>145.9</v>
      </c>
      <c r="I20" s="4">
        <f ca="1">ROUND(T_Facebook_Ads[[#This Row],[conversions]]*RANDBETWEEN(8,12)/10,0)</f>
        <v>16</v>
      </c>
      <c r="J20" s="4">
        <f ca="1">ROUND(T_Facebook_Ads[[#This Row],[video_views]]*RANDBETWEEN(8,12)/10,0)</f>
        <v>8610</v>
      </c>
      <c r="K20" s="4">
        <f ca="1">T_Facebook_Ads[[#This Row],[engagement_rate]]*RANDBETWEEN(8,12)/10</f>
        <v>2.3539999999999998E-2</v>
      </c>
      <c r="L20" s="4">
        <f ca="1">ROUND(T_Facebook_Ads[[#This Row],[reach]]*RANDBETWEEN(8,12)/10,0)</f>
        <v>37111</v>
      </c>
      <c r="M20" s="4">
        <f ca="1">T_Facebook_Ads[[#This Row],[frequency]]*RANDBETWEEN(8,12)/10</f>
        <v>1.21</v>
      </c>
      <c r="O20" s="3">
        <f t="shared" ca="1" si="1"/>
        <v>45097</v>
      </c>
      <c r="P20" s="4" t="s">
        <v>76</v>
      </c>
      <c r="Q20" s="4" t="s">
        <v>77</v>
      </c>
      <c r="R20" s="4" t="s">
        <v>78</v>
      </c>
      <c r="S20" s="4" t="s">
        <v>79</v>
      </c>
      <c r="T20" s="4">
        <f ca="1">ROUND(_Google_ads[[#This Row],[impressions]]*RANDBETWEEN(8,12)/10,0)</f>
        <v>26789</v>
      </c>
      <c r="U20" s="4">
        <f ca="1">ROUND(_Google_ads[[#This Row],[clicks]]*RANDBETWEEN(8,12)/10,0)</f>
        <v>1602</v>
      </c>
      <c r="V20" s="4">
        <f ca="1">_Google_ads[[#This Row],[cost]]*RANDBETWEEN(8,12)/10</f>
        <v>334.67999999999995</v>
      </c>
      <c r="W20" s="4">
        <f ca="1">ROUND(_Google_ads[[#This Row],[conversions]]*RANDBETWEEN(8,12)/10,0)</f>
        <v>65</v>
      </c>
      <c r="X20" s="4">
        <f ca="1">ROUND(_Google_ads[[#This Row],[conversion_value]]*RANDBETWEEN(8,12)/10,0)</f>
        <v>3240</v>
      </c>
      <c r="Y20" s="4">
        <f ca="1">_Google_ads[[#This Row],[ctr]]*RANDBETWEEN(8,12)/10</f>
        <v>6.5279999999999991E-2</v>
      </c>
      <c r="Z20" s="4">
        <f ca="1">_Google_ads[[#This Row],[avg_cpc]]*RANDBETWEEN(8,12)/10</f>
        <v>0.17099999999999999</v>
      </c>
      <c r="AA20" s="4">
        <f ca="1">ROUND(_Google_ads[[#This Row],[quality_score]]*RANDBETWEEN(8,12)/10,0)</f>
        <v>8</v>
      </c>
      <c r="AB20" s="4">
        <f ca="1">_Google_ads[[#This Row],[search_impression_share]]*RANDBETWEEN(8,12)/10</f>
        <v>0.93</v>
      </c>
      <c r="AD20" s="3">
        <f t="shared" ca="1" si="2"/>
        <v>45091</v>
      </c>
      <c r="AE20" s="4" t="s">
        <v>100</v>
      </c>
      <c r="AF20" s="4" t="s">
        <v>101</v>
      </c>
      <c r="AG20" s="4" t="s">
        <v>102</v>
      </c>
      <c r="AH20" s="4" t="s">
        <v>103</v>
      </c>
      <c r="AI20" s="4">
        <f ca="1">ROUND(T_Tiktok_ads[[#This Row],[impressions]]*RANDBETWEEN(8,12)/10,0)</f>
        <v>278901</v>
      </c>
      <c r="AJ20" s="4">
        <f ca="1">ROUND(T_Tiktok_ads[[#This Row],[clicks]]*RANDBETWEEN(8,12)/10,0)</f>
        <v>4123</v>
      </c>
      <c r="AK20" s="4">
        <v>545.6</v>
      </c>
      <c r="AL20" s="4">
        <f ca="1">ROUND(T_Tiktok_ads[[#This Row],[conversions]]*RANDBETWEEN(8,12)/10,0)</f>
        <v>38</v>
      </c>
      <c r="AM20" s="4">
        <f ca="1">ROUND(T_Tiktok_ads[[#This Row],[video_views]]*RANDBETWEEN(8,12)/10,0)</f>
        <v>252157</v>
      </c>
      <c r="AN20" s="4">
        <f ca="1">ROUND(T_Tiktok_ads[[#This Row],[video_watch_25]]*RANDBETWEEN(8,12)/10,0)</f>
        <v>215081</v>
      </c>
      <c r="AO20" s="4">
        <f ca="1">ROUND(T_Tiktok_ads[[#This Row],[video_watch_50]]*RANDBETWEEN(8,12)/10,0)</f>
        <v>112234</v>
      </c>
      <c r="AP20" s="4">
        <f ca="1">ROUND(T_Tiktok_ads[[#This Row],[video_watch_75]]*RANDBETWEEN(8,12)/10,0)</f>
        <v>75678</v>
      </c>
      <c r="AQ20" s="4">
        <f ca="1">ROUND(T_Tiktok_ads[[#This Row],[video_watch_100]]*RANDBETWEEN(8,12)/10,0)</f>
        <v>50234</v>
      </c>
      <c r="AR20" s="4">
        <f ca="1">ROUND(T_Tiktok_ads[[#This Row],[likes]]*RANDBETWEEN(8,12)/10,0)</f>
        <v>9111</v>
      </c>
      <c r="AS20" s="4">
        <f ca="1">ROUND(T_Tiktok_ads[[#This Row],[shares]]*RANDBETWEEN(8,12)/10,0)</f>
        <v>2170</v>
      </c>
      <c r="AT20" s="4">
        <f ca="1">ROUND(T_Tiktok_ads[[#This Row],[comments]]*RANDBETWEEN(8,12)/10,0)</f>
        <v>710</v>
      </c>
      <c r="AV20" s="5">
        <f t="shared" ca="1" si="3"/>
        <v>45079</v>
      </c>
      <c r="AW20">
        <f t="shared" ca="1" si="4"/>
        <v>2</v>
      </c>
      <c r="AX20">
        <f ca="1">ROUND(T_Facebook_Ads115963677175[[#This Row],[impressions]]*RANDBETWEEN(8,12)/10,0)</f>
        <v>40399</v>
      </c>
      <c r="AY20">
        <f ca="1">ROUND(T_Facebook_Ads115963677175[[#This Row],[clicks]]*RANDBETWEEN(8,12)/10,0)</f>
        <v>960</v>
      </c>
      <c r="AZ20">
        <f ca="1">T_Facebook_Ads115963677175[[#This Row],[spend]]*RANDBETWEEN(8,12)/10</f>
        <v>145.9</v>
      </c>
      <c r="BA20">
        <f ca="1">ROUND(T_Facebook_Ads115963677175[[#This Row],[conversions]]*RANDBETWEEN(8,12)/10,0)</f>
        <v>13</v>
      </c>
      <c r="BB20">
        <f ca="1">ROUND(T_Facebook_Ads115963677175[[#This Row],[video_views]]*RANDBETWEEN(8,12)/10,0)</f>
        <v>9471</v>
      </c>
    </row>
    <row r="21" spans="1:54" ht="15.75" thickBot="1" x14ac:dyDescent="0.3">
      <c r="A21" s="3">
        <f t="shared" ca="1" si="0"/>
        <v>45084</v>
      </c>
      <c r="B21" s="4" t="s">
        <v>56</v>
      </c>
      <c r="C21" s="4" t="s">
        <v>57</v>
      </c>
      <c r="D21" s="4" t="s">
        <v>58</v>
      </c>
      <c r="E21" s="4" t="s">
        <v>59</v>
      </c>
      <c r="F21" s="4">
        <f ca="1">ROUND(T_Facebook_Ads[[#This Row],[impressions]]*RANDBETWEEN(8,12)/10,0)</f>
        <v>13456</v>
      </c>
      <c r="G21" s="4">
        <v>623</v>
      </c>
      <c r="H21" s="4">
        <f ca="1">T_Facebook_Ads[[#This Row],[spend]]*RANDBETWEEN(8,12)/10</f>
        <v>214.02000000000004</v>
      </c>
      <c r="I21" s="4">
        <f ca="1">ROUND(T_Facebook_Ads[[#This Row],[conversions]]*RANDBETWEEN(8,12)/10,0)</f>
        <v>44</v>
      </c>
      <c r="J21" s="4">
        <f ca="1">ROUND(T_Facebook_Ads[[#This Row],[video_views]]*RANDBETWEEN(8,12)/10,0)</f>
        <v>1747</v>
      </c>
      <c r="K21" s="4">
        <f ca="1">T_Facebook_Ads[[#This Row],[engagement_rate]]*RANDBETWEEN(8,12)/10</f>
        <v>4.1669999999999999E-2</v>
      </c>
      <c r="L21" s="4">
        <f ca="1">ROUND(T_Facebook_Ads[[#This Row],[reach]]*RANDBETWEEN(8,12)/10,0)</f>
        <v>11624</v>
      </c>
      <c r="M21" s="4">
        <f ca="1">T_Facebook_Ads[[#This Row],[frequency]]*RANDBETWEEN(8,12)/10</f>
        <v>1.27</v>
      </c>
      <c r="O21" s="3">
        <f t="shared" ca="1" si="1"/>
        <v>45095</v>
      </c>
      <c r="P21" s="4" t="s">
        <v>80</v>
      </c>
      <c r="Q21" s="4" t="s">
        <v>81</v>
      </c>
      <c r="R21" s="4" t="s">
        <v>82</v>
      </c>
      <c r="S21" s="4" t="s">
        <v>83</v>
      </c>
      <c r="T21" s="4">
        <f ca="1">ROUND(_Google_ads[[#This Row],[impressions]]*RANDBETWEEN(8,12)/10,0)</f>
        <v>44567</v>
      </c>
      <c r="U21" s="4">
        <f ca="1">ROUND(_Google_ads[[#This Row],[clicks]]*RANDBETWEEN(8,12)/10,0)</f>
        <v>790</v>
      </c>
      <c r="V21" s="4">
        <f ca="1">_Google_ads[[#This Row],[cost]]*RANDBETWEEN(8,12)/10</f>
        <v>567.20000000000005</v>
      </c>
      <c r="W21" s="4">
        <f ca="1">ROUND(_Google_ads[[#This Row],[conversions]]*RANDBETWEEN(8,12)/10,0)</f>
        <v>20</v>
      </c>
      <c r="X21" s="4">
        <f ca="1">ROUND(_Google_ads[[#This Row],[conversion_value]]*RANDBETWEEN(8,12)/10,0)</f>
        <v>1210</v>
      </c>
      <c r="Y21" s="4">
        <f ca="1">_Google_ads[[#This Row],[ctr]]*RANDBETWEEN(8,12)/10</f>
        <v>2.1669999999999998E-2</v>
      </c>
      <c r="Z21" s="4">
        <f ca="1">_Google_ads[[#This Row],[avg_cpc]]*RANDBETWEEN(8,12)/10</f>
        <v>0.71500000000000008</v>
      </c>
      <c r="AA21" s="4">
        <f ca="1">ROUND(_Google_ads[[#This Row],[quality_score]]*RANDBETWEEN(8,12)/10,0)</f>
        <v>6</v>
      </c>
      <c r="AB21" s="4">
        <f ca="1">_Google_ads[[#This Row],[search_impression_share]]*RANDBETWEEN(8,12)/10</f>
        <v>0.35199999999999998</v>
      </c>
      <c r="AD21" s="3">
        <f t="shared" ca="1" si="2"/>
        <v>45104</v>
      </c>
      <c r="AE21" s="4" t="s">
        <v>104</v>
      </c>
      <c r="AF21" s="4" t="s">
        <v>105</v>
      </c>
      <c r="AG21" s="4" t="s">
        <v>106</v>
      </c>
      <c r="AH21" s="4" t="s">
        <v>107</v>
      </c>
      <c r="AI21" s="4">
        <f ca="1">ROUND(T_Tiktok_ads[[#This Row],[impressions]]*RANDBETWEEN(8,12)/10,0)</f>
        <v>152791</v>
      </c>
      <c r="AJ21" s="4">
        <f ca="1">ROUND(T_Tiktok_ads[[#This Row],[clicks]]*RANDBETWEEN(8,12)/10,0)</f>
        <v>2946</v>
      </c>
      <c r="AK21" s="4">
        <v>734.5</v>
      </c>
      <c r="AL21" s="4">
        <f ca="1">ROUND(T_Tiktok_ads[[#This Row],[conversions]]*RANDBETWEEN(8,12)/10,0)</f>
        <v>88</v>
      </c>
      <c r="AM21" s="4">
        <f ca="1">ROUND(T_Tiktok_ads[[#This Row],[video_views]]*RANDBETWEEN(8,12)/10,0)</f>
        <v>117468</v>
      </c>
      <c r="AN21" s="4">
        <f ca="1">ROUND(T_Tiktok_ads[[#This Row],[video_watch_25]]*RANDBETWEEN(8,12)/10,0)</f>
        <v>86814</v>
      </c>
      <c r="AO21" s="4">
        <f ca="1">ROUND(T_Tiktok_ads[[#This Row],[video_watch_50]]*RANDBETWEEN(8,12)/10,0)</f>
        <v>48901</v>
      </c>
      <c r="AP21" s="4">
        <f ca="1">ROUND(T_Tiktok_ads[[#This Row],[video_watch_75]]*RANDBETWEEN(8,12)/10,0)</f>
        <v>33110</v>
      </c>
      <c r="AQ21" s="4">
        <f ca="1">ROUND(T_Tiktok_ads[[#This Row],[video_watch_100]]*RANDBETWEEN(8,12)/10,0)</f>
        <v>22401</v>
      </c>
      <c r="AR21" s="4">
        <f ca="1">ROUND(T_Tiktok_ads[[#This Row],[likes]]*RANDBETWEEN(8,12)/10,0)</f>
        <v>4411</v>
      </c>
      <c r="AS21" s="4">
        <f ca="1">ROUND(T_Tiktok_ads[[#This Row],[shares]]*RANDBETWEEN(8,12)/10,0)</f>
        <v>1085</v>
      </c>
      <c r="AT21" s="4">
        <f ca="1">ROUND(T_Tiktok_ads[[#This Row],[comments]]*RANDBETWEEN(8,12)/10,0)</f>
        <v>205</v>
      </c>
      <c r="AV21" s="5">
        <f t="shared" ca="1" si="3"/>
        <v>45093</v>
      </c>
      <c r="AW21">
        <f t="shared" ca="1" si="4"/>
        <v>8</v>
      </c>
      <c r="AX21">
        <f ca="1">ROUND(T_Facebook_Ads115963677175[[#This Row],[impressions]]*RANDBETWEEN(8,12)/10,0)</f>
        <v>10765</v>
      </c>
      <c r="AY21">
        <f ca="1">ROUND(T_Facebook_Ads115963677175[[#This Row],[clicks]]*RANDBETWEEN(8,12)/10,0)</f>
        <v>748</v>
      </c>
      <c r="AZ21">
        <f ca="1">T_Facebook_Ads115963677175[[#This Row],[spend]]*RANDBETWEEN(8,12)/10</f>
        <v>214.02000000000004</v>
      </c>
      <c r="BA21">
        <f ca="1">ROUND(T_Facebook_Ads115963677175[[#This Row],[conversions]]*RANDBETWEEN(8,12)/10,0)</f>
        <v>53</v>
      </c>
      <c r="BB21">
        <f ca="1">ROUND(T_Facebook_Ads115963677175[[#This Row],[video_views]]*RANDBETWEEN(8,12)/10,0)</f>
        <v>1572</v>
      </c>
    </row>
    <row r="22" spans="1:54" ht="15.75" thickBot="1" x14ac:dyDescent="0.3">
      <c r="A22" s="3">
        <f t="shared" ca="1" si="0"/>
        <v>45092</v>
      </c>
      <c r="B22" s="4" t="s">
        <v>60</v>
      </c>
      <c r="C22" s="4" t="s">
        <v>61</v>
      </c>
      <c r="D22" s="4" t="s">
        <v>62</v>
      </c>
      <c r="E22" s="4" t="s">
        <v>63</v>
      </c>
      <c r="F22" s="4">
        <f ca="1">ROUND(T_Facebook_Ads[[#This Row],[impressions]]*RANDBETWEEN(8,12)/10,0)</f>
        <v>40957</v>
      </c>
      <c r="G22" s="4">
        <v>1367</v>
      </c>
      <c r="H22" s="4">
        <f ca="1">T_Facebook_Ads[[#This Row],[spend]]*RANDBETWEEN(8,12)/10</f>
        <v>207.9</v>
      </c>
      <c r="I22" s="4">
        <f ca="1">ROUND(T_Facebook_Ads[[#This Row],[conversions]]*RANDBETWEEN(8,12)/10,0)</f>
        <v>27</v>
      </c>
      <c r="J22" s="4">
        <f ca="1">ROUND(T_Facebook_Ads[[#This Row],[video_views]]*RANDBETWEEN(8,12)/10,0)</f>
        <v>5012</v>
      </c>
      <c r="K22" s="4">
        <f ca="1">T_Facebook_Ads[[#This Row],[engagement_rate]]*RANDBETWEEN(8,12)/10</f>
        <v>3.6700000000000003E-2</v>
      </c>
      <c r="L22" s="4">
        <f ca="1">ROUND(T_Facebook_Ads[[#This Row],[reach]]*RANDBETWEEN(8,12)/10,0)</f>
        <v>33746</v>
      </c>
      <c r="M22" s="4">
        <f ca="1">T_Facebook_Ads[[#This Row],[frequency]]*RANDBETWEEN(8,12)/10</f>
        <v>1.21</v>
      </c>
      <c r="O22" s="3">
        <f t="shared" ca="1" si="1"/>
        <v>45082</v>
      </c>
      <c r="P22" s="4" t="s">
        <v>84</v>
      </c>
      <c r="Q22" s="4" t="s">
        <v>85</v>
      </c>
      <c r="R22" s="4" t="s">
        <v>86</v>
      </c>
      <c r="S22" s="4" t="s">
        <v>87</v>
      </c>
      <c r="T22" s="4">
        <f ca="1">ROUND(_Google_ads[[#This Row],[impressions]]*RANDBETWEEN(8,12)/10,0)</f>
        <v>56187</v>
      </c>
      <c r="U22" s="4">
        <f ca="1">ROUND(_Google_ads[[#This Row],[clicks]]*RANDBETWEEN(8,12)/10,0)</f>
        <v>2747</v>
      </c>
      <c r="V22" s="4">
        <f ca="1">_Google_ads[[#This Row],[cost]]*RANDBETWEEN(8,12)/10</f>
        <v>503.4</v>
      </c>
      <c r="W22" s="4">
        <f ca="1">ROUND(_Google_ads[[#This Row],[conversions]]*RANDBETWEEN(8,12)/10,0)</f>
        <v>66</v>
      </c>
      <c r="X22" s="4">
        <f ca="1">ROUND(_Google_ads[[#This Row],[conversion_value]]*RANDBETWEEN(8,12)/10,0)</f>
        <v>3960</v>
      </c>
      <c r="Y22" s="4">
        <f ca="1">_Google_ads[[#This Row],[ctr]]*RANDBETWEEN(8,12)/10</f>
        <v>3.5859999999999996E-2</v>
      </c>
      <c r="Z22" s="4">
        <f ca="1">_Google_ads[[#This Row],[avg_cpc]]*RANDBETWEEN(8,12)/10</f>
        <v>0.21600000000000003</v>
      </c>
      <c r="AA22" s="4">
        <f ca="1">ROUND(_Google_ads[[#This Row],[quality_score]]*RANDBETWEEN(8,12)/10,0)</f>
        <v>10</v>
      </c>
      <c r="AB22" s="4">
        <f ca="1">_Google_ads[[#This Row],[search_impression_share]]*RANDBETWEEN(8,12)/10</f>
        <v>0.59400000000000008</v>
      </c>
      <c r="AD22" s="3">
        <f t="shared" ca="1" si="2"/>
        <v>45095</v>
      </c>
      <c r="AE22" s="4" t="s">
        <v>108</v>
      </c>
      <c r="AF22" s="4" t="s">
        <v>109</v>
      </c>
      <c r="AG22" s="4" t="s">
        <v>110</v>
      </c>
      <c r="AH22" s="4" t="s">
        <v>111</v>
      </c>
      <c r="AI22" s="4">
        <f ca="1">ROUND(T_Tiktok_ads[[#This Row],[impressions]]*RANDBETWEEN(8,12)/10,0)</f>
        <v>212345</v>
      </c>
      <c r="AJ22" s="4">
        <f ca="1">ROUND(T_Tiktok_ads[[#This Row],[clicks]]*RANDBETWEEN(8,12)/10,0)</f>
        <v>2676</v>
      </c>
      <c r="AK22" s="4">
        <v>401.1</v>
      </c>
      <c r="AL22" s="4">
        <f ca="1">ROUND(T_Tiktok_ads[[#This Row],[conversions]]*RANDBETWEEN(8,12)/10,0)</f>
        <v>31</v>
      </c>
      <c r="AM22" s="4">
        <f ca="1">ROUND(T_Tiktok_ads[[#This Row],[video_views]]*RANDBETWEEN(8,12)/10,0)</f>
        <v>167890</v>
      </c>
      <c r="AN22" s="4">
        <f ca="1">ROUND(T_Tiktok_ads[[#This Row],[video_watch_25]]*RANDBETWEEN(8,12)/10,0)</f>
        <v>128234</v>
      </c>
      <c r="AO22" s="4">
        <f ca="1">ROUND(T_Tiktok_ads[[#This Row],[video_watch_50]]*RANDBETWEEN(8,12)/10,0)</f>
        <v>101234</v>
      </c>
      <c r="AP22" s="4">
        <f ca="1">ROUND(T_Tiktok_ads[[#This Row],[video_watch_75]]*RANDBETWEEN(8,12)/10,0)</f>
        <v>52187</v>
      </c>
      <c r="AQ22" s="4">
        <f ca="1">ROUND(T_Tiktok_ads[[#This Row],[video_watch_100]]*RANDBETWEEN(8,12)/10,0)</f>
        <v>47347</v>
      </c>
      <c r="AR22" s="4">
        <f ca="1">ROUND(T_Tiktok_ads[[#This Row],[likes]]*RANDBETWEEN(8,12)/10,0)</f>
        <v>7010</v>
      </c>
      <c r="AS22" s="4">
        <f ca="1">ROUND(T_Tiktok_ads[[#This Row],[shares]]*RANDBETWEEN(8,12)/10,0)</f>
        <v>1716</v>
      </c>
      <c r="AT22" s="4">
        <f ca="1">ROUND(T_Tiktok_ads[[#This Row],[comments]]*RANDBETWEEN(8,12)/10,0)</f>
        <v>461</v>
      </c>
      <c r="AV22" s="5">
        <f t="shared" ca="1" si="3"/>
        <v>45086</v>
      </c>
      <c r="AW22">
        <f t="shared" ca="1" si="4"/>
        <v>7</v>
      </c>
      <c r="AX22">
        <f ca="1">ROUND(T_Facebook_Ads115963677175[[#This Row],[impressions]]*RANDBETWEEN(8,12)/10,0)</f>
        <v>32766</v>
      </c>
      <c r="AY22">
        <f ca="1">ROUND(T_Facebook_Ads115963677175[[#This Row],[clicks]]*RANDBETWEEN(8,12)/10,0)</f>
        <v>1094</v>
      </c>
      <c r="AZ22">
        <f ca="1">T_Facebook_Ads115963677175[[#This Row],[spend]]*RANDBETWEEN(8,12)/10</f>
        <v>187.11</v>
      </c>
      <c r="BA22">
        <f ca="1">ROUND(T_Facebook_Ads115963677175[[#This Row],[conversions]]*RANDBETWEEN(8,12)/10,0)</f>
        <v>24</v>
      </c>
      <c r="BB22">
        <f ca="1">ROUND(T_Facebook_Ads115963677175[[#This Row],[video_views]]*RANDBETWEEN(8,12)/10,0)</f>
        <v>6014</v>
      </c>
    </row>
    <row r="23" spans="1:54" ht="15.75" thickBot="1" x14ac:dyDescent="0.3">
      <c r="A23" s="3">
        <f t="shared" ca="1" si="0"/>
        <v>45090</v>
      </c>
      <c r="B23" s="4" t="s">
        <v>52</v>
      </c>
      <c r="C23" s="4" t="s">
        <v>53</v>
      </c>
      <c r="D23" s="4" t="s">
        <v>54</v>
      </c>
      <c r="E23" s="4" t="s">
        <v>55</v>
      </c>
      <c r="F23" s="4">
        <f ca="1">ROUND(T_Facebook_Ads[[#This Row],[impressions]]*RANDBETWEEN(8,12)/10,0)</f>
        <v>42511</v>
      </c>
      <c r="G23" s="4">
        <v>945</v>
      </c>
      <c r="H23" s="4">
        <f ca="1">T_Facebook_Ads[[#This Row],[spend]]*RANDBETWEEN(8,12)/10</f>
        <v>135.4</v>
      </c>
      <c r="I23" s="4">
        <f ca="1">ROUND(T_Facebook_Ads[[#This Row],[conversions]]*RANDBETWEEN(8,12)/10,0)</f>
        <v>17</v>
      </c>
      <c r="J23" s="4">
        <f ca="1">ROUND(T_Facebook_Ads[[#This Row],[video_views]]*RANDBETWEEN(8,12)/10,0)</f>
        <v>9668</v>
      </c>
      <c r="K23" s="4">
        <f ca="1">T_Facebook_Ads[[#This Row],[engagement_rate]]*RANDBETWEEN(8,12)/10</f>
        <v>2.4E-2</v>
      </c>
      <c r="L23" s="4">
        <f ca="1">ROUND(T_Facebook_Ads[[#This Row],[reach]]*RANDBETWEEN(8,12)/10,0)</f>
        <v>31654</v>
      </c>
      <c r="M23" s="4">
        <f ca="1">T_Facebook_Ads[[#This Row],[frequency]]*RANDBETWEEN(8,12)/10</f>
        <v>1.4279999999999999</v>
      </c>
      <c r="O23" s="3">
        <f t="shared" ca="1" si="1"/>
        <v>45092</v>
      </c>
      <c r="P23" s="4" t="s">
        <v>76</v>
      </c>
      <c r="Q23" s="4" t="s">
        <v>77</v>
      </c>
      <c r="R23" s="4" t="s">
        <v>78</v>
      </c>
      <c r="S23" s="4" t="s">
        <v>79</v>
      </c>
      <c r="T23" s="4">
        <f ca="1">ROUND(_Google_ads[[#This Row],[impressions]]*RANDBETWEEN(8,12)/10,0)</f>
        <v>20310</v>
      </c>
      <c r="U23" s="4">
        <f ca="1">ROUND(_Google_ads[[#This Row],[clicks]]*RANDBETWEEN(8,12)/10,0)</f>
        <v>1361</v>
      </c>
      <c r="V23" s="4">
        <f ca="1">_Google_ads[[#This Row],[cost]]*RANDBETWEEN(8,12)/10</f>
        <v>216.8</v>
      </c>
      <c r="W23" s="4">
        <f ca="1">ROUND(_Google_ads[[#This Row],[conversions]]*RANDBETWEEN(8,12)/10,0)</f>
        <v>34</v>
      </c>
      <c r="X23" s="4">
        <f ca="1">ROUND(_Google_ads[[#This Row],[conversion_value]]*RANDBETWEEN(8,12)/10,0)</f>
        <v>2150</v>
      </c>
      <c r="Y23" s="4">
        <f ca="1">_Google_ads[[#This Row],[ctr]]*RANDBETWEEN(8,12)/10</f>
        <v>6.035999999999999E-2</v>
      </c>
      <c r="Z23" s="4">
        <f ca="1">_Google_ads[[#This Row],[avg_cpc]]*RANDBETWEEN(8,12)/10</f>
        <v>0.20899999999999999</v>
      </c>
      <c r="AA23" s="4">
        <f ca="1">ROUND(_Google_ads[[#This Row],[quality_score]]*RANDBETWEEN(8,12)/10,0)</f>
        <v>11</v>
      </c>
      <c r="AB23" s="4">
        <f ca="1">_Google_ads[[#This Row],[search_impression_share]]*RANDBETWEEN(8,12)/10</f>
        <v>0.81899999999999995</v>
      </c>
      <c r="AD23" s="3">
        <f t="shared" ca="1" si="2"/>
        <v>45099</v>
      </c>
      <c r="AE23" s="4" t="s">
        <v>100</v>
      </c>
      <c r="AF23" s="4" t="s">
        <v>101</v>
      </c>
      <c r="AG23" s="4" t="s">
        <v>102</v>
      </c>
      <c r="AH23" s="4" t="s">
        <v>103</v>
      </c>
      <c r="AI23" s="4">
        <f ca="1">ROUND(T_Tiktok_ads[[#This Row],[impressions]]*RANDBETWEEN(8,12)/10,0)</f>
        <v>294281</v>
      </c>
      <c r="AJ23" s="4">
        <f ca="1">ROUND(T_Tiktok_ads[[#This Row],[clicks]]*RANDBETWEEN(8,12)/10,0)</f>
        <v>4294</v>
      </c>
      <c r="AK23" s="4">
        <v>474.3</v>
      </c>
      <c r="AL23" s="4">
        <f ca="1">ROUND(T_Tiktok_ads[[#This Row],[conversions]]*RANDBETWEEN(8,12)/10,0)</f>
        <v>30</v>
      </c>
      <c r="AM23" s="4">
        <f ca="1">ROUND(T_Tiktok_ads[[#This Row],[video_views]]*RANDBETWEEN(8,12)/10,0)</f>
        <v>183110</v>
      </c>
      <c r="AN23" s="4">
        <f ca="1">ROUND(T_Tiktok_ads[[#This Row],[video_watch_25]]*RANDBETWEEN(8,12)/10,0)</f>
        <v>143011</v>
      </c>
      <c r="AO23" s="4">
        <f ca="1">ROUND(T_Tiktok_ads[[#This Row],[video_watch_50]]*RANDBETWEEN(8,12)/10,0)</f>
        <v>99567</v>
      </c>
      <c r="AP23" s="4">
        <f ca="1">ROUND(T_Tiktok_ads[[#This Row],[video_watch_75]]*RANDBETWEEN(8,12)/10,0)</f>
        <v>75057</v>
      </c>
      <c r="AQ23" s="4">
        <f ca="1">ROUND(T_Tiktok_ads[[#This Row],[video_watch_100]]*RANDBETWEEN(8,12)/10,0)</f>
        <v>50368</v>
      </c>
      <c r="AR23" s="4">
        <f ca="1">ROUND(T_Tiktok_ads[[#This Row],[likes]]*RANDBETWEEN(8,12)/10,0)</f>
        <v>8080</v>
      </c>
      <c r="AS23" s="4">
        <f ca="1">ROUND(T_Tiktok_ads[[#This Row],[shares]]*RANDBETWEEN(8,12)/10,0)</f>
        <v>2867</v>
      </c>
      <c r="AT23" s="4">
        <f ca="1">ROUND(T_Tiktok_ads[[#This Row],[comments]]*RANDBETWEEN(8,12)/10,0)</f>
        <v>708</v>
      </c>
      <c r="AV23" s="5">
        <f t="shared" ca="1" si="3"/>
        <v>45098</v>
      </c>
      <c r="AW23">
        <f t="shared" ca="1" si="4"/>
        <v>5</v>
      </c>
      <c r="AX23">
        <f ca="1">ROUND(T_Facebook_Ads115963677175[[#This Row],[impressions]]*RANDBETWEEN(8,12)/10,0)</f>
        <v>51013</v>
      </c>
      <c r="AY23">
        <f ca="1">ROUND(T_Facebook_Ads115963677175[[#This Row],[clicks]]*RANDBETWEEN(8,12)/10,0)</f>
        <v>756</v>
      </c>
      <c r="AZ23">
        <f ca="1">T_Facebook_Ads115963677175[[#This Row],[spend]]*RANDBETWEEN(8,12)/10</f>
        <v>121.86000000000001</v>
      </c>
      <c r="BA23">
        <f ca="1">ROUND(T_Facebook_Ads115963677175[[#This Row],[conversions]]*RANDBETWEEN(8,12)/10,0)</f>
        <v>20</v>
      </c>
      <c r="BB23">
        <f ca="1">ROUND(T_Facebook_Ads115963677175[[#This Row],[video_views]]*RANDBETWEEN(8,12)/10,0)</f>
        <v>9668</v>
      </c>
    </row>
    <row r="24" spans="1:54" ht="15.75" thickBot="1" x14ac:dyDescent="0.3">
      <c r="A24" s="3">
        <f t="shared" ca="1" si="0"/>
        <v>45082</v>
      </c>
      <c r="B24" s="4" t="s">
        <v>56</v>
      </c>
      <c r="C24" s="4" t="s">
        <v>57</v>
      </c>
      <c r="D24" s="4" t="s">
        <v>58</v>
      </c>
      <c r="E24" s="4" t="s">
        <v>59</v>
      </c>
      <c r="F24" s="4">
        <f ca="1">ROUND(T_Facebook_Ads[[#This Row],[impressions]]*RANDBETWEEN(8,12)/10,0)</f>
        <v>12123</v>
      </c>
      <c r="G24" s="4">
        <v>534</v>
      </c>
      <c r="H24" s="4">
        <f ca="1">T_Facebook_Ads[[#This Row],[spend]]*RANDBETWEEN(8,12)/10</f>
        <v>191.16000000000003</v>
      </c>
      <c r="I24" s="4">
        <f ca="1">ROUND(T_Facebook_Ads[[#This Row],[conversions]]*RANDBETWEEN(8,12)/10,0)</f>
        <v>32</v>
      </c>
      <c r="J24" s="4">
        <f ca="1">ROUND(T_Facebook_Ads[[#This Row],[video_views]]*RANDBETWEEN(8,12)/10,0)</f>
        <v>1481</v>
      </c>
      <c r="K24" s="4">
        <f ca="1">T_Facebook_Ads[[#This Row],[engagement_rate]]*RANDBETWEEN(8,12)/10</f>
        <v>3.5279999999999999E-2</v>
      </c>
      <c r="L24" s="4">
        <f ca="1">ROUND(T_Facebook_Ads[[#This Row],[reach]]*RANDBETWEEN(8,12)/10,0)</f>
        <v>7654</v>
      </c>
      <c r="M24" s="4">
        <f ca="1">T_Facebook_Ads[[#This Row],[frequency]]*RANDBETWEEN(8,12)/10</f>
        <v>1.143</v>
      </c>
      <c r="O24" s="3">
        <f t="shared" ca="1" si="1"/>
        <v>45079</v>
      </c>
      <c r="P24" s="4" t="s">
        <v>80</v>
      </c>
      <c r="Q24" s="4" t="s">
        <v>81</v>
      </c>
      <c r="R24" s="4" t="s">
        <v>82</v>
      </c>
      <c r="S24" s="4" t="s">
        <v>83</v>
      </c>
      <c r="T24" s="4">
        <f ca="1">ROUND(_Google_ads[[#This Row],[impressions]]*RANDBETWEEN(8,12)/10,0)</f>
        <v>43411</v>
      </c>
      <c r="U24" s="4">
        <f ca="1">ROUND(_Google_ads[[#This Row],[clicks]]*RANDBETWEEN(8,12)/10,0)</f>
        <v>890</v>
      </c>
      <c r="V24" s="4">
        <f ca="1">_Google_ads[[#This Row],[cost]]*RANDBETWEEN(8,12)/10</f>
        <v>761.6400000000001</v>
      </c>
      <c r="W24" s="4">
        <f ca="1">ROUND(_Google_ads[[#This Row],[conversions]]*RANDBETWEEN(8,12)/10,0)</f>
        <v>26</v>
      </c>
      <c r="X24" s="4">
        <f ca="1">ROUND(_Google_ads[[#This Row],[conversion_value]]*RANDBETWEEN(8,12)/10,0)</f>
        <v>1040</v>
      </c>
      <c r="Y24" s="4">
        <f ca="1">_Google_ads[[#This Row],[ctr]]*RANDBETWEEN(8,12)/10</f>
        <v>2.2550000000000001E-2</v>
      </c>
      <c r="Z24" s="4">
        <f ca="1">_Google_ads[[#This Row],[avg_cpc]]*RANDBETWEEN(8,12)/10</f>
        <v>0.76800000000000002</v>
      </c>
      <c r="AA24" s="4">
        <f ca="1">ROUND(_Google_ads[[#This Row],[quality_score]]*RANDBETWEEN(8,12)/10,0)</f>
        <v>6</v>
      </c>
      <c r="AB24" s="4">
        <f ca="1">_Google_ads[[#This Row],[search_impression_share]]*RANDBETWEEN(8,12)/10</f>
        <v>0.36799999999999999</v>
      </c>
      <c r="AD24" s="3">
        <f t="shared" ca="1" si="2"/>
        <v>45084</v>
      </c>
      <c r="AE24" s="4" t="s">
        <v>104</v>
      </c>
      <c r="AF24" s="4" t="s">
        <v>105</v>
      </c>
      <c r="AG24" s="4" t="s">
        <v>106</v>
      </c>
      <c r="AH24" s="4" t="s">
        <v>107</v>
      </c>
      <c r="AI24" s="4">
        <f ca="1">ROUND(T_Tiktok_ads[[#This Row],[impressions]]*RANDBETWEEN(8,12)/10,0)</f>
        <v>131157</v>
      </c>
      <c r="AJ24" s="4">
        <f ca="1">ROUND(T_Tiktok_ads[[#This Row],[clicks]]*RANDBETWEEN(8,12)/10,0)</f>
        <v>2681</v>
      </c>
      <c r="AK24" s="4">
        <v>645.6</v>
      </c>
      <c r="AL24" s="4">
        <f ca="1">ROUND(T_Tiktok_ads[[#This Row],[conversions]]*RANDBETWEEN(8,12)/10,0)</f>
        <v>77</v>
      </c>
      <c r="AM24" s="4">
        <f ca="1">ROUND(T_Tiktok_ads[[#This Row],[video_views]]*RANDBETWEEN(8,12)/10,0)</f>
        <v>102814</v>
      </c>
      <c r="AN24" s="4">
        <f ca="1">ROUND(T_Tiktok_ads[[#This Row],[video_watch_25]]*RANDBETWEEN(8,12)/10,0)</f>
        <v>57110</v>
      </c>
      <c r="AO24" s="4">
        <f ca="1">ROUND(T_Tiktok_ads[[#This Row],[video_watch_50]]*RANDBETWEEN(8,12)/10,0)</f>
        <v>50814</v>
      </c>
      <c r="AP24" s="4">
        <f ca="1">ROUND(T_Tiktok_ads[[#This Row],[video_watch_75]]*RANDBETWEEN(8,12)/10,0)</f>
        <v>25787</v>
      </c>
      <c r="AQ24" s="4">
        <f ca="1">ROUND(T_Tiktok_ads[[#This Row],[video_watch_100]]*RANDBETWEEN(8,12)/10,0)</f>
        <v>20011</v>
      </c>
      <c r="AR24" s="4">
        <f ca="1">ROUND(T_Tiktok_ads[[#This Row],[likes]]*RANDBETWEEN(8,12)/10,0)</f>
        <v>5214</v>
      </c>
      <c r="AS24" s="4">
        <f ca="1">ROUND(T_Tiktok_ads[[#This Row],[shares]]*RANDBETWEEN(8,12)/10,0)</f>
        <v>951</v>
      </c>
      <c r="AT24" s="4">
        <f ca="1">ROUND(T_Tiktok_ads[[#This Row],[comments]]*RANDBETWEEN(8,12)/10,0)</f>
        <v>245</v>
      </c>
      <c r="AV24" s="5">
        <f t="shared" ca="1" si="3"/>
        <v>45095</v>
      </c>
      <c r="AW24">
        <f t="shared" ca="1" si="4"/>
        <v>6</v>
      </c>
      <c r="AX24">
        <f ca="1">ROUND(T_Facebook_Ads115963677175[[#This Row],[impressions]]*RANDBETWEEN(8,12)/10,0)</f>
        <v>12123</v>
      </c>
      <c r="AY24">
        <f ca="1">ROUND(T_Facebook_Ads115963677175[[#This Row],[clicks]]*RANDBETWEEN(8,12)/10,0)</f>
        <v>587</v>
      </c>
      <c r="AZ24">
        <f ca="1">T_Facebook_Ads115963677175[[#This Row],[spend]]*RANDBETWEEN(8,12)/10</f>
        <v>210.27600000000001</v>
      </c>
      <c r="BA24">
        <f ca="1">ROUND(T_Facebook_Ads115963677175[[#This Row],[conversions]]*RANDBETWEEN(8,12)/10,0)</f>
        <v>26</v>
      </c>
      <c r="BB24">
        <f ca="1">ROUND(T_Facebook_Ads115963677175[[#This Row],[video_views]]*RANDBETWEEN(8,12)/10,0)</f>
        <v>1629</v>
      </c>
    </row>
    <row r="25" spans="1:54" ht="15.75" thickBot="1" x14ac:dyDescent="0.3">
      <c r="A25" s="3">
        <f t="shared" ca="1" si="0"/>
        <v>45103</v>
      </c>
      <c r="B25" s="4" t="s">
        <v>64</v>
      </c>
      <c r="C25" s="4" t="s">
        <v>65</v>
      </c>
      <c r="D25" s="4" t="s">
        <v>66</v>
      </c>
      <c r="E25" s="4" t="s">
        <v>67</v>
      </c>
      <c r="F25" s="4">
        <f ca="1">ROUND(T_Facebook_Ads[[#This Row],[impressions]]*RANDBETWEEN(8,12)/10,0)</f>
        <v>73456</v>
      </c>
      <c r="G25" s="4">
        <v>267</v>
      </c>
      <c r="H25" s="4">
        <f ca="1">T_Facebook_Ads[[#This Row],[spend]]*RANDBETWEEN(8,12)/10</f>
        <v>117.96</v>
      </c>
      <c r="I25" s="4">
        <f ca="1">ROUND(T_Facebook_Ads[[#This Row],[conversions]]*RANDBETWEEN(8,12)/10,0)</f>
        <v>8</v>
      </c>
      <c r="J25" s="4">
        <f ca="1">ROUND(T_Facebook_Ads[[#This Row],[video_views]]*RANDBETWEEN(8,12)/10,0)</f>
        <v>45111</v>
      </c>
      <c r="K25" s="4">
        <f ca="1">T_Facebook_Ads[[#This Row],[engagement_rate]]*RANDBETWEEN(8,12)/10</f>
        <v>3.96E-3</v>
      </c>
      <c r="L25" s="4">
        <f ca="1">ROUND(T_Facebook_Ads[[#This Row],[reach]]*RANDBETWEEN(8,12)/10,0)</f>
        <v>66257</v>
      </c>
      <c r="M25" s="4">
        <f ca="1">T_Facebook_Ads[[#This Row],[frequency]]*RANDBETWEEN(8,12)/10</f>
        <v>1.3420000000000001</v>
      </c>
      <c r="O25" s="3">
        <f t="shared" ca="1" si="1"/>
        <v>45098</v>
      </c>
      <c r="P25" s="4" t="s">
        <v>88</v>
      </c>
      <c r="Q25" s="4" t="s">
        <v>89</v>
      </c>
      <c r="R25" s="4" t="s">
        <v>90</v>
      </c>
      <c r="S25" s="4" t="s">
        <v>59</v>
      </c>
      <c r="T25" s="4">
        <f ca="1">ROUND(_Google_ads[[#This Row],[impressions]]*RANDBETWEEN(8,12)/10,0)</f>
        <v>125678</v>
      </c>
      <c r="U25" s="4">
        <f ca="1">ROUND(_Google_ads[[#This Row],[clicks]]*RANDBETWEEN(8,12)/10,0)</f>
        <v>490</v>
      </c>
      <c r="V25" s="4">
        <f ca="1">_Google_ads[[#This Row],[cost]]*RANDBETWEEN(8,12)/10</f>
        <v>145.56</v>
      </c>
      <c r="W25" s="4">
        <f ca="1">ROUND(_Google_ads[[#This Row],[conversions]]*RANDBETWEEN(8,12)/10,0)</f>
        <v>9</v>
      </c>
      <c r="X25" s="4">
        <f ca="1">ROUND(_Google_ads[[#This Row],[conversion_value]]*RANDBETWEEN(8,12)/10,0)</f>
        <v>605</v>
      </c>
      <c r="Y25" s="4">
        <f ca="1">_Google_ads[[#This Row],[ctr]]*RANDBETWEEN(8,12)/10</f>
        <v>2.8E-3</v>
      </c>
      <c r="Z25" s="4">
        <f ca="1">_Google_ads[[#This Row],[avg_cpc]]*RANDBETWEEN(8,12)/10</f>
        <v>0.27</v>
      </c>
      <c r="AA25" s="4">
        <f ca="1">ROUND(_Google_ads[[#This Row],[quality_score]]*RANDBETWEEN(8,12)/10,0)</f>
        <v>8</v>
      </c>
      <c r="AB25" s="4">
        <f ca="1">_Google_ads[[#This Row],[search_impression_share]]*RANDBETWEEN(8,12)/10</f>
        <v>0.27200000000000002</v>
      </c>
      <c r="AD25" s="3">
        <f t="shared" ca="1" si="2"/>
        <v>45085</v>
      </c>
      <c r="AE25" s="4" t="s">
        <v>112</v>
      </c>
      <c r="AF25" s="4" t="s">
        <v>113</v>
      </c>
      <c r="AG25" s="4" t="s">
        <v>114</v>
      </c>
      <c r="AH25" s="4" t="s">
        <v>115</v>
      </c>
      <c r="AI25" s="4">
        <f ca="1">ROUND(T_Tiktok_ads[[#This Row],[impressions]]*RANDBETWEEN(8,12)/10,0)</f>
        <v>427913</v>
      </c>
      <c r="AJ25" s="4">
        <f ca="1">ROUND(T_Tiktok_ads[[#This Row],[clicks]]*RANDBETWEEN(8,12)/10,0)</f>
        <v>7481</v>
      </c>
      <c r="AK25" s="4">
        <v>967.8</v>
      </c>
      <c r="AL25" s="4">
        <f ca="1">ROUND(T_Tiktok_ads[[#This Row],[conversions]]*RANDBETWEEN(8,12)/10,0)</f>
        <v>118</v>
      </c>
      <c r="AM25" s="4">
        <f ca="1">ROUND(T_Tiktok_ads[[#This Row],[video_views]]*RANDBETWEEN(8,12)/10,0)</f>
        <v>321234</v>
      </c>
      <c r="AN25" s="4">
        <f ca="1">ROUND(T_Tiktok_ads[[#This Row],[video_watch_25]]*RANDBETWEEN(8,12)/10,0)</f>
        <v>258901</v>
      </c>
      <c r="AO25" s="4">
        <f ca="1">ROUND(T_Tiktok_ads[[#This Row],[video_watch_50]]*RANDBETWEEN(8,12)/10,0)</f>
        <v>228679</v>
      </c>
      <c r="AP25" s="4">
        <f ca="1">ROUND(T_Tiktok_ads[[#This Row],[video_watch_75]]*RANDBETWEEN(8,12)/10,0)</f>
        <v>117787</v>
      </c>
      <c r="AQ25" s="4">
        <f ca="1">ROUND(T_Tiktok_ads[[#This Row],[video_watch_100]]*RANDBETWEEN(8,12)/10,0)</f>
        <v>97456</v>
      </c>
      <c r="AR25" s="4">
        <f ca="1">ROUND(T_Tiktok_ads[[#This Row],[likes]]*RANDBETWEEN(8,12)/10,0)</f>
        <v>15211</v>
      </c>
      <c r="AS25" s="4">
        <f ca="1">ROUND(T_Tiktok_ads[[#This Row],[shares]]*RANDBETWEEN(8,12)/10,0)</f>
        <v>5403</v>
      </c>
      <c r="AT25" s="4">
        <f ca="1">ROUND(T_Tiktok_ads[[#This Row],[comments]]*RANDBETWEEN(8,12)/10,0)</f>
        <v>1345</v>
      </c>
      <c r="AV25" s="5">
        <f t="shared" ca="1" si="3"/>
        <v>45107</v>
      </c>
      <c r="AW25">
        <f t="shared" ca="1" si="4"/>
        <v>6</v>
      </c>
      <c r="AX25">
        <f ca="1">ROUND(T_Facebook_Ads115963677175[[#This Row],[impressions]]*RANDBETWEEN(8,12)/10,0)</f>
        <v>58765</v>
      </c>
      <c r="AY25">
        <f ca="1">ROUND(T_Facebook_Ads115963677175[[#This Row],[clicks]]*RANDBETWEEN(8,12)/10,0)</f>
        <v>320</v>
      </c>
      <c r="AZ25">
        <f ca="1">T_Facebook_Ads115963677175[[#This Row],[spend]]*RANDBETWEEN(8,12)/10</f>
        <v>94.367999999999995</v>
      </c>
      <c r="BA25">
        <f ca="1">ROUND(T_Facebook_Ads115963677175[[#This Row],[conversions]]*RANDBETWEEN(8,12)/10,0)</f>
        <v>7</v>
      </c>
      <c r="BB25">
        <f ca="1">ROUND(T_Facebook_Ads115963677175[[#This Row],[video_views]]*RANDBETWEEN(8,12)/10,0)</f>
        <v>49622</v>
      </c>
    </row>
    <row r="26" spans="1:54" ht="15.75" thickBot="1" x14ac:dyDescent="0.3">
      <c r="A26" s="3">
        <f t="shared" ca="1" si="0"/>
        <v>45082</v>
      </c>
      <c r="B26" s="4" t="s">
        <v>52</v>
      </c>
      <c r="C26" s="4" t="s">
        <v>53</v>
      </c>
      <c r="D26" s="4" t="s">
        <v>54</v>
      </c>
      <c r="E26" s="4" t="s">
        <v>55</v>
      </c>
      <c r="F26" s="4">
        <f ca="1">ROUND(T_Facebook_Ads[[#This Row],[impressions]]*RANDBETWEEN(8,12)/10,0)</f>
        <v>60148</v>
      </c>
      <c r="G26" s="4">
        <v>1012</v>
      </c>
      <c r="H26" s="4">
        <f ca="1">T_Facebook_Ads[[#This Row],[spend]]*RANDBETWEEN(8,12)/10</f>
        <v>170.04</v>
      </c>
      <c r="I26" s="4">
        <f ca="1">ROUND(T_Facebook_Ads[[#This Row],[conversions]]*RANDBETWEEN(8,12)/10,0)</f>
        <v>17</v>
      </c>
      <c r="J26" s="4">
        <f ca="1">ROUND(T_Facebook_Ads[[#This Row],[video_views]]*RANDBETWEEN(8,12)/10,0)</f>
        <v>9345</v>
      </c>
      <c r="K26" s="4">
        <f ca="1">T_Facebook_Ads[[#This Row],[engagement_rate]]*RANDBETWEEN(8,12)/10</f>
        <v>1.6160000000000001E-2</v>
      </c>
      <c r="L26" s="4">
        <f ca="1">ROUND(T_Facebook_Ads[[#This Row],[reach]]*RANDBETWEEN(8,12)/10,0)</f>
        <v>41890</v>
      </c>
      <c r="M26" s="4">
        <f ca="1">T_Facebook_Ads[[#This Row],[frequency]]*RANDBETWEEN(8,12)/10</f>
        <v>1.44</v>
      </c>
      <c r="O26" s="3">
        <f t="shared" ca="1" si="1"/>
        <v>45104</v>
      </c>
      <c r="P26" s="4" t="s">
        <v>76</v>
      </c>
      <c r="Q26" s="4" t="s">
        <v>77</v>
      </c>
      <c r="R26" s="4" t="s">
        <v>78</v>
      </c>
      <c r="S26" s="4" t="s">
        <v>79</v>
      </c>
      <c r="T26" s="4">
        <f ca="1">ROUND(_Google_ads[[#This Row],[impressions]]*RANDBETWEEN(8,12)/10,0)</f>
        <v>27757</v>
      </c>
      <c r="U26" s="4">
        <f ca="1">ROUND(_Google_ads[[#This Row],[clicks]]*RANDBETWEEN(8,12)/10,0)</f>
        <v>1181</v>
      </c>
      <c r="V26" s="4">
        <f ca="1">_Google_ads[[#This Row],[cost]]*RANDBETWEEN(8,12)/10</f>
        <v>275.33000000000004</v>
      </c>
      <c r="W26" s="4">
        <f ca="1">ROUND(_Google_ads[[#This Row],[conversions]]*RANDBETWEEN(8,12)/10,0)</f>
        <v>39</v>
      </c>
      <c r="X26" s="4">
        <f ca="1">ROUND(_Google_ads[[#This Row],[conversion_value]]*RANDBETWEEN(8,12)/10,0)</f>
        <v>2940</v>
      </c>
      <c r="Y26" s="4">
        <f ca="1">_Google_ads[[#This Row],[ctr]]*RANDBETWEEN(8,12)/10</f>
        <v>4.1599999999999998E-2</v>
      </c>
      <c r="Z26" s="4">
        <f ca="1">_Google_ads[[#This Row],[avg_cpc]]*RANDBETWEEN(8,12)/10</f>
        <v>0.22800000000000004</v>
      </c>
      <c r="AA26" s="4">
        <f ca="1">ROUND(_Google_ads[[#This Row],[quality_score]]*RANDBETWEEN(8,12)/10,0)</f>
        <v>7</v>
      </c>
      <c r="AB26" s="4">
        <f ca="1">_Google_ads[[#This Row],[search_impression_share]]*RANDBETWEEN(8,12)/10</f>
        <v>1.1040000000000001</v>
      </c>
      <c r="AD26" s="3">
        <f t="shared" ca="1" si="2"/>
        <v>45092</v>
      </c>
      <c r="AE26" s="4" t="s">
        <v>100</v>
      </c>
      <c r="AF26" s="4" t="s">
        <v>101</v>
      </c>
      <c r="AG26" s="4" t="s">
        <v>102</v>
      </c>
      <c r="AH26" s="4" t="s">
        <v>103</v>
      </c>
      <c r="AI26" s="4">
        <f ca="1">ROUND(T_Tiktok_ads[[#This Row],[impressions]]*RANDBETWEEN(8,12)/10,0)</f>
        <v>346814</v>
      </c>
      <c r="AJ26" s="4">
        <f ca="1">ROUND(T_Tiktok_ads[[#This Row],[clicks]]*RANDBETWEEN(8,12)/10,0)</f>
        <v>5081</v>
      </c>
      <c r="AK26" s="4">
        <v>556.70000000000005</v>
      </c>
      <c r="AL26" s="4">
        <f ca="1">ROUND(T_Tiktok_ads[[#This Row],[conversions]]*RANDBETWEEN(8,12)/10,0)</f>
        <v>52</v>
      </c>
      <c r="AM26" s="4">
        <f ca="1">ROUND(T_Tiktok_ads[[#This Row],[video_views]]*RANDBETWEEN(8,12)/10,0)</f>
        <v>211110</v>
      </c>
      <c r="AN26" s="4">
        <f ca="1">ROUND(T_Tiktok_ads[[#This Row],[video_watch_25]]*RANDBETWEEN(8,12)/10,0)</f>
        <v>145876</v>
      </c>
      <c r="AO26" s="4">
        <f ca="1">ROUND(T_Tiktok_ads[[#This Row],[video_watch_50]]*RANDBETWEEN(8,12)/10,0)</f>
        <v>137480</v>
      </c>
      <c r="AP26" s="4">
        <f ca="1">ROUND(T_Tiktok_ads[[#This Row],[video_watch_75]]*RANDBETWEEN(8,12)/10,0)</f>
        <v>92681</v>
      </c>
      <c r="AQ26" s="4">
        <f ca="1">ROUND(T_Tiktok_ads[[#This Row],[video_watch_100]]*RANDBETWEEN(8,12)/10,0)</f>
        <v>56357</v>
      </c>
      <c r="AR26" s="4">
        <f ca="1">ROUND(T_Tiktok_ads[[#This Row],[likes]]*RANDBETWEEN(8,12)/10,0)</f>
        <v>11380</v>
      </c>
      <c r="AS26" s="4">
        <f ca="1">ROUND(T_Tiktok_ads[[#This Row],[shares]]*RANDBETWEEN(8,12)/10,0)</f>
        <v>2510</v>
      </c>
      <c r="AT26" s="4">
        <f ca="1">ROUND(T_Tiktok_ads[[#This Row],[comments]]*RANDBETWEEN(8,12)/10,0)</f>
        <v>787</v>
      </c>
      <c r="AV26" s="5">
        <f t="shared" ca="1" si="3"/>
        <v>45083</v>
      </c>
      <c r="AW26">
        <f t="shared" ca="1" si="4"/>
        <v>4</v>
      </c>
      <c r="AX26">
        <f ca="1">ROUND(T_Facebook_Ads115963677175[[#This Row],[impressions]]*RANDBETWEEN(8,12)/10,0)</f>
        <v>72178</v>
      </c>
      <c r="AY26">
        <f ca="1">ROUND(T_Facebook_Ads115963677175[[#This Row],[clicks]]*RANDBETWEEN(8,12)/10,0)</f>
        <v>1113</v>
      </c>
      <c r="AZ26">
        <f ca="1">T_Facebook_Ads115963677175[[#This Row],[spend]]*RANDBETWEEN(8,12)/10</f>
        <v>170.04</v>
      </c>
      <c r="BA26">
        <f ca="1">ROUND(T_Facebook_Ads115963677175[[#This Row],[conversions]]*RANDBETWEEN(8,12)/10,0)</f>
        <v>17</v>
      </c>
      <c r="BB26">
        <f ca="1">ROUND(T_Facebook_Ads115963677175[[#This Row],[video_views]]*RANDBETWEEN(8,12)/10,0)</f>
        <v>11214</v>
      </c>
    </row>
    <row r="27" spans="1:54" ht="15.75" thickBot="1" x14ac:dyDescent="0.3">
      <c r="A27" s="3">
        <f t="shared" ca="1" si="0"/>
        <v>45097</v>
      </c>
      <c r="B27" s="4" t="s">
        <v>60</v>
      </c>
      <c r="C27" s="4" t="s">
        <v>61</v>
      </c>
      <c r="D27" s="4" t="s">
        <v>62</v>
      </c>
      <c r="E27" s="4" t="s">
        <v>63</v>
      </c>
      <c r="F27" s="4">
        <f ca="1">ROUND(T_Facebook_Ads[[#This Row],[impressions]]*RANDBETWEEN(8,12)/10,0)</f>
        <v>32810</v>
      </c>
      <c r="G27" s="4">
        <v>1312</v>
      </c>
      <c r="H27" s="4">
        <f ca="1">T_Facebook_Ads[[#This Row],[spend]]*RANDBETWEEN(8,12)/10</f>
        <v>219.78000000000003</v>
      </c>
      <c r="I27" s="4">
        <f ca="1">ROUND(T_Facebook_Ads[[#This Row],[conversions]]*RANDBETWEEN(8,12)/10,0)</f>
        <v>26</v>
      </c>
      <c r="J27" s="4">
        <f ca="1">ROUND(T_Facebook_Ads[[#This Row],[video_views]]*RANDBETWEEN(8,12)/10,0)</f>
        <v>5788</v>
      </c>
      <c r="K27" s="4">
        <f ca="1">T_Facebook_Ads[[#This Row],[engagement_rate]]*RANDBETWEEN(8,12)/10</f>
        <v>3.2399999999999998E-2</v>
      </c>
      <c r="L27" s="4">
        <f ca="1">ROUND(T_Facebook_Ads[[#This Row],[reach]]*RANDBETWEEN(8,12)/10,0)</f>
        <v>33257</v>
      </c>
      <c r="M27" s="4">
        <f ca="1">T_Facebook_Ads[[#This Row],[frequency]]*RANDBETWEEN(8,12)/10</f>
        <v>1.452</v>
      </c>
      <c r="O27" s="3">
        <f t="shared" ca="1" si="1"/>
        <v>45101</v>
      </c>
      <c r="P27" s="4" t="s">
        <v>84</v>
      </c>
      <c r="Q27" s="4" t="s">
        <v>85</v>
      </c>
      <c r="R27" s="4" t="s">
        <v>86</v>
      </c>
      <c r="S27" s="4" t="s">
        <v>87</v>
      </c>
      <c r="T27" s="4">
        <f ca="1">ROUND(_Google_ads[[#This Row],[impressions]]*RANDBETWEEN(8,12)/10,0)</f>
        <v>80802</v>
      </c>
      <c r="U27" s="4">
        <f ca="1">ROUND(_Google_ads[[#This Row],[clicks]]*RANDBETWEEN(8,12)/10,0)</f>
        <v>2181</v>
      </c>
      <c r="V27" s="4">
        <f ca="1">_Google_ads[[#This Row],[cost]]*RANDBETWEEN(8,12)/10</f>
        <v>353.44</v>
      </c>
      <c r="W27" s="4">
        <f ca="1">ROUND(_Google_ads[[#This Row],[conversions]]*RANDBETWEEN(8,12)/10,0)</f>
        <v>56</v>
      </c>
      <c r="X27" s="4">
        <f ca="1">ROUND(_Google_ads[[#This Row],[conversion_value]]*RANDBETWEEN(8,12)/10,0)</f>
        <v>2800</v>
      </c>
      <c r="Y27" s="4">
        <f ca="1">_Google_ads[[#This Row],[ctr]]*RANDBETWEEN(8,12)/10</f>
        <v>3.9600000000000003E-2</v>
      </c>
      <c r="Z27" s="4">
        <f ca="1">_Google_ads[[#This Row],[avg_cpc]]*RANDBETWEEN(8,12)/10</f>
        <v>0.16199999999999998</v>
      </c>
      <c r="AA27" s="4">
        <f ca="1">ROUND(_Google_ads[[#This Row],[quality_score]]*RANDBETWEEN(8,12)/10,0)</f>
        <v>7</v>
      </c>
      <c r="AB27" s="4">
        <f ca="1">_Google_ads[[#This Row],[search_impression_share]]*RANDBETWEEN(8,12)/10</f>
        <v>0.68</v>
      </c>
      <c r="AD27" s="3">
        <f t="shared" ca="1" si="2"/>
        <v>45098</v>
      </c>
      <c r="AE27" s="4" t="s">
        <v>108</v>
      </c>
      <c r="AF27" s="4" t="s">
        <v>109</v>
      </c>
      <c r="AG27" s="4" t="s">
        <v>110</v>
      </c>
      <c r="AH27" s="4" t="s">
        <v>111</v>
      </c>
      <c r="AI27" s="4">
        <f ca="1">ROUND(T_Tiktok_ads[[#This Row],[impressions]]*RANDBETWEEN(8,12)/10,0)</f>
        <v>262681</v>
      </c>
      <c r="AJ27" s="4">
        <f ca="1">ROUND(T_Tiktok_ads[[#This Row],[clicks]]*RANDBETWEEN(8,12)/10,0)</f>
        <v>3110</v>
      </c>
      <c r="AK27" s="4">
        <v>414.4</v>
      </c>
      <c r="AL27" s="4">
        <f ca="1">ROUND(T_Tiktok_ads[[#This Row],[conversions]]*RANDBETWEEN(8,12)/10,0)</f>
        <v>26</v>
      </c>
      <c r="AM27" s="4">
        <f ca="1">ROUND(T_Tiktok_ads[[#This Row],[video_views]]*RANDBETWEEN(8,12)/10,0)</f>
        <v>190802</v>
      </c>
      <c r="AN27" s="4">
        <f ca="1">ROUND(T_Tiktok_ads[[#This Row],[video_watch_25]]*RANDBETWEEN(8,12)/10,0)</f>
        <v>157880</v>
      </c>
      <c r="AO27" s="4">
        <f ca="1">ROUND(T_Tiktok_ads[[#This Row],[video_watch_50]]*RANDBETWEEN(8,12)/10,0)</f>
        <v>93210</v>
      </c>
      <c r="AP27" s="4">
        <f ca="1">ROUND(T_Tiktok_ads[[#This Row],[video_watch_75]]*RANDBETWEEN(8,12)/10,0)</f>
        <v>80681</v>
      </c>
      <c r="AQ27" s="4">
        <f ca="1">ROUND(T_Tiktok_ads[[#This Row],[video_watch_100]]*RANDBETWEEN(8,12)/10,0)</f>
        <v>40567</v>
      </c>
      <c r="AR27" s="4">
        <f ca="1">ROUND(T_Tiktok_ads[[#This Row],[likes]]*RANDBETWEEN(8,12)/10,0)</f>
        <v>8012</v>
      </c>
      <c r="AS27" s="4">
        <f ca="1">ROUND(T_Tiktok_ads[[#This Row],[shares]]*RANDBETWEEN(8,12)/10,0)</f>
        <v>2641</v>
      </c>
      <c r="AT27" s="4">
        <f ca="1">ROUND(T_Tiktok_ads[[#This Row],[comments]]*RANDBETWEEN(8,12)/10,0)</f>
        <v>418</v>
      </c>
      <c r="AV27" s="5">
        <f t="shared" ca="1" si="3"/>
        <v>45099</v>
      </c>
      <c r="AW27">
        <f t="shared" ca="1" si="4"/>
        <v>7</v>
      </c>
      <c r="AX27">
        <f ca="1">ROUND(T_Facebook_Ads115963677175[[#This Row],[impressions]]*RANDBETWEEN(8,12)/10,0)</f>
        <v>29529</v>
      </c>
      <c r="AY27">
        <f ca="1">ROUND(T_Facebook_Ads115963677175[[#This Row],[clicks]]*RANDBETWEEN(8,12)/10,0)</f>
        <v>1181</v>
      </c>
      <c r="AZ27">
        <f ca="1">T_Facebook_Ads115963677175[[#This Row],[spend]]*RANDBETWEEN(8,12)/10</f>
        <v>175.82400000000001</v>
      </c>
      <c r="BA27">
        <f ca="1">ROUND(T_Facebook_Ads115963677175[[#This Row],[conversions]]*RANDBETWEEN(8,12)/10,0)</f>
        <v>31</v>
      </c>
      <c r="BB27">
        <f ca="1">ROUND(T_Facebook_Ads115963677175[[#This Row],[video_views]]*RANDBETWEEN(8,12)/10,0)</f>
        <v>6946</v>
      </c>
    </row>
    <row r="28" spans="1:54" ht="15.75" thickBot="1" x14ac:dyDescent="0.3">
      <c r="A28" s="3">
        <f t="shared" ca="1" si="0"/>
        <v>45079</v>
      </c>
      <c r="B28" s="4" t="s">
        <v>64</v>
      </c>
      <c r="C28" s="4" t="s">
        <v>65</v>
      </c>
      <c r="D28" s="4" t="s">
        <v>66</v>
      </c>
      <c r="E28" s="4" t="s">
        <v>67</v>
      </c>
      <c r="F28" s="4">
        <f ca="1">ROUND(T_Facebook_Ads[[#This Row],[impressions]]*RANDBETWEEN(8,12)/10,0)</f>
        <v>56098</v>
      </c>
      <c r="G28" s="4">
        <v>253</v>
      </c>
      <c r="H28" s="4">
        <f ca="1">T_Facebook_Ads[[#This Row],[spend]]*RANDBETWEEN(8,12)/10</f>
        <v>112.31999999999998</v>
      </c>
      <c r="I28" s="4">
        <f ca="1">ROUND(T_Facebook_Ads[[#This Row],[conversions]]*RANDBETWEEN(8,12)/10,0)</f>
        <v>7</v>
      </c>
      <c r="J28" s="4">
        <f ca="1">ROUND(T_Facebook_Ads[[#This Row],[video_views]]*RANDBETWEEN(8,12)/10,0)</f>
        <v>48234</v>
      </c>
      <c r="K28" s="4">
        <f ca="1">T_Facebook_Ads[[#This Row],[engagement_rate]]*RANDBETWEEN(8,12)/10</f>
        <v>2.8799999999999997E-3</v>
      </c>
      <c r="L28" s="4">
        <f ca="1">ROUND(T_Facebook_Ads[[#This Row],[reach]]*RANDBETWEEN(8,12)/10,0)</f>
        <v>64302</v>
      </c>
      <c r="M28" s="4">
        <f ca="1">T_Facebook_Ads[[#This Row],[frequency]]*RANDBETWEEN(8,12)/10</f>
        <v>1.44</v>
      </c>
      <c r="O28" s="3">
        <f t="shared" ca="1" si="1"/>
        <v>45082</v>
      </c>
      <c r="P28" s="4" t="s">
        <v>88</v>
      </c>
      <c r="Q28" s="4" t="s">
        <v>89</v>
      </c>
      <c r="R28" s="4" t="s">
        <v>90</v>
      </c>
      <c r="S28" s="4" t="s">
        <v>59</v>
      </c>
      <c r="T28" s="4">
        <f ca="1">ROUND(_Google_ads[[#This Row],[impressions]]*RANDBETWEEN(8,12)/10,0)</f>
        <v>129345</v>
      </c>
      <c r="U28" s="4">
        <f ca="1">ROUND(_Google_ads[[#This Row],[clicks]]*RANDBETWEEN(8,12)/10,0)</f>
        <v>502</v>
      </c>
      <c r="V28" s="4">
        <f ca="1">_Google_ads[[#This Row],[cost]]*RANDBETWEEN(8,12)/10</f>
        <v>113.03999999999999</v>
      </c>
      <c r="W28" s="4">
        <f ca="1">ROUND(_Google_ads[[#This Row],[conversions]]*RANDBETWEEN(8,12)/10,0)</f>
        <v>14</v>
      </c>
      <c r="X28" s="4">
        <f ca="1">ROUND(_Google_ads[[#This Row],[conversion_value]]*RANDBETWEEN(8,12)/10,0)</f>
        <v>540</v>
      </c>
      <c r="Y28" s="4">
        <f ca="1">_Google_ads[[#This Row],[ctr]]*RANDBETWEEN(8,12)/10</f>
        <v>2.8E-3</v>
      </c>
      <c r="Z28" s="4">
        <f ca="1">_Google_ads[[#This Row],[avg_cpc]]*RANDBETWEEN(8,12)/10</f>
        <v>0.33600000000000002</v>
      </c>
      <c r="AA28" s="4">
        <f ca="1">ROUND(_Google_ads[[#This Row],[quality_score]]*RANDBETWEEN(8,12)/10,0)</f>
        <v>6</v>
      </c>
      <c r="AB28" s="4">
        <f ca="1">_Google_ads[[#This Row],[search_impression_share]]*RANDBETWEEN(8,12)/10</f>
        <v>0.41999999999999993</v>
      </c>
      <c r="AD28" s="3">
        <f t="shared" ca="1" si="2"/>
        <v>45087</v>
      </c>
      <c r="AE28" s="4" t="s">
        <v>112</v>
      </c>
      <c r="AF28" s="4" t="s">
        <v>113</v>
      </c>
      <c r="AG28" s="4" t="s">
        <v>114</v>
      </c>
      <c r="AH28" s="4" t="s">
        <v>115</v>
      </c>
      <c r="AI28" s="4">
        <f ca="1">ROUND(T_Tiktok_ads[[#This Row],[impressions]]*RANDBETWEEN(8,12)/10,0)</f>
        <v>441357</v>
      </c>
      <c r="AJ28" s="4">
        <f ca="1">ROUND(T_Tiktok_ads[[#This Row],[clicks]]*RANDBETWEEN(8,12)/10,0)</f>
        <v>5810</v>
      </c>
      <c r="AK28" s="4">
        <v>989.9</v>
      </c>
      <c r="AL28" s="4">
        <f ca="1">ROUND(T_Tiktok_ads[[#This Row],[conversions]]*RANDBETWEEN(8,12)/10,0)</f>
        <v>101</v>
      </c>
      <c r="AM28" s="4">
        <f ca="1">ROUND(T_Tiktok_ads[[#This Row],[video_views]]*RANDBETWEEN(8,12)/10,0)</f>
        <v>398814</v>
      </c>
      <c r="AN28" s="4">
        <f ca="1">ROUND(T_Tiktok_ads[[#This Row],[video_watch_25]]*RANDBETWEEN(8,12)/10,0)</f>
        <v>294679</v>
      </c>
      <c r="AO28" s="4">
        <f ca="1">ROUND(T_Tiktok_ads[[#This Row],[video_watch_50]]*RANDBETWEEN(8,12)/10,0)</f>
        <v>171654</v>
      </c>
      <c r="AP28" s="4">
        <f ca="1">ROUND(T_Tiktok_ads[[#This Row],[video_watch_75]]*RANDBETWEEN(8,12)/10,0)</f>
        <v>166357</v>
      </c>
      <c r="AQ28" s="4">
        <f ca="1">ROUND(T_Tiktok_ads[[#This Row],[video_watch_100]]*RANDBETWEEN(8,12)/10,0)</f>
        <v>99567</v>
      </c>
      <c r="AR28" s="4">
        <f ca="1">ROUND(T_Tiktok_ads[[#This Row],[likes]]*RANDBETWEEN(8,12)/10,0)</f>
        <v>17234</v>
      </c>
      <c r="AS28" s="4">
        <f ca="1">ROUND(T_Tiktok_ads[[#This Row],[shares]]*RANDBETWEEN(8,12)/10,0)</f>
        <v>5012</v>
      </c>
      <c r="AT28" s="4">
        <f ca="1">ROUND(T_Tiktok_ads[[#This Row],[comments]]*RANDBETWEEN(8,12)/10,0)</f>
        <v>1516</v>
      </c>
      <c r="AV28" s="5">
        <f t="shared" ca="1" si="3"/>
        <v>45082</v>
      </c>
      <c r="AW28">
        <f t="shared" ca="1" si="4"/>
        <v>3</v>
      </c>
      <c r="AX28">
        <f ca="1">ROUND(T_Facebook_Ads115963677175[[#This Row],[impressions]]*RANDBETWEEN(8,12)/10,0)</f>
        <v>61708</v>
      </c>
      <c r="AY28">
        <f ca="1">ROUND(T_Facebook_Ads115963677175[[#This Row],[clicks]]*RANDBETWEEN(8,12)/10,0)</f>
        <v>228</v>
      </c>
      <c r="AZ28">
        <f ca="1">T_Facebook_Ads115963677175[[#This Row],[spend]]*RANDBETWEEN(8,12)/10</f>
        <v>89.85599999999998</v>
      </c>
      <c r="BA28">
        <f ca="1">ROUND(T_Facebook_Ads115963677175[[#This Row],[conversions]]*RANDBETWEEN(8,12)/10,0)</f>
        <v>6</v>
      </c>
      <c r="BB28">
        <f ca="1">ROUND(T_Facebook_Ads115963677175[[#This Row],[video_views]]*RANDBETWEEN(8,12)/10,0)</f>
        <v>57881</v>
      </c>
    </row>
    <row r="29" spans="1:54" ht="15.75" thickBot="1" x14ac:dyDescent="0.3">
      <c r="A29" s="3">
        <f t="shared" ca="1" si="0"/>
        <v>45086</v>
      </c>
      <c r="B29" s="4" t="s">
        <v>52</v>
      </c>
      <c r="C29" s="4" t="s">
        <v>53</v>
      </c>
      <c r="D29" s="4" t="s">
        <v>54</v>
      </c>
      <c r="E29" s="4" t="s">
        <v>55</v>
      </c>
      <c r="F29" s="4">
        <f ca="1">ROUND(T_Facebook_Ads[[#This Row],[impressions]]*RANDBETWEEN(8,12)/10,0)</f>
        <v>48567</v>
      </c>
      <c r="G29" s="4">
        <v>978</v>
      </c>
      <c r="H29" s="4">
        <f ca="1">T_Facebook_Ads[[#This Row],[spend]]*RANDBETWEEN(8,12)/10</f>
        <v>110.24000000000001</v>
      </c>
      <c r="I29" s="4">
        <f ca="1">ROUND(T_Facebook_Ads[[#This Row],[conversions]]*RANDBETWEEN(8,12)/10,0)</f>
        <v>14</v>
      </c>
      <c r="J29" s="4">
        <f ca="1">ROUND(T_Facebook_Ads[[#This Row],[video_views]]*RANDBETWEEN(8,12)/10,0)</f>
        <v>8051</v>
      </c>
      <c r="K29" s="4">
        <f ca="1">T_Facebook_Ads[[#This Row],[engagement_rate]]*RANDBETWEEN(8,12)/10</f>
        <v>1.8090000000000002E-2</v>
      </c>
      <c r="L29" s="4">
        <f ca="1">ROUND(T_Facebook_Ads[[#This Row],[reach]]*RANDBETWEEN(8,12)/10,0)</f>
        <v>40456</v>
      </c>
      <c r="M29" s="4">
        <f ca="1">T_Facebook_Ads[[#This Row],[frequency]]*RANDBETWEEN(8,12)/10</f>
        <v>1.44</v>
      </c>
      <c r="O29" s="3">
        <f t="shared" ca="1" si="1"/>
        <v>45089</v>
      </c>
      <c r="P29" s="4" t="s">
        <v>76</v>
      </c>
      <c r="Q29" s="4" t="s">
        <v>77</v>
      </c>
      <c r="R29" s="4" t="s">
        <v>78</v>
      </c>
      <c r="S29" s="4" t="s">
        <v>79</v>
      </c>
      <c r="T29" s="4">
        <f ca="1">ROUND(_Google_ads[[#This Row],[impressions]]*RANDBETWEEN(8,12)/10,0)</f>
        <v>22210</v>
      </c>
      <c r="U29" s="4">
        <f ca="1">ROUND(_Google_ads[[#This Row],[clicks]]*RANDBETWEEN(8,12)/10,0)</f>
        <v>1160</v>
      </c>
      <c r="V29" s="4">
        <f ca="1">_Google_ads[[#This Row],[cost]]*RANDBETWEEN(8,12)/10</f>
        <v>221.31</v>
      </c>
      <c r="W29" s="4">
        <f ca="1">ROUND(_Google_ads[[#This Row],[conversions]]*RANDBETWEEN(8,12)/10,0)</f>
        <v>53</v>
      </c>
      <c r="X29" s="4">
        <f ca="1">ROUND(_Google_ads[[#This Row],[conversion_value]]*RANDBETWEEN(8,12)/10,0)</f>
        <v>2880</v>
      </c>
      <c r="Y29" s="4">
        <f ca="1">_Google_ads[[#This Row],[ctr]]*RANDBETWEEN(8,12)/10</f>
        <v>4.1760000000000005E-2</v>
      </c>
      <c r="Z29" s="4">
        <f ca="1">_Google_ads[[#This Row],[avg_cpc]]*RANDBETWEEN(8,12)/10</f>
        <v>0.152</v>
      </c>
      <c r="AA29" s="4">
        <f ca="1">ROUND(_Google_ads[[#This Row],[quality_score]]*RANDBETWEEN(8,12)/10,0)</f>
        <v>9</v>
      </c>
      <c r="AB29" s="4">
        <f ca="1">_Google_ads[[#This Row],[search_impression_share]]*RANDBETWEEN(8,12)/10</f>
        <v>1.0920000000000001</v>
      </c>
      <c r="AD29" s="3">
        <f t="shared" ca="1" si="2"/>
        <v>45101</v>
      </c>
      <c r="AE29" s="4" t="s">
        <v>100</v>
      </c>
      <c r="AF29" s="4" t="s">
        <v>101</v>
      </c>
      <c r="AG29" s="4" t="s">
        <v>102</v>
      </c>
      <c r="AH29" s="4" t="s">
        <v>103</v>
      </c>
      <c r="AI29" s="4">
        <f ca="1">ROUND(T_Tiktok_ads[[#This Row],[impressions]]*RANDBETWEEN(8,12)/10,0)</f>
        <v>256234</v>
      </c>
      <c r="AJ29" s="4">
        <f ca="1">ROUND(T_Tiktok_ads[[#This Row],[clicks]]*RANDBETWEEN(8,12)/10,0)</f>
        <v>3331</v>
      </c>
      <c r="AK29" s="4">
        <v>490.5</v>
      </c>
      <c r="AL29" s="4">
        <f ca="1">ROUND(T_Tiktok_ads[[#This Row],[conversions]]*RANDBETWEEN(8,12)/10,0)</f>
        <v>38</v>
      </c>
      <c r="AM29" s="4">
        <f ca="1">ROUND(T_Tiktok_ads[[#This Row],[video_views]]*RANDBETWEEN(8,12)/10,0)</f>
        <v>167387</v>
      </c>
      <c r="AN29" s="4">
        <f ca="1">ROUND(T_Tiktok_ads[[#This Row],[video_watch_25]]*RANDBETWEEN(8,12)/10,0)</f>
        <v>196280</v>
      </c>
      <c r="AO29" s="4">
        <f ca="1">ROUND(T_Tiktok_ads[[#This Row],[video_watch_50]]*RANDBETWEEN(8,12)/10,0)</f>
        <v>102567</v>
      </c>
      <c r="AP29" s="4">
        <f ca="1">ROUND(T_Tiktok_ads[[#This Row],[video_watch_75]]*RANDBETWEEN(8,12)/10,0)</f>
        <v>55654</v>
      </c>
      <c r="AQ29" s="4">
        <f ca="1">ROUND(T_Tiktok_ads[[#This Row],[video_watch_100]]*RANDBETWEEN(8,12)/10,0)</f>
        <v>55880</v>
      </c>
      <c r="AR29" s="4">
        <f ca="1">ROUND(T_Tiktok_ads[[#This Row],[likes]]*RANDBETWEEN(8,12)/10,0)</f>
        <v>10948</v>
      </c>
      <c r="AS29" s="4">
        <f ca="1">ROUND(T_Tiktok_ads[[#This Row],[shares]]*RANDBETWEEN(8,12)/10,0)</f>
        <v>2423</v>
      </c>
      <c r="AT29" s="4">
        <f ca="1">ROUND(T_Tiktok_ads[[#This Row],[comments]]*RANDBETWEEN(8,12)/10,0)</f>
        <v>661</v>
      </c>
      <c r="AV29" s="5">
        <f t="shared" ca="1" si="3"/>
        <v>45087</v>
      </c>
      <c r="AW29">
        <f t="shared" ca="1" si="4"/>
        <v>6</v>
      </c>
      <c r="AX29">
        <f ca="1">ROUND(T_Facebook_Ads115963677175[[#This Row],[impressions]]*RANDBETWEEN(8,12)/10,0)</f>
        <v>58280</v>
      </c>
      <c r="AY29">
        <f ca="1">ROUND(T_Facebook_Ads115963677175[[#This Row],[clicks]]*RANDBETWEEN(8,12)/10,0)</f>
        <v>1174</v>
      </c>
      <c r="AZ29">
        <f ca="1">T_Facebook_Ads115963677175[[#This Row],[spend]]*RANDBETWEEN(8,12)/10</f>
        <v>99.216000000000008</v>
      </c>
      <c r="BA29">
        <f ca="1">ROUND(T_Facebook_Ads115963677175[[#This Row],[conversions]]*RANDBETWEEN(8,12)/10,0)</f>
        <v>17</v>
      </c>
      <c r="BB29">
        <f ca="1">ROUND(T_Facebook_Ads115963677175[[#This Row],[video_views]]*RANDBETWEEN(8,12)/10,0)</f>
        <v>8051</v>
      </c>
    </row>
    <row r="30" spans="1:54" ht="15.75" thickBot="1" x14ac:dyDescent="0.3">
      <c r="A30" s="3">
        <f t="shared" ca="1" si="0"/>
        <v>45104</v>
      </c>
      <c r="B30" s="4" t="s">
        <v>56</v>
      </c>
      <c r="C30" s="4" t="s">
        <v>57</v>
      </c>
      <c r="D30" s="4" t="s">
        <v>58</v>
      </c>
      <c r="E30" s="4" t="s">
        <v>59</v>
      </c>
      <c r="F30" s="4">
        <f ca="1">ROUND(T_Facebook_Ads[[#This Row],[impressions]]*RANDBETWEEN(8,12)/10,0)</f>
        <v>12410</v>
      </c>
      <c r="G30" s="4">
        <v>645</v>
      </c>
      <c r="H30" s="4">
        <f ca="1">T_Facebook_Ads[[#This Row],[spend]]*RANDBETWEEN(8,12)/10</f>
        <v>265.32</v>
      </c>
      <c r="I30" s="4">
        <f ca="1">ROUND(T_Facebook_Ads[[#This Row],[conversions]]*RANDBETWEEN(8,12)/10,0)</f>
        <v>41</v>
      </c>
      <c r="J30" s="4">
        <f ca="1">ROUND(T_Facebook_Ads[[#This Row],[video_views]]*RANDBETWEEN(8,12)/10,0)</f>
        <v>1489</v>
      </c>
      <c r="K30" s="4">
        <f ca="1">T_Facebook_Ads[[#This Row],[engagement_rate]]*RANDBETWEEN(8,12)/10</f>
        <v>5.1480000000000005E-2</v>
      </c>
      <c r="L30" s="4">
        <f ca="1">ROUND(T_Facebook_Ads[[#This Row],[reach]]*RANDBETWEEN(8,12)/10,0)</f>
        <v>9710</v>
      </c>
      <c r="M30" s="4">
        <f ca="1">T_Facebook_Ads[[#This Row],[frequency]]*RANDBETWEEN(8,12)/10</f>
        <v>1.024</v>
      </c>
      <c r="O30" s="3">
        <f t="shared" ca="1" si="1"/>
        <v>45107</v>
      </c>
      <c r="P30" s="4" t="s">
        <v>80</v>
      </c>
      <c r="Q30" s="4" t="s">
        <v>81</v>
      </c>
      <c r="R30" s="4" t="s">
        <v>82</v>
      </c>
      <c r="S30" s="4" t="s">
        <v>83</v>
      </c>
      <c r="T30" s="4">
        <f ca="1">ROUND(_Google_ads[[#This Row],[impressions]]*RANDBETWEEN(8,12)/10,0)</f>
        <v>45234</v>
      </c>
      <c r="U30" s="4">
        <f ca="1">ROUND(_Google_ads[[#This Row],[clicks]]*RANDBETWEEN(8,12)/10,0)</f>
        <v>901</v>
      </c>
      <c r="V30" s="4">
        <f ca="1">_Google_ads[[#This Row],[cost]]*RANDBETWEEN(8,12)/10</f>
        <v>636.79</v>
      </c>
      <c r="W30" s="4">
        <f ca="1">ROUND(_Google_ads[[#This Row],[conversions]]*RANDBETWEEN(8,12)/10,0)</f>
        <v>21</v>
      </c>
      <c r="X30" s="4">
        <f ca="1">ROUND(_Google_ads[[#This Row],[conversion_value]]*RANDBETWEEN(8,12)/10,0)</f>
        <v>1265</v>
      </c>
      <c r="Y30" s="4">
        <f ca="1">_Google_ads[[#This Row],[ctr]]*RANDBETWEEN(8,12)/10</f>
        <v>2.189E-2</v>
      </c>
      <c r="Z30" s="4">
        <f ca="1">_Google_ads[[#This Row],[avg_cpc]]*RANDBETWEEN(8,12)/10</f>
        <v>0.57599999999999996</v>
      </c>
      <c r="AA30" s="4">
        <f ca="1">ROUND(_Google_ads[[#This Row],[quality_score]]*RANDBETWEEN(8,12)/10,0)</f>
        <v>8</v>
      </c>
      <c r="AB30" s="4">
        <f ca="1">_Google_ads[[#This Row],[search_impression_share]]*RANDBETWEEN(8,12)/10</f>
        <v>0.495</v>
      </c>
      <c r="AD30" s="3">
        <f t="shared" ca="1" si="2"/>
        <v>45082</v>
      </c>
      <c r="AE30" s="4" t="s">
        <v>104</v>
      </c>
      <c r="AF30" s="4" t="s">
        <v>105</v>
      </c>
      <c r="AG30" s="4" t="s">
        <v>106</v>
      </c>
      <c r="AH30" s="4" t="s">
        <v>107</v>
      </c>
      <c r="AI30" s="4">
        <f ca="1">ROUND(T_Tiktok_ads[[#This Row],[impressions]]*RANDBETWEEN(8,12)/10,0)</f>
        <v>131110</v>
      </c>
      <c r="AJ30" s="4">
        <f ca="1">ROUND(T_Tiktok_ads[[#This Row],[clicks]]*RANDBETWEEN(8,12)/10,0)</f>
        <v>2231</v>
      </c>
      <c r="AK30" s="4">
        <v>756.7</v>
      </c>
      <c r="AL30" s="4">
        <f ca="1">ROUND(T_Tiktok_ads[[#This Row],[conversions]]*RANDBETWEEN(8,12)/10,0)</f>
        <v>68</v>
      </c>
      <c r="AM30" s="4">
        <f ca="1">ROUND(T_Tiktok_ads[[#This Row],[video_views]]*RANDBETWEEN(8,12)/10,0)</f>
        <v>91111</v>
      </c>
      <c r="AN30" s="4">
        <f ca="1">ROUND(T_Tiktok_ads[[#This Row],[video_watch_25]]*RANDBETWEEN(8,12)/10,0)</f>
        <v>59654</v>
      </c>
      <c r="AO30" s="4">
        <f ca="1">ROUND(T_Tiktok_ads[[#This Row],[video_watch_50]]*RANDBETWEEN(8,12)/10,0)</f>
        <v>45211</v>
      </c>
      <c r="AP30" s="4">
        <f ca="1">ROUND(T_Tiktok_ads[[#This Row],[video_watch_75]]*RANDBETWEEN(8,12)/10,0)</f>
        <v>34101</v>
      </c>
      <c r="AQ30" s="4">
        <f ca="1">ROUND(T_Tiktok_ads[[#This Row],[video_watch_100]]*RANDBETWEEN(8,12)/10,0)</f>
        <v>25234</v>
      </c>
      <c r="AR30" s="4">
        <f ca="1">ROUND(T_Tiktok_ads[[#This Row],[likes]]*RANDBETWEEN(8,12)/10,0)</f>
        <v>6014</v>
      </c>
      <c r="AS30" s="4">
        <f ca="1">ROUND(T_Tiktok_ads[[#This Row],[shares]]*RANDBETWEEN(8,12)/10,0)</f>
        <v>1138</v>
      </c>
      <c r="AT30" s="4">
        <f ca="1">ROUND(T_Tiktok_ads[[#This Row],[comments]]*RANDBETWEEN(8,12)/10,0)</f>
        <v>294</v>
      </c>
      <c r="AV30" s="5">
        <f t="shared" ca="1" si="3"/>
        <v>45079</v>
      </c>
      <c r="AW30">
        <f t="shared" ca="1" si="4"/>
        <v>4</v>
      </c>
      <c r="AX30">
        <f ca="1">ROUND(T_Facebook_Ads115963677175[[#This Row],[impressions]]*RANDBETWEEN(8,12)/10,0)</f>
        <v>9928</v>
      </c>
      <c r="AY30">
        <f ca="1">ROUND(T_Facebook_Ads115963677175[[#This Row],[clicks]]*RANDBETWEEN(8,12)/10,0)</f>
        <v>774</v>
      </c>
      <c r="AZ30">
        <f ca="1">T_Facebook_Ads115963677175[[#This Row],[spend]]*RANDBETWEEN(8,12)/10</f>
        <v>291.85199999999998</v>
      </c>
      <c r="BA30">
        <f ca="1">ROUND(T_Facebook_Ads115963677175[[#This Row],[conversions]]*RANDBETWEEN(8,12)/10,0)</f>
        <v>49</v>
      </c>
      <c r="BB30">
        <f ca="1">ROUND(T_Facebook_Ads115963677175[[#This Row],[video_views]]*RANDBETWEEN(8,12)/10,0)</f>
        <v>1191</v>
      </c>
    </row>
    <row r="31" spans="1:54" ht="15.75" thickBot="1" x14ac:dyDescent="0.3">
      <c r="A31" s="3">
        <f t="shared" ca="1" si="0"/>
        <v>45097</v>
      </c>
      <c r="B31" s="4" t="s">
        <v>60</v>
      </c>
      <c r="C31" s="4" t="s">
        <v>61</v>
      </c>
      <c r="D31" s="4" t="s">
        <v>62</v>
      </c>
      <c r="E31" s="4" t="s">
        <v>63</v>
      </c>
      <c r="F31" s="4">
        <f ca="1">ROUND(T_Facebook_Ads[[#This Row],[impressions]]*RANDBETWEEN(8,12)/10,0)</f>
        <v>34610</v>
      </c>
      <c r="G31" s="4">
        <v>1423</v>
      </c>
      <c r="H31" s="4">
        <f ca="1">T_Facebook_Ads[[#This Row],[spend]]*RANDBETWEEN(8,12)/10</f>
        <v>217.5</v>
      </c>
      <c r="I31" s="4">
        <f ca="1">ROUND(T_Facebook_Ads[[#This Row],[conversions]]*RANDBETWEEN(8,12)/10,0)</f>
        <v>23</v>
      </c>
      <c r="J31" s="4">
        <f ca="1">ROUND(T_Facebook_Ads[[#This Row],[video_views]]*RANDBETWEEN(8,12)/10,0)</f>
        <v>4611</v>
      </c>
      <c r="K31" s="4">
        <f ca="1">T_Facebook_Ads[[#This Row],[engagement_rate]]*RANDBETWEEN(8,12)/10</f>
        <v>4.07E-2</v>
      </c>
      <c r="L31" s="4">
        <f ca="1">ROUND(T_Facebook_Ads[[#This Row],[reach]]*RANDBETWEEN(8,12)/10,0)</f>
        <v>24987</v>
      </c>
      <c r="M31" s="4">
        <f ca="1">T_Facebook_Ads[[#This Row],[frequency]]*RANDBETWEEN(8,12)/10</f>
        <v>1.353</v>
      </c>
      <c r="O31" s="3">
        <f t="shared" ca="1" si="1"/>
        <v>45086</v>
      </c>
      <c r="P31" s="4" t="s">
        <v>84</v>
      </c>
      <c r="Q31" s="4" t="s">
        <v>85</v>
      </c>
      <c r="R31" s="4" t="s">
        <v>86</v>
      </c>
      <c r="S31" s="4" t="s">
        <v>87</v>
      </c>
      <c r="T31" s="4">
        <f ca="1">ROUND(_Google_ads[[#This Row],[impressions]]*RANDBETWEEN(8,12)/10,0)</f>
        <v>62011</v>
      </c>
      <c r="U31" s="4">
        <f ca="1">ROUND(_Google_ads[[#This Row],[clicks]]*RANDBETWEEN(8,12)/10,0)</f>
        <v>2267</v>
      </c>
      <c r="V31" s="4">
        <f ca="1">_Google_ads[[#This Row],[cost]]*RANDBETWEEN(8,12)/10</f>
        <v>497.03999999999996</v>
      </c>
      <c r="W31" s="4">
        <f ca="1">ROUND(_Google_ads[[#This Row],[conversions]]*RANDBETWEEN(8,12)/10,0)</f>
        <v>70</v>
      </c>
      <c r="X31" s="4">
        <f ca="1">ROUND(_Google_ads[[#This Row],[conversion_value]]*RANDBETWEEN(8,12)/10,0)</f>
        <v>2880</v>
      </c>
      <c r="Y31" s="4">
        <f ca="1">_Google_ads[[#This Row],[ctr]]*RANDBETWEEN(8,12)/10</f>
        <v>3.619E-2</v>
      </c>
      <c r="Z31" s="4">
        <f ca="1">_Google_ads[[#This Row],[avg_cpc]]*RANDBETWEEN(8,12)/10</f>
        <v>0.18</v>
      </c>
      <c r="AA31" s="4">
        <f ca="1">ROUND(_Google_ads[[#This Row],[quality_score]]*RANDBETWEEN(8,12)/10,0)</f>
        <v>10</v>
      </c>
      <c r="AB31" s="4">
        <f ca="1">_Google_ads[[#This Row],[search_impression_share]]*RANDBETWEEN(8,12)/10</f>
        <v>0.73699999999999999</v>
      </c>
      <c r="AD31" s="3">
        <f t="shared" ca="1" si="2"/>
        <v>45080</v>
      </c>
      <c r="AE31" s="4" t="s">
        <v>108</v>
      </c>
      <c r="AF31" s="4" t="s">
        <v>109</v>
      </c>
      <c r="AG31" s="4" t="s">
        <v>110</v>
      </c>
      <c r="AH31" s="4" t="s">
        <v>111</v>
      </c>
      <c r="AI31" s="4">
        <f ca="1">ROUND(T_Tiktok_ads[[#This Row],[impressions]]*RANDBETWEEN(8,12)/10,0)</f>
        <v>201110</v>
      </c>
      <c r="AJ31" s="4">
        <f ca="1">ROUND(T_Tiktok_ads[[#This Row],[clicks]]*RANDBETWEEN(8,12)/10,0)</f>
        <v>3210</v>
      </c>
      <c r="AK31" s="4">
        <v>427.7</v>
      </c>
      <c r="AL31" s="4">
        <f ca="1">ROUND(T_Tiktok_ads[[#This Row],[conversions]]*RANDBETWEEN(8,12)/10,0)</f>
        <v>27</v>
      </c>
      <c r="AM31" s="4">
        <f ca="1">ROUND(T_Tiktok_ads[[#This Row],[video_views]]*RANDBETWEEN(8,12)/10,0)</f>
        <v>196791</v>
      </c>
      <c r="AN31" s="4">
        <f ca="1">ROUND(T_Tiktok_ads[[#This Row],[video_watch_25]]*RANDBETWEEN(8,12)/10,0)</f>
        <v>121711</v>
      </c>
      <c r="AO31" s="4">
        <f ca="1">ROUND(T_Tiktok_ads[[#This Row],[video_watch_50]]*RANDBETWEEN(8,12)/10,0)</f>
        <v>106789</v>
      </c>
      <c r="AP31" s="4">
        <f ca="1">ROUND(T_Tiktok_ads[[#This Row],[video_watch_75]]*RANDBETWEEN(8,12)/10,0)</f>
        <v>62311</v>
      </c>
      <c r="AQ31" s="4">
        <f ca="1">ROUND(T_Tiktok_ads[[#This Row],[video_watch_100]]*RANDBETWEEN(8,12)/10,0)</f>
        <v>33431</v>
      </c>
      <c r="AR31" s="4">
        <f ca="1">ROUND(T_Tiktok_ads[[#This Row],[likes]]*RANDBETWEEN(8,12)/10,0)</f>
        <v>8234</v>
      </c>
      <c r="AS31" s="4">
        <f ca="1">ROUND(T_Tiktok_ads[[#This Row],[shares]]*RANDBETWEEN(8,12)/10,0)</f>
        <v>2267</v>
      </c>
      <c r="AT31" s="4">
        <f ca="1">ROUND(T_Tiktok_ads[[#This Row],[comments]]*RANDBETWEEN(8,12)/10,0)</f>
        <v>534</v>
      </c>
      <c r="AV31" s="5">
        <f t="shared" ca="1" si="3"/>
        <v>45095</v>
      </c>
      <c r="AW31">
        <f t="shared" ca="1" si="4"/>
        <v>8</v>
      </c>
      <c r="AX31">
        <f ca="1">ROUND(T_Facebook_Ads115963677175[[#This Row],[impressions]]*RANDBETWEEN(8,12)/10,0)</f>
        <v>27688</v>
      </c>
      <c r="AY31">
        <f ca="1">ROUND(T_Facebook_Ads115963677175[[#This Row],[clicks]]*RANDBETWEEN(8,12)/10,0)</f>
        <v>1423</v>
      </c>
      <c r="AZ31">
        <f ca="1">T_Facebook_Ads115963677175[[#This Row],[spend]]*RANDBETWEEN(8,12)/10</f>
        <v>261</v>
      </c>
      <c r="BA31">
        <f ca="1">ROUND(T_Facebook_Ads115963677175[[#This Row],[conversions]]*RANDBETWEEN(8,12)/10,0)</f>
        <v>21</v>
      </c>
      <c r="BB31">
        <f ca="1">ROUND(T_Facebook_Ads115963677175[[#This Row],[video_views]]*RANDBETWEEN(8,12)/10,0)</f>
        <v>4611</v>
      </c>
    </row>
    <row r="32" spans="1:54" ht="15.75" thickBot="1" x14ac:dyDescent="0.3">
      <c r="A32" s="3">
        <f t="shared" ca="1" si="0"/>
        <v>45079</v>
      </c>
      <c r="B32" s="4" t="s">
        <v>52</v>
      </c>
      <c r="C32" s="4" t="s">
        <v>53</v>
      </c>
      <c r="D32" s="4" t="s">
        <v>54</v>
      </c>
      <c r="E32" s="4" t="s">
        <v>55</v>
      </c>
      <c r="F32" s="4">
        <f ca="1">ROUND(T_Facebook_Ads[[#This Row],[impressions]]*RANDBETWEEN(8,12)/10,0)</f>
        <v>46911</v>
      </c>
      <c r="G32" s="4">
        <v>1089</v>
      </c>
      <c r="H32" s="4">
        <f ca="1">T_Facebook_Ads[[#This Row],[spend]]*RANDBETWEEN(8,12)/10</f>
        <v>133.73999999999998</v>
      </c>
      <c r="I32" s="4">
        <f ca="1">ROUND(T_Facebook_Ads[[#This Row],[conversions]]*RANDBETWEEN(8,12)/10,0)</f>
        <v>20</v>
      </c>
      <c r="J32" s="4">
        <f ca="1">ROUND(T_Facebook_Ads[[#This Row],[video_views]]*RANDBETWEEN(8,12)/10,0)</f>
        <v>11480</v>
      </c>
      <c r="K32" s="4">
        <f ca="1">T_Facebook_Ads[[#This Row],[engagement_rate]]*RANDBETWEEN(8,12)/10</f>
        <v>1.6719999999999999E-2</v>
      </c>
      <c r="L32" s="4">
        <f ca="1">ROUND(T_Facebook_Ads[[#This Row],[reach]]*RANDBETWEEN(8,12)/10,0)</f>
        <v>34587</v>
      </c>
      <c r="M32" s="4">
        <f ca="1">T_Facebook_Ads[[#This Row],[frequency]]*RANDBETWEEN(8,12)/10</f>
        <v>0.96799999999999997</v>
      </c>
      <c r="O32" s="3">
        <f t="shared" ca="1" si="1"/>
        <v>45094</v>
      </c>
      <c r="P32" s="4" t="s">
        <v>76</v>
      </c>
      <c r="Q32" s="4" t="s">
        <v>77</v>
      </c>
      <c r="R32" s="4" t="s">
        <v>78</v>
      </c>
      <c r="S32" s="4" t="s">
        <v>79</v>
      </c>
      <c r="T32" s="4">
        <f ca="1">ROUND(_Google_ads[[#This Row],[impressions]]*RANDBETWEEN(8,12)/10,0)</f>
        <v>28857</v>
      </c>
      <c r="U32" s="4">
        <f ca="1">ROUND(_Google_ads[[#This Row],[clicks]]*RANDBETWEEN(8,12)/10,0)</f>
        <v>1240</v>
      </c>
      <c r="V32" s="4">
        <f ca="1">_Google_ads[[#This Row],[cost]]*RANDBETWEEN(8,12)/10</f>
        <v>289.73999999999995</v>
      </c>
      <c r="W32" s="4">
        <f ca="1">ROUND(_Google_ads[[#This Row],[conversions]]*RANDBETWEEN(8,12)/10,0)</f>
        <v>57</v>
      </c>
      <c r="X32" s="4">
        <f ca="1">ROUND(_Google_ads[[#This Row],[conversion_value]]*RANDBETWEEN(8,12)/10,0)</f>
        <v>2080</v>
      </c>
      <c r="Y32" s="4">
        <f ca="1">_Google_ads[[#This Row],[ctr]]*RANDBETWEEN(8,12)/10</f>
        <v>5.2500000000000005E-2</v>
      </c>
      <c r="Z32" s="4">
        <f ca="1">_Google_ads[[#This Row],[avg_cpc]]*RANDBETWEEN(8,12)/10</f>
        <v>0.22800000000000004</v>
      </c>
      <c r="AA32" s="4">
        <f ca="1">ROUND(_Google_ads[[#This Row],[quality_score]]*RANDBETWEEN(8,12)/10,0)</f>
        <v>8</v>
      </c>
      <c r="AB32" s="4">
        <f ca="1">_Google_ads[[#This Row],[search_impression_share]]*RANDBETWEEN(8,12)/10</f>
        <v>1.1040000000000001</v>
      </c>
      <c r="AD32" s="3">
        <f t="shared" ca="1" si="2"/>
        <v>45082</v>
      </c>
      <c r="AE32" s="4" t="s">
        <v>100</v>
      </c>
      <c r="AF32" s="4" t="s">
        <v>101</v>
      </c>
      <c r="AG32" s="4" t="s">
        <v>102</v>
      </c>
      <c r="AH32" s="4" t="s">
        <v>103</v>
      </c>
      <c r="AI32" s="4">
        <f ca="1">ROUND(T_Tiktok_ads[[#This Row],[impressions]]*RANDBETWEEN(8,12)/10,0)</f>
        <v>223121</v>
      </c>
      <c r="AJ32" s="4">
        <f ca="1">ROUND(T_Tiktok_ads[[#This Row],[clicks]]*RANDBETWEEN(8,12)/10,0)</f>
        <v>4123</v>
      </c>
      <c r="AK32" s="4">
        <v>523.6</v>
      </c>
      <c r="AL32" s="4">
        <f ca="1">ROUND(T_Tiktok_ads[[#This Row],[conversions]]*RANDBETWEEN(8,12)/10,0)</f>
        <v>50</v>
      </c>
      <c r="AM32" s="4">
        <f ca="1">ROUND(T_Tiktok_ads[[#This Row],[video_views]]*RANDBETWEEN(8,12)/10,0)</f>
        <v>211110</v>
      </c>
      <c r="AN32" s="4">
        <f ca="1">ROUND(T_Tiktok_ads[[#This Row],[video_watch_25]]*RANDBETWEEN(8,12)/10,0)</f>
        <v>182345</v>
      </c>
      <c r="AO32" s="4">
        <f ca="1">ROUND(T_Tiktok_ads[[#This Row],[video_watch_50]]*RANDBETWEEN(8,12)/10,0)</f>
        <v>114567</v>
      </c>
      <c r="AP32" s="4">
        <f ca="1">ROUND(T_Tiktok_ads[[#This Row],[video_watch_75]]*RANDBETWEEN(8,12)/10,0)</f>
        <v>69511</v>
      </c>
      <c r="AQ32" s="4">
        <f ca="1">ROUND(T_Tiktok_ads[[#This Row],[video_watch_100]]*RANDBETWEEN(8,12)/10,0)</f>
        <v>46111</v>
      </c>
      <c r="AR32" s="4">
        <f ca="1">ROUND(T_Tiktok_ads[[#This Row],[likes]]*RANDBETWEEN(8,12)/10,0)</f>
        <v>9311</v>
      </c>
      <c r="AS32" s="4">
        <f ca="1">ROUND(T_Tiktok_ads[[#This Row],[shares]]*RANDBETWEEN(8,12)/10,0)</f>
        <v>3347</v>
      </c>
      <c r="AT32" s="4">
        <f ca="1">ROUND(T_Tiktok_ads[[#This Row],[comments]]*RANDBETWEEN(8,12)/10,0)</f>
        <v>787</v>
      </c>
      <c r="AV32" s="5">
        <f t="shared" ca="1" si="3"/>
        <v>45079</v>
      </c>
      <c r="AW32">
        <f t="shared" ca="1" si="4"/>
        <v>2</v>
      </c>
      <c r="AX32">
        <f ca="1">ROUND(T_Facebook_Ads115963677175[[#This Row],[impressions]]*RANDBETWEEN(8,12)/10,0)</f>
        <v>37529</v>
      </c>
      <c r="AY32">
        <f ca="1">ROUND(T_Facebook_Ads115963677175[[#This Row],[clicks]]*RANDBETWEEN(8,12)/10,0)</f>
        <v>980</v>
      </c>
      <c r="AZ32">
        <f ca="1">T_Facebook_Ads115963677175[[#This Row],[spend]]*RANDBETWEEN(8,12)/10</f>
        <v>160.48799999999997</v>
      </c>
      <c r="BA32">
        <f ca="1">ROUND(T_Facebook_Ads115963677175[[#This Row],[conversions]]*RANDBETWEEN(8,12)/10,0)</f>
        <v>22</v>
      </c>
      <c r="BB32">
        <f ca="1">ROUND(T_Facebook_Ads115963677175[[#This Row],[video_views]]*RANDBETWEEN(8,12)/10,0)</f>
        <v>9184</v>
      </c>
    </row>
    <row r="33" spans="1:54" ht="15.75" thickBot="1" x14ac:dyDescent="0.3">
      <c r="A33" s="3">
        <f t="shared" ca="1" si="0"/>
        <v>45100</v>
      </c>
      <c r="B33" s="4" t="s">
        <v>56</v>
      </c>
      <c r="C33" s="4" t="s">
        <v>57</v>
      </c>
      <c r="D33" s="4" t="s">
        <v>58</v>
      </c>
      <c r="E33" s="4" t="s">
        <v>59</v>
      </c>
      <c r="F33" s="4">
        <f ca="1">ROUND(T_Facebook_Ads[[#This Row],[impressions]]*RANDBETWEEN(8,12)/10,0)</f>
        <v>14567</v>
      </c>
      <c r="G33" s="4">
        <v>723</v>
      </c>
      <c r="H33" s="4">
        <f ca="1">T_Facebook_Ads[[#This Row],[spend]]*RANDBETWEEN(8,12)/10</f>
        <v>256.39999999999998</v>
      </c>
      <c r="I33" s="4">
        <f ca="1">ROUND(T_Facebook_Ads[[#This Row],[conversions]]*RANDBETWEEN(8,12)/10,0)</f>
        <v>44</v>
      </c>
      <c r="J33" s="4">
        <f ca="1">ROUND(T_Facebook_Ads[[#This Row],[video_views]]*RANDBETWEEN(8,12)/10,0)</f>
        <v>1934</v>
      </c>
      <c r="K33" s="4">
        <f ca="1">T_Facebook_Ads[[#This Row],[engagement_rate]]*RANDBETWEEN(8,12)/10</f>
        <v>5.4559999999999997E-2</v>
      </c>
      <c r="L33" s="4">
        <f ca="1">ROUND(T_Facebook_Ads[[#This Row],[reach]]*RANDBETWEEN(8,12)/10,0)</f>
        <v>13747</v>
      </c>
      <c r="M33" s="4">
        <f ca="1">T_Facebook_Ads[[#This Row],[frequency]]*RANDBETWEEN(8,12)/10</f>
        <v>1.143</v>
      </c>
      <c r="O33" s="3">
        <f t="shared" ca="1" si="1"/>
        <v>45090</v>
      </c>
      <c r="P33" s="4" t="s">
        <v>80</v>
      </c>
      <c r="Q33" s="4" t="s">
        <v>81</v>
      </c>
      <c r="R33" s="4" t="s">
        <v>82</v>
      </c>
      <c r="S33" s="4" t="s">
        <v>83</v>
      </c>
      <c r="T33" s="4">
        <f ca="1">ROUND(_Google_ads[[#This Row],[impressions]]*RANDBETWEEN(8,12)/10,0)</f>
        <v>52679</v>
      </c>
      <c r="U33" s="4">
        <f ca="1">ROUND(_Google_ads[[#This Row],[clicks]]*RANDBETWEEN(8,12)/10,0)</f>
        <v>934</v>
      </c>
      <c r="V33" s="4">
        <f ca="1">_Google_ads[[#This Row],[cost]]*RANDBETWEEN(8,12)/10</f>
        <v>612.5</v>
      </c>
      <c r="W33" s="4">
        <f ca="1">ROUND(_Google_ads[[#This Row],[conversions]]*RANDBETWEEN(8,12)/10,0)</f>
        <v>31</v>
      </c>
      <c r="X33" s="4">
        <f ca="1">ROUND(_Google_ads[[#This Row],[conversion_value]]*RANDBETWEEN(8,12)/10,0)</f>
        <v>1040</v>
      </c>
      <c r="Y33" s="4">
        <f ca="1">_Google_ads[[#This Row],[ctr]]*RANDBETWEEN(8,12)/10</f>
        <v>2.3399999999999997E-2</v>
      </c>
      <c r="Z33" s="4">
        <f ca="1">_Google_ads[[#This Row],[avg_cpc]]*RANDBETWEEN(8,12)/10</f>
        <v>0.59400000000000008</v>
      </c>
      <c r="AA33" s="4">
        <f ca="1">ROUND(_Google_ads[[#This Row],[quality_score]]*RANDBETWEEN(8,12)/10,0)</f>
        <v>6</v>
      </c>
      <c r="AB33" s="4">
        <f ca="1">_Google_ads[[#This Row],[search_impression_share]]*RANDBETWEEN(8,12)/10</f>
        <v>0.41400000000000003</v>
      </c>
      <c r="AD33" s="3">
        <f t="shared" ca="1" si="2"/>
        <v>45087</v>
      </c>
      <c r="AE33" s="4" t="s">
        <v>104</v>
      </c>
      <c r="AF33" s="4" t="s">
        <v>105</v>
      </c>
      <c r="AG33" s="4" t="s">
        <v>106</v>
      </c>
      <c r="AH33" s="4" t="s">
        <v>107</v>
      </c>
      <c r="AI33" s="4">
        <f ca="1">ROUND(T_Tiktok_ads[[#This Row],[impressions]]*RANDBETWEEN(8,12)/10,0)</f>
        <v>172468</v>
      </c>
      <c r="AJ33" s="4">
        <f ca="1">ROUND(T_Tiktok_ads[[#This Row],[clicks]]*RANDBETWEEN(8,12)/10,0)</f>
        <v>3313</v>
      </c>
      <c r="AK33" s="4">
        <v>812.3</v>
      </c>
      <c r="AL33" s="4">
        <f ca="1">ROUND(T_Tiktok_ads[[#This Row],[conversions]]*RANDBETWEEN(8,12)/10,0)</f>
        <v>66</v>
      </c>
      <c r="AM33" s="4">
        <f ca="1">ROUND(T_Tiktok_ads[[#This Row],[video_views]]*RANDBETWEEN(8,12)/10,0)</f>
        <v>98888</v>
      </c>
      <c r="AN33" s="4">
        <f ca="1">ROUND(T_Tiktok_ads[[#This Row],[video_watch_25]]*RANDBETWEEN(8,12)/10,0)</f>
        <v>64987</v>
      </c>
      <c r="AO33" s="4">
        <f ca="1">ROUND(T_Tiktok_ads[[#This Row],[video_watch_50]]*RANDBETWEEN(8,12)/10,0)</f>
        <v>65614</v>
      </c>
      <c r="AP33" s="4">
        <f ca="1">ROUND(T_Tiktok_ads[[#This Row],[video_watch_75]]*RANDBETWEEN(8,12)/10,0)</f>
        <v>41234</v>
      </c>
      <c r="AQ33" s="4">
        <f ca="1">ROUND(T_Tiktok_ads[[#This Row],[video_watch_100]]*RANDBETWEEN(8,12)/10,0)</f>
        <v>27567</v>
      </c>
      <c r="AR33" s="4">
        <f ca="1">ROUND(T_Tiktok_ads[[#This Row],[likes]]*RANDBETWEEN(8,12)/10,0)</f>
        <v>6547</v>
      </c>
      <c r="AS33" s="4">
        <f ca="1">ROUND(T_Tiktok_ads[[#This Row],[shares]]*RANDBETWEEN(8,12)/10,0)</f>
        <v>1724</v>
      </c>
      <c r="AT33" s="4">
        <f ca="1">ROUND(T_Tiktok_ads[[#This Row],[comments]]*RANDBETWEEN(8,12)/10,0)</f>
        <v>289</v>
      </c>
      <c r="AV33" s="5">
        <f t="shared" ca="1" si="3"/>
        <v>45088</v>
      </c>
      <c r="AW33">
        <f t="shared" ca="1" si="4"/>
        <v>3</v>
      </c>
      <c r="AX33">
        <f ca="1">ROUND(T_Facebook_Ads115963677175[[#This Row],[impressions]]*RANDBETWEEN(8,12)/10,0)</f>
        <v>11654</v>
      </c>
      <c r="AY33">
        <f ca="1">ROUND(T_Facebook_Ads115963677175[[#This Row],[clicks]]*RANDBETWEEN(8,12)/10,0)</f>
        <v>723</v>
      </c>
      <c r="AZ33">
        <f ca="1">T_Facebook_Ads115963677175[[#This Row],[spend]]*RANDBETWEEN(8,12)/10</f>
        <v>230.76</v>
      </c>
      <c r="BA33">
        <f ca="1">ROUND(T_Facebook_Ads115963677175[[#This Row],[conversions]]*RANDBETWEEN(8,12)/10,0)</f>
        <v>35</v>
      </c>
      <c r="BB33">
        <f ca="1">ROUND(T_Facebook_Ads115963677175[[#This Row],[video_views]]*RANDBETWEEN(8,12)/10,0)</f>
        <v>1547</v>
      </c>
    </row>
    <row r="34" spans="1:54" ht="15.75" thickBot="1" x14ac:dyDescent="0.3">
      <c r="A34" s="3">
        <f t="shared" ref="A34:A65" ca="1" si="5">DATE(2023,6,RANDBETWEEN(1,30))</f>
        <v>45079</v>
      </c>
      <c r="B34" s="4" t="s">
        <v>60</v>
      </c>
      <c r="C34" s="4" t="s">
        <v>61</v>
      </c>
      <c r="D34" s="4" t="s">
        <v>62</v>
      </c>
      <c r="E34" s="4" t="s">
        <v>63</v>
      </c>
      <c r="F34" s="4">
        <f ca="1">ROUND(T_Facebook_Ads[[#This Row],[impressions]]*RANDBETWEEN(8,12)/10,0)</f>
        <v>47747</v>
      </c>
      <c r="G34" s="4">
        <v>1534</v>
      </c>
      <c r="H34" s="4">
        <f ca="1">T_Facebook_Ads[[#This Row],[spend]]*RANDBETWEEN(8,12)/10</f>
        <v>203.22</v>
      </c>
      <c r="I34" s="4">
        <f ca="1">ROUND(T_Facebook_Ads[[#This Row],[conversions]]*RANDBETWEEN(8,12)/10,0)</f>
        <v>31</v>
      </c>
      <c r="J34" s="4">
        <f ca="1">ROUND(T_Facebook_Ads[[#This Row],[video_views]]*RANDBETWEEN(8,12)/10,0)</f>
        <v>4365</v>
      </c>
      <c r="K34" s="4">
        <f ca="1">T_Facebook_Ads[[#This Row],[engagement_rate]]*RANDBETWEEN(8,12)/10</f>
        <v>3.4740000000000007E-2</v>
      </c>
      <c r="L34" s="4">
        <f ca="1">ROUND(T_Facebook_Ads[[#This Row],[reach]]*RANDBETWEEN(8,12)/10,0)</f>
        <v>26054</v>
      </c>
      <c r="M34" s="4">
        <f ca="1">T_Facebook_Ads[[#This Row],[frequency]]*RANDBETWEEN(8,12)/10</f>
        <v>0.97599999999999998</v>
      </c>
      <c r="O34" s="3">
        <f t="shared" ref="O34:O65" ca="1" si="6">DATE(2023,6,RANDBETWEEN(1,30))</f>
        <v>45078</v>
      </c>
      <c r="P34" s="4" t="s">
        <v>84</v>
      </c>
      <c r="Q34" s="4" t="s">
        <v>85</v>
      </c>
      <c r="R34" s="4" t="s">
        <v>86</v>
      </c>
      <c r="S34" s="4" t="s">
        <v>87</v>
      </c>
      <c r="T34" s="4">
        <f ca="1">ROUND(_Google_ads[[#This Row],[impressions]]*RANDBETWEEN(8,12)/10,0)</f>
        <v>71234</v>
      </c>
      <c r="U34" s="4">
        <f ca="1">ROUND(_Google_ads[[#This Row],[clicks]]*RANDBETWEEN(8,12)/10,0)</f>
        <v>2947</v>
      </c>
      <c r="V34" s="4">
        <f ca="1">_Google_ads[[#This Row],[cost]]*RANDBETWEEN(8,12)/10</f>
        <v>490.38</v>
      </c>
      <c r="W34" s="4">
        <f ca="1">ROUND(_Google_ads[[#This Row],[conversions]]*RANDBETWEEN(8,12)/10,0)</f>
        <v>85</v>
      </c>
      <c r="X34" s="4">
        <f ca="1">ROUND(_Google_ads[[#This Row],[conversion_value]]*RANDBETWEEN(8,12)/10,0)</f>
        <v>4260</v>
      </c>
      <c r="Y34" s="4">
        <f ca="1">_Google_ads[[#This Row],[ctr]]*RANDBETWEEN(8,12)/10</f>
        <v>3.4500000000000003E-2</v>
      </c>
      <c r="Z34" s="4">
        <f ca="1">_Google_ads[[#This Row],[avg_cpc]]*RANDBETWEEN(8,12)/10</f>
        <v>0.21600000000000003</v>
      </c>
      <c r="AA34" s="4">
        <f ca="1">ROUND(_Google_ads[[#This Row],[quality_score]]*RANDBETWEEN(8,12)/10,0)</f>
        <v>6</v>
      </c>
      <c r="AB34" s="4">
        <f ca="1">_Google_ads[[#This Row],[search_impression_share]]*RANDBETWEEN(8,12)/10</f>
        <v>0.61199999999999999</v>
      </c>
      <c r="AD34" s="3">
        <f t="shared" ref="AD34:AD65" ca="1" si="7">DATE(2023,6,RANDBETWEEN(1,30))</f>
        <v>45107</v>
      </c>
      <c r="AE34" s="4" t="s">
        <v>108</v>
      </c>
      <c r="AF34" s="4" t="s">
        <v>109</v>
      </c>
      <c r="AG34" s="4" t="s">
        <v>110</v>
      </c>
      <c r="AH34" s="4" t="s">
        <v>111</v>
      </c>
      <c r="AI34" s="4">
        <f ca="1">ROUND(T_Tiktok_ads[[#This Row],[impressions]]*RANDBETWEEN(8,12)/10,0)</f>
        <v>258024</v>
      </c>
      <c r="AJ34" s="4">
        <f ca="1">ROUND(T_Tiktok_ads[[#This Row],[clicks]]*RANDBETWEEN(8,12)/10,0)</f>
        <v>3031</v>
      </c>
      <c r="AK34" s="4">
        <v>456.8</v>
      </c>
      <c r="AL34" s="4">
        <f ca="1">ROUND(T_Tiktok_ads[[#This Row],[conversions]]*RANDBETWEEN(8,12)/10,0)</f>
        <v>36</v>
      </c>
      <c r="AM34" s="4">
        <f ca="1">ROUND(T_Tiktok_ads[[#This Row],[video_views]]*RANDBETWEEN(8,12)/10,0)</f>
        <v>170311</v>
      </c>
      <c r="AN34" s="4">
        <f ca="1">ROUND(T_Tiktok_ads[[#This Row],[video_watch_25]]*RANDBETWEEN(8,12)/10,0)</f>
        <v>157924</v>
      </c>
      <c r="AO34" s="4">
        <f ca="1">ROUND(T_Tiktok_ads[[#This Row],[video_watch_50]]*RANDBETWEEN(8,12)/10,0)</f>
        <v>102110</v>
      </c>
      <c r="AP34" s="4">
        <f ca="1">ROUND(T_Tiktok_ads[[#This Row],[video_watch_75]]*RANDBETWEEN(8,12)/10,0)</f>
        <v>73456</v>
      </c>
      <c r="AQ34" s="4">
        <f ca="1">ROUND(T_Tiktok_ads[[#This Row],[video_watch_100]]*RANDBETWEEN(8,12)/10,0)</f>
        <v>35654</v>
      </c>
      <c r="AR34" s="4">
        <f ca="1">ROUND(T_Tiktok_ads[[#This Row],[likes]]*RANDBETWEEN(8,12)/10,0)</f>
        <v>8789</v>
      </c>
      <c r="AS34" s="4">
        <f ca="1">ROUND(T_Tiktok_ads[[#This Row],[shares]]*RANDBETWEEN(8,12)/10,0)</f>
        <v>2191</v>
      </c>
      <c r="AT34" s="4">
        <f ca="1">ROUND(T_Tiktok_ads[[#This Row],[comments]]*RANDBETWEEN(8,12)/10,0)</f>
        <v>567</v>
      </c>
      <c r="AV34" s="5">
        <f t="shared" ref="AV34:AV65" ca="1" si="8">DATE(2023,6,RANDBETWEEN(1,30))</f>
        <v>45078</v>
      </c>
      <c r="AW34">
        <f t="shared" ca="1" si="4"/>
        <v>1</v>
      </c>
      <c r="AX34">
        <f ca="1">ROUND(T_Facebook_Ads115963677175[[#This Row],[impressions]]*RANDBETWEEN(8,12)/10,0)</f>
        <v>47747</v>
      </c>
      <c r="AY34">
        <f ca="1">ROUND(T_Facebook_Ads115963677175[[#This Row],[clicks]]*RANDBETWEEN(8,12)/10,0)</f>
        <v>1227</v>
      </c>
      <c r="AZ34">
        <f ca="1">T_Facebook_Ads115963677175[[#This Row],[spend]]*RANDBETWEEN(8,12)/10</f>
        <v>243.86399999999998</v>
      </c>
      <c r="BA34">
        <f ca="1">ROUND(T_Facebook_Ads115963677175[[#This Row],[conversions]]*RANDBETWEEN(8,12)/10,0)</f>
        <v>31</v>
      </c>
      <c r="BB34">
        <f ca="1">ROUND(T_Facebook_Ads115963677175[[#This Row],[video_views]]*RANDBETWEEN(8,12)/10,0)</f>
        <v>3492</v>
      </c>
    </row>
    <row r="35" spans="1:54" ht="15.75" thickBot="1" x14ac:dyDescent="0.3">
      <c r="A35" s="3">
        <f t="shared" ca="1" si="5"/>
        <v>45107</v>
      </c>
      <c r="B35" s="4" t="s">
        <v>64</v>
      </c>
      <c r="C35" s="4" t="s">
        <v>65</v>
      </c>
      <c r="D35" s="4" t="s">
        <v>66</v>
      </c>
      <c r="E35" s="4" t="s">
        <v>67</v>
      </c>
      <c r="F35" s="4">
        <f ca="1">ROUND(T_Facebook_Ads[[#This Row],[impressions]]*RANDBETWEEN(8,12)/10,0)</f>
        <v>68611</v>
      </c>
      <c r="G35" s="4">
        <v>278</v>
      </c>
      <c r="H35" s="4">
        <f ca="1">T_Facebook_Ads[[#This Row],[spend]]*RANDBETWEEN(8,12)/10</f>
        <v>121.8</v>
      </c>
      <c r="I35" s="4">
        <f ca="1">ROUND(T_Facebook_Ads[[#This Row],[conversions]]*RANDBETWEEN(8,12)/10,0)</f>
        <v>8</v>
      </c>
      <c r="J35" s="4">
        <f ca="1">ROUND(T_Facebook_Ads[[#This Row],[video_views]]*RANDBETWEEN(8,12)/10,0)</f>
        <v>47111</v>
      </c>
      <c r="K35" s="4">
        <f ca="1">T_Facebook_Ads[[#This Row],[engagement_rate]]*RANDBETWEEN(8,12)/10</f>
        <v>2.96E-3</v>
      </c>
      <c r="L35" s="4">
        <f ca="1">ROUND(T_Facebook_Ads[[#This Row],[reach]]*RANDBETWEEN(8,12)/10,0)</f>
        <v>49965</v>
      </c>
      <c r="M35" s="4">
        <f ca="1">T_Facebook_Ads[[#This Row],[frequency]]*RANDBETWEEN(8,12)/10</f>
        <v>1.3420000000000001</v>
      </c>
      <c r="O35" s="3">
        <f t="shared" ca="1" si="6"/>
        <v>45091</v>
      </c>
      <c r="P35" s="4" t="s">
        <v>88</v>
      </c>
      <c r="Q35" s="4" t="s">
        <v>89</v>
      </c>
      <c r="R35" s="4" t="s">
        <v>90</v>
      </c>
      <c r="S35" s="4" t="s">
        <v>59</v>
      </c>
      <c r="T35" s="4">
        <f ca="1">ROUND(_Google_ads[[#This Row],[impressions]]*RANDBETWEEN(8,12)/10,0)</f>
        <v>150468</v>
      </c>
      <c r="U35" s="4">
        <f ca="1">ROUND(_Google_ads[[#This Row],[clicks]]*RANDBETWEEN(8,12)/10,0)</f>
        <v>461</v>
      </c>
      <c r="V35" s="4">
        <f ca="1">_Google_ads[[#This Row],[cost]]*RANDBETWEEN(8,12)/10</f>
        <v>170.76000000000002</v>
      </c>
      <c r="W35" s="4">
        <f ca="1">ROUND(_Google_ads[[#This Row],[conversions]]*RANDBETWEEN(8,12)/10,0)</f>
        <v>17</v>
      </c>
      <c r="X35" s="4">
        <f ca="1">ROUND(_Google_ads[[#This Row],[conversion_value]]*RANDBETWEEN(8,12)/10,0)</f>
        <v>750</v>
      </c>
      <c r="Y35" s="4">
        <f ca="1">_Google_ads[[#This Row],[ctr]]*RANDBETWEEN(8,12)/10</f>
        <v>4.4400000000000004E-3</v>
      </c>
      <c r="Z35" s="4">
        <f ca="1">_Google_ads[[#This Row],[avg_cpc]]*RANDBETWEEN(8,12)/10</f>
        <v>0.33600000000000002</v>
      </c>
      <c r="AA35" s="4">
        <f ca="1">ROUND(_Google_ads[[#This Row],[quality_score]]*RANDBETWEEN(8,12)/10,0)</f>
        <v>7</v>
      </c>
      <c r="AB35" s="4">
        <f ca="1">_Google_ads[[#This Row],[search_impression_share]]*RANDBETWEEN(8,12)/10</f>
        <v>0.36</v>
      </c>
      <c r="AD35" s="3">
        <f t="shared" ca="1" si="7"/>
        <v>45097</v>
      </c>
      <c r="AE35" s="4" t="s">
        <v>112</v>
      </c>
      <c r="AF35" s="4" t="s">
        <v>113</v>
      </c>
      <c r="AG35" s="4" t="s">
        <v>114</v>
      </c>
      <c r="AH35" s="4" t="s">
        <v>115</v>
      </c>
      <c r="AI35" s="4">
        <f ca="1">ROUND(T_Tiktok_ads[[#This Row],[impressions]]*RANDBETWEEN(8,12)/10,0)</f>
        <v>329876</v>
      </c>
      <c r="AJ35" s="4">
        <f ca="1">ROUND(T_Tiktok_ads[[#This Row],[clicks]]*RANDBETWEEN(8,12)/10,0)</f>
        <v>6789</v>
      </c>
      <c r="AK35" s="4">
        <v>1023.4</v>
      </c>
      <c r="AL35" s="4">
        <f ca="1">ROUND(T_Tiktok_ads[[#This Row],[conversions]]*RANDBETWEEN(8,12)/10,0)</f>
        <v>82</v>
      </c>
      <c r="AM35" s="4">
        <f ca="1">ROUND(T_Tiktok_ads[[#This Row],[video_views]]*RANDBETWEEN(8,12)/10,0)</f>
        <v>276542</v>
      </c>
      <c r="AN35" s="4">
        <f ca="1">ROUND(T_Tiktok_ads[[#This Row],[video_watch_25]]*RANDBETWEEN(8,12)/10,0)</f>
        <v>278901</v>
      </c>
      <c r="AO35" s="4">
        <f ca="1">ROUND(T_Tiktok_ads[[#This Row],[video_watch_50]]*RANDBETWEEN(8,12)/10,0)</f>
        <v>178765</v>
      </c>
      <c r="AP35" s="4">
        <f ca="1">ROUND(T_Tiktok_ads[[#This Row],[video_watch_75]]*RANDBETWEEN(8,12)/10,0)</f>
        <v>191081</v>
      </c>
      <c r="AQ35" s="4">
        <f ca="1">ROUND(T_Tiktok_ads[[#This Row],[video_watch_100]]*RANDBETWEEN(8,12)/10,0)</f>
        <v>95110</v>
      </c>
      <c r="AR35" s="4">
        <f ca="1">ROUND(T_Tiktok_ads[[#This Row],[likes]]*RANDBETWEEN(8,12)/10,0)</f>
        <v>16411</v>
      </c>
      <c r="AS35" s="4">
        <f ca="1">ROUND(T_Tiktok_ads[[#This Row],[shares]]*RANDBETWEEN(8,12)/10,0)</f>
        <v>6281</v>
      </c>
      <c r="AT35" s="4">
        <f ca="1">ROUND(T_Tiktok_ads[[#This Row],[comments]]*RANDBETWEEN(8,12)/10,0)</f>
        <v>1165</v>
      </c>
      <c r="AV35" s="5">
        <f t="shared" ca="1" si="8"/>
        <v>45107</v>
      </c>
      <c r="AW35">
        <f t="shared" ca="1" si="4"/>
        <v>3</v>
      </c>
      <c r="AX35">
        <f ca="1">ROUND(T_Facebook_Ads115963677175[[#This Row],[impressions]]*RANDBETWEEN(8,12)/10,0)</f>
        <v>68611</v>
      </c>
      <c r="AY35">
        <f ca="1">ROUND(T_Facebook_Ads115963677175[[#This Row],[clicks]]*RANDBETWEEN(8,12)/10,0)</f>
        <v>278</v>
      </c>
      <c r="AZ35">
        <f ca="1">T_Facebook_Ads115963677175[[#This Row],[spend]]*RANDBETWEEN(8,12)/10</f>
        <v>133.97999999999999</v>
      </c>
      <c r="BA35">
        <f ca="1">ROUND(T_Facebook_Ads115963677175[[#This Row],[conversions]]*RANDBETWEEN(8,12)/10,0)</f>
        <v>8</v>
      </c>
      <c r="BB35">
        <f ca="1">ROUND(T_Facebook_Ads115963677175[[#This Row],[video_views]]*RANDBETWEEN(8,12)/10,0)</f>
        <v>56533</v>
      </c>
    </row>
    <row r="36" spans="1:54" ht="15.75" thickBot="1" x14ac:dyDescent="0.3">
      <c r="A36" s="3">
        <f t="shared" ca="1" si="5"/>
        <v>45096</v>
      </c>
      <c r="B36" s="4" t="s">
        <v>52</v>
      </c>
      <c r="C36" s="4" t="s">
        <v>53</v>
      </c>
      <c r="D36" s="4" t="s">
        <v>54</v>
      </c>
      <c r="E36" s="4" t="s">
        <v>55</v>
      </c>
      <c r="F36" s="4">
        <f ca="1">ROUND(T_Facebook_Ads[[#This Row],[impressions]]*RANDBETWEEN(8,12)/10,0)</f>
        <v>44311</v>
      </c>
      <c r="G36" s="4">
        <v>1012</v>
      </c>
      <c r="H36" s="4">
        <f ca="1">T_Facebook_Ads[[#This Row],[spend]]*RANDBETWEEN(8,12)/10</f>
        <v>112.24000000000001</v>
      </c>
      <c r="I36" s="4">
        <f ca="1">ROUND(T_Facebook_Ads[[#This Row],[conversions]]*RANDBETWEEN(8,12)/10,0)</f>
        <v>14</v>
      </c>
      <c r="J36" s="4">
        <f ca="1">ROUND(T_Facebook_Ads[[#This Row],[video_views]]*RANDBETWEEN(8,12)/10,0)</f>
        <v>10035</v>
      </c>
      <c r="K36" s="4">
        <f ca="1">T_Facebook_Ads[[#This Row],[engagement_rate]]*RANDBETWEEN(8,12)/10</f>
        <v>2.266E-2</v>
      </c>
      <c r="L36" s="4">
        <f ca="1">ROUND(T_Facebook_Ads[[#This Row],[reach]]*RANDBETWEEN(8,12)/10,0)</f>
        <v>33254</v>
      </c>
      <c r="M36" s="4">
        <f ca="1">T_Facebook_Ads[[#This Row],[frequency]]*RANDBETWEEN(8,12)/10</f>
        <v>0.94399999999999995</v>
      </c>
      <c r="O36" s="3">
        <f t="shared" ca="1" si="6"/>
        <v>45082</v>
      </c>
      <c r="P36" s="4" t="s">
        <v>76</v>
      </c>
      <c r="Q36" s="4" t="s">
        <v>77</v>
      </c>
      <c r="R36" s="4" t="s">
        <v>78</v>
      </c>
      <c r="S36" s="4" t="s">
        <v>79</v>
      </c>
      <c r="T36" s="4">
        <f ca="1">ROUND(_Google_ads[[#This Row],[impressions]]*RANDBETWEEN(8,12)/10,0)</f>
        <v>27635</v>
      </c>
      <c r="U36" s="4">
        <f ca="1">ROUND(_Google_ads[[#This Row],[clicks]]*RANDBETWEEN(8,12)/10,0)</f>
        <v>1574</v>
      </c>
      <c r="V36" s="4">
        <f ca="1">_Google_ads[[#This Row],[cost]]*RANDBETWEEN(8,12)/10</f>
        <v>300.48</v>
      </c>
      <c r="W36" s="4">
        <f ca="1">ROUND(_Google_ads[[#This Row],[conversions]]*RANDBETWEEN(8,12)/10,0)</f>
        <v>59</v>
      </c>
      <c r="X36" s="4">
        <f ca="1">ROUND(_Google_ads[[#This Row],[conversion_value]]*RANDBETWEEN(8,12)/10,0)</f>
        <v>2205</v>
      </c>
      <c r="Y36" s="4">
        <f ca="1">_Google_ads[[#This Row],[ctr]]*RANDBETWEEN(8,12)/10</f>
        <v>4.6980000000000008E-2</v>
      </c>
      <c r="Z36" s="4">
        <f ca="1">_Google_ads[[#This Row],[avg_cpc]]*RANDBETWEEN(8,12)/10</f>
        <v>0.152</v>
      </c>
      <c r="AA36" s="4">
        <f ca="1">ROUND(_Google_ads[[#This Row],[quality_score]]*RANDBETWEEN(8,12)/10,0)</f>
        <v>10</v>
      </c>
      <c r="AB36" s="4">
        <f ca="1">_Google_ads[[#This Row],[search_impression_share]]*RANDBETWEEN(8,12)/10</f>
        <v>1.0009999999999999</v>
      </c>
      <c r="AD36" s="3">
        <f t="shared" ca="1" si="7"/>
        <v>45087</v>
      </c>
      <c r="AE36" s="4" t="s">
        <v>100</v>
      </c>
      <c r="AF36" s="4" t="s">
        <v>101</v>
      </c>
      <c r="AG36" s="4" t="s">
        <v>102</v>
      </c>
      <c r="AH36" s="4" t="s">
        <v>103</v>
      </c>
      <c r="AI36" s="4">
        <f ca="1">ROUND(T_Tiktok_ads[[#This Row],[impressions]]*RANDBETWEEN(8,12)/10,0)</f>
        <v>267890</v>
      </c>
      <c r="AJ36" s="4">
        <f ca="1">ROUND(T_Tiktok_ads[[#This Row],[clicks]]*RANDBETWEEN(8,12)/10,0)</f>
        <v>4734</v>
      </c>
      <c r="AK36" s="4">
        <v>501.2</v>
      </c>
      <c r="AL36" s="4">
        <f ca="1">ROUND(T_Tiktok_ads[[#This Row],[conversions]]*RANDBETWEEN(8,12)/10,0)</f>
        <v>48</v>
      </c>
      <c r="AM36" s="4">
        <f ca="1">ROUND(T_Tiktok_ads[[#This Row],[video_views]]*RANDBETWEEN(8,12)/10,0)</f>
        <v>243357</v>
      </c>
      <c r="AN36" s="4">
        <f ca="1">ROUND(T_Tiktok_ads[[#This Row],[video_watch_25]]*RANDBETWEEN(8,12)/10,0)</f>
        <v>156110</v>
      </c>
      <c r="AO36" s="4">
        <f ca="1">ROUND(T_Tiktok_ads[[#This Row],[video_watch_50]]*RANDBETWEEN(8,12)/10,0)</f>
        <v>87387</v>
      </c>
      <c r="AP36" s="4">
        <f ca="1">ROUND(T_Tiktok_ads[[#This Row],[video_watch_75]]*RANDBETWEEN(8,12)/10,0)</f>
        <v>73567</v>
      </c>
      <c r="AQ36" s="4">
        <f ca="1">ROUND(T_Tiktok_ads[[#This Row],[video_watch_100]]*RANDBETWEEN(8,12)/10,0)</f>
        <v>44311</v>
      </c>
      <c r="AR36" s="4">
        <f ca="1">ROUND(T_Tiktok_ads[[#This Row],[likes]]*RANDBETWEEN(8,12)/10,0)</f>
        <v>10768</v>
      </c>
      <c r="AS36" s="4">
        <f ca="1">ROUND(T_Tiktok_ads[[#This Row],[shares]]*RANDBETWEEN(8,12)/10,0)</f>
        <v>2107</v>
      </c>
      <c r="AT36" s="4">
        <f ca="1">ROUND(T_Tiktok_ads[[#This Row],[comments]]*RANDBETWEEN(8,12)/10,0)</f>
        <v>561</v>
      </c>
      <c r="AV36" s="5">
        <f t="shared" ca="1" si="8"/>
        <v>45103</v>
      </c>
      <c r="AW36">
        <f t="shared" ca="1" si="4"/>
        <v>1</v>
      </c>
      <c r="AX36">
        <f ca="1">ROUND(T_Facebook_Ads115963677175[[#This Row],[impressions]]*RANDBETWEEN(8,12)/10,0)</f>
        <v>48742</v>
      </c>
      <c r="AY36">
        <f ca="1">ROUND(T_Facebook_Ads115963677175[[#This Row],[clicks]]*RANDBETWEEN(8,12)/10,0)</f>
        <v>1012</v>
      </c>
      <c r="AZ36">
        <f ca="1">T_Facebook_Ads115963677175[[#This Row],[spend]]*RANDBETWEEN(8,12)/10</f>
        <v>123.46400000000001</v>
      </c>
      <c r="BA36">
        <f ca="1">ROUND(T_Facebook_Ads115963677175[[#This Row],[conversions]]*RANDBETWEEN(8,12)/10,0)</f>
        <v>15</v>
      </c>
      <c r="BB36">
        <f ca="1">ROUND(T_Facebook_Ads115963677175[[#This Row],[video_views]]*RANDBETWEEN(8,12)/10,0)</f>
        <v>12042</v>
      </c>
    </row>
    <row r="37" spans="1:54" ht="15.75" thickBot="1" x14ac:dyDescent="0.3">
      <c r="A37" s="3">
        <f t="shared" ca="1" si="5"/>
        <v>45105</v>
      </c>
      <c r="B37" s="4" t="s">
        <v>56</v>
      </c>
      <c r="C37" s="4" t="s">
        <v>57</v>
      </c>
      <c r="D37" s="4" t="s">
        <v>58</v>
      </c>
      <c r="E37" s="4" t="s">
        <v>59</v>
      </c>
      <c r="F37" s="4">
        <f ca="1">ROUND(T_Facebook_Ads[[#This Row],[impressions]]*RANDBETWEEN(8,12)/10,0)</f>
        <v>14802</v>
      </c>
      <c r="G37" s="4">
        <v>634</v>
      </c>
      <c r="H37" s="4">
        <f ca="1">T_Facebook_Ads[[#This Row],[spend]]*RANDBETWEEN(8,12)/10</f>
        <v>215.72999999999996</v>
      </c>
      <c r="I37" s="4">
        <f ca="1">ROUND(T_Facebook_Ads[[#This Row],[conversions]]*RANDBETWEEN(8,12)/10,0)</f>
        <v>39</v>
      </c>
      <c r="J37" s="4">
        <f ca="1">ROUND(T_Facebook_Ads[[#This Row],[video_views]]*RANDBETWEEN(8,12)/10,0)</f>
        <v>1654</v>
      </c>
      <c r="K37" s="4">
        <f ca="1">T_Facebook_Ads[[#This Row],[engagement_rate]]*RANDBETWEEN(8,12)/10</f>
        <v>4.2390000000000004E-2</v>
      </c>
      <c r="L37" s="4">
        <f ca="1">ROUND(T_Facebook_Ads[[#This Row],[reach]]*RANDBETWEEN(8,12)/10,0)</f>
        <v>9510</v>
      </c>
      <c r="M37" s="4">
        <f ca="1">T_Facebook_Ads[[#This Row],[frequency]]*RANDBETWEEN(8,12)/10</f>
        <v>1.397</v>
      </c>
      <c r="O37" s="3">
        <f t="shared" ca="1" si="6"/>
        <v>45090</v>
      </c>
      <c r="P37" s="4" t="s">
        <v>80</v>
      </c>
      <c r="Q37" s="4" t="s">
        <v>81</v>
      </c>
      <c r="R37" s="4" t="s">
        <v>82</v>
      </c>
      <c r="S37" s="4" t="s">
        <v>83</v>
      </c>
      <c r="T37" s="4">
        <f ca="1">ROUND(_Google_ads[[#This Row],[impressions]]*RANDBETWEEN(8,12)/10,0)</f>
        <v>41910</v>
      </c>
      <c r="U37" s="4">
        <f ca="1">ROUND(_Google_ads[[#This Row],[clicks]]*RANDBETWEEN(8,12)/10,0)</f>
        <v>821</v>
      </c>
      <c r="V37" s="4">
        <f ca="1">_Google_ads[[#This Row],[cost]]*RANDBETWEEN(8,12)/10</f>
        <v>477.36</v>
      </c>
      <c r="W37" s="4">
        <f ca="1">ROUND(_Google_ads[[#This Row],[conversions]]*RANDBETWEEN(8,12)/10,0)</f>
        <v>26</v>
      </c>
      <c r="X37" s="4">
        <f ca="1">ROUND(_Google_ads[[#This Row],[conversion_value]]*RANDBETWEEN(8,12)/10,0)</f>
        <v>1440</v>
      </c>
      <c r="Y37" s="4">
        <f ca="1">_Google_ads[[#This Row],[ctr]]*RANDBETWEEN(8,12)/10</f>
        <v>1.5679999999999999E-2</v>
      </c>
      <c r="Z37" s="4">
        <f ca="1">_Google_ads[[#This Row],[avg_cpc]]*RANDBETWEEN(8,12)/10</f>
        <v>0.71500000000000008</v>
      </c>
      <c r="AA37" s="4">
        <f ca="1">ROUND(_Google_ads[[#This Row],[quality_score]]*RANDBETWEEN(8,12)/10,0)</f>
        <v>8</v>
      </c>
      <c r="AB37" s="4">
        <f ca="1">_Google_ads[[#This Row],[search_impression_share]]*RANDBETWEEN(8,12)/10</f>
        <v>0.36</v>
      </c>
      <c r="AD37" s="3">
        <f t="shared" ca="1" si="7"/>
        <v>45078</v>
      </c>
      <c r="AE37" s="4" t="s">
        <v>104</v>
      </c>
      <c r="AF37" s="4" t="s">
        <v>105</v>
      </c>
      <c r="AG37" s="4" t="s">
        <v>106</v>
      </c>
      <c r="AH37" s="4" t="s">
        <v>107</v>
      </c>
      <c r="AI37" s="4">
        <f ca="1">ROUND(T_Tiktok_ads[[#This Row],[impressions]]*RANDBETWEEN(8,12)/10,0)</f>
        <v>119121</v>
      </c>
      <c r="AJ37" s="4">
        <f ca="1">ROUND(T_Tiktok_ads[[#This Row],[clicks]]*RANDBETWEEN(8,12)/10,0)</f>
        <v>2267</v>
      </c>
      <c r="AK37" s="4">
        <v>767.5</v>
      </c>
      <c r="AL37" s="4">
        <f ca="1">ROUND(T_Tiktok_ads[[#This Row],[conversions]]*RANDBETWEEN(8,12)/10,0)</f>
        <v>85</v>
      </c>
      <c r="AM37" s="4">
        <f ca="1">ROUND(T_Tiktok_ads[[#This Row],[video_views]]*RANDBETWEEN(8,12)/10,0)</f>
        <v>113802</v>
      </c>
      <c r="AN37" s="4">
        <f ca="1">ROUND(T_Tiktok_ads[[#This Row],[video_watch_25]]*RANDBETWEEN(8,12)/10,0)</f>
        <v>91481</v>
      </c>
      <c r="AO37" s="4">
        <f ca="1">ROUND(T_Tiktok_ads[[#This Row],[video_watch_50]]*RANDBETWEEN(8,12)/10,0)</f>
        <v>51234</v>
      </c>
      <c r="AP37" s="4">
        <f ca="1">ROUND(T_Tiktok_ads[[#This Row],[video_watch_75]]*RANDBETWEEN(8,12)/10,0)</f>
        <v>42424</v>
      </c>
      <c r="AQ37" s="4">
        <f ca="1">ROUND(T_Tiktok_ads[[#This Row],[video_watch_100]]*RANDBETWEEN(8,12)/10,0)</f>
        <v>28368</v>
      </c>
      <c r="AR37" s="4">
        <f ca="1">ROUND(T_Tiktok_ads[[#This Row],[likes]]*RANDBETWEEN(8,12)/10,0)</f>
        <v>4098</v>
      </c>
      <c r="AS37" s="4">
        <f ca="1">ROUND(T_Tiktok_ads[[#This Row],[shares]]*RANDBETWEEN(8,12)/10,0)</f>
        <v>1310</v>
      </c>
      <c r="AT37" s="4">
        <f ca="1">ROUND(T_Tiktok_ads[[#This Row],[comments]]*RANDBETWEEN(8,12)/10,0)</f>
        <v>306</v>
      </c>
      <c r="AV37" s="5">
        <f t="shared" ca="1" si="8"/>
        <v>45081</v>
      </c>
      <c r="AW37">
        <f t="shared" ca="1" si="4"/>
        <v>6</v>
      </c>
      <c r="AX37">
        <f ca="1">ROUND(T_Facebook_Ads115963677175[[#This Row],[impressions]]*RANDBETWEEN(8,12)/10,0)</f>
        <v>17762</v>
      </c>
      <c r="AY37">
        <f ca="1">ROUND(T_Facebook_Ads115963677175[[#This Row],[clicks]]*RANDBETWEEN(8,12)/10,0)</f>
        <v>507</v>
      </c>
      <c r="AZ37">
        <f ca="1">T_Facebook_Ads115963677175[[#This Row],[spend]]*RANDBETWEEN(8,12)/10</f>
        <v>172.58399999999997</v>
      </c>
      <c r="BA37">
        <f ca="1">ROUND(T_Facebook_Ads115963677175[[#This Row],[conversions]]*RANDBETWEEN(8,12)/10,0)</f>
        <v>31</v>
      </c>
      <c r="BB37">
        <f ca="1">ROUND(T_Facebook_Ads115963677175[[#This Row],[video_views]]*RANDBETWEEN(8,12)/10,0)</f>
        <v>1489</v>
      </c>
    </row>
    <row r="38" spans="1:54" ht="15.75" thickBot="1" x14ac:dyDescent="0.3">
      <c r="A38" s="3">
        <f t="shared" ca="1" si="5"/>
        <v>45080</v>
      </c>
      <c r="B38" s="4" t="s">
        <v>60</v>
      </c>
      <c r="C38" s="4" t="s">
        <v>61</v>
      </c>
      <c r="D38" s="4" t="s">
        <v>62</v>
      </c>
      <c r="E38" s="4" t="s">
        <v>63</v>
      </c>
      <c r="F38" s="4">
        <f ca="1">ROUND(T_Facebook_Ads[[#This Row],[impressions]]*RANDBETWEEN(8,12)/10,0)</f>
        <v>37890</v>
      </c>
      <c r="G38" s="4">
        <v>1398</v>
      </c>
      <c r="H38" s="4">
        <f ca="1">T_Facebook_Ads[[#This Row],[spend]]*RANDBETWEEN(8,12)/10</f>
        <v>254.88000000000002</v>
      </c>
      <c r="I38" s="4">
        <f ca="1">ROUND(T_Facebook_Ads[[#This Row],[conversions]]*RANDBETWEEN(8,12)/10,0)</f>
        <v>28</v>
      </c>
      <c r="J38" s="4">
        <f ca="1">ROUND(T_Facebook_Ads[[#This Row],[video_views]]*RANDBETWEEN(8,12)/10,0)</f>
        <v>5513</v>
      </c>
      <c r="K38" s="4">
        <f ca="1">T_Facebook_Ads[[#This Row],[engagement_rate]]*RANDBETWEEN(8,12)/10</f>
        <v>3.6900000000000002E-2</v>
      </c>
      <c r="L38" s="4">
        <f ca="1">ROUND(T_Facebook_Ads[[#This Row],[reach]]*RANDBETWEEN(8,12)/10,0)</f>
        <v>24712</v>
      </c>
      <c r="M38" s="4">
        <f ca="1">T_Facebook_Ads[[#This Row],[frequency]]*RANDBETWEEN(8,12)/10</f>
        <v>0.98399999999999999</v>
      </c>
      <c r="O38" s="3">
        <f t="shared" ca="1" si="6"/>
        <v>45104</v>
      </c>
      <c r="P38" s="4" t="s">
        <v>84</v>
      </c>
      <c r="Q38" s="4" t="s">
        <v>85</v>
      </c>
      <c r="R38" s="4" t="s">
        <v>86</v>
      </c>
      <c r="S38" s="4" t="s">
        <v>87</v>
      </c>
      <c r="T38" s="4">
        <f ca="1">ROUND(_Google_ads[[#This Row],[impressions]]*RANDBETWEEN(8,12)/10,0)</f>
        <v>62901</v>
      </c>
      <c r="U38" s="4">
        <f ca="1">ROUND(_Google_ads[[#This Row],[clicks]]*RANDBETWEEN(8,12)/10,0)</f>
        <v>2101</v>
      </c>
      <c r="V38" s="4">
        <f ca="1">_Google_ads[[#This Row],[cost]]*RANDBETWEEN(8,12)/10</f>
        <v>386.01</v>
      </c>
      <c r="W38" s="4">
        <f ca="1">ROUND(_Google_ads[[#This Row],[conversions]]*RANDBETWEEN(8,12)/10,0)</f>
        <v>73</v>
      </c>
      <c r="X38" s="4">
        <f ca="1">ROUND(_Google_ads[[#This Row],[conversion_value]]*RANDBETWEEN(8,12)/10,0)</f>
        <v>2970</v>
      </c>
      <c r="Y38" s="4">
        <f ca="1">_Google_ads[[#This Row],[ctr]]*RANDBETWEEN(8,12)/10</f>
        <v>2.6720000000000001E-2</v>
      </c>
      <c r="Z38" s="4">
        <f ca="1">_Google_ads[[#This Row],[avg_cpc]]*RANDBETWEEN(8,12)/10</f>
        <v>0.21600000000000003</v>
      </c>
      <c r="AA38" s="4">
        <f ca="1">ROUND(_Google_ads[[#This Row],[quality_score]]*RANDBETWEEN(8,12)/10,0)</f>
        <v>10</v>
      </c>
      <c r="AB38" s="4">
        <f ca="1">_Google_ads[[#This Row],[search_impression_share]]*RANDBETWEEN(8,12)/10</f>
        <v>0.80400000000000005</v>
      </c>
      <c r="AD38" s="3">
        <f t="shared" ca="1" si="7"/>
        <v>45100</v>
      </c>
      <c r="AE38" s="4" t="s">
        <v>108</v>
      </c>
      <c r="AF38" s="4" t="s">
        <v>109</v>
      </c>
      <c r="AG38" s="4" t="s">
        <v>110</v>
      </c>
      <c r="AH38" s="4" t="s">
        <v>111</v>
      </c>
      <c r="AI38" s="4">
        <f ca="1">ROUND(T_Tiktok_ads[[#This Row],[impressions]]*RANDBETWEEN(8,12)/10,0)</f>
        <v>206011</v>
      </c>
      <c r="AJ38" s="4">
        <f ca="1">ROUND(T_Tiktok_ads[[#This Row],[clicks]]*RANDBETWEEN(8,12)/10,0)</f>
        <v>3634</v>
      </c>
      <c r="AK38" s="4">
        <v>441.9</v>
      </c>
      <c r="AL38" s="4">
        <f ca="1">ROUND(T_Tiktok_ads[[#This Row],[conversions]]*RANDBETWEEN(8,12)/10,0)</f>
        <v>37</v>
      </c>
      <c r="AM38" s="4">
        <f ca="1">ROUND(T_Tiktok_ads[[#This Row],[video_views]]*RANDBETWEEN(8,12)/10,0)</f>
        <v>145876</v>
      </c>
      <c r="AN38" s="4">
        <f ca="1">ROUND(T_Tiktok_ads[[#This Row],[video_watch_25]]*RANDBETWEEN(8,12)/10,0)</f>
        <v>165468</v>
      </c>
      <c r="AO38" s="4">
        <f ca="1">ROUND(T_Tiktok_ads[[#This Row],[video_watch_50]]*RANDBETWEEN(8,12)/10,0)</f>
        <v>108901</v>
      </c>
      <c r="AP38" s="4">
        <f ca="1">ROUND(T_Tiktok_ads[[#This Row],[video_watch_75]]*RANDBETWEEN(8,12)/10,0)</f>
        <v>77624</v>
      </c>
      <c r="AQ38" s="4">
        <f ca="1">ROUND(T_Tiktok_ads[[#This Row],[video_watch_100]]*RANDBETWEEN(8,12)/10,0)</f>
        <v>47068</v>
      </c>
      <c r="AR38" s="4">
        <f ca="1">ROUND(T_Tiktok_ads[[#This Row],[likes]]*RANDBETWEEN(8,12)/10,0)</f>
        <v>7610</v>
      </c>
      <c r="AS38" s="4">
        <f ca="1">ROUND(T_Tiktok_ads[[#This Row],[shares]]*RANDBETWEEN(8,12)/10,0)</f>
        <v>2071</v>
      </c>
      <c r="AT38" s="4">
        <f ca="1">ROUND(T_Tiktok_ads[[#This Row],[comments]]*RANDBETWEEN(8,12)/10,0)</f>
        <v>600</v>
      </c>
      <c r="AV38" s="5">
        <f t="shared" ca="1" si="8"/>
        <v>45103</v>
      </c>
      <c r="AW38">
        <f t="shared" ca="1" si="4"/>
        <v>4</v>
      </c>
      <c r="AX38">
        <f ca="1">ROUND(T_Facebook_Ads115963677175[[#This Row],[impressions]]*RANDBETWEEN(8,12)/10,0)</f>
        <v>45468</v>
      </c>
      <c r="AY38">
        <f ca="1">ROUND(T_Facebook_Ads115963677175[[#This Row],[clicks]]*RANDBETWEEN(8,12)/10,0)</f>
        <v>1118</v>
      </c>
      <c r="AZ38">
        <f ca="1">T_Facebook_Ads115963677175[[#This Row],[spend]]*RANDBETWEEN(8,12)/10</f>
        <v>254.88000000000002</v>
      </c>
      <c r="BA38">
        <f ca="1">ROUND(T_Facebook_Ads115963677175[[#This Row],[conversions]]*RANDBETWEEN(8,12)/10,0)</f>
        <v>25</v>
      </c>
      <c r="BB38">
        <f ca="1">ROUND(T_Facebook_Ads115963677175[[#This Row],[video_views]]*RANDBETWEEN(8,12)/10,0)</f>
        <v>6616</v>
      </c>
    </row>
    <row r="39" spans="1:54" ht="15.75" thickBot="1" x14ac:dyDescent="0.3">
      <c r="A39" s="3">
        <f t="shared" ca="1" si="5"/>
        <v>45106</v>
      </c>
      <c r="B39" s="4" t="s">
        <v>64</v>
      </c>
      <c r="C39" s="4" t="s">
        <v>65</v>
      </c>
      <c r="D39" s="4" t="s">
        <v>66</v>
      </c>
      <c r="E39" s="4" t="s">
        <v>67</v>
      </c>
      <c r="F39" s="4">
        <f ca="1">ROUND(T_Facebook_Ads[[#This Row],[impressions]]*RANDBETWEEN(8,12)/10,0)</f>
        <v>72890</v>
      </c>
      <c r="G39" s="4">
        <v>261</v>
      </c>
      <c r="H39" s="4">
        <f ca="1">T_Facebook_Ads[[#This Row],[spend]]*RANDBETWEEN(8,12)/10</f>
        <v>77.44</v>
      </c>
      <c r="I39" s="4">
        <f ca="1">ROUND(T_Facebook_Ads[[#This Row],[conversions]]*RANDBETWEEN(8,12)/10,0)</f>
        <v>8</v>
      </c>
      <c r="J39" s="4">
        <f ca="1">ROUND(T_Facebook_Ads[[#This Row],[video_views]]*RANDBETWEEN(8,12)/10,0)</f>
        <v>39654</v>
      </c>
      <c r="K39" s="4">
        <f ca="1">T_Facebook_Ads[[#This Row],[engagement_rate]]*RANDBETWEEN(8,12)/10</f>
        <v>3.5999999999999999E-3</v>
      </c>
      <c r="L39" s="4">
        <f ca="1">ROUND(T_Facebook_Ads[[#This Row],[reach]]*RANDBETWEEN(8,12)/10,0)</f>
        <v>70948</v>
      </c>
      <c r="M39" s="4">
        <f ca="1">T_Facebook_Ads[[#This Row],[frequency]]*RANDBETWEEN(8,12)/10</f>
        <v>1.23</v>
      </c>
      <c r="O39" s="3">
        <f t="shared" ca="1" si="6"/>
        <v>45107</v>
      </c>
      <c r="P39" s="4" t="s">
        <v>88</v>
      </c>
      <c r="Q39" s="4" t="s">
        <v>89</v>
      </c>
      <c r="R39" s="4" t="s">
        <v>90</v>
      </c>
      <c r="S39" s="4" t="s">
        <v>59</v>
      </c>
      <c r="T39" s="4">
        <f ca="1">ROUND(_Google_ads[[#This Row],[impressions]]*RANDBETWEEN(8,12)/10,0)</f>
        <v>106765</v>
      </c>
      <c r="U39" s="4">
        <f ca="1">ROUND(_Google_ads[[#This Row],[clicks]]*RANDBETWEEN(8,12)/10,0)</f>
        <v>489</v>
      </c>
      <c r="V39" s="4">
        <f ca="1">_Google_ads[[#This Row],[cost]]*RANDBETWEEN(8,12)/10</f>
        <v>144.32</v>
      </c>
      <c r="W39" s="4">
        <f ca="1">ROUND(_Google_ads[[#This Row],[conversions]]*RANDBETWEEN(8,12)/10,0)</f>
        <v>15</v>
      </c>
      <c r="X39" s="4">
        <f ca="1">ROUND(_Google_ads[[#This Row],[conversion_value]]*RANDBETWEEN(8,12)/10,0)</f>
        <v>840</v>
      </c>
      <c r="Y39" s="4">
        <f ca="1">_Google_ads[[#This Row],[ctr]]*RANDBETWEEN(8,12)/10</f>
        <v>3.7000000000000006E-3</v>
      </c>
      <c r="Z39" s="4">
        <f ca="1">_Google_ads[[#This Row],[avg_cpc]]*RANDBETWEEN(8,12)/10</f>
        <v>0.29700000000000004</v>
      </c>
      <c r="AA39" s="4">
        <f ca="1">ROUND(_Google_ads[[#This Row],[quality_score]]*RANDBETWEEN(8,12)/10,0)</f>
        <v>7</v>
      </c>
      <c r="AB39" s="4">
        <f ca="1">_Google_ads[[#This Row],[search_impression_share]]*RANDBETWEEN(8,12)/10</f>
        <v>0.38499999999999995</v>
      </c>
      <c r="AD39" s="3">
        <f t="shared" ca="1" si="7"/>
        <v>45086</v>
      </c>
      <c r="AE39" s="4" t="s">
        <v>112</v>
      </c>
      <c r="AF39" s="4" t="s">
        <v>113</v>
      </c>
      <c r="AG39" s="4" t="s">
        <v>114</v>
      </c>
      <c r="AH39" s="4" t="s">
        <v>115</v>
      </c>
      <c r="AI39" s="4">
        <f ca="1">ROUND(T_Tiktok_ads[[#This Row],[impressions]]*RANDBETWEEN(8,12)/10,0)</f>
        <v>398567</v>
      </c>
      <c r="AJ39" s="4">
        <f ca="1">ROUND(T_Tiktok_ads[[#This Row],[clicks]]*RANDBETWEEN(8,12)/10,0)</f>
        <v>5227</v>
      </c>
      <c r="AK39" s="4">
        <v>998.7</v>
      </c>
      <c r="AL39" s="4">
        <f ca="1">ROUND(T_Tiktok_ads[[#This Row],[conversions]]*RANDBETWEEN(8,12)/10,0)</f>
        <v>88</v>
      </c>
      <c r="AM39" s="4">
        <f ca="1">ROUND(T_Tiktok_ads[[#This Row],[video_views]]*RANDBETWEEN(8,12)/10,0)</f>
        <v>265876</v>
      </c>
      <c r="AN39" s="4">
        <f ca="1">ROUND(T_Tiktok_ads[[#This Row],[video_watch_25]]*RANDBETWEEN(8,12)/10,0)</f>
        <v>294679</v>
      </c>
      <c r="AO39" s="4">
        <f ca="1">ROUND(T_Tiktok_ads[[#This Row],[video_watch_50]]*RANDBETWEEN(8,12)/10,0)</f>
        <v>214567</v>
      </c>
      <c r="AP39" s="4">
        <f ca="1">ROUND(T_Tiktok_ads[[#This Row],[video_watch_75]]*RANDBETWEEN(8,12)/10,0)</f>
        <v>181481</v>
      </c>
      <c r="AQ39" s="4">
        <f ca="1">ROUND(T_Tiktok_ads[[#This Row],[video_watch_100]]*RANDBETWEEN(8,12)/10,0)</f>
        <v>89610</v>
      </c>
      <c r="AR39" s="4">
        <f ca="1">ROUND(T_Tiktok_ads[[#This Row],[likes]]*RANDBETWEEN(8,12)/10,0)</f>
        <v>21307</v>
      </c>
      <c r="AS39" s="4">
        <f ca="1">ROUND(T_Tiktok_ads[[#This Row],[shares]]*RANDBETWEEN(8,12)/10,0)</f>
        <v>5513</v>
      </c>
      <c r="AT39" s="4">
        <f ca="1">ROUND(T_Tiktok_ads[[#This Row],[comments]]*RANDBETWEEN(8,12)/10,0)</f>
        <v>1111</v>
      </c>
      <c r="AV39" s="5">
        <f t="shared" ca="1" si="8"/>
        <v>45105</v>
      </c>
      <c r="AW39">
        <f t="shared" ca="1" si="4"/>
        <v>6</v>
      </c>
      <c r="AX39">
        <f ca="1">ROUND(T_Facebook_Ads115963677175[[#This Row],[impressions]]*RANDBETWEEN(8,12)/10,0)</f>
        <v>65601</v>
      </c>
      <c r="AY39">
        <f ca="1">ROUND(T_Facebook_Ads115963677175[[#This Row],[clicks]]*RANDBETWEEN(8,12)/10,0)</f>
        <v>287</v>
      </c>
      <c r="AZ39">
        <f ca="1">T_Facebook_Ads115963677175[[#This Row],[spend]]*RANDBETWEEN(8,12)/10</f>
        <v>69.695999999999998</v>
      </c>
      <c r="BA39">
        <f ca="1">ROUND(T_Facebook_Ads115963677175[[#This Row],[conversions]]*RANDBETWEEN(8,12)/10,0)</f>
        <v>7</v>
      </c>
      <c r="BB39">
        <f ca="1">ROUND(T_Facebook_Ads115963677175[[#This Row],[video_views]]*RANDBETWEEN(8,12)/10,0)</f>
        <v>47585</v>
      </c>
    </row>
    <row r="40" spans="1:54" ht="15.75" thickBot="1" x14ac:dyDescent="0.3">
      <c r="A40" s="3">
        <f t="shared" ca="1" si="5"/>
        <v>45100</v>
      </c>
      <c r="B40" s="4" t="s">
        <v>52</v>
      </c>
      <c r="C40" s="4" t="s">
        <v>53</v>
      </c>
      <c r="D40" s="4" t="s">
        <v>54</v>
      </c>
      <c r="E40" s="4" t="s">
        <v>55</v>
      </c>
      <c r="F40" s="4">
        <f ca="1">ROUND(T_Facebook_Ads[[#This Row],[impressions]]*RANDBETWEEN(8,12)/10,0)</f>
        <v>38111</v>
      </c>
      <c r="G40" s="4">
        <v>856</v>
      </c>
      <c r="H40" s="4">
        <f ca="1">T_Facebook_Ads[[#This Row],[spend]]*RANDBETWEEN(8,12)/10</f>
        <v>121.5</v>
      </c>
      <c r="I40" s="4">
        <f ca="1">ROUND(T_Facebook_Ads[[#This Row],[conversions]]*RANDBETWEEN(8,12)/10,0)</f>
        <v>13</v>
      </c>
      <c r="J40" s="4">
        <f ca="1">ROUND(T_Facebook_Ads[[#This Row],[video_views]]*RANDBETWEEN(8,12)/10,0)</f>
        <v>7890</v>
      </c>
      <c r="K40" s="4">
        <f ca="1">T_Facebook_Ads[[#This Row],[engagement_rate]]*RANDBETWEEN(8,12)/10</f>
        <v>1.6160000000000001E-2</v>
      </c>
      <c r="L40" s="4">
        <f ca="1">ROUND(T_Facebook_Ads[[#This Row],[reach]]*RANDBETWEEN(8,12)/10,0)</f>
        <v>39246</v>
      </c>
      <c r="M40" s="4">
        <f ca="1">T_Facebook_Ads[[#This Row],[frequency]]*RANDBETWEEN(8,12)/10</f>
        <v>1.3089999999999999</v>
      </c>
      <c r="O40" s="3">
        <f t="shared" ca="1" si="6"/>
        <v>45088</v>
      </c>
      <c r="P40" s="4" t="s">
        <v>76</v>
      </c>
      <c r="Q40" s="4" t="s">
        <v>77</v>
      </c>
      <c r="R40" s="4" t="s">
        <v>78</v>
      </c>
      <c r="S40" s="4" t="s">
        <v>79</v>
      </c>
      <c r="T40" s="4">
        <f ca="1">ROUND(_Google_ads[[#This Row],[impressions]]*RANDBETWEEN(8,12)/10,0)</f>
        <v>17965</v>
      </c>
      <c r="U40" s="4">
        <f ca="1">ROUND(_Google_ads[[#This Row],[clicks]]*RANDBETWEEN(8,12)/10,0)</f>
        <v>1272</v>
      </c>
      <c r="V40" s="4">
        <f ca="1">_Google_ads[[#This Row],[cost]]*RANDBETWEEN(8,12)/10</f>
        <v>264.48</v>
      </c>
      <c r="W40" s="4">
        <f ca="1">ROUND(_Google_ads[[#This Row],[conversions]]*RANDBETWEEN(8,12)/10,0)</f>
        <v>47</v>
      </c>
      <c r="X40" s="4">
        <f ca="1">ROUND(_Google_ads[[#This Row],[conversion_value]]*RANDBETWEEN(8,12)/10,0)</f>
        <v>1935</v>
      </c>
      <c r="Y40" s="4">
        <f ca="1">_Google_ads[[#This Row],[ctr]]*RANDBETWEEN(8,12)/10</f>
        <v>6.1800000000000001E-2</v>
      </c>
      <c r="Z40" s="4">
        <f ca="1">_Google_ads[[#This Row],[avg_cpc]]*RANDBETWEEN(8,12)/10</f>
        <v>0.152</v>
      </c>
      <c r="AA40" s="4">
        <f ca="1">ROUND(_Google_ads[[#This Row],[quality_score]]*RANDBETWEEN(8,12)/10,0)</f>
        <v>11</v>
      </c>
      <c r="AB40" s="4">
        <f ca="1">_Google_ads[[#This Row],[search_impression_share]]*RANDBETWEEN(8,12)/10</f>
        <v>0.99</v>
      </c>
      <c r="AD40" s="3">
        <f t="shared" ca="1" si="7"/>
        <v>45082</v>
      </c>
      <c r="AE40" s="4" t="s">
        <v>100</v>
      </c>
      <c r="AF40" s="4" t="s">
        <v>101</v>
      </c>
      <c r="AG40" s="4" t="s">
        <v>102</v>
      </c>
      <c r="AH40" s="4" t="s">
        <v>103</v>
      </c>
      <c r="AI40" s="4">
        <f ca="1">ROUND(T_Tiktok_ads[[#This Row],[impressions]]*RANDBETWEEN(8,12)/10,0)</f>
        <v>258024</v>
      </c>
      <c r="AJ40" s="4">
        <f ca="1">ROUND(T_Tiktok_ads[[#This Row],[clicks]]*RANDBETWEEN(8,12)/10,0)</f>
        <v>3802</v>
      </c>
      <c r="AK40" s="4">
        <v>456.7</v>
      </c>
      <c r="AL40" s="4">
        <f ca="1">ROUND(T_Tiktok_ads[[#This Row],[conversions]]*RANDBETWEEN(8,12)/10,0)</f>
        <v>34</v>
      </c>
      <c r="AM40" s="4">
        <f ca="1">ROUND(T_Tiktok_ads[[#This Row],[video_views]]*RANDBETWEEN(8,12)/10,0)</f>
        <v>237881</v>
      </c>
      <c r="AN40" s="4">
        <f ca="1">ROUND(T_Tiktok_ads[[#This Row],[video_watch_25]]*RANDBETWEEN(8,12)/10,0)</f>
        <v>187481</v>
      </c>
      <c r="AO40" s="4">
        <f ca="1">ROUND(T_Tiktok_ads[[#This Row],[video_watch_50]]*RANDBETWEEN(8,12)/10,0)</f>
        <v>78587</v>
      </c>
      <c r="AP40" s="4">
        <f ca="1">ROUND(T_Tiktok_ads[[#This Row],[video_watch_75]]*RANDBETWEEN(8,12)/10,0)</f>
        <v>67234</v>
      </c>
      <c r="AQ40" s="4">
        <f ca="1">ROUND(T_Tiktok_ads[[#This Row],[video_watch_100]]*RANDBETWEEN(8,12)/10,0)</f>
        <v>36187</v>
      </c>
      <c r="AR40" s="4">
        <f ca="1">ROUND(T_Tiktok_ads[[#This Row],[likes]]*RANDBETWEEN(8,12)/10,0)</f>
        <v>10708</v>
      </c>
      <c r="AS40" s="4">
        <f ca="1">ROUND(T_Tiktok_ads[[#This Row],[shares]]*RANDBETWEEN(8,12)/10,0)</f>
        <v>2111</v>
      </c>
      <c r="AT40" s="4">
        <f ca="1">ROUND(T_Tiktok_ads[[#This Row],[comments]]*RANDBETWEEN(8,12)/10,0)</f>
        <v>624</v>
      </c>
      <c r="AV40" s="5">
        <f t="shared" ca="1" si="8"/>
        <v>45093</v>
      </c>
      <c r="AW40">
        <f t="shared" ca="1" si="4"/>
        <v>8</v>
      </c>
      <c r="AX40">
        <f ca="1">ROUND(T_Facebook_Ads115963677175[[#This Row],[impressions]]*RANDBETWEEN(8,12)/10,0)</f>
        <v>34300</v>
      </c>
      <c r="AY40">
        <f ca="1">ROUND(T_Facebook_Ads115963677175[[#This Row],[clicks]]*RANDBETWEEN(8,12)/10,0)</f>
        <v>685</v>
      </c>
      <c r="AZ40">
        <f ca="1">T_Facebook_Ads115963677175[[#This Row],[spend]]*RANDBETWEEN(8,12)/10</f>
        <v>121.5</v>
      </c>
      <c r="BA40">
        <f ca="1">ROUND(T_Facebook_Ads115963677175[[#This Row],[conversions]]*RANDBETWEEN(8,12)/10,0)</f>
        <v>13</v>
      </c>
      <c r="BB40">
        <f ca="1">ROUND(T_Facebook_Ads115963677175[[#This Row],[video_views]]*RANDBETWEEN(8,12)/10,0)</f>
        <v>7101</v>
      </c>
    </row>
    <row r="41" spans="1:54" ht="15.75" thickBot="1" x14ac:dyDescent="0.3">
      <c r="A41" s="3">
        <f t="shared" ca="1" si="5"/>
        <v>45106</v>
      </c>
      <c r="B41" s="4" t="s">
        <v>56</v>
      </c>
      <c r="C41" s="4" t="s">
        <v>57</v>
      </c>
      <c r="D41" s="4" t="s">
        <v>58</v>
      </c>
      <c r="E41" s="4" t="s">
        <v>59</v>
      </c>
      <c r="F41" s="4">
        <f ca="1">ROUND(T_Facebook_Ads[[#This Row],[impressions]]*RANDBETWEEN(8,12)/10,0)</f>
        <v>12357</v>
      </c>
      <c r="G41" s="4">
        <v>523</v>
      </c>
      <c r="H41" s="4">
        <f ca="1">T_Facebook_Ads[[#This Row],[spend]]*RANDBETWEEN(8,12)/10</f>
        <v>238.32</v>
      </c>
      <c r="I41" s="4">
        <f ca="1">ROUND(T_Facebook_Ads[[#This Row],[conversions]]*RANDBETWEEN(8,12)/10,0)</f>
        <v>38</v>
      </c>
      <c r="J41" s="4">
        <f ca="1">ROUND(T_Facebook_Ads[[#This Row],[video_views]]*RANDBETWEEN(8,12)/10,0)</f>
        <v>898</v>
      </c>
      <c r="K41" s="4">
        <f ca="1">T_Facebook_Ads[[#This Row],[engagement_rate]]*RANDBETWEEN(8,12)/10</f>
        <v>4.6600000000000003E-2</v>
      </c>
      <c r="L41" s="4">
        <f ca="1">ROUND(T_Facebook_Ads[[#This Row],[reach]]*RANDBETWEEN(8,12)/10,0)</f>
        <v>8901</v>
      </c>
      <c r="M41" s="4">
        <f ca="1">T_Facebook_Ads[[#This Row],[frequency]]*RANDBETWEEN(8,12)/10</f>
        <v>1.016</v>
      </c>
      <c r="O41" s="3">
        <f t="shared" ca="1" si="6"/>
        <v>45088</v>
      </c>
      <c r="P41" s="4" t="s">
        <v>80</v>
      </c>
      <c r="Q41" s="4" t="s">
        <v>81</v>
      </c>
      <c r="R41" s="4" t="s">
        <v>82</v>
      </c>
      <c r="S41" s="4" t="s">
        <v>83</v>
      </c>
      <c r="T41" s="4">
        <f ca="1">ROUND(_Google_ads[[#This Row],[impressions]]*RANDBETWEEN(8,12)/10,0)</f>
        <v>37111</v>
      </c>
      <c r="U41" s="4">
        <f ca="1">ROUND(_Google_ads[[#This Row],[clicks]]*RANDBETWEEN(8,12)/10,0)</f>
        <v>988</v>
      </c>
      <c r="V41" s="4">
        <f ca="1">_Google_ads[[#This Row],[cost]]*RANDBETWEEN(8,12)/10</f>
        <v>634.67999999999995</v>
      </c>
      <c r="W41" s="4">
        <f ca="1">ROUND(_Google_ads[[#This Row],[conversions]]*RANDBETWEEN(8,12)/10,0)</f>
        <v>17</v>
      </c>
      <c r="X41" s="4">
        <f ca="1">ROUND(_Google_ads[[#This Row],[conversion_value]]*RANDBETWEEN(8,12)/10,0)</f>
        <v>840</v>
      </c>
      <c r="Y41" s="4">
        <f ca="1">_Google_ads[[#This Row],[ctr]]*RANDBETWEEN(8,12)/10</f>
        <v>1.7999999999999999E-2</v>
      </c>
      <c r="Z41" s="4">
        <f ca="1">_Google_ads[[#This Row],[avg_cpc]]*RANDBETWEEN(8,12)/10</f>
        <v>0.70399999999999996</v>
      </c>
      <c r="AA41" s="4">
        <f ca="1">ROUND(_Google_ads[[#This Row],[quality_score]]*RANDBETWEEN(8,12)/10,0)</f>
        <v>5</v>
      </c>
      <c r="AB41" s="4">
        <f ca="1">_Google_ads[[#This Row],[search_impression_share]]*RANDBETWEEN(8,12)/10</f>
        <v>0.38700000000000001</v>
      </c>
      <c r="AD41" s="3">
        <f t="shared" ca="1" si="7"/>
        <v>45096</v>
      </c>
      <c r="AE41" s="4" t="s">
        <v>104</v>
      </c>
      <c r="AF41" s="4" t="s">
        <v>105</v>
      </c>
      <c r="AG41" s="4" t="s">
        <v>106</v>
      </c>
      <c r="AH41" s="4" t="s">
        <v>107</v>
      </c>
      <c r="AI41" s="4">
        <f ca="1">ROUND(T_Tiktok_ads[[#This Row],[impressions]]*RANDBETWEEN(8,12)/10,0)</f>
        <v>107654</v>
      </c>
      <c r="AJ41" s="4">
        <f ca="1">ROUND(T_Tiktok_ads[[#This Row],[clicks]]*RANDBETWEEN(8,12)/10,0)</f>
        <v>2567</v>
      </c>
      <c r="AK41" s="4">
        <v>712.3</v>
      </c>
      <c r="AL41" s="4">
        <f ca="1">ROUND(T_Tiktok_ads[[#This Row],[conversions]]*RANDBETWEEN(8,12)/10,0)</f>
        <v>78</v>
      </c>
      <c r="AM41" s="4">
        <f ca="1">ROUND(T_Tiktok_ads[[#This Row],[video_views]]*RANDBETWEEN(8,12)/10,0)</f>
        <v>86110</v>
      </c>
      <c r="AN41" s="4">
        <f ca="1">ROUND(T_Tiktok_ads[[#This Row],[video_watch_25]]*RANDBETWEEN(8,12)/10,0)</f>
        <v>78357</v>
      </c>
      <c r="AO41" s="4">
        <f ca="1">ROUND(T_Tiktok_ads[[#This Row],[video_watch_50]]*RANDBETWEEN(8,12)/10,0)</f>
        <v>57881</v>
      </c>
      <c r="AP41" s="4">
        <f ca="1">ROUND(T_Tiktok_ads[[#This Row],[video_watch_75]]*RANDBETWEEN(8,12)/10,0)</f>
        <v>43481</v>
      </c>
      <c r="AQ41" s="4">
        <f ca="1">ROUND(T_Tiktok_ads[[#This Row],[video_watch_100]]*RANDBETWEEN(8,12)/10,0)</f>
        <v>19654</v>
      </c>
      <c r="AR41" s="4">
        <f ca="1">ROUND(T_Tiktok_ads[[#This Row],[likes]]*RANDBETWEEN(8,12)/10,0)</f>
        <v>4310</v>
      </c>
      <c r="AS41" s="4">
        <f ca="1">ROUND(T_Tiktok_ads[[#This Row],[shares]]*RANDBETWEEN(8,12)/10,0)</f>
        <v>1480</v>
      </c>
      <c r="AT41" s="4">
        <f ca="1">ROUND(T_Tiktok_ads[[#This Row],[comments]]*RANDBETWEEN(8,12)/10,0)</f>
        <v>196</v>
      </c>
      <c r="AV41" s="5">
        <f t="shared" ca="1" si="8"/>
        <v>45100</v>
      </c>
      <c r="AW41">
        <f t="shared" ca="1" si="4"/>
        <v>8</v>
      </c>
      <c r="AX41">
        <f ca="1">ROUND(T_Facebook_Ads115963677175[[#This Row],[impressions]]*RANDBETWEEN(8,12)/10,0)</f>
        <v>12357</v>
      </c>
      <c r="AY41">
        <f ca="1">ROUND(T_Facebook_Ads115963677175[[#This Row],[clicks]]*RANDBETWEEN(8,12)/10,0)</f>
        <v>471</v>
      </c>
      <c r="AZ41">
        <f ca="1">T_Facebook_Ads115963677175[[#This Row],[spend]]*RANDBETWEEN(8,12)/10</f>
        <v>214.488</v>
      </c>
      <c r="BA41">
        <f ca="1">ROUND(T_Facebook_Ads115963677175[[#This Row],[conversions]]*RANDBETWEEN(8,12)/10,0)</f>
        <v>42</v>
      </c>
      <c r="BB41">
        <f ca="1">ROUND(T_Facebook_Ads115963677175[[#This Row],[video_views]]*RANDBETWEEN(8,12)/10,0)</f>
        <v>808</v>
      </c>
    </row>
    <row r="42" spans="1:54" ht="15.75" thickBot="1" x14ac:dyDescent="0.3">
      <c r="A42" s="3">
        <f t="shared" ca="1" si="5"/>
        <v>45079</v>
      </c>
      <c r="B42" s="4" t="s">
        <v>60</v>
      </c>
      <c r="C42" s="4" t="s">
        <v>61</v>
      </c>
      <c r="D42" s="4" t="s">
        <v>62</v>
      </c>
      <c r="E42" s="4" t="s">
        <v>63</v>
      </c>
      <c r="F42" s="4">
        <f ca="1">ROUND(T_Facebook_Ads[[#This Row],[impressions]]*RANDBETWEEN(8,12)/10,0)</f>
        <v>36802</v>
      </c>
      <c r="G42" s="4">
        <v>1203</v>
      </c>
      <c r="H42" s="4">
        <f ca="1">T_Facebook_Ads[[#This Row],[spend]]*RANDBETWEEN(8,12)/10</f>
        <v>166.77</v>
      </c>
      <c r="I42" s="4">
        <f ca="1">ROUND(T_Facebook_Ads[[#This Row],[conversions]]*RANDBETWEEN(8,12)/10,0)</f>
        <v>28</v>
      </c>
      <c r="J42" s="4">
        <f ca="1">ROUND(T_Facebook_Ads[[#This Row],[video_views]]*RANDBETWEEN(8,12)/10,0)</f>
        <v>4234</v>
      </c>
      <c r="K42" s="4">
        <f ca="1">T_Facebook_Ads[[#This Row],[engagement_rate]]*RANDBETWEEN(8,12)/10</f>
        <v>3.5999999999999997E-2</v>
      </c>
      <c r="L42" s="4">
        <f ca="1">ROUND(T_Facebook_Ads[[#This Row],[reach]]*RANDBETWEEN(8,12)/10,0)</f>
        <v>22312</v>
      </c>
      <c r="M42" s="4">
        <f ca="1">T_Facebook_Ads[[#This Row],[frequency]]*RANDBETWEEN(8,12)/10</f>
        <v>1.44</v>
      </c>
      <c r="O42" s="3">
        <f t="shared" ca="1" si="6"/>
        <v>45084</v>
      </c>
      <c r="P42" s="4" t="s">
        <v>84</v>
      </c>
      <c r="Q42" s="4" t="s">
        <v>85</v>
      </c>
      <c r="R42" s="4" t="s">
        <v>86</v>
      </c>
      <c r="S42" s="4" t="s">
        <v>87</v>
      </c>
      <c r="T42" s="4">
        <f ca="1">ROUND(_Google_ads[[#This Row],[impressions]]*RANDBETWEEN(8,12)/10,0)</f>
        <v>76147</v>
      </c>
      <c r="U42" s="4">
        <f ca="1">ROUND(_Google_ads[[#This Row],[clicks]]*RANDBETWEEN(8,12)/10,0)</f>
        <v>1671</v>
      </c>
      <c r="V42" s="4">
        <f ca="1">_Google_ads[[#This Row],[cost]]*RANDBETWEEN(8,12)/10</f>
        <v>306.08000000000004</v>
      </c>
      <c r="W42" s="4">
        <f ca="1">ROUND(_Google_ads[[#This Row],[conversions]]*RANDBETWEEN(8,12)/10,0)</f>
        <v>66</v>
      </c>
      <c r="X42" s="4">
        <f ca="1">ROUND(_Google_ads[[#This Row],[conversion_value]]*RANDBETWEEN(8,12)/10,0)</f>
        <v>3000</v>
      </c>
      <c r="Y42" s="4">
        <f ca="1">_Google_ads[[#This Row],[ctr]]*RANDBETWEEN(8,12)/10</f>
        <v>2.632E-2</v>
      </c>
      <c r="Z42" s="4">
        <f ca="1">_Google_ads[[#This Row],[avg_cpc]]*RANDBETWEEN(8,12)/10</f>
        <v>0.18</v>
      </c>
      <c r="AA42" s="4">
        <f ca="1">ROUND(_Google_ads[[#This Row],[quality_score]]*RANDBETWEEN(8,12)/10,0)</f>
        <v>8</v>
      </c>
      <c r="AB42" s="4">
        <f ca="1">_Google_ads[[#This Row],[search_impression_share]]*RANDBETWEEN(8,12)/10</f>
        <v>0.78</v>
      </c>
      <c r="AD42" s="3">
        <f t="shared" ca="1" si="7"/>
        <v>45089</v>
      </c>
      <c r="AE42" s="4" t="s">
        <v>108</v>
      </c>
      <c r="AF42" s="4" t="s">
        <v>109</v>
      </c>
      <c r="AG42" s="4" t="s">
        <v>110</v>
      </c>
      <c r="AH42" s="4" t="s">
        <v>111</v>
      </c>
      <c r="AI42" s="4">
        <f ca="1">ROUND(T_Tiktok_ads[[#This Row],[impressions]]*RANDBETWEEN(8,12)/10,0)</f>
        <v>221357</v>
      </c>
      <c r="AJ42" s="4">
        <f ca="1">ROUND(T_Tiktok_ads[[#This Row],[clicks]]*RANDBETWEEN(8,12)/10,0)</f>
        <v>3435</v>
      </c>
      <c r="AK42" s="4">
        <v>374.5</v>
      </c>
      <c r="AL42" s="4">
        <f ca="1">ROUND(T_Tiktok_ads[[#This Row],[conversions]]*RANDBETWEEN(8,12)/10,0)</f>
        <v>31</v>
      </c>
      <c r="AM42" s="4">
        <f ca="1">ROUND(T_Tiktok_ads[[#This Row],[video_views]]*RANDBETWEEN(8,12)/10,0)</f>
        <v>157890</v>
      </c>
      <c r="AN42" s="4">
        <f ca="1">ROUND(T_Tiktok_ads[[#This Row],[video_watch_25]]*RANDBETWEEN(8,12)/10,0)</f>
        <v>133357</v>
      </c>
      <c r="AO42" s="4">
        <f ca="1">ROUND(T_Tiktok_ads[[#This Row],[video_watch_50]]*RANDBETWEEN(8,12)/10,0)</f>
        <v>105857</v>
      </c>
      <c r="AP42" s="4">
        <f ca="1">ROUND(T_Tiktok_ads[[#This Row],[video_watch_75]]*RANDBETWEEN(8,12)/10,0)</f>
        <v>55111</v>
      </c>
      <c r="AQ42" s="4">
        <f ca="1">ROUND(T_Tiktok_ads[[#This Row],[video_watch_100]]*RANDBETWEEN(8,12)/10,0)</f>
        <v>29965</v>
      </c>
      <c r="AR42" s="4">
        <f ca="1">ROUND(T_Tiktok_ads[[#This Row],[likes]]*RANDBETWEEN(8,12)/10,0)</f>
        <v>7345</v>
      </c>
      <c r="AS42" s="4">
        <f ca="1">ROUND(T_Tiktok_ads[[#This Row],[shares]]*RANDBETWEEN(8,12)/10,0)</f>
        <v>2034</v>
      </c>
      <c r="AT42" s="4">
        <f ca="1">ROUND(T_Tiktok_ads[[#This Row],[comments]]*RANDBETWEEN(8,12)/10,0)</f>
        <v>587</v>
      </c>
      <c r="AV42" s="5">
        <f t="shared" ca="1" si="8"/>
        <v>45103</v>
      </c>
      <c r="AW42">
        <f t="shared" ca="1" si="4"/>
        <v>5</v>
      </c>
      <c r="AX42">
        <f ca="1">ROUND(T_Facebook_Ads115963677175[[#This Row],[impressions]]*RANDBETWEEN(8,12)/10,0)</f>
        <v>33122</v>
      </c>
      <c r="AY42">
        <f ca="1">ROUND(T_Facebook_Ads115963677175[[#This Row],[clicks]]*RANDBETWEEN(8,12)/10,0)</f>
        <v>1083</v>
      </c>
      <c r="AZ42">
        <f ca="1">T_Facebook_Ads115963677175[[#This Row],[spend]]*RANDBETWEEN(8,12)/10</f>
        <v>133.416</v>
      </c>
      <c r="BA42">
        <f ca="1">ROUND(T_Facebook_Ads115963677175[[#This Row],[conversions]]*RANDBETWEEN(8,12)/10,0)</f>
        <v>22</v>
      </c>
      <c r="BB42">
        <f ca="1">ROUND(T_Facebook_Ads115963677175[[#This Row],[video_views]]*RANDBETWEEN(8,12)/10,0)</f>
        <v>4657</v>
      </c>
    </row>
    <row r="43" spans="1:54" ht="15.75" thickBot="1" x14ac:dyDescent="0.3">
      <c r="A43" s="3">
        <f t="shared" ca="1" si="5"/>
        <v>45094</v>
      </c>
      <c r="B43" s="4" t="s">
        <v>64</v>
      </c>
      <c r="C43" s="4" t="s">
        <v>65</v>
      </c>
      <c r="D43" s="4" t="s">
        <v>66</v>
      </c>
      <c r="E43" s="4" t="s">
        <v>67</v>
      </c>
      <c r="F43" s="4">
        <f ca="1">ROUND(T_Facebook_Ads[[#This Row],[impressions]]*RANDBETWEEN(8,12)/10,0)</f>
        <v>64567</v>
      </c>
      <c r="G43" s="4">
        <v>238</v>
      </c>
      <c r="H43" s="4">
        <f ca="1">T_Facebook_Ads[[#This Row],[spend]]*RANDBETWEEN(8,12)/10</f>
        <v>75.06</v>
      </c>
      <c r="I43" s="4">
        <f ca="1">ROUND(T_Facebook_Ads[[#This Row],[conversions]]*RANDBETWEEN(8,12)/10,0)</f>
        <v>5</v>
      </c>
      <c r="J43" s="4">
        <f ca="1">ROUND(T_Facebook_Ads[[#This Row],[video_views]]*RANDBETWEEN(8,12)/10,0)</f>
        <v>47557</v>
      </c>
      <c r="K43" s="4">
        <f ca="1">T_Facebook_Ads[[#This Row],[engagement_rate]]*RANDBETWEEN(8,12)/10</f>
        <v>3.7000000000000006E-3</v>
      </c>
      <c r="L43" s="4">
        <f ca="1">ROUND(T_Facebook_Ads[[#This Row],[reach]]*RANDBETWEEN(8,12)/10,0)</f>
        <v>58179</v>
      </c>
      <c r="M43" s="4">
        <f ca="1">T_Facebook_Ads[[#This Row],[frequency]]*RANDBETWEEN(8,12)/10</f>
        <v>1.0980000000000001</v>
      </c>
      <c r="O43" s="3">
        <f t="shared" ca="1" si="6"/>
        <v>45106</v>
      </c>
      <c r="P43" s="4" t="s">
        <v>88</v>
      </c>
      <c r="Q43" s="4" t="s">
        <v>89</v>
      </c>
      <c r="R43" s="4" t="s">
        <v>90</v>
      </c>
      <c r="S43" s="4" t="s">
        <v>59</v>
      </c>
      <c r="T43" s="4">
        <f ca="1">ROUND(_Google_ads[[#This Row],[impressions]]*RANDBETWEEN(8,12)/10,0)</f>
        <v>107311</v>
      </c>
      <c r="U43" s="4">
        <f ca="1">ROUND(_Google_ads[[#This Row],[clicks]]*RANDBETWEEN(8,12)/10,0)</f>
        <v>434</v>
      </c>
      <c r="V43" s="4">
        <f ca="1">_Google_ads[[#This Row],[cost]]*RANDBETWEEN(8,12)/10</f>
        <v>116.8</v>
      </c>
      <c r="W43" s="4">
        <f ca="1">ROUND(_Google_ads[[#This Row],[conversions]]*RANDBETWEEN(8,12)/10,0)</f>
        <v>13</v>
      </c>
      <c r="X43" s="4">
        <f ca="1">ROUND(_Google_ads[[#This Row],[conversion_value]]*RANDBETWEEN(8,12)/10,0)</f>
        <v>660</v>
      </c>
      <c r="Y43" s="4">
        <f ca="1">_Google_ads[[#This Row],[ctr]]*RANDBETWEEN(8,12)/10</f>
        <v>3.2399999999999998E-3</v>
      </c>
      <c r="Z43" s="4">
        <f ca="1">_Google_ads[[#This Row],[avg_cpc]]*RANDBETWEEN(8,12)/10</f>
        <v>0.32400000000000001</v>
      </c>
      <c r="AA43" s="4">
        <f ca="1">ROUND(_Google_ads[[#This Row],[quality_score]]*RANDBETWEEN(8,12)/10,0)</f>
        <v>7</v>
      </c>
      <c r="AB43" s="4">
        <f ca="1">_Google_ads[[#This Row],[search_impression_share]]*RANDBETWEEN(8,12)/10</f>
        <v>0.33</v>
      </c>
      <c r="AD43" s="3">
        <f t="shared" ca="1" si="7"/>
        <v>45081</v>
      </c>
      <c r="AE43" s="4" t="s">
        <v>112</v>
      </c>
      <c r="AF43" s="4" t="s">
        <v>113</v>
      </c>
      <c r="AG43" s="4" t="s">
        <v>114</v>
      </c>
      <c r="AH43" s="4" t="s">
        <v>115</v>
      </c>
      <c r="AI43" s="4">
        <f ca="1">ROUND(T_Tiktok_ads[[#This Row],[impressions]]*RANDBETWEEN(8,12)/10,0)</f>
        <v>294312</v>
      </c>
      <c r="AJ43" s="4">
        <f ca="1">ROUND(T_Tiktok_ads[[#This Row],[clicks]]*RANDBETWEEN(8,12)/10,0)</f>
        <v>7214</v>
      </c>
      <c r="AK43" s="4">
        <v>923.4</v>
      </c>
      <c r="AL43" s="4">
        <f ca="1">ROUND(T_Tiktok_ads[[#This Row],[conversions]]*RANDBETWEEN(8,12)/10,0)</f>
        <v>103</v>
      </c>
      <c r="AM43" s="4">
        <f ca="1">ROUND(T_Tiktok_ads[[#This Row],[video_views]]*RANDBETWEEN(8,12)/10,0)</f>
        <v>271111</v>
      </c>
      <c r="AN43" s="4">
        <f ca="1">ROUND(T_Tiktok_ads[[#This Row],[video_watch_25]]*RANDBETWEEN(8,12)/10,0)</f>
        <v>245678</v>
      </c>
      <c r="AO43" s="4">
        <f ca="1">ROUND(T_Tiktok_ads[[#This Row],[video_watch_50]]*RANDBETWEEN(8,12)/10,0)</f>
        <v>177110</v>
      </c>
      <c r="AP43" s="4">
        <f ca="1">ROUND(T_Tiktok_ads[[#This Row],[video_watch_75]]*RANDBETWEEN(8,12)/10,0)</f>
        <v>154257</v>
      </c>
      <c r="AQ43" s="4">
        <f ca="1">ROUND(T_Tiktok_ads[[#This Row],[video_watch_100]]*RANDBETWEEN(8,12)/10,0)</f>
        <v>74765</v>
      </c>
      <c r="AR43" s="4">
        <f ca="1">ROUND(T_Tiktok_ads[[#This Row],[likes]]*RANDBETWEEN(8,12)/10,0)</f>
        <v>12987</v>
      </c>
      <c r="AS43" s="4">
        <f ca="1">ROUND(T_Tiktok_ads[[#This Row],[shares]]*RANDBETWEEN(8,12)/10,0)</f>
        <v>4310</v>
      </c>
      <c r="AT43" s="4">
        <f ca="1">ROUND(T_Tiktok_ads[[#This Row],[comments]]*RANDBETWEEN(8,12)/10,0)</f>
        <v>1547</v>
      </c>
      <c r="AV43" s="5">
        <f t="shared" ca="1" si="8"/>
        <v>45091</v>
      </c>
      <c r="AW43">
        <f t="shared" ca="1" si="4"/>
        <v>7</v>
      </c>
      <c r="AX43">
        <f ca="1">ROUND(T_Facebook_Ads115963677175[[#This Row],[impressions]]*RANDBETWEEN(8,12)/10,0)</f>
        <v>64567</v>
      </c>
      <c r="AY43">
        <f ca="1">ROUND(T_Facebook_Ads115963677175[[#This Row],[clicks]]*RANDBETWEEN(8,12)/10,0)</f>
        <v>286</v>
      </c>
      <c r="AZ43">
        <f ca="1">T_Facebook_Ads115963677175[[#This Row],[spend]]*RANDBETWEEN(8,12)/10</f>
        <v>60.048000000000002</v>
      </c>
      <c r="BA43">
        <f ca="1">ROUND(T_Facebook_Ads115963677175[[#This Row],[conversions]]*RANDBETWEEN(8,12)/10,0)</f>
        <v>5</v>
      </c>
      <c r="BB43">
        <f ca="1">ROUND(T_Facebook_Ads115963677175[[#This Row],[video_views]]*RANDBETWEEN(8,12)/10,0)</f>
        <v>57068</v>
      </c>
    </row>
    <row r="44" spans="1:54" ht="15.75" thickBot="1" x14ac:dyDescent="0.3">
      <c r="A44" s="3">
        <f t="shared" ca="1" si="5"/>
        <v>45079</v>
      </c>
      <c r="B44" s="4" t="s">
        <v>52</v>
      </c>
      <c r="C44" s="4" t="s">
        <v>53</v>
      </c>
      <c r="D44" s="4" t="s">
        <v>54</v>
      </c>
      <c r="E44" s="4" t="s">
        <v>55</v>
      </c>
      <c r="F44" s="4">
        <f ca="1">ROUND(T_Facebook_Ads[[#This Row],[impressions]]*RANDBETWEEN(8,12)/10,0)</f>
        <v>44135</v>
      </c>
      <c r="G44" s="4">
        <v>798</v>
      </c>
      <c r="H44" s="4">
        <f ca="1">T_Facebook_Ads[[#This Row],[spend]]*RANDBETWEEN(8,12)/10</f>
        <v>114.7</v>
      </c>
      <c r="I44" s="4">
        <f ca="1">ROUND(T_Facebook_Ads[[#This Row],[conversions]]*RANDBETWEEN(8,12)/10,0)</f>
        <v>9</v>
      </c>
      <c r="J44" s="4">
        <f ca="1">ROUND(T_Facebook_Ads[[#This Row],[video_views]]*RANDBETWEEN(8,12)/10,0)</f>
        <v>8814</v>
      </c>
      <c r="K44" s="4">
        <f ca="1">T_Facebook_Ads[[#This Row],[engagement_rate]]*RANDBETWEEN(8,12)/10</f>
        <v>1.7910000000000002E-2</v>
      </c>
      <c r="L44" s="4">
        <f ca="1">ROUND(T_Facebook_Ads[[#This Row],[reach]]*RANDBETWEEN(8,12)/10,0)</f>
        <v>40147</v>
      </c>
      <c r="M44" s="4">
        <f ca="1">T_Facebook_Ads[[#This Row],[frequency]]*RANDBETWEEN(8,12)/10</f>
        <v>1.3199999999999998</v>
      </c>
      <c r="O44" s="3">
        <f t="shared" ca="1" si="6"/>
        <v>45094</v>
      </c>
      <c r="P44" s="4" t="s">
        <v>76</v>
      </c>
      <c r="Q44" s="4" t="s">
        <v>77</v>
      </c>
      <c r="R44" s="4" t="s">
        <v>78</v>
      </c>
      <c r="S44" s="4" t="s">
        <v>79</v>
      </c>
      <c r="T44" s="4">
        <f ca="1">ROUND(_Google_ads[[#This Row],[impressions]]*RANDBETWEEN(8,12)/10,0)</f>
        <v>19111</v>
      </c>
      <c r="U44" s="4">
        <f ca="1">ROUND(_Google_ads[[#This Row],[clicks]]*RANDBETWEEN(8,12)/10,0)</f>
        <v>871</v>
      </c>
      <c r="V44" s="4">
        <f ca="1">_Google_ads[[#This Row],[cost]]*RANDBETWEEN(8,12)/10</f>
        <v>187.02</v>
      </c>
      <c r="W44" s="4">
        <f ca="1">ROUND(_Google_ads[[#This Row],[conversions]]*RANDBETWEEN(8,12)/10,0)</f>
        <v>37</v>
      </c>
      <c r="X44" s="4">
        <f ca="1">ROUND(_Google_ads[[#This Row],[conversion_value]]*RANDBETWEEN(8,12)/10,0)</f>
        <v>1845</v>
      </c>
      <c r="Y44" s="4">
        <f ca="1">_Google_ads[[#This Row],[ctr]]*RANDBETWEEN(8,12)/10</f>
        <v>4.6170000000000003E-2</v>
      </c>
      <c r="Z44" s="4">
        <f ca="1">_Google_ads[[#This Row],[avg_cpc]]*RANDBETWEEN(8,12)/10</f>
        <v>0.19</v>
      </c>
      <c r="AA44" s="4">
        <f ca="1">ROUND(_Google_ads[[#This Row],[quality_score]]*RANDBETWEEN(8,12)/10,0)</f>
        <v>8</v>
      </c>
      <c r="AB44" s="4">
        <f ca="1">_Google_ads[[#This Row],[search_impression_share]]*RANDBETWEEN(8,12)/10</f>
        <v>0.71199999999999997</v>
      </c>
      <c r="AD44" s="3">
        <f t="shared" ca="1" si="7"/>
        <v>45105</v>
      </c>
      <c r="AE44" s="4" t="s">
        <v>100</v>
      </c>
      <c r="AF44" s="4" t="s">
        <v>101</v>
      </c>
      <c r="AG44" s="4" t="s">
        <v>102</v>
      </c>
      <c r="AH44" s="4" t="s">
        <v>103</v>
      </c>
      <c r="AI44" s="4">
        <f ca="1">ROUND(T_Tiktok_ads[[#This Row],[impressions]]*RANDBETWEEN(8,12)/10,0)</f>
        <v>201110</v>
      </c>
      <c r="AJ44" s="4">
        <f ca="1">ROUND(T_Tiktok_ads[[#This Row],[clicks]]*RANDBETWEEN(8,12)/10,0)</f>
        <v>3881</v>
      </c>
      <c r="AK44" s="4">
        <v>434.5</v>
      </c>
      <c r="AL44" s="4">
        <f ca="1">ROUND(T_Tiktok_ads[[#This Row],[conversions]]*RANDBETWEEN(8,12)/10,0)</f>
        <v>29</v>
      </c>
      <c r="AM44" s="4">
        <f ca="1">ROUND(T_Tiktok_ads[[#This Row],[video_views]]*RANDBETWEEN(8,12)/10,0)</f>
        <v>151387</v>
      </c>
      <c r="AN44" s="4">
        <f ca="1">ROUND(T_Tiktok_ads[[#This Row],[video_watch_25]]*RANDBETWEEN(8,12)/10,0)</f>
        <v>163057</v>
      </c>
      <c r="AO44" s="4">
        <f ca="1">ROUND(T_Tiktok_ads[[#This Row],[video_watch_50]]*RANDBETWEEN(8,12)/10,0)</f>
        <v>74587</v>
      </c>
      <c r="AP44" s="4">
        <f ca="1">ROUND(T_Tiktok_ads[[#This Row],[video_watch_75]]*RANDBETWEEN(8,12)/10,0)</f>
        <v>76147</v>
      </c>
      <c r="AQ44" s="4">
        <f ca="1">ROUND(T_Tiktok_ads[[#This Row],[video_watch_100]]*RANDBETWEEN(8,12)/10,0)</f>
        <v>34587</v>
      </c>
      <c r="AR44" s="4">
        <f ca="1">ROUND(T_Tiktok_ads[[#This Row],[likes]]*RANDBETWEEN(8,12)/10,0)</f>
        <v>8567</v>
      </c>
      <c r="AS44" s="4">
        <f ca="1">ROUND(T_Tiktok_ads[[#This Row],[shares]]*RANDBETWEEN(8,12)/10,0)</f>
        <v>2011</v>
      </c>
      <c r="AT44" s="4">
        <f ca="1">ROUND(T_Tiktok_ads[[#This Row],[comments]]*RANDBETWEEN(8,12)/10,0)</f>
        <v>481</v>
      </c>
      <c r="AV44" s="5">
        <f t="shared" ca="1" si="8"/>
        <v>45100</v>
      </c>
      <c r="AW44">
        <f t="shared" ca="1" si="4"/>
        <v>8</v>
      </c>
      <c r="AX44">
        <f ca="1">ROUND(T_Facebook_Ads115963677175[[#This Row],[impressions]]*RANDBETWEEN(8,12)/10,0)</f>
        <v>39722</v>
      </c>
      <c r="AY44">
        <f ca="1">ROUND(T_Facebook_Ads115963677175[[#This Row],[clicks]]*RANDBETWEEN(8,12)/10,0)</f>
        <v>718</v>
      </c>
      <c r="AZ44">
        <f ca="1">T_Facebook_Ads115963677175[[#This Row],[spend]]*RANDBETWEEN(8,12)/10</f>
        <v>91.76</v>
      </c>
      <c r="BA44">
        <f ca="1">ROUND(T_Facebook_Ads115963677175[[#This Row],[conversions]]*RANDBETWEEN(8,12)/10,0)</f>
        <v>9</v>
      </c>
      <c r="BB44">
        <f ca="1">ROUND(T_Facebook_Ads115963677175[[#This Row],[video_views]]*RANDBETWEEN(8,12)/10,0)</f>
        <v>7933</v>
      </c>
    </row>
    <row r="45" spans="1:54" ht="15.75" thickBot="1" x14ac:dyDescent="0.3">
      <c r="A45" s="3">
        <f t="shared" ca="1" si="5"/>
        <v>45094</v>
      </c>
      <c r="B45" s="4" t="s">
        <v>56</v>
      </c>
      <c r="C45" s="4" t="s">
        <v>57</v>
      </c>
      <c r="D45" s="4" t="s">
        <v>58</v>
      </c>
      <c r="E45" s="4" t="s">
        <v>59</v>
      </c>
      <c r="F45" s="4">
        <f ca="1">ROUND(T_Facebook_Ads[[#This Row],[impressions]]*RANDBETWEEN(8,12)/10,0)</f>
        <v>11624</v>
      </c>
      <c r="G45" s="4">
        <v>489</v>
      </c>
      <c r="H45" s="4">
        <f ca="1">T_Facebook_Ads[[#This Row],[spend]]*RANDBETWEEN(8,12)/10</f>
        <v>185.9</v>
      </c>
      <c r="I45" s="4">
        <f ca="1">ROUND(T_Facebook_Ads[[#This Row],[conversions]]*RANDBETWEEN(8,12)/10,0)</f>
        <v>35</v>
      </c>
      <c r="J45" s="4">
        <f ca="1">ROUND(T_Facebook_Ads[[#This Row],[video_views]]*RANDBETWEEN(8,12)/10,0)</f>
        <v>1198</v>
      </c>
      <c r="K45" s="4">
        <f ca="1">T_Facebook_Ads[[#This Row],[engagement_rate]]*RANDBETWEEN(8,12)/10</f>
        <v>4.1669999999999999E-2</v>
      </c>
      <c r="L45" s="4">
        <f ca="1">ROUND(T_Facebook_Ads[[#This Row],[reach]]*RANDBETWEEN(8,12)/10,0)</f>
        <v>8234</v>
      </c>
      <c r="M45" s="4">
        <f ca="1">T_Facebook_Ads[[#This Row],[frequency]]*RANDBETWEEN(8,12)/10</f>
        <v>1.024</v>
      </c>
      <c r="O45" s="3">
        <f t="shared" ca="1" si="6"/>
        <v>45103</v>
      </c>
      <c r="P45" s="4" t="s">
        <v>80</v>
      </c>
      <c r="Q45" s="4" t="s">
        <v>81</v>
      </c>
      <c r="R45" s="4" t="s">
        <v>82</v>
      </c>
      <c r="S45" s="4" t="s">
        <v>83</v>
      </c>
      <c r="T45" s="4">
        <f ca="1">ROUND(_Google_ads[[#This Row],[impressions]]*RANDBETWEEN(8,12)/10,0)</f>
        <v>39567</v>
      </c>
      <c r="U45" s="4">
        <f ca="1">ROUND(_Google_ads[[#This Row],[clicks]]*RANDBETWEEN(8,12)/10,0)</f>
        <v>789</v>
      </c>
      <c r="V45" s="4">
        <f ca="1">_Google_ads[[#This Row],[cost]]*RANDBETWEEN(8,12)/10</f>
        <v>456.65999999999997</v>
      </c>
      <c r="W45" s="4">
        <f ca="1">ROUND(_Google_ads[[#This Row],[conversions]]*RANDBETWEEN(8,12)/10,0)</f>
        <v>15</v>
      </c>
      <c r="X45" s="4">
        <f ca="1">ROUND(_Google_ads[[#This Row],[conversion_value]]*RANDBETWEEN(8,12)/10,0)</f>
        <v>1045</v>
      </c>
      <c r="Y45" s="4">
        <f ca="1">_Google_ads[[#This Row],[ctr]]*RANDBETWEEN(8,12)/10</f>
        <v>1.592E-2</v>
      </c>
      <c r="Z45" s="4">
        <f ca="1">_Google_ads[[#This Row],[avg_cpc]]*RANDBETWEEN(8,12)/10</f>
        <v>0.57599999999999996</v>
      </c>
      <c r="AA45" s="4">
        <f ca="1">ROUND(_Google_ads[[#This Row],[quality_score]]*RANDBETWEEN(8,12)/10,0)</f>
        <v>7</v>
      </c>
      <c r="AB45" s="4">
        <f ca="1">_Google_ads[[#This Row],[search_impression_share]]*RANDBETWEEN(8,12)/10</f>
        <v>0.378</v>
      </c>
      <c r="AD45" s="3">
        <f t="shared" ca="1" si="7"/>
        <v>45079</v>
      </c>
      <c r="AE45" s="4" t="s">
        <v>104</v>
      </c>
      <c r="AF45" s="4" t="s">
        <v>105</v>
      </c>
      <c r="AG45" s="4" t="s">
        <v>106</v>
      </c>
      <c r="AH45" s="4" t="s">
        <v>107</v>
      </c>
      <c r="AI45" s="4">
        <f ca="1">ROUND(T_Tiktok_ads[[#This Row],[impressions]]*RANDBETWEEN(8,12)/10,0)</f>
        <v>116011</v>
      </c>
      <c r="AJ45" s="4">
        <f ca="1">ROUND(T_Tiktok_ads[[#This Row],[clicks]]*RANDBETWEEN(8,12)/10,0)</f>
        <v>2456</v>
      </c>
      <c r="AK45" s="4">
        <v>689.5</v>
      </c>
      <c r="AL45" s="4">
        <f ca="1">ROUND(T_Tiktok_ads[[#This Row],[conversions]]*RANDBETWEEN(8,12)/10,0)</f>
        <v>68</v>
      </c>
      <c r="AM45" s="4">
        <f ca="1">ROUND(T_Tiktok_ads[[#This Row],[video_views]]*RANDBETWEEN(8,12)/10,0)</f>
        <v>72987</v>
      </c>
      <c r="AN45" s="4">
        <f ca="1">ROUND(T_Tiktok_ads[[#This Row],[video_watch_25]]*RANDBETWEEN(8,12)/10,0)</f>
        <v>75057</v>
      </c>
      <c r="AO45" s="4">
        <f ca="1">ROUND(T_Tiktok_ads[[#This Row],[video_watch_50]]*RANDBETWEEN(8,12)/10,0)</f>
        <v>36631</v>
      </c>
      <c r="AP45" s="4">
        <f ca="1">ROUND(T_Tiktok_ads[[#This Row],[video_watch_75]]*RANDBETWEEN(8,12)/10,0)</f>
        <v>34567</v>
      </c>
      <c r="AQ45" s="4">
        <f ca="1">ROUND(T_Tiktok_ads[[#This Row],[video_watch_100]]*RANDBETWEEN(8,12)/10,0)</f>
        <v>23678</v>
      </c>
      <c r="AR45" s="4">
        <f ca="1">ROUND(T_Tiktok_ads[[#This Row],[likes]]*RANDBETWEEN(8,12)/10,0)</f>
        <v>5146</v>
      </c>
      <c r="AS45" s="4">
        <f ca="1">ROUND(T_Tiktok_ads[[#This Row],[shares]]*RANDBETWEEN(8,12)/10,0)</f>
        <v>1267</v>
      </c>
      <c r="AT45" s="4">
        <f ca="1">ROUND(T_Tiktok_ads[[#This Row],[comments]]*RANDBETWEEN(8,12)/10,0)</f>
        <v>261</v>
      </c>
      <c r="AV45" s="5">
        <f t="shared" ca="1" si="8"/>
        <v>45107</v>
      </c>
      <c r="AW45">
        <f t="shared" ca="1" si="4"/>
        <v>3</v>
      </c>
      <c r="AX45">
        <f ca="1">ROUND(T_Facebook_Ads115963677175[[#This Row],[impressions]]*RANDBETWEEN(8,12)/10,0)</f>
        <v>11624</v>
      </c>
      <c r="AY45">
        <f ca="1">ROUND(T_Facebook_Ads115963677175[[#This Row],[clicks]]*RANDBETWEEN(8,12)/10,0)</f>
        <v>538</v>
      </c>
      <c r="AZ45">
        <f ca="1">T_Facebook_Ads115963677175[[#This Row],[spend]]*RANDBETWEEN(8,12)/10</f>
        <v>185.9</v>
      </c>
      <c r="BA45">
        <f ca="1">ROUND(T_Facebook_Ads115963677175[[#This Row],[conversions]]*RANDBETWEEN(8,12)/10,0)</f>
        <v>28</v>
      </c>
      <c r="BB45">
        <f ca="1">ROUND(T_Facebook_Ads115963677175[[#This Row],[video_views]]*RANDBETWEEN(8,12)/10,0)</f>
        <v>1078</v>
      </c>
    </row>
    <row r="46" spans="1:54" ht="15.75" thickBot="1" x14ac:dyDescent="0.3">
      <c r="A46" s="3">
        <f t="shared" ca="1" si="5"/>
        <v>45092</v>
      </c>
      <c r="B46" s="4" t="s">
        <v>60</v>
      </c>
      <c r="C46" s="4" t="s">
        <v>61</v>
      </c>
      <c r="D46" s="4" t="s">
        <v>62</v>
      </c>
      <c r="E46" s="4" t="s">
        <v>63</v>
      </c>
      <c r="F46" s="4">
        <f ca="1">ROUND(T_Facebook_Ads[[#This Row],[impressions]]*RANDBETWEEN(8,12)/10,0)</f>
        <v>37481</v>
      </c>
      <c r="G46" s="4">
        <v>1123</v>
      </c>
      <c r="H46" s="4">
        <f ca="1">T_Facebook_Ads[[#This Row],[spend]]*RANDBETWEEN(8,12)/10</f>
        <v>191.18</v>
      </c>
      <c r="I46" s="4">
        <f ca="1">ROUND(T_Facebook_Ads[[#This Row],[conversions]]*RANDBETWEEN(8,12)/10,0)</f>
        <v>17</v>
      </c>
      <c r="J46" s="4">
        <f ca="1">ROUND(T_Facebook_Ads[[#This Row],[video_views]]*RANDBETWEEN(8,12)/10,0)</f>
        <v>3501</v>
      </c>
      <c r="K46" s="4">
        <f ca="1">T_Facebook_Ads[[#This Row],[engagement_rate]]*RANDBETWEEN(8,12)/10</f>
        <v>3.5999999999999997E-2</v>
      </c>
      <c r="L46" s="4">
        <f ca="1">ROUND(T_Facebook_Ads[[#This Row],[reach]]*RANDBETWEEN(8,12)/10,0)</f>
        <v>26123</v>
      </c>
      <c r="M46" s="4">
        <f ca="1">T_Facebook_Ads[[#This Row],[frequency]]*RANDBETWEEN(8,12)/10</f>
        <v>1.0799999999999998</v>
      </c>
      <c r="O46" s="3">
        <f t="shared" ca="1" si="6"/>
        <v>45097</v>
      </c>
      <c r="P46" s="4" t="s">
        <v>84</v>
      </c>
      <c r="Q46" s="4" t="s">
        <v>85</v>
      </c>
      <c r="R46" s="4" t="s">
        <v>86</v>
      </c>
      <c r="S46" s="4" t="s">
        <v>87</v>
      </c>
      <c r="T46" s="4">
        <f ca="1">ROUND(_Google_ads[[#This Row],[impressions]]*RANDBETWEEN(8,12)/10,0)</f>
        <v>68079</v>
      </c>
      <c r="U46" s="4">
        <f ca="1">ROUND(_Google_ads[[#This Row],[clicks]]*RANDBETWEEN(8,12)/10,0)</f>
        <v>2414</v>
      </c>
      <c r="V46" s="4">
        <f ca="1">_Google_ads[[#This Row],[cost]]*RANDBETWEEN(8,12)/10</f>
        <v>369.3</v>
      </c>
      <c r="W46" s="4">
        <f ca="1">ROUND(_Google_ads[[#This Row],[conversions]]*RANDBETWEEN(8,12)/10,0)</f>
        <v>46</v>
      </c>
      <c r="X46" s="4">
        <f ca="1">ROUND(_Google_ads[[#This Row],[conversion_value]]*RANDBETWEEN(8,12)/10,0)</f>
        <v>3480</v>
      </c>
      <c r="Y46" s="4">
        <f ca="1">_Google_ads[[#This Row],[ctr]]*RANDBETWEEN(8,12)/10</f>
        <v>3.9E-2</v>
      </c>
      <c r="Z46" s="4">
        <f ca="1">_Google_ads[[#This Row],[avg_cpc]]*RANDBETWEEN(8,12)/10</f>
        <v>0.14399999999999999</v>
      </c>
      <c r="AA46" s="4">
        <f ca="1">ROUND(_Google_ads[[#This Row],[quality_score]]*RANDBETWEEN(8,12)/10,0)</f>
        <v>6</v>
      </c>
      <c r="AB46" s="4">
        <f ca="1">_Google_ads[[#This Row],[search_impression_share]]*RANDBETWEEN(8,12)/10</f>
        <v>0.76800000000000002</v>
      </c>
      <c r="AD46" s="3">
        <f t="shared" ca="1" si="7"/>
        <v>45086</v>
      </c>
      <c r="AE46" s="4" t="s">
        <v>108</v>
      </c>
      <c r="AF46" s="4" t="s">
        <v>109</v>
      </c>
      <c r="AG46" s="4" t="s">
        <v>110</v>
      </c>
      <c r="AH46" s="4" t="s">
        <v>111</v>
      </c>
      <c r="AI46" s="4">
        <f ca="1">ROUND(T_Tiktok_ads[[#This Row],[impressions]]*RANDBETWEEN(8,12)/10,0)</f>
        <v>176110</v>
      </c>
      <c r="AJ46" s="4">
        <f ca="1">ROUND(T_Tiktok_ads[[#This Row],[clicks]]*RANDBETWEEN(8,12)/10,0)</f>
        <v>3288</v>
      </c>
      <c r="AK46" s="4">
        <v>361.2</v>
      </c>
      <c r="AL46" s="4">
        <f ca="1">ROUND(T_Tiktok_ads[[#This Row],[conversions]]*RANDBETWEEN(8,12)/10,0)</f>
        <v>23</v>
      </c>
      <c r="AM46" s="4">
        <f ca="1">ROUND(T_Tiktok_ads[[#This Row],[video_views]]*RANDBETWEEN(8,12)/10,0)</f>
        <v>167580</v>
      </c>
      <c r="AN46" s="4">
        <f ca="1">ROUND(T_Tiktok_ads[[#This Row],[video_watch_25]]*RANDBETWEEN(8,12)/10,0)</f>
        <v>128957</v>
      </c>
      <c r="AO46" s="4">
        <f ca="1">ROUND(T_Tiktok_ads[[#This Row],[video_watch_50]]*RANDBETWEEN(8,12)/10,0)</f>
        <v>102557</v>
      </c>
      <c r="AP46" s="4">
        <f ca="1">ROUND(T_Tiktok_ads[[#This Row],[video_watch_75]]*RANDBETWEEN(8,12)/10,0)</f>
        <v>71081</v>
      </c>
      <c r="AQ46" s="4">
        <f ca="1">ROUND(T_Tiktok_ads[[#This Row],[video_watch_100]]*RANDBETWEEN(8,12)/10,0)</f>
        <v>28987</v>
      </c>
      <c r="AR46" s="4">
        <f ca="1">ROUND(T_Tiktok_ads[[#This Row],[likes]]*RANDBETWEEN(8,12)/10,0)</f>
        <v>6411</v>
      </c>
      <c r="AS46" s="4">
        <f ca="1">ROUND(T_Tiktok_ads[[#This Row],[shares]]*RANDBETWEEN(8,12)/10,0)</f>
        <v>1967</v>
      </c>
      <c r="AT46" s="4">
        <f ca="1">ROUND(T_Tiktok_ads[[#This Row],[comments]]*RANDBETWEEN(8,12)/10,0)</f>
        <v>574</v>
      </c>
      <c r="AV46" s="5">
        <f t="shared" ca="1" si="8"/>
        <v>45091</v>
      </c>
      <c r="AW46">
        <f t="shared" ca="1" si="4"/>
        <v>6</v>
      </c>
      <c r="AX46">
        <f ca="1">ROUND(T_Facebook_Ads115963677175[[#This Row],[impressions]]*RANDBETWEEN(8,12)/10,0)</f>
        <v>37481</v>
      </c>
      <c r="AY46">
        <f ca="1">ROUND(T_Facebook_Ads115963677175[[#This Row],[clicks]]*RANDBETWEEN(8,12)/10,0)</f>
        <v>1011</v>
      </c>
      <c r="AZ46">
        <f ca="1">T_Facebook_Ads115963677175[[#This Row],[spend]]*RANDBETWEEN(8,12)/10</f>
        <v>229.416</v>
      </c>
      <c r="BA46">
        <f ca="1">ROUND(T_Facebook_Ads115963677175[[#This Row],[conversions]]*RANDBETWEEN(8,12)/10,0)</f>
        <v>19</v>
      </c>
      <c r="BB46">
        <f ca="1">ROUND(T_Facebook_Ads115963677175[[#This Row],[video_views]]*RANDBETWEEN(8,12)/10,0)</f>
        <v>3851</v>
      </c>
    </row>
    <row r="47" spans="1:54" ht="15.75" thickBot="1" x14ac:dyDescent="0.3">
      <c r="A47" s="3">
        <f t="shared" ca="1" si="5"/>
        <v>45094</v>
      </c>
      <c r="B47" s="4" t="s">
        <v>64</v>
      </c>
      <c r="C47" s="4" t="s">
        <v>65</v>
      </c>
      <c r="D47" s="4" t="s">
        <v>66</v>
      </c>
      <c r="E47" s="4" t="s">
        <v>67</v>
      </c>
      <c r="F47" s="4">
        <f ca="1">ROUND(T_Facebook_Ads[[#This Row],[impressions]]*RANDBETWEEN(8,12)/10,0)</f>
        <v>73481</v>
      </c>
      <c r="G47" s="4">
        <v>223</v>
      </c>
      <c r="H47" s="4">
        <f ca="1">T_Facebook_Ads[[#This Row],[spend]]*RANDBETWEEN(8,12)/10</f>
        <v>63.120000000000005</v>
      </c>
      <c r="I47" s="4">
        <f ca="1">ROUND(T_Facebook_Ads[[#This Row],[conversions]]*RANDBETWEEN(8,12)/10,0)</f>
        <v>4</v>
      </c>
      <c r="J47" s="4">
        <f ca="1">ROUND(T_Facebook_Ads[[#This Row],[video_views]]*RANDBETWEEN(8,12)/10,0)</f>
        <v>36510</v>
      </c>
      <c r="K47" s="4">
        <f ca="1">T_Facebook_Ads[[#This Row],[engagement_rate]]*RANDBETWEEN(8,12)/10</f>
        <v>3.96E-3</v>
      </c>
      <c r="L47" s="4">
        <f ca="1">ROUND(T_Facebook_Ads[[#This Row],[reach]]*RANDBETWEEN(8,12)/10,0)</f>
        <v>40098</v>
      </c>
      <c r="M47" s="4">
        <f ca="1">T_Facebook_Ads[[#This Row],[frequency]]*RANDBETWEEN(8,12)/10</f>
        <v>1.3420000000000001</v>
      </c>
      <c r="O47" s="3">
        <f t="shared" ca="1" si="6"/>
        <v>45084</v>
      </c>
      <c r="P47" s="4" t="s">
        <v>88</v>
      </c>
      <c r="Q47" s="4" t="s">
        <v>89</v>
      </c>
      <c r="R47" s="4" t="s">
        <v>90</v>
      </c>
      <c r="S47" s="4" t="s">
        <v>59</v>
      </c>
      <c r="T47" s="4">
        <f ca="1">ROUND(_Google_ads[[#This Row],[impressions]]*RANDBETWEEN(8,12)/10,0)</f>
        <v>92542</v>
      </c>
      <c r="U47" s="4">
        <f ca="1">ROUND(_Google_ads[[#This Row],[clicks]]*RANDBETWEEN(8,12)/10,0)</f>
        <v>494</v>
      </c>
      <c r="V47" s="4">
        <f ca="1">_Google_ads[[#This Row],[cost]]*RANDBETWEEN(8,12)/10</f>
        <v>113.4</v>
      </c>
      <c r="W47" s="4">
        <f ca="1">ROUND(_Google_ads[[#This Row],[conversions]]*RANDBETWEEN(8,12)/10,0)</f>
        <v>11</v>
      </c>
      <c r="X47" s="4">
        <f ca="1">ROUND(_Google_ads[[#This Row],[conversion_value]]*RANDBETWEEN(8,12)/10,0)</f>
        <v>495</v>
      </c>
      <c r="Y47" s="4">
        <f ca="1">_Google_ads[[#This Row],[ctr]]*RANDBETWEEN(8,12)/10</f>
        <v>4.3200000000000001E-3</v>
      </c>
      <c r="Z47" s="4">
        <f ca="1">_Google_ads[[#This Row],[avg_cpc]]*RANDBETWEEN(8,12)/10</f>
        <v>0.308</v>
      </c>
      <c r="AA47" s="4">
        <f ca="1">ROUND(_Google_ads[[#This Row],[quality_score]]*RANDBETWEEN(8,12)/10,0)</f>
        <v>6</v>
      </c>
      <c r="AB47" s="4">
        <f ca="1">_Google_ads[[#This Row],[search_impression_share]]*RANDBETWEEN(8,12)/10</f>
        <v>0.35199999999999998</v>
      </c>
      <c r="AD47" s="3">
        <f t="shared" ca="1" si="7"/>
        <v>45081</v>
      </c>
      <c r="AE47" s="4" t="s">
        <v>112</v>
      </c>
      <c r="AF47" s="4" t="s">
        <v>113</v>
      </c>
      <c r="AG47" s="4" t="s">
        <v>114</v>
      </c>
      <c r="AH47" s="4" t="s">
        <v>115</v>
      </c>
      <c r="AI47" s="4">
        <f ca="1">ROUND(T_Tiktok_ads[[#This Row],[impressions]]*RANDBETWEEN(8,12)/10,0)</f>
        <v>285431</v>
      </c>
      <c r="AJ47" s="4">
        <f ca="1">ROUND(T_Tiktok_ads[[#This Row],[clicks]]*RANDBETWEEN(8,12)/10,0)</f>
        <v>4667</v>
      </c>
      <c r="AK47" s="4">
        <v>901.2</v>
      </c>
      <c r="AL47" s="4">
        <f ca="1">ROUND(T_Tiktok_ads[[#This Row],[conversions]]*RANDBETWEEN(8,12)/10,0)</f>
        <v>100</v>
      </c>
      <c r="AM47" s="4">
        <f ca="1">ROUND(T_Tiktok_ads[[#This Row],[video_views]]*RANDBETWEEN(8,12)/10,0)</f>
        <v>322802</v>
      </c>
      <c r="AN47" s="4">
        <f ca="1">ROUND(T_Tiktok_ads[[#This Row],[video_watch_25]]*RANDBETWEEN(8,12)/10,0)</f>
        <v>263157</v>
      </c>
      <c r="AO47" s="4">
        <f ca="1">ROUND(T_Tiktok_ads[[#This Row],[video_watch_50]]*RANDBETWEEN(8,12)/10,0)</f>
        <v>229481</v>
      </c>
      <c r="AP47" s="4">
        <f ca="1">ROUND(T_Tiktok_ads[[#This Row],[video_watch_75]]*RANDBETWEEN(8,12)/10,0)</f>
        <v>122611</v>
      </c>
      <c r="AQ47" s="4">
        <f ca="1">ROUND(T_Tiktok_ads[[#This Row],[video_watch_100]]*RANDBETWEEN(8,12)/10,0)</f>
        <v>99257</v>
      </c>
      <c r="AR47" s="4">
        <f ca="1">ROUND(T_Tiktok_ads[[#This Row],[likes]]*RANDBETWEEN(8,12)/10,0)</f>
        <v>19068</v>
      </c>
      <c r="AS47" s="4">
        <f ca="1">ROUND(T_Tiktok_ads[[#This Row],[shares]]*RANDBETWEEN(8,12)/10,0)</f>
        <v>5561</v>
      </c>
      <c r="AT47" s="4">
        <f ca="1">ROUND(T_Tiktok_ads[[#This Row],[comments]]*RANDBETWEEN(8,12)/10,0)</f>
        <v>1256</v>
      </c>
      <c r="AV47" s="5">
        <f t="shared" ca="1" si="8"/>
        <v>45078</v>
      </c>
      <c r="AW47">
        <f t="shared" ca="1" si="4"/>
        <v>3</v>
      </c>
      <c r="AX47">
        <f ca="1">ROUND(T_Facebook_Ads115963677175[[#This Row],[impressions]]*RANDBETWEEN(8,12)/10,0)</f>
        <v>88177</v>
      </c>
      <c r="AY47">
        <f ca="1">ROUND(T_Facebook_Ads115963677175[[#This Row],[clicks]]*RANDBETWEEN(8,12)/10,0)</f>
        <v>245</v>
      </c>
      <c r="AZ47">
        <f ca="1">T_Facebook_Ads115963677175[[#This Row],[spend]]*RANDBETWEEN(8,12)/10</f>
        <v>56.808000000000007</v>
      </c>
      <c r="BA47">
        <f ca="1">ROUND(T_Facebook_Ads115963677175[[#This Row],[conversions]]*RANDBETWEEN(8,12)/10,0)</f>
        <v>5</v>
      </c>
      <c r="BB47">
        <f ca="1">ROUND(T_Facebook_Ads115963677175[[#This Row],[video_views]]*RANDBETWEEN(8,12)/10,0)</f>
        <v>36510</v>
      </c>
    </row>
    <row r="48" spans="1:54" ht="15.75" thickBot="1" x14ac:dyDescent="0.3">
      <c r="A48" s="3">
        <f t="shared" ca="1" si="5"/>
        <v>45079</v>
      </c>
      <c r="B48" s="4" t="s">
        <v>52</v>
      </c>
      <c r="C48" s="4" t="s">
        <v>53</v>
      </c>
      <c r="D48" s="4" t="s">
        <v>54</v>
      </c>
      <c r="E48" s="4" t="s">
        <v>55</v>
      </c>
      <c r="F48" s="4">
        <f ca="1">ROUND(T_Facebook_Ads[[#This Row],[impressions]]*RANDBETWEEN(8,12)/10,0)</f>
        <v>51468</v>
      </c>
      <c r="G48" s="4">
        <v>934</v>
      </c>
      <c r="H48" s="4">
        <f ca="1">T_Facebook_Ads[[#This Row],[spend]]*RANDBETWEEN(8,12)/10</f>
        <v>158.88000000000002</v>
      </c>
      <c r="I48" s="4">
        <f ca="1">ROUND(T_Facebook_Ads[[#This Row],[conversions]]*RANDBETWEEN(8,12)/10,0)</f>
        <v>14</v>
      </c>
      <c r="J48" s="4">
        <f ca="1">ROUND(T_Facebook_Ads[[#This Row],[video_views]]*RANDBETWEEN(8,12)/10,0)</f>
        <v>6854</v>
      </c>
      <c r="K48" s="4">
        <f ca="1">T_Facebook_Ads[[#This Row],[engagement_rate]]*RANDBETWEEN(8,12)/10</f>
        <v>2.1999999999999999E-2</v>
      </c>
      <c r="L48" s="4">
        <f ca="1">ROUND(T_Facebook_Ads[[#This Row],[reach]]*RANDBETWEEN(8,12)/10,0)</f>
        <v>47081</v>
      </c>
      <c r="M48" s="4">
        <f ca="1">T_Facebook_Ads[[#This Row],[frequency]]*RANDBETWEEN(8,12)/10</f>
        <v>1.4279999999999999</v>
      </c>
      <c r="O48" s="3">
        <f t="shared" ca="1" si="6"/>
        <v>45093</v>
      </c>
      <c r="P48" s="4" t="s">
        <v>76</v>
      </c>
      <c r="Q48" s="4" t="s">
        <v>77</v>
      </c>
      <c r="R48" s="4" t="s">
        <v>78</v>
      </c>
      <c r="S48" s="4" t="s">
        <v>79</v>
      </c>
      <c r="T48" s="4">
        <f ca="1">ROUND(_Google_ads[[#This Row],[impressions]]*RANDBETWEEN(8,12)/10,0)</f>
        <v>19112</v>
      </c>
      <c r="U48" s="4">
        <f ca="1">ROUND(_Google_ads[[#This Row],[clicks]]*RANDBETWEEN(8,12)/10,0)</f>
        <v>1481</v>
      </c>
      <c r="V48" s="4">
        <f ca="1">_Google_ads[[#This Row],[cost]]*RANDBETWEEN(8,12)/10</f>
        <v>235.6</v>
      </c>
      <c r="W48" s="4">
        <f ca="1">ROUND(_Google_ads[[#This Row],[conversions]]*RANDBETWEEN(8,12)/10,0)</f>
        <v>41</v>
      </c>
      <c r="X48" s="4">
        <f ca="1">ROUND(_Google_ads[[#This Row],[conversion_value]]*RANDBETWEEN(8,12)/10,0)</f>
        <v>2760</v>
      </c>
      <c r="Y48" s="4">
        <f ca="1">_Google_ads[[#This Row],[ctr]]*RANDBETWEEN(8,12)/10</f>
        <v>4.1360000000000001E-2</v>
      </c>
      <c r="Z48" s="4">
        <f ca="1">_Google_ads[[#This Row],[avg_cpc]]*RANDBETWEEN(8,12)/10</f>
        <v>0.19</v>
      </c>
      <c r="AA48" s="4">
        <f ca="1">ROUND(_Google_ads[[#This Row],[quality_score]]*RANDBETWEEN(8,12)/10,0)</f>
        <v>11</v>
      </c>
      <c r="AB48" s="4">
        <f ca="1">_Google_ads[[#This Row],[search_impression_share]]*RANDBETWEEN(8,12)/10</f>
        <v>1.0920000000000001</v>
      </c>
      <c r="AD48" s="3">
        <f t="shared" ca="1" si="7"/>
        <v>45102</v>
      </c>
      <c r="AE48" s="4" t="s">
        <v>100</v>
      </c>
      <c r="AF48" s="4" t="s">
        <v>101</v>
      </c>
      <c r="AG48" s="4" t="s">
        <v>102</v>
      </c>
      <c r="AH48" s="4" t="s">
        <v>103</v>
      </c>
      <c r="AI48" s="4">
        <f ca="1">ROUND(T_Tiktok_ads[[#This Row],[impressions]]*RANDBETWEEN(8,12)/10,0)</f>
        <v>222110</v>
      </c>
      <c r="AJ48" s="4">
        <f ca="1">ROUND(T_Tiktok_ads[[#This Row],[clicks]]*RANDBETWEEN(8,12)/10,0)</f>
        <v>4414</v>
      </c>
      <c r="AK48" s="4">
        <v>478.9</v>
      </c>
      <c r="AL48" s="4">
        <f ca="1">ROUND(T_Tiktok_ads[[#This Row],[conversions]]*RANDBETWEEN(8,12)/10,0)</f>
        <v>32</v>
      </c>
      <c r="AM48" s="4">
        <f ca="1">ROUND(T_Tiktok_ads[[#This Row],[video_views]]*RANDBETWEEN(8,12)/10,0)</f>
        <v>186611</v>
      </c>
      <c r="AN48" s="4">
        <f ca="1">ROUND(T_Tiktok_ads[[#This Row],[video_watch_25]]*RANDBETWEEN(8,12)/10,0)</f>
        <v>147110</v>
      </c>
      <c r="AO48" s="4">
        <f ca="1">ROUND(T_Tiktok_ads[[#This Row],[video_watch_50]]*RANDBETWEEN(8,12)/10,0)</f>
        <v>112580</v>
      </c>
      <c r="AP48" s="4">
        <f ca="1">ROUND(T_Tiktok_ads[[#This Row],[video_watch_75]]*RANDBETWEEN(8,12)/10,0)</f>
        <v>70234</v>
      </c>
      <c r="AQ48" s="4">
        <f ca="1">ROUND(T_Tiktok_ads[[#This Row],[video_watch_100]]*RANDBETWEEN(8,12)/10,0)</f>
        <v>56681</v>
      </c>
      <c r="AR48" s="4">
        <f ca="1">ROUND(T_Tiktok_ads[[#This Row],[likes]]*RANDBETWEEN(8,12)/10,0)</f>
        <v>8311</v>
      </c>
      <c r="AS48" s="4">
        <f ca="1">ROUND(T_Tiktok_ads[[#This Row],[shares]]*RANDBETWEEN(8,12)/10,0)</f>
        <v>1965</v>
      </c>
      <c r="AT48" s="4">
        <f ca="1">ROUND(T_Tiktok_ads[[#This Row],[comments]]*RANDBETWEEN(8,12)/10,0)</f>
        <v>530</v>
      </c>
      <c r="AV48" s="5">
        <f t="shared" ca="1" si="8"/>
        <v>45092</v>
      </c>
      <c r="AW48">
        <f t="shared" ca="1" si="4"/>
        <v>3</v>
      </c>
      <c r="AX48">
        <f ca="1">ROUND(T_Facebook_Ads115963677175[[#This Row],[impressions]]*RANDBETWEEN(8,12)/10,0)</f>
        <v>61762</v>
      </c>
      <c r="AY48">
        <f ca="1">ROUND(T_Facebook_Ads115963677175[[#This Row],[clicks]]*RANDBETWEEN(8,12)/10,0)</f>
        <v>934</v>
      </c>
      <c r="AZ48">
        <f ca="1">T_Facebook_Ads115963677175[[#This Row],[spend]]*RANDBETWEEN(8,12)/10</f>
        <v>190.65600000000003</v>
      </c>
      <c r="BA48">
        <f ca="1">ROUND(T_Facebook_Ads115963677175[[#This Row],[conversions]]*RANDBETWEEN(8,12)/10,0)</f>
        <v>11</v>
      </c>
      <c r="BB48">
        <f ca="1">ROUND(T_Facebook_Ads115963677175[[#This Row],[video_views]]*RANDBETWEEN(8,12)/10,0)</f>
        <v>8225</v>
      </c>
    </row>
    <row r="49" spans="1:54" ht="15.75" thickBot="1" x14ac:dyDescent="0.3">
      <c r="A49" s="3">
        <f t="shared" ca="1" si="5"/>
        <v>45091</v>
      </c>
      <c r="B49" s="4" t="s">
        <v>56</v>
      </c>
      <c r="C49" s="4" t="s">
        <v>57</v>
      </c>
      <c r="D49" s="4" t="s">
        <v>58</v>
      </c>
      <c r="E49" s="4" t="s">
        <v>59</v>
      </c>
      <c r="F49" s="4">
        <f ca="1">ROUND(T_Facebook_Ads[[#This Row],[impressions]]*RANDBETWEEN(8,12)/10,0)</f>
        <v>14179</v>
      </c>
      <c r="G49" s="4">
        <v>567</v>
      </c>
      <c r="H49" s="4">
        <f ca="1">T_Facebook_Ads[[#This Row],[spend]]*RANDBETWEEN(8,12)/10</f>
        <v>177.04000000000002</v>
      </c>
      <c r="I49" s="4">
        <f ca="1">ROUND(T_Facebook_Ads[[#This Row],[conversions]]*RANDBETWEEN(8,12)/10,0)</f>
        <v>41</v>
      </c>
      <c r="J49" s="4">
        <f ca="1">ROUND(T_Facebook_Ads[[#This Row],[video_views]]*RANDBETWEEN(8,12)/10,0)</f>
        <v>1614</v>
      </c>
      <c r="K49" s="4">
        <f ca="1">T_Facebook_Ads[[#This Row],[engagement_rate]]*RANDBETWEEN(8,12)/10</f>
        <v>5.28E-2</v>
      </c>
      <c r="L49" s="4">
        <f ca="1">ROUND(T_Facebook_Ads[[#This Row],[reach]]*RANDBETWEEN(8,12)/10,0)</f>
        <v>12148</v>
      </c>
      <c r="M49" s="4">
        <f ca="1">T_Facebook_Ads[[#This Row],[frequency]]*RANDBETWEEN(8,12)/10</f>
        <v>1.27</v>
      </c>
      <c r="O49" s="3">
        <f t="shared" ca="1" si="6"/>
        <v>45082</v>
      </c>
      <c r="P49" s="4" t="s">
        <v>80</v>
      </c>
      <c r="Q49" s="4" t="s">
        <v>81</v>
      </c>
      <c r="R49" s="4" t="s">
        <v>82</v>
      </c>
      <c r="S49" s="4" t="s">
        <v>83</v>
      </c>
      <c r="T49" s="4">
        <f ca="1">ROUND(_Google_ads[[#This Row],[impressions]]*RANDBETWEEN(8,12)/10,0)</f>
        <v>35031</v>
      </c>
      <c r="U49" s="4">
        <f ca="1">ROUND(_Google_ads[[#This Row],[clicks]]*RANDBETWEEN(8,12)/10,0)</f>
        <v>770</v>
      </c>
      <c r="V49" s="4">
        <f ca="1">_Google_ads[[#This Row],[cost]]*RANDBETWEEN(8,12)/10</f>
        <v>448.71999999999997</v>
      </c>
      <c r="W49" s="4">
        <f ca="1">ROUND(_Google_ads[[#This Row],[conversions]]*RANDBETWEEN(8,12)/10,0)</f>
        <v>20</v>
      </c>
      <c r="X49" s="4">
        <f ca="1">ROUND(_Google_ads[[#This Row],[conversion_value]]*RANDBETWEEN(8,12)/10,0)</f>
        <v>880</v>
      </c>
      <c r="Y49" s="4">
        <f ca="1">_Google_ads[[#This Row],[ctr]]*RANDBETWEEN(8,12)/10</f>
        <v>1.95E-2</v>
      </c>
      <c r="Z49" s="4">
        <f ca="1">_Google_ads[[#This Row],[avg_cpc]]*RANDBETWEEN(8,12)/10</f>
        <v>0.59400000000000008</v>
      </c>
      <c r="AA49" s="4">
        <f ca="1">ROUND(_Google_ads[[#This Row],[quality_score]]*RANDBETWEEN(8,12)/10,0)</f>
        <v>7</v>
      </c>
      <c r="AB49" s="4">
        <f ca="1">_Google_ads[[#This Row],[search_impression_share]]*RANDBETWEEN(8,12)/10</f>
        <v>0.39600000000000002</v>
      </c>
      <c r="AD49" s="3">
        <f t="shared" ca="1" si="7"/>
        <v>45080</v>
      </c>
      <c r="AE49" s="4" t="s">
        <v>104</v>
      </c>
      <c r="AF49" s="4" t="s">
        <v>105</v>
      </c>
      <c r="AG49" s="4" t="s">
        <v>106</v>
      </c>
      <c r="AH49" s="4" t="s">
        <v>107</v>
      </c>
      <c r="AI49" s="4">
        <f ca="1">ROUND(T_Tiktok_ads[[#This Row],[impressions]]*RANDBETWEEN(8,12)/10,0)</f>
        <v>128111</v>
      </c>
      <c r="AJ49" s="4">
        <f ca="1">ROUND(T_Tiktok_ads[[#This Row],[clicks]]*RANDBETWEEN(8,12)/10,0)</f>
        <v>2678</v>
      </c>
      <c r="AK49" s="4">
        <v>734.5</v>
      </c>
      <c r="AL49" s="4">
        <f ca="1">ROUND(T_Tiktok_ads[[#This Row],[conversions]]*RANDBETWEEN(8,12)/10,0)</f>
        <v>58</v>
      </c>
      <c r="AM49" s="4">
        <f ca="1">ROUND(T_Tiktok_ads[[#This Row],[video_views]]*RANDBETWEEN(8,12)/10,0)</f>
        <v>97890</v>
      </c>
      <c r="AN49" s="4">
        <f ca="1">ROUND(T_Tiktok_ads[[#This Row],[video_watch_25]]*RANDBETWEEN(8,12)/10,0)</f>
        <v>79580</v>
      </c>
      <c r="AO49" s="4">
        <f ca="1">ROUND(T_Tiktok_ads[[#This Row],[video_watch_50]]*RANDBETWEEN(8,12)/10,0)</f>
        <v>58681</v>
      </c>
      <c r="AP49" s="4">
        <f ca="1">ROUND(T_Tiktok_ads[[#This Row],[video_watch_75]]*RANDBETWEEN(8,12)/10,0)</f>
        <v>44147</v>
      </c>
      <c r="AQ49" s="4">
        <f ca="1">ROUND(T_Tiktok_ads[[#This Row],[video_watch_100]]*RANDBETWEEN(8,12)/10,0)</f>
        <v>24890</v>
      </c>
      <c r="AR49" s="4">
        <f ca="1">ROUND(T_Tiktok_ads[[#This Row],[likes]]*RANDBETWEEN(8,12)/10,0)</f>
        <v>4901</v>
      </c>
      <c r="AS49" s="4">
        <f ca="1">ROUND(T_Tiktok_ads[[#This Row],[shares]]*RANDBETWEEN(8,12)/10,0)</f>
        <v>1085</v>
      </c>
      <c r="AT49" s="4">
        <f ca="1">ROUND(T_Tiktok_ads[[#This Row],[comments]]*RANDBETWEEN(8,12)/10,0)</f>
        <v>256</v>
      </c>
      <c r="AV49" s="5">
        <f t="shared" ca="1" si="8"/>
        <v>45089</v>
      </c>
      <c r="AW49">
        <f t="shared" ca="1" si="4"/>
        <v>4</v>
      </c>
      <c r="AX49">
        <f ca="1">ROUND(T_Facebook_Ads115963677175[[#This Row],[impressions]]*RANDBETWEEN(8,12)/10,0)</f>
        <v>14179</v>
      </c>
      <c r="AY49">
        <f ca="1">ROUND(T_Facebook_Ads115963677175[[#This Row],[clicks]]*RANDBETWEEN(8,12)/10,0)</f>
        <v>624</v>
      </c>
      <c r="AZ49">
        <f ca="1">T_Facebook_Ads115963677175[[#This Row],[spend]]*RANDBETWEEN(8,12)/10</f>
        <v>177.04000000000002</v>
      </c>
      <c r="BA49">
        <f ca="1">ROUND(T_Facebook_Ads115963677175[[#This Row],[conversions]]*RANDBETWEEN(8,12)/10,0)</f>
        <v>41</v>
      </c>
      <c r="BB49">
        <f ca="1">ROUND(T_Facebook_Ads115963677175[[#This Row],[video_views]]*RANDBETWEEN(8,12)/10,0)</f>
        <v>1453</v>
      </c>
    </row>
    <row r="50" spans="1:54" ht="15.75" thickBot="1" x14ac:dyDescent="0.3">
      <c r="A50" s="3">
        <f t="shared" ca="1" si="5"/>
        <v>45089</v>
      </c>
      <c r="B50" s="4" t="s">
        <v>60</v>
      </c>
      <c r="C50" s="4" t="s">
        <v>61</v>
      </c>
      <c r="D50" s="4" t="s">
        <v>62</v>
      </c>
      <c r="E50" s="4" t="s">
        <v>63</v>
      </c>
      <c r="F50" s="4">
        <f ca="1">ROUND(T_Facebook_Ads[[#This Row],[impressions]]*RANDBETWEEN(8,12)/10,0)</f>
        <v>32110</v>
      </c>
      <c r="G50" s="4">
        <v>1289</v>
      </c>
      <c r="H50" s="4">
        <f ca="1">T_Facebook_Ads[[#This Row],[spend]]*RANDBETWEEN(8,12)/10</f>
        <v>176.94</v>
      </c>
      <c r="I50" s="4">
        <f ca="1">ROUND(T_Facebook_Ads[[#This Row],[conversions]]*RANDBETWEEN(8,12)/10,0)</f>
        <v>20</v>
      </c>
      <c r="J50" s="4">
        <f ca="1">ROUND(T_Facebook_Ads[[#This Row],[video_views]]*RANDBETWEEN(8,12)/10,0)</f>
        <v>4678</v>
      </c>
      <c r="K50" s="4">
        <f ca="1">T_Facebook_Ads[[#This Row],[engagement_rate]]*RANDBETWEEN(8,12)/10</f>
        <v>3.61E-2</v>
      </c>
      <c r="L50" s="4">
        <f ca="1">ROUND(T_Facebook_Ads[[#This Row],[reach]]*RANDBETWEEN(8,12)/10,0)</f>
        <v>29345</v>
      </c>
      <c r="M50" s="4">
        <f ca="1">T_Facebook_Ads[[#This Row],[frequency]]*RANDBETWEEN(8,12)/10</f>
        <v>1.464</v>
      </c>
      <c r="O50" s="3">
        <f t="shared" ca="1" si="6"/>
        <v>45081</v>
      </c>
      <c r="P50" s="4" t="s">
        <v>84</v>
      </c>
      <c r="Q50" s="4" t="s">
        <v>85</v>
      </c>
      <c r="R50" s="4" t="s">
        <v>86</v>
      </c>
      <c r="S50" s="4" t="s">
        <v>87</v>
      </c>
      <c r="T50" s="4">
        <f ca="1">ROUND(_Google_ads[[#This Row],[impressions]]*RANDBETWEEN(8,12)/10,0)</f>
        <v>53787</v>
      </c>
      <c r="U50" s="4">
        <f ca="1">ROUND(_Google_ads[[#This Row],[clicks]]*RANDBETWEEN(8,12)/10,0)</f>
        <v>2234</v>
      </c>
      <c r="V50" s="4">
        <f ca="1">_Google_ads[[#This Row],[cost]]*RANDBETWEEN(8,12)/10</f>
        <v>411.7</v>
      </c>
      <c r="W50" s="4">
        <f ca="1">ROUND(_Google_ads[[#This Row],[conversions]]*RANDBETWEEN(8,12)/10,0)</f>
        <v>65</v>
      </c>
      <c r="X50" s="4">
        <f ca="1">ROUND(_Google_ads[[#This Row],[conversion_value]]*RANDBETWEEN(8,12)/10,0)</f>
        <v>3900</v>
      </c>
      <c r="Y50" s="4">
        <f ca="1">_Google_ads[[#This Row],[ctr]]*RANDBETWEEN(8,12)/10</f>
        <v>3.32E-2</v>
      </c>
      <c r="Z50" s="4">
        <f ca="1">_Google_ads[[#This Row],[avg_cpc]]*RANDBETWEEN(8,12)/10</f>
        <v>0.16199999999999998</v>
      </c>
      <c r="AA50" s="4">
        <f ca="1">ROUND(_Google_ads[[#This Row],[quality_score]]*RANDBETWEEN(8,12)/10,0)</f>
        <v>7</v>
      </c>
      <c r="AB50" s="4">
        <f ca="1">_Google_ads[[#This Row],[search_impression_share]]*RANDBETWEEN(8,12)/10</f>
        <v>0.52800000000000002</v>
      </c>
      <c r="AD50" s="3">
        <f t="shared" ca="1" si="7"/>
        <v>45082</v>
      </c>
      <c r="AE50" s="4" t="s">
        <v>108</v>
      </c>
      <c r="AF50" s="4" t="s">
        <v>109</v>
      </c>
      <c r="AG50" s="4" t="s">
        <v>110</v>
      </c>
      <c r="AH50" s="4" t="s">
        <v>111</v>
      </c>
      <c r="AI50" s="4">
        <f ca="1">ROUND(T_Tiktok_ads[[#This Row],[impressions]]*RANDBETWEEN(8,12)/10,0)</f>
        <v>212345</v>
      </c>
      <c r="AJ50" s="4">
        <f ca="1">ROUND(T_Tiktok_ads[[#This Row],[clicks]]*RANDBETWEEN(8,12)/10,0)</f>
        <v>3011</v>
      </c>
      <c r="AK50" s="4">
        <v>401.1</v>
      </c>
      <c r="AL50" s="4">
        <f ca="1">ROUND(T_Tiktok_ads[[#This Row],[conversions]]*RANDBETWEEN(8,12)/10,0)</f>
        <v>28</v>
      </c>
      <c r="AM50" s="4">
        <f ca="1">ROUND(T_Tiktok_ads[[#This Row],[video_views]]*RANDBETWEEN(8,12)/10,0)</f>
        <v>184679</v>
      </c>
      <c r="AN50" s="4">
        <f ca="1">ROUND(T_Tiktok_ads[[#This Row],[video_watch_25]]*RANDBETWEEN(8,12)/10,0)</f>
        <v>128234</v>
      </c>
      <c r="AO50" s="4">
        <f ca="1">ROUND(T_Tiktok_ads[[#This Row],[video_watch_50]]*RANDBETWEEN(8,12)/10,0)</f>
        <v>80987</v>
      </c>
      <c r="AP50" s="4">
        <f ca="1">ROUND(T_Tiktok_ads[[#This Row],[video_watch_75]]*RANDBETWEEN(8,12)/10,0)</f>
        <v>78281</v>
      </c>
      <c r="AQ50" s="4">
        <f ca="1">ROUND(T_Tiktok_ads[[#This Row],[video_watch_100]]*RANDBETWEEN(8,12)/10,0)</f>
        <v>43402</v>
      </c>
      <c r="AR50" s="4">
        <f ca="1">ROUND(T_Tiktok_ads[[#This Row],[likes]]*RANDBETWEEN(8,12)/10,0)</f>
        <v>9347</v>
      </c>
      <c r="AS50" s="4">
        <f ca="1">ROUND(T_Tiktok_ads[[#This Row],[shares]]*RANDBETWEEN(8,12)/10,0)</f>
        <v>1716</v>
      </c>
      <c r="AT50" s="4">
        <f ca="1">ROUND(T_Tiktok_ads[[#This Row],[comments]]*RANDBETWEEN(8,12)/10,0)</f>
        <v>563</v>
      </c>
      <c r="AV50" s="5">
        <f t="shared" ca="1" si="8"/>
        <v>45091</v>
      </c>
      <c r="AW50">
        <f t="shared" ca="1" si="4"/>
        <v>5</v>
      </c>
      <c r="AX50">
        <f ca="1">ROUND(T_Facebook_Ads115963677175[[#This Row],[impressions]]*RANDBETWEEN(8,12)/10,0)</f>
        <v>38532</v>
      </c>
      <c r="AY50">
        <f ca="1">ROUND(T_Facebook_Ads115963677175[[#This Row],[clicks]]*RANDBETWEEN(8,12)/10,0)</f>
        <v>1547</v>
      </c>
      <c r="AZ50">
        <f ca="1">T_Facebook_Ads115963677175[[#This Row],[spend]]*RANDBETWEEN(8,12)/10</f>
        <v>212.32799999999997</v>
      </c>
      <c r="BA50">
        <f ca="1">ROUND(T_Facebook_Ads115963677175[[#This Row],[conversions]]*RANDBETWEEN(8,12)/10,0)</f>
        <v>22</v>
      </c>
      <c r="BB50">
        <f ca="1">ROUND(T_Facebook_Ads115963677175[[#This Row],[video_views]]*RANDBETWEEN(8,12)/10,0)</f>
        <v>5146</v>
      </c>
    </row>
    <row r="51" spans="1:54" ht="15.75" thickBot="1" x14ac:dyDescent="0.3">
      <c r="A51" s="3">
        <f t="shared" ca="1" si="5"/>
        <v>45096</v>
      </c>
      <c r="B51" s="4" t="s">
        <v>64</v>
      </c>
      <c r="C51" s="4" t="s">
        <v>65</v>
      </c>
      <c r="D51" s="4" t="s">
        <v>66</v>
      </c>
      <c r="E51" s="4" t="s">
        <v>67</v>
      </c>
      <c r="F51" s="4">
        <f ca="1">ROUND(T_Facebook_Ads[[#This Row],[impressions]]*RANDBETWEEN(8,12)/10,0)</f>
        <v>82147</v>
      </c>
      <c r="G51" s="4">
        <v>248</v>
      </c>
      <c r="H51" s="4">
        <f ca="1">T_Facebook_Ads[[#This Row],[spend]]*RANDBETWEEN(8,12)/10</f>
        <v>87.6</v>
      </c>
      <c r="I51" s="4">
        <f ca="1">ROUND(T_Facebook_Ads[[#This Row],[conversions]]*RANDBETWEEN(8,12)/10,0)</f>
        <v>6</v>
      </c>
      <c r="J51" s="4">
        <f ca="1">ROUND(T_Facebook_Ads[[#This Row],[video_views]]*RANDBETWEEN(8,12)/10,0)</f>
        <v>50857</v>
      </c>
      <c r="K51" s="4">
        <f ca="1">T_Facebook_Ads[[#This Row],[engagement_rate]]*RANDBETWEEN(8,12)/10</f>
        <v>3.2399999999999998E-3</v>
      </c>
      <c r="L51" s="4">
        <f ca="1">ROUND(T_Facebook_Ads[[#This Row],[reach]]*RANDBETWEEN(8,12)/10,0)</f>
        <v>62468</v>
      </c>
      <c r="M51" s="4">
        <f ca="1">T_Facebook_Ads[[#This Row],[frequency]]*RANDBETWEEN(8,12)/10</f>
        <v>0.96799999999999997</v>
      </c>
      <c r="O51" s="3">
        <f t="shared" ca="1" si="6"/>
        <v>45079</v>
      </c>
      <c r="P51" s="4" t="s">
        <v>88</v>
      </c>
      <c r="Q51" s="4" t="s">
        <v>89</v>
      </c>
      <c r="R51" s="4" t="s">
        <v>90</v>
      </c>
      <c r="S51" s="4" t="s">
        <v>59</v>
      </c>
      <c r="T51" s="4">
        <f ca="1">ROUND(_Google_ads[[#This Row],[impressions]]*RANDBETWEEN(8,12)/10,0)</f>
        <v>116011</v>
      </c>
      <c r="U51" s="4">
        <f ca="1">ROUND(_Google_ads[[#This Row],[clicks]]*RANDBETWEEN(8,12)/10,0)</f>
        <v>467</v>
      </c>
      <c r="V51" s="4">
        <f ca="1">_Google_ads[[#This Row],[cost]]*RANDBETWEEN(8,12)/10</f>
        <v>139.37</v>
      </c>
      <c r="W51" s="4">
        <f ca="1">ROUND(_Google_ads[[#This Row],[conversions]]*RANDBETWEEN(8,12)/10,0)</f>
        <v>10</v>
      </c>
      <c r="X51" s="4">
        <f ca="1">ROUND(_Google_ads[[#This Row],[conversion_value]]*RANDBETWEEN(8,12)/10,0)</f>
        <v>650</v>
      </c>
      <c r="Y51" s="4">
        <f ca="1">_Google_ads[[#This Row],[ctr]]*RANDBETWEEN(8,12)/10</f>
        <v>2.8799999999999997E-3</v>
      </c>
      <c r="Z51" s="4">
        <f ca="1">_Google_ads[[#This Row],[avg_cpc]]*RANDBETWEEN(8,12)/10</f>
        <v>0.32400000000000001</v>
      </c>
      <c r="AA51" s="4">
        <f ca="1">ROUND(_Google_ads[[#This Row],[quality_score]]*RANDBETWEEN(8,12)/10,0)</f>
        <v>6</v>
      </c>
      <c r="AB51" s="4">
        <f ca="1">_Google_ads[[#This Row],[search_impression_share]]*RANDBETWEEN(8,12)/10</f>
        <v>0.30599999999999999</v>
      </c>
      <c r="AD51" s="3">
        <f t="shared" ca="1" si="7"/>
        <v>45081</v>
      </c>
      <c r="AE51" s="4" t="s">
        <v>112</v>
      </c>
      <c r="AF51" s="4" t="s">
        <v>113</v>
      </c>
      <c r="AG51" s="4" t="s">
        <v>114</v>
      </c>
      <c r="AH51" s="4" t="s">
        <v>115</v>
      </c>
      <c r="AI51" s="4">
        <f ca="1">ROUND(T_Tiktok_ads[[#This Row],[impressions]]*RANDBETWEEN(8,12)/10,0)</f>
        <v>303121</v>
      </c>
      <c r="AJ51" s="4">
        <f ca="1">ROUND(T_Tiktok_ads[[#This Row],[clicks]]*RANDBETWEEN(8,12)/10,0)</f>
        <v>5511</v>
      </c>
      <c r="AK51" s="4">
        <v>945.6</v>
      </c>
      <c r="AL51" s="4">
        <f ca="1">ROUND(T_Tiktok_ads[[#This Row],[conversions]]*RANDBETWEEN(8,12)/10,0)</f>
        <v>115</v>
      </c>
      <c r="AM51" s="4">
        <f ca="1">ROUND(T_Tiktok_ads[[#This Row],[video_views]]*RANDBETWEEN(8,12)/10,0)</f>
        <v>374814</v>
      </c>
      <c r="AN51" s="4">
        <f ca="1">ROUND(T_Tiktok_ads[[#This Row],[video_watch_25]]*RANDBETWEEN(8,12)/10,0)</f>
        <v>276357</v>
      </c>
      <c r="AO51" s="4">
        <f ca="1">ROUND(T_Tiktok_ads[[#This Row],[video_watch_50]]*RANDBETWEEN(8,12)/10,0)</f>
        <v>160987</v>
      </c>
      <c r="AP51" s="4">
        <f ca="1">ROUND(T_Tiktok_ads[[#This Row],[video_watch_75]]*RANDBETWEEN(8,12)/10,0)</f>
        <v>143456</v>
      </c>
      <c r="AQ51" s="4">
        <f ca="1">ROUND(T_Tiktok_ads[[#This Row],[video_watch_100]]*RANDBETWEEN(8,12)/10,0)</f>
        <v>104757</v>
      </c>
      <c r="AR51" s="4">
        <f ca="1">ROUND(T_Tiktok_ads[[#This Row],[likes]]*RANDBETWEEN(8,12)/10,0)</f>
        <v>13254</v>
      </c>
      <c r="AS51" s="4">
        <f ca="1">ROUND(T_Tiktok_ads[[#This Row],[shares]]*RANDBETWEEN(8,12)/10,0)</f>
        <v>3858</v>
      </c>
      <c r="AT51" s="4">
        <f ca="1">ROUND(T_Tiktok_ads[[#This Row],[comments]]*RANDBETWEEN(8,12)/10,0)</f>
        <v>1181</v>
      </c>
      <c r="AV51" s="5">
        <f t="shared" ca="1" si="8"/>
        <v>45098</v>
      </c>
      <c r="AW51">
        <f t="shared" ca="1" si="4"/>
        <v>7</v>
      </c>
      <c r="AX51">
        <f ca="1">ROUND(T_Facebook_Ads115963677175[[#This Row],[impressions]]*RANDBETWEEN(8,12)/10,0)</f>
        <v>82147</v>
      </c>
      <c r="AY51">
        <f ca="1">ROUND(T_Facebook_Ads115963677175[[#This Row],[clicks]]*RANDBETWEEN(8,12)/10,0)</f>
        <v>198</v>
      </c>
      <c r="AZ51">
        <f ca="1">T_Facebook_Ads115963677175[[#This Row],[spend]]*RANDBETWEEN(8,12)/10</f>
        <v>96.359999999999985</v>
      </c>
      <c r="BA51">
        <f ca="1">ROUND(T_Facebook_Ads115963677175[[#This Row],[conversions]]*RANDBETWEEN(8,12)/10,0)</f>
        <v>5</v>
      </c>
      <c r="BB51">
        <f ca="1">ROUND(T_Facebook_Ads115963677175[[#This Row],[video_views]]*RANDBETWEEN(8,12)/10,0)</f>
        <v>40686</v>
      </c>
    </row>
    <row r="52" spans="1:54" ht="15.75" thickBot="1" x14ac:dyDescent="0.3">
      <c r="A52" s="3">
        <f t="shared" ca="1" si="5"/>
        <v>45079</v>
      </c>
      <c r="B52" s="4" t="s">
        <v>52</v>
      </c>
      <c r="C52" s="4" t="s">
        <v>53</v>
      </c>
      <c r="D52" s="4" t="s">
        <v>54</v>
      </c>
      <c r="E52" s="4" t="s">
        <v>55</v>
      </c>
      <c r="F52" s="4">
        <f ca="1">ROUND(T_Facebook_Ads[[#This Row],[impressions]]*RANDBETWEEN(8,12)/10,0)</f>
        <v>40187</v>
      </c>
      <c r="G52" s="4">
        <v>1023</v>
      </c>
      <c r="H52" s="4">
        <f ca="1">T_Facebook_Ads[[#This Row],[spend]]*RANDBETWEEN(8,12)/10</f>
        <v>129.42000000000002</v>
      </c>
      <c r="I52" s="4">
        <f ca="1">ROUND(T_Facebook_Ads[[#This Row],[conversions]]*RANDBETWEEN(8,12)/10,0)</f>
        <v>13</v>
      </c>
      <c r="J52" s="4">
        <f ca="1">ROUND(T_Facebook_Ads[[#This Row],[video_views]]*RANDBETWEEN(8,12)/10,0)</f>
        <v>8311</v>
      </c>
      <c r="K52" s="4">
        <f ca="1">T_Facebook_Ads[[#This Row],[engagement_rate]]*RANDBETWEEN(8,12)/10</f>
        <v>1.8360000000000001E-2</v>
      </c>
      <c r="L52" s="4">
        <f ca="1">ROUND(T_Facebook_Ads[[#This Row],[reach]]*RANDBETWEEN(8,12)/10,0)</f>
        <v>50814</v>
      </c>
      <c r="M52" s="4">
        <f ca="1">T_Facebook_Ads[[#This Row],[frequency]]*RANDBETWEEN(8,12)/10</f>
        <v>1.3089999999999999</v>
      </c>
      <c r="O52" s="3">
        <f t="shared" ca="1" si="6"/>
        <v>45089</v>
      </c>
      <c r="P52" s="4" t="s">
        <v>76</v>
      </c>
      <c r="Q52" s="4" t="s">
        <v>77</v>
      </c>
      <c r="R52" s="4" t="s">
        <v>78</v>
      </c>
      <c r="S52" s="4" t="s">
        <v>79</v>
      </c>
      <c r="T52" s="4">
        <f ca="1">ROUND(_Google_ads[[#This Row],[impressions]]*RANDBETWEEN(8,12)/10,0)</f>
        <v>28002</v>
      </c>
      <c r="U52" s="4">
        <f ca="1">ROUND(_Google_ads[[#This Row],[clicks]]*RANDBETWEEN(8,12)/10,0)</f>
        <v>1076</v>
      </c>
      <c r="V52" s="4">
        <f ca="1">_Google_ads[[#This Row],[cost]]*RANDBETWEEN(8,12)/10</f>
        <v>231.57000000000002</v>
      </c>
      <c r="W52" s="4">
        <f ca="1">ROUND(_Google_ads[[#This Row],[conversions]]*RANDBETWEEN(8,12)/10,0)</f>
        <v>41</v>
      </c>
      <c r="X52" s="4">
        <f ca="1">ROUND(_Google_ads[[#This Row],[conversion_value]]*RANDBETWEEN(8,12)/10,0)</f>
        <v>3060</v>
      </c>
      <c r="Y52" s="4">
        <f ca="1">_Google_ads[[#This Row],[ctr]]*RANDBETWEEN(8,12)/10</f>
        <v>6.336E-2</v>
      </c>
      <c r="Z52" s="4">
        <f ca="1">_Google_ads[[#This Row],[avg_cpc]]*RANDBETWEEN(8,12)/10</f>
        <v>0.17099999999999999</v>
      </c>
      <c r="AA52" s="4">
        <f ca="1">ROUND(_Google_ads[[#This Row],[quality_score]]*RANDBETWEEN(8,12)/10,0)</f>
        <v>9</v>
      </c>
      <c r="AB52" s="4">
        <f ca="1">_Google_ads[[#This Row],[search_impression_share]]*RANDBETWEEN(8,12)/10</f>
        <v>0.73599999999999999</v>
      </c>
      <c r="AD52" s="3">
        <f t="shared" ca="1" si="7"/>
        <v>45091</v>
      </c>
      <c r="AE52" s="4" t="s">
        <v>100</v>
      </c>
      <c r="AF52" s="4" t="s">
        <v>101</v>
      </c>
      <c r="AG52" s="4" t="s">
        <v>102</v>
      </c>
      <c r="AH52" s="4" t="s">
        <v>103</v>
      </c>
      <c r="AI52" s="4">
        <f ca="1">ROUND(T_Tiktok_ads[[#This Row],[impressions]]*RANDBETWEEN(8,12)/10,0)</f>
        <v>231210</v>
      </c>
      <c r="AJ52" s="4">
        <f ca="1">ROUND(T_Tiktok_ads[[#This Row],[clicks]]*RANDBETWEEN(8,12)/10,0)</f>
        <v>4657</v>
      </c>
      <c r="AK52" s="4">
        <v>556.70000000000005</v>
      </c>
      <c r="AL52" s="4">
        <f ca="1">ROUND(T_Tiktok_ads[[#This Row],[conversions]]*RANDBETWEEN(8,12)/10,0)</f>
        <v>34</v>
      </c>
      <c r="AM52" s="4">
        <f ca="1">ROUND(T_Tiktok_ads[[#This Row],[video_views]]*RANDBETWEEN(8,12)/10,0)</f>
        <v>234567</v>
      </c>
      <c r="AN52" s="4">
        <f ca="1">ROUND(T_Tiktok_ads[[#This Row],[video_watch_25]]*RANDBETWEEN(8,12)/10,0)</f>
        <v>200580</v>
      </c>
      <c r="AO52" s="4">
        <f ca="1">ROUND(T_Tiktok_ads[[#This Row],[video_watch_50]]*RANDBETWEEN(8,12)/10,0)</f>
        <v>91654</v>
      </c>
      <c r="AP52" s="4">
        <f ca="1">ROUND(T_Tiktok_ads[[#This Row],[video_watch_75]]*RANDBETWEEN(8,12)/10,0)</f>
        <v>77234</v>
      </c>
      <c r="AQ52" s="4">
        <f ca="1">ROUND(T_Tiktok_ads[[#This Row],[video_watch_100]]*RANDBETWEEN(8,12)/10,0)</f>
        <v>56357</v>
      </c>
      <c r="AR52" s="4">
        <f ca="1">ROUND(T_Tiktok_ads[[#This Row],[likes]]*RANDBETWEEN(8,12)/10,0)</f>
        <v>11380</v>
      </c>
      <c r="AS52" s="4">
        <f ca="1">ROUND(T_Tiktok_ads[[#This Row],[shares]]*RANDBETWEEN(8,12)/10,0)</f>
        <v>2510</v>
      </c>
      <c r="AT52" s="4">
        <f ca="1">ROUND(T_Tiktok_ads[[#This Row],[comments]]*RANDBETWEEN(8,12)/10,0)</f>
        <v>787</v>
      </c>
      <c r="AV52" s="5">
        <f t="shared" ca="1" si="8"/>
        <v>45084</v>
      </c>
      <c r="AW52">
        <f t="shared" ca="1" si="4"/>
        <v>2</v>
      </c>
      <c r="AX52">
        <f ca="1">ROUND(T_Facebook_Ads115963677175[[#This Row],[impressions]]*RANDBETWEEN(8,12)/10,0)</f>
        <v>36168</v>
      </c>
      <c r="AY52">
        <f ca="1">ROUND(T_Facebook_Ads115963677175[[#This Row],[clicks]]*RANDBETWEEN(8,12)/10,0)</f>
        <v>921</v>
      </c>
      <c r="AZ52">
        <f ca="1">T_Facebook_Ads115963677175[[#This Row],[spend]]*RANDBETWEEN(8,12)/10</f>
        <v>103.53600000000002</v>
      </c>
      <c r="BA52">
        <f ca="1">ROUND(T_Facebook_Ads115963677175[[#This Row],[conversions]]*RANDBETWEEN(8,12)/10,0)</f>
        <v>12</v>
      </c>
      <c r="BB52">
        <f ca="1">ROUND(T_Facebook_Ads115963677175[[#This Row],[video_views]]*RANDBETWEEN(8,12)/10,0)</f>
        <v>7480</v>
      </c>
    </row>
    <row r="53" spans="1:54" ht="15.75" thickBot="1" x14ac:dyDescent="0.3">
      <c r="A53" s="3">
        <f t="shared" ca="1" si="5"/>
        <v>45082</v>
      </c>
      <c r="B53" s="4" t="s">
        <v>56</v>
      </c>
      <c r="C53" s="4" t="s">
        <v>57</v>
      </c>
      <c r="D53" s="4" t="s">
        <v>58</v>
      </c>
      <c r="E53" s="4" t="s">
        <v>59</v>
      </c>
      <c r="F53" s="4">
        <f ca="1">ROUND(T_Facebook_Ads[[#This Row],[impressions]]*RANDBETWEEN(8,12)/10,0)</f>
        <v>11387</v>
      </c>
      <c r="G53" s="4">
        <v>678</v>
      </c>
      <c r="H53" s="4">
        <f ca="1">T_Facebook_Ads[[#This Row],[spend]]*RANDBETWEEN(8,12)/10</f>
        <v>298.2</v>
      </c>
      <c r="I53" s="4">
        <f ca="1">ROUND(T_Facebook_Ads[[#This Row],[conversions]]*RANDBETWEEN(8,12)/10,0)</f>
        <v>46</v>
      </c>
      <c r="J53" s="4">
        <f ca="1">ROUND(T_Facebook_Ads[[#This Row],[video_views]]*RANDBETWEEN(8,12)/10,0)</f>
        <v>1880</v>
      </c>
      <c r="K53" s="4">
        <f ca="1">T_Facebook_Ads[[#This Row],[engagement_rate]]*RANDBETWEEN(8,12)/10</f>
        <v>4.2930000000000003E-2</v>
      </c>
      <c r="L53" s="4">
        <f ca="1">ROUND(T_Facebook_Ads[[#This Row],[reach]]*RANDBETWEEN(8,12)/10,0)</f>
        <v>12357</v>
      </c>
      <c r="M53" s="4">
        <f ca="1">T_Facebook_Ads[[#This Row],[frequency]]*RANDBETWEEN(8,12)/10</f>
        <v>1.016</v>
      </c>
      <c r="O53" s="3">
        <f t="shared" ca="1" si="6"/>
        <v>45102</v>
      </c>
      <c r="P53" s="4" t="s">
        <v>80</v>
      </c>
      <c r="Q53" s="4" t="s">
        <v>81</v>
      </c>
      <c r="R53" s="4" t="s">
        <v>82</v>
      </c>
      <c r="S53" s="4" t="s">
        <v>83</v>
      </c>
      <c r="T53" s="4">
        <f ca="1">ROUND(_Google_ads[[#This Row],[impressions]]*RANDBETWEEN(8,12)/10,0)</f>
        <v>41110</v>
      </c>
      <c r="U53" s="4">
        <f ca="1">ROUND(_Google_ads[[#This Row],[clicks]]*RANDBETWEEN(8,12)/10,0)</f>
        <v>901</v>
      </c>
      <c r="V53" s="4">
        <f ca="1">_Google_ads[[#This Row],[cost]]*RANDBETWEEN(8,12)/10</f>
        <v>467.6</v>
      </c>
      <c r="W53" s="4">
        <f ca="1">ROUND(_Google_ads[[#This Row],[conversions]]*RANDBETWEEN(8,12)/10,0)</f>
        <v>24</v>
      </c>
      <c r="X53" s="4">
        <f ca="1">ROUND(_Google_ads[[#This Row],[conversion_value]]*RANDBETWEEN(8,12)/10,0)</f>
        <v>1440</v>
      </c>
      <c r="Y53" s="4">
        <f ca="1">_Google_ads[[#This Row],[ctr]]*RANDBETWEEN(8,12)/10</f>
        <v>1.9699999999999999E-2</v>
      </c>
      <c r="Z53" s="4">
        <f ca="1">_Google_ads[[#This Row],[avg_cpc]]*RANDBETWEEN(8,12)/10</f>
        <v>0.78</v>
      </c>
      <c r="AA53" s="4">
        <f ca="1">ROUND(_Google_ads[[#This Row],[quality_score]]*RANDBETWEEN(8,12)/10,0)</f>
        <v>7</v>
      </c>
      <c r="AB53" s="4">
        <f ca="1">_Google_ads[[#This Row],[search_impression_share]]*RANDBETWEEN(8,12)/10</f>
        <v>0.54</v>
      </c>
      <c r="AD53" s="3">
        <f t="shared" ca="1" si="7"/>
        <v>45093</v>
      </c>
      <c r="AE53" s="4" t="s">
        <v>104</v>
      </c>
      <c r="AF53" s="4" t="s">
        <v>105</v>
      </c>
      <c r="AG53" s="4" t="s">
        <v>106</v>
      </c>
      <c r="AH53" s="4" t="s">
        <v>107</v>
      </c>
      <c r="AI53" s="4">
        <f ca="1">ROUND(T_Tiktok_ads[[#This Row],[impressions]]*RANDBETWEEN(8,12)/10,0)</f>
        <v>125431</v>
      </c>
      <c r="AJ53" s="4">
        <f ca="1">ROUND(T_Tiktok_ads[[#This Row],[clicks]]*RANDBETWEEN(8,12)/10,0)</f>
        <v>3012</v>
      </c>
      <c r="AK53" s="4">
        <v>812.3</v>
      </c>
      <c r="AL53" s="4">
        <f ca="1">ROUND(T_Tiktok_ads[[#This Row],[conversions]]*RANDBETWEEN(8,12)/10,0)</f>
        <v>74</v>
      </c>
      <c r="AM53" s="4">
        <f ca="1">ROUND(T_Tiktok_ads[[#This Row],[video_views]]*RANDBETWEEN(8,12)/10,0)</f>
        <v>109876</v>
      </c>
      <c r="AN53" s="4">
        <f ca="1">ROUND(T_Tiktok_ads[[#This Row],[video_watch_25]]*RANDBETWEEN(8,12)/10,0)</f>
        <v>81234</v>
      </c>
      <c r="AO53" s="4">
        <f ca="1">ROUND(T_Tiktok_ads[[#This Row],[video_watch_50]]*RANDBETWEEN(8,12)/10,0)</f>
        <v>60146</v>
      </c>
      <c r="AP53" s="4">
        <f ca="1">ROUND(T_Tiktok_ads[[#This Row],[video_watch_75]]*RANDBETWEEN(8,12)/10,0)</f>
        <v>49481</v>
      </c>
      <c r="AQ53" s="4">
        <f ca="1">ROUND(T_Tiktok_ads[[#This Row],[video_watch_100]]*RANDBETWEEN(8,12)/10,0)</f>
        <v>27567</v>
      </c>
      <c r="AR53" s="4">
        <f ca="1">ROUND(T_Tiktok_ads[[#This Row],[likes]]*RANDBETWEEN(8,12)/10,0)</f>
        <v>6547</v>
      </c>
      <c r="AS53" s="4">
        <f ca="1">ROUND(T_Tiktok_ads[[#This Row],[shares]]*RANDBETWEEN(8,12)/10,0)</f>
        <v>1254</v>
      </c>
      <c r="AT53" s="4">
        <f ca="1">ROUND(T_Tiktok_ads[[#This Row],[comments]]*RANDBETWEEN(8,12)/10,0)</f>
        <v>231</v>
      </c>
      <c r="AV53" s="5">
        <f t="shared" ca="1" si="8"/>
        <v>45085</v>
      </c>
      <c r="AW53">
        <f t="shared" ca="1" si="4"/>
        <v>3</v>
      </c>
      <c r="AX53">
        <f ca="1">ROUND(T_Facebook_Ads115963677175[[#This Row],[impressions]]*RANDBETWEEN(8,12)/10,0)</f>
        <v>11387</v>
      </c>
      <c r="AY53">
        <f ca="1">ROUND(T_Facebook_Ads115963677175[[#This Row],[clicks]]*RANDBETWEEN(8,12)/10,0)</f>
        <v>678</v>
      </c>
      <c r="AZ53">
        <f ca="1">T_Facebook_Ads115963677175[[#This Row],[spend]]*RANDBETWEEN(8,12)/10</f>
        <v>268.38</v>
      </c>
      <c r="BA53">
        <f ca="1">ROUND(T_Facebook_Ads115963677175[[#This Row],[conversions]]*RANDBETWEEN(8,12)/10,0)</f>
        <v>55</v>
      </c>
      <c r="BB53">
        <f ca="1">ROUND(T_Facebook_Ads115963677175[[#This Row],[video_views]]*RANDBETWEEN(8,12)/10,0)</f>
        <v>1692</v>
      </c>
    </row>
    <row r="54" spans="1:54" ht="15.75" thickBot="1" x14ac:dyDescent="0.3">
      <c r="A54" s="3">
        <f t="shared" ca="1" si="5"/>
        <v>45102</v>
      </c>
      <c r="B54" s="4" t="s">
        <v>60</v>
      </c>
      <c r="C54" s="4" t="s">
        <v>61</v>
      </c>
      <c r="D54" s="4" t="s">
        <v>62</v>
      </c>
      <c r="E54" s="4" t="s">
        <v>63</v>
      </c>
      <c r="F54" s="4">
        <f ca="1">ROUND(T_Facebook_Ads[[#This Row],[impressions]]*RANDBETWEEN(8,12)/10,0)</f>
        <v>42302</v>
      </c>
      <c r="G54" s="4">
        <v>1423</v>
      </c>
      <c r="H54" s="4">
        <f ca="1">T_Facebook_Ads[[#This Row],[spend]]*RANDBETWEEN(8,12)/10</f>
        <v>240.57</v>
      </c>
      <c r="I54" s="4">
        <f ca="1">ROUND(T_Facebook_Ads[[#This Row],[conversions]]*RANDBETWEEN(8,12)/10,0)</f>
        <v>36</v>
      </c>
      <c r="J54" s="4">
        <f ca="1">ROUND(T_Facebook_Ads[[#This Row],[video_views]]*RANDBETWEEN(8,12)/10,0)</f>
        <v>5635</v>
      </c>
      <c r="K54" s="4">
        <f ca="1">T_Facebook_Ads[[#This Row],[engagement_rate]]*RANDBETWEEN(8,12)/10</f>
        <v>4.07E-2</v>
      </c>
      <c r="L54" s="4">
        <f ca="1">ROUND(T_Facebook_Ads[[#This Row],[reach]]*RANDBETWEEN(8,12)/10,0)</f>
        <v>31234</v>
      </c>
      <c r="M54" s="4">
        <f ca="1">T_Facebook_Ads[[#This Row],[frequency]]*RANDBETWEEN(8,12)/10</f>
        <v>1.107</v>
      </c>
      <c r="O54" s="3">
        <f t="shared" ca="1" si="6"/>
        <v>45083</v>
      </c>
      <c r="P54" s="4" t="s">
        <v>84</v>
      </c>
      <c r="Q54" s="4" t="s">
        <v>85</v>
      </c>
      <c r="R54" s="4" t="s">
        <v>86</v>
      </c>
      <c r="S54" s="4" t="s">
        <v>87</v>
      </c>
      <c r="T54" s="4">
        <f ca="1">ROUND(_Google_ads[[#This Row],[impressions]]*RANDBETWEEN(8,12)/10,0)</f>
        <v>63111</v>
      </c>
      <c r="U54" s="4">
        <f ca="1">ROUND(_Google_ads[[#This Row],[clicks]]*RANDBETWEEN(8,12)/10,0)</f>
        <v>2616</v>
      </c>
      <c r="V54" s="4">
        <f ca="1">_Google_ads[[#This Row],[cost]]*RANDBETWEEN(8,12)/10</f>
        <v>479.38</v>
      </c>
      <c r="W54" s="4">
        <f ca="1">ROUND(_Google_ads[[#This Row],[conversions]]*RANDBETWEEN(8,12)/10,0)</f>
        <v>62</v>
      </c>
      <c r="X54" s="4">
        <f ca="1">ROUND(_Google_ads[[#This Row],[conversion_value]]*RANDBETWEEN(8,12)/10,0)</f>
        <v>4140</v>
      </c>
      <c r="Y54" s="4">
        <f ca="1">_Google_ads[[#This Row],[ctr]]*RANDBETWEEN(8,12)/10</f>
        <v>3.39E-2</v>
      </c>
      <c r="Z54" s="4">
        <f ca="1">_Google_ads[[#This Row],[avg_cpc]]*RANDBETWEEN(8,12)/10</f>
        <v>0.21600000000000003</v>
      </c>
      <c r="AA54" s="4">
        <f ca="1">ROUND(_Google_ads[[#This Row],[quality_score]]*RANDBETWEEN(8,12)/10,0)</f>
        <v>10</v>
      </c>
      <c r="AB54" s="4">
        <f ca="1">_Google_ads[[#This Row],[search_impression_share]]*RANDBETWEEN(8,12)/10</f>
        <v>0.80400000000000005</v>
      </c>
      <c r="AD54" s="3">
        <f t="shared" ca="1" si="7"/>
        <v>45079</v>
      </c>
      <c r="AE54" s="4" t="s">
        <v>108</v>
      </c>
      <c r="AF54" s="4" t="s">
        <v>109</v>
      </c>
      <c r="AG54" s="4" t="s">
        <v>110</v>
      </c>
      <c r="AH54" s="4" t="s">
        <v>111</v>
      </c>
      <c r="AI54" s="4">
        <f ca="1">ROUND(T_Tiktok_ads[[#This Row],[impressions]]*RANDBETWEEN(8,12)/10,0)</f>
        <v>221110</v>
      </c>
      <c r="AJ54" s="4">
        <f ca="1">ROUND(T_Tiktok_ads[[#This Row],[clicks]]*RANDBETWEEN(8,12)/10,0)</f>
        <v>4279</v>
      </c>
      <c r="AK54" s="4">
        <v>467.8</v>
      </c>
      <c r="AL54" s="4">
        <f ca="1">ROUND(T_Tiktok_ads[[#This Row],[conversions]]*RANDBETWEEN(8,12)/10,0)</f>
        <v>37</v>
      </c>
      <c r="AM54" s="4">
        <f ca="1">ROUND(T_Tiktok_ads[[#This Row],[video_views]]*RANDBETWEEN(8,12)/10,0)</f>
        <v>195678</v>
      </c>
      <c r="AN54" s="4">
        <f ca="1">ROUND(T_Tiktok_ads[[#This Row],[video_watch_25]]*RANDBETWEEN(8,12)/10,0)</f>
        <v>163057</v>
      </c>
      <c r="AO54" s="4">
        <f ca="1">ROUND(T_Tiktok_ads[[#This Row],[video_watch_50]]*RANDBETWEEN(8,12)/10,0)</f>
        <v>117234</v>
      </c>
      <c r="AP54" s="4">
        <f ca="1">ROUND(T_Tiktok_ads[[#This Row],[video_watch_75]]*RANDBETWEEN(8,12)/10,0)</f>
        <v>67711</v>
      </c>
      <c r="AQ54" s="4">
        <f ca="1">ROUND(T_Tiktok_ads[[#This Row],[video_watch_100]]*RANDBETWEEN(8,12)/10,0)</f>
        <v>45789</v>
      </c>
      <c r="AR54" s="4">
        <f ca="1">ROUND(T_Tiktok_ads[[#This Row],[likes]]*RANDBETWEEN(8,12)/10,0)</f>
        <v>6854</v>
      </c>
      <c r="AS54" s="4">
        <f ca="1">ROUND(T_Tiktok_ads[[#This Row],[shares]]*RANDBETWEEN(8,12)/10,0)</f>
        <v>2814</v>
      </c>
      <c r="AT54" s="4">
        <f ca="1">ROUND(T_Tiktok_ads[[#This Row],[comments]]*RANDBETWEEN(8,12)/10,0)</f>
        <v>454</v>
      </c>
      <c r="AV54" s="5">
        <f t="shared" ca="1" si="8"/>
        <v>45092</v>
      </c>
      <c r="AW54">
        <f t="shared" ca="1" si="4"/>
        <v>8</v>
      </c>
      <c r="AX54">
        <f ca="1">ROUND(T_Facebook_Ads115963677175[[#This Row],[impressions]]*RANDBETWEEN(8,12)/10,0)</f>
        <v>33842</v>
      </c>
      <c r="AY54">
        <f ca="1">ROUND(T_Facebook_Ads115963677175[[#This Row],[clicks]]*RANDBETWEEN(8,12)/10,0)</f>
        <v>1138</v>
      </c>
      <c r="AZ54">
        <f ca="1">T_Facebook_Ads115963677175[[#This Row],[spend]]*RANDBETWEEN(8,12)/10</f>
        <v>240.57</v>
      </c>
      <c r="BA54">
        <f ca="1">ROUND(T_Facebook_Ads115963677175[[#This Row],[conversions]]*RANDBETWEEN(8,12)/10,0)</f>
        <v>29</v>
      </c>
      <c r="BB54">
        <f ca="1">ROUND(T_Facebook_Ads115963677175[[#This Row],[video_views]]*RANDBETWEEN(8,12)/10,0)</f>
        <v>5072</v>
      </c>
    </row>
    <row r="55" spans="1:54" ht="15.75" thickBot="1" x14ac:dyDescent="0.3">
      <c r="A55" s="3">
        <f t="shared" ca="1" si="5"/>
        <v>45097</v>
      </c>
      <c r="B55" s="4" t="s">
        <v>64</v>
      </c>
      <c r="C55" s="4" t="s">
        <v>65</v>
      </c>
      <c r="D55" s="4" t="s">
        <v>66</v>
      </c>
      <c r="E55" s="4" t="s">
        <v>67</v>
      </c>
      <c r="F55" s="4">
        <f ca="1">ROUND(T_Facebook_Ads[[#This Row],[impressions]]*RANDBETWEEN(8,12)/10,0)</f>
        <v>66110</v>
      </c>
      <c r="G55" s="4">
        <v>267</v>
      </c>
      <c r="H55" s="4">
        <f ca="1">T_Facebook_Ads[[#This Row],[spend]]*RANDBETWEEN(8,12)/10</f>
        <v>103.62</v>
      </c>
      <c r="I55" s="4">
        <f ca="1">ROUND(T_Facebook_Ads[[#This Row],[conversions]]*RANDBETWEEN(8,12)/10,0)</f>
        <v>6</v>
      </c>
      <c r="J55" s="4">
        <f ca="1">ROUND(T_Facebook_Ads[[#This Row],[video_views]]*RANDBETWEEN(8,12)/10,0)</f>
        <v>44901</v>
      </c>
      <c r="K55" s="4">
        <f ca="1">T_Facebook_Ads[[#This Row],[engagement_rate]]*RANDBETWEEN(8,12)/10</f>
        <v>2.8799999999999997E-3</v>
      </c>
      <c r="L55" s="4">
        <f ca="1">ROUND(T_Facebook_Ads[[#This Row],[reach]]*RANDBETWEEN(8,12)/10,0)</f>
        <v>65524</v>
      </c>
      <c r="M55" s="4">
        <f ca="1">T_Facebook_Ads[[#This Row],[frequency]]*RANDBETWEEN(8,12)/10</f>
        <v>1.488</v>
      </c>
      <c r="O55" s="3">
        <f t="shared" ca="1" si="6"/>
        <v>45097</v>
      </c>
      <c r="P55" s="4" t="s">
        <v>88</v>
      </c>
      <c r="Q55" s="4" t="s">
        <v>89</v>
      </c>
      <c r="R55" s="4" t="s">
        <v>90</v>
      </c>
      <c r="S55" s="4" t="s">
        <v>59</v>
      </c>
      <c r="T55" s="4">
        <f ca="1">ROUND(_Google_ads[[#This Row],[impressions]]*RANDBETWEEN(8,12)/10,0)</f>
        <v>106054</v>
      </c>
      <c r="U55" s="4">
        <f ca="1">ROUND(_Google_ads[[#This Row],[clicks]]*RANDBETWEEN(8,12)/10,0)</f>
        <v>391</v>
      </c>
      <c r="V55" s="4">
        <f ca="1">_Google_ads[[#This Row],[cost]]*RANDBETWEEN(8,12)/10</f>
        <v>104.4</v>
      </c>
      <c r="W55" s="4">
        <f ca="1">ROUND(_Google_ads[[#This Row],[conversions]]*RANDBETWEEN(8,12)/10,0)</f>
        <v>13</v>
      </c>
      <c r="X55" s="4">
        <f ca="1">ROUND(_Google_ads[[#This Row],[conversion_value]]*RANDBETWEEN(8,12)/10,0)</f>
        <v>630</v>
      </c>
      <c r="Y55" s="4">
        <f ca="1">_Google_ads[[#This Row],[ctr]]*RANDBETWEEN(8,12)/10</f>
        <v>3.7000000000000006E-3</v>
      </c>
      <c r="Z55" s="4">
        <f ca="1">_Google_ads[[#This Row],[avg_cpc]]*RANDBETWEEN(8,12)/10</f>
        <v>0.32400000000000001</v>
      </c>
      <c r="AA55" s="4">
        <f ca="1">ROUND(_Google_ads[[#This Row],[quality_score]]*RANDBETWEEN(8,12)/10,0)</f>
        <v>6</v>
      </c>
      <c r="AB55" s="4">
        <f ca="1">_Google_ads[[#This Row],[search_impression_share]]*RANDBETWEEN(8,12)/10</f>
        <v>0.35</v>
      </c>
      <c r="AD55" s="3">
        <f t="shared" ca="1" si="7"/>
        <v>45084</v>
      </c>
      <c r="AE55" s="4" t="s">
        <v>112</v>
      </c>
      <c r="AF55" s="4" t="s">
        <v>113</v>
      </c>
      <c r="AG55" s="4" t="s">
        <v>114</v>
      </c>
      <c r="AH55" s="4" t="s">
        <v>115</v>
      </c>
      <c r="AI55" s="4">
        <f ca="1">ROUND(T_Tiktok_ads[[#This Row],[impressions]]*RANDBETWEEN(8,12)/10,0)</f>
        <v>423456</v>
      </c>
      <c r="AJ55" s="4">
        <f ca="1">ROUND(T_Tiktok_ads[[#This Row],[clicks]]*RANDBETWEEN(8,12)/10,0)</f>
        <v>5512</v>
      </c>
      <c r="AK55" s="4">
        <v>1056.8</v>
      </c>
      <c r="AL55" s="4">
        <f ca="1">ROUND(T_Tiktok_ads[[#This Row],[conversions]]*RANDBETWEEN(8,12)/10,0)</f>
        <v>118</v>
      </c>
      <c r="AM55" s="4">
        <f ca="1">ROUND(T_Tiktok_ads[[#This Row],[video_views]]*RANDBETWEEN(8,12)/10,0)</f>
        <v>356789</v>
      </c>
      <c r="AN55" s="4">
        <f ca="1">ROUND(T_Tiktok_ads[[#This Row],[video_watch_25]]*RANDBETWEEN(8,12)/10,0)</f>
        <v>231387</v>
      </c>
      <c r="AO55" s="4">
        <f ca="1">ROUND(T_Tiktok_ads[[#This Row],[video_watch_50]]*RANDBETWEEN(8,12)/10,0)</f>
        <v>231456</v>
      </c>
      <c r="AP55" s="4">
        <f ca="1">ROUND(T_Tiktok_ads[[#This Row],[video_watch_75]]*RANDBETWEEN(8,12)/10,0)</f>
        <v>148110</v>
      </c>
      <c r="AQ55" s="4">
        <f ca="1">ROUND(T_Tiktok_ads[[#This Row],[video_watch_100]]*RANDBETWEEN(8,12)/10,0)</f>
        <v>131081</v>
      </c>
      <c r="AR55" s="4">
        <f ca="1">ROUND(T_Tiktok_ads[[#This Row],[likes]]*RANDBETWEEN(8,12)/10,0)</f>
        <v>17001</v>
      </c>
      <c r="AS55" s="4">
        <f ca="1">ROUND(T_Tiktok_ads[[#This Row],[shares]]*RANDBETWEEN(8,12)/10,0)</f>
        <v>4910</v>
      </c>
      <c r="AT55" s="4">
        <f ca="1">ROUND(T_Tiktok_ads[[#This Row],[comments]]*RANDBETWEEN(8,12)/10,0)</f>
        <v>1191</v>
      </c>
      <c r="AV55" s="5">
        <f t="shared" ca="1" si="8"/>
        <v>45101</v>
      </c>
      <c r="AW55">
        <f t="shared" ca="1" si="4"/>
        <v>4</v>
      </c>
      <c r="AX55">
        <f ca="1">ROUND(T_Facebook_Ads115963677175[[#This Row],[impressions]]*RANDBETWEEN(8,12)/10,0)</f>
        <v>52888</v>
      </c>
      <c r="AY55">
        <f ca="1">ROUND(T_Facebook_Ads115963677175[[#This Row],[clicks]]*RANDBETWEEN(8,12)/10,0)</f>
        <v>294</v>
      </c>
      <c r="AZ55">
        <f ca="1">T_Facebook_Ads115963677175[[#This Row],[spend]]*RANDBETWEEN(8,12)/10</f>
        <v>113.98200000000001</v>
      </c>
      <c r="BA55">
        <f ca="1">ROUND(T_Facebook_Ads115963677175[[#This Row],[conversions]]*RANDBETWEEN(8,12)/10,0)</f>
        <v>6</v>
      </c>
      <c r="BB55">
        <f ca="1">ROUND(T_Facebook_Ads115963677175[[#This Row],[video_views]]*RANDBETWEEN(8,12)/10,0)</f>
        <v>44901</v>
      </c>
    </row>
    <row r="56" spans="1:54" ht="15.75" thickBot="1" x14ac:dyDescent="0.3">
      <c r="A56" s="3">
        <f t="shared" ca="1" si="5"/>
        <v>45106</v>
      </c>
      <c r="B56" s="4" t="s">
        <v>52</v>
      </c>
      <c r="C56" s="4" t="s">
        <v>53</v>
      </c>
      <c r="D56" s="4" t="s">
        <v>54</v>
      </c>
      <c r="E56" s="4" t="s">
        <v>55</v>
      </c>
      <c r="F56" s="4">
        <f ca="1">ROUND(T_Facebook_Ads[[#This Row],[impressions]]*RANDBETWEEN(8,12)/10,0)</f>
        <v>46610</v>
      </c>
      <c r="G56" s="4">
        <v>1089</v>
      </c>
      <c r="H56" s="4">
        <f ca="1">T_Facebook_Ads[[#This Row],[spend]]*RANDBETWEEN(8,12)/10</f>
        <v>137.07</v>
      </c>
      <c r="I56" s="4">
        <f ca="1">ROUND(T_Facebook_Ads[[#This Row],[conversions]]*RANDBETWEEN(8,12)/10,0)</f>
        <v>22</v>
      </c>
      <c r="J56" s="4">
        <f ca="1">ROUND(T_Facebook_Ads[[#This Row],[video_views]]*RANDBETWEEN(8,12)/10,0)</f>
        <v>7654</v>
      </c>
      <c r="K56" s="4">
        <f ca="1">T_Facebook_Ads[[#This Row],[engagement_rate]]*RANDBETWEEN(8,12)/10</f>
        <v>2.3100000000000002E-2</v>
      </c>
      <c r="L56" s="4">
        <f ca="1">ROUND(T_Facebook_Ads[[#This Row],[reach]]*RANDBETWEEN(8,12)/10,0)</f>
        <v>43567</v>
      </c>
      <c r="M56" s="4">
        <f ca="1">T_Facebook_Ads[[#This Row],[frequency]]*RANDBETWEEN(8,12)/10</f>
        <v>0.95199999999999996</v>
      </c>
      <c r="O56" s="3">
        <f t="shared" ca="1" si="6"/>
        <v>45093</v>
      </c>
      <c r="P56" s="4" t="s">
        <v>76</v>
      </c>
      <c r="Q56" s="4" t="s">
        <v>77</v>
      </c>
      <c r="R56" s="4" t="s">
        <v>78</v>
      </c>
      <c r="S56" s="4" t="s">
        <v>79</v>
      </c>
      <c r="T56" s="4">
        <f ca="1">ROUND(_Google_ads[[#This Row],[impressions]]*RANDBETWEEN(8,12)/10,0)</f>
        <v>26789</v>
      </c>
      <c r="U56" s="4">
        <f ca="1">ROUND(_Google_ads[[#This Row],[clicks]]*RANDBETWEEN(8,12)/10,0)</f>
        <v>1310</v>
      </c>
      <c r="V56" s="4">
        <f ca="1">_Google_ads[[#This Row],[cost]]*RANDBETWEEN(8,12)/10</f>
        <v>251.01</v>
      </c>
      <c r="W56" s="4">
        <f ca="1">ROUND(_Google_ads[[#This Row],[conversions]]*RANDBETWEEN(8,12)/10,0)</f>
        <v>65</v>
      </c>
      <c r="X56" s="4">
        <f ca="1">ROUND(_Google_ads[[#This Row],[conversion_value]]*RANDBETWEEN(8,12)/10,0)</f>
        <v>2970</v>
      </c>
      <c r="Y56" s="4">
        <f ca="1">_Google_ads[[#This Row],[ctr]]*RANDBETWEEN(8,12)/10</f>
        <v>5.983999999999999E-2</v>
      </c>
      <c r="Z56" s="4">
        <f ca="1">_Google_ads[[#This Row],[avg_cpc]]*RANDBETWEEN(8,12)/10</f>
        <v>0.17099999999999999</v>
      </c>
      <c r="AA56" s="4">
        <f ca="1">ROUND(_Google_ads[[#This Row],[quality_score]]*RANDBETWEEN(8,12)/10,0)</f>
        <v>10</v>
      </c>
      <c r="AB56" s="4">
        <f ca="1">_Google_ads[[#This Row],[search_impression_share]]*RANDBETWEEN(8,12)/10</f>
        <v>1.0230000000000001</v>
      </c>
      <c r="AD56" s="3">
        <f t="shared" ca="1" si="7"/>
        <v>45101</v>
      </c>
      <c r="AE56" s="4" t="s">
        <v>100</v>
      </c>
      <c r="AF56" s="4" t="s">
        <v>101</v>
      </c>
      <c r="AG56" s="4" t="s">
        <v>102</v>
      </c>
      <c r="AH56" s="4" t="s">
        <v>103</v>
      </c>
      <c r="AI56" s="4">
        <f ca="1">ROUND(T_Tiktok_ads[[#This Row],[impressions]]*RANDBETWEEN(8,12)/10,0)</f>
        <v>271111</v>
      </c>
      <c r="AJ56" s="4">
        <f ca="1">ROUND(T_Tiktok_ads[[#This Row],[clicks]]*RANDBETWEEN(8,12)/10,0)</f>
        <v>5347</v>
      </c>
      <c r="AK56" s="4">
        <v>589.9</v>
      </c>
      <c r="AL56" s="4">
        <f ca="1">ROUND(T_Tiktok_ads[[#This Row],[conversions]]*RANDBETWEEN(8,12)/10,0)</f>
        <v>41</v>
      </c>
      <c r="AM56" s="4">
        <f ca="1">ROUND(T_Tiktok_ads[[#This Row],[video_views]]*RANDBETWEEN(8,12)/10,0)</f>
        <v>270246</v>
      </c>
      <c r="AN56" s="4">
        <f ca="1">ROUND(T_Tiktok_ads[[#This Row],[video_watch_25]]*RANDBETWEEN(8,12)/10,0)</f>
        <v>210357</v>
      </c>
      <c r="AO56" s="4">
        <f ca="1">ROUND(T_Tiktok_ads[[#This Row],[video_watch_50]]*RANDBETWEEN(8,12)/10,0)</f>
        <v>95387</v>
      </c>
      <c r="AP56" s="4">
        <f ca="1">ROUND(T_Tiktok_ads[[#This Row],[video_watch_75]]*RANDBETWEEN(8,12)/10,0)</f>
        <v>80234</v>
      </c>
      <c r="AQ56" s="4">
        <f ca="1">ROUND(T_Tiktok_ads[[#This Row],[video_watch_100]]*RANDBETWEEN(8,12)/10,0)</f>
        <v>53456</v>
      </c>
      <c r="AR56" s="4">
        <f ca="1">ROUND(T_Tiktok_ads[[#This Row],[likes]]*RANDBETWEEN(8,12)/10,0)</f>
        <v>12947</v>
      </c>
      <c r="AS56" s="4">
        <f ca="1">ROUND(T_Tiktok_ads[[#This Row],[shares]]*RANDBETWEEN(8,12)/10,0)</f>
        <v>3191</v>
      </c>
      <c r="AT56" s="4">
        <f ca="1">ROUND(T_Tiktok_ads[[#This Row],[comments]]*RANDBETWEEN(8,12)/10,0)</f>
        <v>758</v>
      </c>
      <c r="AV56" s="5">
        <f t="shared" ca="1" si="8"/>
        <v>45094</v>
      </c>
      <c r="AW56">
        <f t="shared" ca="1" si="4"/>
        <v>1</v>
      </c>
      <c r="AX56">
        <f ca="1">ROUND(T_Facebook_Ads115963677175[[#This Row],[impressions]]*RANDBETWEEN(8,12)/10,0)</f>
        <v>51271</v>
      </c>
      <c r="AY56">
        <f ca="1">ROUND(T_Facebook_Ads115963677175[[#This Row],[clicks]]*RANDBETWEEN(8,12)/10,0)</f>
        <v>1198</v>
      </c>
      <c r="AZ56">
        <f ca="1">T_Facebook_Ads115963677175[[#This Row],[spend]]*RANDBETWEEN(8,12)/10</f>
        <v>123.36299999999999</v>
      </c>
      <c r="BA56">
        <f ca="1">ROUND(T_Facebook_Ads115963677175[[#This Row],[conversions]]*RANDBETWEEN(8,12)/10,0)</f>
        <v>22</v>
      </c>
      <c r="BB56">
        <f ca="1">ROUND(T_Facebook_Ads115963677175[[#This Row],[video_views]]*RANDBETWEEN(8,12)/10,0)</f>
        <v>8419</v>
      </c>
    </row>
    <row r="57" spans="1:54" ht="15.75" thickBot="1" x14ac:dyDescent="0.3">
      <c r="A57" s="3">
        <f t="shared" ca="1" si="5"/>
        <v>45107</v>
      </c>
      <c r="B57" s="4" t="s">
        <v>56</v>
      </c>
      <c r="C57" s="4" t="s">
        <v>57</v>
      </c>
      <c r="D57" s="4" t="s">
        <v>58</v>
      </c>
      <c r="E57" s="4" t="s">
        <v>59</v>
      </c>
      <c r="F57" s="4">
        <f ca="1">ROUND(T_Facebook_Ads[[#This Row],[impressions]]*RANDBETWEEN(8,12)/10,0)</f>
        <v>15234</v>
      </c>
      <c r="G57" s="4">
        <v>734</v>
      </c>
      <c r="H57" s="4">
        <f ca="1">T_Facebook_Ads[[#This Row],[spend]]*RANDBETWEEN(8,12)/10</f>
        <v>264.7</v>
      </c>
      <c r="I57" s="4">
        <f ca="1">ROUND(T_Facebook_Ads[[#This Row],[conversions]]*RANDBETWEEN(8,12)/10,0)</f>
        <v>55</v>
      </c>
      <c r="J57" s="4">
        <f ca="1">ROUND(T_Facebook_Ads[[#This Row],[video_views]]*RANDBETWEEN(8,12)/10,0)</f>
        <v>2014</v>
      </c>
      <c r="K57" s="4">
        <f ca="1">T_Facebook_Ads[[#This Row],[engagement_rate]]*RANDBETWEEN(8,12)/10</f>
        <v>5.7840000000000003E-2</v>
      </c>
      <c r="L57" s="4">
        <f ca="1">ROUND(T_Facebook_Ads[[#This Row],[reach]]*RANDBETWEEN(8,12)/10,0)</f>
        <v>10911</v>
      </c>
      <c r="M57" s="4">
        <f ca="1">T_Facebook_Ads[[#This Row],[frequency]]*RANDBETWEEN(8,12)/10</f>
        <v>1.008</v>
      </c>
      <c r="O57" s="3">
        <f t="shared" ca="1" si="6"/>
        <v>45093</v>
      </c>
      <c r="P57" s="4" t="s">
        <v>80</v>
      </c>
      <c r="Q57" s="4" t="s">
        <v>81</v>
      </c>
      <c r="R57" s="4" t="s">
        <v>82</v>
      </c>
      <c r="S57" s="4" t="s">
        <v>83</v>
      </c>
      <c r="T57" s="4">
        <f ca="1">ROUND(_Google_ads[[#This Row],[impressions]]*RANDBETWEEN(8,12)/10,0)</f>
        <v>56681</v>
      </c>
      <c r="U57" s="4">
        <f ca="1">ROUND(_Google_ads[[#This Row],[clicks]]*RANDBETWEEN(8,12)/10,0)</f>
        <v>1160</v>
      </c>
      <c r="V57" s="4">
        <f ca="1">_Google_ads[[#This Row],[cost]]*RANDBETWEEN(8,12)/10</f>
        <v>726.72</v>
      </c>
      <c r="W57" s="4">
        <f ca="1">ROUND(_Google_ads[[#This Row],[conversions]]*RANDBETWEEN(8,12)/10,0)</f>
        <v>20</v>
      </c>
      <c r="X57" s="4">
        <f ca="1">ROUND(_Google_ads[[#This Row],[conversion_value]]*RANDBETWEEN(8,12)/10,0)</f>
        <v>1250</v>
      </c>
      <c r="Y57" s="4">
        <f ca="1">_Google_ads[[#This Row],[ctr]]*RANDBETWEEN(8,12)/10</f>
        <v>2.46E-2</v>
      </c>
      <c r="Z57" s="4">
        <f ca="1">_Google_ads[[#This Row],[avg_cpc]]*RANDBETWEEN(8,12)/10</f>
        <v>0.504</v>
      </c>
      <c r="AA57" s="4">
        <f ca="1">ROUND(_Google_ads[[#This Row],[quality_score]]*RANDBETWEEN(8,12)/10,0)</f>
        <v>8</v>
      </c>
      <c r="AB57" s="4">
        <f ca="1">_Google_ads[[#This Row],[search_impression_share]]*RANDBETWEEN(8,12)/10</f>
        <v>0.46000000000000008</v>
      </c>
      <c r="AD57" s="3">
        <f t="shared" ca="1" si="7"/>
        <v>45091</v>
      </c>
      <c r="AE57" s="4" t="s">
        <v>104</v>
      </c>
      <c r="AF57" s="4" t="s">
        <v>105</v>
      </c>
      <c r="AG57" s="4" t="s">
        <v>106</v>
      </c>
      <c r="AH57" s="4" t="s">
        <v>107</v>
      </c>
      <c r="AI57" s="4">
        <f ca="1">ROUND(T_Tiktok_ads[[#This Row],[impressions]]*RANDBETWEEN(8,12)/10,0)</f>
        <v>201468</v>
      </c>
      <c r="AJ57" s="4">
        <f ca="1">ROUND(T_Tiktok_ads[[#This Row],[clicks]]*RANDBETWEEN(8,12)/10,0)</f>
        <v>2587</v>
      </c>
      <c r="AK57" s="4">
        <v>845.6</v>
      </c>
      <c r="AL57" s="4">
        <f ca="1">ROUND(T_Tiktok_ads[[#This Row],[conversions]]*RANDBETWEEN(8,12)/10,0)</f>
        <v>85</v>
      </c>
      <c r="AM57" s="4">
        <f ca="1">ROUND(T_Tiktok_ads[[#This Row],[video_views]]*RANDBETWEEN(8,12)/10,0)</f>
        <v>106101</v>
      </c>
      <c r="AN57" s="4">
        <f ca="1">ROUND(T_Tiktok_ads[[#This Row],[video_watch_25]]*RANDBETWEEN(8,12)/10,0)</f>
        <v>78511</v>
      </c>
      <c r="AO57" s="4">
        <f ca="1">ROUND(T_Tiktok_ads[[#This Row],[video_watch_50]]*RANDBETWEEN(8,12)/10,0)</f>
        <v>53011</v>
      </c>
      <c r="AP57" s="4">
        <f ca="1">ROUND(T_Tiktok_ads[[#This Row],[video_watch_75]]*RANDBETWEEN(8,12)/10,0)</f>
        <v>35387</v>
      </c>
      <c r="AQ57" s="4">
        <f ca="1">ROUND(T_Tiktok_ads[[#This Row],[video_watch_100]]*RANDBETWEEN(8,12)/10,0)</f>
        <v>23654</v>
      </c>
      <c r="AR57" s="4">
        <f ca="1">ROUND(T_Tiktok_ads[[#This Row],[likes]]*RANDBETWEEN(8,12)/10,0)</f>
        <v>6814</v>
      </c>
      <c r="AS57" s="4">
        <f ca="1">ROUND(T_Tiktok_ads[[#This Row],[shares]]*RANDBETWEEN(8,12)/10,0)</f>
        <v>1797</v>
      </c>
      <c r="AT57" s="4">
        <f ca="1">ROUND(T_Tiktok_ads[[#This Row],[comments]]*RANDBETWEEN(8,12)/10,0)</f>
        <v>281</v>
      </c>
      <c r="AV57" s="5">
        <f t="shared" ca="1" si="8"/>
        <v>45098</v>
      </c>
      <c r="AW57">
        <f t="shared" ca="1" si="4"/>
        <v>5</v>
      </c>
      <c r="AX57">
        <f ca="1">ROUND(T_Facebook_Ads115963677175[[#This Row],[impressions]]*RANDBETWEEN(8,12)/10,0)</f>
        <v>16757</v>
      </c>
      <c r="AY57">
        <f ca="1">ROUND(T_Facebook_Ads115963677175[[#This Row],[clicks]]*RANDBETWEEN(8,12)/10,0)</f>
        <v>881</v>
      </c>
      <c r="AZ57">
        <f ca="1">T_Facebook_Ads115963677175[[#This Row],[spend]]*RANDBETWEEN(8,12)/10</f>
        <v>317.64</v>
      </c>
      <c r="BA57">
        <f ca="1">ROUND(T_Facebook_Ads115963677175[[#This Row],[conversions]]*RANDBETWEEN(8,12)/10,0)</f>
        <v>55</v>
      </c>
      <c r="BB57">
        <f ca="1">ROUND(T_Facebook_Ads115963677175[[#This Row],[video_views]]*RANDBETWEEN(8,12)/10,0)</f>
        <v>2215</v>
      </c>
    </row>
    <row r="58" spans="1:54" ht="15.75" thickBot="1" x14ac:dyDescent="0.3">
      <c r="A58" s="3">
        <f t="shared" ca="1" si="5"/>
        <v>45099</v>
      </c>
      <c r="B58" s="4" t="s">
        <v>60</v>
      </c>
      <c r="C58" s="4" t="s">
        <v>61</v>
      </c>
      <c r="D58" s="4" t="s">
        <v>62</v>
      </c>
      <c r="E58" s="4" t="s">
        <v>63</v>
      </c>
      <c r="F58" s="4">
        <f ca="1">ROUND(T_Facebook_Ads[[#This Row],[impressions]]*RANDBETWEEN(8,12)/10,0)</f>
        <v>36111</v>
      </c>
      <c r="G58" s="4">
        <v>1534</v>
      </c>
      <c r="H58" s="4">
        <f ca="1">T_Facebook_Ads[[#This Row],[spend]]*RANDBETWEEN(8,12)/10</f>
        <v>256.08000000000004</v>
      </c>
      <c r="I58" s="4">
        <f ca="1">ROUND(T_Facebook_Ads[[#This Row],[conversions]]*RANDBETWEEN(8,12)/10,0)</f>
        <v>40</v>
      </c>
      <c r="J58" s="4">
        <f ca="1">ROUND(T_Facebook_Ads[[#This Row],[video_views]]*RANDBETWEEN(8,12)/10,0)</f>
        <v>6002</v>
      </c>
      <c r="K58" s="4">
        <f ca="1">T_Facebook_Ads[[#This Row],[engagement_rate]]*RANDBETWEEN(8,12)/10</f>
        <v>4.5839999999999999E-2</v>
      </c>
      <c r="L58" s="4">
        <f ca="1">ROUND(T_Facebook_Ads[[#This Row],[reach]]*RANDBETWEEN(8,12)/10,0)</f>
        <v>26312</v>
      </c>
      <c r="M58" s="4">
        <f ca="1">T_Facebook_Ads[[#This Row],[frequency]]*RANDBETWEEN(8,12)/10</f>
        <v>1.3420000000000001</v>
      </c>
      <c r="O58" s="3">
        <f t="shared" ca="1" si="6"/>
        <v>45088</v>
      </c>
      <c r="P58" s="4" t="s">
        <v>84</v>
      </c>
      <c r="Q58" s="4" t="s">
        <v>85</v>
      </c>
      <c r="R58" s="4" t="s">
        <v>86</v>
      </c>
      <c r="S58" s="4" t="s">
        <v>87</v>
      </c>
      <c r="T58" s="4">
        <f ca="1">ROUND(_Google_ads[[#This Row],[impressions]]*RANDBETWEEN(8,12)/10,0)</f>
        <v>79702</v>
      </c>
      <c r="U58" s="4">
        <f ca="1">ROUND(_Google_ads[[#This Row],[clicks]]*RANDBETWEEN(8,12)/10,0)</f>
        <v>2987</v>
      </c>
      <c r="V58" s="4">
        <f ca="1">_Google_ads[[#This Row],[cost]]*RANDBETWEEN(8,12)/10</f>
        <v>495.77</v>
      </c>
      <c r="W58" s="4">
        <f ca="1">ROUND(_Google_ads[[#This Row],[conversions]]*RANDBETWEEN(8,12)/10,0)</f>
        <v>79</v>
      </c>
      <c r="X58" s="4">
        <f ca="1">ROUND(_Google_ads[[#This Row],[conversion_value]]*RANDBETWEEN(8,12)/10,0)</f>
        <v>3600</v>
      </c>
      <c r="Y58" s="4">
        <f ca="1">_Google_ads[[#This Row],[ctr]]*RANDBETWEEN(8,12)/10</f>
        <v>3.44E-2</v>
      </c>
      <c r="Z58" s="4">
        <f ca="1">_Google_ads[[#This Row],[avg_cpc]]*RANDBETWEEN(8,12)/10</f>
        <v>0.19800000000000001</v>
      </c>
      <c r="AA58" s="4">
        <f ca="1">ROUND(_Google_ads[[#This Row],[quality_score]]*RANDBETWEEN(8,12)/10,0)</f>
        <v>10</v>
      </c>
      <c r="AB58" s="4">
        <f ca="1">_Google_ads[[#This Row],[search_impression_share]]*RANDBETWEEN(8,12)/10</f>
        <v>0.748</v>
      </c>
      <c r="AD58" s="3">
        <f t="shared" ca="1" si="7"/>
        <v>45094</v>
      </c>
      <c r="AE58" s="4" t="s">
        <v>108</v>
      </c>
      <c r="AF58" s="4" t="s">
        <v>109</v>
      </c>
      <c r="AG58" s="4" t="s">
        <v>110</v>
      </c>
      <c r="AH58" s="4" t="s">
        <v>111</v>
      </c>
      <c r="AI58" s="4">
        <f ca="1">ROUND(T_Tiktok_ads[[#This Row],[impressions]]*RANDBETWEEN(8,12)/10,0)</f>
        <v>205431</v>
      </c>
      <c r="AJ58" s="4">
        <f ca="1">ROUND(T_Tiktok_ads[[#This Row],[clicks]]*RANDBETWEEN(8,12)/10,0)</f>
        <v>3210</v>
      </c>
      <c r="AK58" s="4">
        <v>489.2</v>
      </c>
      <c r="AL58" s="4">
        <f ca="1">ROUND(T_Tiktok_ads[[#This Row],[conversions]]*RANDBETWEEN(8,12)/10,0)</f>
        <v>32</v>
      </c>
      <c r="AM58" s="4">
        <f ca="1">ROUND(T_Tiktok_ads[[#This Row],[video_views]]*RANDBETWEEN(8,12)/10,0)</f>
        <v>181111</v>
      </c>
      <c r="AN58" s="4">
        <f ca="1">ROUND(T_Tiktok_ads[[#This Row],[video_watch_25]]*RANDBETWEEN(8,12)/10,0)</f>
        <v>137111</v>
      </c>
      <c r="AO58" s="4">
        <f ca="1">ROUND(T_Tiktok_ads[[#This Row],[video_watch_50]]*RANDBETWEEN(8,12)/10,0)</f>
        <v>108410</v>
      </c>
      <c r="AP58" s="4">
        <f ca="1">ROUND(T_Tiktok_ads[[#This Row],[video_watch_75]]*RANDBETWEEN(8,12)/10,0)</f>
        <v>85679</v>
      </c>
      <c r="AQ58" s="4">
        <f ca="1">ROUND(T_Tiktok_ads[[#This Row],[video_watch_100]]*RANDBETWEEN(8,12)/10,0)</f>
        <v>47234</v>
      </c>
      <c r="AR58" s="4">
        <f ca="1">ROUND(T_Tiktok_ads[[#This Row],[likes]]*RANDBETWEEN(8,12)/10,0)</f>
        <v>7121</v>
      </c>
      <c r="AS58" s="4">
        <f ca="1">ROUND(T_Tiktok_ads[[#This Row],[shares]]*RANDBETWEEN(8,12)/10,0)</f>
        <v>2210</v>
      </c>
      <c r="AT58" s="4">
        <f ca="1">ROUND(T_Tiktok_ads[[#This Row],[comments]]*RANDBETWEEN(8,12)/10,0)</f>
        <v>530</v>
      </c>
      <c r="AV58" s="5">
        <f t="shared" ca="1" si="8"/>
        <v>45083</v>
      </c>
      <c r="AW58">
        <f t="shared" ca="1" si="4"/>
        <v>8</v>
      </c>
      <c r="AX58">
        <f ca="1">ROUND(T_Facebook_Ads115963677175[[#This Row],[impressions]]*RANDBETWEEN(8,12)/10,0)</f>
        <v>32500</v>
      </c>
      <c r="AY58">
        <f ca="1">ROUND(T_Facebook_Ads115963677175[[#This Row],[clicks]]*RANDBETWEEN(8,12)/10,0)</f>
        <v>1534</v>
      </c>
      <c r="AZ58">
        <f ca="1">T_Facebook_Ads115963677175[[#This Row],[spend]]*RANDBETWEEN(8,12)/10</f>
        <v>307.29600000000005</v>
      </c>
      <c r="BA58">
        <f ca="1">ROUND(T_Facebook_Ads115963677175[[#This Row],[conversions]]*RANDBETWEEN(8,12)/10,0)</f>
        <v>36</v>
      </c>
      <c r="BB58">
        <f ca="1">ROUND(T_Facebook_Ads115963677175[[#This Row],[video_views]]*RANDBETWEEN(8,12)/10,0)</f>
        <v>6002</v>
      </c>
    </row>
    <row r="59" spans="1:54" ht="15.75" thickBot="1" x14ac:dyDescent="0.3">
      <c r="A59" s="3">
        <f t="shared" ca="1" si="5"/>
        <v>45100</v>
      </c>
      <c r="B59" s="4" t="s">
        <v>64</v>
      </c>
      <c r="C59" s="4" t="s">
        <v>65</v>
      </c>
      <c r="D59" s="4" t="s">
        <v>66</v>
      </c>
      <c r="E59" s="4" t="s">
        <v>67</v>
      </c>
      <c r="F59" s="4">
        <f ca="1">ROUND(T_Facebook_Ads[[#This Row],[impressions]]*RANDBETWEEN(8,12)/10,0)</f>
        <v>75890</v>
      </c>
      <c r="G59" s="4">
        <v>278</v>
      </c>
      <c r="H59" s="4">
        <f ca="1">T_Facebook_Ads[[#This Row],[spend]]*RANDBETWEEN(8,12)/10</f>
        <v>88.65</v>
      </c>
      <c r="I59" s="4">
        <f ca="1">ROUND(T_Facebook_Ads[[#This Row],[conversions]]*RANDBETWEEN(8,12)/10,0)</f>
        <v>9</v>
      </c>
      <c r="J59" s="4">
        <f ca="1">ROUND(T_Facebook_Ads[[#This Row],[video_views]]*RANDBETWEEN(8,12)/10,0)</f>
        <v>40987</v>
      </c>
      <c r="K59" s="4">
        <f ca="1">T_Facebook_Ads[[#This Row],[engagement_rate]]*RANDBETWEEN(8,12)/10</f>
        <v>3.7000000000000006E-3</v>
      </c>
      <c r="L59" s="4">
        <f ca="1">ROUND(T_Facebook_Ads[[#This Row],[reach]]*RANDBETWEEN(8,12)/10,0)</f>
        <v>49254</v>
      </c>
      <c r="M59" s="4">
        <f ca="1">T_Facebook_Ads[[#This Row],[frequency]]*RANDBETWEEN(8,12)/10</f>
        <v>1.476</v>
      </c>
      <c r="O59" s="3">
        <f t="shared" ca="1" si="6"/>
        <v>45081</v>
      </c>
      <c r="P59" s="4" t="s">
        <v>88</v>
      </c>
      <c r="Q59" s="4" t="s">
        <v>89</v>
      </c>
      <c r="R59" s="4" t="s">
        <v>90</v>
      </c>
      <c r="S59" s="4" t="s">
        <v>59</v>
      </c>
      <c r="T59" s="4">
        <f ca="1">ROUND(_Google_ads[[#This Row],[impressions]]*RANDBETWEEN(8,12)/10,0)</f>
        <v>138901</v>
      </c>
      <c r="U59" s="4">
        <f ca="1">ROUND(_Google_ads[[#This Row],[clicks]]*RANDBETWEEN(8,12)/10,0)</f>
        <v>534</v>
      </c>
      <c r="V59" s="4">
        <f ca="1">_Google_ads[[#This Row],[cost]]*RANDBETWEEN(8,12)/10</f>
        <v>150.04000000000002</v>
      </c>
      <c r="W59" s="4">
        <f ca="1">ROUND(_Google_ads[[#This Row],[conversions]]*RANDBETWEEN(8,12)/10,0)</f>
        <v>18</v>
      </c>
      <c r="X59" s="4">
        <f ca="1">ROUND(_Google_ads[[#This Row],[conversion_value]]*RANDBETWEEN(8,12)/10,0)</f>
        <v>900</v>
      </c>
      <c r="Y59" s="4">
        <f ca="1">_Google_ads[[#This Row],[ctr]]*RANDBETWEEN(8,12)/10</f>
        <v>4.5599999999999998E-3</v>
      </c>
      <c r="Z59" s="4">
        <f ca="1">_Google_ads[[#This Row],[avg_cpc]]*RANDBETWEEN(8,12)/10</f>
        <v>0.20800000000000002</v>
      </c>
      <c r="AA59" s="4">
        <f ca="1">ROUND(_Google_ads[[#This Row],[quality_score]]*RANDBETWEEN(8,12)/10,0)</f>
        <v>6</v>
      </c>
      <c r="AB59" s="4">
        <f ca="1">_Google_ads[[#This Row],[search_impression_share]]*RANDBETWEEN(8,12)/10</f>
        <v>0.32399999999999995</v>
      </c>
      <c r="AD59" s="3">
        <f t="shared" ca="1" si="7"/>
        <v>45088</v>
      </c>
      <c r="AE59" s="4" t="s">
        <v>112</v>
      </c>
      <c r="AF59" s="4" t="s">
        <v>113</v>
      </c>
      <c r="AG59" s="4" t="s">
        <v>114</v>
      </c>
      <c r="AH59" s="4" t="s">
        <v>115</v>
      </c>
      <c r="AI59" s="4">
        <f ca="1">ROUND(T_Tiktok_ads[[#This Row],[impressions]]*RANDBETWEEN(8,12)/10,0)</f>
        <v>356542</v>
      </c>
      <c r="AJ59" s="4">
        <f ca="1">ROUND(T_Tiktok_ads[[#This Row],[clicks]]*RANDBETWEEN(8,12)/10,0)</f>
        <v>8681</v>
      </c>
      <c r="AK59" s="4">
        <v>1123.5</v>
      </c>
      <c r="AL59" s="4">
        <f ca="1">ROUND(T_Tiktok_ads[[#This Row],[conversions]]*RANDBETWEEN(8,12)/10,0)</f>
        <v>124</v>
      </c>
      <c r="AM59" s="4">
        <f ca="1">ROUND(T_Tiktok_ads[[#This Row],[video_views]]*RANDBETWEEN(8,12)/10,0)</f>
        <v>303121</v>
      </c>
      <c r="AN59" s="4">
        <f ca="1">ROUND(T_Tiktok_ads[[#This Row],[video_watch_25]]*RANDBETWEEN(8,12)/10,0)</f>
        <v>274110</v>
      </c>
      <c r="AO59" s="4">
        <f ca="1">ROUND(T_Tiktok_ads[[#This Row],[video_watch_50]]*RANDBETWEEN(8,12)/10,0)</f>
        <v>292147</v>
      </c>
      <c r="AP59" s="4">
        <f ca="1">ROUND(T_Tiktok_ads[[#This Row],[video_watch_75]]*RANDBETWEEN(8,12)/10,0)</f>
        <v>189580</v>
      </c>
      <c r="AQ59" s="4">
        <f ca="1">ROUND(T_Tiktok_ads[[#This Row],[video_watch_100]]*RANDBETWEEN(8,12)/10,0)</f>
        <v>137480</v>
      </c>
      <c r="AR59" s="4">
        <f ca="1">ROUND(T_Tiktok_ads[[#This Row],[likes]]*RANDBETWEEN(8,12)/10,0)</f>
        <v>21524</v>
      </c>
      <c r="AS59" s="4">
        <f ca="1">ROUND(T_Tiktok_ads[[#This Row],[shares]]*RANDBETWEEN(8,12)/10,0)</f>
        <v>5110</v>
      </c>
      <c r="AT59" s="4">
        <f ca="1">ROUND(T_Tiktok_ads[[#This Row],[comments]]*RANDBETWEEN(8,12)/10,0)</f>
        <v>1567</v>
      </c>
      <c r="AV59" s="5">
        <f t="shared" ca="1" si="8"/>
        <v>45101</v>
      </c>
      <c r="AW59">
        <f t="shared" ca="1" si="4"/>
        <v>6</v>
      </c>
      <c r="AX59">
        <f ca="1">ROUND(T_Facebook_Ads115963677175[[#This Row],[impressions]]*RANDBETWEEN(8,12)/10,0)</f>
        <v>68301</v>
      </c>
      <c r="AY59">
        <f ca="1">ROUND(T_Facebook_Ads115963677175[[#This Row],[clicks]]*RANDBETWEEN(8,12)/10,0)</f>
        <v>278</v>
      </c>
      <c r="AZ59">
        <f ca="1">T_Facebook_Ads115963677175[[#This Row],[spend]]*RANDBETWEEN(8,12)/10</f>
        <v>70.92</v>
      </c>
      <c r="BA59">
        <f ca="1">ROUND(T_Facebook_Ads115963677175[[#This Row],[conversions]]*RANDBETWEEN(8,12)/10,0)</f>
        <v>7</v>
      </c>
      <c r="BB59">
        <f ca="1">ROUND(T_Facebook_Ads115963677175[[#This Row],[video_views]]*RANDBETWEEN(8,12)/10,0)</f>
        <v>36888</v>
      </c>
    </row>
    <row r="60" spans="1:54" ht="15.75" thickBot="1" x14ac:dyDescent="0.3">
      <c r="A60" s="3">
        <f t="shared" ca="1" si="5"/>
        <v>45090</v>
      </c>
      <c r="B60" s="4" t="s">
        <v>52</v>
      </c>
      <c r="C60" s="4" t="s">
        <v>53</v>
      </c>
      <c r="D60" s="4" t="s">
        <v>54</v>
      </c>
      <c r="E60" s="4" t="s">
        <v>55</v>
      </c>
      <c r="F60" s="4">
        <f ca="1">ROUND(T_Facebook_Ads[[#This Row],[impressions]]*RANDBETWEEN(8,12)/10,0)</f>
        <v>54524</v>
      </c>
      <c r="G60" s="4">
        <v>1012</v>
      </c>
      <c r="H60" s="4">
        <f ca="1">T_Facebook_Ads[[#This Row],[spend]]*RANDBETWEEN(8,12)/10</f>
        <v>173.51999999999998</v>
      </c>
      <c r="I60" s="4">
        <f ca="1">ROUND(T_Facebook_Ads[[#This Row],[conversions]]*RANDBETWEEN(8,12)/10,0)</f>
        <v>13</v>
      </c>
      <c r="J60" s="4">
        <f ca="1">ROUND(T_Facebook_Ads[[#This Row],[video_views]]*RANDBETWEEN(8,12)/10,0)</f>
        <v>9123</v>
      </c>
      <c r="K60" s="4">
        <f ca="1">T_Facebook_Ads[[#This Row],[engagement_rate]]*RANDBETWEEN(8,12)/10</f>
        <v>2.4480000000000002E-2</v>
      </c>
      <c r="L60" s="4">
        <f ca="1">ROUND(T_Facebook_Ads[[#This Row],[reach]]*RANDBETWEEN(8,12)/10,0)</f>
        <v>46079</v>
      </c>
      <c r="M60" s="4">
        <f ca="1">T_Facebook_Ads[[#This Row],[frequency]]*RANDBETWEEN(8,12)/10</f>
        <v>1.18</v>
      </c>
      <c r="O60" s="3">
        <f t="shared" ca="1" si="6"/>
        <v>45101</v>
      </c>
      <c r="P60" s="4" t="s">
        <v>76</v>
      </c>
      <c r="Q60" s="4" t="s">
        <v>77</v>
      </c>
      <c r="R60" s="4" t="s">
        <v>78</v>
      </c>
      <c r="S60" s="4" t="s">
        <v>79</v>
      </c>
      <c r="T60" s="4">
        <f ca="1">ROUND(_Google_ads[[#This Row],[impressions]]*RANDBETWEEN(8,12)/10,0)</f>
        <v>20631</v>
      </c>
      <c r="U60" s="4">
        <f ca="1">ROUND(_Google_ads[[#This Row],[clicks]]*RANDBETWEEN(8,12)/10,0)</f>
        <v>1667</v>
      </c>
      <c r="V60" s="4">
        <f ca="1">_Google_ads[[#This Row],[cost]]*RANDBETWEEN(8,12)/10</f>
        <v>265.2</v>
      </c>
      <c r="W60" s="4">
        <f ca="1">ROUND(_Google_ads[[#This Row],[conversions]]*RANDBETWEEN(8,12)/10,0)</f>
        <v>57</v>
      </c>
      <c r="X60" s="4">
        <f ca="1">ROUND(_Google_ads[[#This Row],[conversion_value]]*RANDBETWEEN(8,12)/10,0)</f>
        <v>2080</v>
      </c>
      <c r="Y60" s="4">
        <f ca="1">_Google_ads[[#This Row],[ctr]]*RANDBETWEEN(8,12)/10</f>
        <v>4.8420000000000005E-2</v>
      </c>
      <c r="Z60" s="4">
        <f ca="1">_Google_ads[[#This Row],[avg_cpc]]*RANDBETWEEN(8,12)/10</f>
        <v>0.22800000000000004</v>
      </c>
      <c r="AA60" s="4">
        <f ca="1">ROUND(_Google_ads[[#This Row],[quality_score]]*RANDBETWEEN(8,12)/10,0)</f>
        <v>9</v>
      </c>
      <c r="AB60" s="4">
        <f ca="1">_Google_ads[[#This Row],[search_impression_share]]*RANDBETWEEN(8,12)/10</f>
        <v>1.012</v>
      </c>
      <c r="AD60" s="3">
        <f t="shared" ca="1" si="7"/>
        <v>45107</v>
      </c>
      <c r="AE60" s="4" t="s">
        <v>100</v>
      </c>
      <c r="AF60" s="4" t="s">
        <v>101</v>
      </c>
      <c r="AG60" s="4" t="s">
        <v>102</v>
      </c>
      <c r="AH60" s="4" t="s">
        <v>103</v>
      </c>
      <c r="AI60" s="4">
        <f ca="1">ROUND(T_Tiktok_ads[[#This Row],[impressions]]*RANDBETWEEN(8,12)/10,0)</f>
        <v>319135</v>
      </c>
      <c r="AJ60" s="4">
        <f ca="1">ROUND(T_Tiktok_ads[[#This Row],[clicks]]*RANDBETWEEN(8,12)/10,0)</f>
        <v>4608</v>
      </c>
      <c r="AK60" s="4">
        <v>567.79999999999995</v>
      </c>
      <c r="AL60" s="4">
        <f ca="1">ROUND(T_Tiktok_ads[[#This Row],[conversions]]*RANDBETWEEN(8,12)/10,0)</f>
        <v>44</v>
      </c>
      <c r="AM60" s="4">
        <f ca="1">ROUND(T_Tiktok_ads[[#This Row],[video_views]]*RANDBETWEEN(8,12)/10,0)</f>
        <v>284147</v>
      </c>
      <c r="AN60" s="4">
        <f ca="1">ROUND(T_Tiktok_ads[[#This Row],[video_watch_25]]*RANDBETWEEN(8,12)/10,0)</f>
        <v>184567</v>
      </c>
      <c r="AO60" s="4">
        <f ca="1">ROUND(T_Tiktok_ads[[#This Row],[video_watch_50]]*RANDBETWEEN(8,12)/10,0)</f>
        <v>104110</v>
      </c>
      <c r="AP60" s="4">
        <f ca="1">ROUND(T_Tiktok_ads[[#This Row],[video_watch_75]]*RANDBETWEEN(8,12)/10,0)</f>
        <v>78234</v>
      </c>
      <c r="AQ60" s="4">
        <f ca="1">ROUND(T_Tiktok_ads[[#This Row],[video_watch_100]]*RANDBETWEEN(8,12)/10,0)</f>
        <v>57580</v>
      </c>
      <c r="AR60" s="4">
        <f ca="1">ROUND(T_Tiktok_ads[[#This Row],[likes]]*RANDBETWEEN(8,12)/10,0)</f>
        <v>8365</v>
      </c>
      <c r="AS60" s="4">
        <f ca="1">ROUND(T_Tiktok_ads[[#This Row],[shares]]*RANDBETWEEN(8,12)/10,0)</f>
        <v>3093</v>
      </c>
      <c r="AT60" s="4">
        <f ca="1">ROUND(T_Tiktok_ads[[#This Row],[comments]]*RANDBETWEEN(8,12)/10,0)</f>
        <v>746</v>
      </c>
      <c r="AV60" s="5">
        <f t="shared" ca="1" si="8"/>
        <v>45092</v>
      </c>
      <c r="AW60">
        <f t="shared" ca="1" si="4"/>
        <v>8</v>
      </c>
      <c r="AX60">
        <f ca="1">ROUND(T_Facebook_Ads115963677175[[#This Row],[impressions]]*RANDBETWEEN(8,12)/10,0)</f>
        <v>49072</v>
      </c>
      <c r="AY60">
        <f ca="1">ROUND(T_Facebook_Ads115963677175[[#This Row],[clicks]]*RANDBETWEEN(8,12)/10,0)</f>
        <v>810</v>
      </c>
      <c r="AZ60">
        <f ca="1">T_Facebook_Ads115963677175[[#This Row],[spend]]*RANDBETWEEN(8,12)/10</f>
        <v>156.16799999999998</v>
      </c>
      <c r="BA60">
        <f ca="1">ROUND(T_Facebook_Ads115963677175[[#This Row],[conversions]]*RANDBETWEEN(8,12)/10,0)</f>
        <v>14</v>
      </c>
      <c r="BB60">
        <f ca="1">ROUND(T_Facebook_Ads115963677175[[#This Row],[video_views]]*RANDBETWEEN(8,12)/10,0)</f>
        <v>10035</v>
      </c>
    </row>
    <row r="61" spans="1:54" ht="15.75" thickBot="1" x14ac:dyDescent="0.3">
      <c r="A61" s="3">
        <f t="shared" ca="1" si="5"/>
        <v>45078</v>
      </c>
      <c r="B61" s="4" t="s">
        <v>56</v>
      </c>
      <c r="C61" s="4" t="s">
        <v>57</v>
      </c>
      <c r="D61" s="4" t="s">
        <v>58</v>
      </c>
      <c r="E61" s="4" t="s">
        <v>59</v>
      </c>
      <c r="F61" s="4">
        <f ca="1">ROUND(T_Facebook_Ads[[#This Row],[impressions]]*RANDBETWEEN(8,12)/10,0)</f>
        <v>13110</v>
      </c>
      <c r="G61" s="4">
        <v>689</v>
      </c>
      <c r="H61" s="4">
        <f ca="1">T_Facebook_Ads[[#This Row],[spend]]*RANDBETWEEN(8,12)/10</f>
        <v>278.74</v>
      </c>
      <c r="I61" s="4">
        <f ca="1">ROUND(T_Facebook_Ads[[#This Row],[conversions]]*RANDBETWEEN(8,12)/10,0)</f>
        <v>52</v>
      </c>
      <c r="J61" s="4">
        <f ca="1">ROUND(T_Facebook_Ads[[#This Row],[video_views]]*RANDBETWEEN(8,12)/10,0)</f>
        <v>1787</v>
      </c>
      <c r="K61" s="4">
        <f ca="1">T_Facebook_Ads[[#This Row],[engagement_rate]]*RANDBETWEEN(8,12)/10</f>
        <v>3.7839999999999999E-2</v>
      </c>
      <c r="L61" s="4">
        <f ca="1">ROUND(T_Facebook_Ads[[#This Row],[reach]]*RANDBETWEEN(8,12)/10,0)</f>
        <v>12724</v>
      </c>
      <c r="M61" s="4">
        <f ca="1">T_Facebook_Ads[[#This Row],[frequency]]*RANDBETWEEN(8,12)/10</f>
        <v>1.1339999999999999</v>
      </c>
      <c r="O61" s="3">
        <f t="shared" ca="1" si="6"/>
        <v>45098</v>
      </c>
      <c r="P61" s="4" t="s">
        <v>80</v>
      </c>
      <c r="Q61" s="4" t="s">
        <v>81</v>
      </c>
      <c r="R61" s="4" t="s">
        <v>82</v>
      </c>
      <c r="S61" s="4" t="s">
        <v>83</v>
      </c>
      <c r="T61" s="4">
        <f ca="1">ROUND(_Google_ads[[#This Row],[impressions]]*RANDBETWEEN(8,12)/10,0)</f>
        <v>50735</v>
      </c>
      <c r="U61" s="4">
        <f ca="1">ROUND(_Google_ads[[#This Row],[clicks]]*RANDBETWEEN(8,12)/10,0)</f>
        <v>831</v>
      </c>
      <c r="V61" s="4">
        <f ca="1">_Google_ads[[#This Row],[cost]]*RANDBETWEEN(8,12)/10</f>
        <v>531.27</v>
      </c>
      <c r="W61" s="4">
        <f ca="1">ROUND(_Google_ads[[#This Row],[conversions]]*RANDBETWEEN(8,12)/10,0)</f>
        <v>26</v>
      </c>
      <c r="X61" s="4">
        <f ca="1">ROUND(_Google_ads[[#This Row],[conversion_value]]*RANDBETWEEN(8,12)/10,0)</f>
        <v>1440</v>
      </c>
      <c r="Y61" s="4">
        <f ca="1">_Google_ads[[#This Row],[ctr]]*RANDBETWEEN(8,12)/10</f>
        <v>0.02</v>
      </c>
      <c r="Z61" s="4">
        <f ca="1">_Google_ads[[#This Row],[avg_cpc]]*RANDBETWEEN(8,12)/10</f>
        <v>0.76800000000000002</v>
      </c>
      <c r="AA61" s="4">
        <f ca="1">ROUND(_Google_ads[[#This Row],[quality_score]]*RANDBETWEEN(8,12)/10,0)</f>
        <v>7</v>
      </c>
      <c r="AB61" s="4">
        <f ca="1">_Google_ads[[#This Row],[search_impression_share]]*RANDBETWEEN(8,12)/10</f>
        <v>0.45</v>
      </c>
      <c r="AD61" s="3">
        <f t="shared" ca="1" si="7"/>
        <v>45089</v>
      </c>
      <c r="AE61" s="4" t="s">
        <v>104</v>
      </c>
      <c r="AF61" s="4" t="s">
        <v>105</v>
      </c>
      <c r="AG61" s="4" t="s">
        <v>106</v>
      </c>
      <c r="AH61" s="4" t="s">
        <v>107</v>
      </c>
      <c r="AI61" s="4">
        <f ca="1">ROUND(T_Tiktok_ads[[#This Row],[impressions]]*RANDBETWEEN(8,12)/10,0)</f>
        <v>161234</v>
      </c>
      <c r="AJ61" s="4">
        <f ca="1">ROUND(T_Tiktok_ads[[#This Row],[clicks]]*RANDBETWEEN(8,12)/10,0)</f>
        <v>3089</v>
      </c>
      <c r="AK61" s="4">
        <v>823.7</v>
      </c>
      <c r="AL61" s="4">
        <f ca="1">ROUND(T_Tiktok_ads[[#This Row],[conversions]]*RANDBETWEEN(8,12)/10,0)</f>
        <v>66</v>
      </c>
      <c r="AM61" s="4">
        <f ca="1">ROUND(T_Tiktok_ads[[#This Row],[video_views]]*RANDBETWEEN(8,12)/10,0)</f>
        <v>102110</v>
      </c>
      <c r="AN61" s="4">
        <f ca="1">ROUND(T_Tiktok_ads[[#This Row],[video_watch_25]]*RANDBETWEEN(8,12)/10,0)</f>
        <v>100280</v>
      </c>
      <c r="AO61" s="4">
        <f ca="1">ROUND(T_Tiktok_ads[[#This Row],[video_watch_50]]*RANDBETWEEN(8,12)/10,0)</f>
        <v>44987</v>
      </c>
      <c r="AP61" s="4">
        <f ca="1">ROUND(T_Tiktok_ads[[#This Row],[video_watch_75]]*RANDBETWEEN(8,12)/10,0)</f>
        <v>50814</v>
      </c>
      <c r="AQ61" s="4">
        <f ca="1">ROUND(T_Tiktok_ads[[#This Row],[video_watch_100]]*RANDBETWEEN(8,12)/10,0)</f>
        <v>31057</v>
      </c>
      <c r="AR61" s="4">
        <f ca="1">ROUND(T_Tiktok_ads[[#This Row],[likes]]*RANDBETWEEN(8,12)/10,0)</f>
        <v>6075</v>
      </c>
      <c r="AS61" s="4">
        <f ca="1">ROUND(T_Tiktok_ads[[#This Row],[shares]]*RANDBETWEEN(8,12)/10,0)</f>
        <v>1271</v>
      </c>
      <c r="AT61" s="4">
        <f ca="1">ROUND(T_Tiktok_ads[[#This Row],[comments]]*RANDBETWEEN(8,12)/10,0)</f>
        <v>301</v>
      </c>
      <c r="AV61" s="5">
        <f t="shared" ca="1" si="8"/>
        <v>45080</v>
      </c>
      <c r="AW61">
        <f t="shared" ca="1" si="4"/>
        <v>4</v>
      </c>
      <c r="AX61">
        <f ca="1">ROUND(T_Facebook_Ads115963677175[[#This Row],[impressions]]*RANDBETWEEN(8,12)/10,0)</f>
        <v>10488</v>
      </c>
      <c r="AY61">
        <f ca="1">ROUND(T_Facebook_Ads115963677175[[#This Row],[clicks]]*RANDBETWEEN(8,12)/10,0)</f>
        <v>827</v>
      </c>
      <c r="AZ61">
        <f ca="1">T_Facebook_Ads115963677175[[#This Row],[spend]]*RANDBETWEEN(8,12)/10</f>
        <v>278.74</v>
      </c>
      <c r="BA61">
        <f ca="1">ROUND(T_Facebook_Ads115963677175[[#This Row],[conversions]]*RANDBETWEEN(8,12)/10,0)</f>
        <v>42</v>
      </c>
      <c r="BB61">
        <f ca="1">ROUND(T_Facebook_Ads115963677175[[#This Row],[video_views]]*RANDBETWEEN(8,12)/10,0)</f>
        <v>1608</v>
      </c>
    </row>
    <row r="62" spans="1:54" ht="15.75" thickBot="1" x14ac:dyDescent="0.3">
      <c r="A62" s="3">
        <f t="shared" ca="1" si="5"/>
        <v>45099</v>
      </c>
      <c r="B62" s="4" t="s">
        <v>60</v>
      </c>
      <c r="C62" s="4" t="s">
        <v>61</v>
      </c>
      <c r="D62" s="4" t="s">
        <v>62</v>
      </c>
      <c r="E62" s="4" t="s">
        <v>63</v>
      </c>
      <c r="F62" s="4">
        <f ca="1">ROUND(T_Facebook_Ads[[#This Row],[impressions]]*RANDBETWEEN(8,12)/10,0)</f>
        <v>42791</v>
      </c>
      <c r="G62" s="4">
        <v>1456</v>
      </c>
      <c r="H62" s="4">
        <f ca="1">T_Facebook_Ads[[#This Row],[spend]]*RANDBETWEEN(8,12)/10</f>
        <v>224.5</v>
      </c>
      <c r="I62" s="4">
        <f ca="1">ROUND(T_Facebook_Ads[[#This Row],[conversions]]*RANDBETWEEN(8,12)/10,0)</f>
        <v>34</v>
      </c>
      <c r="J62" s="4">
        <f ca="1">ROUND(T_Facebook_Ads[[#This Row],[video_views]]*RANDBETWEEN(8,12)/10,0)</f>
        <v>5757</v>
      </c>
      <c r="K62" s="4">
        <f ca="1">T_Facebook_Ads[[#This Row],[engagement_rate]]*RANDBETWEEN(8,12)/10</f>
        <v>3.3660000000000002E-2</v>
      </c>
      <c r="L62" s="4">
        <f ca="1">ROUND(T_Facebook_Ads[[#This Row],[reach]]*RANDBETWEEN(8,12)/10,0)</f>
        <v>34602</v>
      </c>
      <c r="M62" s="4">
        <f ca="1">T_Facebook_Ads[[#This Row],[frequency]]*RANDBETWEEN(8,12)/10</f>
        <v>1.3640000000000001</v>
      </c>
      <c r="O62" s="3">
        <f t="shared" ca="1" si="6"/>
        <v>45101</v>
      </c>
      <c r="P62" s="4" t="s">
        <v>84</v>
      </c>
      <c r="Q62" s="4" t="s">
        <v>85</v>
      </c>
      <c r="R62" s="4" t="s">
        <v>86</v>
      </c>
      <c r="S62" s="4" t="s">
        <v>87</v>
      </c>
      <c r="T62" s="4">
        <f ca="1">ROUND(_Google_ads[[#This Row],[impressions]]*RANDBETWEEN(8,12)/10,0)</f>
        <v>78724</v>
      </c>
      <c r="U62" s="4">
        <f ca="1">ROUND(_Google_ads[[#This Row],[clicks]]*RANDBETWEEN(8,12)/10,0)</f>
        <v>2412</v>
      </c>
      <c r="V62" s="4">
        <f ca="1">_Google_ads[[#This Row],[cost]]*RANDBETWEEN(8,12)/10</f>
        <v>486.53000000000003</v>
      </c>
      <c r="W62" s="4">
        <f ca="1">ROUND(_Google_ads[[#This Row],[conversions]]*RANDBETWEEN(8,12)/10,0)</f>
        <v>77</v>
      </c>
      <c r="X62" s="4">
        <f ca="1">ROUND(_Google_ads[[#This Row],[conversion_value]]*RANDBETWEEN(8,12)/10,0)</f>
        <v>3500</v>
      </c>
      <c r="Y62" s="4">
        <f ca="1">_Google_ads[[#This Row],[ctr]]*RANDBETWEEN(8,12)/10</f>
        <v>3.3700000000000001E-2</v>
      </c>
      <c r="Z62" s="4">
        <f ca="1">_Google_ads[[#This Row],[avg_cpc]]*RANDBETWEEN(8,12)/10</f>
        <v>0.16199999999999998</v>
      </c>
      <c r="AA62" s="4">
        <f ca="1">ROUND(_Google_ads[[#This Row],[quality_score]]*RANDBETWEEN(8,12)/10,0)</f>
        <v>6</v>
      </c>
      <c r="AB62" s="4">
        <f ca="1">_Google_ads[[#This Row],[search_impression_share]]*RANDBETWEEN(8,12)/10</f>
        <v>0.748</v>
      </c>
      <c r="AD62" s="3">
        <f t="shared" ca="1" si="7"/>
        <v>45082</v>
      </c>
      <c r="AE62" s="4" t="s">
        <v>108</v>
      </c>
      <c r="AF62" s="4" t="s">
        <v>109</v>
      </c>
      <c r="AG62" s="4" t="s">
        <v>110</v>
      </c>
      <c r="AH62" s="4" t="s">
        <v>111</v>
      </c>
      <c r="AI62" s="4">
        <f ca="1">ROUND(T_Tiktok_ads[[#This Row],[impressions]]*RANDBETWEEN(8,12)/10,0)</f>
        <v>273791</v>
      </c>
      <c r="AJ62" s="4">
        <f ca="1">ROUND(T_Tiktok_ads[[#This Row],[clicks]]*RANDBETWEEN(8,12)/10,0)</f>
        <v>4327</v>
      </c>
      <c r="AK62" s="4">
        <v>478.5</v>
      </c>
      <c r="AL62" s="4">
        <f ca="1">ROUND(T_Tiktok_ads[[#This Row],[conversions]]*RANDBETWEEN(8,12)/10,0)</f>
        <v>32</v>
      </c>
      <c r="AM62" s="4">
        <f ca="1">ROUND(T_Tiktok_ads[[#This Row],[video_views]]*RANDBETWEEN(8,12)/10,0)</f>
        <v>156187</v>
      </c>
      <c r="AN62" s="4">
        <f ca="1">ROUND(T_Tiktok_ads[[#This Row],[video_watch_25]]*RANDBETWEEN(8,12)/10,0)</f>
        <v>178681</v>
      </c>
      <c r="AO62" s="4">
        <f ca="1">ROUND(T_Tiktok_ads[[#This Row],[video_watch_50]]*RANDBETWEEN(8,12)/10,0)</f>
        <v>106101</v>
      </c>
      <c r="AP62" s="4">
        <f ca="1">ROUND(T_Tiktok_ads[[#This Row],[video_watch_75]]*RANDBETWEEN(8,12)/10,0)</f>
        <v>60987</v>
      </c>
      <c r="AQ62" s="4">
        <f ca="1">ROUND(T_Tiktok_ads[[#This Row],[video_watch_100]]*RANDBETWEEN(8,12)/10,0)</f>
        <v>36987</v>
      </c>
      <c r="AR62" s="4">
        <f ca="1">ROUND(T_Tiktok_ads[[#This Row],[likes]]*RANDBETWEEN(8,12)/10,0)</f>
        <v>9607</v>
      </c>
      <c r="AS62" s="4">
        <f ca="1">ROUND(T_Tiktok_ads[[#This Row],[shares]]*RANDBETWEEN(8,12)/10,0)</f>
        <v>2881</v>
      </c>
      <c r="AT62" s="4">
        <f ca="1">ROUND(T_Tiktok_ads[[#This Row],[comments]]*RANDBETWEEN(8,12)/10,0)</f>
        <v>694</v>
      </c>
      <c r="AV62" s="5">
        <f t="shared" ca="1" si="8"/>
        <v>45085</v>
      </c>
      <c r="AW62">
        <f t="shared" ca="1" si="4"/>
        <v>8</v>
      </c>
      <c r="AX62">
        <f ca="1">ROUND(T_Facebook_Ads115963677175[[#This Row],[impressions]]*RANDBETWEEN(8,12)/10,0)</f>
        <v>47070</v>
      </c>
      <c r="AY62">
        <f ca="1">ROUND(T_Facebook_Ads115963677175[[#This Row],[clicks]]*RANDBETWEEN(8,12)/10,0)</f>
        <v>1602</v>
      </c>
      <c r="AZ62">
        <f ca="1">T_Facebook_Ads115963677175[[#This Row],[spend]]*RANDBETWEEN(8,12)/10</f>
        <v>202.05</v>
      </c>
      <c r="BA62">
        <f ca="1">ROUND(T_Facebook_Ads115963677175[[#This Row],[conversions]]*RANDBETWEEN(8,12)/10,0)</f>
        <v>41</v>
      </c>
      <c r="BB62">
        <f ca="1">ROUND(T_Facebook_Ads115963677175[[#This Row],[video_views]]*RANDBETWEEN(8,12)/10,0)</f>
        <v>6333</v>
      </c>
    </row>
    <row r="63" spans="1:54" ht="15.75" thickBot="1" x14ac:dyDescent="0.3">
      <c r="A63" s="3">
        <f t="shared" ca="1" si="5"/>
        <v>45098</v>
      </c>
      <c r="B63" s="4" t="s">
        <v>64</v>
      </c>
      <c r="C63" s="4" t="s">
        <v>65</v>
      </c>
      <c r="D63" s="4" t="s">
        <v>66</v>
      </c>
      <c r="E63" s="4" t="s">
        <v>67</v>
      </c>
      <c r="F63" s="4">
        <f ca="1">ROUND(T_Facebook_Ads[[#This Row],[impressions]]*RANDBETWEEN(8,12)/10,0)</f>
        <v>72345</v>
      </c>
      <c r="G63" s="4">
        <v>261</v>
      </c>
      <c r="H63" s="4">
        <f ca="1">T_Facebook_Ads[[#This Row],[spend]]*RANDBETWEEN(8,12)/10</f>
        <v>111.24000000000001</v>
      </c>
      <c r="I63" s="4">
        <f ca="1">ROUND(T_Facebook_Ads[[#This Row],[conversions]]*RANDBETWEEN(8,12)/10,0)</f>
        <v>6</v>
      </c>
      <c r="J63" s="4">
        <f ca="1">ROUND(T_Facebook_Ads[[#This Row],[video_views]]*RANDBETWEEN(8,12)/10,0)</f>
        <v>58280</v>
      </c>
      <c r="K63" s="4">
        <f ca="1">T_Facebook_Ads[[#This Row],[engagement_rate]]*RANDBETWEEN(8,12)/10</f>
        <v>3.5999999999999999E-3</v>
      </c>
      <c r="L63" s="4">
        <f ca="1">ROUND(T_Facebook_Ads[[#This Row],[reach]]*RANDBETWEEN(8,12)/10,0)</f>
        <v>52411</v>
      </c>
      <c r="M63" s="4">
        <f ca="1">T_Facebook_Ads[[#This Row],[frequency]]*RANDBETWEEN(8,12)/10</f>
        <v>0.99199999999999999</v>
      </c>
      <c r="O63" s="3">
        <f t="shared" ca="1" si="6"/>
        <v>45081</v>
      </c>
      <c r="P63" s="4" t="s">
        <v>88</v>
      </c>
      <c r="Q63" s="4" t="s">
        <v>89</v>
      </c>
      <c r="R63" s="4" t="s">
        <v>90</v>
      </c>
      <c r="S63" s="4" t="s">
        <v>59</v>
      </c>
      <c r="T63" s="4">
        <f ca="1">ROUND(_Google_ads[[#This Row],[impressions]]*RANDBETWEEN(8,12)/10,0)</f>
        <v>162281</v>
      </c>
      <c r="U63" s="4">
        <f ca="1">ROUND(_Google_ads[[#This Row],[clicks]]*RANDBETWEEN(8,12)/10,0)</f>
        <v>501</v>
      </c>
      <c r="V63" s="4">
        <f ca="1">_Google_ads[[#This Row],[cost]]*RANDBETWEEN(8,12)/10</f>
        <v>133.6</v>
      </c>
      <c r="W63" s="4">
        <f ca="1">ROUND(_Google_ads[[#This Row],[conversions]]*RANDBETWEEN(8,12)/10,0)</f>
        <v>17</v>
      </c>
      <c r="X63" s="4">
        <f ca="1">ROUND(_Google_ads[[#This Row],[conversion_value]]*RANDBETWEEN(8,12)/10,0)</f>
        <v>630</v>
      </c>
      <c r="Y63" s="4">
        <f ca="1">_Google_ads[[#This Row],[ctr]]*RANDBETWEEN(8,12)/10</f>
        <v>4.0699999999999998E-3</v>
      </c>
      <c r="Z63" s="4">
        <f ca="1">_Google_ads[[#This Row],[avg_cpc]]*RANDBETWEEN(8,12)/10</f>
        <v>0.27</v>
      </c>
      <c r="AA63" s="4">
        <f ca="1">ROUND(_Google_ads[[#This Row],[quality_score]]*RANDBETWEEN(8,12)/10,0)</f>
        <v>8</v>
      </c>
      <c r="AB63" s="4">
        <f ca="1">_Google_ads[[#This Row],[search_impression_share]]*RANDBETWEEN(8,12)/10</f>
        <v>0.35</v>
      </c>
      <c r="AD63" s="3">
        <f t="shared" ca="1" si="7"/>
        <v>45085</v>
      </c>
      <c r="AE63" s="4" t="s">
        <v>112</v>
      </c>
      <c r="AF63" s="4" t="s">
        <v>113</v>
      </c>
      <c r="AG63" s="4" t="s">
        <v>114</v>
      </c>
      <c r="AH63" s="4" t="s">
        <v>115</v>
      </c>
      <c r="AI63" s="4">
        <f ca="1">ROUND(T_Tiktok_ads[[#This Row],[impressions]]*RANDBETWEEN(8,12)/10,0)</f>
        <v>391110</v>
      </c>
      <c r="AJ63" s="4">
        <f ca="1">ROUND(T_Tiktok_ads[[#This Row],[clicks]]*RANDBETWEEN(8,12)/10,0)</f>
        <v>7012</v>
      </c>
      <c r="AK63" s="4">
        <v>1089.3</v>
      </c>
      <c r="AL63" s="4">
        <f ca="1">ROUND(T_Tiktok_ads[[#This Row],[conversions]]*RANDBETWEEN(8,12)/10,0)</f>
        <v>87</v>
      </c>
      <c r="AM63" s="4">
        <f ca="1">ROUND(T_Tiktok_ads[[#This Row],[video_views]]*RANDBETWEEN(8,12)/10,0)</f>
        <v>441468</v>
      </c>
      <c r="AN63" s="4">
        <f ca="1">ROUND(T_Tiktok_ads[[#This Row],[video_watch_25]]*RANDBETWEEN(8,12)/10,0)</f>
        <v>296234</v>
      </c>
      <c r="AO63" s="4">
        <f ca="1">ROUND(T_Tiktok_ads[[#This Row],[video_watch_50]]*RANDBETWEEN(8,12)/10,0)</f>
        <v>214101</v>
      </c>
      <c r="AP63" s="4">
        <f ca="1">ROUND(T_Tiktok_ads[[#This Row],[video_watch_75]]*RANDBETWEEN(8,12)/10,0)</f>
        <v>185057</v>
      </c>
      <c r="AQ63" s="4">
        <f ca="1">ROUND(T_Tiktok_ads[[#This Row],[video_watch_100]]*RANDBETWEEN(8,12)/10,0)</f>
        <v>133481</v>
      </c>
      <c r="AR63" s="4">
        <f ca="1">ROUND(T_Tiktok_ads[[#This Row],[likes]]*RANDBETWEEN(8,12)/10,0)</f>
        <v>21157</v>
      </c>
      <c r="AS63" s="4">
        <f ca="1">ROUND(T_Tiktok_ads[[#This Row],[shares]]*RANDBETWEEN(8,12)/10,0)</f>
        <v>6087</v>
      </c>
      <c r="AT63" s="4">
        <f ca="1">ROUND(T_Tiktok_ads[[#This Row],[comments]]*RANDBETWEEN(8,12)/10,0)</f>
        <v>1675</v>
      </c>
      <c r="AV63" s="5">
        <f t="shared" ca="1" si="8"/>
        <v>45082</v>
      </c>
      <c r="AW63">
        <f t="shared" ca="1" si="4"/>
        <v>5</v>
      </c>
      <c r="AX63">
        <f ca="1">ROUND(T_Facebook_Ads115963677175[[#This Row],[impressions]]*RANDBETWEEN(8,12)/10,0)</f>
        <v>86814</v>
      </c>
      <c r="AY63">
        <f ca="1">ROUND(T_Facebook_Ads115963677175[[#This Row],[clicks]]*RANDBETWEEN(8,12)/10,0)</f>
        <v>261</v>
      </c>
      <c r="AZ63">
        <f ca="1">T_Facebook_Ads115963677175[[#This Row],[spend]]*RANDBETWEEN(8,12)/10</f>
        <v>100.11600000000001</v>
      </c>
      <c r="BA63">
        <f ca="1">ROUND(T_Facebook_Ads115963677175[[#This Row],[conversions]]*RANDBETWEEN(8,12)/10,0)</f>
        <v>7</v>
      </c>
      <c r="BB63">
        <f ca="1">ROUND(T_Facebook_Ads115963677175[[#This Row],[video_views]]*RANDBETWEEN(8,12)/10,0)</f>
        <v>69936</v>
      </c>
    </row>
    <row r="64" spans="1:54" ht="15.75" thickBot="1" x14ac:dyDescent="0.3">
      <c r="A64" s="3">
        <f t="shared" ca="1" si="5"/>
        <v>45091</v>
      </c>
      <c r="B64" s="4" t="s">
        <v>52</v>
      </c>
      <c r="C64" s="4" t="s">
        <v>53</v>
      </c>
      <c r="D64" s="4" t="s">
        <v>54</v>
      </c>
      <c r="E64" s="4" t="s">
        <v>55</v>
      </c>
      <c r="F64" s="4">
        <f ca="1">ROUND(T_Facebook_Ads[[#This Row],[impressions]]*RANDBETWEEN(8,12)/10,0)</f>
        <v>52679</v>
      </c>
      <c r="G64" s="4">
        <v>967</v>
      </c>
      <c r="H64" s="4">
        <f ca="1">T_Facebook_Ads[[#This Row],[spend]]*RANDBETWEEN(8,12)/10</f>
        <v>138.4</v>
      </c>
      <c r="I64" s="4">
        <f ca="1">ROUND(T_Facebook_Ads[[#This Row],[conversions]]*RANDBETWEEN(8,12)/10,0)</f>
        <v>14</v>
      </c>
      <c r="J64" s="4">
        <f ca="1">ROUND(T_Facebook_Ads[[#This Row],[video_views]]*RANDBETWEEN(8,12)/10,0)</f>
        <v>8789</v>
      </c>
      <c r="K64" s="4">
        <f ca="1">T_Facebook_Ads[[#This Row],[engagement_rate]]*RANDBETWEEN(8,12)/10</f>
        <v>2.4240000000000001E-2</v>
      </c>
      <c r="L64" s="4">
        <f ca="1">ROUND(T_Facebook_Ads[[#This Row],[reach]]*RANDBETWEEN(8,12)/10,0)</f>
        <v>44257</v>
      </c>
      <c r="M64" s="4">
        <f ca="1">T_Facebook_Ads[[#This Row],[frequency]]*RANDBETWEEN(8,12)/10</f>
        <v>1.19</v>
      </c>
      <c r="O64" s="3">
        <f t="shared" ca="1" si="6"/>
        <v>45086</v>
      </c>
      <c r="P64" s="4" t="s">
        <v>76</v>
      </c>
      <c r="Q64" s="4" t="s">
        <v>77</v>
      </c>
      <c r="R64" s="4" t="s">
        <v>78</v>
      </c>
      <c r="S64" s="4" t="s">
        <v>79</v>
      </c>
      <c r="T64" s="4">
        <f ca="1">ROUND(_Google_ads[[#This Row],[impressions]]*RANDBETWEEN(8,12)/10,0)</f>
        <v>22110</v>
      </c>
      <c r="U64" s="4">
        <f ca="1">ROUND(_Google_ads[[#This Row],[clicks]]*RANDBETWEEN(8,12)/10,0)</f>
        <v>1160</v>
      </c>
      <c r="V64" s="4">
        <f ca="1">_Google_ads[[#This Row],[cost]]*RANDBETWEEN(8,12)/10</f>
        <v>222.12000000000003</v>
      </c>
      <c r="W64" s="4">
        <f ca="1">ROUND(_Google_ads[[#This Row],[conversions]]*RANDBETWEEN(8,12)/10,0)</f>
        <v>43</v>
      </c>
      <c r="X64" s="4">
        <f ca="1">ROUND(_Google_ads[[#This Row],[conversion_value]]*RANDBETWEEN(8,12)/10,0)</f>
        <v>1920</v>
      </c>
      <c r="Y64" s="4">
        <f ca="1">_Google_ads[[#This Row],[ctr]]*RANDBETWEEN(8,12)/10</f>
        <v>4.725E-2</v>
      </c>
      <c r="Z64" s="4">
        <f ca="1">_Google_ads[[#This Row],[avg_cpc]]*RANDBETWEEN(8,12)/10</f>
        <v>0.20899999999999999</v>
      </c>
      <c r="AA64" s="4">
        <f ca="1">ROUND(_Google_ads[[#This Row],[quality_score]]*RANDBETWEEN(8,12)/10,0)</f>
        <v>11</v>
      </c>
      <c r="AB64" s="4">
        <f ca="1">_Google_ads[[#This Row],[search_impression_share]]*RANDBETWEEN(8,12)/10</f>
        <v>1.0920000000000001</v>
      </c>
      <c r="AD64" s="3">
        <f t="shared" ca="1" si="7"/>
        <v>45085</v>
      </c>
      <c r="AE64" s="4" t="s">
        <v>100</v>
      </c>
      <c r="AF64" s="4" t="s">
        <v>101</v>
      </c>
      <c r="AG64" s="4" t="s">
        <v>102</v>
      </c>
      <c r="AH64" s="4" t="s">
        <v>103</v>
      </c>
      <c r="AI64" s="4">
        <f ca="1">ROUND(T_Tiktok_ads[[#This Row],[impressions]]*RANDBETWEEN(8,12)/10,0)</f>
        <v>251011</v>
      </c>
      <c r="AJ64" s="4">
        <f ca="1">ROUND(T_Tiktok_ads[[#This Row],[clicks]]*RANDBETWEEN(8,12)/10,0)</f>
        <v>3298</v>
      </c>
      <c r="AK64" s="4">
        <v>545.6</v>
      </c>
      <c r="AL64" s="4">
        <f ca="1">ROUND(T_Tiktok_ads[[#This Row],[conversions]]*RANDBETWEEN(8,12)/10,0)</f>
        <v>46</v>
      </c>
      <c r="AM64" s="4">
        <f ca="1">ROUND(T_Tiktok_ads[[#This Row],[video_views]]*RANDBETWEEN(8,12)/10,0)</f>
        <v>229234</v>
      </c>
      <c r="AN64" s="4">
        <f ca="1">ROUND(T_Tiktok_ads[[#This Row],[video_watch_25]]*RANDBETWEEN(8,12)/10,0)</f>
        <v>143387</v>
      </c>
      <c r="AO64" s="4">
        <f ca="1">ROUND(T_Tiktok_ads[[#This Row],[video_watch_50]]*RANDBETWEEN(8,12)/10,0)</f>
        <v>89787</v>
      </c>
      <c r="AP64" s="4">
        <f ca="1">ROUND(T_Tiktok_ads[[#This Row],[video_watch_75]]*RANDBETWEEN(8,12)/10,0)</f>
        <v>90814</v>
      </c>
      <c r="AQ64" s="4">
        <f ca="1">ROUND(T_Tiktok_ads[[#This Row],[video_watch_100]]*RANDBETWEEN(8,12)/10,0)</f>
        <v>60281</v>
      </c>
      <c r="AR64" s="4">
        <f ca="1">ROUND(T_Tiktok_ads[[#This Row],[likes]]*RANDBETWEEN(8,12)/10,0)</f>
        <v>9111</v>
      </c>
      <c r="AS64" s="4">
        <f ca="1">ROUND(T_Tiktok_ads[[#This Row],[shares]]*RANDBETWEEN(8,12)/10,0)</f>
        <v>3254</v>
      </c>
      <c r="AT64" s="4">
        <f ca="1">ROUND(T_Tiktok_ads[[#This Row],[comments]]*RANDBETWEEN(8,12)/10,0)</f>
        <v>581</v>
      </c>
      <c r="AV64" s="5">
        <f t="shared" ca="1" si="8"/>
        <v>45105</v>
      </c>
      <c r="AW64">
        <f t="shared" ca="1" si="4"/>
        <v>1</v>
      </c>
      <c r="AX64">
        <f ca="1">ROUND(T_Facebook_Ads115963677175[[#This Row],[impressions]]*RANDBETWEEN(8,12)/10,0)</f>
        <v>52679</v>
      </c>
      <c r="AY64">
        <f ca="1">ROUND(T_Facebook_Ads115963677175[[#This Row],[clicks]]*RANDBETWEEN(8,12)/10,0)</f>
        <v>1064</v>
      </c>
      <c r="AZ64">
        <f ca="1">T_Facebook_Ads115963677175[[#This Row],[spend]]*RANDBETWEEN(8,12)/10</f>
        <v>152.24</v>
      </c>
      <c r="BA64">
        <f ca="1">ROUND(T_Facebook_Ads115963677175[[#This Row],[conversions]]*RANDBETWEEN(8,12)/10,0)</f>
        <v>13</v>
      </c>
      <c r="BB64">
        <f ca="1">ROUND(T_Facebook_Ads115963677175[[#This Row],[video_views]]*RANDBETWEEN(8,12)/10,0)</f>
        <v>8789</v>
      </c>
    </row>
    <row r="65" spans="1:54" ht="15.75" thickBot="1" x14ac:dyDescent="0.3">
      <c r="A65" s="3">
        <f t="shared" ca="1" si="5"/>
        <v>45087</v>
      </c>
      <c r="B65" s="4" t="s">
        <v>56</v>
      </c>
      <c r="C65" s="4" t="s">
        <v>57</v>
      </c>
      <c r="D65" s="4" t="s">
        <v>58</v>
      </c>
      <c r="E65" s="4" t="s">
        <v>59</v>
      </c>
      <c r="F65" s="4">
        <f ca="1">ROUND(T_Facebook_Ads[[#This Row],[impressions]]*RANDBETWEEN(8,12)/10,0)</f>
        <v>11112</v>
      </c>
      <c r="G65" s="4">
        <v>634</v>
      </c>
      <c r="H65" s="4">
        <f ca="1">T_Facebook_Ads[[#This Row],[spend]]*RANDBETWEEN(8,12)/10</f>
        <v>212.22000000000003</v>
      </c>
      <c r="I65" s="4">
        <f ca="1">ROUND(T_Facebook_Ads[[#This Row],[conversions]]*RANDBETWEEN(8,12)/10,0)</f>
        <v>48</v>
      </c>
      <c r="J65" s="4">
        <f ca="1">ROUND(T_Facebook_Ads[[#This Row],[video_views]]*RANDBETWEEN(8,12)/10,0)</f>
        <v>1654</v>
      </c>
      <c r="K65" s="4">
        <f ca="1">T_Facebook_Ads[[#This Row],[engagement_rate]]*RANDBETWEEN(8,12)/10</f>
        <v>5.484E-2</v>
      </c>
      <c r="L65" s="4">
        <f ca="1">ROUND(T_Facebook_Ads[[#This Row],[reach]]*RANDBETWEEN(8,12)/10,0)</f>
        <v>13068</v>
      </c>
      <c r="M65" s="4">
        <f ca="1">T_Facebook_Ads[[#This Row],[frequency]]*RANDBETWEEN(8,12)/10</f>
        <v>1.397</v>
      </c>
      <c r="O65" s="3">
        <f t="shared" ca="1" si="6"/>
        <v>45094</v>
      </c>
      <c r="P65" s="4" t="s">
        <v>80</v>
      </c>
      <c r="Q65" s="4" t="s">
        <v>81</v>
      </c>
      <c r="R65" s="4" t="s">
        <v>82</v>
      </c>
      <c r="S65" s="4" t="s">
        <v>83</v>
      </c>
      <c r="T65" s="4">
        <f ca="1">ROUND(_Google_ads[[#This Row],[impressions]]*RANDBETWEEN(8,12)/10,0)</f>
        <v>35912</v>
      </c>
      <c r="U65" s="4">
        <f ca="1">ROUND(_Google_ads[[#This Row],[clicks]]*RANDBETWEEN(8,12)/10,0)</f>
        <v>801</v>
      </c>
      <c r="V65" s="4">
        <f ca="1">_Google_ads[[#This Row],[cost]]*RANDBETWEEN(8,12)/10</f>
        <v>689.6400000000001</v>
      </c>
      <c r="W65" s="4">
        <f ca="1">ROUND(_Google_ads[[#This Row],[conversions]]*RANDBETWEEN(8,12)/10,0)</f>
        <v>18</v>
      </c>
      <c r="X65" s="4">
        <f ca="1">ROUND(_Google_ads[[#This Row],[conversion_value]]*RANDBETWEEN(8,12)/10,0)</f>
        <v>1150</v>
      </c>
      <c r="Y65" s="4">
        <f ca="1">_Google_ads[[#This Row],[ctr]]*RANDBETWEEN(8,12)/10</f>
        <v>1.7820000000000003E-2</v>
      </c>
      <c r="Z65" s="4">
        <f ca="1">_Google_ads[[#This Row],[avg_cpc]]*RANDBETWEEN(8,12)/10</f>
        <v>0.78</v>
      </c>
      <c r="AA65" s="4">
        <f ca="1">ROUND(_Google_ads[[#This Row],[quality_score]]*RANDBETWEEN(8,12)/10,0)</f>
        <v>8</v>
      </c>
      <c r="AB65" s="4">
        <f ca="1">_Google_ads[[#This Row],[search_impression_share]]*RANDBETWEEN(8,12)/10</f>
        <v>0.48399999999999999</v>
      </c>
      <c r="AD65" s="3">
        <f t="shared" ca="1" si="7"/>
        <v>45095</v>
      </c>
      <c r="AE65" s="4" t="s">
        <v>104</v>
      </c>
      <c r="AF65" s="4" t="s">
        <v>105</v>
      </c>
      <c r="AG65" s="4" t="s">
        <v>106</v>
      </c>
      <c r="AH65" s="4" t="s">
        <v>107</v>
      </c>
      <c r="AI65" s="4">
        <f ca="1">ROUND(T_Tiktok_ads[[#This Row],[impressions]]*RANDBETWEEN(8,12)/10,0)</f>
        <v>138110</v>
      </c>
      <c r="AJ65" s="4">
        <f ca="1">ROUND(T_Tiktok_ads[[#This Row],[clicks]]*RANDBETWEEN(8,12)/10,0)</f>
        <v>3534</v>
      </c>
      <c r="AK65" s="4">
        <v>789.2</v>
      </c>
      <c r="AL65" s="4">
        <f ca="1">ROUND(T_Tiktok_ads[[#This Row],[conversions]]*RANDBETWEEN(8,12)/10,0)</f>
        <v>95</v>
      </c>
      <c r="AM65" s="4">
        <f ca="1">ROUND(T_Tiktok_ads[[#This Row],[video_views]]*RANDBETWEEN(8,12)/10,0)</f>
        <v>129468</v>
      </c>
      <c r="AN65" s="4">
        <f ca="1">ROUND(T_Tiktok_ads[[#This Row],[video_watch_25]]*RANDBETWEEN(8,12)/10,0)</f>
        <v>87524</v>
      </c>
      <c r="AO65" s="4">
        <f ca="1">ROUND(T_Tiktok_ads[[#This Row],[video_watch_50]]*RANDBETWEEN(8,12)/10,0)</f>
        <v>42942</v>
      </c>
      <c r="AP65" s="4">
        <f ca="1">ROUND(T_Tiktok_ads[[#This Row],[video_watch_75]]*RANDBETWEEN(8,12)/10,0)</f>
        <v>48281</v>
      </c>
      <c r="AQ65" s="4">
        <f ca="1">ROUND(T_Tiktok_ads[[#This Row],[video_watch_100]]*RANDBETWEEN(8,12)/10,0)</f>
        <v>24201</v>
      </c>
      <c r="AR65" s="4">
        <f ca="1">ROUND(T_Tiktok_ads[[#This Row],[likes]]*RANDBETWEEN(8,12)/10,0)</f>
        <v>6281</v>
      </c>
      <c r="AS65" s="4">
        <f ca="1">ROUND(T_Tiktok_ads[[#This Row],[shares]]*RANDBETWEEN(8,12)/10,0)</f>
        <v>1456</v>
      </c>
      <c r="AT65" s="4">
        <f ca="1">ROUND(T_Tiktok_ads[[#This Row],[comments]]*RANDBETWEEN(8,12)/10,0)</f>
        <v>306</v>
      </c>
      <c r="AV65" s="5">
        <f t="shared" ca="1" si="8"/>
        <v>45106</v>
      </c>
      <c r="AW65">
        <f t="shared" ca="1" si="4"/>
        <v>6</v>
      </c>
      <c r="AX65">
        <f ca="1">ROUND(T_Facebook_Ads115963677175[[#This Row],[impressions]]*RANDBETWEEN(8,12)/10,0)</f>
        <v>13334</v>
      </c>
      <c r="AY65">
        <f ca="1">ROUND(T_Facebook_Ads115963677175[[#This Row],[clicks]]*RANDBETWEEN(8,12)/10,0)</f>
        <v>697</v>
      </c>
      <c r="AZ65">
        <f ca="1">T_Facebook_Ads115963677175[[#This Row],[spend]]*RANDBETWEEN(8,12)/10</f>
        <v>254.66400000000004</v>
      </c>
      <c r="BA65">
        <f ca="1">ROUND(T_Facebook_Ads115963677175[[#This Row],[conversions]]*RANDBETWEEN(8,12)/10,0)</f>
        <v>48</v>
      </c>
      <c r="BB65">
        <f ca="1">ROUND(T_Facebook_Ads115963677175[[#This Row],[video_views]]*RANDBETWEEN(8,12)/10,0)</f>
        <v>1819</v>
      </c>
    </row>
    <row r="66" spans="1:54" ht="15.75" thickBot="1" x14ac:dyDescent="0.3">
      <c r="A66" s="3">
        <f t="shared" ref="A66:A97" ca="1" si="9">DATE(2023,6,RANDBETWEEN(1,30))</f>
        <v>45085</v>
      </c>
      <c r="B66" s="4" t="s">
        <v>60</v>
      </c>
      <c r="C66" s="4" t="s">
        <v>61</v>
      </c>
      <c r="D66" s="4" t="s">
        <v>62</v>
      </c>
      <c r="E66" s="4" t="s">
        <v>63</v>
      </c>
      <c r="F66" s="4">
        <f ca="1">ROUND(T_Facebook_Ads[[#This Row],[impressions]]*RANDBETWEEN(8,12)/10,0)</f>
        <v>33511</v>
      </c>
      <c r="G66" s="4">
        <v>1367</v>
      </c>
      <c r="H66" s="4">
        <f ca="1">T_Facebook_Ads[[#This Row],[spend]]*RANDBETWEEN(8,12)/10</f>
        <v>188.91000000000003</v>
      </c>
      <c r="I66" s="4">
        <f ca="1">ROUND(T_Facebook_Ads[[#This Row],[conversions]]*RANDBETWEEN(8,12)/10,0)</f>
        <v>34</v>
      </c>
      <c r="J66" s="4">
        <f ca="1">ROUND(T_Facebook_Ads[[#This Row],[video_views]]*RANDBETWEEN(8,12)/10,0)</f>
        <v>5012</v>
      </c>
      <c r="K66" s="4">
        <f ca="1">T_Facebook_Ads[[#This Row],[engagement_rate]]*RANDBETWEEN(8,12)/10</f>
        <v>3.6700000000000003E-2</v>
      </c>
      <c r="L66" s="4">
        <f ca="1">ROUND(T_Facebook_Ads[[#This Row],[reach]]*RANDBETWEEN(8,12)/10,0)</f>
        <v>36814</v>
      </c>
      <c r="M66" s="4">
        <f ca="1">T_Facebook_Ads[[#This Row],[frequency]]*RANDBETWEEN(8,12)/10</f>
        <v>0.96799999999999997</v>
      </c>
      <c r="O66" s="3">
        <f t="shared" ref="O66:O97" ca="1" si="10">DATE(2023,6,RANDBETWEEN(1,30))</f>
        <v>45083</v>
      </c>
      <c r="P66" s="4" t="s">
        <v>84</v>
      </c>
      <c r="Q66" s="4" t="s">
        <v>85</v>
      </c>
      <c r="R66" s="4" t="s">
        <v>86</v>
      </c>
      <c r="S66" s="4" t="s">
        <v>87</v>
      </c>
      <c r="T66" s="4">
        <f ca="1">ROUND(_Google_ads[[#This Row],[impressions]]*RANDBETWEEN(8,12)/10,0)</f>
        <v>76157</v>
      </c>
      <c r="U66" s="4">
        <f ca="1">ROUND(_Google_ads[[#This Row],[clicks]]*RANDBETWEEN(8,12)/10,0)</f>
        <v>2301</v>
      </c>
      <c r="V66" s="4">
        <f ca="1">_Google_ads[[#This Row],[cost]]*RANDBETWEEN(8,12)/10</f>
        <v>465.85</v>
      </c>
      <c r="W66" s="4">
        <f ca="1">ROUND(_Google_ads[[#This Row],[conversions]]*RANDBETWEEN(8,12)/10,0)</f>
        <v>74</v>
      </c>
      <c r="X66" s="4">
        <f ca="1">ROUND(_Google_ads[[#This Row],[conversion_value]]*RANDBETWEEN(8,12)/10,0)</f>
        <v>3685</v>
      </c>
      <c r="Y66" s="4">
        <f ca="1">_Google_ads[[#This Row],[ctr]]*RANDBETWEEN(8,12)/10</f>
        <v>2.656E-2</v>
      </c>
      <c r="Z66" s="4">
        <f ca="1">_Google_ads[[#This Row],[avg_cpc]]*RANDBETWEEN(8,12)/10</f>
        <v>0.16199999999999998</v>
      </c>
      <c r="AA66" s="4">
        <f ca="1">ROUND(_Google_ads[[#This Row],[quality_score]]*RANDBETWEEN(8,12)/10,0)</f>
        <v>6</v>
      </c>
      <c r="AB66" s="4">
        <f ca="1">_Google_ads[[#This Row],[search_impression_share]]*RANDBETWEEN(8,12)/10</f>
        <v>0.60299999999999998</v>
      </c>
      <c r="AD66" s="3">
        <f t="shared" ref="AD66:AD97" ca="1" si="11">DATE(2023,6,RANDBETWEEN(1,30))</f>
        <v>45091</v>
      </c>
      <c r="AE66" s="4" t="s">
        <v>108</v>
      </c>
      <c r="AF66" s="4" t="s">
        <v>109</v>
      </c>
      <c r="AG66" s="4" t="s">
        <v>110</v>
      </c>
      <c r="AH66" s="4" t="s">
        <v>111</v>
      </c>
      <c r="AI66" s="4">
        <f ca="1">ROUND(T_Tiktok_ads[[#This Row],[impressions]]*RANDBETWEEN(8,12)/10,0)</f>
        <v>213110</v>
      </c>
      <c r="AJ66" s="4">
        <f ca="1">ROUND(T_Tiktok_ads[[#This Row],[clicks]]*RANDBETWEEN(8,12)/10,0)</f>
        <v>3734</v>
      </c>
      <c r="AK66" s="4">
        <v>456.8</v>
      </c>
      <c r="AL66" s="4">
        <f ca="1">ROUND(T_Tiktok_ads[[#This Row],[conversions]]*RANDBETWEEN(8,12)/10,0)</f>
        <v>40</v>
      </c>
      <c r="AM66" s="4">
        <f ca="1">ROUND(T_Tiktok_ads[[#This Row],[video_views]]*RANDBETWEEN(8,12)/10,0)</f>
        <v>187890</v>
      </c>
      <c r="AN66" s="4">
        <f ca="1">ROUND(T_Tiktok_ads[[#This Row],[video_watch_25]]*RANDBETWEEN(8,12)/10,0)</f>
        <v>142345</v>
      </c>
      <c r="AO66" s="4">
        <f ca="1">ROUND(T_Tiktok_ads[[#This Row],[video_watch_50]]*RANDBETWEEN(8,12)/10,0)</f>
        <v>112345</v>
      </c>
      <c r="AP66" s="4">
        <f ca="1">ROUND(T_Tiktok_ads[[#This Row],[video_watch_75]]*RANDBETWEEN(8,12)/10,0)</f>
        <v>72345</v>
      </c>
      <c r="AQ66" s="4">
        <f ca="1">ROUND(T_Tiktok_ads[[#This Row],[video_watch_100]]*RANDBETWEEN(8,12)/10,0)</f>
        <v>35031</v>
      </c>
      <c r="AR66" s="4">
        <f ca="1">ROUND(T_Tiktok_ads[[#This Row],[likes]]*RANDBETWEEN(8,12)/10,0)</f>
        <v>9302</v>
      </c>
      <c r="AS66" s="4">
        <f ca="1">ROUND(T_Tiktok_ads[[#This Row],[shares]]*RANDBETWEEN(8,12)/10,0)</f>
        <v>2040</v>
      </c>
      <c r="AT66" s="4">
        <f ca="1">ROUND(T_Tiktok_ads[[#This Row],[comments]]*RANDBETWEEN(8,12)/10,0)</f>
        <v>545</v>
      </c>
      <c r="AV66" s="5">
        <f t="shared" ref="AV66:AV97" ca="1" si="12">DATE(2023,6,RANDBETWEEN(1,30))</f>
        <v>45087</v>
      </c>
      <c r="AW66">
        <f t="shared" ca="1" si="4"/>
        <v>2</v>
      </c>
      <c r="AX66">
        <f ca="1">ROUND(T_Facebook_Ads115963677175[[#This Row],[impressions]]*RANDBETWEEN(8,12)/10,0)</f>
        <v>26809</v>
      </c>
      <c r="AY66">
        <f ca="1">ROUND(T_Facebook_Ads115963677175[[#This Row],[clicks]]*RANDBETWEEN(8,12)/10,0)</f>
        <v>1094</v>
      </c>
      <c r="AZ66">
        <f ca="1">T_Facebook_Ads115963677175[[#This Row],[spend]]*RANDBETWEEN(8,12)/10</f>
        <v>207.80100000000002</v>
      </c>
      <c r="BA66">
        <f ca="1">ROUND(T_Facebook_Ads115963677175[[#This Row],[conversions]]*RANDBETWEEN(8,12)/10,0)</f>
        <v>31</v>
      </c>
      <c r="BB66">
        <f ca="1">ROUND(T_Facebook_Ads115963677175[[#This Row],[video_views]]*RANDBETWEEN(8,12)/10,0)</f>
        <v>4511</v>
      </c>
    </row>
    <row r="67" spans="1:54" ht="15.75" thickBot="1" x14ac:dyDescent="0.3">
      <c r="A67" s="3">
        <f t="shared" ca="1" si="9"/>
        <v>45087</v>
      </c>
      <c r="B67" s="4" t="s">
        <v>64</v>
      </c>
      <c r="C67" s="4" t="s">
        <v>65</v>
      </c>
      <c r="D67" s="4" t="s">
        <v>66</v>
      </c>
      <c r="E67" s="4" t="s">
        <v>67</v>
      </c>
      <c r="F67" s="4">
        <f ca="1">ROUND(T_Facebook_Ads[[#This Row],[impressions]]*RANDBETWEEN(8,12)/10,0)</f>
        <v>56098</v>
      </c>
      <c r="G67" s="4">
        <v>253</v>
      </c>
      <c r="H67" s="4">
        <f ca="1">T_Facebook_Ads[[#This Row],[spend]]*RANDBETWEEN(8,12)/10</f>
        <v>107.28000000000002</v>
      </c>
      <c r="I67" s="4">
        <f ca="1">ROUND(T_Facebook_Ads[[#This Row],[conversions]]*RANDBETWEEN(8,12)/10,0)</f>
        <v>7</v>
      </c>
      <c r="J67" s="4">
        <f ca="1">ROUND(T_Facebook_Ads[[#This Row],[video_views]]*RANDBETWEEN(8,12)/10,0)</f>
        <v>51957</v>
      </c>
      <c r="K67" s="4">
        <f ca="1">T_Facebook_Ads[[#This Row],[engagement_rate]]*RANDBETWEEN(8,12)/10</f>
        <v>3.96E-3</v>
      </c>
      <c r="L67" s="4">
        <f ca="1">ROUND(T_Facebook_Ads[[#This Row],[reach]]*RANDBETWEEN(8,12)/10,0)</f>
        <v>52101</v>
      </c>
      <c r="M67" s="4">
        <f ca="1">T_Facebook_Ads[[#This Row],[frequency]]*RANDBETWEEN(8,12)/10</f>
        <v>0.96799999999999997</v>
      </c>
      <c r="O67" s="3">
        <f t="shared" ca="1" si="10"/>
        <v>45100</v>
      </c>
      <c r="P67" s="4" t="s">
        <v>88</v>
      </c>
      <c r="Q67" s="4" t="s">
        <v>89</v>
      </c>
      <c r="R67" s="4" t="s">
        <v>90</v>
      </c>
      <c r="S67" s="4" t="s">
        <v>59</v>
      </c>
      <c r="T67" s="4">
        <f ca="1">ROUND(_Google_ads[[#This Row],[impressions]]*RANDBETWEEN(8,12)/10,0)</f>
        <v>131567</v>
      </c>
      <c r="U67" s="4">
        <f ca="1">ROUND(_Google_ads[[#This Row],[clicks]]*RANDBETWEEN(8,12)/10,0)</f>
        <v>382</v>
      </c>
      <c r="V67" s="4">
        <f ca="1">_Google_ads[[#This Row],[cost]]*RANDBETWEEN(8,12)/10</f>
        <v>129.4</v>
      </c>
      <c r="W67" s="4">
        <f ca="1">ROUND(_Google_ads[[#This Row],[conversions]]*RANDBETWEEN(8,12)/10,0)</f>
        <v>14</v>
      </c>
      <c r="X67" s="4">
        <f ca="1">ROUND(_Google_ads[[#This Row],[conversion_value]]*RANDBETWEEN(8,12)/10,0)</f>
        <v>780</v>
      </c>
      <c r="Y67" s="4">
        <f ca="1">_Google_ads[[#This Row],[ctr]]*RANDBETWEEN(8,12)/10</f>
        <v>3.96E-3</v>
      </c>
      <c r="Z67" s="4">
        <f ca="1">_Google_ads[[#This Row],[avg_cpc]]*RANDBETWEEN(8,12)/10</f>
        <v>0.24300000000000002</v>
      </c>
      <c r="AA67" s="4">
        <f ca="1">ROUND(_Google_ads[[#This Row],[quality_score]]*RANDBETWEEN(8,12)/10,0)</f>
        <v>7</v>
      </c>
      <c r="AB67" s="4">
        <f ca="1">_Google_ads[[#This Row],[search_impression_share]]*RANDBETWEEN(8,12)/10</f>
        <v>0.374</v>
      </c>
      <c r="AD67" s="3">
        <f t="shared" ca="1" si="11"/>
        <v>45098</v>
      </c>
      <c r="AE67" s="4" t="s">
        <v>112</v>
      </c>
      <c r="AF67" s="4" t="s">
        <v>113</v>
      </c>
      <c r="AG67" s="4" t="s">
        <v>114</v>
      </c>
      <c r="AH67" s="4" t="s">
        <v>115</v>
      </c>
      <c r="AI67" s="4">
        <f ca="1">ROUND(T_Tiktok_ads[[#This Row],[impressions]]*RANDBETWEEN(8,12)/10,0)</f>
        <v>381110</v>
      </c>
      <c r="AJ67" s="4">
        <f ca="1">ROUND(T_Tiktok_ads[[#This Row],[clicks]]*RANDBETWEEN(8,12)/10,0)</f>
        <v>5431</v>
      </c>
      <c r="AK67" s="4">
        <v>1034.5</v>
      </c>
      <c r="AL67" s="4">
        <f ca="1">ROUND(T_Tiktok_ads[[#This Row],[conversions]]*RANDBETWEEN(8,12)/10,0)</f>
        <v>114</v>
      </c>
      <c r="AM67" s="4">
        <f ca="1">ROUND(T_Tiktok_ads[[#This Row],[video_views]]*RANDBETWEEN(8,12)/10,0)</f>
        <v>356789</v>
      </c>
      <c r="AN67" s="4">
        <f ca="1">ROUND(T_Tiktok_ads[[#This Row],[video_watch_25]]*RANDBETWEEN(8,12)/10,0)</f>
        <v>229787</v>
      </c>
      <c r="AO67" s="4">
        <f ca="1">ROUND(T_Tiktok_ads[[#This Row],[video_watch_50]]*RANDBETWEEN(8,12)/10,0)</f>
        <v>252157</v>
      </c>
      <c r="AP67" s="4">
        <f ca="1">ROUND(T_Tiktok_ads[[#This Row],[video_watch_75]]*RANDBETWEEN(8,12)/10,0)</f>
        <v>194814</v>
      </c>
      <c r="AQ67" s="4">
        <f ca="1">ROUND(T_Tiktok_ads[[#This Row],[video_watch_100]]*RANDBETWEEN(8,12)/10,0)</f>
        <v>118679</v>
      </c>
      <c r="AR67" s="4">
        <f ca="1">ROUND(T_Tiktok_ads[[#This Row],[likes]]*RANDBETWEEN(8,12)/10,0)</f>
        <v>22507</v>
      </c>
      <c r="AS67" s="4">
        <f ca="1">ROUND(T_Tiktok_ads[[#This Row],[shares]]*RANDBETWEEN(8,12)/10,0)</f>
        <v>5880</v>
      </c>
      <c r="AT67" s="4">
        <f ca="1">ROUND(T_Tiktok_ads[[#This Row],[comments]]*RANDBETWEEN(8,12)/10,0)</f>
        <v>1747</v>
      </c>
      <c r="AV67" s="5">
        <f t="shared" ca="1" si="12"/>
        <v>45086</v>
      </c>
      <c r="AW67">
        <f t="shared" ref="AW67:AW111" ca="1" si="13">RANDBETWEEN(1,8)</f>
        <v>5</v>
      </c>
      <c r="AX67">
        <f ca="1">ROUND(T_Facebook_Ads115963677175[[#This Row],[impressions]]*RANDBETWEEN(8,12)/10,0)</f>
        <v>67318</v>
      </c>
      <c r="AY67">
        <f ca="1">ROUND(T_Facebook_Ads115963677175[[#This Row],[clicks]]*RANDBETWEEN(8,12)/10,0)</f>
        <v>278</v>
      </c>
      <c r="AZ67">
        <f ca="1">T_Facebook_Ads115963677175[[#This Row],[spend]]*RANDBETWEEN(8,12)/10</f>
        <v>128.73600000000002</v>
      </c>
      <c r="BA67">
        <f ca="1">ROUND(T_Facebook_Ads115963677175[[#This Row],[conversions]]*RANDBETWEEN(8,12)/10,0)</f>
        <v>6</v>
      </c>
      <c r="BB67">
        <f ca="1">ROUND(T_Facebook_Ads115963677175[[#This Row],[video_views]]*RANDBETWEEN(8,12)/10,0)</f>
        <v>41566</v>
      </c>
    </row>
    <row r="68" spans="1:54" ht="15.75" thickBot="1" x14ac:dyDescent="0.3">
      <c r="A68" s="3">
        <f t="shared" ca="1" si="9"/>
        <v>45086</v>
      </c>
      <c r="B68" s="4" t="s">
        <v>52</v>
      </c>
      <c r="C68" s="4" t="s">
        <v>53</v>
      </c>
      <c r="D68" s="4" t="s">
        <v>54</v>
      </c>
      <c r="E68" s="4" t="s">
        <v>55</v>
      </c>
      <c r="F68" s="4">
        <f ca="1">ROUND(T_Facebook_Ads[[#This Row],[impressions]]*RANDBETWEEN(8,12)/10,0)</f>
        <v>43234</v>
      </c>
      <c r="G68" s="4">
        <v>878</v>
      </c>
      <c r="H68" s="4">
        <f ca="1">T_Facebook_Ads[[#This Row],[spend]]*RANDBETWEEN(8,12)/10</f>
        <v>113.13</v>
      </c>
      <c r="I68" s="4">
        <f ca="1">ROUND(T_Facebook_Ads[[#This Row],[conversions]]*RANDBETWEEN(8,12)/10,0)</f>
        <v>10</v>
      </c>
      <c r="J68" s="4">
        <f ca="1">ROUND(T_Facebook_Ads[[#This Row],[video_views]]*RANDBETWEEN(8,12)/10,0)</f>
        <v>7101</v>
      </c>
      <c r="K68" s="4">
        <f ca="1">T_Facebook_Ads[[#This Row],[engagement_rate]]*RANDBETWEEN(8,12)/10</f>
        <v>2.436E-2</v>
      </c>
      <c r="L68" s="4">
        <f ca="1">ROUND(T_Facebook_Ads[[#This Row],[reach]]*RANDBETWEEN(8,12)/10,0)</f>
        <v>36567</v>
      </c>
      <c r="M68" s="4">
        <f ca="1">T_Facebook_Ads[[#This Row],[frequency]]*RANDBETWEEN(8,12)/10</f>
        <v>1.4159999999999999</v>
      </c>
      <c r="O68" s="3">
        <f t="shared" ca="1" si="10"/>
        <v>45080</v>
      </c>
      <c r="P68" s="4" t="s">
        <v>76</v>
      </c>
      <c r="Q68" s="4" t="s">
        <v>77</v>
      </c>
      <c r="R68" s="4" t="s">
        <v>78</v>
      </c>
      <c r="S68" s="4" t="s">
        <v>79</v>
      </c>
      <c r="T68" s="4">
        <f ca="1">ROUND(_Google_ads[[#This Row],[impressions]]*RANDBETWEEN(8,12)/10,0)</f>
        <v>17876</v>
      </c>
      <c r="U68" s="4">
        <f ca="1">ROUND(_Google_ads[[#This Row],[clicks]]*RANDBETWEEN(8,12)/10,0)</f>
        <v>898</v>
      </c>
      <c r="V68" s="4">
        <f ca="1">_Google_ads[[#This Row],[cost]]*RANDBETWEEN(8,12)/10</f>
        <v>235.95</v>
      </c>
      <c r="W68" s="4">
        <f ca="1">ROUND(_Google_ads[[#This Row],[conversions]]*RANDBETWEEN(8,12)/10,0)</f>
        <v>50</v>
      </c>
      <c r="X68" s="4">
        <f ca="1">ROUND(_Google_ads[[#This Row],[conversion_value]]*RANDBETWEEN(8,12)/10,0)</f>
        <v>2520</v>
      </c>
      <c r="Y68" s="4">
        <f ca="1">_Google_ads[[#This Row],[ctr]]*RANDBETWEEN(8,12)/10</f>
        <v>4.5269999999999998E-2</v>
      </c>
      <c r="Z68" s="4">
        <f ca="1">_Google_ads[[#This Row],[avg_cpc]]*RANDBETWEEN(8,12)/10</f>
        <v>0.152</v>
      </c>
      <c r="AA68" s="4">
        <f ca="1">ROUND(_Google_ads[[#This Row],[quality_score]]*RANDBETWEEN(8,12)/10,0)</f>
        <v>8</v>
      </c>
      <c r="AB68" s="4">
        <f ca="1">_Google_ads[[#This Row],[search_impression_share]]*RANDBETWEEN(8,12)/10</f>
        <v>1.0680000000000001</v>
      </c>
      <c r="AD68" s="3">
        <f t="shared" ca="1" si="11"/>
        <v>45085</v>
      </c>
      <c r="AE68" s="4" t="s">
        <v>100</v>
      </c>
      <c r="AF68" s="4" t="s">
        <v>101</v>
      </c>
      <c r="AG68" s="4" t="s">
        <v>102</v>
      </c>
      <c r="AH68" s="4" t="s">
        <v>103</v>
      </c>
      <c r="AI68" s="4">
        <f ca="1">ROUND(T_Tiktok_ads[[#This Row],[impressions]]*RANDBETWEEN(8,12)/10,0)</f>
        <v>230611</v>
      </c>
      <c r="AJ68" s="4">
        <f ca="1">ROUND(T_Tiktok_ads[[#This Row],[clicks]]*RANDBETWEEN(8,12)/10,0)</f>
        <v>3331</v>
      </c>
      <c r="AK68" s="4">
        <v>490.5</v>
      </c>
      <c r="AL68" s="4">
        <f ca="1">ROUND(T_Tiktok_ads[[#This Row],[conversions]]*RANDBETWEEN(8,12)/10,0)</f>
        <v>38</v>
      </c>
      <c r="AM68" s="4">
        <f ca="1">ROUND(T_Tiktok_ads[[#This Row],[video_views]]*RANDBETWEEN(8,12)/10,0)</f>
        <v>251081</v>
      </c>
      <c r="AN68" s="4">
        <f ca="1">ROUND(T_Tiktok_ads[[#This Row],[video_watch_25]]*RANDBETWEEN(8,12)/10,0)</f>
        <v>163567</v>
      </c>
      <c r="AO68" s="4">
        <f ca="1">ROUND(T_Tiktok_ads[[#This Row],[video_watch_50]]*RANDBETWEEN(8,12)/10,0)</f>
        <v>82054</v>
      </c>
      <c r="AP68" s="4">
        <f ca="1">ROUND(T_Tiktok_ads[[#This Row],[video_watch_75]]*RANDBETWEEN(8,12)/10,0)</f>
        <v>55654</v>
      </c>
      <c r="AQ68" s="4">
        <f ca="1">ROUND(T_Tiktok_ads[[#This Row],[video_watch_100]]*RANDBETWEEN(8,12)/10,0)</f>
        <v>46567</v>
      </c>
      <c r="AR68" s="4">
        <f ca="1">ROUND(T_Tiktok_ads[[#This Row],[likes]]*RANDBETWEEN(8,12)/10,0)</f>
        <v>8211</v>
      </c>
      <c r="AS68" s="4">
        <f ca="1">ROUND(T_Tiktok_ads[[#This Row],[shares]]*RANDBETWEEN(8,12)/10,0)</f>
        <v>2665</v>
      </c>
      <c r="AT68" s="4">
        <f ca="1">ROUND(T_Tiktok_ads[[#This Row],[comments]]*RANDBETWEEN(8,12)/10,0)</f>
        <v>481</v>
      </c>
      <c r="AV68" s="5">
        <f t="shared" ca="1" si="12"/>
        <v>45079</v>
      </c>
      <c r="AW68">
        <f t="shared" ca="1" si="13"/>
        <v>2</v>
      </c>
      <c r="AX68">
        <f ca="1">ROUND(T_Facebook_Ads115963677175[[#This Row],[impressions]]*RANDBETWEEN(8,12)/10,0)</f>
        <v>34587</v>
      </c>
      <c r="AY68">
        <f ca="1">ROUND(T_Facebook_Ads115963677175[[#This Row],[clicks]]*RANDBETWEEN(8,12)/10,0)</f>
        <v>878</v>
      </c>
      <c r="AZ68">
        <f ca="1">T_Facebook_Ads115963677175[[#This Row],[spend]]*RANDBETWEEN(8,12)/10</f>
        <v>135.756</v>
      </c>
      <c r="BA68">
        <f ca="1">ROUND(T_Facebook_Ads115963677175[[#This Row],[conversions]]*RANDBETWEEN(8,12)/10,0)</f>
        <v>12</v>
      </c>
      <c r="BB68">
        <f ca="1">ROUND(T_Facebook_Ads115963677175[[#This Row],[video_views]]*RANDBETWEEN(8,12)/10,0)</f>
        <v>6391</v>
      </c>
    </row>
    <row r="69" spans="1:54" ht="15.75" thickBot="1" x14ac:dyDescent="0.3">
      <c r="A69" s="3">
        <f t="shared" ca="1" si="9"/>
        <v>45087</v>
      </c>
      <c r="B69" s="4" t="s">
        <v>56</v>
      </c>
      <c r="C69" s="4" t="s">
        <v>57</v>
      </c>
      <c r="D69" s="4" t="s">
        <v>58</v>
      </c>
      <c r="E69" s="4" t="s">
        <v>59</v>
      </c>
      <c r="F69" s="4">
        <f ca="1">ROUND(T_Facebook_Ads[[#This Row],[impressions]]*RANDBETWEEN(8,12)/10,0)</f>
        <v>13079</v>
      </c>
      <c r="G69" s="4">
        <v>545</v>
      </c>
      <c r="H69" s="4">
        <f ca="1">T_Facebook_Ads[[#This Row],[spend]]*RANDBETWEEN(8,12)/10</f>
        <v>242.76000000000005</v>
      </c>
      <c r="I69" s="4">
        <f ca="1">ROUND(T_Facebook_Ads[[#This Row],[conversions]]*RANDBETWEEN(8,12)/10,0)</f>
        <v>27</v>
      </c>
      <c r="J69" s="4">
        <f ca="1">ROUND(T_Facebook_Ads[[#This Row],[video_views]]*RANDBETWEEN(8,12)/10,0)</f>
        <v>1387</v>
      </c>
      <c r="K69" s="4">
        <f ca="1">T_Facebook_Ads[[#This Row],[engagement_rate]]*RANDBETWEEN(8,12)/10</f>
        <v>3.6639999999999999E-2</v>
      </c>
      <c r="L69" s="4">
        <f ca="1">ROUND(T_Facebook_Ads[[#This Row],[reach]]*RANDBETWEEN(8,12)/10,0)</f>
        <v>8610</v>
      </c>
      <c r="M69" s="4">
        <f ca="1">T_Facebook_Ads[[#This Row],[frequency]]*RANDBETWEEN(8,12)/10</f>
        <v>1.1519999999999999</v>
      </c>
      <c r="O69" s="3">
        <f t="shared" ca="1" si="10"/>
        <v>45103</v>
      </c>
      <c r="P69" s="4" t="s">
        <v>80</v>
      </c>
      <c r="Q69" s="4" t="s">
        <v>81</v>
      </c>
      <c r="R69" s="4" t="s">
        <v>82</v>
      </c>
      <c r="S69" s="4" t="s">
        <v>83</v>
      </c>
      <c r="T69" s="4">
        <f ca="1">ROUND(_Google_ads[[#This Row],[impressions]]*RANDBETWEEN(8,12)/10,0)</f>
        <v>48680</v>
      </c>
      <c r="U69" s="4">
        <f ca="1">ROUND(_Google_ads[[#This Row],[clicks]]*RANDBETWEEN(8,12)/10,0)</f>
        <v>731</v>
      </c>
      <c r="V69" s="4">
        <f ca="1">_Google_ads[[#This Row],[cost]]*RANDBETWEEN(8,12)/10</f>
        <v>624.4799999999999</v>
      </c>
      <c r="W69" s="4">
        <f ca="1">ROUND(_Google_ads[[#This Row],[conversions]]*RANDBETWEEN(8,12)/10,0)</f>
        <v>16</v>
      </c>
      <c r="X69" s="4">
        <f ca="1">ROUND(_Google_ads[[#This Row],[conversion_value]]*RANDBETWEEN(8,12)/10,0)</f>
        <v>1200</v>
      </c>
      <c r="Y69" s="4">
        <f ca="1">_Google_ads[[#This Row],[ctr]]*RANDBETWEEN(8,12)/10</f>
        <v>1.7999999999999999E-2</v>
      </c>
      <c r="Z69" s="4">
        <f ca="1">_Google_ads[[#This Row],[avg_cpc]]*RANDBETWEEN(8,12)/10</f>
        <v>0.51200000000000001</v>
      </c>
      <c r="AA69" s="4">
        <f ca="1">ROUND(_Google_ads[[#This Row],[quality_score]]*RANDBETWEEN(8,12)/10,0)</f>
        <v>6</v>
      </c>
      <c r="AB69" s="4">
        <f ca="1">_Google_ads[[#This Row],[search_impression_share]]*RANDBETWEEN(8,12)/10</f>
        <v>0.46200000000000002</v>
      </c>
      <c r="AD69" s="3">
        <f t="shared" ca="1" si="11"/>
        <v>45091</v>
      </c>
      <c r="AE69" s="4" t="s">
        <v>104</v>
      </c>
      <c r="AF69" s="4" t="s">
        <v>105</v>
      </c>
      <c r="AG69" s="4" t="s">
        <v>106</v>
      </c>
      <c r="AH69" s="4" t="s">
        <v>107</v>
      </c>
      <c r="AI69" s="4">
        <f ca="1">ROUND(T_Tiktok_ads[[#This Row],[impressions]]*RANDBETWEEN(8,12)/10,0)</f>
        <v>156580</v>
      </c>
      <c r="AJ69" s="4">
        <f ca="1">ROUND(T_Tiktok_ads[[#This Row],[clicks]]*RANDBETWEEN(8,12)/10,0)</f>
        <v>3214</v>
      </c>
      <c r="AK69" s="4">
        <v>734.5</v>
      </c>
      <c r="AL69" s="4">
        <f ca="1">ROUND(T_Tiktok_ads[[#This Row],[conversions]]*RANDBETWEEN(8,12)/10,0)</f>
        <v>66</v>
      </c>
      <c r="AM69" s="4">
        <f ca="1">ROUND(T_Tiktok_ads[[#This Row],[video_views]]*RANDBETWEEN(8,12)/10,0)</f>
        <v>88101</v>
      </c>
      <c r="AN69" s="4">
        <f ca="1">ROUND(T_Tiktok_ads[[#This Row],[video_watch_25]]*RANDBETWEEN(8,12)/10,0)</f>
        <v>72345</v>
      </c>
      <c r="AO69" s="4">
        <f ca="1">ROUND(T_Tiktok_ads[[#This Row],[video_watch_50]]*RANDBETWEEN(8,12)/10,0)</f>
        <v>44011</v>
      </c>
      <c r="AP69" s="4">
        <f ca="1">ROUND(T_Tiktok_ads[[#This Row],[video_watch_75]]*RANDBETWEEN(8,12)/10,0)</f>
        <v>33110</v>
      </c>
      <c r="AQ69" s="4">
        <f ca="1">ROUND(T_Tiktok_ads[[#This Row],[video_watch_100]]*RANDBETWEEN(8,12)/10,0)</f>
        <v>27379</v>
      </c>
      <c r="AR69" s="4">
        <f ca="1">ROUND(T_Tiktok_ads[[#This Row],[likes]]*RANDBETWEEN(8,12)/10,0)</f>
        <v>4411</v>
      </c>
      <c r="AS69" s="4">
        <f ca="1">ROUND(T_Tiktok_ads[[#This Row],[shares]]*RANDBETWEEN(8,12)/10,0)</f>
        <v>1492</v>
      </c>
      <c r="AT69" s="4">
        <f ca="1">ROUND(T_Tiktok_ads[[#This Row],[comments]]*RANDBETWEEN(8,12)/10,0)</f>
        <v>205</v>
      </c>
      <c r="AV69" s="5">
        <f t="shared" ca="1" si="12"/>
        <v>45106</v>
      </c>
      <c r="AW69">
        <f t="shared" ca="1" si="13"/>
        <v>8</v>
      </c>
      <c r="AX69">
        <f ca="1">ROUND(T_Facebook_Ads115963677175[[#This Row],[impressions]]*RANDBETWEEN(8,12)/10,0)</f>
        <v>14387</v>
      </c>
      <c r="AY69">
        <f ca="1">ROUND(T_Facebook_Ads115963677175[[#This Row],[clicks]]*RANDBETWEEN(8,12)/10,0)</f>
        <v>436</v>
      </c>
      <c r="AZ69">
        <f ca="1">T_Facebook_Ads115963677175[[#This Row],[spend]]*RANDBETWEEN(8,12)/10</f>
        <v>194.20800000000003</v>
      </c>
      <c r="BA69">
        <f ca="1">ROUND(T_Facebook_Ads115963677175[[#This Row],[conversions]]*RANDBETWEEN(8,12)/10,0)</f>
        <v>22</v>
      </c>
      <c r="BB69">
        <f ca="1">ROUND(T_Facebook_Ads115963677175[[#This Row],[video_views]]*RANDBETWEEN(8,12)/10,0)</f>
        <v>1110</v>
      </c>
    </row>
    <row r="70" spans="1:54" ht="15.75" thickBot="1" x14ac:dyDescent="0.3">
      <c r="A70" s="3">
        <f t="shared" ca="1" si="9"/>
        <v>45104</v>
      </c>
      <c r="B70" s="4" t="s">
        <v>60</v>
      </c>
      <c r="C70" s="4" t="s">
        <v>61</v>
      </c>
      <c r="D70" s="4" t="s">
        <v>62</v>
      </c>
      <c r="E70" s="4" t="s">
        <v>63</v>
      </c>
      <c r="F70" s="4">
        <f ca="1">ROUND(T_Facebook_Ads[[#This Row],[impressions]]*RANDBETWEEN(8,12)/10,0)</f>
        <v>27654</v>
      </c>
      <c r="G70" s="4">
        <v>1234</v>
      </c>
      <c r="H70" s="4">
        <f ca="1">T_Facebook_Ads[[#This Row],[spend]]*RANDBETWEEN(8,12)/10</f>
        <v>170.64</v>
      </c>
      <c r="I70" s="4">
        <f ca="1">ROUND(T_Facebook_Ads[[#This Row],[conversions]]*RANDBETWEEN(8,12)/10,0)</f>
        <v>24</v>
      </c>
      <c r="J70" s="4">
        <f ca="1">ROUND(T_Facebook_Ads[[#This Row],[video_views]]*RANDBETWEEN(8,12)/10,0)</f>
        <v>5024</v>
      </c>
      <c r="K70" s="4">
        <f ca="1">T_Facebook_Ads[[#This Row],[engagement_rate]]*RANDBETWEEN(8,12)/10</f>
        <v>2.8560000000000002E-2</v>
      </c>
      <c r="L70" s="4">
        <f ca="1">ROUND(T_Facebook_Ads[[#This Row],[reach]]*RANDBETWEEN(8,12)/10,0)</f>
        <v>28934</v>
      </c>
      <c r="M70" s="4">
        <f ca="1">T_Facebook_Ads[[#This Row],[frequency]]*RANDBETWEEN(8,12)/10</f>
        <v>1.3089999999999999</v>
      </c>
      <c r="O70" s="3">
        <f t="shared" ca="1" si="10"/>
        <v>45093</v>
      </c>
      <c r="P70" s="4" t="s">
        <v>84</v>
      </c>
      <c r="Q70" s="4" t="s">
        <v>85</v>
      </c>
      <c r="R70" s="4" t="s">
        <v>86</v>
      </c>
      <c r="S70" s="4" t="s">
        <v>87</v>
      </c>
      <c r="T70" s="4">
        <f ca="1">ROUND(_Google_ads[[#This Row],[impressions]]*RANDBETWEEN(8,12)/10,0)</f>
        <v>77868</v>
      </c>
      <c r="U70" s="4">
        <f ca="1">ROUND(_Google_ads[[#This Row],[clicks]]*RANDBETWEEN(8,12)/10,0)</f>
        <v>1654</v>
      </c>
      <c r="V70" s="4">
        <f ca="1">_Google_ads[[#This Row],[cost]]*RANDBETWEEN(8,12)/10</f>
        <v>339.12</v>
      </c>
      <c r="W70" s="4">
        <f ca="1">ROUND(_Google_ads[[#This Row],[conversions]]*RANDBETWEEN(8,12)/10,0)</f>
        <v>59</v>
      </c>
      <c r="X70" s="4">
        <f ca="1">ROUND(_Google_ads[[#This Row],[conversion_value]]*RANDBETWEEN(8,12)/10,0)</f>
        <v>2655</v>
      </c>
      <c r="Y70" s="4">
        <f ca="1">_Google_ads[[#This Row],[ctr]]*RANDBETWEEN(8,12)/10</f>
        <v>3.1899999999999998E-2</v>
      </c>
      <c r="Z70" s="4">
        <f ca="1">_Google_ads[[#This Row],[avg_cpc]]*RANDBETWEEN(8,12)/10</f>
        <v>0.21600000000000003</v>
      </c>
      <c r="AA70" s="4">
        <f ca="1">ROUND(_Google_ads[[#This Row],[quality_score]]*RANDBETWEEN(8,12)/10,0)</f>
        <v>10</v>
      </c>
      <c r="AB70" s="4">
        <f ca="1">_Google_ads[[#This Row],[search_impression_share]]*RANDBETWEEN(8,12)/10</f>
        <v>0.78</v>
      </c>
      <c r="AD70" s="3">
        <f t="shared" ca="1" si="11"/>
        <v>45098</v>
      </c>
      <c r="AE70" s="4" t="s">
        <v>108</v>
      </c>
      <c r="AF70" s="4" t="s">
        <v>109</v>
      </c>
      <c r="AG70" s="4" t="s">
        <v>110</v>
      </c>
      <c r="AH70" s="4" t="s">
        <v>111</v>
      </c>
      <c r="AI70" s="4">
        <f ca="1">ROUND(T_Tiktok_ads[[#This Row],[impressions]]*RANDBETWEEN(8,12)/10,0)</f>
        <v>240791</v>
      </c>
      <c r="AJ70" s="4">
        <f ca="1">ROUND(T_Tiktok_ads[[#This Row],[clicks]]*RANDBETWEEN(8,12)/10,0)</f>
        <v>3110</v>
      </c>
      <c r="AK70" s="4">
        <v>414.4</v>
      </c>
      <c r="AL70" s="4">
        <f ca="1">ROUND(T_Tiktok_ads[[#This Row],[conversions]]*RANDBETWEEN(8,12)/10,0)</f>
        <v>35</v>
      </c>
      <c r="AM70" s="4">
        <f ca="1">ROUND(T_Tiktok_ads[[#This Row],[video_views]]*RANDBETWEEN(8,12)/10,0)</f>
        <v>190802</v>
      </c>
      <c r="AN70" s="4">
        <f ca="1">ROUND(T_Tiktok_ads[[#This Row],[video_watch_25]]*RANDBETWEEN(8,12)/10,0)</f>
        <v>144724</v>
      </c>
      <c r="AO70" s="4">
        <f ca="1">ROUND(T_Tiktok_ads[[#This Row],[video_watch_50]]*RANDBETWEEN(8,12)/10,0)</f>
        <v>113924</v>
      </c>
      <c r="AP70" s="4">
        <f ca="1">ROUND(T_Tiktok_ads[[#This Row],[video_watch_75]]*RANDBETWEEN(8,12)/10,0)</f>
        <v>67234</v>
      </c>
      <c r="AQ70" s="4">
        <f ca="1">ROUND(T_Tiktok_ads[[#This Row],[video_watch_100]]*RANDBETWEEN(8,12)/10,0)</f>
        <v>48680</v>
      </c>
      <c r="AR70" s="4">
        <f ca="1">ROUND(T_Tiktok_ads[[#This Row],[likes]]*RANDBETWEEN(8,12)/10,0)</f>
        <v>8813</v>
      </c>
      <c r="AS70" s="4">
        <f ca="1">ROUND(T_Tiktok_ads[[#This Row],[shares]]*RANDBETWEEN(8,12)/10,0)</f>
        <v>2421</v>
      </c>
      <c r="AT70" s="4">
        <f ca="1">ROUND(T_Tiktok_ads[[#This Row],[comments]]*RANDBETWEEN(8,12)/10,0)</f>
        <v>628</v>
      </c>
      <c r="AV70" s="5">
        <f t="shared" ca="1" si="12"/>
        <v>45105</v>
      </c>
      <c r="AW70">
        <f t="shared" ca="1" si="13"/>
        <v>6</v>
      </c>
      <c r="AX70">
        <f ca="1">ROUND(T_Facebook_Ads115963677175[[#This Row],[impressions]]*RANDBETWEEN(8,12)/10,0)</f>
        <v>27654</v>
      </c>
      <c r="AY70">
        <f ca="1">ROUND(T_Facebook_Ads115963677175[[#This Row],[clicks]]*RANDBETWEEN(8,12)/10,0)</f>
        <v>1111</v>
      </c>
      <c r="AZ70">
        <f ca="1">T_Facebook_Ads115963677175[[#This Row],[spend]]*RANDBETWEEN(8,12)/10</f>
        <v>204.76799999999997</v>
      </c>
      <c r="BA70">
        <f ca="1">ROUND(T_Facebook_Ads115963677175[[#This Row],[conversions]]*RANDBETWEEN(8,12)/10,0)</f>
        <v>22</v>
      </c>
      <c r="BB70">
        <f ca="1">ROUND(T_Facebook_Ads115963677175[[#This Row],[video_views]]*RANDBETWEEN(8,12)/10,0)</f>
        <v>4522</v>
      </c>
    </row>
    <row r="71" spans="1:54" ht="15.75" thickBot="1" x14ac:dyDescent="0.3">
      <c r="A71" s="3">
        <f t="shared" ca="1" si="9"/>
        <v>45092</v>
      </c>
      <c r="B71" s="4" t="s">
        <v>64</v>
      </c>
      <c r="C71" s="4" t="s">
        <v>65</v>
      </c>
      <c r="D71" s="4" t="s">
        <v>66</v>
      </c>
      <c r="E71" s="4" t="s">
        <v>67</v>
      </c>
      <c r="F71" s="4">
        <f ca="1">ROUND(T_Facebook_Ads[[#This Row],[impressions]]*RANDBETWEEN(8,12)/10,0)</f>
        <v>65234</v>
      </c>
      <c r="G71" s="4">
        <v>234</v>
      </c>
      <c r="H71" s="4">
        <f ca="1">T_Facebook_Ads[[#This Row],[spend]]*RANDBETWEEN(8,12)/10</f>
        <v>81.2</v>
      </c>
      <c r="I71" s="4">
        <f ca="1">ROUND(T_Facebook_Ads[[#This Row],[conversions]]*RANDBETWEEN(8,12)/10,0)</f>
        <v>4</v>
      </c>
      <c r="J71" s="4">
        <f ca="1">ROUND(T_Facebook_Ads[[#This Row],[video_views]]*RANDBETWEEN(8,12)/10,0)</f>
        <v>39210</v>
      </c>
      <c r="K71" s="4">
        <f ca="1">T_Facebook_Ads[[#This Row],[engagement_rate]]*RANDBETWEEN(8,12)/10</f>
        <v>3.96E-3</v>
      </c>
      <c r="L71" s="4">
        <f ca="1">ROUND(T_Facebook_Ads[[#This Row],[reach]]*RANDBETWEEN(8,12)/10,0)</f>
        <v>64147</v>
      </c>
      <c r="M71" s="4">
        <f ca="1">T_Facebook_Ads[[#This Row],[frequency]]*RANDBETWEEN(8,12)/10</f>
        <v>1.3089999999999999</v>
      </c>
      <c r="O71" s="3">
        <f t="shared" ca="1" si="10"/>
        <v>45105</v>
      </c>
      <c r="P71" s="4" t="s">
        <v>88</v>
      </c>
      <c r="Q71" s="4" t="s">
        <v>89</v>
      </c>
      <c r="R71" s="4" t="s">
        <v>90</v>
      </c>
      <c r="S71" s="4" t="s">
        <v>59</v>
      </c>
      <c r="T71" s="4">
        <f ca="1">ROUND(_Google_ads[[#This Row],[impressions]]*RANDBETWEEN(8,12)/10,0)</f>
        <v>99654</v>
      </c>
      <c r="U71" s="4">
        <f ca="1">ROUND(_Google_ads[[#This Row],[clicks]]*RANDBETWEEN(8,12)/10,0)</f>
        <v>534</v>
      </c>
      <c r="V71" s="4">
        <f ca="1">_Google_ads[[#This Row],[cost]]*RANDBETWEEN(8,12)/10</f>
        <v>134.53</v>
      </c>
      <c r="W71" s="4">
        <f ca="1">ROUND(_Google_ads[[#This Row],[conversions]]*RANDBETWEEN(8,12)/10,0)</f>
        <v>13</v>
      </c>
      <c r="X71" s="4">
        <f ca="1">ROUND(_Google_ads[[#This Row],[conversion_value]]*RANDBETWEEN(8,12)/10,0)</f>
        <v>600</v>
      </c>
      <c r="Y71" s="4">
        <f ca="1">_Google_ads[[#This Row],[ctr]]*RANDBETWEEN(8,12)/10</f>
        <v>3.2399999999999998E-3</v>
      </c>
      <c r="Z71" s="4">
        <f ca="1">_Google_ads[[#This Row],[avg_cpc]]*RANDBETWEEN(8,12)/10</f>
        <v>0.24300000000000002</v>
      </c>
      <c r="AA71" s="4">
        <f ca="1">ROUND(_Google_ads[[#This Row],[quality_score]]*RANDBETWEEN(8,12)/10,0)</f>
        <v>8</v>
      </c>
      <c r="AB71" s="4">
        <f ca="1">_Google_ads[[#This Row],[search_impression_share]]*RANDBETWEEN(8,12)/10</f>
        <v>0.39600000000000002</v>
      </c>
      <c r="AD71" s="3">
        <f t="shared" ca="1" si="11"/>
        <v>45101</v>
      </c>
      <c r="AE71" s="4" t="s">
        <v>112</v>
      </c>
      <c r="AF71" s="4" t="s">
        <v>113</v>
      </c>
      <c r="AG71" s="4" t="s">
        <v>114</v>
      </c>
      <c r="AH71" s="4" t="s">
        <v>115</v>
      </c>
      <c r="AI71" s="4">
        <f ca="1">ROUND(T_Tiktok_ads[[#This Row],[impressions]]*RANDBETWEEN(8,12)/10,0)</f>
        <v>466814</v>
      </c>
      <c r="AJ71" s="4">
        <f ca="1">ROUND(T_Tiktok_ads[[#This Row],[clicks]]*RANDBETWEEN(8,12)/10,0)</f>
        <v>7481</v>
      </c>
      <c r="AK71" s="4">
        <v>967.8</v>
      </c>
      <c r="AL71" s="4">
        <f ca="1">ROUND(T_Tiktok_ads[[#This Row],[conversions]]*RANDBETWEEN(8,12)/10,0)</f>
        <v>98</v>
      </c>
      <c r="AM71" s="4">
        <f ca="1">ROUND(T_Tiktok_ads[[#This Row],[video_views]]*RANDBETWEEN(8,12)/10,0)</f>
        <v>321234</v>
      </c>
      <c r="AN71" s="4">
        <f ca="1">ROUND(T_Tiktok_ads[[#This Row],[video_watch_25]]*RANDBETWEEN(8,12)/10,0)</f>
        <v>207121</v>
      </c>
      <c r="AO71" s="4">
        <f ca="1">ROUND(T_Tiktok_ads[[#This Row],[video_watch_50]]*RANDBETWEEN(8,12)/10,0)</f>
        <v>166312</v>
      </c>
      <c r="AP71" s="4">
        <f ca="1">ROUND(T_Tiktok_ads[[#This Row],[video_watch_75]]*RANDBETWEEN(8,12)/10,0)</f>
        <v>176681</v>
      </c>
      <c r="AQ71" s="4">
        <f ca="1">ROUND(T_Tiktok_ads[[#This Row],[video_watch_100]]*RANDBETWEEN(8,12)/10,0)</f>
        <v>107202</v>
      </c>
      <c r="AR71" s="4">
        <f ca="1">ROUND(T_Tiktok_ads[[#This Row],[likes]]*RANDBETWEEN(8,12)/10,0)</f>
        <v>20281</v>
      </c>
      <c r="AS71" s="4">
        <f ca="1">ROUND(T_Tiktok_ads[[#This Row],[shares]]*RANDBETWEEN(8,12)/10,0)</f>
        <v>4421</v>
      </c>
      <c r="AT71" s="4">
        <f ca="1">ROUND(T_Tiktok_ads[[#This Row],[comments]]*RANDBETWEEN(8,12)/10,0)</f>
        <v>1614</v>
      </c>
      <c r="AV71" s="5">
        <f t="shared" ca="1" si="12"/>
        <v>45089</v>
      </c>
      <c r="AW71">
        <f t="shared" ca="1" si="13"/>
        <v>5</v>
      </c>
      <c r="AX71">
        <f ca="1">ROUND(T_Facebook_Ads115963677175[[#This Row],[impressions]]*RANDBETWEEN(8,12)/10,0)</f>
        <v>71757</v>
      </c>
      <c r="AY71">
        <f ca="1">ROUND(T_Facebook_Ads115963677175[[#This Row],[clicks]]*RANDBETWEEN(8,12)/10,0)</f>
        <v>234</v>
      </c>
      <c r="AZ71">
        <f ca="1">T_Facebook_Ads115963677175[[#This Row],[spend]]*RANDBETWEEN(8,12)/10</f>
        <v>89.320000000000007</v>
      </c>
      <c r="BA71">
        <f ca="1">ROUND(T_Facebook_Ads115963677175[[#This Row],[conversions]]*RANDBETWEEN(8,12)/10,0)</f>
        <v>5</v>
      </c>
      <c r="BB71">
        <f ca="1">ROUND(T_Facebook_Ads115963677175[[#This Row],[video_views]]*RANDBETWEEN(8,12)/10,0)</f>
        <v>47052</v>
      </c>
    </row>
    <row r="72" spans="1:54" ht="15.75" thickBot="1" x14ac:dyDescent="0.3">
      <c r="A72" s="3">
        <f t="shared" ca="1" si="9"/>
        <v>45087</v>
      </c>
      <c r="B72" s="4" t="s">
        <v>52</v>
      </c>
      <c r="C72" s="4" t="s">
        <v>53</v>
      </c>
      <c r="D72" s="4" t="s">
        <v>54</v>
      </c>
      <c r="E72" s="4" t="s">
        <v>55</v>
      </c>
      <c r="F72" s="4">
        <f ca="1">ROUND(T_Facebook_Ads[[#This Row],[impressions]]*RANDBETWEEN(8,12)/10,0)</f>
        <v>49880</v>
      </c>
      <c r="G72" s="4">
        <v>823</v>
      </c>
      <c r="H72" s="4">
        <f ca="1">T_Facebook_Ads[[#This Row],[spend]]*RANDBETWEEN(8,12)/10</f>
        <v>118.9</v>
      </c>
      <c r="I72" s="4">
        <f ca="1">ROUND(T_Facebook_Ads[[#This Row],[conversions]]*RANDBETWEEN(8,12)/10,0)</f>
        <v>12</v>
      </c>
      <c r="J72" s="4">
        <f ca="1">ROUND(T_Facebook_Ads[[#This Row],[video_views]]*RANDBETWEEN(8,12)/10,0)</f>
        <v>6710</v>
      </c>
      <c r="K72" s="4">
        <f ca="1">T_Facebook_Ads[[#This Row],[engagement_rate]]*RANDBETWEEN(8,12)/10</f>
        <v>2.3760000000000003E-2</v>
      </c>
      <c r="L72" s="4">
        <f ca="1">ROUND(T_Facebook_Ads[[#This Row],[reach]]*RANDBETWEEN(8,12)/10,0)</f>
        <v>31611</v>
      </c>
      <c r="M72" s="4">
        <f ca="1">T_Facebook_Ads[[#This Row],[frequency]]*RANDBETWEEN(8,12)/10</f>
        <v>0.94399999999999995</v>
      </c>
      <c r="O72" s="3">
        <f t="shared" ca="1" si="10"/>
        <v>45090</v>
      </c>
      <c r="P72" s="4" t="s">
        <v>76</v>
      </c>
      <c r="Q72" s="4" t="s">
        <v>77</v>
      </c>
      <c r="R72" s="4" t="s">
        <v>78</v>
      </c>
      <c r="S72" s="4" t="s">
        <v>79</v>
      </c>
      <c r="T72" s="4">
        <f ca="1">ROUND(_Google_ads[[#This Row],[impressions]]*RANDBETWEEN(8,12)/10,0)</f>
        <v>21567</v>
      </c>
      <c r="U72" s="4">
        <f ca="1">ROUND(_Google_ads[[#This Row],[clicks]]*RANDBETWEEN(8,12)/10,0)</f>
        <v>871</v>
      </c>
      <c r="V72" s="4">
        <f ca="1">_Google_ads[[#This Row],[cost]]*RANDBETWEEN(8,12)/10</f>
        <v>249.36000000000004</v>
      </c>
      <c r="W72" s="4">
        <f ca="1">ROUND(_Google_ads[[#This Row],[conversions]]*RANDBETWEEN(8,12)/10,0)</f>
        <v>41</v>
      </c>
      <c r="X72" s="4">
        <f ca="1">ROUND(_Google_ads[[#This Row],[conversion_value]]*RANDBETWEEN(8,12)/10,0)</f>
        <v>1845</v>
      </c>
      <c r="Y72" s="4">
        <f ca="1">_Google_ads[[#This Row],[ctr]]*RANDBETWEEN(8,12)/10</f>
        <v>5.0500000000000003E-2</v>
      </c>
      <c r="Z72" s="4">
        <f ca="1">_Google_ads[[#This Row],[avg_cpc]]*RANDBETWEEN(8,12)/10</f>
        <v>0.22800000000000004</v>
      </c>
      <c r="AA72" s="4">
        <f ca="1">ROUND(_Google_ads[[#This Row],[quality_score]]*RANDBETWEEN(8,12)/10,0)</f>
        <v>10</v>
      </c>
      <c r="AB72" s="4">
        <f ca="1">_Google_ads[[#This Row],[search_impression_share]]*RANDBETWEEN(8,12)/10</f>
        <v>0.96799999999999997</v>
      </c>
      <c r="AD72" s="3">
        <f t="shared" ca="1" si="11"/>
        <v>45085</v>
      </c>
      <c r="AE72" s="4" t="s">
        <v>100</v>
      </c>
      <c r="AF72" s="4" t="s">
        <v>101</v>
      </c>
      <c r="AG72" s="4" t="s">
        <v>102</v>
      </c>
      <c r="AH72" s="4" t="s">
        <v>103</v>
      </c>
      <c r="AI72" s="4">
        <f ca="1">ROUND(T_Tiktok_ads[[#This Row],[impressions]]*RANDBETWEEN(8,12)/10,0)</f>
        <v>211110</v>
      </c>
      <c r="AJ72" s="4">
        <f ca="1">ROUND(T_Tiktok_ads[[#This Row],[clicks]]*RANDBETWEEN(8,12)/10,0)</f>
        <v>4147</v>
      </c>
      <c r="AK72" s="4">
        <v>445.7</v>
      </c>
      <c r="AL72" s="4">
        <f ca="1">ROUND(T_Tiktok_ads[[#This Row],[conversions]]*RANDBETWEEN(8,12)/10,0)</f>
        <v>41</v>
      </c>
      <c r="AM72" s="4">
        <f ca="1">ROUND(T_Tiktok_ads[[#This Row],[video_views]]*RANDBETWEEN(8,12)/10,0)</f>
        <v>214757</v>
      </c>
      <c r="AN72" s="4">
        <f ca="1">ROUND(T_Tiktok_ads[[#This Row],[video_watch_25]]*RANDBETWEEN(8,12)/10,0)</f>
        <v>138110</v>
      </c>
      <c r="AO72" s="4">
        <f ca="1">ROUND(T_Tiktok_ads[[#This Row],[video_watch_50]]*RANDBETWEEN(8,12)/10,0)</f>
        <v>96234</v>
      </c>
      <c r="AP72" s="4">
        <f ca="1">ROUND(T_Tiktok_ads[[#This Row],[video_watch_75]]*RANDBETWEEN(8,12)/10,0)</f>
        <v>52187</v>
      </c>
      <c r="AQ72" s="4">
        <f ca="1">ROUND(T_Tiktok_ads[[#This Row],[video_watch_100]]*RANDBETWEEN(8,12)/10,0)</f>
        <v>39210</v>
      </c>
      <c r="AR72" s="4">
        <f ca="1">ROUND(T_Tiktok_ads[[#This Row],[likes]]*RANDBETWEEN(8,12)/10,0)</f>
        <v>7880</v>
      </c>
      <c r="AS72" s="4">
        <f ca="1">ROUND(T_Tiktok_ads[[#This Row],[shares]]*RANDBETWEEN(8,12)/10,0)</f>
        <v>2011</v>
      </c>
      <c r="AT72" s="4">
        <f ca="1">ROUND(T_Tiktok_ads[[#This Row],[comments]]*RANDBETWEEN(8,12)/10,0)</f>
        <v>641</v>
      </c>
      <c r="AV72" s="5">
        <f t="shared" ca="1" si="12"/>
        <v>45082</v>
      </c>
      <c r="AW72">
        <f t="shared" ca="1" si="13"/>
        <v>8</v>
      </c>
      <c r="AX72">
        <f ca="1">ROUND(T_Facebook_Ads115963677175[[#This Row],[impressions]]*RANDBETWEEN(8,12)/10,0)</f>
        <v>59856</v>
      </c>
      <c r="AY72">
        <f ca="1">ROUND(T_Facebook_Ads115963677175[[#This Row],[clicks]]*RANDBETWEEN(8,12)/10,0)</f>
        <v>741</v>
      </c>
      <c r="AZ72">
        <f ca="1">T_Facebook_Ads115963677175[[#This Row],[spend]]*RANDBETWEEN(8,12)/10</f>
        <v>95.12</v>
      </c>
      <c r="BA72">
        <f ca="1">ROUND(T_Facebook_Ads115963677175[[#This Row],[conversions]]*RANDBETWEEN(8,12)/10,0)</f>
        <v>12</v>
      </c>
      <c r="BB72">
        <f ca="1">ROUND(T_Facebook_Ads115963677175[[#This Row],[video_views]]*RANDBETWEEN(8,12)/10,0)</f>
        <v>5368</v>
      </c>
    </row>
    <row r="73" spans="1:54" ht="15.75" thickBot="1" x14ac:dyDescent="0.3">
      <c r="A73" s="3">
        <f t="shared" ca="1" si="9"/>
        <v>45085</v>
      </c>
      <c r="B73" s="4" t="s">
        <v>56</v>
      </c>
      <c r="C73" s="4" t="s">
        <v>57</v>
      </c>
      <c r="D73" s="4" t="s">
        <v>58</v>
      </c>
      <c r="E73" s="4" t="s">
        <v>59</v>
      </c>
      <c r="F73" s="4">
        <f ca="1">ROUND(T_Facebook_Ads[[#This Row],[impressions]]*RANDBETWEEN(8,12)/10,0)</f>
        <v>10234</v>
      </c>
      <c r="G73" s="4">
        <v>467</v>
      </c>
      <c r="H73" s="4">
        <f ca="1">T_Facebook_Ads[[#This Row],[spend]]*RANDBETWEEN(8,12)/10</f>
        <v>160.56</v>
      </c>
      <c r="I73" s="4">
        <f ca="1">ROUND(T_Facebook_Ads[[#This Row],[conversions]]*RANDBETWEEN(8,12)/10,0)</f>
        <v>30</v>
      </c>
      <c r="J73" s="4">
        <f ca="1">ROUND(T_Facebook_Ads[[#This Row],[video_views]]*RANDBETWEEN(8,12)/10,0)</f>
        <v>851</v>
      </c>
      <c r="K73" s="4">
        <f ca="1">T_Facebook_Ads[[#This Row],[engagement_rate]]*RANDBETWEEN(8,12)/10</f>
        <v>3.6479999999999999E-2</v>
      </c>
      <c r="L73" s="4">
        <f ca="1">ROUND(T_Facebook_Ads[[#This Row],[reach]]*RANDBETWEEN(8,12)/10,0)</f>
        <v>8456</v>
      </c>
      <c r="M73" s="4">
        <f ca="1">T_Facebook_Ads[[#This Row],[frequency]]*RANDBETWEEN(8,12)/10</f>
        <v>1.089</v>
      </c>
      <c r="O73" s="3">
        <f t="shared" ca="1" si="10"/>
        <v>45105</v>
      </c>
      <c r="P73" s="4" t="s">
        <v>80</v>
      </c>
      <c r="Q73" s="4" t="s">
        <v>81</v>
      </c>
      <c r="R73" s="4" t="s">
        <v>82</v>
      </c>
      <c r="S73" s="4" t="s">
        <v>83</v>
      </c>
      <c r="T73" s="4">
        <f ca="1">ROUND(_Google_ads[[#This Row],[impressions]]*RANDBETWEEN(8,12)/10,0)</f>
        <v>38901</v>
      </c>
      <c r="U73" s="4">
        <f ca="1">ROUND(_Google_ads[[#This Row],[clicks]]*RANDBETWEEN(8,12)/10,0)</f>
        <v>856</v>
      </c>
      <c r="V73" s="4">
        <f ca="1">_Google_ads[[#This Row],[cost]]*RANDBETWEEN(8,12)/10</f>
        <v>548.56999999999994</v>
      </c>
      <c r="W73" s="4">
        <f ca="1">ROUND(_Google_ads[[#This Row],[conversions]]*RANDBETWEEN(8,12)/10,0)</f>
        <v>23</v>
      </c>
      <c r="X73" s="4">
        <f ca="1">ROUND(_Google_ads[[#This Row],[conversion_value]]*RANDBETWEEN(8,12)/10,0)</f>
        <v>1140</v>
      </c>
      <c r="Y73" s="4">
        <f ca="1">_Google_ads[[#This Row],[ctr]]*RANDBETWEEN(8,12)/10</f>
        <v>2.4E-2</v>
      </c>
      <c r="Z73" s="4">
        <f ca="1">_Google_ads[[#This Row],[avg_cpc]]*RANDBETWEEN(8,12)/10</f>
        <v>0.70399999999999996</v>
      </c>
      <c r="AA73" s="4">
        <f ca="1">ROUND(_Google_ads[[#This Row],[quality_score]]*RANDBETWEEN(8,12)/10,0)</f>
        <v>6</v>
      </c>
      <c r="AB73" s="4">
        <f ca="1">_Google_ads[[#This Row],[search_impression_share]]*RANDBETWEEN(8,12)/10</f>
        <v>0.45099999999999996</v>
      </c>
      <c r="AD73" s="3">
        <f t="shared" ca="1" si="11"/>
        <v>45099</v>
      </c>
      <c r="AE73" s="4" t="s">
        <v>104</v>
      </c>
      <c r="AF73" s="4" t="s">
        <v>105</v>
      </c>
      <c r="AG73" s="4" t="s">
        <v>106</v>
      </c>
      <c r="AH73" s="4" t="s">
        <v>107</v>
      </c>
      <c r="AI73" s="4">
        <f ca="1">ROUND(T_Tiktok_ads[[#This Row],[impressions]]*RANDBETWEEN(8,12)/10,0)</f>
        <v>103121</v>
      </c>
      <c r="AJ73" s="4">
        <f ca="1">ROUND(T_Tiktok_ads[[#This Row],[clicks]]*RANDBETWEEN(8,12)/10,0)</f>
        <v>2947</v>
      </c>
      <c r="AK73" s="4">
        <v>678.9</v>
      </c>
      <c r="AL73" s="4">
        <f ca="1">ROUND(T_Tiktok_ads[[#This Row],[conversions]]*RANDBETWEEN(8,12)/10,0)</f>
        <v>74</v>
      </c>
      <c r="AM73" s="4">
        <f ca="1">ROUND(T_Tiktok_ads[[#This Row],[video_views]]*RANDBETWEEN(8,12)/10,0)</f>
        <v>71387</v>
      </c>
      <c r="AN73" s="4">
        <f ca="1">ROUND(T_Tiktok_ads[[#This Row],[video_watch_25]]*RANDBETWEEN(8,12)/10,0)</f>
        <v>60511</v>
      </c>
      <c r="AO73" s="4">
        <f ca="1">ROUND(T_Tiktok_ads[[#This Row],[video_watch_50]]*RANDBETWEEN(8,12)/10,0)</f>
        <v>45234</v>
      </c>
      <c r="AP73" s="4">
        <f ca="1">ROUND(T_Tiktok_ads[[#This Row],[video_watch_75]]*RANDBETWEEN(8,12)/10,0)</f>
        <v>27387</v>
      </c>
      <c r="AQ73" s="4">
        <f ca="1">ROUND(T_Tiktok_ads[[#This Row],[video_watch_100]]*RANDBETWEEN(8,12)/10,0)</f>
        <v>28147</v>
      </c>
      <c r="AR73" s="4">
        <f ca="1">ROUND(T_Tiktok_ads[[#This Row],[likes]]*RANDBETWEEN(8,12)/10,0)</f>
        <v>5480</v>
      </c>
      <c r="AS73" s="4">
        <f ca="1">ROUND(T_Tiktok_ads[[#This Row],[shares]]*RANDBETWEEN(8,12)/10,0)</f>
        <v>1481</v>
      </c>
      <c r="AT73" s="4">
        <f ca="1">ROUND(T_Tiktok_ads[[#This Row],[comments]]*RANDBETWEEN(8,12)/10,0)</f>
        <v>187</v>
      </c>
      <c r="AV73" s="5">
        <f t="shared" ca="1" si="12"/>
        <v>45105</v>
      </c>
      <c r="AW73">
        <f t="shared" ca="1" si="13"/>
        <v>5</v>
      </c>
      <c r="AX73">
        <f ca="1">ROUND(T_Facebook_Ads115963677175[[#This Row],[impressions]]*RANDBETWEEN(8,12)/10,0)</f>
        <v>8187</v>
      </c>
      <c r="AY73">
        <f ca="1">ROUND(T_Facebook_Ads115963677175[[#This Row],[clicks]]*RANDBETWEEN(8,12)/10,0)</f>
        <v>467</v>
      </c>
      <c r="AZ73">
        <f ca="1">T_Facebook_Ads115963677175[[#This Row],[spend]]*RANDBETWEEN(8,12)/10</f>
        <v>192.672</v>
      </c>
      <c r="BA73">
        <f ca="1">ROUND(T_Facebook_Ads115963677175[[#This Row],[conversions]]*RANDBETWEEN(8,12)/10,0)</f>
        <v>24</v>
      </c>
      <c r="BB73">
        <f ca="1">ROUND(T_Facebook_Ads115963677175[[#This Row],[video_views]]*RANDBETWEEN(8,12)/10,0)</f>
        <v>936</v>
      </c>
    </row>
    <row r="74" spans="1:54" ht="15.75" thickBot="1" x14ac:dyDescent="0.3">
      <c r="A74" s="3">
        <f t="shared" ca="1" si="9"/>
        <v>45085</v>
      </c>
      <c r="B74" s="4" t="s">
        <v>60</v>
      </c>
      <c r="C74" s="4" t="s">
        <v>61</v>
      </c>
      <c r="D74" s="4" t="s">
        <v>62</v>
      </c>
      <c r="E74" s="4" t="s">
        <v>63</v>
      </c>
      <c r="F74" s="4">
        <f ca="1">ROUND(T_Facebook_Ads[[#This Row],[impressions]]*RANDBETWEEN(8,12)/10,0)</f>
        <v>29601</v>
      </c>
      <c r="G74" s="4">
        <v>1178</v>
      </c>
      <c r="H74" s="4">
        <f ca="1">T_Facebook_Ads[[#This Row],[spend]]*RANDBETWEEN(8,12)/10</f>
        <v>136.95999999999998</v>
      </c>
      <c r="I74" s="4">
        <f ca="1">ROUND(T_Facebook_Ads[[#This Row],[conversions]]*RANDBETWEEN(8,12)/10,0)</f>
        <v>24</v>
      </c>
      <c r="J74" s="4">
        <f ca="1">ROUND(T_Facebook_Ads[[#This Row],[video_views]]*RANDBETWEEN(8,12)/10,0)</f>
        <v>3410</v>
      </c>
      <c r="K74" s="4">
        <f ca="1">T_Facebook_Ads[[#This Row],[engagement_rate]]*RANDBETWEEN(8,12)/10</f>
        <v>2.8639999999999999E-2</v>
      </c>
      <c r="L74" s="4">
        <f ca="1">ROUND(T_Facebook_Ads[[#This Row],[reach]]*RANDBETWEEN(8,12)/10,0)</f>
        <v>21787</v>
      </c>
      <c r="M74" s="4">
        <f ca="1">T_Facebook_Ads[[#This Row],[frequency]]*RANDBETWEEN(8,12)/10</f>
        <v>1.331</v>
      </c>
      <c r="O74" s="3">
        <f t="shared" ca="1" si="10"/>
        <v>45081</v>
      </c>
      <c r="P74" s="4" t="s">
        <v>84</v>
      </c>
      <c r="Q74" s="4" t="s">
        <v>85</v>
      </c>
      <c r="R74" s="4" t="s">
        <v>86</v>
      </c>
      <c r="S74" s="4" t="s">
        <v>87</v>
      </c>
      <c r="T74" s="4">
        <f ca="1">ROUND(_Google_ads[[#This Row],[impressions]]*RANDBETWEEN(8,12)/10,0)</f>
        <v>56111</v>
      </c>
      <c r="U74" s="4">
        <f ca="1">ROUND(_Google_ads[[#This Row],[clicks]]*RANDBETWEEN(8,12)/10,0)</f>
        <v>2387</v>
      </c>
      <c r="V74" s="4">
        <f ca="1">_Google_ads[[#This Row],[cost]]*RANDBETWEEN(8,12)/10</f>
        <v>401.93999999999994</v>
      </c>
      <c r="W74" s="4">
        <f ca="1">ROUND(_Google_ads[[#This Row],[conversions]]*RANDBETWEEN(8,12)/10,0)</f>
        <v>51</v>
      </c>
      <c r="X74" s="4">
        <f ca="1">ROUND(_Google_ads[[#This Row],[conversion_value]]*RANDBETWEEN(8,12)/10,0)</f>
        <v>3420</v>
      </c>
      <c r="Y74" s="4">
        <f ca="1">_Google_ads[[#This Row],[ctr]]*RANDBETWEEN(8,12)/10</f>
        <v>3.5089999999999996E-2</v>
      </c>
      <c r="Z74" s="4">
        <f ca="1">_Google_ads[[#This Row],[avg_cpc]]*RANDBETWEEN(8,12)/10</f>
        <v>0.14399999999999999</v>
      </c>
      <c r="AA74" s="4">
        <f ca="1">ROUND(_Google_ads[[#This Row],[quality_score]]*RANDBETWEEN(8,12)/10,0)</f>
        <v>9</v>
      </c>
      <c r="AB74" s="4">
        <f ca="1">_Google_ads[[#This Row],[search_impression_share]]*RANDBETWEEN(8,12)/10</f>
        <v>0.75600000000000001</v>
      </c>
      <c r="AD74" s="3">
        <f t="shared" ca="1" si="11"/>
        <v>45087</v>
      </c>
      <c r="AE74" s="4" t="s">
        <v>108</v>
      </c>
      <c r="AF74" s="4" t="s">
        <v>109</v>
      </c>
      <c r="AG74" s="4" t="s">
        <v>110</v>
      </c>
      <c r="AH74" s="4" t="s">
        <v>111</v>
      </c>
      <c r="AI74" s="4">
        <f ca="1">ROUND(T_Tiktok_ads[[#This Row],[impressions]]*RANDBETWEEN(8,12)/10,0)</f>
        <v>201234</v>
      </c>
      <c r="AJ74" s="4">
        <f ca="1">ROUND(T_Tiktok_ads[[#This Row],[clicks]]*RANDBETWEEN(8,12)/10,0)</f>
        <v>2811</v>
      </c>
      <c r="AK74" s="4">
        <v>374.5</v>
      </c>
      <c r="AL74" s="4">
        <f ca="1">ROUND(T_Tiktok_ads[[#This Row],[conversions]]*RANDBETWEEN(8,12)/10,0)</f>
        <v>29</v>
      </c>
      <c r="AM74" s="4">
        <f ca="1">ROUND(T_Tiktok_ads[[#This Row],[video_views]]*RANDBETWEEN(8,12)/10,0)</f>
        <v>142101</v>
      </c>
      <c r="AN74" s="4">
        <f ca="1">ROUND(T_Tiktok_ads[[#This Row],[video_watch_25]]*RANDBETWEEN(8,12)/10,0)</f>
        <v>133357</v>
      </c>
      <c r="AO74" s="4">
        <f ca="1">ROUND(T_Tiktok_ads[[#This Row],[video_watch_50]]*RANDBETWEEN(8,12)/10,0)</f>
        <v>105857</v>
      </c>
      <c r="AP74" s="4">
        <f ca="1">ROUND(T_Tiktok_ads[[#This Row],[video_watch_75]]*RANDBETWEEN(8,12)/10,0)</f>
        <v>61234</v>
      </c>
      <c r="AQ74" s="4">
        <f ca="1">ROUND(T_Tiktok_ads[[#This Row],[video_watch_100]]*RANDBETWEEN(8,12)/10,0)</f>
        <v>41202</v>
      </c>
      <c r="AR74" s="4">
        <f ca="1">ROUND(T_Tiktok_ads[[#This Row],[likes]]*RANDBETWEEN(8,12)/10,0)</f>
        <v>6611</v>
      </c>
      <c r="AS74" s="4">
        <f ca="1">ROUND(T_Tiktok_ads[[#This Row],[shares]]*RANDBETWEEN(8,12)/10,0)</f>
        <v>2441</v>
      </c>
      <c r="AT74" s="4">
        <f ca="1">ROUND(T_Tiktok_ads[[#This Row],[comments]]*RANDBETWEEN(8,12)/10,0)</f>
        <v>391</v>
      </c>
      <c r="AV74" s="5">
        <f t="shared" ca="1" si="12"/>
        <v>45100</v>
      </c>
      <c r="AW74">
        <f t="shared" ca="1" si="13"/>
        <v>3</v>
      </c>
      <c r="AX74">
        <f ca="1">ROUND(T_Facebook_Ads115963677175[[#This Row],[impressions]]*RANDBETWEEN(8,12)/10,0)</f>
        <v>32561</v>
      </c>
      <c r="AY74">
        <f ca="1">ROUND(T_Facebook_Ads115963677175[[#This Row],[clicks]]*RANDBETWEEN(8,12)/10,0)</f>
        <v>1296</v>
      </c>
      <c r="AZ74">
        <f ca="1">T_Facebook_Ads115963677175[[#This Row],[spend]]*RANDBETWEEN(8,12)/10</f>
        <v>136.95999999999998</v>
      </c>
      <c r="BA74">
        <f ca="1">ROUND(T_Facebook_Ads115963677175[[#This Row],[conversions]]*RANDBETWEEN(8,12)/10,0)</f>
        <v>24</v>
      </c>
      <c r="BB74">
        <f ca="1">ROUND(T_Facebook_Ads115963677175[[#This Row],[video_views]]*RANDBETWEEN(8,12)/10,0)</f>
        <v>3410</v>
      </c>
    </row>
    <row r="75" spans="1:54" ht="15.75" thickBot="1" x14ac:dyDescent="0.3">
      <c r="A75" s="3">
        <f t="shared" ca="1" si="9"/>
        <v>45091</v>
      </c>
      <c r="B75" s="4" t="s">
        <v>64</v>
      </c>
      <c r="C75" s="4" t="s">
        <v>65</v>
      </c>
      <c r="D75" s="4" t="s">
        <v>66</v>
      </c>
      <c r="E75" s="4" t="s">
        <v>67</v>
      </c>
      <c r="F75" s="4">
        <f ca="1">ROUND(T_Facebook_Ads[[#This Row],[impressions]]*RANDBETWEEN(8,12)/10,0)</f>
        <v>62345</v>
      </c>
      <c r="G75" s="4">
        <v>223</v>
      </c>
      <c r="H75" s="4">
        <f ca="1">T_Facebook_Ads[[#This Row],[spend]]*RANDBETWEEN(8,12)/10</f>
        <v>83.929999999999993</v>
      </c>
      <c r="I75" s="4">
        <f ca="1">ROUND(T_Facebook_Ads[[#This Row],[conversions]]*RANDBETWEEN(8,12)/10,0)</f>
        <v>4</v>
      </c>
      <c r="J75" s="4">
        <f ca="1">ROUND(T_Facebook_Ads[[#This Row],[video_views]]*RANDBETWEEN(8,12)/10,0)</f>
        <v>32987</v>
      </c>
      <c r="K75" s="4">
        <f ca="1">T_Facebook_Ads[[#This Row],[engagement_rate]]*RANDBETWEEN(8,12)/10</f>
        <v>4.3200000000000001E-3</v>
      </c>
      <c r="L75" s="4">
        <f ca="1">ROUND(T_Facebook_Ads[[#This Row],[reach]]*RANDBETWEEN(8,12)/10,0)</f>
        <v>61880</v>
      </c>
      <c r="M75" s="4">
        <f ca="1">T_Facebook_Ads[[#This Row],[frequency]]*RANDBETWEEN(8,12)/10</f>
        <v>1.3199999999999998</v>
      </c>
      <c r="O75" s="3">
        <f t="shared" ca="1" si="10"/>
        <v>45087</v>
      </c>
      <c r="P75" s="4" t="s">
        <v>88</v>
      </c>
      <c r="Q75" s="4" t="s">
        <v>89</v>
      </c>
      <c r="R75" s="4" t="s">
        <v>90</v>
      </c>
      <c r="S75" s="4" t="s">
        <v>59</v>
      </c>
      <c r="T75" s="4">
        <f ca="1">ROUND(_Google_ads[[#This Row],[impressions]]*RANDBETWEEN(8,12)/10,0)</f>
        <v>130057</v>
      </c>
      <c r="U75" s="4">
        <f ca="1">ROUND(_Google_ads[[#This Row],[clicks]]*RANDBETWEEN(8,12)/10,0)</f>
        <v>338</v>
      </c>
      <c r="V75" s="4">
        <f ca="1">_Google_ads[[#This Row],[cost]]*RANDBETWEEN(8,12)/10</f>
        <v>127.82000000000001</v>
      </c>
      <c r="W75" s="4">
        <f ca="1">ROUND(_Google_ads[[#This Row],[conversions]]*RANDBETWEEN(8,12)/10,0)</f>
        <v>9</v>
      </c>
      <c r="X75" s="4">
        <f ca="1">ROUND(_Google_ads[[#This Row],[conversion_value]]*RANDBETWEEN(8,12)/10,0)</f>
        <v>440</v>
      </c>
      <c r="Y75" s="4">
        <f ca="1">_Google_ads[[#This Row],[ctr]]*RANDBETWEEN(8,12)/10</f>
        <v>4.3200000000000001E-3</v>
      </c>
      <c r="Z75" s="4">
        <f ca="1">_Google_ads[[#This Row],[avg_cpc]]*RANDBETWEEN(8,12)/10</f>
        <v>0.29700000000000004</v>
      </c>
      <c r="AA75" s="4">
        <f ca="1">ROUND(_Google_ads[[#This Row],[quality_score]]*RANDBETWEEN(8,12)/10,0)</f>
        <v>7</v>
      </c>
      <c r="AB75" s="4">
        <f ca="1">_Google_ads[[#This Row],[search_impression_share]]*RANDBETWEEN(8,12)/10</f>
        <v>0.38400000000000001</v>
      </c>
      <c r="AD75" s="3">
        <f t="shared" ca="1" si="11"/>
        <v>45086</v>
      </c>
      <c r="AE75" s="4" t="s">
        <v>112</v>
      </c>
      <c r="AF75" s="4" t="s">
        <v>113</v>
      </c>
      <c r="AG75" s="4" t="s">
        <v>114</v>
      </c>
      <c r="AH75" s="4" t="s">
        <v>115</v>
      </c>
      <c r="AI75" s="4">
        <f ca="1">ROUND(T_Tiktok_ads[[#This Row],[impressions]]*RANDBETWEEN(8,12)/10,0)</f>
        <v>404679</v>
      </c>
      <c r="AJ75" s="4">
        <f ca="1">ROUND(T_Tiktok_ads[[#This Row],[clicks]]*RANDBETWEEN(8,12)/10,0)</f>
        <v>6012</v>
      </c>
      <c r="AK75" s="4">
        <v>923.4</v>
      </c>
      <c r="AL75" s="4">
        <f ca="1">ROUND(T_Tiktok_ads[[#This Row],[conversions]]*RANDBETWEEN(8,12)/10,0)</f>
        <v>113</v>
      </c>
      <c r="AM75" s="4">
        <f ca="1">ROUND(T_Tiktok_ads[[#This Row],[video_views]]*RANDBETWEEN(8,12)/10,0)</f>
        <v>361481</v>
      </c>
      <c r="AN75" s="4">
        <f ca="1">ROUND(T_Tiktok_ads[[#This Row],[video_watch_25]]*RANDBETWEEN(8,12)/10,0)</f>
        <v>245678</v>
      </c>
      <c r="AO75" s="4">
        <f ca="1">ROUND(T_Tiktok_ads[[#This Row],[video_watch_50]]*RANDBETWEEN(8,12)/10,0)</f>
        <v>157431</v>
      </c>
      <c r="AP75" s="4">
        <f ca="1">ROUND(T_Tiktok_ads[[#This Row],[video_watch_75]]*RANDBETWEEN(8,12)/10,0)</f>
        <v>126211</v>
      </c>
      <c r="AQ75" s="4">
        <f ca="1">ROUND(T_Tiktok_ads[[#This Row],[video_watch_100]]*RANDBETWEEN(8,12)/10,0)</f>
        <v>112147</v>
      </c>
      <c r="AR75" s="4">
        <f ca="1">ROUND(T_Tiktok_ads[[#This Row],[likes]]*RANDBETWEEN(8,12)/10,0)</f>
        <v>17857</v>
      </c>
      <c r="AS75" s="4">
        <f ca="1">ROUND(T_Tiktok_ads[[#This Row],[shares]]*RANDBETWEEN(8,12)/10,0)</f>
        <v>3831</v>
      </c>
      <c r="AT75" s="4">
        <f ca="1">ROUND(T_Tiktok_ads[[#This Row],[comments]]*RANDBETWEEN(8,12)/10,0)</f>
        <v>1289</v>
      </c>
      <c r="AV75" s="5">
        <f t="shared" ca="1" si="12"/>
        <v>45096</v>
      </c>
      <c r="AW75">
        <f t="shared" ca="1" si="13"/>
        <v>5</v>
      </c>
      <c r="AX75">
        <f ca="1">ROUND(T_Facebook_Ads115963677175[[#This Row],[impressions]]*RANDBETWEEN(8,12)/10,0)</f>
        <v>49876</v>
      </c>
      <c r="AY75">
        <f ca="1">ROUND(T_Facebook_Ads115963677175[[#This Row],[clicks]]*RANDBETWEEN(8,12)/10,0)</f>
        <v>223</v>
      </c>
      <c r="AZ75">
        <f ca="1">T_Facebook_Ads115963677175[[#This Row],[spend]]*RANDBETWEEN(8,12)/10</f>
        <v>92.322999999999993</v>
      </c>
      <c r="BA75">
        <f ca="1">ROUND(T_Facebook_Ads115963677175[[#This Row],[conversions]]*RANDBETWEEN(8,12)/10,0)</f>
        <v>4</v>
      </c>
      <c r="BB75">
        <f ca="1">ROUND(T_Facebook_Ads115963677175[[#This Row],[video_views]]*RANDBETWEEN(8,12)/10,0)</f>
        <v>26390</v>
      </c>
    </row>
    <row r="76" spans="1:54" ht="15.75" thickBot="1" x14ac:dyDescent="0.3">
      <c r="A76" s="3">
        <f t="shared" ca="1" si="9"/>
        <v>45085</v>
      </c>
      <c r="B76" s="4" t="s">
        <v>52</v>
      </c>
      <c r="C76" s="4" t="s">
        <v>53</v>
      </c>
      <c r="D76" s="4" t="s">
        <v>54</v>
      </c>
      <c r="E76" s="4" t="s">
        <v>55</v>
      </c>
      <c r="F76" s="4">
        <f ca="1">ROUND(T_Facebook_Ads[[#This Row],[impressions]]*RANDBETWEEN(8,12)/10,0)</f>
        <v>54281</v>
      </c>
      <c r="G76" s="4">
        <v>912</v>
      </c>
      <c r="H76" s="4">
        <f ca="1">T_Facebook_Ads[[#This Row],[spend]]*RANDBETWEEN(8,12)/10</f>
        <v>142.78000000000003</v>
      </c>
      <c r="I76" s="4">
        <f ca="1">ROUND(T_Facebook_Ads[[#This Row],[conversions]]*RANDBETWEEN(8,12)/10,0)</f>
        <v>15</v>
      </c>
      <c r="J76" s="4">
        <f ca="1">ROUND(T_Facebook_Ads[[#This Row],[video_views]]*RANDBETWEEN(8,12)/10,0)</f>
        <v>8234</v>
      </c>
      <c r="K76" s="4">
        <f ca="1">T_Facebook_Ads[[#This Row],[engagement_rate]]*RANDBETWEEN(8,12)/10</f>
        <v>1.8179999999999998E-2</v>
      </c>
      <c r="L76" s="4">
        <f ca="1">ROUND(T_Facebook_Ads[[#This Row],[reach]]*RANDBETWEEN(8,12)/10,0)</f>
        <v>38567</v>
      </c>
      <c r="M76" s="4">
        <f ca="1">T_Facebook_Ads[[#This Row],[frequency]]*RANDBETWEEN(8,12)/10</f>
        <v>1.0529999999999999</v>
      </c>
      <c r="O76" s="3">
        <f t="shared" ca="1" si="10"/>
        <v>45105</v>
      </c>
      <c r="P76" s="4" t="s">
        <v>76</v>
      </c>
      <c r="Q76" s="4" t="s">
        <v>77</v>
      </c>
      <c r="R76" s="4" t="s">
        <v>78</v>
      </c>
      <c r="S76" s="4" t="s">
        <v>79</v>
      </c>
      <c r="T76" s="4">
        <f ca="1">ROUND(_Google_ads[[#This Row],[impressions]]*RANDBETWEEN(8,12)/10,0)</f>
        <v>19387</v>
      </c>
      <c r="U76" s="4">
        <f ca="1">ROUND(_Google_ads[[#This Row],[clicks]]*RANDBETWEEN(8,12)/10,0)</f>
        <v>1014</v>
      </c>
      <c r="V76" s="4">
        <f ca="1">_Google_ads[[#This Row],[cost]]*RANDBETWEEN(8,12)/10</f>
        <v>265.32</v>
      </c>
      <c r="W76" s="4">
        <f ca="1">ROUND(_Google_ads[[#This Row],[conversions]]*RANDBETWEEN(8,12)/10,0)</f>
        <v>52</v>
      </c>
      <c r="X76" s="4">
        <f ca="1">ROUND(_Google_ads[[#This Row],[conversion_value]]*RANDBETWEEN(8,12)/10,0)</f>
        <v>2820</v>
      </c>
      <c r="Y76" s="4">
        <f ca="1">_Google_ads[[#This Row],[ctr]]*RANDBETWEEN(8,12)/10</f>
        <v>5.2299999999999999E-2</v>
      </c>
      <c r="Z76" s="4">
        <f ca="1">_Google_ads[[#This Row],[avg_cpc]]*RANDBETWEEN(8,12)/10</f>
        <v>0.17099999999999999</v>
      </c>
      <c r="AA76" s="4">
        <f ca="1">ROUND(_Google_ads[[#This Row],[quality_score]]*RANDBETWEEN(8,12)/10,0)</f>
        <v>9</v>
      </c>
      <c r="AB76" s="4">
        <f ca="1">_Google_ads[[#This Row],[search_impression_share]]*RANDBETWEEN(8,12)/10</f>
        <v>0.81899999999999995</v>
      </c>
      <c r="AD76" s="3">
        <f t="shared" ca="1" si="11"/>
        <v>45080</v>
      </c>
      <c r="AE76" s="4" t="s">
        <v>100</v>
      </c>
      <c r="AF76" s="4" t="s">
        <v>101</v>
      </c>
      <c r="AG76" s="4" t="s">
        <v>102</v>
      </c>
      <c r="AH76" s="4" t="s">
        <v>103</v>
      </c>
      <c r="AI76" s="4">
        <f ca="1">ROUND(T_Tiktok_ads[[#This Row],[impressions]]*RANDBETWEEN(8,12)/10,0)</f>
        <v>321468</v>
      </c>
      <c r="AJ76" s="4">
        <f ca="1">ROUND(T_Tiktok_ads[[#This Row],[clicks]]*RANDBETWEEN(8,12)/10,0)</f>
        <v>3156</v>
      </c>
      <c r="AK76" s="4">
        <v>523.4</v>
      </c>
      <c r="AL76" s="4">
        <f ca="1">ROUND(T_Tiktok_ads[[#This Row],[conversions]]*RANDBETWEEN(8,12)/10,0)</f>
        <v>48</v>
      </c>
      <c r="AM76" s="4">
        <f ca="1">ROUND(T_Tiktok_ads[[#This Row],[video_views]]*RANDBETWEEN(8,12)/10,0)</f>
        <v>199111</v>
      </c>
      <c r="AN76" s="4">
        <f ca="1">ROUND(T_Tiktok_ads[[#This Row],[video_watch_25]]*RANDBETWEEN(8,12)/10,0)</f>
        <v>208147</v>
      </c>
      <c r="AO76" s="4">
        <f ca="1">ROUND(T_Tiktok_ads[[#This Row],[video_watch_50]]*RANDBETWEEN(8,12)/10,0)</f>
        <v>98311</v>
      </c>
      <c r="AP76" s="4">
        <f ca="1">ROUND(T_Tiktok_ads[[#This Row],[video_watch_75]]*RANDBETWEEN(8,12)/10,0)</f>
        <v>58854</v>
      </c>
      <c r="AQ76" s="4">
        <f ca="1">ROUND(T_Tiktok_ads[[#This Row],[video_watch_100]]*RANDBETWEEN(8,12)/10,0)</f>
        <v>59081</v>
      </c>
      <c r="AR76" s="4">
        <f ca="1">ROUND(T_Tiktok_ads[[#This Row],[likes]]*RANDBETWEEN(8,12)/10,0)</f>
        <v>10768</v>
      </c>
      <c r="AS76" s="4">
        <f ca="1">ROUND(T_Tiktok_ads[[#This Row],[shares]]*RANDBETWEEN(8,12)/10,0)</f>
        <v>2897</v>
      </c>
      <c r="AT76" s="4">
        <f ca="1">ROUND(T_Tiktok_ads[[#This Row],[comments]]*RANDBETWEEN(8,12)/10,0)</f>
        <v>685</v>
      </c>
      <c r="AV76" s="5">
        <f t="shared" ca="1" si="12"/>
        <v>45089</v>
      </c>
      <c r="AW76">
        <f t="shared" ca="1" si="13"/>
        <v>4</v>
      </c>
      <c r="AX76">
        <f ca="1">ROUND(T_Facebook_Ads115963677175[[#This Row],[impressions]]*RANDBETWEEN(8,12)/10,0)</f>
        <v>54281</v>
      </c>
      <c r="AY76">
        <f ca="1">ROUND(T_Facebook_Ads115963677175[[#This Row],[clicks]]*RANDBETWEEN(8,12)/10,0)</f>
        <v>1003</v>
      </c>
      <c r="AZ76">
        <f ca="1">T_Facebook_Ads115963677175[[#This Row],[spend]]*RANDBETWEEN(8,12)/10</f>
        <v>128.50200000000001</v>
      </c>
      <c r="BA76">
        <f ca="1">ROUND(T_Facebook_Ads115963677175[[#This Row],[conversions]]*RANDBETWEEN(8,12)/10,0)</f>
        <v>18</v>
      </c>
      <c r="BB76">
        <f ca="1">ROUND(T_Facebook_Ads115963677175[[#This Row],[video_views]]*RANDBETWEEN(8,12)/10,0)</f>
        <v>9881</v>
      </c>
    </row>
    <row r="77" spans="1:54" ht="15.75" thickBot="1" x14ac:dyDescent="0.3">
      <c r="A77" s="3">
        <f t="shared" ca="1" si="9"/>
        <v>45099</v>
      </c>
      <c r="B77" s="4" t="s">
        <v>56</v>
      </c>
      <c r="C77" s="4" t="s">
        <v>57</v>
      </c>
      <c r="D77" s="4" t="s">
        <v>58</v>
      </c>
      <c r="E77" s="4" t="s">
        <v>59</v>
      </c>
      <c r="F77" s="4">
        <f ca="1">ROUND(T_Facebook_Ads[[#This Row],[impressions]]*RANDBETWEEN(8,12)/10,0)</f>
        <v>11210</v>
      </c>
      <c r="G77" s="4">
        <v>567</v>
      </c>
      <c r="H77" s="4">
        <f ca="1">T_Facebook_Ads[[#This Row],[spend]]*RANDBETWEEN(8,12)/10</f>
        <v>230.56</v>
      </c>
      <c r="I77" s="4">
        <f ca="1">ROUND(T_Facebook_Ads[[#This Row],[conversions]]*RANDBETWEEN(8,12)/10,0)</f>
        <v>29</v>
      </c>
      <c r="J77" s="4">
        <f ca="1">ROUND(T_Facebook_Ads[[#This Row],[video_views]]*RANDBETWEEN(8,12)/10,0)</f>
        <v>1234</v>
      </c>
      <c r="K77" s="4">
        <f ca="1">T_Facebook_Ads[[#This Row],[engagement_rate]]*RANDBETWEEN(8,12)/10</f>
        <v>4.095E-2</v>
      </c>
      <c r="L77" s="4">
        <f ca="1">ROUND(T_Facebook_Ads[[#This Row],[reach]]*RANDBETWEEN(8,12)/10,0)</f>
        <v>9876</v>
      </c>
      <c r="M77" s="4">
        <f ca="1">T_Facebook_Ads[[#This Row],[frequency]]*RANDBETWEEN(8,12)/10</f>
        <v>1.008</v>
      </c>
      <c r="O77" s="3">
        <f t="shared" ca="1" si="10"/>
        <v>45095</v>
      </c>
      <c r="P77" s="4" t="s">
        <v>80</v>
      </c>
      <c r="Q77" s="4" t="s">
        <v>81</v>
      </c>
      <c r="R77" s="4" t="s">
        <v>82</v>
      </c>
      <c r="S77" s="4" t="s">
        <v>83</v>
      </c>
      <c r="T77" s="4">
        <f ca="1">ROUND(_Google_ads[[#This Row],[impressions]]*RANDBETWEEN(8,12)/10,0)</f>
        <v>47179</v>
      </c>
      <c r="U77" s="4">
        <f ca="1">ROUND(_Google_ads[[#This Row],[clicks]]*RANDBETWEEN(8,12)/10,0)</f>
        <v>676</v>
      </c>
      <c r="V77" s="4">
        <f ca="1">_Google_ads[[#This Row],[cost]]*RANDBETWEEN(8,12)/10</f>
        <v>494.37</v>
      </c>
      <c r="W77" s="4">
        <f ca="1">ROUND(_Google_ads[[#This Row],[conversions]]*RANDBETWEEN(8,12)/10,0)</f>
        <v>24</v>
      </c>
      <c r="X77" s="4">
        <f ca="1">ROUND(_Google_ads[[#This Row],[conversion_value]]*RANDBETWEEN(8,12)/10,0)</f>
        <v>1320</v>
      </c>
      <c r="Y77" s="4">
        <f ca="1">_Google_ads[[#This Row],[ctr]]*RANDBETWEEN(8,12)/10</f>
        <v>1.7729999999999999E-2</v>
      </c>
      <c r="Z77" s="4">
        <f ca="1">_Google_ads[[#This Row],[avg_cpc]]*RANDBETWEEN(8,12)/10</f>
        <v>0.52</v>
      </c>
      <c r="AA77" s="4">
        <f ca="1">ROUND(_Google_ads[[#This Row],[quality_score]]*RANDBETWEEN(8,12)/10,0)</f>
        <v>6</v>
      </c>
      <c r="AB77" s="4">
        <f ca="1">_Google_ads[[#This Row],[search_impression_share]]*RANDBETWEEN(8,12)/10</f>
        <v>0.39600000000000002</v>
      </c>
      <c r="AD77" s="3">
        <f t="shared" ca="1" si="11"/>
        <v>45088</v>
      </c>
      <c r="AE77" s="4" t="s">
        <v>104</v>
      </c>
      <c r="AF77" s="4" t="s">
        <v>105</v>
      </c>
      <c r="AG77" s="4" t="s">
        <v>106</v>
      </c>
      <c r="AH77" s="4" t="s">
        <v>107</v>
      </c>
      <c r="AI77" s="4">
        <f ca="1">ROUND(T_Tiktok_ads[[#This Row],[impressions]]*RANDBETWEEN(8,12)/10,0)</f>
        <v>134011</v>
      </c>
      <c r="AJ77" s="4">
        <f ca="1">ROUND(T_Tiktok_ads[[#This Row],[clicks]]*RANDBETWEEN(8,12)/10,0)</f>
        <v>3117</v>
      </c>
      <c r="AK77" s="4">
        <v>767.5</v>
      </c>
      <c r="AL77" s="4">
        <f ca="1">ROUND(T_Tiktok_ads[[#This Row],[conversions]]*RANDBETWEEN(8,12)/10,0)</f>
        <v>62</v>
      </c>
      <c r="AM77" s="4">
        <f ca="1">ROUND(T_Tiktok_ads[[#This Row],[video_views]]*RANDBETWEEN(8,12)/10,0)</f>
        <v>103456</v>
      </c>
      <c r="AN77" s="4">
        <f ca="1">ROUND(T_Tiktok_ads[[#This Row],[video_watch_25]]*RANDBETWEEN(8,12)/10,0)</f>
        <v>91481</v>
      </c>
      <c r="AO77" s="4">
        <f ca="1">ROUND(T_Tiktok_ads[[#This Row],[video_watch_50]]*RANDBETWEEN(8,12)/10,0)</f>
        <v>51234</v>
      </c>
      <c r="AP77" s="4">
        <f ca="1">ROUND(T_Tiktok_ads[[#This Row],[video_watch_75]]*RANDBETWEEN(8,12)/10,0)</f>
        <v>34710</v>
      </c>
      <c r="AQ77" s="4">
        <f ca="1">ROUND(T_Tiktok_ads[[#This Row],[video_watch_100]]*RANDBETWEEN(8,12)/10,0)</f>
        <v>25789</v>
      </c>
      <c r="AR77" s="4">
        <f ca="1">ROUND(T_Tiktok_ads[[#This Row],[likes]]*RANDBETWEEN(8,12)/10,0)</f>
        <v>5123</v>
      </c>
      <c r="AS77" s="4">
        <f ca="1">ROUND(T_Tiktok_ads[[#This Row],[shares]]*RANDBETWEEN(8,12)/10,0)</f>
        <v>1747</v>
      </c>
      <c r="AT77" s="4">
        <f ca="1">ROUND(T_Tiktok_ads[[#This Row],[comments]]*RANDBETWEEN(8,12)/10,0)</f>
        <v>306</v>
      </c>
      <c r="AV77" s="5">
        <f t="shared" ca="1" si="12"/>
        <v>45090</v>
      </c>
      <c r="AW77">
        <f t="shared" ca="1" si="13"/>
        <v>3</v>
      </c>
      <c r="AX77">
        <f ca="1">ROUND(T_Facebook_Ads115963677175[[#This Row],[impressions]]*RANDBETWEEN(8,12)/10,0)</f>
        <v>13452</v>
      </c>
      <c r="AY77">
        <f ca="1">ROUND(T_Facebook_Ads115963677175[[#This Row],[clicks]]*RANDBETWEEN(8,12)/10,0)</f>
        <v>510</v>
      </c>
      <c r="AZ77">
        <f ca="1">T_Facebook_Ads115963677175[[#This Row],[spend]]*RANDBETWEEN(8,12)/10</f>
        <v>253.61599999999999</v>
      </c>
      <c r="BA77">
        <f ca="1">ROUND(T_Facebook_Ads115963677175[[#This Row],[conversions]]*RANDBETWEEN(8,12)/10,0)</f>
        <v>32</v>
      </c>
      <c r="BB77">
        <f ca="1">ROUND(T_Facebook_Ads115963677175[[#This Row],[video_views]]*RANDBETWEEN(8,12)/10,0)</f>
        <v>1234</v>
      </c>
    </row>
    <row r="78" spans="1:54" ht="15.75" thickBot="1" x14ac:dyDescent="0.3">
      <c r="A78" s="3">
        <f t="shared" ca="1" si="9"/>
        <v>45103</v>
      </c>
      <c r="B78" s="4" t="s">
        <v>60</v>
      </c>
      <c r="C78" s="4" t="s">
        <v>61</v>
      </c>
      <c r="D78" s="4" t="s">
        <v>62</v>
      </c>
      <c r="E78" s="4" t="s">
        <v>63</v>
      </c>
      <c r="F78" s="4">
        <f ca="1">ROUND(T_Facebook_Ads[[#This Row],[impressions]]*RANDBETWEEN(8,12)/10,0)</f>
        <v>28098</v>
      </c>
      <c r="G78" s="4">
        <v>1267</v>
      </c>
      <c r="H78" s="4">
        <f ca="1">T_Facebook_Ads[[#This Row],[spend]]*RANDBETWEEN(8,12)/10</f>
        <v>233.4</v>
      </c>
      <c r="I78" s="4">
        <f ca="1">ROUND(T_Facebook_Ads[[#This Row],[conversions]]*RANDBETWEEN(8,12)/10,0)</f>
        <v>29</v>
      </c>
      <c r="J78" s="4">
        <f ca="1">ROUND(T_Facebook_Ads[[#This Row],[video_views]]*RANDBETWEEN(8,12)/10,0)</f>
        <v>3476</v>
      </c>
      <c r="K78" s="4">
        <f ca="1">T_Facebook_Ads[[#This Row],[engagement_rate]]*RANDBETWEEN(8,12)/10</f>
        <v>3.2490000000000005E-2</v>
      </c>
      <c r="L78" s="4">
        <f ca="1">ROUND(T_Facebook_Ads[[#This Row],[reach]]*RANDBETWEEN(8,12)/10,0)</f>
        <v>32035</v>
      </c>
      <c r="M78" s="4">
        <f ca="1">T_Facebook_Ads[[#This Row],[frequency]]*RANDBETWEEN(8,12)/10</f>
        <v>1.089</v>
      </c>
      <c r="O78" s="3">
        <f t="shared" ca="1" si="10"/>
        <v>45085</v>
      </c>
      <c r="P78" s="4" t="s">
        <v>84</v>
      </c>
      <c r="Q78" s="4" t="s">
        <v>85</v>
      </c>
      <c r="R78" s="4" t="s">
        <v>86</v>
      </c>
      <c r="S78" s="4" t="s">
        <v>87</v>
      </c>
      <c r="T78" s="4">
        <f ca="1">ROUND(_Google_ads[[#This Row],[impressions]]*RANDBETWEEN(8,12)/10,0)</f>
        <v>60110</v>
      </c>
      <c r="U78" s="4">
        <f ca="1">ROUND(_Google_ads[[#This Row],[clicks]]*RANDBETWEEN(8,12)/10,0)</f>
        <v>2001</v>
      </c>
      <c r="V78" s="4">
        <f ca="1">_Google_ads[[#This Row],[cost]]*RANDBETWEEN(8,12)/10</f>
        <v>448.68999999999994</v>
      </c>
      <c r="W78" s="4">
        <f ca="1">ROUND(_Google_ads[[#This Row],[conversions]]*RANDBETWEEN(8,12)/10,0)</f>
        <v>70</v>
      </c>
      <c r="X78" s="4">
        <f ca="1">ROUND(_Google_ads[[#This Row],[conversion_value]]*RANDBETWEEN(8,12)/10,0)</f>
        <v>2560</v>
      </c>
      <c r="Y78" s="4">
        <f ca="1">_Google_ads[[#This Row],[ctr]]*RANDBETWEEN(8,12)/10</f>
        <v>2.9970000000000004E-2</v>
      </c>
      <c r="Z78" s="4">
        <f ca="1">_Google_ads[[#This Row],[avg_cpc]]*RANDBETWEEN(8,12)/10</f>
        <v>0.19800000000000001</v>
      </c>
      <c r="AA78" s="4">
        <f ca="1">ROUND(_Google_ads[[#This Row],[quality_score]]*RANDBETWEEN(8,12)/10,0)</f>
        <v>9</v>
      </c>
      <c r="AB78" s="4">
        <f ca="1">_Google_ads[[#This Row],[search_impression_share]]*RANDBETWEEN(8,12)/10</f>
        <v>0.59400000000000008</v>
      </c>
      <c r="AD78" s="3">
        <f t="shared" ca="1" si="11"/>
        <v>45105</v>
      </c>
      <c r="AE78" s="4" t="s">
        <v>108</v>
      </c>
      <c r="AF78" s="4" t="s">
        <v>109</v>
      </c>
      <c r="AG78" s="4" t="s">
        <v>110</v>
      </c>
      <c r="AH78" s="4" t="s">
        <v>111</v>
      </c>
      <c r="AI78" s="4">
        <f ca="1">ROUND(T_Tiktok_ads[[#This Row],[impressions]]*RANDBETWEEN(8,12)/10,0)</f>
        <v>183121</v>
      </c>
      <c r="AJ78" s="4">
        <f ca="1">ROUND(T_Tiktok_ads[[#This Row],[clicks]]*RANDBETWEEN(8,12)/10,0)</f>
        <v>2907</v>
      </c>
      <c r="AK78" s="4">
        <v>441.9</v>
      </c>
      <c r="AL78" s="4">
        <f ca="1">ROUND(T_Tiktok_ads[[#This Row],[conversions]]*RANDBETWEEN(8,12)/10,0)</f>
        <v>34</v>
      </c>
      <c r="AM78" s="4">
        <f ca="1">ROUND(T_Tiktok_ads[[#This Row],[video_views]]*RANDBETWEEN(8,12)/10,0)</f>
        <v>218814</v>
      </c>
      <c r="AN78" s="4">
        <f ca="1">ROUND(T_Tiktok_ads[[#This Row],[video_watch_25]]*RANDBETWEEN(8,12)/10,0)</f>
        <v>165468</v>
      </c>
      <c r="AO78" s="4">
        <f ca="1">ROUND(T_Tiktok_ads[[#This Row],[video_watch_50]]*RANDBETWEEN(8,12)/10,0)</f>
        <v>130681</v>
      </c>
      <c r="AP78" s="4">
        <f ca="1">ROUND(T_Tiktok_ads[[#This Row],[video_watch_75]]*RANDBETWEEN(8,12)/10,0)</f>
        <v>84680</v>
      </c>
      <c r="AQ78" s="4">
        <f ca="1">ROUND(T_Tiktok_ads[[#This Row],[video_watch_100]]*RANDBETWEEN(8,12)/10,0)</f>
        <v>51347</v>
      </c>
      <c r="AR78" s="4">
        <f ca="1">ROUND(T_Tiktok_ads[[#This Row],[likes]]*RANDBETWEEN(8,12)/10,0)</f>
        <v>7610</v>
      </c>
      <c r="AS78" s="4">
        <f ca="1">ROUND(T_Tiktok_ads[[#This Row],[shares]]*RANDBETWEEN(8,12)/10,0)</f>
        <v>2301</v>
      </c>
      <c r="AT78" s="4">
        <f ca="1">ROUND(T_Tiktok_ads[[#This Row],[comments]]*RANDBETWEEN(8,12)/10,0)</f>
        <v>545</v>
      </c>
      <c r="AV78" s="5">
        <f t="shared" ca="1" si="12"/>
        <v>45091</v>
      </c>
      <c r="AW78">
        <f t="shared" ca="1" si="13"/>
        <v>3</v>
      </c>
      <c r="AX78">
        <f ca="1">ROUND(T_Facebook_Ads115963677175[[#This Row],[impressions]]*RANDBETWEEN(8,12)/10,0)</f>
        <v>33718</v>
      </c>
      <c r="AY78">
        <f ca="1">ROUND(T_Facebook_Ads115963677175[[#This Row],[clicks]]*RANDBETWEEN(8,12)/10,0)</f>
        <v>1140</v>
      </c>
      <c r="AZ78">
        <f ca="1">T_Facebook_Ads115963677175[[#This Row],[spend]]*RANDBETWEEN(8,12)/10</f>
        <v>280.08000000000004</v>
      </c>
      <c r="BA78">
        <f ca="1">ROUND(T_Facebook_Ads115963677175[[#This Row],[conversions]]*RANDBETWEEN(8,12)/10,0)</f>
        <v>35</v>
      </c>
      <c r="BB78">
        <f ca="1">ROUND(T_Facebook_Ads115963677175[[#This Row],[video_views]]*RANDBETWEEN(8,12)/10,0)</f>
        <v>3128</v>
      </c>
    </row>
    <row r="79" spans="1:54" ht="15.75" thickBot="1" x14ac:dyDescent="0.3">
      <c r="A79" s="3">
        <f t="shared" ca="1" si="9"/>
        <v>45092</v>
      </c>
      <c r="B79" s="4" t="s">
        <v>64</v>
      </c>
      <c r="C79" s="4" t="s">
        <v>65</v>
      </c>
      <c r="D79" s="4" t="s">
        <v>66</v>
      </c>
      <c r="E79" s="4" t="s">
        <v>67</v>
      </c>
      <c r="F79" s="4">
        <f ca="1">ROUND(T_Facebook_Ads[[#This Row],[impressions]]*RANDBETWEEN(8,12)/10,0)</f>
        <v>66789</v>
      </c>
      <c r="G79" s="4">
        <v>245</v>
      </c>
      <c r="H79" s="4">
        <f ca="1">T_Facebook_Ads[[#This Row],[spend]]*RANDBETWEEN(8,12)/10</f>
        <v>84.7</v>
      </c>
      <c r="I79" s="4">
        <f ca="1">ROUND(T_Facebook_Ads[[#This Row],[conversions]]*RANDBETWEEN(8,12)/10,0)</f>
        <v>5</v>
      </c>
      <c r="J79" s="4">
        <f ca="1">ROUND(T_Facebook_Ads[[#This Row],[video_views]]*RANDBETWEEN(8,12)/10,0)</f>
        <v>49024</v>
      </c>
      <c r="K79" s="4">
        <f ca="1">T_Facebook_Ads[[#This Row],[engagement_rate]]*RANDBETWEEN(8,12)/10</f>
        <v>2.96E-3</v>
      </c>
      <c r="L79" s="4">
        <f ca="1">ROUND(T_Facebook_Ads[[#This Row],[reach]]*RANDBETWEEN(8,12)/10,0)</f>
        <v>54890</v>
      </c>
      <c r="M79" s="4">
        <f ca="1">T_Facebook_Ads[[#This Row],[frequency]]*RANDBETWEEN(8,12)/10</f>
        <v>1.22</v>
      </c>
      <c r="O79" s="3">
        <f t="shared" ca="1" si="10"/>
        <v>45101</v>
      </c>
      <c r="P79" s="4" t="s">
        <v>88</v>
      </c>
      <c r="Q79" s="4" t="s">
        <v>89</v>
      </c>
      <c r="R79" s="4" t="s">
        <v>90</v>
      </c>
      <c r="S79" s="4" t="s">
        <v>59</v>
      </c>
      <c r="T79" s="4">
        <f ca="1">ROUND(_Google_ads[[#This Row],[impressions]]*RANDBETWEEN(8,12)/10,0)</f>
        <v>115101</v>
      </c>
      <c r="U79" s="4">
        <f ca="1">ROUND(_Google_ads[[#This Row],[clicks]]*RANDBETWEEN(8,12)/10,0)</f>
        <v>365</v>
      </c>
      <c r="V79" s="4">
        <f ca="1">_Google_ads[[#This Row],[cost]]*RANDBETWEEN(8,12)/10</f>
        <v>138.16</v>
      </c>
      <c r="W79" s="4">
        <f ca="1">ROUND(_Google_ads[[#This Row],[conversions]]*RANDBETWEEN(8,12)/10,0)</f>
        <v>10</v>
      </c>
      <c r="X79" s="4">
        <f ca="1">ROUND(_Google_ads[[#This Row],[conversion_value]]*RANDBETWEEN(8,12)/10,0)</f>
        <v>715</v>
      </c>
      <c r="Y79" s="4">
        <f ca="1">_Google_ads[[#This Row],[ctr]]*RANDBETWEEN(8,12)/10</f>
        <v>3.5999999999999999E-3</v>
      </c>
      <c r="Z79" s="4">
        <f ca="1">_Google_ads[[#This Row],[avg_cpc]]*RANDBETWEEN(8,12)/10</f>
        <v>0.22400000000000003</v>
      </c>
      <c r="AA79" s="4">
        <f ca="1">ROUND(_Google_ads[[#This Row],[quality_score]]*RANDBETWEEN(8,12)/10,0)</f>
        <v>8</v>
      </c>
      <c r="AB79" s="4">
        <f ca="1">_Google_ads[[#This Row],[search_impression_share]]*RANDBETWEEN(8,12)/10</f>
        <v>0.30599999999999999</v>
      </c>
      <c r="AD79" s="3">
        <f t="shared" ca="1" si="11"/>
        <v>45091</v>
      </c>
      <c r="AE79" s="4" t="s">
        <v>112</v>
      </c>
      <c r="AF79" s="4" t="s">
        <v>113</v>
      </c>
      <c r="AG79" s="4" t="s">
        <v>114</v>
      </c>
      <c r="AH79" s="4" t="s">
        <v>115</v>
      </c>
      <c r="AI79" s="4">
        <f ca="1">ROUND(T_Tiktok_ads[[#This Row],[impressions]]*RANDBETWEEN(8,12)/10,0)</f>
        <v>478280</v>
      </c>
      <c r="AJ79" s="4">
        <f ca="1">ROUND(T_Tiktok_ads[[#This Row],[clicks]]*RANDBETWEEN(8,12)/10,0)</f>
        <v>5227</v>
      </c>
      <c r="AK79" s="4">
        <v>998.7</v>
      </c>
      <c r="AL79" s="4">
        <f ca="1">ROUND(T_Tiktok_ads[[#This Row],[conversions]]*RANDBETWEEN(8,12)/10,0)</f>
        <v>98</v>
      </c>
      <c r="AM79" s="4">
        <f ca="1">ROUND(T_Tiktok_ads[[#This Row],[video_views]]*RANDBETWEEN(8,12)/10,0)</f>
        <v>398814</v>
      </c>
      <c r="AN79" s="4">
        <f ca="1">ROUND(T_Tiktok_ads[[#This Row],[video_watch_25]]*RANDBETWEEN(8,12)/10,0)</f>
        <v>294679</v>
      </c>
      <c r="AO79" s="4">
        <f ca="1">ROUND(T_Tiktok_ads[[#This Row],[video_watch_50]]*RANDBETWEEN(8,12)/10,0)</f>
        <v>236024</v>
      </c>
      <c r="AP79" s="4">
        <f ca="1">ROUND(T_Tiktok_ads[[#This Row],[video_watch_75]]*RANDBETWEEN(8,12)/10,0)</f>
        <v>181481</v>
      </c>
      <c r="AQ79" s="4">
        <f ca="1">ROUND(T_Tiktok_ads[[#This Row],[video_watch_100]]*RANDBETWEEN(8,12)/10,0)</f>
        <v>119480</v>
      </c>
      <c r="AR79" s="4">
        <f ca="1">ROUND(T_Tiktok_ads[[#This Row],[likes]]*RANDBETWEEN(8,12)/10,0)</f>
        <v>21307</v>
      </c>
      <c r="AS79" s="4">
        <f ca="1">ROUND(T_Tiktok_ads[[#This Row],[shares]]*RANDBETWEEN(8,12)/10,0)</f>
        <v>6014</v>
      </c>
      <c r="AT79" s="4">
        <f ca="1">ROUND(T_Tiktok_ads[[#This Row],[comments]]*RANDBETWEEN(8,12)/10,0)</f>
        <v>1528</v>
      </c>
      <c r="AV79" s="5">
        <f t="shared" ca="1" si="12"/>
        <v>45106</v>
      </c>
      <c r="AW79">
        <f t="shared" ca="1" si="13"/>
        <v>1</v>
      </c>
      <c r="AX79">
        <f ca="1">ROUND(T_Facebook_Ads115963677175[[#This Row],[impressions]]*RANDBETWEEN(8,12)/10,0)</f>
        <v>60110</v>
      </c>
      <c r="AY79">
        <f ca="1">ROUND(T_Facebook_Ads115963677175[[#This Row],[clicks]]*RANDBETWEEN(8,12)/10,0)</f>
        <v>221</v>
      </c>
      <c r="AZ79">
        <f ca="1">T_Facebook_Ads115963677175[[#This Row],[spend]]*RANDBETWEEN(8,12)/10</f>
        <v>84.7</v>
      </c>
      <c r="BA79">
        <f ca="1">ROUND(T_Facebook_Ads115963677175[[#This Row],[conversions]]*RANDBETWEEN(8,12)/10,0)</f>
        <v>5</v>
      </c>
      <c r="BB79">
        <f ca="1">ROUND(T_Facebook_Ads115963677175[[#This Row],[video_views]]*RANDBETWEEN(8,12)/10,0)</f>
        <v>58829</v>
      </c>
    </row>
    <row r="80" spans="1:54" ht="15.75" thickBot="1" x14ac:dyDescent="0.3">
      <c r="A80" s="3">
        <f t="shared" ca="1" si="9"/>
        <v>45087</v>
      </c>
      <c r="B80" s="4" t="s">
        <v>52</v>
      </c>
      <c r="C80" s="4" t="s">
        <v>53</v>
      </c>
      <c r="D80" s="4" t="s">
        <v>54</v>
      </c>
      <c r="E80" s="4" t="s">
        <v>55</v>
      </c>
      <c r="F80" s="4">
        <f ca="1">ROUND(T_Facebook_Ads[[#This Row],[impressions]]*RANDBETWEEN(8,12)/10,0)</f>
        <v>53424</v>
      </c>
      <c r="G80" s="4">
        <v>989</v>
      </c>
      <c r="H80" s="4">
        <f ca="1">T_Facebook_Ads[[#This Row],[spend]]*RANDBETWEEN(8,12)/10</f>
        <v>168.36</v>
      </c>
      <c r="I80" s="4">
        <f ca="1">ROUND(T_Facebook_Ads[[#This Row],[conversions]]*RANDBETWEEN(8,12)/10,0)</f>
        <v>12</v>
      </c>
      <c r="J80" s="4">
        <f ca="1">ROUND(T_Facebook_Ads[[#This Row],[video_views]]*RANDBETWEEN(8,12)/10,0)</f>
        <v>7156</v>
      </c>
      <c r="K80" s="4">
        <f ca="1">T_Facebook_Ads[[#This Row],[engagement_rate]]*RANDBETWEEN(8,12)/10</f>
        <v>1.8360000000000001E-2</v>
      </c>
      <c r="L80" s="4">
        <f ca="1">ROUND(T_Facebook_Ads[[#This Row],[reach]]*RANDBETWEEN(8,12)/10,0)</f>
        <v>48547</v>
      </c>
      <c r="M80" s="4">
        <f ca="1">T_Facebook_Ads[[#This Row],[frequency]]*RANDBETWEEN(8,12)/10</f>
        <v>0.96</v>
      </c>
      <c r="O80" s="3">
        <f t="shared" ca="1" si="10"/>
        <v>45081</v>
      </c>
      <c r="P80" s="4" t="s">
        <v>76</v>
      </c>
      <c r="Q80" s="4" t="s">
        <v>77</v>
      </c>
      <c r="R80" s="4" t="s">
        <v>78</v>
      </c>
      <c r="S80" s="4" t="s">
        <v>79</v>
      </c>
      <c r="T80" s="4">
        <f ca="1">ROUND(_Google_ads[[#This Row],[impressions]]*RANDBETWEEN(8,12)/10,0)</f>
        <v>23110</v>
      </c>
      <c r="U80" s="4">
        <f ca="1">ROUND(_Google_ads[[#This Row],[clicks]]*RANDBETWEEN(8,12)/10,0)</f>
        <v>1220</v>
      </c>
      <c r="V80" s="4">
        <f ca="1">_Google_ads[[#This Row],[cost]]*RANDBETWEEN(8,12)/10</f>
        <v>207.51999999999998</v>
      </c>
      <c r="W80" s="4">
        <f ca="1">ROUND(_Google_ads[[#This Row],[conversions]]*RANDBETWEEN(8,12)/10,0)</f>
        <v>41</v>
      </c>
      <c r="X80" s="4">
        <f ca="1">ROUND(_Google_ads[[#This Row],[conversion_value]]*RANDBETWEEN(8,12)/10,0)</f>
        <v>3060</v>
      </c>
      <c r="Y80" s="4">
        <f ca="1">_Google_ads[[#This Row],[ctr]]*RANDBETWEEN(8,12)/10</f>
        <v>4.752E-2</v>
      </c>
      <c r="Z80" s="4">
        <f ca="1">_Google_ads[[#This Row],[avg_cpc]]*RANDBETWEEN(8,12)/10</f>
        <v>0.152</v>
      </c>
      <c r="AA80" s="4">
        <f ca="1">ROUND(_Google_ads[[#This Row],[quality_score]]*RANDBETWEEN(8,12)/10,0)</f>
        <v>11</v>
      </c>
      <c r="AB80" s="4">
        <f ca="1">_Google_ads[[#This Row],[search_impression_share]]*RANDBETWEEN(8,12)/10</f>
        <v>1.1040000000000001</v>
      </c>
      <c r="AD80" s="3">
        <f t="shared" ca="1" si="11"/>
        <v>45091</v>
      </c>
      <c r="AE80" s="4" t="s">
        <v>100</v>
      </c>
      <c r="AF80" s="4" t="s">
        <v>101</v>
      </c>
      <c r="AG80" s="4" t="s">
        <v>102</v>
      </c>
      <c r="AH80" s="4" t="s">
        <v>103</v>
      </c>
      <c r="AI80" s="4">
        <f ca="1">ROUND(T_Tiktok_ads[[#This Row],[impressions]]*RANDBETWEEN(8,12)/10,0)</f>
        <v>317913</v>
      </c>
      <c r="AJ80" s="4">
        <f ca="1">ROUND(T_Tiktok_ads[[#This Row],[clicks]]*RANDBETWEEN(8,12)/10,0)</f>
        <v>4657</v>
      </c>
      <c r="AK80" s="4">
        <v>556.70000000000005</v>
      </c>
      <c r="AL80" s="4">
        <f ca="1">ROUND(T_Tiktok_ads[[#This Row],[conversions]]*RANDBETWEEN(8,12)/10,0)</f>
        <v>34</v>
      </c>
      <c r="AM80" s="4">
        <f ca="1">ROUND(T_Tiktok_ads[[#This Row],[video_views]]*RANDBETWEEN(8,12)/10,0)</f>
        <v>281480</v>
      </c>
      <c r="AN80" s="4">
        <f ca="1">ROUND(T_Tiktok_ads[[#This Row],[video_watch_25]]*RANDBETWEEN(8,12)/10,0)</f>
        <v>200580</v>
      </c>
      <c r="AO80" s="4">
        <f ca="1">ROUND(T_Tiktok_ads[[#This Row],[video_watch_50]]*RANDBETWEEN(8,12)/10,0)</f>
        <v>103110</v>
      </c>
      <c r="AP80" s="4">
        <f ca="1">ROUND(T_Tiktok_ads[[#This Row],[video_watch_75]]*RANDBETWEEN(8,12)/10,0)</f>
        <v>92681</v>
      </c>
      <c r="AQ80" s="4">
        <f ca="1">ROUND(T_Tiktok_ads[[#This Row],[video_watch_100]]*RANDBETWEEN(8,12)/10,0)</f>
        <v>61481</v>
      </c>
      <c r="AR80" s="4">
        <f ca="1">ROUND(T_Tiktok_ads[[#This Row],[likes]]*RANDBETWEEN(8,12)/10,0)</f>
        <v>12414</v>
      </c>
      <c r="AS80" s="4">
        <f ca="1">ROUND(T_Tiktok_ads[[#This Row],[shares]]*RANDBETWEEN(8,12)/10,0)</f>
        <v>3347</v>
      </c>
      <c r="AT80" s="4">
        <f ca="1">ROUND(T_Tiktok_ads[[#This Row],[comments]]*RANDBETWEEN(8,12)/10,0)</f>
        <v>525</v>
      </c>
      <c r="AV80" s="5">
        <f t="shared" ca="1" si="12"/>
        <v>45089</v>
      </c>
      <c r="AW80">
        <f t="shared" ca="1" si="13"/>
        <v>4</v>
      </c>
      <c r="AX80">
        <f ca="1">ROUND(T_Facebook_Ads115963677175[[#This Row],[impressions]]*RANDBETWEEN(8,12)/10,0)</f>
        <v>42739</v>
      </c>
      <c r="AY80">
        <f ca="1">ROUND(T_Facebook_Ads115963677175[[#This Row],[clicks]]*RANDBETWEEN(8,12)/10,0)</f>
        <v>1088</v>
      </c>
      <c r="AZ80">
        <f ca="1">T_Facebook_Ads115963677175[[#This Row],[spend]]*RANDBETWEEN(8,12)/10</f>
        <v>168.36</v>
      </c>
      <c r="BA80">
        <f ca="1">ROUND(T_Facebook_Ads115963677175[[#This Row],[conversions]]*RANDBETWEEN(8,12)/10,0)</f>
        <v>12</v>
      </c>
      <c r="BB80">
        <f ca="1">ROUND(T_Facebook_Ads115963677175[[#This Row],[video_views]]*RANDBETWEEN(8,12)/10,0)</f>
        <v>7156</v>
      </c>
    </row>
    <row r="81" spans="1:54" ht="15.75" thickBot="1" x14ac:dyDescent="0.3">
      <c r="A81" s="3">
        <f t="shared" ca="1" si="9"/>
        <v>45086</v>
      </c>
      <c r="B81" s="4" t="s">
        <v>56</v>
      </c>
      <c r="C81" s="4" t="s">
        <v>57</v>
      </c>
      <c r="D81" s="4" t="s">
        <v>58</v>
      </c>
      <c r="E81" s="4" t="s">
        <v>59</v>
      </c>
      <c r="F81" s="4">
        <f ca="1">ROUND(T_Facebook_Ads[[#This Row],[impressions]]*RANDBETWEEN(8,12)/10,0)</f>
        <v>15168</v>
      </c>
      <c r="G81" s="4">
        <v>623</v>
      </c>
      <c r="H81" s="4">
        <f ca="1">T_Facebook_Ads[[#This Row],[spend]]*RANDBETWEEN(8,12)/10</f>
        <v>229.8</v>
      </c>
      <c r="I81" s="4">
        <f ca="1">ROUND(T_Facebook_Ads[[#This Row],[conversions]]*RANDBETWEEN(8,12)/10,0)</f>
        <v>42</v>
      </c>
      <c r="J81" s="4">
        <f ca="1">ROUND(T_Facebook_Ads[[#This Row],[video_views]]*RANDBETWEEN(8,12)/10,0)</f>
        <v>1638</v>
      </c>
      <c r="K81" s="4">
        <f ca="1">T_Facebook_Ads[[#This Row],[engagement_rate]]*RANDBETWEEN(8,12)/10</f>
        <v>4.5199999999999997E-2</v>
      </c>
      <c r="L81" s="4">
        <f ca="1">ROUND(T_Facebook_Ads[[#This Row],[reach]]*RANDBETWEEN(8,12)/10,0)</f>
        <v>11868</v>
      </c>
      <c r="M81" s="4">
        <f ca="1">T_Facebook_Ads[[#This Row],[frequency]]*RANDBETWEEN(8,12)/10</f>
        <v>1.536</v>
      </c>
      <c r="O81" s="3">
        <f t="shared" ca="1" si="10"/>
        <v>45079</v>
      </c>
      <c r="P81" s="4" t="s">
        <v>80</v>
      </c>
      <c r="Q81" s="4" t="s">
        <v>81</v>
      </c>
      <c r="R81" s="4" t="s">
        <v>82</v>
      </c>
      <c r="S81" s="4" t="s">
        <v>83</v>
      </c>
      <c r="T81" s="4">
        <f ca="1">ROUND(_Google_ads[[#This Row],[impressions]]*RANDBETWEEN(8,12)/10,0)</f>
        <v>45123</v>
      </c>
      <c r="U81" s="4">
        <f ca="1">ROUND(_Google_ads[[#This Row],[clicks]]*RANDBETWEEN(8,12)/10,0)</f>
        <v>912</v>
      </c>
      <c r="V81" s="4">
        <f ca="1">_Google_ads[[#This Row],[cost]]*RANDBETWEEN(8,12)/10</f>
        <v>577.79999999999995</v>
      </c>
      <c r="W81" s="4">
        <f ca="1">ROUND(_Google_ads[[#This Row],[conversions]]*RANDBETWEEN(8,12)/10,0)</f>
        <v>29</v>
      </c>
      <c r="X81" s="4">
        <f ca="1">ROUND(_Google_ads[[#This Row],[conversion_value]]*RANDBETWEEN(8,12)/10,0)</f>
        <v>1200</v>
      </c>
      <c r="Y81" s="4">
        <f ca="1">_Google_ads[[#This Row],[ctr]]*RANDBETWEEN(8,12)/10</f>
        <v>1.8179999999999998E-2</v>
      </c>
      <c r="Z81" s="4">
        <f ca="1">_Google_ads[[#This Row],[avg_cpc]]*RANDBETWEEN(8,12)/10</f>
        <v>0.69299999999999995</v>
      </c>
      <c r="AA81" s="4">
        <f ca="1">ROUND(_Google_ads[[#This Row],[quality_score]]*RANDBETWEEN(8,12)/10,0)</f>
        <v>7</v>
      </c>
      <c r="AB81" s="4">
        <f ca="1">_Google_ads[[#This Row],[search_impression_share]]*RANDBETWEEN(8,12)/10</f>
        <v>0.40499999999999997</v>
      </c>
      <c r="AD81" s="3">
        <f t="shared" ca="1" si="11"/>
        <v>45095</v>
      </c>
      <c r="AE81" s="4" t="s">
        <v>104</v>
      </c>
      <c r="AF81" s="4" t="s">
        <v>105</v>
      </c>
      <c r="AG81" s="4" t="s">
        <v>106</v>
      </c>
      <c r="AH81" s="4" t="s">
        <v>107</v>
      </c>
      <c r="AI81" s="4">
        <f ca="1">ROUND(T_Tiktok_ads[[#This Row],[impressions]]*RANDBETWEEN(8,12)/10,0)</f>
        <v>141110</v>
      </c>
      <c r="AJ81" s="4">
        <f ca="1">ROUND(T_Tiktok_ads[[#This Row],[clicks]]*RANDBETWEEN(8,12)/10,0)</f>
        <v>3012</v>
      </c>
      <c r="AK81" s="4">
        <v>812.3</v>
      </c>
      <c r="AL81" s="4">
        <f ca="1">ROUND(T_Tiktok_ads[[#This Row],[conversions]]*RANDBETWEEN(8,12)/10,0)</f>
        <v>66</v>
      </c>
      <c r="AM81" s="4">
        <f ca="1">ROUND(T_Tiktok_ads[[#This Row],[video_views]]*RANDBETWEEN(8,12)/10,0)</f>
        <v>131851</v>
      </c>
      <c r="AN81" s="4">
        <f ca="1">ROUND(T_Tiktok_ads[[#This Row],[video_watch_25]]*RANDBETWEEN(8,12)/10,0)</f>
        <v>73111</v>
      </c>
      <c r="AO81" s="4">
        <f ca="1">ROUND(T_Tiktok_ads[[#This Row],[video_watch_50]]*RANDBETWEEN(8,12)/10,0)</f>
        <v>60146</v>
      </c>
      <c r="AP81" s="4">
        <f ca="1">ROUND(T_Tiktok_ads[[#This Row],[video_watch_75]]*RANDBETWEEN(8,12)/10,0)</f>
        <v>45357</v>
      </c>
      <c r="AQ81" s="4">
        <f ca="1">ROUND(T_Tiktok_ads[[#This Row],[video_watch_100]]*RANDBETWEEN(8,12)/10,0)</f>
        <v>30324</v>
      </c>
      <c r="AR81" s="4">
        <f ca="1">ROUND(T_Tiktok_ads[[#This Row],[likes]]*RANDBETWEEN(8,12)/10,0)</f>
        <v>5456</v>
      </c>
      <c r="AS81" s="4">
        <f ca="1">ROUND(T_Tiktok_ads[[#This Row],[shares]]*RANDBETWEEN(8,12)/10,0)</f>
        <v>1410</v>
      </c>
      <c r="AT81" s="4">
        <f ca="1">ROUND(T_Tiktok_ads[[#This Row],[comments]]*RANDBETWEEN(8,12)/10,0)</f>
        <v>289</v>
      </c>
      <c r="AV81" s="5">
        <f t="shared" ca="1" si="12"/>
        <v>45103</v>
      </c>
      <c r="AW81">
        <f t="shared" ca="1" si="13"/>
        <v>4</v>
      </c>
      <c r="AX81">
        <f ca="1">ROUND(T_Facebook_Ads115963677175[[#This Row],[impressions]]*RANDBETWEEN(8,12)/10,0)</f>
        <v>18202</v>
      </c>
      <c r="AY81">
        <f ca="1">ROUND(T_Facebook_Ads115963677175[[#This Row],[clicks]]*RANDBETWEEN(8,12)/10,0)</f>
        <v>748</v>
      </c>
      <c r="AZ81">
        <f ca="1">T_Facebook_Ads115963677175[[#This Row],[spend]]*RANDBETWEEN(8,12)/10</f>
        <v>275.76000000000005</v>
      </c>
      <c r="BA81">
        <f ca="1">ROUND(T_Facebook_Ads115963677175[[#This Row],[conversions]]*RANDBETWEEN(8,12)/10,0)</f>
        <v>46</v>
      </c>
      <c r="BB81">
        <f ca="1">ROUND(T_Facebook_Ads115963677175[[#This Row],[video_views]]*RANDBETWEEN(8,12)/10,0)</f>
        <v>1966</v>
      </c>
    </row>
    <row r="82" spans="1:54" ht="15.75" thickBot="1" x14ac:dyDescent="0.3">
      <c r="A82" s="3">
        <f t="shared" ca="1" si="9"/>
        <v>45086</v>
      </c>
      <c r="B82" s="4" t="s">
        <v>60</v>
      </c>
      <c r="C82" s="4" t="s">
        <v>61</v>
      </c>
      <c r="D82" s="4" t="s">
        <v>62</v>
      </c>
      <c r="E82" s="4" t="s">
        <v>63</v>
      </c>
      <c r="F82" s="4">
        <f ca="1">ROUND(T_Facebook_Ads[[#This Row],[impressions]]*RANDBETWEEN(8,12)/10,0)</f>
        <v>41202</v>
      </c>
      <c r="G82" s="4">
        <v>1389</v>
      </c>
      <c r="H82" s="4">
        <f ca="1">T_Facebook_Ads[[#This Row],[spend]]*RANDBETWEEN(8,12)/10</f>
        <v>213.4</v>
      </c>
      <c r="I82" s="4">
        <f ca="1">ROUND(T_Facebook_Ads[[#This Row],[conversions]]*RANDBETWEEN(8,12)/10,0)</f>
        <v>26</v>
      </c>
      <c r="J82" s="4">
        <f ca="1">ROUND(T_Facebook_Ads[[#This Row],[video_views]]*RANDBETWEEN(8,12)/10,0)</f>
        <v>5868</v>
      </c>
      <c r="K82" s="4">
        <f ca="1">T_Facebook_Ads[[#This Row],[engagement_rate]]*RANDBETWEEN(8,12)/10</f>
        <v>3.7100000000000001E-2</v>
      </c>
      <c r="L82" s="4">
        <f ca="1">ROUND(T_Facebook_Ads[[#This Row],[reach]]*RANDBETWEEN(8,12)/10,0)</f>
        <v>30567</v>
      </c>
      <c r="M82" s="4">
        <f ca="1">T_Facebook_Ads[[#This Row],[frequency]]*RANDBETWEEN(8,12)/10</f>
        <v>1.0980000000000001</v>
      </c>
      <c r="O82" s="3">
        <f t="shared" ca="1" si="10"/>
        <v>45088</v>
      </c>
      <c r="P82" s="4" t="s">
        <v>84</v>
      </c>
      <c r="Q82" s="4" t="s">
        <v>85</v>
      </c>
      <c r="R82" s="4" t="s">
        <v>86</v>
      </c>
      <c r="S82" s="4" t="s">
        <v>87</v>
      </c>
      <c r="T82" s="4">
        <f ca="1">ROUND(_Google_ads[[#This Row],[impressions]]*RANDBETWEEN(8,12)/10,0)</f>
        <v>70234</v>
      </c>
      <c r="U82" s="4">
        <f ca="1">ROUND(_Google_ads[[#This Row],[clicks]]*RANDBETWEEN(8,12)/10,0)</f>
        <v>1911</v>
      </c>
      <c r="V82" s="4">
        <f ca="1">_Google_ads[[#This Row],[cost]]*RANDBETWEEN(8,12)/10</f>
        <v>519.12000000000012</v>
      </c>
      <c r="W82" s="4">
        <f ca="1">ROUND(_Google_ads[[#This Row],[conversions]]*RANDBETWEEN(8,12)/10,0)</f>
        <v>83</v>
      </c>
      <c r="X82" s="4">
        <f ca="1">ROUND(_Google_ads[[#This Row],[conversion_value]]*RANDBETWEEN(8,12)/10,0)</f>
        <v>3105</v>
      </c>
      <c r="Y82" s="4">
        <f ca="1">_Google_ads[[#This Row],[ctr]]*RANDBETWEEN(8,12)/10</f>
        <v>3.4000000000000002E-2</v>
      </c>
      <c r="Z82" s="4">
        <f ca="1">_Google_ads[[#This Row],[avg_cpc]]*RANDBETWEEN(8,12)/10</f>
        <v>0.16199999999999998</v>
      </c>
      <c r="AA82" s="4">
        <f ca="1">ROUND(_Google_ads[[#This Row],[quality_score]]*RANDBETWEEN(8,12)/10,0)</f>
        <v>7</v>
      </c>
      <c r="AB82" s="4">
        <f ca="1">_Google_ads[[#This Row],[search_impression_share]]*RANDBETWEEN(8,12)/10</f>
        <v>0.73699999999999999</v>
      </c>
      <c r="AD82" s="3">
        <f t="shared" ca="1" si="11"/>
        <v>45096</v>
      </c>
      <c r="AE82" s="4" t="s">
        <v>108</v>
      </c>
      <c r="AF82" s="4" t="s">
        <v>109</v>
      </c>
      <c r="AG82" s="4" t="s">
        <v>110</v>
      </c>
      <c r="AH82" s="4" t="s">
        <v>111</v>
      </c>
      <c r="AI82" s="4">
        <f ca="1">ROUND(T_Tiktok_ads[[#This Row],[impressions]]*RANDBETWEEN(8,12)/10,0)</f>
        <v>245678</v>
      </c>
      <c r="AJ82" s="4">
        <f ca="1">ROUND(T_Tiktok_ads[[#This Row],[clicks]]*RANDBETWEEN(8,12)/10,0)</f>
        <v>4279</v>
      </c>
      <c r="AK82" s="4">
        <v>467.8</v>
      </c>
      <c r="AL82" s="4">
        <f ca="1">ROUND(T_Tiktok_ads[[#This Row],[conversions]]*RANDBETWEEN(8,12)/10,0)</f>
        <v>27</v>
      </c>
      <c r="AM82" s="4">
        <f ca="1">ROUND(T_Tiktok_ads[[#This Row],[video_views]]*RANDBETWEEN(8,12)/10,0)</f>
        <v>195678</v>
      </c>
      <c r="AN82" s="4">
        <f ca="1">ROUND(T_Tiktok_ads[[#This Row],[video_watch_25]]*RANDBETWEEN(8,12)/10,0)</f>
        <v>148234</v>
      </c>
      <c r="AO82" s="4">
        <f ca="1">ROUND(T_Tiktok_ads[[#This Row],[video_watch_50]]*RANDBETWEEN(8,12)/10,0)</f>
        <v>117234</v>
      </c>
      <c r="AP82" s="4">
        <f ca="1">ROUND(T_Tiktok_ads[[#This Row],[video_watch_75]]*RANDBETWEEN(8,12)/10,0)</f>
        <v>75234</v>
      </c>
      <c r="AQ82" s="4">
        <f ca="1">ROUND(T_Tiktok_ads[[#This Row],[video_watch_100]]*RANDBETWEEN(8,12)/10,0)</f>
        <v>54947</v>
      </c>
      <c r="AR82" s="4">
        <f ca="1">ROUND(T_Tiktok_ads[[#This Row],[likes]]*RANDBETWEEN(8,12)/10,0)</f>
        <v>8567</v>
      </c>
      <c r="AS82" s="4">
        <f ca="1">ROUND(T_Tiktok_ads[[#This Row],[shares]]*RANDBETWEEN(8,12)/10,0)</f>
        <v>2814</v>
      </c>
      <c r="AT82" s="4">
        <f ca="1">ROUND(T_Tiktok_ads[[#This Row],[comments]]*RANDBETWEEN(8,12)/10,0)</f>
        <v>567</v>
      </c>
      <c r="AV82" s="5">
        <f t="shared" ca="1" si="12"/>
        <v>45104</v>
      </c>
      <c r="AW82">
        <f t="shared" ca="1" si="13"/>
        <v>6</v>
      </c>
      <c r="AX82">
        <f ca="1">ROUND(T_Facebook_Ads115963677175[[#This Row],[impressions]]*RANDBETWEEN(8,12)/10,0)</f>
        <v>41202</v>
      </c>
      <c r="AY82">
        <f ca="1">ROUND(T_Facebook_Ads115963677175[[#This Row],[clicks]]*RANDBETWEEN(8,12)/10,0)</f>
        <v>1667</v>
      </c>
      <c r="AZ82">
        <f ca="1">T_Facebook_Ads115963677175[[#This Row],[spend]]*RANDBETWEEN(8,12)/10</f>
        <v>192.06</v>
      </c>
      <c r="BA82">
        <f ca="1">ROUND(T_Facebook_Ads115963677175[[#This Row],[conversions]]*RANDBETWEEN(8,12)/10,0)</f>
        <v>21</v>
      </c>
      <c r="BB82">
        <f ca="1">ROUND(T_Facebook_Ads115963677175[[#This Row],[video_views]]*RANDBETWEEN(8,12)/10,0)</f>
        <v>5868</v>
      </c>
    </row>
    <row r="83" spans="1:54" ht="15.75" thickBot="1" x14ac:dyDescent="0.3">
      <c r="A83" s="3">
        <f t="shared" ca="1" si="9"/>
        <v>45091</v>
      </c>
      <c r="B83" s="4" t="s">
        <v>64</v>
      </c>
      <c r="C83" s="4" t="s">
        <v>65</v>
      </c>
      <c r="D83" s="4" t="s">
        <v>66</v>
      </c>
      <c r="E83" s="4" t="s">
        <v>67</v>
      </c>
      <c r="F83" s="4">
        <f ca="1">ROUND(T_Facebook_Ads[[#This Row],[impressions]]*RANDBETWEEN(8,12)/10,0)</f>
        <v>71234</v>
      </c>
      <c r="G83" s="4">
        <v>256</v>
      </c>
      <c r="H83" s="4">
        <f ca="1">T_Facebook_Ads[[#This Row],[spend]]*RANDBETWEEN(8,12)/10</f>
        <v>81.45</v>
      </c>
      <c r="I83" s="4">
        <f ca="1">ROUND(T_Facebook_Ads[[#This Row],[conversions]]*RANDBETWEEN(8,12)/10,0)</f>
        <v>7</v>
      </c>
      <c r="J83" s="4">
        <f ca="1">ROUND(T_Facebook_Ads[[#This Row],[video_views]]*RANDBETWEEN(8,12)/10,0)</f>
        <v>48123</v>
      </c>
      <c r="K83" s="4">
        <f ca="1">T_Facebook_Ads[[#This Row],[engagement_rate]]*RANDBETWEEN(8,12)/10</f>
        <v>3.2399999999999998E-3</v>
      </c>
      <c r="L83" s="4">
        <f ca="1">ROUND(T_Facebook_Ads[[#This Row],[reach]]*RANDBETWEEN(8,12)/10,0)</f>
        <v>58567</v>
      </c>
      <c r="M83" s="4">
        <f ca="1">T_Facebook_Ads[[#This Row],[frequency]]*RANDBETWEEN(8,12)/10</f>
        <v>1.22</v>
      </c>
      <c r="O83" s="3">
        <f t="shared" ca="1" si="10"/>
        <v>45091</v>
      </c>
      <c r="P83" s="4" t="s">
        <v>88</v>
      </c>
      <c r="Q83" s="4" t="s">
        <v>89</v>
      </c>
      <c r="R83" s="4" t="s">
        <v>90</v>
      </c>
      <c r="S83" s="4" t="s">
        <v>59</v>
      </c>
      <c r="T83" s="4">
        <f ca="1">ROUND(_Google_ads[[#This Row],[impressions]]*RANDBETWEEN(8,12)/10,0)</f>
        <v>160147</v>
      </c>
      <c r="U83" s="4">
        <f ca="1">ROUND(_Google_ads[[#This Row],[clicks]]*RANDBETWEEN(8,12)/10,0)</f>
        <v>440</v>
      </c>
      <c r="V83" s="4">
        <f ca="1">_Google_ads[[#This Row],[cost]]*RANDBETWEEN(8,12)/10</f>
        <v>104.96</v>
      </c>
      <c r="W83" s="4">
        <f ca="1">ROUND(_Google_ads[[#This Row],[conversions]]*RANDBETWEEN(8,12)/10,0)</f>
        <v>17</v>
      </c>
      <c r="X83" s="4">
        <f ca="1">ROUND(_Google_ads[[#This Row],[conversion_value]]*RANDBETWEEN(8,12)/10,0)</f>
        <v>840</v>
      </c>
      <c r="Y83" s="4">
        <f ca="1">_Google_ads[[#This Row],[ctr]]*RANDBETWEEN(8,12)/10</f>
        <v>2.96E-3</v>
      </c>
      <c r="Z83" s="4">
        <f ca="1">_Google_ads[[#This Row],[avg_cpc]]*RANDBETWEEN(8,12)/10</f>
        <v>0.27</v>
      </c>
      <c r="AA83" s="4">
        <f ca="1">ROUND(_Google_ads[[#This Row],[quality_score]]*RANDBETWEEN(8,12)/10,0)</f>
        <v>6</v>
      </c>
      <c r="AB83" s="4">
        <f ca="1">_Google_ads[[#This Row],[search_impression_share]]*RANDBETWEEN(8,12)/10</f>
        <v>0.27999999999999997</v>
      </c>
      <c r="AD83" s="3">
        <f t="shared" ca="1" si="11"/>
        <v>45099</v>
      </c>
      <c r="AE83" s="4" t="s">
        <v>112</v>
      </c>
      <c r="AF83" s="4" t="s">
        <v>113</v>
      </c>
      <c r="AG83" s="4" t="s">
        <v>114</v>
      </c>
      <c r="AH83" s="4" t="s">
        <v>115</v>
      </c>
      <c r="AI83" s="4">
        <f ca="1">ROUND(T_Tiktok_ads[[#This Row],[impressions]]*RANDBETWEEN(8,12)/10,0)</f>
        <v>338765</v>
      </c>
      <c r="AJ83" s="4">
        <f ca="1">ROUND(T_Tiktok_ads[[#This Row],[clicks]]*RANDBETWEEN(8,12)/10,0)</f>
        <v>8268</v>
      </c>
      <c r="AK83" s="4">
        <v>1056.8</v>
      </c>
      <c r="AL83" s="4">
        <f ca="1">ROUND(T_Tiktok_ads[[#This Row],[conversions]]*RANDBETWEEN(8,12)/10,0)</f>
        <v>128</v>
      </c>
      <c r="AM83" s="4">
        <f ca="1">ROUND(T_Tiktok_ads[[#This Row],[video_views]]*RANDBETWEEN(8,12)/10,0)</f>
        <v>285431</v>
      </c>
      <c r="AN83" s="4">
        <f ca="1">ROUND(T_Tiktok_ads[[#This Row],[video_watch_25]]*RANDBETWEEN(8,12)/10,0)</f>
        <v>347081</v>
      </c>
      <c r="AO83" s="4">
        <f ca="1">ROUND(T_Tiktok_ads[[#This Row],[video_watch_50]]*RANDBETWEEN(8,12)/10,0)</f>
        <v>277747</v>
      </c>
      <c r="AP83" s="4">
        <f ca="1">ROUND(T_Tiktok_ads[[#This Row],[video_watch_75]]*RANDBETWEEN(8,12)/10,0)</f>
        <v>164567</v>
      </c>
      <c r="AQ83" s="4">
        <f ca="1">ROUND(T_Tiktok_ads[[#This Row],[video_watch_100]]*RANDBETWEEN(8,12)/10,0)</f>
        <v>131081</v>
      </c>
      <c r="AR83" s="4">
        <f ca="1">ROUND(T_Tiktok_ads[[#This Row],[likes]]*RANDBETWEEN(8,12)/10,0)</f>
        <v>17001</v>
      </c>
      <c r="AS83" s="4">
        <f ca="1">ROUND(T_Tiktok_ads[[#This Row],[shares]]*RANDBETWEEN(8,12)/10,0)</f>
        <v>6002</v>
      </c>
      <c r="AT83" s="4">
        <f ca="1">ROUND(T_Tiktok_ads[[#This Row],[comments]]*RANDBETWEEN(8,12)/10,0)</f>
        <v>1787</v>
      </c>
      <c r="AV83" s="5">
        <f t="shared" ca="1" si="12"/>
        <v>45103</v>
      </c>
      <c r="AW83">
        <f t="shared" ca="1" si="13"/>
        <v>3</v>
      </c>
      <c r="AX83">
        <f ca="1">ROUND(T_Facebook_Ads115963677175[[#This Row],[impressions]]*RANDBETWEEN(8,12)/10,0)</f>
        <v>64111</v>
      </c>
      <c r="AY83">
        <f ca="1">ROUND(T_Facebook_Ads115963677175[[#This Row],[clicks]]*RANDBETWEEN(8,12)/10,0)</f>
        <v>282</v>
      </c>
      <c r="AZ83">
        <f ca="1">T_Facebook_Ads115963677175[[#This Row],[spend]]*RANDBETWEEN(8,12)/10</f>
        <v>81.45</v>
      </c>
      <c r="BA83">
        <f ca="1">ROUND(T_Facebook_Ads115963677175[[#This Row],[conversions]]*RANDBETWEEN(8,12)/10,0)</f>
        <v>8</v>
      </c>
      <c r="BB83">
        <f ca="1">ROUND(T_Facebook_Ads115963677175[[#This Row],[video_views]]*RANDBETWEEN(8,12)/10,0)</f>
        <v>38498</v>
      </c>
    </row>
    <row r="84" spans="1:54" ht="15.75" thickBot="1" x14ac:dyDescent="0.3">
      <c r="A84" s="3">
        <f t="shared" ca="1" si="9"/>
        <v>45095</v>
      </c>
      <c r="B84" s="4" t="s">
        <v>52</v>
      </c>
      <c r="C84" s="4" t="s">
        <v>53</v>
      </c>
      <c r="D84" s="4" t="s">
        <v>54</v>
      </c>
      <c r="E84" s="4" t="s">
        <v>55</v>
      </c>
      <c r="F84" s="4">
        <f ca="1">ROUND(T_Facebook_Ads[[#This Row],[impressions]]*RANDBETWEEN(8,12)/10,0)</f>
        <v>46111</v>
      </c>
      <c r="G84" s="4">
        <v>1067</v>
      </c>
      <c r="H84" s="4">
        <f ca="1">T_Facebook_Ads[[#This Row],[spend]]*RANDBETWEEN(8,12)/10</f>
        <v>164.67</v>
      </c>
      <c r="I84" s="4">
        <f ca="1">ROUND(T_Facebook_Ads[[#This Row],[conversions]]*RANDBETWEEN(8,12)/10,0)</f>
        <v>19</v>
      </c>
      <c r="J84" s="4">
        <f ca="1">ROUND(T_Facebook_Ads[[#This Row],[video_views]]*RANDBETWEEN(8,12)/10,0)</f>
        <v>10157</v>
      </c>
      <c r="K84" s="4">
        <f ca="1">T_Facebook_Ads[[#This Row],[engagement_rate]]*RANDBETWEEN(8,12)/10</f>
        <v>1.8719999999999997E-2</v>
      </c>
      <c r="L84" s="4">
        <f ca="1">ROUND(T_Facebook_Ads[[#This Row],[reach]]*RANDBETWEEN(8,12)/10,0)</f>
        <v>34054</v>
      </c>
      <c r="M84" s="4">
        <f ca="1">T_Facebook_Ads[[#This Row],[frequency]]*RANDBETWEEN(8,12)/10</f>
        <v>1.2</v>
      </c>
      <c r="O84" s="3">
        <f t="shared" ca="1" si="10"/>
        <v>45100</v>
      </c>
      <c r="P84" s="4" t="s">
        <v>76</v>
      </c>
      <c r="Q84" s="4" t="s">
        <v>77</v>
      </c>
      <c r="R84" s="4" t="s">
        <v>78</v>
      </c>
      <c r="S84" s="4" t="s">
        <v>79</v>
      </c>
      <c r="T84" s="4">
        <f ca="1">ROUND(_Google_ads[[#This Row],[impressions]]*RANDBETWEEN(8,12)/10,0)</f>
        <v>27123</v>
      </c>
      <c r="U84" s="4">
        <f ca="1">ROUND(_Google_ads[[#This Row],[clicks]]*RANDBETWEEN(8,12)/10,0)</f>
        <v>1721</v>
      </c>
      <c r="V84" s="4">
        <f ca="1">_Google_ads[[#This Row],[cost]]*RANDBETWEEN(8,12)/10</f>
        <v>274.3</v>
      </c>
      <c r="W84" s="4">
        <f ca="1">ROUND(_Google_ads[[#This Row],[conversions]]*RANDBETWEEN(8,12)/10,0)</f>
        <v>44</v>
      </c>
      <c r="X84" s="4">
        <f ca="1">ROUND(_Google_ads[[#This Row],[conversion_value]]*RANDBETWEEN(8,12)/10,0)</f>
        <v>3300</v>
      </c>
      <c r="Y84" s="4">
        <f ca="1">_Google_ads[[#This Row],[ctr]]*RANDBETWEEN(8,12)/10</f>
        <v>4.761E-2</v>
      </c>
      <c r="Z84" s="4">
        <f ca="1">_Google_ads[[#This Row],[avg_cpc]]*RANDBETWEEN(8,12)/10</f>
        <v>0.22800000000000004</v>
      </c>
      <c r="AA84" s="4">
        <f ca="1">ROUND(_Google_ads[[#This Row],[quality_score]]*RANDBETWEEN(8,12)/10,0)</f>
        <v>7</v>
      </c>
      <c r="AB84" s="4">
        <f ca="1">_Google_ads[[#This Row],[search_impression_share]]*RANDBETWEEN(8,12)/10</f>
        <v>0.93</v>
      </c>
      <c r="AD84" s="3">
        <f t="shared" ca="1" si="11"/>
        <v>45094</v>
      </c>
      <c r="AE84" s="4" t="s">
        <v>100</v>
      </c>
      <c r="AF84" s="4" t="s">
        <v>101</v>
      </c>
      <c r="AG84" s="4" t="s">
        <v>102</v>
      </c>
      <c r="AH84" s="4" t="s">
        <v>103</v>
      </c>
      <c r="AI84" s="4">
        <f ca="1">ROUND(T_Tiktok_ads[[#This Row],[impressions]]*RANDBETWEEN(8,12)/10,0)</f>
        <v>374814</v>
      </c>
      <c r="AJ84" s="4">
        <f ca="1">ROUND(T_Tiktok_ads[[#This Row],[clicks]]*RANDBETWEEN(8,12)/10,0)</f>
        <v>5480</v>
      </c>
      <c r="AK84" s="4">
        <v>623.4</v>
      </c>
      <c r="AL84" s="4">
        <f ca="1">ROUND(T_Tiktok_ads[[#This Row],[conversions]]*RANDBETWEEN(8,12)/10,0)</f>
        <v>53</v>
      </c>
      <c r="AM84" s="4">
        <f ca="1">ROUND(T_Tiktok_ads[[#This Row],[video_views]]*RANDBETWEEN(8,12)/10,0)</f>
        <v>282468</v>
      </c>
      <c r="AN84" s="4">
        <f ca="1">ROUND(T_Tiktok_ads[[#This Row],[video_watch_25]]*RANDBETWEEN(8,12)/10,0)</f>
        <v>160187</v>
      </c>
      <c r="AO84" s="4">
        <f ca="1">ROUND(T_Tiktok_ads[[#This Row],[video_watch_50]]*RANDBETWEEN(8,12)/10,0)</f>
        <v>100542</v>
      </c>
      <c r="AP84" s="4">
        <f ca="1">ROUND(T_Tiktok_ads[[#This Row],[video_watch_75]]*RANDBETWEEN(8,12)/10,0)</f>
        <v>76110</v>
      </c>
      <c r="AQ84" s="4">
        <f ca="1">ROUND(T_Tiktok_ads[[#This Row],[video_watch_100]]*RANDBETWEEN(8,12)/10,0)</f>
        <v>67481</v>
      </c>
      <c r="AR84" s="4">
        <f ca="1">ROUND(T_Tiktok_ads[[#This Row],[likes]]*RANDBETWEEN(8,12)/10,0)</f>
        <v>8987</v>
      </c>
      <c r="AS84" s="4">
        <f ca="1">ROUND(T_Tiktok_ads[[#This Row],[shares]]*RANDBETWEEN(8,12)/10,0)</f>
        <v>3012</v>
      </c>
      <c r="AT84" s="4">
        <f ca="1">ROUND(T_Tiktok_ads[[#This Row],[comments]]*RANDBETWEEN(8,12)/10,0)</f>
        <v>868</v>
      </c>
      <c r="AV84" s="5">
        <f t="shared" ca="1" si="12"/>
        <v>45084</v>
      </c>
      <c r="AW84">
        <f t="shared" ca="1" si="13"/>
        <v>7</v>
      </c>
      <c r="AX84">
        <f ca="1">ROUND(T_Facebook_Ads115963677175[[#This Row],[impressions]]*RANDBETWEEN(8,12)/10,0)</f>
        <v>41500</v>
      </c>
      <c r="AY84">
        <f ca="1">ROUND(T_Facebook_Ads115963677175[[#This Row],[clicks]]*RANDBETWEEN(8,12)/10,0)</f>
        <v>1280</v>
      </c>
      <c r="AZ84">
        <f ca="1">T_Facebook_Ads115963677175[[#This Row],[spend]]*RANDBETWEEN(8,12)/10</f>
        <v>164.67</v>
      </c>
      <c r="BA84">
        <f ca="1">ROUND(T_Facebook_Ads115963677175[[#This Row],[conversions]]*RANDBETWEEN(8,12)/10,0)</f>
        <v>23</v>
      </c>
      <c r="BB84">
        <f ca="1">ROUND(T_Facebook_Ads115963677175[[#This Row],[video_views]]*RANDBETWEEN(8,12)/10,0)</f>
        <v>8126</v>
      </c>
    </row>
    <row r="85" spans="1:54" ht="15.75" thickBot="1" x14ac:dyDescent="0.3">
      <c r="A85" s="3">
        <f t="shared" ca="1" si="9"/>
        <v>45098</v>
      </c>
      <c r="B85" s="4" t="s">
        <v>56</v>
      </c>
      <c r="C85" s="4" t="s">
        <v>57</v>
      </c>
      <c r="D85" s="4" t="s">
        <v>58</v>
      </c>
      <c r="E85" s="4" t="s">
        <v>59</v>
      </c>
      <c r="F85" s="4">
        <f ca="1">ROUND(T_Facebook_Ads[[#This Row],[impressions]]*RANDBETWEEN(8,12)/10,0)</f>
        <v>14890</v>
      </c>
      <c r="G85" s="4">
        <v>712</v>
      </c>
      <c r="H85" s="4">
        <f ca="1">T_Facebook_Ads[[#This Row],[spend]]*RANDBETWEEN(8,12)/10</f>
        <v>301.91999999999996</v>
      </c>
      <c r="I85" s="4">
        <f ca="1">ROUND(T_Facebook_Ads[[#This Row],[conversions]]*RANDBETWEEN(8,12)/10,0)</f>
        <v>52</v>
      </c>
      <c r="J85" s="4">
        <f ca="1">ROUND(T_Facebook_Ads[[#This Row],[video_views]]*RANDBETWEEN(8,12)/10,0)</f>
        <v>1262</v>
      </c>
      <c r="K85" s="4">
        <f ca="1">T_Facebook_Ads[[#This Row],[engagement_rate]]*RANDBETWEEN(8,12)/10</f>
        <v>5.7360000000000001E-2</v>
      </c>
      <c r="L85" s="4">
        <f ca="1">ROUND(T_Facebook_Ads[[#This Row],[reach]]*RANDBETWEEN(8,12)/10,0)</f>
        <v>14148</v>
      </c>
      <c r="M85" s="4">
        <f ca="1">T_Facebook_Ads[[#This Row],[frequency]]*RANDBETWEEN(8,12)/10</f>
        <v>1.26</v>
      </c>
      <c r="O85" s="3">
        <f t="shared" ca="1" si="10"/>
        <v>45102</v>
      </c>
      <c r="P85" s="4" t="s">
        <v>80</v>
      </c>
      <c r="Q85" s="4" t="s">
        <v>81</v>
      </c>
      <c r="R85" s="4" t="s">
        <v>82</v>
      </c>
      <c r="S85" s="4" t="s">
        <v>83</v>
      </c>
      <c r="T85" s="4">
        <f ca="1">ROUND(_Google_ads[[#This Row],[impressions]]*RANDBETWEEN(8,12)/10,0)</f>
        <v>38312</v>
      </c>
      <c r="U85" s="4">
        <f ca="1">ROUND(_Google_ads[[#This Row],[clicks]]*RANDBETWEEN(8,12)/10,0)</f>
        <v>880</v>
      </c>
      <c r="V85" s="4">
        <f ca="1">_Google_ads[[#This Row],[cost]]*RANDBETWEEN(8,12)/10</f>
        <v>490.8</v>
      </c>
      <c r="W85" s="4">
        <f ca="1">ROUND(_Google_ads[[#This Row],[conversions]]*RANDBETWEEN(8,12)/10,0)</f>
        <v>29</v>
      </c>
      <c r="X85" s="4">
        <f ca="1">ROUND(_Google_ads[[#This Row],[conversion_value]]*RANDBETWEEN(8,12)/10,0)</f>
        <v>1040</v>
      </c>
      <c r="Y85" s="4">
        <f ca="1">_Google_ads[[#This Row],[ctr]]*RANDBETWEEN(8,12)/10</f>
        <v>2.0400000000000001E-2</v>
      </c>
      <c r="Z85" s="4">
        <f ca="1">_Google_ads[[#This Row],[avg_cpc]]*RANDBETWEEN(8,12)/10</f>
        <v>0.75600000000000001</v>
      </c>
      <c r="AA85" s="4">
        <f ca="1">ROUND(_Google_ads[[#This Row],[quality_score]]*RANDBETWEEN(8,12)/10,0)</f>
        <v>8</v>
      </c>
      <c r="AB85" s="4">
        <f ca="1">_Google_ads[[#This Row],[search_impression_share]]*RANDBETWEEN(8,12)/10</f>
        <v>0.46000000000000008</v>
      </c>
      <c r="AD85" s="3">
        <f t="shared" ca="1" si="11"/>
        <v>45102</v>
      </c>
      <c r="AE85" s="4" t="s">
        <v>104</v>
      </c>
      <c r="AF85" s="4" t="s">
        <v>105</v>
      </c>
      <c r="AG85" s="4" t="s">
        <v>106</v>
      </c>
      <c r="AH85" s="4" t="s">
        <v>107</v>
      </c>
      <c r="AI85" s="4">
        <f ca="1">ROUND(T_Tiktok_ads[[#This Row],[impressions]]*RANDBETWEEN(8,12)/10,0)</f>
        <v>189580</v>
      </c>
      <c r="AJ85" s="4">
        <f ca="1">ROUND(T_Tiktok_ads[[#This Row],[clicks]]*RANDBETWEEN(8,12)/10,0)</f>
        <v>3345</v>
      </c>
      <c r="AK85" s="4">
        <v>867.9</v>
      </c>
      <c r="AL85" s="4">
        <f ca="1">ROUND(T_Tiktok_ads[[#This Row],[conversions]]*RANDBETWEEN(8,12)/10,0)</f>
        <v>96</v>
      </c>
      <c r="AM85" s="4">
        <f ca="1">ROUND(T_Tiktok_ads[[#This Row],[video_views]]*RANDBETWEEN(8,12)/10,0)</f>
        <v>98765</v>
      </c>
      <c r="AN85" s="4">
        <f ca="1">ROUND(T_Tiktok_ads[[#This Row],[video_watch_25]]*RANDBETWEEN(8,12)/10,0)</f>
        <v>91234</v>
      </c>
      <c r="AO85" s="4">
        <f ca="1">ROUND(T_Tiktok_ads[[#This Row],[video_watch_50]]*RANDBETWEEN(8,12)/10,0)</f>
        <v>55410</v>
      </c>
      <c r="AP85" s="4">
        <f ca="1">ROUND(T_Tiktok_ads[[#This Row],[video_watch_75]]*RANDBETWEEN(8,12)/10,0)</f>
        <v>50857</v>
      </c>
      <c r="AQ85" s="4">
        <f ca="1">ROUND(T_Tiktok_ads[[#This Row],[video_watch_100]]*RANDBETWEEN(8,12)/10,0)</f>
        <v>24631</v>
      </c>
      <c r="AR85" s="4">
        <f ca="1">ROUND(T_Tiktok_ads[[#This Row],[likes]]*RANDBETWEEN(8,12)/10,0)</f>
        <v>4712</v>
      </c>
      <c r="AS85" s="4">
        <f ca="1">ROUND(T_Tiktok_ads[[#This Row],[shares]]*RANDBETWEEN(8,12)/10,0)</f>
        <v>1846</v>
      </c>
      <c r="AT85" s="4">
        <f ca="1">ROUND(T_Tiktok_ads[[#This Row],[comments]]*RANDBETWEEN(8,12)/10,0)</f>
        <v>401</v>
      </c>
      <c r="AV85" s="5">
        <f t="shared" ca="1" si="12"/>
        <v>45105</v>
      </c>
      <c r="AW85">
        <f t="shared" ca="1" si="13"/>
        <v>1</v>
      </c>
      <c r="AX85">
        <f ca="1">ROUND(T_Facebook_Ads115963677175[[#This Row],[impressions]]*RANDBETWEEN(8,12)/10,0)</f>
        <v>17868</v>
      </c>
      <c r="AY85">
        <f ca="1">ROUND(T_Facebook_Ads115963677175[[#This Row],[clicks]]*RANDBETWEEN(8,12)/10,0)</f>
        <v>641</v>
      </c>
      <c r="AZ85">
        <f ca="1">T_Facebook_Ads115963677175[[#This Row],[spend]]*RANDBETWEEN(8,12)/10</f>
        <v>241.53599999999997</v>
      </c>
      <c r="BA85">
        <f ca="1">ROUND(T_Facebook_Ads115963677175[[#This Row],[conversions]]*RANDBETWEEN(8,12)/10,0)</f>
        <v>47</v>
      </c>
      <c r="BB85">
        <f ca="1">ROUND(T_Facebook_Ads115963677175[[#This Row],[video_views]]*RANDBETWEEN(8,12)/10,0)</f>
        <v>1388</v>
      </c>
    </row>
    <row r="86" spans="1:54" ht="15.75" thickBot="1" x14ac:dyDescent="0.3">
      <c r="A86" s="3">
        <f t="shared" ca="1" si="9"/>
        <v>45084</v>
      </c>
      <c r="B86" s="4" t="s">
        <v>60</v>
      </c>
      <c r="C86" s="4" t="s">
        <v>61</v>
      </c>
      <c r="D86" s="4" t="s">
        <v>62</v>
      </c>
      <c r="E86" s="4" t="s">
        <v>63</v>
      </c>
      <c r="F86" s="4">
        <f ca="1">ROUND(T_Facebook_Ads[[#This Row],[impressions]]*RANDBETWEEN(8,12)/10,0)</f>
        <v>47081</v>
      </c>
      <c r="G86" s="4">
        <v>1489</v>
      </c>
      <c r="H86" s="4">
        <f ca="1">T_Facebook_Ads[[#This Row],[spend]]*RANDBETWEEN(8,12)/10</f>
        <v>182.32</v>
      </c>
      <c r="I86" s="4">
        <f ca="1">ROUND(T_Facebook_Ads[[#This Row],[conversions]]*RANDBETWEEN(8,12)/10,0)</f>
        <v>32</v>
      </c>
      <c r="J86" s="4">
        <f ca="1">ROUND(T_Facebook_Ads[[#This Row],[video_views]]*RANDBETWEEN(8,12)/10,0)</f>
        <v>5234</v>
      </c>
      <c r="K86" s="4">
        <f ca="1">T_Facebook_Ads[[#This Row],[engagement_rate]]*RANDBETWEEN(8,12)/10</f>
        <v>4.5480000000000007E-2</v>
      </c>
      <c r="L86" s="4">
        <f ca="1">ROUND(T_Facebook_Ads[[#This Row],[reach]]*RANDBETWEEN(8,12)/10,0)</f>
        <v>25698</v>
      </c>
      <c r="M86" s="4">
        <f ca="1">T_Facebook_Ads[[#This Row],[frequency]]*RANDBETWEEN(8,12)/10</f>
        <v>1.0980000000000001</v>
      </c>
      <c r="O86" s="3">
        <f t="shared" ca="1" si="10"/>
        <v>45107</v>
      </c>
      <c r="P86" s="4" t="s">
        <v>84</v>
      </c>
      <c r="Q86" s="4" t="s">
        <v>85</v>
      </c>
      <c r="R86" s="4" t="s">
        <v>86</v>
      </c>
      <c r="S86" s="4" t="s">
        <v>87</v>
      </c>
      <c r="T86" s="4">
        <f ca="1">ROUND(_Google_ads[[#This Row],[impressions]]*RANDBETWEEN(8,12)/10,0)</f>
        <v>73456</v>
      </c>
      <c r="U86" s="4">
        <f ca="1">ROUND(_Google_ads[[#This Row],[clicks]]*RANDBETWEEN(8,12)/10,0)</f>
        <v>2751</v>
      </c>
      <c r="V86" s="4">
        <f ca="1">_Google_ads[[#This Row],[cost]]*RANDBETWEEN(8,12)/10</f>
        <v>411.03000000000003</v>
      </c>
      <c r="W86" s="4">
        <f ca="1">ROUND(_Google_ads[[#This Row],[conversions]]*RANDBETWEEN(8,12)/10,0)</f>
        <v>58</v>
      </c>
      <c r="X86" s="4">
        <f ca="1">ROUND(_Google_ads[[#This Row],[conversion_value]]*RANDBETWEEN(8,12)/10,0)</f>
        <v>4015</v>
      </c>
      <c r="Y86" s="4">
        <f ca="1">_Google_ads[[#This Row],[ctr]]*RANDBETWEEN(8,12)/10</f>
        <v>3.7400000000000003E-2</v>
      </c>
      <c r="Z86" s="4">
        <f ca="1">_Google_ads[[#This Row],[avg_cpc]]*RANDBETWEEN(8,12)/10</f>
        <v>0.19800000000000001</v>
      </c>
      <c r="AA86" s="4">
        <f ca="1">ROUND(_Google_ads[[#This Row],[quality_score]]*RANDBETWEEN(8,12)/10,0)</f>
        <v>10</v>
      </c>
      <c r="AB86" s="4">
        <f ca="1">_Google_ads[[#This Row],[search_impression_share]]*RANDBETWEEN(8,12)/10</f>
        <v>0.75900000000000001</v>
      </c>
      <c r="AD86" s="3">
        <f t="shared" ca="1" si="11"/>
        <v>45080</v>
      </c>
      <c r="AE86" s="4" t="s">
        <v>108</v>
      </c>
      <c r="AF86" s="4" t="s">
        <v>109</v>
      </c>
      <c r="AG86" s="4" t="s">
        <v>110</v>
      </c>
      <c r="AH86" s="4" t="s">
        <v>111</v>
      </c>
      <c r="AI86" s="4">
        <f ca="1">ROUND(T_Tiktok_ads[[#This Row],[impressions]]*RANDBETWEEN(8,12)/10,0)</f>
        <v>321468</v>
      </c>
      <c r="AJ86" s="4">
        <f ca="1">ROUND(T_Tiktok_ads[[#This Row],[clicks]]*RANDBETWEEN(8,12)/10,0)</f>
        <v>4123</v>
      </c>
      <c r="AK86" s="4">
        <v>512.6</v>
      </c>
      <c r="AL86" s="4">
        <f ca="1">ROUND(T_Tiktok_ads[[#This Row],[conversions]]*RANDBETWEEN(8,12)/10,0)</f>
        <v>41</v>
      </c>
      <c r="AM86" s="4">
        <f ca="1">ROUND(T_Tiktok_ads[[#This Row],[video_views]]*RANDBETWEEN(8,12)/10,0)</f>
        <v>169876</v>
      </c>
      <c r="AN86" s="4">
        <f ca="1">ROUND(T_Tiktok_ads[[#This Row],[video_watch_25]]*RANDBETWEEN(8,12)/10,0)</f>
        <v>160234</v>
      </c>
      <c r="AO86" s="4">
        <f ca="1">ROUND(T_Tiktok_ads[[#This Row],[video_watch_50]]*RANDBETWEEN(8,12)/10,0)</f>
        <v>152147</v>
      </c>
      <c r="AP86" s="4">
        <f ca="1">ROUND(T_Tiktok_ads[[#This Row],[video_watch_75]]*RANDBETWEEN(8,12)/10,0)</f>
        <v>89357</v>
      </c>
      <c r="AQ86" s="4">
        <f ca="1">ROUND(T_Tiktok_ads[[#This Row],[video_watch_100]]*RANDBETWEEN(8,12)/10,0)</f>
        <v>44311</v>
      </c>
      <c r="AR86" s="4">
        <f ca="1">ROUND(T_Tiktok_ads[[#This Row],[likes]]*RANDBETWEEN(8,12)/10,0)</f>
        <v>10948</v>
      </c>
      <c r="AS86" s="4">
        <f ca="1">ROUND(T_Tiktok_ads[[#This Row],[shares]]*RANDBETWEEN(8,12)/10,0)</f>
        <v>3080</v>
      </c>
      <c r="AT86" s="4">
        <f ca="1">ROUND(T_Tiktok_ads[[#This Row],[comments]]*RANDBETWEEN(8,12)/10,0)</f>
        <v>734</v>
      </c>
      <c r="AV86" s="5">
        <f t="shared" ca="1" si="12"/>
        <v>45088</v>
      </c>
      <c r="AW86">
        <f t="shared" ca="1" si="13"/>
        <v>6</v>
      </c>
      <c r="AX86">
        <f ca="1">ROUND(T_Facebook_Ads115963677175[[#This Row],[impressions]]*RANDBETWEEN(8,12)/10,0)</f>
        <v>56497</v>
      </c>
      <c r="AY86">
        <f ca="1">ROUND(T_Facebook_Ads115963677175[[#This Row],[clicks]]*RANDBETWEEN(8,12)/10,0)</f>
        <v>1638</v>
      </c>
      <c r="AZ86">
        <f ca="1">T_Facebook_Ads115963677175[[#This Row],[spend]]*RANDBETWEEN(8,12)/10</f>
        <v>145.85599999999999</v>
      </c>
      <c r="BA86">
        <f ca="1">ROUND(T_Facebook_Ads115963677175[[#This Row],[conversions]]*RANDBETWEEN(8,12)/10,0)</f>
        <v>26</v>
      </c>
      <c r="BB86">
        <f ca="1">ROUND(T_Facebook_Ads115963677175[[#This Row],[video_views]]*RANDBETWEEN(8,12)/10,0)</f>
        <v>4187</v>
      </c>
    </row>
    <row r="87" spans="1:54" ht="15.75" thickBot="1" x14ac:dyDescent="0.3">
      <c r="A87" s="3">
        <f t="shared" ca="1" si="9"/>
        <v>45098</v>
      </c>
      <c r="B87" s="4" t="s">
        <v>64</v>
      </c>
      <c r="C87" s="4" t="s">
        <v>65</v>
      </c>
      <c r="D87" s="4" t="s">
        <v>66</v>
      </c>
      <c r="E87" s="4" t="s">
        <v>67</v>
      </c>
      <c r="F87" s="4">
        <f ca="1">ROUND(T_Facebook_Ads[[#This Row],[impressions]]*RANDBETWEEN(8,12)/10,0)</f>
        <v>59654</v>
      </c>
      <c r="G87" s="4">
        <v>267</v>
      </c>
      <c r="H87" s="4">
        <f ca="1">T_Facebook_Ads[[#This Row],[spend]]*RANDBETWEEN(8,12)/10</f>
        <v>95.8</v>
      </c>
      <c r="I87" s="4">
        <f ca="1">ROUND(T_Facebook_Ads[[#This Row],[conversions]]*RANDBETWEEN(8,12)/10,0)</f>
        <v>6</v>
      </c>
      <c r="J87" s="4">
        <f ca="1">ROUND(T_Facebook_Ads[[#This Row],[video_views]]*RANDBETWEEN(8,12)/10,0)</f>
        <v>40187</v>
      </c>
      <c r="K87" s="4">
        <f ca="1">T_Facebook_Ads[[#This Row],[engagement_rate]]*RANDBETWEEN(8,12)/10</f>
        <v>3.96E-3</v>
      </c>
      <c r="L87" s="4">
        <f ca="1">ROUND(T_Facebook_Ads[[#This Row],[reach]]*RANDBETWEEN(8,12)/10,0)</f>
        <v>54710</v>
      </c>
      <c r="M87" s="4">
        <f ca="1">T_Facebook_Ads[[#This Row],[frequency]]*RANDBETWEEN(8,12)/10</f>
        <v>0.98399999999999999</v>
      </c>
      <c r="O87" s="3">
        <f t="shared" ca="1" si="10"/>
        <v>45103</v>
      </c>
      <c r="P87" s="4" t="s">
        <v>88</v>
      </c>
      <c r="Q87" s="4" t="s">
        <v>89</v>
      </c>
      <c r="R87" s="4" t="s">
        <v>90</v>
      </c>
      <c r="S87" s="4" t="s">
        <v>59</v>
      </c>
      <c r="T87" s="4">
        <f ca="1">ROUND(_Google_ads[[#This Row],[impressions]]*RANDBETWEEN(8,12)/10,0)</f>
        <v>139234</v>
      </c>
      <c r="U87" s="4">
        <f ca="1">ROUND(_Google_ads[[#This Row],[clicks]]*RANDBETWEEN(8,12)/10,0)</f>
        <v>523</v>
      </c>
      <c r="V87" s="4">
        <f ca="1">_Google_ads[[#This Row],[cost]]*RANDBETWEEN(8,12)/10</f>
        <v>123.12</v>
      </c>
      <c r="W87" s="4">
        <f ca="1">ROUND(_Google_ads[[#This Row],[conversions]]*RANDBETWEEN(8,12)/10,0)</f>
        <v>12</v>
      </c>
      <c r="X87" s="4">
        <f ca="1">ROUND(_Google_ads[[#This Row],[conversion_value]]*RANDBETWEEN(8,12)/10,0)</f>
        <v>825</v>
      </c>
      <c r="Y87" s="4">
        <f ca="1">_Google_ads[[#This Row],[ctr]]*RANDBETWEEN(8,12)/10</f>
        <v>4.5599999999999998E-3</v>
      </c>
      <c r="Z87" s="4">
        <f ca="1">_Google_ads[[#This Row],[avg_cpc]]*RANDBETWEEN(8,12)/10</f>
        <v>0.26</v>
      </c>
      <c r="AA87" s="4">
        <f ca="1">ROUND(_Google_ads[[#This Row],[quality_score]]*RANDBETWEEN(8,12)/10,0)</f>
        <v>6</v>
      </c>
      <c r="AB87" s="4">
        <f ca="1">_Google_ads[[#This Row],[search_impression_share]]*RANDBETWEEN(8,12)/10</f>
        <v>0.28799999999999998</v>
      </c>
      <c r="AD87" s="3">
        <f t="shared" ca="1" si="11"/>
        <v>45106</v>
      </c>
      <c r="AE87" s="4" t="s">
        <v>112</v>
      </c>
      <c r="AF87" s="4" t="s">
        <v>113</v>
      </c>
      <c r="AG87" s="4" t="s">
        <v>114</v>
      </c>
      <c r="AH87" s="4" t="s">
        <v>115</v>
      </c>
      <c r="AI87" s="4">
        <f ca="1">ROUND(T_Tiktok_ads[[#This Row],[impressions]]*RANDBETWEEN(8,12)/10,0)</f>
        <v>548147</v>
      </c>
      <c r="AJ87" s="4">
        <f ca="1">ROUND(T_Tiktok_ads[[#This Row],[clicks]]*RANDBETWEEN(8,12)/10,0)</f>
        <v>8947</v>
      </c>
      <c r="AK87" s="4">
        <v>1167.8</v>
      </c>
      <c r="AL87" s="4">
        <f ca="1">ROUND(T_Tiktok_ads[[#This Row],[conversions]]*RANDBETWEEN(8,12)/10,0)</f>
        <v>130</v>
      </c>
      <c r="AM87" s="4">
        <f ca="1">ROUND(T_Tiktok_ads[[#This Row],[video_views]]*RANDBETWEEN(8,12)/10,0)</f>
        <v>350111</v>
      </c>
      <c r="AN87" s="4">
        <f ca="1">ROUND(T_Tiktok_ads[[#This Row],[video_watch_25]]*RANDBETWEEN(8,12)/10,0)</f>
        <v>281111</v>
      </c>
      <c r="AO87" s="4">
        <f ca="1">ROUND(T_Tiktok_ads[[#This Row],[video_watch_50]]*RANDBETWEEN(8,12)/10,0)</f>
        <v>274157</v>
      </c>
      <c r="AP87" s="4">
        <f ca="1">ROUND(T_Tiktok_ads[[#This Row],[video_watch_75]]*RANDBETWEEN(8,12)/10,0)</f>
        <v>142312</v>
      </c>
      <c r="AQ87" s="4">
        <f ca="1">ROUND(T_Tiktok_ads[[#This Row],[video_watch_100]]*RANDBETWEEN(8,12)/10,0)</f>
        <v>118234</v>
      </c>
      <c r="AR87" s="4">
        <f ca="1">ROUND(T_Tiktok_ads[[#This Row],[likes]]*RANDBETWEEN(8,12)/10,0)</f>
        <v>24281</v>
      </c>
      <c r="AS87" s="4">
        <f ca="1">ROUND(T_Tiktok_ads[[#This Row],[shares]]*RANDBETWEEN(8,12)/10,0)</f>
        <v>7094</v>
      </c>
      <c r="AT87" s="4">
        <f ca="1">ROUND(T_Tiktok_ads[[#This Row],[comments]]*RANDBETWEEN(8,12)/10,0)</f>
        <v>1948</v>
      </c>
      <c r="AV87" s="5">
        <f t="shared" ca="1" si="12"/>
        <v>45094</v>
      </c>
      <c r="AW87">
        <f t="shared" ca="1" si="13"/>
        <v>3</v>
      </c>
      <c r="AX87">
        <f ca="1">ROUND(T_Facebook_Ads115963677175[[#This Row],[impressions]]*RANDBETWEEN(8,12)/10,0)</f>
        <v>53689</v>
      </c>
      <c r="AY87">
        <f ca="1">ROUND(T_Facebook_Ads115963677175[[#This Row],[clicks]]*RANDBETWEEN(8,12)/10,0)</f>
        <v>294</v>
      </c>
      <c r="AZ87">
        <f ca="1">T_Facebook_Ads115963677175[[#This Row],[spend]]*RANDBETWEEN(8,12)/10</f>
        <v>95.8</v>
      </c>
      <c r="BA87">
        <f ca="1">ROUND(T_Facebook_Ads115963677175[[#This Row],[conversions]]*RANDBETWEEN(8,12)/10,0)</f>
        <v>5</v>
      </c>
      <c r="BB87">
        <f ca="1">ROUND(T_Facebook_Ads115963677175[[#This Row],[video_views]]*RANDBETWEEN(8,12)/10,0)</f>
        <v>44206</v>
      </c>
    </row>
    <row r="88" spans="1:54" ht="15.75" thickBot="1" x14ac:dyDescent="0.3">
      <c r="A88" s="3">
        <f t="shared" ca="1" si="9"/>
        <v>45079</v>
      </c>
      <c r="B88" s="4" t="s">
        <v>52</v>
      </c>
      <c r="C88" s="4" t="s">
        <v>53</v>
      </c>
      <c r="D88" s="4" t="s">
        <v>54</v>
      </c>
      <c r="E88" s="4" t="s">
        <v>55</v>
      </c>
      <c r="F88" s="4">
        <f ca="1">ROUND(T_Facebook_Ads[[#This Row],[impressions]]*RANDBETWEEN(8,12)/10,0)</f>
        <v>63347</v>
      </c>
      <c r="G88" s="4">
        <v>1123</v>
      </c>
      <c r="H88" s="4">
        <f ca="1">T_Facebook_Ads[[#This Row],[spend]]*RANDBETWEEN(8,12)/10</f>
        <v>187.68</v>
      </c>
      <c r="I88" s="4">
        <f ca="1">ROUND(T_Facebook_Ads[[#This Row],[conversions]]*RANDBETWEEN(8,12)/10,0)</f>
        <v>14</v>
      </c>
      <c r="J88" s="4">
        <f ca="1">ROUND(T_Facebook_Ads[[#This Row],[video_views]]*RANDBETWEEN(8,12)/10,0)</f>
        <v>10524</v>
      </c>
      <c r="K88" s="4">
        <f ca="1">T_Facebook_Ads[[#This Row],[engagement_rate]]*RANDBETWEEN(8,12)/10</f>
        <v>1.704E-2</v>
      </c>
      <c r="L88" s="4">
        <f ca="1">ROUND(T_Facebook_Ads[[#This Row],[reach]]*RANDBETWEEN(8,12)/10,0)</f>
        <v>43890</v>
      </c>
      <c r="M88" s="4">
        <f ca="1">T_Facebook_Ads[[#This Row],[frequency]]*RANDBETWEEN(8,12)/10</f>
        <v>1.44</v>
      </c>
      <c r="O88" s="3">
        <f t="shared" ca="1" si="10"/>
        <v>45107</v>
      </c>
      <c r="P88" s="4" t="s">
        <v>76</v>
      </c>
      <c r="Q88" s="4" t="s">
        <v>77</v>
      </c>
      <c r="R88" s="4" t="s">
        <v>78</v>
      </c>
      <c r="S88" s="4" t="s">
        <v>79</v>
      </c>
      <c r="T88" s="4">
        <f ca="1">ROUND(_Google_ads[[#This Row],[impressions]]*RANDBETWEEN(8,12)/10,0)</f>
        <v>33881</v>
      </c>
      <c r="U88" s="4">
        <f ca="1">ROUND(_Google_ads[[#This Row],[clicks]]*RANDBETWEEN(8,12)/10,0)</f>
        <v>1512</v>
      </c>
      <c r="V88" s="4">
        <f ca="1">_Google_ads[[#This Row],[cost]]*RANDBETWEEN(8,12)/10</f>
        <v>230.08</v>
      </c>
      <c r="W88" s="4">
        <f ca="1">ROUND(_Google_ads[[#This Row],[conversions]]*RANDBETWEEN(8,12)/10,0)</f>
        <v>70</v>
      </c>
      <c r="X88" s="4">
        <f ca="1">ROUND(_Google_ads[[#This Row],[conversion_value]]*RANDBETWEEN(8,12)/10,0)</f>
        <v>2320</v>
      </c>
      <c r="Y88" s="4">
        <f ca="1">_Google_ads[[#This Row],[ctr]]*RANDBETWEEN(8,12)/10</f>
        <v>4.2799999999999998E-2</v>
      </c>
      <c r="Z88" s="4">
        <f ca="1">_Google_ads[[#This Row],[avg_cpc]]*RANDBETWEEN(8,12)/10</f>
        <v>0.19</v>
      </c>
      <c r="AA88" s="4">
        <f ca="1">ROUND(_Google_ads[[#This Row],[quality_score]]*RANDBETWEEN(8,12)/10,0)</f>
        <v>10</v>
      </c>
      <c r="AB88" s="4">
        <f ca="1">_Google_ads[[#This Row],[search_impression_share]]*RANDBETWEEN(8,12)/10</f>
        <v>0.752</v>
      </c>
      <c r="AD88" s="3">
        <f t="shared" ca="1" si="11"/>
        <v>45104</v>
      </c>
      <c r="AE88" s="4" t="s">
        <v>100</v>
      </c>
      <c r="AF88" s="4" t="s">
        <v>101</v>
      </c>
      <c r="AG88" s="4" t="s">
        <v>102</v>
      </c>
      <c r="AH88" s="4" t="s">
        <v>103</v>
      </c>
      <c r="AI88" s="4">
        <f ca="1">ROUND(T_Tiktok_ads[[#This Row],[impressions]]*RANDBETWEEN(8,12)/10,0)</f>
        <v>323456</v>
      </c>
      <c r="AJ88" s="4">
        <f ca="1">ROUND(T_Tiktok_ads[[#This Row],[clicks]]*RANDBETWEEN(8,12)/10,0)</f>
        <v>4789</v>
      </c>
      <c r="AK88" s="4">
        <v>645.70000000000005</v>
      </c>
      <c r="AL88" s="4">
        <f ca="1">ROUND(T_Tiktok_ads[[#This Row],[conversions]]*RANDBETWEEN(8,12)/10,0)</f>
        <v>50</v>
      </c>
      <c r="AM88" s="4">
        <f ca="1">ROUND(T_Tiktok_ads[[#This Row],[video_views]]*RANDBETWEEN(8,12)/10,0)</f>
        <v>241101</v>
      </c>
      <c r="AN88" s="4">
        <f ca="1">ROUND(T_Tiktok_ads[[#This Row],[video_watch_25]]*RANDBETWEEN(8,12)/10,0)</f>
        <v>229791</v>
      </c>
      <c r="AO88" s="4">
        <f ca="1">ROUND(T_Tiktok_ads[[#This Row],[video_watch_50]]*RANDBETWEEN(8,12)/10,0)</f>
        <v>131234</v>
      </c>
      <c r="AP88" s="4">
        <f ca="1">ROUND(T_Tiktok_ads[[#This Row],[video_watch_75]]*RANDBETWEEN(8,12)/10,0)</f>
        <v>97057</v>
      </c>
      <c r="AQ88" s="4">
        <f ca="1">ROUND(T_Tiktok_ads[[#This Row],[video_watch_100]]*RANDBETWEEN(8,12)/10,0)</f>
        <v>64791</v>
      </c>
      <c r="AR88" s="4">
        <f ca="1">ROUND(T_Tiktok_ads[[#This Row],[likes]]*RANDBETWEEN(8,12)/10,0)</f>
        <v>13880</v>
      </c>
      <c r="AS88" s="4">
        <f ca="1">ROUND(T_Tiktok_ads[[#This Row],[shares]]*RANDBETWEEN(8,12)/10,0)</f>
        <v>3134</v>
      </c>
      <c r="AT88" s="4">
        <f ca="1">ROUND(T_Tiktok_ads[[#This Row],[comments]]*RANDBETWEEN(8,12)/10,0)</f>
        <v>807</v>
      </c>
      <c r="AV88" s="5">
        <f t="shared" ca="1" si="12"/>
        <v>45079</v>
      </c>
      <c r="AW88">
        <f t="shared" ca="1" si="13"/>
        <v>1</v>
      </c>
      <c r="AX88">
        <f ca="1">ROUND(T_Facebook_Ads115963677175[[#This Row],[impressions]]*RANDBETWEEN(8,12)/10,0)</f>
        <v>57012</v>
      </c>
      <c r="AY88">
        <f ca="1">ROUND(T_Facebook_Ads115963677175[[#This Row],[clicks]]*RANDBETWEEN(8,12)/10,0)</f>
        <v>1348</v>
      </c>
      <c r="AZ88">
        <f ca="1">T_Facebook_Ads115963677175[[#This Row],[spend]]*RANDBETWEEN(8,12)/10</f>
        <v>150.14400000000001</v>
      </c>
      <c r="BA88">
        <f ca="1">ROUND(T_Facebook_Ads115963677175[[#This Row],[conversions]]*RANDBETWEEN(8,12)/10,0)</f>
        <v>11</v>
      </c>
      <c r="BB88">
        <f ca="1">ROUND(T_Facebook_Ads115963677175[[#This Row],[video_views]]*RANDBETWEEN(8,12)/10,0)</f>
        <v>11576</v>
      </c>
    </row>
    <row r="89" spans="1:54" ht="15.75" thickBot="1" x14ac:dyDescent="0.3">
      <c r="A89" s="3">
        <f t="shared" ca="1" si="9"/>
        <v>45093</v>
      </c>
      <c r="B89" s="4" t="s">
        <v>56</v>
      </c>
      <c r="C89" s="4" t="s">
        <v>57</v>
      </c>
      <c r="D89" s="4" t="s">
        <v>58</v>
      </c>
      <c r="E89" s="4" t="s">
        <v>59</v>
      </c>
      <c r="F89" s="4">
        <f ca="1">ROUND(T_Facebook_Ads[[#This Row],[impressions]]*RANDBETWEEN(8,12)/10,0)</f>
        <v>14110</v>
      </c>
      <c r="G89" s="4">
        <v>756</v>
      </c>
      <c r="H89" s="4">
        <f ca="1">T_Facebook_Ads[[#This Row],[spend]]*RANDBETWEEN(8,12)/10</f>
        <v>268.89999999999998</v>
      </c>
      <c r="I89" s="4">
        <f ca="1">ROUND(T_Facebook_Ads[[#This Row],[conversions]]*RANDBETWEEN(8,12)/10,0)</f>
        <v>56</v>
      </c>
      <c r="J89" s="4">
        <f ca="1">ROUND(T_Facebook_Ads[[#This Row],[video_views]]*RANDBETWEEN(8,12)/10,0)</f>
        <v>1678</v>
      </c>
      <c r="K89" s="4">
        <f ca="1">T_Facebook_Ads[[#This Row],[engagement_rate]]*RANDBETWEEN(8,12)/10</f>
        <v>5.3019999999999998E-2</v>
      </c>
      <c r="L89" s="4">
        <f ca="1">ROUND(T_Facebook_Ads[[#This Row],[reach]]*RANDBETWEEN(8,12)/10,0)</f>
        <v>9876</v>
      </c>
      <c r="M89" s="4">
        <f ca="1">T_Facebook_Ads[[#This Row],[frequency]]*RANDBETWEEN(8,12)/10</f>
        <v>1.397</v>
      </c>
      <c r="O89" s="3">
        <f t="shared" ca="1" si="10"/>
        <v>45097</v>
      </c>
      <c r="P89" s="4" t="s">
        <v>80</v>
      </c>
      <c r="Q89" s="4" t="s">
        <v>81</v>
      </c>
      <c r="R89" s="4" t="s">
        <v>82</v>
      </c>
      <c r="S89" s="4" t="s">
        <v>83</v>
      </c>
      <c r="T89" s="4">
        <f ca="1">ROUND(_Google_ads[[#This Row],[impressions]]*RANDBETWEEN(8,12)/10,0)</f>
        <v>59480</v>
      </c>
      <c r="U89" s="4">
        <f ca="1">ROUND(_Google_ads[[#This Row],[clicks]]*RANDBETWEEN(8,12)/10,0)</f>
        <v>911</v>
      </c>
      <c r="V89" s="4">
        <f ca="1">_Google_ads[[#This Row],[cost]]*RANDBETWEEN(8,12)/10</f>
        <v>697.62000000000012</v>
      </c>
      <c r="W89" s="4">
        <f ca="1">ROUND(_Google_ads[[#This Row],[conversions]]*RANDBETWEEN(8,12)/10,0)</f>
        <v>27</v>
      </c>
      <c r="X89" s="4">
        <f ca="1">ROUND(_Google_ads[[#This Row],[conversion_value]]*RANDBETWEEN(8,12)/10,0)</f>
        <v>1485</v>
      </c>
      <c r="Y89" s="4">
        <f ca="1">_Google_ads[[#This Row],[ctr]]*RANDBETWEEN(8,12)/10</f>
        <v>1.8360000000000001E-2</v>
      </c>
      <c r="Z89" s="4">
        <f ca="1">_Google_ads[[#This Row],[avg_cpc]]*RANDBETWEEN(8,12)/10</f>
        <v>0.56699999999999995</v>
      </c>
      <c r="AA89" s="4">
        <f ca="1">ROUND(_Google_ads[[#This Row],[quality_score]]*RANDBETWEEN(8,12)/10,0)</f>
        <v>8</v>
      </c>
      <c r="AB89" s="4">
        <f ca="1">_Google_ads[[#This Row],[search_impression_share]]*RANDBETWEEN(8,12)/10</f>
        <v>0.51700000000000002</v>
      </c>
      <c r="AD89" s="3">
        <f t="shared" ca="1" si="11"/>
        <v>45099</v>
      </c>
      <c r="AE89" s="4" t="s">
        <v>104</v>
      </c>
      <c r="AF89" s="4" t="s">
        <v>105</v>
      </c>
      <c r="AG89" s="4" t="s">
        <v>106</v>
      </c>
      <c r="AH89" s="4" t="s">
        <v>107</v>
      </c>
      <c r="AI89" s="4">
        <f ca="1">ROUND(T_Tiktok_ads[[#This Row],[impressions]]*RANDBETWEEN(8,12)/10,0)</f>
        <v>196791</v>
      </c>
      <c r="AJ89" s="4">
        <f ca="1">ROUND(T_Tiktok_ads[[#This Row],[clicks]]*RANDBETWEEN(8,12)/10,0)</f>
        <v>3802</v>
      </c>
      <c r="AK89" s="4">
        <v>889.5</v>
      </c>
      <c r="AL89" s="4">
        <f ca="1">ROUND(T_Tiktok_ads[[#This Row],[conversions]]*RANDBETWEEN(8,12)/10,0)</f>
        <v>107</v>
      </c>
      <c r="AM89" s="4">
        <f ca="1">ROUND(T_Tiktok_ads[[#This Row],[video_views]]*RANDBETWEEN(8,12)/10,0)</f>
        <v>128901</v>
      </c>
      <c r="AN89" s="4">
        <f ca="1">ROUND(T_Tiktok_ads[[#This Row],[video_watch_25]]*RANDBETWEEN(8,12)/10,0)</f>
        <v>114814</v>
      </c>
      <c r="AO89" s="4">
        <f ca="1">ROUND(T_Tiktok_ads[[#This Row],[video_watch_50]]*RANDBETWEEN(8,12)/10,0)</f>
        <v>58110</v>
      </c>
      <c r="AP89" s="4">
        <f ca="1">ROUND(T_Tiktok_ads[[#This Row],[video_watch_75]]*RANDBETWEEN(8,12)/10,0)</f>
        <v>48567</v>
      </c>
      <c r="AQ89" s="4">
        <f ca="1">ROUND(T_Tiktok_ads[[#This Row],[video_watch_100]]*RANDBETWEEN(8,12)/10,0)</f>
        <v>35580</v>
      </c>
      <c r="AR89" s="4">
        <f ca="1">ROUND(T_Tiktok_ads[[#This Row],[likes]]*RANDBETWEEN(8,12)/10,0)</f>
        <v>6735</v>
      </c>
      <c r="AS89" s="4">
        <f ca="1">ROUND(T_Tiktok_ads[[#This Row],[shares]]*RANDBETWEEN(8,12)/10,0)</f>
        <v>2081</v>
      </c>
      <c r="AT89" s="4">
        <f ca="1">ROUND(T_Tiktok_ads[[#This Row],[comments]]*RANDBETWEEN(8,12)/10,0)</f>
        <v>276</v>
      </c>
      <c r="AV89" s="5">
        <f t="shared" ca="1" si="12"/>
        <v>45107</v>
      </c>
      <c r="AW89">
        <f t="shared" ca="1" si="13"/>
        <v>7</v>
      </c>
      <c r="AX89">
        <f ca="1">ROUND(T_Facebook_Ads115963677175[[#This Row],[impressions]]*RANDBETWEEN(8,12)/10,0)</f>
        <v>11288</v>
      </c>
      <c r="AY89">
        <f ca="1">ROUND(T_Facebook_Ads115963677175[[#This Row],[clicks]]*RANDBETWEEN(8,12)/10,0)</f>
        <v>605</v>
      </c>
      <c r="AZ89">
        <f ca="1">T_Facebook_Ads115963677175[[#This Row],[spend]]*RANDBETWEEN(8,12)/10</f>
        <v>215.11999999999998</v>
      </c>
      <c r="BA89">
        <f ca="1">ROUND(T_Facebook_Ads115963677175[[#This Row],[conversions]]*RANDBETWEEN(8,12)/10,0)</f>
        <v>45</v>
      </c>
      <c r="BB89">
        <f ca="1">ROUND(T_Facebook_Ads115963677175[[#This Row],[video_views]]*RANDBETWEEN(8,12)/10,0)</f>
        <v>2014</v>
      </c>
    </row>
    <row r="90" spans="1:54" ht="15.75" thickBot="1" x14ac:dyDescent="0.3">
      <c r="A90" s="3">
        <f t="shared" ca="1" si="9"/>
        <v>45081</v>
      </c>
      <c r="B90" s="4" t="s">
        <v>60</v>
      </c>
      <c r="C90" s="4" t="s">
        <v>61</v>
      </c>
      <c r="D90" s="4" t="s">
        <v>62</v>
      </c>
      <c r="E90" s="4" t="s">
        <v>63</v>
      </c>
      <c r="F90" s="4">
        <f ca="1">ROUND(T_Facebook_Ads[[#This Row],[impressions]]*RANDBETWEEN(8,12)/10,0)</f>
        <v>40567</v>
      </c>
      <c r="G90" s="4">
        <v>1567</v>
      </c>
      <c r="H90" s="4">
        <f ca="1">T_Facebook_Ads[[#This Row],[spend]]*RANDBETWEEN(8,12)/10</f>
        <v>238.6</v>
      </c>
      <c r="I90" s="4">
        <f ca="1">ROUND(T_Facebook_Ads[[#This Row],[conversions]]*RANDBETWEEN(8,12)/10,0)</f>
        <v>41</v>
      </c>
      <c r="J90" s="4">
        <f ca="1">ROUND(T_Facebook_Ads[[#This Row],[video_views]]*RANDBETWEEN(8,12)/10,0)</f>
        <v>5456</v>
      </c>
      <c r="K90" s="4">
        <f ca="1">T_Facebook_Ads[[#This Row],[engagement_rate]]*RANDBETWEEN(8,12)/10</f>
        <v>3.4740000000000007E-2</v>
      </c>
      <c r="L90" s="4">
        <f ca="1">ROUND(T_Facebook_Ads[[#This Row],[reach]]*RANDBETWEEN(8,12)/10,0)</f>
        <v>33234</v>
      </c>
      <c r="M90" s="4">
        <f ca="1">T_Facebook_Ads[[#This Row],[frequency]]*RANDBETWEEN(8,12)/10</f>
        <v>1.3420000000000001</v>
      </c>
      <c r="O90" s="3">
        <f t="shared" ca="1" si="10"/>
        <v>45104</v>
      </c>
      <c r="P90" s="4" t="s">
        <v>84</v>
      </c>
      <c r="Q90" s="4" t="s">
        <v>85</v>
      </c>
      <c r="R90" s="4" t="s">
        <v>86</v>
      </c>
      <c r="S90" s="4" t="s">
        <v>87</v>
      </c>
      <c r="T90" s="4">
        <f ca="1">ROUND(_Google_ads[[#This Row],[impressions]]*RANDBETWEEN(8,12)/10,0)</f>
        <v>75234</v>
      </c>
      <c r="U90" s="4">
        <f ca="1">ROUND(_Google_ads[[#This Row],[clicks]]*RANDBETWEEN(8,12)/10,0)</f>
        <v>3080</v>
      </c>
      <c r="V90" s="4">
        <f ca="1">_Google_ads[[#This Row],[cost]]*RANDBETWEEN(8,12)/10</f>
        <v>421.02</v>
      </c>
      <c r="W90" s="4">
        <f ca="1">ROUND(_Google_ads[[#This Row],[conversions]]*RANDBETWEEN(8,12)/10,0)</f>
        <v>60</v>
      </c>
      <c r="X90" s="4">
        <f ca="1">ROUND(_Google_ads[[#This Row],[conversion_value]]*RANDBETWEEN(8,12)/10,0)</f>
        <v>3375</v>
      </c>
      <c r="Y90" s="4">
        <f ca="1">_Google_ads[[#This Row],[ctr]]*RANDBETWEEN(8,12)/10</f>
        <v>3.4099999999999998E-2</v>
      </c>
      <c r="Z90" s="4">
        <f ca="1">_Google_ads[[#This Row],[avg_cpc]]*RANDBETWEEN(8,12)/10</f>
        <v>0.16199999999999998</v>
      </c>
      <c r="AA90" s="4">
        <f ca="1">ROUND(_Google_ads[[#This Row],[quality_score]]*RANDBETWEEN(8,12)/10,0)</f>
        <v>9</v>
      </c>
      <c r="AB90" s="4">
        <f ca="1">_Google_ads[[#This Row],[search_impression_share]]*RANDBETWEEN(8,12)/10</f>
        <v>0.63</v>
      </c>
      <c r="AD90" s="3">
        <f t="shared" ca="1" si="11"/>
        <v>45080</v>
      </c>
      <c r="AE90" s="4" t="s">
        <v>108</v>
      </c>
      <c r="AF90" s="4" t="s">
        <v>109</v>
      </c>
      <c r="AG90" s="4" t="s">
        <v>110</v>
      </c>
      <c r="AH90" s="4" t="s">
        <v>111</v>
      </c>
      <c r="AI90" s="4">
        <f ca="1">ROUND(T_Tiktok_ads[[#This Row],[impressions]]*RANDBETWEEN(8,12)/10,0)</f>
        <v>223121</v>
      </c>
      <c r="AJ90" s="4">
        <f ca="1">ROUND(T_Tiktok_ads[[#This Row],[clicks]]*RANDBETWEEN(8,12)/10,0)</f>
        <v>3811</v>
      </c>
      <c r="AK90" s="4">
        <v>534.20000000000005</v>
      </c>
      <c r="AL90" s="4">
        <f ca="1">ROUND(T_Tiktok_ads[[#This Row],[conversions]]*RANDBETWEEN(8,12)/10,0)</f>
        <v>39</v>
      </c>
      <c r="AM90" s="4">
        <f ca="1">ROUND(T_Tiktok_ads[[#This Row],[video_views]]*RANDBETWEEN(8,12)/10,0)</f>
        <v>245802</v>
      </c>
      <c r="AN90" s="4">
        <f ca="1">ROUND(T_Tiktok_ads[[#This Row],[video_watch_25]]*RANDBETWEEN(8,12)/10,0)</f>
        <v>152011</v>
      </c>
      <c r="AO90" s="4">
        <f ca="1">ROUND(T_Tiktok_ads[[#This Row],[video_watch_50]]*RANDBETWEEN(8,12)/10,0)</f>
        <v>133456</v>
      </c>
      <c r="AP90" s="4">
        <f ca="1">ROUND(T_Tiktok_ads[[#This Row],[video_watch_75]]*RANDBETWEEN(8,12)/10,0)</f>
        <v>77110</v>
      </c>
      <c r="AQ90" s="4">
        <f ca="1">ROUND(T_Tiktok_ads[[#This Row],[video_watch_100]]*RANDBETWEEN(8,12)/10,0)</f>
        <v>56968</v>
      </c>
      <c r="AR90" s="4">
        <f ca="1">ROUND(T_Tiktok_ads[[#This Row],[likes]]*RANDBETWEEN(8,12)/10,0)</f>
        <v>9456</v>
      </c>
      <c r="AS90" s="4">
        <f ca="1">ROUND(T_Tiktok_ads[[#This Row],[shares]]*RANDBETWEEN(8,12)/10,0)</f>
        <v>2897</v>
      </c>
      <c r="AT90" s="4">
        <f ca="1">ROUND(T_Tiktok_ads[[#This Row],[comments]]*RANDBETWEEN(8,12)/10,0)</f>
        <v>623</v>
      </c>
      <c r="AV90" s="5">
        <f t="shared" ca="1" si="12"/>
        <v>45081</v>
      </c>
      <c r="AW90">
        <f t="shared" ca="1" si="13"/>
        <v>6</v>
      </c>
      <c r="AX90">
        <f ca="1">ROUND(T_Facebook_Ads115963677175[[#This Row],[impressions]]*RANDBETWEEN(8,12)/10,0)</f>
        <v>40567</v>
      </c>
      <c r="AY90">
        <f ca="1">ROUND(T_Facebook_Ads115963677175[[#This Row],[clicks]]*RANDBETWEEN(8,12)/10,0)</f>
        <v>1254</v>
      </c>
      <c r="AZ90">
        <f ca="1">T_Facebook_Ads115963677175[[#This Row],[spend]]*RANDBETWEEN(8,12)/10</f>
        <v>190.88</v>
      </c>
      <c r="BA90">
        <f ca="1">ROUND(T_Facebook_Ads115963677175[[#This Row],[conversions]]*RANDBETWEEN(8,12)/10,0)</f>
        <v>37</v>
      </c>
      <c r="BB90">
        <f ca="1">ROUND(T_Facebook_Ads115963677175[[#This Row],[video_views]]*RANDBETWEEN(8,12)/10,0)</f>
        <v>6002</v>
      </c>
    </row>
    <row r="91" spans="1:54" ht="15.75" thickBot="1" x14ac:dyDescent="0.3">
      <c r="A91" s="3">
        <f t="shared" ca="1" si="9"/>
        <v>45101</v>
      </c>
      <c r="B91" s="4" t="s">
        <v>64</v>
      </c>
      <c r="C91" s="4" t="s">
        <v>65</v>
      </c>
      <c r="D91" s="4" t="s">
        <v>66</v>
      </c>
      <c r="E91" s="4" t="s">
        <v>67</v>
      </c>
      <c r="F91" s="4">
        <f ca="1">ROUND(T_Facebook_Ads[[#This Row],[impressions]]*RANDBETWEEN(8,12)/10,0)</f>
        <v>69201</v>
      </c>
      <c r="G91" s="4">
        <v>278</v>
      </c>
      <c r="H91" s="4">
        <f ca="1">T_Facebook_Ads[[#This Row],[spend]]*RANDBETWEEN(8,12)/10</f>
        <v>79.36</v>
      </c>
      <c r="I91" s="4">
        <f ca="1">ROUND(T_Facebook_Ads[[#This Row],[conversions]]*RANDBETWEEN(8,12)/10,0)</f>
        <v>8</v>
      </c>
      <c r="J91" s="4">
        <f ca="1">ROUND(T_Facebook_Ads[[#This Row],[video_views]]*RANDBETWEEN(8,12)/10,0)</f>
        <v>56724</v>
      </c>
      <c r="K91" s="4">
        <f ca="1">T_Facebook_Ads[[#This Row],[engagement_rate]]*RANDBETWEEN(8,12)/10</f>
        <v>3.5999999999999999E-3</v>
      </c>
      <c r="L91" s="4">
        <f ca="1">ROUND(T_Facebook_Ads[[#This Row],[reach]]*RANDBETWEEN(8,12)/10,0)</f>
        <v>69179</v>
      </c>
      <c r="M91" s="4">
        <f ca="1">T_Facebook_Ads[[#This Row],[frequency]]*RANDBETWEEN(8,12)/10</f>
        <v>1.353</v>
      </c>
      <c r="O91" s="3">
        <f t="shared" ca="1" si="10"/>
        <v>45104</v>
      </c>
      <c r="P91" s="4" t="s">
        <v>88</v>
      </c>
      <c r="Q91" s="4" t="s">
        <v>89</v>
      </c>
      <c r="R91" s="4" t="s">
        <v>90</v>
      </c>
      <c r="S91" s="4" t="s">
        <v>59</v>
      </c>
      <c r="T91" s="4">
        <f ca="1">ROUND(_Google_ads[[#This Row],[impressions]]*RANDBETWEEN(8,12)/10,0)</f>
        <v>128111</v>
      </c>
      <c r="U91" s="4">
        <f ca="1">ROUND(_Google_ads[[#This Row],[clicks]]*RANDBETWEEN(8,12)/10,0)</f>
        <v>491</v>
      </c>
      <c r="V91" s="4">
        <f ca="1">_Google_ads[[#This Row],[cost]]*RANDBETWEEN(8,12)/10</f>
        <v>167.88000000000002</v>
      </c>
      <c r="W91" s="4">
        <f ca="1">ROUND(_Google_ads[[#This Row],[conversions]]*RANDBETWEEN(8,12)/10,0)</f>
        <v>14</v>
      </c>
      <c r="X91" s="4">
        <f ca="1">ROUND(_Google_ads[[#This Row],[conversion_value]]*RANDBETWEEN(8,12)/10,0)</f>
        <v>720</v>
      </c>
      <c r="Y91" s="4">
        <f ca="1">_Google_ads[[#This Row],[ctr]]*RANDBETWEEN(8,12)/10</f>
        <v>4.1799999999999997E-3</v>
      </c>
      <c r="Z91" s="4">
        <f ca="1">_Google_ads[[#This Row],[avg_cpc]]*RANDBETWEEN(8,12)/10</f>
        <v>0.20800000000000002</v>
      </c>
      <c r="AA91" s="4">
        <f ca="1">ROUND(_Google_ads[[#This Row],[quality_score]]*RANDBETWEEN(8,12)/10,0)</f>
        <v>6</v>
      </c>
      <c r="AB91" s="4">
        <f ca="1">_Google_ads[[#This Row],[search_impression_share]]*RANDBETWEEN(8,12)/10</f>
        <v>0.44399999999999995</v>
      </c>
      <c r="AD91" s="3">
        <f t="shared" ca="1" si="11"/>
        <v>45091</v>
      </c>
      <c r="AE91" s="4" t="s">
        <v>112</v>
      </c>
      <c r="AF91" s="4" t="s">
        <v>113</v>
      </c>
      <c r="AG91" s="4" t="s">
        <v>114</v>
      </c>
      <c r="AH91" s="4" t="s">
        <v>115</v>
      </c>
      <c r="AI91" s="4">
        <f ca="1">ROUND(T_Tiktok_ads[[#This Row],[impressions]]*RANDBETWEEN(8,12)/10,0)</f>
        <v>467890</v>
      </c>
      <c r="AJ91" s="4">
        <f ca="1">ROUND(T_Tiktok_ads[[#This Row],[clicks]]*RANDBETWEEN(8,12)/10,0)</f>
        <v>7623</v>
      </c>
      <c r="AK91" s="4">
        <v>1189.4000000000001</v>
      </c>
      <c r="AL91" s="4">
        <f ca="1">ROUND(T_Tiktok_ads[[#This Row],[conversions]]*RANDBETWEEN(8,12)/10,0)</f>
        <v>144</v>
      </c>
      <c r="AM91" s="4">
        <f ca="1">ROUND(T_Tiktok_ads[[#This Row],[video_views]]*RANDBETWEEN(8,12)/10,0)</f>
        <v>481481</v>
      </c>
      <c r="AN91" s="4">
        <f ca="1">ROUND(T_Tiktok_ads[[#This Row],[video_watch_25]]*RANDBETWEEN(8,12)/10,0)</f>
        <v>258765</v>
      </c>
      <c r="AO91" s="4">
        <f ca="1">ROUND(T_Tiktok_ads[[#This Row],[video_watch_50]]*RANDBETWEEN(8,12)/10,0)</f>
        <v>284791</v>
      </c>
      <c r="AP91" s="4">
        <f ca="1">ROUND(T_Tiktok_ads[[#This Row],[video_watch_75]]*RANDBETWEEN(8,12)/10,0)</f>
        <v>221480</v>
      </c>
      <c r="AQ91" s="4">
        <f ca="1">ROUND(T_Tiktok_ads[[#This Row],[video_watch_100]]*RANDBETWEEN(8,12)/10,0)</f>
        <v>134580</v>
      </c>
      <c r="AR91" s="4">
        <f ca="1">ROUND(T_Tiktok_ads[[#This Row],[likes]]*RANDBETWEEN(8,12)/10,0)</f>
        <v>24947</v>
      </c>
      <c r="AS91" s="4">
        <f ca="1">ROUND(T_Tiktok_ads[[#This Row],[shares]]*RANDBETWEEN(8,12)/10,0)</f>
        <v>7241</v>
      </c>
      <c r="AT91" s="4">
        <f ca="1">ROUND(T_Tiktok_ads[[#This Row],[comments]]*RANDBETWEEN(8,12)/10,0)</f>
        <v>1846</v>
      </c>
      <c r="AV91" s="5">
        <f t="shared" ca="1" si="12"/>
        <v>45104</v>
      </c>
      <c r="AW91">
        <f t="shared" ca="1" si="13"/>
        <v>3</v>
      </c>
      <c r="AX91">
        <f ca="1">ROUND(T_Facebook_Ads115963677175[[#This Row],[impressions]]*RANDBETWEEN(8,12)/10,0)</f>
        <v>55361</v>
      </c>
      <c r="AY91">
        <f ca="1">ROUND(T_Facebook_Ads115963677175[[#This Row],[clicks]]*RANDBETWEEN(8,12)/10,0)</f>
        <v>222</v>
      </c>
      <c r="AZ91">
        <f ca="1">T_Facebook_Ads115963677175[[#This Row],[spend]]*RANDBETWEEN(8,12)/10</f>
        <v>87.296000000000006</v>
      </c>
      <c r="BA91">
        <f ca="1">ROUND(T_Facebook_Ads115963677175[[#This Row],[conversions]]*RANDBETWEEN(8,12)/10,0)</f>
        <v>10</v>
      </c>
      <c r="BB91">
        <f ca="1">ROUND(T_Facebook_Ads115963677175[[#This Row],[video_views]]*RANDBETWEEN(8,12)/10,0)</f>
        <v>51052</v>
      </c>
    </row>
    <row r="92" spans="1:54" ht="15.75" thickBot="1" x14ac:dyDescent="0.3">
      <c r="A92" s="3">
        <f t="shared" ca="1" si="9"/>
        <v>45092</v>
      </c>
      <c r="B92" s="4" t="s">
        <v>52</v>
      </c>
      <c r="C92" s="4" t="s">
        <v>53</v>
      </c>
      <c r="D92" s="4" t="s">
        <v>54</v>
      </c>
      <c r="E92" s="4" t="s">
        <v>55</v>
      </c>
      <c r="F92" s="4">
        <f ca="1">ROUND(T_Facebook_Ads[[#This Row],[impressions]]*RANDBETWEEN(8,12)/10,0)</f>
        <v>50123</v>
      </c>
      <c r="G92" s="4">
        <v>1034</v>
      </c>
      <c r="H92" s="4">
        <f ca="1">T_Facebook_Ads[[#This Row],[spend]]*RANDBETWEEN(8,12)/10</f>
        <v>162.25</v>
      </c>
      <c r="I92" s="4">
        <f ca="1">ROUND(T_Facebook_Ads[[#This Row],[conversions]]*RANDBETWEEN(8,12)/10,0)</f>
        <v>17</v>
      </c>
      <c r="J92" s="4">
        <f ca="1">ROUND(T_Facebook_Ads[[#This Row],[video_views]]*RANDBETWEEN(8,12)/10,0)</f>
        <v>9123</v>
      </c>
      <c r="K92" s="4">
        <f ca="1">T_Facebook_Ads[[#This Row],[engagement_rate]]*RANDBETWEEN(8,12)/10</f>
        <v>2.4719999999999999E-2</v>
      </c>
      <c r="L92" s="4">
        <f ca="1">ROUND(T_Facebook_Ads[[#This Row],[reach]]*RANDBETWEEN(8,12)/10,0)</f>
        <v>50268</v>
      </c>
      <c r="M92" s="4">
        <f ca="1">T_Facebook_Ads[[#This Row],[frequency]]*RANDBETWEEN(8,12)/10</f>
        <v>1.0799999999999998</v>
      </c>
      <c r="O92" s="3">
        <f t="shared" ca="1" si="10"/>
        <v>45102</v>
      </c>
      <c r="P92" s="4" t="s">
        <v>76</v>
      </c>
      <c r="Q92" s="4" t="s">
        <v>77</v>
      </c>
      <c r="R92" s="4" t="s">
        <v>78</v>
      </c>
      <c r="S92" s="4" t="s">
        <v>79</v>
      </c>
      <c r="T92" s="4">
        <f ca="1">ROUND(_Google_ads[[#This Row],[impressions]]*RANDBETWEEN(8,12)/10,0)</f>
        <v>24110</v>
      </c>
      <c r="U92" s="4">
        <f ca="1">ROUND(_Google_ads[[#This Row],[clicks]]*RANDBETWEEN(8,12)/10,0)</f>
        <v>1516</v>
      </c>
      <c r="V92" s="4">
        <f ca="1">_Google_ads[[#This Row],[cost]]*RANDBETWEEN(8,12)/10</f>
        <v>210.71999999999997</v>
      </c>
      <c r="W92" s="4">
        <f ca="1">ROUND(_Google_ads[[#This Row],[conversions]]*RANDBETWEEN(8,12)/10,0)</f>
        <v>58</v>
      </c>
      <c r="X92" s="4">
        <f ca="1">ROUND(_Google_ads[[#This Row],[conversion_value]]*RANDBETWEEN(8,12)/10,0)</f>
        <v>3180</v>
      </c>
      <c r="Y92" s="4">
        <f ca="1">_Google_ads[[#This Row],[ctr]]*RANDBETWEEN(8,12)/10</f>
        <v>4.1200000000000001E-2</v>
      </c>
      <c r="Z92" s="4">
        <f ca="1">_Google_ads[[#This Row],[avg_cpc]]*RANDBETWEEN(8,12)/10</f>
        <v>0.20899999999999999</v>
      </c>
      <c r="AA92" s="4">
        <f ca="1">ROUND(_Google_ads[[#This Row],[quality_score]]*RANDBETWEEN(8,12)/10,0)</f>
        <v>8</v>
      </c>
      <c r="AB92" s="4">
        <f ca="1">_Google_ads[[#This Row],[search_impression_share]]*RANDBETWEEN(8,12)/10</f>
        <v>0.73599999999999999</v>
      </c>
      <c r="AD92" s="3">
        <f t="shared" ca="1" si="11"/>
        <v>45104</v>
      </c>
      <c r="AE92" s="4" t="s">
        <v>100</v>
      </c>
      <c r="AF92" s="4" t="s">
        <v>101</v>
      </c>
      <c r="AG92" s="4" t="s">
        <v>102</v>
      </c>
      <c r="AH92" s="4" t="s">
        <v>103</v>
      </c>
      <c r="AI92" s="4">
        <f ca="1">ROUND(T_Tiktok_ads[[#This Row],[impressions]]*RANDBETWEEN(8,12)/10,0)</f>
        <v>271111</v>
      </c>
      <c r="AJ92" s="4">
        <f ca="1">ROUND(T_Tiktok_ads[[#This Row],[clicks]]*RANDBETWEEN(8,12)/10,0)</f>
        <v>3565</v>
      </c>
      <c r="AK92" s="4">
        <v>589.9</v>
      </c>
      <c r="AL92" s="4">
        <f ca="1">ROUND(T_Tiktok_ads[[#This Row],[conversions]]*RANDBETWEEN(8,12)/10,0)</f>
        <v>41</v>
      </c>
      <c r="AM92" s="4">
        <f ca="1">ROUND(T_Tiktok_ads[[#This Row],[video_views]]*RANDBETWEEN(8,12)/10,0)</f>
        <v>196542</v>
      </c>
      <c r="AN92" s="4">
        <f ca="1">ROUND(T_Tiktok_ads[[#This Row],[video_watch_25]]*RANDBETWEEN(8,12)/10,0)</f>
        <v>172111</v>
      </c>
      <c r="AO92" s="4">
        <f ca="1">ROUND(T_Tiktok_ads[[#This Row],[video_watch_50]]*RANDBETWEEN(8,12)/10,0)</f>
        <v>95387</v>
      </c>
      <c r="AP92" s="4">
        <f ca="1">ROUND(T_Tiktok_ads[[#This Row],[video_watch_75]]*RANDBETWEEN(8,12)/10,0)</f>
        <v>88257</v>
      </c>
      <c r="AQ92" s="4">
        <f ca="1">ROUND(T_Tiktok_ads[[#This Row],[video_watch_100]]*RANDBETWEEN(8,12)/10,0)</f>
        <v>58802</v>
      </c>
      <c r="AR92" s="4">
        <f ca="1">ROUND(T_Tiktok_ads[[#This Row],[likes]]*RANDBETWEEN(8,12)/10,0)</f>
        <v>9710</v>
      </c>
      <c r="AS92" s="4">
        <f ca="1">ROUND(T_Tiktok_ads[[#This Row],[shares]]*RANDBETWEEN(8,12)/10,0)</f>
        <v>2321</v>
      </c>
      <c r="AT92" s="4">
        <f ca="1">ROUND(T_Tiktok_ads[[#This Row],[comments]]*RANDBETWEEN(8,12)/10,0)</f>
        <v>689</v>
      </c>
      <c r="AV92" s="5">
        <f t="shared" ca="1" si="12"/>
        <v>45101</v>
      </c>
      <c r="AW92">
        <f t="shared" ca="1" si="13"/>
        <v>3</v>
      </c>
      <c r="AX92">
        <f ca="1">ROUND(T_Facebook_Ads115963677175[[#This Row],[impressions]]*RANDBETWEEN(8,12)/10,0)</f>
        <v>40098</v>
      </c>
      <c r="AY92">
        <f ca="1">ROUND(T_Facebook_Ads115963677175[[#This Row],[clicks]]*RANDBETWEEN(8,12)/10,0)</f>
        <v>931</v>
      </c>
      <c r="AZ92">
        <f ca="1">T_Facebook_Ads115963677175[[#This Row],[spend]]*RANDBETWEEN(8,12)/10</f>
        <v>162.25</v>
      </c>
      <c r="BA92">
        <f ca="1">ROUND(T_Facebook_Ads115963677175[[#This Row],[conversions]]*RANDBETWEEN(8,12)/10,0)</f>
        <v>17</v>
      </c>
      <c r="BB92">
        <f ca="1">ROUND(T_Facebook_Ads115963677175[[#This Row],[video_views]]*RANDBETWEEN(8,12)/10,0)</f>
        <v>10948</v>
      </c>
    </row>
    <row r="93" spans="1:54" ht="15.75" thickBot="1" x14ac:dyDescent="0.3">
      <c r="A93" s="3">
        <f t="shared" ca="1" si="9"/>
        <v>45107</v>
      </c>
      <c r="B93" s="4" t="s">
        <v>56</v>
      </c>
      <c r="C93" s="4" t="s">
        <v>57</v>
      </c>
      <c r="D93" s="4" t="s">
        <v>58</v>
      </c>
      <c r="E93" s="4" t="s">
        <v>59</v>
      </c>
      <c r="F93" s="4">
        <f ca="1">ROUND(T_Facebook_Ads[[#This Row],[impressions]]*RANDBETWEEN(8,12)/10,0)</f>
        <v>11387</v>
      </c>
      <c r="G93" s="4">
        <v>689</v>
      </c>
      <c r="H93" s="4">
        <f ca="1">T_Facebook_Ads[[#This Row],[spend]]*RANDBETWEEN(8,12)/10</f>
        <v>254.7</v>
      </c>
      <c r="I93" s="4">
        <f ca="1">ROUND(T_Facebook_Ads[[#This Row],[conversions]]*RANDBETWEEN(8,12)/10,0)</f>
        <v>44</v>
      </c>
      <c r="J93" s="4">
        <f ca="1">ROUND(T_Facebook_Ads[[#This Row],[video_views]]*RANDBETWEEN(8,12)/10,0)</f>
        <v>1310</v>
      </c>
      <c r="K93" s="4">
        <f ca="1">T_Facebook_Ads[[#This Row],[engagement_rate]]*RANDBETWEEN(8,12)/10</f>
        <v>5.3239999999999996E-2</v>
      </c>
      <c r="L93" s="4">
        <f ca="1">ROUND(T_Facebook_Ads[[#This Row],[reach]]*RANDBETWEEN(8,12)/10,0)</f>
        <v>10111</v>
      </c>
      <c r="M93" s="4">
        <f ca="1">T_Facebook_Ads[[#This Row],[frequency]]*RANDBETWEEN(8,12)/10</f>
        <v>1.397</v>
      </c>
      <c r="O93" s="3">
        <f t="shared" ca="1" si="10"/>
        <v>45099</v>
      </c>
      <c r="P93" s="4" t="s">
        <v>80</v>
      </c>
      <c r="Q93" s="4" t="s">
        <v>81</v>
      </c>
      <c r="R93" s="4" t="s">
        <v>82</v>
      </c>
      <c r="S93" s="4" t="s">
        <v>83</v>
      </c>
      <c r="T93" s="4">
        <f ca="1">ROUND(_Google_ads[[#This Row],[impressions]]*RANDBETWEEN(8,12)/10,0)</f>
        <v>51957</v>
      </c>
      <c r="U93" s="4">
        <f ca="1">ROUND(_Google_ads[[#This Row],[clicks]]*RANDBETWEEN(8,12)/10,0)</f>
        <v>1040</v>
      </c>
      <c r="V93" s="4">
        <f ca="1">_Google_ads[[#This Row],[cost]]*RANDBETWEEN(8,12)/10</f>
        <v>605.6</v>
      </c>
      <c r="W93" s="4">
        <f ca="1">ROUND(_Google_ads[[#This Row],[conversions]]*RANDBETWEEN(8,12)/10,0)</f>
        <v>30</v>
      </c>
      <c r="X93" s="4">
        <f ca="1">ROUND(_Google_ads[[#This Row],[conversion_value]]*RANDBETWEEN(8,12)/10,0)</f>
        <v>1250</v>
      </c>
      <c r="Y93" s="4">
        <f ca="1">_Google_ads[[#This Row],[ctr]]*RANDBETWEEN(8,12)/10</f>
        <v>1.6E-2</v>
      </c>
      <c r="Z93" s="4">
        <f ca="1">_Google_ads[[#This Row],[avg_cpc]]*RANDBETWEEN(8,12)/10</f>
        <v>0.57599999999999996</v>
      </c>
      <c r="AA93" s="4">
        <f ca="1">ROUND(_Google_ads[[#This Row],[quality_score]]*RANDBETWEEN(8,12)/10,0)</f>
        <v>7</v>
      </c>
      <c r="AB93" s="4">
        <f ca="1">_Google_ads[[#This Row],[search_impression_share]]*RANDBETWEEN(8,12)/10</f>
        <v>0.41400000000000003</v>
      </c>
      <c r="AD93" s="3">
        <f t="shared" ca="1" si="11"/>
        <v>45085</v>
      </c>
      <c r="AE93" s="4" t="s">
        <v>104</v>
      </c>
      <c r="AF93" s="4" t="s">
        <v>105</v>
      </c>
      <c r="AG93" s="4" t="s">
        <v>106</v>
      </c>
      <c r="AH93" s="4" t="s">
        <v>107</v>
      </c>
      <c r="AI93" s="4">
        <f ca="1">ROUND(T_Tiktok_ads[[#This Row],[impressions]]*RANDBETWEEN(8,12)/10,0)</f>
        <v>167890</v>
      </c>
      <c r="AJ93" s="4">
        <f ca="1">ROUND(T_Tiktok_ads[[#This Row],[clicks]]*RANDBETWEEN(8,12)/10,0)</f>
        <v>2587</v>
      </c>
      <c r="AK93" s="4">
        <v>845.6</v>
      </c>
      <c r="AL93" s="4">
        <f ca="1">ROUND(T_Tiktok_ads[[#This Row],[conversions]]*RANDBETWEEN(8,12)/10,0)</f>
        <v>94</v>
      </c>
      <c r="AM93" s="4">
        <f ca="1">ROUND(T_Tiktok_ads[[#This Row],[video_views]]*RANDBETWEEN(8,12)/10,0)</f>
        <v>94312</v>
      </c>
      <c r="AN93" s="4">
        <f ca="1">ROUND(T_Tiktok_ads[[#This Row],[video_watch_25]]*RANDBETWEEN(8,12)/10,0)</f>
        <v>95957</v>
      </c>
      <c r="AO93" s="4">
        <f ca="1">ROUND(T_Tiktok_ads[[#This Row],[video_watch_50]]*RANDBETWEEN(8,12)/10,0)</f>
        <v>47121</v>
      </c>
      <c r="AP93" s="4">
        <f ca="1">ROUND(T_Tiktok_ads[[#This Row],[video_watch_75]]*RANDBETWEEN(8,12)/10,0)</f>
        <v>35387</v>
      </c>
      <c r="AQ93" s="4">
        <f ca="1">ROUND(T_Tiktok_ads[[#This Row],[video_watch_100]]*RANDBETWEEN(8,12)/10,0)</f>
        <v>23654</v>
      </c>
      <c r="AR93" s="4">
        <f ca="1">ROUND(T_Tiktok_ads[[#This Row],[likes]]*RANDBETWEEN(8,12)/10,0)</f>
        <v>5110</v>
      </c>
      <c r="AS93" s="4">
        <f ca="1">ROUND(T_Tiktok_ads[[#This Row],[shares]]*RANDBETWEEN(8,12)/10,0)</f>
        <v>1797</v>
      </c>
      <c r="AT93" s="4">
        <f ca="1">ROUND(T_Tiktok_ads[[#This Row],[comments]]*RANDBETWEEN(8,12)/10,0)</f>
        <v>374</v>
      </c>
      <c r="AV93" s="5">
        <f t="shared" ca="1" si="12"/>
        <v>45079</v>
      </c>
      <c r="AW93">
        <f t="shared" ca="1" si="13"/>
        <v>5</v>
      </c>
      <c r="AX93">
        <f ca="1">ROUND(T_Facebook_Ads115963677175[[#This Row],[impressions]]*RANDBETWEEN(8,12)/10,0)</f>
        <v>12526</v>
      </c>
      <c r="AY93">
        <f ca="1">ROUND(T_Facebook_Ads115963677175[[#This Row],[clicks]]*RANDBETWEEN(8,12)/10,0)</f>
        <v>620</v>
      </c>
      <c r="AZ93">
        <f ca="1">T_Facebook_Ads115963677175[[#This Row],[spend]]*RANDBETWEEN(8,12)/10</f>
        <v>305.64</v>
      </c>
      <c r="BA93">
        <f ca="1">ROUND(T_Facebook_Ads115963677175[[#This Row],[conversions]]*RANDBETWEEN(8,12)/10,0)</f>
        <v>44</v>
      </c>
      <c r="BB93">
        <f ca="1">ROUND(T_Facebook_Ads115963677175[[#This Row],[video_views]]*RANDBETWEEN(8,12)/10,0)</f>
        <v>1441</v>
      </c>
    </row>
    <row r="94" spans="1:54" ht="15.75" thickBot="1" x14ac:dyDescent="0.3">
      <c r="A94" s="3">
        <f t="shared" ca="1" si="9"/>
        <v>45085</v>
      </c>
      <c r="B94" s="4" t="s">
        <v>60</v>
      </c>
      <c r="C94" s="4" t="s">
        <v>61</v>
      </c>
      <c r="D94" s="4" t="s">
        <v>62</v>
      </c>
      <c r="E94" s="4" t="s">
        <v>63</v>
      </c>
      <c r="F94" s="4">
        <f ca="1">ROUND(T_Facebook_Ads[[#This Row],[impressions]]*RANDBETWEEN(8,12)/10,0)</f>
        <v>42779</v>
      </c>
      <c r="G94" s="4">
        <v>1445</v>
      </c>
      <c r="H94" s="4">
        <f ca="1">T_Facebook_Ads[[#This Row],[spend]]*RANDBETWEEN(8,12)/10</f>
        <v>277.43999999999994</v>
      </c>
      <c r="I94" s="4">
        <f ca="1">ROUND(T_Facebook_Ads[[#This Row],[conversions]]*RANDBETWEEN(8,12)/10,0)</f>
        <v>29</v>
      </c>
      <c r="J94" s="4">
        <f ca="1">ROUND(T_Facebook_Ads[[#This Row],[video_views]]*RANDBETWEEN(8,12)/10,0)</f>
        <v>5123</v>
      </c>
      <c r="K94" s="4">
        <f ca="1">T_Facebook_Ads[[#This Row],[engagement_rate]]*RANDBETWEEN(8,12)/10</f>
        <v>3.3479999999999996E-2</v>
      </c>
      <c r="L94" s="4">
        <f ca="1">ROUND(T_Facebook_Ads[[#This Row],[reach]]*RANDBETWEEN(8,12)/10,0)</f>
        <v>34724</v>
      </c>
      <c r="M94" s="4">
        <f ca="1">T_Facebook_Ads[[#This Row],[frequency]]*RANDBETWEEN(8,12)/10</f>
        <v>1.353</v>
      </c>
      <c r="O94" s="3">
        <f t="shared" ca="1" si="10"/>
        <v>45104</v>
      </c>
      <c r="P94" s="4" t="s">
        <v>84</v>
      </c>
      <c r="Q94" s="4" t="s">
        <v>85</v>
      </c>
      <c r="R94" s="4" t="s">
        <v>86</v>
      </c>
      <c r="S94" s="4" t="s">
        <v>87</v>
      </c>
      <c r="T94" s="4">
        <f ca="1">ROUND(_Google_ads[[#This Row],[impressions]]*RANDBETWEEN(8,12)/10,0)</f>
        <v>65601</v>
      </c>
      <c r="U94" s="4">
        <f ca="1">ROUND(_Google_ads[[#This Row],[clicks]]*RANDBETWEEN(8,12)/10,0)</f>
        <v>2434</v>
      </c>
      <c r="V94" s="4">
        <f ca="1">_Google_ads[[#This Row],[cost]]*RANDBETWEEN(8,12)/10</f>
        <v>540.24</v>
      </c>
      <c r="W94" s="4">
        <f ca="1">ROUND(_Google_ads[[#This Row],[conversions]]*RANDBETWEEN(8,12)/10,0)</f>
        <v>64</v>
      </c>
      <c r="X94" s="4">
        <f ca="1">ROUND(_Google_ads[[#This Row],[conversion_value]]*RANDBETWEEN(8,12)/10,0)</f>
        <v>2840</v>
      </c>
      <c r="Y94" s="4">
        <f ca="1">_Google_ads[[#This Row],[ctr]]*RANDBETWEEN(8,12)/10</f>
        <v>3.6740000000000002E-2</v>
      </c>
      <c r="Z94" s="4">
        <f ca="1">_Google_ads[[#This Row],[avg_cpc]]*RANDBETWEEN(8,12)/10</f>
        <v>0.16199999999999998</v>
      </c>
      <c r="AA94" s="4">
        <f ca="1">ROUND(_Google_ads[[#This Row],[quality_score]]*RANDBETWEEN(8,12)/10,0)</f>
        <v>8</v>
      </c>
      <c r="AB94" s="4">
        <f ca="1">_Google_ads[[#This Row],[search_impression_share]]*RANDBETWEEN(8,12)/10</f>
        <v>0.82799999999999996</v>
      </c>
      <c r="AD94" s="3">
        <f t="shared" ca="1" si="11"/>
        <v>45103</v>
      </c>
      <c r="AE94" s="4" t="s">
        <v>108</v>
      </c>
      <c r="AF94" s="4" t="s">
        <v>109</v>
      </c>
      <c r="AG94" s="4" t="s">
        <v>110</v>
      </c>
      <c r="AH94" s="4" t="s">
        <v>111</v>
      </c>
      <c r="AI94" s="4">
        <f ca="1">ROUND(T_Tiktok_ads[[#This Row],[impressions]]*RANDBETWEEN(8,12)/10,0)</f>
        <v>231110</v>
      </c>
      <c r="AJ94" s="4">
        <f ca="1">ROUND(T_Tiktok_ads[[#This Row],[clicks]]*RANDBETWEEN(8,12)/10,0)</f>
        <v>3611</v>
      </c>
      <c r="AK94" s="4">
        <v>489.2</v>
      </c>
      <c r="AL94" s="4">
        <f ca="1">ROUND(T_Tiktok_ads[[#This Row],[conversions]]*RANDBETWEEN(8,12)/10,0)</f>
        <v>43</v>
      </c>
      <c r="AM94" s="4">
        <f ca="1">ROUND(T_Tiktok_ads[[#This Row],[video_views]]*RANDBETWEEN(8,12)/10,0)</f>
        <v>221357</v>
      </c>
      <c r="AN94" s="4">
        <f ca="1">ROUND(T_Tiktok_ads[[#This Row],[video_watch_25]]*RANDBETWEEN(8,12)/10,0)</f>
        <v>152345</v>
      </c>
      <c r="AO94" s="4">
        <f ca="1">ROUND(T_Tiktok_ads[[#This Row],[video_watch_50]]*RANDBETWEEN(8,12)/10,0)</f>
        <v>96365</v>
      </c>
      <c r="AP94" s="4">
        <f ca="1">ROUND(T_Tiktok_ads[[#This Row],[video_watch_75]]*RANDBETWEEN(8,12)/10,0)</f>
        <v>85679</v>
      </c>
      <c r="AQ94" s="4">
        <f ca="1">ROUND(T_Tiktok_ads[[#This Row],[video_watch_100]]*RANDBETWEEN(8,12)/10,0)</f>
        <v>56681</v>
      </c>
      <c r="AR94" s="4">
        <f ca="1">ROUND(T_Tiktok_ads[[#This Row],[likes]]*RANDBETWEEN(8,12)/10,0)</f>
        <v>7121</v>
      </c>
      <c r="AS94" s="4">
        <f ca="1">ROUND(T_Tiktok_ads[[#This Row],[shares]]*RANDBETWEEN(8,12)/10,0)</f>
        <v>2702</v>
      </c>
      <c r="AT94" s="4">
        <f ca="1">ROUND(T_Tiktok_ads[[#This Row],[comments]]*RANDBETWEEN(8,12)/10,0)</f>
        <v>530</v>
      </c>
      <c r="AV94" s="5">
        <f t="shared" ca="1" si="12"/>
        <v>45086</v>
      </c>
      <c r="AW94">
        <f t="shared" ca="1" si="13"/>
        <v>8</v>
      </c>
      <c r="AX94">
        <f ca="1">ROUND(T_Facebook_Ads115963677175[[#This Row],[impressions]]*RANDBETWEEN(8,12)/10,0)</f>
        <v>47057</v>
      </c>
      <c r="AY94">
        <f ca="1">ROUND(T_Facebook_Ads115963677175[[#This Row],[clicks]]*RANDBETWEEN(8,12)/10,0)</f>
        <v>1590</v>
      </c>
      <c r="AZ94">
        <f ca="1">T_Facebook_Ads115963677175[[#This Row],[spend]]*RANDBETWEEN(8,12)/10</f>
        <v>277.43999999999994</v>
      </c>
      <c r="BA94">
        <f ca="1">ROUND(T_Facebook_Ads115963677175[[#This Row],[conversions]]*RANDBETWEEN(8,12)/10,0)</f>
        <v>29</v>
      </c>
      <c r="BB94">
        <f ca="1">ROUND(T_Facebook_Ads115963677175[[#This Row],[video_views]]*RANDBETWEEN(8,12)/10,0)</f>
        <v>5635</v>
      </c>
    </row>
    <row r="95" spans="1:54" ht="15.75" thickBot="1" x14ac:dyDescent="0.3">
      <c r="A95" s="3">
        <f t="shared" ca="1" si="9"/>
        <v>45079</v>
      </c>
      <c r="B95" s="4" t="s">
        <v>64</v>
      </c>
      <c r="C95" s="4" t="s">
        <v>65</v>
      </c>
      <c r="D95" s="4" t="s">
        <v>66</v>
      </c>
      <c r="E95" s="4" t="s">
        <v>67</v>
      </c>
      <c r="F95" s="4">
        <f ca="1">ROUND(T_Facebook_Ads[[#This Row],[impressions]]*RANDBETWEEN(8,12)/10,0)</f>
        <v>58765</v>
      </c>
      <c r="G95" s="4">
        <v>261</v>
      </c>
      <c r="H95" s="4">
        <f ca="1">T_Facebook_Ads[[#This Row],[spend]]*RANDBETWEEN(8,12)/10</f>
        <v>113.51999999999998</v>
      </c>
      <c r="I95" s="4">
        <f ca="1">ROUND(T_Facebook_Ads[[#This Row],[conversions]]*RANDBETWEEN(8,12)/10,0)</f>
        <v>7</v>
      </c>
      <c r="J95" s="4">
        <f ca="1">ROUND(T_Facebook_Ads[[#This Row],[video_views]]*RANDBETWEEN(8,12)/10,0)</f>
        <v>59081</v>
      </c>
      <c r="K95" s="4">
        <f ca="1">T_Facebook_Ads[[#This Row],[engagement_rate]]*RANDBETWEEN(8,12)/10</f>
        <v>3.2399999999999998E-3</v>
      </c>
      <c r="L95" s="4">
        <f ca="1">ROUND(T_Facebook_Ads[[#This Row],[reach]]*RANDBETWEEN(8,12)/10,0)</f>
        <v>71480</v>
      </c>
      <c r="M95" s="4">
        <f ca="1">T_Facebook_Ads[[#This Row],[frequency]]*RANDBETWEEN(8,12)/10</f>
        <v>1.476</v>
      </c>
      <c r="O95" s="3">
        <f t="shared" ca="1" si="10"/>
        <v>45101</v>
      </c>
      <c r="P95" s="4" t="s">
        <v>88</v>
      </c>
      <c r="Q95" s="4" t="s">
        <v>89</v>
      </c>
      <c r="R95" s="4" t="s">
        <v>90</v>
      </c>
      <c r="S95" s="4" t="s">
        <v>59</v>
      </c>
      <c r="T95" s="4">
        <f ca="1">ROUND(_Google_ads[[#This Row],[impressions]]*RANDBETWEEN(8,12)/10,0)</f>
        <v>166280</v>
      </c>
      <c r="U95" s="4">
        <f ca="1">ROUND(_Google_ads[[#This Row],[clicks]]*RANDBETWEEN(8,12)/10,0)</f>
        <v>614</v>
      </c>
      <c r="V95" s="4">
        <f ca="1">_Google_ads[[#This Row],[cost]]*RANDBETWEEN(8,12)/10</f>
        <v>108.96</v>
      </c>
      <c r="W95" s="4">
        <f ca="1">ROUND(_Google_ads[[#This Row],[conversions]]*RANDBETWEEN(8,12)/10,0)</f>
        <v>14</v>
      </c>
      <c r="X95" s="4">
        <f ca="1">ROUND(_Google_ads[[#This Row],[conversion_value]]*RANDBETWEEN(8,12)/10,0)</f>
        <v>900</v>
      </c>
      <c r="Y95" s="4">
        <f ca="1">_Google_ads[[#This Row],[ctr]]*RANDBETWEEN(8,12)/10</f>
        <v>3.3300000000000005E-3</v>
      </c>
      <c r="Z95" s="4">
        <f ca="1">_Google_ads[[#This Row],[avg_cpc]]*RANDBETWEEN(8,12)/10</f>
        <v>0.32400000000000001</v>
      </c>
      <c r="AA95" s="4">
        <f ca="1">ROUND(_Google_ads[[#This Row],[quality_score]]*RANDBETWEEN(8,12)/10,0)</f>
        <v>6</v>
      </c>
      <c r="AB95" s="4">
        <f ca="1">_Google_ads[[#This Row],[search_impression_share]]*RANDBETWEEN(8,12)/10</f>
        <v>0.28799999999999998</v>
      </c>
      <c r="AD95" s="3">
        <f t="shared" ca="1" si="11"/>
        <v>45098</v>
      </c>
      <c r="AE95" s="4" t="s">
        <v>112</v>
      </c>
      <c r="AF95" s="4" t="s">
        <v>113</v>
      </c>
      <c r="AG95" s="4" t="s">
        <v>114</v>
      </c>
      <c r="AH95" s="4" t="s">
        <v>115</v>
      </c>
      <c r="AI95" s="4">
        <f ca="1">ROUND(T_Tiktok_ads[[#This Row],[impressions]]*RANDBETWEEN(8,12)/10,0)</f>
        <v>534814</v>
      </c>
      <c r="AJ95" s="4">
        <f ca="1">ROUND(T_Tiktok_ads[[#This Row],[clicks]]*RANDBETWEEN(8,12)/10,0)</f>
        <v>6511</v>
      </c>
      <c r="AK95" s="4">
        <v>1123.5</v>
      </c>
      <c r="AL95" s="4">
        <f ca="1">ROUND(T_Tiktok_ads[[#This Row],[conversions]]*RANDBETWEEN(8,12)/10,0)</f>
        <v>136</v>
      </c>
      <c r="AM95" s="4">
        <f ca="1">ROUND(T_Tiktok_ads[[#This Row],[video_views]]*RANDBETWEEN(8,12)/10,0)</f>
        <v>341011</v>
      </c>
      <c r="AN95" s="4">
        <f ca="1">ROUND(T_Tiktok_ads[[#This Row],[video_watch_25]]*RANDBETWEEN(8,12)/10,0)</f>
        <v>365480</v>
      </c>
      <c r="AO95" s="4">
        <f ca="1">ROUND(T_Tiktok_ads[[#This Row],[video_watch_50]]*RANDBETWEEN(8,12)/10,0)</f>
        <v>194765</v>
      </c>
      <c r="AP95" s="4">
        <f ca="1">ROUND(T_Tiktok_ads[[#This Row],[video_watch_75]]*RANDBETWEEN(8,12)/10,0)</f>
        <v>172345</v>
      </c>
      <c r="AQ95" s="4">
        <f ca="1">ROUND(T_Tiktok_ads[[#This Row],[video_watch_100]]*RANDBETWEEN(8,12)/10,0)</f>
        <v>103110</v>
      </c>
      <c r="AR95" s="4">
        <f ca="1">ROUND(T_Tiktok_ads[[#This Row],[likes]]*RANDBETWEEN(8,12)/10,0)</f>
        <v>19567</v>
      </c>
      <c r="AS95" s="4">
        <f ca="1">ROUND(T_Tiktok_ads[[#This Row],[shares]]*RANDBETWEEN(8,12)/10,0)</f>
        <v>4542</v>
      </c>
      <c r="AT95" s="4">
        <f ca="1">ROUND(T_Tiktok_ads[[#This Row],[comments]]*RANDBETWEEN(8,12)/10,0)</f>
        <v>1724</v>
      </c>
      <c r="AV95" s="5">
        <f t="shared" ca="1" si="12"/>
        <v>45088</v>
      </c>
      <c r="AW95">
        <f t="shared" ca="1" si="13"/>
        <v>3</v>
      </c>
      <c r="AX95">
        <f ca="1">ROUND(T_Facebook_Ads115963677175[[#This Row],[impressions]]*RANDBETWEEN(8,12)/10,0)</f>
        <v>47012</v>
      </c>
      <c r="AY95">
        <f ca="1">ROUND(T_Facebook_Ads115963677175[[#This Row],[clicks]]*RANDBETWEEN(8,12)/10,0)</f>
        <v>235</v>
      </c>
      <c r="AZ95">
        <f ca="1">T_Facebook_Ads115963677175[[#This Row],[spend]]*RANDBETWEEN(8,12)/10</f>
        <v>102.16799999999998</v>
      </c>
      <c r="BA95">
        <f ca="1">ROUND(T_Facebook_Ads115963677175[[#This Row],[conversions]]*RANDBETWEEN(8,12)/10,0)</f>
        <v>6</v>
      </c>
      <c r="BB95">
        <f ca="1">ROUND(T_Facebook_Ads115963677175[[#This Row],[video_views]]*RANDBETWEEN(8,12)/10,0)</f>
        <v>59081</v>
      </c>
    </row>
    <row r="96" spans="1:54" ht="15.75" thickBot="1" x14ac:dyDescent="0.3">
      <c r="A96" s="3">
        <f t="shared" ca="1" si="9"/>
        <v>45090</v>
      </c>
      <c r="B96" s="4" t="s">
        <v>52</v>
      </c>
      <c r="C96" s="4" t="s">
        <v>53</v>
      </c>
      <c r="D96" s="4" t="s">
        <v>54</v>
      </c>
      <c r="E96" s="4" t="s">
        <v>55</v>
      </c>
      <c r="F96" s="4">
        <f ca="1">ROUND(T_Facebook_Ads[[#This Row],[impressions]]*RANDBETWEEN(8,12)/10,0)</f>
        <v>41611</v>
      </c>
      <c r="G96" s="4">
        <v>934</v>
      </c>
      <c r="H96" s="4">
        <f ca="1">T_Facebook_Ads[[#This Row],[spend]]*RANDBETWEEN(8,12)/10</f>
        <v>147.18</v>
      </c>
      <c r="I96" s="4">
        <f ca="1">ROUND(T_Facebook_Ads[[#This Row],[conversions]]*RANDBETWEEN(8,12)/10,0)</f>
        <v>18</v>
      </c>
      <c r="J96" s="4">
        <f ca="1">ROUND(T_Facebook_Ads[[#This Row],[video_views]]*RANDBETWEEN(8,12)/10,0)</f>
        <v>10147</v>
      </c>
      <c r="K96" s="4">
        <f ca="1">T_Facebook_Ads[[#This Row],[engagement_rate]]*RANDBETWEEN(8,12)/10</f>
        <v>2.4240000000000001E-2</v>
      </c>
      <c r="L96" s="4">
        <f ca="1">ROUND(T_Facebook_Ads[[#This Row],[reach]]*RANDBETWEEN(8,12)/10,0)</f>
        <v>46668</v>
      </c>
      <c r="M96" s="4">
        <f ca="1">T_Facebook_Ads[[#This Row],[frequency]]*RANDBETWEEN(8,12)/10</f>
        <v>1.4279999999999999</v>
      </c>
      <c r="O96" s="3">
        <f t="shared" ca="1" si="10"/>
        <v>45099</v>
      </c>
      <c r="P96" s="4" t="s">
        <v>76</v>
      </c>
      <c r="Q96" s="4" t="s">
        <v>77</v>
      </c>
      <c r="R96" s="4" t="s">
        <v>78</v>
      </c>
      <c r="S96" s="4" t="s">
        <v>79</v>
      </c>
      <c r="T96" s="4">
        <f ca="1">ROUND(_Google_ads[[#This Row],[impressions]]*RANDBETWEEN(8,12)/10,0)</f>
        <v>30281</v>
      </c>
      <c r="U96" s="4">
        <f ca="1">ROUND(_Google_ads[[#This Row],[clicks]]*RANDBETWEEN(8,12)/10,0)</f>
        <v>1574</v>
      </c>
      <c r="V96" s="4">
        <f ca="1">_Google_ads[[#This Row],[cost]]*RANDBETWEEN(8,12)/10</f>
        <v>225.27000000000004</v>
      </c>
      <c r="W96" s="4">
        <f ca="1">ROUND(_Google_ads[[#This Row],[conversions]]*RANDBETWEEN(8,12)/10,0)</f>
        <v>49</v>
      </c>
      <c r="X96" s="4">
        <f ca="1">ROUND(_Google_ads[[#This Row],[conversion_value]]*RANDBETWEEN(8,12)/10,0)</f>
        <v>2695</v>
      </c>
      <c r="Y96" s="4">
        <f ca="1">_Google_ads[[#This Row],[ctr]]*RANDBETWEEN(8,12)/10</f>
        <v>4.6799999999999994E-2</v>
      </c>
      <c r="Z96" s="4">
        <f ca="1">_Google_ads[[#This Row],[avg_cpc]]*RANDBETWEEN(8,12)/10</f>
        <v>0.22800000000000004</v>
      </c>
      <c r="AA96" s="4">
        <f ca="1">ROUND(_Google_ads[[#This Row],[quality_score]]*RANDBETWEEN(8,12)/10,0)</f>
        <v>11</v>
      </c>
      <c r="AB96" s="4">
        <f ca="1">_Google_ads[[#This Row],[search_impression_share]]*RANDBETWEEN(8,12)/10</f>
        <v>1.0920000000000001</v>
      </c>
      <c r="AD96" s="3">
        <f t="shared" ca="1" si="11"/>
        <v>45078</v>
      </c>
      <c r="AE96" s="4" t="s">
        <v>100</v>
      </c>
      <c r="AF96" s="4" t="s">
        <v>101</v>
      </c>
      <c r="AG96" s="4" t="s">
        <v>102</v>
      </c>
      <c r="AH96" s="4" t="s">
        <v>103</v>
      </c>
      <c r="AI96" s="4">
        <f ca="1">ROUND(T_Tiktok_ads[[#This Row],[impressions]]*RANDBETWEEN(8,12)/10,0)</f>
        <v>334681</v>
      </c>
      <c r="AJ96" s="4">
        <f ca="1">ROUND(T_Tiktok_ads[[#This Row],[clicks]]*RANDBETWEEN(8,12)/10,0)</f>
        <v>4948</v>
      </c>
      <c r="AK96" s="4">
        <v>545.6</v>
      </c>
      <c r="AL96" s="4">
        <f ca="1">ROUND(T_Tiktok_ads[[#This Row],[conversions]]*RANDBETWEEN(8,12)/10,0)</f>
        <v>34</v>
      </c>
      <c r="AM96" s="4">
        <f ca="1">ROUND(T_Tiktok_ads[[#This Row],[video_views]]*RANDBETWEEN(8,12)/10,0)</f>
        <v>252157</v>
      </c>
      <c r="AN96" s="4">
        <f ca="1">ROUND(T_Tiktok_ads[[#This Row],[video_watch_25]]*RANDBETWEEN(8,12)/10,0)</f>
        <v>161311</v>
      </c>
      <c r="AO96" s="4">
        <f ca="1">ROUND(T_Tiktok_ads[[#This Row],[video_watch_50]]*RANDBETWEEN(8,12)/10,0)</f>
        <v>112234</v>
      </c>
      <c r="AP96" s="4">
        <f ca="1">ROUND(T_Tiktok_ads[[#This Row],[video_watch_75]]*RANDBETWEEN(8,12)/10,0)</f>
        <v>83246</v>
      </c>
      <c r="AQ96" s="4">
        <f ca="1">ROUND(T_Tiktok_ads[[#This Row],[video_watch_100]]*RANDBETWEEN(8,12)/10,0)</f>
        <v>60281</v>
      </c>
      <c r="AR96" s="4">
        <f ca="1">ROUND(T_Tiktok_ads[[#This Row],[likes]]*RANDBETWEEN(8,12)/10,0)</f>
        <v>12148</v>
      </c>
      <c r="AS96" s="4">
        <f ca="1">ROUND(T_Tiktok_ads[[#This Row],[shares]]*RANDBETWEEN(8,12)/10,0)</f>
        <v>2441</v>
      </c>
      <c r="AT96" s="4">
        <f ca="1">ROUND(T_Tiktok_ads[[#This Row],[comments]]*RANDBETWEEN(8,12)/10,0)</f>
        <v>645</v>
      </c>
      <c r="AV96" s="5">
        <f t="shared" ca="1" si="12"/>
        <v>45088</v>
      </c>
      <c r="AW96">
        <f t="shared" ca="1" si="13"/>
        <v>4</v>
      </c>
      <c r="AX96">
        <f ca="1">ROUND(T_Facebook_Ads115963677175[[#This Row],[impressions]]*RANDBETWEEN(8,12)/10,0)</f>
        <v>41611</v>
      </c>
      <c r="AY96">
        <f ca="1">ROUND(T_Facebook_Ads115963677175[[#This Row],[clicks]]*RANDBETWEEN(8,12)/10,0)</f>
        <v>934</v>
      </c>
      <c r="AZ96">
        <f ca="1">T_Facebook_Ads115963677175[[#This Row],[spend]]*RANDBETWEEN(8,12)/10</f>
        <v>147.18</v>
      </c>
      <c r="BA96">
        <f ca="1">ROUND(T_Facebook_Ads115963677175[[#This Row],[conversions]]*RANDBETWEEN(8,12)/10,0)</f>
        <v>22</v>
      </c>
      <c r="BB96">
        <f ca="1">ROUND(T_Facebook_Ads115963677175[[#This Row],[video_views]]*RANDBETWEEN(8,12)/10,0)</f>
        <v>10147</v>
      </c>
    </row>
    <row r="97" spans="1:54" ht="15.75" thickBot="1" x14ac:dyDescent="0.3">
      <c r="A97" s="3">
        <f t="shared" ca="1" si="9"/>
        <v>45102</v>
      </c>
      <c r="B97" s="4" t="s">
        <v>56</v>
      </c>
      <c r="C97" s="4" t="s">
        <v>57</v>
      </c>
      <c r="D97" s="4" t="s">
        <v>58</v>
      </c>
      <c r="E97" s="4" t="s">
        <v>59</v>
      </c>
      <c r="F97" s="4">
        <f ca="1">ROUND(T_Facebook_Ads[[#This Row],[impressions]]*RANDBETWEEN(8,12)/10,0)</f>
        <v>15080</v>
      </c>
      <c r="G97" s="4">
        <v>567</v>
      </c>
      <c r="H97" s="4">
        <f ca="1">T_Facebook_Ads[[#This Row],[spend]]*RANDBETWEEN(8,12)/10</f>
        <v>251.28000000000003</v>
      </c>
      <c r="I97" s="4">
        <f ca="1">ROUND(T_Facebook_Ads[[#This Row],[conversions]]*RANDBETWEEN(8,12)/10,0)</f>
        <v>36</v>
      </c>
      <c r="J97" s="4">
        <f ca="1">ROUND(T_Facebook_Ads[[#This Row],[video_views]]*RANDBETWEEN(8,12)/10,0)</f>
        <v>1014</v>
      </c>
      <c r="K97" s="4">
        <f ca="1">T_Facebook_Ads[[#This Row],[engagement_rate]]*RANDBETWEEN(8,12)/10</f>
        <v>5.4120000000000001E-2</v>
      </c>
      <c r="L97" s="4">
        <f ca="1">ROUND(T_Facebook_Ads[[#This Row],[reach]]*RANDBETWEEN(8,12)/10,0)</f>
        <v>10879</v>
      </c>
      <c r="M97" s="4">
        <f ca="1">T_Facebook_Ads[[#This Row],[frequency]]*RANDBETWEEN(8,12)/10</f>
        <v>1.27</v>
      </c>
      <c r="O97" s="3">
        <f t="shared" ca="1" si="10"/>
        <v>45079</v>
      </c>
      <c r="P97" s="4" t="s">
        <v>80</v>
      </c>
      <c r="Q97" s="4" t="s">
        <v>81</v>
      </c>
      <c r="R97" s="4" t="s">
        <v>82</v>
      </c>
      <c r="S97" s="4" t="s">
        <v>83</v>
      </c>
      <c r="T97" s="4">
        <f ca="1">ROUND(_Google_ads[[#This Row],[impressions]]*RANDBETWEEN(8,12)/10,0)</f>
        <v>41110</v>
      </c>
      <c r="U97" s="4">
        <f ca="1">ROUND(_Google_ads[[#This Row],[clicks]]*RANDBETWEEN(8,12)/10,0)</f>
        <v>811</v>
      </c>
      <c r="V97" s="4">
        <f ca="1">_Google_ads[[#This Row],[cost]]*RANDBETWEEN(8,12)/10</f>
        <v>526.04999999999995</v>
      </c>
      <c r="W97" s="4">
        <f ca="1">ROUND(_Google_ads[[#This Row],[conversions]]*RANDBETWEEN(8,12)/10,0)</f>
        <v>26</v>
      </c>
      <c r="X97" s="4">
        <f ca="1">ROUND(_Google_ads[[#This Row],[conversion_value]]*RANDBETWEEN(8,12)/10,0)</f>
        <v>1320</v>
      </c>
      <c r="Y97" s="4">
        <f ca="1">_Google_ads[[#This Row],[ctr]]*RANDBETWEEN(8,12)/10</f>
        <v>2.3640000000000001E-2</v>
      </c>
      <c r="Z97" s="4">
        <f ca="1">_Google_ads[[#This Row],[avg_cpc]]*RANDBETWEEN(8,12)/10</f>
        <v>0.52</v>
      </c>
      <c r="AA97" s="4">
        <f ca="1">ROUND(_Google_ads[[#This Row],[quality_score]]*RANDBETWEEN(8,12)/10,0)</f>
        <v>6</v>
      </c>
      <c r="AB97" s="4">
        <f ca="1">_Google_ads[[#This Row],[search_impression_share]]*RANDBETWEEN(8,12)/10</f>
        <v>0.54</v>
      </c>
      <c r="AD97" s="3">
        <f t="shared" ca="1" si="11"/>
        <v>45092</v>
      </c>
      <c r="AE97" s="4" t="s">
        <v>104</v>
      </c>
      <c r="AF97" s="4" t="s">
        <v>105</v>
      </c>
      <c r="AG97" s="4" t="s">
        <v>106</v>
      </c>
      <c r="AH97" s="4" t="s">
        <v>107</v>
      </c>
      <c r="AI97" s="4">
        <f ca="1">ROUND(T_Tiktok_ads[[#This Row],[impressions]]*RANDBETWEEN(8,12)/10,0)</f>
        <v>168802</v>
      </c>
      <c r="AJ97" s="4">
        <f ca="1">ROUND(T_Tiktok_ads[[#This Row],[clicks]]*RANDBETWEEN(8,12)/10,0)</f>
        <v>2356</v>
      </c>
      <c r="AK97" s="4">
        <v>789.2</v>
      </c>
      <c r="AL97" s="4">
        <f ca="1">ROUND(T_Tiktok_ads[[#This Row],[conversions]]*RANDBETWEEN(8,12)/10,0)</f>
        <v>79</v>
      </c>
      <c r="AM97" s="4">
        <f ca="1">ROUND(T_Tiktok_ads[[#This Row],[video_views]]*RANDBETWEEN(8,12)/10,0)</f>
        <v>97101</v>
      </c>
      <c r="AN97" s="4">
        <f ca="1">ROUND(T_Tiktok_ads[[#This Row],[video_watch_25]]*RANDBETWEEN(8,12)/10,0)</f>
        <v>63654</v>
      </c>
      <c r="AO97" s="4">
        <f ca="1">ROUND(T_Tiktok_ads[[#This Row],[video_watch_50]]*RANDBETWEEN(8,12)/10,0)</f>
        <v>48310</v>
      </c>
      <c r="AP97" s="4">
        <f ca="1">ROUND(T_Tiktok_ads[[#This Row],[video_watch_75]]*RANDBETWEEN(8,12)/10,0)</f>
        <v>40234</v>
      </c>
      <c r="AQ97" s="4">
        <f ca="1">ROUND(T_Tiktok_ads[[#This Row],[video_watch_100]]*RANDBETWEEN(8,12)/10,0)</f>
        <v>21512</v>
      </c>
      <c r="AR97" s="4">
        <f ca="1">ROUND(T_Tiktok_ads[[#This Row],[likes]]*RANDBETWEEN(8,12)/10,0)</f>
        <v>4711</v>
      </c>
      <c r="AS97" s="4">
        <f ca="1">ROUND(T_Tiktok_ads[[#This Row],[shares]]*RANDBETWEEN(8,12)/10,0)</f>
        <v>1747</v>
      </c>
      <c r="AT97" s="4">
        <f ca="1">ROUND(T_Tiktok_ads[[#This Row],[comments]]*RANDBETWEEN(8,12)/10,0)</f>
        <v>222</v>
      </c>
      <c r="AV97" s="5">
        <f t="shared" ca="1" si="12"/>
        <v>45090</v>
      </c>
      <c r="AW97">
        <f t="shared" ca="1" si="13"/>
        <v>1</v>
      </c>
      <c r="AX97">
        <f ca="1">ROUND(T_Facebook_Ads115963677175[[#This Row],[impressions]]*RANDBETWEEN(8,12)/10,0)</f>
        <v>15080</v>
      </c>
      <c r="AY97">
        <f ca="1">ROUND(T_Facebook_Ads115963677175[[#This Row],[clicks]]*RANDBETWEEN(8,12)/10,0)</f>
        <v>624</v>
      </c>
      <c r="AZ97">
        <f ca="1">T_Facebook_Ads115963677175[[#This Row],[spend]]*RANDBETWEEN(8,12)/10</f>
        <v>301.53600000000006</v>
      </c>
      <c r="BA97">
        <f ca="1">ROUND(T_Facebook_Ads115963677175[[#This Row],[conversions]]*RANDBETWEEN(8,12)/10,0)</f>
        <v>32</v>
      </c>
      <c r="BB97">
        <f ca="1">ROUND(T_Facebook_Ads115963677175[[#This Row],[video_views]]*RANDBETWEEN(8,12)/10,0)</f>
        <v>913</v>
      </c>
    </row>
    <row r="98" spans="1:54" ht="15.75" thickBot="1" x14ac:dyDescent="0.3">
      <c r="A98" s="3">
        <f t="shared" ref="A98:A111" ca="1" si="14">DATE(2023,6,RANDBETWEEN(1,30))</f>
        <v>45094</v>
      </c>
      <c r="B98" s="4" t="s">
        <v>60</v>
      </c>
      <c r="C98" s="4" t="s">
        <v>61</v>
      </c>
      <c r="D98" s="4" t="s">
        <v>62</v>
      </c>
      <c r="E98" s="4" t="s">
        <v>63</v>
      </c>
      <c r="F98" s="4">
        <f ca="1">ROUND(T_Facebook_Ads[[#This Row],[impressions]]*RANDBETWEEN(8,12)/10,0)</f>
        <v>28712</v>
      </c>
      <c r="G98" s="4">
        <v>1289</v>
      </c>
      <c r="H98" s="4">
        <f ca="1">T_Facebook_Ads[[#This Row],[spend]]*RANDBETWEEN(8,12)/10</f>
        <v>178.02</v>
      </c>
      <c r="I98" s="4">
        <f ca="1">ROUND(T_Facebook_Ads[[#This Row],[conversions]]*RANDBETWEEN(8,12)/10,0)</f>
        <v>27</v>
      </c>
      <c r="J98" s="4">
        <f ca="1">ROUND(T_Facebook_Ads[[#This Row],[video_views]]*RANDBETWEEN(8,12)/10,0)</f>
        <v>5480</v>
      </c>
      <c r="K98" s="4">
        <f ca="1">T_Facebook_Ads[[#This Row],[engagement_rate]]*RANDBETWEEN(8,12)/10</f>
        <v>2.8720000000000002E-2</v>
      </c>
      <c r="L98" s="4">
        <f ca="1">ROUND(T_Facebook_Ads[[#This Row],[reach]]*RANDBETWEEN(8,12)/10,0)</f>
        <v>32524</v>
      </c>
      <c r="M98" s="4">
        <f ca="1">T_Facebook_Ads[[#This Row],[frequency]]*RANDBETWEEN(8,12)/10</f>
        <v>1.331</v>
      </c>
      <c r="O98" s="3">
        <f t="shared" ref="O98:O111" ca="1" si="15">DATE(2023,6,RANDBETWEEN(1,30))</f>
        <v>45078</v>
      </c>
      <c r="P98" s="4" t="s">
        <v>84</v>
      </c>
      <c r="Q98" s="4" t="s">
        <v>85</v>
      </c>
      <c r="R98" s="4" t="s">
        <v>86</v>
      </c>
      <c r="S98" s="4" t="s">
        <v>87</v>
      </c>
      <c r="T98" s="4">
        <f ca="1">ROUND(_Google_ads[[#This Row],[impressions]]*RANDBETWEEN(8,12)/10,0)</f>
        <v>77135</v>
      </c>
      <c r="U98" s="4">
        <f ca="1">ROUND(_Google_ads[[#This Row],[clicks]]*RANDBETWEEN(8,12)/10,0)</f>
        <v>1885</v>
      </c>
      <c r="V98" s="4">
        <f ca="1">_Google_ads[[#This Row],[cost]]*RANDBETWEEN(8,12)/10</f>
        <v>388.08</v>
      </c>
      <c r="W98" s="4">
        <f ca="1">ROUND(_Google_ads[[#This Row],[conversions]]*RANDBETWEEN(8,12)/10,0)</f>
        <v>61</v>
      </c>
      <c r="X98" s="4">
        <f ca="1">ROUND(_Google_ads[[#This Row],[conversion_value]]*RANDBETWEEN(8,12)/10,0)</f>
        <v>4080</v>
      </c>
      <c r="Y98" s="4">
        <f ca="1">_Google_ads[[#This Row],[ctr]]*RANDBETWEEN(8,12)/10</f>
        <v>3.3599999999999998E-2</v>
      </c>
      <c r="Z98" s="4">
        <f ca="1">_Google_ads[[#This Row],[avg_cpc]]*RANDBETWEEN(8,12)/10</f>
        <v>0.21600000000000003</v>
      </c>
      <c r="AA98" s="4">
        <f ca="1">ROUND(_Google_ads[[#This Row],[quality_score]]*RANDBETWEEN(8,12)/10,0)</f>
        <v>6</v>
      </c>
      <c r="AB98" s="4">
        <f ca="1">_Google_ads[[#This Row],[search_impression_share]]*RANDBETWEEN(8,12)/10</f>
        <v>0.61199999999999999</v>
      </c>
      <c r="AD98" s="3">
        <f t="shared" ref="AD98:AD111" ca="1" si="16">DATE(2023,6,RANDBETWEEN(1,30))</f>
        <v>45084</v>
      </c>
      <c r="AE98" s="4" t="s">
        <v>108</v>
      </c>
      <c r="AF98" s="4" t="s">
        <v>109</v>
      </c>
      <c r="AG98" s="4" t="s">
        <v>110</v>
      </c>
      <c r="AH98" s="4" t="s">
        <v>111</v>
      </c>
      <c r="AI98" s="4">
        <f ca="1">ROUND(T_Tiktok_ads[[#This Row],[impressions]]*RANDBETWEEN(8,12)/10,0)</f>
        <v>189431</v>
      </c>
      <c r="AJ98" s="4">
        <f ca="1">ROUND(T_Tiktok_ads[[#This Row],[clicks]]*RANDBETWEEN(8,12)/10,0)</f>
        <v>3361</v>
      </c>
      <c r="AK98" s="4">
        <v>456.8</v>
      </c>
      <c r="AL98" s="4">
        <f ca="1">ROUND(T_Tiktok_ads[[#This Row],[conversions]]*RANDBETWEEN(8,12)/10,0)</f>
        <v>36</v>
      </c>
      <c r="AM98" s="4">
        <f ca="1">ROUND(T_Tiktok_ads[[#This Row],[video_views]]*RANDBETWEEN(8,12)/10,0)</f>
        <v>150312</v>
      </c>
      <c r="AN98" s="4">
        <f ca="1">ROUND(T_Tiktok_ads[[#This Row],[video_watch_25]]*RANDBETWEEN(8,12)/10,0)</f>
        <v>113876</v>
      </c>
      <c r="AO98" s="4">
        <f ca="1">ROUND(T_Tiktok_ads[[#This Row],[video_watch_50]]*RANDBETWEEN(8,12)/10,0)</f>
        <v>123580</v>
      </c>
      <c r="AP98" s="4">
        <f ca="1">ROUND(T_Tiktok_ads[[#This Row],[video_watch_75]]*RANDBETWEEN(8,12)/10,0)</f>
        <v>72345</v>
      </c>
      <c r="AQ98" s="4">
        <f ca="1">ROUND(T_Tiktok_ads[[#This Row],[video_watch_100]]*RANDBETWEEN(8,12)/10,0)</f>
        <v>35031</v>
      </c>
      <c r="AR98" s="4">
        <f ca="1">ROUND(T_Tiktok_ads[[#This Row],[likes]]*RANDBETWEEN(8,12)/10,0)</f>
        <v>7610</v>
      </c>
      <c r="AS98" s="4">
        <f ca="1">ROUND(T_Tiktok_ads[[#This Row],[shares]]*RANDBETWEEN(8,12)/10,0)</f>
        <v>2494</v>
      </c>
      <c r="AT98" s="4">
        <f ca="1">ROUND(T_Tiktok_ads[[#This Row],[comments]]*RANDBETWEEN(8,12)/10,0)</f>
        <v>654</v>
      </c>
      <c r="AV98" s="5">
        <f t="shared" ref="AV98:AV111" ca="1" si="17">DATE(2023,6,RANDBETWEEN(1,30))</f>
        <v>45099</v>
      </c>
      <c r="AW98">
        <f t="shared" ca="1" si="13"/>
        <v>1</v>
      </c>
      <c r="AX98">
        <f ca="1">ROUND(T_Facebook_Ads115963677175[[#This Row],[impressions]]*RANDBETWEEN(8,12)/10,0)</f>
        <v>28712</v>
      </c>
      <c r="AY98">
        <f ca="1">ROUND(T_Facebook_Ads115963677175[[#This Row],[clicks]]*RANDBETWEEN(8,12)/10,0)</f>
        <v>1160</v>
      </c>
      <c r="AZ98">
        <f ca="1">T_Facebook_Ads115963677175[[#This Row],[spend]]*RANDBETWEEN(8,12)/10</f>
        <v>213.62400000000002</v>
      </c>
      <c r="BA98">
        <f ca="1">ROUND(T_Facebook_Ads115963677175[[#This Row],[conversions]]*RANDBETWEEN(8,12)/10,0)</f>
        <v>27</v>
      </c>
      <c r="BB98">
        <f ca="1">ROUND(T_Facebook_Ads115963677175[[#This Row],[video_views]]*RANDBETWEEN(8,12)/10,0)</f>
        <v>4932</v>
      </c>
    </row>
    <row r="99" spans="1:54" ht="15.75" thickBot="1" x14ac:dyDescent="0.3">
      <c r="A99" s="3">
        <f t="shared" ca="1" si="14"/>
        <v>45107</v>
      </c>
      <c r="B99" s="4" t="s">
        <v>64</v>
      </c>
      <c r="C99" s="4" t="s">
        <v>65</v>
      </c>
      <c r="D99" s="4" t="s">
        <v>66</v>
      </c>
      <c r="E99" s="4" t="s">
        <v>67</v>
      </c>
      <c r="F99" s="4">
        <f ca="1">ROUND(T_Facebook_Ads[[#This Row],[impressions]]*RANDBETWEEN(8,12)/10,0)</f>
        <v>54587</v>
      </c>
      <c r="G99" s="4">
        <v>245</v>
      </c>
      <c r="H99" s="4">
        <f ca="1">T_Facebook_Ads[[#This Row],[spend]]*RANDBETWEEN(8,12)/10</f>
        <v>103.08000000000001</v>
      </c>
      <c r="I99" s="4">
        <f ca="1">ROUND(T_Facebook_Ads[[#This Row],[conversions]]*RANDBETWEEN(8,12)/10,0)</f>
        <v>5</v>
      </c>
      <c r="J99" s="4">
        <f ca="1">ROUND(T_Facebook_Ads[[#This Row],[video_views]]*RANDBETWEEN(8,12)/10,0)</f>
        <v>50246</v>
      </c>
      <c r="K99" s="4">
        <f ca="1">T_Facebook_Ads[[#This Row],[engagement_rate]]*RANDBETWEEN(8,12)/10</f>
        <v>3.2399999999999998E-3</v>
      </c>
      <c r="L99" s="4">
        <f ca="1">ROUND(T_Facebook_Ads[[#This Row],[reach]]*RANDBETWEEN(8,12)/10,0)</f>
        <v>61479</v>
      </c>
      <c r="M99" s="4">
        <f ca="1">T_Facebook_Ads[[#This Row],[frequency]]*RANDBETWEEN(8,12)/10</f>
        <v>0.97599999999999998</v>
      </c>
      <c r="O99" s="3">
        <f t="shared" ca="1" si="15"/>
        <v>45101</v>
      </c>
      <c r="P99" s="4" t="s">
        <v>88</v>
      </c>
      <c r="Q99" s="4" t="s">
        <v>89</v>
      </c>
      <c r="R99" s="4" t="s">
        <v>90</v>
      </c>
      <c r="S99" s="4" t="s">
        <v>59</v>
      </c>
      <c r="T99" s="4">
        <f ca="1">ROUND(_Google_ads[[#This Row],[impressions]]*RANDBETWEEN(8,12)/10,0)</f>
        <v>107912</v>
      </c>
      <c r="U99" s="4">
        <f ca="1">ROUND(_Google_ads[[#This Row],[clicks]]*RANDBETWEEN(8,12)/10,0)</f>
        <v>489</v>
      </c>
      <c r="V99" s="4">
        <f ca="1">_Google_ads[[#This Row],[cost]]*RANDBETWEEN(8,12)/10</f>
        <v>159.23999999999998</v>
      </c>
      <c r="W99" s="4">
        <f ca="1">ROUND(_Google_ads[[#This Row],[conversions]]*RANDBETWEEN(8,12)/10,0)</f>
        <v>11</v>
      </c>
      <c r="X99" s="4">
        <f ca="1">ROUND(_Google_ads[[#This Row],[conversion_value]]*RANDBETWEEN(8,12)/10,0)</f>
        <v>630</v>
      </c>
      <c r="Y99" s="4">
        <f ca="1">_Google_ads[[#This Row],[ctr]]*RANDBETWEEN(8,12)/10</f>
        <v>3.2399999999999998E-3</v>
      </c>
      <c r="Z99" s="4">
        <f ca="1">_Google_ads[[#This Row],[avg_cpc]]*RANDBETWEEN(8,12)/10</f>
        <v>0.27</v>
      </c>
      <c r="AA99" s="4">
        <f ca="1">ROUND(_Google_ads[[#This Row],[quality_score]]*RANDBETWEEN(8,12)/10,0)</f>
        <v>8</v>
      </c>
      <c r="AB99" s="4">
        <f ca="1">_Google_ads[[#This Row],[search_impression_share]]*RANDBETWEEN(8,12)/10</f>
        <v>0.27999999999999997</v>
      </c>
      <c r="AD99" s="3">
        <f t="shared" ca="1" si="16"/>
        <v>45104</v>
      </c>
      <c r="AE99" s="4" t="s">
        <v>112</v>
      </c>
      <c r="AF99" s="4" t="s">
        <v>113</v>
      </c>
      <c r="AG99" s="4" t="s">
        <v>114</v>
      </c>
      <c r="AH99" s="4" t="s">
        <v>115</v>
      </c>
      <c r="AI99" s="4">
        <f ca="1">ROUND(T_Tiktok_ads[[#This Row],[impressions]]*RANDBETWEEN(8,12)/10,0)</f>
        <v>423456</v>
      </c>
      <c r="AJ99" s="4">
        <f ca="1">ROUND(T_Tiktok_ads[[#This Row],[clicks]]*RANDBETWEEN(8,12)/10,0)</f>
        <v>6110</v>
      </c>
      <c r="AK99" s="4">
        <v>1034.5</v>
      </c>
      <c r="AL99" s="4">
        <f ca="1">ROUND(T_Tiktok_ads[[#This Row],[conversions]]*RANDBETWEEN(8,12)/10,0)</f>
        <v>114</v>
      </c>
      <c r="AM99" s="4">
        <f ca="1">ROUND(T_Tiktok_ads[[#This Row],[video_views]]*RANDBETWEEN(8,12)/10,0)</f>
        <v>321110</v>
      </c>
      <c r="AN99" s="4">
        <f ca="1">ROUND(T_Tiktok_ads[[#This Row],[video_watch_25]]*RANDBETWEEN(8,12)/10,0)</f>
        <v>258511</v>
      </c>
      <c r="AO99" s="4">
        <f ca="1">ROUND(T_Tiktok_ads[[#This Row],[video_watch_50]]*RANDBETWEEN(8,12)/10,0)</f>
        <v>275081</v>
      </c>
      <c r="AP99" s="4">
        <f ca="1">ROUND(T_Tiktok_ads[[#This Row],[video_watch_75]]*RANDBETWEEN(8,12)/10,0)</f>
        <v>162345</v>
      </c>
      <c r="AQ99" s="4">
        <f ca="1">ROUND(T_Tiktok_ads[[#This Row],[video_watch_100]]*RANDBETWEEN(8,12)/10,0)</f>
        <v>86312</v>
      </c>
      <c r="AR99" s="4">
        <f ca="1">ROUND(T_Tiktok_ads[[#This Row],[likes]]*RANDBETWEEN(8,12)/10,0)</f>
        <v>18756</v>
      </c>
      <c r="AS99" s="4">
        <f ca="1">ROUND(T_Tiktok_ads[[#This Row],[shares]]*RANDBETWEEN(8,12)/10,0)</f>
        <v>4276</v>
      </c>
      <c r="AT99" s="4">
        <f ca="1">ROUND(T_Tiktok_ads[[#This Row],[comments]]*RANDBETWEEN(8,12)/10,0)</f>
        <v>1165</v>
      </c>
      <c r="AV99" s="5">
        <f t="shared" ca="1" si="17"/>
        <v>45105</v>
      </c>
      <c r="AW99">
        <f t="shared" ca="1" si="13"/>
        <v>6</v>
      </c>
      <c r="AX99">
        <f ca="1">ROUND(T_Facebook_Ads115963677175[[#This Row],[impressions]]*RANDBETWEEN(8,12)/10,0)</f>
        <v>49128</v>
      </c>
      <c r="AY99">
        <f ca="1">ROUND(T_Facebook_Ads115963677175[[#This Row],[clicks]]*RANDBETWEEN(8,12)/10,0)</f>
        <v>196</v>
      </c>
      <c r="AZ99">
        <f ca="1">T_Facebook_Ads115963677175[[#This Row],[spend]]*RANDBETWEEN(8,12)/10</f>
        <v>82.464000000000013</v>
      </c>
      <c r="BA99">
        <f ca="1">ROUND(T_Facebook_Ads115963677175[[#This Row],[conversions]]*RANDBETWEEN(8,12)/10,0)</f>
        <v>5</v>
      </c>
      <c r="BB99">
        <f ca="1">ROUND(T_Facebook_Ads115963677175[[#This Row],[video_views]]*RANDBETWEEN(8,12)/10,0)</f>
        <v>60295</v>
      </c>
    </row>
    <row r="100" spans="1:54" ht="15.75" thickBot="1" x14ac:dyDescent="0.3">
      <c r="A100" s="3">
        <f t="shared" ca="1" si="14"/>
        <v>45103</v>
      </c>
      <c r="B100" s="4" t="s">
        <v>52</v>
      </c>
      <c r="C100" s="4" t="s">
        <v>53</v>
      </c>
      <c r="D100" s="4" t="s">
        <v>54</v>
      </c>
      <c r="E100" s="4" t="s">
        <v>55</v>
      </c>
      <c r="F100" s="4">
        <f ca="1">ROUND(T_Facebook_Ads[[#This Row],[impressions]]*RANDBETWEEN(8,12)/10,0)</f>
        <v>35654</v>
      </c>
      <c r="G100" s="4">
        <v>890</v>
      </c>
      <c r="H100" s="4">
        <f ca="1">T_Facebook_Ads[[#This Row],[spend]]*RANDBETWEEN(8,12)/10</f>
        <v>140.35999999999999</v>
      </c>
      <c r="I100" s="4">
        <f ca="1">ROUND(T_Facebook_Ads[[#This Row],[conversions]]*RANDBETWEEN(8,12)/10,0)</f>
        <v>16</v>
      </c>
      <c r="J100" s="4">
        <f ca="1">ROUND(T_Facebook_Ads[[#This Row],[video_views]]*RANDBETWEEN(8,12)/10,0)</f>
        <v>8935</v>
      </c>
      <c r="K100" s="4">
        <f ca="1">T_Facebook_Ads[[#This Row],[engagement_rate]]*RANDBETWEEN(8,12)/10</f>
        <v>2.1999999999999999E-2</v>
      </c>
      <c r="L100" s="4">
        <f ca="1">ROUND(T_Facebook_Ads[[#This Row],[reach]]*RANDBETWEEN(8,12)/10,0)</f>
        <v>37456</v>
      </c>
      <c r="M100" s="4">
        <f ca="1">T_Facebook_Ads[[#This Row],[frequency]]*RANDBETWEEN(8,12)/10</f>
        <v>1.4279999999999999</v>
      </c>
      <c r="O100" s="3">
        <f t="shared" ca="1" si="15"/>
        <v>45081</v>
      </c>
      <c r="P100" s="4" t="s">
        <v>76</v>
      </c>
      <c r="Q100" s="4" t="s">
        <v>77</v>
      </c>
      <c r="R100" s="4" t="s">
        <v>78</v>
      </c>
      <c r="S100" s="4" t="s">
        <v>79</v>
      </c>
      <c r="T100" s="4">
        <f ca="1">ROUND(_Google_ads[[#This Row],[impressions]]*RANDBETWEEN(8,12)/10,0)</f>
        <v>21210</v>
      </c>
      <c r="U100" s="4">
        <f ca="1">ROUND(_Google_ads[[#This Row],[clicks]]*RANDBETWEEN(8,12)/10,0)</f>
        <v>1070</v>
      </c>
      <c r="V100" s="4">
        <f ca="1">_Google_ads[[#This Row],[cost]]*RANDBETWEEN(8,12)/10</f>
        <v>204.12</v>
      </c>
      <c r="W100" s="4">
        <f ca="1">ROUND(_Google_ads[[#This Row],[conversions]]*RANDBETWEEN(8,12)/10,0)</f>
        <v>35</v>
      </c>
      <c r="X100" s="4">
        <f ca="1">ROUND(_Google_ads[[#This Row],[conversion_value]]*RANDBETWEEN(8,12)/10,0)</f>
        <v>2420</v>
      </c>
      <c r="Y100" s="4">
        <f ca="1">_Google_ads[[#This Row],[ctr]]*RANDBETWEEN(8,12)/10</f>
        <v>5.0500000000000003E-2</v>
      </c>
      <c r="Z100" s="4">
        <f ca="1">_Google_ads[[#This Row],[avg_cpc]]*RANDBETWEEN(8,12)/10</f>
        <v>0.20899999999999999</v>
      </c>
      <c r="AA100" s="4">
        <f ca="1">ROUND(_Google_ads[[#This Row],[quality_score]]*RANDBETWEEN(8,12)/10,0)</f>
        <v>9</v>
      </c>
      <c r="AB100" s="4">
        <f ca="1">_Google_ads[[#This Row],[search_impression_share]]*RANDBETWEEN(8,12)/10</f>
        <v>1.08</v>
      </c>
      <c r="AD100" s="3">
        <f t="shared" ca="1" si="16"/>
        <v>45105</v>
      </c>
      <c r="AE100" s="4" t="s">
        <v>100</v>
      </c>
      <c r="AF100" s="4" t="s">
        <v>101</v>
      </c>
      <c r="AG100" s="4" t="s">
        <v>102</v>
      </c>
      <c r="AH100" s="4" t="s">
        <v>103</v>
      </c>
      <c r="AI100" s="4">
        <f ca="1">ROUND(T_Tiktok_ads[[#This Row],[impressions]]*RANDBETWEEN(8,12)/10,0)</f>
        <v>267890</v>
      </c>
      <c r="AJ100" s="4">
        <f ca="1">ROUND(T_Tiktok_ads[[#This Row],[clicks]]*RANDBETWEEN(8,12)/10,0)</f>
        <v>3156</v>
      </c>
      <c r="AK100" s="4">
        <v>501.2</v>
      </c>
      <c r="AL100" s="4">
        <f ca="1">ROUND(T_Tiktok_ads[[#This Row],[conversions]]*RANDBETWEEN(8,12)/10,0)</f>
        <v>40</v>
      </c>
      <c r="AM100" s="4">
        <f ca="1">ROUND(T_Tiktok_ads[[#This Row],[video_views]]*RANDBETWEEN(8,12)/10,0)</f>
        <v>199111</v>
      </c>
      <c r="AN100" s="4">
        <f ca="1">ROUND(T_Tiktok_ads[[#This Row],[video_watch_25]]*RANDBETWEEN(8,12)/10,0)</f>
        <v>156110</v>
      </c>
      <c r="AO100" s="4">
        <f ca="1">ROUND(T_Tiktok_ads[[#This Row],[video_watch_50]]*RANDBETWEEN(8,12)/10,0)</f>
        <v>120157</v>
      </c>
      <c r="AP100" s="4">
        <f ca="1">ROUND(T_Tiktok_ads[[#This Row],[video_watch_75]]*RANDBETWEEN(8,12)/10,0)</f>
        <v>66210</v>
      </c>
      <c r="AQ100" s="4">
        <f ca="1">ROUND(T_Tiktok_ads[[#This Row],[video_watch_100]]*RANDBETWEEN(8,12)/10,0)</f>
        <v>49234</v>
      </c>
      <c r="AR100" s="4">
        <f ca="1">ROUND(T_Tiktok_ads[[#This Row],[likes]]*RANDBETWEEN(8,12)/10,0)</f>
        <v>10768</v>
      </c>
      <c r="AS100" s="4">
        <f ca="1">ROUND(T_Tiktok_ads[[#This Row],[shares]]*RANDBETWEEN(8,12)/10,0)</f>
        <v>3161</v>
      </c>
      <c r="AT100" s="4">
        <f ca="1">ROUND(T_Tiktok_ads[[#This Row],[comments]]*RANDBETWEEN(8,12)/10,0)</f>
        <v>498</v>
      </c>
      <c r="AV100" s="5">
        <f t="shared" ca="1" si="17"/>
        <v>45105</v>
      </c>
      <c r="AW100">
        <f t="shared" ca="1" si="13"/>
        <v>3</v>
      </c>
      <c r="AX100">
        <f ca="1">ROUND(T_Facebook_Ads115963677175[[#This Row],[impressions]]*RANDBETWEEN(8,12)/10,0)</f>
        <v>32089</v>
      </c>
      <c r="AY100">
        <f ca="1">ROUND(T_Facebook_Ads115963677175[[#This Row],[clicks]]*RANDBETWEEN(8,12)/10,0)</f>
        <v>712</v>
      </c>
      <c r="AZ100">
        <f ca="1">T_Facebook_Ads115963677175[[#This Row],[spend]]*RANDBETWEEN(8,12)/10</f>
        <v>140.35999999999999</v>
      </c>
      <c r="BA100">
        <f ca="1">ROUND(T_Facebook_Ads115963677175[[#This Row],[conversions]]*RANDBETWEEN(8,12)/10,0)</f>
        <v>19</v>
      </c>
      <c r="BB100">
        <f ca="1">ROUND(T_Facebook_Ads115963677175[[#This Row],[video_views]]*RANDBETWEEN(8,12)/10,0)</f>
        <v>7148</v>
      </c>
    </row>
    <row r="101" spans="1:54" ht="15.75" thickBot="1" x14ac:dyDescent="0.3">
      <c r="A101" s="3">
        <f t="shared" ca="1" si="14"/>
        <v>45089</v>
      </c>
      <c r="B101" s="4" t="s">
        <v>56</v>
      </c>
      <c r="C101" s="4" t="s">
        <v>57</v>
      </c>
      <c r="D101" s="4" t="s">
        <v>58</v>
      </c>
      <c r="E101" s="4" t="s">
        <v>59</v>
      </c>
      <c r="F101" s="4">
        <f ca="1">ROUND(T_Facebook_Ads[[#This Row],[impressions]]*RANDBETWEEN(8,12)/10,0)</f>
        <v>13747</v>
      </c>
      <c r="G101" s="4">
        <v>523</v>
      </c>
      <c r="H101" s="4">
        <f ca="1">T_Facebook_Ads[[#This Row],[spend]]*RANDBETWEEN(8,12)/10</f>
        <v>192.3</v>
      </c>
      <c r="I101" s="4">
        <f ca="1">ROUND(T_Facebook_Ads[[#This Row],[conversions]]*RANDBETWEEN(8,12)/10,0)</f>
        <v>40</v>
      </c>
      <c r="J101" s="4">
        <f ca="1">ROUND(T_Facebook_Ads[[#This Row],[video_views]]*RANDBETWEEN(8,12)/10,0)</f>
        <v>1089</v>
      </c>
      <c r="K101" s="4">
        <f ca="1">T_Facebook_Ads[[#This Row],[engagement_rate]]*RANDBETWEEN(8,12)/10</f>
        <v>4.113E-2</v>
      </c>
      <c r="L101" s="4">
        <f ca="1">ROUND(T_Facebook_Ads[[#This Row],[reach]]*RANDBETWEEN(8,12)/10,0)</f>
        <v>10760</v>
      </c>
      <c r="M101" s="4">
        <f ca="1">T_Facebook_Ads[[#This Row],[frequency]]*RANDBETWEEN(8,12)/10</f>
        <v>1.28</v>
      </c>
      <c r="O101" s="3">
        <f t="shared" ca="1" si="15"/>
        <v>45102</v>
      </c>
      <c r="P101" s="4" t="s">
        <v>80</v>
      </c>
      <c r="Q101" s="4" t="s">
        <v>81</v>
      </c>
      <c r="R101" s="4" t="s">
        <v>82</v>
      </c>
      <c r="S101" s="4" t="s">
        <v>83</v>
      </c>
      <c r="T101" s="4">
        <f ca="1">ROUND(_Google_ads[[#This Row],[impressions]]*RANDBETWEEN(8,12)/10,0)</f>
        <v>51468</v>
      </c>
      <c r="U101" s="4">
        <f ca="1">ROUND(_Google_ads[[#This Row],[clicks]]*RANDBETWEEN(8,12)/10,0)</f>
        <v>917</v>
      </c>
      <c r="V101" s="4">
        <f ca="1">_Google_ads[[#This Row],[cost]]*RANDBETWEEN(8,12)/10</f>
        <v>604.2299999999999</v>
      </c>
      <c r="W101" s="4">
        <f ca="1">ROUND(_Google_ads[[#This Row],[conversions]]*RANDBETWEEN(8,12)/10,0)</f>
        <v>23</v>
      </c>
      <c r="X101" s="4">
        <f ca="1">ROUND(_Google_ads[[#This Row],[conversion_value]]*RANDBETWEEN(8,12)/10,0)</f>
        <v>1050</v>
      </c>
      <c r="Y101" s="4">
        <f ca="1">_Google_ads[[#This Row],[ctr]]*RANDBETWEEN(8,12)/10</f>
        <v>2.3399999999999997E-2</v>
      </c>
      <c r="Z101" s="4">
        <f ca="1">_Google_ads[[#This Row],[avg_cpc]]*RANDBETWEEN(8,12)/10</f>
        <v>0.66</v>
      </c>
      <c r="AA101" s="4">
        <f ca="1">ROUND(_Google_ads[[#This Row],[quality_score]]*RANDBETWEEN(8,12)/10,0)</f>
        <v>6</v>
      </c>
      <c r="AB101" s="4">
        <f ca="1">_Google_ads[[#This Row],[search_impression_share]]*RANDBETWEEN(8,12)/10</f>
        <v>0.47299999999999998</v>
      </c>
      <c r="AD101" s="3">
        <f t="shared" ca="1" si="16"/>
        <v>45083</v>
      </c>
      <c r="AE101" s="4" t="s">
        <v>104</v>
      </c>
      <c r="AF101" s="4" t="s">
        <v>105</v>
      </c>
      <c r="AG101" s="4" t="s">
        <v>106</v>
      </c>
      <c r="AH101" s="4" t="s">
        <v>107</v>
      </c>
      <c r="AI101" s="4">
        <f ca="1">ROUND(T_Tiktok_ads[[#This Row],[impressions]]*RANDBETWEEN(8,12)/10,0)</f>
        <v>163791</v>
      </c>
      <c r="AJ101" s="4">
        <f ca="1">ROUND(T_Tiktok_ads[[#This Row],[clicks]]*RANDBETWEEN(8,12)/10,0)</f>
        <v>2267</v>
      </c>
      <c r="AK101" s="4">
        <v>756.7</v>
      </c>
      <c r="AL101" s="4">
        <f ca="1">ROUND(T_Tiktok_ads[[#This Row],[conversions]]*RANDBETWEEN(8,12)/10,0)</f>
        <v>84</v>
      </c>
      <c r="AM101" s="4">
        <f ca="1">ROUND(T_Tiktok_ads[[#This Row],[video_views]]*RANDBETWEEN(8,12)/10,0)</f>
        <v>101234</v>
      </c>
      <c r="AN101" s="4">
        <f ca="1">ROUND(T_Tiktok_ads[[#This Row],[video_watch_25]]*RANDBETWEEN(8,12)/10,0)</f>
        <v>89480</v>
      </c>
      <c r="AO101" s="4">
        <f ca="1">ROUND(T_Tiktok_ads[[#This Row],[video_watch_50]]*RANDBETWEEN(8,12)/10,0)</f>
        <v>55257</v>
      </c>
      <c r="AP101" s="4">
        <f ca="1">ROUND(T_Tiktok_ads[[#This Row],[video_watch_75]]*RANDBETWEEN(8,12)/10,0)</f>
        <v>45468</v>
      </c>
      <c r="AQ101" s="4">
        <f ca="1">ROUND(T_Tiktok_ads[[#This Row],[video_watch_100]]*RANDBETWEEN(8,12)/10,0)</f>
        <v>22711</v>
      </c>
      <c r="AR101" s="4">
        <f ca="1">ROUND(T_Tiktok_ads[[#This Row],[likes]]*RANDBETWEEN(8,12)/10,0)</f>
        <v>4010</v>
      </c>
      <c r="AS101" s="4">
        <f ca="1">ROUND(T_Tiktok_ads[[#This Row],[shares]]*RANDBETWEEN(8,12)/10,0)</f>
        <v>1423</v>
      </c>
      <c r="AT101" s="4">
        <f ca="1">ROUND(T_Tiktok_ads[[#This Row],[comments]]*RANDBETWEEN(8,12)/10,0)</f>
        <v>214</v>
      </c>
      <c r="AV101" s="5">
        <f t="shared" ca="1" si="17"/>
        <v>45101</v>
      </c>
      <c r="AW101">
        <f t="shared" ca="1" si="13"/>
        <v>1</v>
      </c>
      <c r="AX101">
        <f ca="1">ROUND(T_Facebook_Ads115963677175[[#This Row],[impressions]]*RANDBETWEEN(8,12)/10,0)</f>
        <v>10998</v>
      </c>
      <c r="AY101">
        <f ca="1">ROUND(T_Facebook_Ads115963677175[[#This Row],[clicks]]*RANDBETWEEN(8,12)/10,0)</f>
        <v>523</v>
      </c>
      <c r="AZ101">
        <f ca="1">T_Facebook_Ads115963677175[[#This Row],[spend]]*RANDBETWEEN(8,12)/10</f>
        <v>211.53000000000003</v>
      </c>
      <c r="BA101">
        <f ca="1">ROUND(T_Facebook_Ads115963677175[[#This Row],[conversions]]*RANDBETWEEN(8,12)/10,0)</f>
        <v>44</v>
      </c>
      <c r="BB101">
        <f ca="1">ROUND(T_Facebook_Ads115963677175[[#This Row],[video_views]]*RANDBETWEEN(8,12)/10,0)</f>
        <v>871</v>
      </c>
    </row>
    <row r="102" spans="1:54" ht="15.75" thickBot="1" x14ac:dyDescent="0.3">
      <c r="A102" s="3">
        <f t="shared" ca="1" si="14"/>
        <v>45089</v>
      </c>
      <c r="B102" s="4" t="s">
        <v>60</v>
      </c>
      <c r="C102" s="4" t="s">
        <v>61</v>
      </c>
      <c r="D102" s="4" t="s">
        <v>62</v>
      </c>
      <c r="E102" s="4" t="s">
        <v>63</v>
      </c>
      <c r="F102" s="4">
        <f ca="1">ROUND(T_Facebook_Ads[[#This Row],[impressions]]*RANDBETWEEN(8,12)/10,0)</f>
        <v>30210</v>
      </c>
      <c r="G102" s="4">
        <v>1203</v>
      </c>
      <c r="H102" s="4">
        <f ca="1">T_Facebook_Ads[[#This Row],[spend]]*RANDBETWEEN(8,12)/10</f>
        <v>184.5</v>
      </c>
      <c r="I102" s="4">
        <f ca="1">ROUND(T_Facebook_Ads[[#This Row],[conversions]]*RANDBETWEEN(8,12)/10,0)</f>
        <v>20</v>
      </c>
      <c r="J102" s="4">
        <f ca="1">ROUND(T_Facebook_Ads[[#This Row],[video_views]]*RANDBETWEEN(8,12)/10,0)</f>
        <v>4948</v>
      </c>
      <c r="K102" s="4">
        <f ca="1">T_Facebook_Ads[[#This Row],[engagement_rate]]*RANDBETWEEN(8,12)/10</f>
        <v>3.9379999999999998E-2</v>
      </c>
      <c r="L102" s="4">
        <f ca="1">ROUND(T_Facebook_Ads[[#This Row],[reach]]*RANDBETWEEN(8,12)/10,0)</f>
        <v>22312</v>
      </c>
      <c r="M102" s="4">
        <f ca="1">T_Facebook_Ads[[#This Row],[frequency]]*RANDBETWEEN(8,12)/10</f>
        <v>1.44</v>
      </c>
      <c r="O102" s="3">
        <f t="shared" ca="1" si="15"/>
        <v>45104</v>
      </c>
      <c r="P102" s="4" t="s">
        <v>84</v>
      </c>
      <c r="Q102" s="4" t="s">
        <v>85</v>
      </c>
      <c r="R102" s="4" t="s">
        <v>86</v>
      </c>
      <c r="S102" s="4" t="s">
        <v>87</v>
      </c>
      <c r="T102" s="4">
        <f ca="1">ROUND(_Google_ads[[#This Row],[impressions]]*RANDBETWEEN(8,12)/10,0)</f>
        <v>52987</v>
      </c>
      <c r="U102" s="4">
        <f ca="1">ROUND(_Google_ads[[#This Row],[clicks]]*RANDBETWEEN(8,12)/10,0)</f>
        <v>1950</v>
      </c>
      <c r="V102" s="4">
        <f ca="1">_Google_ads[[#This Row],[cost]]*RANDBETWEEN(8,12)/10</f>
        <v>316.64</v>
      </c>
      <c r="W102" s="4">
        <f ca="1">ROUND(_Google_ads[[#This Row],[conversions]]*RANDBETWEEN(8,12)/10,0)</f>
        <v>67</v>
      </c>
      <c r="X102" s="4">
        <f ca="1">ROUND(_Google_ads[[#This Row],[conversion_value]]*RANDBETWEEN(8,12)/10,0)</f>
        <v>2440</v>
      </c>
      <c r="Y102" s="4">
        <f ca="1">_Google_ads[[#This Row],[ctr]]*RANDBETWEEN(8,12)/10</f>
        <v>2.6159999999999999E-2</v>
      </c>
      <c r="Z102" s="4">
        <f ca="1">_Google_ads[[#This Row],[avg_cpc]]*RANDBETWEEN(8,12)/10</f>
        <v>0.14399999999999999</v>
      </c>
      <c r="AA102" s="4">
        <f ca="1">ROUND(_Google_ads[[#This Row],[quality_score]]*RANDBETWEEN(8,12)/10,0)</f>
        <v>6</v>
      </c>
      <c r="AB102" s="4">
        <f ca="1">_Google_ads[[#This Row],[search_impression_share]]*RANDBETWEEN(8,12)/10</f>
        <v>0.59400000000000008</v>
      </c>
      <c r="AD102" s="3">
        <f t="shared" ca="1" si="16"/>
        <v>45088</v>
      </c>
      <c r="AE102" s="4" t="s">
        <v>108</v>
      </c>
      <c r="AF102" s="4" t="s">
        <v>109</v>
      </c>
      <c r="AG102" s="4" t="s">
        <v>110</v>
      </c>
      <c r="AH102" s="4" t="s">
        <v>111</v>
      </c>
      <c r="AI102" s="4">
        <f ca="1">ROUND(T_Tiktok_ads[[#This Row],[impressions]]*RANDBETWEEN(8,12)/10,0)</f>
        <v>245802</v>
      </c>
      <c r="AJ102" s="4">
        <f ca="1">ROUND(T_Tiktok_ads[[#This Row],[clicks]]*RANDBETWEEN(8,12)/10,0)</f>
        <v>2854</v>
      </c>
      <c r="AK102" s="4">
        <v>427.7</v>
      </c>
      <c r="AL102" s="4">
        <f ca="1">ROUND(T_Tiktok_ads[[#This Row],[conversions]]*RANDBETWEEN(8,12)/10,0)</f>
        <v>24</v>
      </c>
      <c r="AM102" s="4">
        <f ca="1">ROUND(T_Tiktok_ads[[#This Row],[video_views]]*RANDBETWEEN(8,12)/10,0)</f>
        <v>214681</v>
      </c>
      <c r="AN102" s="4">
        <f ca="1">ROUND(T_Tiktok_ads[[#This Row],[video_watch_25]]*RANDBETWEEN(8,12)/10,0)</f>
        <v>121711</v>
      </c>
      <c r="AO102" s="4">
        <f ca="1">ROUND(T_Tiktok_ads[[#This Row],[video_watch_50]]*RANDBETWEEN(8,12)/10,0)</f>
        <v>106789</v>
      </c>
      <c r="AP102" s="4">
        <f ca="1">ROUND(T_Tiktok_ads[[#This Row],[video_watch_75]]*RANDBETWEEN(8,12)/10,0)</f>
        <v>55387</v>
      </c>
      <c r="AQ102" s="4">
        <f ca="1">ROUND(T_Tiktok_ads[[#This Row],[video_watch_100]]*RANDBETWEEN(8,12)/10,0)</f>
        <v>33431</v>
      </c>
      <c r="AR102" s="4">
        <f ca="1">ROUND(T_Tiktok_ads[[#This Row],[likes]]*RANDBETWEEN(8,12)/10,0)</f>
        <v>6587</v>
      </c>
      <c r="AS102" s="4">
        <f ca="1">ROUND(T_Tiktok_ads[[#This Row],[shares]]*RANDBETWEEN(8,12)/10,0)</f>
        <v>1814</v>
      </c>
      <c r="AT102" s="4">
        <f ca="1">ROUND(T_Tiktok_ads[[#This Row],[comments]]*RANDBETWEEN(8,12)/10,0)</f>
        <v>481</v>
      </c>
      <c r="AV102" s="5">
        <f t="shared" ca="1" si="17"/>
        <v>45093</v>
      </c>
      <c r="AW102">
        <f t="shared" ca="1" si="13"/>
        <v>4</v>
      </c>
      <c r="AX102">
        <f ca="1">ROUND(T_Facebook_Ads115963677175[[#This Row],[impressions]]*RANDBETWEEN(8,12)/10,0)</f>
        <v>33231</v>
      </c>
      <c r="AY102">
        <f ca="1">ROUND(T_Facebook_Ads115963677175[[#This Row],[clicks]]*RANDBETWEEN(8,12)/10,0)</f>
        <v>1083</v>
      </c>
      <c r="AZ102">
        <f ca="1">T_Facebook_Ads115963677175[[#This Row],[spend]]*RANDBETWEEN(8,12)/10</f>
        <v>166.05</v>
      </c>
      <c r="BA102">
        <f ca="1">ROUND(T_Facebook_Ads115963677175[[#This Row],[conversions]]*RANDBETWEEN(8,12)/10,0)</f>
        <v>24</v>
      </c>
      <c r="BB102">
        <f ca="1">ROUND(T_Facebook_Ads115963677175[[#This Row],[video_views]]*RANDBETWEEN(8,12)/10,0)</f>
        <v>5443</v>
      </c>
    </row>
    <row r="103" spans="1:54" ht="15.75" thickBot="1" x14ac:dyDescent="0.3">
      <c r="A103" s="3">
        <f t="shared" ca="1" si="14"/>
        <v>45087</v>
      </c>
      <c r="B103" s="4" t="s">
        <v>64</v>
      </c>
      <c r="C103" s="4" t="s">
        <v>65</v>
      </c>
      <c r="D103" s="4" t="s">
        <v>66</v>
      </c>
      <c r="E103" s="4" t="s">
        <v>67</v>
      </c>
      <c r="F103" s="4">
        <f ca="1">ROUND(T_Facebook_Ads[[#This Row],[impressions]]*RANDBETWEEN(8,12)/10,0)</f>
        <v>78947</v>
      </c>
      <c r="G103" s="4">
        <v>234</v>
      </c>
      <c r="H103" s="4">
        <f ca="1">T_Facebook_Ads[[#This Row],[spend]]*RANDBETWEEN(8,12)/10</f>
        <v>96.48</v>
      </c>
      <c r="I103" s="4">
        <f ca="1">ROUND(T_Facebook_Ads[[#This Row],[conversions]]*RANDBETWEEN(8,12)/10,0)</f>
        <v>4</v>
      </c>
      <c r="J103" s="4">
        <f ca="1">ROUND(T_Facebook_Ads[[#This Row],[video_views]]*RANDBETWEEN(8,12)/10,0)</f>
        <v>48279</v>
      </c>
      <c r="K103" s="4">
        <f ca="1">T_Facebook_Ads[[#This Row],[engagement_rate]]*RANDBETWEEN(8,12)/10</f>
        <v>2.8799999999999997E-3</v>
      </c>
      <c r="L103" s="4">
        <f ca="1">ROUND(T_Facebook_Ads[[#This Row],[reach]]*RANDBETWEEN(8,12)/10,0)</f>
        <v>48711</v>
      </c>
      <c r="M103" s="4">
        <f ca="1">T_Facebook_Ads[[#This Row],[frequency]]*RANDBETWEEN(8,12)/10</f>
        <v>0.96799999999999997</v>
      </c>
      <c r="O103" s="3">
        <f t="shared" ca="1" si="15"/>
        <v>45097</v>
      </c>
      <c r="P103" s="4" t="s">
        <v>88</v>
      </c>
      <c r="Q103" s="4" t="s">
        <v>89</v>
      </c>
      <c r="R103" s="4" t="s">
        <v>90</v>
      </c>
      <c r="S103" s="4" t="s">
        <v>59</v>
      </c>
      <c r="T103" s="4">
        <f ca="1">ROUND(_Google_ads[[#This Row],[impressions]]*RANDBETWEEN(8,12)/10,0)</f>
        <v>152814</v>
      </c>
      <c r="U103" s="4">
        <f ca="1">ROUND(_Google_ads[[#This Row],[clicks]]*RANDBETWEEN(8,12)/10,0)</f>
        <v>534</v>
      </c>
      <c r="V103" s="4">
        <f ca="1">_Google_ads[[#This Row],[cost]]*RANDBETWEEN(8,12)/10</f>
        <v>150.11999999999998</v>
      </c>
      <c r="W103" s="4">
        <f ca="1">ROUND(_Google_ads[[#This Row],[conversions]]*RANDBETWEEN(8,12)/10,0)</f>
        <v>13</v>
      </c>
      <c r="X103" s="4">
        <f ca="1">ROUND(_Google_ads[[#This Row],[conversion_value]]*RANDBETWEEN(8,12)/10,0)</f>
        <v>540</v>
      </c>
      <c r="Y103" s="4">
        <f ca="1">_Google_ads[[#This Row],[ctr]]*RANDBETWEEN(8,12)/10</f>
        <v>3.8500000000000001E-3</v>
      </c>
      <c r="Z103" s="4">
        <f ca="1">_Google_ads[[#This Row],[avg_cpc]]*RANDBETWEEN(8,12)/10</f>
        <v>0.33600000000000002</v>
      </c>
      <c r="AA103" s="4">
        <f ca="1">ROUND(_Google_ads[[#This Row],[quality_score]]*RANDBETWEEN(8,12)/10,0)</f>
        <v>8</v>
      </c>
      <c r="AB103" s="4">
        <f ca="1">_Google_ads[[#This Row],[search_impression_share]]*RANDBETWEEN(8,12)/10</f>
        <v>0.36300000000000004</v>
      </c>
      <c r="AD103" s="3">
        <f t="shared" ca="1" si="16"/>
        <v>45094</v>
      </c>
      <c r="AE103" s="4" t="s">
        <v>112</v>
      </c>
      <c r="AF103" s="4" t="s">
        <v>113</v>
      </c>
      <c r="AG103" s="4" t="s">
        <v>114</v>
      </c>
      <c r="AH103" s="4" t="s">
        <v>115</v>
      </c>
      <c r="AI103" s="4">
        <f ca="1">ROUND(T_Tiktok_ads[[#This Row],[impressions]]*RANDBETWEEN(8,12)/10,0)</f>
        <v>401234</v>
      </c>
      <c r="AJ103" s="4">
        <f ca="1">ROUND(T_Tiktok_ads[[#This Row],[clicks]]*RANDBETWEEN(8,12)/10,0)</f>
        <v>7102</v>
      </c>
      <c r="AK103" s="4">
        <v>989.9</v>
      </c>
      <c r="AL103" s="4">
        <f ca="1">ROUND(T_Tiktok_ads[[#This Row],[conversions]]*RANDBETWEEN(8,12)/10,0)</f>
        <v>101</v>
      </c>
      <c r="AM103" s="4">
        <f ca="1">ROUND(T_Tiktok_ads[[#This Row],[video_views]]*RANDBETWEEN(8,12)/10,0)</f>
        <v>332345</v>
      </c>
      <c r="AN103" s="4">
        <f ca="1">ROUND(T_Tiktok_ads[[#This Row],[video_watch_25]]*RANDBETWEEN(8,12)/10,0)</f>
        <v>214312</v>
      </c>
      <c r="AO103" s="4">
        <f ca="1">ROUND(T_Tiktok_ads[[#This Row],[video_watch_50]]*RANDBETWEEN(8,12)/10,0)</f>
        <v>171654</v>
      </c>
      <c r="AP103" s="4">
        <f ca="1">ROUND(T_Tiktok_ads[[#This Row],[video_watch_75]]*RANDBETWEEN(8,12)/10,0)</f>
        <v>136111</v>
      </c>
      <c r="AQ103" s="4">
        <f ca="1">ROUND(T_Tiktok_ads[[#This Row],[video_watch_100]]*RANDBETWEEN(8,12)/10,0)</f>
        <v>99567</v>
      </c>
      <c r="AR103" s="4">
        <f ca="1">ROUND(T_Tiktok_ads[[#This Row],[likes]]*RANDBETWEEN(8,12)/10,0)</f>
        <v>20681</v>
      </c>
      <c r="AS103" s="4">
        <f ca="1">ROUND(T_Tiktok_ads[[#This Row],[shares]]*RANDBETWEEN(8,12)/10,0)</f>
        <v>5513</v>
      </c>
      <c r="AT103" s="4">
        <f ca="1">ROUND(T_Tiktok_ads[[#This Row],[comments]]*RANDBETWEEN(8,12)/10,0)</f>
        <v>1240</v>
      </c>
      <c r="AV103" s="5">
        <f t="shared" ca="1" si="17"/>
        <v>45103</v>
      </c>
      <c r="AW103">
        <f t="shared" ca="1" si="13"/>
        <v>1</v>
      </c>
      <c r="AX103">
        <f ca="1">ROUND(T_Facebook_Ads115963677175[[#This Row],[impressions]]*RANDBETWEEN(8,12)/10,0)</f>
        <v>71052</v>
      </c>
      <c r="AY103">
        <f ca="1">ROUND(T_Facebook_Ads115963677175[[#This Row],[clicks]]*RANDBETWEEN(8,12)/10,0)</f>
        <v>211</v>
      </c>
      <c r="AZ103">
        <f ca="1">T_Facebook_Ads115963677175[[#This Row],[spend]]*RANDBETWEEN(8,12)/10</f>
        <v>115.776</v>
      </c>
      <c r="BA103">
        <f ca="1">ROUND(T_Facebook_Ads115963677175[[#This Row],[conversions]]*RANDBETWEEN(8,12)/10,0)</f>
        <v>4</v>
      </c>
      <c r="BB103">
        <f ca="1">ROUND(T_Facebook_Ads115963677175[[#This Row],[video_views]]*RANDBETWEEN(8,12)/10,0)</f>
        <v>57935</v>
      </c>
    </row>
    <row r="104" spans="1:54" ht="15.75" thickBot="1" x14ac:dyDescent="0.3">
      <c r="A104" s="3">
        <f t="shared" ca="1" si="14"/>
        <v>45101</v>
      </c>
      <c r="B104" s="4" t="s">
        <v>52</v>
      </c>
      <c r="C104" s="4" t="s">
        <v>53</v>
      </c>
      <c r="D104" s="4" t="s">
        <v>54</v>
      </c>
      <c r="E104" s="4" t="s">
        <v>55</v>
      </c>
      <c r="F104" s="4">
        <f ca="1">ROUND(T_Facebook_Ads[[#This Row],[impressions]]*RANDBETWEEN(8,12)/10,0)</f>
        <v>52679</v>
      </c>
      <c r="G104" s="4">
        <v>967</v>
      </c>
      <c r="H104" s="4">
        <f ca="1">T_Facebook_Ads[[#This Row],[spend]]*RANDBETWEEN(8,12)/10</f>
        <v>110.72</v>
      </c>
      <c r="I104" s="4">
        <f ca="1">ROUND(T_Facebook_Ads[[#This Row],[conversions]]*RANDBETWEEN(8,12)/10,0)</f>
        <v>17</v>
      </c>
      <c r="J104" s="4">
        <f ca="1">ROUND(T_Facebook_Ads[[#This Row],[video_views]]*RANDBETWEEN(8,12)/10,0)</f>
        <v>10547</v>
      </c>
      <c r="K104" s="4">
        <f ca="1">T_Facebook_Ads[[#This Row],[engagement_rate]]*RANDBETWEEN(8,12)/10</f>
        <v>1.6160000000000001E-2</v>
      </c>
      <c r="L104" s="4">
        <f ca="1">ROUND(T_Facebook_Ads[[#This Row],[reach]]*RANDBETWEEN(8,12)/10,0)</f>
        <v>48281</v>
      </c>
      <c r="M104" s="4">
        <f ca="1">T_Facebook_Ads[[#This Row],[frequency]]*RANDBETWEEN(8,12)/10</f>
        <v>1.4279999999999999</v>
      </c>
      <c r="O104" s="3">
        <f t="shared" ca="1" si="15"/>
        <v>45082</v>
      </c>
      <c r="P104" s="4" t="s">
        <v>76</v>
      </c>
      <c r="Q104" s="4" t="s">
        <v>77</v>
      </c>
      <c r="R104" s="4" t="s">
        <v>78</v>
      </c>
      <c r="S104" s="4" t="s">
        <v>79</v>
      </c>
      <c r="T104" s="4">
        <f ca="1">ROUND(_Google_ads[[#This Row],[impressions]]*RANDBETWEEN(8,12)/10,0)</f>
        <v>22401</v>
      </c>
      <c r="U104" s="4">
        <f ca="1">ROUND(_Google_ads[[#This Row],[clicks]]*RANDBETWEEN(8,12)/10,0)</f>
        <v>1150</v>
      </c>
      <c r="V104" s="4">
        <f ca="1">_Google_ads[[#This Row],[cost]]*RANDBETWEEN(8,12)/10</f>
        <v>268.62</v>
      </c>
      <c r="W104" s="4">
        <f ca="1">ROUND(_Google_ads[[#This Row],[conversions]]*RANDBETWEEN(8,12)/10,0)</f>
        <v>38</v>
      </c>
      <c r="X104" s="4">
        <f ca="1">ROUND(_Google_ads[[#This Row],[conversion_value]]*RANDBETWEEN(8,12)/10,0)</f>
        <v>2585</v>
      </c>
      <c r="Y104" s="4">
        <f ca="1">_Google_ads[[#This Row],[ctr]]*RANDBETWEEN(8,12)/10</f>
        <v>5.1299999999999998E-2</v>
      </c>
      <c r="Z104" s="4">
        <f ca="1">_Google_ads[[#This Row],[avg_cpc]]*RANDBETWEEN(8,12)/10</f>
        <v>0.17099999999999999</v>
      </c>
      <c r="AA104" s="4">
        <f ca="1">ROUND(_Google_ads[[#This Row],[quality_score]]*RANDBETWEEN(8,12)/10,0)</f>
        <v>9</v>
      </c>
      <c r="AB104" s="4">
        <f ca="1">_Google_ads[[#This Row],[search_impression_share]]*RANDBETWEEN(8,12)/10</f>
        <v>1.0009999999999999</v>
      </c>
      <c r="AD104" s="3">
        <f t="shared" ca="1" si="16"/>
        <v>45097</v>
      </c>
      <c r="AE104" s="4" t="s">
        <v>100</v>
      </c>
      <c r="AF104" s="4" t="s">
        <v>101</v>
      </c>
      <c r="AG104" s="4" t="s">
        <v>102</v>
      </c>
      <c r="AH104" s="4" t="s">
        <v>103</v>
      </c>
      <c r="AI104" s="4">
        <f ca="1">ROUND(T_Tiktok_ads[[#This Row],[impressions]]*RANDBETWEEN(8,12)/10,0)</f>
        <v>289012</v>
      </c>
      <c r="AJ104" s="4">
        <f ca="1">ROUND(T_Tiktok_ads[[#This Row],[clicks]]*RANDBETWEEN(8,12)/10,0)</f>
        <v>3811</v>
      </c>
      <c r="AK104" s="4">
        <v>556.70000000000005</v>
      </c>
      <c r="AL104" s="4">
        <f ca="1">ROUND(T_Tiktok_ads[[#This Row],[conversions]]*RANDBETWEEN(8,12)/10,0)</f>
        <v>34</v>
      </c>
      <c r="AM104" s="4">
        <f ca="1">ROUND(T_Tiktok_ads[[#This Row],[video_views]]*RANDBETWEEN(8,12)/10,0)</f>
        <v>211110</v>
      </c>
      <c r="AN104" s="4">
        <f ca="1">ROUND(T_Tiktok_ads[[#This Row],[video_watch_25]]*RANDBETWEEN(8,12)/10,0)</f>
        <v>164111</v>
      </c>
      <c r="AO104" s="4">
        <f ca="1">ROUND(T_Tiktok_ads[[#This Row],[video_watch_50]]*RANDBETWEEN(8,12)/10,0)</f>
        <v>91654</v>
      </c>
      <c r="AP104" s="4">
        <f ca="1">ROUND(T_Tiktok_ads[[#This Row],[video_watch_75]]*RANDBETWEEN(8,12)/10,0)</f>
        <v>92681</v>
      </c>
      <c r="AQ104" s="4">
        <f ca="1">ROUND(T_Tiktok_ads[[#This Row],[video_watch_100]]*RANDBETWEEN(8,12)/10,0)</f>
        <v>46111</v>
      </c>
      <c r="AR104" s="4">
        <f ca="1">ROUND(T_Tiktok_ads[[#This Row],[likes]]*RANDBETWEEN(8,12)/10,0)</f>
        <v>12414</v>
      </c>
      <c r="AS104" s="4">
        <f ca="1">ROUND(T_Tiktok_ads[[#This Row],[shares]]*RANDBETWEEN(8,12)/10,0)</f>
        <v>3347</v>
      </c>
      <c r="AT104" s="4">
        <f ca="1">ROUND(T_Tiktok_ads[[#This Row],[comments]]*RANDBETWEEN(8,12)/10,0)</f>
        <v>787</v>
      </c>
      <c r="AV104" s="5">
        <f t="shared" ca="1" si="17"/>
        <v>45101</v>
      </c>
      <c r="AW104">
        <f t="shared" ca="1" si="13"/>
        <v>1</v>
      </c>
      <c r="AX104">
        <f ca="1">ROUND(T_Facebook_Ads115963677175[[#This Row],[impressions]]*RANDBETWEEN(8,12)/10,0)</f>
        <v>47411</v>
      </c>
      <c r="AY104">
        <f ca="1">ROUND(T_Facebook_Ads115963677175[[#This Row],[clicks]]*RANDBETWEEN(8,12)/10,0)</f>
        <v>967</v>
      </c>
      <c r="AZ104">
        <f ca="1">T_Facebook_Ads115963677175[[#This Row],[spend]]*RANDBETWEEN(8,12)/10</f>
        <v>121.792</v>
      </c>
      <c r="BA104">
        <f ca="1">ROUND(T_Facebook_Ads115963677175[[#This Row],[conversions]]*RANDBETWEEN(8,12)/10,0)</f>
        <v>17</v>
      </c>
      <c r="BB104">
        <f ca="1">ROUND(T_Facebook_Ads115963677175[[#This Row],[video_views]]*RANDBETWEEN(8,12)/10,0)</f>
        <v>11602</v>
      </c>
    </row>
    <row r="105" spans="1:54" ht="15.75" thickBot="1" x14ac:dyDescent="0.3">
      <c r="A105" s="3">
        <f t="shared" ca="1" si="14"/>
        <v>45078</v>
      </c>
      <c r="B105" s="4" t="s">
        <v>56</v>
      </c>
      <c r="C105" s="4" t="s">
        <v>57</v>
      </c>
      <c r="D105" s="4" t="s">
        <v>58</v>
      </c>
      <c r="E105" s="4" t="s">
        <v>59</v>
      </c>
      <c r="F105" s="4">
        <f ca="1">ROUND(T_Facebook_Ads[[#This Row],[impressions]]*RANDBETWEEN(8,12)/10,0)</f>
        <v>14557</v>
      </c>
      <c r="G105" s="4">
        <v>612</v>
      </c>
      <c r="H105" s="4">
        <f ca="1">T_Facebook_Ads[[#This Row],[spend]]*RANDBETWEEN(8,12)/10</f>
        <v>203.85</v>
      </c>
      <c r="I105" s="4">
        <f ca="1">ROUND(T_Facebook_Ads[[#This Row],[conversions]]*RANDBETWEEN(8,12)/10,0)</f>
        <v>39</v>
      </c>
      <c r="J105" s="4">
        <f ca="1">ROUND(T_Facebook_Ads[[#This Row],[video_views]]*RANDBETWEEN(8,12)/10,0)</f>
        <v>1480</v>
      </c>
      <c r="K105" s="4">
        <f ca="1">T_Facebook_Ads[[#This Row],[engagement_rate]]*RANDBETWEEN(8,12)/10</f>
        <v>4.6300000000000001E-2</v>
      </c>
      <c r="L105" s="4">
        <f ca="1">ROUND(T_Facebook_Ads[[#This Row],[reach]]*RANDBETWEEN(8,12)/10,0)</f>
        <v>9410</v>
      </c>
      <c r="M105" s="4">
        <f ca="1">T_Facebook_Ads[[#This Row],[frequency]]*RANDBETWEEN(8,12)/10</f>
        <v>1.524</v>
      </c>
      <c r="O105" s="3">
        <f t="shared" ca="1" si="15"/>
        <v>45083</v>
      </c>
      <c r="P105" s="4" t="s">
        <v>80</v>
      </c>
      <c r="Q105" s="4" t="s">
        <v>81</v>
      </c>
      <c r="R105" s="4" t="s">
        <v>82</v>
      </c>
      <c r="S105" s="4" t="s">
        <v>83</v>
      </c>
      <c r="T105" s="4">
        <f ca="1">ROUND(_Google_ads[[#This Row],[impressions]]*RANDBETWEEN(8,12)/10,0)</f>
        <v>35654</v>
      </c>
      <c r="U105" s="4">
        <f ca="1">ROUND(_Google_ads[[#This Row],[clicks]]*RANDBETWEEN(8,12)/10,0)</f>
        <v>966</v>
      </c>
      <c r="V105" s="4">
        <f ca="1">_Google_ads[[#This Row],[cost]]*RANDBETWEEN(8,12)/10</f>
        <v>570.79999999999995</v>
      </c>
      <c r="W105" s="4">
        <f ca="1">ROUND(_Google_ads[[#This Row],[conversions]]*RANDBETWEEN(8,12)/10,0)</f>
        <v>18</v>
      </c>
      <c r="X105" s="4">
        <f ca="1">ROUND(_Google_ads[[#This Row],[conversion_value]]*RANDBETWEEN(8,12)/10,0)</f>
        <v>1265</v>
      </c>
      <c r="Y105" s="4">
        <f ca="1">_Google_ads[[#This Row],[ctr]]*RANDBETWEEN(8,12)/10</f>
        <v>2.3640000000000001E-2</v>
      </c>
      <c r="Z105" s="4">
        <f ca="1">_Google_ads[[#This Row],[avg_cpc]]*RANDBETWEEN(8,12)/10</f>
        <v>0.78</v>
      </c>
      <c r="AA105" s="4">
        <f ca="1">ROUND(_Google_ads[[#This Row],[quality_score]]*RANDBETWEEN(8,12)/10,0)</f>
        <v>8</v>
      </c>
      <c r="AB105" s="4">
        <f ca="1">_Google_ads[[#This Row],[search_impression_share]]*RANDBETWEEN(8,12)/10</f>
        <v>0.39600000000000002</v>
      </c>
      <c r="AD105" s="3">
        <f t="shared" ca="1" si="16"/>
        <v>45107</v>
      </c>
      <c r="AE105" s="4" t="s">
        <v>104</v>
      </c>
      <c r="AF105" s="4" t="s">
        <v>105</v>
      </c>
      <c r="AG105" s="4" t="s">
        <v>106</v>
      </c>
      <c r="AH105" s="4" t="s">
        <v>107</v>
      </c>
      <c r="AI105" s="4">
        <f ca="1">ROUND(T_Tiktok_ads[[#This Row],[impressions]]*RANDBETWEEN(8,12)/10,0)</f>
        <v>188147</v>
      </c>
      <c r="AJ105" s="4">
        <f ca="1">ROUND(T_Tiktok_ads[[#This Row],[clicks]]*RANDBETWEEN(8,12)/10,0)</f>
        <v>2410</v>
      </c>
      <c r="AK105" s="4">
        <v>812.3</v>
      </c>
      <c r="AL105" s="4">
        <f ca="1">ROUND(T_Tiktok_ads[[#This Row],[conversions]]*RANDBETWEEN(8,12)/10,0)</f>
        <v>82</v>
      </c>
      <c r="AM105" s="4">
        <f ca="1">ROUND(T_Tiktok_ads[[#This Row],[video_views]]*RANDBETWEEN(8,12)/10,0)</f>
        <v>109876</v>
      </c>
      <c r="AN105" s="4">
        <f ca="1">ROUND(T_Tiktok_ads[[#This Row],[video_watch_25]]*RANDBETWEEN(8,12)/10,0)</f>
        <v>97481</v>
      </c>
      <c r="AO105" s="4">
        <f ca="1">ROUND(T_Tiktok_ads[[#This Row],[video_watch_50]]*RANDBETWEEN(8,12)/10,0)</f>
        <v>65614</v>
      </c>
      <c r="AP105" s="4">
        <f ca="1">ROUND(T_Tiktok_ads[[#This Row],[video_watch_75]]*RANDBETWEEN(8,12)/10,0)</f>
        <v>37111</v>
      </c>
      <c r="AQ105" s="4">
        <f ca="1">ROUND(T_Tiktok_ads[[#This Row],[video_watch_100]]*RANDBETWEEN(8,12)/10,0)</f>
        <v>22054</v>
      </c>
      <c r="AR105" s="4">
        <f ca="1">ROUND(T_Tiktok_ads[[#This Row],[likes]]*RANDBETWEEN(8,12)/10,0)</f>
        <v>4365</v>
      </c>
      <c r="AS105" s="4">
        <f ca="1">ROUND(T_Tiktok_ads[[#This Row],[shares]]*RANDBETWEEN(8,12)/10,0)</f>
        <v>1724</v>
      </c>
      <c r="AT105" s="4">
        <f ca="1">ROUND(T_Tiktok_ads[[#This Row],[comments]]*RANDBETWEEN(8,12)/10,0)</f>
        <v>231</v>
      </c>
      <c r="AV105" s="5">
        <f t="shared" ca="1" si="17"/>
        <v>45097</v>
      </c>
      <c r="AW105">
        <f t="shared" ca="1" si="13"/>
        <v>8</v>
      </c>
      <c r="AX105">
        <f ca="1">ROUND(T_Facebook_Ads115963677175[[#This Row],[impressions]]*RANDBETWEEN(8,12)/10,0)</f>
        <v>11646</v>
      </c>
      <c r="AY105">
        <f ca="1">ROUND(T_Facebook_Ads115963677175[[#This Row],[clicks]]*RANDBETWEEN(8,12)/10,0)</f>
        <v>612</v>
      </c>
      <c r="AZ105">
        <f ca="1">T_Facebook_Ads115963677175[[#This Row],[spend]]*RANDBETWEEN(8,12)/10</f>
        <v>244.61999999999998</v>
      </c>
      <c r="BA105">
        <f ca="1">ROUND(T_Facebook_Ads115963677175[[#This Row],[conversions]]*RANDBETWEEN(8,12)/10,0)</f>
        <v>35</v>
      </c>
      <c r="BB105">
        <f ca="1">ROUND(T_Facebook_Ads115963677175[[#This Row],[video_views]]*RANDBETWEEN(8,12)/10,0)</f>
        <v>1184</v>
      </c>
    </row>
    <row r="106" spans="1:54" ht="15.75" thickBot="1" x14ac:dyDescent="0.3">
      <c r="A106" s="3">
        <f t="shared" ca="1" si="14"/>
        <v>45099</v>
      </c>
      <c r="B106" s="4" t="s">
        <v>60</v>
      </c>
      <c r="C106" s="4" t="s">
        <v>61</v>
      </c>
      <c r="D106" s="4" t="s">
        <v>62</v>
      </c>
      <c r="E106" s="4" t="s">
        <v>63</v>
      </c>
      <c r="F106" s="4">
        <f ca="1">ROUND(T_Facebook_Ads[[#This Row],[impressions]]*RANDBETWEEN(8,12)/10,0)</f>
        <v>39857</v>
      </c>
      <c r="G106" s="4">
        <v>1334</v>
      </c>
      <c r="H106" s="4">
        <f ca="1">T_Facebook_Ads[[#This Row],[spend]]*RANDBETWEEN(8,12)/10</f>
        <v>224.07</v>
      </c>
      <c r="I106" s="4">
        <f ca="1">ROUND(T_Facebook_Ads[[#This Row],[conversions]]*RANDBETWEEN(8,12)/10,0)</f>
        <v>25</v>
      </c>
      <c r="J106" s="4">
        <f ca="1">ROUND(T_Facebook_Ads[[#This Row],[video_views]]*RANDBETWEEN(8,12)/10,0)</f>
        <v>5146</v>
      </c>
      <c r="K106" s="4">
        <f ca="1">T_Facebook_Ads[[#This Row],[engagement_rate]]*RANDBETWEEN(8,12)/10</f>
        <v>3.6799999999999999E-2</v>
      </c>
      <c r="L106" s="4">
        <f ca="1">ROUND(T_Facebook_Ads[[#This Row],[reach]]*RANDBETWEEN(8,12)/10,0)</f>
        <v>24098</v>
      </c>
      <c r="M106" s="4">
        <f ca="1">T_Facebook_Ads[[#This Row],[frequency]]*RANDBETWEEN(8,12)/10</f>
        <v>0.96</v>
      </c>
      <c r="O106" s="3">
        <f t="shared" ca="1" si="15"/>
        <v>45103</v>
      </c>
      <c r="P106" s="4" t="s">
        <v>84</v>
      </c>
      <c r="Q106" s="4" t="s">
        <v>85</v>
      </c>
      <c r="R106" s="4" t="s">
        <v>86</v>
      </c>
      <c r="S106" s="4" t="s">
        <v>87</v>
      </c>
      <c r="T106" s="4">
        <f ca="1">ROUND(_Google_ads[[#This Row],[impressions]]*RANDBETWEEN(8,12)/10,0)</f>
        <v>68456</v>
      </c>
      <c r="U106" s="4">
        <f ca="1">ROUND(_Google_ads[[#This Row],[clicks]]*RANDBETWEEN(8,12)/10,0)</f>
        <v>2060</v>
      </c>
      <c r="V106" s="4">
        <f ca="1">_Google_ads[[#This Row],[cost]]*RANDBETWEEN(8,12)/10</f>
        <v>503.4</v>
      </c>
      <c r="W106" s="4">
        <f ca="1">ROUND(_Google_ads[[#This Row],[conversions]]*RANDBETWEEN(8,12)/10,0)</f>
        <v>59</v>
      </c>
      <c r="X106" s="4">
        <f ca="1">ROUND(_Google_ads[[#This Row],[conversion_value]]*RANDBETWEEN(8,12)/10,0)</f>
        <v>2640</v>
      </c>
      <c r="Y106" s="4">
        <f ca="1">_Google_ads[[#This Row],[ctr]]*RANDBETWEEN(8,12)/10</f>
        <v>3.3399999999999999E-2</v>
      </c>
      <c r="Z106" s="4">
        <f ca="1">_Google_ads[[#This Row],[avg_cpc]]*RANDBETWEEN(8,12)/10</f>
        <v>0.19800000000000001</v>
      </c>
      <c r="AA106" s="4">
        <f ca="1">ROUND(_Google_ads[[#This Row],[quality_score]]*RANDBETWEEN(8,12)/10,0)</f>
        <v>9</v>
      </c>
      <c r="AB106" s="4">
        <f ca="1">_Google_ads[[#This Row],[search_impression_share]]*RANDBETWEEN(8,12)/10</f>
        <v>0.60299999999999998</v>
      </c>
      <c r="AD106" s="3">
        <f t="shared" ca="1" si="16"/>
        <v>45101</v>
      </c>
      <c r="AE106" s="4" t="s">
        <v>108</v>
      </c>
      <c r="AF106" s="4" t="s">
        <v>109</v>
      </c>
      <c r="AG106" s="4" t="s">
        <v>110</v>
      </c>
      <c r="AH106" s="4" t="s">
        <v>111</v>
      </c>
      <c r="AI106" s="4">
        <f ca="1">ROUND(T_Tiktok_ads[[#This Row],[impressions]]*RANDBETWEEN(8,12)/10,0)</f>
        <v>294814</v>
      </c>
      <c r="AJ106" s="4">
        <f ca="1">ROUND(T_Tiktok_ads[[#This Row],[clicks]]*RANDBETWEEN(8,12)/10,0)</f>
        <v>3112</v>
      </c>
      <c r="AK106" s="4">
        <v>467.8</v>
      </c>
      <c r="AL106" s="4">
        <f ca="1">ROUND(T_Tiktok_ads[[#This Row],[conversions]]*RANDBETWEEN(8,12)/10,0)</f>
        <v>31</v>
      </c>
      <c r="AM106" s="4">
        <f ca="1">ROUND(T_Tiktok_ads[[#This Row],[video_views]]*RANDBETWEEN(8,12)/10,0)</f>
        <v>176110</v>
      </c>
      <c r="AN106" s="4">
        <f ca="1">ROUND(T_Tiktok_ads[[#This Row],[video_watch_25]]*RANDBETWEEN(8,12)/10,0)</f>
        <v>148234</v>
      </c>
      <c r="AO106" s="4">
        <f ca="1">ROUND(T_Tiktok_ads[[#This Row],[video_watch_50]]*RANDBETWEEN(8,12)/10,0)</f>
        <v>128957</v>
      </c>
      <c r="AP106" s="4">
        <f ca="1">ROUND(T_Tiktok_ads[[#This Row],[video_watch_75]]*RANDBETWEEN(8,12)/10,0)</f>
        <v>60187</v>
      </c>
      <c r="AQ106" s="4">
        <f ca="1">ROUND(T_Tiktok_ads[[#This Row],[video_watch_100]]*RANDBETWEEN(8,12)/10,0)</f>
        <v>50368</v>
      </c>
      <c r="AR106" s="4">
        <f ca="1">ROUND(T_Tiktok_ads[[#This Row],[likes]]*RANDBETWEEN(8,12)/10,0)</f>
        <v>8567</v>
      </c>
      <c r="AS106" s="4">
        <f ca="1">ROUND(T_Tiktok_ads[[#This Row],[shares]]*RANDBETWEEN(8,12)/10,0)</f>
        <v>1876</v>
      </c>
      <c r="AT106" s="4">
        <f ca="1">ROUND(T_Tiktok_ads[[#This Row],[comments]]*RANDBETWEEN(8,12)/10,0)</f>
        <v>680</v>
      </c>
      <c r="AV106" s="5">
        <f t="shared" ca="1" si="17"/>
        <v>45079</v>
      </c>
      <c r="AW106">
        <f t="shared" ca="1" si="13"/>
        <v>2</v>
      </c>
      <c r="AX106">
        <f ca="1">ROUND(T_Facebook_Ads115963677175[[#This Row],[impressions]]*RANDBETWEEN(8,12)/10,0)</f>
        <v>39857</v>
      </c>
      <c r="AY106">
        <f ca="1">ROUND(T_Facebook_Ads115963677175[[#This Row],[clicks]]*RANDBETWEEN(8,12)/10,0)</f>
        <v>1601</v>
      </c>
      <c r="AZ106">
        <f ca="1">T_Facebook_Ads115963677175[[#This Row],[spend]]*RANDBETWEEN(8,12)/10</f>
        <v>179.256</v>
      </c>
      <c r="BA106">
        <f ca="1">ROUND(T_Facebook_Ads115963677175[[#This Row],[conversions]]*RANDBETWEEN(8,12)/10,0)</f>
        <v>28</v>
      </c>
      <c r="BB106">
        <f ca="1">ROUND(T_Facebook_Ads115963677175[[#This Row],[video_views]]*RANDBETWEEN(8,12)/10,0)</f>
        <v>4117</v>
      </c>
    </row>
    <row r="107" spans="1:54" ht="15.75" thickBot="1" x14ac:dyDescent="0.3">
      <c r="A107" s="3">
        <f t="shared" ca="1" si="14"/>
        <v>45099</v>
      </c>
      <c r="B107" s="4" t="s">
        <v>64</v>
      </c>
      <c r="C107" s="4" t="s">
        <v>65</v>
      </c>
      <c r="D107" s="4" t="s">
        <v>66</v>
      </c>
      <c r="E107" s="4" t="s">
        <v>67</v>
      </c>
      <c r="F107" s="4">
        <f ca="1">ROUND(T_Facebook_Ads[[#This Row],[impressions]]*RANDBETWEEN(8,12)/10,0)</f>
        <v>83480</v>
      </c>
      <c r="G107" s="4">
        <v>253</v>
      </c>
      <c r="H107" s="4">
        <f ca="1">T_Facebook_Ads[[#This Row],[spend]]*RANDBETWEEN(8,12)/10</f>
        <v>97.570000000000007</v>
      </c>
      <c r="I107" s="4">
        <f ca="1">ROUND(T_Facebook_Ads[[#This Row],[conversions]]*RANDBETWEEN(8,12)/10,0)</f>
        <v>5</v>
      </c>
      <c r="J107" s="4">
        <f ca="1">ROUND(T_Facebook_Ads[[#This Row],[video_views]]*RANDBETWEEN(8,12)/10,0)</f>
        <v>46890</v>
      </c>
      <c r="K107" s="4">
        <f ca="1">T_Facebook_Ads[[#This Row],[engagement_rate]]*RANDBETWEEN(8,12)/10</f>
        <v>2.8799999999999997E-3</v>
      </c>
      <c r="L107" s="4">
        <f ca="1">ROUND(T_Facebook_Ads[[#This Row],[reach]]*RANDBETWEEN(8,12)/10,0)</f>
        <v>68548</v>
      </c>
      <c r="M107" s="4">
        <f ca="1">T_Facebook_Ads[[#This Row],[frequency]]*RANDBETWEEN(8,12)/10</f>
        <v>1.22</v>
      </c>
      <c r="O107" s="3">
        <f t="shared" ca="1" si="15"/>
        <v>45099</v>
      </c>
      <c r="P107" s="4" t="s">
        <v>88</v>
      </c>
      <c r="Q107" s="4" t="s">
        <v>89</v>
      </c>
      <c r="R107" s="4" t="s">
        <v>90</v>
      </c>
      <c r="S107" s="4" t="s">
        <v>59</v>
      </c>
      <c r="T107" s="4">
        <f ca="1">ROUND(_Google_ads[[#This Row],[impressions]]*RANDBETWEEN(8,12)/10,0)</f>
        <v>104987</v>
      </c>
      <c r="U107" s="4">
        <f ca="1">ROUND(_Google_ads[[#This Row],[clicks]]*RANDBETWEEN(8,12)/10,0)</f>
        <v>374</v>
      </c>
      <c r="V107" s="4">
        <f ca="1">_Google_ads[[#This Row],[cost]]*RANDBETWEEN(8,12)/10</f>
        <v>103.12</v>
      </c>
      <c r="W107" s="4">
        <f ca="1">ROUND(_Google_ads[[#This Row],[conversions]]*RANDBETWEEN(8,12)/10,0)</f>
        <v>14</v>
      </c>
      <c r="X107" s="4">
        <f ca="1">ROUND(_Google_ads[[#This Row],[conversion_value]]*RANDBETWEEN(8,12)/10,0)</f>
        <v>650</v>
      </c>
      <c r="Y107" s="4">
        <f ca="1">_Google_ads[[#This Row],[ctr]]*RANDBETWEEN(8,12)/10</f>
        <v>3.5999999999999999E-3</v>
      </c>
      <c r="Z107" s="4">
        <f ca="1">_Google_ads[[#This Row],[avg_cpc]]*RANDBETWEEN(8,12)/10</f>
        <v>0.308</v>
      </c>
      <c r="AA107" s="4">
        <f ca="1">ROUND(_Google_ads[[#This Row],[quality_score]]*RANDBETWEEN(8,12)/10,0)</f>
        <v>6</v>
      </c>
      <c r="AB107" s="4">
        <f ca="1">_Google_ads[[#This Row],[search_impression_share]]*RANDBETWEEN(8,12)/10</f>
        <v>0.34</v>
      </c>
      <c r="AD107" s="3">
        <f t="shared" ca="1" si="16"/>
        <v>45102</v>
      </c>
      <c r="AE107" s="4" t="s">
        <v>112</v>
      </c>
      <c r="AF107" s="4" t="s">
        <v>113</v>
      </c>
      <c r="AG107" s="4" t="s">
        <v>114</v>
      </c>
      <c r="AH107" s="4" t="s">
        <v>115</v>
      </c>
      <c r="AI107" s="4">
        <f ca="1">ROUND(T_Tiktok_ads[[#This Row],[impressions]]*RANDBETWEEN(8,12)/10,0)</f>
        <v>381110</v>
      </c>
      <c r="AJ107" s="4">
        <f ca="1">ROUND(T_Tiktok_ads[[#This Row],[clicks]]*RANDBETWEEN(8,12)/10,0)</f>
        <v>6890</v>
      </c>
      <c r="AK107" s="4">
        <v>1056.8</v>
      </c>
      <c r="AL107" s="4">
        <f ca="1">ROUND(T_Tiktok_ads[[#This Row],[conversions]]*RANDBETWEEN(8,12)/10,0)</f>
        <v>96</v>
      </c>
      <c r="AM107" s="4">
        <f ca="1">ROUND(T_Tiktok_ads[[#This Row],[video_views]]*RANDBETWEEN(8,12)/10,0)</f>
        <v>392468</v>
      </c>
      <c r="AN107" s="4">
        <f ca="1">ROUND(T_Tiktok_ads[[#This Row],[video_watch_25]]*RANDBETWEEN(8,12)/10,0)</f>
        <v>318157</v>
      </c>
      <c r="AO107" s="4">
        <f ca="1">ROUND(T_Tiktok_ads[[#This Row],[video_watch_50]]*RANDBETWEEN(8,12)/10,0)</f>
        <v>277747</v>
      </c>
      <c r="AP107" s="4">
        <f ca="1">ROUND(T_Tiktok_ads[[#This Row],[video_watch_75]]*RANDBETWEEN(8,12)/10,0)</f>
        <v>148110</v>
      </c>
      <c r="AQ107" s="4">
        <f ca="1">ROUND(T_Tiktok_ads[[#This Row],[video_watch_100]]*RANDBETWEEN(8,12)/10,0)</f>
        <v>109234</v>
      </c>
      <c r="AR107" s="4">
        <f ca="1">ROUND(T_Tiktok_ads[[#This Row],[likes]]*RANDBETWEEN(8,12)/10,0)</f>
        <v>20779</v>
      </c>
      <c r="AS107" s="4">
        <f ca="1">ROUND(T_Tiktok_ads[[#This Row],[shares]]*RANDBETWEEN(8,12)/10,0)</f>
        <v>6002</v>
      </c>
      <c r="AT107" s="4">
        <f ca="1">ROUND(T_Tiktok_ads[[#This Row],[comments]]*RANDBETWEEN(8,12)/10,0)</f>
        <v>1191</v>
      </c>
      <c r="AV107" s="5">
        <f t="shared" ca="1" si="17"/>
        <v>45100</v>
      </c>
      <c r="AW107">
        <f t="shared" ca="1" si="13"/>
        <v>4</v>
      </c>
      <c r="AX107">
        <f ca="1">ROUND(T_Facebook_Ads115963677175[[#This Row],[impressions]]*RANDBETWEEN(8,12)/10,0)</f>
        <v>75132</v>
      </c>
      <c r="AY107">
        <f ca="1">ROUND(T_Facebook_Ads115963677175[[#This Row],[clicks]]*RANDBETWEEN(8,12)/10,0)</f>
        <v>202</v>
      </c>
      <c r="AZ107">
        <f ca="1">T_Facebook_Ads115963677175[[#This Row],[spend]]*RANDBETWEEN(8,12)/10</f>
        <v>78.056000000000012</v>
      </c>
      <c r="BA107">
        <f ca="1">ROUND(T_Facebook_Ads115963677175[[#This Row],[conversions]]*RANDBETWEEN(8,12)/10,0)</f>
        <v>6</v>
      </c>
      <c r="BB107">
        <f ca="1">ROUND(T_Facebook_Ads115963677175[[#This Row],[video_views]]*RANDBETWEEN(8,12)/10,0)</f>
        <v>42201</v>
      </c>
    </row>
    <row r="108" spans="1:54" ht="15.75" thickBot="1" x14ac:dyDescent="0.3">
      <c r="A108" s="3">
        <f t="shared" ca="1" si="14"/>
        <v>45078</v>
      </c>
      <c r="B108" s="4" t="s">
        <v>52</v>
      </c>
      <c r="C108" s="4" t="s">
        <v>53</v>
      </c>
      <c r="D108" s="4" t="s">
        <v>54</v>
      </c>
      <c r="E108" s="4" t="s">
        <v>55</v>
      </c>
      <c r="F108" s="4">
        <f ca="1">ROUND(T_Facebook_Ads[[#This Row],[impressions]]*RANDBETWEEN(8,12)/10,0)</f>
        <v>59081</v>
      </c>
      <c r="G108" s="4">
        <v>1001</v>
      </c>
      <c r="H108" s="4">
        <f ca="1">T_Facebook_Ads[[#This Row],[spend]]*RANDBETWEEN(8,12)/10</f>
        <v>128.52000000000001</v>
      </c>
      <c r="I108" s="4">
        <f ca="1">ROUND(T_Facebook_Ads[[#This Row],[conversions]]*RANDBETWEEN(8,12)/10,0)</f>
        <v>16</v>
      </c>
      <c r="J108" s="4">
        <f ca="1">ROUND(T_Facebook_Ads[[#This Row],[video_views]]*RANDBETWEEN(8,12)/10,0)</f>
        <v>8111</v>
      </c>
      <c r="K108" s="4">
        <f ca="1">T_Facebook_Ads[[#This Row],[engagement_rate]]*RANDBETWEEN(8,12)/10</f>
        <v>1.8269999999999998E-2</v>
      </c>
      <c r="L108" s="4">
        <f ca="1">ROUND(T_Facebook_Ads[[#This Row],[reach]]*RANDBETWEEN(8,12)/10,0)</f>
        <v>49880</v>
      </c>
      <c r="M108" s="4">
        <f ca="1">T_Facebook_Ads[[#This Row],[frequency]]*RANDBETWEEN(8,12)/10</f>
        <v>1.4159999999999999</v>
      </c>
      <c r="O108" s="3">
        <f t="shared" ca="1" si="15"/>
        <v>45087</v>
      </c>
      <c r="P108" s="4" t="s">
        <v>76</v>
      </c>
      <c r="Q108" s="4" t="s">
        <v>77</v>
      </c>
      <c r="R108" s="4" t="s">
        <v>78</v>
      </c>
      <c r="S108" s="4" t="s">
        <v>79</v>
      </c>
      <c r="T108" s="4">
        <f ca="1">ROUND(_Google_ads[[#This Row],[impressions]]*RANDBETWEEN(8,12)/10,0)</f>
        <v>25456</v>
      </c>
      <c r="U108" s="4">
        <f ca="1">ROUND(_Google_ads[[#This Row],[clicks]]*RANDBETWEEN(8,12)/10,0)</f>
        <v>1067</v>
      </c>
      <c r="V108" s="4">
        <f ca="1">_Google_ads[[#This Row],[cost]]*RANDBETWEEN(8,12)/10</f>
        <v>203.68</v>
      </c>
      <c r="W108" s="4">
        <f ca="1">ROUND(_Google_ads[[#This Row],[conversions]]*RANDBETWEEN(8,12)/10,0)</f>
        <v>60</v>
      </c>
      <c r="X108" s="4">
        <f ca="1">ROUND(_Google_ads[[#This Row],[conversion_value]]*RANDBETWEEN(8,12)/10,0)</f>
        <v>2250</v>
      </c>
      <c r="Y108" s="4">
        <f ca="1">_Google_ads[[#This Row],[ctr]]*RANDBETWEEN(8,12)/10</f>
        <v>4.7160000000000001E-2</v>
      </c>
      <c r="Z108" s="4">
        <f ca="1">_Google_ads[[#This Row],[avg_cpc]]*RANDBETWEEN(8,12)/10</f>
        <v>0.20899999999999999</v>
      </c>
      <c r="AA108" s="4">
        <f ca="1">ROUND(_Google_ads[[#This Row],[quality_score]]*RANDBETWEEN(8,12)/10,0)</f>
        <v>10</v>
      </c>
      <c r="AB108" s="4">
        <f ca="1">_Google_ads[[#This Row],[search_impression_share]]*RANDBETWEEN(8,12)/10</f>
        <v>0.82800000000000007</v>
      </c>
      <c r="AD108" s="3">
        <f t="shared" ca="1" si="16"/>
        <v>45082</v>
      </c>
      <c r="AE108" s="4" t="s">
        <v>100</v>
      </c>
      <c r="AF108" s="4" t="s">
        <v>101</v>
      </c>
      <c r="AG108" s="4" t="s">
        <v>102</v>
      </c>
      <c r="AH108" s="4" t="s">
        <v>103</v>
      </c>
      <c r="AI108" s="4">
        <f ca="1">ROUND(T_Tiktok_ads[[#This Row],[impressions]]*RANDBETWEEN(8,12)/10,0)</f>
        <v>354814</v>
      </c>
      <c r="AJ108" s="4">
        <f ca="1">ROUND(T_Tiktok_ads[[#This Row],[clicks]]*RANDBETWEEN(8,12)/10,0)</f>
        <v>4780</v>
      </c>
      <c r="AK108" s="4">
        <v>573.20000000000005</v>
      </c>
      <c r="AL108" s="4">
        <f ca="1">ROUND(T_Tiktok_ads[[#This Row],[conversions]]*RANDBETWEEN(8,12)/10,0)</f>
        <v>35</v>
      </c>
      <c r="AM108" s="4">
        <f ca="1">ROUND(T_Tiktok_ads[[#This Row],[video_views]]*RANDBETWEEN(8,12)/10,0)</f>
        <v>241234</v>
      </c>
      <c r="AN108" s="4">
        <f ca="1">ROUND(T_Tiktok_ads[[#This Row],[video_watch_25]]*RANDBETWEEN(8,12)/10,0)</f>
        <v>207057</v>
      </c>
      <c r="AO108" s="4">
        <f ca="1">ROUND(T_Tiktok_ads[[#This Row],[video_watch_50]]*RANDBETWEEN(8,12)/10,0)</f>
        <v>141468</v>
      </c>
      <c r="AP108" s="4">
        <f ca="1">ROUND(T_Tiktok_ads[[#This Row],[video_watch_75]]*RANDBETWEEN(8,12)/10,0)</f>
        <v>95081</v>
      </c>
      <c r="AQ108" s="4">
        <f ca="1">ROUND(T_Tiktok_ads[[#This Row],[video_watch_100]]*RANDBETWEEN(8,12)/10,0)</f>
        <v>47510</v>
      </c>
      <c r="AR108" s="4">
        <f ca="1">ROUND(T_Tiktok_ads[[#This Row],[likes]]*RANDBETWEEN(8,12)/10,0)</f>
        <v>10567</v>
      </c>
      <c r="AS108" s="4">
        <f ca="1">ROUND(T_Tiktok_ads[[#This Row],[shares]]*RANDBETWEEN(8,12)/10,0)</f>
        <v>2856</v>
      </c>
      <c r="AT108" s="4">
        <f ca="1">ROUND(T_Tiktok_ads[[#This Row],[comments]]*RANDBETWEEN(8,12)/10,0)</f>
        <v>734</v>
      </c>
      <c r="AV108" s="5">
        <f t="shared" ca="1" si="17"/>
        <v>45097</v>
      </c>
      <c r="AW108">
        <f t="shared" ca="1" si="13"/>
        <v>3</v>
      </c>
      <c r="AX108">
        <f ca="1">ROUND(T_Facebook_Ads115963677175[[#This Row],[impressions]]*RANDBETWEEN(8,12)/10,0)</f>
        <v>70897</v>
      </c>
      <c r="AY108">
        <f ca="1">ROUND(T_Facebook_Ads115963677175[[#This Row],[clicks]]*RANDBETWEEN(8,12)/10,0)</f>
        <v>901</v>
      </c>
      <c r="AZ108">
        <f ca="1">T_Facebook_Ads115963677175[[#This Row],[spend]]*RANDBETWEEN(8,12)/10</f>
        <v>141.37200000000001</v>
      </c>
      <c r="BA108">
        <f ca="1">ROUND(T_Facebook_Ads115963677175[[#This Row],[conversions]]*RANDBETWEEN(8,12)/10,0)</f>
        <v>13</v>
      </c>
      <c r="BB108">
        <f ca="1">ROUND(T_Facebook_Ads115963677175[[#This Row],[video_views]]*RANDBETWEEN(8,12)/10,0)</f>
        <v>7300</v>
      </c>
    </row>
    <row r="109" spans="1:54" ht="15.75" thickBot="1" x14ac:dyDescent="0.3">
      <c r="A109" s="3">
        <f t="shared" ca="1" si="14"/>
        <v>45087</v>
      </c>
      <c r="B109" s="4" t="s">
        <v>56</v>
      </c>
      <c r="C109" s="4" t="s">
        <v>57</v>
      </c>
      <c r="D109" s="4" t="s">
        <v>58</v>
      </c>
      <c r="E109" s="4" t="s">
        <v>59</v>
      </c>
      <c r="F109" s="4">
        <f ca="1">ROUND(T_Facebook_Ads[[#This Row],[impressions]]*RANDBETWEEN(8,12)/10,0)</f>
        <v>12711</v>
      </c>
      <c r="G109" s="4">
        <v>645</v>
      </c>
      <c r="H109" s="4">
        <f ca="1">T_Facebook_Ads[[#This Row],[spend]]*RANDBETWEEN(8,12)/10</f>
        <v>260.59000000000003</v>
      </c>
      <c r="I109" s="4">
        <f ca="1">ROUND(T_Facebook_Ads[[#This Row],[conversions]]*RANDBETWEEN(8,12)/10,0)</f>
        <v>49</v>
      </c>
      <c r="J109" s="4">
        <f ca="1">ROUND(T_Facebook_Ads[[#This Row],[video_views]]*RANDBETWEEN(8,12)/10,0)</f>
        <v>1281</v>
      </c>
      <c r="K109" s="4">
        <f ca="1">T_Facebook_Ads[[#This Row],[engagement_rate]]*RANDBETWEEN(8,12)/10</f>
        <v>4.5699999999999998E-2</v>
      </c>
      <c r="L109" s="4">
        <f ca="1">ROUND(T_Facebook_Ads[[#This Row],[reach]]*RANDBETWEEN(8,12)/10,0)</f>
        <v>11123</v>
      </c>
      <c r="M109" s="4">
        <f ca="1">T_Facebook_Ads[[#This Row],[frequency]]*RANDBETWEEN(8,12)/10</f>
        <v>1.27</v>
      </c>
      <c r="O109" s="3">
        <f t="shared" ca="1" si="15"/>
        <v>45090</v>
      </c>
      <c r="P109" s="4" t="s">
        <v>80</v>
      </c>
      <c r="Q109" s="4" t="s">
        <v>81</v>
      </c>
      <c r="R109" s="4" t="s">
        <v>82</v>
      </c>
      <c r="S109" s="4" t="s">
        <v>83</v>
      </c>
      <c r="T109" s="4">
        <f ca="1">ROUND(_Google_ads[[#This Row],[impressions]]*RANDBETWEEN(8,12)/10,0)</f>
        <v>41301</v>
      </c>
      <c r="U109" s="4">
        <f ca="1">ROUND(_Google_ads[[#This Row],[clicks]]*RANDBETWEEN(8,12)/10,0)</f>
        <v>912</v>
      </c>
      <c r="V109" s="4">
        <f ca="1">_Google_ads[[#This Row],[cost]]*RANDBETWEEN(8,12)/10</f>
        <v>705.24</v>
      </c>
      <c r="W109" s="4">
        <f ca="1">ROUND(_Google_ads[[#This Row],[conversions]]*RANDBETWEEN(8,12)/10,0)</f>
        <v>22</v>
      </c>
      <c r="X109" s="4">
        <f ca="1">ROUND(_Google_ads[[#This Row],[conversion_value]]*RANDBETWEEN(8,12)/10,0)</f>
        <v>960</v>
      </c>
      <c r="Y109" s="4">
        <f ca="1">_Google_ads[[#This Row],[ctr]]*RANDBETWEEN(8,12)/10</f>
        <v>2.3880000000000002E-2</v>
      </c>
      <c r="Z109" s="4">
        <f ca="1">_Google_ads[[#This Row],[avg_cpc]]*RANDBETWEEN(8,12)/10</f>
        <v>0.76800000000000002</v>
      </c>
      <c r="AA109" s="4">
        <f ca="1">ROUND(_Google_ads[[#This Row],[quality_score]]*RANDBETWEEN(8,12)/10,0)</f>
        <v>8</v>
      </c>
      <c r="AB109" s="4">
        <f ca="1">_Google_ads[[#This Row],[search_impression_share]]*RANDBETWEEN(8,12)/10</f>
        <v>0.45</v>
      </c>
      <c r="AD109" s="3">
        <f t="shared" ca="1" si="16"/>
        <v>45079</v>
      </c>
      <c r="AE109" s="4" t="s">
        <v>104</v>
      </c>
      <c r="AF109" s="4" t="s">
        <v>105</v>
      </c>
      <c r="AG109" s="4" t="s">
        <v>106</v>
      </c>
      <c r="AH109" s="4" t="s">
        <v>107</v>
      </c>
      <c r="AI109" s="4">
        <f ca="1">ROUND(T_Tiktok_ads[[#This Row],[impressions]]*RANDBETWEEN(8,12)/10,0)</f>
        <v>145111</v>
      </c>
      <c r="AJ109" s="4">
        <f ca="1">ROUND(T_Tiktok_ads[[#This Row],[clicks]]*RANDBETWEEN(8,12)/10,0)</f>
        <v>3398</v>
      </c>
      <c r="AK109" s="4">
        <v>823.7</v>
      </c>
      <c r="AL109" s="4">
        <f ca="1">ROUND(T_Tiktok_ads[[#This Row],[conversions]]*RANDBETWEEN(8,12)/10,0)</f>
        <v>83</v>
      </c>
      <c r="AM109" s="4">
        <f ca="1">ROUND(T_Tiktok_ads[[#This Row],[video_views]]*RANDBETWEEN(8,12)/10,0)</f>
        <v>90765</v>
      </c>
      <c r="AN109" s="4">
        <f ca="1">ROUND(T_Tiktok_ads[[#This Row],[video_watch_25]]*RANDBETWEEN(8,12)/10,0)</f>
        <v>83567</v>
      </c>
      <c r="AO109" s="4">
        <f ca="1">ROUND(T_Tiktok_ads[[#This Row],[video_watch_50]]*RANDBETWEEN(8,12)/10,0)</f>
        <v>67481</v>
      </c>
      <c r="AP109" s="4">
        <f ca="1">ROUND(T_Tiktok_ads[[#This Row],[video_watch_75]]*RANDBETWEEN(8,12)/10,0)</f>
        <v>38111</v>
      </c>
      <c r="AQ109" s="4">
        <f ca="1">ROUND(T_Tiktok_ads[[#This Row],[video_watch_100]]*RANDBETWEEN(8,12)/10,0)</f>
        <v>22587</v>
      </c>
      <c r="AR109" s="4">
        <f ca="1">ROUND(T_Tiktok_ads[[#This Row],[likes]]*RANDBETWEEN(8,12)/10,0)</f>
        <v>4418</v>
      </c>
      <c r="AS109" s="4">
        <f ca="1">ROUND(T_Tiktok_ads[[#This Row],[shares]]*RANDBETWEEN(8,12)/10,0)</f>
        <v>1271</v>
      </c>
      <c r="AT109" s="4">
        <f ca="1">ROUND(T_Tiktok_ads[[#This Row],[comments]]*RANDBETWEEN(8,12)/10,0)</f>
        <v>301</v>
      </c>
      <c r="AV109" s="5">
        <f t="shared" ca="1" si="17"/>
        <v>45089</v>
      </c>
      <c r="AW109">
        <f t="shared" ca="1" si="13"/>
        <v>8</v>
      </c>
      <c r="AX109">
        <f ca="1">ROUND(T_Facebook_Ads115963677175[[#This Row],[impressions]]*RANDBETWEEN(8,12)/10,0)</f>
        <v>11440</v>
      </c>
      <c r="AY109">
        <f ca="1">ROUND(T_Facebook_Ads115963677175[[#This Row],[clicks]]*RANDBETWEEN(8,12)/10,0)</f>
        <v>645</v>
      </c>
      <c r="AZ109">
        <f ca="1">T_Facebook_Ads115963677175[[#This Row],[spend]]*RANDBETWEEN(8,12)/10</f>
        <v>260.59000000000003</v>
      </c>
      <c r="BA109">
        <f ca="1">ROUND(T_Facebook_Ads115963677175[[#This Row],[conversions]]*RANDBETWEEN(8,12)/10,0)</f>
        <v>39</v>
      </c>
      <c r="BB109">
        <f ca="1">ROUND(T_Facebook_Ads115963677175[[#This Row],[video_views]]*RANDBETWEEN(8,12)/10,0)</f>
        <v>1153</v>
      </c>
    </row>
    <row r="110" spans="1:54" ht="15.75" thickBot="1" x14ac:dyDescent="0.3">
      <c r="A110" s="3">
        <f t="shared" ca="1" si="14"/>
        <v>45095</v>
      </c>
      <c r="B110" s="4" t="s">
        <v>60</v>
      </c>
      <c r="C110" s="4" t="s">
        <v>61</v>
      </c>
      <c r="D110" s="4" t="s">
        <v>62</v>
      </c>
      <c r="E110" s="4" t="s">
        <v>63</v>
      </c>
      <c r="F110" s="4">
        <f ca="1">ROUND(T_Facebook_Ads[[#This Row],[impressions]]*RANDBETWEEN(8,12)/10,0)</f>
        <v>30312</v>
      </c>
      <c r="G110" s="4">
        <v>1412</v>
      </c>
      <c r="H110" s="4">
        <f ca="1">T_Facebook_Ads[[#This Row],[spend]]*RANDBETWEEN(8,12)/10</f>
        <v>173.2</v>
      </c>
      <c r="I110" s="4">
        <f ca="1">ROUND(T_Facebook_Ads[[#This Row],[conversions]]*RANDBETWEEN(8,12)/10,0)</f>
        <v>30</v>
      </c>
      <c r="J110" s="4">
        <f ca="1">ROUND(T_Facebook_Ads[[#This Row],[video_views]]*RANDBETWEEN(8,12)/10,0)</f>
        <v>5947</v>
      </c>
      <c r="K110" s="4">
        <f ca="1">T_Facebook_Ads[[#This Row],[engagement_rate]]*RANDBETWEEN(8,12)/10</f>
        <v>3.73E-2</v>
      </c>
      <c r="L110" s="4">
        <f ca="1">ROUND(T_Facebook_Ads[[#This Row],[reach]]*RANDBETWEEN(8,12)/10,0)</f>
        <v>27801</v>
      </c>
      <c r="M110" s="4">
        <f ca="1">T_Facebook_Ads[[#This Row],[frequency]]*RANDBETWEEN(8,12)/10</f>
        <v>1.107</v>
      </c>
      <c r="O110" s="3">
        <f t="shared" ca="1" si="15"/>
        <v>45084</v>
      </c>
      <c r="P110" s="4" t="s">
        <v>84</v>
      </c>
      <c r="Q110" s="4" t="s">
        <v>85</v>
      </c>
      <c r="R110" s="4" t="s">
        <v>86</v>
      </c>
      <c r="S110" s="4" t="s">
        <v>87</v>
      </c>
      <c r="T110" s="4">
        <f ca="1">ROUND(_Google_ads[[#This Row],[impressions]]*RANDBETWEEN(8,12)/10,0)</f>
        <v>70234</v>
      </c>
      <c r="U110" s="4">
        <f ca="1">ROUND(_Google_ads[[#This Row],[clicks]]*RANDBETWEEN(8,12)/10,0)</f>
        <v>2840</v>
      </c>
      <c r="V110" s="4">
        <f ca="1">_Google_ads[[#This Row],[cost]]*RANDBETWEEN(8,12)/10</f>
        <v>475.31000000000006</v>
      </c>
      <c r="W110" s="4">
        <f ca="1">ROUND(_Google_ads[[#This Row],[conversions]]*RANDBETWEEN(8,12)/10,0)</f>
        <v>68</v>
      </c>
      <c r="X110" s="4">
        <f ca="1">ROUND(_Google_ads[[#This Row],[conversion_value]]*RANDBETWEEN(8,12)/10,0)</f>
        <v>4080</v>
      </c>
      <c r="Y110" s="4">
        <f ca="1">_Google_ads[[#This Row],[ctr]]*RANDBETWEEN(8,12)/10</f>
        <v>2.6960000000000001E-2</v>
      </c>
      <c r="Z110" s="4">
        <f ca="1">_Google_ads[[#This Row],[avg_cpc]]*RANDBETWEEN(8,12)/10</f>
        <v>0.21600000000000003</v>
      </c>
      <c r="AA110" s="4">
        <f ca="1">ROUND(_Google_ads[[#This Row],[quality_score]]*RANDBETWEEN(8,12)/10,0)</f>
        <v>7</v>
      </c>
      <c r="AB110" s="4">
        <f ca="1">_Google_ads[[#This Row],[search_impression_share]]*RANDBETWEEN(8,12)/10</f>
        <v>0.60299999999999998</v>
      </c>
      <c r="AD110" s="3">
        <f t="shared" ca="1" si="16"/>
        <v>45094</v>
      </c>
      <c r="AE110" s="4" t="s">
        <v>108</v>
      </c>
      <c r="AF110" s="4" t="s">
        <v>109</v>
      </c>
      <c r="AG110" s="4" t="s">
        <v>110</v>
      </c>
      <c r="AH110" s="4" t="s">
        <v>111</v>
      </c>
      <c r="AI110" s="4">
        <f ca="1">ROUND(T_Tiktok_ads[[#This Row],[impressions]]*RANDBETWEEN(8,12)/10,0)</f>
        <v>226111</v>
      </c>
      <c r="AJ110" s="4">
        <f ca="1">ROUND(T_Tiktok_ads[[#This Row],[clicks]]*RANDBETWEEN(8,12)/10,0)</f>
        <v>3967</v>
      </c>
      <c r="AK110" s="4">
        <v>481.5</v>
      </c>
      <c r="AL110" s="4">
        <f ca="1">ROUND(T_Tiktok_ads[[#This Row],[conversions]]*RANDBETWEEN(8,12)/10,0)</f>
        <v>35</v>
      </c>
      <c r="AM110" s="4">
        <f ca="1">ROUND(T_Tiktok_ads[[#This Row],[video_views]]*RANDBETWEEN(8,12)/10,0)</f>
        <v>238681</v>
      </c>
      <c r="AN110" s="4">
        <f ca="1">ROUND(T_Tiktok_ads[[#This Row],[video_watch_25]]*RANDBETWEEN(8,12)/10,0)</f>
        <v>120454</v>
      </c>
      <c r="AO110" s="4">
        <f ca="1">ROUND(T_Tiktok_ads[[#This Row],[video_watch_50]]*RANDBETWEEN(8,12)/10,0)</f>
        <v>143081</v>
      </c>
      <c r="AP110" s="4">
        <f ca="1">ROUND(T_Tiktok_ads[[#This Row],[video_watch_75]]*RANDBETWEEN(8,12)/10,0)</f>
        <v>69201</v>
      </c>
      <c r="AQ110" s="4">
        <f ca="1">ROUND(T_Tiktok_ads[[#This Row],[video_watch_100]]*RANDBETWEEN(8,12)/10,0)</f>
        <v>41910</v>
      </c>
      <c r="AR110" s="4">
        <f ca="1">ROUND(T_Tiktok_ads[[#This Row],[likes]]*RANDBETWEEN(8,12)/10,0)</f>
        <v>7810</v>
      </c>
      <c r="AS110" s="4">
        <f ca="1">ROUND(T_Tiktok_ads[[#This Row],[shares]]*RANDBETWEEN(8,12)/10,0)</f>
        <v>2854</v>
      </c>
      <c r="AT110" s="4">
        <f ca="1">ROUND(T_Tiktok_ads[[#This Row],[comments]]*RANDBETWEEN(8,12)/10,0)</f>
        <v>445</v>
      </c>
      <c r="AV110" s="5">
        <f t="shared" ca="1" si="17"/>
        <v>45090</v>
      </c>
      <c r="AW110">
        <f t="shared" ca="1" si="13"/>
        <v>2</v>
      </c>
      <c r="AX110">
        <f ca="1">ROUND(T_Facebook_Ads115963677175[[#This Row],[impressions]]*RANDBETWEEN(8,12)/10,0)</f>
        <v>36374</v>
      </c>
      <c r="AY110">
        <f ca="1">ROUND(T_Facebook_Ads115963677175[[#This Row],[clicks]]*RANDBETWEEN(8,12)/10,0)</f>
        <v>1412</v>
      </c>
      <c r="AZ110">
        <f ca="1">T_Facebook_Ads115963677175[[#This Row],[spend]]*RANDBETWEEN(8,12)/10</f>
        <v>138.56</v>
      </c>
      <c r="BA110">
        <f ca="1">ROUND(T_Facebook_Ads115963677175[[#This Row],[conversions]]*RANDBETWEEN(8,12)/10,0)</f>
        <v>24</v>
      </c>
      <c r="BB110">
        <f ca="1">ROUND(T_Facebook_Ads115963677175[[#This Row],[video_views]]*RANDBETWEEN(8,12)/10,0)</f>
        <v>5352</v>
      </c>
    </row>
    <row r="111" spans="1:54" x14ac:dyDescent="0.25">
      <c r="A111" s="3">
        <f t="shared" ca="1" si="14"/>
        <v>45104</v>
      </c>
      <c r="B111" s="4" t="s">
        <v>64</v>
      </c>
      <c r="C111" s="4" t="s">
        <v>65</v>
      </c>
      <c r="D111" s="4" t="s">
        <v>66</v>
      </c>
      <c r="E111" s="4" t="s">
        <v>67</v>
      </c>
      <c r="F111" s="4">
        <f ca="1">ROUND(T_Facebook_Ads[[#This Row],[impressions]]*RANDBETWEEN(8,12)/10,0)</f>
        <v>72123</v>
      </c>
      <c r="G111" s="4">
        <v>261</v>
      </c>
      <c r="H111" s="4">
        <f ca="1">T_Facebook_Ads[[#This Row],[spend]]*RANDBETWEEN(8,12)/10</f>
        <v>73.039999999999992</v>
      </c>
      <c r="I111" s="4">
        <f ca="1">ROUND(T_Facebook_Ads[[#This Row],[conversions]]*RANDBETWEEN(8,12)/10,0)</f>
        <v>7</v>
      </c>
      <c r="J111" s="4">
        <f ca="1">ROUND(T_Facebook_Ads[[#This Row],[video_views]]*RANDBETWEEN(8,12)/10,0)</f>
        <v>53424</v>
      </c>
      <c r="K111" s="4">
        <f ca="1">T_Facebook_Ads[[#This Row],[engagement_rate]]*RANDBETWEEN(8,12)/10</f>
        <v>2.8799999999999997E-3</v>
      </c>
      <c r="L111" s="4">
        <f ca="1">ROUND(T_Facebook_Ads[[#This Row],[reach]]*RANDBETWEEN(8,12)/10,0)</f>
        <v>47112</v>
      </c>
      <c r="M111" s="4">
        <f ca="1">T_Facebook_Ads[[#This Row],[frequency]]*RANDBETWEEN(8,12)/10</f>
        <v>1.0980000000000001</v>
      </c>
      <c r="O111" s="3">
        <f t="shared" ca="1" si="15"/>
        <v>45079</v>
      </c>
      <c r="P111" s="4" t="s">
        <v>88</v>
      </c>
      <c r="Q111" s="4" t="s">
        <v>89</v>
      </c>
      <c r="R111" s="4" t="s">
        <v>90</v>
      </c>
      <c r="S111" s="4" t="s">
        <v>59</v>
      </c>
      <c r="T111" s="4">
        <f ca="1">ROUND(_Google_ads[[#This Row],[impressions]]*RANDBETWEEN(8,12)/10,0)</f>
        <v>120110</v>
      </c>
      <c r="U111" s="4">
        <f ca="1">ROUND(_Google_ads[[#This Row],[clicks]]*RANDBETWEEN(8,12)/10,0)</f>
        <v>430</v>
      </c>
      <c r="V111" s="4">
        <f ca="1">_Google_ads[[#This Row],[cost]]*RANDBETWEEN(8,12)/10</f>
        <v>104.96</v>
      </c>
      <c r="W111" s="4">
        <f ca="1">ROUND(_Google_ads[[#This Row],[conversions]]*RANDBETWEEN(8,12)/10,0)</f>
        <v>13</v>
      </c>
      <c r="X111" s="4">
        <f ca="1">ROUND(_Google_ads[[#This Row],[conversion_value]]*RANDBETWEEN(8,12)/10,0)</f>
        <v>560</v>
      </c>
      <c r="Y111" s="4">
        <f ca="1">_Google_ads[[#This Row],[ctr]]*RANDBETWEEN(8,12)/10</f>
        <v>3.96E-3</v>
      </c>
      <c r="Z111" s="4">
        <f ca="1">_Google_ads[[#This Row],[avg_cpc]]*RANDBETWEEN(8,12)/10</f>
        <v>0.32400000000000001</v>
      </c>
      <c r="AA111" s="4">
        <f ca="1">ROUND(_Google_ads[[#This Row],[quality_score]]*RANDBETWEEN(8,12)/10,0)</f>
        <v>6</v>
      </c>
      <c r="AB111" s="4">
        <f ca="1">_Google_ads[[#This Row],[search_impression_share]]*RANDBETWEEN(8,12)/10</f>
        <v>0.38499999999999995</v>
      </c>
      <c r="AD111" s="3">
        <f t="shared" ca="1" si="16"/>
        <v>45087</v>
      </c>
      <c r="AE111" s="4" t="s">
        <v>112</v>
      </c>
      <c r="AF111" s="4" t="s">
        <v>113</v>
      </c>
      <c r="AG111" s="4" t="s">
        <v>114</v>
      </c>
      <c r="AH111" s="4" t="s">
        <v>115</v>
      </c>
      <c r="AI111" s="4">
        <f ca="1">ROUND(T_Tiktok_ads[[#This Row],[impressions]]*RANDBETWEEN(8,12)/10,0)</f>
        <v>347654</v>
      </c>
      <c r="AJ111" s="4">
        <f ca="1">ROUND(T_Tiktok_ads[[#This Row],[clicks]]*RANDBETWEEN(8,12)/10,0)</f>
        <v>6311</v>
      </c>
      <c r="AK111" s="4">
        <v>1089.3</v>
      </c>
      <c r="AL111" s="4">
        <f ca="1">ROUND(T_Tiktok_ads[[#This Row],[conversions]]*RANDBETWEEN(8,12)/10,0)</f>
        <v>98</v>
      </c>
      <c r="AM111" s="4">
        <f ca="1">ROUND(T_Tiktok_ads[[#This Row],[video_views]]*RANDBETWEEN(8,12)/10,0)</f>
        <v>367890</v>
      </c>
      <c r="AN111" s="4">
        <f ca="1">ROUND(T_Tiktok_ads[[#This Row],[video_watch_25]]*RANDBETWEEN(8,12)/10,0)</f>
        <v>355481</v>
      </c>
      <c r="AO111" s="4">
        <f ca="1">ROUND(T_Tiktok_ads[[#This Row],[video_watch_50]]*RANDBETWEEN(8,12)/10,0)</f>
        <v>237890</v>
      </c>
      <c r="AP111" s="4">
        <f ca="1">ROUND(T_Tiktok_ads[[#This Row],[video_watch_75]]*RANDBETWEEN(8,12)/10,0)</f>
        <v>168234</v>
      </c>
      <c r="AQ111" s="4">
        <f ca="1">ROUND(T_Tiktok_ads[[#This Row],[video_watch_100]]*RANDBETWEEN(8,12)/10,0)</f>
        <v>122357</v>
      </c>
      <c r="AR111" s="4">
        <f ca="1">ROUND(T_Tiktok_ads[[#This Row],[likes]]*RANDBETWEEN(8,12)/10,0)</f>
        <v>15387</v>
      </c>
      <c r="AS111" s="4">
        <f ca="1">ROUND(T_Tiktok_ads[[#This Row],[shares]]*RANDBETWEEN(8,12)/10,0)</f>
        <v>4981</v>
      </c>
      <c r="AT111" s="4">
        <f ca="1">ROUND(T_Tiktok_ads[[#This Row],[comments]]*RANDBETWEEN(8,12)/10,0)</f>
        <v>1218</v>
      </c>
      <c r="AV111" s="5">
        <f t="shared" ca="1" si="17"/>
        <v>45094</v>
      </c>
      <c r="AW111">
        <f t="shared" ca="1" si="13"/>
        <v>2</v>
      </c>
      <c r="AX111">
        <f ca="1">ROUND(T_Facebook_Ads115963677175[[#This Row],[impressions]]*RANDBETWEEN(8,12)/10,0)</f>
        <v>86548</v>
      </c>
      <c r="AY111">
        <f ca="1">ROUND(T_Facebook_Ads115963677175[[#This Row],[clicks]]*RANDBETWEEN(8,12)/10,0)</f>
        <v>261</v>
      </c>
      <c r="AZ111">
        <f ca="1">T_Facebook_Ads115963677175[[#This Row],[spend]]*RANDBETWEEN(8,12)/10</f>
        <v>73.039999999999992</v>
      </c>
      <c r="BA111">
        <f ca="1">ROUND(T_Facebook_Ads115963677175[[#This Row],[conversions]]*RANDBETWEEN(8,12)/10,0)</f>
        <v>7</v>
      </c>
      <c r="BB111">
        <f ca="1">ROUND(T_Facebook_Ads115963677175[[#This Row],[video_views]]*RANDBETWEEN(8,12)/10,0)</f>
        <v>42739</v>
      </c>
    </row>
  </sheetData>
  <pageMargins left="0.7" right="0.7" top="0.75" bottom="0.75" header="0.3" footer="0.3"/>
  <pageSetup orientation="portrait" r:id="rId1"/>
  <tableParts count="4">
    <tablePart r:id="rId2"/>
    <tablePart r:id="rId3"/>
    <tablePart r:id="rId4"/>
    <tablePart r:id="rId5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9AB09-E09A-4D79-868D-D17A4853B1AC}">
  <dimension ref="A1:BB111"/>
  <sheetViews>
    <sheetView topLeftCell="AI1" workbookViewId="0">
      <selection activeCell="AY3" sqref="AY3"/>
    </sheetView>
  </sheetViews>
  <sheetFormatPr baseColWidth="10" defaultRowHeight="15" x14ac:dyDescent="0.25"/>
  <cols>
    <col min="2" max="2" width="14.42578125" customWidth="1"/>
    <col min="3" max="3" width="19.85546875" bestFit="1" customWidth="1"/>
    <col min="5" max="5" width="18.28515625" bestFit="1" customWidth="1"/>
    <col min="6" max="6" width="13.7109375" customWidth="1"/>
    <col min="9" max="10" width="13.7109375" customWidth="1"/>
    <col min="11" max="11" width="18.42578125" customWidth="1"/>
    <col min="13" max="13" width="12" customWidth="1"/>
    <col min="16" max="16" width="14.42578125" customWidth="1"/>
    <col min="17" max="17" width="18.5703125" bestFit="1" customWidth="1"/>
    <col min="18" max="18" width="14" customWidth="1"/>
    <col min="19" max="19" width="17.140625" customWidth="1"/>
    <col min="20" max="20" width="13.7109375" customWidth="1"/>
    <col min="21" max="21" width="8.140625" customWidth="1"/>
    <col min="22" max="22" width="6.85546875" customWidth="1"/>
    <col min="23" max="23" width="13.7109375" customWidth="1"/>
    <col min="24" max="24" width="18.42578125" customWidth="1"/>
    <col min="25" max="25" width="6.140625" bestFit="1" customWidth="1"/>
    <col min="26" max="26" width="10.28515625" customWidth="1"/>
    <col min="27" max="27" width="14.85546875" customWidth="1"/>
    <col min="28" max="28" width="25" customWidth="1"/>
    <col min="29" max="29" width="6.85546875" customWidth="1"/>
    <col min="30" max="30" width="8.42578125" bestFit="1" customWidth="1"/>
    <col min="31" max="31" width="14.42578125" customWidth="1"/>
    <col min="32" max="32" width="17.5703125" customWidth="1"/>
    <col min="33" max="33" width="13.140625" customWidth="1"/>
    <col min="34" max="34" width="16.28515625" customWidth="1"/>
    <col min="35" max="35" width="13.7109375" customWidth="1"/>
    <col min="36" max="36" width="8.140625" customWidth="1"/>
    <col min="37" max="37" width="6.85546875" customWidth="1"/>
    <col min="38" max="39" width="13.7109375" customWidth="1"/>
    <col min="40" max="42" width="17" customWidth="1"/>
    <col min="43" max="43" width="18" customWidth="1"/>
    <col min="44" max="44" width="7.140625" customWidth="1"/>
    <col min="45" max="45" width="8.7109375" customWidth="1"/>
    <col min="46" max="46" width="12.42578125" customWidth="1"/>
    <col min="49" max="49" width="14.28515625" customWidth="1"/>
    <col min="50" max="50" width="13.85546875" customWidth="1"/>
    <col min="53" max="53" width="13.7109375" customWidth="1"/>
    <col min="54" max="54" width="14.28515625" customWidth="1"/>
  </cols>
  <sheetData>
    <row r="1" spans="1:54" ht="15.75" thickBot="1" x14ac:dyDescent="0.3">
      <c r="A1" s="2" t="s">
        <v>39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  <c r="O1" s="2" t="s">
        <v>39</v>
      </c>
      <c r="P1" s="1" t="s">
        <v>40</v>
      </c>
      <c r="Q1" s="1" t="s">
        <v>41</v>
      </c>
      <c r="R1" s="1" t="s">
        <v>68</v>
      </c>
      <c r="S1" s="1" t="s">
        <v>69</v>
      </c>
      <c r="T1" s="1" t="s">
        <v>44</v>
      </c>
      <c r="U1" s="1" t="s">
        <v>45</v>
      </c>
      <c r="V1" s="1" t="s">
        <v>70</v>
      </c>
      <c r="W1" s="1" t="s">
        <v>47</v>
      </c>
      <c r="X1" s="1" t="s">
        <v>71</v>
      </c>
      <c r="Y1" s="1" t="s">
        <v>72</v>
      </c>
      <c r="Z1" s="1" t="s">
        <v>73</v>
      </c>
      <c r="AA1" s="1" t="s">
        <v>74</v>
      </c>
      <c r="AB1" s="1" t="s">
        <v>75</v>
      </c>
      <c r="AD1" s="2" t="s">
        <v>39</v>
      </c>
      <c r="AE1" s="1" t="s">
        <v>40</v>
      </c>
      <c r="AF1" s="1" t="s">
        <v>41</v>
      </c>
      <c r="AG1" s="1" t="s">
        <v>91</v>
      </c>
      <c r="AH1" s="1" t="s">
        <v>92</v>
      </c>
      <c r="AI1" s="1" t="s">
        <v>44</v>
      </c>
      <c r="AJ1" s="1" t="s">
        <v>45</v>
      </c>
      <c r="AK1" s="1" t="s">
        <v>70</v>
      </c>
      <c r="AL1" s="1" t="s">
        <v>47</v>
      </c>
      <c r="AM1" s="1" t="s">
        <v>48</v>
      </c>
      <c r="AN1" s="1" t="s">
        <v>93</v>
      </c>
      <c r="AO1" s="1" t="s">
        <v>94</v>
      </c>
      <c r="AP1" s="1" t="s">
        <v>95</v>
      </c>
      <c r="AQ1" s="1" t="s">
        <v>96</v>
      </c>
      <c r="AR1" s="1" t="s">
        <v>97</v>
      </c>
      <c r="AS1" s="1" t="s">
        <v>98</v>
      </c>
      <c r="AT1" s="1" t="s">
        <v>99</v>
      </c>
      <c r="AV1" t="s">
        <v>39</v>
      </c>
      <c r="AW1" t="s">
        <v>40</v>
      </c>
      <c r="AX1" t="s">
        <v>44</v>
      </c>
      <c r="AY1" t="s">
        <v>45</v>
      </c>
      <c r="AZ1" t="s">
        <v>46</v>
      </c>
      <c r="BA1" t="s">
        <v>47</v>
      </c>
      <c r="BB1" t="s">
        <v>48</v>
      </c>
    </row>
    <row r="2" spans="1:54" ht="15.75" thickBot="1" x14ac:dyDescent="0.3">
      <c r="A2" s="3">
        <f t="shared" ref="A2:A33" ca="1" si="0">DATE(2023,7,RANDBETWEEN(1,31))</f>
        <v>45110</v>
      </c>
      <c r="B2" s="4" t="s">
        <v>52</v>
      </c>
      <c r="C2" s="4" t="s">
        <v>53</v>
      </c>
      <c r="D2" s="4" t="s">
        <v>54</v>
      </c>
      <c r="E2" s="4" t="s">
        <v>55</v>
      </c>
      <c r="F2" s="4">
        <f ca="1">ROUND(T_Facebook_Ads[[#This Row],[impressions]]*RANDBETWEEN(8,12)/10,0)</f>
        <v>54748</v>
      </c>
      <c r="G2" s="4">
        <f ca="1">ROUND(T_Facebook_Ads[[#This Row],[clicks]]*RANDBETWEEN(8,12)/10,0)</f>
        <v>1070</v>
      </c>
      <c r="H2" s="4">
        <f ca="1">T_Facebook_Ads[[#This Row],[spend]]*RANDBETWEEN(8,12)/10</f>
        <v>114.75</v>
      </c>
      <c r="I2" s="4">
        <f ca="1">ROUND(T_Facebook_Ads[[#This Row],[conversions]]*RANDBETWEEN(8,12)/10,0)</f>
        <v>14</v>
      </c>
      <c r="J2" s="4">
        <f ca="1">ROUND(T_Facebook_Ads[[#This Row],[video_views]]*RANDBETWEEN(8,12)/10,0)</f>
        <v>9057</v>
      </c>
      <c r="K2" s="4">
        <f ca="1">T_Facebook_Ads[[#This Row],[engagement_rate]]*RANDBETWEEN(8,12)/10</f>
        <v>2.145E-2</v>
      </c>
      <c r="L2" s="4">
        <f ca="1">ROUND(T_Facebook_Ads[[#This Row],[reach]]*RANDBETWEEN(8,12)/10,0)</f>
        <v>45881</v>
      </c>
      <c r="M2" s="4">
        <f ca="1">T_Facebook_Ads[[#This Row],[frequency]]*RANDBETWEEN(8,12)/10</f>
        <v>1.3089999999999999</v>
      </c>
      <c r="O2" s="3">
        <f t="shared" ref="O2:O33" ca="1" si="1">DATE(2023,7,RANDBETWEEN(1,31))</f>
        <v>45130</v>
      </c>
      <c r="P2" s="4" t="s">
        <v>76</v>
      </c>
      <c r="Q2" s="4" t="s">
        <v>77</v>
      </c>
      <c r="R2" s="4" t="s">
        <v>78</v>
      </c>
      <c r="S2" s="4" t="s">
        <v>79</v>
      </c>
      <c r="T2" s="4">
        <f ca="1">ROUND(_Google_ads[[#This Row],[impressions]]*RANDBETWEEN(8,12)/10,0)</f>
        <v>18765</v>
      </c>
      <c r="U2" s="4">
        <f ca="1">ROUND(_Google_ads[[#This Row],[clicks]]*RANDBETWEEN(8,12)/10,0)</f>
        <v>1234</v>
      </c>
      <c r="V2" s="4">
        <f ca="1">_Google_ads[[#This Row],[cost]]*RANDBETWEEN(8,12)/10</f>
        <v>234.5</v>
      </c>
      <c r="W2" s="4">
        <f ca="1">ROUND(_Google_ads[[#This Row],[conversions]]*RANDBETWEEN(8,12)/10,0)</f>
        <v>50</v>
      </c>
      <c r="X2" s="4">
        <f ca="1">ROUND(_Google_ads[[#This Row],[conversion_value]]*RANDBETWEEN(8,12)/10,0)</f>
        <v>1800</v>
      </c>
      <c r="Y2" s="4">
        <f ca="1">_Google_ads[[#This Row],[ctr]]*RANDBETWEEN(8,12)/10</f>
        <v>4.734E-2</v>
      </c>
      <c r="Z2" s="4">
        <f ca="1">_Google_ads[[#This Row],[avg_cpc]]*RANDBETWEEN(8,12)/10</f>
        <v>0.152</v>
      </c>
      <c r="AA2" s="4">
        <f ca="1">ROUND(_Google_ads[[#This Row],[quality_score]]*RANDBETWEEN(8,12)/10,0)</f>
        <v>8</v>
      </c>
      <c r="AB2" s="4">
        <f ca="1">_Google_ads[[#This Row],[search_impression_share]]*RANDBETWEEN(8,12)/10</f>
        <v>0.92000000000000015</v>
      </c>
      <c r="AD2" s="3">
        <f t="shared" ref="AD2:AD33" ca="1" si="2">DATE(2023,7,RANDBETWEEN(1,31))</f>
        <v>45136</v>
      </c>
      <c r="AE2" s="4" t="s">
        <v>100</v>
      </c>
      <c r="AF2" s="4" t="s">
        <v>101</v>
      </c>
      <c r="AG2" s="4" t="s">
        <v>102</v>
      </c>
      <c r="AH2" s="4" t="s">
        <v>103</v>
      </c>
      <c r="AI2" s="4">
        <f ca="1">ROUND(T_Tiktok_ads[[#This Row],[impressions]]*RANDBETWEEN(8,12)/10,0)</f>
        <v>187654</v>
      </c>
      <c r="AJ2" s="4">
        <f ca="1">ROUND(T_Tiktok_ads[[#This Row],[clicks]]*RANDBETWEEN(8,12)/10,0)</f>
        <v>3802</v>
      </c>
      <c r="AK2" s="4">
        <f ca="1">T_Tiktok_ads[[#This Row],[cost]]*RANDBETWEEN(8,12)/10</f>
        <v>502.37</v>
      </c>
      <c r="AL2" s="4">
        <f ca="1">ROUND(T_Tiktok_ads[[#This Row],[conversions]]*RANDBETWEEN(8,12)/10,0)</f>
        <v>31</v>
      </c>
      <c r="AM2" s="4">
        <f ca="1">ROUND(T_Tiktok_ads[[#This Row],[video_views]]*RANDBETWEEN(8,12)/10,0)</f>
        <v>218057</v>
      </c>
      <c r="AN2" s="4">
        <f ca="1">ROUND(T_Tiktok_ads[[#This Row],[video_watch_25]]*RANDBETWEEN(8,12)/10,0)</f>
        <v>187481</v>
      </c>
      <c r="AO2" s="4">
        <f ca="1">ROUND(T_Tiktok_ads[[#This Row],[video_watch_50]]*RANDBETWEEN(8,12)/10,0)</f>
        <v>88411</v>
      </c>
      <c r="AP2" s="4">
        <f ca="1">ROUND(T_Tiktok_ads[[#This Row],[video_watch_75]]*RANDBETWEEN(8,12)/10,0)</f>
        <v>73957</v>
      </c>
      <c r="AQ2" s="4">
        <f ca="1">ROUND(T_Tiktok_ads[[#This Row],[video_watch_100]]*RANDBETWEEN(8,12)/10,0)</f>
        <v>40711</v>
      </c>
      <c r="AR2" s="4">
        <f ca="1">ROUND(T_Tiktok_ads[[#This Row],[likes]]*RANDBETWEEN(8,12)/10,0)</f>
        <v>8923</v>
      </c>
      <c r="AS2" s="4">
        <f ca="1">ROUND(T_Tiktok_ads[[#This Row],[shares]]*RANDBETWEEN(8,12)/10,0)</f>
        <v>2111</v>
      </c>
      <c r="AT2" s="4">
        <f ca="1">ROUND(T_Tiktok_ads[[#This Row],[comments]]*RANDBETWEEN(8,12)/10,0)</f>
        <v>624</v>
      </c>
      <c r="AV2" s="3">
        <f t="shared" ref="AV2:AV33" ca="1" si="3">DATE(2023,7,RANDBETWEEN(1,31))</f>
        <v>45137</v>
      </c>
      <c r="AW2">
        <f ca="1">RANDBETWEEN(1,8)</f>
        <v>2</v>
      </c>
      <c r="AX2">
        <f ca="1">ROUND(T_Facebook_Ads11596367717579[[#This Row],[impressions]]*RANDBETWEEN(8,12)/10,0)</f>
        <v>65698</v>
      </c>
      <c r="AY2">
        <f ca="1">ROUND(T_Facebook_Ads11596367717579[[#This Row],[clicks]]*RANDBETWEEN(8,12)/10,0)</f>
        <v>856</v>
      </c>
      <c r="AZ2">
        <f ca="1">T_Facebook_Ads11596367717579[[#This Row],[spend]]*RANDBETWEEN(8,12)/10</f>
        <v>114.75</v>
      </c>
      <c r="BA2">
        <f ca="1">ROUND(T_Facebook_Ads11596367717579[[#This Row],[conversions]]*RANDBETWEEN(8,12)/10,0)</f>
        <v>13</v>
      </c>
      <c r="BB2">
        <f ca="1">ROUND(T_Facebook_Ads11596367717579[[#This Row],[video_views]]*RANDBETWEEN(8,12)/10,0)</f>
        <v>9057</v>
      </c>
    </row>
    <row r="3" spans="1:54" ht="15.75" thickBot="1" x14ac:dyDescent="0.3">
      <c r="A3" s="3">
        <f t="shared" ca="1" si="0"/>
        <v>45129</v>
      </c>
      <c r="B3" s="4" t="s">
        <v>56</v>
      </c>
      <c r="C3" s="4" t="s">
        <v>57</v>
      </c>
      <c r="D3" s="4" t="s">
        <v>58</v>
      </c>
      <c r="E3" s="4" t="s">
        <v>59</v>
      </c>
      <c r="F3" s="4">
        <f ca="1">ROUND(T_Facebook_Ads[[#This Row],[impressions]]*RANDBETWEEN(8,12)/10,0)</f>
        <v>13702</v>
      </c>
      <c r="G3" s="4">
        <v>567</v>
      </c>
      <c r="H3" s="4">
        <f ca="1">T_Facebook_Ads[[#This Row],[spend]]*RANDBETWEEN(8,12)/10</f>
        <v>258.96000000000004</v>
      </c>
      <c r="I3" s="4">
        <f ca="1">ROUND(T_Facebook_Ads[[#This Row],[conversions]]*RANDBETWEEN(8,12)/10,0)</f>
        <v>37</v>
      </c>
      <c r="J3" s="4">
        <f ca="1">ROUND(T_Facebook_Ads[[#This Row],[video_views]]*RANDBETWEEN(8,12)/10,0)</f>
        <v>987</v>
      </c>
      <c r="K3" s="4">
        <f ca="1">T_Facebook_Ads[[#This Row],[engagement_rate]]*RANDBETWEEN(8,12)/10</f>
        <v>3.6400000000000002E-2</v>
      </c>
      <c r="L3" s="4">
        <f ca="1">ROUND(T_Facebook_Ads[[#This Row],[reach]]*RANDBETWEEN(8,12)/10,0)</f>
        <v>9876</v>
      </c>
      <c r="M3" s="4">
        <f ca="1">T_Facebook_Ads[[#This Row],[frequency]]*RANDBETWEEN(8,12)/10</f>
        <v>1.26</v>
      </c>
      <c r="O3" s="3">
        <f t="shared" ca="1" si="1"/>
        <v>45108</v>
      </c>
      <c r="P3" s="4" t="s">
        <v>80</v>
      </c>
      <c r="Q3" s="4" t="s">
        <v>81</v>
      </c>
      <c r="R3" s="4" t="s">
        <v>82</v>
      </c>
      <c r="S3" s="4" t="s">
        <v>83</v>
      </c>
      <c r="T3" s="4">
        <f ca="1">ROUND(_Google_ads[[#This Row],[impressions]]*RANDBETWEEN(8,12)/10,0)</f>
        <v>54814</v>
      </c>
      <c r="U3" s="4">
        <f ca="1">ROUND(_Google_ads[[#This Row],[clicks]]*RANDBETWEEN(8,12)/10,0)</f>
        <v>1068</v>
      </c>
      <c r="V3" s="4">
        <f ca="1">_Google_ads[[#This Row],[cost]]*RANDBETWEEN(8,12)/10</f>
        <v>681.3599999999999</v>
      </c>
      <c r="W3" s="4">
        <f ca="1">ROUND(_Google_ads[[#This Row],[conversions]]*RANDBETWEEN(8,12)/10,0)</f>
        <v>28</v>
      </c>
      <c r="X3" s="4">
        <f ca="1">ROUND(_Google_ads[[#This Row],[conversion_value]]*RANDBETWEEN(8,12)/10,0)</f>
        <v>1035</v>
      </c>
      <c r="Y3" s="4">
        <f ca="1">_Google_ads[[#This Row],[ctr]]*RANDBETWEEN(8,12)/10</f>
        <v>2.145E-2</v>
      </c>
      <c r="Z3" s="4">
        <f ca="1">_Google_ads[[#This Row],[avg_cpc]]*RANDBETWEEN(8,12)/10</f>
        <v>0.64</v>
      </c>
      <c r="AA3" s="4">
        <f ca="1">ROUND(_Google_ads[[#This Row],[quality_score]]*RANDBETWEEN(8,12)/10,0)</f>
        <v>8</v>
      </c>
      <c r="AB3" s="4">
        <f ca="1">_Google_ads[[#This Row],[search_impression_share]]*RANDBETWEEN(8,12)/10</f>
        <v>0.40499999999999997</v>
      </c>
      <c r="AD3" s="3">
        <f t="shared" ca="1" si="2"/>
        <v>45112</v>
      </c>
      <c r="AE3" s="4" t="s">
        <v>104</v>
      </c>
      <c r="AF3" s="4" t="s">
        <v>105</v>
      </c>
      <c r="AG3" s="4" t="s">
        <v>106</v>
      </c>
      <c r="AH3" s="4" t="s">
        <v>107</v>
      </c>
      <c r="AI3" s="4">
        <f ca="1">ROUND(T_Tiktok_ads[[#This Row],[impressions]]*RANDBETWEEN(8,12)/10,0)</f>
        <v>111110</v>
      </c>
      <c r="AJ3" s="4">
        <f ca="1">ROUND(T_Tiktok_ads[[#This Row],[clicks]]*RANDBETWEEN(8,12)/10,0)</f>
        <v>2580</v>
      </c>
      <c r="AK3" s="4">
        <v>678.9</v>
      </c>
      <c r="AL3" s="4">
        <f ca="1">ROUND(T_Tiktok_ads[[#This Row],[conversions]]*RANDBETWEEN(8,12)/10,0)</f>
        <v>60</v>
      </c>
      <c r="AM3" s="4">
        <f ca="1">ROUND(T_Tiktok_ads[[#This Row],[video_views]]*RANDBETWEEN(8,12)/10,0)</f>
        <v>107081</v>
      </c>
      <c r="AN3" s="4">
        <f ca="1">ROUND(T_Tiktok_ads[[#This Row],[video_watch_25]]*RANDBETWEEN(8,12)/10,0)</f>
        <v>67234</v>
      </c>
      <c r="AO3" s="4">
        <f ca="1">ROUND(T_Tiktok_ads[[#This Row],[video_watch_50]]*RANDBETWEEN(8,12)/10,0)</f>
        <v>49757</v>
      </c>
      <c r="AP3" s="4">
        <f ca="1">ROUND(T_Tiktok_ads[[#This Row],[video_watch_75]]*RANDBETWEEN(8,12)/10,0)</f>
        <v>37657</v>
      </c>
      <c r="AQ3" s="4">
        <f ca="1">ROUND(T_Tiktok_ads[[#This Row],[video_watch_100]]*RANDBETWEEN(8,12)/10,0)</f>
        <v>21110</v>
      </c>
      <c r="AR3" s="4">
        <f ca="1">ROUND(T_Tiktok_ads[[#This Row],[likes]]*RANDBETWEEN(8,12)/10,0)</f>
        <v>4567</v>
      </c>
      <c r="AS3" s="4">
        <f ca="1">ROUND(T_Tiktok_ads[[#This Row],[shares]]*RANDBETWEEN(8,12)/10,0)</f>
        <v>1357</v>
      </c>
      <c r="AT3" s="4">
        <f ca="1">ROUND(T_Tiktok_ads[[#This Row],[comments]]*RANDBETWEEN(8,12)/10,0)</f>
        <v>187</v>
      </c>
      <c r="AV3" s="5">
        <f t="shared" ca="1" si="3"/>
        <v>45126</v>
      </c>
      <c r="AW3">
        <f t="shared" ref="AW3:AW66" ca="1" si="4">RANDBETWEEN(1,8)</f>
        <v>4</v>
      </c>
      <c r="AX3">
        <f ca="1">ROUND(T_Facebook_Ads11596367717579[[#This Row],[impressions]]*RANDBETWEEN(8,12)/10,0)</f>
        <v>16442</v>
      </c>
      <c r="AY3">
        <f ca="1">ROUND(T_Facebook_Ads11596367717579[[#This Row],[clicks]]*RANDBETWEEN(8,12)/10,0)</f>
        <v>680</v>
      </c>
      <c r="AZ3">
        <f ca="1">T_Facebook_Ads11596367717579[[#This Row],[spend]]*RANDBETWEEN(8,12)/10</f>
        <v>207.16800000000003</v>
      </c>
      <c r="BA3">
        <f ca="1">ROUND(T_Facebook_Ads11596367717579[[#This Row],[conversions]]*RANDBETWEEN(8,12)/10,0)</f>
        <v>30</v>
      </c>
      <c r="BB3">
        <f ca="1">ROUND(T_Facebook_Ads11596367717579[[#This Row],[video_views]]*RANDBETWEEN(8,12)/10,0)</f>
        <v>1086</v>
      </c>
    </row>
    <row r="4" spans="1:54" ht="15.75" thickBot="1" x14ac:dyDescent="0.3">
      <c r="A4" s="3">
        <f t="shared" ca="1" si="0"/>
        <v>45121</v>
      </c>
      <c r="B4" s="4" t="s">
        <v>60</v>
      </c>
      <c r="C4" s="4" t="s">
        <v>61</v>
      </c>
      <c r="D4" s="4" t="s">
        <v>62</v>
      </c>
      <c r="E4" s="4" t="s">
        <v>63</v>
      </c>
      <c r="F4" s="4">
        <f ca="1">ROUND(T_Facebook_Ads[[#This Row],[impressions]]*RANDBETWEEN(8,12)/10,0)</f>
        <v>27654</v>
      </c>
      <c r="G4" s="4">
        <v>1234</v>
      </c>
      <c r="H4" s="4">
        <f ca="1">T_Facebook_Ads[[#This Row],[spend]]*RANDBETWEEN(8,12)/10</f>
        <v>208.89000000000001</v>
      </c>
      <c r="I4" s="4">
        <f ca="1">ROUND(T_Facebook_Ads[[#This Row],[conversions]]*RANDBETWEEN(8,12)/10,0)</f>
        <v>21</v>
      </c>
      <c r="J4" s="4">
        <f ca="1">ROUND(T_Facebook_Ads[[#This Row],[video_views]]*RANDBETWEEN(8,12)/10,0)</f>
        <v>4567</v>
      </c>
      <c r="K4" s="4">
        <f ca="1">T_Facebook_Ads[[#This Row],[engagement_rate]]*RANDBETWEEN(8,12)/10</f>
        <v>4.2840000000000003E-2</v>
      </c>
      <c r="L4" s="4">
        <f ca="1">ROUND(T_Facebook_Ads[[#This Row],[reach]]*RANDBETWEEN(8,12)/10,0)</f>
        <v>31827</v>
      </c>
      <c r="M4" s="4">
        <f ca="1">T_Facebook_Ads[[#This Row],[frequency]]*RANDBETWEEN(8,12)/10</f>
        <v>1.3089999999999999</v>
      </c>
      <c r="O4" s="3">
        <f t="shared" ca="1" si="1"/>
        <v>45136</v>
      </c>
      <c r="P4" s="4" t="s">
        <v>84</v>
      </c>
      <c r="Q4" s="4" t="s">
        <v>85</v>
      </c>
      <c r="R4" s="4" t="s">
        <v>86</v>
      </c>
      <c r="S4" s="4" t="s">
        <v>87</v>
      </c>
      <c r="T4" s="4">
        <f ca="1">ROUND(_Google_ads[[#This Row],[impressions]]*RANDBETWEEN(8,12)/10,0)</f>
        <v>61101</v>
      </c>
      <c r="U4" s="4">
        <f ca="1">ROUND(_Google_ads[[#This Row],[clicks]]*RANDBETWEEN(8,12)/10,0)</f>
        <v>2345</v>
      </c>
      <c r="V4" s="4">
        <f ca="1">_Google_ads[[#This Row],[cost]]*RANDBETWEEN(8,12)/10</f>
        <v>423.6</v>
      </c>
      <c r="W4" s="4">
        <f ca="1">ROUND(_Google_ads[[#This Row],[conversions]]*RANDBETWEEN(8,12)/10,0)</f>
        <v>67</v>
      </c>
      <c r="X4" s="4">
        <f ca="1">ROUND(_Google_ads[[#This Row],[conversion_value]]*RANDBETWEEN(8,12)/10,0)</f>
        <v>2680</v>
      </c>
      <c r="Y4" s="4">
        <f ca="1">_Google_ads[[#This Row],[ctr]]*RANDBETWEEN(8,12)/10</f>
        <v>3.7950000000000005E-2</v>
      </c>
      <c r="Z4" s="4">
        <f ca="1">_Google_ads[[#This Row],[avg_cpc]]*RANDBETWEEN(8,12)/10</f>
        <v>0.19800000000000001</v>
      </c>
      <c r="AA4" s="4">
        <f ca="1">ROUND(_Google_ads[[#This Row],[quality_score]]*RANDBETWEEN(8,12)/10,0)</f>
        <v>9</v>
      </c>
      <c r="AB4" s="4">
        <f ca="1">_Google_ads[[#This Row],[search_impression_share]]*RANDBETWEEN(8,12)/10</f>
        <v>0.53600000000000003</v>
      </c>
      <c r="AD4" s="3">
        <f t="shared" ca="1" si="2"/>
        <v>45128</v>
      </c>
      <c r="AE4" s="4" t="s">
        <v>108</v>
      </c>
      <c r="AF4" s="4" t="s">
        <v>109</v>
      </c>
      <c r="AG4" s="4" t="s">
        <v>110</v>
      </c>
      <c r="AH4" s="4" t="s">
        <v>111</v>
      </c>
      <c r="AI4" s="4">
        <f ca="1">ROUND(T_Tiktok_ads[[#This Row],[impressions]]*RANDBETWEEN(8,12)/10,0)</f>
        <v>170311</v>
      </c>
      <c r="AJ4" s="4">
        <f ca="1">ROUND(T_Tiktok_ads[[#This Row],[clicks]]*RANDBETWEEN(8,12)/10,0)</f>
        <v>2890</v>
      </c>
      <c r="AK4" s="4">
        <v>345.6</v>
      </c>
      <c r="AL4" s="4">
        <f ca="1">ROUND(T_Tiktok_ads[[#This Row],[conversions]]*RANDBETWEEN(8,12)/10,0)</f>
        <v>21</v>
      </c>
      <c r="AM4" s="4">
        <f ca="1">ROUND(T_Tiktok_ads[[#This Row],[video_views]]*RANDBETWEEN(8,12)/10,0)</f>
        <v>160246</v>
      </c>
      <c r="AN4" s="4">
        <f ca="1">ROUND(T_Tiktok_ads[[#This Row],[video_watch_25]]*RANDBETWEEN(8,12)/10,0)</f>
        <v>123580</v>
      </c>
      <c r="AO4" s="4">
        <f ca="1">ROUND(T_Tiktok_ads[[#This Row],[video_watch_50]]*RANDBETWEEN(8,12)/10,0)</f>
        <v>107081</v>
      </c>
      <c r="AP4" s="4">
        <f ca="1">ROUND(T_Tiktok_ads[[#This Row],[video_watch_75]]*RANDBETWEEN(8,12)/10,0)</f>
        <v>62468</v>
      </c>
      <c r="AQ4" s="4">
        <f ca="1">ROUND(T_Tiktok_ads[[#This Row],[video_watch_100]]*RANDBETWEEN(8,12)/10,0)</f>
        <v>38024</v>
      </c>
      <c r="AR4" s="4">
        <f ca="1">ROUND(T_Tiktok_ads[[#This Row],[likes]]*RANDBETWEEN(8,12)/10,0)</f>
        <v>7468</v>
      </c>
      <c r="AS4" s="4">
        <f ca="1">ROUND(T_Tiktok_ads[[#This Row],[shares]]*RANDBETWEEN(8,12)/10,0)</f>
        <v>1890</v>
      </c>
      <c r="AT4" s="4">
        <f ca="1">ROUND(T_Tiktok_ads[[#This Row],[comments]]*RANDBETWEEN(8,12)/10,0)</f>
        <v>547</v>
      </c>
      <c r="AV4" s="5">
        <f t="shared" ca="1" si="3"/>
        <v>45110</v>
      </c>
      <c r="AW4">
        <f t="shared" ca="1" si="4"/>
        <v>6</v>
      </c>
      <c r="AX4">
        <f ca="1">ROUND(T_Facebook_Ads11596367717579[[#This Row],[impressions]]*RANDBETWEEN(8,12)/10,0)</f>
        <v>24889</v>
      </c>
      <c r="AY4">
        <f ca="1">ROUND(T_Facebook_Ads11596367717579[[#This Row],[clicks]]*RANDBETWEEN(8,12)/10,0)</f>
        <v>1111</v>
      </c>
      <c r="AZ4">
        <f ca="1">T_Facebook_Ads11596367717579[[#This Row],[spend]]*RANDBETWEEN(8,12)/10</f>
        <v>229.779</v>
      </c>
      <c r="BA4">
        <f ca="1">ROUND(T_Facebook_Ads11596367717579[[#This Row],[conversions]]*RANDBETWEEN(8,12)/10,0)</f>
        <v>19</v>
      </c>
      <c r="BB4">
        <f ca="1">ROUND(T_Facebook_Ads11596367717579[[#This Row],[video_views]]*RANDBETWEEN(8,12)/10,0)</f>
        <v>5480</v>
      </c>
    </row>
    <row r="5" spans="1:54" ht="15.75" thickBot="1" x14ac:dyDescent="0.3">
      <c r="A5" s="3">
        <f t="shared" ca="1" si="0"/>
        <v>45110</v>
      </c>
      <c r="B5" s="4" t="s">
        <v>52</v>
      </c>
      <c r="C5" s="4" t="s">
        <v>53</v>
      </c>
      <c r="D5" s="4" t="s">
        <v>54</v>
      </c>
      <c r="E5" s="4" t="s">
        <v>55</v>
      </c>
      <c r="F5" s="4">
        <f ca="1">ROUND(T_Facebook_Ads[[#This Row],[impressions]]*RANDBETWEEN(8,12)/10,0)</f>
        <v>33876</v>
      </c>
      <c r="G5" s="4">
        <v>823</v>
      </c>
      <c r="H5" s="4">
        <f ca="1">T_Facebook_Ads[[#This Row],[spend]]*RANDBETWEEN(8,12)/10</f>
        <v>141.84</v>
      </c>
      <c r="I5" s="4">
        <f ca="1">ROUND(T_Facebook_Ads[[#This Row],[conversions]]*RANDBETWEEN(8,12)/10,0)</f>
        <v>8</v>
      </c>
      <c r="J5" s="4">
        <f ca="1">ROUND(T_Facebook_Ads[[#This Row],[video_views]]*RANDBETWEEN(8,12)/10,0)</f>
        <v>9468</v>
      </c>
      <c r="K5" s="4">
        <f ca="1">T_Facebook_Ads[[#This Row],[engagement_rate]]*RANDBETWEEN(8,12)/10</f>
        <v>1.9400000000000001E-2</v>
      </c>
      <c r="L5" s="4">
        <f ca="1">ROUND(T_Facebook_Ads[[#This Row],[reach]]*RANDBETWEEN(8,12)/10,0)</f>
        <v>33110</v>
      </c>
      <c r="M5" s="4">
        <f ca="1">T_Facebook_Ads[[#This Row],[frequency]]*RANDBETWEEN(8,12)/10</f>
        <v>1.38</v>
      </c>
      <c r="O5" s="3">
        <f t="shared" ca="1" si="1"/>
        <v>45134</v>
      </c>
      <c r="P5" s="4" t="s">
        <v>76</v>
      </c>
      <c r="Q5" s="4" t="s">
        <v>77</v>
      </c>
      <c r="R5" s="4" t="s">
        <v>78</v>
      </c>
      <c r="S5" s="4" t="s">
        <v>79</v>
      </c>
      <c r="T5" s="4">
        <f ca="1">ROUND(_Google_ads[[#This Row],[impressions]]*RANDBETWEEN(8,12)/10,0)</f>
        <v>24567</v>
      </c>
      <c r="U5" s="4">
        <f ca="1">ROUND(_Google_ads[[#This Row],[clicks]]*RANDBETWEEN(8,12)/10,0)</f>
        <v>1418</v>
      </c>
      <c r="V5" s="4">
        <f ca="1">_Google_ads[[#This Row],[cost]]*RANDBETWEEN(8,12)/10</f>
        <v>196.48</v>
      </c>
      <c r="W5" s="4">
        <f ca="1">ROUND(_Google_ads[[#This Row],[conversions]]*RANDBETWEEN(8,12)/10,0)</f>
        <v>38</v>
      </c>
      <c r="X5" s="4">
        <f ca="1">ROUND(_Google_ads[[#This Row],[conversion_value]]*RANDBETWEEN(8,12)/10,0)</f>
        <v>1920</v>
      </c>
      <c r="Y5" s="4">
        <f ca="1">_Google_ads[[#This Row],[ctr]]*RANDBETWEEN(8,12)/10</f>
        <v>5.7750000000000003E-2</v>
      </c>
      <c r="Z5" s="4">
        <f ca="1">_Google_ads[[#This Row],[avg_cpc]]*RANDBETWEEN(8,12)/10</f>
        <v>0.152</v>
      </c>
      <c r="AA5" s="4">
        <f ca="1">ROUND(_Google_ads[[#This Row],[quality_score]]*RANDBETWEEN(8,12)/10,0)</f>
        <v>7</v>
      </c>
      <c r="AB5" s="4">
        <f ca="1">_Google_ads[[#This Row],[search_impression_share]]*RANDBETWEEN(8,12)/10</f>
        <v>0.90999999999999992</v>
      </c>
      <c r="AD5" s="3">
        <f t="shared" ca="1" si="2"/>
        <v>45127</v>
      </c>
      <c r="AE5" s="4" t="s">
        <v>100</v>
      </c>
      <c r="AF5" s="4" t="s">
        <v>101</v>
      </c>
      <c r="AG5" s="4" t="s">
        <v>102</v>
      </c>
      <c r="AH5" s="4" t="s">
        <v>103</v>
      </c>
      <c r="AI5" s="4">
        <f ca="1">ROUND(T_Tiktok_ads[[#This Row],[impressions]]*RANDBETWEEN(8,12)/10,0)</f>
        <v>270246</v>
      </c>
      <c r="AJ5" s="4">
        <f ca="1">ROUND(T_Tiktok_ads[[#This Row],[clicks]]*RANDBETWEEN(8,12)/10,0)</f>
        <v>2942</v>
      </c>
      <c r="AK5" s="4">
        <v>478.9</v>
      </c>
      <c r="AL5" s="4">
        <f ca="1">ROUND(T_Tiktok_ads[[#This Row],[conversions]]*RANDBETWEEN(8,12)/10,0)</f>
        <v>43</v>
      </c>
      <c r="AM5" s="4">
        <f ca="1">ROUND(T_Tiktok_ads[[#This Row],[video_views]]*RANDBETWEEN(8,12)/10,0)</f>
        <v>248814</v>
      </c>
      <c r="AN5" s="4">
        <f ca="1">ROUND(T_Tiktok_ads[[#This Row],[video_watch_25]]*RANDBETWEEN(8,12)/10,0)</f>
        <v>130765</v>
      </c>
      <c r="AO5" s="4">
        <f ca="1">ROUND(T_Tiktok_ads[[#This Row],[video_watch_50]]*RANDBETWEEN(8,12)/10,0)</f>
        <v>92111</v>
      </c>
      <c r="AP5" s="4">
        <f ca="1">ROUND(T_Tiktok_ads[[#This Row],[video_watch_75]]*RANDBETWEEN(8,12)/10,0)</f>
        <v>70234</v>
      </c>
      <c r="AQ5" s="4">
        <f ca="1">ROUND(T_Tiktok_ads[[#This Row],[video_watch_100]]*RANDBETWEEN(8,12)/10,0)</f>
        <v>56681</v>
      </c>
      <c r="AR5" s="4">
        <f ca="1">ROUND(T_Tiktok_ads[[#This Row],[likes]]*RANDBETWEEN(8,12)/10,0)</f>
        <v>11081</v>
      </c>
      <c r="AS5" s="4">
        <f ca="1">ROUND(T_Tiktok_ads[[#This Row],[shares]]*RANDBETWEEN(8,12)/10,0)</f>
        <v>1965</v>
      </c>
      <c r="AT5" s="4">
        <f ca="1">ROUND(T_Tiktok_ads[[#This Row],[comments]]*RANDBETWEEN(8,12)/10,0)</f>
        <v>589</v>
      </c>
      <c r="AV5" s="5">
        <f t="shared" ca="1" si="3"/>
        <v>45131</v>
      </c>
      <c r="AW5">
        <f ca="1">RANDBETWEEN(1,8)</f>
        <v>2</v>
      </c>
      <c r="AX5">
        <f ca="1">ROUND(T_Facebook_Ads11596367717579[[#This Row],[impressions]]*RANDBETWEEN(8,12)/10,0)</f>
        <v>37264</v>
      </c>
      <c r="AY5">
        <f ca="1">ROUND(T_Facebook_Ads11596367717579[[#This Row],[clicks]]*RANDBETWEEN(8,12)/10,0)</f>
        <v>988</v>
      </c>
      <c r="AZ5">
        <f ca="1">T_Facebook_Ads11596367717579[[#This Row],[spend]]*RANDBETWEEN(8,12)/10</f>
        <v>156.024</v>
      </c>
      <c r="BA5">
        <f ca="1">ROUND(T_Facebook_Ads11596367717579[[#This Row],[conversions]]*RANDBETWEEN(8,12)/10,0)</f>
        <v>10</v>
      </c>
      <c r="BB5">
        <f ca="1">ROUND(T_Facebook_Ads11596367717579[[#This Row],[video_views]]*RANDBETWEEN(8,12)/10,0)</f>
        <v>7574</v>
      </c>
    </row>
    <row r="6" spans="1:54" ht="15.75" thickBot="1" x14ac:dyDescent="0.3">
      <c r="A6" s="3">
        <f t="shared" ca="1" si="0"/>
        <v>45112</v>
      </c>
      <c r="B6" s="4" t="s">
        <v>56</v>
      </c>
      <c r="C6" s="4" t="s">
        <v>57</v>
      </c>
      <c r="D6" s="4" t="s">
        <v>58</v>
      </c>
      <c r="E6" s="4" t="s">
        <v>59</v>
      </c>
      <c r="F6" s="4">
        <f ca="1">ROUND(T_Facebook_Ads[[#This Row],[impressions]]*RANDBETWEEN(8,12)/10,0)</f>
        <v>10942</v>
      </c>
      <c r="G6" s="4">
        <v>623</v>
      </c>
      <c r="H6" s="4">
        <f ca="1">T_Facebook_Ads[[#This Row],[spend]]*RANDBETWEEN(8,12)/10</f>
        <v>257.95</v>
      </c>
      <c r="I6" s="4">
        <f ca="1">ROUND(T_Facebook_Ads[[#This Row],[conversions]]*RANDBETWEEN(8,12)/10,0)</f>
        <v>30</v>
      </c>
      <c r="J6" s="4">
        <f ca="1">ROUND(T_Facebook_Ads[[#This Row],[video_views]]*RANDBETWEEN(8,12)/10,0)</f>
        <v>1747</v>
      </c>
      <c r="K6" s="4">
        <f ca="1">T_Facebook_Ads[[#This Row],[engagement_rate]]*RANDBETWEEN(8,12)/10</f>
        <v>4.095E-2</v>
      </c>
      <c r="L6" s="4">
        <f ca="1">ROUND(T_Facebook_Ads[[#This Row],[reach]]*RANDBETWEEN(8,12)/10,0)</f>
        <v>10234</v>
      </c>
      <c r="M6" s="4">
        <f ca="1">T_Facebook_Ads[[#This Row],[frequency]]*RANDBETWEEN(8,12)/10</f>
        <v>1.6080000000000001</v>
      </c>
      <c r="O6" s="3">
        <f t="shared" ca="1" si="1"/>
        <v>45134</v>
      </c>
      <c r="P6" s="4" t="s">
        <v>80</v>
      </c>
      <c r="Q6" s="4" t="s">
        <v>81</v>
      </c>
      <c r="R6" s="4" t="s">
        <v>82</v>
      </c>
      <c r="S6" s="4" t="s">
        <v>83</v>
      </c>
      <c r="T6" s="4">
        <f ca="1">ROUND(_Google_ads[[#This Row],[impressions]]*RANDBETWEEN(8,12)/10,0)</f>
        <v>43234</v>
      </c>
      <c r="U6" s="4">
        <f ca="1">ROUND(_Google_ads[[#This Row],[clicks]]*RANDBETWEEN(8,12)/10,0)</f>
        <v>905</v>
      </c>
      <c r="V6" s="4">
        <f ca="1">_Google_ads[[#This Row],[cost]]*RANDBETWEEN(8,12)/10</f>
        <v>534.20000000000005</v>
      </c>
      <c r="W6" s="4">
        <f ca="1">ROUND(_Google_ads[[#This Row],[conversions]]*RANDBETWEEN(8,12)/10,0)</f>
        <v>19</v>
      </c>
      <c r="X6" s="4">
        <f ca="1">ROUND(_Google_ads[[#This Row],[conversion_value]]*RANDBETWEEN(8,12)/10,0)</f>
        <v>1155</v>
      </c>
      <c r="Y6" s="4">
        <f ca="1">_Google_ads[[#This Row],[ctr]]*RANDBETWEEN(8,12)/10</f>
        <v>2.0899999999999998E-2</v>
      </c>
      <c r="Z6" s="4">
        <f ca="1">_Google_ads[[#This Row],[avg_cpc]]*RANDBETWEEN(8,12)/10</f>
        <v>0.65</v>
      </c>
      <c r="AA6" s="4">
        <f ca="1">ROUND(_Google_ads[[#This Row],[quality_score]]*RANDBETWEEN(8,12)/10,0)</f>
        <v>8</v>
      </c>
      <c r="AB6" s="4">
        <f ca="1">_Google_ads[[#This Row],[search_impression_share]]*RANDBETWEEN(8,12)/10</f>
        <v>0.52800000000000002</v>
      </c>
      <c r="AD6" s="3">
        <f t="shared" ca="1" si="2"/>
        <v>45108</v>
      </c>
      <c r="AE6" s="4" t="s">
        <v>104</v>
      </c>
      <c r="AF6" s="4" t="s">
        <v>105</v>
      </c>
      <c r="AG6" s="4" t="s">
        <v>106</v>
      </c>
      <c r="AH6" s="4" t="s">
        <v>107</v>
      </c>
      <c r="AI6" s="4">
        <f ca="1">ROUND(T_Tiktok_ads[[#This Row],[impressions]]*RANDBETWEEN(8,12)/10,0)</f>
        <v>107654</v>
      </c>
      <c r="AJ6" s="4">
        <f ca="1">ROUND(T_Tiktok_ads[[#This Row],[clicks]]*RANDBETWEEN(8,12)/10,0)</f>
        <v>2054</v>
      </c>
      <c r="AK6" s="4">
        <v>712.3</v>
      </c>
      <c r="AL6" s="4">
        <f ca="1">ROUND(T_Tiktok_ads[[#This Row],[conversions]]*RANDBETWEEN(8,12)/10,0)</f>
        <v>64</v>
      </c>
      <c r="AM6" s="4">
        <f ca="1">ROUND(T_Tiktok_ads[[#This Row],[video_views]]*RANDBETWEEN(8,12)/10,0)</f>
        <v>95678</v>
      </c>
      <c r="AN6" s="4">
        <f ca="1">ROUND(T_Tiktok_ads[[#This Row],[video_watch_25]]*RANDBETWEEN(8,12)/10,0)</f>
        <v>71234</v>
      </c>
      <c r="AO6" s="4">
        <f ca="1">ROUND(T_Tiktok_ads[[#This Row],[video_watch_50]]*RANDBETWEEN(8,12)/10,0)</f>
        <v>57881</v>
      </c>
      <c r="AP6" s="4">
        <f ca="1">ROUND(T_Tiktok_ads[[#This Row],[video_watch_75]]*RANDBETWEEN(8,12)/10,0)</f>
        <v>32611</v>
      </c>
      <c r="AQ6" s="4">
        <f ca="1">ROUND(T_Tiktok_ads[[#This Row],[video_watch_100]]*RANDBETWEEN(8,12)/10,0)</f>
        <v>24567</v>
      </c>
      <c r="AR6" s="4">
        <f ca="1">ROUND(T_Tiktok_ads[[#This Row],[likes]]*RANDBETWEEN(8,12)/10,0)</f>
        <v>5268</v>
      </c>
      <c r="AS6" s="4">
        <f ca="1">ROUND(T_Tiktok_ads[[#This Row],[shares]]*RANDBETWEEN(8,12)/10,0)</f>
        <v>1211</v>
      </c>
      <c r="AT6" s="4">
        <f ca="1">ROUND(T_Tiktok_ads[[#This Row],[comments]]*RANDBETWEEN(8,12)/10,0)</f>
        <v>196</v>
      </c>
      <c r="AV6" s="5">
        <f t="shared" ca="1" si="3"/>
        <v>45120</v>
      </c>
      <c r="AW6">
        <f t="shared" ca="1" si="4"/>
        <v>7</v>
      </c>
      <c r="AX6">
        <f ca="1">ROUND(T_Facebook_Ads11596367717579[[#This Row],[impressions]]*RANDBETWEEN(8,12)/10,0)</f>
        <v>9848</v>
      </c>
      <c r="AY6">
        <f ca="1">ROUND(T_Facebook_Ads11596367717579[[#This Row],[clicks]]*RANDBETWEEN(8,12)/10,0)</f>
        <v>623</v>
      </c>
      <c r="AZ6">
        <f ca="1">T_Facebook_Ads11596367717579[[#This Row],[spend]]*RANDBETWEEN(8,12)/10</f>
        <v>309.53999999999996</v>
      </c>
      <c r="BA6">
        <f ca="1">ROUND(T_Facebook_Ads11596367717579[[#This Row],[conversions]]*RANDBETWEEN(8,12)/10,0)</f>
        <v>24</v>
      </c>
      <c r="BB6">
        <f ca="1">ROUND(T_Facebook_Ads11596367717579[[#This Row],[video_views]]*RANDBETWEEN(8,12)/10,0)</f>
        <v>1398</v>
      </c>
    </row>
    <row r="7" spans="1:54" ht="15.75" thickBot="1" x14ac:dyDescent="0.3">
      <c r="A7" s="3">
        <f t="shared" ca="1" si="0"/>
        <v>45136</v>
      </c>
      <c r="B7" s="4" t="s">
        <v>60</v>
      </c>
      <c r="C7" s="4" t="s">
        <v>61</v>
      </c>
      <c r="D7" s="4" t="s">
        <v>62</v>
      </c>
      <c r="E7" s="4" t="s">
        <v>63</v>
      </c>
      <c r="F7" s="4">
        <f ca="1">ROUND(T_Facebook_Ads[[#This Row],[impressions]]*RANDBETWEEN(8,12)/10,0)</f>
        <v>40468</v>
      </c>
      <c r="G7" s="4">
        <v>1345</v>
      </c>
      <c r="H7" s="4">
        <f ca="1">T_Facebook_Ads[[#This Row],[spend]]*RANDBETWEEN(8,12)/10</f>
        <v>161.04000000000002</v>
      </c>
      <c r="I7" s="4">
        <f ca="1">ROUND(T_Facebook_Ads[[#This Row],[conversions]]*RANDBETWEEN(8,12)/10,0)</f>
        <v>25</v>
      </c>
      <c r="J7" s="4">
        <f ca="1">ROUND(T_Facebook_Ads[[#This Row],[video_views]]*RANDBETWEEN(8,12)/10,0)</f>
        <v>4890</v>
      </c>
      <c r="K7" s="4">
        <f ca="1">T_Facebook_Ads[[#This Row],[engagement_rate]]*RANDBETWEEN(8,12)/10</f>
        <v>4.3920000000000001E-2</v>
      </c>
      <c r="L7" s="4">
        <f ca="1">ROUND(T_Facebook_Ads[[#This Row],[reach]]*RANDBETWEEN(8,12)/10,0)</f>
        <v>30123</v>
      </c>
      <c r="M7" s="4">
        <f ca="1">T_Facebook_Ads[[#This Row],[frequency]]*RANDBETWEEN(8,12)/10</f>
        <v>1.22</v>
      </c>
      <c r="O7" s="3">
        <f t="shared" ca="1" si="1"/>
        <v>45112</v>
      </c>
      <c r="P7" s="4" t="s">
        <v>84</v>
      </c>
      <c r="Q7" s="4" t="s">
        <v>85</v>
      </c>
      <c r="R7" s="4" t="s">
        <v>86</v>
      </c>
      <c r="S7" s="4" t="s">
        <v>87</v>
      </c>
      <c r="T7" s="4">
        <f ca="1">ROUND(_Google_ads[[#This Row],[impressions]]*RANDBETWEEN(8,12)/10,0)</f>
        <v>71234</v>
      </c>
      <c r="U7" s="4">
        <f ca="1">ROUND(_Google_ads[[#This Row],[clicks]]*RANDBETWEEN(8,12)/10,0)</f>
        <v>2702</v>
      </c>
      <c r="V7" s="4">
        <f ca="1">_Google_ads[[#This Row],[cost]]*RANDBETWEEN(8,12)/10</f>
        <v>534.96</v>
      </c>
      <c r="W7" s="4">
        <f ca="1">ROUND(_Google_ads[[#This Row],[conversions]]*RANDBETWEEN(8,12)/10,0)</f>
        <v>85</v>
      </c>
      <c r="X7" s="4">
        <f ca="1">ROUND(_Google_ads[[#This Row],[conversion_value]]*RANDBETWEEN(8,12)/10,0)</f>
        <v>2840</v>
      </c>
      <c r="Y7" s="4">
        <f ca="1">_Google_ads[[#This Row],[ctr]]*RANDBETWEEN(8,12)/10</f>
        <v>3.1050000000000001E-2</v>
      </c>
      <c r="Z7" s="4">
        <f ca="1">_Google_ads[[#This Row],[avg_cpc]]*RANDBETWEEN(8,12)/10</f>
        <v>0.16199999999999998</v>
      </c>
      <c r="AA7" s="4">
        <f ca="1">ROUND(_Google_ads[[#This Row],[quality_score]]*RANDBETWEEN(8,12)/10,0)</f>
        <v>10</v>
      </c>
      <c r="AB7" s="4">
        <f ca="1">_Google_ads[[#This Row],[search_impression_share]]*RANDBETWEEN(8,12)/10</f>
        <v>0.61199999999999999</v>
      </c>
      <c r="AD7" s="3">
        <f t="shared" ca="1" si="2"/>
        <v>45122</v>
      </c>
      <c r="AE7" s="4" t="s">
        <v>108</v>
      </c>
      <c r="AF7" s="4" t="s">
        <v>109</v>
      </c>
      <c r="AG7" s="4" t="s">
        <v>110</v>
      </c>
      <c r="AH7" s="4" t="s">
        <v>111</v>
      </c>
      <c r="AI7" s="4">
        <f ca="1">ROUND(T_Tiktok_ads[[#This Row],[impressions]]*RANDBETWEEN(8,12)/10,0)</f>
        <v>198345</v>
      </c>
      <c r="AJ7" s="4">
        <f ca="1">ROUND(T_Tiktok_ads[[#This Row],[clicks]]*RANDBETWEEN(8,12)/10,0)</f>
        <v>2410</v>
      </c>
      <c r="AK7" s="4">
        <v>361.2</v>
      </c>
      <c r="AL7" s="4">
        <f ca="1">ROUND(T_Tiktok_ads[[#This Row],[conversions]]*RANDBETWEEN(8,12)/10,0)</f>
        <v>28</v>
      </c>
      <c r="AM7" s="4">
        <f ca="1">ROUND(T_Tiktok_ads[[#This Row],[video_views]]*RANDBETWEEN(8,12)/10,0)</f>
        <v>182814</v>
      </c>
      <c r="AN7" s="4">
        <f ca="1">ROUND(T_Tiktok_ads[[#This Row],[video_watch_25]]*RANDBETWEEN(8,12)/10,0)</f>
        <v>140681</v>
      </c>
      <c r="AO7" s="4">
        <f ca="1">ROUND(T_Tiktok_ads[[#This Row],[video_watch_50]]*RANDBETWEEN(8,12)/10,0)</f>
        <v>102557</v>
      </c>
      <c r="AP7" s="4">
        <f ca="1">ROUND(T_Tiktok_ads[[#This Row],[video_watch_75]]*RANDBETWEEN(8,12)/10,0)</f>
        <v>53311</v>
      </c>
      <c r="AQ7" s="4">
        <f ca="1">ROUND(T_Tiktok_ads[[#This Row],[video_watch_100]]*RANDBETWEEN(8,12)/10,0)</f>
        <v>28987</v>
      </c>
      <c r="AR7" s="4">
        <f ca="1">ROUND(T_Tiktok_ads[[#This Row],[likes]]*RANDBETWEEN(8,12)/10,0)</f>
        <v>7835</v>
      </c>
      <c r="AS7" s="4">
        <f ca="1">ROUND(T_Tiktok_ads[[#This Row],[shares]]*RANDBETWEEN(8,12)/10,0)</f>
        <v>1770</v>
      </c>
      <c r="AT7" s="4">
        <f ca="1">ROUND(T_Tiktok_ads[[#This Row],[comments]]*RANDBETWEEN(8,12)/10,0)</f>
        <v>526</v>
      </c>
      <c r="AV7" s="5">
        <f t="shared" ca="1" si="3"/>
        <v>45137</v>
      </c>
      <c r="AW7">
        <f t="shared" ca="1" si="4"/>
        <v>4</v>
      </c>
      <c r="AX7">
        <f ca="1">ROUND(T_Facebook_Ads11596367717579[[#This Row],[impressions]]*RANDBETWEEN(8,12)/10,0)</f>
        <v>32374</v>
      </c>
      <c r="AY7">
        <f ca="1">ROUND(T_Facebook_Ads11596367717579[[#This Row],[clicks]]*RANDBETWEEN(8,12)/10,0)</f>
        <v>1076</v>
      </c>
      <c r="AZ7">
        <f ca="1">T_Facebook_Ads11596367717579[[#This Row],[spend]]*RANDBETWEEN(8,12)/10</f>
        <v>144.93600000000001</v>
      </c>
      <c r="BA7">
        <f ca="1">ROUND(T_Facebook_Ads11596367717579[[#This Row],[conversions]]*RANDBETWEEN(8,12)/10,0)</f>
        <v>23</v>
      </c>
      <c r="BB7">
        <f ca="1">ROUND(T_Facebook_Ads11596367717579[[#This Row],[video_views]]*RANDBETWEEN(8,12)/10,0)</f>
        <v>4890</v>
      </c>
    </row>
    <row r="8" spans="1:54" ht="15.75" thickBot="1" x14ac:dyDescent="0.3">
      <c r="A8" s="3">
        <f t="shared" ca="1" si="0"/>
        <v>45129</v>
      </c>
      <c r="B8" s="4" t="s">
        <v>52</v>
      </c>
      <c r="C8" s="4" t="s">
        <v>53</v>
      </c>
      <c r="D8" s="4" t="s">
        <v>54</v>
      </c>
      <c r="E8" s="4" t="s">
        <v>55</v>
      </c>
      <c r="F8" s="4">
        <f ca="1">ROUND(T_Facebook_Ads[[#This Row],[impressions]]*RANDBETWEEN(8,12)/10,0)</f>
        <v>53057</v>
      </c>
      <c r="G8" s="4">
        <v>967</v>
      </c>
      <c r="H8" s="4">
        <f ca="1">T_Facebook_Ads[[#This Row],[spend]]*RANDBETWEEN(8,12)/10</f>
        <v>134.80000000000001</v>
      </c>
      <c r="I8" s="4">
        <f ca="1">ROUND(T_Facebook_Ads[[#This Row],[conversions]]*RANDBETWEEN(8,12)/10,0)</f>
        <v>14</v>
      </c>
      <c r="J8" s="4">
        <f ca="1">ROUND(T_Facebook_Ads[[#This Row],[video_views]]*RANDBETWEEN(8,12)/10,0)</f>
        <v>7121</v>
      </c>
      <c r="K8" s="4">
        <f ca="1">T_Facebook_Ads[[#This Row],[engagement_rate]]*RANDBETWEEN(8,12)/10</f>
        <v>1.6080000000000001E-2</v>
      </c>
      <c r="L8" s="4">
        <f ca="1">ROUND(T_Facebook_Ads[[#This Row],[reach]]*RANDBETWEEN(8,12)/10,0)</f>
        <v>44135</v>
      </c>
      <c r="M8" s="4">
        <f ca="1">T_Facebook_Ads[[#This Row],[frequency]]*RANDBETWEEN(8,12)/10</f>
        <v>1.0799999999999998</v>
      </c>
      <c r="O8" s="3">
        <f t="shared" ca="1" si="1"/>
        <v>45123</v>
      </c>
      <c r="P8" s="4" t="s">
        <v>76</v>
      </c>
      <c r="Q8" s="4" t="s">
        <v>77</v>
      </c>
      <c r="R8" s="4" t="s">
        <v>78</v>
      </c>
      <c r="S8" s="4" t="s">
        <v>79</v>
      </c>
      <c r="T8" s="4">
        <f ca="1">ROUND(_Google_ads[[#This Row],[impressions]]*RANDBETWEEN(8,12)/10,0)</f>
        <v>22345</v>
      </c>
      <c r="U8" s="4">
        <f ca="1">ROUND(_Google_ads[[#This Row],[clicks]]*RANDBETWEEN(8,12)/10,0)</f>
        <v>1011</v>
      </c>
      <c r="V8" s="4">
        <f ca="1">_Google_ads[[#This Row],[cost]]*RANDBETWEEN(8,12)/10</f>
        <v>213.4</v>
      </c>
      <c r="W8" s="4">
        <f ca="1">ROUND(_Google_ads[[#This Row],[conversions]]*RANDBETWEEN(8,12)/10,0)</f>
        <v>46</v>
      </c>
      <c r="X8" s="4">
        <f ca="1">ROUND(_Google_ads[[#This Row],[conversion_value]]*RANDBETWEEN(8,12)/10,0)</f>
        <v>2310</v>
      </c>
      <c r="Y8" s="4">
        <f ca="1">_Google_ads[[#This Row],[ctr]]*RANDBETWEEN(8,12)/10</f>
        <v>4.0239999999999998E-2</v>
      </c>
      <c r="Z8" s="4">
        <f ca="1">_Google_ads[[#This Row],[avg_cpc]]*RANDBETWEEN(8,12)/10</f>
        <v>0.20899999999999999</v>
      </c>
      <c r="AA8" s="4">
        <f ca="1">ROUND(_Google_ads[[#This Row],[quality_score]]*RANDBETWEEN(8,12)/10,0)</f>
        <v>10</v>
      </c>
      <c r="AB8" s="4">
        <f ca="1">_Google_ads[[#This Row],[search_impression_share]]*RANDBETWEEN(8,12)/10</f>
        <v>0.74399999999999999</v>
      </c>
      <c r="AD8" s="3">
        <f t="shared" ca="1" si="2"/>
        <v>45120</v>
      </c>
      <c r="AE8" s="4" t="s">
        <v>100</v>
      </c>
      <c r="AF8" s="4" t="s">
        <v>101</v>
      </c>
      <c r="AG8" s="4" t="s">
        <v>102</v>
      </c>
      <c r="AH8" s="4" t="s">
        <v>103</v>
      </c>
      <c r="AI8" s="4">
        <f ca="1">ROUND(T_Tiktok_ads[[#This Row],[impressions]]*RANDBETWEEN(8,12)/10,0)</f>
        <v>268147</v>
      </c>
      <c r="AJ8" s="4">
        <f ca="1">ROUND(T_Tiktok_ads[[#This Row],[clicks]]*RANDBETWEEN(8,12)/10,0)</f>
        <v>2587</v>
      </c>
      <c r="AK8" s="4">
        <v>434.5</v>
      </c>
      <c r="AL8" s="4">
        <f ca="1">ROUND(T_Tiktok_ads[[#This Row],[conversions]]*RANDBETWEEN(8,12)/10,0)</f>
        <v>38</v>
      </c>
      <c r="AM8" s="4">
        <f ca="1">ROUND(T_Tiktok_ads[[#This Row],[video_views]]*RANDBETWEEN(8,12)/10,0)</f>
        <v>151387</v>
      </c>
      <c r="AN8" s="4">
        <f ca="1">ROUND(T_Tiktok_ads[[#This Row],[video_watch_25]]*RANDBETWEEN(8,12)/10,0)</f>
        <v>163057</v>
      </c>
      <c r="AO8" s="4">
        <f ca="1">ROUND(T_Tiktok_ads[[#This Row],[video_watch_50]]*RANDBETWEEN(8,12)/10,0)</f>
        <v>83911</v>
      </c>
      <c r="AP8" s="4">
        <f ca="1">ROUND(T_Tiktok_ads[[#This Row],[video_watch_75]]*RANDBETWEEN(8,12)/10,0)</f>
        <v>50765</v>
      </c>
      <c r="AQ8" s="4">
        <f ca="1">ROUND(T_Tiktok_ads[[#This Row],[video_watch_100]]*RANDBETWEEN(8,12)/10,0)</f>
        <v>34587</v>
      </c>
      <c r="AR8" s="4">
        <f ca="1">ROUND(T_Tiktok_ads[[#This Row],[likes]]*RANDBETWEEN(8,12)/10,0)</f>
        <v>8567</v>
      </c>
      <c r="AS8" s="4">
        <f ca="1">ROUND(T_Tiktok_ads[[#This Row],[shares]]*RANDBETWEEN(8,12)/10,0)</f>
        <v>2681</v>
      </c>
      <c r="AT8" s="4">
        <f ca="1">ROUND(T_Tiktok_ads[[#This Row],[comments]]*RANDBETWEEN(8,12)/10,0)</f>
        <v>641</v>
      </c>
      <c r="AV8" s="5">
        <f t="shared" ca="1" si="3"/>
        <v>45108</v>
      </c>
      <c r="AW8">
        <f t="shared" ca="1" si="4"/>
        <v>6</v>
      </c>
      <c r="AX8">
        <f ca="1">ROUND(T_Facebook_Ads11596367717579[[#This Row],[impressions]]*RANDBETWEEN(8,12)/10,0)</f>
        <v>58363</v>
      </c>
      <c r="AY8">
        <f ca="1">ROUND(T_Facebook_Ads11596367717579[[#This Row],[clicks]]*RANDBETWEEN(8,12)/10,0)</f>
        <v>967</v>
      </c>
      <c r="AZ8">
        <f ca="1">T_Facebook_Ads11596367717579[[#This Row],[spend]]*RANDBETWEEN(8,12)/10</f>
        <v>148.28000000000003</v>
      </c>
      <c r="BA8">
        <f ca="1">ROUND(T_Facebook_Ads11596367717579[[#This Row],[conversions]]*RANDBETWEEN(8,12)/10,0)</f>
        <v>11</v>
      </c>
      <c r="BB8">
        <f ca="1">ROUND(T_Facebook_Ads11596367717579[[#This Row],[video_views]]*RANDBETWEEN(8,12)/10,0)</f>
        <v>7833</v>
      </c>
    </row>
    <row r="9" spans="1:54" ht="15.75" thickBot="1" x14ac:dyDescent="0.3">
      <c r="A9" s="3">
        <f t="shared" ca="1" si="0"/>
        <v>45136</v>
      </c>
      <c r="B9" s="4" t="s">
        <v>56</v>
      </c>
      <c r="C9" s="4" t="s">
        <v>57</v>
      </c>
      <c r="D9" s="4" t="s">
        <v>58</v>
      </c>
      <c r="E9" s="4" t="s">
        <v>59</v>
      </c>
      <c r="F9" s="4">
        <f ca="1">ROUND(T_Facebook_Ads[[#This Row],[impressions]]*RANDBETWEEN(8,12)/10,0)</f>
        <v>11234</v>
      </c>
      <c r="G9" s="4">
        <v>489</v>
      </c>
      <c r="H9" s="4">
        <f ca="1">T_Facebook_Ads[[#This Row],[spend]]*RANDBETWEEN(8,12)/10</f>
        <v>238.43999999999997</v>
      </c>
      <c r="I9" s="4">
        <f ca="1">ROUND(T_Facebook_Ads[[#This Row],[conversions]]*RANDBETWEEN(8,12)/10,0)</f>
        <v>31</v>
      </c>
      <c r="J9" s="4">
        <f ca="1">ROUND(T_Facebook_Ads[[#This Row],[video_views]]*RANDBETWEEN(8,12)/10,0)</f>
        <v>1348</v>
      </c>
      <c r="K9" s="4">
        <f ca="1">T_Facebook_Ads[[#This Row],[engagement_rate]]*RANDBETWEEN(8,12)/10</f>
        <v>3.4799999999999998E-2</v>
      </c>
      <c r="L9" s="4">
        <f ca="1">ROUND(T_Facebook_Ads[[#This Row],[reach]]*RANDBETWEEN(8,12)/10,0)</f>
        <v>8901</v>
      </c>
      <c r="M9" s="4">
        <f ca="1">T_Facebook_Ads[[#This Row],[frequency]]*RANDBETWEEN(8,12)/10</f>
        <v>1.26</v>
      </c>
      <c r="O9" s="3">
        <f t="shared" ca="1" si="1"/>
        <v>45135</v>
      </c>
      <c r="P9" s="4" t="s">
        <v>80</v>
      </c>
      <c r="Q9" s="4" t="s">
        <v>81</v>
      </c>
      <c r="R9" s="4" t="s">
        <v>82</v>
      </c>
      <c r="S9" s="4" t="s">
        <v>83</v>
      </c>
      <c r="T9" s="4">
        <f ca="1">ROUND(_Google_ads[[#This Row],[impressions]]*RANDBETWEEN(8,12)/10,0)</f>
        <v>57468</v>
      </c>
      <c r="U9" s="4">
        <f ca="1">ROUND(_Google_ads[[#This Row],[clicks]]*RANDBETWEEN(8,12)/10,0)</f>
        <v>1160</v>
      </c>
      <c r="V9" s="4">
        <f ca="1">_Google_ads[[#This Row],[cost]]*RANDBETWEEN(8,12)/10</f>
        <v>748.2</v>
      </c>
      <c r="W9" s="4">
        <f ca="1">ROUND(_Google_ads[[#This Row],[conversions]]*RANDBETWEEN(8,12)/10,0)</f>
        <v>25</v>
      </c>
      <c r="X9" s="4">
        <f ca="1">ROUND(_Google_ads[[#This Row],[conversion_value]]*RANDBETWEEN(8,12)/10,0)</f>
        <v>1375</v>
      </c>
      <c r="Y9" s="4">
        <f ca="1">_Google_ads[[#This Row],[ctr]]*RANDBETWEEN(8,12)/10</f>
        <v>2.4240000000000001E-2</v>
      </c>
      <c r="Z9" s="4">
        <f ca="1">_Google_ads[[#This Row],[avg_cpc]]*RANDBETWEEN(8,12)/10</f>
        <v>0.57599999999999996</v>
      </c>
      <c r="AA9" s="4">
        <f ca="1">ROUND(_Google_ads[[#This Row],[quality_score]]*RANDBETWEEN(8,12)/10,0)</f>
        <v>5</v>
      </c>
      <c r="AB9" s="4">
        <f ca="1">_Google_ads[[#This Row],[search_impression_share]]*RANDBETWEEN(8,12)/10</f>
        <v>0.51600000000000001</v>
      </c>
      <c r="AD9" s="3">
        <f t="shared" ca="1" si="2"/>
        <v>45127</v>
      </c>
      <c r="AE9" s="4" t="s">
        <v>104</v>
      </c>
      <c r="AF9" s="4" t="s">
        <v>105</v>
      </c>
      <c r="AG9" s="4" t="s">
        <v>106</v>
      </c>
      <c r="AH9" s="4" t="s">
        <v>107</v>
      </c>
      <c r="AI9" s="4">
        <f ca="1">ROUND(T_Tiktok_ads[[#This Row],[impressions]]*RANDBETWEEN(8,12)/10,0)</f>
        <v>89876</v>
      </c>
      <c r="AJ9" s="4">
        <f ca="1">ROUND(T_Tiktok_ads[[#This Row],[clicks]]*RANDBETWEEN(8,12)/10,0)</f>
        <v>2123</v>
      </c>
      <c r="AK9" s="4">
        <v>623.4</v>
      </c>
      <c r="AL9" s="4">
        <f ca="1">ROUND(T_Tiktok_ads[[#This Row],[conversions]]*RANDBETWEEN(8,12)/10,0)</f>
        <v>56</v>
      </c>
      <c r="AM9" s="4">
        <f ca="1">ROUND(T_Tiktok_ads[[#This Row],[video_views]]*RANDBETWEEN(8,12)/10,0)</f>
        <v>98814</v>
      </c>
      <c r="AN9" s="4">
        <f ca="1">ROUND(T_Tiktok_ads[[#This Row],[video_watch_25]]*RANDBETWEEN(8,12)/10,0)</f>
        <v>73481</v>
      </c>
      <c r="AO9" s="4">
        <f ca="1">ROUND(T_Tiktok_ads[[#This Row],[video_watch_50]]*RANDBETWEEN(8,12)/10,0)</f>
        <v>45357</v>
      </c>
      <c r="AP9" s="4">
        <f ca="1">ROUND(T_Tiktok_ads[[#This Row],[video_watch_75]]*RANDBETWEEN(8,12)/10,0)</f>
        <v>31234</v>
      </c>
      <c r="AQ9" s="4">
        <f ca="1">ROUND(T_Tiktok_ads[[#This Row],[video_watch_100]]*RANDBETWEEN(8,12)/10,0)</f>
        <v>16987</v>
      </c>
      <c r="AR9" s="4">
        <f ca="1">ROUND(T_Tiktok_ads[[#This Row],[likes]]*RANDBETWEEN(8,12)/10,0)</f>
        <v>3387</v>
      </c>
      <c r="AS9" s="4">
        <f ca="1">ROUND(T_Tiktok_ads[[#This Row],[shares]]*RANDBETWEEN(8,12)/10,0)</f>
        <v>1011</v>
      </c>
      <c r="AT9" s="4">
        <f ca="1">ROUND(T_Tiktok_ads[[#This Row],[comments]]*RANDBETWEEN(8,12)/10,0)</f>
        <v>254</v>
      </c>
      <c r="AV9" s="5">
        <f t="shared" ca="1" si="3"/>
        <v>45126</v>
      </c>
      <c r="AW9">
        <f t="shared" ca="1" si="4"/>
        <v>2</v>
      </c>
      <c r="AX9">
        <f ca="1">ROUND(T_Facebook_Ads11596367717579[[#This Row],[impressions]]*RANDBETWEEN(8,12)/10,0)</f>
        <v>8987</v>
      </c>
      <c r="AY9">
        <f ca="1">ROUND(T_Facebook_Ads11596367717579[[#This Row],[clicks]]*RANDBETWEEN(8,12)/10,0)</f>
        <v>538</v>
      </c>
      <c r="AZ9">
        <f ca="1">T_Facebook_Ads11596367717579[[#This Row],[spend]]*RANDBETWEEN(8,12)/10</f>
        <v>262.28399999999999</v>
      </c>
      <c r="BA9">
        <f ca="1">ROUND(T_Facebook_Ads11596367717579[[#This Row],[conversions]]*RANDBETWEEN(8,12)/10,0)</f>
        <v>28</v>
      </c>
      <c r="BB9">
        <f ca="1">ROUND(T_Facebook_Ads11596367717579[[#This Row],[video_views]]*RANDBETWEEN(8,12)/10,0)</f>
        <v>1618</v>
      </c>
    </row>
    <row r="10" spans="1:54" ht="15.75" thickBot="1" x14ac:dyDescent="0.3">
      <c r="A10" s="3">
        <f t="shared" ca="1" si="0"/>
        <v>45133</v>
      </c>
      <c r="B10" s="4" t="s">
        <v>60</v>
      </c>
      <c r="C10" s="4" t="s">
        <v>61</v>
      </c>
      <c r="D10" s="4" t="s">
        <v>62</v>
      </c>
      <c r="E10" s="4" t="s">
        <v>63</v>
      </c>
      <c r="F10" s="4">
        <f ca="1">ROUND(T_Facebook_Ads[[#This Row],[impressions]]*RANDBETWEEN(8,12)/10,0)</f>
        <v>38901</v>
      </c>
      <c r="G10" s="4">
        <v>1456</v>
      </c>
      <c r="H10" s="4">
        <f ca="1">T_Facebook_Ads[[#This Row],[spend]]*RANDBETWEEN(8,12)/10</f>
        <v>256.08000000000004</v>
      </c>
      <c r="I10" s="4">
        <f ca="1">ROUND(T_Facebook_Ads[[#This Row],[conversions]]*RANDBETWEEN(8,12)/10,0)</f>
        <v>34</v>
      </c>
      <c r="J10" s="4">
        <f ca="1">ROUND(T_Facebook_Ads[[#This Row],[video_views]]*RANDBETWEEN(8,12)/10,0)</f>
        <v>5234</v>
      </c>
      <c r="K10" s="4">
        <f ca="1">T_Facebook_Ads[[#This Row],[engagement_rate]]*RANDBETWEEN(8,12)/10</f>
        <v>4.4999999999999998E-2</v>
      </c>
      <c r="L10" s="4">
        <f ca="1">ROUND(T_Facebook_Ads[[#This Row],[reach]]*RANDBETWEEN(8,12)/10,0)</f>
        <v>31456</v>
      </c>
      <c r="M10" s="4">
        <f ca="1">T_Facebook_Ads[[#This Row],[frequency]]*RANDBETWEEN(8,12)/10</f>
        <v>1.3640000000000001</v>
      </c>
      <c r="O10" s="3">
        <f t="shared" ca="1" si="1"/>
        <v>45122</v>
      </c>
      <c r="P10" s="4" t="s">
        <v>88</v>
      </c>
      <c r="Q10" s="4" t="s">
        <v>89</v>
      </c>
      <c r="R10" s="4" t="s">
        <v>90</v>
      </c>
      <c r="S10" s="4" t="s">
        <v>59</v>
      </c>
      <c r="T10" s="4">
        <f ca="1">ROUND(_Google_ads[[#This Row],[impressions]]*RANDBETWEEN(8,12)/10,0)</f>
        <v>123456</v>
      </c>
      <c r="U10" s="4">
        <f ca="1">ROUND(_Google_ads[[#This Row],[clicks]]*RANDBETWEEN(8,12)/10,0)</f>
        <v>547</v>
      </c>
      <c r="V10" s="4">
        <f ca="1">_Google_ads[[#This Row],[cost]]*RANDBETWEEN(8,12)/10</f>
        <v>135.74</v>
      </c>
      <c r="W10" s="4">
        <f ca="1">ROUND(_Google_ads[[#This Row],[conversions]]*RANDBETWEEN(8,12)/10,0)</f>
        <v>10</v>
      </c>
      <c r="X10" s="4">
        <f ca="1">ROUND(_Google_ads[[#This Row],[conversion_value]]*RANDBETWEEN(8,12)/10,0)</f>
        <v>480</v>
      </c>
      <c r="Y10" s="4">
        <f ca="1">_Google_ads[[#This Row],[ctr]]*RANDBETWEEN(8,12)/10</f>
        <v>3.3300000000000005E-3</v>
      </c>
      <c r="Z10" s="4">
        <f ca="1">_Google_ads[[#This Row],[avg_cpc]]*RANDBETWEEN(8,12)/10</f>
        <v>0.32400000000000001</v>
      </c>
      <c r="AA10" s="4">
        <f ca="1">ROUND(_Google_ads[[#This Row],[quality_score]]*RANDBETWEEN(8,12)/10,0)</f>
        <v>8</v>
      </c>
      <c r="AB10" s="4">
        <f ca="1">_Google_ads[[#This Row],[search_impression_share]]*RANDBETWEEN(8,12)/10</f>
        <v>0.35</v>
      </c>
      <c r="AD10" s="3">
        <f t="shared" ca="1" si="2"/>
        <v>45130</v>
      </c>
      <c r="AE10" s="4" t="s">
        <v>112</v>
      </c>
      <c r="AF10" s="4" t="s">
        <v>113</v>
      </c>
      <c r="AG10" s="4" t="s">
        <v>114</v>
      </c>
      <c r="AH10" s="4" t="s">
        <v>115</v>
      </c>
      <c r="AI10" s="4">
        <f ca="1">ROUND(T_Tiktok_ads[[#This Row],[impressions]]*RANDBETWEEN(8,12)/10,0)</f>
        <v>414814</v>
      </c>
      <c r="AJ10" s="4">
        <f ca="1">ROUND(T_Tiktok_ads[[#This Row],[clicks]]*RANDBETWEEN(8,12)/10,0)</f>
        <v>6246</v>
      </c>
      <c r="AK10" s="4">
        <v>890.1</v>
      </c>
      <c r="AL10" s="4">
        <f ca="1">ROUND(T_Tiktok_ads[[#This Row],[conversions]]*RANDBETWEEN(8,12)/10,0)</f>
        <v>80</v>
      </c>
      <c r="AM10" s="4">
        <f ca="1">ROUND(T_Tiktok_ads[[#This Row],[video_views]]*RANDBETWEEN(8,12)/10,0)</f>
        <v>289234</v>
      </c>
      <c r="AN10" s="4">
        <f ca="1">ROUND(T_Tiktok_ads[[#This Row],[video_watch_25]]*RANDBETWEEN(8,12)/10,0)</f>
        <v>234567</v>
      </c>
      <c r="AO10" s="4">
        <f ca="1">ROUND(T_Tiktok_ads[[#This Row],[video_watch_50]]*RANDBETWEEN(8,12)/10,0)</f>
        <v>208157</v>
      </c>
      <c r="AP10" s="4">
        <f ca="1">ROUND(T_Tiktok_ads[[#This Row],[video_watch_75]]*RANDBETWEEN(8,12)/10,0)</f>
        <v>121110</v>
      </c>
      <c r="AQ10" s="4">
        <f ca="1">ROUND(T_Tiktok_ads[[#This Row],[video_watch_100]]*RANDBETWEEN(8,12)/10,0)</f>
        <v>80311</v>
      </c>
      <c r="AR10" s="4">
        <f ca="1">ROUND(T_Tiktok_ads[[#This Row],[likes]]*RANDBETWEEN(8,12)/10,0)</f>
        <v>15678</v>
      </c>
      <c r="AS10" s="4">
        <f ca="1">ROUND(T_Tiktok_ads[[#This Row],[shares]]*RANDBETWEEN(8,12)/10,0)</f>
        <v>3654</v>
      </c>
      <c r="AT10" s="4">
        <f ca="1">ROUND(T_Tiktok_ads[[#This Row],[comments]]*RANDBETWEEN(8,12)/10,0)</f>
        <v>987</v>
      </c>
      <c r="AV10" s="5">
        <f t="shared" ca="1" si="3"/>
        <v>45121</v>
      </c>
      <c r="AW10">
        <f t="shared" ca="1" si="4"/>
        <v>8</v>
      </c>
      <c r="AX10">
        <f ca="1">ROUND(T_Facebook_Ads11596367717579[[#This Row],[impressions]]*RANDBETWEEN(8,12)/10,0)</f>
        <v>42791</v>
      </c>
      <c r="AY10">
        <f ca="1">ROUND(T_Facebook_Ads11596367717579[[#This Row],[clicks]]*RANDBETWEEN(8,12)/10,0)</f>
        <v>1456</v>
      </c>
      <c r="AZ10">
        <f ca="1">T_Facebook_Ads11596367717579[[#This Row],[spend]]*RANDBETWEEN(8,12)/10</f>
        <v>230.47200000000004</v>
      </c>
      <c r="BA10">
        <f ca="1">ROUND(T_Facebook_Ads11596367717579[[#This Row],[conversions]]*RANDBETWEEN(8,12)/10,0)</f>
        <v>31</v>
      </c>
      <c r="BB10">
        <f ca="1">ROUND(T_Facebook_Ads11596367717579[[#This Row],[video_views]]*RANDBETWEEN(8,12)/10,0)</f>
        <v>6281</v>
      </c>
    </row>
    <row r="11" spans="1:54" ht="15.75" thickBot="1" x14ac:dyDescent="0.3">
      <c r="A11" s="3">
        <f t="shared" ca="1" si="0"/>
        <v>45127</v>
      </c>
      <c r="B11" s="4" t="s">
        <v>52</v>
      </c>
      <c r="C11" s="4" t="s">
        <v>53</v>
      </c>
      <c r="D11" s="4" t="s">
        <v>54</v>
      </c>
      <c r="E11" s="4" t="s">
        <v>55</v>
      </c>
      <c r="F11" s="4">
        <f ca="1">ROUND(T_Facebook_Ads[[#This Row],[impressions]]*RANDBETWEEN(8,12)/10,0)</f>
        <v>51234</v>
      </c>
      <c r="G11" s="4">
        <v>1023</v>
      </c>
      <c r="H11" s="4">
        <f ca="1">T_Facebook_Ads[[#This Row],[spend]]*RANDBETWEEN(8,12)/10</f>
        <v>128.07</v>
      </c>
      <c r="I11" s="4">
        <f ca="1">ROUND(T_Facebook_Ads[[#This Row],[conversions]]*RANDBETWEEN(8,12)/10,0)</f>
        <v>15</v>
      </c>
      <c r="J11" s="4">
        <f ca="1">ROUND(T_Facebook_Ads[[#This Row],[video_views]]*RANDBETWEEN(8,12)/10,0)</f>
        <v>8311</v>
      </c>
      <c r="K11" s="4">
        <f ca="1">T_Facebook_Ads[[#This Row],[engagement_rate]]*RANDBETWEEN(8,12)/10</f>
        <v>2.1999999999999999E-2</v>
      </c>
      <c r="L11" s="4">
        <f ca="1">ROUND(T_Facebook_Ads[[#This Row],[reach]]*RANDBETWEEN(8,12)/10,0)</f>
        <v>38310</v>
      </c>
      <c r="M11" s="4">
        <f ca="1">T_Facebook_Ads[[#This Row],[frequency]]*RANDBETWEEN(8,12)/10</f>
        <v>1.3199999999999998</v>
      </c>
      <c r="O11" s="3">
        <f t="shared" ca="1" si="1"/>
        <v>45117</v>
      </c>
      <c r="P11" s="4" t="s">
        <v>76</v>
      </c>
      <c r="Q11" s="4" t="s">
        <v>77</v>
      </c>
      <c r="R11" s="4" t="s">
        <v>78</v>
      </c>
      <c r="S11" s="4" t="s">
        <v>79</v>
      </c>
      <c r="T11" s="4">
        <f ca="1">ROUND(_Google_ads[[#This Row],[impressions]]*RANDBETWEEN(8,12)/10,0)</f>
        <v>20542</v>
      </c>
      <c r="U11" s="4">
        <f ca="1">ROUND(_Google_ads[[#This Row],[clicks]]*RANDBETWEEN(8,12)/10,0)</f>
        <v>1614</v>
      </c>
      <c r="V11" s="4">
        <f ca="1">_Google_ads[[#This Row],[cost]]*RANDBETWEEN(8,12)/10</f>
        <v>308.03999999999996</v>
      </c>
      <c r="W11" s="4">
        <f ca="1">ROUND(_Google_ads[[#This Row],[conversions]]*RANDBETWEEN(8,12)/10,0)</f>
        <v>45</v>
      </c>
      <c r="X11" s="4">
        <f ca="1">ROUND(_Google_ads[[#This Row],[conversion_value]]*RANDBETWEEN(8,12)/10,0)</f>
        <v>2000</v>
      </c>
      <c r="Y11" s="4">
        <f ca="1">_Google_ads[[#This Row],[ctr]]*RANDBETWEEN(8,12)/10</f>
        <v>4.7160000000000001E-2</v>
      </c>
      <c r="Z11" s="4">
        <f ca="1">_Google_ads[[#This Row],[avg_cpc]]*RANDBETWEEN(8,12)/10</f>
        <v>0.19</v>
      </c>
      <c r="AA11" s="4">
        <f ca="1">ROUND(_Google_ads[[#This Row],[quality_score]]*RANDBETWEEN(8,12)/10,0)</f>
        <v>8</v>
      </c>
      <c r="AB11" s="4">
        <f ca="1">_Google_ads[[#This Row],[search_impression_share]]*RANDBETWEEN(8,12)/10</f>
        <v>0.92000000000000015</v>
      </c>
      <c r="AD11" s="3">
        <f t="shared" ca="1" si="2"/>
        <v>45126</v>
      </c>
      <c r="AE11" s="4" t="s">
        <v>100</v>
      </c>
      <c r="AF11" s="4" t="s">
        <v>101</v>
      </c>
      <c r="AG11" s="4" t="s">
        <v>102</v>
      </c>
      <c r="AH11" s="4" t="s">
        <v>103</v>
      </c>
      <c r="AI11" s="4">
        <f ca="1">ROUND(T_Tiktok_ads[[#This Row],[impressions]]*RANDBETWEEN(8,12)/10,0)</f>
        <v>308147</v>
      </c>
      <c r="AJ11" s="4">
        <f ca="1">ROUND(T_Tiktok_ads[[#This Row],[clicks]]*RANDBETWEEN(8,12)/10,0)</f>
        <v>4668</v>
      </c>
      <c r="AK11" s="4">
        <v>512.29999999999995</v>
      </c>
      <c r="AL11" s="4">
        <f ca="1">ROUND(T_Tiktok_ads[[#This Row],[conversions]]*RANDBETWEEN(8,12)/10,0)</f>
        <v>39</v>
      </c>
      <c r="AM11" s="4">
        <f ca="1">ROUND(T_Tiktok_ads[[#This Row],[video_views]]*RANDBETWEEN(8,12)/10,0)</f>
        <v>217456</v>
      </c>
      <c r="AN11" s="4">
        <f ca="1">ROUND(T_Tiktok_ads[[#This Row],[video_watch_25]]*RANDBETWEEN(8,12)/10,0)</f>
        <v>170234</v>
      </c>
      <c r="AO11" s="4">
        <f ca="1">ROUND(T_Tiktok_ads[[#This Row],[video_watch_50]]*RANDBETWEEN(8,12)/10,0)</f>
        <v>85787</v>
      </c>
      <c r="AP11" s="4">
        <f ca="1">ROUND(T_Tiktok_ads[[#This Row],[video_watch_75]]*RANDBETWEEN(8,12)/10,0)</f>
        <v>57965</v>
      </c>
      <c r="AQ11" s="4">
        <f ca="1">ROUND(T_Tiktok_ads[[#This Row],[video_watch_100]]*RANDBETWEEN(8,12)/10,0)</f>
        <v>38765</v>
      </c>
      <c r="AR11" s="4">
        <f ca="1">ROUND(T_Tiktok_ads[[#This Row],[likes]]*RANDBETWEEN(8,12)/10,0)</f>
        <v>7654</v>
      </c>
      <c r="AS11" s="4">
        <f ca="1">ROUND(T_Tiktok_ads[[#This Row],[shares]]*RANDBETWEEN(8,12)/10,0)</f>
        <v>3080</v>
      </c>
      <c r="AT11" s="4">
        <f ca="1">ROUND(T_Tiktok_ads[[#This Row],[comments]]*RANDBETWEEN(8,12)/10,0)</f>
        <v>673</v>
      </c>
      <c r="AV11" s="5">
        <f t="shared" ca="1" si="3"/>
        <v>45136</v>
      </c>
      <c r="AW11">
        <f t="shared" ca="1" si="4"/>
        <v>8</v>
      </c>
      <c r="AX11">
        <f ca="1">ROUND(T_Facebook_Ads11596367717579[[#This Row],[impressions]]*RANDBETWEEN(8,12)/10,0)</f>
        <v>61481</v>
      </c>
      <c r="AY11">
        <f ca="1">ROUND(T_Facebook_Ads11596367717579[[#This Row],[clicks]]*RANDBETWEEN(8,12)/10,0)</f>
        <v>1228</v>
      </c>
      <c r="AZ11">
        <f ca="1">T_Facebook_Ads11596367717579[[#This Row],[spend]]*RANDBETWEEN(8,12)/10</f>
        <v>102.45599999999999</v>
      </c>
      <c r="BA11">
        <f ca="1">ROUND(T_Facebook_Ads11596367717579[[#This Row],[conversions]]*RANDBETWEEN(8,12)/10,0)</f>
        <v>15</v>
      </c>
      <c r="BB11">
        <f ca="1">ROUND(T_Facebook_Ads11596367717579[[#This Row],[video_views]]*RANDBETWEEN(8,12)/10,0)</f>
        <v>8311</v>
      </c>
    </row>
    <row r="12" spans="1:54" ht="15.75" thickBot="1" x14ac:dyDescent="0.3">
      <c r="A12" s="3">
        <f t="shared" ca="1" si="0"/>
        <v>45125</v>
      </c>
      <c r="B12" s="4" t="s">
        <v>56</v>
      </c>
      <c r="C12" s="4" t="s">
        <v>57</v>
      </c>
      <c r="D12" s="4" t="s">
        <v>58</v>
      </c>
      <c r="E12" s="4" t="s">
        <v>59</v>
      </c>
      <c r="F12" s="4">
        <f ca="1">ROUND(T_Facebook_Ads[[#This Row],[impressions]]*RANDBETWEEN(8,12)/10,0)</f>
        <v>17480</v>
      </c>
      <c r="G12" s="4">
        <v>678</v>
      </c>
      <c r="H12" s="4">
        <f ca="1">T_Facebook_Ads[[#This Row],[spend]]*RANDBETWEEN(8,12)/10</f>
        <v>270.15999999999997</v>
      </c>
      <c r="I12" s="4">
        <f ca="1">ROUND(T_Facebook_Ads[[#This Row],[conversions]]*RANDBETWEEN(8,12)/10,0)</f>
        <v>34</v>
      </c>
      <c r="J12" s="4">
        <f ca="1">ROUND(T_Facebook_Ads[[#This Row],[video_views]]*RANDBETWEEN(8,12)/10,0)</f>
        <v>1567</v>
      </c>
      <c r="K12" s="4">
        <f ca="1">T_Facebook_Ads[[#This Row],[engagement_rate]]*RANDBETWEEN(8,12)/10</f>
        <v>4.65E-2</v>
      </c>
      <c r="L12" s="4">
        <f ca="1">ROUND(T_Facebook_Ads[[#This Row],[reach]]*RANDBETWEEN(8,12)/10,0)</f>
        <v>12357</v>
      </c>
      <c r="M12" s="4">
        <f ca="1">T_Facebook_Ads[[#This Row],[frequency]]*RANDBETWEEN(8,12)/10</f>
        <v>1.3</v>
      </c>
      <c r="O12" s="3">
        <f t="shared" ca="1" si="1"/>
        <v>45126</v>
      </c>
      <c r="P12" s="4" t="s">
        <v>84</v>
      </c>
      <c r="Q12" s="4" t="s">
        <v>85</v>
      </c>
      <c r="R12" s="4" t="s">
        <v>86</v>
      </c>
      <c r="S12" s="4" t="s">
        <v>87</v>
      </c>
      <c r="T12" s="4">
        <f ca="1">ROUND(_Google_ads[[#This Row],[impressions]]*RANDBETWEEN(8,12)/10,0)</f>
        <v>69456</v>
      </c>
      <c r="U12" s="4">
        <f ca="1">ROUND(_Google_ads[[#This Row],[clicks]]*RANDBETWEEN(8,12)/10,0)</f>
        <v>2457</v>
      </c>
      <c r="V12" s="4">
        <f ca="1">_Google_ads[[#This Row],[cost]]*RANDBETWEEN(8,12)/10</f>
        <v>453.53000000000003</v>
      </c>
      <c r="W12" s="4">
        <f ca="1">ROUND(_Google_ads[[#This Row],[conversions]]*RANDBETWEEN(8,12)/10,0)</f>
        <v>72</v>
      </c>
      <c r="X12" s="4">
        <f ca="1">ROUND(_Google_ads[[#This Row],[conversion_value]]*RANDBETWEEN(8,12)/10,0)</f>
        <v>2600</v>
      </c>
      <c r="Y12" s="4">
        <f ca="1">_Google_ads[[#This Row],[ctr]]*RANDBETWEEN(8,12)/10</f>
        <v>3.8639999999999994E-2</v>
      </c>
      <c r="Z12" s="4">
        <f ca="1">_Google_ads[[#This Row],[avg_cpc]]*RANDBETWEEN(8,12)/10</f>
        <v>0.21600000000000003</v>
      </c>
      <c r="AA12" s="4">
        <f ca="1">ROUND(_Google_ads[[#This Row],[quality_score]]*RANDBETWEEN(8,12)/10,0)</f>
        <v>7</v>
      </c>
      <c r="AB12" s="4">
        <f ca="1">_Google_ads[[#This Row],[search_impression_share]]*RANDBETWEEN(8,12)/10</f>
        <v>0.66</v>
      </c>
      <c r="AD12" s="3">
        <f t="shared" ca="1" si="2"/>
        <v>45127</v>
      </c>
      <c r="AE12" s="4" t="s">
        <v>108</v>
      </c>
      <c r="AF12" s="4" t="s">
        <v>109</v>
      </c>
      <c r="AG12" s="4" t="s">
        <v>110</v>
      </c>
      <c r="AH12" s="4" t="s">
        <v>111</v>
      </c>
      <c r="AI12" s="4">
        <f ca="1">ROUND(T_Tiktok_ads[[#This Row],[impressions]]*RANDBETWEEN(8,12)/10,0)</f>
        <v>181111</v>
      </c>
      <c r="AJ12" s="4">
        <f ca="1">ROUND(T_Tiktok_ads[[#This Row],[clicks]]*RANDBETWEEN(8,12)/10,0)</f>
        <v>2811</v>
      </c>
      <c r="AK12" s="4">
        <v>374.5</v>
      </c>
      <c r="AL12" s="4">
        <f ca="1">ROUND(T_Tiktok_ads[[#This Row],[conversions]]*RANDBETWEEN(8,12)/10,0)</f>
        <v>23</v>
      </c>
      <c r="AM12" s="4">
        <f ca="1">ROUND(T_Tiktok_ads[[#This Row],[video_views]]*RANDBETWEEN(8,12)/10,0)</f>
        <v>189468</v>
      </c>
      <c r="AN12" s="4">
        <f ca="1">ROUND(T_Tiktok_ads[[#This Row],[video_watch_25]]*RANDBETWEEN(8,12)/10,0)</f>
        <v>96987</v>
      </c>
      <c r="AO12" s="4">
        <f ca="1">ROUND(T_Tiktok_ads[[#This Row],[video_watch_50]]*RANDBETWEEN(8,12)/10,0)</f>
        <v>96234</v>
      </c>
      <c r="AP12" s="4">
        <f ca="1">ROUND(T_Tiktok_ads[[#This Row],[video_watch_75]]*RANDBETWEEN(8,12)/10,0)</f>
        <v>48987</v>
      </c>
      <c r="AQ12" s="4">
        <f ca="1">ROUND(T_Tiktok_ads[[#This Row],[video_watch_100]]*RANDBETWEEN(8,12)/10,0)</f>
        <v>33710</v>
      </c>
      <c r="AR12" s="4">
        <f ca="1">ROUND(T_Tiktok_ads[[#This Row],[likes]]*RANDBETWEEN(8,12)/10,0)</f>
        <v>5876</v>
      </c>
      <c r="AS12" s="4">
        <f ca="1">ROUND(T_Tiktok_ads[[#This Row],[shares]]*RANDBETWEEN(8,12)/10,0)</f>
        <v>2441</v>
      </c>
      <c r="AT12" s="4">
        <f ca="1">ROUND(T_Tiktok_ads[[#This Row],[comments]]*RANDBETWEEN(8,12)/10,0)</f>
        <v>391</v>
      </c>
      <c r="AV12" s="5">
        <f t="shared" ca="1" si="3"/>
        <v>45123</v>
      </c>
      <c r="AW12">
        <f t="shared" ca="1" si="4"/>
        <v>8</v>
      </c>
      <c r="AX12">
        <f ca="1">ROUND(T_Facebook_Ads11596367717579[[#This Row],[impressions]]*RANDBETWEEN(8,12)/10,0)</f>
        <v>15732</v>
      </c>
      <c r="AY12">
        <f ca="1">ROUND(T_Facebook_Ads11596367717579[[#This Row],[clicks]]*RANDBETWEEN(8,12)/10,0)</f>
        <v>814</v>
      </c>
      <c r="AZ12">
        <f ca="1">T_Facebook_Ads11596367717579[[#This Row],[spend]]*RANDBETWEEN(8,12)/10</f>
        <v>216.12799999999999</v>
      </c>
      <c r="BA12">
        <f ca="1">ROUND(T_Facebook_Ads11596367717579[[#This Row],[conversions]]*RANDBETWEEN(8,12)/10,0)</f>
        <v>41</v>
      </c>
      <c r="BB12">
        <f ca="1">ROUND(T_Facebook_Ads11596367717579[[#This Row],[video_views]]*RANDBETWEEN(8,12)/10,0)</f>
        <v>1410</v>
      </c>
    </row>
    <row r="13" spans="1:54" ht="15.75" thickBot="1" x14ac:dyDescent="0.3">
      <c r="A13" s="3">
        <f t="shared" ca="1" si="0"/>
        <v>45123</v>
      </c>
      <c r="B13" s="4" t="s">
        <v>64</v>
      </c>
      <c r="C13" s="4" t="s">
        <v>65</v>
      </c>
      <c r="D13" s="4" t="s">
        <v>66</v>
      </c>
      <c r="E13" s="4" t="s">
        <v>67</v>
      </c>
      <c r="F13" s="4">
        <f ca="1">ROUND(T_Facebook_Ads[[#This Row],[impressions]]*RANDBETWEEN(8,12)/10,0)</f>
        <v>74679</v>
      </c>
      <c r="G13" s="4">
        <v>234</v>
      </c>
      <c r="H13" s="4">
        <f ca="1">T_Facebook_Ads[[#This Row],[spend]]*RANDBETWEEN(8,12)/10</f>
        <v>80.55</v>
      </c>
      <c r="I13" s="4">
        <f ca="1">ROUND(T_Facebook_Ads[[#This Row],[conversions]]*RANDBETWEEN(8,12)/10,0)</f>
        <v>4</v>
      </c>
      <c r="J13" s="4">
        <f ca="1">ROUND(T_Facebook_Ads[[#This Row],[video_views]]*RANDBETWEEN(8,12)/10,0)</f>
        <v>41110</v>
      </c>
      <c r="K13" s="4">
        <f ca="1">T_Facebook_Ads[[#This Row],[engagement_rate]]*RANDBETWEEN(8,12)/10</f>
        <v>2.7199999999999998E-3</v>
      </c>
      <c r="L13" s="4">
        <f ca="1">ROUND(T_Facebook_Ads[[#This Row],[reach]]*RANDBETWEEN(8,12)/10,0)</f>
        <v>62468</v>
      </c>
      <c r="M13" s="4">
        <f ca="1">T_Facebook_Ads[[#This Row],[frequency]]*RANDBETWEEN(8,12)/10</f>
        <v>1.3199999999999998</v>
      </c>
      <c r="O13" s="3">
        <f t="shared" ca="1" si="1"/>
        <v>45130</v>
      </c>
      <c r="P13" s="4" t="s">
        <v>88</v>
      </c>
      <c r="Q13" s="4" t="s">
        <v>89</v>
      </c>
      <c r="R13" s="4" t="s">
        <v>90</v>
      </c>
      <c r="S13" s="4" t="s">
        <v>59</v>
      </c>
      <c r="T13" s="4">
        <f ca="1">ROUND(_Google_ads[[#This Row],[impressions]]*RANDBETWEEN(8,12)/10,0)</f>
        <v>121110</v>
      </c>
      <c r="U13" s="4">
        <f ca="1">ROUND(_Google_ads[[#This Row],[clicks]]*RANDBETWEEN(8,12)/10,0)</f>
        <v>391</v>
      </c>
      <c r="V13" s="4">
        <f ca="1">_Google_ads[[#This Row],[cost]]*RANDBETWEEN(8,12)/10</f>
        <v>147.94999999999999</v>
      </c>
      <c r="W13" s="4">
        <f ca="1">ROUND(_Google_ads[[#This Row],[conversions]]*RANDBETWEEN(8,12)/10,0)</f>
        <v>15</v>
      </c>
      <c r="X13" s="4">
        <f ca="1">ROUND(_Google_ads[[#This Row],[conversion_value]]*RANDBETWEEN(8,12)/10,0)</f>
        <v>630</v>
      </c>
      <c r="Y13" s="4">
        <f ca="1">_Google_ads[[#This Row],[ctr]]*RANDBETWEEN(8,12)/10</f>
        <v>4.3200000000000001E-3</v>
      </c>
      <c r="Z13" s="4">
        <f ca="1">_Google_ads[[#This Row],[avg_cpc]]*RANDBETWEEN(8,12)/10</f>
        <v>0.25200000000000006</v>
      </c>
      <c r="AA13" s="4">
        <f ca="1">ROUND(_Google_ads[[#This Row],[quality_score]]*RANDBETWEEN(8,12)/10,0)</f>
        <v>6</v>
      </c>
      <c r="AB13" s="4">
        <f ca="1">_Google_ads[[#This Row],[search_impression_share]]*RANDBETWEEN(8,12)/10</f>
        <v>0.39600000000000002</v>
      </c>
      <c r="AD13" s="3">
        <f t="shared" ca="1" si="2"/>
        <v>45133</v>
      </c>
      <c r="AE13" s="4" t="s">
        <v>112</v>
      </c>
      <c r="AF13" s="4" t="s">
        <v>113</v>
      </c>
      <c r="AG13" s="4" t="s">
        <v>114</v>
      </c>
      <c r="AH13" s="4" t="s">
        <v>115</v>
      </c>
      <c r="AI13" s="4">
        <f ca="1">ROUND(T_Tiktok_ads[[#This Row],[impressions]]*RANDBETWEEN(8,12)/10,0)</f>
        <v>367890</v>
      </c>
      <c r="AJ13" s="4">
        <f ca="1">ROUND(T_Tiktok_ads[[#This Row],[clicks]]*RANDBETWEEN(8,12)/10,0)</f>
        <v>4810</v>
      </c>
      <c r="AK13" s="4">
        <v>923.4</v>
      </c>
      <c r="AL13" s="4">
        <f ca="1">ROUND(T_Tiktok_ads[[#This Row],[conversions]]*RANDBETWEEN(8,12)/10,0)</f>
        <v>103</v>
      </c>
      <c r="AM13" s="4">
        <f ca="1">ROUND(T_Tiktok_ads[[#This Row],[video_views]]*RANDBETWEEN(8,12)/10,0)</f>
        <v>240987</v>
      </c>
      <c r="AN13" s="4">
        <f ca="1">ROUND(T_Tiktok_ads[[#This Row],[video_watch_25]]*RANDBETWEEN(8,12)/10,0)</f>
        <v>221110</v>
      </c>
      <c r="AO13" s="4">
        <f ca="1">ROUND(T_Tiktok_ads[[#This Row],[video_watch_50]]*RANDBETWEEN(8,12)/10,0)</f>
        <v>196789</v>
      </c>
      <c r="AP13" s="4">
        <f ca="1">ROUND(T_Tiktok_ads[[#This Row],[video_watch_75]]*RANDBETWEEN(8,12)/10,0)</f>
        <v>168281</v>
      </c>
      <c r="AQ13" s="4">
        <f ca="1">ROUND(T_Tiktok_ads[[#This Row],[video_watch_100]]*RANDBETWEEN(8,12)/10,0)</f>
        <v>102802</v>
      </c>
      <c r="AR13" s="4">
        <f ca="1">ROUND(T_Tiktok_ads[[#This Row],[likes]]*RANDBETWEEN(8,12)/10,0)</f>
        <v>19481</v>
      </c>
      <c r="AS13" s="4">
        <f ca="1">ROUND(T_Tiktok_ads[[#This Row],[shares]]*RANDBETWEEN(8,12)/10,0)</f>
        <v>4310</v>
      </c>
      <c r="AT13" s="4">
        <f ca="1">ROUND(T_Tiktok_ads[[#This Row],[comments]]*RANDBETWEEN(8,12)/10,0)</f>
        <v>1289</v>
      </c>
      <c r="AV13" s="5">
        <f t="shared" ca="1" si="3"/>
        <v>45135</v>
      </c>
      <c r="AW13">
        <f t="shared" ca="1" si="4"/>
        <v>6</v>
      </c>
      <c r="AX13">
        <f ca="1">ROUND(T_Facebook_Ads11596367717579[[#This Row],[impressions]]*RANDBETWEEN(8,12)/10,0)</f>
        <v>74679</v>
      </c>
      <c r="AY13">
        <f ca="1">ROUND(T_Facebook_Ads11596367717579[[#This Row],[clicks]]*RANDBETWEEN(8,12)/10,0)</f>
        <v>234</v>
      </c>
      <c r="AZ13">
        <f ca="1">T_Facebook_Ads11596367717579[[#This Row],[spend]]*RANDBETWEEN(8,12)/10</f>
        <v>96.66</v>
      </c>
      <c r="BA13">
        <f ca="1">ROUND(T_Facebook_Ads11596367717579[[#This Row],[conversions]]*RANDBETWEEN(8,12)/10,0)</f>
        <v>3</v>
      </c>
      <c r="BB13">
        <f ca="1">ROUND(T_Facebook_Ads11596367717579[[#This Row],[video_views]]*RANDBETWEEN(8,12)/10,0)</f>
        <v>36999</v>
      </c>
    </row>
    <row r="14" spans="1:54" ht="15.75" thickBot="1" x14ac:dyDescent="0.3">
      <c r="A14" s="3">
        <f t="shared" ca="1" si="0"/>
        <v>45133</v>
      </c>
      <c r="B14" s="4" t="s">
        <v>52</v>
      </c>
      <c r="C14" s="4" t="s">
        <v>53</v>
      </c>
      <c r="D14" s="4" t="s">
        <v>54</v>
      </c>
      <c r="E14" s="4" t="s">
        <v>55</v>
      </c>
      <c r="F14" s="4">
        <f ca="1">ROUND(T_Facebook_Ads[[#This Row],[impressions]]*RANDBETWEEN(8,12)/10,0)</f>
        <v>42110</v>
      </c>
      <c r="G14" s="4">
        <v>934</v>
      </c>
      <c r="H14" s="4">
        <f ca="1">T_Facebook_Ads[[#This Row],[spend]]*RANDBETWEEN(8,12)/10</f>
        <v>157.44</v>
      </c>
      <c r="I14" s="4">
        <f ca="1">ROUND(T_Facebook_Ads[[#This Row],[conversions]]*RANDBETWEEN(8,12)/10,0)</f>
        <v>10</v>
      </c>
      <c r="J14" s="4">
        <f ca="1">ROUND(T_Facebook_Ads[[#This Row],[video_views]]*RANDBETWEEN(8,12)/10,0)</f>
        <v>8567</v>
      </c>
      <c r="K14" s="4">
        <f ca="1">T_Facebook_Ads[[#This Row],[engagement_rate]]*RANDBETWEEN(8,12)/10</f>
        <v>2.1999999999999999E-2</v>
      </c>
      <c r="L14" s="4">
        <f ca="1">ROUND(T_Facebook_Ads[[#This Row],[reach]]*RANDBETWEEN(8,12)/10,0)</f>
        <v>39234</v>
      </c>
      <c r="M14" s="4">
        <f ca="1">T_Facebook_Ads[[#This Row],[frequency]]*RANDBETWEEN(8,12)/10</f>
        <v>1.071</v>
      </c>
      <c r="O14" s="3">
        <f t="shared" ca="1" si="1"/>
        <v>45123</v>
      </c>
      <c r="P14" s="4" t="s">
        <v>76</v>
      </c>
      <c r="Q14" s="4" t="s">
        <v>77</v>
      </c>
      <c r="R14" s="4" t="s">
        <v>78</v>
      </c>
      <c r="S14" s="4" t="s">
        <v>79</v>
      </c>
      <c r="T14" s="4">
        <f ca="1">ROUND(_Google_ads[[#This Row],[impressions]]*RANDBETWEEN(8,12)/10,0)</f>
        <v>23890</v>
      </c>
      <c r="U14" s="4">
        <f ca="1">ROUND(_Google_ads[[#This Row],[clicks]]*RANDBETWEEN(8,12)/10,0)</f>
        <v>1111</v>
      </c>
      <c r="V14" s="4">
        <f ca="1">_Google_ads[[#This Row],[cost]]*RANDBETWEEN(8,12)/10</f>
        <v>258.39</v>
      </c>
      <c r="W14" s="4">
        <f ca="1">ROUND(_Google_ads[[#This Row],[conversions]]*RANDBETWEEN(8,12)/10,0)</f>
        <v>46</v>
      </c>
      <c r="X14" s="4">
        <f ca="1">ROUND(_Google_ads[[#This Row],[conversion_value]]*RANDBETWEEN(8,12)/10,0)</f>
        <v>2760</v>
      </c>
      <c r="Y14" s="4">
        <f ca="1">_Google_ads[[#This Row],[ctr]]*RANDBETWEEN(8,12)/10</f>
        <v>5.6869999999999997E-2</v>
      </c>
      <c r="Z14" s="4">
        <f ca="1">_Google_ads[[#This Row],[avg_cpc]]*RANDBETWEEN(8,12)/10</f>
        <v>0.17099999999999999</v>
      </c>
      <c r="AA14" s="4">
        <f ca="1">ROUND(_Google_ads[[#This Row],[quality_score]]*RANDBETWEEN(8,12)/10,0)</f>
        <v>11</v>
      </c>
      <c r="AB14" s="4">
        <f ca="1">_Google_ads[[#This Row],[search_impression_share]]*RANDBETWEEN(8,12)/10</f>
        <v>0.72799999999999998</v>
      </c>
      <c r="AD14" s="3">
        <f t="shared" ca="1" si="2"/>
        <v>45112</v>
      </c>
      <c r="AE14" s="4" t="s">
        <v>100</v>
      </c>
      <c r="AF14" s="4" t="s">
        <v>101</v>
      </c>
      <c r="AG14" s="4" t="s">
        <v>102</v>
      </c>
      <c r="AH14" s="4" t="s">
        <v>103</v>
      </c>
      <c r="AI14" s="4">
        <f ca="1">ROUND(T_Tiktok_ads[[#This Row],[impressions]]*RANDBETWEEN(8,12)/10,0)</f>
        <v>257657</v>
      </c>
      <c r="AJ14" s="4">
        <f ca="1">ROUND(T_Tiktok_ads[[#This Row],[clicks]]*RANDBETWEEN(8,12)/10,0)</f>
        <v>3120</v>
      </c>
      <c r="AK14" s="4">
        <v>460.2</v>
      </c>
      <c r="AL14" s="4">
        <f ca="1">ROUND(T_Tiktok_ads[[#This Row],[conversions]]*RANDBETWEEN(8,12)/10,0)</f>
        <v>39</v>
      </c>
      <c r="AM14" s="4">
        <f ca="1">ROUND(T_Tiktok_ads[[#This Row],[video_views]]*RANDBETWEEN(8,12)/10,0)</f>
        <v>199234</v>
      </c>
      <c r="AN14" s="4">
        <f ca="1">ROUND(T_Tiktok_ads[[#This Row],[video_watch_25]]*RANDBETWEEN(8,12)/10,0)</f>
        <v>188147</v>
      </c>
      <c r="AO14" s="4">
        <f ca="1">ROUND(T_Tiktok_ads[[#This Row],[video_watch_50]]*RANDBETWEEN(8,12)/10,0)</f>
        <v>118547</v>
      </c>
      <c r="AP14" s="4">
        <f ca="1">ROUND(T_Tiktok_ads[[#This Row],[video_watch_75]]*RANDBETWEEN(8,12)/10,0)</f>
        <v>61010</v>
      </c>
      <c r="AQ14" s="4">
        <f ca="1">ROUND(T_Tiktok_ads[[#This Row],[video_watch_100]]*RANDBETWEEN(8,12)/10,0)</f>
        <v>50002</v>
      </c>
      <c r="AR14" s="4">
        <f ca="1">ROUND(T_Tiktok_ads[[#This Row],[likes]]*RANDBETWEEN(8,12)/10,0)</f>
        <v>8945</v>
      </c>
      <c r="AS14" s="4">
        <f ca="1">ROUND(T_Tiktok_ads[[#This Row],[shares]]*RANDBETWEEN(8,12)/10,0)</f>
        <v>2840</v>
      </c>
      <c r="AT14" s="4">
        <f ca="1">ROUND(T_Tiktok_ads[[#This Row],[comments]]*RANDBETWEEN(8,12)/10,0)</f>
        <v>694</v>
      </c>
      <c r="AV14" s="5">
        <f t="shared" ca="1" si="3"/>
        <v>45129</v>
      </c>
      <c r="AW14">
        <f t="shared" ca="1" si="4"/>
        <v>5</v>
      </c>
      <c r="AX14">
        <f ca="1">ROUND(T_Facebook_Ads11596367717579[[#This Row],[impressions]]*RANDBETWEEN(8,12)/10,0)</f>
        <v>33688</v>
      </c>
      <c r="AY14">
        <f ca="1">ROUND(T_Facebook_Ads11596367717579[[#This Row],[clicks]]*RANDBETWEEN(8,12)/10,0)</f>
        <v>1121</v>
      </c>
      <c r="AZ14">
        <f ca="1">T_Facebook_Ads11596367717579[[#This Row],[spend]]*RANDBETWEEN(8,12)/10</f>
        <v>125.952</v>
      </c>
      <c r="BA14">
        <f ca="1">ROUND(T_Facebook_Ads11596367717579[[#This Row],[conversions]]*RANDBETWEEN(8,12)/10,0)</f>
        <v>12</v>
      </c>
      <c r="BB14">
        <f ca="1">ROUND(T_Facebook_Ads11596367717579[[#This Row],[video_views]]*RANDBETWEEN(8,12)/10,0)</f>
        <v>9424</v>
      </c>
    </row>
    <row r="15" spans="1:54" ht="15.75" thickBot="1" x14ac:dyDescent="0.3">
      <c r="A15" s="3">
        <f t="shared" ca="1" si="0"/>
        <v>45109</v>
      </c>
      <c r="B15" s="4" t="s">
        <v>56</v>
      </c>
      <c r="C15" s="4" t="s">
        <v>57</v>
      </c>
      <c r="D15" s="4" t="s">
        <v>58</v>
      </c>
      <c r="E15" s="4" t="s">
        <v>59</v>
      </c>
      <c r="F15" s="4">
        <f ca="1">ROUND(T_Facebook_Ads[[#This Row],[impressions]]*RANDBETWEEN(8,12)/10,0)</f>
        <v>11601</v>
      </c>
      <c r="G15" s="4">
        <v>567</v>
      </c>
      <c r="H15" s="4">
        <f ca="1">T_Facebook_Ads[[#This Row],[spend]]*RANDBETWEEN(8,12)/10</f>
        <v>264.36</v>
      </c>
      <c r="I15" s="4">
        <f ca="1">ROUND(T_Facebook_Ads[[#This Row],[conversions]]*RANDBETWEEN(8,12)/10,0)</f>
        <v>36</v>
      </c>
      <c r="J15" s="4">
        <f ca="1">ROUND(T_Facebook_Ads[[#This Row],[video_views]]*RANDBETWEEN(8,12)/10,0)</f>
        <v>1345</v>
      </c>
      <c r="K15" s="4">
        <f ca="1">T_Facebook_Ads[[#This Row],[engagement_rate]]*RANDBETWEEN(8,12)/10</f>
        <v>4.8399999999999999E-2</v>
      </c>
      <c r="L15" s="4">
        <f ca="1">ROUND(T_Facebook_Ads[[#This Row],[reach]]*RANDBETWEEN(8,12)/10,0)</f>
        <v>8098</v>
      </c>
      <c r="M15" s="4">
        <f ca="1">T_Facebook_Ads[[#This Row],[frequency]]*RANDBETWEEN(8,12)/10</f>
        <v>1.27</v>
      </c>
      <c r="O15" s="3">
        <f t="shared" ca="1" si="1"/>
        <v>45131</v>
      </c>
      <c r="P15" s="4" t="s">
        <v>80</v>
      </c>
      <c r="Q15" s="4" t="s">
        <v>81</v>
      </c>
      <c r="R15" s="4" t="s">
        <v>82</v>
      </c>
      <c r="S15" s="4" t="s">
        <v>83</v>
      </c>
      <c r="T15" s="4">
        <f ca="1">ROUND(_Google_ads[[#This Row],[impressions]]*RANDBETWEEN(8,12)/10,0)</f>
        <v>50857</v>
      </c>
      <c r="U15" s="4">
        <f ca="1">ROUND(_Google_ads[[#This Row],[clicks]]*RANDBETWEEN(8,12)/10,0)</f>
        <v>1003</v>
      </c>
      <c r="V15" s="4">
        <f ca="1">_Google_ads[[#This Row],[cost]]*RANDBETWEEN(8,12)/10</f>
        <v>707.16</v>
      </c>
      <c r="W15" s="4">
        <f ca="1">ROUND(_Google_ads[[#This Row],[conversions]]*RANDBETWEEN(8,12)/10,0)</f>
        <v>29</v>
      </c>
      <c r="X15" s="4">
        <f ca="1">ROUND(_Google_ads[[#This Row],[conversion_value]]*RANDBETWEEN(8,12)/10,0)</f>
        <v>1440</v>
      </c>
      <c r="Y15" s="4">
        <f ca="1">_Google_ads[[#This Row],[ctr]]*RANDBETWEEN(8,12)/10</f>
        <v>1.7729999999999999E-2</v>
      </c>
      <c r="Z15" s="4">
        <f ca="1">_Google_ads[[#This Row],[avg_cpc]]*RANDBETWEEN(8,12)/10</f>
        <v>0.58500000000000008</v>
      </c>
      <c r="AA15" s="4">
        <f ca="1">ROUND(_Google_ads[[#This Row],[quality_score]]*RANDBETWEEN(8,12)/10,0)</f>
        <v>8</v>
      </c>
      <c r="AB15" s="4">
        <f ca="1">_Google_ads[[#This Row],[search_impression_share]]*RANDBETWEEN(8,12)/10</f>
        <v>0.40499999999999997</v>
      </c>
      <c r="AD15" s="3">
        <f t="shared" ca="1" si="2"/>
        <v>45120</v>
      </c>
      <c r="AE15" s="4" t="s">
        <v>104</v>
      </c>
      <c r="AF15" s="4" t="s">
        <v>105</v>
      </c>
      <c r="AG15" s="4" t="s">
        <v>106</v>
      </c>
      <c r="AH15" s="4" t="s">
        <v>107</v>
      </c>
      <c r="AI15" s="4">
        <f ca="1">ROUND(T_Tiktok_ads[[#This Row],[impressions]]*RANDBETWEEN(8,12)/10,0)</f>
        <v>128901</v>
      </c>
      <c r="AJ15" s="4">
        <f ca="1">ROUND(T_Tiktok_ads[[#This Row],[clicks]]*RANDBETWEEN(8,12)/10,0)</f>
        <v>2210</v>
      </c>
      <c r="AK15" s="4">
        <v>689.5</v>
      </c>
      <c r="AL15" s="4">
        <f ca="1">ROUND(T_Tiktok_ads[[#This Row],[conversions]]*RANDBETWEEN(8,12)/10,0)</f>
        <v>68</v>
      </c>
      <c r="AM15" s="4">
        <f ca="1">ROUND(T_Tiktok_ads[[#This Row],[video_views]]*RANDBETWEEN(8,12)/10,0)</f>
        <v>100357</v>
      </c>
      <c r="AN15" s="4">
        <f ca="1">ROUND(T_Tiktok_ads[[#This Row],[video_watch_25]]*RANDBETWEEN(8,12)/10,0)</f>
        <v>75057</v>
      </c>
      <c r="AO15" s="4">
        <f ca="1">ROUND(T_Tiktok_ads[[#This Row],[video_watch_50]]*RANDBETWEEN(8,12)/10,0)</f>
        <v>45789</v>
      </c>
      <c r="AP15" s="4">
        <f ca="1">ROUND(T_Tiktok_ads[[#This Row],[video_watch_75]]*RANDBETWEEN(8,12)/10,0)</f>
        <v>27654</v>
      </c>
      <c r="AQ15" s="4">
        <f ca="1">ROUND(T_Tiktok_ads[[#This Row],[video_watch_100]]*RANDBETWEEN(8,12)/10,0)</f>
        <v>18942</v>
      </c>
      <c r="AR15" s="4">
        <f ca="1">ROUND(T_Tiktok_ads[[#This Row],[likes]]*RANDBETWEEN(8,12)/10,0)</f>
        <v>3742</v>
      </c>
      <c r="AS15" s="4">
        <f ca="1">ROUND(T_Tiktok_ads[[#This Row],[shares]]*RANDBETWEEN(8,12)/10,0)</f>
        <v>1140</v>
      </c>
      <c r="AT15" s="4">
        <f ca="1">ROUND(T_Tiktok_ads[[#This Row],[comments]]*RANDBETWEEN(8,12)/10,0)</f>
        <v>237</v>
      </c>
      <c r="AV15" s="5">
        <f t="shared" ca="1" si="3"/>
        <v>45112</v>
      </c>
      <c r="AW15">
        <f t="shared" ca="1" si="4"/>
        <v>4</v>
      </c>
      <c r="AX15">
        <f ca="1">ROUND(T_Facebook_Ads11596367717579[[#This Row],[impressions]]*RANDBETWEEN(8,12)/10,0)</f>
        <v>12761</v>
      </c>
      <c r="AY15">
        <f ca="1">ROUND(T_Facebook_Ads11596367717579[[#This Row],[clicks]]*RANDBETWEEN(8,12)/10,0)</f>
        <v>624</v>
      </c>
      <c r="AZ15">
        <f ca="1">T_Facebook_Ads11596367717579[[#This Row],[spend]]*RANDBETWEEN(8,12)/10</f>
        <v>317.23200000000003</v>
      </c>
      <c r="BA15">
        <f ca="1">ROUND(T_Facebook_Ads11596367717579[[#This Row],[conversions]]*RANDBETWEEN(8,12)/10,0)</f>
        <v>43</v>
      </c>
      <c r="BB15">
        <f ca="1">ROUND(T_Facebook_Ads11596367717579[[#This Row],[video_views]]*RANDBETWEEN(8,12)/10,0)</f>
        <v>1480</v>
      </c>
    </row>
    <row r="16" spans="1:54" ht="15.75" thickBot="1" x14ac:dyDescent="0.3">
      <c r="A16" s="3">
        <f t="shared" ca="1" si="0"/>
        <v>45135</v>
      </c>
      <c r="B16" s="4" t="s">
        <v>64</v>
      </c>
      <c r="C16" s="4" t="s">
        <v>65</v>
      </c>
      <c r="D16" s="4" t="s">
        <v>66</v>
      </c>
      <c r="E16" s="4" t="s">
        <v>67</v>
      </c>
      <c r="F16" s="4">
        <f ca="1">ROUND(T_Facebook_Ads[[#This Row],[impressions]]*RANDBETWEEN(8,12)/10,0)</f>
        <v>85481</v>
      </c>
      <c r="G16" s="4">
        <v>256</v>
      </c>
      <c r="H16" s="4">
        <f ca="1">T_Facebook_Ads[[#This Row],[spend]]*RANDBETWEEN(8,12)/10</f>
        <v>113.75999999999999</v>
      </c>
      <c r="I16" s="4">
        <f ca="1">ROUND(T_Facebook_Ads[[#This Row],[conversions]]*RANDBETWEEN(8,12)/10,0)</f>
        <v>7</v>
      </c>
      <c r="J16" s="4">
        <f ca="1">ROUND(T_Facebook_Ads[[#This Row],[video_views]]*RANDBETWEEN(8,12)/10,0)</f>
        <v>48901</v>
      </c>
      <c r="K16" s="4">
        <f ca="1">T_Facebook_Ads[[#This Row],[engagement_rate]]*RANDBETWEEN(8,12)/10</f>
        <v>3.5999999999999999E-3</v>
      </c>
      <c r="L16" s="4">
        <f ca="1">ROUND(T_Facebook_Ads[[#This Row],[reach]]*RANDBETWEEN(8,12)/10,0)</f>
        <v>47387</v>
      </c>
      <c r="M16" s="4">
        <f ca="1">T_Facebook_Ads[[#This Row],[frequency]]*RANDBETWEEN(8,12)/10</f>
        <v>1.3199999999999998</v>
      </c>
      <c r="O16" s="3">
        <f t="shared" ca="1" si="1"/>
        <v>45122</v>
      </c>
      <c r="P16" s="4" t="s">
        <v>88</v>
      </c>
      <c r="Q16" s="4" t="s">
        <v>89</v>
      </c>
      <c r="R16" s="4" t="s">
        <v>90</v>
      </c>
      <c r="S16" s="4" t="s">
        <v>59</v>
      </c>
      <c r="T16" s="4">
        <f ca="1">ROUND(_Google_ads[[#This Row],[impressions]]*RANDBETWEEN(8,12)/10,0)</f>
        <v>128901</v>
      </c>
      <c r="U16" s="4">
        <f ca="1">ROUND(_Google_ads[[#This Row],[clicks]]*RANDBETWEEN(8,12)/10,0)</f>
        <v>374</v>
      </c>
      <c r="V16" s="4">
        <f ca="1">_Google_ads[[#This Row],[cost]]*RANDBETWEEN(8,12)/10</f>
        <v>103.12</v>
      </c>
      <c r="W16" s="4">
        <f ca="1">ROUND(_Google_ads[[#This Row],[conversions]]*RANDBETWEEN(8,12)/10,0)</f>
        <v>14</v>
      </c>
      <c r="X16" s="4">
        <f ca="1">ROUND(_Google_ads[[#This Row],[conversion_value]]*RANDBETWEEN(8,12)/10,0)</f>
        <v>715</v>
      </c>
      <c r="Y16" s="4">
        <f ca="1">_Google_ads[[#This Row],[ctr]]*RANDBETWEEN(8,12)/10</f>
        <v>2.8799999999999997E-3</v>
      </c>
      <c r="Z16" s="4">
        <f ca="1">_Google_ads[[#This Row],[avg_cpc]]*RANDBETWEEN(8,12)/10</f>
        <v>0.28000000000000003</v>
      </c>
      <c r="AA16" s="4">
        <f ca="1">ROUND(_Google_ads[[#This Row],[quality_score]]*RANDBETWEEN(8,12)/10,0)</f>
        <v>8</v>
      </c>
      <c r="AB16" s="4">
        <f ca="1">_Google_ads[[#This Row],[search_impression_share]]*RANDBETWEEN(8,12)/10</f>
        <v>0.40800000000000003</v>
      </c>
      <c r="AD16" s="3">
        <f t="shared" ca="1" si="2"/>
        <v>45119</v>
      </c>
      <c r="AE16" s="4" t="s">
        <v>112</v>
      </c>
      <c r="AF16" s="4" t="s">
        <v>113</v>
      </c>
      <c r="AG16" s="4" t="s">
        <v>114</v>
      </c>
      <c r="AH16" s="4" t="s">
        <v>115</v>
      </c>
      <c r="AI16" s="4">
        <f ca="1">ROUND(T_Tiktok_ads[[#This Row],[impressions]]*RANDBETWEEN(8,12)/10,0)</f>
        <v>356789</v>
      </c>
      <c r="AJ16" s="4">
        <f ca="1">ROUND(T_Tiktok_ads[[#This Row],[clicks]]*RANDBETWEEN(8,12)/10,0)</f>
        <v>6417</v>
      </c>
      <c r="AK16" s="4">
        <v>901.2</v>
      </c>
      <c r="AL16" s="4">
        <f ca="1">ROUND(T_Tiktok_ads[[#This Row],[conversions]]*RANDBETWEEN(8,12)/10,0)</f>
        <v>91</v>
      </c>
      <c r="AM16" s="4">
        <f ca="1">ROUND(T_Tiktok_ads[[#This Row],[video_views]]*RANDBETWEEN(8,12)/10,0)</f>
        <v>322802</v>
      </c>
      <c r="AN16" s="4">
        <f ca="1">ROUND(T_Tiktok_ads[[#This Row],[video_watch_25]]*RANDBETWEEN(8,12)/10,0)</f>
        <v>215311</v>
      </c>
      <c r="AO16" s="4">
        <f ca="1">ROUND(T_Tiktok_ads[[#This Row],[video_watch_50]]*RANDBETWEEN(8,12)/10,0)</f>
        <v>172111</v>
      </c>
      <c r="AP16" s="4">
        <f ca="1">ROUND(T_Tiktok_ads[[#This Row],[video_watch_75]]*RANDBETWEEN(8,12)/10,0)</f>
        <v>163481</v>
      </c>
      <c r="AQ16" s="4">
        <f ca="1">ROUND(T_Tiktok_ads[[#This Row],[video_watch_100]]*RANDBETWEEN(8,12)/10,0)</f>
        <v>99257</v>
      </c>
      <c r="AR16" s="4">
        <f ca="1">ROUND(T_Tiktok_ads[[#This Row],[likes]]*RANDBETWEEN(8,12)/10,0)</f>
        <v>19068</v>
      </c>
      <c r="AS16" s="4">
        <f ca="1">ROUND(T_Tiktok_ads[[#This Row],[shares]]*RANDBETWEEN(8,12)/10,0)</f>
        <v>4171</v>
      </c>
      <c r="AT16" s="4">
        <f ca="1">ROUND(T_Tiktok_ads[[#This Row],[comments]]*RANDBETWEEN(8,12)/10,0)</f>
        <v>1507</v>
      </c>
      <c r="AV16" s="5">
        <f t="shared" ca="1" si="3"/>
        <v>45109</v>
      </c>
      <c r="AW16">
        <f t="shared" ca="1" si="4"/>
        <v>8</v>
      </c>
      <c r="AX16">
        <f ca="1">ROUND(T_Facebook_Ads11596367717579[[#This Row],[impressions]]*RANDBETWEEN(8,12)/10,0)</f>
        <v>68385</v>
      </c>
      <c r="AY16">
        <f ca="1">ROUND(T_Facebook_Ads11596367717579[[#This Row],[clicks]]*RANDBETWEEN(8,12)/10,0)</f>
        <v>256</v>
      </c>
      <c r="AZ16">
        <f ca="1">T_Facebook_Ads11596367717579[[#This Row],[spend]]*RANDBETWEEN(8,12)/10</f>
        <v>102.38399999999999</v>
      </c>
      <c r="BA16">
        <f ca="1">ROUND(T_Facebook_Ads11596367717579[[#This Row],[conversions]]*RANDBETWEEN(8,12)/10,0)</f>
        <v>8</v>
      </c>
      <c r="BB16">
        <f ca="1">ROUND(T_Facebook_Ads11596367717579[[#This Row],[video_views]]*RANDBETWEEN(8,12)/10,0)</f>
        <v>48901</v>
      </c>
    </row>
    <row r="17" spans="1:54" ht="15.75" thickBot="1" x14ac:dyDescent="0.3">
      <c r="A17" s="3">
        <f t="shared" ca="1" si="0"/>
        <v>45126</v>
      </c>
      <c r="B17" s="4" t="s">
        <v>52</v>
      </c>
      <c r="C17" s="4" t="s">
        <v>53</v>
      </c>
      <c r="D17" s="4" t="s">
        <v>54</v>
      </c>
      <c r="E17" s="4" t="s">
        <v>55</v>
      </c>
      <c r="F17" s="4">
        <f ca="1">ROUND(T_Facebook_Ads[[#This Row],[impressions]]*RANDBETWEEN(8,12)/10,0)</f>
        <v>40110</v>
      </c>
      <c r="G17" s="4">
        <v>878</v>
      </c>
      <c r="H17" s="4">
        <f ca="1">T_Facebook_Ads[[#This Row],[spend]]*RANDBETWEEN(8,12)/10</f>
        <v>100.47999999999999</v>
      </c>
      <c r="I17" s="4">
        <f ca="1">ROUND(T_Facebook_Ads[[#This Row],[conversions]]*RANDBETWEEN(8,12)/10,0)</f>
        <v>11</v>
      </c>
      <c r="J17" s="4">
        <f ca="1">ROUND(T_Facebook_Ads[[#This Row],[video_views]]*RANDBETWEEN(8,12)/10,0)</f>
        <v>8123</v>
      </c>
      <c r="K17" s="4">
        <f ca="1">T_Facebook_Ads[[#This Row],[engagement_rate]]*RANDBETWEEN(8,12)/10</f>
        <v>1.576E-2</v>
      </c>
      <c r="L17" s="4">
        <f ca="1">ROUND(T_Facebook_Ads[[#This Row],[reach]]*RANDBETWEEN(8,12)/10,0)</f>
        <v>41202</v>
      </c>
      <c r="M17" s="4">
        <f ca="1">T_Facebook_Ads[[#This Row],[frequency]]*RANDBETWEEN(8,12)/10</f>
        <v>1.3089999999999999</v>
      </c>
      <c r="O17" s="3">
        <f t="shared" ca="1" si="1"/>
        <v>45121</v>
      </c>
      <c r="P17" s="4" t="s">
        <v>76</v>
      </c>
      <c r="Q17" s="4" t="s">
        <v>77</v>
      </c>
      <c r="R17" s="4" t="s">
        <v>78</v>
      </c>
      <c r="S17" s="4" t="s">
        <v>79</v>
      </c>
      <c r="T17" s="4">
        <f ca="1">ROUND(_Google_ads[[#This Row],[impressions]]*RANDBETWEEN(8,12)/10,0)</f>
        <v>19387</v>
      </c>
      <c r="U17" s="4">
        <f ca="1">ROUND(_Google_ads[[#This Row],[clicks]]*RANDBETWEEN(8,12)/10,0)</f>
        <v>1520</v>
      </c>
      <c r="V17" s="4">
        <f ca="1">_Google_ads[[#This Row],[cost]]*RANDBETWEEN(8,12)/10</f>
        <v>192.95999999999998</v>
      </c>
      <c r="W17" s="4">
        <f ca="1">ROUND(_Google_ads[[#This Row],[conversions]]*RANDBETWEEN(8,12)/10,0)</f>
        <v>56</v>
      </c>
      <c r="X17" s="4">
        <f ca="1">ROUND(_Google_ads[[#This Row],[conversion_value]]*RANDBETWEEN(8,12)/10,0)</f>
        <v>2820</v>
      </c>
      <c r="Y17" s="4">
        <f ca="1">_Google_ads[[#This Row],[ctr]]*RANDBETWEEN(8,12)/10</f>
        <v>6.2759999999999996E-2</v>
      </c>
      <c r="Z17" s="4">
        <f ca="1">_Google_ads[[#This Row],[avg_cpc]]*RANDBETWEEN(8,12)/10</f>
        <v>0.20899999999999999</v>
      </c>
      <c r="AA17" s="4">
        <f ca="1">ROUND(_Google_ads[[#This Row],[quality_score]]*RANDBETWEEN(8,12)/10,0)</f>
        <v>8</v>
      </c>
      <c r="AB17" s="4">
        <f ca="1">_Google_ads[[#This Row],[search_impression_share]]*RANDBETWEEN(8,12)/10</f>
        <v>0.82800000000000007</v>
      </c>
      <c r="AD17" s="3">
        <f t="shared" ca="1" si="2"/>
        <v>45137</v>
      </c>
      <c r="AE17" s="4" t="s">
        <v>100</v>
      </c>
      <c r="AF17" s="4" t="s">
        <v>101</v>
      </c>
      <c r="AG17" s="4" t="s">
        <v>102</v>
      </c>
      <c r="AH17" s="4" t="s">
        <v>103</v>
      </c>
      <c r="AI17" s="4">
        <f ca="1">ROUND(T_Tiktok_ads[[#This Row],[impressions]]*RANDBETWEEN(8,12)/10,0)</f>
        <v>294679</v>
      </c>
      <c r="AJ17" s="4">
        <f ca="1">ROUND(T_Tiktok_ads[[#This Row],[clicks]]*RANDBETWEEN(8,12)/10,0)</f>
        <v>4734</v>
      </c>
      <c r="AK17" s="4">
        <v>523.4</v>
      </c>
      <c r="AL17" s="4">
        <f ca="1">ROUND(T_Tiktok_ads[[#This Row],[conversions]]*RANDBETWEEN(8,12)/10,0)</f>
        <v>40</v>
      </c>
      <c r="AM17" s="4">
        <f ca="1">ROUND(T_Tiktok_ads[[#This Row],[video_views]]*RANDBETWEEN(8,12)/10,0)</f>
        <v>176987</v>
      </c>
      <c r="AN17" s="4">
        <f ca="1">ROUND(T_Tiktok_ads[[#This Row],[video_watch_25]]*RANDBETWEEN(8,12)/10,0)</f>
        <v>173456</v>
      </c>
      <c r="AO17" s="4">
        <f ca="1">ROUND(T_Tiktok_ads[[#This Row],[video_watch_50]]*RANDBETWEEN(8,12)/10,0)</f>
        <v>131081</v>
      </c>
      <c r="AP17" s="4">
        <f ca="1">ROUND(T_Tiktok_ads[[#This Row],[video_watch_75]]*RANDBETWEEN(8,12)/10,0)</f>
        <v>88280</v>
      </c>
      <c r="AQ17" s="4">
        <f ca="1">ROUND(T_Tiktok_ads[[#This Row],[video_watch_100]]*RANDBETWEEN(8,12)/10,0)</f>
        <v>44311</v>
      </c>
      <c r="AR17" s="4">
        <f ca="1">ROUND(T_Tiktok_ads[[#This Row],[likes]]*RANDBETWEEN(8,12)/10,0)</f>
        <v>11747</v>
      </c>
      <c r="AS17" s="4">
        <f ca="1">ROUND(T_Tiktok_ads[[#This Row],[shares]]*RANDBETWEEN(8,12)/10,0)</f>
        <v>2897</v>
      </c>
      <c r="AT17" s="4">
        <f ca="1">ROUND(T_Tiktok_ads[[#This Row],[comments]]*RANDBETWEEN(8,12)/10,0)</f>
        <v>561</v>
      </c>
      <c r="AV17" s="5">
        <f t="shared" ca="1" si="3"/>
        <v>45119</v>
      </c>
      <c r="AW17">
        <f t="shared" ca="1" si="4"/>
        <v>1</v>
      </c>
      <c r="AX17">
        <f ca="1">ROUND(T_Facebook_Ads11596367717579[[#This Row],[impressions]]*RANDBETWEEN(8,12)/10,0)</f>
        <v>44121</v>
      </c>
      <c r="AY17">
        <f ca="1">ROUND(T_Facebook_Ads11596367717579[[#This Row],[clicks]]*RANDBETWEEN(8,12)/10,0)</f>
        <v>1054</v>
      </c>
      <c r="AZ17">
        <f ca="1">T_Facebook_Ads11596367717579[[#This Row],[spend]]*RANDBETWEEN(8,12)/10</f>
        <v>120.57599999999998</v>
      </c>
      <c r="BA17">
        <f ca="1">ROUND(T_Facebook_Ads11596367717579[[#This Row],[conversions]]*RANDBETWEEN(8,12)/10,0)</f>
        <v>13</v>
      </c>
      <c r="BB17">
        <f ca="1">ROUND(T_Facebook_Ads11596367717579[[#This Row],[video_views]]*RANDBETWEEN(8,12)/10,0)</f>
        <v>8123</v>
      </c>
    </row>
    <row r="18" spans="1:54" ht="15.75" thickBot="1" x14ac:dyDescent="0.3">
      <c r="A18" s="3">
        <f t="shared" ca="1" si="0"/>
        <v>45117</v>
      </c>
      <c r="B18" s="4" t="s">
        <v>60</v>
      </c>
      <c r="C18" s="4" t="s">
        <v>61</v>
      </c>
      <c r="D18" s="4" t="s">
        <v>62</v>
      </c>
      <c r="E18" s="4" t="s">
        <v>63</v>
      </c>
      <c r="F18" s="4">
        <f ca="1">ROUND(T_Facebook_Ads[[#This Row],[impressions]]*RANDBETWEEN(8,12)/10,0)</f>
        <v>39246</v>
      </c>
      <c r="G18" s="4">
        <v>1289</v>
      </c>
      <c r="H18" s="4">
        <f ca="1">T_Facebook_Ads[[#This Row],[spend]]*RANDBETWEEN(8,12)/10</f>
        <v>234.71999999999997</v>
      </c>
      <c r="I18" s="4">
        <f ca="1">ROUND(T_Facebook_Ads[[#This Row],[conversions]]*RANDBETWEEN(8,12)/10,0)</f>
        <v>29</v>
      </c>
      <c r="J18" s="4">
        <f ca="1">ROUND(T_Facebook_Ads[[#This Row],[video_views]]*RANDBETWEEN(8,12)/10,0)</f>
        <v>4210</v>
      </c>
      <c r="K18" s="4">
        <f ca="1">T_Facebook_Ads[[#This Row],[engagement_rate]]*RANDBETWEEN(8,12)/10</f>
        <v>3.61E-2</v>
      </c>
      <c r="L18" s="4">
        <f ca="1">ROUND(T_Facebook_Ads[[#This Row],[reach]]*RANDBETWEEN(8,12)/10,0)</f>
        <v>32280</v>
      </c>
      <c r="M18" s="4">
        <f ca="1">T_Facebook_Ads[[#This Row],[frequency]]*RANDBETWEEN(8,12)/10</f>
        <v>1.464</v>
      </c>
      <c r="O18" s="3">
        <f t="shared" ca="1" si="1"/>
        <v>45116</v>
      </c>
      <c r="P18" s="4" t="s">
        <v>84</v>
      </c>
      <c r="Q18" s="4" t="s">
        <v>85</v>
      </c>
      <c r="R18" s="4" t="s">
        <v>86</v>
      </c>
      <c r="S18" s="4" t="s">
        <v>87</v>
      </c>
      <c r="T18" s="4">
        <f ca="1">ROUND(_Google_ads[[#This Row],[impressions]]*RANDBETWEEN(8,12)/10,0)</f>
        <v>57876</v>
      </c>
      <c r="U18" s="4">
        <f ca="1">ROUND(_Google_ads[[#This Row],[clicks]]*RANDBETWEEN(8,12)/10,0)</f>
        <v>2378</v>
      </c>
      <c r="V18" s="4">
        <f ca="1">_Google_ads[[#This Row],[cost]]*RANDBETWEEN(8,12)/10</f>
        <v>476.18999999999994</v>
      </c>
      <c r="W18" s="4">
        <f ca="1">ROUND(_Google_ads[[#This Row],[conversions]]*RANDBETWEEN(8,12)/10,0)</f>
        <v>83</v>
      </c>
      <c r="X18" s="4">
        <f ca="1">ROUND(_Google_ads[[#This Row],[conversion_value]]*RANDBETWEEN(8,12)/10,0)</f>
        <v>2760</v>
      </c>
      <c r="Y18" s="4">
        <f ca="1">_Google_ads[[#This Row],[ctr]]*RANDBETWEEN(8,12)/10</f>
        <v>2.632E-2</v>
      </c>
      <c r="Z18" s="4">
        <f ca="1">_Google_ads[[#This Row],[avg_cpc]]*RANDBETWEEN(8,12)/10</f>
        <v>0.19800000000000001</v>
      </c>
      <c r="AA18" s="4">
        <f ca="1">ROUND(_Google_ads[[#This Row],[quality_score]]*RANDBETWEEN(8,12)/10,0)</f>
        <v>7</v>
      </c>
      <c r="AB18" s="4">
        <f ca="1">_Google_ads[[#This Row],[search_impression_share]]*RANDBETWEEN(8,12)/10</f>
        <v>0.60299999999999998</v>
      </c>
      <c r="AD18" s="3">
        <f t="shared" ca="1" si="2"/>
        <v>45121</v>
      </c>
      <c r="AE18" s="4" t="s">
        <v>108</v>
      </c>
      <c r="AF18" s="4" t="s">
        <v>109</v>
      </c>
      <c r="AG18" s="4" t="s">
        <v>110</v>
      </c>
      <c r="AH18" s="4" t="s">
        <v>111</v>
      </c>
      <c r="AI18" s="4">
        <f ca="1">ROUND(T_Tiktok_ads[[#This Row],[impressions]]*RANDBETWEEN(8,12)/10,0)</f>
        <v>246814</v>
      </c>
      <c r="AJ18" s="4">
        <f ca="1">ROUND(T_Tiktok_ads[[#This Row],[clicks]]*RANDBETWEEN(8,12)/10,0)</f>
        <v>3557</v>
      </c>
      <c r="AK18" s="4">
        <v>387.8</v>
      </c>
      <c r="AL18" s="4">
        <f ca="1">ROUND(T_Tiktok_ads[[#This Row],[conversions]]*RANDBETWEEN(8,12)/10,0)</f>
        <v>30</v>
      </c>
      <c r="AM18" s="4">
        <f ca="1">ROUND(T_Tiktok_ads[[#This Row],[video_views]]*RANDBETWEEN(8,12)/10,0)</f>
        <v>129876</v>
      </c>
      <c r="AN18" s="4">
        <f ca="1">ROUND(T_Tiktok_ads[[#This Row],[video_watch_25]]*RANDBETWEEN(8,12)/10,0)</f>
        <v>124567</v>
      </c>
      <c r="AO18" s="4">
        <f ca="1">ROUND(T_Tiktok_ads[[#This Row],[video_watch_50]]*RANDBETWEEN(8,12)/10,0)</f>
        <v>108791</v>
      </c>
      <c r="AP18" s="4">
        <f ca="1">ROUND(T_Tiktok_ads[[#This Row],[video_watch_75]]*RANDBETWEEN(8,12)/10,0)</f>
        <v>50587</v>
      </c>
      <c r="AQ18" s="4">
        <f ca="1">ROUND(T_Tiktok_ads[[#This Row],[video_watch_100]]*RANDBETWEEN(8,12)/10,0)</f>
        <v>30587</v>
      </c>
      <c r="AR18" s="4">
        <f ca="1">ROUND(T_Tiktok_ads[[#This Row],[likes]]*RANDBETWEEN(8,12)/10,0)</f>
        <v>7567</v>
      </c>
      <c r="AS18" s="4">
        <f ca="1">ROUND(T_Tiktok_ads[[#This Row],[shares]]*RANDBETWEEN(8,12)/10,0)</f>
        <v>2089</v>
      </c>
      <c r="AT18" s="4">
        <f ca="1">ROUND(T_Tiktok_ads[[#This Row],[comments]]*RANDBETWEEN(8,12)/10,0)</f>
        <v>401</v>
      </c>
      <c r="AV18" s="5">
        <f t="shared" ca="1" si="3"/>
        <v>45115</v>
      </c>
      <c r="AW18">
        <f t="shared" ca="1" si="4"/>
        <v>3</v>
      </c>
      <c r="AX18">
        <f ca="1">ROUND(T_Facebook_Ads11596367717579[[#This Row],[impressions]]*RANDBETWEEN(8,12)/10,0)</f>
        <v>43171</v>
      </c>
      <c r="AY18">
        <f ca="1">ROUND(T_Facebook_Ads11596367717579[[#This Row],[clicks]]*RANDBETWEEN(8,12)/10,0)</f>
        <v>1547</v>
      </c>
      <c r="AZ18">
        <f ca="1">T_Facebook_Ads11596367717579[[#This Row],[spend]]*RANDBETWEEN(8,12)/10</f>
        <v>234.71999999999997</v>
      </c>
      <c r="BA18">
        <f ca="1">ROUND(T_Facebook_Ads11596367717579[[#This Row],[conversions]]*RANDBETWEEN(8,12)/10,0)</f>
        <v>32</v>
      </c>
      <c r="BB18">
        <f ca="1">ROUND(T_Facebook_Ads11596367717579[[#This Row],[video_views]]*RANDBETWEEN(8,12)/10,0)</f>
        <v>5052</v>
      </c>
    </row>
    <row r="19" spans="1:54" ht="15.75" thickBot="1" x14ac:dyDescent="0.3">
      <c r="A19" s="3">
        <f t="shared" ca="1" si="0"/>
        <v>45121</v>
      </c>
      <c r="B19" s="4" t="s">
        <v>64</v>
      </c>
      <c r="C19" s="4" t="s">
        <v>65</v>
      </c>
      <c r="D19" s="4" t="s">
        <v>66</v>
      </c>
      <c r="E19" s="4" t="s">
        <v>67</v>
      </c>
      <c r="F19" s="4">
        <f ca="1">ROUND(T_Facebook_Ads[[#This Row],[impressions]]*RANDBETWEEN(8,12)/10,0)</f>
        <v>76402</v>
      </c>
      <c r="G19" s="4">
        <v>245</v>
      </c>
      <c r="H19" s="4">
        <f ca="1">T_Facebook_Ads[[#This Row],[spend]]*RANDBETWEEN(8,12)/10</f>
        <v>72.960000000000008</v>
      </c>
      <c r="I19" s="4">
        <f ca="1">ROUND(T_Facebook_Ads[[#This Row],[conversions]]*RANDBETWEEN(8,12)/10,0)</f>
        <v>6</v>
      </c>
      <c r="J19" s="4">
        <f ca="1">ROUND(T_Facebook_Ads[[#This Row],[video_views]]*RANDBETWEEN(8,12)/10,0)</f>
        <v>56681</v>
      </c>
      <c r="K19" s="4">
        <f ca="1">T_Facebook_Ads[[#This Row],[engagement_rate]]*RANDBETWEEN(8,12)/10</f>
        <v>3.8500000000000001E-3</v>
      </c>
      <c r="L19" s="4">
        <f ca="1">ROUND(T_Facebook_Ads[[#This Row],[reach]]*RANDBETWEEN(8,12)/10,0)</f>
        <v>63679</v>
      </c>
      <c r="M19" s="4">
        <f ca="1">T_Facebook_Ads[[#This Row],[frequency]]*RANDBETWEEN(8,12)/10</f>
        <v>1.2</v>
      </c>
      <c r="O19" s="3">
        <f t="shared" ca="1" si="1"/>
        <v>45124</v>
      </c>
      <c r="P19" s="4" t="s">
        <v>88</v>
      </c>
      <c r="Q19" s="4" t="s">
        <v>89</v>
      </c>
      <c r="R19" s="4" t="s">
        <v>90</v>
      </c>
      <c r="S19" s="4" t="s">
        <v>59</v>
      </c>
      <c r="T19" s="4">
        <f ca="1">ROUND(_Google_ads[[#This Row],[impressions]]*RANDBETWEEN(8,12)/10,0)</f>
        <v>118111</v>
      </c>
      <c r="U19" s="4">
        <f ca="1">ROUND(_Google_ads[[#This Row],[clicks]]*RANDBETWEEN(8,12)/10,0)</f>
        <v>478</v>
      </c>
      <c r="V19" s="4">
        <f ca="1">_Google_ads[[#This Row],[cost]]*RANDBETWEEN(8,12)/10</f>
        <v>132.4</v>
      </c>
      <c r="W19" s="4">
        <f ca="1">ROUND(_Google_ads[[#This Row],[conversions]]*RANDBETWEEN(8,12)/10,0)</f>
        <v>16</v>
      </c>
      <c r="X19" s="4">
        <f ca="1">ROUND(_Google_ads[[#This Row],[conversion_value]]*RANDBETWEEN(8,12)/10,0)</f>
        <v>585</v>
      </c>
      <c r="Y19" s="4">
        <f ca="1">_Google_ads[[#This Row],[ctr]]*RANDBETWEEN(8,12)/10</f>
        <v>3.2399999999999998E-3</v>
      </c>
      <c r="Z19" s="4">
        <f ca="1">_Google_ads[[#This Row],[avg_cpc]]*RANDBETWEEN(8,12)/10</f>
        <v>0.33600000000000002</v>
      </c>
      <c r="AA19" s="4">
        <f ca="1">ROUND(_Google_ads[[#This Row],[quality_score]]*RANDBETWEEN(8,12)/10,0)</f>
        <v>6</v>
      </c>
      <c r="AB19" s="4">
        <f ca="1">_Google_ads[[#This Row],[search_impression_share]]*RANDBETWEEN(8,12)/10</f>
        <v>0.27999999999999997</v>
      </c>
      <c r="AD19" s="3">
        <f t="shared" ca="1" si="2"/>
        <v>45135</v>
      </c>
      <c r="AE19" s="4" t="s">
        <v>112</v>
      </c>
      <c r="AF19" s="4" t="s">
        <v>113</v>
      </c>
      <c r="AG19" s="4" t="s">
        <v>114</v>
      </c>
      <c r="AH19" s="4" t="s">
        <v>115</v>
      </c>
      <c r="AI19" s="4">
        <f ca="1">ROUND(T_Tiktok_ads[[#This Row],[impressions]]*RANDBETWEEN(8,12)/10,0)</f>
        <v>303121</v>
      </c>
      <c r="AJ19" s="4">
        <f ca="1">ROUND(T_Tiktok_ads[[#This Row],[clicks]]*RANDBETWEEN(8,12)/10,0)</f>
        <v>4898</v>
      </c>
      <c r="AK19" s="4">
        <v>945.6</v>
      </c>
      <c r="AL19" s="4">
        <f ca="1">ROUND(T_Tiktok_ads[[#This Row],[conversions]]*RANDBETWEEN(8,12)/10,0)</f>
        <v>106</v>
      </c>
      <c r="AM19" s="4">
        <f ca="1">ROUND(T_Tiktok_ads[[#This Row],[video_views]]*RANDBETWEEN(8,12)/10,0)</f>
        <v>281111</v>
      </c>
      <c r="AN19" s="4">
        <f ca="1">ROUND(T_Tiktok_ads[[#This Row],[video_watch_25]]*RANDBETWEEN(8,12)/10,0)</f>
        <v>251234</v>
      </c>
      <c r="AO19" s="4">
        <f ca="1">ROUND(T_Tiktok_ads[[#This Row],[video_watch_50]]*RANDBETWEEN(8,12)/10,0)</f>
        <v>221357</v>
      </c>
      <c r="AP19" s="4">
        <f ca="1">ROUND(T_Tiktok_ads[[#This Row],[video_watch_75]]*RANDBETWEEN(8,12)/10,0)</f>
        <v>143456</v>
      </c>
      <c r="AQ19" s="4">
        <f ca="1">ROUND(T_Tiktok_ads[[#This Row],[video_watch_100]]*RANDBETWEEN(8,12)/10,0)</f>
        <v>95234</v>
      </c>
      <c r="AR19" s="4">
        <f ca="1">ROUND(T_Tiktok_ads[[#This Row],[likes]]*RANDBETWEEN(8,12)/10,0)</f>
        <v>13254</v>
      </c>
      <c r="AS19" s="4">
        <f ca="1">ROUND(T_Tiktok_ads[[#This Row],[shares]]*RANDBETWEEN(8,12)/10,0)</f>
        <v>5305</v>
      </c>
      <c r="AT19" s="4">
        <f ca="1">ROUND(T_Tiktok_ads[[#This Row],[comments]]*RANDBETWEEN(8,12)/10,0)</f>
        <v>1312</v>
      </c>
      <c r="AV19" s="5">
        <f t="shared" ca="1" si="3"/>
        <v>45115</v>
      </c>
      <c r="AW19">
        <f t="shared" ca="1" si="4"/>
        <v>2</v>
      </c>
      <c r="AX19">
        <f ca="1">ROUND(T_Facebook_Ads11596367717579[[#This Row],[impressions]]*RANDBETWEEN(8,12)/10,0)</f>
        <v>76402</v>
      </c>
      <c r="AY19">
        <f ca="1">ROUND(T_Facebook_Ads11596367717579[[#This Row],[clicks]]*RANDBETWEEN(8,12)/10,0)</f>
        <v>245</v>
      </c>
      <c r="AZ19">
        <f ca="1">T_Facebook_Ads11596367717579[[#This Row],[spend]]*RANDBETWEEN(8,12)/10</f>
        <v>58.368000000000009</v>
      </c>
      <c r="BA19">
        <f ca="1">ROUND(T_Facebook_Ads11596367717579[[#This Row],[conversions]]*RANDBETWEEN(8,12)/10,0)</f>
        <v>6</v>
      </c>
      <c r="BB19">
        <f ca="1">ROUND(T_Facebook_Ads11596367717579[[#This Row],[video_views]]*RANDBETWEEN(8,12)/10,0)</f>
        <v>51013</v>
      </c>
    </row>
    <row r="20" spans="1:54" ht="15.75" thickBot="1" x14ac:dyDescent="0.3">
      <c r="A20" s="3">
        <f t="shared" ca="1" si="0"/>
        <v>45133</v>
      </c>
      <c r="B20" s="4" t="s">
        <v>52</v>
      </c>
      <c r="C20" s="4" t="s">
        <v>53</v>
      </c>
      <c r="D20" s="4" t="s">
        <v>54</v>
      </c>
      <c r="E20" s="4" t="s">
        <v>55</v>
      </c>
      <c r="F20" s="4">
        <f ca="1">ROUND(T_Facebook_Ads[[#This Row],[impressions]]*RANDBETWEEN(8,12)/10,0)</f>
        <v>39901</v>
      </c>
      <c r="G20" s="4">
        <v>1067</v>
      </c>
      <c r="H20" s="4">
        <f ca="1">T_Facebook_Ads[[#This Row],[spend]]*RANDBETWEEN(8,12)/10</f>
        <v>145.9</v>
      </c>
      <c r="I20" s="4">
        <f ca="1">ROUND(T_Facebook_Ads[[#This Row],[conversions]]*RANDBETWEEN(8,12)/10,0)</f>
        <v>16</v>
      </c>
      <c r="J20" s="4">
        <f ca="1">ROUND(T_Facebook_Ads[[#This Row],[video_views]]*RANDBETWEEN(8,12)/10,0)</f>
        <v>8610</v>
      </c>
      <c r="K20" s="4">
        <f ca="1">T_Facebook_Ads[[#This Row],[engagement_rate]]*RANDBETWEEN(8,12)/10</f>
        <v>2.3539999999999998E-2</v>
      </c>
      <c r="L20" s="4">
        <f ca="1">ROUND(T_Facebook_Ads[[#This Row],[reach]]*RANDBETWEEN(8,12)/10,0)</f>
        <v>32987</v>
      </c>
      <c r="M20" s="4">
        <f ca="1">T_Facebook_Ads[[#This Row],[frequency]]*RANDBETWEEN(8,12)/10</f>
        <v>1.331</v>
      </c>
      <c r="O20" s="3">
        <f t="shared" ca="1" si="1"/>
        <v>45118</v>
      </c>
      <c r="P20" s="4" t="s">
        <v>76</v>
      </c>
      <c r="Q20" s="4" t="s">
        <v>77</v>
      </c>
      <c r="R20" s="4" t="s">
        <v>78</v>
      </c>
      <c r="S20" s="4" t="s">
        <v>79</v>
      </c>
      <c r="T20" s="4">
        <f ca="1">ROUND(_Google_ads[[#This Row],[impressions]]*RANDBETWEEN(8,12)/10,0)</f>
        <v>26789</v>
      </c>
      <c r="U20" s="4">
        <f ca="1">ROUND(_Google_ads[[#This Row],[clicks]]*RANDBETWEEN(8,12)/10,0)</f>
        <v>1747</v>
      </c>
      <c r="V20" s="4">
        <f ca="1">_Google_ads[[#This Row],[cost]]*RANDBETWEEN(8,12)/10</f>
        <v>251.01</v>
      </c>
      <c r="W20" s="4">
        <f ca="1">ROUND(_Google_ads[[#This Row],[conversions]]*RANDBETWEEN(8,12)/10,0)</f>
        <v>43</v>
      </c>
      <c r="X20" s="4">
        <f ca="1">ROUND(_Google_ads[[#This Row],[conversion_value]]*RANDBETWEEN(8,12)/10,0)</f>
        <v>2700</v>
      </c>
      <c r="Y20" s="4">
        <f ca="1">_Google_ads[[#This Row],[ctr]]*RANDBETWEEN(8,12)/10</f>
        <v>5.439999999999999E-2</v>
      </c>
      <c r="Z20" s="4">
        <f ca="1">_Google_ads[[#This Row],[avg_cpc]]*RANDBETWEEN(8,12)/10</f>
        <v>0.22800000000000004</v>
      </c>
      <c r="AA20" s="4">
        <f ca="1">ROUND(_Google_ads[[#This Row],[quality_score]]*RANDBETWEEN(8,12)/10,0)</f>
        <v>10</v>
      </c>
      <c r="AB20" s="4">
        <f ca="1">_Google_ads[[#This Row],[search_impression_share]]*RANDBETWEEN(8,12)/10</f>
        <v>0.83700000000000008</v>
      </c>
      <c r="AD20" s="3">
        <f t="shared" ca="1" si="2"/>
        <v>45125</v>
      </c>
      <c r="AE20" s="4" t="s">
        <v>100</v>
      </c>
      <c r="AF20" s="4" t="s">
        <v>101</v>
      </c>
      <c r="AG20" s="4" t="s">
        <v>102</v>
      </c>
      <c r="AH20" s="4" t="s">
        <v>103</v>
      </c>
      <c r="AI20" s="4">
        <f ca="1">ROUND(T_Tiktok_ads[[#This Row],[impressions]]*RANDBETWEEN(8,12)/10,0)</f>
        <v>223121</v>
      </c>
      <c r="AJ20" s="4">
        <f ca="1">ROUND(T_Tiktok_ads[[#This Row],[clicks]]*RANDBETWEEN(8,12)/10,0)</f>
        <v>4123</v>
      </c>
      <c r="AK20" s="4">
        <v>545.6</v>
      </c>
      <c r="AL20" s="4">
        <f ca="1">ROUND(T_Tiktok_ads[[#This Row],[conversions]]*RANDBETWEEN(8,12)/10,0)</f>
        <v>46</v>
      </c>
      <c r="AM20" s="4">
        <f ca="1">ROUND(T_Tiktok_ads[[#This Row],[video_views]]*RANDBETWEEN(8,12)/10,0)</f>
        <v>229234</v>
      </c>
      <c r="AN20" s="4">
        <f ca="1">ROUND(T_Tiktok_ads[[#This Row],[video_watch_25]]*RANDBETWEEN(8,12)/10,0)</f>
        <v>197157</v>
      </c>
      <c r="AO20" s="4">
        <f ca="1">ROUND(T_Tiktok_ads[[#This Row],[video_watch_50]]*RANDBETWEEN(8,12)/10,0)</f>
        <v>101011</v>
      </c>
      <c r="AP20" s="4">
        <f ca="1">ROUND(T_Tiktok_ads[[#This Row],[video_watch_75]]*RANDBETWEEN(8,12)/10,0)</f>
        <v>75678</v>
      </c>
      <c r="AQ20" s="4">
        <f ca="1">ROUND(T_Tiktok_ads[[#This Row],[video_watch_100]]*RANDBETWEEN(8,12)/10,0)</f>
        <v>45211</v>
      </c>
      <c r="AR20" s="4">
        <f ca="1">ROUND(T_Tiktok_ads[[#This Row],[likes]]*RANDBETWEEN(8,12)/10,0)</f>
        <v>11135</v>
      </c>
      <c r="AS20" s="4">
        <f ca="1">ROUND(T_Tiktok_ads[[#This Row],[shares]]*RANDBETWEEN(8,12)/10,0)</f>
        <v>3254</v>
      </c>
      <c r="AT20" s="4">
        <f ca="1">ROUND(T_Tiktok_ads[[#This Row],[comments]]*RANDBETWEEN(8,12)/10,0)</f>
        <v>774</v>
      </c>
      <c r="AV20" s="5">
        <f t="shared" ca="1" si="3"/>
        <v>45109</v>
      </c>
      <c r="AW20">
        <f t="shared" ca="1" si="4"/>
        <v>7</v>
      </c>
      <c r="AX20">
        <f ca="1">ROUND(T_Facebook_Ads11596367717579[[#This Row],[impressions]]*RANDBETWEEN(8,12)/10,0)</f>
        <v>47881</v>
      </c>
      <c r="AY20">
        <f ca="1">ROUND(T_Facebook_Ads11596367717579[[#This Row],[clicks]]*RANDBETWEEN(8,12)/10,0)</f>
        <v>1280</v>
      </c>
      <c r="AZ20">
        <f ca="1">T_Facebook_Ads11596367717579[[#This Row],[spend]]*RANDBETWEEN(8,12)/10</f>
        <v>160.49</v>
      </c>
      <c r="BA20">
        <f ca="1">ROUND(T_Facebook_Ads11596367717579[[#This Row],[conversions]]*RANDBETWEEN(8,12)/10,0)</f>
        <v>13</v>
      </c>
      <c r="BB20">
        <f ca="1">ROUND(T_Facebook_Ads11596367717579[[#This Row],[video_views]]*RANDBETWEEN(8,12)/10,0)</f>
        <v>9471</v>
      </c>
    </row>
    <row r="21" spans="1:54" ht="15.75" thickBot="1" x14ac:dyDescent="0.3">
      <c r="A21" s="3">
        <f t="shared" ca="1" si="0"/>
        <v>45121</v>
      </c>
      <c r="B21" s="4" t="s">
        <v>56</v>
      </c>
      <c r="C21" s="4" t="s">
        <v>57</v>
      </c>
      <c r="D21" s="4" t="s">
        <v>58</v>
      </c>
      <c r="E21" s="4" t="s">
        <v>59</v>
      </c>
      <c r="F21" s="4">
        <f ca="1">ROUND(T_Facebook_Ads[[#This Row],[impressions]]*RANDBETWEEN(8,12)/10,0)</f>
        <v>12110</v>
      </c>
      <c r="G21" s="4">
        <v>623</v>
      </c>
      <c r="H21" s="4">
        <f ca="1">T_Facebook_Ads[[#This Row],[spend]]*RANDBETWEEN(8,12)/10</f>
        <v>214.02000000000004</v>
      </c>
      <c r="I21" s="4">
        <f ca="1">ROUND(T_Facebook_Ads[[#This Row],[conversions]]*RANDBETWEEN(8,12)/10,0)</f>
        <v>32</v>
      </c>
      <c r="J21" s="4">
        <f ca="1">ROUND(T_Facebook_Ads[[#This Row],[video_views]]*RANDBETWEEN(8,12)/10,0)</f>
        <v>1747</v>
      </c>
      <c r="K21" s="4">
        <f ca="1">T_Facebook_Ads[[#This Row],[engagement_rate]]*RANDBETWEEN(8,12)/10</f>
        <v>3.7040000000000003E-2</v>
      </c>
      <c r="L21" s="4">
        <f ca="1">ROUND(T_Facebook_Ads[[#This Row],[reach]]*RANDBETWEEN(8,12)/10,0)</f>
        <v>10567</v>
      </c>
      <c r="M21" s="4">
        <f ca="1">T_Facebook_Ads[[#This Row],[frequency]]*RANDBETWEEN(8,12)/10</f>
        <v>1.524</v>
      </c>
      <c r="O21" s="3">
        <f t="shared" ca="1" si="1"/>
        <v>45124</v>
      </c>
      <c r="P21" s="4" t="s">
        <v>80</v>
      </c>
      <c r="Q21" s="4" t="s">
        <v>81</v>
      </c>
      <c r="R21" s="4" t="s">
        <v>82</v>
      </c>
      <c r="S21" s="4" t="s">
        <v>83</v>
      </c>
      <c r="T21" s="4">
        <f ca="1">ROUND(_Google_ads[[#This Row],[impressions]]*RANDBETWEEN(8,12)/10,0)</f>
        <v>53480</v>
      </c>
      <c r="U21" s="4">
        <f ca="1">ROUND(_Google_ads[[#This Row],[clicks]]*RANDBETWEEN(8,12)/10,0)</f>
        <v>1054</v>
      </c>
      <c r="V21" s="4">
        <f ca="1">_Google_ads[[#This Row],[cost]]*RANDBETWEEN(8,12)/10</f>
        <v>567.20000000000005</v>
      </c>
      <c r="W21" s="4">
        <f ca="1">ROUND(_Google_ads[[#This Row],[conversions]]*RANDBETWEEN(8,12)/10,0)</f>
        <v>18</v>
      </c>
      <c r="X21" s="4">
        <f ca="1">ROUND(_Google_ads[[#This Row],[conversion_value]]*RANDBETWEEN(8,12)/10,0)</f>
        <v>990</v>
      </c>
      <c r="Y21" s="4">
        <f ca="1">_Google_ads[[#This Row],[ctr]]*RANDBETWEEN(8,12)/10</f>
        <v>1.576E-2</v>
      </c>
      <c r="Z21" s="4">
        <f ca="1">_Google_ads[[#This Row],[avg_cpc]]*RANDBETWEEN(8,12)/10</f>
        <v>0.71500000000000008</v>
      </c>
      <c r="AA21" s="4">
        <f ca="1">ROUND(_Google_ads[[#This Row],[quality_score]]*RANDBETWEEN(8,12)/10,0)</f>
        <v>5</v>
      </c>
      <c r="AB21" s="4">
        <f ca="1">_Google_ads[[#This Row],[search_impression_share]]*RANDBETWEEN(8,12)/10</f>
        <v>0.52800000000000002</v>
      </c>
      <c r="AD21" s="3">
        <f t="shared" ca="1" si="2"/>
        <v>45122</v>
      </c>
      <c r="AE21" s="4" t="s">
        <v>104</v>
      </c>
      <c r="AF21" s="4" t="s">
        <v>105</v>
      </c>
      <c r="AG21" s="4" t="s">
        <v>106</v>
      </c>
      <c r="AH21" s="4" t="s">
        <v>107</v>
      </c>
      <c r="AI21" s="4">
        <f ca="1">ROUND(T_Tiktok_ads[[#This Row],[impressions]]*RANDBETWEEN(8,12)/10,0)</f>
        <v>166681</v>
      </c>
      <c r="AJ21" s="4">
        <f ca="1">ROUND(T_Tiktok_ads[[#This Row],[clicks]]*RANDBETWEEN(8,12)/10,0)</f>
        <v>3214</v>
      </c>
      <c r="AK21" s="4">
        <v>734.5</v>
      </c>
      <c r="AL21" s="4">
        <f ca="1">ROUND(T_Tiktok_ads[[#This Row],[conversions]]*RANDBETWEEN(8,12)/10,0)</f>
        <v>73</v>
      </c>
      <c r="AM21" s="4">
        <f ca="1">ROUND(T_Tiktok_ads[[#This Row],[video_views]]*RANDBETWEEN(8,12)/10,0)</f>
        <v>88101</v>
      </c>
      <c r="AN21" s="4">
        <f ca="1">ROUND(T_Tiktok_ads[[#This Row],[video_watch_25]]*RANDBETWEEN(8,12)/10,0)</f>
        <v>72345</v>
      </c>
      <c r="AO21" s="4">
        <f ca="1">ROUND(T_Tiktok_ads[[#This Row],[video_watch_50]]*RANDBETWEEN(8,12)/10,0)</f>
        <v>39121</v>
      </c>
      <c r="AP21" s="4">
        <f ca="1">ROUND(T_Tiktok_ads[[#This Row],[video_watch_75]]*RANDBETWEEN(8,12)/10,0)</f>
        <v>29431</v>
      </c>
      <c r="AQ21" s="4">
        <f ca="1">ROUND(T_Tiktok_ads[[#This Row],[video_watch_100]]*RANDBETWEEN(8,12)/10,0)</f>
        <v>27379</v>
      </c>
      <c r="AR21" s="4">
        <f ca="1">ROUND(T_Tiktok_ads[[#This Row],[likes]]*RANDBETWEEN(8,12)/10,0)</f>
        <v>5881</v>
      </c>
      <c r="AS21" s="4">
        <f ca="1">ROUND(T_Tiktok_ads[[#This Row],[shares]]*RANDBETWEEN(8,12)/10,0)</f>
        <v>1220</v>
      </c>
      <c r="AT21" s="4">
        <f ca="1">ROUND(T_Tiktok_ads[[#This Row],[comments]]*RANDBETWEEN(8,12)/10,0)</f>
        <v>230</v>
      </c>
      <c r="AV21" s="5">
        <f t="shared" ca="1" si="3"/>
        <v>45118</v>
      </c>
      <c r="AW21">
        <f t="shared" ca="1" si="4"/>
        <v>5</v>
      </c>
      <c r="AX21">
        <f ca="1">ROUND(T_Facebook_Ads11596367717579[[#This Row],[impressions]]*RANDBETWEEN(8,12)/10,0)</f>
        <v>12110</v>
      </c>
      <c r="AY21">
        <f ca="1">ROUND(T_Facebook_Ads11596367717579[[#This Row],[clicks]]*RANDBETWEEN(8,12)/10,0)</f>
        <v>561</v>
      </c>
      <c r="AZ21">
        <f ca="1">T_Facebook_Ads11596367717579[[#This Row],[spend]]*RANDBETWEEN(8,12)/10</f>
        <v>214.02000000000004</v>
      </c>
      <c r="BA21">
        <f ca="1">ROUND(T_Facebook_Ads11596367717579[[#This Row],[conversions]]*RANDBETWEEN(8,12)/10,0)</f>
        <v>35</v>
      </c>
      <c r="BB21">
        <f ca="1">ROUND(T_Facebook_Ads11596367717579[[#This Row],[video_views]]*RANDBETWEEN(8,12)/10,0)</f>
        <v>1922</v>
      </c>
    </row>
    <row r="22" spans="1:54" ht="15.75" thickBot="1" x14ac:dyDescent="0.3">
      <c r="A22" s="3">
        <f t="shared" ca="1" si="0"/>
        <v>45119</v>
      </c>
      <c r="B22" s="4" t="s">
        <v>60</v>
      </c>
      <c r="C22" s="4" t="s">
        <v>61</v>
      </c>
      <c r="D22" s="4" t="s">
        <v>62</v>
      </c>
      <c r="E22" s="4" t="s">
        <v>63</v>
      </c>
      <c r="F22" s="4">
        <f ca="1">ROUND(T_Facebook_Ads[[#This Row],[impressions]]*RANDBETWEEN(8,12)/10,0)</f>
        <v>29787</v>
      </c>
      <c r="G22" s="4">
        <v>1367</v>
      </c>
      <c r="H22" s="4">
        <f ca="1">T_Facebook_Ads[[#This Row],[spend]]*RANDBETWEEN(8,12)/10</f>
        <v>249.48000000000002</v>
      </c>
      <c r="I22" s="4">
        <f ca="1">ROUND(T_Facebook_Ads[[#This Row],[conversions]]*RANDBETWEEN(8,12)/10,0)</f>
        <v>27</v>
      </c>
      <c r="J22" s="4">
        <f ca="1">ROUND(T_Facebook_Ads[[#This Row],[video_views]]*RANDBETWEEN(8,12)/10,0)</f>
        <v>6014</v>
      </c>
      <c r="K22" s="4">
        <f ca="1">T_Facebook_Ads[[#This Row],[engagement_rate]]*RANDBETWEEN(8,12)/10</f>
        <v>4.0370000000000003E-2</v>
      </c>
      <c r="L22" s="4">
        <f ca="1">ROUND(T_Facebook_Ads[[#This Row],[reach]]*RANDBETWEEN(8,12)/10,0)</f>
        <v>30678</v>
      </c>
      <c r="M22" s="4">
        <f ca="1">T_Facebook_Ads[[#This Row],[frequency]]*RANDBETWEEN(8,12)/10</f>
        <v>0.96799999999999997</v>
      </c>
      <c r="O22" s="3">
        <f t="shared" ca="1" si="1"/>
        <v>45123</v>
      </c>
      <c r="P22" s="4" t="s">
        <v>84</v>
      </c>
      <c r="Q22" s="4" t="s">
        <v>85</v>
      </c>
      <c r="R22" s="4" t="s">
        <v>86</v>
      </c>
      <c r="S22" s="4" t="s">
        <v>87</v>
      </c>
      <c r="T22" s="4">
        <f ca="1">ROUND(_Google_ads[[#This Row],[impressions]]*RANDBETWEEN(8,12)/10,0)</f>
        <v>77257</v>
      </c>
      <c r="U22" s="4">
        <f ca="1">ROUND(_Google_ads[[#This Row],[clicks]]*RANDBETWEEN(8,12)/10,0)</f>
        <v>2747</v>
      </c>
      <c r="V22" s="4">
        <f ca="1">_Google_ads[[#This Row],[cost]]*RANDBETWEEN(8,12)/10</f>
        <v>503.4</v>
      </c>
      <c r="W22" s="4">
        <f ca="1">ROUND(_Google_ads[[#This Row],[conversions]]*RANDBETWEEN(8,12)/10,0)</f>
        <v>79</v>
      </c>
      <c r="X22" s="4">
        <f ca="1">ROUND(_Google_ads[[#This Row],[conversion_value]]*RANDBETWEEN(8,12)/10,0)</f>
        <v>3300</v>
      </c>
      <c r="Y22" s="4">
        <f ca="1">_Google_ads[[#This Row],[ctr]]*RANDBETWEEN(8,12)/10</f>
        <v>3.9120000000000002E-2</v>
      </c>
      <c r="Z22" s="4">
        <f ca="1">_Google_ads[[#This Row],[avg_cpc]]*RANDBETWEEN(8,12)/10</f>
        <v>0.19800000000000001</v>
      </c>
      <c r="AA22" s="4">
        <f ca="1">ROUND(_Google_ads[[#This Row],[quality_score]]*RANDBETWEEN(8,12)/10,0)</f>
        <v>9</v>
      </c>
      <c r="AB22" s="4">
        <f ca="1">_Google_ads[[#This Row],[search_impression_share]]*RANDBETWEEN(8,12)/10</f>
        <v>0.66</v>
      </c>
      <c r="AD22" s="3">
        <f t="shared" ca="1" si="2"/>
        <v>45116</v>
      </c>
      <c r="AE22" s="4" t="s">
        <v>108</v>
      </c>
      <c r="AF22" s="4" t="s">
        <v>109</v>
      </c>
      <c r="AG22" s="4" t="s">
        <v>110</v>
      </c>
      <c r="AH22" s="4" t="s">
        <v>111</v>
      </c>
      <c r="AI22" s="4">
        <f ca="1">ROUND(T_Tiktok_ads[[#This Row],[impressions]]*RANDBETWEEN(8,12)/10,0)</f>
        <v>233580</v>
      </c>
      <c r="AJ22" s="4">
        <f ca="1">ROUND(T_Tiktok_ads[[#This Row],[clicks]]*RANDBETWEEN(8,12)/10,0)</f>
        <v>3011</v>
      </c>
      <c r="AK22" s="4">
        <v>401.1</v>
      </c>
      <c r="AL22" s="4">
        <f ca="1">ROUND(T_Tiktok_ads[[#This Row],[conversions]]*RANDBETWEEN(8,12)/10,0)</f>
        <v>34</v>
      </c>
      <c r="AM22" s="4">
        <f ca="1">ROUND(T_Tiktok_ads[[#This Row],[video_views]]*RANDBETWEEN(8,12)/10,0)</f>
        <v>184679</v>
      </c>
      <c r="AN22" s="4">
        <f ca="1">ROUND(T_Tiktok_ads[[#This Row],[video_watch_25]]*RANDBETWEEN(8,12)/10,0)</f>
        <v>141057</v>
      </c>
      <c r="AO22" s="4">
        <f ca="1">ROUND(T_Tiktok_ads[[#This Row],[video_watch_50]]*RANDBETWEEN(8,12)/10,0)</f>
        <v>80987</v>
      </c>
      <c r="AP22" s="4">
        <f ca="1">ROUND(T_Tiktok_ads[[#This Row],[video_watch_75]]*RANDBETWEEN(8,12)/10,0)</f>
        <v>71757</v>
      </c>
      <c r="AQ22" s="4">
        <f ca="1">ROUND(T_Tiktok_ads[[#This Row],[video_watch_100]]*RANDBETWEEN(8,12)/10,0)</f>
        <v>43402</v>
      </c>
      <c r="AR22" s="4">
        <f ca="1">ROUND(T_Tiktok_ads[[#This Row],[likes]]*RANDBETWEEN(8,12)/10,0)</f>
        <v>7789</v>
      </c>
      <c r="AS22" s="4">
        <f ca="1">ROUND(T_Tiktok_ads[[#This Row],[shares]]*RANDBETWEEN(8,12)/10,0)</f>
        <v>2574</v>
      </c>
      <c r="AT22" s="4">
        <f ca="1">ROUND(T_Tiktok_ads[[#This Row],[comments]]*RANDBETWEEN(8,12)/10,0)</f>
        <v>410</v>
      </c>
      <c r="AV22" s="5">
        <f t="shared" ca="1" si="3"/>
        <v>45111</v>
      </c>
      <c r="AW22">
        <f t="shared" ca="1" si="4"/>
        <v>2</v>
      </c>
      <c r="AX22">
        <f ca="1">ROUND(T_Facebook_Ads11596367717579[[#This Row],[impressions]]*RANDBETWEEN(8,12)/10,0)</f>
        <v>23830</v>
      </c>
      <c r="AY22">
        <f ca="1">ROUND(T_Facebook_Ads11596367717579[[#This Row],[clicks]]*RANDBETWEEN(8,12)/10,0)</f>
        <v>1230</v>
      </c>
      <c r="AZ22">
        <f ca="1">T_Facebook_Ads11596367717579[[#This Row],[spend]]*RANDBETWEEN(8,12)/10</f>
        <v>299.37600000000003</v>
      </c>
      <c r="BA22">
        <f ca="1">ROUND(T_Facebook_Ads11596367717579[[#This Row],[conversions]]*RANDBETWEEN(8,12)/10,0)</f>
        <v>24</v>
      </c>
      <c r="BB22">
        <f ca="1">ROUND(T_Facebook_Ads11596367717579[[#This Row],[video_views]]*RANDBETWEEN(8,12)/10,0)</f>
        <v>4811</v>
      </c>
    </row>
    <row r="23" spans="1:54" ht="15.75" thickBot="1" x14ac:dyDescent="0.3">
      <c r="A23" s="3">
        <f t="shared" ca="1" si="0"/>
        <v>45117</v>
      </c>
      <c r="B23" s="4" t="s">
        <v>52</v>
      </c>
      <c r="C23" s="4" t="s">
        <v>53</v>
      </c>
      <c r="D23" s="4" t="s">
        <v>54</v>
      </c>
      <c r="E23" s="4" t="s">
        <v>55</v>
      </c>
      <c r="F23" s="4">
        <f ca="1">ROUND(T_Facebook_Ads[[#This Row],[impressions]]*RANDBETWEEN(8,12)/10,0)</f>
        <v>47234</v>
      </c>
      <c r="G23" s="4">
        <v>945</v>
      </c>
      <c r="H23" s="4">
        <f ca="1">T_Facebook_Ads[[#This Row],[spend]]*RANDBETWEEN(8,12)/10</f>
        <v>135.4</v>
      </c>
      <c r="I23" s="4">
        <f ca="1">ROUND(T_Facebook_Ads[[#This Row],[conversions]]*RANDBETWEEN(8,12)/10,0)</f>
        <v>17</v>
      </c>
      <c r="J23" s="4">
        <f ca="1">ROUND(T_Facebook_Ads[[#This Row],[video_views]]*RANDBETWEEN(8,12)/10,0)</f>
        <v>7910</v>
      </c>
      <c r="K23" s="4">
        <f ca="1">T_Facebook_Ads[[#This Row],[engagement_rate]]*RANDBETWEEN(8,12)/10</f>
        <v>0.02</v>
      </c>
      <c r="L23" s="4">
        <f ca="1">ROUND(T_Facebook_Ads[[#This Row],[reach]]*RANDBETWEEN(8,12)/10,0)</f>
        <v>39567</v>
      </c>
      <c r="M23" s="4">
        <f ca="1">T_Facebook_Ads[[#This Row],[frequency]]*RANDBETWEEN(8,12)/10</f>
        <v>1.19</v>
      </c>
      <c r="O23" s="3">
        <f t="shared" ca="1" si="1"/>
        <v>45121</v>
      </c>
      <c r="P23" s="4" t="s">
        <v>76</v>
      </c>
      <c r="Q23" s="4" t="s">
        <v>77</v>
      </c>
      <c r="R23" s="4" t="s">
        <v>78</v>
      </c>
      <c r="S23" s="4" t="s">
        <v>79</v>
      </c>
      <c r="T23" s="4">
        <f ca="1">ROUND(_Google_ads[[#This Row],[impressions]]*RANDBETWEEN(8,12)/10,0)</f>
        <v>22567</v>
      </c>
      <c r="U23" s="4">
        <f ca="1">ROUND(_Google_ads[[#This Row],[clicks]]*RANDBETWEEN(8,12)/10,0)</f>
        <v>1361</v>
      </c>
      <c r="V23" s="4">
        <f ca="1">_Google_ads[[#This Row],[cost]]*RANDBETWEEN(8,12)/10</f>
        <v>260.16000000000003</v>
      </c>
      <c r="W23" s="4">
        <f ca="1">ROUND(_Google_ads[[#This Row],[conversions]]*RANDBETWEEN(8,12)/10,0)</f>
        <v>47</v>
      </c>
      <c r="X23" s="4">
        <f ca="1">ROUND(_Google_ads[[#This Row],[conversion_value]]*RANDBETWEEN(8,12)/10,0)</f>
        <v>2150</v>
      </c>
      <c r="Y23" s="4">
        <f ca="1">_Google_ads[[#This Row],[ctr]]*RANDBETWEEN(8,12)/10</f>
        <v>5.0299999999999997E-2</v>
      </c>
      <c r="Z23" s="4">
        <f ca="1">_Google_ads[[#This Row],[avg_cpc]]*RANDBETWEEN(8,12)/10</f>
        <v>0.22800000000000004</v>
      </c>
      <c r="AA23" s="4">
        <f ca="1">ROUND(_Google_ads[[#This Row],[quality_score]]*RANDBETWEEN(8,12)/10,0)</f>
        <v>9</v>
      </c>
      <c r="AB23" s="4">
        <f ca="1">_Google_ads[[#This Row],[search_impression_share]]*RANDBETWEEN(8,12)/10</f>
        <v>0.90999999999999992</v>
      </c>
      <c r="AD23" s="3">
        <f t="shared" ca="1" si="2"/>
        <v>45110</v>
      </c>
      <c r="AE23" s="4" t="s">
        <v>100</v>
      </c>
      <c r="AF23" s="4" t="s">
        <v>101</v>
      </c>
      <c r="AG23" s="4" t="s">
        <v>102</v>
      </c>
      <c r="AH23" s="4" t="s">
        <v>103</v>
      </c>
      <c r="AI23" s="4">
        <f ca="1">ROUND(T_Tiktok_ads[[#This Row],[impressions]]*RANDBETWEEN(8,12)/10,0)</f>
        <v>196187</v>
      </c>
      <c r="AJ23" s="4">
        <f ca="1">ROUND(T_Tiktok_ads[[#This Row],[clicks]]*RANDBETWEEN(8,12)/10,0)</f>
        <v>3578</v>
      </c>
      <c r="AK23" s="4">
        <v>474.3</v>
      </c>
      <c r="AL23" s="4">
        <f ca="1">ROUND(T_Tiktok_ads[[#This Row],[conversions]]*RANDBETWEEN(8,12)/10,0)</f>
        <v>37</v>
      </c>
      <c r="AM23" s="4">
        <f ca="1">ROUND(T_Tiktok_ads[[#This Row],[video_views]]*RANDBETWEEN(8,12)/10,0)</f>
        <v>203456</v>
      </c>
      <c r="AN23" s="4">
        <f ca="1">ROUND(T_Tiktok_ads[[#This Row],[video_watch_25]]*RANDBETWEEN(8,12)/10,0)</f>
        <v>158901</v>
      </c>
      <c r="AO23" s="4">
        <f ca="1">ROUND(T_Tiktok_ads[[#This Row],[video_watch_50]]*RANDBETWEEN(8,12)/10,0)</f>
        <v>119480</v>
      </c>
      <c r="AP23" s="4">
        <f ca="1">ROUND(T_Tiktok_ads[[#This Row],[video_watch_75]]*RANDBETWEEN(8,12)/10,0)</f>
        <v>75057</v>
      </c>
      <c r="AQ23" s="4">
        <f ca="1">ROUND(T_Tiktok_ads[[#This Row],[video_watch_100]]*RANDBETWEEN(8,12)/10,0)</f>
        <v>45789</v>
      </c>
      <c r="AR23" s="4">
        <f ca="1">ROUND(T_Tiktok_ads[[#This Row],[likes]]*RANDBETWEEN(8,12)/10,0)</f>
        <v>7182</v>
      </c>
      <c r="AS23" s="4">
        <f ca="1">ROUND(T_Tiktok_ads[[#This Row],[shares]]*RANDBETWEEN(8,12)/10,0)</f>
        <v>2628</v>
      </c>
      <c r="AT23" s="4">
        <f ca="1">ROUND(T_Tiktok_ads[[#This Row],[comments]]*RANDBETWEEN(8,12)/10,0)</f>
        <v>531</v>
      </c>
      <c r="AV23" s="5">
        <f t="shared" ca="1" si="3"/>
        <v>45137</v>
      </c>
      <c r="AW23">
        <f t="shared" ca="1" si="4"/>
        <v>8</v>
      </c>
      <c r="AX23">
        <f ca="1">ROUND(T_Facebook_Ads11596367717579[[#This Row],[impressions]]*RANDBETWEEN(8,12)/10,0)</f>
        <v>37787</v>
      </c>
      <c r="AY23">
        <f ca="1">ROUND(T_Facebook_Ads11596367717579[[#This Row],[clicks]]*RANDBETWEEN(8,12)/10,0)</f>
        <v>1040</v>
      </c>
      <c r="AZ23">
        <f ca="1">T_Facebook_Ads11596367717579[[#This Row],[spend]]*RANDBETWEEN(8,12)/10</f>
        <v>162.48000000000002</v>
      </c>
      <c r="BA23">
        <f ca="1">ROUND(T_Facebook_Ads11596367717579[[#This Row],[conversions]]*RANDBETWEEN(8,12)/10,0)</f>
        <v>19</v>
      </c>
      <c r="BB23">
        <f ca="1">ROUND(T_Facebook_Ads11596367717579[[#This Row],[video_views]]*RANDBETWEEN(8,12)/10,0)</f>
        <v>8701</v>
      </c>
    </row>
    <row r="24" spans="1:54" ht="15.75" thickBot="1" x14ac:dyDescent="0.3">
      <c r="A24" s="3">
        <f t="shared" ca="1" si="0"/>
        <v>45110</v>
      </c>
      <c r="B24" s="4" t="s">
        <v>56</v>
      </c>
      <c r="C24" s="4" t="s">
        <v>57</v>
      </c>
      <c r="D24" s="4" t="s">
        <v>58</v>
      </c>
      <c r="E24" s="4" t="s">
        <v>59</v>
      </c>
      <c r="F24" s="4">
        <f ca="1">ROUND(T_Facebook_Ads[[#This Row],[impressions]]*RANDBETWEEN(8,12)/10,0)</f>
        <v>12123</v>
      </c>
      <c r="G24" s="4">
        <v>534</v>
      </c>
      <c r="H24" s="4">
        <f ca="1">T_Facebook_Ads[[#This Row],[spend]]*RANDBETWEEN(8,12)/10</f>
        <v>254.88000000000002</v>
      </c>
      <c r="I24" s="4">
        <f ca="1">ROUND(T_Facebook_Ads[[#This Row],[conversions]]*RANDBETWEEN(8,12)/10,0)</f>
        <v>42</v>
      </c>
      <c r="J24" s="4">
        <f ca="1">ROUND(T_Facebook_Ads[[#This Row],[video_views]]*RANDBETWEEN(8,12)/10,0)</f>
        <v>1481</v>
      </c>
      <c r="K24" s="4">
        <f ca="1">T_Facebook_Ads[[#This Row],[engagement_rate]]*RANDBETWEEN(8,12)/10</f>
        <v>3.5279999999999999E-2</v>
      </c>
      <c r="L24" s="4">
        <f ca="1">ROUND(T_Facebook_Ads[[#This Row],[reach]]*RANDBETWEEN(8,12)/10,0)</f>
        <v>11480</v>
      </c>
      <c r="M24" s="4">
        <f ca="1">T_Facebook_Ads[[#This Row],[frequency]]*RANDBETWEEN(8,12)/10</f>
        <v>1.27</v>
      </c>
      <c r="O24" s="3">
        <f t="shared" ca="1" si="1"/>
        <v>45124</v>
      </c>
      <c r="P24" s="4" t="s">
        <v>80</v>
      </c>
      <c r="Q24" s="4" t="s">
        <v>81</v>
      </c>
      <c r="R24" s="4" t="s">
        <v>82</v>
      </c>
      <c r="S24" s="4" t="s">
        <v>83</v>
      </c>
      <c r="T24" s="4">
        <f ca="1">ROUND(_Google_ads[[#This Row],[impressions]]*RANDBETWEEN(8,12)/10,0)</f>
        <v>43411</v>
      </c>
      <c r="U24" s="4">
        <f ca="1">ROUND(_Google_ads[[#This Row],[clicks]]*RANDBETWEEN(8,12)/10,0)</f>
        <v>890</v>
      </c>
      <c r="V24" s="4">
        <f ca="1">_Google_ads[[#This Row],[cost]]*RANDBETWEEN(8,12)/10</f>
        <v>761.6400000000001</v>
      </c>
      <c r="W24" s="4">
        <f ca="1">ROUND(_Google_ads[[#This Row],[conversions]]*RANDBETWEEN(8,12)/10,0)</f>
        <v>29</v>
      </c>
      <c r="X24" s="4">
        <f ca="1">ROUND(_Google_ads[[#This Row],[conversion_value]]*RANDBETWEEN(8,12)/10,0)</f>
        <v>1170</v>
      </c>
      <c r="Y24" s="4">
        <f ca="1">_Google_ads[[#This Row],[ctr]]*RANDBETWEEN(8,12)/10</f>
        <v>1.6400000000000001E-2</v>
      </c>
      <c r="Z24" s="4">
        <f ca="1">_Google_ads[[#This Row],[avg_cpc]]*RANDBETWEEN(8,12)/10</f>
        <v>0.64</v>
      </c>
      <c r="AA24" s="4">
        <f ca="1">ROUND(_Google_ads[[#This Row],[quality_score]]*RANDBETWEEN(8,12)/10,0)</f>
        <v>6</v>
      </c>
      <c r="AB24" s="4">
        <f ca="1">_Google_ads[[#This Row],[search_impression_share]]*RANDBETWEEN(8,12)/10</f>
        <v>0.41400000000000003</v>
      </c>
      <c r="AD24" s="3">
        <f t="shared" ca="1" si="2"/>
        <v>45129</v>
      </c>
      <c r="AE24" s="4" t="s">
        <v>104</v>
      </c>
      <c r="AF24" s="4" t="s">
        <v>105</v>
      </c>
      <c r="AG24" s="4" t="s">
        <v>106</v>
      </c>
      <c r="AH24" s="4" t="s">
        <v>107</v>
      </c>
      <c r="AI24" s="4">
        <f ca="1">ROUND(T_Tiktok_ads[[#This Row],[impressions]]*RANDBETWEEN(8,12)/10,0)</f>
        <v>95387</v>
      </c>
      <c r="AJ24" s="4">
        <f ca="1">ROUND(T_Tiktok_ads[[#This Row],[clicks]]*RANDBETWEEN(8,12)/10,0)</f>
        <v>1787</v>
      </c>
      <c r="AK24" s="4">
        <v>645.6</v>
      </c>
      <c r="AL24" s="4">
        <f ca="1">ROUND(T_Tiktok_ads[[#This Row],[conversions]]*RANDBETWEEN(8,12)/10,0)</f>
        <v>64</v>
      </c>
      <c r="AM24" s="4">
        <f ca="1">ROUND(T_Tiktok_ads[[#This Row],[video_views]]*RANDBETWEEN(8,12)/10,0)</f>
        <v>85678</v>
      </c>
      <c r="AN24" s="4">
        <f ca="1">ROUND(T_Tiktok_ads[[#This Row],[video_watch_25]]*RANDBETWEEN(8,12)/10,0)</f>
        <v>50765</v>
      </c>
      <c r="AO24" s="4">
        <f ca="1">ROUND(T_Tiktok_ads[[#This Row],[video_watch_50]]*RANDBETWEEN(8,12)/10,0)</f>
        <v>38111</v>
      </c>
      <c r="AP24" s="4">
        <f ca="1">ROUND(T_Tiktok_ads[[#This Row],[video_watch_75]]*RANDBETWEEN(8,12)/10,0)</f>
        <v>25787</v>
      </c>
      <c r="AQ24" s="4">
        <f ca="1">ROUND(T_Tiktok_ads[[#This Row],[video_watch_100]]*RANDBETWEEN(8,12)/10,0)</f>
        <v>24457</v>
      </c>
      <c r="AR24" s="4">
        <f ca="1">ROUND(T_Tiktok_ads[[#This Row],[likes]]*RANDBETWEEN(8,12)/10,0)</f>
        <v>4345</v>
      </c>
      <c r="AS24" s="4">
        <f ca="1">ROUND(T_Tiktok_ads[[#This Row],[shares]]*RANDBETWEEN(8,12)/10,0)</f>
        <v>1070</v>
      </c>
      <c r="AT24" s="4">
        <f ca="1">ROUND(T_Tiktok_ads[[#This Row],[comments]]*RANDBETWEEN(8,12)/10,0)</f>
        <v>178</v>
      </c>
      <c r="AV24" s="5">
        <f t="shared" ca="1" si="3"/>
        <v>45135</v>
      </c>
      <c r="AW24">
        <f t="shared" ca="1" si="4"/>
        <v>8</v>
      </c>
      <c r="AX24">
        <f ca="1">ROUND(T_Facebook_Ads11596367717579[[#This Row],[impressions]]*RANDBETWEEN(8,12)/10,0)</f>
        <v>14548</v>
      </c>
      <c r="AY24">
        <f ca="1">ROUND(T_Facebook_Ads11596367717579[[#This Row],[clicks]]*RANDBETWEEN(8,12)/10,0)</f>
        <v>641</v>
      </c>
      <c r="AZ24">
        <f ca="1">T_Facebook_Ads11596367717579[[#This Row],[spend]]*RANDBETWEEN(8,12)/10</f>
        <v>229.392</v>
      </c>
      <c r="BA24">
        <f ca="1">ROUND(T_Facebook_Ads11596367717579[[#This Row],[conversions]]*RANDBETWEEN(8,12)/10,0)</f>
        <v>50</v>
      </c>
      <c r="BB24">
        <f ca="1">ROUND(T_Facebook_Ads11596367717579[[#This Row],[video_views]]*RANDBETWEEN(8,12)/10,0)</f>
        <v>1777</v>
      </c>
    </row>
    <row r="25" spans="1:54" ht="15.75" thickBot="1" x14ac:dyDescent="0.3">
      <c r="A25" s="3">
        <f t="shared" ca="1" si="0"/>
        <v>45126</v>
      </c>
      <c r="B25" s="4" t="s">
        <v>64</v>
      </c>
      <c r="C25" s="4" t="s">
        <v>65</v>
      </c>
      <c r="D25" s="4" t="s">
        <v>66</v>
      </c>
      <c r="E25" s="4" t="s">
        <v>67</v>
      </c>
      <c r="F25" s="4">
        <f ca="1">ROUND(T_Facebook_Ads[[#This Row],[impressions]]*RANDBETWEEN(8,12)/10,0)</f>
        <v>80802</v>
      </c>
      <c r="G25" s="4">
        <v>267</v>
      </c>
      <c r="H25" s="4">
        <f ca="1">T_Facebook_Ads[[#This Row],[spend]]*RANDBETWEEN(8,12)/10</f>
        <v>98.3</v>
      </c>
      <c r="I25" s="4">
        <f ca="1">ROUND(T_Facebook_Ads[[#This Row],[conversions]]*RANDBETWEEN(8,12)/10,0)</f>
        <v>8</v>
      </c>
      <c r="J25" s="4">
        <f ca="1">ROUND(T_Facebook_Ads[[#This Row],[video_views]]*RANDBETWEEN(8,12)/10,0)</f>
        <v>60148</v>
      </c>
      <c r="K25" s="4">
        <f ca="1">T_Facebook_Ads[[#This Row],[engagement_rate]]*RANDBETWEEN(8,12)/10</f>
        <v>3.5999999999999999E-3</v>
      </c>
      <c r="L25" s="4">
        <f ca="1">ROUND(T_Facebook_Ads[[#This Row],[reach]]*RANDBETWEEN(8,12)/10,0)</f>
        <v>54211</v>
      </c>
      <c r="M25" s="4">
        <f ca="1">T_Facebook_Ads[[#This Row],[frequency]]*RANDBETWEEN(8,12)/10</f>
        <v>1.22</v>
      </c>
      <c r="O25" s="3">
        <f t="shared" ca="1" si="1"/>
        <v>45118</v>
      </c>
      <c r="P25" s="4" t="s">
        <v>88</v>
      </c>
      <c r="Q25" s="4" t="s">
        <v>89</v>
      </c>
      <c r="R25" s="4" t="s">
        <v>90</v>
      </c>
      <c r="S25" s="4" t="s">
        <v>59</v>
      </c>
      <c r="T25" s="4">
        <f ca="1">ROUND(_Google_ads[[#This Row],[impressions]]*RANDBETWEEN(8,12)/10,0)</f>
        <v>150814</v>
      </c>
      <c r="U25" s="4">
        <f ca="1">ROUND(_Google_ads[[#This Row],[clicks]]*RANDBETWEEN(8,12)/10,0)</f>
        <v>445</v>
      </c>
      <c r="V25" s="4">
        <f ca="1">_Google_ads[[#This Row],[cost]]*RANDBETWEEN(8,12)/10</f>
        <v>109.17</v>
      </c>
      <c r="W25" s="4">
        <f ca="1">ROUND(_Google_ads[[#This Row],[conversions]]*RANDBETWEEN(8,12)/10,0)</f>
        <v>12</v>
      </c>
      <c r="X25" s="4">
        <f ca="1">ROUND(_Google_ads[[#This Row],[conversion_value]]*RANDBETWEEN(8,12)/10,0)</f>
        <v>605</v>
      </c>
      <c r="Y25" s="4">
        <f ca="1">_Google_ads[[#This Row],[ctr]]*RANDBETWEEN(8,12)/10</f>
        <v>4.2000000000000006E-3</v>
      </c>
      <c r="Z25" s="4">
        <f ca="1">_Google_ads[[#This Row],[avg_cpc]]*RANDBETWEEN(8,12)/10</f>
        <v>0.21600000000000003</v>
      </c>
      <c r="AA25" s="4">
        <f ca="1">ROUND(_Google_ads[[#This Row],[quality_score]]*RANDBETWEEN(8,12)/10,0)</f>
        <v>8</v>
      </c>
      <c r="AB25" s="4">
        <f ca="1">_Google_ads[[#This Row],[search_impression_share]]*RANDBETWEEN(8,12)/10</f>
        <v>0.34</v>
      </c>
      <c r="AD25" s="3">
        <f t="shared" ca="1" si="2"/>
        <v>45114</v>
      </c>
      <c r="AE25" s="4" t="s">
        <v>112</v>
      </c>
      <c r="AF25" s="4" t="s">
        <v>113</v>
      </c>
      <c r="AG25" s="4" t="s">
        <v>114</v>
      </c>
      <c r="AH25" s="4" t="s">
        <v>115</v>
      </c>
      <c r="AI25" s="4">
        <f ca="1">ROUND(T_Tiktok_ads[[#This Row],[impressions]]*RANDBETWEEN(8,12)/10,0)</f>
        <v>350111</v>
      </c>
      <c r="AJ25" s="4">
        <f ca="1">ROUND(T_Tiktok_ads[[#This Row],[clicks]]*RANDBETWEEN(8,12)/10,0)</f>
        <v>4987</v>
      </c>
      <c r="AK25" s="4">
        <v>967.8</v>
      </c>
      <c r="AL25" s="4">
        <f ca="1">ROUND(T_Tiktok_ads[[#This Row],[conversions]]*RANDBETWEEN(8,12)/10,0)</f>
        <v>98</v>
      </c>
      <c r="AM25" s="4">
        <f ca="1">ROUND(T_Tiktok_ads[[#This Row],[video_views]]*RANDBETWEEN(8,12)/10,0)</f>
        <v>353357</v>
      </c>
      <c r="AN25" s="4">
        <f ca="1">ROUND(T_Tiktok_ads[[#This Row],[video_watch_25]]*RANDBETWEEN(8,12)/10,0)</f>
        <v>310681</v>
      </c>
      <c r="AO25" s="4">
        <f ca="1">ROUND(T_Tiktok_ads[[#This Row],[video_watch_50]]*RANDBETWEEN(8,12)/10,0)</f>
        <v>166312</v>
      </c>
      <c r="AP25" s="4">
        <f ca="1">ROUND(T_Tiktok_ads[[#This Row],[video_watch_75]]*RANDBETWEEN(8,12)/10,0)</f>
        <v>147234</v>
      </c>
      <c r="AQ25" s="4">
        <f ca="1">ROUND(T_Tiktok_ads[[#This Row],[video_watch_100]]*RANDBETWEEN(8,12)/10,0)</f>
        <v>116947</v>
      </c>
      <c r="AR25" s="4">
        <f ca="1">ROUND(T_Tiktok_ads[[#This Row],[likes]]*RANDBETWEEN(8,12)/10,0)</f>
        <v>20281</v>
      </c>
      <c r="AS25" s="4">
        <f ca="1">ROUND(T_Tiktok_ads[[#This Row],[shares]]*RANDBETWEEN(8,12)/10,0)</f>
        <v>4421</v>
      </c>
      <c r="AT25" s="4">
        <f ca="1">ROUND(T_Tiktok_ads[[#This Row],[comments]]*RANDBETWEEN(8,12)/10,0)</f>
        <v>1076</v>
      </c>
      <c r="AV25" s="5">
        <f t="shared" ca="1" si="3"/>
        <v>45109</v>
      </c>
      <c r="AW25">
        <f t="shared" ca="1" si="4"/>
        <v>6</v>
      </c>
      <c r="AX25">
        <f ca="1">ROUND(T_Facebook_Ads11596367717579[[#This Row],[impressions]]*RANDBETWEEN(8,12)/10,0)</f>
        <v>72722</v>
      </c>
      <c r="AY25">
        <f ca="1">ROUND(T_Facebook_Ads11596367717579[[#This Row],[clicks]]*RANDBETWEEN(8,12)/10,0)</f>
        <v>214</v>
      </c>
      <c r="AZ25">
        <f ca="1">T_Facebook_Ads11596367717579[[#This Row],[spend]]*RANDBETWEEN(8,12)/10</f>
        <v>78.64</v>
      </c>
      <c r="BA25">
        <f ca="1">ROUND(T_Facebook_Ads11596367717579[[#This Row],[conversions]]*RANDBETWEEN(8,12)/10,0)</f>
        <v>10</v>
      </c>
      <c r="BB25">
        <f ca="1">ROUND(T_Facebook_Ads11596367717579[[#This Row],[video_views]]*RANDBETWEEN(8,12)/10,0)</f>
        <v>60148</v>
      </c>
    </row>
    <row r="26" spans="1:54" ht="15.75" thickBot="1" x14ac:dyDescent="0.3">
      <c r="A26" s="3">
        <f t="shared" ca="1" si="0"/>
        <v>45136</v>
      </c>
      <c r="B26" s="4" t="s">
        <v>52</v>
      </c>
      <c r="C26" s="4" t="s">
        <v>53</v>
      </c>
      <c r="D26" s="4" t="s">
        <v>54</v>
      </c>
      <c r="E26" s="4" t="s">
        <v>55</v>
      </c>
      <c r="F26" s="4">
        <f ca="1">ROUND(T_Facebook_Ads[[#This Row],[impressions]]*RANDBETWEEN(8,12)/10,0)</f>
        <v>55135</v>
      </c>
      <c r="G26" s="4">
        <v>1012</v>
      </c>
      <c r="H26" s="4">
        <f ca="1">T_Facebook_Ads[[#This Row],[spend]]*RANDBETWEEN(8,12)/10</f>
        <v>170.04</v>
      </c>
      <c r="I26" s="4">
        <f ca="1">ROUND(T_Facebook_Ads[[#This Row],[conversions]]*RANDBETWEEN(8,12)/10,0)</f>
        <v>18</v>
      </c>
      <c r="J26" s="4">
        <f ca="1">ROUND(T_Facebook_Ads[[#This Row],[video_views]]*RANDBETWEEN(8,12)/10,0)</f>
        <v>11214</v>
      </c>
      <c r="K26" s="4">
        <f ca="1">T_Facebook_Ads[[#This Row],[engagement_rate]]*RANDBETWEEN(8,12)/10</f>
        <v>2.4240000000000001E-2</v>
      </c>
      <c r="L26" s="4">
        <f ca="1">ROUND(T_Facebook_Ads[[#This Row],[reach]]*RANDBETWEEN(8,12)/10,0)</f>
        <v>33512</v>
      </c>
      <c r="M26" s="4">
        <f ca="1">T_Facebook_Ads[[#This Row],[frequency]]*RANDBETWEEN(8,12)/10</f>
        <v>0.96</v>
      </c>
      <c r="O26" s="3">
        <f t="shared" ca="1" si="1"/>
        <v>45129</v>
      </c>
      <c r="P26" s="4" t="s">
        <v>76</v>
      </c>
      <c r="Q26" s="4" t="s">
        <v>77</v>
      </c>
      <c r="R26" s="4" t="s">
        <v>78</v>
      </c>
      <c r="S26" s="4" t="s">
        <v>79</v>
      </c>
      <c r="T26" s="4">
        <f ca="1">ROUND(_Google_ads[[#This Row],[impressions]]*RANDBETWEEN(8,12)/10,0)</f>
        <v>30281</v>
      </c>
      <c r="U26" s="4">
        <f ca="1">ROUND(_Google_ads[[#This Row],[clicks]]*RANDBETWEEN(8,12)/10,0)</f>
        <v>1574</v>
      </c>
      <c r="V26" s="4">
        <f ca="1">_Google_ads[[#This Row],[cost]]*RANDBETWEEN(8,12)/10</f>
        <v>275.33000000000004</v>
      </c>
      <c r="W26" s="4">
        <f ca="1">ROUND(_Google_ads[[#This Row],[conversions]]*RANDBETWEEN(8,12)/10,0)</f>
        <v>49</v>
      </c>
      <c r="X26" s="4">
        <f ca="1">ROUND(_Google_ads[[#This Row],[conversion_value]]*RANDBETWEEN(8,12)/10,0)</f>
        <v>2450</v>
      </c>
      <c r="Y26" s="4">
        <f ca="1">_Google_ads[[#This Row],[ctr]]*RANDBETWEEN(8,12)/10</f>
        <v>4.1599999999999998E-2</v>
      </c>
      <c r="Z26" s="4">
        <f ca="1">_Google_ads[[#This Row],[avg_cpc]]*RANDBETWEEN(8,12)/10</f>
        <v>0.152</v>
      </c>
      <c r="AA26" s="4">
        <f ca="1">ROUND(_Google_ads[[#This Row],[quality_score]]*RANDBETWEEN(8,12)/10,0)</f>
        <v>8</v>
      </c>
      <c r="AB26" s="4">
        <f ca="1">_Google_ads[[#This Row],[search_impression_share]]*RANDBETWEEN(8,12)/10</f>
        <v>0.92000000000000015</v>
      </c>
      <c r="AD26" s="3">
        <f t="shared" ca="1" si="2"/>
        <v>45111</v>
      </c>
      <c r="AE26" s="4" t="s">
        <v>100</v>
      </c>
      <c r="AF26" s="4" t="s">
        <v>101</v>
      </c>
      <c r="AG26" s="4" t="s">
        <v>102</v>
      </c>
      <c r="AH26" s="4" t="s">
        <v>103</v>
      </c>
      <c r="AI26" s="4">
        <f ca="1">ROUND(T_Tiktok_ads[[#This Row],[impressions]]*RANDBETWEEN(8,12)/10,0)</f>
        <v>346814</v>
      </c>
      <c r="AJ26" s="4">
        <f ca="1">ROUND(T_Tiktok_ads[[#This Row],[clicks]]*RANDBETWEEN(8,12)/10,0)</f>
        <v>5081</v>
      </c>
      <c r="AK26" s="4">
        <v>556.70000000000005</v>
      </c>
      <c r="AL26" s="4">
        <f ca="1">ROUND(T_Tiktok_ads[[#This Row],[conversions]]*RANDBETWEEN(8,12)/10,0)</f>
        <v>52</v>
      </c>
      <c r="AM26" s="4">
        <f ca="1">ROUND(T_Tiktok_ads[[#This Row],[video_views]]*RANDBETWEEN(8,12)/10,0)</f>
        <v>258024</v>
      </c>
      <c r="AN26" s="4">
        <f ca="1">ROUND(T_Tiktok_ads[[#This Row],[video_watch_25]]*RANDBETWEEN(8,12)/10,0)</f>
        <v>218814</v>
      </c>
      <c r="AO26" s="4">
        <f ca="1">ROUND(T_Tiktok_ads[[#This Row],[video_watch_50]]*RANDBETWEEN(8,12)/10,0)</f>
        <v>103110</v>
      </c>
      <c r="AP26" s="4">
        <f ca="1">ROUND(T_Tiktok_ads[[#This Row],[video_watch_75]]*RANDBETWEEN(8,12)/10,0)</f>
        <v>61787</v>
      </c>
      <c r="AQ26" s="4">
        <f ca="1">ROUND(T_Tiktok_ads[[#This Row],[video_watch_100]]*RANDBETWEEN(8,12)/10,0)</f>
        <v>40987</v>
      </c>
      <c r="AR26" s="4">
        <f ca="1">ROUND(T_Tiktok_ads[[#This Row],[likes]]*RANDBETWEEN(8,12)/10,0)</f>
        <v>9311</v>
      </c>
      <c r="AS26" s="4">
        <f ca="1">ROUND(T_Tiktok_ads[[#This Row],[shares]]*RANDBETWEEN(8,12)/10,0)</f>
        <v>3347</v>
      </c>
      <c r="AT26" s="4">
        <f ca="1">ROUND(T_Tiktok_ads[[#This Row],[comments]]*RANDBETWEEN(8,12)/10,0)</f>
        <v>590</v>
      </c>
      <c r="AV26" s="5">
        <f t="shared" ca="1" si="3"/>
        <v>45110</v>
      </c>
      <c r="AW26">
        <f t="shared" ca="1" si="4"/>
        <v>7</v>
      </c>
      <c r="AX26">
        <f ca="1">ROUND(T_Facebook_Ads11596367717579[[#This Row],[impressions]]*RANDBETWEEN(8,12)/10,0)</f>
        <v>49622</v>
      </c>
      <c r="AY26">
        <f ca="1">ROUND(T_Facebook_Ads11596367717579[[#This Row],[clicks]]*RANDBETWEEN(8,12)/10,0)</f>
        <v>1214</v>
      </c>
      <c r="AZ26">
        <f ca="1">T_Facebook_Ads11596367717579[[#This Row],[spend]]*RANDBETWEEN(8,12)/10</f>
        <v>153.036</v>
      </c>
      <c r="BA26">
        <f ca="1">ROUND(T_Facebook_Ads11596367717579[[#This Row],[conversions]]*RANDBETWEEN(8,12)/10,0)</f>
        <v>22</v>
      </c>
      <c r="BB26">
        <f ca="1">ROUND(T_Facebook_Ads11596367717579[[#This Row],[video_views]]*RANDBETWEEN(8,12)/10,0)</f>
        <v>10093</v>
      </c>
    </row>
    <row r="27" spans="1:54" ht="15.75" thickBot="1" x14ac:dyDescent="0.3">
      <c r="A27" s="3">
        <f t="shared" ca="1" si="0"/>
        <v>45130</v>
      </c>
      <c r="B27" s="4" t="s">
        <v>60</v>
      </c>
      <c r="C27" s="4" t="s">
        <v>61</v>
      </c>
      <c r="D27" s="4" t="s">
        <v>62</v>
      </c>
      <c r="E27" s="4" t="s">
        <v>63</v>
      </c>
      <c r="F27" s="4">
        <f ca="1">ROUND(T_Facebook_Ads[[#This Row],[impressions]]*RANDBETWEEN(8,12)/10,0)</f>
        <v>40102</v>
      </c>
      <c r="G27" s="4">
        <v>1312</v>
      </c>
      <c r="H27" s="4">
        <f ca="1">T_Facebook_Ads[[#This Row],[spend]]*RANDBETWEEN(8,12)/10</f>
        <v>239.76000000000005</v>
      </c>
      <c r="I27" s="4">
        <f ca="1">ROUND(T_Facebook_Ads[[#This Row],[conversions]]*RANDBETWEEN(8,12)/10,0)</f>
        <v>26</v>
      </c>
      <c r="J27" s="4">
        <f ca="1">ROUND(T_Facebook_Ads[[#This Row],[video_views]]*RANDBETWEEN(8,12)/10,0)</f>
        <v>5788</v>
      </c>
      <c r="K27" s="4">
        <f ca="1">T_Facebook_Ads[[#This Row],[engagement_rate]]*RANDBETWEEN(8,12)/10</f>
        <v>3.2399999999999998E-2</v>
      </c>
      <c r="L27" s="4">
        <f ca="1">ROUND(T_Facebook_Ads[[#This Row],[reach]]*RANDBETWEEN(8,12)/10,0)</f>
        <v>30234</v>
      </c>
      <c r="M27" s="4">
        <f ca="1">T_Facebook_Ads[[#This Row],[frequency]]*RANDBETWEEN(8,12)/10</f>
        <v>1.452</v>
      </c>
      <c r="O27" s="3">
        <f t="shared" ca="1" si="1"/>
        <v>45130</v>
      </c>
      <c r="P27" s="4" t="s">
        <v>84</v>
      </c>
      <c r="Q27" s="4" t="s">
        <v>85</v>
      </c>
      <c r="R27" s="4" t="s">
        <v>86</v>
      </c>
      <c r="S27" s="4" t="s">
        <v>87</v>
      </c>
      <c r="T27" s="4">
        <f ca="1">ROUND(_Google_ads[[#This Row],[impressions]]*RANDBETWEEN(8,12)/10,0)</f>
        <v>58765</v>
      </c>
      <c r="U27" s="4">
        <f ca="1">ROUND(_Google_ads[[#This Row],[clicks]]*RANDBETWEEN(8,12)/10,0)</f>
        <v>2423</v>
      </c>
      <c r="V27" s="4">
        <f ca="1">_Google_ads[[#This Row],[cost]]*RANDBETWEEN(8,12)/10</f>
        <v>530.16000000000008</v>
      </c>
      <c r="W27" s="4">
        <f ca="1">ROUND(_Google_ads[[#This Row],[conversions]]*RANDBETWEEN(8,12)/10,0)</f>
        <v>56</v>
      </c>
      <c r="X27" s="4">
        <f ca="1">ROUND(_Google_ads[[#This Row],[conversion_value]]*RANDBETWEEN(8,12)/10,0)</f>
        <v>4200</v>
      </c>
      <c r="Y27" s="4">
        <f ca="1">_Google_ads[[#This Row],[ctr]]*RANDBETWEEN(8,12)/10</f>
        <v>3.6299999999999999E-2</v>
      </c>
      <c r="Z27" s="4">
        <f ca="1">_Google_ads[[#This Row],[avg_cpc]]*RANDBETWEEN(8,12)/10</f>
        <v>0.16199999999999998</v>
      </c>
      <c r="AA27" s="4">
        <f ca="1">ROUND(_Google_ads[[#This Row],[quality_score]]*RANDBETWEEN(8,12)/10,0)</f>
        <v>7</v>
      </c>
      <c r="AB27" s="4">
        <f ca="1">_Google_ads[[#This Row],[search_impression_share]]*RANDBETWEEN(8,12)/10</f>
        <v>0.68</v>
      </c>
      <c r="AD27" s="3">
        <f t="shared" ca="1" si="2"/>
        <v>45119</v>
      </c>
      <c r="AE27" s="4" t="s">
        <v>108</v>
      </c>
      <c r="AF27" s="4" t="s">
        <v>109</v>
      </c>
      <c r="AG27" s="4" t="s">
        <v>110</v>
      </c>
      <c r="AH27" s="4" t="s">
        <v>111</v>
      </c>
      <c r="AI27" s="4">
        <f ca="1">ROUND(T_Tiktok_ads[[#This Row],[impressions]]*RANDBETWEEN(8,12)/10,0)</f>
        <v>175121</v>
      </c>
      <c r="AJ27" s="4">
        <f ca="1">ROUND(T_Tiktok_ads[[#This Row],[clicks]]*RANDBETWEEN(8,12)/10,0)</f>
        <v>4147</v>
      </c>
      <c r="AK27" s="4">
        <v>414.4</v>
      </c>
      <c r="AL27" s="4">
        <f ca="1">ROUND(T_Tiktok_ads[[#This Row],[conversions]]*RANDBETWEEN(8,12)/10,0)</f>
        <v>26</v>
      </c>
      <c r="AM27" s="4">
        <f ca="1">ROUND(T_Tiktok_ads[[#This Row],[video_views]]*RANDBETWEEN(8,12)/10,0)</f>
        <v>173456</v>
      </c>
      <c r="AN27" s="4">
        <f ca="1">ROUND(T_Tiktok_ads[[#This Row],[video_watch_25]]*RANDBETWEEN(8,12)/10,0)</f>
        <v>118410</v>
      </c>
      <c r="AO27" s="4">
        <f ca="1">ROUND(T_Tiktok_ads[[#This Row],[video_watch_50]]*RANDBETWEEN(8,12)/10,0)</f>
        <v>113924</v>
      </c>
      <c r="AP27" s="4">
        <f ca="1">ROUND(T_Tiktok_ads[[#This Row],[video_watch_75]]*RANDBETWEEN(8,12)/10,0)</f>
        <v>80681</v>
      </c>
      <c r="AQ27" s="4">
        <f ca="1">ROUND(T_Tiktok_ads[[#This Row],[video_watch_100]]*RANDBETWEEN(8,12)/10,0)</f>
        <v>36510</v>
      </c>
      <c r="AR27" s="4">
        <f ca="1">ROUND(T_Tiktok_ads[[#This Row],[likes]]*RANDBETWEEN(8,12)/10,0)</f>
        <v>9614</v>
      </c>
      <c r="AS27" s="4">
        <f ca="1">ROUND(T_Tiktok_ads[[#This Row],[shares]]*RANDBETWEEN(8,12)/10,0)</f>
        <v>1981</v>
      </c>
      <c r="AT27" s="4">
        <f ca="1">ROUND(T_Tiktok_ads[[#This Row],[comments]]*RANDBETWEEN(8,12)/10,0)</f>
        <v>575</v>
      </c>
      <c r="AV27" s="5">
        <f t="shared" ca="1" si="3"/>
        <v>45109</v>
      </c>
      <c r="AW27">
        <f t="shared" ca="1" si="4"/>
        <v>2</v>
      </c>
      <c r="AX27">
        <f ca="1">ROUND(T_Facebook_Ads11596367717579[[#This Row],[impressions]]*RANDBETWEEN(8,12)/10,0)</f>
        <v>40102</v>
      </c>
      <c r="AY27">
        <f ca="1">ROUND(T_Facebook_Ads11596367717579[[#This Row],[clicks]]*RANDBETWEEN(8,12)/10,0)</f>
        <v>1312</v>
      </c>
      <c r="AZ27">
        <f ca="1">T_Facebook_Ads11596367717579[[#This Row],[spend]]*RANDBETWEEN(8,12)/10</f>
        <v>287.7120000000001</v>
      </c>
      <c r="BA27">
        <f ca="1">ROUND(T_Facebook_Ads11596367717579[[#This Row],[conversions]]*RANDBETWEEN(8,12)/10,0)</f>
        <v>21</v>
      </c>
      <c r="BB27">
        <f ca="1">ROUND(T_Facebook_Ads11596367717579[[#This Row],[video_views]]*RANDBETWEEN(8,12)/10,0)</f>
        <v>4630</v>
      </c>
    </row>
    <row r="28" spans="1:54" ht="15.75" thickBot="1" x14ac:dyDescent="0.3">
      <c r="A28" s="3">
        <f t="shared" ca="1" si="0"/>
        <v>45125</v>
      </c>
      <c r="B28" s="4" t="s">
        <v>64</v>
      </c>
      <c r="C28" s="4" t="s">
        <v>65</v>
      </c>
      <c r="D28" s="4" t="s">
        <v>66</v>
      </c>
      <c r="E28" s="4" t="s">
        <v>67</v>
      </c>
      <c r="F28" s="4">
        <f ca="1">ROUND(T_Facebook_Ads[[#This Row],[impressions]]*RANDBETWEEN(8,12)/10,0)</f>
        <v>56098</v>
      </c>
      <c r="G28" s="4">
        <v>253</v>
      </c>
      <c r="H28" s="4">
        <f ca="1">T_Facebook_Ads[[#This Row],[spend]]*RANDBETWEEN(8,12)/10</f>
        <v>84.24</v>
      </c>
      <c r="I28" s="4">
        <f ca="1">ROUND(T_Facebook_Ads[[#This Row],[conversions]]*RANDBETWEEN(8,12)/10,0)</f>
        <v>5</v>
      </c>
      <c r="J28" s="4">
        <f ca="1">ROUND(T_Facebook_Ads[[#This Row],[video_views]]*RANDBETWEEN(8,12)/10,0)</f>
        <v>48234</v>
      </c>
      <c r="K28" s="4">
        <f ca="1">T_Facebook_Ads[[#This Row],[engagement_rate]]*RANDBETWEEN(8,12)/10</f>
        <v>4.3200000000000001E-3</v>
      </c>
      <c r="L28" s="4">
        <f ca="1">ROUND(T_Facebook_Ads[[#This Row],[reach]]*RANDBETWEEN(8,12)/10,0)</f>
        <v>70147</v>
      </c>
      <c r="M28" s="4">
        <f ca="1">T_Facebook_Ads[[#This Row],[frequency]]*RANDBETWEEN(8,12)/10</f>
        <v>0.96</v>
      </c>
      <c r="O28" s="3">
        <f t="shared" ca="1" si="1"/>
        <v>45108</v>
      </c>
      <c r="P28" s="4" t="s">
        <v>88</v>
      </c>
      <c r="Q28" s="4" t="s">
        <v>89</v>
      </c>
      <c r="R28" s="4" t="s">
        <v>90</v>
      </c>
      <c r="S28" s="4" t="s">
        <v>59</v>
      </c>
      <c r="T28" s="4">
        <f ca="1">ROUND(_Google_ads[[#This Row],[impressions]]*RANDBETWEEN(8,12)/10,0)</f>
        <v>129345</v>
      </c>
      <c r="U28" s="4">
        <f ca="1">ROUND(_Google_ads[[#This Row],[clicks]]*RANDBETWEEN(8,12)/10,0)</f>
        <v>410</v>
      </c>
      <c r="V28" s="4">
        <f ca="1">_Google_ads[[#This Row],[cost]]*RANDBETWEEN(8,12)/10</f>
        <v>113.03999999999999</v>
      </c>
      <c r="W28" s="4">
        <f ca="1">ROUND(_Google_ads[[#This Row],[conversions]]*RANDBETWEEN(8,12)/10,0)</f>
        <v>13</v>
      </c>
      <c r="X28" s="4">
        <f ca="1">ROUND(_Google_ads[[#This Row],[conversion_value]]*RANDBETWEEN(8,12)/10,0)</f>
        <v>660</v>
      </c>
      <c r="Y28" s="4">
        <f ca="1">_Google_ads[[#This Row],[ctr]]*RANDBETWEEN(8,12)/10</f>
        <v>2.8E-3</v>
      </c>
      <c r="Z28" s="4">
        <f ca="1">_Google_ads[[#This Row],[avg_cpc]]*RANDBETWEEN(8,12)/10</f>
        <v>0.28000000000000003</v>
      </c>
      <c r="AA28" s="4">
        <f ca="1">ROUND(_Google_ads[[#This Row],[quality_score]]*RANDBETWEEN(8,12)/10,0)</f>
        <v>6</v>
      </c>
      <c r="AB28" s="4">
        <f ca="1">_Google_ads[[#This Row],[search_impression_share]]*RANDBETWEEN(8,12)/10</f>
        <v>0.27999999999999997</v>
      </c>
      <c r="AD28" s="3">
        <f t="shared" ca="1" si="2"/>
        <v>45128</v>
      </c>
      <c r="AE28" s="4" t="s">
        <v>112</v>
      </c>
      <c r="AF28" s="4" t="s">
        <v>113</v>
      </c>
      <c r="AG28" s="4" t="s">
        <v>114</v>
      </c>
      <c r="AH28" s="4" t="s">
        <v>115</v>
      </c>
      <c r="AI28" s="4">
        <f ca="1">ROUND(T_Tiktok_ads[[#This Row],[impressions]]*RANDBETWEEN(8,12)/10,0)</f>
        <v>441357</v>
      </c>
      <c r="AJ28" s="4">
        <f ca="1">ROUND(T_Tiktok_ads[[#This Row],[clicks]]*RANDBETWEEN(8,12)/10,0)</f>
        <v>7102</v>
      </c>
      <c r="AK28" s="4">
        <v>989.9</v>
      </c>
      <c r="AL28" s="4">
        <f ca="1">ROUND(T_Tiktok_ads[[#This Row],[conversions]]*RANDBETWEEN(8,12)/10,0)</f>
        <v>101</v>
      </c>
      <c r="AM28" s="4">
        <f ca="1">ROUND(T_Tiktok_ads[[#This Row],[video_views]]*RANDBETWEEN(8,12)/10,0)</f>
        <v>332345</v>
      </c>
      <c r="AN28" s="4">
        <f ca="1">ROUND(T_Tiktok_ads[[#This Row],[video_watch_25]]*RANDBETWEEN(8,12)/10,0)</f>
        <v>214312</v>
      </c>
      <c r="AO28" s="4">
        <f ca="1">ROUND(T_Tiktok_ads[[#This Row],[video_watch_50]]*RANDBETWEEN(8,12)/10,0)</f>
        <v>171654</v>
      </c>
      <c r="AP28" s="4">
        <f ca="1">ROUND(T_Tiktok_ads[[#This Row],[video_watch_75]]*RANDBETWEEN(8,12)/10,0)</f>
        <v>120987</v>
      </c>
      <c r="AQ28" s="4">
        <f ca="1">ROUND(T_Tiktok_ads[[#This Row],[video_watch_100]]*RANDBETWEEN(8,12)/10,0)</f>
        <v>119480</v>
      </c>
      <c r="AR28" s="4">
        <f ca="1">ROUND(T_Tiktok_ads[[#This Row],[likes]]*RANDBETWEEN(8,12)/10,0)</f>
        <v>18957</v>
      </c>
      <c r="AS28" s="4">
        <f ca="1">ROUND(T_Tiktok_ads[[#This Row],[shares]]*RANDBETWEEN(8,12)/10,0)</f>
        <v>6014</v>
      </c>
      <c r="AT28" s="4">
        <f ca="1">ROUND(T_Tiktok_ads[[#This Row],[comments]]*RANDBETWEEN(8,12)/10,0)</f>
        <v>1240</v>
      </c>
      <c r="AV28" s="5">
        <f t="shared" ca="1" si="3"/>
        <v>45118</v>
      </c>
      <c r="AW28">
        <f t="shared" ca="1" si="4"/>
        <v>1</v>
      </c>
      <c r="AX28">
        <f ca="1">ROUND(T_Facebook_Ads11596367717579[[#This Row],[impressions]]*RANDBETWEEN(8,12)/10,0)</f>
        <v>67318</v>
      </c>
      <c r="AY28">
        <f ca="1">ROUND(T_Facebook_Ads11596367717579[[#This Row],[clicks]]*RANDBETWEEN(8,12)/10,0)</f>
        <v>253</v>
      </c>
      <c r="AZ28">
        <f ca="1">T_Facebook_Ads11596367717579[[#This Row],[spend]]*RANDBETWEEN(8,12)/10</f>
        <v>84.24</v>
      </c>
      <c r="BA28">
        <f ca="1">ROUND(T_Facebook_Ads11596367717579[[#This Row],[conversions]]*RANDBETWEEN(8,12)/10,0)</f>
        <v>6</v>
      </c>
      <c r="BB28">
        <f ca="1">ROUND(T_Facebook_Ads11596367717579[[#This Row],[video_views]]*RANDBETWEEN(8,12)/10,0)</f>
        <v>43411</v>
      </c>
    </row>
    <row r="29" spans="1:54" ht="15.75" thickBot="1" x14ac:dyDescent="0.3">
      <c r="A29" s="3">
        <f t="shared" ca="1" si="0"/>
        <v>45113</v>
      </c>
      <c r="B29" s="4" t="s">
        <v>52</v>
      </c>
      <c r="C29" s="4" t="s">
        <v>53</v>
      </c>
      <c r="D29" s="4" t="s">
        <v>54</v>
      </c>
      <c r="E29" s="4" t="s">
        <v>55</v>
      </c>
      <c r="F29" s="4">
        <f ca="1">ROUND(T_Facebook_Ads[[#This Row],[impressions]]*RANDBETWEEN(8,12)/10,0)</f>
        <v>38854</v>
      </c>
      <c r="G29" s="4">
        <v>978</v>
      </c>
      <c r="H29" s="4">
        <f ca="1">T_Facebook_Ads[[#This Row],[spend]]*RANDBETWEEN(8,12)/10</f>
        <v>137.80000000000001</v>
      </c>
      <c r="I29" s="4">
        <f ca="1">ROUND(T_Facebook_Ads[[#This Row],[conversions]]*RANDBETWEEN(8,12)/10,0)</f>
        <v>15</v>
      </c>
      <c r="J29" s="4">
        <f ca="1">ROUND(T_Facebook_Ads[[#This Row],[video_views]]*RANDBETWEEN(8,12)/10,0)</f>
        <v>7156</v>
      </c>
      <c r="K29" s="4">
        <f ca="1">T_Facebook_Ads[[#This Row],[engagement_rate]]*RANDBETWEEN(8,12)/10</f>
        <v>1.8090000000000002E-2</v>
      </c>
      <c r="L29" s="4">
        <f ca="1">ROUND(T_Facebook_Ads[[#This Row],[reach]]*RANDBETWEEN(8,12)/10,0)</f>
        <v>40456</v>
      </c>
      <c r="M29" s="4">
        <f ca="1">T_Facebook_Ads[[#This Row],[frequency]]*RANDBETWEEN(8,12)/10</f>
        <v>0.96</v>
      </c>
      <c r="O29" s="3">
        <f t="shared" ca="1" si="1"/>
        <v>45137</v>
      </c>
      <c r="P29" s="4" t="s">
        <v>76</v>
      </c>
      <c r="Q29" s="4" t="s">
        <v>77</v>
      </c>
      <c r="R29" s="4" t="s">
        <v>78</v>
      </c>
      <c r="S29" s="4" t="s">
        <v>79</v>
      </c>
      <c r="T29" s="4">
        <f ca="1">ROUND(_Google_ads[[#This Row],[impressions]]*RANDBETWEEN(8,12)/10,0)</f>
        <v>19742</v>
      </c>
      <c r="U29" s="4">
        <f ca="1">ROUND(_Google_ads[[#This Row],[clicks]]*RANDBETWEEN(8,12)/10,0)</f>
        <v>1547</v>
      </c>
      <c r="V29" s="4">
        <f ca="1">_Google_ads[[#This Row],[cost]]*RANDBETWEEN(8,12)/10</f>
        <v>270.49</v>
      </c>
      <c r="W29" s="4">
        <f ca="1">ROUND(_Google_ads[[#This Row],[conversions]]*RANDBETWEEN(8,12)/10,0)</f>
        <v>53</v>
      </c>
      <c r="X29" s="4">
        <f ca="1">ROUND(_Google_ads[[#This Row],[conversion_value]]*RANDBETWEEN(8,12)/10,0)</f>
        <v>2160</v>
      </c>
      <c r="Y29" s="4">
        <f ca="1">_Google_ads[[#This Row],[ctr]]*RANDBETWEEN(8,12)/10</f>
        <v>6.2640000000000001E-2</v>
      </c>
      <c r="Z29" s="4">
        <f ca="1">_Google_ads[[#This Row],[avg_cpc]]*RANDBETWEEN(8,12)/10</f>
        <v>0.17099999999999999</v>
      </c>
      <c r="AA29" s="4">
        <f ca="1">ROUND(_Google_ads[[#This Row],[quality_score]]*RANDBETWEEN(8,12)/10,0)</f>
        <v>11</v>
      </c>
      <c r="AB29" s="4">
        <f ca="1">_Google_ads[[#This Row],[search_impression_share]]*RANDBETWEEN(8,12)/10</f>
        <v>0.81899999999999995</v>
      </c>
      <c r="AD29" s="3">
        <f t="shared" ca="1" si="2"/>
        <v>45132</v>
      </c>
      <c r="AE29" s="4" t="s">
        <v>100</v>
      </c>
      <c r="AF29" s="4" t="s">
        <v>101</v>
      </c>
      <c r="AG29" s="4" t="s">
        <v>102</v>
      </c>
      <c r="AH29" s="4" t="s">
        <v>103</v>
      </c>
      <c r="AI29" s="4">
        <f ca="1">ROUND(T_Tiktok_ads[[#This Row],[impressions]]*RANDBETWEEN(8,12)/10,0)</f>
        <v>281857</v>
      </c>
      <c r="AJ29" s="4">
        <f ca="1">ROUND(T_Tiktok_ads[[#This Row],[clicks]]*RANDBETWEEN(8,12)/10,0)</f>
        <v>3331</v>
      </c>
      <c r="AK29" s="4">
        <v>490.5</v>
      </c>
      <c r="AL29" s="4">
        <f ca="1">ROUND(T_Tiktok_ads[[#This Row],[conversions]]*RANDBETWEEN(8,12)/10,0)</f>
        <v>46</v>
      </c>
      <c r="AM29" s="4">
        <f ca="1">ROUND(T_Tiktok_ads[[#This Row],[video_views]]*RANDBETWEEN(8,12)/10,0)</f>
        <v>251081</v>
      </c>
      <c r="AN29" s="4">
        <f ca="1">ROUND(T_Tiktok_ads[[#This Row],[video_watch_25]]*RANDBETWEEN(8,12)/10,0)</f>
        <v>179924</v>
      </c>
      <c r="AO29" s="4">
        <f ca="1">ROUND(T_Tiktok_ads[[#This Row],[video_watch_50]]*RANDBETWEEN(8,12)/10,0)</f>
        <v>112824</v>
      </c>
      <c r="AP29" s="4">
        <f ca="1">ROUND(T_Tiktok_ads[[#This Row],[video_watch_75]]*RANDBETWEEN(8,12)/10,0)</f>
        <v>83480</v>
      </c>
      <c r="AQ29" s="4">
        <f ca="1">ROUND(T_Tiktok_ads[[#This Row],[video_watch_100]]*RANDBETWEEN(8,12)/10,0)</f>
        <v>55880</v>
      </c>
      <c r="AR29" s="4">
        <f ca="1">ROUND(T_Tiktok_ads[[#This Row],[likes]]*RANDBETWEEN(8,12)/10,0)</f>
        <v>7298</v>
      </c>
      <c r="AS29" s="4">
        <f ca="1">ROUND(T_Tiktok_ads[[#This Row],[shares]]*RANDBETWEEN(8,12)/10,0)</f>
        <v>1938</v>
      </c>
      <c r="AT29" s="4">
        <f ca="1">ROUND(T_Tiktok_ads[[#This Row],[comments]]*RANDBETWEEN(8,12)/10,0)</f>
        <v>541</v>
      </c>
      <c r="AV29" s="5">
        <f t="shared" ca="1" si="3"/>
        <v>45111</v>
      </c>
      <c r="AW29">
        <f t="shared" ca="1" si="4"/>
        <v>8</v>
      </c>
      <c r="AX29">
        <f ca="1">ROUND(T_Facebook_Ads11596367717579[[#This Row],[impressions]]*RANDBETWEEN(8,12)/10,0)</f>
        <v>34969</v>
      </c>
      <c r="AY29">
        <f ca="1">ROUND(T_Facebook_Ads11596367717579[[#This Row],[clicks]]*RANDBETWEEN(8,12)/10,0)</f>
        <v>1076</v>
      </c>
      <c r="AZ29">
        <f ca="1">T_Facebook_Ads11596367717579[[#This Row],[spend]]*RANDBETWEEN(8,12)/10</f>
        <v>151.58000000000001</v>
      </c>
      <c r="BA29">
        <f ca="1">ROUND(T_Facebook_Ads11596367717579[[#This Row],[conversions]]*RANDBETWEEN(8,12)/10,0)</f>
        <v>14</v>
      </c>
      <c r="BB29">
        <f ca="1">ROUND(T_Facebook_Ads11596367717579[[#This Row],[video_views]]*RANDBETWEEN(8,12)/10,0)</f>
        <v>8587</v>
      </c>
    </row>
    <row r="30" spans="1:54" ht="15.75" thickBot="1" x14ac:dyDescent="0.3">
      <c r="A30" s="3">
        <f t="shared" ca="1" si="0"/>
        <v>45115</v>
      </c>
      <c r="B30" s="4" t="s">
        <v>56</v>
      </c>
      <c r="C30" s="4" t="s">
        <v>57</v>
      </c>
      <c r="D30" s="4" t="s">
        <v>58</v>
      </c>
      <c r="E30" s="4" t="s">
        <v>59</v>
      </c>
      <c r="F30" s="4">
        <f ca="1">ROUND(T_Facebook_Ads[[#This Row],[impressions]]*RANDBETWEEN(8,12)/10,0)</f>
        <v>12410</v>
      </c>
      <c r="G30" s="4">
        <v>645</v>
      </c>
      <c r="H30" s="4">
        <f ca="1">T_Facebook_Ads[[#This Row],[spend]]*RANDBETWEEN(8,12)/10</f>
        <v>289.43999999999994</v>
      </c>
      <c r="I30" s="4">
        <f ca="1">ROUND(T_Facebook_Ads[[#This Row],[conversions]]*RANDBETWEEN(8,12)/10,0)</f>
        <v>49</v>
      </c>
      <c r="J30" s="4">
        <f ca="1">ROUND(T_Facebook_Ads[[#This Row],[video_views]]*RANDBETWEEN(8,12)/10,0)</f>
        <v>1340</v>
      </c>
      <c r="K30" s="4">
        <f ca="1">T_Facebook_Ads[[#This Row],[engagement_rate]]*RANDBETWEEN(8,12)/10</f>
        <v>4.6800000000000001E-2</v>
      </c>
      <c r="L30" s="4">
        <f ca="1">ROUND(T_Facebook_Ads[[#This Row],[reach]]*RANDBETWEEN(8,12)/10,0)</f>
        <v>8631</v>
      </c>
      <c r="M30" s="4">
        <f ca="1">T_Facebook_Ads[[#This Row],[frequency]]*RANDBETWEEN(8,12)/10</f>
        <v>1.1519999999999999</v>
      </c>
      <c r="O30" s="3">
        <f t="shared" ca="1" si="1"/>
        <v>45111</v>
      </c>
      <c r="P30" s="4" t="s">
        <v>80</v>
      </c>
      <c r="Q30" s="4" t="s">
        <v>81</v>
      </c>
      <c r="R30" s="4" t="s">
        <v>82</v>
      </c>
      <c r="S30" s="4" t="s">
        <v>83</v>
      </c>
      <c r="T30" s="4">
        <f ca="1">ROUND(_Google_ads[[#This Row],[impressions]]*RANDBETWEEN(8,12)/10,0)</f>
        <v>49757</v>
      </c>
      <c r="U30" s="4">
        <f ca="1">ROUND(_Google_ads[[#This Row],[clicks]]*RANDBETWEEN(8,12)/10,0)</f>
        <v>721</v>
      </c>
      <c r="V30" s="4">
        <f ca="1">_Google_ads[[#This Row],[cost]]*RANDBETWEEN(8,12)/10</f>
        <v>694.68</v>
      </c>
      <c r="W30" s="4">
        <f ca="1">ROUND(_Google_ads[[#This Row],[conversions]]*RANDBETWEEN(8,12)/10,0)</f>
        <v>25</v>
      </c>
      <c r="X30" s="4">
        <f ca="1">ROUND(_Google_ads[[#This Row],[conversion_value]]*RANDBETWEEN(8,12)/10,0)</f>
        <v>1035</v>
      </c>
      <c r="Y30" s="4">
        <f ca="1">_Google_ads[[#This Row],[ctr]]*RANDBETWEEN(8,12)/10</f>
        <v>1.7910000000000002E-2</v>
      </c>
      <c r="Z30" s="4">
        <f ca="1">_Google_ads[[#This Row],[avg_cpc]]*RANDBETWEEN(8,12)/10</f>
        <v>0.51200000000000001</v>
      </c>
      <c r="AA30" s="4">
        <f ca="1">ROUND(_Google_ads[[#This Row],[quality_score]]*RANDBETWEEN(8,12)/10,0)</f>
        <v>8</v>
      </c>
      <c r="AB30" s="4">
        <f ca="1">_Google_ads[[#This Row],[search_impression_share]]*RANDBETWEEN(8,12)/10</f>
        <v>0.45</v>
      </c>
      <c r="AD30" s="3">
        <f t="shared" ca="1" si="2"/>
        <v>45116</v>
      </c>
      <c r="AE30" s="4" t="s">
        <v>104</v>
      </c>
      <c r="AF30" s="4" t="s">
        <v>105</v>
      </c>
      <c r="AG30" s="4" t="s">
        <v>106</v>
      </c>
      <c r="AH30" s="4" t="s">
        <v>107</v>
      </c>
      <c r="AI30" s="4">
        <f ca="1">ROUND(T_Tiktok_ads[[#This Row],[impressions]]*RANDBETWEEN(8,12)/10,0)</f>
        <v>145678</v>
      </c>
      <c r="AJ30" s="4">
        <f ca="1">ROUND(T_Tiktok_ads[[#This Row],[clicks]]*RANDBETWEEN(8,12)/10,0)</f>
        <v>2231</v>
      </c>
      <c r="AK30" s="4">
        <v>756.7</v>
      </c>
      <c r="AL30" s="4">
        <f ca="1">ROUND(T_Tiktok_ads[[#This Row],[conversions]]*RANDBETWEEN(8,12)/10,0)</f>
        <v>76</v>
      </c>
      <c r="AM30" s="4">
        <f ca="1">ROUND(T_Tiktok_ads[[#This Row],[video_views]]*RANDBETWEEN(8,12)/10,0)</f>
        <v>111357</v>
      </c>
      <c r="AN30" s="4">
        <f ca="1">ROUND(T_Tiktok_ads[[#This Row],[video_watch_25]]*RANDBETWEEN(8,12)/10,0)</f>
        <v>74567</v>
      </c>
      <c r="AO30" s="4">
        <f ca="1">ROUND(T_Tiktok_ads[[#This Row],[video_watch_50]]*RANDBETWEEN(8,12)/10,0)</f>
        <v>45211</v>
      </c>
      <c r="AP30" s="4">
        <f ca="1">ROUND(T_Tiktok_ads[[#This Row],[video_watch_75]]*RANDBETWEEN(8,12)/10,0)</f>
        <v>41679</v>
      </c>
      <c r="AQ30" s="4">
        <f ca="1">ROUND(T_Tiktok_ads[[#This Row],[video_watch_100]]*RANDBETWEEN(8,12)/10,0)</f>
        <v>20187</v>
      </c>
      <c r="AR30" s="4">
        <f ca="1">ROUND(T_Tiktok_ads[[#This Row],[likes]]*RANDBETWEEN(8,12)/10,0)</f>
        <v>5513</v>
      </c>
      <c r="AS30" s="4">
        <f ca="1">ROUND(T_Tiktok_ads[[#This Row],[shares]]*RANDBETWEEN(8,12)/10,0)</f>
        <v>1708</v>
      </c>
      <c r="AT30" s="4">
        <f ca="1">ROUND(T_Tiktok_ads[[#This Row],[comments]]*RANDBETWEEN(8,12)/10,0)</f>
        <v>214</v>
      </c>
      <c r="AV30" s="5">
        <f t="shared" ca="1" si="3"/>
        <v>45130</v>
      </c>
      <c r="AW30">
        <f t="shared" ca="1" si="4"/>
        <v>6</v>
      </c>
      <c r="AX30">
        <f ca="1">ROUND(T_Facebook_Ads11596367717579[[#This Row],[impressions]]*RANDBETWEEN(8,12)/10,0)</f>
        <v>9928</v>
      </c>
      <c r="AY30">
        <f ca="1">ROUND(T_Facebook_Ads11596367717579[[#This Row],[clicks]]*RANDBETWEEN(8,12)/10,0)</f>
        <v>645</v>
      </c>
      <c r="AZ30">
        <f ca="1">T_Facebook_Ads11596367717579[[#This Row],[spend]]*RANDBETWEEN(8,12)/10</f>
        <v>231.55199999999996</v>
      </c>
      <c r="BA30">
        <f ca="1">ROUND(T_Facebook_Ads11596367717579[[#This Row],[conversions]]*RANDBETWEEN(8,12)/10,0)</f>
        <v>59</v>
      </c>
      <c r="BB30">
        <f ca="1">ROUND(T_Facebook_Ads11596367717579[[#This Row],[video_views]]*RANDBETWEEN(8,12)/10,0)</f>
        <v>1072</v>
      </c>
    </row>
    <row r="31" spans="1:54" ht="15.75" thickBot="1" x14ac:dyDescent="0.3">
      <c r="A31" s="3">
        <f t="shared" ca="1" si="0"/>
        <v>45115</v>
      </c>
      <c r="B31" s="4" t="s">
        <v>60</v>
      </c>
      <c r="C31" s="4" t="s">
        <v>61</v>
      </c>
      <c r="D31" s="4" t="s">
        <v>62</v>
      </c>
      <c r="E31" s="4" t="s">
        <v>63</v>
      </c>
      <c r="F31" s="4">
        <f ca="1">ROUND(T_Facebook_Ads[[#This Row],[impressions]]*RANDBETWEEN(8,12)/10,0)</f>
        <v>42302</v>
      </c>
      <c r="G31" s="4">
        <v>1423</v>
      </c>
      <c r="H31" s="4">
        <f ca="1">T_Facebook_Ads[[#This Row],[spend]]*RANDBETWEEN(8,12)/10</f>
        <v>217.5</v>
      </c>
      <c r="I31" s="4">
        <f ca="1">ROUND(T_Facebook_Ads[[#This Row],[conversions]]*RANDBETWEEN(8,12)/10,0)</f>
        <v>35</v>
      </c>
      <c r="J31" s="4">
        <f ca="1">ROUND(T_Facebook_Ads[[#This Row],[video_views]]*RANDBETWEEN(8,12)/10,0)</f>
        <v>5635</v>
      </c>
      <c r="K31" s="4">
        <f ca="1">T_Facebook_Ads[[#This Row],[engagement_rate]]*RANDBETWEEN(8,12)/10</f>
        <v>2.9599999999999998E-2</v>
      </c>
      <c r="L31" s="4">
        <f ca="1">ROUND(T_Facebook_Ads[[#This Row],[reach]]*RANDBETWEEN(8,12)/10,0)</f>
        <v>34357</v>
      </c>
      <c r="M31" s="4">
        <f ca="1">T_Facebook_Ads[[#This Row],[frequency]]*RANDBETWEEN(8,12)/10</f>
        <v>1.107</v>
      </c>
      <c r="O31" s="3">
        <f t="shared" ca="1" si="1"/>
        <v>45111</v>
      </c>
      <c r="P31" s="4" t="s">
        <v>84</v>
      </c>
      <c r="Q31" s="4" t="s">
        <v>85</v>
      </c>
      <c r="R31" s="4" t="s">
        <v>86</v>
      </c>
      <c r="S31" s="4" t="s">
        <v>87</v>
      </c>
      <c r="T31" s="4">
        <f ca="1">ROUND(_Google_ads[[#This Row],[impressions]]*RANDBETWEEN(8,12)/10,0)</f>
        <v>55121</v>
      </c>
      <c r="U31" s="4">
        <f ca="1">ROUND(_Google_ads[[#This Row],[clicks]]*RANDBETWEEN(8,12)/10,0)</f>
        <v>2040</v>
      </c>
      <c r="V31" s="4">
        <f ca="1">_Google_ads[[#This Row],[cost]]*RANDBETWEEN(8,12)/10</f>
        <v>331.36</v>
      </c>
      <c r="W31" s="4">
        <f ca="1">ROUND(_Google_ads[[#This Row],[conversions]]*RANDBETWEEN(8,12)/10,0)</f>
        <v>58</v>
      </c>
      <c r="X31" s="4">
        <f ca="1">ROUND(_Google_ads[[#This Row],[conversion_value]]*RANDBETWEEN(8,12)/10,0)</f>
        <v>2880</v>
      </c>
      <c r="Y31" s="4">
        <f ca="1">_Google_ads[[#This Row],[ctr]]*RANDBETWEEN(8,12)/10</f>
        <v>3.619E-2</v>
      </c>
      <c r="Z31" s="4">
        <f ca="1">_Google_ads[[#This Row],[avg_cpc]]*RANDBETWEEN(8,12)/10</f>
        <v>0.16199999999999998</v>
      </c>
      <c r="AA31" s="4">
        <f ca="1">ROUND(_Google_ads[[#This Row],[quality_score]]*RANDBETWEEN(8,12)/10,0)</f>
        <v>9</v>
      </c>
      <c r="AB31" s="4">
        <f ca="1">_Google_ads[[#This Row],[search_impression_share]]*RANDBETWEEN(8,12)/10</f>
        <v>0.67</v>
      </c>
      <c r="AD31" s="3">
        <f t="shared" ca="1" si="2"/>
        <v>45138</v>
      </c>
      <c r="AE31" s="4" t="s">
        <v>108</v>
      </c>
      <c r="AF31" s="4" t="s">
        <v>109</v>
      </c>
      <c r="AG31" s="4" t="s">
        <v>110</v>
      </c>
      <c r="AH31" s="4" t="s">
        <v>111</v>
      </c>
      <c r="AI31" s="4">
        <f ca="1">ROUND(T_Tiktok_ads[[#This Row],[impressions]]*RANDBETWEEN(8,12)/10,0)</f>
        <v>223456</v>
      </c>
      <c r="AJ31" s="4">
        <f ca="1">ROUND(T_Tiktok_ads[[#This Row],[clicks]]*RANDBETWEEN(8,12)/10,0)</f>
        <v>3567</v>
      </c>
      <c r="AK31" s="4">
        <v>427.7</v>
      </c>
      <c r="AL31" s="4">
        <f ca="1">ROUND(T_Tiktok_ads[[#This Row],[conversions]]*RANDBETWEEN(8,12)/10,0)</f>
        <v>36</v>
      </c>
      <c r="AM31" s="4">
        <f ca="1">ROUND(T_Tiktok_ads[[#This Row],[video_views]]*RANDBETWEEN(8,12)/10,0)</f>
        <v>178901</v>
      </c>
      <c r="AN31" s="4">
        <f ca="1">ROUND(T_Tiktok_ads[[#This Row],[video_watch_25]]*RANDBETWEEN(8,12)/10,0)</f>
        <v>162281</v>
      </c>
      <c r="AO31" s="4">
        <f ca="1">ROUND(T_Tiktok_ads[[#This Row],[video_watch_50]]*RANDBETWEEN(8,12)/10,0)</f>
        <v>96110</v>
      </c>
      <c r="AP31" s="4">
        <f ca="1">ROUND(T_Tiktok_ads[[#This Row],[video_watch_75]]*RANDBETWEEN(8,12)/10,0)</f>
        <v>76157</v>
      </c>
      <c r="AQ31" s="4">
        <f ca="1">ROUND(T_Tiktok_ads[[#This Row],[video_watch_100]]*RANDBETWEEN(8,12)/10,0)</f>
        <v>37610</v>
      </c>
      <c r="AR31" s="4">
        <f ca="1">ROUND(T_Tiktok_ads[[#This Row],[likes]]*RANDBETWEEN(8,12)/10,0)</f>
        <v>9057</v>
      </c>
      <c r="AS31" s="4">
        <f ca="1">ROUND(T_Tiktok_ads[[#This Row],[shares]]*RANDBETWEEN(8,12)/10,0)</f>
        <v>2267</v>
      </c>
      <c r="AT31" s="4">
        <f ca="1">ROUND(T_Tiktok_ads[[#This Row],[comments]]*RANDBETWEEN(8,12)/10,0)</f>
        <v>481</v>
      </c>
      <c r="AV31" s="5">
        <f t="shared" ca="1" si="3"/>
        <v>45118</v>
      </c>
      <c r="AW31">
        <f t="shared" ca="1" si="4"/>
        <v>4</v>
      </c>
      <c r="AX31">
        <f ca="1">ROUND(T_Facebook_Ads11596367717579[[#This Row],[impressions]]*RANDBETWEEN(8,12)/10,0)</f>
        <v>46532</v>
      </c>
      <c r="AY31">
        <f ca="1">ROUND(T_Facebook_Ads11596367717579[[#This Row],[clicks]]*RANDBETWEEN(8,12)/10,0)</f>
        <v>1281</v>
      </c>
      <c r="AZ31">
        <f ca="1">T_Facebook_Ads11596367717579[[#This Row],[spend]]*RANDBETWEEN(8,12)/10</f>
        <v>261</v>
      </c>
      <c r="BA31">
        <f ca="1">ROUND(T_Facebook_Ads11596367717579[[#This Row],[conversions]]*RANDBETWEEN(8,12)/10,0)</f>
        <v>32</v>
      </c>
      <c r="BB31">
        <f ca="1">ROUND(T_Facebook_Ads11596367717579[[#This Row],[video_views]]*RANDBETWEEN(8,12)/10,0)</f>
        <v>6199</v>
      </c>
    </row>
    <row r="32" spans="1:54" ht="15.75" thickBot="1" x14ac:dyDescent="0.3">
      <c r="A32" s="3">
        <f t="shared" ca="1" si="0"/>
        <v>45133</v>
      </c>
      <c r="B32" s="4" t="s">
        <v>52</v>
      </c>
      <c r="C32" s="4" t="s">
        <v>53</v>
      </c>
      <c r="D32" s="4" t="s">
        <v>54</v>
      </c>
      <c r="E32" s="4" t="s">
        <v>55</v>
      </c>
      <c r="F32" s="4">
        <f ca="1">ROUND(T_Facebook_Ads[[#This Row],[impressions]]*RANDBETWEEN(8,12)/10,0)</f>
        <v>57335</v>
      </c>
      <c r="G32" s="4">
        <v>1089</v>
      </c>
      <c r="H32" s="4">
        <f ca="1">T_Facebook_Ads[[#This Row],[spend]]*RANDBETWEEN(8,12)/10</f>
        <v>178.32</v>
      </c>
      <c r="I32" s="4">
        <f ca="1">ROUND(T_Facebook_Ads[[#This Row],[conversions]]*RANDBETWEEN(8,12)/10,0)</f>
        <v>17</v>
      </c>
      <c r="J32" s="4">
        <f ca="1">ROUND(T_Facebook_Ads[[#This Row],[video_views]]*RANDBETWEEN(8,12)/10,0)</f>
        <v>11480</v>
      </c>
      <c r="K32" s="4">
        <f ca="1">T_Facebook_Ads[[#This Row],[engagement_rate]]*RANDBETWEEN(8,12)/10</f>
        <v>1.6719999999999999E-2</v>
      </c>
      <c r="L32" s="4">
        <f ca="1">ROUND(T_Facebook_Ads[[#This Row],[reach]]*RANDBETWEEN(8,12)/10,0)</f>
        <v>47557</v>
      </c>
      <c r="M32" s="4">
        <f ca="1">T_Facebook_Ads[[#This Row],[frequency]]*RANDBETWEEN(8,12)/10</f>
        <v>0.96799999999999997</v>
      </c>
      <c r="O32" s="3">
        <f t="shared" ca="1" si="1"/>
        <v>45109</v>
      </c>
      <c r="P32" s="4" t="s">
        <v>76</v>
      </c>
      <c r="Q32" s="4" t="s">
        <v>77</v>
      </c>
      <c r="R32" s="4" t="s">
        <v>78</v>
      </c>
      <c r="S32" s="4" t="s">
        <v>79</v>
      </c>
      <c r="T32" s="4">
        <f ca="1">ROUND(_Google_ads[[#This Row],[impressions]]*RANDBETWEEN(8,12)/10,0)</f>
        <v>31481</v>
      </c>
      <c r="U32" s="4">
        <f ca="1">ROUND(_Google_ads[[#This Row],[clicks]]*RANDBETWEEN(8,12)/10,0)</f>
        <v>1102</v>
      </c>
      <c r="V32" s="4">
        <f ca="1">_Google_ads[[#This Row],[cost]]*RANDBETWEEN(8,12)/10</f>
        <v>289.73999999999995</v>
      </c>
      <c r="W32" s="4">
        <f ca="1">ROUND(_Google_ads[[#This Row],[conversions]]*RANDBETWEEN(8,12)/10,0)</f>
        <v>57</v>
      </c>
      <c r="X32" s="4">
        <f ca="1">ROUND(_Google_ads[[#This Row],[conversion_value]]*RANDBETWEEN(8,12)/10,0)</f>
        <v>3120</v>
      </c>
      <c r="Y32" s="4">
        <f ca="1">_Google_ads[[#This Row],[ctr]]*RANDBETWEEN(8,12)/10</f>
        <v>4.1999999999999996E-2</v>
      </c>
      <c r="Z32" s="4">
        <f ca="1">_Google_ads[[#This Row],[avg_cpc]]*RANDBETWEEN(8,12)/10</f>
        <v>0.20899999999999999</v>
      </c>
      <c r="AA32" s="4">
        <f ca="1">ROUND(_Google_ads[[#This Row],[quality_score]]*RANDBETWEEN(8,12)/10,0)</f>
        <v>8</v>
      </c>
      <c r="AB32" s="4">
        <f ca="1">_Google_ads[[#This Row],[search_impression_share]]*RANDBETWEEN(8,12)/10</f>
        <v>0.73599999999999999</v>
      </c>
      <c r="AD32" s="3">
        <f t="shared" ca="1" si="2"/>
        <v>45134</v>
      </c>
      <c r="AE32" s="4" t="s">
        <v>100</v>
      </c>
      <c r="AF32" s="4" t="s">
        <v>101</v>
      </c>
      <c r="AG32" s="4" t="s">
        <v>102</v>
      </c>
      <c r="AH32" s="4" t="s">
        <v>103</v>
      </c>
      <c r="AI32" s="4">
        <f ca="1">ROUND(T_Tiktok_ads[[#This Row],[impressions]]*RANDBETWEEN(8,12)/10,0)</f>
        <v>251011</v>
      </c>
      <c r="AJ32" s="4">
        <f ca="1">ROUND(T_Tiktok_ads[[#This Row],[clicks]]*RANDBETWEEN(8,12)/10,0)</f>
        <v>3298</v>
      </c>
      <c r="AK32" s="4">
        <v>523.6</v>
      </c>
      <c r="AL32" s="4">
        <f ca="1">ROUND(T_Tiktok_ads[[#This Row],[conversions]]*RANDBETWEEN(8,12)/10,0)</f>
        <v>50</v>
      </c>
      <c r="AM32" s="4">
        <f ca="1">ROUND(T_Tiktok_ads[[#This Row],[video_views]]*RANDBETWEEN(8,12)/10,0)</f>
        <v>258024</v>
      </c>
      <c r="AN32" s="4">
        <f ca="1">ROUND(T_Tiktok_ads[[#This Row],[video_watch_25]]*RANDBETWEEN(8,12)/10,0)</f>
        <v>145876</v>
      </c>
      <c r="AO32" s="4">
        <f ca="1">ROUND(T_Tiktok_ads[[#This Row],[video_watch_50]]*RANDBETWEEN(8,12)/10,0)</f>
        <v>91654</v>
      </c>
      <c r="AP32" s="4">
        <f ca="1">ROUND(T_Tiktok_ads[[#This Row],[video_watch_75]]*RANDBETWEEN(8,12)/10,0)</f>
        <v>61787</v>
      </c>
      <c r="AQ32" s="4">
        <f ca="1">ROUND(T_Tiktok_ads[[#This Row],[video_watch_100]]*RANDBETWEEN(8,12)/10,0)</f>
        <v>46111</v>
      </c>
      <c r="AR32" s="4">
        <f ca="1">ROUND(T_Tiktok_ads[[#This Row],[likes]]*RANDBETWEEN(8,12)/10,0)</f>
        <v>8276</v>
      </c>
      <c r="AS32" s="4">
        <f ca="1">ROUND(T_Tiktok_ads[[#This Row],[shares]]*RANDBETWEEN(8,12)/10,0)</f>
        <v>2231</v>
      </c>
      <c r="AT32" s="4">
        <f ca="1">ROUND(T_Tiktok_ads[[#This Row],[comments]]*RANDBETWEEN(8,12)/10,0)</f>
        <v>656</v>
      </c>
      <c r="AV32" s="5">
        <f t="shared" ca="1" si="3"/>
        <v>45135</v>
      </c>
      <c r="AW32">
        <f t="shared" ca="1" si="4"/>
        <v>1</v>
      </c>
      <c r="AX32">
        <f ca="1">ROUND(T_Facebook_Ads11596367717579[[#This Row],[impressions]]*RANDBETWEEN(8,12)/10,0)</f>
        <v>57335</v>
      </c>
      <c r="AY32">
        <f ca="1">ROUND(T_Facebook_Ads11596367717579[[#This Row],[clicks]]*RANDBETWEEN(8,12)/10,0)</f>
        <v>980</v>
      </c>
      <c r="AZ32">
        <f ca="1">T_Facebook_Ads11596367717579[[#This Row],[spend]]*RANDBETWEEN(8,12)/10</f>
        <v>178.32</v>
      </c>
      <c r="BA32">
        <f ca="1">ROUND(T_Facebook_Ads11596367717579[[#This Row],[conversions]]*RANDBETWEEN(8,12)/10,0)</f>
        <v>17</v>
      </c>
      <c r="BB32">
        <f ca="1">ROUND(T_Facebook_Ads11596367717579[[#This Row],[video_views]]*RANDBETWEEN(8,12)/10,0)</f>
        <v>9184</v>
      </c>
    </row>
    <row r="33" spans="1:54" ht="15.75" thickBot="1" x14ac:dyDescent="0.3">
      <c r="A33" s="3">
        <f t="shared" ca="1" si="0"/>
        <v>45108</v>
      </c>
      <c r="B33" s="4" t="s">
        <v>56</v>
      </c>
      <c r="C33" s="4" t="s">
        <v>57</v>
      </c>
      <c r="D33" s="4" t="s">
        <v>58</v>
      </c>
      <c r="E33" s="4" t="s">
        <v>59</v>
      </c>
      <c r="F33" s="4">
        <f ca="1">ROUND(T_Facebook_Ads[[#This Row],[impressions]]*RANDBETWEEN(8,12)/10,0)</f>
        <v>11654</v>
      </c>
      <c r="G33" s="4">
        <v>723</v>
      </c>
      <c r="H33" s="4">
        <f ca="1">T_Facebook_Ads[[#This Row],[spend]]*RANDBETWEEN(8,12)/10</f>
        <v>307.67999999999995</v>
      </c>
      <c r="I33" s="4">
        <f ca="1">ROUND(T_Facebook_Ads[[#This Row],[conversions]]*RANDBETWEEN(8,12)/10,0)</f>
        <v>35</v>
      </c>
      <c r="J33" s="4">
        <f ca="1">ROUND(T_Facebook_Ads[[#This Row],[video_views]]*RANDBETWEEN(8,12)/10,0)</f>
        <v>1612</v>
      </c>
      <c r="K33" s="4">
        <f ca="1">T_Facebook_Ads[[#This Row],[engagement_rate]]*RANDBETWEEN(8,12)/10</f>
        <v>3.968E-2</v>
      </c>
      <c r="L33" s="4">
        <f ca="1">ROUND(T_Facebook_Ads[[#This Row],[reach]]*RANDBETWEEN(8,12)/10,0)</f>
        <v>10310</v>
      </c>
      <c r="M33" s="4">
        <f ca="1">T_Facebook_Ads[[#This Row],[frequency]]*RANDBETWEEN(8,12)/10</f>
        <v>1.143</v>
      </c>
      <c r="O33" s="3">
        <f t="shared" ca="1" si="1"/>
        <v>45110</v>
      </c>
      <c r="P33" s="4" t="s">
        <v>80</v>
      </c>
      <c r="Q33" s="4" t="s">
        <v>81</v>
      </c>
      <c r="R33" s="4" t="s">
        <v>82</v>
      </c>
      <c r="S33" s="4" t="s">
        <v>83</v>
      </c>
      <c r="T33" s="4">
        <f ca="1">ROUND(_Google_ads[[#This Row],[impressions]]*RANDBETWEEN(8,12)/10,0)</f>
        <v>57468</v>
      </c>
      <c r="U33" s="4">
        <f ca="1">ROUND(_Google_ads[[#This Row],[clicks]]*RANDBETWEEN(8,12)/10,0)</f>
        <v>1121</v>
      </c>
      <c r="V33" s="4">
        <f ca="1">_Google_ads[[#This Row],[cost]]*RANDBETWEEN(8,12)/10</f>
        <v>490</v>
      </c>
      <c r="W33" s="4">
        <f ca="1">ROUND(_Google_ads[[#This Row],[conversions]]*RANDBETWEEN(8,12)/10,0)</f>
        <v>31</v>
      </c>
      <c r="X33" s="4">
        <f ca="1">ROUND(_Google_ads[[#This Row],[conversion_value]]*RANDBETWEEN(8,12)/10,0)</f>
        <v>1170</v>
      </c>
      <c r="Y33" s="4">
        <f ca="1">_Google_ads[[#This Row],[ctr]]*RANDBETWEEN(8,12)/10</f>
        <v>1.95E-2</v>
      </c>
      <c r="Z33" s="4">
        <f ca="1">_Google_ads[[#This Row],[avg_cpc]]*RANDBETWEEN(8,12)/10</f>
        <v>0.72600000000000009</v>
      </c>
      <c r="AA33" s="4">
        <f ca="1">ROUND(_Google_ads[[#This Row],[quality_score]]*RANDBETWEEN(8,12)/10,0)</f>
        <v>6</v>
      </c>
      <c r="AB33" s="4">
        <f ca="1">_Google_ads[[#This Row],[search_impression_share]]*RANDBETWEEN(8,12)/10</f>
        <v>0.46000000000000008</v>
      </c>
      <c r="AD33" s="3">
        <f t="shared" ca="1" si="2"/>
        <v>45119</v>
      </c>
      <c r="AE33" s="4" t="s">
        <v>104</v>
      </c>
      <c r="AF33" s="4" t="s">
        <v>105</v>
      </c>
      <c r="AG33" s="4" t="s">
        <v>106</v>
      </c>
      <c r="AH33" s="4" t="s">
        <v>107</v>
      </c>
      <c r="AI33" s="4">
        <f ca="1">ROUND(T_Tiktok_ads[[#This Row],[impressions]]*RANDBETWEEN(8,12)/10,0)</f>
        <v>172468</v>
      </c>
      <c r="AJ33" s="4">
        <f ca="1">ROUND(T_Tiktok_ads[[#This Row],[clicks]]*RANDBETWEEN(8,12)/10,0)</f>
        <v>3614</v>
      </c>
      <c r="AK33" s="4">
        <v>812.3</v>
      </c>
      <c r="AL33" s="4">
        <f ca="1">ROUND(T_Tiktok_ads[[#This Row],[conversions]]*RANDBETWEEN(8,12)/10,0)</f>
        <v>90</v>
      </c>
      <c r="AM33" s="4">
        <f ca="1">ROUND(T_Tiktok_ads[[#This Row],[video_views]]*RANDBETWEEN(8,12)/10,0)</f>
        <v>120864</v>
      </c>
      <c r="AN33" s="4">
        <f ca="1">ROUND(T_Tiktok_ads[[#This Row],[video_watch_25]]*RANDBETWEEN(8,12)/10,0)</f>
        <v>97481</v>
      </c>
      <c r="AO33" s="4">
        <f ca="1">ROUND(T_Tiktok_ads[[#This Row],[video_watch_50]]*RANDBETWEEN(8,12)/10,0)</f>
        <v>49210</v>
      </c>
      <c r="AP33" s="4">
        <f ca="1">ROUND(T_Tiktok_ads[[#This Row],[video_watch_75]]*RANDBETWEEN(8,12)/10,0)</f>
        <v>49481</v>
      </c>
      <c r="AQ33" s="4">
        <f ca="1">ROUND(T_Tiktok_ads[[#This Row],[video_watch_100]]*RANDBETWEEN(8,12)/10,0)</f>
        <v>33080</v>
      </c>
      <c r="AR33" s="4">
        <f ca="1">ROUND(T_Tiktok_ads[[#This Row],[likes]]*RANDBETWEEN(8,12)/10,0)</f>
        <v>4910</v>
      </c>
      <c r="AS33" s="4">
        <f ca="1">ROUND(T_Tiktok_ads[[#This Row],[shares]]*RANDBETWEEN(8,12)/10,0)</f>
        <v>1254</v>
      </c>
      <c r="AT33" s="4">
        <f ca="1">ROUND(T_Tiktok_ads[[#This Row],[comments]]*RANDBETWEEN(8,12)/10,0)</f>
        <v>318</v>
      </c>
      <c r="AV33" s="5">
        <f t="shared" ca="1" si="3"/>
        <v>45115</v>
      </c>
      <c r="AW33">
        <f t="shared" ca="1" si="4"/>
        <v>5</v>
      </c>
      <c r="AX33">
        <f ca="1">ROUND(T_Facebook_Ads11596367717579[[#This Row],[impressions]]*RANDBETWEEN(8,12)/10,0)</f>
        <v>9323</v>
      </c>
      <c r="AY33">
        <f ca="1">ROUND(T_Facebook_Ads11596367717579[[#This Row],[clicks]]*RANDBETWEEN(8,12)/10,0)</f>
        <v>868</v>
      </c>
      <c r="AZ33">
        <f ca="1">T_Facebook_Ads11596367717579[[#This Row],[spend]]*RANDBETWEEN(8,12)/10</f>
        <v>338.44799999999998</v>
      </c>
      <c r="BA33">
        <f ca="1">ROUND(T_Facebook_Ads11596367717579[[#This Row],[conversions]]*RANDBETWEEN(8,12)/10,0)</f>
        <v>32</v>
      </c>
      <c r="BB33">
        <f ca="1">ROUND(T_Facebook_Ads11596367717579[[#This Row],[video_views]]*RANDBETWEEN(8,12)/10,0)</f>
        <v>1934</v>
      </c>
    </row>
    <row r="34" spans="1:54" ht="15.75" thickBot="1" x14ac:dyDescent="0.3">
      <c r="A34" s="3">
        <f t="shared" ref="A34:A65" ca="1" si="5">DATE(2023,7,RANDBETWEEN(1,31))</f>
        <v>45130</v>
      </c>
      <c r="B34" s="4" t="s">
        <v>60</v>
      </c>
      <c r="C34" s="4" t="s">
        <v>61</v>
      </c>
      <c r="D34" s="4" t="s">
        <v>62</v>
      </c>
      <c r="E34" s="4" t="s">
        <v>63</v>
      </c>
      <c r="F34" s="4">
        <f ca="1">ROUND(T_Facebook_Ads[[#This Row],[impressions]]*RANDBETWEEN(8,12)/10,0)</f>
        <v>43768</v>
      </c>
      <c r="G34" s="4">
        <v>1534</v>
      </c>
      <c r="H34" s="4">
        <f ca="1">T_Facebook_Ads[[#This Row],[spend]]*RANDBETWEEN(8,12)/10</f>
        <v>180.64000000000001</v>
      </c>
      <c r="I34" s="4">
        <f ca="1">ROUND(T_Facebook_Ads[[#This Row],[conversions]]*RANDBETWEEN(8,12)/10,0)</f>
        <v>34</v>
      </c>
      <c r="J34" s="4">
        <f ca="1">ROUND(T_Facebook_Ads[[#This Row],[video_views]]*RANDBETWEEN(8,12)/10,0)</f>
        <v>5456</v>
      </c>
      <c r="K34" s="4">
        <f ca="1">T_Facebook_Ads[[#This Row],[engagement_rate]]*RANDBETWEEN(8,12)/10</f>
        <v>4.6320000000000007E-2</v>
      </c>
      <c r="L34" s="4">
        <f ca="1">ROUND(T_Facebook_Ads[[#This Row],[reach]]*RANDBETWEEN(8,12)/10,0)</f>
        <v>32567</v>
      </c>
      <c r="M34" s="4">
        <f ca="1">T_Facebook_Ads[[#This Row],[frequency]]*RANDBETWEEN(8,12)/10</f>
        <v>1.0980000000000001</v>
      </c>
      <c r="O34" s="3">
        <f t="shared" ref="O34:O65" ca="1" si="6">DATE(2023,7,RANDBETWEEN(1,31))</f>
        <v>45108</v>
      </c>
      <c r="P34" s="4" t="s">
        <v>84</v>
      </c>
      <c r="Q34" s="4" t="s">
        <v>85</v>
      </c>
      <c r="R34" s="4" t="s">
        <v>86</v>
      </c>
      <c r="S34" s="4" t="s">
        <v>87</v>
      </c>
      <c r="T34" s="4">
        <f ca="1">ROUND(_Google_ads[[#This Row],[impressions]]*RANDBETWEEN(8,12)/10,0)</f>
        <v>56987</v>
      </c>
      <c r="U34" s="4">
        <f ca="1">ROUND(_Google_ads[[#This Row],[clicks]]*RANDBETWEEN(8,12)/10,0)</f>
        <v>2702</v>
      </c>
      <c r="V34" s="4">
        <f ca="1">_Google_ads[[#This Row],[cost]]*RANDBETWEEN(8,12)/10</f>
        <v>534.96</v>
      </c>
      <c r="W34" s="4">
        <f ca="1">ROUND(_Google_ads[[#This Row],[conversions]]*RANDBETWEEN(8,12)/10,0)</f>
        <v>85</v>
      </c>
      <c r="X34" s="4">
        <f ca="1">ROUND(_Google_ads[[#This Row],[conversion_value]]*RANDBETWEEN(8,12)/10,0)</f>
        <v>2840</v>
      </c>
      <c r="Y34" s="4">
        <f ca="1">_Google_ads[[#This Row],[ctr]]*RANDBETWEEN(8,12)/10</f>
        <v>3.1050000000000001E-2</v>
      </c>
      <c r="Z34" s="4">
        <f ca="1">_Google_ads[[#This Row],[avg_cpc]]*RANDBETWEEN(8,12)/10</f>
        <v>0.21600000000000003</v>
      </c>
      <c r="AA34" s="4">
        <f ca="1">ROUND(_Google_ads[[#This Row],[quality_score]]*RANDBETWEEN(8,12)/10,0)</f>
        <v>10</v>
      </c>
      <c r="AB34" s="4">
        <f ca="1">_Google_ads[[#This Row],[search_impression_share]]*RANDBETWEEN(8,12)/10</f>
        <v>0.54400000000000004</v>
      </c>
      <c r="AD34" s="3">
        <f t="shared" ref="AD34:AD65" ca="1" si="7">DATE(2023,7,RANDBETWEEN(1,31))</f>
        <v>45112</v>
      </c>
      <c r="AE34" s="4" t="s">
        <v>108</v>
      </c>
      <c r="AF34" s="4" t="s">
        <v>109</v>
      </c>
      <c r="AG34" s="4" t="s">
        <v>110</v>
      </c>
      <c r="AH34" s="4" t="s">
        <v>111</v>
      </c>
      <c r="AI34" s="4">
        <f ca="1">ROUND(T_Tiktok_ads[[#This Row],[impressions]]*RANDBETWEEN(8,12)/10,0)</f>
        <v>187654</v>
      </c>
      <c r="AJ34" s="4">
        <f ca="1">ROUND(T_Tiktok_ads[[#This Row],[clicks]]*RANDBETWEEN(8,12)/10,0)</f>
        <v>4168</v>
      </c>
      <c r="AK34" s="4">
        <v>456.8</v>
      </c>
      <c r="AL34" s="4">
        <f ca="1">ROUND(T_Tiktok_ads[[#This Row],[conversions]]*RANDBETWEEN(8,12)/10,0)</f>
        <v>40</v>
      </c>
      <c r="AM34" s="4">
        <f ca="1">ROUND(T_Tiktok_ads[[#This Row],[video_views]]*RANDBETWEEN(8,12)/10,0)</f>
        <v>151387</v>
      </c>
      <c r="AN34" s="4">
        <f ca="1">ROUND(T_Tiktok_ads[[#This Row],[video_watch_25]]*RANDBETWEEN(8,12)/10,0)</f>
        <v>143567</v>
      </c>
      <c r="AO34" s="4">
        <f ca="1">ROUND(T_Tiktok_ads[[#This Row],[video_watch_50]]*RANDBETWEEN(8,12)/10,0)</f>
        <v>102110</v>
      </c>
      <c r="AP34" s="4">
        <f ca="1">ROUND(T_Tiktok_ads[[#This Row],[video_watch_75]]*RANDBETWEEN(8,12)/10,0)</f>
        <v>80802</v>
      </c>
      <c r="AQ34" s="4">
        <f ca="1">ROUND(T_Tiktok_ads[[#This Row],[video_watch_100]]*RANDBETWEEN(8,12)/10,0)</f>
        <v>53480</v>
      </c>
      <c r="AR34" s="4">
        <f ca="1">ROUND(T_Tiktok_ads[[#This Row],[likes]]*RANDBETWEEN(8,12)/10,0)</f>
        <v>10547</v>
      </c>
      <c r="AS34" s="4">
        <f ca="1">ROUND(T_Tiktok_ads[[#This Row],[shares]]*RANDBETWEEN(8,12)/10,0)</f>
        <v>2434</v>
      </c>
      <c r="AT34" s="4">
        <f ca="1">ROUND(T_Tiktok_ads[[#This Row],[comments]]*RANDBETWEEN(8,12)/10,0)</f>
        <v>624</v>
      </c>
      <c r="AV34" s="5">
        <f t="shared" ref="AV34:AV65" ca="1" si="8">DATE(2023,7,RANDBETWEEN(1,31))</f>
        <v>45108</v>
      </c>
      <c r="AW34">
        <f t="shared" ca="1" si="4"/>
        <v>7</v>
      </c>
      <c r="AX34">
        <f ca="1">ROUND(T_Facebook_Ads11596367717579[[#This Row],[impressions]]*RANDBETWEEN(8,12)/10,0)</f>
        <v>52522</v>
      </c>
      <c r="AY34">
        <f ca="1">ROUND(T_Facebook_Ads11596367717579[[#This Row],[clicks]]*RANDBETWEEN(8,12)/10,0)</f>
        <v>1687</v>
      </c>
      <c r="AZ34">
        <f ca="1">T_Facebook_Ads11596367717579[[#This Row],[spend]]*RANDBETWEEN(8,12)/10</f>
        <v>198.70400000000001</v>
      </c>
      <c r="BA34">
        <f ca="1">ROUND(T_Facebook_Ads11596367717579[[#This Row],[conversions]]*RANDBETWEEN(8,12)/10,0)</f>
        <v>31</v>
      </c>
      <c r="BB34">
        <f ca="1">ROUND(T_Facebook_Ads11596367717579[[#This Row],[video_views]]*RANDBETWEEN(8,12)/10,0)</f>
        <v>6547</v>
      </c>
    </row>
    <row r="35" spans="1:54" ht="15.75" thickBot="1" x14ac:dyDescent="0.3">
      <c r="A35" s="3">
        <f t="shared" ca="1" si="5"/>
        <v>45120</v>
      </c>
      <c r="B35" s="4" t="s">
        <v>64</v>
      </c>
      <c r="C35" s="4" t="s">
        <v>65</v>
      </c>
      <c r="D35" s="4" t="s">
        <v>66</v>
      </c>
      <c r="E35" s="4" t="s">
        <v>67</v>
      </c>
      <c r="F35" s="4">
        <f ca="1">ROUND(T_Facebook_Ads[[#This Row],[impressions]]*RANDBETWEEN(8,12)/10,0)</f>
        <v>76234</v>
      </c>
      <c r="G35" s="4">
        <v>278</v>
      </c>
      <c r="H35" s="4">
        <f ca="1">T_Facebook_Ads[[#This Row],[spend]]*RANDBETWEEN(8,12)/10</f>
        <v>121.8</v>
      </c>
      <c r="I35" s="4">
        <f ca="1">ROUND(T_Facebook_Ads[[#This Row],[conversions]]*RANDBETWEEN(8,12)/10,0)</f>
        <v>6</v>
      </c>
      <c r="J35" s="4">
        <f ca="1">ROUND(T_Facebook_Ads[[#This Row],[video_views]]*RANDBETWEEN(8,12)/10,0)</f>
        <v>52345</v>
      </c>
      <c r="K35" s="4">
        <f ca="1">T_Facebook_Ads[[#This Row],[engagement_rate]]*RANDBETWEEN(8,12)/10</f>
        <v>4.0699999999999998E-3</v>
      </c>
      <c r="L35" s="4">
        <f ca="1">ROUND(T_Facebook_Ads[[#This Row],[reach]]*RANDBETWEEN(8,12)/10,0)</f>
        <v>62456</v>
      </c>
      <c r="M35" s="4">
        <f ca="1">T_Facebook_Ads[[#This Row],[frequency]]*RANDBETWEEN(8,12)/10</f>
        <v>0.97599999999999998</v>
      </c>
      <c r="O35" s="3">
        <f t="shared" ca="1" si="6"/>
        <v>45134</v>
      </c>
      <c r="P35" s="4" t="s">
        <v>88</v>
      </c>
      <c r="Q35" s="4" t="s">
        <v>89</v>
      </c>
      <c r="R35" s="4" t="s">
        <v>90</v>
      </c>
      <c r="S35" s="4" t="s">
        <v>59</v>
      </c>
      <c r="T35" s="4">
        <f ca="1">ROUND(_Google_ads[[#This Row],[impressions]]*RANDBETWEEN(8,12)/10,0)</f>
        <v>109431</v>
      </c>
      <c r="U35" s="4">
        <f ca="1">ROUND(_Google_ads[[#This Row],[clicks]]*RANDBETWEEN(8,12)/10,0)</f>
        <v>410</v>
      </c>
      <c r="V35" s="4">
        <f ca="1">_Google_ads[[#This Row],[cost]]*RANDBETWEEN(8,12)/10</f>
        <v>156.53000000000003</v>
      </c>
      <c r="W35" s="4">
        <f ca="1">ROUND(_Google_ads[[#This Row],[conversions]]*RANDBETWEEN(8,12)/10,0)</f>
        <v>12</v>
      </c>
      <c r="X35" s="4">
        <f ca="1">ROUND(_Google_ads[[#This Row],[conversion_value]]*RANDBETWEEN(8,12)/10,0)</f>
        <v>750</v>
      </c>
      <c r="Y35" s="4">
        <f ca="1">_Google_ads[[#This Row],[ctr]]*RANDBETWEEN(8,12)/10</f>
        <v>2.96E-3</v>
      </c>
      <c r="Z35" s="4">
        <f ca="1">_Google_ads[[#This Row],[avg_cpc]]*RANDBETWEEN(8,12)/10</f>
        <v>0.33600000000000002</v>
      </c>
      <c r="AA35" s="4">
        <f ca="1">ROUND(_Google_ads[[#This Row],[quality_score]]*RANDBETWEEN(8,12)/10,0)</f>
        <v>7</v>
      </c>
      <c r="AB35" s="4">
        <f ca="1">_Google_ads[[#This Row],[search_impression_share]]*RANDBETWEEN(8,12)/10</f>
        <v>0.32399999999999995</v>
      </c>
      <c r="AD35" s="3">
        <f t="shared" ca="1" si="7"/>
        <v>45131</v>
      </c>
      <c r="AE35" s="4" t="s">
        <v>112</v>
      </c>
      <c r="AF35" s="4" t="s">
        <v>113</v>
      </c>
      <c r="AG35" s="4" t="s">
        <v>114</v>
      </c>
      <c r="AH35" s="4" t="s">
        <v>115</v>
      </c>
      <c r="AI35" s="4">
        <f ca="1">ROUND(T_Tiktok_ads[[#This Row],[impressions]]*RANDBETWEEN(8,12)/10,0)</f>
        <v>412345</v>
      </c>
      <c r="AJ35" s="4">
        <f ca="1">ROUND(T_Tiktok_ads[[#This Row],[clicks]]*RANDBETWEEN(8,12)/10,0)</f>
        <v>6110</v>
      </c>
      <c r="AK35" s="4">
        <v>1023.4</v>
      </c>
      <c r="AL35" s="4">
        <f ca="1">ROUND(T_Tiktok_ads[[#This Row],[conversions]]*RANDBETWEEN(8,12)/10,0)</f>
        <v>93</v>
      </c>
      <c r="AM35" s="4">
        <f ca="1">ROUND(T_Tiktok_ads[[#This Row],[video_views]]*RANDBETWEEN(8,12)/10,0)</f>
        <v>414814</v>
      </c>
      <c r="AN35" s="4">
        <f ca="1">ROUND(T_Tiktok_ads[[#This Row],[video_watch_25]]*RANDBETWEEN(8,12)/10,0)</f>
        <v>306791</v>
      </c>
      <c r="AO35" s="4">
        <f ca="1">ROUND(T_Tiktok_ads[[#This Row],[video_watch_50]]*RANDBETWEEN(8,12)/10,0)</f>
        <v>245802</v>
      </c>
      <c r="AP35" s="4">
        <f ca="1">ROUND(T_Tiktok_ads[[#This Row],[video_watch_75]]*RANDBETWEEN(8,12)/10,0)</f>
        <v>191081</v>
      </c>
      <c r="AQ35" s="4">
        <f ca="1">ROUND(T_Tiktok_ads[[#This Row],[video_watch_100]]*RANDBETWEEN(8,12)/10,0)</f>
        <v>105678</v>
      </c>
      <c r="AR35" s="4">
        <f ca="1">ROUND(T_Tiktok_ads[[#This Row],[likes]]*RANDBETWEEN(8,12)/10,0)</f>
        <v>20057</v>
      </c>
      <c r="AS35" s="4">
        <f ca="1">ROUND(T_Tiktok_ads[[#This Row],[shares]]*RANDBETWEEN(8,12)/10,0)</f>
        <v>4711</v>
      </c>
      <c r="AT35" s="4">
        <f ca="1">ROUND(T_Tiktok_ads[[#This Row],[comments]]*RANDBETWEEN(8,12)/10,0)</f>
        <v>1747</v>
      </c>
      <c r="AV35" s="5">
        <f t="shared" ca="1" si="8"/>
        <v>45109</v>
      </c>
      <c r="AW35">
        <f t="shared" ca="1" si="4"/>
        <v>8</v>
      </c>
      <c r="AX35">
        <f ca="1">ROUND(T_Facebook_Ads11596367717579[[#This Row],[impressions]]*RANDBETWEEN(8,12)/10,0)</f>
        <v>68611</v>
      </c>
      <c r="AY35">
        <f ca="1">ROUND(T_Facebook_Ads11596367717579[[#This Row],[clicks]]*RANDBETWEEN(8,12)/10,0)</f>
        <v>222</v>
      </c>
      <c r="AZ35">
        <f ca="1">T_Facebook_Ads11596367717579[[#This Row],[spend]]*RANDBETWEEN(8,12)/10</f>
        <v>146.16</v>
      </c>
      <c r="BA35">
        <f ca="1">ROUND(T_Facebook_Ads11596367717579[[#This Row],[conversions]]*RANDBETWEEN(8,12)/10,0)</f>
        <v>7</v>
      </c>
      <c r="BB35">
        <f ca="1">ROUND(T_Facebook_Ads11596367717579[[#This Row],[video_views]]*RANDBETWEEN(8,12)/10,0)</f>
        <v>47111</v>
      </c>
    </row>
    <row r="36" spans="1:54" ht="15.75" thickBot="1" x14ac:dyDescent="0.3">
      <c r="A36" s="3">
        <f t="shared" ca="1" si="5"/>
        <v>45122</v>
      </c>
      <c r="B36" s="4" t="s">
        <v>52</v>
      </c>
      <c r="C36" s="4" t="s">
        <v>53</v>
      </c>
      <c r="D36" s="4" t="s">
        <v>54</v>
      </c>
      <c r="E36" s="4" t="s">
        <v>55</v>
      </c>
      <c r="F36" s="4">
        <f ca="1">ROUND(T_Facebook_Ads[[#This Row],[impressions]]*RANDBETWEEN(8,12)/10,0)</f>
        <v>44311</v>
      </c>
      <c r="G36" s="4">
        <v>1012</v>
      </c>
      <c r="H36" s="4">
        <f ca="1">T_Facebook_Ads[[#This Row],[spend]]*RANDBETWEEN(8,12)/10</f>
        <v>112.24000000000001</v>
      </c>
      <c r="I36" s="4">
        <f ca="1">ROUND(T_Facebook_Ads[[#This Row],[conversions]]*RANDBETWEEN(8,12)/10,0)</f>
        <v>15</v>
      </c>
      <c r="J36" s="4">
        <f ca="1">ROUND(T_Facebook_Ads[[#This Row],[video_views]]*RANDBETWEEN(8,12)/10,0)</f>
        <v>7298</v>
      </c>
      <c r="K36" s="4">
        <f ca="1">T_Facebook_Ads[[#This Row],[engagement_rate]]*RANDBETWEEN(8,12)/10</f>
        <v>1.6480000000000002E-2</v>
      </c>
      <c r="L36" s="4">
        <f ca="1">ROUND(T_Facebook_Ads[[#This Row],[reach]]*RANDBETWEEN(8,12)/10,0)</f>
        <v>45724</v>
      </c>
      <c r="M36" s="4">
        <f ca="1">T_Facebook_Ads[[#This Row],[frequency]]*RANDBETWEEN(8,12)/10</f>
        <v>1.0619999999999998</v>
      </c>
      <c r="O36" s="3">
        <f t="shared" ca="1" si="6"/>
        <v>45122</v>
      </c>
      <c r="P36" s="4" t="s">
        <v>76</v>
      </c>
      <c r="Q36" s="4" t="s">
        <v>77</v>
      </c>
      <c r="R36" s="4" t="s">
        <v>78</v>
      </c>
      <c r="S36" s="4" t="s">
        <v>79</v>
      </c>
      <c r="T36" s="4">
        <f ca="1">ROUND(_Google_ads[[#This Row],[impressions]]*RANDBETWEEN(8,12)/10,0)</f>
        <v>22611</v>
      </c>
      <c r="U36" s="4">
        <f ca="1">ROUND(_Google_ads[[#This Row],[clicks]]*RANDBETWEEN(8,12)/10,0)</f>
        <v>1312</v>
      </c>
      <c r="V36" s="4">
        <f ca="1">_Google_ads[[#This Row],[cost]]*RANDBETWEEN(8,12)/10</f>
        <v>250.4</v>
      </c>
      <c r="W36" s="4">
        <f ca="1">ROUND(_Google_ads[[#This Row],[conversions]]*RANDBETWEEN(8,12)/10,0)</f>
        <v>44</v>
      </c>
      <c r="X36" s="4">
        <f ca="1">ROUND(_Google_ads[[#This Row],[conversion_value]]*RANDBETWEEN(8,12)/10,0)</f>
        <v>2695</v>
      </c>
      <c r="Y36" s="4">
        <f ca="1">_Google_ads[[#This Row],[ctr]]*RANDBETWEEN(8,12)/10</f>
        <v>4.6980000000000008E-2</v>
      </c>
      <c r="Z36" s="4">
        <f ca="1">_Google_ads[[#This Row],[avg_cpc]]*RANDBETWEEN(8,12)/10</f>
        <v>0.20899999999999999</v>
      </c>
      <c r="AA36" s="4">
        <f ca="1">ROUND(_Google_ads[[#This Row],[quality_score]]*RANDBETWEEN(8,12)/10,0)</f>
        <v>9</v>
      </c>
      <c r="AB36" s="4">
        <f ca="1">_Google_ads[[#This Row],[search_impression_share]]*RANDBETWEEN(8,12)/10</f>
        <v>0.81899999999999995</v>
      </c>
      <c r="AD36" s="3">
        <f t="shared" ca="1" si="7"/>
        <v>45116</v>
      </c>
      <c r="AE36" s="4" t="s">
        <v>100</v>
      </c>
      <c r="AF36" s="4" t="s">
        <v>101</v>
      </c>
      <c r="AG36" s="4" t="s">
        <v>102</v>
      </c>
      <c r="AH36" s="4" t="s">
        <v>103</v>
      </c>
      <c r="AI36" s="4">
        <f ca="1">ROUND(T_Tiktok_ads[[#This Row],[impressions]]*RANDBETWEEN(8,12)/10,0)</f>
        <v>294679</v>
      </c>
      <c r="AJ36" s="4">
        <f ca="1">ROUND(T_Tiktok_ads[[#This Row],[clicks]]*RANDBETWEEN(8,12)/10,0)</f>
        <v>3551</v>
      </c>
      <c r="AK36" s="4">
        <v>501.2</v>
      </c>
      <c r="AL36" s="4">
        <f ca="1">ROUND(T_Tiktok_ads[[#This Row],[conversions]]*RANDBETWEEN(8,12)/10,0)</f>
        <v>48</v>
      </c>
      <c r="AM36" s="4">
        <f ca="1">ROUND(T_Tiktok_ads[[#This Row],[video_views]]*RANDBETWEEN(8,12)/10,0)</f>
        <v>243357</v>
      </c>
      <c r="AN36" s="4">
        <f ca="1">ROUND(T_Tiktok_ads[[#This Row],[video_watch_25]]*RANDBETWEEN(8,12)/10,0)</f>
        <v>156110</v>
      </c>
      <c r="AO36" s="4">
        <f ca="1">ROUND(T_Tiktok_ads[[#This Row],[video_watch_50]]*RANDBETWEEN(8,12)/10,0)</f>
        <v>131081</v>
      </c>
      <c r="AP36" s="4">
        <f ca="1">ROUND(T_Tiktok_ads[[#This Row],[video_watch_75]]*RANDBETWEEN(8,12)/10,0)</f>
        <v>80924</v>
      </c>
      <c r="AQ36" s="4">
        <f ca="1">ROUND(T_Tiktok_ads[[#This Row],[video_watch_100]]*RANDBETWEEN(8,12)/10,0)</f>
        <v>59081</v>
      </c>
      <c r="AR36" s="4">
        <f ca="1">ROUND(T_Tiktok_ads[[#This Row],[likes]]*RANDBETWEEN(8,12)/10,0)</f>
        <v>10768</v>
      </c>
      <c r="AS36" s="4">
        <f ca="1">ROUND(T_Tiktok_ads[[#This Row],[shares]]*RANDBETWEEN(8,12)/10,0)</f>
        <v>2897</v>
      </c>
      <c r="AT36" s="4">
        <f ca="1">ROUND(T_Tiktok_ads[[#This Row],[comments]]*RANDBETWEEN(8,12)/10,0)</f>
        <v>748</v>
      </c>
      <c r="AV36" s="5">
        <f t="shared" ca="1" si="8"/>
        <v>45113</v>
      </c>
      <c r="AW36">
        <f t="shared" ca="1" si="4"/>
        <v>7</v>
      </c>
      <c r="AX36">
        <f ca="1">ROUND(T_Facebook_Ads11596367717579[[#This Row],[impressions]]*RANDBETWEEN(8,12)/10,0)</f>
        <v>53173</v>
      </c>
      <c r="AY36">
        <f ca="1">ROUND(T_Facebook_Ads11596367717579[[#This Row],[clicks]]*RANDBETWEEN(8,12)/10,0)</f>
        <v>810</v>
      </c>
      <c r="AZ36">
        <f ca="1">T_Facebook_Ads11596367717579[[#This Row],[spend]]*RANDBETWEEN(8,12)/10</f>
        <v>123.46400000000001</v>
      </c>
      <c r="BA36">
        <f ca="1">ROUND(T_Facebook_Ads11596367717579[[#This Row],[conversions]]*RANDBETWEEN(8,12)/10,0)</f>
        <v>17</v>
      </c>
      <c r="BB36">
        <f ca="1">ROUND(T_Facebook_Ads11596367717579[[#This Row],[video_views]]*RANDBETWEEN(8,12)/10,0)</f>
        <v>6568</v>
      </c>
    </row>
    <row r="37" spans="1:54" ht="15.75" thickBot="1" x14ac:dyDescent="0.3">
      <c r="A37" s="3">
        <f t="shared" ca="1" si="5"/>
        <v>45137</v>
      </c>
      <c r="B37" s="4" t="s">
        <v>56</v>
      </c>
      <c r="C37" s="4" t="s">
        <v>57</v>
      </c>
      <c r="D37" s="4" t="s">
        <v>58</v>
      </c>
      <c r="E37" s="4" t="s">
        <v>59</v>
      </c>
      <c r="F37" s="4">
        <f ca="1">ROUND(T_Facebook_Ads[[#This Row],[impressions]]*RANDBETWEEN(8,12)/10,0)</f>
        <v>16147</v>
      </c>
      <c r="G37" s="4">
        <v>634</v>
      </c>
      <c r="H37" s="4">
        <f ca="1">T_Facebook_Ads[[#This Row],[spend]]*RANDBETWEEN(8,12)/10</f>
        <v>191.76</v>
      </c>
      <c r="I37" s="4">
        <f ca="1">ROUND(T_Facebook_Ads[[#This Row],[conversions]]*RANDBETWEEN(8,12)/10,0)</f>
        <v>43</v>
      </c>
      <c r="J37" s="4">
        <f ca="1">ROUND(T_Facebook_Ads[[#This Row],[video_views]]*RANDBETWEEN(8,12)/10,0)</f>
        <v>1516</v>
      </c>
      <c r="K37" s="4">
        <f ca="1">T_Facebook_Ads[[#This Row],[engagement_rate]]*RANDBETWEEN(8,12)/10</f>
        <v>4.2390000000000004E-2</v>
      </c>
      <c r="L37" s="4">
        <f ca="1">ROUND(T_Facebook_Ads[[#This Row],[reach]]*RANDBETWEEN(8,12)/10,0)</f>
        <v>12680</v>
      </c>
      <c r="M37" s="4">
        <f ca="1">T_Facebook_Ads[[#This Row],[frequency]]*RANDBETWEEN(8,12)/10</f>
        <v>1.524</v>
      </c>
      <c r="O37" s="3">
        <f t="shared" ca="1" si="6"/>
        <v>45119</v>
      </c>
      <c r="P37" s="4" t="s">
        <v>80</v>
      </c>
      <c r="Q37" s="4" t="s">
        <v>81</v>
      </c>
      <c r="R37" s="4" t="s">
        <v>82</v>
      </c>
      <c r="S37" s="4" t="s">
        <v>83</v>
      </c>
      <c r="T37" s="4">
        <f ca="1">ROUND(_Google_ads[[#This Row],[impressions]]*RANDBETWEEN(8,12)/10,0)</f>
        <v>51224</v>
      </c>
      <c r="U37" s="4">
        <f ca="1">ROUND(_Google_ads[[#This Row],[clicks]]*RANDBETWEEN(8,12)/10,0)</f>
        <v>912</v>
      </c>
      <c r="V37" s="4">
        <f ca="1">_Google_ads[[#This Row],[cost]]*RANDBETWEEN(8,12)/10</f>
        <v>596.70000000000005</v>
      </c>
      <c r="W37" s="4">
        <f ca="1">ROUND(_Google_ads[[#This Row],[conversions]]*RANDBETWEEN(8,12)/10,0)</f>
        <v>19</v>
      </c>
      <c r="X37" s="4">
        <f ca="1">ROUND(_Google_ads[[#This Row],[conversion_value]]*RANDBETWEEN(8,12)/10,0)</f>
        <v>1320</v>
      </c>
      <c r="Y37" s="4">
        <f ca="1">_Google_ads[[#This Row],[ctr]]*RANDBETWEEN(8,12)/10</f>
        <v>1.5679999999999999E-2</v>
      </c>
      <c r="Z37" s="4">
        <f ca="1">_Google_ads[[#This Row],[avg_cpc]]*RANDBETWEEN(8,12)/10</f>
        <v>0.65</v>
      </c>
      <c r="AA37" s="4">
        <f ca="1">ROUND(_Google_ads[[#This Row],[quality_score]]*RANDBETWEEN(8,12)/10,0)</f>
        <v>6</v>
      </c>
      <c r="AB37" s="4">
        <f ca="1">_Google_ads[[#This Row],[search_impression_share]]*RANDBETWEEN(8,12)/10</f>
        <v>0.45</v>
      </c>
      <c r="AD37" s="3">
        <f t="shared" ca="1" si="7"/>
        <v>45118</v>
      </c>
      <c r="AE37" s="4" t="s">
        <v>104</v>
      </c>
      <c r="AF37" s="4" t="s">
        <v>105</v>
      </c>
      <c r="AG37" s="4" t="s">
        <v>106</v>
      </c>
      <c r="AH37" s="4" t="s">
        <v>107</v>
      </c>
      <c r="AI37" s="4">
        <f ca="1">ROUND(T_Tiktok_ads[[#This Row],[impressions]]*RANDBETWEEN(8,12)/10,0)</f>
        <v>134011</v>
      </c>
      <c r="AJ37" s="4">
        <f ca="1">ROUND(T_Tiktok_ads[[#This Row],[clicks]]*RANDBETWEEN(8,12)/10,0)</f>
        <v>3117</v>
      </c>
      <c r="AK37" s="4">
        <v>767.5</v>
      </c>
      <c r="AL37" s="4">
        <f ca="1">ROUND(T_Tiktok_ads[[#This Row],[conversions]]*RANDBETWEEN(8,12)/10,0)</f>
        <v>77</v>
      </c>
      <c r="AM37" s="4">
        <f ca="1">ROUND(T_Tiktok_ads[[#This Row],[video_views]]*RANDBETWEEN(8,12)/10,0)</f>
        <v>113802</v>
      </c>
      <c r="AN37" s="4">
        <f ca="1">ROUND(T_Tiktok_ads[[#This Row],[video_watch_25]]*RANDBETWEEN(8,12)/10,0)</f>
        <v>76234</v>
      </c>
      <c r="AO37" s="4">
        <f ca="1">ROUND(T_Tiktok_ads[[#This Row],[video_watch_50]]*RANDBETWEEN(8,12)/10,0)</f>
        <v>56357</v>
      </c>
      <c r="AP37" s="4">
        <f ca="1">ROUND(T_Tiktok_ads[[#This Row],[video_watch_75]]*RANDBETWEEN(8,12)/10,0)</f>
        <v>30854</v>
      </c>
      <c r="AQ37" s="4">
        <f ca="1">ROUND(T_Tiktok_ads[[#This Row],[video_watch_100]]*RANDBETWEEN(8,12)/10,0)</f>
        <v>25789</v>
      </c>
      <c r="AR37" s="4">
        <f ca="1">ROUND(T_Tiktok_ads[[#This Row],[likes]]*RANDBETWEEN(8,12)/10,0)</f>
        <v>5635</v>
      </c>
      <c r="AS37" s="4">
        <f ca="1">ROUND(T_Tiktok_ads[[#This Row],[shares]]*RANDBETWEEN(8,12)/10,0)</f>
        <v>1165</v>
      </c>
      <c r="AT37" s="4">
        <f ca="1">ROUND(T_Tiktok_ads[[#This Row],[comments]]*RANDBETWEEN(8,12)/10,0)</f>
        <v>306</v>
      </c>
      <c r="AV37" s="5">
        <f t="shared" ca="1" si="8"/>
        <v>45114</v>
      </c>
      <c r="AW37">
        <f t="shared" ca="1" si="4"/>
        <v>6</v>
      </c>
      <c r="AX37">
        <f ca="1">ROUND(T_Facebook_Ads11596367717579[[#This Row],[impressions]]*RANDBETWEEN(8,12)/10,0)</f>
        <v>19376</v>
      </c>
      <c r="AY37">
        <f ca="1">ROUND(T_Facebook_Ads11596367717579[[#This Row],[clicks]]*RANDBETWEEN(8,12)/10,0)</f>
        <v>697</v>
      </c>
      <c r="AZ37">
        <f ca="1">T_Facebook_Ads11596367717579[[#This Row],[spend]]*RANDBETWEEN(8,12)/10</f>
        <v>191.76</v>
      </c>
      <c r="BA37">
        <f ca="1">ROUND(T_Facebook_Ads11596367717579[[#This Row],[conversions]]*RANDBETWEEN(8,12)/10,0)</f>
        <v>39</v>
      </c>
      <c r="BB37">
        <f ca="1">ROUND(T_Facebook_Ads11596367717579[[#This Row],[video_views]]*RANDBETWEEN(8,12)/10,0)</f>
        <v>1516</v>
      </c>
    </row>
    <row r="38" spans="1:54" ht="15.75" thickBot="1" x14ac:dyDescent="0.3">
      <c r="A38" s="3">
        <f t="shared" ca="1" si="5"/>
        <v>45109</v>
      </c>
      <c r="B38" s="4" t="s">
        <v>60</v>
      </c>
      <c r="C38" s="4" t="s">
        <v>61</v>
      </c>
      <c r="D38" s="4" t="s">
        <v>62</v>
      </c>
      <c r="E38" s="4" t="s">
        <v>63</v>
      </c>
      <c r="F38" s="4">
        <f ca="1">ROUND(T_Facebook_Ads[[#This Row],[impressions]]*RANDBETWEEN(8,12)/10,0)</f>
        <v>30312</v>
      </c>
      <c r="G38" s="4">
        <v>1398</v>
      </c>
      <c r="H38" s="4">
        <f ca="1">T_Facebook_Ads[[#This Row],[spend]]*RANDBETWEEN(8,12)/10</f>
        <v>191.16000000000003</v>
      </c>
      <c r="I38" s="4">
        <f ca="1">ROUND(T_Facebook_Ads[[#This Row],[conversions]]*RANDBETWEEN(8,12)/10,0)</f>
        <v>28</v>
      </c>
      <c r="J38" s="4">
        <f ca="1">ROUND(T_Facebook_Ads[[#This Row],[video_views]]*RANDBETWEEN(8,12)/10,0)</f>
        <v>4511</v>
      </c>
      <c r="K38" s="4">
        <f ca="1">T_Facebook_Ads[[#This Row],[engagement_rate]]*RANDBETWEEN(8,12)/10</f>
        <v>4.428E-2</v>
      </c>
      <c r="L38" s="4">
        <f ca="1">ROUND(T_Facebook_Ads[[#This Row],[reach]]*RANDBETWEEN(8,12)/10,0)</f>
        <v>30890</v>
      </c>
      <c r="M38" s="4">
        <f ca="1">T_Facebook_Ads[[#This Row],[frequency]]*RANDBETWEEN(8,12)/10</f>
        <v>0.98399999999999999</v>
      </c>
      <c r="O38" s="3">
        <f t="shared" ca="1" si="6"/>
        <v>45108</v>
      </c>
      <c r="P38" s="4" t="s">
        <v>84</v>
      </c>
      <c r="Q38" s="4" t="s">
        <v>85</v>
      </c>
      <c r="R38" s="4" t="s">
        <v>86</v>
      </c>
      <c r="S38" s="4" t="s">
        <v>87</v>
      </c>
      <c r="T38" s="4">
        <f ca="1">ROUND(_Google_ads[[#This Row],[impressions]]*RANDBETWEEN(8,12)/10,0)</f>
        <v>55912</v>
      </c>
      <c r="U38" s="4">
        <f ca="1">ROUND(_Google_ads[[#This Row],[clicks]]*RANDBETWEEN(8,12)/10,0)</f>
        <v>2101</v>
      </c>
      <c r="V38" s="4">
        <f ca="1">_Google_ads[[#This Row],[cost]]*RANDBETWEEN(8,12)/10</f>
        <v>386.01</v>
      </c>
      <c r="W38" s="4">
        <f ca="1">ROUND(_Google_ads[[#This Row],[conversions]]*RANDBETWEEN(8,12)/10,0)</f>
        <v>66</v>
      </c>
      <c r="X38" s="4">
        <f ca="1">ROUND(_Google_ads[[#This Row],[conversion_value]]*RANDBETWEEN(8,12)/10,0)</f>
        <v>3960</v>
      </c>
      <c r="Y38" s="4">
        <f ca="1">_Google_ads[[#This Row],[ctr]]*RANDBETWEEN(8,12)/10</f>
        <v>2.6720000000000001E-2</v>
      </c>
      <c r="Z38" s="4">
        <f ca="1">_Google_ads[[#This Row],[avg_cpc]]*RANDBETWEEN(8,12)/10</f>
        <v>0.14399999999999999</v>
      </c>
      <c r="AA38" s="4">
        <f ca="1">ROUND(_Google_ads[[#This Row],[quality_score]]*RANDBETWEEN(8,12)/10,0)</f>
        <v>6</v>
      </c>
      <c r="AB38" s="4">
        <f ca="1">_Google_ads[[#This Row],[search_impression_share]]*RANDBETWEEN(8,12)/10</f>
        <v>0.67</v>
      </c>
      <c r="AD38" s="3">
        <f t="shared" ca="1" si="7"/>
        <v>45132</v>
      </c>
      <c r="AE38" s="4" t="s">
        <v>108</v>
      </c>
      <c r="AF38" s="4" t="s">
        <v>109</v>
      </c>
      <c r="AG38" s="4" t="s">
        <v>110</v>
      </c>
      <c r="AH38" s="4" t="s">
        <v>111</v>
      </c>
      <c r="AI38" s="4">
        <f ca="1">ROUND(T_Tiktok_ads[[#This Row],[impressions]]*RANDBETWEEN(8,12)/10,0)</f>
        <v>251791</v>
      </c>
      <c r="AJ38" s="4">
        <f ca="1">ROUND(T_Tiktok_ads[[#This Row],[clicks]]*RANDBETWEEN(8,12)/10,0)</f>
        <v>3997</v>
      </c>
      <c r="AK38" s="4">
        <v>441.9</v>
      </c>
      <c r="AL38" s="4">
        <f ca="1">ROUND(T_Tiktok_ads[[#This Row],[conversions]]*RANDBETWEEN(8,12)/10,0)</f>
        <v>31</v>
      </c>
      <c r="AM38" s="4">
        <f ca="1">ROUND(T_Tiktok_ads[[#This Row],[video_views]]*RANDBETWEEN(8,12)/10,0)</f>
        <v>182345</v>
      </c>
      <c r="AN38" s="4">
        <f ca="1">ROUND(T_Tiktok_ads[[#This Row],[video_watch_25]]*RANDBETWEEN(8,12)/10,0)</f>
        <v>110312</v>
      </c>
      <c r="AO38" s="4">
        <f ca="1">ROUND(T_Tiktok_ads[[#This Row],[video_watch_50]]*RANDBETWEEN(8,12)/10,0)</f>
        <v>130681</v>
      </c>
      <c r="AP38" s="4">
        <f ca="1">ROUND(T_Tiktok_ads[[#This Row],[video_watch_75]]*RANDBETWEEN(8,12)/10,0)</f>
        <v>84680</v>
      </c>
      <c r="AQ38" s="4">
        <f ca="1">ROUND(T_Tiktok_ads[[#This Row],[video_watch_100]]*RANDBETWEEN(8,12)/10,0)</f>
        <v>38510</v>
      </c>
      <c r="AR38" s="4">
        <f ca="1">ROUND(T_Tiktok_ads[[#This Row],[likes]]*RANDBETWEEN(8,12)/10,0)</f>
        <v>10147</v>
      </c>
      <c r="AS38" s="4">
        <f ca="1">ROUND(T_Tiktok_ads[[#This Row],[shares]]*RANDBETWEEN(8,12)/10,0)</f>
        <v>2761</v>
      </c>
      <c r="AT38" s="4">
        <f ca="1">ROUND(T_Tiktok_ads[[#This Row],[comments]]*RANDBETWEEN(8,12)/10,0)</f>
        <v>654</v>
      </c>
      <c r="AV38" s="5">
        <f t="shared" ca="1" si="8"/>
        <v>45112</v>
      </c>
      <c r="AW38">
        <f t="shared" ca="1" si="4"/>
        <v>1</v>
      </c>
      <c r="AX38">
        <f ca="1">ROUND(T_Facebook_Ads11596367717579[[#This Row],[impressions]]*RANDBETWEEN(8,12)/10,0)</f>
        <v>33343</v>
      </c>
      <c r="AY38">
        <f ca="1">ROUND(T_Facebook_Ads11596367717579[[#This Row],[clicks]]*RANDBETWEEN(8,12)/10,0)</f>
        <v>1258</v>
      </c>
      <c r="AZ38">
        <f ca="1">T_Facebook_Ads11596367717579[[#This Row],[spend]]*RANDBETWEEN(8,12)/10</f>
        <v>152.92800000000003</v>
      </c>
      <c r="BA38">
        <f ca="1">ROUND(T_Facebook_Ads11596367717579[[#This Row],[conversions]]*RANDBETWEEN(8,12)/10,0)</f>
        <v>22</v>
      </c>
      <c r="BB38">
        <f ca="1">ROUND(T_Facebook_Ads11596367717579[[#This Row],[video_views]]*RANDBETWEEN(8,12)/10,0)</f>
        <v>3609</v>
      </c>
    </row>
    <row r="39" spans="1:54" ht="15.75" thickBot="1" x14ac:dyDescent="0.3">
      <c r="A39" s="3">
        <f t="shared" ca="1" si="5"/>
        <v>45112</v>
      </c>
      <c r="B39" s="4" t="s">
        <v>64</v>
      </c>
      <c r="C39" s="4" t="s">
        <v>65</v>
      </c>
      <c r="D39" s="4" t="s">
        <v>66</v>
      </c>
      <c r="E39" s="4" t="s">
        <v>67</v>
      </c>
      <c r="F39" s="4">
        <f ca="1">ROUND(T_Facebook_Ads[[#This Row],[impressions]]*RANDBETWEEN(8,12)/10,0)</f>
        <v>87468</v>
      </c>
      <c r="G39" s="4">
        <v>261</v>
      </c>
      <c r="H39" s="4">
        <f ca="1">T_Facebook_Ads[[#This Row],[spend]]*RANDBETWEEN(8,12)/10</f>
        <v>87.11999999999999</v>
      </c>
      <c r="I39" s="4">
        <f ca="1">ROUND(T_Facebook_Ads[[#This Row],[conversions]]*RANDBETWEEN(8,12)/10,0)</f>
        <v>8</v>
      </c>
      <c r="J39" s="4">
        <f ca="1">ROUND(T_Facebook_Ads[[#This Row],[video_views]]*RANDBETWEEN(8,12)/10,0)</f>
        <v>54524</v>
      </c>
      <c r="K39" s="4">
        <f ca="1">T_Facebook_Ads[[#This Row],[engagement_rate]]*RANDBETWEEN(8,12)/10</f>
        <v>3.96E-3</v>
      </c>
      <c r="L39" s="4">
        <f ca="1">ROUND(T_Facebook_Ads[[#This Row],[reach]]*RANDBETWEEN(8,12)/10,0)</f>
        <v>70948</v>
      </c>
      <c r="M39" s="4">
        <f ca="1">T_Facebook_Ads[[#This Row],[frequency]]*RANDBETWEEN(8,12)/10</f>
        <v>1.23</v>
      </c>
      <c r="O39" s="3">
        <f t="shared" ca="1" si="6"/>
        <v>45127</v>
      </c>
      <c r="P39" s="4" t="s">
        <v>88</v>
      </c>
      <c r="Q39" s="4" t="s">
        <v>89</v>
      </c>
      <c r="R39" s="4" t="s">
        <v>90</v>
      </c>
      <c r="S39" s="4" t="s">
        <v>59</v>
      </c>
      <c r="T39" s="4">
        <f ca="1">ROUND(_Google_ads[[#This Row],[impressions]]*RANDBETWEEN(8,12)/10,0)</f>
        <v>120110</v>
      </c>
      <c r="U39" s="4">
        <f ca="1">ROUND(_Google_ads[[#This Row],[clicks]]*RANDBETWEEN(8,12)/10,0)</f>
        <v>440</v>
      </c>
      <c r="V39" s="4">
        <f ca="1">_Google_ads[[#This Row],[cost]]*RANDBETWEEN(8,12)/10</f>
        <v>118.08</v>
      </c>
      <c r="W39" s="4">
        <f ca="1">ROUND(_Google_ads[[#This Row],[conversions]]*RANDBETWEEN(8,12)/10,0)</f>
        <v>17</v>
      </c>
      <c r="X39" s="4">
        <f ca="1">ROUND(_Google_ads[[#This Row],[conversion_value]]*RANDBETWEEN(8,12)/10,0)</f>
        <v>560</v>
      </c>
      <c r="Y39" s="4">
        <f ca="1">_Google_ads[[#This Row],[ctr]]*RANDBETWEEN(8,12)/10</f>
        <v>4.4400000000000004E-3</v>
      </c>
      <c r="Z39" s="4">
        <f ca="1">_Google_ads[[#This Row],[avg_cpc]]*RANDBETWEEN(8,12)/10</f>
        <v>0.29700000000000004</v>
      </c>
      <c r="AA39" s="4">
        <f ca="1">ROUND(_Google_ads[[#This Row],[quality_score]]*RANDBETWEEN(8,12)/10,0)</f>
        <v>8</v>
      </c>
      <c r="AB39" s="4">
        <f ca="1">_Google_ads[[#This Row],[search_impression_share]]*RANDBETWEEN(8,12)/10</f>
        <v>0.38499999999999995</v>
      </c>
      <c r="AD39" s="3">
        <f t="shared" ca="1" si="7"/>
        <v>45129</v>
      </c>
      <c r="AE39" s="4" t="s">
        <v>112</v>
      </c>
      <c r="AF39" s="4" t="s">
        <v>113</v>
      </c>
      <c r="AG39" s="4" t="s">
        <v>114</v>
      </c>
      <c r="AH39" s="4" t="s">
        <v>115</v>
      </c>
      <c r="AI39" s="4">
        <f ca="1">ROUND(T_Tiktok_ads[[#This Row],[impressions]]*RANDBETWEEN(8,12)/10,0)</f>
        <v>398567</v>
      </c>
      <c r="AJ39" s="4">
        <f ca="1">ROUND(T_Tiktok_ads[[#This Row],[clicks]]*RANDBETWEEN(8,12)/10,0)</f>
        <v>7187</v>
      </c>
      <c r="AK39" s="4">
        <v>998.7</v>
      </c>
      <c r="AL39" s="4">
        <f ca="1">ROUND(T_Tiktok_ads[[#This Row],[conversions]]*RANDBETWEEN(8,12)/10,0)</f>
        <v>88</v>
      </c>
      <c r="AM39" s="4">
        <f ca="1">ROUND(T_Tiktok_ads[[#This Row],[video_views]]*RANDBETWEEN(8,12)/10,0)</f>
        <v>365580</v>
      </c>
      <c r="AN39" s="4">
        <f ca="1">ROUND(T_Tiktok_ads[[#This Row],[video_watch_25]]*RANDBETWEEN(8,12)/10,0)</f>
        <v>267890</v>
      </c>
      <c r="AO39" s="4">
        <f ca="1">ROUND(T_Tiktok_ads[[#This Row],[video_watch_50]]*RANDBETWEEN(8,12)/10,0)</f>
        <v>193110</v>
      </c>
      <c r="AP39" s="4">
        <f ca="1">ROUND(T_Tiktok_ads[[#This Row],[video_watch_75]]*RANDBETWEEN(8,12)/10,0)</f>
        <v>120987</v>
      </c>
      <c r="AQ39" s="4">
        <f ca="1">ROUND(T_Tiktok_ads[[#This Row],[video_watch_100]]*RANDBETWEEN(8,12)/10,0)</f>
        <v>119480</v>
      </c>
      <c r="AR39" s="4">
        <f ca="1">ROUND(T_Tiktok_ads[[#This Row],[likes]]*RANDBETWEEN(8,12)/10,0)</f>
        <v>14205</v>
      </c>
      <c r="AS39" s="4">
        <f ca="1">ROUND(T_Tiktok_ads[[#This Row],[shares]]*RANDBETWEEN(8,12)/10,0)</f>
        <v>4010</v>
      </c>
      <c r="AT39" s="4">
        <f ca="1">ROUND(T_Tiktok_ads[[#This Row],[comments]]*RANDBETWEEN(8,12)/10,0)</f>
        <v>1667</v>
      </c>
      <c r="AV39" s="5">
        <f t="shared" ca="1" si="8"/>
        <v>45122</v>
      </c>
      <c r="AW39">
        <f t="shared" ca="1" si="4"/>
        <v>4</v>
      </c>
      <c r="AX39">
        <f ca="1">ROUND(T_Facebook_Ads11596367717579[[#This Row],[impressions]]*RANDBETWEEN(8,12)/10,0)</f>
        <v>104962</v>
      </c>
      <c r="AY39">
        <f ca="1">ROUND(T_Facebook_Ads11596367717579[[#This Row],[clicks]]*RANDBETWEEN(8,12)/10,0)</f>
        <v>209</v>
      </c>
      <c r="AZ39">
        <f ca="1">T_Facebook_Ads11596367717579[[#This Row],[spend]]*RANDBETWEEN(8,12)/10</f>
        <v>95.831999999999994</v>
      </c>
      <c r="BA39">
        <f ca="1">ROUND(T_Facebook_Ads11596367717579[[#This Row],[conversions]]*RANDBETWEEN(8,12)/10,0)</f>
        <v>9</v>
      </c>
      <c r="BB39">
        <f ca="1">ROUND(T_Facebook_Ads11596367717579[[#This Row],[video_views]]*RANDBETWEEN(8,12)/10,0)</f>
        <v>59976</v>
      </c>
    </row>
    <row r="40" spans="1:54" ht="15.75" thickBot="1" x14ac:dyDescent="0.3">
      <c r="A40" s="3">
        <f t="shared" ca="1" si="5"/>
        <v>45121</v>
      </c>
      <c r="B40" s="4" t="s">
        <v>52</v>
      </c>
      <c r="C40" s="4" t="s">
        <v>53</v>
      </c>
      <c r="D40" s="4" t="s">
        <v>54</v>
      </c>
      <c r="E40" s="4" t="s">
        <v>55</v>
      </c>
      <c r="F40" s="4">
        <f ca="1">ROUND(T_Facebook_Ads[[#This Row],[impressions]]*RANDBETWEEN(8,12)/10,0)</f>
        <v>38111</v>
      </c>
      <c r="G40" s="4">
        <v>856</v>
      </c>
      <c r="H40" s="4">
        <f ca="1">T_Facebook_Ads[[#This Row],[spend]]*RANDBETWEEN(8,12)/10</f>
        <v>109.35</v>
      </c>
      <c r="I40" s="4">
        <f ca="1">ROUND(T_Facebook_Ads[[#This Row],[conversions]]*RANDBETWEEN(8,12)/10,0)</f>
        <v>10</v>
      </c>
      <c r="J40" s="4">
        <f ca="1">ROUND(T_Facebook_Ads[[#This Row],[video_views]]*RANDBETWEEN(8,12)/10,0)</f>
        <v>6312</v>
      </c>
      <c r="K40" s="4">
        <f ca="1">T_Facebook_Ads[[#This Row],[engagement_rate]]*RANDBETWEEN(8,12)/10</f>
        <v>1.8179999999999998E-2</v>
      </c>
      <c r="L40" s="4">
        <f ca="1">ROUND(T_Facebook_Ads[[#This Row],[reach]]*RANDBETWEEN(8,12)/10,0)</f>
        <v>39246</v>
      </c>
      <c r="M40" s="4">
        <f ca="1">T_Facebook_Ads[[#This Row],[frequency]]*RANDBETWEEN(8,12)/10</f>
        <v>0.95199999999999996</v>
      </c>
      <c r="O40" s="3">
        <f t="shared" ca="1" si="6"/>
        <v>45136</v>
      </c>
      <c r="P40" s="4" t="s">
        <v>76</v>
      </c>
      <c r="Q40" s="4" t="s">
        <v>77</v>
      </c>
      <c r="R40" s="4" t="s">
        <v>78</v>
      </c>
      <c r="S40" s="4" t="s">
        <v>79</v>
      </c>
      <c r="T40" s="4">
        <f ca="1">ROUND(_Google_ads[[#This Row],[impressions]]*RANDBETWEEN(8,12)/10,0)</f>
        <v>26947</v>
      </c>
      <c r="U40" s="4">
        <f ca="1">ROUND(_Google_ads[[#This Row],[clicks]]*RANDBETWEEN(8,12)/10,0)</f>
        <v>1040</v>
      </c>
      <c r="V40" s="4">
        <f ca="1">_Google_ads[[#This Row],[cost]]*RANDBETWEEN(8,12)/10</f>
        <v>264.48</v>
      </c>
      <c r="W40" s="4">
        <f ca="1">ROUND(_Google_ads[[#This Row],[conversions]]*RANDBETWEEN(8,12)/10,0)</f>
        <v>43</v>
      </c>
      <c r="X40" s="4">
        <f ca="1">ROUND(_Google_ads[[#This Row],[conversion_value]]*RANDBETWEEN(8,12)/10,0)</f>
        <v>2150</v>
      </c>
      <c r="Y40" s="4">
        <f ca="1">_Google_ads[[#This Row],[ctr]]*RANDBETWEEN(8,12)/10</f>
        <v>4.6349999999999995E-2</v>
      </c>
      <c r="Z40" s="4">
        <f ca="1">_Google_ads[[#This Row],[avg_cpc]]*RANDBETWEEN(8,12)/10</f>
        <v>0.22800000000000004</v>
      </c>
      <c r="AA40" s="4">
        <f ca="1">ROUND(_Google_ads[[#This Row],[quality_score]]*RANDBETWEEN(8,12)/10,0)</f>
        <v>7</v>
      </c>
      <c r="AB40" s="4">
        <f ca="1">_Google_ads[[#This Row],[search_impression_share]]*RANDBETWEEN(8,12)/10</f>
        <v>0.9</v>
      </c>
      <c r="AD40" s="3">
        <f t="shared" ca="1" si="7"/>
        <v>45135</v>
      </c>
      <c r="AE40" s="4" t="s">
        <v>100</v>
      </c>
      <c r="AF40" s="4" t="s">
        <v>101</v>
      </c>
      <c r="AG40" s="4" t="s">
        <v>102</v>
      </c>
      <c r="AH40" s="4" t="s">
        <v>103</v>
      </c>
      <c r="AI40" s="4">
        <f ca="1">ROUND(T_Tiktok_ads[[#This Row],[impressions]]*RANDBETWEEN(8,12)/10,0)</f>
        <v>234567</v>
      </c>
      <c r="AJ40" s="4">
        <f ca="1">ROUND(T_Tiktok_ads[[#This Row],[clicks]]*RANDBETWEEN(8,12)/10,0)</f>
        <v>3110</v>
      </c>
      <c r="AK40" s="4">
        <v>456.7</v>
      </c>
      <c r="AL40" s="4">
        <f ca="1">ROUND(T_Tiktok_ads[[#This Row],[conversions]]*RANDBETWEEN(8,12)/10,0)</f>
        <v>37</v>
      </c>
      <c r="AM40" s="4">
        <f ca="1">ROUND(T_Tiktok_ads[[#This Row],[video_views]]*RANDBETWEEN(8,12)/10,0)</f>
        <v>237881</v>
      </c>
      <c r="AN40" s="4">
        <f ca="1">ROUND(T_Tiktok_ads[[#This Row],[video_watch_25]]*RANDBETWEEN(8,12)/10,0)</f>
        <v>140611</v>
      </c>
      <c r="AO40" s="4">
        <f ca="1">ROUND(T_Tiktok_ads[[#This Row],[video_watch_50]]*RANDBETWEEN(8,12)/10,0)</f>
        <v>117881</v>
      </c>
      <c r="AP40" s="4">
        <f ca="1">ROUND(T_Tiktok_ads[[#This Row],[video_watch_75]]*RANDBETWEEN(8,12)/10,0)</f>
        <v>73957</v>
      </c>
      <c r="AQ40" s="4">
        <f ca="1">ROUND(T_Tiktok_ads[[#This Row],[video_watch_100]]*RANDBETWEEN(8,12)/10,0)</f>
        <v>49757</v>
      </c>
      <c r="AR40" s="4">
        <f ca="1">ROUND(T_Tiktok_ads[[#This Row],[likes]]*RANDBETWEEN(8,12)/10,0)</f>
        <v>10708</v>
      </c>
      <c r="AS40" s="4">
        <f ca="1">ROUND(T_Tiktok_ads[[#This Row],[shares]]*RANDBETWEEN(8,12)/10,0)</f>
        <v>1876</v>
      </c>
      <c r="AT40" s="4">
        <f ca="1">ROUND(T_Tiktok_ads[[#This Row],[comments]]*RANDBETWEEN(8,12)/10,0)</f>
        <v>567</v>
      </c>
      <c r="AV40" s="5">
        <f t="shared" ca="1" si="8"/>
        <v>45118</v>
      </c>
      <c r="AW40">
        <f t="shared" ca="1" si="4"/>
        <v>2</v>
      </c>
      <c r="AX40">
        <f ca="1">ROUND(T_Facebook_Ads11596367717579[[#This Row],[impressions]]*RANDBETWEEN(8,12)/10,0)</f>
        <v>30489</v>
      </c>
      <c r="AY40">
        <f ca="1">ROUND(T_Facebook_Ads11596367717579[[#This Row],[clicks]]*RANDBETWEEN(8,12)/10,0)</f>
        <v>1027</v>
      </c>
      <c r="AZ40">
        <f ca="1">T_Facebook_Ads11596367717579[[#This Row],[spend]]*RANDBETWEEN(8,12)/10</f>
        <v>87.47999999999999</v>
      </c>
      <c r="BA40">
        <f ca="1">ROUND(T_Facebook_Ads11596367717579[[#This Row],[conversions]]*RANDBETWEEN(8,12)/10,0)</f>
        <v>10</v>
      </c>
      <c r="BB40">
        <f ca="1">ROUND(T_Facebook_Ads11596367717579[[#This Row],[video_views]]*RANDBETWEEN(8,12)/10,0)</f>
        <v>5050</v>
      </c>
    </row>
    <row r="41" spans="1:54" ht="15.75" thickBot="1" x14ac:dyDescent="0.3">
      <c r="A41" s="3">
        <f t="shared" ca="1" si="5"/>
        <v>45125</v>
      </c>
      <c r="B41" s="4" t="s">
        <v>56</v>
      </c>
      <c r="C41" s="4" t="s">
        <v>57</v>
      </c>
      <c r="D41" s="4" t="s">
        <v>58</v>
      </c>
      <c r="E41" s="4" t="s">
        <v>59</v>
      </c>
      <c r="F41" s="4">
        <f ca="1">ROUND(T_Facebook_Ads[[#This Row],[impressions]]*RANDBETWEEN(8,12)/10,0)</f>
        <v>8987</v>
      </c>
      <c r="G41" s="4">
        <v>523</v>
      </c>
      <c r="H41" s="4">
        <f ca="1">T_Facebook_Ads[[#This Row],[spend]]*RANDBETWEEN(8,12)/10</f>
        <v>238.32</v>
      </c>
      <c r="I41" s="4">
        <f ca="1">ROUND(T_Facebook_Ads[[#This Row],[conversions]]*RANDBETWEEN(8,12)/10,0)</f>
        <v>26</v>
      </c>
      <c r="J41" s="4">
        <f ca="1">ROUND(T_Facebook_Ads[[#This Row],[video_views]]*RANDBETWEEN(8,12)/10,0)</f>
        <v>1011</v>
      </c>
      <c r="K41" s="4">
        <f ca="1">T_Facebook_Ads[[#This Row],[engagement_rate]]*RANDBETWEEN(8,12)/10</f>
        <v>4.6600000000000003E-2</v>
      </c>
      <c r="L41" s="4">
        <f ca="1">ROUND(T_Facebook_Ads[[#This Row],[reach]]*RANDBETWEEN(8,12)/10,0)</f>
        <v>7121</v>
      </c>
      <c r="M41" s="4">
        <f ca="1">T_Facebook_Ads[[#This Row],[frequency]]*RANDBETWEEN(8,12)/10</f>
        <v>1.143</v>
      </c>
      <c r="O41" s="3">
        <f t="shared" ca="1" si="6"/>
        <v>45135</v>
      </c>
      <c r="P41" s="4" t="s">
        <v>80</v>
      </c>
      <c r="Q41" s="4" t="s">
        <v>81</v>
      </c>
      <c r="R41" s="4" t="s">
        <v>82</v>
      </c>
      <c r="S41" s="4" t="s">
        <v>83</v>
      </c>
      <c r="T41" s="4">
        <f ca="1">ROUND(_Google_ads[[#This Row],[impressions]]*RANDBETWEEN(8,12)/10,0)</f>
        <v>49481</v>
      </c>
      <c r="U41" s="4">
        <f ca="1">ROUND(_Google_ads[[#This Row],[clicks]]*RANDBETWEEN(8,12)/10,0)</f>
        <v>988</v>
      </c>
      <c r="V41" s="4">
        <f ca="1">_Google_ads[[#This Row],[cost]]*RANDBETWEEN(8,12)/10</f>
        <v>581.79</v>
      </c>
      <c r="W41" s="4">
        <f ca="1">ROUND(_Google_ads[[#This Row],[conversions]]*RANDBETWEEN(8,12)/10,0)</f>
        <v>19</v>
      </c>
      <c r="X41" s="4">
        <f ca="1">ROUND(_Google_ads[[#This Row],[conversion_value]]*RANDBETWEEN(8,12)/10,0)</f>
        <v>1260</v>
      </c>
      <c r="Y41" s="4">
        <f ca="1">_Google_ads[[#This Row],[ctr]]*RANDBETWEEN(8,12)/10</f>
        <v>1.6E-2</v>
      </c>
      <c r="Z41" s="4">
        <f ca="1">_Google_ads[[#This Row],[avg_cpc]]*RANDBETWEEN(8,12)/10</f>
        <v>0.70399999999999996</v>
      </c>
      <c r="AA41" s="4">
        <f ca="1">ROUND(_Google_ads[[#This Row],[quality_score]]*RANDBETWEEN(8,12)/10,0)</f>
        <v>6</v>
      </c>
      <c r="AB41" s="4">
        <f ca="1">_Google_ads[[#This Row],[search_impression_share]]*RANDBETWEEN(8,12)/10</f>
        <v>0.51600000000000001</v>
      </c>
      <c r="AD41" s="3">
        <f t="shared" ca="1" si="7"/>
        <v>45114</v>
      </c>
      <c r="AE41" s="4" t="s">
        <v>104</v>
      </c>
      <c r="AF41" s="4" t="s">
        <v>105</v>
      </c>
      <c r="AG41" s="4" t="s">
        <v>106</v>
      </c>
      <c r="AH41" s="4" t="s">
        <v>107</v>
      </c>
      <c r="AI41" s="4">
        <f ca="1">ROUND(T_Tiktok_ads[[#This Row],[impressions]]*RANDBETWEEN(8,12)/10,0)</f>
        <v>121110</v>
      </c>
      <c r="AJ41" s="4">
        <f ca="1">ROUND(T_Tiktok_ads[[#This Row],[clicks]]*RANDBETWEEN(8,12)/10,0)</f>
        <v>3080</v>
      </c>
      <c r="AK41" s="4">
        <v>712.3</v>
      </c>
      <c r="AL41" s="4">
        <f ca="1">ROUND(T_Tiktok_ads[[#This Row],[conversions]]*RANDBETWEEN(8,12)/10,0)</f>
        <v>57</v>
      </c>
      <c r="AM41" s="4">
        <f ca="1">ROUND(T_Tiktok_ads[[#This Row],[video_views]]*RANDBETWEEN(8,12)/10,0)</f>
        <v>114814</v>
      </c>
      <c r="AN41" s="4">
        <f ca="1">ROUND(T_Tiktok_ads[[#This Row],[video_watch_25]]*RANDBETWEEN(8,12)/10,0)</f>
        <v>56987</v>
      </c>
      <c r="AO41" s="4">
        <f ca="1">ROUND(T_Tiktok_ads[[#This Row],[video_watch_50]]*RANDBETWEEN(8,12)/10,0)</f>
        <v>38587</v>
      </c>
      <c r="AP41" s="4">
        <f ca="1">ROUND(T_Tiktok_ads[[#This Row],[video_watch_75]]*RANDBETWEEN(8,12)/10,0)</f>
        <v>36234</v>
      </c>
      <c r="AQ41" s="4">
        <f ca="1">ROUND(T_Tiktok_ads[[#This Row],[video_watch_100]]*RANDBETWEEN(8,12)/10,0)</f>
        <v>22110</v>
      </c>
      <c r="AR41" s="4">
        <f ca="1">ROUND(T_Tiktok_ads[[#This Row],[likes]]*RANDBETWEEN(8,12)/10,0)</f>
        <v>5268</v>
      </c>
      <c r="AS41" s="4">
        <f ca="1">ROUND(T_Tiktok_ads[[#This Row],[shares]]*RANDBETWEEN(8,12)/10,0)</f>
        <v>1345</v>
      </c>
      <c r="AT41" s="4">
        <f ca="1">ROUND(T_Tiktok_ads[[#This Row],[comments]]*RANDBETWEEN(8,12)/10,0)</f>
        <v>294</v>
      </c>
      <c r="AV41" s="5">
        <f t="shared" ca="1" si="8"/>
        <v>45130</v>
      </c>
      <c r="AW41">
        <f t="shared" ca="1" si="4"/>
        <v>8</v>
      </c>
      <c r="AX41">
        <f ca="1">ROUND(T_Facebook_Ads11596367717579[[#This Row],[impressions]]*RANDBETWEEN(8,12)/10,0)</f>
        <v>8088</v>
      </c>
      <c r="AY41">
        <f ca="1">ROUND(T_Facebook_Ads11596367717579[[#This Row],[clicks]]*RANDBETWEEN(8,12)/10,0)</f>
        <v>471</v>
      </c>
      <c r="AZ41">
        <f ca="1">T_Facebook_Ads11596367717579[[#This Row],[spend]]*RANDBETWEEN(8,12)/10</f>
        <v>238.32</v>
      </c>
      <c r="BA41">
        <f ca="1">ROUND(T_Facebook_Ads11596367717579[[#This Row],[conversions]]*RANDBETWEEN(8,12)/10,0)</f>
        <v>21</v>
      </c>
      <c r="BB41">
        <f ca="1">ROUND(T_Facebook_Ads11596367717579[[#This Row],[video_views]]*RANDBETWEEN(8,12)/10,0)</f>
        <v>809</v>
      </c>
    </row>
    <row r="42" spans="1:54" ht="15.75" thickBot="1" x14ac:dyDescent="0.3">
      <c r="A42" s="3">
        <f t="shared" ca="1" si="5"/>
        <v>45128</v>
      </c>
      <c r="B42" s="4" t="s">
        <v>60</v>
      </c>
      <c r="C42" s="4" t="s">
        <v>61</v>
      </c>
      <c r="D42" s="4" t="s">
        <v>62</v>
      </c>
      <c r="E42" s="4" t="s">
        <v>63</v>
      </c>
      <c r="F42" s="4">
        <f ca="1">ROUND(T_Facebook_Ads[[#This Row],[impressions]]*RANDBETWEEN(8,12)/10,0)</f>
        <v>30110</v>
      </c>
      <c r="G42" s="4">
        <v>1203</v>
      </c>
      <c r="H42" s="4">
        <f ca="1">T_Facebook_Ads[[#This Row],[spend]]*RANDBETWEEN(8,12)/10</f>
        <v>203.83</v>
      </c>
      <c r="I42" s="4">
        <f ca="1">ROUND(T_Facebook_Ads[[#This Row],[conversions]]*RANDBETWEEN(8,12)/10,0)</f>
        <v>25</v>
      </c>
      <c r="J42" s="4">
        <f ca="1">ROUND(T_Facebook_Ads[[#This Row],[video_views]]*RANDBETWEEN(8,12)/10,0)</f>
        <v>3387</v>
      </c>
      <c r="K42" s="4">
        <f ca="1">T_Facebook_Ads[[#This Row],[engagement_rate]]*RANDBETWEEN(8,12)/10</f>
        <v>3.5999999999999997E-2</v>
      </c>
      <c r="L42" s="4">
        <f ca="1">ROUND(T_Facebook_Ads[[#This Row],[reach]]*RANDBETWEEN(8,12)/10,0)</f>
        <v>22312</v>
      </c>
      <c r="M42" s="4">
        <f ca="1">T_Facebook_Ads[[#This Row],[frequency]]*RANDBETWEEN(8,12)/10</f>
        <v>1.44</v>
      </c>
      <c r="O42" s="3">
        <f t="shared" ca="1" si="6"/>
        <v>45129</v>
      </c>
      <c r="P42" s="4" t="s">
        <v>84</v>
      </c>
      <c r="Q42" s="4" t="s">
        <v>85</v>
      </c>
      <c r="R42" s="4" t="s">
        <v>86</v>
      </c>
      <c r="S42" s="4" t="s">
        <v>87</v>
      </c>
      <c r="T42" s="4">
        <f ca="1">ROUND(_Google_ads[[#This Row],[impressions]]*RANDBETWEEN(8,12)/10,0)</f>
        <v>63456</v>
      </c>
      <c r="U42" s="4">
        <f ca="1">ROUND(_Google_ads[[#This Row],[clicks]]*RANDBETWEEN(8,12)/10,0)</f>
        <v>1671</v>
      </c>
      <c r="V42" s="4">
        <f ca="1">_Google_ads[[#This Row],[cost]]*RANDBETWEEN(8,12)/10</f>
        <v>459.12000000000006</v>
      </c>
      <c r="W42" s="4">
        <f ca="1">ROUND(_Google_ads[[#This Row],[conversions]]*RANDBETWEEN(8,12)/10,0)</f>
        <v>60</v>
      </c>
      <c r="X42" s="4">
        <f ca="1">ROUND(_Google_ads[[#This Row],[conversion_value]]*RANDBETWEEN(8,12)/10,0)</f>
        <v>3600</v>
      </c>
      <c r="Y42" s="4">
        <f ca="1">_Google_ads[[#This Row],[ctr]]*RANDBETWEEN(8,12)/10</f>
        <v>3.9480000000000001E-2</v>
      </c>
      <c r="Z42" s="4">
        <f ca="1">_Google_ads[[#This Row],[avg_cpc]]*RANDBETWEEN(8,12)/10</f>
        <v>0.16199999999999998</v>
      </c>
      <c r="AA42" s="4">
        <f ca="1">ROUND(_Google_ads[[#This Row],[quality_score]]*RANDBETWEEN(8,12)/10,0)</f>
        <v>6</v>
      </c>
      <c r="AB42" s="4">
        <f ca="1">_Google_ads[[#This Row],[search_impression_share]]*RANDBETWEEN(8,12)/10</f>
        <v>0.65</v>
      </c>
      <c r="AD42" s="3">
        <f t="shared" ca="1" si="7"/>
        <v>45136</v>
      </c>
      <c r="AE42" s="4" t="s">
        <v>108</v>
      </c>
      <c r="AF42" s="4" t="s">
        <v>109</v>
      </c>
      <c r="AG42" s="4" t="s">
        <v>110</v>
      </c>
      <c r="AH42" s="4" t="s">
        <v>111</v>
      </c>
      <c r="AI42" s="4">
        <f ca="1">ROUND(T_Tiktok_ads[[#This Row],[impressions]]*RANDBETWEEN(8,12)/10,0)</f>
        <v>221357</v>
      </c>
      <c r="AJ42" s="4">
        <f ca="1">ROUND(T_Tiktok_ads[[#This Row],[clicks]]*RANDBETWEEN(8,12)/10,0)</f>
        <v>2498</v>
      </c>
      <c r="AK42" s="4">
        <v>374.5</v>
      </c>
      <c r="AL42" s="4">
        <f ca="1">ROUND(T_Tiktok_ads[[#This Row],[conversions]]*RANDBETWEEN(8,12)/10,0)</f>
        <v>29</v>
      </c>
      <c r="AM42" s="4">
        <f ca="1">ROUND(T_Tiktok_ads[[#This Row],[video_views]]*RANDBETWEEN(8,12)/10,0)</f>
        <v>142101</v>
      </c>
      <c r="AN42" s="4">
        <f ca="1">ROUND(T_Tiktok_ads[[#This Row],[video_watch_25]]*RANDBETWEEN(8,12)/10,0)</f>
        <v>96987</v>
      </c>
      <c r="AO42" s="4">
        <f ca="1">ROUND(T_Tiktok_ads[[#This Row],[video_watch_50]]*RANDBETWEEN(8,12)/10,0)</f>
        <v>115481</v>
      </c>
      <c r="AP42" s="4">
        <f ca="1">ROUND(T_Tiktok_ads[[#This Row],[video_watch_75]]*RANDBETWEEN(8,12)/10,0)</f>
        <v>73481</v>
      </c>
      <c r="AQ42" s="4">
        <f ca="1">ROUND(T_Tiktok_ads[[#This Row],[video_watch_100]]*RANDBETWEEN(8,12)/10,0)</f>
        <v>33710</v>
      </c>
      <c r="AR42" s="4">
        <f ca="1">ROUND(T_Tiktok_ads[[#This Row],[likes]]*RANDBETWEEN(8,12)/10,0)</f>
        <v>6611</v>
      </c>
      <c r="AS42" s="4">
        <f ca="1">ROUND(T_Tiktok_ads[[#This Row],[shares]]*RANDBETWEEN(8,12)/10,0)</f>
        <v>1627</v>
      </c>
      <c r="AT42" s="4">
        <f ca="1">ROUND(T_Tiktok_ads[[#This Row],[comments]]*RANDBETWEEN(8,12)/10,0)</f>
        <v>538</v>
      </c>
      <c r="AV42" s="5">
        <f t="shared" ca="1" si="8"/>
        <v>45122</v>
      </c>
      <c r="AW42">
        <f t="shared" ca="1" si="4"/>
        <v>4</v>
      </c>
      <c r="AX42">
        <f ca="1">ROUND(T_Facebook_Ads11596367717579[[#This Row],[impressions]]*RANDBETWEEN(8,12)/10,0)</f>
        <v>33121</v>
      </c>
      <c r="AY42">
        <f ca="1">ROUND(T_Facebook_Ads11596367717579[[#This Row],[clicks]]*RANDBETWEEN(8,12)/10,0)</f>
        <v>1444</v>
      </c>
      <c r="AZ42">
        <f ca="1">T_Facebook_Ads11596367717579[[#This Row],[spend]]*RANDBETWEEN(8,12)/10</f>
        <v>244.596</v>
      </c>
      <c r="BA42">
        <f ca="1">ROUND(T_Facebook_Ads11596367717579[[#This Row],[conversions]]*RANDBETWEEN(8,12)/10,0)</f>
        <v>25</v>
      </c>
      <c r="BB42">
        <f ca="1">ROUND(T_Facebook_Ads11596367717579[[#This Row],[video_views]]*RANDBETWEEN(8,12)/10,0)</f>
        <v>2710</v>
      </c>
    </row>
    <row r="43" spans="1:54" ht="15.75" thickBot="1" x14ac:dyDescent="0.3">
      <c r="A43" s="3">
        <f t="shared" ca="1" si="5"/>
        <v>45123</v>
      </c>
      <c r="B43" s="4" t="s">
        <v>64</v>
      </c>
      <c r="C43" s="4" t="s">
        <v>65</v>
      </c>
      <c r="D43" s="4" t="s">
        <v>66</v>
      </c>
      <c r="E43" s="4" t="s">
        <v>67</v>
      </c>
      <c r="F43" s="4">
        <f ca="1">ROUND(T_Facebook_Ads[[#This Row],[impressions]]*RANDBETWEEN(8,12)/10,0)</f>
        <v>77480</v>
      </c>
      <c r="G43" s="4">
        <v>238</v>
      </c>
      <c r="H43" s="4">
        <f ca="1">T_Facebook_Ads[[#This Row],[spend]]*RANDBETWEEN(8,12)/10</f>
        <v>66.72</v>
      </c>
      <c r="I43" s="4">
        <f ca="1">ROUND(T_Facebook_Ads[[#This Row],[conversions]]*RANDBETWEEN(8,12)/10,0)</f>
        <v>5</v>
      </c>
      <c r="J43" s="4">
        <f ca="1">ROUND(T_Facebook_Ads[[#This Row],[video_views]]*RANDBETWEEN(8,12)/10,0)</f>
        <v>43234</v>
      </c>
      <c r="K43" s="4">
        <f ca="1">T_Facebook_Ads[[#This Row],[engagement_rate]]*RANDBETWEEN(8,12)/10</f>
        <v>2.96E-3</v>
      </c>
      <c r="L43" s="4">
        <f ca="1">ROUND(T_Facebook_Ads[[#This Row],[reach]]*RANDBETWEEN(8,12)/10,0)</f>
        <v>63468</v>
      </c>
      <c r="M43" s="4">
        <f ca="1">T_Facebook_Ads[[#This Row],[frequency]]*RANDBETWEEN(8,12)/10</f>
        <v>1.0980000000000001</v>
      </c>
      <c r="O43" s="3">
        <f t="shared" ca="1" si="6"/>
        <v>45121</v>
      </c>
      <c r="P43" s="4" t="s">
        <v>88</v>
      </c>
      <c r="Q43" s="4" t="s">
        <v>89</v>
      </c>
      <c r="R43" s="4" t="s">
        <v>90</v>
      </c>
      <c r="S43" s="4" t="s">
        <v>59</v>
      </c>
      <c r="T43" s="4">
        <f ca="1">ROUND(_Google_ads[[#This Row],[impressions]]*RANDBETWEEN(8,12)/10,0)</f>
        <v>95387</v>
      </c>
      <c r="U43" s="4">
        <f ca="1">ROUND(_Google_ads[[#This Row],[clicks]]*RANDBETWEEN(8,12)/10,0)</f>
        <v>434</v>
      </c>
      <c r="V43" s="4">
        <f ca="1">_Google_ads[[#This Row],[cost]]*RANDBETWEEN(8,12)/10</f>
        <v>128.47999999999999</v>
      </c>
      <c r="W43" s="4">
        <f ca="1">ROUND(_Google_ads[[#This Row],[conversions]]*RANDBETWEEN(8,12)/10,0)</f>
        <v>14</v>
      </c>
      <c r="X43" s="4">
        <f ca="1">ROUND(_Google_ads[[#This Row],[conversion_value]]*RANDBETWEEN(8,12)/10,0)</f>
        <v>600</v>
      </c>
      <c r="Y43" s="4">
        <f ca="1">_Google_ads[[#This Row],[ctr]]*RANDBETWEEN(8,12)/10</f>
        <v>3.96E-3</v>
      </c>
      <c r="Z43" s="4">
        <f ca="1">_Google_ads[[#This Row],[avg_cpc]]*RANDBETWEEN(8,12)/10</f>
        <v>0.21600000000000003</v>
      </c>
      <c r="AA43" s="4">
        <f ca="1">ROUND(_Google_ads[[#This Row],[quality_score]]*RANDBETWEEN(8,12)/10,0)</f>
        <v>6</v>
      </c>
      <c r="AB43" s="4">
        <f ca="1">_Google_ads[[#This Row],[search_impression_share]]*RANDBETWEEN(8,12)/10</f>
        <v>0.26400000000000001</v>
      </c>
      <c r="AD43" s="3">
        <f t="shared" ca="1" si="7"/>
        <v>45108</v>
      </c>
      <c r="AE43" s="4" t="s">
        <v>112</v>
      </c>
      <c r="AF43" s="4" t="s">
        <v>113</v>
      </c>
      <c r="AG43" s="4" t="s">
        <v>114</v>
      </c>
      <c r="AH43" s="4" t="s">
        <v>115</v>
      </c>
      <c r="AI43" s="4">
        <f ca="1">ROUND(T_Tiktok_ads[[#This Row],[impressions]]*RANDBETWEEN(8,12)/10,0)</f>
        <v>331101</v>
      </c>
      <c r="AJ43" s="4">
        <f ca="1">ROUND(T_Tiktok_ads[[#This Row],[clicks]]*RANDBETWEEN(8,12)/10,0)</f>
        <v>6613</v>
      </c>
      <c r="AK43" s="4">
        <v>923.4</v>
      </c>
      <c r="AL43" s="4">
        <f ca="1">ROUND(T_Tiktok_ads[[#This Row],[conversions]]*RANDBETWEEN(8,12)/10,0)</f>
        <v>94</v>
      </c>
      <c r="AM43" s="4">
        <f ca="1">ROUND(T_Tiktok_ads[[#This Row],[video_views]]*RANDBETWEEN(8,12)/10,0)</f>
        <v>301234</v>
      </c>
      <c r="AN43" s="4">
        <f ca="1">ROUND(T_Tiktok_ads[[#This Row],[video_watch_25]]*RANDBETWEEN(8,12)/10,0)</f>
        <v>270246</v>
      </c>
      <c r="AO43" s="4">
        <f ca="1">ROUND(T_Tiktok_ads[[#This Row],[video_watch_50]]*RANDBETWEEN(8,12)/10,0)</f>
        <v>157431</v>
      </c>
      <c r="AP43" s="4">
        <f ca="1">ROUND(T_Tiktok_ads[[#This Row],[video_watch_75]]*RANDBETWEEN(8,12)/10,0)</f>
        <v>126211</v>
      </c>
      <c r="AQ43" s="4">
        <f ca="1">ROUND(T_Tiktok_ads[[#This Row],[video_watch_100]]*RANDBETWEEN(8,12)/10,0)</f>
        <v>74765</v>
      </c>
      <c r="AR43" s="4">
        <f ca="1">ROUND(T_Tiktok_ads[[#This Row],[likes]]*RANDBETWEEN(8,12)/10,0)</f>
        <v>14611</v>
      </c>
      <c r="AS43" s="4">
        <f ca="1">ROUND(T_Tiktok_ads[[#This Row],[shares]]*RANDBETWEEN(8,12)/10,0)</f>
        <v>4310</v>
      </c>
      <c r="AT43" s="4">
        <f ca="1">ROUND(T_Tiktok_ads[[#This Row],[comments]]*RANDBETWEEN(8,12)/10,0)</f>
        <v>1160</v>
      </c>
      <c r="AV43" s="5">
        <f t="shared" ca="1" si="8"/>
        <v>45133</v>
      </c>
      <c r="AW43">
        <f t="shared" ca="1" si="4"/>
        <v>8</v>
      </c>
      <c r="AX43">
        <f ca="1">ROUND(T_Facebook_Ads11596367717579[[#This Row],[impressions]]*RANDBETWEEN(8,12)/10,0)</f>
        <v>61984</v>
      </c>
      <c r="AY43">
        <f ca="1">ROUND(T_Facebook_Ads11596367717579[[#This Row],[clicks]]*RANDBETWEEN(8,12)/10,0)</f>
        <v>238</v>
      </c>
      <c r="AZ43">
        <f ca="1">T_Facebook_Ads11596367717579[[#This Row],[spend]]*RANDBETWEEN(8,12)/10</f>
        <v>73.391999999999996</v>
      </c>
      <c r="BA43">
        <f ca="1">ROUND(T_Facebook_Ads11596367717579[[#This Row],[conversions]]*RANDBETWEEN(8,12)/10,0)</f>
        <v>4</v>
      </c>
      <c r="BB43">
        <f ca="1">ROUND(T_Facebook_Ads11596367717579[[#This Row],[video_views]]*RANDBETWEEN(8,12)/10,0)</f>
        <v>47557</v>
      </c>
    </row>
    <row r="44" spans="1:54" ht="15.75" thickBot="1" x14ac:dyDescent="0.3">
      <c r="A44" s="3">
        <f t="shared" ca="1" si="5"/>
        <v>45120</v>
      </c>
      <c r="B44" s="4" t="s">
        <v>52</v>
      </c>
      <c r="C44" s="4" t="s">
        <v>53</v>
      </c>
      <c r="D44" s="4" t="s">
        <v>54</v>
      </c>
      <c r="E44" s="4" t="s">
        <v>55</v>
      </c>
      <c r="F44" s="4">
        <f ca="1">ROUND(T_Facebook_Ads[[#This Row],[impressions]]*RANDBETWEEN(8,12)/10,0)</f>
        <v>36111</v>
      </c>
      <c r="G44" s="4">
        <v>798</v>
      </c>
      <c r="H44" s="4">
        <f ca="1">T_Facebook_Ads[[#This Row],[spend]]*RANDBETWEEN(8,12)/10</f>
        <v>114.7</v>
      </c>
      <c r="I44" s="4">
        <f ca="1">ROUND(T_Facebook_Ads[[#This Row],[conversions]]*RANDBETWEEN(8,12)/10,0)</f>
        <v>9</v>
      </c>
      <c r="J44" s="4">
        <f ca="1">ROUND(T_Facebook_Ads[[#This Row],[video_views]]*RANDBETWEEN(8,12)/10,0)</f>
        <v>8080</v>
      </c>
      <c r="K44" s="4">
        <f ca="1">T_Facebook_Ads[[#This Row],[engagement_rate]]*RANDBETWEEN(8,12)/10</f>
        <v>1.9900000000000001E-2</v>
      </c>
      <c r="L44" s="4">
        <f ca="1">ROUND(T_Facebook_Ads[[#This Row],[reach]]*RANDBETWEEN(8,12)/10,0)</f>
        <v>26765</v>
      </c>
      <c r="M44" s="4">
        <f ca="1">T_Facebook_Ads[[#This Row],[frequency]]*RANDBETWEEN(8,12)/10</f>
        <v>0.96</v>
      </c>
      <c r="O44" s="3">
        <f t="shared" ca="1" si="6"/>
        <v>45130</v>
      </c>
      <c r="P44" s="4" t="s">
        <v>76</v>
      </c>
      <c r="Q44" s="4" t="s">
        <v>77</v>
      </c>
      <c r="R44" s="4" t="s">
        <v>78</v>
      </c>
      <c r="S44" s="4" t="s">
        <v>79</v>
      </c>
      <c r="T44" s="4">
        <f ca="1">ROUND(_Google_ads[[#This Row],[impressions]]*RANDBETWEEN(8,12)/10,0)</f>
        <v>23357</v>
      </c>
      <c r="U44" s="4">
        <f ca="1">ROUND(_Google_ads[[#This Row],[clicks]]*RANDBETWEEN(8,12)/10,0)</f>
        <v>1307</v>
      </c>
      <c r="V44" s="4">
        <f ca="1">_Google_ads[[#This Row],[cost]]*RANDBETWEEN(8,12)/10</f>
        <v>207.8</v>
      </c>
      <c r="W44" s="4">
        <f ca="1">ROUND(_Google_ads[[#This Row],[conversions]]*RANDBETWEEN(8,12)/10,0)</f>
        <v>41</v>
      </c>
      <c r="X44" s="4">
        <f ca="1">ROUND(_Google_ads[[#This Row],[conversion_value]]*RANDBETWEEN(8,12)/10,0)</f>
        <v>2255</v>
      </c>
      <c r="Y44" s="4">
        <f ca="1">_Google_ads[[#This Row],[ctr]]*RANDBETWEEN(8,12)/10</f>
        <v>4.6170000000000003E-2</v>
      </c>
      <c r="Z44" s="4">
        <f ca="1">_Google_ads[[#This Row],[avg_cpc]]*RANDBETWEEN(8,12)/10</f>
        <v>0.20899999999999999</v>
      </c>
      <c r="AA44" s="4">
        <f ca="1">ROUND(_Google_ads[[#This Row],[quality_score]]*RANDBETWEEN(8,12)/10,0)</f>
        <v>8</v>
      </c>
      <c r="AB44" s="4">
        <f ca="1">_Google_ads[[#This Row],[search_impression_share]]*RANDBETWEEN(8,12)/10</f>
        <v>0.80099999999999993</v>
      </c>
      <c r="AD44" s="3">
        <f t="shared" ca="1" si="7"/>
        <v>45114</v>
      </c>
      <c r="AE44" s="4" t="s">
        <v>100</v>
      </c>
      <c r="AF44" s="4" t="s">
        <v>101</v>
      </c>
      <c r="AG44" s="4" t="s">
        <v>102</v>
      </c>
      <c r="AH44" s="4" t="s">
        <v>103</v>
      </c>
      <c r="AI44" s="4">
        <f ca="1">ROUND(T_Tiktok_ads[[#This Row],[impressions]]*RANDBETWEEN(8,12)/10,0)</f>
        <v>201110</v>
      </c>
      <c r="AJ44" s="4">
        <f ca="1">ROUND(T_Tiktok_ads[[#This Row],[clicks]]*RANDBETWEEN(8,12)/10,0)</f>
        <v>2587</v>
      </c>
      <c r="AK44" s="4">
        <v>434.5</v>
      </c>
      <c r="AL44" s="4">
        <f ca="1">ROUND(T_Tiktok_ads[[#This Row],[conversions]]*RANDBETWEEN(8,12)/10,0)</f>
        <v>38</v>
      </c>
      <c r="AM44" s="4">
        <f ca="1">ROUND(T_Tiktok_ads[[#This Row],[video_views]]*RANDBETWEEN(8,12)/10,0)</f>
        <v>170311</v>
      </c>
      <c r="AN44" s="4">
        <f ca="1">ROUND(T_Tiktok_ads[[#This Row],[video_watch_25]]*RANDBETWEEN(8,12)/10,0)</f>
        <v>133411</v>
      </c>
      <c r="AO44" s="4">
        <f ca="1">ROUND(T_Tiktok_ads[[#This Row],[video_watch_50]]*RANDBETWEEN(8,12)/10,0)</f>
        <v>83911</v>
      </c>
      <c r="AP44" s="4">
        <f ca="1">ROUND(T_Tiktok_ads[[#This Row],[video_watch_75]]*RANDBETWEEN(8,12)/10,0)</f>
        <v>69802</v>
      </c>
      <c r="AQ44" s="4">
        <f ca="1">ROUND(T_Tiktok_ads[[#This Row],[video_watch_100]]*RANDBETWEEN(8,12)/10,0)</f>
        <v>34587</v>
      </c>
      <c r="AR44" s="4">
        <f ca="1">ROUND(T_Tiktok_ads[[#This Row],[likes]]*RANDBETWEEN(8,12)/10,0)</f>
        <v>7710</v>
      </c>
      <c r="AS44" s="4">
        <f ca="1">ROUND(T_Tiktok_ads[[#This Row],[shares]]*RANDBETWEEN(8,12)/10,0)</f>
        <v>2457</v>
      </c>
      <c r="AT44" s="4">
        <f ca="1">ROUND(T_Tiktok_ads[[#This Row],[comments]]*RANDBETWEEN(8,12)/10,0)</f>
        <v>641</v>
      </c>
      <c r="AV44" s="5">
        <f t="shared" ca="1" si="8"/>
        <v>45110</v>
      </c>
      <c r="AW44">
        <f t="shared" ca="1" si="4"/>
        <v>8</v>
      </c>
      <c r="AX44">
        <f ca="1">ROUND(T_Facebook_Ads11596367717579[[#This Row],[impressions]]*RANDBETWEEN(8,12)/10,0)</f>
        <v>43333</v>
      </c>
      <c r="AY44">
        <f ca="1">ROUND(T_Facebook_Ads11596367717579[[#This Row],[clicks]]*RANDBETWEEN(8,12)/10,0)</f>
        <v>958</v>
      </c>
      <c r="AZ44">
        <f ca="1">T_Facebook_Ads11596367717579[[#This Row],[spend]]*RANDBETWEEN(8,12)/10</f>
        <v>137.64000000000001</v>
      </c>
      <c r="BA44">
        <f ca="1">ROUND(T_Facebook_Ads11596367717579[[#This Row],[conversions]]*RANDBETWEEN(8,12)/10,0)</f>
        <v>9</v>
      </c>
      <c r="BB44">
        <f ca="1">ROUND(T_Facebook_Ads11596367717579[[#This Row],[video_views]]*RANDBETWEEN(8,12)/10,0)</f>
        <v>7272</v>
      </c>
    </row>
    <row r="45" spans="1:54" ht="15.75" thickBot="1" x14ac:dyDescent="0.3">
      <c r="A45" s="3">
        <f t="shared" ca="1" si="5"/>
        <v>45115</v>
      </c>
      <c r="B45" s="4" t="s">
        <v>56</v>
      </c>
      <c r="C45" s="4" t="s">
        <v>57</v>
      </c>
      <c r="D45" s="4" t="s">
        <v>58</v>
      </c>
      <c r="E45" s="4" t="s">
        <v>59</v>
      </c>
      <c r="F45" s="4">
        <f ca="1">ROUND(T_Facebook_Ads[[#This Row],[impressions]]*RANDBETWEEN(8,12)/10,0)</f>
        <v>10567</v>
      </c>
      <c r="G45" s="4">
        <v>489</v>
      </c>
      <c r="H45" s="4">
        <f ca="1">T_Facebook_Ads[[#This Row],[spend]]*RANDBETWEEN(8,12)/10</f>
        <v>185.9</v>
      </c>
      <c r="I45" s="4">
        <f ca="1">ROUND(T_Facebook_Ads[[#This Row],[conversions]]*RANDBETWEEN(8,12)/10,0)</f>
        <v>23</v>
      </c>
      <c r="J45" s="4">
        <f ca="1">ROUND(T_Facebook_Ads[[#This Row],[video_views]]*RANDBETWEEN(8,12)/10,0)</f>
        <v>998</v>
      </c>
      <c r="K45" s="4">
        <f ca="1">T_Facebook_Ads[[#This Row],[engagement_rate]]*RANDBETWEEN(8,12)/10</f>
        <v>5.5559999999999998E-2</v>
      </c>
      <c r="L45" s="4">
        <f ca="1">ROUND(T_Facebook_Ads[[#This Row],[reach]]*RANDBETWEEN(8,12)/10,0)</f>
        <v>6587</v>
      </c>
      <c r="M45" s="4">
        <f ca="1">T_Facebook_Ads[[#This Row],[frequency]]*RANDBETWEEN(8,12)/10</f>
        <v>1.28</v>
      </c>
      <c r="O45" s="3">
        <f t="shared" ca="1" si="6"/>
        <v>45112</v>
      </c>
      <c r="P45" s="4" t="s">
        <v>80</v>
      </c>
      <c r="Q45" s="4" t="s">
        <v>81</v>
      </c>
      <c r="R45" s="4" t="s">
        <v>82</v>
      </c>
      <c r="S45" s="4" t="s">
        <v>83</v>
      </c>
      <c r="T45" s="4">
        <f ca="1">ROUND(_Google_ads[[#This Row],[impressions]]*RANDBETWEEN(8,12)/10,0)</f>
        <v>35610</v>
      </c>
      <c r="U45" s="4">
        <f ca="1">ROUND(_Google_ads[[#This Row],[clicks]]*RANDBETWEEN(8,12)/10,0)</f>
        <v>868</v>
      </c>
      <c r="V45" s="4">
        <f ca="1">_Google_ads[[#This Row],[cost]]*RANDBETWEEN(8,12)/10</f>
        <v>507.4</v>
      </c>
      <c r="W45" s="4">
        <f ca="1">ROUND(_Google_ads[[#This Row],[conversions]]*RANDBETWEEN(8,12)/10,0)</f>
        <v>23</v>
      </c>
      <c r="X45" s="4">
        <f ca="1">ROUND(_Google_ads[[#This Row],[conversion_value]]*RANDBETWEEN(8,12)/10,0)</f>
        <v>1045</v>
      </c>
      <c r="Y45" s="4">
        <f ca="1">_Google_ads[[#This Row],[ctr]]*RANDBETWEEN(8,12)/10</f>
        <v>1.9900000000000001E-2</v>
      </c>
      <c r="Z45" s="4">
        <f ca="1">_Google_ads[[#This Row],[avg_cpc]]*RANDBETWEEN(8,12)/10</f>
        <v>0.70399999999999996</v>
      </c>
      <c r="AA45" s="4">
        <f ca="1">ROUND(_Google_ads[[#This Row],[quality_score]]*RANDBETWEEN(8,12)/10,0)</f>
        <v>5</v>
      </c>
      <c r="AB45" s="4">
        <f ca="1">_Google_ads[[#This Row],[search_impression_share]]*RANDBETWEEN(8,12)/10</f>
        <v>0.42000000000000004</v>
      </c>
      <c r="AD45" s="3">
        <f t="shared" ca="1" si="7"/>
        <v>45115</v>
      </c>
      <c r="AE45" s="4" t="s">
        <v>104</v>
      </c>
      <c r="AF45" s="4" t="s">
        <v>105</v>
      </c>
      <c r="AG45" s="4" t="s">
        <v>106</v>
      </c>
      <c r="AH45" s="4" t="s">
        <v>107</v>
      </c>
      <c r="AI45" s="4">
        <f ca="1">ROUND(T_Tiktok_ads[[#This Row],[impressions]]*RANDBETWEEN(8,12)/10,0)</f>
        <v>141791</v>
      </c>
      <c r="AJ45" s="4">
        <f ca="1">ROUND(T_Tiktok_ads[[#This Row],[clicks]]*RANDBETWEEN(8,12)/10,0)</f>
        <v>2210</v>
      </c>
      <c r="AK45" s="4">
        <v>689.5</v>
      </c>
      <c r="AL45" s="4">
        <f ca="1">ROUND(T_Tiktok_ads[[#This Row],[conversions]]*RANDBETWEEN(8,12)/10,0)</f>
        <v>68</v>
      </c>
      <c r="AM45" s="4">
        <f ca="1">ROUND(T_Tiktok_ads[[#This Row],[video_views]]*RANDBETWEEN(8,12)/10,0)</f>
        <v>82111</v>
      </c>
      <c r="AN45" s="4">
        <f ca="1">ROUND(T_Tiktok_ads[[#This Row],[video_watch_25]]*RANDBETWEEN(8,12)/10,0)</f>
        <v>81881</v>
      </c>
      <c r="AO45" s="4">
        <f ca="1">ROUND(T_Tiktok_ads[[#This Row],[video_watch_50]]*RANDBETWEEN(8,12)/10,0)</f>
        <v>36631</v>
      </c>
      <c r="AP45" s="4">
        <f ca="1">ROUND(T_Tiktok_ads[[#This Row],[video_watch_75]]*RANDBETWEEN(8,12)/10,0)</f>
        <v>27654</v>
      </c>
      <c r="AQ45" s="4">
        <f ca="1">ROUND(T_Tiktok_ads[[#This Row],[video_watch_100]]*RANDBETWEEN(8,12)/10,0)</f>
        <v>28414</v>
      </c>
      <c r="AR45" s="4">
        <f ca="1">ROUND(T_Tiktok_ads[[#This Row],[likes]]*RANDBETWEEN(8,12)/10,0)</f>
        <v>4678</v>
      </c>
      <c r="AS45" s="4">
        <f ca="1">ROUND(T_Tiktok_ads[[#This Row],[shares]]*RANDBETWEEN(8,12)/10,0)</f>
        <v>1014</v>
      </c>
      <c r="AT45" s="4">
        <f ca="1">ROUND(T_Tiktok_ads[[#This Row],[comments]]*RANDBETWEEN(8,12)/10,0)</f>
        <v>284</v>
      </c>
      <c r="AV45" s="5">
        <f t="shared" ca="1" si="8"/>
        <v>45130</v>
      </c>
      <c r="AW45">
        <f t="shared" ca="1" si="4"/>
        <v>3</v>
      </c>
      <c r="AX45">
        <f ca="1">ROUND(T_Facebook_Ads11596367717579[[#This Row],[impressions]]*RANDBETWEEN(8,12)/10,0)</f>
        <v>10567</v>
      </c>
      <c r="AY45">
        <f ca="1">ROUND(T_Facebook_Ads11596367717579[[#This Row],[clicks]]*RANDBETWEEN(8,12)/10,0)</f>
        <v>440</v>
      </c>
      <c r="AZ45">
        <f ca="1">T_Facebook_Ads11596367717579[[#This Row],[spend]]*RANDBETWEEN(8,12)/10</f>
        <v>148.72</v>
      </c>
      <c r="BA45">
        <f ca="1">ROUND(T_Facebook_Ads11596367717579[[#This Row],[conversions]]*RANDBETWEEN(8,12)/10,0)</f>
        <v>23</v>
      </c>
      <c r="BB45">
        <f ca="1">ROUND(T_Facebook_Ads11596367717579[[#This Row],[video_views]]*RANDBETWEEN(8,12)/10,0)</f>
        <v>1198</v>
      </c>
    </row>
    <row r="46" spans="1:54" ht="15.75" thickBot="1" x14ac:dyDescent="0.3">
      <c r="A46" s="3">
        <f t="shared" ca="1" si="5"/>
        <v>45109</v>
      </c>
      <c r="B46" s="4" t="s">
        <v>60</v>
      </c>
      <c r="C46" s="4" t="s">
        <v>61</v>
      </c>
      <c r="D46" s="4" t="s">
        <v>62</v>
      </c>
      <c r="E46" s="4" t="s">
        <v>63</v>
      </c>
      <c r="F46" s="4">
        <f ca="1">ROUND(T_Facebook_Ads[[#This Row],[impressions]]*RANDBETWEEN(8,12)/10,0)</f>
        <v>31234</v>
      </c>
      <c r="G46" s="4">
        <v>1123</v>
      </c>
      <c r="H46" s="4">
        <f ca="1">T_Facebook_Ads[[#This Row],[spend]]*RANDBETWEEN(8,12)/10</f>
        <v>139.04000000000002</v>
      </c>
      <c r="I46" s="4">
        <f ca="1">ROUND(T_Facebook_Ads[[#This Row],[conversions]]*RANDBETWEEN(8,12)/10,0)</f>
        <v>25</v>
      </c>
      <c r="J46" s="4">
        <f ca="1">ROUND(T_Facebook_Ads[[#This Row],[video_views]]*RANDBETWEEN(8,12)/10,0)</f>
        <v>3112</v>
      </c>
      <c r="K46" s="4">
        <f ca="1">T_Facebook_Ads[[#This Row],[engagement_rate]]*RANDBETWEEN(8,12)/10</f>
        <v>3.2399999999999998E-2</v>
      </c>
      <c r="L46" s="4">
        <f ca="1">ROUND(T_Facebook_Ads[[#This Row],[reach]]*RANDBETWEEN(8,12)/10,0)</f>
        <v>31348</v>
      </c>
      <c r="M46" s="4">
        <f ca="1">T_Facebook_Ads[[#This Row],[frequency]]*RANDBETWEEN(8,12)/10</f>
        <v>0.96</v>
      </c>
      <c r="O46" s="3">
        <f t="shared" ca="1" si="6"/>
        <v>45117</v>
      </c>
      <c r="P46" s="4" t="s">
        <v>84</v>
      </c>
      <c r="Q46" s="4" t="s">
        <v>85</v>
      </c>
      <c r="R46" s="4" t="s">
        <v>86</v>
      </c>
      <c r="S46" s="4" t="s">
        <v>87</v>
      </c>
      <c r="T46" s="4">
        <f ca="1">ROUND(_Google_ads[[#This Row],[impressions]]*RANDBETWEEN(8,12)/10,0)</f>
        <v>49512</v>
      </c>
      <c r="U46" s="4">
        <f ca="1">ROUND(_Google_ads[[#This Row],[clicks]]*RANDBETWEEN(8,12)/10,0)</f>
        <v>1610</v>
      </c>
      <c r="V46" s="4">
        <f ca="1">_Google_ads[[#This Row],[cost]]*RANDBETWEEN(8,12)/10</f>
        <v>443.16</v>
      </c>
      <c r="W46" s="4">
        <f ca="1">ROUND(_Google_ads[[#This Row],[conversions]]*RANDBETWEEN(8,12)/10,0)</f>
        <v>58</v>
      </c>
      <c r="X46" s="4">
        <f ca="1">ROUND(_Google_ads[[#This Row],[conversion_value]]*RANDBETWEEN(8,12)/10,0)</f>
        <v>2320</v>
      </c>
      <c r="Y46" s="4">
        <f ca="1">_Google_ads[[#This Row],[ctr]]*RANDBETWEEN(8,12)/10</f>
        <v>3.9E-2</v>
      </c>
      <c r="Z46" s="4">
        <f ca="1">_Google_ads[[#This Row],[avg_cpc]]*RANDBETWEEN(8,12)/10</f>
        <v>0.19800000000000001</v>
      </c>
      <c r="AA46" s="4">
        <f ca="1">ROUND(_Google_ads[[#This Row],[quality_score]]*RANDBETWEEN(8,12)/10,0)</f>
        <v>7</v>
      </c>
      <c r="AB46" s="4">
        <f ca="1">_Google_ads[[#This Row],[search_impression_share]]*RANDBETWEEN(8,12)/10</f>
        <v>0.76800000000000002</v>
      </c>
      <c r="AD46" s="3">
        <f t="shared" ca="1" si="7"/>
        <v>45138</v>
      </c>
      <c r="AE46" s="4" t="s">
        <v>108</v>
      </c>
      <c r="AF46" s="4" t="s">
        <v>109</v>
      </c>
      <c r="AG46" s="4" t="s">
        <v>110</v>
      </c>
      <c r="AH46" s="4" t="s">
        <v>111</v>
      </c>
      <c r="AI46" s="4">
        <f ca="1">ROUND(T_Tiktok_ads[[#This Row],[impressions]]*RANDBETWEEN(8,12)/10,0)</f>
        <v>234814</v>
      </c>
      <c r="AJ46" s="4">
        <f ca="1">ROUND(T_Tiktok_ads[[#This Row],[clicks]]*RANDBETWEEN(8,12)/10,0)</f>
        <v>3288</v>
      </c>
      <c r="AK46" s="4">
        <v>361.2</v>
      </c>
      <c r="AL46" s="4">
        <f ca="1">ROUND(T_Tiktok_ads[[#This Row],[conversions]]*RANDBETWEEN(8,12)/10,0)</f>
        <v>25</v>
      </c>
      <c r="AM46" s="4">
        <f ca="1">ROUND(T_Tiktok_ads[[#This Row],[video_views]]*RANDBETWEEN(8,12)/10,0)</f>
        <v>137111</v>
      </c>
      <c r="AN46" s="4">
        <f ca="1">ROUND(T_Tiktok_ads[[#This Row],[video_watch_25]]*RANDBETWEEN(8,12)/10,0)</f>
        <v>128957</v>
      </c>
      <c r="AO46" s="4">
        <f ca="1">ROUND(T_Tiktok_ads[[#This Row],[video_watch_50]]*RANDBETWEEN(8,12)/10,0)</f>
        <v>111881</v>
      </c>
      <c r="AP46" s="4">
        <f ca="1">ROUND(T_Tiktok_ads[[#This Row],[video_watch_75]]*RANDBETWEEN(8,12)/10,0)</f>
        <v>47387</v>
      </c>
      <c r="AQ46" s="4">
        <f ca="1">ROUND(T_Tiktok_ads[[#This Row],[video_watch_100]]*RANDBETWEEN(8,12)/10,0)</f>
        <v>39857</v>
      </c>
      <c r="AR46" s="4">
        <f ca="1">ROUND(T_Tiktok_ads[[#This Row],[likes]]*RANDBETWEEN(8,12)/10,0)</f>
        <v>8548</v>
      </c>
      <c r="AS46" s="4">
        <f ca="1">ROUND(T_Tiktok_ads[[#This Row],[shares]]*RANDBETWEEN(8,12)/10,0)</f>
        <v>1574</v>
      </c>
      <c r="AT46" s="4">
        <f ca="1">ROUND(T_Tiktok_ads[[#This Row],[comments]]*RANDBETWEEN(8,12)/10,0)</f>
        <v>382</v>
      </c>
      <c r="AV46" s="5">
        <f t="shared" ca="1" si="8"/>
        <v>45122</v>
      </c>
      <c r="AW46">
        <f t="shared" ca="1" si="4"/>
        <v>3</v>
      </c>
      <c r="AX46">
        <f ca="1">ROUND(T_Facebook_Ads11596367717579[[#This Row],[impressions]]*RANDBETWEEN(8,12)/10,0)</f>
        <v>28111</v>
      </c>
      <c r="AY46">
        <f ca="1">ROUND(T_Facebook_Ads11596367717579[[#This Row],[clicks]]*RANDBETWEEN(8,12)/10,0)</f>
        <v>1235</v>
      </c>
      <c r="AZ46">
        <f ca="1">T_Facebook_Ads11596367717579[[#This Row],[spend]]*RANDBETWEEN(8,12)/10</f>
        <v>111.23200000000001</v>
      </c>
      <c r="BA46">
        <f ca="1">ROUND(T_Facebook_Ads11596367717579[[#This Row],[conversions]]*RANDBETWEEN(8,12)/10,0)</f>
        <v>28</v>
      </c>
      <c r="BB46">
        <f ca="1">ROUND(T_Facebook_Ads11596367717579[[#This Row],[video_views]]*RANDBETWEEN(8,12)/10,0)</f>
        <v>2490</v>
      </c>
    </row>
    <row r="47" spans="1:54" ht="15.75" thickBot="1" x14ac:dyDescent="0.3">
      <c r="A47" s="3">
        <f t="shared" ca="1" si="5"/>
        <v>45129</v>
      </c>
      <c r="B47" s="4" t="s">
        <v>64</v>
      </c>
      <c r="C47" s="4" t="s">
        <v>65</v>
      </c>
      <c r="D47" s="4" t="s">
        <v>66</v>
      </c>
      <c r="E47" s="4" t="s">
        <v>67</v>
      </c>
      <c r="F47" s="4">
        <f ca="1">ROUND(T_Facebook_Ads[[#This Row],[impressions]]*RANDBETWEEN(8,12)/10,0)</f>
        <v>67357</v>
      </c>
      <c r="G47" s="4">
        <v>223</v>
      </c>
      <c r="H47" s="4">
        <f ca="1">T_Facebook_Ads[[#This Row],[spend]]*RANDBETWEEN(8,12)/10</f>
        <v>94.68</v>
      </c>
      <c r="I47" s="4">
        <f ca="1">ROUND(T_Facebook_Ads[[#This Row],[conversions]]*RANDBETWEEN(8,12)/10,0)</f>
        <v>4</v>
      </c>
      <c r="J47" s="4">
        <f ca="1">ROUND(T_Facebook_Ads[[#This Row],[video_views]]*RANDBETWEEN(8,12)/10,0)</f>
        <v>40567</v>
      </c>
      <c r="K47" s="4">
        <f ca="1">T_Facebook_Ads[[#This Row],[engagement_rate]]*RANDBETWEEN(8,12)/10</f>
        <v>3.5999999999999999E-3</v>
      </c>
      <c r="L47" s="4">
        <f ca="1">ROUND(T_Facebook_Ads[[#This Row],[reach]]*RANDBETWEEN(8,12)/10,0)</f>
        <v>45111</v>
      </c>
      <c r="M47" s="4">
        <f ca="1">T_Facebook_Ads[[#This Row],[frequency]]*RANDBETWEEN(8,12)/10</f>
        <v>0.97599999999999998</v>
      </c>
      <c r="O47" s="3">
        <f t="shared" ca="1" si="6"/>
        <v>45118</v>
      </c>
      <c r="P47" s="4" t="s">
        <v>88</v>
      </c>
      <c r="Q47" s="4" t="s">
        <v>89</v>
      </c>
      <c r="R47" s="4" t="s">
        <v>90</v>
      </c>
      <c r="S47" s="4" t="s">
        <v>59</v>
      </c>
      <c r="T47" s="4">
        <f ca="1">ROUND(_Google_ads[[#This Row],[impressions]]*RANDBETWEEN(8,12)/10,0)</f>
        <v>127246</v>
      </c>
      <c r="U47" s="4">
        <f ca="1">ROUND(_Google_ads[[#This Row],[clicks]]*RANDBETWEEN(8,12)/10,0)</f>
        <v>412</v>
      </c>
      <c r="V47" s="4">
        <f ca="1">_Google_ads[[#This Row],[cost]]*RANDBETWEEN(8,12)/10</f>
        <v>113.4</v>
      </c>
      <c r="W47" s="4">
        <f ca="1">ROUND(_Google_ads[[#This Row],[conversions]]*RANDBETWEEN(8,12)/10,0)</f>
        <v>11</v>
      </c>
      <c r="X47" s="4">
        <f ca="1">ROUND(_Google_ads[[#This Row],[conversion_value]]*RANDBETWEEN(8,12)/10,0)</f>
        <v>495</v>
      </c>
      <c r="Y47" s="4">
        <f ca="1">_Google_ads[[#This Row],[ctr]]*RANDBETWEEN(8,12)/10</f>
        <v>3.2399999999999998E-3</v>
      </c>
      <c r="Z47" s="4">
        <f ca="1">_Google_ads[[#This Row],[avg_cpc]]*RANDBETWEEN(8,12)/10</f>
        <v>0.33600000000000002</v>
      </c>
      <c r="AA47" s="4">
        <f ca="1">ROUND(_Google_ads[[#This Row],[quality_score]]*RANDBETWEEN(8,12)/10,0)</f>
        <v>6</v>
      </c>
      <c r="AB47" s="4">
        <f ca="1">_Google_ads[[#This Row],[search_impression_share]]*RANDBETWEEN(8,12)/10</f>
        <v>0.25600000000000001</v>
      </c>
      <c r="AD47" s="3">
        <f t="shared" ca="1" si="7"/>
        <v>45114</v>
      </c>
      <c r="AE47" s="4" t="s">
        <v>112</v>
      </c>
      <c r="AF47" s="4" t="s">
        <v>113</v>
      </c>
      <c r="AG47" s="4" t="s">
        <v>114</v>
      </c>
      <c r="AH47" s="4" t="s">
        <v>115</v>
      </c>
      <c r="AI47" s="4">
        <f ca="1">ROUND(T_Tiktok_ads[[#This Row],[impressions]]*RANDBETWEEN(8,12)/10,0)</f>
        <v>285431</v>
      </c>
      <c r="AJ47" s="4">
        <f ca="1">ROUND(T_Tiktok_ads[[#This Row],[clicks]]*RANDBETWEEN(8,12)/10,0)</f>
        <v>5251</v>
      </c>
      <c r="AK47" s="4">
        <v>901.2</v>
      </c>
      <c r="AL47" s="4">
        <f ca="1">ROUND(T_Tiktok_ads[[#This Row],[conversions]]*RANDBETWEEN(8,12)/10,0)</f>
        <v>100</v>
      </c>
      <c r="AM47" s="4">
        <f ca="1">ROUND(T_Tiktok_ads[[#This Row],[video_views]]*RANDBETWEEN(8,12)/10,0)</f>
        <v>234765</v>
      </c>
      <c r="AN47" s="4">
        <f ca="1">ROUND(T_Tiktok_ads[[#This Row],[video_watch_25]]*RANDBETWEEN(8,12)/10,0)</f>
        <v>191387</v>
      </c>
      <c r="AO47" s="4">
        <f ca="1">ROUND(T_Tiktok_ads[[#This Row],[video_watch_50]]*RANDBETWEEN(8,12)/10,0)</f>
        <v>152987</v>
      </c>
      <c r="AP47" s="4">
        <f ca="1">ROUND(T_Tiktok_ads[[#This Row],[video_watch_75]]*RANDBETWEEN(8,12)/10,0)</f>
        <v>149857</v>
      </c>
      <c r="AQ47" s="4">
        <f ca="1">ROUND(T_Tiktok_ads[[#This Row],[video_watch_100]]*RANDBETWEEN(8,12)/10,0)</f>
        <v>99257</v>
      </c>
      <c r="AR47" s="4">
        <f ca="1">ROUND(T_Tiktok_ads[[#This Row],[likes]]*RANDBETWEEN(8,12)/10,0)</f>
        <v>19068</v>
      </c>
      <c r="AS47" s="4">
        <f ca="1">ROUND(T_Tiktok_ads[[#This Row],[shares]]*RANDBETWEEN(8,12)/10,0)</f>
        <v>4171</v>
      </c>
      <c r="AT47" s="4">
        <f ca="1">ROUND(T_Tiktok_ads[[#This Row],[comments]]*RANDBETWEEN(8,12)/10,0)</f>
        <v>1130</v>
      </c>
      <c r="AV47" s="5">
        <f t="shared" ca="1" si="8"/>
        <v>45134</v>
      </c>
      <c r="AW47">
        <f t="shared" ca="1" si="4"/>
        <v>7</v>
      </c>
      <c r="AX47">
        <f ca="1">ROUND(T_Facebook_Ads11596367717579[[#This Row],[impressions]]*RANDBETWEEN(8,12)/10,0)</f>
        <v>74093</v>
      </c>
      <c r="AY47">
        <f ca="1">ROUND(T_Facebook_Ads11596367717579[[#This Row],[clicks]]*RANDBETWEEN(8,12)/10,0)</f>
        <v>245</v>
      </c>
      <c r="AZ47">
        <f ca="1">T_Facebook_Ads11596367717579[[#This Row],[spend]]*RANDBETWEEN(8,12)/10</f>
        <v>113.61600000000001</v>
      </c>
      <c r="BA47">
        <f ca="1">ROUND(T_Facebook_Ads11596367717579[[#This Row],[conversions]]*RANDBETWEEN(8,12)/10,0)</f>
        <v>4</v>
      </c>
      <c r="BB47">
        <f ca="1">ROUND(T_Facebook_Ads11596367717579[[#This Row],[video_views]]*RANDBETWEEN(8,12)/10,0)</f>
        <v>36510</v>
      </c>
    </row>
    <row r="48" spans="1:54" ht="15.75" thickBot="1" x14ac:dyDescent="0.3">
      <c r="A48" s="3">
        <f t="shared" ca="1" si="5"/>
        <v>45117</v>
      </c>
      <c r="B48" s="4" t="s">
        <v>52</v>
      </c>
      <c r="C48" s="4" t="s">
        <v>53</v>
      </c>
      <c r="D48" s="4" t="s">
        <v>54</v>
      </c>
      <c r="E48" s="4" t="s">
        <v>55</v>
      </c>
      <c r="F48" s="4">
        <f ca="1">ROUND(T_Facebook_Ads[[#This Row],[impressions]]*RANDBETWEEN(8,12)/10,0)</f>
        <v>37431</v>
      </c>
      <c r="G48" s="4">
        <v>934</v>
      </c>
      <c r="H48" s="4">
        <f ca="1">T_Facebook_Ads[[#This Row],[spend]]*RANDBETWEEN(8,12)/10</f>
        <v>119.16000000000001</v>
      </c>
      <c r="I48" s="4">
        <f ca="1">ROUND(T_Facebook_Ads[[#This Row],[conversions]]*RANDBETWEEN(8,12)/10,0)</f>
        <v>11</v>
      </c>
      <c r="J48" s="4">
        <f ca="1">ROUND(T_Facebook_Ads[[#This Row],[video_views]]*RANDBETWEEN(8,12)/10,0)</f>
        <v>9424</v>
      </c>
      <c r="K48" s="4">
        <f ca="1">T_Facebook_Ads[[#This Row],[engagement_rate]]*RANDBETWEEN(8,12)/10</f>
        <v>1.7999999999999999E-2</v>
      </c>
      <c r="L48" s="4">
        <f ca="1">ROUND(T_Facebook_Ads[[#This Row],[reach]]*RANDBETWEEN(8,12)/10,0)</f>
        <v>31387</v>
      </c>
      <c r="M48" s="4">
        <f ca="1">T_Facebook_Ads[[#This Row],[frequency]]*RANDBETWEEN(8,12)/10</f>
        <v>0.95199999999999996</v>
      </c>
      <c r="O48" s="3">
        <f t="shared" ca="1" si="6"/>
        <v>45135</v>
      </c>
      <c r="P48" s="4" t="s">
        <v>76</v>
      </c>
      <c r="Q48" s="4" t="s">
        <v>77</v>
      </c>
      <c r="R48" s="4" t="s">
        <v>78</v>
      </c>
      <c r="S48" s="4" t="s">
        <v>79</v>
      </c>
      <c r="T48" s="4">
        <f ca="1">ROUND(_Google_ads[[#This Row],[impressions]]*RANDBETWEEN(8,12)/10,0)</f>
        <v>28668</v>
      </c>
      <c r="U48" s="4">
        <f ca="1">ROUND(_Google_ads[[#This Row],[clicks]]*RANDBETWEEN(8,12)/10,0)</f>
        <v>1234</v>
      </c>
      <c r="V48" s="4">
        <f ca="1">_Google_ads[[#This Row],[cost]]*RANDBETWEEN(8,12)/10</f>
        <v>235.6</v>
      </c>
      <c r="W48" s="4">
        <f ca="1">ROUND(_Google_ads[[#This Row],[conversions]]*RANDBETWEEN(8,12)/10,0)</f>
        <v>46</v>
      </c>
      <c r="X48" s="4">
        <f ca="1">ROUND(_Google_ads[[#This Row],[conversion_value]]*RANDBETWEEN(8,12)/10,0)</f>
        <v>2530</v>
      </c>
      <c r="Y48" s="4">
        <f ca="1">_Google_ads[[#This Row],[ctr]]*RANDBETWEEN(8,12)/10</f>
        <v>5.6869999999999997E-2</v>
      </c>
      <c r="Z48" s="4">
        <f ca="1">_Google_ads[[#This Row],[avg_cpc]]*RANDBETWEEN(8,12)/10</f>
        <v>0.17099999999999999</v>
      </c>
      <c r="AA48" s="4">
        <f ca="1">ROUND(_Google_ads[[#This Row],[quality_score]]*RANDBETWEEN(8,12)/10,0)</f>
        <v>8</v>
      </c>
      <c r="AB48" s="4">
        <f ca="1">_Google_ads[[#This Row],[search_impression_share]]*RANDBETWEEN(8,12)/10</f>
        <v>0.81899999999999995</v>
      </c>
      <c r="AD48" s="3">
        <f t="shared" ca="1" si="7"/>
        <v>45120</v>
      </c>
      <c r="AE48" s="4" t="s">
        <v>100</v>
      </c>
      <c r="AF48" s="4" t="s">
        <v>101</v>
      </c>
      <c r="AG48" s="4" t="s">
        <v>102</v>
      </c>
      <c r="AH48" s="4" t="s">
        <v>103</v>
      </c>
      <c r="AI48" s="4">
        <f ca="1">ROUND(T_Tiktok_ads[[#This Row],[impressions]]*RANDBETWEEN(8,12)/10,0)</f>
        <v>246789</v>
      </c>
      <c r="AJ48" s="4">
        <f ca="1">ROUND(T_Tiktok_ads[[#This Row],[clicks]]*RANDBETWEEN(8,12)/10,0)</f>
        <v>4046</v>
      </c>
      <c r="AK48" s="4">
        <v>478.9</v>
      </c>
      <c r="AL48" s="4">
        <f ca="1">ROUND(T_Tiktok_ads[[#This Row],[conversions]]*RANDBETWEEN(8,12)/10,0)</f>
        <v>29</v>
      </c>
      <c r="AM48" s="4">
        <f ca="1">ROUND(T_Tiktok_ads[[#This Row],[video_views]]*RANDBETWEEN(8,12)/10,0)</f>
        <v>228080</v>
      </c>
      <c r="AN48" s="4">
        <f ca="1">ROUND(T_Tiktok_ads[[#This Row],[video_watch_25]]*RANDBETWEEN(8,12)/10,0)</f>
        <v>179802</v>
      </c>
      <c r="AO48" s="4">
        <f ca="1">ROUND(T_Tiktok_ads[[#This Row],[video_watch_50]]*RANDBETWEEN(8,12)/10,0)</f>
        <v>102345</v>
      </c>
      <c r="AP48" s="4">
        <f ca="1">ROUND(T_Tiktok_ads[[#This Row],[video_watch_75]]*RANDBETWEEN(8,12)/10,0)</f>
        <v>77257</v>
      </c>
      <c r="AQ48" s="4">
        <f ca="1">ROUND(T_Tiktok_ads[[#This Row],[video_watch_100]]*RANDBETWEEN(8,12)/10,0)</f>
        <v>47234</v>
      </c>
      <c r="AR48" s="4">
        <f ca="1">ROUND(T_Tiktok_ads[[#This Row],[likes]]*RANDBETWEEN(8,12)/10,0)</f>
        <v>10157</v>
      </c>
      <c r="AS48" s="4">
        <f ca="1">ROUND(T_Tiktok_ads[[#This Row],[shares]]*RANDBETWEEN(8,12)/10,0)</f>
        <v>2210</v>
      </c>
      <c r="AT48" s="4">
        <f ca="1">ROUND(T_Tiktok_ads[[#This Row],[comments]]*RANDBETWEEN(8,12)/10,0)</f>
        <v>530</v>
      </c>
      <c r="AV48" s="5">
        <f t="shared" ca="1" si="8"/>
        <v>45126</v>
      </c>
      <c r="AW48">
        <f t="shared" ca="1" si="4"/>
        <v>1</v>
      </c>
      <c r="AX48">
        <f ca="1">ROUND(T_Facebook_Ads11596367717579[[#This Row],[impressions]]*RANDBETWEEN(8,12)/10,0)</f>
        <v>33688</v>
      </c>
      <c r="AY48">
        <f ca="1">ROUND(T_Facebook_Ads11596367717579[[#This Row],[clicks]]*RANDBETWEEN(8,12)/10,0)</f>
        <v>1121</v>
      </c>
      <c r="AZ48">
        <f ca="1">T_Facebook_Ads11596367717579[[#This Row],[spend]]*RANDBETWEEN(8,12)/10</f>
        <v>95.328000000000003</v>
      </c>
      <c r="BA48">
        <f ca="1">ROUND(T_Facebook_Ads11596367717579[[#This Row],[conversions]]*RANDBETWEEN(8,12)/10,0)</f>
        <v>11</v>
      </c>
      <c r="BB48">
        <f ca="1">ROUND(T_Facebook_Ads11596367717579[[#This Row],[video_views]]*RANDBETWEEN(8,12)/10,0)</f>
        <v>10366</v>
      </c>
    </row>
    <row r="49" spans="1:54" ht="15.75" thickBot="1" x14ac:dyDescent="0.3">
      <c r="A49" s="3">
        <f t="shared" ca="1" si="5"/>
        <v>45121</v>
      </c>
      <c r="B49" s="4" t="s">
        <v>56</v>
      </c>
      <c r="C49" s="4" t="s">
        <v>57</v>
      </c>
      <c r="D49" s="4" t="s">
        <v>58</v>
      </c>
      <c r="E49" s="4" t="s">
        <v>59</v>
      </c>
      <c r="F49" s="4">
        <f ca="1">ROUND(T_Facebook_Ads[[#This Row],[impressions]]*RANDBETWEEN(8,12)/10,0)</f>
        <v>11601</v>
      </c>
      <c r="G49" s="4">
        <v>567</v>
      </c>
      <c r="H49" s="4">
        <f ca="1">T_Facebook_Ads[[#This Row],[spend]]*RANDBETWEEN(8,12)/10</f>
        <v>265.56000000000006</v>
      </c>
      <c r="I49" s="4">
        <f ca="1">ROUND(T_Facebook_Ads[[#This Row],[conversions]]*RANDBETWEEN(8,12)/10,0)</f>
        <v>41</v>
      </c>
      <c r="J49" s="4">
        <f ca="1">ROUND(T_Facebook_Ads[[#This Row],[video_views]]*RANDBETWEEN(8,12)/10,0)</f>
        <v>1211</v>
      </c>
      <c r="K49" s="4">
        <f ca="1">T_Facebook_Ads[[#This Row],[engagement_rate]]*RANDBETWEEN(8,12)/10</f>
        <v>4.8399999999999999E-2</v>
      </c>
      <c r="L49" s="4">
        <f ca="1">ROUND(T_Facebook_Ads[[#This Row],[reach]]*RANDBETWEEN(8,12)/10,0)</f>
        <v>11135</v>
      </c>
      <c r="M49" s="4">
        <f ca="1">T_Facebook_Ads[[#This Row],[frequency]]*RANDBETWEEN(8,12)/10</f>
        <v>1.397</v>
      </c>
      <c r="O49" s="3">
        <f t="shared" ca="1" si="6"/>
        <v>45129</v>
      </c>
      <c r="P49" s="4" t="s">
        <v>80</v>
      </c>
      <c r="Q49" s="4" t="s">
        <v>81</v>
      </c>
      <c r="R49" s="4" t="s">
        <v>82</v>
      </c>
      <c r="S49" s="4" t="s">
        <v>83</v>
      </c>
      <c r="T49" s="4">
        <f ca="1">ROUND(_Google_ads[[#This Row],[impressions]]*RANDBETWEEN(8,12)/10,0)</f>
        <v>48168</v>
      </c>
      <c r="U49" s="4">
        <f ca="1">ROUND(_Google_ads[[#This Row],[clicks]]*RANDBETWEEN(8,12)/10,0)</f>
        <v>770</v>
      </c>
      <c r="V49" s="4">
        <f ca="1">_Google_ads[[#This Row],[cost]]*RANDBETWEEN(8,12)/10</f>
        <v>673.07999999999993</v>
      </c>
      <c r="W49" s="4">
        <f ca="1">ROUND(_Google_ads[[#This Row],[conversions]]*RANDBETWEEN(8,12)/10,0)</f>
        <v>20</v>
      </c>
      <c r="X49" s="4">
        <f ca="1">ROUND(_Google_ads[[#This Row],[conversion_value]]*RANDBETWEEN(8,12)/10,0)</f>
        <v>1210</v>
      </c>
      <c r="Y49" s="4">
        <f ca="1">_Google_ads[[#This Row],[ctr]]*RANDBETWEEN(8,12)/10</f>
        <v>1.5599999999999999E-2</v>
      </c>
      <c r="Z49" s="4">
        <f ca="1">_Google_ads[[#This Row],[avg_cpc]]*RANDBETWEEN(8,12)/10</f>
        <v>0.59400000000000008</v>
      </c>
      <c r="AA49" s="4">
        <f ca="1">ROUND(_Google_ads[[#This Row],[quality_score]]*RANDBETWEEN(8,12)/10,0)</f>
        <v>6</v>
      </c>
      <c r="AB49" s="4">
        <f ca="1">_Google_ads[[#This Row],[search_impression_share]]*RANDBETWEEN(8,12)/10</f>
        <v>0.35199999999999998</v>
      </c>
      <c r="AD49" s="3">
        <f t="shared" ca="1" si="7"/>
        <v>45123</v>
      </c>
      <c r="AE49" s="4" t="s">
        <v>104</v>
      </c>
      <c r="AF49" s="4" t="s">
        <v>105</v>
      </c>
      <c r="AG49" s="4" t="s">
        <v>106</v>
      </c>
      <c r="AH49" s="4" t="s">
        <v>107</v>
      </c>
      <c r="AI49" s="4">
        <f ca="1">ROUND(T_Tiktok_ads[[#This Row],[impressions]]*RANDBETWEEN(8,12)/10,0)</f>
        <v>170814</v>
      </c>
      <c r="AJ49" s="4">
        <f ca="1">ROUND(T_Tiktok_ads[[#This Row],[clicks]]*RANDBETWEEN(8,12)/10,0)</f>
        <v>2410</v>
      </c>
      <c r="AK49" s="4">
        <v>734.5</v>
      </c>
      <c r="AL49" s="4">
        <f ca="1">ROUND(T_Tiktok_ads[[#This Row],[conversions]]*RANDBETWEEN(8,12)/10,0)</f>
        <v>66</v>
      </c>
      <c r="AM49" s="4">
        <f ca="1">ROUND(T_Tiktok_ads[[#This Row],[video_views]]*RANDBETWEEN(8,12)/10,0)</f>
        <v>107679</v>
      </c>
      <c r="AN49" s="4">
        <f ca="1">ROUND(T_Tiktok_ads[[#This Row],[video_watch_25]]*RANDBETWEEN(8,12)/10,0)</f>
        <v>86814</v>
      </c>
      <c r="AO49" s="4">
        <f ca="1">ROUND(T_Tiktok_ads[[#This Row],[video_watch_50]]*RANDBETWEEN(8,12)/10,0)</f>
        <v>44011</v>
      </c>
      <c r="AP49" s="4">
        <f ca="1">ROUND(T_Tiktok_ads[[#This Row],[video_watch_75]]*RANDBETWEEN(8,12)/10,0)</f>
        <v>29431</v>
      </c>
      <c r="AQ49" s="4">
        <f ca="1">ROUND(T_Tiktok_ads[[#This Row],[video_watch_100]]*RANDBETWEEN(8,12)/10,0)</f>
        <v>27379</v>
      </c>
      <c r="AR49" s="4">
        <f ca="1">ROUND(T_Tiktok_ads[[#This Row],[likes]]*RANDBETWEEN(8,12)/10,0)</f>
        <v>5391</v>
      </c>
      <c r="AS49" s="4">
        <f ca="1">ROUND(T_Tiktok_ads[[#This Row],[shares]]*RANDBETWEEN(8,12)/10,0)</f>
        <v>1356</v>
      </c>
      <c r="AT49" s="4">
        <f ca="1">ROUND(T_Tiktok_ads[[#This Row],[comments]]*RANDBETWEEN(8,12)/10,0)</f>
        <v>307</v>
      </c>
      <c r="AV49" s="5">
        <f t="shared" ca="1" si="8"/>
        <v>45123</v>
      </c>
      <c r="AW49">
        <f t="shared" ca="1" si="4"/>
        <v>4</v>
      </c>
      <c r="AX49">
        <f ca="1">ROUND(T_Facebook_Ads11596367717579[[#This Row],[impressions]]*RANDBETWEEN(8,12)/10,0)</f>
        <v>13921</v>
      </c>
      <c r="AY49">
        <f ca="1">ROUND(T_Facebook_Ads11596367717579[[#This Row],[clicks]]*RANDBETWEEN(8,12)/10,0)</f>
        <v>454</v>
      </c>
      <c r="AZ49">
        <f ca="1">T_Facebook_Ads11596367717579[[#This Row],[spend]]*RANDBETWEEN(8,12)/10</f>
        <v>265.56000000000006</v>
      </c>
      <c r="BA49">
        <f ca="1">ROUND(T_Facebook_Ads11596367717579[[#This Row],[conversions]]*RANDBETWEEN(8,12)/10,0)</f>
        <v>33</v>
      </c>
      <c r="BB49">
        <f ca="1">ROUND(T_Facebook_Ads11596367717579[[#This Row],[video_views]]*RANDBETWEEN(8,12)/10,0)</f>
        <v>1211</v>
      </c>
    </row>
    <row r="50" spans="1:54" ht="15.75" thickBot="1" x14ac:dyDescent="0.3">
      <c r="A50" s="3">
        <f t="shared" ca="1" si="5"/>
        <v>45115</v>
      </c>
      <c r="B50" s="4" t="s">
        <v>60</v>
      </c>
      <c r="C50" s="4" t="s">
        <v>61</v>
      </c>
      <c r="D50" s="4" t="s">
        <v>62</v>
      </c>
      <c r="E50" s="4" t="s">
        <v>63</v>
      </c>
      <c r="F50" s="4">
        <f ca="1">ROUND(T_Facebook_Ads[[#This Row],[impressions]]*RANDBETWEEN(8,12)/10,0)</f>
        <v>42814</v>
      </c>
      <c r="G50" s="4">
        <v>1289</v>
      </c>
      <c r="H50" s="4">
        <f ca="1">T_Facebook_Ads[[#This Row],[spend]]*RANDBETWEEN(8,12)/10</f>
        <v>196.6</v>
      </c>
      <c r="I50" s="4">
        <f ca="1">ROUND(T_Facebook_Ads[[#This Row],[conversions]]*RANDBETWEEN(8,12)/10,0)</f>
        <v>30</v>
      </c>
      <c r="J50" s="4">
        <f ca="1">ROUND(T_Facebook_Ads[[#This Row],[video_views]]*RANDBETWEEN(8,12)/10,0)</f>
        <v>3742</v>
      </c>
      <c r="K50" s="4">
        <f ca="1">T_Facebook_Ads[[#This Row],[engagement_rate]]*RANDBETWEEN(8,12)/10</f>
        <v>3.2490000000000005E-2</v>
      </c>
      <c r="L50" s="4">
        <f ca="1">ROUND(T_Facebook_Ads[[#This Row],[reach]]*RANDBETWEEN(8,12)/10,0)</f>
        <v>23476</v>
      </c>
      <c r="M50" s="4">
        <f ca="1">T_Facebook_Ads[[#This Row],[frequency]]*RANDBETWEEN(8,12)/10</f>
        <v>1.22</v>
      </c>
      <c r="O50" s="3">
        <f t="shared" ca="1" si="6"/>
        <v>45132</v>
      </c>
      <c r="P50" s="4" t="s">
        <v>84</v>
      </c>
      <c r="Q50" s="4" t="s">
        <v>85</v>
      </c>
      <c r="R50" s="4" t="s">
        <v>86</v>
      </c>
      <c r="S50" s="4" t="s">
        <v>87</v>
      </c>
      <c r="T50" s="4">
        <f ca="1">ROUND(_Google_ads[[#This Row],[impressions]]*RANDBETWEEN(8,12)/10,0)</f>
        <v>67234</v>
      </c>
      <c r="U50" s="4">
        <f ca="1">ROUND(_Google_ads[[#This Row],[clicks]]*RANDBETWEEN(8,12)/10,0)</f>
        <v>2681</v>
      </c>
      <c r="V50" s="4">
        <f ca="1">_Google_ads[[#This Row],[cost]]*RANDBETWEEN(8,12)/10</f>
        <v>329.36</v>
      </c>
      <c r="W50" s="4">
        <f ca="1">ROUND(_Google_ads[[#This Row],[conversions]]*RANDBETWEEN(8,12)/10,0)</f>
        <v>78</v>
      </c>
      <c r="X50" s="4">
        <f ca="1">ROUND(_Google_ads[[#This Row],[conversion_value]]*RANDBETWEEN(8,12)/10,0)</f>
        <v>2600</v>
      </c>
      <c r="Y50" s="4">
        <f ca="1">_Google_ads[[#This Row],[ctr]]*RANDBETWEEN(8,12)/10</f>
        <v>3.984E-2</v>
      </c>
      <c r="Z50" s="4">
        <f ca="1">_Google_ads[[#This Row],[avg_cpc]]*RANDBETWEEN(8,12)/10</f>
        <v>0.18</v>
      </c>
      <c r="AA50" s="4">
        <f ca="1">ROUND(_Google_ads[[#This Row],[quality_score]]*RANDBETWEEN(8,12)/10,0)</f>
        <v>10</v>
      </c>
      <c r="AB50" s="4">
        <f ca="1">_Google_ads[[#This Row],[search_impression_share]]*RANDBETWEEN(8,12)/10</f>
        <v>0.52800000000000002</v>
      </c>
      <c r="AD50" s="3">
        <f t="shared" ca="1" si="7"/>
        <v>45133</v>
      </c>
      <c r="AE50" s="4" t="s">
        <v>108</v>
      </c>
      <c r="AF50" s="4" t="s">
        <v>109</v>
      </c>
      <c r="AG50" s="4" t="s">
        <v>110</v>
      </c>
      <c r="AH50" s="4" t="s">
        <v>111</v>
      </c>
      <c r="AI50" s="4">
        <f ca="1">ROUND(T_Tiktok_ads[[#This Row],[impressions]]*RANDBETWEEN(8,12)/10,0)</f>
        <v>233580</v>
      </c>
      <c r="AJ50" s="4">
        <f ca="1">ROUND(T_Tiktok_ads[[#This Row],[clicks]]*RANDBETWEEN(8,12)/10,0)</f>
        <v>3011</v>
      </c>
      <c r="AK50" s="4">
        <v>401.1</v>
      </c>
      <c r="AL50" s="4">
        <f ca="1">ROUND(T_Tiktok_ads[[#This Row],[conversions]]*RANDBETWEEN(8,12)/10,0)</f>
        <v>25</v>
      </c>
      <c r="AM50" s="4">
        <f ca="1">ROUND(T_Tiktok_ads[[#This Row],[video_views]]*RANDBETWEEN(8,12)/10,0)</f>
        <v>201468</v>
      </c>
      <c r="AN50" s="4">
        <f ca="1">ROUND(T_Tiktok_ads[[#This Row],[video_watch_25]]*RANDBETWEEN(8,12)/10,0)</f>
        <v>153881</v>
      </c>
      <c r="AO50" s="4">
        <f ca="1">ROUND(T_Tiktok_ads[[#This Row],[video_watch_50]]*RANDBETWEEN(8,12)/10,0)</f>
        <v>91111</v>
      </c>
      <c r="AP50" s="4">
        <f ca="1">ROUND(T_Tiktok_ads[[#This Row],[video_watch_75]]*RANDBETWEEN(8,12)/10,0)</f>
        <v>58711</v>
      </c>
      <c r="AQ50" s="4">
        <f ca="1">ROUND(T_Tiktok_ads[[#This Row],[video_watch_100]]*RANDBETWEEN(8,12)/10,0)</f>
        <v>39456</v>
      </c>
      <c r="AR50" s="4">
        <f ca="1">ROUND(T_Tiktok_ads[[#This Row],[likes]]*RANDBETWEEN(8,12)/10,0)</f>
        <v>7789</v>
      </c>
      <c r="AS50" s="4">
        <f ca="1">ROUND(T_Tiktok_ads[[#This Row],[shares]]*RANDBETWEEN(8,12)/10,0)</f>
        <v>2574</v>
      </c>
      <c r="AT50" s="4">
        <f ca="1">ROUND(T_Tiktok_ads[[#This Row],[comments]]*RANDBETWEEN(8,12)/10,0)</f>
        <v>563</v>
      </c>
      <c r="AV50" s="5">
        <f t="shared" ca="1" si="8"/>
        <v>45124</v>
      </c>
      <c r="AW50">
        <f t="shared" ca="1" si="4"/>
        <v>4</v>
      </c>
      <c r="AX50">
        <f ca="1">ROUND(T_Facebook_Ads11596367717579[[#This Row],[impressions]]*RANDBETWEEN(8,12)/10,0)</f>
        <v>42814</v>
      </c>
      <c r="AY50">
        <f ca="1">ROUND(T_Facebook_Ads11596367717579[[#This Row],[clicks]]*RANDBETWEEN(8,12)/10,0)</f>
        <v>1289</v>
      </c>
      <c r="AZ50">
        <f ca="1">T_Facebook_Ads11596367717579[[#This Row],[spend]]*RANDBETWEEN(8,12)/10</f>
        <v>235.92</v>
      </c>
      <c r="BA50">
        <f ca="1">ROUND(T_Facebook_Ads11596367717579[[#This Row],[conversions]]*RANDBETWEEN(8,12)/10,0)</f>
        <v>30</v>
      </c>
      <c r="BB50">
        <f ca="1">ROUND(T_Facebook_Ads11596367717579[[#This Row],[video_views]]*RANDBETWEEN(8,12)/10,0)</f>
        <v>3742</v>
      </c>
    </row>
    <row r="51" spans="1:54" ht="15.75" thickBot="1" x14ac:dyDescent="0.3">
      <c r="A51" s="3">
        <f t="shared" ca="1" si="5"/>
        <v>45121</v>
      </c>
      <c r="B51" s="4" t="s">
        <v>64</v>
      </c>
      <c r="C51" s="4" t="s">
        <v>65</v>
      </c>
      <c r="D51" s="4" t="s">
        <v>66</v>
      </c>
      <c r="E51" s="4" t="s">
        <v>67</v>
      </c>
      <c r="F51" s="4">
        <f ca="1">ROUND(T_Facebook_Ads[[#This Row],[impressions]]*RANDBETWEEN(8,12)/10,0)</f>
        <v>75302</v>
      </c>
      <c r="G51" s="4">
        <v>248</v>
      </c>
      <c r="H51" s="4">
        <f ca="1">T_Facebook_Ads[[#This Row],[spend]]*RANDBETWEEN(8,12)/10</f>
        <v>87.6</v>
      </c>
      <c r="I51" s="4">
        <f ca="1">ROUND(T_Facebook_Ads[[#This Row],[conversions]]*RANDBETWEEN(8,12)/10,0)</f>
        <v>7</v>
      </c>
      <c r="J51" s="4">
        <f ca="1">ROUND(T_Facebook_Ads[[#This Row],[video_views]]*RANDBETWEEN(8,12)/10,0)</f>
        <v>46234</v>
      </c>
      <c r="K51" s="4">
        <f ca="1">T_Facebook_Ads[[#This Row],[engagement_rate]]*RANDBETWEEN(8,12)/10</f>
        <v>3.96E-3</v>
      </c>
      <c r="L51" s="4">
        <f ca="1">ROUND(T_Facebook_Ads[[#This Row],[reach]]*RANDBETWEEN(8,12)/10,0)</f>
        <v>68147</v>
      </c>
      <c r="M51" s="4">
        <f ca="1">T_Facebook_Ads[[#This Row],[frequency]]*RANDBETWEEN(8,12)/10</f>
        <v>0.96799999999999997</v>
      </c>
      <c r="O51" s="3">
        <f t="shared" ca="1" si="6"/>
        <v>45131</v>
      </c>
      <c r="P51" s="4" t="s">
        <v>88</v>
      </c>
      <c r="Q51" s="4" t="s">
        <v>89</v>
      </c>
      <c r="R51" s="4" t="s">
        <v>90</v>
      </c>
      <c r="S51" s="4" t="s">
        <v>59</v>
      </c>
      <c r="T51" s="4">
        <f ca="1">ROUND(_Google_ads[[#This Row],[impressions]]*RANDBETWEEN(8,12)/10,0)</f>
        <v>116011</v>
      </c>
      <c r="U51" s="4">
        <f ca="1">ROUND(_Google_ads[[#This Row],[clicks]]*RANDBETWEEN(8,12)/10,0)</f>
        <v>560</v>
      </c>
      <c r="V51" s="4">
        <f ca="1">_Google_ads[[#This Row],[cost]]*RANDBETWEEN(8,12)/10</f>
        <v>114.03</v>
      </c>
      <c r="W51" s="4">
        <f ca="1">ROUND(_Google_ads[[#This Row],[conversions]]*RANDBETWEEN(8,12)/10,0)</f>
        <v>12</v>
      </c>
      <c r="X51" s="4">
        <f ca="1">ROUND(_Google_ads[[#This Row],[conversion_value]]*RANDBETWEEN(8,12)/10,0)</f>
        <v>650</v>
      </c>
      <c r="Y51" s="4">
        <f ca="1">_Google_ads[[#This Row],[ctr]]*RANDBETWEEN(8,12)/10</f>
        <v>3.5999999999999999E-3</v>
      </c>
      <c r="Z51" s="4">
        <f ca="1">_Google_ads[[#This Row],[avg_cpc]]*RANDBETWEEN(8,12)/10</f>
        <v>0.24300000000000002</v>
      </c>
      <c r="AA51" s="4">
        <f ca="1">ROUND(_Google_ads[[#This Row],[quality_score]]*RANDBETWEEN(8,12)/10,0)</f>
        <v>8</v>
      </c>
      <c r="AB51" s="4">
        <f ca="1">_Google_ads[[#This Row],[search_impression_share]]*RANDBETWEEN(8,12)/10</f>
        <v>0.40800000000000003</v>
      </c>
      <c r="AD51" s="3">
        <f t="shared" ca="1" si="7"/>
        <v>45137</v>
      </c>
      <c r="AE51" s="4" t="s">
        <v>112</v>
      </c>
      <c r="AF51" s="4" t="s">
        <v>113</v>
      </c>
      <c r="AG51" s="4" t="s">
        <v>114</v>
      </c>
      <c r="AH51" s="4" t="s">
        <v>115</v>
      </c>
      <c r="AI51" s="4">
        <f ca="1">ROUND(T_Tiktok_ads[[#This Row],[impressions]]*RANDBETWEEN(8,12)/10,0)</f>
        <v>454681</v>
      </c>
      <c r="AJ51" s="4">
        <f ca="1">ROUND(T_Tiktok_ads[[#This Row],[clicks]]*RANDBETWEEN(8,12)/10,0)</f>
        <v>4898</v>
      </c>
      <c r="AK51" s="4">
        <v>945.6</v>
      </c>
      <c r="AL51" s="4">
        <f ca="1">ROUND(T_Tiktok_ads[[#This Row],[conversions]]*RANDBETWEEN(8,12)/10,0)</f>
        <v>96</v>
      </c>
      <c r="AM51" s="4">
        <f ca="1">ROUND(T_Tiktok_ads[[#This Row],[video_views]]*RANDBETWEEN(8,12)/10,0)</f>
        <v>312345</v>
      </c>
      <c r="AN51" s="4">
        <f ca="1">ROUND(T_Tiktok_ads[[#This Row],[video_watch_25]]*RANDBETWEEN(8,12)/10,0)</f>
        <v>301481</v>
      </c>
      <c r="AO51" s="4">
        <f ca="1">ROUND(T_Tiktok_ads[[#This Row],[video_watch_50]]*RANDBETWEEN(8,12)/10,0)</f>
        <v>241481</v>
      </c>
      <c r="AP51" s="4">
        <f ca="1">ROUND(T_Tiktok_ads[[#This Row],[video_watch_75]]*RANDBETWEEN(8,12)/10,0)</f>
        <v>172147</v>
      </c>
      <c r="AQ51" s="4">
        <f ca="1">ROUND(T_Tiktok_ads[[#This Row],[video_watch_100]]*RANDBETWEEN(8,12)/10,0)</f>
        <v>114281</v>
      </c>
      <c r="AR51" s="4">
        <f ca="1">ROUND(T_Tiktok_ads[[#This Row],[likes]]*RANDBETWEEN(8,12)/10,0)</f>
        <v>16567</v>
      </c>
      <c r="AS51" s="4">
        <f ca="1">ROUND(T_Tiktok_ads[[#This Row],[shares]]*RANDBETWEEN(8,12)/10,0)</f>
        <v>5305</v>
      </c>
      <c r="AT51" s="4">
        <f ca="1">ROUND(T_Tiktok_ads[[#This Row],[comments]]*RANDBETWEEN(8,12)/10,0)</f>
        <v>1312</v>
      </c>
      <c r="AV51" s="5">
        <f t="shared" ca="1" si="8"/>
        <v>45131</v>
      </c>
      <c r="AW51">
        <f t="shared" ca="1" si="4"/>
        <v>2</v>
      </c>
      <c r="AX51">
        <f ca="1">ROUND(T_Facebook_Ads11596367717579[[#This Row],[impressions]]*RANDBETWEEN(8,12)/10,0)</f>
        <v>67772</v>
      </c>
      <c r="AY51">
        <f ca="1">ROUND(T_Facebook_Ads11596367717579[[#This Row],[clicks]]*RANDBETWEEN(8,12)/10,0)</f>
        <v>198</v>
      </c>
      <c r="AZ51">
        <f ca="1">T_Facebook_Ads11596367717579[[#This Row],[spend]]*RANDBETWEEN(8,12)/10</f>
        <v>96.359999999999985</v>
      </c>
      <c r="BA51">
        <f ca="1">ROUND(T_Facebook_Ads11596367717579[[#This Row],[conversions]]*RANDBETWEEN(8,12)/10,0)</f>
        <v>6</v>
      </c>
      <c r="BB51">
        <f ca="1">ROUND(T_Facebook_Ads11596367717579[[#This Row],[video_views]]*RANDBETWEEN(8,12)/10,0)</f>
        <v>36987</v>
      </c>
    </row>
    <row r="52" spans="1:54" ht="15.75" thickBot="1" x14ac:dyDescent="0.3">
      <c r="A52" s="3">
        <f t="shared" ca="1" si="5"/>
        <v>45111</v>
      </c>
      <c r="B52" s="4" t="s">
        <v>52</v>
      </c>
      <c r="C52" s="4" t="s">
        <v>53</v>
      </c>
      <c r="D52" s="4" t="s">
        <v>54</v>
      </c>
      <c r="E52" s="4" t="s">
        <v>55</v>
      </c>
      <c r="F52" s="4">
        <f ca="1">ROUND(T_Facebook_Ads[[#This Row],[impressions]]*RANDBETWEEN(8,12)/10,0)</f>
        <v>60281</v>
      </c>
      <c r="G52" s="4">
        <v>1023</v>
      </c>
      <c r="H52" s="4">
        <f ca="1">T_Facebook_Ads[[#This Row],[spend]]*RANDBETWEEN(8,12)/10</f>
        <v>172.56</v>
      </c>
      <c r="I52" s="4">
        <f ca="1">ROUND(T_Facebook_Ads[[#This Row],[conversions]]*RANDBETWEEN(8,12)/10,0)</f>
        <v>14</v>
      </c>
      <c r="J52" s="4">
        <f ca="1">ROUND(T_Facebook_Ads[[#This Row],[video_views]]*RANDBETWEEN(8,12)/10,0)</f>
        <v>9234</v>
      </c>
      <c r="K52" s="4">
        <f ca="1">T_Facebook_Ads[[#This Row],[engagement_rate]]*RANDBETWEEN(8,12)/10</f>
        <v>2.0400000000000001E-2</v>
      </c>
      <c r="L52" s="4">
        <f ca="1">ROUND(T_Facebook_Ads[[#This Row],[reach]]*RANDBETWEEN(8,12)/10,0)</f>
        <v>50814</v>
      </c>
      <c r="M52" s="4">
        <f ca="1">T_Facebook_Ads[[#This Row],[frequency]]*RANDBETWEEN(8,12)/10</f>
        <v>1.4279999999999999</v>
      </c>
      <c r="O52" s="3">
        <f t="shared" ca="1" si="6"/>
        <v>45122</v>
      </c>
      <c r="P52" s="4" t="s">
        <v>76</v>
      </c>
      <c r="Q52" s="4" t="s">
        <v>77</v>
      </c>
      <c r="R52" s="4" t="s">
        <v>78</v>
      </c>
      <c r="S52" s="4" t="s">
        <v>79</v>
      </c>
      <c r="T52" s="4">
        <f ca="1">ROUND(_Google_ads[[#This Row],[impressions]]*RANDBETWEEN(8,12)/10,0)</f>
        <v>30547</v>
      </c>
      <c r="U52" s="4">
        <f ca="1">ROUND(_Google_ads[[#This Row],[clicks]]*RANDBETWEEN(8,12)/10,0)</f>
        <v>1076</v>
      </c>
      <c r="V52" s="4">
        <f ca="1">_Google_ads[[#This Row],[cost]]*RANDBETWEEN(8,12)/10</f>
        <v>257.3</v>
      </c>
      <c r="W52" s="4">
        <f ca="1">ROUND(_Google_ads[[#This Row],[conversions]]*RANDBETWEEN(8,12)/10,0)</f>
        <v>56</v>
      </c>
      <c r="X52" s="4">
        <f ca="1">ROUND(_Google_ads[[#This Row],[conversion_value]]*RANDBETWEEN(8,12)/10,0)</f>
        <v>2295</v>
      </c>
      <c r="Y52" s="4">
        <f ca="1">_Google_ads[[#This Row],[ctr]]*RANDBETWEEN(8,12)/10</f>
        <v>4.224E-2</v>
      </c>
      <c r="Z52" s="4">
        <f ca="1">_Google_ads[[#This Row],[avg_cpc]]*RANDBETWEEN(8,12)/10</f>
        <v>0.22800000000000004</v>
      </c>
      <c r="AA52" s="4">
        <f ca="1">ROUND(_Google_ads[[#This Row],[quality_score]]*RANDBETWEEN(8,12)/10,0)</f>
        <v>9</v>
      </c>
      <c r="AB52" s="4">
        <f ca="1">_Google_ads[[#This Row],[search_impression_share]]*RANDBETWEEN(8,12)/10</f>
        <v>0.92000000000000015</v>
      </c>
      <c r="AD52" s="3">
        <f t="shared" ca="1" si="7"/>
        <v>45119</v>
      </c>
      <c r="AE52" s="4" t="s">
        <v>100</v>
      </c>
      <c r="AF52" s="4" t="s">
        <v>101</v>
      </c>
      <c r="AG52" s="4" t="s">
        <v>102</v>
      </c>
      <c r="AH52" s="4" t="s">
        <v>103</v>
      </c>
      <c r="AI52" s="4">
        <f ca="1">ROUND(T_Tiktok_ads[[#This Row],[impressions]]*RANDBETWEEN(8,12)/10,0)</f>
        <v>346814</v>
      </c>
      <c r="AJ52" s="4">
        <f ca="1">ROUND(T_Tiktok_ads[[#This Row],[clicks]]*RANDBETWEEN(8,12)/10,0)</f>
        <v>4234</v>
      </c>
      <c r="AK52" s="4">
        <v>556.70000000000005</v>
      </c>
      <c r="AL52" s="4">
        <f ca="1">ROUND(T_Tiktok_ads[[#This Row],[conversions]]*RANDBETWEEN(8,12)/10,0)</f>
        <v>52</v>
      </c>
      <c r="AM52" s="4">
        <f ca="1">ROUND(T_Tiktok_ads[[#This Row],[video_views]]*RANDBETWEEN(8,12)/10,0)</f>
        <v>211110</v>
      </c>
      <c r="AN52" s="4">
        <f ca="1">ROUND(T_Tiktok_ads[[#This Row],[video_watch_25]]*RANDBETWEEN(8,12)/10,0)</f>
        <v>218814</v>
      </c>
      <c r="AO52" s="4">
        <f ca="1">ROUND(T_Tiktok_ads[[#This Row],[video_watch_50]]*RANDBETWEEN(8,12)/10,0)</f>
        <v>103110</v>
      </c>
      <c r="AP52" s="4">
        <f ca="1">ROUND(T_Tiktok_ads[[#This Row],[video_watch_75]]*RANDBETWEEN(8,12)/10,0)</f>
        <v>61787</v>
      </c>
      <c r="AQ52" s="4">
        <f ca="1">ROUND(T_Tiktok_ads[[#This Row],[video_watch_100]]*RANDBETWEEN(8,12)/10,0)</f>
        <v>56357</v>
      </c>
      <c r="AR52" s="4">
        <f ca="1">ROUND(T_Tiktok_ads[[#This Row],[likes]]*RANDBETWEEN(8,12)/10,0)</f>
        <v>10345</v>
      </c>
      <c r="AS52" s="4">
        <f ca="1">ROUND(T_Tiktok_ads[[#This Row],[shares]]*RANDBETWEEN(8,12)/10,0)</f>
        <v>2789</v>
      </c>
      <c r="AT52" s="4">
        <f ca="1">ROUND(T_Tiktok_ads[[#This Row],[comments]]*RANDBETWEEN(8,12)/10,0)</f>
        <v>525</v>
      </c>
      <c r="AV52" s="5">
        <f t="shared" ca="1" si="8"/>
        <v>45122</v>
      </c>
      <c r="AW52">
        <f t="shared" ca="1" si="4"/>
        <v>4</v>
      </c>
      <c r="AX52">
        <f ca="1">ROUND(T_Facebook_Ads11596367717579[[#This Row],[impressions]]*RANDBETWEEN(8,12)/10,0)</f>
        <v>66309</v>
      </c>
      <c r="AY52">
        <f ca="1">ROUND(T_Facebook_Ads11596367717579[[#This Row],[clicks]]*RANDBETWEEN(8,12)/10,0)</f>
        <v>818</v>
      </c>
      <c r="AZ52">
        <f ca="1">T_Facebook_Ads11596367717579[[#This Row],[spend]]*RANDBETWEEN(8,12)/10</f>
        <v>189.816</v>
      </c>
      <c r="BA52">
        <f ca="1">ROUND(T_Facebook_Ads11596367717579[[#This Row],[conversions]]*RANDBETWEEN(8,12)/10,0)</f>
        <v>11</v>
      </c>
      <c r="BB52">
        <f ca="1">ROUND(T_Facebook_Ads11596367717579[[#This Row],[video_views]]*RANDBETWEEN(8,12)/10,0)</f>
        <v>9234</v>
      </c>
    </row>
    <row r="53" spans="1:54" ht="15.75" thickBot="1" x14ac:dyDescent="0.3">
      <c r="A53" s="3">
        <f t="shared" ca="1" si="5"/>
        <v>45116</v>
      </c>
      <c r="B53" s="4" t="s">
        <v>56</v>
      </c>
      <c r="C53" s="4" t="s">
        <v>57</v>
      </c>
      <c r="D53" s="4" t="s">
        <v>58</v>
      </c>
      <c r="E53" s="4" t="s">
        <v>59</v>
      </c>
      <c r="F53" s="4">
        <f ca="1">ROUND(T_Facebook_Ads[[#This Row],[impressions]]*RANDBETWEEN(8,12)/10,0)</f>
        <v>11387</v>
      </c>
      <c r="G53" s="4">
        <v>678</v>
      </c>
      <c r="H53" s="4">
        <f ca="1">T_Facebook_Ads[[#This Row],[spend]]*RANDBETWEEN(8,12)/10</f>
        <v>198.8</v>
      </c>
      <c r="I53" s="4">
        <f ca="1">ROUND(T_Facebook_Ads[[#This Row],[conversions]]*RANDBETWEEN(8,12)/10,0)</f>
        <v>42</v>
      </c>
      <c r="J53" s="4">
        <f ca="1">ROUND(T_Facebook_Ads[[#This Row],[video_views]]*RANDBETWEEN(8,12)/10,0)</f>
        <v>1880</v>
      </c>
      <c r="K53" s="4">
        <f ca="1">T_Facebook_Ads[[#This Row],[engagement_rate]]*RANDBETWEEN(8,12)/10</f>
        <v>3.8159999999999999E-2</v>
      </c>
      <c r="L53" s="4">
        <f ca="1">ROUND(T_Facebook_Ads[[#This Row],[reach]]*RANDBETWEEN(8,12)/10,0)</f>
        <v>8987</v>
      </c>
      <c r="M53" s="4">
        <f ca="1">T_Facebook_Ads[[#This Row],[frequency]]*RANDBETWEEN(8,12)/10</f>
        <v>1.27</v>
      </c>
      <c r="O53" s="3">
        <f t="shared" ca="1" si="6"/>
        <v>45135</v>
      </c>
      <c r="P53" s="4" t="s">
        <v>80</v>
      </c>
      <c r="Q53" s="4" t="s">
        <v>81</v>
      </c>
      <c r="R53" s="4" t="s">
        <v>82</v>
      </c>
      <c r="S53" s="4" t="s">
        <v>83</v>
      </c>
      <c r="T53" s="4">
        <f ca="1">ROUND(_Google_ads[[#This Row],[impressions]]*RANDBETWEEN(8,12)/10,0)</f>
        <v>41110</v>
      </c>
      <c r="U53" s="4">
        <f ca="1">ROUND(_Google_ads[[#This Row],[clicks]]*RANDBETWEEN(8,12)/10,0)</f>
        <v>811</v>
      </c>
      <c r="V53" s="4">
        <f ca="1">_Google_ads[[#This Row],[cost]]*RANDBETWEEN(8,12)/10</f>
        <v>467.6</v>
      </c>
      <c r="W53" s="4">
        <f ca="1">ROUND(_Google_ads[[#This Row],[conversions]]*RANDBETWEEN(8,12)/10,0)</f>
        <v>24</v>
      </c>
      <c r="X53" s="4">
        <f ca="1">ROUND(_Google_ads[[#This Row],[conversion_value]]*RANDBETWEEN(8,12)/10,0)</f>
        <v>1320</v>
      </c>
      <c r="Y53" s="4">
        <f ca="1">_Google_ads[[#This Row],[ctr]]*RANDBETWEEN(8,12)/10</f>
        <v>2.3640000000000001E-2</v>
      </c>
      <c r="Z53" s="4">
        <f ca="1">_Google_ads[[#This Row],[avg_cpc]]*RANDBETWEEN(8,12)/10</f>
        <v>0.58500000000000008</v>
      </c>
      <c r="AA53" s="4">
        <f ca="1">ROUND(_Google_ads[[#This Row],[quality_score]]*RANDBETWEEN(8,12)/10,0)</f>
        <v>6</v>
      </c>
      <c r="AB53" s="4">
        <f ca="1">_Google_ads[[#This Row],[search_impression_share]]*RANDBETWEEN(8,12)/10</f>
        <v>0.54</v>
      </c>
      <c r="AD53" s="3">
        <f t="shared" ca="1" si="7"/>
        <v>45112</v>
      </c>
      <c r="AE53" s="4" t="s">
        <v>104</v>
      </c>
      <c r="AF53" s="4" t="s">
        <v>105</v>
      </c>
      <c r="AG53" s="4" t="s">
        <v>106</v>
      </c>
      <c r="AH53" s="4" t="s">
        <v>107</v>
      </c>
      <c r="AI53" s="4">
        <f ca="1">ROUND(T_Tiktok_ads[[#This Row],[impressions]]*RANDBETWEEN(8,12)/10,0)</f>
        <v>125431</v>
      </c>
      <c r="AJ53" s="4">
        <f ca="1">ROUND(T_Tiktok_ads[[#This Row],[clicks]]*RANDBETWEEN(8,12)/10,0)</f>
        <v>3313</v>
      </c>
      <c r="AK53" s="4">
        <v>812.3</v>
      </c>
      <c r="AL53" s="4">
        <f ca="1">ROUND(T_Tiktok_ads[[#This Row],[conversions]]*RANDBETWEEN(8,12)/10,0)</f>
        <v>74</v>
      </c>
      <c r="AM53" s="4">
        <f ca="1">ROUND(T_Tiktok_ads[[#This Row],[video_views]]*RANDBETWEEN(8,12)/10,0)</f>
        <v>131851</v>
      </c>
      <c r="AN53" s="4">
        <f ca="1">ROUND(T_Tiktok_ads[[#This Row],[video_watch_25]]*RANDBETWEEN(8,12)/10,0)</f>
        <v>89357</v>
      </c>
      <c r="AO53" s="4">
        <f ca="1">ROUND(T_Tiktok_ads[[#This Row],[video_watch_50]]*RANDBETWEEN(8,12)/10,0)</f>
        <v>43742</v>
      </c>
      <c r="AP53" s="4">
        <f ca="1">ROUND(T_Tiktok_ads[[#This Row],[video_watch_75]]*RANDBETWEEN(8,12)/10,0)</f>
        <v>41234</v>
      </c>
      <c r="AQ53" s="4">
        <f ca="1">ROUND(T_Tiktok_ads[[#This Row],[video_watch_100]]*RANDBETWEEN(8,12)/10,0)</f>
        <v>33080</v>
      </c>
      <c r="AR53" s="4">
        <f ca="1">ROUND(T_Tiktok_ads[[#This Row],[likes]]*RANDBETWEEN(8,12)/10,0)</f>
        <v>6547</v>
      </c>
      <c r="AS53" s="4">
        <f ca="1">ROUND(T_Tiktok_ads[[#This Row],[shares]]*RANDBETWEEN(8,12)/10,0)</f>
        <v>1880</v>
      </c>
      <c r="AT53" s="4">
        <f ca="1">ROUND(T_Tiktok_ads[[#This Row],[comments]]*RANDBETWEEN(8,12)/10,0)</f>
        <v>289</v>
      </c>
      <c r="AV53" s="5">
        <f t="shared" ca="1" si="8"/>
        <v>45119</v>
      </c>
      <c r="AW53">
        <f t="shared" ca="1" si="4"/>
        <v>3</v>
      </c>
      <c r="AX53">
        <f ca="1">ROUND(T_Facebook_Ads11596367717579[[#This Row],[impressions]]*RANDBETWEEN(8,12)/10,0)</f>
        <v>12526</v>
      </c>
      <c r="AY53">
        <f ca="1">ROUND(T_Facebook_Ads11596367717579[[#This Row],[clicks]]*RANDBETWEEN(8,12)/10,0)</f>
        <v>746</v>
      </c>
      <c r="AZ53">
        <f ca="1">T_Facebook_Ads11596367717579[[#This Row],[spend]]*RANDBETWEEN(8,12)/10</f>
        <v>159.04000000000002</v>
      </c>
      <c r="BA53">
        <f ca="1">ROUND(T_Facebook_Ads11596367717579[[#This Row],[conversions]]*RANDBETWEEN(8,12)/10,0)</f>
        <v>50</v>
      </c>
      <c r="BB53">
        <f ca="1">ROUND(T_Facebook_Ads11596367717579[[#This Row],[video_views]]*RANDBETWEEN(8,12)/10,0)</f>
        <v>2068</v>
      </c>
    </row>
    <row r="54" spans="1:54" ht="15.75" thickBot="1" x14ac:dyDescent="0.3">
      <c r="A54" s="3">
        <f t="shared" ca="1" si="5"/>
        <v>45117</v>
      </c>
      <c r="B54" s="4" t="s">
        <v>60</v>
      </c>
      <c r="C54" s="4" t="s">
        <v>61</v>
      </c>
      <c r="D54" s="4" t="s">
        <v>62</v>
      </c>
      <c r="E54" s="4" t="s">
        <v>63</v>
      </c>
      <c r="F54" s="4">
        <f ca="1">ROUND(T_Facebook_Ads[[#This Row],[impressions]]*RANDBETWEEN(8,12)/10,0)</f>
        <v>42302</v>
      </c>
      <c r="G54" s="4">
        <v>1423</v>
      </c>
      <c r="H54" s="4">
        <f ca="1">T_Facebook_Ads[[#This Row],[spend]]*RANDBETWEEN(8,12)/10</f>
        <v>262.43999999999994</v>
      </c>
      <c r="I54" s="4">
        <f ca="1">ROUND(T_Facebook_Ads[[#This Row],[conversions]]*RANDBETWEEN(8,12)/10,0)</f>
        <v>27</v>
      </c>
      <c r="J54" s="4">
        <f ca="1">ROUND(T_Facebook_Ads[[#This Row],[video_views]]*RANDBETWEEN(8,12)/10,0)</f>
        <v>6148</v>
      </c>
      <c r="K54" s="4">
        <f ca="1">T_Facebook_Ads[[#This Row],[engagement_rate]]*RANDBETWEEN(8,12)/10</f>
        <v>3.3299999999999996E-2</v>
      </c>
      <c r="L54" s="4">
        <f ca="1">ROUND(T_Facebook_Ads[[#This Row],[reach]]*RANDBETWEEN(8,12)/10,0)</f>
        <v>37481</v>
      </c>
      <c r="M54" s="4">
        <f ca="1">T_Facebook_Ads[[#This Row],[frequency]]*RANDBETWEEN(8,12)/10</f>
        <v>1.107</v>
      </c>
      <c r="O54" s="3">
        <f t="shared" ca="1" si="6"/>
        <v>45109</v>
      </c>
      <c r="P54" s="4" t="s">
        <v>84</v>
      </c>
      <c r="Q54" s="4" t="s">
        <v>85</v>
      </c>
      <c r="R54" s="4" t="s">
        <v>86</v>
      </c>
      <c r="S54" s="4" t="s">
        <v>87</v>
      </c>
      <c r="T54" s="4">
        <f ca="1">ROUND(_Google_ads[[#This Row],[impressions]]*RANDBETWEEN(8,12)/10,0)</f>
        <v>56098</v>
      </c>
      <c r="U54" s="4">
        <f ca="1">ROUND(_Google_ads[[#This Row],[clicks]]*RANDBETWEEN(8,12)/10,0)</f>
        <v>2140</v>
      </c>
      <c r="V54" s="4">
        <f ca="1">_Google_ads[[#This Row],[cost]]*RANDBETWEEN(8,12)/10</f>
        <v>392.22</v>
      </c>
      <c r="W54" s="4">
        <f ca="1">ROUND(_Google_ads[[#This Row],[conversions]]*RANDBETWEEN(8,12)/10,0)</f>
        <v>76</v>
      </c>
      <c r="X54" s="4">
        <f ca="1">ROUND(_Google_ads[[#This Row],[conversion_value]]*RANDBETWEEN(8,12)/10,0)</f>
        <v>3105</v>
      </c>
      <c r="Y54" s="4">
        <f ca="1">_Google_ads[[#This Row],[ctr]]*RANDBETWEEN(8,12)/10</f>
        <v>3.7290000000000004E-2</v>
      </c>
      <c r="Z54" s="4">
        <f ca="1">_Google_ads[[#This Row],[avg_cpc]]*RANDBETWEEN(8,12)/10</f>
        <v>0.19800000000000001</v>
      </c>
      <c r="AA54" s="4">
        <f ca="1">ROUND(_Google_ads[[#This Row],[quality_score]]*RANDBETWEEN(8,12)/10,0)</f>
        <v>6</v>
      </c>
      <c r="AB54" s="4">
        <f ca="1">_Google_ads[[#This Row],[search_impression_share]]*RANDBETWEEN(8,12)/10</f>
        <v>0.67</v>
      </c>
      <c r="AD54" s="3">
        <f t="shared" ca="1" si="7"/>
        <v>45132</v>
      </c>
      <c r="AE54" s="4" t="s">
        <v>108</v>
      </c>
      <c r="AF54" s="4" t="s">
        <v>109</v>
      </c>
      <c r="AG54" s="4" t="s">
        <v>110</v>
      </c>
      <c r="AH54" s="4" t="s">
        <v>111</v>
      </c>
      <c r="AI54" s="4">
        <f ca="1">ROUND(T_Tiktok_ads[[#This Row],[impressions]]*RANDBETWEEN(8,12)/10,0)</f>
        <v>221110</v>
      </c>
      <c r="AJ54" s="4">
        <f ca="1">ROUND(T_Tiktok_ads[[#This Row],[clicks]]*RANDBETWEEN(8,12)/10,0)</f>
        <v>4668</v>
      </c>
      <c r="AK54" s="4">
        <v>467.8</v>
      </c>
      <c r="AL54" s="4">
        <f ca="1">ROUND(T_Tiktok_ads[[#This Row],[conversions]]*RANDBETWEEN(8,12)/10,0)</f>
        <v>27</v>
      </c>
      <c r="AM54" s="4">
        <f ca="1">ROUND(T_Tiktok_ads[[#This Row],[video_views]]*RANDBETWEEN(8,12)/10,0)</f>
        <v>156542</v>
      </c>
      <c r="AN54" s="4">
        <f ca="1">ROUND(T_Tiktok_ads[[#This Row],[video_watch_25]]*RANDBETWEEN(8,12)/10,0)</f>
        <v>133411</v>
      </c>
      <c r="AO54" s="4">
        <f ca="1">ROUND(T_Tiktok_ads[[#This Row],[video_watch_50]]*RANDBETWEEN(8,12)/10,0)</f>
        <v>105511</v>
      </c>
      <c r="AP54" s="4">
        <f ca="1">ROUND(T_Tiktok_ads[[#This Row],[video_watch_75]]*RANDBETWEEN(8,12)/10,0)</f>
        <v>82757</v>
      </c>
      <c r="AQ54" s="4">
        <f ca="1">ROUND(T_Tiktok_ads[[#This Row],[video_watch_100]]*RANDBETWEEN(8,12)/10,0)</f>
        <v>45789</v>
      </c>
      <c r="AR54" s="4">
        <f ca="1">ROUND(T_Tiktok_ads[[#This Row],[likes]]*RANDBETWEEN(8,12)/10,0)</f>
        <v>7710</v>
      </c>
      <c r="AS54" s="4">
        <f ca="1">ROUND(T_Tiktok_ads[[#This Row],[shares]]*RANDBETWEEN(8,12)/10,0)</f>
        <v>2111</v>
      </c>
      <c r="AT54" s="4">
        <f ca="1">ROUND(T_Tiktok_ads[[#This Row],[comments]]*RANDBETWEEN(8,12)/10,0)</f>
        <v>680</v>
      </c>
      <c r="AV54" s="5">
        <f t="shared" ca="1" si="8"/>
        <v>45121</v>
      </c>
      <c r="AW54">
        <f t="shared" ca="1" si="4"/>
        <v>2</v>
      </c>
      <c r="AX54">
        <f ca="1">ROUND(T_Facebook_Ads11596367717579[[#This Row],[impressions]]*RANDBETWEEN(8,12)/10,0)</f>
        <v>46532</v>
      </c>
      <c r="AY54">
        <f ca="1">ROUND(T_Facebook_Ads11596367717579[[#This Row],[clicks]]*RANDBETWEEN(8,12)/10,0)</f>
        <v>1281</v>
      </c>
      <c r="AZ54">
        <f ca="1">T_Facebook_Ads11596367717579[[#This Row],[spend]]*RANDBETWEEN(8,12)/10</f>
        <v>288.68399999999991</v>
      </c>
      <c r="BA54">
        <f ca="1">ROUND(T_Facebook_Ads11596367717579[[#This Row],[conversions]]*RANDBETWEEN(8,12)/10,0)</f>
        <v>32</v>
      </c>
      <c r="BB54">
        <f ca="1">ROUND(T_Facebook_Ads11596367717579[[#This Row],[video_views]]*RANDBETWEEN(8,12)/10,0)</f>
        <v>5533</v>
      </c>
    </row>
    <row r="55" spans="1:54" ht="15.75" thickBot="1" x14ac:dyDescent="0.3">
      <c r="A55" s="3">
        <f t="shared" ca="1" si="5"/>
        <v>45129</v>
      </c>
      <c r="B55" s="4" t="s">
        <v>64</v>
      </c>
      <c r="C55" s="4" t="s">
        <v>65</v>
      </c>
      <c r="D55" s="4" t="s">
        <v>66</v>
      </c>
      <c r="E55" s="4" t="s">
        <v>67</v>
      </c>
      <c r="F55" s="4">
        <f ca="1">ROUND(T_Facebook_Ads[[#This Row],[impressions]]*RANDBETWEEN(8,12)/10,0)</f>
        <v>88147</v>
      </c>
      <c r="G55" s="4">
        <v>267</v>
      </c>
      <c r="H55" s="4">
        <f ca="1">T_Facebook_Ads[[#This Row],[spend]]*RANDBETWEEN(8,12)/10</f>
        <v>75.36</v>
      </c>
      <c r="I55" s="4">
        <f ca="1">ROUND(T_Facebook_Ads[[#This Row],[conversions]]*RANDBETWEEN(8,12)/10,0)</f>
        <v>6</v>
      </c>
      <c r="J55" s="4">
        <f ca="1">ROUND(T_Facebook_Ads[[#This Row],[video_views]]*RANDBETWEEN(8,12)/10,0)</f>
        <v>39912</v>
      </c>
      <c r="K55" s="4">
        <f ca="1">T_Facebook_Ads[[#This Row],[engagement_rate]]*RANDBETWEEN(8,12)/10</f>
        <v>3.5999999999999999E-3</v>
      </c>
      <c r="L55" s="4">
        <f ca="1">ROUND(T_Facebook_Ads[[#This Row],[reach]]*RANDBETWEEN(8,12)/10,0)</f>
        <v>65524</v>
      </c>
      <c r="M55" s="4">
        <f ca="1">T_Facebook_Ads[[#This Row],[frequency]]*RANDBETWEEN(8,12)/10</f>
        <v>1.488</v>
      </c>
      <c r="O55" s="3">
        <f t="shared" ca="1" si="6"/>
        <v>45123</v>
      </c>
      <c r="P55" s="4" t="s">
        <v>88</v>
      </c>
      <c r="Q55" s="4" t="s">
        <v>89</v>
      </c>
      <c r="R55" s="4" t="s">
        <v>90</v>
      </c>
      <c r="S55" s="4" t="s">
        <v>59</v>
      </c>
      <c r="T55" s="4">
        <f ca="1">ROUND(_Google_ads[[#This Row],[impressions]]*RANDBETWEEN(8,12)/10,0)</f>
        <v>119310</v>
      </c>
      <c r="U55" s="4">
        <f ca="1">ROUND(_Google_ads[[#This Row],[clicks]]*RANDBETWEEN(8,12)/10,0)</f>
        <v>391</v>
      </c>
      <c r="V55" s="4">
        <f ca="1">_Google_ads[[#This Row],[cost]]*RANDBETWEEN(8,12)/10</f>
        <v>130.5</v>
      </c>
      <c r="W55" s="4">
        <f ca="1">ROUND(_Google_ads[[#This Row],[conversions]]*RANDBETWEEN(8,12)/10,0)</f>
        <v>11</v>
      </c>
      <c r="X55" s="4">
        <f ca="1">ROUND(_Google_ads[[#This Row],[conversion_value]]*RANDBETWEEN(8,12)/10,0)</f>
        <v>630</v>
      </c>
      <c r="Y55" s="4">
        <f ca="1">_Google_ads[[#This Row],[ctr]]*RANDBETWEEN(8,12)/10</f>
        <v>3.7000000000000006E-3</v>
      </c>
      <c r="Z55" s="4">
        <f ca="1">_Google_ads[[#This Row],[avg_cpc]]*RANDBETWEEN(8,12)/10</f>
        <v>0.21600000000000003</v>
      </c>
      <c r="AA55" s="4">
        <f ca="1">ROUND(_Google_ads[[#This Row],[quality_score]]*RANDBETWEEN(8,12)/10,0)</f>
        <v>8</v>
      </c>
      <c r="AB55" s="4">
        <f ca="1">_Google_ads[[#This Row],[search_impression_share]]*RANDBETWEEN(8,12)/10</f>
        <v>0.27999999999999997</v>
      </c>
      <c r="AD55" s="3">
        <f t="shared" ca="1" si="7"/>
        <v>45132</v>
      </c>
      <c r="AE55" s="4" t="s">
        <v>112</v>
      </c>
      <c r="AF55" s="4" t="s">
        <v>113</v>
      </c>
      <c r="AG55" s="4" t="s">
        <v>114</v>
      </c>
      <c r="AH55" s="4" t="s">
        <v>115</v>
      </c>
      <c r="AI55" s="4">
        <f ca="1">ROUND(T_Tiktok_ads[[#This Row],[impressions]]*RANDBETWEEN(8,12)/10,0)</f>
        <v>508147</v>
      </c>
      <c r="AJ55" s="4">
        <f ca="1">ROUND(T_Tiktok_ads[[#This Row],[clicks]]*RANDBETWEEN(8,12)/10,0)</f>
        <v>5512</v>
      </c>
      <c r="AK55" s="4">
        <v>1056.8</v>
      </c>
      <c r="AL55" s="4">
        <f ca="1">ROUND(T_Tiktok_ads[[#This Row],[conversions]]*RANDBETWEEN(8,12)/10,0)</f>
        <v>96</v>
      </c>
      <c r="AM55" s="4">
        <f ca="1">ROUND(T_Tiktok_ads[[#This Row],[video_views]]*RANDBETWEEN(8,12)/10,0)</f>
        <v>392468</v>
      </c>
      <c r="AN55" s="4">
        <f ca="1">ROUND(T_Tiktok_ads[[#This Row],[video_watch_25]]*RANDBETWEEN(8,12)/10,0)</f>
        <v>260311</v>
      </c>
      <c r="AO55" s="4">
        <f ca="1">ROUND(T_Tiktok_ads[[#This Row],[video_watch_50]]*RANDBETWEEN(8,12)/10,0)</f>
        <v>277747</v>
      </c>
      <c r="AP55" s="4">
        <f ca="1">ROUND(T_Tiktok_ads[[#This Row],[video_watch_75]]*RANDBETWEEN(8,12)/10,0)</f>
        <v>131654</v>
      </c>
      <c r="AQ55" s="4">
        <f ca="1">ROUND(T_Tiktok_ads[[#This Row],[video_watch_100]]*RANDBETWEEN(8,12)/10,0)</f>
        <v>109234</v>
      </c>
      <c r="AR55" s="4">
        <f ca="1">ROUND(T_Tiktok_ads[[#This Row],[likes]]*RANDBETWEEN(8,12)/10,0)</f>
        <v>20779</v>
      </c>
      <c r="AS55" s="4">
        <f ca="1">ROUND(T_Tiktok_ads[[#This Row],[shares]]*RANDBETWEEN(8,12)/10,0)</f>
        <v>6002</v>
      </c>
      <c r="AT55" s="4">
        <f ca="1">ROUND(T_Tiktok_ads[[#This Row],[comments]]*RANDBETWEEN(8,12)/10,0)</f>
        <v>1638</v>
      </c>
      <c r="AV55" s="5">
        <f t="shared" ca="1" si="8"/>
        <v>45124</v>
      </c>
      <c r="AW55">
        <f t="shared" ca="1" si="4"/>
        <v>7</v>
      </c>
      <c r="AX55">
        <f ca="1">ROUND(T_Facebook_Ads11596367717579[[#This Row],[impressions]]*RANDBETWEEN(8,12)/10,0)</f>
        <v>88147</v>
      </c>
      <c r="AY55">
        <f ca="1">ROUND(T_Facebook_Ads11596367717579[[#This Row],[clicks]]*RANDBETWEEN(8,12)/10,0)</f>
        <v>294</v>
      </c>
      <c r="AZ55">
        <f ca="1">T_Facebook_Ads11596367717579[[#This Row],[spend]]*RANDBETWEEN(8,12)/10</f>
        <v>60.287999999999997</v>
      </c>
      <c r="BA55">
        <f ca="1">ROUND(T_Facebook_Ads11596367717579[[#This Row],[conversions]]*RANDBETWEEN(8,12)/10,0)</f>
        <v>5</v>
      </c>
      <c r="BB55">
        <f ca="1">ROUND(T_Facebook_Ads11596367717579[[#This Row],[video_views]]*RANDBETWEEN(8,12)/10,0)</f>
        <v>43903</v>
      </c>
    </row>
    <row r="56" spans="1:54" ht="15.75" thickBot="1" x14ac:dyDescent="0.3">
      <c r="A56" s="3">
        <f t="shared" ca="1" si="5"/>
        <v>45138</v>
      </c>
      <c r="B56" s="4" t="s">
        <v>52</v>
      </c>
      <c r="C56" s="4" t="s">
        <v>53</v>
      </c>
      <c r="D56" s="4" t="s">
        <v>54</v>
      </c>
      <c r="E56" s="4" t="s">
        <v>55</v>
      </c>
      <c r="F56" s="4">
        <f ca="1">ROUND(T_Facebook_Ads[[#This Row],[impressions]]*RANDBETWEEN(8,12)/10,0)</f>
        <v>46610</v>
      </c>
      <c r="G56" s="4">
        <v>1089</v>
      </c>
      <c r="H56" s="4">
        <f ca="1">T_Facebook_Ads[[#This Row],[spend]]*RANDBETWEEN(8,12)/10</f>
        <v>182.76000000000002</v>
      </c>
      <c r="I56" s="4">
        <f ca="1">ROUND(T_Facebook_Ads[[#This Row],[conversions]]*RANDBETWEEN(8,12)/10,0)</f>
        <v>18</v>
      </c>
      <c r="J56" s="4">
        <f ca="1">ROUND(T_Facebook_Ads[[#This Row],[video_views]]*RANDBETWEEN(8,12)/10,0)</f>
        <v>9567</v>
      </c>
      <c r="K56" s="4">
        <f ca="1">T_Facebook_Ads[[#This Row],[engagement_rate]]*RANDBETWEEN(8,12)/10</f>
        <v>2.52E-2</v>
      </c>
      <c r="L56" s="4">
        <f ca="1">ROUND(T_Facebook_Ads[[#This Row],[reach]]*RANDBETWEEN(8,12)/10,0)</f>
        <v>47924</v>
      </c>
      <c r="M56" s="4">
        <f ca="1">T_Facebook_Ads[[#This Row],[frequency]]*RANDBETWEEN(8,12)/10</f>
        <v>1.4279999999999999</v>
      </c>
      <c r="O56" s="3">
        <f t="shared" ca="1" si="6"/>
        <v>45116</v>
      </c>
      <c r="P56" s="4" t="s">
        <v>76</v>
      </c>
      <c r="Q56" s="4" t="s">
        <v>77</v>
      </c>
      <c r="R56" s="4" t="s">
        <v>78</v>
      </c>
      <c r="S56" s="4" t="s">
        <v>79</v>
      </c>
      <c r="T56" s="4">
        <f ca="1">ROUND(_Google_ads[[#This Row],[impressions]]*RANDBETWEEN(8,12)/10,0)</f>
        <v>24110</v>
      </c>
      <c r="U56" s="4">
        <f ca="1">ROUND(_Google_ads[[#This Row],[clicks]]*RANDBETWEEN(8,12)/10,0)</f>
        <v>1747</v>
      </c>
      <c r="V56" s="4">
        <f ca="1">_Google_ads[[#This Row],[cost]]*RANDBETWEEN(8,12)/10</f>
        <v>306.78999999999996</v>
      </c>
      <c r="W56" s="4">
        <f ca="1">ROUND(_Google_ads[[#This Row],[conversions]]*RANDBETWEEN(8,12)/10,0)</f>
        <v>49</v>
      </c>
      <c r="X56" s="4">
        <f ca="1">ROUND(_Google_ads[[#This Row],[conversion_value]]*RANDBETWEEN(8,12)/10,0)</f>
        <v>3240</v>
      </c>
      <c r="Y56" s="4">
        <f ca="1">_Google_ads[[#This Row],[ctr]]*RANDBETWEEN(8,12)/10</f>
        <v>5.439999999999999E-2</v>
      </c>
      <c r="Z56" s="4">
        <f ca="1">_Google_ads[[#This Row],[avg_cpc]]*RANDBETWEEN(8,12)/10</f>
        <v>0.19</v>
      </c>
      <c r="AA56" s="4">
        <f ca="1">ROUND(_Google_ads[[#This Row],[quality_score]]*RANDBETWEEN(8,12)/10,0)</f>
        <v>9</v>
      </c>
      <c r="AB56" s="4">
        <f ca="1">_Google_ads[[#This Row],[search_impression_share]]*RANDBETWEEN(8,12)/10</f>
        <v>1.1160000000000001</v>
      </c>
      <c r="AD56" s="3">
        <f t="shared" ca="1" si="7"/>
        <v>45130</v>
      </c>
      <c r="AE56" s="4" t="s">
        <v>100</v>
      </c>
      <c r="AF56" s="4" t="s">
        <v>101</v>
      </c>
      <c r="AG56" s="4" t="s">
        <v>102</v>
      </c>
      <c r="AH56" s="4" t="s">
        <v>103</v>
      </c>
      <c r="AI56" s="4">
        <f ca="1">ROUND(T_Tiktok_ads[[#This Row],[impressions]]*RANDBETWEEN(8,12)/10,0)</f>
        <v>361481</v>
      </c>
      <c r="AJ56" s="4">
        <f ca="1">ROUND(T_Tiktok_ads[[#This Row],[clicks]]*RANDBETWEEN(8,12)/10,0)</f>
        <v>4010</v>
      </c>
      <c r="AK56" s="4">
        <v>589.9</v>
      </c>
      <c r="AL56" s="4">
        <f ca="1">ROUND(T_Tiktok_ads[[#This Row],[conversions]]*RANDBETWEEN(8,12)/10,0)</f>
        <v>51</v>
      </c>
      <c r="AM56" s="4">
        <f ca="1">ROUND(T_Tiktok_ads[[#This Row],[video_views]]*RANDBETWEEN(8,12)/10,0)</f>
        <v>221110</v>
      </c>
      <c r="AN56" s="4">
        <f ca="1">ROUND(T_Tiktok_ads[[#This Row],[video_watch_25]]*RANDBETWEEN(8,12)/10,0)</f>
        <v>172111</v>
      </c>
      <c r="AO56" s="4">
        <f ca="1">ROUND(T_Tiktok_ads[[#This Row],[video_watch_50]]*RANDBETWEEN(8,12)/10,0)</f>
        <v>119234</v>
      </c>
      <c r="AP56" s="4">
        <f ca="1">ROUND(T_Tiktok_ads[[#This Row],[video_watch_75]]*RANDBETWEEN(8,12)/10,0)</f>
        <v>80234</v>
      </c>
      <c r="AQ56" s="4">
        <f ca="1">ROUND(T_Tiktok_ads[[#This Row],[video_watch_100]]*RANDBETWEEN(8,12)/10,0)</f>
        <v>64147</v>
      </c>
      <c r="AR56" s="4">
        <f ca="1">ROUND(T_Tiktok_ads[[#This Row],[likes]]*RANDBETWEEN(8,12)/10,0)</f>
        <v>9710</v>
      </c>
      <c r="AS56" s="4">
        <f ca="1">ROUND(T_Tiktok_ads[[#This Row],[shares]]*RANDBETWEEN(8,12)/10,0)</f>
        <v>2321</v>
      </c>
      <c r="AT56" s="4">
        <f ca="1">ROUND(T_Tiktok_ads[[#This Row],[comments]]*RANDBETWEEN(8,12)/10,0)</f>
        <v>620</v>
      </c>
      <c r="AV56" s="5">
        <f t="shared" ca="1" si="8"/>
        <v>45133</v>
      </c>
      <c r="AW56">
        <f t="shared" ca="1" si="4"/>
        <v>2</v>
      </c>
      <c r="AX56">
        <f ca="1">ROUND(T_Facebook_Ads11596367717579[[#This Row],[impressions]]*RANDBETWEEN(8,12)/10,0)</f>
        <v>37288</v>
      </c>
      <c r="AY56">
        <f ca="1">ROUND(T_Facebook_Ads11596367717579[[#This Row],[clicks]]*RANDBETWEEN(8,12)/10,0)</f>
        <v>1198</v>
      </c>
      <c r="AZ56">
        <f ca="1">T_Facebook_Ads11596367717579[[#This Row],[spend]]*RANDBETWEEN(8,12)/10</f>
        <v>182.76000000000002</v>
      </c>
      <c r="BA56">
        <f ca="1">ROUND(T_Facebook_Ads11596367717579[[#This Row],[conversions]]*RANDBETWEEN(8,12)/10,0)</f>
        <v>14</v>
      </c>
      <c r="BB56">
        <f ca="1">ROUND(T_Facebook_Ads11596367717579[[#This Row],[video_views]]*RANDBETWEEN(8,12)/10,0)</f>
        <v>10524</v>
      </c>
    </row>
    <row r="57" spans="1:54" ht="15.75" thickBot="1" x14ac:dyDescent="0.3">
      <c r="A57" s="3">
        <f t="shared" ca="1" si="5"/>
        <v>45131</v>
      </c>
      <c r="B57" s="4" t="s">
        <v>56</v>
      </c>
      <c r="C57" s="4" t="s">
        <v>57</v>
      </c>
      <c r="D57" s="4" t="s">
        <v>58</v>
      </c>
      <c r="E57" s="4" t="s">
        <v>59</v>
      </c>
      <c r="F57" s="4">
        <f ca="1">ROUND(T_Facebook_Ads[[#This Row],[impressions]]*RANDBETWEEN(8,12)/10,0)</f>
        <v>16757</v>
      </c>
      <c r="G57" s="4">
        <v>734</v>
      </c>
      <c r="H57" s="4">
        <f ca="1">T_Facebook_Ads[[#This Row],[spend]]*RANDBETWEEN(8,12)/10</f>
        <v>291.16999999999996</v>
      </c>
      <c r="I57" s="4">
        <f ca="1">ROUND(T_Facebook_Ads[[#This Row],[conversions]]*RANDBETWEEN(8,12)/10,0)</f>
        <v>46</v>
      </c>
      <c r="J57" s="4">
        <f ca="1">ROUND(T_Facebook_Ads[[#This Row],[video_views]]*RANDBETWEEN(8,12)/10,0)</f>
        <v>1510</v>
      </c>
      <c r="K57" s="4">
        <f ca="1">T_Facebook_Ads[[#This Row],[engagement_rate]]*RANDBETWEEN(8,12)/10</f>
        <v>4.3380000000000002E-2</v>
      </c>
      <c r="L57" s="4">
        <f ca="1">ROUND(T_Facebook_Ads[[#This Row],[reach]]*RANDBETWEEN(8,12)/10,0)</f>
        <v>9698</v>
      </c>
      <c r="M57" s="4">
        <f ca="1">T_Facebook_Ads[[#This Row],[frequency]]*RANDBETWEEN(8,12)/10</f>
        <v>1.008</v>
      </c>
      <c r="O57" s="3">
        <f t="shared" ca="1" si="6"/>
        <v>45116</v>
      </c>
      <c r="P57" s="4" t="s">
        <v>80</v>
      </c>
      <c r="Q57" s="4" t="s">
        <v>81</v>
      </c>
      <c r="R57" s="4" t="s">
        <v>82</v>
      </c>
      <c r="S57" s="4" t="s">
        <v>83</v>
      </c>
      <c r="T57" s="4">
        <f ca="1">ROUND(_Google_ads[[#This Row],[impressions]]*RANDBETWEEN(8,12)/10,0)</f>
        <v>42511</v>
      </c>
      <c r="U57" s="4">
        <f ca="1">ROUND(_Google_ads[[#This Row],[clicks]]*RANDBETWEEN(8,12)/10,0)</f>
        <v>967</v>
      </c>
      <c r="V57" s="4">
        <f ca="1">_Google_ads[[#This Row],[cost]]*RANDBETWEEN(8,12)/10</f>
        <v>666.16000000000008</v>
      </c>
      <c r="W57" s="4">
        <f ca="1">ROUND(_Google_ads[[#This Row],[conversions]]*RANDBETWEEN(8,12)/10,0)</f>
        <v>28</v>
      </c>
      <c r="X57" s="4">
        <f ca="1">ROUND(_Google_ads[[#This Row],[conversion_value]]*RANDBETWEEN(8,12)/10,0)</f>
        <v>1000</v>
      </c>
      <c r="Y57" s="4">
        <f ca="1">_Google_ads[[#This Row],[ctr]]*RANDBETWEEN(8,12)/10</f>
        <v>1.6400000000000001E-2</v>
      </c>
      <c r="Z57" s="4">
        <f ca="1">_Google_ads[[#This Row],[avg_cpc]]*RANDBETWEEN(8,12)/10</f>
        <v>0.63</v>
      </c>
      <c r="AA57" s="4">
        <f ca="1">ROUND(_Google_ads[[#This Row],[quality_score]]*RANDBETWEEN(8,12)/10,0)</f>
        <v>8</v>
      </c>
      <c r="AB57" s="4">
        <f ca="1">_Google_ads[[#This Row],[search_impression_share]]*RANDBETWEEN(8,12)/10</f>
        <v>0.36799999999999999</v>
      </c>
      <c r="AD57" s="3">
        <f t="shared" ca="1" si="7"/>
        <v>45127</v>
      </c>
      <c r="AE57" s="4" t="s">
        <v>104</v>
      </c>
      <c r="AF57" s="4" t="s">
        <v>105</v>
      </c>
      <c r="AG57" s="4" t="s">
        <v>106</v>
      </c>
      <c r="AH57" s="4" t="s">
        <v>107</v>
      </c>
      <c r="AI57" s="4">
        <f ca="1">ROUND(T_Tiktok_ads[[#This Row],[impressions]]*RANDBETWEEN(8,12)/10,0)</f>
        <v>151101</v>
      </c>
      <c r="AJ57" s="4">
        <f ca="1">ROUND(T_Tiktok_ads[[#This Row],[clicks]]*RANDBETWEEN(8,12)/10,0)</f>
        <v>3234</v>
      </c>
      <c r="AK57" s="4">
        <v>845.6</v>
      </c>
      <c r="AL57" s="4">
        <f ca="1">ROUND(T_Tiktok_ads[[#This Row],[conversions]]*RANDBETWEEN(8,12)/10,0)</f>
        <v>94</v>
      </c>
      <c r="AM57" s="4">
        <f ca="1">ROUND(T_Tiktok_ads[[#This Row],[video_views]]*RANDBETWEEN(8,12)/10,0)</f>
        <v>129679</v>
      </c>
      <c r="AN57" s="4">
        <f ca="1">ROUND(T_Tiktok_ads[[#This Row],[video_watch_25]]*RANDBETWEEN(8,12)/10,0)</f>
        <v>69787</v>
      </c>
      <c r="AO57" s="4">
        <f ca="1">ROUND(T_Tiktok_ads[[#This Row],[video_watch_50]]*RANDBETWEEN(8,12)/10,0)</f>
        <v>64791</v>
      </c>
      <c r="AP57" s="4">
        <f ca="1">ROUND(T_Tiktok_ads[[#This Row],[video_watch_75]]*RANDBETWEEN(8,12)/10,0)</f>
        <v>39811</v>
      </c>
      <c r="AQ57" s="4">
        <f ca="1">ROUND(T_Tiktok_ads[[#This Row],[video_watch_100]]*RANDBETWEEN(8,12)/10,0)</f>
        <v>35480</v>
      </c>
      <c r="AR57" s="4">
        <f ca="1">ROUND(T_Tiktok_ads[[#This Row],[likes]]*RANDBETWEEN(8,12)/10,0)</f>
        <v>6814</v>
      </c>
      <c r="AS57" s="4">
        <f ca="1">ROUND(T_Tiktok_ads[[#This Row],[shares]]*RANDBETWEEN(8,12)/10,0)</f>
        <v>1797</v>
      </c>
      <c r="AT57" s="4">
        <f ca="1">ROUND(T_Tiktok_ads[[#This Row],[comments]]*RANDBETWEEN(8,12)/10,0)</f>
        <v>343</v>
      </c>
      <c r="AV57" s="5">
        <f t="shared" ca="1" si="8"/>
        <v>45123</v>
      </c>
      <c r="AW57">
        <f t="shared" ca="1" si="4"/>
        <v>3</v>
      </c>
      <c r="AX57">
        <f ca="1">ROUND(T_Facebook_Ads11596367717579[[#This Row],[impressions]]*RANDBETWEEN(8,12)/10,0)</f>
        <v>18433</v>
      </c>
      <c r="AY57">
        <f ca="1">ROUND(T_Facebook_Ads11596367717579[[#This Row],[clicks]]*RANDBETWEEN(8,12)/10,0)</f>
        <v>807</v>
      </c>
      <c r="AZ57">
        <f ca="1">T_Facebook_Ads11596367717579[[#This Row],[spend]]*RANDBETWEEN(8,12)/10</f>
        <v>262.053</v>
      </c>
      <c r="BA57">
        <f ca="1">ROUND(T_Facebook_Ads11596367717579[[#This Row],[conversions]]*RANDBETWEEN(8,12)/10,0)</f>
        <v>41</v>
      </c>
      <c r="BB57">
        <f ca="1">ROUND(T_Facebook_Ads11596367717579[[#This Row],[video_views]]*RANDBETWEEN(8,12)/10,0)</f>
        <v>1359</v>
      </c>
    </row>
    <row r="58" spans="1:54" ht="15.75" thickBot="1" x14ac:dyDescent="0.3">
      <c r="A58" s="3">
        <f t="shared" ca="1" si="5"/>
        <v>45112</v>
      </c>
      <c r="B58" s="4" t="s">
        <v>60</v>
      </c>
      <c r="C58" s="4" t="s">
        <v>61</v>
      </c>
      <c r="D58" s="4" t="s">
        <v>62</v>
      </c>
      <c r="E58" s="4" t="s">
        <v>63</v>
      </c>
      <c r="F58" s="4">
        <f ca="1">ROUND(T_Facebook_Ads[[#This Row],[impressions]]*RANDBETWEEN(8,12)/10,0)</f>
        <v>36111</v>
      </c>
      <c r="G58" s="4">
        <v>1534</v>
      </c>
      <c r="H58" s="4">
        <f ca="1">T_Facebook_Ads[[#This Row],[spend]]*RANDBETWEEN(8,12)/10</f>
        <v>232.8</v>
      </c>
      <c r="I58" s="4">
        <f ca="1">ROUND(T_Facebook_Ads[[#This Row],[conversions]]*RANDBETWEEN(8,12)/10,0)</f>
        <v>36</v>
      </c>
      <c r="J58" s="4">
        <f ca="1">ROUND(T_Facebook_Ads[[#This Row],[video_views]]*RANDBETWEEN(8,12)/10,0)</f>
        <v>6002</v>
      </c>
      <c r="K58" s="4">
        <f ca="1">T_Facebook_Ads[[#This Row],[engagement_rate]]*RANDBETWEEN(8,12)/10</f>
        <v>3.4380000000000001E-2</v>
      </c>
      <c r="L58" s="4">
        <f ca="1">ROUND(T_Facebook_Ads[[#This Row],[reach]]*RANDBETWEEN(8,12)/10,0)</f>
        <v>32890</v>
      </c>
      <c r="M58" s="4">
        <f ca="1">T_Facebook_Ads[[#This Row],[frequency]]*RANDBETWEEN(8,12)/10</f>
        <v>1.3420000000000001</v>
      </c>
      <c r="O58" s="3">
        <f t="shared" ca="1" si="6"/>
        <v>45138</v>
      </c>
      <c r="P58" s="4" t="s">
        <v>84</v>
      </c>
      <c r="Q58" s="4" t="s">
        <v>85</v>
      </c>
      <c r="R58" s="4" t="s">
        <v>86</v>
      </c>
      <c r="S58" s="4" t="s">
        <v>87</v>
      </c>
      <c r="T58" s="4">
        <f ca="1">ROUND(_Google_ads[[#This Row],[impressions]]*RANDBETWEEN(8,12)/10,0)</f>
        <v>79702</v>
      </c>
      <c r="U58" s="4">
        <f ca="1">ROUND(_Google_ads[[#This Row],[clicks]]*RANDBETWEEN(8,12)/10,0)</f>
        <v>2987</v>
      </c>
      <c r="V58" s="4">
        <f ca="1">_Google_ads[[#This Row],[cost]]*RANDBETWEEN(8,12)/10</f>
        <v>540.83999999999992</v>
      </c>
      <c r="W58" s="4">
        <f ca="1">ROUND(_Google_ads[[#This Row],[conversions]]*RANDBETWEEN(8,12)/10,0)</f>
        <v>65</v>
      </c>
      <c r="X58" s="4">
        <f ca="1">ROUND(_Google_ads[[#This Row],[conversion_value]]*RANDBETWEEN(8,12)/10,0)</f>
        <v>2880</v>
      </c>
      <c r="Y58" s="4">
        <f ca="1">_Google_ads[[#This Row],[ctr]]*RANDBETWEEN(8,12)/10</f>
        <v>2.7519999999999999E-2</v>
      </c>
      <c r="Z58" s="4">
        <f ca="1">_Google_ads[[#This Row],[avg_cpc]]*RANDBETWEEN(8,12)/10</f>
        <v>0.14399999999999999</v>
      </c>
      <c r="AA58" s="4">
        <f ca="1">ROUND(_Google_ads[[#This Row],[quality_score]]*RANDBETWEEN(8,12)/10,0)</f>
        <v>10</v>
      </c>
      <c r="AB58" s="4">
        <f ca="1">_Google_ads[[#This Row],[search_impression_share]]*RANDBETWEEN(8,12)/10</f>
        <v>0.68</v>
      </c>
      <c r="AD58" s="3">
        <f t="shared" ca="1" si="7"/>
        <v>45129</v>
      </c>
      <c r="AE58" s="4" t="s">
        <v>108</v>
      </c>
      <c r="AF58" s="4" t="s">
        <v>109</v>
      </c>
      <c r="AG58" s="4" t="s">
        <v>110</v>
      </c>
      <c r="AH58" s="4" t="s">
        <v>111</v>
      </c>
      <c r="AI58" s="4">
        <f ca="1">ROUND(T_Tiktok_ads[[#This Row],[impressions]]*RANDBETWEEN(8,12)/10,0)</f>
        <v>256789</v>
      </c>
      <c r="AJ58" s="4">
        <f ca="1">ROUND(T_Tiktok_ads[[#This Row],[clicks]]*RANDBETWEEN(8,12)/10,0)</f>
        <v>4814</v>
      </c>
      <c r="AK58" s="4">
        <v>489.2</v>
      </c>
      <c r="AL58" s="4">
        <f ca="1">ROUND(T_Tiktok_ads[[#This Row],[conversions]]*RANDBETWEEN(8,12)/10,0)</f>
        <v>43</v>
      </c>
      <c r="AM58" s="4">
        <f ca="1">ROUND(T_Tiktok_ads[[#This Row],[video_views]]*RANDBETWEEN(8,12)/10,0)</f>
        <v>181111</v>
      </c>
      <c r="AN58" s="4">
        <f ca="1">ROUND(T_Tiktok_ads[[#This Row],[video_watch_25]]*RANDBETWEEN(8,12)/10,0)</f>
        <v>167580</v>
      </c>
      <c r="AO58" s="4">
        <f ca="1">ROUND(T_Tiktok_ads[[#This Row],[video_watch_50]]*RANDBETWEEN(8,12)/10,0)</f>
        <v>144547</v>
      </c>
      <c r="AP58" s="4">
        <f ca="1">ROUND(T_Tiktok_ads[[#This Row],[video_watch_75]]*RANDBETWEEN(8,12)/10,0)</f>
        <v>93468</v>
      </c>
      <c r="AQ58" s="4">
        <f ca="1">ROUND(T_Tiktok_ads[[#This Row],[video_watch_100]]*RANDBETWEEN(8,12)/10,0)</f>
        <v>47234</v>
      </c>
      <c r="AR58" s="4">
        <f ca="1">ROUND(T_Tiktok_ads[[#This Row],[likes]]*RANDBETWEEN(8,12)/10,0)</f>
        <v>8901</v>
      </c>
      <c r="AS58" s="4">
        <f ca="1">ROUND(T_Tiktok_ads[[#This Row],[shares]]*RANDBETWEEN(8,12)/10,0)</f>
        <v>2210</v>
      </c>
      <c r="AT58" s="4">
        <f ca="1">ROUND(T_Tiktok_ads[[#This Row],[comments]]*RANDBETWEEN(8,12)/10,0)</f>
        <v>530</v>
      </c>
      <c r="AV58" s="5">
        <f t="shared" ca="1" si="8"/>
        <v>45118</v>
      </c>
      <c r="AW58">
        <f t="shared" ca="1" si="4"/>
        <v>7</v>
      </c>
      <c r="AX58">
        <f ca="1">ROUND(T_Facebook_Ads11596367717579[[#This Row],[impressions]]*RANDBETWEEN(8,12)/10,0)</f>
        <v>43333</v>
      </c>
      <c r="AY58">
        <f ca="1">ROUND(T_Facebook_Ads11596367717579[[#This Row],[clicks]]*RANDBETWEEN(8,12)/10,0)</f>
        <v>1687</v>
      </c>
      <c r="AZ58">
        <f ca="1">T_Facebook_Ads11596367717579[[#This Row],[spend]]*RANDBETWEEN(8,12)/10</f>
        <v>209.52000000000004</v>
      </c>
      <c r="BA58">
        <f ca="1">ROUND(T_Facebook_Ads11596367717579[[#This Row],[conversions]]*RANDBETWEEN(8,12)/10,0)</f>
        <v>43</v>
      </c>
      <c r="BB58">
        <f ca="1">ROUND(T_Facebook_Ads11596367717579[[#This Row],[video_views]]*RANDBETWEEN(8,12)/10,0)</f>
        <v>6002</v>
      </c>
    </row>
    <row r="59" spans="1:54" ht="15.75" thickBot="1" x14ac:dyDescent="0.3">
      <c r="A59" s="3">
        <f t="shared" ca="1" si="5"/>
        <v>45124</v>
      </c>
      <c r="B59" s="4" t="s">
        <v>64</v>
      </c>
      <c r="C59" s="4" t="s">
        <v>65</v>
      </c>
      <c r="D59" s="4" t="s">
        <v>66</v>
      </c>
      <c r="E59" s="4" t="s">
        <v>67</v>
      </c>
      <c r="F59" s="4">
        <f ca="1">ROUND(T_Facebook_Ads[[#This Row],[impressions]]*RANDBETWEEN(8,12)/10,0)</f>
        <v>60712</v>
      </c>
      <c r="G59" s="4">
        <v>278</v>
      </c>
      <c r="H59" s="4">
        <f ca="1">T_Facebook_Ads[[#This Row],[spend]]*RANDBETWEEN(8,12)/10</f>
        <v>108.35</v>
      </c>
      <c r="I59" s="4">
        <f ca="1">ROUND(T_Facebook_Ads[[#This Row],[conversions]]*RANDBETWEEN(8,12)/10,0)</f>
        <v>7</v>
      </c>
      <c r="J59" s="4">
        <f ca="1">ROUND(T_Facebook_Ads[[#This Row],[video_views]]*RANDBETWEEN(8,12)/10,0)</f>
        <v>61481</v>
      </c>
      <c r="K59" s="4">
        <f ca="1">T_Facebook_Ads[[#This Row],[engagement_rate]]*RANDBETWEEN(8,12)/10</f>
        <v>3.3300000000000005E-3</v>
      </c>
      <c r="L59" s="4">
        <f ca="1">ROUND(T_Facebook_Ads[[#This Row],[reach]]*RANDBETWEEN(8,12)/10,0)</f>
        <v>61567</v>
      </c>
      <c r="M59" s="4">
        <f ca="1">T_Facebook_Ads[[#This Row],[frequency]]*RANDBETWEEN(8,12)/10</f>
        <v>0.98399999999999999</v>
      </c>
      <c r="O59" s="3">
        <f t="shared" ca="1" si="6"/>
        <v>45136</v>
      </c>
      <c r="P59" s="4" t="s">
        <v>88</v>
      </c>
      <c r="Q59" s="4" t="s">
        <v>89</v>
      </c>
      <c r="R59" s="4" t="s">
        <v>90</v>
      </c>
      <c r="S59" s="4" t="s">
        <v>59</v>
      </c>
      <c r="T59" s="4">
        <f ca="1">ROUND(_Google_ads[[#This Row],[impressions]]*RANDBETWEEN(8,12)/10,0)</f>
        <v>138901</v>
      </c>
      <c r="U59" s="4">
        <f ca="1">ROUND(_Google_ads[[#This Row],[clicks]]*RANDBETWEEN(8,12)/10,0)</f>
        <v>427</v>
      </c>
      <c r="V59" s="4">
        <f ca="1">_Google_ads[[#This Row],[cost]]*RANDBETWEEN(8,12)/10</f>
        <v>136.4</v>
      </c>
      <c r="W59" s="4">
        <f ca="1">ROUND(_Google_ads[[#This Row],[conversions]]*RANDBETWEEN(8,12)/10,0)</f>
        <v>15</v>
      </c>
      <c r="X59" s="4">
        <f ca="1">ROUND(_Google_ads[[#This Row],[conversion_value]]*RANDBETWEEN(8,12)/10,0)</f>
        <v>675</v>
      </c>
      <c r="Y59" s="4">
        <f ca="1">_Google_ads[[#This Row],[ctr]]*RANDBETWEEN(8,12)/10</f>
        <v>4.1799999999999997E-3</v>
      </c>
      <c r="Z59" s="4">
        <f ca="1">_Google_ads[[#This Row],[avg_cpc]]*RANDBETWEEN(8,12)/10</f>
        <v>0.28600000000000003</v>
      </c>
      <c r="AA59" s="4">
        <f ca="1">ROUND(_Google_ads[[#This Row],[quality_score]]*RANDBETWEEN(8,12)/10,0)</f>
        <v>7</v>
      </c>
      <c r="AB59" s="4">
        <f ca="1">_Google_ads[[#This Row],[search_impression_share]]*RANDBETWEEN(8,12)/10</f>
        <v>0.36</v>
      </c>
      <c r="AD59" s="3">
        <f t="shared" ca="1" si="7"/>
        <v>45129</v>
      </c>
      <c r="AE59" s="4" t="s">
        <v>112</v>
      </c>
      <c r="AF59" s="4" t="s">
        <v>113</v>
      </c>
      <c r="AG59" s="4" t="s">
        <v>114</v>
      </c>
      <c r="AH59" s="4" t="s">
        <v>115</v>
      </c>
      <c r="AI59" s="4">
        <f ca="1">ROUND(T_Tiktok_ads[[#This Row],[impressions]]*RANDBETWEEN(8,12)/10,0)</f>
        <v>445678</v>
      </c>
      <c r="AJ59" s="4">
        <f ca="1">ROUND(T_Tiktok_ads[[#This Row],[clicks]]*RANDBETWEEN(8,12)/10,0)</f>
        <v>5787</v>
      </c>
      <c r="AK59" s="4">
        <v>1123.5</v>
      </c>
      <c r="AL59" s="4">
        <f ca="1">ROUND(T_Tiktok_ads[[#This Row],[conversions]]*RANDBETWEEN(8,12)/10,0)</f>
        <v>124</v>
      </c>
      <c r="AM59" s="4">
        <f ca="1">ROUND(T_Tiktok_ads[[#This Row],[video_views]]*RANDBETWEEN(8,12)/10,0)</f>
        <v>303121</v>
      </c>
      <c r="AN59" s="4">
        <f ca="1">ROUND(T_Tiktok_ads[[#This Row],[video_watch_25]]*RANDBETWEEN(8,12)/10,0)</f>
        <v>335024</v>
      </c>
      <c r="AO59" s="4">
        <f ca="1">ROUND(T_Tiktok_ads[[#This Row],[video_watch_50]]*RANDBETWEEN(8,12)/10,0)</f>
        <v>194765</v>
      </c>
      <c r="AP59" s="4">
        <f ca="1">ROUND(T_Tiktok_ads[[#This Row],[video_watch_75]]*RANDBETWEEN(8,12)/10,0)</f>
        <v>137876</v>
      </c>
      <c r="AQ59" s="4">
        <f ca="1">ROUND(T_Tiktok_ads[[#This Row],[video_watch_100]]*RANDBETWEEN(8,12)/10,0)</f>
        <v>114567</v>
      </c>
      <c r="AR59" s="4">
        <f ca="1">ROUND(T_Tiktok_ads[[#This Row],[likes]]*RANDBETWEEN(8,12)/10,0)</f>
        <v>15654</v>
      </c>
      <c r="AS59" s="4">
        <f ca="1">ROUND(T_Tiktok_ads[[#This Row],[shares]]*RANDBETWEEN(8,12)/10,0)</f>
        <v>6814</v>
      </c>
      <c r="AT59" s="4">
        <f ca="1">ROUND(T_Tiktok_ads[[#This Row],[comments]]*RANDBETWEEN(8,12)/10,0)</f>
        <v>1254</v>
      </c>
      <c r="AV59" s="5">
        <f t="shared" ca="1" si="8"/>
        <v>45127</v>
      </c>
      <c r="AW59">
        <f t="shared" ca="1" si="4"/>
        <v>5</v>
      </c>
      <c r="AX59">
        <f ca="1">ROUND(T_Facebook_Ads11596367717579[[#This Row],[impressions]]*RANDBETWEEN(8,12)/10,0)</f>
        <v>66783</v>
      </c>
      <c r="AY59">
        <f ca="1">ROUND(T_Facebook_Ads11596367717579[[#This Row],[clicks]]*RANDBETWEEN(8,12)/10,0)</f>
        <v>250</v>
      </c>
      <c r="AZ59">
        <f ca="1">T_Facebook_Ads11596367717579[[#This Row],[spend]]*RANDBETWEEN(8,12)/10</f>
        <v>130.01999999999998</v>
      </c>
      <c r="BA59">
        <f ca="1">ROUND(T_Facebook_Ads11596367717579[[#This Row],[conversions]]*RANDBETWEEN(8,12)/10,0)</f>
        <v>8</v>
      </c>
      <c r="BB59">
        <f ca="1">ROUND(T_Facebook_Ads11596367717579[[#This Row],[video_views]]*RANDBETWEEN(8,12)/10,0)</f>
        <v>73777</v>
      </c>
    </row>
    <row r="60" spans="1:54" ht="15.75" thickBot="1" x14ac:dyDescent="0.3">
      <c r="A60" s="3">
        <f t="shared" ca="1" si="5"/>
        <v>45122</v>
      </c>
      <c r="B60" s="4" t="s">
        <v>52</v>
      </c>
      <c r="C60" s="4" t="s">
        <v>53</v>
      </c>
      <c r="D60" s="4" t="s">
        <v>54</v>
      </c>
      <c r="E60" s="4" t="s">
        <v>55</v>
      </c>
      <c r="F60" s="4">
        <f ca="1">ROUND(T_Facebook_Ads[[#This Row],[impressions]]*RANDBETWEEN(8,12)/10,0)</f>
        <v>49567</v>
      </c>
      <c r="G60" s="4">
        <v>1012</v>
      </c>
      <c r="H60" s="4">
        <f ca="1">T_Facebook_Ads[[#This Row],[spend]]*RANDBETWEEN(8,12)/10</f>
        <v>159.06</v>
      </c>
      <c r="I60" s="4">
        <f ca="1">ROUND(T_Facebook_Ads[[#This Row],[conversions]]*RANDBETWEEN(8,12)/10,0)</f>
        <v>14</v>
      </c>
      <c r="J60" s="4">
        <f ca="1">ROUND(T_Facebook_Ads[[#This Row],[video_views]]*RANDBETWEEN(8,12)/10,0)</f>
        <v>8211</v>
      </c>
      <c r="K60" s="4">
        <f ca="1">T_Facebook_Ads[[#This Row],[engagement_rate]]*RANDBETWEEN(8,12)/10</f>
        <v>2.4480000000000002E-2</v>
      </c>
      <c r="L60" s="4">
        <f ca="1">ROUND(T_Facebook_Ads[[#This Row],[reach]]*RANDBETWEEN(8,12)/10,0)</f>
        <v>41890</v>
      </c>
      <c r="M60" s="4">
        <f ca="1">T_Facebook_Ads[[#This Row],[frequency]]*RANDBETWEEN(8,12)/10</f>
        <v>1.4159999999999999</v>
      </c>
      <c r="O60" s="3">
        <f t="shared" ca="1" si="6"/>
        <v>45132</v>
      </c>
      <c r="P60" s="4" t="s">
        <v>76</v>
      </c>
      <c r="Q60" s="4" t="s">
        <v>77</v>
      </c>
      <c r="R60" s="4" t="s">
        <v>78</v>
      </c>
      <c r="S60" s="4" t="s">
        <v>79</v>
      </c>
      <c r="T60" s="4">
        <f ca="1">ROUND(_Google_ads[[#This Row],[impressions]]*RANDBETWEEN(8,12)/10,0)</f>
        <v>30947</v>
      </c>
      <c r="U60" s="4">
        <f ca="1">ROUND(_Google_ads[[#This Row],[clicks]]*RANDBETWEEN(8,12)/10,0)</f>
        <v>1389</v>
      </c>
      <c r="V60" s="4">
        <f ca="1">_Google_ads[[#This Row],[cost]]*RANDBETWEEN(8,12)/10</f>
        <v>238.67999999999998</v>
      </c>
      <c r="W60" s="4">
        <f ca="1">ROUND(_Google_ads[[#This Row],[conversions]]*RANDBETWEEN(8,12)/10,0)</f>
        <v>52</v>
      </c>
      <c r="X60" s="4">
        <f ca="1">ROUND(_Google_ads[[#This Row],[conversion_value]]*RANDBETWEEN(8,12)/10,0)</f>
        <v>2080</v>
      </c>
      <c r="Y60" s="4">
        <f ca="1">_Google_ads[[#This Row],[ctr]]*RANDBETWEEN(8,12)/10</f>
        <v>4.8420000000000005E-2</v>
      </c>
      <c r="Z60" s="4">
        <f ca="1">_Google_ads[[#This Row],[avg_cpc]]*RANDBETWEEN(8,12)/10</f>
        <v>0.20899999999999999</v>
      </c>
      <c r="AA60" s="4">
        <f ca="1">ROUND(_Google_ads[[#This Row],[quality_score]]*RANDBETWEEN(8,12)/10,0)</f>
        <v>9</v>
      </c>
      <c r="AB60" s="4">
        <f ca="1">_Google_ads[[#This Row],[search_impression_share]]*RANDBETWEEN(8,12)/10</f>
        <v>0.82800000000000007</v>
      </c>
      <c r="AD60" s="3">
        <f t="shared" ca="1" si="7"/>
        <v>45124</v>
      </c>
      <c r="AE60" s="4" t="s">
        <v>100</v>
      </c>
      <c r="AF60" s="4" t="s">
        <v>101</v>
      </c>
      <c r="AG60" s="4" t="s">
        <v>102</v>
      </c>
      <c r="AH60" s="4" t="s">
        <v>103</v>
      </c>
      <c r="AI60" s="4">
        <f ca="1">ROUND(T_Tiktok_ads[[#This Row],[impressions]]*RANDBETWEEN(8,12)/10,0)</f>
        <v>232098</v>
      </c>
      <c r="AJ60" s="4">
        <f ca="1">ROUND(T_Tiktok_ads[[#This Row],[clicks]]*RANDBETWEEN(8,12)/10,0)</f>
        <v>3351</v>
      </c>
      <c r="AK60" s="4">
        <v>567.79999999999995</v>
      </c>
      <c r="AL60" s="4">
        <f ca="1">ROUND(T_Tiktok_ads[[#This Row],[conversions]]*RANDBETWEEN(8,12)/10,0)</f>
        <v>44</v>
      </c>
      <c r="AM60" s="4">
        <f ca="1">ROUND(T_Tiktok_ads[[#This Row],[video_views]]*RANDBETWEEN(8,12)/10,0)</f>
        <v>213110</v>
      </c>
      <c r="AN60" s="4">
        <f ca="1">ROUND(T_Tiktok_ads[[#This Row],[video_watch_25]]*RANDBETWEEN(8,12)/10,0)</f>
        <v>221480</v>
      </c>
      <c r="AO60" s="4">
        <f ca="1">ROUND(T_Tiktok_ads[[#This Row],[video_watch_50]]*RANDBETWEEN(8,12)/10,0)</f>
        <v>115678</v>
      </c>
      <c r="AP60" s="4">
        <f ca="1">ROUND(T_Tiktok_ads[[#This Row],[video_watch_75]]*RANDBETWEEN(8,12)/10,0)</f>
        <v>78234</v>
      </c>
      <c r="AQ60" s="4">
        <f ca="1">ROUND(T_Tiktok_ads[[#This Row],[video_watch_100]]*RANDBETWEEN(8,12)/10,0)</f>
        <v>47111</v>
      </c>
      <c r="AR60" s="4">
        <f ca="1">ROUND(T_Tiktok_ads[[#This Row],[likes]]*RANDBETWEEN(8,12)/10,0)</f>
        <v>10456</v>
      </c>
      <c r="AS60" s="4">
        <f ca="1">ROUND(T_Tiktok_ads[[#This Row],[shares]]*RANDBETWEEN(8,12)/10,0)</f>
        <v>3093</v>
      </c>
      <c r="AT60" s="4">
        <f ca="1">ROUND(T_Tiktok_ads[[#This Row],[comments]]*RANDBETWEEN(8,12)/10,0)</f>
        <v>542</v>
      </c>
      <c r="AV60" s="5">
        <f t="shared" ca="1" si="8"/>
        <v>45120</v>
      </c>
      <c r="AW60">
        <f t="shared" ca="1" si="4"/>
        <v>1</v>
      </c>
      <c r="AX60">
        <f ca="1">ROUND(T_Facebook_Ads11596367717579[[#This Row],[impressions]]*RANDBETWEEN(8,12)/10,0)</f>
        <v>44610</v>
      </c>
      <c r="AY60">
        <f ca="1">ROUND(T_Facebook_Ads11596367717579[[#This Row],[clicks]]*RANDBETWEEN(8,12)/10,0)</f>
        <v>1214</v>
      </c>
      <c r="AZ60">
        <f ca="1">T_Facebook_Ads11596367717579[[#This Row],[spend]]*RANDBETWEEN(8,12)/10</f>
        <v>143.154</v>
      </c>
      <c r="BA60">
        <f ca="1">ROUND(T_Facebook_Ads11596367717579[[#This Row],[conversions]]*RANDBETWEEN(8,12)/10,0)</f>
        <v>14</v>
      </c>
      <c r="BB60">
        <f ca="1">ROUND(T_Facebook_Ads11596367717579[[#This Row],[video_views]]*RANDBETWEEN(8,12)/10,0)</f>
        <v>7390</v>
      </c>
    </row>
    <row r="61" spans="1:54" ht="15.75" thickBot="1" x14ac:dyDescent="0.3">
      <c r="A61" s="3">
        <f t="shared" ca="1" si="5"/>
        <v>45111</v>
      </c>
      <c r="B61" s="4" t="s">
        <v>56</v>
      </c>
      <c r="C61" s="4" t="s">
        <v>57</v>
      </c>
      <c r="D61" s="4" t="s">
        <v>58</v>
      </c>
      <c r="E61" s="4" t="s">
        <v>59</v>
      </c>
      <c r="F61" s="4">
        <f ca="1">ROUND(T_Facebook_Ads[[#This Row],[impressions]]*RANDBETWEEN(8,12)/10,0)</f>
        <v>14567</v>
      </c>
      <c r="G61" s="4">
        <v>689</v>
      </c>
      <c r="H61" s="4">
        <f ca="1">T_Facebook_Ads[[#This Row],[spend]]*RANDBETWEEN(8,12)/10</f>
        <v>304.08000000000004</v>
      </c>
      <c r="I61" s="4">
        <f ca="1">ROUND(T_Facebook_Ads[[#This Row],[conversions]]*RANDBETWEEN(8,12)/10,0)</f>
        <v>43</v>
      </c>
      <c r="J61" s="4">
        <f ca="1">ROUND(T_Facebook_Ads[[#This Row],[video_views]]*RANDBETWEEN(8,12)/10,0)</f>
        <v>1489</v>
      </c>
      <c r="K61" s="4">
        <f ca="1">T_Facebook_Ads[[#This Row],[engagement_rate]]*RANDBETWEEN(8,12)/10</f>
        <v>4.2570000000000004E-2</v>
      </c>
      <c r="L61" s="4">
        <f ca="1">ROUND(T_Facebook_Ads[[#This Row],[reach]]*RANDBETWEEN(8,12)/10,0)</f>
        <v>12724</v>
      </c>
      <c r="M61" s="4">
        <f ca="1">T_Facebook_Ads[[#This Row],[frequency]]*RANDBETWEEN(8,12)/10</f>
        <v>1.1339999999999999</v>
      </c>
      <c r="O61" s="3">
        <f t="shared" ca="1" si="6"/>
        <v>45120</v>
      </c>
      <c r="P61" s="4" t="s">
        <v>80</v>
      </c>
      <c r="Q61" s="4" t="s">
        <v>81</v>
      </c>
      <c r="R61" s="4" t="s">
        <v>82</v>
      </c>
      <c r="S61" s="4" t="s">
        <v>83</v>
      </c>
      <c r="T61" s="4">
        <f ca="1">ROUND(_Google_ads[[#This Row],[impressions]]*RANDBETWEEN(8,12)/10,0)</f>
        <v>41511</v>
      </c>
      <c r="U61" s="4">
        <f ca="1">ROUND(_Google_ads[[#This Row],[clicks]]*RANDBETWEEN(8,12)/10,0)</f>
        <v>923</v>
      </c>
      <c r="V61" s="4">
        <f ca="1">_Google_ads[[#This Row],[cost]]*RANDBETWEEN(8,12)/10</f>
        <v>472.23999999999995</v>
      </c>
      <c r="W61" s="4">
        <f ca="1">ROUND(_Google_ads[[#This Row],[conversions]]*RANDBETWEEN(8,12)/10,0)</f>
        <v>24</v>
      </c>
      <c r="X61" s="4">
        <f ca="1">ROUND(_Google_ads[[#This Row],[conversion_value]]*RANDBETWEEN(8,12)/10,0)</f>
        <v>1440</v>
      </c>
      <c r="Y61" s="4">
        <f ca="1">_Google_ads[[#This Row],[ctr]]*RANDBETWEEN(8,12)/10</f>
        <v>0.02</v>
      </c>
      <c r="Z61" s="4">
        <f ca="1">_Google_ads[[#This Row],[avg_cpc]]*RANDBETWEEN(8,12)/10</f>
        <v>0.51200000000000001</v>
      </c>
      <c r="AA61" s="4">
        <f ca="1">ROUND(_Google_ads[[#This Row],[quality_score]]*RANDBETWEEN(8,12)/10,0)</f>
        <v>7</v>
      </c>
      <c r="AB61" s="4">
        <f ca="1">_Google_ads[[#This Row],[search_impression_share]]*RANDBETWEEN(8,12)/10</f>
        <v>0.36</v>
      </c>
      <c r="AD61" s="3">
        <f t="shared" ca="1" si="7"/>
        <v>45136</v>
      </c>
      <c r="AE61" s="4" t="s">
        <v>104</v>
      </c>
      <c r="AF61" s="4" t="s">
        <v>105</v>
      </c>
      <c r="AG61" s="4" t="s">
        <v>106</v>
      </c>
      <c r="AH61" s="4" t="s">
        <v>107</v>
      </c>
      <c r="AI61" s="4">
        <f ca="1">ROUND(T_Tiktok_ads[[#This Row],[impressions]]*RANDBETWEEN(8,12)/10,0)</f>
        <v>145111</v>
      </c>
      <c r="AJ61" s="4">
        <f ca="1">ROUND(T_Tiktok_ads[[#This Row],[clicks]]*RANDBETWEEN(8,12)/10,0)</f>
        <v>3089</v>
      </c>
      <c r="AK61" s="4">
        <v>823.7</v>
      </c>
      <c r="AL61" s="4">
        <f ca="1">ROUND(T_Tiktok_ads[[#This Row],[conversions]]*RANDBETWEEN(8,12)/10,0)</f>
        <v>91</v>
      </c>
      <c r="AM61" s="4">
        <f ca="1">ROUND(T_Tiktok_ads[[#This Row],[video_views]]*RANDBETWEEN(8,12)/10,0)</f>
        <v>102110</v>
      </c>
      <c r="AN61" s="4">
        <f ca="1">ROUND(T_Tiktok_ads[[#This Row],[video_watch_25]]*RANDBETWEEN(8,12)/10,0)</f>
        <v>75210</v>
      </c>
      <c r="AO61" s="4">
        <f ca="1">ROUND(T_Tiktok_ads[[#This Row],[video_watch_50]]*RANDBETWEEN(8,12)/10,0)</f>
        <v>56234</v>
      </c>
      <c r="AP61" s="4">
        <f ca="1">ROUND(T_Tiktok_ads[[#This Row],[video_watch_75]]*RANDBETWEEN(8,12)/10,0)</f>
        <v>50814</v>
      </c>
      <c r="AQ61" s="4">
        <f ca="1">ROUND(T_Tiktok_ads[[#This Row],[video_watch_100]]*RANDBETWEEN(8,12)/10,0)</f>
        <v>33881</v>
      </c>
      <c r="AR61" s="4">
        <f ca="1">ROUND(T_Tiktok_ads[[#This Row],[likes]]*RANDBETWEEN(8,12)/10,0)</f>
        <v>6075</v>
      </c>
      <c r="AS61" s="4">
        <f ca="1">ROUND(T_Tiktok_ads[[#This Row],[shares]]*RANDBETWEEN(8,12)/10,0)</f>
        <v>1271</v>
      </c>
      <c r="AT61" s="4">
        <f ca="1">ROUND(T_Tiktok_ads[[#This Row],[comments]]*RANDBETWEEN(8,12)/10,0)</f>
        <v>271</v>
      </c>
      <c r="AV61" s="5">
        <f t="shared" ca="1" si="8"/>
        <v>45136</v>
      </c>
      <c r="AW61">
        <f t="shared" ca="1" si="4"/>
        <v>5</v>
      </c>
      <c r="AX61">
        <f ca="1">ROUND(T_Facebook_Ads11596367717579[[#This Row],[impressions]]*RANDBETWEEN(8,12)/10,0)</f>
        <v>11654</v>
      </c>
      <c r="AY61">
        <f ca="1">ROUND(T_Facebook_Ads11596367717579[[#This Row],[clicks]]*RANDBETWEEN(8,12)/10,0)</f>
        <v>551</v>
      </c>
      <c r="AZ61">
        <f ca="1">T_Facebook_Ads11596367717579[[#This Row],[spend]]*RANDBETWEEN(8,12)/10</f>
        <v>304.08000000000004</v>
      </c>
      <c r="BA61">
        <f ca="1">ROUND(T_Facebook_Ads11596367717579[[#This Row],[conversions]]*RANDBETWEEN(8,12)/10,0)</f>
        <v>47</v>
      </c>
      <c r="BB61">
        <f ca="1">ROUND(T_Facebook_Ads11596367717579[[#This Row],[video_views]]*RANDBETWEEN(8,12)/10,0)</f>
        <v>1340</v>
      </c>
    </row>
    <row r="62" spans="1:54" ht="15.75" thickBot="1" x14ac:dyDescent="0.3">
      <c r="A62" s="3">
        <f t="shared" ca="1" si="5"/>
        <v>45135</v>
      </c>
      <c r="B62" s="4" t="s">
        <v>60</v>
      </c>
      <c r="C62" s="4" t="s">
        <v>61</v>
      </c>
      <c r="D62" s="4" t="s">
        <v>62</v>
      </c>
      <c r="E62" s="4" t="s">
        <v>63</v>
      </c>
      <c r="F62" s="4">
        <f ca="1">ROUND(T_Facebook_Ads[[#This Row],[impressions]]*RANDBETWEEN(8,12)/10,0)</f>
        <v>35011</v>
      </c>
      <c r="G62" s="4">
        <v>1456</v>
      </c>
      <c r="H62" s="4">
        <f ca="1">T_Facebook_Ads[[#This Row],[spend]]*RANDBETWEEN(8,12)/10</f>
        <v>246.95</v>
      </c>
      <c r="I62" s="4">
        <f ca="1">ROUND(T_Facebook_Ads[[#This Row],[conversions]]*RANDBETWEEN(8,12)/10,0)</f>
        <v>31</v>
      </c>
      <c r="J62" s="4">
        <f ca="1">ROUND(T_Facebook_Ads[[#This Row],[video_views]]*RANDBETWEEN(8,12)/10,0)</f>
        <v>5234</v>
      </c>
      <c r="K62" s="4">
        <f ca="1">T_Facebook_Ads[[#This Row],[engagement_rate]]*RANDBETWEEN(8,12)/10</f>
        <v>2.9920000000000002E-2</v>
      </c>
      <c r="L62" s="4">
        <f ca="1">ROUND(T_Facebook_Ads[[#This Row],[reach]]*RANDBETWEEN(8,12)/10,0)</f>
        <v>25165</v>
      </c>
      <c r="M62" s="4">
        <f ca="1">T_Facebook_Ads[[#This Row],[frequency]]*RANDBETWEEN(8,12)/10</f>
        <v>1.1160000000000001</v>
      </c>
      <c r="O62" s="3">
        <f t="shared" ca="1" si="6"/>
        <v>45108</v>
      </c>
      <c r="P62" s="4" t="s">
        <v>84</v>
      </c>
      <c r="Q62" s="4" t="s">
        <v>85</v>
      </c>
      <c r="R62" s="4" t="s">
        <v>86</v>
      </c>
      <c r="S62" s="4" t="s">
        <v>87</v>
      </c>
      <c r="T62" s="4">
        <f ca="1">ROUND(_Google_ads[[#This Row],[impressions]]*RANDBETWEEN(8,12)/10,0)</f>
        <v>64410</v>
      </c>
      <c r="U62" s="4">
        <f ca="1">ROUND(_Google_ads[[#This Row],[clicks]]*RANDBETWEEN(8,12)/10,0)</f>
        <v>1930</v>
      </c>
      <c r="V62" s="4">
        <f ca="1">_Google_ads[[#This Row],[cost]]*RANDBETWEEN(8,12)/10</f>
        <v>486.53000000000003</v>
      </c>
      <c r="W62" s="4">
        <f ca="1">ROUND(_Google_ads[[#This Row],[conversions]]*RANDBETWEEN(8,12)/10,0)</f>
        <v>84</v>
      </c>
      <c r="X62" s="4">
        <f ca="1">ROUND(_Google_ads[[#This Row],[conversion_value]]*RANDBETWEEN(8,12)/10,0)</f>
        <v>3500</v>
      </c>
      <c r="Y62" s="4">
        <f ca="1">_Google_ads[[#This Row],[ctr]]*RANDBETWEEN(8,12)/10</f>
        <v>3.3700000000000001E-2</v>
      </c>
      <c r="Z62" s="4">
        <f ca="1">_Google_ads[[#This Row],[avg_cpc]]*RANDBETWEEN(8,12)/10</f>
        <v>0.16199999999999998</v>
      </c>
      <c r="AA62" s="4">
        <f ca="1">ROUND(_Google_ads[[#This Row],[quality_score]]*RANDBETWEEN(8,12)/10,0)</f>
        <v>7</v>
      </c>
      <c r="AB62" s="4">
        <f ca="1">_Google_ads[[#This Row],[search_impression_share]]*RANDBETWEEN(8,12)/10</f>
        <v>0.54400000000000004</v>
      </c>
      <c r="AD62" s="3">
        <f t="shared" ca="1" si="7"/>
        <v>45117</v>
      </c>
      <c r="AE62" s="4" t="s">
        <v>108</v>
      </c>
      <c r="AF62" s="4" t="s">
        <v>109</v>
      </c>
      <c r="AG62" s="4" t="s">
        <v>110</v>
      </c>
      <c r="AH62" s="4" t="s">
        <v>111</v>
      </c>
      <c r="AI62" s="4">
        <f ca="1">ROUND(T_Tiktok_ads[[#This Row],[impressions]]*RANDBETWEEN(8,12)/10,0)</f>
        <v>273791</v>
      </c>
      <c r="AJ62" s="4">
        <f ca="1">ROUND(T_Tiktok_ads[[#This Row],[clicks]]*RANDBETWEEN(8,12)/10,0)</f>
        <v>3541</v>
      </c>
      <c r="AK62" s="4">
        <v>478.5</v>
      </c>
      <c r="AL62" s="4">
        <f ca="1">ROUND(T_Tiktok_ads[[#This Row],[conversions]]*RANDBETWEEN(8,12)/10,0)</f>
        <v>35</v>
      </c>
      <c r="AM62" s="4">
        <f ca="1">ROUND(T_Tiktok_ads[[#This Row],[video_views]]*RANDBETWEEN(8,12)/10,0)</f>
        <v>195234</v>
      </c>
      <c r="AN62" s="4">
        <f ca="1">ROUND(T_Tiktok_ads[[#This Row],[video_watch_25]]*RANDBETWEEN(8,12)/10,0)</f>
        <v>178681</v>
      </c>
      <c r="AO62" s="4">
        <f ca="1">ROUND(T_Tiktok_ads[[#This Row],[video_watch_50]]*RANDBETWEEN(8,12)/10,0)</f>
        <v>94312</v>
      </c>
      <c r="AP62" s="4">
        <f ca="1">ROUND(T_Tiktok_ads[[#This Row],[video_watch_75]]*RANDBETWEEN(8,12)/10,0)</f>
        <v>76234</v>
      </c>
      <c r="AQ62" s="4">
        <f ca="1">ROUND(T_Tiktok_ads[[#This Row],[video_watch_100]]*RANDBETWEEN(8,12)/10,0)</f>
        <v>41611</v>
      </c>
      <c r="AR62" s="4">
        <f ca="1">ROUND(T_Tiktok_ads[[#This Row],[likes]]*RANDBETWEEN(8,12)/10,0)</f>
        <v>7861</v>
      </c>
      <c r="AS62" s="4">
        <f ca="1">ROUND(T_Tiktok_ads[[#This Row],[shares]]*RANDBETWEEN(8,12)/10,0)</f>
        <v>1921</v>
      </c>
      <c r="AT62" s="4">
        <f ca="1">ROUND(T_Tiktok_ads[[#This Row],[comments]]*RANDBETWEEN(8,12)/10,0)</f>
        <v>636</v>
      </c>
      <c r="AV62" s="5">
        <f t="shared" ca="1" si="8"/>
        <v>45120</v>
      </c>
      <c r="AW62">
        <f t="shared" ca="1" si="4"/>
        <v>8</v>
      </c>
      <c r="AX62">
        <f ca="1">ROUND(T_Facebook_Ads11596367717579[[#This Row],[impressions]]*RANDBETWEEN(8,12)/10,0)</f>
        <v>28009</v>
      </c>
      <c r="AY62">
        <f ca="1">ROUND(T_Facebook_Ads11596367717579[[#This Row],[clicks]]*RANDBETWEEN(8,12)/10,0)</f>
        <v>1602</v>
      </c>
      <c r="AZ62">
        <f ca="1">T_Facebook_Ads11596367717579[[#This Row],[spend]]*RANDBETWEEN(8,12)/10</f>
        <v>222.25499999999997</v>
      </c>
      <c r="BA62">
        <f ca="1">ROUND(T_Facebook_Ads11596367717579[[#This Row],[conversions]]*RANDBETWEEN(8,12)/10,0)</f>
        <v>37</v>
      </c>
      <c r="BB62">
        <f ca="1">ROUND(T_Facebook_Ads11596367717579[[#This Row],[video_views]]*RANDBETWEEN(8,12)/10,0)</f>
        <v>6281</v>
      </c>
    </row>
    <row r="63" spans="1:54" ht="15.75" thickBot="1" x14ac:dyDescent="0.3">
      <c r="A63" s="3">
        <f t="shared" ca="1" si="5"/>
        <v>45128</v>
      </c>
      <c r="B63" s="4" t="s">
        <v>64</v>
      </c>
      <c r="C63" s="4" t="s">
        <v>65</v>
      </c>
      <c r="D63" s="4" t="s">
        <v>66</v>
      </c>
      <c r="E63" s="4" t="s">
        <v>67</v>
      </c>
      <c r="F63" s="4">
        <f ca="1">ROUND(T_Facebook_Ads[[#This Row],[impressions]]*RANDBETWEEN(8,12)/10,0)</f>
        <v>86814</v>
      </c>
      <c r="G63" s="4">
        <v>261</v>
      </c>
      <c r="H63" s="4">
        <f ca="1">T_Facebook_Ads[[#This Row],[spend]]*RANDBETWEEN(8,12)/10</f>
        <v>74.16</v>
      </c>
      <c r="I63" s="4">
        <f ca="1">ROUND(T_Facebook_Ads[[#This Row],[conversions]]*RANDBETWEEN(8,12)/10,0)</f>
        <v>7</v>
      </c>
      <c r="J63" s="4">
        <f ca="1">ROUND(T_Facebook_Ads[[#This Row],[video_views]]*RANDBETWEEN(8,12)/10,0)</f>
        <v>53424</v>
      </c>
      <c r="K63" s="4">
        <f ca="1">T_Facebook_Ads[[#This Row],[engagement_rate]]*RANDBETWEEN(8,12)/10</f>
        <v>2.8799999999999997E-3</v>
      </c>
      <c r="L63" s="4">
        <f ca="1">ROUND(T_Facebook_Ads[[#This Row],[reach]]*RANDBETWEEN(8,12)/10,0)</f>
        <v>52411</v>
      </c>
      <c r="M63" s="4">
        <f ca="1">T_Facebook_Ads[[#This Row],[frequency]]*RANDBETWEEN(8,12)/10</f>
        <v>1.1160000000000001</v>
      </c>
      <c r="O63" s="3">
        <f t="shared" ca="1" si="6"/>
        <v>45119</v>
      </c>
      <c r="P63" s="4" t="s">
        <v>88</v>
      </c>
      <c r="Q63" s="4" t="s">
        <v>89</v>
      </c>
      <c r="R63" s="4" t="s">
        <v>90</v>
      </c>
      <c r="S63" s="4" t="s">
        <v>59</v>
      </c>
      <c r="T63" s="4">
        <f ca="1">ROUND(_Google_ads[[#This Row],[impressions]]*RANDBETWEEN(8,12)/10,0)</f>
        <v>148757</v>
      </c>
      <c r="U63" s="4">
        <f ca="1">ROUND(_Google_ads[[#This Row],[clicks]]*RANDBETWEEN(8,12)/10,0)</f>
        <v>401</v>
      </c>
      <c r="V63" s="4">
        <f ca="1">_Google_ads[[#This Row],[cost]]*RANDBETWEEN(8,12)/10</f>
        <v>133.6</v>
      </c>
      <c r="W63" s="4">
        <f ca="1">ROUND(_Google_ads[[#This Row],[conversions]]*RANDBETWEEN(8,12)/10,0)</f>
        <v>15</v>
      </c>
      <c r="X63" s="4">
        <f ca="1">ROUND(_Google_ads[[#This Row],[conversion_value]]*RANDBETWEEN(8,12)/10,0)</f>
        <v>630</v>
      </c>
      <c r="Y63" s="4">
        <f ca="1">_Google_ads[[#This Row],[ctr]]*RANDBETWEEN(8,12)/10</f>
        <v>4.0699999999999998E-3</v>
      </c>
      <c r="Z63" s="4">
        <f ca="1">_Google_ads[[#This Row],[avg_cpc]]*RANDBETWEEN(8,12)/10</f>
        <v>0.21600000000000003</v>
      </c>
      <c r="AA63" s="4">
        <f ca="1">ROUND(_Google_ads[[#This Row],[quality_score]]*RANDBETWEEN(8,12)/10,0)</f>
        <v>6</v>
      </c>
      <c r="AB63" s="4">
        <f ca="1">_Google_ads[[#This Row],[search_impression_share]]*RANDBETWEEN(8,12)/10</f>
        <v>0.315</v>
      </c>
      <c r="AD63" s="3">
        <f t="shared" ca="1" si="7"/>
        <v>45133</v>
      </c>
      <c r="AE63" s="4" t="s">
        <v>112</v>
      </c>
      <c r="AF63" s="4" t="s">
        <v>113</v>
      </c>
      <c r="AG63" s="4" t="s">
        <v>114</v>
      </c>
      <c r="AH63" s="4" t="s">
        <v>115</v>
      </c>
      <c r="AI63" s="4">
        <f ca="1">ROUND(T_Tiktok_ads[[#This Row],[impressions]]*RANDBETWEEN(8,12)/10,0)</f>
        <v>434567</v>
      </c>
      <c r="AJ63" s="4">
        <f ca="1">ROUND(T_Tiktok_ads[[#This Row],[clicks]]*RANDBETWEEN(8,12)/10,0)</f>
        <v>8414</v>
      </c>
      <c r="AK63" s="4">
        <v>1089.3</v>
      </c>
      <c r="AL63" s="4">
        <f ca="1">ROUND(T_Tiktok_ads[[#This Row],[conversions]]*RANDBETWEEN(8,12)/10,0)</f>
        <v>131</v>
      </c>
      <c r="AM63" s="4">
        <f ca="1">ROUND(T_Tiktok_ads[[#This Row],[video_views]]*RANDBETWEEN(8,12)/10,0)</f>
        <v>367890</v>
      </c>
      <c r="AN63" s="4">
        <f ca="1">ROUND(T_Tiktok_ads[[#This Row],[video_watch_25]]*RANDBETWEEN(8,12)/10,0)</f>
        <v>236987</v>
      </c>
      <c r="AO63" s="4">
        <f ca="1">ROUND(T_Tiktok_ads[[#This Row],[video_watch_50]]*RANDBETWEEN(8,12)/10,0)</f>
        <v>261679</v>
      </c>
      <c r="AP63" s="4">
        <f ca="1">ROUND(T_Tiktok_ads[[#This Row],[video_watch_75]]*RANDBETWEEN(8,12)/10,0)</f>
        <v>168234</v>
      </c>
      <c r="AQ63" s="4">
        <f ca="1">ROUND(T_Tiktok_ads[[#This Row],[video_watch_100]]*RANDBETWEEN(8,12)/10,0)</f>
        <v>133481</v>
      </c>
      <c r="AR63" s="4">
        <f ca="1">ROUND(T_Tiktok_ads[[#This Row],[likes]]*RANDBETWEEN(8,12)/10,0)</f>
        <v>21157</v>
      </c>
      <c r="AS63" s="4">
        <f ca="1">ROUND(T_Tiktok_ads[[#This Row],[shares]]*RANDBETWEEN(8,12)/10,0)</f>
        <v>5534</v>
      </c>
      <c r="AT63" s="4">
        <f ca="1">ROUND(T_Tiktok_ads[[#This Row],[comments]]*RANDBETWEEN(8,12)/10,0)</f>
        <v>1675</v>
      </c>
      <c r="AV63" s="5">
        <f t="shared" ca="1" si="8"/>
        <v>45113</v>
      </c>
      <c r="AW63">
        <f t="shared" ca="1" si="4"/>
        <v>6</v>
      </c>
      <c r="AX63">
        <f ca="1">ROUND(T_Facebook_Ads11596367717579[[#This Row],[impressions]]*RANDBETWEEN(8,12)/10,0)</f>
        <v>69451</v>
      </c>
      <c r="AY63">
        <f ca="1">ROUND(T_Facebook_Ads11596367717579[[#This Row],[clicks]]*RANDBETWEEN(8,12)/10,0)</f>
        <v>235</v>
      </c>
      <c r="AZ63">
        <f ca="1">T_Facebook_Ads11596367717579[[#This Row],[spend]]*RANDBETWEEN(8,12)/10</f>
        <v>88.99199999999999</v>
      </c>
      <c r="BA63">
        <f ca="1">ROUND(T_Facebook_Ads11596367717579[[#This Row],[conversions]]*RANDBETWEEN(8,12)/10,0)</f>
        <v>6</v>
      </c>
      <c r="BB63">
        <f ca="1">ROUND(T_Facebook_Ads11596367717579[[#This Row],[video_views]]*RANDBETWEEN(8,12)/10,0)</f>
        <v>48082</v>
      </c>
    </row>
    <row r="64" spans="1:54" ht="15.75" thickBot="1" x14ac:dyDescent="0.3">
      <c r="A64" s="3">
        <f t="shared" ca="1" si="5"/>
        <v>45117</v>
      </c>
      <c r="B64" s="4" t="s">
        <v>52</v>
      </c>
      <c r="C64" s="4" t="s">
        <v>53</v>
      </c>
      <c r="D64" s="4" t="s">
        <v>54</v>
      </c>
      <c r="E64" s="4" t="s">
        <v>55</v>
      </c>
      <c r="F64" s="4">
        <f ca="1">ROUND(T_Facebook_Ads[[#This Row],[impressions]]*RANDBETWEEN(8,12)/10,0)</f>
        <v>47890</v>
      </c>
      <c r="G64" s="4">
        <v>967</v>
      </c>
      <c r="H64" s="4">
        <f ca="1">T_Facebook_Ads[[#This Row],[spend]]*RANDBETWEEN(8,12)/10</f>
        <v>152.24</v>
      </c>
      <c r="I64" s="4">
        <f ca="1">ROUND(T_Facebook_Ads[[#This Row],[conversions]]*RANDBETWEEN(8,12)/10,0)</f>
        <v>14</v>
      </c>
      <c r="J64" s="4">
        <f ca="1">ROUND(T_Facebook_Ads[[#This Row],[video_views]]*RANDBETWEEN(8,12)/10,0)</f>
        <v>8789</v>
      </c>
      <c r="K64" s="4">
        <f ca="1">T_Facebook_Ads[[#This Row],[engagement_rate]]*RANDBETWEEN(8,12)/10</f>
        <v>2.4240000000000001E-2</v>
      </c>
      <c r="L64" s="4">
        <f ca="1">ROUND(T_Facebook_Ads[[#This Row],[reach]]*RANDBETWEEN(8,12)/10,0)</f>
        <v>44257</v>
      </c>
      <c r="M64" s="4">
        <f ca="1">T_Facebook_Ads[[#This Row],[frequency]]*RANDBETWEEN(8,12)/10</f>
        <v>1.3089999999999999</v>
      </c>
      <c r="O64" s="3">
        <f t="shared" ca="1" si="6"/>
        <v>45133</v>
      </c>
      <c r="P64" s="4" t="s">
        <v>76</v>
      </c>
      <c r="Q64" s="4" t="s">
        <v>77</v>
      </c>
      <c r="R64" s="4" t="s">
        <v>78</v>
      </c>
      <c r="S64" s="4" t="s">
        <v>79</v>
      </c>
      <c r="T64" s="4">
        <f ca="1">ROUND(_Google_ads[[#This Row],[impressions]]*RANDBETWEEN(8,12)/10,0)</f>
        <v>27024</v>
      </c>
      <c r="U64" s="4">
        <f ca="1">ROUND(_Google_ads[[#This Row],[clicks]]*RANDBETWEEN(8,12)/10,0)</f>
        <v>1031</v>
      </c>
      <c r="V64" s="4">
        <f ca="1">_Google_ads[[#This Row],[cost]]*RANDBETWEEN(8,12)/10</f>
        <v>246.8</v>
      </c>
      <c r="W64" s="4">
        <f ca="1">ROUND(_Google_ads[[#This Row],[conversions]]*RANDBETWEEN(8,12)/10,0)</f>
        <v>38</v>
      </c>
      <c r="X64" s="4">
        <f ca="1">ROUND(_Google_ads[[#This Row],[conversion_value]]*RANDBETWEEN(8,12)/10,0)</f>
        <v>2880</v>
      </c>
      <c r="Y64" s="4">
        <f ca="1">_Google_ads[[#This Row],[ctr]]*RANDBETWEEN(8,12)/10</f>
        <v>5.7750000000000003E-2</v>
      </c>
      <c r="Z64" s="4">
        <f ca="1">_Google_ads[[#This Row],[avg_cpc]]*RANDBETWEEN(8,12)/10</f>
        <v>0.19</v>
      </c>
      <c r="AA64" s="4">
        <f ca="1">ROUND(_Google_ads[[#This Row],[quality_score]]*RANDBETWEEN(8,12)/10,0)</f>
        <v>8</v>
      </c>
      <c r="AB64" s="4">
        <f ca="1">_Google_ads[[#This Row],[search_impression_share]]*RANDBETWEEN(8,12)/10</f>
        <v>0.72799999999999998</v>
      </c>
      <c r="AD64" s="3">
        <f t="shared" ca="1" si="7"/>
        <v>45136</v>
      </c>
      <c r="AE64" s="4" t="s">
        <v>100</v>
      </c>
      <c r="AF64" s="4" t="s">
        <v>101</v>
      </c>
      <c r="AG64" s="4" t="s">
        <v>102</v>
      </c>
      <c r="AH64" s="4" t="s">
        <v>103</v>
      </c>
      <c r="AI64" s="4">
        <f ca="1">ROUND(T_Tiktok_ads[[#This Row],[impressions]]*RANDBETWEEN(8,12)/10,0)</f>
        <v>334681</v>
      </c>
      <c r="AJ64" s="4">
        <f ca="1">ROUND(T_Tiktok_ads[[#This Row],[clicks]]*RANDBETWEEN(8,12)/10,0)</f>
        <v>3298</v>
      </c>
      <c r="AK64" s="4">
        <v>545.6</v>
      </c>
      <c r="AL64" s="4">
        <f ca="1">ROUND(T_Tiktok_ads[[#This Row],[conversions]]*RANDBETWEEN(8,12)/10,0)</f>
        <v>42</v>
      </c>
      <c r="AM64" s="4">
        <f ca="1">ROUND(T_Tiktok_ads[[#This Row],[video_views]]*RANDBETWEEN(8,12)/10,0)</f>
        <v>183387</v>
      </c>
      <c r="AN64" s="4">
        <f ca="1">ROUND(T_Tiktok_ads[[#This Row],[video_watch_25]]*RANDBETWEEN(8,12)/10,0)</f>
        <v>161311</v>
      </c>
      <c r="AO64" s="4">
        <f ca="1">ROUND(T_Tiktok_ads[[#This Row],[video_watch_50]]*RANDBETWEEN(8,12)/10,0)</f>
        <v>89787</v>
      </c>
      <c r="AP64" s="4">
        <f ca="1">ROUND(T_Tiktok_ads[[#This Row],[video_watch_75]]*RANDBETWEEN(8,12)/10,0)</f>
        <v>90814</v>
      </c>
      <c r="AQ64" s="4">
        <f ca="1">ROUND(T_Tiktok_ads[[#This Row],[video_watch_100]]*RANDBETWEEN(8,12)/10,0)</f>
        <v>45211</v>
      </c>
      <c r="AR64" s="4">
        <f ca="1">ROUND(T_Tiktok_ads[[#This Row],[likes]]*RANDBETWEEN(8,12)/10,0)</f>
        <v>9111</v>
      </c>
      <c r="AS64" s="4">
        <f ca="1">ROUND(T_Tiktok_ads[[#This Row],[shares]]*RANDBETWEEN(8,12)/10,0)</f>
        <v>2441</v>
      </c>
      <c r="AT64" s="4">
        <f ca="1">ROUND(T_Tiktok_ads[[#This Row],[comments]]*RANDBETWEEN(8,12)/10,0)</f>
        <v>581</v>
      </c>
      <c r="AV64" s="5">
        <f t="shared" ca="1" si="8"/>
        <v>45127</v>
      </c>
      <c r="AW64">
        <f t="shared" ca="1" si="4"/>
        <v>6</v>
      </c>
      <c r="AX64">
        <f ca="1">ROUND(T_Facebook_Ads11596367717579[[#This Row],[impressions]]*RANDBETWEEN(8,12)/10,0)</f>
        <v>47890</v>
      </c>
      <c r="AY64">
        <f ca="1">ROUND(T_Facebook_Ads11596367717579[[#This Row],[clicks]]*RANDBETWEEN(8,12)/10,0)</f>
        <v>967</v>
      </c>
      <c r="AZ64">
        <f ca="1">T_Facebook_Ads11596367717579[[#This Row],[spend]]*RANDBETWEEN(8,12)/10</f>
        <v>167.464</v>
      </c>
      <c r="BA64">
        <f ca="1">ROUND(T_Facebook_Ads11596367717579[[#This Row],[conversions]]*RANDBETWEEN(8,12)/10,0)</f>
        <v>11</v>
      </c>
      <c r="BB64">
        <f ca="1">ROUND(T_Facebook_Ads11596367717579[[#This Row],[video_views]]*RANDBETWEEN(8,12)/10,0)</f>
        <v>9668</v>
      </c>
    </row>
    <row r="65" spans="1:54" ht="15.75" thickBot="1" x14ac:dyDescent="0.3">
      <c r="A65" s="3">
        <f t="shared" ca="1" si="5"/>
        <v>45138</v>
      </c>
      <c r="B65" s="4" t="s">
        <v>56</v>
      </c>
      <c r="C65" s="4" t="s">
        <v>57</v>
      </c>
      <c r="D65" s="4" t="s">
        <v>58</v>
      </c>
      <c r="E65" s="4" t="s">
        <v>59</v>
      </c>
      <c r="F65" s="4">
        <f ca="1">ROUND(T_Facebook_Ads[[#This Row],[impressions]]*RANDBETWEEN(8,12)/10,0)</f>
        <v>12501</v>
      </c>
      <c r="G65" s="4">
        <v>634</v>
      </c>
      <c r="H65" s="4">
        <f ca="1">T_Facebook_Ads[[#This Row],[spend]]*RANDBETWEEN(8,12)/10</f>
        <v>259.38</v>
      </c>
      <c r="I65" s="4">
        <f ca="1">ROUND(T_Facebook_Ads[[#This Row],[conversions]]*RANDBETWEEN(8,12)/10,0)</f>
        <v>40</v>
      </c>
      <c r="J65" s="4">
        <f ca="1">ROUND(T_Facebook_Ads[[#This Row],[video_views]]*RANDBETWEEN(8,12)/10,0)</f>
        <v>1240</v>
      </c>
      <c r="K65" s="4">
        <f ca="1">T_Facebook_Ads[[#This Row],[engagement_rate]]*RANDBETWEEN(8,12)/10</f>
        <v>5.484E-2</v>
      </c>
      <c r="L65" s="4">
        <f ca="1">ROUND(T_Facebook_Ads[[#This Row],[reach]]*RANDBETWEEN(8,12)/10,0)</f>
        <v>13068</v>
      </c>
      <c r="M65" s="4">
        <f ca="1">T_Facebook_Ads[[#This Row],[frequency]]*RANDBETWEEN(8,12)/10</f>
        <v>1.016</v>
      </c>
      <c r="O65" s="3">
        <f t="shared" ca="1" si="6"/>
        <v>45108</v>
      </c>
      <c r="P65" s="4" t="s">
        <v>80</v>
      </c>
      <c r="Q65" s="4" t="s">
        <v>81</v>
      </c>
      <c r="R65" s="4" t="s">
        <v>82</v>
      </c>
      <c r="S65" s="4" t="s">
        <v>83</v>
      </c>
      <c r="T65" s="4">
        <f ca="1">ROUND(_Google_ads[[#This Row],[impressions]]*RANDBETWEEN(8,12)/10,0)</f>
        <v>49379</v>
      </c>
      <c r="U65" s="4">
        <f ca="1">ROUND(_Google_ads[[#This Row],[clicks]]*RANDBETWEEN(8,12)/10,0)</f>
        <v>712</v>
      </c>
      <c r="V65" s="4">
        <f ca="1">_Google_ads[[#This Row],[cost]]*RANDBETWEEN(8,12)/10</f>
        <v>632.17000000000007</v>
      </c>
      <c r="W65" s="4">
        <f ca="1">ROUND(_Google_ads[[#This Row],[conversions]]*RANDBETWEEN(8,12)/10,0)</f>
        <v>25</v>
      </c>
      <c r="X65" s="4">
        <f ca="1">ROUND(_Google_ads[[#This Row],[conversion_value]]*RANDBETWEEN(8,12)/10,0)</f>
        <v>1380</v>
      </c>
      <c r="Y65" s="4">
        <f ca="1">_Google_ads[[#This Row],[ctr]]*RANDBETWEEN(8,12)/10</f>
        <v>1.7820000000000003E-2</v>
      </c>
      <c r="Z65" s="4">
        <f ca="1">_Google_ads[[#This Row],[avg_cpc]]*RANDBETWEEN(8,12)/10</f>
        <v>0.52</v>
      </c>
      <c r="AA65" s="4">
        <f ca="1">ROUND(_Google_ads[[#This Row],[quality_score]]*RANDBETWEEN(8,12)/10,0)</f>
        <v>8</v>
      </c>
      <c r="AB65" s="4">
        <f ca="1">_Google_ads[[#This Row],[search_impression_share]]*RANDBETWEEN(8,12)/10</f>
        <v>0.48399999999999999</v>
      </c>
      <c r="AD65" s="3">
        <f t="shared" ca="1" si="7"/>
        <v>45138</v>
      </c>
      <c r="AE65" s="4" t="s">
        <v>104</v>
      </c>
      <c r="AF65" s="4" t="s">
        <v>105</v>
      </c>
      <c r="AG65" s="4" t="s">
        <v>106</v>
      </c>
      <c r="AH65" s="4" t="s">
        <v>107</v>
      </c>
      <c r="AI65" s="4">
        <f ca="1">ROUND(T_Tiktok_ads[[#This Row],[impressions]]*RANDBETWEEN(8,12)/10,0)</f>
        <v>168802</v>
      </c>
      <c r="AJ65" s="4">
        <f ca="1">ROUND(T_Tiktok_ads[[#This Row],[clicks]]*RANDBETWEEN(8,12)/10,0)</f>
        <v>2945</v>
      </c>
      <c r="AK65" s="4">
        <v>789.2</v>
      </c>
      <c r="AL65" s="4">
        <f ca="1">ROUND(T_Tiktok_ads[[#This Row],[conversions]]*RANDBETWEEN(8,12)/10,0)</f>
        <v>63</v>
      </c>
      <c r="AM65" s="4">
        <f ca="1">ROUND(T_Tiktok_ads[[#This Row],[video_views]]*RANDBETWEEN(8,12)/10,0)</f>
        <v>86312</v>
      </c>
      <c r="AN65" s="4">
        <f ca="1">ROUND(T_Tiktok_ads[[#This Row],[video_watch_25]]*RANDBETWEEN(8,12)/10,0)</f>
        <v>71610</v>
      </c>
      <c r="AO65" s="4">
        <f ca="1">ROUND(T_Tiktok_ads[[#This Row],[video_watch_50]]*RANDBETWEEN(8,12)/10,0)</f>
        <v>64414</v>
      </c>
      <c r="AP65" s="4">
        <f ca="1">ROUND(T_Tiktok_ads[[#This Row],[video_watch_75]]*RANDBETWEEN(8,12)/10,0)</f>
        <v>32187</v>
      </c>
      <c r="AQ65" s="4">
        <f ca="1">ROUND(T_Tiktok_ads[[#This Row],[video_watch_100]]*RANDBETWEEN(8,12)/10,0)</f>
        <v>26890</v>
      </c>
      <c r="AR65" s="4">
        <f ca="1">ROUND(T_Tiktok_ads[[#This Row],[likes]]*RANDBETWEEN(8,12)/10,0)</f>
        <v>5234</v>
      </c>
      <c r="AS65" s="4">
        <f ca="1">ROUND(T_Tiktok_ads[[#This Row],[shares]]*RANDBETWEEN(8,12)/10,0)</f>
        <v>1456</v>
      </c>
      <c r="AT65" s="4">
        <f ca="1">ROUND(T_Tiktok_ads[[#This Row],[comments]]*RANDBETWEEN(8,12)/10,0)</f>
        <v>334</v>
      </c>
      <c r="AV65" s="5">
        <f t="shared" ca="1" si="8"/>
        <v>45116</v>
      </c>
      <c r="AW65">
        <f t="shared" ca="1" si="4"/>
        <v>6</v>
      </c>
      <c r="AX65">
        <f ca="1">ROUND(T_Facebook_Ads11596367717579[[#This Row],[impressions]]*RANDBETWEEN(8,12)/10,0)</f>
        <v>13751</v>
      </c>
      <c r="AY65">
        <f ca="1">ROUND(T_Facebook_Ads11596367717579[[#This Row],[clicks]]*RANDBETWEEN(8,12)/10,0)</f>
        <v>761</v>
      </c>
      <c r="AZ65">
        <f ca="1">T_Facebook_Ads11596367717579[[#This Row],[spend]]*RANDBETWEEN(8,12)/10</f>
        <v>285.31799999999998</v>
      </c>
      <c r="BA65">
        <f ca="1">ROUND(T_Facebook_Ads11596367717579[[#This Row],[conversions]]*RANDBETWEEN(8,12)/10,0)</f>
        <v>44</v>
      </c>
      <c r="BB65">
        <f ca="1">ROUND(T_Facebook_Ads11596367717579[[#This Row],[video_views]]*RANDBETWEEN(8,12)/10,0)</f>
        <v>992</v>
      </c>
    </row>
    <row r="66" spans="1:54" ht="15.75" thickBot="1" x14ac:dyDescent="0.3">
      <c r="A66" s="3">
        <f t="shared" ref="A66:A97" ca="1" si="9">DATE(2023,7,RANDBETWEEN(1,31))</f>
        <v>45133</v>
      </c>
      <c r="B66" s="4" t="s">
        <v>60</v>
      </c>
      <c r="C66" s="4" t="s">
        <v>61</v>
      </c>
      <c r="D66" s="4" t="s">
        <v>62</v>
      </c>
      <c r="E66" s="4" t="s">
        <v>63</v>
      </c>
      <c r="F66" s="4">
        <f ca="1">ROUND(T_Facebook_Ads[[#This Row],[impressions]]*RANDBETWEEN(8,12)/10,0)</f>
        <v>40957</v>
      </c>
      <c r="G66" s="4">
        <v>1367</v>
      </c>
      <c r="H66" s="4">
        <f ca="1">T_Facebook_Ads[[#This Row],[spend]]*RANDBETWEEN(8,12)/10</f>
        <v>188.91000000000003</v>
      </c>
      <c r="I66" s="4">
        <f ca="1">ROUND(T_Facebook_Ads[[#This Row],[conversions]]*RANDBETWEEN(8,12)/10,0)</f>
        <v>22</v>
      </c>
      <c r="J66" s="4">
        <f ca="1">ROUND(T_Facebook_Ads[[#This Row],[video_views]]*RANDBETWEEN(8,12)/10,0)</f>
        <v>4511</v>
      </c>
      <c r="K66" s="4">
        <f ca="1">T_Facebook_Ads[[#This Row],[engagement_rate]]*RANDBETWEEN(8,12)/10</f>
        <v>4.4040000000000003E-2</v>
      </c>
      <c r="L66" s="4">
        <f ca="1">ROUND(T_Facebook_Ads[[#This Row],[reach]]*RANDBETWEEN(8,12)/10,0)</f>
        <v>24542</v>
      </c>
      <c r="M66" s="4">
        <f ca="1">T_Facebook_Ads[[#This Row],[frequency]]*RANDBETWEEN(8,12)/10</f>
        <v>1.452</v>
      </c>
      <c r="O66" s="3">
        <f t="shared" ref="O66:O97" ca="1" si="10">DATE(2023,7,RANDBETWEEN(1,31))</f>
        <v>45113</v>
      </c>
      <c r="P66" s="4" t="s">
        <v>84</v>
      </c>
      <c r="Q66" s="4" t="s">
        <v>85</v>
      </c>
      <c r="R66" s="4" t="s">
        <v>86</v>
      </c>
      <c r="S66" s="4" t="s">
        <v>87</v>
      </c>
      <c r="T66" s="4">
        <f ca="1">ROUND(_Google_ads[[#This Row],[impressions]]*RANDBETWEEN(8,12)/10,0)</f>
        <v>69234</v>
      </c>
      <c r="U66" s="4">
        <f ca="1">ROUND(_Google_ads[[#This Row],[clicks]]*RANDBETWEEN(8,12)/10,0)</f>
        <v>2531</v>
      </c>
      <c r="V66" s="4">
        <f ca="1">_Google_ads[[#This Row],[cost]]*RANDBETWEEN(8,12)/10</f>
        <v>381.15</v>
      </c>
      <c r="W66" s="4">
        <f ca="1">ROUND(_Google_ads[[#This Row],[conversions]]*RANDBETWEEN(8,12)/10,0)</f>
        <v>74</v>
      </c>
      <c r="X66" s="4">
        <f ca="1">ROUND(_Google_ads[[#This Row],[conversion_value]]*RANDBETWEEN(8,12)/10,0)</f>
        <v>3685</v>
      </c>
      <c r="Y66" s="4">
        <f ca="1">_Google_ads[[#This Row],[ctr]]*RANDBETWEEN(8,12)/10</f>
        <v>2.656E-2</v>
      </c>
      <c r="Z66" s="4">
        <f ca="1">_Google_ads[[#This Row],[avg_cpc]]*RANDBETWEEN(8,12)/10</f>
        <v>0.14399999999999999</v>
      </c>
      <c r="AA66" s="4">
        <f ca="1">ROUND(_Google_ads[[#This Row],[quality_score]]*RANDBETWEEN(8,12)/10,0)</f>
        <v>8</v>
      </c>
      <c r="AB66" s="4">
        <f ca="1">_Google_ads[[#This Row],[search_impression_share]]*RANDBETWEEN(8,12)/10</f>
        <v>0.80400000000000005</v>
      </c>
      <c r="AD66" s="3">
        <f t="shared" ref="AD66:AD97" ca="1" si="11">DATE(2023,7,RANDBETWEEN(1,31))</f>
        <v>45117</v>
      </c>
      <c r="AE66" s="4" t="s">
        <v>108</v>
      </c>
      <c r="AF66" s="4" t="s">
        <v>109</v>
      </c>
      <c r="AG66" s="4" t="s">
        <v>110</v>
      </c>
      <c r="AH66" s="4" t="s">
        <v>111</v>
      </c>
      <c r="AI66" s="4">
        <f ca="1">ROUND(T_Tiktok_ads[[#This Row],[impressions]]*RANDBETWEEN(8,12)/10,0)</f>
        <v>236789</v>
      </c>
      <c r="AJ66" s="4">
        <f ca="1">ROUND(T_Tiktok_ads[[#This Row],[clicks]]*RANDBETWEEN(8,12)/10,0)</f>
        <v>4481</v>
      </c>
      <c r="AK66" s="4">
        <v>456.8</v>
      </c>
      <c r="AL66" s="4">
        <f ca="1">ROUND(T_Tiktok_ads[[#This Row],[conversions]]*RANDBETWEEN(8,12)/10,0)</f>
        <v>36</v>
      </c>
      <c r="AM66" s="4">
        <f ca="1">ROUND(T_Tiktok_ads[[#This Row],[video_views]]*RANDBETWEEN(8,12)/10,0)</f>
        <v>206679</v>
      </c>
      <c r="AN66" s="4">
        <f ca="1">ROUND(T_Tiktok_ads[[#This Row],[video_watch_25]]*RANDBETWEEN(8,12)/10,0)</f>
        <v>156580</v>
      </c>
      <c r="AO66" s="4">
        <f ca="1">ROUND(T_Tiktok_ads[[#This Row],[video_watch_50]]*RANDBETWEEN(8,12)/10,0)</f>
        <v>89876</v>
      </c>
      <c r="AP66" s="4">
        <f ca="1">ROUND(T_Tiktok_ads[[#This Row],[video_watch_75]]*RANDBETWEEN(8,12)/10,0)</f>
        <v>79580</v>
      </c>
      <c r="AQ66" s="4">
        <f ca="1">ROUND(T_Tiktok_ads[[#This Row],[video_watch_100]]*RANDBETWEEN(8,12)/10,0)</f>
        <v>39410</v>
      </c>
      <c r="AR66" s="4">
        <f ca="1">ROUND(T_Tiktok_ads[[#This Row],[likes]]*RANDBETWEEN(8,12)/10,0)</f>
        <v>9302</v>
      </c>
      <c r="AS66" s="4">
        <f ca="1">ROUND(T_Tiktok_ads[[#This Row],[shares]]*RANDBETWEEN(8,12)/10,0)</f>
        <v>2494</v>
      </c>
      <c r="AT66" s="4">
        <f ca="1">ROUND(T_Tiktok_ads[[#This Row],[comments]]*RANDBETWEEN(8,12)/10,0)</f>
        <v>654</v>
      </c>
      <c r="AV66" s="5">
        <f t="shared" ref="AV66:AV97" ca="1" si="12">DATE(2023,7,RANDBETWEEN(1,31))</f>
        <v>45130</v>
      </c>
      <c r="AW66">
        <f t="shared" ca="1" si="4"/>
        <v>2</v>
      </c>
      <c r="AX66">
        <f ca="1">ROUND(T_Facebook_Ads11596367717579[[#This Row],[impressions]]*RANDBETWEEN(8,12)/10,0)</f>
        <v>40957</v>
      </c>
      <c r="AY66">
        <f ca="1">ROUND(T_Facebook_Ads11596367717579[[#This Row],[clicks]]*RANDBETWEEN(8,12)/10,0)</f>
        <v>1230</v>
      </c>
      <c r="AZ66">
        <f ca="1">T_Facebook_Ads11596367717579[[#This Row],[spend]]*RANDBETWEEN(8,12)/10</f>
        <v>226.69200000000001</v>
      </c>
      <c r="BA66">
        <f ca="1">ROUND(T_Facebook_Ads11596367717579[[#This Row],[conversions]]*RANDBETWEEN(8,12)/10,0)</f>
        <v>26</v>
      </c>
      <c r="BB66">
        <f ca="1">ROUND(T_Facebook_Ads11596367717579[[#This Row],[video_views]]*RANDBETWEEN(8,12)/10,0)</f>
        <v>5413</v>
      </c>
    </row>
    <row r="67" spans="1:54" ht="15.75" thickBot="1" x14ac:dyDescent="0.3">
      <c r="A67" s="3">
        <f t="shared" ca="1" si="9"/>
        <v>45117</v>
      </c>
      <c r="B67" s="4" t="s">
        <v>64</v>
      </c>
      <c r="C67" s="4" t="s">
        <v>65</v>
      </c>
      <c r="D67" s="4" t="s">
        <v>66</v>
      </c>
      <c r="E67" s="4" t="s">
        <v>67</v>
      </c>
      <c r="F67" s="4">
        <f ca="1">ROUND(T_Facebook_Ads[[#This Row],[impressions]]*RANDBETWEEN(8,12)/10,0)</f>
        <v>63111</v>
      </c>
      <c r="G67" s="4">
        <v>253</v>
      </c>
      <c r="H67" s="4">
        <f ca="1">T_Facebook_Ads[[#This Row],[spend]]*RANDBETWEEN(8,12)/10</f>
        <v>107.28000000000002</v>
      </c>
      <c r="I67" s="4">
        <f ca="1">ROUND(T_Facebook_Ads[[#This Row],[conversions]]*RANDBETWEEN(8,12)/10,0)</f>
        <v>5</v>
      </c>
      <c r="J67" s="4">
        <f ca="1">ROUND(T_Facebook_Ads[[#This Row],[video_views]]*RANDBETWEEN(8,12)/10,0)</f>
        <v>47234</v>
      </c>
      <c r="K67" s="4">
        <f ca="1">T_Facebook_Ads[[#This Row],[engagement_rate]]*RANDBETWEEN(8,12)/10</f>
        <v>3.2399999999999998E-3</v>
      </c>
      <c r="L67" s="4">
        <f ca="1">ROUND(T_Facebook_Ads[[#This Row],[reach]]*RANDBETWEEN(8,12)/10,0)</f>
        <v>52101</v>
      </c>
      <c r="M67" s="4">
        <f ca="1">T_Facebook_Ads[[#This Row],[frequency]]*RANDBETWEEN(8,12)/10</f>
        <v>1.21</v>
      </c>
      <c r="O67" s="3">
        <f t="shared" ca="1" si="10"/>
        <v>45137</v>
      </c>
      <c r="P67" s="4" t="s">
        <v>88</v>
      </c>
      <c r="Q67" s="4" t="s">
        <v>89</v>
      </c>
      <c r="R67" s="4" t="s">
        <v>90</v>
      </c>
      <c r="S67" s="4" t="s">
        <v>59</v>
      </c>
      <c r="T67" s="4">
        <f ca="1">ROUND(_Google_ads[[#This Row],[impressions]]*RANDBETWEEN(8,12)/10,0)</f>
        <v>131567</v>
      </c>
      <c r="U67" s="4">
        <f ca="1">ROUND(_Google_ads[[#This Row],[clicks]]*RANDBETWEEN(8,12)/10,0)</f>
        <v>382</v>
      </c>
      <c r="V67" s="4">
        <f ca="1">_Google_ads[[#This Row],[cost]]*RANDBETWEEN(8,12)/10</f>
        <v>142.34</v>
      </c>
      <c r="W67" s="4">
        <f ca="1">ROUND(_Google_ads[[#This Row],[conversions]]*RANDBETWEEN(8,12)/10,0)</f>
        <v>10</v>
      </c>
      <c r="X67" s="4">
        <f ca="1">ROUND(_Google_ads[[#This Row],[conversion_value]]*RANDBETWEEN(8,12)/10,0)</f>
        <v>780</v>
      </c>
      <c r="Y67" s="4">
        <f ca="1">_Google_ads[[#This Row],[ctr]]*RANDBETWEEN(8,12)/10</f>
        <v>3.5999999999999999E-3</v>
      </c>
      <c r="Z67" s="4">
        <f ca="1">_Google_ads[[#This Row],[avg_cpc]]*RANDBETWEEN(8,12)/10</f>
        <v>0.21600000000000003</v>
      </c>
      <c r="AA67" s="4">
        <f ca="1">ROUND(_Google_ads[[#This Row],[quality_score]]*RANDBETWEEN(8,12)/10,0)</f>
        <v>6</v>
      </c>
      <c r="AB67" s="4">
        <f ca="1">_Google_ads[[#This Row],[search_impression_share]]*RANDBETWEEN(8,12)/10</f>
        <v>0.374</v>
      </c>
      <c r="AD67" s="3">
        <f t="shared" ca="1" si="11"/>
        <v>45108</v>
      </c>
      <c r="AE67" s="4" t="s">
        <v>112</v>
      </c>
      <c r="AF67" s="4" t="s">
        <v>113</v>
      </c>
      <c r="AG67" s="4" t="s">
        <v>114</v>
      </c>
      <c r="AH67" s="4" t="s">
        <v>115</v>
      </c>
      <c r="AI67" s="4">
        <f ca="1">ROUND(T_Tiktok_ads[[#This Row],[impressions]]*RANDBETWEEN(8,12)/10,0)</f>
        <v>465802</v>
      </c>
      <c r="AJ67" s="4">
        <f ca="1">ROUND(T_Tiktok_ads[[#This Row],[clicks]]*RANDBETWEEN(8,12)/10,0)</f>
        <v>5431</v>
      </c>
      <c r="AK67" s="4">
        <v>1034.5</v>
      </c>
      <c r="AL67" s="4">
        <f ca="1">ROUND(T_Tiktok_ads[[#This Row],[conversions]]*RANDBETWEEN(8,12)/10,0)</f>
        <v>125</v>
      </c>
      <c r="AM67" s="4">
        <f ca="1">ROUND(T_Tiktok_ads[[#This Row],[video_views]]*RANDBETWEEN(8,12)/10,0)</f>
        <v>428147</v>
      </c>
      <c r="AN67" s="4">
        <f ca="1">ROUND(T_Tiktok_ads[[#This Row],[video_watch_25]]*RANDBETWEEN(8,12)/10,0)</f>
        <v>287234</v>
      </c>
      <c r="AO67" s="4">
        <f ca="1">ROUND(T_Tiktok_ads[[#This Row],[video_watch_50]]*RANDBETWEEN(8,12)/10,0)</f>
        <v>183387</v>
      </c>
      <c r="AP67" s="4">
        <f ca="1">ROUND(T_Tiktok_ads[[#This Row],[video_watch_75]]*RANDBETWEEN(8,12)/10,0)</f>
        <v>194814</v>
      </c>
      <c r="AQ67" s="4">
        <f ca="1">ROUND(T_Tiktok_ads[[#This Row],[video_watch_100]]*RANDBETWEEN(8,12)/10,0)</f>
        <v>107890</v>
      </c>
      <c r="AR67" s="4">
        <f ca="1">ROUND(T_Tiktok_ads[[#This Row],[likes]]*RANDBETWEEN(8,12)/10,0)</f>
        <v>15005</v>
      </c>
      <c r="AS67" s="4">
        <f ca="1">ROUND(T_Tiktok_ads[[#This Row],[shares]]*RANDBETWEEN(8,12)/10,0)</f>
        <v>5345</v>
      </c>
      <c r="AT67" s="4">
        <f ca="1">ROUND(T_Tiktok_ads[[#This Row],[comments]]*RANDBETWEEN(8,12)/10,0)</f>
        <v>1310</v>
      </c>
      <c r="AV67" s="5">
        <f t="shared" ca="1" si="12"/>
        <v>45109</v>
      </c>
      <c r="AW67">
        <f t="shared" ref="AW67:AW111" ca="1" si="13">RANDBETWEEN(1,8)</f>
        <v>6</v>
      </c>
      <c r="AX67">
        <f ca="1">ROUND(T_Facebook_Ads11596367717579[[#This Row],[impressions]]*RANDBETWEEN(8,12)/10,0)</f>
        <v>63111</v>
      </c>
      <c r="AY67">
        <f ca="1">ROUND(T_Facebook_Ads11596367717579[[#This Row],[clicks]]*RANDBETWEEN(8,12)/10,0)</f>
        <v>253</v>
      </c>
      <c r="AZ67">
        <f ca="1">T_Facebook_Ads11596367717579[[#This Row],[spend]]*RANDBETWEEN(8,12)/10</f>
        <v>85.824000000000012</v>
      </c>
      <c r="BA67">
        <f ca="1">ROUND(T_Facebook_Ads11596367717579[[#This Row],[conversions]]*RANDBETWEEN(8,12)/10,0)</f>
        <v>5</v>
      </c>
      <c r="BB67">
        <f ca="1">ROUND(T_Facebook_Ads11596367717579[[#This Row],[video_views]]*RANDBETWEEN(8,12)/10,0)</f>
        <v>51957</v>
      </c>
    </row>
    <row r="68" spans="1:54" ht="15.75" thickBot="1" x14ac:dyDescent="0.3">
      <c r="A68" s="3">
        <f t="shared" ca="1" si="9"/>
        <v>45138</v>
      </c>
      <c r="B68" s="4" t="s">
        <v>52</v>
      </c>
      <c r="C68" s="4" t="s">
        <v>53</v>
      </c>
      <c r="D68" s="4" t="s">
        <v>54</v>
      </c>
      <c r="E68" s="4" t="s">
        <v>55</v>
      </c>
      <c r="F68" s="4">
        <f ca="1">ROUND(T_Facebook_Ads[[#This Row],[impressions]]*RANDBETWEEN(8,12)/10,0)</f>
        <v>38911</v>
      </c>
      <c r="G68" s="4">
        <v>878</v>
      </c>
      <c r="H68" s="4">
        <f ca="1">T_Facebook_Ads[[#This Row],[spend]]*RANDBETWEEN(8,12)/10</f>
        <v>100.56</v>
      </c>
      <c r="I68" s="4">
        <f ca="1">ROUND(T_Facebook_Ads[[#This Row],[conversions]]*RANDBETWEEN(8,12)/10,0)</f>
        <v>13</v>
      </c>
      <c r="J68" s="4">
        <f ca="1">ROUND(T_Facebook_Ads[[#This Row],[video_views]]*RANDBETWEEN(8,12)/10,0)</f>
        <v>6312</v>
      </c>
      <c r="K68" s="4">
        <f ca="1">T_Facebook_Ads[[#This Row],[engagement_rate]]*RANDBETWEEN(8,12)/10</f>
        <v>1.6239999999999997E-2</v>
      </c>
      <c r="L68" s="4">
        <f ca="1">ROUND(T_Facebook_Ads[[#This Row],[reach]]*RANDBETWEEN(8,12)/10,0)</f>
        <v>36567</v>
      </c>
      <c r="M68" s="4">
        <f ca="1">T_Facebook_Ads[[#This Row],[frequency]]*RANDBETWEEN(8,12)/10</f>
        <v>1.2979999999999998</v>
      </c>
      <c r="O68" s="3">
        <f t="shared" ca="1" si="10"/>
        <v>45134</v>
      </c>
      <c r="P68" s="4" t="s">
        <v>76</v>
      </c>
      <c r="Q68" s="4" t="s">
        <v>77</v>
      </c>
      <c r="R68" s="4" t="s">
        <v>78</v>
      </c>
      <c r="S68" s="4" t="s">
        <v>79</v>
      </c>
      <c r="T68" s="4">
        <f ca="1">ROUND(_Google_ads[[#This Row],[impressions]]*RANDBETWEEN(8,12)/10,0)</f>
        <v>20111</v>
      </c>
      <c r="U68" s="4">
        <f ca="1">ROUND(_Google_ads[[#This Row],[clicks]]*RANDBETWEEN(8,12)/10,0)</f>
        <v>1011</v>
      </c>
      <c r="V68" s="4">
        <f ca="1">_Google_ads[[#This Row],[cost]]*RANDBETWEEN(8,12)/10</f>
        <v>193.05</v>
      </c>
      <c r="W68" s="4">
        <f ca="1">ROUND(_Google_ads[[#This Row],[conversions]]*RANDBETWEEN(8,12)/10,0)</f>
        <v>38</v>
      </c>
      <c r="X68" s="4">
        <f ca="1">ROUND(_Google_ads[[#This Row],[conversion_value]]*RANDBETWEEN(8,12)/10,0)</f>
        <v>1890</v>
      </c>
      <c r="Y68" s="4">
        <f ca="1">_Google_ads[[#This Row],[ctr]]*RANDBETWEEN(8,12)/10</f>
        <v>6.035999999999999E-2</v>
      </c>
      <c r="Z68" s="4">
        <f ca="1">_Google_ads[[#This Row],[avg_cpc]]*RANDBETWEEN(8,12)/10</f>
        <v>0.22800000000000004</v>
      </c>
      <c r="AA68" s="4">
        <f ca="1">ROUND(_Google_ads[[#This Row],[quality_score]]*RANDBETWEEN(8,12)/10,0)</f>
        <v>8</v>
      </c>
      <c r="AB68" s="4">
        <f ca="1">_Google_ads[[#This Row],[search_impression_share]]*RANDBETWEEN(8,12)/10</f>
        <v>0.89</v>
      </c>
      <c r="AD68" s="3">
        <f t="shared" ca="1" si="11"/>
        <v>45119</v>
      </c>
      <c r="AE68" s="4" t="s">
        <v>100</v>
      </c>
      <c r="AF68" s="4" t="s">
        <v>101</v>
      </c>
      <c r="AG68" s="4" t="s">
        <v>102</v>
      </c>
      <c r="AH68" s="4" t="s">
        <v>103</v>
      </c>
      <c r="AI68" s="4">
        <f ca="1">ROUND(T_Tiktok_ads[[#This Row],[impressions]]*RANDBETWEEN(8,12)/10,0)</f>
        <v>256234</v>
      </c>
      <c r="AJ68" s="4">
        <f ca="1">ROUND(T_Tiktok_ads[[#This Row],[clicks]]*RANDBETWEEN(8,12)/10,0)</f>
        <v>4071</v>
      </c>
      <c r="AK68" s="4">
        <v>490.5</v>
      </c>
      <c r="AL68" s="4">
        <f ca="1">ROUND(T_Tiktok_ads[[#This Row],[conversions]]*RANDBETWEEN(8,12)/10,0)</f>
        <v>34</v>
      </c>
      <c r="AM68" s="4">
        <f ca="1">ROUND(T_Tiktok_ads[[#This Row],[video_views]]*RANDBETWEEN(8,12)/10,0)</f>
        <v>251081</v>
      </c>
      <c r="AN68" s="4">
        <f ca="1">ROUND(T_Tiktok_ads[[#This Row],[video_watch_25]]*RANDBETWEEN(8,12)/10,0)</f>
        <v>130854</v>
      </c>
      <c r="AO68" s="4">
        <f ca="1">ROUND(T_Tiktok_ads[[#This Row],[video_watch_50]]*RANDBETWEEN(8,12)/10,0)</f>
        <v>112824</v>
      </c>
      <c r="AP68" s="4">
        <f ca="1">ROUND(T_Tiktok_ads[[#This Row],[video_watch_75]]*RANDBETWEEN(8,12)/10,0)</f>
        <v>76524</v>
      </c>
      <c r="AQ68" s="4">
        <f ca="1">ROUND(T_Tiktok_ads[[#This Row],[video_watch_100]]*RANDBETWEEN(8,12)/10,0)</f>
        <v>37254</v>
      </c>
      <c r="AR68" s="4">
        <f ca="1">ROUND(T_Tiktok_ads[[#This Row],[likes]]*RANDBETWEEN(8,12)/10,0)</f>
        <v>10035</v>
      </c>
      <c r="AS68" s="4">
        <f ca="1">ROUND(T_Tiktok_ads[[#This Row],[shares]]*RANDBETWEEN(8,12)/10,0)</f>
        <v>2181</v>
      </c>
      <c r="AT68" s="4">
        <f ca="1">ROUND(T_Tiktok_ads[[#This Row],[comments]]*RANDBETWEEN(8,12)/10,0)</f>
        <v>661</v>
      </c>
      <c r="AV68" s="5">
        <f t="shared" ca="1" si="12"/>
        <v>45114</v>
      </c>
      <c r="AW68">
        <f t="shared" ca="1" si="13"/>
        <v>7</v>
      </c>
      <c r="AX68">
        <f ca="1">ROUND(T_Facebook_Ads11596367717579[[#This Row],[impressions]]*RANDBETWEEN(8,12)/10,0)</f>
        <v>35020</v>
      </c>
      <c r="AY68">
        <f ca="1">ROUND(T_Facebook_Ads11596367717579[[#This Row],[clicks]]*RANDBETWEEN(8,12)/10,0)</f>
        <v>966</v>
      </c>
      <c r="AZ68">
        <f ca="1">T_Facebook_Ads11596367717579[[#This Row],[spend]]*RANDBETWEEN(8,12)/10</f>
        <v>80.448000000000008</v>
      </c>
      <c r="BA68">
        <f ca="1">ROUND(T_Facebook_Ads11596367717579[[#This Row],[conversions]]*RANDBETWEEN(8,12)/10,0)</f>
        <v>16</v>
      </c>
      <c r="BB68">
        <f ca="1">ROUND(T_Facebook_Ads11596367717579[[#This Row],[video_views]]*RANDBETWEEN(8,12)/10,0)</f>
        <v>7574</v>
      </c>
    </row>
    <row r="69" spans="1:54" ht="15.75" thickBot="1" x14ac:dyDescent="0.3">
      <c r="A69" s="3">
        <f t="shared" ca="1" si="9"/>
        <v>45136</v>
      </c>
      <c r="B69" s="4" t="s">
        <v>56</v>
      </c>
      <c r="C69" s="4" t="s">
        <v>57</v>
      </c>
      <c r="D69" s="4" t="s">
        <v>58</v>
      </c>
      <c r="E69" s="4" t="s">
        <v>59</v>
      </c>
      <c r="F69" s="4">
        <f ca="1">ROUND(T_Facebook_Ads[[#This Row],[impressions]]*RANDBETWEEN(8,12)/10,0)</f>
        <v>13079</v>
      </c>
      <c r="G69" s="4">
        <v>545</v>
      </c>
      <c r="H69" s="4">
        <f ca="1">T_Facebook_Ads[[#This Row],[spend]]*RANDBETWEEN(8,12)/10</f>
        <v>202.3</v>
      </c>
      <c r="I69" s="4">
        <f ca="1">ROUND(T_Facebook_Ads[[#This Row],[conversions]]*RANDBETWEEN(8,12)/10,0)</f>
        <v>31</v>
      </c>
      <c r="J69" s="4">
        <f ca="1">ROUND(T_Facebook_Ads[[#This Row],[video_views]]*RANDBETWEEN(8,12)/10,0)</f>
        <v>1387</v>
      </c>
      <c r="K69" s="4">
        <f ca="1">T_Facebook_Ads[[#This Row],[engagement_rate]]*RANDBETWEEN(8,12)/10</f>
        <v>4.122E-2</v>
      </c>
      <c r="L69" s="4">
        <f ca="1">ROUND(T_Facebook_Ads[[#This Row],[reach]]*RANDBETWEEN(8,12)/10,0)</f>
        <v>10524</v>
      </c>
      <c r="M69" s="4">
        <f ca="1">T_Facebook_Ads[[#This Row],[frequency]]*RANDBETWEEN(8,12)/10</f>
        <v>1.4079999999999999</v>
      </c>
      <c r="O69" s="3">
        <f t="shared" ca="1" si="10"/>
        <v>45116</v>
      </c>
      <c r="P69" s="4" t="s">
        <v>80</v>
      </c>
      <c r="Q69" s="4" t="s">
        <v>81</v>
      </c>
      <c r="R69" s="4" t="s">
        <v>82</v>
      </c>
      <c r="S69" s="4" t="s">
        <v>83</v>
      </c>
      <c r="T69" s="4">
        <f ca="1">ROUND(_Google_ads[[#This Row],[impressions]]*RANDBETWEEN(8,12)/10,0)</f>
        <v>36510</v>
      </c>
      <c r="U69" s="4">
        <f ca="1">ROUND(_Google_ads[[#This Row],[clicks]]*RANDBETWEEN(8,12)/10,0)</f>
        <v>650</v>
      </c>
      <c r="V69" s="4">
        <f ca="1">_Google_ads[[#This Row],[cost]]*RANDBETWEEN(8,12)/10</f>
        <v>520.4</v>
      </c>
      <c r="W69" s="4">
        <f ca="1">ROUND(_Google_ads[[#This Row],[conversions]]*RANDBETWEEN(8,12)/10,0)</f>
        <v>20</v>
      </c>
      <c r="X69" s="4">
        <f ca="1">ROUND(_Google_ads[[#This Row],[conversion_value]]*RANDBETWEEN(8,12)/10,0)</f>
        <v>800</v>
      </c>
      <c r="Y69" s="4">
        <f ca="1">_Google_ads[[#This Row],[ctr]]*RANDBETWEEN(8,12)/10</f>
        <v>0.02</v>
      </c>
      <c r="Z69" s="4">
        <f ca="1">_Google_ads[[#This Row],[avg_cpc]]*RANDBETWEEN(8,12)/10</f>
        <v>0.70399999999999996</v>
      </c>
      <c r="AA69" s="4">
        <f ca="1">ROUND(_Google_ads[[#This Row],[quality_score]]*RANDBETWEEN(8,12)/10,0)</f>
        <v>6</v>
      </c>
      <c r="AB69" s="4">
        <f ca="1">_Google_ads[[#This Row],[search_impression_share]]*RANDBETWEEN(8,12)/10</f>
        <v>0.42000000000000004</v>
      </c>
      <c r="AD69" s="3">
        <f t="shared" ca="1" si="11"/>
        <v>45109</v>
      </c>
      <c r="AE69" s="4" t="s">
        <v>104</v>
      </c>
      <c r="AF69" s="4" t="s">
        <v>105</v>
      </c>
      <c r="AG69" s="4" t="s">
        <v>106</v>
      </c>
      <c r="AH69" s="4" t="s">
        <v>107</v>
      </c>
      <c r="AI69" s="4">
        <f ca="1">ROUND(T_Tiktok_ads[[#This Row],[impressions]]*RANDBETWEEN(8,12)/10,0)</f>
        <v>170814</v>
      </c>
      <c r="AJ69" s="4">
        <f ca="1">ROUND(T_Tiktok_ads[[#This Row],[clicks]]*RANDBETWEEN(8,12)/10,0)</f>
        <v>2946</v>
      </c>
      <c r="AK69" s="4">
        <v>734.5</v>
      </c>
      <c r="AL69" s="4">
        <f ca="1">ROUND(T_Tiktok_ads[[#This Row],[conversions]]*RANDBETWEEN(8,12)/10,0)</f>
        <v>58</v>
      </c>
      <c r="AM69" s="4">
        <f ca="1">ROUND(T_Tiktok_ads[[#This Row],[video_views]]*RANDBETWEEN(8,12)/10,0)</f>
        <v>117468</v>
      </c>
      <c r="AN69" s="4">
        <f ca="1">ROUND(T_Tiktok_ads[[#This Row],[video_watch_25]]*RANDBETWEEN(8,12)/10,0)</f>
        <v>86814</v>
      </c>
      <c r="AO69" s="4">
        <f ca="1">ROUND(T_Tiktok_ads[[#This Row],[video_watch_50]]*RANDBETWEEN(8,12)/10,0)</f>
        <v>58681</v>
      </c>
      <c r="AP69" s="4">
        <f ca="1">ROUND(T_Tiktok_ads[[#This Row],[video_watch_75]]*RANDBETWEEN(8,12)/10,0)</f>
        <v>29431</v>
      </c>
      <c r="AQ69" s="4">
        <f ca="1">ROUND(T_Tiktok_ads[[#This Row],[video_watch_100]]*RANDBETWEEN(8,12)/10,0)</f>
        <v>27379</v>
      </c>
      <c r="AR69" s="4">
        <f ca="1">ROUND(T_Tiktok_ads[[#This Row],[likes]]*RANDBETWEEN(8,12)/10,0)</f>
        <v>4901</v>
      </c>
      <c r="AS69" s="4">
        <f ca="1">ROUND(T_Tiktok_ads[[#This Row],[shares]]*RANDBETWEEN(8,12)/10,0)</f>
        <v>1085</v>
      </c>
      <c r="AT69" s="4">
        <f ca="1">ROUND(T_Tiktok_ads[[#This Row],[comments]]*RANDBETWEEN(8,12)/10,0)</f>
        <v>307</v>
      </c>
      <c r="AV69" s="5">
        <f t="shared" ca="1" si="12"/>
        <v>45126</v>
      </c>
      <c r="AW69">
        <f t="shared" ca="1" si="13"/>
        <v>4</v>
      </c>
      <c r="AX69">
        <f ca="1">ROUND(T_Facebook_Ads11596367717579[[#This Row],[impressions]]*RANDBETWEEN(8,12)/10,0)</f>
        <v>14387</v>
      </c>
      <c r="AY69">
        <f ca="1">ROUND(T_Facebook_Ads11596367717579[[#This Row],[clicks]]*RANDBETWEEN(8,12)/10,0)</f>
        <v>600</v>
      </c>
      <c r="AZ69">
        <f ca="1">T_Facebook_Ads11596367717579[[#This Row],[spend]]*RANDBETWEEN(8,12)/10</f>
        <v>161.84</v>
      </c>
      <c r="BA69">
        <f ca="1">ROUND(T_Facebook_Ads11596367717579[[#This Row],[conversions]]*RANDBETWEEN(8,12)/10,0)</f>
        <v>28</v>
      </c>
      <c r="BB69">
        <f ca="1">ROUND(T_Facebook_Ads11596367717579[[#This Row],[video_views]]*RANDBETWEEN(8,12)/10,0)</f>
        <v>1387</v>
      </c>
    </row>
    <row r="70" spans="1:54" ht="15.75" thickBot="1" x14ac:dyDescent="0.3">
      <c r="A70" s="3">
        <f t="shared" ca="1" si="9"/>
        <v>45124</v>
      </c>
      <c r="B70" s="4" t="s">
        <v>60</v>
      </c>
      <c r="C70" s="4" t="s">
        <v>61</v>
      </c>
      <c r="D70" s="4" t="s">
        <v>62</v>
      </c>
      <c r="E70" s="4" t="s">
        <v>63</v>
      </c>
      <c r="F70" s="4">
        <f ca="1">ROUND(T_Facebook_Ads[[#This Row],[impressions]]*RANDBETWEEN(8,12)/10,0)</f>
        <v>38024</v>
      </c>
      <c r="G70" s="4">
        <v>1234</v>
      </c>
      <c r="H70" s="4">
        <f ca="1">T_Facebook_Ads[[#This Row],[spend]]*RANDBETWEEN(8,12)/10</f>
        <v>170.64</v>
      </c>
      <c r="I70" s="4">
        <f ca="1">ROUND(T_Facebook_Ads[[#This Row],[conversions]]*RANDBETWEEN(8,12)/10,0)</f>
        <v>22</v>
      </c>
      <c r="J70" s="4">
        <f ca="1">ROUND(T_Facebook_Ads[[#This Row],[video_views]]*RANDBETWEEN(8,12)/10,0)</f>
        <v>5024</v>
      </c>
      <c r="K70" s="4">
        <f ca="1">T_Facebook_Ads[[#This Row],[engagement_rate]]*RANDBETWEEN(8,12)/10</f>
        <v>3.2130000000000006E-2</v>
      </c>
      <c r="L70" s="4">
        <f ca="1">ROUND(T_Facebook_Ads[[#This Row],[reach]]*RANDBETWEEN(8,12)/10,0)</f>
        <v>26041</v>
      </c>
      <c r="M70" s="4">
        <f ca="1">T_Facebook_Ads[[#This Row],[frequency]]*RANDBETWEEN(8,12)/10</f>
        <v>0.95199999999999996</v>
      </c>
      <c r="O70" s="3">
        <f t="shared" ca="1" si="10"/>
        <v>45112</v>
      </c>
      <c r="P70" s="4" t="s">
        <v>84</v>
      </c>
      <c r="Q70" s="4" t="s">
        <v>85</v>
      </c>
      <c r="R70" s="4" t="s">
        <v>86</v>
      </c>
      <c r="S70" s="4" t="s">
        <v>87</v>
      </c>
      <c r="T70" s="4">
        <f ca="1">ROUND(_Google_ads[[#This Row],[impressions]]*RANDBETWEEN(8,12)/10,0)</f>
        <v>71379</v>
      </c>
      <c r="U70" s="4">
        <f ca="1">ROUND(_Google_ads[[#This Row],[clicks]]*RANDBETWEEN(8,12)/10,0)</f>
        <v>2480</v>
      </c>
      <c r="V70" s="4">
        <f ca="1">_Google_ads[[#This Row],[cost]]*RANDBETWEEN(8,12)/10</f>
        <v>414.48</v>
      </c>
      <c r="W70" s="4">
        <f ca="1">ROUND(_Google_ads[[#This Row],[conversions]]*RANDBETWEEN(8,12)/10,0)</f>
        <v>53</v>
      </c>
      <c r="X70" s="4">
        <f ca="1">ROUND(_Google_ads[[#This Row],[conversion_value]]*RANDBETWEEN(8,12)/10,0)</f>
        <v>3540</v>
      </c>
      <c r="Y70" s="4">
        <f ca="1">_Google_ads[[#This Row],[ctr]]*RANDBETWEEN(8,12)/10</f>
        <v>2.8709999999999996E-2</v>
      </c>
      <c r="Z70" s="4">
        <f ca="1">_Google_ads[[#This Row],[avg_cpc]]*RANDBETWEEN(8,12)/10</f>
        <v>0.19800000000000001</v>
      </c>
      <c r="AA70" s="4">
        <f ca="1">ROUND(_Google_ads[[#This Row],[quality_score]]*RANDBETWEEN(8,12)/10,0)</f>
        <v>8</v>
      </c>
      <c r="AB70" s="4">
        <f ca="1">_Google_ads[[#This Row],[search_impression_share]]*RANDBETWEEN(8,12)/10</f>
        <v>0.65</v>
      </c>
      <c r="AD70" s="3">
        <f t="shared" ca="1" si="11"/>
        <v>45113</v>
      </c>
      <c r="AE70" s="4" t="s">
        <v>108</v>
      </c>
      <c r="AF70" s="4" t="s">
        <v>109</v>
      </c>
      <c r="AG70" s="4" t="s">
        <v>110</v>
      </c>
      <c r="AH70" s="4" t="s">
        <v>111</v>
      </c>
      <c r="AI70" s="4">
        <f ca="1">ROUND(T_Tiktok_ads[[#This Row],[impressions]]*RANDBETWEEN(8,12)/10,0)</f>
        <v>240791</v>
      </c>
      <c r="AJ70" s="4">
        <f ca="1">ROUND(T_Tiktok_ads[[#This Row],[clicks]]*RANDBETWEEN(8,12)/10,0)</f>
        <v>3110</v>
      </c>
      <c r="AK70" s="4">
        <v>414.4</v>
      </c>
      <c r="AL70" s="4">
        <f ca="1">ROUND(T_Tiktok_ads[[#This Row],[conversions]]*RANDBETWEEN(8,12)/10,0)</f>
        <v>32</v>
      </c>
      <c r="AM70" s="4">
        <f ca="1">ROUND(T_Tiktok_ads[[#This Row],[video_views]]*RANDBETWEEN(8,12)/10,0)</f>
        <v>138765</v>
      </c>
      <c r="AN70" s="4">
        <f ca="1">ROUND(T_Tiktok_ads[[#This Row],[video_watch_25]]*RANDBETWEEN(8,12)/10,0)</f>
        <v>105254</v>
      </c>
      <c r="AO70" s="4">
        <f ca="1">ROUND(T_Tiktok_ads[[#This Row],[video_watch_50]]*RANDBETWEEN(8,12)/10,0)</f>
        <v>124280</v>
      </c>
      <c r="AP70" s="4">
        <f ca="1">ROUND(T_Tiktok_ads[[#This Row],[video_watch_75]]*RANDBETWEEN(8,12)/10,0)</f>
        <v>67234</v>
      </c>
      <c r="AQ70" s="4">
        <f ca="1">ROUND(T_Tiktok_ads[[#This Row],[video_watch_100]]*RANDBETWEEN(8,12)/10,0)</f>
        <v>40567</v>
      </c>
      <c r="AR70" s="4">
        <f ca="1">ROUND(T_Tiktok_ads[[#This Row],[likes]]*RANDBETWEEN(8,12)/10,0)</f>
        <v>8813</v>
      </c>
      <c r="AS70" s="4">
        <f ca="1">ROUND(T_Tiktok_ads[[#This Row],[shares]]*RANDBETWEEN(8,12)/10,0)</f>
        <v>2421</v>
      </c>
      <c r="AT70" s="4">
        <f ca="1">ROUND(T_Tiktok_ads[[#This Row],[comments]]*RANDBETWEEN(8,12)/10,0)</f>
        <v>471</v>
      </c>
      <c r="AV70" s="5">
        <f t="shared" ca="1" si="12"/>
        <v>45124</v>
      </c>
      <c r="AW70">
        <f t="shared" ca="1" si="13"/>
        <v>6</v>
      </c>
      <c r="AX70">
        <f ca="1">ROUND(T_Facebook_Ads11596367717579[[#This Row],[impressions]]*RANDBETWEEN(8,12)/10,0)</f>
        <v>34222</v>
      </c>
      <c r="AY70">
        <f ca="1">ROUND(T_Facebook_Ads11596367717579[[#This Row],[clicks]]*RANDBETWEEN(8,12)/10,0)</f>
        <v>1357</v>
      </c>
      <c r="AZ70">
        <f ca="1">T_Facebook_Ads11596367717579[[#This Row],[spend]]*RANDBETWEEN(8,12)/10</f>
        <v>204.76799999999997</v>
      </c>
      <c r="BA70">
        <f ca="1">ROUND(T_Facebook_Ads11596367717579[[#This Row],[conversions]]*RANDBETWEEN(8,12)/10,0)</f>
        <v>18</v>
      </c>
      <c r="BB70">
        <f ca="1">ROUND(T_Facebook_Ads11596367717579[[#This Row],[video_views]]*RANDBETWEEN(8,12)/10,0)</f>
        <v>5526</v>
      </c>
    </row>
    <row r="71" spans="1:54" ht="15.75" thickBot="1" x14ac:dyDescent="0.3">
      <c r="A71" s="3">
        <f t="shared" ca="1" si="9"/>
        <v>45134</v>
      </c>
      <c r="B71" s="4" t="s">
        <v>64</v>
      </c>
      <c r="C71" s="4" t="s">
        <v>65</v>
      </c>
      <c r="D71" s="4" t="s">
        <v>66</v>
      </c>
      <c r="E71" s="4" t="s">
        <v>67</v>
      </c>
      <c r="F71" s="4">
        <f ca="1">ROUND(T_Facebook_Ads[[#This Row],[impressions]]*RANDBETWEEN(8,12)/10,0)</f>
        <v>52187</v>
      </c>
      <c r="G71" s="4">
        <v>234</v>
      </c>
      <c r="H71" s="4">
        <f ca="1">T_Facebook_Ads[[#This Row],[spend]]*RANDBETWEEN(8,12)/10</f>
        <v>64.960000000000008</v>
      </c>
      <c r="I71" s="4">
        <f ca="1">ROUND(T_Facebook_Ads[[#This Row],[conversions]]*RANDBETWEEN(8,12)/10,0)</f>
        <v>5</v>
      </c>
      <c r="J71" s="4">
        <f ca="1">ROUND(T_Facebook_Ads[[#This Row],[video_views]]*RANDBETWEEN(8,12)/10,0)</f>
        <v>34854</v>
      </c>
      <c r="K71" s="4">
        <f ca="1">T_Facebook_Ads[[#This Row],[engagement_rate]]*RANDBETWEEN(8,12)/10</f>
        <v>3.96E-3</v>
      </c>
      <c r="L71" s="4">
        <f ca="1">ROUND(T_Facebook_Ads[[#This Row],[reach]]*RANDBETWEEN(8,12)/10,0)</f>
        <v>42765</v>
      </c>
      <c r="M71" s="4">
        <f ca="1">T_Facebook_Ads[[#This Row],[frequency]]*RANDBETWEEN(8,12)/10</f>
        <v>1.19</v>
      </c>
      <c r="O71" s="3">
        <f t="shared" ca="1" si="10"/>
        <v>45138</v>
      </c>
      <c r="P71" s="4" t="s">
        <v>88</v>
      </c>
      <c r="Q71" s="4" t="s">
        <v>89</v>
      </c>
      <c r="R71" s="4" t="s">
        <v>90</v>
      </c>
      <c r="S71" s="4" t="s">
        <v>59</v>
      </c>
      <c r="T71" s="4">
        <f ca="1">ROUND(_Google_ads[[#This Row],[impressions]]*RANDBETWEEN(8,12)/10,0)</f>
        <v>99654</v>
      </c>
      <c r="U71" s="4">
        <f ca="1">ROUND(_Google_ads[[#This Row],[clicks]]*RANDBETWEEN(8,12)/10,0)</f>
        <v>534</v>
      </c>
      <c r="V71" s="4">
        <f ca="1">_Google_ads[[#This Row],[cost]]*RANDBETWEEN(8,12)/10</f>
        <v>97.84</v>
      </c>
      <c r="W71" s="4">
        <f ca="1">ROUND(_Google_ads[[#This Row],[conversions]]*RANDBETWEEN(8,12)/10,0)</f>
        <v>10</v>
      </c>
      <c r="X71" s="4">
        <f ca="1">ROUND(_Google_ads[[#This Row],[conversion_value]]*RANDBETWEEN(8,12)/10,0)</f>
        <v>540</v>
      </c>
      <c r="Y71" s="4">
        <f ca="1">_Google_ads[[#This Row],[ctr]]*RANDBETWEEN(8,12)/10</f>
        <v>2.8799999999999997E-3</v>
      </c>
      <c r="Z71" s="4">
        <f ca="1">_Google_ads[[#This Row],[avg_cpc]]*RANDBETWEEN(8,12)/10</f>
        <v>0.21600000000000003</v>
      </c>
      <c r="AA71" s="4">
        <f ca="1">ROUND(_Google_ads[[#This Row],[quality_score]]*RANDBETWEEN(8,12)/10,0)</f>
        <v>6</v>
      </c>
      <c r="AB71" s="4">
        <f ca="1">_Google_ads[[#This Row],[search_impression_share]]*RANDBETWEEN(8,12)/10</f>
        <v>0.33</v>
      </c>
      <c r="AD71" s="3">
        <f t="shared" ca="1" si="11"/>
        <v>45108</v>
      </c>
      <c r="AE71" s="4" t="s">
        <v>112</v>
      </c>
      <c r="AF71" s="4" t="s">
        <v>113</v>
      </c>
      <c r="AG71" s="4" t="s">
        <v>114</v>
      </c>
      <c r="AH71" s="4" t="s">
        <v>115</v>
      </c>
      <c r="AI71" s="4">
        <f ca="1">ROUND(T_Tiktok_ads[[#This Row],[impressions]]*RANDBETWEEN(8,12)/10,0)</f>
        <v>311210</v>
      </c>
      <c r="AJ71" s="4">
        <f ca="1">ROUND(T_Tiktok_ads[[#This Row],[clicks]]*RANDBETWEEN(8,12)/10,0)</f>
        <v>5611</v>
      </c>
      <c r="AK71" s="4">
        <v>967.8</v>
      </c>
      <c r="AL71" s="4">
        <f ca="1">ROUND(T_Tiktok_ads[[#This Row],[conversions]]*RANDBETWEEN(8,12)/10,0)</f>
        <v>108</v>
      </c>
      <c r="AM71" s="4">
        <f ca="1">ROUND(T_Tiktok_ads[[#This Row],[video_views]]*RANDBETWEEN(8,12)/10,0)</f>
        <v>321234</v>
      </c>
      <c r="AN71" s="4">
        <f ca="1">ROUND(T_Tiktok_ads[[#This Row],[video_watch_25]]*RANDBETWEEN(8,12)/10,0)</f>
        <v>233011</v>
      </c>
      <c r="AO71" s="4">
        <f ca="1">ROUND(T_Tiktok_ads[[#This Row],[video_watch_50]]*RANDBETWEEN(8,12)/10,0)</f>
        <v>166312</v>
      </c>
      <c r="AP71" s="4">
        <f ca="1">ROUND(T_Tiktok_ads[[#This Row],[video_watch_75]]*RANDBETWEEN(8,12)/10,0)</f>
        <v>132511</v>
      </c>
      <c r="AQ71" s="4">
        <f ca="1">ROUND(T_Tiktok_ads[[#This Row],[video_watch_100]]*RANDBETWEEN(8,12)/10,0)</f>
        <v>77965</v>
      </c>
      <c r="AR71" s="4">
        <f ca="1">ROUND(T_Tiktok_ads[[#This Row],[likes]]*RANDBETWEEN(8,12)/10,0)</f>
        <v>15211</v>
      </c>
      <c r="AS71" s="4">
        <f ca="1">ROUND(T_Tiktok_ads[[#This Row],[shares]]*RANDBETWEEN(8,12)/10,0)</f>
        <v>3930</v>
      </c>
      <c r="AT71" s="4">
        <f ca="1">ROUND(T_Tiktok_ads[[#This Row],[comments]]*RANDBETWEEN(8,12)/10,0)</f>
        <v>1211</v>
      </c>
      <c r="AV71" s="5">
        <f t="shared" ca="1" si="12"/>
        <v>45129</v>
      </c>
      <c r="AW71">
        <f t="shared" ca="1" si="13"/>
        <v>5</v>
      </c>
      <c r="AX71">
        <f ca="1">ROUND(T_Facebook_Ads11596367717579[[#This Row],[impressions]]*RANDBETWEEN(8,12)/10,0)</f>
        <v>41750</v>
      </c>
      <c r="AY71">
        <f ca="1">ROUND(T_Facebook_Ads11596367717579[[#This Row],[clicks]]*RANDBETWEEN(8,12)/10,0)</f>
        <v>281</v>
      </c>
      <c r="AZ71">
        <f ca="1">T_Facebook_Ads11596367717579[[#This Row],[spend]]*RANDBETWEEN(8,12)/10</f>
        <v>77.952000000000012</v>
      </c>
      <c r="BA71">
        <f ca="1">ROUND(T_Facebook_Ads11596367717579[[#This Row],[conversions]]*RANDBETWEEN(8,12)/10,0)</f>
        <v>6</v>
      </c>
      <c r="BB71">
        <f ca="1">ROUND(T_Facebook_Ads11596367717579[[#This Row],[video_views]]*RANDBETWEEN(8,12)/10,0)</f>
        <v>34854</v>
      </c>
    </row>
    <row r="72" spans="1:54" ht="15.75" thickBot="1" x14ac:dyDescent="0.3">
      <c r="A72" s="3">
        <f t="shared" ca="1" si="9"/>
        <v>45125</v>
      </c>
      <c r="B72" s="4" t="s">
        <v>52</v>
      </c>
      <c r="C72" s="4" t="s">
        <v>53</v>
      </c>
      <c r="D72" s="4" t="s">
        <v>54</v>
      </c>
      <c r="E72" s="4" t="s">
        <v>55</v>
      </c>
      <c r="F72" s="4">
        <f ca="1">ROUND(T_Facebook_Ads[[#This Row],[impressions]]*RANDBETWEEN(8,12)/10,0)</f>
        <v>37410</v>
      </c>
      <c r="G72" s="4">
        <v>823</v>
      </c>
      <c r="H72" s="4">
        <f ca="1">T_Facebook_Ads[[#This Row],[spend]]*RANDBETWEEN(8,12)/10</f>
        <v>95.12</v>
      </c>
      <c r="I72" s="4">
        <f ca="1">ROUND(T_Facebook_Ads[[#This Row],[conversions]]*RANDBETWEEN(8,12)/10,0)</f>
        <v>13</v>
      </c>
      <c r="J72" s="4">
        <f ca="1">ROUND(T_Facebook_Ads[[#This Row],[video_views]]*RANDBETWEEN(8,12)/10,0)</f>
        <v>6710</v>
      </c>
      <c r="K72" s="4">
        <f ca="1">T_Facebook_Ads[[#This Row],[engagement_rate]]*RANDBETWEEN(8,12)/10</f>
        <v>1.7820000000000003E-2</v>
      </c>
      <c r="L72" s="4">
        <f ca="1">ROUND(T_Facebook_Ads[[#This Row],[reach]]*RANDBETWEEN(8,12)/10,0)</f>
        <v>28098</v>
      </c>
      <c r="M72" s="4">
        <f ca="1">T_Facebook_Ads[[#This Row],[frequency]]*RANDBETWEEN(8,12)/10</f>
        <v>1.18</v>
      </c>
      <c r="O72" s="3">
        <f t="shared" ca="1" si="10"/>
        <v>45135</v>
      </c>
      <c r="P72" s="4" t="s">
        <v>76</v>
      </c>
      <c r="Q72" s="4" t="s">
        <v>77</v>
      </c>
      <c r="R72" s="4" t="s">
        <v>78</v>
      </c>
      <c r="S72" s="4" t="s">
        <v>79</v>
      </c>
      <c r="T72" s="4">
        <f ca="1">ROUND(_Google_ads[[#This Row],[impressions]]*RANDBETWEEN(8,12)/10,0)</f>
        <v>17254</v>
      </c>
      <c r="U72" s="4">
        <f ca="1">ROUND(_Google_ads[[#This Row],[clicks]]*RANDBETWEEN(8,12)/10,0)</f>
        <v>1307</v>
      </c>
      <c r="V72" s="4">
        <f ca="1">_Google_ads[[#This Row],[cost]]*RANDBETWEEN(8,12)/10</f>
        <v>249.36000000000004</v>
      </c>
      <c r="W72" s="4">
        <f ca="1">ROUND(_Google_ads[[#This Row],[conversions]]*RANDBETWEEN(8,12)/10,0)</f>
        <v>37</v>
      </c>
      <c r="X72" s="4">
        <f ca="1">ROUND(_Google_ads[[#This Row],[conversion_value]]*RANDBETWEEN(8,12)/10,0)</f>
        <v>2255</v>
      </c>
      <c r="Y72" s="4">
        <f ca="1">_Google_ads[[#This Row],[ctr]]*RANDBETWEEN(8,12)/10</f>
        <v>4.5450000000000004E-2</v>
      </c>
      <c r="Z72" s="4">
        <f ca="1">_Google_ads[[#This Row],[avg_cpc]]*RANDBETWEEN(8,12)/10</f>
        <v>0.20899999999999999</v>
      </c>
      <c r="AA72" s="4">
        <f ca="1">ROUND(_Google_ads[[#This Row],[quality_score]]*RANDBETWEEN(8,12)/10,0)</f>
        <v>9</v>
      </c>
      <c r="AB72" s="4">
        <f ca="1">_Google_ads[[#This Row],[search_impression_share]]*RANDBETWEEN(8,12)/10</f>
        <v>0.88000000000000012</v>
      </c>
      <c r="AD72" s="3">
        <f t="shared" ca="1" si="11"/>
        <v>45137</v>
      </c>
      <c r="AE72" s="4" t="s">
        <v>100</v>
      </c>
      <c r="AF72" s="4" t="s">
        <v>101</v>
      </c>
      <c r="AG72" s="4" t="s">
        <v>102</v>
      </c>
      <c r="AH72" s="4" t="s">
        <v>103</v>
      </c>
      <c r="AI72" s="4">
        <f ca="1">ROUND(T_Tiktok_ads[[#This Row],[impressions]]*RANDBETWEEN(8,12)/10,0)</f>
        <v>187654</v>
      </c>
      <c r="AJ72" s="4">
        <f ca="1">ROUND(T_Tiktok_ads[[#This Row],[clicks]]*RANDBETWEEN(8,12)/10,0)</f>
        <v>3802</v>
      </c>
      <c r="AK72" s="4">
        <v>445.7</v>
      </c>
      <c r="AL72" s="4">
        <f ca="1">ROUND(T_Tiktok_ads[[#This Row],[conversions]]*RANDBETWEEN(8,12)/10,0)</f>
        <v>37</v>
      </c>
      <c r="AM72" s="4">
        <f ca="1">ROUND(T_Tiktok_ads[[#This Row],[video_views]]*RANDBETWEEN(8,12)/10,0)</f>
        <v>156187</v>
      </c>
      <c r="AN72" s="4">
        <f ca="1">ROUND(T_Tiktok_ads[[#This Row],[video_watch_25]]*RANDBETWEEN(8,12)/10,0)</f>
        <v>168802</v>
      </c>
      <c r="AO72" s="4">
        <f ca="1">ROUND(T_Tiktok_ads[[#This Row],[video_watch_50]]*RANDBETWEEN(8,12)/10,0)</f>
        <v>115481</v>
      </c>
      <c r="AP72" s="4">
        <f ca="1">ROUND(T_Tiktok_ads[[#This Row],[video_watch_75]]*RANDBETWEEN(8,12)/10,0)</f>
        <v>52187</v>
      </c>
      <c r="AQ72" s="4">
        <f ca="1">ROUND(T_Tiktok_ads[[#This Row],[video_watch_100]]*RANDBETWEEN(8,12)/10,0)</f>
        <v>52280</v>
      </c>
      <c r="AR72" s="4">
        <f ca="1">ROUND(T_Tiktok_ads[[#This Row],[likes]]*RANDBETWEEN(8,12)/10,0)</f>
        <v>9632</v>
      </c>
      <c r="AS72" s="4">
        <f ca="1">ROUND(T_Tiktok_ads[[#This Row],[shares]]*RANDBETWEEN(8,12)/10,0)</f>
        <v>2234</v>
      </c>
      <c r="AT72" s="4">
        <f ca="1">ROUND(T_Tiktok_ads[[#This Row],[comments]]*RANDBETWEEN(8,12)/10,0)</f>
        <v>427</v>
      </c>
      <c r="AV72" s="5">
        <f t="shared" ca="1" si="12"/>
        <v>45121</v>
      </c>
      <c r="AW72">
        <f t="shared" ca="1" si="13"/>
        <v>2</v>
      </c>
      <c r="AX72">
        <f ca="1">ROUND(T_Facebook_Ads11596367717579[[#This Row],[impressions]]*RANDBETWEEN(8,12)/10,0)</f>
        <v>44892</v>
      </c>
      <c r="AY72">
        <f ca="1">ROUND(T_Facebook_Ads11596367717579[[#This Row],[clicks]]*RANDBETWEEN(8,12)/10,0)</f>
        <v>823</v>
      </c>
      <c r="AZ72">
        <f ca="1">T_Facebook_Ads11596367717579[[#This Row],[spend]]*RANDBETWEEN(8,12)/10</f>
        <v>104.63200000000002</v>
      </c>
      <c r="BA72">
        <f ca="1">ROUND(T_Facebook_Ads11596367717579[[#This Row],[conversions]]*RANDBETWEEN(8,12)/10,0)</f>
        <v>16</v>
      </c>
      <c r="BB72">
        <f ca="1">ROUND(T_Facebook_Ads11596367717579[[#This Row],[video_views]]*RANDBETWEEN(8,12)/10,0)</f>
        <v>6039</v>
      </c>
    </row>
    <row r="73" spans="1:54" ht="15.75" thickBot="1" x14ac:dyDescent="0.3">
      <c r="A73" s="3">
        <f t="shared" ca="1" si="9"/>
        <v>45130</v>
      </c>
      <c r="B73" s="4" t="s">
        <v>56</v>
      </c>
      <c r="C73" s="4" t="s">
        <v>57</v>
      </c>
      <c r="D73" s="4" t="s">
        <v>58</v>
      </c>
      <c r="E73" s="4" t="s">
        <v>59</v>
      </c>
      <c r="F73" s="4">
        <f ca="1">ROUND(T_Facebook_Ads[[#This Row],[impressions]]*RANDBETWEEN(8,12)/10,0)</f>
        <v>9211</v>
      </c>
      <c r="G73" s="4">
        <v>467</v>
      </c>
      <c r="H73" s="4">
        <f ca="1">T_Facebook_Ads[[#This Row],[spend]]*RANDBETWEEN(8,12)/10</f>
        <v>196.24</v>
      </c>
      <c r="I73" s="4">
        <f ca="1">ROUND(T_Facebook_Ads[[#This Row],[conversions]]*RANDBETWEEN(8,12)/10,0)</f>
        <v>24</v>
      </c>
      <c r="J73" s="4">
        <f ca="1">ROUND(T_Facebook_Ads[[#This Row],[video_views]]*RANDBETWEEN(8,12)/10,0)</f>
        <v>851</v>
      </c>
      <c r="K73" s="4">
        <f ca="1">T_Facebook_Ads[[#This Row],[engagement_rate]]*RANDBETWEEN(8,12)/10</f>
        <v>5.0160000000000003E-2</v>
      </c>
      <c r="L73" s="4">
        <f ca="1">ROUND(T_Facebook_Ads[[#This Row],[reach]]*RANDBETWEEN(8,12)/10,0)</f>
        <v>7610</v>
      </c>
      <c r="M73" s="4">
        <f ca="1">T_Facebook_Ads[[#This Row],[frequency]]*RANDBETWEEN(8,12)/10</f>
        <v>0.96799999999999997</v>
      </c>
      <c r="O73" s="3">
        <f t="shared" ca="1" si="10"/>
        <v>45120</v>
      </c>
      <c r="P73" s="4" t="s">
        <v>80</v>
      </c>
      <c r="Q73" s="4" t="s">
        <v>81</v>
      </c>
      <c r="R73" s="4" t="s">
        <v>82</v>
      </c>
      <c r="S73" s="4" t="s">
        <v>83</v>
      </c>
      <c r="T73" s="4">
        <f ca="1">ROUND(_Google_ads[[#This Row],[impressions]]*RANDBETWEEN(8,12)/10,0)</f>
        <v>42791</v>
      </c>
      <c r="U73" s="4">
        <f ca="1">ROUND(_Google_ads[[#This Row],[clicks]]*RANDBETWEEN(8,12)/10,0)</f>
        <v>778</v>
      </c>
      <c r="V73" s="4">
        <f ca="1">_Google_ads[[#This Row],[cost]]*RANDBETWEEN(8,12)/10</f>
        <v>448.83000000000004</v>
      </c>
      <c r="W73" s="4">
        <f ca="1">ROUND(_Google_ads[[#This Row],[conversions]]*RANDBETWEEN(8,12)/10,0)</f>
        <v>21</v>
      </c>
      <c r="X73" s="4">
        <f ca="1">ROUND(_Google_ads[[#This Row],[conversion_value]]*RANDBETWEEN(8,12)/10,0)</f>
        <v>1045</v>
      </c>
      <c r="Y73" s="4">
        <f ca="1">_Google_ads[[#This Row],[ctr]]*RANDBETWEEN(8,12)/10</f>
        <v>1.7999999999999999E-2</v>
      </c>
      <c r="Z73" s="4">
        <f ca="1">_Google_ads[[#This Row],[avg_cpc]]*RANDBETWEEN(8,12)/10</f>
        <v>0.70399999999999996</v>
      </c>
      <c r="AA73" s="4">
        <f ca="1">ROUND(_Google_ads[[#This Row],[quality_score]]*RANDBETWEEN(8,12)/10,0)</f>
        <v>5</v>
      </c>
      <c r="AB73" s="4">
        <f ca="1">_Google_ads[[#This Row],[search_impression_share]]*RANDBETWEEN(8,12)/10</f>
        <v>0.49199999999999999</v>
      </c>
      <c r="AD73" s="3">
        <f t="shared" ca="1" si="11"/>
        <v>45128</v>
      </c>
      <c r="AE73" s="4" t="s">
        <v>104</v>
      </c>
      <c r="AF73" s="4" t="s">
        <v>105</v>
      </c>
      <c r="AG73" s="4" t="s">
        <v>106</v>
      </c>
      <c r="AH73" s="4" t="s">
        <v>107</v>
      </c>
      <c r="AI73" s="4">
        <f ca="1">ROUND(T_Tiktok_ads[[#This Row],[impressions]]*RANDBETWEEN(8,12)/10,0)</f>
        <v>128901</v>
      </c>
      <c r="AJ73" s="4">
        <f ca="1">ROUND(T_Tiktok_ads[[#This Row],[clicks]]*RANDBETWEEN(8,12)/10,0)</f>
        <v>2702</v>
      </c>
      <c r="AK73" s="4">
        <v>678.9</v>
      </c>
      <c r="AL73" s="4">
        <f ca="1">ROUND(T_Tiktok_ads[[#This Row],[conversions]]*RANDBETWEEN(8,12)/10,0)</f>
        <v>54</v>
      </c>
      <c r="AM73" s="4">
        <f ca="1">ROUND(T_Tiktok_ads[[#This Row],[video_views]]*RANDBETWEEN(8,12)/10,0)</f>
        <v>71387</v>
      </c>
      <c r="AN73" s="4">
        <f ca="1">ROUND(T_Tiktok_ads[[#This Row],[video_watch_25]]*RANDBETWEEN(8,12)/10,0)</f>
        <v>73957</v>
      </c>
      <c r="AO73" s="4">
        <f ca="1">ROUND(T_Tiktok_ads[[#This Row],[video_watch_50]]*RANDBETWEEN(8,12)/10,0)</f>
        <v>36187</v>
      </c>
      <c r="AP73" s="4">
        <f ca="1">ROUND(T_Tiktok_ads[[#This Row],[video_watch_75]]*RANDBETWEEN(8,12)/10,0)</f>
        <v>34234</v>
      </c>
      <c r="AQ73" s="4">
        <f ca="1">ROUND(T_Tiktok_ads[[#This Row],[video_watch_100]]*RANDBETWEEN(8,12)/10,0)</f>
        <v>23456</v>
      </c>
      <c r="AR73" s="4">
        <f ca="1">ROUND(T_Tiktok_ads[[#This Row],[likes]]*RANDBETWEEN(8,12)/10,0)</f>
        <v>3654</v>
      </c>
      <c r="AS73" s="4">
        <f ca="1">ROUND(T_Tiktok_ads[[#This Row],[shares]]*RANDBETWEEN(8,12)/10,0)</f>
        <v>1234</v>
      </c>
      <c r="AT73" s="4">
        <f ca="1">ROUND(T_Tiktok_ads[[#This Row],[comments]]*RANDBETWEEN(8,12)/10,0)</f>
        <v>211</v>
      </c>
      <c r="AV73" s="5">
        <f t="shared" ca="1" si="12"/>
        <v>45136</v>
      </c>
      <c r="AW73">
        <f t="shared" ca="1" si="13"/>
        <v>8</v>
      </c>
      <c r="AX73">
        <f ca="1">ROUND(T_Facebook_Ads11596367717579[[#This Row],[impressions]]*RANDBETWEEN(8,12)/10,0)</f>
        <v>8290</v>
      </c>
      <c r="AY73">
        <f ca="1">ROUND(T_Facebook_Ads11596367717579[[#This Row],[clicks]]*RANDBETWEEN(8,12)/10,0)</f>
        <v>560</v>
      </c>
      <c r="AZ73">
        <f ca="1">T_Facebook_Ads11596367717579[[#This Row],[spend]]*RANDBETWEEN(8,12)/10</f>
        <v>215.86400000000003</v>
      </c>
      <c r="BA73">
        <f ca="1">ROUND(T_Facebook_Ads11596367717579[[#This Row],[conversions]]*RANDBETWEEN(8,12)/10,0)</f>
        <v>26</v>
      </c>
      <c r="BB73">
        <f ca="1">ROUND(T_Facebook_Ads11596367717579[[#This Row],[video_views]]*RANDBETWEEN(8,12)/10,0)</f>
        <v>936</v>
      </c>
    </row>
    <row r="74" spans="1:54" ht="15.75" thickBot="1" x14ac:dyDescent="0.3">
      <c r="A74" s="3">
        <f t="shared" ca="1" si="9"/>
        <v>45108</v>
      </c>
      <c r="B74" s="4" t="s">
        <v>60</v>
      </c>
      <c r="C74" s="4" t="s">
        <v>61</v>
      </c>
      <c r="D74" s="4" t="s">
        <v>62</v>
      </c>
      <c r="E74" s="4" t="s">
        <v>63</v>
      </c>
      <c r="F74" s="4">
        <f ca="1">ROUND(T_Facebook_Ads[[#This Row],[impressions]]*RANDBETWEEN(8,12)/10,0)</f>
        <v>29601</v>
      </c>
      <c r="G74" s="4">
        <v>1178</v>
      </c>
      <c r="H74" s="4">
        <f ca="1">T_Facebook_Ads[[#This Row],[spend]]*RANDBETWEEN(8,12)/10</f>
        <v>205.43999999999997</v>
      </c>
      <c r="I74" s="4">
        <f ca="1">ROUND(T_Facebook_Ads[[#This Row],[conversions]]*RANDBETWEEN(8,12)/10,0)</f>
        <v>18</v>
      </c>
      <c r="J74" s="4">
        <f ca="1">ROUND(T_Facebook_Ads[[#This Row],[video_views]]*RANDBETWEEN(8,12)/10,0)</f>
        <v>4168</v>
      </c>
      <c r="K74" s="4">
        <f ca="1">T_Facebook_Ads[[#This Row],[engagement_rate]]*RANDBETWEEN(8,12)/10</f>
        <v>3.5799999999999998E-2</v>
      </c>
      <c r="L74" s="4">
        <f ca="1">ROUND(T_Facebook_Ads[[#This Row],[reach]]*RANDBETWEEN(8,12)/10,0)</f>
        <v>27234</v>
      </c>
      <c r="M74" s="4">
        <f ca="1">T_Facebook_Ads[[#This Row],[frequency]]*RANDBETWEEN(8,12)/10</f>
        <v>1.21</v>
      </c>
      <c r="O74" s="3">
        <f t="shared" ca="1" si="10"/>
        <v>45123</v>
      </c>
      <c r="P74" s="4" t="s">
        <v>84</v>
      </c>
      <c r="Q74" s="4" t="s">
        <v>85</v>
      </c>
      <c r="R74" s="4" t="s">
        <v>86</v>
      </c>
      <c r="S74" s="4" t="s">
        <v>87</v>
      </c>
      <c r="T74" s="4">
        <f ca="1">ROUND(_Google_ads[[#This Row],[impressions]]*RANDBETWEEN(8,12)/10,0)</f>
        <v>56111</v>
      </c>
      <c r="U74" s="4">
        <f ca="1">ROUND(_Google_ads[[#This Row],[clicks]]*RANDBETWEEN(8,12)/10,0)</f>
        <v>2188</v>
      </c>
      <c r="V74" s="4">
        <f ca="1">_Google_ads[[#This Row],[cost]]*RANDBETWEEN(8,12)/10</f>
        <v>401.93999999999994</v>
      </c>
      <c r="W74" s="4">
        <f ca="1">ROUND(_Google_ads[[#This Row],[conversions]]*RANDBETWEEN(8,12)/10,0)</f>
        <v>57</v>
      </c>
      <c r="X74" s="4">
        <f ca="1">ROUND(_Google_ads[[#This Row],[conversion_value]]*RANDBETWEEN(8,12)/10,0)</f>
        <v>3420</v>
      </c>
      <c r="Y74" s="4">
        <f ca="1">_Google_ads[[#This Row],[ctr]]*RANDBETWEEN(8,12)/10</f>
        <v>3.5089999999999996E-2</v>
      </c>
      <c r="Z74" s="4">
        <f ca="1">_Google_ads[[#This Row],[avg_cpc]]*RANDBETWEEN(8,12)/10</f>
        <v>0.16199999999999998</v>
      </c>
      <c r="AA74" s="4">
        <f ca="1">ROUND(_Google_ads[[#This Row],[quality_score]]*RANDBETWEEN(8,12)/10,0)</f>
        <v>10</v>
      </c>
      <c r="AB74" s="4">
        <f ca="1">_Google_ads[[#This Row],[search_impression_share]]*RANDBETWEEN(8,12)/10</f>
        <v>0.75600000000000001</v>
      </c>
      <c r="AD74" s="3">
        <f t="shared" ca="1" si="11"/>
        <v>45115</v>
      </c>
      <c r="AE74" s="4" t="s">
        <v>108</v>
      </c>
      <c r="AF74" s="4" t="s">
        <v>109</v>
      </c>
      <c r="AG74" s="4" t="s">
        <v>110</v>
      </c>
      <c r="AH74" s="4" t="s">
        <v>111</v>
      </c>
      <c r="AI74" s="4">
        <f ca="1">ROUND(T_Tiktok_ads[[#This Row],[impressions]]*RANDBETWEEN(8,12)/10,0)</f>
        <v>201234</v>
      </c>
      <c r="AJ74" s="4">
        <f ca="1">ROUND(T_Tiktok_ads[[#This Row],[clicks]]*RANDBETWEEN(8,12)/10,0)</f>
        <v>3748</v>
      </c>
      <c r="AK74" s="4">
        <v>374.5</v>
      </c>
      <c r="AL74" s="4">
        <f ca="1">ROUND(T_Tiktok_ads[[#This Row],[conversions]]*RANDBETWEEN(8,12)/10,0)</f>
        <v>21</v>
      </c>
      <c r="AM74" s="4">
        <f ca="1">ROUND(T_Tiktok_ads[[#This Row],[video_views]]*RANDBETWEEN(8,12)/10,0)</f>
        <v>126312</v>
      </c>
      <c r="AN74" s="4">
        <f ca="1">ROUND(T_Tiktok_ads[[#This Row],[video_watch_25]]*RANDBETWEEN(8,12)/10,0)</f>
        <v>145481</v>
      </c>
      <c r="AO74" s="4">
        <f ca="1">ROUND(T_Tiktok_ads[[#This Row],[video_watch_50]]*RANDBETWEEN(8,12)/10,0)</f>
        <v>86611</v>
      </c>
      <c r="AP74" s="4">
        <f ca="1">ROUND(T_Tiktok_ads[[#This Row],[video_watch_75]]*RANDBETWEEN(8,12)/10,0)</f>
        <v>73481</v>
      </c>
      <c r="AQ74" s="4">
        <f ca="1">ROUND(T_Tiktok_ads[[#This Row],[video_watch_100]]*RANDBETWEEN(8,12)/10,0)</f>
        <v>37456</v>
      </c>
      <c r="AR74" s="4">
        <f ca="1">ROUND(T_Tiktok_ads[[#This Row],[likes]]*RANDBETWEEN(8,12)/10,0)</f>
        <v>6611</v>
      </c>
      <c r="AS74" s="4">
        <f ca="1">ROUND(T_Tiktok_ads[[#This Row],[shares]]*RANDBETWEEN(8,12)/10,0)</f>
        <v>2441</v>
      </c>
      <c r="AT74" s="4">
        <f ca="1">ROUND(T_Tiktok_ads[[#This Row],[comments]]*RANDBETWEEN(8,12)/10,0)</f>
        <v>440</v>
      </c>
      <c r="AV74" s="5">
        <f t="shared" ca="1" si="12"/>
        <v>45120</v>
      </c>
      <c r="AW74">
        <f t="shared" ca="1" si="13"/>
        <v>4</v>
      </c>
      <c r="AX74">
        <f ca="1">ROUND(T_Facebook_Ads11596367717579[[#This Row],[impressions]]*RANDBETWEEN(8,12)/10,0)</f>
        <v>29601</v>
      </c>
      <c r="AY74">
        <f ca="1">ROUND(T_Facebook_Ads11596367717579[[#This Row],[clicks]]*RANDBETWEEN(8,12)/10,0)</f>
        <v>1296</v>
      </c>
      <c r="AZ74">
        <f ca="1">T_Facebook_Ads11596367717579[[#This Row],[spend]]*RANDBETWEEN(8,12)/10</f>
        <v>184.89599999999999</v>
      </c>
      <c r="BA74">
        <f ca="1">ROUND(T_Facebook_Ads11596367717579[[#This Row],[conversions]]*RANDBETWEEN(8,12)/10,0)</f>
        <v>16</v>
      </c>
      <c r="BB74">
        <f ca="1">ROUND(T_Facebook_Ads11596367717579[[#This Row],[video_views]]*RANDBETWEEN(8,12)/10,0)</f>
        <v>4585</v>
      </c>
    </row>
    <row r="75" spans="1:54" ht="15.75" thickBot="1" x14ac:dyDescent="0.3">
      <c r="A75" s="3">
        <f t="shared" ca="1" si="9"/>
        <v>45115</v>
      </c>
      <c r="B75" s="4" t="s">
        <v>64</v>
      </c>
      <c r="C75" s="4" t="s">
        <v>65</v>
      </c>
      <c r="D75" s="4" t="s">
        <v>66</v>
      </c>
      <c r="E75" s="4" t="s">
        <v>67</v>
      </c>
      <c r="F75" s="4">
        <f ca="1">ROUND(T_Facebook_Ads[[#This Row],[impressions]]*RANDBETWEEN(8,12)/10,0)</f>
        <v>68580</v>
      </c>
      <c r="G75" s="4">
        <v>223</v>
      </c>
      <c r="H75" s="4">
        <f ca="1">T_Facebook_Ads[[#This Row],[spend]]*RANDBETWEEN(8,12)/10</f>
        <v>91.559999999999988</v>
      </c>
      <c r="I75" s="4">
        <f ca="1">ROUND(T_Facebook_Ads[[#This Row],[conversions]]*RANDBETWEEN(8,12)/10,0)</f>
        <v>4</v>
      </c>
      <c r="J75" s="4">
        <f ca="1">ROUND(T_Facebook_Ads[[#This Row],[video_views]]*RANDBETWEEN(8,12)/10,0)</f>
        <v>32987</v>
      </c>
      <c r="K75" s="4">
        <f ca="1">T_Facebook_Ads[[#This Row],[engagement_rate]]*RANDBETWEEN(8,12)/10</f>
        <v>3.96E-3</v>
      </c>
      <c r="L75" s="4">
        <f ca="1">ROUND(T_Facebook_Ads[[#This Row],[reach]]*RANDBETWEEN(8,12)/10,0)</f>
        <v>46410</v>
      </c>
      <c r="M75" s="4">
        <f ca="1">T_Facebook_Ads[[#This Row],[frequency]]*RANDBETWEEN(8,12)/10</f>
        <v>0.96</v>
      </c>
      <c r="O75" s="3">
        <f t="shared" ca="1" si="10"/>
        <v>45113</v>
      </c>
      <c r="P75" s="4" t="s">
        <v>88</v>
      </c>
      <c r="Q75" s="4" t="s">
        <v>89</v>
      </c>
      <c r="R75" s="4" t="s">
        <v>90</v>
      </c>
      <c r="S75" s="4" t="s">
        <v>59</v>
      </c>
      <c r="T75" s="4">
        <f ca="1">ROUND(_Google_ads[[#This Row],[impressions]]*RANDBETWEEN(8,12)/10,0)</f>
        <v>130057</v>
      </c>
      <c r="U75" s="4">
        <f ca="1">ROUND(_Google_ads[[#This Row],[clicks]]*RANDBETWEEN(8,12)/10,0)</f>
        <v>465</v>
      </c>
      <c r="V75" s="4">
        <f ca="1">_Google_ads[[#This Row],[cost]]*RANDBETWEEN(8,12)/10</f>
        <v>104.58</v>
      </c>
      <c r="W75" s="4">
        <f ca="1">ROUND(_Google_ads[[#This Row],[conversions]]*RANDBETWEEN(8,12)/10,0)</f>
        <v>9</v>
      </c>
      <c r="X75" s="4">
        <f ca="1">ROUND(_Google_ads[[#This Row],[conversion_value]]*RANDBETWEEN(8,12)/10,0)</f>
        <v>660</v>
      </c>
      <c r="Y75" s="4">
        <f ca="1">_Google_ads[[#This Row],[ctr]]*RANDBETWEEN(8,12)/10</f>
        <v>3.2399999999999998E-3</v>
      </c>
      <c r="Z75" s="4">
        <f ca="1">_Google_ads[[#This Row],[avg_cpc]]*RANDBETWEEN(8,12)/10</f>
        <v>0.32400000000000001</v>
      </c>
      <c r="AA75" s="4">
        <f ca="1">ROUND(_Google_ads[[#This Row],[quality_score]]*RANDBETWEEN(8,12)/10,0)</f>
        <v>6</v>
      </c>
      <c r="AB75" s="4">
        <f ca="1">_Google_ads[[#This Row],[search_impression_share]]*RANDBETWEEN(8,12)/10</f>
        <v>0.35199999999999998</v>
      </c>
      <c r="AD75" s="3">
        <f t="shared" ca="1" si="11"/>
        <v>45123</v>
      </c>
      <c r="AE75" s="4" t="s">
        <v>112</v>
      </c>
      <c r="AF75" s="4" t="s">
        <v>113</v>
      </c>
      <c r="AG75" s="4" t="s">
        <v>114</v>
      </c>
      <c r="AH75" s="4" t="s">
        <v>115</v>
      </c>
      <c r="AI75" s="4">
        <f ca="1">ROUND(T_Tiktok_ads[[#This Row],[impressions]]*RANDBETWEEN(8,12)/10,0)</f>
        <v>367890</v>
      </c>
      <c r="AJ75" s="4">
        <f ca="1">ROUND(T_Tiktok_ads[[#This Row],[clicks]]*RANDBETWEEN(8,12)/10,0)</f>
        <v>5411</v>
      </c>
      <c r="AK75" s="4">
        <v>923.4</v>
      </c>
      <c r="AL75" s="4">
        <f ca="1">ROUND(T_Tiktok_ads[[#This Row],[conversions]]*RANDBETWEEN(8,12)/10,0)</f>
        <v>103</v>
      </c>
      <c r="AM75" s="4">
        <f ca="1">ROUND(T_Tiktok_ads[[#This Row],[video_views]]*RANDBETWEEN(8,12)/10,0)</f>
        <v>240987</v>
      </c>
      <c r="AN75" s="4">
        <f ca="1">ROUND(T_Tiktok_ads[[#This Row],[video_watch_25]]*RANDBETWEEN(8,12)/10,0)</f>
        <v>196542</v>
      </c>
      <c r="AO75" s="4">
        <f ca="1">ROUND(T_Tiktok_ads[[#This Row],[video_watch_50]]*RANDBETWEEN(8,12)/10,0)</f>
        <v>236147</v>
      </c>
      <c r="AP75" s="4">
        <f ca="1">ROUND(T_Tiktok_ads[[#This Row],[video_watch_75]]*RANDBETWEEN(8,12)/10,0)</f>
        <v>126211</v>
      </c>
      <c r="AQ75" s="4">
        <f ca="1">ROUND(T_Tiktok_ads[[#This Row],[video_watch_100]]*RANDBETWEEN(8,12)/10,0)</f>
        <v>112147</v>
      </c>
      <c r="AR75" s="4">
        <f ca="1">ROUND(T_Tiktok_ads[[#This Row],[likes]]*RANDBETWEEN(8,12)/10,0)</f>
        <v>14611</v>
      </c>
      <c r="AS75" s="4">
        <f ca="1">ROUND(T_Tiktok_ads[[#This Row],[shares]]*RANDBETWEEN(8,12)/10,0)</f>
        <v>5747</v>
      </c>
      <c r="AT75" s="4">
        <f ca="1">ROUND(T_Tiktok_ads[[#This Row],[comments]]*RANDBETWEEN(8,12)/10,0)</f>
        <v>1160</v>
      </c>
      <c r="AV75" s="5">
        <f t="shared" ca="1" si="12"/>
        <v>45122</v>
      </c>
      <c r="AW75">
        <f t="shared" ca="1" si="13"/>
        <v>5</v>
      </c>
      <c r="AX75">
        <f ca="1">ROUND(T_Facebook_Ads11596367717579[[#This Row],[impressions]]*RANDBETWEEN(8,12)/10,0)</f>
        <v>82296</v>
      </c>
      <c r="AY75">
        <f ca="1">ROUND(T_Facebook_Ads11596367717579[[#This Row],[clicks]]*RANDBETWEEN(8,12)/10,0)</f>
        <v>178</v>
      </c>
      <c r="AZ75">
        <f ca="1">T_Facebook_Ads11596367717579[[#This Row],[spend]]*RANDBETWEEN(8,12)/10</f>
        <v>82.403999999999982</v>
      </c>
      <c r="BA75">
        <f ca="1">ROUND(T_Facebook_Ads11596367717579[[#This Row],[conversions]]*RANDBETWEEN(8,12)/10,0)</f>
        <v>4</v>
      </c>
      <c r="BB75">
        <f ca="1">ROUND(T_Facebook_Ads11596367717579[[#This Row],[video_views]]*RANDBETWEEN(8,12)/10,0)</f>
        <v>26390</v>
      </c>
    </row>
    <row r="76" spans="1:54" ht="15.75" thickBot="1" x14ac:dyDescent="0.3">
      <c r="A76" s="3">
        <f t="shared" ca="1" si="9"/>
        <v>45132</v>
      </c>
      <c r="B76" s="4" t="s">
        <v>52</v>
      </c>
      <c r="C76" s="4" t="s">
        <v>53</v>
      </c>
      <c r="D76" s="4" t="s">
        <v>54</v>
      </c>
      <c r="E76" s="4" t="s">
        <v>55</v>
      </c>
      <c r="F76" s="4">
        <f ca="1">ROUND(T_Facebook_Ads[[#This Row],[impressions]]*RANDBETWEEN(8,12)/10,0)</f>
        <v>45234</v>
      </c>
      <c r="G76" s="4">
        <v>912</v>
      </c>
      <c r="H76" s="4">
        <f ca="1">T_Facebook_Ads[[#This Row],[spend]]*RANDBETWEEN(8,12)/10</f>
        <v>155.76000000000002</v>
      </c>
      <c r="I76" s="4">
        <f ca="1">ROUND(T_Facebook_Ads[[#This Row],[conversions]]*RANDBETWEEN(8,12)/10,0)</f>
        <v>17</v>
      </c>
      <c r="J76" s="4">
        <f ca="1">ROUND(T_Facebook_Ads[[#This Row],[video_views]]*RANDBETWEEN(8,12)/10,0)</f>
        <v>9057</v>
      </c>
      <c r="K76" s="4">
        <f ca="1">T_Facebook_Ads[[#This Row],[engagement_rate]]*RANDBETWEEN(8,12)/10</f>
        <v>2.4240000000000001E-2</v>
      </c>
      <c r="L76" s="4">
        <f ca="1">ROUND(T_Facebook_Ads[[#This Row],[reach]]*RANDBETWEEN(8,12)/10,0)</f>
        <v>38567</v>
      </c>
      <c r="M76" s="4">
        <f ca="1">T_Facebook_Ads[[#This Row],[frequency]]*RANDBETWEEN(8,12)/10</f>
        <v>1.2869999999999999</v>
      </c>
      <c r="O76" s="3">
        <f t="shared" ca="1" si="10"/>
        <v>45135</v>
      </c>
      <c r="P76" s="4" t="s">
        <v>76</v>
      </c>
      <c r="Q76" s="4" t="s">
        <v>77</v>
      </c>
      <c r="R76" s="4" t="s">
        <v>78</v>
      </c>
      <c r="S76" s="4" t="s">
        <v>79</v>
      </c>
      <c r="T76" s="4">
        <f ca="1">ROUND(_Google_ads[[#This Row],[impressions]]*RANDBETWEEN(8,12)/10,0)</f>
        <v>21811</v>
      </c>
      <c r="U76" s="4">
        <f ca="1">ROUND(_Google_ads[[#This Row],[clicks]]*RANDBETWEEN(8,12)/10,0)</f>
        <v>1140</v>
      </c>
      <c r="V76" s="4">
        <f ca="1">_Google_ads[[#This Row],[cost]]*RANDBETWEEN(8,12)/10</f>
        <v>265.32</v>
      </c>
      <c r="W76" s="4">
        <f ca="1">ROUND(_Google_ads[[#This Row],[conversions]]*RANDBETWEEN(8,12)/10,0)</f>
        <v>38</v>
      </c>
      <c r="X76" s="4">
        <f ca="1">ROUND(_Google_ads[[#This Row],[conversion_value]]*RANDBETWEEN(8,12)/10,0)</f>
        <v>2820</v>
      </c>
      <c r="Y76" s="4">
        <f ca="1">_Google_ads[[#This Row],[ctr]]*RANDBETWEEN(8,12)/10</f>
        <v>4.7070000000000001E-2</v>
      </c>
      <c r="Z76" s="4">
        <f ca="1">_Google_ads[[#This Row],[avg_cpc]]*RANDBETWEEN(8,12)/10</f>
        <v>0.20899999999999999</v>
      </c>
      <c r="AA76" s="4">
        <f ca="1">ROUND(_Google_ads[[#This Row],[quality_score]]*RANDBETWEEN(8,12)/10,0)</f>
        <v>10</v>
      </c>
      <c r="AB76" s="4">
        <f ca="1">_Google_ads[[#This Row],[search_impression_share]]*RANDBETWEEN(8,12)/10</f>
        <v>0.81899999999999995</v>
      </c>
      <c r="AD76" s="3">
        <f t="shared" ca="1" si="11"/>
        <v>45138</v>
      </c>
      <c r="AE76" s="4" t="s">
        <v>100</v>
      </c>
      <c r="AF76" s="4" t="s">
        <v>101</v>
      </c>
      <c r="AG76" s="4" t="s">
        <v>102</v>
      </c>
      <c r="AH76" s="4" t="s">
        <v>103</v>
      </c>
      <c r="AI76" s="4">
        <f ca="1">ROUND(T_Tiktok_ads[[#This Row],[impressions]]*RANDBETWEEN(8,12)/10,0)</f>
        <v>267890</v>
      </c>
      <c r="AJ76" s="4">
        <f ca="1">ROUND(T_Tiktok_ads[[#This Row],[clicks]]*RANDBETWEEN(8,12)/10,0)</f>
        <v>4340</v>
      </c>
      <c r="AK76" s="4">
        <v>523.4</v>
      </c>
      <c r="AL76" s="4">
        <f ca="1">ROUND(T_Tiktok_ads[[#This Row],[conversions]]*RANDBETWEEN(8,12)/10,0)</f>
        <v>44</v>
      </c>
      <c r="AM76" s="4">
        <f ca="1">ROUND(T_Tiktok_ads[[#This Row],[video_views]]*RANDBETWEEN(8,12)/10,0)</f>
        <v>176987</v>
      </c>
      <c r="AN76" s="4">
        <f ca="1">ROUND(T_Tiktok_ads[[#This Row],[video_watch_25]]*RANDBETWEEN(8,12)/10,0)</f>
        <v>208147</v>
      </c>
      <c r="AO76" s="4">
        <f ca="1">ROUND(T_Tiktok_ads[[#This Row],[video_watch_50]]*RANDBETWEEN(8,12)/10,0)</f>
        <v>109234</v>
      </c>
      <c r="AP76" s="4">
        <f ca="1">ROUND(T_Tiktok_ads[[#This Row],[video_watch_75]]*RANDBETWEEN(8,12)/10,0)</f>
        <v>80924</v>
      </c>
      <c r="AQ76" s="4">
        <f ca="1">ROUND(T_Tiktok_ads[[#This Row],[video_watch_100]]*RANDBETWEEN(8,12)/10,0)</f>
        <v>59081</v>
      </c>
      <c r="AR76" s="4">
        <f ca="1">ROUND(T_Tiktok_ads[[#This Row],[likes]]*RANDBETWEEN(8,12)/10,0)</f>
        <v>11747</v>
      </c>
      <c r="AS76" s="4">
        <f ca="1">ROUND(T_Tiktok_ads[[#This Row],[shares]]*RANDBETWEEN(8,12)/10,0)</f>
        <v>2897</v>
      </c>
      <c r="AT76" s="4">
        <f ca="1">ROUND(T_Tiktok_ads[[#This Row],[comments]]*RANDBETWEEN(8,12)/10,0)</f>
        <v>623</v>
      </c>
      <c r="AV76" s="5">
        <f t="shared" ca="1" si="12"/>
        <v>45115</v>
      </c>
      <c r="AW76">
        <f t="shared" ca="1" si="13"/>
        <v>2</v>
      </c>
      <c r="AX76">
        <f ca="1">ROUND(T_Facebook_Ads11596367717579[[#This Row],[impressions]]*RANDBETWEEN(8,12)/10,0)</f>
        <v>49757</v>
      </c>
      <c r="AY76">
        <f ca="1">ROUND(T_Facebook_Ads11596367717579[[#This Row],[clicks]]*RANDBETWEEN(8,12)/10,0)</f>
        <v>1094</v>
      </c>
      <c r="AZ76">
        <f ca="1">T_Facebook_Ads11596367717579[[#This Row],[spend]]*RANDBETWEEN(8,12)/10</f>
        <v>124.60800000000002</v>
      </c>
      <c r="BA76">
        <f ca="1">ROUND(T_Facebook_Ads11596367717579[[#This Row],[conversions]]*RANDBETWEEN(8,12)/10,0)</f>
        <v>20</v>
      </c>
      <c r="BB76">
        <f ca="1">ROUND(T_Facebook_Ads11596367717579[[#This Row],[video_views]]*RANDBETWEEN(8,12)/10,0)</f>
        <v>9963</v>
      </c>
    </row>
    <row r="77" spans="1:54" ht="15.75" thickBot="1" x14ac:dyDescent="0.3">
      <c r="A77" s="3">
        <f t="shared" ca="1" si="9"/>
        <v>45129</v>
      </c>
      <c r="B77" s="4" t="s">
        <v>56</v>
      </c>
      <c r="C77" s="4" t="s">
        <v>57</v>
      </c>
      <c r="D77" s="4" t="s">
        <v>58</v>
      </c>
      <c r="E77" s="4" t="s">
        <v>59</v>
      </c>
      <c r="F77" s="4">
        <f ca="1">ROUND(T_Facebook_Ads[[#This Row],[impressions]]*RANDBETWEEN(8,12)/10,0)</f>
        <v>13702</v>
      </c>
      <c r="G77" s="4">
        <v>567</v>
      </c>
      <c r="H77" s="4">
        <f ca="1">T_Facebook_Ads[[#This Row],[spend]]*RANDBETWEEN(8,12)/10</f>
        <v>230.56</v>
      </c>
      <c r="I77" s="4">
        <f ca="1">ROUND(T_Facebook_Ads[[#This Row],[conversions]]*RANDBETWEEN(8,12)/10,0)</f>
        <v>29</v>
      </c>
      <c r="J77" s="4">
        <f ca="1">ROUND(T_Facebook_Ads[[#This Row],[video_views]]*RANDBETWEEN(8,12)/10,0)</f>
        <v>1357</v>
      </c>
      <c r="K77" s="4">
        <f ca="1">T_Facebook_Ads[[#This Row],[engagement_rate]]*RANDBETWEEN(8,12)/10</f>
        <v>4.095E-2</v>
      </c>
      <c r="L77" s="4">
        <f ca="1">ROUND(T_Facebook_Ads[[#This Row],[reach]]*RANDBETWEEN(8,12)/10,0)</f>
        <v>7901</v>
      </c>
      <c r="M77" s="4">
        <f ca="1">T_Facebook_Ads[[#This Row],[frequency]]*RANDBETWEEN(8,12)/10</f>
        <v>1.512</v>
      </c>
      <c r="O77" s="3">
        <f t="shared" ca="1" si="10"/>
        <v>45136</v>
      </c>
      <c r="P77" s="4" t="s">
        <v>80</v>
      </c>
      <c r="Q77" s="4" t="s">
        <v>81</v>
      </c>
      <c r="R77" s="4" t="s">
        <v>82</v>
      </c>
      <c r="S77" s="4" t="s">
        <v>83</v>
      </c>
      <c r="T77" s="4">
        <f ca="1">ROUND(_Google_ads[[#This Row],[impressions]]*RANDBETWEEN(8,12)/10,0)</f>
        <v>34312</v>
      </c>
      <c r="U77" s="4">
        <f ca="1">ROUND(_Google_ads[[#This Row],[clicks]]*RANDBETWEEN(8,12)/10,0)</f>
        <v>930</v>
      </c>
      <c r="V77" s="4">
        <f ca="1">_Google_ads[[#This Row],[cost]]*RANDBETWEEN(8,12)/10</f>
        <v>549.29999999999995</v>
      </c>
      <c r="W77" s="4">
        <f ca="1">ROUND(_Google_ads[[#This Row],[conversions]]*RANDBETWEEN(8,12)/10,0)</f>
        <v>24</v>
      </c>
      <c r="X77" s="4">
        <f ca="1">ROUND(_Google_ads[[#This Row],[conversion_value]]*RANDBETWEEN(8,12)/10,0)</f>
        <v>990</v>
      </c>
      <c r="Y77" s="4">
        <f ca="1">_Google_ads[[#This Row],[ctr]]*RANDBETWEEN(8,12)/10</f>
        <v>2.1669999999999998E-2</v>
      </c>
      <c r="Z77" s="4">
        <f ca="1">_Google_ads[[#This Row],[avg_cpc]]*RANDBETWEEN(8,12)/10</f>
        <v>0.65</v>
      </c>
      <c r="AA77" s="4">
        <f ca="1">ROUND(_Google_ads[[#This Row],[quality_score]]*RANDBETWEEN(8,12)/10,0)</f>
        <v>6</v>
      </c>
      <c r="AB77" s="4">
        <f ca="1">_Google_ads[[#This Row],[search_impression_share]]*RANDBETWEEN(8,12)/10</f>
        <v>0.39600000000000002</v>
      </c>
      <c r="AD77" s="3">
        <f t="shared" ca="1" si="11"/>
        <v>45122</v>
      </c>
      <c r="AE77" s="4" t="s">
        <v>104</v>
      </c>
      <c r="AF77" s="4" t="s">
        <v>105</v>
      </c>
      <c r="AG77" s="4" t="s">
        <v>106</v>
      </c>
      <c r="AH77" s="4" t="s">
        <v>107</v>
      </c>
      <c r="AI77" s="4">
        <f ca="1">ROUND(T_Tiktok_ads[[#This Row],[impressions]]*RANDBETWEEN(8,12)/10,0)</f>
        <v>148901</v>
      </c>
      <c r="AJ77" s="4">
        <f ca="1">ROUND(T_Tiktok_ads[[#This Row],[clicks]]*RANDBETWEEN(8,12)/10,0)</f>
        <v>2267</v>
      </c>
      <c r="AK77" s="4">
        <v>767.5</v>
      </c>
      <c r="AL77" s="4">
        <f ca="1">ROUND(T_Tiktok_ads[[#This Row],[conversions]]*RANDBETWEEN(8,12)/10,0)</f>
        <v>62</v>
      </c>
      <c r="AM77" s="4">
        <f ca="1">ROUND(T_Tiktok_ads[[#This Row],[video_views]]*RANDBETWEEN(8,12)/10,0)</f>
        <v>93110</v>
      </c>
      <c r="AN77" s="4">
        <f ca="1">ROUND(T_Tiktok_ads[[#This Row],[video_watch_25]]*RANDBETWEEN(8,12)/10,0)</f>
        <v>91481</v>
      </c>
      <c r="AO77" s="4">
        <f ca="1">ROUND(T_Tiktok_ads[[#This Row],[video_watch_50]]*RANDBETWEEN(8,12)/10,0)</f>
        <v>51234</v>
      </c>
      <c r="AP77" s="4">
        <f ca="1">ROUND(T_Tiktok_ads[[#This Row],[video_watch_75]]*RANDBETWEEN(8,12)/10,0)</f>
        <v>42424</v>
      </c>
      <c r="AQ77" s="4">
        <f ca="1">ROUND(T_Tiktok_ads[[#This Row],[video_watch_100]]*RANDBETWEEN(8,12)/10,0)</f>
        <v>28368</v>
      </c>
      <c r="AR77" s="4">
        <f ca="1">ROUND(T_Tiktok_ads[[#This Row],[likes]]*RANDBETWEEN(8,12)/10,0)</f>
        <v>4098</v>
      </c>
      <c r="AS77" s="4">
        <f ca="1">ROUND(T_Tiktok_ads[[#This Row],[shares]]*RANDBETWEEN(8,12)/10,0)</f>
        <v>1165</v>
      </c>
      <c r="AT77" s="4">
        <f ca="1">ROUND(T_Tiktok_ads[[#This Row],[comments]]*RANDBETWEEN(8,12)/10,0)</f>
        <v>306</v>
      </c>
      <c r="AV77" s="5">
        <f t="shared" ca="1" si="12"/>
        <v>45124</v>
      </c>
      <c r="AW77">
        <f t="shared" ca="1" si="13"/>
        <v>7</v>
      </c>
      <c r="AX77">
        <f ca="1">ROUND(T_Facebook_Ads11596367717579[[#This Row],[impressions]]*RANDBETWEEN(8,12)/10,0)</f>
        <v>10962</v>
      </c>
      <c r="AY77">
        <f ca="1">ROUND(T_Facebook_Ads11596367717579[[#This Row],[clicks]]*RANDBETWEEN(8,12)/10,0)</f>
        <v>680</v>
      </c>
      <c r="AZ77">
        <f ca="1">T_Facebook_Ads11596367717579[[#This Row],[spend]]*RANDBETWEEN(8,12)/10</f>
        <v>253.61599999999999</v>
      </c>
      <c r="BA77">
        <f ca="1">ROUND(T_Facebook_Ads11596367717579[[#This Row],[conversions]]*RANDBETWEEN(8,12)/10,0)</f>
        <v>23</v>
      </c>
      <c r="BB77">
        <f ca="1">ROUND(T_Facebook_Ads11596367717579[[#This Row],[video_views]]*RANDBETWEEN(8,12)/10,0)</f>
        <v>1221</v>
      </c>
    </row>
    <row r="78" spans="1:54" ht="15.75" thickBot="1" x14ac:dyDescent="0.3">
      <c r="A78" s="3">
        <f t="shared" ca="1" si="9"/>
        <v>45129</v>
      </c>
      <c r="B78" s="4" t="s">
        <v>60</v>
      </c>
      <c r="C78" s="4" t="s">
        <v>61</v>
      </c>
      <c r="D78" s="4" t="s">
        <v>62</v>
      </c>
      <c r="E78" s="4" t="s">
        <v>63</v>
      </c>
      <c r="F78" s="4">
        <f ca="1">ROUND(T_Facebook_Ads[[#This Row],[impressions]]*RANDBETWEEN(8,12)/10,0)</f>
        <v>42148</v>
      </c>
      <c r="G78" s="4">
        <v>1267</v>
      </c>
      <c r="H78" s="4">
        <f ca="1">T_Facebook_Ads[[#This Row],[spend]]*RANDBETWEEN(8,12)/10</f>
        <v>233.4</v>
      </c>
      <c r="I78" s="4">
        <f ca="1">ROUND(T_Facebook_Ads[[#This Row],[conversions]]*RANDBETWEEN(8,12)/10,0)</f>
        <v>23</v>
      </c>
      <c r="J78" s="4">
        <f ca="1">ROUND(T_Facebook_Ads[[#This Row],[video_views]]*RANDBETWEEN(8,12)/10,0)</f>
        <v>4345</v>
      </c>
      <c r="K78" s="4">
        <f ca="1">T_Facebook_Ads[[#This Row],[engagement_rate]]*RANDBETWEEN(8,12)/10</f>
        <v>4.3320000000000004E-2</v>
      </c>
      <c r="L78" s="4">
        <f ca="1">ROUND(T_Facebook_Ads[[#This Row],[reach]]*RANDBETWEEN(8,12)/10,0)</f>
        <v>23298</v>
      </c>
      <c r="M78" s="4">
        <f ca="1">T_Facebook_Ads[[#This Row],[frequency]]*RANDBETWEEN(8,12)/10</f>
        <v>1.089</v>
      </c>
      <c r="O78" s="3">
        <f t="shared" ca="1" si="10"/>
        <v>45118</v>
      </c>
      <c r="P78" s="4" t="s">
        <v>84</v>
      </c>
      <c r="Q78" s="4" t="s">
        <v>85</v>
      </c>
      <c r="R78" s="4" t="s">
        <v>86</v>
      </c>
      <c r="S78" s="4" t="s">
        <v>87</v>
      </c>
      <c r="T78" s="4">
        <f ca="1">ROUND(_Google_ads[[#This Row],[impressions]]*RANDBETWEEN(8,12)/10,0)</f>
        <v>66789</v>
      </c>
      <c r="U78" s="4">
        <f ca="1">ROUND(_Google_ads[[#This Row],[clicks]]*RANDBETWEEN(8,12)/10,0)</f>
        <v>2001</v>
      </c>
      <c r="V78" s="4">
        <f ca="1">_Google_ads[[#This Row],[cost]]*RANDBETWEEN(8,12)/10</f>
        <v>367.11</v>
      </c>
      <c r="W78" s="4">
        <f ca="1">ROUND(_Google_ads[[#This Row],[conversions]]*RANDBETWEEN(8,12)/10,0)</f>
        <v>58</v>
      </c>
      <c r="X78" s="4">
        <f ca="1">ROUND(_Google_ads[[#This Row],[conversion_value]]*RANDBETWEEN(8,12)/10,0)</f>
        <v>2880</v>
      </c>
      <c r="Y78" s="4">
        <f ca="1">_Google_ads[[#This Row],[ctr]]*RANDBETWEEN(8,12)/10</f>
        <v>3.3300000000000003E-2</v>
      </c>
      <c r="Z78" s="4">
        <f ca="1">_Google_ads[[#This Row],[avg_cpc]]*RANDBETWEEN(8,12)/10</f>
        <v>0.18</v>
      </c>
      <c r="AA78" s="4">
        <f ca="1">ROUND(_Google_ads[[#This Row],[quality_score]]*RANDBETWEEN(8,12)/10,0)</f>
        <v>9</v>
      </c>
      <c r="AB78" s="4">
        <f ca="1">_Google_ads[[#This Row],[search_impression_share]]*RANDBETWEEN(8,12)/10</f>
        <v>0.79200000000000004</v>
      </c>
      <c r="AD78" s="3">
        <f t="shared" ca="1" si="11"/>
        <v>45114</v>
      </c>
      <c r="AE78" s="4" t="s">
        <v>108</v>
      </c>
      <c r="AF78" s="4" t="s">
        <v>109</v>
      </c>
      <c r="AG78" s="4" t="s">
        <v>110</v>
      </c>
      <c r="AH78" s="4" t="s">
        <v>111</v>
      </c>
      <c r="AI78" s="4">
        <f ca="1">ROUND(T_Tiktok_ads[[#This Row],[impressions]]*RANDBETWEEN(8,12)/10,0)</f>
        <v>251791</v>
      </c>
      <c r="AJ78" s="4">
        <f ca="1">ROUND(T_Tiktok_ads[[#This Row],[clicks]]*RANDBETWEEN(8,12)/10,0)</f>
        <v>2907</v>
      </c>
      <c r="AK78" s="4">
        <v>441.9</v>
      </c>
      <c r="AL78" s="4">
        <f ca="1">ROUND(T_Tiktok_ads[[#This Row],[conversions]]*RANDBETWEEN(8,12)/10,0)</f>
        <v>34</v>
      </c>
      <c r="AM78" s="4">
        <f ca="1">ROUND(T_Tiktok_ads[[#This Row],[video_views]]*RANDBETWEEN(8,12)/10,0)</f>
        <v>182345</v>
      </c>
      <c r="AN78" s="4">
        <f ca="1">ROUND(T_Tiktok_ads[[#This Row],[video_watch_25]]*RANDBETWEEN(8,12)/10,0)</f>
        <v>165468</v>
      </c>
      <c r="AO78" s="4">
        <f ca="1">ROUND(T_Tiktok_ads[[#This Row],[video_watch_50]]*RANDBETWEEN(8,12)/10,0)</f>
        <v>87121</v>
      </c>
      <c r="AP78" s="4">
        <f ca="1">ROUND(T_Tiktok_ads[[#This Row],[video_watch_75]]*RANDBETWEEN(8,12)/10,0)</f>
        <v>77624</v>
      </c>
      <c r="AQ78" s="4">
        <f ca="1">ROUND(T_Tiktok_ads[[#This Row],[video_watch_100]]*RANDBETWEEN(8,12)/10,0)</f>
        <v>38510</v>
      </c>
      <c r="AR78" s="4">
        <f ca="1">ROUND(T_Tiktok_ads[[#This Row],[likes]]*RANDBETWEEN(8,12)/10,0)</f>
        <v>6765</v>
      </c>
      <c r="AS78" s="4">
        <f ca="1">ROUND(T_Tiktok_ads[[#This Row],[shares]]*RANDBETWEEN(8,12)/10,0)</f>
        <v>2761</v>
      </c>
      <c r="AT78" s="4">
        <f ca="1">ROUND(T_Tiktok_ads[[#This Row],[comments]]*RANDBETWEEN(8,12)/10,0)</f>
        <v>491</v>
      </c>
      <c r="AV78" s="5">
        <f t="shared" ca="1" si="12"/>
        <v>45110</v>
      </c>
      <c r="AW78">
        <f t="shared" ca="1" si="13"/>
        <v>1</v>
      </c>
      <c r="AX78">
        <f ca="1">ROUND(T_Facebook_Ads11596367717579[[#This Row],[impressions]]*RANDBETWEEN(8,12)/10,0)</f>
        <v>50578</v>
      </c>
      <c r="AY78">
        <f ca="1">ROUND(T_Facebook_Ads11596367717579[[#This Row],[clicks]]*RANDBETWEEN(8,12)/10,0)</f>
        <v>1394</v>
      </c>
      <c r="AZ78">
        <f ca="1">T_Facebook_Ads11596367717579[[#This Row],[spend]]*RANDBETWEEN(8,12)/10</f>
        <v>233.4</v>
      </c>
      <c r="BA78">
        <f ca="1">ROUND(T_Facebook_Ads11596367717579[[#This Row],[conversions]]*RANDBETWEEN(8,12)/10,0)</f>
        <v>23</v>
      </c>
      <c r="BB78">
        <f ca="1">ROUND(T_Facebook_Ads11596367717579[[#This Row],[video_views]]*RANDBETWEEN(8,12)/10,0)</f>
        <v>4345</v>
      </c>
    </row>
    <row r="79" spans="1:54" ht="15.75" thickBot="1" x14ac:dyDescent="0.3">
      <c r="A79" s="3">
        <f t="shared" ca="1" si="9"/>
        <v>45114</v>
      </c>
      <c r="B79" s="4" t="s">
        <v>64</v>
      </c>
      <c r="C79" s="4" t="s">
        <v>65</v>
      </c>
      <c r="D79" s="4" t="s">
        <v>66</v>
      </c>
      <c r="E79" s="4" t="s">
        <v>67</v>
      </c>
      <c r="F79" s="4">
        <f ca="1">ROUND(T_Facebook_Ads[[#This Row],[impressions]]*RANDBETWEEN(8,12)/10,0)</f>
        <v>80147</v>
      </c>
      <c r="G79" s="4">
        <v>245</v>
      </c>
      <c r="H79" s="4">
        <f ca="1">T_Facebook_Ads[[#This Row],[spend]]*RANDBETWEEN(8,12)/10</f>
        <v>67.760000000000005</v>
      </c>
      <c r="I79" s="4">
        <f ca="1">ROUND(T_Facebook_Ads[[#This Row],[conversions]]*RANDBETWEEN(8,12)/10,0)</f>
        <v>6</v>
      </c>
      <c r="J79" s="4">
        <f ca="1">ROUND(T_Facebook_Ads[[#This Row],[video_views]]*RANDBETWEEN(8,12)/10,0)</f>
        <v>49024</v>
      </c>
      <c r="K79" s="4">
        <f ca="1">T_Facebook_Ads[[#This Row],[engagement_rate]]*RANDBETWEEN(8,12)/10</f>
        <v>2.96E-3</v>
      </c>
      <c r="L79" s="4">
        <f ca="1">ROUND(T_Facebook_Ads[[#This Row],[reach]]*RANDBETWEEN(8,12)/10,0)</f>
        <v>54890</v>
      </c>
      <c r="M79" s="4">
        <f ca="1">T_Facebook_Ads[[#This Row],[frequency]]*RANDBETWEEN(8,12)/10</f>
        <v>1.464</v>
      </c>
      <c r="O79" s="3">
        <f t="shared" ca="1" si="10"/>
        <v>45110</v>
      </c>
      <c r="P79" s="4" t="s">
        <v>88</v>
      </c>
      <c r="Q79" s="4" t="s">
        <v>89</v>
      </c>
      <c r="R79" s="4" t="s">
        <v>90</v>
      </c>
      <c r="S79" s="4" t="s">
        <v>59</v>
      </c>
      <c r="T79" s="4">
        <f ca="1">ROUND(_Google_ads[[#This Row],[impressions]]*RANDBETWEEN(8,12)/10,0)</f>
        <v>153468</v>
      </c>
      <c r="U79" s="4">
        <f ca="1">ROUND(_Google_ads[[#This Row],[clicks]]*RANDBETWEEN(8,12)/10,0)</f>
        <v>410</v>
      </c>
      <c r="V79" s="4">
        <f ca="1">_Google_ads[[#This Row],[cost]]*RANDBETWEEN(8,12)/10</f>
        <v>138.16</v>
      </c>
      <c r="W79" s="4">
        <f ca="1">ROUND(_Google_ads[[#This Row],[conversions]]*RANDBETWEEN(8,12)/10,0)</f>
        <v>12</v>
      </c>
      <c r="X79" s="4">
        <f ca="1">ROUND(_Google_ads[[#This Row],[conversion_value]]*RANDBETWEEN(8,12)/10,0)</f>
        <v>650</v>
      </c>
      <c r="Y79" s="4">
        <f ca="1">_Google_ads[[#This Row],[ctr]]*RANDBETWEEN(8,12)/10</f>
        <v>3.96E-3</v>
      </c>
      <c r="Z79" s="4">
        <f ca="1">_Google_ads[[#This Row],[avg_cpc]]*RANDBETWEEN(8,12)/10</f>
        <v>0.25200000000000006</v>
      </c>
      <c r="AA79" s="4">
        <f ca="1">ROUND(_Google_ads[[#This Row],[quality_score]]*RANDBETWEEN(8,12)/10,0)</f>
        <v>8</v>
      </c>
      <c r="AB79" s="4">
        <f ca="1">_Google_ads[[#This Row],[search_impression_share]]*RANDBETWEEN(8,12)/10</f>
        <v>0.27200000000000002</v>
      </c>
      <c r="AD79" s="3">
        <f t="shared" ca="1" si="11"/>
        <v>45127</v>
      </c>
      <c r="AE79" s="4" t="s">
        <v>112</v>
      </c>
      <c r="AF79" s="4" t="s">
        <v>113</v>
      </c>
      <c r="AG79" s="4" t="s">
        <v>114</v>
      </c>
      <c r="AH79" s="4" t="s">
        <v>115</v>
      </c>
      <c r="AI79" s="4">
        <f ca="1">ROUND(T_Tiktok_ads[[#This Row],[impressions]]*RANDBETWEEN(8,12)/10,0)</f>
        <v>398567</v>
      </c>
      <c r="AJ79" s="4">
        <f ca="1">ROUND(T_Tiktok_ads[[#This Row],[clicks]]*RANDBETWEEN(8,12)/10,0)</f>
        <v>7187</v>
      </c>
      <c r="AK79" s="4">
        <v>998.7</v>
      </c>
      <c r="AL79" s="4">
        <f ca="1">ROUND(T_Tiktok_ads[[#This Row],[conversions]]*RANDBETWEEN(8,12)/10,0)</f>
        <v>108</v>
      </c>
      <c r="AM79" s="4">
        <f ca="1">ROUND(T_Tiktok_ads[[#This Row],[video_views]]*RANDBETWEEN(8,12)/10,0)</f>
        <v>332345</v>
      </c>
      <c r="AN79" s="4">
        <f ca="1">ROUND(T_Tiktok_ads[[#This Row],[video_watch_25]]*RANDBETWEEN(8,12)/10,0)</f>
        <v>321468</v>
      </c>
      <c r="AO79" s="4">
        <f ca="1">ROUND(T_Tiktok_ads[[#This Row],[video_watch_50]]*RANDBETWEEN(8,12)/10,0)</f>
        <v>171654</v>
      </c>
      <c r="AP79" s="4">
        <f ca="1">ROUND(T_Tiktok_ads[[#This Row],[video_watch_75]]*RANDBETWEEN(8,12)/10,0)</f>
        <v>166357</v>
      </c>
      <c r="AQ79" s="4">
        <f ca="1">ROUND(T_Tiktok_ads[[#This Row],[video_watch_100]]*RANDBETWEEN(8,12)/10,0)</f>
        <v>89610</v>
      </c>
      <c r="AR79" s="4">
        <f ca="1">ROUND(T_Tiktok_ads[[#This Row],[likes]]*RANDBETWEEN(8,12)/10,0)</f>
        <v>14205</v>
      </c>
      <c r="AS79" s="4">
        <f ca="1">ROUND(T_Tiktok_ads[[#This Row],[shares]]*RANDBETWEEN(8,12)/10,0)</f>
        <v>6014</v>
      </c>
      <c r="AT79" s="4">
        <f ca="1">ROUND(T_Tiktok_ads[[#This Row],[comments]]*RANDBETWEEN(8,12)/10,0)</f>
        <v>1389</v>
      </c>
      <c r="AV79" s="5">
        <f t="shared" ca="1" si="12"/>
        <v>45125</v>
      </c>
      <c r="AW79">
        <f t="shared" ca="1" si="13"/>
        <v>8</v>
      </c>
      <c r="AX79">
        <f ca="1">ROUND(T_Facebook_Ads11596367717579[[#This Row],[impressions]]*RANDBETWEEN(8,12)/10,0)</f>
        <v>88162</v>
      </c>
      <c r="AY79">
        <f ca="1">ROUND(T_Facebook_Ads11596367717579[[#This Row],[clicks]]*RANDBETWEEN(8,12)/10,0)</f>
        <v>270</v>
      </c>
      <c r="AZ79">
        <f ca="1">T_Facebook_Ads11596367717579[[#This Row],[spend]]*RANDBETWEEN(8,12)/10</f>
        <v>67.760000000000005</v>
      </c>
      <c r="BA79">
        <f ca="1">ROUND(T_Facebook_Ads11596367717579[[#This Row],[conversions]]*RANDBETWEEN(8,12)/10,0)</f>
        <v>5</v>
      </c>
      <c r="BB79">
        <f ca="1">ROUND(T_Facebook_Ads11596367717579[[#This Row],[video_views]]*RANDBETWEEN(8,12)/10,0)</f>
        <v>58829</v>
      </c>
    </row>
    <row r="80" spans="1:54" ht="15.75" thickBot="1" x14ac:dyDescent="0.3">
      <c r="A80" s="3">
        <f t="shared" ca="1" si="9"/>
        <v>45137</v>
      </c>
      <c r="B80" s="4" t="s">
        <v>52</v>
      </c>
      <c r="C80" s="4" t="s">
        <v>53</v>
      </c>
      <c r="D80" s="4" t="s">
        <v>54</v>
      </c>
      <c r="E80" s="4" t="s">
        <v>55</v>
      </c>
      <c r="F80" s="4">
        <f ca="1">ROUND(T_Facebook_Ads[[#This Row],[impressions]]*RANDBETWEEN(8,12)/10,0)</f>
        <v>58280</v>
      </c>
      <c r="G80" s="4">
        <v>989</v>
      </c>
      <c r="H80" s="4">
        <f ca="1">T_Facebook_Ads[[#This Row],[spend]]*RANDBETWEEN(8,12)/10</f>
        <v>168.36</v>
      </c>
      <c r="I80" s="4">
        <f ca="1">ROUND(T_Facebook_Ads[[#This Row],[conversions]]*RANDBETWEEN(8,12)/10,0)</f>
        <v>18</v>
      </c>
      <c r="J80" s="4">
        <f ca="1">ROUND(T_Facebook_Ads[[#This Row],[video_views]]*RANDBETWEEN(8,12)/10,0)</f>
        <v>8945</v>
      </c>
      <c r="K80" s="4">
        <f ca="1">T_Facebook_Ads[[#This Row],[engagement_rate]]*RANDBETWEEN(8,12)/10</f>
        <v>1.8360000000000001E-2</v>
      </c>
      <c r="L80" s="4">
        <f ca="1">ROUND(T_Facebook_Ads[[#This Row],[reach]]*RANDBETWEEN(8,12)/10,0)</f>
        <v>36410</v>
      </c>
      <c r="M80" s="4">
        <f ca="1">T_Facebook_Ads[[#This Row],[frequency]]*RANDBETWEEN(8,12)/10</f>
        <v>1.0799999999999998</v>
      </c>
      <c r="O80" s="3">
        <f t="shared" ca="1" si="10"/>
        <v>45115</v>
      </c>
      <c r="P80" s="4" t="s">
        <v>76</v>
      </c>
      <c r="Q80" s="4" t="s">
        <v>77</v>
      </c>
      <c r="R80" s="4" t="s">
        <v>78</v>
      </c>
      <c r="S80" s="4" t="s">
        <v>79</v>
      </c>
      <c r="T80" s="4">
        <f ca="1">ROUND(_Google_ads[[#This Row],[impressions]]*RANDBETWEEN(8,12)/10,0)</f>
        <v>28246</v>
      </c>
      <c r="U80" s="4">
        <f ca="1">ROUND(_Google_ads[[#This Row],[clicks]]*RANDBETWEEN(8,12)/10,0)</f>
        <v>1220</v>
      </c>
      <c r="V80" s="4">
        <f ca="1">_Google_ads[[#This Row],[cost]]*RANDBETWEEN(8,12)/10</f>
        <v>259.39999999999998</v>
      </c>
      <c r="W80" s="4">
        <f ca="1">ROUND(_Google_ads[[#This Row],[conversions]]*RANDBETWEEN(8,12)/10,0)</f>
        <v>56</v>
      </c>
      <c r="X80" s="4">
        <f ca="1">ROUND(_Google_ads[[#This Row],[conversion_value]]*RANDBETWEEN(8,12)/10,0)</f>
        <v>2295</v>
      </c>
      <c r="Y80" s="4">
        <f ca="1">_Google_ads[[#This Row],[ctr]]*RANDBETWEEN(8,12)/10</f>
        <v>4.752E-2</v>
      </c>
      <c r="Z80" s="4">
        <f ca="1">_Google_ads[[#This Row],[avg_cpc]]*RANDBETWEEN(8,12)/10</f>
        <v>0.152</v>
      </c>
      <c r="AA80" s="4">
        <f ca="1">ROUND(_Google_ads[[#This Row],[quality_score]]*RANDBETWEEN(8,12)/10,0)</f>
        <v>11</v>
      </c>
      <c r="AB80" s="4">
        <f ca="1">_Google_ads[[#This Row],[search_impression_share]]*RANDBETWEEN(8,12)/10</f>
        <v>0.82800000000000007</v>
      </c>
      <c r="AD80" s="3">
        <f t="shared" ca="1" si="11"/>
        <v>45109</v>
      </c>
      <c r="AE80" s="4" t="s">
        <v>100</v>
      </c>
      <c r="AF80" s="4" t="s">
        <v>101</v>
      </c>
      <c r="AG80" s="4" t="s">
        <v>102</v>
      </c>
      <c r="AH80" s="4" t="s">
        <v>103</v>
      </c>
      <c r="AI80" s="4">
        <f ca="1">ROUND(T_Tiktok_ads[[#This Row],[impressions]]*RANDBETWEEN(8,12)/10,0)</f>
        <v>260111</v>
      </c>
      <c r="AJ80" s="4">
        <f ca="1">ROUND(T_Tiktok_ads[[#This Row],[clicks]]*RANDBETWEEN(8,12)/10,0)</f>
        <v>3387</v>
      </c>
      <c r="AK80" s="4">
        <v>556.70000000000005</v>
      </c>
      <c r="AL80" s="4">
        <f ca="1">ROUND(T_Tiktok_ads[[#This Row],[conversions]]*RANDBETWEEN(8,12)/10,0)</f>
        <v>47</v>
      </c>
      <c r="AM80" s="4">
        <f ca="1">ROUND(T_Tiktok_ads[[#This Row],[video_views]]*RANDBETWEEN(8,12)/10,0)</f>
        <v>187654</v>
      </c>
      <c r="AN80" s="4">
        <f ca="1">ROUND(T_Tiktok_ads[[#This Row],[video_watch_25]]*RANDBETWEEN(8,12)/10,0)</f>
        <v>200580</v>
      </c>
      <c r="AO80" s="4">
        <f ca="1">ROUND(T_Tiktok_ads[[#This Row],[video_watch_50]]*RANDBETWEEN(8,12)/10,0)</f>
        <v>137480</v>
      </c>
      <c r="AP80" s="4">
        <f ca="1">ROUND(T_Tiktok_ads[[#This Row],[video_watch_75]]*RANDBETWEEN(8,12)/10,0)</f>
        <v>61787</v>
      </c>
      <c r="AQ80" s="4">
        <f ca="1">ROUND(T_Tiktok_ads[[#This Row],[video_watch_100]]*RANDBETWEEN(8,12)/10,0)</f>
        <v>56357</v>
      </c>
      <c r="AR80" s="4">
        <f ca="1">ROUND(T_Tiktok_ads[[#This Row],[likes]]*RANDBETWEEN(8,12)/10,0)</f>
        <v>8276</v>
      </c>
      <c r="AS80" s="4">
        <f ca="1">ROUND(T_Tiktok_ads[[#This Row],[shares]]*RANDBETWEEN(8,12)/10,0)</f>
        <v>2789</v>
      </c>
      <c r="AT80" s="4">
        <f ca="1">ROUND(T_Tiktok_ads[[#This Row],[comments]]*RANDBETWEEN(8,12)/10,0)</f>
        <v>787</v>
      </c>
      <c r="AV80" s="5">
        <f t="shared" ca="1" si="12"/>
        <v>45116</v>
      </c>
      <c r="AW80">
        <f t="shared" ca="1" si="13"/>
        <v>8</v>
      </c>
      <c r="AX80">
        <f ca="1">ROUND(T_Facebook_Ads11596367717579[[#This Row],[impressions]]*RANDBETWEEN(8,12)/10,0)</f>
        <v>58280</v>
      </c>
      <c r="AY80">
        <f ca="1">ROUND(T_Facebook_Ads11596367717579[[#This Row],[clicks]]*RANDBETWEEN(8,12)/10,0)</f>
        <v>890</v>
      </c>
      <c r="AZ80">
        <f ca="1">T_Facebook_Ads11596367717579[[#This Row],[spend]]*RANDBETWEEN(8,12)/10</f>
        <v>151.52400000000003</v>
      </c>
      <c r="BA80">
        <f ca="1">ROUND(T_Facebook_Ads11596367717579[[#This Row],[conversions]]*RANDBETWEEN(8,12)/10,0)</f>
        <v>22</v>
      </c>
      <c r="BB80">
        <f ca="1">ROUND(T_Facebook_Ads11596367717579[[#This Row],[video_views]]*RANDBETWEEN(8,12)/10,0)</f>
        <v>7156</v>
      </c>
    </row>
    <row r="81" spans="1:54" ht="15.75" thickBot="1" x14ac:dyDescent="0.3">
      <c r="A81" s="3">
        <f t="shared" ca="1" si="9"/>
        <v>45121</v>
      </c>
      <c r="B81" s="4" t="s">
        <v>56</v>
      </c>
      <c r="C81" s="4" t="s">
        <v>57</v>
      </c>
      <c r="D81" s="4" t="s">
        <v>58</v>
      </c>
      <c r="E81" s="4" t="s">
        <v>59</v>
      </c>
      <c r="F81" s="4">
        <f ca="1">ROUND(T_Facebook_Ads[[#This Row],[impressions]]*RANDBETWEEN(8,12)/10,0)</f>
        <v>15168</v>
      </c>
      <c r="G81" s="4">
        <v>623</v>
      </c>
      <c r="H81" s="4">
        <f ca="1">T_Facebook_Ads[[#This Row],[spend]]*RANDBETWEEN(8,12)/10</f>
        <v>183.84</v>
      </c>
      <c r="I81" s="4">
        <f ca="1">ROUND(T_Facebook_Ads[[#This Row],[conversions]]*RANDBETWEEN(8,12)/10,0)</f>
        <v>38</v>
      </c>
      <c r="J81" s="4">
        <f ca="1">ROUND(T_Facebook_Ads[[#This Row],[video_views]]*RANDBETWEEN(8,12)/10,0)</f>
        <v>1638</v>
      </c>
      <c r="K81" s="4">
        <f ca="1">T_Facebook_Ads[[#This Row],[engagement_rate]]*RANDBETWEEN(8,12)/10</f>
        <v>4.5199999999999997E-2</v>
      </c>
      <c r="L81" s="4">
        <f ca="1">ROUND(T_Facebook_Ads[[#This Row],[reach]]*RANDBETWEEN(8,12)/10,0)</f>
        <v>9710</v>
      </c>
      <c r="M81" s="4">
        <f ca="1">T_Facebook_Ads[[#This Row],[frequency]]*RANDBETWEEN(8,12)/10</f>
        <v>1.024</v>
      </c>
      <c r="O81" s="3">
        <f t="shared" ca="1" si="10"/>
        <v>45117</v>
      </c>
      <c r="P81" s="4" t="s">
        <v>80</v>
      </c>
      <c r="Q81" s="4" t="s">
        <v>81</v>
      </c>
      <c r="R81" s="4" t="s">
        <v>82</v>
      </c>
      <c r="S81" s="4" t="s">
        <v>83</v>
      </c>
      <c r="T81" s="4">
        <f ca="1">ROUND(_Google_ads[[#This Row],[impressions]]*RANDBETWEEN(8,12)/10,0)</f>
        <v>40611</v>
      </c>
      <c r="U81" s="4">
        <f ca="1">ROUND(_Google_ads[[#This Row],[clicks]]*RANDBETWEEN(8,12)/10,0)</f>
        <v>1003</v>
      </c>
      <c r="V81" s="4">
        <f ca="1">_Google_ads[[#This Row],[cost]]*RANDBETWEEN(8,12)/10</f>
        <v>462.23999999999995</v>
      </c>
      <c r="W81" s="4">
        <f ca="1">ROUND(_Google_ads[[#This Row],[conversions]]*RANDBETWEEN(8,12)/10,0)</f>
        <v>26</v>
      </c>
      <c r="X81" s="4">
        <f ca="1">ROUND(_Google_ads[[#This Row],[conversion_value]]*RANDBETWEEN(8,12)/10,0)</f>
        <v>960</v>
      </c>
      <c r="Y81" s="4">
        <f ca="1">_Google_ads[[#This Row],[ctr]]*RANDBETWEEN(8,12)/10</f>
        <v>1.8179999999999998E-2</v>
      </c>
      <c r="Z81" s="4">
        <f ca="1">_Google_ads[[#This Row],[avg_cpc]]*RANDBETWEEN(8,12)/10</f>
        <v>0.63</v>
      </c>
      <c r="AA81" s="4">
        <f ca="1">ROUND(_Google_ads[[#This Row],[quality_score]]*RANDBETWEEN(8,12)/10,0)</f>
        <v>8</v>
      </c>
      <c r="AB81" s="4">
        <f ca="1">_Google_ads[[#This Row],[search_impression_share]]*RANDBETWEEN(8,12)/10</f>
        <v>0.40499999999999997</v>
      </c>
      <c r="AD81" s="3">
        <f t="shared" ca="1" si="11"/>
        <v>45111</v>
      </c>
      <c r="AE81" s="4" t="s">
        <v>104</v>
      </c>
      <c r="AF81" s="4" t="s">
        <v>105</v>
      </c>
      <c r="AG81" s="4" t="s">
        <v>106</v>
      </c>
      <c r="AH81" s="4" t="s">
        <v>107</v>
      </c>
      <c r="AI81" s="4">
        <f ca="1">ROUND(T_Tiktok_ads[[#This Row],[impressions]]*RANDBETWEEN(8,12)/10,0)</f>
        <v>125431</v>
      </c>
      <c r="AJ81" s="4">
        <f ca="1">ROUND(T_Tiktok_ads[[#This Row],[clicks]]*RANDBETWEEN(8,12)/10,0)</f>
        <v>3313</v>
      </c>
      <c r="AK81" s="4">
        <v>812.3</v>
      </c>
      <c r="AL81" s="4">
        <f ca="1">ROUND(T_Tiktok_ads[[#This Row],[conversions]]*RANDBETWEEN(8,12)/10,0)</f>
        <v>98</v>
      </c>
      <c r="AM81" s="4">
        <f ca="1">ROUND(T_Tiktok_ads[[#This Row],[video_views]]*RANDBETWEEN(8,12)/10,0)</f>
        <v>131851</v>
      </c>
      <c r="AN81" s="4">
        <f ca="1">ROUND(T_Tiktok_ads[[#This Row],[video_watch_25]]*RANDBETWEEN(8,12)/10,0)</f>
        <v>64987</v>
      </c>
      <c r="AO81" s="4">
        <f ca="1">ROUND(T_Tiktok_ads[[#This Row],[video_watch_50]]*RANDBETWEEN(8,12)/10,0)</f>
        <v>60146</v>
      </c>
      <c r="AP81" s="4">
        <f ca="1">ROUND(T_Tiktok_ads[[#This Row],[video_watch_75]]*RANDBETWEEN(8,12)/10,0)</f>
        <v>32987</v>
      </c>
      <c r="AQ81" s="4">
        <f ca="1">ROUND(T_Tiktok_ads[[#This Row],[video_watch_100]]*RANDBETWEEN(8,12)/10,0)</f>
        <v>30324</v>
      </c>
      <c r="AR81" s="4">
        <f ca="1">ROUND(T_Tiktok_ads[[#This Row],[likes]]*RANDBETWEEN(8,12)/10,0)</f>
        <v>5456</v>
      </c>
      <c r="AS81" s="4">
        <f ca="1">ROUND(T_Tiktok_ads[[#This Row],[shares]]*RANDBETWEEN(8,12)/10,0)</f>
        <v>1724</v>
      </c>
      <c r="AT81" s="4">
        <f ca="1">ROUND(T_Tiktok_ads[[#This Row],[comments]]*RANDBETWEEN(8,12)/10,0)</f>
        <v>289</v>
      </c>
      <c r="AV81" s="5">
        <f t="shared" ca="1" si="12"/>
        <v>45113</v>
      </c>
      <c r="AW81">
        <f t="shared" ca="1" si="13"/>
        <v>1</v>
      </c>
      <c r="AX81">
        <f ca="1">ROUND(T_Facebook_Ads11596367717579[[#This Row],[impressions]]*RANDBETWEEN(8,12)/10,0)</f>
        <v>16685</v>
      </c>
      <c r="AY81">
        <f ca="1">ROUND(T_Facebook_Ads11596367717579[[#This Row],[clicks]]*RANDBETWEEN(8,12)/10,0)</f>
        <v>623</v>
      </c>
      <c r="AZ81">
        <f ca="1">T_Facebook_Ads11596367717579[[#This Row],[spend]]*RANDBETWEEN(8,12)/10</f>
        <v>202.22399999999999</v>
      </c>
      <c r="BA81">
        <f ca="1">ROUND(T_Facebook_Ads11596367717579[[#This Row],[conversions]]*RANDBETWEEN(8,12)/10,0)</f>
        <v>30</v>
      </c>
      <c r="BB81">
        <f ca="1">ROUND(T_Facebook_Ads11596367717579[[#This Row],[video_views]]*RANDBETWEEN(8,12)/10,0)</f>
        <v>1474</v>
      </c>
    </row>
    <row r="82" spans="1:54" ht="15.75" thickBot="1" x14ac:dyDescent="0.3">
      <c r="A82" s="3">
        <f t="shared" ca="1" si="9"/>
        <v>45134</v>
      </c>
      <c r="B82" s="4" t="s">
        <v>60</v>
      </c>
      <c r="C82" s="4" t="s">
        <v>61</v>
      </c>
      <c r="D82" s="4" t="s">
        <v>62</v>
      </c>
      <c r="E82" s="4" t="s">
        <v>63</v>
      </c>
      <c r="F82" s="4">
        <f ca="1">ROUND(T_Facebook_Ads[[#This Row],[impressions]]*RANDBETWEEN(8,12)/10,0)</f>
        <v>33710</v>
      </c>
      <c r="G82" s="4">
        <v>1389</v>
      </c>
      <c r="H82" s="4">
        <f ca="1">T_Facebook_Ads[[#This Row],[spend]]*RANDBETWEEN(8,12)/10</f>
        <v>192.06</v>
      </c>
      <c r="I82" s="4">
        <f ca="1">ROUND(T_Facebook_Ads[[#This Row],[conversions]]*RANDBETWEEN(8,12)/10,0)</f>
        <v>23</v>
      </c>
      <c r="J82" s="4">
        <f ca="1">ROUND(T_Facebook_Ads[[#This Row],[video_views]]*RANDBETWEEN(8,12)/10,0)</f>
        <v>4401</v>
      </c>
      <c r="K82" s="4">
        <f ca="1">T_Facebook_Ads[[#This Row],[engagement_rate]]*RANDBETWEEN(8,12)/10</f>
        <v>4.0809999999999999E-2</v>
      </c>
      <c r="L82" s="4">
        <f ca="1">ROUND(T_Facebook_Ads[[#This Row],[reach]]*RANDBETWEEN(8,12)/10,0)</f>
        <v>27510</v>
      </c>
      <c r="M82" s="4">
        <f ca="1">T_Facebook_Ads[[#This Row],[frequency]]*RANDBETWEEN(8,12)/10</f>
        <v>0.97599999999999998</v>
      </c>
      <c r="O82" s="3">
        <f t="shared" ca="1" si="10"/>
        <v>45125</v>
      </c>
      <c r="P82" s="4" t="s">
        <v>84</v>
      </c>
      <c r="Q82" s="4" t="s">
        <v>85</v>
      </c>
      <c r="R82" s="4" t="s">
        <v>86</v>
      </c>
      <c r="S82" s="4" t="s">
        <v>87</v>
      </c>
      <c r="T82" s="4">
        <f ca="1">ROUND(_Google_ads[[#This Row],[impressions]]*RANDBETWEEN(8,12)/10,0)</f>
        <v>84281</v>
      </c>
      <c r="U82" s="4">
        <f ca="1">ROUND(_Google_ads[[#This Row],[clicks]]*RANDBETWEEN(8,12)/10,0)</f>
        <v>2867</v>
      </c>
      <c r="V82" s="4">
        <f ca="1">_Google_ads[[#This Row],[cost]]*RANDBETWEEN(8,12)/10</f>
        <v>519.12000000000012</v>
      </c>
      <c r="W82" s="4">
        <f ca="1">ROUND(_Google_ads[[#This Row],[conversions]]*RANDBETWEEN(8,12)/10,0)</f>
        <v>69</v>
      </c>
      <c r="X82" s="4">
        <f ca="1">ROUND(_Google_ads[[#This Row],[conversion_value]]*RANDBETWEEN(8,12)/10,0)</f>
        <v>4140</v>
      </c>
      <c r="Y82" s="4">
        <f ca="1">_Google_ads[[#This Row],[ctr]]*RANDBETWEEN(8,12)/10</f>
        <v>4.0800000000000003E-2</v>
      </c>
      <c r="Z82" s="4">
        <f ca="1">_Google_ads[[#This Row],[avg_cpc]]*RANDBETWEEN(8,12)/10</f>
        <v>0.14399999999999999</v>
      </c>
      <c r="AA82" s="4">
        <f ca="1">ROUND(_Google_ads[[#This Row],[quality_score]]*RANDBETWEEN(8,12)/10,0)</f>
        <v>7</v>
      </c>
      <c r="AB82" s="4">
        <f ca="1">_Google_ads[[#This Row],[search_impression_share]]*RANDBETWEEN(8,12)/10</f>
        <v>0.60299999999999998</v>
      </c>
      <c r="AD82" s="3">
        <f t="shared" ca="1" si="11"/>
        <v>45114</v>
      </c>
      <c r="AE82" s="4" t="s">
        <v>108</v>
      </c>
      <c r="AF82" s="4" t="s">
        <v>109</v>
      </c>
      <c r="AG82" s="4" t="s">
        <v>110</v>
      </c>
      <c r="AH82" s="4" t="s">
        <v>111</v>
      </c>
      <c r="AI82" s="4">
        <f ca="1">ROUND(T_Tiktok_ads[[#This Row],[impressions]]*RANDBETWEEN(8,12)/10,0)</f>
        <v>294814</v>
      </c>
      <c r="AJ82" s="4">
        <f ca="1">ROUND(T_Tiktok_ads[[#This Row],[clicks]]*RANDBETWEEN(8,12)/10,0)</f>
        <v>4668</v>
      </c>
      <c r="AK82" s="4">
        <v>467.8</v>
      </c>
      <c r="AL82" s="4">
        <f ca="1">ROUND(T_Tiktok_ads[[#This Row],[conversions]]*RANDBETWEEN(8,12)/10,0)</f>
        <v>41</v>
      </c>
      <c r="AM82" s="4">
        <f ca="1">ROUND(T_Tiktok_ads[[#This Row],[video_views]]*RANDBETWEEN(8,12)/10,0)</f>
        <v>195678</v>
      </c>
      <c r="AN82" s="4">
        <f ca="1">ROUND(T_Tiktok_ads[[#This Row],[video_watch_25]]*RANDBETWEEN(8,12)/10,0)</f>
        <v>133411</v>
      </c>
      <c r="AO82" s="4">
        <f ca="1">ROUND(T_Tiktok_ads[[#This Row],[video_watch_50]]*RANDBETWEEN(8,12)/10,0)</f>
        <v>117234</v>
      </c>
      <c r="AP82" s="4">
        <f ca="1">ROUND(T_Tiktok_ads[[#This Row],[video_watch_75]]*RANDBETWEEN(8,12)/10,0)</f>
        <v>82757</v>
      </c>
      <c r="AQ82" s="4">
        <f ca="1">ROUND(T_Tiktok_ads[[#This Row],[video_watch_100]]*RANDBETWEEN(8,12)/10,0)</f>
        <v>41210</v>
      </c>
      <c r="AR82" s="4">
        <f ca="1">ROUND(T_Tiktok_ads[[#This Row],[likes]]*RANDBETWEEN(8,12)/10,0)</f>
        <v>6854</v>
      </c>
      <c r="AS82" s="4">
        <f ca="1">ROUND(T_Tiktok_ads[[#This Row],[shares]]*RANDBETWEEN(8,12)/10,0)</f>
        <v>2814</v>
      </c>
      <c r="AT82" s="4">
        <f ca="1">ROUND(T_Tiktok_ads[[#This Row],[comments]]*RANDBETWEEN(8,12)/10,0)</f>
        <v>510</v>
      </c>
      <c r="AV82" s="5">
        <f t="shared" ca="1" si="12"/>
        <v>45125</v>
      </c>
      <c r="AW82">
        <f t="shared" ca="1" si="13"/>
        <v>1</v>
      </c>
      <c r="AX82">
        <f ca="1">ROUND(T_Facebook_Ads11596367717579[[#This Row],[impressions]]*RANDBETWEEN(8,12)/10,0)</f>
        <v>26968</v>
      </c>
      <c r="AY82">
        <f ca="1">ROUND(T_Facebook_Ads11596367717579[[#This Row],[clicks]]*RANDBETWEEN(8,12)/10,0)</f>
        <v>1389</v>
      </c>
      <c r="AZ82">
        <f ca="1">T_Facebook_Ads11596367717579[[#This Row],[spend]]*RANDBETWEEN(8,12)/10</f>
        <v>153.648</v>
      </c>
      <c r="BA82">
        <f ca="1">ROUND(T_Facebook_Ads11596367717579[[#This Row],[conversions]]*RANDBETWEEN(8,12)/10,0)</f>
        <v>23</v>
      </c>
      <c r="BB82">
        <f ca="1">ROUND(T_Facebook_Ads11596367717579[[#This Row],[video_views]]*RANDBETWEEN(8,12)/10,0)</f>
        <v>3521</v>
      </c>
    </row>
    <row r="83" spans="1:54" ht="15.75" thickBot="1" x14ac:dyDescent="0.3">
      <c r="A83" s="3">
        <f t="shared" ca="1" si="9"/>
        <v>45114</v>
      </c>
      <c r="B83" s="4" t="s">
        <v>64</v>
      </c>
      <c r="C83" s="4" t="s">
        <v>65</v>
      </c>
      <c r="D83" s="4" t="s">
        <v>66</v>
      </c>
      <c r="E83" s="4" t="s">
        <v>67</v>
      </c>
      <c r="F83" s="4">
        <f ca="1">ROUND(T_Facebook_Ads[[#This Row],[impressions]]*RANDBETWEEN(8,12)/10,0)</f>
        <v>64111</v>
      </c>
      <c r="G83" s="4">
        <v>256</v>
      </c>
      <c r="H83" s="4">
        <f ca="1">T_Facebook_Ads[[#This Row],[spend]]*RANDBETWEEN(8,12)/10</f>
        <v>72.400000000000006</v>
      </c>
      <c r="I83" s="4">
        <f ca="1">ROUND(T_Facebook_Ads[[#This Row],[conversions]]*RANDBETWEEN(8,12)/10,0)</f>
        <v>5</v>
      </c>
      <c r="J83" s="4">
        <f ca="1">ROUND(T_Facebook_Ads[[#This Row],[video_views]]*RANDBETWEEN(8,12)/10,0)</f>
        <v>52935</v>
      </c>
      <c r="K83" s="4">
        <f ca="1">T_Facebook_Ads[[#This Row],[engagement_rate]]*RANDBETWEEN(8,12)/10</f>
        <v>2.8799999999999997E-3</v>
      </c>
      <c r="L83" s="4">
        <f ca="1">ROUND(T_Facebook_Ads[[#This Row],[reach]]*RANDBETWEEN(8,12)/10,0)</f>
        <v>52710</v>
      </c>
      <c r="M83" s="4">
        <f ca="1">T_Facebook_Ads[[#This Row],[frequency]]*RANDBETWEEN(8,12)/10</f>
        <v>1.22</v>
      </c>
      <c r="O83" s="3">
        <f t="shared" ca="1" si="10"/>
        <v>45115</v>
      </c>
      <c r="P83" s="4" t="s">
        <v>88</v>
      </c>
      <c r="Q83" s="4" t="s">
        <v>89</v>
      </c>
      <c r="R83" s="4" t="s">
        <v>90</v>
      </c>
      <c r="S83" s="4" t="s">
        <v>59</v>
      </c>
      <c r="T83" s="4">
        <f ca="1">ROUND(_Google_ads[[#This Row],[impressions]]*RANDBETWEEN(8,12)/10,0)</f>
        <v>120110</v>
      </c>
      <c r="U83" s="4">
        <f ca="1">ROUND(_Google_ads[[#This Row],[clicks]]*RANDBETWEEN(8,12)/10,0)</f>
        <v>489</v>
      </c>
      <c r="V83" s="4">
        <f ca="1">_Google_ads[[#This Row],[cost]]*RANDBETWEEN(8,12)/10</f>
        <v>104.96</v>
      </c>
      <c r="W83" s="4">
        <f ca="1">ROUND(_Google_ads[[#This Row],[conversions]]*RANDBETWEEN(8,12)/10,0)</f>
        <v>14</v>
      </c>
      <c r="X83" s="4">
        <f ca="1">ROUND(_Google_ads[[#This Row],[conversion_value]]*RANDBETWEEN(8,12)/10,0)</f>
        <v>700</v>
      </c>
      <c r="Y83" s="4">
        <f ca="1">_Google_ads[[#This Row],[ctr]]*RANDBETWEEN(8,12)/10</f>
        <v>2.96E-3</v>
      </c>
      <c r="Z83" s="4">
        <f ca="1">_Google_ads[[#This Row],[avg_cpc]]*RANDBETWEEN(8,12)/10</f>
        <v>0.32400000000000001</v>
      </c>
      <c r="AA83" s="4">
        <f ca="1">ROUND(_Google_ads[[#This Row],[quality_score]]*RANDBETWEEN(8,12)/10,0)</f>
        <v>7</v>
      </c>
      <c r="AB83" s="4">
        <f ca="1">_Google_ads[[#This Row],[search_impression_share]]*RANDBETWEEN(8,12)/10</f>
        <v>0.315</v>
      </c>
      <c r="AD83" s="3">
        <f t="shared" ca="1" si="11"/>
        <v>45123</v>
      </c>
      <c r="AE83" s="4" t="s">
        <v>112</v>
      </c>
      <c r="AF83" s="4" t="s">
        <v>113</v>
      </c>
      <c r="AG83" s="4" t="s">
        <v>114</v>
      </c>
      <c r="AH83" s="4" t="s">
        <v>115</v>
      </c>
      <c r="AI83" s="4">
        <f ca="1">ROUND(T_Tiktok_ads[[#This Row],[impressions]]*RANDBETWEEN(8,12)/10,0)</f>
        <v>508147</v>
      </c>
      <c r="AJ83" s="4">
        <f ca="1">ROUND(T_Tiktok_ads[[#This Row],[clicks]]*RANDBETWEEN(8,12)/10,0)</f>
        <v>8268</v>
      </c>
      <c r="AK83" s="4">
        <v>1056.8</v>
      </c>
      <c r="AL83" s="4">
        <f ca="1">ROUND(T_Tiktok_ads[[#This Row],[conversions]]*RANDBETWEEN(8,12)/10,0)</f>
        <v>86</v>
      </c>
      <c r="AM83" s="4">
        <f ca="1">ROUND(T_Tiktok_ads[[#This Row],[video_views]]*RANDBETWEEN(8,12)/10,0)</f>
        <v>392468</v>
      </c>
      <c r="AN83" s="4">
        <f ca="1">ROUND(T_Tiktok_ads[[#This Row],[video_watch_25]]*RANDBETWEEN(8,12)/10,0)</f>
        <v>260311</v>
      </c>
      <c r="AO83" s="4">
        <f ca="1">ROUND(T_Tiktok_ads[[#This Row],[video_watch_50]]*RANDBETWEEN(8,12)/10,0)</f>
        <v>254602</v>
      </c>
      <c r="AP83" s="4">
        <f ca="1">ROUND(T_Tiktok_ads[[#This Row],[video_watch_75]]*RANDBETWEEN(8,12)/10,0)</f>
        <v>148110</v>
      </c>
      <c r="AQ83" s="4">
        <f ca="1">ROUND(T_Tiktok_ads[[#This Row],[video_watch_100]]*RANDBETWEEN(8,12)/10,0)</f>
        <v>109234</v>
      </c>
      <c r="AR83" s="4">
        <f ca="1">ROUND(T_Tiktok_ads[[#This Row],[likes]]*RANDBETWEEN(8,12)/10,0)</f>
        <v>17001</v>
      </c>
      <c r="AS83" s="4">
        <f ca="1">ROUND(T_Tiktok_ads[[#This Row],[shares]]*RANDBETWEEN(8,12)/10,0)</f>
        <v>4365</v>
      </c>
      <c r="AT83" s="4">
        <f ca="1">ROUND(T_Tiktok_ads[[#This Row],[comments]]*RANDBETWEEN(8,12)/10,0)</f>
        <v>1638</v>
      </c>
      <c r="AV83" s="5">
        <f t="shared" ca="1" si="12"/>
        <v>45115</v>
      </c>
      <c r="AW83">
        <f t="shared" ca="1" si="13"/>
        <v>5</v>
      </c>
      <c r="AX83">
        <f ca="1">ROUND(T_Facebook_Ads11596367717579[[#This Row],[impressions]]*RANDBETWEEN(8,12)/10,0)</f>
        <v>64111</v>
      </c>
      <c r="AY83">
        <f ca="1">ROUND(T_Facebook_Ads11596367717579[[#This Row],[clicks]]*RANDBETWEEN(8,12)/10,0)</f>
        <v>230</v>
      </c>
      <c r="AZ83">
        <f ca="1">T_Facebook_Ads11596367717579[[#This Row],[spend]]*RANDBETWEEN(8,12)/10</f>
        <v>86.88000000000001</v>
      </c>
      <c r="BA83">
        <f ca="1">ROUND(T_Facebook_Ads11596367717579[[#This Row],[conversions]]*RANDBETWEEN(8,12)/10,0)</f>
        <v>4</v>
      </c>
      <c r="BB83">
        <f ca="1">ROUND(T_Facebook_Ads11596367717579[[#This Row],[video_views]]*RANDBETWEEN(8,12)/10,0)</f>
        <v>52935</v>
      </c>
    </row>
    <row r="84" spans="1:54" ht="15.75" thickBot="1" x14ac:dyDescent="0.3">
      <c r="A84" s="3">
        <f t="shared" ca="1" si="9"/>
        <v>45131</v>
      </c>
      <c r="B84" s="4" t="s">
        <v>52</v>
      </c>
      <c r="C84" s="4" t="s">
        <v>53</v>
      </c>
      <c r="D84" s="4" t="s">
        <v>54</v>
      </c>
      <c r="E84" s="4" t="s">
        <v>55</v>
      </c>
      <c r="F84" s="4">
        <f ca="1">ROUND(T_Facebook_Ads[[#This Row],[impressions]]*RANDBETWEEN(8,12)/10,0)</f>
        <v>51234</v>
      </c>
      <c r="G84" s="4">
        <v>1067</v>
      </c>
      <c r="H84" s="4">
        <f ca="1">T_Facebook_Ads[[#This Row],[spend]]*RANDBETWEEN(8,12)/10</f>
        <v>149.69999999999999</v>
      </c>
      <c r="I84" s="4">
        <f ca="1">ROUND(T_Facebook_Ads[[#This Row],[conversions]]*RANDBETWEEN(8,12)/10,0)</f>
        <v>20</v>
      </c>
      <c r="J84" s="4">
        <f ca="1">ROUND(T_Facebook_Ads[[#This Row],[video_views]]*RANDBETWEEN(8,12)/10,0)</f>
        <v>8311</v>
      </c>
      <c r="K84" s="4">
        <f ca="1">T_Facebook_Ads[[#This Row],[engagement_rate]]*RANDBETWEEN(8,12)/10</f>
        <v>2.496E-2</v>
      </c>
      <c r="L84" s="4">
        <f ca="1">ROUND(T_Facebook_Ads[[#This Row],[reach]]*RANDBETWEEN(8,12)/10,0)</f>
        <v>46824</v>
      </c>
      <c r="M84" s="4">
        <f ca="1">T_Facebook_Ads[[#This Row],[frequency]]*RANDBETWEEN(8,12)/10</f>
        <v>1.0799999999999998</v>
      </c>
      <c r="O84" s="3">
        <f t="shared" ca="1" si="10"/>
        <v>45133</v>
      </c>
      <c r="P84" s="4" t="s">
        <v>76</v>
      </c>
      <c r="Q84" s="4" t="s">
        <v>77</v>
      </c>
      <c r="R84" s="4" t="s">
        <v>78</v>
      </c>
      <c r="S84" s="4" t="s">
        <v>79</v>
      </c>
      <c r="T84" s="4">
        <f ca="1">ROUND(_Google_ads[[#This Row],[impressions]]*RANDBETWEEN(8,12)/10,0)</f>
        <v>24411</v>
      </c>
      <c r="U84" s="4">
        <f ca="1">ROUND(_Google_ads[[#This Row],[clicks]]*RANDBETWEEN(8,12)/10,0)</f>
        <v>1721</v>
      </c>
      <c r="V84" s="4">
        <f ca="1">_Google_ads[[#This Row],[cost]]*RANDBETWEEN(8,12)/10</f>
        <v>329.16</v>
      </c>
      <c r="W84" s="4">
        <f ca="1">ROUND(_Google_ads[[#This Row],[conversions]]*RANDBETWEEN(8,12)/10,0)</f>
        <v>44</v>
      </c>
      <c r="X84" s="4">
        <f ca="1">ROUND(_Google_ads[[#This Row],[conversion_value]]*RANDBETWEEN(8,12)/10,0)</f>
        <v>2200</v>
      </c>
      <c r="Y84" s="4">
        <f ca="1">_Google_ads[[#This Row],[ctr]]*RANDBETWEEN(8,12)/10</f>
        <v>4.761E-2</v>
      </c>
      <c r="Z84" s="4">
        <f ca="1">_Google_ads[[#This Row],[avg_cpc]]*RANDBETWEEN(8,12)/10</f>
        <v>0.152</v>
      </c>
      <c r="AA84" s="4">
        <f ca="1">ROUND(_Google_ads[[#This Row],[quality_score]]*RANDBETWEEN(8,12)/10,0)</f>
        <v>11</v>
      </c>
      <c r="AB84" s="4">
        <f ca="1">_Google_ads[[#This Row],[search_impression_share]]*RANDBETWEEN(8,12)/10</f>
        <v>0.93</v>
      </c>
      <c r="AD84" s="3">
        <f t="shared" ca="1" si="11"/>
        <v>45119</v>
      </c>
      <c r="AE84" s="4" t="s">
        <v>100</v>
      </c>
      <c r="AF84" s="4" t="s">
        <v>101</v>
      </c>
      <c r="AG84" s="4" t="s">
        <v>102</v>
      </c>
      <c r="AH84" s="4" t="s">
        <v>103</v>
      </c>
      <c r="AI84" s="4">
        <f ca="1">ROUND(T_Tiktok_ads[[#This Row],[impressions]]*RANDBETWEEN(8,12)/10,0)</f>
        <v>374814</v>
      </c>
      <c r="AJ84" s="4">
        <f ca="1">ROUND(T_Tiktok_ads[[#This Row],[clicks]]*RANDBETWEEN(8,12)/10,0)</f>
        <v>5024</v>
      </c>
      <c r="AK84" s="4">
        <v>623.4</v>
      </c>
      <c r="AL84" s="4">
        <f ca="1">ROUND(T_Tiktok_ads[[#This Row],[conversions]]*RANDBETWEEN(8,12)/10,0)</f>
        <v>43</v>
      </c>
      <c r="AM84" s="4">
        <f ca="1">ROUND(T_Tiktok_ads[[#This Row],[video_views]]*RANDBETWEEN(8,12)/10,0)</f>
        <v>205431</v>
      </c>
      <c r="AN84" s="4">
        <f ca="1">ROUND(T_Tiktok_ads[[#This Row],[video_watch_25]]*RANDBETWEEN(8,12)/10,0)</f>
        <v>240281</v>
      </c>
      <c r="AO84" s="4">
        <f ca="1">ROUND(T_Tiktok_ads[[#This Row],[video_watch_50]]*RANDBETWEEN(8,12)/10,0)</f>
        <v>125678</v>
      </c>
      <c r="AP84" s="4">
        <f ca="1">ROUND(T_Tiktok_ads[[#This Row],[video_watch_75]]*RANDBETWEEN(8,12)/10,0)</f>
        <v>84567</v>
      </c>
      <c r="AQ84" s="4">
        <f ca="1">ROUND(T_Tiktok_ads[[#This Row],[video_watch_100]]*RANDBETWEEN(8,12)/10,0)</f>
        <v>61857</v>
      </c>
      <c r="AR84" s="4">
        <f ca="1">ROUND(T_Tiktok_ads[[#This Row],[likes]]*RANDBETWEEN(8,12)/10,0)</f>
        <v>12357</v>
      </c>
      <c r="AS84" s="4">
        <f ca="1">ROUND(T_Tiktok_ads[[#This Row],[shares]]*RANDBETWEEN(8,12)/10,0)</f>
        <v>3012</v>
      </c>
      <c r="AT84" s="4">
        <f ca="1">ROUND(T_Tiktok_ads[[#This Row],[comments]]*RANDBETWEEN(8,12)/10,0)</f>
        <v>578</v>
      </c>
      <c r="AV84" s="5">
        <f t="shared" ca="1" si="12"/>
        <v>45126</v>
      </c>
      <c r="AW84">
        <f t="shared" ca="1" si="13"/>
        <v>1</v>
      </c>
      <c r="AX84">
        <f ca="1">ROUND(T_Facebook_Ads11596367717579[[#This Row],[impressions]]*RANDBETWEEN(8,12)/10,0)</f>
        <v>51234</v>
      </c>
      <c r="AY84">
        <f ca="1">ROUND(T_Facebook_Ads11596367717579[[#This Row],[clicks]]*RANDBETWEEN(8,12)/10,0)</f>
        <v>1280</v>
      </c>
      <c r="AZ84">
        <f ca="1">T_Facebook_Ads11596367717579[[#This Row],[spend]]*RANDBETWEEN(8,12)/10</f>
        <v>164.67</v>
      </c>
      <c r="BA84">
        <f ca="1">ROUND(T_Facebook_Ads11596367717579[[#This Row],[conversions]]*RANDBETWEEN(8,12)/10,0)</f>
        <v>16</v>
      </c>
      <c r="BB84">
        <f ca="1">ROUND(T_Facebook_Ads11596367717579[[#This Row],[video_views]]*RANDBETWEEN(8,12)/10,0)</f>
        <v>8311</v>
      </c>
    </row>
    <row r="85" spans="1:54" ht="15.75" thickBot="1" x14ac:dyDescent="0.3">
      <c r="A85" s="3">
        <f t="shared" ca="1" si="9"/>
        <v>45118</v>
      </c>
      <c r="B85" s="4" t="s">
        <v>56</v>
      </c>
      <c r="C85" s="4" t="s">
        <v>57</v>
      </c>
      <c r="D85" s="4" t="s">
        <v>58</v>
      </c>
      <c r="E85" s="4" t="s">
        <v>59</v>
      </c>
      <c r="F85" s="4">
        <f ca="1">ROUND(T_Facebook_Ads[[#This Row],[impressions]]*RANDBETWEEN(8,12)/10,0)</f>
        <v>13401</v>
      </c>
      <c r="G85" s="4">
        <v>712</v>
      </c>
      <c r="H85" s="4">
        <f ca="1">T_Facebook_Ads[[#This Row],[spend]]*RANDBETWEEN(8,12)/10</f>
        <v>226.44</v>
      </c>
      <c r="I85" s="4">
        <f ca="1">ROUND(T_Facebook_Ads[[#This Row],[conversions]]*RANDBETWEEN(8,12)/10,0)</f>
        <v>39</v>
      </c>
      <c r="J85" s="4">
        <f ca="1">ROUND(T_Facebook_Ads[[#This Row],[video_views]]*RANDBETWEEN(8,12)/10,0)</f>
        <v>1420</v>
      </c>
      <c r="K85" s="4">
        <f ca="1">T_Facebook_Ads[[#This Row],[engagement_rate]]*RANDBETWEEN(8,12)/10</f>
        <v>4.3020000000000003E-2</v>
      </c>
      <c r="L85" s="4">
        <f ca="1">ROUND(T_Facebook_Ads[[#This Row],[reach]]*RANDBETWEEN(8,12)/10,0)</f>
        <v>11790</v>
      </c>
      <c r="M85" s="4">
        <f ca="1">T_Facebook_Ads[[#This Row],[frequency]]*RANDBETWEEN(8,12)/10</f>
        <v>1.26</v>
      </c>
      <c r="O85" s="3">
        <f t="shared" ca="1" si="10"/>
        <v>45119</v>
      </c>
      <c r="P85" s="4" t="s">
        <v>80</v>
      </c>
      <c r="Q85" s="4" t="s">
        <v>81</v>
      </c>
      <c r="R85" s="4" t="s">
        <v>82</v>
      </c>
      <c r="S85" s="4" t="s">
        <v>83</v>
      </c>
      <c r="T85" s="4">
        <f ca="1">ROUND(_Google_ads[[#This Row],[impressions]]*RANDBETWEEN(8,12)/10,0)</f>
        <v>38312</v>
      </c>
      <c r="U85" s="4">
        <f ca="1">ROUND(_Google_ads[[#This Row],[clicks]]*RANDBETWEEN(8,12)/10,0)</f>
        <v>1076</v>
      </c>
      <c r="V85" s="4">
        <f ca="1">_Google_ads[[#This Row],[cost]]*RANDBETWEEN(8,12)/10</f>
        <v>736.2</v>
      </c>
      <c r="W85" s="4">
        <f ca="1">ROUND(_Google_ads[[#This Row],[conversions]]*RANDBETWEEN(8,12)/10,0)</f>
        <v>31</v>
      </c>
      <c r="X85" s="4">
        <f ca="1">ROUND(_Google_ads[[#This Row],[conversion_value]]*RANDBETWEEN(8,12)/10,0)</f>
        <v>1040</v>
      </c>
      <c r="Y85" s="4">
        <f ca="1">_Google_ads[[#This Row],[ctr]]*RANDBETWEEN(8,12)/10</f>
        <v>2.0400000000000001E-2</v>
      </c>
      <c r="Z85" s="4">
        <f ca="1">_Google_ads[[#This Row],[avg_cpc]]*RANDBETWEEN(8,12)/10</f>
        <v>0.56699999999999995</v>
      </c>
      <c r="AA85" s="4">
        <f ca="1">ROUND(_Google_ads[[#This Row],[quality_score]]*RANDBETWEEN(8,12)/10,0)</f>
        <v>8</v>
      </c>
      <c r="AB85" s="4">
        <f ca="1">_Google_ads[[#This Row],[search_impression_share]]*RANDBETWEEN(8,12)/10</f>
        <v>0.55200000000000005</v>
      </c>
      <c r="AD85" s="3">
        <f t="shared" ca="1" si="11"/>
        <v>45112</v>
      </c>
      <c r="AE85" s="4" t="s">
        <v>104</v>
      </c>
      <c r="AF85" s="4" t="s">
        <v>105</v>
      </c>
      <c r="AG85" s="4" t="s">
        <v>106</v>
      </c>
      <c r="AH85" s="4" t="s">
        <v>107</v>
      </c>
      <c r="AI85" s="4">
        <f ca="1">ROUND(T_Tiktok_ads[[#This Row],[impressions]]*RANDBETWEEN(8,12)/10,0)</f>
        <v>189580</v>
      </c>
      <c r="AJ85" s="4">
        <f ca="1">ROUND(T_Tiktok_ads[[#This Row],[clicks]]*RANDBETWEEN(8,12)/10,0)</f>
        <v>3680</v>
      </c>
      <c r="AK85" s="4">
        <v>867.9</v>
      </c>
      <c r="AL85" s="4">
        <f ca="1">ROUND(T_Tiktok_ads[[#This Row],[conversions]]*RANDBETWEEN(8,12)/10,0)</f>
        <v>87</v>
      </c>
      <c r="AM85" s="4">
        <f ca="1">ROUND(T_Tiktok_ads[[#This Row],[video_views]]*RANDBETWEEN(8,12)/10,0)</f>
        <v>135802</v>
      </c>
      <c r="AN85" s="4">
        <f ca="1">ROUND(T_Tiktok_ads[[#This Row],[video_watch_25]]*RANDBETWEEN(8,12)/10,0)</f>
        <v>72987</v>
      </c>
      <c r="AO85" s="4">
        <f ca="1">ROUND(T_Tiktok_ads[[#This Row],[video_watch_50]]*RANDBETWEEN(8,12)/10,0)</f>
        <v>55410</v>
      </c>
      <c r="AP85" s="4">
        <f ca="1">ROUND(T_Tiktok_ads[[#This Row],[video_watch_75]]*RANDBETWEEN(8,12)/10,0)</f>
        <v>50857</v>
      </c>
      <c r="AQ85" s="4">
        <f ca="1">ROUND(T_Tiktok_ads[[#This Row],[video_watch_100]]*RANDBETWEEN(8,12)/10,0)</f>
        <v>27710</v>
      </c>
      <c r="AR85" s="4">
        <f ca="1">ROUND(T_Tiktok_ads[[#This Row],[likes]]*RANDBETWEEN(8,12)/10,0)</f>
        <v>4712</v>
      </c>
      <c r="AS85" s="4">
        <f ca="1">ROUND(T_Tiktok_ads[[#This Row],[shares]]*RANDBETWEEN(8,12)/10,0)</f>
        <v>1678</v>
      </c>
      <c r="AT85" s="4">
        <f ca="1">ROUND(T_Tiktok_ads[[#This Row],[comments]]*RANDBETWEEN(8,12)/10,0)</f>
        <v>301</v>
      </c>
      <c r="AV85" s="5">
        <f t="shared" ca="1" si="12"/>
        <v>45119</v>
      </c>
      <c r="AW85">
        <f t="shared" ca="1" si="13"/>
        <v>2</v>
      </c>
      <c r="AX85">
        <f ca="1">ROUND(T_Facebook_Ads11596367717579[[#This Row],[impressions]]*RANDBETWEEN(8,12)/10,0)</f>
        <v>16081</v>
      </c>
      <c r="AY85">
        <f ca="1">ROUND(T_Facebook_Ads11596367717579[[#This Row],[clicks]]*RANDBETWEEN(8,12)/10,0)</f>
        <v>641</v>
      </c>
      <c r="AZ85">
        <f ca="1">T_Facebook_Ads11596367717579[[#This Row],[spend]]*RANDBETWEEN(8,12)/10</f>
        <v>181.15199999999999</v>
      </c>
      <c r="BA85">
        <f ca="1">ROUND(T_Facebook_Ads11596367717579[[#This Row],[conversions]]*RANDBETWEEN(8,12)/10,0)</f>
        <v>31</v>
      </c>
      <c r="BB85">
        <f ca="1">ROUND(T_Facebook_Ads11596367717579[[#This Row],[video_views]]*RANDBETWEEN(8,12)/10,0)</f>
        <v>1136</v>
      </c>
    </row>
    <row r="86" spans="1:54" ht="15.75" thickBot="1" x14ac:dyDescent="0.3">
      <c r="A86" s="3">
        <f t="shared" ca="1" si="9"/>
        <v>45126</v>
      </c>
      <c r="B86" s="4" t="s">
        <v>60</v>
      </c>
      <c r="C86" s="4" t="s">
        <v>61</v>
      </c>
      <c r="D86" s="4" t="s">
        <v>62</v>
      </c>
      <c r="E86" s="4" t="s">
        <v>63</v>
      </c>
      <c r="F86" s="4">
        <f ca="1">ROUND(T_Facebook_Ads[[#This Row],[impressions]]*RANDBETWEEN(8,12)/10,0)</f>
        <v>47081</v>
      </c>
      <c r="G86" s="4">
        <v>1489</v>
      </c>
      <c r="H86" s="4">
        <f ca="1">T_Facebook_Ads[[#This Row],[spend]]*RANDBETWEEN(8,12)/10</f>
        <v>250.69</v>
      </c>
      <c r="I86" s="4">
        <f ca="1">ROUND(T_Facebook_Ads[[#This Row],[conversions]]*RANDBETWEEN(8,12)/10,0)</f>
        <v>32</v>
      </c>
      <c r="J86" s="4">
        <f ca="1">ROUND(T_Facebook_Ads[[#This Row],[video_views]]*RANDBETWEEN(8,12)/10,0)</f>
        <v>6281</v>
      </c>
      <c r="K86" s="4">
        <f ca="1">T_Facebook_Ads[[#This Row],[engagement_rate]]*RANDBETWEEN(8,12)/10</f>
        <v>4.1690000000000005E-2</v>
      </c>
      <c r="L86" s="4">
        <f ca="1">ROUND(T_Facebook_Ads[[#This Row],[reach]]*RANDBETWEEN(8,12)/10,0)</f>
        <v>28911</v>
      </c>
      <c r="M86" s="4">
        <f ca="1">T_Facebook_Ads[[#This Row],[frequency]]*RANDBETWEEN(8,12)/10</f>
        <v>1.22</v>
      </c>
      <c r="O86" s="3">
        <f t="shared" ca="1" si="10"/>
        <v>45123</v>
      </c>
      <c r="P86" s="4" t="s">
        <v>84</v>
      </c>
      <c r="Q86" s="4" t="s">
        <v>85</v>
      </c>
      <c r="R86" s="4" t="s">
        <v>86</v>
      </c>
      <c r="S86" s="4" t="s">
        <v>87</v>
      </c>
      <c r="T86" s="4">
        <f ca="1">ROUND(_Google_ads[[#This Row],[impressions]]*RANDBETWEEN(8,12)/10,0)</f>
        <v>73456</v>
      </c>
      <c r="U86" s="4">
        <f ca="1">ROUND(_Google_ads[[#This Row],[clicks]]*RANDBETWEEN(8,12)/10,0)</f>
        <v>2001</v>
      </c>
      <c r="V86" s="4">
        <f ca="1">_Google_ads[[#This Row],[cost]]*RANDBETWEEN(8,12)/10</f>
        <v>365.36</v>
      </c>
      <c r="W86" s="4">
        <f ca="1">ROUND(_Google_ads[[#This Row],[conversions]]*RANDBETWEEN(8,12)/10,0)</f>
        <v>73</v>
      </c>
      <c r="X86" s="4">
        <f ca="1">ROUND(_Google_ads[[#This Row],[conversion_value]]*RANDBETWEEN(8,12)/10,0)</f>
        <v>4380</v>
      </c>
      <c r="Y86" s="4">
        <f ca="1">_Google_ads[[#This Row],[ctr]]*RANDBETWEEN(8,12)/10</f>
        <v>3.7400000000000003E-2</v>
      </c>
      <c r="Z86" s="4">
        <f ca="1">_Google_ads[[#This Row],[avg_cpc]]*RANDBETWEEN(8,12)/10</f>
        <v>0.14399999999999999</v>
      </c>
      <c r="AA86" s="4">
        <f ca="1">ROUND(_Google_ads[[#This Row],[quality_score]]*RANDBETWEEN(8,12)/10,0)</f>
        <v>7</v>
      </c>
      <c r="AB86" s="4">
        <f ca="1">_Google_ads[[#This Row],[search_impression_share]]*RANDBETWEEN(8,12)/10</f>
        <v>0.75900000000000001</v>
      </c>
      <c r="AD86" s="3">
        <f t="shared" ca="1" si="11"/>
        <v>45109</v>
      </c>
      <c r="AE86" s="4" t="s">
        <v>108</v>
      </c>
      <c r="AF86" s="4" t="s">
        <v>109</v>
      </c>
      <c r="AG86" s="4" t="s">
        <v>110</v>
      </c>
      <c r="AH86" s="4" t="s">
        <v>111</v>
      </c>
      <c r="AI86" s="4">
        <f ca="1">ROUND(T_Tiktok_ads[[#This Row],[impressions]]*RANDBETWEEN(8,12)/10,0)</f>
        <v>241101</v>
      </c>
      <c r="AJ86" s="4">
        <f ca="1">ROUND(T_Tiktok_ads[[#This Row],[clicks]]*RANDBETWEEN(8,12)/10,0)</f>
        <v>3298</v>
      </c>
      <c r="AK86" s="4">
        <v>512.6</v>
      </c>
      <c r="AL86" s="4">
        <f ca="1">ROUND(T_Tiktok_ads[[#This Row],[conversions]]*RANDBETWEEN(8,12)/10,0)</f>
        <v>30</v>
      </c>
      <c r="AM86" s="4">
        <f ca="1">ROUND(T_Tiktok_ads[[#This Row],[video_views]]*RANDBETWEEN(8,12)/10,0)</f>
        <v>169876</v>
      </c>
      <c r="AN86" s="4">
        <f ca="1">ROUND(T_Tiktok_ads[[#This Row],[video_watch_25]]*RANDBETWEEN(8,12)/10,0)</f>
        <v>128187</v>
      </c>
      <c r="AO86" s="4">
        <f ca="1">ROUND(T_Tiktok_ads[[#This Row],[video_watch_50]]*RANDBETWEEN(8,12)/10,0)</f>
        <v>101431</v>
      </c>
      <c r="AP86" s="4">
        <f ca="1">ROUND(T_Tiktok_ads[[#This Row],[video_watch_75]]*RANDBETWEEN(8,12)/10,0)</f>
        <v>73111</v>
      </c>
      <c r="AQ86" s="4">
        <f ca="1">ROUND(T_Tiktok_ads[[#This Row],[video_watch_100]]*RANDBETWEEN(8,12)/10,0)</f>
        <v>39387</v>
      </c>
      <c r="AR86" s="4">
        <f ca="1">ROUND(T_Tiktok_ads[[#This Row],[likes]]*RANDBETWEEN(8,12)/10,0)</f>
        <v>8211</v>
      </c>
      <c r="AS86" s="4">
        <f ca="1">ROUND(T_Tiktok_ads[[#This Row],[shares]]*RANDBETWEEN(8,12)/10,0)</f>
        <v>2824</v>
      </c>
      <c r="AT86" s="4">
        <f ca="1">ROUND(T_Tiktok_ads[[#This Row],[comments]]*RANDBETWEEN(8,12)/10,0)</f>
        <v>673</v>
      </c>
      <c r="AV86" s="5">
        <f t="shared" ca="1" si="12"/>
        <v>45132</v>
      </c>
      <c r="AW86">
        <f t="shared" ca="1" si="13"/>
        <v>5</v>
      </c>
      <c r="AX86">
        <f ca="1">ROUND(T_Facebook_Ads11596367717579[[#This Row],[impressions]]*RANDBETWEEN(8,12)/10,0)</f>
        <v>37665</v>
      </c>
      <c r="AY86">
        <f ca="1">ROUND(T_Facebook_Ads11596367717579[[#This Row],[clicks]]*RANDBETWEEN(8,12)/10,0)</f>
        <v>1191</v>
      </c>
      <c r="AZ86">
        <f ca="1">T_Facebook_Ads11596367717579[[#This Row],[spend]]*RANDBETWEEN(8,12)/10</f>
        <v>300.82799999999997</v>
      </c>
      <c r="BA86">
        <f ca="1">ROUND(T_Facebook_Ads11596367717579[[#This Row],[conversions]]*RANDBETWEEN(8,12)/10,0)</f>
        <v>35</v>
      </c>
      <c r="BB86">
        <f ca="1">ROUND(T_Facebook_Ads11596367717579[[#This Row],[video_views]]*RANDBETWEEN(8,12)/10,0)</f>
        <v>7537</v>
      </c>
    </row>
    <row r="87" spans="1:54" ht="15.75" thickBot="1" x14ac:dyDescent="0.3">
      <c r="A87" s="3">
        <f t="shared" ca="1" si="9"/>
        <v>45110</v>
      </c>
      <c r="B87" s="4" t="s">
        <v>64</v>
      </c>
      <c r="C87" s="4" t="s">
        <v>65</v>
      </c>
      <c r="D87" s="4" t="s">
        <v>66</v>
      </c>
      <c r="E87" s="4" t="s">
        <v>67</v>
      </c>
      <c r="F87" s="4">
        <f ca="1">ROUND(T_Facebook_Ads[[#This Row],[impressions]]*RANDBETWEEN(8,12)/10,0)</f>
        <v>59654</v>
      </c>
      <c r="G87" s="4">
        <v>267</v>
      </c>
      <c r="H87" s="4">
        <f ca="1">T_Facebook_Ads[[#This Row],[spend]]*RANDBETWEEN(8,12)/10</f>
        <v>86.22</v>
      </c>
      <c r="I87" s="4">
        <f ca="1">ROUND(T_Facebook_Ads[[#This Row],[conversions]]*RANDBETWEEN(8,12)/10,0)</f>
        <v>6</v>
      </c>
      <c r="J87" s="4">
        <f ca="1">ROUND(T_Facebook_Ads[[#This Row],[video_views]]*RANDBETWEEN(8,12)/10,0)</f>
        <v>50234</v>
      </c>
      <c r="K87" s="4">
        <f ca="1">T_Facebook_Ads[[#This Row],[engagement_rate]]*RANDBETWEEN(8,12)/10</f>
        <v>3.5999999999999999E-3</v>
      </c>
      <c r="L87" s="4">
        <f ca="1">ROUND(T_Facebook_Ads[[#This Row],[reach]]*RANDBETWEEN(8,12)/10,0)</f>
        <v>54710</v>
      </c>
      <c r="M87" s="4">
        <f ca="1">T_Facebook_Ads[[#This Row],[frequency]]*RANDBETWEEN(8,12)/10</f>
        <v>0.98399999999999999</v>
      </c>
      <c r="O87" s="3">
        <f t="shared" ca="1" si="10"/>
        <v>45133</v>
      </c>
      <c r="P87" s="4" t="s">
        <v>88</v>
      </c>
      <c r="Q87" s="4" t="s">
        <v>89</v>
      </c>
      <c r="R87" s="4" t="s">
        <v>90</v>
      </c>
      <c r="S87" s="4" t="s">
        <v>59</v>
      </c>
      <c r="T87" s="4">
        <f ca="1">ROUND(_Google_ads[[#This Row],[impressions]]*RANDBETWEEN(8,12)/10,0)</f>
        <v>167081</v>
      </c>
      <c r="U87" s="4">
        <f ca="1">ROUND(_Google_ads[[#This Row],[clicks]]*RANDBETWEEN(8,12)/10,0)</f>
        <v>471</v>
      </c>
      <c r="V87" s="4">
        <f ca="1">_Google_ads[[#This Row],[cost]]*RANDBETWEEN(8,12)/10</f>
        <v>136.80000000000001</v>
      </c>
      <c r="W87" s="4">
        <f ca="1">ROUND(_Google_ads[[#This Row],[conversions]]*RANDBETWEEN(8,12)/10,0)</f>
        <v>18</v>
      </c>
      <c r="X87" s="4">
        <f ca="1">ROUND(_Google_ads[[#This Row],[conversion_value]]*RANDBETWEEN(8,12)/10,0)</f>
        <v>600</v>
      </c>
      <c r="Y87" s="4">
        <f ca="1">_Google_ads[[#This Row],[ctr]]*RANDBETWEEN(8,12)/10</f>
        <v>3.4200000000000003E-3</v>
      </c>
      <c r="Z87" s="4">
        <f ca="1">_Google_ads[[#This Row],[avg_cpc]]*RANDBETWEEN(8,12)/10</f>
        <v>0.26</v>
      </c>
      <c r="AA87" s="4">
        <f ca="1">ROUND(_Google_ads[[#This Row],[quality_score]]*RANDBETWEEN(8,12)/10,0)</f>
        <v>8</v>
      </c>
      <c r="AB87" s="4">
        <f ca="1">_Google_ads[[#This Row],[search_impression_share]]*RANDBETWEEN(8,12)/10</f>
        <v>0.28799999999999998</v>
      </c>
      <c r="AD87" s="3">
        <f t="shared" ca="1" si="11"/>
        <v>45138</v>
      </c>
      <c r="AE87" s="4" t="s">
        <v>112</v>
      </c>
      <c r="AF87" s="4" t="s">
        <v>113</v>
      </c>
      <c r="AG87" s="4" t="s">
        <v>114</v>
      </c>
      <c r="AH87" s="4" t="s">
        <v>115</v>
      </c>
      <c r="AI87" s="4">
        <f ca="1">ROUND(T_Tiktok_ads[[#This Row],[impressions]]*RANDBETWEEN(8,12)/10,0)</f>
        <v>548147</v>
      </c>
      <c r="AJ87" s="4">
        <f ca="1">ROUND(T_Tiktok_ads[[#This Row],[clicks]]*RANDBETWEEN(8,12)/10,0)</f>
        <v>7456</v>
      </c>
      <c r="AK87" s="4">
        <v>1167.8</v>
      </c>
      <c r="AL87" s="4">
        <f ca="1">ROUND(T_Tiktok_ads[[#This Row],[conversions]]*RANDBETWEEN(8,12)/10,0)</f>
        <v>142</v>
      </c>
      <c r="AM87" s="4">
        <f ca="1">ROUND(T_Tiktok_ads[[#This Row],[video_views]]*RANDBETWEEN(8,12)/10,0)</f>
        <v>427913</v>
      </c>
      <c r="AN87" s="4">
        <f ca="1">ROUND(T_Tiktok_ads[[#This Row],[video_watch_25]]*RANDBETWEEN(8,12)/10,0)</f>
        <v>249876</v>
      </c>
      <c r="AO87" s="4">
        <f ca="1">ROUND(T_Tiktok_ads[[#This Row],[video_watch_50]]*RANDBETWEEN(8,12)/10,0)</f>
        <v>274157</v>
      </c>
      <c r="AP87" s="4">
        <f ca="1">ROUND(T_Tiktok_ads[[#This Row],[video_watch_75]]*RANDBETWEEN(8,12)/10,0)</f>
        <v>177890</v>
      </c>
      <c r="AQ87" s="4">
        <f ca="1">ROUND(T_Tiktok_ads[[#This Row],[video_watch_100]]*RANDBETWEEN(8,12)/10,0)</f>
        <v>141881</v>
      </c>
      <c r="AR87" s="4">
        <f ca="1">ROUND(T_Tiktok_ads[[#This Row],[likes]]*RANDBETWEEN(8,12)/10,0)</f>
        <v>16187</v>
      </c>
      <c r="AS87" s="4">
        <f ca="1">ROUND(T_Tiktok_ads[[#This Row],[shares]]*RANDBETWEEN(8,12)/10,0)</f>
        <v>5321</v>
      </c>
      <c r="AT87" s="4">
        <f ca="1">ROUND(T_Tiktok_ads[[#This Row],[comments]]*RANDBETWEEN(8,12)/10,0)</f>
        <v>1623</v>
      </c>
      <c r="AV87" s="5">
        <f t="shared" ca="1" si="12"/>
        <v>45114</v>
      </c>
      <c r="AW87">
        <f t="shared" ca="1" si="13"/>
        <v>2</v>
      </c>
      <c r="AX87">
        <f ca="1">ROUND(T_Facebook_Ads11596367717579[[#This Row],[impressions]]*RANDBETWEEN(8,12)/10,0)</f>
        <v>65619</v>
      </c>
      <c r="AY87">
        <f ca="1">ROUND(T_Facebook_Ads11596367717579[[#This Row],[clicks]]*RANDBETWEEN(8,12)/10,0)</f>
        <v>294</v>
      </c>
      <c r="AZ87">
        <f ca="1">T_Facebook_Ads11596367717579[[#This Row],[spend]]*RANDBETWEEN(8,12)/10</f>
        <v>103.46399999999998</v>
      </c>
      <c r="BA87">
        <f ca="1">ROUND(T_Facebook_Ads11596367717579[[#This Row],[conversions]]*RANDBETWEEN(8,12)/10,0)</f>
        <v>5</v>
      </c>
      <c r="BB87">
        <f ca="1">ROUND(T_Facebook_Ads11596367717579[[#This Row],[video_views]]*RANDBETWEEN(8,12)/10,0)</f>
        <v>60281</v>
      </c>
    </row>
    <row r="88" spans="1:54" ht="15.75" thickBot="1" x14ac:dyDescent="0.3">
      <c r="A88" s="3">
        <f t="shared" ca="1" si="9"/>
        <v>45126</v>
      </c>
      <c r="B88" s="4" t="s">
        <v>52</v>
      </c>
      <c r="C88" s="4" t="s">
        <v>53</v>
      </c>
      <c r="D88" s="4" t="s">
        <v>54</v>
      </c>
      <c r="E88" s="4" t="s">
        <v>55</v>
      </c>
      <c r="F88" s="4">
        <f ca="1">ROUND(T_Facebook_Ads[[#This Row],[impressions]]*RANDBETWEEN(8,12)/10,0)</f>
        <v>47510</v>
      </c>
      <c r="G88" s="4">
        <v>1123</v>
      </c>
      <c r="H88" s="4">
        <f ca="1">T_Facebook_Ads[[#This Row],[spend]]*RANDBETWEEN(8,12)/10</f>
        <v>156.4</v>
      </c>
      <c r="I88" s="4">
        <f ca="1">ROUND(T_Facebook_Ads[[#This Row],[conversions]]*RANDBETWEEN(8,12)/10,0)</f>
        <v>20</v>
      </c>
      <c r="J88" s="4">
        <f ca="1">ROUND(T_Facebook_Ads[[#This Row],[video_views]]*RANDBETWEEN(8,12)/10,0)</f>
        <v>11480</v>
      </c>
      <c r="K88" s="4">
        <f ca="1">T_Facebook_Ads[[#This Row],[engagement_rate]]*RANDBETWEEN(8,12)/10</f>
        <v>2.5559999999999999E-2</v>
      </c>
      <c r="L88" s="4">
        <f ca="1">ROUND(T_Facebook_Ads[[#This Row],[reach]]*RANDBETWEEN(8,12)/10,0)</f>
        <v>43890</v>
      </c>
      <c r="M88" s="4">
        <f ca="1">T_Facebook_Ads[[#This Row],[frequency]]*RANDBETWEEN(8,12)/10</f>
        <v>1.0799999999999998</v>
      </c>
      <c r="O88" s="3">
        <f t="shared" ca="1" si="10"/>
        <v>45118</v>
      </c>
      <c r="P88" s="4" t="s">
        <v>76</v>
      </c>
      <c r="Q88" s="4" t="s">
        <v>77</v>
      </c>
      <c r="R88" s="4" t="s">
        <v>78</v>
      </c>
      <c r="S88" s="4" t="s">
        <v>79</v>
      </c>
      <c r="T88" s="4">
        <f ca="1">ROUND(_Google_ads[[#This Row],[impressions]]*RANDBETWEEN(8,12)/10,0)</f>
        <v>28234</v>
      </c>
      <c r="U88" s="4">
        <f ca="1">ROUND(_Google_ads[[#This Row],[clicks]]*RANDBETWEEN(8,12)/10,0)</f>
        <v>1663</v>
      </c>
      <c r="V88" s="4">
        <f ca="1">_Google_ads[[#This Row],[cost]]*RANDBETWEEN(8,12)/10</f>
        <v>258.84000000000003</v>
      </c>
      <c r="W88" s="4">
        <f ca="1">ROUND(_Google_ads[[#This Row],[conversions]]*RANDBETWEEN(8,12)/10,0)</f>
        <v>52</v>
      </c>
      <c r="X88" s="4">
        <f ca="1">ROUND(_Google_ads[[#This Row],[conversion_value]]*RANDBETWEEN(8,12)/10,0)</f>
        <v>2900</v>
      </c>
      <c r="Y88" s="4">
        <f ca="1">_Google_ads[[#This Row],[ctr]]*RANDBETWEEN(8,12)/10</f>
        <v>5.885E-2</v>
      </c>
      <c r="Z88" s="4">
        <f ca="1">_Google_ads[[#This Row],[avg_cpc]]*RANDBETWEEN(8,12)/10</f>
        <v>0.20899999999999999</v>
      </c>
      <c r="AA88" s="4">
        <f ca="1">ROUND(_Google_ads[[#This Row],[quality_score]]*RANDBETWEEN(8,12)/10,0)</f>
        <v>8</v>
      </c>
      <c r="AB88" s="4">
        <f ca="1">_Google_ads[[#This Row],[search_impression_share]]*RANDBETWEEN(8,12)/10</f>
        <v>0.93999999999999984</v>
      </c>
      <c r="AD88" s="3">
        <f t="shared" ca="1" si="11"/>
        <v>45109</v>
      </c>
      <c r="AE88" s="4" t="s">
        <v>100</v>
      </c>
      <c r="AF88" s="4" t="s">
        <v>101</v>
      </c>
      <c r="AG88" s="4" t="s">
        <v>102</v>
      </c>
      <c r="AH88" s="4" t="s">
        <v>103</v>
      </c>
      <c r="AI88" s="4">
        <f ca="1">ROUND(T_Tiktok_ads[[#This Row],[impressions]]*RANDBETWEEN(8,12)/10,0)</f>
        <v>355802</v>
      </c>
      <c r="AJ88" s="4">
        <f ca="1">ROUND(T_Tiktok_ads[[#This Row],[clicks]]*RANDBETWEEN(8,12)/10,0)</f>
        <v>5747</v>
      </c>
      <c r="AK88" s="4">
        <v>645.70000000000005</v>
      </c>
      <c r="AL88" s="4">
        <f ca="1">ROUND(T_Tiktok_ads[[#This Row],[conversions]]*RANDBETWEEN(8,12)/10,0)</f>
        <v>50</v>
      </c>
      <c r="AM88" s="4">
        <f ca="1">ROUND(T_Tiktok_ads[[#This Row],[video_views]]*RANDBETWEEN(8,12)/10,0)</f>
        <v>321468</v>
      </c>
      <c r="AN88" s="4">
        <f ca="1">ROUND(T_Tiktok_ads[[#This Row],[video_watch_25]]*RANDBETWEEN(8,12)/10,0)</f>
        <v>250681</v>
      </c>
      <c r="AO88" s="4">
        <f ca="1">ROUND(T_Tiktok_ads[[#This Row],[video_watch_50]]*RANDBETWEEN(8,12)/10,0)</f>
        <v>157481</v>
      </c>
      <c r="AP88" s="4">
        <f ca="1">ROUND(T_Tiktok_ads[[#This Row],[video_watch_75]]*RANDBETWEEN(8,12)/10,0)</f>
        <v>105881</v>
      </c>
      <c r="AQ88" s="4">
        <f ca="1">ROUND(T_Tiktok_ads[[#This Row],[video_watch_100]]*RANDBETWEEN(8,12)/10,0)</f>
        <v>58901</v>
      </c>
      <c r="AR88" s="4">
        <f ca="1">ROUND(T_Tiktok_ads[[#This Row],[likes]]*RANDBETWEEN(8,12)/10,0)</f>
        <v>10410</v>
      </c>
      <c r="AS88" s="4">
        <f ca="1">ROUND(T_Tiktok_ads[[#This Row],[shares]]*RANDBETWEEN(8,12)/10,0)</f>
        <v>3761</v>
      </c>
      <c r="AT88" s="4">
        <f ca="1">ROUND(T_Tiktok_ads[[#This Row],[comments]]*RANDBETWEEN(8,12)/10,0)</f>
        <v>661</v>
      </c>
      <c r="AV88" s="5">
        <f t="shared" ca="1" si="12"/>
        <v>45110</v>
      </c>
      <c r="AW88">
        <f t="shared" ca="1" si="13"/>
        <v>8</v>
      </c>
      <c r="AX88">
        <f ca="1">ROUND(T_Facebook_Ads11596367717579[[#This Row],[impressions]]*RANDBETWEEN(8,12)/10,0)</f>
        <v>38008</v>
      </c>
      <c r="AY88">
        <f ca="1">ROUND(T_Facebook_Ads11596367717579[[#This Row],[clicks]]*RANDBETWEEN(8,12)/10,0)</f>
        <v>1348</v>
      </c>
      <c r="AZ88">
        <f ca="1">T_Facebook_Ads11596367717579[[#This Row],[spend]]*RANDBETWEEN(8,12)/10</f>
        <v>125.12</v>
      </c>
      <c r="BA88">
        <f ca="1">ROUND(T_Facebook_Ads11596367717579[[#This Row],[conversions]]*RANDBETWEEN(8,12)/10,0)</f>
        <v>24</v>
      </c>
      <c r="BB88">
        <f ca="1">ROUND(T_Facebook_Ads11596367717579[[#This Row],[video_views]]*RANDBETWEEN(8,12)/10,0)</f>
        <v>10332</v>
      </c>
    </row>
    <row r="89" spans="1:54" ht="15.75" thickBot="1" x14ac:dyDescent="0.3">
      <c r="A89" s="3">
        <f t="shared" ca="1" si="9"/>
        <v>45137</v>
      </c>
      <c r="B89" s="4" t="s">
        <v>56</v>
      </c>
      <c r="C89" s="4" t="s">
        <v>57</v>
      </c>
      <c r="D89" s="4" t="s">
        <v>58</v>
      </c>
      <c r="E89" s="4" t="s">
        <v>59</v>
      </c>
      <c r="F89" s="4">
        <f ca="1">ROUND(T_Facebook_Ads[[#This Row],[impressions]]*RANDBETWEEN(8,12)/10,0)</f>
        <v>12542</v>
      </c>
      <c r="G89" s="4">
        <v>756</v>
      </c>
      <c r="H89" s="4">
        <f ca="1">T_Facebook_Ads[[#This Row],[spend]]*RANDBETWEEN(8,12)/10</f>
        <v>215.11999999999998</v>
      </c>
      <c r="I89" s="4">
        <f ca="1">ROUND(T_Facebook_Ads[[#This Row],[conversions]]*RANDBETWEEN(8,12)/10,0)</f>
        <v>42</v>
      </c>
      <c r="J89" s="4">
        <f ca="1">ROUND(T_Facebook_Ads[[#This Row],[video_views]]*RANDBETWEEN(8,12)/10,0)</f>
        <v>1510</v>
      </c>
      <c r="K89" s="4">
        <f ca="1">T_Facebook_Ads[[#This Row],[engagement_rate]]*RANDBETWEEN(8,12)/10</f>
        <v>4.82E-2</v>
      </c>
      <c r="L89" s="4">
        <f ca="1">ROUND(T_Facebook_Ads[[#This Row],[reach]]*RANDBETWEEN(8,12)/10,0)</f>
        <v>11111</v>
      </c>
      <c r="M89" s="4">
        <f ca="1">T_Facebook_Ads[[#This Row],[frequency]]*RANDBETWEEN(8,12)/10</f>
        <v>1.397</v>
      </c>
      <c r="O89" s="3">
        <f t="shared" ca="1" si="10"/>
        <v>45127</v>
      </c>
      <c r="P89" s="4" t="s">
        <v>80</v>
      </c>
      <c r="Q89" s="4" t="s">
        <v>81</v>
      </c>
      <c r="R89" s="4" t="s">
        <v>82</v>
      </c>
      <c r="S89" s="4" t="s">
        <v>83</v>
      </c>
      <c r="T89" s="4">
        <f ca="1">ROUND(_Google_ads[[#This Row],[impressions]]*RANDBETWEEN(8,12)/10,0)</f>
        <v>44610</v>
      </c>
      <c r="U89" s="4">
        <f ca="1">ROUND(_Google_ads[[#This Row],[clicks]]*RANDBETWEEN(8,12)/10,0)</f>
        <v>1113</v>
      </c>
      <c r="V89" s="4">
        <f ca="1">_Google_ads[[#This Row],[cost]]*RANDBETWEEN(8,12)/10</f>
        <v>507.36</v>
      </c>
      <c r="W89" s="4">
        <f ca="1">ROUND(_Google_ads[[#This Row],[conversions]]*RANDBETWEEN(8,12)/10,0)</f>
        <v>27</v>
      </c>
      <c r="X89" s="4">
        <f ca="1">ROUND(_Google_ads[[#This Row],[conversion_value]]*RANDBETWEEN(8,12)/10,0)</f>
        <v>1215</v>
      </c>
      <c r="Y89" s="4">
        <f ca="1">_Google_ads[[#This Row],[ctr]]*RANDBETWEEN(8,12)/10</f>
        <v>2.4480000000000002E-2</v>
      </c>
      <c r="Z89" s="4">
        <f ca="1">_Google_ads[[#This Row],[avg_cpc]]*RANDBETWEEN(8,12)/10</f>
        <v>0.69299999999999995</v>
      </c>
      <c r="AA89" s="4">
        <f ca="1">ROUND(_Google_ads[[#This Row],[quality_score]]*RANDBETWEEN(8,12)/10,0)</f>
        <v>6</v>
      </c>
      <c r="AB89" s="4">
        <f ca="1">_Google_ads[[#This Row],[search_impression_share]]*RANDBETWEEN(8,12)/10</f>
        <v>0.42299999999999993</v>
      </c>
      <c r="AD89" s="3">
        <f t="shared" ca="1" si="11"/>
        <v>45110</v>
      </c>
      <c r="AE89" s="4" t="s">
        <v>104</v>
      </c>
      <c r="AF89" s="4" t="s">
        <v>105</v>
      </c>
      <c r="AG89" s="4" t="s">
        <v>106</v>
      </c>
      <c r="AH89" s="4" t="s">
        <v>107</v>
      </c>
      <c r="AI89" s="4">
        <f ca="1">ROUND(T_Tiktok_ads[[#This Row],[impressions]]*RANDBETWEEN(8,12)/10,0)</f>
        <v>214681</v>
      </c>
      <c r="AJ89" s="4">
        <f ca="1">ROUND(T_Tiktok_ads[[#This Row],[clicks]]*RANDBETWEEN(8,12)/10,0)</f>
        <v>2765</v>
      </c>
      <c r="AK89" s="4">
        <v>889.5</v>
      </c>
      <c r="AL89" s="4">
        <f ca="1">ROUND(T_Tiktok_ads[[#This Row],[conversions]]*RANDBETWEEN(8,12)/10,0)</f>
        <v>98</v>
      </c>
      <c r="AM89" s="4">
        <f ca="1">ROUND(T_Tiktok_ads[[#This Row],[video_views]]*RANDBETWEEN(8,12)/10,0)</f>
        <v>116011</v>
      </c>
      <c r="AN89" s="4">
        <f ca="1">ROUND(T_Tiktok_ads[[#This Row],[video_watch_25]]*RANDBETWEEN(8,12)/10,0)</f>
        <v>105246</v>
      </c>
      <c r="AO89" s="4">
        <f ca="1">ROUND(T_Tiktok_ads[[#This Row],[video_watch_50]]*RANDBETWEEN(8,12)/10,0)</f>
        <v>58110</v>
      </c>
      <c r="AP89" s="4">
        <f ca="1">ROUND(T_Tiktok_ads[[#This Row],[video_watch_75]]*RANDBETWEEN(8,12)/10,0)</f>
        <v>43710</v>
      </c>
      <c r="AQ89" s="4">
        <f ca="1">ROUND(T_Tiktok_ads[[#This Row],[video_watch_100]]*RANDBETWEEN(8,12)/10,0)</f>
        <v>38814</v>
      </c>
      <c r="AR89" s="4">
        <f ca="1">ROUND(T_Tiktok_ads[[#This Row],[likes]]*RANDBETWEEN(8,12)/10,0)</f>
        <v>4898</v>
      </c>
      <c r="AS89" s="4">
        <f ca="1">ROUND(T_Tiktok_ads[[#This Row],[shares]]*RANDBETWEEN(8,12)/10,0)</f>
        <v>1387</v>
      </c>
      <c r="AT89" s="4">
        <f ca="1">ROUND(T_Tiktok_ads[[#This Row],[comments]]*RANDBETWEEN(8,12)/10,0)</f>
        <v>311</v>
      </c>
      <c r="AV89" s="5">
        <f t="shared" ca="1" si="12"/>
        <v>45135</v>
      </c>
      <c r="AW89">
        <f t="shared" ca="1" si="13"/>
        <v>2</v>
      </c>
      <c r="AX89">
        <f ca="1">ROUND(T_Facebook_Ads11596367717579[[#This Row],[impressions]]*RANDBETWEEN(8,12)/10,0)</f>
        <v>12542</v>
      </c>
      <c r="AY89">
        <f ca="1">ROUND(T_Facebook_Ads11596367717579[[#This Row],[clicks]]*RANDBETWEEN(8,12)/10,0)</f>
        <v>605</v>
      </c>
      <c r="AZ89">
        <f ca="1">T_Facebook_Ads11596367717579[[#This Row],[spend]]*RANDBETWEEN(8,12)/10</f>
        <v>172.09599999999998</v>
      </c>
      <c r="BA89">
        <f ca="1">ROUND(T_Facebook_Ads11596367717579[[#This Row],[conversions]]*RANDBETWEEN(8,12)/10,0)</f>
        <v>50</v>
      </c>
      <c r="BB89">
        <f ca="1">ROUND(T_Facebook_Ads11596367717579[[#This Row],[video_views]]*RANDBETWEEN(8,12)/10,0)</f>
        <v>1208</v>
      </c>
    </row>
    <row r="90" spans="1:54" ht="15.75" thickBot="1" x14ac:dyDescent="0.3">
      <c r="A90" s="3">
        <f t="shared" ca="1" si="9"/>
        <v>45117</v>
      </c>
      <c r="B90" s="4" t="s">
        <v>60</v>
      </c>
      <c r="C90" s="4" t="s">
        <v>61</v>
      </c>
      <c r="D90" s="4" t="s">
        <v>62</v>
      </c>
      <c r="E90" s="4" t="s">
        <v>63</v>
      </c>
      <c r="F90" s="4">
        <f ca="1">ROUND(T_Facebook_Ads[[#This Row],[impressions]]*RANDBETWEEN(8,12)/10,0)</f>
        <v>36510</v>
      </c>
      <c r="G90" s="4">
        <v>1567</v>
      </c>
      <c r="H90" s="4">
        <f ca="1">T_Facebook_Ads[[#This Row],[spend]]*RANDBETWEEN(8,12)/10</f>
        <v>190.88</v>
      </c>
      <c r="I90" s="4">
        <f ca="1">ROUND(T_Facebook_Ads[[#This Row],[conversions]]*RANDBETWEEN(8,12)/10,0)</f>
        <v>41</v>
      </c>
      <c r="J90" s="4">
        <f ca="1">ROUND(T_Facebook_Ads[[#This Row],[video_views]]*RANDBETWEEN(8,12)/10,0)</f>
        <v>6002</v>
      </c>
      <c r="K90" s="4">
        <f ca="1">T_Facebook_Ads[[#This Row],[engagement_rate]]*RANDBETWEEN(8,12)/10</f>
        <v>3.4740000000000007E-2</v>
      </c>
      <c r="L90" s="4">
        <f ca="1">ROUND(T_Facebook_Ads[[#This Row],[reach]]*RANDBETWEEN(8,12)/10,0)</f>
        <v>36557</v>
      </c>
      <c r="M90" s="4">
        <f ca="1">T_Facebook_Ads[[#This Row],[frequency]]*RANDBETWEEN(8,12)/10</f>
        <v>1.464</v>
      </c>
      <c r="O90" s="3">
        <f t="shared" ca="1" si="10"/>
        <v>45110</v>
      </c>
      <c r="P90" s="4" t="s">
        <v>84</v>
      </c>
      <c r="Q90" s="4" t="s">
        <v>85</v>
      </c>
      <c r="R90" s="4" t="s">
        <v>86</v>
      </c>
      <c r="S90" s="4" t="s">
        <v>87</v>
      </c>
      <c r="T90" s="4">
        <f ca="1">ROUND(_Google_ads[[#This Row],[impressions]]*RANDBETWEEN(8,12)/10,0)</f>
        <v>82757</v>
      </c>
      <c r="U90" s="4">
        <f ca="1">ROUND(_Google_ads[[#This Row],[clicks]]*RANDBETWEEN(8,12)/10,0)</f>
        <v>2567</v>
      </c>
      <c r="V90" s="4">
        <f ca="1">_Google_ads[[#This Row],[cost]]*RANDBETWEEN(8,12)/10</f>
        <v>561.36</v>
      </c>
      <c r="W90" s="4">
        <f ca="1">ROUND(_Google_ads[[#This Row],[conversions]]*RANDBETWEEN(8,12)/10,0)</f>
        <v>83</v>
      </c>
      <c r="X90" s="4">
        <f ca="1">ROUND(_Google_ads[[#This Row],[conversion_value]]*RANDBETWEEN(8,12)/10,0)</f>
        <v>3000</v>
      </c>
      <c r="Y90" s="4">
        <f ca="1">_Google_ads[[#This Row],[ctr]]*RANDBETWEEN(8,12)/10</f>
        <v>2.7279999999999999E-2</v>
      </c>
      <c r="Z90" s="4">
        <f ca="1">_Google_ads[[#This Row],[avg_cpc]]*RANDBETWEEN(8,12)/10</f>
        <v>0.16199999999999998</v>
      </c>
      <c r="AA90" s="4">
        <f ca="1">ROUND(_Google_ads[[#This Row],[quality_score]]*RANDBETWEEN(8,12)/10,0)</f>
        <v>6</v>
      </c>
      <c r="AB90" s="4">
        <f ca="1">_Google_ads[[#This Row],[search_impression_share]]*RANDBETWEEN(8,12)/10</f>
        <v>0.55999999999999994</v>
      </c>
      <c r="AD90" s="3">
        <f t="shared" ca="1" si="11"/>
        <v>45110</v>
      </c>
      <c r="AE90" s="4" t="s">
        <v>108</v>
      </c>
      <c r="AF90" s="4" t="s">
        <v>109</v>
      </c>
      <c r="AG90" s="4" t="s">
        <v>110</v>
      </c>
      <c r="AH90" s="4" t="s">
        <v>111</v>
      </c>
      <c r="AI90" s="4">
        <f ca="1">ROUND(T_Tiktok_ads[[#This Row],[impressions]]*RANDBETWEEN(8,12)/10,0)</f>
        <v>306791</v>
      </c>
      <c r="AJ90" s="4">
        <f ca="1">ROUND(T_Tiktok_ads[[#This Row],[clicks]]*RANDBETWEEN(8,12)/10,0)</f>
        <v>4234</v>
      </c>
      <c r="AK90" s="4">
        <v>534.20000000000005</v>
      </c>
      <c r="AL90" s="4">
        <f ca="1">ROUND(T_Tiktok_ads[[#This Row],[conversions]]*RANDBETWEEN(8,12)/10,0)</f>
        <v>35</v>
      </c>
      <c r="AM90" s="4">
        <f ca="1">ROUND(T_Tiktok_ads[[#This Row],[video_views]]*RANDBETWEEN(8,12)/10,0)</f>
        <v>201110</v>
      </c>
      <c r="AN90" s="4">
        <f ca="1">ROUND(T_Tiktok_ads[[#This Row],[video_watch_25]]*RANDBETWEEN(8,12)/10,0)</f>
        <v>185791</v>
      </c>
      <c r="AO90" s="4">
        <f ca="1">ROUND(T_Tiktok_ads[[#This Row],[video_watch_50]]*RANDBETWEEN(8,12)/10,0)</f>
        <v>120110</v>
      </c>
      <c r="AP90" s="4">
        <f ca="1">ROUND(T_Tiktok_ads[[#This Row],[video_watch_75]]*RANDBETWEEN(8,12)/10,0)</f>
        <v>77110</v>
      </c>
      <c r="AQ90" s="4">
        <f ca="1">ROUND(T_Tiktok_ads[[#This Row],[video_watch_100]]*RANDBETWEEN(8,12)/10,0)</f>
        <v>41431</v>
      </c>
      <c r="AR90" s="4">
        <f ca="1">ROUND(T_Tiktok_ads[[#This Row],[likes]]*RANDBETWEEN(8,12)/10,0)</f>
        <v>11347</v>
      </c>
      <c r="AS90" s="4">
        <f ca="1">ROUND(T_Tiktok_ads[[#This Row],[shares]]*RANDBETWEEN(8,12)/10,0)</f>
        <v>2371</v>
      </c>
      <c r="AT90" s="4">
        <f ca="1">ROUND(T_Tiktok_ads[[#This Row],[comments]]*RANDBETWEEN(8,12)/10,0)</f>
        <v>685</v>
      </c>
      <c r="AV90" s="5">
        <f t="shared" ca="1" si="12"/>
        <v>45128</v>
      </c>
      <c r="AW90">
        <f t="shared" ca="1" si="13"/>
        <v>8</v>
      </c>
      <c r="AX90">
        <f ca="1">ROUND(T_Facebook_Ads11596367717579[[#This Row],[impressions]]*RANDBETWEEN(8,12)/10,0)</f>
        <v>40161</v>
      </c>
      <c r="AY90">
        <f ca="1">ROUND(T_Facebook_Ads11596367717579[[#This Row],[clicks]]*RANDBETWEEN(8,12)/10,0)</f>
        <v>1880</v>
      </c>
      <c r="AZ90">
        <f ca="1">T_Facebook_Ads11596367717579[[#This Row],[spend]]*RANDBETWEEN(8,12)/10</f>
        <v>171.792</v>
      </c>
      <c r="BA90">
        <f ca="1">ROUND(T_Facebook_Ads11596367717579[[#This Row],[conversions]]*RANDBETWEEN(8,12)/10,0)</f>
        <v>37</v>
      </c>
      <c r="BB90">
        <f ca="1">ROUND(T_Facebook_Ads11596367717579[[#This Row],[video_views]]*RANDBETWEEN(8,12)/10,0)</f>
        <v>4802</v>
      </c>
    </row>
    <row r="91" spans="1:54" ht="15.75" thickBot="1" x14ac:dyDescent="0.3">
      <c r="A91" s="3">
        <f t="shared" ca="1" si="9"/>
        <v>45132</v>
      </c>
      <c r="B91" s="4" t="s">
        <v>64</v>
      </c>
      <c r="C91" s="4" t="s">
        <v>65</v>
      </c>
      <c r="D91" s="4" t="s">
        <v>66</v>
      </c>
      <c r="E91" s="4" t="s">
        <v>67</v>
      </c>
      <c r="F91" s="4">
        <f ca="1">ROUND(T_Facebook_Ads[[#This Row],[impressions]]*RANDBETWEEN(8,12)/10,0)</f>
        <v>84579</v>
      </c>
      <c r="G91" s="4">
        <v>278</v>
      </c>
      <c r="H91" s="4">
        <f ca="1">T_Facebook_Ads[[#This Row],[spend]]*RANDBETWEEN(8,12)/10</f>
        <v>99.2</v>
      </c>
      <c r="I91" s="4">
        <f ca="1">ROUND(T_Facebook_Ads[[#This Row],[conversions]]*RANDBETWEEN(8,12)/10,0)</f>
        <v>8</v>
      </c>
      <c r="J91" s="4">
        <f ca="1">ROUND(T_Facebook_Ads[[#This Row],[video_views]]*RANDBETWEEN(8,12)/10,0)</f>
        <v>51567</v>
      </c>
      <c r="K91" s="4">
        <f ca="1">T_Facebook_Ads[[#This Row],[engagement_rate]]*RANDBETWEEN(8,12)/10</f>
        <v>3.5999999999999999E-3</v>
      </c>
      <c r="L91" s="4">
        <f ca="1">ROUND(T_Facebook_Ads[[#This Row],[reach]]*RANDBETWEEN(8,12)/10,0)</f>
        <v>56601</v>
      </c>
      <c r="M91" s="4">
        <f ca="1">T_Facebook_Ads[[#This Row],[frequency]]*RANDBETWEEN(8,12)/10</f>
        <v>1.23</v>
      </c>
      <c r="O91" s="3">
        <f t="shared" ca="1" si="10"/>
        <v>45133</v>
      </c>
      <c r="P91" s="4" t="s">
        <v>88</v>
      </c>
      <c r="Q91" s="4" t="s">
        <v>89</v>
      </c>
      <c r="R91" s="4" t="s">
        <v>90</v>
      </c>
      <c r="S91" s="4" t="s">
        <v>59</v>
      </c>
      <c r="T91" s="4">
        <f ca="1">ROUND(_Google_ads[[#This Row],[impressions]]*RANDBETWEEN(8,12)/10,0)</f>
        <v>142345</v>
      </c>
      <c r="U91" s="4">
        <f ca="1">ROUND(_Google_ads[[#This Row],[clicks]]*RANDBETWEEN(8,12)/10,0)</f>
        <v>600</v>
      </c>
      <c r="V91" s="4">
        <f ca="1">_Google_ads[[#This Row],[cost]]*RANDBETWEEN(8,12)/10</f>
        <v>153.89000000000001</v>
      </c>
      <c r="W91" s="4">
        <f ca="1">ROUND(_Google_ads[[#This Row],[conversions]]*RANDBETWEEN(8,12)/10,0)</f>
        <v>16</v>
      </c>
      <c r="X91" s="4">
        <f ca="1">ROUND(_Google_ads[[#This Row],[conversion_value]]*RANDBETWEEN(8,12)/10,0)</f>
        <v>800</v>
      </c>
      <c r="Y91" s="4">
        <f ca="1">_Google_ads[[#This Row],[ctr]]*RANDBETWEEN(8,12)/10</f>
        <v>3.0400000000000002E-3</v>
      </c>
      <c r="Z91" s="4">
        <f ca="1">_Google_ads[[#This Row],[avg_cpc]]*RANDBETWEEN(8,12)/10</f>
        <v>0.28600000000000003</v>
      </c>
      <c r="AA91" s="4">
        <f ca="1">ROUND(_Google_ads[[#This Row],[quality_score]]*RANDBETWEEN(8,12)/10,0)</f>
        <v>6</v>
      </c>
      <c r="AB91" s="4">
        <f ca="1">_Google_ads[[#This Row],[search_impression_share]]*RANDBETWEEN(8,12)/10</f>
        <v>0.37</v>
      </c>
      <c r="AD91" s="3">
        <f t="shared" ca="1" si="11"/>
        <v>45127</v>
      </c>
      <c r="AE91" s="4" t="s">
        <v>112</v>
      </c>
      <c r="AF91" s="4" t="s">
        <v>113</v>
      </c>
      <c r="AG91" s="4" t="s">
        <v>114</v>
      </c>
      <c r="AH91" s="4" t="s">
        <v>115</v>
      </c>
      <c r="AI91" s="4">
        <f ca="1">ROUND(T_Tiktok_ads[[#This Row],[impressions]]*RANDBETWEEN(8,12)/10,0)</f>
        <v>561468</v>
      </c>
      <c r="AJ91" s="4">
        <f ca="1">ROUND(T_Tiktok_ads[[#This Row],[clicks]]*RANDBETWEEN(8,12)/10,0)</f>
        <v>7623</v>
      </c>
      <c r="AK91" s="4">
        <v>1189.4000000000001</v>
      </c>
      <c r="AL91" s="4">
        <f ca="1">ROUND(T_Tiktok_ads[[#This Row],[conversions]]*RANDBETWEEN(8,12)/10,0)</f>
        <v>96</v>
      </c>
      <c r="AM91" s="4">
        <f ca="1">ROUND(T_Tiktok_ads[[#This Row],[video_views]]*RANDBETWEEN(8,12)/10,0)</f>
        <v>441357</v>
      </c>
      <c r="AN91" s="4">
        <f ca="1">ROUND(T_Tiktok_ads[[#This Row],[video_watch_25]]*RANDBETWEEN(8,12)/10,0)</f>
        <v>291110</v>
      </c>
      <c r="AO91" s="4">
        <f ca="1">ROUND(T_Tiktok_ads[[#This Row],[video_watch_50]]*RANDBETWEEN(8,12)/10,0)</f>
        <v>207121</v>
      </c>
      <c r="AP91" s="4">
        <f ca="1">ROUND(T_Tiktok_ads[[#This Row],[video_watch_75]]*RANDBETWEEN(8,12)/10,0)</f>
        <v>147654</v>
      </c>
      <c r="AQ91" s="4">
        <f ca="1">ROUND(T_Tiktok_ads[[#This Row],[video_watch_100]]*RANDBETWEEN(8,12)/10,0)</f>
        <v>146814</v>
      </c>
      <c r="AR91" s="4">
        <f ca="1">ROUND(T_Tiktok_ads[[#This Row],[likes]]*RANDBETWEEN(8,12)/10,0)</f>
        <v>22868</v>
      </c>
      <c r="AS91" s="4">
        <f ca="1">ROUND(T_Tiktok_ads[[#This Row],[shares]]*RANDBETWEEN(8,12)/10,0)</f>
        <v>7241</v>
      </c>
      <c r="AT91" s="4">
        <f ca="1">ROUND(T_Tiktok_ads[[#This Row],[comments]]*RANDBETWEEN(8,12)/10,0)</f>
        <v>2014</v>
      </c>
      <c r="AV91" s="5">
        <f t="shared" ca="1" si="12"/>
        <v>45123</v>
      </c>
      <c r="AW91">
        <f t="shared" ca="1" si="13"/>
        <v>3</v>
      </c>
      <c r="AX91">
        <f ca="1">ROUND(T_Facebook_Ads11596367717579[[#This Row],[impressions]]*RANDBETWEEN(8,12)/10,0)</f>
        <v>67663</v>
      </c>
      <c r="AY91">
        <f ca="1">ROUND(T_Facebook_Ads11596367717579[[#This Row],[clicks]]*RANDBETWEEN(8,12)/10,0)</f>
        <v>334</v>
      </c>
      <c r="AZ91">
        <f ca="1">T_Facebook_Ads11596367717579[[#This Row],[spend]]*RANDBETWEEN(8,12)/10</f>
        <v>99.2</v>
      </c>
      <c r="BA91">
        <f ca="1">ROUND(T_Facebook_Ads11596367717579[[#This Row],[conversions]]*RANDBETWEEN(8,12)/10,0)</f>
        <v>6</v>
      </c>
      <c r="BB91">
        <f ca="1">ROUND(T_Facebook_Ads11596367717579[[#This Row],[video_views]]*RANDBETWEEN(8,12)/10,0)</f>
        <v>46410</v>
      </c>
    </row>
    <row r="92" spans="1:54" ht="15.75" thickBot="1" x14ac:dyDescent="0.3">
      <c r="A92" s="3">
        <f t="shared" ca="1" si="9"/>
        <v>45126</v>
      </c>
      <c r="B92" s="4" t="s">
        <v>52</v>
      </c>
      <c r="C92" s="4" t="s">
        <v>53</v>
      </c>
      <c r="D92" s="4" t="s">
        <v>54</v>
      </c>
      <c r="E92" s="4" t="s">
        <v>55</v>
      </c>
      <c r="F92" s="4">
        <f ca="1">ROUND(T_Facebook_Ads[[#This Row],[impressions]]*RANDBETWEEN(8,12)/10,0)</f>
        <v>40098</v>
      </c>
      <c r="G92" s="4">
        <v>1034</v>
      </c>
      <c r="H92" s="4">
        <f ca="1">T_Facebook_Ads[[#This Row],[spend]]*RANDBETWEEN(8,12)/10</f>
        <v>147.5</v>
      </c>
      <c r="I92" s="4">
        <f ca="1">ROUND(T_Facebook_Ads[[#This Row],[conversions]]*RANDBETWEEN(8,12)/10,0)</f>
        <v>14</v>
      </c>
      <c r="J92" s="4">
        <f ca="1">ROUND(T_Facebook_Ads[[#This Row],[video_views]]*RANDBETWEEN(8,12)/10,0)</f>
        <v>7298</v>
      </c>
      <c r="K92" s="4">
        <f ca="1">T_Facebook_Ads[[#This Row],[engagement_rate]]*RANDBETWEEN(8,12)/10</f>
        <v>1.8540000000000001E-2</v>
      </c>
      <c r="L92" s="4">
        <f ca="1">ROUND(T_Facebook_Ads[[#This Row],[reach]]*RANDBETWEEN(8,12)/10,0)</f>
        <v>46079</v>
      </c>
      <c r="M92" s="4">
        <f ca="1">T_Facebook_Ads[[#This Row],[frequency]]*RANDBETWEEN(8,12)/10</f>
        <v>1.0799999999999998</v>
      </c>
      <c r="O92" s="3">
        <f t="shared" ca="1" si="10"/>
        <v>45137</v>
      </c>
      <c r="P92" s="4" t="s">
        <v>76</v>
      </c>
      <c r="Q92" s="4" t="s">
        <v>77</v>
      </c>
      <c r="R92" s="4" t="s">
        <v>78</v>
      </c>
      <c r="S92" s="4" t="s">
        <v>79</v>
      </c>
      <c r="T92" s="4">
        <f ca="1">ROUND(_Google_ads[[#This Row],[impressions]]*RANDBETWEEN(8,12)/10,0)</f>
        <v>21431</v>
      </c>
      <c r="U92" s="4">
        <f ca="1">ROUND(_Google_ads[[#This Row],[clicks]]*RANDBETWEEN(8,12)/10,0)</f>
        <v>1102</v>
      </c>
      <c r="V92" s="4">
        <f ca="1">_Google_ads[[#This Row],[cost]]*RANDBETWEEN(8,12)/10</f>
        <v>210.71999999999997</v>
      </c>
      <c r="W92" s="4">
        <f ca="1">ROUND(_Google_ads[[#This Row],[conversions]]*RANDBETWEEN(8,12)/10,0)</f>
        <v>48</v>
      </c>
      <c r="X92" s="4">
        <f ca="1">ROUND(_Google_ads[[#This Row],[conversion_value]]*RANDBETWEEN(8,12)/10,0)</f>
        <v>2385</v>
      </c>
      <c r="Y92" s="4">
        <f ca="1">_Google_ads[[#This Row],[ctr]]*RANDBETWEEN(8,12)/10</f>
        <v>4.1200000000000001E-2</v>
      </c>
      <c r="Z92" s="4">
        <f ca="1">_Google_ads[[#This Row],[avg_cpc]]*RANDBETWEEN(8,12)/10</f>
        <v>0.22800000000000004</v>
      </c>
      <c r="AA92" s="4">
        <f ca="1">ROUND(_Google_ads[[#This Row],[quality_score]]*RANDBETWEEN(8,12)/10,0)</f>
        <v>9</v>
      </c>
      <c r="AB92" s="4">
        <f ca="1">_Google_ads[[#This Row],[search_impression_share]]*RANDBETWEEN(8,12)/10</f>
        <v>1.012</v>
      </c>
      <c r="AD92" s="3">
        <f t="shared" ca="1" si="11"/>
        <v>45120</v>
      </c>
      <c r="AE92" s="4" t="s">
        <v>100</v>
      </c>
      <c r="AF92" s="4" t="s">
        <v>101</v>
      </c>
      <c r="AG92" s="4" t="s">
        <v>102</v>
      </c>
      <c r="AH92" s="4" t="s">
        <v>103</v>
      </c>
      <c r="AI92" s="4">
        <f ca="1">ROUND(T_Tiktok_ads[[#This Row],[impressions]]*RANDBETWEEN(8,12)/10,0)</f>
        <v>301234</v>
      </c>
      <c r="AJ92" s="4">
        <f ca="1">ROUND(T_Tiktok_ads[[#This Row],[clicks]]*RANDBETWEEN(8,12)/10,0)</f>
        <v>4456</v>
      </c>
      <c r="AK92" s="4">
        <v>589.9</v>
      </c>
      <c r="AL92" s="4">
        <f ca="1">ROUND(T_Tiktok_ads[[#This Row],[conversions]]*RANDBETWEEN(8,12)/10,0)</f>
        <v>37</v>
      </c>
      <c r="AM92" s="4">
        <f ca="1">ROUND(T_Tiktok_ads[[#This Row],[video_views]]*RANDBETWEEN(8,12)/10,0)</f>
        <v>196542</v>
      </c>
      <c r="AN92" s="4">
        <f ca="1">ROUND(T_Tiktok_ads[[#This Row],[video_watch_25]]*RANDBETWEEN(8,12)/10,0)</f>
        <v>191234</v>
      </c>
      <c r="AO92" s="4">
        <f ca="1">ROUND(T_Tiktok_ads[[#This Row],[video_watch_50]]*RANDBETWEEN(8,12)/10,0)</f>
        <v>143081</v>
      </c>
      <c r="AP92" s="4">
        <f ca="1">ROUND(T_Tiktok_ads[[#This Row],[video_watch_75]]*RANDBETWEEN(8,12)/10,0)</f>
        <v>80234</v>
      </c>
      <c r="AQ92" s="4">
        <f ca="1">ROUND(T_Tiktok_ads[[#This Row],[video_watch_100]]*RANDBETWEEN(8,12)/10,0)</f>
        <v>53456</v>
      </c>
      <c r="AR92" s="4">
        <f ca="1">ROUND(T_Tiktok_ads[[#This Row],[likes]]*RANDBETWEEN(8,12)/10,0)</f>
        <v>11868</v>
      </c>
      <c r="AS92" s="4">
        <f ca="1">ROUND(T_Tiktok_ads[[#This Row],[shares]]*RANDBETWEEN(8,12)/10,0)</f>
        <v>2321</v>
      </c>
      <c r="AT92" s="4">
        <f ca="1">ROUND(T_Tiktok_ads[[#This Row],[comments]]*RANDBETWEEN(8,12)/10,0)</f>
        <v>827</v>
      </c>
      <c r="AV92" s="5">
        <f t="shared" ca="1" si="12"/>
        <v>45128</v>
      </c>
      <c r="AW92">
        <f t="shared" ca="1" si="13"/>
        <v>6</v>
      </c>
      <c r="AX92">
        <f ca="1">ROUND(T_Facebook_Ads11596367717579[[#This Row],[impressions]]*RANDBETWEEN(8,12)/10,0)</f>
        <v>48118</v>
      </c>
      <c r="AY92">
        <f ca="1">ROUND(T_Facebook_Ads11596367717579[[#This Row],[clicks]]*RANDBETWEEN(8,12)/10,0)</f>
        <v>827</v>
      </c>
      <c r="AZ92">
        <f ca="1">T_Facebook_Ads11596367717579[[#This Row],[spend]]*RANDBETWEEN(8,12)/10</f>
        <v>162.25</v>
      </c>
      <c r="BA92">
        <f ca="1">ROUND(T_Facebook_Ads11596367717579[[#This Row],[conversions]]*RANDBETWEEN(8,12)/10,0)</f>
        <v>15</v>
      </c>
      <c r="BB92">
        <f ca="1">ROUND(T_Facebook_Ads11596367717579[[#This Row],[video_views]]*RANDBETWEEN(8,12)/10,0)</f>
        <v>7298</v>
      </c>
    </row>
    <row r="93" spans="1:54" ht="15.75" thickBot="1" x14ac:dyDescent="0.3">
      <c r="A93" s="3">
        <f t="shared" ca="1" si="9"/>
        <v>45131</v>
      </c>
      <c r="B93" s="4" t="s">
        <v>56</v>
      </c>
      <c r="C93" s="4" t="s">
        <v>57</v>
      </c>
      <c r="D93" s="4" t="s">
        <v>58</v>
      </c>
      <c r="E93" s="4" t="s">
        <v>59</v>
      </c>
      <c r="F93" s="4">
        <f ca="1">ROUND(T_Facebook_Ads[[#This Row],[impressions]]*RANDBETWEEN(8,12)/10,0)</f>
        <v>17081</v>
      </c>
      <c r="G93" s="4">
        <v>689</v>
      </c>
      <c r="H93" s="4">
        <f ca="1">T_Facebook_Ads[[#This Row],[spend]]*RANDBETWEEN(8,12)/10</f>
        <v>280.16999999999996</v>
      </c>
      <c r="I93" s="4">
        <f ca="1">ROUND(T_Facebook_Ads[[#This Row],[conversions]]*RANDBETWEEN(8,12)/10,0)</f>
        <v>48</v>
      </c>
      <c r="J93" s="4">
        <f ca="1">ROUND(T_Facebook_Ads[[#This Row],[video_views]]*RANDBETWEEN(8,12)/10,0)</f>
        <v>1310</v>
      </c>
      <c r="K93" s="4">
        <f ca="1">T_Facebook_Ads[[#This Row],[engagement_rate]]*RANDBETWEEN(8,12)/10</f>
        <v>4.8399999999999999E-2</v>
      </c>
      <c r="L93" s="4">
        <f ca="1">ROUND(T_Facebook_Ads[[#This Row],[reach]]*RANDBETWEEN(8,12)/10,0)</f>
        <v>8987</v>
      </c>
      <c r="M93" s="4">
        <f ca="1">T_Facebook_Ads[[#This Row],[frequency]]*RANDBETWEEN(8,12)/10</f>
        <v>1.524</v>
      </c>
      <c r="O93" s="3">
        <f t="shared" ca="1" si="10"/>
        <v>45127</v>
      </c>
      <c r="P93" s="4" t="s">
        <v>80</v>
      </c>
      <c r="Q93" s="4" t="s">
        <v>81</v>
      </c>
      <c r="R93" s="4" t="s">
        <v>82</v>
      </c>
      <c r="S93" s="4" t="s">
        <v>83</v>
      </c>
      <c r="T93" s="4">
        <f ca="1">ROUND(_Google_ads[[#This Row],[impressions]]*RANDBETWEEN(8,12)/10,0)</f>
        <v>56681</v>
      </c>
      <c r="U93" s="4">
        <f ca="1">ROUND(_Google_ads[[#This Row],[clicks]]*RANDBETWEEN(8,12)/10,0)</f>
        <v>756</v>
      </c>
      <c r="V93" s="4">
        <f ca="1">_Google_ads[[#This Row],[cost]]*RANDBETWEEN(8,12)/10</f>
        <v>545.04000000000008</v>
      </c>
      <c r="W93" s="4">
        <f ca="1">ROUND(_Google_ads[[#This Row],[conversions]]*RANDBETWEEN(8,12)/10,0)</f>
        <v>20</v>
      </c>
      <c r="X93" s="4">
        <f ca="1">ROUND(_Google_ads[[#This Row],[conversion_value]]*RANDBETWEEN(8,12)/10,0)</f>
        <v>1250</v>
      </c>
      <c r="Y93" s="4">
        <f ca="1">_Google_ads[[#This Row],[ctr]]*RANDBETWEEN(8,12)/10</f>
        <v>1.7999999999999999E-2</v>
      </c>
      <c r="Z93" s="4">
        <f ca="1">_Google_ads[[#This Row],[avg_cpc]]*RANDBETWEEN(8,12)/10</f>
        <v>0.51200000000000001</v>
      </c>
      <c r="AA93" s="4">
        <f ca="1">ROUND(_Google_ads[[#This Row],[quality_score]]*RANDBETWEEN(8,12)/10,0)</f>
        <v>6</v>
      </c>
      <c r="AB93" s="4">
        <f ca="1">_Google_ads[[#This Row],[search_impression_share]]*RANDBETWEEN(8,12)/10</f>
        <v>0.50600000000000001</v>
      </c>
      <c r="AD93" s="3">
        <f t="shared" ca="1" si="11"/>
        <v>45138</v>
      </c>
      <c r="AE93" s="4" t="s">
        <v>104</v>
      </c>
      <c r="AF93" s="4" t="s">
        <v>105</v>
      </c>
      <c r="AG93" s="4" t="s">
        <v>106</v>
      </c>
      <c r="AH93" s="4" t="s">
        <v>107</v>
      </c>
      <c r="AI93" s="4">
        <f ca="1">ROUND(T_Tiktok_ads[[#This Row],[impressions]]*RANDBETWEEN(8,12)/10,0)</f>
        <v>134312</v>
      </c>
      <c r="AJ93" s="4">
        <f ca="1">ROUND(T_Tiktok_ads[[#This Row],[clicks]]*RANDBETWEEN(8,12)/10,0)</f>
        <v>3557</v>
      </c>
      <c r="AK93" s="4">
        <v>845.6</v>
      </c>
      <c r="AL93" s="4">
        <f ca="1">ROUND(T_Tiktok_ads[[#This Row],[conversions]]*RANDBETWEEN(8,12)/10,0)</f>
        <v>68</v>
      </c>
      <c r="AM93" s="4">
        <f ca="1">ROUND(T_Tiktok_ads[[#This Row],[video_views]]*RANDBETWEEN(8,12)/10,0)</f>
        <v>129679</v>
      </c>
      <c r="AN93" s="4">
        <f ca="1">ROUND(T_Tiktok_ads[[#This Row],[video_watch_25]]*RANDBETWEEN(8,12)/10,0)</f>
        <v>95957</v>
      </c>
      <c r="AO93" s="4">
        <f ca="1">ROUND(T_Tiktok_ads[[#This Row],[video_watch_50]]*RANDBETWEEN(8,12)/10,0)</f>
        <v>64791</v>
      </c>
      <c r="AP93" s="4">
        <f ca="1">ROUND(T_Tiktok_ads[[#This Row],[video_watch_75]]*RANDBETWEEN(8,12)/10,0)</f>
        <v>44234</v>
      </c>
      <c r="AQ93" s="4">
        <f ca="1">ROUND(T_Tiktok_ads[[#This Row],[video_watch_100]]*RANDBETWEEN(8,12)/10,0)</f>
        <v>32524</v>
      </c>
      <c r="AR93" s="4">
        <f ca="1">ROUND(T_Tiktok_ads[[#This Row],[likes]]*RANDBETWEEN(8,12)/10,0)</f>
        <v>6246</v>
      </c>
      <c r="AS93" s="4">
        <f ca="1">ROUND(T_Tiktok_ads[[#This Row],[shares]]*RANDBETWEEN(8,12)/10,0)</f>
        <v>1471</v>
      </c>
      <c r="AT93" s="4">
        <f ca="1">ROUND(T_Tiktok_ads[[#This Row],[comments]]*RANDBETWEEN(8,12)/10,0)</f>
        <v>312</v>
      </c>
      <c r="AV93" s="5">
        <f t="shared" ca="1" si="12"/>
        <v>45125</v>
      </c>
      <c r="AW93">
        <f t="shared" ca="1" si="13"/>
        <v>6</v>
      </c>
      <c r="AX93">
        <f ca="1">ROUND(T_Facebook_Ads11596367717579[[#This Row],[impressions]]*RANDBETWEEN(8,12)/10,0)</f>
        <v>13665</v>
      </c>
      <c r="AY93">
        <f ca="1">ROUND(T_Facebook_Ads11596367717579[[#This Row],[clicks]]*RANDBETWEEN(8,12)/10,0)</f>
        <v>827</v>
      </c>
      <c r="AZ93">
        <f ca="1">T_Facebook_Ads11596367717579[[#This Row],[spend]]*RANDBETWEEN(8,12)/10</f>
        <v>280.16999999999996</v>
      </c>
      <c r="BA93">
        <f ca="1">ROUND(T_Facebook_Ads11596367717579[[#This Row],[conversions]]*RANDBETWEEN(8,12)/10,0)</f>
        <v>43</v>
      </c>
      <c r="BB93">
        <f ca="1">ROUND(T_Facebook_Ads11596367717579[[#This Row],[video_views]]*RANDBETWEEN(8,12)/10,0)</f>
        <v>1441</v>
      </c>
    </row>
    <row r="94" spans="1:54" ht="15.75" thickBot="1" x14ac:dyDescent="0.3">
      <c r="A94" s="3">
        <f t="shared" ca="1" si="9"/>
        <v>45129</v>
      </c>
      <c r="B94" s="4" t="s">
        <v>60</v>
      </c>
      <c r="C94" s="4" t="s">
        <v>61</v>
      </c>
      <c r="D94" s="4" t="s">
        <v>62</v>
      </c>
      <c r="E94" s="4" t="s">
        <v>63</v>
      </c>
      <c r="F94" s="4">
        <f ca="1">ROUND(T_Facebook_Ads[[#This Row],[impressions]]*RANDBETWEEN(8,12)/10,0)</f>
        <v>38890</v>
      </c>
      <c r="G94" s="4">
        <v>1445</v>
      </c>
      <c r="H94" s="4">
        <f ca="1">T_Facebook_Ads[[#This Row],[spend]]*RANDBETWEEN(8,12)/10</f>
        <v>277.43999999999994</v>
      </c>
      <c r="I94" s="4">
        <f ca="1">ROUND(T_Facebook_Ads[[#This Row],[conversions]]*RANDBETWEEN(8,12)/10,0)</f>
        <v>29</v>
      </c>
      <c r="J94" s="4">
        <f ca="1">ROUND(T_Facebook_Ads[[#This Row],[video_views]]*RANDBETWEEN(8,12)/10,0)</f>
        <v>4098</v>
      </c>
      <c r="K94" s="4">
        <f ca="1">T_Facebook_Ads[[#This Row],[engagement_rate]]*RANDBETWEEN(8,12)/10</f>
        <v>2.9759999999999998E-2</v>
      </c>
      <c r="L94" s="4">
        <f ca="1">ROUND(T_Facebook_Ads[[#This Row],[reach]]*RANDBETWEEN(8,12)/10,0)</f>
        <v>28410</v>
      </c>
      <c r="M94" s="4">
        <f ca="1">T_Facebook_Ads[[#This Row],[frequency]]*RANDBETWEEN(8,12)/10</f>
        <v>1.353</v>
      </c>
      <c r="O94" s="3">
        <f t="shared" ca="1" si="10"/>
        <v>45119</v>
      </c>
      <c r="P94" s="4" t="s">
        <v>84</v>
      </c>
      <c r="Q94" s="4" t="s">
        <v>85</v>
      </c>
      <c r="R94" s="4" t="s">
        <v>86</v>
      </c>
      <c r="S94" s="4" t="s">
        <v>87</v>
      </c>
      <c r="T94" s="4">
        <f ca="1">ROUND(_Google_ads[[#This Row],[impressions]]*RANDBETWEEN(8,12)/10,0)</f>
        <v>65601</v>
      </c>
      <c r="U94" s="4">
        <f ca="1">ROUND(_Google_ads[[#This Row],[clicks]]*RANDBETWEEN(8,12)/10,0)</f>
        <v>2677</v>
      </c>
      <c r="V94" s="4">
        <f ca="1">_Google_ads[[#This Row],[cost]]*RANDBETWEEN(8,12)/10</f>
        <v>405.17999999999995</v>
      </c>
      <c r="W94" s="4">
        <f ca="1">ROUND(_Google_ads[[#This Row],[conversions]]*RANDBETWEEN(8,12)/10,0)</f>
        <v>78</v>
      </c>
      <c r="X94" s="4">
        <f ca="1">ROUND(_Google_ads[[#This Row],[conversion_value]]*RANDBETWEEN(8,12)/10,0)</f>
        <v>3195</v>
      </c>
      <c r="Y94" s="4">
        <f ca="1">_Google_ads[[#This Row],[ctr]]*RANDBETWEEN(8,12)/10</f>
        <v>3.3399999999999999E-2</v>
      </c>
      <c r="Z94" s="4">
        <f ca="1">_Google_ads[[#This Row],[avg_cpc]]*RANDBETWEEN(8,12)/10</f>
        <v>0.16199999999999998</v>
      </c>
      <c r="AA94" s="4">
        <f ca="1">ROUND(_Google_ads[[#This Row],[quality_score]]*RANDBETWEEN(8,12)/10,0)</f>
        <v>8</v>
      </c>
      <c r="AB94" s="4">
        <f ca="1">_Google_ads[[#This Row],[search_impression_share]]*RANDBETWEEN(8,12)/10</f>
        <v>0.55199999999999994</v>
      </c>
      <c r="AD94" s="3">
        <f t="shared" ca="1" si="11"/>
        <v>45126</v>
      </c>
      <c r="AE94" s="4" t="s">
        <v>108</v>
      </c>
      <c r="AF94" s="4" t="s">
        <v>109</v>
      </c>
      <c r="AG94" s="4" t="s">
        <v>110</v>
      </c>
      <c r="AH94" s="4" t="s">
        <v>111</v>
      </c>
      <c r="AI94" s="4">
        <f ca="1">ROUND(T_Tiktok_ads[[#This Row],[impressions]]*RANDBETWEEN(8,12)/10,0)</f>
        <v>256789</v>
      </c>
      <c r="AJ94" s="4">
        <f ca="1">ROUND(T_Tiktok_ads[[#This Row],[clicks]]*RANDBETWEEN(8,12)/10,0)</f>
        <v>3611</v>
      </c>
      <c r="AK94" s="4">
        <v>489.2</v>
      </c>
      <c r="AL94" s="4">
        <f ca="1">ROUND(T_Tiktok_ads[[#This Row],[conversions]]*RANDBETWEEN(8,12)/10,0)</f>
        <v>40</v>
      </c>
      <c r="AM94" s="4">
        <f ca="1">ROUND(T_Tiktok_ads[[#This Row],[video_views]]*RANDBETWEEN(8,12)/10,0)</f>
        <v>160987</v>
      </c>
      <c r="AN94" s="4">
        <f ca="1">ROUND(T_Tiktok_ads[[#This Row],[video_watch_25]]*RANDBETWEEN(8,12)/10,0)</f>
        <v>152345</v>
      </c>
      <c r="AO94" s="4">
        <f ca="1">ROUND(T_Tiktok_ads[[#This Row],[video_watch_50]]*RANDBETWEEN(8,12)/10,0)</f>
        <v>108410</v>
      </c>
      <c r="AP94" s="4">
        <f ca="1">ROUND(T_Tiktok_ads[[#This Row],[video_watch_75]]*RANDBETWEEN(8,12)/10,0)</f>
        <v>62312</v>
      </c>
      <c r="AQ94" s="4">
        <f ca="1">ROUND(T_Tiktok_ads[[#This Row],[video_watch_100]]*RANDBETWEEN(8,12)/10,0)</f>
        <v>47234</v>
      </c>
      <c r="AR94" s="4">
        <f ca="1">ROUND(T_Tiktok_ads[[#This Row],[likes]]*RANDBETWEEN(8,12)/10,0)</f>
        <v>9791</v>
      </c>
      <c r="AS94" s="4">
        <f ca="1">ROUND(T_Tiktok_ads[[#This Row],[shares]]*RANDBETWEEN(8,12)/10,0)</f>
        <v>1965</v>
      </c>
      <c r="AT94" s="4">
        <f ca="1">ROUND(T_Tiktok_ads[[#This Row],[comments]]*RANDBETWEEN(8,12)/10,0)</f>
        <v>589</v>
      </c>
      <c r="AV94" s="5">
        <f t="shared" ca="1" si="12"/>
        <v>45112</v>
      </c>
      <c r="AW94">
        <f t="shared" ca="1" si="13"/>
        <v>6</v>
      </c>
      <c r="AX94">
        <f ca="1">ROUND(T_Facebook_Ads11596367717579[[#This Row],[impressions]]*RANDBETWEEN(8,12)/10,0)</f>
        <v>42779</v>
      </c>
      <c r="AY94">
        <f ca="1">ROUND(T_Facebook_Ads11596367717579[[#This Row],[clicks]]*RANDBETWEEN(8,12)/10,0)</f>
        <v>1734</v>
      </c>
      <c r="AZ94">
        <f ca="1">T_Facebook_Ads11596367717579[[#This Row],[spend]]*RANDBETWEEN(8,12)/10</f>
        <v>305.18399999999991</v>
      </c>
      <c r="BA94">
        <f ca="1">ROUND(T_Facebook_Ads11596367717579[[#This Row],[conversions]]*RANDBETWEEN(8,12)/10,0)</f>
        <v>29</v>
      </c>
      <c r="BB94">
        <f ca="1">ROUND(T_Facebook_Ads11596367717579[[#This Row],[video_views]]*RANDBETWEEN(8,12)/10,0)</f>
        <v>4098</v>
      </c>
    </row>
    <row r="95" spans="1:54" ht="15.75" thickBot="1" x14ac:dyDescent="0.3">
      <c r="A95" s="3">
        <f t="shared" ca="1" si="9"/>
        <v>45116</v>
      </c>
      <c r="B95" s="4" t="s">
        <v>64</v>
      </c>
      <c r="C95" s="4" t="s">
        <v>65</v>
      </c>
      <c r="D95" s="4" t="s">
        <v>66</v>
      </c>
      <c r="E95" s="4" t="s">
        <v>67</v>
      </c>
      <c r="F95" s="4">
        <f ca="1">ROUND(T_Facebook_Ads[[#This Row],[impressions]]*RANDBETWEEN(8,12)/10,0)</f>
        <v>88147</v>
      </c>
      <c r="G95" s="4">
        <v>261</v>
      </c>
      <c r="H95" s="4">
        <f ca="1">T_Facebook_Ads[[#This Row],[spend]]*RANDBETWEEN(8,12)/10</f>
        <v>85.14</v>
      </c>
      <c r="I95" s="4">
        <f ca="1">ROUND(T_Facebook_Ads[[#This Row],[conversions]]*RANDBETWEEN(8,12)/10,0)</f>
        <v>7</v>
      </c>
      <c r="J95" s="4">
        <f ca="1">ROUND(T_Facebook_Ads[[#This Row],[video_views]]*RANDBETWEEN(8,12)/10,0)</f>
        <v>39387</v>
      </c>
      <c r="K95" s="4">
        <f ca="1">T_Facebook_Ads[[#This Row],[engagement_rate]]*RANDBETWEEN(8,12)/10</f>
        <v>3.96E-3</v>
      </c>
      <c r="L95" s="4">
        <f ca="1">ROUND(T_Facebook_Ads[[#This Row],[reach]]*RANDBETWEEN(8,12)/10,0)</f>
        <v>71480</v>
      </c>
      <c r="M95" s="4">
        <f ca="1">T_Facebook_Ads[[#This Row],[frequency]]*RANDBETWEEN(8,12)/10</f>
        <v>0.98399999999999999</v>
      </c>
      <c r="O95" s="3">
        <f t="shared" ca="1" si="10"/>
        <v>45126</v>
      </c>
      <c r="P95" s="4" t="s">
        <v>88</v>
      </c>
      <c r="Q95" s="4" t="s">
        <v>89</v>
      </c>
      <c r="R95" s="4" t="s">
        <v>90</v>
      </c>
      <c r="S95" s="4" t="s">
        <v>59</v>
      </c>
      <c r="T95" s="4">
        <f ca="1">ROUND(_Google_ads[[#This Row],[impressions]]*RANDBETWEEN(8,12)/10,0)</f>
        <v>152424</v>
      </c>
      <c r="U95" s="4">
        <f ca="1">ROUND(_Google_ads[[#This Row],[clicks]]*RANDBETWEEN(8,12)/10,0)</f>
        <v>512</v>
      </c>
      <c r="V95" s="4">
        <f ca="1">_Google_ads[[#This Row],[cost]]*RANDBETWEEN(8,12)/10</f>
        <v>136.19999999999999</v>
      </c>
      <c r="W95" s="4">
        <f ca="1">ROUND(_Google_ads[[#This Row],[conversions]]*RANDBETWEEN(8,12)/10,0)</f>
        <v>14</v>
      </c>
      <c r="X95" s="4">
        <f ca="1">ROUND(_Google_ads[[#This Row],[conversion_value]]*RANDBETWEEN(8,12)/10,0)</f>
        <v>675</v>
      </c>
      <c r="Y95" s="4">
        <f ca="1">_Google_ads[[#This Row],[ctr]]*RANDBETWEEN(8,12)/10</f>
        <v>4.4400000000000004E-3</v>
      </c>
      <c r="Z95" s="4">
        <f ca="1">_Google_ads[[#This Row],[avg_cpc]]*RANDBETWEEN(8,12)/10</f>
        <v>0.21600000000000003</v>
      </c>
      <c r="AA95" s="4">
        <f ca="1">ROUND(_Google_ads[[#This Row],[quality_score]]*RANDBETWEEN(8,12)/10,0)</f>
        <v>8</v>
      </c>
      <c r="AB95" s="4">
        <f ca="1">_Google_ads[[#This Row],[search_impression_share]]*RANDBETWEEN(8,12)/10</f>
        <v>0.43200000000000005</v>
      </c>
      <c r="AD95" s="3">
        <f t="shared" ca="1" si="11"/>
        <v>45117</v>
      </c>
      <c r="AE95" s="4" t="s">
        <v>112</v>
      </c>
      <c r="AF95" s="4" t="s">
        <v>113</v>
      </c>
      <c r="AG95" s="4" t="s">
        <v>114</v>
      </c>
      <c r="AH95" s="4" t="s">
        <v>115</v>
      </c>
      <c r="AI95" s="4">
        <f ca="1">ROUND(T_Tiktok_ads[[#This Row],[impressions]]*RANDBETWEEN(8,12)/10,0)</f>
        <v>401110</v>
      </c>
      <c r="AJ95" s="4">
        <f ca="1">ROUND(T_Tiktok_ads[[#This Row],[clicks]]*RANDBETWEEN(8,12)/10,0)</f>
        <v>6511</v>
      </c>
      <c r="AK95" s="4">
        <v>1123.5</v>
      </c>
      <c r="AL95" s="4">
        <f ca="1">ROUND(T_Tiktok_ads[[#This Row],[conversions]]*RANDBETWEEN(8,12)/10,0)</f>
        <v>136</v>
      </c>
      <c r="AM95" s="4">
        <f ca="1">ROUND(T_Tiktok_ads[[#This Row],[video_views]]*RANDBETWEEN(8,12)/10,0)</f>
        <v>303121</v>
      </c>
      <c r="AN95" s="4">
        <f ca="1">ROUND(T_Tiktok_ads[[#This Row],[video_watch_25]]*RANDBETWEEN(8,12)/10,0)</f>
        <v>243654</v>
      </c>
      <c r="AO95" s="4">
        <f ca="1">ROUND(T_Tiktok_ads[[#This Row],[video_watch_50]]*RANDBETWEEN(8,12)/10,0)</f>
        <v>267802</v>
      </c>
      <c r="AP95" s="4">
        <f ca="1">ROUND(T_Tiktok_ads[[#This Row],[video_watch_75]]*RANDBETWEEN(8,12)/10,0)</f>
        <v>172345</v>
      </c>
      <c r="AQ95" s="4">
        <f ca="1">ROUND(T_Tiktok_ads[[#This Row],[video_watch_100]]*RANDBETWEEN(8,12)/10,0)</f>
        <v>114567</v>
      </c>
      <c r="AR95" s="4">
        <f ca="1">ROUND(T_Tiktok_ads[[#This Row],[likes]]*RANDBETWEEN(8,12)/10,0)</f>
        <v>23480</v>
      </c>
      <c r="AS95" s="4">
        <f ca="1">ROUND(T_Tiktok_ads[[#This Row],[shares]]*RANDBETWEEN(8,12)/10,0)</f>
        <v>5678</v>
      </c>
      <c r="AT95" s="4">
        <f ca="1">ROUND(T_Tiktok_ads[[#This Row],[comments]]*RANDBETWEEN(8,12)/10,0)</f>
        <v>1880</v>
      </c>
      <c r="AV95" s="5">
        <f t="shared" ca="1" si="12"/>
        <v>45124</v>
      </c>
      <c r="AW95">
        <f t="shared" ca="1" si="13"/>
        <v>3</v>
      </c>
      <c r="AX95">
        <f ca="1">ROUND(T_Facebook_Ads11596367717579[[#This Row],[impressions]]*RANDBETWEEN(8,12)/10,0)</f>
        <v>105776</v>
      </c>
      <c r="AY95">
        <f ca="1">ROUND(T_Facebook_Ads11596367717579[[#This Row],[clicks]]*RANDBETWEEN(8,12)/10,0)</f>
        <v>209</v>
      </c>
      <c r="AZ95">
        <f ca="1">T_Facebook_Ads11596367717579[[#This Row],[spend]]*RANDBETWEEN(8,12)/10</f>
        <v>76.626000000000005</v>
      </c>
      <c r="BA95">
        <f ca="1">ROUND(T_Facebook_Ads11596367717579[[#This Row],[conversions]]*RANDBETWEEN(8,12)/10,0)</f>
        <v>8</v>
      </c>
      <c r="BB95">
        <f ca="1">ROUND(T_Facebook_Ads11596367717579[[#This Row],[video_views]]*RANDBETWEEN(8,12)/10,0)</f>
        <v>35448</v>
      </c>
    </row>
    <row r="96" spans="1:54" ht="15.75" thickBot="1" x14ac:dyDescent="0.3">
      <c r="A96" s="3">
        <f t="shared" ca="1" si="9"/>
        <v>45126</v>
      </c>
      <c r="B96" s="4" t="s">
        <v>52</v>
      </c>
      <c r="C96" s="4" t="s">
        <v>53</v>
      </c>
      <c r="D96" s="4" t="s">
        <v>54</v>
      </c>
      <c r="E96" s="4" t="s">
        <v>55</v>
      </c>
      <c r="F96" s="4">
        <f ca="1">ROUND(T_Facebook_Ads[[#This Row],[impressions]]*RANDBETWEEN(8,12)/10,0)</f>
        <v>41611</v>
      </c>
      <c r="G96" s="4">
        <v>934</v>
      </c>
      <c r="H96" s="4">
        <f ca="1">T_Facebook_Ads[[#This Row],[spend]]*RANDBETWEEN(8,12)/10</f>
        <v>120.42</v>
      </c>
      <c r="I96" s="4">
        <f ca="1">ROUND(T_Facebook_Ads[[#This Row],[conversions]]*RANDBETWEEN(8,12)/10,0)</f>
        <v>14</v>
      </c>
      <c r="J96" s="4">
        <f ca="1">ROUND(T_Facebook_Ads[[#This Row],[video_views]]*RANDBETWEEN(8,12)/10,0)</f>
        <v>9302</v>
      </c>
      <c r="K96" s="4">
        <f ca="1">T_Facebook_Ads[[#This Row],[engagement_rate]]*RANDBETWEEN(8,12)/10</f>
        <v>2.4240000000000001E-2</v>
      </c>
      <c r="L96" s="4">
        <f ca="1">ROUND(T_Facebook_Ads[[#This Row],[reach]]*RANDBETWEEN(8,12)/10,0)</f>
        <v>38890</v>
      </c>
      <c r="M96" s="4">
        <f ca="1">T_Facebook_Ads[[#This Row],[frequency]]*RANDBETWEEN(8,12)/10</f>
        <v>1.3089999999999999</v>
      </c>
      <c r="O96" s="3">
        <f t="shared" ca="1" si="10"/>
        <v>45136</v>
      </c>
      <c r="P96" s="4" t="s">
        <v>76</v>
      </c>
      <c r="Q96" s="4" t="s">
        <v>77</v>
      </c>
      <c r="R96" s="4" t="s">
        <v>78</v>
      </c>
      <c r="S96" s="4" t="s">
        <v>79</v>
      </c>
      <c r="T96" s="4">
        <f ca="1">ROUND(_Google_ads[[#This Row],[impressions]]*RANDBETWEEN(8,12)/10,0)</f>
        <v>22711</v>
      </c>
      <c r="U96" s="4">
        <f ca="1">ROUND(_Google_ads[[#This Row],[clicks]]*RANDBETWEEN(8,12)/10,0)</f>
        <v>1443</v>
      </c>
      <c r="V96" s="4">
        <f ca="1">_Google_ads[[#This Row],[cost]]*RANDBETWEEN(8,12)/10</f>
        <v>275.33000000000004</v>
      </c>
      <c r="W96" s="4">
        <f ca="1">ROUND(_Google_ads[[#This Row],[conversions]]*RANDBETWEEN(8,12)/10,0)</f>
        <v>44</v>
      </c>
      <c r="X96" s="4">
        <f ca="1">ROUND(_Google_ads[[#This Row],[conversion_value]]*RANDBETWEEN(8,12)/10,0)</f>
        <v>1960</v>
      </c>
      <c r="Y96" s="4">
        <f ca="1">_Google_ads[[#This Row],[ctr]]*RANDBETWEEN(8,12)/10</f>
        <v>5.7199999999999994E-2</v>
      </c>
      <c r="Z96" s="4">
        <f ca="1">_Google_ads[[#This Row],[avg_cpc]]*RANDBETWEEN(8,12)/10</f>
        <v>0.17099999999999999</v>
      </c>
      <c r="AA96" s="4">
        <f ca="1">ROUND(_Google_ads[[#This Row],[quality_score]]*RANDBETWEEN(8,12)/10,0)</f>
        <v>9</v>
      </c>
      <c r="AB96" s="4">
        <f ca="1">_Google_ads[[#This Row],[search_impression_share]]*RANDBETWEEN(8,12)/10</f>
        <v>0.72799999999999998</v>
      </c>
      <c r="AD96" s="3">
        <f t="shared" ca="1" si="11"/>
        <v>45137</v>
      </c>
      <c r="AE96" s="4" t="s">
        <v>100</v>
      </c>
      <c r="AF96" s="4" t="s">
        <v>101</v>
      </c>
      <c r="AG96" s="4" t="s">
        <v>102</v>
      </c>
      <c r="AH96" s="4" t="s">
        <v>103</v>
      </c>
      <c r="AI96" s="4">
        <f ca="1">ROUND(T_Tiktok_ads[[#This Row],[impressions]]*RANDBETWEEN(8,12)/10,0)</f>
        <v>223121</v>
      </c>
      <c r="AJ96" s="4">
        <f ca="1">ROUND(T_Tiktok_ads[[#This Row],[clicks]]*RANDBETWEEN(8,12)/10,0)</f>
        <v>4948</v>
      </c>
      <c r="AK96" s="4">
        <v>545.6</v>
      </c>
      <c r="AL96" s="4">
        <f ca="1">ROUND(T_Tiktok_ads[[#This Row],[conversions]]*RANDBETWEEN(8,12)/10,0)</f>
        <v>50</v>
      </c>
      <c r="AM96" s="4">
        <f ca="1">ROUND(T_Tiktok_ads[[#This Row],[video_views]]*RANDBETWEEN(8,12)/10,0)</f>
        <v>183387</v>
      </c>
      <c r="AN96" s="4">
        <f ca="1">ROUND(T_Tiktok_ads[[#This Row],[video_watch_25]]*RANDBETWEEN(8,12)/10,0)</f>
        <v>179234</v>
      </c>
      <c r="AO96" s="4">
        <f ca="1">ROUND(T_Tiktok_ads[[#This Row],[video_watch_50]]*RANDBETWEEN(8,12)/10,0)</f>
        <v>123457</v>
      </c>
      <c r="AP96" s="4">
        <f ca="1">ROUND(T_Tiktok_ads[[#This Row],[video_watch_75]]*RANDBETWEEN(8,12)/10,0)</f>
        <v>75678</v>
      </c>
      <c r="AQ96" s="4">
        <f ca="1">ROUND(T_Tiktok_ads[[#This Row],[video_watch_100]]*RANDBETWEEN(8,12)/10,0)</f>
        <v>60281</v>
      </c>
      <c r="AR96" s="4">
        <f ca="1">ROUND(T_Tiktok_ads[[#This Row],[likes]]*RANDBETWEEN(8,12)/10,0)</f>
        <v>10123</v>
      </c>
      <c r="AS96" s="4">
        <f ca="1">ROUND(T_Tiktok_ads[[#This Row],[shares]]*RANDBETWEEN(8,12)/10,0)</f>
        <v>2441</v>
      </c>
      <c r="AT96" s="4">
        <f ca="1">ROUND(T_Tiktok_ads[[#This Row],[comments]]*RANDBETWEEN(8,12)/10,0)</f>
        <v>710</v>
      </c>
      <c r="AV96" s="5">
        <f t="shared" ca="1" si="12"/>
        <v>45120</v>
      </c>
      <c r="AW96">
        <f t="shared" ca="1" si="13"/>
        <v>1</v>
      </c>
      <c r="AX96">
        <f ca="1">ROUND(T_Facebook_Ads11596367717579[[#This Row],[impressions]]*RANDBETWEEN(8,12)/10,0)</f>
        <v>37450</v>
      </c>
      <c r="AY96">
        <f ca="1">ROUND(T_Facebook_Ads11596367717579[[#This Row],[clicks]]*RANDBETWEEN(8,12)/10,0)</f>
        <v>747</v>
      </c>
      <c r="AZ96">
        <f ca="1">T_Facebook_Ads11596367717579[[#This Row],[spend]]*RANDBETWEEN(8,12)/10</f>
        <v>132.46200000000002</v>
      </c>
      <c r="BA96">
        <f ca="1">ROUND(T_Facebook_Ads11596367717579[[#This Row],[conversions]]*RANDBETWEEN(8,12)/10,0)</f>
        <v>14</v>
      </c>
      <c r="BB96">
        <f ca="1">ROUND(T_Facebook_Ads11596367717579[[#This Row],[video_views]]*RANDBETWEEN(8,12)/10,0)</f>
        <v>11162</v>
      </c>
    </row>
    <row r="97" spans="1:54" ht="15.75" thickBot="1" x14ac:dyDescent="0.3">
      <c r="A97" s="3">
        <f t="shared" ca="1" si="9"/>
        <v>45127</v>
      </c>
      <c r="B97" s="4" t="s">
        <v>56</v>
      </c>
      <c r="C97" s="4" t="s">
        <v>57</v>
      </c>
      <c r="D97" s="4" t="s">
        <v>58</v>
      </c>
      <c r="E97" s="4" t="s">
        <v>59</v>
      </c>
      <c r="F97" s="4">
        <f ca="1">ROUND(T_Facebook_Ads[[#This Row],[impressions]]*RANDBETWEEN(8,12)/10,0)</f>
        <v>15080</v>
      </c>
      <c r="G97" s="4">
        <v>567</v>
      </c>
      <c r="H97" s="4">
        <f ca="1">T_Facebook_Ads[[#This Row],[spend]]*RANDBETWEEN(8,12)/10</f>
        <v>251.28000000000003</v>
      </c>
      <c r="I97" s="4">
        <f ca="1">ROUND(T_Facebook_Ads[[#This Row],[conversions]]*RANDBETWEEN(8,12)/10,0)</f>
        <v>32</v>
      </c>
      <c r="J97" s="4">
        <f ca="1">ROUND(T_Facebook_Ads[[#This Row],[video_views]]*RANDBETWEEN(8,12)/10,0)</f>
        <v>1014</v>
      </c>
      <c r="K97" s="4">
        <f ca="1">T_Facebook_Ads[[#This Row],[engagement_rate]]*RANDBETWEEN(8,12)/10</f>
        <v>5.4120000000000001E-2</v>
      </c>
      <c r="L97" s="4">
        <f ca="1">ROUND(T_Facebook_Ads[[#This Row],[reach]]*RANDBETWEEN(8,12)/10,0)</f>
        <v>9890</v>
      </c>
      <c r="M97" s="4">
        <f ca="1">T_Facebook_Ads[[#This Row],[frequency]]*RANDBETWEEN(8,12)/10</f>
        <v>1.524</v>
      </c>
      <c r="O97" s="3">
        <f t="shared" ca="1" si="10"/>
        <v>45114</v>
      </c>
      <c r="P97" s="4" t="s">
        <v>80</v>
      </c>
      <c r="Q97" s="4" t="s">
        <v>81</v>
      </c>
      <c r="R97" s="4" t="s">
        <v>82</v>
      </c>
      <c r="S97" s="4" t="s">
        <v>83</v>
      </c>
      <c r="T97" s="4">
        <f ca="1">ROUND(_Google_ads[[#This Row],[impressions]]*RANDBETWEEN(8,12)/10,0)</f>
        <v>36542</v>
      </c>
      <c r="U97" s="4">
        <f ca="1">ROUND(_Google_ads[[#This Row],[clicks]]*RANDBETWEEN(8,12)/10,0)</f>
        <v>811</v>
      </c>
      <c r="V97" s="4">
        <f ca="1">_Google_ads[[#This Row],[cost]]*RANDBETWEEN(8,12)/10</f>
        <v>467.6</v>
      </c>
      <c r="W97" s="4">
        <f ca="1">ROUND(_Google_ads[[#This Row],[conversions]]*RANDBETWEEN(8,12)/10,0)</f>
        <v>19</v>
      </c>
      <c r="X97" s="4">
        <f ca="1">ROUND(_Google_ads[[#This Row],[conversion_value]]*RANDBETWEEN(8,12)/10,0)</f>
        <v>1200</v>
      </c>
      <c r="Y97" s="4">
        <f ca="1">_Google_ads[[#This Row],[ctr]]*RANDBETWEEN(8,12)/10</f>
        <v>1.9699999999999999E-2</v>
      </c>
      <c r="Z97" s="4">
        <f ca="1">_Google_ads[[#This Row],[avg_cpc]]*RANDBETWEEN(8,12)/10</f>
        <v>0.78</v>
      </c>
      <c r="AA97" s="4">
        <f ca="1">ROUND(_Google_ads[[#This Row],[quality_score]]*RANDBETWEEN(8,12)/10,0)</f>
        <v>8</v>
      </c>
      <c r="AB97" s="4">
        <f ca="1">_Google_ads[[#This Row],[search_impression_share]]*RANDBETWEEN(8,12)/10</f>
        <v>0.45</v>
      </c>
      <c r="AD97" s="3">
        <f t="shared" ca="1" si="11"/>
        <v>45109</v>
      </c>
      <c r="AE97" s="4" t="s">
        <v>104</v>
      </c>
      <c r="AF97" s="4" t="s">
        <v>105</v>
      </c>
      <c r="AG97" s="4" t="s">
        <v>106</v>
      </c>
      <c r="AH97" s="4" t="s">
        <v>107</v>
      </c>
      <c r="AI97" s="4">
        <f ca="1">ROUND(T_Tiktok_ads[[#This Row],[impressions]]*RANDBETWEEN(8,12)/10,0)</f>
        <v>168802</v>
      </c>
      <c r="AJ97" s="4">
        <f ca="1">ROUND(T_Tiktok_ads[[#This Row],[clicks]]*RANDBETWEEN(8,12)/10,0)</f>
        <v>3240</v>
      </c>
      <c r="AK97" s="4">
        <v>789.2</v>
      </c>
      <c r="AL97" s="4">
        <f ca="1">ROUND(T_Tiktok_ads[[#This Row],[conversions]]*RANDBETWEEN(8,12)/10,0)</f>
        <v>63</v>
      </c>
      <c r="AM97" s="4">
        <f ca="1">ROUND(T_Tiktok_ads[[#This Row],[video_views]]*RANDBETWEEN(8,12)/10,0)</f>
        <v>86312</v>
      </c>
      <c r="AN97" s="4">
        <f ca="1">ROUND(T_Tiktok_ads[[#This Row],[video_watch_25]]*RANDBETWEEN(8,12)/10,0)</f>
        <v>63654</v>
      </c>
      <c r="AO97" s="4">
        <f ca="1">ROUND(T_Tiktok_ads[[#This Row],[video_watch_50]]*RANDBETWEEN(8,12)/10,0)</f>
        <v>42942</v>
      </c>
      <c r="AP97" s="4">
        <f ca="1">ROUND(T_Tiktok_ads[[#This Row],[video_watch_75]]*RANDBETWEEN(8,12)/10,0)</f>
        <v>40234</v>
      </c>
      <c r="AQ97" s="4">
        <f ca="1">ROUND(T_Tiktok_ads[[#This Row],[video_watch_100]]*RANDBETWEEN(8,12)/10,0)</f>
        <v>29579</v>
      </c>
      <c r="AR97" s="4">
        <f ca="1">ROUND(T_Tiktok_ads[[#This Row],[likes]]*RANDBETWEEN(8,12)/10,0)</f>
        <v>5757</v>
      </c>
      <c r="AS97" s="4">
        <f ca="1">ROUND(T_Tiktok_ads[[#This Row],[shares]]*RANDBETWEEN(8,12)/10,0)</f>
        <v>1310</v>
      </c>
      <c r="AT97" s="4">
        <f ca="1">ROUND(T_Tiktok_ads[[#This Row],[comments]]*RANDBETWEEN(8,12)/10,0)</f>
        <v>222</v>
      </c>
      <c r="AV97" s="5">
        <f t="shared" ca="1" si="12"/>
        <v>45127</v>
      </c>
      <c r="AW97">
        <f t="shared" ca="1" si="13"/>
        <v>2</v>
      </c>
      <c r="AX97">
        <f ca="1">ROUND(T_Facebook_Ads11596367717579[[#This Row],[impressions]]*RANDBETWEEN(8,12)/10,0)</f>
        <v>12064</v>
      </c>
      <c r="AY97">
        <f ca="1">ROUND(T_Facebook_Ads11596367717579[[#This Row],[clicks]]*RANDBETWEEN(8,12)/10,0)</f>
        <v>454</v>
      </c>
      <c r="AZ97">
        <f ca="1">T_Facebook_Ads11596367717579[[#This Row],[spend]]*RANDBETWEEN(8,12)/10</f>
        <v>301.53600000000006</v>
      </c>
      <c r="BA97">
        <f ca="1">ROUND(T_Facebook_Ads11596367717579[[#This Row],[conversions]]*RANDBETWEEN(8,12)/10,0)</f>
        <v>35</v>
      </c>
      <c r="BB97">
        <f ca="1">ROUND(T_Facebook_Ads11596367717579[[#This Row],[video_views]]*RANDBETWEEN(8,12)/10,0)</f>
        <v>1115</v>
      </c>
    </row>
    <row r="98" spans="1:54" ht="15.75" thickBot="1" x14ac:dyDescent="0.3">
      <c r="A98" s="3">
        <f t="shared" ref="A98:A111" ca="1" si="14">DATE(2023,7,RANDBETWEEN(1,31))</f>
        <v>45131</v>
      </c>
      <c r="B98" s="4" t="s">
        <v>60</v>
      </c>
      <c r="C98" s="4" t="s">
        <v>61</v>
      </c>
      <c r="D98" s="4" t="s">
        <v>62</v>
      </c>
      <c r="E98" s="4" t="s">
        <v>63</v>
      </c>
      <c r="F98" s="4">
        <f ca="1">ROUND(T_Facebook_Ads[[#This Row],[impressions]]*RANDBETWEEN(8,12)/10,0)</f>
        <v>43068</v>
      </c>
      <c r="G98" s="4">
        <v>1289</v>
      </c>
      <c r="H98" s="4">
        <f ca="1">T_Facebook_Ads[[#This Row],[spend]]*RANDBETWEEN(8,12)/10</f>
        <v>178.02</v>
      </c>
      <c r="I98" s="4">
        <f ca="1">ROUND(T_Facebook_Ads[[#This Row],[conversions]]*RANDBETWEEN(8,12)/10,0)</f>
        <v>32</v>
      </c>
      <c r="J98" s="4">
        <f ca="1">ROUND(T_Facebook_Ads[[#This Row],[video_views]]*RANDBETWEEN(8,12)/10,0)</f>
        <v>4110</v>
      </c>
      <c r="K98" s="4">
        <f ca="1">T_Facebook_Ads[[#This Row],[engagement_rate]]*RANDBETWEEN(8,12)/10</f>
        <v>2.8720000000000002E-2</v>
      </c>
      <c r="L98" s="4">
        <f ca="1">ROUND(T_Facebook_Ads[[#This Row],[reach]]*RANDBETWEEN(8,12)/10,0)</f>
        <v>23654</v>
      </c>
      <c r="M98" s="4">
        <f ca="1">T_Facebook_Ads[[#This Row],[frequency]]*RANDBETWEEN(8,12)/10</f>
        <v>1.331</v>
      </c>
      <c r="O98" s="3">
        <f t="shared" ref="O98:O111" ca="1" si="15">DATE(2023,7,RANDBETWEEN(1,31))</f>
        <v>45110</v>
      </c>
      <c r="P98" s="4" t="s">
        <v>84</v>
      </c>
      <c r="Q98" s="4" t="s">
        <v>85</v>
      </c>
      <c r="R98" s="4" t="s">
        <v>86</v>
      </c>
      <c r="S98" s="4" t="s">
        <v>87</v>
      </c>
      <c r="T98" s="4">
        <f ca="1">ROUND(_Google_ads[[#This Row],[impressions]]*RANDBETWEEN(8,12)/10,0)</f>
        <v>84148</v>
      </c>
      <c r="U98" s="4">
        <f ca="1">ROUND(_Google_ads[[#This Row],[clicks]]*RANDBETWEEN(8,12)/10,0)</f>
        <v>1885</v>
      </c>
      <c r="V98" s="4">
        <f ca="1">_Google_ads[[#This Row],[cost]]*RANDBETWEEN(8,12)/10</f>
        <v>431.2</v>
      </c>
      <c r="W98" s="4">
        <f ca="1">ROUND(_Google_ads[[#This Row],[conversions]]*RANDBETWEEN(8,12)/10,0)</f>
        <v>82</v>
      </c>
      <c r="X98" s="4">
        <f ca="1">ROUND(_Google_ads[[#This Row],[conversion_value]]*RANDBETWEEN(8,12)/10,0)</f>
        <v>4080</v>
      </c>
      <c r="Y98" s="4">
        <f ca="1">_Google_ads[[#This Row],[ctr]]*RANDBETWEEN(8,12)/10</f>
        <v>3.696E-2</v>
      </c>
      <c r="Z98" s="4">
        <f ca="1">_Google_ads[[#This Row],[avg_cpc]]*RANDBETWEEN(8,12)/10</f>
        <v>0.21600000000000003</v>
      </c>
      <c r="AA98" s="4">
        <f ca="1">ROUND(_Google_ads[[#This Row],[quality_score]]*RANDBETWEEN(8,12)/10,0)</f>
        <v>8</v>
      </c>
      <c r="AB98" s="4">
        <f ca="1">_Google_ads[[#This Row],[search_impression_share]]*RANDBETWEEN(8,12)/10</f>
        <v>0.748</v>
      </c>
      <c r="AD98" s="3">
        <f t="shared" ref="AD98:AD111" ca="1" si="16">DATE(2023,7,RANDBETWEEN(1,31))</f>
        <v>45118</v>
      </c>
      <c r="AE98" s="4" t="s">
        <v>108</v>
      </c>
      <c r="AF98" s="4" t="s">
        <v>109</v>
      </c>
      <c r="AG98" s="4" t="s">
        <v>110</v>
      </c>
      <c r="AH98" s="4" t="s">
        <v>111</v>
      </c>
      <c r="AI98" s="4">
        <f ca="1">ROUND(T_Tiktok_ads[[#This Row],[impressions]]*RANDBETWEEN(8,12)/10,0)</f>
        <v>284147</v>
      </c>
      <c r="AJ98" s="4">
        <f ca="1">ROUND(T_Tiktok_ads[[#This Row],[clicks]]*RANDBETWEEN(8,12)/10,0)</f>
        <v>3734</v>
      </c>
      <c r="AK98" s="4">
        <v>456.8</v>
      </c>
      <c r="AL98" s="4">
        <f ca="1">ROUND(T_Tiktok_ads[[#This Row],[conversions]]*RANDBETWEEN(8,12)/10,0)</f>
        <v>33</v>
      </c>
      <c r="AM98" s="4">
        <f ca="1">ROUND(T_Tiktok_ads[[#This Row],[video_views]]*RANDBETWEEN(8,12)/10,0)</f>
        <v>169101</v>
      </c>
      <c r="AN98" s="4">
        <f ca="1">ROUND(T_Tiktok_ads[[#This Row],[video_watch_25]]*RANDBETWEEN(8,12)/10,0)</f>
        <v>128111</v>
      </c>
      <c r="AO98" s="4">
        <f ca="1">ROUND(T_Tiktok_ads[[#This Row],[video_watch_50]]*RANDBETWEEN(8,12)/10,0)</f>
        <v>112345</v>
      </c>
      <c r="AP98" s="4">
        <f ca="1">ROUND(T_Tiktok_ads[[#This Row],[video_watch_75]]*RANDBETWEEN(8,12)/10,0)</f>
        <v>79580</v>
      </c>
      <c r="AQ98" s="4">
        <f ca="1">ROUND(T_Tiktok_ads[[#This Row],[video_watch_100]]*RANDBETWEEN(8,12)/10,0)</f>
        <v>35031</v>
      </c>
      <c r="AR98" s="4">
        <f ca="1">ROUND(T_Tiktok_ads[[#This Row],[likes]]*RANDBETWEEN(8,12)/10,0)</f>
        <v>7610</v>
      </c>
      <c r="AS98" s="4">
        <f ca="1">ROUND(T_Tiktok_ads[[#This Row],[shares]]*RANDBETWEEN(8,12)/10,0)</f>
        <v>2040</v>
      </c>
      <c r="AT98" s="4">
        <f ca="1">ROUND(T_Tiktok_ads[[#This Row],[comments]]*RANDBETWEEN(8,12)/10,0)</f>
        <v>600</v>
      </c>
      <c r="AV98" s="5">
        <f t="shared" ref="AV98:AV111" ca="1" si="17">DATE(2023,7,RANDBETWEEN(1,31))</f>
        <v>45109</v>
      </c>
      <c r="AW98">
        <f t="shared" ca="1" si="13"/>
        <v>2</v>
      </c>
      <c r="AX98">
        <f ca="1">ROUND(T_Facebook_Ads11596367717579[[#This Row],[impressions]]*RANDBETWEEN(8,12)/10,0)</f>
        <v>38761</v>
      </c>
      <c r="AY98">
        <f ca="1">ROUND(T_Facebook_Ads11596367717579[[#This Row],[clicks]]*RANDBETWEEN(8,12)/10,0)</f>
        <v>1418</v>
      </c>
      <c r="AZ98">
        <f ca="1">T_Facebook_Ads11596367717579[[#This Row],[spend]]*RANDBETWEEN(8,12)/10</f>
        <v>142.416</v>
      </c>
      <c r="BA98">
        <f ca="1">ROUND(T_Facebook_Ads11596367717579[[#This Row],[conversions]]*RANDBETWEEN(8,12)/10,0)</f>
        <v>35</v>
      </c>
      <c r="BB98">
        <f ca="1">ROUND(T_Facebook_Ads11596367717579[[#This Row],[video_views]]*RANDBETWEEN(8,12)/10,0)</f>
        <v>4521</v>
      </c>
    </row>
    <row r="99" spans="1:54" ht="15.75" thickBot="1" x14ac:dyDescent="0.3">
      <c r="A99" s="3">
        <f t="shared" ca="1" si="14"/>
        <v>45135</v>
      </c>
      <c r="B99" s="4" t="s">
        <v>64</v>
      </c>
      <c r="C99" s="4" t="s">
        <v>65</v>
      </c>
      <c r="D99" s="4" t="s">
        <v>66</v>
      </c>
      <c r="E99" s="4" t="s">
        <v>67</v>
      </c>
      <c r="F99" s="4">
        <f ca="1">ROUND(T_Facebook_Ads[[#This Row],[impressions]]*RANDBETWEEN(8,12)/10,0)</f>
        <v>75057</v>
      </c>
      <c r="G99" s="4">
        <v>245</v>
      </c>
      <c r="H99" s="4">
        <f ca="1">T_Facebook_Ads[[#This Row],[spend]]*RANDBETWEEN(8,12)/10</f>
        <v>94.490000000000009</v>
      </c>
      <c r="I99" s="4">
        <f ca="1">ROUND(T_Facebook_Ads[[#This Row],[conversions]]*RANDBETWEEN(8,12)/10,0)</f>
        <v>6</v>
      </c>
      <c r="J99" s="4">
        <f ca="1">ROUND(T_Facebook_Ads[[#This Row],[video_views]]*RANDBETWEEN(8,12)/10,0)</f>
        <v>45678</v>
      </c>
      <c r="K99" s="4">
        <f ca="1">T_Facebook_Ads[[#This Row],[engagement_rate]]*RANDBETWEEN(8,12)/10</f>
        <v>3.5999999999999999E-3</v>
      </c>
      <c r="L99" s="4">
        <f ca="1">ROUND(T_Facebook_Ads[[#This Row],[reach]]*RANDBETWEEN(8,12)/10,0)</f>
        <v>61479</v>
      </c>
      <c r="M99" s="4">
        <f ca="1">T_Facebook_Ads[[#This Row],[frequency]]*RANDBETWEEN(8,12)/10</f>
        <v>0.97599999999999998</v>
      </c>
      <c r="O99" s="3">
        <f t="shared" ca="1" si="15"/>
        <v>45135</v>
      </c>
      <c r="P99" s="4" t="s">
        <v>88</v>
      </c>
      <c r="Q99" s="4" t="s">
        <v>89</v>
      </c>
      <c r="R99" s="4" t="s">
        <v>90</v>
      </c>
      <c r="S99" s="4" t="s">
        <v>59</v>
      </c>
      <c r="T99" s="4">
        <f ca="1">ROUND(_Google_ads[[#This Row],[impressions]]*RANDBETWEEN(8,12)/10,0)</f>
        <v>148379</v>
      </c>
      <c r="U99" s="4">
        <f ca="1">ROUND(_Google_ads[[#This Row],[clicks]]*RANDBETWEEN(8,12)/10,0)</f>
        <v>391</v>
      </c>
      <c r="V99" s="4">
        <f ca="1">_Google_ads[[#This Row],[cost]]*RANDBETWEEN(8,12)/10</f>
        <v>145.96999999999997</v>
      </c>
      <c r="W99" s="4">
        <f ca="1">ROUND(_Google_ads[[#This Row],[conversions]]*RANDBETWEEN(8,12)/10,0)</f>
        <v>15</v>
      </c>
      <c r="X99" s="4">
        <f ca="1">ROUND(_Google_ads[[#This Row],[conversion_value]]*RANDBETWEEN(8,12)/10,0)</f>
        <v>630</v>
      </c>
      <c r="Y99" s="4">
        <f ca="1">_Google_ads[[#This Row],[ctr]]*RANDBETWEEN(8,12)/10</f>
        <v>3.96E-3</v>
      </c>
      <c r="Z99" s="4">
        <f ca="1">_Google_ads[[#This Row],[avg_cpc]]*RANDBETWEEN(8,12)/10</f>
        <v>0.21600000000000003</v>
      </c>
      <c r="AA99" s="4">
        <f ca="1">ROUND(_Google_ads[[#This Row],[quality_score]]*RANDBETWEEN(8,12)/10,0)</f>
        <v>8</v>
      </c>
      <c r="AB99" s="4">
        <f ca="1">_Google_ads[[#This Row],[search_impression_share]]*RANDBETWEEN(8,12)/10</f>
        <v>0.35</v>
      </c>
      <c r="AD99" s="3">
        <f t="shared" ca="1" si="16"/>
        <v>45126</v>
      </c>
      <c r="AE99" s="4" t="s">
        <v>112</v>
      </c>
      <c r="AF99" s="4" t="s">
        <v>113</v>
      </c>
      <c r="AG99" s="4" t="s">
        <v>114</v>
      </c>
      <c r="AH99" s="4" t="s">
        <v>115</v>
      </c>
      <c r="AI99" s="4">
        <f ca="1">ROUND(T_Tiktok_ads[[#This Row],[impressions]]*RANDBETWEEN(8,12)/10,0)</f>
        <v>381110</v>
      </c>
      <c r="AJ99" s="4">
        <f ca="1">ROUND(T_Tiktok_ads[[#This Row],[clicks]]*RANDBETWEEN(8,12)/10,0)</f>
        <v>7468</v>
      </c>
      <c r="AK99" s="4">
        <v>1034.5</v>
      </c>
      <c r="AL99" s="4">
        <f ca="1">ROUND(T_Tiktok_ads[[#This Row],[conversions]]*RANDBETWEEN(8,12)/10,0)</f>
        <v>94</v>
      </c>
      <c r="AM99" s="4">
        <f ca="1">ROUND(T_Tiktok_ads[[#This Row],[video_views]]*RANDBETWEEN(8,12)/10,0)</f>
        <v>428147</v>
      </c>
      <c r="AN99" s="4">
        <f ca="1">ROUND(T_Tiktok_ads[[#This Row],[video_watch_25]]*RANDBETWEEN(8,12)/10,0)</f>
        <v>229787</v>
      </c>
      <c r="AO99" s="4">
        <f ca="1">ROUND(T_Tiktok_ads[[#This Row],[video_watch_50]]*RANDBETWEEN(8,12)/10,0)</f>
        <v>183387</v>
      </c>
      <c r="AP99" s="4">
        <f ca="1">ROUND(T_Tiktok_ads[[#This Row],[video_watch_75]]*RANDBETWEEN(8,12)/10,0)</f>
        <v>146111</v>
      </c>
      <c r="AQ99" s="4">
        <f ca="1">ROUND(T_Tiktok_ads[[#This Row],[video_watch_100]]*RANDBETWEEN(8,12)/10,0)</f>
        <v>129468</v>
      </c>
      <c r="AR99" s="4">
        <f ca="1">ROUND(T_Tiktok_ads[[#This Row],[likes]]*RANDBETWEEN(8,12)/10,0)</f>
        <v>20632</v>
      </c>
      <c r="AS99" s="4">
        <f ca="1">ROUND(T_Tiktok_ads[[#This Row],[shares]]*RANDBETWEEN(8,12)/10,0)</f>
        <v>5345</v>
      </c>
      <c r="AT99" s="4">
        <f ca="1">ROUND(T_Tiktok_ads[[#This Row],[comments]]*RANDBETWEEN(8,12)/10,0)</f>
        <v>1602</v>
      </c>
      <c r="AV99" s="5">
        <f t="shared" ca="1" si="17"/>
        <v>45136</v>
      </c>
      <c r="AW99">
        <f t="shared" ca="1" si="13"/>
        <v>8</v>
      </c>
      <c r="AX99">
        <f ca="1">ROUND(T_Facebook_Ads11596367717579[[#This Row],[impressions]]*RANDBETWEEN(8,12)/10,0)</f>
        <v>82563</v>
      </c>
      <c r="AY99">
        <f ca="1">ROUND(T_Facebook_Ads11596367717579[[#This Row],[clicks]]*RANDBETWEEN(8,12)/10,0)</f>
        <v>294</v>
      </c>
      <c r="AZ99">
        <f ca="1">T_Facebook_Ads11596367717579[[#This Row],[spend]]*RANDBETWEEN(8,12)/10</f>
        <v>85.041000000000011</v>
      </c>
      <c r="BA99">
        <f ca="1">ROUND(T_Facebook_Ads11596367717579[[#This Row],[conversions]]*RANDBETWEEN(8,12)/10,0)</f>
        <v>5</v>
      </c>
      <c r="BB99">
        <f ca="1">ROUND(T_Facebook_Ads11596367717579[[#This Row],[video_views]]*RANDBETWEEN(8,12)/10,0)</f>
        <v>45678</v>
      </c>
    </row>
    <row r="100" spans="1:54" ht="15.75" thickBot="1" x14ac:dyDescent="0.3">
      <c r="A100" s="3">
        <f t="shared" ca="1" si="14"/>
        <v>45138</v>
      </c>
      <c r="B100" s="4" t="s">
        <v>52</v>
      </c>
      <c r="C100" s="4" t="s">
        <v>53</v>
      </c>
      <c r="D100" s="4" t="s">
        <v>54</v>
      </c>
      <c r="E100" s="4" t="s">
        <v>55</v>
      </c>
      <c r="F100" s="4">
        <f ca="1">ROUND(T_Facebook_Ads[[#This Row],[impressions]]*RANDBETWEEN(8,12)/10,0)</f>
        <v>49024</v>
      </c>
      <c r="G100" s="4">
        <v>890</v>
      </c>
      <c r="H100" s="4">
        <f ca="1">T_Facebook_Ads[[#This Row],[spend]]*RANDBETWEEN(8,12)/10</f>
        <v>140.35999999999999</v>
      </c>
      <c r="I100" s="4">
        <f ca="1">ROUND(T_Facebook_Ads[[#This Row],[conversions]]*RANDBETWEEN(8,12)/10,0)</f>
        <v>12</v>
      </c>
      <c r="J100" s="4">
        <f ca="1">ROUND(T_Facebook_Ads[[#This Row],[video_views]]*RANDBETWEEN(8,12)/10,0)</f>
        <v>6498</v>
      </c>
      <c r="K100" s="4">
        <f ca="1">T_Facebook_Ads[[#This Row],[engagement_rate]]*RANDBETWEEN(8,12)/10</f>
        <v>2.4E-2</v>
      </c>
      <c r="L100" s="4">
        <f ca="1">ROUND(T_Facebook_Ads[[#This Row],[reach]]*RANDBETWEEN(8,12)/10,0)</f>
        <v>44947</v>
      </c>
      <c r="M100" s="4">
        <f ca="1">T_Facebook_Ads[[#This Row],[frequency]]*RANDBETWEEN(8,12)/10</f>
        <v>0.95199999999999996</v>
      </c>
      <c r="O100" s="3">
        <f t="shared" ca="1" si="15"/>
        <v>45138</v>
      </c>
      <c r="P100" s="4" t="s">
        <v>76</v>
      </c>
      <c r="Q100" s="4" t="s">
        <v>77</v>
      </c>
      <c r="R100" s="4" t="s">
        <v>78</v>
      </c>
      <c r="S100" s="4" t="s">
        <v>79</v>
      </c>
      <c r="T100" s="4">
        <f ca="1">ROUND(_Google_ads[[#This Row],[impressions]]*RANDBETWEEN(8,12)/10,0)</f>
        <v>28280</v>
      </c>
      <c r="U100" s="4">
        <f ca="1">ROUND(_Google_ads[[#This Row],[clicks]]*RANDBETWEEN(8,12)/10,0)</f>
        <v>1070</v>
      </c>
      <c r="V100" s="4">
        <f ca="1">_Google_ads[[#This Row],[cost]]*RANDBETWEEN(8,12)/10</f>
        <v>249.48000000000002</v>
      </c>
      <c r="W100" s="4">
        <f ca="1">ROUND(_Google_ads[[#This Row],[conversions]]*RANDBETWEEN(8,12)/10,0)</f>
        <v>35</v>
      </c>
      <c r="X100" s="4">
        <f ca="1">ROUND(_Google_ads[[#This Row],[conversion_value]]*RANDBETWEEN(8,12)/10,0)</f>
        <v>1760</v>
      </c>
      <c r="Y100" s="4">
        <f ca="1">_Google_ads[[#This Row],[ctr]]*RANDBETWEEN(8,12)/10</f>
        <v>5.5550000000000002E-2</v>
      </c>
      <c r="Z100" s="4">
        <f ca="1">_Google_ads[[#This Row],[avg_cpc]]*RANDBETWEEN(8,12)/10</f>
        <v>0.19</v>
      </c>
      <c r="AA100" s="4">
        <f ca="1">ROUND(_Google_ads[[#This Row],[quality_score]]*RANDBETWEEN(8,12)/10,0)</f>
        <v>8</v>
      </c>
      <c r="AB100" s="4">
        <f ca="1">_Google_ads[[#This Row],[search_impression_share]]*RANDBETWEEN(8,12)/10</f>
        <v>1.08</v>
      </c>
      <c r="AD100" s="3">
        <f t="shared" ca="1" si="16"/>
        <v>45109</v>
      </c>
      <c r="AE100" s="4" t="s">
        <v>100</v>
      </c>
      <c r="AF100" s="4" t="s">
        <v>101</v>
      </c>
      <c r="AG100" s="4" t="s">
        <v>102</v>
      </c>
      <c r="AH100" s="4" t="s">
        <v>103</v>
      </c>
      <c r="AI100" s="4">
        <f ca="1">ROUND(T_Tiktok_ads[[#This Row],[impressions]]*RANDBETWEEN(8,12)/10,0)</f>
        <v>214312</v>
      </c>
      <c r="AJ100" s="4">
        <f ca="1">ROUND(T_Tiktok_ads[[#This Row],[clicks]]*RANDBETWEEN(8,12)/10,0)</f>
        <v>3156</v>
      </c>
      <c r="AK100" s="4">
        <v>501.2</v>
      </c>
      <c r="AL100" s="4">
        <f ca="1">ROUND(T_Tiktok_ads[[#This Row],[conversions]]*RANDBETWEEN(8,12)/10,0)</f>
        <v>36</v>
      </c>
      <c r="AM100" s="4">
        <f ca="1">ROUND(T_Tiktok_ads[[#This Row],[video_views]]*RANDBETWEEN(8,12)/10,0)</f>
        <v>176987</v>
      </c>
      <c r="AN100" s="4">
        <f ca="1">ROUND(T_Tiktok_ads[[#This Row],[video_watch_25]]*RANDBETWEEN(8,12)/10,0)</f>
        <v>190802</v>
      </c>
      <c r="AO100" s="4">
        <f ca="1">ROUND(T_Tiktok_ads[[#This Row],[video_watch_50]]*RANDBETWEEN(8,12)/10,0)</f>
        <v>109234</v>
      </c>
      <c r="AP100" s="4">
        <f ca="1">ROUND(T_Tiktok_ads[[#This Row],[video_watch_75]]*RANDBETWEEN(8,12)/10,0)</f>
        <v>80924</v>
      </c>
      <c r="AQ100" s="4">
        <f ca="1">ROUND(T_Tiktok_ads[[#This Row],[video_watch_100]]*RANDBETWEEN(8,12)/10,0)</f>
        <v>39387</v>
      </c>
      <c r="AR100" s="4">
        <f ca="1">ROUND(T_Tiktok_ads[[#This Row],[likes]]*RANDBETWEEN(8,12)/10,0)</f>
        <v>11747</v>
      </c>
      <c r="AS100" s="4">
        <f ca="1">ROUND(T_Tiktok_ads[[#This Row],[shares]]*RANDBETWEEN(8,12)/10,0)</f>
        <v>3161</v>
      </c>
      <c r="AT100" s="4">
        <f ca="1">ROUND(T_Tiktok_ads[[#This Row],[comments]]*RANDBETWEEN(8,12)/10,0)</f>
        <v>685</v>
      </c>
      <c r="AV100" s="5">
        <f t="shared" ca="1" si="17"/>
        <v>45109</v>
      </c>
      <c r="AW100">
        <f t="shared" ca="1" si="13"/>
        <v>6</v>
      </c>
      <c r="AX100">
        <f ca="1">ROUND(T_Facebook_Ads11596367717579[[#This Row],[impressions]]*RANDBETWEEN(8,12)/10,0)</f>
        <v>44122</v>
      </c>
      <c r="AY100">
        <f ca="1">ROUND(T_Facebook_Ads11596367717579[[#This Row],[clicks]]*RANDBETWEEN(8,12)/10,0)</f>
        <v>1068</v>
      </c>
      <c r="AZ100">
        <f ca="1">T_Facebook_Ads11596367717579[[#This Row],[spend]]*RANDBETWEEN(8,12)/10</f>
        <v>154.39599999999999</v>
      </c>
      <c r="BA100">
        <f ca="1">ROUND(T_Facebook_Ads11596367717579[[#This Row],[conversions]]*RANDBETWEEN(8,12)/10,0)</f>
        <v>14</v>
      </c>
      <c r="BB100">
        <f ca="1">ROUND(T_Facebook_Ads11596367717579[[#This Row],[video_views]]*RANDBETWEEN(8,12)/10,0)</f>
        <v>5198</v>
      </c>
    </row>
    <row r="101" spans="1:54" ht="15.75" thickBot="1" x14ac:dyDescent="0.3">
      <c r="A101" s="3">
        <f t="shared" ca="1" si="14"/>
        <v>45134</v>
      </c>
      <c r="B101" s="4" t="s">
        <v>56</v>
      </c>
      <c r="C101" s="4" t="s">
        <v>57</v>
      </c>
      <c r="D101" s="4" t="s">
        <v>58</v>
      </c>
      <c r="E101" s="4" t="s">
        <v>59</v>
      </c>
      <c r="F101" s="4">
        <f ca="1">ROUND(T_Facebook_Ads[[#This Row],[impressions]]*RANDBETWEEN(8,12)/10,0)</f>
        <v>13747</v>
      </c>
      <c r="G101" s="4">
        <v>523</v>
      </c>
      <c r="H101" s="4">
        <f ca="1">T_Facebook_Ads[[#This Row],[spend]]*RANDBETWEEN(8,12)/10</f>
        <v>153.84</v>
      </c>
      <c r="I101" s="4">
        <f ca="1">ROUND(T_Facebook_Ads[[#This Row],[conversions]]*RANDBETWEEN(8,12)/10,0)</f>
        <v>33</v>
      </c>
      <c r="J101" s="4">
        <f ca="1">ROUND(T_Facebook_Ads[[#This Row],[video_views]]*RANDBETWEEN(8,12)/10,0)</f>
        <v>1198</v>
      </c>
      <c r="K101" s="4">
        <f ca="1">T_Facebook_Ads[[#This Row],[engagement_rate]]*RANDBETWEEN(8,12)/10</f>
        <v>3.6559999999999995E-2</v>
      </c>
      <c r="L101" s="4">
        <f ca="1">ROUND(T_Facebook_Ads[[#This Row],[reach]]*RANDBETWEEN(8,12)/10,0)</f>
        <v>7174</v>
      </c>
      <c r="M101" s="4">
        <f ca="1">T_Facebook_Ads[[#This Row],[frequency]]*RANDBETWEEN(8,12)/10</f>
        <v>1.28</v>
      </c>
      <c r="O101" s="3">
        <f t="shared" ca="1" si="15"/>
        <v>45129</v>
      </c>
      <c r="P101" s="4" t="s">
        <v>80</v>
      </c>
      <c r="Q101" s="4" t="s">
        <v>81</v>
      </c>
      <c r="R101" s="4" t="s">
        <v>82</v>
      </c>
      <c r="S101" s="4" t="s">
        <v>83</v>
      </c>
      <c r="T101" s="4">
        <f ca="1">ROUND(_Google_ads[[#This Row],[impressions]]*RANDBETWEEN(8,12)/10,0)</f>
        <v>42890</v>
      </c>
      <c r="U101" s="4">
        <f ca="1">ROUND(_Google_ads[[#This Row],[clicks]]*RANDBETWEEN(8,12)/10,0)</f>
        <v>751</v>
      </c>
      <c r="V101" s="4">
        <f ca="1">_Google_ads[[#This Row],[cost]]*RANDBETWEEN(8,12)/10</f>
        <v>439.43999999999994</v>
      </c>
      <c r="W101" s="4">
        <f ca="1">ROUND(_Google_ads[[#This Row],[conversions]]*RANDBETWEEN(8,12)/10,0)</f>
        <v>19</v>
      </c>
      <c r="X101" s="4">
        <f ca="1">ROUND(_Google_ads[[#This Row],[conversion_value]]*RANDBETWEEN(8,12)/10,0)</f>
        <v>840</v>
      </c>
      <c r="Y101" s="4">
        <f ca="1">_Google_ads[[#This Row],[ctr]]*RANDBETWEEN(8,12)/10</f>
        <v>1.95E-2</v>
      </c>
      <c r="Z101" s="4">
        <f ca="1">_Google_ads[[#This Row],[avg_cpc]]*RANDBETWEEN(8,12)/10</f>
        <v>0.79200000000000004</v>
      </c>
      <c r="AA101" s="4">
        <f ca="1">ROUND(_Google_ads[[#This Row],[quality_score]]*RANDBETWEEN(8,12)/10,0)</f>
        <v>8</v>
      </c>
      <c r="AB101" s="4">
        <f ca="1">_Google_ads[[#This Row],[search_impression_share]]*RANDBETWEEN(8,12)/10</f>
        <v>0.43</v>
      </c>
      <c r="AD101" s="3">
        <f t="shared" ca="1" si="16"/>
        <v>45122</v>
      </c>
      <c r="AE101" s="4" t="s">
        <v>104</v>
      </c>
      <c r="AF101" s="4" t="s">
        <v>105</v>
      </c>
      <c r="AG101" s="4" t="s">
        <v>106</v>
      </c>
      <c r="AH101" s="4" t="s">
        <v>107</v>
      </c>
      <c r="AI101" s="4">
        <f ca="1">ROUND(T_Tiktok_ads[[#This Row],[impressions]]*RANDBETWEEN(8,12)/10,0)</f>
        <v>119121</v>
      </c>
      <c r="AJ101" s="4">
        <f ca="1">ROUND(T_Tiktok_ads[[#This Row],[clicks]]*RANDBETWEEN(8,12)/10,0)</f>
        <v>3117</v>
      </c>
      <c r="AK101" s="4">
        <v>756.7</v>
      </c>
      <c r="AL101" s="4">
        <f ca="1">ROUND(T_Tiktok_ads[[#This Row],[conversions]]*RANDBETWEEN(8,12)/10,0)</f>
        <v>91</v>
      </c>
      <c r="AM101" s="4">
        <f ca="1">ROUND(T_Tiktok_ads[[#This Row],[video_views]]*RANDBETWEEN(8,12)/10,0)</f>
        <v>121481</v>
      </c>
      <c r="AN101" s="4">
        <f ca="1">ROUND(T_Tiktok_ads[[#This Row],[video_watch_25]]*RANDBETWEEN(8,12)/10,0)</f>
        <v>82024</v>
      </c>
      <c r="AO101" s="4">
        <f ca="1">ROUND(T_Tiktok_ads[[#This Row],[video_watch_50]]*RANDBETWEEN(8,12)/10,0)</f>
        <v>45211</v>
      </c>
      <c r="AP101" s="4">
        <f ca="1">ROUND(T_Tiktok_ads[[#This Row],[video_watch_75]]*RANDBETWEEN(8,12)/10,0)</f>
        <v>34101</v>
      </c>
      <c r="AQ101" s="4">
        <f ca="1">ROUND(T_Tiktok_ads[[#This Row],[video_watch_100]]*RANDBETWEEN(8,12)/10,0)</f>
        <v>22711</v>
      </c>
      <c r="AR101" s="4">
        <f ca="1">ROUND(T_Tiktok_ads[[#This Row],[likes]]*RANDBETWEEN(8,12)/10,0)</f>
        <v>5012</v>
      </c>
      <c r="AS101" s="4">
        <f ca="1">ROUND(T_Tiktok_ads[[#This Row],[shares]]*RANDBETWEEN(8,12)/10,0)</f>
        <v>1281</v>
      </c>
      <c r="AT101" s="4">
        <f ca="1">ROUND(T_Tiktok_ads[[#This Row],[comments]]*RANDBETWEEN(8,12)/10,0)</f>
        <v>294</v>
      </c>
      <c r="AV101" s="5">
        <f t="shared" ca="1" si="17"/>
        <v>45122</v>
      </c>
      <c r="AW101">
        <f t="shared" ca="1" si="13"/>
        <v>1</v>
      </c>
      <c r="AX101">
        <f ca="1">ROUND(T_Facebook_Ads11596367717579[[#This Row],[impressions]]*RANDBETWEEN(8,12)/10,0)</f>
        <v>16496</v>
      </c>
      <c r="AY101">
        <f ca="1">ROUND(T_Facebook_Ads11596367717579[[#This Row],[clicks]]*RANDBETWEEN(8,12)/10,0)</f>
        <v>471</v>
      </c>
      <c r="AZ101">
        <f ca="1">T_Facebook_Ads11596367717579[[#This Row],[spend]]*RANDBETWEEN(8,12)/10</f>
        <v>153.84</v>
      </c>
      <c r="BA101">
        <f ca="1">ROUND(T_Facebook_Ads11596367717579[[#This Row],[conversions]]*RANDBETWEEN(8,12)/10,0)</f>
        <v>26</v>
      </c>
      <c r="BB101">
        <f ca="1">ROUND(T_Facebook_Ads11596367717579[[#This Row],[video_views]]*RANDBETWEEN(8,12)/10,0)</f>
        <v>958</v>
      </c>
    </row>
    <row r="102" spans="1:54" ht="15.75" thickBot="1" x14ac:dyDescent="0.3">
      <c r="A102" s="3">
        <f t="shared" ca="1" si="14"/>
        <v>45126</v>
      </c>
      <c r="B102" s="4" t="s">
        <v>60</v>
      </c>
      <c r="C102" s="4" t="s">
        <v>61</v>
      </c>
      <c r="D102" s="4" t="s">
        <v>62</v>
      </c>
      <c r="E102" s="4" t="s">
        <v>63</v>
      </c>
      <c r="F102" s="4">
        <f ca="1">ROUND(T_Facebook_Ads[[#This Row],[impressions]]*RANDBETWEEN(8,12)/10,0)</f>
        <v>33567</v>
      </c>
      <c r="G102" s="4">
        <v>1203</v>
      </c>
      <c r="H102" s="4">
        <f ca="1">T_Facebook_Ads[[#This Row],[spend]]*RANDBETWEEN(8,12)/10</f>
        <v>202.95</v>
      </c>
      <c r="I102" s="4">
        <f ca="1">ROUND(T_Facebook_Ads[[#This Row],[conversions]]*RANDBETWEEN(8,12)/10,0)</f>
        <v>28</v>
      </c>
      <c r="J102" s="4">
        <f ca="1">ROUND(T_Facebook_Ads[[#This Row],[video_views]]*RANDBETWEEN(8,12)/10,0)</f>
        <v>3298</v>
      </c>
      <c r="K102" s="4">
        <f ca="1">T_Facebook_Ads[[#This Row],[engagement_rate]]*RANDBETWEEN(8,12)/10</f>
        <v>4.2959999999999998E-2</v>
      </c>
      <c r="L102" s="4">
        <f ca="1">ROUND(T_Facebook_Ads[[#This Row],[reach]]*RANDBETWEEN(8,12)/10,0)</f>
        <v>30679</v>
      </c>
      <c r="M102" s="4">
        <f ca="1">T_Facebook_Ads[[#This Row],[frequency]]*RANDBETWEEN(8,12)/10</f>
        <v>1.0799999999999998</v>
      </c>
      <c r="O102" s="3">
        <f t="shared" ca="1" si="15"/>
        <v>45120</v>
      </c>
      <c r="P102" s="4" t="s">
        <v>84</v>
      </c>
      <c r="Q102" s="4" t="s">
        <v>85</v>
      </c>
      <c r="R102" s="4" t="s">
        <v>86</v>
      </c>
      <c r="S102" s="4" t="s">
        <v>87</v>
      </c>
      <c r="T102" s="4">
        <f ca="1">ROUND(_Google_ads[[#This Row],[impressions]]*RANDBETWEEN(8,12)/10,0)</f>
        <v>66234</v>
      </c>
      <c r="U102" s="4">
        <f ca="1">ROUND(_Google_ads[[#This Row],[clicks]]*RANDBETWEEN(8,12)/10,0)</f>
        <v>2167</v>
      </c>
      <c r="V102" s="4">
        <f ca="1">_Google_ads[[#This Row],[cost]]*RANDBETWEEN(8,12)/10</f>
        <v>474.96000000000004</v>
      </c>
      <c r="W102" s="4">
        <f ca="1">ROUND(_Google_ads[[#This Row],[conversions]]*RANDBETWEEN(8,12)/10,0)</f>
        <v>73</v>
      </c>
      <c r="X102" s="4">
        <f ca="1">ROUND(_Google_ads[[#This Row],[conversion_value]]*RANDBETWEEN(8,12)/10,0)</f>
        <v>3050</v>
      </c>
      <c r="Y102" s="4">
        <f ca="1">_Google_ads[[#This Row],[ctr]]*RANDBETWEEN(8,12)/10</f>
        <v>2.6159999999999999E-2</v>
      </c>
      <c r="Z102" s="4">
        <f ca="1">_Google_ads[[#This Row],[avg_cpc]]*RANDBETWEEN(8,12)/10</f>
        <v>0.16199999999999998</v>
      </c>
      <c r="AA102" s="4">
        <f ca="1">ROUND(_Google_ads[[#This Row],[quality_score]]*RANDBETWEEN(8,12)/10,0)</f>
        <v>10</v>
      </c>
      <c r="AB102" s="4">
        <f ca="1">_Google_ads[[#This Row],[search_impression_share]]*RANDBETWEEN(8,12)/10</f>
        <v>0.52800000000000002</v>
      </c>
      <c r="AD102" s="3">
        <f t="shared" ca="1" si="16"/>
        <v>45120</v>
      </c>
      <c r="AE102" s="4" t="s">
        <v>108</v>
      </c>
      <c r="AF102" s="4" t="s">
        <v>109</v>
      </c>
      <c r="AG102" s="4" t="s">
        <v>110</v>
      </c>
      <c r="AH102" s="4" t="s">
        <v>111</v>
      </c>
      <c r="AI102" s="4">
        <f ca="1">ROUND(T_Tiktok_ads[[#This Row],[impressions]]*RANDBETWEEN(8,12)/10,0)</f>
        <v>245802</v>
      </c>
      <c r="AJ102" s="4">
        <f ca="1">ROUND(T_Tiktok_ads[[#This Row],[clicks]]*RANDBETWEEN(8,12)/10,0)</f>
        <v>3924</v>
      </c>
      <c r="AK102" s="4">
        <v>427.7</v>
      </c>
      <c r="AL102" s="4">
        <f ca="1">ROUND(T_Tiktok_ads[[#This Row],[conversions]]*RANDBETWEEN(8,12)/10,0)</f>
        <v>33</v>
      </c>
      <c r="AM102" s="4">
        <f ca="1">ROUND(T_Tiktok_ads[[#This Row],[video_views]]*RANDBETWEEN(8,12)/10,0)</f>
        <v>178901</v>
      </c>
      <c r="AN102" s="4">
        <f ca="1">ROUND(T_Tiktok_ads[[#This Row],[video_watch_25]]*RANDBETWEEN(8,12)/10,0)</f>
        <v>148757</v>
      </c>
      <c r="AO102" s="4">
        <f ca="1">ROUND(T_Tiktok_ads[[#This Row],[video_watch_50]]*RANDBETWEEN(8,12)/10,0)</f>
        <v>106789</v>
      </c>
      <c r="AP102" s="4">
        <f ca="1">ROUND(T_Tiktok_ads[[#This Row],[video_watch_75]]*RANDBETWEEN(8,12)/10,0)</f>
        <v>76157</v>
      </c>
      <c r="AQ102" s="4">
        <f ca="1">ROUND(T_Tiktok_ads[[#This Row],[video_watch_100]]*RANDBETWEEN(8,12)/10,0)</f>
        <v>33431</v>
      </c>
      <c r="AR102" s="4">
        <f ca="1">ROUND(T_Tiktok_ads[[#This Row],[likes]]*RANDBETWEEN(8,12)/10,0)</f>
        <v>9881</v>
      </c>
      <c r="AS102" s="4">
        <f ca="1">ROUND(T_Tiktok_ads[[#This Row],[shares]]*RANDBETWEEN(8,12)/10,0)</f>
        <v>2720</v>
      </c>
      <c r="AT102" s="4">
        <f ca="1">ROUND(T_Tiktok_ads[[#This Row],[comments]]*RANDBETWEEN(8,12)/10,0)</f>
        <v>534</v>
      </c>
      <c r="AV102" s="5">
        <f t="shared" ca="1" si="17"/>
        <v>45128</v>
      </c>
      <c r="AW102">
        <f t="shared" ca="1" si="13"/>
        <v>4</v>
      </c>
      <c r="AX102">
        <f ca="1">ROUND(T_Facebook_Ads11596367717579[[#This Row],[impressions]]*RANDBETWEEN(8,12)/10,0)</f>
        <v>26854</v>
      </c>
      <c r="AY102">
        <f ca="1">ROUND(T_Facebook_Ads11596367717579[[#This Row],[clicks]]*RANDBETWEEN(8,12)/10,0)</f>
        <v>1203</v>
      </c>
      <c r="AZ102">
        <f ca="1">T_Facebook_Ads11596367717579[[#This Row],[spend]]*RANDBETWEEN(8,12)/10</f>
        <v>202.95</v>
      </c>
      <c r="BA102">
        <f ca="1">ROUND(T_Facebook_Ads11596367717579[[#This Row],[conversions]]*RANDBETWEEN(8,12)/10,0)</f>
        <v>22</v>
      </c>
      <c r="BB102">
        <f ca="1">ROUND(T_Facebook_Ads11596367717579[[#This Row],[video_views]]*RANDBETWEEN(8,12)/10,0)</f>
        <v>3958</v>
      </c>
    </row>
    <row r="103" spans="1:54" ht="15.75" thickBot="1" x14ac:dyDescent="0.3">
      <c r="A103" s="3">
        <f t="shared" ca="1" si="14"/>
        <v>45132</v>
      </c>
      <c r="B103" s="4" t="s">
        <v>64</v>
      </c>
      <c r="C103" s="4" t="s">
        <v>65</v>
      </c>
      <c r="D103" s="4" t="s">
        <v>66</v>
      </c>
      <c r="E103" s="4" t="s">
        <v>67</v>
      </c>
      <c r="F103" s="4">
        <f ca="1">ROUND(T_Facebook_Ads[[#This Row],[impressions]]*RANDBETWEEN(8,12)/10,0)</f>
        <v>65789</v>
      </c>
      <c r="G103" s="4">
        <v>234</v>
      </c>
      <c r="H103" s="4">
        <f ca="1">T_Facebook_Ads[[#This Row],[spend]]*RANDBETWEEN(8,12)/10</f>
        <v>64.320000000000007</v>
      </c>
      <c r="I103" s="4">
        <f ca="1">ROUND(T_Facebook_Ads[[#This Row],[conversions]]*RANDBETWEEN(8,12)/10,0)</f>
        <v>4</v>
      </c>
      <c r="J103" s="4">
        <f ca="1">ROUND(T_Facebook_Ads[[#This Row],[video_views]]*RANDBETWEEN(8,12)/10,0)</f>
        <v>48279</v>
      </c>
      <c r="K103" s="4">
        <f ca="1">T_Facebook_Ads[[#This Row],[engagement_rate]]*RANDBETWEEN(8,12)/10</f>
        <v>3.96E-3</v>
      </c>
      <c r="L103" s="4">
        <f ca="1">ROUND(T_Facebook_Ads[[#This Row],[reach]]*RANDBETWEEN(8,12)/10,0)</f>
        <v>43298</v>
      </c>
      <c r="M103" s="4">
        <f ca="1">T_Facebook_Ads[[#This Row],[frequency]]*RANDBETWEEN(8,12)/10</f>
        <v>1.331</v>
      </c>
      <c r="O103" s="3">
        <f t="shared" ca="1" si="15"/>
        <v>45122</v>
      </c>
      <c r="P103" s="4" t="s">
        <v>88</v>
      </c>
      <c r="Q103" s="4" t="s">
        <v>89</v>
      </c>
      <c r="R103" s="4" t="s">
        <v>90</v>
      </c>
      <c r="S103" s="4" t="s">
        <v>59</v>
      </c>
      <c r="T103" s="4">
        <f ca="1">ROUND(_Google_ads[[#This Row],[impressions]]*RANDBETWEEN(8,12)/10,0)</f>
        <v>114611</v>
      </c>
      <c r="U103" s="4">
        <f ca="1">ROUND(_Google_ads[[#This Row],[clicks]]*RANDBETWEEN(8,12)/10,0)</f>
        <v>356</v>
      </c>
      <c r="V103" s="4">
        <f ca="1">_Google_ads[[#This Row],[cost]]*RANDBETWEEN(8,12)/10</f>
        <v>137.60999999999999</v>
      </c>
      <c r="W103" s="4">
        <f ca="1">ROUND(_Google_ads[[#This Row],[conversions]]*RANDBETWEEN(8,12)/10,0)</f>
        <v>14</v>
      </c>
      <c r="X103" s="4">
        <f ca="1">ROUND(_Google_ads[[#This Row],[conversion_value]]*RANDBETWEEN(8,12)/10,0)</f>
        <v>540</v>
      </c>
      <c r="Y103" s="4">
        <f ca="1">_Google_ads[[#This Row],[ctr]]*RANDBETWEEN(8,12)/10</f>
        <v>3.5000000000000005E-3</v>
      </c>
      <c r="Z103" s="4">
        <f ca="1">_Google_ads[[#This Row],[avg_cpc]]*RANDBETWEEN(8,12)/10</f>
        <v>0.308</v>
      </c>
      <c r="AA103" s="4">
        <f ca="1">ROUND(_Google_ads[[#This Row],[quality_score]]*RANDBETWEEN(8,12)/10,0)</f>
        <v>6</v>
      </c>
      <c r="AB103" s="4">
        <f ca="1">_Google_ads[[#This Row],[search_impression_share]]*RANDBETWEEN(8,12)/10</f>
        <v>0.29700000000000004</v>
      </c>
      <c r="AD103" s="3">
        <f t="shared" ca="1" si="16"/>
        <v>45120</v>
      </c>
      <c r="AE103" s="4" t="s">
        <v>112</v>
      </c>
      <c r="AF103" s="4" t="s">
        <v>113</v>
      </c>
      <c r="AG103" s="4" t="s">
        <v>114</v>
      </c>
      <c r="AH103" s="4" t="s">
        <v>115</v>
      </c>
      <c r="AI103" s="4">
        <f ca="1">ROUND(T_Tiktok_ads[[#This Row],[impressions]]*RANDBETWEEN(8,12)/10,0)</f>
        <v>401234</v>
      </c>
      <c r="AJ103" s="4">
        <f ca="1">ROUND(T_Tiktok_ads[[#This Row],[clicks]]*RANDBETWEEN(8,12)/10,0)</f>
        <v>6456</v>
      </c>
      <c r="AK103" s="4">
        <v>989.9</v>
      </c>
      <c r="AL103" s="4">
        <f ca="1">ROUND(T_Tiktok_ads[[#This Row],[conversions]]*RANDBETWEEN(8,12)/10,0)</f>
        <v>111</v>
      </c>
      <c r="AM103" s="4">
        <f ca="1">ROUND(T_Tiktok_ads[[#This Row],[video_views]]*RANDBETWEEN(8,12)/10,0)</f>
        <v>365580</v>
      </c>
      <c r="AN103" s="4">
        <f ca="1">ROUND(T_Tiktok_ads[[#This Row],[video_watch_25]]*RANDBETWEEN(8,12)/10,0)</f>
        <v>241101</v>
      </c>
      <c r="AO103" s="4">
        <f ca="1">ROUND(T_Tiktok_ads[[#This Row],[video_watch_50]]*RANDBETWEEN(8,12)/10,0)</f>
        <v>171654</v>
      </c>
      <c r="AP103" s="4">
        <f ca="1">ROUND(T_Tiktok_ads[[#This Row],[video_watch_75]]*RANDBETWEEN(8,12)/10,0)</f>
        <v>151234</v>
      </c>
      <c r="AQ103" s="4">
        <f ca="1">ROUND(T_Tiktok_ads[[#This Row],[video_watch_100]]*RANDBETWEEN(8,12)/10,0)</f>
        <v>109524</v>
      </c>
      <c r="AR103" s="4">
        <f ca="1">ROUND(T_Tiktok_ads[[#This Row],[likes]]*RANDBETWEEN(8,12)/10,0)</f>
        <v>18957</v>
      </c>
      <c r="AS103" s="4">
        <f ca="1">ROUND(T_Tiktok_ads[[#This Row],[shares]]*RANDBETWEEN(8,12)/10,0)</f>
        <v>5513</v>
      </c>
      <c r="AT103" s="4">
        <f ca="1">ROUND(T_Tiktok_ads[[#This Row],[comments]]*RANDBETWEEN(8,12)/10,0)</f>
        <v>1654</v>
      </c>
      <c r="AV103" s="5">
        <f t="shared" ca="1" si="17"/>
        <v>45108</v>
      </c>
      <c r="AW103">
        <f t="shared" ca="1" si="13"/>
        <v>1</v>
      </c>
      <c r="AX103">
        <f ca="1">ROUND(T_Facebook_Ads11596367717579[[#This Row],[impressions]]*RANDBETWEEN(8,12)/10,0)</f>
        <v>65789</v>
      </c>
      <c r="AY103">
        <f ca="1">ROUND(T_Facebook_Ads11596367717579[[#This Row],[clicks]]*RANDBETWEEN(8,12)/10,0)</f>
        <v>257</v>
      </c>
      <c r="AZ103">
        <f ca="1">T_Facebook_Ads11596367717579[[#This Row],[spend]]*RANDBETWEEN(8,12)/10</f>
        <v>57.888000000000012</v>
      </c>
      <c r="BA103">
        <f ca="1">ROUND(T_Facebook_Ads11596367717579[[#This Row],[conversions]]*RANDBETWEEN(8,12)/10,0)</f>
        <v>4</v>
      </c>
      <c r="BB103">
        <f ca="1">ROUND(T_Facebook_Ads11596367717579[[#This Row],[video_views]]*RANDBETWEEN(8,12)/10,0)</f>
        <v>38623</v>
      </c>
    </row>
    <row r="104" spans="1:54" ht="15.75" thickBot="1" x14ac:dyDescent="0.3">
      <c r="A104" s="3">
        <f t="shared" ca="1" si="14"/>
        <v>45119</v>
      </c>
      <c r="B104" s="4" t="s">
        <v>52</v>
      </c>
      <c r="C104" s="4" t="s">
        <v>53</v>
      </c>
      <c r="D104" s="4" t="s">
        <v>54</v>
      </c>
      <c r="E104" s="4" t="s">
        <v>55</v>
      </c>
      <c r="F104" s="4">
        <f ca="1">ROUND(T_Facebook_Ads[[#This Row],[impressions]]*RANDBETWEEN(8,12)/10,0)</f>
        <v>43101</v>
      </c>
      <c r="G104" s="4">
        <v>967</v>
      </c>
      <c r="H104" s="4">
        <f ca="1">T_Facebook_Ads[[#This Row],[spend]]*RANDBETWEEN(8,12)/10</f>
        <v>110.72</v>
      </c>
      <c r="I104" s="4">
        <f ca="1">ROUND(T_Facebook_Ads[[#This Row],[conversions]]*RANDBETWEEN(8,12)/10,0)</f>
        <v>15</v>
      </c>
      <c r="J104" s="4">
        <f ca="1">ROUND(T_Facebook_Ads[[#This Row],[video_views]]*RANDBETWEEN(8,12)/10,0)</f>
        <v>10547</v>
      </c>
      <c r="K104" s="4">
        <f ca="1">T_Facebook_Ads[[#This Row],[engagement_rate]]*RANDBETWEEN(8,12)/10</f>
        <v>2.2219999999999997E-2</v>
      </c>
      <c r="L104" s="4">
        <f ca="1">ROUND(T_Facebook_Ads[[#This Row],[reach]]*RANDBETWEEN(8,12)/10,0)</f>
        <v>32187</v>
      </c>
      <c r="M104" s="4">
        <f ca="1">T_Facebook_Ads[[#This Row],[frequency]]*RANDBETWEEN(8,12)/10</f>
        <v>1.3089999999999999</v>
      </c>
      <c r="O104" s="3">
        <f t="shared" ca="1" si="15"/>
        <v>45120</v>
      </c>
      <c r="P104" s="4" t="s">
        <v>76</v>
      </c>
      <c r="Q104" s="4" t="s">
        <v>77</v>
      </c>
      <c r="R104" s="4" t="s">
        <v>78</v>
      </c>
      <c r="S104" s="4" t="s">
        <v>79</v>
      </c>
      <c r="T104" s="4">
        <f ca="1">ROUND(_Google_ads[[#This Row],[impressions]]*RANDBETWEEN(8,12)/10,0)</f>
        <v>27379</v>
      </c>
      <c r="U104" s="4">
        <f ca="1">ROUND(_Google_ads[[#This Row],[clicks]]*RANDBETWEEN(8,12)/10,0)</f>
        <v>1022</v>
      </c>
      <c r="V104" s="4">
        <f ca="1">_Google_ads[[#This Row],[cost]]*RANDBETWEEN(8,12)/10</f>
        <v>244.2</v>
      </c>
      <c r="W104" s="4">
        <f ca="1">ROUND(_Google_ads[[#This Row],[conversions]]*RANDBETWEEN(8,12)/10,0)</f>
        <v>38</v>
      </c>
      <c r="X104" s="4">
        <f ca="1">ROUND(_Google_ads[[#This Row],[conversion_value]]*RANDBETWEEN(8,12)/10,0)</f>
        <v>2585</v>
      </c>
      <c r="Y104" s="4">
        <f ca="1">_Google_ads[[#This Row],[ctr]]*RANDBETWEEN(8,12)/10</f>
        <v>5.6430000000000001E-2</v>
      </c>
      <c r="Z104" s="4">
        <f ca="1">_Google_ads[[#This Row],[avg_cpc]]*RANDBETWEEN(8,12)/10</f>
        <v>0.22800000000000004</v>
      </c>
      <c r="AA104" s="4">
        <f ca="1">ROUND(_Google_ads[[#This Row],[quality_score]]*RANDBETWEEN(8,12)/10,0)</f>
        <v>7</v>
      </c>
      <c r="AB104" s="4">
        <f ca="1">_Google_ads[[#This Row],[search_impression_share]]*RANDBETWEEN(8,12)/10</f>
        <v>1.0920000000000001</v>
      </c>
      <c r="AD104" s="3">
        <f t="shared" ca="1" si="16"/>
        <v>45131</v>
      </c>
      <c r="AE104" s="4" t="s">
        <v>100</v>
      </c>
      <c r="AF104" s="4" t="s">
        <v>101</v>
      </c>
      <c r="AG104" s="4" t="s">
        <v>102</v>
      </c>
      <c r="AH104" s="4" t="s">
        <v>103</v>
      </c>
      <c r="AI104" s="4">
        <f ca="1">ROUND(T_Tiktok_ads[[#This Row],[impressions]]*RANDBETWEEN(8,12)/10,0)</f>
        <v>231210</v>
      </c>
      <c r="AJ104" s="4">
        <f ca="1">ROUND(T_Tiktok_ads[[#This Row],[clicks]]*RANDBETWEEN(8,12)/10,0)</f>
        <v>5081</v>
      </c>
      <c r="AK104" s="4">
        <v>556.70000000000005</v>
      </c>
      <c r="AL104" s="4">
        <f ca="1">ROUND(T_Tiktok_ads[[#This Row],[conversions]]*RANDBETWEEN(8,12)/10,0)</f>
        <v>34</v>
      </c>
      <c r="AM104" s="4">
        <f ca="1">ROUND(T_Tiktok_ads[[#This Row],[video_views]]*RANDBETWEEN(8,12)/10,0)</f>
        <v>187654</v>
      </c>
      <c r="AN104" s="4">
        <f ca="1">ROUND(T_Tiktok_ads[[#This Row],[video_watch_25]]*RANDBETWEEN(8,12)/10,0)</f>
        <v>182345</v>
      </c>
      <c r="AO104" s="4">
        <f ca="1">ROUND(T_Tiktok_ads[[#This Row],[video_watch_50]]*RANDBETWEEN(8,12)/10,0)</f>
        <v>114567</v>
      </c>
      <c r="AP104" s="4">
        <f ca="1">ROUND(T_Tiktok_ads[[#This Row],[video_watch_75]]*RANDBETWEEN(8,12)/10,0)</f>
        <v>61787</v>
      </c>
      <c r="AQ104" s="4">
        <f ca="1">ROUND(T_Tiktok_ads[[#This Row],[video_watch_100]]*RANDBETWEEN(8,12)/10,0)</f>
        <v>61481</v>
      </c>
      <c r="AR104" s="4">
        <f ca="1">ROUND(T_Tiktok_ads[[#This Row],[likes]]*RANDBETWEEN(8,12)/10,0)</f>
        <v>9311</v>
      </c>
      <c r="AS104" s="4">
        <f ca="1">ROUND(T_Tiktok_ads[[#This Row],[shares]]*RANDBETWEEN(8,12)/10,0)</f>
        <v>3068</v>
      </c>
      <c r="AT104" s="4">
        <f ca="1">ROUND(T_Tiktok_ads[[#This Row],[comments]]*RANDBETWEEN(8,12)/10,0)</f>
        <v>590</v>
      </c>
      <c r="AV104" s="5">
        <f t="shared" ca="1" si="17"/>
        <v>45134</v>
      </c>
      <c r="AW104">
        <f t="shared" ca="1" si="13"/>
        <v>1</v>
      </c>
      <c r="AX104">
        <f ca="1">ROUND(T_Facebook_Ads11596367717579[[#This Row],[impressions]]*RANDBETWEEN(8,12)/10,0)</f>
        <v>47411</v>
      </c>
      <c r="AY104">
        <f ca="1">ROUND(T_Facebook_Ads11596367717579[[#This Row],[clicks]]*RANDBETWEEN(8,12)/10,0)</f>
        <v>774</v>
      </c>
      <c r="AZ104">
        <f ca="1">T_Facebook_Ads11596367717579[[#This Row],[spend]]*RANDBETWEEN(8,12)/10</f>
        <v>99.647999999999996</v>
      </c>
      <c r="BA104">
        <f ca="1">ROUND(T_Facebook_Ads11596367717579[[#This Row],[conversions]]*RANDBETWEEN(8,12)/10,0)</f>
        <v>12</v>
      </c>
      <c r="BB104">
        <f ca="1">ROUND(T_Facebook_Ads11596367717579[[#This Row],[video_views]]*RANDBETWEEN(8,12)/10,0)</f>
        <v>11602</v>
      </c>
    </row>
    <row r="105" spans="1:54" ht="15.75" thickBot="1" x14ac:dyDescent="0.3">
      <c r="A105" s="3">
        <f t="shared" ca="1" si="14"/>
        <v>45118</v>
      </c>
      <c r="B105" s="4" t="s">
        <v>56</v>
      </c>
      <c r="C105" s="4" t="s">
        <v>57</v>
      </c>
      <c r="D105" s="4" t="s">
        <v>58</v>
      </c>
      <c r="E105" s="4" t="s">
        <v>59</v>
      </c>
      <c r="F105" s="4">
        <f ca="1">ROUND(T_Facebook_Ads[[#This Row],[impressions]]*RANDBETWEEN(8,12)/10,0)</f>
        <v>10587</v>
      </c>
      <c r="G105" s="4">
        <v>612</v>
      </c>
      <c r="H105" s="4">
        <f ca="1">T_Facebook_Ads[[#This Row],[spend]]*RANDBETWEEN(8,12)/10</f>
        <v>226.5</v>
      </c>
      <c r="I105" s="4">
        <f ca="1">ROUND(T_Facebook_Ads[[#This Row],[conversions]]*RANDBETWEEN(8,12)/10,0)</f>
        <v>39</v>
      </c>
      <c r="J105" s="4">
        <f ca="1">ROUND(T_Facebook_Ads[[#This Row],[video_views]]*RANDBETWEEN(8,12)/10,0)</f>
        <v>1480</v>
      </c>
      <c r="K105" s="4">
        <f ca="1">T_Facebook_Ads[[#This Row],[engagement_rate]]*RANDBETWEEN(8,12)/10</f>
        <v>3.7040000000000003E-2</v>
      </c>
      <c r="L105" s="4">
        <f ca="1">ROUND(T_Facebook_Ads[[#This Row],[reach]]*RANDBETWEEN(8,12)/10,0)</f>
        <v>11502</v>
      </c>
      <c r="M105" s="4">
        <f ca="1">T_Facebook_Ads[[#This Row],[frequency]]*RANDBETWEEN(8,12)/10</f>
        <v>1.016</v>
      </c>
      <c r="O105" s="3">
        <f t="shared" ca="1" si="15"/>
        <v>45112</v>
      </c>
      <c r="P105" s="4" t="s">
        <v>80</v>
      </c>
      <c r="Q105" s="4" t="s">
        <v>81</v>
      </c>
      <c r="R105" s="4" t="s">
        <v>82</v>
      </c>
      <c r="S105" s="4" t="s">
        <v>83</v>
      </c>
      <c r="T105" s="4">
        <f ca="1">ROUND(_Google_ads[[#This Row],[impressions]]*RANDBETWEEN(8,12)/10,0)</f>
        <v>53480</v>
      </c>
      <c r="U105" s="4">
        <f ca="1">ROUND(_Google_ads[[#This Row],[clicks]]*RANDBETWEEN(8,12)/10,0)</f>
        <v>702</v>
      </c>
      <c r="V105" s="4">
        <f ca="1">_Google_ads[[#This Row],[cost]]*RANDBETWEEN(8,12)/10</f>
        <v>684.95999999999992</v>
      </c>
      <c r="W105" s="4">
        <f ca="1">ROUND(_Google_ads[[#This Row],[conversions]]*RANDBETWEEN(8,12)/10,0)</f>
        <v>23</v>
      </c>
      <c r="X105" s="4">
        <f ca="1">ROUND(_Google_ads[[#This Row],[conversion_value]]*RANDBETWEEN(8,12)/10,0)</f>
        <v>1035</v>
      </c>
      <c r="Y105" s="4">
        <f ca="1">_Google_ads[[#This Row],[ctr]]*RANDBETWEEN(8,12)/10</f>
        <v>1.576E-2</v>
      </c>
      <c r="Z105" s="4">
        <f ca="1">_Google_ads[[#This Row],[avg_cpc]]*RANDBETWEEN(8,12)/10</f>
        <v>0.78</v>
      </c>
      <c r="AA105" s="4">
        <f ca="1">ROUND(_Google_ads[[#This Row],[quality_score]]*RANDBETWEEN(8,12)/10,0)</f>
        <v>8</v>
      </c>
      <c r="AB105" s="4">
        <f ca="1">_Google_ads[[#This Row],[search_impression_share]]*RANDBETWEEN(8,12)/10</f>
        <v>0.52800000000000002</v>
      </c>
      <c r="AD105" s="3">
        <f t="shared" ca="1" si="16"/>
        <v>45138</v>
      </c>
      <c r="AE105" s="4" t="s">
        <v>104</v>
      </c>
      <c r="AF105" s="4" t="s">
        <v>105</v>
      </c>
      <c r="AG105" s="4" t="s">
        <v>106</v>
      </c>
      <c r="AH105" s="4" t="s">
        <v>107</v>
      </c>
      <c r="AI105" s="4">
        <f ca="1">ROUND(T_Tiktok_ads[[#This Row],[impressions]]*RANDBETWEEN(8,12)/10,0)</f>
        <v>172468</v>
      </c>
      <c r="AJ105" s="4">
        <f ca="1">ROUND(T_Tiktok_ads[[#This Row],[clicks]]*RANDBETWEEN(8,12)/10,0)</f>
        <v>3012</v>
      </c>
      <c r="AK105" s="4">
        <v>812.3</v>
      </c>
      <c r="AL105" s="4">
        <f ca="1">ROUND(T_Tiktok_ads[[#This Row],[conversions]]*RANDBETWEEN(8,12)/10,0)</f>
        <v>66</v>
      </c>
      <c r="AM105" s="4">
        <f ca="1">ROUND(T_Tiktok_ads[[#This Row],[video_views]]*RANDBETWEEN(8,12)/10,0)</f>
        <v>120864</v>
      </c>
      <c r="AN105" s="4">
        <f ca="1">ROUND(T_Tiktok_ads[[#This Row],[video_watch_25]]*RANDBETWEEN(8,12)/10,0)</f>
        <v>64987</v>
      </c>
      <c r="AO105" s="4">
        <f ca="1">ROUND(T_Tiktok_ads[[#This Row],[video_watch_50]]*RANDBETWEEN(8,12)/10,0)</f>
        <v>54678</v>
      </c>
      <c r="AP105" s="4">
        <f ca="1">ROUND(T_Tiktok_ads[[#This Row],[video_watch_75]]*RANDBETWEEN(8,12)/10,0)</f>
        <v>41234</v>
      </c>
      <c r="AQ105" s="4">
        <f ca="1">ROUND(T_Tiktok_ads[[#This Row],[video_watch_100]]*RANDBETWEEN(8,12)/10,0)</f>
        <v>30324</v>
      </c>
      <c r="AR105" s="4">
        <f ca="1">ROUND(T_Tiktok_ads[[#This Row],[likes]]*RANDBETWEEN(8,12)/10,0)</f>
        <v>6002</v>
      </c>
      <c r="AS105" s="4">
        <f ca="1">ROUND(T_Tiktok_ads[[#This Row],[shares]]*RANDBETWEEN(8,12)/10,0)</f>
        <v>1410</v>
      </c>
      <c r="AT105" s="4">
        <f ca="1">ROUND(T_Tiktok_ads[[#This Row],[comments]]*RANDBETWEEN(8,12)/10,0)</f>
        <v>289</v>
      </c>
      <c r="AV105" s="5">
        <f t="shared" ca="1" si="17"/>
        <v>45116</v>
      </c>
      <c r="AW105">
        <f t="shared" ca="1" si="13"/>
        <v>5</v>
      </c>
      <c r="AX105">
        <f ca="1">ROUND(T_Facebook_Ads11596367717579[[#This Row],[impressions]]*RANDBETWEEN(8,12)/10,0)</f>
        <v>8470</v>
      </c>
      <c r="AY105">
        <f ca="1">ROUND(T_Facebook_Ads11596367717579[[#This Row],[clicks]]*RANDBETWEEN(8,12)/10,0)</f>
        <v>612</v>
      </c>
      <c r="AZ105">
        <f ca="1">T_Facebook_Ads11596367717579[[#This Row],[spend]]*RANDBETWEEN(8,12)/10</f>
        <v>181.2</v>
      </c>
      <c r="BA105">
        <f ca="1">ROUND(T_Facebook_Ads11596367717579[[#This Row],[conversions]]*RANDBETWEEN(8,12)/10,0)</f>
        <v>35</v>
      </c>
      <c r="BB105">
        <f ca="1">ROUND(T_Facebook_Ads11596367717579[[#This Row],[video_views]]*RANDBETWEEN(8,12)/10,0)</f>
        <v>1776</v>
      </c>
    </row>
    <row r="106" spans="1:54" ht="15.75" thickBot="1" x14ac:dyDescent="0.3">
      <c r="A106" s="3">
        <f t="shared" ca="1" si="14"/>
        <v>45126</v>
      </c>
      <c r="B106" s="4" t="s">
        <v>60</v>
      </c>
      <c r="C106" s="4" t="s">
        <v>61</v>
      </c>
      <c r="D106" s="4" t="s">
        <v>62</v>
      </c>
      <c r="E106" s="4" t="s">
        <v>63</v>
      </c>
      <c r="F106" s="4">
        <f ca="1">ROUND(T_Facebook_Ads[[#This Row],[impressions]]*RANDBETWEEN(8,12)/10,0)</f>
        <v>43481</v>
      </c>
      <c r="G106" s="4">
        <v>1334</v>
      </c>
      <c r="H106" s="4">
        <f ca="1">T_Facebook_Ads[[#This Row],[spend]]*RANDBETWEEN(8,12)/10</f>
        <v>244.43999999999997</v>
      </c>
      <c r="I106" s="4">
        <f ca="1">ROUND(T_Facebook_Ads[[#This Row],[conversions]]*RANDBETWEEN(8,12)/10,0)</f>
        <v>34</v>
      </c>
      <c r="J106" s="4">
        <f ca="1">ROUND(T_Facebook_Ads[[#This Row],[video_views]]*RANDBETWEEN(8,12)/10,0)</f>
        <v>4678</v>
      </c>
      <c r="K106" s="4">
        <f ca="1">T_Facebook_Ads[[#This Row],[engagement_rate]]*RANDBETWEEN(8,12)/10</f>
        <v>3.6799999999999999E-2</v>
      </c>
      <c r="L106" s="4">
        <f ca="1">ROUND(T_Facebook_Ads[[#This Row],[reach]]*RANDBETWEEN(8,12)/10,0)</f>
        <v>33135</v>
      </c>
      <c r="M106" s="4">
        <f ca="1">T_Facebook_Ads[[#This Row],[frequency]]*RANDBETWEEN(8,12)/10</f>
        <v>1.0799999999999998</v>
      </c>
      <c r="O106" s="3">
        <f t="shared" ca="1" si="15"/>
        <v>45118</v>
      </c>
      <c r="P106" s="4" t="s">
        <v>84</v>
      </c>
      <c r="Q106" s="4" t="s">
        <v>85</v>
      </c>
      <c r="R106" s="4" t="s">
        <v>86</v>
      </c>
      <c r="S106" s="4" t="s">
        <v>87</v>
      </c>
      <c r="T106" s="4">
        <f ca="1">ROUND(_Google_ads[[#This Row],[impressions]]*RANDBETWEEN(8,12)/10,0)</f>
        <v>54765</v>
      </c>
      <c r="U106" s="4">
        <f ca="1">ROUND(_Google_ads[[#This Row],[clicks]]*RANDBETWEEN(8,12)/10,0)</f>
        <v>1831</v>
      </c>
      <c r="V106" s="4">
        <f ca="1">_Google_ads[[#This Row],[cost]]*RANDBETWEEN(8,12)/10</f>
        <v>503.4</v>
      </c>
      <c r="W106" s="4">
        <f ca="1">ROUND(_Google_ads[[#This Row],[conversions]]*RANDBETWEEN(8,12)/10,0)</f>
        <v>73</v>
      </c>
      <c r="X106" s="4">
        <f ca="1">ROUND(_Google_ads[[#This Row],[conversion_value]]*RANDBETWEEN(8,12)/10,0)</f>
        <v>3300</v>
      </c>
      <c r="Y106" s="4">
        <f ca="1">_Google_ads[[#This Row],[ctr]]*RANDBETWEEN(8,12)/10</f>
        <v>4.0079999999999998E-2</v>
      </c>
      <c r="Z106" s="4">
        <f ca="1">_Google_ads[[#This Row],[avg_cpc]]*RANDBETWEEN(8,12)/10</f>
        <v>0.19800000000000001</v>
      </c>
      <c r="AA106" s="4">
        <f ca="1">ROUND(_Google_ads[[#This Row],[quality_score]]*RANDBETWEEN(8,12)/10,0)</f>
        <v>10</v>
      </c>
      <c r="AB106" s="4">
        <f ca="1">_Google_ads[[#This Row],[search_impression_share]]*RANDBETWEEN(8,12)/10</f>
        <v>0.73699999999999999</v>
      </c>
      <c r="AD106" s="3">
        <f t="shared" ca="1" si="16"/>
        <v>45118</v>
      </c>
      <c r="AE106" s="4" t="s">
        <v>108</v>
      </c>
      <c r="AF106" s="4" t="s">
        <v>109</v>
      </c>
      <c r="AG106" s="4" t="s">
        <v>110</v>
      </c>
      <c r="AH106" s="4" t="s">
        <v>111</v>
      </c>
      <c r="AI106" s="4">
        <f ca="1">ROUND(T_Tiktok_ads[[#This Row],[impressions]]*RANDBETWEEN(8,12)/10,0)</f>
        <v>294814</v>
      </c>
      <c r="AJ106" s="4">
        <f ca="1">ROUND(T_Tiktok_ads[[#This Row],[clicks]]*RANDBETWEEN(8,12)/10,0)</f>
        <v>4668</v>
      </c>
      <c r="AK106" s="4">
        <v>467.8</v>
      </c>
      <c r="AL106" s="4">
        <f ca="1">ROUND(T_Tiktok_ads[[#This Row],[conversions]]*RANDBETWEEN(8,12)/10,0)</f>
        <v>34</v>
      </c>
      <c r="AM106" s="4">
        <f ca="1">ROUND(T_Tiktok_ads[[#This Row],[video_views]]*RANDBETWEEN(8,12)/10,0)</f>
        <v>195678</v>
      </c>
      <c r="AN106" s="4">
        <f ca="1">ROUND(T_Tiktok_ads[[#This Row],[video_watch_25]]*RANDBETWEEN(8,12)/10,0)</f>
        <v>118587</v>
      </c>
      <c r="AO106" s="4">
        <f ca="1">ROUND(T_Tiktok_ads[[#This Row],[video_watch_50]]*RANDBETWEEN(8,12)/10,0)</f>
        <v>128957</v>
      </c>
      <c r="AP106" s="4">
        <f ca="1">ROUND(T_Tiktok_ads[[#This Row],[video_watch_75]]*RANDBETWEEN(8,12)/10,0)</f>
        <v>82757</v>
      </c>
      <c r="AQ106" s="4">
        <f ca="1">ROUND(T_Tiktok_ads[[#This Row],[video_watch_100]]*RANDBETWEEN(8,12)/10,0)</f>
        <v>54947</v>
      </c>
      <c r="AR106" s="4">
        <f ca="1">ROUND(T_Tiktok_ads[[#This Row],[likes]]*RANDBETWEEN(8,12)/10,0)</f>
        <v>7710</v>
      </c>
      <c r="AS106" s="4">
        <f ca="1">ROUND(T_Tiktok_ads[[#This Row],[shares]]*RANDBETWEEN(8,12)/10,0)</f>
        <v>2814</v>
      </c>
      <c r="AT106" s="4">
        <f ca="1">ROUND(T_Tiktok_ads[[#This Row],[comments]]*RANDBETWEEN(8,12)/10,0)</f>
        <v>454</v>
      </c>
      <c r="AV106" s="5">
        <f t="shared" ca="1" si="17"/>
        <v>45113</v>
      </c>
      <c r="AW106">
        <f t="shared" ca="1" si="13"/>
        <v>3</v>
      </c>
      <c r="AX106">
        <f ca="1">ROUND(T_Facebook_Ads11596367717579[[#This Row],[impressions]]*RANDBETWEEN(8,12)/10,0)</f>
        <v>47829</v>
      </c>
      <c r="AY106">
        <f ca="1">ROUND(T_Facebook_Ads11596367717579[[#This Row],[clicks]]*RANDBETWEEN(8,12)/10,0)</f>
        <v>1201</v>
      </c>
      <c r="AZ106">
        <f ca="1">T_Facebook_Ads11596367717579[[#This Row],[spend]]*RANDBETWEEN(8,12)/10</f>
        <v>293.32799999999997</v>
      </c>
      <c r="BA106">
        <f ca="1">ROUND(T_Facebook_Ads11596367717579[[#This Row],[conversions]]*RANDBETWEEN(8,12)/10,0)</f>
        <v>37</v>
      </c>
      <c r="BB106">
        <f ca="1">ROUND(T_Facebook_Ads11596367717579[[#This Row],[video_views]]*RANDBETWEEN(8,12)/10,0)</f>
        <v>5146</v>
      </c>
    </row>
    <row r="107" spans="1:54" ht="15.75" thickBot="1" x14ac:dyDescent="0.3">
      <c r="A107" s="3">
        <f t="shared" ca="1" si="14"/>
        <v>45126</v>
      </c>
      <c r="B107" s="4" t="s">
        <v>64</v>
      </c>
      <c r="C107" s="4" t="s">
        <v>65</v>
      </c>
      <c r="D107" s="4" t="s">
        <v>66</v>
      </c>
      <c r="E107" s="4" t="s">
        <v>67</v>
      </c>
      <c r="F107" s="4">
        <f ca="1">ROUND(T_Facebook_Ads[[#This Row],[impressions]]*RANDBETWEEN(8,12)/10,0)</f>
        <v>55654</v>
      </c>
      <c r="G107" s="4">
        <v>253</v>
      </c>
      <c r="H107" s="4">
        <f ca="1">T_Facebook_Ads[[#This Row],[spend]]*RANDBETWEEN(8,12)/10</f>
        <v>88.7</v>
      </c>
      <c r="I107" s="4">
        <f ca="1">ROUND(T_Facebook_Ads[[#This Row],[conversions]]*RANDBETWEEN(8,12)/10,0)</f>
        <v>7</v>
      </c>
      <c r="J107" s="4">
        <f ca="1">ROUND(T_Facebook_Ads[[#This Row],[video_views]]*RANDBETWEEN(8,12)/10,0)</f>
        <v>42201</v>
      </c>
      <c r="K107" s="4">
        <f ca="1">T_Facebook_Ads[[#This Row],[engagement_rate]]*RANDBETWEEN(8,12)/10</f>
        <v>4.3200000000000001E-3</v>
      </c>
      <c r="L107" s="4">
        <f ca="1">ROUND(T_Facebook_Ads[[#This Row],[reach]]*RANDBETWEEN(8,12)/10,0)</f>
        <v>51411</v>
      </c>
      <c r="M107" s="4">
        <f ca="1">T_Facebook_Ads[[#This Row],[frequency]]*RANDBETWEEN(8,12)/10</f>
        <v>1.3420000000000001</v>
      </c>
      <c r="O107" s="3">
        <f t="shared" ca="1" si="15"/>
        <v>45131</v>
      </c>
      <c r="P107" s="4" t="s">
        <v>88</v>
      </c>
      <c r="Q107" s="4" t="s">
        <v>89</v>
      </c>
      <c r="R107" s="4" t="s">
        <v>90</v>
      </c>
      <c r="S107" s="4" t="s">
        <v>59</v>
      </c>
      <c r="T107" s="4">
        <f ca="1">ROUND(_Google_ads[[#This Row],[impressions]]*RANDBETWEEN(8,12)/10,0)</f>
        <v>118111</v>
      </c>
      <c r="U107" s="4">
        <f ca="1">ROUND(_Google_ads[[#This Row],[clicks]]*RANDBETWEEN(8,12)/10,0)</f>
        <v>420</v>
      </c>
      <c r="V107" s="4">
        <f ca="1">_Google_ads[[#This Row],[cost]]*RANDBETWEEN(8,12)/10</f>
        <v>141.79000000000002</v>
      </c>
      <c r="W107" s="4">
        <f ca="1">ROUND(_Google_ads[[#This Row],[conversions]]*RANDBETWEEN(8,12)/10,0)</f>
        <v>10</v>
      </c>
      <c r="X107" s="4">
        <f ca="1">ROUND(_Google_ads[[#This Row],[conversion_value]]*RANDBETWEEN(8,12)/10,0)</f>
        <v>780</v>
      </c>
      <c r="Y107" s="4">
        <f ca="1">_Google_ads[[#This Row],[ctr]]*RANDBETWEEN(8,12)/10</f>
        <v>2.8799999999999997E-3</v>
      </c>
      <c r="Z107" s="4">
        <f ca="1">_Google_ads[[#This Row],[avg_cpc]]*RANDBETWEEN(8,12)/10</f>
        <v>0.28000000000000003</v>
      </c>
      <c r="AA107" s="4">
        <f ca="1">ROUND(_Google_ads[[#This Row],[quality_score]]*RANDBETWEEN(8,12)/10,0)</f>
        <v>6</v>
      </c>
      <c r="AB107" s="4">
        <f ca="1">_Google_ads[[#This Row],[search_impression_share]]*RANDBETWEEN(8,12)/10</f>
        <v>0.40800000000000003</v>
      </c>
      <c r="AD107" s="3">
        <f t="shared" ca="1" si="16"/>
        <v>45110</v>
      </c>
      <c r="AE107" s="4" t="s">
        <v>112</v>
      </c>
      <c r="AF107" s="4" t="s">
        <v>113</v>
      </c>
      <c r="AG107" s="4" t="s">
        <v>114</v>
      </c>
      <c r="AH107" s="4" t="s">
        <v>115</v>
      </c>
      <c r="AI107" s="4">
        <f ca="1">ROUND(T_Tiktok_ads[[#This Row],[impressions]]*RANDBETWEEN(8,12)/10,0)</f>
        <v>381110</v>
      </c>
      <c r="AJ107" s="4">
        <f ca="1">ROUND(T_Tiktok_ads[[#This Row],[clicks]]*RANDBETWEEN(8,12)/10,0)</f>
        <v>8268</v>
      </c>
      <c r="AK107" s="4">
        <v>1056.8</v>
      </c>
      <c r="AL107" s="4">
        <f ca="1">ROUND(T_Tiktok_ads[[#This Row],[conversions]]*RANDBETWEEN(8,12)/10,0)</f>
        <v>128</v>
      </c>
      <c r="AM107" s="4">
        <f ca="1">ROUND(T_Tiktok_ads[[#This Row],[video_views]]*RANDBETWEEN(8,12)/10,0)</f>
        <v>321110</v>
      </c>
      <c r="AN107" s="4">
        <f ca="1">ROUND(T_Tiktok_ads[[#This Row],[video_watch_25]]*RANDBETWEEN(8,12)/10,0)</f>
        <v>231387</v>
      </c>
      <c r="AO107" s="4">
        <f ca="1">ROUND(T_Tiktok_ads[[#This Row],[video_watch_50]]*RANDBETWEEN(8,12)/10,0)</f>
        <v>277747</v>
      </c>
      <c r="AP107" s="4">
        <f ca="1">ROUND(T_Tiktok_ads[[#This Row],[video_watch_75]]*RANDBETWEEN(8,12)/10,0)</f>
        <v>148110</v>
      </c>
      <c r="AQ107" s="4">
        <f ca="1">ROUND(T_Tiktok_ads[[#This Row],[video_watch_100]]*RANDBETWEEN(8,12)/10,0)</f>
        <v>131081</v>
      </c>
      <c r="AR107" s="4">
        <f ca="1">ROUND(T_Tiktok_ads[[#This Row],[likes]]*RANDBETWEEN(8,12)/10,0)</f>
        <v>18890</v>
      </c>
      <c r="AS107" s="4">
        <f ca="1">ROUND(T_Tiktok_ads[[#This Row],[shares]]*RANDBETWEEN(8,12)/10,0)</f>
        <v>6002</v>
      </c>
      <c r="AT107" s="4">
        <f ca="1">ROUND(T_Tiktok_ads[[#This Row],[comments]]*RANDBETWEEN(8,12)/10,0)</f>
        <v>1787</v>
      </c>
      <c r="AV107" s="5">
        <f t="shared" ca="1" si="17"/>
        <v>45112</v>
      </c>
      <c r="AW107">
        <f t="shared" ca="1" si="13"/>
        <v>7</v>
      </c>
      <c r="AX107">
        <f ca="1">ROUND(T_Facebook_Ads11596367717579[[#This Row],[impressions]]*RANDBETWEEN(8,12)/10,0)</f>
        <v>44523</v>
      </c>
      <c r="AY107">
        <f ca="1">ROUND(T_Facebook_Ads11596367717579[[#This Row],[clicks]]*RANDBETWEEN(8,12)/10,0)</f>
        <v>278</v>
      </c>
      <c r="AZ107">
        <f ca="1">T_Facebook_Ads11596367717579[[#This Row],[spend]]*RANDBETWEEN(8,12)/10</f>
        <v>79.830000000000013</v>
      </c>
      <c r="BA107">
        <f ca="1">ROUND(T_Facebook_Ads11596367717579[[#This Row],[conversions]]*RANDBETWEEN(8,12)/10,0)</f>
        <v>7</v>
      </c>
      <c r="BB107">
        <f ca="1">ROUND(T_Facebook_Ads11596367717579[[#This Row],[video_views]]*RANDBETWEEN(8,12)/10,0)</f>
        <v>42201</v>
      </c>
    </row>
    <row r="108" spans="1:54" ht="15.75" thickBot="1" x14ac:dyDescent="0.3">
      <c r="A108" s="3">
        <f t="shared" ca="1" si="14"/>
        <v>45111</v>
      </c>
      <c r="B108" s="4" t="s">
        <v>52</v>
      </c>
      <c r="C108" s="4" t="s">
        <v>53</v>
      </c>
      <c r="D108" s="4" t="s">
        <v>54</v>
      </c>
      <c r="E108" s="4" t="s">
        <v>55</v>
      </c>
      <c r="F108" s="4">
        <f ca="1">ROUND(T_Facebook_Ads[[#This Row],[impressions]]*RANDBETWEEN(8,12)/10,0)</f>
        <v>54157</v>
      </c>
      <c r="G108" s="4">
        <v>1001</v>
      </c>
      <c r="H108" s="4">
        <f ca="1">T_Facebook_Ads[[#This Row],[spend]]*RANDBETWEEN(8,12)/10</f>
        <v>128.52000000000001</v>
      </c>
      <c r="I108" s="4">
        <f ca="1">ROUND(T_Facebook_Ads[[#This Row],[conversions]]*RANDBETWEEN(8,12)/10,0)</f>
        <v>16</v>
      </c>
      <c r="J108" s="4">
        <f ca="1">ROUND(T_Facebook_Ads[[#This Row],[video_views]]*RANDBETWEEN(8,12)/10,0)</f>
        <v>9012</v>
      </c>
      <c r="K108" s="4">
        <f ca="1">T_Facebook_Ads[[#This Row],[engagement_rate]]*RANDBETWEEN(8,12)/10</f>
        <v>2.0299999999999999E-2</v>
      </c>
      <c r="L108" s="4">
        <f ca="1">ROUND(T_Facebook_Ads[[#This Row],[reach]]*RANDBETWEEN(8,12)/10,0)</f>
        <v>33254</v>
      </c>
      <c r="M108" s="4">
        <f ca="1">T_Facebook_Ads[[#This Row],[frequency]]*RANDBETWEEN(8,12)/10</f>
        <v>1.2979999999999998</v>
      </c>
      <c r="O108" s="3">
        <f t="shared" ca="1" si="15"/>
        <v>45136</v>
      </c>
      <c r="P108" s="4" t="s">
        <v>76</v>
      </c>
      <c r="Q108" s="4" t="s">
        <v>77</v>
      </c>
      <c r="R108" s="4" t="s">
        <v>78</v>
      </c>
      <c r="S108" s="4" t="s">
        <v>79</v>
      </c>
      <c r="T108" s="4">
        <f ca="1">ROUND(_Google_ads[[#This Row],[impressions]]*RANDBETWEEN(8,12)/10,0)</f>
        <v>20365</v>
      </c>
      <c r="U108" s="4">
        <f ca="1">ROUND(_Google_ads[[#This Row],[clicks]]*RANDBETWEEN(8,12)/10,0)</f>
        <v>1467</v>
      </c>
      <c r="V108" s="4">
        <f ca="1">_Google_ads[[#This Row],[cost]]*RANDBETWEEN(8,12)/10</f>
        <v>280.06</v>
      </c>
      <c r="W108" s="4">
        <f ca="1">ROUND(_Google_ads[[#This Row],[conversions]]*RANDBETWEEN(8,12)/10,0)</f>
        <v>40</v>
      </c>
      <c r="X108" s="4">
        <f ca="1">ROUND(_Google_ads[[#This Row],[conversion_value]]*RANDBETWEEN(8,12)/10,0)</f>
        <v>2750</v>
      </c>
      <c r="Y108" s="4">
        <f ca="1">_Google_ads[[#This Row],[ctr]]*RANDBETWEEN(8,12)/10</f>
        <v>4.7160000000000001E-2</v>
      </c>
      <c r="Z108" s="4">
        <f ca="1">_Google_ads[[#This Row],[avg_cpc]]*RANDBETWEEN(8,12)/10</f>
        <v>0.19</v>
      </c>
      <c r="AA108" s="4">
        <f ca="1">ROUND(_Google_ads[[#This Row],[quality_score]]*RANDBETWEEN(8,12)/10,0)</f>
        <v>11</v>
      </c>
      <c r="AB108" s="4">
        <f ca="1">_Google_ads[[#This Row],[search_impression_share]]*RANDBETWEEN(8,12)/10</f>
        <v>0.92000000000000015</v>
      </c>
      <c r="AD108" s="3">
        <f t="shared" ca="1" si="16"/>
        <v>45123</v>
      </c>
      <c r="AE108" s="4" t="s">
        <v>100</v>
      </c>
      <c r="AF108" s="4" t="s">
        <v>101</v>
      </c>
      <c r="AG108" s="4" t="s">
        <v>102</v>
      </c>
      <c r="AH108" s="4" t="s">
        <v>103</v>
      </c>
      <c r="AI108" s="4">
        <f ca="1">ROUND(T_Tiktok_ads[[#This Row],[impressions]]*RANDBETWEEN(8,12)/10,0)</f>
        <v>266110</v>
      </c>
      <c r="AJ108" s="4">
        <f ca="1">ROUND(T_Tiktok_ads[[#This Row],[clicks]]*RANDBETWEEN(8,12)/10,0)</f>
        <v>4345</v>
      </c>
      <c r="AK108" s="4">
        <v>573.20000000000005</v>
      </c>
      <c r="AL108" s="4">
        <f ca="1">ROUND(T_Tiktok_ads[[#This Row],[conversions]]*RANDBETWEEN(8,12)/10,0)</f>
        <v>48</v>
      </c>
      <c r="AM108" s="4">
        <f ca="1">ROUND(T_Tiktok_ads[[#This Row],[video_views]]*RANDBETWEEN(8,12)/10,0)</f>
        <v>265357</v>
      </c>
      <c r="AN108" s="4">
        <f ca="1">ROUND(T_Tiktok_ads[[#This Row],[video_watch_25]]*RANDBETWEEN(8,12)/10,0)</f>
        <v>188234</v>
      </c>
      <c r="AO108" s="4">
        <f ca="1">ROUND(T_Tiktok_ads[[#This Row],[video_watch_50]]*RANDBETWEEN(8,12)/10,0)</f>
        <v>106101</v>
      </c>
      <c r="AP108" s="4">
        <f ca="1">ROUND(T_Tiktok_ads[[#This Row],[video_watch_75]]*RANDBETWEEN(8,12)/10,0)</f>
        <v>95081</v>
      </c>
      <c r="AQ108" s="4">
        <f ca="1">ROUND(T_Tiktok_ads[[#This Row],[video_watch_100]]*RANDBETWEEN(8,12)/10,0)</f>
        <v>58068</v>
      </c>
      <c r="AR108" s="4">
        <f ca="1">ROUND(T_Tiktok_ads[[#This Row],[likes]]*RANDBETWEEN(8,12)/10,0)</f>
        <v>11624</v>
      </c>
      <c r="AS108" s="4">
        <f ca="1">ROUND(T_Tiktok_ads[[#This Row],[shares]]*RANDBETWEEN(8,12)/10,0)</f>
        <v>3427</v>
      </c>
      <c r="AT108" s="4">
        <f ca="1">ROUND(T_Tiktok_ads[[#This Row],[comments]]*RANDBETWEEN(8,12)/10,0)</f>
        <v>534</v>
      </c>
      <c r="AV108" s="5">
        <f t="shared" ca="1" si="17"/>
        <v>45129</v>
      </c>
      <c r="AW108">
        <f t="shared" ca="1" si="13"/>
        <v>3</v>
      </c>
      <c r="AX108">
        <f ca="1">ROUND(T_Facebook_Ads11596367717579[[#This Row],[impressions]]*RANDBETWEEN(8,12)/10,0)</f>
        <v>43326</v>
      </c>
      <c r="AY108">
        <f ca="1">ROUND(T_Facebook_Ads11596367717579[[#This Row],[clicks]]*RANDBETWEEN(8,12)/10,0)</f>
        <v>1001</v>
      </c>
      <c r="AZ108">
        <f ca="1">T_Facebook_Ads11596367717579[[#This Row],[spend]]*RANDBETWEEN(8,12)/10</f>
        <v>141.37200000000001</v>
      </c>
      <c r="BA108">
        <f ca="1">ROUND(T_Facebook_Ads11596367717579[[#This Row],[conversions]]*RANDBETWEEN(8,12)/10,0)</f>
        <v>18</v>
      </c>
      <c r="BB108">
        <f ca="1">ROUND(T_Facebook_Ads11596367717579[[#This Row],[video_views]]*RANDBETWEEN(8,12)/10,0)</f>
        <v>9913</v>
      </c>
    </row>
    <row r="109" spans="1:54" ht="15.75" thickBot="1" x14ac:dyDescent="0.3">
      <c r="A109" s="3">
        <f t="shared" ca="1" si="14"/>
        <v>45122</v>
      </c>
      <c r="B109" s="4" t="s">
        <v>56</v>
      </c>
      <c r="C109" s="4" t="s">
        <v>57</v>
      </c>
      <c r="D109" s="4" t="s">
        <v>58</v>
      </c>
      <c r="E109" s="4" t="s">
        <v>59</v>
      </c>
      <c r="F109" s="4">
        <f ca="1">ROUND(T_Facebook_Ads[[#This Row],[impressions]]*RANDBETWEEN(8,12)/10,0)</f>
        <v>16948</v>
      </c>
      <c r="G109" s="4">
        <v>645</v>
      </c>
      <c r="H109" s="4">
        <f ca="1">T_Facebook_Ads[[#This Row],[spend]]*RANDBETWEEN(8,12)/10</f>
        <v>284.28000000000003</v>
      </c>
      <c r="I109" s="4">
        <f ca="1">ROUND(T_Facebook_Ads[[#This Row],[conversions]]*RANDBETWEEN(8,12)/10,0)</f>
        <v>49</v>
      </c>
      <c r="J109" s="4">
        <f ca="1">ROUND(T_Facebook_Ads[[#This Row],[video_views]]*RANDBETWEEN(8,12)/10,0)</f>
        <v>1138</v>
      </c>
      <c r="K109" s="4">
        <f ca="1">T_Facebook_Ads[[#This Row],[engagement_rate]]*RANDBETWEEN(8,12)/10</f>
        <v>5.0269999999999995E-2</v>
      </c>
      <c r="L109" s="4">
        <f ca="1">ROUND(T_Facebook_Ads[[#This Row],[reach]]*RANDBETWEEN(8,12)/10,0)</f>
        <v>13348</v>
      </c>
      <c r="M109" s="4">
        <f ca="1">T_Facebook_Ads[[#This Row],[frequency]]*RANDBETWEEN(8,12)/10</f>
        <v>1.524</v>
      </c>
      <c r="O109" s="3">
        <f t="shared" ca="1" si="15"/>
        <v>45124</v>
      </c>
      <c r="P109" s="4" t="s">
        <v>80</v>
      </c>
      <c r="Q109" s="4" t="s">
        <v>81</v>
      </c>
      <c r="R109" s="4" t="s">
        <v>82</v>
      </c>
      <c r="S109" s="4" t="s">
        <v>83</v>
      </c>
      <c r="T109" s="4">
        <f ca="1">ROUND(_Google_ads[[#This Row],[impressions]]*RANDBETWEEN(8,12)/10,0)</f>
        <v>36712</v>
      </c>
      <c r="U109" s="4">
        <f ca="1">ROUND(_Google_ads[[#This Row],[clicks]]*RANDBETWEEN(8,12)/10,0)</f>
        <v>730</v>
      </c>
      <c r="V109" s="4">
        <f ca="1">_Google_ads[[#This Row],[cost]]*RANDBETWEEN(8,12)/10</f>
        <v>705.24</v>
      </c>
      <c r="W109" s="4">
        <f ca="1">ROUND(_Google_ads[[#This Row],[conversions]]*RANDBETWEEN(8,12)/10,0)</f>
        <v>19</v>
      </c>
      <c r="X109" s="4">
        <f ca="1">ROUND(_Google_ads[[#This Row],[conversion_value]]*RANDBETWEEN(8,12)/10,0)</f>
        <v>960</v>
      </c>
      <c r="Y109" s="4">
        <f ca="1">_Google_ads[[#This Row],[ctr]]*RANDBETWEEN(8,12)/10</f>
        <v>1.7910000000000002E-2</v>
      </c>
      <c r="Z109" s="4">
        <f ca="1">_Google_ads[[#This Row],[avg_cpc]]*RANDBETWEEN(8,12)/10</f>
        <v>0.76800000000000002</v>
      </c>
      <c r="AA109" s="4">
        <f ca="1">ROUND(_Google_ads[[#This Row],[quality_score]]*RANDBETWEEN(8,12)/10,0)</f>
        <v>8</v>
      </c>
      <c r="AB109" s="4">
        <f ca="1">_Google_ads[[#This Row],[search_impression_share]]*RANDBETWEEN(8,12)/10</f>
        <v>0.54</v>
      </c>
      <c r="AD109" s="3">
        <f t="shared" ca="1" si="16"/>
        <v>45133</v>
      </c>
      <c r="AE109" s="4" t="s">
        <v>104</v>
      </c>
      <c r="AF109" s="4" t="s">
        <v>105</v>
      </c>
      <c r="AG109" s="4" t="s">
        <v>106</v>
      </c>
      <c r="AH109" s="4" t="s">
        <v>107</v>
      </c>
      <c r="AI109" s="4">
        <f ca="1">ROUND(T_Tiktok_ads[[#This Row],[impressions]]*RANDBETWEEN(8,12)/10,0)</f>
        <v>177357</v>
      </c>
      <c r="AJ109" s="4">
        <f ca="1">ROUND(T_Tiktok_ads[[#This Row],[clicks]]*RANDBETWEEN(8,12)/10,0)</f>
        <v>2780</v>
      </c>
      <c r="AK109" s="4">
        <v>823.7</v>
      </c>
      <c r="AL109" s="4">
        <f ca="1">ROUND(T_Tiktok_ads[[#This Row],[conversions]]*RANDBETWEEN(8,12)/10,0)</f>
        <v>83</v>
      </c>
      <c r="AM109" s="4">
        <f ca="1">ROUND(T_Tiktok_ads[[#This Row],[video_views]]*RANDBETWEEN(8,12)/10,0)</f>
        <v>102110</v>
      </c>
      <c r="AN109" s="4">
        <f ca="1">ROUND(T_Tiktok_ads[[#This Row],[video_watch_25]]*RANDBETWEEN(8,12)/10,0)</f>
        <v>66854</v>
      </c>
      <c r="AO109" s="4">
        <f ca="1">ROUND(T_Tiktok_ads[[#This Row],[video_watch_50]]*RANDBETWEEN(8,12)/10,0)</f>
        <v>61857</v>
      </c>
      <c r="AP109" s="4">
        <f ca="1">ROUND(T_Tiktok_ads[[#This Row],[video_watch_75]]*RANDBETWEEN(8,12)/10,0)</f>
        <v>42345</v>
      </c>
      <c r="AQ109" s="4">
        <f ca="1">ROUND(T_Tiktok_ads[[#This Row],[video_watch_100]]*RANDBETWEEN(8,12)/10,0)</f>
        <v>31057</v>
      </c>
      <c r="AR109" s="4">
        <f ca="1">ROUND(T_Tiktok_ads[[#This Row],[likes]]*RANDBETWEEN(8,12)/10,0)</f>
        <v>5523</v>
      </c>
      <c r="AS109" s="4">
        <f ca="1">ROUND(T_Tiktok_ads[[#This Row],[shares]]*RANDBETWEEN(8,12)/10,0)</f>
        <v>1907</v>
      </c>
      <c r="AT109" s="4">
        <f ca="1">ROUND(T_Tiktok_ads[[#This Row],[comments]]*RANDBETWEEN(8,12)/10,0)</f>
        <v>301</v>
      </c>
      <c r="AV109" s="5">
        <f t="shared" ca="1" si="17"/>
        <v>45117</v>
      </c>
      <c r="AW109">
        <f t="shared" ca="1" si="13"/>
        <v>6</v>
      </c>
      <c r="AX109">
        <f ca="1">ROUND(T_Facebook_Ads11596367717579[[#This Row],[impressions]]*RANDBETWEEN(8,12)/10,0)</f>
        <v>18643</v>
      </c>
      <c r="AY109">
        <f ca="1">ROUND(T_Facebook_Ads11596367717579[[#This Row],[clicks]]*RANDBETWEEN(8,12)/10,0)</f>
        <v>710</v>
      </c>
      <c r="AZ109">
        <f ca="1">T_Facebook_Ads11596367717579[[#This Row],[spend]]*RANDBETWEEN(8,12)/10</f>
        <v>284.28000000000003</v>
      </c>
      <c r="BA109">
        <f ca="1">ROUND(T_Facebook_Ads11596367717579[[#This Row],[conversions]]*RANDBETWEEN(8,12)/10,0)</f>
        <v>49</v>
      </c>
      <c r="BB109">
        <f ca="1">ROUND(T_Facebook_Ads11596367717579[[#This Row],[video_views]]*RANDBETWEEN(8,12)/10,0)</f>
        <v>1366</v>
      </c>
    </row>
    <row r="110" spans="1:54" ht="15.75" thickBot="1" x14ac:dyDescent="0.3">
      <c r="A110" s="3">
        <f t="shared" ca="1" si="14"/>
        <v>45116</v>
      </c>
      <c r="B110" s="4" t="s">
        <v>60</v>
      </c>
      <c r="C110" s="4" t="s">
        <v>61</v>
      </c>
      <c r="D110" s="4" t="s">
        <v>62</v>
      </c>
      <c r="E110" s="4" t="s">
        <v>63</v>
      </c>
      <c r="F110" s="4">
        <f ca="1">ROUND(T_Facebook_Ads[[#This Row],[impressions]]*RANDBETWEEN(8,12)/10,0)</f>
        <v>34101</v>
      </c>
      <c r="G110" s="4">
        <v>1412</v>
      </c>
      <c r="H110" s="4">
        <f ca="1">T_Facebook_Ads[[#This Row],[spend]]*RANDBETWEEN(8,12)/10</f>
        <v>194.85</v>
      </c>
      <c r="I110" s="4">
        <f ca="1">ROUND(T_Facebook_Ads[[#This Row],[conversions]]*RANDBETWEEN(8,12)/10,0)</f>
        <v>33</v>
      </c>
      <c r="J110" s="4">
        <f ca="1">ROUND(T_Facebook_Ads[[#This Row],[video_views]]*RANDBETWEEN(8,12)/10,0)</f>
        <v>5452</v>
      </c>
      <c r="K110" s="4">
        <f ca="1">T_Facebook_Ads[[#This Row],[engagement_rate]]*RANDBETWEEN(8,12)/10</f>
        <v>4.4760000000000001E-2</v>
      </c>
      <c r="L110" s="4">
        <f ca="1">ROUND(T_Facebook_Ads[[#This Row],[reach]]*RANDBETWEEN(8,12)/10,0)</f>
        <v>33979</v>
      </c>
      <c r="M110" s="4">
        <f ca="1">T_Facebook_Ads[[#This Row],[frequency]]*RANDBETWEEN(8,12)/10</f>
        <v>1.476</v>
      </c>
      <c r="O110" s="3">
        <f t="shared" ca="1" si="15"/>
        <v>45109</v>
      </c>
      <c r="P110" s="4" t="s">
        <v>84</v>
      </c>
      <c r="Q110" s="4" t="s">
        <v>85</v>
      </c>
      <c r="R110" s="4" t="s">
        <v>86</v>
      </c>
      <c r="S110" s="4" t="s">
        <v>87</v>
      </c>
      <c r="T110" s="4">
        <f ca="1">ROUND(_Google_ads[[#This Row],[impressions]]*RANDBETWEEN(8,12)/10,0)</f>
        <v>77257</v>
      </c>
      <c r="U110" s="4">
        <f ca="1">ROUND(_Google_ads[[#This Row],[clicks]]*RANDBETWEEN(8,12)/10,0)</f>
        <v>2840</v>
      </c>
      <c r="V110" s="4">
        <f ca="1">_Google_ads[[#This Row],[cost]]*RANDBETWEEN(8,12)/10</f>
        <v>345.68</v>
      </c>
      <c r="W110" s="4">
        <f ca="1">ROUND(_Google_ads[[#This Row],[conversions]]*RANDBETWEEN(8,12)/10,0)</f>
        <v>68</v>
      </c>
      <c r="X110" s="4">
        <f ca="1">ROUND(_Google_ads[[#This Row],[conversion_value]]*RANDBETWEEN(8,12)/10,0)</f>
        <v>3060</v>
      </c>
      <c r="Y110" s="4">
        <f ca="1">_Google_ads[[#This Row],[ctr]]*RANDBETWEEN(8,12)/10</f>
        <v>3.7070000000000006E-2</v>
      </c>
      <c r="Z110" s="4">
        <f ca="1">_Google_ads[[#This Row],[avg_cpc]]*RANDBETWEEN(8,12)/10</f>
        <v>0.21600000000000003</v>
      </c>
      <c r="AA110" s="4">
        <f ca="1">ROUND(_Google_ads[[#This Row],[quality_score]]*RANDBETWEEN(8,12)/10,0)</f>
        <v>7</v>
      </c>
      <c r="AB110" s="4">
        <f ca="1">_Google_ads[[#This Row],[search_impression_share]]*RANDBETWEEN(8,12)/10</f>
        <v>0.80400000000000005</v>
      </c>
      <c r="AD110" s="3">
        <f t="shared" ca="1" si="16"/>
        <v>45108</v>
      </c>
      <c r="AE110" s="4" t="s">
        <v>108</v>
      </c>
      <c r="AF110" s="4" t="s">
        <v>109</v>
      </c>
      <c r="AG110" s="4" t="s">
        <v>110</v>
      </c>
      <c r="AH110" s="4" t="s">
        <v>111</v>
      </c>
      <c r="AI110" s="4">
        <f ca="1">ROUND(T_Tiktok_ads[[#This Row],[impressions]]*RANDBETWEEN(8,12)/10,0)</f>
        <v>301481</v>
      </c>
      <c r="AJ110" s="4">
        <f ca="1">ROUND(T_Tiktok_ads[[#This Row],[clicks]]*RANDBETWEEN(8,12)/10,0)</f>
        <v>4364</v>
      </c>
      <c r="AK110" s="4">
        <v>481.5</v>
      </c>
      <c r="AL110" s="4">
        <f ca="1">ROUND(T_Tiktok_ads[[#This Row],[conversions]]*RANDBETWEEN(8,12)/10,0)</f>
        <v>32</v>
      </c>
      <c r="AM110" s="4">
        <f ca="1">ROUND(T_Tiktok_ads[[#This Row],[video_views]]*RANDBETWEEN(8,12)/10,0)</f>
        <v>218791</v>
      </c>
      <c r="AN110" s="4">
        <f ca="1">ROUND(T_Tiktok_ads[[#This Row],[video_watch_25]]*RANDBETWEEN(8,12)/10,0)</f>
        <v>165624</v>
      </c>
      <c r="AO110" s="4">
        <f ca="1">ROUND(T_Tiktok_ads[[#This Row],[video_watch_50]]*RANDBETWEEN(8,12)/10,0)</f>
        <v>131157</v>
      </c>
      <c r="AP110" s="4">
        <f ca="1">ROUND(T_Tiktok_ads[[#This Row],[video_watch_75]]*RANDBETWEEN(8,12)/10,0)</f>
        <v>84579</v>
      </c>
      <c r="AQ110" s="4">
        <f ca="1">ROUND(T_Tiktok_ads[[#This Row],[video_watch_100]]*RANDBETWEEN(8,12)/10,0)</f>
        <v>55880</v>
      </c>
      <c r="AR110" s="4">
        <f ca="1">ROUND(T_Tiktok_ads[[#This Row],[likes]]*RANDBETWEEN(8,12)/10,0)</f>
        <v>6942</v>
      </c>
      <c r="AS110" s="4">
        <f ca="1">ROUND(T_Tiktok_ads[[#This Row],[shares]]*RANDBETWEEN(8,12)/10,0)</f>
        <v>2616</v>
      </c>
      <c r="AT110" s="4">
        <f ca="1">ROUND(T_Tiktok_ads[[#This Row],[comments]]*RANDBETWEEN(8,12)/10,0)</f>
        <v>500</v>
      </c>
      <c r="AV110" s="5">
        <f t="shared" ca="1" si="17"/>
        <v>45131</v>
      </c>
      <c r="AW110">
        <f t="shared" ca="1" si="13"/>
        <v>2</v>
      </c>
      <c r="AX110">
        <f ca="1">ROUND(T_Facebook_Ads11596367717579[[#This Row],[impressions]]*RANDBETWEEN(8,12)/10,0)</f>
        <v>30691</v>
      </c>
      <c r="AY110">
        <f ca="1">ROUND(T_Facebook_Ads11596367717579[[#This Row],[clicks]]*RANDBETWEEN(8,12)/10,0)</f>
        <v>1694</v>
      </c>
      <c r="AZ110">
        <f ca="1">T_Facebook_Ads11596367717579[[#This Row],[spend]]*RANDBETWEEN(8,12)/10</f>
        <v>155.88</v>
      </c>
      <c r="BA110">
        <f ca="1">ROUND(T_Facebook_Ads11596367717579[[#This Row],[conversions]]*RANDBETWEEN(8,12)/10,0)</f>
        <v>36</v>
      </c>
      <c r="BB110">
        <f ca="1">ROUND(T_Facebook_Ads11596367717579[[#This Row],[video_views]]*RANDBETWEEN(8,12)/10,0)</f>
        <v>5452</v>
      </c>
    </row>
    <row r="111" spans="1:54" x14ac:dyDescent="0.25">
      <c r="A111" s="3">
        <f t="shared" ca="1" si="14"/>
        <v>45113</v>
      </c>
      <c r="B111" s="4" t="s">
        <v>64</v>
      </c>
      <c r="C111" s="4" t="s">
        <v>65</v>
      </c>
      <c r="D111" s="4" t="s">
        <v>66</v>
      </c>
      <c r="E111" s="4" t="s">
        <v>67</v>
      </c>
      <c r="F111" s="4">
        <f ca="1">ROUND(T_Facebook_Ads[[#This Row],[impressions]]*RANDBETWEEN(8,12)/10,0)</f>
        <v>64911</v>
      </c>
      <c r="G111" s="4">
        <v>261</v>
      </c>
      <c r="H111" s="4">
        <f ca="1">T_Facebook_Ads[[#This Row],[spend]]*RANDBETWEEN(8,12)/10</f>
        <v>82.169999999999987</v>
      </c>
      <c r="I111" s="4">
        <f ca="1">ROUND(T_Facebook_Ads[[#This Row],[conversions]]*RANDBETWEEN(8,12)/10,0)</f>
        <v>6</v>
      </c>
      <c r="J111" s="4">
        <f ca="1">ROUND(T_Facebook_Ads[[#This Row],[video_views]]*RANDBETWEEN(8,12)/10,0)</f>
        <v>48567</v>
      </c>
      <c r="K111" s="4">
        <f ca="1">T_Facebook_Ads[[#This Row],[engagement_rate]]*RANDBETWEEN(8,12)/10</f>
        <v>3.96E-3</v>
      </c>
      <c r="L111" s="4">
        <f ca="1">ROUND(T_Facebook_Ads[[#This Row],[reach]]*RANDBETWEEN(8,12)/10,0)</f>
        <v>58890</v>
      </c>
      <c r="M111" s="4">
        <f ca="1">T_Facebook_Ads[[#This Row],[frequency]]*RANDBETWEEN(8,12)/10</f>
        <v>0.97599999999999998</v>
      </c>
      <c r="O111" s="3">
        <f t="shared" ca="1" si="15"/>
        <v>45131</v>
      </c>
      <c r="P111" s="4" t="s">
        <v>88</v>
      </c>
      <c r="Q111" s="4" t="s">
        <v>89</v>
      </c>
      <c r="R111" s="4" t="s">
        <v>90</v>
      </c>
      <c r="S111" s="4" t="s">
        <v>59</v>
      </c>
      <c r="T111" s="4">
        <f ca="1">ROUND(_Google_ads[[#This Row],[impressions]]*RANDBETWEEN(8,12)/10,0)</f>
        <v>133456</v>
      </c>
      <c r="U111" s="4">
        <f ca="1">ROUND(_Google_ads[[#This Row],[clicks]]*RANDBETWEEN(8,12)/10,0)</f>
        <v>574</v>
      </c>
      <c r="V111" s="4">
        <f ca="1">_Google_ads[[#This Row],[cost]]*RANDBETWEEN(8,12)/10</f>
        <v>144.32</v>
      </c>
      <c r="W111" s="4">
        <f ca="1">ROUND(_Google_ads[[#This Row],[conversions]]*RANDBETWEEN(8,12)/10,0)</f>
        <v>13</v>
      </c>
      <c r="X111" s="4">
        <f ca="1">ROUND(_Google_ads[[#This Row],[conversion_value]]*RANDBETWEEN(8,12)/10,0)</f>
        <v>770</v>
      </c>
      <c r="Y111" s="4">
        <f ca="1">_Google_ads[[#This Row],[ctr]]*RANDBETWEEN(8,12)/10</f>
        <v>3.96E-3</v>
      </c>
      <c r="Z111" s="4">
        <f ca="1">_Google_ads[[#This Row],[avg_cpc]]*RANDBETWEEN(8,12)/10</f>
        <v>0.21600000000000003</v>
      </c>
      <c r="AA111" s="4">
        <f ca="1">ROUND(_Google_ads[[#This Row],[quality_score]]*RANDBETWEEN(8,12)/10,0)</f>
        <v>7</v>
      </c>
      <c r="AB111" s="4">
        <f ca="1">_Google_ads[[#This Row],[search_impression_share]]*RANDBETWEEN(8,12)/10</f>
        <v>0.38499999999999995</v>
      </c>
      <c r="AD111" s="3">
        <f t="shared" ca="1" si="16"/>
        <v>45136</v>
      </c>
      <c r="AE111" s="4" t="s">
        <v>112</v>
      </c>
      <c r="AF111" s="4" t="s">
        <v>113</v>
      </c>
      <c r="AG111" s="4" t="s">
        <v>114</v>
      </c>
      <c r="AH111" s="4" t="s">
        <v>115</v>
      </c>
      <c r="AI111" s="4">
        <f ca="1">ROUND(T_Tiktok_ads[[#This Row],[impressions]]*RANDBETWEEN(8,12)/10,0)</f>
        <v>521480</v>
      </c>
      <c r="AJ111" s="4">
        <f ca="1">ROUND(T_Tiktok_ads[[#This Row],[clicks]]*RANDBETWEEN(8,12)/10,0)</f>
        <v>7012</v>
      </c>
      <c r="AK111" s="4">
        <v>1089.3</v>
      </c>
      <c r="AL111" s="4">
        <f ca="1">ROUND(T_Tiktok_ads[[#This Row],[conversions]]*RANDBETWEEN(8,12)/10,0)</f>
        <v>109</v>
      </c>
      <c r="AM111" s="4">
        <f ca="1">ROUND(T_Tiktok_ads[[#This Row],[video_views]]*RANDBETWEEN(8,12)/10,0)</f>
        <v>294312</v>
      </c>
      <c r="AN111" s="4">
        <f ca="1">ROUND(T_Tiktok_ads[[#This Row],[video_watch_25]]*RANDBETWEEN(8,12)/10,0)</f>
        <v>325857</v>
      </c>
      <c r="AO111" s="4">
        <f ca="1">ROUND(T_Tiktok_ads[[#This Row],[video_watch_50]]*RANDBETWEEN(8,12)/10,0)</f>
        <v>237890</v>
      </c>
      <c r="AP111" s="4">
        <f ca="1">ROUND(T_Tiktok_ads[[#This Row],[video_watch_75]]*RANDBETWEEN(8,12)/10,0)</f>
        <v>201881</v>
      </c>
      <c r="AQ111" s="4">
        <f ca="1">ROUND(T_Tiktok_ads[[#This Row],[video_watch_100]]*RANDBETWEEN(8,12)/10,0)</f>
        <v>133481</v>
      </c>
      <c r="AR111" s="4">
        <f ca="1">ROUND(T_Tiktok_ads[[#This Row],[likes]]*RANDBETWEEN(8,12)/10,0)</f>
        <v>19234</v>
      </c>
      <c r="AS111" s="4">
        <f ca="1">ROUND(T_Tiktok_ads[[#This Row],[shares]]*RANDBETWEEN(8,12)/10,0)</f>
        <v>4427</v>
      </c>
      <c r="AT111" s="4">
        <f ca="1">ROUND(T_Tiktok_ads[[#This Row],[comments]]*RANDBETWEEN(8,12)/10,0)</f>
        <v>1371</v>
      </c>
      <c r="AV111" s="5">
        <f t="shared" ca="1" si="17"/>
        <v>45120</v>
      </c>
      <c r="AW111">
        <f t="shared" ca="1" si="13"/>
        <v>2</v>
      </c>
      <c r="AX111">
        <f ca="1">ROUND(T_Facebook_Ads11596367717579[[#This Row],[impressions]]*RANDBETWEEN(8,12)/10,0)</f>
        <v>64911</v>
      </c>
      <c r="AY111">
        <f ca="1">ROUND(T_Facebook_Ads11596367717579[[#This Row],[clicks]]*RANDBETWEEN(8,12)/10,0)</f>
        <v>313</v>
      </c>
      <c r="AZ111">
        <f ca="1">T_Facebook_Ads11596367717579[[#This Row],[spend]]*RANDBETWEEN(8,12)/10</f>
        <v>73.952999999999989</v>
      </c>
      <c r="BA111">
        <f ca="1">ROUND(T_Facebook_Ads11596367717579[[#This Row],[conversions]]*RANDBETWEEN(8,12)/10,0)</f>
        <v>5</v>
      </c>
      <c r="BB111">
        <f ca="1">ROUND(T_Facebook_Ads11596367717579[[#This Row],[video_views]]*RANDBETWEEN(8,12)/10,0)</f>
        <v>38854</v>
      </c>
    </row>
  </sheetData>
  <pageMargins left="0.7" right="0.7" top="0.75" bottom="0.75" header="0.3" footer="0.3"/>
  <pageSetup orientation="portrait" r:id="rId1"/>
  <tableParts count="4">
    <tablePart r:id="rId2"/>
    <tablePart r:id="rId3"/>
    <tablePart r:id="rId4"/>
    <tablePart r:id="rId5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BBE25-2A95-4C31-AD5F-2A424CF1B154}">
  <dimension ref="A1:BB111"/>
  <sheetViews>
    <sheetView topLeftCell="AN1" workbookViewId="0">
      <selection activeCell="AY3" sqref="AY3"/>
    </sheetView>
  </sheetViews>
  <sheetFormatPr baseColWidth="10" defaultRowHeight="15" x14ac:dyDescent="0.25"/>
  <cols>
    <col min="2" max="2" width="14.42578125" customWidth="1"/>
    <col min="3" max="3" width="19.85546875" bestFit="1" customWidth="1"/>
    <col min="5" max="5" width="18.28515625" bestFit="1" customWidth="1"/>
    <col min="6" max="6" width="13.7109375" customWidth="1"/>
    <col min="9" max="10" width="13.7109375" customWidth="1"/>
    <col min="11" max="11" width="18.42578125" customWidth="1"/>
    <col min="13" max="13" width="12" customWidth="1"/>
    <col min="16" max="16" width="14.42578125" customWidth="1"/>
    <col min="17" max="17" width="18.5703125" bestFit="1" customWidth="1"/>
    <col min="18" max="18" width="14" customWidth="1"/>
    <col min="19" max="19" width="17.140625" customWidth="1"/>
    <col min="20" max="20" width="13.7109375" customWidth="1"/>
    <col min="21" max="21" width="8.140625" customWidth="1"/>
    <col min="22" max="22" width="6.85546875" customWidth="1"/>
    <col min="23" max="23" width="13.7109375" customWidth="1"/>
    <col min="24" max="24" width="18.42578125" customWidth="1"/>
    <col min="25" max="25" width="6.140625" bestFit="1" customWidth="1"/>
    <col min="26" max="26" width="10.28515625" customWidth="1"/>
    <col min="27" max="27" width="14.85546875" customWidth="1"/>
    <col min="28" max="28" width="25" customWidth="1"/>
    <col min="29" max="29" width="6.85546875" customWidth="1"/>
    <col min="30" max="30" width="8.42578125" bestFit="1" customWidth="1"/>
    <col min="31" max="31" width="14.42578125" customWidth="1"/>
    <col min="32" max="32" width="17.5703125" customWidth="1"/>
    <col min="33" max="33" width="13.140625" customWidth="1"/>
    <col min="34" max="34" width="16.28515625" customWidth="1"/>
    <col min="35" max="35" width="13.7109375" customWidth="1"/>
    <col min="36" max="36" width="8.140625" customWidth="1"/>
    <col min="37" max="37" width="6.85546875" customWidth="1"/>
    <col min="38" max="39" width="13.7109375" customWidth="1"/>
    <col min="40" max="42" width="17" customWidth="1"/>
    <col min="43" max="43" width="18" customWidth="1"/>
    <col min="44" max="44" width="7.140625" customWidth="1"/>
    <col min="45" max="45" width="8.7109375" customWidth="1"/>
    <col min="46" max="46" width="12.42578125" customWidth="1"/>
    <col min="49" max="49" width="14.28515625" customWidth="1"/>
    <col min="50" max="50" width="13.85546875" customWidth="1"/>
    <col min="53" max="53" width="13.7109375" customWidth="1"/>
    <col min="54" max="54" width="14.28515625" customWidth="1"/>
  </cols>
  <sheetData>
    <row r="1" spans="1:54" ht="15.75" thickBot="1" x14ac:dyDescent="0.3">
      <c r="A1" s="2" t="s">
        <v>39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  <c r="O1" s="2" t="s">
        <v>39</v>
      </c>
      <c r="P1" s="1" t="s">
        <v>40</v>
      </c>
      <c r="Q1" s="1" t="s">
        <v>41</v>
      </c>
      <c r="R1" s="1" t="s">
        <v>68</v>
      </c>
      <c r="S1" s="1" t="s">
        <v>69</v>
      </c>
      <c r="T1" s="1" t="s">
        <v>44</v>
      </c>
      <c r="U1" s="1" t="s">
        <v>45</v>
      </c>
      <c r="V1" s="1" t="s">
        <v>70</v>
      </c>
      <c r="W1" s="1" t="s">
        <v>47</v>
      </c>
      <c r="X1" s="1" t="s">
        <v>71</v>
      </c>
      <c r="Y1" s="1" t="s">
        <v>72</v>
      </c>
      <c r="Z1" s="1" t="s">
        <v>73</v>
      </c>
      <c r="AA1" s="1" t="s">
        <v>74</v>
      </c>
      <c r="AB1" s="1" t="s">
        <v>75</v>
      </c>
      <c r="AD1" s="2" t="s">
        <v>39</v>
      </c>
      <c r="AE1" s="1" t="s">
        <v>40</v>
      </c>
      <c r="AF1" s="1" t="s">
        <v>41</v>
      </c>
      <c r="AG1" s="1" t="s">
        <v>91</v>
      </c>
      <c r="AH1" s="1" t="s">
        <v>92</v>
      </c>
      <c r="AI1" s="1" t="s">
        <v>44</v>
      </c>
      <c r="AJ1" s="1" t="s">
        <v>45</v>
      </c>
      <c r="AK1" s="1" t="s">
        <v>70</v>
      </c>
      <c r="AL1" s="1" t="s">
        <v>47</v>
      </c>
      <c r="AM1" s="1" t="s">
        <v>48</v>
      </c>
      <c r="AN1" s="1" t="s">
        <v>93</v>
      </c>
      <c r="AO1" s="1" t="s">
        <v>94</v>
      </c>
      <c r="AP1" s="1" t="s">
        <v>95</v>
      </c>
      <c r="AQ1" s="1" t="s">
        <v>96</v>
      </c>
      <c r="AR1" s="1" t="s">
        <v>97</v>
      </c>
      <c r="AS1" s="1" t="s">
        <v>98</v>
      </c>
      <c r="AT1" s="1" t="s">
        <v>99</v>
      </c>
      <c r="AV1" t="s">
        <v>39</v>
      </c>
      <c r="AW1" t="s">
        <v>40</v>
      </c>
      <c r="AX1" t="s">
        <v>44</v>
      </c>
      <c r="AY1" t="s">
        <v>45</v>
      </c>
      <c r="AZ1" t="s">
        <v>46</v>
      </c>
      <c r="BA1" t="s">
        <v>47</v>
      </c>
      <c r="BB1" t="s">
        <v>48</v>
      </c>
    </row>
    <row r="2" spans="1:54" ht="15.75" thickBot="1" x14ac:dyDescent="0.3">
      <c r="A2" s="3">
        <f t="shared" ref="A2:A33" ca="1" si="0">DATE(2023,8,RANDBETWEEN(1,31))</f>
        <v>45166</v>
      </c>
      <c r="B2" s="4" t="s">
        <v>52</v>
      </c>
      <c r="C2" s="4" t="s">
        <v>53</v>
      </c>
      <c r="D2" s="4" t="s">
        <v>54</v>
      </c>
      <c r="E2" s="4" t="s">
        <v>55</v>
      </c>
      <c r="F2" s="4">
        <f ca="1">ROUND(T_Facebook_Ads[[#This Row],[impressions]]*RANDBETWEEN(8,12)/10,0)</f>
        <v>41061</v>
      </c>
      <c r="G2" s="4">
        <f ca="1">ROUND(T_Facebook_Ads[[#This Row],[clicks]]*RANDBETWEEN(8,12)/10,0)</f>
        <v>892</v>
      </c>
      <c r="H2" s="4">
        <f ca="1">T_Facebook_Ads[[#This Row],[spend]]*RANDBETWEEN(8,12)/10</f>
        <v>153</v>
      </c>
      <c r="I2" s="4">
        <f ca="1">ROUND(T_Facebook_Ads[[#This Row],[conversions]]*RANDBETWEEN(8,12)/10,0)</f>
        <v>11</v>
      </c>
      <c r="J2" s="4">
        <f ca="1">ROUND(T_Facebook_Ads[[#This Row],[video_views]]*RANDBETWEEN(8,12)/10,0)</f>
        <v>6587</v>
      </c>
      <c r="K2" s="4">
        <f ca="1">T_Facebook_Ads[[#This Row],[engagement_rate]]*RANDBETWEEN(8,12)/10</f>
        <v>1.755E-2</v>
      </c>
      <c r="L2" s="4">
        <f ca="1">ROUND(T_Facebook_Ads[[#This Row],[reach]]*RANDBETWEEN(8,12)/10,0)</f>
        <v>34411</v>
      </c>
      <c r="M2" s="4">
        <f ca="1">T_Facebook_Ads[[#This Row],[frequency]]*RANDBETWEEN(8,12)/10</f>
        <v>1.3089999999999999</v>
      </c>
      <c r="O2" s="3">
        <f t="shared" ref="O2:O33" ca="1" si="1">DATE(2023,8,RANDBETWEEN(1,31))</f>
        <v>45147</v>
      </c>
      <c r="P2" s="4" t="s">
        <v>76</v>
      </c>
      <c r="Q2" s="4" t="s">
        <v>77</v>
      </c>
      <c r="R2" s="4" t="s">
        <v>78</v>
      </c>
      <c r="S2" s="4" t="s">
        <v>79</v>
      </c>
      <c r="T2" s="4">
        <f ca="1">ROUND(_Google_ads[[#This Row],[impressions]]*RANDBETWEEN(8,12)/10,0)</f>
        <v>18765</v>
      </c>
      <c r="U2" s="4">
        <f ca="1">ROUND(_Google_ads[[#This Row],[clicks]]*RANDBETWEEN(8,12)/10,0)</f>
        <v>1234</v>
      </c>
      <c r="V2" s="4">
        <f ca="1">_Google_ads[[#This Row],[cost]]*RANDBETWEEN(8,12)/10</f>
        <v>234.5</v>
      </c>
      <c r="W2" s="4">
        <f ca="1">ROUND(_Google_ads[[#This Row],[conversions]]*RANDBETWEEN(8,12)/10,0)</f>
        <v>41</v>
      </c>
      <c r="X2" s="4">
        <f ca="1">ROUND(_Google_ads[[#This Row],[conversion_value]]*RANDBETWEEN(8,12)/10,0)</f>
        <v>2250</v>
      </c>
      <c r="Y2" s="4">
        <f ca="1">_Google_ads[[#This Row],[ctr]]*RANDBETWEEN(8,12)/10</f>
        <v>5.2600000000000001E-2</v>
      </c>
      <c r="Z2" s="4">
        <f ca="1">_Google_ads[[#This Row],[avg_cpc]]*RANDBETWEEN(8,12)/10</f>
        <v>0.22800000000000004</v>
      </c>
      <c r="AA2" s="4">
        <f ca="1">ROUND(_Google_ads[[#This Row],[quality_score]]*RANDBETWEEN(8,12)/10,0)</f>
        <v>11</v>
      </c>
      <c r="AB2" s="4">
        <f ca="1">_Google_ads[[#This Row],[search_impression_share]]*RANDBETWEEN(8,12)/10</f>
        <v>1.1040000000000001</v>
      </c>
      <c r="AD2" s="3">
        <f t="shared" ref="AD2:AD33" ca="1" si="2">DATE(2023,8,RANDBETWEEN(1,31))</f>
        <v>45145</v>
      </c>
      <c r="AE2" s="4" t="s">
        <v>100</v>
      </c>
      <c r="AF2" s="4" t="s">
        <v>101</v>
      </c>
      <c r="AG2" s="4" t="s">
        <v>102</v>
      </c>
      <c r="AH2" s="4" t="s">
        <v>103</v>
      </c>
      <c r="AI2" s="4">
        <f ca="1">ROUND(T_Tiktok_ads[[#This Row],[impressions]]*RANDBETWEEN(8,12)/10,0)</f>
        <v>234567</v>
      </c>
      <c r="AJ2" s="4">
        <f ca="1">ROUND(T_Tiktok_ads[[#This Row],[clicks]]*RANDBETWEEN(8,12)/10,0)</f>
        <v>3802</v>
      </c>
      <c r="AK2" s="4">
        <f ca="1">T_Tiktok_ads[[#This Row],[cost]]*RANDBETWEEN(8,12)/10</f>
        <v>365.36</v>
      </c>
      <c r="AL2" s="4">
        <f ca="1">ROUND(T_Tiktok_ads[[#This Row],[conversions]]*RANDBETWEEN(8,12)/10,0)</f>
        <v>27</v>
      </c>
      <c r="AM2" s="4">
        <f ca="1">ROUND(T_Tiktok_ads[[#This Row],[video_views]]*RANDBETWEEN(8,12)/10,0)</f>
        <v>158587</v>
      </c>
      <c r="AN2" s="4">
        <f ca="1">ROUND(T_Tiktok_ads[[#This Row],[video_watch_25]]*RANDBETWEEN(8,12)/10,0)</f>
        <v>156234</v>
      </c>
      <c r="AO2" s="4">
        <f ca="1">ROUND(T_Tiktok_ads[[#This Row],[video_watch_50]]*RANDBETWEEN(8,12)/10,0)</f>
        <v>117881</v>
      </c>
      <c r="AP2" s="4">
        <f ca="1">ROUND(T_Tiktok_ads[[#This Row],[video_watch_75]]*RANDBETWEEN(8,12)/10,0)</f>
        <v>80681</v>
      </c>
      <c r="AQ2" s="4">
        <f ca="1">ROUND(T_Tiktok_ads[[#This Row],[video_watch_100]]*RANDBETWEEN(8,12)/10,0)</f>
        <v>54281</v>
      </c>
      <c r="AR2" s="4">
        <f ca="1">ROUND(T_Tiktok_ads[[#This Row],[likes]]*RANDBETWEEN(8,12)/10,0)</f>
        <v>8031</v>
      </c>
      <c r="AS2" s="4">
        <f ca="1">ROUND(T_Tiktok_ads[[#This Row],[shares]]*RANDBETWEEN(8,12)/10,0)</f>
        <v>2814</v>
      </c>
      <c r="AT2" s="4">
        <f ca="1">ROUND(T_Tiktok_ads[[#This Row],[comments]]*RANDBETWEEN(8,12)/10,0)</f>
        <v>624</v>
      </c>
      <c r="AV2" s="3">
        <f t="shared" ref="AV2:AV33" ca="1" si="3">DATE(2023,8,RANDBETWEEN(1,31))</f>
        <v>45156</v>
      </c>
      <c r="AW2">
        <f ca="1">RANDBETWEEN(1,8)</f>
        <v>4</v>
      </c>
      <c r="AX2">
        <f ca="1">ROUND(T_Facebook_Ads1159636771757983[[#This Row],[impressions]]*RANDBETWEEN(8,12)/10,0)</f>
        <v>49273</v>
      </c>
      <c r="AY2">
        <f ca="1">ROUND(T_Facebook_Ads1159636771757983[[#This Row],[clicks]]*RANDBETWEEN(8,12)/10,0)</f>
        <v>892</v>
      </c>
      <c r="AZ2">
        <f ca="1">T_Facebook_Ads1159636771757983[[#This Row],[spend]]*RANDBETWEEN(8,12)/10</f>
        <v>183.6</v>
      </c>
      <c r="BA2">
        <f ca="1">ROUND(T_Facebook_Ads1159636771757983[[#This Row],[conversions]]*RANDBETWEEN(8,12)/10,0)</f>
        <v>12</v>
      </c>
      <c r="BB2">
        <f ca="1">ROUND(T_Facebook_Ads1159636771757983[[#This Row],[video_views]]*RANDBETWEEN(8,12)/10,0)</f>
        <v>7246</v>
      </c>
    </row>
    <row r="3" spans="1:54" ht="15.75" thickBot="1" x14ac:dyDescent="0.3">
      <c r="A3" s="3">
        <f t="shared" ca="1" si="0"/>
        <v>45169</v>
      </c>
      <c r="B3" s="4" t="s">
        <v>56</v>
      </c>
      <c r="C3" s="4" t="s">
        <v>57</v>
      </c>
      <c r="D3" s="4" t="s">
        <v>58</v>
      </c>
      <c r="E3" s="4" t="s">
        <v>59</v>
      </c>
      <c r="F3" s="4">
        <f ca="1">ROUND(T_Facebook_Ads[[#This Row],[impressions]]*RANDBETWEEN(8,12)/10,0)</f>
        <v>14947</v>
      </c>
      <c r="G3" s="4">
        <v>567</v>
      </c>
      <c r="H3" s="4">
        <f ca="1">T_Facebook_Ads[[#This Row],[spend]]*RANDBETWEEN(8,12)/10</f>
        <v>237.38000000000002</v>
      </c>
      <c r="I3" s="4">
        <f ca="1">ROUND(T_Facebook_Ads[[#This Row],[conversions]]*RANDBETWEEN(8,12)/10,0)</f>
        <v>34</v>
      </c>
      <c r="J3" s="4">
        <f ca="1">ROUND(T_Facebook_Ads[[#This Row],[video_views]]*RANDBETWEEN(8,12)/10,0)</f>
        <v>1357</v>
      </c>
      <c r="K3" s="4">
        <f ca="1">T_Facebook_Ads[[#This Row],[engagement_rate]]*RANDBETWEEN(8,12)/10</f>
        <v>5.0049999999999997E-2</v>
      </c>
      <c r="L3" s="4">
        <f ca="1">ROUND(T_Facebook_Ads[[#This Row],[reach]]*RANDBETWEEN(8,12)/10,0)</f>
        <v>10864</v>
      </c>
      <c r="M3" s="4">
        <f ca="1">T_Facebook_Ads[[#This Row],[frequency]]*RANDBETWEEN(8,12)/10</f>
        <v>1.008</v>
      </c>
      <c r="O3" s="3">
        <f t="shared" ca="1" si="1"/>
        <v>45151</v>
      </c>
      <c r="P3" s="4" t="s">
        <v>80</v>
      </c>
      <c r="Q3" s="4" t="s">
        <v>81</v>
      </c>
      <c r="R3" s="4" t="s">
        <v>82</v>
      </c>
      <c r="S3" s="4" t="s">
        <v>83</v>
      </c>
      <c r="T3" s="4">
        <f ca="1">ROUND(_Google_ads[[#This Row],[impressions]]*RANDBETWEEN(8,12)/10,0)</f>
        <v>45678</v>
      </c>
      <c r="U3" s="4">
        <f ca="1">ROUND(_Google_ads[[#This Row],[clicks]]*RANDBETWEEN(8,12)/10,0)</f>
        <v>801</v>
      </c>
      <c r="V3" s="4">
        <f ca="1">_Google_ads[[#This Row],[cost]]*RANDBETWEEN(8,12)/10</f>
        <v>567.79999999999995</v>
      </c>
      <c r="W3" s="4">
        <f ca="1">ROUND(_Google_ads[[#This Row],[conversions]]*RANDBETWEEN(8,12)/10,0)</f>
        <v>23</v>
      </c>
      <c r="X3" s="4">
        <f ca="1">ROUND(_Google_ads[[#This Row],[conversion_value]]*RANDBETWEEN(8,12)/10,0)</f>
        <v>920</v>
      </c>
      <c r="Y3" s="4">
        <f ca="1">_Google_ads[[#This Row],[ctr]]*RANDBETWEEN(8,12)/10</f>
        <v>1.5599999999999999E-2</v>
      </c>
      <c r="Z3" s="4">
        <f ca="1">_Google_ads[[#This Row],[avg_cpc]]*RANDBETWEEN(8,12)/10</f>
        <v>0.51200000000000001</v>
      </c>
      <c r="AA3" s="4">
        <f ca="1">ROUND(_Google_ads[[#This Row],[quality_score]]*RANDBETWEEN(8,12)/10,0)</f>
        <v>6</v>
      </c>
      <c r="AB3" s="4">
        <f ca="1">_Google_ads[[#This Row],[search_impression_share]]*RANDBETWEEN(8,12)/10</f>
        <v>0.36</v>
      </c>
      <c r="AD3" s="3">
        <f t="shared" ca="1" si="2"/>
        <v>45154</v>
      </c>
      <c r="AE3" s="4" t="s">
        <v>104</v>
      </c>
      <c r="AF3" s="4" t="s">
        <v>105</v>
      </c>
      <c r="AG3" s="4" t="s">
        <v>106</v>
      </c>
      <c r="AH3" s="4" t="s">
        <v>107</v>
      </c>
      <c r="AI3" s="4">
        <f ca="1">ROUND(T_Tiktok_ads[[#This Row],[impressions]]*RANDBETWEEN(8,12)/10,0)</f>
        <v>123456</v>
      </c>
      <c r="AJ3" s="4">
        <f ca="1">ROUND(T_Tiktok_ads[[#This Row],[clicks]]*RANDBETWEEN(8,12)/10,0)</f>
        <v>2345</v>
      </c>
      <c r="AK3" s="4">
        <v>678.9</v>
      </c>
      <c r="AL3" s="4">
        <f ca="1">ROUND(T_Tiktok_ads[[#This Row],[conversions]]*RANDBETWEEN(8,12)/10,0)</f>
        <v>54</v>
      </c>
      <c r="AM3" s="4">
        <f ca="1">ROUND(T_Tiktok_ads[[#This Row],[video_views]]*RANDBETWEEN(8,12)/10,0)</f>
        <v>80311</v>
      </c>
      <c r="AN3" s="4">
        <f ca="1">ROUND(T_Tiktok_ads[[#This Row],[video_watch_25]]*RANDBETWEEN(8,12)/10,0)</f>
        <v>67234</v>
      </c>
      <c r="AO3" s="4">
        <f ca="1">ROUND(T_Tiktok_ads[[#This Row],[video_watch_50]]*RANDBETWEEN(8,12)/10,0)</f>
        <v>40711</v>
      </c>
      <c r="AP3" s="4">
        <f ca="1">ROUND(T_Tiktok_ads[[#This Row],[video_watch_75]]*RANDBETWEEN(8,12)/10,0)</f>
        <v>30811</v>
      </c>
      <c r="AQ3" s="4">
        <f ca="1">ROUND(T_Tiktok_ads[[#This Row],[video_watch_100]]*RANDBETWEEN(8,12)/10,0)</f>
        <v>28147</v>
      </c>
      <c r="AR3" s="4">
        <f ca="1">ROUND(T_Tiktok_ads[[#This Row],[likes]]*RANDBETWEEN(8,12)/10,0)</f>
        <v>4567</v>
      </c>
      <c r="AS3" s="4">
        <f ca="1">ROUND(T_Tiktok_ads[[#This Row],[shares]]*RANDBETWEEN(8,12)/10,0)</f>
        <v>1481</v>
      </c>
      <c r="AT3" s="4">
        <f ca="1">ROUND(T_Tiktok_ads[[#This Row],[comments]]*RANDBETWEEN(8,12)/10,0)</f>
        <v>234</v>
      </c>
      <c r="AV3" s="5">
        <f t="shared" ca="1" si="3"/>
        <v>45145</v>
      </c>
      <c r="AW3">
        <f t="shared" ref="AW3:AW66" ca="1" si="4">RANDBETWEEN(1,8)</f>
        <v>8</v>
      </c>
      <c r="AX3">
        <f ca="1">ROUND(T_Facebook_Ads1159636771757983[[#This Row],[impressions]]*RANDBETWEEN(8,12)/10,0)</f>
        <v>11958</v>
      </c>
      <c r="AY3">
        <f ca="1">ROUND(T_Facebook_Ads1159636771757983[[#This Row],[clicks]]*RANDBETWEEN(8,12)/10,0)</f>
        <v>454</v>
      </c>
      <c r="AZ3">
        <f ca="1">T_Facebook_Ads1159636771757983[[#This Row],[spend]]*RANDBETWEEN(8,12)/10</f>
        <v>189.90400000000002</v>
      </c>
      <c r="BA3">
        <f ca="1">ROUND(T_Facebook_Ads1159636771757983[[#This Row],[conversions]]*RANDBETWEEN(8,12)/10,0)</f>
        <v>41</v>
      </c>
      <c r="BB3">
        <f ca="1">ROUND(T_Facebook_Ads1159636771757983[[#This Row],[video_views]]*RANDBETWEEN(8,12)/10,0)</f>
        <v>1493</v>
      </c>
    </row>
    <row r="4" spans="1:54" ht="15.75" thickBot="1" x14ac:dyDescent="0.3">
      <c r="A4" s="3">
        <f t="shared" ca="1" si="0"/>
        <v>45161</v>
      </c>
      <c r="B4" s="4" t="s">
        <v>60</v>
      </c>
      <c r="C4" s="4" t="s">
        <v>61</v>
      </c>
      <c r="D4" s="4" t="s">
        <v>62</v>
      </c>
      <c r="E4" s="4" t="s">
        <v>63</v>
      </c>
      <c r="F4" s="4">
        <f ca="1">ROUND(T_Facebook_Ads[[#This Row],[impressions]]*RANDBETWEEN(8,12)/10,0)</f>
        <v>34567</v>
      </c>
      <c r="G4" s="4">
        <v>1234</v>
      </c>
      <c r="H4" s="4">
        <f ca="1">T_Facebook_Ads[[#This Row],[spend]]*RANDBETWEEN(8,12)/10</f>
        <v>189.9</v>
      </c>
      <c r="I4" s="4">
        <f ca="1">ROUND(T_Facebook_Ads[[#This Row],[conversions]]*RANDBETWEEN(8,12)/10,0)</f>
        <v>18</v>
      </c>
      <c r="J4" s="4">
        <f ca="1">ROUND(T_Facebook_Ads[[#This Row],[video_views]]*RANDBETWEEN(8,12)/10,0)</f>
        <v>5024</v>
      </c>
      <c r="K4" s="4">
        <f ca="1">T_Facebook_Ads[[#This Row],[engagement_rate]]*RANDBETWEEN(8,12)/10</f>
        <v>4.2840000000000003E-2</v>
      </c>
      <c r="L4" s="4">
        <f ca="1">ROUND(T_Facebook_Ads[[#This Row],[reach]]*RANDBETWEEN(8,12)/10,0)</f>
        <v>34721</v>
      </c>
      <c r="M4" s="4">
        <f ca="1">T_Facebook_Ads[[#This Row],[frequency]]*RANDBETWEEN(8,12)/10</f>
        <v>1.071</v>
      </c>
      <c r="O4" s="3">
        <f t="shared" ca="1" si="1"/>
        <v>45146</v>
      </c>
      <c r="P4" s="4" t="s">
        <v>84</v>
      </c>
      <c r="Q4" s="4" t="s">
        <v>85</v>
      </c>
      <c r="R4" s="4" t="s">
        <v>86</v>
      </c>
      <c r="S4" s="4" t="s">
        <v>87</v>
      </c>
      <c r="T4" s="4">
        <f ca="1">ROUND(_Google_ads[[#This Row],[impressions]]*RANDBETWEEN(8,12)/10,0)</f>
        <v>81468</v>
      </c>
      <c r="U4" s="4">
        <f ca="1">ROUND(_Google_ads[[#This Row],[clicks]]*RANDBETWEEN(8,12)/10,0)</f>
        <v>2814</v>
      </c>
      <c r="V4" s="4">
        <f ca="1">_Google_ads[[#This Row],[cost]]*RANDBETWEEN(8,12)/10</f>
        <v>465.96000000000004</v>
      </c>
      <c r="W4" s="4">
        <f ca="1">ROUND(_Google_ads[[#This Row],[conversions]]*RANDBETWEEN(8,12)/10,0)</f>
        <v>67</v>
      </c>
      <c r="X4" s="4">
        <f ca="1">ROUND(_Google_ads[[#This Row],[conversion_value]]*RANDBETWEEN(8,12)/10,0)</f>
        <v>2680</v>
      </c>
      <c r="Y4" s="4">
        <f ca="1">_Google_ads[[#This Row],[ctr]]*RANDBETWEEN(8,12)/10</f>
        <v>3.4500000000000003E-2</v>
      </c>
      <c r="Z4" s="4">
        <f ca="1">_Google_ads[[#This Row],[avg_cpc]]*RANDBETWEEN(8,12)/10</f>
        <v>0.14399999999999999</v>
      </c>
      <c r="AA4" s="4">
        <f ca="1">ROUND(_Google_ads[[#This Row],[quality_score]]*RANDBETWEEN(8,12)/10,0)</f>
        <v>6</v>
      </c>
      <c r="AB4" s="4">
        <f ca="1">_Google_ads[[#This Row],[search_impression_share]]*RANDBETWEEN(8,12)/10</f>
        <v>0.67</v>
      </c>
      <c r="AD4" s="3">
        <f t="shared" ca="1" si="2"/>
        <v>45153</v>
      </c>
      <c r="AE4" s="4" t="s">
        <v>108</v>
      </c>
      <c r="AF4" s="4" t="s">
        <v>109</v>
      </c>
      <c r="AG4" s="4" t="s">
        <v>110</v>
      </c>
      <c r="AH4" s="4" t="s">
        <v>111</v>
      </c>
      <c r="AI4" s="4">
        <f ca="1">ROUND(T_Tiktok_ads[[#This Row],[impressions]]*RANDBETWEEN(8,12)/10,0)</f>
        <v>227081</v>
      </c>
      <c r="AJ4" s="4">
        <f ca="1">ROUND(T_Tiktok_ads[[#This Row],[clicks]]*RANDBETWEEN(8,12)/10,0)</f>
        <v>2312</v>
      </c>
      <c r="AK4" s="4">
        <v>345.6</v>
      </c>
      <c r="AL4" s="4">
        <f ca="1">ROUND(T_Tiktok_ads[[#This Row],[conversions]]*RANDBETWEEN(8,12)/10,0)</f>
        <v>18</v>
      </c>
      <c r="AM4" s="4">
        <f ca="1">ROUND(T_Tiktok_ads[[#This Row],[video_views]]*RANDBETWEEN(8,12)/10,0)</f>
        <v>174814</v>
      </c>
      <c r="AN4" s="4">
        <f ca="1">ROUND(T_Tiktok_ads[[#This Row],[video_watch_25]]*RANDBETWEEN(8,12)/10,0)</f>
        <v>123580</v>
      </c>
      <c r="AO4" s="4">
        <f ca="1">ROUND(T_Tiktok_ads[[#This Row],[video_watch_50]]*RANDBETWEEN(8,12)/10,0)</f>
        <v>80311</v>
      </c>
      <c r="AP4" s="4">
        <f ca="1">ROUND(T_Tiktok_ads[[#This Row],[video_watch_75]]*RANDBETWEEN(8,12)/10,0)</f>
        <v>62468</v>
      </c>
      <c r="AQ4" s="4">
        <f ca="1">ROUND(T_Tiktok_ads[[#This Row],[video_watch_100]]*RANDBETWEEN(8,12)/10,0)</f>
        <v>27654</v>
      </c>
      <c r="AR4" s="4">
        <f ca="1">ROUND(T_Tiktok_ads[[#This Row],[likes]]*RANDBETWEEN(8,12)/10,0)</f>
        <v>5431</v>
      </c>
      <c r="AS4" s="4">
        <f ca="1">ROUND(T_Tiktok_ads[[#This Row],[shares]]*RANDBETWEEN(8,12)/10,0)</f>
        <v>2268</v>
      </c>
      <c r="AT4" s="4">
        <f ca="1">ROUND(T_Tiktok_ads[[#This Row],[comments]]*RANDBETWEEN(8,12)/10,0)</f>
        <v>502</v>
      </c>
      <c r="AV4" s="5">
        <f t="shared" ca="1" si="3"/>
        <v>45153</v>
      </c>
      <c r="AW4">
        <f t="shared" ca="1" si="4"/>
        <v>2</v>
      </c>
      <c r="AX4">
        <f ca="1">ROUND(T_Facebook_Ads1159636771757983[[#This Row],[impressions]]*RANDBETWEEN(8,12)/10,0)</f>
        <v>38024</v>
      </c>
      <c r="AY4">
        <f ca="1">ROUND(T_Facebook_Ads1159636771757983[[#This Row],[clicks]]*RANDBETWEEN(8,12)/10,0)</f>
        <v>1234</v>
      </c>
      <c r="AZ4">
        <f ca="1">T_Facebook_Ads1159636771757983[[#This Row],[spend]]*RANDBETWEEN(8,12)/10</f>
        <v>227.88000000000002</v>
      </c>
      <c r="BA4">
        <f ca="1">ROUND(T_Facebook_Ads1159636771757983[[#This Row],[conversions]]*RANDBETWEEN(8,12)/10,0)</f>
        <v>22</v>
      </c>
      <c r="BB4">
        <f ca="1">ROUND(T_Facebook_Ads1159636771757983[[#This Row],[video_views]]*RANDBETWEEN(8,12)/10,0)</f>
        <v>5024</v>
      </c>
    </row>
    <row r="5" spans="1:54" ht="15.75" thickBot="1" x14ac:dyDescent="0.3">
      <c r="A5" s="3">
        <f t="shared" ca="1" si="0"/>
        <v>45156</v>
      </c>
      <c r="B5" s="4" t="s">
        <v>52</v>
      </c>
      <c r="C5" s="4" t="s">
        <v>53</v>
      </c>
      <c r="D5" s="4" t="s">
        <v>54</v>
      </c>
      <c r="E5" s="4" t="s">
        <v>55</v>
      </c>
      <c r="F5" s="4">
        <f ca="1">ROUND(T_Facebook_Ads[[#This Row],[impressions]]*RANDBETWEEN(8,12)/10,0)</f>
        <v>33876</v>
      </c>
      <c r="G5" s="4">
        <v>823</v>
      </c>
      <c r="H5" s="4">
        <f ca="1">T_Facebook_Ads[[#This Row],[spend]]*RANDBETWEEN(8,12)/10</f>
        <v>106.38</v>
      </c>
      <c r="I5" s="4">
        <f ca="1">ROUND(T_Facebook_Ads[[#This Row],[conversions]]*RANDBETWEEN(8,12)/10,0)</f>
        <v>9</v>
      </c>
      <c r="J5" s="4">
        <f ca="1">ROUND(T_Facebook_Ads[[#This Row],[video_views]]*RANDBETWEEN(8,12)/10,0)</f>
        <v>7101</v>
      </c>
      <c r="K5" s="4">
        <f ca="1">T_Facebook_Ads[[#This Row],[engagement_rate]]*RANDBETWEEN(8,12)/10</f>
        <v>1.746E-2</v>
      </c>
      <c r="L5" s="4">
        <f ca="1">ROUND(T_Facebook_Ads[[#This Row],[reach]]*RANDBETWEEN(8,12)/10,0)</f>
        <v>44147</v>
      </c>
      <c r="M5" s="4">
        <f ca="1">T_Facebook_Ads[[#This Row],[frequency]]*RANDBETWEEN(8,12)/10</f>
        <v>0.91999999999999993</v>
      </c>
      <c r="O5" s="3">
        <f t="shared" ca="1" si="1"/>
        <v>45153</v>
      </c>
      <c r="P5" s="4" t="s">
        <v>76</v>
      </c>
      <c r="Q5" s="4" t="s">
        <v>77</v>
      </c>
      <c r="R5" s="4" t="s">
        <v>78</v>
      </c>
      <c r="S5" s="4" t="s">
        <v>79</v>
      </c>
      <c r="T5" s="4">
        <f ca="1">ROUND(_Google_ads[[#This Row],[impressions]]*RANDBETWEEN(8,12)/10,0)</f>
        <v>29480</v>
      </c>
      <c r="U5" s="4">
        <f ca="1">ROUND(_Google_ads[[#This Row],[clicks]]*RANDBETWEEN(8,12)/10,0)</f>
        <v>1289</v>
      </c>
      <c r="V5" s="4">
        <f ca="1">_Google_ads[[#This Row],[cost]]*RANDBETWEEN(8,12)/10</f>
        <v>294.71999999999997</v>
      </c>
      <c r="W5" s="4">
        <f ca="1">ROUND(_Google_ads[[#This Row],[conversions]]*RANDBETWEEN(8,12)/10,0)</f>
        <v>38</v>
      </c>
      <c r="X5" s="4">
        <f ca="1">ROUND(_Google_ads[[#This Row],[conversion_value]]*RANDBETWEEN(8,12)/10,0)</f>
        <v>2640</v>
      </c>
      <c r="Y5" s="4">
        <f ca="1">_Google_ads[[#This Row],[ctr]]*RANDBETWEEN(8,12)/10</f>
        <v>4.725E-2</v>
      </c>
      <c r="Z5" s="4">
        <f ca="1">_Google_ads[[#This Row],[avg_cpc]]*RANDBETWEEN(8,12)/10</f>
        <v>0.19</v>
      </c>
      <c r="AA5" s="4">
        <f ca="1">ROUND(_Google_ads[[#This Row],[quality_score]]*RANDBETWEEN(8,12)/10,0)</f>
        <v>8</v>
      </c>
      <c r="AB5" s="4">
        <f ca="1">_Google_ads[[#This Row],[search_impression_share]]*RANDBETWEEN(8,12)/10</f>
        <v>0.90999999999999992</v>
      </c>
      <c r="AD5" s="3">
        <f t="shared" ca="1" si="2"/>
        <v>45141</v>
      </c>
      <c r="AE5" s="4" t="s">
        <v>100</v>
      </c>
      <c r="AF5" s="4" t="s">
        <v>101</v>
      </c>
      <c r="AG5" s="4" t="s">
        <v>102</v>
      </c>
      <c r="AH5" s="4" t="s">
        <v>103</v>
      </c>
      <c r="AI5" s="4">
        <f ca="1">ROUND(T_Tiktok_ads[[#This Row],[impressions]]*RANDBETWEEN(8,12)/10,0)</f>
        <v>294814</v>
      </c>
      <c r="AJ5" s="4">
        <f ca="1">ROUND(T_Tiktok_ads[[#This Row],[clicks]]*RANDBETWEEN(8,12)/10,0)</f>
        <v>4046</v>
      </c>
      <c r="AK5" s="4">
        <v>478.9</v>
      </c>
      <c r="AL5" s="4">
        <f ca="1">ROUND(T_Tiktok_ads[[#This Row],[conversions]]*RANDBETWEEN(8,12)/10,0)</f>
        <v>32</v>
      </c>
      <c r="AM5" s="4">
        <f ca="1">ROUND(T_Tiktok_ads[[#This Row],[video_views]]*RANDBETWEEN(8,12)/10,0)</f>
        <v>186611</v>
      </c>
      <c r="AN5" s="4">
        <f ca="1">ROUND(T_Tiktok_ads[[#This Row],[video_watch_25]]*RANDBETWEEN(8,12)/10,0)</f>
        <v>179802</v>
      </c>
      <c r="AO5" s="4">
        <f ca="1">ROUND(T_Tiktok_ads[[#This Row],[video_watch_50]]*RANDBETWEEN(8,12)/10,0)</f>
        <v>92111</v>
      </c>
      <c r="AP5" s="4">
        <f ca="1">ROUND(T_Tiktok_ads[[#This Row],[video_watch_75]]*RANDBETWEEN(8,12)/10,0)</f>
        <v>70234</v>
      </c>
      <c r="AQ5" s="4">
        <f ca="1">ROUND(T_Tiktok_ads[[#This Row],[video_watch_100]]*RANDBETWEEN(8,12)/10,0)</f>
        <v>51957</v>
      </c>
      <c r="AR5" s="4">
        <f ca="1">ROUND(T_Tiktok_ads[[#This Row],[likes]]*RANDBETWEEN(8,12)/10,0)</f>
        <v>7387</v>
      </c>
      <c r="AS5" s="4">
        <f ca="1">ROUND(T_Tiktok_ads[[#This Row],[shares]]*RANDBETWEEN(8,12)/10,0)</f>
        <v>2947</v>
      </c>
      <c r="AT5" s="4">
        <f ca="1">ROUND(T_Tiktok_ads[[#This Row],[comments]]*RANDBETWEEN(8,12)/10,0)</f>
        <v>648</v>
      </c>
      <c r="AV5" s="5">
        <f t="shared" ca="1" si="3"/>
        <v>45166</v>
      </c>
      <c r="AW5">
        <f ca="1">RANDBETWEEN(1,8)</f>
        <v>1</v>
      </c>
      <c r="AX5">
        <f ca="1">ROUND(T_Facebook_Ads1159636771757983[[#This Row],[impressions]]*RANDBETWEEN(8,12)/10,0)</f>
        <v>27101</v>
      </c>
      <c r="AY5">
        <f ca="1">ROUND(T_Facebook_Ads1159636771757983[[#This Row],[clicks]]*RANDBETWEEN(8,12)/10,0)</f>
        <v>658</v>
      </c>
      <c r="AZ5">
        <f ca="1">T_Facebook_Ads1159636771757983[[#This Row],[spend]]*RANDBETWEEN(8,12)/10</f>
        <v>127.65599999999999</v>
      </c>
      <c r="BA5">
        <f ca="1">ROUND(T_Facebook_Ads1159636771757983[[#This Row],[conversions]]*RANDBETWEEN(8,12)/10,0)</f>
        <v>9</v>
      </c>
      <c r="BB5">
        <f ca="1">ROUND(T_Facebook_Ads1159636771757983[[#This Row],[video_views]]*RANDBETWEEN(8,12)/10,0)</f>
        <v>6391</v>
      </c>
    </row>
    <row r="6" spans="1:54" ht="15.75" thickBot="1" x14ac:dyDescent="0.3">
      <c r="A6" s="3">
        <f t="shared" ca="1" si="0"/>
        <v>45140</v>
      </c>
      <c r="B6" s="4" t="s">
        <v>56</v>
      </c>
      <c r="C6" s="4" t="s">
        <v>57</v>
      </c>
      <c r="D6" s="4" t="s">
        <v>58</v>
      </c>
      <c r="E6" s="4" t="s">
        <v>59</v>
      </c>
      <c r="F6" s="4">
        <f ca="1">ROUND(T_Facebook_Ads[[#This Row],[impressions]]*RANDBETWEEN(8,12)/10,0)</f>
        <v>16414</v>
      </c>
      <c r="G6" s="4">
        <v>623</v>
      </c>
      <c r="H6" s="4">
        <f ca="1">T_Facebook_Ads[[#This Row],[spend]]*RANDBETWEEN(8,12)/10</f>
        <v>257.95</v>
      </c>
      <c r="I6" s="4">
        <f ca="1">ROUND(T_Facebook_Ads[[#This Row],[conversions]]*RANDBETWEEN(8,12)/10,0)</f>
        <v>46</v>
      </c>
      <c r="J6" s="4">
        <f ca="1">ROUND(T_Facebook_Ads[[#This Row],[video_views]]*RANDBETWEEN(8,12)/10,0)</f>
        <v>1165</v>
      </c>
      <c r="K6" s="4">
        <f ca="1">T_Facebook_Ads[[#This Row],[engagement_rate]]*RANDBETWEEN(8,12)/10</f>
        <v>5.0049999999999997E-2</v>
      </c>
      <c r="L6" s="4">
        <f ca="1">ROUND(T_Facebook_Ads[[#This Row],[reach]]*RANDBETWEEN(8,12)/10,0)</f>
        <v>10234</v>
      </c>
      <c r="M6" s="4">
        <f ca="1">T_Facebook_Ads[[#This Row],[frequency]]*RANDBETWEEN(8,12)/10</f>
        <v>1.0720000000000001</v>
      </c>
      <c r="O6" s="3">
        <f t="shared" ca="1" si="1"/>
        <v>45141</v>
      </c>
      <c r="P6" s="4" t="s">
        <v>80</v>
      </c>
      <c r="Q6" s="4" t="s">
        <v>81</v>
      </c>
      <c r="R6" s="4" t="s">
        <v>82</v>
      </c>
      <c r="S6" s="4" t="s">
        <v>83</v>
      </c>
      <c r="T6" s="4">
        <f ca="1">ROUND(_Google_ads[[#This Row],[impressions]]*RANDBETWEEN(8,12)/10,0)</f>
        <v>47557</v>
      </c>
      <c r="U6" s="4">
        <f ca="1">ROUND(_Google_ads[[#This Row],[clicks]]*RANDBETWEEN(8,12)/10,0)</f>
        <v>658</v>
      </c>
      <c r="V6" s="4">
        <f ca="1">_Google_ads[[#This Row],[cost]]*RANDBETWEEN(8,12)/10</f>
        <v>587.62000000000012</v>
      </c>
      <c r="W6" s="4">
        <f ca="1">ROUND(_Google_ads[[#This Row],[conversions]]*RANDBETWEEN(8,12)/10,0)</f>
        <v>19</v>
      </c>
      <c r="X6" s="4">
        <f ca="1">ROUND(_Google_ads[[#This Row],[conversion_value]]*RANDBETWEEN(8,12)/10,0)</f>
        <v>1050</v>
      </c>
      <c r="Y6" s="4">
        <f ca="1">_Google_ads[[#This Row],[ctr]]*RANDBETWEEN(8,12)/10</f>
        <v>1.9E-2</v>
      </c>
      <c r="Z6" s="4">
        <f ca="1">_Google_ads[[#This Row],[avg_cpc]]*RANDBETWEEN(8,12)/10</f>
        <v>0.71500000000000008</v>
      </c>
      <c r="AA6" s="4">
        <f ca="1">ROUND(_Google_ads[[#This Row],[quality_score]]*RANDBETWEEN(8,12)/10,0)</f>
        <v>8</v>
      </c>
      <c r="AB6" s="4">
        <f ca="1">_Google_ads[[#This Row],[search_impression_share]]*RANDBETWEEN(8,12)/10</f>
        <v>0.44000000000000006</v>
      </c>
      <c r="AD6" s="3">
        <f t="shared" ca="1" si="2"/>
        <v>45162</v>
      </c>
      <c r="AE6" s="4" t="s">
        <v>104</v>
      </c>
      <c r="AF6" s="4" t="s">
        <v>105</v>
      </c>
      <c r="AG6" s="4" t="s">
        <v>106</v>
      </c>
      <c r="AH6" s="4" t="s">
        <v>107</v>
      </c>
      <c r="AI6" s="4">
        <f ca="1">ROUND(T_Tiktok_ads[[#This Row],[impressions]]*RANDBETWEEN(8,12)/10,0)</f>
        <v>121110</v>
      </c>
      <c r="AJ6" s="4">
        <f ca="1">ROUND(T_Tiktok_ads[[#This Row],[clicks]]*RANDBETWEEN(8,12)/10,0)</f>
        <v>2310</v>
      </c>
      <c r="AK6" s="4">
        <v>712.3</v>
      </c>
      <c r="AL6" s="4">
        <f ca="1">ROUND(T_Tiktok_ads[[#This Row],[conversions]]*RANDBETWEEN(8,12)/10,0)</f>
        <v>85</v>
      </c>
      <c r="AM6" s="4">
        <f ca="1">ROUND(T_Tiktok_ads[[#This Row],[video_views]]*RANDBETWEEN(8,12)/10,0)</f>
        <v>95678</v>
      </c>
      <c r="AN6" s="4">
        <f ca="1">ROUND(T_Tiktok_ads[[#This Row],[video_watch_25]]*RANDBETWEEN(8,12)/10,0)</f>
        <v>64111</v>
      </c>
      <c r="AO6" s="4">
        <f ca="1">ROUND(T_Tiktok_ads[[#This Row],[video_watch_50]]*RANDBETWEEN(8,12)/10,0)</f>
        <v>53057</v>
      </c>
      <c r="AP6" s="4">
        <f ca="1">ROUND(T_Tiktok_ads[[#This Row],[video_watch_75]]*RANDBETWEEN(8,12)/10,0)</f>
        <v>28987</v>
      </c>
      <c r="AQ6" s="4">
        <f ca="1">ROUND(T_Tiktok_ads[[#This Row],[video_watch_100]]*RANDBETWEEN(8,12)/10,0)</f>
        <v>22110</v>
      </c>
      <c r="AR6" s="4">
        <f ca="1">ROUND(T_Tiktok_ads[[#This Row],[likes]]*RANDBETWEEN(8,12)/10,0)</f>
        <v>5747</v>
      </c>
      <c r="AS6" s="4">
        <f ca="1">ROUND(T_Tiktok_ads[[#This Row],[shares]]*RANDBETWEEN(8,12)/10,0)</f>
        <v>1614</v>
      </c>
      <c r="AT6" s="4">
        <f ca="1">ROUND(T_Tiktok_ads[[#This Row],[comments]]*RANDBETWEEN(8,12)/10,0)</f>
        <v>245</v>
      </c>
      <c r="AV6" s="5">
        <f t="shared" ca="1" si="3"/>
        <v>45145</v>
      </c>
      <c r="AW6">
        <f t="shared" ca="1" si="4"/>
        <v>7</v>
      </c>
      <c r="AX6">
        <f ca="1">ROUND(T_Facebook_Ads1159636771757983[[#This Row],[impressions]]*RANDBETWEEN(8,12)/10,0)</f>
        <v>19697</v>
      </c>
      <c r="AY6">
        <f ca="1">ROUND(T_Facebook_Ads1159636771757983[[#This Row],[clicks]]*RANDBETWEEN(8,12)/10,0)</f>
        <v>685</v>
      </c>
      <c r="AZ6">
        <f ca="1">T_Facebook_Ads1159636771757983[[#This Row],[spend]]*RANDBETWEEN(8,12)/10</f>
        <v>309.53999999999996</v>
      </c>
      <c r="BA6">
        <f ca="1">ROUND(T_Facebook_Ads1159636771757983[[#This Row],[conversions]]*RANDBETWEEN(8,12)/10,0)</f>
        <v>51</v>
      </c>
      <c r="BB6">
        <f ca="1">ROUND(T_Facebook_Ads1159636771757983[[#This Row],[video_views]]*RANDBETWEEN(8,12)/10,0)</f>
        <v>1165</v>
      </c>
    </row>
    <row r="7" spans="1:54" ht="15.75" thickBot="1" x14ac:dyDescent="0.3">
      <c r="A7" s="3">
        <f t="shared" ca="1" si="0"/>
        <v>45148</v>
      </c>
      <c r="B7" s="4" t="s">
        <v>60</v>
      </c>
      <c r="C7" s="4" t="s">
        <v>61</v>
      </c>
      <c r="D7" s="4" t="s">
        <v>62</v>
      </c>
      <c r="E7" s="4" t="s">
        <v>63</v>
      </c>
      <c r="F7" s="4">
        <f ca="1">ROUND(T_Facebook_Ads[[#This Row],[impressions]]*RANDBETWEEN(8,12)/10,0)</f>
        <v>44147</v>
      </c>
      <c r="G7" s="4">
        <v>1345</v>
      </c>
      <c r="H7" s="4">
        <f ca="1">T_Facebook_Ads[[#This Row],[spend]]*RANDBETWEEN(8,12)/10</f>
        <v>241.56000000000003</v>
      </c>
      <c r="I7" s="4">
        <f ca="1">ROUND(T_Facebook_Ads[[#This Row],[conversions]]*RANDBETWEEN(8,12)/10,0)</f>
        <v>28</v>
      </c>
      <c r="J7" s="4">
        <f ca="1">ROUND(T_Facebook_Ads[[#This Row],[video_views]]*RANDBETWEEN(8,12)/10,0)</f>
        <v>3912</v>
      </c>
      <c r="K7" s="4">
        <f ca="1">T_Facebook_Ads[[#This Row],[engagement_rate]]*RANDBETWEEN(8,12)/10</f>
        <v>4.0260000000000004E-2</v>
      </c>
      <c r="L7" s="4">
        <f ca="1">ROUND(T_Facebook_Ads[[#This Row],[reach]]*RANDBETWEEN(8,12)/10,0)</f>
        <v>30123</v>
      </c>
      <c r="M7" s="4">
        <f ca="1">T_Facebook_Ads[[#This Row],[frequency]]*RANDBETWEEN(8,12)/10</f>
        <v>1.0980000000000001</v>
      </c>
      <c r="O7" s="3">
        <f t="shared" ca="1" si="1"/>
        <v>45140</v>
      </c>
      <c r="P7" s="4" t="s">
        <v>84</v>
      </c>
      <c r="Q7" s="4" t="s">
        <v>85</v>
      </c>
      <c r="R7" s="4" t="s">
        <v>86</v>
      </c>
      <c r="S7" s="4" t="s">
        <v>87</v>
      </c>
      <c r="T7" s="4">
        <f ca="1">ROUND(_Google_ads[[#This Row],[impressions]]*RANDBETWEEN(8,12)/10,0)</f>
        <v>78357</v>
      </c>
      <c r="U7" s="4">
        <f ca="1">ROUND(_Google_ads[[#This Row],[clicks]]*RANDBETWEEN(8,12)/10,0)</f>
        <v>2210</v>
      </c>
      <c r="V7" s="4">
        <f ca="1">_Google_ads[[#This Row],[cost]]*RANDBETWEEN(8,12)/10</f>
        <v>356.64</v>
      </c>
      <c r="W7" s="4">
        <f ca="1">ROUND(_Google_ads[[#This Row],[conversions]]*RANDBETWEEN(8,12)/10,0)</f>
        <v>64</v>
      </c>
      <c r="X7" s="4">
        <f ca="1">ROUND(_Google_ads[[#This Row],[conversion_value]]*RANDBETWEEN(8,12)/10,0)</f>
        <v>4260</v>
      </c>
      <c r="Y7" s="4">
        <f ca="1">_Google_ads[[#This Row],[ctr]]*RANDBETWEEN(8,12)/10</f>
        <v>4.1400000000000006E-2</v>
      </c>
      <c r="Z7" s="4">
        <f ca="1">_Google_ads[[#This Row],[avg_cpc]]*RANDBETWEEN(8,12)/10</f>
        <v>0.14399999999999999</v>
      </c>
      <c r="AA7" s="4">
        <f ca="1">ROUND(_Google_ads[[#This Row],[quality_score]]*RANDBETWEEN(8,12)/10,0)</f>
        <v>8</v>
      </c>
      <c r="AB7" s="4">
        <f ca="1">_Google_ads[[#This Row],[search_impression_share]]*RANDBETWEEN(8,12)/10</f>
        <v>0.54400000000000004</v>
      </c>
      <c r="AD7" s="3">
        <f t="shared" ca="1" si="2"/>
        <v>45148</v>
      </c>
      <c r="AE7" s="4" t="s">
        <v>108</v>
      </c>
      <c r="AF7" s="4" t="s">
        <v>109</v>
      </c>
      <c r="AG7" s="4" t="s">
        <v>110</v>
      </c>
      <c r="AH7" s="4" t="s">
        <v>111</v>
      </c>
      <c r="AI7" s="4">
        <f ca="1">ROUND(T_Tiktok_ads[[#This Row],[impressions]]*RANDBETWEEN(8,12)/10,0)</f>
        <v>218180</v>
      </c>
      <c r="AJ7" s="4">
        <f ca="1">ROUND(T_Tiktok_ads[[#This Row],[clicks]]*RANDBETWEEN(8,12)/10,0)</f>
        <v>3313</v>
      </c>
      <c r="AK7" s="4">
        <v>361.2</v>
      </c>
      <c r="AL7" s="4">
        <f ca="1">ROUND(T_Tiktok_ads[[#This Row],[conversions]]*RANDBETWEEN(8,12)/10,0)</f>
        <v>25</v>
      </c>
      <c r="AM7" s="4">
        <f ca="1">ROUND(T_Tiktok_ads[[#This Row],[video_views]]*RANDBETWEEN(8,12)/10,0)</f>
        <v>137111</v>
      </c>
      <c r="AN7" s="4">
        <f ca="1">ROUND(T_Tiktok_ads[[#This Row],[video_watch_25]]*RANDBETWEEN(8,12)/10,0)</f>
        <v>140681</v>
      </c>
      <c r="AO7" s="4">
        <f ca="1">ROUND(T_Tiktok_ads[[#This Row],[video_watch_50]]*RANDBETWEEN(8,12)/10,0)</f>
        <v>111881</v>
      </c>
      <c r="AP7" s="4">
        <f ca="1">ROUND(T_Tiktok_ads[[#This Row],[video_watch_75]]*RANDBETWEEN(8,12)/10,0)</f>
        <v>59234</v>
      </c>
      <c r="AQ7" s="4">
        <f ca="1">ROUND(T_Tiktok_ads[[#This Row],[video_watch_100]]*RANDBETWEEN(8,12)/10,0)</f>
        <v>36234</v>
      </c>
      <c r="AR7" s="4">
        <f ca="1">ROUND(T_Tiktok_ads[[#This Row],[likes]]*RANDBETWEEN(8,12)/10,0)</f>
        <v>5698</v>
      </c>
      <c r="AS7" s="4">
        <f ca="1">ROUND(T_Tiktok_ads[[#This Row],[shares]]*RANDBETWEEN(8,12)/10,0)</f>
        <v>1574</v>
      </c>
      <c r="AT7" s="4">
        <f ca="1">ROUND(T_Tiktok_ads[[#This Row],[comments]]*RANDBETWEEN(8,12)/10,0)</f>
        <v>382</v>
      </c>
      <c r="AV7" s="5">
        <f t="shared" ca="1" si="3"/>
        <v>45164</v>
      </c>
      <c r="AW7">
        <f t="shared" ca="1" si="4"/>
        <v>3</v>
      </c>
      <c r="AX7">
        <f ca="1">ROUND(T_Facebook_Ads1159636771757983[[#This Row],[impressions]]*RANDBETWEEN(8,12)/10,0)</f>
        <v>39732</v>
      </c>
      <c r="AY7">
        <f ca="1">ROUND(T_Facebook_Ads1159636771757983[[#This Row],[clicks]]*RANDBETWEEN(8,12)/10,0)</f>
        <v>1480</v>
      </c>
      <c r="AZ7">
        <f ca="1">T_Facebook_Ads1159636771757983[[#This Row],[spend]]*RANDBETWEEN(8,12)/10</f>
        <v>241.56000000000003</v>
      </c>
      <c r="BA7">
        <f ca="1">ROUND(T_Facebook_Ads1159636771757983[[#This Row],[conversions]]*RANDBETWEEN(8,12)/10,0)</f>
        <v>25</v>
      </c>
      <c r="BB7">
        <f ca="1">ROUND(T_Facebook_Ads1159636771757983[[#This Row],[video_views]]*RANDBETWEEN(8,12)/10,0)</f>
        <v>4303</v>
      </c>
    </row>
    <row r="8" spans="1:54" ht="15.75" thickBot="1" x14ac:dyDescent="0.3">
      <c r="A8" s="3">
        <f t="shared" ca="1" si="0"/>
        <v>45160</v>
      </c>
      <c r="B8" s="4" t="s">
        <v>52</v>
      </c>
      <c r="C8" s="4" t="s">
        <v>53</v>
      </c>
      <c r="D8" s="4" t="s">
        <v>54</v>
      </c>
      <c r="E8" s="4" t="s">
        <v>55</v>
      </c>
      <c r="F8" s="4">
        <f ca="1">ROUND(T_Facebook_Ads[[#This Row],[impressions]]*RANDBETWEEN(8,12)/10,0)</f>
        <v>53057</v>
      </c>
      <c r="G8" s="4">
        <v>967</v>
      </c>
      <c r="H8" s="4">
        <f ca="1">T_Facebook_Ads[[#This Row],[spend]]*RANDBETWEEN(8,12)/10</f>
        <v>161.76000000000002</v>
      </c>
      <c r="I8" s="4">
        <f ca="1">ROUND(T_Facebook_Ads[[#This Row],[conversions]]*RANDBETWEEN(8,12)/10,0)</f>
        <v>14</v>
      </c>
      <c r="J8" s="4">
        <f ca="1">ROUND(T_Facebook_Ads[[#This Row],[video_views]]*RANDBETWEEN(8,12)/10,0)</f>
        <v>8901</v>
      </c>
      <c r="K8" s="4">
        <f ca="1">T_Facebook_Ads[[#This Row],[engagement_rate]]*RANDBETWEEN(8,12)/10</f>
        <v>2.4119999999999999E-2</v>
      </c>
      <c r="L8" s="4">
        <f ca="1">ROUND(T_Facebook_Ads[[#This Row],[reach]]*RANDBETWEEN(8,12)/10,0)</f>
        <v>44135</v>
      </c>
      <c r="M8" s="4">
        <f ca="1">T_Facebook_Ads[[#This Row],[frequency]]*RANDBETWEEN(8,12)/10</f>
        <v>1.0799999999999998</v>
      </c>
      <c r="O8" s="3">
        <f t="shared" ca="1" si="1"/>
        <v>45155</v>
      </c>
      <c r="P8" s="4" t="s">
        <v>76</v>
      </c>
      <c r="Q8" s="4" t="s">
        <v>77</v>
      </c>
      <c r="R8" s="4" t="s">
        <v>78</v>
      </c>
      <c r="S8" s="4" t="s">
        <v>79</v>
      </c>
      <c r="T8" s="4">
        <f ca="1">ROUND(_Google_ads[[#This Row],[impressions]]*RANDBETWEEN(8,12)/10,0)</f>
        <v>17876</v>
      </c>
      <c r="U8" s="4">
        <f ca="1">ROUND(_Google_ads[[#This Row],[clicks]]*RANDBETWEEN(8,12)/10,0)</f>
        <v>1123</v>
      </c>
      <c r="V8" s="4">
        <f ca="1">_Google_ads[[#This Row],[cost]]*RANDBETWEEN(8,12)/10</f>
        <v>213.4</v>
      </c>
      <c r="W8" s="4">
        <f ca="1">ROUND(_Google_ads[[#This Row],[conversions]]*RANDBETWEEN(8,12)/10,0)</f>
        <v>46</v>
      </c>
      <c r="X8" s="4">
        <f ca="1">ROUND(_Google_ads[[#This Row],[conversion_value]]*RANDBETWEEN(8,12)/10,0)</f>
        <v>2310</v>
      </c>
      <c r="Y8" s="4">
        <f ca="1">_Google_ads[[#This Row],[ctr]]*RANDBETWEEN(8,12)/10</f>
        <v>5.5330000000000004E-2</v>
      </c>
      <c r="Z8" s="4">
        <f ca="1">_Google_ads[[#This Row],[avg_cpc]]*RANDBETWEEN(8,12)/10</f>
        <v>0.152</v>
      </c>
      <c r="AA8" s="4">
        <f ca="1">ROUND(_Google_ads[[#This Row],[quality_score]]*RANDBETWEEN(8,12)/10,0)</f>
        <v>7</v>
      </c>
      <c r="AB8" s="4">
        <f ca="1">_Google_ads[[#This Row],[search_impression_share]]*RANDBETWEEN(8,12)/10</f>
        <v>0.93</v>
      </c>
      <c r="AD8" s="3">
        <f t="shared" ca="1" si="2"/>
        <v>45164</v>
      </c>
      <c r="AE8" s="4" t="s">
        <v>100</v>
      </c>
      <c r="AF8" s="4" t="s">
        <v>101</v>
      </c>
      <c r="AG8" s="4" t="s">
        <v>102</v>
      </c>
      <c r="AH8" s="4" t="s">
        <v>103</v>
      </c>
      <c r="AI8" s="4">
        <f ca="1">ROUND(T_Tiktok_ads[[#This Row],[impressions]]*RANDBETWEEN(8,12)/10,0)</f>
        <v>201110</v>
      </c>
      <c r="AJ8" s="4">
        <f ca="1">ROUND(T_Tiktok_ads[[#This Row],[clicks]]*RANDBETWEEN(8,12)/10,0)</f>
        <v>3881</v>
      </c>
      <c r="AK8" s="4">
        <v>434.5</v>
      </c>
      <c r="AL8" s="4">
        <f ca="1">ROUND(T_Tiktok_ads[[#This Row],[conversions]]*RANDBETWEEN(8,12)/10,0)</f>
        <v>38</v>
      </c>
      <c r="AM8" s="4">
        <f ca="1">ROUND(T_Tiktok_ads[[#This Row],[video_views]]*RANDBETWEEN(8,12)/10,0)</f>
        <v>227081</v>
      </c>
      <c r="AN8" s="4">
        <f ca="1">ROUND(T_Tiktok_ads[[#This Row],[video_watch_25]]*RANDBETWEEN(8,12)/10,0)</f>
        <v>177881</v>
      </c>
      <c r="AO8" s="4">
        <f ca="1">ROUND(T_Tiktok_ads[[#This Row],[video_watch_50]]*RANDBETWEEN(8,12)/10,0)</f>
        <v>83911</v>
      </c>
      <c r="AP8" s="4">
        <f ca="1">ROUND(T_Tiktok_ads[[#This Row],[video_watch_75]]*RANDBETWEEN(8,12)/10,0)</f>
        <v>69802</v>
      </c>
      <c r="AQ8" s="4">
        <f ca="1">ROUND(T_Tiktok_ads[[#This Row],[video_watch_100]]*RANDBETWEEN(8,12)/10,0)</f>
        <v>34587</v>
      </c>
      <c r="AR8" s="4">
        <f ca="1">ROUND(T_Tiktok_ads[[#This Row],[likes]]*RANDBETWEEN(8,12)/10,0)</f>
        <v>10280</v>
      </c>
      <c r="AS8" s="4">
        <f ca="1">ROUND(T_Tiktok_ads[[#This Row],[shares]]*RANDBETWEEN(8,12)/10,0)</f>
        <v>2681</v>
      </c>
      <c r="AT8" s="4">
        <f ca="1">ROUND(T_Tiktok_ads[[#This Row],[comments]]*RANDBETWEEN(8,12)/10,0)</f>
        <v>481</v>
      </c>
      <c r="AV8" s="5">
        <f t="shared" ca="1" si="3"/>
        <v>45149</v>
      </c>
      <c r="AW8">
        <f t="shared" ca="1" si="4"/>
        <v>8</v>
      </c>
      <c r="AX8">
        <f ca="1">ROUND(T_Facebook_Ads1159636771757983[[#This Row],[impressions]]*RANDBETWEEN(8,12)/10,0)</f>
        <v>63668</v>
      </c>
      <c r="AY8">
        <f ca="1">ROUND(T_Facebook_Ads1159636771757983[[#This Row],[clicks]]*RANDBETWEEN(8,12)/10,0)</f>
        <v>967</v>
      </c>
      <c r="AZ8">
        <f ca="1">T_Facebook_Ads1159636771757983[[#This Row],[spend]]*RANDBETWEEN(8,12)/10</f>
        <v>194.11200000000002</v>
      </c>
      <c r="BA8">
        <f ca="1">ROUND(T_Facebook_Ads1159636771757983[[#This Row],[conversions]]*RANDBETWEEN(8,12)/10,0)</f>
        <v>11</v>
      </c>
      <c r="BB8">
        <f ca="1">ROUND(T_Facebook_Ads1159636771757983[[#This Row],[video_views]]*RANDBETWEEN(8,12)/10,0)</f>
        <v>8011</v>
      </c>
    </row>
    <row r="9" spans="1:54" ht="15.75" thickBot="1" x14ac:dyDescent="0.3">
      <c r="A9" s="3">
        <f t="shared" ca="1" si="0"/>
        <v>45149</v>
      </c>
      <c r="B9" s="4" t="s">
        <v>56</v>
      </c>
      <c r="C9" s="4" t="s">
        <v>57</v>
      </c>
      <c r="D9" s="4" t="s">
        <v>58</v>
      </c>
      <c r="E9" s="4" t="s">
        <v>59</v>
      </c>
      <c r="F9" s="4">
        <f ca="1">ROUND(T_Facebook_Ads[[#This Row],[impressions]]*RANDBETWEEN(8,12)/10,0)</f>
        <v>13481</v>
      </c>
      <c r="G9" s="4">
        <v>489</v>
      </c>
      <c r="H9" s="4">
        <f ca="1">T_Facebook_Ads[[#This Row],[spend]]*RANDBETWEEN(8,12)/10</f>
        <v>218.57</v>
      </c>
      <c r="I9" s="4">
        <f ca="1">ROUND(T_Facebook_Ads[[#This Row],[conversions]]*RANDBETWEEN(8,12)/10,0)</f>
        <v>31</v>
      </c>
      <c r="J9" s="4">
        <f ca="1">ROUND(T_Facebook_Ads[[#This Row],[video_views]]*RANDBETWEEN(8,12)/10,0)</f>
        <v>1011</v>
      </c>
      <c r="K9" s="4">
        <f ca="1">T_Facebook_Ads[[#This Row],[engagement_rate]]*RANDBETWEEN(8,12)/10</f>
        <v>5.2200000000000003E-2</v>
      </c>
      <c r="L9" s="4">
        <f ca="1">ROUND(T_Facebook_Ads[[#This Row],[reach]]*RANDBETWEEN(8,12)/10,0)</f>
        <v>10681</v>
      </c>
      <c r="M9" s="4">
        <f ca="1">T_Facebook_Ads[[#This Row],[frequency]]*RANDBETWEEN(8,12)/10</f>
        <v>1.26</v>
      </c>
      <c r="O9" s="3">
        <f t="shared" ca="1" si="1"/>
        <v>45156</v>
      </c>
      <c r="P9" s="4" t="s">
        <v>80</v>
      </c>
      <c r="Q9" s="4" t="s">
        <v>81</v>
      </c>
      <c r="R9" s="4" t="s">
        <v>82</v>
      </c>
      <c r="S9" s="4" t="s">
        <v>83</v>
      </c>
      <c r="T9" s="4">
        <f ca="1">ROUND(_Google_ads[[#This Row],[impressions]]*RANDBETWEEN(8,12)/10,0)</f>
        <v>43101</v>
      </c>
      <c r="U9" s="4">
        <f ca="1">ROUND(_Google_ads[[#This Row],[clicks]]*RANDBETWEEN(8,12)/10,0)</f>
        <v>774</v>
      </c>
      <c r="V9" s="4">
        <f ca="1">_Google_ads[[#This Row],[cost]]*RANDBETWEEN(8,12)/10</f>
        <v>561.15</v>
      </c>
      <c r="W9" s="4">
        <f ca="1">ROUND(_Google_ads[[#This Row],[conversions]]*RANDBETWEEN(8,12)/10,0)</f>
        <v>30</v>
      </c>
      <c r="X9" s="4">
        <f ca="1">ROUND(_Google_ads[[#This Row],[conversion_value]]*RANDBETWEEN(8,12)/10,0)</f>
        <v>1125</v>
      </c>
      <c r="Y9" s="4">
        <f ca="1">_Google_ads[[#This Row],[ctr]]*RANDBETWEEN(8,12)/10</f>
        <v>1.6160000000000001E-2</v>
      </c>
      <c r="Z9" s="4">
        <f ca="1">_Google_ads[[#This Row],[avg_cpc]]*RANDBETWEEN(8,12)/10</f>
        <v>0.70399999999999996</v>
      </c>
      <c r="AA9" s="4">
        <f ca="1">ROUND(_Google_ads[[#This Row],[quality_score]]*RANDBETWEEN(8,12)/10,0)</f>
        <v>5</v>
      </c>
      <c r="AB9" s="4">
        <f ca="1">_Google_ads[[#This Row],[search_impression_share]]*RANDBETWEEN(8,12)/10</f>
        <v>0.47299999999999998</v>
      </c>
      <c r="AD9" s="3">
        <f t="shared" ca="1" si="2"/>
        <v>45142</v>
      </c>
      <c r="AE9" s="4" t="s">
        <v>104</v>
      </c>
      <c r="AF9" s="4" t="s">
        <v>105</v>
      </c>
      <c r="AG9" s="4" t="s">
        <v>106</v>
      </c>
      <c r="AH9" s="4" t="s">
        <v>107</v>
      </c>
      <c r="AI9" s="4">
        <f ca="1">ROUND(T_Tiktok_ads[[#This Row],[impressions]]*RANDBETWEEN(8,12)/10,0)</f>
        <v>123580</v>
      </c>
      <c r="AJ9" s="4">
        <f ca="1">ROUND(T_Tiktok_ads[[#This Row],[clicks]]*RANDBETWEEN(8,12)/10,0)</f>
        <v>1698</v>
      </c>
      <c r="AK9" s="4">
        <v>623.4</v>
      </c>
      <c r="AL9" s="4">
        <f ca="1">ROUND(T_Tiktok_ads[[#This Row],[conversions]]*RANDBETWEEN(8,12)/10,0)</f>
        <v>74</v>
      </c>
      <c r="AM9" s="4">
        <f ca="1">ROUND(T_Tiktok_ads[[#This Row],[video_views]]*RANDBETWEEN(8,12)/10,0)</f>
        <v>82345</v>
      </c>
      <c r="AN9" s="4">
        <f ca="1">ROUND(T_Tiktok_ads[[#This Row],[video_watch_25]]*RANDBETWEEN(8,12)/10,0)</f>
        <v>55111</v>
      </c>
      <c r="AO9" s="4">
        <f ca="1">ROUND(T_Tiktok_ads[[#This Row],[video_watch_50]]*RANDBETWEEN(8,12)/10,0)</f>
        <v>49481</v>
      </c>
      <c r="AP9" s="4">
        <f ca="1">ROUND(T_Tiktok_ads[[#This Row],[video_watch_75]]*RANDBETWEEN(8,12)/10,0)</f>
        <v>37481</v>
      </c>
      <c r="AQ9" s="4">
        <f ca="1">ROUND(T_Tiktok_ads[[#This Row],[video_watch_100]]*RANDBETWEEN(8,12)/10,0)</f>
        <v>25481</v>
      </c>
      <c r="AR9" s="4">
        <f ca="1">ROUND(T_Tiktok_ads[[#This Row],[likes]]*RANDBETWEEN(8,12)/10,0)</f>
        <v>5081</v>
      </c>
      <c r="AS9" s="4">
        <f ca="1">ROUND(T_Tiktok_ads[[#This Row],[shares]]*RANDBETWEEN(8,12)/10,0)</f>
        <v>1123</v>
      </c>
      <c r="AT9" s="4">
        <f ca="1">ROUND(T_Tiktok_ads[[#This Row],[comments]]*RANDBETWEEN(8,12)/10,0)</f>
        <v>254</v>
      </c>
      <c r="AV9" s="5">
        <f t="shared" ca="1" si="3"/>
        <v>45145</v>
      </c>
      <c r="AW9">
        <f t="shared" ca="1" si="4"/>
        <v>8</v>
      </c>
      <c r="AX9">
        <f ca="1">ROUND(T_Facebook_Ads1159636771757983[[#This Row],[impressions]]*RANDBETWEEN(8,12)/10,0)</f>
        <v>12133</v>
      </c>
      <c r="AY9">
        <f ca="1">ROUND(T_Facebook_Ads1159636771757983[[#This Row],[clicks]]*RANDBETWEEN(8,12)/10,0)</f>
        <v>391</v>
      </c>
      <c r="AZ9">
        <f ca="1">T_Facebook_Ads1159636771757983[[#This Row],[spend]]*RANDBETWEEN(8,12)/10</f>
        <v>262.28399999999999</v>
      </c>
      <c r="BA9">
        <f ca="1">ROUND(T_Facebook_Ads1159636771757983[[#This Row],[conversions]]*RANDBETWEEN(8,12)/10,0)</f>
        <v>25</v>
      </c>
      <c r="BB9">
        <f ca="1">ROUND(T_Facebook_Ads1159636771757983[[#This Row],[video_views]]*RANDBETWEEN(8,12)/10,0)</f>
        <v>1213</v>
      </c>
    </row>
    <row r="10" spans="1:54" ht="15.75" thickBot="1" x14ac:dyDescent="0.3">
      <c r="A10" s="3">
        <f t="shared" ca="1" si="0"/>
        <v>45147</v>
      </c>
      <c r="B10" s="4" t="s">
        <v>60</v>
      </c>
      <c r="C10" s="4" t="s">
        <v>61</v>
      </c>
      <c r="D10" s="4" t="s">
        <v>62</v>
      </c>
      <c r="E10" s="4" t="s">
        <v>63</v>
      </c>
      <c r="F10" s="4">
        <f ca="1">ROUND(T_Facebook_Ads[[#This Row],[impressions]]*RANDBETWEEN(8,12)/10,0)</f>
        <v>35011</v>
      </c>
      <c r="G10" s="4">
        <v>1456</v>
      </c>
      <c r="H10" s="4">
        <f ca="1">T_Facebook_Ads[[#This Row],[spend]]*RANDBETWEEN(8,12)/10</f>
        <v>192.06</v>
      </c>
      <c r="I10" s="4">
        <f ca="1">ROUND(T_Facebook_Ads[[#This Row],[conversions]]*RANDBETWEEN(8,12)/10,0)</f>
        <v>34</v>
      </c>
      <c r="J10" s="4">
        <f ca="1">ROUND(T_Facebook_Ads[[#This Row],[video_views]]*RANDBETWEEN(8,12)/10,0)</f>
        <v>5234</v>
      </c>
      <c r="K10" s="4">
        <f ca="1">T_Facebook_Ads[[#This Row],[engagement_rate]]*RANDBETWEEN(8,12)/10</f>
        <v>4.4999999999999998E-2</v>
      </c>
      <c r="L10" s="4">
        <f ca="1">ROUND(T_Facebook_Ads[[#This Row],[reach]]*RANDBETWEEN(8,12)/10,0)</f>
        <v>37747</v>
      </c>
      <c r="M10" s="4">
        <f ca="1">T_Facebook_Ads[[#This Row],[frequency]]*RANDBETWEEN(8,12)/10</f>
        <v>1.24</v>
      </c>
      <c r="O10" s="3">
        <f t="shared" ca="1" si="1"/>
        <v>45147</v>
      </c>
      <c r="P10" s="4" t="s">
        <v>88</v>
      </c>
      <c r="Q10" s="4" t="s">
        <v>89</v>
      </c>
      <c r="R10" s="4" t="s">
        <v>90</v>
      </c>
      <c r="S10" s="4" t="s">
        <v>59</v>
      </c>
      <c r="T10" s="4">
        <f ca="1">ROUND(_Google_ads[[#This Row],[impressions]]*RANDBETWEEN(8,12)/10,0)</f>
        <v>111110</v>
      </c>
      <c r="U10" s="4">
        <f ca="1">ROUND(_Google_ads[[#This Row],[clicks]]*RANDBETWEEN(8,12)/10,0)</f>
        <v>365</v>
      </c>
      <c r="V10" s="4">
        <f ca="1">_Google_ads[[#This Row],[cost]]*RANDBETWEEN(8,12)/10</f>
        <v>123.4</v>
      </c>
      <c r="W10" s="4">
        <f ca="1">ROUND(_Google_ads[[#This Row],[conversions]]*RANDBETWEEN(8,12)/10,0)</f>
        <v>12</v>
      </c>
      <c r="X10" s="4">
        <f ca="1">ROUND(_Google_ads[[#This Row],[conversion_value]]*RANDBETWEEN(8,12)/10,0)</f>
        <v>540</v>
      </c>
      <c r="Y10" s="4">
        <f ca="1">_Google_ads[[#This Row],[ctr]]*RANDBETWEEN(8,12)/10</f>
        <v>2.96E-3</v>
      </c>
      <c r="Z10" s="4">
        <f ca="1">_Google_ads[[#This Row],[avg_cpc]]*RANDBETWEEN(8,12)/10</f>
        <v>0.32400000000000001</v>
      </c>
      <c r="AA10" s="4">
        <f ca="1">ROUND(_Google_ads[[#This Row],[quality_score]]*RANDBETWEEN(8,12)/10,0)</f>
        <v>8</v>
      </c>
      <c r="AB10" s="4">
        <f ca="1">_Google_ads[[#This Row],[search_impression_share]]*RANDBETWEEN(8,12)/10</f>
        <v>0.41999999999999993</v>
      </c>
      <c r="AD10" s="3">
        <f t="shared" ca="1" si="2"/>
        <v>45140</v>
      </c>
      <c r="AE10" s="4" t="s">
        <v>112</v>
      </c>
      <c r="AF10" s="4" t="s">
        <v>113</v>
      </c>
      <c r="AG10" s="4" t="s">
        <v>114</v>
      </c>
      <c r="AH10" s="4" t="s">
        <v>115</v>
      </c>
      <c r="AI10" s="4">
        <f ca="1">ROUND(T_Tiktok_ads[[#This Row],[impressions]]*RANDBETWEEN(8,12)/10,0)</f>
        <v>311110</v>
      </c>
      <c r="AJ10" s="4">
        <f ca="1">ROUND(T_Tiktok_ads[[#This Row],[clicks]]*RANDBETWEEN(8,12)/10,0)</f>
        <v>5678</v>
      </c>
      <c r="AK10" s="4">
        <v>890.1</v>
      </c>
      <c r="AL10" s="4">
        <f ca="1">ROUND(T_Tiktok_ads[[#This Row],[conversions]]*RANDBETWEEN(8,12)/10,0)</f>
        <v>107</v>
      </c>
      <c r="AM10" s="4">
        <f ca="1">ROUND(T_Tiktok_ads[[#This Row],[video_views]]*RANDBETWEEN(8,12)/10,0)</f>
        <v>289234</v>
      </c>
      <c r="AN10" s="4">
        <f ca="1">ROUND(T_Tiktok_ads[[#This Row],[video_watch_25]]*RANDBETWEEN(8,12)/10,0)</f>
        <v>258024</v>
      </c>
      <c r="AO10" s="4">
        <f ca="1">ROUND(T_Tiktok_ads[[#This Row],[video_watch_50]]*RANDBETWEEN(8,12)/10,0)</f>
        <v>170311</v>
      </c>
      <c r="AP10" s="4">
        <f ca="1">ROUND(T_Tiktok_ads[[#This Row],[video_watch_75]]*RANDBETWEEN(8,12)/10,0)</f>
        <v>107654</v>
      </c>
      <c r="AQ10" s="4">
        <f ca="1">ROUND(T_Tiktok_ads[[#This Row],[video_watch_100]]*RANDBETWEEN(8,12)/10,0)</f>
        <v>80311</v>
      </c>
      <c r="AR10" s="4">
        <f ca="1">ROUND(T_Tiktok_ads[[#This Row],[likes]]*RANDBETWEEN(8,12)/10,0)</f>
        <v>18814</v>
      </c>
      <c r="AS10" s="4">
        <f ca="1">ROUND(T_Tiktok_ads[[#This Row],[shares]]*RANDBETWEEN(8,12)/10,0)</f>
        <v>3654</v>
      </c>
      <c r="AT10" s="4">
        <f ca="1">ROUND(T_Tiktok_ads[[#This Row],[comments]]*RANDBETWEEN(8,12)/10,0)</f>
        <v>1234</v>
      </c>
      <c r="AV10" s="5">
        <f t="shared" ca="1" si="3"/>
        <v>45162</v>
      </c>
      <c r="AW10">
        <f t="shared" ca="1" si="4"/>
        <v>7</v>
      </c>
      <c r="AX10">
        <f ca="1">ROUND(T_Facebook_Ads1159636771757983[[#This Row],[impressions]]*RANDBETWEEN(8,12)/10,0)</f>
        <v>31510</v>
      </c>
      <c r="AY10">
        <f ca="1">ROUND(T_Facebook_Ads1159636771757983[[#This Row],[clicks]]*RANDBETWEEN(8,12)/10,0)</f>
        <v>1310</v>
      </c>
      <c r="AZ10">
        <f ca="1">T_Facebook_Ads1159636771757983[[#This Row],[spend]]*RANDBETWEEN(8,12)/10</f>
        <v>211.26599999999999</v>
      </c>
      <c r="BA10">
        <f ca="1">ROUND(T_Facebook_Ads1159636771757983[[#This Row],[conversions]]*RANDBETWEEN(8,12)/10,0)</f>
        <v>41</v>
      </c>
      <c r="BB10">
        <f ca="1">ROUND(T_Facebook_Ads1159636771757983[[#This Row],[video_views]]*RANDBETWEEN(8,12)/10,0)</f>
        <v>5757</v>
      </c>
    </row>
    <row r="11" spans="1:54" ht="15.75" thickBot="1" x14ac:dyDescent="0.3">
      <c r="A11" s="3">
        <f t="shared" ca="1" si="0"/>
        <v>45156</v>
      </c>
      <c r="B11" s="4" t="s">
        <v>52</v>
      </c>
      <c r="C11" s="4" t="s">
        <v>53</v>
      </c>
      <c r="D11" s="4" t="s">
        <v>54</v>
      </c>
      <c r="E11" s="4" t="s">
        <v>55</v>
      </c>
      <c r="F11" s="4">
        <f ca="1">ROUND(T_Facebook_Ads[[#This Row],[impressions]]*RANDBETWEEN(8,12)/10,0)</f>
        <v>61481</v>
      </c>
      <c r="G11" s="4">
        <v>1023</v>
      </c>
      <c r="H11" s="4">
        <f ca="1">T_Facebook_Ads[[#This Row],[spend]]*RANDBETWEEN(8,12)/10</f>
        <v>113.84</v>
      </c>
      <c r="I11" s="4">
        <f ca="1">ROUND(T_Facebook_Ads[[#This Row],[conversions]]*RANDBETWEEN(8,12)/10,0)</f>
        <v>12</v>
      </c>
      <c r="J11" s="4">
        <f ca="1">ROUND(T_Facebook_Ads[[#This Row],[video_views]]*RANDBETWEEN(8,12)/10,0)</f>
        <v>7387</v>
      </c>
      <c r="K11" s="4">
        <f ca="1">T_Facebook_Ads[[#This Row],[engagement_rate]]*RANDBETWEEN(8,12)/10</f>
        <v>1.6E-2</v>
      </c>
      <c r="L11" s="4">
        <f ca="1">ROUND(T_Facebook_Ads[[#This Row],[reach]]*RANDBETWEEN(8,12)/10,0)</f>
        <v>46824</v>
      </c>
      <c r="M11" s="4">
        <f ca="1">T_Facebook_Ads[[#This Row],[frequency]]*RANDBETWEEN(8,12)/10</f>
        <v>0.96</v>
      </c>
      <c r="O11" s="3">
        <f t="shared" ca="1" si="1"/>
        <v>45146</v>
      </c>
      <c r="P11" s="4" t="s">
        <v>76</v>
      </c>
      <c r="Q11" s="4" t="s">
        <v>77</v>
      </c>
      <c r="R11" s="4" t="s">
        <v>78</v>
      </c>
      <c r="S11" s="4" t="s">
        <v>79</v>
      </c>
      <c r="T11" s="4">
        <f ca="1">ROUND(_Google_ads[[#This Row],[impressions]]*RANDBETWEEN(8,12)/10,0)</f>
        <v>28246</v>
      </c>
      <c r="U11" s="4">
        <f ca="1">ROUND(_Google_ads[[#This Row],[clicks]]*RANDBETWEEN(8,12)/10,0)</f>
        <v>1614</v>
      </c>
      <c r="V11" s="4">
        <f ca="1">_Google_ads[[#This Row],[cost]]*RANDBETWEEN(8,12)/10</f>
        <v>308.03999999999996</v>
      </c>
      <c r="W11" s="4">
        <f ca="1">ROUND(_Google_ads[[#This Row],[conversions]]*RANDBETWEEN(8,12)/10,0)</f>
        <v>55</v>
      </c>
      <c r="X11" s="4">
        <f ca="1">ROUND(_Google_ads[[#This Row],[conversion_value]]*RANDBETWEEN(8,12)/10,0)</f>
        <v>2250</v>
      </c>
      <c r="Y11" s="4">
        <f ca="1">_Google_ads[[#This Row],[ctr]]*RANDBETWEEN(8,12)/10</f>
        <v>4.1919999999999999E-2</v>
      </c>
      <c r="Z11" s="4">
        <f ca="1">_Google_ads[[#This Row],[avg_cpc]]*RANDBETWEEN(8,12)/10</f>
        <v>0.20899999999999999</v>
      </c>
      <c r="AA11" s="4">
        <f ca="1">ROUND(_Google_ads[[#This Row],[quality_score]]*RANDBETWEEN(8,12)/10,0)</f>
        <v>10</v>
      </c>
      <c r="AB11" s="4">
        <f ca="1">_Google_ads[[#This Row],[search_impression_share]]*RANDBETWEEN(8,12)/10</f>
        <v>1.1040000000000001</v>
      </c>
      <c r="AD11" s="3">
        <f t="shared" ca="1" si="2"/>
        <v>45164</v>
      </c>
      <c r="AE11" s="4" t="s">
        <v>100</v>
      </c>
      <c r="AF11" s="4" t="s">
        <v>101</v>
      </c>
      <c r="AG11" s="4" t="s">
        <v>102</v>
      </c>
      <c r="AH11" s="4" t="s">
        <v>103</v>
      </c>
      <c r="AI11" s="4">
        <f ca="1">ROUND(T_Tiktok_ads[[#This Row],[impressions]]*RANDBETWEEN(8,12)/10,0)</f>
        <v>205431</v>
      </c>
      <c r="AJ11" s="4">
        <f ca="1">ROUND(T_Tiktok_ads[[#This Row],[clicks]]*RANDBETWEEN(8,12)/10,0)</f>
        <v>4279</v>
      </c>
      <c r="AK11" s="4">
        <v>512.29999999999995</v>
      </c>
      <c r="AL11" s="4">
        <f ca="1">ROUND(T_Tiktok_ads[[#This Row],[conversions]]*RANDBETWEEN(8,12)/10,0)</f>
        <v>47</v>
      </c>
      <c r="AM11" s="4">
        <f ca="1">ROUND(T_Tiktok_ads[[#This Row],[video_views]]*RANDBETWEEN(8,12)/10,0)</f>
        <v>260947</v>
      </c>
      <c r="AN11" s="4">
        <f ca="1">ROUND(T_Tiktok_ads[[#This Row],[video_watch_25]]*RANDBETWEEN(8,12)/10,0)</f>
        <v>204281</v>
      </c>
      <c r="AO11" s="4">
        <f ca="1">ROUND(T_Tiktok_ads[[#This Row],[video_watch_50]]*RANDBETWEEN(8,12)/10,0)</f>
        <v>128681</v>
      </c>
      <c r="AP11" s="4">
        <f ca="1">ROUND(T_Tiktok_ads[[#This Row],[video_watch_75]]*RANDBETWEEN(8,12)/10,0)</f>
        <v>79702</v>
      </c>
      <c r="AQ11" s="4">
        <f ca="1">ROUND(T_Tiktok_ads[[#This Row],[video_watch_100]]*RANDBETWEEN(8,12)/10,0)</f>
        <v>38765</v>
      </c>
      <c r="AR11" s="4">
        <f ca="1">ROUND(T_Tiktok_ads[[#This Row],[likes]]*RANDBETWEEN(8,12)/10,0)</f>
        <v>10524</v>
      </c>
      <c r="AS11" s="4">
        <f ca="1">ROUND(T_Tiktok_ads[[#This Row],[shares]]*RANDBETWEEN(8,12)/10,0)</f>
        <v>2567</v>
      </c>
      <c r="AT11" s="4">
        <f ca="1">ROUND(T_Tiktok_ads[[#This Row],[comments]]*RANDBETWEEN(8,12)/10,0)</f>
        <v>551</v>
      </c>
      <c r="AV11" s="5">
        <f t="shared" ca="1" si="3"/>
        <v>45154</v>
      </c>
      <c r="AW11">
        <f t="shared" ca="1" si="4"/>
        <v>3</v>
      </c>
      <c r="AX11">
        <f ca="1">ROUND(T_Facebook_Ads1159636771757983[[#This Row],[impressions]]*RANDBETWEEN(8,12)/10,0)</f>
        <v>73777</v>
      </c>
      <c r="AY11">
        <f ca="1">ROUND(T_Facebook_Ads1159636771757983[[#This Row],[clicks]]*RANDBETWEEN(8,12)/10,0)</f>
        <v>1023</v>
      </c>
      <c r="AZ11">
        <f ca="1">T_Facebook_Ads1159636771757983[[#This Row],[spend]]*RANDBETWEEN(8,12)/10</f>
        <v>125.224</v>
      </c>
      <c r="BA11">
        <f ca="1">ROUND(T_Facebook_Ads1159636771757983[[#This Row],[conversions]]*RANDBETWEEN(8,12)/10,0)</f>
        <v>11</v>
      </c>
      <c r="BB11">
        <f ca="1">ROUND(T_Facebook_Ads1159636771757983[[#This Row],[video_views]]*RANDBETWEEN(8,12)/10,0)</f>
        <v>8126</v>
      </c>
    </row>
    <row r="12" spans="1:54" ht="15.75" thickBot="1" x14ac:dyDescent="0.3">
      <c r="A12" s="3">
        <f t="shared" ca="1" si="0"/>
        <v>45166</v>
      </c>
      <c r="B12" s="4" t="s">
        <v>56</v>
      </c>
      <c r="C12" s="4" t="s">
        <v>57</v>
      </c>
      <c r="D12" s="4" t="s">
        <v>58</v>
      </c>
      <c r="E12" s="4" t="s">
        <v>59</v>
      </c>
      <c r="F12" s="4">
        <f ca="1">ROUND(T_Facebook_Ads[[#This Row],[impressions]]*RANDBETWEEN(8,12)/10,0)</f>
        <v>17480</v>
      </c>
      <c r="G12" s="4">
        <v>678</v>
      </c>
      <c r="H12" s="4">
        <f ca="1">T_Facebook_Ads[[#This Row],[spend]]*RANDBETWEEN(8,12)/10</f>
        <v>245.6</v>
      </c>
      <c r="I12" s="4">
        <f ca="1">ROUND(T_Facebook_Ads[[#This Row],[conversions]]*RANDBETWEEN(8,12)/10,0)</f>
        <v>50</v>
      </c>
      <c r="J12" s="4">
        <f ca="1">ROUND(T_Facebook_Ads[[#This Row],[video_views]]*RANDBETWEEN(8,12)/10,0)</f>
        <v>1410</v>
      </c>
      <c r="K12" s="4">
        <f ca="1">T_Facebook_Ads[[#This Row],[engagement_rate]]*RANDBETWEEN(8,12)/10</f>
        <v>5.1149999999999994E-2</v>
      </c>
      <c r="L12" s="4">
        <f ca="1">ROUND(T_Facebook_Ads[[#This Row],[reach]]*RANDBETWEEN(8,12)/10,0)</f>
        <v>10111</v>
      </c>
      <c r="M12" s="4">
        <f ca="1">T_Facebook_Ads[[#This Row],[frequency]]*RANDBETWEEN(8,12)/10</f>
        <v>1.4300000000000002</v>
      </c>
      <c r="O12" s="3">
        <f t="shared" ca="1" si="1"/>
        <v>45166</v>
      </c>
      <c r="P12" s="4" t="s">
        <v>84</v>
      </c>
      <c r="Q12" s="4" t="s">
        <v>85</v>
      </c>
      <c r="R12" s="4" t="s">
        <v>86</v>
      </c>
      <c r="S12" s="4" t="s">
        <v>87</v>
      </c>
      <c r="T12" s="4">
        <f ca="1">ROUND(_Google_ads[[#This Row],[impressions]]*RANDBETWEEN(8,12)/10,0)</f>
        <v>62510</v>
      </c>
      <c r="U12" s="4">
        <f ca="1">ROUND(_Google_ads[[#This Row],[clicks]]*RANDBETWEEN(8,12)/10,0)</f>
        <v>2234</v>
      </c>
      <c r="V12" s="4">
        <f ca="1">_Google_ads[[#This Row],[cost]]*RANDBETWEEN(8,12)/10</f>
        <v>453.53000000000003</v>
      </c>
      <c r="W12" s="4">
        <f ca="1">ROUND(_Google_ads[[#This Row],[conversions]]*RANDBETWEEN(8,12)/10,0)</f>
        <v>65</v>
      </c>
      <c r="X12" s="4">
        <f ca="1">ROUND(_Google_ads[[#This Row],[conversion_value]]*RANDBETWEEN(8,12)/10,0)</f>
        <v>3900</v>
      </c>
      <c r="Y12" s="4">
        <f ca="1">_Google_ads[[#This Row],[ctr]]*RANDBETWEEN(8,12)/10</f>
        <v>3.542E-2</v>
      </c>
      <c r="Z12" s="4">
        <f ca="1">_Google_ads[[#This Row],[avg_cpc]]*RANDBETWEEN(8,12)/10</f>
        <v>0.14399999999999999</v>
      </c>
      <c r="AA12" s="4">
        <f ca="1">ROUND(_Google_ads[[#This Row],[quality_score]]*RANDBETWEEN(8,12)/10,0)</f>
        <v>8</v>
      </c>
      <c r="AB12" s="4">
        <f ca="1">_Google_ads[[#This Row],[search_impression_share]]*RANDBETWEEN(8,12)/10</f>
        <v>0.66</v>
      </c>
      <c r="AD12" s="3">
        <f t="shared" ca="1" si="2"/>
        <v>45163</v>
      </c>
      <c r="AE12" s="4" t="s">
        <v>108</v>
      </c>
      <c r="AF12" s="4" t="s">
        <v>109</v>
      </c>
      <c r="AG12" s="4" t="s">
        <v>110</v>
      </c>
      <c r="AH12" s="4" t="s">
        <v>111</v>
      </c>
      <c r="AI12" s="4">
        <f ca="1">ROUND(T_Tiktok_ads[[#This Row],[impressions]]*RANDBETWEEN(8,12)/10,0)</f>
        <v>181111</v>
      </c>
      <c r="AJ12" s="4">
        <f ca="1">ROUND(T_Tiktok_ads[[#This Row],[clicks]]*RANDBETWEEN(8,12)/10,0)</f>
        <v>2498</v>
      </c>
      <c r="AK12" s="4">
        <v>374.5</v>
      </c>
      <c r="AL12" s="4">
        <f ca="1">ROUND(T_Tiktok_ads[[#This Row],[conversions]]*RANDBETWEEN(8,12)/10,0)</f>
        <v>29</v>
      </c>
      <c r="AM12" s="4">
        <f ca="1">ROUND(T_Tiktok_ads[[#This Row],[video_views]]*RANDBETWEEN(8,12)/10,0)</f>
        <v>142101</v>
      </c>
      <c r="AN12" s="4">
        <f ca="1">ROUND(T_Tiktok_ads[[#This Row],[video_watch_25]]*RANDBETWEEN(8,12)/10,0)</f>
        <v>145481</v>
      </c>
      <c r="AO12" s="4">
        <f ca="1">ROUND(T_Tiktok_ads[[#This Row],[video_watch_50]]*RANDBETWEEN(8,12)/10,0)</f>
        <v>96234</v>
      </c>
      <c r="AP12" s="4">
        <f ca="1">ROUND(T_Tiktok_ads[[#This Row],[video_watch_75]]*RANDBETWEEN(8,12)/10,0)</f>
        <v>55111</v>
      </c>
      <c r="AQ12" s="4">
        <f ca="1">ROUND(T_Tiktok_ads[[#This Row],[video_watch_100]]*RANDBETWEEN(8,12)/10,0)</f>
        <v>29965</v>
      </c>
      <c r="AR12" s="4">
        <f ca="1">ROUND(T_Tiktok_ads[[#This Row],[likes]]*RANDBETWEEN(8,12)/10,0)</f>
        <v>5876</v>
      </c>
      <c r="AS12" s="4">
        <f ca="1">ROUND(T_Tiktok_ads[[#This Row],[shares]]*RANDBETWEEN(8,12)/10,0)</f>
        <v>2034</v>
      </c>
      <c r="AT12" s="4">
        <f ca="1">ROUND(T_Tiktok_ads[[#This Row],[comments]]*RANDBETWEEN(8,12)/10,0)</f>
        <v>538</v>
      </c>
      <c r="AV12" s="5">
        <f t="shared" ca="1" si="3"/>
        <v>45161</v>
      </c>
      <c r="AW12">
        <f t="shared" ca="1" si="4"/>
        <v>2</v>
      </c>
      <c r="AX12">
        <f ca="1">ROUND(T_Facebook_Ads1159636771757983[[#This Row],[impressions]]*RANDBETWEEN(8,12)/10,0)</f>
        <v>15732</v>
      </c>
      <c r="AY12">
        <f ca="1">ROUND(T_Facebook_Ads1159636771757983[[#This Row],[clicks]]*RANDBETWEEN(8,12)/10,0)</f>
        <v>746</v>
      </c>
      <c r="AZ12">
        <f ca="1">T_Facebook_Ads1159636771757983[[#This Row],[spend]]*RANDBETWEEN(8,12)/10</f>
        <v>294.71999999999997</v>
      </c>
      <c r="BA12">
        <f ca="1">ROUND(T_Facebook_Ads1159636771757983[[#This Row],[conversions]]*RANDBETWEEN(8,12)/10,0)</f>
        <v>60</v>
      </c>
      <c r="BB12">
        <f ca="1">ROUND(T_Facebook_Ads1159636771757983[[#This Row],[video_views]]*RANDBETWEEN(8,12)/10,0)</f>
        <v>1551</v>
      </c>
    </row>
    <row r="13" spans="1:54" ht="15.75" thickBot="1" x14ac:dyDescent="0.3">
      <c r="A13" s="3">
        <f t="shared" ca="1" si="0"/>
        <v>45143</v>
      </c>
      <c r="B13" s="4" t="s">
        <v>64</v>
      </c>
      <c r="C13" s="4" t="s">
        <v>65</v>
      </c>
      <c r="D13" s="4" t="s">
        <v>66</v>
      </c>
      <c r="E13" s="4" t="s">
        <v>67</v>
      </c>
      <c r="F13" s="4">
        <f ca="1">ROUND(T_Facebook_Ads[[#This Row],[impressions]]*RANDBETWEEN(8,12)/10,0)</f>
        <v>61101</v>
      </c>
      <c r="G13" s="4">
        <v>234</v>
      </c>
      <c r="H13" s="4">
        <f ca="1">T_Facebook_Ads[[#This Row],[spend]]*RANDBETWEEN(8,12)/10</f>
        <v>89.5</v>
      </c>
      <c r="I13" s="4">
        <f ca="1">ROUND(T_Facebook_Ads[[#This Row],[conversions]]*RANDBETWEEN(8,12)/10,0)</f>
        <v>4</v>
      </c>
      <c r="J13" s="4">
        <f ca="1">ROUND(T_Facebook_Ads[[#This Row],[video_views]]*RANDBETWEEN(8,12)/10,0)</f>
        <v>45678</v>
      </c>
      <c r="K13" s="4">
        <f ca="1">T_Facebook_Ads[[#This Row],[engagement_rate]]*RANDBETWEEN(8,12)/10</f>
        <v>4.0799999999999994E-3</v>
      </c>
      <c r="L13" s="4">
        <f ca="1">ROUND(T_Facebook_Ads[[#This Row],[reach]]*RANDBETWEEN(8,12)/10,0)</f>
        <v>51110</v>
      </c>
      <c r="M13" s="4">
        <f ca="1">T_Facebook_Ads[[#This Row],[frequency]]*RANDBETWEEN(8,12)/10</f>
        <v>1.0799999999999998</v>
      </c>
      <c r="O13" s="3">
        <f t="shared" ca="1" si="1"/>
        <v>45167</v>
      </c>
      <c r="P13" s="4" t="s">
        <v>88</v>
      </c>
      <c r="Q13" s="4" t="s">
        <v>89</v>
      </c>
      <c r="R13" s="4" t="s">
        <v>90</v>
      </c>
      <c r="S13" s="4" t="s">
        <v>59</v>
      </c>
      <c r="T13" s="4">
        <f ca="1">ROUND(_Google_ads[[#This Row],[impressions]]*RANDBETWEEN(8,12)/10,0)</f>
        <v>107654</v>
      </c>
      <c r="U13" s="4">
        <f ca="1">ROUND(_Google_ads[[#This Row],[clicks]]*RANDBETWEEN(8,12)/10,0)</f>
        <v>538</v>
      </c>
      <c r="V13" s="4">
        <f ca="1">_Google_ads[[#This Row],[cost]]*RANDBETWEEN(8,12)/10</f>
        <v>147.94999999999999</v>
      </c>
      <c r="W13" s="4">
        <f ca="1">ROUND(_Google_ads[[#This Row],[conversions]]*RANDBETWEEN(8,12)/10,0)</f>
        <v>17</v>
      </c>
      <c r="X13" s="4">
        <f ca="1">ROUND(_Google_ads[[#This Row],[conversion_value]]*RANDBETWEEN(8,12)/10,0)</f>
        <v>560</v>
      </c>
      <c r="Y13" s="4">
        <f ca="1">_Google_ads[[#This Row],[ctr]]*RANDBETWEEN(8,12)/10</f>
        <v>2.8799999999999997E-3</v>
      </c>
      <c r="Z13" s="4">
        <f ca="1">_Google_ads[[#This Row],[avg_cpc]]*RANDBETWEEN(8,12)/10</f>
        <v>0.25200000000000006</v>
      </c>
      <c r="AA13" s="4">
        <f ca="1">ROUND(_Google_ads[[#This Row],[quality_score]]*RANDBETWEEN(8,12)/10,0)</f>
        <v>8</v>
      </c>
      <c r="AB13" s="4">
        <f ca="1">_Google_ads[[#This Row],[search_impression_share]]*RANDBETWEEN(8,12)/10</f>
        <v>0.28799999999999998</v>
      </c>
      <c r="AD13" s="3">
        <f t="shared" ca="1" si="2"/>
        <v>45149</v>
      </c>
      <c r="AE13" s="4" t="s">
        <v>112</v>
      </c>
      <c r="AF13" s="4" t="s">
        <v>113</v>
      </c>
      <c r="AG13" s="4" t="s">
        <v>114</v>
      </c>
      <c r="AH13" s="4" t="s">
        <v>115</v>
      </c>
      <c r="AI13" s="4">
        <f ca="1">ROUND(T_Tiktok_ads[[#This Row],[impressions]]*RANDBETWEEN(8,12)/10,0)</f>
        <v>331101</v>
      </c>
      <c r="AJ13" s="4">
        <f ca="1">ROUND(T_Tiktok_ads[[#This Row],[clicks]]*RANDBETWEEN(8,12)/10,0)</f>
        <v>7214</v>
      </c>
      <c r="AK13" s="4">
        <v>923.4</v>
      </c>
      <c r="AL13" s="4">
        <f ca="1">ROUND(T_Tiktok_ads[[#This Row],[conversions]]*RANDBETWEEN(8,12)/10,0)</f>
        <v>94</v>
      </c>
      <c r="AM13" s="4">
        <f ca="1">ROUND(T_Tiktok_ads[[#This Row],[video_views]]*RANDBETWEEN(8,12)/10,0)</f>
        <v>301234</v>
      </c>
      <c r="AN13" s="4">
        <f ca="1">ROUND(T_Tiktok_ads[[#This Row],[video_watch_25]]*RANDBETWEEN(8,12)/10,0)</f>
        <v>221110</v>
      </c>
      <c r="AO13" s="4">
        <f ca="1">ROUND(T_Tiktok_ads[[#This Row],[video_watch_50]]*RANDBETWEEN(8,12)/10,0)</f>
        <v>177110</v>
      </c>
      <c r="AP13" s="4">
        <f ca="1">ROUND(T_Tiktok_ads[[#This Row],[video_watch_75]]*RANDBETWEEN(8,12)/10,0)</f>
        <v>154257</v>
      </c>
      <c r="AQ13" s="4">
        <f ca="1">ROUND(T_Tiktok_ads[[#This Row],[video_watch_100]]*RANDBETWEEN(8,12)/10,0)</f>
        <v>102802</v>
      </c>
      <c r="AR13" s="4">
        <f ca="1">ROUND(T_Tiktok_ads[[#This Row],[likes]]*RANDBETWEEN(8,12)/10,0)</f>
        <v>14611</v>
      </c>
      <c r="AS13" s="4">
        <f ca="1">ROUND(T_Tiktok_ads[[#This Row],[shares]]*RANDBETWEEN(8,12)/10,0)</f>
        <v>5747</v>
      </c>
      <c r="AT13" s="4">
        <f ca="1">ROUND(T_Tiktok_ads[[#This Row],[comments]]*RANDBETWEEN(8,12)/10,0)</f>
        <v>1031</v>
      </c>
      <c r="AV13" s="5">
        <f t="shared" ca="1" si="3"/>
        <v>45145</v>
      </c>
      <c r="AW13">
        <f t="shared" ca="1" si="4"/>
        <v>1</v>
      </c>
      <c r="AX13">
        <f ca="1">ROUND(T_Facebook_Ads1159636771757983[[#This Row],[impressions]]*RANDBETWEEN(8,12)/10,0)</f>
        <v>61101</v>
      </c>
      <c r="AY13">
        <f ca="1">ROUND(T_Facebook_Ads1159636771757983[[#This Row],[clicks]]*RANDBETWEEN(8,12)/10,0)</f>
        <v>211</v>
      </c>
      <c r="AZ13">
        <f ca="1">T_Facebook_Ads1159636771757983[[#This Row],[spend]]*RANDBETWEEN(8,12)/10</f>
        <v>71.599999999999994</v>
      </c>
      <c r="BA13">
        <f ca="1">ROUND(T_Facebook_Ads1159636771757983[[#This Row],[conversions]]*RANDBETWEEN(8,12)/10,0)</f>
        <v>5</v>
      </c>
      <c r="BB13">
        <f ca="1">ROUND(T_Facebook_Ads1159636771757983[[#This Row],[video_views]]*RANDBETWEEN(8,12)/10,0)</f>
        <v>54814</v>
      </c>
    </row>
    <row r="14" spans="1:54" ht="15.75" thickBot="1" x14ac:dyDescent="0.3">
      <c r="A14" s="3">
        <f t="shared" ca="1" si="0"/>
        <v>45158</v>
      </c>
      <c r="B14" s="4" t="s">
        <v>52</v>
      </c>
      <c r="C14" s="4" t="s">
        <v>53</v>
      </c>
      <c r="D14" s="4" t="s">
        <v>54</v>
      </c>
      <c r="E14" s="4" t="s">
        <v>55</v>
      </c>
      <c r="F14" s="4">
        <f ca="1">ROUND(T_Facebook_Ads[[#This Row],[impressions]]*RANDBETWEEN(8,12)/10,0)</f>
        <v>42110</v>
      </c>
      <c r="G14" s="4">
        <v>934</v>
      </c>
      <c r="H14" s="4">
        <f ca="1">T_Facebook_Ads[[#This Row],[spend]]*RANDBETWEEN(8,12)/10</f>
        <v>118.08</v>
      </c>
      <c r="I14" s="4">
        <f ca="1">ROUND(T_Facebook_Ads[[#This Row],[conversions]]*RANDBETWEEN(8,12)/10,0)</f>
        <v>16</v>
      </c>
      <c r="J14" s="4">
        <f ca="1">ROUND(T_Facebook_Ads[[#This Row],[video_views]]*RANDBETWEEN(8,12)/10,0)</f>
        <v>8567</v>
      </c>
      <c r="K14" s="4">
        <f ca="1">T_Facebook_Ads[[#This Row],[engagement_rate]]*RANDBETWEEN(8,12)/10</f>
        <v>2.4E-2</v>
      </c>
      <c r="L14" s="4">
        <f ca="1">ROUND(T_Facebook_Ads[[#This Row],[reach]]*RANDBETWEEN(8,12)/10,0)</f>
        <v>31387</v>
      </c>
      <c r="M14" s="4">
        <f ca="1">T_Facebook_Ads[[#This Row],[frequency]]*RANDBETWEEN(8,12)/10</f>
        <v>1.19</v>
      </c>
      <c r="O14" s="3">
        <f t="shared" ca="1" si="1"/>
        <v>45145</v>
      </c>
      <c r="P14" s="4" t="s">
        <v>76</v>
      </c>
      <c r="Q14" s="4" t="s">
        <v>77</v>
      </c>
      <c r="R14" s="4" t="s">
        <v>78</v>
      </c>
      <c r="S14" s="4" t="s">
        <v>79</v>
      </c>
      <c r="T14" s="4">
        <f ca="1">ROUND(_Google_ads[[#This Row],[impressions]]*RANDBETWEEN(8,12)/10,0)</f>
        <v>19112</v>
      </c>
      <c r="U14" s="4">
        <f ca="1">ROUND(_Google_ads[[#This Row],[clicks]]*RANDBETWEEN(8,12)/10,0)</f>
        <v>1481</v>
      </c>
      <c r="V14" s="4">
        <f ca="1">_Google_ads[[#This Row],[cost]]*RANDBETWEEN(8,12)/10</f>
        <v>258.39</v>
      </c>
      <c r="W14" s="4">
        <f ca="1">ROUND(_Google_ads[[#This Row],[conversions]]*RANDBETWEEN(8,12)/10,0)</f>
        <v>51</v>
      </c>
      <c r="X14" s="4">
        <f ca="1">ROUND(_Google_ads[[#This Row],[conversion_value]]*RANDBETWEEN(8,12)/10,0)</f>
        <v>2530</v>
      </c>
      <c r="Y14" s="4">
        <f ca="1">_Google_ads[[#This Row],[ctr]]*RANDBETWEEN(8,12)/10</f>
        <v>4.1360000000000001E-2</v>
      </c>
      <c r="Z14" s="4">
        <f ca="1">_Google_ads[[#This Row],[avg_cpc]]*RANDBETWEEN(8,12)/10</f>
        <v>0.152</v>
      </c>
      <c r="AA14" s="4">
        <f ca="1">ROUND(_Google_ads[[#This Row],[quality_score]]*RANDBETWEEN(8,12)/10,0)</f>
        <v>8</v>
      </c>
      <c r="AB14" s="4">
        <f ca="1">_Google_ads[[#This Row],[search_impression_share]]*RANDBETWEEN(8,12)/10</f>
        <v>1.0920000000000001</v>
      </c>
      <c r="AD14" s="3">
        <f t="shared" ca="1" si="2"/>
        <v>45145</v>
      </c>
      <c r="AE14" s="4" t="s">
        <v>100</v>
      </c>
      <c r="AF14" s="4" t="s">
        <v>101</v>
      </c>
      <c r="AG14" s="4" t="s">
        <v>102</v>
      </c>
      <c r="AH14" s="4" t="s">
        <v>103</v>
      </c>
      <c r="AI14" s="4">
        <f ca="1">ROUND(T_Tiktok_ads[[#This Row],[impressions]]*RANDBETWEEN(8,12)/10,0)</f>
        <v>187387</v>
      </c>
      <c r="AJ14" s="4">
        <f ca="1">ROUND(T_Tiktok_ads[[#This Row],[clicks]]*RANDBETWEEN(8,12)/10,0)</f>
        <v>3120</v>
      </c>
      <c r="AK14" s="4">
        <v>460.2</v>
      </c>
      <c r="AL14" s="4">
        <f ca="1">ROUND(T_Tiktok_ads[[#This Row],[conversions]]*RANDBETWEEN(8,12)/10,0)</f>
        <v>42</v>
      </c>
      <c r="AM14" s="4">
        <f ca="1">ROUND(T_Tiktok_ads[[#This Row],[video_views]]*RANDBETWEEN(8,12)/10,0)</f>
        <v>219157</v>
      </c>
      <c r="AN14" s="4">
        <f ca="1">ROUND(T_Tiktok_ads[[#This Row],[video_watch_25]]*RANDBETWEEN(8,12)/10,0)</f>
        <v>156789</v>
      </c>
      <c r="AO14" s="4">
        <f ca="1">ROUND(T_Tiktok_ads[[#This Row],[video_watch_50]]*RANDBETWEEN(8,12)/10,0)</f>
        <v>88910</v>
      </c>
      <c r="AP14" s="4">
        <f ca="1">ROUND(T_Tiktok_ads[[#This Row],[video_watch_75]]*RANDBETWEEN(8,12)/10,0)</f>
        <v>74568</v>
      </c>
      <c r="AQ14" s="4">
        <f ca="1">ROUND(T_Tiktok_ads[[#This Row],[video_watch_100]]*RANDBETWEEN(8,12)/10,0)</f>
        <v>50002</v>
      </c>
      <c r="AR14" s="4">
        <f ca="1">ROUND(T_Tiktok_ads[[#This Row],[likes]]*RANDBETWEEN(8,12)/10,0)</f>
        <v>9840</v>
      </c>
      <c r="AS14" s="4">
        <f ca="1">ROUND(T_Tiktok_ads[[#This Row],[shares]]*RANDBETWEEN(8,12)/10,0)</f>
        <v>1894</v>
      </c>
      <c r="AT14" s="4">
        <f ca="1">ROUND(T_Tiktok_ads[[#This Row],[comments]]*RANDBETWEEN(8,12)/10,0)</f>
        <v>520</v>
      </c>
      <c r="AV14" s="5">
        <f t="shared" ca="1" si="3"/>
        <v>45147</v>
      </c>
      <c r="AW14">
        <f t="shared" ca="1" si="4"/>
        <v>2</v>
      </c>
      <c r="AX14">
        <f ca="1">ROUND(T_Facebook_Ads1159636771757983[[#This Row],[impressions]]*RANDBETWEEN(8,12)/10,0)</f>
        <v>46321</v>
      </c>
      <c r="AY14">
        <f ca="1">ROUND(T_Facebook_Ads1159636771757983[[#This Row],[clicks]]*RANDBETWEEN(8,12)/10,0)</f>
        <v>841</v>
      </c>
      <c r="AZ14">
        <f ca="1">T_Facebook_Ads1159636771757983[[#This Row],[spend]]*RANDBETWEEN(8,12)/10</f>
        <v>94.463999999999999</v>
      </c>
      <c r="BA14">
        <f ca="1">ROUND(T_Facebook_Ads1159636771757983[[#This Row],[conversions]]*RANDBETWEEN(8,12)/10,0)</f>
        <v>19</v>
      </c>
      <c r="BB14">
        <f ca="1">ROUND(T_Facebook_Ads1159636771757983[[#This Row],[video_views]]*RANDBETWEEN(8,12)/10,0)</f>
        <v>6854</v>
      </c>
    </row>
    <row r="15" spans="1:54" ht="15.75" thickBot="1" x14ac:dyDescent="0.3">
      <c r="A15" s="3">
        <f t="shared" ca="1" si="0"/>
        <v>45150</v>
      </c>
      <c r="B15" s="4" t="s">
        <v>56</v>
      </c>
      <c r="C15" s="4" t="s">
        <v>57</v>
      </c>
      <c r="D15" s="4" t="s">
        <v>58</v>
      </c>
      <c r="E15" s="4" t="s">
        <v>59</v>
      </c>
      <c r="F15" s="4">
        <f ca="1">ROUND(T_Facebook_Ads[[#This Row],[impressions]]*RANDBETWEEN(8,12)/10,0)</f>
        <v>14179</v>
      </c>
      <c r="G15" s="4">
        <v>567</v>
      </c>
      <c r="H15" s="4">
        <f ca="1">T_Facebook_Ads[[#This Row],[spend]]*RANDBETWEEN(8,12)/10</f>
        <v>220.3</v>
      </c>
      <c r="I15" s="4">
        <f ca="1">ROUND(T_Facebook_Ads[[#This Row],[conversions]]*RANDBETWEEN(8,12)/10,0)</f>
        <v>40</v>
      </c>
      <c r="J15" s="4">
        <f ca="1">ROUND(T_Facebook_Ads[[#This Row],[video_views]]*RANDBETWEEN(8,12)/10,0)</f>
        <v>1345</v>
      </c>
      <c r="K15" s="4">
        <f ca="1">T_Facebook_Ads[[#This Row],[engagement_rate]]*RANDBETWEEN(8,12)/10</f>
        <v>3.5199999999999995E-2</v>
      </c>
      <c r="L15" s="4">
        <f ca="1">ROUND(T_Facebook_Ads[[#This Row],[reach]]*RANDBETWEEN(8,12)/10,0)</f>
        <v>9111</v>
      </c>
      <c r="M15" s="4">
        <f ca="1">T_Facebook_Ads[[#This Row],[frequency]]*RANDBETWEEN(8,12)/10</f>
        <v>1.27</v>
      </c>
      <c r="O15" s="3">
        <f t="shared" ca="1" si="1"/>
        <v>45165</v>
      </c>
      <c r="P15" s="4" t="s">
        <v>80</v>
      </c>
      <c r="Q15" s="4" t="s">
        <v>81</v>
      </c>
      <c r="R15" s="4" t="s">
        <v>82</v>
      </c>
      <c r="S15" s="4" t="s">
        <v>83</v>
      </c>
      <c r="T15" s="4">
        <f ca="1">ROUND(_Google_ads[[#This Row],[impressions]]*RANDBETWEEN(8,12)/10,0)</f>
        <v>41611</v>
      </c>
      <c r="U15" s="4">
        <f ca="1">ROUND(_Google_ads[[#This Row],[clicks]]*RANDBETWEEN(8,12)/10,0)</f>
        <v>912</v>
      </c>
      <c r="V15" s="4">
        <f ca="1">_Google_ads[[#This Row],[cost]]*RANDBETWEEN(8,12)/10</f>
        <v>471.43999999999994</v>
      </c>
      <c r="W15" s="4">
        <f ca="1">ROUND(_Google_ads[[#This Row],[conversions]]*RANDBETWEEN(8,12)/10,0)</f>
        <v>22</v>
      </c>
      <c r="X15" s="4">
        <f ca="1">ROUND(_Google_ads[[#This Row],[conversion_value]]*RANDBETWEEN(8,12)/10,0)</f>
        <v>1080</v>
      </c>
      <c r="Y15" s="4">
        <f ca="1">_Google_ads[[#This Row],[ctr]]*RANDBETWEEN(8,12)/10</f>
        <v>2.3640000000000001E-2</v>
      </c>
      <c r="Z15" s="4">
        <f ca="1">_Google_ads[[#This Row],[avg_cpc]]*RANDBETWEEN(8,12)/10</f>
        <v>0.78</v>
      </c>
      <c r="AA15" s="4">
        <f ca="1">ROUND(_Google_ads[[#This Row],[quality_score]]*RANDBETWEEN(8,12)/10,0)</f>
        <v>6</v>
      </c>
      <c r="AB15" s="4">
        <f ca="1">_Google_ads[[#This Row],[search_impression_share]]*RANDBETWEEN(8,12)/10</f>
        <v>0.45</v>
      </c>
      <c r="AD15" s="3">
        <f t="shared" ca="1" si="2"/>
        <v>45166</v>
      </c>
      <c r="AE15" s="4" t="s">
        <v>104</v>
      </c>
      <c r="AF15" s="4" t="s">
        <v>105</v>
      </c>
      <c r="AG15" s="4" t="s">
        <v>106</v>
      </c>
      <c r="AH15" s="4" t="s">
        <v>107</v>
      </c>
      <c r="AI15" s="4">
        <f ca="1">ROUND(T_Tiktok_ads[[#This Row],[impressions]]*RANDBETWEEN(8,12)/10,0)</f>
        <v>128901</v>
      </c>
      <c r="AJ15" s="4">
        <f ca="1">ROUND(T_Tiktok_ads[[#This Row],[clicks]]*RANDBETWEEN(8,12)/10,0)</f>
        <v>2456</v>
      </c>
      <c r="AK15" s="4">
        <v>689.5</v>
      </c>
      <c r="AL15" s="4">
        <f ca="1">ROUND(T_Tiktok_ads[[#This Row],[conversions]]*RANDBETWEEN(8,12)/10,0)</f>
        <v>61</v>
      </c>
      <c r="AM15" s="4">
        <f ca="1">ROUND(T_Tiktok_ads[[#This Row],[video_views]]*RANDBETWEEN(8,12)/10,0)</f>
        <v>109481</v>
      </c>
      <c r="AN15" s="4">
        <f ca="1">ROUND(T_Tiktok_ads[[#This Row],[video_watch_25]]*RANDBETWEEN(8,12)/10,0)</f>
        <v>54587</v>
      </c>
      <c r="AO15" s="4">
        <f ca="1">ROUND(T_Tiktok_ads[[#This Row],[video_watch_50]]*RANDBETWEEN(8,12)/10,0)</f>
        <v>50368</v>
      </c>
      <c r="AP15" s="4">
        <f ca="1">ROUND(T_Tiktok_ads[[#This Row],[video_watch_75]]*RANDBETWEEN(8,12)/10,0)</f>
        <v>41480</v>
      </c>
      <c r="AQ15" s="4">
        <f ca="1">ROUND(T_Tiktok_ads[[#This Row],[video_watch_100]]*RANDBETWEEN(8,12)/10,0)</f>
        <v>23678</v>
      </c>
      <c r="AR15" s="4">
        <f ca="1">ROUND(T_Tiktok_ads[[#This Row],[likes]]*RANDBETWEEN(8,12)/10,0)</f>
        <v>5614</v>
      </c>
      <c r="AS15" s="4">
        <f ca="1">ROUND(T_Tiktok_ads[[#This Row],[shares]]*RANDBETWEEN(8,12)/10,0)</f>
        <v>1140</v>
      </c>
      <c r="AT15" s="4">
        <f ca="1">ROUND(T_Tiktok_ads[[#This Row],[comments]]*RANDBETWEEN(8,12)/10,0)</f>
        <v>284</v>
      </c>
      <c r="AV15" s="5">
        <f t="shared" ca="1" si="3"/>
        <v>45142</v>
      </c>
      <c r="AW15">
        <f t="shared" ca="1" si="4"/>
        <v>7</v>
      </c>
      <c r="AX15">
        <f ca="1">ROUND(T_Facebook_Ads1159636771757983[[#This Row],[impressions]]*RANDBETWEEN(8,12)/10,0)</f>
        <v>12761</v>
      </c>
      <c r="AY15">
        <f ca="1">ROUND(T_Facebook_Ads1159636771757983[[#This Row],[clicks]]*RANDBETWEEN(8,12)/10,0)</f>
        <v>680</v>
      </c>
      <c r="AZ15">
        <f ca="1">T_Facebook_Ads1159636771757983[[#This Row],[spend]]*RANDBETWEEN(8,12)/10</f>
        <v>242.33</v>
      </c>
      <c r="BA15">
        <f ca="1">ROUND(T_Facebook_Ads1159636771757983[[#This Row],[conversions]]*RANDBETWEEN(8,12)/10,0)</f>
        <v>40</v>
      </c>
      <c r="BB15">
        <f ca="1">ROUND(T_Facebook_Ads1159636771757983[[#This Row],[video_views]]*RANDBETWEEN(8,12)/10,0)</f>
        <v>1076</v>
      </c>
    </row>
    <row r="16" spans="1:54" ht="15.75" thickBot="1" x14ac:dyDescent="0.3">
      <c r="A16" s="3">
        <f t="shared" ca="1" si="0"/>
        <v>45168</v>
      </c>
      <c r="B16" s="4" t="s">
        <v>64</v>
      </c>
      <c r="C16" s="4" t="s">
        <v>65</v>
      </c>
      <c r="D16" s="4" t="s">
        <v>66</v>
      </c>
      <c r="E16" s="4" t="s">
        <v>67</v>
      </c>
      <c r="F16" s="4">
        <f ca="1">ROUND(T_Facebook_Ads[[#This Row],[impressions]]*RANDBETWEEN(8,12)/10,0)</f>
        <v>64111</v>
      </c>
      <c r="G16" s="4">
        <v>256</v>
      </c>
      <c r="H16" s="4">
        <f ca="1">T_Facebook_Ads[[#This Row],[spend]]*RANDBETWEEN(8,12)/10</f>
        <v>104.28</v>
      </c>
      <c r="I16" s="4">
        <f ca="1">ROUND(T_Facebook_Ads[[#This Row],[conversions]]*RANDBETWEEN(8,12)/10,0)</f>
        <v>7</v>
      </c>
      <c r="J16" s="4">
        <f ca="1">ROUND(T_Facebook_Ads[[#This Row],[video_views]]*RANDBETWEEN(8,12)/10,0)</f>
        <v>44011</v>
      </c>
      <c r="K16" s="4">
        <f ca="1">T_Facebook_Ads[[#This Row],[engagement_rate]]*RANDBETWEEN(8,12)/10</f>
        <v>2.8799999999999997E-3</v>
      </c>
      <c r="L16" s="4">
        <f ca="1">ROUND(T_Facebook_Ads[[#This Row],[reach]]*RANDBETWEEN(8,12)/10,0)</f>
        <v>59234</v>
      </c>
      <c r="M16" s="4">
        <f ca="1">T_Facebook_Ads[[#This Row],[frequency]]*RANDBETWEEN(8,12)/10</f>
        <v>0.96</v>
      </c>
      <c r="O16" s="3">
        <f t="shared" ca="1" si="1"/>
        <v>45158</v>
      </c>
      <c r="P16" s="4" t="s">
        <v>88</v>
      </c>
      <c r="Q16" s="4" t="s">
        <v>89</v>
      </c>
      <c r="R16" s="4" t="s">
        <v>90</v>
      </c>
      <c r="S16" s="4" t="s">
        <v>59</v>
      </c>
      <c r="T16" s="4">
        <f ca="1">ROUND(_Google_ads[[#This Row],[impressions]]*RANDBETWEEN(8,12)/10,0)</f>
        <v>154681</v>
      </c>
      <c r="U16" s="4">
        <f ca="1">ROUND(_Google_ads[[#This Row],[clicks]]*RANDBETWEEN(8,12)/10,0)</f>
        <v>514</v>
      </c>
      <c r="V16" s="4">
        <f ca="1">_Google_ads[[#This Row],[cost]]*RANDBETWEEN(8,12)/10</f>
        <v>128.9</v>
      </c>
      <c r="W16" s="4">
        <f ca="1">ROUND(_Google_ads[[#This Row],[conversions]]*RANDBETWEEN(8,12)/10,0)</f>
        <v>16</v>
      </c>
      <c r="X16" s="4">
        <f ca="1">ROUND(_Google_ads[[#This Row],[conversion_value]]*RANDBETWEEN(8,12)/10,0)</f>
        <v>715</v>
      </c>
      <c r="Y16" s="4">
        <f ca="1">_Google_ads[[#This Row],[ctr]]*RANDBETWEEN(8,12)/10</f>
        <v>2.8799999999999997E-3</v>
      </c>
      <c r="Z16" s="4">
        <f ca="1">_Google_ads[[#This Row],[avg_cpc]]*RANDBETWEEN(8,12)/10</f>
        <v>0.308</v>
      </c>
      <c r="AA16" s="4">
        <f ca="1">ROUND(_Google_ads[[#This Row],[quality_score]]*RANDBETWEEN(8,12)/10,0)</f>
        <v>7</v>
      </c>
      <c r="AB16" s="4">
        <f ca="1">_Google_ads[[#This Row],[search_impression_share]]*RANDBETWEEN(8,12)/10</f>
        <v>0.30599999999999999</v>
      </c>
      <c r="AD16" s="3">
        <f t="shared" ca="1" si="2"/>
        <v>45142</v>
      </c>
      <c r="AE16" s="4" t="s">
        <v>112</v>
      </c>
      <c r="AF16" s="4" t="s">
        <v>113</v>
      </c>
      <c r="AG16" s="4" t="s">
        <v>114</v>
      </c>
      <c r="AH16" s="4" t="s">
        <v>115</v>
      </c>
      <c r="AI16" s="4">
        <f ca="1">ROUND(T_Tiktok_ads[[#This Row],[impressions]]*RANDBETWEEN(8,12)/10,0)</f>
        <v>321110</v>
      </c>
      <c r="AJ16" s="4">
        <f ca="1">ROUND(T_Tiktok_ads[[#This Row],[clicks]]*RANDBETWEEN(8,12)/10,0)</f>
        <v>5251</v>
      </c>
      <c r="AK16" s="4">
        <v>901.2</v>
      </c>
      <c r="AL16" s="4">
        <f ca="1">ROUND(T_Tiktok_ads[[#This Row],[conversions]]*RANDBETWEEN(8,12)/10,0)</f>
        <v>100</v>
      </c>
      <c r="AM16" s="4">
        <f ca="1">ROUND(T_Tiktok_ads[[#This Row],[video_views]]*RANDBETWEEN(8,12)/10,0)</f>
        <v>234765</v>
      </c>
      <c r="AN16" s="4">
        <f ca="1">ROUND(T_Tiktok_ads[[#This Row],[video_watch_25]]*RANDBETWEEN(8,12)/10,0)</f>
        <v>239234</v>
      </c>
      <c r="AO16" s="4">
        <f ca="1">ROUND(T_Tiktok_ads[[#This Row],[video_watch_50]]*RANDBETWEEN(8,12)/10,0)</f>
        <v>172111</v>
      </c>
      <c r="AP16" s="4">
        <f ca="1">ROUND(T_Tiktok_ads[[#This Row],[video_watch_75]]*RANDBETWEEN(8,12)/10,0)</f>
        <v>149857</v>
      </c>
      <c r="AQ16" s="4">
        <f ca="1">ROUND(T_Tiktok_ads[[#This Row],[video_watch_100]]*RANDBETWEEN(8,12)/10,0)</f>
        <v>72187</v>
      </c>
      <c r="AR16" s="4">
        <f ca="1">ROUND(T_Tiktok_ads[[#This Row],[likes]]*RANDBETWEEN(8,12)/10,0)</f>
        <v>12712</v>
      </c>
      <c r="AS16" s="4">
        <f ca="1">ROUND(T_Tiktok_ads[[#This Row],[shares]]*RANDBETWEEN(8,12)/10,0)</f>
        <v>4634</v>
      </c>
      <c r="AT16" s="4">
        <f ca="1">ROUND(T_Tiktok_ads[[#This Row],[comments]]*RANDBETWEEN(8,12)/10,0)</f>
        <v>1256</v>
      </c>
      <c r="AV16" s="5">
        <f t="shared" ca="1" si="3"/>
        <v>45148</v>
      </c>
      <c r="AW16">
        <f t="shared" ca="1" si="4"/>
        <v>6</v>
      </c>
      <c r="AX16">
        <f ca="1">ROUND(T_Facebook_Ads1159636771757983[[#This Row],[impressions]]*RANDBETWEEN(8,12)/10,0)</f>
        <v>70522</v>
      </c>
      <c r="AY16">
        <f ca="1">ROUND(T_Facebook_Ads1159636771757983[[#This Row],[clicks]]*RANDBETWEEN(8,12)/10,0)</f>
        <v>256</v>
      </c>
      <c r="AZ16">
        <f ca="1">T_Facebook_Ads1159636771757983[[#This Row],[spend]]*RANDBETWEEN(8,12)/10</f>
        <v>125.13600000000001</v>
      </c>
      <c r="BA16">
        <f ca="1">ROUND(T_Facebook_Ads1159636771757983[[#This Row],[conversions]]*RANDBETWEEN(8,12)/10,0)</f>
        <v>8</v>
      </c>
      <c r="BB16">
        <f ca="1">ROUND(T_Facebook_Ads1159636771757983[[#This Row],[video_views]]*RANDBETWEEN(8,12)/10,0)</f>
        <v>39610</v>
      </c>
    </row>
    <row r="17" spans="1:54" ht="15.75" thickBot="1" x14ac:dyDescent="0.3">
      <c r="A17" s="3">
        <f t="shared" ca="1" si="0"/>
        <v>45148</v>
      </c>
      <c r="B17" s="4" t="s">
        <v>52</v>
      </c>
      <c r="C17" s="4" t="s">
        <v>53</v>
      </c>
      <c r="D17" s="4" t="s">
        <v>54</v>
      </c>
      <c r="E17" s="4" t="s">
        <v>55</v>
      </c>
      <c r="F17" s="4">
        <f ca="1">ROUND(T_Facebook_Ads[[#This Row],[impressions]]*RANDBETWEEN(8,12)/10,0)</f>
        <v>49024</v>
      </c>
      <c r="G17" s="4">
        <v>878</v>
      </c>
      <c r="H17" s="4">
        <f ca="1">T_Facebook_Ads[[#This Row],[spend]]*RANDBETWEEN(8,12)/10</f>
        <v>150.71999999999997</v>
      </c>
      <c r="I17" s="4">
        <f ca="1">ROUND(T_Facebook_Ads[[#This Row],[conversions]]*RANDBETWEEN(8,12)/10,0)</f>
        <v>12</v>
      </c>
      <c r="J17" s="4">
        <f ca="1">ROUND(T_Facebook_Ads[[#This Row],[video_views]]*RANDBETWEEN(8,12)/10,0)</f>
        <v>6498</v>
      </c>
      <c r="K17" s="4">
        <f ca="1">T_Facebook_Ads[[#This Row],[engagement_rate]]*RANDBETWEEN(8,12)/10</f>
        <v>2.3640000000000001E-2</v>
      </c>
      <c r="L17" s="4">
        <f ca="1">ROUND(T_Facebook_Ads[[#This Row],[reach]]*RANDBETWEEN(8,12)/10,0)</f>
        <v>41202</v>
      </c>
      <c r="M17" s="4">
        <f ca="1">T_Facebook_Ads[[#This Row],[frequency]]*RANDBETWEEN(8,12)/10</f>
        <v>1.3089999999999999</v>
      </c>
      <c r="O17" s="3">
        <f t="shared" ca="1" si="1"/>
        <v>45144</v>
      </c>
      <c r="P17" s="4" t="s">
        <v>76</v>
      </c>
      <c r="Q17" s="4" t="s">
        <v>77</v>
      </c>
      <c r="R17" s="4" t="s">
        <v>78</v>
      </c>
      <c r="S17" s="4" t="s">
        <v>79</v>
      </c>
      <c r="T17" s="4">
        <f ca="1">ROUND(_Google_ads[[#This Row],[impressions]]*RANDBETWEEN(8,12)/10,0)</f>
        <v>26657</v>
      </c>
      <c r="U17" s="4">
        <f ca="1">ROUND(_Google_ads[[#This Row],[clicks]]*RANDBETWEEN(8,12)/10,0)</f>
        <v>1140</v>
      </c>
      <c r="V17" s="4">
        <f ca="1">_Google_ads[[#This Row],[cost]]*RANDBETWEEN(8,12)/10</f>
        <v>289.43999999999994</v>
      </c>
      <c r="W17" s="4">
        <f ca="1">ROUND(_Google_ads[[#This Row],[conversions]]*RANDBETWEEN(8,12)/10,0)</f>
        <v>47</v>
      </c>
      <c r="X17" s="4">
        <f ca="1">ROUND(_Google_ads[[#This Row],[conversion_value]]*RANDBETWEEN(8,12)/10,0)</f>
        <v>2820</v>
      </c>
      <c r="Y17" s="4">
        <f ca="1">_Google_ads[[#This Row],[ctr]]*RANDBETWEEN(8,12)/10</f>
        <v>4.1840000000000002E-2</v>
      </c>
      <c r="Z17" s="4">
        <f ca="1">_Google_ads[[#This Row],[avg_cpc]]*RANDBETWEEN(8,12)/10</f>
        <v>0.22800000000000004</v>
      </c>
      <c r="AA17" s="4">
        <f ca="1">ROUND(_Google_ads[[#This Row],[quality_score]]*RANDBETWEEN(8,12)/10,0)</f>
        <v>10</v>
      </c>
      <c r="AB17" s="4">
        <f ca="1">_Google_ads[[#This Row],[search_impression_share]]*RANDBETWEEN(8,12)/10</f>
        <v>1.012</v>
      </c>
      <c r="AD17" s="3">
        <f t="shared" ca="1" si="2"/>
        <v>45144</v>
      </c>
      <c r="AE17" s="4" t="s">
        <v>100</v>
      </c>
      <c r="AF17" s="4" t="s">
        <v>101</v>
      </c>
      <c r="AG17" s="4" t="s">
        <v>102</v>
      </c>
      <c r="AH17" s="4" t="s">
        <v>103</v>
      </c>
      <c r="AI17" s="4">
        <f ca="1">ROUND(T_Tiktok_ads[[#This Row],[impressions]]*RANDBETWEEN(8,12)/10,0)</f>
        <v>321468</v>
      </c>
      <c r="AJ17" s="4">
        <f ca="1">ROUND(T_Tiktok_ads[[#This Row],[clicks]]*RANDBETWEEN(8,12)/10,0)</f>
        <v>3945</v>
      </c>
      <c r="AK17" s="4">
        <v>523.4</v>
      </c>
      <c r="AL17" s="4">
        <f ca="1">ROUND(T_Tiktok_ads[[#This Row],[conversions]]*RANDBETWEEN(8,12)/10,0)</f>
        <v>36</v>
      </c>
      <c r="AM17" s="4">
        <f ca="1">ROUND(T_Tiktok_ads[[#This Row],[video_views]]*RANDBETWEEN(8,12)/10,0)</f>
        <v>176987</v>
      </c>
      <c r="AN17" s="4">
        <f ca="1">ROUND(T_Tiktok_ads[[#This Row],[video_watch_25]]*RANDBETWEEN(8,12)/10,0)</f>
        <v>156110</v>
      </c>
      <c r="AO17" s="4">
        <f ca="1">ROUND(T_Tiktok_ads[[#This Row],[video_watch_50]]*RANDBETWEEN(8,12)/10,0)</f>
        <v>98311</v>
      </c>
      <c r="AP17" s="4">
        <f ca="1">ROUND(T_Tiktok_ads[[#This Row],[video_watch_75]]*RANDBETWEEN(8,12)/10,0)</f>
        <v>88280</v>
      </c>
      <c r="AQ17" s="4">
        <f ca="1">ROUND(T_Tiktok_ads[[#This Row],[video_watch_100]]*RANDBETWEEN(8,12)/10,0)</f>
        <v>39387</v>
      </c>
      <c r="AR17" s="4">
        <f ca="1">ROUND(T_Tiktok_ads[[#This Row],[likes]]*RANDBETWEEN(8,12)/10,0)</f>
        <v>11747</v>
      </c>
      <c r="AS17" s="4">
        <f ca="1">ROUND(T_Tiktok_ads[[#This Row],[shares]]*RANDBETWEEN(8,12)/10,0)</f>
        <v>2897</v>
      </c>
      <c r="AT17" s="4">
        <f ca="1">ROUND(T_Tiktok_ads[[#This Row],[comments]]*RANDBETWEEN(8,12)/10,0)</f>
        <v>623</v>
      </c>
      <c r="AV17" s="5">
        <f t="shared" ca="1" si="3"/>
        <v>45165</v>
      </c>
      <c r="AW17">
        <f t="shared" ca="1" si="4"/>
        <v>2</v>
      </c>
      <c r="AX17">
        <f ca="1">ROUND(T_Facebook_Ads1159636771757983[[#This Row],[impressions]]*RANDBETWEEN(8,12)/10,0)</f>
        <v>44122</v>
      </c>
      <c r="AY17">
        <f ca="1">ROUND(T_Facebook_Ads1159636771757983[[#This Row],[clicks]]*RANDBETWEEN(8,12)/10,0)</f>
        <v>790</v>
      </c>
      <c r="AZ17">
        <f ca="1">T_Facebook_Ads1159636771757983[[#This Row],[spend]]*RANDBETWEEN(8,12)/10</f>
        <v>150.71999999999997</v>
      </c>
      <c r="BA17">
        <f ca="1">ROUND(T_Facebook_Ads1159636771757983[[#This Row],[conversions]]*RANDBETWEEN(8,12)/10,0)</f>
        <v>12</v>
      </c>
      <c r="BB17">
        <f ca="1">ROUND(T_Facebook_Ads1159636771757983[[#This Row],[video_views]]*RANDBETWEEN(8,12)/10,0)</f>
        <v>7798</v>
      </c>
    </row>
    <row r="18" spans="1:54" ht="15.75" thickBot="1" x14ac:dyDescent="0.3">
      <c r="A18" s="3">
        <f t="shared" ca="1" si="0"/>
        <v>45169</v>
      </c>
      <c r="B18" s="4" t="s">
        <v>60</v>
      </c>
      <c r="C18" s="4" t="s">
        <v>61</v>
      </c>
      <c r="D18" s="4" t="s">
        <v>62</v>
      </c>
      <c r="E18" s="4" t="s">
        <v>63</v>
      </c>
      <c r="F18" s="4">
        <f ca="1">ROUND(T_Facebook_Ads[[#This Row],[impressions]]*RANDBETWEEN(8,12)/10,0)</f>
        <v>28542</v>
      </c>
      <c r="G18" s="4">
        <v>1289</v>
      </c>
      <c r="H18" s="4">
        <f ca="1">T_Facebook_Ads[[#This Row],[spend]]*RANDBETWEEN(8,12)/10</f>
        <v>176.04</v>
      </c>
      <c r="I18" s="4">
        <f ca="1">ROUND(T_Facebook_Ads[[#This Row],[conversions]]*RANDBETWEEN(8,12)/10,0)</f>
        <v>22</v>
      </c>
      <c r="J18" s="4">
        <f ca="1">ROUND(T_Facebook_Ads[[#This Row],[video_views]]*RANDBETWEEN(8,12)/10,0)</f>
        <v>5614</v>
      </c>
      <c r="K18" s="4">
        <f ca="1">T_Facebook_Ads[[#This Row],[engagement_rate]]*RANDBETWEEN(8,12)/10</f>
        <v>4.3320000000000004E-2</v>
      </c>
      <c r="L18" s="4">
        <f ca="1">ROUND(T_Facebook_Ads[[#This Row],[reach]]*RANDBETWEEN(8,12)/10,0)</f>
        <v>26411</v>
      </c>
      <c r="M18" s="4">
        <f ca="1">T_Facebook_Ads[[#This Row],[frequency]]*RANDBETWEEN(8,12)/10</f>
        <v>0.97599999999999998</v>
      </c>
      <c r="O18" s="3">
        <f t="shared" ca="1" si="1"/>
        <v>45145</v>
      </c>
      <c r="P18" s="4" t="s">
        <v>84</v>
      </c>
      <c r="Q18" s="4" t="s">
        <v>85</v>
      </c>
      <c r="R18" s="4" t="s">
        <v>86</v>
      </c>
      <c r="S18" s="4" t="s">
        <v>87</v>
      </c>
      <c r="T18" s="4">
        <f ca="1">ROUND(_Google_ads[[#This Row],[impressions]]*RANDBETWEEN(8,12)/10,0)</f>
        <v>57876</v>
      </c>
      <c r="U18" s="4">
        <f ca="1">ROUND(_Google_ads[[#This Row],[clicks]]*RANDBETWEEN(8,12)/10,0)</f>
        <v>2140</v>
      </c>
      <c r="V18" s="4">
        <f ca="1">_Google_ads[[#This Row],[cost]]*RANDBETWEEN(8,12)/10</f>
        <v>476.18999999999994</v>
      </c>
      <c r="W18" s="4">
        <f ca="1">ROUND(_Google_ads[[#This Row],[conversions]]*RANDBETWEEN(8,12)/10,0)</f>
        <v>62</v>
      </c>
      <c r="X18" s="4">
        <f ca="1">ROUND(_Google_ads[[#This Row],[conversion_value]]*RANDBETWEEN(8,12)/10,0)</f>
        <v>3105</v>
      </c>
      <c r="Y18" s="4">
        <f ca="1">_Google_ads[[#This Row],[ctr]]*RANDBETWEEN(8,12)/10</f>
        <v>3.9480000000000001E-2</v>
      </c>
      <c r="Z18" s="4">
        <f ca="1">_Google_ads[[#This Row],[avg_cpc]]*RANDBETWEEN(8,12)/10</f>
        <v>0.18</v>
      </c>
      <c r="AA18" s="4">
        <f ca="1">ROUND(_Google_ads[[#This Row],[quality_score]]*RANDBETWEEN(8,12)/10,0)</f>
        <v>6</v>
      </c>
      <c r="AB18" s="4">
        <f ca="1">_Google_ads[[#This Row],[search_impression_share]]*RANDBETWEEN(8,12)/10</f>
        <v>0.60299999999999998</v>
      </c>
      <c r="AD18" s="3">
        <f t="shared" ca="1" si="2"/>
        <v>45155</v>
      </c>
      <c r="AE18" s="4" t="s">
        <v>108</v>
      </c>
      <c r="AF18" s="4" t="s">
        <v>109</v>
      </c>
      <c r="AG18" s="4" t="s">
        <v>110</v>
      </c>
      <c r="AH18" s="4" t="s">
        <v>111</v>
      </c>
      <c r="AI18" s="4">
        <f ca="1">ROUND(T_Tiktok_ads[[#This Row],[impressions]]*RANDBETWEEN(8,12)/10,0)</f>
        <v>246814</v>
      </c>
      <c r="AJ18" s="4">
        <f ca="1">ROUND(T_Tiktok_ads[[#This Row],[clicks]]*RANDBETWEEN(8,12)/10,0)</f>
        <v>3881</v>
      </c>
      <c r="AK18" s="4">
        <v>387.8</v>
      </c>
      <c r="AL18" s="4">
        <f ca="1">ROUND(T_Tiktok_ads[[#This Row],[conversions]]*RANDBETWEEN(8,12)/10,0)</f>
        <v>32</v>
      </c>
      <c r="AM18" s="4">
        <f ca="1">ROUND(T_Tiktok_ads[[#This Row],[video_views]]*RANDBETWEEN(8,12)/10,0)</f>
        <v>146111</v>
      </c>
      <c r="AN18" s="4">
        <f ca="1">ROUND(T_Tiktok_ads[[#This Row],[video_watch_25]]*RANDBETWEEN(8,12)/10,0)</f>
        <v>99654</v>
      </c>
      <c r="AO18" s="4">
        <f ca="1">ROUND(T_Tiktok_ads[[#This Row],[video_watch_50]]*RANDBETWEEN(8,12)/10,0)</f>
        <v>89011</v>
      </c>
      <c r="AP18" s="4">
        <f ca="1">ROUND(T_Tiktok_ads[[#This Row],[video_watch_75]]*RANDBETWEEN(8,12)/10,0)</f>
        <v>56911</v>
      </c>
      <c r="AQ18" s="4">
        <f ca="1">ROUND(T_Tiktok_ads[[#This Row],[video_watch_100]]*RANDBETWEEN(8,12)/10,0)</f>
        <v>38234</v>
      </c>
      <c r="AR18" s="4">
        <f ca="1">ROUND(T_Tiktok_ads[[#This Row],[likes]]*RANDBETWEEN(8,12)/10,0)</f>
        <v>6810</v>
      </c>
      <c r="AS18" s="4">
        <f ca="1">ROUND(T_Tiktok_ads[[#This Row],[shares]]*RANDBETWEEN(8,12)/10,0)</f>
        <v>2298</v>
      </c>
      <c r="AT18" s="4">
        <f ca="1">ROUND(T_Tiktok_ads[[#This Row],[comments]]*RANDBETWEEN(8,12)/10,0)</f>
        <v>451</v>
      </c>
      <c r="AV18" s="5">
        <f t="shared" ca="1" si="3"/>
        <v>45152</v>
      </c>
      <c r="AW18">
        <f t="shared" ca="1" si="4"/>
        <v>6</v>
      </c>
      <c r="AX18">
        <f ca="1">ROUND(T_Facebook_Ads1159636771757983[[#This Row],[impressions]]*RANDBETWEEN(8,12)/10,0)</f>
        <v>22834</v>
      </c>
      <c r="AY18">
        <f ca="1">ROUND(T_Facebook_Ads1159636771757983[[#This Row],[clicks]]*RANDBETWEEN(8,12)/10,0)</f>
        <v>1160</v>
      </c>
      <c r="AZ18">
        <f ca="1">T_Facebook_Ads1159636771757983[[#This Row],[spend]]*RANDBETWEEN(8,12)/10</f>
        <v>211.24799999999999</v>
      </c>
      <c r="BA18">
        <f ca="1">ROUND(T_Facebook_Ads1159636771757983[[#This Row],[conversions]]*RANDBETWEEN(8,12)/10,0)</f>
        <v>20</v>
      </c>
      <c r="BB18">
        <f ca="1">ROUND(T_Facebook_Ads1159636771757983[[#This Row],[video_views]]*RANDBETWEEN(8,12)/10,0)</f>
        <v>4491</v>
      </c>
    </row>
    <row r="19" spans="1:54" ht="15.75" thickBot="1" x14ac:dyDescent="0.3">
      <c r="A19" s="3">
        <f t="shared" ca="1" si="0"/>
        <v>45143</v>
      </c>
      <c r="B19" s="4" t="s">
        <v>64</v>
      </c>
      <c r="C19" s="4" t="s">
        <v>65</v>
      </c>
      <c r="D19" s="4" t="s">
        <v>66</v>
      </c>
      <c r="E19" s="4" t="s">
        <v>67</v>
      </c>
      <c r="F19" s="4">
        <f ca="1">ROUND(T_Facebook_Ads[[#This Row],[impressions]]*RANDBETWEEN(8,12)/10,0)</f>
        <v>55565</v>
      </c>
      <c r="G19" s="4">
        <v>245</v>
      </c>
      <c r="H19" s="4">
        <f ca="1">T_Facebook_Ads[[#This Row],[spend]]*RANDBETWEEN(8,12)/10</f>
        <v>109.44000000000001</v>
      </c>
      <c r="I19" s="4">
        <f ca="1">ROUND(T_Facebook_Ads[[#This Row],[conversions]]*RANDBETWEEN(8,12)/10,0)</f>
        <v>5</v>
      </c>
      <c r="J19" s="4">
        <f ca="1">ROUND(T_Facebook_Ads[[#This Row],[video_views]]*RANDBETWEEN(8,12)/10,0)</f>
        <v>47234</v>
      </c>
      <c r="K19" s="4">
        <f ca="1">T_Facebook_Ads[[#This Row],[engagement_rate]]*RANDBETWEEN(8,12)/10</f>
        <v>2.8E-3</v>
      </c>
      <c r="L19" s="4">
        <f ca="1">ROUND(T_Facebook_Ads[[#This Row],[reach]]*RANDBETWEEN(8,12)/10,0)</f>
        <v>69468</v>
      </c>
      <c r="M19" s="4">
        <f ca="1">T_Facebook_Ads[[#This Row],[frequency]]*RANDBETWEEN(8,12)/10</f>
        <v>0.96</v>
      </c>
      <c r="O19" s="3">
        <f t="shared" ca="1" si="1"/>
        <v>45147</v>
      </c>
      <c r="P19" s="4" t="s">
        <v>88</v>
      </c>
      <c r="Q19" s="4" t="s">
        <v>89</v>
      </c>
      <c r="R19" s="4" t="s">
        <v>90</v>
      </c>
      <c r="S19" s="4" t="s">
        <v>59</v>
      </c>
      <c r="T19" s="4">
        <f ca="1">ROUND(_Google_ads[[#This Row],[impressions]]*RANDBETWEEN(8,12)/10,0)</f>
        <v>118111</v>
      </c>
      <c r="U19" s="4">
        <f ca="1">ROUND(_Google_ads[[#This Row],[clicks]]*RANDBETWEEN(8,12)/10,0)</f>
        <v>574</v>
      </c>
      <c r="V19" s="4">
        <f ca="1">_Google_ads[[#This Row],[cost]]*RANDBETWEEN(8,12)/10</f>
        <v>145.64000000000001</v>
      </c>
      <c r="W19" s="4">
        <f ca="1">ROUND(_Google_ads[[#This Row],[conversions]]*RANDBETWEEN(8,12)/10,0)</f>
        <v>10</v>
      </c>
      <c r="X19" s="4">
        <f ca="1">ROUND(_Google_ads[[#This Row],[conversion_value]]*RANDBETWEEN(8,12)/10,0)</f>
        <v>780</v>
      </c>
      <c r="Y19" s="4">
        <f ca="1">_Google_ads[[#This Row],[ctr]]*RANDBETWEEN(8,12)/10</f>
        <v>3.96E-3</v>
      </c>
      <c r="Z19" s="4">
        <f ca="1">_Google_ads[[#This Row],[avg_cpc]]*RANDBETWEEN(8,12)/10</f>
        <v>0.308</v>
      </c>
      <c r="AA19" s="4">
        <f ca="1">ROUND(_Google_ads[[#This Row],[quality_score]]*RANDBETWEEN(8,12)/10,0)</f>
        <v>6</v>
      </c>
      <c r="AB19" s="4">
        <f ca="1">_Google_ads[[#This Row],[search_impression_share]]*RANDBETWEEN(8,12)/10</f>
        <v>0.38499999999999995</v>
      </c>
      <c r="AD19" s="3">
        <f t="shared" ca="1" si="2"/>
        <v>45159</v>
      </c>
      <c r="AE19" s="4" t="s">
        <v>112</v>
      </c>
      <c r="AF19" s="4" t="s">
        <v>113</v>
      </c>
      <c r="AG19" s="4" t="s">
        <v>114</v>
      </c>
      <c r="AH19" s="4" t="s">
        <v>115</v>
      </c>
      <c r="AI19" s="4">
        <f ca="1">ROUND(T_Tiktok_ads[[#This Row],[impressions]]*RANDBETWEEN(8,12)/10,0)</f>
        <v>416791</v>
      </c>
      <c r="AJ19" s="4">
        <f ca="1">ROUND(T_Tiktok_ads[[#This Row],[clicks]]*RANDBETWEEN(8,12)/10,0)</f>
        <v>7348</v>
      </c>
      <c r="AK19" s="4">
        <v>945.6</v>
      </c>
      <c r="AL19" s="4">
        <f ca="1">ROUND(T_Tiktok_ads[[#This Row],[conversions]]*RANDBETWEEN(8,12)/10,0)</f>
        <v>96</v>
      </c>
      <c r="AM19" s="4">
        <f ca="1">ROUND(T_Tiktok_ads[[#This Row],[video_views]]*RANDBETWEEN(8,12)/10,0)</f>
        <v>249876</v>
      </c>
      <c r="AN19" s="4">
        <f ca="1">ROUND(T_Tiktok_ads[[#This Row],[video_watch_25]]*RANDBETWEEN(8,12)/10,0)</f>
        <v>200987</v>
      </c>
      <c r="AO19" s="4">
        <f ca="1">ROUND(T_Tiktok_ads[[#This Row],[video_watch_50]]*RANDBETWEEN(8,12)/10,0)</f>
        <v>221357</v>
      </c>
      <c r="AP19" s="4">
        <f ca="1">ROUND(T_Tiktok_ads[[#This Row],[video_watch_75]]*RANDBETWEEN(8,12)/10,0)</f>
        <v>129110</v>
      </c>
      <c r="AQ19" s="4">
        <f ca="1">ROUND(T_Tiktok_ads[[#This Row],[video_watch_100]]*RANDBETWEEN(8,12)/10,0)</f>
        <v>114281</v>
      </c>
      <c r="AR19" s="4">
        <f ca="1">ROUND(T_Tiktok_ads[[#This Row],[likes]]*RANDBETWEEN(8,12)/10,0)</f>
        <v>13254</v>
      </c>
      <c r="AS19" s="4">
        <f ca="1">ROUND(T_Tiktok_ads[[#This Row],[shares]]*RANDBETWEEN(8,12)/10,0)</f>
        <v>4823</v>
      </c>
      <c r="AT19" s="4">
        <f ca="1">ROUND(T_Tiktok_ads[[#This Row],[comments]]*RANDBETWEEN(8,12)/10,0)</f>
        <v>1050</v>
      </c>
      <c r="AV19" s="5">
        <f t="shared" ca="1" si="3"/>
        <v>45143</v>
      </c>
      <c r="AW19">
        <f t="shared" ca="1" si="4"/>
        <v>6</v>
      </c>
      <c r="AX19">
        <f ca="1">ROUND(T_Facebook_Ads1159636771757983[[#This Row],[impressions]]*RANDBETWEEN(8,12)/10,0)</f>
        <v>61122</v>
      </c>
      <c r="AY19">
        <f ca="1">ROUND(T_Facebook_Ads1159636771757983[[#This Row],[clicks]]*RANDBETWEEN(8,12)/10,0)</f>
        <v>245</v>
      </c>
      <c r="AZ19">
        <f ca="1">T_Facebook_Ads1159636771757983[[#This Row],[spend]]*RANDBETWEEN(8,12)/10</f>
        <v>87.552000000000007</v>
      </c>
      <c r="BA19">
        <f ca="1">ROUND(T_Facebook_Ads1159636771757983[[#This Row],[conversions]]*RANDBETWEEN(8,12)/10,0)</f>
        <v>6</v>
      </c>
      <c r="BB19">
        <f ca="1">ROUND(T_Facebook_Ads1159636771757983[[#This Row],[video_views]]*RANDBETWEEN(8,12)/10,0)</f>
        <v>51957</v>
      </c>
    </row>
    <row r="20" spans="1:54" ht="15.75" thickBot="1" x14ac:dyDescent="0.3">
      <c r="A20" s="3">
        <f t="shared" ca="1" si="0"/>
        <v>45146</v>
      </c>
      <c r="B20" s="4" t="s">
        <v>52</v>
      </c>
      <c r="C20" s="4" t="s">
        <v>53</v>
      </c>
      <c r="D20" s="4" t="s">
        <v>54</v>
      </c>
      <c r="E20" s="4" t="s">
        <v>55</v>
      </c>
      <c r="F20" s="4">
        <f ca="1">ROUND(T_Facebook_Ads[[#This Row],[impressions]]*RANDBETWEEN(8,12)/10,0)</f>
        <v>44888</v>
      </c>
      <c r="G20" s="4">
        <v>1067</v>
      </c>
      <c r="H20" s="4">
        <f ca="1">T_Facebook_Ads[[#This Row],[spend]]*RANDBETWEEN(8,12)/10</f>
        <v>131.31</v>
      </c>
      <c r="I20" s="4">
        <f ca="1">ROUND(T_Facebook_Ads[[#This Row],[conversions]]*RANDBETWEEN(8,12)/10,0)</f>
        <v>14</v>
      </c>
      <c r="J20" s="4">
        <f ca="1">ROUND(T_Facebook_Ads[[#This Row],[video_views]]*RANDBETWEEN(8,12)/10,0)</f>
        <v>8610</v>
      </c>
      <c r="K20" s="4">
        <f ca="1">T_Facebook_Ads[[#This Row],[engagement_rate]]*RANDBETWEEN(8,12)/10</f>
        <v>2.5679999999999998E-2</v>
      </c>
      <c r="L20" s="4">
        <f ca="1">ROUND(T_Facebook_Ads[[#This Row],[reach]]*RANDBETWEEN(8,12)/10,0)</f>
        <v>41234</v>
      </c>
      <c r="M20" s="4">
        <f ca="1">T_Facebook_Ads[[#This Row],[frequency]]*RANDBETWEEN(8,12)/10</f>
        <v>1.331</v>
      </c>
      <c r="O20" s="3">
        <f t="shared" ca="1" si="1"/>
        <v>45162</v>
      </c>
      <c r="P20" s="4" t="s">
        <v>76</v>
      </c>
      <c r="Q20" s="4" t="s">
        <v>77</v>
      </c>
      <c r="R20" s="4" t="s">
        <v>78</v>
      </c>
      <c r="S20" s="4" t="s">
        <v>79</v>
      </c>
      <c r="T20" s="4">
        <f ca="1">ROUND(_Google_ads[[#This Row],[impressions]]*RANDBETWEEN(8,12)/10,0)</f>
        <v>29468</v>
      </c>
      <c r="U20" s="4">
        <f ca="1">ROUND(_Google_ads[[#This Row],[clicks]]*RANDBETWEEN(8,12)/10,0)</f>
        <v>1747</v>
      </c>
      <c r="V20" s="4">
        <f ca="1">_Google_ads[[#This Row],[cost]]*RANDBETWEEN(8,12)/10</f>
        <v>334.67999999999995</v>
      </c>
      <c r="W20" s="4">
        <f ca="1">ROUND(_Google_ads[[#This Row],[conversions]]*RANDBETWEEN(8,12)/10,0)</f>
        <v>49</v>
      </c>
      <c r="X20" s="4">
        <f ca="1">ROUND(_Google_ads[[#This Row],[conversion_value]]*RANDBETWEEN(8,12)/10,0)</f>
        <v>2160</v>
      </c>
      <c r="Y20" s="4">
        <f ca="1">_Google_ads[[#This Row],[ctr]]*RANDBETWEEN(8,12)/10</f>
        <v>5.439999999999999E-2</v>
      </c>
      <c r="Z20" s="4">
        <f ca="1">_Google_ads[[#This Row],[avg_cpc]]*RANDBETWEEN(8,12)/10</f>
        <v>0.20899999999999999</v>
      </c>
      <c r="AA20" s="4">
        <f ca="1">ROUND(_Google_ads[[#This Row],[quality_score]]*RANDBETWEEN(8,12)/10,0)</f>
        <v>8</v>
      </c>
      <c r="AB20" s="4">
        <f ca="1">_Google_ads[[#This Row],[search_impression_share]]*RANDBETWEEN(8,12)/10</f>
        <v>0.83700000000000008</v>
      </c>
      <c r="AD20" s="3">
        <f t="shared" ca="1" si="2"/>
        <v>45149</v>
      </c>
      <c r="AE20" s="4" t="s">
        <v>100</v>
      </c>
      <c r="AF20" s="4" t="s">
        <v>101</v>
      </c>
      <c r="AG20" s="4" t="s">
        <v>102</v>
      </c>
      <c r="AH20" s="4" t="s">
        <v>103</v>
      </c>
      <c r="AI20" s="4">
        <f ca="1">ROUND(T_Tiktok_ads[[#This Row],[impressions]]*RANDBETWEEN(8,12)/10,0)</f>
        <v>306791</v>
      </c>
      <c r="AJ20" s="4">
        <f ca="1">ROUND(T_Tiktok_ads[[#This Row],[clicks]]*RANDBETWEEN(8,12)/10,0)</f>
        <v>4123</v>
      </c>
      <c r="AK20" s="4">
        <v>545.6</v>
      </c>
      <c r="AL20" s="4">
        <f ca="1">ROUND(T_Tiktok_ads[[#This Row],[conversions]]*RANDBETWEEN(8,12)/10,0)</f>
        <v>34</v>
      </c>
      <c r="AM20" s="4">
        <f ca="1">ROUND(T_Tiktok_ads[[#This Row],[video_views]]*RANDBETWEEN(8,12)/10,0)</f>
        <v>252157</v>
      </c>
      <c r="AN20" s="4">
        <f ca="1">ROUND(T_Tiktok_ads[[#This Row],[video_watch_25]]*RANDBETWEEN(8,12)/10,0)</f>
        <v>143387</v>
      </c>
      <c r="AO20" s="4">
        <f ca="1">ROUND(T_Tiktok_ads[[#This Row],[video_watch_50]]*RANDBETWEEN(8,12)/10,0)</f>
        <v>134681</v>
      </c>
      <c r="AP20" s="4">
        <f ca="1">ROUND(T_Tiktok_ads[[#This Row],[video_watch_75]]*RANDBETWEEN(8,12)/10,0)</f>
        <v>90814</v>
      </c>
      <c r="AQ20" s="4">
        <f ca="1">ROUND(T_Tiktok_ads[[#This Row],[video_watch_100]]*RANDBETWEEN(8,12)/10,0)</f>
        <v>50234</v>
      </c>
      <c r="AR20" s="4">
        <f ca="1">ROUND(T_Tiktok_ads[[#This Row],[likes]]*RANDBETWEEN(8,12)/10,0)</f>
        <v>10123</v>
      </c>
      <c r="AS20" s="4">
        <f ca="1">ROUND(T_Tiktok_ads[[#This Row],[shares]]*RANDBETWEEN(8,12)/10,0)</f>
        <v>3254</v>
      </c>
      <c r="AT20" s="4">
        <f ca="1">ROUND(T_Tiktok_ads[[#This Row],[comments]]*RANDBETWEEN(8,12)/10,0)</f>
        <v>581</v>
      </c>
      <c r="AV20" s="5">
        <f t="shared" ca="1" si="3"/>
        <v>45148</v>
      </c>
      <c r="AW20">
        <f t="shared" ca="1" si="4"/>
        <v>5</v>
      </c>
      <c r="AX20">
        <f ca="1">ROUND(T_Facebook_Ads1159636771757983[[#This Row],[impressions]]*RANDBETWEEN(8,12)/10,0)</f>
        <v>35910</v>
      </c>
      <c r="AY20">
        <f ca="1">ROUND(T_Facebook_Ads1159636771757983[[#This Row],[clicks]]*RANDBETWEEN(8,12)/10,0)</f>
        <v>1280</v>
      </c>
      <c r="AZ20">
        <f ca="1">T_Facebook_Ads1159636771757983[[#This Row],[spend]]*RANDBETWEEN(8,12)/10</f>
        <v>118.179</v>
      </c>
      <c r="BA20">
        <f ca="1">ROUND(T_Facebook_Ads1159636771757983[[#This Row],[conversions]]*RANDBETWEEN(8,12)/10,0)</f>
        <v>14</v>
      </c>
      <c r="BB20">
        <f ca="1">ROUND(T_Facebook_Ads1159636771757983[[#This Row],[video_views]]*RANDBETWEEN(8,12)/10,0)</f>
        <v>10332</v>
      </c>
    </row>
    <row r="21" spans="1:54" ht="15.75" thickBot="1" x14ac:dyDescent="0.3">
      <c r="A21" s="3">
        <f t="shared" ca="1" si="0"/>
        <v>45158</v>
      </c>
      <c r="B21" s="4" t="s">
        <v>56</v>
      </c>
      <c r="C21" s="4" t="s">
        <v>57</v>
      </c>
      <c r="D21" s="4" t="s">
        <v>58</v>
      </c>
      <c r="E21" s="4" t="s">
        <v>59</v>
      </c>
      <c r="F21" s="4">
        <f ca="1">ROUND(T_Facebook_Ads[[#This Row],[impressions]]*RANDBETWEEN(8,12)/10,0)</f>
        <v>13456</v>
      </c>
      <c r="G21" s="4">
        <v>623</v>
      </c>
      <c r="H21" s="4">
        <f ca="1">T_Facebook_Ads[[#This Row],[spend]]*RANDBETWEEN(8,12)/10</f>
        <v>285.36</v>
      </c>
      <c r="I21" s="4">
        <f ca="1">ROUND(T_Facebook_Ads[[#This Row],[conversions]]*RANDBETWEEN(8,12)/10,0)</f>
        <v>36</v>
      </c>
      <c r="J21" s="4">
        <f ca="1">ROUND(T_Facebook_Ads[[#This Row],[video_views]]*RANDBETWEEN(8,12)/10,0)</f>
        <v>1747</v>
      </c>
      <c r="K21" s="4">
        <f ca="1">T_Facebook_Ads[[#This Row],[engagement_rate]]*RANDBETWEEN(8,12)/10</f>
        <v>4.6300000000000001E-2</v>
      </c>
      <c r="L21" s="4">
        <f ca="1">ROUND(T_Facebook_Ads[[#This Row],[reach]]*RANDBETWEEN(8,12)/10,0)</f>
        <v>11624</v>
      </c>
      <c r="M21" s="4">
        <f ca="1">T_Facebook_Ads[[#This Row],[frequency]]*RANDBETWEEN(8,12)/10</f>
        <v>1.016</v>
      </c>
      <c r="O21" s="3">
        <f t="shared" ca="1" si="1"/>
        <v>45160</v>
      </c>
      <c r="P21" s="4" t="s">
        <v>80</v>
      </c>
      <c r="Q21" s="4" t="s">
        <v>81</v>
      </c>
      <c r="R21" s="4" t="s">
        <v>82</v>
      </c>
      <c r="S21" s="4" t="s">
        <v>83</v>
      </c>
      <c r="T21" s="4">
        <f ca="1">ROUND(_Google_ads[[#This Row],[impressions]]*RANDBETWEEN(8,12)/10,0)</f>
        <v>44567</v>
      </c>
      <c r="U21" s="4">
        <f ca="1">ROUND(_Google_ads[[#This Row],[clicks]]*RANDBETWEEN(8,12)/10,0)</f>
        <v>966</v>
      </c>
      <c r="V21" s="4">
        <f ca="1">_Google_ads[[#This Row],[cost]]*RANDBETWEEN(8,12)/10</f>
        <v>680.6400000000001</v>
      </c>
      <c r="W21" s="4">
        <f ca="1">ROUND(_Google_ads[[#This Row],[conversions]]*RANDBETWEEN(8,12)/10,0)</f>
        <v>22</v>
      </c>
      <c r="X21" s="4">
        <f ca="1">ROUND(_Google_ads[[#This Row],[conversion_value]]*RANDBETWEEN(8,12)/10,0)</f>
        <v>880</v>
      </c>
      <c r="Y21" s="4">
        <f ca="1">_Google_ads[[#This Row],[ctr]]*RANDBETWEEN(8,12)/10</f>
        <v>1.9699999999999999E-2</v>
      </c>
      <c r="Z21" s="4">
        <f ca="1">_Google_ads[[#This Row],[avg_cpc]]*RANDBETWEEN(8,12)/10</f>
        <v>0.65</v>
      </c>
      <c r="AA21" s="4">
        <f ca="1">ROUND(_Google_ads[[#This Row],[quality_score]]*RANDBETWEEN(8,12)/10,0)</f>
        <v>5</v>
      </c>
      <c r="AB21" s="4">
        <f ca="1">_Google_ads[[#This Row],[search_impression_share]]*RANDBETWEEN(8,12)/10</f>
        <v>0.39600000000000002</v>
      </c>
      <c r="AD21" s="3">
        <f t="shared" ca="1" si="2"/>
        <v>45142</v>
      </c>
      <c r="AE21" s="4" t="s">
        <v>104</v>
      </c>
      <c r="AF21" s="4" t="s">
        <v>105</v>
      </c>
      <c r="AG21" s="4" t="s">
        <v>106</v>
      </c>
      <c r="AH21" s="4" t="s">
        <v>107</v>
      </c>
      <c r="AI21" s="4">
        <f ca="1">ROUND(T_Tiktok_ads[[#This Row],[impressions]]*RANDBETWEEN(8,12)/10,0)</f>
        <v>138901</v>
      </c>
      <c r="AJ21" s="4">
        <f ca="1">ROUND(T_Tiktok_ads[[#This Row],[clicks]]*RANDBETWEEN(8,12)/10,0)</f>
        <v>2142</v>
      </c>
      <c r="AK21" s="4">
        <v>734.5</v>
      </c>
      <c r="AL21" s="4">
        <f ca="1">ROUND(T_Tiktok_ads[[#This Row],[conversions]]*RANDBETWEEN(8,12)/10,0)</f>
        <v>73</v>
      </c>
      <c r="AM21" s="4">
        <f ca="1">ROUND(T_Tiktok_ads[[#This Row],[video_views]]*RANDBETWEEN(8,12)/10,0)</f>
        <v>107679</v>
      </c>
      <c r="AN21" s="4">
        <f ca="1">ROUND(T_Tiktok_ads[[#This Row],[video_watch_25]]*RANDBETWEEN(8,12)/10,0)</f>
        <v>79580</v>
      </c>
      <c r="AO21" s="4">
        <f ca="1">ROUND(T_Tiktok_ads[[#This Row],[video_watch_50]]*RANDBETWEEN(8,12)/10,0)</f>
        <v>44011</v>
      </c>
      <c r="AP21" s="4">
        <f ca="1">ROUND(T_Tiktok_ads[[#This Row],[video_watch_75]]*RANDBETWEEN(8,12)/10,0)</f>
        <v>36789</v>
      </c>
      <c r="AQ21" s="4">
        <f ca="1">ROUND(T_Tiktok_ads[[#This Row],[video_watch_100]]*RANDBETWEEN(8,12)/10,0)</f>
        <v>27379</v>
      </c>
      <c r="AR21" s="4">
        <f ca="1">ROUND(T_Tiktok_ads[[#This Row],[likes]]*RANDBETWEEN(8,12)/10,0)</f>
        <v>4901</v>
      </c>
      <c r="AS21" s="4">
        <f ca="1">ROUND(T_Tiktok_ads[[#This Row],[shares]]*RANDBETWEEN(8,12)/10,0)</f>
        <v>1356</v>
      </c>
      <c r="AT21" s="4">
        <f ca="1">ROUND(T_Tiktok_ads[[#This Row],[comments]]*RANDBETWEEN(8,12)/10,0)</f>
        <v>205</v>
      </c>
      <c r="AV21" s="5">
        <f t="shared" ca="1" si="3"/>
        <v>45147</v>
      </c>
      <c r="AW21">
        <f t="shared" ca="1" si="4"/>
        <v>8</v>
      </c>
      <c r="AX21">
        <f ca="1">ROUND(T_Facebook_Ads1159636771757983[[#This Row],[impressions]]*RANDBETWEEN(8,12)/10,0)</f>
        <v>10765</v>
      </c>
      <c r="AY21">
        <f ca="1">ROUND(T_Facebook_Ads1159636771757983[[#This Row],[clicks]]*RANDBETWEEN(8,12)/10,0)</f>
        <v>685</v>
      </c>
      <c r="AZ21">
        <f ca="1">T_Facebook_Ads1159636771757983[[#This Row],[spend]]*RANDBETWEEN(8,12)/10</f>
        <v>342.43200000000002</v>
      </c>
      <c r="BA21">
        <f ca="1">ROUND(T_Facebook_Ads1159636771757983[[#This Row],[conversions]]*RANDBETWEEN(8,12)/10,0)</f>
        <v>29</v>
      </c>
      <c r="BB21">
        <f ca="1">ROUND(T_Facebook_Ads1159636771757983[[#This Row],[video_views]]*RANDBETWEEN(8,12)/10,0)</f>
        <v>1572</v>
      </c>
    </row>
    <row r="22" spans="1:54" ht="15.75" thickBot="1" x14ac:dyDescent="0.3">
      <c r="A22" s="3">
        <f t="shared" ca="1" si="0"/>
        <v>45153</v>
      </c>
      <c r="B22" s="4" t="s">
        <v>60</v>
      </c>
      <c r="C22" s="4" t="s">
        <v>61</v>
      </c>
      <c r="D22" s="4" t="s">
        <v>62</v>
      </c>
      <c r="E22" s="4" t="s">
        <v>63</v>
      </c>
      <c r="F22" s="4">
        <f ca="1">ROUND(T_Facebook_Ads[[#This Row],[impressions]]*RANDBETWEEN(8,12)/10,0)</f>
        <v>37234</v>
      </c>
      <c r="G22" s="4">
        <v>1367</v>
      </c>
      <c r="H22" s="4">
        <f ca="1">T_Facebook_Ads[[#This Row],[spend]]*RANDBETWEEN(8,12)/10</f>
        <v>187.11</v>
      </c>
      <c r="I22" s="4">
        <f ca="1">ROUND(T_Facebook_Ads[[#This Row],[conversions]]*RANDBETWEEN(8,12)/10,0)</f>
        <v>32</v>
      </c>
      <c r="J22" s="4">
        <f ca="1">ROUND(T_Facebook_Ads[[#This Row],[video_views]]*RANDBETWEEN(8,12)/10,0)</f>
        <v>5513</v>
      </c>
      <c r="K22" s="4">
        <f ca="1">T_Facebook_Ads[[#This Row],[engagement_rate]]*RANDBETWEEN(8,12)/10</f>
        <v>2.9360000000000004E-2</v>
      </c>
      <c r="L22" s="4">
        <f ca="1">ROUND(T_Facebook_Ads[[#This Row],[reach]]*RANDBETWEEN(8,12)/10,0)</f>
        <v>36814</v>
      </c>
      <c r="M22" s="4">
        <f ca="1">T_Facebook_Ads[[#This Row],[frequency]]*RANDBETWEEN(8,12)/10</f>
        <v>1.21</v>
      </c>
      <c r="O22" s="3">
        <f t="shared" ca="1" si="1"/>
        <v>45161</v>
      </c>
      <c r="P22" s="4" t="s">
        <v>84</v>
      </c>
      <c r="Q22" s="4" t="s">
        <v>85</v>
      </c>
      <c r="R22" s="4" t="s">
        <v>86</v>
      </c>
      <c r="S22" s="4" t="s">
        <v>87</v>
      </c>
      <c r="T22" s="4">
        <f ca="1">ROUND(_Google_ads[[#This Row],[impressions]]*RANDBETWEEN(8,12)/10,0)</f>
        <v>70234</v>
      </c>
      <c r="U22" s="4">
        <f ca="1">ROUND(_Google_ads[[#This Row],[clicks]]*RANDBETWEEN(8,12)/10,0)</f>
        <v>2747</v>
      </c>
      <c r="V22" s="4">
        <f ca="1">_Google_ads[[#This Row],[cost]]*RANDBETWEEN(8,12)/10</f>
        <v>503.4</v>
      </c>
      <c r="W22" s="4">
        <f ca="1">ROUND(_Google_ads[[#This Row],[conversions]]*RANDBETWEEN(8,12)/10,0)</f>
        <v>73</v>
      </c>
      <c r="X22" s="4">
        <f ca="1">ROUND(_Google_ads[[#This Row],[conversion_value]]*RANDBETWEEN(8,12)/10,0)</f>
        <v>3630</v>
      </c>
      <c r="Y22" s="4">
        <f ca="1">_Google_ads[[#This Row],[ctr]]*RANDBETWEEN(8,12)/10</f>
        <v>2.9339999999999998E-2</v>
      </c>
      <c r="Z22" s="4">
        <f ca="1">_Google_ads[[#This Row],[avg_cpc]]*RANDBETWEEN(8,12)/10</f>
        <v>0.21600000000000003</v>
      </c>
      <c r="AA22" s="4">
        <f ca="1">ROUND(_Google_ads[[#This Row],[quality_score]]*RANDBETWEEN(8,12)/10,0)</f>
        <v>9</v>
      </c>
      <c r="AB22" s="4">
        <f ca="1">_Google_ads[[#This Row],[search_impression_share]]*RANDBETWEEN(8,12)/10</f>
        <v>0.66</v>
      </c>
      <c r="AD22" s="3">
        <f t="shared" ca="1" si="2"/>
        <v>45154</v>
      </c>
      <c r="AE22" s="4" t="s">
        <v>108</v>
      </c>
      <c r="AF22" s="4" t="s">
        <v>109</v>
      </c>
      <c r="AG22" s="4" t="s">
        <v>110</v>
      </c>
      <c r="AH22" s="4" t="s">
        <v>111</v>
      </c>
      <c r="AI22" s="4">
        <f ca="1">ROUND(T_Tiktok_ads[[#This Row],[impressions]]*RANDBETWEEN(8,12)/10,0)</f>
        <v>191111</v>
      </c>
      <c r="AJ22" s="4">
        <f ca="1">ROUND(T_Tiktok_ads[[#This Row],[clicks]]*RANDBETWEEN(8,12)/10,0)</f>
        <v>2676</v>
      </c>
      <c r="AK22" s="4">
        <v>401.1</v>
      </c>
      <c r="AL22" s="4">
        <f ca="1">ROUND(T_Tiktok_ads[[#This Row],[conversions]]*RANDBETWEEN(8,12)/10,0)</f>
        <v>25</v>
      </c>
      <c r="AM22" s="4">
        <f ca="1">ROUND(T_Tiktok_ads[[#This Row],[video_views]]*RANDBETWEEN(8,12)/10,0)</f>
        <v>184679</v>
      </c>
      <c r="AN22" s="4">
        <f ca="1">ROUND(T_Tiktok_ads[[#This Row],[video_watch_25]]*RANDBETWEEN(8,12)/10,0)</f>
        <v>141057</v>
      </c>
      <c r="AO22" s="4">
        <f ca="1">ROUND(T_Tiktok_ads[[#This Row],[video_watch_50]]*RANDBETWEEN(8,12)/10,0)</f>
        <v>111357</v>
      </c>
      <c r="AP22" s="4">
        <f ca="1">ROUND(T_Tiktok_ads[[#This Row],[video_watch_75]]*RANDBETWEEN(8,12)/10,0)</f>
        <v>52187</v>
      </c>
      <c r="AQ22" s="4">
        <f ca="1">ROUND(T_Tiktok_ads[[#This Row],[video_watch_100]]*RANDBETWEEN(8,12)/10,0)</f>
        <v>47347</v>
      </c>
      <c r="AR22" s="4">
        <f ca="1">ROUND(T_Tiktok_ads[[#This Row],[likes]]*RANDBETWEEN(8,12)/10,0)</f>
        <v>7789</v>
      </c>
      <c r="AS22" s="4">
        <f ca="1">ROUND(T_Tiktok_ads[[#This Row],[shares]]*RANDBETWEEN(8,12)/10,0)</f>
        <v>1716</v>
      </c>
      <c r="AT22" s="4">
        <f ca="1">ROUND(T_Tiktok_ads[[#This Row],[comments]]*RANDBETWEEN(8,12)/10,0)</f>
        <v>410</v>
      </c>
      <c r="AV22" s="5">
        <f t="shared" ca="1" si="3"/>
        <v>45151</v>
      </c>
      <c r="AW22">
        <f t="shared" ca="1" si="4"/>
        <v>5</v>
      </c>
      <c r="AX22">
        <f ca="1">ROUND(T_Facebook_Ads1159636771757983[[#This Row],[impressions]]*RANDBETWEEN(8,12)/10,0)</f>
        <v>29787</v>
      </c>
      <c r="AY22">
        <f ca="1">ROUND(T_Facebook_Ads1159636771757983[[#This Row],[clicks]]*RANDBETWEEN(8,12)/10,0)</f>
        <v>1230</v>
      </c>
      <c r="AZ22">
        <f ca="1">T_Facebook_Ads1159636771757983[[#This Row],[spend]]*RANDBETWEEN(8,12)/10</f>
        <v>187.11</v>
      </c>
      <c r="BA22">
        <f ca="1">ROUND(T_Facebook_Ads1159636771757983[[#This Row],[conversions]]*RANDBETWEEN(8,12)/10,0)</f>
        <v>38</v>
      </c>
      <c r="BB22">
        <f ca="1">ROUND(T_Facebook_Ads1159636771757983[[#This Row],[video_views]]*RANDBETWEEN(8,12)/10,0)</f>
        <v>6064</v>
      </c>
    </row>
    <row r="23" spans="1:54" ht="15.75" thickBot="1" x14ac:dyDescent="0.3">
      <c r="A23" s="3">
        <f t="shared" ca="1" si="0"/>
        <v>45139</v>
      </c>
      <c r="B23" s="4" t="s">
        <v>52</v>
      </c>
      <c r="C23" s="4" t="s">
        <v>53</v>
      </c>
      <c r="D23" s="4" t="s">
        <v>54</v>
      </c>
      <c r="E23" s="4" t="s">
        <v>55</v>
      </c>
      <c r="F23" s="4">
        <f ca="1">ROUND(T_Facebook_Ads[[#This Row],[impressions]]*RANDBETWEEN(8,12)/10,0)</f>
        <v>42511</v>
      </c>
      <c r="G23" s="4">
        <v>945</v>
      </c>
      <c r="H23" s="4">
        <f ca="1">T_Facebook_Ads[[#This Row],[spend]]*RANDBETWEEN(8,12)/10</f>
        <v>135.4</v>
      </c>
      <c r="I23" s="4">
        <f ca="1">ROUND(T_Facebook_Ads[[#This Row],[conversions]]*RANDBETWEEN(8,12)/10,0)</f>
        <v>17</v>
      </c>
      <c r="J23" s="4">
        <f ca="1">ROUND(T_Facebook_Ads[[#This Row],[video_views]]*RANDBETWEEN(8,12)/10,0)</f>
        <v>8789</v>
      </c>
      <c r="K23" s="4">
        <f ca="1">T_Facebook_Ads[[#This Row],[engagement_rate]]*RANDBETWEEN(8,12)/10</f>
        <v>2.4E-2</v>
      </c>
      <c r="L23" s="4">
        <f ca="1">ROUND(T_Facebook_Ads[[#This Row],[reach]]*RANDBETWEEN(8,12)/10,0)</f>
        <v>31654</v>
      </c>
      <c r="M23" s="4">
        <f ca="1">T_Facebook_Ads[[#This Row],[frequency]]*RANDBETWEEN(8,12)/10</f>
        <v>0.95199999999999996</v>
      </c>
      <c r="O23" s="3">
        <f t="shared" ca="1" si="1"/>
        <v>45156</v>
      </c>
      <c r="P23" s="4" t="s">
        <v>76</v>
      </c>
      <c r="Q23" s="4" t="s">
        <v>77</v>
      </c>
      <c r="R23" s="4" t="s">
        <v>78</v>
      </c>
      <c r="S23" s="4" t="s">
        <v>79</v>
      </c>
      <c r="T23" s="4">
        <f ca="1">ROUND(_Google_ads[[#This Row],[impressions]]*RANDBETWEEN(8,12)/10,0)</f>
        <v>24824</v>
      </c>
      <c r="U23" s="4">
        <f ca="1">ROUND(_Google_ads[[#This Row],[clicks]]*RANDBETWEEN(8,12)/10,0)</f>
        <v>907</v>
      </c>
      <c r="V23" s="4">
        <f ca="1">_Google_ads[[#This Row],[cost]]*RANDBETWEEN(8,12)/10</f>
        <v>238.48000000000002</v>
      </c>
      <c r="W23" s="4">
        <f ca="1">ROUND(_Google_ads[[#This Row],[conversions]]*RANDBETWEEN(8,12)/10,0)</f>
        <v>39</v>
      </c>
      <c r="X23" s="4">
        <f ca="1">ROUND(_Google_ads[[#This Row],[conversion_value]]*RANDBETWEEN(8,12)/10,0)</f>
        <v>2580</v>
      </c>
      <c r="Y23" s="4">
        <f ca="1">_Google_ads[[#This Row],[ctr]]*RANDBETWEEN(8,12)/10</f>
        <v>4.0239999999999998E-2</v>
      </c>
      <c r="Z23" s="4">
        <f ca="1">_Google_ads[[#This Row],[avg_cpc]]*RANDBETWEEN(8,12)/10</f>
        <v>0.17099999999999999</v>
      </c>
      <c r="AA23" s="4">
        <f ca="1">ROUND(_Google_ads[[#This Row],[quality_score]]*RANDBETWEEN(8,12)/10,0)</f>
        <v>9</v>
      </c>
      <c r="AB23" s="4">
        <f ca="1">_Google_ads[[#This Row],[search_impression_share]]*RANDBETWEEN(8,12)/10</f>
        <v>0.81899999999999995</v>
      </c>
      <c r="AD23" s="3">
        <f t="shared" ca="1" si="2"/>
        <v>45164</v>
      </c>
      <c r="AE23" s="4" t="s">
        <v>100</v>
      </c>
      <c r="AF23" s="4" t="s">
        <v>101</v>
      </c>
      <c r="AG23" s="4" t="s">
        <v>102</v>
      </c>
      <c r="AH23" s="4" t="s">
        <v>103</v>
      </c>
      <c r="AI23" s="4">
        <f ca="1">ROUND(T_Tiktok_ads[[#This Row],[impressions]]*RANDBETWEEN(8,12)/10,0)</f>
        <v>269757</v>
      </c>
      <c r="AJ23" s="4">
        <f ca="1">ROUND(T_Tiktok_ads[[#This Row],[clicks]]*RANDBETWEEN(8,12)/10,0)</f>
        <v>2862</v>
      </c>
      <c r="AK23" s="4">
        <v>474.3</v>
      </c>
      <c r="AL23" s="4">
        <f ca="1">ROUND(T_Tiktok_ads[[#This Row],[conversions]]*RANDBETWEEN(8,12)/10,0)</f>
        <v>37</v>
      </c>
      <c r="AM23" s="4">
        <f ca="1">ROUND(T_Tiktok_ads[[#This Row],[video_views]]*RANDBETWEEN(8,12)/10,0)</f>
        <v>244147</v>
      </c>
      <c r="AN23" s="4">
        <f ca="1">ROUND(T_Tiktok_ads[[#This Row],[video_watch_25]]*RANDBETWEEN(8,12)/10,0)</f>
        <v>174791</v>
      </c>
      <c r="AO23" s="4">
        <f ca="1">ROUND(T_Tiktok_ads[[#This Row],[video_watch_50]]*RANDBETWEEN(8,12)/10,0)</f>
        <v>99567</v>
      </c>
      <c r="AP23" s="4">
        <f ca="1">ROUND(T_Tiktok_ads[[#This Row],[video_watch_75]]*RANDBETWEEN(8,12)/10,0)</f>
        <v>81881</v>
      </c>
      <c r="AQ23" s="4">
        <f ca="1">ROUND(T_Tiktok_ads[[#This Row],[video_watch_100]]*RANDBETWEEN(8,12)/10,0)</f>
        <v>50368</v>
      </c>
      <c r="AR23" s="4">
        <f ca="1">ROUND(T_Tiktok_ads[[#This Row],[likes]]*RANDBETWEEN(8,12)/10,0)</f>
        <v>10774</v>
      </c>
      <c r="AS23" s="4">
        <f ca="1">ROUND(T_Tiktok_ads[[#This Row],[shares]]*RANDBETWEEN(8,12)/10,0)</f>
        <v>1911</v>
      </c>
      <c r="AT23" s="4">
        <f ca="1">ROUND(T_Tiktok_ads[[#This Row],[comments]]*RANDBETWEEN(8,12)/10,0)</f>
        <v>472</v>
      </c>
      <c r="AV23" s="5">
        <f t="shared" ca="1" si="3"/>
        <v>45152</v>
      </c>
      <c r="AW23">
        <f t="shared" ca="1" si="4"/>
        <v>4</v>
      </c>
      <c r="AX23">
        <f ca="1">ROUND(T_Facebook_Ads1159636771757983[[#This Row],[impressions]]*RANDBETWEEN(8,12)/10,0)</f>
        <v>42511</v>
      </c>
      <c r="AY23">
        <f ca="1">ROUND(T_Facebook_Ads1159636771757983[[#This Row],[clicks]]*RANDBETWEEN(8,12)/10,0)</f>
        <v>756</v>
      </c>
      <c r="AZ23">
        <f ca="1">T_Facebook_Ads1159636771757983[[#This Row],[spend]]*RANDBETWEEN(8,12)/10</f>
        <v>162.48000000000002</v>
      </c>
      <c r="BA23">
        <f ca="1">ROUND(T_Facebook_Ads1159636771757983[[#This Row],[conversions]]*RANDBETWEEN(8,12)/10,0)</f>
        <v>19</v>
      </c>
      <c r="BB23">
        <f ca="1">ROUND(T_Facebook_Ads1159636771757983[[#This Row],[video_views]]*RANDBETWEEN(8,12)/10,0)</f>
        <v>9668</v>
      </c>
    </row>
    <row r="24" spans="1:54" ht="15.75" thickBot="1" x14ac:dyDescent="0.3">
      <c r="A24" s="3">
        <f t="shared" ca="1" si="0"/>
        <v>45139</v>
      </c>
      <c r="B24" s="4" t="s">
        <v>56</v>
      </c>
      <c r="C24" s="4" t="s">
        <v>57</v>
      </c>
      <c r="D24" s="4" t="s">
        <v>58</v>
      </c>
      <c r="E24" s="4" t="s">
        <v>59</v>
      </c>
      <c r="F24" s="4">
        <f ca="1">ROUND(T_Facebook_Ads[[#This Row],[impressions]]*RANDBETWEEN(8,12)/10,0)</f>
        <v>14548</v>
      </c>
      <c r="G24" s="4">
        <v>534</v>
      </c>
      <c r="H24" s="4">
        <f ca="1">T_Facebook_Ads[[#This Row],[spend]]*RANDBETWEEN(8,12)/10</f>
        <v>233.64000000000001</v>
      </c>
      <c r="I24" s="4">
        <f ca="1">ROUND(T_Facebook_Ads[[#This Row],[conversions]]*RANDBETWEEN(8,12)/10,0)</f>
        <v>35</v>
      </c>
      <c r="J24" s="4">
        <f ca="1">ROUND(T_Facebook_Ads[[#This Row],[video_views]]*RANDBETWEEN(8,12)/10,0)</f>
        <v>1111</v>
      </c>
      <c r="K24" s="4">
        <f ca="1">T_Facebook_Ads[[#This Row],[engagement_rate]]*RANDBETWEEN(8,12)/10</f>
        <v>3.5279999999999999E-2</v>
      </c>
      <c r="L24" s="4">
        <f ca="1">ROUND(T_Facebook_Ads[[#This Row],[reach]]*RANDBETWEEN(8,12)/10,0)</f>
        <v>11480</v>
      </c>
      <c r="M24" s="4">
        <f ca="1">T_Facebook_Ads[[#This Row],[frequency]]*RANDBETWEEN(8,12)/10</f>
        <v>1.524</v>
      </c>
      <c r="O24" s="3">
        <f t="shared" ca="1" si="1"/>
        <v>45147</v>
      </c>
      <c r="P24" s="4" t="s">
        <v>80</v>
      </c>
      <c r="Q24" s="4" t="s">
        <v>81</v>
      </c>
      <c r="R24" s="4" t="s">
        <v>82</v>
      </c>
      <c r="S24" s="4" t="s">
        <v>83</v>
      </c>
      <c r="T24" s="4">
        <f ca="1">ROUND(_Google_ads[[#This Row],[impressions]]*RANDBETWEEN(8,12)/10,0)</f>
        <v>38587</v>
      </c>
      <c r="U24" s="4">
        <f ca="1">ROUND(_Google_ads[[#This Row],[clicks]]*RANDBETWEEN(8,12)/10,0)</f>
        <v>989</v>
      </c>
      <c r="V24" s="4">
        <f ca="1">_Google_ads[[#This Row],[cost]]*RANDBETWEEN(8,12)/10</f>
        <v>507.76000000000005</v>
      </c>
      <c r="W24" s="4">
        <f ca="1">ROUND(_Google_ads[[#This Row],[conversions]]*RANDBETWEEN(8,12)/10,0)</f>
        <v>21</v>
      </c>
      <c r="X24" s="4">
        <f ca="1">ROUND(_Google_ads[[#This Row],[conversion_value]]*RANDBETWEEN(8,12)/10,0)</f>
        <v>1300</v>
      </c>
      <c r="Y24" s="4">
        <f ca="1">_Google_ads[[#This Row],[ctr]]*RANDBETWEEN(8,12)/10</f>
        <v>1.8450000000000001E-2</v>
      </c>
      <c r="Z24" s="4">
        <f ca="1">_Google_ads[[#This Row],[avg_cpc]]*RANDBETWEEN(8,12)/10</f>
        <v>0.57599999999999996</v>
      </c>
      <c r="AA24" s="4">
        <f ca="1">ROUND(_Google_ads[[#This Row],[quality_score]]*RANDBETWEEN(8,12)/10,0)</f>
        <v>7</v>
      </c>
      <c r="AB24" s="4">
        <f ca="1">_Google_ads[[#This Row],[search_impression_share]]*RANDBETWEEN(8,12)/10</f>
        <v>0.55200000000000005</v>
      </c>
      <c r="AD24" s="3">
        <f t="shared" ca="1" si="2"/>
        <v>45144</v>
      </c>
      <c r="AE24" s="4" t="s">
        <v>104</v>
      </c>
      <c r="AF24" s="4" t="s">
        <v>105</v>
      </c>
      <c r="AG24" s="4" t="s">
        <v>106</v>
      </c>
      <c r="AH24" s="4" t="s">
        <v>107</v>
      </c>
      <c r="AI24" s="4">
        <f ca="1">ROUND(T_Tiktok_ads[[#This Row],[impressions]]*RANDBETWEEN(8,12)/10,0)</f>
        <v>95387</v>
      </c>
      <c r="AJ24" s="4">
        <f ca="1">ROUND(T_Tiktok_ads[[#This Row],[clicks]]*RANDBETWEEN(8,12)/10,0)</f>
        <v>2457</v>
      </c>
      <c r="AK24" s="4">
        <v>645.6</v>
      </c>
      <c r="AL24" s="4">
        <f ca="1">ROUND(T_Tiktok_ads[[#This Row],[conversions]]*RANDBETWEEN(8,12)/10,0)</f>
        <v>77</v>
      </c>
      <c r="AM24" s="4">
        <f ca="1">ROUND(T_Tiktok_ads[[#This Row],[video_views]]*RANDBETWEEN(8,12)/10,0)</f>
        <v>77110</v>
      </c>
      <c r="AN24" s="4">
        <f ca="1">ROUND(T_Tiktok_ads[[#This Row],[video_watch_25]]*RANDBETWEEN(8,12)/10,0)</f>
        <v>69802</v>
      </c>
      <c r="AO24" s="4">
        <f ca="1">ROUND(T_Tiktok_ads[[#This Row],[video_watch_50]]*RANDBETWEEN(8,12)/10,0)</f>
        <v>46580</v>
      </c>
      <c r="AP24" s="4">
        <f ca="1">ROUND(T_Tiktok_ads[[#This Row],[video_watch_75]]*RANDBETWEEN(8,12)/10,0)</f>
        <v>38681</v>
      </c>
      <c r="AQ24" s="4">
        <f ca="1">ROUND(T_Tiktok_ads[[#This Row],[video_watch_100]]*RANDBETWEEN(8,12)/10,0)</f>
        <v>20011</v>
      </c>
      <c r="AR24" s="4">
        <f ca="1">ROUND(T_Tiktok_ads[[#This Row],[likes]]*RANDBETWEEN(8,12)/10,0)</f>
        <v>3476</v>
      </c>
      <c r="AS24" s="4">
        <f ca="1">ROUND(T_Tiktok_ads[[#This Row],[shares]]*RANDBETWEEN(8,12)/10,0)</f>
        <v>951</v>
      </c>
      <c r="AT24" s="4">
        <f ca="1">ROUND(T_Tiktok_ads[[#This Row],[comments]]*RANDBETWEEN(8,12)/10,0)</f>
        <v>245</v>
      </c>
      <c r="AV24" s="5">
        <f t="shared" ca="1" si="3"/>
        <v>45156</v>
      </c>
      <c r="AW24">
        <f t="shared" ca="1" si="4"/>
        <v>3</v>
      </c>
      <c r="AX24">
        <f ca="1">ROUND(T_Facebook_Ads1159636771757983[[#This Row],[impressions]]*RANDBETWEEN(8,12)/10,0)</f>
        <v>13093</v>
      </c>
      <c r="AY24">
        <f ca="1">ROUND(T_Facebook_Ads1159636771757983[[#This Row],[clicks]]*RANDBETWEEN(8,12)/10,0)</f>
        <v>427</v>
      </c>
      <c r="AZ24">
        <f ca="1">T_Facebook_Ads1159636771757983[[#This Row],[spend]]*RANDBETWEEN(8,12)/10</f>
        <v>210.27600000000001</v>
      </c>
      <c r="BA24">
        <f ca="1">ROUND(T_Facebook_Ads1159636771757983[[#This Row],[conversions]]*RANDBETWEEN(8,12)/10,0)</f>
        <v>42</v>
      </c>
      <c r="BB24">
        <f ca="1">ROUND(T_Facebook_Ads1159636771757983[[#This Row],[video_views]]*RANDBETWEEN(8,12)/10,0)</f>
        <v>1333</v>
      </c>
    </row>
    <row r="25" spans="1:54" ht="15.75" thickBot="1" x14ac:dyDescent="0.3">
      <c r="A25" s="3">
        <f t="shared" ca="1" si="0"/>
        <v>45156</v>
      </c>
      <c r="B25" s="4" t="s">
        <v>64</v>
      </c>
      <c r="C25" s="4" t="s">
        <v>65</v>
      </c>
      <c r="D25" s="4" t="s">
        <v>66</v>
      </c>
      <c r="E25" s="4" t="s">
        <v>67</v>
      </c>
      <c r="F25" s="4">
        <f ca="1">ROUND(T_Facebook_Ads[[#This Row],[impressions]]*RANDBETWEEN(8,12)/10,0)</f>
        <v>80802</v>
      </c>
      <c r="G25" s="4">
        <v>267</v>
      </c>
      <c r="H25" s="4">
        <f ca="1">T_Facebook_Ads[[#This Row],[spend]]*RANDBETWEEN(8,12)/10</f>
        <v>78.64</v>
      </c>
      <c r="I25" s="4">
        <f ca="1">ROUND(T_Facebook_Ads[[#This Row],[conversions]]*RANDBETWEEN(8,12)/10,0)</f>
        <v>6</v>
      </c>
      <c r="J25" s="4">
        <f ca="1">ROUND(T_Facebook_Ads[[#This Row],[video_views]]*RANDBETWEEN(8,12)/10,0)</f>
        <v>40098</v>
      </c>
      <c r="K25" s="4">
        <f ca="1">T_Facebook_Ads[[#This Row],[engagement_rate]]*RANDBETWEEN(8,12)/10</f>
        <v>3.96E-3</v>
      </c>
      <c r="L25" s="4">
        <f ca="1">ROUND(T_Facebook_Ads[[#This Row],[reach]]*RANDBETWEEN(8,12)/10,0)</f>
        <v>54211</v>
      </c>
      <c r="M25" s="4">
        <f ca="1">T_Facebook_Ads[[#This Row],[frequency]]*RANDBETWEEN(8,12)/10</f>
        <v>1.464</v>
      </c>
      <c r="O25" s="3">
        <f t="shared" ca="1" si="1"/>
        <v>45168</v>
      </c>
      <c r="P25" s="4" t="s">
        <v>88</v>
      </c>
      <c r="Q25" s="4" t="s">
        <v>89</v>
      </c>
      <c r="R25" s="4" t="s">
        <v>90</v>
      </c>
      <c r="S25" s="4" t="s">
        <v>59</v>
      </c>
      <c r="T25" s="4">
        <f ca="1">ROUND(_Google_ads[[#This Row],[impressions]]*RANDBETWEEN(8,12)/10,0)</f>
        <v>138246</v>
      </c>
      <c r="U25" s="4">
        <f ca="1">ROUND(_Google_ads[[#This Row],[clicks]]*RANDBETWEEN(8,12)/10,0)</f>
        <v>490</v>
      </c>
      <c r="V25" s="4">
        <f ca="1">_Google_ads[[#This Row],[cost]]*RANDBETWEEN(8,12)/10</f>
        <v>109.17</v>
      </c>
      <c r="W25" s="4">
        <f ca="1">ROUND(_Google_ads[[#This Row],[conversions]]*RANDBETWEEN(8,12)/10,0)</f>
        <v>9</v>
      </c>
      <c r="X25" s="4">
        <f ca="1">ROUND(_Google_ads[[#This Row],[conversion_value]]*RANDBETWEEN(8,12)/10,0)</f>
        <v>550</v>
      </c>
      <c r="Y25" s="4">
        <f ca="1">_Google_ads[[#This Row],[ctr]]*RANDBETWEEN(8,12)/10</f>
        <v>3.8500000000000001E-3</v>
      </c>
      <c r="Z25" s="4">
        <f ca="1">_Google_ads[[#This Row],[avg_cpc]]*RANDBETWEEN(8,12)/10</f>
        <v>0.32400000000000001</v>
      </c>
      <c r="AA25" s="4">
        <f ca="1">ROUND(_Google_ads[[#This Row],[quality_score]]*RANDBETWEEN(8,12)/10,0)</f>
        <v>6</v>
      </c>
      <c r="AB25" s="4">
        <f ca="1">_Google_ads[[#This Row],[search_impression_share]]*RANDBETWEEN(8,12)/10</f>
        <v>0.40800000000000003</v>
      </c>
      <c r="AD25" s="3">
        <f t="shared" ca="1" si="2"/>
        <v>45152</v>
      </c>
      <c r="AE25" s="4" t="s">
        <v>112</v>
      </c>
      <c r="AF25" s="4" t="s">
        <v>113</v>
      </c>
      <c r="AG25" s="4" t="s">
        <v>114</v>
      </c>
      <c r="AH25" s="4" t="s">
        <v>115</v>
      </c>
      <c r="AI25" s="4">
        <f ca="1">ROUND(T_Tiktok_ads[[#This Row],[impressions]]*RANDBETWEEN(8,12)/10,0)</f>
        <v>311210</v>
      </c>
      <c r="AJ25" s="4">
        <f ca="1">ROUND(T_Tiktok_ads[[#This Row],[clicks]]*RANDBETWEEN(8,12)/10,0)</f>
        <v>7481</v>
      </c>
      <c r="AK25" s="4">
        <v>967.8</v>
      </c>
      <c r="AL25" s="4">
        <f ca="1">ROUND(T_Tiktok_ads[[#This Row],[conversions]]*RANDBETWEEN(8,12)/10,0)</f>
        <v>118</v>
      </c>
      <c r="AM25" s="4">
        <f ca="1">ROUND(T_Tiktok_ads[[#This Row],[video_views]]*RANDBETWEEN(8,12)/10,0)</f>
        <v>353357</v>
      </c>
      <c r="AN25" s="4">
        <f ca="1">ROUND(T_Tiktok_ads[[#This Row],[video_watch_25]]*RANDBETWEEN(8,12)/10,0)</f>
        <v>207121</v>
      </c>
      <c r="AO25" s="4">
        <f ca="1">ROUND(T_Tiktok_ads[[#This Row],[video_watch_50]]*RANDBETWEEN(8,12)/10,0)</f>
        <v>207890</v>
      </c>
      <c r="AP25" s="4">
        <f ca="1">ROUND(T_Tiktok_ads[[#This Row],[video_watch_75]]*RANDBETWEEN(8,12)/10,0)</f>
        <v>161957</v>
      </c>
      <c r="AQ25" s="4">
        <f ca="1">ROUND(T_Tiktok_ads[[#This Row],[video_watch_100]]*RANDBETWEEN(8,12)/10,0)</f>
        <v>87710</v>
      </c>
      <c r="AR25" s="4">
        <f ca="1">ROUND(T_Tiktok_ads[[#This Row],[likes]]*RANDBETWEEN(8,12)/10,0)</f>
        <v>20281</v>
      </c>
      <c r="AS25" s="4">
        <f ca="1">ROUND(T_Tiktok_ads[[#This Row],[shares]]*RANDBETWEEN(8,12)/10,0)</f>
        <v>4912</v>
      </c>
      <c r="AT25" s="4">
        <f ca="1">ROUND(T_Tiktok_ads[[#This Row],[comments]]*RANDBETWEEN(8,12)/10,0)</f>
        <v>1614</v>
      </c>
      <c r="AV25" s="5">
        <f t="shared" ca="1" si="3"/>
        <v>45158</v>
      </c>
      <c r="AW25">
        <f t="shared" ca="1" si="4"/>
        <v>1</v>
      </c>
      <c r="AX25">
        <f ca="1">ROUND(T_Facebook_Ads1159636771757983[[#This Row],[impressions]]*RANDBETWEEN(8,12)/10,0)</f>
        <v>96962</v>
      </c>
      <c r="AY25">
        <f ca="1">ROUND(T_Facebook_Ads1159636771757983[[#This Row],[clicks]]*RANDBETWEEN(8,12)/10,0)</f>
        <v>214</v>
      </c>
      <c r="AZ25">
        <f ca="1">T_Facebook_Ads1159636771757983[[#This Row],[spend]]*RANDBETWEEN(8,12)/10</f>
        <v>86.503999999999991</v>
      </c>
      <c r="BA25">
        <f ca="1">ROUND(T_Facebook_Ads1159636771757983[[#This Row],[conversions]]*RANDBETWEEN(8,12)/10,0)</f>
        <v>7</v>
      </c>
      <c r="BB25">
        <f ca="1">ROUND(T_Facebook_Ads1159636771757983[[#This Row],[video_views]]*RANDBETWEEN(8,12)/10,0)</f>
        <v>48118</v>
      </c>
    </row>
    <row r="26" spans="1:54" ht="15.75" thickBot="1" x14ac:dyDescent="0.3">
      <c r="A26" s="3">
        <f t="shared" ca="1" si="0"/>
        <v>45169</v>
      </c>
      <c r="B26" s="4" t="s">
        <v>52</v>
      </c>
      <c r="C26" s="4" t="s">
        <v>53</v>
      </c>
      <c r="D26" s="4" t="s">
        <v>54</v>
      </c>
      <c r="E26" s="4" t="s">
        <v>55</v>
      </c>
      <c r="F26" s="4">
        <f ca="1">ROUND(T_Facebook_Ads[[#This Row],[impressions]]*RANDBETWEEN(8,12)/10,0)</f>
        <v>60148</v>
      </c>
      <c r="G26" s="4">
        <v>1012</v>
      </c>
      <c r="H26" s="4">
        <f ca="1">T_Facebook_Ads[[#This Row],[spend]]*RANDBETWEEN(8,12)/10</f>
        <v>113.35999999999999</v>
      </c>
      <c r="I26" s="4">
        <f ca="1">ROUND(T_Facebook_Ads[[#This Row],[conversions]]*RANDBETWEEN(8,12)/10,0)</f>
        <v>15</v>
      </c>
      <c r="J26" s="4">
        <f ca="1">ROUND(T_Facebook_Ads[[#This Row],[video_views]]*RANDBETWEEN(8,12)/10,0)</f>
        <v>9345</v>
      </c>
      <c r="K26" s="4">
        <f ca="1">T_Facebook_Ads[[#This Row],[engagement_rate]]*RANDBETWEEN(8,12)/10</f>
        <v>2.2219999999999997E-2</v>
      </c>
      <c r="L26" s="4">
        <f ca="1">ROUND(T_Facebook_Ads[[#This Row],[reach]]*RANDBETWEEN(8,12)/10,0)</f>
        <v>41890</v>
      </c>
      <c r="M26" s="4">
        <f ca="1">T_Facebook_Ads[[#This Row],[frequency]]*RANDBETWEEN(8,12)/10</f>
        <v>0.96</v>
      </c>
      <c r="O26" s="3">
        <f t="shared" ca="1" si="1"/>
        <v>45150</v>
      </c>
      <c r="P26" s="4" t="s">
        <v>76</v>
      </c>
      <c r="Q26" s="4" t="s">
        <v>77</v>
      </c>
      <c r="R26" s="4" t="s">
        <v>78</v>
      </c>
      <c r="S26" s="4" t="s">
        <v>79</v>
      </c>
      <c r="T26" s="4">
        <f ca="1">ROUND(_Google_ads[[#This Row],[impressions]]*RANDBETWEEN(8,12)/10,0)</f>
        <v>25234</v>
      </c>
      <c r="U26" s="4">
        <f ca="1">ROUND(_Google_ads[[#This Row],[clicks]]*RANDBETWEEN(8,12)/10,0)</f>
        <v>1312</v>
      </c>
      <c r="V26" s="4">
        <f ca="1">_Google_ads[[#This Row],[cost]]*RANDBETWEEN(8,12)/10</f>
        <v>275.33000000000004</v>
      </c>
      <c r="W26" s="4">
        <f ca="1">ROUND(_Google_ads[[#This Row],[conversions]]*RANDBETWEEN(8,12)/10,0)</f>
        <v>44</v>
      </c>
      <c r="X26" s="4">
        <f ca="1">ROUND(_Google_ads[[#This Row],[conversion_value]]*RANDBETWEEN(8,12)/10,0)</f>
        <v>2450</v>
      </c>
      <c r="Y26" s="4">
        <f ca="1">_Google_ads[[#This Row],[ctr]]*RANDBETWEEN(8,12)/10</f>
        <v>4.1599999999999998E-2</v>
      </c>
      <c r="Z26" s="4">
        <f ca="1">_Google_ads[[#This Row],[avg_cpc]]*RANDBETWEEN(8,12)/10</f>
        <v>0.152</v>
      </c>
      <c r="AA26" s="4">
        <f ca="1">ROUND(_Google_ads[[#This Row],[quality_score]]*RANDBETWEEN(8,12)/10,0)</f>
        <v>8</v>
      </c>
      <c r="AB26" s="4">
        <f ca="1">_Google_ads[[#This Row],[search_impression_share]]*RANDBETWEEN(8,12)/10</f>
        <v>1.012</v>
      </c>
      <c r="AD26" s="3">
        <f t="shared" ca="1" si="2"/>
        <v>45144</v>
      </c>
      <c r="AE26" s="4" t="s">
        <v>100</v>
      </c>
      <c r="AF26" s="4" t="s">
        <v>101</v>
      </c>
      <c r="AG26" s="4" t="s">
        <v>102</v>
      </c>
      <c r="AH26" s="4" t="s">
        <v>103</v>
      </c>
      <c r="AI26" s="4">
        <f ca="1">ROUND(T_Tiktok_ads[[#This Row],[impressions]]*RANDBETWEEN(8,12)/10,0)</f>
        <v>231210</v>
      </c>
      <c r="AJ26" s="4">
        <f ca="1">ROUND(T_Tiktok_ads[[#This Row],[clicks]]*RANDBETWEEN(8,12)/10,0)</f>
        <v>5081</v>
      </c>
      <c r="AK26" s="4">
        <v>556.70000000000005</v>
      </c>
      <c r="AL26" s="4">
        <f ca="1">ROUND(T_Tiktok_ads[[#This Row],[conversions]]*RANDBETWEEN(8,12)/10,0)</f>
        <v>47</v>
      </c>
      <c r="AM26" s="4">
        <f ca="1">ROUND(T_Tiktok_ads[[#This Row],[video_views]]*RANDBETWEEN(8,12)/10,0)</f>
        <v>281480</v>
      </c>
      <c r="AN26" s="4">
        <f ca="1">ROUND(T_Tiktok_ads[[#This Row],[video_watch_25]]*RANDBETWEEN(8,12)/10,0)</f>
        <v>182345</v>
      </c>
      <c r="AO26" s="4">
        <f ca="1">ROUND(T_Tiktok_ads[[#This Row],[video_watch_50]]*RANDBETWEEN(8,12)/10,0)</f>
        <v>114567</v>
      </c>
      <c r="AP26" s="4">
        <f ca="1">ROUND(T_Tiktok_ads[[#This Row],[video_watch_75]]*RANDBETWEEN(8,12)/10,0)</f>
        <v>84957</v>
      </c>
      <c r="AQ26" s="4">
        <f ca="1">ROUND(T_Tiktok_ads[[#This Row],[video_watch_100]]*RANDBETWEEN(8,12)/10,0)</f>
        <v>61481</v>
      </c>
      <c r="AR26" s="4">
        <f ca="1">ROUND(T_Tiktok_ads[[#This Row],[likes]]*RANDBETWEEN(8,12)/10,0)</f>
        <v>8276</v>
      </c>
      <c r="AS26" s="4">
        <f ca="1">ROUND(T_Tiktok_ads[[#This Row],[shares]]*RANDBETWEEN(8,12)/10,0)</f>
        <v>2789</v>
      </c>
      <c r="AT26" s="4">
        <f ca="1">ROUND(T_Tiktok_ads[[#This Row],[comments]]*RANDBETWEEN(8,12)/10,0)</f>
        <v>525</v>
      </c>
      <c r="AV26" s="5">
        <f t="shared" ca="1" si="3"/>
        <v>45167</v>
      </c>
      <c r="AW26">
        <f t="shared" ca="1" si="4"/>
        <v>2</v>
      </c>
      <c r="AX26">
        <f ca="1">ROUND(T_Facebook_Ads1159636771757983[[#This Row],[impressions]]*RANDBETWEEN(8,12)/10,0)</f>
        <v>48118</v>
      </c>
      <c r="AY26">
        <f ca="1">ROUND(T_Facebook_Ads1159636771757983[[#This Row],[clicks]]*RANDBETWEEN(8,12)/10,0)</f>
        <v>1214</v>
      </c>
      <c r="AZ26">
        <f ca="1">T_Facebook_Ads1159636771757983[[#This Row],[spend]]*RANDBETWEEN(8,12)/10</f>
        <v>124.69599999999998</v>
      </c>
      <c r="BA26">
        <f ca="1">ROUND(T_Facebook_Ads1159636771757983[[#This Row],[conversions]]*RANDBETWEEN(8,12)/10,0)</f>
        <v>17</v>
      </c>
      <c r="BB26">
        <f ca="1">ROUND(T_Facebook_Ads1159636771757983[[#This Row],[video_views]]*RANDBETWEEN(8,12)/10,0)</f>
        <v>9345</v>
      </c>
    </row>
    <row r="27" spans="1:54" ht="15.75" thickBot="1" x14ac:dyDescent="0.3">
      <c r="A27" s="3">
        <f t="shared" ca="1" si="0"/>
        <v>45157</v>
      </c>
      <c r="B27" s="4" t="s">
        <v>60</v>
      </c>
      <c r="C27" s="4" t="s">
        <v>61</v>
      </c>
      <c r="D27" s="4" t="s">
        <v>62</v>
      </c>
      <c r="E27" s="4" t="s">
        <v>63</v>
      </c>
      <c r="F27" s="4">
        <f ca="1">ROUND(T_Facebook_Ads[[#This Row],[impressions]]*RANDBETWEEN(8,12)/10,0)</f>
        <v>29165</v>
      </c>
      <c r="G27" s="4">
        <v>1312</v>
      </c>
      <c r="H27" s="4">
        <f ca="1">T_Facebook_Ads[[#This Row],[spend]]*RANDBETWEEN(8,12)/10</f>
        <v>159.84</v>
      </c>
      <c r="I27" s="4">
        <f ca="1">ROUND(T_Facebook_Ads[[#This Row],[conversions]]*RANDBETWEEN(8,12)/10,0)</f>
        <v>29</v>
      </c>
      <c r="J27" s="4">
        <f ca="1">ROUND(T_Facebook_Ads[[#This Row],[video_views]]*RANDBETWEEN(8,12)/10,0)</f>
        <v>3858</v>
      </c>
      <c r="K27" s="4">
        <f ca="1">T_Facebook_Ads[[#This Row],[engagement_rate]]*RANDBETWEEN(8,12)/10</f>
        <v>3.2399999999999998E-2</v>
      </c>
      <c r="L27" s="4">
        <f ca="1">ROUND(T_Facebook_Ads[[#This Row],[reach]]*RANDBETWEEN(8,12)/10,0)</f>
        <v>36281</v>
      </c>
      <c r="M27" s="4">
        <f ca="1">T_Facebook_Ads[[#This Row],[frequency]]*RANDBETWEEN(8,12)/10</f>
        <v>1.21</v>
      </c>
      <c r="O27" s="3">
        <f t="shared" ca="1" si="1"/>
        <v>45153</v>
      </c>
      <c r="P27" s="4" t="s">
        <v>84</v>
      </c>
      <c r="Q27" s="4" t="s">
        <v>85</v>
      </c>
      <c r="R27" s="4" t="s">
        <v>86</v>
      </c>
      <c r="S27" s="4" t="s">
        <v>87</v>
      </c>
      <c r="T27" s="4">
        <f ca="1">ROUND(_Google_ads[[#This Row],[impressions]]*RANDBETWEEN(8,12)/10,0)</f>
        <v>73456</v>
      </c>
      <c r="U27" s="4">
        <f ca="1">ROUND(_Google_ads[[#This Row],[clicks]]*RANDBETWEEN(8,12)/10,0)</f>
        <v>2181</v>
      </c>
      <c r="V27" s="4">
        <f ca="1">_Google_ads[[#This Row],[cost]]*RANDBETWEEN(8,12)/10</f>
        <v>353.44</v>
      </c>
      <c r="W27" s="4">
        <f ca="1">ROUND(_Google_ads[[#This Row],[conversions]]*RANDBETWEEN(8,12)/10,0)</f>
        <v>84</v>
      </c>
      <c r="X27" s="4">
        <f ca="1">ROUND(_Google_ads[[#This Row],[conversion_value]]*RANDBETWEEN(8,12)/10,0)</f>
        <v>3850</v>
      </c>
      <c r="Y27" s="4">
        <f ca="1">_Google_ads[[#This Row],[ctr]]*RANDBETWEEN(8,12)/10</f>
        <v>3.9600000000000003E-2</v>
      </c>
      <c r="Z27" s="4">
        <f ca="1">_Google_ads[[#This Row],[avg_cpc]]*RANDBETWEEN(8,12)/10</f>
        <v>0.19800000000000001</v>
      </c>
      <c r="AA27" s="4">
        <f ca="1">ROUND(_Google_ads[[#This Row],[quality_score]]*RANDBETWEEN(8,12)/10,0)</f>
        <v>8</v>
      </c>
      <c r="AB27" s="4">
        <f ca="1">_Google_ads[[#This Row],[search_impression_share]]*RANDBETWEEN(8,12)/10</f>
        <v>0.54400000000000004</v>
      </c>
      <c r="AD27" s="3">
        <f t="shared" ca="1" si="2"/>
        <v>45147</v>
      </c>
      <c r="AE27" s="4" t="s">
        <v>108</v>
      </c>
      <c r="AF27" s="4" t="s">
        <v>109</v>
      </c>
      <c r="AG27" s="4" t="s">
        <v>110</v>
      </c>
      <c r="AH27" s="4" t="s">
        <v>111</v>
      </c>
      <c r="AI27" s="4">
        <f ca="1">ROUND(T_Tiktok_ads[[#This Row],[impressions]]*RANDBETWEEN(8,12)/10,0)</f>
        <v>197011</v>
      </c>
      <c r="AJ27" s="4">
        <f ca="1">ROUND(T_Tiktok_ads[[#This Row],[clicks]]*RANDBETWEEN(8,12)/10,0)</f>
        <v>3802</v>
      </c>
      <c r="AK27" s="4">
        <v>414.4</v>
      </c>
      <c r="AL27" s="4">
        <f ca="1">ROUND(T_Tiktok_ads[[#This Row],[conversions]]*RANDBETWEEN(8,12)/10,0)</f>
        <v>26</v>
      </c>
      <c r="AM27" s="4">
        <f ca="1">ROUND(T_Tiktok_ads[[#This Row],[video_views]]*RANDBETWEEN(8,12)/10,0)</f>
        <v>208147</v>
      </c>
      <c r="AN27" s="4">
        <f ca="1">ROUND(T_Tiktok_ads[[#This Row],[video_watch_25]]*RANDBETWEEN(8,12)/10,0)</f>
        <v>118410</v>
      </c>
      <c r="AO27" s="4">
        <f ca="1">ROUND(T_Tiktok_ads[[#This Row],[video_watch_50]]*RANDBETWEEN(8,12)/10,0)</f>
        <v>124280</v>
      </c>
      <c r="AP27" s="4">
        <f ca="1">ROUND(T_Tiktok_ads[[#This Row],[video_watch_75]]*RANDBETWEEN(8,12)/10,0)</f>
        <v>53787</v>
      </c>
      <c r="AQ27" s="4">
        <f ca="1">ROUND(T_Tiktok_ads[[#This Row],[video_watch_100]]*RANDBETWEEN(8,12)/10,0)</f>
        <v>48680</v>
      </c>
      <c r="AR27" s="4">
        <f ca="1">ROUND(T_Tiktok_ads[[#This Row],[likes]]*RANDBETWEEN(8,12)/10,0)</f>
        <v>6410</v>
      </c>
      <c r="AS27" s="4">
        <f ca="1">ROUND(T_Tiktok_ads[[#This Row],[shares]]*RANDBETWEEN(8,12)/10,0)</f>
        <v>1761</v>
      </c>
      <c r="AT27" s="4">
        <f ca="1">ROUND(T_Tiktok_ads[[#This Row],[comments]]*RANDBETWEEN(8,12)/10,0)</f>
        <v>418</v>
      </c>
      <c r="AV27" s="5">
        <f t="shared" ca="1" si="3"/>
        <v>45149</v>
      </c>
      <c r="AW27">
        <f t="shared" ca="1" si="4"/>
        <v>6</v>
      </c>
      <c r="AX27">
        <f ca="1">ROUND(T_Facebook_Ads1159636771757983[[#This Row],[impressions]]*RANDBETWEEN(8,12)/10,0)</f>
        <v>23332</v>
      </c>
      <c r="AY27">
        <f ca="1">ROUND(T_Facebook_Ads1159636771757983[[#This Row],[clicks]]*RANDBETWEEN(8,12)/10,0)</f>
        <v>1574</v>
      </c>
      <c r="AZ27">
        <f ca="1">T_Facebook_Ads1159636771757983[[#This Row],[spend]]*RANDBETWEEN(8,12)/10</f>
        <v>191.80799999999999</v>
      </c>
      <c r="BA27">
        <f ca="1">ROUND(T_Facebook_Ads1159636771757983[[#This Row],[conversions]]*RANDBETWEEN(8,12)/10,0)</f>
        <v>35</v>
      </c>
      <c r="BB27">
        <f ca="1">ROUND(T_Facebook_Ads1159636771757983[[#This Row],[video_views]]*RANDBETWEEN(8,12)/10,0)</f>
        <v>3858</v>
      </c>
    </row>
    <row r="28" spans="1:54" ht="15.75" thickBot="1" x14ac:dyDescent="0.3">
      <c r="A28" s="3">
        <f t="shared" ca="1" si="0"/>
        <v>45166</v>
      </c>
      <c r="B28" s="4" t="s">
        <v>64</v>
      </c>
      <c r="C28" s="4" t="s">
        <v>65</v>
      </c>
      <c r="D28" s="4" t="s">
        <v>66</v>
      </c>
      <c r="E28" s="4" t="s">
        <v>67</v>
      </c>
      <c r="F28" s="4">
        <f ca="1">ROUND(T_Facebook_Ads[[#This Row],[impressions]]*RANDBETWEEN(8,12)/10,0)</f>
        <v>84148</v>
      </c>
      <c r="G28" s="4">
        <v>253</v>
      </c>
      <c r="H28" s="4">
        <f ca="1">T_Facebook_Ads[[#This Row],[spend]]*RANDBETWEEN(8,12)/10</f>
        <v>93.6</v>
      </c>
      <c r="I28" s="4">
        <f ca="1">ROUND(T_Facebook_Ads[[#This Row],[conversions]]*RANDBETWEEN(8,12)/10,0)</f>
        <v>7</v>
      </c>
      <c r="J28" s="4">
        <f ca="1">ROUND(T_Facebook_Ads[[#This Row],[video_views]]*RANDBETWEEN(8,12)/10,0)</f>
        <v>53057</v>
      </c>
      <c r="K28" s="4">
        <f ca="1">T_Facebook_Ads[[#This Row],[engagement_rate]]*RANDBETWEEN(8,12)/10</f>
        <v>2.8799999999999997E-3</v>
      </c>
      <c r="L28" s="4">
        <f ca="1">ROUND(T_Facebook_Ads[[#This Row],[reach]]*RANDBETWEEN(8,12)/10,0)</f>
        <v>70147</v>
      </c>
      <c r="M28" s="4">
        <f ca="1">T_Facebook_Ads[[#This Row],[frequency]]*RANDBETWEEN(8,12)/10</f>
        <v>1.44</v>
      </c>
      <c r="O28" s="3">
        <f t="shared" ca="1" si="1"/>
        <v>45150</v>
      </c>
      <c r="P28" s="4" t="s">
        <v>88</v>
      </c>
      <c r="Q28" s="4" t="s">
        <v>89</v>
      </c>
      <c r="R28" s="4" t="s">
        <v>90</v>
      </c>
      <c r="S28" s="4" t="s">
        <v>59</v>
      </c>
      <c r="T28" s="4">
        <f ca="1">ROUND(_Google_ads[[#This Row],[impressions]]*RANDBETWEEN(8,12)/10,0)</f>
        <v>103476</v>
      </c>
      <c r="U28" s="4">
        <f ca="1">ROUND(_Google_ads[[#This Row],[clicks]]*RANDBETWEEN(8,12)/10,0)</f>
        <v>502</v>
      </c>
      <c r="V28" s="4">
        <f ca="1">_Google_ads[[#This Row],[cost]]*RANDBETWEEN(8,12)/10</f>
        <v>138.16</v>
      </c>
      <c r="W28" s="4">
        <f ca="1">ROUND(_Google_ads[[#This Row],[conversions]]*RANDBETWEEN(8,12)/10,0)</f>
        <v>11</v>
      </c>
      <c r="X28" s="4">
        <f ca="1">ROUND(_Google_ads[[#This Row],[conversion_value]]*RANDBETWEEN(8,12)/10,0)</f>
        <v>540</v>
      </c>
      <c r="Y28" s="4">
        <f ca="1">_Google_ads[[#This Row],[ctr]]*RANDBETWEEN(8,12)/10</f>
        <v>3.15E-3</v>
      </c>
      <c r="Z28" s="4">
        <f ca="1">_Google_ads[[#This Row],[avg_cpc]]*RANDBETWEEN(8,12)/10</f>
        <v>0.22400000000000003</v>
      </c>
      <c r="AA28" s="4">
        <f ca="1">ROUND(_Google_ads[[#This Row],[quality_score]]*RANDBETWEEN(8,12)/10,0)</f>
        <v>7</v>
      </c>
      <c r="AB28" s="4">
        <f ca="1">_Google_ads[[#This Row],[search_impression_share]]*RANDBETWEEN(8,12)/10</f>
        <v>0.315</v>
      </c>
      <c r="AD28" s="3">
        <f t="shared" ca="1" si="2"/>
        <v>45165</v>
      </c>
      <c r="AE28" s="4" t="s">
        <v>112</v>
      </c>
      <c r="AF28" s="4" t="s">
        <v>113</v>
      </c>
      <c r="AG28" s="4" t="s">
        <v>114</v>
      </c>
      <c r="AH28" s="4" t="s">
        <v>115</v>
      </c>
      <c r="AI28" s="4">
        <f ca="1">ROUND(T_Tiktok_ads[[#This Row],[impressions]]*RANDBETWEEN(8,12)/10,0)</f>
        <v>481481</v>
      </c>
      <c r="AJ28" s="4">
        <f ca="1">ROUND(T_Tiktok_ads[[#This Row],[clicks]]*RANDBETWEEN(8,12)/10,0)</f>
        <v>5810</v>
      </c>
      <c r="AK28" s="4">
        <v>989.9</v>
      </c>
      <c r="AL28" s="4">
        <f ca="1">ROUND(T_Tiktok_ads[[#This Row],[conversions]]*RANDBETWEEN(8,12)/10,0)</f>
        <v>101</v>
      </c>
      <c r="AM28" s="4">
        <f ca="1">ROUND(T_Tiktok_ads[[#This Row],[video_views]]*RANDBETWEEN(8,12)/10,0)</f>
        <v>299111</v>
      </c>
      <c r="AN28" s="4">
        <f ca="1">ROUND(T_Tiktok_ads[[#This Row],[video_watch_25]]*RANDBETWEEN(8,12)/10,0)</f>
        <v>214312</v>
      </c>
      <c r="AO28" s="4">
        <f ca="1">ROUND(T_Tiktok_ads[[#This Row],[video_watch_50]]*RANDBETWEEN(8,12)/10,0)</f>
        <v>257480</v>
      </c>
      <c r="AP28" s="4">
        <f ca="1">ROUND(T_Tiktok_ads[[#This Row],[video_watch_75]]*RANDBETWEEN(8,12)/10,0)</f>
        <v>181481</v>
      </c>
      <c r="AQ28" s="4">
        <f ca="1">ROUND(T_Tiktok_ads[[#This Row],[video_watch_100]]*RANDBETWEEN(8,12)/10,0)</f>
        <v>89610</v>
      </c>
      <c r="AR28" s="4">
        <f ca="1">ROUND(T_Tiktok_ads[[#This Row],[likes]]*RANDBETWEEN(8,12)/10,0)</f>
        <v>13787</v>
      </c>
      <c r="AS28" s="4">
        <f ca="1">ROUND(T_Tiktok_ads[[#This Row],[shares]]*RANDBETWEEN(8,12)/10,0)</f>
        <v>6014</v>
      </c>
      <c r="AT28" s="4">
        <f ca="1">ROUND(T_Tiktok_ads[[#This Row],[comments]]*RANDBETWEEN(8,12)/10,0)</f>
        <v>1378</v>
      </c>
      <c r="AV28" s="5">
        <f t="shared" ca="1" si="3"/>
        <v>45160</v>
      </c>
      <c r="AW28">
        <f t="shared" ca="1" si="4"/>
        <v>2</v>
      </c>
      <c r="AX28">
        <f ca="1">ROUND(T_Facebook_Ads1159636771757983[[#This Row],[impressions]]*RANDBETWEEN(8,12)/10,0)</f>
        <v>84148</v>
      </c>
      <c r="AY28">
        <f ca="1">ROUND(T_Facebook_Ads1159636771757983[[#This Row],[clicks]]*RANDBETWEEN(8,12)/10,0)</f>
        <v>202</v>
      </c>
      <c r="AZ28">
        <f ca="1">T_Facebook_Ads1159636771757983[[#This Row],[spend]]*RANDBETWEEN(8,12)/10</f>
        <v>112.31999999999998</v>
      </c>
      <c r="BA28">
        <f ca="1">ROUND(T_Facebook_Ads1159636771757983[[#This Row],[conversions]]*RANDBETWEEN(8,12)/10,0)</f>
        <v>8</v>
      </c>
      <c r="BB28">
        <f ca="1">ROUND(T_Facebook_Ads1159636771757983[[#This Row],[video_views]]*RANDBETWEEN(8,12)/10,0)</f>
        <v>42446</v>
      </c>
    </row>
    <row r="29" spans="1:54" ht="15.75" thickBot="1" x14ac:dyDescent="0.3">
      <c r="A29" s="3">
        <f t="shared" ca="1" si="0"/>
        <v>45141</v>
      </c>
      <c r="B29" s="4" t="s">
        <v>52</v>
      </c>
      <c r="C29" s="4" t="s">
        <v>53</v>
      </c>
      <c r="D29" s="4" t="s">
        <v>54</v>
      </c>
      <c r="E29" s="4" t="s">
        <v>55</v>
      </c>
      <c r="F29" s="4">
        <f ca="1">ROUND(T_Facebook_Ads[[#This Row],[impressions]]*RANDBETWEEN(8,12)/10,0)</f>
        <v>38854</v>
      </c>
      <c r="G29" s="4">
        <v>978</v>
      </c>
      <c r="H29" s="4">
        <f ca="1">T_Facebook_Ads[[#This Row],[spend]]*RANDBETWEEN(8,12)/10</f>
        <v>165.36</v>
      </c>
      <c r="I29" s="4">
        <f ca="1">ROUND(T_Facebook_Ads[[#This Row],[conversions]]*RANDBETWEEN(8,12)/10,0)</f>
        <v>11</v>
      </c>
      <c r="J29" s="4">
        <f ca="1">ROUND(T_Facebook_Ads[[#This Row],[video_views]]*RANDBETWEEN(8,12)/10,0)</f>
        <v>10734</v>
      </c>
      <c r="K29" s="4">
        <f ca="1">T_Facebook_Ads[[#This Row],[engagement_rate]]*RANDBETWEEN(8,12)/10</f>
        <v>2.01E-2</v>
      </c>
      <c r="L29" s="4">
        <f ca="1">ROUND(T_Facebook_Ads[[#This Row],[reach]]*RANDBETWEEN(8,12)/10,0)</f>
        <v>36410</v>
      </c>
      <c r="M29" s="4">
        <f ca="1">T_Facebook_Ads[[#This Row],[frequency]]*RANDBETWEEN(8,12)/10</f>
        <v>1.44</v>
      </c>
      <c r="O29" s="3">
        <f t="shared" ca="1" si="1"/>
        <v>45163</v>
      </c>
      <c r="P29" s="4" t="s">
        <v>76</v>
      </c>
      <c r="Q29" s="4" t="s">
        <v>77</v>
      </c>
      <c r="R29" s="4" t="s">
        <v>78</v>
      </c>
      <c r="S29" s="4" t="s">
        <v>79</v>
      </c>
      <c r="T29" s="4">
        <f ca="1">ROUND(_Google_ads[[#This Row],[impressions]]*RANDBETWEEN(8,12)/10,0)</f>
        <v>24678</v>
      </c>
      <c r="U29" s="4">
        <f ca="1">ROUND(_Google_ads[[#This Row],[clicks]]*RANDBETWEEN(8,12)/10,0)</f>
        <v>1547</v>
      </c>
      <c r="V29" s="4">
        <f ca="1">_Google_ads[[#This Row],[cost]]*RANDBETWEEN(8,12)/10</f>
        <v>196.72</v>
      </c>
      <c r="W29" s="4">
        <f ca="1">ROUND(_Google_ads[[#This Row],[conversions]]*RANDBETWEEN(8,12)/10,0)</f>
        <v>58</v>
      </c>
      <c r="X29" s="4">
        <f ca="1">ROUND(_Google_ads[[#This Row],[conversion_value]]*RANDBETWEEN(8,12)/10,0)</f>
        <v>2880</v>
      </c>
      <c r="Y29" s="4">
        <f ca="1">_Google_ads[[#This Row],[ctr]]*RANDBETWEEN(8,12)/10</f>
        <v>5.7420000000000006E-2</v>
      </c>
      <c r="Z29" s="4">
        <f ca="1">_Google_ads[[#This Row],[avg_cpc]]*RANDBETWEEN(8,12)/10</f>
        <v>0.17099999999999999</v>
      </c>
      <c r="AA29" s="4">
        <f ca="1">ROUND(_Google_ads[[#This Row],[quality_score]]*RANDBETWEEN(8,12)/10,0)</f>
        <v>10</v>
      </c>
      <c r="AB29" s="4">
        <f ca="1">_Google_ads[[#This Row],[search_impression_share]]*RANDBETWEEN(8,12)/10</f>
        <v>0.90999999999999992</v>
      </c>
      <c r="AD29" s="3">
        <f t="shared" ca="1" si="2"/>
        <v>45146</v>
      </c>
      <c r="AE29" s="4" t="s">
        <v>100</v>
      </c>
      <c r="AF29" s="4" t="s">
        <v>101</v>
      </c>
      <c r="AG29" s="4" t="s">
        <v>102</v>
      </c>
      <c r="AH29" s="4" t="s">
        <v>103</v>
      </c>
      <c r="AI29" s="4">
        <f ca="1">ROUND(T_Tiktok_ads[[#This Row],[impressions]]*RANDBETWEEN(8,12)/10,0)</f>
        <v>230611</v>
      </c>
      <c r="AJ29" s="4">
        <f ca="1">ROUND(T_Tiktok_ads[[#This Row],[clicks]]*RANDBETWEEN(8,12)/10,0)</f>
        <v>3701</v>
      </c>
      <c r="AK29" s="4">
        <v>490.5</v>
      </c>
      <c r="AL29" s="4">
        <f ca="1">ROUND(T_Tiktok_ads[[#This Row],[conversions]]*RANDBETWEEN(8,12)/10,0)</f>
        <v>46</v>
      </c>
      <c r="AM29" s="4">
        <f ca="1">ROUND(T_Tiktok_ads[[#This Row],[video_views]]*RANDBETWEEN(8,12)/10,0)</f>
        <v>209234</v>
      </c>
      <c r="AN29" s="4">
        <f ca="1">ROUND(T_Tiktok_ads[[#This Row],[video_watch_25]]*RANDBETWEEN(8,12)/10,0)</f>
        <v>163567</v>
      </c>
      <c r="AO29" s="4">
        <f ca="1">ROUND(T_Tiktok_ads[[#This Row],[video_watch_50]]*RANDBETWEEN(8,12)/10,0)</f>
        <v>123080</v>
      </c>
      <c r="AP29" s="4">
        <f ca="1">ROUND(T_Tiktok_ads[[#This Row],[video_watch_75]]*RANDBETWEEN(8,12)/10,0)</f>
        <v>76524</v>
      </c>
      <c r="AQ29" s="4">
        <f ca="1">ROUND(T_Tiktok_ads[[#This Row],[video_watch_100]]*RANDBETWEEN(8,12)/10,0)</f>
        <v>46567</v>
      </c>
      <c r="AR29" s="4">
        <f ca="1">ROUND(T_Tiktok_ads[[#This Row],[likes]]*RANDBETWEEN(8,12)/10,0)</f>
        <v>8211</v>
      </c>
      <c r="AS29" s="4">
        <f ca="1">ROUND(T_Tiktok_ads[[#This Row],[shares]]*RANDBETWEEN(8,12)/10,0)</f>
        <v>2665</v>
      </c>
      <c r="AT29" s="4">
        <f ca="1">ROUND(T_Tiktok_ads[[#This Row],[comments]]*RANDBETWEEN(8,12)/10,0)</f>
        <v>481</v>
      </c>
      <c r="AV29" s="5">
        <f t="shared" ca="1" si="3"/>
        <v>45153</v>
      </c>
      <c r="AW29">
        <f t="shared" ca="1" si="4"/>
        <v>3</v>
      </c>
      <c r="AX29">
        <f ca="1">ROUND(T_Facebook_Ads1159636771757983[[#This Row],[impressions]]*RANDBETWEEN(8,12)/10,0)</f>
        <v>34969</v>
      </c>
      <c r="AY29">
        <f ca="1">ROUND(T_Facebook_Ads1159636771757983[[#This Row],[clicks]]*RANDBETWEEN(8,12)/10,0)</f>
        <v>782</v>
      </c>
      <c r="AZ29">
        <f ca="1">T_Facebook_Ads1159636771757983[[#This Row],[spend]]*RANDBETWEEN(8,12)/10</f>
        <v>132.28800000000001</v>
      </c>
      <c r="BA29">
        <f ca="1">ROUND(T_Facebook_Ads1159636771757983[[#This Row],[conversions]]*RANDBETWEEN(8,12)/10,0)</f>
        <v>10</v>
      </c>
      <c r="BB29">
        <f ca="1">ROUND(T_Facebook_Ads1159636771757983[[#This Row],[video_views]]*RANDBETWEEN(8,12)/10,0)</f>
        <v>12881</v>
      </c>
    </row>
    <row r="30" spans="1:54" ht="15.75" thickBot="1" x14ac:dyDescent="0.3">
      <c r="A30" s="3">
        <f t="shared" ca="1" si="0"/>
        <v>45154</v>
      </c>
      <c r="B30" s="4" t="s">
        <v>56</v>
      </c>
      <c r="C30" s="4" t="s">
        <v>57</v>
      </c>
      <c r="D30" s="4" t="s">
        <v>58</v>
      </c>
      <c r="E30" s="4" t="s">
        <v>59</v>
      </c>
      <c r="F30" s="4">
        <f ca="1">ROUND(T_Facebook_Ads[[#This Row],[impressions]]*RANDBETWEEN(8,12)/10,0)</f>
        <v>13789</v>
      </c>
      <c r="G30" s="4">
        <v>645</v>
      </c>
      <c r="H30" s="4">
        <f ca="1">T_Facebook_Ads[[#This Row],[spend]]*RANDBETWEEN(8,12)/10</f>
        <v>289.43999999999994</v>
      </c>
      <c r="I30" s="4">
        <f ca="1">ROUND(T_Facebook_Ads[[#This Row],[conversions]]*RANDBETWEEN(8,12)/10,0)</f>
        <v>45</v>
      </c>
      <c r="J30" s="4">
        <f ca="1">ROUND(T_Facebook_Ads[[#This Row],[video_views]]*RANDBETWEEN(8,12)/10,0)</f>
        <v>1191</v>
      </c>
      <c r="K30" s="4">
        <f ca="1">T_Facebook_Ads[[#This Row],[engagement_rate]]*RANDBETWEEN(8,12)/10</f>
        <v>5.6160000000000002E-2</v>
      </c>
      <c r="L30" s="4">
        <f ca="1">ROUND(T_Facebook_Ads[[#This Row],[reach]]*RANDBETWEEN(8,12)/10,0)</f>
        <v>9710</v>
      </c>
      <c r="M30" s="4">
        <f ca="1">T_Facebook_Ads[[#This Row],[frequency]]*RANDBETWEEN(8,12)/10</f>
        <v>1.28</v>
      </c>
      <c r="O30" s="3">
        <f t="shared" ca="1" si="1"/>
        <v>45158</v>
      </c>
      <c r="P30" s="4" t="s">
        <v>80</v>
      </c>
      <c r="Q30" s="4" t="s">
        <v>81</v>
      </c>
      <c r="R30" s="4" t="s">
        <v>82</v>
      </c>
      <c r="S30" s="4" t="s">
        <v>83</v>
      </c>
      <c r="T30" s="4">
        <f ca="1">ROUND(_Google_ads[[#This Row],[impressions]]*RANDBETWEEN(8,12)/10,0)</f>
        <v>54281</v>
      </c>
      <c r="U30" s="4">
        <f ca="1">ROUND(_Google_ads[[#This Row],[clicks]]*RANDBETWEEN(8,12)/10,0)</f>
        <v>721</v>
      </c>
      <c r="V30" s="4">
        <f ca="1">_Google_ads[[#This Row],[cost]]*RANDBETWEEN(8,12)/10</f>
        <v>521.01</v>
      </c>
      <c r="W30" s="4">
        <f ca="1">ROUND(_Google_ads[[#This Row],[conversions]]*RANDBETWEEN(8,12)/10,0)</f>
        <v>23</v>
      </c>
      <c r="X30" s="4">
        <f ca="1">ROUND(_Google_ads[[#This Row],[conversion_value]]*RANDBETWEEN(8,12)/10,0)</f>
        <v>1150</v>
      </c>
      <c r="Y30" s="4">
        <f ca="1">_Google_ads[[#This Row],[ctr]]*RANDBETWEEN(8,12)/10</f>
        <v>1.9900000000000001E-2</v>
      </c>
      <c r="Z30" s="4">
        <f ca="1">_Google_ads[[#This Row],[avg_cpc]]*RANDBETWEEN(8,12)/10</f>
        <v>0.70399999999999996</v>
      </c>
      <c r="AA30" s="4">
        <f ca="1">ROUND(_Google_ads[[#This Row],[quality_score]]*RANDBETWEEN(8,12)/10,0)</f>
        <v>8</v>
      </c>
      <c r="AB30" s="4">
        <f ca="1">_Google_ads[[#This Row],[search_impression_share]]*RANDBETWEEN(8,12)/10</f>
        <v>0.36</v>
      </c>
      <c r="AD30" s="3">
        <f t="shared" ca="1" si="2"/>
        <v>45166</v>
      </c>
      <c r="AE30" s="4" t="s">
        <v>104</v>
      </c>
      <c r="AF30" s="4" t="s">
        <v>105</v>
      </c>
      <c r="AG30" s="4" t="s">
        <v>106</v>
      </c>
      <c r="AH30" s="4" t="s">
        <v>107</v>
      </c>
      <c r="AI30" s="4">
        <f ca="1">ROUND(T_Tiktok_ads[[#This Row],[impressions]]*RANDBETWEEN(8,12)/10,0)</f>
        <v>131110</v>
      </c>
      <c r="AJ30" s="4">
        <f ca="1">ROUND(T_Tiktok_ads[[#This Row],[clicks]]*RANDBETWEEN(8,12)/10,0)</f>
        <v>3068</v>
      </c>
      <c r="AK30" s="4">
        <v>756.7</v>
      </c>
      <c r="AL30" s="4">
        <f ca="1">ROUND(T_Tiktok_ads[[#This Row],[conversions]]*RANDBETWEEN(8,12)/10,0)</f>
        <v>76</v>
      </c>
      <c r="AM30" s="4">
        <f ca="1">ROUND(T_Tiktok_ads[[#This Row],[video_views]]*RANDBETWEEN(8,12)/10,0)</f>
        <v>91111</v>
      </c>
      <c r="AN30" s="4">
        <f ca="1">ROUND(T_Tiktok_ads[[#This Row],[video_watch_25]]*RANDBETWEEN(8,12)/10,0)</f>
        <v>89480</v>
      </c>
      <c r="AO30" s="4">
        <f ca="1">ROUND(T_Tiktok_ads[[#This Row],[video_watch_50]]*RANDBETWEEN(8,12)/10,0)</f>
        <v>60281</v>
      </c>
      <c r="AP30" s="4">
        <f ca="1">ROUND(T_Tiktok_ads[[#This Row],[video_watch_75]]*RANDBETWEEN(8,12)/10,0)</f>
        <v>41679</v>
      </c>
      <c r="AQ30" s="4">
        <f ca="1">ROUND(T_Tiktok_ads[[#This Row],[video_watch_100]]*RANDBETWEEN(8,12)/10,0)</f>
        <v>25234</v>
      </c>
      <c r="AR30" s="4">
        <f ca="1">ROUND(T_Tiktok_ads[[#This Row],[likes]]*RANDBETWEEN(8,12)/10,0)</f>
        <v>6014</v>
      </c>
      <c r="AS30" s="4">
        <f ca="1">ROUND(T_Tiktok_ads[[#This Row],[shares]]*RANDBETWEEN(8,12)/10,0)</f>
        <v>1423</v>
      </c>
      <c r="AT30" s="4">
        <f ca="1">ROUND(T_Tiktok_ads[[#This Row],[comments]]*RANDBETWEEN(8,12)/10,0)</f>
        <v>240</v>
      </c>
      <c r="AV30" s="5">
        <f t="shared" ca="1" si="3"/>
        <v>45147</v>
      </c>
      <c r="AW30">
        <f t="shared" ca="1" si="4"/>
        <v>6</v>
      </c>
      <c r="AX30">
        <f ca="1">ROUND(T_Facebook_Ads1159636771757983[[#This Row],[impressions]]*RANDBETWEEN(8,12)/10,0)</f>
        <v>13789</v>
      </c>
      <c r="AY30">
        <f ca="1">ROUND(T_Facebook_Ads1159636771757983[[#This Row],[clicks]]*RANDBETWEEN(8,12)/10,0)</f>
        <v>710</v>
      </c>
      <c r="AZ30">
        <f ca="1">T_Facebook_Ads1159636771757983[[#This Row],[spend]]*RANDBETWEEN(8,12)/10</f>
        <v>289.43999999999994</v>
      </c>
      <c r="BA30">
        <f ca="1">ROUND(T_Facebook_Ads1159636771757983[[#This Row],[conversions]]*RANDBETWEEN(8,12)/10,0)</f>
        <v>41</v>
      </c>
      <c r="BB30">
        <f ca="1">ROUND(T_Facebook_Ads1159636771757983[[#This Row],[video_views]]*RANDBETWEEN(8,12)/10,0)</f>
        <v>1191</v>
      </c>
    </row>
    <row r="31" spans="1:54" ht="15.75" thickBot="1" x14ac:dyDescent="0.3">
      <c r="A31" s="3">
        <f t="shared" ca="1" si="0"/>
        <v>45144</v>
      </c>
      <c r="B31" s="4" t="s">
        <v>60</v>
      </c>
      <c r="C31" s="4" t="s">
        <v>61</v>
      </c>
      <c r="D31" s="4" t="s">
        <v>62</v>
      </c>
      <c r="E31" s="4" t="s">
        <v>63</v>
      </c>
      <c r="F31" s="4">
        <f ca="1">ROUND(T_Facebook_Ads[[#This Row],[impressions]]*RANDBETWEEN(8,12)/10,0)</f>
        <v>38456</v>
      </c>
      <c r="G31" s="4">
        <v>1423</v>
      </c>
      <c r="H31" s="4">
        <f ca="1">T_Facebook_Ads[[#This Row],[spend]]*RANDBETWEEN(8,12)/10</f>
        <v>261</v>
      </c>
      <c r="I31" s="4">
        <f ca="1">ROUND(T_Facebook_Ads[[#This Row],[conversions]]*RANDBETWEEN(8,12)/10,0)</f>
        <v>26</v>
      </c>
      <c r="J31" s="4">
        <f ca="1">ROUND(T_Facebook_Ads[[#This Row],[video_views]]*RANDBETWEEN(8,12)/10,0)</f>
        <v>5123</v>
      </c>
      <c r="K31" s="4">
        <f ca="1">T_Facebook_Ads[[#This Row],[engagement_rate]]*RANDBETWEEN(8,12)/10</f>
        <v>2.9599999999999998E-2</v>
      </c>
      <c r="L31" s="4">
        <f ca="1">ROUND(T_Facebook_Ads[[#This Row],[reach]]*RANDBETWEEN(8,12)/10,0)</f>
        <v>34357</v>
      </c>
      <c r="M31" s="4">
        <f ca="1">T_Facebook_Ads[[#This Row],[frequency]]*RANDBETWEEN(8,12)/10</f>
        <v>1.476</v>
      </c>
      <c r="O31" s="3">
        <f t="shared" ca="1" si="1"/>
        <v>45143</v>
      </c>
      <c r="P31" s="4" t="s">
        <v>84</v>
      </c>
      <c r="Q31" s="4" t="s">
        <v>85</v>
      </c>
      <c r="R31" s="4" t="s">
        <v>86</v>
      </c>
      <c r="S31" s="4" t="s">
        <v>87</v>
      </c>
      <c r="T31" s="4">
        <f ca="1">ROUND(_Google_ads[[#This Row],[impressions]]*RANDBETWEEN(8,12)/10,0)</f>
        <v>82681</v>
      </c>
      <c r="U31" s="4">
        <f ca="1">ROUND(_Google_ads[[#This Row],[clicks]]*RANDBETWEEN(8,12)/10,0)</f>
        <v>1814</v>
      </c>
      <c r="V31" s="4">
        <f ca="1">_Google_ads[[#This Row],[cost]]*RANDBETWEEN(8,12)/10</f>
        <v>414.2</v>
      </c>
      <c r="W31" s="4">
        <f ca="1">ROUND(_Google_ads[[#This Row],[conversions]]*RANDBETWEEN(8,12)/10,0)</f>
        <v>70</v>
      </c>
      <c r="X31" s="4">
        <f ca="1">ROUND(_Google_ads[[#This Row],[conversion_value]]*RANDBETWEEN(8,12)/10,0)</f>
        <v>2880</v>
      </c>
      <c r="Y31" s="4">
        <f ca="1">_Google_ads[[#This Row],[ctr]]*RANDBETWEEN(8,12)/10</f>
        <v>3.9480000000000001E-2</v>
      </c>
      <c r="Z31" s="4">
        <f ca="1">_Google_ads[[#This Row],[avg_cpc]]*RANDBETWEEN(8,12)/10</f>
        <v>0.16199999999999998</v>
      </c>
      <c r="AA31" s="4">
        <f ca="1">ROUND(_Google_ads[[#This Row],[quality_score]]*RANDBETWEEN(8,12)/10,0)</f>
        <v>10</v>
      </c>
      <c r="AB31" s="4">
        <f ca="1">_Google_ads[[#This Row],[search_impression_share]]*RANDBETWEEN(8,12)/10</f>
        <v>0.67</v>
      </c>
      <c r="AD31" s="3">
        <f t="shared" ca="1" si="2"/>
        <v>45158</v>
      </c>
      <c r="AE31" s="4" t="s">
        <v>108</v>
      </c>
      <c r="AF31" s="4" t="s">
        <v>109</v>
      </c>
      <c r="AG31" s="4" t="s">
        <v>110</v>
      </c>
      <c r="AH31" s="4" t="s">
        <v>111</v>
      </c>
      <c r="AI31" s="4">
        <f ca="1">ROUND(T_Tiktok_ads[[#This Row],[impressions]]*RANDBETWEEN(8,12)/10,0)</f>
        <v>201110</v>
      </c>
      <c r="AJ31" s="4">
        <f ca="1">ROUND(T_Tiktok_ads[[#This Row],[clicks]]*RANDBETWEEN(8,12)/10,0)</f>
        <v>4280</v>
      </c>
      <c r="AK31" s="4">
        <v>427.7</v>
      </c>
      <c r="AL31" s="4">
        <f ca="1">ROUND(T_Tiktok_ads[[#This Row],[conversions]]*RANDBETWEEN(8,12)/10,0)</f>
        <v>30</v>
      </c>
      <c r="AM31" s="4">
        <f ca="1">ROUND(T_Tiktok_ads[[#This Row],[video_views]]*RANDBETWEEN(8,12)/10,0)</f>
        <v>214681</v>
      </c>
      <c r="AN31" s="4">
        <f ca="1">ROUND(T_Tiktok_ads[[#This Row],[video_watch_25]]*RANDBETWEEN(8,12)/10,0)</f>
        <v>121711</v>
      </c>
      <c r="AO31" s="4">
        <f ca="1">ROUND(T_Tiktok_ads[[#This Row],[video_watch_50]]*RANDBETWEEN(8,12)/10,0)</f>
        <v>117468</v>
      </c>
      <c r="AP31" s="4">
        <f ca="1">ROUND(T_Tiktok_ads[[#This Row],[video_watch_75]]*RANDBETWEEN(8,12)/10,0)</f>
        <v>62311</v>
      </c>
      <c r="AQ31" s="4">
        <f ca="1">ROUND(T_Tiktok_ads[[#This Row],[video_watch_100]]*RANDBETWEEN(8,12)/10,0)</f>
        <v>45968</v>
      </c>
      <c r="AR31" s="4">
        <f ca="1">ROUND(T_Tiktok_ads[[#This Row],[likes]]*RANDBETWEEN(8,12)/10,0)</f>
        <v>7411</v>
      </c>
      <c r="AS31" s="4">
        <f ca="1">ROUND(T_Tiktok_ads[[#This Row],[shares]]*RANDBETWEEN(8,12)/10,0)</f>
        <v>2494</v>
      </c>
      <c r="AT31" s="4">
        <f ca="1">ROUND(T_Tiktok_ads[[#This Row],[comments]]*RANDBETWEEN(8,12)/10,0)</f>
        <v>481</v>
      </c>
      <c r="AV31" s="5">
        <f t="shared" ca="1" si="3"/>
        <v>45161</v>
      </c>
      <c r="AW31">
        <f t="shared" ca="1" si="4"/>
        <v>1</v>
      </c>
      <c r="AX31">
        <f ca="1">ROUND(T_Facebook_Ads1159636771757983[[#This Row],[impressions]]*RANDBETWEEN(8,12)/10,0)</f>
        <v>38456</v>
      </c>
      <c r="AY31">
        <f ca="1">ROUND(T_Facebook_Ads1159636771757983[[#This Row],[clicks]]*RANDBETWEEN(8,12)/10,0)</f>
        <v>1138</v>
      </c>
      <c r="AZ31">
        <f ca="1">T_Facebook_Ads1159636771757983[[#This Row],[spend]]*RANDBETWEEN(8,12)/10</f>
        <v>261</v>
      </c>
      <c r="BA31">
        <f ca="1">ROUND(T_Facebook_Ads1159636771757983[[#This Row],[conversions]]*RANDBETWEEN(8,12)/10,0)</f>
        <v>23</v>
      </c>
      <c r="BB31">
        <f ca="1">ROUND(T_Facebook_Ads1159636771757983[[#This Row],[video_views]]*RANDBETWEEN(8,12)/10,0)</f>
        <v>4611</v>
      </c>
    </row>
    <row r="32" spans="1:54" ht="15.75" thickBot="1" x14ac:dyDescent="0.3">
      <c r="A32" s="3">
        <f t="shared" ca="1" si="0"/>
        <v>45151</v>
      </c>
      <c r="B32" s="4" t="s">
        <v>52</v>
      </c>
      <c r="C32" s="4" t="s">
        <v>53</v>
      </c>
      <c r="D32" s="4" t="s">
        <v>54</v>
      </c>
      <c r="E32" s="4" t="s">
        <v>55</v>
      </c>
      <c r="F32" s="4">
        <f ca="1">ROUND(T_Facebook_Ads[[#This Row],[impressions]]*RANDBETWEEN(8,12)/10,0)</f>
        <v>46911</v>
      </c>
      <c r="G32" s="4">
        <v>1089</v>
      </c>
      <c r="H32" s="4">
        <f ca="1">T_Facebook_Ads[[#This Row],[spend]]*RANDBETWEEN(8,12)/10</f>
        <v>133.73999999999998</v>
      </c>
      <c r="I32" s="4">
        <f ca="1">ROUND(T_Facebook_Ads[[#This Row],[conversions]]*RANDBETWEEN(8,12)/10,0)</f>
        <v>19</v>
      </c>
      <c r="J32" s="4">
        <f ca="1">ROUND(T_Facebook_Ads[[#This Row],[video_views]]*RANDBETWEEN(8,12)/10,0)</f>
        <v>9567</v>
      </c>
      <c r="K32" s="4">
        <f ca="1">T_Facebook_Ads[[#This Row],[engagement_rate]]*RANDBETWEEN(8,12)/10</f>
        <v>2.299E-2</v>
      </c>
      <c r="L32" s="4">
        <f ca="1">ROUND(T_Facebook_Ads[[#This Row],[reach]]*RANDBETWEEN(8,12)/10,0)</f>
        <v>34587</v>
      </c>
      <c r="M32" s="4">
        <f ca="1">T_Facebook_Ads[[#This Row],[frequency]]*RANDBETWEEN(8,12)/10</f>
        <v>1.452</v>
      </c>
      <c r="O32" s="3">
        <f t="shared" ca="1" si="1"/>
        <v>45144</v>
      </c>
      <c r="P32" s="4" t="s">
        <v>76</v>
      </c>
      <c r="Q32" s="4" t="s">
        <v>77</v>
      </c>
      <c r="R32" s="4" t="s">
        <v>78</v>
      </c>
      <c r="S32" s="4" t="s">
        <v>79</v>
      </c>
      <c r="T32" s="4">
        <f ca="1">ROUND(_Google_ads[[#This Row],[impressions]]*RANDBETWEEN(8,12)/10,0)</f>
        <v>28857</v>
      </c>
      <c r="U32" s="4">
        <f ca="1">ROUND(_Google_ads[[#This Row],[clicks]]*RANDBETWEEN(8,12)/10,0)</f>
        <v>1102</v>
      </c>
      <c r="V32" s="4">
        <f ca="1">_Google_ads[[#This Row],[cost]]*RANDBETWEEN(8,12)/10</f>
        <v>237.06</v>
      </c>
      <c r="W32" s="4">
        <f ca="1">ROUND(_Google_ads[[#This Row],[conversions]]*RANDBETWEEN(8,12)/10,0)</f>
        <v>42</v>
      </c>
      <c r="X32" s="4">
        <f ca="1">ROUND(_Google_ads[[#This Row],[conversion_value]]*RANDBETWEEN(8,12)/10,0)</f>
        <v>2600</v>
      </c>
      <c r="Y32" s="4">
        <f ca="1">_Google_ads[[#This Row],[ctr]]*RANDBETWEEN(8,12)/10</f>
        <v>6.3E-2</v>
      </c>
      <c r="Z32" s="4">
        <f ca="1">_Google_ads[[#This Row],[avg_cpc]]*RANDBETWEEN(8,12)/10</f>
        <v>0.19</v>
      </c>
      <c r="AA32" s="4">
        <f ca="1">ROUND(_Google_ads[[#This Row],[quality_score]]*RANDBETWEEN(8,12)/10,0)</f>
        <v>8</v>
      </c>
      <c r="AB32" s="4">
        <f ca="1">_Google_ads[[#This Row],[search_impression_share]]*RANDBETWEEN(8,12)/10</f>
        <v>0.73599999999999999</v>
      </c>
      <c r="AD32" s="3">
        <f t="shared" ca="1" si="2"/>
        <v>45151</v>
      </c>
      <c r="AE32" s="4" t="s">
        <v>100</v>
      </c>
      <c r="AF32" s="4" t="s">
        <v>101</v>
      </c>
      <c r="AG32" s="4" t="s">
        <v>102</v>
      </c>
      <c r="AH32" s="4" t="s">
        <v>103</v>
      </c>
      <c r="AI32" s="4">
        <f ca="1">ROUND(T_Tiktok_ads[[#This Row],[impressions]]*RANDBETWEEN(8,12)/10,0)</f>
        <v>223121</v>
      </c>
      <c r="AJ32" s="4">
        <f ca="1">ROUND(T_Tiktok_ads[[#This Row],[clicks]]*RANDBETWEEN(8,12)/10,0)</f>
        <v>3298</v>
      </c>
      <c r="AK32" s="4">
        <v>523.6</v>
      </c>
      <c r="AL32" s="4">
        <f ca="1">ROUND(T_Tiktok_ads[[#This Row],[conversions]]*RANDBETWEEN(8,12)/10,0)</f>
        <v>38</v>
      </c>
      <c r="AM32" s="4">
        <f ca="1">ROUND(T_Tiktok_ads[[#This Row],[video_views]]*RANDBETWEEN(8,12)/10,0)</f>
        <v>234567</v>
      </c>
      <c r="AN32" s="4">
        <f ca="1">ROUND(T_Tiktok_ads[[#This Row],[video_watch_25]]*RANDBETWEEN(8,12)/10,0)</f>
        <v>164111</v>
      </c>
      <c r="AO32" s="4">
        <f ca="1">ROUND(T_Tiktok_ads[[#This Row],[video_watch_50]]*RANDBETWEEN(8,12)/10,0)</f>
        <v>126024</v>
      </c>
      <c r="AP32" s="4">
        <f ca="1">ROUND(T_Tiktok_ads[[#This Row],[video_watch_75]]*RANDBETWEEN(8,12)/10,0)</f>
        <v>92681</v>
      </c>
      <c r="AQ32" s="4">
        <f ca="1">ROUND(T_Tiktok_ads[[#This Row],[video_watch_100]]*RANDBETWEEN(8,12)/10,0)</f>
        <v>51234</v>
      </c>
      <c r="AR32" s="4">
        <f ca="1">ROUND(T_Tiktok_ads[[#This Row],[likes]]*RANDBETWEEN(8,12)/10,0)</f>
        <v>8276</v>
      </c>
      <c r="AS32" s="4">
        <f ca="1">ROUND(T_Tiktok_ads[[#This Row],[shares]]*RANDBETWEEN(8,12)/10,0)</f>
        <v>2231</v>
      </c>
      <c r="AT32" s="4">
        <f ca="1">ROUND(T_Tiktok_ads[[#This Row],[comments]]*RANDBETWEEN(8,12)/10,0)</f>
        <v>525</v>
      </c>
      <c r="AV32" s="5">
        <f t="shared" ca="1" si="3"/>
        <v>45147</v>
      </c>
      <c r="AW32">
        <f t="shared" ca="1" si="4"/>
        <v>5</v>
      </c>
      <c r="AX32">
        <f ca="1">ROUND(T_Facebook_Ads1159636771757983[[#This Row],[impressions]]*RANDBETWEEN(8,12)/10,0)</f>
        <v>56293</v>
      </c>
      <c r="AY32">
        <f ca="1">ROUND(T_Facebook_Ads1159636771757983[[#This Row],[clicks]]*RANDBETWEEN(8,12)/10,0)</f>
        <v>1198</v>
      </c>
      <c r="AZ32">
        <f ca="1">T_Facebook_Ads1159636771757983[[#This Row],[spend]]*RANDBETWEEN(8,12)/10</f>
        <v>106.99199999999999</v>
      </c>
      <c r="BA32">
        <f ca="1">ROUND(T_Facebook_Ads1159636771757983[[#This Row],[conversions]]*RANDBETWEEN(8,12)/10,0)</f>
        <v>15</v>
      </c>
      <c r="BB32">
        <f ca="1">ROUND(T_Facebook_Ads1159636771757983[[#This Row],[video_views]]*RANDBETWEEN(8,12)/10,0)</f>
        <v>7654</v>
      </c>
    </row>
    <row r="33" spans="1:54" ht="15.75" thickBot="1" x14ac:dyDescent="0.3">
      <c r="A33" s="3">
        <f t="shared" ca="1" si="0"/>
        <v>45169</v>
      </c>
      <c r="B33" s="4" t="s">
        <v>56</v>
      </c>
      <c r="C33" s="4" t="s">
        <v>57</v>
      </c>
      <c r="D33" s="4" t="s">
        <v>58</v>
      </c>
      <c r="E33" s="4" t="s">
        <v>59</v>
      </c>
      <c r="F33" s="4">
        <f ca="1">ROUND(T_Facebook_Ads[[#This Row],[impressions]]*RANDBETWEEN(8,12)/10,0)</f>
        <v>16024</v>
      </c>
      <c r="G33" s="4">
        <v>723</v>
      </c>
      <c r="H33" s="4">
        <f ca="1">T_Facebook_Ads[[#This Row],[spend]]*RANDBETWEEN(8,12)/10</f>
        <v>307.67999999999995</v>
      </c>
      <c r="I33" s="4">
        <f ca="1">ROUND(T_Facebook_Ads[[#This Row],[conversions]]*RANDBETWEEN(8,12)/10,0)</f>
        <v>40</v>
      </c>
      <c r="J33" s="4">
        <f ca="1">ROUND(T_Facebook_Ads[[#This Row],[video_views]]*RANDBETWEEN(8,12)/10,0)</f>
        <v>1612</v>
      </c>
      <c r="K33" s="4">
        <f ca="1">T_Facebook_Ads[[#This Row],[engagement_rate]]*RANDBETWEEN(8,12)/10</f>
        <v>3.968E-2</v>
      </c>
      <c r="L33" s="4">
        <f ca="1">ROUND(T_Facebook_Ads[[#This Row],[reach]]*RANDBETWEEN(8,12)/10,0)</f>
        <v>10310</v>
      </c>
      <c r="M33" s="4">
        <f ca="1">T_Facebook_Ads[[#This Row],[frequency]]*RANDBETWEEN(8,12)/10</f>
        <v>1.27</v>
      </c>
      <c r="O33" s="3">
        <f t="shared" ca="1" si="1"/>
        <v>45156</v>
      </c>
      <c r="P33" s="4" t="s">
        <v>80</v>
      </c>
      <c r="Q33" s="4" t="s">
        <v>81</v>
      </c>
      <c r="R33" s="4" t="s">
        <v>82</v>
      </c>
      <c r="S33" s="4" t="s">
        <v>83</v>
      </c>
      <c r="T33" s="4">
        <f ca="1">ROUND(_Google_ads[[#This Row],[impressions]]*RANDBETWEEN(8,12)/10,0)</f>
        <v>43101</v>
      </c>
      <c r="U33" s="4">
        <f ca="1">ROUND(_Google_ads[[#This Row],[clicks]]*RANDBETWEEN(8,12)/10,0)</f>
        <v>934</v>
      </c>
      <c r="V33" s="4">
        <f ca="1">_Google_ads[[#This Row],[cost]]*RANDBETWEEN(8,12)/10</f>
        <v>551.25</v>
      </c>
      <c r="W33" s="4">
        <f ca="1">ROUND(_Google_ads[[#This Row],[conversions]]*RANDBETWEEN(8,12)/10,0)</f>
        <v>31</v>
      </c>
      <c r="X33" s="4">
        <f ca="1">ROUND(_Google_ads[[#This Row],[conversion_value]]*RANDBETWEEN(8,12)/10,0)</f>
        <v>1430</v>
      </c>
      <c r="Y33" s="4">
        <f ca="1">_Google_ads[[#This Row],[ctr]]*RANDBETWEEN(8,12)/10</f>
        <v>1.95E-2</v>
      </c>
      <c r="Z33" s="4">
        <f ca="1">_Google_ads[[#This Row],[avg_cpc]]*RANDBETWEEN(8,12)/10</f>
        <v>0.59400000000000008</v>
      </c>
      <c r="AA33" s="4">
        <f ca="1">ROUND(_Google_ads[[#This Row],[quality_score]]*RANDBETWEEN(8,12)/10,0)</f>
        <v>6</v>
      </c>
      <c r="AB33" s="4">
        <f ca="1">_Google_ads[[#This Row],[search_impression_share]]*RANDBETWEEN(8,12)/10</f>
        <v>0.36799999999999999</v>
      </c>
      <c r="AD33" s="3">
        <f t="shared" ca="1" si="2"/>
        <v>45150</v>
      </c>
      <c r="AE33" s="4" t="s">
        <v>104</v>
      </c>
      <c r="AF33" s="4" t="s">
        <v>105</v>
      </c>
      <c r="AG33" s="4" t="s">
        <v>106</v>
      </c>
      <c r="AH33" s="4" t="s">
        <v>107</v>
      </c>
      <c r="AI33" s="4">
        <f ca="1">ROUND(T_Tiktok_ads[[#This Row],[impressions]]*RANDBETWEEN(8,12)/10,0)</f>
        <v>188147</v>
      </c>
      <c r="AJ33" s="4">
        <f ca="1">ROUND(T_Tiktok_ads[[#This Row],[clicks]]*RANDBETWEEN(8,12)/10,0)</f>
        <v>3012</v>
      </c>
      <c r="AK33" s="4">
        <v>812.3</v>
      </c>
      <c r="AL33" s="4">
        <f ca="1">ROUND(T_Tiktok_ads[[#This Row],[conversions]]*RANDBETWEEN(8,12)/10,0)</f>
        <v>66</v>
      </c>
      <c r="AM33" s="4">
        <f ca="1">ROUND(T_Tiktok_ads[[#This Row],[video_views]]*RANDBETWEEN(8,12)/10,0)</f>
        <v>87901</v>
      </c>
      <c r="AN33" s="4">
        <f ca="1">ROUND(T_Tiktok_ads[[#This Row],[video_watch_25]]*RANDBETWEEN(8,12)/10,0)</f>
        <v>73111</v>
      </c>
      <c r="AO33" s="4">
        <f ca="1">ROUND(T_Tiktok_ads[[#This Row],[video_watch_50]]*RANDBETWEEN(8,12)/10,0)</f>
        <v>43742</v>
      </c>
      <c r="AP33" s="4">
        <f ca="1">ROUND(T_Tiktok_ads[[#This Row],[video_watch_75]]*RANDBETWEEN(8,12)/10,0)</f>
        <v>41234</v>
      </c>
      <c r="AQ33" s="4">
        <f ca="1">ROUND(T_Tiktok_ads[[#This Row],[video_watch_100]]*RANDBETWEEN(8,12)/10,0)</f>
        <v>22054</v>
      </c>
      <c r="AR33" s="4">
        <f ca="1">ROUND(T_Tiktok_ads[[#This Row],[likes]]*RANDBETWEEN(8,12)/10,0)</f>
        <v>6002</v>
      </c>
      <c r="AS33" s="4">
        <f ca="1">ROUND(T_Tiktok_ads[[#This Row],[shares]]*RANDBETWEEN(8,12)/10,0)</f>
        <v>1567</v>
      </c>
      <c r="AT33" s="4">
        <f ca="1">ROUND(T_Tiktok_ads[[#This Row],[comments]]*RANDBETWEEN(8,12)/10,0)</f>
        <v>260</v>
      </c>
      <c r="AV33" s="5">
        <f t="shared" ca="1" si="3"/>
        <v>45164</v>
      </c>
      <c r="AW33">
        <f t="shared" ca="1" si="4"/>
        <v>5</v>
      </c>
      <c r="AX33">
        <f ca="1">ROUND(T_Facebook_Ads1159636771757983[[#This Row],[impressions]]*RANDBETWEEN(8,12)/10,0)</f>
        <v>12819</v>
      </c>
      <c r="AY33">
        <f ca="1">ROUND(T_Facebook_Ads1159636771757983[[#This Row],[clicks]]*RANDBETWEEN(8,12)/10,0)</f>
        <v>723</v>
      </c>
      <c r="AZ33">
        <f ca="1">T_Facebook_Ads1159636771757983[[#This Row],[spend]]*RANDBETWEEN(8,12)/10</f>
        <v>246.14399999999995</v>
      </c>
      <c r="BA33">
        <f ca="1">ROUND(T_Facebook_Ads1159636771757983[[#This Row],[conversions]]*RANDBETWEEN(8,12)/10,0)</f>
        <v>32</v>
      </c>
      <c r="BB33">
        <f ca="1">ROUND(T_Facebook_Ads1159636771757983[[#This Row],[video_views]]*RANDBETWEEN(8,12)/10,0)</f>
        <v>1290</v>
      </c>
    </row>
    <row r="34" spans="1:54" ht="15.75" thickBot="1" x14ac:dyDescent="0.3">
      <c r="A34" s="3">
        <f t="shared" ref="A34:A65" ca="1" si="5">DATE(2023,8,RANDBETWEEN(1,31))</f>
        <v>45169</v>
      </c>
      <c r="B34" s="4" t="s">
        <v>60</v>
      </c>
      <c r="C34" s="4" t="s">
        <v>61</v>
      </c>
      <c r="D34" s="4" t="s">
        <v>62</v>
      </c>
      <c r="E34" s="4" t="s">
        <v>63</v>
      </c>
      <c r="F34" s="4">
        <f ca="1">ROUND(T_Facebook_Ads[[#This Row],[impressions]]*RANDBETWEEN(8,12)/10,0)</f>
        <v>35810</v>
      </c>
      <c r="G34" s="4">
        <v>1534</v>
      </c>
      <c r="H34" s="4">
        <f ca="1">T_Facebook_Ads[[#This Row],[spend]]*RANDBETWEEN(8,12)/10</f>
        <v>225.8</v>
      </c>
      <c r="I34" s="4">
        <f ca="1">ROUND(T_Facebook_Ads[[#This Row],[conversions]]*RANDBETWEEN(8,12)/10,0)</f>
        <v>37</v>
      </c>
      <c r="J34" s="4">
        <f ca="1">ROUND(T_Facebook_Ads[[#This Row],[video_views]]*RANDBETWEEN(8,12)/10,0)</f>
        <v>5456</v>
      </c>
      <c r="K34" s="4">
        <f ca="1">T_Facebook_Ads[[#This Row],[engagement_rate]]*RANDBETWEEN(8,12)/10</f>
        <v>3.0880000000000001E-2</v>
      </c>
      <c r="L34" s="4">
        <f ca="1">ROUND(T_Facebook_Ads[[#This Row],[reach]]*RANDBETWEEN(8,12)/10,0)</f>
        <v>32567</v>
      </c>
      <c r="M34" s="4">
        <f ca="1">T_Facebook_Ads[[#This Row],[frequency]]*RANDBETWEEN(8,12)/10</f>
        <v>1.22</v>
      </c>
      <c r="O34" s="3">
        <f t="shared" ref="O34:O65" ca="1" si="6">DATE(2023,8,RANDBETWEEN(1,31))</f>
        <v>45147</v>
      </c>
      <c r="P34" s="4" t="s">
        <v>84</v>
      </c>
      <c r="Q34" s="4" t="s">
        <v>85</v>
      </c>
      <c r="R34" s="4" t="s">
        <v>86</v>
      </c>
      <c r="S34" s="4" t="s">
        <v>87</v>
      </c>
      <c r="T34" s="4">
        <f ca="1">ROUND(_Google_ads[[#This Row],[impressions]]*RANDBETWEEN(8,12)/10,0)</f>
        <v>64111</v>
      </c>
      <c r="U34" s="4">
        <f ca="1">ROUND(_Google_ads[[#This Row],[clicks]]*RANDBETWEEN(8,12)/10,0)</f>
        <v>1965</v>
      </c>
      <c r="V34" s="4">
        <f ca="1">_Google_ads[[#This Row],[cost]]*RANDBETWEEN(8,12)/10</f>
        <v>490.38</v>
      </c>
      <c r="W34" s="4">
        <f ca="1">ROUND(_Google_ads[[#This Row],[conversions]]*RANDBETWEEN(8,12)/10,0)</f>
        <v>78</v>
      </c>
      <c r="X34" s="4">
        <f ca="1">ROUND(_Google_ads[[#This Row],[conversion_value]]*RANDBETWEEN(8,12)/10,0)</f>
        <v>3905</v>
      </c>
      <c r="Y34" s="4">
        <f ca="1">_Google_ads[[#This Row],[ctr]]*RANDBETWEEN(8,12)/10</f>
        <v>3.4500000000000003E-2</v>
      </c>
      <c r="Z34" s="4">
        <f ca="1">_Google_ads[[#This Row],[avg_cpc]]*RANDBETWEEN(8,12)/10</f>
        <v>0.19800000000000001</v>
      </c>
      <c r="AA34" s="4">
        <f ca="1">ROUND(_Google_ads[[#This Row],[quality_score]]*RANDBETWEEN(8,12)/10,0)</f>
        <v>9</v>
      </c>
      <c r="AB34" s="4">
        <f ca="1">_Google_ads[[#This Row],[search_impression_share]]*RANDBETWEEN(8,12)/10</f>
        <v>0.81600000000000006</v>
      </c>
      <c r="AD34" s="3">
        <f t="shared" ref="AD34:AD65" ca="1" si="7">DATE(2023,8,RANDBETWEEN(1,31))</f>
        <v>45160</v>
      </c>
      <c r="AE34" s="4" t="s">
        <v>108</v>
      </c>
      <c r="AF34" s="4" t="s">
        <v>109</v>
      </c>
      <c r="AG34" s="4" t="s">
        <v>110</v>
      </c>
      <c r="AH34" s="4" t="s">
        <v>111</v>
      </c>
      <c r="AI34" s="4">
        <f ca="1">ROUND(T_Tiktok_ads[[#This Row],[impressions]]*RANDBETWEEN(8,12)/10,0)</f>
        <v>187654</v>
      </c>
      <c r="AJ34" s="4">
        <f ca="1">ROUND(T_Tiktok_ads[[#This Row],[clicks]]*RANDBETWEEN(8,12)/10,0)</f>
        <v>4168</v>
      </c>
      <c r="AK34" s="4">
        <v>456.8</v>
      </c>
      <c r="AL34" s="4">
        <f ca="1">ROUND(T_Tiktok_ads[[#This Row],[conversions]]*RANDBETWEEN(8,12)/10,0)</f>
        <v>26</v>
      </c>
      <c r="AM34" s="4">
        <f ca="1">ROUND(T_Tiktok_ads[[#This Row],[video_views]]*RANDBETWEEN(8,12)/10,0)</f>
        <v>170311</v>
      </c>
      <c r="AN34" s="4">
        <f ca="1">ROUND(T_Tiktok_ads[[#This Row],[video_watch_25]]*RANDBETWEEN(8,12)/10,0)</f>
        <v>129210</v>
      </c>
      <c r="AO34" s="4">
        <f ca="1">ROUND(T_Tiktok_ads[[#This Row],[video_watch_50]]*RANDBETWEEN(8,12)/10,0)</f>
        <v>113456</v>
      </c>
      <c r="AP34" s="4">
        <f ca="1">ROUND(T_Tiktok_ads[[#This Row],[video_watch_75]]*RANDBETWEEN(8,12)/10,0)</f>
        <v>80802</v>
      </c>
      <c r="AQ34" s="4">
        <f ca="1">ROUND(T_Tiktok_ads[[#This Row],[video_watch_100]]*RANDBETWEEN(8,12)/10,0)</f>
        <v>35654</v>
      </c>
      <c r="AR34" s="4">
        <f ca="1">ROUND(T_Tiktok_ads[[#This Row],[likes]]*RANDBETWEEN(8,12)/10,0)</f>
        <v>7910</v>
      </c>
      <c r="AS34" s="4">
        <f ca="1">ROUND(T_Tiktok_ads[[#This Row],[shares]]*RANDBETWEEN(8,12)/10,0)</f>
        <v>2921</v>
      </c>
      <c r="AT34" s="4">
        <f ca="1">ROUND(T_Tiktok_ads[[#This Row],[comments]]*RANDBETWEEN(8,12)/10,0)</f>
        <v>454</v>
      </c>
      <c r="AV34" s="5">
        <f t="shared" ref="AV34:AV65" ca="1" si="8">DATE(2023,8,RANDBETWEEN(1,31))</f>
        <v>45164</v>
      </c>
      <c r="AW34">
        <f t="shared" ca="1" si="4"/>
        <v>2</v>
      </c>
      <c r="AX34">
        <f ca="1">ROUND(T_Facebook_Ads1159636771757983[[#This Row],[impressions]]*RANDBETWEEN(8,12)/10,0)</f>
        <v>35810</v>
      </c>
      <c r="AY34">
        <f ca="1">ROUND(T_Facebook_Ads1159636771757983[[#This Row],[clicks]]*RANDBETWEEN(8,12)/10,0)</f>
        <v>1534</v>
      </c>
      <c r="AZ34">
        <f ca="1">T_Facebook_Ads1159636771757983[[#This Row],[spend]]*RANDBETWEEN(8,12)/10</f>
        <v>225.8</v>
      </c>
      <c r="BA34">
        <f ca="1">ROUND(T_Facebook_Ads1159636771757983[[#This Row],[conversions]]*RANDBETWEEN(8,12)/10,0)</f>
        <v>37</v>
      </c>
      <c r="BB34">
        <f ca="1">ROUND(T_Facebook_Ads1159636771757983[[#This Row],[video_views]]*RANDBETWEEN(8,12)/10,0)</f>
        <v>4910</v>
      </c>
    </row>
    <row r="35" spans="1:54" ht="15.75" thickBot="1" x14ac:dyDescent="0.3">
      <c r="A35" s="3">
        <f t="shared" ca="1" si="5"/>
        <v>45145</v>
      </c>
      <c r="B35" s="4" t="s">
        <v>64</v>
      </c>
      <c r="C35" s="4" t="s">
        <v>65</v>
      </c>
      <c r="D35" s="4" t="s">
        <v>66</v>
      </c>
      <c r="E35" s="4" t="s">
        <v>67</v>
      </c>
      <c r="F35" s="4">
        <f ca="1">ROUND(T_Facebook_Ads[[#This Row],[impressions]]*RANDBETWEEN(8,12)/10,0)</f>
        <v>83857</v>
      </c>
      <c r="G35" s="4">
        <v>278</v>
      </c>
      <c r="H35" s="4">
        <f ca="1">T_Facebook_Ads[[#This Row],[spend]]*RANDBETWEEN(8,12)/10</f>
        <v>101.5</v>
      </c>
      <c r="I35" s="4">
        <f ca="1">ROUND(T_Facebook_Ads[[#This Row],[conversions]]*RANDBETWEEN(8,12)/10,0)</f>
        <v>7</v>
      </c>
      <c r="J35" s="4">
        <f ca="1">ROUND(T_Facebook_Ads[[#This Row],[video_views]]*RANDBETWEEN(8,12)/10,0)</f>
        <v>57580</v>
      </c>
      <c r="K35" s="4">
        <f ca="1">T_Facebook_Ads[[#This Row],[engagement_rate]]*RANDBETWEEN(8,12)/10</f>
        <v>4.0699999999999998E-3</v>
      </c>
      <c r="L35" s="4">
        <f ca="1">ROUND(T_Facebook_Ads[[#This Row],[reach]]*RANDBETWEEN(8,12)/10,0)</f>
        <v>49965</v>
      </c>
      <c r="M35" s="4">
        <f ca="1">T_Facebook_Ads[[#This Row],[frequency]]*RANDBETWEEN(8,12)/10</f>
        <v>0.97599999999999998</v>
      </c>
      <c r="O35" s="3">
        <f t="shared" ca="1" si="6"/>
        <v>45153</v>
      </c>
      <c r="P35" s="4" t="s">
        <v>88</v>
      </c>
      <c r="Q35" s="4" t="s">
        <v>89</v>
      </c>
      <c r="R35" s="4" t="s">
        <v>90</v>
      </c>
      <c r="S35" s="4" t="s">
        <v>59</v>
      </c>
      <c r="T35" s="4">
        <f ca="1">ROUND(_Google_ads[[#This Row],[impressions]]*RANDBETWEEN(8,12)/10,0)</f>
        <v>136789</v>
      </c>
      <c r="U35" s="4">
        <f ca="1">ROUND(_Google_ads[[#This Row],[clicks]]*RANDBETWEEN(8,12)/10,0)</f>
        <v>614</v>
      </c>
      <c r="V35" s="4">
        <f ca="1">_Google_ads[[#This Row],[cost]]*RANDBETWEEN(8,12)/10</f>
        <v>156.53000000000003</v>
      </c>
      <c r="W35" s="4">
        <f ca="1">ROUND(_Google_ads[[#This Row],[conversions]]*RANDBETWEEN(8,12)/10,0)</f>
        <v>15</v>
      </c>
      <c r="X35" s="4">
        <f ca="1">ROUND(_Google_ads[[#This Row],[conversion_value]]*RANDBETWEEN(8,12)/10,0)</f>
        <v>750</v>
      </c>
      <c r="Y35" s="4">
        <f ca="1">_Google_ads[[#This Row],[ctr]]*RANDBETWEEN(8,12)/10</f>
        <v>3.7000000000000006E-3</v>
      </c>
      <c r="Z35" s="4">
        <f ca="1">_Google_ads[[#This Row],[avg_cpc]]*RANDBETWEEN(8,12)/10</f>
        <v>0.22400000000000003</v>
      </c>
      <c r="AA35" s="4">
        <f ca="1">ROUND(_Google_ads[[#This Row],[quality_score]]*RANDBETWEEN(8,12)/10,0)</f>
        <v>8</v>
      </c>
      <c r="AB35" s="4">
        <f ca="1">_Google_ads[[#This Row],[search_impression_share]]*RANDBETWEEN(8,12)/10</f>
        <v>0.28799999999999998</v>
      </c>
      <c r="AD35" s="3">
        <f t="shared" ca="1" si="7"/>
        <v>45167</v>
      </c>
      <c r="AE35" s="4" t="s">
        <v>112</v>
      </c>
      <c r="AF35" s="4" t="s">
        <v>113</v>
      </c>
      <c r="AG35" s="4" t="s">
        <v>114</v>
      </c>
      <c r="AH35" s="4" t="s">
        <v>115</v>
      </c>
      <c r="AI35" s="4">
        <f ca="1">ROUND(T_Tiktok_ads[[#This Row],[impressions]]*RANDBETWEEN(8,12)/10,0)</f>
        <v>494814</v>
      </c>
      <c r="AJ35" s="4">
        <f ca="1">ROUND(T_Tiktok_ads[[#This Row],[clicks]]*RANDBETWEEN(8,12)/10,0)</f>
        <v>7468</v>
      </c>
      <c r="AK35" s="4">
        <v>1023.4</v>
      </c>
      <c r="AL35" s="4">
        <f ca="1">ROUND(T_Tiktok_ads[[#This Row],[conversions]]*RANDBETWEEN(8,12)/10,0)</f>
        <v>82</v>
      </c>
      <c r="AM35" s="4">
        <f ca="1">ROUND(T_Tiktok_ads[[#This Row],[video_views]]*RANDBETWEEN(8,12)/10,0)</f>
        <v>311110</v>
      </c>
      <c r="AN35" s="4">
        <f ca="1">ROUND(T_Tiktok_ads[[#This Row],[video_watch_25]]*RANDBETWEEN(8,12)/10,0)</f>
        <v>306791</v>
      </c>
      <c r="AO35" s="4">
        <f ca="1">ROUND(T_Tiktok_ads[[#This Row],[video_watch_50]]*RANDBETWEEN(8,12)/10,0)</f>
        <v>178765</v>
      </c>
      <c r="AP35" s="4">
        <f ca="1">ROUND(T_Tiktok_ads[[#This Row],[video_watch_75]]*RANDBETWEEN(8,12)/10,0)</f>
        <v>127387</v>
      </c>
      <c r="AQ35" s="4">
        <f ca="1">ROUND(T_Tiktok_ads[[#This Row],[video_watch_100]]*RANDBETWEEN(8,12)/10,0)</f>
        <v>95110</v>
      </c>
      <c r="AR35" s="4">
        <f ca="1">ROUND(T_Tiktok_ads[[#This Row],[likes]]*RANDBETWEEN(8,12)/10,0)</f>
        <v>20057</v>
      </c>
      <c r="AS35" s="4">
        <f ca="1">ROUND(T_Tiktok_ads[[#This Row],[shares]]*RANDBETWEEN(8,12)/10,0)</f>
        <v>6281</v>
      </c>
      <c r="AT35" s="4">
        <f ca="1">ROUND(T_Tiktok_ads[[#This Row],[comments]]*RANDBETWEEN(8,12)/10,0)</f>
        <v>1310</v>
      </c>
      <c r="AV35" s="5">
        <f t="shared" ca="1" si="8"/>
        <v>45155</v>
      </c>
      <c r="AW35">
        <f t="shared" ca="1" si="4"/>
        <v>2</v>
      </c>
      <c r="AX35">
        <f ca="1">ROUND(T_Facebook_Ads1159636771757983[[#This Row],[impressions]]*RANDBETWEEN(8,12)/10,0)</f>
        <v>100628</v>
      </c>
      <c r="AY35">
        <f ca="1">ROUND(T_Facebook_Ads1159636771757983[[#This Row],[clicks]]*RANDBETWEEN(8,12)/10,0)</f>
        <v>222</v>
      </c>
      <c r="AZ35">
        <f ca="1">T_Facebook_Ads1159636771757983[[#This Row],[spend]]*RANDBETWEEN(8,12)/10</f>
        <v>121.8</v>
      </c>
      <c r="BA35">
        <f ca="1">ROUND(T_Facebook_Ads1159636771757983[[#This Row],[conversions]]*RANDBETWEEN(8,12)/10,0)</f>
        <v>8</v>
      </c>
      <c r="BB35">
        <f ca="1">ROUND(T_Facebook_Ads1159636771757983[[#This Row],[video_views]]*RANDBETWEEN(8,12)/10,0)</f>
        <v>69096</v>
      </c>
    </row>
    <row r="36" spans="1:54" ht="15.75" thickBot="1" x14ac:dyDescent="0.3">
      <c r="A36" s="3">
        <f t="shared" ca="1" si="5"/>
        <v>45149</v>
      </c>
      <c r="B36" s="4" t="s">
        <v>52</v>
      </c>
      <c r="C36" s="4" t="s">
        <v>53</v>
      </c>
      <c r="D36" s="4" t="s">
        <v>54</v>
      </c>
      <c r="E36" s="4" t="s">
        <v>55</v>
      </c>
      <c r="F36" s="4">
        <f ca="1">ROUND(T_Facebook_Ads[[#This Row],[impressions]]*RANDBETWEEN(8,12)/10,0)</f>
        <v>54157</v>
      </c>
      <c r="G36" s="4">
        <v>1012</v>
      </c>
      <c r="H36" s="4">
        <f ca="1">T_Facebook_Ads[[#This Row],[spend]]*RANDBETWEEN(8,12)/10</f>
        <v>154.33000000000001</v>
      </c>
      <c r="I36" s="4">
        <f ca="1">ROUND(T_Facebook_Ads[[#This Row],[conversions]]*RANDBETWEEN(8,12)/10,0)</f>
        <v>15</v>
      </c>
      <c r="J36" s="4">
        <f ca="1">ROUND(T_Facebook_Ads[[#This Row],[video_views]]*RANDBETWEEN(8,12)/10,0)</f>
        <v>7298</v>
      </c>
      <c r="K36" s="4">
        <f ca="1">T_Facebook_Ads[[#This Row],[engagement_rate]]*RANDBETWEEN(8,12)/10</f>
        <v>2.06E-2</v>
      </c>
      <c r="L36" s="4">
        <f ca="1">ROUND(T_Facebook_Ads[[#This Row],[reach]]*RANDBETWEEN(8,12)/10,0)</f>
        <v>37410</v>
      </c>
      <c r="M36" s="4">
        <f ca="1">T_Facebook_Ads[[#This Row],[frequency]]*RANDBETWEEN(8,12)/10</f>
        <v>1.18</v>
      </c>
      <c r="O36" s="3">
        <f t="shared" ca="1" si="6"/>
        <v>45160</v>
      </c>
      <c r="P36" s="4" t="s">
        <v>76</v>
      </c>
      <c r="Q36" s="4" t="s">
        <v>77</v>
      </c>
      <c r="R36" s="4" t="s">
        <v>78</v>
      </c>
      <c r="S36" s="4" t="s">
        <v>79</v>
      </c>
      <c r="T36" s="4">
        <f ca="1">ROUND(_Google_ads[[#This Row],[impressions]]*RANDBETWEEN(8,12)/10,0)</f>
        <v>27635</v>
      </c>
      <c r="U36" s="4">
        <f ca="1">ROUND(_Google_ads[[#This Row],[clicks]]*RANDBETWEEN(8,12)/10,0)</f>
        <v>1574</v>
      </c>
      <c r="V36" s="4">
        <f ca="1">_Google_ads[[#This Row],[cost]]*RANDBETWEEN(8,12)/10</f>
        <v>250.4</v>
      </c>
      <c r="W36" s="4">
        <f ca="1">ROUND(_Google_ads[[#This Row],[conversions]]*RANDBETWEEN(8,12)/10,0)</f>
        <v>54</v>
      </c>
      <c r="X36" s="4">
        <f ca="1">ROUND(_Google_ads[[#This Row],[conversion_value]]*RANDBETWEEN(8,12)/10,0)</f>
        <v>2205</v>
      </c>
      <c r="Y36" s="4">
        <f ca="1">_Google_ads[[#This Row],[ctr]]*RANDBETWEEN(8,12)/10</f>
        <v>5.7420000000000006E-2</v>
      </c>
      <c r="Z36" s="4">
        <f ca="1">_Google_ads[[#This Row],[avg_cpc]]*RANDBETWEEN(8,12)/10</f>
        <v>0.17099999999999999</v>
      </c>
      <c r="AA36" s="4">
        <f ca="1">ROUND(_Google_ads[[#This Row],[quality_score]]*RANDBETWEEN(8,12)/10,0)</f>
        <v>7</v>
      </c>
      <c r="AB36" s="4">
        <f ca="1">_Google_ads[[#This Row],[search_impression_share]]*RANDBETWEEN(8,12)/10</f>
        <v>1.0009999999999999</v>
      </c>
      <c r="AD36" s="3">
        <f t="shared" ca="1" si="7"/>
        <v>45168</v>
      </c>
      <c r="AE36" s="4" t="s">
        <v>100</v>
      </c>
      <c r="AF36" s="4" t="s">
        <v>101</v>
      </c>
      <c r="AG36" s="4" t="s">
        <v>102</v>
      </c>
      <c r="AH36" s="4" t="s">
        <v>103</v>
      </c>
      <c r="AI36" s="4">
        <f ca="1">ROUND(T_Tiktok_ads[[#This Row],[impressions]]*RANDBETWEEN(8,12)/10,0)</f>
        <v>241101</v>
      </c>
      <c r="AJ36" s="4">
        <f ca="1">ROUND(T_Tiktok_ads[[#This Row],[clicks]]*RANDBETWEEN(8,12)/10,0)</f>
        <v>4734</v>
      </c>
      <c r="AK36" s="4">
        <v>501.2</v>
      </c>
      <c r="AL36" s="4">
        <f ca="1">ROUND(T_Tiktok_ads[[#This Row],[conversions]]*RANDBETWEEN(8,12)/10,0)</f>
        <v>32</v>
      </c>
      <c r="AM36" s="4">
        <f ca="1">ROUND(T_Tiktok_ads[[#This Row],[video_views]]*RANDBETWEEN(8,12)/10,0)</f>
        <v>265481</v>
      </c>
      <c r="AN36" s="4">
        <f ca="1">ROUND(T_Tiktok_ads[[#This Row],[video_watch_25]]*RANDBETWEEN(8,12)/10,0)</f>
        <v>208147</v>
      </c>
      <c r="AO36" s="4">
        <f ca="1">ROUND(T_Tiktok_ads[[#This Row],[video_watch_50]]*RANDBETWEEN(8,12)/10,0)</f>
        <v>109234</v>
      </c>
      <c r="AP36" s="4">
        <f ca="1">ROUND(T_Tiktok_ads[[#This Row],[video_watch_75]]*RANDBETWEEN(8,12)/10,0)</f>
        <v>80924</v>
      </c>
      <c r="AQ36" s="4">
        <f ca="1">ROUND(T_Tiktok_ads[[#This Row],[video_watch_100]]*RANDBETWEEN(8,12)/10,0)</f>
        <v>49234</v>
      </c>
      <c r="AR36" s="4">
        <f ca="1">ROUND(T_Tiktok_ads[[#This Row],[likes]]*RANDBETWEEN(8,12)/10,0)</f>
        <v>7831</v>
      </c>
      <c r="AS36" s="4">
        <f ca="1">ROUND(T_Tiktok_ads[[#This Row],[shares]]*RANDBETWEEN(8,12)/10,0)</f>
        <v>2634</v>
      </c>
      <c r="AT36" s="4">
        <f ca="1">ROUND(T_Tiktok_ads[[#This Row],[comments]]*RANDBETWEEN(8,12)/10,0)</f>
        <v>561</v>
      </c>
      <c r="AV36" s="5">
        <f t="shared" ca="1" si="8"/>
        <v>45144</v>
      </c>
      <c r="AW36">
        <f t="shared" ca="1" si="4"/>
        <v>1</v>
      </c>
      <c r="AX36">
        <f ca="1">ROUND(T_Facebook_Ads1159636771757983[[#This Row],[impressions]]*RANDBETWEEN(8,12)/10,0)</f>
        <v>48741</v>
      </c>
      <c r="AY36">
        <f ca="1">ROUND(T_Facebook_Ads1159636771757983[[#This Row],[clicks]]*RANDBETWEEN(8,12)/10,0)</f>
        <v>1214</v>
      </c>
      <c r="AZ36">
        <f ca="1">T_Facebook_Ads1159636771757983[[#This Row],[spend]]*RANDBETWEEN(8,12)/10</f>
        <v>154.33000000000001</v>
      </c>
      <c r="BA36">
        <f ca="1">ROUND(T_Facebook_Ads1159636771757983[[#This Row],[conversions]]*RANDBETWEEN(8,12)/10,0)</f>
        <v>17</v>
      </c>
      <c r="BB36">
        <f ca="1">ROUND(T_Facebook_Ads1159636771757983[[#This Row],[video_views]]*RANDBETWEEN(8,12)/10,0)</f>
        <v>8758</v>
      </c>
    </row>
    <row r="37" spans="1:54" ht="15.75" thickBot="1" x14ac:dyDescent="0.3">
      <c r="A37" s="3">
        <f t="shared" ca="1" si="5"/>
        <v>45166</v>
      </c>
      <c r="B37" s="4" t="s">
        <v>56</v>
      </c>
      <c r="C37" s="4" t="s">
        <v>57</v>
      </c>
      <c r="D37" s="4" t="s">
        <v>58</v>
      </c>
      <c r="E37" s="4" t="s">
        <v>59</v>
      </c>
      <c r="F37" s="4">
        <f ca="1">ROUND(T_Facebook_Ads[[#This Row],[impressions]]*RANDBETWEEN(8,12)/10,0)</f>
        <v>14802</v>
      </c>
      <c r="G37" s="4">
        <v>634</v>
      </c>
      <c r="H37" s="4">
        <f ca="1">T_Facebook_Ads[[#This Row],[spend]]*RANDBETWEEN(8,12)/10</f>
        <v>239.7</v>
      </c>
      <c r="I37" s="4">
        <f ca="1">ROUND(T_Facebook_Ads[[#This Row],[conversions]]*RANDBETWEEN(8,12)/10,0)</f>
        <v>47</v>
      </c>
      <c r="J37" s="4">
        <f ca="1">ROUND(T_Facebook_Ads[[#This Row],[video_views]]*RANDBETWEEN(8,12)/10,0)</f>
        <v>1102</v>
      </c>
      <c r="K37" s="4">
        <f ca="1">T_Facebook_Ads[[#This Row],[engagement_rate]]*RANDBETWEEN(8,12)/10</f>
        <v>4.2390000000000004E-2</v>
      </c>
      <c r="L37" s="4">
        <f ca="1">ROUND(T_Facebook_Ads[[#This Row],[reach]]*RANDBETWEEN(8,12)/10,0)</f>
        <v>8454</v>
      </c>
      <c r="M37" s="4">
        <f ca="1">T_Facebook_Ads[[#This Row],[frequency]]*RANDBETWEEN(8,12)/10</f>
        <v>1.27</v>
      </c>
      <c r="O37" s="3">
        <f t="shared" ca="1" si="6"/>
        <v>45164</v>
      </c>
      <c r="P37" s="4" t="s">
        <v>80</v>
      </c>
      <c r="Q37" s="4" t="s">
        <v>81</v>
      </c>
      <c r="R37" s="4" t="s">
        <v>82</v>
      </c>
      <c r="S37" s="4" t="s">
        <v>83</v>
      </c>
      <c r="T37" s="4">
        <f ca="1">ROUND(_Google_ads[[#This Row],[impressions]]*RANDBETWEEN(8,12)/10,0)</f>
        <v>41910</v>
      </c>
      <c r="U37" s="4">
        <f ca="1">ROUND(_Google_ads[[#This Row],[clicks]]*RANDBETWEEN(8,12)/10,0)</f>
        <v>1003</v>
      </c>
      <c r="V37" s="4">
        <f ca="1">_Google_ads[[#This Row],[cost]]*RANDBETWEEN(8,12)/10</f>
        <v>477.36</v>
      </c>
      <c r="W37" s="4">
        <f ca="1">ROUND(_Google_ads[[#This Row],[conversions]]*RANDBETWEEN(8,12)/10,0)</f>
        <v>22</v>
      </c>
      <c r="X37" s="4">
        <f ca="1">ROUND(_Google_ads[[#This Row],[conversion_value]]*RANDBETWEEN(8,12)/10,0)</f>
        <v>1440</v>
      </c>
      <c r="Y37" s="4">
        <f ca="1">_Google_ads[[#This Row],[ctr]]*RANDBETWEEN(8,12)/10</f>
        <v>1.7639999999999999E-2</v>
      </c>
      <c r="Z37" s="4">
        <f ca="1">_Google_ads[[#This Row],[avg_cpc]]*RANDBETWEEN(8,12)/10</f>
        <v>0.52</v>
      </c>
      <c r="AA37" s="4">
        <f ca="1">ROUND(_Google_ads[[#This Row],[quality_score]]*RANDBETWEEN(8,12)/10,0)</f>
        <v>6</v>
      </c>
      <c r="AB37" s="4">
        <f ca="1">_Google_ads[[#This Row],[search_impression_share]]*RANDBETWEEN(8,12)/10</f>
        <v>0.36</v>
      </c>
      <c r="AD37" s="3">
        <f t="shared" ca="1" si="7"/>
        <v>45163</v>
      </c>
      <c r="AE37" s="4" t="s">
        <v>104</v>
      </c>
      <c r="AF37" s="4" t="s">
        <v>105</v>
      </c>
      <c r="AG37" s="4" t="s">
        <v>106</v>
      </c>
      <c r="AH37" s="4" t="s">
        <v>107</v>
      </c>
      <c r="AI37" s="4">
        <f ca="1">ROUND(T_Tiktok_ads[[#This Row],[impressions]]*RANDBETWEEN(8,12)/10,0)</f>
        <v>134011</v>
      </c>
      <c r="AJ37" s="4">
        <f ca="1">ROUND(T_Tiktok_ads[[#This Row],[clicks]]*RANDBETWEEN(8,12)/10,0)</f>
        <v>2551</v>
      </c>
      <c r="AK37" s="4">
        <v>767.5</v>
      </c>
      <c r="AL37" s="4">
        <f ca="1">ROUND(T_Tiktok_ads[[#This Row],[conversions]]*RANDBETWEEN(8,12)/10,0)</f>
        <v>77</v>
      </c>
      <c r="AM37" s="4">
        <f ca="1">ROUND(T_Tiktok_ads[[#This Row],[video_views]]*RANDBETWEEN(8,12)/10,0)</f>
        <v>113802</v>
      </c>
      <c r="AN37" s="4">
        <f ca="1">ROUND(T_Tiktok_ads[[#This Row],[video_watch_25]]*RANDBETWEEN(8,12)/10,0)</f>
        <v>60987</v>
      </c>
      <c r="AO37" s="4">
        <f ca="1">ROUND(T_Tiktok_ads[[#This Row],[video_watch_50]]*RANDBETWEEN(8,12)/10,0)</f>
        <v>40987</v>
      </c>
      <c r="AP37" s="4">
        <f ca="1">ROUND(T_Tiktok_ads[[#This Row],[video_watch_75]]*RANDBETWEEN(8,12)/10,0)</f>
        <v>34710</v>
      </c>
      <c r="AQ37" s="4">
        <f ca="1">ROUND(T_Tiktok_ads[[#This Row],[video_watch_100]]*RANDBETWEEN(8,12)/10,0)</f>
        <v>20631</v>
      </c>
      <c r="AR37" s="4">
        <f ca="1">ROUND(T_Tiktok_ads[[#This Row],[likes]]*RANDBETWEEN(8,12)/10,0)</f>
        <v>4611</v>
      </c>
      <c r="AS37" s="4">
        <f ca="1">ROUND(T_Tiktok_ads[[#This Row],[shares]]*RANDBETWEEN(8,12)/10,0)</f>
        <v>1310</v>
      </c>
      <c r="AT37" s="4">
        <f ca="1">ROUND(T_Tiktok_ads[[#This Row],[comments]]*RANDBETWEEN(8,12)/10,0)</f>
        <v>250</v>
      </c>
      <c r="AV37" s="5">
        <f t="shared" ca="1" si="8"/>
        <v>45160</v>
      </c>
      <c r="AW37">
        <f t="shared" ca="1" si="4"/>
        <v>1</v>
      </c>
      <c r="AX37">
        <f ca="1">ROUND(T_Facebook_Ads1159636771757983[[#This Row],[impressions]]*RANDBETWEEN(8,12)/10,0)</f>
        <v>13322</v>
      </c>
      <c r="AY37">
        <f ca="1">ROUND(T_Facebook_Ads1159636771757983[[#This Row],[clicks]]*RANDBETWEEN(8,12)/10,0)</f>
        <v>697</v>
      </c>
      <c r="AZ37">
        <f ca="1">T_Facebook_Ads1159636771757983[[#This Row],[spend]]*RANDBETWEEN(8,12)/10</f>
        <v>287.64</v>
      </c>
      <c r="BA37">
        <f ca="1">ROUND(T_Facebook_Ads1159636771757983[[#This Row],[conversions]]*RANDBETWEEN(8,12)/10,0)</f>
        <v>38</v>
      </c>
      <c r="BB37">
        <f ca="1">ROUND(T_Facebook_Ads1159636771757983[[#This Row],[video_views]]*RANDBETWEEN(8,12)/10,0)</f>
        <v>882</v>
      </c>
    </row>
    <row r="38" spans="1:54" ht="15.75" thickBot="1" x14ac:dyDescent="0.3">
      <c r="A38" s="3">
        <f t="shared" ca="1" si="5"/>
        <v>45167</v>
      </c>
      <c r="B38" s="4" t="s">
        <v>60</v>
      </c>
      <c r="C38" s="4" t="s">
        <v>61</v>
      </c>
      <c r="D38" s="4" t="s">
        <v>62</v>
      </c>
      <c r="E38" s="4" t="s">
        <v>63</v>
      </c>
      <c r="F38" s="4">
        <f ca="1">ROUND(T_Facebook_Ads[[#This Row],[impressions]]*RANDBETWEEN(8,12)/10,0)</f>
        <v>45468</v>
      </c>
      <c r="G38" s="4">
        <v>1398</v>
      </c>
      <c r="H38" s="4">
        <f ca="1">T_Facebook_Ads[[#This Row],[spend]]*RANDBETWEEN(8,12)/10</f>
        <v>169.92000000000002</v>
      </c>
      <c r="I38" s="4">
        <f ca="1">ROUND(T_Facebook_Ads[[#This Row],[conversions]]*RANDBETWEEN(8,12)/10,0)</f>
        <v>25</v>
      </c>
      <c r="J38" s="4">
        <f ca="1">ROUND(T_Facebook_Ads[[#This Row],[video_views]]*RANDBETWEEN(8,12)/10,0)</f>
        <v>5012</v>
      </c>
      <c r="K38" s="4">
        <f ca="1">T_Facebook_Ads[[#This Row],[engagement_rate]]*RANDBETWEEN(8,12)/10</f>
        <v>4.428E-2</v>
      </c>
      <c r="L38" s="4">
        <f ca="1">ROUND(T_Facebook_Ads[[#This Row],[reach]]*RANDBETWEEN(8,12)/10,0)</f>
        <v>33979</v>
      </c>
      <c r="M38" s="4">
        <f ca="1">T_Facebook_Ads[[#This Row],[frequency]]*RANDBETWEEN(8,12)/10</f>
        <v>1.476</v>
      </c>
      <c r="O38" s="3">
        <f t="shared" ca="1" si="6"/>
        <v>45148</v>
      </c>
      <c r="P38" s="4" t="s">
        <v>84</v>
      </c>
      <c r="Q38" s="4" t="s">
        <v>85</v>
      </c>
      <c r="R38" s="4" t="s">
        <v>86</v>
      </c>
      <c r="S38" s="4" t="s">
        <v>87</v>
      </c>
      <c r="T38" s="4">
        <f ca="1">ROUND(_Google_ads[[#This Row],[impressions]]*RANDBETWEEN(8,12)/10,0)</f>
        <v>76879</v>
      </c>
      <c r="U38" s="4">
        <f ca="1">ROUND(_Google_ads[[#This Row],[clicks]]*RANDBETWEEN(8,12)/10,0)</f>
        <v>2101</v>
      </c>
      <c r="V38" s="4">
        <f ca="1">_Google_ads[[#This Row],[cost]]*RANDBETWEEN(8,12)/10</f>
        <v>428.9</v>
      </c>
      <c r="W38" s="4">
        <f ca="1">ROUND(_Google_ads[[#This Row],[conversions]]*RANDBETWEEN(8,12)/10,0)</f>
        <v>73</v>
      </c>
      <c r="X38" s="4">
        <f ca="1">ROUND(_Google_ads[[#This Row],[conversion_value]]*RANDBETWEEN(8,12)/10,0)</f>
        <v>2970</v>
      </c>
      <c r="Y38" s="4">
        <f ca="1">_Google_ads[[#This Row],[ctr]]*RANDBETWEEN(8,12)/10</f>
        <v>3.3399999999999999E-2</v>
      </c>
      <c r="Z38" s="4">
        <f ca="1">_Google_ads[[#This Row],[avg_cpc]]*RANDBETWEEN(8,12)/10</f>
        <v>0.18</v>
      </c>
      <c r="AA38" s="4">
        <f ca="1">ROUND(_Google_ads[[#This Row],[quality_score]]*RANDBETWEEN(8,12)/10,0)</f>
        <v>9</v>
      </c>
      <c r="AB38" s="4">
        <f ca="1">_Google_ads[[#This Row],[search_impression_share]]*RANDBETWEEN(8,12)/10</f>
        <v>0.60299999999999998</v>
      </c>
      <c r="AD38" s="3">
        <f t="shared" ca="1" si="7"/>
        <v>45166</v>
      </c>
      <c r="AE38" s="4" t="s">
        <v>108</v>
      </c>
      <c r="AF38" s="4" t="s">
        <v>109</v>
      </c>
      <c r="AG38" s="4" t="s">
        <v>110</v>
      </c>
      <c r="AH38" s="4" t="s">
        <v>111</v>
      </c>
      <c r="AI38" s="4">
        <f ca="1">ROUND(T_Tiktok_ads[[#This Row],[impressions]]*RANDBETWEEN(8,12)/10,0)</f>
        <v>206011</v>
      </c>
      <c r="AJ38" s="4">
        <f ca="1">ROUND(T_Tiktok_ads[[#This Row],[clicks]]*RANDBETWEEN(8,12)/10,0)</f>
        <v>3271</v>
      </c>
      <c r="AK38" s="4">
        <v>441.9</v>
      </c>
      <c r="AL38" s="4">
        <f ca="1">ROUND(T_Tiktok_ads[[#This Row],[conversions]]*RANDBETWEEN(8,12)/10,0)</f>
        <v>31</v>
      </c>
      <c r="AM38" s="4">
        <f ca="1">ROUND(T_Tiktok_ads[[#This Row],[video_views]]*RANDBETWEEN(8,12)/10,0)</f>
        <v>218814</v>
      </c>
      <c r="AN38" s="4">
        <f ca="1">ROUND(T_Tiktok_ads[[#This Row],[video_watch_25]]*RANDBETWEEN(8,12)/10,0)</f>
        <v>124101</v>
      </c>
      <c r="AO38" s="4">
        <f ca="1">ROUND(T_Tiktok_ads[[#This Row],[video_watch_50]]*RANDBETWEEN(8,12)/10,0)</f>
        <v>108901</v>
      </c>
      <c r="AP38" s="4">
        <f ca="1">ROUND(T_Tiktok_ads[[#This Row],[video_watch_75]]*RANDBETWEEN(8,12)/10,0)</f>
        <v>63510</v>
      </c>
      <c r="AQ38" s="4">
        <f ca="1">ROUND(T_Tiktok_ads[[#This Row],[video_watch_100]]*RANDBETWEEN(8,12)/10,0)</f>
        <v>51347</v>
      </c>
      <c r="AR38" s="4">
        <f ca="1">ROUND(T_Tiktok_ads[[#This Row],[likes]]*RANDBETWEEN(8,12)/10,0)</f>
        <v>9302</v>
      </c>
      <c r="AS38" s="4">
        <f ca="1">ROUND(T_Tiktok_ads[[#This Row],[shares]]*RANDBETWEEN(8,12)/10,0)</f>
        <v>2761</v>
      </c>
      <c r="AT38" s="4">
        <f ca="1">ROUND(T_Tiktok_ads[[#This Row],[comments]]*RANDBETWEEN(8,12)/10,0)</f>
        <v>436</v>
      </c>
      <c r="AV38" s="5">
        <f t="shared" ca="1" si="8"/>
        <v>45144</v>
      </c>
      <c r="AW38">
        <f t="shared" ca="1" si="4"/>
        <v>7</v>
      </c>
      <c r="AX38">
        <f ca="1">ROUND(T_Facebook_Ads1159636771757983[[#This Row],[impressions]]*RANDBETWEEN(8,12)/10,0)</f>
        <v>54562</v>
      </c>
      <c r="AY38">
        <f ca="1">ROUND(T_Facebook_Ads1159636771757983[[#This Row],[clicks]]*RANDBETWEEN(8,12)/10,0)</f>
        <v>1258</v>
      </c>
      <c r="AZ38">
        <f ca="1">T_Facebook_Ads1159636771757983[[#This Row],[spend]]*RANDBETWEEN(8,12)/10</f>
        <v>152.92800000000003</v>
      </c>
      <c r="BA38">
        <f ca="1">ROUND(T_Facebook_Ads1159636771757983[[#This Row],[conversions]]*RANDBETWEEN(8,12)/10,0)</f>
        <v>25</v>
      </c>
      <c r="BB38">
        <f ca="1">ROUND(T_Facebook_Ads1159636771757983[[#This Row],[video_views]]*RANDBETWEEN(8,12)/10,0)</f>
        <v>5513</v>
      </c>
    </row>
    <row r="39" spans="1:54" ht="15.75" thickBot="1" x14ac:dyDescent="0.3">
      <c r="A39" s="3">
        <f t="shared" ca="1" si="5"/>
        <v>45139</v>
      </c>
      <c r="B39" s="4" t="s">
        <v>64</v>
      </c>
      <c r="C39" s="4" t="s">
        <v>65</v>
      </c>
      <c r="D39" s="4" t="s">
        <v>66</v>
      </c>
      <c r="E39" s="4" t="s">
        <v>67</v>
      </c>
      <c r="F39" s="4">
        <f ca="1">ROUND(T_Facebook_Ads[[#This Row],[impressions]]*RANDBETWEEN(8,12)/10,0)</f>
        <v>72890</v>
      </c>
      <c r="G39" s="4">
        <v>261</v>
      </c>
      <c r="H39" s="4">
        <f ca="1">T_Facebook_Ads[[#This Row],[spend]]*RANDBETWEEN(8,12)/10</f>
        <v>96.8</v>
      </c>
      <c r="I39" s="4">
        <f ca="1">ROUND(T_Facebook_Ads[[#This Row],[conversions]]*RANDBETWEEN(8,12)/10,0)</f>
        <v>7</v>
      </c>
      <c r="J39" s="4">
        <f ca="1">ROUND(T_Facebook_Ads[[#This Row],[video_views]]*RANDBETWEEN(8,12)/10,0)</f>
        <v>49567</v>
      </c>
      <c r="K39" s="4">
        <f ca="1">T_Facebook_Ads[[#This Row],[engagement_rate]]*RANDBETWEEN(8,12)/10</f>
        <v>3.2399999999999998E-3</v>
      </c>
      <c r="L39" s="4">
        <f ca="1">ROUND(T_Facebook_Ads[[#This Row],[reach]]*RANDBETWEEN(8,12)/10,0)</f>
        <v>70948</v>
      </c>
      <c r="M39" s="4">
        <f ca="1">T_Facebook_Ads[[#This Row],[frequency]]*RANDBETWEEN(8,12)/10</f>
        <v>1.107</v>
      </c>
      <c r="O39" s="3">
        <f t="shared" ca="1" si="6"/>
        <v>45147</v>
      </c>
      <c r="P39" s="4" t="s">
        <v>88</v>
      </c>
      <c r="Q39" s="4" t="s">
        <v>89</v>
      </c>
      <c r="R39" s="4" t="s">
        <v>90</v>
      </c>
      <c r="S39" s="4" t="s">
        <v>59</v>
      </c>
      <c r="T39" s="4">
        <f ca="1">ROUND(_Google_ads[[#This Row],[impressions]]*RANDBETWEEN(8,12)/10,0)</f>
        <v>106765</v>
      </c>
      <c r="U39" s="4">
        <f ca="1">ROUND(_Google_ads[[#This Row],[clicks]]*RANDBETWEEN(8,12)/10,0)</f>
        <v>538</v>
      </c>
      <c r="V39" s="4">
        <f ca="1">_Google_ads[[#This Row],[cost]]*RANDBETWEEN(8,12)/10</f>
        <v>144.32</v>
      </c>
      <c r="W39" s="4">
        <f ca="1">ROUND(_Google_ads[[#This Row],[conversions]]*RANDBETWEEN(8,12)/10,0)</f>
        <v>13</v>
      </c>
      <c r="X39" s="4">
        <f ca="1">ROUND(_Google_ads[[#This Row],[conversion_value]]*RANDBETWEEN(8,12)/10,0)</f>
        <v>560</v>
      </c>
      <c r="Y39" s="4">
        <f ca="1">_Google_ads[[#This Row],[ctr]]*RANDBETWEEN(8,12)/10</f>
        <v>2.96E-3</v>
      </c>
      <c r="Z39" s="4">
        <f ca="1">_Google_ads[[#This Row],[avg_cpc]]*RANDBETWEEN(8,12)/10</f>
        <v>0.29700000000000004</v>
      </c>
      <c r="AA39" s="4">
        <f ca="1">ROUND(_Google_ads[[#This Row],[quality_score]]*RANDBETWEEN(8,12)/10,0)</f>
        <v>8</v>
      </c>
      <c r="AB39" s="4">
        <f ca="1">_Google_ads[[#This Row],[search_impression_share]]*RANDBETWEEN(8,12)/10</f>
        <v>0.41999999999999993</v>
      </c>
      <c r="AD39" s="3">
        <f t="shared" ca="1" si="7"/>
        <v>45143</v>
      </c>
      <c r="AE39" s="4" t="s">
        <v>112</v>
      </c>
      <c r="AF39" s="4" t="s">
        <v>113</v>
      </c>
      <c r="AG39" s="4" t="s">
        <v>114</v>
      </c>
      <c r="AH39" s="4" t="s">
        <v>115</v>
      </c>
      <c r="AI39" s="4">
        <f ca="1">ROUND(T_Tiktok_ads[[#This Row],[impressions]]*RANDBETWEEN(8,12)/10,0)</f>
        <v>438424</v>
      </c>
      <c r="AJ39" s="4">
        <f ca="1">ROUND(T_Tiktok_ads[[#This Row],[clicks]]*RANDBETWEEN(8,12)/10,0)</f>
        <v>6534</v>
      </c>
      <c r="AK39" s="4">
        <v>998.7</v>
      </c>
      <c r="AL39" s="4">
        <f ca="1">ROUND(T_Tiktok_ads[[#This Row],[conversions]]*RANDBETWEEN(8,12)/10,0)</f>
        <v>108</v>
      </c>
      <c r="AM39" s="4">
        <f ca="1">ROUND(T_Tiktok_ads[[#This Row],[video_views]]*RANDBETWEEN(8,12)/10,0)</f>
        <v>365580</v>
      </c>
      <c r="AN39" s="4">
        <f ca="1">ROUND(T_Tiktok_ads[[#This Row],[video_watch_25]]*RANDBETWEEN(8,12)/10,0)</f>
        <v>214312</v>
      </c>
      <c r="AO39" s="4">
        <f ca="1">ROUND(T_Tiktok_ads[[#This Row],[video_watch_50]]*RANDBETWEEN(8,12)/10,0)</f>
        <v>236024</v>
      </c>
      <c r="AP39" s="4">
        <f ca="1">ROUND(T_Tiktok_ads[[#This Row],[video_watch_75]]*RANDBETWEEN(8,12)/10,0)</f>
        <v>151234</v>
      </c>
      <c r="AQ39" s="4">
        <f ca="1">ROUND(T_Tiktok_ads[[#This Row],[video_watch_100]]*RANDBETWEEN(8,12)/10,0)</f>
        <v>99567</v>
      </c>
      <c r="AR39" s="4">
        <f ca="1">ROUND(T_Tiktok_ads[[#This Row],[likes]]*RANDBETWEEN(8,12)/10,0)</f>
        <v>14205</v>
      </c>
      <c r="AS39" s="4">
        <f ca="1">ROUND(T_Tiktok_ads[[#This Row],[shares]]*RANDBETWEEN(8,12)/10,0)</f>
        <v>4010</v>
      </c>
      <c r="AT39" s="4">
        <f ca="1">ROUND(T_Tiktok_ads[[#This Row],[comments]]*RANDBETWEEN(8,12)/10,0)</f>
        <v>1667</v>
      </c>
      <c r="AV39" s="5">
        <f t="shared" ca="1" si="8"/>
        <v>45139</v>
      </c>
      <c r="AW39">
        <f t="shared" ca="1" si="4"/>
        <v>1</v>
      </c>
      <c r="AX39">
        <f ca="1">ROUND(T_Facebook_Ads1159636771757983[[#This Row],[impressions]]*RANDBETWEEN(8,12)/10,0)</f>
        <v>65601</v>
      </c>
      <c r="AY39">
        <f ca="1">ROUND(T_Facebook_Ads1159636771757983[[#This Row],[clicks]]*RANDBETWEEN(8,12)/10,0)</f>
        <v>235</v>
      </c>
      <c r="AZ39">
        <f ca="1">T_Facebook_Ads1159636771757983[[#This Row],[spend]]*RANDBETWEEN(8,12)/10</f>
        <v>87.11999999999999</v>
      </c>
      <c r="BA39">
        <f ca="1">ROUND(T_Facebook_Ads1159636771757983[[#This Row],[conversions]]*RANDBETWEEN(8,12)/10,0)</f>
        <v>7</v>
      </c>
      <c r="BB39">
        <f ca="1">ROUND(T_Facebook_Ads1159636771757983[[#This Row],[video_views]]*RANDBETWEEN(8,12)/10,0)</f>
        <v>59480</v>
      </c>
    </row>
    <row r="40" spans="1:54" ht="15.75" thickBot="1" x14ac:dyDescent="0.3">
      <c r="A40" s="3">
        <f t="shared" ca="1" si="5"/>
        <v>45167</v>
      </c>
      <c r="B40" s="4" t="s">
        <v>52</v>
      </c>
      <c r="C40" s="4" t="s">
        <v>53</v>
      </c>
      <c r="D40" s="4" t="s">
        <v>54</v>
      </c>
      <c r="E40" s="4" t="s">
        <v>55</v>
      </c>
      <c r="F40" s="4">
        <f ca="1">ROUND(T_Facebook_Ads[[#This Row],[impressions]]*RANDBETWEEN(8,12)/10,0)</f>
        <v>38111</v>
      </c>
      <c r="G40" s="4">
        <v>856</v>
      </c>
      <c r="H40" s="4">
        <f ca="1">T_Facebook_Ads[[#This Row],[spend]]*RANDBETWEEN(8,12)/10</f>
        <v>97.2</v>
      </c>
      <c r="I40" s="4">
        <f ca="1">ROUND(T_Facebook_Ads[[#This Row],[conversions]]*RANDBETWEEN(8,12)/10,0)</f>
        <v>12</v>
      </c>
      <c r="J40" s="4">
        <f ca="1">ROUND(T_Facebook_Ads[[#This Row],[video_views]]*RANDBETWEEN(8,12)/10,0)</f>
        <v>7101</v>
      </c>
      <c r="K40" s="4">
        <f ca="1">T_Facebook_Ads[[#This Row],[engagement_rate]]*RANDBETWEEN(8,12)/10</f>
        <v>1.6160000000000001E-2</v>
      </c>
      <c r="L40" s="4">
        <f ca="1">ROUND(T_Facebook_Ads[[#This Row],[reach]]*RANDBETWEEN(8,12)/10,0)</f>
        <v>42814</v>
      </c>
      <c r="M40" s="4">
        <f ca="1">T_Facebook_Ads[[#This Row],[frequency]]*RANDBETWEEN(8,12)/10</f>
        <v>1.19</v>
      </c>
      <c r="O40" s="3">
        <f t="shared" ca="1" si="6"/>
        <v>45141</v>
      </c>
      <c r="P40" s="4" t="s">
        <v>76</v>
      </c>
      <c r="Q40" s="4" t="s">
        <v>77</v>
      </c>
      <c r="R40" s="4" t="s">
        <v>78</v>
      </c>
      <c r="S40" s="4" t="s">
        <v>79</v>
      </c>
      <c r="T40" s="4">
        <f ca="1">ROUND(_Google_ads[[#This Row],[impressions]]*RANDBETWEEN(8,12)/10,0)</f>
        <v>26947</v>
      </c>
      <c r="U40" s="4">
        <f ca="1">ROUND(_Google_ads[[#This Row],[clicks]]*RANDBETWEEN(8,12)/10,0)</f>
        <v>1272</v>
      </c>
      <c r="V40" s="4">
        <f ca="1">_Google_ads[[#This Row],[cost]]*RANDBETWEEN(8,12)/10</f>
        <v>242.44</v>
      </c>
      <c r="W40" s="4">
        <f ca="1">ROUND(_Google_ads[[#This Row],[conversions]]*RANDBETWEEN(8,12)/10,0)</f>
        <v>39</v>
      </c>
      <c r="X40" s="4">
        <f ca="1">ROUND(_Google_ads[[#This Row],[conversion_value]]*RANDBETWEEN(8,12)/10,0)</f>
        <v>1935</v>
      </c>
      <c r="Y40" s="4">
        <f ca="1">_Google_ads[[#This Row],[ctr]]*RANDBETWEEN(8,12)/10</f>
        <v>5.6649999999999999E-2</v>
      </c>
      <c r="Z40" s="4">
        <f ca="1">_Google_ads[[#This Row],[avg_cpc]]*RANDBETWEEN(8,12)/10</f>
        <v>0.19</v>
      </c>
      <c r="AA40" s="4">
        <f ca="1">ROUND(_Google_ads[[#This Row],[quality_score]]*RANDBETWEEN(8,12)/10,0)</f>
        <v>8</v>
      </c>
      <c r="AB40" s="4">
        <f ca="1">_Google_ads[[#This Row],[search_impression_share]]*RANDBETWEEN(8,12)/10</f>
        <v>0.80999999999999994</v>
      </c>
      <c r="AD40" s="3">
        <f t="shared" ca="1" si="7"/>
        <v>45163</v>
      </c>
      <c r="AE40" s="4" t="s">
        <v>100</v>
      </c>
      <c r="AF40" s="4" t="s">
        <v>101</v>
      </c>
      <c r="AG40" s="4" t="s">
        <v>102</v>
      </c>
      <c r="AH40" s="4" t="s">
        <v>103</v>
      </c>
      <c r="AI40" s="4">
        <f ca="1">ROUND(T_Tiktok_ads[[#This Row],[impressions]]*RANDBETWEEN(8,12)/10,0)</f>
        <v>281480</v>
      </c>
      <c r="AJ40" s="4">
        <f ca="1">ROUND(T_Tiktok_ads[[#This Row],[clicks]]*RANDBETWEEN(8,12)/10,0)</f>
        <v>3802</v>
      </c>
      <c r="AK40" s="4">
        <v>456.7</v>
      </c>
      <c r="AL40" s="4">
        <f ca="1">ROUND(T_Tiktok_ads[[#This Row],[conversions]]*RANDBETWEEN(8,12)/10,0)</f>
        <v>31</v>
      </c>
      <c r="AM40" s="4">
        <f ca="1">ROUND(T_Tiktok_ads[[#This Row],[video_views]]*RANDBETWEEN(8,12)/10,0)</f>
        <v>198234</v>
      </c>
      <c r="AN40" s="4">
        <f ca="1">ROUND(T_Tiktok_ads[[#This Row],[video_watch_25]]*RANDBETWEEN(8,12)/10,0)</f>
        <v>187481</v>
      </c>
      <c r="AO40" s="4">
        <f ca="1">ROUND(T_Tiktok_ads[[#This Row],[video_watch_50]]*RANDBETWEEN(8,12)/10,0)</f>
        <v>78587</v>
      </c>
      <c r="AP40" s="4">
        <f ca="1">ROUND(T_Tiktok_ads[[#This Row],[video_watch_75]]*RANDBETWEEN(8,12)/10,0)</f>
        <v>60511</v>
      </c>
      <c r="AQ40" s="4">
        <f ca="1">ROUND(T_Tiktok_ads[[#This Row],[video_watch_100]]*RANDBETWEEN(8,12)/10,0)</f>
        <v>36187</v>
      </c>
      <c r="AR40" s="4">
        <f ca="1">ROUND(T_Tiktok_ads[[#This Row],[likes]]*RANDBETWEEN(8,12)/10,0)</f>
        <v>8923</v>
      </c>
      <c r="AS40" s="4">
        <f ca="1">ROUND(T_Tiktok_ads[[#This Row],[shares]]*RANDBETWEEN(8,12)/10,0)</f>
        <v>2111</v>
      </c>
      <c r="AT40" s="4">
        <f ca="1">ROUND(T_Tiktok_ads[[#This Row],[comments]]*RANDBETWEEN(8,12)/10,0)</f>
        <v>454</v>
      </c>
      <c r="AV40" s="5">
        <f t="shared" ca="1" si="8"/>
        <v>45153</v>
      </c>
      <c r="AW40">
        <f t="shared" ca="1" si="4"/>
        <v>6</v>
      </c>
      <c r="AX40">
        <f ca="1">ROUND(T_Facebook_Ads1159636771757983[[#This Row],[impressions]]*RANDBETWEEN(8,12)/10,0)</f>
        <v>30489</v>
      </c>
      <c r="AY40">
        <f ca="1">ROUND(T_Facebook_Ads1159636771757983[[#This Row],[clicks]]*RANDBETWEEN(8,12)/10,0)</f>
        <v>942</v>
      </c>
      <c r="AZ40">
        <f ca="1">T_Facebook_Ads1159636771757983[[#This Row],[spend]]*RANDBETWEEN(8,12)/10</f>
        <v>106.92</v>
      </c>
      <c r="BA40">
        <f ca="1">ROUND(T_Facebook_Ads1159636771757983[[#This Row],[conversions]]*RANDBETWEEN(8,12)/10,0)</f>
        <v>12</v>
      </c>
      <c r="BB40">
        <f ca="1">ROUND(T_Facebook_Ads1159636771757983[[#This Row],[video_views]]*RANDBETWEEN(8,12)/10,0)</f>
        <v>5681</v>
      </c>
    </row>
    <row r="41" spans="1:54" ht="15.75" thickBot="1" x14ac:dyDescent="0.3">
      <c r="A41" s="3">
        <f t="shared" ca="1" si="5"/>
        <v>45142</v>
      </c>
      <c r="B41" s="4" t="s">
        <v>56</v>
      </c>
      <c r="C41" s="4" t="s">
        <v>57</v>
      </c>
      <c r="D41" s="4" t="s">
        <v>58</v>
      </c>
      <c r="E41" s="4" t="s">
        <v>59</v>
      </c>
      <c r="F41" s="4">
        <f ca="1">ROUND(T_Facebook_Ads[[#This Row],[impressions]]*RANDBETWEEN(8,12)/10,0)</f>
        <v>11234</v>
      </c>
      <c r="G41" s="4">
        <v>523</v>
      </c>
      <c r="H41" s="4">
        <f ca="1">T_Facebook_Ads[[#This Row],[spend]]*RANDBETWEEN(8,12)/10</f>
        <v>218.45999999999998</v>
      </c>
      <c r="I41" s="4">
        <f ca="1">ROUND(T_Facebook_Ads[[#This Row],[conversions]]*RANDBETWEEN(8,12)/10,0)</f>
        <v>26</v>
      </c>
      <c r="J41" s="4">
        <f ca="1">ROUND(T_Facebook_Ads[[#This Row],[video_views]]*RANDBETWEEN(8,12)/10,0)</f>
        <v>1123</v>
      </c>
      <c r="K41" s="4">
        <f ca="1">T_Facebook_Ads[[#This Row],[engagement_rate]]*RANDBETWEEN(8,12)/10</f>
        <v>4.6600000000000003E-2</v>
      </c>
      <c r="L41" s="4">
        <f ca="1">ROUND(T_Facebook_Ads[[#This Row],[reach]]*RANDBETWEEN(8,12)/10,0)</f>
        <v>10681</v>
      </c>
      <c r="M41" s="4">
        <f ca="1">T_Facebook_Ads[[#This Row],[frequency]]*RANDBETWEEN(8,12)/10</f>
        <v>1.016</v>
      </c>
      <c r="O41" s="3">
        <f t="shared" ca="1" si="6"/>
        <v>45156</v>
      </c>
      <c r="P41" s="4" t="s">
        <v>80</v>
      </c>
      <c r="Q41" s="4" t="s">
        <v>81</v>
      </c>
      <c r="R41" s="4" t="s">
        <v>82</v>
      </c>
      <c r="S41" s="4" t="s">
        <v>83</v>
      </c>
      <c r="T41" s="4">
        <f ca="1">ROUND(_Google_ads[[#This Row],[impressions]]*RANDBETWEEN(8,12)/10,0)</f>
        <v>41234</v>
      </c>
      <c r="U41" s="4">
        <f ca="1">ROUND(_Google_ads[[#This Row],[clicks]]*RANDBETWEEN(8,12)/10,0)</f>
        <v>658</v>
      </c>
      <c r="V41" s="4">
        <f ca="1">_Google_ads[[#This Row],[cost]]*RANDBETWEEN(8,12)/10</f>
        <v>634.67999999999995</v>
      </c>
      <c r="W41" s="4">
        <f ca="1">ROUND(_Google_ads[[#This Row],[conversions]]*RANDBETWEEN(8,12)/10,0)</f>
        <v>19</v>
      </c>
      <c r="X41" s="4">
        <f ca="1">ROUND(_Google_ads[[#This Row],[conversion_value]]*RANDBETWEEN(8,12)/10,0)</f>
        <v>1155</v>
      </c>
      <c r="Y41" s="4">
        <f ca="1">_Google_ads[[#This Row],[ctr]]*RANDBETWEEN(8,12)/10</f>
        <v>1.6E-2</v>
      </c>
      <c r="Z41" s="4">
        <f ca="1">_Google_ads[[#This Row],[avg_cpc]]*RANDBETWEEN(8,12)/10</f>
        <v>0.76800000000000002</v>
      </c>
      <c r="AA41" s="4">
        <f ca="1">ROUND(_Google_ads[[#This Row],[quality_score]]*RANDBETWEEN(8,12)/10,0)</f>
        <v>7</v>
      </c>
      <c r="AB41" s="4">
        <f ca="1">_Google_ads[[#This Row],[search_impression_share]]*RANDBETWEEN(8,12)/10</f>
        <v>0.34399999999999997</v>
      </c>
      <c r="AD41" s="3">
        <f t="shared" ca="1" si="7"/>
        <v>45139</v>
      </c>
      <c r="AE41" s="4" t="s">
        <v>104</v>
      </c>
      <c r="AF41" s="4" t="s">
        <v>105</v>
      </c>
      <c r="AG41" s="4" t="s">
        <v>106</v>
      </c>
      <c r="AH41" s="4" t="s">
        <v>107</v>
      </c>
      <c r="AI41" s="4">
        <f ca="1">ROUND(T_Tiktok_ads[[#This Row],[impressions]]*RANDBETWEEN(8,12)/10,0)</f>
        <v>121110</v>
      </c>
      <c r="AJ41" s="4">
        <f ca="1">ROUND(T_Tiktok_ads[[#This Row],[clicks]]*RANDBETWEEN(8,12)/10,0)</f>
        <v>2824</v>
      </c>
      <c r="AK41" s="4">
        <v>712.3</v>
      </c>
      <c r="AL41" s="4">
        <f ca="1">ROUND(T_Tiktok_ads[[#This Row],[conversions]]*RANDBETWEEN(8,12)/10,0)</f>
        <v>57</v>
      </c>
      <c r="AM41" s="4">
        <f ca="1">ROUND(T_Tiktok_ads[[#This Row],[video_views]]*RANDBETWEEN(8,12)/10,0)</f>
        <v>95678</v>
      </c>
      <c r="AN41" s="4">
        <f ca="1">ROUND(T_Tiktok_ads[[#This Row],[video_watch_25]]*RANDBETWEEN(8,12)/10,0)</f>
        <v>85481</v>
      </c>
      <c r="AO41" s="4">
        <f ca="1">ROUND(T_Tiktok_ads[[#This Row],[video_watch_50]]*RANDBETWEEN(8,12)/10,0)</f>
        <v>53057</v>
      </c>
      <c r="AP41" s="4">
        <f ca="1">ROUND(T_Tiktok_ads[[#This Row],[video_watch_75]]*RANDBETWEEN(8,12)/10,0)</f>
        <v>39857</v>
      </c>
      <c r="AQ41" s="4">
        <f ca="1">ROUND(T_Tiktok_ads[[#This Row],[video_watch_100]]*RANDBETWEEN(8,12)/10,0)</f>
        <v>24567</v>
      </c>
      <c r="AR41" s="4">
        <f ca="1">ROUND(T_Tiktok_ads[[#This Row],[likes]]*RANDBETWEEN(8,12)/10,0)</f>
        <v>5268</v>
      </c>
      <c r="AS41" s="4">
        <f ca="1">ROUND(T_Tiktok_ads[[#This Row],[shares]]*RANDBETWEEN(8,12)/10,0)</f>
        <v>1076</v>
      </c>
      <c r="AT41" s="4">
        <f ca="1">ROUND(T_Tiktok_ads[[#This Row],[comments]]*RANDBETWEEN(8,12)/10,0)</f>
        <v>270</v>
      </c>
      <c r="AV41" s="5">
        <f t="shared" ca="1" si="8"/>
        <v>45154</v>
      </c>
      <c r="AW41">
        <f t="shared" ca="1" si="4"/>
        <v>2</v>
      </c>
      <c r="AX41">
        <f ca="1">ROUND(T_Facebook_Ads1159636771757983[[#This Row],[impressions]]*RANDBETWEEN(8,12)/10,0)</f>
        <v>8987</v>
      </c>
      <c r="AY41">
        <f ca="1">ROUND(T_Facebook_Ads1159636771757983[[#This Row],[clicks]]*RANDBETWEEN(8,12)/10,0)</f>
        <v>418</v>
      </c>
      <c r="AZ41">
        <f ca="1">T_Facebook_Ads1159636771757983[[#This Row],[spend]]*RANDBETWEEN(8,12)/10</f>
        <v>174.76799999999997</v>
      </c>
      <c r="BA41">
        <f ca="1">ROUND(T_Facebook_Ads1159636771757983[[#This Row],[conversions]]*RANDBETWEEN(8,12)/10,0)</f>
        <v>23</v>
      </c>
      <c r="BB41">
        <f ca="1">ROUND(T_Facebook_Ads1159636771757983[[#This Row],[video_views]]*RANDBETWEEN(8,12)/10,0)</f>
        <v>1348</v>
      </c>
    </row>
    <row r="42" spans="1:54" ht="15.75" thickBot="1" x14ac:dyDescent="0.3">
      <c r="A42" s="3">
        <f t="shared" ca="1" si="5"/>
        <v>45146</v>
      </c>
      <c r="B42" s="4" t="s">
        <v>60</v>
      </c>
      <c r="C42" s="4" t="s">
        <v>61</v>
      </c>
      <c r="D42" s="4" t="s">
        <v>62</v>
      </c>
      <c r="E42" s="4" t="s">
        <v>63</v>
      </c>
      <c r="F42" s="4">
        <f ca="1">ROUND(T_Facebook_Ads[[#This Row],[impressions]]*RANDBETWEEN(8,12)/10,0)</f>
        <v>26765</v>
      </c>
      <c r="G42" s="4">
        <v>1203</v>
      </c>
      <c r="H42" s="4">
        <f ca="1">T_Facebook_Ads[[#This Row],[spend]]*RANDBETWEEN(8,12)/10</f>
        <v>222.36000000000004</v>
      </c>
      <c r="I42" s="4">
        <f ca="1">ROUND(T_Facebook_Ads[[#This Row],[conversions]]*RANDBETWEEN(8,12)/10,0)</f>
        <v>25</v>
      </c>
      <c r="J42" s="4">
        <f ca="1">ROUND(T_Facebook_Ads[[#This Row],[video_views]]*RANDBETWEEN(8,12)/10,0)</f>
        <v>3387</v>
      </c>
      <c r="K42" s="4">
        <f ca="1">T_Facebook_Ads[[#This Row],[engagement_rate]]*RANDBETWEEN(8,12)/10</f>
        <v>2.8799999999999999E-2</v>
      </c>
      <c r="L42" s="4">
        <f ca="1">ROUND(T_Facebook_Ads[[#This Row],[reach]]*RANDBETWEEN(8,12)/10,0)</f>
        <v>27890</v>
      </c>
      <c r="M42" s="4">
        <f ca="1">T_Facebook_Ads[[#This Row],[frequency]]*RANDBETWEEN(8,12)/10</f>
        <v>1.0799999999999998</v>
      </c>
      <c r="O42" s="3">
        <f t="shared" ca="1" si="6"/>
        <v>45162</v>
      </c>
      <c r="P42" s="4" t="s">
        <v>84</v>
      </c>
      <c r="Q42" s="4" t="s">
        <v>85</v>
      </c>
      <c r="R42" s="4" t="s">
        <v>86</v>
      </c>
      <c r="S42" s="4" t="s">
        <v>87</v>
      </c>
      <c r="T42" s="4">
        <f ca="1">ROUND(_Google_ads[[#This Row],[impressions]]*RANDBETWEEN(8,12)/10,0)</f>
        <v>63456</v>
      </c>
      <c r="U42" s="4">
        <f ca="1">ROUND(_Google_ads[[#This Row],[clicks]]*RANDBETWEEN(8,12)/10,0)</f>
        <v>1671</v>
      </c>
      <c r="V42" s="4">
        <f ca="1">_Google_ads[[#This Row],[cost]]*RANDBETWEEN(8,12)/10</f>
        <v>459.12000000000006</v>
      </c>
      <c r="W42" s="4">
        <f ca="1">ROUND(_Google_ads[[#This Row],[conversions]]*RANDBETWEEN(8,12)/10,0)</f>
        <v>72</v>
      </c>
      <c r="X42" s="4">
        <f ca="1">ROUND(_Google_ads[[#This Row],[conversion_value]]*RANDBETWEEN(8,12)/10,0)</f>
        <v>2400</v>
      </c>
      <c r="Y42" s="4">
        <f ca="1">_Google_ads[[#This Row],[ctr]]*RANDBETWEEN(8,12)/10</f>
        <v>3.9480000000000001E-2</v>
      </c>
      <c r="Z42" s="4">
        <f ca="1">_Google_ads[[#This Row],[avg_cpc]]*RANDBETWEEN(8,12)/10</f>
        <v>0.18</v>
      </c>
      <c r="AA42" s="4">
        <f ca="1">ROUND(_Google_ads[[#This Row],[quality_score]]*RANDBETWEEN(8,12)/10,0)</f>
        <v>6</v>
      </c>
      <c r="AB42" s="4">
        <f ca="1">_Google_ads[[#This Row],[search_impression_share]]*RANDBETWEEN(8,12)/10</f>
        <v>0.52</v>
      </c>
      <c r="AD42" s="3">
        <f t="shared" ca="1" si="7"/>
        <v>45140</v>
      </c>
      <c r="AE42" s="4" t="s">
        <v>108</v>
      </c>
      <c r="AF42" s="4" t="s">
        <v>109</v>
      </c>
      <c r="AG42" s="4" t="s">
        <v>110</v>
      </c>
      <c r="AH42" s="4" t="s">
        <v>111</v>
      </c>
      <c r="AI42" s="4">
        <f ca="1">ROUND(T_Tiktok_ads[[#This Row],[impressions]]*RANDBETWEEN(8,12)/10,0)</f>
        <v>160987</v>
      </c>
      <c r="AJ42" s="4">
        <f ca="1">ROUND(T_Tiktok_ads[[#This Row],[clicks]]*RANDBETWEEN(8,12)/10,0)</f>
        <v>3435</v>
      </c>
      <c r="AK42" s="4">
        <v>374.5</v>
      </c>
      <c r="AL42" s="4">
        <f ca="1">ROUND(T_Tiktok_ads[[#This Row],[conversions]]*RANDBETWEEN(8,12)/10,0)</f>
        <v>31</v>
      </c>
      <c r="AM42" s="4">
        <f ca="1">ROUND(T_Tiktok_ads[[#This Row],[video_views]]*RANDBETWEEN(8,12)/10,0)</f>
        <v>142101</v>
      </c>
      <c r="AN42" s="4">
        <f ca="1">ROUND(T_Tiktok_ads[[#This Row],[video_watch_25]]*RANDBETWEEN(8,12)/10,0)</f>
        <v>145481</v>
      </c>
      <c r="AO42" s="4">
        <f ca="1">ROUND(T_Tiktok_ads[[#This Row],[video_watch_50]]*RANDBETWEEN(8,12)/10,0)</f>
        <v>115481</v>
      </c>
      <c r="AP42" s="4">
        <f ca="1">ROUND(T_Tiktok_ads[[#This Row],[video_watch_75]]*RANDBETWEEN(8,12)/10,0)</f>
        <v>48987</v>
      </c>
      <c r="AQ42" s="4">
        <f ca="1">ROUND(T_Tiktok_ads[[#This Row],[video_watch_100]]*RANDBETWEEN(8,12)/10,0)</f>
        <v>29965</v>
      </c>
      <c r="AR42" s="4">
        <f ca="1">ROUND(T_Tiktok_ads[[#This Row],[likes]]*RANDBETWEEN(8,12)/10,0)</f>
        <v>8814</v>
      </c>
      <c r="AS42" s="4">
        <f ca="1">ROUND(T_Tiktok_ads[[#This Row],[shares]]*RANDBETWEEN(8,12)/10,0)</f>
        <v>1831</v>
      </c>
      <c r="AT42" s="4">
        <f ca="1">ROUND(T_Tiktok_ads[[#This Row],[comments]]*RANDBETWEEN(8,12)/10,0)</f>
        <v>391</v>
      </c>
      <c r="AV42" s="5">
        <f t="shared" ca="1" si="8"/>
        <v>45151</v>
      </c>
      <c r="AW42">
        <f t="shared" ca="1" si="4"/>
        <v>7</v>
      </c>
      <c r="AX42">
        <f ca="1">ROUND(T_Facebook_Ads1159636771757983[[#This Row],[impressions]]*RANDBETWEEN(8,12)/10,0)</f>
        <v>32118</v>
      </c>
      <c r="AY42">
        <f ca="1">ROUND(T_Facebook_Ads1159636771757983[[#This Row],[clicks]]*RANDBETWEEN(8,12)/10,0)</f>
        <v>1203</v>
      </c>
      <c r="AZ42">
        <f ca="1">T_Facebook_Ads1159636771757983[[#This Row],[spend]]*RANDBETWEEN(8,12)/10</f>
        <v>200.12400000000005</v>
      </c>
      <c r="BA42">
        <f ca="1">ROUND(T_Facebook_Ads1159636771757983[[#This Row],[conversions]]*RANDBETWEEN(8,12)/10,0)</f>
        <v>25</v>
      </c>
      <c r="BB42">
        <f ca="1">ROUND(T_Facebook_Ads1159636771757983[[#This Row],[video_views]]*RANDBETWEEN(8,12)/10,0)</f>
        <v>3387</v>
      </c>
    </row>
    <row r="43" spans="1:54" ht="15.75" thickBot="1" x14ac:dyDescent="0.3">
      <c r="A43" s="3">
        <f t="shared" ca="1" si="5"/>
        <v>45158</v>
      </c>
      <c r="B43" s="4" t="s">
        <v>64</v>
      </c>
      <c r="C43" s="4" t="s">
        <v>65</v>
      </c>
      <c r="D43" s="4" t="s">
        <v>66</v>
      </c>
      <c r="E43" s="4" t="s">
        <v>67</v>
      </c>
      <c r="F43" s="4">
        <f ca="1">ROUND(T_Facebook_Ads[[#This Row],[impressions]]*RANDBETWEEN(8,12)/10,0)</f>
        <v>58110</v>
      </c>
      <c r="G43" s="4">
        <v>238</v>
      </c>
      <c r="H43" s="4">
        <f ca="1">T_Facebook_Ads[[#This Row],[spend]]*RANDBETWEEN(8,12)/10</f>
        <v>66.72</v>
      </c>
      <c r="I43" s="4">
        <f ca="1">ROUND(T_Facebook_Ads[[#This Row],[conversions]]*RANDBETWEEN(8,12)/10,0)</f>
        <v>6</v>
      </c>
      <c r="J43" s="4">
        <f ca="1">ROUND(T_Facebook_Ads[[#This Row],[video_views]]*RANDBETWEEN(8,12)/10,0)</f>
        <v>34587</v>
      </c>
      <c r="K43" s="4">
        <f ca="1">T_Facebook_Ads[[#This Row],[engagement_rate]]*RANDBETWEEN(8,12)/10</f>
        <v>2.96E-3</v>
      </c>
      <c r="L43" s="4">
        <f ca="1">ROUND(T_Facebook_Ads[[#This Row],[reach]]*RANDBETWEEN(8,12)/10,0)</f>
        <v>52890</v>
      </c>
      <c r="M43" s="4">
        <f ca="1">T_Facebook_Ads[[#This Row],[frequency]]*RANDBETWEEN(8,12)/10</f>
        <v>1.464</v>
      </c>
      <c r="O43" s="3">
        <f t="shared" ca="1" si="6"/>
        <v>45148</v>
      </c>
      <c r="P43" s="4" t="s">
        <v>88</v>
      </c>
      <c r="Q43" s="4" t="s">
        <v>89</v>
      </c>
      <c r="R43" s="4" t="s">
        <v>90</v>
      </c>
      <c r="S43" s="4" t="s">
        <v>59</v>
      </c>
      <c r="T43" s="4">
        <f ca="1">ROUND(_Google_ads[[#This Row],[impressions]]*RANDBETWEEN(8,12)/10,0)</f>
        <v>119234</v>
      </c>
      <c r="U43" s="4">
        <f ca="1">ROUND(_Google_ads[[#This Row],[clicks]]*RANDBETWEEN(8,12)/10,0)</f>
        <v>434</v>
      </c>
      <c r="V43" s="4">
        <f ca="1">_Google_ads[[#This Row],[cost]]*RANDBETWEEN(8,12)/10</f>
        <v>116.8</v>
      </c>
      <c r="W43" s="4">
        <f ca="1">ROUND(_Google_ads[[#This Row],[conversions]]*RANDBETWEEN(8,12)/10,0)</f>
        <v>14</v>
      </c>
      <c r="X43" s="4">
        <f ca="1">ROUND(_Google_ads[[#This Row],[conversion_value]]*RANDBETWEEN(8,12)/10,0)</f>
        <v>720</v>
      </c>
      <c r="Y43" s="4">
        <f ca="1">_Google_ads[[#This Row],[ctr]]*RANDBETWEEN(8,12)/10</f>
        <v>3.5999999999999999E-3</v>
      </c>
      <c r="Z43" s="4">
        <f ca="1">_Google_ads[[#This Row],[avg_cpc]]*RANDBETWEEN(8,12)/10</f>
        <v>0.32400000000000001</v>
      </c>
      <c r="AA43" s="4">
        <f ca="1">ROUND(_Google_ads[[#This Row],[quality_score]]*RANDBETWEEN(8,12)/10,0)</f>
        <v>6</v>
      </c>
      <c r="AB43" s="4">
        <f ca="1">_Google_ads[[#This Row],[search_impression_share]]*RANDBETWEEN(8,12)/10</f>
        <v>0.33</v>
      </c>
      <c r="AD43" s="3">
        <f t="shared" ca="1" si="7"/>
        <v>45157</v>
      </c>
      <c r="AE43" s="4" t="s">
        <v>112</v>
      </c>
      <c r="AF43" s="4" t="s">
        <v>113</v>
      </c>
      <c r="AG43" s="4" t="s">
        <v>114</v>
      </c>
      <c r="AH43" s="4" t="s">
        <v>115</v>
      </c>
      <c r="AI43" s="4">
        <f ca="1">ROUND(T_Tiktok_ads[[#This Row],[impressions]]*RANDBETWEEN(8,12)/10,0)</f>
        <v>331101</v>
      </c>
      <c r="AJ43" s="4">
        <f ca="1">ROUND(T_Tiktok_ads[[#This Row],[clicks]]*RANDBETWEEN(8,12)/10,0)</f>
        <v>4810</v>
      </c>
      <c r="AK43" s="4">
        <v>923.4</v>
      </c>
      <c r="AL43" s="4">
        <f ca="1">ROUND(T_Tiktok_ads[[#This Row],[conversions]]*RANDBETWEEN(8,12)/10,0)</f>
        <v>85</v>
      </c>
      <c r="AM43" s="4">
        <f ca="1">ROUND(T_Tiktok_ads[[#This Row],[video_views]]*RANDBETWEEN(8,12)/10,0)</f>
        <v>331357</v>
      </c>
      <c r="AN43" s="4">
        <f ca="1">ROUND(T_Tiktok_ads[[#This Row],[video_watch_25]]*RANDBETWEEN(8,12)/10,0)</f>
        <v>245678</v>
      </c>
      <c r="AO43" s="4">
        <f ca="1">ROUND(T_Tiktok_ads[[#This Row],[video_watch_50]]*RANDBETWEEN(8,12)/10,0)</f>
        <v>177110</v>
      </c>
      <c r="AP43" s="4">
        <f ca="1">ROUND(T_Tiktok_ads[[#This Row],[video_watch_75]]*RANDBETWEEN(8,12)/10,0)</f>
        <v>168281</v>
      </c>
      <c r="AQ43" s="4">
        <f ca="1">ROUND(T_Tiktok_ads[[#This Row],[video_watch_100]]*RANDBETWEEN(8,12)/10,0)</f>
        <v>74765</v>
      </c>
      <c r="AR43" s="4">
        <f ca="1">ROUND(T_Tiktok_ads[[#This Row],[likes]]*RANDBETWEEN(8,12)/10,0)</f>
        <v>12987</v>
      </c>
      <c r="AS43" s="4">
        <f ca="1">ROUND(T_Tiktok_ads[[#This Row],[shares]]*RANDBETWEEN(8,12)/10,0)</f>
        <v>3831</v>
      </c>
      <c r="AT43" s="4">
        <f ca="1">ROUND(T_Tiktok_ads[[#This Row],[comments]]*RANDBETWEEN(8,12)/10,0)</f>
        <v>1547</v>
      </c>
      <c r="AV43" s="5">
        <f t="shared" ca="1" si="8"/>
        <v>45150</v>
      </c>
      <c r="AW43">
        <f t="shared" ca="1" si="4"/>
        <v>2</v>
      </c>
      <c r="AX43">
        <f ca="1">ROUND(T_Facebook_Ads1159636771757983[[#This Row],[impressions]]*RANDBETWEEN(8,12)/10,0)</f>
        <v>63921</v>
      </c>
      <c r="AY43">
        <f ca="1">ROUND(T_Facebook_Ads1159636771757983[[#This Row],[clicks]]*RANDBETWEEN(8,12)/10,0)</f>
        <v>238</v>
      </c>
      <c r="AZ43">
        <f ca="1">T_Facebook_Ads1159636771757983[[#This Row],[spend]]*RANDBETWEEN(8,12)/10</f>
        <v>80.063999999999993</v>
      </c>
      <c r="BA43">
        <f ca="1">ROUND(T_Facebook_Ads1159636771757983[[#This Row],[conversions]]*RANDBETWEEN(8,12)/10,0)</f>
        <v>7</v>
      </c>
      <c r="BB43">
        <f ca="1">ROUND(T_Facebook_Ads1159636771757983[[#This Row],[video_views]]*RANDBETWEEN(8,12)/10,0)</f>
        <v>27670</v>
      </c>
    </row>
    <row r="44" spans="1:54" ht="15.75" thickBot="1" x14ac:dyDescent="0.3">
      <c r="A44" s="3">
        <f t="shared" ca="1" si="5"/>
        <v>45156</v>
      </c>
      <c r="B44" s="4" t="s">
        <v>52</v>
      </c>
      <c r="C44" s="4" t="s">
        <v>53</v>
      </c>
      <c r="D44" s="4" t="s">
        <v>54</v>
      </c>
      <c r="E44" s="4" t="s">
        <v>55</v>
      </c>
      <c r="F44" s="4">
        <f ca="1">ROUND(T_Facebook_Ads[[#This Row],[impressions]]*RANDBETWEEN(8,12)/10,0)</f>
        <v>32098</v>
      </c>
      <c r="G44" s="4">
        <v>798</v>
      </c>
      <c r="H44" s="4">
        <f ca="1">T_Facebook_Ads[[#This Row],[spend]]*RANDBETWEEN(8,12)/10</f>
        <v>103.22999999999999</v>
      </c>
      <c r="I44" s="4">
        <f ca="1">ROUND(T_Facebook_Ads[[#This Row],[conversions]]*RANDBETWEEN(8,12)/10,0)</f>
        <v>11</v>
      </c>
      <c r="J44" s="4">
        <f ca="1">ROUND(T_Facebook_Ads[[#This Row],[video_views]]*RANDBETWEEN(8,12)/10,0)</f>
        <v>5876</v>
      </c>
      <c r="K44" s="4">
        <f ca="1">T_Facebook_Ads[[#This Row],[engagement_rate]]*RANDBETWEEN(8,12)/10</f>
        <v>1.9900000000000001E-2</v>
      </c>
      <c r="L44" s="4">
        <f ca="1">ROUND(T_Facebook_Ads[[#This Row],[reach]]*RANDBETWEEN(8,12)/10,0)</f>
        <v>26765</v>
      </c>
      <c r="M44" s="4">
        <f ca="1">T_Facebook_Ads[[#This Row],[frequency]]*RANDBETWEEN(8,12)/10</f>
        <v>1.3199999999999998</v>
      </c>
      <c r="O44" s="3">
        <f t="shared" ca="1" si="6"/>
        <v>45165</v>
      </c>
      <c r="P44" s="4" t="s">
        <v>76</v>
      </c>
      <c r="Q44" s="4" t="s">
        <v>77</v>
      </c>
      <c r="R44" s="4" t="s">
        <v>78</v>
      </c>
      <c r="S44" s="4" t="s">
        <v>79</v>
      </c>
      <c r="T44" s="4">
        <f ca="1">ROUND(_Google_ads[[#This Row],[impressions]]*RANDBETWEEN(8,12)/10,0)</f>
        <v>25481</v>
      </c>
      <c r="U44" s="4">
        <f ca="1">ROUND(_Google_ads[[#This Row],[clicks]]*RANDBETWEEN(8,12)/10,0)</f>
        <v>980</v>
      </c>
      <c r="V44" s="4">
        <f ca="1">_Google_ads[[#This Row],[cost]]*RANDBETWEEN(8,12)/10</f>
        <v>249.36000000000004</v>
      </c>
      <c r="W44" s="4">
        <f ca="1">ROUND(_Google_ads[[#This Row],[conversions]]*RANDBETWEEN(8,12)/10,0)</f>
        <v>37</v>
      </c>
      <c r="X44" s="4">
        <f ca="1">ROUND(_Google_ads[[#This Row],[conversion_value]]*RANDBETWEEN(8,12)/10,0)</f>
        <v>1640</v>
      </c>
      <c r="Y44" s="4">
        <f ca="1">_Google_ads[[#This Row],[ctr]]*RANDBETWEEN(8,12)/10</f>
        <v>4.104E-2</v>
      </c>
      <c r="Z44" s="4">
        <f ca="1">_Google_ads[[#This Row],[avg_cpc]]*RANDBETWEEN(8,12)/10</f>
        <v>0.17099999999999999</v>
      </c>
      <c r="AA44" s="4">
        <f ca="1">ROUND(_Google_ads[[#This Row],[quality_score]]*RANDBETWEEN(8,12)/10,0)</f>
        <v>11</v>
      </c>
      <c r="AB44" s="4">
        <f ca="1">_Google_ads[[#This Row],[search_impression_share]]*RANDBETWEEN(8,12)/10</f>
        <v>0.71199999999999997</v>
      </c>
      <c r="AD44" s="3">
        <f t="shared" ca="1" si="7"/>
        <v>45154</v>
      </c>
      <c r="AE44" s="4" t="s">
        <v>100</v>
      </c>
      <c r="AF44" s="4" t="s">
        <v>101</v>
      </c>
      <c r="AG44" s="4" t="s">
        <v>102</v>
      </c>
      <c r="AH44" s="4" t="s">
        <v>103</v>
      </c>
      <c r="AI44" s="4">
        <f ca="1">ROUND(T_Tiktok_ads[[#This Row],[impressions]]*RANDBETWEEN(8,12)/10,0)</f>
        <v>223456</v>
      </c>
      <c r="AJ44" s="4">
        <f ca="1">ROUND(T_Tiktok_ads[[#This Row],[clicks]]*RANDBETWEEN(8,12)/10,0)</f>
        <v>2587</v>
      </c>
      <c r="AK44" s="4">
        <v>434.5</v>
      </c>
      <c r="AL44" s="4">
        <f ca="1">ROUND(T_Tiktok_ads[[#This Row],[conversions]]*RANDBETWEEN(8,12)/10,0)</f>
        <v>26</v>
      </c>
      <c r="AM44" s="4">
        <f ca="1">ROUND(T_Tiktok_ads[[#This Row],[video_views]]*RANDBETWEEN(8,12)/10,0)</f>
        <v>208157</v>
      </c>
      <c r="AN44" s="4">
        <f ca="1">ROUND(T_Tiktok_ads[[#This Row],[video_watch_25]]*RANDBETWEEN(8,12)/10,0)</f>
        <v>133411</v>
      </c>
      <c r="AO44" s="4">
        <f ca="1">ROUND(T_Tiktok_ads[[#This Row],[video_watch_50]]*RANDBETWEEN(8,12)/10,0)</f>
        <v>83911</v>
      </c>
      <c r="AP44" s="4">
        <f ca="1">ROUND(T_Tiktok_ads[[#This Row],[video_watch_75]]*RANDBETWEEN(8,12)/10,0)</f>
        <v>63456</v>
      </c>
      <c r="AQ44" s="4">
        <f ca="1">ROUND(T_Tiktok_ads[[#This Row],[video_watch_100]]*RANDBETWEEN(8,12)/10,0)</f>
        <v>38911</v>
      </c>
      <c r="AR44" s="4">
        <f ca="1">ROUND(T_Tiktok_ads[[#This Row],[likes]]*RANDBETWEEN(8,12)/10,0)</f>
        <v>8567</v>
      </c>
      <c r="AS44" s="4">
        <f ca="1">ROUND(T_Tiktok_ads[[#This Row],[shares]]*RANDBETWEEN(8,12)/10,0)</f>
        <v>2234</v>
      </c>
      <c r="AT44" s="4">
        <f ca="1">ROUND(T_Tiktok_ads[[#This Row],[comments]]*RANDBETWEEN(8,12)/10,0)</f>
        <v>641</v>
      </c>
      <c r="AV44" s="5">
        <f t="shared" ca="1" si="8"/>
        <v>45160</v>
      </c>
      <c r="AW44">
        <f t="shared" ca="1" si="4"/>
        <v>1</v>
      </c>
      <c r="AX44">
        <f ca="1">ROUND(T_Facebook_Ads1159636771757983[[#This Row],[impressions]]*RANDBETWEEN(8,12)/10,0)</f>
        <v>28888</v>
      </c>
      <c r="AY44">
        <f ca="1">ROUND(T_Facebook_Ads1159636771757983[[#This Row],[clicks]]*RANDBETWEEN(8,12)/10,0)</f>
        <v>638</v>
      </c>
      <c r="AZ44">
        <f ca="1">T_Facebook_Ads1159636771757983[[#This Row],[spend]]*RANDBETWEEN(8,12)/10</f>
        <v>92.906999999999996</v>
      </c>
      <c r="BA44">
        <f ca="1">ROUND(T_Facebook_Ads1159636771757983[[#This Row],[conversions]]*RANDBETWEEN(8,12)/10,0)</f>
        <v>11</v>
      </c>
      <c r="BB44">
        <f ca="1">ROUND(T_Facebook_Ads1159636771757983[[#This Row],[video_views]]*RANDBETWEEN(8,12)/10,0)</f>
        <v>5876</v>
      </c>
    </row>
    <row r="45" spans="1:54" ht="15.75" thickBot="1" x14ac:dyDescent="0.3">
      <c r="A45" s="3">
        <f t="shared" ca="1" si="5"/>
        <v>45162</v>
      </c>
      <c r="B45" s="4" t="s">
        <v>56</v>
      </c>
      <c r="C45" s="4" t="s">
        <v>57</v>
      </c>
      <c r="D45" s="4" t="s">
        <v>58</v>
      </c>
      <c r="E45" s="4" t="s">
        <v>59</v>
      </c>
      <c r="F45" s="4">
        <f ca="1">ROUND(T_Facebook_Ads[[#This Row],[impressions]]*RANDBETWEEN(8,12)/10,0)</f>
        <v>10567</v>
      </c>
      <c r="G45" s="4">
        <v>489</v>
      </c>
      <c r="H45" s="4">
        <f ca="1">T_Facebook_Ads[[#This Row],[spend]]*RANDBETWEEN(8,12)/10</f>
        <v>223.08</v>
      </c>
      <c r="I45" s="4">
        <f ca="1">ROUND(T_Facebook_Ads[[#This Row],[conversions]]*RANDBETWEEN(8,12)/10,0)</f>
        <v>35</v>
      </c>
      <c r="J45" s="4">
        <f ca="1">ROUND(T_Facebook_Ads[[#This Row],[video_views]]*RANDBETWEEN(8,12)/10,0)</f>
        <v>998</v>
      </c>
      <c r="K45" s="4">
        <f ca="1">T_Facebook_Ads[[#This Row],[engagement_rate]]*RANDBETWEEN(8,12)/10</f>
        <v>4.1669999999999999E-2</v>
      </c>
      <c r="L45" s="4">
        <f ca="1">ROUND(T_Facebook_Ads[[#This Row],[reach]]*RANDBETWEEN(8,12)/10,0)</f>
        <v>7411</v>
      </c>
      <c r="M45" s="4">
        <f ca="1">T_Facebook_Ads[[#This Row],[frequency]]*RANDBETWEEN(8,12)/10</f>
        <v>1.28</v>
      </c>
      <c r="O45" s="3">
        <f t="shared" ca="1" si="6"/>
        <v>45146</v>
      </c>
      <c r="P45" s="4" t="s">
        <v>80</v>
      </c>
      <c r="Q45" s="4" t="s">
        <v>81</v>
      </c>
      <c r="R45" s="4" t="s">
        <v>82</v>
      </c>
      <c r="S45" s="4" t="s">
        <v>83</v>
      </c>
      <c r="T45" s="4">
        <f ca="1">ROUND(_Google_ads[[#This Row],[impressions]]*RANDBETWEEN(8,12)/10,0)</f>
        <v>35610</v>
      </c>
      <c r="U45" s="4">
        <f ca="1">ROUND(_Google_ads[[#This Row],[clicks]]*RANDBETWEEN(8,12)/10,0)</f>
        <v>868</v>
      </c>
      <c r="V45" s="4">
        <f ca="1">_Google_ads[[#This Row],[cost]]*RANDBETWEEN(8,12)/10</f>
        <v>558.14</v>
      </c>
      <c r="W45" s="4">
        <f ca="1">ROUND(_Google_ads[[#This Row],[conversions]]*RANDBETWEEN(8,12)/10,0)</f>
        <v>23</v>
      </c>
      <c r="X45" s="4">
        <f ca="1">ROUND(_Google_ads[[#This Row],[conversion_value]]*RANDBETWEEN(8,12)/10,0)</f>
        <v>950</v>
      </c>
      <c r="Y45" s="4">
        <f ca="1">_Google_ads[[#This Row],[ctr]]*RANDBETWEEN(8,12)/10</f>
        <v>1.9900000000000001E-2</v>
      </c>
      <c r="Z45" s="4">
        <f ca="1">_Google_ads[[#This Row],[avg_cpc]]*RANDBETWEEN(8,12)/10</f>
        <v>0.70399999999999996</v>
      </c>
      <c r="AA45" s="4">
        <f ca="1">ROUND(_Google_ads[[#This Row],[quality_score]]*RANDBETWEEN(8,12)/10,0)</f>
        <v>7</v>
      </c>
      <c r="AB45" s="4">
        <f ca="1">_Google_ads[[#This Row],[search_impression_share]]*RANDBETWEEN(8,12)/10</f>
        <v>0.378</v>
      </c>
      <c r="AD45" s="3">
        <f t="shared" ca="1" si="7"/>
        <v>45158</v>
      </c>
      <c r="AE45" s="4" t="s">
        <v>104</v>
      </c>
      <c r="AF45" s="4" t="s">
        <v>105</v>
      </c>
      <c r="AG45" s="4" t="s">
        <v>106</v>
      </c>
      <c r="AH45" s="4" t="s">
        <v>107</v>
      </c>
      <c r="AI45" s="4">
        <f ca="1">ROUND(T_Tiktok_ads[[#This Row],[impressions]]*RANDBETWEEN(8,12)/10,0)</f>
        <v>103121</v>
      </c>
      <c r="AJ45" s="4">
        <f ca="1">ROUND(T_Tiktok_ads[[#This Row],[clicks]]*RANDBETWEEN(8,12)/10,0)</f>
        <v>2947</v>
      </c>
      <c r="AK45" s="4">
        <v>689.5</v>
      </c>
      <c r="AL45" s="4">
        <f ca="1">ROUND(T_Tiktok_ads[[#This Row],[conversions]]*RANDBETWEEN(8,12)/10,0)</f>
        <v>68</v>
      </c>
      <c r="AM45" s="4">
        <f ca="1">ROUND(T_Tiktok_ads[[#This Row],[video_views]]*RANDBETWEEN(8,12)/10,0)</f>
        <v>91234</v>
      </c>
      <c r="AN45" s="4">
        <f ca="1">ROUND(T_Tiktok_ads[[#This Row],[video_watch_25]]*RANDBETWEEN(8,12)/10,0)</f>
        <v>61411</v>
      </c>
      <c r="AO45" s="4">
        <f ca="1">ROUND(T_Tiktok_ads[[#This Row],[video_watch_50]]*RANDBETWEEN(8,12)/10,0)</f>
        <v>36631</v>
      </c>
      <c r="AP45" s="4">
        <f ca="1">ROUND(T_Tiktok_ads[[#This Row],[video_watch_75]]*RANDBETWEEN(8,12)/10,0)</f>
        <v>41480</v>
      </c>
      <c r="AQ45" s="4">
        <f ca="1">ROUND(T_Tiktok_ads[[#This Row],[video_watch_100]]*RANDBETWEEN(8,12)/10,0)</f>
        <v>21310</v>
      </c>
      <c r="AR45" s="4">
        <f ca="1">ROUND(T_Tiktok_ads[[#This Row],[likes]]*RANDBETWEEN(8,12)/10,0)</f>
        <v>3742</v>
      </c>
      <c r="AS45" s="4">
        <f ca="1">ROUND(T_Tiktok_ads[[#This Row],[shares]]*RANDBETWEEN(8,12)/10,0)</f>
        <v>1267</v>
      </c>
      <c r="AT45" s="4">
        <f ca="1">ROUND(T_Tiktok_ads[[#This Row],[comments]]*RANDBETWEEN(8,12)/10,0)</f>
        <v>190</v>
      </c>
      <c r="AV45" s="5">
        <f t="shared" ca="1" si="8"/>
        <v>45154</v>
      </c>
      <c r="AW45">
        <f t="shared" ca="1" si="4"/>
        <v>8</v>
      </c>
      <c r="AX45">
        <f ca="1">ROUND(T_Facebook_Ads1159636771757983[[#This Row],[impressions]]*RANDBETWEEN(8,12)/10,0)</f>
        <v>10567</v>
      </c>
      <c r="AY45">
        <f ca="1">ROUND(T_Facebook_Ads1159636771757983[[#This Row],[clicks]]*RANDBETWEEN(8,12)/10,0)</f>
        <v>489</v>
      </c>
      <c r="AZ45">
        <f ca="1">T_Facebook_Ads1159636771757983[[#This Row],[spend]]*RANDBETWEEN(8,12)/10</f>
        <v>200.77199999999999</v>
      </c>
      <c r="BA45">
        <f ca="1">ROUND(T_Facebook_Ads1159636771757983[[#This Row],[conversions]]*RANDBETWEEN(8,12)/10,0)</f>
        <v>28</v>
      </c>
      <c r="BB45">
        <f ca="1">ROUND(T_Facebook_Ads1159636771757983[[#This Row],[video_views]]*RANDBETWEEN(8,12)/10,0)</f>
        <v>1198</v>
      </c>
    </row>
    <row r="46" spans="1:54" ht="15.75" thickBot="1" x14ac:dyDescent="0.3">
      <c r="A46" s="3">
        <f t="shared" ca="1" si="5"/>
        <v>45142</v>
      </c>
      <c r="B46" s="4" t="s">
        <v>60</v>
      </c>
      <c r="C46" s="4" t="s">
        <v>61</v>
      </c>
      <c r="D46" s="4" t="s">
        <v>62</v>
      </c>
      <c r="E46" s="4" t="s">
        <v>63</v>
      </c>
      <c r="F46" s="4">
        <f ca="1">ROUND(T_Facebook_Ads[[#This Row],[impressions]]*RANDBETWEEN(8,12)/10,0)</f>
        <v>24987</v>
      </c>
      <c r="G46" s="4">
        <v>1123</v>
      </c>
      <c r="H46" s="4">
        <f ca="1">T_Facebook_Ads[[#This Row],[spend]]*RANDBETWEEN(8,12)/10</f>
        <v>139.04000000000002</v>
      </c>
      <c r="I46" s="4">
        <f ca="1">ROUND(T_Facebook_Ads[[#This Row],[conversions]]*RANDBETWEEN(8,12)/10,0)</f>
        <v>21</v>
      </c>
      <c r="J46" s="4">
        <f ca="1">ROUND(T_Facebook_Ads[[#This Row],[video_views]]*RANDBETWEEN(8,12)/10,0)</f>
        <v>4279</v>
      </c>
      <c r="K46" s="4">
        <f ca="1">T_Facebook_Ads[[#This Row],[engagement_rate]]*RANDBETWEEN(8,12)/10</f>
        <v>3.9599999999999996E-2</v>
      </c>
      <c r="L46" s="4">
        <f ca="1">ROUND(T_Facebook_Ads[[#This Row],[reach]]*RANDBETWEEN(8,12)/10,0)</f>
        <v>20898</v>
      </c>
      <c r="M46" s="4">
        <f ca="1">T_Facebook_Ads[[#This Row],[frequency]]*RANDBETWEEN(8,12)/10</f>
        <v>1.0799999999999998</v>
      </c>
      <c r="O46" s="3">
        <f t="shared" ca="1" si="6"/>
        <v>45159</v>
      </c>
      <c r="P46" s="4" t="s">
        <v>84</v>
      </c>
      <c r="Q46" s="4" t="s">
        <v>85</v>
      </c>
      <c r="R46" s="4" t="s">
        <v>86</v>
      </c>
      <c r="S46" s="4" t="s">
        <v>87</v>
      </c>
      <c r="T46" s="4">
        <f ca="1">ROUND(_Google_ads[[#This Row],[impressions]]*RANDBETWEEN(8,12)/10,0)</f>
        <v>68079</v>
      </c>
      <c r="U46" s="4">
        <f ca="1">ROUND(_Google_ads[[#This Row],[clicks]]*RANDBETWEEN(8,12)/10,0)</f>
        <v>2213</v>
      </c>
      <c r="V46" s="4">
        <f ca="1">_Google_ads[[#This Row],[cost]]*RANDBETWEEN(8,12)/10</f>
        <v>332.37</v>
      </c>
      <c r="W46" s="4">
        <f ca="1">ROUND(_Google_ads[[#This Row],[conversions]]*RANDBETWEEN(8,12)/10,0)</f>
        <v>46</v>
      </c>
      <c r="X46" s="4">
        <f ca="1">ROUND(_Google_ads[[#This Row],[conversion_value]]*RANDBETWEEN(8,12)/10,0)</f>
        <v>2320</v>
      </c>
      <c r="Y46" s="4">
        <f ca="1">_Google_ads[[#This Row],[ctr]]*RANDBETWEEN(8,12)/10</f>
        <v>2.9249999999999998E-2</v>
      </c>
      <c r="Z46" s="4">
        <f ca="1">_Google_ads[[#This Row],[avg_cpc]]*RANDBETWEEN(8,12)/10</f>
        <v>0.18</v>
      </c>
      <c r="AA46" s="4">
        <f ca="1">ROUND(_Google_ads[[#This Row],[quality_score]]*RANDBETWEEN(8,12)/10,0)</f>
        <v>8</v>
      </c>
      <c r="AB46" s="4">
        <f ca="1">_Google_ads[[#This Row],[search_impression_share]]*RANDBETWEEN(8,12)/10</f>
        <v>0.51200000000000001</v>
      </c>
      <c r="AD46" s="3">
        <f t="shared" ca="1" si="7"/>
        <v>45166</v>
      </c>
      <c r="AE46" s="4" t="s">
        <v>108</v>
      </c>
      <c r="AF46" s="4" t="s">
        <v>109</v>
      </c>
      <c r="AG46" s="4" t="s">
        <v>110</v>
      </c>
      <c r="AH46" s="4" t="s">
        <v>111</v>
      </c>
      <c r="AI46" s="4">
        <f ca="1">ROUND(T_Tiktok_ads[[#This Row],[impressions]]*RANDBETWEEN(8,12)/10,0)</f>
        <v>195678</v>
      </c>
      <c r="AJ46" s="4">
        <f ca="1">ROUND(T_Tiktok_ads[[#This Row],[clicks]]*RANDBETWEEN(8,12)/10,0)</f>
        <v>3587</v>
      </c>
      <c r="AK46" s="4">
        <v>361.2</v>
      </c>
      <c r="AL46" s="4">
        <f ca="1">ROUND(T_Tiktok_ads[[#This Row],[conversions]]*RANDBETWEEN(8,12)/10,0)</f>
        <v>25</v>
      </c>
      <c r="AM46" s="4">
        <f ca="1">ROUND(T_Tiktok_ads[[#This Row],[video_views]]*RANDBETWEEN(8,12)/10,0)</f>
        <v>167580</v>
      </c>
      <c r="AN46" s="4">
        <f ca="1">ROUND(T_Tiktok_ads[[#This Row],[video_watch_25]]*RANDBETWEEN(8,12)/10,0)</f>
        <v>93787</v>
      </c>
      <c r="AO46" s="4">
        <f ca="1">ROUND(T_Tiktok_ads[[#This Row],[video_watch_50]]*RANDBETWEEN(8,12)/10,0)</f>
        <v>102557</v>
      </c>
      <c r="AP46" s="4">
        <f ca="1">ROUND(T_Tiktok_ads[[#This Row],[video_watch_75]]*RANDBETWEEN(8,12)/10,0)</f>
        <v>71081</v>
      </c>
      <c r="AQ46" s="4">
        <f ca="1">ROUND(T_Tiktok_ads[[#This Row],[video_watch_100]]*RANDBETWEEN(8,12)/10,0)</f>
        <v>36234</v>
      </c>
      <c r="AR46" s="4">
        <f ca="1">ROUND(T_Tiktok_ads[[#This Row],[likes]]*RANDBETWEEN(8,12)/10,0)</f>
        <v>7835</v>
      </c>
      <c r="AS46" s="4">
        <f ca="1">ROUND(T_Tiktok_ads[[#This Row],[shares]]*RANDBETWEEN(8,12)/10,0)</f>
        <v>2360</v>
      </c>
      <c r="AT46" s="4">
        <f ca="1">ROUND(T_Tiktok_ads[[#This Row],[comments]]*RANDBETWEEN(8,12)/10,0)</f>
        <v>382</v>
      </c>
      <c r="AV46" s="5">
        <f t="shared" ca="1" si="8"/>
        <v>45150</v>
      </c>
      <c r="AW46">
        <f t="shared" ca="1" si="4"/>
        <v>1</v>
      </c>
      <c r="AX46">
        <f ca="1">ROUND(T_Facebook_Ads1159636771757983[[#This Row],[impressions]]*RANDBETWEEN(8,12)/10,0)</f>
        <v>24987</v>
      </c>
      <c r="AY46">
        <f ca="1">ROUND(T_Facebook_Ads1159636771757983[[#This Row],[clicks]]*RANDBETWEEN(8,12)/10,0)</f>
        <v>898</v>
      </c>
      <c r="AZ46">
        <f ca="1">T_Facebook_Ads1159636771757983[[#This Row],[spend]]*RANDBETWEEN(8,12)/10</f>
        <v>111.23200000000001</v>
      </c>
      <c r="BA46">
        <f ca="1">ROUND(T_Facebook_Ads1159636771757983[[#This Row],[conversions]]*RANDBETWEEN(8,12)/10,0)</f>
        <v>25</v>
      </c>
      <c r="BB46">
        <f ca="1">ROUND(T_Facebook_Ads1159636771757983[[#This Row],[video_views]]*RANDBETWEEN(8,12)/10,0)</f>
        <v>3851</v>
      </c>
    </row>
    <row r="47" spans="1:54" ht="15.75" thickBot="1" x14ac:dyDescent="0.3">
      <c r="A47" s="3">
        <f t="shared" ca="1" si="5"/>
        <v>45144</v>
      </c>
      <c r="B47" s="4" t="s">
        <v>64</v>
      </c>
      <c r="C47" s="4" t="s">
        <v>65</v>
      </c>
      <c r="D47" s="4" t="s">
        <v>66</v>
      </c>
      <c r="E47" s="4" t="s">
        <v>67</v>
      </c>
      <c r="F47" s="4">
        <f ca="1">ROUND(T_Facebook_Ads[[#This Row],[impressions]]*RANDBETWEEN(8,12)/10,0)</f>
        <v>48987</v>
      </c>
      <c r="G47" s="4">
        <v>223</v>
      </c>
      <c r="H47" s="4">
        <f ca="1">T_Facebook_Ads[[#This Row],[spend]]*RANDBETWEEN(8,12)/10</f>
        <v>86.79</v>
      </c>
      <c r="I47" s="4">
        <f ca="1">ROUND(T_Facebook_Ads[[#This Row],[conversions]]*RANDBETWEEN(8,12)/10,0)</f>
        <v>5</v>
      </c>
      <c r="J47" s="4">
        <f ca="1">ROUND(T_Facebook_Ads[[#This Row],[video_views]]*RANDBETWEEN(8,12)/10,0)</f>
        <v>48680</v>
      </c>
      <c r="K47" s="4">
        <f ca="1">T_Facebook_Ads[[#This Row],[engagement_rate]]*RANDBETWEEN(8,12)/10</f>
        <v>3.5999999999999999E-3</v>
      </c>
      <c r="L47" s="4">
        <f ca="1">ROUND(T_Facebook_Ads[[#This Row],[reach]]*RANDBETWEEN(8,12)/10,0)</f>
        <v>55135</v>
      </c>
      <c r="M47" s="4">
        <f ca="1">T_Facebook_Ads[[#This Row],[frequency]]*RANDBETWEEN(8,12)/10</f>
        <v>1.0980000000000001</v>
      </c>
      <c r="O47" s="3">
        <f t="shared" ca="1" si="6"/>
        <v>45147</v>
      </c>
      <c r="P47" s="4" t="s">
        <v>88</v>
      </c>
      <c r="Q47" s="4" t="s">
        <v>89</v>
      </c>
      <c r="R47" s="4" t="s">
        <v>90</v>
      </c>
      <c r="S47" s="4" t="s">
        <v>59</v>
      </c>
      <c r="T47" s="4">
        <f ca="1">ROUND(_Google_ads[[#This Row],[impressions]]*RANDBETWEEN(8,12)/10,0)</f>
        <v>104110</v>
      </c>
      <c r="U47" s="4">
        <f ca="1">ROUND(_Google_ads[[#This Row],[clicks]]*RANDBETWEEN(8,12)/10,0)</f>
        <v>412</v>
      </c>
      <c r="V47" s="4">
        <f ca="1">_Google_ads[[#This Row],[cost]]*RANDBETWEEN(8,12)/10</f>
        <v>113.4</v>
      </c>
      <c r="W47" s="4">
        <f ca="1">ROUND(_Google_ads[[#This Row],[conversions]]*RANDBETWEEN(8,12)/10,0)</f>
        <v>10</v>
      </c>
      <c r="X47" s="4">
        <f ca="1">ROUND(_Google_ads[[#This Row],[conversion_value]]*RANDBETWEEN(8,12)/10,0)</f>
        <v>550</v>
      </c>
      <c r="Y47" s="4">
        <f ca="1">_Google_ads[[#This Row],[ctr]]*RANDBETWEEN(8,12)/10</f>
        <v>3.96E-3</v>
      </c>
      <c r="Z47" s="4">
        <f ca="1">_Google_ads[[#This Row],[avg_cpc]]*RANDBETWEEN(8,12)/10</f>
        <v>0.25200000000000006</v>
      </c>
      <c r="AA47" s="4">
        <f ca="1">ROUND(_Google_ads[[#This Row],[quality_score]]*RANDBETWEEN(8,12)/10,0)</f>
        <v>6</v>
      </c>
      <c r="AB47" s="4">
        <f ca="1">_Google_ads[[#This Row],[search_impression_share]]*RANDBETWEEN(8,12)/10</f>
        <v>0.28799999999999998</v>
      </c>
      <c r="AD47" s="3">
        <f t="shared" ca="1" si="7"/>
        <v>45163</v>
      </c>
      <c r="AE47" s="4" t="s">
        <v>112</v>
      </c>
      <c r="AF47" s="4" t="s">
        <v>113</v>
      </c>
      <c r="AG47" s="4" t="s">
        <v>114</v>
      </c>
      <c r="AH47" s="4" t="s">
        <v>115</v>
      </c>
      <c r="AI47" s="4">
        <f ca="1">ROUND(T_Tiktok_ads[[#This Row],[impressions]]*RANDBETWEEN(8,12)/10,0)</f>
        <v>285431</v>
      </c>
      <c r="AJ47" s="4">
        <f ca="1">ROUND(T_Tiktok_ads[[#This Row],[clicks]]*RANDBETWEEN(8,12)/10,0)</f>
        <v>4667</v>
      </c>
      <c r="AK47" s="4">
        <v>901.2</v>
      </c>
      <c r="AL47" s="4">
        <f ca="1">ROUND(T_Tiktok_ads[[#This Row],[conversions]]*RANDBETWEEN(8,12)/10,0)</f>
        <v>73</v>
      </c>
      <c r="AM47" s="4">
        <f ca="1">ROUND(T_Tiktok_ads[[#This Row],[video_views]]*RANDBETWEEN(8,12)/10,0)</f>
        <v>234765</v>
      </c>
      <c r="AN47" s="4">
        <f ca="1">ROUND(T_Tiktok_ads[[#This Row],[video_watch_25]]*RANDBETWEEN(8,12)/10,0)</f>
        <v>215311</v>
      </c>
      <c r="AO47" s="4">
        <f ca="1">ROUND(T_Tiktok_ads[[#This Row],[video_watch_50]]*RANDBETWEEN(8,12)/10,0)</f>
        <v>210357</v>
      </c>
      <c r="AP47" s="4">
        <f ca="1">ROUND(T_Tiktok_ads[[#This Row],[video_watch_75]]*RANDBETWEEN(8,12)/10,0)</f>
        <v>108987</v>
      </c>
      <c r="AQ47" s="4">
        <f ca="1">ROUND(T_Tiktok_ads[[#This Row],[video_watch_100]]*RANDBETWEEN(8,12)/10,0)</f>
        <v>99257</v>
      </c>
      <c r="AR47" s="4">
        <f ca="1">ROUND(T_Tiktok_ads[[#This Row],[likes]]*RANDBETWEEN(8,12)/10,0)</f>
        <v>15890</v>
      </c>
      <c r="AS47" s="4">
        <f ca="1">ROUND(T_Tiktok_ads[[#This Row],[shares]]*RANDBETWEEN(8,12)/10,0)</f>
        <v>4634</v>
      </c>
      <c r="AT47" s="4">
        <f ca="1">ROUND(T_Tiktok_ads[[#This Row],[comments]]*RANDBETWEEN(8,12)/10,0)</f>
        <v>1382</v>
      </c>
      <c r="AV47" s="5">
        <f t="shared" ca="1" si="8"/>
        <v>45158</v>
      </c>
      <c r="AW47">
        <f t="shared" ca="1" si="4"/>
        <v>5</v>
      </c>
      <c r="AX47">
        <f ca="1">ROUND(T_Facebook_Ads1159636771757983[[#This Row],[impressions]]*RANDBETWEEN(8,12)/10,0)</f>
        <v>39190</v>
      </c>
      <c r="AY47">
        <f ca="1">ROUND(T_Facebook_Ads1159636771757983[[#This Row],[clicks]]*RANDBETWEEN(8,12)/10,0)</f>
        <v>245</v>
      </c>
      <c r="AZ47">
        <f ca="1">T_Facebook_Ads1159636771757983[[#This Row],[spend]]*RANDBETWEEN(8,12)/10</f>
        <v>78.111000000000004</v>
      </c>
      <c r="BA47">
        <f ca="1">ROUND(T_Facebook_Ads1159636771757983[[#This Row],[conversions]]*RANDBETWEEN(8,12)/10,0)</f>
        <v>4</v>
      </c>
      <c r="BB47">
        <f ca="1">ROUND(T_Facebook_Ads1159636771757983[[#This Row],[video_views]]*RANDBETWEEN(8,12)/10,0)</f>
        <v>48680</v>
      </c>
    </row>
    <row r="48" spans="1:54" ht="15.75" thickBot="1" x14ac:dyDescent="0.3">
      <c r="A48" s="3">
        <f t="shared" ca="1" si="5"/>
        <v>45164</v>
      </c>
      <c r="B48" s="4" t="s">
        <v>52</v>
      </c>
      <c r="C48" s="4" t="s">
        <v>53</v>
      </c>
      <c r="D48" s="4" t="s">
        <v>54</v>
      </c>
      <c r="E48" s="4" t="s">
        <v>55</v>
      </c>
      <c r="F48" s="4">
        <f ca="1">ROUND(T_Facebook_Ads[[#This Row],[impressions]]*RANDBETWEEN(8,12)/10,0)</f>
        <v>51468</v>
      </c>
      <c r="G48" s="4">
        <v>934</v>
      </c>
      <c r="H48" s="4">
        <f ca="1">T_Facebook_Ads[[#This Row],[spend]]*RANDBETWEEN(8,12)/10</f>
        <v>158.88000000000002</v>
      </c>
      <c r="I48" s="4">
        <f ca="1">ROUND(T_Facebook_Ads[[#This Row],[conversions]]*RANDBETWEEN(8,12)/10,0)</f>
        <v>15</v>
      </c>
      <c r="J48" s="4">
        <f ca="1">ROUND(T_Facebook_Ads[[#This Row],[video_views]]*RANDBETWEEN(8,12)/10,0)</f>
        <v>6854</v>
      </c>
      <c r="K48" s="4">
        <f ca="1">T_Facebook_Ads[[#This Row],[engagement_rate]]*RANDBETWEEN(8,12)/10</f>
        <v>2.4E-2</v>
      </c>
      <c r="L48" s="4">
        <f ca="1">ROUND(T_Facebook_Ads[[#This Row],[reach]]*RANDBETWEEN(8,12)/10,0)</f>
        <v>47081</v>
      </c>
      <c r="M48" s="4">
        <f ca="1">T_Facebook_Ads[[#This Row],[frequency]]*RANDBETWEEN(8,12)/10</f>
        <v>1.3089999999999999</v>
      </c>
      <c r="O48" s="3">
        <f t="shared" ca="1" si="6"/>
        <v>45153</v>
      </c>
      <c r="P48" s="4" t="s">
        <v>76</v>
      </c>
      <c r="Q48" s="4" t="s">
        <v>77</v>
      </c>
      <c r="R48" s="4" t="s">
        <v>78</v>
      </c>
      <c r="S48" s="4" t="s">
        <v>79</v>
      </c>
      <c r="T48" s="4">
        <f ca="1">ROUND(_Google_ads[[#This Row],[impressions]]*RANDBETWEEN(8,12)/10,0)</f>
        <v>21501</v>
      </c>
      <c r="U48" s="4">
        <f ca="1">ROUND(_Google_ads[[#This Row],[clicks]]*RANDBETWEEN(8,12)/10,0)</f>
        <v>1111</v>
      </c>
      <c r="V48" s="4">
        <f ca="1">_Google_ads[[#This Row],[cost]]*RANDBETWEEN(8,12)/10</f>
        <v>282.71999999999997</v>
      </c>
      <c r="W48" s="4">
        <f ca="1">ROUND(_Google_ads[[#This Row],[conversions]]*RANDBETWEEN(8,12)/10,0)</f>
        <v>46</v>
      </c>
      <c r="X48" s="4">
        <f ca="1">ROUND(_Google_ads[[#This Row],[conversion_value]]*RANDBETWEEN(8,12)/10,0)</f>
        <v>2530</v>
      </c>
      <c r="Y48" s="4">
        <f ca="1">_Google_ads[[#This Row],[ctr]]*RANDBETWEEN(8,12)/10</f>
        <v>6.2040000000000005E-2</v>
      </c>
      <c r="Z48" s="4">
        <f ca="1">_Google_ads[[#This Row],[avg_cpc]]*RANDBETWEEN(8,12)/10</f>
        <v>0.22800000000000004</v>
      </c>
      <c r="AA48" s="4">
        <f ca="1">ROUND(_Google_ads[[#This Row],[quality_score]]*RANDBETWEEN(8,12)/10,0)</f>
        <v>10</v>
      </c>
      <c r="AB48" s="4">
        <f ca="1">_Google_ads[[#This Row],[search_impression_share]]*RANDBETWEEN(8,12)/10</f>
        <v>0.72799999999999998</v>
      </c>
      <c r="AD48" s="3">
        <f t="shared" ca="1" si="7"/>
        <v>45155</v>
      </c>
      <c r="AE48" s="4" t="s">
        <v>100</v>
      </c>
      <c r="AF48" s="4" t="s">
        <v>101</v>
      </c>
      <c r="AG48" s="4" t="s">
        <v>102</v>
      </c>
      <c r="AH48" s="4" t="s">
        <v>103</v>
      </c>
      <c r="AI48" s="4">
        <f ca="1">ROUND(T_Tiktok_ads[[#This Row],[impressions]]*RANDBETWEEN(8,12)/10,0)</f>
        <v>222110</v>
      </c>
      <c r="AJ48" s="4">
        <f ca="1">ROUND(T_Tiktok_ads[[#This Row],[clicks]]*RANDBETWEEN(8,12)/10,0)</f>
        <v>2942</v>
      </c>
      <c r="AK48" s="4">
        <v>478.9</v>
      </c>
      <c r="AL48" s="4">
        <f ca="1">ROUND(T_Tiktok_ads[[#This Row],[conversions]]*RANDBETWEEN(8,12)/10,0)</f>
        <v>36</v>
      </c>
      <c r="AM48" s="4">
        <f ca="1">ROUND(T_Tiktok_ads[[#This Row],[video_views]]*RANDBETWEEN(8,12)/10,0)</f>
        <v>248814</v>
      </c>
      <c r="AN48" s="4">
        <f ca="1">ROUND(T_Tiktok_ads[[#This Row],[video_watch_25]]*RANDBETWEEN(8,12)/10,0)</f>
        <v>163456</v>
      </c>
      <c r="AO48" s="4">
        <f ca="1">ROUND(T_Tiktok_ads[[#This Row],[video_watch_50]]*RANDBETWEEN(8,12)/10,0)</f>
        <v>112580</v>
      </c>
      <c r="AP48" s="4">
        <f ca="1">ROUND(T_Tiktok_ads[[#This Row],[video_watch_75]]*RANDBETWEEN(8,12)/10,0)</f>
        <v>77257</v>
      </c>
      <c r="AQ48" s="4">
        <f ca="1">ROUND(T_Tiktok_ads[[#This Row],[video_watch_100]]*RANDBETWEEN(8,12)/10,0)</f>
        <v>51957</v>
      </c>
      <c r="AR48" s="4">
        <f ca="1">ROUND(T_Tiktok_ads[[#This Row],[likes]]*RANDBETWEEN(8,12)/10,0)</f>
        <v>11081</v>
      </c>
      <c r="AS48" s="4">
        <f ca="1">ROUND(T_Tiktok_ads[[#This Row],[shares]]*RANDBETWEEN(8,12)/10,0)</f>
        <v>2210</v>
      </c>
      <c r="AT48" s="4">
        <f ca="1">ROUND(T_Tiktok_ads[[#This Row],[comments]]*RANDBETWEEN(8,12)/10,0)</f>
        <v>707</v>
      </c>
      <c r="AV48" s="5">
        <f t="shared" ca="1" si="8"/>
        <v>45160</v>
      </c>
      <c r="AW48">
        <f t="shared" ca="1" si="4"/>
        <v>6</v>
      </c>
      <c r="AX48">
        <f ca="1">ROUND(T_Facebook_Ads1159636771757983[[#This Row],[impressions]]*RANDBETWEEN(8,12)/10,0)</f>
        <v>56615</v>
      </c>
      <c r="AY48">
        <f ca="1">ROUND(T_Facebook_Ads1159636771757983[[#This Row],[clicks]]*RANDBETWEEN(8,12)/10,0)</f>
        <v>747</v>
      </c>
      <c r="AZ48">
        <f ca="1">T_Facebook_Ads1159636771757983[[#This Row],[spend]]*RANDBETWEEN(8,12)/10</f>
        <v>127.10400000000001</v>
      </c>
      <c r="BA48">
        <f ca="1">ROUND(T_Facebook_Ads1159636771757983[[#This Row],[conversions]]*RANDBETWEEN(8,12)/10,0)</f>
        <v>12</v>
      </c>
      <c r="BB48">
        <f ca="1">ROUND(T_Facebook_Ads1159636771757983[[#This Row],[video_views]]*RANDBETWEEN(8,12)/10,0)</f>
        <v>7539</v>
      </c>
    </row>
    <row r="49" spans="1:54" ht="15.75" thickBot="1" x14ac:dyDescent="0.3">
      <c r="A49" s="3">
        <f t="shared" ca="1" si="5"/>
        <v>45168</v>
      </c>
      <c r="B49" s="4" t="s">
        <v>56</v>
      </c>
      <c r="C49" s="4" t="s">
        <v>57</v>
      </c>
      <c r="D49" s="4" t="s">
        <v>58</v>
      </c>
      <c r="E49" s="4" t="s">
        <v>59</v>
      </c>
      <c r="F49" s="4">
        <f ca="1">ROUND(T_Facebook_Ads[[#This Row],[impressions]]*RANDBETWEEN(8,12)/10,0)</f>
        <v>11601</v>
      </c>
      <c r="G49" s="4">
        <v>567</v>
      </c>
      <c r="H49" s="4">
        <f ca="1">T_Facebook_Ads[[#This Row],[spend]]*RANDBETWEEN(8,12)/10</f>
        <v>177.04000000000002</v>
      </c>
      <c r="I49" s="4">
        <f ca="1">ROUND(T_Facebook_Ads[[#This Row],[conversions]]*RANDBETWEEN(8,12)/10,0)</f>
        <v>44</v>
      </c>
      <c r="J49" s="4">
        <f ca="1">ROUND(T_Facebook_Ads[[#This Row],[video_views]]*RANDBETWEEN(8,12)/10,0)</f>
        <v>1076</v>
      </c>
      <c r="K49" s="4">
        <f ca="1">T_Facebook_Ads[[#This Row],[engagement_rate]]*RANDBETWEEN(8,12)/10</f>
        <v>4.3999999999999997E-2</v>
      </c>
      <c r="L49" s="4">
        <f ca="1">ROUND(T_Facebook_Ads[[#This Row],[reach]]*RANDBETWEEN(8,12)/10,0)</f>
        <v>9111</v>
      </c>
      <c r="M49" s="4">
        <f ca="1">T_Facebook_Ads[[#This Row],[frequency]]*RANDBETWEEN(8,12)/10</f>
        <v>1.397</v>
      </c>
      <c r="O49" s="3">
        <f t="shared" ca="1" si="6"/>
        <v>45166</v>
      </c>
      <c r="P49" s="4" t="s">
        <v>80</v>
      </c>
      <c r="Q49" s="4" t="s">
        <v>81</v>
      </c>
      <c r="R49" s="4" t="s">
        <v>82</v>
      </c>
      <c r="S49" s="4" t="s">
        <v>83</v>
      </c>
      <c r="T49" s="4">
        <f ca="1">ROUND(_Google_ads[[#This Row],[impressions]]*RANDBETWEEN(8,12)/10,0)</f>
        <v>43789</v>
      </c>
      <c r="U49" s="4">
        <f ca="1">ROUND(_Google_ads[[#This Row],[clicks]]*RANDBETWEEN(8,12)/10,0)</f>
        <v>1027</v>
      </c>
      <c r="V49" s="4">
        <f ca="1">_Google_ads[[#This Row],[cost]]*RANDBETWEEN(8,12)/10</f>
        <v>673.07999999999993</v>
      </c>
      <c r="W49" s="4">
        <f ca="1">ROUND(_Google_ads[[#This Row],[conversions]]*RANDBETWEEN(8,12)/10,0)</f>
        <v>22</v>
      </c>
      <c r="X49" s="4">
        <f ca="1">ROUND(_Google_ads[[#This Row],[conversion_value]]*RANDBETWEEN(8,12)/10,0)</f>
        <v>990</v>
      </c>
      <c r="Y49" s="4">
        <f ca="1">_Google_ads[[#This Row],[ctr]]*RANDBETWEEN(8,12)/10</f>
        <v>1.755E-2</v>
      </c>
      <c r="Z49" s="4">
        <f ca="1">_Google_ads[[#This Row],[avg_cpc]]*RANDBETWEEN(8,12)/10</f>
        <v>0.52800000000000002</v>
      </c>
      <c r="AA49" s="4">
        <f ca="1">ROUND(_Google_ads[[#This Row],[quality_score]]*RANDBETWEEN(8,12)/10,0)</f>
        <v>8</v>
      </c>
      <c r="AB49" s="4">
        <f ca="1">_Google_ads[[#This Row],[search_impression_share]]*RANDBETWEEN(8,12)/10</f>
        <v>0.48399999999999999</v>
      </c>
      <c r="AD49" s="3">
        <f t="shared" ca="1" si="7"/>
        <v>45168</v>
      </c>
      <c r="AE49" s="4" t="s">
        <v>104</v>
      </c>
      <c r="AF49" s="4" t="s">
        <v>105</v>
      </c>
      <c r="AG49" s="4" t="s">
        <v>106</v>
      </c>
      <c r="AH49" s="4" t="s">
        <v>107</v>
      </c>
      <c r="AI49" s="4">
        <f ca="1">ROUND(T_Tiktok_ads[[#This Row],[impressions]]*RANDBETWEEN(8,12)/10,0)</f>
        <v>156580</v>
      </c>
      <c r="AJ49" s="4">
        <f ca="1">ROUND(T_Tiktok_ads[[#This Row],[clicks]]*RANDBETWEEN(8,12)/10,0)</f>
        <v>2142</v>
      </c>
      <c r="AK49" s="4">
        <v>734.5</v>
      </c>
      <c r="AL49" s="4">
        <f ca="1">ROUND(T_Tiktok_ads[[#This Row],[conversions]]*RANDBETWEEN(8,12)/10,0)</f>
        <v>88</v>
      </c>
      <c r="AM49" s="4">
        <f ca="1">ROUND(T_Tiktok_ads[[#This Row],[video_views]]*RANDBETWEEN(8,12)/10,0)</f>
        <v>78312</v>
      </c>
      <c r="AN49" s="4">
        <f ca="1">ROUND(T_Tiktok_ads[[#This Row],[video_watch_25]]*RANDBETWEEN(8,12)/10,0)</f>
        <v>79580</v>
      </c>
      <c r="AO49" s="4">
        <f ca="1">ROUND(T_Tiktok_ads[[#This Row],[video_watch_50]]*RANDBETWEEN(8,12)/10,0)</f>
        <v>39121</v>
      </c>
      <c r="AP49" s="4">
        <f ca="1">ROUND(T_Tiktok_ads[[#This Row],[video_watch_75]]*RANDBETWEEN(8,12)/10,0)</f>
        <v>36789</v>
      </c>
      <c r="AQ49" s="4">
        <f ca="1">ROUND(T_Tiktok_ads[[#This Row],[video_watch_100]]*RANDBETWEEN(8,12)/10,0)</f>
        <v>29868</v>
      </c>
      <c r="AR49" s="4">
        <f ca="1">ROUND(T_Tiktok_ads[[#This Row],[likes]]*RANDBETWEEN(8,12)/10,0)</f>
        <v>3921</v>
      </c>
      <c r="AS49" s="4">
        <f ca="1">ROUND(T_Tiktok_ads[[#This Row],[shares]]*RANDBETWEEN(8,12)/10,0)</f>
        <v>1085</v>
      </c>
      <c r="AT49" s="4">
        <f ca="1">ROUND(T_Tiktok_ads[[#This Row],[comments]]*RANDBETWEEN(8,12)/10,0)</f>
        <v>205</v>
      </c>
      <c r="AV49" s="5">
        <f t="shared" ca="1" si="8"/>
        <v>45145</v>
      </c>
      <c r="AW49">
        <f t="shared" ca="1" si="4"/>
        <v>5</v>
      </c>
      <c r="AX49">
        <f ca="1">ROUND(T_Facebook_Ads1159636771757983[[#This Row],[impressions]]*RANDBETWEEN(8,12)/10,0)</f>
        <v>9281</v>
      </c>
      <c r="AY49">
        <f ca="1">ROUND(T_Facebook_Ads1159636771757983[[#This Row],[clicks]]*RANDBETWEEN(8,12)/10,0)</f>
        <v>680</v>
      </c>
      <c r="AZ49">
        <f ca="1">T_Facebook_Ads1159636771757983[[#This Row],[spend]]*RANDBETWEEN(8,12)/10</f>
        <v>141.63200000000001</v>
      </c>
      <c r="BA49">
        <f ca="1">ROUND(T_Facebook_Ads1159636771757983[[#This Row],[conversions]]*RANDBETWEEN(8,12)/10,0)</f>
        <v>44</v>
      </c>
      <c r="BB49">
        <f ca="1">ROUND(T_Facebook_Ads1159636771757983[[#This Row],[video_views]]*RANDBETWEEN(8,12)/10,0)</f>
        <v>968</v>
      </c>
    </row>
    <row r="50" spans="1:54" ht="15.75" thickBot="1" x14ac:dyDescent="0.3">
      <c r="A50" s="3">
        <f t="shared" ca="1" si="5"/>
        <v>45142</v>
      </c>
      <c r="B50" s="4" t="s">
        <v>60</v>
      </c>
      <c r="C50" s="4" t="s">
        <v>61</v>
      </c>
      <c r="D50" s="4" t="s">
        <v>62</v>
      </c>
      <c r="E50" s="4" t="s">
        <v>63</v>
      </c>
      <c r="F50" s="4">
        <f ca="1">ROUND(T_Facebook_Ads[[#This Row],[impressions]]*RANDBETWEEN(8,12)/10,0)</f>
        <v>32110</v>
      </c>
      <c r="G50" s="4">
        <v>1289</v>
      </c>
      <c r="H50" s="4">
        <f ca="1">T_Facebook_Ads[[#This Row],[spend]]*RANDBETWEEN(8,12)/10</f>
        <v>196.6</v>
      </c>
      <c r="I50" s="4">
        <f ca="1">ROUND(T_Facebook_Ads[[#This Row],[conversions]]*RANDBETWEEN(8,12)/10,0)</f>
        <v>25</v>
      </c>
      <c r="J50" s="4">
        <f ca="1">ROUND(T_Facebook_Ads[[#This Row],[video_views]]*RANDBETWEEN(8,12)/10,0)</f>
        <v>4678</v>
      </c>
      <c r="K50" s="4">
        <f ca="1">T_Facebook_Ads[[#This Row],[engagement_rate]]*RANDBETWEEN(8,12)/10</f>
        <v>2.8879999999999999E-2</v>
      </c>
      <c r="L50" s="4">
        <f ca="1">ROUND(T_Facebook_Ads[[#This Row],[reach]]*RANDBETWEEN(8,12)/10,0)</f>
        <v>32280</v>
      </c>
      <c r="M50" s="4">
        <f ca="1">T_Facebook_Ads[[#This Row],[frequency]]*RANDBETWEEN(8,12)/10</f>
        <v>1.22</v>
      </c>
      <c r="O50" s="3">
        <f t="shared" ca="1" si="6"/>
        <v>45161</v>
      </c>
      <c r="P50" s="4" t="s">
        <v>84</v>
      </c>
      <c r="Q50" s="4" t="s">
        <v>85</v>
      </c>
      <c r="R50" s="4" t="s">
        <v>86</v>
      </c>
      <c r="S50" s="4" t="s">
        <v>87</v>
      </c>
      <c r="T50" s="4">
        <f ca="1">ROUND(_Google_ads[[#This Row],[impressions]]*RANDBETWEEN(8,12)/10,0)</f>
        <v>67234</v>
      </c>
      <c r="U50" s="4">
        <f ca="1">ROUND(_Google_ads[[#This Row],[clicks]]*RANDBETWEEN(8,12)/10,0)</f>
        <v>2457</v>
      </c>
      <c r="V50" s="4">
        <f ca="1">_Google_ads[[#This Row],[cost]]*RANDBETWEEN(8,12)/10</f>
        <v>329.36</v>
      </c>
      <c r="W50" s="4">
        <f ca="1">ROUND(_Google_ads[[#This Row],[conversions]]*RANDBETWEEN(8,12)/10,0)</f>
        <v>65</v>
      </c>
      <c r="X50" s="4">
        <f ca="1">ROUND(_Google_ads[[#This Row],[conversion_value]]*RANDBETWEEN(8,12)/10,0)</f>
        <v>3250</v>
      </c>
      <c r="Y50" s="4">
        <f ca="1">_Google_ads[[#This Row],[ctr]]*RANDBETWEEN(8,12)/10</f>
        <v>2.988E-2</v>
      </c>
      <c r="Z50" s="4">
        <f ca="1">_Google_ads[[#This Row],[avg_cpc]]*RANDBETWEEN(8,12)/10</f>
        <v>0.18</v>
      </c>
      <c r="AA50" s="4">
        <f ca="1">ROUND(_Google_ads[[#This Row],[quality_score]]*RANDBETWEEN(8,12)/10,0)</f>
        <v>8</v>
      </c>
      <c r="AB50" s="4">
        <f ca="1">_Google_ads[[#This Row],[search_impression_share]]*RANDBETWEEN(8,12)/10</f>
        <v>0.79200000000000004</v>
      </c>
      <c r="AD50" s="3">
        <f t="shared" ca="1" si="7"/>
        <v>45148</v>
      </c>
      <c r="AE50" s="4" t="s">
        <v>108</v>
      </c>
      <c r="AF50" s="4" t="s">
        <v>109</v>
      </c>
      <c r="AG50" s="4" t="s">
        <v>110</v>
      </c>
      <c r="AH50" s="4" t="s">
        <v>111</v>
      </c>
      <c r="AI50" s="4">
        <f ca="1">ROUND(T_Tiktok_ads[[#This Row],[impressions]]*RANDBETWEEN(8,12)/10,0)</f>
        <v>254814</v>
      </c>
      <c r="AJ50" s="4">
        <f ca="1">ROUND(T_Tiktok_ads[[#This Row],[clicks]]*RANDBETWEEN(8,12)/10,0)</f>
        <v>3680</v>
      </c>
      <c r="AK50" s="4">
        <v>401.1</v>
      </c>
      <c r="AL50" s="4">
        <f ca="1">ROUND(T_Tiktok_ads[[#This Row],[conversions]]*RANDBETWEEN(8,12)/10,0)</f>
        <v>28</v>
      </c>
      <c r="AM50" s="4">
        <f ca="1">ROUND(T_Tiktok_ads[[#This Row],[video_views]]*RANDBETWEEN(8,12)/10,0)</f>
        <v>151101</v>
      </c>
      <c r="AN50" s="4">
        <f ca="1">ROUND(T_Tiktok_ads[[#This Row],[video_watch_25]]*RANDBETWEEN(8,12)/10,0)</f>
        <v>153881</v>
      </c>
      <c r="AO50" s="4">
        <f ca="1">ROUND(T_Tiktok_ads[[#This Row],[video_watch_50]]*RANDBETWEEN(8,12)/10,0)</f>
        <v>121481</v>
      </c>
      <c r="AP50" s="4">
        <f ca="1">ROUND(T_Tiktok_ads[[#This Row],[video_watch_75]]*RANDBETWEEN(8,12)/10,0)</f>
        <v>65234</v>
      </c>
      <c r="AQ50" s="4">
        <f ca="1">ROUND(T_Tiktok_ads[[#This Row],[video_watch_100]]*RANDBETWEEN(8,12)/10,0)</f>
        <v>43402</v>
      </c>
      <c r="AR50" s="4">
        <f ca="1">ROUND(T_Tiktok_ads[[#This Row],[likes]]*RANDBETWEEN(8,12)/10,0)</f>
        <v>8568</v>
      </c>
      <c r="AS50" s="4">
        <f ca="1">ROUND(T_Tiktok_ads[[#This Row],[shares]]*RANDBETWEEN(8,12)/10,0)</f>
        <v>2360</v>
      </c>
      <c r="AT50" s="4">
        <f ca="1">ROUND(T_Tiktok_ads[[#This Row],[comments]]*RANDBETWEEN(8,12)/10,0)</f>
        <v>512</v>
      </c>
      <c r="AV50" s="5">
        <f t="shared" ca="1" si="8"/>
        <v>45157</v>
      </c>
      <c r="AW50">
        <f t="shared" ca="1" si="4"/>
        <v>6</v>
      </c>
      <c r="AX50">
        <f ca="1">ROUND(T_Facebook_Ads1159636771757983[[#This Row],[impressions]]*RANDBETWEEN(8,12)/10,0)</f>
        <v>28899</v>
      </c>
      <c r="AY50">
        <f ca="1">ROUND(T_Facebook_Ads1159636771757983[[#This Row],[clicks]]*RANDBETWEEN(8,12)/10,0)</f>
        <v>1547</v>
      </c>
      <c r="AZ50">
        <f ca="1">T_Facebook_Ads1159636771757983[[#This Row],[spend]]*RANDBETWEEN(8,12)/10</f>
        <v>235.92</v>
      </c>
      <c r="BA50">
        <f ca="1">ROUND(T_Facebook_Ads1159636771757983[[#This Row],[conversions]]*RANDBETWEEN(8,12)/10,0)</f>
        <v>30</v>
      </c>
      <c r="BB50">
        <f ca="1">ROUND(T_Facebook_Ads1159636771757983[[#This Row],[video_views]]*RANDBETWEEN(8,12)/10,0)</f>
        <v>5614</v>
      </c>
    </row>
    <row r="51" spans="1:54" ht="15.75" thickBot="1" x14ac:dyDescent="0.3">
      <c r="A51" s="3">
        <f t="shared" ca="1" si="5"/>
        <v>45156</v>
      </c>
      <c r="B51" s="4" t="s">
        <v>64</v>
      </c>
      <c r="C51" s="4" t="s">
        <v>65</v>
      </c>
      <c r="D51" s="4" t="s">
        <v>66</v>
      </c>
      <c r="E51" s="4" t="s">
        <v>67</v>
      </c>
      <c r="F51" s="4">
        <f ca="1">ROUND(T_Facebook_Ads[[#This Row],[impressions]]*RANDBETWEEN(8,12)/10,0)</f>
        <v>61610</v>
      </c>
      <c r="G51" s="4">
        <v>248</v>
      </c>
      <c r="H51" s="4">
        <f ca="1">T_Facebook_Ads[[#This Row],[spend]]*RANDBETWEEN(8,12)/10</f>
        <v>105.11999999999998</v>
      </c>
      <c r="I51" s="4">
        <f ca="1">ROUND(T_Facebook_Ads[[#This Row],[conversions]]*RANDBETWEEN(8,12)/10,0)</f>
        <v>7</v>
      </c>
      <c r="J51" s="4">
        <f ca="1">ROUND(T_Facebook_Ads[[#This Row],[video_views]]*RANDBETWEEN(8,12)/10,0)</f>
        <v>50857</v>
      </c>
      <c r="K51" s="4">
        <f ca="1">T_Facebook_Ads[[#This Row],[engagement_rate]]*RANDBETWEEN(8,12)/10</f>
        <v>3.5999999999999999E-3</v>
      </c>
      <c r="L51" s="4">
        <f ca="1">ROUND(T_Facebook_Ads[[#This Row],[reach]]*RANDBETWEEN(8,12)/10,0)</f>
        <v>51110</v>
      </c>
      <c r="M51" s="4">
        <f ca="1">T_Facebook_Ads[[#This Row],[frequency]]*RANDBETWEEN(8,12)/10</f>
        <v>1.21</v>
      </c>
      <c r="O51" s="3">
        <f t="shared" ca="1" si="6"/>
        <v>45162</v>
      </c>
      <c r="P51" s="4" t="s">
        <v>88</v>
      </c>
      <c r="Q51" s="4" t="s">
        <v>89</v>
      </c>
      <c r="R51" s="4" t="s">
        <v>90</v>
      </c>
      <c r="S51" s="4" t="s">
        <v>59</v>
      </c>
      <c r="T51" s="4">
        <f ca="1">ROUND(_Google_ads[[#This Row],[impressions]]*RANDBETWEEN(8,12)/10,0)</f>
        <v>141791</v>
      </c>
      <c r="U51" s="4">
        <f ca="1">ROUND(_Google_ads[[#This Row],[clicks]]*RANDBETWEEN(8,12)/10,0)</f>
        <v>374</v>
      </c>
      <c r="V51" s="4">
        <f ca="1">_Google_ads[[#This Row],[cost]]*RANDBETWEEN(8,12)/10</f>
        <v>114.03</v>
      </c>
      <c r="W51" s="4">
        <f ca="1">ROUND(_Google_ads[[#This Row],[conversions]]*RANDBETWEEN(8,12)/10,0)</f>
        <v>13</v>
      </c>
      <c r="X51" s="4">
        <f ca="1">ROUND(_Google_ads[[#This Row],[conversion_value]]*RANDBETWEEN(8,12)/10,0)</f>
        <v>520</v>
      </c>
      <c r="Y51" s="4">
        <f ca="1">_Google_ads[[#This Row],[ctr]]*RANDBETWEEN(8,12)/10</f>
        <v>3.2399999999999998E-3</v>
      </c>
      <c r="Z51" s="4">
        <f ca="1">_Google_ads[[#This Row],[avg_cpc]]*RANDBETWEEN(8,12)/10</f>
        <v>0.24300000000000002</v>
      </c>
      <c r="AA51" s="4">
        <f ca="1">ROUND(_Google_ads[[#This Row],[quality_score]]*RANDBETWEEN(8,12)/10,0)</f>
        <v>7</v>
      </c>
      <c r="AB51" s="4">
        <f ca="1">_Google_ads[[#This Row],[search_impression_share]]*RANDBETWEEN(8,12)/10</f>
        <v>0.34</v>
      </c>
      <c r="AD51" s="3">
        <f t="shared" ca="1" si="7"/>
        <v>45160</v>
      </c>
      <c r="AE51" s="4" t="s">
        <v>112</v>
      </c>
      <c r="AF51" s="4" t="s">
        <v>113</v>
      </c>
      <c r="AG51" s="4" t="s">
        <v>114</v>
      </c>
      <c r="AH51" s="4" t="s">
        <v>115</v>
      </c>
      <c r="AI51" s="4">
        <f ca="1">ROUND(T_Tiktok_ads[[#This Row],[impressions]]*RANDBETWEEN(8,12)/10,0)</f>
        <v>454681</v>
      </c>
      <c r="AJ51" s="4">
        <f ca="1">ROUND(T_Tiktok_ads[[#This Row],[clicks]]*RANDBETWEEN(8,12)/10,0)</f>
        <v>4898</v>
      </c>
      <c r="AK51" s="4">
        <v>945.6</v>
      </c>
      <c r="AL51" s="4">
        <f ca="1">ROUND(T_Tiktok_ads[[#This Row],[conversions]]*RANDBETWEEN(8,12)/10,0)</f>
        <v>77</v>
      </c>
      <c r="AM51" s="4">
        <f ca="1">ROUND(T_Tiktok_ads[[#This Row],[video_views]]*RANDBETWEEN(8,12)/10,0)</f>
        <v>312345</v>
      </c>
      <c r="AN51" s="4">
        <f ca="1">ROUND(T_Tiktok_ads[[#This Row],[video_watch_25]]*RANDBETWEEN(8,12)/10,0)</f>
        <v>276357</v>
      </c>
      <c r="AO51" s="4">
        <f ca="1">ROUND(T_Tiktok_ads[[#This Row],[video_watch_50]]*RANDBETWEEN(8,12)/10,0)</f>
        <v>160987</v>
      </c>
      <c r="AP51" s="4">
        <f ca="1">ROUND(T_Tiktok_ads[[#This Row],[video_watch_75]]*RANDBETWEEN(8,12)/10,0)</f>
        <v>157802</v>
      </c>
      <c r="AQ51" s="4">
        <f ca="1">ROUND(T_Tiktok_ads[[#This Row],[video_watch_100]]*RANDBETWEEN(8,12)/10,0)</f>
        <v>114281</v>
      </c>
      <c r="AR51" s="4">
        <f ca="1">ROUND(T_Tiktok_ads[[#This Row],[likes]]*RANDBETWEEN(8,12)/10,0)</f>
        <v>18224</v>
      </c>
      <c r="AS51" s="4">
        <f ca="1">ROUND(T_Tiktok_ads[[#This Row],[shares]]*RANDBETWEEN(8,12)/10,0)</f>
        <v>4823</v>
      </c>
      <c r="AT51" s="4">
        <f ca="1">ROUND(T_Tiktok_ads[[#This Row],[comments]]*RANDBETWEEN(8,12)/10,0)</f>
        <v>1181</v>
      </c>
      <c r="AV51" s="5">
        <f t="shared" ca="1" si="8"/>
        <v>45145</v>
      </c>
      <c r="AW51">
        <f t="shared" ca="1" si="4"/>
        <v>1</v>
      </c>
      <c r="AX51">
        <f ca="1">ROUND(T_Facebook_Ads1159636771757983[[#This Row],[impressions]]*RANDBETWEEN(8,12)/10,0)</f>
        <v>55449</v>
      </c>
      <c r="AY51">
        <f ca="1">ROUND(T_Facebook_Ads1159636771757983[[#This Row],[clicks]]*RANDBETWEEN(8,12)/10,0)</f>
        <v>273</v>
      </c>
      <c r="AZ51">
        <f ca="1">T_Facebook_Ads1159636771757983[[#This Row],[spend]]*RANDBETWEEN(8,12)/10</f>
        <v>94.607999999999976</v>
      </c>
      <c r="BA51">
        <f ca="1">ROUND(T_Facebook_Ads1159636771757983[[#This Row],[conversions]]*RANDBETWEEN(8,12)/10,0)</f>
        <v>8</v>
      </c>
      <c r="BB51">
        <f ca="1">ROUND(T_Facebook_Ads1159636771757983[[#This Row],[video_views]]*RANDBETWEEN(8,12)/10,0)</f>
        <v>50857</v>
      </c>
    </row>
    <row r="52" spans="1:54" ht="15.75" thickBot="1" x14ac:dyDescent="0.3">
      <c r="A52" s="3">
        <f t="shared" ca="1" si="5"/>
        <v>45140</v>
      </c>
      <c r="B52" s="4" t="s">
        <v>52</v>
      </c>
      <c r="C52" s="4" t="s">
        <v>53</v>
      </c>
      <c r="D52" s="4" t="s">
        <v>54</v>
      </c>
      <c r="E52" s="4" t="s">
        <v>55</v>
      </c>
      <c r="F52" s="4">
        <f ca="1">ROUND(T_Facebook_Ads[[#This Row],[impressions]]*RANDBETWEEN(8,12)/10,0)</f>
        <v>50234</v>
      </c>
      <c r="G52" s="4">
        <v>1023</v>
      </c>
      <c r="H52" s="4">
        <f ca="1">T_Facebook_Ads[[#This Row],[spend]]*RANDBETWEEN(8,12)/10</f>
        <v>172.56</v>
      </c>
      <c r="I52" s="4">
        <f ca="1">ROUND(T_Facebook_Ads[[#This Row],[conversions]]*RANDBETWEEN(8,12)/10,0)</f>
        <v>13</v>
      </c>
      <c r="J52" s="4">
        <f ca="1">ROUND(T_Facebook_Ads[[#This Row],[video_views]]*RANDBETWEEN(8,12)/10,0)</f>
        <v>7387</v>
      </c>
      <c r="K52" s="4">
        <f ca="1">T_Facebook_Ads[[#This Row],[engagement_rate]]*RANDBETWEEN(8,12)/10</f>
        <v>2.2440000000000002E-2</v>
      </c>
      <c r="L52" s="4">
        <f ca="1">ROUND(T_Facebook_Ads[[#This Row],[reach]]*RANDBETWEEN(8,12)/10,0)</f>
        <v>42345</v>
      </c>
      <c r="M52" s="4">
        <f ca="1">T_Facebook_Ads[[#This Row],[frequency]]*RANDBETWEEN(8,12)/10</f>
        <v>1.4279999999999999</v>
      </c>
      <c r="O52" s="3">
        <f t="shared" ca="1" si="6"/>
        <v>45143</v>
      </c>
      <c r="P52" s="4" t="s">
        <v>76</v>
      </c>
      <c r="Q52" s="4" t="s">
        <v>77</v>
      </c>
      <c r="R52" s="4" t="s">
        <v>78</v>
      </c>
      <c r="S52" s="4" t="s">
        <v>79</v>
      </c>
      <c r="T52" s="4">
        <f ca="1">ROUND(_Google_ads[[#This Row],[impressions]]*RANDBETWEEN(8,12)/10,0)</f>
        <v>30547</v>
      </c>
      <c r="U52" s="4">
        <f ca="1">ROUND(_Google_ads[[#This Row],[clicks]]*RANDBETWEEN(8,12)/10,0)</f>
        <v>1345</v>
      </c>
      <c r="V52" s="4">
        <f ca="1">_Google_ads[[#This Row],[cost]]*RANDBETWEEN(8,12)/10</f>
        <v>205.84</v>
      </c>
      <c r="W52" s="4">
        <f ca="1">ROUND(_Google_ads[[#This Row],[conversions]]*RANDBETWEEN(8,12)/10,0)</f>
        <v>46</v>
      </c>
      <c r="X52" s="4">
        <f ca="1">ROUND(_Google_ads[[#This Row],[conversion_value]]*RANDBETWEEN(8,12)/10,0)</f>
        <v>2550</v>
      </c>
      <c r="Y52" s="4">
        <f ca="1">_Google_ads[[#This Row],[ctr]]*RANDBETWEEN(8,12)/10</f>
        <v>6.336E-2</v>
      </c>
      <c r="Z52" s="4">
        <f ca="1">_Google_ads[[#This Row],[avg_cpc]]*RANDBETWEEN(8,12)/10</f>
        <v>0.20899999999999999</v>
      </c>
      <c r="AA52" s="4">
        <f ca="1">ROUND(_Google_ads[[#This Row],[quality_score]]*RANDBETWEEN(8,12)/10,0)</f>
        <v>7</v>
      </c>
      <c r="AB52" s="4">
        <f ca="1">_Google_ads[[#This Row],[search_impression_share]]*RANDBETWEEN(8,12)/10</f>
        <v>1.012</v>
      </c>
      <c r="AD52" s="3">
        <f t="shared" ca="1" si="7"/>
        <v>45144</v>
      </c>
      <c r="AE52" s="4" t="s">
        <v>100</v>
      </c>
      <c r="AF52" s="4" t="s">
        <v>101</v>
      </c>
      <c r="AG52" s="4" t="s">
        <v>102</v>
      </c>
      <c r="AH52" s="4" t="s">
        <v>103</v>
      </c>
      <c r="AI52" s="4">
        <f ca="1">ROUND(T_Tiktok_ads[[#This Row],[impressions]]*RANDBETWEEN(8,12)/10,0)</f>
        <v>289012</v>
      </c>
      <c r="AJ52" s="4">
        <f ca="1">ROUND(T_Tiktok_ads[[#This Row],[clicks]]*RANDBETWEEN(8,12)/10,0)</f>
        <v>4234</v>
      </c>
      <c r="AK52" s="4">
        <v>556.70000000000005</v>
      </c>
      <c r="AL52" s="4">
        <f ca="1">ROUND(T_Tiktok_ads[[#This Row],[conversions]]*RANDBETWEEN(8,12)/10,0)</f>
        <v>52</v>
      </c>
      <c r="AM52" s="4">
        <f ca="1">ROUND(T_Tiktok_ads[[#This Row],[video_views]]*RANDBETWEEN(8,12)/10,0)</f>
        <v>234567</v>
      </c>
      <c r="AN52" s="4">
        <f ca="1">ROUND(T_Tiktok_ads[[#This Row],[video_watch_25]]*RANDBETWEEN(8,12)/10,0)</f>
        <v>164111</v>
      </c>
      <c r="AO52" s="4">
        <f ca="1">ROUND(T_Tiktok_ads[[#This Row],[video_watch_50]]*RANDBETWEEN(8,12)/10,0)</f>
        <v>137480</v>
      </c>
      <c r="AP52" s="4">
        <f ca="1">ROUND(T_Tiktok_ads[[#This Row],[video_watch_75]]*RANDBETWEEN(8,12)/10,0)</f>
        <v>69511</v>
      </c>
      <c r="AQ52" s="4">
        <f ca="1">ROUND(T_Tiktok_ads[[#This Row],[video_watch_100]]*RANDBETWEEN(8,12)/10,0)</f>
        <v>51234</v>
      </c>
      <c r="AR52" s="4">
        <f ca="1">ROUND(T_Tiktok_ads[[#This Row],[likes]]*RANDBETWEEN(8,12)/10,0)</f>
        <v>12414</v>
      </c>
      <c r="AS52" s="4">
        <f ca="1">ROUND(T_Tiktok_ads[[#This Row],[shares]]*RANDBETWEEN(8,12)/10,0)</f>
        <v>3068</v>
      </c>
      <c r="AT52" s="4">
        <f ca="1">ROUND(T_Tiktok_ads[[#This Row],[comments]]*RANDBETWEEN(8,12)/10,0)</f>
        <v>787</v>
      </c>
      <c r="AV52" s="5">
        <f t="shared" ca="1" si="8"/>
        <v>45139</v>
      </c>
      <c r="AW52">
        <f t="shared" ca="1" si="4"/>
        <v>7</v>
      </c>
      <c r="AX52">
        <f ca="1">ROUND(T_Facebook_Ads1159636771757983[[#This Row],[impressions]]*RANDBETWEEN(8,12)/10,0)</f>
        <v>55257</v>
      </c>
      <c r="AY52">
        <f ca="1">ROUND(T_Facebook_Ads1159636771757983[[#This Row],[clicks]]*RANDBETWEEN(8,12)/10,0)</f>
        <v>1228</v>
      </c>
      <c r="AZ52">
        <f ca="1">T_Facebook_Ads1159636771757983[[#This Row],[spend]]*RANDBETWEEN(8,12)/10</f>
        <v>155.304</v>
      </c>
      <c r="BA52">
        <f ca="1">ROUND(T_Facebook_Ads1159636771757983[[#This Row],[conversions]]*RANDBETWEEN(8,12)/10,0)</f>
        <v>12</v>
      </c>
      <c r="BB52">
        <f ca="1">ROUND(T_Facebook_Ads1159636771757983[[#This Row],[video_views]]*RANDBETWEEN(8,12)/10,0)</f>
        <v>8126</v>
      </c>
    </row>
    <row r="53" spans="1:54" ht="15.75" thickBot="1" x14ac:dyDescent="0.3">
      <c r="A53" s="3">
        <f t="shared" ca="1" si="5"/>
        <v>45140</v>
      </c>
      <c r="B53" s="4" t="s">
        <v>56</v>
      </c>
      <c r="C53" s="4" t="s">
        <v>57</v>
      </c>
      <c r="D53" s="4" t="s">
        <v>58</v>
      </c>
      <c r="E53" s="4" t="s">
        <v>59</v>
      </c>
      <c r="F53" s="4">
        <f ca="1">ROUND(T_Facebook_Ads[[#This Row],[impressions]]*RANDBETWEEN(8,12)/10,0)</f>
        <v>11387</v>
      </c>
      <c r="G53" s="4">
        <v>678</v>
      </c>
      <c r="H53" s="4">
        <f ca="1">T_Facebook_Ads[[#This Row],[spend]]*RANDBETWEEN(8,12)/10</f>
        <v>248.5</v>
      </c>
      <c r="I53" s="4">
        <f ca="1">ROUND(T_Facebook_Ads[[#This Row],[conversions]]*RANDBETWEEN(8,12)/10,0)</f>
        <v>46</v>
      </c>
      <c r="J53" s="4">
        <f ca="1">ROUND(T_Facebook_Ads[[#This Row],[video_views]]*RANDBETWEEN(8,12)/10,0)</f>
        <v>1724</v>
      </c>
      <c r="K53" s="4">
        <f ca="1">T_Facebook_Ads[[#This Row],[engagement_rate]]*RANDBETWEEN(8,12)/10</f>
        <v>5.2469999999999996E-2</v>
      </c>
      <c r="L53" s="4">
        <f ca="1">ROUND(T_Facebook_Ads[[#This Row],[reach]]*RANDBETWEEN(8,12)/10,0)</f>
        <v>12357</v>
      </c>
      <c r="M53" s="4">
        <f ca="1">T_Facebook_Ads[[#This Row],[frequency]]*RANDBETWEEN(8,12)/10</f>
        <v>1.27</v>
      </c>
      <c r="O53" s="3">
        <f t="shared" ca="1" si="6"/>
        <v>45143</v>
      </c>
      <c r="P53" s="4" t="s">
        <v>80</v>
      </c>
      <c r="Q53" s="4" t="s">
        <v>81</v>
      </c>
      <c r="R53" s="4" t="s">
        <v>82</v>
      </c>
      <c r="S53" s="4" t="s">
        <v>83</v>
      </c>
      <c r="T53" s="4">
        <f ca="1">ROUND(_Google_ads[[#This Row],[impressions]]*RANDBETWEEN(8,12)/10,0)</f>
        <v>54814</v>
      </c>
      <c r="U53" s="4">
        <f ca="1">ROUND(_Google_ads[[#This Row],[clicks]]*RANDBETWEEN(8,12)/10,0)</f>
        <v>721</v>
      </c>
      <c r="V53" s="4">
        <f ca="1">_Google_ads[[#This Row],[cost]]*RANDBETWEEN(8,12)/10</f>
        <v>701.4</v>
      </c>
      <c r="W53" s="4">
        <f ca="1">ROUND(_Google_ads[[#This Row],[conversions]]*RANDBETWEEN(8,12)/10,0)</f>
        <v>26</v>
      </c>
      <c r="X53" s="4">
        <f ca="1">ROUND(_Google_ads[[#This Row],[conversion_value]]*RANDBETWEEN(8,12)/10,0)</f>
        <v>1320</v>
      </c>
      <c r="Y53" s="4">
        <f ca="1">_Google_ads[[#This Row],[ctr]]*RANDBETWEEN(8,12)/10</f>
        <v>2.3640000000000001E-2</v>
      </c>
      <c r="Z53" s="4">
        <f ca="1">_Google_ads[[#This Row],[avg_cpc]]*RANDBETWEEN(8,12)/10</f>
        <v>0.52</v>
      </c>
      <c r="AA53" s="4">
        <f ca="1">ROUND(_Google_ads[[#This Row],[quality_score]]*RANDBETWEEN(8,12)/10,0)</f>
        <v>8</v>
      </c>
      <c r="AB53" s="4">
        <f ca="1">_Google_ads[[#This Row],[search_impression_share]]*RANDBETWEEN(8,12)/10</f>
        <v>0.40499999999999997</v>
      </c>
      <c r="AD53" s="3">
        <f t="shared" ca="1" si="7"/>
        <v>45161</v>
      </c>
      <c r="AE53" s="4" t="s">
        <v>104</v>
      </c>
      <c r="AF53" s="4" t="s">
        <v>105</v>
      </c>
      <c r="AG53" s="4" t="s">
        <v>106</v>
      </c>
      <c r="AH53" s="4" t="s">
        <v>107</v>
      </c>
      <c r="AI53" s="4">
        <f ca="1">ROUND(T_Tiktok_ads[[#This Row],[impressions]]*RANDBETWEEN(8,12)/10,0)</f>
        <v>125431</v>
      </c>
      <c r="AJ53" s="4">
        <f ca="1">ROUND(T_Tiktok_ads[[#This Row],[clicks]]*RANDBETWEEN(8,12)/10,0)</f>
        <v>2410</v>
      </c>
      <c r="AK53" s="4">
        <v>812.3</v>
      </c>
      <c r="AL53" s="4">
        <f ca="1">ROUND(T_Tiktok_ads[[#This Row],[conversions]]*RANDBETWEEN(8,12)/10,0)</f>
        <v>98</v>
      </c>
      <c r="AM53" s="4">
        <f ca="1">ROUND(T_Tiktok_ads[[#This Row],[video_views]]*RANDBETWEEN(8,12)/10,0)</f>
        <v>87901</v>
      </c>
      <c r="AN53" s="4">
        <f ca="1">ROUND(T_Tiktok_ads[[#This Row],[video_watch_25]]*RANDBETWEEN(8,12)/10,0)</f>
        <v>97481</v>
      </c>
      <c r="AO53" s="4">
        <f ca="1">ROUND(T_Tiktok_ads[[#This Row],[video_watch_50]]*RANDBETWEEN(8,12)/10,0)</f>
        <v>49210</v>
      </c>
      <c r="AP53" s="4">
        <f ca="1">ROUND(T_Tiktok_ads[[#This Row],[video_watch_75]]*RANDBETWEEN(8,12)/10,0)</f>
        <v>49481</v>
      </c>
      <c r="AQ53" s="4">
        <f ca="1">ROUND(T_Tiktok_ads[[#This Row],[video_watch_100]]*RANDBETWEEN(8,12)/10,0)</f>
        <v>24810</v>
      </c>
      <c r="AR53" s="4">
        <f ca="1">ROUND(T_Tiktok_ads[[#This Row],[likes]]*RANDBETWEEN(8,12)/10,0)</f>
        <v>4365</v>
      </c>
      <c r="AS53" s="4">
        <f ca="1">ROUND(T_Tiktok_ads[[#This Row],[shares]]*RANDBETWEEN(8,12)/10,0)</f>
        <v>1410</v>
      </c>
      <c r="AT53" s="4">
        <f ca="1">ROUND(T_Tiktok_ads[[#This Row],[comments]]*RANDBETWEEN(8,12)/10,0)</f>
        <v>289</v>
      </c>
      <c r="AV53" s="5">
        <f t="shared" ca="1" si="8"/>
        <v>45156</v>
      </c>
      <c r="AW53">
        <f t="shared" ca="1" si="4"/>
        <v>7</v>
      </c>
      <c r="AX53">
        <f ca="1">ROUND(T_Facebook_Ads1159636771757983[[#This Row],[impressions]]*RANDBETWEEN(8,12)/10,0)</f>
        <v>12526</v>
      </c>
      <c r="AY53">
        <f ca="1">ROUND(T_Facebook_Ads1159636771757983[[#This Row],[clicks]]*RANDBETWEEN(8,12)/10,0)</f>
        <v>814</v>
      </c>
      <c r="AZ53">
        <f ca="1">T_Facebook_Ads1159636771757983[[#This Row],[spend]]*RANDBETWEEN(8,12)/10</f>
        <v>273.35000000000002</v>
      </c>
      <c r="BA53">
        <f ca="1">ROUND(T_Facebook_Ads1159636771757983[[#This Row],[conversions]]*RANDBETWEEN(8,12)/10,0)</f>
        <v>46</v>
      </c>
      <c r="BB53">
        <f ca="1">ROUND(T_Facebook_Ads1159636771757983[[#This Row],[video_views]]*RANDBETWEEN(8,12)/10,0)</f>
        <v>1552</v>
      </c>
    </row>
    <row r="54" spans="1:54" ht="15.75" thickBot="1" x14ac:dyDescent="0.3">
      <c r="A54" s="3">
        <f t="shared" ca="1" si="5"/>
        <v>45155</v>
      </c>
      <c r="B54" s="4" t="s">
        <v>60</v>
      </c>
      <c r="C54" s="4" t="s">
        <v>61</v>
      </c>
      <c r="D54" s="4" t="s">
        <v>62</v>
      </c>
      <c r="E54" s="4" t="s">
        <v>63</v>
      </c>
      <c r="F54" s="4">
        <f ca="1">ROUND(T_Facebook_Ads[[#This Row],[impressions]]*RANDBETWEEN(8,12)/10,0)</f>
        <v>46147</v>
      </c>
      <c r="G54" s="4">
        <v>1423</v>
      </c>
      <c r="H54" s="4">
        <f ca="1">T_Facebook_Ads[[#This Row],[spend]]*RANDBETWEEN(8,12)/10</f>
        <v>240.57</v>
      </c>
      <c r="I54" s="4">
        <f ca="1">ROUND(T_Facebook_Ads[[#This Row],[conversions]]*RANDBETWEEN(8,12)/10,0)</f>
        <v>24</v>
      </c>
      <c r="J54" s="4">
        <f ca="1">ROUND(T_Facebook_Ads[[#This Row],[video_views]]*RANDBETWEEN(8,12)/10,0)</f>
        <v>4098</v>
      </c>
      <c r="K54" s="4">
        <f ca="1">T_Facebook_Ads[[#This Row],[engagement_rate]]*RANDBETWEEN(8,12)/10</f>
        <v>4.07E-2</v>
      </c>
      <c r="L54" s="4">
        <f ca="1">ROUND(T_Facebook_Ads[[#This Row],[reach]]*RANDBETWEEN(8,12)/10,0)</f>
        <v>31234</v>
      </c>
      <c r="M54" s="4">
        <f ca="1">T_Facebook_Ads[[#This Row],[frequency]]*RANDBETWEEN(8,12)/10</f>
        <v>1.476</v>
      </c>
      <c r="O54" s="3">
        <f t="shared" ca="1" si="6"/>
        <v>45147</v>
      </c>
      <c r="P54" s="4" t="s">
        <v>84</v>
      </c>
      <c r="Q54" s="4" t="s">
        <v>85</v>
      </c>
      <c r="R54" s="4" t="s">
        <v>86</v>
      </c>
      <c r="S54" s="4" t="s">
        <v>87</v>
      </c>
      <c r="T54" s="4">
        <f ca="1">ROUND(_Google_ads[[#This Row],[impressions]]*RANDBETWEEN(8,12)/10,0)</f>
        <v>70123</v>
      </c>
      <c r="U54" s="4">
        <f ca="1">ROUND(_Google_ads[[#This Row],[clicks]]*RANDBETWEEN(8,12)/10,0)</f>
        <v>2854</v>
      </c>
      <c r="V54" s="4">
        <f ca="1">_Google_ads[[#This Row],[cost]]*RANDBETWEEN(8,12)/10</f>
        <v>392.22</v>
      </c>
      <c r="W54" s="4">
        <f ca="1">ROUND(_Google_ads[[#This Row],[conversions]]*RANDBETWEEN(8,12)/10,0)</f>
        <v>62</v>
      </c>
      <c r="X54" s="4">
        <f ca="1">ROUND(_Google_ads[[#This Row],[conversion_value]]*RANDBETWEEN(8,12)/10,0)</f>
        <v>4140</v>
      </c>
      <c r="Y54" s="4">
        <f ca="1">_Google_ads[[#This Row],[ctr]]*RANDBETWEEN(8,12)/10</f>
        <v>4.0680000000000001E-2</v>
      </c>
      <c r="Z54" s="4">
        <f ca="1">_Google_ads[[#This Row],[avg_cpc]]*RANDBETWEEN(8,12)/10</f>
        <v>0.14399999999999999</v>
      </c>
      <c r="AA54" s="4">
        <f ca="1">ROUND(_Google_ads[[#This Row],[quality_score]]*RANDBETWEEN(8,12)/10,0)</f>
        <v>8</v>
      </c>
      <c r="AB54" s="4">
        <f ca="1">_Google_ads[[#This Row],[search_impression_share]]*RANDBETWEEN(8,12)/10</f>
        <v>0.80400000000000005</v>
      </c>
      <c r="AD54" s="3">
        <f t="shared" ca="1" si="7"/>
        <v>45158</v>
      </c>
      <c r="AE54" s="4" t="s">
        <v>108</v>
      </c>
      <c r="AF54" s="4" t="s">
        <v>109</v>
      </c>
      <c r="AG54" s="4" t="s">
        <v>110</v>
      </c>
      <c r="AH54" s="4" t="s">
        <v>111</v>
      </c>
      <c r="AI54" s="4">
        <f ca="1">ROUND(T_Tiktok_ads[[#This Row],[impressions]]*RANDBETWEEN(8,12)/10,0)</f>
        <v>245678</v>
      </c>
      <c r="AJ54" s="4">
        <f ca="1">ROUND(T_Tiktok_ads[[#This Row],[clicks]]*RANDBETWEEN(8,12)/10,0)</f>
        <v>4279</v>
      </c>
      <c r="AK54" s="4">
        <v>467.8</v>
      </c>
      <c r="AL54" s="4">
        <f ca="1">ROUND(T_Tiktok_ads[[#This Row],[conversions]]*RANDBETWEEN(8,12)/10,0)</f>
        <v>31</v>
      </c>
      <c r="AM54" s="4">
        <f ca="1">ROUND(T_Tiktok_ads[[#This Row],[video_views]]*RANDBETWEEN(8,12)/10,0)</f>
        <v>195678</v>
      </c>
      <c r="AN54" s="4">
        <f ca="1">ROUND(T_Tiktok_ads[[#This Row],[video_watch_25]]*RANDBETWEEN(8,12)/10,0)</f>
        <v>148234</v>
      </c>
      <c r="AO54" s="4">
        <f ca="1">ROUND(T_Tiktok_ads[[#This Row],[video_watch_50]]*RANDBETWEEN(8,12)/10,0)</f>
        <v>128957</v>
      </c>
      <c r="AP54" s="4">
        <f ca="1">ROUND(T_Tiktok_ads[[#This Row],[video_watch_75]]*RANDBETWEEN(8,12)/10,0)</f>
        <v>90281</v>
      </c>
      <c r="AQ54" s="4">
        <f ca="1">ROUND(T_Tiktok_ads[[#This Row],[video_watch_100]]*RANDBETWEEN(8,12)/10,0)</f>
        <v>50368</v>
      </c>
      <c r="AR54" s="4">
        <f ca="1">ROUND(T_Tiktok_ads[[#This Row],[likes]]*RANDBETWEEN(8,12)/10,0)</f>
        <v>9424</v>
      </c>
      <c r="AS54" s="4">
        <f ca="1">ROUND(T_Tiktok_ads[[#This Row],[shares]]*RANDBETWEEN(8,12)/10,0)</f>
        <v>1876</v>
      </c>
      <c r="AT54" s="4">
        <f ca="1">ROUND(T_Tiktok_ads[[#This Row],[comments]]*RANDBETWEEN(8,12)/10,0)</f>
        <v>624</v>
      </c>
      <c r="AV54" s="5">
        <f t="shared" ca="1" si="8"/>
        <v>45168</v>
      </c>
      <c r="AW54">
        <f t="shared" ca="1" si="4"/>
        <v>5</v>
      </c>
      <c r="AX54">
        <f ca="1">ROUND(T_Facebook_Ads1159636771757983[[#This Row],[impressions]]*RANDBETWEEN(8,12)/10,0)</f>
        <v>50762</v>
      </c>
      <c r="AY54">
        <f ca="1">ROUND(T_Facebook_Ads1159636771757983[[#This Row],[clicks]]*RANDBETWEEN(8,12)/10,0)</f>
        <v>1281</v>
      </c>
      <c r="AZ54">
        <f ca="1">T_Facebook_Ads1159636771757983[[#This Row],[spend]]*RANDBETWEEN(8,12)/10</f>
        <v>240.57</v>
      </c>
      <c r="BA54">
        <f ca="1">ROUND(T_Facebook_Ads1159636771757983[[#This Row],[conversions]]*RANDBETWEEN(8,12)/10,0)</f>
        <v>29</v>
      </c>
      <c r="BB54">
        <f ca="1">ROUND(T_Facebook_Ads1159636771757983[[#This Row],[video_views]]*RANDBETWEEN(8,12)/10,0)</f>
        <v>4508</v>
      </c>
    </row>
    <row r="55" spans="1:54" ht="15.75" thickBot="1" x14ac:dyDescent="0.3">
      <c r="A55" s="3">
        <f t="shared" ca="1" si="5"/>
        <v>45159</v>
      </c>
      <c r="B55" s="4" t="s">
        <v>64</v>
      </c>
      <c r="C55" s="4" t="s">
        <v>65</v>
      </c>
      <c r="D55" s="4" t="s">
        <v>66</v>
      </c>
      <c r="E55" s="4" t="s">
        <v>67</v>
      </c>
      <c r="F55" s="4">
        <f ca="1">ROUND(T_Facebook_Ads[[#This Row],[impressions]]*RANDBETWEEN(8,12)/10,0)</f>
        <v>88147</v>
      </c>
      <c r="G55" s="4">
        <v>267</v>
      </c>
      <c r="H55" s="4">
        <f ca="1">T_Facebook_Ads[[#This Row],[spend]]*RANDBETWEEN(8,12)/10</f>
        <v>113.04</v>
      </c>
      <c r="I55" s="4">
        <f ca="1">ROUND(T_Facebook_Ads[[#This Row],[conversions]]*RANDBETWEEN(8,12)/10,0)</f>
        <v>6</v>
      </c>
      <c r="J55" s="4">
        <f ca="1">ROUND(T_Facebook_Ads[[#This Row],[video_views]]*RANDBETWEEN(8,12)/10,0)</f>
        <v>49890</v>
      </c>
      <c r="K55" s="4">
        <f ca="1">T_Facebook_Ads[[#This Row],[engagement_rate]]*RANDBETWEEN(8,12)/10</f>
        <v>2.8799999999999997E-3</v>
      </c>
      <c r="L55" s="4">
        <f ca="1">ROUND(T_Facebook_Ads[[#This Row],[reach]]*RANDBETWEEN(8,12)/10,0)</f>
        <v>71480</v>
      </c>
      <c r="M55" s="4">
        <f ca="1">T_Facebook_Ads[[#This Row],[frequency]]*RANDBETWEEN(8,12)/10</f>
        <v>1.1160000000000001</v>
      </c>
      <c r="O55" s="3">
        <f t="shared" ca="1" si="6"/>
        <v>45169</v>
      </c>
      <c r="P55" s="4" t="s">
        <v>88</v>
      </c>
      <c r="Q55" s="4" t="s">
        <v>89</v>
      </c>
      <c r="R55" s="4" t="s">
        <v>90</v>
      </c>
      <c r="S55" s="4" t="s">
        <v>59</v>
      </c>
      <c r="T55" s="4">
        <f ca="1">ROUND(_Google_ads[[#This Row],[impressions]]*RANDBETWEEN(8,12)/10,0)</f>
        <v>119310</v>
      </c>
      <c r="U55" s="4">
        <f ca="1">ROUND(_Google_ads[[#This Row],[clicks]]*RANDBETWEEN(8,12)/10,0)</f>
        <v>440</v>
      </c>
      <c r="V55" s="4">
        <f ca="1">_Google_ads[[#This Row],[cost]]*RANDBETWEEN(8,12)/10</f>
        <v>104.4</v>
      </c>
      <c r="W55" s="4">
        <f ca="1">ROUND(_Google_ads[[#This Row],[conversions]]*RANDBETWEEN(8,12)/10,0)</f>
        <v>13</v>
      </c>
      <c r="X55" s="4">
        <f ca="1">ROUND(_Google_ads[[#This Row],[conversion_value]]*RANDBETWEEN(8,12)/10,0)</f>
        <v>840</v>
      </c>
      <c r="Y55" s="4">
        <f ca="1">_Google_ads[[#This Row],[ctr]]*RANDBETWEEN(8,12)/10</f>
        <v>4.4400000000000004E-3</v>
      </c>
      <c r="Z55" s="4">
        <f ca="1">_Google_ads[[#This Row],[avg_cpc]]*RANDBETWEEN(8,12)/10</f>
        <v>0.21600000000000003</v>
      </c>
      <c r="AA55" s="4">
        <f ca="1">ROUND(_Google_ads[[#This Row],[quality_score]]*RANDBETWEEN(8,12)/10,0)</f>
        <v>6</v>
      </c>
      <c r="AB55" s="4">
        <f ca="1">_Google_ads[[#This Row],[search_impression_share]]*RANDBETWEEN(8,12)/10</f>
        <v>0.35</v>
      </c>
      <c r="AD55" s="3">
        <f t="shared" ca="1" si="7"/>
        <v>45162</v>
      </c>
      <c r="AE55" s="4" t="s">
        <v>112</v>
      </c>
      <c r="AF55" s="4" t="s">
        <v>113</v>
      </c>
      <c r="AG55" s="4" t="s">
        <v>114</v>
      </c>
      <c r="AH55" s="4" t="s">
        <v>115</v>
      </c>
      <c r="AI55" s="4">
        <f ca="1">ROUND(T_Tiktok_ads[[#This Row],[impressions]]*RANDBETWEEN(8,12)/10,0)</f>
        <v>423456</v>
      </c>
      <c r="AJ55" s="4">
        <f ca="1">ROUND(T_Tiktok_ads[[#This Row],[clicks]]*RANDBETWEEN(8,12)/10,0)</f>
        <v>7579</v>
      </c>
      <c r="AK55" s="4">
        <v>1056.8</v>
      </c>
      <c r="AL55" s="4">
        <f ca="1">ROUND(T_Tiktok_ads[[#This Row],[conversions]]*RANDBETWEEN(8,12)/10,0)</f>
        <v>118</v>
      </c>
      <c r="AM55" s="4">
        <f ca="1">ROUND(T_Tiktok_ads[[#This Row],[video_views]]*RANDBETWEEN(8,12)/10,0)</f>
        <v>428147</v>
      </c>
      <c r="AN55" s="4">
        <f ca="1">ROUND(T_Tiktok_ads[[#This Row],[video_watch_25]]*RANDBETWEEN(8,12)/10,0)</f>
        <v>318157</v>
      </c>
      <c r="AO55" s="4">
        <f ca="1">ROUND(T_Tiktok_ads[[#This Row],[video_watch_50]]*RANDBETWEEN(8,12)/10,0)</f>
        <v>231456</v>
      </c>
      <c r="AP55" s="4">
        <f ca="1">ROUND(T_Tiktok_ads[[#This Row],[video_watch_75]]*RANDBETWEEN(8,12)/10,0)</f>
        <v>197480</v>
      </c>
      <c r="AQ55" s="4">
        <f ca="1">ROUND(T_Tiktok_ads[[#This Row],[video_watch_100]]*RANDBETWEEN(8,12)/10,0)</f>
        <v>120157</v>
      </c>
      <c r="AR55" s="4">
        <f ca="1">ROUND(T_Tiktok_ads[[#This Row],[likes]]*RANDBETWEEN(8,12)/10,0)</f>
        <v>22668</v>
      </c>
      <c r="AS55" s="4">
        <f ca="1">ROUND(T_Tiktok_ads[[#This Row],[shares]]*RANDBETWEEN(8,12)/10,0)</f>
        <v>4910</v>
      </c>
      <c r="AT55" s="4">
        <f ca="1">ROUND(T_Tiktok_ads[[#This Row],[comments]]*RANDBETWEEN(8,12)/10,0)</f>
        <v>1787</v>
      </c>
      <c r="AV55" s="5">
        <f t="shared" ca="1" si="8"/>
        <v>45164</v>
      </c>
      <c r="AW55">
        <f t="shared" ca="1" si="4"/>
        <v>5</v>
      </c>
      <c r="AX55">
        <f ca="1">ROUND(T_Facebook_Ads1159636771757983[[#This Row],[impressions]]*RANDBETWEEN(8,12)/10,0)</f>
        <v>105776</v>
      </c>
      <c r="AY55">
        <f ca="1">ROUND(T_Facebook_Ads1159636771757983[[#This Row],[clicks]]*RANDBETWEEN(8,12)/10,0)</f>
        <v>320</v>
      </c>
      <c r="AZ55">
        <f ca="1">T_Facebook_Ads1159636771757983[[#This Row],[spend]]*RANDBETWEEN(8,12)/10</f>
        <v>101.736</v>
      </c>
      <c r="BA55">
        <f ca="1">ROUND(T_Facebook_Ads1159636771757983[[#This Row],[conversions]]*RANDBETWEEN(8,12)/10,0)</f>
        <v>5</v>
      </c>
      <c r="BB55">
        <f ca="1">ROUND(T_Facebook_Ads1159636771757983[[#This Row],[video_views]]*RANDBETWEEN(8,12)/10,0)</f>
        <v>59868</v>
      </c>
    </row>
    <row r="56" spans="1:54" ht="15.75" thickBot="1" x14ac:dyDescent="0.3">
      <c r="A56" s="3">
        <f t="shared" ca="1" si="5"/>
        <v>45169</v>
      </c>
      <c r="B56" s="4" t="s">
        <v>52</v>
      </c>
      <c r="C56" s="4" t="s">
        <v>53</v>
      </c>
      <c r="D56" s="4" t="s">
        <v>54</v>
      </c>
      <c r="E56" s="4" t="s">
        <v>55</v>
      </c>
      <c r="F56" s="4">
        <f ca="1">ROUND(T_Facebook_Ads[[#This Row],[impressions]]*RANDBETWEEN(8,12)/10,0)</f>
        <v>62147</v>
      </c>
      <c r="G56" s="4">
        <v>1089</v>
      </c>
      <c r="H56" s="4">
        <f ca="1">T_Facebook_Ads[[#This Row],[spend]]*RANDBETWEEN(8,12)/10</f>
        <v>121.84</v>
      </c>
      <c r="I56" s="4">
        <f ca="1">ROUND(T_Facebook_Ads[[#This Row],[conversions]]*RANDBETWEEN(8,12)/10,0)</f>
        <v>20</v>
      </c>
      <c r="J56" s="4">
        <f ca="1">ROUND(T_Facebook_Ads[[#This Row],[video_views]]*RANDBETWEEN(8,12)/10,0)</f>
        <v>8610</v>
      </c>
      <c r="K56" s="4">
        <f ca="1">T_Facebook_Ads[[#This Row],[engagement_rate]]*RANDBETWEEN(8,12)/10</f>
        <v>2.52E-2</v>
      </c>
      <c r="L56" s="4">
        <f ca="1">ROUND(T_Facebook_Ads[[#This Row],[reach]]*RANDBETWEEN(8,12)/10,0)</f>
        <v>39210</v>
      </c>
      <c r="M56" s="4">
        <f ca="1">T_Facebook_Ads[[#This Row],[frequency]]*RANDBETWEEN(8,12)/10</f>
        <v>1.4279999999999999</v>
      </c>
      <c r="O56" s="3">
        <f t="shared" ca="1" si="6"/>
        <v>45153</v>
      </c>
      <c r="P56" s="4" t="s">
        <v>76</v>
      </c>
      <c r="Q56" s="4" t="s">
        <v>77</v>
      </c>
      <c r="R56" s="4" t="s">
        <v>78</v>
      </c>
      <c r="S56" s="4" t="s">
        <v>79</v>
      </c>
      <c r="T56" s="4">
        <f ca="1">ROUND(_Google_ads[[#This Row],[impressions]]*RANDBETWEEN(8,12)/10,0)</f>
        <v>32147</v>
      </c>
      <c r="U56" s="4">
        <f ca="1">ROUND(_Google_ads[[#This Row],[clicks]]*RANDBETWEEN(8,12)/10,0)</f>
        <v>1747</v>
      </c>
      <c r="V56" s="4">
        <f ca="1">_Google_ads[[#This Row],[cost]]*RANDBETWEEN(8,12)/10</f>
        <v>306.78999999999996</v>
      </c>
      <c r="W56" s="4">
        <f ca="1">ROUND(_Google_ads[[#This Row],[conversions]]*RANDBETWEEN(8,12)/10,0)</f>
        <v>59</v>
      </c>
      <c r="X56" s="4">
        <f ca="1">ROUND(_Google_ads[[#This Row],[conversion_value]]*RANDBETWEEN(8,12)/10,0)</f>
        <v>2160</v>
      </c>
      <c r="Y56" s="4">
        <f ca="1">_Google_ads[[#This Row],[ctr]]*RANDBETWEEN(8,12)/10</f>
        <v>5.439999999999999E-2</v>
      </c>
      <c r="Z56" s="4">
        <f ca="1">_Google_ads[[#This Row],[avg_cpc]]*RANDBETWEEN(8,12)/10</f>
        <v>0.22800000000000004</v>
      </c>
      <c r="AA56" s="4">
        <f ca="1">ROUND(_Google_ads[[#This Row],[quality_score]]*RANDBETWEEN(8,12)/10,0)</f>
        <v>11</v>
      </c>
      <c r="AB56" s="4">
        <f ca="1">_Google_ads[[#This Row],[search_impression_share]]*RANDBETWEEN(8,12)/10</f>
        <v>1.0230000000000001</v>
      </c>
      <c r="AD56" s="3">
        <f t="shared" ca="1" si="7"/>
        <v>45139</v>
      </c>
      <c r="AE56" s="4" t="s">
        <v>100</v>
      </c>
      <c r="AF56" s="4" t="s">
        <v>101</v>
      </c>
      <c r="AG56" s="4" t="s">
        <v>102</v>
      </c>
      <c r="AH56" s="4" t="s">
        <v>103</v>
      </c>
      <c r="AI56" s="4">
        <f ca="1">ROUND(T_Tiktok_ads[[#This Row],[impressions]]*RANDBETWEEN(8,12)/10,0)</f>
        <v>331357</v>
      </c>
      <c r="AJ56" s="4">
        <f ca="1">ROUND(T_Tiktok_ads[[#This Row],[clicks]]*RANDBETWEEN(8,12)/10,0)</f>
        <v>5347</v>
      </c>
      <c r="AK56" s="4">
        <v>589.9</v>
      </c>
      <c r="AL56" s="4">
        <f ca="1">ROUND(T_Tiktok_ads[[#This Row],[conversions]]*RANDBETWEEN(8,12)/10,0)</f>
        <v>55</v>
      </c>
      <c r="AM56" s="4">
        <f ca="1">ROUND(T_Tiktok_ads[[#This Row],[video_views]]*RANDBETWEEN(8,12)/10,0)</f>
        <v>196542</v>
      </c>
      <c r="AN56" s="4">
        <f ca="1">ROUND(T_Tiktok_ads[[#This Row],[video_watch_25]]*RANDBETWEEN(8,12)/10,0)</f>
        <v>229481</v>
      </c>
      <c r="AO56" s="4">
        <f ca="1">ROUND(T_Tiktok_ads[[#This Row],[video_watch_50]]*RANDBETWEEN(8,12)/10,0)</f>
        <v>107311</v>
      </c>
      <c r="AP56" s="4">
        <f ca="1">ROUND(T_Tiktok_ads[[#This Row],[video_watch_75]]*RANDBETWEEN(8,12)/10,0)</f>
        <v>88257</v>
      </c>
      <c r="AQ56" s="4">
        <f ca="1">ROUND(T_Tiktok_ads[[#This Row],[video_watch_100]]*RANDBETWEEN(8,12)/10,0)</f>
        <v>48110</v>
      </c>
      <c r="AR56" s="4">
        <f ca="1">ROUND(T_Tiktok_ads[[#This Row],[likes]]*RANDBETWEEN(8,12)/10,0)</f>
        <v>10789</v>
      </c>
      <c r="AS56" s="4">
        <f ca="1">ROUND(T_Tiktok_ads[[#This Row],[shares]]*RANDBETWEEN(8,12)/10,0)</f>
        <v>2901</v>
      </c>
      <c r="AT56" s="4">
        <f ca="1">ROUND(T_Tiktok_ads[[#This Row],[comments]]*RANDBETWEEN(8,12)/10,0)</f>
        <v>551</v>
      </c>
      <c r="AV56" s="5">
        <f t="shared" ca="1" si="8"/>
        <v>45149</v>
      </c>
      <c r="AW56">
        <f t="shared" ca="1" si="4"/>
        <v>1</v>
      </c>
      <c r="AX56">
        <f ca="1">ROUND(T_Facebook_Ads1159636771757983[[#This Row],[impressions]]*RANDBETWEEN(8,12)/10,0)</f>
        <v>55932</v>
      </c>
      <c r="AY56">
        <f ca="1">ROUND(T_Facebook_Ads1159636771757983[[#This Row],[clicks]]*RANDBETWEEN(8,12)/10,0)</f>
        <v>1307</v>
      </c>
      <c r="AZ56">
        <f ca="1">T_Facebook_Ads1159636771757983[[#This Row],[spend]]*RANDBETWEEN(8,12)/10</f>
        <v>134.024</v>
      </c>
      <c r="BA56">
        <f ca="1">ROUND(T_Facebook_Ads1159636771757983[[#This Row],[conversions]]*RANDBETWEEN(8,12)/10,0)</f>
        <v>22</v>
      </c>
      <c r="BB56">
        <f ca="1">ROUND(T_Facebook_Ads1159636771757983[[#This Row],[video_views]]*RANDBETWEEN(8,12)/10,0)</f>
        <v>7749</v>
      </c>
    </row>
    <row r="57" spans="1:54" ht="15.75" thickBot="1" x14ac:dyDescent="0.3">
      <c r="A57" s="3">
        <f t="shared" ca="1" si="5"/>
        <v>45164</v>
      </c>
      <c r="B57" s="4" t="s">
        <v>56</v>
      </c>
      <c r="C57" s="4" t="s">
        <v>57</v>
      </c>
      <c r="D57" s="4" t="s">
        <v>58</v>
      </c>
      <c r="E57" s="4" t="s">
        <v>59</v>
      </c>
      <c r="F57" s="4">
        <f ca="1">ROUND(T_Facebook_Ads[[#This Row],[impressions]]*RANDBETWEEN(8,12)/10,0)</f>
        <v>15234</v>
      </c>
      <c r="G57" s="4">
        <v>734</v>
      </c>
      <c r="H57" s="4">
        <f ca="1">T_Facebook_Ads[[#This Row],[spend]]*RANDBETWEEN(8,12)/10</f>
        <v>291.16999999999996</v>
      </c>
      <c r="I57" s="4">
        <f ca="1">ROUND(T_Facebook_Ads[[#This Row],[conversions]]*RANDBETWEEN(8,12)/10,0)</f>
        <v>37</v>
      </c>
      <c r="J57" s="4">
        <f ca="1">ROUND(T_Facebook_Ads[[#This Row],[video_views]]*RANDBETWEEN(8,12)/10,0)</f>
        <v>1342</v>
      </c>
      <c r="K57" s="4">
        <f ca="1">T_Facebook_Ads[[#This Row],[engagement_rate]]*RANDBETWEEN(8,12)/10</f>
        <v>5.3019999999999998E-2</v>
      </c>
      <c r="L57" s="4">
        <f ca="1">ROUND(T_Facebook_Ads[[#This Row],[reach]]*RANDBETWEEN(8,12)/10,0)</f>
        <v>14548</v>
      </c>
      <c r="M57" s="4">
        <f ca="1">T_Facebook_Ads[[#This Row],[frequency]]*RANDBETWEEN(8,12)/10</f>
        <v>1.1339999999999999</v>
      </c>
      <c r="O57" s="3">
        <f t="shared" ca="1" si="6"/>
        <v>45149</v>
      </c>
      <c r="P57" s="4" t="s">
        <v>80</v>
      </c>
      <c r="Q57" s="4" t="s">
        <v>81</v>
      </c>
      <c r="R57" s="4" t="s">
        <v>82</v>
      </c>
      <c r="S57" s="4" t="s">
        <v>83</v>
      </c>
      <c r="T57" s="4">
        <f ca="1">ROUND(_Google_ads[[#This Row],[impressions]]*RANDBETWEEN(8,12)/10,0)</f>
        <v>47234</v>
      </c>
      <c r="U57" s="4">
        <f ca="1">ROUND(_Google_ads[[#This Row],[clicks]]*RANDBETWEEN(8,12)/10,0)</f>
        <v>1160</v>
      </c>
      <c r="V57" s="4">
        <f ca="1">_Google_ads[[#This Row],[cost]]*RANDBETWEEN(8,12)/10</f>
        <v>605.6</v>
      </c>
      <c r="W57" s="4">
        <f ca="1">ROUND(_Google_ads[[#This Row],[conversions]]*RANDBETWEEN(8,12)/10,0)</f>
        <v>28</v>
      </c>
      <c r="X57" s="4">
        <f ca="1">ROUND(_Google_ads[[#This Row],[conversion_value]]*RANDBETWEEN(8,12)/10,0)</f>
        <v>1125</v>
      </c>
      <c r="Y57" s="4">
        <f ca="1">_Google_ads[[#This Row],[ctr]]*RANDBETWEEN(8,12)/10</f>
        <v>1.8450000000000001E-2</v>
      </c>
      <c r="Z57" s="4">
        <f ca="1">_Google_ads[[#This Row],[avg_cpc]]*RANDBETWEEN(8,12)/10</f>
        <v>0.69299999999999995</v>
      </c>
      <c r="AA57" s="4">
        <f ca="1">ROUND(_Google_ads[[#This Row],[quality_score]]*RANDBETWEEN(8,12)/10,0)</f>
        <v>8</v>
      </c>
      <c r="AB57" s="4">
        <f ca="1">_Google_ads[[#This Row],[search_impression_share]]*RANDBETWEEN(8,12)/10</f>
        <v>0.36799999999999999</v>
      </c>
      <c r="AD57" s="3">
        <f t="shared" ca="1" si="7"/>
        <v>45160</v>
      </c>
      <c r="AE57" s="4" t="s">
        <v>104</v>
      </c>
      <c r="AF57" s="4" t="s">
        <v>105</v>
      </c>
      <c r="AG57" s="4" t="s">
        <v>106</v>
      </c>
      <c r="AH57" s="4" t="s">
        <v>107</v>
      </c>
      <c r="AI57" s="4">
        <f ca="1">ROUND(T_Tiktok_ads[[#This Row],[impressions]]*RANDBETWEEN(8,12)/10,0)</f>
        <v>134312</v>
      </c>
      <c r="AJ57" s="4">
        <f ca="1">ROUND(T_Tiktok_ads[[#This Row],[clicks]]*RANDBETWEEN(8,12)/10,0)</f>
        <v>3234</v>
      </c>
      <c r="AK57" s="4">
        <v>845.6</v>
      </c>
      <c r="AL57" s="4">
        <f ca="1">ROUND(T_Tiktok_ads[[#This Row],[conversions]]*RANDBETWEEN(8,12)/10,0)</f>
        <v>102</v>
      </c>
      <c r="AM57" s="4">
        <f ca="1">ROUND(T_Tiktok_ads[[#This Row],[video_views]]*RANDBETWEEN(8,12)/10,0)</f>
        <v>141468</v>
      </c>
      <c r="AN57" s="4">
        <f ca="1">ROUND(T_Tiktok_ads[[#This Row],[video_watch_25]]*RANDBETWEEN(8,12)/10,0)</f>
        <v>95957</v>
      </c>
      <c r="AO57" s="4">
        <f ca="1">ROUND(T_Tiktok_ads[[#This Row],[video_watch_50]]*RANDBETWEEN(8,12)/10,0)</f>
        <v>70681</v>
      </c>
      <c r="AP57" s="4">
        <f ca="1">ROUND(T_Tiktok_ads[[#This Row],[video_watch_75]]*RANDBETWEEN(8,12)/10,0)</f>
        <v>39811</v>
      </c>
      <c r="AQ57" s="4">
        <f ca="1">ROUND(T_Tiktok_ads[[#This Row],[video_watch_100]]*RANDBETWEEN(8,12)/10,0)</f>
        <v>23654</v>
      </c>
      <c r="AR57" s="4">
        <f ca="1">ROUND(T_Tiktok_ads[[#This Row],[likes]]*RANDBETWEEN(8,12)/10,0)</f>
        <v>5110</v>
      </c>
      <c r="AS57" s="4">
        <f ca="1">ROUND(T_Tiktok_ads[[#This Row],[shares]]*RANDBETWEEN(8,12)/10,0)</f>
        <v>1961</v>
      </c>
      <c r="AT57" s="4">
        <f ca="1">ROUND(T_Tiktok_ads[[#This Row],[comments]]*RANDBETWEEN(8,12)/10,0)</f>
        <v>374</v>
      </c>
      <c r="AV57" s="5">
        <f t="shared" ca="1" si="8"/>
        <v>45145</v>
      </c>
      <c r="AW57">
        <f t="shared" ca="1" si="4"/>
        <v>8</v>
      </c>
      <c r="AX57">
        <f ca="1">ROUND(T_Facebook_Ads1159636771757983[[#This Row],[impressions]]*RANDBETWEEN(8,12)/10,0)</f>
        <v>12187</v>
      </c>
      <c r="AY57">
        <f ca="1">ROUND(T_Facebook_Ads1159636771757983[[#This Row],[clicks]]*RANDBETWEEN(8,12)/10,0)</f>
        <v>734</v>
      </c>
      <c r="AZ57">
        <f ca="1">T_Facebook_Ads1159636771757983[[#This Row],[spend]]*RANDBETWEEN(8,12)/10</f>
        <v>232.93599999999998</v>
      </c>
      <c r="BA57">
        <f ca="1">ROUND(T_Facebook_Ads1159636771757983[[#This Row],[conversions]]*RANDBETWEEN(8,12)/10,0)</f>
        <v>30</v>
      </c>
      <c r="BB57">
        <f ca="1">ROUND(T_Facebook_Ads1159636771757983[[#This Row],[video_views]]*RANDBETWEEN(8,12)/10,0)</f>
        <v>1342</v>
      </c>
    </row>
    <row r="58" spans="1:54" ht="15.75" thickBot="1" x14ac:dyDescent="0.3">
      <c r="A58" s="3">
        <f t="shared" ca="1" si="5"/>
        <v>45142</v>
      </c>
      <c r="B58" s="4" t="s">
        <v>60</v>
      </c>
      <c r="C58" s="4" t="s">
        <v>61</v>
      </c>
      <c r="D58" s="4" t="s">
        <v>62</v>
      </c>
      <c r="E58" s="4" t="s">
        <v>63</v>
      </c>
      <c r="F58" s="4">
        <f ca="1">ROUND(T_Facebook_Ads[[#This Row],[impressions]]*RANDBETWEEN(8,12)/10,0)</f>
        <v>40123</v>
      </c>
      <c r="G58" s="4">
        <v>1534</v>
      </c>
      <c r="H58" s="4">
        <f ca="1">T_Facebook_Ads[[#This Row],[spend]]*RANDBETWEEN(8,12)/10</f>
        <v>279.36</v>
      </c>
      <c r="I58" s="4">
        <f ca="1">ROUND(T_Facebook_Ads[[#This Row],[conversions]]*RANDBETWEEN(8,12)/10,0)</f>
        <v>30</v>
      </c>
      <c r="J58" s="4">
        <f ca="1">ROUND(T_Facebook_Ads[[#This Row],[video_views]]*RANDBETWEEN(8,12)/10,0)</f>
        <v>4365</v>
      </c>
      <c r="K58" s="4">
        <f ca="1">T_Facebook_Ads[[#This Row],[engagement_rate]]*RANDBETWEEN(8,12)/10</f>
        <v>4.5839999999999999E-2</v>
      </c>
      <c r="L58" s="4">
        <f ca="1">ROUND(T_Facebook_Ads[[#This Row],[reach]]*RANDBETWEEN(8,12)/10,0)</f>
        <v>36179</v>
      </c>
      <c r="M58" s="4">
        <f ca="1">T_Facebook_Ads[[#This Row],[frequency]]*RANDBETWEEN(8,12)/10</f>
        <v>0.97599999999999998</v>
      </c>
      <c r="O58" s="3">
        <f t="shared" ca="1" si="6"/>
        <v>45153</v>
      </c>
      <c r="P58" s="4" t="s">
        <v>84</v>
      </c>
      <c r="Q58" s="4" t="s">
        <v>85</v>
      </c>
      <c r="R58" s="4" t="s">
        <v>86</v>
      </c>
      <c r="S58" s="4" t="s">
        <v>87</v>
      </c>
      <c r="T58" s="4">
        <f ca="1">ROUND(_Google_ads[[#This Row],[impressions]]*RANDBETWEEN(8,12)/10,0)</f>
        <v>57965</v>
      </c>
      <c r="U58" s="4">
        <f ca="1">ROUND(_Google_ads[[#This Row],[clicks]]*RANDBETWEEN(8,12)/10,0)</f>
        <v>2489</v>
      </c>
      <c r="V58" s="4">
        <f ca="1">_Google_ads[[#This Row],[cost]]*RANDBETWEEN(8,12)/10</f>
        <v>540.83999999999992</v>
      </c>
      <c r="W58" s="4">
        <f ca="1">ROUND(_Google_ads[[#This Row],[conversions]]*RANDBETWEEN(8,12)/10,0)</f>
        <v>72</v>
      </c>
      <c r="X58" s="4">
        <f ca="1">ROUND(_Google_ads[[#This Row],[conversion_value]]*RANDBETWEEN(8,12)/10,0)</f>
        <v>3600</v>
      </c>
      <c r="Y58" s="4">
        <f ca="1">_Google_ads[[#This Row],[ctr]]*RANDBETWEEN(8,12)/10</f>
        <v>2.7519999999999999E-2</v>
      </c>
      <c r="Z58" s="4">
        <f ca="1">_Google_ads[[#This Row],[avg_cpc]]*RANDBETWEEN(8,12)/10</f>
        <v>0.19800000000000001</v>
      </c>
      <c r="AA58" s="4">
        <f ca="1">ROUND(_Google_ads[[#This Row],[quality_score]]*RANDBETWEEN(8,12)/10,0)</f>
        <v>7</v>
      </c>
      <c r="AB58" s="4">
        <f ca="1">_Google_ads[[#This Row],[search_impression_share]]*RANDBETWEEN(8,12)/10</f>
        <v>0.68</v>
      </c>
      <c r="AD58" s="3">
        <f t="shared" ca="1" si="7"/>
        <v>45163</v>
      </c>
      <c r="AE58" s="4" t="s">
        <v>108</v>
      </c>
      <c r="AF58" s="4" t="s">
        <v>109</v>
      </c>
      <c r="AG58" s="4" t="s">
        <v>110</v>
      </c>
      <c r="AH58" s="4" t="s">
        <v>111</v>
      </c>
      <c r="AI58" s="4">
        <f ca="1">ROUND(T_Tiktok_ads[[#This Row],[impressions]]*RANDBETWEEN(8,12)/10,0)</f>
        <v>282468</v>
      </c>
      <c r="AJ58" s="4">
        <f ca="1">ROUND(T_Tiktok_ads[[#This Row],[clicks]]*RANDBETWEEN(8,12)/10,0)</f>
        <v>4413</v>
      </c>
      <c r="AK58" s="4">
        <v>489.2</v>
      </c>
      <c r="AL58" s="4">
        <f ca="1">ROUND(T_Tiktok_ads[[#This Row],[conversions]]*RANDBETWEEN(8,12)/10,0)</f>
        <v>36</v>
      </c>
      <c r="AM58" s="4">
        <f ca="1">ROUND(T_Tiktok_ads[[#This Row],[video_views]]*RANDBETWEEN(8,12)/10,0)</f>
        <v>221357</v>
      </c>
      <c r="AN58" s="4">
        <f ca="1">ROUND(T_Tiktok_ads[[#This Row],[video_watch_25]]*RANDBETWEEN(8,12)/10,0)</f>
        <v>167580</v>
      </c>
      <c r="AO58" s="4">
        <f ca="1">ROUND(T_Tiktok_ads[[#This Row],[video_watch_50]]*RANDBETWEEN(8,12)/10,0)</f>
        <v>96365</v>
      </c>
      <c r="AP58" s="4">
        <f ca="1">ROUND(T_Tiktok_ads[[#This Row],[video_watch_75]]*RANDBETWEEN(8,12)/10,0)</f>
        <v>62312</v>
      </c>
      <c r="AQ58" s="4">
        <f ca="1">ROUND(T_Tiktok_ads[[#This Row],[video_watch_100]]*RANDBETWEEN(8,12)/10,0)</f>
        <v>56681</v>
      </c>
      <c r="AR58" s="4">
        <f ca="1">ROUND(T_Tiktok_ads[[#This Row],[likes]]*RANDBETWEEN(8,12)/10,0)</f>
        <v>8901</v>
      </c>
      <c r="AS58" s="4">
        <f ca="1">ROUND(T_Tiktok_ads[[#This Row],[shares]]*RANDBETWEEN(8,12)/10,0)</f>
        <v>1965</v>
      </c>
      <c r="AT58" s="4">
        <f ca="1">ROUND(T_Tiktok_ads[[#This Row],[comments]]*RANDBETWEEN(8,12)/10,0)</f>
        <v>707</v>
      </c>
      <c r="AV58" s="5">
        <f t="shared" ca="1" si="8"/>
        <v>45162</v>
      </c>
      <c r="AW58">
        <f t="shared" ca="1" si="4"/>
        <v>7</v>
      </c>
      <c r="AX58">
        <f ca="1">ROUND(T_Facebook_Ads1159636771757983[[#This Row],[impressions]]*RANDBETWEEN(8,12)/10,0)</f>
        <v>48148</v>
      </c>
      <c r="AY58">
        <f ca="1">ROUND(T_Facebook_Ads1159636771757983[[#This Row],[clicks]]*RANDBETWEEN(8,12)/10,0)</f>
        <v>1841</v>
      </c>
      <c r="AZ58">
        <f ca="1">T_Facebook_Ads1159636771757983[[#This Row],[spend]]*RANDBETWEEN(8,12)/10</f>
        <v>307.29599999999999</v>
      </c>
      <c r="BA58">
        <f ca="1">ROUND(T_Facebook_Ads1159636771757983[[#This Row],[conversions]]*RANDBETWEEN(8,12)/10,0)</f>
        <v>33</v>
      </c>
      <c r="BB58">
        <f ca="1">ROUND(T_Facebook_Ads1159636771757983[[#This Row],[video_views]]*RANDBETWEEN(8,12)/10,0)</f>
        <v>5238</v>
      </c>
    </row>
    <row r="59" spans="1:54" ht="15.75" thickBot="1" x14ac:dyDescent="0.3">
      <c r="A59" s="3">
        <f t="shared" ca="1" si="5"/>
        <v>45146</v>
      </c>
      <c r="B59" s="4" t="s">
        <v>64</v>
      </c>
      <c r="C59" s="4" t="s">
        <v>65</v>
      </c>
      <c r="D59" s="4" t="s">
        <v>66</v>
      </c>
      <c r="E59" s="4" t="s">
        <v>67</v>
      </c>
      <c r="F59" s="4">
        <f ca="1">ROUND(T_Facebook_Ads[[#This Row],[impressions]]*RANDBETWEEN(8,12)/10,0)</f>
        <v>75890</v>
      </c>
      <c r="G59" s="4">
        <v>278</v>
      </c>
      <c r="H59" s="4">
        <f ca="1">T_Facebook_Ads[[#This Row],[spend]]*RANDBETWEEN(8,12)/10</f>
        <v>108.35</v>
      </c>
      <c r="I59" s="4">
        <f ca="1">ROUND(T_Facebook_Ads[[#This Row],[conversions]]*RANDBETWEEN(8,12)/10,0)</f>
        <v>9</v>
      </c>
      <c r="J59" s="4">
        <f ca="1">ROUND(T_Facebook_Ads[[#This Row],[video_views]]*RANDBETWEEN(8,12)/10,0)</f>
        <v>46111</v>
      </c>
      <c r="K59" s="4">
        <f ca="1">T_Facebook_Ads[[#This Row],[engagement_rate]]*RANDBETWEEN(8,12)/10</f>
        <v>3.3300000000000005E-3</v>
      </c>
      <c r="L59" s="4">
        <f ca="1">ROUND(T_Facebook_Ads[[#This Row],[reach]]*RANDBETWEEN(8,12)/10,0)</f>
        <v>67724</v>
      </c>
      <c r="M59" s="4">
        <f ca="1">T_Facebook_Ads[[#This Row],[frequency]]*RANDBETWEEN(8,12)/10</f>
        <v>1.107</v>
      </c>
      <c r="O59" s="3">
        <f t="shared" ca="1" si="6"/>
        <v>45140</v>
      </c>
      <c r="P59" s="4" t="s">
        <v>88</v>
      </c>
      <c r="Q59" s="4" t="s">
        <v>89</v>
      </c>
      <c r="R59" s="4" t="s">
        <v>90</v>
      </c>
      <c r="S59" s="4" t="s">
        <v>59</v>
      </c>
      <c r="T59" s="4">
        <f ca="1">ROUND(_Google_ads[[#This Row],[impressions]]*RANDBETWEEN(8,12)/10,0)</f>
        <v>138901</v>
      </c>
      <c r="U59" s="4">
        <f ca="1">ROUND(_Google_ads[[#This Row],[clicks]]*RANDBETWEEN(8,12)/10,0)</f>
        <v>481</v>
      </c>
      <c r="V59" s="4">
        <f ca="1">_Google_ads[[#This Row],[cost]]*RANDBETWEEN(8,12)/10</f>
        <v>163.68</v>
      </c>
      <c r="W59" s="4">
        <f ca="1">ROUND(_Google_ads[[#This Row],[conversions]]*RANDBETWEEN(8,12)/10,0)</f>
        <v>17</v>
      </c>
      <c r="X59" s="4">
        <f ca="1">ROUND(_Google_ads[[#This Row],[conversion_value]]*RANDBETWEEN(8,12)/10,0)</f>
        <v>750</v>
      </c>
      <c r="Y59" s="4">
        <f ca="1">_Google_ads[[#This Row],[ctr]]*RANDBETWEEN(8,12)/10</f>
        <v>3.8E-3</v>
      </c>
      <c r="Z59" s="4">
        <f ca="1">_Google_ads[[#This Row],[avg_cpc]]*RANDBETWEEN(8,12)/10</f>
        <v>0.23399999999999999</v>
      </c>
      <c r="AA59" s="4">
        <f ca="1">ROUND(_Google_ads[[#This Row],[quality_score]]*RANDBETWEEN(8,12)/10,0)</f>
        <v>6</v>
      </c>
      <c r="AB59" s="4">
        <f ca="1">_Google_ads[[#This Row],[search_impression_share]]*RANDBETWEEN(8,12)/10</f>
        <v>0.39600000000000002</v>
      </c>
      <c r="AD59" s="3">
        <f t="shared" ca="1" si="7"/>
        <v>45160</v>
      </c>
      <c r="AE59" s="4" t="s">
        <v>112</v>
      </c>
      <c r="AF59" s="4" t="s">
        <v>113</v>
      </c>
      <c r="AG59" s="4" t="s">
        <v>114</v>
      </c>
      <c r="AH59" s="4" t="s">
        <v>115</v>
      </c>
      <c r="AI59" s="4">
        <f ca="1">ROUND(T_Tiktok_ads[[#This Row],[impressions]]*RANDBETWEEN(8,12)/10,0)</f>
        <v>445678</v>
      </c>
      <c r="AJ59" s="4">
        <f ca="1">ROUND(T_Tiktok_ads[[#This Row],[clicks]]*RANDBETWEEN(8,12)/10,0)</f>
        <v>7234</v>
      </c>
      <c r="AK59" s="4">
        <v>1123.5</v>
      </c>
      <c r="AL59" s="4">
        <f ca="1">ROUND(T_Tiktok_ads[[#This Row],[conversions]]*RANDBETWEEN(8,12)/10,0)</f>
        <v>90</v>
      </c>
      <c r="AM59" s="4">
        <f ca="1">ROUND(T_Tiktok_ads[[#This Row],[video_views]]*RANDBETWEEN(8,12)/10,0)</f>
        <v>416791</v>
      </c>
      <c r="AN59" s="4">
        <f ca="1">ROUND(T_Tiktok_ads[[#This Row],[video_watch_25]]*RANDBETWEEN(8,12)/10,0)</f>
        <v>304567</v>
      </c>
      <c r="AO59" s="4">
        <f ca="1">ROUND(T_Tiktok_ads[[#This Row],[video_watch_50]]*RANDBETWEEN(8,12)/10,0)</f>
        <v>267802</v>
      </c>
      <c r="AP59" s="4">
        <f ca="1">ROUND(T_Tiktok_ads[[#This Row],[video_watch_75]]*RANDBETWEEN(8,12)/10,0)</f>
        <v>172345</v>
      </c>
      <c r="AQ59" s="4">
        <f ca="1">ROUND(T_Tiktok_ads[[#This Row],[video_watch_100]]*RANDBETWEEN(8,12)/10,0)</f>
        <v>137480</v>
      </c>
      <c r="AR59" s="4">
        <f ca="1">ROUND(T_Tiktok_ads[[#This Row],[likes]]*RANDBETWEEN(8,12)/10,0)</f>
        <v>15654</v>
      </c>
      <c r="AS59" s="4">
        <f ca="1">ROUND(T_Tiktok_ads[[#This Row],[shares]]*RANDBETWEEN(8,12)/10,0)</f>
        <v>5110</v>
      </c>
      <c r="AT59" s="4">
        <f ca="1">ROUND(T_Tiktok_ads[[#This Row],[comments]]*RANDBETWEEN(8,12)/10,0)</f>
        <v>1724</v>
      </c>
      <c r="AV59" s="5">
        <f t="shared" ca="1" si="8"/>
        <v>45169</v>
      </c>
      <c r="AW59">
        <f t="shared" ca="1" si="4"/>
        <v>4</v>
      </c>
      <c r="AX59">
        <f ca="1">ROUND(T_Facebook_Ads1159636771757983[[#This Row],[impressions]]*RANDBETWEEN(8,12)/10,0)</f>
        <v>60712</v>
      </c>
      <c r="AY59">
        <f ca="1">ROUND(T_Facebook_Ads1159636771757983[[#This Row],[clicks]]*RANDBETWEEN(8,12)/10,0)</f>
        <v>250</v>
      </c>
      <c r="AZ59">
        <f ca="1">T_Facebook_Ads1159636771757983[[#This Row],[spend]]*RANDBETWEEN(8,12)/10</f>
        <v>97.515000000000001</v>
      </c>
      <c r="BA59">
        <f ca="1">ROUND(T_Facebook_Ads1159636771757983[[#This Row],[conversions]]*RANDBETWEEN(8,12)/10,0)</f>
        <v>7</v>
      </c>
      <c r="BB59">
        <f ca="1">ROUND(T_Facebook_Ads1159636771757983[[#This Row],[video_views]]*RANDBETWEEN(8,12)/10,0)</f>
        <v>50722</v>
      </c>
    </row>
    <row r="60" spans="1:54" ht="15.75" thickBot="1" x14ac:dyDescent="0.3">
      <c r="A60" s="3">
        <f t="shared" ca="1" si="5"/>
        <v>45158</v>
      </c>
      <c r="B60" s="4" t="s">
        <v>52</v>
      </c>
      <c r="C60" s="4" t="s">
        <v>53</v>
      </c>
      <c r="D60" s="4" t="s">
        <v>54</v>
      </c>
      <c r="E60" s="4" t="s">
        <v>55</v>
      </c>
      <c r="F60" s="4">
        <f ca="1">ROUND(T_Facebook_Ads[[#This Row],[impressions]]*RANDBETWEEN(8,12)/10,0)</f>
        <v>39654</v>
      </c>
      <c r="G60" s="4">
        <v>1012</v>
      </c>
      <c r="H60" s="4">
        <f ca="1">T_Facebook_Ads[[#This Row],[spend]]*RANDBETWEEN(8,12)/10</f>
        <v>144.6</v>
      </c>
      <c r="I60" s="4">
        <f ca="1">ROUND(T_Facebook_Ads[[#This Row],[conversions]]*RANDBETWEEN(8,12)/10,0)</f>
        <v>16</v>
      </c>
      <c r="J60" s="4">
        <f ca="1">ROUND(T_Facebook_Ads[[#This Row],[video_views]]*RANDBETWEEN(8,12)/10,0)</f>
        <v>7298</v>
      </c>
      <c r="K60" s="4">
        <f ca="1">T_Facebook_Ads[[#This Row],[engagement_rate]]*RANDBETWEEN(8,12)/10</f>
        <v>2.2440000000000002E-2</v>
      </c>
      <c r="L60" s="4">
        <f ca="1">ROUND(T_Facebook_Ads[[#This Row],[reach]]*RANDBETWEEN(8,12)/10,0)</f>
        <v>41890</v>
      </c>
      <c r="M60" s="4">
        <f ca="1">T_Facebook_Ads[[#This Row],[frequency]]*RANDBETWEEN(8,12)/10</f>
        <v>1.0619999999999998</v>
      </c>
      <c r="O60" s="3">
        <f t="shared" ca="1" si="6"/>
        <v>45149</v>
      </c>
      <c r="P60" s="4" t="s">
        <v>76</v>
      </c>
      <c r="Q60" s="4" t="s">
        <v>77</v>
      </c>
      <c r="R60" s="4" t="s">
        <v>78</v>
      </c>
      <c r="S60" s="4" t="s">
        <v>79</v>
      </c>
      <c r="T60" s="4">
        <f ca="1">ROUND(_Google_ads[[#This Row],[impressions]]*RANDBETWEEN(8,12)/10,0)</f>
        <v>25789</v>
      </c>
      <c r="U60" s="4">
        <f ca="1">ROUND(_Google_ads[[#This Row],[clicks]]*RANDBETWEEN(8,12)/10,0)</f>
        <v>1667</v>
      </c>
      <c r="V60" s="4">
        <f ca="1">_Google_ads[[#This Row],[cost]]*RANDBETWEEN(8,12)/10</f>
        <v>212.16</v>
      </c>
      <c r="W60" s="4">
        <f ca="1">ROUND(_Google_ads[[#This Row],[conversions]]*RANDBETWEEN(8,12)/10,0)</f>
        <v>47</v>
      </c>
      <c r="X60" s="4">
        <f ca="1">ROUND(_Google_ads[[#This Row],[conversion_value]]*RANDBETWEEN(8,12)/10,0)</f>
        <v>2080</v>
      </c>
      <c r="Y60" s="4">
        <f ca="1">_Google_ads[[#This Row],[ctr]]*RANDBETWEEN(8,12)/10</f>
        <v>4.3040000000000002E-2</v>
      </c>
      <c r="Z60" s="4">
        <f ca="1">_Google_ads[[#This Row],[avg_cpc]]*RANDBETWEEN(8,12)/10</f>
        <v>0.19</v>
      </c>
      <c r="AA60" s="4">
        <f ca="1">ROUND(_Google_ads[[#This Row],[quality_score]]*RANDBETWEEN(8,12)/10,0)</f>
        <v>9</v>
      </c>
      <c r="AB60" s="4">
        <f ca="1">_Google_ads[[#This Row],[search_impression_share]]*RANDBETWEEN(8,12)/10</f>
        <v>0.82800000000000007</v>
      </c>
      <c r="AD60" s="3">
        <f t="shared" ca="1" si="7"/>
        <v>45167</v>
      </c>
      <c r="AE60" s="4" t="s">
        <v>100</v>
      </c>
      <c r="AF60" s="4" t="s">
        <v>101</v>
      </c>
      <c r="AG60" s="4" t="s">
        <v>102</v>
      </c>
      <c r="AH60" s="4" t="s">
        <v>103</v>
      </c>
      <c r="AI60" s="4">
        <f ca="1">ROUND(T_Tiktok_ads[[#This Row],[impressions]]*RANDBETWEEN(8,12)/10,0)</f>
        <v>348148</v>
      </c>
      <c r="AJ60" s="4">
        <f ca="1">ROUND(T_Tiktok_ads[[#This Row],[clicks]]*RANDBETWEEN(8,12)/10,0)</f>
        <v>3351</v>
      </c>
      <c r="AK60" s="4">
        <v>567.79999999999995</v>
      </c>
      <c r="AL60" s="4">
        <f ca="1">ROUND(T_Tiktok_ads[[#This Row],[conversions]]*RANDBETWEEN(8,12)/10,0)</f>
        <v>53</v>
      </c>
      <c r="AM60" s="4">
        <f ca="1">ROUND(T_Tiktok_ads[[#This Row],[video_views]]*RANDBETWEEN(8,12)/10,0)</f>
        <v>284147</v>
      </c>
      <c r="AN60" s="4">
        <f ca="1">ROUND(T_Tiktok_ads[[#This Row],[video_watch_25]]*RANDBETWEEN(8,12)/10,0)</f>
        <v>203024</v>
      </c>
      <c r="AO60" s="4">
        <f ca="1">ROUND(T_Tiktok_ads[[#This Row],[video_watch_50]]*RANDBETWEEN(8,12)/10,0)</f>
        <v>92542</v>
      </c>
      <c r="AP60" s="4">
        <f ca="1">ROUND(T_Tiktok_ads[[#This Row],[video_watch_75]]*RANDBETWEEN(8,12)/10,0)</f>
        <v>86057</v>
      </c>
      <c r="AQ60" s="4">
        <f ca="1">ROUND(T_Tiktok_ads[[#This Row],[video_watch_100]]*RANDBETWEEN(8,12)/10,0)</f>
        <v>57580</v>
      </c>
      <c r="AR60" s="4">
        <f ca="1">ROUND(T_Tiktok_ads[[#This Row],[likes]]*RANDBETWEEN(8,12)/10,0)</f>
        <v>10456</v>
      </c>
      <c r="AS60" s="4">
        <f ca="1">ROUND(T_Tiktok_ads[[#This Row],[shares]]*RANDBETWEEN(8,12)/10,0)</f>
        <v>3374</v>
      </c>
      <c r="AT60" s="4">
        <f ca="1">ROUND(T_Tiktok_ads[[#This Row],[comments]]*RANDBETWEEN(8,12)/10,0)</f>
        <v>678</v>
      </c>
      <c r="AV60" s="5">
        <f t="shared" ca="1" si="8"/>
        <v>45150</v>
      </c>
      <c r="AW60">
        <f t="shared" ca="1" si="4"/>
        <v>1</v>
      </c>
      <c r="AX60">
        <f ca="1">ROUND(T_Facebook_Ads1159636771757983[[#This Row],[impressions]]*RANDBETWEEN(8,12)/10,0)</f>
        <v>35689</v>
      </c>
      <c r="AY60">
        <f ca="1">ROUND(T_Facebook_Ads1159636771757983[[#This Row],[clicks]]*RANDBETWEEN(8,12)/10,0)</f>
        <v>1012</v>
      </c>
      <c r="AZ60">
        <f ca="1">T_Facebook_Ads1159636771757983[[#This Row],[spend]]*RANDBETWEEN(8,12)/10</f>
        <v>115.67999999999999</v>
      </c>
      <c r="BA60">
        <f ca="1">ROUND(T_Facebook_Ads1159636771757983[[#This Row],[conversions]]*RANDBETWEEN(8,12)/10,0)</f>
        <v>19</v>
      </c>
      <c r="BB60">
        <f ca="1">ROUND(T_Facebook_Ads1159636771757983[[#This Row],[video_views]]*RANDBETWEEN(8,12)/10,0)</f>
        <v>5838</v>
      </c>
    </row>
    <row r="61" spans="1:54" ht="15.75" thickBot="1" x14ac:dyDescent="0.3">
      <c r="A61" s="3">
        <f t="shared" ca="1" si="5"/>
        <v>45148</v>
      </c>
      <c r="B61" s="4" t="s">
        <v>56</v>
      </c>
      <c r="C61" s="4" t="s">
        <v>57</v>
      </c>
      <c r="D61" s="4" t="s">
        <v>58</v>
      </c>
      <c r="E61" s="4" t="s">
        <v>59</v>
      </c>
      <c r="F61" s="4">
        <f ca="1">ROUND(T_Facebook_Ads[[#This Row],[impressions]]*RANDBETWEEN(8,12)/10,0)</f>
        <v>11654</v>
      </c>
      <c r="G61" s="4">
        <v>689</v>
      </c>
      <c r="H61" s="4">
        <f ca="1">T_Facebook_Ads[[#This Row],[spend]]*RANDBETWEEN(8,12)/10</f>
        <v>228.06</v>
      </c>
      <c r="I61" s="4">
        <f ca="1">ROUND(T_Facebook_Ads[[#This Row],[conversions]]*RANDBETWEEN(8,12)/10,0)</f>
        <v>39</v>
      </c>
      <c r="J61" s="4">
        <f ca="1">ROUND(T_Facebook_Ads[[#This Row],[video_views]]*RANDBETWEEN(8,12)/10,0)</f>
        <v>1489</v>
      </c>
      <c r="K61" s="4">
        <f ca="1">T_Facebook_Ads[[#This Row],[engagement_rate]]*RANDBETWEEN(8,12)/10</f>
        <v>5.6759999999999998E-2</v>
      </c>
      <c r="L61" s="4">
        <f ca="1">ROUND(T_Facebook_Ads[[#This Row],[reach]]*RANDBETWEEN(8,12)/10,0)</f>
        <v>12724</v>
      </c>
      <c r="M61" s="4">
        <f ca="1">T_Facebook_Ads[[#This Row],[frequency]]*RANDBETWEEN(8,12)/10</f>
        <v>1.008</v>
      </c>
      <c r="O61" s="3">
        <f t="shared" ca="1" si="6"/>
        <v>45167</v>
      </c>
      <c r="P61" s="4" t="s">
        <v>80</v>
      </c>
      <c r="Q61" s="4" t="s">
        <v>81</v>
      </c>
      <c r="R61" s="4" t="s">
        <v>82</v>
      </c>
      <c r="S61" s="4" t="s">
        <v>83</v>
      </c>
      <c r="T61" s="4">
        <f ca="1">ROUND(_Google_ads[[#This Row],[impressions]]*RANDBETWEEN(8,12)/10,0)</f>
        <v>41511</v>
      </c>
      <c r="U61" s="4">
        <f ca="1">ROUND(_Google_ads[[#This Row],[clicks]]*RANDBETWEEN(8,12)/10,0)</f>
        <v>923</v>
      </c>
      <c r="V61" s="4">
        <f ca="1">_Google_ads[[#This Row],[cost]]*RANDBETWEEN(8,12)/10</f>
        <v>708.3599999999999</v>
      </c>
      <c r="W61" s="4">
        <f ca="1">ROUND(_Google_ads[[#This Row],[conversions]]*RANDBETWEEN(8,12)/10,0)</f>
        <v>26</v>
      </c>
      <c r="X61" s="4">
        <f ca="1">ROUND(_Google_ads[[#This Row],[conversion_value]]*RANDBETWEEN(8,12)/10,0)</f>
        <v>1080</v>
      </c>
      <c r="Y61" s="4">
        <f ca="1">_Google_ads[[#This Row],[ctr]]*RANDBETWEEN(8,12)/10</f>
        <v>2.4E-2</v>
      </c>
      <c r="Z61" s="4">
        <f ca="1">_Google_ads[[#This Row],[avg_cpc]]*RANDBETWEEN(8,12)/10</f>
        <v>0.57599999999999996</v>
      </c>
      <c r="AA61" s="4">
        <f ca="1">ROUND(_Google_ads[[#This Row],[quality_score]]*RANDBETWEEN(8,12)/10,0)</f>
        <v>6</v>
      </c>
      <c r="AB61" s="4">
        <f ca="1">_Google_ads[[#This Row],[search_impression_share]]*RANDBETWEEN(8,12)/10</f>
        <v>0.54</v>
      </c>
      <c r="AD61" s="3">
        <f t="shared" ca="1" si="7"/>
        <v>45165</v>
      </c>
      <c r="AE61" s="4" t="s">
        <v>104</v>
      </c>
      <c r="AF61" s="4" t="s">
        <v>105</v>
      </c>
      <c r="AG61" s="4" t="s">
        <v>106</v>
      </c>
      <c r="AH61" s="4" t="s">
        <v>107</v>
      </c>
      <c r="AI61" s="4">
        <f ca="1">ROUND(T_Tiktok_ads[[#This Row],[impressions]]*RANDBETWEEN(8,12)/10,0)</f>
        <v>128987</v>
      </c>
      <c r="AJ61" s="4">
        <f ca="1">ROUND(T_Tiktok_ads[[#This Row],[clicks]]*RANDBETWEEN(8,12)/10,0)</f>
        <v>3398</v>
      </c>
      <c r="AK61" s="4">
        <v>823.7</v>
      </c>
      <c r="AL61" s="4">
        <f ca="1">ROUND(T_Tiktok_ads[[#This Row],[conversions]]*RANDBETWEEN(8,12)/10,0)</f>
        <v>83</v>
      </c>
      <c r="AM61" s="4">
        <f ca="1">ROUND(T_Tiktok_ads[[#This Row],[video_views]]*RANDBETWEEN(8,12)/10,0)</f>
        <v>102110</v>
      </c>
      <c r="AN61" s="4">
        <f ca="1">ROUND(T_Tiktok_ads[[#This Row],[video_watch_25]]*RANDBETWEEN(8,12)/10,0)</f>
        <v>83567</v>
      </c>
      <c r="AO61" s="4">
        <f ca="1">ROUND(T_Tiktok_ads[[#This Row],[video_watch_50]]*RANDBETWEEN(8,12)/10,0)</f>
        <v>67481</v>
      </c>
      <c r="AP61" s="4">
        <f ca="1">ROUND(T_Tiktok_ads[[#This Row],[video_watch_75]]*RANDBETWEEN(8,12)/10,0)</f>
        <v>42345</v>
      </c>
      <c r="AQ61" s="4">
        <f ca="1">ROUND(T_Tiktok_ads[[#This Row],[video_watch_100]]*RANDBETWEEN(8,12)/10,0)</f>
        <v>31057</v>
      </c>
      <c r="AR61" s="4">
        <f ca="1">ROUND(T_Tiktok_ads[[#This Row],[likes]]*RANDBETWEEN(8,12)/10,0)</f>
        <v>5523</v>
      </c>
      <c r="AS61" s="4">
        <f ca="1">ROUND(T_Tiktok_ads[[#This Row],[shares]]*RANDBETWEEN(8,12)/10,0)</f>
        <v>1907</v>
      </c>
      <c r="AT61" s="4">
        <f ca="1">ROUND(T_Tiktok_ads[[#This Row],[comments]]*RANDBETWEEN(8,12)/10,0)</f>
        <v>361</v>
      </c>
      <c r="AV61" s="5">
        <f t="shared" ca="1" si="8"/>
        <v>45165</v>
      </c>
      <c r="AW61">
        <f t="shared" ca="1" si="4"/>
        <v>8</v>
      </c>
      <c r="AX61">
        <f ca="1">ROUND(T_Facebook_Ads1159636771757983[[#This Row],[impressions]]*RANDBETWEEN(8,12)/10,0)</f>
        <v>12819</v>
      </c>
      <c r="AY61">
        <f ca="1">ROUND(T_Facebook_Ads1159636771757983[[#This Row],[clicks]]*RANDBETWEEN(8,12)/10,0)</f>
        <v>827</v>
      </c>
      <c r="AZ61">
        <f ca="1">T_Facebook_Ads1159636771757983[[#This Row],[spend]]*RANDBETWEEN(8,12)/10</f>
        <v>250.86599999999999</v>
      </c>
      <c r="BA61">
        <f ca="1">ROUND(T_Facebook_Ads1159636771757983[[#This Row],[conversions]]*RANDBETWEEN(8,12)/10,0)</f>
        <v>47</v>
      </c>
      <c r="BB61">
        <f ca="1">ROUND(T_Facebook_Ads1159636771757983[[#This Row],[video_views]]*RANDBETWEEN(8,12)/10,0)</f>
        <v>1638</v>
      </c>
    </row>
    <row r="62" spans="1:54" ht="15.75" thickBot="1" x14ac:dyDescent="0.3">
      <c r="A62" s="3">
        <f t="shared" ca="1" si="5"/>
        <v>45155</v>
      </c>
      <c r="B62" s="4" t="s">
        <v>60</v>
      </c>
      <c r="C62" s="4" t="s">
        <v>61</v>
      </c>
      <c r="D62" s="4" t="s">
        <v>62</v>
      </c>
      <c r="E62" s="4" t="s">
        <v>63</v>
      </c>
      <c r="F62" s="4">
        <f ca="1">ROUND(T_Facebook_Ads[[#This Row],[impressions]]*RANDBETWEEN(8,12)/10,0)</f>
        <v>31121</v>
      </c>
      <c r="G62" s="4">
        <v>1456</v>
      </c>
      <c r="H62" s="4">
        <f ca="1">T_Facebook_Ads[[#This Row],[spend]]*RANDBETWEEN(8,12)/10</f>
        <v>179.6</v>
      </c>
      <c r="I62" s="4">
        <f ca="1">ROUND(T_Facebook_Ads[[#This Row],[conversions]]*RANDBETWEEN(8,12)/10,0)</f>
        <v>28</v>
      </c>
      <c r="J62" s="4">
        <f ca="1">ROUND(T_Facebook_Ads[[#This Row],[video_views]]*RANDBETWEEN(8,12)/10,0)</f>
        <v>4711</v>
      </c>
      <c r="K62" s="4">
        <f ca="1">T_Facebook_Ads[[#This Row],[engagement_rate]]*RANDBETWEEN(8,12)/10</f>
        <v>4.1140000000000003E-2</v>
      </c>
      <c r="L62" s="4">
        <f ca="1">ROUND(T_Facebook_Ads[[#This Row],[reach]]*RANDBETWEEN(8,12)/10,0)</f>
        <v>28310</v>
      </c>
      <c r="M62" s="4">
        <f ca="1">T_Facebook_Ads[[#This Row],[frequency]]*RANDBETWEEN(8,12)/10</f>
        <v>1.3640000000000001</v>
      </c>
      <c r="O62" s="3">
        <f t="shared" ca="1" si="6"/>
        <v>45141</v>
      </c>
      <c r="P62" s="4" t="s">
        <v>84</v>
      </c>
      <c r="Q62" s="4" t="s">
        <v>85</v>
      </c>
      <c r="R62" s="4" t="s">
        <v>86</v>
      </c>
      <c r="S62" s="4" t="s">
        <v>87</v>
      </c>
      <c r="T62" s="4">
        <f ca="1">ROUND(_Google_ads[[#This Row],[impressions]]*RANDBETWEEN(8,12)/10,0)</f>
        <v>57254</v>
      </c>
      <c r="U62" s="4">
        <f ca="1">ROUND(_Google_ads[[#This Row],[clicks]]*RANDBETWEEN(8,12)/10,0)</f>
        <v>2653</v>
      </c>
      <c r="V62" s="4">
        <f ca="1">_Google_ads[[#This Row],[cost]]*RANDBETWEEN(8,12)/10</f>
        <v>353.84000000000003</v>
      </c>
      <c r="W62" s="4">
        <f ca="1">ROUND(_Google_ads[[#This Row],[conversions]]*RANDBETWEEN(8,12)/10,0)</f>
        <v>56</v>
      </c>
      <c r="X62" s="4">
        <f ca="1">ROUND(_Google_ads[[#This Row],[conversion_value]]*RANDBETWEEN(8,12)/10,0)</f>
        <v>2800</v>
      </c>
      <c r="Y62" s="4">
        <f ca="1">_Google_ads[[#This Row],[ctr]]*RANDBETWEEN(8,12)/10</f>
        <v>2.6960000000000001E-2</v>
      </c>
      <c r="Z62" s="4">
        <f ca="1">_Google_ads[[#This Row],[avg_cpc]]*RANDBETWEEN(8,12)/10</f>
        <v>0.21600000000000003</v>
      </c>
      <c r="AA62" s="4">
        <f ca="1">ROUND(_Google_ads[[#This Row],[quality_score]]*RANDBETWEEN(8,12)/10,0)</f>
        <v>8</v>
      </c>
      <c r="AB62" s="4">
        <f ca="1">_Google_ads[[#This Row],[search_impression_share]]*RANDBETWEEN(8,12)/10</f>
        <v>0.748</v>
      </c>
      <c r="AD62" s="3">
        <f t="shared" ca="1" si="7"/>
        <v>45142</v>
      </c>
      <c r="AE62" s="4" t="s">
        <v>108</v>
      </c>
      <c r="AF62" s="4" t="s">
        <v>109</v>
      </c>
      <c r="AG62" s="4" t="s">
        <v>110</v>
      </c>
      <c r="AH62" s="4" t="s">
        <v>111</v>
      </c>
      <c r="AI62" s="4">
        <f ca="1">ROUND(T_Tiktok_ads[[#This Row],[impressions]]*RANDBETWEEN(8,12)/10,0)</f>
        <v>248901</v>
      </c>
      <c r="AJ62" s="4">
        <f ca="1">ROUND(T_Tiktok_ads[[#This Row],[clicks]]*RANDBETWEEN(8,12)/10,0)</f>
        <v>3934</v>
      </c>
      <c r="AK62" s="4">
        <v>478.5</v>
      </c>
      <c r="AL62" s="4">
        <f ca="1">ROUND(T_Tiktok_ads[[#This Row],[conversions]]*RANDBETWEEN(8,12)/10,0)</f>
        <v>42</v>
      </c>
      <c r="AM62" s="4">
        <f ca="1">ROUND(T_Tiktok_ads[[#This Row],[video_views]]*RANDBETWEEN(8,12)/10,0)</f>
        <v>195234</v>
      </c>
      <c r="AN62" s="4">
        <f ca="1">ROUND(T_Tiktok_ads[[#This Row],[video_watch_25]]*RANDBETWEEN(8,12)/10,0)</f>
        <v>178681</v>
      </c>
      <c r="AO62" s="4">
        <f ca="1">ROUND(T_Tiktok_ads[[#This Row],[video_watch_50]]*RANDBETWEEN(8,12)/10,0)</f>
        <v>94312</v>
      </c>
      <c r="AP62" s="4">
        <f ca="1">ROUND(T_Tiktok_ads[[#This Row],[video_watch_75]]*RANDBETWEEN(8,12)/10,0)</f>
        <v>76234</v>
      </c>
      <c r="AQ62" s="4">
        <f ca="1">ROUND(T_Tiktok_ads[[#This Row],[video_watch_100]]*RANDBETWEEN(8,12)/10,0)</f>
        <v>55481</v>
      </c>
      <c r="AR62" s="4">
        <f ca="1">ROUND(T_Tiktok_ads[[#This Row],[likes]]*RANDBETWEEN(8,12)/10,0)</f>
        <v>6987</v>
      </c>
      <c r="AS62" s="4">
        <f ca="1">ROUND(T_Tiktok_ads[[#This Row],[shares]]*RANDBETWEEN(8,12)/10,0)</f>
        <v>1921</v>
      </c>
      <c r="AT62" s="4">
        <f ca="1">ROUND(T_Tiktok_ads[[#This Row],[comments]]*RANDBETWEEN(8,12)/10,0)</f>
        <v>578</v>
      </c>
      <c r="AV62" s="5">
        <f t="shared" ca="1" si="8"/>
        <v>45149</v>
      </c>
      <c r="AW62">
        <f t="shared" ca="1" si="4"/>
        <v>4</v>
      </c>
      <c r="AX62">
        <f ca="1">ROUND(T_Facebook_Ads1159636771757983[[#This Row],[impressions]]*RANDBETWEEN(8,12)/10,0)</f>
        <v>24897</v>
      </c>
      <c r="AY62">
        <f ca="1">ROUND(T_Facebook_Ads1159636771757983[[#This Row],[clicks]]*RANDBETWEEN(8,12)/10,0)</f>
        <v>1747</v>
      </c>
      <c r="AZ62">
        <f ca="1">T_Facebook_Ads1159636771757983[[#This Row],[spend]]*RANDBETWEEN(8,12)/10</f>
        <v>197.56</v>
      </c>
      <c r="BA62">
        <f ca="1">ROUND(T_Facebook_Ads1159636771757983[[#This Row],[conversions]]*RANDBETWEEN(8,12)/10,0)</f>
        <v>34</v>
      </c>
      <c r="BB62">
        <f ca="1">ROUND(T_Facebook_Ads1159636771757983[[#This Row],[video_views]]*RANDBETWEEN(8,12)/10,0)</f>
        <v>3769</v>
      </c>
    </row>
    <row r="63" spans="1:54" ht="15.75" thickBot="1" x14ac:dyDescent="0.3">
      <c r="A63" s="3">
        <f t="shared" ca="1" si="5"/>
        <v>45147</v>
      </c>
      <c r="B63" s="4" t="s">
        <v>64</v>
      </c>
      <c r="C63" s="4" t="s">
        <v>65</v>
      </c>
      <c r="D63" s="4" t="s">
        <v>66</v>
      </c>
      <c r="E63" s="4" t="s">
        <v>67</v>
      </c>
      <c r="F63" s="4">
        <f ca="1">ROUND(T_Facebook_Ads[[#This Row],[impressions]]*RANDBETWEEN(8,12)/10,0)</f>
        <v>86814</v>
      </c>
      <c r="G63" s="4">
        <v>261</v>
      </c>
      <c r="H63" s="4">
        <f ca="1">T_Facebook_Ads[[#This Row],[spend]]*RANDBETWEEN(8,12)/10</f>
        <v>74.16</v>
      </c>
      <c r="I63" s="4">
        <f ca="1">ROUND(T_Facebook_Ads[[#This Row],[conversions]]*RANDBETWEEN(8,12)/10,0)</f>
        <v>8</v>
      </c>
      <c r="J63" s="4">
        <f ca="1">ROUND(T_Facebook_Ads[[#This Row],[video_views]]*RANDBETWEEN(8,12)/10,0)</f>
        <v>38854</v>
      </c>
      <c r="K63" s="4">
        <f ca="1">T_Facebook_Ads[[#This Row],[engagement_rate]]*RANDBETWEEN(8,12)/10</f>
        <v>3.2399999999999998E-3</v>
      </c>
      <c r="L63" s="4">
        <f ca="1">ROUND(T_Facebook_Ads[[#This Row],[reach]]*RANDBETWEEN(8,12)/10,0)</f>
        <v>64057</v>
      </c>
      <c r="M63" s="4">
        <f ca="1">T_Facebook_Ads[[#This Row],[frequency]]*RANDBETWEEN(8,12)/10</f>
        <v>1.24</v>
      </c>
      <c r="O63" s="3">
        <f t="shared" ca="1" si="6"/>
        <v>45146</v>
      </c>
      <c r="P63" s="4" t="s">
        <v>88</v>
      </c>
      <c r="Q63" s="4" t="s">
        <v>89</v>
      </c>
      <c r="R63" s="4" t="s">
        <v>90</v>
      </c>
      <c r="S63" s="4" t="s">
        <v>59</v>
      </c>
      <c r="T63" s="4">
        <f ca="1">ROUND(_Google_ads[[#This Row],[impressions]]*RANDBETWEEN(8,12)/10,0)</f>
        <v>135234</v>
      </c>
      <c r="U63" s="4">
        <f ca="1">ROUND(_Google_ads[[#This Row],[clicks]]*RANDBETWEEN(8,12)/10,0)</f>
        <v>551</v>
      </c>
      <c r="V63" s="4">
        <f ca="1">_Google_ads[[#This Row],[cost]]*RANDBETWEEN(8,12)/10</f>
        <v>146.95999999999998</v>
      </c>
      <c r="W63" s="4">
        <f ca="1">ROUND(_Google_ads[[#This Row],[conversions]]*RANDBETWEEN(8,12)/10,0)</f>
        <v>13</v>
      </c>
      <c r="X63" s="4">
        <f ca="1">ROUND(_Google_ads[[#This Row],[conversion_value]]*RANDBETWEEN(8,12)/10,0)</f>
        <v>700</v>
      </c>
      <c r="Y63" s="4">
        <f ca="1">_Google_ads[[#This Row],[ctr]]*RANDBETWEEN(8,12)/10</f>
        <v>3.3300000000000005E-3</v>
      </c>
      <c r="Z63" s="4">
        <f ca="1">_Google_ads[[#This Row],[avg_cpc]]*RANDBETWEEN(8,12)/10</f>
        <v>0.27</v>
      </c>
      <c r="AA63" s="4">
        <f ca="1">ROUND(_Google_ads[[#This Row],[quality_score]]*RANDBETWEEN(8,12)/10,0)</f>
        <v>6</v>
      </c>
      <c r="AB63" s="4">
        <f ca="1">_Google_ads[[#This Row],[search_impression_share]]*RANDBETWEEN(8,12)/10</f>
        <v>0.35</v>
      </c>
      <c r="AD63" s="3">
        <f t="shared" ca="1" si="7"/>
        <v>45155</v>
      </c>
      <c r="AE63" s="4" t="s">
        <v>112</v>
      </c>
      <c r="AF63" s="4" t="s">
        <v>113</v>
      </c>
      <c r="AG63" s="4" t="s">
        <v>114</v>
      </c>
      <c r="AH63" s="4" t="s">
        <v>115</v>
      </c>
      <c r="AI63" s="4">
        <f ca="1">ROUND(T_Tiktok_ads[[#This Row],[impressions]]*RANDBETWEEN(8,12)/10,0)</f>
        <v>521480</v>
      </c>
      <c r="AJ63" s="4">
        <f ca="1">ROUND(T_Tiktok_ads[[#This Row],[clicks]]*RANDBETWEEN(8,12)/10,0)</f>
        <v>7012</v>
      </c>
      <c r="AK63" s="4">
        <v>1089.3</v>
      </c>
      <c r="AL63" s="4">
        <f ca="1">ROUND(T_Tiktok_ads[[#This Row],[conversions]]*RANDBETWEEN(8,12)/10,0)</f>
        <v>109</v>
      </c>
      <c r="AM63" s="4">
        <f ca="1">ROUND(T_Tiktok_ads[[#This Row],[video_views]]*RANDBETWEEN(8,12)/10,0)</f>
        <v>367890</v>
      </c>
      <c r="AN63" s="4">
        <f ca="1">ROUND(T_Tiktok_ads[[#This Row],[video_watch_25]]*RANDBETWEEN(8,12)/10,0)</f>
        <v>266611</v>
      </c>
      <c r="AO63" s="4">
        <f ca="1">ROUND(T_Tiktok_ads[[#This Row],[video_watch_50]]*RANDBETWEEN(8,12)/10,0)</f>
        <v>237890</v>
      </c>
      <c r="AP63" s="4">
        <f ca="1">ROUND(T_Tiktok_ads[[#This Row],[video_watch_75]]*RANDBETWEEN(8,12)/10,0)</f>
        <v>134587</v>
      </c>
      <c r="AQ63" s="4">
        <f ca="1">ROUND(T_Tiktok_ads[[#This Row],[video_watch_100]]*RANDBETWEEN(8,12)/10,0)</f>
        <v>133481</v>
      </c>
      <c r="AR63" s="4">
        <f ca="1">ROUND(T_Tiktok_ads[[#This Row],[likes]]*RANDBETWEEN(8,12)/10,0)</f>
        <v>21157</v>
      </c>
      <c r="AS63" s="4">
        <f ca="1">ROUND(T_Tiktok_ads[[#This Row],[shares]]*RANDBETWEEN(8,12)/10,0)</f>
        <v>4981</v>
      </c>
      <c r="AT63" s="4">
        <f ca="1">ROUND(T_Tiktok_ads[[#This Row],[comments]]*RANDBETWEEN(8,12)/10,0)</f>
        <v>1828</v>
      </c>
      <c r="AV63" s="5">
        <f t="shared" ca="1" si="8"/>
        <v>45153</v>
      </c>
      <c r="AW63">
        <f t="shared" ca="1" si="4"/>
        <v>6</v>
      </c>
      <c r="AX63">
        <f ca="1">ROUND(T_Facebook_Ads1159636771757983[[#This Row],[impressions]]*RANDBETWEEN(8,12)/10,0)</f>
        <v>78133</v>
      </c>
      <c r="AY63">
        <f ca="1">ROUND(T_Facebook_Ads1159636771757983[[#This Row],[clicks]]*RANDBETWEEN(8,12)/10,0)</f>
        <v>313</v>
      </c>
      <c r="AZ63">
        <f ca="1">T_Facebook_Ads1159636771757983[[#This Row],[spend]]*RANDBETWEEN(8,12)/10</f>
        <v>59.327999999999996</v>
      </c>
      <c r="BA63">
        <f ca="1">ROUND(T_Facebook_Ads1159636771757983[[#This Row],[conversions]]*RANDBETWEEN(8,12)/10,0)</f>
        <v>8</v>
      </c>
      <c r="BB63">
        <f ca="1">ROUND(T_Facebook_Ads1159636771757983[[#This Row],[video_views]]*RANDBETWEEN(8,12)/10,0)</f>
        <v>42739</v>
      </c>
    </row>
    <row r="64" spans="1:54" ht="15.75" thickBot="1" x14ac:dyDescent="0.3">
      <c r="A64" s="3">
        <f t="shared" ca="1" si="5"/>
        <v>45156</v>
      </c>
      <c r="B64" s="4" t="s">
        <v>52</v>
      </c>
      <c r="C64" s="4" t="s">
        <v>53</v>
      </c>
      <c r="D64" s="4" t="s">
        <v>54</v>
      </c>
      <c r="E64" s="4" t="s">
        <v>55</v>
      </c>
      <c r="F64" s="4">
        <f ca="1">ROUND(T_Facebook_Ads[[#This Row],[impressions]]*RANDBETWEEN(8,12)/10,0)</f>
        <v>52679</v>
      </c>
      <c r="G64" s="4">
        <v>967</v>
      </c>
      <c r="H64" s="4">
        <f ca="1">T_Facebook_Ads[[#This Row],[spend]]*RANDBETWEEN(8,12)/10</f>
        <v>166.08</v>
      </c>
      <c r="I64" s="4">
        <f ca="1">ROUND(T_Facebook_Ads[[#This Row],[conversions]]*RANDBETWEEN(8,12)/10,0)</f>
        <v>12</v>
      </c>
      <c r="J64" s="4">
        <f ca="1">ROUND(T_Facebook_Ads[[#This Row],[video_views]]*RANDBETWEEN(8,12)/10,0)</f>
        <v>9668</v>
      </c>
      <c r="K64" s="4">
        <f ca="1">T_Facebook_Ads[[#This Row],[engagement_rate]]*RANDBETWEEN(8,12)/10</f>
        <v>1.8179999999999998E-2</v>
      </c>
      <c r="L64" s="4">
        <f ca="1">ROUND(T_Facebook_Ads[[#This Row],[reach]]*RANDBETWEEN(8,12)/10,0)</f>
        <v>36211</v>
      </c>
      <c r="M64" s="4">
        <f ca="1">T_Facebook_Ads[[#This Row],[frequency]]*RANDBETWEEN(8,12)/10</f>
        <v>1.3089999999999999</v>
      </c>
      <c r="O64" s="3">
        <f t="shared" ca="1" si="6"/>
        <v>45149</v>
      </c>
      <c r="P64" s="4" t="s">
        <v>76</v>
      </c>
      <c r="Q64" s="4" t="s">
        <v>77</v>
      </c>
      <c r="R64" s="4" t="s">
        <v>78</v>
      </c>
      <c r="S64" s="4" t="s">
        <v>79</v>
      </c>
      <c r="T64" s="4">
        <f ca="1">ROUND(_Google_ads[[#This Row],[impressions]]*RANDBETWEEN(8,12)/10,0)</f>
        <v>24567</v>
      </c>
      <c r="U64" s="4">
        <f ca="1">ROUND(_Google_ads[[#This Row],[clicks]]*RANDBETWEEN(8,12)/10,0)</f>
        <v>1031</v>
      </c>
      <c r="V64" s="4">
        <f ca="1">_Google_ads[[#This Row],[cost]]*RANDBETWEEN(8,12)/10</f>
        <v>271.48</v>
      </c>
      <c r="W64" s="4">
        <f ca="1">ROUND(_Google_ads[[#This Row],[conversions]]*RANDBETWEEN(8,12)/10,0)</f>
        <v>38</v>
      </c>
      <c r="X64" s="4">
        <f ca="1">ROUND(_Google_ads[[#This Row],[conversion_value]]*RANDBETWEEN(8,12)/10,0)</f>
        <v>1920</v>
      </c>
      <c r="Y64" s="4">
        <f ca="1">_Google_ads[[#This Row],[ctr]]*RANDBETWEEN(8,12)/10</f>
        <v>6.3E-2</v>
      </c>
      <c r="Z64" s="4">
        <f ca="1">_Google_ads[[#This Row],[avg_cpc]]*RANDBETWEEN(8,12)/10</f>
        <v>0.20899999999999999</v>
      </c>
      <c r="AA64" s="4">
        <f ca="1">ROUND(_Google_ads[[#This Row],[quality_score]]*RANDBETWEEN(8,12)/10,0)</f>
        <v>8</v>
      </c>
      <c r="AB64" s="4">
        <f ca="1">_Google_ads[[#This Row],[search_impression_share]]*RANDBETWEEN(8,12)/10</f>
        <v>1.0009999999999999</v>
      </c>
      <c r="AD64" s="3">
        <f t="shared" ca="1" si="7"/>
        <v>45158</v>
      </c>
      <c r="AE64" s="4" t="s">
        <v>100</v>
      </c>
      <c r="AF64" s="4" t="s">
        <v>101</v>
      </c>
      <c r="AG64" s="4" t="s">
        <v>102</v>
      </c>
      <c r="AH64" s="4" t="s">
        <v>103</v>
      </c>
      <c r="AI64" s="4">
        <f ca="1">ROUND(T_Tiktok_ads[[#This Row],[impressions]]*RANDBETWEEN(8,12)/10,0)</f>
        <v>278901</v>
      </c>
      <c r="AJ64" s="4">
        <f ca="1">ROUND(T_Tiktok_ads[[#This Row],[clicks]]*RANDBETWEEN(8,12)/10,0)</f>
        <v>4123</v>
      </c>
      <c r="AK64" s="4">
        <v>545.6</v>
      </c>
      <c r="AL64" s="4">
        <f ca="1">ROUND(T_Tiktok_ads[[#This Row],[conversions]]*RANDBETWEEN(8,12)/10,0)</f>
        <v>46</v>
      </c>
      <c r="AM64" s="4">
        <f ca="1">ROUND(T_Tiktok_ads[[#This Row],[video_views]]*RANDBETWEEN(8,12)/10,0)</f>
        <v>229234</v>
      </c>
      <c r="AN64" s="4">
        <f ca="1">ROUND(T_Tiktok_ads[[#This Row],[video_watch_25]]*RANDBETWEEN(8,12)/10,0)</f>
        <v>215081</v>
      </c>
      <c r="AO64" s="4">
        <f ca="1">ROUND(T_Tiktok_ads[[#This Row],[video_watch_50]]*RANDBETWEEN(8,12)/10,0)</f>
        <v>89787</v>
      </c>
      <c r="AP64" s="4">
        <f ca="1">ROUND(T_Tiktok_ads[[#This Row],[video_watch_75]]*RANDBETWEEN(8,12)/10,0)</f>
        <v>68110</v>
      </c>
      <c r="AQ64" s="4">
        <f ca="1">ROUND(T_Tiktok_ads[[#This Row],[video_watch_100]]*RANDBETWEEN(8,12)/10,0)</f>
        <v>50234</v>
      </c>
      <c r="AR64" s="4">
        <f ca="1">ROUND(T_Tiktok_ads[[#This Row],[likes]]*RANDBETWEEN(8,12)/10,0)</f>
        <v>11135</v>
      </c>
      <c r="AS64" s="4">
        <f ca="1">ROUND(T_Tiktok_ads[[#This Row],[shares]]*RANDBETWEEN(8,12)/10,0)</f>
        <v>2441</v>
      </c>
      <c r="AT64" s="4">
        <f ca="1">ROUND(T_Tiktok_ads[[#This Row],[comments]]*RANDBETWEEN(8,12)/10,0)</f>
        <v>774</v>
      </c>
      <c r="AV64" s="5">
        <f t="shared" ca="1" si="8"/>
        <v>45156</v>
      </c>
      <c r="AW64">
        <f t="shared" ca="1" si="4"/>
        <v>8</v>
      </c>
      <c r="AX64">
        <f ca="1">ROUND(T_Facebook_Ads1159636771757983[[#This Row],[impressions]]*RANDBETWEEN(8,12)/10,0)</f>
        <v>52679</v>
      </c>
      <c r="AY64">
        <f ca="1">ROUND(T_Facebook_Ads1159636771757983[[#This Row],[clicks]]*RANDBETWEEN(8,12)/10,0)</f>
        <v>774</v>
      </c>
      <c r="AZ64">
        <f ca="1">T_Facebook_Ads1159636771757983[[#This Row],[spend]]*RANDBETWEEN(8,12)/10</f>
        <v>182.68800000000002</v>
      </c>
      <c r="BA64">
        <f ca="1">ROUND(T_Facebook_Ads1159636771757983[[#This Row],[conversions]]*RANDBETWEEN(8,12)/10,0)</f>
        <v>14</v>
      </c>
      <c r="BB64">
        <f ca="1">ROUND(T_Facebook_Ads1159636771757983[[#This Row],[video_views]]*RANDBETWEEN(8,12)/10,0)</f>
        <v>11602</v>
      </c>
    </row>
    <row r="65" spans="1:54" ht="15.75" thickBot="1" x14ac:dyDescent="0.3">
      <c r="A65" s="3">
        <f t="shared" ca="1" si="5"/>
        <v>45140</v>
      </c>
      <c r="B65" s="4" t="s">
        <v>56</v>
      </c>
      <c r="C65" s="4" t="s">
        <v>57</v>
      </c>
      <c r="D65" s="4" t="s">
        <v>58</v>
      </c>
      <c r="E65" s="4" t="s">
        <v>59</v>
      </c>
      <c r="F65" s="4">
        <f ca="1">ROUND(T_Facebook_Ads[[#This Row],[impressions]]*RANDBETWEEN(8,12)/10,0)</f>
        <v>16668</v>
      </c>
      <c r="G65" s="4">
        <v>634</v>
      </c>
      <c r="H65" s="4">
        <f ca="1">T_Facebook_Ads[[#This Row],[spend]]*RANDBETWEEN(8,12)/10</f>
        <v>188.64000000000001</v>
      </c>
      <c r="I65" s="4">
        <f ca="1">ROUND(T_Facebook_Ads[[#This Row],[conversions]]*RANDBETWEEN(8,12)/10,0)</f>
        <v>44</v>
      </c>
      <c r="J65" s="4">
        <f ca="1">ROUND(T_Facebook_Ads[[#This Row],[video_views]]*RANDBETWEEN(8,12)/10,0)</f>
        <v>1378</v>
      </c>
      <c r="K65" s="4">
        <f ca="1">T_Facebook_Ads[[#This Row],[engagement_rate]]*RANDBETWEEN(8,12)/10</f>
        <v>5.0269999999999995E-2</v>
      </c>
      <c r="L65" s="4">
        <f ca="1">ROUND(T_Facebook_Ads[[#This Row],[reach]]*RANDBETWEEN(8,12)/10,0)</f>
        <v>8712</v>
      </c>
      <c r="M65" s="4">
        <f ca="1">T_Facebook_Ads[[#This Row],[frequency]]*RANDBETWEEN(8,12)/10</f>
        <v>1.524</v>
      </c>
      <c r="O65" s="3">
        <f t="shared" ca="1" si="6"/>
        <v>45169</v>
      </c>
      <c r="P65" s="4" t="s">
        <v>80</v>
      </c>
      <c r="Q65" s="4" t="s">
        <v>81</v>
      </c>
      <c r="R65" s="4" t="s">
        <v>82</v>
      </c>
      <c r="S65" s="4" t="s">
        <v>83</v>
      </c>
      <c r="T65" s="4">
        <f ca="1">ROUND(_Google_ads[[#This Row],[impressions]]*RANDBETWEEN(8,12)/10,0)</f>
        <v>40401</v>
      </c>
      <c r="U65" s="4">
        <f ca="1">ROUND(_Google_ads[[#This Row],[clicks]]*RANDBETWEEN(8,12)/10,0)</f>
        <v>801</v>
      </c>
      <c r="V65" s="4">
        <f ca="1">_Google_ads[[#This Row],[cost]]*RANDBETWEEN(8,12)/10</f>
        <v>689.6400000000001</v>
      </c>
      <c r="W65" s="4">
        <f ca="1">ROUND(_Google_ads[[#This Row],[conversions]]*RANDBETWEEN(8,12)/10,0)</f>
        <v>18</v>
      </c>
      <c r="X65" s="4">
        <f ca="1">ROUND(_Google_ads[[#This Row],[conversion_value]]*RANDBETWEEN(8,12)/10,0)</f>
        <v>1265</v>
      </c>
      <c r="Y65" s="4">
        <f ca="1">_Google_ads[[#This Row],[ctr]]*RANDBETWEEN(8,12)/10</f>
        <v>2.1780000000000001E-2</v>
      </c>
      <c r="Z65" s="4">
        <f ca="1">_Google_ads[[#This Row],[avg_cpc]]*RANDBETWEEN(8,12)/10</f>
        <v>0.71500000000000008</v>
      </c>
      <c r="AA65" s="4">
        <f ca="1">ROUND(_Google_ads[[#This Row],[quality_score]]*RANDBETWEEN(8,12)/10,0)</f>
        <v>6</v>
      </c>
      <c r="AB65" s="4">
        <f ca="1">_Google_ads[[#This Row],[search_impression_share]]*RANDBETWEEN(8,12)/10</f>
        <v>0.52800000000000002</v>
      </c>
      <c r="AD65" s="3">
        <f t="shared" ca="1" si="7"/>
        <v>45164</v>
      </c>
      <c r="AE65" s="4" t="s">
        <v>104</v>
      </c>
      <c r="AF65" s="4" t="s">
        <v>105</v>
      </c>
      <c r="AG65" s="4" t="s">
        <v>106</v>
      </c>
      <c r="AH65" s="4" t="s">
        <v>107</v>
      </c>
      <c r="AI65" s="4">
        <f ca="1">ROUND(T_Tiktok_ads[[#This Row],[impressions]]*RANDBETWEEN(8,12)/10,0)</f>
        <v>153456</v>
      </c>
      <c r="AJ65" s="4">
        <f ca="1">ROUND(T_Tiktok_ads[[#This Row],[clicks]]*RANDBETWEEN(8,12)/10,0)</f>
        <v>3240</v>
      </c>
      <c r="AK65" s="4">
        <v>789.2</v>
      </c>
      <c r="AL65" s="4">
        <f ca="1">ROUND(T_Tiktok_ads[[#This Row],[conversions]]*RANDBETWEEN(8,12)/10,0)</f>
        <v>95</v>
      </c>
      <c r="AM65" s="4">
        <f ca="1">ROUND(T_Tiktok_ads[[#This Row],[video_views]]*RANDBETWEEN(8,12)/10,0)</f>
        <v>107890</v>
      </c>
      <c r="AN65" s="4">
        <f ca="1">ROUND(T_Tiktok_ads[[#This Row],[video_watch_25]]*RANDBETWEEN(8,12)/10,0)</f>
        <v>63654</v>
      </c>
      <c r="AO65" s="4">
        <f ca="1">ROUND(T_Tiktok_ads[[#This Row],[video_watch_50]]*RANDBETWEEN(8,12)/10,0)</f>
        <v>48310</v>
      </c>
      <c r="AP65" s="4">
        <f ca="1">ROUND(T_Tiktok_ads[[#This Row],[video_watch_75]]*RANDBETWEEN(8,12)/10,0)</f>
        <v>40234</v>
      </c>
      <c r="AQ65" s="4">
        <f ca="1">ROUND(T_Tiktok_ads[[#This Row],[video_watch_100]]*RANDBETWEEN(8,12)/10,0)</f>
        <v>24201</v>
      </c>
      <c r="AR65" s="4">
        <f ca="1">ROUND(T_Tiktok_ads[[#This Row],[likes]]*RANDBETWEEN(8,12)/10,0)</f>
        <v>5234</v>
      </c>
      <c r="AS65" s="4">
        <f ca="1">ROUND(T_Tiktok_ads[[#This Row],[shares]]*RANDBETWEEN(8,12)/10,0)</f>
        <v>1310</v>
      </c>
      <c r="AT65" s="4">
        <f ca="1">ROUND(T_Tiktok_ads[[#This Row],[comments]]*RANDBETWEEN(8,12)/10,0)</f>
        <v>278</v>
      </c>
      <c r="AV65" s="5">
        <f t="shared" ca="1" si="8"/>
        <v>45162</v>
      </c>
      <c r="AW65">
        <f t="shared" ca="1" si="4"/>
        <v>4</v>
      </c>
      <c r="AX65">
        <f ca="1">ROUND(T_Facebook_Ads1159636771757983[[#This Row],[impressions]]*RANDBETWEEN(8,12)/10,0)</f>
        <v>16668</v>
      </c>
      <c r="AY65">
        <f ca="1">ROUND(T_Facebook_Ads1159636771757983[[#This Row],[clicks]]*RANDBETWEEN(8,12)/10,0)</f>
        <v>761</v>
      </c>
      <c r="AZ65">
        <f ca="1">T_Facebook_Ads1159636771757983[[#This Row],[spend]]*RANDBETWEEN(8,12)/10</f>
        <v>188.64000000000001</v>
      </c>
      <c r="BA65">
        <f ca="1">ROUND(T_Facebook_Ads1159636771757983[[#This Row],[conversions]]*RANDBETWEEN(8,12)/10,0)</f>
        <v>44</v>
      </c>
      <c r="BB65">
        <f ca="1">ROUND(T_Facebook_Ads1159636771757983[[#This Row],[video_views]]*RANDBETWEEN(8,12)/10,0)</f>
        <v>1240</v>
      </c>
    </row>
    <row r="66" spans="1:54" ht="15.75" thickBot="1" x14ac:dyDescent="0.3">
      <c r="A66" s="3">
        <f t="shared" ref="A66:A97" ca="1" si="9">DATE(2023,8,RANDBETWEEN(1,31))</f>
        <v>45156</v>
      </c>
      <c r="B66" s="4" t="s">
        <v>60</v>
      </c>
      <c r="C66" s="4" t="s">
        <v>61</v>
      </c>
      <c r="D66" s="4" t="s">
        <v>62</v>
      </c>
      <c r="E66" s="4" t="s">
        <v>63</v>
      </c>
      <c r="F66" s="4">
        <f ca="1">ROUND(T_Facebook_Ads[[#This Row],[impressions]]*RANDBETWEEN(8,12)/10,0)</f>
        <v>40957</v>
      </c>
      <c r="G66" s="4">
        <v>1367</v>
      </c>
      <c r="H66" s="4">
        <f ca="1">T_Facebook_Ads[[#This Row],[spend]]*RANDBETWEEN(8,12)/10</f>
        <v>209.9</v>
      </c>
      <c r="I66" s="4">
        <f ca="1">ROUND(T_Facebook_Ads[[#This Row],[conversions]]*RANDBETWEEN(8,12)/10,0)</f>
        <v>31</v>
      </c>
      <c r="J66" s="4">
        <f ca="1">ROUND(T_Facebook_Ads[[#This Row],[video_views]]*RANDBETWEEN(8,12)/10,0)</f>
        <v>4010</v>
      </c>
      <c r="K66" s="4">
        <f ca="1">T_Facebook_Ads[[#This Row],[engagement_rate]]*RANDBETWEEN(8,12)/10</f>
        <v>3.3030000000000004E-2</v>
      </c>
      <c r="L66" s="4">
        <f ca="1">ROUND(T_Facebook_Ads[[#This Row],[reach]]*RANDBETWEEN(8,12)/10,0)</f>
        <v>33746</v>
      </c>
      <c r="M66" s="4">
        <f ca="1">T_Facebook_Ads[[#This Row],[frequency]]*RANDBETWEEN(8,12)/10</f>
        <v>0.96799999999999997</v>
      </c>
      <c r="O66" s="3">
        <f t="shared" ref="O66:O97" ca="1" si="10">DATE(2023,8,RANDBETWEEN(1,31))</f>
        <v>45159</v>
      </c>
      <c r="P66" s="4" t="s">
        <v>84</v>
      </c>
      <c r="Q66" s="4" t="s">
        <v>85</v>
      </c>
      <c r="R66" s="4" t="s">
        <v>86</v>
      </c>
      <c r="S66" s="4" t="s">
        <v>87</v>
      </c>
      <c r="T66" s="4">
        <f ca="1">ROUND(_Google_ads[[#This Row],[impressions]]*RANDBETWEEN(8,12)/10,0)</f>
        <v>62311</v>
      </c>
      <c r="U66" s="4">
        <f ca="1">ROUND(_Google_ads[[#This Row],[clicks]]*RANDBETWEEN(8,12)/10,0)</f>
        <v>2071</v>
      </c>
      <c r="V66" s="4">
        <f ca="1">_Google_ads[[#This Row],[cost]]*RANDBETWEEN(8,12)/10</f>
        <v>423.5</v>
      </c>
      <c r="W66" s="4">
        <f ca="1">ROUND(_Google_ads[[#This Row],[conversions]]*RANDBETWEEN(8,12)/10,0)</f>
        <v>74</v>
      </c>
      <c r="X66" s="4">
        <f ca="1">ROUND(_Google_ads[[#This Row],[conversion_value]]*RANDBETWEEN(8,12)/10,0)</f>
        <v>3685</v>
      </c>
      <c r="Y66" s="4">
        <f ca="1">_Google_ads[[#This Row],[ctr]]*RANDBETWEEN(8,12)/10</f>
        <v>3.984E-2</v>
      </c>
      <c r="Z66" s="4">
        <f ca="1">_Google_ads[[#This Row],[avg_cpc]]*RANDBETWEEN(8,12)/10</f>
        <v>0.21600000000000003</v>
      </c>
      <c r="AA66" s="4">
        <f ca="1">ROUND(_Google_ads[[#This Row],[quality_score]]*RANDBETWEEN(8,12)/10,0)</f>
        <v>6</v>
      </c>
      <c r="AB66" s="4">
        <f ca="1">_Google_ads[[#This Row],[search_impression_share]]*RANDBETWEEN(8,12)/10</f>
        <v>0.67</v>
      </c>
      <c r="AD66" s="3">
        <f t="shared" ref="AD66:AD97" ca="1" si="11">DATE(2023,8,RANDBETWEEN(1,31))</f>
        <v>45159</v>
      </c>
      <c r="AE66" s="4" t="s">
        <v>108</v>
      </c>
      <c r="AF66" s="4" t="s">
        <v>109</v>
      </c>
      <c r="AG66" s="4" t="s">
        <v>110</v>
      </c>
      <c r="AH66" s="4" t="s">
        <v>111</v>
      </c>
      <c r="AI66" s="4">
        <f ca="1">ROUND(T_Tiktok_ads[[#This Row],[impressions]]*RANDBETWEEN(8,12)/10,0)</f>
        <v>236789</v>
      </c>
      <c r="AJ66" s="4">
        <f ca="1">ROUND(T_Tiktok_ads[[#This Row],[clicks]]*RANDBETWEEN(8,12)/10,0)</f>
        <v>4107</v>
      </c>
      <c r="AK66" s="4">
        <v>456.8</v>
      </c>
      <c r="AL66" s="4">
        <f ca="1">ROUND(T_Tiktok_ads[[#This Row],[conversions]]*RANDBETWEEN(8,12)/10,0)</f>
        <v>36</v>
      </c>
      <c r="AM66" s="4">
        <f ca="1">ROUND(T_Tiktok_ads[[#This Row],[video_views]]*RANDBETWEEN(8,12)/10,0)</f>
        <v>206679</v>
      </c>
      <c r="AN66" s="4">
        <f ca="1">ROUND(T_Tiktok_ads[[#This Row],[video_watch_25]]*RANDBETWEEN(8,12)/10,0)</f>
        <v>113876</v>
      </c>
      <c r="AO66" s="4">
        <f ca="1">ROUND(T_Tiktok_ads[[#This Row],[video_watch_50]]*RANDBETWEEN(8,12)/10,0)</f>
        <v>123580</v>
      </c>
      <c r="AP66" s="4">
        <f ca="1">ROUND(T_Tiktok_ads[[#This Row],[video_watch_75]]*RANDBETWEEN(8,12)/10,0)</f>
        <v>57876</v>
      </c>
      <c r="AQ66" s="4">
        <f ca="1">ROUND(T_Tiktok_ads[[#This Row],[video_watch_100]]*RANDBETWEEN(8,12)/10,0)</f>
        <v>35031</v>
      </c>
      <c r="AR66" s="4">
        <f ca="1">ROUND(T_Tiktok_ads[[#This Row],[likes]]*RANDBETWEEN(8,12)/10,0)</f>
        <v>7610</v>
      </c>
      <c r="AS66" s="4">
        <f ca="1">ROUND(T_Tiktok_ads[[#This Row],[shares]]*RANDBETWEEN(8,12)/10,0)</f>
        <v>2494</v>
      </c>
      <c r="AT66" s="4">
        <f ca="1">ROUND(T_Tiktok_ads[[#This Row],[comments]]*RANDBETWEEN(8,12)/10,0)</f>
        <v>654</v>
      </c>
      <c r="AV66" s="5">
        <f t="shared" ref="AV66:AV97" ca="1" si="12">DATE(2023,8,RANDBETWEEN(1,31))</f>
        <v>45142</v>
      </c>
      <c r="AW66">
        <f t="shared" ca="1" si="4"/>
        <v>2</v>
      </c>
      <c r="AX66">
        <f ca="1">ROUND(T_Facebook_Ads1159636771757983[[#This Row],[impressions]]*RANDBETWEEN(8,12)/10,0)</f>
        <v>40957</v>
      </c>
      <c r="AY66">
        <f ca="1">ROUND(T_Facebook_Ads1159636771757983[[#This Row],[clicks]]*RANDBETWEEN(8,12)/10,0)</f>
        <v>1094</v>
      </c>
      <c r="AZ66">
        <f ca="1">T_Facebook_Ads1159636771757983[[#This Row],[spend]]*RANDBETWEEN(8,12)/10</f>
        <v>251.88000000000002</v>
      </c>
      <c r="BA66">
        <f ca="1">ROUND(T_Facebook_Ads1159636771757983[[#This Row],[conversions]]*RANDBETWEEN(8,12)/10,0)</f>
        <v>28</v>
      </c>
      <c r="BB66">
        <f ca="1">ROUND(T_Facebook_Ads1159636771757983[[#This Row],[video_views]]*RANDBETWEEN(8,12)/10,0)</f>
        <v>3208</v>
      </c>
    </row>
    <row r="67" spans="1:54" ht="15.75" thickBot="1" x14ac:dyDescent="0.3">
      <c r="A67" s="3">
        <f t="shared" ca="1" si="9"/>
        <v>45160</v>
      </c>
      <c r="B67" s="4" t="s">
        <v>64</v>
      </c>
      <c r="C67" s="4" t="s">
        <v>65</v>
      </c>
      <c r="D67" s="4" t="s">
        <v>66</v>
      </c>
      <c r="E67" s="4" t="s">
        <v>67</v>
      </c>
      <c r="F67" s="4">
        <f ca="1">ROUND(T_Facebook_Ads[[#This Row],[impressions]]*RANDBETWEEN(8,12)/10,0)</f>
        <v>70123</v>
      </c>
      <c r="G67" s="4">
        <v>253</v>
      </c>
      <c r="H67" s="4">
        <f ca="1">T_Facebook_Ads[[#This Row],[spend]]*RANDBETWEEN(8,12)/10</f>
        <v>98.34</v>
      </c>
      <c r="I67" s="4">
        <f ca="1">ROUND(T_Facebook_Ads[[#This Row],[conversions]]*RANDBETWEEN(8,12)/10,0)</f>
        <v>7</v>
      </c>
      <c r="J67" s="4">
        <f ca="1">ROUND(T_Facebook_Ads[[#This Row],[video_views]]*RANDBETWEEN(8,12)/10,0)</f>
        <v>51957</v>
      </c>
      <c r="K67" s="4">
        <f ca="1">T_Facebook_Ads[[#This Row],[engagement_rate]]*RANDBETWEEN(8,12)/10</f>
        <v>3.2399999999999998E-3</v>
      </c>
      <c r="L67" s="4">
        <f ca="1">ROUND(T_Facebook_Ads[[#This Row],[reach]]*RANDBETWEEN(8,12)/10,0)</f>
        <v>69468</v>
      </c>
      <c r="M67" s="4">
        <f ca="1">T_Facebook_Ads[[#This Row],[frequency]]*RANDBETWEEN(8,12)/10</f>
        <v>1.452</v>
      </c>
      <c r="O67" s="3">
        <f t="shared" ca="1" si="10"/>
        <v>45163</v>
      </c>
      <c r="P67" s="4" t="s">
        <v>88</v>
      </c>
      <c r="Q67" s="4" t="s">
        <v>89</v>
      </c>
      <c r="R67" s="4" t="s">
        <v>90</v>
      </c>
      <c r="S67" s="4" t="s">
        <v>59</v>
      </c>
      <c r="T67" s="4">
        <f ca="1">ROUND(_Google_ads[[#This Row],[impressions]]*RANDBETWEEN(8,12)/10,0)</f>
        <v>105254</v>
      </c>
      <c r="U67" s="4">
        <f ca="1">ROUND(_Google_ads[[#This Row],[clicks]]*RANDBETWEEN(8,12)/10,0)</f>
        <v>382</v>
      </c>
      <c r="V67" s="4">
        <f ca="1">_Google_ads[[#This Row],[cost]]*RANDBETWEEN(8,12)/10</f>
        <v>142.34</v>
      </c>
      <c r="W67" s="4">
        <f ca="1">ROUND(_Google_ads[[#This Row],[conversions]]*RANDBETWEEN(8,12)/10,0)</f>
        <v>16</v>
      </c>
      <c r="X67" s="4">
        <f ca="1">ROUND(_Google_ads[[#This Row],[conversion_value]]*RANDBETWEEN(8,12)/10,0)</f>
        <v>650</v>
      </c>
      <c r="Y67" s="4">
        <f ca="1">_Google_ads[[#This Row],[ctr]]*RANDBETWEEN(8,12)/10</f>
        <v>3.2399999999999998E-3</v>
      </c>
      <c r="Z67" s="4">
        <f ca="1">_Google_ads[[#This Row],[avg_cpc]]*RANDBETWEEN(8,12)/10</f>
        <v>0.27</v>
      </c>
      <c r="AA67" s="4">
        <f ca="1">ROUND(_Google_ads[[#This Row],[quality_score]]*RANDBETWEEN(8,12)/10,0)</f>
        <v>6</v>
      </c>
      <c r="AB67" s="4">
        <f ca="1">_Google_ads[[#This Row],[search_impression_share]]*RANDBETWEEN(8,12)/10</f>
        <v>0.40800000000000003</v>
      </c>
      <c r="AD67" s="3">
        <f t="shared" ca="1" si="11"/>
        <v>45150</v>
      </c>
      <c r="AE67" s="4" t="s">
        <v>112</v>
      </c>
      <c r="AF67" s="4" t="s">
        <v>113</v>
      </c>
      <c r="AG67" s="4" t="s">
        <v>114</v>
      </c>
      <c r="AH67" s="4" t="s">
        <v>115</v>
      </c>
      <c r="AI67" s="4">
        <f ca="1">ROUND(T_Tiktok_ads[[#This Row],[impressions]]*RANDBETWEEN(8,12)/10,0)</f>
        <v>338765</v>
      </c>
      <c r="AJ67" s="4">
        <f ca="1">ROUND(T_Tiktok_ads[[#This Row],[clicks]]*RANDBETWEEN(8,12)/10,0)</f>
        <v>8147</v>
      </c>
      <c r="AK67" s="4">
        <v>1034.5</v>
      </c>
      <c r="AL67" s="4">
        <f ca="1">ROUND(T_Tiktok_ads[[#This Row],[conversions]]*RANDBETWEEN(8,12)/10,0)</f>
        <v>94</v>
      </c>
      <c r="AM67" s="4">
        <f ca="1">ROUND(T_Tiktok_ads[[#This Row],[video_views]]*RANDBETWEEN(8,12)/10,0)</f>
        <v>356789</v>
      </c>
      <c r="AN67" s="4">
        <f ca="1">ROUND(T_Tiktok_ads[[#This Row],[video_watch_25]]*RANDBETWEEN(8,12)/10,0)</f>
        <v>315957</v>
      </c>
      <c r="AO67" s="4">
        <f ca="1">ROUND(T_Tiktok_ads[[#This Row],[video_watch_50]]*RANDBETWEEN(8,12)/10,0)</f>
        <v>206311</v>
      </c>
      <c r="AP67" s="4">
        <f ca="1">ROUND(T_Tiktok_ads[[#This Row],[video_watch_75]]*RANDBETWEEN(8,12)/10,0)</f>
        <v>162345</v>
      </c>
      <c r="AQ67" s="4">
        <f ca="1">ROUND(T_Tiktok_ads[[#This Row],[video_watch_100]]*RANDBETWEEN(8,12)/10,0)</f>
        <v>129468</v>
      </c>
      <c r="AR67" s="4">
        <f ca="1">ROUND(T_Tiktok_ads[[#This Row],[likes]]*RANDBETWEEN(8,12)/10,0)</f>
        <v>20632</v>
      </c>
      <c r="AS67" s="4">
        <f ca="1">ROUND(T_Tiktok_ads[[#This Row],[shares]]*RANDBETWEEN(8,12)/10,0)</f>
        <v>5345</v>
      </c>
      <c r="AT67" s="4">
        <f ca="1">ROUND(T_Tiktok_ads[[#This Row],[comments]]*RANDBETWEEN(8,12)/10,0)</f>
        <v>1310</v>
      </c>
      <c r="AV67" s="5">
        <f t="shared" ca="1" si="12"/>
        <v>45162</v>
      </c>
      <c r="AW67">
        <f t="shared" ref="AW67:AW111" ca="1" si="13">RANDBETWEEN(1,8)</f>
        <v>8</v>
      </c>
      <c r="AX67">
        <f ca="1">ROUND(T_Facebook_Ads1159636771757983[[#This Row],[impressions]]*RANDBETWEEN(8,12)/10,0)</f>
        <v>63111</v>
      </c>
      <c r="AY67">
        <f ca="1">ROUND(T_Facebook_Ads1159636771757983[[#This Row],[clicks]]*RANDBETWEEN(8,12)/10,0)</f>
        <v>202</v>
      </c>
      <c r="AZ67">
        <f ca="1">T_Facebook_Ads1159636771757983[[#This Row],[spend]]*RANDBETWEEN(8,12)/10</f>
        <v>98.34</v>
      </c>
      <c r="BA67">
        <f ca="1">ROUND(T_Facebook_Ads1159636771757983[[#This Row],[conversions]]*RANDBETWEEN(8,12)/10,0)</f>
        <v>8</v>
      </c>
      <c r="BB67">
        <f ca="1">ROUND(T_Facebook_Ads1159636771757983[[#This Row],[video_views]]*RANDBETWEEN(8,12)/10,0)</f>
        <v>41566</v>
      </c>
    </row>
    <row r="68" spans="1:54" ht="15.75" thickBot="1" x14ac:dyDescent="0.3">
      <c r="A68" s="3">
        <f t="shared" ca="1" si="9"/>
        <v>45157</v>
      </c>
      <c r="B68" s="4" t="s">
        <v>52</v>
      </c>
      <c r="C68" s="4" t="s">
        <v>53</v>
      </c>
      <c r="D68" s="4" t="s">
        <v>54</v>
      </c>
      <c r="E68" s="4" t="s">
        <v>55</v>
      </c>
      <c r="F68" s="4">
        <f ca="1">ROUND(T_Facebook_Ads[[#This Row],[impressions]]*RANDBETWEEN(8,12)/10,0)</f>
        <v>43234</v>
      </c>
      <c r="G68" s="4">
        <v>878</v>
      </c>
      <c r="H68" s="4">
        <f ca="1">T_Facebook_Ads[[#This Row],[spend]]*RANDBETWEEN(8,12)/10</f>
        <v>125.7</v>
      </c>
      <c r="I68" s="4">
        <f ca="1">ROUND(T_Facebook_Ads[[#This Row],[conversions]]*RANDBETWEEN(8,12)/10,0)</f>
        <v>10</v>
      </c>
      <c r="J68" s="4">
        <f ca="1">ROUND(T_Facebook_Ads[[#This Row],[video_views]]*RANDBETWEEN(8,12)/10,0)</f>
        <v>8679</v>
      </c>
      <c r="K68" s="4">
        <f ca="1">T_Facebook_Ads[[#This Row],[engagement_rate]]*RANDBETWEEN(8,12)/10</f>
        <v>2.2329999999999999E-2</v>
      </c>
      <c r="L68" s="4">
        <f ca="1">ROUND(T_Facebook_Ads[[#This Row],[reach]]*RANDBETWEEN(8,12)/10,0)</f>
        <v>32910</v>
      </c>
      <c r="M68" s="4">
        <f ca="1">T_Facebook_Ads[[#This Row],[frequency]]*RANDBETWEEN(8,12)/10</f>
        <v>1.0619999999999998</v>
      </c>
      <c r="O68" s="3">
        <f t="shared" ca="1" si="10"/>
        <v>45141</v>
      </c>
      <c r="P68" s="4" t="s">
        <v>76</v>
      </c>
      <c r="Q68" s="4" t="s">
        <v>77</v>
      </c>
      <c r="R68" s="4" t="s">
        <v>78</v>
      </c>
      <c r="S68" s="4" t="s">
        <v>79</v>
      </c>
      <c r="T68" s="4">
        <f ca="1">ROUND(_Google_ads[[#This Row],[impressions]]*RANDBETWEEN(8,12)/10,0)</f>
        <v>20111</v>
      </c>
      <c r="U68" s="4">
        <f ca="1">ROUND(_Google_ads[[#This Row],[clicks]]*RANDBETWEEN(8,12)/10,0)</f>
        <v>1235</v>
      </c>
      <c r="V68" s="4">
        <f ca="1">_Google_ads[[#This Row],[cost]]*RANDBETWEEN(8,12)/10</f>
        <v>171.6</v>
      </c>
      <c r="W68" s="4">
        <f ca="1">ROUND(_Google_ads[[#This Row],[conversions]]*RANDBETWEEN(8,12)/10,0)</f>
        <v>42</v>
      </c>
      <c r="X68" s="4">
        <f ca="1">ROUND(_Google_ads[[#This Row],[conversion_value]]*RANDBETWEEN(8,12)/10,0)</f>
        <v>1890</v>
      </c>
      <c r="Y68" s="4">
        <f ca="1">_Google_ads[[#This Row],[ctr]]*RANDBETWEEN(8,12)/10</f>
        <v>5.5330000000000004E-2</v>
      </c>
      <c r="Z68" s="4">
        <f ca="1">_Google_ads[[#This Row],[avg_cpc]]*RANDBETWEEN(8,12)/10</f>
        <v>0.20899999999999999</v>
      </c>
      <c r="AA68" s="4">
        <f ca="1">ROUND(_Google_ads[[#This Row],[quality_score]]*RANDBETWEEN(8,12)/10,0)</f>
        <v>8</v>
      </c>
      <c r="AB68" s="4">
        <f ca="1">_Google_ads[[#This Row],[search_impression_share]]*RANDBETWEEN(8,12)/10</f>
        <v>0.71199999999999997</v>
      </c>
      <c r="AD68" s="3">
        <f t="shared" ca="1" si="11"/>
        <v>45166</v>
      </c>
      <c r="AE68" s="4" t="s">
        <v>100</v>
      </c>
      <c r="AF68" s="4" t="s">
        <v>101</v>
      </c>
      <c r="AG68" s="4" t="s">
        <v>102</v>
      </c>
      <c r="AH68" s="4" t="s">
        <v>103</v>
      </c>
      <c r="AI68" s="4">
        <f ca="1">ROUND(T_Tiktok_ads[[#This Row],[impressions]]*RANDBETWEEN(8,12)/10,0)</f>
        <v>281857</v>
      </c>
      <c r="AJ68" s="4">
        <f ca="1">ROUND(T_Tiktok_ads[[#This Row],[clicks]]*RANDBETWEEN(8,12)/10,0)</f>
        <v>4441</v>
      </c>
      <c r="AK68" s="4">
        <v>490.5</v>
      </c>
      <c r="AL68" s="4">
        <f ca="1">ROUND(T_Tiktok_ads[[#This Row],[conversions]]*RANDBETWEEN(8,12)/10,0)</f>
        <v>38</v>
      </c>
      <c r="AM68" s="4">
        <f ca="1">ROUND(T_Tiktok_ads[[#This Row],[video_views]]*RANDBETWEEN(8,12)/10,0)</f>
        <v>230157</v>
      </c>
      <c r="AN68" s="4">
        <f ca="1">ROUND(T_Tiktok_ads[[#This Row],[video_watch_25]]*RANDBETWEEN(8,12)/10,0)</f>
        <v>147210</v>
      </c>
      <c r="AO68" s="4">
        <f ca="1">ROUND(T_Tiktok_ads[[#This Row],[video_watch_50]]*RANDBETWEEN(8,12)/10,0)</f>
        <v>92310</v>
      </c>
      <c r="AP68" s="4">
        <f ca="1">ROUND(T_Tiktok_ads[[#This Row],[video_watch_75]]*RANDBETWEEN(8,12)/10,0)</f>
        <v>76524</v>
      </c>
      <c r="AQ68" s="4">
        <f ca="1">ROUND(T_Tiktok_ads[[#This Row],[video_watch_100]]*RANDBETWEEN(8,12)/10,0)</f>
        <v>37254</v>
      </c>
      <c r="AR68" s="4">
        <f ca="1">ROUND(T_Tiktok_ads[[#This Row],[likes]]*RANDBETWEEN(8,12)/10,0)</f>
        <v>10948</v>
      </c>
      <c r="AS68" s="4">
        <f ca="1">ROUND(T_Tiktok_ads[[#This Row],[shares]]*RANDBETWEEN(8,12)/10,0)</f>
        <v>2423</v>
      </c>
      <c r="AT68" s="4">
        <f ca="1">ROUND(T_Tiktok_ads[[#This Row],[comments]]*RANDBETWEEN(8,12)/10,0)</f>
        <v>661</v>
      </c>
      <c r="AV68" s="5">
        <f t="shared" ca="1" si="12"/>
        <v>45168</v>
      </c>
      <c r="AW68">
        <f t="shared" ca="1" si="13"/>
        <v>6</v>
      </c>
      <c r="AX68">
        <f ca="1">ROUND(T_Facebook_Ads1159636771757983[[#This Row],[impressions]]*RANDBETWEEN(8,12)/10,0)</f>
        <v>51881</v>
      </c>
      <c r="AY68">
        <f ca="1">ROUND(T_Facebook_Ads1159636771757983[[#This Row],[clicks]]*RANDBETWEEN(8,12)/10,0)</f>
        <v>790</v>
      </c>
      <c r="AZ68">
        <f ca="1">T_Facebook_Ads1159636771757983[[#This Row],[spend]]*RANDBETWEEN(8,12)/10</f>
        <v>125.7</v>
      </c>
      <c r="BA68">
        <f ca="1">ROUND(T_Facebook_Ads1159636771757983[[#This Row],[conversions]]*RANDBETWEEN(8,12)/10,0)</f>
        <v>9</v>
      </c>
      <c r="BB68">
        <f ca="1">ROUND(T_Facebook_Ads1159636771757983[[#This Row],[video_views]]*RANDBETWEEN(8,12)/10,0)</f>
        <v>10415</v>
      </c>
    </row>
    <row r="69" spans="1:54" ht="15.75" thickBot="1" x14ac:dyDescent="0.3">
      <c r="A69" s="3">
        <f t="shared" ca="1" si="9"/>
        <v>45148</v>
      </c>
      <c r="B69" s="4" t="s">
        <v>56</v>
      </c>
      <c r="C69" s="4" t="s">
        <v>57</v>
      </c>
      <c r="D69" s="4" t="s">
        <v>58</v>
      </c>
      <c r="E69" s="4" t="s">
        <v>59</v>
      </c>
      <c r="F69" s="4">
        <f ca="1">ROUND(T_Facebook_Ads[[#This Row],[impressions]]*RANDBETWEEN(8,12)/10,0)</f>
        <v>14268</v>
      </c>
      <c r="G69" s="4">
        <v>545</v>
      </c>
      <c r="H69" s="4">
        <f ca="1">T_Facebook_Ads[[#This Row],[spend]]*RANDBETWEEN(8,12)/10</f>
        <v>161.84</v>
      </c>
      <c r="I69" s="4">
        <f ca="1">ROUND(T_Facebook_Ads[[#This Row],[conversions]]*RANDBETWEEN(8,12)/10,0)</f>
        <v>31</v>
      </c>
      <c r="J69" s="4">
        <f ca="1">ROUND(T_Facebook_Ads[[#This Row],[video_views]]*RANDBETWEEN(8,12)/10,0)</f>
        <v>1156</v>
      </c>
      <c r="K69" s="4">
        <f ca="1">T_Facebook_Ads[[#This Row],[engagement_rate]]*RANDBETWEEN(8,12)/10</f>
        <v>4.58E-2</v>
      </c>
      <c r="L69" s="4">
        <f ca="1">ROUND(T_Facebook_Ads[[#This Row],[reach]]*RANDBETWEEN(8,12)/10,0)</f>
        <v>11480</v>
      </c>
      <c r="M69" s="4">
        <f ca="1">T_Facebook_Ads[[#This Row],[frequency]]*RANDBETWEEN(8,12)/10</f>
        <v>1.024</v>
      </c>
      <c r="O69" s="3">
        <f t="shared" ca="1" si="10"/>
        <v>45165</v>
      </c>
      <c r="P69" s="4" t="s">
        <v>80</v>
      </c>
      <c r="Q69" s="4" t="s">
        <v>81</v>
      </c>
      <c r="R69" s="4" t="s">
        <v>82</v>
      </c>
      <c r="S69" s="4" t="s">
        <v>83</v>
      </c>
      <c r="T69" s="4">
        <f ca="1">ROUND(_Google_ads[[#This Row],[impressions]]*RANDBETWEEN(8,12)/10,0)</f>
        <v>32454</v>
      </c>
      <c r="U69" s="4">
        <f ca="1">ROUND(_Google_ads[[#This Row],[clicks]]*RANDBETWEEN(8,12)/10,0)</f>
        <v>974</v>
      </c>
      <c r="V69" s="4">
        <f ca="1">_Google_ads[[#This Row],[cost]]*RANDBETWEEN(8,12)/10</f>
        <v>572.43999999999994</v>
      </c>
      <c r="W69" s="4">
        <f ca="1">ROUND(_Google_ads[[#This Row],[conversions]]*RANDBETWEEN(8,12)/10,0)</f>
        <v>24</v>
      </c>
      <c r="X69" s="4">
        <f ca="1">ROUND(_Google_ads[[#This Row],[conversion_value]]*RANDBETWEEN(8,12)/10,0)</f>
        <v>900</v>
      </c>
      <c r="Y69" s="4">
        <f ca="1">_Google_ads[[#This Row],[ctr]]*RANDBETWEEN(8,12)/10</f>
        <v>1.7999999999999999E-2</v>
      </c>
      <c r="Z69" s="4">
        <f ca="1">_Google_ads[[#This Row],[avg_cpc]]*RANDBETWEEN(8,12)/10</f>
        <v>0.64</v>
      </c>
      <c r="AA69" s="4">
        <f ca="1">ROUND(_Google_ads[[#This Row],[quality_score]]*RANDBETWEEN(8,12)/10,0)</f>
        <v>7</v>
      </c>
      <c r="AB69" s="4">
        <f ca="1">_Google_ads[[#This Row],[search_impression_share]]*RANDBETWEEN(8,12)/10</f>
        <v>0.33599999999999997</v>
      </c>
      <c r="AD69" s="3">
        <f t="shared" ca="1" si="11"/>
        <v>45158</v>
      </c>
      <c r="AE69" s="4" t="s">
        <v>104</v>
      </c>
      <c r="AF69" s="4" t="s">
        <v>105</v>
      </c>
      <c r="AG69" s="4" t="s">
        <v>106</v>
      </c>
      <c r="AH69" s="4" t="s">
        <v>107</v>
      </c>
      <c r="AI69" s="4">
        <f ca="1">ROUND(T_Tiktok_ads[[#This Row],[impressions]]*RANDBETWEEN(8,12)/10,0)</f>
        <v>170814</v>
      </c>
      <c r="AJ69" s="4">
        <f ca="1">ROUND(T_Tiktok_ads[[#This Row],[clicks]]*RANDBETWEEN(8,12)/10,0)</f>
        <v>2678</v>
      </c>
      <c r="AK69" s="4">
        <v>734.5</v>
      </c>
      <c r="AL69" s="4">
        <f ca="1">ROUND(T_Tiktok_ads[[#This Row],[conversions]]*RANDBETWEEN(8,12)/10,0)</f>
        <v>88</v>
      </c>
      <c r="AM69" s="4">
        <f ca="1">ROUND(T_Tiktok_ads[[#This Row],[video_views]]*RANDBETWEEN(8,12)/10,0)</f>
        <v>107679</v>
      </c>
      <c r="AN69" s="4">
        <f ca="1">ROUND(T_Tiktok_ads[[#This Row],[video_watch_25]]*RANDBETWEEN(8,12)/10,0)</f>
        <v>86814</v>
      </c>
      <c r="AO69" s="4">
        <f ca="1">ROUND(T_Tiktok_ads[[#This Row],[video_watch_50]]*RANDBETWEEN(8,12)/10,0)</f>
        <v>53791</v>
      </c>
      <c r="AP69" s="4">
        <f ca="1">ROUND(T_Tiktok_ads[[#This Row],[video_watch_75]]*RANDBETWEEN(8,12)/10,0)</f>
        <v>36789</v>
      </c>
      <c r="AQ69" s="4">
        <f ca="1">ROUND(T_Tiktok_ads[[#This Row],[video_watch_100]]*RANDBETWEEN(8,12)/10,0)</f>
        <v>19912</v>
      </c>
      <c r="AR69" s="4">
        <f ca="1">ROUND(T_Tiktok_ads[[#This Row],[likes]]*RANDBETWEEN(8,12)/10,0)</f>
        <v>5391</v>
      </c>
      <c r="AS69" s="4">
        <f ca="1">ROUND(T_Tiktok_ads[[#This Row],[shares]]*RANDBETWEEN(8,12)/10,0)</f>
        <v>1085</v>
      </c>
      <c r="AT69" s="4">
        <f ca="1">ROUND(T_Tiktok_ads[[#This Row],[comments]]*RANDBETWEEN(8,12)/10,0)</f>
        <v>256</v>
      </c>
      <c r="AV69" s="5">
        <f t="shared" ca="1" si="12"/>
        <v>45147</v>
      </c>
      <c r="AW69">
        <f t="shared" ca="1" si="13"/>
        <v>4</v>
      </c>
      <c r="AX69">
        <f ca="1">ROUND(T_Facebook_Ads1159636771757983[[#This Row],[impressions]]*RANDBETWEEN(8,12)/10,0)</f>
        <v>14268</v>
      </c>
      <c r="AY69">
        <f ca="1">ROUND(T_Facebook_Ads1159636771757983[[#This Row],[clicks]]*RANDBETWEEN(8,12)/10,0)</f>
        <v>654</v>
      </c>
      <c r="AZ69">
        <f ca="1">T_Facebook_Ads1159636771757983[[#This Row],[spend]]*RANDBETWEEN(8,12)/10</f>
        <v>194.208</v>
      </c>
      <c r="BA69">
        <f ca="1">ROUND(T_Facebook_Ads1159636771757983[[#This Row],[conversions]]*RANDBETWEEN(8,12)/10,0)</f>
        <v>25</v>
      </c>
      <c r="BB69">
        <f ca="1">ROUND(T_Facebook_Ads1159636771757983[[#This Row],[video_views]]*RANDBETWEEN(8,12)/10,0)</f>
        <v>1040</v>
      </c>
    </row>
    <row r="70" spans="1:54" ht="15.75" thickBot="1" x14ac:dyDescent="0.3">
      <c r="A70" s="3">
        <f t="shared" ca="1" si="9"/>
        <v>45166</v>
      </c>
      <c r="B70" s="4" t="s">
        <v>60</v>
      </c>
      <c r="C70" s="4" t="s">
        <v>61</v>
      </c>
      <c r="D70" s="4" t="s">
        <v>62</v>
      </c>
      <c r="E70" s="4" t="s">
        <v>63</v>
      </c>
      <c r="F70" s="4">
        <f ca="1">ROUND(T_Facebook_Ads[[#This Row],[impressions]]*RANDBETWEEN(8,12)/10,0)</f>
        <v>31110</v>
      </c>
      <c r="G70" s="4">
        <v>1234</v>
      </c>
      <c r="H70" s="4">
        <f ca="1">T_Facebook_Ads[[#This Row],[spend]]*RANDBETWEEN(8,12)/10</f>
        <v>189.6</v>
      </c>
      <c r="I70" s="4">
        <f ca="1">ROUND(T_Facebook_Ads[[#This Row],[conversions]]*RANDBETWEEN(8,12)/10,0)</f>
        <v>29</v>
      </c>
      <c r="J70" s="4">
        <f ca="1">ROUND(T_Facebook_Ads[[#This Row],[video_views]]*RANDBETWEEN(8,12)/10,0)</f>
        <v>5480</v>
      </c>
      <c r="K70" s="4">
        <f ca="1">T_Facebook_Ads[[#This Row],[engagement_rate]]*RANDBETWEEN(8,12)/10</f>
        <v>3.9270000000000006E-2</v>
      </c>
      <c r="L70" s="4">
        <f ca="1">ROUND(T_Facebook_Ads[[#This Row],[reach]]*RANDBETWEEN(8,12)/10,0)</f>
        <v>23147</v>
      </c>
      <c r="M70" s="4">
        <f ca="1">T_Facebook_Ads[[#This Row],[frequency]]*RANDBETWEEN(8,12)/10</f>
        <v>1.071</v>
      </c>
      <c r="O70" s="3">
        <f t="shared" ca="1" si="10"/>
        <v>45152</v>
      </c>
      <c r="P70" s="4" t="s">
        <v>84</v>
      </c>
      <c r="Q70" s="4" t="s">
        <v>85</v>
      </c>
      <c r="R70" s="4" t="s">
        <v>86</v>
      </c>
      <c r="S70" s="4" t="s">
        <v>87</v>
      </c>
      <c r="T70" s="4">
        <f ca="1">ROUND(_Google_ads[[#This Row],[impressions]]*RANDBETWEEN(8,12)/10,0)</f>
        <v>77868</v>
      </c>
      <c r="U70" s="4">
        <f ca="1">ROUND(_Google_ads[[#This Row],[clicks]]*RANDBETWEEN(8,12)/10,0)</f>
        <v>1860</v>
      </c>
      <c r="V70" s="4">
        <f ca="1">_Google_ads[[#This Row],[cost]]*RANDBETWEEN(8,12)/10</f>
        <v>452.16</v>
      </c>
      <c r="W70" s="4">
        <f ca="1">ROUND(_Google_ads[[#This Row],[conversions]]*RANDBETWEEN(8,12)/10,0)</f>
        <v>71</v>
      </c>
      <c r="X70" s="4">
        <f ca="1">ROUND(_Google_ads[[#This Row],[conversion_value]]*RANDBETWEEN(8,12)/10,0)</f>
        <v>2655</v>
      </c>
      <c r="Y70" s="4">
        <f ca="1">_Google_ads[[#This Row],[ctr]]*RANDBETWEEN(8,12)/10</f>
        <v>2.8709999999999996E-2</v>
      </c>
      <c r="Z70" s="4">
        <f ca="1">_Google_ads[[#This Row],[avg_cpc]]*RANDBETWEEN(8,12)/10</f>
        <v>0.19800000000000001</v>
      </c>
      <c r="AA70" s="4">
        <f ca="1">ROUND(_Google_ads[[#This Row],[quality_score]]*RANDBETWEEN(8,12)/10,0)</f>
        <v>6</v>
      </c>
      <c r="AB70" s="4">
        <f ca="1">_Google_ads[[#This Row],[search_impression_share]]*RANDBETWEEN(8,12)/10</f>
        <v>0.71500000000000008</v>
      </c>
      <c r="AD70" s="3">
        <f t="shared" ca="1" si="11"/>
        <v>45158</v>
      </c>
      <c r="AE70" s="4" t="s">
        <v>108</v>
      </c>
      <c r="AF70" s="4" t="s">
        <v>109</v>
      </c>
      <c r="AG70" s="4" t="s">
        <v>110</v>
      </c>
      <c r="AH70" s="4" t="s">
        <v>111</v>
      </c>
      <c r="AI70" s="4">
        <f ca="1">ROUND(T_Tiktok_ads[[#This Row],[impressions]]*RANDBETWEEN(8,12)/10,0)</f>
        <v>262681</v>
      </c>
      <c r="AJ70" s="4">
        <f ca="1">ROUND(T_Tiktok_ads[[#This Row],[clicks]]*RANDBETWEEN(8,12)/10,0)</f>
        <v>3802</v>
      </c>
      <c r="AK70" s="4">
        <v>414.4</v>
      </c>
      <c r="AL70" s="4">
        <f ca="1">ROUND(T_Tiktok_ads[[#This Row],[conversions]]*RANDBETWEEN(8,12)/10,0)</f>
        <v>29</v>
      </c>
      <c r="AM70" s="4">
        <f ca="1">ROUND(T_Tiktok_ads[[#This Row],[video_views]]*RANDBETWEEN(8,12)/10,0)</f>
        <v>138765</v>
      </c>
      <c r="AN70" s="4">
        <f ca="1">ROUND(T_Tiktok_ads[[#This Row],[video_watch_25]]*RANDBETWEEN(8,12)/10,0)</f>
        <v>144724</v>
      </c>
      <c r="AO70" s="4">
        <f ca="1">ROUND(T_Tiktok_ads[[#This Row],[video_watch_50]]*RANDBETWEEN(8,12)/10,0)</f>
        <v>103567</v>
      </c>
      <c r="AP70" s="4">
        <f ca="1">ROUND(T_Tiktok_ads[[#This Row],[video_watch_75]]*RANDBETWEEN(8,12)/10,0)</f>
        <v>67234</v>
      </c>
      <c r="AQ70" s="4">
        <f ca="1">ROUND(T_Tiktok_ads[[#This Row],[video_watch_100]]*RANDBETWEEN(8,12)/10,0)</f>
        <v>40567</v>
      </c>
      <c r="AR70" s="4">
        <f ca="1">ROUND(T_Tiktok_ads[[#This Row],[likes]]*RANDBETWEEN(8,12)/10,0)</f>
        <v>6410</v>
      </c>
      <c r="AS70" s="4">
        <f ca="1">ROUND(T_Tiktok_ads[[#This Row],[shares]]*RANDBETWEEN(8,12)/10,0)</f>
        <v>2201</v>
      </c>
      <c r="AT70" s="4">
        <f ca="1">ROUND(T_Tiktok_ads[[#This Row],[comments]]*RANDBETWEEN(8,12)/10,0)</f>
        <v>471</v>
      </c>
      <c r="AV70" s="5">
        <f t="shared" ca="1" si="12"/>
        <v>45160</v>
      </c>
      <c r="AW70">
        <f t="shared" ca="1" si="13"/>
        <v>5</v>
      </c>
      <c r="AX70">
        <f ca="1">ROUND(T_Facebook_Ads1159636771757983[[#This Row],[impressions]]*RANDBETWEEN(8,12)/10,0)</f>
        <v>24888</v>
      </c>
      <c r="AY70">
        <f ca="1">ROUND(T_Facebook_Ads1159636771757983[[#This Row],[clicks]]*RANDBETWEEN(8,12)/10,0)</f>
        <v>987</v>
      </c>
      <c r="AZ70">
        <f ca="1">T_Facebook_Ads1159636771757983[[#This Row],[spend]]*RANDBETWEEN(8,12)/10</f>
        <v>227.51999999999998</v>
      </c>
      <c r="BA70">
        <f ca="1">ROUND(T_Facebook_Ads1159636771757983[[#This Row],[conversions]]*RANDBETWEEN(8,12)/10,0)</f>
        <v>35</v>
      </c>
      <c r="BB70">
        <f ca="1">ROUND(T_Facebook_Ads1159636771757983[[#This Row],[video_views]]*RANDBETWEEN(8,12)/10,0)</f>
        <v>5480</v>
      </c>
    </row>
    <row r="71" spans="1:54" ht="15.75" thickBot="1" x14ac:dyDescent="0.3">
      <c r="A71" s="3">
        <f t="shared" ca="1" si="9"/>
        <v>45156</v>
      </c>
      <c r="B71" s="4" t="s">
        <v>64</v>
      </c>
      <c r="C71" s="4" t="s">
        <v>65</v>
      </c>
      <c r="D71" s="4" t="s">
        <v>66</v>
      </c>
      <c r="E71" s="4" t="s">
        <v>67</v>
      </c>
      <c r="F71" s="4">
        <f ca="1">ROUND(T_Facebook_Ads[[#This Row],[impressions]]*RANDBETWEEN(8,12)/10,0)</f>
        <v>58711</v>
      </c>
      <c r="G71" s="4">
        <v>234</v>
      </c>
      <c r="H71" s="4">
        <f ca="1">T_Facebook_Ads[[#This Row],[spend]]*RANDBETWEEN(8,12)/10</f>
        <v>64.960000000000008</v>
      </c>
      <c r="I71" s="4">
        <f ca="1">ROUND(T_Facebook_Ads[[#This Row],[conversions]]*RANDBETWEEN(8,12)/10,0)</f>
        <v>6</v>
      </c>
      <c r="J71" s="4">
        <f ca="1">ROUND(T_Facebook_Ads[[#This Row],[video_views]]*RANDBETWEEN(8,12)/10,0)</f>
        <v>34854</v>
      </c>
      <c r="K71" s="4">
        <f ca="1">T_Facebook_Ads[[#This Row],[engagement_rate]]*RANDBETWEEN(8,12)/10</f>
        <v>4.3200000000000001E-3</v>
      </c>
      <c r="L71" s="4">
        <f ca="1">ROUND(T_Facebook_Ads[[#This Row],[reach]]*RANDBETWEEN(8,12)/10,0)</f>
        <v>48110</v>
      </c>
      <c r="M71" s="4">
        <f ca="1">T_Facebook_Ads[[#This Row],[frequency]]*RANDBETWEEN(8,12)/10</f>
        <v>1.071</v>
      </c>
      <c r="O71" s="3">
        <f t="shared" ca="1" si="10"/>
        <v>45148</v>
      </c>
      <c r="P71" s="4" t="s">
        <v>88</v>
      </c>
      <c r="Q71" s="4" t="s">
        <v>89</v>
      </c>
      <c r="R71" s="4" t="s">
        <v>90</v>
      </c>
      <c r="S71" s="4" t="s">
        <v>59</v>
      </c>
      <c r="T71" s="4">
        <f ca="1">ROUND(_Google_ads[[#This Row],[impressions]]*RANDBETWEEN(8,12)/10,0)</f>
        <v>112110</v>
      </c>
      <c r="U71" s="4">
        <f ca="1">ROUND(_Google_ads[[#This Row],[clicks]]*RANDBETWEEN(8,12)/10,0)</f>
        <v>445</v>
      </c>
      <c r="V71" s="4">
        <f ca="1">_Google_ads[[#This Row],[cost]]*RANDBETWEEN(8,12)/10</f>
        <v>146.76</v>
      </c>
      <c r="W71" s="4">
        <f ca="1">ROUND(_Google_ads[[#This Row],[conversions]]*RANDBETWEEN(8,12)/10,0)</f>
        <v>13</v>
      </c>
      <c r="X71" s="4">
        <f ca="1">ROUND(_Google_ads[[#This Row],[conversion_value]]*RANDBETWEEN(8,12)/10,0)</f>
        <v>480</v>
      </c>
      <c r="Y71" s="4">
        <f ca="1">_Google_ads[[#This Row],[ctr]]*RANDBETWEEN(8,12)/10</f>
        <v>3.2399999999999998E-3</v>
      </c>
      <c r="Z71" s="4">
        <f ca="1">_Google_ads[[#This Row],[avg_cpc]]*RANDBETWEEN(8,12)/10</f>
        <v>0.29700000000000004</v>
      </c>
      <c r="AA71" s="4">
        <f ca="1">ROUND(_Google_ads[[#This Row],[quality_score]]*RANDBETWEEN(8,12)/10,0)</f>
        <v>8</v>
      </c>
      <c r="AB71" s="4">
        <f ca="1">_Google_ads[[#This Row],[search_impression_share]]*RANDBETWEEN(8,12)/10</f>
        <v>0.36300000000000004</v>
      </c>
      <c r="AD71" s="3">
        <f t="shared" ca="1" si="11"/>
        <v>45152</v>
      </c>
      <c r="AE71" s="4" t="s">
        <v>112</v>
      </c>
      <c r="AF71" s="4" t="s">
        <v>113</v>
      </c>
      <c r="AG71" s="4" t="s">
        <v>114</v>
      </c>
      <c r="AH71" s="4" t="s">
        <v>115</v>
      </c>
      <c r="AI71" s="4">
        <f ca="1">ROUND(T_Tiktok_ads[[#This Row],[impressions]]*RANDBETWEEN(8,12)/10,0)</f>
        <v>466814</v>
      </c>
      <c r="AJ71" s="4">
        <f ca="1">ROUND(T_Tiktok_ads[[#This Row],[clicks]]*RANDBETWEEN(8,12)/10,0)</f>
        <v>6857</v>
      </c>
      <c r="AK71" s="4">
        <v>967.8</v>
      </c>
      <c r="AL71" s="4">
        <f ca="1">ROUND(T_Tiktok_ads[[#This Row],[conversions]]*RANDBETWEEN(8,12)/10,0)</f>
        <v>98</v>
      </c>
      <c r="AM71" s="4">
        <f ca="1">ROUND(T_Tiktok_ads[[#This Row],[video_views]]*RANDBETWEEN(8,12)/10,0)</f>
        <v>321234</v>
      </c>
      <c r="AN71" s="4">
        <f ca="1">ROUND(T_Tiktok_ads[[#This Row],[video_watch_25]]*RANDBETWEEN(8,12)/10,0)</f>
        <v>284791</v>
      </c>
      <c r="AO71" s="4">
        <f ca="1">ROUND(T_Tiktok_ads[[#This Row],[video_watch_50]]*RANDBETWEEN(8,12)/10,0)</f>
        <v>166312</v>
      </c>
      <c r="AP71" s="4">
        <f ca="1">ROUND(T_Tiktok_ads[[#This Row],[video_watch_75]]*RANDBETWEEN(8,12)/10,0)</f>
        <v>117787</v>
      </c>
      <c r="AQ71" s="4">
        <f ca="1">ROUND(T_Tiktok_ads[[#This Row],[video_watch_100]]*RANDBETWEEN(8,12)/10,0)</f>
        <v>97456</v>
      </c>
      <c r="AR71" s="4">
        <f ca="1">ROUND(T_Tiktok_ads[[#This Row],[likes]]*RANDBETWEEN(8,12)/10,0)</f>
        <v>18591</v>
      </c>
      <c r="AS71" s="4">
        <f ca="1">ROUND(T_Tiktok_ads[[#This Row],[shares]]*RANDBETWEEN(8,12)/10,0)</f>
        <v>3930</v>
      </c>
      <c r="AT71" s="4">
        <f ca="1">ROUND(T_Tiktok_ads[[#This Row],[comments]]*RANDBETWEEN(8,12)/10,0)</f>
        <v>1480</v>
      </c>
      <c r="AV71" s="5">
        <f t="shared" ca="1" si="12"/>
        <v>45160</v>
      </c>
      <c r="AW71">
        <f t="shared" ca="1" si="13"/>
        <v>2</v>
      </c>
      <c r="AX71">
        <f ca="1">ROUND(T_Facebook_Ads1159636771757983[[#This Row],[impressions]]*RANDBETWEEN(8,12)/10,0)</f>
        <v>58711</v>
      </c>
      <c r="AY71">
        <f ca="1">ROUND(T_Facebook_Ads1159636771757983[[#This Row],[clicks]]*RANDBETWEEN(8,12)/10,0)</f>
        <v>234</v>
      </c>
      <c r="AZ71">
        <f ca="1">T_Facebook_Ads1159636771757983[[#This Row],[spend]]*RANDBETWEEN(8,12)/10</f>
        <v>58.464000000000013</v>
      </c>
      <c r="BA71">
        <f ca="1">ROUND(T_Facebook_Ads1159636771757983[[#This Row],[conversions]]*RANDBETWEEN(8,12)/10,0)</f>
        <v>5</v>
      </c>
      <c r="BB71">
        <f ca="1">ROUND(T_Facebook_Ads1159636771757983[[#This Row],[video_views]]*RANDBETWEEN(8,12)/10,0)</f>
        <v>34854</v>
      </c>
    </row>
    <row r="72" spans="1:54" ht="15.75" thickBot="1" x14ac:dyDescent="0.3">
      <c r="A72" s="3">
        <f t="shared" ca="1" si="9"/>
        <v>45144</v>
      </c>
      <c r="B72" s="4" t="s">
        <v>52</v>
      </c>
      <c r="C72" s="4" t="s">
        <v>53</v>
      </c>
      <c r="D72" s="4" t="s">
        <v>54</v>
      </c>
      <c r="E72" s="4" t="s">
        <v>55</v>
      </c>
      <c r="F72" s="4">
        <f ca="1">ROUND(T_Facebook_Ads[[#This Row],[impressions]]*RANDBETWEEN(8,12)/10,0)</f>
        <v>37410</v>
      </c>
      <c r="G72" s="4">
        <v>823</v>
      </c>
      <c r="H72" s="4">
        <f ca="1">T_Facebook_Ads[[#This Row],[spend]]*RANDBETWEEN(8,12)/10</f>
        <v>118.9</v>
      </c>
      <c r="I72" s="4">
        <f ca="1">ROUND(T_Facebook_Ads[[#This Row],[conversions]]*RANDBETWEEN(8,12)/10,0)</f>
        <v>14</v>
      </c>
      <c r="J72" s="4">
        <f ca="1">ROUND(T_Facebook_Ads[[#This Row],[video_views]]*RANDBETWEEN(8,12)/10,0)</f>
        <v>8202</v>
      </c>
      <c r="K72" s="4">
        <f ca="1">T_Facebook_Ads[[#This Row],[engagement_rate]]*RANDBETWEEN(8,12)/10</f>
        <v>2.3760000000000003E-2</v>
      </c>
      <c r="L72" s="4">
        <f ca="1">ROUND(T_Facebook_Ads[[#This Row],[reach]]*RANDBETWEEN(8,12)/10,0)</f>
        <v>31611</v>
      </c>
      <c r="M72" s="4">
        <f ca="1">T_Facebook_Ads[[#This Row],[frequency]]*RANDBETWEEN(8,12)/10</f>
        <v>1.2979999999999998</v>
      </c>
      <c r="O72" s="3">
        <f t="shared" ca="1" si="10"/>
        <v>45169</v>
      </c>
      <c r="P72" s="4" t="s">
        <v>76</v>
      </c>
      <c r="Q72" s="4" t="s">
        <v>77</v>
      </c>
      <c r="R72" s="4" t="s">
        <v>78</v>
      </c>
      <c r="S72" s="4" t="s">
        <v>79</v>
      </c>
      <c r="T72" s="4">
        <f ca="1">ROUND(_Google_ads[[#This Row],[impressions]]*RANDBETWEEN(8,12)/10,0)</f>
        <v>23724</v>
      </c>
      <c r="U72" s="4">
        <f ca="1">ROUND(_Google_ads[[#This Row],[clicks]]*RANDBETWEEN(8,12)/10,0)</f>
        <v>1089</v>
      </c>
      <c r="V72" s="4">
        <f ca="1">_Google_ads[[#This Row],[cost]]*RANDBETWEEN(8,12)/10</f>
        <v>207.8</v>
      </c>
      <c r="W72" s="4">
        <f ca="1">ROUND(_Google_ads[[#This Row],[conversions]]*RANDBETWEEN(8,12)/10,0)</f>
        <v>41</v>
      </c>
      <c r="X72" s="4">
        <f ca="1">ROUND(_Google_ads[[#This Row],[conversion_value]]*RANDBETWEEN(8,12)/10,0)</f>
        <v>1845</v>
      </c>
      <c r="Y72" s="4">
        <f ca="1">_Google_ads[[#This Row],[ctr]]*RANDBETWEEN(8,12)/10</f>
        <v>5.0500000000000003E-2</v>
      </c>
      <c r="Z72" s="4">
        <f ca="1">_Google_ads[[#This Row],[avg_cpc]]*RANDBETWEEN(8,12)/10</f>
        <v>0.22800000000000004</v>
      </c>
      <c r="AA72" s="4">
        <f ca="1">ROUND(_Google_ads[[#This Row],[quality_score]]*RANDBETWEEN(8,12)/10,0)</f>
        <v>7</v>
      </c>
      <c r="AB72" s="4">
        <f ca="1">_Google_ads[[#This Row],[search_impression_share]]*RANDBETWEEN(8,12)/10</f>
        <v>0.88000000000000012</v>
      </c>
      <c r="AD72" s="3">
        <f t="shared" ca="1" si="11"/>
        <v>45162</v>
      </c>
      <c r="AE72" s="4" t="s">
        <v>100</v>
      </c>
      <c r="AF72" s="4" t="s">
        <v>101</v>
      </c>
      <c r="AG72" s="4" t="s">
        <v>102</v>
      </c>
      <c r="AH72" s="4" t="s">
        <v>103</v>
      </c>
      <c r="AI72" s="4">
        <f ca="1">ROUND(T_Tiktok_ads[[#This Row],[impressions]]*RANDBETWEEN(8,12)/10,0)</f>
        <v>258024</v>
      </c>
      <c r="AJ72" s="4">
        <f ca="1">ROUND(T_Tiktok_ads[[#This Row],[clicks]]*RANDBETWEEN(8,12)/10,0)</f>
        <v>3802</v>
      </c>
      <c r="AK72" s="4">
        <v>445.7</v>
      </c>
      <c r="AL72" s="4">
        <f ca="1">ROUND(T_Tiktok_ads[[#This Row],[conversions]]*RANDBETWEEN(8,12)/10,0)</f>
        <v>34</v>
      </c>
      <c r="AM72" s="4">
        <f ca="1">ROUND(T_Tiktok_ads[[#This Row],[video_views]]*RANDBETWEEN(8,12)/10,0)</f>
        <v>175711</v>
      </c>
      <c r="AN72" s="4">
        <f ca="1">ROUND(T_Tiktok_ads[[#This Row],[video_watch_25]]*RANDBETWEEN(8,12)/10,0)</f>
        <v>122765</v>
      </c>
      <c r="AO72" s="4">
        <f ca="1">ROUND(T_Tiktok_ads[[#This Row],[video_watch_50]]*RANDBETWEEN(8,12)/10,0)</f>
        <v>96234</v>
      </c>
      <c r="AP72" s="4">
        <f ca="1">ROUND(T_Tiktok_ads[[#This Row],[video_watch_75]]*RANDBETWEEN(8,12)/10,0)</f>
        <v>78281</v>
      </c>
      <c r="AQ72" s="4">
        <f ca="1">ROUND(T_Tiktok_ads[[#This Row],[video_watch_100]]*RANDBETWEEN(8,12)/10,0)</f>
        <v>39210</v>
      </c>
      <c r="AR72" s="4">
        <f ca="1">ROUND(T_Tiktok_ads[[#This Row],[likes]]*RANDBETWEEN(8,12)/10,0)</f>
        <v>10507</v>
      </c>
      <c r="AS72" s="4">
        <f ca="1">ROUND(T_Tiktok_ads[[#This Row],[shares]]*RANDBETWEEN(8,12)/10,0)</f>
        <v>1787</v>
      </c>
      <c r="AT72" s="4">
        <f ca="1">ROUND(T_Tiktok_ads[[#This Row],[comments]]*RANDBETWEEN(8,12)/10,0)</f>
        <v>641</v>
      </c>
      <c r="AV72" s="5">
        <f t="shared" ca="1" si="12"/>
        <v>45161</v>
      </c>
      <c r="AW72">
        <f t="shared" ca="1" si="13"/>
        <v>1</v>
      </c>
      <c r="AX72">
        <f ca="1">ROUND(T_Facebook_Ads1159636771757983[[#This Row],[impressions]]*RANDBETWEEN(8,12)/10,0)</f>
        <v>33669</v>
      </c>
      <c r="AY72">
        <f ca="1">ROUND(T_Facebook_Ads1159636771757983[[#This Row],[clicks]]*RANDBETWEEN(8,12)/10,0)</f>
        <v>658</v>
      </c>
      <c r="AZ72">
        <f ca="1">T_Facebook_Ads1159636771757983[[#This Row],[spend]]*RANDBETWEEN(8,12)/10</f>
        <v>142.68</v>
      </c>
      <c r="BA72">
        <f ca="1">ROUND(T_Facebook_Ads1159636771757983[[#This Row],[conversions]]*RANDBETWEEN(8,12)/10,0)</f>
        <v>14</v>
      </c>
      <c r="BB72">
        <f ca="1">ROUND(T_Facebook_Ads1159636771757983[[#This Row],[video_views]]*RANDBETWEEN(8,12)/10,0)</f>
        <v>9022</v>
      </c>
    </row>
    <row r="73" spans="1:54" ht="15.75" thickBot="1" x14ac:dyDescent="0.3">
      <c r="A73" s="3">
        <f t="shared" ca="1" si="9"/>
        <v>45168</v>
      </c>
      <c r="B73" s="4" t="s">
        <v>56</v>
      </c>
      <c r="C73" s="4" t="s">
        <v>57</v>
      </c>
      <c r="D73" s="4" t="s">
        <v>58</v>
      </c>
      <c r="E73" s="4" t="s">
        <v>59</v>
      </c>
      <c r="F73" s="4">
        <f ca="1">ROUND(T_Facebook_Ads[[#This Row],[impressions]]*RANDBETWEEN(8,12)/10,0)</f>
        <v>9211</v>
      </c>
      <c r="G73" s="4">
        <v>467</v>
      </c>
      <c r="H73" s="4">
        <f ca="1">T_Facebook_Ads[[#This Row],[spend]]*RANDBETWEEN(8,12)/10</f>
        <v>142.72</v>
      </c>
      <c r="I73" s="4">
        <f ca="1">ROUND(T_Facebook_Ads[[#This Row],[conversions]]*RANDBETWEEN(8,12)/10,0)</f>
        <v>30</v>
      </c>
      <c r="J73" s="4">
        <f ca="1">ROUND(T_Facebook_Ads[[#This Row],[video_views]]*RANDBETWEEN(8,12)/10,0)</f>
        <v>945</v>
      </c>
      <c r="K73" s="4">
        <f ca="1">T_Facebook_Ads[[#This Row],[engagement_rate]]*RANDBETWEEN(8,12)/10</f>
        <v>4.5600000000000002E-2</v>
      </c>
      <c r="L73" s="4">
        <f ca="1">ROUND(T_Facebook_Ads[[#This Row],[reach]]*RANDBETWEEN(8,12)/10,0)</f>
        <v>7610</v>
      </c>
      <c r="M73" s="4">
        <f ca="1">T_Facebook_Ads[[#This Row],[frequency]]*RANDBETWEEN(8,12)/10</f>
        <v>1.331</v>
      </c>
      <c r="O73" s="3">
        <f t="shared" ca="1" si="10"/>
        <v>45146</v>
      </c>
      <c r="P73" s="4" t="s">
        <v>80</v>
      </c>
      <c r="Q73" s="4" t="s">
        <v>81</v>
      </c>
      <c r="R73" s="4" t="s">
        <v>82</v>
      </c>
      <c r="S73" s="4" t="s">
        <v>83</v>
      </c>
      <c r="T73" s="4">
        <f ca="1">ROUND(_Google_ads[[#This Row],[impressions]]*RANDBETWEEN(8,12)/10,0)</f>
        <v>46681</v>
      </c>
      <c r="U73" s="4">
        <f ca="1">ROUND(_Google_ads[[#This Row],[clicks]]*RANDBETWEEN(8,12)/10,0)</f>
        <v>856</v>
      </c>
      <c r="V73" s="4">
        <f ca="1">_Google_ads[[#This Row],[cost]]*RANDBETWEEN(8,12)/10</f>
        <v>398.96</v>
      </c>
      <c r="W73" s="4">
        <f ca="1">ROUND(_Google_ads[[#This Row],[conversions]]*RANDBETWEEN(8,12)/10,0)</f>
        <v>21</v>
      </c>
      <c r="X73" s="4">
        <f ca="1">ROUND(_Google_ads[[#This Row],[conversion_value]]*RANDBETWEEN(8,12)/10,0)</f>
        <v>760</v>
      </c>
      <c r="Y73" s="4">
        <f ca="1">_Google_ads[[#This Row],[ctr]]*RANDBETWEEN(8,12)/10</f>
        <v>1.6E-2</v>
      </c>
      <c r="Z73" s="4">
        <f ca="1">_Google_ads[[#This Row],[avg_cpc]]*RANDBETWEEN(8,12)/10</f>
        <v>0.51200000000000001</v>
      </c>
      <c r="AA73" s="4">
        <f ca="1">ROUND(_Google_ads[[#This Row],[quality_score]]*RANDBETWEEN(8,12)/10,0)</f>
        <v>6</v>
      </c>
      <c r="AB73" s="4">
        <f ca="1">_Google_ads[[#This Row],[search_impression_share]]*RANDBETWEEN(8,12)/10</f>
        <v>0.32799999999999996</v>
      </c>
      <c r="AD73" s="3">
        <f t="shared" ca="1" si="11"/>
        <v>45160</v>
      </c>
      <c r="AE73" s="4" t="s">
        <v>104</v>
      </c>
      <c r="AF73" s="4" t="s">
        <v>105</v>
      </c>
      <c r="AG73" s="4" t="s">
        <v>106</v>
      </c>
      <c r="AH73" s="4" t="s">
        <v>107</v>
      </c>
      <c r="AI73" s="4">
        <f ca="1">ROUND(T_Tiktok_ads[[#This Row],[impressions]]*RANDBETWEEN(8,12)/10,0)</f>
        <v>128901</v>
      </c>
      <c r="AJ73" s="4">
        <f ca="1">ROUND(T_Tiktok_ads[[#This Row],[clicks]]*RANDBETWEEN(8,12)/10,0)</f>
        <v>1965</v>
      </c>
      <c r="AK73" s="4">
        <v>678.9</v>
      </c>
      <c r="AL73" s="4">
        <f ca="1">ROUND(T_Tiktok_ads[[#This Row],[conversions]]*RANDBETWEEN(8,12)/10,0)</f>
        <v>80</v>
      </c>
      <c r="AM73" s="4">
        <f ca="1">ROUND(T_Tiktok_ads[[#This Row],[video_views]]*RANDBETWEEN(8,12)/10,0)</f>
        <v>80311</v>
      </c>
      <c r="AN73" s="4">
        <f ca="1">ROUND(T_Tiktok_ads[[#This Row],[video_watch_25]]*RANDBETWEEN(8,12)/10,0)</f>
        <v>80681</v>
      </c>
      <c r="AO73" s="4">
        <f ca="1">ROUND(T_Tiktok_ads[[#This Row],[video_watch_50]]*RANDBETWEEN(8,12)/10,0)</f>
        <v>45234</v>
      </c>
      <c r="AP73" s="4">
        <f ca="1">ROUND(T_Tiktok_ads[[#This Row],[video_watch_75]]*RANDBETWEEN(8,12)/10,0)</f>
        <v>37657</v>
      </c>
      <c r="AQ73" s="4">
        <f ca="1">ROUND(T_Tiktok_ads[[#This Row],[video_watch_100]]*RANDBETWEEN(8,12)/10,0)</f>
        <v>21110</v>
      </c>
      <c r="AR73" s="4">
        <f ca="1">ROUND(T_Tiktok_ads[[#This Row],[likes]]*RANDBETWEEN(8,12)/10,0)</f>
        <v>5480</v>
      </c>
      <c r="AS73" s="4">
        <f ca="1">ROUND(T_Tiktok_ads[[#This Row],[shares]]*RANDBETWEEN(8,12)/10,0)</f>
        <v>1234</v>
      </c>
      <c r="AT73" s="4">
        <f ca="1">ROUND(T_Tiktok_ads[[#This Row],[comments]]*RANDBETWEEN(8,12)/10,0)</f>
        <v>234</v>
      </c>
      <c r="AV73" s="5">
        <f t="shared" ca="1" si="12"/>
        <v>45164</v>
      </c>
      <c r="AW73">
        <f t="shared" ca="1" si="13"/>
        <v>8</v>
      </c>
      <c r="AX73">
        <f ca="1">ROUND(T_Facebook_Ads1159636771757983[[#This Row],[impressions]]*RANDBETWEEN(8,12)/10,0)</f>
        <v>8290</v>
      </c>
      <c r="AY73">
        <f ca="1">ROUND(T_Facebook_Ads1159636771757983[[#This Row],[clicks]]*RANDBETWEEN(8,12)/10,0)</f>
        <v>374</v>
      </c>
      <c r="AZ73">
        <f ca="1">T_Facebook_Ads1159636771757983[[#This Row],[spend]]*RANDBETWEEN(8,12)/10</f>
        <v>128.44800000000001</v>
      </c>
      <c r="BA73">
        <f ca="1">ROUND(T_Facebook_Ads1159636771757983[[#This Row],[conversions]]*RANDBETWEEN(8,12)/10,0)</f>
        <v>30</v>
      </c>
      <c r="BB73">
        <f ca="1">ROUND(T_Facebook_Ads1159636771757983[[#This Row],[video_views]]*RANDBETWEEN(8,12)/10,0)</f>
        <v>1040</v>
      </c>
    </row>
    <row r="74" spans="1:54" ht="15.75" thickBot="1" x14ac:dyDescent="0.3">
      <c r="A74" s="3">
        <f t="shared" ca="1" si="9"/>
        <v>45167</v>
      </c>
      <c r="B74" s="4" t="s">
        <v>60</v>
      </c>
      <c r="C74" s="4" t="s">
        <v>61</v>
      </c>
      <c r="D74" s="4" t="s">
        <v>62</v>
      </c>
      <c r="E74" s="4" t="s">
        <v>63</v>
      </c>
      <c r="F74" s="4">
        <f ca="1">ROUND(T_Facebook_Ads[[#This Row],[impressions]]*RANDBETWEEN(8,12)/10,0)</f>
        <v>29601</v>
      </c>
      <c r="G74" s="4">
        <v>1178</v>
      </c>
      <c r="H74" s="4">
        <f ca="1">T_Facebook_Ads[[#This Row],[spend]]*RANDBETWEEN(8,12)/10</f>
        <v>136.95999999999998</v>
      </c>
      <c r="I74" s="4">
        <f ca="1">ROUND(T_Facebook_Ads[[#This Row],[conversions]]*RANDBETWEEN(8,12)/10,0)</f>
        <v>22</v>
      </c>
      <c r="J74" s="4">
        <f ca="1">ROUND(T_Facebook_Ads[[#This Row],[video_views]]*RANDBETWEEN(8,12)/10,0)</f>
        <v>4547</v>
      </c>
      <c r="K74" s="4">
        <f ca="1">T_Facebook_Ads[[#This Row],[engagement_rate]]*RANDBETWEEN(8,12)/10</f>
        <v>3.2219999999999999E-2</v>
      </c>
      <c r="L74" s="4">
        <f ca="1">ROUND(T_Facebook_Ads[[#This Row],[reach]]*RANDBETWEEN(8,12)/10,0)</f>
        <v>24511</v>
      </c>
      <c r="M74" s="4">
        <f ca="1">T_Facebook_Ads[[#This Row],[frequency]]*RANDBETWEEN(8,12)/10</f>
        <v>1.089</v>
      </c>
      <c r="O74" s="3">
        <f t="shared" ca="1" si="10"/>
        <v>45162</v>
      </c>
      <c r="P74" s="4" t="s">
        <v>84</v>
      </c>
      <c r="Q74" s="4" t="s">
        <v>85</v>
      </c>
      <c r="R74" s="4" t="s">
        <v>86</v>
      </c>
      <c r="S74" s="4" t="s">
        <v>87</v>
      </c>
      <c r="T74" s="4">
        <f ca="1">ROUND(_Google_ads[[#This Row],[impressions]]*RANDBETWEEN(8,12)/10,0)</f>
        <v>62345</v>
      </c>
      <c r="U74" s="4">
        <f ca="1">ROUND(_Google_ads[[#This Row],[clicks]]*RANDBETWEEN(8,12)/10,0)</f>
        <v>2188</v>
      </c>
      <c r="V74" s="4">
        <f ca="1">_Google_ads[[#This Row],[cost]]*RANDBETWEEN(8,12)/10</f>
        <v>328.86</v>
      </c>
      <c r="W74" s="4">
        <f ca="1">ROUND(_Google_ads[[#This Row],[conversions]]*RANDBETWEEN(8,12)/10,0)</f>
        <v>51</v>
      </c>
      <c r="X74" s="4">
        <f ca="1">ROUND(_Google_ads[[#This Row],[conversion_value]]*RANDBETWEEN(8,12)/10,0)</f>
        <v>2280</v>
      </c>
      <c r="Y74" s="4">
        <f ca="1">_Google_ads[[#This Row],[ctr]]*RANDBETWEEN(8,12)/10</f>
        <v>3.8279999999999995E-2</v>
      </c>
      <c r="Z74" s="4">
        <f ca="1">_Google_ads[[#This Row],[avg_cpc]]*RANDBETWEEN(8,12)/10</f>
        <v>0.14399999999999999</v>
      </c>
      <c r="AA74" s="4">
        <f ca="1">ROUND(_Google_ads[[#This Row],[quality_score]]*RANDBETWEEN(8,12)/10,0)</f>
        <v>7</v>
      </c>
      <c r="AB74" s="4">
        <f ca="1">_Google_ads[[#This Row],[search_impression_share]]*RANDBETWEEN(8,12)/10</f>
        <v>0.75600000000000001</v>
      </c>
      <c r="AD74" s="3">
        <f t="shared" ca="1" si="11"/>
        <v>45150</v>
      </c>
      <c r="AE74" s="4" t="s">
        <v>108</v>
      </c>
      <c r="AF74" s="4" t="s">
        <v>109</v>
      </c>
      <c r="AG74" s="4" t="s">
        <v>110</v>
      </c>
      <c r="AH74" s="4" t="s">
        <v>111</v>
      </c>
      <c r="AI74" s="4">
        <f ca="1">ROUND(T_Tiktok_ads[[#This Row],[impressions]]*RANDBETWEEN(8,12)/10,0)</f>
        <v>221357</v>
      </c>
      <c r="AJ74" s="4">
        <f ca="1">ROUND(T_Tiktok_ads[[#This Row],[clicks]]*RANDBETWEEN(8,12)/10,0)</f>
        <v>2498</v>
      </c>
      <c r="AK74" s="4">
        <v>374.5</v>
      </c>
      <c r="AL74" s="4">
        <f ca="1">ROUND(T_Tiktok_ads[[#This Row],[conversions]]*RANDBETWEEN(8,12)/10,0)</f>
        <v>31</v>
      </c>
      <c r="AM74" s="4">
        <f ca="1">ROUND(T_Tiktok_ads[[#This Row],[video_views]]*RANDBETWEEN(8,12)/10,0)</f>
        <v>189468</v>
      </c>
      <c r="AN74" s="4">
        <f ca="1">ROUND(T_Tiktok_ads[[#This Row],[video_watch_25]]*RANDBETWEEN(8,12)/10,0)</f>
        <v>133357</v>
      </c>
      <c r="AO74" s="4">
        <f ca="1">ROUND(T_Tiktok_ads[[#This Row],[video_watch_50]]*RANDBETWEEN(8,12)/10,0)</f>
        <v>96234</v>
      </c>
      <c r="AP74" s="4">
        <f ca="1">ROUND(T_Tiktok_ads[[#This Row],[video_watch_75]]*RANDBETWEEN(8,12)/10,0)</f>
        <v>67357</v>
      </c>
      <c r="AQ74" s="4">
        <f ca="1">ROUND(T_Tiktok_ads[[#This Row],[video_watch_100]]*RANDBETWEEN(8,12)/10,0)</f>
        <v>33710</v>
      </c>
      <c r="AR74" s="4">
        <f ca="1">ROUND(T_Tiktok_ads[[#This Row],[likes]]*RANDBETWEEN(8,12)/10,0)</f>
        <v>5876</v>
      </c>
      <c r="AS74" s="4">
        <f ca="1">ROUND(T_Tiktok_ads[[#This Row],[shares]]*RANDBETWEEN(8,12)/10,0)</f>
        <v>2237</v>
      </c>
      <c r="AT74" s="4">
        <f ca="1">ROUND(T_Tiktok_ads[[#This Row],[comments]]*RANDBETWEEN(8,12)/10,0)</f>
        <v>587</v>
      </c>
      <c r="AV74" s="5">
        <f t="shared" ca="1" si="12"/>
        <v>45157</v>
      </c>
      <c r="AW74">
        <f t="shared" ca="1" si="13"/>
        <v>5</v>
      </c>
      <c r="AX74">
        <f ca="1">ROUND(T_Facebook_Ads1159636771757983[[#This Row],[impressions]]*RANDBETWEEN(8,12)/10,0)</f>
        <v>35521</v>
      </c>
      <c r="AY74">
        <f ca="1">ROUND(T_Facebook_Ads1159636771757983[[#This Row],[clicks]]*RANDBETWEEN(8,12)/10,0)</f>
        <v>1178</v>
      </c>
      <c r="AZ74">
        <f ca="1">T_Facebook_Ads1159636771757983[[#This Row],[spend]]*RANDBETWEEN(8,12)/10</f>
        <v>123.26399999999998</v>
      </c>
      <c r="BA74">
        <f ca="1">ROUND(T_Facebook_Ads1159636771757983[[#This Row],[conversions]]*RANDBETWEEN(8,12)/10,0)</f>
        <v>22</v>
      </c>
      <c r="BB74">
        <f ca="1">ROUND(T_Facebook_Ads1159636771757983[[#This Row],[video_views]]*RANDBETWEEN(8,12)/10,0)</f>
        <v>3638</v>
      </c>
    </row>
    <row r="75" spans="1:54" ht="15.75" thickBot="1" x14ac:dyDescent="0.3">
      <c r="A75" s="3">
        <f t="shared" ca="1" si="9"/>
        <v>45167</v>
      </c>
      <c r="B75" s="4" t="s">
        <v>64</v>
      </c>
      <c r="C75" s="4" t="s">
        <v>65</v>
      </c>
      <c r="D75" s="4" t="s">
        <v>66</v>
      </c>
      <c r="E75" s="4" t="s">
        <v>67</v>
      </c>
      <c r="F75" s="4">
        <f ca="1">ROUND(T_Facebook_Ads[[#This Row],[impressions]]*RANDBETWEEN(8,12)/10,0)</f>
        <v>49876</v>
      </c>
      <c r="G75" s="4">
        <v>223</v>
      </c>
      <c r="H75" s="4">
        <f ca="1">T_Facebook_Ads[[#This Row],[spend]]*RANDBETWEEN(8,12)/10</f>
        <v>68.669999999999987</v>
      </c>
      <c r="I75" s="4">
        <f ca="1">ROUND(T_Facebook_Ads[[#This Row],[conversions]]*RANDBETWEEN(8,12)/10,0)</f>
        <v>4</v>
      </c>
      <c r="J75" s="4">
        <f ca="1">ROUND(T_Facebook_Ads[[#This Row],[video_views]]*RANDBETWEEN(8,12)/10,0)</f>
        <v>32987</v>
      </c>
      <c r="K75" s="4">
        <f ca="1">T_Facebook_Ads[[#This Row],[engagement_rate]]*RANDBETWEEN(8,12)/10</f>
        <v>2.8799999999999997E-3</v>
      </c>
      <c r="L75" s="4">
        <f ca="1">ROUND(T_Facebook_Ads[[#This Row],[reach]]*RANDBETWEEN(8,12)/10,0)</f>
        <v>61880</v>
      </c>
      <c r="M75" s="4">
        <f ca="1">T_Facebook_Ads[[#This Row],[frequency]]*RANDBETWEEN(8,12)/10</f>
        <v>1.2</v>
      </c>
      <c r="O75" s="3">
        <f t="shared" ca="1" si="10"/>
        <v>45165</v>
      </c>
      <c r="P75" s="4" t="s">
        <v>88</v>
      </c>
      <c r="Q75" s="4" t="s">
        <v>89</v>
      </c>
      <c r="R75" s="4" t="s">
        <v>90</v>
      </c>
      <c r="S75" s="4" t="s">
        <v>59</v>
      </c>
      <c r="T75" s="4">
        <f ca="1">ROUND(_Google_ads[[#This Row],[impressions]]*RANDBETWEEN(8,12)/10,0)</f>
        <v>106411</v>
      </c>
      <c r="U75" s="4">
        <f ca="1">ROUND(_Google_ads[[#This Row],[clicks]]*RANDBETWEEN(8,12)/10,0)</f>
        <v>465</v>
      </c>
      <c r="V75" s="4">
        <f ca="1">_Google_ads[[#This Row],[cost]]*RANDBETWEEN(8,12)/10</f>
        <v>116.2</v>
      </c>
      <c r="W75" s="4">
        <f ca="1">ROUND(_Google_ads[[#This Row],[conversions]]*RANDBETWEEN(8,12)/10,0)</f>
        <v>13</v>
      </c>
      <c r="X75" s="4">
        <f ca="1">ROUND(_Google_ads[[#This Row],[conversion_value]]*RANDBETWEEN(8,12)/10,0)</f>
        <v>660</v>
      </c>
      <c r="Y75" s="4">
        <f ca="1">_Google_ads[[#This Row],[ctr]]*RANDBETWEEN(8,12)/10</f>
        <v>4.3200000000000001E-3</v>
      </c>
      <c r="Z75" s="4">
        <f ca="1">_Google_ads[[#This Row],[avg_cpc]]*RANDBETWEEN(8,12)/10</f>
        <v>0.21600000000000003</v>
      </c>
      <c r="AA75" s="4">
        <f ca="1">ROUND(_Google_ads[[#This Row],[quality_score]]*RANDBETWEEN(8,12)/10,0)</f>
        <v>7</v>
      </c>
      <c r="AB75" s="4">
        <f ca="1">_Google_ads[[#This Row],[search_impression_share]]*RANDBETWEEN(8,12)/10</f>
        <v>0.32</v>
      </c>
      <c r="AD75" s="3">
        <f t="shared" ca="1" si="11"/>
        <v>45147</v>
      </c>
      <c r="AE75" s="4" t="s">
        <v>112</v>
      </c>
      <c r="AF75" s="4" t="s">
        <v>113</v>
      </c>
      <c r="AG75" s="4" t="s">
        <v>114</v>
      </c>
      <c r="AH75" s="4" t="s">
        <v>115</v>
      </c>
      <c r="AI75" s="4">
        <f ca="1">ROUND(T_Tiktok_ads[[#This Row],[impressions]]*RANDBETWEEN(8,12)/10,0)</f>
        <v>367890</v>
      </c>
      <c r="AJ75" s="4">
        <f ca="1">ROUND(T_Tiktok_ads[[#This Row],[clicks]]*RANDBETWEEN(8,12)/10,0)</f>
        <v>5411</v>
      </c>
      <c r="AK75" s="4">
        <v>923.4</v>
      </c>
      <c r="AL75" s="4">
        <f ca="1">ROUND(T_Tiktok_ads[[#This Row],[conversions]]*RANDBETWEEN(8,12)/10,0)</f>
        <v>75</v>
      </c>
      <c r="AM75" s="4">
        <f ca="1">ROUND(T_Tiktok_ads[[#This Row],[video_views]]*RANDBETWEEN(8,12)/10,0)</f>
        <v>361481</v>
      </c>
      <c r="AN75" s="4">
        <f ca="1">ROUND(T_Tiktok_ads[[#This Row],[video_watch_25]]*RANDBETWEEN(8,12)/10,0)</f>
        <v>196542</v>
      </c>
      <c r="AO75" s="4">
        <f ca="1">ROUND(T_Tiktok_ads[[#This Row],[video_watch_50]]*RANDBETWEEN(8,12)/10,0)</f>
        <v>216468</v>
      </c>
      <c r="AP75" s="4">
        <f ca="1">ROUND(T_Tiktok_ads[[#This Row],[video_watch_75]]*RANDBETWEEN(8,12)/10,0)</f>
        <v>140234</v>
      </c>
      <c r="AQ75" s="4">
        <f ca="1">ROUND(T_Tiktok_ads[[#This Row],[video_watch_100]]*RANDBETWEEN(8,12)/10,0)</f>
        <v>102802</v>
      </c>
      <c r="AR75" s="4">
        <f ca="1">ROUND(T_Tiktok_ads[[#This Row],[likes]]*RANDBETWEEN(8,12)/10,0)</f>
        <v>17857</v>
      </c>
      <c r="AS75" s="4">
        <f ca="1">ROUND(T_Tiktok_ads[[#This Row],[shares]]*RANDBETWEEN(8,12)/10,0)</f>
        <v>4789</v>
      </c>
      <c r="AT75" s="4">
        <f ca="1">ROUND(T_Tiktok_ads[[#This Row],[comments]]*RANDBETWEEN(8,12)/10,0)</f>
        <v>1031</v>
      </c>
      <c r="AV75" s="5">
        <f t="shared" ca="1" si="12"/>
        <v>45165</v>
      </c>
      <c r="AW75">
        <f t="shared" ca="1" si="13"/>
        <v>2</v>
      </c>
      <c r="AX75">
        <f ca="1">ROUND(T_Facebook_Ads1159636771757983[[#This Row],[impressions]]*RANDBETWEEN(8,12)/10,0)</f>
        <v>39901</v>
      </c>
      <c r="AY75">
        <f ca="1">ROUND(T_Facebook_Ads1159636771757983[[#This Row],[clicks]]*RANDBETWEEN(8,12)/10,0)</f>
        <v>245</v>
      </c>
      <c r="AZ75">
        <f ca="1">T_Facebook_Ads1159636771757983[[#This Row],[spend]]*RANDBETWEEN(8,12)/10</f>
        <v>61.802999999999983</v>
      </c>
      <c r="BA75">
        <f ca="1">ROUND(T_Facebook_Ads1159636771757983[[#This Row],[conversions]]*RANDBETWEEN(8,12)/10,0)</f>
        <v>5</v>
      </c>
      <c r="BB75">
        <f ca="1">ROUND(T_Facebook_Ads1159636771757983[[#This Row],[video_views]]*RANDBETWEEN(8,12)/10,0)</f>
        <v>29688</v>
      </c>
    </row>
    <row r="76" spans="1:54" ht="15.75" thickBot="1" x14ac:dyDescent="0.3">
      <c r="A76" s="3">
        <f t="shared" ca="1" si="9"/>
        <v>45142</v>
      </c>
      <c r="B76" s="4" t="s">
        <v>52</v>
      </c>
      <c r="C76" s="4" t="s">
        <v>53</v>
      </c>
      <c r="D76" s="4" t="s">
        <v>54</v>
      </c>
      <c r="E76" s="4" t="s">
        <v>55</v>
      </c>
      <c r="F76" s="4">
        <f ca="1">ROUND(T_Facebook_Ads[[#This Row],[impressions]]*RANDBETWEEN(8,12)/10,0)</f>
        <v>45234</v>
      </c>
      <c r="G76" s="4">
        <v>912</v>
      </c>
      <c r="H76" s="4">
        <f ca="1">T_Facebook_Ads[[#This Row],[spend]]*RANDBETWEEN(8,12)/10</f>
        <v>116.82000000000001</v>
      </c>
      <c r="I76" s="4">
        <f ca="1">ROUND(T_Facebook_Ads[[#This Row],[conversions]]*RANDBETWEEN(8,12)/10,0)</f>
        <v>17</v>
      </c>
      <c r="J76" s="4">
        <f ca="1">ROUND(T_Facebook_Ads[[#This Row],[video_views]]*RANDBETWEEN(8,12)/10,0)</f>
        <v>9057</v>
      </c>
      <c r="K76" s="4">
        <f ca="1">T_Facebook_Ads[[#This Row],[engagement_rate]]*RANDBETWEEN(8,12)/10</f>
        <v>1.8179999999999998E-2</v>
      </c>
      <c r="L76" s="4">
        <f ca="1">ROUND(T_Facebook_Ads[[#This Row],[reach]]*RANDBETWEEN(8,12)/10,0)</f>
        <v>34710</v>
      </c>
      <c r="M76" s="4">
        <f ca="1">T_Facebook_Ads[[#This Row],[frequency]]*RANDBETWEEN(8,12)/10</f>
        <v>1.4039999999999999</v>
      </c>
      <c r="O76" s="3">
        <f t="shared" ca="1" si="10"/>
        <v>45139</v>
      </c>
      <c r="P76" s="4" t="s">
        <v>76</v>
      </c>
      <c r="Q76" s="4" t="s">
        <v>77</v>
      </c>
      <c r="R76" s="4" t="s">
        <v>78</v>
      </c>
      <c r="S76" s="4" t="s">
        <v>79</v>
      </c>
      <c r="T76" s="4">
        <f ca="1">ROUND(_Google_ads[[#This Row],[impressions]]*RANDBETWEEN(8,12)/10,0)</f>
        <v>19387</v>
      </c>
      <c r="U76" s="4">
        <f ca="1">ROUND(_Google_ads[[#This Row],[clicks]]*RANDBETWEEN(8,12)/10,0)</f>
        <v>1014</v>
      </c>
      <c r="V76" s="4">
        <f ca="1">_Google_ads[[#This Row],[cost]]*RANDBETWEEN(8,12)/10</f>
        <v>217.07999999999998</v>
      </c>
      <c r="W76" s="4">
        <f ca="1">ROUND(_Google_ads[[#This Row],[conversions]]*RANDBETWEEN(8,12)/10,0)</f>
        <v>47</v>
      </c>
      <c r="X76" s="4">
        <f ca="1">ROUND(_Google_ads[[#This Row],[conversion_value]]*RANDBETWEEN(8,12)/10,0)</f>
        <v>2585</v>
      </c>
      <c r="Y76" s="4">
        <f ca="1">_Google_ads[[#This Row],[ctr]]*RANDBETWEEN(8,12)/10</f>
        <v>4.7070000000000001E-2</v>
      </c>
      <c r="Z76" s="4">
        <f ca="1">_Google_ads[[#This Row],[avg_cpc]]*RANDBETWEEN(8,12)/10</f>
        <v>0.22800000000000004</v>
      </c>
      <c r="AA76" s="4">
        <f ca="1">ROUND(_Google_ads[[#This Row],[quality_score]]*RANDBETWEEN(8,12)/10,0)</f>
        <v>8</v>
      </c>
      <c r="AB76" s="4">
        <f ca="1">_Google_ads[[#This Row],[search_impression_share]]*RANDBETWEEN(8,12)/10</f>
        <v>1.0009999999999999</v>
      </c>
      <c r="AD76" s="3">
        <f t="shared" ca="1" si="11"/>
        <v>45155</v>
      </c>
      <c r="AE76" s="4" t="s">
        <v>100</v>
      </c>
      <c r="AF76" s="4" t="s">
        <v>101</v>
      </c>
      <c r="AG76" s="4" t="s">
        <v>102</v>
      </c>
      <c r="AH76" s="4" t="s">
        <v>103</v>
      </c>
      <c r="AI76" s="4">
        <f ca="1">ROUND(T_Tiktok_ads[[#This Row],[impressions]]*RANDBETWEEN(8,12)/10,0)</f>
        <v>214312</v>
      </c>
      <c r="AJ76" s="4">
        <f ca="1">ROUND(T_Tiktok_ads[[#This Row],[clicks]]*RANDBETWEEN(8,12)/10,0)</f>
        <v>4734</v>
      </c>
      <c r="AK76" s="4">
        <v>523.4</v>
      </c>
      <c r="AL76" s="4">
        <f ca="1">ROUND(T_Tiktok_ads[[#This Row],[conversions]]*RANDBETWEEN(8,12)/10,0)</f>
        <v>40</v>
      </c>
      <c r="AM76" s="4">
        <f ca="1">ROUND(T_Tiktok_ads[[#This Row],[video_views]]*RANDBETWEEN(8,12)/10,0)</f>
        <v>221234</v>
      </c>
      <c r="AN76" s="4">
        <f ca="1">ROUND(T_Tiktok_ads[[#This Row],[video_watch_25]]*RANDBETWEEN(8,12)/10,0)</f>
        <v>208147</v>
      </c>
      <c r="AO76" s="4">
        <f ca="1">ROUND(T_Tiktok_ads[[#This Row],[video_watch_50]]*RANDBETWEEN(8,12)/10,0)</f>
        <v>98311</v>
      </c>
      <c r="AP76" s="4">
        <f ca="1">ROUND(T_Tiktok_ads[[#This Row],[video_watch_75]]*RANDBETWEEN(8,12)/10,0)</f>
        <v>80924</v>
      </c>
      <c r="AQ76" s="4">
        <f ca="1">ROUND(T_Tiktok_ads[[#This Row],[video_watch_100]]*RANDBETWEEN(8,12)/10,0)</f>
        <v>39387</v>
      </c>
      <c r="AR76" s="4">
        <f ca="1">ROUND(T_Tiktok_ads[[#This Row],[likes]]*RANDBETWEEN(8,12)/10,0)</f>
        <v>7831</v>
      </c>
      <c r="AS76" s="4">
        <f ca="1">ROUND(T_Tiktok_ads[[#This Row],[shares]]*RANDBETWEEN(8,12)/10,0)</f>
        <v>2897</v>
      </c>
      <c r="AT76" s="4">
        <f ca="1">ROUND(T_Tiktok_ads[[#This Row],[comments]]*RANDBETWEEN(8,12)/10,0)</f>
        <v>561</v>
      </c>
      <c r="AV76" s="5">
        <f t="shared" ca="1" si="12"/>
        <v>45156</v>
      </c>
      <c r="AW76">
        <f t="shared" ca="1" si="13"/>
        <v>2</v>
      </c>
      <c r="AX76">
        <f ca="1">ROUND(T_Facebook_Ads1159636771757983[[#This Row],[impressions]]*RANDBETWEEN(8,12)/10,0)</f>
        <v>45234</v>
      </c>
      <c r="AY76">
        <f ca="1">ROUND(T_Facebook_Ads1159636771757983[[#This Row],[clicks]]*RANDBETWEEN(8,12)/10,0)</f>
        <v>730</v>
      </c>
      <c r="AZ76">
        <f ca="1">T_Facebook_Ads1159636771757983[[#This Row],[spend]]*RANDBETWEEN(8,12)/10</f>
        <v>128.50200000000001</v>
      </c>
      <c r="BA76">
        <f ca="1">ROUND(T_Facebook_Ads1159636771757983[[#This Row],[conversions]]*RANDBETWEEN(8,12)/10,0)</f>
        <v>20</v>
      </c>
      <c r="BB76">
        <f ca="1">ROUND(T_Facebook_Ads1159636771757983[[#This Row],[video_views]]*RANDBETWEEN(8,12)/10,0)</f>
        <v>9057</v>
      </c>
    </row>
    <row r="77" spans="1:54" ht="15.75" thickBot="1" x14ac:dyDescent="0.3">
      <c r="A77" s="3">
        <f t="shared" ca="1" si="9"/>
        <v>45155</v>
      </c>
      <c r="B77" s="4" t="s">
        <v>56</v>
      </c>
      <c r="C77" s="4" t="s">
        <v>57</v>
      </c>
      <c r="D77" s="4" t="s">
        <v>58</v>
      </c>
      <c r="E77" s="4" t="s">
        <v>59</v>
      </c>
      <c r="F77" s="4">
        <f ca="1">ROUND(T_Facebook_Ads[[#This Row],[impressions]]*RANDBETWEEN(8,12)/10,0)</f>
        <v>13702</v>
      </c>
      <c r="G77" s="4">
        <v>567</v>
      </c>
      <c r="H77" s="4">
        <f ca="1">T_Facebook_Ads[[#This Row],[spend]]*RANDBETWEEN(8,12)/10</f>
        <v>167.68</v>
      </c>
      <c r="I77" s="4">
        <f ca="1">ROUND(T_Facebook_Ads[[#This Row],[conversions]]*RANDBETWEEN(8,12)/10,0)</f>
        <v>43</v>
      </c>
      <c r="J77" s="4">
        <f ca="1">ROUND(T_Facebook_Ads[[#This Row],[video_views]]*RANDBETWEEN(8,12)/10,0)</f>
        <v>1481</v>
      </c>
      <c r="K77" s="4">
        <f ca="1">T_Facebook_Ads[[#This Row],[engagement_rate]]*RANDBETWEEN(8,12)/10</f>
        <v>4.5499999999999999E-2</v>
      </c>
      <c r="L77" s="4">
        <f ca="1">ROUND(T_Facebook_Ads[[#This Row],[reach]]*RANDBETWEEN(8,12)/10,0)</f>
        <v>9876</v>
      </c>
      <c r="M77" s="4">
        <f ca="1">T_Facebook_Ads[[#This Row],[frequency]]*RANDBETWEEN(8,12)/10</f>
        <v>1.512</v>
      </c>
      <c r="O77" s="3">
        <f t="shared" ca="1" si="10"/>
        <v>45148</v>
      </c>
      <c r="P77" s="4" t="s">
        <v>80</v>
      </c>
      <c r="Q77" s="4" t="s">
        <v>81</v>
      </c>
      <c r="R77" s="4" t="s">
        <v>82</v>
      </c>
      <c r="S77" s="4" t="s">
        <v>83</v>
      </c>
      <c r="T77" s="4">
        <f ca="1">ROUND(_Google_ads[[#This Row],[impressions]]*RANDBETWEEN(8,12)/10,0)</f>
        <v>51468</v>
      </c>
      <c r="U77" s="4">
        <f ca="1">ROUND(_Google_ads[[#This Row],[clicks]]*RANDBETWEEN(8,12)/10,0)</f>
        <v>761</v>
      </c>
      <c r="V77" s="4">
        <f ca="1">_Google_ads[[#This Row],[cost]]*RANDBETWEEN(8,12)/10</f>
        <v>439.43999999999994</v>
      </c>
      <c r="W77" s="4">
        <f ca="1">ROUND(_Google_ads[[#This Row],[conversions]]*RANDBETWEEN(8,12)/10,0)</f>
        <v>20</v>
      </c>
      <c r="X77" s="4">
        <f ca="1">ROUND(_Google_ads[[#This Row],[conversion_value]]*RANDBETWEEN(8,12)/10,0)</f>
        <v>990</v>
      </c>
      <c r="Y77" s="4">
        <f ca="1">_Google_ads[[#This Row],[ctr]]*RANDBETWEEN(8,12)/10</f>
        <v>2.1669999999999998E-2</v>
      </c>
      <c r="Z77" s="4">
        <f ca="1">_Google_ads[[#This Row],[avg_cpc]]*RANDBETWEEN(8,12)/10</f>
        <v>0.58500000000000008</v>
      </c>
      <c r="AA77" s="4">
        <f ca="1">ROUND(_Google_ads[[#This Row],[quality_score]]*RANDBETWEEN(8,12)/10,0)</f>
        <v>7</v>
      </c>
      <c r="AB77" s="4">
        <f ca="1">_Google_ads[[#This Row],[search_impression_share]]*RANDBETWEEN(8,12)/10</f>
        <v>0.48399999999999999</v>
      </c>
      <c r="AD77" s="3">
        <f t="shared" ca="1" si="11"/>
        <v>45146</v>
      </c>
      <c r="AE77" s="4" t="s">
        <v>104</v>
      </c>
      <c r="AF77" s="4" t="s">
        <v>105</v>
      </c>
      <c r="AG77" s="4" t="s">
        <v>106</v>
      </c>
      <c r="AH77" s="4" t="s">
        <v>107</v>
      </c>
      <c r="AI77" s="4">
        <f ca="1">ROUND(T_Tiktok_ads[[#This Row],[impressions]]*RANDBETWEEN(8,12)/10,0)</f>
        <v>163791</v>
      </c>
      <c r="AJ77" s="4">
        <f ca="1">ROUND(T_Tiktok_ads[[#This Row],[clicks]]*RANDBETWEEN(8,12)/10,0)</f>
        <v>3401</v>
      </c>
      <c r="AK77" s="4">
        <v>767.5</v>
      </c>
      <c r="AL77" s="4">
        <f ca="1">ROUND(T_Tiktok_ads[[#This Row],[conversions]]*RANDBETWEEN(8,12)/10,0)</f>
        <v>85</v>
      </c>
      <c r="AM77" s="4">
        <f ca="1">ROUND(T_Tiktok_ads[[#This Row],[video_views]]*RANDBETWEEN(8,12)/10,0)</f>
        <v>93110</v>
      </c>
      <c r="AN77" s="4">
        <f ca="1">ROUND(T_Tiktok_ads[[#This Row],[video_watch_25]]*RANDBETWEEN(8,12)/10,0)</f>
        <v>60987</v>
      </c>
      <c r="AO77" s="4">
        <f ca="1">ROUND(T_Tiktok_ads[[#This Row],[video_watch_50]]*RANDBETWEEN(8,12)/10,0)</f>
        <v>40987</v>
      </c>
      <c r="AP77" s="4">
        <f ca="1">ROUND(T_Tiktok_ads[[#This Row],[video_watch_75]]*RANDBETWEEN(8,12)/10,0)</f>
        <v>46280</v>
      </c>
      <c r="AQ77" s="4">
        <f ca="1">ROUND(T_Tiktok_ads[[#This Row],[video_watch_100]]*RANDBETWEEN(8,12)/10,0)</f>
        <v>23210</v>
      </c>
      <c r="AR77" s="4">
        <f ca="1">ROUND(T_Tiktok_ads[[#This Row],[likes]]*RANDBETWEEN(8,12)/10,0)</f>
        <v>6148</v>
      </c>
      <c r="AS77" s="4">
        <f ca="1">ROUND(T_Tiktok_ads[[#This Row],[shares]]*RANDBETWEEN(8,12)/10,0)</f>
        <v>1747</v>
      </c>
      <c r="AT77" s="4">
        <f ca="1">ROUND(T_Tiktok_ads[[#This Row],[comments]]*RANDBETWEEN(8,12)/10,0)</f>
        <v>278</v>
      </c>
      <c r="AV77" s="5">
        <f t="shared" ca="1" si="12"/>
        <v>45146</v>
      </c>
      <c r="AW77">
        <f t="shared" ca="1" si="13"/>
        <v>8</v>
      </c>
      <c r="AX77">
        <f ca="1">ROUND(T_Facebook_Ads1159636771757983[[#This Row],[impressions]]*RANDBETWEEN(8,12)/10,0)</f>
        <v>13702</v>
      </c>
      <c r="AY77">
        <f ca="1">ROUND(T_Facebook_Ads1159636771757983[[#This Row],[clicks]]*RANDBETWEEN(8,12)/10,0)</f>
        <v>454</v>
      </c>
      <c r="AZ77">
        <f ca="1">T_Facebook_Ads1159636771757983[[#This Row],[spend]]*RANDBETWEEN(8,12)/10</f>
        <v>201.21600000000001</v>
      </c>
      <c r="BA77">
        <f ca="1">ROUND(T_Facebook_Ads1159636771757983[[#This Row],[conversions]]*RANDBETWEEN(8,12)/10,0)</f>
        <v>47</v>
      </c>
      <c r="BB77">
        <f ca="1">ROUND(T_Facebook_Ads1159636771757983[[#This Row],[video_views]]*RANDBETWEEN(8,12)/10,0)</f>
        <v>1777</v>
      </c>
    </row>
    <row r="78" spans="1:54" ht="15.75" thickBot="1" x14ac:dyDescent="0.3">
      <c r="A78" s="3">
        <f t="shared" ca="1" si="9"/>
        <v>45146</v>
      </c>
      <c r="B78" s="4" t="s">
        <v>60</v>
      </c>
      <c r="C78" s="4" t="s">
        <v>61</v>
      </c>
      <c r="D78" s="4" t="s">
        <v>62</v>
      </c>
      <c r="E78" s="4" t="s">
        <v>63</v>
      </c>
      <c r="F78" s="4">
        <f ca="1">ROUND(T_Facebook_Ads[[#This Row],[impressions]]*RANDBETWEEN(8,12)/10,0)</f>
        <v>28098</v>
      </c>
      <c r="G78" s="4">
        <v>1267</v>
      </c>
      <c r="H78" s="4">
        <f ca="1">T_Facebook_Ads[[#This Row],[spend]]*RANDBETWEEN(8,12)/10</f>
        <v>175.05</v>
      </c>
      <c r="I78" s="4">
        <f ca="1">ROUND(T_Facebook_Ads[[#This Row],[conversions]]*RANDBETWEEN(8,12)/10,0)</f>
        <v>31</v>
      </c>
      <c r="J78" s="4">
        <f ca="1">ROUND(T_Facebook_Ads[[#This Row],[video_views]]*RANDBETWEEN(8,12)/10,0)</f>
        <v>4345</v>
      </c>
      <c r="K78" s="4">
        <f ca="1">T_Facebook_Ads[[#This Row],[engagement_rate]]*RANDBETWEEN(8,12)/10</f>
        <v>3.2490000000000005E-2</v>
      </c>
      <c r="L78" s="4">
        <f ca="1">ROUND(T_Facebook_Ads[[#This Row],[reach]]*RANDBETWEEN(8,12)/10,0)</f>
        <v>34948</v>
      </c>
      <c r="M78" s="4">
        <f ca="1">T_Facebook_Ads[[#This Row],[frequency]]*RANDBETWEEN(8,12)/10</f>
        <v>1.21</v>
      </c>
      <c r="O78" s="3">
        <f t="shared" ca="1" si="10"/>
        <v>45160</v>
      </c>
      <c r="P78" s="4" t="s">
        <v>84</v>
      </c>
      <c r="Q78" s="4" t="s">
        <v>85</v>
      </c>
      <c r="R78" s="4" t="s">
        <v>86</v>
      </c>
      <c r="S78" s="4" t="s">
        <v>87</v>
      </c>
      <c r="T78" s="4">
        <f ca="1">ROUND(_Google_ads[[#This Row],[impressions]]*RANDBETWEEN(8,12)/10,0)</f>
        <v>66789</v>
      </c>
      <c r="U78" s="4">
        <f ca="1">ROUND(_Google_ads[[#This Row],[clicks]]*RANDBETWEEN(8,12)/10,0)</f>
        <v>2445</v>
      </c>
      <c r="V78" s="4">
        <f ca="1">_Google_ads[[#This Row],[cost]]*RANDBETWEEN(8,12)/10</f>
        <v>367.11</v>
      </c>
      <c r="W78" s="4">
        <f ca="1">ROUND(_Google_ads[[#This Row],[conversions]]*RANDBETWEEN(8,12)/10,0)</f>
        <v>51</v>
      </c>
      <c r="X78" s="4">
        <f ca="1">ROUND(_Google_ads[[#This Row],[conversion_value]]*RANDBETWEEN(8,12)/10,0)</f>
        <v>3520</v>
      </c>
      <c r="Y78" s="4">
        <f ca="1">_Google_ads[[#This Row],[ctr]]*RANDBETWEEN(8,12)/10</f>
        <v>3.9960000000000009E-2</v>
      </c>
      <c r="Z78" s="4">
        <f ca="1">_Google_ads[[#This Row],[avg_cpc]]*RANDBETWEEN(8,12)/10</f>
        <v>0.21600000000000003</v>
      </c>
      <c r="AA78" s="4">
        <f ca="1">ROUND(_Google_ads[[#This Row],[quality_score]]*RANDBETWEEN(8,12)/10,0)</f>
        <v>10</v>
      </c>
      <c r="AB78" s="4">
        <f ca="1">_Google_ads[[#This Row],[search_impression_share]]*RANDBETWEEN(8,12)/10</f>
        <v>0.72600000000000009</v>
      </c>
      <c r="AD78" s="3">
        <f t="shared" ca="1" si="11"/>
        <v>45148</v>
      </c>
      <c r="AE78" s="4" t="s">
        <v>108</v>
      </c>
      <c r="AF78" s="4" t="s">
        <v>109</v>
      </c>
      <c r="AG78" s="4" t="s">
        <v>110</v>
      </c>
      <c r="AH78" s="4" t="s">
        <v>111</v>
      </c>
      <c r="AI78" s="4">
        <f ca="1">ROUND(T_Tiktok_ads[[#This Row],[impressions]]*RANDBETWEEN(8,12)/10,0)</f>
        <v>206011</v>
      </c>
      <c r="AJ78" s="4">
        <f ca="1">ROUND(T_Tiktok_ads[[#This Row],[clicks]]*RANDBETWEEN(8,12)/10,0)</f>
        <v>4361</v>
      </c>
      <c r="AK78" s="4">
        <v>441.9</v>
      </c>
      <c r="AL78" s="4">
        <f ca="1">ROUND(T_Tiktok_ads[[#This Row],[conversions]]*RANDBETWEEN(8,12)/10,0)</f>
        <v>31</v>
      </c>
      <c r="AM78" s="4">
        <f ca="1">ROUND(T_Tiktok_ads[[#This Row],[video_views]]*RANDBETWEEN(8,12)/10,0)</f>
        <v>164111</v>
      </c>
      <c r="AN78" s="4">
        <f ca="1">ROUND(T_Tiktok_ads[[#This Row],[video_watch_25]]*RANDBETWEEN(8,12)/10,0)</f>
        <v>110312</v>
      </c>
      <c r="AO78" s="4">
        <f ca="1">ROUND(T_Tiktok_ads[[#This Row],[video_watch_50]]*RANDBETWEEN(8,12)/10,0)</f>
        <v>108901</v>
      </c>
      <c r="AP78" s="4">
        <f ca="1">ROUND(T_Tiktok_ads[[#This Row],[video_watch_75]]*RANDBETWEEN(8,12)/10,0)</f>
        <v>84680</v>
      </c>
      <c r="AQ78" s="4">
        <f ca="1">ROUND(T_Tiktok_ads[[#This Row],[video_watch_100]]*RANDBETWEEN(8,12)/10,0)</f>
        <v>42789</v>
      </c>
      <c r="AR78" s="4">
        <f ca="1">ROUND(T_Tiktok_ads[[#This Row],[likes]]*RANDBETWEEN(8,12)/10,0)</f>
        <v>10147</v>
      </c>
      <c r="AS78" s="4">
        <f ca="1">ROUND(T_Tiktok_ads[[#This Row],[shares]]*RANDBETWEEN(8,12)/10,0)</f>
        <v>2071</v>
      </c>
      <c r="AT78" s="4">
        <f ca="1">ROUND(T_Tiktok_ads[[#This Row],[comments]]*RANDBETWEEN(8,12)/10,0)</f>
        <v>600</v>
      </c>
      <c r="AV78" s="5">
        <f t="shared" ca="1" si="12"/>
        <v>45155</v>
      </c>
      <c r="AW78">
        <f t="shared" ca="1" si="13"/>
        <v>5</v>
      </c>
      <c r="AX78">
        <f ca="1">ROUND(T_Facebook_Ads1159636771757983[[#This Row],[impressions]]*RANDBETWEEN(8,12)/10,0)</f>
        <v>28098</v>
      </c>
      <c r="AY78">
        <f ca="1">ROUND(T_Facebook_Ads1159636771757983[[#This Row],[clicks]]*RANDBETWEEN(8,12)/10,0)</f>
        <v>1520</v>
      </c>
      <c r="AZ78">
        <f ca="1">T_Facebook_Ads1159636771757983[[#This Row],[spend]]*RANDBETWEEN(8,12)/10</f>
        <v>210.06000000000003</v>
      </c>
      <c r="BA78">
        <f ca="1">ROUND(T_Facebook_Ads1159636771757983[[#This Row],[conversions]]*RANDBETWEEN(8,12)/10,0)</f>
        <v>25</v>
      </c>
      <c r="BB78">
        <f ca="1">ROUND(T_Facebook_Ads1159636771757983[[#This Row],[video_views]]*RANDBETWEEN(8,12)/10,0)</f>
        <v>4345</v>
      </c>
    </row>
    <row r="79" spans="1:54" ht="15.75" thickBot="1" x14ac:dyDescent="0.3">
      <c r="A79" s="3">
        <f t="shared" ca="1" si="9"/>
        <v>45169</v>
      </c>
      <c r="B79" s="4" t="s">
        <v>64</v>
      </c>
      <c r="C79" s="4" t="s">
        <v>65</v>
      </c>
      <c r="D79" s="4" t="s">
        <v>66</v>
      </c>
      <c r="E79" s="4" t="s">
        <v>67</v>
      </c>
      <c r="F79" s="4">
        <f ca="1">ROUND(T_Facebook_Ads[[#This Row],[impressions]]*RANDBETWEEN(8,12)/10,0)</f>
        <v>60110</v>
      </c>
      <c r="G79" s="4">
        <v>245</v>
      </c>
      <c r="H79" s="4">
        <f ca="1">T_Facebook_Ads[[#This Row],[spend]]*RANDBETWEEN(8,12)/10</f>
        <v>101.64000000000001</v>
      </c>
      <c r="I79" s="4">
        <f ca="1">ROUND(T_Facebook_Ads[[#This Row],[conversions]]*RANDBETWEEN(8,12)/10,0)</f>
        <v>4</v>
      </c>
      <c r="J79" s="4">
        <f ca="1">ROUND(T_Facebook_Ads[[#This Row],[video_views]]*RANDBETWEEN(8,12)/10,0)</f>
        <v>35654</v>
      </c>
      <c r="K79" s="4">
        <f ca="1">T_Facebook_Ads[[#This Row],[engagement_rate]]*RANDBETWEEN(8,12)/10</f>
        <v>4.4400000000000004E-3</v>
      </c>
      <c r="L79" s="4">
        <f ca="1">ROUND(T_Facebook_Ads[[#This Row],[reach]]*RANDBETWEEN(8,12)/10,0)</f>
        <v>54890</v>
      </c>
      <c r="M79" s="4">
        <f ca="1">T_Facebook_Ads[[#This Row],[frequency]]*RANDBETWEEN(8,12)/10</f>
        <v>1.0980000000000001</v>
      </c>
      <c r="O79" s="3">
        <f t="shared" ca="1" si="10"/>
        <v>45156</v>
      </c>
      <c r="P79" s="4" t="s">
        <v>88</v>
      </c>
      <c r="Q79" s="4" t="s">
        <v>89</v>
      </c>
      <c r="R79" s="4" t="s">
        <v>90</v>
      </c>
      <c r="S79" s="4" t="s">
        <v>59</v>
      </c>
      <c r="T79" s="4">
        <f ca="1">ROUND(_Google_ads[[#This Row],[impressions]]*RANDBETWEEN(8,12)/10,0)</f>
        <v>153468</v>
      </c>
      <c r="U79" s="4">
        <f ca="1">ROUND(_Google_ads[[#This Row],[clicks]]*RANDBETWEEN(8,12)/10,0)</f>
        <v>502</v>
      </c>
      <c r="V79" s="4">
        <f ca="1">_Google_ads[[#This Row],[cost]]*RANDBETWEEN(8,12)/10</f>
        <v>100.47999999999999</v>
      </c>
      <c r="W79" s="4">
        <f ca="1">ROUND(_Google_ads[[#This Row],[conversions]]*RANDBETWEEN(8,12)/10,0)</f>
        <v>10</v>
      </c>
      <c r="X79" s="4">
        <f ca="1">ROUND(_Google_ads[[#This Row],[conversion_value]]*RANDBETWEEN(8,12)/10,0)</f>
        <v>780</v>
      </c>
      <c r="Y79" s="4">
        <f ca="1">_Google_ads[[#This Row],[ctr]]*RANDBETWEEN(8,12)/10</f>
        <v>3.5999999999999999E-3</v>
      </c>
      <c r="Z79" s="4">
        <f ca="1">_Google_ads[[#This Row],[avg_cpc]]*RANDBETWEEN(8,12)/10</f>
        <v>0.25200000000000006</v>
      </c>
      <c r="AA79" s="4">
        <f ca="1">ROUND(_Google_ads[[#This Row],[quality_score]]*RANDBETWEEN(8,12)/10,0)</f>
        <v>6</v>
      </c>
      <c r="AB79" s="4">
        <f ca="1">_Google_ads[[#This Row],[search_impression_share]]*RANDBETWEEN(8,12)/10</f>
        <v>0.374</v>
      </c>
      <c r="AD79" s="3">
        <f t="shared" ca="1" si="11"/>
        <v>45161</v>
      </c>
      <c r="AE79" s="4" t="s">
        <v>112</v>
      </c>
      <c r="AF79" s="4" t="s">
        <v>113</v>
      </c>
      <c r="AG79" s="4" t="s">
        <v>114</v>
      </c>
      <c r="AH79" s="4" t="s">
        <v>115</v>
      </c>
      <c r="AI79" s="4">
        <f ca="1">ROUND(T_Tiktok_ads[[#This Row],[impressions]]*RANDBETWEEN(8,12)/10,0)</f>
        <v>438424</v>
      </c>
      <c r="AJ79" s="4">
        <f ca="1">ROUND(T_Tiktok_ads[[#This Row],[clicks]]*RANDBETWEEN(8,12)/10,0)</f>
        <v>7841</v>
      </c>
      <c r="AK79" s="4">
        <v>998.7</v>
      </c>
      <c r="AL79" s="4">
        <f ca="1">ROUND(T_Tiktok_ads[[#This Row],[conversions]]*RANDBETWEEN(8,12)/10,0)</f>
        <v>98</v>
      </c>
      <c r="AM79" s="4">
        <f ca="1">ROUND(T_Tiktok_ads[[#This Row],[video_views]]*RANDBETWEEN(8,12)/10,0)</f>
        <v>365580</v>
      </c>
      <c r="AN79" s="4">
        <f ca="1">ROUND(T_Tiktok_ads[[#This Row],[video_watch_25]]*RANDBETWEEN(8,12)/10,0)</f>
        <v>321468</v>
      </c>
      <c r="AO79" s="4">
        <f ca="1">ROUND(T_Tiktok_ads[[#This Row],[video_watch_50]]*RANDBETWEEN(8,12)/10,0)</f>
        <v>214567</v>
      </c>
      <c r="AP79" s="4">
        <f ca="1">ROUND(T_Tiktok_ads[[#This Row],[video_watch_75]]*RANDBETWEEN(8,12)/10,0)</f>
        <v>151234</v>
      </c>
      <c r="AQ79" s="4">
        <f ca="1">ROUND(T_Tiktok_ads[[#This Row],[video_watch_100]]*RANDBETWEEN(8,12)/10,0)</f>
        <v>89610</v>
      </c>
      <c r="AR79" s="4">
        <f ca="1">ROUND(T_Tiktok_ads[[#This Row],[likes]]*RANDBETWEEN(8,12)/10,0)</f>
        <v>21307</v>
      </c>
      <c r="AS79" s="4">
        <f ca="1">ROUND(T_Tiktok_ads[[#This Row],[shares]]*RANDBETWEEN(8,12)/10,0)</f>
        <v>6014</v>
      </c>
      <c r="AT79" s="4">
        <f ca="1">ROUND(T_Tiktok_ads[[#This Row],[comments]]*RANDBETWEEN(8,12)/10,0)</f>
        <v>1667</v>
      </c>
      <c r="AV79" s="5">
        <f t="shared" ca="1" si="12"/>
        <v>45153</v>
      </c>
      <c r="AW79">
        <f t="shared" ca="1" si="13"/>
        <v>5</v>
      </c>
      <c r="AX79">
        <f ca="1">ROUND(T_Facebook_Ads1159636771757983[[#This Row],[impressions]]*RANDBETWEEN(8,12)/10,0)</f>
        <v>48088</v>
      </c>
      <c r="AY79">
        <f ca="1">ROUND(T_Facebook_Ads1159636771757983[[#This Row],[clicks]]*RANDBETWEEN(8,12)/10,0)</f>
        <v>270</v>
      </c>
      <c r="AZ79">
        <f ca="1">T_Facebook_Ads1159636771757983[[#This Row],[spend]]*RANDBETWEEN(8,12)/10</f>
        <v>81.312000000000012</v>
      </c>
      <c r="BA79">
        <f ca="1">ROUND(T_Facebook_Ads1159636771757983[[#This Row],[conversions]]*RANDBETWEEN(8,12)/10,0)</f>
        <v>4</v>
      </c>
      <c r="BB79">
        <f ca="1">ROUND(T_Facebook_Ads1159636771757983[[#This Row],[video_views]]*RANDBETWEEN(8,12)/10,0)</f>
        <v>39219</v>
      </c>
    </row>
    <row r="80" spans="1:54" ht="15.75" thickBot="1" x14ac:dyDescent="0.3">
      <c r="A80" s="3">
        <f t="shared" ca="1" si="9"/>
        <v>45152</v>
      </c>
      <c r="B80" s="4" t="s">
        <v>52</v>
      </c>
      <c r="C80" s="4" t="s">
        <v>53</v>
      </c>
      <c r="D80" s="4" t="s">
        <v>54</v>
      </c>
      <c r="E80" s="4" t="s">
        <v>55</v>
      </c>
      <c r="F80" s="4">
        <f ca="1">ROUND(T_Facebook_Ads[[#This Row],[impressions]]*RANDBETWEEN(8,12)/10,0)</f>
        <v>58280</v>
      </c>
      <c r="G80" s="4">
        <v>989</v>
      </c>
      <c r="H80" s="4">
        <f ca="1">T_Facebook_Ads[[#This Row],[spend]]*RANDBETWEEN(8,12)/10</f>
        <v>140.30000000000001</v>
      </c>
      <c r="I80" s="4">
        <f ca="1">ROUND(T_Facebook_Ads[[#This Row],[conversions]]*RANDBETWEEN(8,12)/10,0)</f>
        <v>17</v>
      </c>
      <c r="J80" s="4">
        <f ca="1">ROUND(T_Facebook_Ads[[#This Row],[video_views]]*RANDBETWEEN(8,12)/10,0)</f>
        <v>8945</v>
      </c>
      <c r="K80" s="4">
        <f ca="1">T_Facebook_Ads[[#This Row],[engagement_rate]]*RANDBETWEEN(8,12)/10</f>
        <v>2.2440000000000002E-2</v>
      </c>
      <c r="L80" s="4">
        <f ca="1">ROUND(T_Facebook_Ads[[#This Row],[reach]]*RANDBETWEEN(8,12)/10,0)</f>
        <v>32365</v>
      </c>
      <c r="M80" s="4">
        <f ca="1">T_Facebook_Ads[[#This Row],[frequency]]*RANDBETWEEN(8,12)/10</f>
        <v>0.96</v>
      </c>
      <c r="O80" s="3">
        <f t="shared" ca="1" si="10"/>
        <v>45156</v>
      </c>
      <c r="P80" s="4" t="s">
        <v>76</v>
      </c>
      <c r="Q80" s="4" t="s">
        <v>77</v>
      </c>
      <c r="R80" s="4" t="s">
        <v>78</v>
      </c>
      <c r="S80" s="4" t="s">
        <v>79</v>
      </c>
      <c r="T80" s="4">
        <f ca="1">ROUND(_Google_ads[[#This Row],[impressions]]*RANDBETWEEN(8,12)/10,0)</f>
        <v>20542</v>
      </c>
      <c r="U80" s="4">
        <f ca="1">ROUND(_Google_ads[[#This Row],[clicks]]*RANDBETWEEN(8,12)/10,0)</f>
        <v>1356</v>
      </c>
      <c r="V80" s="4">
        <f ca="1">_Google_ads[[#This Row],[cost]]*RANDBETWEEN(8,12)/10</f>
        <v>285.33999999999997</v>
      </c>
      <c r="W80" s="4">
        <f ca="1">ROUND(_Google_ads[[#This Row],[conversions]]*RANDBETWEEN(8,12)/10,0)</f>
        <v>61</v>
      </c>
      <c r="X80" s="4">
        <f ca="1">ROUND(_Google_ads[[#This Row],[conversion_value]]*RANDBETWEEN(8,12)/10,0)</f>
        <v>2295</v>
      </c>
      <c r="Y80" s="4">
        <f ca="1">_Google_ads[[#This Row],[ctr]]*RANDBETWEEN(8,12)/10</f>
        <v>5.28E-2</v>
      </c>
      <c r="Z80" s="4">
        <f ca="1">_Google_ads[[#This Row],[avg_cpc]]*RANDBETWEEN(8,12)/10</f>
        <v>0.22800000000000004</v>
      </c>
      <c r="AA80" s="4">
        <f ca="1">ROUND(_Google_ads[[#This Row],[quality_score]]*RANDBETWEEN(8,12)/10,0)</f>
        <v>7</v>
      </c>
      <c r="AB80" s="4">
        <f ca="1">_Google_ads[[#This Row],[search_impression_share]]*RANDBETWEEN(8,12)/10</f>
        <v>0.92000000000000015</v>
      </c>
      <c r="AD80" s="3">
        <f t="shared" ca="1" si="11"/>
        <v>45158</v>
      </c>
      <c r="AE80" s="4" t="s">
        <v>100</v>
      </c>
      <c r="AF80" s="4" t="s">
        <v>101</v>
      </c>
      <c r="AG80" s="4" t="s">
        <v>102</v>
      </c>
      <c r="AH80" s="4" t="s">
        <v>103</v>
      </c>
      <c r="AI80" s="4">
        <f ca="1">ROUND(T_Tiktok_ads[[#This Row],[impressions]]*RANDBETWEEN(8,12)/10,0)</f>
        <v>346814</v>
      </c>
      <c r="AJ80" s="4">
        <f ca="1">ROUND(T_Tiktok_ads[[#This Row],[clicks]]*RANDBETWEEN(8,12)/10,0)</f>
        <v>4657</v>
      </c>
      <c r="AK80" s="4">
        <v>556.70000000000005</v>
      </c>
      <c r="AL80" s="4">
        <f ca="1">ROUND(T_Tiktok_ads[[#This Row],[conversions]]*RANDBETWEEN(8,12)/10,0)</f>
        <v>34</v>
      </c>
      <c r="AM80" s="4">
        <f ca="1">ROUND(T_Tiktok_ads[[#This Row],[video_views]]*RANDBETWEEN(8,12)/10,0)</f>
        <v>281480</v>
      </c>
      <c r="AN80" s="4">
        <f ca="1">ROUND(T_Tiktok_ads[[#This Row],[video_watch_25]]*RANDBETWEEN(8,12)/10,0)</f>
        <v>182345</v>
      </c>
      <c r="AO80" s="4">
        <f ca="1">ROUND(T_Tiktok_ads[[#This Row],[video_watch_50]]*RANDBETWEEN(8,12)/10,0)</f>
        <v>91654</v>
      </c>
      <c r="AP80" s="4">
        <f ca="1">ROUND(T_Tiktok_ads[[#This Row],[video_watch_75]]*RANDBETWEEN(8,12)/10,0)</f>
        <v>69511</v>
      </c>
      <c r="AQ80" s="4">
        <f ca="1">ROUND(T_Tiktok_ads[[#This Row],[video_watch_100]]*RANDBETWEEN(8,12)/10,0)</f>
        <v>46111</v>
      </c>
      <c r="AR80" s="4">
        <f ca="1">ROUND(T_Tiktok_ads[[#This Row],[likes]]*RANDBETWEEN(8,12)/10,0)</f>
        <v>9311</v>
      </c>
      <c r="AS80" s="4">
        <f ca="1">ROUND(T_Tiktok_ads[[#This Row],[shares]]*RANDBETWEEN(8,12)/10,0)</f>
        <v>2231</v>
      </c>
      <c r="AT80" s="4">
        <f ca="1">ROUND(T_Tiktok_ads[[#This Row],[comments]]*RANDBETWEEN(8,12)/10,0)</f>
        <v>590</v>
      </c>
      <c r="AV80" s="5">
        <f t="shared" ca="1" si="12"/>
        <v>45141</v>
      </c>
      <c r="AW80">
        <f t="shared" ca="1" si="13"/>
        <v>6</v>
      </c>
      <c r="AX80">
        <f ca="1">ROUND(T_Facebook_Ads1159636771757983[[#This Row],[impressions]]*RANDBETWEEN(8,12)/10,0)</f>
        <v>46624</v>
      </c>
      <c r="AY80">
        <f ca="1">ROUND(T_Facebook_Ads1159636771757983[[#This Row],[clicks]]*RANDBETWEEN(8,12)/10,0)</f>
        <v>890</v>
      </c>
      <c r="AZ80">
        <f ca="1">T_Facebook_Ads1159636771757983[[#This Row],[spend]]*RANDBETWEEN(8,12)/10</f>
        <v>112.24000000000001</v>
      </c>
      <c r="BA80">
        <f ca="1">ROUND(T_Facebook_Ads1159636771757983[[#This Row],[conversions]]*RANDBETWEEN(8,12)/10,0)</f>
        <v>19</v>
      </c>
      <c r="BB80">
        <f ca="1">ROUND(T_Facebook_Ads1159636771757983[[#This Row],[video_views]]*RANDBETWEEN(8,12)/10,0)</f>
        <v>8945</v>
      </c>
    </row>
    <row r="81" spans="1:54" ht="15.75" thickBot="1" x14ac:dyDescent="0.3">
      <c r="A81" s="3">
        <f t="shared" ca="1" si="9"/>
        <v>45152</v>
      </c>
      <c r="B81" s="4" t="s">
        <v>56</v>
      </c>
      <c r="C81" s="4" t="s">
        <v>57</v>
      </c>
      <c r="D81" s="4" t="s">
        <v>58</v>
      </c>
      <c r="E81" s="4" t="s">
        <v>59</v>
      </c>
      <c r="F81" s="4">
        <f ca="1">ROUND(T_Facebook_Ads[[#This Row],[impressions]]*RANDBETWEEN(8,12)/10,0)</f>
        <v>13789</v>
      </c>
      <c r="G81" s="4">
        <v>623</v>
      </c>
      <c r="H81" s="4">
        <f ca="1">T_Facebook_Ads[[#This Row],[spend]]*RANDBETWEEN(8,12)/10</f>
        <v>275.76000000000005</v>
      </c>
      <c r="I81" s="4">
        <f ca="1">ROUND(T_Facebook_Ads[[#This Row],[conversions]]*RANDBETWEEN(8,12)/10,0)</f>
        <v>38</v>
      </c>
      <c r="J81" s="4">
        <f ca="1">ROUND(T_Facebook_Ads[[#This Row],[video_views]]*RANDBETWEEN(8,12)/10,0)</f>
        <v>1489</v>
      </c>
      <c r="K81" s="4">
        <f ca="1">T_Facebook_Ads[[#This Row],[engagement_rate]]*RANDBETWEEN(8,12)/10</f>
        <v>3.6159999999999998E-2</v>
      </c>
      <c r="L81" s="4">
        <f ca="1">ROUND(T_Facebook_Ads[[#This Row],[reach]]*RANDBETWEEN(8,12)/10,0)</f>
        <v>8631</v>
      </c>
      <c r="M81" s="4">
        <f ca="1">T_Facebook_Ads[[#This Row],[frequency]]*RANDBETWEEN(8,12)/10</f>
        <v>1.28</v>
      </c>
      <c r="O81" s="3">
        <f t="shared" ca="1" si="10"/>
        <v>45165</v>
      </c>
      <c r="P81" s="4" t="s">
        <v>80</v>
      </c>
      <c r="Q81" s="4" t="s">
        <v>81</v>
      </c>
      <c r="R81" s="4" t="s">
        <v>82</v>
      </c>
      <c r="S81" s="4" t="s">
        <v>83</v>
      </c>
      <c r="T81" s="4">
        <f ca="1">ROUND(_Google_ads[[#This Row],[impressions]]*RANDBETWEEN(8,12)/10,0)</f>
        <v>40611</v>
      </c>
      <c r="U81" s="4">
        <f ca="1">ROUND(_Google_ads[[#This Row],[clicks]]*RANDBETWEEN(8,12)/10,0)</f>
        <v>912</v>
      </c>
      <c r="V81" s="4">
        <f ca="1">_Google_ads[[#This Row],[cost]]*RANDBETWEEN(8,12)/10</f>
        <v>462.23999999999995</v>
      </c>
      <c r="W81" s="4">
        <f ca="1">ROUND(_Google_ads[[#This Row],[conversions]]*RANDBETWEEN(8,12)/10,0)</f>
        <v>19</v>
      </c>
      <c r="X81" s="4">
        <f ca="1">ROUND(_Google_ads[[#This Row],[conversion_value]]*RANDBETWEEN(8,12)/10,0)</f>
        <v>1320</v>
      </c>
      <c r="Y81" s="4">
        <f ca="1">_Google_ads[[#This Row],[ctr]]*RANDBETWEEN(8,12)/10</f>
        <v>1.8179999999999998E-2</v>
      </c>
      <c r="Z81" s="4">
        <f ca="1">_Google_ads[[#This Row],[avg_cpc]]*RANDBETWEEN(8,12)/10</f>
        <v>0.75600000000000001</v>
      </c>
      <c r="AA81" s="4">
        <f ca="1">ROUND(_Google_ads[[#This Row],[quality_score]]*RANDBETWEEN(8,12)/10,0)</f>
        <v>6</v>
      </c>
      <c r="AB81" s="4">
        <f ca="1">_Google_ads[[#This Row],[search_impression_share]]*RANDBETWEEN(8,12)/10</f>
        <v>0.40499999999999997</v>
      </c>
      <c r="AD81" s="3">
        <f t="shared" ca="1" si="11"/>
        <v>45164</v>
      </c>
      <c r="AE81" s="4" t="s">
        <v>104</v>
      </c>
      <c r="AF81" s="4" t="s">
        <v>105</v>
      </c>
      <c r="AG81" s="4" t="s">
        <v>106</v>
      </c>
      <c r="AH81" s="4" t="s">
        <v>107</v>
      </c>
      <c r="AI81" s="4">
        <f ca="1">ROUND(T_Tiktok_ads[[#This Row],[impressions]]*RANDBETWEEN(8,12)/10,0)</f>
        <v>125431</v>
      </c>
      <c r="AJ81" s="4">
        <f ca="1">ROUND(T_Tiktok_ads[[#This Row],[clicks]]*RANDBETWEEN(8,12)/10,0)</f>
        <v>3614</v>
      </c>
      <c r="AK81" s="4">
        <v>812.3</v>
      </c>
      <c r="AL81" s="4">
        <f ca="1">ROUND(T_Tiktok_ads[[#This Row],[conversions]]*RANDBETWEEN(8,12)/10,0)</f>
        <v>98</v>
      </c>
      <c r="AM81" s="4">
        <f ca="1">ROUND(T_Tiktok_ads[[#This Row],[video_views]]*RANDBETWEEN(8,12)/10,0)</f>
        <v>120864</v>
      </c>
      <c r="AN81" s="4">
        <f ca="1">ROUND(T_Tiktok_ads[[#This Row],[video_watch_25]]*RANDBETWEEN(8,12)/10,0)</f>
        <v>97481</v>
      </c>
      <c r="AO81" s="4">
        <f ca="1">ROUND(T_Tiktok_ads[[#This Row],[video_watch_50]]*RANDBETWEEN(8,12)/10,0)</f>
        <v>54678</v>
      </c>
      <c r="AP81" s="4">
        <f ca="1">ROUND(T_Tiktok_ads[[#This Row],[video_watch_75]]*RANDBETWEEN(8,12)/10,0)</f>
        <v>32987</v>
      </c>
      <c r="AQ81" s="4">
        <f ca="1">ROUND(T_Tiktok_ads[[#This Row],[video_watch_100]]*RANDBETWEEN(8,12)/10,0)</f>
        <v>24810</v>
      </c>
      <c r="AR81" s="4">
        <f ca="1">ROUND(T_Tiktok_ads[[#This Row],[likes]]*RANDBETWEEN(8,12)/10,0)</f>
        <v>4365</v>
      </c>
      <c r="AS81" s="4">
        <f ca="1">ROUND(T_Tiktok_ads[[#This Row],[shares]]*RANDBETWEEN(8,12)/10,0)</f>
        <v>1410</v>
      </c>
      <c r="AT81" s="4">
        <f ca="1">ROUND(T_Tiktok_ads[[#This Row],[comments]]*RANDBETWEEN(8,12)/10,0)</f>
        <v>289</v>
      </c>
      <c r="AV81" s="5">
        <f t="shared" ca="1" si="12"/>
        <v>45167</v>
      </c>
      <c r="AW81">
        <f t="shared" ca="1" si="13"/>
        <v>8</v>
      </c>
      <c r="AX81">
        <f ca="1">ROUND(T_Facebook_Ads1159636771757983[[#This Row],[impressions]]*RANDBETWEEN(8,12)/10,0)</f>
        <v>12410</v>
      </c>
      <c r="AY81">
        <f ca="1">ROUND(T_Facebook_Ads1159636771757983[[#This Row],[clicks]]*RANDBETWEEN(8,12)/10,0)</f>
        <v>561</v>
      </c>
      <c r="AZ81">
        <f ca="1">T_Facebook_Ads1159636771757983[[#This Row],[spend]]*RANDBETWEEN(8,12)/10</f>
        <v>303.33600000000007</v>
      </c>
      <c r="BA81">
        <f ca="1">ROUND(T_Facebook_Ads1159636771757983[[#This Row],[conversions]]*RANDBETWEEN(8,12)/10,0)</f>
        <v>30</v>
      </c>
      <c r="BB81">
        <f ca="1">ROUND(T_Facebook_Ads1159636771757983[[#This Row],[video_views]]*RANDBETWEEN(8,12)/10,0)</f>
        <v>1191</v>
      </c>
    </row>
    <row r="82" spans="1:54" ht="15.75" thickBot="1" x14ac:dyDescent="0.3">
      <c r="A82" s="3">
        <f t="shared" ca="1" si="9"/>
        <v>45165</v>
      </c>
      <c r="B82" s="4" t="s">
        <v>60</v>
      </c>
      <c r="C82" s="4" t="s">
        <v>61</v>
      </c>
      <c r="D82" s="4" t="s">
        <v>62</v>
      </c>
      <c r="E82" s="4" t="s">
        <v>63</v>
      </c>
      <c r="F82" s="4">
        <f ca="1">ROUND(T_Facebook_Ads[[#This Row],[impressions]]*RANDBETWEEN(8,12)/10,0)</f>
        <v>33710</v>
      </c>
      <c r="G82" s="4">
        <v>1389</v>
      </c>
      <c r="H82" s="4">
        <f ca="1">T_Facebook_Ads[[#This Row],[spend]]*RANDBETWEEN(8,12)/10</f>
        <v>256.08000000000004</v>
      </c>
      <c r="I82" s="4">
        <f ca="1">ROUND(T_Facebook_Ads[[#This Row],[conversions]]*RANDBETWEEN(8,12)/10,0)</f>
        <v>32</v>
      </c>
      <c r="J82" s="4">
        <f ca="1">ROUND(T_Facebook_Ads[[#This Row],[video_views]]*RANDBETWEEN(8,12)/10,0)</f>
        <v>4401</v>
      </c>
      <c r="K82" s="4">
        <f ca="1">T_Facebook_Ads[[#This Row],[engagement_rate]]*RANDBETWEEN(8,12)/10</f>
        <v>2.9680000000000002E-2</v>
      </c>
      <c r="L82" s="4">
        <f ca="1">ROUND(T_Facebook_Ads[[#This Row],[reach]]*RANDBETWEEN(8,12)/10,0)</f>
        <v>36680</v>
      </c>
      <c r="M82" s="4">
        <f ca="1">T_Facebook_Ads[[#This Row],[frequency]]*RANDBETWEEN(8,12)/10</f>
        <v>1.0980000000000001</v>
      </c>
      <c r="O82" s="3">
        <f t="shared" ca="1" si="10"/>
        <v>45141</v>
      </c>
      <c r="P82" s="4" t="s">
        <v>84</v>
      </c>
      <c r="Q82" s="4" t="s">
        <v>85</v>
      </c>
      <c r="R82" s="4" t="s">
        <v>86</v>
      </c>
      <c r="S82" s="4" t="s">
        <v>87</v>
      </c>
      <c r="T82" s="4">
        <f ca="1">ROUND(_Google_ads[[#This Row],[impressions]]*RANDBETWEEN(8,12)/10,0)</f>
        <v>63211</v>
      </c>
      <c r="U82" s="4">
        <f ca="1">ROUND(_Google_ads[[#This Row],[clicks]]*RANDBETWEEN(8,12)/10,0)</f>
        <v>2150</v>
      </c>
      <c r="V82" s="4">
        <f ca="1">_Google_ads[[#This Row],[cost]]*RANDBETWEEN(8,12)/10</f>
        <v>389.34000000000003</v>
      </c>
      <c r="W82" s="4">
        <f ca="1">ROUND(_Google_ads[[#This Row],[conversions]]*RANDBETWEEN(8,12)/10,0)</f>
        <v>55</v>
      </c>
      <c r="X82" s="4">
        <f ca="1">ROUND(_Google_ads[[#This Row],[conversion_value]]*RANDBETWEEN(8,12)/10,0)</f>
        <v>3450</v>
      </c>
      <c r="Y82" s="4">
        <f ca="1">_Google_ads[[#This Row],[ctr]]*RANDBETWEEN(8,12)/10</f>
        <v>3.7400000000000003E-2</v>
      </c>
      <c r="Z82" s="4">
        <f ca="1">_Google_ads[[#This Row],[avg_cpc]]*RANDBETWEEN(8,12)/10</f>
        <v>0.21600000000000003</v>
      </c>
      <c r="AA82" s="4">
        <f ca="1">ROUND(_Google_ads[[#This Row],[quality_score]]*RANDBETWEEN(8,12)/10,0)</f>
        <v>7</v>
      </c>
      <c r="AB82" s="4">
        <f ca="1">_Google_ads[[#This Row],[search_impression_share]]*RANDBETWEEN(8,12)/10</f>
        <v>0.60299999999999998</v>
      </c>
      <c r="AD82" s="3">
        <f t="shared" ca="1" si="11"/>
        <v>45155</v>
      </c>
      <c r="AE82" s="4" t="s">
        <v>108</v>
      </c>
      <c r="AF82" s="4" t="s">
        <v>109</v>
      </c>
      <c r="AG82" s="4" t="s">
        <v>110</v>
      </c>
      <c r="AH82" s="4" t="s">
        <v>111</v>
      </c>
      <c r="AI82" s="4">
        <f ca="1">ROUND(T_Tiktok_ads[[#This Row],[impressions]]*RANDBETWEEN(8,12)/10,0)</f>
        <v>270246</v>
      </c>
      <c r="AJ82" s="4">
        <f ca="1">ROUND(T_Tiktok_ads[[#This Row],[clicks]]*RANDBETWEEN(8,12)/10,0)</f>
        <v>3112</v>
      </c>
      <c r="AK82" s="4">
        <v>467.8</v>
      </c>
      <c r="AL82" s="4">
        <f ca="1">ROUND(T_Tiktok_ads[[#This Row],[conversions]]*RANDBETWEEN(8,12)/10,0)</f>
        <v>41</v>
      </c>
      <c r="AM82" s="4">
        <f ca="1">ROUND(T_Tiktok_ads[[#This Row],[video_views]]*RANDBETWEEN(8,12)/10,0)</f>
        <v>215246</v>
      </c>
      <c r="AN82" s="4">
        <f ca="1">ROUND(T_Tiktok_ads[[#This Row],[video_watch_25]]*RANDBETWEEN(8,12)/10,0)</f>
        <v>163057</v>
      </c>
      <c r="AO82" s="4">
        <f ca="1">ROUND(T_Tiktok_ads[[#This Row],[video_watch_50]]*RANDBETWEEN(8,12)/10,0)</f>
        <v>140681</v>
      </c>
      <c r="AP82" s="4">
        <f ca="1">ROUND(T_Tiktok_ads[[#This Row],[video_watch_75]]*RANDBETWEEN(8,12)/10,0)</f>
        <v>90281</v>
      </c>
      <c r="AQ82" s="4">
        <f ca="1">ROUND(T_Tiktok_ads[[#This Row],[video_watch_100]]*RANDBETWEEN(8,12)/10,0)</f>
        <v>54947</v>
      </c>
      <c r="AR82" s="4">
        <f ca="1">ROUND(T_Tiktok_ads[[#This Row],[likes]]*RANDBETWEEN(8,12)/10,0)</f>
        <v>6854</v>
      </c>
      <c r="AS82" s="4">
        <f ca="1">ROUND(T_Tiktok_ads[[#This Row],[shares]]*RANDBETWEEN(8,12)/10,0)</f>
        <v>2814</v>
      </c>
      <c r="AT82" s="4">
        <f ca="1">ROUND(T_Tiktok_ads[[#This Row],[comments]]*RANDBETWEEN(8,12)/10,0)</f>
        <v>624</v>
      </c>
      <c r="AV82" s="5">
        <f t="shared" ca="1" si="12"/>
        <v>45147</v>
      </c>
      <c r="AW82">
        <f t="shared" ca="1" si="13"/>
        <v>1</v>
      </c>
      <c r="AX82">
        <f ca="1">ROUND(T_Facebook_Ads1159636771757983[[#This Row],[impressions]]*RANDBETWEEN(8,12)/10,0)</f>
        <v>33710</v>
      </c>
      <c r="AY82">
        <f ca="1">ROUND(T_Facebook_Ads1159636771757983[[#This Row],[clicks]]*RANDBETWEEN(8,12)/10,0)</f>
        <v>1389</v>
      </c>
      <c r="AZ82">
        <f ca="1">T_Facebook_Ads1159636771757983[[#This Row],[spend]]*RANDBETWEEN(8,12)/10</f>
        <v>307.29600000000005</v>
      </c>
      <c r="BA82">
        <f ca="1">ROUND(T_Facebook_Ads1159636771757983[[#This Row],[conversions]]*RANDBETWEEN(8,12)/10,0)</f>
        <v>35</v>
      </c>
      <c r="BB82">
        <f ca="1">ROUND(T_Facebook_Ads1159636771757983[[#This Row],[video_views]]*RANDBETWEEN(8,12)/10,0)</f>
        <v>4841</v>
      </c>
    </row>
    <row r="83" spans="1:54" ht="15.75" thickBot="1" x14ac:dyDescent="0.3">
      <c r="A83" s="3">
        <f t="shared" ca="1" si="9"/>
        <v>45153</v>
      </c>
      <c r="B83" s="4" t="s">
        <v>64</v>
      </c>
      <c r="C83" s="4" t="s">
        <v>65</v>
      </c>
      <c r="D83" s="4" t="s">
        <v>66</v>
      </c>
      <c r="E83" s="4" t="s">
        <v>67</v>
      </c>
      <c r="F83" s="4">
        <f ca="1">ROUND(T_Facebook_Ads[[#This Row],[impressions]]*RANDBETWEEN(8,12)/10,0)</f>
        <v>71234</v>
      </c>
      <c r="G83" s="4">
        <v>256</v>
      </c>
      <c r="H83" s="4">
        <f ca="1">T_Facebook_Ads[[#This Row],[spend]]*RANDBETWEEN(8,12)/10</f>
        <v>72.400000000000006</v>
      </c>
      <c r="I83" s="4">
        <f ca="1">ROUND(T_Facebook_Ads[[#This Row],[conversions]]*RANDBETWEEN(8,12)/10,0)</f>
        <v>7</v>
      </c>
      <c r="J83" s="4">
        <f ca="1">ROUND(T_Facebook_Ads[[#This Row],[video_views]]*RANDBETWEEN(8,12)/10,0)</f>
        <v>57748</v>
      </c>
      <c r="K83" s="4">
        <f ca="1">T_Facebook_Ads[[#This Row],[engagement_rate]]*RANDBETWEEN(8,12)/10</f>
        <v>3.96E-3</v>
      </c>
      <c r="L83" s="4">
        <f ca="1">ROUND(T_Facebook_Ads[[#This Row],[reach]]*RANDBETWEEN(8,12)/10,0)</f>
        <v>64424</v>
      </c>
      <c r="M83" s="4">
        <f ca="1">T_Facebook_Ads[[#This Row],[frequency]]*RANDBETWEEN(8,12)/10</f>
        <v>1.464</v>
      </c>
      <c r="O83" s="3">
        <f t="shared" ca="1" si="10"/>
        <v>45162</v>
      </c>
      <c r="P83" s="4" t="s">
        <v>88</v>
      </c>
      <c r="Q83" s="4" t="s">
        <v>89</v>
      </c>
      <c r="R83" s="4" t="s">
        <v>90</v>
      </c>
      <c r="S83" s="4" t="s">
        <v>59</v>
      </c>
      <c r="T83" s="4">
        <f ca="1">ROUND(_Google_ads[[#This Row],[impressions]]*RANDBETWEEN(8,12)/10,0)</f>
        <v>160147</v>
      </c>
      <c r="U83" s="4">
        <f ca="1">ROUND(_Google_ads[[#This Row],[clicks]]*RANDBETWEEN(8,12)/10,0)</f>
        <v>391</v>
      </c>
      <c r="V83" s="4">
        <f ca="1">_Google_ads[[#This Row],[cost]]*RANDBETWEEN(8,12)/10</f>
        <v>131.19999999999999</v>
      </c>
      <c r="W83" s="4">
        <f ca="1">ROUND(_Google_ads[[#This Row],[conversions]]*RANDBETWEEN(8,12)/10,0)</f>
        <v>11</v>
      </c>
      <c r="X83" s="4">
        <f ca="1">ROUND(_Google_ads[[#This Row],[conversion_value]]*RANDBETWEEN(8,12)/10,0)</f>
        <v>840</v>
      </c>
      <c r="Y83" s="4">
        <f ca="1">_Google_ads[[#This Row],[ctr]]*RANDBETWEEN(8,12)/10</f>
        <v>3.3300000000000005E-3</v>
      </c>
      <c r="Z83" s="4">
        <f ca="1">_Google_ads[[#This Row],[avg_cpc]]*RANDBETWEEN(8,12)/10</f>
        <v>0.21600000000000003</v>
      </c>
      <c r="AA83" s="4">
        <f ca="1">ROUND(_Google_ads[[#This Row],[quality_score]]*RANDBETWEEN(8,12)/10,0)</f>
        <v>6</v>
      </c>
      <c r="AB83" s="4">
        <f ca="1">_Google_ads[[#This Row],[search_impression_share]]*RANDBETWEEN(8,12)/10</f>
        <v>0.38499999999999995</v>
      </c>
      <c r="AD83" s="3">
        <f t="shared" ca="1" si="11"/>
        <v>45158</v>
      </c>
      <c r="AE83" s="4" t="s">
        <v>112</v>
      </c>
      <c r="AF83" s="4" t="s">
        <v>113</v>
      </c>
      <c r="AG83" s="4" t="s">
        <v>114</v>
      </c>
      <c r="AH83" s="4" t="s">
        <v>115</v>
      </c>
      <c r="AI83" s="4">
        <f ca="1">ROUND(T_Tiktok_ads[[#This Row],[impressions]]*RANDBETWEEN(8,12)/10,0)</f>
        <v>381110</v>
      </c>
      <c r="AJ83" s="4">
        <f ca="1">ROUND(T_Tiktok_ads[[#This Row],[clicks]]*RANDBETWEEN(8,12)/10,0)</f>
        <v>6201</v>
      </c>
      <c r="AK83" s="4">
        <v>1056.8</v>
      </c>
      <c r="AL83" s="4">
        <f ca="1">ROUND(T_Tiktok_ads[[#This Row],[conversions]]*RANDBETWEEN(8,12)/10,0)</f>
        <v>107</v>
      </c>
      <c r="AM83" s="4">
        <f ca="1">ROUND(T_Tiktok_ads[[#This Row],[video_views]]*RANDBETWEEN(8,12)/10,0)</f>
        <v>392468</v>
      </c>
      <c r="AN83" s="4">
        <f ca="1">ROUND(T_Tiktok_ads[[#This Row],[video_watch_25]]*RANDBETWEEN(8,12)/10,0)</f>
        <v>231387</v>
      </c>
      <c r="AO83" s="4">
        <f ca="1">ROUND(T_Tiktok_ads[[#This Row],[video_watch_50]]*RANDBETWEEN(8,12)/10,0)</f>
        <v>254602</v>
      </c>
      <c r="AP83" s="4">
        <f ca="1">ROUND(T_Tiktok_ads[[#This Row],[video_watch_75]]*RANDBETWEEN(8,12)/10,0)</f>
        <v>164567</v>
      </c>
      <c r="AQ83" s="4">
        <f ca="1">ROUND(T_Tiktok_ads[[#This Row],[video_watch_100]]*RANDBETWEEN(8,12)/10,0)</f>
        <v>109234</v>
      </c>
      <c r="AR83" s="4">
        <f ca="1">ROUND(T_Tiktok_ads[[#This Row],[likes]]*RANDBETWEEN(8,12)/10,0)</f>
        <v>22668</v>
      </c>
      <c r="AS83" s="4">
        <f ca="1">ROUND(T_Tiktok_ads[[#This Row],[shares]]*RANDBETWEEN(8,12)/10,0)</f>
        <v>4365</v>
      </c>
      <c r="AT83" s="4">
        <f ca="1">ROUND(T_Tiktok_ads[[#This Row],[comments]]*RANDBETWEEN(8,12)/10,0)</f>
        <v>1638</v>
      </c>
      <c r="AV83" s="5">
        <f t="shared" ca="1" si="12"/>
        <v>45139</v>
      </c>
      <c r="AW83">
        <f t="shared" ca="1" si="13"/>
        <v>4</v>
      </c>
      <c r="AX83">
        <f ca="1">ROUND(T_Facebook_Ads1159636771757983[[#This Row],[impressions]]*RANDBETWEEN(8,12)/10,0)</f>
        <v>78357</v>
      </c>
      <c r="AY83">
        <f ca="1">ROUND(T_Facebook_Ads1159636771757983[[#This Row],[clicks]]*RANDBETWEEN(8,12)/10,0)</f>
        <v>205</v>
      </c>
      <c r="AZ83">
        <f ca="1">T_Facebook_Ads1159636771757983[[#This Row],[spend]]*RANDBETWEEN(8,12)/10</f>
        <v>57.92</v>
      </c>
      <c r="BA83">
        <f ca="1">ROUND(T_Facebook_Ads1159636771757983[[#This Row],[conversions]]*RANDBETWEEN(8,12)/10,0)</f>
        <v>8</v>
      </c>
      <c r="BB83">
        <f ca="1">ROUND(T_Facebook_Ads1159636771757983[[#This Row],[video_views]]*RANDBETWEEN(8,12)/10,0)</f>
        <v>69298</v>
      </c>
    </row>
    <row r="84" spans="1:54" ht="15.75" thickBot="1" x14ac:dyDescent="0.3">
      <c r="A84" s="3">
        <f t="shared" ca="1" si="9"/>
        <v>45153</v>
      </c>
      <c r="B84" s="4" t="s">
        <v>52</v>
      </c>
      <c r="C84" s="4" t="s">
        <v>53</v>
      </c>
      <c r="D84" s="4" t="s">
        <v>54</v>
      </c>
      <c r="E84" s="4" t="s">
        <v>55</v>
      </c>
      <c r="F84" s="4">
        <f ca="1">ROUND(T_Facebook_Ads[[#This Row],[impressions]]*RANDBETWEEN(8,12)/10,0)</f>
        <v>61481</v>
      </c>
      <c r="G84" s="4">
        <v>1067</v>
      </c>
      <c r="H84" s="4">
        <f ca="1">T_Facebook_Ads[[#This Row],[spend]]*RANDBETWEEN(8,12)/10</f>
        <v>134.72999999999999</v>
      </c>
      <c r="I84" s="4">
        <f ca="1">ROUND(T_Facebook_Ads[[#This Row],[conversions]]*RANDBETWEEN(8,12)/10,0)</f>
        <v>19</v>
      </c>
      <c r="J84" s="4">
        <f ca="1">ROUND(T_Facebook_Ads[[#This Row],[video_views]]*RANDBETWEEN(8,12)/10,0)</f>
        <v>10157</v>
      </c>
      <c r="K84" s="4">
        <f ca="1">T_Facebook_Ads[[#This Row],[engagement_rate]]*RANDBETWEEN(8,12)/10</f>
        <v>2.2880000000000001E-2</v>
      </c>
      <c r="L84" s="4">
        <f ca="1">ROUND(T_Facebook_Ads[[#This Row],[reach]]*RANDBETWEEN(8,12)/10,0)</f>
        <v>51080</v>
      </c>
      <c r="M84" s="4">
        <f ca="1">T_Facebook_Ads[[#This Row],[frequency]]*RANDBETWEEN(8,12)/10</f>
        <v>1.0799999999999998</v>
      </c>
      <c r="O84" s="3">
        <f t="shared" ca="1" si="10"/>
        <v>45165</v>
      </c>
      <c r="P84" s="4" t="s">
        <v>76</v>
      </c>
      <c r="Q84" s="4" t="s">
        <v>77</v>
      </c>
      <c r="R84" s="4" t="s">
        <v>78</v>
      </c>
      <c r="S84" s="4" t="s">
        <v>79</v>
      </c>
      <c r="T84" s="4">
        <f ca="1">ROUND(_Google_ads[[#This Row],[impressions]]*RANDBETWEEN(8,12)/10,0)</f>
        <v>21698</v>
      </c>
      <c r="U84" s="4">
        <f ca="1">ROUND(_Google_ads[[#This Row],[clicks]]*RANDBETWEEN(8,12)/10,0)</f>
        <v>1721</v>
      </c>
      <c r="V84" s="4">
        <f ca="1">_Google_ads[[#This Row],[cost]]*RANDBETWEEN(8,12)/10</f>
        <v>274.3</v>
      </c>
      <c r="W84" s="4">
        <f ca="1">ROUND(_Google_ads[[#This Row],[conversions]]*RANDBETWEEN(8,12)/10,0)</f>
        <v>66</v>
      </c>
      <c r="X84" s="4">
        <f ca="1">ROUND(_Google_ads[[#This Row],[conversion_value]]*RANDBETWEEN(8,12)/10,0)</f>
        <v>2200</v>
      </c>
      <c r="Y84" s="4">
        <f ca="1">_Google_ads[[#This Row],[ctr]]*RANDBETWEEN(8,12)/10</f>
        <v>6.3480000000000009E-2</v>
      </c>
      <c r="Z84" s="4">
        <f ca="1">_Google_ads[[#This Row],[avg_cpc]]*RANDBETWEEN(8,12)/10</f>
        <v>0.20899999999999999</v>
      </c>
      <c r="AA84" s="4">
        <f ca="1">ROUND(_Google_ads[[#This Row],[quality_score]]*RANDBETWEEN(8,12)/10,0)</f>
        <v>8</v>
      </c>
      <c r="AB84" s="4">
        <f ca="1">_Google_ads[[#This Row],[search_impression_share]]*RANDBETWEEN(8,12)/10</f>
        <v>0.93</v>
      </c>
      <c r="AD84" s="3">
        <f t="shared" ca="1" si="11"/>
        <v>45159</v>
      </c>
      <c r="AE84" s="4" t="s">
        <v>100</v>
      </c>
      <c r="AF84" s="4" t="s">
        <v>101</v>
      </c>
      <c r="AG84" s="4" t="s">
        <v>102</v>
      </c>
      <c r="AH84" s="4" t="s">
        <v>103</v>
      </c>
      <c r="AI84" s="4">
        <f ca="1">ROUND(T_Tiktok_ads[[#This Row],[impressions]]*RANDBETWEEN(8,12)/10,0)</f>
        <v>281111</v>
      </c>
      <c r="AJ84" s="4">
        <f ca="1">ROUND(T_Tiktok_ads[[#This Row],[clicks]]*RANDBETWEEN(8,12)/10,0)</f>
        <v>4567</v>
      </c>
      <c r="AK84" s="4">
        <v>623.4</v>
      </c>
      <c r="AL84" s="4">
        <f ca="1">ROUND(T_Tiktok_ads[[#This Row],[conversions]]*RANDBETWEEN(8,12)/10,0)</f>
        <v>58</v>
      </c>
      <c r="AM84" s="4">
        <f ca="1">ROUND(T_Tiktok_ads[[#This Row],[video_views]]*RANDBETWEEN(8,12)/10,0)</f>
        <v>205431</v>
      </c>
      <c r="AN84" s="4">
        <f ca="1">ROUND(T_Tiktok_ads[[#This Row],[video_watch_25]]*RANDBETWEEN(8,12)/10,0)</f>
        <v>240281</v>
      </c>
      <c r="AO84" s="4">
        <f ca="1">ROUND(T_Tiktok_ads[[#This Row],[video_watch_50]]*RANDBETWEEN(8,12)/10,0)</f>
        <v>113110</v>
      </c>
      <c r="AP84" s="4">
        <f ca="1">ROUND(T_Tiktok_ads[[#This Row],[video_watch_75]]*RANDBETWEEN(8,12)/10,0)</f>
        <v>67654</v>
      </c>
      <c r="AQ84" s="4">
        <f ca="1">ROUND(T_Tiktok_ads[[#This Row],[video_watch_100]]*RANDBETWEEN(8,12)/10,0)</f>
        <v>44987</v>
      </c>
      <c r="AR84" s="4">
        <f ca="1">ROUND(T_Tiktok_ads[[#This Row],[likes]]*RANDBETWEEN(8,12)/10,0)</f>
        <v>8987</v>
      </c>
      <c r="AS84" s="4">
        <f ca="1">ROUND(T_Tiktok_ads[[#This Row],[shares]]*RANDBETWEEN(8,12)/10,0)</f>
        <v>3614</v>
      </c>
      <c r="AT84" s="4">
        <f ca="1">ROUND(T_Tiktok_ads[[#This Row],[comments]]*RANDBETWEEN(8,12)/10,0)</f>
        <v>651</v>
      </c>
      <c r="AV84" s="5">
        <f t="shared" ca="1" si="12"/>
        <v>45167</v>
      </c>
      <c r="AW84">
        <f t="shared" ca="1" si="13"/>
        <v>7</v>
      </c>
      <c r="AX84">
        <f ca="1">ROUND(T_Facebook_Ads1159636771757983[[#This Row],[impressions]]*RANDBETWEEN(8,12)/10,0)</f>
        <v>55333</v>
      </c>
      <c r="AY84">
        <f ca="1">ROUND(T_Facebook_Ads1159636771757983[[#This Row],[clicks]]*RANDBETWEEN(8,12)/10,0)</f>
        <v>960</v>
      </c>
      <c r="AZ84">
        <f ca="1">T_Facebook_Ads1159636771757983[[#This Row],[spend]]*RANDBETWEEN(8,12)/10</f>
        <v>121.25699999999999</v>
      </c>
      <c r="BA84">
        <f ca="1">ROUND(T_Facebook_Ads1159636771757983[[#This Row],[conversions]]*RANDBETWEEN(8,12)/10,0)</f>
        <v>17</v>
      </c>
      <c r="BB84">
        <f ca="1">ROUND(T_Facebook_Ads1159636771757983[[#This Row],[video_views]]*RANDBETWEEN(8,12)/10,0)</f>
        <v>8126</v>
      </c>
    </row>
    <row r="85" spans="1:54" ht="15.75" thickBot="1" x14ac:dyDescent="0.3">
      <c r="A85" s="3">
        <f t="shared" ca="1" si="9"/>
        <v>45139</v>
      </c>
      <c r="B85" s="4" t="s">
        <v>56</v>
      </c>
      <c r="C85" s="4" t="s">
        <v>57</v>
      </c>
      <c r="D85" s="4" t="s">
        <v>58</v>
      </c>
      <c r="E85" s="4" t="s">
        <v>59</v>
      </c>
      <c r="F85" s="4">
        <f ca="1">ROUND(T_Facebook_Ads[[#This Row],[impressions]]*RANDBETWEEN(8,12)/10,0)</f>
        <v>14890</v>
      </c>
      <c r="G85" s="4">
        <v>712</v>
      </c>
      <c r="H85" s="4">
        <f ca="1">T_Facebook_Ads[[#This Row],[spend]]*RANDBETWEEN(8,12)/10</f>
        <v>301.91999999999996</v>
      </c>
      <c r="I85" s="4">
        <f ca="1">ROUND(T_Facebook_Ads[[#This Row],[conversions]]*RANDBETWEEN(8,12)/10,0)</f>
        <v>43</v>
      </c>
      <c r="J85" s="4">
        <f ca="1">ROUND(T_Facebook_Ads[[#This Row],[video_views]]*RANDBETWEEN(8,12)/10,0)</f>
        <v>1894</v>
      </c>
      <c r="K85" s="4">
        <f ca="1">T_Facebook_Ads[[#This Row],[engagement_rate]]*RANDBETWEEN(8,12)/10</f>
        <v>3.8240000000000003E-2</v>
      </c>
      <c r="L85" s="4">
        <f ca="1">ROUND(T_Facebook_Ads[[#This Row],[reach]]*RANDBETWEEN(8,12)/10,0)</f>
        <v>12969</v>
      </c>
      <c r="M85" s="4">
        <f ca="1">T_Facebook_Ads[[#This Row],[frequency]]*RANDBETWEEN(8,12)/10</f>
        <v>1.1339999999999999</v>
      </c>
      <c r="O85" s="3">
        <f t="shared" ca="1" si="10"/>
        <v>45163</v>
      </c>
      <c r="P85" s="4" t="s">
        <v>80</v>
      </c>
      <c r="Q85" s="4" t="s">
        <v>81</v>
      </c>
      <c r="R85" s="4" t="s">
        <v>82</v>
      </c>
      <c r="S85" s="4" t="s">
        <v>83</v>
      </c>
      <c r="T85" s="4">
        <f ca="1">ROUND(_Google_ads[[#This Row],[impressions]]*RANDBETWEEN(8,12)/10,0)</f>
        <v>38312</v>
      </c>
      <c r="U85" s="4">
        <f ca="1">ROUND(_Google_ads[[#This Row],[clicks]]*RANDBETWEEN(8,12)/10,0)</f>
        <v>880</v>
      </c>
      <c r="V85" s="4">
        <f ca="1">_Google_ads[[#This Row],[cost]]*RANDBETWEEN(8,12)/10</f>
        <v>613.5</v>
      </c>
      <c r="W85" s="4">
        <f ca="1">ROUND(_Google_ads[[#This Row],[conversions]]*RANDBETWEEN(8,12)/10,0)</f>
        <v>29</v>
      </c>
      <c r="X85" s="4">
        <f ca="1">ROUND(_Google_ads[[#This Row],[conversion_value]]*RANDBETWEEN(8,12)/10,0)</f>
        <v>1430</v>
      </c>
      <c r="Y85" s="4">
        <f ca="1">_Google_ads[[#This Row],[ctr]]*RANDBETWEEN(8,12)/10</f>
        <v>2.0400000000000001E-2</v>
      </c>
      <c r="Z85" s="4">
        <f ca="1">_Google_ads[[#This Row],[avg_cpc]]*RANDBETWEEN(8,12)/10</f>
        <v>0.69299999999999995</v>
      </c>
      <c r="AA85" s="4">
        <f ca="1">ROUND(_Google_ads[[#This Row],[quality_score]]*RANDBETWEEN(8,12)/10,0)</f>
        <v>6</v>
      </c>
      <c r="AB85" s="4">
        <f ca="1">_Google_ads[[#This Row],[search_impression_share]]*RANDBETWEEN(8,12)/10</f>
        <v>0.41400000000000003</v>
      </c>
      <c r="AD85" s="3">
        <f t="shared" ca="1" si="11"/>
        <v>45159</v>
      </c>
      <c r="AE85" s="4" t="s">
        <v>104</v>
      </c>
      <c r="AF85" s="4" t="s">
        <v>105</v>
      </c>
      <c r="AG85" s="4" t="s">
        <v>106</v>
      </c>
      <c r="AH85" s="4" t="s">
        <v>107</v>
      </c>
      <c r="AI85" s="4">
        <f ca="1">ROUND(T_Tiktok_ads[[#This Row],[impressions]]*RANDBETWEEN(8,12)/10,0)</f>
        <v>206814</v>
      </c>
      <c r="AJ85" s="4">
        <f ca="1">ROUND(T_Tiktok_ads[[#This Row],[clicks]]*RANDBETWEEN(8,12)/10,0)</f>
        <v>3011</v>
      </c>
      <c r="AK85" s="4">
        <v>867.9</v>
      </c>
      <c r="AL85" s="4">
        <f ca="1">ROUND(T_Tiktok_ads[[#This Row],[conversions]]*RANDBETWEEN(8,12)/10,0)</f>
        <v>78</v>
      </c>
      <c r="AM85" s="4">
        <f ca="1">ROUND(T_Tiktok_ads[[#This Row],[video_views]]*RANDBETWEEN(8,12)/10,0)</f>
        <v>135802</v>
      </c>
      <c r="AN85" s="4">
        <f ca="1">ROUND(T_Tiktok_ads[[#This Row],[video_watch_25]]*RANDBETWEEN(8,12)/10,0)</f>
        <v>72987</v>
      </c>
      <c r="AO85" s="4">
        <f ca="1">ROUND(T_Tiktok_ads[[#This Row],[video_watch_50]]*RANDBETWEEN(8,12)/10,0)</f>
        <v>61567</v>
      </c>
      <c r="AP85" s="4">
        <f ca="1">ROUND(T_Tiktok_ads[[#This Row],[video_watch_75]]*RANDBETWEEN(8,12)/10,0)</f>
        <v>36987</v>
      </c>
      <c r="AQ85" s="4">
        <f ca="1">ROUND(T_Tiktok_ads[[#This Row],[video_watch_100]]*RANDBETWEEN(8,12)/10,0)</f>
        <v>30789</v>
      </c>
      <c r="AR85" s="4">
        <f ca="1">ROUND(T_Tiktok_ads[[#This Row],[likes]]*RANDBETWEEN(8,12)/10,0)</f>
        <v>4712</v>
      </c>
      <c r="AS85" s="4">
        <f ca="1">ROUND(T_Tiktok_ads[[#This Row],[shares]]*RANDBETWEEN(8,12)/10,0)</f>
        <v>1342</v>
      </c>
      <c r="AT85" s="4">
        <f ca="1">ROUND(T_Tiktok_ads[[#This Row],[comments]]*RANDBETWEEN(8,12)/10,0)</f>
        <v>401</v>
      </c>
      <c r="AV85" s="5">
        <f t="shared" ca="1" si="12"/>
        <v>45139</v>
      </c>
      <c r="AW85">
        <f t="shared" ca="1" si="13"/>
        <v>6</v>
      </c>
      <c r="AX85">
        <f ca="1">ROUND(T_Facebook_Ads1159636771757983[[#This Row],[impressions]]*RANDBETWEEN(8,12)/10,0)</f>
        <v>16379</v>
      </c>
      <c r="AY85">
        <f ca="1">ROUND(T_Facebook_Ads1159636771757983[[#This Row],[clicks]]*RANDBETWEEN(8,12)/10,0)</f>
        <v>712</v>
      </c>
      <c r="AZ85">
        <f ca="1">T_Facebook_Ads1159636771757983[[#This Row],[spend]]*RANDBETWEEN(8,12)/10</f>
        <v>332.11199999999997</v>
      </c>
      <c r="BA85">
        <f ca="1">ROUND(T_Facebook_Ads1159636771757983[[#This Row],[conversions]]*RANDBETWEEN(8,12)/10,0)</f>
        <v>43</v>
      </c>
      <c r="BB85">
        <f ca="1">ROUND(T_Facebook_Ads1159636771757983[[#This Row],[video_views]]*RANDBETWEEN(8,12)/10,0)</f>
        <v>2083</v>
      </c>
    </row>
    <row r="86" spans="1:54" ht="15.75" thickBot="1" x14ac:dyDescent="0.3">
      <c r="A86" s="3">
        <f t="shared" ca="1" si="9"/>
        <v>45161</v>
      </c>
      <c r="B86" s="4" t="s">
        <v>60</v>
      </c>
      <c r="C86" s="4" t="s">
        <v>61</v>
      </c>
      <c r="D86" s="4" t="s">
        <v>62</v>
      </c>
      <c r="E86" s="4" t="s">
        <v>63</v>
      </c>
      <c r="F86" s="4">
        <f ca="1">ROUND(T_Facebook_Ads[[#This Row],[impressions]]*RANDBETWEEN(8,12)/10,0)</f>
        <v>39234</v>
      </c>
      <c r="G86" s="4">
        <v>1489</v>
      </c>
      <c r="H86" s="4">
        <f ca="1">T_Facebook_Ads[[#This Row],[spend]]*RANDBETWEEN(8,12)/10</f>
        <v>182.32</v>
      </c>
      <c r="I86" s="4">
        <f ca="1">ROUND(T_Facebook_Ads[[#This Row],[conversions]]*RANDBETWEEN(8,12)/10,0)</f>
        <v>32</v>
      </c>
      <c r="J86" s="4">
        <f ca="1">ROUND(T_Facebook_Ads[[#This Row],[video_views]]*RANDBETWEEN(8,12)/10,0)</f>
        <v>4187</v>
      </c>
      <c r="K86" s="4">
        <f ca="1">T_Facebook_Ads[[#This Row],[engagement_rate]]*RANDBETWEEN(8,12)/10</f>
        <v>4.1690000000000005E-2</v>
      </c>
      <c r="L86" s="4">
        <f ca="1">ROUND(T_Facebook_Ads[[#This Row],[reach]]*RANDBETWEEN(8,12)/10,0)</f>
        <v>38548</v>
      </c>
      <c r="M86" s="4">
        <f ca="1">T_Facebook_Ads[[#This Row],[frequency]]*RANDBETWEEN(8,12)/10</f>
        <v>1.0980000000000001</v>
      </c>
      <c r="O86" s="3">
        <f t="shared" ca="1" si="10"/>
        <v>45145</v>
      </c>
      <c r="P86" s="4" t="s">
        <v>84</v>
      </c>
      <c r="Q86" s="4" t="s">
        <v>85</v>
      </c>
      <c r="R86" s="4" t="s">
        <v>86</v>
      </c>
      <c r="S86" s="4" t="s">
        <v>87</v>
      </c>
      <c r="T86" s="4">
        <f ca="1">ROUND(_Google_ads[[#This Row],[impressions]]*RANDBETWEEN(8,12)/10,0)</f>
        <v>73456</v>
      </c>
      <c r="U86" s="4">
        <f ca="1">ROUND(_Google_ads[[#This Row],[clicks]]*RANDBETWEEN(8,12)/10,0)</f>
        <v>2501</v>
      </c>
      <c r="V86" s="4">
        <f ca="1">_Google_ads[[#This Row],[cost]]*RANDBETWEEN(8,12)/10</f>
        <v>502.37</v>
      </c>
      <c r="W86" s="4">
        <f ca="1">ROUND(_Google_ads[[#This Row],[conversions]]*RANDBETWEEN(8,12)/10,0)</f>
        <v>80</v>
      </c>
      <c r="X86" s="4">
        <f ca="1">ROUND(_Google_ads[[#This Row],[conversion_value]]*RANDBETWEEN(8,12)/10,0)</f>
        <v>4380</v>
      </c>
      <c r="Y86" s="4">
        <f ca="1">_Google_ads[[#This Row],[ctr]]*RANDBETWEEN(8,12)/10</f>
        <v>4.0800000000000003E-2</v>
      </c>
      <c r="Z86" s="4">
        <f ca="1">_Google_ads[[#This Row],[avg_cpc]]*RANDBETWEEN(8,12)/10</f>
        <v>0.16199999999999998</v>
      </c>
      <c r="AA86" s="4">
        <f ca="1">ROUND(_Google_ads[[#This Row],[quality_score]]*RANDBETWEEN(8,12)/10,0)</f>
        <v>6</v>
      </c>
      <c r="AB86" s="4">
        <f ca="1">_Google_ads[[#This Row],[search_impression_share]]*RANDBETWEEN(8,12)/10</f>
        <v>0.62099999999999989</v>
      </c>
      <c r="AD86" s="3">
        <f t="shared" ca="1" si="11"/>
        <v>45158</v>
      </c>
      <c r="AE86" s="4" t="s">
        <v>108</v>
      </c>
      <c r="AF86" s="4" t="s">
        <v>109</v>
      </c>
      <c r="AG86" s="4" t="s">
        <v>110</v>
      </c>
      <c r="AH86" s="4" t="s">
        <v>111</v>
      </c>
      <c r="AI86" s="4">
        <f ca="1">ROUND(T_Tiktok_ads[[#This Row],[impressions]]*RANDBETWEEN(8,12)/10,0)</f>
        <v>294679</v>
      </c>
      <c r="AJ86" s="4">
        <f ca="1">ROUND(T_Tiktok_ads[[#This Row],[clicks]]*RANDBETWEEN(8,12)/10,0)</f>
        <v>4948</v>
      </c>
      <c r="AK86" s="4">
        <v>512.6</v>
      </c>
      <c r="AL86" s="4">
        <f ca="1">ROUND(T_Tiktok_ads[[#This Row],[conversions]]*RANDBETWEEN(8,12)/10,0)</f>
        <v>41</v>
      </c>
      <c r="AM86" s="4">
        <f ca="1">ROUND(T_Tiktok_ads[[#This Row],[video_views]]*RANDBETWEEN(8,12)/10,0)</f>
        <v>233580</v>
      </c>
      <c r="AN86" s="4">
        <f ca="1">ROUND(T_Tiktok_ads[[#This Row],[video_watch_25]]*RANDBETWEEN(8,12)/10,0)</f>
        <v>176257</v>
      </c>
      <c r="AO86" s="4">
        <f ca="1">ROUND(T_Tiktok_ads[[#This Row],[video_watch_50]]*RANDBETWEEN(8,12)/10,0)</f>
        <v>139468</v>
      </c>
      <c r="AP86" s="4">
        <f ca="1">ROUND(T_Tiktok_ads[[#This Row],[video_watch_75]]*RANDBETWEEN(8,12)/10,0)</f>
        <v>89357</v>
      </c>
      <c r="AQ86" s="4">
        <f ca="1">ROUND(T_Tiktok_ads[[#This Row],[video_watch_100]]*RANDBETWEEN(8,12)/10,0)</f>
        <v>49234</v>
      </c>
      <c r="AR86" s="4">
        <f ca="1">ROUND(T_Tiktok_ads[[#This Row],[likes]]*RANDBETWEEN(8,12)/10,0)</f>
        <v>7298</v>
      </c>
      <c r="AS86" s="4">
        <f ca="1">ROUND(T_Tiktok_ads[[#This Row],[shares]]*RANDBETWEEN(8,12)/10,0)</f>
        <v>3080</v>
      </c>
      <c r="AT86" s="4">
        <f ca="1">ROUND(T_Tiktok_ads[[#This Row],[comments]]*RANDBETWEEN(8,12)/10,0)</f>
        <v>551</v>
      </c>
      <c r="AV86" s="5">
        <f t="shared" ca="1" si="12"/>
        <v>45141</v>
      </c>
      <c r="AW86">
        <f t="shared" ca="1" si="13"/>
        <v>8</v>
      </c>
      <c r="AX86">
        <f ca="1">ROUND(T_Facebook_Ads1159636771757983[[#This Row],[impressions]]*RANDBETWEEN(8,12)/10,0)</f>
        <v>39234</v>
      </c>
      <c r="AY86">
        <f ca="1">ROUND(T_Facebook_Ads1159636771757983[[#This Row],[clicks]]*RANDBETWEEN(8,12)/10,0)</f>
        <v>1340</v>
      </c>
      <c r="AZ86">
        <f ca="1">T_Facebook_Ads1159636771757983[[#This Row],[spend]]*RANDBETWEEN(8,12)/10</f>
        <v>218.78400000000002</v>
      </c>
      <c r="BA86">
        <f ca="1">ROUND(T_Facebook_Ads1159636771757983[[#This Row],[conversions]]*RANDBETWEEN(8,12)/10,0)</f>
        <v>38</v>
      </c>
      <c r="BB86">
        <f ca="1">ROUND(T_Facebook_Ads1159636771757983[[#This Row],[video_views]]*RANDBETWEEN(8,12)/10,0)</f>
        <v>4606</v>
      </c>
    </row>
    <row r="87" spans="1:54" ht="15.75" thickBot="1" x14ac:dyDescent="0.3">
      <c r="A87" s="3">
        <f t="shared" ca="1" si="9"/>
        <v>45144</v>
      </c>
      <c r="B87" s="4" t="s">
        <v>64</v>
      </c>
      <c r="C87" s="4" t="s">
        <v>65</v>
      </c>
      <c r="D87" s="4" t="s">
        <v>66</v>
      </c>
      <c r="E87" s="4" t="s">
        <v>67</v>
      </c>
      <c r="F87" s="4">
        <f ca="1">ROUND(T_Facebook_Ads[[#This Row],[impressions]]*RANDBETWEEN(8,12)/10,0)</f>
        <v>59654</v>
      </c>
      <c r="G87" s="4">
        <v>267</v>
      </c>
      <c r="H87" s="4">
        <f ca="1">T_Facebook_Ads[[#This Row],[spend]]*RANDBETWEEN(8,12)/10</f>
        <v>114.96</v>
      </c>
      <c r="I87" s="4">
        <f ca="1">ROUND(T_Facebook_Ads[[#This Row],[conversions]]*RANDBETWEEN(8,12)/10,0)</f>
        <v>7</v>
      </c>
      <c r="J87" s="4">
        <f ca="1">ROUND(T_Facebook_Ads[[#This Row],[video_views]]*RANDBETWEEN(8,12)/10,0)</f>
        <v>50234</v>
      </c>
      <c r="K87" s="4">
        <f ca="1">T_Facebook_Ads[[#This Row],[engagement_rate]]*RANDBETWEEN(8,12)/10</f>
        <v>2.8799999999999997E-3</v>
      </c>
      <c r="L87" s="4">
        <f ca="1">ROUND(T_Facebook_Ads[[#This Row],[reach]]*RANDBETWEEN(8,12)/10,0)</f>
        <v>60789</v>
      </c>
      <c r="M87" s="4">
        <f ca="1">T_Facebook_Ads[[#This Row],[frequency]]*RANDBETWEEN(8,12)/10</f>
        <v>1.353</v>
      </c>
      <c r="O87" s="3">
        <f t="shared" ca="1" si="10"/>
        <v>45143</v>
      </c>
      <c r="P87" s="4" t="s">
        <v>88</v>
      </c>
      <c r="Q87" s="4" t="s">
        <v>89</v>
      </c>
      <c r="R87" s="4" t="s">
        <v>90</v>
      </c>
      <c r="S87" s="4" t="s">
        <v>59</v>
      </c>
      <c r="T87" s="4">
        <f ca="1">ROUND(_Google_ads[[#This Row],[impressions]]*RANDBETWEEN(8,12)/10,0)</f>
        <v>125311</v>
      </c>
      <c r="U87" s="4">
        <f ca="1">ROUND(_Google_ads[[#This Row],[clicks]]*RANDBETWEEN(8,12)/10,0)</f>
        <v>523</v>
      </c>
      <c r="V87" s="4">
        <f ca="1">_Google_ads[[#This Row],[cost]]*RANDBETWEEN(8,12)/10</f>
        <v>123.12</v>
      </c>
      <c r="W87" s="4">
        <f ca="1">ROUND(_Google_ads[[#This Row],[conversions]]*RANDBETWEEN(8,12)/10,0)</f>
        <v>18</v>
      </c>
      <c r="X87" s="4">
        <f ca="1">ROUND(_Google_ads[[#This Row],[conversion_value]]*RANDBETWEEN(8,12)/10,0)</f>
        <v>675</v>
      </c>
      <c r="Y87" s="4">
        <f ca="1">_Google_ads[[#This Row],[ctr]]*RANDBETWEEN(8,12)/10</f>
        <v>3.8E-3</v>
      </c>
      <c r="Z87" s="4">
        <f ca="1">_Google_ads[[#This Row],[avg_cpc]]*RANDBETWEEN(8,12)/10</f>
        <v>0.20800000000000002</v>
      </c>
      <c r="AA87" s="4">
        <f ca="1">ROUND(_Google_ads[[#This Row],[quality_score]]*RANDBETWEEN(8,12)/10,0)</f>
        <v>7</v>
      </c>
      <c r="AB87" s="4">
        <f ca="1">_Google_ads[[#This Row],[search_impression_share]]*RANDBETWEEN(8,12)/10</f>
        <v>0.36</v>
      </c>
      <c r="AD87" s="3">
        <f t="shared" ca="1" si="11"/>
        <v>45166</v>
      </c>
      <c r="AE87" s="4" t="s">
        <v>112</v>
      </c>
      <c r="AF87" s="4" t="s">
        <v>113</v>
      </c>
      <c r="AG87" s="4" t="s">
        <v>114</v>
      </c>
      <c r="AH87" s="4" t="s">
        <v>115</v>
      </c>
      <c r="AI87" s="4">
        <f ca="1">ROUND(T_Tiktok_ads[[#This Row],[impressions]]*RANDBETWEEN(8,12)/10,0)</f>
        <v>502468</v>
      </c>
      <c r="AJ87" s="4">
        <f ca="1">ROUND(T_Tiktok_ads[[#This Row],[clicks]]*RANDBETWEEN(8,12)/10,0)</f>
        <v>7456</v>
      </c>
      <c r="AK87" s="4">
        <v>1167.8</v>
      </c>
      <c r="AL87" s="4">
        <f ca="1">ROUND(T_Tiktok_ads[[#This Row],[conversions]]*RANDBETWEEN(8,12)/10,0)</f>
        <v>94</v>
      </c>
      <c r="AM87" s="4">
        <f ca="1">ROUND(T_Tiktok_ads[[#This Row],[video_views]]*RANDBETWEEN(8,12)/10,0)</f>
        <v>389012</v>
      </c>
      <c r="AN87" s="4">
        <f ca="1">ROUND(T_Tiktok_ads[[#This Row],[video_watch_25]]*RANDBETWEEN(8,12)/10,0)</f>
        <v>374814</v>
      </c>
      <c r="AO87" s="4">
        <f ca="1">ROUND(T_Tiktok_ads[[#This Row],[video_watch_50]]*RANDBETWEEN(8,12)/10,0)</f>
        <v>199387</v>
      </c>
      <c r="AP87" s="4">
        <f ca="1">ROUND(T_Tiktok_ads[[#This Row],[video_watch_75]]*RANDBETWEEN(8,12)/10,0)</f>
        <v>213468</v>
      </c>
      <c r="AQ87" s="4">
        <f ca="1">ROUND(T_Tiktok_ads[[#This Row],[video_watch_100]]*RANDBETWEEN(8,12)/10,0)</f>
        <v>118234</v>
      </c>
      <c r="AR87" s="4">
        <f ca="1">ROUND(T_Tiktok_ads[[#This Row],[likes]]*RANDBETWEEN(8,12)/10,0)</f>
        <v>20234</v>
      </c>
      <c r="AS87" s="4">
        <f ca="1">ROUND(T_Tiktok_ads[[#This Row],[shares]]*RANDBETWEEN(8,12)/10,0)</f>
        <v>5321</v>
      </c>
      <c r="AT87" s="4">
        <f ca="1">ROUND(T_Tiktok_ads[[#This Row],[comments]]*RANDBETWEEN(8,12)/10,0)</f>
        <v>1948</v>
      </c>
      <c r="AV87" s="5">
        <f t="shared" ca="1" si="12"/>
        <v>45139</v>
      </c>
      <c r="AW87">
        <f t="shared" ca="1" si="13"/>
        <v>3</v>
      </c>
      <c r="AX87">
        <f ca="1">ROUND(T_Facebook_Ads1159636771757983[[#This Row],[impressions]]*RANDBETWEEN(8,12)/10,0)</f>
        <v>53689</v>
      </c>
      <c r="AY87">
        <f ca="1">ROUND(T_Facebook_Ads1159636771757983[[#This Row],[clicks]]*RANDBETWEEN(8,12)/10,0)</f>
        <v>240</v>
      </c>
      <c r="AZ87">
        <f ca="1">T_Facebook_Ads1159636771757983[[#This Row],[spend]]*RANDBETWEEN(8,12)/10</f>
        <v>137.952</v>
      </c>
      <c r="BA87">
        <f ca="1">ROUND(T_Facebook_Ads1159636771757983[[#This Row],[conversions]]*RANDBETWEEN(8,12)/10,0)</f>
        <v>6</v>
      </c>
      <c r="BB87">
        <f ca="1">ROUND(T_Facebook_Ads1159636771757983[[#This Row],[video_views]]*RANDBETWEEN(8,12)/10,0)</f>
        <v>40187</v>
      </c>
    </row>
    <row r="88" spans="1:54" ht="15.75" thickBot="1" x14ac:dyDescent="0.3">
      <c r="A88" s="3">
        <f t="shared" ca="1" si="9"/>
        <v>45151</v>
      </c>
      <c r="B88" s="4" t="s">
        <v>52</v>
      </c>
      <c r="C88" s="4" t="s">
        <v>53</v>
      </c>
      <c r="D88" s="4" t="s">
        <v>54</v>
      </c>
      <c r="E88" s="4" t="s">
        <v>55</v>
      </c>
      <c r="F88" s="4">
        <f ca="1">ROUND(T_Facebook_Ads[[#This Row],[impressions]]*RANDBETWEEN(8,12)/10,0)</f>
        <v>47510</v>
      </c>
      <c r="G88" s="4">
        <v>1123</v>
      </c>
      <c r="H88" s="4">
        <f ca="1">T_Facebook_Ads[[#This Row],[spend]]*RANDBETWEEN(8,12)/10</f>
        <v>172.04000000000002</v>
      </c>
      <c r="I88" s="4">
        <f ca="1">ROUND(T_Facebook_Ads[[#This Row],[conversions]]*RANDBETWEEN(8,12)/10,0)</f>
        <v>22</v>
      </c>
      <c r="J88" s="4">
        <f ca="1">ROUND(T_Facebook_Ads[[#This Row],[video_views]]*RANDBETWEEN(8,12)/10,0)</f>
        <v>10524</v>
      </c>
      <c r="K88" s="4">
        <f ca="1">T_Facebook_Ads[[#This Row],[engagement_rate]]*RANDBETWEEN(8,12)/10</f>
        <v>2.1299999999999999E-2</v>
      </c>
      <c r="L88" s="4">
        <f ca="1">ROUND(T_Facebook_Ads[[#This Row],[reach]]*RANDBETWEEN(8,12)/10,0)</f>
        <v>52668</v>
      </c>
      <c r="M88" s="4">
        <f ca="1">T_Facebook_Ads[[#This Row],[frequency]]*RANDBETWEEN(8,12)/10</f>
        <v>1.44</v>
      </c>
      <c r="O88" s="3">
        <f t="shared" ca="1" si="10"/>
        <v>45144</v>
      </c>
      <c r="P88" s="4" t="s">
        <v>76</v>
      </c>
      <c r="Q88" s="4" t="s">
        <v>77</v>
      </c>
      <c r="R88" s="4" t="s">
        <v>78</v>
      </c>
      <c r="S88" s="4" t="s">
        <v>79</v>
      </c>
      <c r="T88" s="4">
        <f ca="1">ROUND(_Google_ads[[#This Row],[impressions]]*RANDBETWEEN(8,12)/10,0)</f>
        <v>25411</v>
      </c>
      <c r="U88" s="4">
        <f ca="1">ROUND(_Google_ads[[#This Row],[clicks]]*RANDBETWEEN(8,12)/10,0)</f>
        <v>1814</v>
      </c>
      <c r="V88" s="4">
        <f ca="1">_Google_ads[[#This Row],[cost]]*RANDBETWEEN(8,12)/10</f>
        <v>316.36</v>
      </c>
      <c r="W88" s="4">
        <f ca="1">ROUND(_Google_ads[[#This Row],[conversions]]*RANDBETWEEN(8,12)/10,0)</f>
        <v>70</v>
      </c>
      <c r="X88" s="4">
        <f ca="1">ROUND(_Google_ads[[#This Row],[conversion_value]]*RANDBETWEEN(8,12)/10,0)</f>
        <v>3190</v>
      </c>
      <c r="Y88" s="4">
        <f ca="1">_Google_ads[[#This Row],[ctr]]*RANDBETWEEN(8,12)/10</f>
        <v>4.2799999999999998E-2</v>
      </c>
      <c r="Z88" s="4">
        <f ca="1">_Google_ads[[#This Row],[avg_cpc]]*RANDBETWEEN(8,12)/10</f>
        <v>0.22800000000000004</v>
      </c>
      <c r="AA88" s="4">
        <f ca="1">ROUND(_Google_ads[[#This Row],[quality_score]]*RANDBETWEEN(8,12)/10,0)</f>
        <v>10</v>
      </c>
      <c r="AB88" s="4">
        <f ca="1">_Google_ads[[#This Row],[search_impression_share]]*RANDBETWEEN(8,12)/10</f>
        <v>1.1279999999999999</v>
      </c>
      <c r="AD88" s="3">
        <f t="shared" ca="1" si="11"/>
        <v>45146</v>
      </c>
      <c r="AE88" s="4" t="s">
        <v>100</v>
      </c>
      <c r="AF88" s="4" t="s">
        <v>101</v>
      </c>
      <c r="AG88" s="4" t="s">
        <v>102</v>
      </c>
      <c r="AH88" s="4" t="s">
        <v>103</v>
      </c>
      <c r="AI88" s="4">
        <f ca="1">ROUND(T_Tiktok_ads[[#This Row],[impressions]]*RANDBETWEEN(8,12)/10,0)</f>
        <v>258765</v>
      </c>
      <c r="AJ88" s="4">
        <f ca="1">ROUND(T_Tiktok_ads[[#This Row],[clicks]]*RANDBETWEEN(8,12)/10,0)</f>
        <v>3831</v>
      </c>
      <c r="AK88" s="4">
        <v>645.70000000000005</v>
      </c>
      <c r="AL88" s="4">
        <f ca="1">ROUND(T_Tiktok_ads[[#This Row],[conversions]]*RANDBETWEEN(8,12)/10,0)</f>
        <v>45</v>
      </c>
      <c r="AM88" s="4">
        <f ca="1">ROUND(T_Tiktok_ads[[#This Row],[video_views]]*RANDBETWEEN(8,12)/10,0)</f>
        <v>214312</v>
      </c>
      <c r="AN88" s="4">
        <f ca="1">ROUND(T_Tiktok_ads[[#This Row],[video_watch_25]]*RANDBETWEEN(8,12)/10,0)</f>
        <v>188011</v>
      </c>
      <c r="AO88" s="4">
        <f ca="1">ROUND(T_Tiktok_ads[[#This Row],[video_watch_50]]*RANDBETWEEN(8,12)/10,0)</f>
        <v>104987</v>
      </c>
      <c r="AP88" s="4">
        <f ca="1">ROUND(T_Tiktok_ads[[#This Row],[video_watch_75]]*RANDBETWEEN(8,12)/10,0)</f>
        <v>88234</v>
      </c>
      <c r="AQ88" s="4">
        <f ca="1">ROUND(T_Tiktok_ads[[#This Row],[video_watch_100]]*RANDBETWEEN(8,12)/10,0)</f>
        <v>47121</v>
      </c>
      <c r="AR88" s="4">
        <f ca="1">ROUND(T_Tiktok_ads[[#This Row],[likes]]*RANDBETWEEN(8,12)/10,0)</f>
        <v>9254</v>
      </c>
      <c r="AS88" s="4">
        <f ca="1">ROUND(T_Tiktok_ads[[#This Row],[shares]]*RANDBETWEEN(8,12)/10,0)</f>
        <v>3447</v>
      </c>
      <c r="AT88" s="4">
        <f ca="1">ROUND(T_Tiktok_ads[[#This Row],[comments]]*RANDBETWEEN(8,12)/10,0)</f>
        <v>587</v>
      </c>
      <c r="AV88" s="5">
        <f t="shared" ca="1" si="12"/>
        <v>45144</v>
      </c>
      <c r="AW88">
        <f t="shared" ca="1" si="13"/>
        <v>4</v>
      </c>
      <c r="AX88">
        <f ca="1">ROUND(T_Facebook_Ads1159636771757983[[#This Row],[impressions]]*RANDBETWEEN(8,12)/10,0)</f>
        <v>57012</v>
      </c>
      <c r="AY88">
        <f ca="1">ROUND(T_Facebook_Ads1159636771757983[[#This Row],[clicks]]*RANDBETWEEN(8,12)/10,0)</f>
        <v>1011</v>
      </c>
      <c r="AZ88">
        <f ca="1">T_Facebook_Ads1159636771757983[[#This Row],[spend]]*RANDBETWEEN(8,12)/10</f>
        <v>172.04000000000002</v>
      </c>
      <c r="BA88">
        <f ca="1">ROUND(T_Facebook_Ads1159636771757983[[#This Row],[conversions]]*RANDBETWEEN(8,12)/10,0)</f>
        <v>24</v>
      </c>
      <c r="BB88">
        <f ca="1">ROUND(T_Facebook_Ads1159636771757983[[#This Row],[video_views]]*RANDBETWEEN(8,12)/10,0)</f>
        <v>10524</v>
      </c>
    </row>
    <row r="89" spans="1:54" ht="15.75" thickBot="1" x14ac:dyDescent="0.3">
      <c r="A89" s="3">
        <f t="shared" ca="1" si="9"/>
        <v>45168</v>
      </c>
      <c r="B89" s="4" t="s">
        <v>56</v>
      </c>
      <c r="C89" s="4" t="s">
        <v>57</v>
      </c>
      <c r="D89" s="4" t="s">
        <v>58</v>
      </c>
      <c r="E89" s="4" t="s">
        <v>59</v>
      </c>
      <c r="F89" s="4">
        <f ca="1">ROUND(T_Facebook_Ads[[#This Row],[impressions]]*RANDBETWEEN(8,12)/10,0)</f>
        <v>14110</v>
      </c>
      <c r="G89" s="4">
        <v>756</v>
      </c>
      <c r="H89" s="4">
        <f ca="1">T_Facebook_Ads[[#This Row],[spend]]*RANDBETWEEN(8,12)/10</f>
        <v>268.89999999999998</v>
      </c>
      <c r="I89" s="4">
        <f ca="1">ROUND(T_Facebook_Ads[[#This Row],[conversions]]*RANDBETWEEN(8,12)/10,0)</f>
        <v>38</v>
      </c>
      <c r="J89" s="4">
        <f ca="1">ROUND(T_Facebook_Ads[[#This Row],[video_views]]*RANDBETWEEN(8,12)/10,0)</f>
        <v>1510</v>
      </c>
      <c r="K89" s="4">
        <f ca="1">T_Facebook_Ads[[#This Row],[engagement_rate]]*RANDBETWEEN(8,12)/10</f>
        <v>4.3380000000000002E-2</v>
      </c>
      <c r="L89" s="4">
        <f ca="1">ROUND(T_Facebook_Ads[[#This Row],[reach]]*RANDBETWEEN(8,12)/10,0)</f>
        <v>11111</v>
      </c>
      <c r="M89" s="4">
        <f ca="1">T_Facebook_Ads[[#This Row],[frequency]]*RANDBETWEEN(8,12)/10</f>
        <v>1.27</v>
      </c>
      <c r="O89" s="3">
        <f t="shared" ca="1" si="10"/>
        <v>45152</v>
      </c>
      <c r="P89" s="4" t="s">
        <v>80</v>
      </c>
      <c r="Q89" s="4" t="s">
        <v>81</v>
      </c>
      <c r="R89" s="4" t="s">
        <v>82</v>
      </c>
      <c r="S89" s="4" t="s">
        <v>83</v>
      </c>
      <c r="T89" s="4">
        <f ca="1">ROUND(_Google_ads[[#This Row],[impressions]]*RANDBETWEEN(8,12)/10,0)</f>
        <v>44610</v>
      </c>
      <c r="U89" s="4">
        <f ca="1">ROUND(_Google_ads[[#This Row],[clicks]]*RANDBETWEEN(8,12)/10,0)</f>
        <v>810</v>
      </c>
      <c r="V89" s="4">
        <f ca="1">_Google_ads[[#This Row],[cost]]*RANDBETWEEN(8,12)/10</f>
        <v>634.20000000000005</v>
      </c>
      <c r="W89" s="4">
        <f ca="1">ROUND(_Google_ads[[#This Row],[conversions]]*RANDBETWEEN(8,12)/10,0)</f>
        <v>22</v>
      </c>
      <c r="X89" s="4">
        <f ca="1">ROUND(_Google_ads[[#This Row],[conversion_value]]*RANDBETWEEN(8,12)/10,0)</f>
        <v>1620</v>
      </c>
      <c r="Y89" s="4">
        <f ca="1">_Google_ads[[#This Row],[ctr]]*RANDBETWEEN(8,12)/10</f>
        <v>2.0400000000000001E-2</v>
      </c>
      <c r="Z89" s="4">
        <f ca="1">_Google_ads[[#This Row],[avg_cpc]]*RANDBETWEEN(8,12)/10</f>
        <v>0.56699999999999995</v>
      </c>
      <c r="AA89" s="4">
        <f ca="1">ROUND(_Google_ads[[#This Row],[quality_score]]*RANDBETWEEN(8,12)/10,0)</f>
        <v>8</v>
      </c>
      <c r="AB89" s="4">
        <f ca="1">_Google_ads[[#This Row],[search_impression_share]]*RANDBETWEEN(8,12)/10</f>
        <v>0.56399999999999995</v>
      </c>
      <c r="AD89" s="3">
        <f t="shared" ca="1" si="11"/>
        <v>45155</v>
      </c>
      <c r="AE89" s="4" t="s">
        <v>104</v>
      </c>
      <c r="AF89" s="4" t="s">
        <v>105</v>
      </c>
      <c r="AG89" s="4" t="s">
        <v>106</v>
      </c>
      <c r="AH89" s="4" t="s">
        <v>107</v>
      </c>
      <c r="AI89" s="4">
        <f ca="1">ROUND(T_Tiktok_ads[[#This Row],[impressions]]*RANDBETWEEN(8,12)/10,0)</f>
        <v>161011</v>
      </c>
      <c r="AJ89" s="4">
        <f ca="1">ROUND(T_Tiktok_ads[[#This Row],[clicks]]*RANDBETWEEN(8,12)/10,0)</f>
        <v>3802</v>
      </c>
      <c r="AK89" s="4">
        <v>889.5</v>
      </c>
      <c r="AL89" s="4">
        <f ca="1">ROUND(T_Tiktok_ads[[#This Row],[conversions]]*RANDBETWEEN(8,12)/10,0)</f>
        <v>107</v>
      </c>
      <c r="AM89" s="4">
        <f ca="1">ROUND(T_Tiktok_ads[[#This Row],[video_views]]*RANDBETWEEN(8,12)/10,0)</f>
        <v>116011</v>
      </c>
      <c r="AN89" s="4">
        <f ca="1">ROUND(T_Tiktok_ads[[#This Row],[video_watch_25]]*RANDBETWEEN(8,12)/10,0)</f>
        <v>105246</v>
      </c>
      <c r="AO89" s="4">
        <f ca="1">ROUND(T_Tiktok_ads[[#This Row],[video_watch_50]]*RANDBETWEEN(8,12)/10,0)</f>
        <v>71024</v>
      </c>
      <c r="AP89" s="4">
        <f ca="1">ROUND(T_Tiktok_ads[[#This Row],[video_watch_75]]*RANDBETWEEN(8,12)/10,0)</f>
        <v>58280</v>
      </c>
      <c r="AQ89" s="4">
        <f ca="1">ROUND(T_Tiktok_ads[[#This Row],[video_watch_100]]*RANDBETWEEN(8,12)/10,0)</f>
        <v>38814</v>
      </c>
      <c r="AR89" s="4">
        <f ca="1">ROUND(T_Tiktok_ads[[#This Row],[likes]]*RANDBETWEEN(8,12)/10,0)</f>
        <v>5511</v>
      </c>
      <c r="AS89" s="4">
        <f ca="1">ROUND(T_Tiktok_ads[[#This Row],[shares]]*RANDBETWEEN(8,12)/10,0)</f>
        <v>1907</v>
      </c>
      <c r="AT89" s="4">
        <f ca="1">ROUND(T_Tiktok_ads[[#This Row],[comments]]*RANDBETWEEN(8,12)/10,0)</f>
        <v>276</v>
      </c>
      <c r="AV89" s="5">
        <f t="shared" ca="1" si="12"/>
        <v>45158</v>
      </c>
      <c r="AW89">
        <f t="shared" ca="1" si="13"/>
        <v>5</v>
      </c>
      <c r="AX89">
        <f ca="1">ROUND(T_Facebook_Ads1159636771757983[[#This Row],[impressions]]*RANDBETWEEN(8,12)/10,0)</f>
        <v>14110</v>
      </c>
      <c r="AY89">
        <f ca="1">ROUND(T_Facebook_Ads1159636771757983[[#This Row],[clicks]]*RANDBETWEEN(8,12)/10,0)</f>
        <v>907</v>
      </c>
      <c r="AZ89">
        <f ca="1">T_Facebook_Ads1159636771757983[[#This Row],[spend]]*RANDBETWEEN(8,12)/10</f>
        <v>215.11999999999998</v>
      </c>
      <c r="BA89">
        <f ca="1">ROUND(T_Facebook_Ads1159636771757983[[#This Row],[conversions]]*RANDBETWEEN(8,12)/10,0)</f>
        <v>34</v>
      </c>
      <c r="BB89">
        <f ca="1">ROUND(T_Facebook_Ads1159636771757983[[#This Row],[video_views]]*RANDBETWEEN(8,12)/10,0)</f>
        <v>1359</v>
      </c>
    </row>
    <row r="90" spans="1:54" ht="15.75" thickBot="1" x14ac:dyDescent="0.3">
      <c r="A90" s="3">
        <f t="shared" ca="1" si="9"/>
        <v>45158</v>
      </c>
      <c r="B90" s="4" t="s">
        <v>60</v>
      </c>
      <c r="C90" s="4" t="s">
        <v>61</v>
      </c>
      <c r="D90" s="4" t="s">
        <v>62</v>
      </c>
      <c r="E90" s="4" t="s">
        <v>63</v>
      </c>
      <c r="F90" s="4">
        <f ca="1">ROUND(T_Facebook_Ads[[#This Row],[impressions]]*RANDBETWEEN(8,12)/10,0)</f>
        <v>36510</v>
      </c>
      <c r="G90" s="4">
        <v>1567</v>
      </c>
      <c r="H90" s="4">
        <f ca="1">T_Facebook_Ads[[#This Row],[spend]]*RANDBETWEEN(8,12)/10</f>
        <v>262.45999999999998</v>
      </c>
      <c r="I90" s="4">
        <f ca="1">ROUND(T_Facebook_Ads[[#This Row],[conversions]]*RANDBETWEEN(8,12)/10,0)</f>
        <v>37</v>
      </c>
      <c r="J90" s="4">
        <f ca="1">ROUND(T_Facebook_Ads[[#This Row],[video_views]]*RANDBETWEEN(8,12)/10,0)</f>
        <v>5456</v>
      </c>
      <c r="K90" s="4">
        <f ca="1">T_Facebook_Ads[[#This Row],[engagement_rate]]*RANDBETWEEN(8,12)/10</f>
        <v>3.0880000000000001E-2</v>
      </c>
      <c r="L90" s="4">
        <f ca="1">ROUND(T_Facebook_Ads[[#This Row],[reach]]*RANDBETWEEN(8,12)/10,0)</f>
        <v>26587</v>
      </c>
      <c r="M90" s="4">
        <f ca="1">T_Facebook_Ads[[#This Row],[frequency]]*RANDBETWEEN(8,12)/10</f>
        <v>1.22</v>
      </c>
      <c r="O90" s="3">
        <f t="shared" ca="1" si="10"/>
        <v>45159</v>
      </c>
      <c r="P90" s="4" t="s">
        <v>84</v>
      </c>
      <c r="Q90" s="4" t="s">
        <v>85</v>
      </c>
      <c r="R90" s="4" t="s">
        <v>86</v>
      </c>
      <c r="S90" s="4" t="s">
        <v>87</v>
      </c>
      <c r="T90" s="4">
        <f ca="1">ROUND(_Google_ads[[#This Row],[impressions]]*RANDBETWEEN(8,12)/10,0)</f>
        <v>60187</v>
      </c>
      <c r="U90" s="4">
        <f ca="1">ROUND(_Google_ads[[#This Row],[clicks]]*RANDBETWEEN(8,12)/10,0)</f>
        <v>2310</v>
      </c>
      <c r="V90" s="4">
        <f ca="1">_Google_ads[[#This Row],[cost]]*RANDBETWEEN(8,12)/10</f>
        <v>561.36</v>
      </c>
      <c r="W90" s="4">
        <f ca="1">ROUND(_Google_ads[[#This Row],[conversions]]*RANDBETWEEN(8,12)/10,0)</f>
        <v>75</v>
      </c>
      <c r="X90" s="4">
        <f ca="1">ROUND(_Google_ads[[#This Row],[conversion_value]]*RANDBETWEEN(8,12)/10,0)</f>
        <v>3750</v>
      </c>
      <c r="Y90" s="4">
        <f ca="1">_Google_ads[[#This Row],[ctr]]*RANDBETWEEN(8,12)/10</f>
        <v>3.0690000000000002E-2</v>
      </c>
      <c r="Z90" s="4">
        <f ca="1">_Google_ads[[#This Row],[avg_cpc]]*RANDBETWEEN(8,12)/10</f>
        <v>0.19800000000000001</v>
      </c>
      <c r="AA90" s="4">
        <f ca="1">ROUND(_Google_ads[[#This Row],[quality_score]]*RANDBETWEEN(8,12)/10,0)</f>
        <v>7</v>
      </c>
      <c r="AB90" s="4">
        <f ca="1">_Google_ads[[#This Row],[search_impression_share]]*RANDBETWEEN(8,12)/10</f>
        <v>0.83999999999999986</v>
      </c>
      <c r="AD90" s="3">
        <f t="shared" ca="1" si="11"/>
        <v>45147</v>
      </c>
      <c r="AE90" s="4" t="s">
        <v>108</v>
      </c>
      <c r="AF90" s="4" t="s">
        <v>109</v>
      </c>
      <c r="AG90" s="4" t="s">
        <v>110</v>
      </c>
      <c r="AH90" s="4" t="s">
        <v>111</v>
      </c>
      <c r="AI90" s="4">
        <f ca="1">ROUND(T_Tiktok_ads[[#This Row],[impressions]]*RANDBETWEEN(8,12)/10,0)</f>
        <v>251011</v>
      </c>
      <c r="AJ90" s="4">
        <f ca="1">ROUND(T_Tiktok_ads[[#This Row],[clicks]]*RANDBETWEEN(8,12)/10,0)</f>
        <v>5081</v>
      </c>
      <c r="AK90" s="4">
        <v>534.20000000000005</v>
      </c>
      <c r="AL90" s="4">
        <f ca="1">ROUND(T_Tiktok_ads[[#This Row],[conversions]]*RANDBETWEEN(8,12)/10,0)</f>
        <v>31</v>
      </c>
      <c r="AM90" s="4">
        <f ca="1">ROUND(T_Tiktok_ads[[#This Row],[video_views]]*RANDBETWEEN(8,12)/10,0)</f>
        <v>268147</v>
      </c>
      <c r="AN90" s="4">
        <f ca="1">ROUND(T_Tiktok_ads[[#This Row],[video_watch_25]]*RANDBETWEEN(8,12)/10,0)</f>
        <v>152011</v>
      </c>
      <c r="AO90" s="4">
        <f ca="1">ROUND(T_Tiktok_ads[[#This Row],[video_watch_50]]*RANDBETWEEN(8,12)/10,0)</f>
        <v>146802</v>
      </c>
      <c r="AP90" s="4">
        <f ca="1">ROUND(T_Tiktok_ads[[#This Row],[video_watch_75]]*RANDBETWEEN(8,12)/10,0)</f>
        <v>85678</v>
      </c>
      <c r="AQ90" s="4">
        <f ca="1">ROUND(T_Tiktok_ads[[#This Row],[video_watch_100]]*RANDBETWEEN(8,12)/10,0)</f>
        <v>41431</v>
      </c>
      <c r="AR90" s="4">
        <f ca="1">ROUND(T_Tiktok_ads[[#This Row],[likes]]*RANDBETWEEN(8,12)/10,0)</f>
        <v>10402</v>
      </c>
      <c r="AS90" s="4">
        <f ca="1">ROUND(T_Tiktok_ads[[#This Row],[shares]]*RANDBETWEEN(8,12)/10,0)</f>
        <v>3161</v>
      </c>
      <c r="AT90" s="4">
        <f ca="1">ROUND(T_Tiktok_ads[[#This Row],[comments]]*RANDBETWEEN(8,12)/10,0)</f>
        <v>685</v>
      </c>
      <c r="AV90" s="5">
        <f t="shared" ca="1" si="12"/>
        <v>45148</v>
      </c>
      <c r="AW90">
        <f t="shared" ca="1" si="13"/>
        <v>7</v>
      </c>
      <c r="AX90">
        <f ca="1">ROUND(T_Facebook_Ads1159636771757983[[#This Row],[impressions]]*RANDBETWEEN(8,12)/10,0)</f>
        <v>36510</v>
      </c>
      <c r="AY90">
        <f ca="1">ROUND(T_Facebook_Ads1159636771757983[[#This Row],[clicks]]*RANDBETWEEN(8,12)/10,0)</f>
        <v>1880</v>
      </c>
      <c r="AZ90">
        <f ca="1">T_Facebook_Ads1159636771757983[[#This Row],[spend]]*RANDBETWEEN(8,12)/10</f>
        <v>288.70600000000002</v>
      </c>
      <c r="BA90">
        <f ca="1">ROUND(T_Facebook_Ads1159636771757983[[#This Row],[conversions]]*RANDBETWEEN(8,12)/10,0)</f>
        <v>41</v>
      </c>
      <c r="BB90">
        <f ca="1">ROUND(T_Facebook_Ads1159636771757983[[#This Row],[video_views]]*RANDBETWEEN(8,12)/10,0)</f>
        <v>4910</v>
      </c>
    </row>
    <row r="91" spans="1:54" ht="15.75" thickBot="1" x14ac:dyDescent="0.3">
      <c r="A91" s="3">
        <f t="shared" ca="1" si="9"/>
        <v>45156</v>
      </c>
      <c r="B91" s="4" t="s">
        <v>64</v>
      </c>
      <c r="C91" s="4" t="s">
        <v>65</v>
      </c>
      <c r="D91" s="4" t="s">
        <v>66</v>
      </c>
      <c r="E91" s="4" t="s">
        <v>67</v>
      </c>
      <c r="F91" s="4">
        <f ca="1">ROUND(T_Facebook_Ads[[#This Row],[impressions]]*RANDBETWEEN(8,12)/10,0)</f>
        <v>61512</v>
      </c>
      <c r="G91" s="4">
        <v>278</v>
      </c>
      <c r="H91" s="4">
        <f ca="1">T_Facebook_Ads[[#This Row],[spend]]*RANDBETWEEN(8,12)/10</f>
        <v>99.2</v>
      </c>
      <c r="I91" s="4">
        <f ca="1">ROUND(T_Facebook_Ads[[#This Row],[conversions]]*RANDBETWEEN(8,12)/10,0)</f>
        <v>6</v>
      </c>
      <c r="J91" s="4">
        <f ca="1">ROUND(T_Facebook_Ads[[#This Row],[video_views]]*RANDBETWEEN(8,12)/10,0)</f>
        <v>61880</v>
      </c>
      <c r="K91" s="4">
        <f ca="1">T_Facebook_Ads[[#This Row],[engagement_rate]]*RANDBETWEEN(8,12)/10</f>
        <v>4.3200000000000001E-3</v>
      </c>
      <c r="L91" s="4">
        <f ca="1">ROUND(T_Facebook_Ads[[#This Row],[reach]]*RANDBETWEEN(8,12)/10,0)</f>
        <v>75468</v>
      </c>
      <c r="M91" s="4">
        <f ca="1">T_Facebook_Ads[[#This Row],[frequency]]*RANDBETWEEN(8,12)/10</f>
        <v>1.23</v>
      </c>
      <c r="O91" s="3">
        <f t="shared" ca="1" si="10"/>
        <v>45166</v>
      </c>
      <c r="P91" s="4" t="s">
        <v>88</v>
      </c>
      <c r="Q91" s="4" t="s">
        <v>89</v>
      </c>
      <c r="R91" s="4" t="s">
        <v>90</v>
      </c>
      <c r="S91" s="4" t="s">
        <v>59</v>
      </c>
      <c r="T91" s="4">
        <f ca="1">ROUND(_Google_ads[[#This Row],[impressions]]*RANDBETWEEN(8,12)/10,0)</f>
        <v>156580</v>
      </c>
      <c r="U91" s="4">
        <f ca="1">ROUND(_Google_ads[[#This Row],[clicks]]*RANDBETWEEN(8,12)/10,0)</f>
        <v>436</v>
      </c>
      <c r="V91" s="4">
        <f ca="1">_Google_ads[[#This Row],[cost]]*RANDBETWEEN(8,12)/10</f>
        <v>167.88000000000002</v>
      </c>
      <c r="W91" s="4">
        <f ca="1">ROUND(_Google_ads[[#This Row],[conversions]]*RANDBETWEEN(8,12)/10,0)</f>
        <v>13</v>
      </c>
      <c r="X91" s="4">
        <f ca="1">ROUND(_Google_ads[[#This Row],[conversion_value]]*RANDBETWEEN(8,12)/10,0)</f>
        <v>640</v>
      </c>
      <c r="Y91" s="4">
        <f ca="1">_Google_ads[[#This Row],[ctr]]*RANDBETWEEN(8,12)/10</f>
        <v>4.5599999999999998E-3</v>
      </c>
      <c r="Z91" s="4">
        <f ca="1">_Google_ads[[#This Row],[avg_cpc]]*RANDBETWEEN(8,12)/10</f>
        <v>0.20800000000000002</v>
      </c>
      <c r="AA91" s="4">
        <f ca="1">ROUND(_Google_ads[[#This Row],[quality_score]]*RANDBETWEEN(8,12)/10,0)</f>
        <v>8</v>
      </c>
      <c r="AB91" s="4">
        <f ca="1">_Google_ads[[#This Row],[search_impression_share]]*RANDBETWEEN(8,12)/10</f>
        <v>0.29599999999999999</v>
      </c>
      <c r="AD91" s="3">
        <f t="shared" ca="1" si="11"/>
        <v>45139</v>
      </c>
      <c r="AE91" s="4" t="s">
        <v>112</v>
      </c>
      <c r="AF91" s="4" t="s">
        <v>113</v>
      </c>
      <c r="AG91" s="4" t="s">
        <v>114</v>
      </c>
      <c r="AH91" s="4" t="s">
        <v>115</v>
      </c>
      <c r="AI91" s="4">
        <f ca="1">ROUND(T_Tiktok_ads[[#This Row],[impressions]]*RANDBETWEEN(8,12)/10,0)</f>
        <v>467890</v>
      </c>
      <c r="AJ91" s="4">
        <f ca="1">ROUND(T_Tiktok_ads[[#This Row],[clicks]]*RANDBETWEEN(8,12)/10,0)</f>
        <v>9148</v>
      </c>
      <c r="AK91" s="4">
        <v>1189.4000000000001</v>
      </c>
      <c r="AL91" s="4">
        <f ca="1">ROUND(T_Tiktok_ads[[#This Row],[conversions]]*RANDBETWEEN(8,12)/10,0)</f>
        <v>120</v>
      </c>
      <c r="AM91" s="4">
        <f ca="1">ROUND(T_Tiktok_ads[[#This Row],[video_views]]*RANDBETWEEN(8,12)/10,0)</f>
        <v>441357</v>
      </c>
      <c r="AN91" s="4">
        <f ca="1">ROUND(T_Tiktok_ads[[#This Row],[video_watch_25]]*RANDBETWEEN(8,12)/10,0)</f>
        <v>355802</v>
      </c>
      <c r="AO91" s="4">
        <f ca="1">ROUND(T_Tiktok_ads[[#This Row],[video_watch_50]]*RANDBETWEEN(8,12)/10,0)</f>
        <v>207121</v>
      </c>
      <c r="AP91" s="4">
        <f ca="1">ROUND(T_Tiktok_ads[[#This Row],[video_watch_75]]*RANDBETWEEN(8,12)/10,0)</f>
        <v>166110</v>
      </c>
      <c r="AQ91" s="4">
        <f ca="1">ROUND(T_Tiktok_ads[[#This Row],[video_watch_100]]*RANDBETWEEN(8,12)/10,0)</f>
        <v>146814</v>
      </c>
      <c r="AR91" s="4">
        <f ca="1">ROUND(T_Tiktok_ads[[#This Row],[likes]]*RANDBETWEEN(8,12)/10,0)</f>
        <v>24947</v>
      </c>
      <c r="AS91" s="4">
        <f ca="1">ROUND(T_Tiktok_ads[[#This Row],[shares]]*RANDBETWEEN(8,12)/10,0)</f>
        <v>6034</v>
      </c>
      <c r="AT91" s="4">
        <f ca="1">ROUND(T_Tiktok_ads[[#This Row],[comments]]*RANDBETWEEN(8,12)/10,0)</f>
        <v>1342</v>
      </c>
      <c r="AV91" s="5">
        <f t="shared" ca="1" si="12"/>
        <v>45154</v>
      </c>
      <c r="AW91">
        <f t="shared" ca="1" si="13"/>
        <v>5</v>
      </c>
      <c r="AX91">
        <f ca="1">ROUND(T_Facebook_Ads1159636771757983[[#This Row],[impressions]]*RANDBETWEEN(8,12)/10,0)</f>
        <v>67663</v>
      </c>
      <c r="AY91">
        <f ca="1">ROUND(T_Facebook_Ads1159636771757983[[#This Row],[clicks]]*RANDBETWEEN(8,12)/10,0)</f>
        <v>334</v>
      </c>
      <c r="AZ91">
        <f ca="1">T_Facebook_Ads1159636771757983[[#This Row],[spend]]*RANDBETWEEN(8,12)/10</f>
        <v>119.04</v>
      </c>
      <c r="BA91">
        <f ca="1">ROUND(T_Facebook_Ads1159636771757983[[#This Row],[conversions]]*RANDBETWEEN(8,12)/10,0)</f>
        <v>5</v>
      </c>
      <c r="BB91">
        <f ca="1">ROUND(T_Facebook_Ads1159636771757983[[#This Row],[video_views]]*RANDBETWEEN(8,12)/10,0)</f>
        <v>68068</v>
      </c>
    </row>
    <row r="92" spans="1:54" ht="15.75" thickBot="1" x14ac:dyDescent="0.3">
      <c r="A92" s="3">
        <f t="shared" ca="1" si="9"/>
        <v>45144</v>
      </c>
      <c r="B92" s="4" t="s">
        <v>52</v>
      </c>
      <c r="C92" s="4" t="s">
        <v>53</v>
      </c>
      <c r="D92" s="4" t="s">
        <v>54</v>
      </c>
      <c r="E92" s="4" t="s">
        <v>55</v>
      </c>
      <c r="F92" s="4">
        <f ca="1">ROUND(T_Facebook_Ads[[#This Row],[impressions]]*RANDBETWEEN(8,12)/10,0)</f>
        <v>55135</v>
      </c>
      <c r="G92" s="4">
        <v>1034</v>
      </c>
      <c r="H92" s="4">
        <f ca="1">T_Facebook_Ads[[#This Row],[spend]]*RANDBETWEEN(8,12)/10</f>
        <v>162.25</v>
      </c>
      <c r="I92" s="4">
        <f ca="1">ROUND(T_Facebook_Ads[[#This Row],[conversions]]*RANDBETWEEN(8,12)/10,0)</f>
        <v>17</v>
      </c>
      <c r="J92" s="4">
        <f ca="1">ROUND(T_Facebook_Ads[[#This Row],[video_views]]*RANDBETWEEN(8,12)/10,0)</f>
        <v>9123</v>
      </c>
      <c r="K92" s="4">
        <f ca="1">T_Facebook_Ads[[#This Row],[engagement_rate]]*RANDBETWEEN(8,12)/10</f>
        <v>2.4719999999999999E-2</v>
      </c>
      <c r="L92" s="4">
        <f ca="1">ROUND(T_Facebook_Ads[[#This Row],[reach]]*RANDBETWEEN(8,12)/10,0)</f>
        <v>37701</v>
      </c>
      <c r="M92" s="4">
        <f ca="1">T_Facebook_Ads[[#This Row],[frequency]]*RANDBETWEEN(8,12)/10</f>
        <v>1.0799999999999998</v>
      </c>
      <c r="O92" s="3">
        <f t="shared" ca="1" si="10"/>
        <v>45160</v>
      </c>
      <c r="P92" s="4" t="s">
        <v>76</v>
      </c>
      <c r="Q92" s="4" t="s">
        <v>77</v>
      </c>
      <c r="R92" s="4" t="s">
        <v>78</v>
      </c>
      <c r="S92" s="4" t="s">
        <v>79</v>
      </c>
      <c r="T92" s="4">
        <f ca="1">ROUND(_Google_ads[[#This Row],[impressions]]*RANDBETWEEN(8,12)/10,0)</f>
        <v>29468</v>
      </c>
      <c r="U92" s="4">
        <f ca="1">ROUND(_Google_ads[[#This Row],[clicks]]*RANDBETWEEN(8,12)/10,0)</f>
        <v>1654</v>
      </c>
      <c r="V92" s="4">
        <f ca="1">_Google_ads[[#This Row],[cost]]*RANDBETWEEN(8,12)/10</f>
        <v>210.71999999999997</v>
      </c>
      <c r="W92" s="4">
        <f ca="1">ROUND(_Google_ads[[#This Row],[conversions]]*RANDBETWEEN(8,12)/10,0)</f>
        <v>58</v>
      </c>
      <c r="X92" s="4">
        <f ca="1">ROUND(_Google_ads[[#This Row],[conversion_value]]*RANDBETWEEN(8,12)/10,0)</f>
        <v>2915</v>
      </c>
      <c r="Y92" s="4">
        <f ca="1">_Google_ads[[#This Row],[ctr]]*RANDBETWEEN(8,12)/10</f>
        <v>5.1500000000000004E-2</v>
      </c>
      <c r="Z92" s="4">
        <f ca="1">_Google_ads[[#This Row],[avg_cpc]]*RANDBETWEEN(8,12)/10</f>
        <v>0.152</v>
      </c>
      <c r="AA92" s="4">
        <f ca="1">ROUND(_Google_ads[[#This Row],[quality_score]]*RANDBETWEEN(8,12)/10,0)</f>
        <v>11</v>
      </c>
      <c r="AB92" s="4">
        <f ca="1">_Google_ads[[#This Row],[search_impression_share]]*RANDBETWEEN(8,12)/10</f>
        <v>1.012</v>
      </c>
      <c r="AD92" s="3">
        <f t="shared" ca="1" si="11"/>
        <v>45155</v>
      </c>
      <c r="AE92" s="4" t="s">
        <v>100</v>
      </c>
      <c r="AF92" s="4" t="s">
        <v>101</v>
      </c>
      <c r="AG92" s="4" t="s">
        <v>102</v>
      </c>
      <c r="AH92" s="4" t="s">
        <v>103</v>
      </c>
      <c r="AI92" s="4">
        <f ca="1">ROUND(T_Tiktok_ads[[#This Row],[impressions]]*RANDBETWEEN(8,12)/10,0)</f>
        <v>301234</v>
      </c>
      <c r="AJ92" s="4">
        <f ca="1">ROUND(T_Tiktok_ads[[#This Row],[clicks]]*RANDBETWEEN(8,12)/10,0)</f>
        <v>4456</v>
      </c>
      <c r="AK92" s="4">
        <v>589.9</v>
      </c>
      <c r="AL92" s="4">
        <f ca="1">ROUND(T_Tiktok_ads[[#This Row],[conversions]]*RANDBETWEEN(8,12)/10,0)</f>
        <v>51</v>
      </c>
      <c r="AM92" s="4">
        <f ca="1">ROUND(T_Tiktok_ads[[#This Row],[video_views]]*RANDBETWEEN(8,12)/10,0)</f>
        <v>221110</v>
      </c>
      <c r="AN92" s="4">
        <f ca="1">ROUND(T_Tiktok_ads[[#This Row],[video_watch_25]]*RANDBETWEEN(8,12)/10,0)</f>
        <v>191234</v>
      </c>
      <c r="AO92" s="4">
        <f ca="1">ROUND(T_Tiktok_ads[[#This Row],[video_watch_50]]*RANDBETWEEN(8,12)/10,0)</f>
        <v>131157</v>
      </c>
      <c r="AP92" s="4">
        <f ca="1">ROUND(T_Tiktok_ads[[#This Row],[video_watch_75]]*RANDBETWEEN(8,12)/10,0)</f>
        <v>80234</v>
      </c>
      <c r="AQ92" s="4">
        <f ca="1">ROUND(T_Tiktok_ads[[#This Row],[video_watch_100]]*RANDBETWEEN(8,12)/10,0)</f>
        <v>64147</v>
      </c>
      <c r="AR92" s="4">
        <f ca="1">ROUND(T_Tiktok_ads[[#This Row],[likes]]*RANDBETWEEN(8,12)/10,0)</f>
        <v>9710</v>
      </c>
      <c r="AS92" s="4">
        <f ca="1">ROUND(T_Tiktok_ads[[#This Row],[shares]]*RANDBETWEEN(8,12)/10,0)</f>
        <v>2901</v>
      </c>
      <c r="AT92" s="4">
        <f ca="1">ROUND(T_Tiktok_ads[[#This Row],[comments]]*RANDBETWEEN(8,12)/10,0)</f>
        <v>689</v>
      </c>
      <c r="AV92" s="5">
        <f t="shared" ca="1" si="12"/>
        <v>45156</v>
      </c>
      <c r="AW92">
        <f t="shared" ca="1" si="13"/>
        <v>6</v>
      </c>
      <c r="AX92">
        <f ca="1">ROUND(T_Facebook_Ads1159636771757983[[#This Row],[impressions]]*RANDBETWEEN(8,12)/10,0)</f>
        <v>44108</v>
      </c>
      <c r="AY92">
        <f ca="1">ROUND(T_Facebook_Ads1159636771757983[[#This Row],[clicks]]*RANDBETWEEN(8,12)/10,0)</f>
        <v>827</v>
      </c>
      <c r="AZ92">
        <f ca="1">T_Facebook_Ads1159636771757983[[#This Row],[spend]]*RANDBETWEEN(8,12)/10</f>
        <v>146.02500000000001</v>
      </c>
      <c r="BA92">
        <f ca="1">ROUND(T_Facebook_Ads1159636771757983[[#This Row],[conversions]]*RANDBETWEEN(8,12)/10,0)</f>
        <v>15</v>
      </c>
      <c r="BB92">
        <f ca="1">ROUND(T_Facebook_Ads1159636771757983[[#This Row],[video_views]]*RANDBETWEEN(8,12)/10,0)</f>
        <v>10035</v>
      </c>
    </row>
    <row r="93" spans="1:54" ht="15.75" thickBot="1" x14ac:dyDescent="0.3">
      <c r="A93" s="3">
        <f t="shared" ca="1" si="9"/>
        <v>45142</v>
      </c>
      <c r="B93" s="4" t="s">
        <v>56</v>
      </c>
      <c r="C93" s="4" t="s">
        <v>57</v>
      </c>
      <c r="D93" s="4" t="s">
        <v>58</v>
      </c>
      <c r="E93" s="4" t="s">
        <v>59</v>
      </c>
      <c r="F93" s="4">
        <f ca="1">ROUND(T_Facebook_Ads[[#This Row],[impressions]]*RANDBETWEEN(8,12)/10,0)</f>
        <v>17081</v>
      </c>
      <c r="G93" s="4">
        <v>689</v>
      </c>
      <c r="H93" s="4">
        <f ca="1">T_Facebook_Ads[[#This Row],[spend]]*RANDBETWEEN(8,12)/10</f>
        <v>203.76</v>
      </c>
      <c r="I93" s="4">
        <f ca="1">ROUND(T_Facebook_Ads[[#This Row],[conversions]]*RANDBETWEEN(8,12)/10,0)</f>
        <v>40</v>
      </c>
      <c r="J93" s="4">
        <f ca="1">ROUND(T_Facebook_Ads[[#This Row],[video_views]]*RANDBETWEEN(8,12)/10,0)</f>
        <v>1747</v>
      </c>
      <c r="K93" s="4">
        <f ca="1">T_Facebook_Ads[[#This Row],[engagement_rate]]*RANDBETWEEN(8,12)/10</f>
        <v>4.3560000000000001E-2</v>
      </c>
      <c r="L93" s="4">
        <f ca="1">ROUND(T_Facebook_Ads[[#This Row],[reach]]*RANDBETWEEN(8,12)/10,0)</f>
        <v>12357</v>
      </c>
      <c r="M93" s="4">
        <f ca="1">T_Facebook_Ads[[#This Row],[frequency]]*RANDBETWEEN(8,12)/10</f>
        <v>1.27</v>
      </c>
      <c r="O93" s="3">
        <f t="shared" ca="1" si="10"/>
        <v>45168</v>
      </c>
      <c r="P93" s="4" t="s">
        <v>80</v>
      </c>
      <c r="Q93" s="4" t="s">
        <v>81</v>
      </c>
      <c r="R93" s="4" t="s">
        <v>82</v>
      </c>
      <c r="S93" s="4" t="s">
        <v>83</v>
      </c>
      <c r="T93" s="4">
        <f ca="1">ROUND(_Google_ads[[#This Row],[impressions]]*RANDBETWEEN(8,12)/10,0)</f>
        <v>47234</v>
      </c>
      <c r="U93" s="4">
        <f ca="1">ROUND(_Google_ads[[#This Row],[clicks]]*RANDBETWEEN(8,12)/10,0)</f>
        <v>945</v>
      </c>
      <c r="V93" s="4">
        <f ca="1">_Google_ads[[#This Row],[cost]]*RANDBETWEEN(8,12)/10</f>
        <v>726.72</v>
      </c>
      <c r="W93" s="4">
        <f ca="1">ROUND(_Google_ads[[#This Row],[conversions]]*RANDBETWEEN(8,12)/10,0)</f>
        <v>25</v>
      </c>
      <c r="X93" s="4">
        <f ca="1">ROUND(_Google_ads[[#This Row],[conversion_value]]*RANDBETWEEN(8,12)/10,0)</f>
        <v>1250</v>
      </c>
      <c r="Y93" s="4">
        <f ca="1">_Google_ads[[#This Row],[ctr]]*RANDBETWEEN(8,12)/10</f>
        <v>2.1999999999999999E-2</v>
      </c>
      <c r="Z93" s="4">
        <f ca="1">_Google_ads[[#This Row],[avg_cpc]]*RANDBETWEEN(8,12)/10</f>
        <v>0.76800000000000002</v>
      </c>
      <c r="AA93" s="4">
        <f ca="1">ROUND(_Google_ads[[#This Row],[quality_score]]*RANDBETWEEN(8,12)/10,0)</f>
        <v>6</v>
      </c>
      <c r="AB93" s="4">
        <f ca="1">_Google_ads[[#This Row],[search_impression_share]]*RANDBETWEEN(8,12)/10</f>
        <v>0.50600000000000001</v>
      </c>
      <c r="AD93" s="3">
        <f t="shared" ca="1" si="11"/>
        <v>45165</v>
      </c>
      <c r="AE93" s="4" t="s">
        <v>104</v>
      </c>
      <c r="AF93" s="4" t="s">
        <v>105</v>
      </c>
      <c r="AG93" s="4" t="s">
        <v>106</v>
      </c>
      <c r="AH93" s="4" t="s">
        <v>107</v>
      </c>
      <c r="AI93" s="4">
        <f ca="1">ROUND(T_Tiktok_ads[[#This Row],[impressions]]*RANDBETWEEN(8,12)/10,0)</f>
        <v>184679</v>
      </c>
      <c r="AJ93" s="4">
        <f ca="1">ROUND(T_Tiktok_ads[[#This Row],[clicks]]*RANDBETWEEN(8,12)/10,0)</f>
        <v>3234</v>
      </c>
      <c r="AK93" s="4">
        <v>845.6</v>
      </c>
      <c r="AL93" s="4">
        <f ca="1">ROUND(T_Tiktok_ads[[#This Row],[conversions]]*RANDBETWEEN(8,12)/10,0)</f>
        <v>102</v>
      </c>
      <c r="AM93" s="4">
        <f ca="1">ROUND(T_Tiktok_ads[[#This Row],[video_views]]*RANDBETWEEN(8,12)/10,0)</f>
        <v>117890</v>
      </c>
      <c r="AN93" s="4">
        <f ca="1">ROUND(T_Tiktok_ads[[#This Row],[video_watch_25]]*RANDBETWEEN(8,12)/10,0)</f>
        <v>87234</v>
      </c>
      <c r="AO93" s="4">
        <f ca="1">ROUND(T_Tiktok_ads[[#This Row],[video_watch_50]]*RANDBETWEEN(8,12)/10,0)</f>
        <v>64791</v>
      </c>
      <c r="AP93" s="4">
        <f ca="1">ROUND(T_Tiktok_ads[[#This Row],[video_watch_75]]*RANDBETWEEN(8,12)/10,0)</f>
        <v>35387</v>
      </c>
      <c r="AQ93" s="4">
        <f ca="1">ROUND(T_Tiktok_ads[[#This Row],[video_watch_100]]*RANDBETWEEN(8,12)/10,0)</f>
        <v>23654</v>
      </c>
      <c r="AR93" s="4">
        <f ca="1">ROUND(T_Tiktok_ads[[#This Row],[likes]]*RANDBETWEEN(8,12)/10,0)</f>
        <v>4542</v>
      </c>
      <c r="AS93" s="4">
        <f ca="1">ROUND(T_Tiktok_ads[[#This Row],[shares]]*RANDBETWEEN(8,12)/10,0)</f>
        <v>1797</v>
      </c>
      <c r="AT93" s="4">
        <f ca="1">ROUND(T_Tiktok_ads[[#This Row],[comments]]*RANDBETWEEN(8,12)/10,0)</f>
        <v>374</v>
      </c>
      <c r="AV93" s="5">
        <f t="shared" ca="1" si="12"/>
        <v>45144</v>
      </c>
      <c r="AW93">
        <f t="shared" ca="1" si="13"/>
        <v>6</v>
      </c>
      <c r="AX93">
        <f ca="1">ROUND(T_Facebook_Ads1159636771757983[[#This Row],[impressions]]*RANDBETWEEN(8,12)/10,0)</f>
        <v>18789</v>
      </c>
      <c r="AY93">
        <f ca="1">ROUND(T_Facebook_Ads1159636771757983[[#This Row],[clicks]]*RANDBETWEEN(8,12)/10,0)</f>
        <v>551</v>
      </c>
      <c r="AZ93">
        <f ca="1">T_Facebook_Ads1159636771757983[[#This Row],[spend]]*RANDBETWEEN(8,12)/10</f>
        <v>163.00799999999998</v>
      </c>
      <c r="BA93">
        <f ca="1">ROUND(T_Facebook_Ads1159636771757983[[#This Row],[conversions]]*RANDBETWEEN(8,12)/10,0)</f>
        <v>48</v>
      </c>
      <c r="BB93">
        <f ca="1">ROUND(T_Facebook_Ads1159636771757983[[#This Row],[video_views]]*RANDBETWEEN(8,12)/10,0)</f>
        <v>2096</v>
      </c>
    </row>
    <row r="94" spans="1:54" ht="15.75" thickBot="1" x14ac:dyDescent="0.3">
      <c r="A94" s="3">
        <f t="shared" ca="1" si="9"/>
        <v>45146</v>
      </c>
      <c r="B94" s="4" t="s">
        <v>60</v>
      </c>
      <c r="C94" s="4" t="s">
        <v>61</v>
      </c>
      <c r="D94" s="4" t="s">
        <v>62</v>
      </c>
      <c r="E94" s="4" t="s">
        <v>63</v>
      </c>
      <c r="F94" s="4">
        <f ca="1">ROUND(T_Facebook_Ads[[#This Row],[impressions]]*RANDBETWEEN(8,12)/10,0)</f>
        <v>38890</v>
      </c>
      <c r="G94" s="4">
        <v>1445</v>
      </c>
      <c r="H94" s="4">
        <f ca="1">T_Facebook_Ads[[#This Row],[spend]]*RANDBETWEEN(8,12)/10</f>
        <v>231.2</v>
      </c>
      <c r="I94" s="4">
        <f ca="1">ROUND(T_Facebook_Ads[[#This Row],[conversions]]*RANDBETWEEN(8,12)/10,0)</f>
        <v>35</v>
      </c>
      <c r="J94" s="4">
        <f ca="1">ROUND(T_Facebook_Ads[[#This Row],[video_views]]*RANDBETWEEN(8,12)/10,0)</f>
        <v>6148</v>
      </c>
      <c r="K94" s="4">
        <f ca="1">T_Facebook_Ads[[#This Row],[engagement_rate]]*RANDBETWEEN(8,12)/10</f>
        <v>4.0919999999999998E-2</v>
      </c>
      <c r="L94" s="4">
        <f ca="1">ROUND(T_Facebook_Ads[[#This Row],[reach]]*RANDBETWEEN(8,12)/10,0)</f>
        <v>31567</v>
      </c>
      <c r="M94" s="4">
        <f ca="1">T_Facebook_Ads[[#This Row],[frequency]]*RANDBETWEEN(8,12)/10</f>
        <v>0.98399999999999999</v>
      </c>
      <c r="O94" s="3">
        <f t="shared" ca="1" si="10"/>
        <v>45167</v>
      </c>
      <c r="P94" s="4" t="s">
        <v>84</v>
      </c>
      <c r="Q94" s="4" t="s">
        <v>85</v>
      </c>
      <c r="R94" s="4" t="s">
        <v>86</v>
      </c>
      <c r="S94" s="4" t="s">
        <v>87</v>
      </c>
      <c r="T94" s="4">
        <f ca="1">ROUND(_Google_ads[[#This Row],[impressions]]*RANDBETWEEN(8,12)/10,0)</f>
        <v>87468</v>
      </c>
      <c r="U94" s="4">
        <f ca="1">ROUND(_Google_ads[[#This Row],[clicks]]*RANDBETWEEN(8,12)/10,0)</f>
        <v>2434</v>
      </c>
      <c r="V94" s="4">
        <f ca="1">_Google_ads[[#This Row],[cost]]*RANDBETWEEN(8,12)/10</f>
        <v>540.24</v>
      </c>
      <c r="W94" s="4">
        <f ca="1">ROUND(_Google_ads[[#This Row],[conversions]]*RANDBETWEEN(8,12)/10,0)</f>
        <v>57</v>
      </c>
      <c r="X94" s="4">
        <f ca="1">ROUND(_Google_ads[[#This Row],[conversion_value]]*RANDBETWEEN(8,12)/10,0)</f>
        <v>3905</v>
      </c>
      <c r="Y94" s="4">
        <f ca="1">_Google_ads[[#This Row],[ctr]]*RANDBETWEEN(8,12)/10</f>
        <v>4.0079999999999998E-2</v>
      </c>
      <c r="Z94" s="4">
        <f ca="1">_Google_ads[[#This Row],[avg_cpc]]*RANDBETWEEN(8,12)/10</f>
        <v>0.18</v>
      </c>
      <c r="AA94" s="4">
        <f ca="1">ROUND(_Google_ads[[#This Row],[quality_score]]*RANDBETWEEN(8,12)/10,0)</f>
        <v>7</v>
      </c>
      <c r="AB94" s="4">
        <f ca="1">_Google_ads[[#This Row],[search_impression_share]]*RANDBETWEEN(8,12)/10</f>
        <v>0.82799999999999996</v>
      </c>
      <c r="AD94" s="3">
        <f t="shared" ca="1" si="11"/>
        <v>45139</v>
      </c>
      <c r="AE94" s="4" t="s">
        <v>108</v>
      </c>
      <c r="AF94" s="4" t="s">
        <v>109</v>
      </c>
      <c r="AG94" s="4" t="s">
        <v>110</v>
      </c>
      <c r="AH94" s="4" t="s">
        <v>111</v>
      </c>
      <c r="AI94" s="4">
        <f ca="1">ROUND(T_Tiktok_ads[[#This Row],[impressions]]*RANDBETWEEN(8,12)/10,0)</f>
        <v>231110</v>
      </c>
      <c r="AJ94" s="4">
        <f ca="1">ROUND(T_Tiktok_ads[[#This Row],[clicks]]*RANDBETWEEN(8,12)/10,0)</f>
        <v>3611</v>
      </c>
      <c r="AK94" s="4">
        <v>489.2</v>
      </c>
      <c r="AL94" s="4">
        <f ca="1">ROUND(T_Tiktok_ads[[#This Row],[conversions]]*RANDBETWEEN(8,12)/10,0)</f>
        <v>36</v>
      </c>
      <c r="AM94" s="4">
        <f ca="1">ROUND(T_Tiktok_ads[[#This Row],[video_views]]*RANDBETWEEN(8,12)/10,0)</f>
        <v>221357</v>
      </c>
      <c r="AN94" s="4">
        <f ca="1">ROUND(T_Tiktok_ads[[#This Row],[video_watch_25]]*RANDBETWEEN(8,12)/10,0)</f>
        <v>152345</v>
      </c>
      <c r="AO94" s="4">
        <f ca="1">ROUND(T_Tiktok_ads[[#This Row],[video_watch_50]]*RANDBETWEEN(8,12)/10,0)</f>
        <v>96365</v>
      </c>
      <c r="AP94" s="4">
        <f ca="1">ROUND(T_Tiktok_ads[[#This Row],[video_watch_75]]*RANDBETWEEN(8,12)/10,0)</f>
        <v>62312</v>
      </c>
      <c r="AQ94" s="4">
        <f ca="1">ROUND(T_Tiktok_ads[[#This Row],[video_watch_100]]*RANDBETWEEN(8,12)/10,0)</f>
        <v>56681</v>
      </c>
      <c r="AR94" s="4">
        <f ca="1">ROUND(T_Tiktok_ads[[#This Row],[likes]]*RANDBETWEEN(8,12)/10,0)</f>
        <v>10681</v>
      </c>
      <c r="AS94" s="4">
        <f ca="1">ROUND(T_Tiktok_ads[[#This Row],[shares]]*RANDBETWEEN(8,12)/10,0)</f>
        <v>2456</v>
      </c>
      <c r="AT94" s="4">
        <f ca="1">ROUND(T_Tiktok_ads[[#This Row],[comments]]*RANDBETWEEN(8,12)/10,0)</f>
        <v>589</v>
      </c>
      <c r="AV94" s="5">
        <f t="shared" ca="1" si="12"/>
        <v>45152</v>
      </c>
      <c r="AW94">
        <f t="shared" ca="1" si="13"/>
        <v>3</v>
      </c>
      <c r="AX94">
        <f ca="1">ROUND(T_Facebook_Ads1159636771757983[[#This Row],[impressions]]*RANDBETWEEN(8,12)/10,0)</f>
        <v>42779</v>
      </c>
      <c r="AY94">
        <f ca="1">ROUND(T_Facebook_Ads1159636771757983[[#This Row],[clicks]]*RANDBETWEEN(8,12)/10,0)</f>
        <v>1156</v>
      </c>
      <c r="AZ94">
        <f ca="1">T_Facebook_Ads1159636771757983[[#This Row],[spend]]*RANDBETWEEN(8,12)/10</f>
        <v>277.43999999999994</v>
      </c>
      <c r="BA94">
        <f ca="1">ROUND(T_Facebook_Ads1159636771757983[[#This Row],[conversions]]*RANDBETWEEN(8,12)/10,0)</f>
        <v>32</v>
      </c>
      <c r="BB94">
        <f ca="1">ROUND(T_Facebook_Ads1159636771757983[[#This Row],[video_views]]*RANDBETWEEN(8,12)/10,0)</f>
        <v>6763</v>
      </c>
    </row>
    <row r="95" spans="1:54" ht="15.75" thickBot="1" x14ac:dyDescent="0.3">
      <c r="A95" s="3">
        <f t="shared" ca="1" si="9"/>
        <v>45142</v>
      </c>
      <c r="B95" s="4" t="s">
        <v>64</v>
      </c>
      <c r="C95" s="4" t="s">
        <v>65</v>
      </c>
      <c r="D95" s="4" t="s">
        <v>66</v>
      </c>
      <c r="E95" s="4" t="s">
        <v>67</v>
      </c>
      <c r="F95" s="4">
        <f ca="1">ROUND(T_Facebook_Ads[[#This Row],[impressions]]*RANDBETWEEN(8,12)/10,0)</f>
        <v>66110</v>
      </c>
      <c r="G95" s="4">
        <v>261</v>
      </c>
      <c r="H95" s="4">
        <f ca="1">T_Facebook_Ads[[#This Row],[spend]]*RANDBETWEEN(8,12)/10</f>
        <v>104.05999999999999</v>
      </c>
      <c r="I95" s="4">
        <f ca="1">ROUND(T_Facebook_Ads[[#This Row],[conversions]]*RANDBETWEEN(8,12)/10,0)</f>
        <v>7</v>
      </c>
      <c r="J95" s="4">
        <f ca="1">ROUND(T_Facebook_Ads[[#This Row],[video_views]]*RANDBETWEEN(8,12)/10,0)</f>
        <v>39387</v>
      </c>
      <c r="K95" s="4">
        <f ca="1">T_Facebook_Ads[[#This Row],[engagement_rate]]*RANDBETWEEN(8,12)/10</f>
        <v>4.3200000000000001E-3</v>
      </c>
      <c r="L95" s="4">
        <f ca="1">ROUND(T_Facebook_Ads[[#This Row],[reach]]*RANDBETWEEN(8,12)/10,0)</f>
        <v>47654</v>
      </c>
      <c r="M95" s="4">
        <f ca="1">T_Facebook_Ads[[#This Row],[frequency]]*RANDBETWEEN(8,12)/10</f>
        <v>1.476</v>
      </c>
      <c r="O95" s="3">
        <f t="shared" ca="1" si="10"/>
        <v>45160</v>
      </c>
      <c r="P95" s="4" t="s">
        <v>88</v>
      </c>
      <c r="Q95" s="4" t="s">
        <v>89</v>
      </c>
      <c r="R95" s="4" t="s">
        <v>90</v>
      </c>
      <c r="S95" s="4" t="s">
        <v>59</v>
      </c>
      <c r="T95" s="4">
        <f ca="1">ROUND(_Google_ads[[#This Row],[impressions]]*RANDBETWEEN(8,12)/10,0)</f>
        <v>124710</v>
      </c>
      <c r="U95" s="4">
        <f ca="1">ROUND(_Google_ads[[#This Row],[clicks]]*RANDBETWEEN(8,12)/10,0)</f>
        <v>614</v>
      </c>
      <c r="V95" s="4">
        <f ca="1">_Google_ads[[#This Row],[cost]]*RANDBETWEEN(8,12)/10</f>
        <v>122.58</v>
      </c>
      <c r="W95" s="4">
        <f ca="1">ROUND(_Google_ads[[#This Row],[conversions]]*RANDBETWEEN(8,12)/10,0)</f>
        <v>12</v>
      </c>
      <c r="X95" s="4">
        <f ca="1">ROUND(_Google_ads[[#This Row],[conversion_value]]*RANDBETWEEN(8,12)/10,0)</f>
        <v>675</v>
      </c>
      <c r="Y95" s="4">
        <f ca="1">_Google_ads[[#This Row],[ctr]]*RANDBETWEEN(8,12)/10</f>
        <v>3.3300000000000005E-3</v>
      </c>
      <c r="Z95" s="4">
        <f ca="1">_Google_ads[[#This Row],[avg_cpc]]*RANDBETWEEN(8,12)/10</f>
        <v>0.27</v>
      </c>
      <c r="AA95" s="4">
        <f ca="1">ROUND(_Google_ads[[#This Row],[quality_score]]*RANDBETWEEN(8,12)/10,0)</f>
        <v>8</v>
      </c>
      <c r="AB95" s="4">
        <f ca="1">_Google_ads[[#This Row],[search_impression_share]]*RANDBETWEEN(8,12)/10</f>
        <v>0.28799999999999998</v>
      </c>
      <c r="AD95" s="3">
        <f t="shared" ca="1" si="11"/>
        <v>45160</v>
      </c>
      <c r="AE95" s="4" t="s">
        <v>112</v>
      </c>
      <c r="AF95" s="4" t="s">
        <v>113</v>
      </c>
      <c r="AG95" s="4" t="s">
        <v>114</v>
      </c>
      <c r="AH95" s="4" t="s">
        <v>115</v>
      </c>
      <c r="AI95" s="4">
        <f ca="1">ROUND(T_Tiktok_ads[[#This Row],[impressions]]*RANDBETWEEN(8,12)/10,0)</f>
        <v>445678</v>
      </c>
      <c r="AJ95" s="4">
        <f ca="1">ROUND(T_Tiktok_ads[[#This Row],[clicks]]*RANDBETWEEN(8,12)/10,0)</f>
        <v>6511</v>
      </c>
      <c r="AK95" s="4">
        <v>1123.5</v>
      </c>
      <c r="AL95" s="4">
        <f ca="1">ROUND(T_Tiktok_ads[[#This Row],[conversions]]*RANDBETWEEN(8,12)/10,0)</f>
        <v>90</v>
      </c>
      <c r="AM95" s="4">
        <f ca="1">ROUND(T_Tiktok_ads[[#This Row],[video_views]]*RANDBETWEEN(8,12)/10,0)</f>
        <v>454681</v>
      </c>
      <c r="AN95" s="4">
        <f ca="1">ROUND(T_Tiktok_ads[[#This Row],[video_watch_25]]*RANDBETWEEN(8,12)/10,0)</f>
        <v>335024</v>
      </c>
      <c r="AO95" s="4">
        <f ca="1">ROUND(T_Tiktok_ads[[#This Row],[video_watch_50]]*RANDBETWEEN(8,12)/10,0)</f>
        <v>243456</v>
      </c>
      <c r="AP95" s="4">
        <f ca="1">ROUND(T_Tiktok_ads[[#This Row],[video_watch_75]]*RANDBETWEEN(8,12)/10,0)</f>
        <v>172345</v>
      </c>
      <c r="AQ95" s="4">
        <f ca="1">ROUND(T_Tiktok_ads[[#This Row],[video_watch_100]]*RANDBETWEEN(8,12)/10,0)</f>
        <v>103110</v>
      </c>
      <c r="AR95" s="4">
        <f ca="1">ROUND(T_Tiktok_ads[[#This Row],[likes]]*RANDBETWEEN(8,12)/10,0)</f>
        <v>17610</v>
      </c>
      <c r="AS95" s="4">
        <f ca="1">ROUND(T_Tiktok_ads[[#This Row],[shares]]*RANDBETWEEN(8,12)/10,0)</f>
        <v>5110</v>
      </c>
      <c r="AT95" s="4">
        <f ca="1">ROUND(T_Tiktok_ads[[#This Row],[comments]]*RANDBETWEEN(8,12)/10,0)</f>
        <v>1724</v>
      </c>
      <c r="AV95" s="5">
        <f t="shared" ca="1" si="12"/>
        <v>45169</v>
      </c>
      <c r="AW95">
        <f t="shared" ca="1" si="13"/>
        <v>3</v>
      </c>
      <c r="AX95">
        <f ca="1">ROUND(T_Facebook_Ads1159636771757983[[#This Row],[impressions]]*RANDBETWEEN(8,12)/10,0)</f>
        <v>66110</v>
      </c>
      <c r="AY95">
        <f ca="1">ROUND(T_Facebook_Ads1159636771757983[[#This Row],[clicks]]*RANDBETWEEN(8,12)/10,0)</f>
        <v>313</v>
      </c>
      <c r="AZ95">
        <f ca="1">T_Facebook_Ads1159636771757983[[#This Row],[spend]]*RANDBETWEEN(8,12)/10</f>
        <v>104.05999999999999</v>
      </c>
      <c r="BA95">
        <f ca="1">ROUND(T_Facebook_Ads1159636771757983[[#This Row],[conversions]]*RANDBETWEEN(8,12)/10,0)</f>
        <v>8</v>
      </c>
      <c r="BB95">
        <f ca="1">ROUND(T_Facebook_Ads1159636771757983[[#This Row],[video_views]]*RANDBETWEEN(8,12)/10,0)</f>
        <v>43326</v>
      </c>
    </row>
    <row r="96" spans="1:54" ht="15.75" thickBot="1" x14ac:dyDescent="0.3">
      <c r="A96" s="3">
        <f t="shared" ca="1" si="9"/>
        <v>45168</v>
      </c>
      <c r="B96" s="4" t="s">
        <v>52</v>
      </c>
      <c r="C96" s="4" t="s">
        <v>53</v>
      </c>
      <c r="D96" s="4" t="s">
        <v>54</v>
      </c>
      <c r="E96" s="4" t="s">
        <v>55</v>
      </c>
      <c r="F96" s="4">
        <f ca="1">ROUND(T_Facebook_Ads[[#This Row],[impressions]]*RANDBETWEEN(8,12)/10,0)</f>
        <v>55481</v>
      </c>
      <c r="G96" s="4">
        <v>934</v>
      </c>
      <c r="H96" s="4">
        <f ca="1">T_Facebook_Ads[[#This Row],[spend]]*RANDBETWEEN(8,12)/10</f>
        <v>120.42</v>
      </c>
      <c r="I96" s="4">
        <f ca="1">ROUND(T_Facebook_Ads[[#This Row],[conversions]]*RANDBETWEEN(8,12)/10,0)</f>
        <v>15</v>
      </c>
      <c r="J96" s="4">
        <f ca="1">ROUND(T_Facebook_Ads[[#This Row],[video_views]]*RANDBETWEEN(8,12)/10,0)</f>
        <v>10147</v>
      </c>
      <c r="K96" s="4">
        <f ca="1">T_Facebook_Ads[[#This Row],[engagement_rate]]*RANDBETWEEN(8,12)/10</f>
        <v>2.4240000000000001E-2</v>
      </c>
      <c r="L96" s="4">
        <f ca="1">ROUND(T_Facebook_Ads[[#This Row],[reach]]*RANDBETWEEN(8,12)/10,0)</f>
        <v>35001</v>
      </c>
      <c r="M96" s="4">
        <f ca="1">T_Facebook_Ads[[#This Row],[frequency]]*RANDBETWEEN(8,12)/10</f>
        <v>1.3089999999999999</v>
      </c>
      <c r="O96" s="3">
        <f t="shared" ca="1" si="10"/>
        <v>45165</v>
      </c>
      <c r="P96" s="4" t="s">
        <v>76</v>
      </c>
      <c r="Q96" s="4" t="s">
        <v>77</v>
      </c>
      <c r="R96" s="4" t="s">
        <v>78</v>
      </c>
      <c r="S96" s="4" t="s">
        <v>79</v>
      </c>
      <c r="T96" s="4">
        <f ca="1">ROUND(_Google_ads[[#This Row],[impressions]]*RANDBETWEEN(8,12)/10,0)</f>
        <v>27757</v>
      </c>
      <c r="U96" s="4">
        <f ca="1">ROUND(_Google_ads[[#This Row],[clicks]]*RANDBETWEEN(8,12)/10,0)</f>
        <v>1050</v>
      </c>
      <c r="V96" s="4">
        <f ca="1">_Google_ads[[#This Row],[cost]]*RANDBETWEEN(8,12)/10</f>
        <v>275.33000000000004</v>
      </c>
      <c r="W96" s="4">
        <f ca="1">ROUND(_Google_ads[[#This Row],[conversions]]*RANDBETWEEN(8,12)/10,0)</f>
        <v>44</v>
      </c>
      <c r="X96" s="4">
        <f ca="1">ROUND(_Google_ads[[#This Row],[conversion_value]]*RANDBETWEEN(8,12)/10,0)</f>
        <v>2695</v>
      </c>
      <c r="Y96" s="4">
        <f ca="1">_Google_ads[[#This Row],[ctr]]*RANDBETWEEN(8,12)/10</f>
        <v>6.2399999999999997E-2</v>
      </c>
      <c r="Z96" s="4">
        <f ca="1">_Google_ads[[#This Row],[avg_cpc]]*RANDBETWEEN(8,12)/10</f>
        <v>0.19</v>
      </c>
      <c r="AA96" s="4">
        <f ca="1">ROUND(_Google_ads[[#This Row],[quality_score]]*RANDBETWEEN(8,12)/10,0)</f>
        <v>9</v>
      </c>
      <c r="AB96" s="4">
        <f ca="1">_Google_ads[[#This Row],[search_impression_share]]*RANDBETWEEN(8,12)/10</f>
        <v>0.90999999999999992</v>
      </c>
      <c r="AD96" s="3">
        <f t="shared" ca="1" si="11"/>
        <v>45149</v>
      </c>
      <c r="AE96" s="4" t="s">
        <v>100</v>
      </c>
      <c r="AF96" s="4" t="s">
        <v>101</v>
      </c>
      <c r="AG96" s="4" t="s">
        <v>102</v>
      </c>
      <c r="AH96" s="4" t="s">
        <v>103</v>
      </c>
      <c r="AI96" s="4">
        <f ca="1">ROUND(T_Tiktok_ads[[#This Row],[impressions]]*RANDBETWEEN(8,12)/10,0)</f>
        <v>251011</v>
      </c>
      <c r="AJ96" s="4">
        <f ca="1">ROUND(T_Tiktok_ads[[#This Row],[clicks]]*RANDBETWEEN(8,12)/10,0)</f>
        <v>4123</v>
      </c>
      <c r="AK96" s="4">
        <v>545.6</v>
      </c>
      <c r="AL96" s="4">
        <f ca="1">ROUND(T_Tiktok_ads[[#This Row],[conversions]]*RANDBETWEEN(8,12)/10,0)</f>
        <v>50</v>
      </c>
      <c r="AM96" s="4">
        <f ca="1">ROUND(T_Tiktok_ads[[#This Row],[video_views]]*RANDBETWEEN(8,12)/10,0)</f>
        <v>183387</v>
      </c>
      <c r="AN96" s="4">
        <f ca="1">ROUND(T_Tiktok_ads[[#This Row],[video_watch_25]]*RANDBETWEEN(8,12)/10,0)</f>
        <v>161311</v>
      </c>
      <c r="AO96" s="4">
        <f ca="1">ROUND(T_Tiktok_ads[[#This Row],[video_watch_50]]*RANDBETWEEN(8,12)/10,0)</f>
        <v>123457</v>
      </c>
      <c r="AP96" s="4">
        <f ca="1">ROUND(T_Tiktok_ads[[#This Row],[video_watch_75]]*RANDBETWEEN(8,12)/10,0)</f>
        <v>90814</v>
      </c>
      <c r="AQ96" s="4">
        <f ca="1">ROUND(T_Tiktok_ads[[#This Row],[video_watch_100]]*RANDBETWEEN(8,12)/10,0)</f>
        <v>45211</v>
      </c>
      <c r="AR96" s="4">
        <f ca="1">ROUND(T_Tiktok_ads[[#This Row],[likes]]*RANDBETWEEN(8,12)/10,0)</f>
        <v>12148</v>
      </c>
      <c r="AS96" s="4">
        <f ca="1">ROUND(T_Tiktok_ads[[#This Row],[shares]]*RANDBETWEEN(8,12)/10,0)</f>
        <v>2712</v>
      </c>
      <c r="AT96" s="4">
        <f ca="1">ROUND(T_Tiktok_ads[[#This Row],[comments]]*RANDBETWEEN(8,12)/10,0)</f>
        <v>774</v>
      </c>
      <c r="AV96" s="5">
        <f t="shared" ca="1" si="12"/>
        <v>45141</v>
      </c>
      <c r="AW96">
        <f t="shared" ca="1" si="13"/>
        <v>2</v>
      </c>
      <c r="AX96">
        <f ca="1">ROUND(T_Facebook_Ads1159636771757983[[#This Row],[impressions]]*RANDBETWEEN(8,12)/10,0)</f>
        <v>49933</v>
      </c>
      <c r="AY96">
        <f ca="1">ROUND(T_Facebook_Ads1159636771757983[[#This Row],[clicks]]*RANDBETWEEN(8,12)/10,0)</f>
        <v>1121</v>
      </c>
      <c r="AZ96">
        <f ca="1">T_Facebook_Ads1159636771757983[[#This Row],[spend]]*RANDBETWEEN(8,12)/10</f>
        <v>132.46200000000002</v>
      </c>
      <c r="BA96">
        <f ca="1">ROUND(T_Facebook_Ads1159636771757983[[#This Row],[conversions]]*RANDBETWEEN(8,12)/10,0)</f>
        <v>12</v>
      </c>
      <c r="BB96">
        <f ca="1">ROUND(T_Facebook_Ads1159636771757983[[#This Row],[video_views]]*RANDBETWEEN(8,12)/10,0)</f>
        <v>10147</v>
      </c>
    </row>
    <row r="97" spans="1:54" ht="15.75" thickBot="1" x14ac:dyDescent="0.3">
      <c r="A97" s="3">
        <f t="shared" ca="1" si="9"/>
        <v>45154</v>
      </c>
      <c r="B97" s="4" t="s">
        <v>56</v>
      </c>
      <c r="C97" s="4" t="s">
        <v>57</v>
      </c>
      <c r="D97" s="4" t="s">
        <v>58</v>
      </c>
      <c r="E97" s="4" t="s">
        <v>59</v>
      </c>
      <c r="F97" s="4">
        <f ca="1">ROUND(T_Facebook_Ads[[#This Row],[impressions]]*RANDBETWEEN(8,12)/10,0)</f>
        <v>10054</v>
      </c>
      <c r="G97" s="4">
        <v>567</v>
      </c>
      <c r="H97" s="4">
        <f ca="1">T_Facebook_Ads[[#This Row],[spend]]*RANDBETWEEN(8,12)/10</f>
        <v>167.52</v>
      </c>
      <c r="I97" s="4">
        <f ca="1">ROUND(T_Facebook_Ads[[#This Row],[conversions]]*RANDBETWEEN(8,12)/10,0)</f>
        <v>43</v>
      </c>
      <c r="J97" s="4">
        <f ca="1">ROUND(T_Facebook_Ads[[#This Row],[video_views]]*RANDBETWEEN(8,12)/10,0)</f>
        <v>1520</v>
      </c>
      <c r="K97" s="4">
        <f ca="1">T_Facebook_Ads[[#This Row],[engagement_rate]]*RANDBETWEEN(8,12)/10</f>
        <v>4.0590000000000001E-2</v>
      </c>
      <c r="L97" s="4">
        <f ca="1">ROUND(T_Facebook_Ads[[#This Row],[reach]]*RANDBETWEEN(8,12)/10,0)</f>
        <v>8901</v>
      </c>
      <c r="M97" s="4">
        <f ca="1">T_Facebook_Ads[[#This Row],[frequency]]*RANDBETWEEN(8,12)/10</f>
        <v>1.524</v>
      </c>
      <c r="O97" s="3">
        <f t="shared" ca="1" si="10"/>
        <v>45164</v>
      </c>
      <c r="P97" s="4" t="s">
        <v>80</v>
      </c>
      <c r="Q97" s="4" t="s">
        <v>81</v>
      </c>
      <c r="R97" s="4" t="s">
        <v>82</v>
      </c>
      <c r="S97" s="4" t="s">
        <v>83</v>
      </c>
      <c r="T97" s="4">
        <f ca="1">ROUND(_Google_ads[[#This Row],[impressions]]*RANDBETWEEN(8,12)/10,0)</f>
        <v>36542</v>
      </c>
      <c r="U97" s="4">
        <f ca="1">ROUND(_Google_ads[[#This Row],[clicks]]*RANDBETWEEN(8,12)/10,0)</f>
        <v>811</v>
      </c>
      <c r="V97" s="4">
        <f ca="1">_Google_ads[[#This Row],[cost]]*RANDBETWEEN(8,12)/10</f>
        <v>584.5</v>
      </c>
      <c r="W97" s="4">
        <f ca="1">ROUND(_Google_ads[[#This Row],[conversions]]*RANDBETWEEN(8,12)/10,0)</f>
        <v>29</v>
      </c>
      <c r="X97" s="4">
        <f ca="1">ROUND(_Google_ads[[#This Row],[conversion_value]]*RANDBETWEEN(8,12)/10,0)</f>
        <v>960</v>
      </c>
      <c r="Y97" s="4">
        <f ca="1">_Google_ads[[#This Row],[ctr]]*RANDBETWEEN(8,12)/10</f>
        <v>1.7729999999999999E-2</v>
      </c>
      <c r="Z97" s="4">
        <f ca="1">_Google_ads[[#This Row],[avg_cpc]]*RANDBETWEEN(8,12)/10</f>
        <v>0.65</v>
      </c>
      <c r="AA97" s="4">
        <f ca="1">ROUND(_Google_ads[[#This Row],[quality_score]]*RANDBETWEEN(8,12)/10,0)</f>
        <v>7</v>
      </c>
      <c r="AB97" s="4">
        <f ca="1">_Google_ads[[#This Row],[search_impression_share]]*RANDBETWEEN(8,12)/10</f>
        <v>0.54</v>
      </c>
      <c r="AD97" s="3">
        <f t="shared" ca="1" si="11"/>
        <v>45162</v>
      </c>
      <c r="AE97" s="4" t="s">
        <v>104</v>
      </c>
      <c r="AF97" s="4" t="s">
        <v>105</v>
      </c>
      <c r="AG97" s="4" t="s">
        <v>106</v>
      </c>
      <c r="AH97" s="4" t="s">
        <v>107</v>
      </c>
      <c r="AI97" s="4">
        <f ca="1">ROUND(T_Tiktok_ads[[#This Row],[impressions]]*RANDBETWEEN(8,12)/10,0)</f>
        <v>184147</v>
      </c>
      <c r="AJ97" s="4">
        <f ca="1">ROUND(T_Tiktok_ads[[#This Row],[clicks]]*RANDBETWEEN(8,12)/10,0)</f>
        <v>3534</v>
      </c>
      <c r="AK97" s="4">
        <v>789.2</v>
      </c>
      <c r="AL97" s="4">
        <f ca="1">ROUND(T_Tiktok_ads[[#This Row],[conversions]]*RANDBETWEEN(8,12)/10,0)</f>
        <v>79</v>
      </c>
      <c r="AM97" s="4">
        <f ca="1">ROUND(T_Tiktok_ads[[#This Row],[video_views]]*RANDBETWEEN(8,12)/10,0)</f>
        <v>86312</v>
      </c>
      <c r="AN97" s="4">
        <f ca="1">ROUND(T_Tiktok_ads[[#This Row],[video_watch_25]]*RANDBETWEEN(8,12)/10,0)</f>
        <v>71610</v>
      </c>
      <c r="AO97" s="4">
        <f ca="1">ROUND(T_Tiktok_ads[[#This Row],[video_watch_50]]*RANDBETWEEN(8,12)/10,0)</f>
        <v>59046</v>
      </c>
      <c r="AP97" s="4">
        <f ca="1">ROUND(T_Tiktok_ads[[#This Row],[video_watch_75]]*RANDBETWEEN(8,12)/10,0)</f>
        <v>36211</v>
      </c>
      <c r="AQ97" s="4">
        <f ca="1">ROUND(T_Tiktok_ads[[#This Row],[video_watch_100]]*RANDBETWEEN(8,12)/10,0)</f>
        <v>21512</v>
      </c>
      <c r="AR97" s="4">
        <f ca="1">ROUND(T_Tiktok_ads[[#This Row],[likes]]*RANDBETWEEN(8,12)/10,0)</f>
        <v>4711</v>
      </c>
      <c r="AS97" s="4">
        <f ca="1">ROUND(T_Tiktok_ads[[#This Row],[shares]]*RANDBETWEEN(8,12)/10,0)</f>
        <v>1747</v>
      </c>
      <c r="AT97" s="4">
        <f ca="1">ROUND(T_Tiktok_ads[[#This Row],[comments]]*RANDBETWEEN(8,12)/10,0)</f>
        <v>334</v>
      </c>
      <c r="AV97" s="5">
        <f t="shared" ca="1" si="12"/>
        <v>45152</v>
      </c>
      <c r="AW97">
        <f t="shared" ca="1" si="13"/>
        <v>4</v>
      </c>
      <c r="AX97">
        <f ca="1">ROUND(T_Facebook_Ads1159636771757983[[#This Row],[impressions]]*RANDBETWEEN(8,12)/10,0)</f>
        <v>11059</v>
      </c>
      <c r="AY97">
        <f ca="1">ROUND(T_Facebook_Ads1159636771757983[[#This Row],[clicks]]*RANDBETWEEN(8,12)/10,0)</f>
        <v>510</v>
      </c>
      <c r="AZ97">
        <f ca="1">T_Facebook_Ads1159636771757983[[#This Row],[spend]]*RANDBETWEEN(8,12)/10</f>
        <v>134.01600000000002</v>
      </c>
      <c r="BA97">
        <f ca="1">ROUND(T_Facebook_Ads1159636771757983[[#This Row],[conversions]]*RANDBETWEEN(8,12)/10,0)</f>
        <v>52</v>
      </c>
      <c r="BB97">
        <f ca="1">ROUND(T_Facebook_Ads1159636771757983[[#This Row],[video_views]]*RANDBETWEEN(8,12)/10,0)</f>
        <v>1672</v>
      </c>
    </row>
    <row r="98" spans="1:54" ht="15.75" thickBot="1" x14ac:dyDescent="0.3">
      <c r="A98" s="3">
        <f t="shared" ref="A98:A111" ca="1" si="14">DATE(2023,8,RANDBETWEEN(1,31))</f>
        <v>45151</v>
      </c>
      <c r="B98" s="4" t="s">
        <v>60</v>
      </c>
      <c r="C98" s="4" t="s">
        <v>61</v>
      </c>
      <c r="D98" s="4" t="s">
        <v>62</v>
      </c>
      <c r="E98" s="4" t="s">
        <v>63</v>
      </c>
      <c r="F98" s="4">
        <f ca="1">ROUND(T_Facebook_Ads[[#This Row],[impressions]]*RANDBETWEEN(8,12)/10,0)</f>
        <v>32301</v>
      </c>
      <c r="G98" s="4">
        <v>1289</v>
      </c>
      <c r="H98" s="4">
        <f ca="1">T_Facebook_Ads[[#This Row],[spend]]*RANDBETWEEN(8,12)/10</f>
        <v>237.36000000000004</v>
      </c>
      <c r="I98" s="4">
        <f ca="1">ROUND(T_Facebook_Ads[[#This Row],[conversions]]*RANDBETWEEN(8,12)/10,0)</f>
        <v>24</v>
      </c>
      <c r="J98" s="4">
        <f ca="1">ROUND(T_Facebook_Ads[[#This Row],[video_views]]*RANDBETWEEN(8,12)/10,0)</f>
        <v>3654</v>
      </c>
      <c r="K98" s="4">
        <f ca="1">T_Facebook_Ads[[#This Row],[engagement_rate]]*RANDBETWEEN(8,12)/10</f>
        <v>3.5900000000000001E-2</v>
      </c>
      <c r="L98" s="4">
        <f ca="1">ROUND(T_Facebook_Ads[[#This Row],[reach]]*RANDBETWEEN(8,12)/10,0)</f>
        <v>29567</v>
      </c>
      <c r="M98" s="4">
        <f ca="1">T_Facebook_Ads[[#This Row],[frequency]]*RANDBETWEEN(8,12)/10</f>
        <v>1.089</v>
      </c>
      <c r="O98" s="3">
        <f t="shared" ref="O98:O111" ca="1" si="15">DATE(2023,8,RANDBETWEEN(1,31))</f>
        <v>45148</v>
      </c>
      <c r="P98" s="4" t="s">
        <v>84</v>
      </c>
      <c r="Q98" s="4" t="s">
        <v>85</v>
      </c>
      <c r="R98" s="4" t="s">
        <v>86</v>
      </c>
      <c r="S98" s="4" t="s">
        <v>87</v>
      </c>
      <c r="T98" s="4">
        <f ca="1">ROUND(_Google_ads[[#This Row],[impressions]]*RANDBETWEEN(8,12)/10,0)</f>
        <v>77135</v>
      </c>
      <c r="U98" s="4">
        <f ca="1">ROUND(_Google_ads[[#This Row],[clicks]]*RANDBETWEEN(8,12)/10,0)</f>
        <v>1885</v>
      </c>
      <c r="V98" s="4">
        <f ca="1">_Google_ads[[#This Row],[cost]]*RANDBETWEEN(8,12)/10</f>
        <v>474.32</v>
      </c>
      <c r="W98" s="4">
        <f ca="1">ROUND(_Google_ads[[#This Row],[conversions]]*RANDBETWEEN(8,12)/10,0)</f>
        <v>75</v>
      </c>
      <c r="X98" s="4">
        <f ca="1">ROUND(_Google_ads[[#This Row],[conversion_value]]*RANDBETWEEN(8,12)/10,0)</f>
        <v>3060</v>
      </c>
      <c r="Y98" s="4">
        <f ca="1">_Google_ads[[#This Row],[ctr]]*RANDBETWEEN(8,12)/10</f>
        <v>3.696E-2</v>
      </c>
      <c r="Z98" s="4">
        <f ca="1">_Google_ads[[#This Row],[avg_cpc]]*RANDBETWEEN(8,12)/10</f>
        <v>0.18</v>
      </c>
      <c r="AA98" s="4">
        <f ca="1">ROUND(_Google_ads[[#This Row],[quality_score]]*RANDBETWEEN(8,12)/10,0)</f>
        <v>8</v>
      </c>
      <c r="AB98" s="4">
        <f ca="1">_Google_ads[[#This Row],[search_impression_share]]*RANDBETWEEN(8,12)/10</f>
        <v>0.81600000000000006</v>
      </c>
      <c r="AD98" s="3">
        <f t="shared" ref="AD98:AD111" ca="1" si="16">DATE(2023,8,RANDBETWEEN(1,31))</f>
        <v>45149</v>
      </c>
      <c r="AE98" s="4" t="s">
        <v>108</v>
      </c>
      <c r="AF98" s="4" t="s">
        <v>109</v>
      </c>
      <c r="AG98" s="4" t="s">
        <v>110</v>
      </c>
      <c r="AH98" s="4" t="s">
        <v>111</v>
      </c>
      <c r="AI98" s="4">
        <f ca="1">ROUND(T_Tiktok_ads[[#This Row],[impressions]]*RANDBETWEEN(8,12)/10,0)</f>
        <v>213110</v>
      </c>
      <c r="AJ98" s="4">
        <f ca="1">ROUND(T_Tiktok_ads[[#This Row],[clicks]]*RANDBETWEEN(8,12)/10,0)</f>
        <v>4107</v>
      </c>
      <c r="AK98" s="4">
        <v>456.8</v>
      </c>
      <c r="AL98" s="4">
        <f ca="1">ROUND(T_Tiktok_ads[[#This Row],[conversions]]*RANDBETWEEN(8,12)/10,0)</f>
        <v>30</v>
      </c>
      <c r="AM98" s="4">
        <f ca="1">ROUND(T_Tiktok_ads[[#This Row],[video_views]]*RANDBETWEEN(8,12)/10,0)</f>
        <v>225468</v>
      </c>
      <c r="AN98" s="4">
        <f ca="1">ROUND(T_Tiktok_ads[[#This Row],[video_watch_25]]*RANDBETWEEN(8,12)/10,0)</f>
        <v>113876</v>
      </c>
      <c r="AO98" s="4">
        <f ca="1">ROUND(T_Tiktok_ads[[#This Row],[video_watch_50]]*RANDBETWEEN(8,12)/10,0)</f>
        <v>101111</v>
      </c>
      <c r="AP98" s="4">
        <f ca="1">ROUND(T_Tiktok_ads[[#This Row],[video_watch_75]]*RANDBETWEEN(8,12)/10,0)</f>
        <v>57876</v>
      </c>
      <c r="AQ98" s="4">
        <f ca="1">ROUND(T_Tiktok_ads[[#This Row],[video_watch_100]]*RANDBETWEEN(8,12)/10,0)</f>
        <v>48168</v>
      </c>
      <c r="AR98" s="4">
        <f ca="1">ROUND(T_Tiktok_ads[[#This Row],[likes]]*RANDBETWEEN(8,12)/10,0)</f>
        <v>9302</v>
      </c>
      <c r="AS98" s="4">
        <f ca="1">ROUND(T_Tiktok_ads[[#This Row],[shares]]*RANDBETWEEN(8,12)/10,0)</f>
        <v>2720</v>
      </c>
      <c r="AT98" s="4">
        <f ca="1">ROUND(T_Tiktok_ads[[#This Row],[comments]]*RANDBETWEEN(8,12)/10,0)</f>
        <v>654</v>
      </c>
      <c r="AV98" s="5">
        <f t="shared" ref="AV98:AV111" ca="1" si="17">DATE(2023,8,RANDBETWEEN(1,31))</f>
        <v>45148</v>
      </c>
      <c r="AW98">
        <f t="shared" ca="1" si="13"/>
        <v>5</v>
      </c>
      <c r="AX98">
        <f ca="1">ROUND(T_Facebook_Ads1159636771757983[[#This Row],[impressions]]*RANDBETWEEN(8,12)/10,0)</f>
        <v>25841</v>
      </c>
      <c r="AY98">
        <f ca="1">ROUND(T_Facebook_Ads1159636771757983[[#This Row],[clicks]]*RANDBETWEEN(8,12)/10,0)</f>
        <v>1031</v>
      </c>
      <c r="AZ98">
        <f ca="1">T_Facebook_Ads1159636771757983[[#This Row],[spend]]*RANDBETWEEN(8,12)/10</f>
        <v>189.88800000000003</v>
      </c>
      <c r="BA98">
        <f ca="1">ROUND(T_Facebook_Ads1159636771757983[[#This Row],[conversions]]*RANDBETWEEN(8,12)/10,0)</f>
        <v>29</v>
      </c>
      <c r="BB98">
        <f ca="1">ROUND(T_Facebook_Ads1159636771757983[[#This Row],[video_views]]*RANDBETWEEN(8,12)/10,0)</f>
        <v>4385</v>
      </c>
    </row>
    <row r="99" spans="1:54" ht="15.75" thickBot="1" x14ac:dyDescent="0.3">
      <c r="A99" s="3">
        <f t="shared" ca="1" si="14"/>
        <v>45166</v>
      </c>
      <c r="B99" s="4" t="s">
        <v>64</v>
      </c>
      <c r="C99" s="4" t="s">
        <v>65</v>
      </c>
      <c r="D99" s="4" t="s">
        <v>66</v>
      </c>
      <c r="E99" s="4" t="s">
        <v>67</v>
      </c>
      <c r="F99" s="4">
        <f ca="1">ROUND(T_Facebook_Ads[[#This Row],[impressions]]*RANDBETWEEN(8,12)/10,0)</f>
        <v>75057</v>
      </c>
      <c r="G99" s="4">
        <v>245</v>
      </c>
      <c r="H99" s="4">
        <f ca="1">T_Facebook_Ads[[#This Row],[spend]]*RANDBETWEEN(8,12)/10</f>
        <v>94.490000000000009</v>
      </c>
      <c r="I99" s="4">
        <f ca="1">ROUND(T_Facebook_Ads[[#This Row],[conversions]]*RANDBETWEEN(8,12)/10,0)</f>
        <v>6</v>
      </c>
      <c r="J99" s="4">
        <f ca="1">ROUND(T_Facebook_Ads[[#This Row],[video_views]]*RANDBETWEEN(8,12)/10,0)</f>
        <v>41110</v>
      </c>
      <c r="K99" s="4">
        <f ca="1">T_Facebook_Ads[[#This Row],[engagement_rate]]*RANDBETWEEN(8,12)/10</f>
        <v>4.3200000000000001E-3</v>
      </c>
      <c r="L99" s="4">
        <f ca="1">ROUND(T_Facebook_Ads[[#This Row],[reach]]*RANDBETWEEN(8,12)/10,0)</f>
        <v>50301</v>
      </c>
      <c r="M99" s="4">
        <f ca="1">T_Facebook_Ads[[#This Row],[frequency]]*RANDBETWEEN(8,12)/10</f>
        <v>1.22</v>
      </c>
      <c r="O99" s="3">
        <f t="shared" ca="1" si="15"/>
        <v>45148</v>
      </c>
      <c r="P99" s="4" t="s">
        <v>88</v>
      </c>
      <c r="Q99" s="4" t="s">
        <v>89</v>
      </c>
      <c r="R99" s="4" t="s">
        <v>90</v>
      </c>
      <c r="S99" s="4" t="s">
        <v>59</v>
      </c>
      <c r="T99" s="4">
        <f ca="1">ROUND(_Google_ads[[#This Row],[impressions]]*RANDBETWEEN(8,12)/10,0)</f>
        <v>148379</v>
      </c>
      <c r="U99" s="4">
        <f ca="1">ROUND(_Google_ads[[#This Row],[clicks]]*RANDBETWEEN(8,12)/10,0)</f>
        <v>440</v>
      </c>
      <c r="V99" s="4">
        <f ca="1">_Google_ads[[#This Row],[cost]]*RANDBETWEEN(8,12)/10</f>
        <v>145.96999999999997</v>
      </c>
      <c r="W99" s="4">
        <f ca="1">ROUND(_Google_ads[[#This Row],[conversions]]*RANDBETWEEN(8,12)/10,0)</f>
        <v>17</v>
      </c>
      <c r="X99" s="4">
        <f ca="1">ROUND(_Google_ads[[#This Row],[conversion_value]]*RANDBETWEEN(8,12)/10,0)</f>
        <v>840</v>
      </c>
      <c r="Y99" s="4">
        <f ca="1">_Google_ads[[#This Row],[ctr]]*RANDBETWEEN(8,12)/10</f>
        <v>3.5999999999999999E-3</v>
      </c>
      <c r="Z99" s="4">
        <f ca="1">_Google_ads[[#This Row],[avg_cpc]]*RANDBETWEEN(8,12)/10</f>
        <v>0.29700000000000004</v>
      </c>
      <c r="AA99" s="4">
        <f ca="1">ROUND(_Google_ads[[#This Row],[quality_score]]*RANDBETWEEN(8,12)/10,0)</f>
        <v>6</v>
      </c>
      <c r="AB99" s="4">
        <f ca="1">_Google_ads[[#This Row],[search_impression_share]]*RANDBETWEEN(8,12)/10</f>
        <v>0.38499999999999995</v>
      </c>
      <c r="AD99" s="3">
        <f t="shared" ca="1" si="16"/>
        <v>45145</v>
      </c>
      <c r="AE99" s="4" t="s">
        <v>112</v>
      </c>
      <c r="AF99" s="4" t="s">
        <v>113</v>
      </c>
      <c r="AG99" s="4" t="s">
        <v>114</v>
      </c>
      <c r="AH99" s="4" t="s">
        <v>115</v>
      </c>
      <c r="AI99" s="4">
        <f ca="1">ROUND(T_Tiktok_ads[[#This Row],[impressions]]*RANDBETWEEN(8,12)/10,0)</f>
        <v>465802</v>
      </c>
      <c r="AJ99" s="4">
        <f ca="1">ROUND(T_Tiktok_ads[[#This Row],[clicks]]*RANDBETWEEN(8,12)/10,0)</f>
        <v>7468</v>
      </c>
      <c r="AK99" s="4">
        <v>1034.5</v>
      </c>
      <c r="AL99" s="4">
        <f ca="1">ROUND(T_Tiktok_ads[[#This Row],[conversions]]*RANDBETWEEN(8,12)/10,0)</f>
        <v>94</v>
      </c>
      <c r="AM99" s="4">
        <f ca="1">ROUND(T_Tiktok_ads[[#This Row],[video_views]]*RANDBETWEEN(8,12)/10,0)</f>
        <v>285431</v>
      </c>
      <c r="AN99" s="4">
        <f ca="1">ROUND(T_Tiktok_ads[[#This Row],[video_watch_25]]*RANDBETWEEN(8,12)/10,0)</f>
        <v>229787</v>
      </c>
      <c r="AO99" s="4">
        <f ca="1">ROUND(T_Tiktok_ads[[#This Row],[video_watch_50]]*RANDBETWEEN(8,12)/10,0)</f>
        <v>183387</v>
      </c>
      <c r="AP99" s="4">
        <f ca="1">ROUND(T_Tiktok_ads[[#This Row],[video_watch_75]]*RANDBETWEEN(8,12)/10,0)</f>
        <v>178580</v>
      </c>
      <c r="AQ99" s="4">
        <f ca="1">ROUND(T_Tiktok_ads[[#This Row],[video_watch_100]]*RANDBETWEEN(8,12)/10,0)</f>
        <v>107890</v>
      </c>
      <c r="AR99" s="4">
        <f ca="1">ROUND(T_Tiktok_ads[[#This Row],[likes]]*RANDBETWEEN(8,12)/10,0)</f>
        <v>15005</v>
      </c>
      <c r="AS99" s="4">
        <f ca="1">ROUND(T_Tiktok_ads[[#This Row],[shares]]*RANDBETWEEN(8,12)/10,0)</f>
        <v>5345</v>
      </c>
      <c r="AT99" s="4">
        <f ca="1">ROUND(T_Tiktok_ads[[#This Row],[comments]]*RANDBETWEEN(8,12)/10,0)</f>
        <v>1310</v>
      </c>
      <c r="AV99" s="5">
        <f t="shared" ca="1" si="17"/>
        <v>45144</v>
      </c>
      <c r="AW99">
        <f t="shared" ca="1" si="13"/>
        <v>2</v>
      </c>
      <c r="AX99">
        <f ca="1">ROUND(T_Facebook_Ads1159636771757983[[#This Row],[impressions]]*RANDBETWEEN(8,12)/10,0)</f>
        <v>82563</v>
      </c>
      <c r="AY99">
        <f ca="1">ROUND(T_Facebook_Ads1159636771757983[[#This Row],[clicks]]*RANDBETWEEN(8,12)/10,0)</f>
        <v>294</v>
      </c>
      <c r="AZ99">
        <f ca="1">T_Facebook_Ads1159636771757983[[#This Row],[spend]]*RANDBETWEEN(8,12)/10</f>
        <v>103.93900000000001</v>
      </c>
      <c r="BA99">
        <f ca="1">ROUND(T_Facebook_Ads1159636771757983[[#This Row],[conversions]]*RANDBETWEEN(8,12)/10,0)</f>
        <v>7</v>
      </c>
      <c r="BB99">
        <f ca="1">ROUND(T_Facebook_Ads1159636771757983[[#This Row],[video_views]]*RANDBETWEEN(8,12)/10,0)</f>
        <v>36999</v>
      </c>
    </row>
    <row r="100" spans="1:54" ht="15.75" thickBot="1" x14ac:dyDescent="0.3">
      <c r="A100" s="3">
        <f t="shared" ca="1" si="14"/>
        <v>45147</v>
      </c>
      <c r="B100" s="4" t="s">
        <v>52</v>
      </c>
      <c r="C100" s="4" t="s">
        <v>53</v>
      </c>
      <c r="D100" s="4" t="s">
        <v>54</v>
      </c>
      <c r="E100" s="4" t="s">
        <v>55</v>
      </c>
      <c r="F100" s="4">
        <f ca="1">ROUND(T_Facebook_Ads[[#This Row],[impressions]]*RANDBETWEEN(8,12)/10,0)</f>
        <v>35654</v>
      </c>
      <c r="G100" s="4">
        <v>890</v>
      </c>
      <c r="H100" s="4">
        <f ca="1">T_Facebook_Ads[[#This Row],[spend]]*RANDBETWEEN(8,12)/10</f>
        <v>153.11999999999998</v>
      </c>
      <c r="I100" s="4">
        <f ca="1">ROUND(T_Facebook_Ads[[#This Row],[conversions]]*RANDBETWEEN(8,12)/10,0)</f>
        <v>14</v>
      </c>
      <c r="J100" s="4">
        <f ca="1">ROUND(T_Facebook_Ads[[#This Row],[video_views]]*RANDBETWEEN(8,12)/10,0)</f>
        <v>9748</v>
      </c>
      <c r="K100" s="4">
        <f ca="1">T_Facebook_Ads[[#This Row],[engagement_rate]]*RANDBETWEEN(8,12)/10</f>
        <v>1.6E-2</v>
      </c>
      <c r="L100" s="4">
        <f ca="1">ROUND(T_Facebook_Ads[[#This Row],[reach]]*RANDBETWEEN(8,12)/10,0)</f>
        <v>33710</v>
      </c>
      <c r="M100" s="4">
        <f ca="1">T_Facebook_Ads[[#This Row],[frequency]]*RANDBETWEEN(8,12)/10</f>
        <v>1.4279999999999999</v>
      </c>
      <c r="O100" s="3">
        <f t="shared" ca="1" si="15"/>
        <v>45148</v>
      </c>
      <c r="P100" s="4" t="s">
        <v>76</v>
      </c>
      <c r="Q100" s="4" t="s">
        <v>77</v>
      </c>
      <c r="R100" s="4" t="s">
        <v>78</v>
      </c>
      <c r="S100" s="4" t="s">
        <v>79</v>
      </c>
      <c r="T100" s="4">
        <f ca="1">ROUND(_Google_ads[[#This Row],[impressions]]*RANDBETWEEN(8,12)/10,0)</f>
        <v>25924</v>
      </c>
      <c r="U100" s="4">
        <f ca="1">ROUND(_Google_ads[[#This Row],[clicks]]*RANDBETWEEN(8,12)/10,0)</f>
        <v>1189</v>
      </c>
      <c r="V100" s="4">
        <f ca="1">_Google_ads[[#This Row],[cost]]*RANDBETWEEN(8,12)/10</f>
        <v>249.48000000000002</v>
      </c>
      <c r="W100" s="4">
        <f ca="1">ROUND(_Google_ads[[#This Row],[conversions]]*RANDBETWEEN(8,12)/10,0)</f>
        <v>44</v>
      </c>
      <c r="X100" s="4">
        <f ca="1">ROUND(_Google_ads[[#This Row],[conversion_value]]*RANDBETWEEN(8,12)/10,0)</f>
        <v>2640</v>
      </c>
      <c r="Y100" s="4">
        <f ca="1">_Google_ads[[#This Row],[ctr]]*RANDBETWEEN(8,12)/10</f>
        <v>4.0400000000000005E-2</v>
      </c>
      <c r="Z100" s="4">
        <f ca="1">_Google_ads[[#This Row],[avg_cpc]]*RANDBETWEEN(8,12)/10</f>
        <v>0.152</v>
      </c>
      <c r="AA100" s="4">
        <f ca="1">ROUND(_Google_ads[[#This Row],[quality_score]]*RANDBETWEEN(8,12)/10,0)</f>
        <v>10</v>
      </c>
      <c r="AB100" s="4">
        <f ca="1">_Google_ads[[#This Row],[search_impression_share]]*RANDBETWEEN(8,12)/10</f>
        <v>0.9</v>
      </c>
      <c r="AD100" s="3">
        <f t="shared" ca="1" si="16"/>
        <v>45168</v>
      </c>
      <c r="AE100" s="4" t="s">
        <v>100</v>
      </c>
      <c r="AF100" s="4" t="s">
        <v>101</v>
      </c>
      <c r="AG100" s="4" t="s">
        <v>102</v>
      </c>
      <c r="AH100" s="4" t="s">
        <v>103</v>
      </c>
      <c r="AI100" s="4">
        <f ca="1">ROUND(T_Tiktok_ads[[#This Row],[impressions]]*RANDBETWEEN(8,12)/10,0)</f>
        <v>294679</v>
      </c>
      <c r="AJ100" s="4">
        <f ca="1">ROUND(T_Tiktok_ads[[#This Row],[clicks]]*RANDBETWEEN(8,12)/10,0)</f>
        <v>3551</v>
      </c>
      <c r="AK100" s="4">
        <v>501.2</v>
      </c>
      <c r="AL100" s="4">
        <f ca="1">ROUND(T_Tiktok_ads[[#This Row],[conversions]]*RANDBETWEEN(8,12)/10,0)</f>
        <v>36</v>
      </c>
      <c r="AM100" s="4">
        <f ca="1">ROUND(T_Tiktok_ads[[#This Row],[video_views]]*RANDBETWEEN(8,12)/10,0)</f>
        <v>199111</v>
      </c>
      <c r="AN100" s="4">
        <f ca="1">ROUND(T_Tiktok_ads[[#This Row],[video_watch_25]]*RANDBETWEEN(8,12)/10,0)</f>
        <v>138765</v>
      </c>
      <c r="AO100" s="4">
        <f ca="1">ROUND(T_Tiktok_ads[[#This Row],[video_watch_50]]*RANDBETWEEN(8,12)/10,0)</f>
        <v>131081</v>
      </c>
      <c r="AP100" s="4">
        <f ca="1">ROUND(T_Tiktok_ads[[#This Row],[video_watch_75]]*RANDBETWEEN(8,12)/10,0)</f>
        <v>80924</v>
      </c>
      <c r="AQ100" s="4">
        <f ca="1">ROUND(T_Tiktok_ads[[#This Row],[video_watch_100]]*RANDBETWEEN(8,12)/10,0)</f>
        <v>49234</v>
      </c>
      <c r="AR100" s="4">
        <f ca="1">ROUND(T_Tiktok_ads[[#This Row],[likes]]*RANDBETWEEN(8,12)/10,0)</f>
        <v>7831</v>
      </c>
      <c r="AS100" s="4">
        <f ca="1">ROUND(T_Tiktok_ads[[#This Row],[shares]]*RANDBETWEEN(8,12)/10,0)</f>
        <v>2634</v>
      </c>
      <c r="AT100" s="4">
        <f ca="1">ROUND(T_Tiktok_ads[[#This Row],[comments]]*RANDBETWEEN(8,12)/10,0)</f>
        <v>685</v>
      </c>
      <c r="AV100" s="5">
        <f t="shared" ca="1" si="17"/>
        <v>45160</v>
      </c>
      <c r="AW100">
        <f t="shared" ca="1" si="13"/>
        <v>2</v>
      </c>
      <c r="AX100">
        <f ca="1">ROUND(T_Facebook_Ads1159636771757983[[#This Row],[impressions]]*RANDBETWEEN(8,12)/10,0)</f>
        <v>39219</v>
      </c>
      <c r="AY100">
        <f ca="1">ROUND(T_Facebook_Ads1159636771757983[[#This Row],[clicks]]*RANDBETWEEN(8,12)/10,0)</f>
        <v>801</v>
      </c>
      <c r="AZ100">
        <f ca="1">T_Facebook_Ads1159636771757983[[#This Row],[spend]]*RANDBETWEEN(8,12)/10</f>
        <v>153.11999999999998</v>
      </c>
      <c r="BA100">
        <f ca="1">ROUND(T_Facebook_Ads1159636771757983[[#This Row],[conversions]]*RANDBETWEEN(8,12)/10,0)</f>
        <v>11</v>
      </c>
      <c r="BB100">
        <f ca="1">ROUND(T_Facebook_Ads1159636771757983[[#This Row],[video_views]]*RANDBETWEEN(8,12)/10,0)</f>
        <v>7798</v>
      </c>
    </row>
    <row r="101" spans="1:54" ht="15.75" thickBot="1" x14ac:dyDescent="0.3">
      <c r="A101" s="3">
        <f t="shared" ca="1" si="14"/>
        <v>45157</v>
      </c>
      <c r="B101" s="4" t="s">
        <v>56</v>
      </c>
      <c r="C101" s="4" t="s">
        <v>57</v>
      </c>
      <c r="D101" s="4" t="s">
        <v>58</v>
      </c>
      <c r="E101" s="4" t="s">
        <v>59</v>
      </c>
      <c r="F101" s="4">
        <f ca="1">ROUND(T_Facebook_Ads[[#This Row],[impressions]]*RANDBETWEEN(8,12)/10,0)</f>
        <v>11456</v>
      </c>
      <c r="G101" s="4">
        <v>523</v>
      </c>
      <c r="H101" s="4">
        <f ca="1">T_Facebook_Ads[[#This Row],[spend]]*RANDBETWEEN(8,12)/10</f>
        <v>153.84</v>
      </c>
      <c r="I101" s="4">
        <f ca="1">ROUND(T_Facebook_Ads[[#This Row],[conversions]]*RANDBETWEEN(8,12)/10,0)</f>
        <v>36</v>
      </c>
      <c r="J101" s="4">
        <f ca="1">ROUND(T_Facebook_Ads[[#This Row],[video_views]]*RANDBETWEEN(8,12)/10,0)</f>
        <v>1307</v>
      </c>
      <c r="K101" s="4">
        <f ca="1">T_Facebook_Ads[[#This Row],[engagement_rate]]*RANDBETWEEN(8,12)/10</f>
        <v>4.5699999999999998E-2</v>
      </c>
      <c r="L101" s="4">
        <f ca="1">ROUND(T_Facebook_Ads[[#This Row],[reach]]*RANDBETWEEN(8,12)/10,0)</f>
        <v>10760</v>
      </c>
      <c r="M101" s="4">
        <f ca="1">T_Facebook_Ads[[#This Row],[frequency]]*RANDBETWEEN(8,12)/10</f>
        <v>1.024</v>
      </c>
      <c r="O101" s="3">
        <f t="shared" ca="1" si="15"/>
        <v>45159</v>
      </c>
      <c r="P101" s="4" t="s">
        <v>80</v>
      </c>
      <c r="Q101" s="4" t="s">
        <v>81</v>
      </c>
      <c r="R101" s="4" t="s">
        <v>82</v>
      </c>
      <c r="S101" s="4" t="s">
        <v>83</v>
      </c>
      <c r="T101" s="4">
        <f ca="1">ROUND(_Google_ads[[#This Row],[impressions]]*RANDBETWEEN(8,12)/10,0)</f>
        <v>42890</v>
      </c>
      <c r="U101" s="4">
        <f ca="1">ROUND(_Google_ads[[#This Row],[clicks]]*RANDBETWEEN(8,12)/10,0)</f>
        <v>751</v>
      </c>
      <c r="V101" s="4">
        <f ca="1">_Google_ads[[#This Row],[cost]]*RANDBETWEEN(8,12)/10</f>
        <v>439.43999999999994</v>
      </c>
      <c r="W101" s="4">
        <f ca="1">ROUND(_Google_ads[[#This Row],[conversions]]*RANDBETWEEN(8,12)/10,0)</f>
        <v>21</v>
      </c>
      <c r="X101" s="4">
        <f ca="1">ROUND(_Google_ads[[#This Row],[conversion_value]]*RANDBETWEEN(8,12)/10,0)</f>
        <v>1155</v>
      </c>
      <c r="Y101" s="4">
        <f ca="1">_Google_ads[[#This Row],[ctr]]*RANDBETWEEN(8,12)/10</f>
        <v>1.5599999999999999E-2</v>
      </c>
      <c r="Z101" s="4">
        <f ca="1">_Google_ads[[#This Row],[avg_cpc]]*RANDBETWEEN(8,12)/10</f>
        <v>0.79200000000000004</v>
      </c>
      <c r="AA101" s="4">
        <f ca="1">ROUND(_Google_ads[[#This Row],[quality_score]]*RANDBETWEEN(8,12)/10,0)</f>
        <v>6</v>
      </c>
      <c r="AB101" s="4">
        <f ca="1">_Google_ads[[#This Row],[search_impression_share]]*RANDBETWEEN(8,12)/10</f>
        <v>0.38700000000000001</v>
      </c>
      <c r="AD101" s="3">
        <f t="shared" ca="1" si="16"/>
        <v>45152</v>
      </c>
      <c r="AE101" s="4" t="s">
        <v>104</v>
      </c>
      <c r="AF101" s="4" t="s">
        <v>105</v>
      </c>
      <c r="AG101" s="4" t="s">
        <v>106</v>
      </c>
      <c r="AH101" s="4" t="s">
        <v>107</v>
      </c>
      <c r="AI101" s="4">
        <f ca="1">ROUND(T_Tiktok_ads[[#This Row],[impressions]]*RANDBETWEEN(8,12)/10,0)</f>
        <v>134011</v>
      </c>
      <c r="AJ101" s="4">
        <f ca="1">ROUND(T_Tiktok_ads[[#This Row],[clicks]]*RANDBETWEEN(8,12)/10,0)</f>
        <v>3117</v>
      </c>
      <c r="AK101" s="4">
        <v>756.7</v>
      </c>
      <c r="AL101" s="4">
        <f ca="1">ROUND(T_Tiktok_ads[[#This Row],[conversions]]*RANDBETWEEN(8,12)/10,0)</f>
        <v>68</v>
      </c>
      <c r="AM101" s="4">
        <f ca="1">ROUND(T_Tiktok_ads[[#This Row],[video_views]]*RANDBETWEEN(8,12)/10,0)</f>
        <v>121481</v>
      </c>
      <c r="AN101" s="4">
        <f ca="1">ROUND(T_Tiktok_ads[[#This Row],[video_watch_25]]*RANDBETWEEN(8,12)/10,0)</f>
        <v>67110</v>
      </c>
      <c r="AO101" s="4">
        <f ca="1">ROUND(T_Tiktok_ads[[#This Row],[video_watch_50]]*RANDBETWEEN(8,12)/10,0)</f>
        <v>40187</v>
      </c>
      <c r="AP101" s="4">
        <f ca="1">ROUND(T_Tiktok_ads[[#This Row],[video_watch_75]]*RANDBETWEEN(8,12)/10,0)</f>
        <v>41679</v>
      </c>
      <c r="AQ101" s="4">
        <f ca="1">ROUND(T_Tiktok_ads[[#This Row],[video_watch_100]]*RANDBETWEEN(8,12)/10,0)</f>
        <v>25234</v>
      </c>
      <c r="AR101" s="4">
        <f ca="1">ROUND(T_Tiktok_ads[[#This Row],[likes]]*RANDBETWEEN(8,12)/10,0)</f>
        <v>4010</v>
      </c>
      <c r="AS101" s="4">
        <f ca="1">ROUND(T_Tiktok_ads[[#This Row],[shares]]*RANDBETWEEN(8,12)/10,0)</f>
        <v>1138</v>
      </c>
      <c r="AT101" s="4">
        <f ca="1">ROUND(T_Tiktok_ads[[#This Row],[comments]]*RANDBETWEEN(8,12)/10,0)</f>
        <v>294</v>
      </c>
      <c r="AV101" s="5">
        <f t="shared" ca="1" si="17"/>
        <v>45166</v>
      </c>
      <c r="AW101">
        <f t="shared" ca="1" si="13"/>
        <v>8</v>
      </c>
      <c r="AX101">
        <f ca="1">ROUND(T_Facebook_Ads1159636771757983[[#This Row],[impressions]]*RANDBETWEEN(8,12)/10,0)</f>
        <v>13747</v>
      </c>
      <c r="AY101">
        <f ca="1">ROUND(T_Facebook_Ads1159636771757983[[#This Row],[clicks]]*RANDBETWEEN(8,12)/10,0)</f>
        <v>628</v>
      </c>
      <c r="AZ101">
        <f ca="1">T_Facebook_Ads1159636771757983[[#This Row],[spend]]*RANDBETWEEN(8,12)/10</f>
        <v>184.608</v>
      </c>
      <c r="BA101">
        <f ca="1">ROUND(T_Facebook_Ads1159636771757983[[#This Row],[conversions]]*RANDBETWEEN(8,12)/10,0)</f>
        <v>29</v>
      </c>
      <c r="BB101">
        <f ca="1">ROUND(T_Facebook_Ads1159636771757983[[#This Row],[video_views]]*RANDBETWEEN(8,12)/10,0)</f>
        <v>1438</v>
      </c>
    </row>
    <row r="102" spans="1:54" ht="15.75" thickBot="1" x14ac:dyDescent="0.3">
      <c r="A102" s="3">
        <f t="shared" ca="1" si="14"/>
        <v>45156</v>
      </c>
      <c r="B102" s="4" t="s">
        <v>60</v>
      </c>
      <c r="C102" s="4" t="s">
        <v>61</v>
      </c>
      <c r="D102" s="4" t="s">
        <v>62</v>
      </c>
      <c r="E102" s="4" t="s">
        <v>63</v>
      </c>
      <c r="F102" s="4">
        <f ca="1">ROUND(T_Facebook_Ads[[#This Row],[impressions]]*RANDBETWEEN(8,12)/10,0)</f>
        <v>40280</v>
      </c>
      <c r="G102" s="4">
        <v>1203</v>
      </c>
      <c r="H102" s="4">
        <f ca="1">T_Facebook_Ads[[#This Row],[spend]]*RANDBETWEEN(8,12)/10</f>
        <v>147.6</v>
      </c>
      <c r="I102" s="4">
        <f ca="1">ROUND(T_Facebook_Ads[[#This Row],[conversions]]*RANDBETWEEN(8,12)/10,0)</f>
        <v>20</v>
      </c>
      <c r="J102" s="4">
        <f ca="1">ROUND(T_Facebook_Ads[[#This Row],[video_views]]*RANDBETWEEN(8,12)/10,0)</f>
        <v>3298</v>
      </c>
      <c r="K102" s="4">
        <f ca="1">T_Facebook_Ads[[#This Row],[engagement_rate]]*RANDBETWEEN(8,12)/10</f>
        <v>3.5799999999999998E-2</v>
      </c>
      <c r="L102" s="4">
        <f ca="1">ROUND(T_Facebook_Ads[[#This Row],[reach]]*RANDBETWEEN(8,12)/10,0)</f>
        <v>22312</v>
      </c>
      <c r="M102" s="4">
        <f ca="1">T_Facebook_Ads[[#This Row],[frequency]]*RANDBETWEEN(8,12)/10</f>
        <v>1.3199999999999998</v>
      </c>
      <c r="O102" s="3">
        <f t="shared" ca="1" si="15"/>
        <v>45148</v>
      </c>
      <c r="P102" s="4" t="s">
        <v>84</v>
      </c>
      <c r="Q102" s="4" t="s">
        <v>85</v>
      </c>
      <c r="R102" s="4" t="s">
        <v>86</v>
      </c>
      <c r="S102" s="4" t="s">
        <v>87</v>
      </c>
      <c r="T102" s="4">
        <f ca="1">ROUND(_Google_ads[[#This Row],[impressions]]*RANDBETWEEN(8,12)/10,0)</f>
        <v>66234</v>
      </c>
      <c r="U102" s="4">
        <f ca="1">ROUND(_Google_ads[[#This Row],[clicks]]*RANDBETWEEN(8,12)/10,0)</f>
        <v>1950</v>
      </c>
      <c r="V102" s="4">
        <f ca="1">_Google_ads[[#This Row],[cost]]*RANDBETWEEN(8,12)/10</f>
        <v>395.8</v>
      </c>
      <c r="W102" s="4">
        <f ca="1">ROUND(_Google_ads[[#This Row],[conversions]]*RANDBETWEEN(8,12)/10,0)</f>
        <v>67</v>
      </c>
      <c r="X102" s="4">
        <f ca="1">ROUND(_Google_ads[[#This Row],[conversion_value]]*RANDBETWEEN(8,12)/10,0)</f>
        <v>3660</v>
      </c>
      <c r="Y102" s="4">
        <f ca="1">_Google_ads[[#This Row],[ctr]]*RANDBETWEEN(8,12)/10</f>
        <v>2.6159999999999999E-2</v>
      </c>
      <c r="Z102" s="4">
        <f ca="1">_Google_ads[[#This Row],[avg_cpc]]*RANDBETWEEN(8,12)/10</f>
        <v>0.14399999999999999</v>
      </c>
      <c r="AA102" s="4">
        <f ca="1">ROUND(_Google_ads[[#This Row],[quality_score]]*RANDBETWEEN(8,12)/10,0)</f>
        <v>10</v>
      </c>
      <c r="AB102" s="4">
        <f ca="1">_Google_ads[[#This Row],[search_impression_share]]*RANDBETWEEN(8,12)/10</f>
        <v>0.72600000000000009</v>
      </c>
      <c r="AD102" s="3">
        <f t="shared" ca="1" si="16"/>
        <v>45141</v>
      </c>
      <c r="AE102" s="4" t="s">
        <v>108</v>
      </c>
      <c r="AF102" s="4" t="s">
        <v>109</v>
      </c>
      <c r="AG102" s="4" t="s">
        <v>110</v>
      </c>
      <c r="AH102" s="4" t="s">
        <v>111</v>
      </c>
      <c r="AI102" s="4">
        <f ca="1">ROUND(T_Tiktok_ads[[#This Row],[impressions]]*RANDBETWEEN(8,12)/10,0)</f>
        <v>268147</v>
      </c>
      <c r="AJ102" s="4">
        <f ca="1">ROUND(T_Tiktok_ads[[#This Row],[clicks]]*RANDBETWEEN(8,12)/10,0)</f>
        <v>3567</v>
      </c>
      <c r="AK102" s="4">
        <v>427.7</v>
      </c>
      <c r="AL102" s="4">
        <f ca="1">ROUND(T_Tiktok_ads[[#This Row],[conversions]]*RANDBETWEEN(8,12)/10,0)</f>
        <v>36</v>
      </c>
      <c r="AM102" s="4">
        <f ca="1">ROUND(T_Tiktok_ads[[#This Row],[video_views]]*RANDBETWEEN(8,12)/10,0)</f>
        <v>214681</v>
      </c>
      <c r="AN102" s="4">
        <f ca="1">ROUND(T_Tiktok_ads[[#This Row],[video_watch_25]]*RANDBETWEEN(8,12)/10,0)</f>
        <v>108187</v>
      </c>
      <c r="AO102" s="4">
        <f ca="1">ROUND(T_Tiktok_ads[[#This Row],[video_watch_50]]*RANDBETWEEN(8,12)/10,0)</f>
        <v>106789</v>
      </c>
      <c r="AP102" s="4">
        <f ca="1">ROUND(T_Tiktok_ads[[#This Row],[video_watch_75]]*RANDBETWEEN(8,12)/10,0)</f>
        <v>76157</v>
      </c>
      <c r="AQ102" s="4">
        <f ca="1">ROUND(T_Tiktok_ads[[#This Row],[video_watch_100]]*RANDBETWEEN(8,12)/10,0)</f>
        <v>45968</v>
      </c>
      <c r="AR102" s="4">
        <f ca="1">ROUND(T_Tiktok_ads[[#This Row],[likes]]*RANDBETWEEN(8,12)/10,0)</f>
        <v>8234</v>
      </c>
      <c r="AS102" s="4">
        <f ca="1">ROUND(T_Tiktok_ads[[#This Row],[shares]]*RANDBETWEEN(8,12)/10,0)</f>
        <v>2494</v>
      </c>
      <c r="AT102" s="4">
        <f ca="1">ROUND(T_Tiktok_ads[[#This Row],[comments]]*RANDBETWEEN(8,12)/10,0)</f>
        <v>427</v>
      </c>
      <c r="AV102" s="5">
        <f t="shared" ca="1" si="17"/>
        <v>45143</v>
      </c>
      <c r="AW102">
        <f t="shared" ca="1" si="13"/>
        <v>2</v>
      </c>
      <c r="AX102">
        <f ca="1">ROUND(T_Facebook_Ads1159636771757983[[#This Row],[impressions]]*RANDBETWEEN(8,12)/10,0)</f>
        <v>40280</v>
      </c>
      <c r="AY102">
        <f ca="1">ROUND(T_Facebook_Ads1159636771757983[[#This Row],[clicks]]*RANDBETWEEN(8,12)/10,0)</f>
        <v>1203</v>
      </c>
      <c r="AZ102">
        <f ca="1">T_Facebook_Ads1159636771757983[[#This Row],[spend]]*RANDBETWEEN(8,12)/10</f>
        <v>177.11999999999998</v>
      </c>
      <c r="BA102">
        <f ca="1">ROUND(T_Facebook_Ads1159636771757983[[#This Row],[conversions]]*RANDBETWEEN(8,12)/10,0)</f>
        <v>24</v>
      </c>
      <c r="BB102">
        <f ca="1">ROUND(T_Facebook_Ads1159636771757983[[#This Row],[video_views]]*RANDBETWEEN(8,12)/10,0)</f>
        <v>3298</v>
      </c>
    </row>
    <row r="103" spans="1:54" ht="15.75" thickBot="1" x14ac:dyDescent="0.3">
      <c r="A103" s="3">
        <f t="shared" ca="1" si="14"/>
        <v>45161</v>
      </c>
      <c r="B103" s="4" t="s">
        <v>64</v>
      </c>
      <c r="C103" s="4" t="s">
        <v>65</v>
      </c>
      <c r="D103" s="4" t="s">
        <v>66</v>
      </c>
      <c r="E103" s="4" t="s">
        <v>67</v>
      </c>
      <c r="F103" s="4">
        <f ca="1">ROUND(T_Facebook_Ads[[#This Row],[impressions]]*RANDBETWEEN(8,12)/10,0)</f>
        <v>78947</v>
      </c>
      <c r="G103" s="4">
        <v>234</v>
      </c>
      <c r="H103" s="4">
        <f ca="1">T_Facebook_Ads[[#This Row],[spend]]*RANDBETWEEN(8,12)/10</f>
        <v>80.400000000000006</v>
      </c>
      <c r="I103" s="4">
        <f ca="1">ROUND(T_Facebook_Ads[[#This Row],[conversions]]*RANDBETWEEN(8,12)/10,0)</f>
        <v>4</v>
      </c>
      <c r="J103" s="4">
        <f ca="1">ROUND(T_Facebook_Ads[[#This Row],[video_views]]*RANDBETWEEN(8,12)/10,0)</f>
        <v>39501</v>
      </c>
      <c r="K103" s="4">
        <f ca="1">T_Facebook_Ads[[#This Row],[engagement_rate]]*RANDBETWEEN(8,12)/10</f>
        <v>4.3200000000000001E-3</v>
      </c>
      <c r="L103" s="4">
        <f ca="1">ROUND(T_Facebook_Ads[[#This Row],[reach]]*RANDBETWEEN(8,12)/10,0)</f>
        <v>43298</v>
      </c>
      <c r="M103" s="4">
        <f ca="1">T_Facebook_Ads[[#This Row],[frequency]]*RANDBETWEEN(8,12)/10</f>
        <v>1.452</v>
      </c>
      <c r="O103" s="3">
        <f t="shared" ca="1" si="15"/>
        <v>45162</v>
      </c>
      <c r="P103" s="4" t="s">
        <v>88</v>
      </c>
      <c r="Q103" s="4" t="s">
        <v>89</v>
      </c>
      <c r="R103" s="4" t="s">
        <v>90</v>
      </c>
      <c r="S103" s="4" t="s">
        <v>59</v>
      </c>
      <c r="T103" s="4">
        <f ca="1">ROUND(_Google_ads[[#This Row],[impressions]]*RANDBETWEEN(8,12)/10,0)</f>
        <v>152814</v>
      </c>
      <c r="U103" s="4">
        <f ca="1">ROUND(_Google_ads[[#This Row],[clicks]]*RANDBETWEEN(8,12)/10,0)</f>
        <v>534</v>
      </c>
      <c r="V103" s="4">
        <f ca="1">_Google_ads[[#This Row],[cost]]*RANDBETWEEN(8,12)/10</f>
        <v>137.60999999999999</v>
      </c>
      <c r="W103" s="4">
        <f ca="1">ROUND(_Google_ads[[#This Row],[conversions]]*RANDBETWEEN(8,12)/10,0)</f>
        <v>14</v>
      </c>
      <c r="X103" s="4">
        <f ca="1">ROUND(_Google_ads[[#This Row],[conversion_value]]*RANDBETWEEN(8,12)/10,0)</f>
        <v>660</v>
      </c>
      <c r="Y103" s="4">
        <f ca="1">_Google_ads[[#This Row],[ctr]]*RANDBETWEEN(8,12)/10</f>
        <v>3.15E-3</v>
      </c>
      <c r="Z103" s="4">
        <f ca="1">_Google_ads[[#This Row],[avg_cpc]]*RANDBETWEEN(8,12)/10</f>
        <v>0.25200000000000006</v>
      </c>
      <c r="AA103" s="4">
        <f ca="1">ROUND(_Google_ads[[#This Row],[quality_score]]*RANDBETWEEN(8,12)/10,0)</f>
        <v>7</v>
      </c>
      <c r="AB103" s="4">
        <f ca="1">_Google_ads[[#This Row],[search_impression_share]]*RANDBETWEEN(8,12)/10</f>
        <v>0.39600000000000002</v>
      </c>
      <c r="AD103" s="3">
        <f t="shared" ca="1" si="16"/>
        <v>45145</v>
      </c>
      <c r="AE103" s="4" t="s">
        <v>112</v>
      </c>
      <c r="AF103" s="4" t="s">
        <v>113</v>
      </c>
      <c r="AG103" s="4" t="s">
        <v>114</v>
      </c>
      <c r="AH103" s="4" t="s">
        <v>115</v>
      </c>
      <c r="AI103" s="4">
        <f ca="1">ROUND(T_Tiktok_ads[[#This Row],[impressions]]*RANDBETWEEN(8,12)/10,0)</f>
        <v>361111</v>
      </c>
      <c r="AJ103" s="4">
        <f ca="1">ROUND(T_Tiktok_ads[[#This Row],[clicks]]*RANDBETWEEN(8,12)/10,0)</f>
        <v>5810</v>
      </c>
      <c r="AK103" s="4">
        <v>989.9</v>
      </c>
      <c r="AL103" s="4">
        <f ca="1">ROUND(T_Tiktok_ads[[#This Row],[conversions]]*RANDBETWEEN(8,12)/10,0)</f>
        <v>81</v>
      </c>
      <c r="AM103" s="4">
        <f ca="1">ROUND(T_Tiktok_ads[[#This Row],[video_views]]*RANDBETWEEN(8,12)/10,0)</f>
        <v>299111</v>
      </c>
      <c r="AN103" s="4">
        <f ca="1">ROUND(T_Tiktok_ads[[#This Row],[video_watch_25]]*RANDBETWEEN(8,12)/10,0)</f>
        <v>241101</v>
      </c>
      <c r="AO103" s="4">
        <f ca="1">ROUND(T_Tiktok_ads[[#This Row],[video_watch_50]]*RANDBETWEEN(8,12)/10,0)</f>
        <v>193110</v>
      </c>
      <c r="AP103" s="4">
        <f ca="1">ROUND(T_Tiktok_ads[[#This Row],[video_watch_75]]*RANDBETWEEN(8,12)/10,0)</f>
        <v>181481</v>
      </c>
      <c r="AQ103" s="4">
        <f ca="1">ROUND(T_Tiktok_ads[[#This Row],[video_watch_100]]*RANDBETWEEN(8,12)/10,0)</f>
        <v>119480</v>
      </c>
      <c r="AR103" s="4">
        <f ca="1">ROUND(T_Tiktok_ads[[#This Row],[likes]]*RANDBETWEEN(8,12)/10,0)</f>
        <v>13787</v>
      </c>
      <c r="AS103" s="4">
        <f ca="1">ROUND(T_Tiktok_ads[[#This Row],[shares]]*RANDBETWEEN(8,12)/10,0)</f>
        <v>4511</v>
      </c>
      <c r="AT103" s="4">
        <f ca="1">ROUND(T_Tiktok_ads[[#This Row],[comments]]*RANDBETWEEN(8,12)/10,0)</f>
        <v>1378</v>
      </c>
      <c r="AV103" s="5">
        <f t="shared" ca="1" si="17"/>
        <v>45168</v>
      </c>
      <c r="AW103">
        <f t="shared" ca="1" si="13"/>
        <v>8</v>
      </c>
      <c r="AX103">
        <f ca="1">ROUND(T_Facebook_Ads1159636771757983[[#This Row],[impressions]]*RANDBETWEEN(8,12)/10,0)</f>
        <v>63158</v>
      </c>
      <c r="AY103">
        <f ca="1">ROUND(T_Facebook_Ads1159636771757983[[#This Row],[clicks]]*RANDBETWEEN(8,12)/10,0)</f>
        <v>211</v>
      </c>
      <c r="AZ103">
        <f ca="1">T_Facebook_Ads1159636771757983[[#This Row],[spend]]*RANDBETWEEN(8,12)/10</f>
        <v>96.48</v>
      </c>
      <c r="BA103">
        <f ca="1">ROUND(T_Facebook_Ads1159636771757983[[#This Row],[conversions]]*RANDBETWEEN(8,12)/10,0)</f>
        <v>3</v>
      </c>
      <c r="BB103">
        <f ca="1">ROUND(T_Facebook_Ads1159636771757983[[#This Row],[video_views]]*RANDBETWEEN(8,12)/10,0)</f>
        <v>39501</v>
      </c>
    </row>
    <row r="104" spans="1:54" ht="15.75" thickBot="1" x14ac:dyDescent="0.3">
      <c r="A104" s="3">
        <f t="shared" ca="1" si="14"/>
        <v>45156</v>
      </c>
      <c r="B104" s="4" t="s">
        <v>52</v>
      </c>
      <c r="C104" s="4" t="s">
        <v>53</v>
      </c>
      <c r="D104" s="4" t="s">
        <v>54</v>
      </c>
      <c r="E104" s="4" t="s">
        <v>55</v>
      </c>
      <c r="F104" s="4">
        <f ca="1">ROUND(T_Facebook_Ads[[#This Row],[impressions]]*RANDBETWEEN(8,12)/10,0)</f>
        <v>43101</v>
      </c>
      <c r="G104" s="4">
        <v>967</v>
      </c>
      <c r="H104" s="4">
        <f ca="1">T_Facebook_Ads[[#This Row],[spend]]*RANDBETWEEN(8,12)/10</f>
        <v>124.56000000000002</v>
      </c>
      <c r="I104" s="4">
        <f ca="1">ROUND(T_Facebook_Ads[[#This Row],[conversions]]*RANDBETWEEN(8,12)/10,0)</f>
        <v>12</v>
      </c>
      <c r="J104" s="4">
        <f ca="1">ROUND(T_Facebook_Ads[[#This Row],[video_views]]*RANDBETWEEN(8,12)/10,0)</f>
        <v>7910</v>
      </c>
      <c r="K104" s="4">
        <f ca="1">T_Facebook_Ads[[#This Row],[engagement_rate]]*RANDBETWEEN(8,12)/10</f>
        <v>2.2219999999999997E-2</v>
      </c>
      <c r="L104" s="4">
        <f ca="1">ROUND(T_Facebook_Ads[[#This Row],[reach]]*RANDBETWEEN(8,12)/10,0)</f>
        <v>44257</v>
      </c>
      <c r="M104" s="4">
        <f ca="1">T_Facebook_Ads[[#This Row],[frequency]]*RANDBETWEEN(8,12)/10</f>
        <v>1.3089999999999999</v>
      </c>
      <c r="O104" s="3">
        <f t="shared" ca="1" si="15"/>
        <v>45169</v>
      </c>
      <c r="P104" s="4" t="s">
        <v>76</v>
      </c>
      <c r="Q104" s="4" t="s">
        <v>77</v>
      </c>
      <c r="R104" s="4" t="s">
        <v>78</v>
      </c>
      <c r="S104" s="4" t="s">
        <v>79</v>
      </c>
      <c r="T104" s="4">
        <f ca="1">ROUND(_Google_ads[[#This Row],[impressions]]*RANDBETWEEN(8,12)/10,0)</f>
        <v>22401</v>
      </c>
      <c r="U104" s="4">
        <f ca="1">ROUND(_Google_ads[[#This Row],[clicks]]*RANDBETWEEN(8,12)/10,0)</f>
        <v>1022</v>
      </c>
      <c r="V104" s="4">
        <f ca="1">_Google_ads[[#This Row],[cost]]*RANDBETWEEN(8,12)/10</f>
        <v>293.03999999999996</v>
      </c>
      <c r="W104" s="4">
        <f ca="1">ROUND(_Google_ads[[#This Row],[conversions]]*RANDBETWEEN(8,12)/10,0)</f>
        <v>38</v>
      </c>
      <c r="X104" s="4">
        <f ca="1">ROUND(_Google_ads[[#This Row],[conversion_value]]*RANDBETWEEN(8,12)/10,0)</f>
        <v>2820</v>
      </c>
      <c r="Y104" s="4">
        <f ca="1">_Google_ads[[#This Row],[ctr]]*RANDBETWEEN(8,12)/10</f>
        <v>5.1299999999999998E-2</v>
      </c>
      <c r="Z104" s="4">
        <f ca="1">_Google_ads[[#This Row],[avg_cpc]]*RANDBETWEEN(8,12)/10</f>
        <v>0.19</v>
      </c>
      <c r="AA104" s="4">
        <f ca="1">ROUND(_Google_ads[[#This Row],[quality_score]]*RANDBETWEEN(8,12)/10,0)</f>
        <v>10</v>
      </c>
      <c r="AB104" s="4">
        <f ca="1">_Google_ads[[#This Row],[search_impression_share]]*RANDBETWEEN(8,12)/10</f>
        <v>0.72799999999999998</v>
      </c>
      <c r="AD104" s="3">
        <f t="shared" ca="1" si="16"/>
        <v>45152</v>
      </c>
      <c r="AE104" s="4" t="s">
        <v>100</v>
      </c>
      <c r="AF104" s="4" t="s">
        <v>101</v>
      </c>
      <c r="AG104" s="4" t="s">
        <v>102</v>
      </c>
      <c r="AH104" s="4" t="s">
        <v>103</v>
      </c>
      <c r="AI104" s="4">
        <f ca="1">ROUND(T_Tiktok_ads[[#This Row],[impressions]]*RANDBETWEEN(8,12)/10,0)</f>
        <v>289012</v>
      </c>
      <c r="AJ104" s="4">
        <f ca="1">ROUND(T_Tiktok_ads[[#This Row],[clicks]]*RANDBETWEEN(8,12)/10,0)</f>
        <v>3811</v>
      </c>
      <c r="AK104" s="4">
        <v>556.70000000000005</v>
      </c>
      <c r="AL104" s="4">
        <f ca="1">ROUND(T_Tiktok_ads[[#This Row],[conversions]]*RANDBETWEEN(8,12)/10,0)</f>
        <v>34</v>
      </c>
      <c r="AM104" s="4">
        <f ca="1">ROUND(T_Tiktok_ads[[#This Row],[video_views]]*RANDBETWEEN(8,12)/10,0)</f>
        <v>211110</v>
      </c>
      <c r="AN104" s="4">
        <f ca="1">ROUND(T_Tiktok_ads[[#This Row],[video_watch_25]]*RANDBETWEEN(8,12)/10,0)</f>
        <v>200580</v>
      </c>
      <c r="AO104" s="4">
        <f ca="1">ROUND(T_Tiktok_ads[[#This Row],[video_watch_50]]*RANDBETWEEN(8,12)/10,0)</f>
        <v>126024</v>
      </c>
      <c r="AP104" s="4">
        <f ca="1">ROUND(T_Tiktok_ads[[#This Row],[video_watch_75]]*RANDBETWEEN(8,12)/10,0)</f>
        <v>84957</v>
      </c>
      <c r="AQ104" s="4">
        <f ca="1">ROUND(T_Tiktok_ads[[#This Row],[video_watch_100]]*RANDBETWEEN(8,12)/10,0)</f>
        <v>46111</v>
      </c>
      <c r="AR104" s="4">
        <f ca="1">ROUND(T_Tiktok_ads[[#This Row],[likes]]*RANDBETWEEN(8,12)/10,0)</f>
        <v>11380</v>
      </c>
      <c r="AS104" s="4">
        <f ca="1">ROUND(T_Tiktok_ads[[#This Row],[shares]]*RANDBETWEEN(8,12)/10,0)</f>
        <v>2789</v>
      </c>
      <c r="AT104" s="4">
        <f ca="1">ROUND(T_Tiktok_ads[[#This Row],[comments]]*RANDBETWEEN(8,12)/10,0)</f>
        <v>590</v>
      </c>
      <c r="AV104" s="5">
        <f t="shared" ca="1" si="17"/>
        <v>45158</v>
      </c>
      <c r="AW104">
        <f t="shared" ca="1" si="13"/>
        <v>5</v>
      </c>
      <c r="AX104">
        <f ca="1">ROUND(T_Facebook_Ads1159636771757983[[#This Row],[impressions]]*RANDBETWEEN(8,12)/10,0)</f>
        <v>51721</v>
      </c>
      <c r="AY104">
        <f ca="1">ROUND(T_Facebook_Ads1159636771757983[[#This Row],[clicks]]*RANDBETWEEN(8,12)/10,0)</f>
        <v>870</v>
      </c>
      <c r="AZ104">
        <f ca="1">T_Facebook_Ads1159636771757983[[#This Row],[spend]]*RANDBETWEEN(8,12)/10</f>
        <v>99.64800000000001</v>
      </c>
      <c r="BA104">
        <f ca="1">ROUND(T_Facebook_Ads1159636771757983[[#This Row],[conversions]]*RANDBETWEEN(8,12)/10,0)</f>
        <v>11</v>
      </c>
      <c r="BB104">
        <f ca="1">ROUND(T_Facebook_Ads1159636771757983[[#This Row],[video_views]]*RANDBETWEEN(8,12)/10,0)</f>
        <v>9492</v>
      </c>
    </row>
    <row r="105" spans="1:54" ht="15.75" thickBot="1" x14ac:dyDescent="0.3">
      <c r="A105" s="3">
        <f t="shared" ca="1" si="14"/>
        <v>45140</v>
      </c>
      <c r="B105" s="4" t="s">
        <v>56</v>
      </c>
      <c r="C105" s="4" t="s">
        <v>57</v>
      </c>
      <c r="D105" s="4" t="s">
        <v>58</v>
      </c>
      <c r="E105" s="4" t="s">
        <v>59</v>
      </c>
      <c r="F105" s="4">
        <f ca="1">ROUND(T_Facebook_Ads[[#This Row],[impressions]]*RANDBETWEEN(8,12)/10,0)</f>
        <v>11911</v>
      </c>
      <c r="G105" s="4">
        <v>612</v>
      </c>
      <c r="H105" s="4">
        <f ca="1">T_Facebook_Ads[[#This Row],[spend]]*RANDBETWEEN(8,12)/10</f>
        <v>226.5</v>
      </c>
      <c r="I105" s="4">
        <f ca="1">ROUND(T_Facebook_Ads[[#This Row],[conversions]]*RANDBETWEEN(8,12)/10,0)</f>
        <v>35</v>
      </c>
      <c r="J105" s="4">
        <f ca="1">ROUND(T_Facebook_Ads[[#This Row],[video_views]]*RANDBETWEEN(8,12)/10,0)</f>
        <v>1480</v>
      </c>
      <c r="K105" s="4">
        <f ca="1">T_Facebook_Ads[[#This Row],[engagement_rate]]*RANDBETWEEN(8,12)/10</f>
        <v>3.7040000000000003E-2</v>
      </c>
      <c r="L105" s="4">
        <f ca="1">ROUND(T_Facebook_Ads[[#This Row],[reach]]*RANDBETWEEN(8,12)/10,0)</f>
        <v>11502</v>
      </c>
      <c r="M105" s="4">
        <f ca="1">T_Facebook_Ads[[#This Row],[frequency]]*RANDBETWEEN(8,12)/10</f>
        <v>1.27</v>
      </c>
      <c r="O105" s="3">
        <f t="shared" ca="1" si="15"/>
        <v>45139</v>
      </c>
      <c r="P105" s="4" t="s">
        <v>80</v>
      </c>
      <c r="Q105" s="4" t="s">
        <v>81</v>
      </c>
      <c r="R105" s="4" t="s">
        <v>82</v>
      </c>
      <c r="S105" s="4" t="s">
        <v>83</v>
      </c>
      <c r="T105" s="4">
        <f ca="1">ROUND(_Google_ads[[#This Row],[impressions]]*RANDBETWEEN(8,12)/10,0)</f>
        <v>44567</v>
      </c>
      <c r="U105" s="4">
        <f ca="1">ROUND(_Google_ads[[#This Row],[clicks]]*RANDBETWEEN(8,12)/10,0)</f>
        <v>966</v>
      </c>
      <c r="V105" s="4">
        <f ca="1">_Google_ads[[#This Row],[cost]]*RANDBETWEEN(8,12)/10</f>
        <v>513.72</v>
      </c>
      <c r="W105" s="4">
        <f ca="1">ROUND(_Google_ads[[#This Row],[conversions]]*RANDBETWEEN(8,12)/10,0)</f>
        <v>23</v>
      </c>
      <c r="X105" s="4">
        <f ca="1">ROUND(_Google_ads[[#This Row],[conversion_value]]*RANDBETWEEN(8,12)/10,0)</f>
        <v>1035</v>
      </c>
      <c r="Y105" s="4">
        <f ca="1">_Google_ads[[#This Row],[ctr]]*RANDBETWEEN(8,12)/10</f>
        <v>1.7729999999999999E-2</v>
      </c>
      <c r="Z105" s="4">
        <f ca="1">_Google_ads[[#This Row],[avg_cpc]]*RANDBETWEEN(8,12)/10</f>
        <v>0.65</v>
      </c>
      <c r="AA105" s="4">
        <f ca="1">ROUND(_Google_ads[[#This Row],[quality_score]]*RANDBETWEEN(8,12)/10,0)</f>
        <v>6</v>
      </c>
      <c r="AB105" s="4">
        <f ca="1">_Google_ads[[#This Row],[search_impression_share]]*RANDBETWEEN(8,12)/10</f>
        <v>0.35199999999999998</v>
      </c>
      <c r="AD105" s="3">
        <f t="shared" ca="1" si="16"/>
        <v>45164</v>
      </c>
      <c r="AE105" s="4" t="s">
        <v>104</v>
      </c>
      <c r="AF105" s="4" t="s">
        <v>105</v>
      </c>
      <c r="AG105" s="4" t="s">
        <v>106</v>
      </c>
      <c r="AH105" s="4" t="s">
        <v>107</v>
      </c>
      <c r="AI105" s="4">
        <f ca="1">ROUND(T_Tiktok_ads[[#This Row],[impressions]]*RANDBETWEEN(8,12)/10,0)</f>
        <v>125431</v>
      </c>
      <c r="AJ105" s="4">
        <f ca="1">ROUND(T_Tiktok_ads[[#This Row],[clicks]]*RANDBETWEEN(8,12)/10,0)</f>
        <v>3313</v>
      </c>
      <c r="AK105" s="4">
        <v>812.3</v>
      </c>
      <c r="AL105" s="4">
        <f ca="1">ROUND(T_Tiktok_ads[[#This Row],[conversions]]*RANDBETWEEN(8,12)/10,0)</f>
        <v>74</v>
      </c>
      <c r="AM105" s="4">
        <f ca="1">ROUND(T_Tiktok_ads[[#This Row],[video_views]]*RANDBETWEEN(8,12)/10,0)</f>
        <v>131851</v>
      </c>
      <c r="AN105" s="4">
        <f ca="1">ROUND(T_Tiktok_ads[[#This Row],[video_watch_25]]*RANDBETWEEN(8,12)/10,0)</f>
        <v>73111</v>
      </c>
      <c r="AO105" s="4">
        <f ca="1">ROUND(T_Tiktok_ads[[#This Row],[video_watch_50]]*RANDBETWEEN(8,12)/10,0)</f>
        <v>60146</v>
      </c>
      <c r="AP105" s="4">
        <f ca="1">ROUND(T_Tiktok_ads[[#This Row],[video_watch_75]]*RANDBETWEEN(8,12)/10,0)</f>
        <v>37111</v>
      </c>
      <c r="AQ105" s="4">
        <f ca="1">ROUND(T_Tiktok_ads[[#This Row],[video_watch_100]]*RANDBETWEEN(8,12)/10,0)</f>
        <v>33080</v>
      </c>
      <c r="AR105" s="4">
        <f ca="1">ROUND(T_Tiktok_ads[[#This Row],[likes]]*RANDBETWEEN(8,12)/10,0)</f>
        <v>6002</v>
      </c>
      <c r="AS105" s="4">
        <f ca="1">ROUND(T_Tiktok_ads[[#This Row],[shares]]*RANDBETWEEN(8,12)/10,0)</f>
        <v>1254</v>
      </c>
      <c r="AT105" s="4">
        <f ca="1">ROUND(T_Tiktok_ads[[#This Row],[comments]]*RANDBETWEEN(8,12)/10,0)</f>
        <v>347</v>
      </c>
      <c r="AV105" s="5">
        <f t="shared" ca="1" si="17"/>
        <v>45161</v>
      </c>
      <c r="AW105">
        <f t="shared" ca="1" si="13"/>
        <v>3</v>
      </c>
      <c r="AX105">
        <f ca="1">ROUND(T_Facebook_Ads1159636771757983[[#This Row],[impressions]]*RANDBETWEEN(8,12)/10,0)</f>
        <v>11911</v>
      </c>
      <c r="AY105">
        <f ca="1">ROUND(T_Facebook_Ads1159636771757983[[#This Row],[clicks]]*RANDBETWEEN(8,12)/10,0)</f>
        <v>490</v>
      </c>
      <c r="AZ105">
        <f ca="1">T_Facebook_Ads1159636771757983[[#This Row],[spend]]*RANDBETWEEN(8,12)/10</f>
        <v>249.15</v>
      </c>
      <c r="BA105">
        <f ca="1">ROUND(T_Facebook_Ads1159636771757983[[#This Row],[conversions]]*RANDBETWEEN(8,12)/10,0)</f>
        <v>32</v>
      </c>
      <c r="BB105">
        <f ca="1">ROUND(T_Facebook_Ads1159636771757983[[#This Row],[video_views]]*RANDBETWEEN(8,12)/10,0)</f>
        <v>1776</v>
      </c>
    </row>
    <row r="106" spans="1:54" ht="15.75" thickBot="1" x14ac:dyDescent="0.3">
      <c r="A106" s="3">
        <f t="shared" ca="1" si="14"/>
        <v>45145</v>
      </c>
      <c r="B106" s="4" t="s">
        <v>60</v>
      </c>
      <c r="C106" s="4" t="s">
        <v>61</v>
      </c>
      <c r="D106" s="4" t="s">
        <v>62</v>
      </c>
      <c r="E106" s="4" t="s">
        <v>63</v>
      </c>
      <c r="F106" s="4">
        <f ca="1">ROUND(T_Facebook_Ads[[#This Row],[impressions]]*RANDBETWEEN(8,12)/10,0)</f>
        <v>28987</v>
      </c>
      <c r="G106" s="4">
        <v>1334</v>
      </c>
      <c r="H106" s="4">
        <f ca="1">T_Facebook_Ads[[#This Row],[spend]]*RANDBETWEEN(8,12)/10</f>
        <v>224.07</v>
      </c>
      <c r="I106" s="4">
        <f ca="1">ROUND(T_Facebook_Ads[[#This Row],[conversions]]*RANDBETWEEN(8,12)/10,0)</f>
        <v>31</v>
      </c>
      <c r="J106" s="4">
        <f ca="1">ROUND(T_Facebook_Ads[[#This Row],[video_views]]*RANDBETWEEN(8,12)/10,0)</f>
        <v>3742</v>
      </c>
      <c r="K106" s="4">
        <f ca="1">T_Facebook_Ads[[#This Row],[engagement_rate]]*RANDBETWEEN(8,12)/10</f>
        <v>3.6799999999999999E-2</v>
      </c>
      <c r="L106" s="4">
        <f ca="1">ROUND(T_Facebook_Ads[[#This Row],[reach]]*RANDBETWEEN(8,12)/10,0)</f>
        <v>30123</v>
      </c>
      <c r="M106" s="4">
        <f ca="1">T_Facebook_Ads[[#This Row],[frequency]]*RANDBETWEEN(8,12)/10</f>
        <v>0.96</v>
      </c>
      <c r="O106" s="3">
        <f t="shared" ca="1" si="15"/>
        <v>45150</v>
      </c>
      <c r="P106" s="4" t="s">
        <v>84</v>
      </c>
      <c r="Q106" s="4" t="s">
        <v>85</v>
      </c>
      <c r="R106" s="4" t="s">
        <v>86</v>
      </c>
      <c r="S106" s="4" t="s">
        <v>87</v>
      </c>
      <c r="T106" s="4">
        <f ca="1">ROUND(_Google_ads[[#This Row],[impressions]]*RANDBETWEEN(8,12)/10,0)</f>
        <v>75302</v>
      </c>
      <c r="U106" s="4">
        <f ca="1">ROUND(_Google_ads[[#This Row],[clicks]]*RANDBETWEEN(8,12)/10,0)</f>
        <v>1831</v>
      </c>
      <c r="V106" s="4">
        <f ca="1">_Google_ads[[#This Row],[cost]]*RANDBETWEEN(8,12)/10</f>
        <v>503.4</v>
      </c>
      <c r="W106" s="4">
        <f ca="1">ROUND(_Google_ads[[#This Row],[conversions]]*RANDBETWEEN(8,12)/10,0)</f>
        <v>59</v>
      </c>
      <c r="X106" s="4">
        <f ca="1">ROUND(_Google_ads[[#This Row],[conversion_value]]*RANDBETWEEN(8,12)/10,0)</f>
        <v>3630</v>
      </c>
      <c r="Y106" s="4">
        <f ca="1">_Google_ads[[#This Row],[ctr]]*RANDBETWEEN(8,12)/10</f>
        <v>3.6740000000000002E-2</v>
      </c>
      <c r="Z106" s="4">
        <f ca="1">_Google_ads[[#This Row],[avg_cpc]]*RANDBETWEEN(8,12)/10</f>
        <v>0.19800000000000001</v>
      </c>
      <c r="AA106" s="4">
        <f ca="1">ROUND(_Google_ads[[#This Row],[quality_score]]*RANDBETWEEN(8,12)/10,0)</f>
        <v>6</v>
      </c>
      <c r="AB106" s="4">
        <f ca="1">_Google_ads[[#This Row],[search_impression_share]]*RANDBETWEEN(8,12)/10</f>
        <v>0.80400000000000005</v>
      </c>
      <c r="AD106" s="3">
        <f t="shared" ca="1" si="16"/>
        <v>45147</v>
      </c>
      <c r="AE106" s="4" t="s">
        <v>108</v>
      </c>
      <c r="AF106" s="4" t="s">
        <v>109</v>
      </c>
      <c r="AG106" s="4" t="s">
        <v>110</v>
      </c>
      <c r="AH106" s="4" t="s">
        <v>111</v>
      </c>
      <c r="AI106" s="4">
        <f ca="1">ROUND(T_Tiktok_ads[[#This Row],[impressions]]*RANDBETWEEN(8,12)/10,0)</f>
        <v>245678</v>
      </c>
      <c r="AJ106" s="4">
        <f ca="1">ROUND(T_Tiktok_ads[[#This Row],[clicks]]*RANDBETWEEN(8,12)/10,0)</f>
        <v>4668</v>
      </c>
      <c r="AK106" s="4">
        <v>467.8</v>
      </c>
      <c r="AL106" s="4">
        <f ca="1">ROUND(T_Tiktok_ads[[#This Row],[conversions]]*RANDBETWEEN(8,12)/10,0)</f>
        <v>27</v>
      </c>
      <c r="AM106" s="4">
        <f ca="1">ROUND(T_Tiktok_ads[[#This Row],[video_views]]*RANDBETWEEN(8,12)/10,0)</f>
        <v>195678</v>
      </c>
      <c r="AN106" s="4">
        <f ca="1">ROUND(T_Tiktok_ads[[#This Row],[video_watch_25]]*RANDBETWEEN(8,12)/10,0)</f>
        <v>163057</v>
      </c>
      <c r="AO106" s="4">
        <f ca="1">ROUND(T_Tiktok_ads[[#This Row],[video_watch_50]]*RANDBETWEEN(8,12)/10,0)</f>
        <v>105511</v>
      </c>
      <c r="AP106" s="4">
        <f ca="1">ROUND(T_Tiktok_ads[[#This Row],[video_watch_75]]*RANDBETWEEN(8,12)/10,0)</f>
        <v>67711</v>
      </c>
      <c r="AQ106" s="4">
        <f ca="1">ROUND(T_Tiktok_ads[[#This Row],[video_watch_100]]*RANDBETWEEN(8,12)/10,0)</f>
        <v>54947</v>
      </c>
      <c r="AR106" s="4">
        <f ca="1">ROUND(T_Tiktok_ads[[#This Row],[likes]]*RANDBETWEEN(8,12)/10,0)</f>
        <v>9424</v>
      </c>
      <c r="AS106" s="4">
        <f ca="1">ROUND(T_Tiktok_ads[[#This Row],[shares]]*RANDBETWEEN(8,12)/10,0)</f>
        <v>2580</v>
      </c>
      <c r="AT106" s="4">
        <f ca="1">ROUND(T_Tiktok_ads[[#This Row],[comments]]*RANDBETWEEN(8,12)/10,0)</f>
        <v>680</v>
      </c>
      <c r="AV106" s="5">
        <f t="shared" ca="1" si="17"/>
        <v>45142</v>
      </c>
      <c r="AW106">
        <f t="shared" ca="1" si="13"/>
        <v>8</v>
      </c>
      <c r="AX106">
        <f ca="1">ROUND(T_Facebook_Ads1159636771757983[[#This Row],[impressions]]*RANDBETWEEN(8,12)/10,0)</f>
        <v>26088</v>
      </c>
      <c r="AY106">
        <f ca="1">ROUND(T_Facebook_Ads1159636771757983[[#This Row],[clicks]]*RANDBETWEEN(8,12)/10,0)</f>
        <v>1201</v>
      </c>
      <c r="AZ106">
        <f ca="1">T_Facebook_Ads1159636771757983[[#This Row],[spend]]*RANDBETWEEN(8,12)/10</f>
        <v>201.66299999999998</v>
      </c>
      <c r="BA106">
        <f ca="1">ROUND(T_Facebook_Ads1159636771757983[[#This Row],[conversions]]*RANDBETWEEN(8,12)/10,0)</f>
        <v>28</v>
      </c>
      <c r="BB106">
        <f ca="1">ROUND(T_Facebook_Ads1159636771757983[[#This Row],[video_views]]*RANDBETWEEN(8,12)/10,0)</f>
        <v>2994</v>
      </c>
    </row>
    <row r="107" spans="1:54" ht="15.75" thickBot="1" x14ac:dyDescent="0.3">
      <c r="A107" s="3">
        <f t="shared" ca="1" si="14"/>
        <v>45154</v>
      </c>
      <c r="B107" s="4" t="s">
        <v>64</v>
      </c>
      <c r="C107" s="4" t="s">
        <v>65</v>
      </c>
      <c r="D107" s="4" t="s">
        <v>66</v>
      </c>
      <c r="E107" s="4" t="s">
        <v>67</v>
      </c>
      <c r="F107" s="4">
        <f ca="1">ROUND(T_Facebook_Ads[[#This Row],[impressions]]*RANDBETWEEN(8,12)/10,0)</f>
        <v>69567</v>
      </c>
      <c r="G107" s="4">
        <v>253</v>
      </c>
      <c r="H107" s="4">
        <f ca="1">T_Facebook_Ads[[#This Row],[spend]]*RANDBETWEEN(8,12)/10</f>
        <v>88.7</v>
      </c>
      <c r="I107" s="4">
        <f ca="1">ROUND(T_Facebook_Ads[[#This Row],[conversions]]*RANDBETWEEN(8,12)/10,0)</f>
        <v>7</v>
      </c>
      <c r="J107" s="4">
        <f ca="1">ROUND(T_Facebook_Ads[[#This Row],[video_views]]*RANDBETWEEN(8,12)/10,0)</f>
        <v>56268</v>
      </c>
      <c r="K107" s="4">
        <f ca="1">T_Facebook_Ads[[#This Row],[engagement_rate]]*RANDBETWEEN(8,12)/10</f>
        <v>3.96E-3</v>
      </c>
      <c r="L107" s="4">
        <f ca="1">ROUND(T_Facebook_Ads[[#This Row],[reach]]*RANDBETWEEN(8,12)/10,0)</f>
        <v>57123</v>
      </c>
      <c r="M107" s="4">
        <f ca="1">T_Facebook_Ads[[#This Row],[frequency]]*RANDBETWEEN(8,12)/10</f>
        <v>1.0980000000000001</v>
      </c>
      <c r="O107" s="3">
        <f t="shared" ca="1" si="15"/>
        <v>45147</v>
      </c>
      <c r="P107" s="4" t="s">
        <v>88</v>
      </c>
      <c r="Q107" s="4" t="s">
        <v>89</v>
      </c>
      <c r="R107" s="4" t="s">
        <v>90</v>
      </c>
      <c r="S107" s="4" t="s">
        <v>59</v>
      </c>
      <c r="T107" s="4">
        <f ca="1">ROUND(_Google_ads[[#This Row],[impressions]]*RANDBETWEEN(8,12)/10,0)</f>
        <v>144357</v>
      </c>
      <c r="U107" s="4">
        <f ca="1">ROUND(_Google_ads[[#This Row],[clicks]]*RANDBETWEEN(8,12)/10,0)</f>
        <v>560</v>
      </c>
      <c r="V107" s="4">
        <f ca="1">_Google_ads[[#This Row],[cost]]*RANDBETWEEN(8,12)/10</f>
        <v>116.01000000000002</v>
      </c>
      <c r="W107" s="4">
        <f ca="1">ROUND(_Google_ads[[#This Row],[conversions]]*RANDBETWEEN(8,12)/10,0)</f>
        <v>10</v>
      </c>
      <c r="X107" s="4">
        <f ca="1">ROUND(_Google_ads[[#This Row],[conversion_value]]*RANDBETWEEN(8,12)/10,0)</f>
        <v>780</v>
      </c>
      <c r="Y107" s="4">
        <f ca="1">_Google_ads[[#This Row],[ctr]]*RANDBETWEEN(8,12)/10</f>
        <v>3.5999999999999999E-3</v>
      </c>
      <c r="Z107" s="4">
        <f ca="1">_Google_ads[[#This Row],[avg_cpc]]*RANDBETWEEN(8,12)/10</f>
        <v>0.22400000000000003</v>
      </c>
      <c r="AA107" s="4">
        <f ca="1">ROUND(_Google_ads[[#This Row],[quality_score]]*RANDBETWEEN(8,12)/10,0)</f>
        <v>6</v>
      </c>
      <c r="AB107" s="4">
        <f ca="1">_Google_ads[[#This Row],[search_impression_share]]*RANDBETWEEN(8,12)/10</f>
        <v>0.40800000000000003</v>
      </c>
      <c r="AD107" s="3">
        <f t="shared" ca="1" si="16"/>
        <v>45151</v>
      </c>
      <c r="AE107" s="4" t="s">
        <v>112</v>
      </c>
      <c r="AF107" s="4" t="s">
        <v>113</v>
      </c>
      <c r="AG107" s="4" t="s">
        <v>114</v>
      </c>
      <c r="AH107" s="4" t="s">
        <v>115</v>
      </c>
      <c r="AI107" s="4">
        <f ca="1">ROUND(T_Tiktok_ads[[#This Row],[impressions]]*RANDBETWEEN(8,12)/10,0)</f>
        <v>338765</v>
      </c>
      <c r="AJ107" s="4">
        <f ca="1">ROUND(T_Tiktok_ads[[#This Row],[clicks]]*RANDBETWEEN(8,12)/10,0)</f>
        <v>8268</v>
      </c>
      <c r="AK107" s="4">
        <v>1056.8</v>
      </c>
      <c r="AL107" s="4">
        <f ca="1">ROUND(T_Tiktok_ads[[#This Row],[conversions]]*RANDBETWEEN(8,12)/10,0)</f>
        <v>86</v>
      </c>
      <c r="AM107" s="4">
        <f ca="1">ROUND(T_Tiktok_ads[[#This Row],[video_views]]*RANDBETWEEN(8,12)/10,0)</f>
        <v>321110</v>
      </c>
      <c r="AN107" s="4">
        <f ca="1">ROUND(T_Tiktok_ads[[#This Row],[video_watch_25]]*RANDBETWEEN(8,12)/10,0)</f>
        <v>318157</v>
      </c>
      <c r="AO107" s="4">
        <f ca="1">ROUND(T_Tiktok_ads[[#This Row],[video_watch_50]]*RANDBETWEEN(8,12)/10,0)</f>
        <v>185165</v>
      </c>
      <c r="AP107" s="4">
        <f ca="1">ROUND(T_Tiktok_ads[[#This Row],[video_watch_75]]*RANDBETWEEN(8,12)/10,0)</f>
        <v>164567</v>
      </c>
      <c r="AQ107" s="4">
        <f ca="1">ROUND(T_Tiktok_ads[[#This Row],[video_watch_100]]*RANDBETWEEN(8,12)/10,0)</f>
        <v>131081</v>
      </c>
      <c r="AR107" s="4">
        <f ca="1">ROUND(T_Tiktok_ads[[#This Row],[likes]]*RANDBETWEEN(8,12)/10,0)</f>
        <v>18890</v>
      </c>
      <c r="AS107" s="4">
        <f ca="1">ROUND(T_Tiktok_ads[[#This Row],[shares]]*RANDBETWEEN(8,12)/10,0)</f>
        <v>4910</v>
      </c>
      <c r="AT107" s="4">
        <f ca="1">ROUND(T_Tiktok_ads[[#This Row],[comments]]*RANDBETWEEN(8,12)/10,0)</f>
        <v>1191</v>
      </c>
      <c r="AV107" s="5">
        <f t="shared" ca="1" si="17"/>
        <v>45152</v>
      </c>
      <c r="AW107">
        <f t="shared" ca="1" si="13"/>
        <v>2</v>
      </c>
      <c r="AX107">
        <f ca="1">ROUND(T_Facebook_Ads1159636771757983[[#This Row],[impressions]]*RANDBETWEEN(8,12)/10,0)</f>
        <v>62610</v>
      </c>
      <c r="AY107">
        <f ca="1">ROUND(T_Facebook_Ads1159636771757983[[#This Row],[clicks]]*RANDBETWEEN(8,12)/10,0)</f>
        <v>304</v>
      </c>
      <c r="AZ107">
        <f ca="1">T_Facebook_Ads1159636771757983[[#This Row],[spend]]*RANDBETWEEN(8,12)/10</f>
        <v>97.570000000000007</v>
      </c>
      <c r="BA107">
        <f ca="1">ROUND(T_Facebook_Ads1159636771757983[[#This Row],[conversions]]*RANDBETWEEN(8,12)/10,0)</f>
        <v>7</v>
      </c>
      <c r="BB107">
        <f ca="1">ROUND(T_Facebook_Ads1159636771757983[[#This Row],[video_views]]*RANDBETWEEN(8,12)/10,0)</f>
        <v>61895</v>
      </c>
    </row>
    <row r="108" spans="1:54" ht="15.75" thickBot="1" x14ac:dyDescent="0.3">
      <c r="A108" s="3">
        <f t="shared" ca="1" si="14"/>
        <v>45161</v>
      </c>
      <c r="B108" s="4" t="s">
        <v>52</v>
      </c>
      <c r="C108" s="4" t="s">
        <v>53</v>
      </c>
      <c r="D108" s="4" t="s">
        <v>54</v>
      </c>
      <c r="E108" s="4" t="s">
        <v>55</v>
      </c>
      <c r="F108" s="4">
        <f ca="1">ROUND(T_Facebook_Ads[[#This Row],[impressions]]*RANDBETWEEN(8,12)/10,0)</f>
        <v>49234</v>
      </c>
      <c r="G108" s="4">
        <v>1001</v>
      </c>
      <c r="H108" s="4">
        <f ca="1">T_Facebook_Ads[[#This Row],[spend]]*RANDBETWEEN(8,12)/10</f>
        <v>128.52000000000001</v>
      </c>
      <c r="I108" s="4">
        <f ca="1">ROUND(T_Facebook_Ads[[#This Row],[conversions]]*RANDBETWEEN(8,12)/10,0)</f>
        <v>14</v>
      </c>
      <c r="J108" s="4">
        <f ca="1">ROUND(T_Facebook_Ads[[#This Row],[video_views]]*RANDBETWEEN(8,12)/10,0)</f>
        <v>7210</v>
      </c>
      <c r="K108" s="4">
        <f ca="1">T_Facebook_Ads[[#This Row],[engagement_rate]]*RANDBETWEEN(8,12)/10</f>
        <v>1.8269999999999998E-2</v>
      </c>
      <c r="L108" s="4">
        <f ca="1">ROUND(T_Facebook_Ads[[#This Row],[reach]]*RANDBETWEEN(8,12)/10,0)</f>
        <v>33254</v>
      </c>
      <c r="M108" s="4">
        <f ca="1">T_Facebook_Ads[[#This Row],[frequency]]*RANDBETWEEN(8,12)/10</f>
        <v>1.18</v>
      </c>
      <c r="O108" s="3">
        <f t="shared" ca="1" si="15"/>
        <v>45162</v>
      </c>
      <c r="P108" s="4" t="s">
        <v>76</v>
      </c>
      <c r="Q108" s="4" t="s">
        <v>77</v>
      </c>
      <c r="R108" s="4" t="s">
        <v>78</v>
      </c>
      <c r="S108" s="4" t="s">
        <v>79</v>
      </c>
      <c r="T108" s="4">
        <f ca="1">ROUND(_Google_ads[[#This Row],[impressions]]*RANDBETWEEN(8,12)/10,0)</f>
        <v>25456</v>
      </c>
      <c r="U108" s="4">
        <f ca="1">ROUND(_Google_ads[[#This Row],[clicks]]*RANDBETWEEN(8,12)/10,0)</f>
        <v>1601</v>
      </c>
      <c r="V108" s="4">
        <f ca="1">_Google_ads[[#This Row],[cost]]*RANDBETWEEN(8,12)/10</f>
        <v>203.68</v>
      </c>
      <c r="W108" s="4">
        <f ca="1">ROUND(_Google_ads[[#This Row],[conversions]]*RANDBETWEEN(8,12)/10,0)</f>
        <v>50</v>
      </c>
      <c r="X108" s="4">
        <f ca="1">ROUND(_Google_ads[[#This Row],[conversion_value]]*RANDBETWEEN(8,12)/10,0)</f>
        <v>2000</v>
      </c>
      <c r="Y108" s="4">
        <f ca="1">_Google_ads[[#This Row],[ctr]]*RANDBETWEEN(8,12)/10</f>
        <v>5.7640000000000004E-2</v>
      </c>
      <c r="Z108" s="4">
        <f ca="1">_Google_ads[[#This Row],[avg_cpc]]*RANDBETWEEN(8,12)/10</f>
        <v>0.19</v>
      </c>
      <c r="AA108" s="4">
        <f ca="1">ROUND(_Google_ads[[#This Row],[quality_score]]*RANDBETWEEN(8,12)/10,0)</f>
        <v>9</v>
      </c>
      <c r="AB108" s="4">
        <f ca="1">_Google_ads[[#This Row],[search_impression_share]]*RANDBETWEEN(8,12)/10</f>
        <v>0.92000000000000015</v>
      </c>
      <c r="AD108" s="3">
        <f t="shared" ca="1" si="16"/>
        <v>45164</v>
      </c>
      <c r="AE108" s="4" t="s">
        <v>100</v>
      </c>
      <c r="AF108" s="4" t="s">
        <v>101</v>
      </c>
      <c r="AG108" s="4" t="s">
        <v>102</v>
      </c>
      <c r="AH108" s="4" t="s">
        <v>103</v>
      </c>
      <c r="AI108" s="4">
        <f ca="1">ROUND(T_Tiktok_ads[[#This Row],[impressions]]*RANDBETWEEN(8,12)/10,0)</f>
        <v>354814</v>
      </c>
      <c r="AJ108" s="4">
        <f ca="1">ROUND(T_Tiktok_ads[[#This Row],[clicks]]*RANDBETWEEN(8,12)/10,0)</f>
        <v>4345</v>
      </c>
      <c r="AK108" s="4">
        <v>573.20000000000005</v>
      </c>
      <c r="AL108" s="4">
        <f ca="1">ROUND(T_Tiktok_ads[[#This Row],[conversions]]*RANDBETWEEN(8,12)/10,0)</f>
        <v>40</v>
      </c>
      <c r="AM108" s="4">
        <f ca="1">ROUND(T_Tiktok_ads[[#This Row],[video_views]]*RANDBETWEEN(8,12)/10,0)</f>
        <v>289481</v>
      </c>
      <c r="AN108" s="4">
        <f ca="1">ROUND(T_Tiktok_ads[[#This Row],[video_watch_25]]*RANDBETWEEN(8,12)/10,0)</f>
        <v>150587</v>
      </c>
      <c r="AO108" s="4">
        <f ca="1">ROUND(T_Tiktok_ads[[#This Row],[video_watch_50]]*RANDBETWEEN(8,12)/10,0)</f>
        <v>129679</v>
      </c>
      <c r="AP108" s="4">
        <f ca="1">ROUND(T_Tiktok_ads[[#This Row],[video_watch_75]]*RANDBETWEEN(8,12)/10,0)</f>
        <v>71311</v>
      </c>
      <c r="AQ108" s="4">
        <f ca="1">ROUND(T_Tiktok_ads[[#This Row],[video_watch_100]]*RANDBETWEEN(8,12)/10,0)</f>
        <v>63347</v>
      </c>
      <c r="AR108" s="4">
        <f ca="1">ROUND(T_Tiktok_ads[[#This Row],[likes]]*RANDBETWEEN(8,12)/10,0)</f>
        <v>11624</v>
      </c>
      <c r="AS108" s="4">
        <f ca="1">ROUND(T_Tiktok_ads[[#This Row],[shares]]*RANDBETWEEN(8,12)/10,0)</f>
        <v>2856</v>
      </c>
      <c r="AT108" s="4">
        <f ca="1">ROUND(T_Tiktok_ads[[#This Row],[comments]]*RANDBETWEEN(8,12)/10,0)</f>
        <v>667</v>
      </c>
      <c r="AV108" s="5">
        <f t="shared" ca="1" si="17"/>
        <v>45140</v>
      </c>
      <c r="AW108">
        <f t="shared" ca="1" si="13"/>
        <v>8</v>
      </c>
      <c r="AX108">
        <f ca="1">ROUND(T_Facebook_Ads1159636771757983[[#This Row],[impressions]]*RANDBETWEEN(8,12)/10,0)</f>
        <v>49234</v>
      </c>
      <c r="AY108">
        <f ca="1">ROUND(T_Facebook_Ads1159636771757983[[#This Row],[clicks]]*RANDBETWEEN(8,12)/10,0)</f>
        <v>1001</v>
      </c>
      <c r="AZ108">
        <f ca="1">T_Facebook_Ads1159636771757983[[#This Row],[spend]]*RANDBETWEEN(8,12)/10</f>
        <v>128.52000000000001</v>
      </c>
      <c r="BA108">
        <f ca="1">ROUND(T_Facebook_Ads1159636771757983[[#This Row],[conversions]]*RANDBETWEEN(8,12)/10,0)</f>
        <v>11</v>
      </c>
      <c r="BB108">
        <f ca="1">ROUND(T_Facebook_Ads1159636771757983[[#This Row],[video_views]]*RANDBETWEEN(8,12)/10,0)</f>
        <v>7210</v>
      </c>
    </row>
    <row r="109" spans="1:54" ht="15.75" thickBot="1" x14ac:dyDescent="0.3">
      <c r="A109" s="3">
        <f t="shared" ca="1" si="14"/>
        <v>45151</v>
      </c>
      <c r="B109" s="4" t="s">
        <v>56</v>
      </c>
      <c r="C109" s="4" t="s">
        <v>57</v>
      </c>
      <c r="D109" s="4" t="s">
        <v>58</v>
      </c>
      <c r="E109" s="4" t="s">
        <v>59</v>
      </c>
      <c r="F109" s="4">
        <f ca="1">ROUND(T_Facebook_Ads[[#This Row],[impressions]]*RANDBETWEEN(8,12)/10,0)</f>
        <v>11298</v>
      </c>
      <c r="G109" s="4">
        <v>645</v>
      </c>
      <c r="H109" s="4">
        <f ca="1">T_Facebook_Ads[[#This Row],[spend]]*RANDBETWEEN(8,12)/10</f>
        <v>236.9</v>
      </c>
      <c r="I109" s="4">
        <f ca="1">ROUND(T_Facebook_Ads[[#This Row],[conversions]]*RANDBETWEEN(8,12)/10,0)</f>
        <v>41</v>
      </c>
      <c r="J109" s="4">
        <f ca="1">ROUND(T_Facebook_Ads[[#This Row],[video_views]]*RANDBETWEEN(8,12)/10,0)</f>
        <v>1281</v>
      </c>
      <c r="K109" s="4">
        <f ca="1">T_Facebook_Ads[[#This Row],[engagement_rate]]*RANDBETWEEN(8,12)/10</f>
        <v>4.113E-2</v>
      </c>
      <c r="L109" s="4">
        <f ca="1">ROUND(T_Facebook_Ads[[#This Row],[reach]]*RANDBETWEEN(8,12)/10,0)</f>
        <v>8898</v>
      </c>
      <c r="M109" s="4">
        <f ca="1">T_Facebook_Ads[[#This Row],[frequency]]*RANDBETWEEN(8,12)/10</f>
        <v>1.524</v>
      </c>
      <c r="O109" s="3">
        <f t="shared" ca="1" si="15"/>
        <v>45154</v>
      </c>
      <c r="P109" s="4" t="s">
        <v>80</v>
      </c>
      <c r="Q109" s="4" t="s">
        <v>81</v>
      </c>
      <c r="R109" s="4" t="s">
        <v>82</v>
      </c>
      <c r="S109" s="4" t="s">
        <v>83</v>
      </c>
      <c r="T109" s="4">
        <f ca="1">ROUND(_Google_ads[[#This Row],[impressions]]*RANDBETWEEN(8,12)/10,0)</f>
        <v>55068</v>
      </c>
      <c r="U109" s="4">
        <f ca="1">ROUND(_Google_ads[[#This Row],[clicks]]*RANDBETWEEN(8,12)/10,0)</f>
        <v>912</v>
      </c>
      <c r="V109" s="4">
        <f ca="1">_Google_ads[[#This Row],[cost]]*RANDBETWEEN(8,12)/10</f>
        <v>646.47</v>
      </c>
      <c r="W109" s="4">
        <f ca="1">ROUND(_Google_ads[[#This Row],[conversions]]*RANDBETWEEN(8,12)/10,0)</f>
        <v>26</v>
      </c>
      <c r="X109" s="4">
        <f ca="1">ROUND(_Google_ads[[#This Row],[conversion_value]]*RANDBETWEEN(8,12)/10,0)</f>
        <v>1320</v>
      </c>
      <c r="Y109" s="4">
        <f ca="1">_Google_ads[[#This Row],[ctr]]*RANDBETWEEN(8,12)/10</f>
        <v>1.9900000000000001E-2</v>
      </c>
      <c r="Z109" s="4">
        <f ca="1">_Google_ads[[#This Row],[avg_cpc]]*RANDBETWEEN(8,12)/10</f>
        <v>0.57599999999999996</v>
      </c>
      <c r="AA109" s="4">
        <f ca="1">ROUND(_Google_ads[[#This Row],[quality_score]]*RANDBETWEEN(8,12)/10,0)</f>
        <v>6</v>
      </c>
      <c r="AB109" s="4">
        <f ca="1">_Google_ads[[#This Row],[search_impression_share]]*RANDBETWEEN(8,12)/10</f>
        <v>0.40499999999999997</v>
      </c>
      <c r="AD109" s="3">
        <f t="shared" ca="1" si="16"/>
        <v>45146</v>
      </c>
      <c r="AE109" s="4" t="s">
        <v>104</v>
      </c>
      <c r="AF109" s="4" t="s">
        <v>105</v>
      </c>
      <c r="AG109" s="4" t="s">
        <v>106</v>
      </c>
      <c r="AH109" s="4" t="s">
        <v>107</v>
      </c>
      <c r="AI109" s="4">
        <f ca="1">ROUND(T_Tiktok_ads[[#This Row],[impressions]]*RANDBETWEEN(8,12)/10,0)</f>
        <v>193481</v>
      </c>
      <c r="AJ109" s="4">
        <f ca="1">ROUND(T_Tiktok_ads[[#This Row],[clicks]]*RANDBETWEEN(8,12)/10,0)</f>
        <v>3089</v>
      </c>
      <c r="AK109" s="4">
        <v>823.7</v>
      </c>
      <c r="AL109" s="4">
        <f ca="1">ROUND(T_Tiktok_ads[[#This Row],[conversions]]*RANDBETWEEN(8,12)/10,0)</f>
        <v>83</v>
      </c>
      <c r="AM109" s="4">
        <f ca="1">ROUND(T_Tiktok_ads[[#This Row],[video_views]]*RANDBETWEEN(8,12)/10,0)</f>
        <v>124802</v>
      </c>
      <c r="AN109" s="4">
        <f ca="1">ROUND(T_Tiktok_ads[[#This Row],[video_watch_25]]*RANDBETWEEN(8,12)/10,0)</f>
        <v>91924</v>
      </c>
      <c r="AO109" s="4">
        <f ca="1">ROUND(T_Tiktok_ads[[#This Row],[video_watch_50]]*RANDBETWEEN(8,12)/10,0)</f>
        <v>56234</v>
      </c>
      <c r="AP109" s="4">
        <f ca="1">ROUND(T_Tiktok_ads[[#This Row],[video_watch_75]]*RANDBETWEEN(8,12)/10,0)</f>
        <v>33876</v>
      </c>
      <c r="AQ109" s="4">
        <f ca="1">ROUND(T_Tiktok_ads[[#This Row],[video_watch_100]]*RANDBETWEEN(8,12)/10,0)</f>
        <v>25411</v>
      </c>
      <c r="AR109" s="4">
        <f ca="1">ROUND(T_Tiktok_ads[[#This Row],[likes]]*RANDBETWEEN(8,12)/10,0)</f>
        <v>4418</v>
      </c>
      <c r="AS109" s="4">
        <f ca="1">ROUND(T_Tiktok_ads[[#This Row],[shares]]*RANDBETWEEN(8,12)/10,0)</f>
        <v>1271</v>
      </c>
      <c r="AT109" s="4">
        <f ca="1">ROUND(T_Tiktok_ads[[#This Row],[comments]]*RANDBETWEEN(8,12)/10,0)</f>
        <v>301</v>
      </c>
      <c r="AV109" s="5">
        <f t="shared" ca="1" si="17"/>
        <v>45159</v>
      </c>
      <c r="AW109">
        <f t="shared" ca="1" si="13"/>
        <v>8</v>
      </c>
      <c r="AX109">
        <f ca="1">ROUND(T_Facebook_Ads1159636771757983[[#This Row],[impressions]]*RANDBETWEEN(8,12)/10,0)</f>
        <v>13558</v>
      </c>
      <c r="AY109">
        <f ca="1">ROUND(T_Facebook_Ads1159636771757983[[#This Row],[clicks]]*RANDBETWEEN(8,12)/10,0)</f>
        <v>645</v>
      </c>
      <c r="AZ109">
        <f ca="1">T_Facebook_Ads1159636771757983[[#This Row],[spend]]*RANDBETWEEN(8,12)/10</f>
        <v>236.9</v>
      </c>
      <c r="BA109">
        <f ca="1">ROUND(T_Facebook_Ads1159636771757983[[#This Row],[conversions]]*RANDBETWEEN(8,12)/10,0)</f>
        <v>41</v>
      </c>
      <c r="BB109">
        <f ca="1">ROUND(T_Facebook_Ads1159636771757983[[#This Row],[video_views]]*RANDBETWEEN(8,12)/10,0)</f>
        <v>1537</v>
      </c>
    </row>
    <row r="110" spans="1:54" ht="15.75" thickBot="1" x14ac:dyDescent="0.3">
      <c r="A110" s="3">
        <f t="shared" ca="1" si="14"/>
        <v>45169</v>
      </c>
      <c r="B110" s="4" t="s">
        <v>60</v>
      </c>
      <c r="C110" s="4" t="s">
        <v>61</v>
      </c>
      <c r="D110" s="4" t="s">
        <v>62</v>
      </c>
      <c r="E110" s="4" t="s">
        <v>63</v>
      </c>
      <c r="F110" s="4">
        <f ca="1">ROUND(T_Facebook_Ads[[#This Row],[impressions]]*RANDBETWEEN(8,12)/10,0)</f>
        <v>41679</v>
      </c>
      <c r="G110" s="4">
        <v>1412</v>
      </c>
      <c r="H110" s="4">
        <f ca="1">T_Facebook_Ads[[#This Row],[spend]]*RANDBETWEEN(8,12)/10</f>
        <v>238.15</v>
      </c>
      <c r="I110" s="4">
        <f ca="1">ROUND(T_Facebook_Ads[[#This Row],[conversions]]*RANDBETWEEN(8,12)/10,0)</f>
        <v>27</v>
      </c>
      <c r="J110" s="4">
        <f ca="1">ROUND(T_Facebook_Ads[[#This Row],[video_views]]*RANDBETWEEN(8,12)/10,0)</f>
        <v>4460</v>
      </c>
      <c r="K110" s="4">
        <f ca="1">T_Facebook_Ads[[#This Row],[engagement_rate]]*RANDBETWEEN(8,12)/10</f>
        <v>4.1029999999999997E-2</v>
      </c>
      <c r="L110" s="4">
        <f ca="1">ROUND(T_Facebook_Ads[[#This Row],[reach]]*RANDBETWEEN(8,12)/10,0)</f>
        <v>33979</v>
      </c>
      <c r="M110" s="4">
        <f ca="1">T_Facebook_Ads[[#This Row],[frequency]]*RANDBETWEEN(8,12)/10</f>
        <v>1.23</v>
      </c>
      <c r="O110" s="3">
        <f t="shared" ca="1" si="15"/>
        <v>45158</v>
      </c>
      <c r="P110" s="4" t="s">
        <v>84</v>
      </c>
      <c r="Q110" s="4" t="s">
        <v>85</v>
      </c>
      <c r="R110" s="4" t="s">
        <v>86</v>
      </c>
      <c r="S110" s="4" t="s">
        <v>87</v>
      </c>
      <c r="T110" s="4">
        <f ca="1">ROUND(_Google_ads[[#This Row],[impressions]]*RANDBETWEEN(8,12)/10,0)</f>
        <v>77257</v>
      </c>
      <c r="U110" s="4">
        <f ca="1">ROUND(_Google_ads[[#This Row],[clicks]]*RANDBETWEEN(8,12)/10,0)</f>
        <v>2604</v>
      </c>
      <c r="V110" s="4">
        <f ca="1">_Google_ads[[#This Row],[cost]]*RANDBETWEEN(8,12)/10</f>
        <v>388.89</v>
      </c>
      <c r="W110" s="4">
        <f ca="1">ROUND(_Google_ads[[#This Row],[conversions]]*RANDBETWEEN(8,12)/10,0)</f>
        <v>82</v>
      </c>
      <c r="X110" s="4">
        <f ca="1">ROUND(_Google_ads[[#This Row],[conversion_value]]*RANDBETWEEN(8,12)/10,0)</f>
        <v>3400</v>
      </c>
      <c r="Y110" s="4">
        <f ca="1">_Google_ads[[#This Row],[ctr]]*RANDBETWEEN(8,12)/10</f>
        <v>3.0330000000000003E-2</v>
      </c>
      <c r="Z110" s="4">
        <f ca="1">_Google_ads[[#This Row],[avg_cpc]]*RANDBETWEEN(8,12)/10</f>
        <v>0.16199999999999998</v>
      </c>
      <c r="AA110" s="4">
        <f ca="1">ROUND(_Google_ads[[#This Row],[quality_score]]*RANDBETWEEN(8,12)/10,0)</f>
        <v>6</v>
      </c>
      <c r="AB110" s="4">
        <f ca="1">_Google_ads[[#This Row],[search_impression_share]]*RANDBETWEEN(8,12)/10</f>
        <v>0.60299999999999998</v>
      </c>
      <c r="AD110" s="3">
        <f t="shared" ca="1" si="16"/>
        <v>45160</v>
      </c>
      <c r="AE110" s="4" t="s">
        <v>108</v>
      </c>
      <c r="AF110" s="4" t="s">
        <v>109</v>
      </c>
      <c r="AG110" s="4" t="s">
        <v>110</v>
      </c>
      <c r="AH110" s="4" t="s">
        <v>111</v>
      </c>
      <c r="AI110" s="4">
        <f ca="1">ROUND(T_Tiktok_ads[[#This Row],[impressions]]*RANDBETWEEN(8,12)/10,0)</f>
        <v>226111</v>
      </c>
      <c r="AJ110" s="4">
        <f ca="1">ROUND(T_Tiktok_ads[[#This Row],[clicks]]*RANDBETWEEN(8,12)/10,0)</f>
        <v>3570</v>
      </c>
      <c r="AK110" s="4">
        <v>481.5</v>
      </c>
      <c r="AL110" s="4">
        <f ca="1">ROUND(T_Tiktok_ads[[#This Row],[conversions]]*RANDBETWEEN(8,12)/10,0)</f>
        <v>28</v>
      </c>
      <c r="AM110" s="4">
        <f ca="1">ROUND(T_Tiktok_ads[[#This Row],[video_views]]*RANDBETWEEN(8,12)/10,0)</f>
        <v>198901</v>
      </c>
      <c r="AN110" s="4">
        <f ca="1">ROUND(T_Tiktok_ads[[#This Row],[video_watch_25]]*RANDBETWEEN(8,12)/10,0)</f>
        <v>165624</v>
      </c>
      <c r="AO110" s="4">
        <f ca="1">ROUND(T_Tiktok_ads[[#This Row],[video_watch_50]]*RANDBETWEEN(8,12)/10,0)</f>
        <v>95387</v>
      </c>
      <c r="AP110" s="4">
        <f ca="1">ROUND(T_Tiktok_ads[[#This Row],[video_watch_75]]*RANDBETWEEN(8,12)/10,0)</f>
        <v>84579</v>
      </c>
      <c r="AQ110" s="4">
        <f ca="1">ROUND(T_Tiktok_ads[[#This Row],[video_watch_100]]*RANDBETWEEN(8,12)/10,0)</f>
        <v>46567</v>
      </c>
      <c r="AR110" s="4">
        <f ca="1">ROUND(T_Tiktok_ads[[#This Row],[likes]]*RANDBETWEEN(8,12)/10,0)</f>
        <v>7810</v>
      </c>
      <c r="AS110" s="4">
        <f ca="1">ROUND(T_Tiktok_ads[[#This Row],[shares]]*RANDBETWEEN(8,12)/10,0)</f>
        <v>2378</v>
      </c>
      <c r="AT110" s="4">
        <f ca="1">ROUND(T_Tiktok_ads[[#This Row],[comments]]*RANDBETWEEN(8,12)/10,0)</f>
        <v>500</v>
      </c>
      <c r="AV110" s="5">
        <f t="shared" ca="1" si="17"/>
        <v>45146</v>
      </c>
      <c r="AW110">
        <f t="shared" ca="1" si="13"/>
        <v>7</v>
      </c>
      <c r="AX110">
        <f ca="1">ROUND(T_Facebook_Ads1159636771757983[[#This Row],[impressions]]*RANDBETWEEN(8,12)/10,0)</f>
        <v>50015</v>
      </c>
      <c r="AY110">
        <f ca="1">ROUND(T_Facebook_Ads1159636771757983[[#This Row],[clicks]]*RANDBETWEEN(8,12)/10,0)</f>
        <v>1412</v>
      </c>
      <c r="AZ110">
        <f ca="1">T_Facebook_Ads1159636771757983[[#This Row],[spend]]*RANDBETWEEN(8,12)/10</f>
        <v>190.52</v>
      </c>
      <c r="BA110">
        <f ca="1">ROUND(T_Facebook_Ads1159636771757983[[#This Row],[conversions]]*RANDBETWEEN(8,12)/10,0)</f>
        <v>32</v>
      </c>
      <c r="BB110">
        <f ca="1">ROUND(T_Facebook_Ads1159636771757983[[#This Row],[video_views]]*RANDBETWEEN(8,12)/10,0)</f>
        <v>4906</v>
      </c>
    </row>
    <row r="111" spans="1:54" x14ac:dyDescent="0.25">
      <c r="A111" s="3">
        <f t="shared" ca="1" si="14"/>
        <v>45156</v>
      </c>
      <c r="B111" s="4" t="s">
        <v>64</v>
      </c>
      <c r="C111" s="4" t="s">
        <v>65</v>
      </c>
      <c r="D111" s="4" t="s">
        <v>66</v>
      </c>
      <c r="E111" s="4" t="s">
        <v>67</v>
      </c>
      <c r="F111" s="4">
        <f ca="1">ROUND(T_Facebook_Ads[[#This Row],[impressions]]*RANDBETWEEN(8,12)/10,0)</f>
        <v>86548</v>
      </c>
      <c r="G111" s="4">
        <v>261</v>
      </c>
      <c r="H111" s="4">
        <f ca="1">T_Facebook_Ads[[#This Row],[spend]]*RANDBETWEEN(8,12)/10</f>
        <v>109.55999999999999</v>
      </c>
      <c r="I111" s="4">
        <f ca="1">ROUND(T_Facebook_Ads[[#This Row],[conversions]]*RANDBETWEEN(8,12)/10,0)</f>
        <v>6</v>
      </c>
      <c r="J111" s="4">
        <f ca="1">ROUND(T_Facebook_Ads[[#This Row],[video_views]]*RANDBETWEEN(8,12)/10,0)</f>
        <v>43710</v>
      </c>
      <c r="K111" s="4">
        <f ca="1">T_Facebook_Ads[[#This Row],[engagement_rate]]*RANDBETWEEN(8,12)/10</f>
        <v>3.2399999999999998E-3</v>
      </c>
      <c r="L111" s="4">
        <f ca="1">ROUND(T_Facebook_Ads[[#This Row],[reach]]*RANDBETWEEN(8,12)/10,0)</f>
        <v>70668</v>
      </c>
      <c r="M111" s="4">
        <f ca="1">T_Facebook_Ads[[#This Row],[frequency]]*RANDBETWEEN(8,12)/10</f>
        <v>1.3420000000000001</v>
      </c>
      <c r="O111" s="3">
        <f t="shared" ca="1" si="15"/>
        <v>45146</v>
      </c>
      <c r="P111" s="4" t="s">
        <v>88</v>
      </c>
      <c r="Q111" s="4" t="s">
        <v>89</v>
      </c>
      <c r="R111" s="4" t="s">
        <v>90</v>
      </c>
      <c r="S111" s="4" t="s">
        <v>59</v>
      </c>
      <c r="T111" s="4">
        <f ca="1">ROUND(_Google_ads[[#This Row],[impressions]]*RANDBETWEEN(8,12)/10,0)</f>
        <v>146802</v>
      </c>
      <c r="U111" s="4">
        <f ca="1">ROUND(_Google_ads[[#This Row],[clicks]]*RANDBETWEEN(8,12)/10,0)</f>
        <v>574</v>
      </c>
      <c r="V111" s="4">
        <f ca="1">_Google_ads[[#This Row],[cost]]*RANDBETWEEN(8,12)/10</f>
        <v>118.08</v>
      </c>
      <c r="W111" s="4">
        <f ca="1">ROUND(_Google_ads[[#This Row],[conversions]]*RANDBETWEEN(8,12)/10,0)</f>
        <v>14</v>
      </c>
      <c r="X111" s="4">
        <f ca="1">ROUND(_Google_ads[[#This Row],[conversion_value]]*RANDBETWEEN(8,12)/10,0)</f>
        <v>700</v>
      </c>
      <c r="Y111" s="4">
        <f ca="1">_Google_ads[[#This Row],[ctr]]*RANDBETWEEN(8,12)/10</f>
        <v>3.5999999999999999E-3</v>
      </c>
      <c r="Z111" s="4">
        <f ca="1">_Google_ads[[#This Row],[avg_cpc]]*RANDBETWEEN(8,12)/10</f>
        <v>0.24300000000000002</v>
      </c>
      <c r="AA111" s="4">
        <f ca="1">ROUND(_Google_ads[[#This Row],[quality_score]]*RANDBETWEEN(8,12)/10,0)</f>
        <v>8</v>
      </c>
      <c r="AB111" s="4">
        <f ca="1">_Google_ads[[#This Row],[search_impression_share]]*RANDBETWEEN(8,12)/10</f>
        <v>0.315</v>
      </c>
      <c r="AD111" s="3">
        <f t="shared" ca="1" si="16"/>
        <v>45152</v>
      </c>
      <c r="AE111" s="4" t="s">
        <v>112</v>
      </c>
      <c r="AF111" s="4" t="s">
        <v>113</v>
      </c>
      <c r="AG111" s="4" t="s">
        <v>114</v>
      </c>
      <c r="AH111" s="4" t="s">
        <v>115</v>
      </c>
      <c r="AI111" s="4">
        <f ca="1">ROUND(T_Tiktok_ads[[#This Row],[impressions]]*RANDBETWEEN(8,12)/10,0)</f>
        <v>478024</v>
      </c>
      <c r="AJ111" s="4">
        <f ca="1">ROUND(T_Tiktok_ads[[#This Row],[clicks]]*RANDBETWEEN(8,12)/10,0)</f>
        <v>8414</v>
      </c>
      <c r="AK111" s="4">
        <v>1089.3</v>
      </c>
      <c r="AL111" s="4">
        <f ca="1">ROUND(T_Tiktok_ads[[#This Row],[conversions]]*RANDBETWEEN(8,12)/10,0)</f>
        <v>98</v>
      </c>
      <c r="AM111" s="4">
        <f ca="1">ROUND(T_Tiktok_ads[[#This Row],[video_views]]*RANDBETWEEN(8,12)/10,0)</f>
        <v>441468</v>
      </c>
      <c r="AN111" s="4">
        <f ca="1">ROUND(T_Tiktok_ads[[#This Row],[video_watch_25]]*RANDBETWEEN(8,12)/10,0)</f>
        <v>236987</v>
      </c>
      <c r="AO111" s="4">
        <f ca="1">ROUND(T_Tiktok_ads[[#This Row],[video_watch_50]]*RANDBETWEEN(8,12)/10,0)</f>
        <v>237890</v>
      </c>
      <c r="AP111" s="4">
        <f ca="1">ROUND(T_Tiktok_ads[[#This Row],[video_watch_75]]*RANDBETWEEN(8,12)/10,0)</f>
        <v>134587</v>
      </c>
      <c r="AQ111" s="4">
        <f ca="1">ROUND(T_Tiktok_ads[[#This Row],[video_watch_100]]*RANDBETWEEN(8,12)/10,0)</f>
        <v>133481</v>
      </c>
      <c r="AR111" s="4">
        <f ca="1">ROUND(T_Tiktok_ads[[#This Row],[likes]]*RANDBETWEEN(8,12)/10,0)</f>
        <v>15387</v>
      </c>
      <c r="AS111" s="4">
        <f ca="1">ROUND(T_Tiktok_ads[[#This Row],[shares]]*RANDBETWEEN(8,12)/10,0)</f>
        <v>6087</v>
      </c>
      <c r="AT111" s="4">
        <f ca="1">ROUND(T_Tiktok_ads[[#This Row],[comments]]*RANDBETWEEN(8,12)/10,0)</f>
        <v>1523</v>
      </c>
      <c r="AV111" s="5">
        <f t="shared" ca="1" si="17"/>
        <v>45156</v>
      </c>
      <c r="AW111">
        <f t="shared" ca="1" si="13"/>
        <v>8</v>
      </c>
      <c r="AX111">
        <f ca="1">ROUND(T_Facebook_Ads1159636771757983[[#This Row],[impressions]]*RANDBETWEEN(8,12)/10,0)</f>
        <v>86548</v>
      </c>
      <c r="AY111">
        <f ca="1">ROUND(T_Facebook_Ads1159636771757983[[#This Row],[clicks]]*RANDBETWEEN(8,12)/10,0)</f>
        <v>261</v>
      </c>
      <c r="AZ111">
        <f ca="1">T_Facebook_Ads1159636771757983[[#This Row],[spend]]*RANDBETWEEN(8,12)/10</f>
        <v>131.47199999999998</v>
      </c>
      <c r="BA111">
        <f ca="1">ROUND(T_Facebook_Ads1159636771757983[[#This Row],[conversions]]*RANDBETWEEN(8,12)/10,0)</f>
        <v>6</v>
      </c>
      <c r="BB111">
        <f ca="1">ROUND(T_Facebook_Ads1159636771757983[[#This Row],[video_views]]*RANDBETWEEN(8,12)/10,0)</f>
        <v>48081</v>
      </c>
    </row>
  </sheetData>
  <pageMargins left="0.7" right="0.7" top="0.75" bottom="0.75" header="0.3" footer="0.3"/>
  <pageSetup orientation="portrait" r:id="rId1"/>
  <tableParts count="4">
    <tablePart r:id="rId2"/>
    <tablePart r:id="rId3"/>
    <tablePart r:id="rId4"/>
    <tablePart r:id="rId5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BD6D9-9CA1-4EC6-B3ED-E1AF3941ECDD}">
  <dimension ref="A1:BB111"/>
  <sheetViews>
    <sheetView topLeftCell="AI1" workbookViewId="0">
      <selection activeCell="AY3" sqref="AY3"/>
    </sheetView>
  </sheetViews>
  <sheetFormatPr baseColWidth="10" defaultRowHeight="15" x14ac:dyDescent="0.25"/>
  <cols>
    <col min="2" max="2" width="14.42578125" customWidth="1"/>
    <col min="3" max="3" width="19.85546875" bestFit="1" customWidth="1"/>
    <col min="5" max="5" width="18.28515625" bestFit="1" customWidth="1"/>
    <col min="6" max="6" width="13.7109375" customWidth="1"/>
    <col min="9" max="10" width="13.7109375" customWidth="1"/>
    <col min="11" max="11" width="18.42578125" customWidth="1"/>
    <col min="13" max="13" width="12" customWidth="1"/>
    <col min="16" max="16" width="14.42578125" customWidth="1"/>
    <col min="17" max="17" width="18.5703125" bestFit="1" customWidth="1"/>
    <col min="18" max="18" width="14" customWidth="1"/>
    <col min="19" max="19" width="17.140625" customWidth="1"/>
    <col min="20" max="20" width="13.7109375" customWidth="1"/>
    <col min="21" max="21" width="8.140625" customWidth="1"/>
    <col min="22" max="22" width="6.85546875" customWidth="1"/>
    <col min="23" max="23" width="13.7109375" customWidth="1"/>
    <col min="24" max="24" width="18.42578125" customWidth="1"/>
    <col min="25" max="25" width="6.140625" bestFit="1" customWidth="1"/>
    <col min="26" max="26" width="10.28515625" customWidth="1"/>
    <col min="27" max="27" width="14.85546875" customWidth="1"/>
    <col min="28" max="28" width="25" customWidth="1"/>
    <col min="29" max="29" width="6.85546875" customWidth="1"/>
    <col min="30" max="30" width="8.42578125" bestFit="1" customWidth="1"/>
    <col min="31" max="31" width="14.42578125" customWidth="1"/>
    <col min="32" max="32" width="17.5703125" customWidth="1"/>
    <col min="33" max="33" width="13.140625" customWidth="1"/>
    <col min="34" max="34" width="16.28515625" customWidth="1"/>
    <col min="35" max="35" width="13.7109375" customWidth="1"/>
    <col min="36" max="36" width="8.140625" customWidth="1"/>
    <col min="37" max="37" width="6.85546875" customWidth="1"/>
    <col min="38" max="39" width="13.7109375" customWidth="1"/>
    <col min="40" max="42" width="17" customWidth="1"/>
    <col min="43" max="43" width="18" customWidth="1"/>
    <col min="44" max="44" width="7.140625" customWidth="1"/>
    <col min="45" max="45" width="8.7109375" customWidth="1"/>
    <col min="46" max="46" width="12.42578125" customWidth="1"/>
    <col min="49" max="49" width="14.28515625" customWidth="1"/>
    <col min="50" max="50" width="13.85546875" customWidth="1"/>
    <col min="53" max="53" width="13.7109375" customWidth="1"/>
    <col min="54" max="54" width="14.28515625" customWidth="1"/>
  </cols>
  <sheetData>
    <row r="1" spans="1:54" ht="15.75" thickBot="1" x14ac:dyDescent="0.3">
      <c r="A1" s="2" t="s">
        <v>39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  <c r="O1" s="2" t="s">
        <v>39</v>
      </c>
      <c r="P1" s="1" t="s">
        <v>40</v>
      </c>
      <c r="Q1" s="1" t="s">
        <v>41</v>
      </c>
      <c r="R1" s="1" t="s">
        <v>68</v>
      </c>
      <c r="S1" s="1" t="s">
        <v>69</v>
      </c>
      <c r="T1" s="1" t="s">
        <v>44</v>
      </c>
      <c r="U1" s="1" t="s">
        <v>45</v>
      </c>
      <c r="V1" s="1" t="s">
        <v>70</v>
      </c>
      <c r="W1" s="1" t="s">
        <v>47</v>
      </c>
      <c r="X1" s="1" t="s">
        <v>71</v>
      </c>
      <c r="Y1" s="1" t="s">
        <v>72</v>
      </c>
      <c r="Z1" s="1" t="s">
        <v>73</v>
      </c>
      <c r="AA1" s="1" t="s">
        <v>74</v>
      </c>
      <c r="AB1" s="1" t="s">
        <v>75</v>
      </c>
      <c r="AD1" s="2" t="s">
        <v>39</v>
      </c>
      <c r="AE1" s="1" t="s">
        <v>40</v>
      </c>
      <c r="AF1" s="1" t="s">
        <v>41</v>
      </c>
      <c r="AG1" s="1" t="s">
        <v>91</v>
      </c>
      <c r="AH1" s="1" t="s">
        <v>92</v>
      </c>
      <c r="AI1" s="1" t="s">
        <v>44</v>
      </c>
      <c r="AJ1" s="1" t="s">
        <v>45</v>
      </c>
      <c r="AK1" s="1" t="s">
        <v>70</v>
      </c>
      <c r="AL1" s="1" t="s">
        <v>47</v>
      </c>
      <c r="AM1" s="1" t="s">
        <v>48</v>
      </c>
      <c r="AN1" s="1" t="s">
        <v>93</v>
      </c>
      <c r="AO1" s="1" t="s">
        <v>94</v>
      </c>
      <c r="AP1" s="1" t="s">
        <v>95</v>
      </c>
      <c r="AQ1" s="1" t="s">
        <v>96</v>
      </c>
      <c r="AR1" s="1" t="s">
        <v>97</v>
      </c>
      <c r="AS1" s="1" t="s">
        <v>98</v>
      </c>
      <c r="AT1" s="1" t="s">
        <v>99</v>
      </c>
      <c r="AV1" t="s">
        <v>39</v>
      </c>
      <c r="AW1" t="s">
        <v>40</v>
      </c>
      <c r="AX1" t="s">
        <v>44</v>
      </c>
      <c r="AY1" t="s">
        <v>45</v>
      </c>
      <c r="AZ1" t="s">
        <v>46</v>
      </c>
      <c r="BA1" t="s">
        <v>47</v>
      </c>
      <c r="BB1" t="s">
        <v>48</v>
      </c>
    </row>
    <row r="2" spans="1:54" ht="15.75" thickBot="1" x14ac:dyDescent="0.3">
      <c r="A2" s="3">
        <f t="shared" ref="A2:A33" ca="1" si="0">DATE(2023,9,RANDBETWEEN(1,30))</f>
        <v>45181</v>
      </c>
      <c r="B2" s="4" t="s">
        <v>52</v>
      </c>
      <c r="C2" s="4" t="s">
        <v>53</v>
      </c>
      <c r="D2" s="4" t="s">
        <v>54</v>
      </c>
      <c r="E2" s="4" t="s">
        <v>55</v>
      </c>
      <c r="F2" s="4">
        <f ca="1">ROUND(T_Facebook_Ads[[#This Row],[impressions]]*RANDBETWEEN(8,12)/10,0)</f>
        <v>41061</v>
      </c>
      <c r="G2" s="4">
        <f ca="1">ROUND(T_Facebook_Ads[[#This Row],[clicks]]*RANDBETWEEN(8,12)/10,0)</f>
        <v>714</v>
      </c>
      <c r="H2" s="4">
        <f ca="1">T_Facebook_Ads[[#This Row],[spend]]*RANDBETWEEN(8,12)/10</f>
        <v>114.75</v>
      </c>
      <c r="I2" s="4">
        <f ca="1">ROUND(T_Facebook_Ads[[#This Row],[conversions]]*RANDBETWEEN(8,12)/10,0)</f>
        <v>10</v>
      </c>
      <c r="J2" s="4">
        <f ca="1">ROUND(T_Facebook_Ads[[#This Row],[video_views]]*RANDBETWEEN(8,12)/10,0)</f>
        <v>6587</v>
      </c>
      <c r="K2" s="4">
        <f ca="1">T_Facebook_Ads[[#This Row],[engagement_rate]]*RANDBETWEEN(8,12)/10</f>
        <v>2.145E-2</v>
      </c>
      <c r="L2" s="4">
        <f ca="1">ROUND(T_Facebook_Ads[[#This Row],[reach]]*RANDBETWEEN(8,12)/10,0)</f>
        <v>34411</v>
      </c>
      <c r="M2" s="4">
        <f ca="1">T_Facebook_Ads[[#This Row],[frequency]]*RANDBETWEEN(8,12)/10</f>
        <v>1.19</v>
      </c>
      <c r="O2" s="3">
        <f t="shared" ref="O2:O33" ca="1" si="1">DATE(2023,9,RANDBETWEEN(1,30))</f>
        <v>45173</v>
      </c>
      <c r="P2" s="4" t="s">
        <v>76</v>
      </c>
      <c r="Q2" s="4" t="s">
        <v>77</v>
      </c>
      <c r="R2" s="4" t="s">
        <v>78</v>
      </c>
      <c r="S2" s="4" t="s">
        <v>79</v>
      </c>
      <c r="T2" s="4">
        <f ca="1">ROUND(_Google_ads[[#This Row],[impressions]]*RANDBETWEEN(8,12)/10,0)</f>
        <v>21110</v>
      </c>
      <c r="U2" s="4">
        <f ca="1">ROUND(_Google_ads[[#This Row],[clicks]]*RANDBETWEEN(8,12)/10,0)</f>
        <v>1234</v>
      </c>
      <c r="V2" s="4">
        <f ca="1">_Google_ads[[#This Row],[cost]]*RANDBETWEEN(8,12)/10</f>
        <v>257.95</v>
      </c>
      <c r="W2" s="4">
        <f ca="1">ROUND(_Google_ads[[#This Row],[conversions]]*RANDBETWEEN(8,12)/10,0)</f>
        <v>45</v>
      </c>
      <c r="X2" s="4">
        <f ca="1">ROUND(_Google_ads[[#This Row],[conversion_value]]*RANDBETWEEN(8,12)/10,0)</f>
        <v>1800</v>
      </c>
      <c r="Y2" s="4">
        <f ca="1">_Google_ads[[#This Row],[ctr]]*RANDBETWEEN(8,12)/10</f>
        <v>5.7860000000000002E-2</v>
      </c>
      <c r="Z2" s="4">
        <f ca="1">_Google_ads[[#This Row],[avg_cpc]]*RANDBETWEEN(8,12)/10</f>
        <v>0.17099999999999999</v>
      </c>
      <c r="AA2" s="4">
        <f ca="1">ROUND(_Google_ads[[#This Row],[quality_score]]*RANDBETWEEN(8,12)/10,0)</f>
        <v>9</v>
      </c>
      <c r="AB2" s="4">
        <f ca="1">_Google_ads[[#This Row],[search_impression_share]]*RANDBETWEEN(8,12)/10</f>
        <v>0.92000000000000015</v>
      </c>
      <c r="AD2" s="3">
        <f t="shared" ref="AD2:AD33" ca="1" si="2">DATE(2023,9,RANDBETWEEN(1,30))</f>
        <v>45187</v>
      </c>
      <c r="AE2" s="4" t="s">
        <v>100</v>
      </c>
      <c r="AF2" s="4" t="s">
        <v>101</v>
      </c>
      <c r="AG2" s="4" t="s">
        <v>102</v>
      </c>
      <c r="AH2" s="4" t="s">
        <v>103</v>
      </c>
      <c r="AI2" s="4">
        <f ca="1">ROUND(T_Tiktok_ads[[#This Row],[impressions]]*RANDBETWEEN(8,12)/10,0)</f>
        <v>187654</v>
      </c>
      <c r="AJ2" s="4">
        <f ca="1">ROUND(T_Tiktok_ads[[#This Row],[clicks]]*RANDBETWEEN(8,12)/10,0)</f>
        <v>2765</v>
      </c>
      <c r="AK2" s="4">
        <f ca="1">T_Tiktok_ads[[#This Row],[cost]]*RANDBETWEEN(8,12)/10</f>
        <v>502.37</v>
      </c>
      <c r="AL2" s="4">
        <f ca="1">ROUND(T_Tiktok_ads[[#This Row],[conversions]]*RANDBETWEEN(8,12)/10,0)</f>
        <v>37</v>
      </c>
      <c r="AM2" s="4">
        <f ca="1">ROUND(T_Tiktok_ads[[#This Row],[video_views]]*RANDBETWEEN(8,12)/10,0)</f>
        <v>218057</v>
      </c>
      <c r="AN2" s="4">
        <f ca="1">ROUND(T_Tiktok_ads[[#This Row],[video_watch_25]]*RANDBETWEEN(8,12)/10,0)</f>
        <v>156234</v>
      </c>
      <c r="AO2" s="4">
        <f ca="1">ROUND(T_Tiktok_ads[[#This Row],[video_watch_50]]*RANDBETWEEN(8,12)/10,0)</f>
        <v>98234</v>
      </c>
      <c r="AP2" s="4">
        <f ca="1">ROUND(T_Tiktok_ads[[#This Row],[video_watch_75]]*RANDBETWEEN(8,12)/10,0)</f>
        <v>73957</v>
      </c>
      <c r="AQ2" s="4">
        <f ca="1">ROUND(T_Tiktok_ads[[#This Row],[video_watch_100]]*RANDBETWEEN(8,12)/10,0)</f>
        <v>40711</v>
      </c>
      <c r="AR2" s="4">
        <f ca="1">ROUND(T_Tiktok_ads[[#This Row],[likes]]*RANDBETWEEN(8,12)/10,0)</f>
        <v>10708</v>
      </c>
      <c r="AS2" s="4">
        <f ca="1">ROUND(T_Tiktok_ads[[#This Row],[shares]]*RANDBETWEEN(8,12)/10,0)</f>
        <v>1876</v>
      </c>
      <c r="AT2" s="4">
        <f ca="1">ROUND(T_Tiktok_ads[[#This Row],[comments]]*RANDBETWEEN(8,12)/10,0)</f>
        <v>680</v>
      </c>
      <c r="AV2" s="3">
        <f t="shared" ref="AV2:AV33" ca="1" si="3">DATE(2023,9,RANDBETWEEN(1,30))</f>
        <v>45196</v>
      </c>
      <c r="AW2">
        <f ca="1">RANDBETWEEN(1,8)</f>
        <v>5</v>
      </c>
      <c r="AX2">
        <f ca="1">ROUND(T_Facebook_Ads115963677175798387[[#This Row],[impressions]]*RANDBETWEEN(8,12)/10,0)</f>
        <v>49273</v>
      </c>
      <c r="AY2">
        <f ca="1">ROUND(T_Facebook_Ads115963677175798387[[#This Row],[clicks]]*RANDBETWEEN(8,12)/10,0)</f>
        <v>857</v>
      </c>
      <c r="AZ2">
        <f ca="1">T_Facebook_Ads115963677175798387[[#This Row],[spend]]*RANDBETWEEN(8,12)/10</f>
        <v>137.69999999999999</v>
      </c>
      <c r="BA2">
        <f ca="1">ROUND(T_Facebook_Ads115963677175798387[[#This Row],[conversions]]*RANDBETWEEN(8,12)/10,0)</f>
        <v>11</v>
      </c>
      <c r="BB2">
        <f ca="1">ROUND(T_Facebook_Ads115963677175798387[[#This Row],[video_views]]*RANDBETWEEN(8,12)/10,0)</f>
        <v>7246</v>
      </c>
    </row>
    <row r="3" spans="1:54" ht="15.75" thickBot="1" x14ac:dyDescent="0.3">
      <c r="A3" s="3">
        <f t="shared" ca="1" si="0"/>
        <v>45185</v>
      </c>
      <c r="B3" s="4" t="s">
        <v>56</v>
      </c>
      <c r="C3" s="4" t="s">
        <v>57</v>
      </c>
      <c r="D3" s="4" t="s">
        <v>58</v>
      </c>
      <c r="E3" s="4" t="s">
        <v>59</v>
      </c>
      <c r="F3" s="4">
        <f ca="1">ROUND(T_Facebook_Ads[[#This Row],[impressions]]*RANDBETWEEN(8,12)/10,0)</f>
        <v>9965</v>
      </c>
      <c r="G3" s="4">
        <v>567</v>
      </c>
      <c r="H3" s="4">
        <f ca="1">T_Facebook_Ads[[#This Row],[spend]]*RANDBETWEEN(8,12)/10</f>
        <v>215.8</v>
      </c>
      <c r="I3" s="4">
        <f ca="1">ROUND(T_Facebook_Ads[[#This Row],[conversions]]*RANDBETWEEN(8,12)/10,0)</f>
        <v>41</v>
      </c>
      <c r="J3" s="4">
        <f ca="1">ROUND(T_Facebook_Ads[[#This Row],[video_views]]*RANDBETWEEN(8,12)/10,0)</f>
        <v>1357</v>
      </c>
      <c r="K3" s="4">
        <f ca="1">T_Facebook_Ads[[#This Row],[engagement_rate]]*RANDBETWEEN(8,12)/10</f>
        <v>3.6400000000000002E-2</v>
      </c>
      <c r="L3" s="4">
        <f ca="1">ROUND(T_Facebook_Ads[[#This Row],[reach]]*RANDBETWEEN(8,12)/10,0)</f>
        <v>7901</v>
      </c>
      <c r="M3" s="4">
        <f ca="1">T_Facebook_Ads[[#This Row],[frequency]]*RANDBETWEEN(8,12)/10</f>
        <v>1.3859999999999999</v>
      </c>
      <c r="O3" s="3">
        <f t="shared" ca="1" si="1"/>
        <v>45176</v>
      </c>
      <c r="P3" s="4" t="s">
        <v>80</v>
      </c>
      <c r="Q3" s="4" t="s">
        <v>81</v>
      </c>
      <c r="R3" s="4" t="s">
        <v>82</v>
      </c>
      <c r="S3" s="4" t="s">
        <v>83</v>
      </c>
      <c r="T3" s="4">
        <f ca="1">ROUND(_Google_ads[[#This Row],[impressions]]*RANDBETWEEN(8,12)/10,0)</f>
        <v>54814</v>
      </c>
      <c r="U3" s="4">
        <f ca="1">ROUND(_Google_ads[[#This Row],[clicks]]*RANDBETWEEN(8,12)/10,0)</f>
        <v>1068</v>
      </c>
      <c r="V3" s="4">
        <f ca="1">_Google_ads[[#This Row],[cost]]*RANDBETWEEN(8,12)/10</f>
        <v>624.57999999999993</v>
      </c>
      <c r="W3" s="4">
        <f ca="1">ROUND(_Google_ads[[#This Row],[conversions]]*RANDBETWEEN(8,12)/10,0)</f>
        <v>18</v>
      </c>
      <c r="X3" s="4">
        <f ca="1">ROUND(_Google_ads[[#This Row],[conversion_value]]*RANDBETWEEN(8,12)/10,0)</f>
        <v>1380</v>
      </c>
      <c r="Y3" s="4">
        <f ca="1">_Google_ads[[#This Row],[ctr]]*RANDBETWEEN(8,12)/10</f>
        <v>1.755E-2</v>
      </c>
      <c r="Z3" s="4">
        <f ca="1">_Google_ads[[#This Row],[avg_cpc]]*RANDBETWEEN(8,12)/10</f>
        <v>0.64</v>
      </c>
      <c r="AA3" s="4">
        <f ca="1">ROUND(_Google_ads[[#This Row],[quality_score]]*RANDBETWEEN(8,12)/10,0)</f>
        <v>7</v>
      </c>
      <c r="AB3" s="4">
        <f ca="1">_Google_ads[[#This Row],[search_impression_share]]*RANDBETWEEN(8,12)/10</f>
        <v>0.45</v>
      </c>
      <c r="AD3" s="3">
        <f t="shared" ca="1" si="2"/>
        <v>45177</v>
      </c>
      <c r="AE3" s="4" t="s">
        <v>104</v>
      </c>
      <c r="AF3" s="4" t="s">
        <v>105</v>
      </c>
      <c r="AG3" s="4" t="s">
        <v>106</v>
      </c>
      <c r="AH3" s="4" t="s">
        <v>107</v>
      </c>
      <c r="AI3" s="4">
        <f ca="1">ROUND(T_Tiktok_ads[[#This Row],[impressions]]*RANDBETWEEN(8,12)/10,0)</f>
        <v>123456</v>
      </c>
      <c r="AJ3" s="4">
        <f ca="1">ROUND(T_Tiktok_ads[[#This Row],[clicks]]*RANDBETWEEN(8,12)/10,0)</f>
        <v>2814</v>
      </c>
      <c r="AK3" s="4">
        <v>678.9</v>
      </c>
      <c r="AL3" s="4">
        <f ca="1">ROUND(T_Tiktok_ads[[#This Row],[conversions]]*RANDBETWEEN(8,12)/10,0)</f>
        <v>74</v>
      </c>
      <c r="AM3" s="4">
        <f ca="1">ROUND(T_Tiktok_ads[[#This Row],[video_views]]*RANDBETWEEN(8,12)/10,0)</f>
        <v>107081</v>
      </c>
      <c r="AN3" s="4">
        <f ca="1">ROUND(T_Tiktok_ads[[#This Row],[video_watch_25]]*RANDBETWEEN(8,12)/10,0)</f>
        <v>67234</v>
      </c>
      <c r="AO3" s="4">
        <f ca="1">ROUND(T_Tiktok_ads[[#This Row],[video_watch_50]]*RANDBETWEEN(8,12)/10,0)</f>
        <v>54281</v>
      </c>
      <c r="AP3" s="4">
        <f ca="1">ROUND(T_Tiktok_ads[[#This Row],[video_watch_75]]*RANDBETWEEN(8,12)/10,0)</f>
        <v>30811</v>
      </c>
      <c r="AQ3" s="4">
        <f ca="1">ROUND(T_Tiktok_ads[[#This Row],[video_watch_100]]*RANDBETWEEN(8,12)/10,0)</f>
        <v>23456</v>
      </c>
      <c r="AR3" s="4">
        <f ca="1">ROUND(T_Tiktok_ads[[#This Row],[likes]]*RANDBETWEEN(8,12)/10,0)</f>
        <v>4110</v>
      </c>
      <c r="AS3" s="4">
        <f ca="1">ROUND(T_Tiktok_ads[[#This Row],[shares]]*RANDBETWEEN(8,12)/10,0)</f>
        <v>1357</v>
      </c>
      <c r="AT3" s="4">
        <f ca="1">ROUND(T_Tiktok_ads[[#This Row],[comments]]*RANDBETWEEN(8,12)/10,0)</f>
        <v>211</v>
      </c>
      <c r="AV3" s="5">
        <f t="shared" ca="1" si="3"/>
        <v>45175</v>
      </c>
      <c r="AW3">
        <f t="shared" ref="AW3:AW66" ca="1" si="4">RANDBETWEEN(1,8)</f>
        <v>5</v>
      </c>
      <c r="AX3">
        <f ca="1">ROUND(T_Facebook_Ads115963677175798387[[#This Row],[impressions]]*RANDBETWEEN(8,12)/10,0)</f>
        <v>11958</v>
      </c>
      <c r="AY3">
        <f ca="1">ROUND(T_Facebook_Ads115963677175798387[[#This Row],[clicks]]*RANDBETWEEN(8,12)/10,0)</f>
        <v>680</v>
      </c>
      <c r="AZ3">
        <f ca="1">T_Facebook_Ads115963677175798387[[#This Row],[spend]]*RANDBETWEEN(8,12)/10</f>
        <v>215.8</v>
      </c>
      <c r="BA3">
        <f ca="1">ROUND(T_Facebook_Ads115963677175798387[[#This Row],[conversions]]*RANDBETWEEN(8,12)/10,0)</f>
        <v>37</v>
      </c>
      <c r="BB3">
        <f ca="1">ROUND(T_Facebook_Ads115963677175798387[[#This Row],[video_views]]*RANDBETWEEN(8,12)/10,0)</f>
        <v>1221</v>
      </c>
    </row>
    <row r="4" spans="1:54" ht="15.75" thickBot="1" x14ac:dyDescent="0.3">
      <c r="A4" s="3">
        <f t="shared" ca="1" si="0"/>
        <v>45190</v>
      </c>
      <c r="B4" s="4" t="s">
        <v>60</v>
      </c>
      <c r="C4" s="4" t="s">
        <v>61</v>
      </c>
      <c r="D4" s="4" t="s">
        <v>62</v>
      </c>
      <c r="E4" s="4" t="s">
        <v>63</v>
      </c>
      <c r="F4" s="4">
        <f ca="1">ROUND(T_Facebook_Ads[[#This Row],[impressions]]*RANDBETWEEN(8,12)/10,0)</f>
        <v>27654</v>
      </c>
      <c r="G4" s="4">
        <v>1234</v>
      </c>
      <c r="H4" s="4">
        <f ca="1">T_Facebook_Ads[[#This Row],[spend]]*RANDBETWEEN(8,12)/10</f>
        <v>208.89000000000001</v>
      </c>
      <c r="I4" s="4">
        <f ca="1">ROUND(T_Facebook_Ads[[#This Row],[conversions]]*RANDBETWEEN(8,12)/10,0)</f>
        <v>23</v>
      </c>
      <c r="J4" s="4">
        <f ca="1">ROUND(T_Facebook_Ads[[#This Row],[video_views]]*RANDBETWEEN(8,12)/10,0)</f>
        <v>3654</v>
      </c>
      <c r="K4" s="4">
        <f ca="1">T_Facebook_Ads[[#This Row],[engagement_rate]]*RANDBETWEEN(8,12)/10</f>
        <v>3.5700000000000003E-2</v>
      </c>
      <c r="L4" s="4">
        <f ca="1">ROUND(T_Facebook_Ads[[#This Row],[reach]]*RANDBETWEEN(8,12)/10,0)</f>
        <v>31827</v>
      </c>
      <c r="M4" s="4">
        <f ca="1">T_Facebook_Ads[[#This Row],[frequency]]*RANDBETWEEN(8,12)/10</f>
        <v>0.95199999999999996</v>
      </c>
      <c r="O4" s="3">
        <f t="shared" ca="1" si="1"/>
        <v>45179</v>
      </c>
      <c r="P4" s="4" t="s">
        <v>84</v>
      </c>
      <c r="Q4" s="4" t="s">
        <v>85</v>
      </c>
      <c r="R4" s="4" t="s">
        <v>86</v>
      </c>
      <c r="S4" s="4" t="s">
        <v>87</v>
      </c>
      <c r="T4" s="4">
        <f ca="1">ROUND(_Google_ads[[#This Row],[impressions]]*RANDBETWEEN(8,12)/10,0)</f>
        <v>81468</v>
      </c>
      <c r="U4" s="4">
        <f ca="1">ROUND(_Google_ads[[#This Row],[clicks]]*RANDBETWEEN(8,12)/10,0)</f>
        <v>2111</v>
      </c>
      <c r="V4" s="4">
        <f ca="1">_Google_ads[[#This Row],[cost]]*RANDBETWEEN(8,12)/10</f>
        <v>465.96000000000004</v>
      </c>
      <c r="W4" s="4">
        <f ca="1">ROUND(_Google_ads[[#This Row],[conversions]]*RANDBETWEEN(8,12)/10,0)</f>
        <v>54</v>
      </c>
      <c r="X4" s="4">
        <f ca="1">ROUND(_Google_ads[[#This Row],[conversion_value]]*RANDBETWEEN(8,12)/10,0)</f>
        <v>3685</v>
      </c>
      <c r="Y4" s="4">
        <f ca="1">_Google_ads[[#This Row],[ctr]]*RANDBETWEEN(8,12)/10</f>
        <v>2.7600000000000003E-2</v>
      </c>
      <c r="Z4" s="4">
        <f ca="1">_Google_ads[[#This Row],[avg_cpc]]*RANDBETWEEN(8,12)/10</f>
        <v>0.14399999999999999</v>
      </c>
      <c r="AA4" s="4">
        <f ca="1">ROUND(_Google_ads[[#This Row],[quality_score]]*RANDBETWEEN(8,12)/10,0)</f>
        <v>9</v>
      </c>
      <c r="AB4" s="4">
        <f ca="1">_Google_ads[[#This Row],[search_impression_share]]*RANDBETWEEN(8,12)/10</f>
        <v>0.53600000000000003</v>
      </c>
      <c r="AD4" s="3">
        <f t="shared" ca="1" si="2"/>
        <v>45173</v>
      </c>
      <c r="AE4" s="4" t="s">
        <v>108</v>
      </c>
      <c r="AF4" s="4" t="s">
        <v>109</v>
      </c>
      <c r="AG4" s="4" t="s">
        <v>110</v>
      </c>
      <c r="AH4" s="4" t="s">
        <v>111</v>
      </c>
      <c r="AI4" s="4">
        <f ca="1">ROUND(T_Tiktok_ads[[#This Row],[impressions]]*RANDBETWEEN(8,12)/10,0)</f>
        <v>170311</v>
      </c>
      <c r="AJ4" s="4">
        <f ca="1">ROUND(T_Tiktok_ads[[#This Row],[clicks]]*RANDBETWEEN(8,12)/10,0)</f>
        <v>3179</v>
      </c>
      <c r="AK4" s="4">
        <v>345.6</v>
      </c>
      <c r="AL4" s="4">
        <f ca="1">ROUND(T_Tiktok_ads[[#This Row],[conversions]]*RANDBETWEEN(8,12)/10,0)</f>
        <v>21</v>
      </c>
      <c r="AM4" s="4">
        <f ca="1">ROUND(T_Tiktok_ads[[#This Row],[video_views]]*RANDBETWEEN(8,12)/10,0)</f>
        <v>174814</v>
      </c>
      <c r="AN4" s="4">
        <f ca="1">ROUND(T_Tiktok_ads[[#This Row],[video_watch_25]]*RANDBETWEEN(8,12)/10,0)</f>
        <v>123580</v>
      </c>
      <c r="AO4" s="4">
        <f ca="1">ROUND(T_Tiktok_ads[[#This Row],[video_watch_50]]*RANDBETWEEN(8,12)/10,0)</f>
        <v>80311</v>
      </c>
      <c r="AP4" s="4">
        <f ca="1">ROUND(T_Tiktok_ads[[#This Row],[video_watch_75]]*RANDBETWEEN(8,12)/10,0)</f>
        <v>68147</v>
      </c>
      <c r="AQ4" s="4">
        <f ca="1">ROUND(T_Tiktok_ads[[#This Row],[video_watch_100]]*RANDBETWEEN(8,12)/10,0)</f>
        <v>27654</v>
      </c>
      <c r="AR4" s="4">
        <f ca="1">ROUND(T_Tiktok_ads[[#This Row],[likes]]*RANDBETWEEN(8,12)/10,0)</f>
        <v>7468</v>
      </c>
      <c r="AS4" s="4">
        <f ca="1">ROUND(T_Tiktok_ads[[#This Row],[shares]]*RANDBETWEEN(8,12)/10,0)</f>
        <v>2079</v>
      </c>
      <c r="AT4" s="4">
        <f ca="1">ROUND(T_Tiktok_ads[[#This Row],[comments]]*RANDBETWEEN(8,12)/10,0)</f>
        <v>365</v>
      </c>
      <c r="AV4" s="5">
        <f t="shared" ca="1" si="3"/>
        <v>45179</v>
      </c>
      <c r="AW4">
        <f t="shared" ca="1" si="4"/>
        <v>4</v>
      </c>
      <c r="AX4">
        <f ca="1">ROUND(T_Facebook_Ads115963677175798387[[#This Row],[impressions]]*RANDBETWEEN(8,12)/10,0)</f>
        <v>24889</v>
      </c>
      <c r="AY4">
        <f ca="1">ROUND(T_Facebook_Ads115963677175798387[[#This Row],[clicks]]*RANDBETWEEN(8,12)/10,0)</f>
        <v>987</v>
      </c>
      <c r="AZ4">
        <f ca="1">T_Facebook_Ads115963677175798387[[#This Row],[spend]]*RANDBETWEEN(8,12)/10</f>
        <v>229.779</v>
      </c>
      <c r="BA4">
        <f ca="1">ROUND(T_Facebook_Ads115963677175798387[[#This Row],[conversions]]*RANDBETWEEN(8,12)/10,0)</f>
        <v>18</v>
      </c>
      <c r="BB4">
        <f ca="1">ROUND(T_Facebook_Ads115963677175798387[[#This Row],[video_views]]*RANDBETWEEN(8,12)/10,0)</f>
        <v>3654</v>
      </c>
    </row>
    <row r="5" spans="1:54" ht="15.75" thickBot="1" x14ac:dyDescent="0.3">
      <c r="A5" s="3">
        <f t="shared" ca="1" si="0"/>
        <v>45182</v>
      </c>
      <c r="B5" s="4" t="s">
        <v>52</v>
      </c>
      <c r="C5" s="4" t="s">
        <v>53</v>
      </c>
      <c r="D5" s="4" t="s">
        <v>54</v>
      </c>
      <c r="E5" s="4" t="s">
        <v>55</v>
      </c>
      <c r="F5" s="4">
        <f ca="1">ROUND(T_Facebook_Ads[[#This Row],[impressions]]*RANDBETWEEN(8,12)/10,0)</f>
        <v>33876</v>
      </c>
      <c r="G5" s="4">
        <v>823</v>
      </c>
      <c r="H5" s="4">
        <f ca="1">T_Facebook_Ads[[#This Row],[spend]]*RANDBETWEEN(8,12)/10</f>
        <v>94.56</v>
      </c>
      <c r="I5" s="4">
        <f ca="1">ROUND(T_Facebook_Ads[[#This Row],[conversions]]*RANDBETWEEN(8,12)/10,0)</f>
        <v>9</v>
      </c>
      <c r="J5" s="4">
        <f ca="1">ROUND(T_Facebook_Ads[[#This Row],[video_views]]*RANDBETWEEN(8,12)/10,0)</f>
        <v>7890</v>
      </c>
      <c r="K5" s="4">
        <f ca="1">T_Facebook_Ads[[#This Row],[engagement_rate]]*RANDBETWEEN(8,12)/10</f>
        <v>2.3280000000000002E-2</v>
      </c>
      <c r="L5" s="4">
        <f ca="1">ROUND(T_Facebook_Ads[[#This Row],[reach]]*RANDBETWEEN(8,12)/10,0)</f>
        <v>40468</v>
      </c>
      <c r="M5" s="4">
        <f ca="1">T_Facebook_Ads[[#This Row],[frequency]]*RANDBETWEEN(8,12)/10</f>
        <v>1.2649999999999999</v>
      </c>
      <c r="O5" s="3">
        <f t="shared" ca="1" si="1"/>
        <v>45196</v>
      </c>
      <c r="P5" s="4" t="s">
        <v>76</v>
      </c>
      <c r="Q5" s="4" t="s">
        <v>77</v>
      </c>
      <c r="R5" s="4" t="s">
        <v>78</v>
      </c>
      <c r="S5" s="4" t="s">
        <v>79</v>
      </c>
      <c r="T5" s="4">
        <f ca="1">ROUND(_Google_ads[[#This Row],[impressions]]*RANDBETWEEN(8,12)/10,0)</f>
        <v>19654</v>
      </c>
      <c r="U5" s="4">
        <f ca="1">ROUND(_Google_ads[[#This Row],[clicks]]*RANDBETWEEN(8,12)/10,0)</f>
        <v>1031</v>
      </c>
      <c r="V5" s="4">
        <f ca="1">_Google_ads[[#This Row],[cost]]*RANDBETWEEN(8,12)/10</f>
        <v>196.48</v>
      </c>
      <c r="W5" s="4">
        <f ca="1">ROUND(_Google_ads[[#This Row],[conversions]]*RANDBETWEEN(8,12)/10,0)</f>
        <v>53</v>
      </c>
      <c r="X5" s="4">
        <f ca="1">ROUND(_Google_ads[[#This Row],[conversion_value]]*RANDBETWEEN(8,12)/10,0)</f>
        <v>2880</v>
      </c>
      <c r="Y5" s="4">
        <f ca="1">_Google_ads[[#This Row],[ctr]]*RANDBETWEEN(8,12)/10</f>
        <v>5.2500000000000005E-2</v>
      </c>
      <c r="Z5" s="4">
        <f ca="1">_Google_ads[[#This Row],[avg_cpc]]*RANDBETWEEN(8,12)/10</f>
        <v>0.152</v>
      </c>
      <c r="AA5" s="4">
        <f ca="1">ROUND(_Google_ads[[#This Row],[quality_score]]*RANDBETWEEN(8,12)/10,0)</f>
        <v>9</v>
      </c>
      <c r="AB5" s="4">
        <f ca="1">_Google_ads[[#This Row],[search_impression_share]]*RANDBETWEEN(8,12)/10</f>
        <v>0.90999999999999992</v>
      </c>
      <c r="AD5" s="3">
        <f t="shared" ca="1" si="2"/>
        <v>45183</v>
      </c>
      <c r="AE5" s="4" t="s">
        <v>100</v>
      </c>
      <c r="AF5" s="4" t="s">
        <v>101</v>
      </c>
      <c r="AG5" s="4" t="s">
        <v>102</v>
      </c>
      <c r="AH5" s="4" t="s">
        <v>103</v>
      </c>
      <c r="AI5" s="4">
        <f ca="1">ROUND(T_Tiktok_ads[[#This Row],[impressions]]*RANDBETWEEN(8,12)/10,0)</f>
        <v>221110</v>
      </c>
      <c r="AJ5" s="4">
        <f ca="1">ROUND(T_Tiktok_ads[[#This Row],[clicks]]*RANDBETWEEN(8,12)/10,0)</f>
        <v>3678</v>
      </c>
      <c r="AK5" s="4">
        <v>478.9</v>
      </c>
      <c r="AL5" s="4">
        <f ca="1">ROUND(T_Tiktok_ads[[#This Row],[conversions]]*RANDBETWEEN(8,12)/10,0)</f>
        <v>36</v>
      </c>
      <c r="AM5" s="4">
        <f ca="1">ROUND(T_Tiktok_ads[[#This Row],[video_views]]*RANDBETWEEN(8,12)/10,0)</f>
        <v>207345</v>
      </c>
      <c r="AN5" s="4">
        <f ca="1">ROUND(T_Tiktok_ads[[#This Row],[video_watch_25]]*RANDBETWEEN(8,12)/10,0)</f>
        <v>147110</v>
      </c>
      <c r="AO5" s="4">
        <f ca="1">ROUND(T_Tiktok_ads[[#This Row],[video_watch_50]]*RANDBETWEEN(8,12)/10,0)</f>
        <v>81876</v>
      </c>
      <c r="AP5" s="4">
        <f ca="1">ROUND(T_Tiktok_ads[[#This Row],[video_watch_75]]*RANDBETWEEN(8,12)/10,0)</f>
        <v>84281</v>
      </c>
      <c r="AQ5" s="4">
        <f ca="1">ROUND(T_Tiktok_ads[[#This Row],[video_watch_100]]*RANDBETWEEN(8,12)/10,0)</f>
        <v>37787</v>
      </c>
      <c r="AR5" s="4">
        <f ca="1">ROUND(T_Tiktok_ads[[#This Row],[likes]]*RANDBETWEEN(8,12)/10,0)</f>
        <v>11081</v>
      </c>
      <c r="AS5" s="4">
        <f ca="1">ROUND(T_Tiktok_ads[[#This Row],[shares]]*RANDBETWEEN(8,12)/10,0)</f>
        <v>1965</v>
      </c>
      <c r="AT5" s="4">
        <f ca="1">ROUND(T_Tiktok_ads[[#This Row],[comments]]*RANDBETWEEN(8,12)/10,0)</f>
        <v>471</v>
      </c>
      <c r="AV5" s="5">
        <f t="shared" ca="1" si="3"/>
        <v>45183</v>
      </c>
      <c r="AW5">
        <f ca="1">RANDBETWEEN(1,8)</f>
        <v>6</v>
      </c>
      <c r="AX5">
        <f ca="1">ROUND(T_Facebook_Ads115963677175798387[[#This Row],[impressions]]*RANDBETWEEN(8,12)/10,0)</f>
        <v>30488</v>
      </c>
      <c r="AY5">
        <f ca="1">ROUND(T_Facebook_Ads115963677175798387[[#This Row],[clicks]]*RANDBETWEEN(8,12)/10,0)</f>
        <v>988</v>
      </c>
      <c r="AZ5">
        <f ca="1">T_Facebook_Ads115963677175798387[[#This Row],[spend]]*RANDBETWEEN(8,12)/10</f>
        <v>75.647999999999996</v>
      </c>
      <c r="BA5">
        <f ca="1">ROUND(T_Facebook_Ads115963677175798387[[#This Row],[conversions]]*RANDBETWEEN(8,12)/10,0)</f>
        <v>9</v>
      </c>
      <c r="BB5">
        <f ca="1">ROUND(T_Facebook_Ads115963677175798387[[#This Row],[video_views]]*RANDBETWEEN(8,12)/10,0)</f>
        <v>9468</v>
      </c>
    </row>
    <row r="6" spans="1:54" ht="15.75" thickBot="1" x14ac:dyDescent="0.3">
      <c r="A6" s="3">
        <f t="shared" ca="1" si="0"/>
        <v>45186</v>
      </c>
      <c r="B6" s="4" t="s">
        <v>56</v>
      </c>
      <c r="C6" s="4" t="s">
        <v>57</v>
      </c>
      <c r="D6" s="4" t="s">
        <v>58</v>
      </c>
      <c r="E6" s="4" t="s">
        <v>59</v>
      </c>
      <c r="F6" s="4">
        <f ca="1">ROUND(T_Facebook_Ads[[#This Row],[impressions]]*RANDBETWEEN(8,12)/10,0)</f>
        <v>10942</v>
      </c>
      <c r="G6" s="4">
        <v>623</v>
      </c>
      <c r="H6" s="4">
        <f ca="1">T_Facebook_Ads[[#This Row],[spend]]*RANDBETWEEN(8,12)/10</f>
        <v>187.6</v>
      </c>
      <c r="I6" s="4">
        <f ca="1">ROUND(T_Facebook_Ads[[#This Row],[conversions]]*RANDBETWEEN(8,12)/10,0)</f>
        <v>42</v>
      </c>
      <c r="J6" s="4">
        <f ca="1">ROUND(T_Facebook_Ads[[#This Row],[video_views]]*RANDBETWEEN(8,12)/10,0)</f>
        <v>1456</v>
      </c>
      <c r="K6" s="4">
        <f ca="1">T_Facebook_Ads[[#This Row],[engagement_rate]]*RANDBETWEEN(8,12)/10</f>
        <v>4.095E-2</v>
      </c>
      <c r="L6" s="4">
        <f ca="1">ROUND(T_Facebook_Ads[[#This Row],[reach]]*RANDBETWEEN(8,12)/10,0)</f>
        <v>11257</v>
      </c>
      <c r="M6" s="4">
        <f ca="1">T_Facebook_Ads[[#This Row],[frequency]]*RANDBETWEEN(8,12)/10</f>
        <v>1.6080000000000001</v>
      </c>
      <c r="O6" s="3">
        <f t="shared" ca="1" si="1"/>
        <v>45178</v>
      </c>
      <c r="P6" s="4" t="s">
        <v>80</v>
      </c>
      <c r="Q6" s="4" t="s">
        <v>81</v>
      </c>
      <c r="R6" s="4" t="s">
        <v>82</v>
      </c>
      <c r="S6" s="4" t="s">
        <v>83</v>
      </c>
      <c r="T6" s="4">
        <f ca="1">ROUND(_Google_ads[[#This Row],[impressions]]*RANDBETWEEN(8,12)/10,0)</f>
        <v>34587</v>
      </c>
      <c r="U6" s="4">
        <f ca="1">ROUND(_Google_ads[[#This Row],[clicks]]*RANDBETWEEN(8,12)/10,0)</f>
        <v>658</v>
      </c>
      <c r="V6" s="4">
        <f ca="1">_Google_ads[[#This Row],[cost]]*RANDBETWEEN(8,12)/10</f>
        <v>641.04000000000008</v>
      </c>
      <c r="W6" s="4">
        <f ca="1">ROUND(_Google_ads[[#This Row],[conversions]]*RANDBETWEEN(8,12)/10,0)</f>
        <v>21</v>
      </c>
      <c r="X6" s="4">
        <f ca="1">ROUND(_Google_ads[[#This Row],[conversion_value]]*RANDBETWEEN(8,12)/10,0)</f>
        <v>1155</v>
      </c>
      <c r="Y6" s="4">
        <f ca="1">_Google_ads[[#This Row],[ctr]]*RANDBETWEEN(8,12)/10</f>
        <v>2.2799999999999997E-2</v>
      </c>
      <c r="Z6" s="4">
        <f ca="1">_Google_ads[[#This Row],[avg_cpc]]*RANDBETWEEN(8,12)/10</f>
        <v>0.78</v>
      </c>
      <c r="AA6" s="4">
        <f ca="1">ROUND(_Google_ads[[#This Row],[quality_score]]*RANDBETWEEN(8,12)/10,0)</f>
        <v>7</v>
      </c>
      <c r="AB6" s="4">
        <f ca="1">_Google_ads[[#This Row],[search_impression_share]]*RANDBETWEEN(8,12)/10</f>
        <v>0.44000000000000006</v>
      </c>
      <c r="AD6" s="3">
        <f t="shared" ca="1" si="2"/>
        <v>45189</v>
      </c>
      <c r="AE6" s="4" t="s">
        <v>104</v>
      </c>
      <c r="AF6" s="4" t="s">
        <v>105</v>
      </c>
      <c r="AG6" s="4" t="s">
        <v>106</v>
      </c>
      <c r="AH6" s="4" t="s">
        <v>107</v>
      </c>
      <c r="AI6" s="4">
        <f ca="1">ROUND(T_Tiktok_ads[[#This Row],[impressions]]*RANDBETWEEN(8,12)/10,0)</f>
        <v>121110</v>
      </c>
      <c r="AJ6" s="4">
        <f ca="1">ROUND(T_Tiktok_ads[[#This Row],[clicks]]*RANDBETWEEN(8,12)/10,0)</f>
        <v>2567</v>
      </c>
      <c r="AK6" s="4">
        <v>712.3</v>
      </c>
      <c r="AL6" s="4">
        <f ca="1">ROUND(T_Tiktok_ads[[#This Row],[conversions]]*RANDBETWEEN(8,12)/10,0)</f>
        <v>57</v>
      </c>
      <c r="AM6" s="4">
        <f ca="1">ROUND(T_Tiktok_ads[[#This Row],[video_views]]*RANDBETWEEN(8,12)/10,0)</f>
        <v>95678</v>
      </c>
      <c r="AN6" s="4">
        <f ca="1">ROUND(T_Tiktok_ads[[#This Row],[video_watch_25]]*RANDBETWEEN(8,12)/10,0)</f>
        <v>56987</v>
      </c>
      <c r="AO6" s="4">
        <f ca="1">ROUND(T_Tiktok_ads[[#This Row],[video_watch_50]]*RANDBETWEEN(8,12)/10,0)</f>
        <v>43411</v>
      </c>
      <c r="AP6" s="4">
        <f ca="1">ROUND(T_Tiktok_ads[[#This Row],[video_watch_75]]*RANDBETWEEN(8,12)/10,0)</f>
        <v>43481</v>
      </c>
      <c r="AQ6" s="4">
        <f ca="1">ROUND(T_Tiktok_ads[[#This Row],[video_watch_100]]*RANDBETWEEN(8,12)/10,0)</f>
        <v>19654</v>
      </c>
      <c r="AR6" s="4">
        <f ca="1">ROUND(T_Tiktok_ads[[#This Row],[likes]]*RANDBETWEEN(8,12)/10,0)</f>
        <v>4789</v>
      </c>
      <c r="AS6" s="4">
        <f ca="1">ROUND(T_Tiktok_ads[[#This Row],[shares]]*RANDBETWEEN(8,12)/10,0)</f>
        <v>1480</v>
      </c>
      <c r="AT6" s="4">
        <f ca="1">ROUND(T_Tiktok_ads[[#This Row],[comments]]*RANDBETWEEN(8,12)/10,0)</f>
        <v>294</v>
      </c>
      <c r="AV6" s="5">
        <f t="shared" ca="1" si="3"/>
        <v>45174</v>
      </c>
      <c r="AW6">
        <f t="shared" ca="1" si="4"/>
        <v>4</v>
      </c>
      <c r="AX6">
        <f ca="1">ROUND(T_Facebook_Ads115963677175798387[[#This Row],[impressions]]*RANDBETWEEN(8,12)/10,0)</f>
        <v>8754</v>
      </c>
      <c r="AY6">
        <f ca="1">ROUND(T_Facebook_Ads115963677175798387[[#This Row],[clicks]]*RANDBETWEEN(8,12)/10,0)</f>
        <v>748</v>
      </c>
      <c r="AZ6">
        <f ca="1">T_Facebook_Ads115963677175798387[[#This Row],[spend]]*RANDBETWEEN(8,12)/10</f>
        <v>150.07999999999998</v>
      </c>
      <c r="BA6">
        <f ca="1">ROUND(T_Facebook_Ads115963677175798387[[#This Row],[conversions]]*RANDBETWEEN(8,12)/10,0)</f>
        <v>46</v>
      </c>
      <c r="BB6">
        <f ca="1">ROUND(T_Facebook_Ads115963677175798387[[#This Row],[video_views]]*RANDBETWEEN(8,12)/10,0)</f>
        <v>1456</v>
      </c>
    </row>
    <row r="7" spans="1:54" ht="15.75" thickBot="1" x14ac:dyDescent="0.3">
      <c r="A7" s="3">
        <f t="shared" ca="1" si="0"/>
        <v>45197</v>
      </c>
      <c r="B7" s="4" t="s">
        <v>60</v>
      </c>
      <c r="C7" s="4" t="s">
        <v>61</v>
      </c>
      <c r="D7" s="4" t="s">
        <v>62</v>
      </c>
      <c r="E7" s="4" t="s">
        <v>63</v>
      </c>
      <c r="F7" s="4">
        <f ca="1">ROUND(T_Facebook_Ads[[#This Row],[impressions]]*RANDBETWEEN(8,12)/10,0)</f>
        <v>44147</v>
      </c>
      <c r="G7" s="4">
        <v>1345</v>
      </c>
      <c r="H7" s="4">
        <f ca="1">T_Facebook_Ads[[#This Row],[spend]]*RANDBETWEEN(8,12)/10</f>
        <v>161.04000000000002</v>
      </c>
      <c r="I7" s="4">
        <f ca="1">ROUND(T_Facebook_Ads[[#This Row],[conversions]]*RANDBETWEEN(8,12)/10,0)</f>
        <v>28</v>
      </c>
      <c r="J7" s="4">
        <f ca="1">ROUND(T_Facebook_Ads[[#This Row],[video_views]]*RANDBETWEEN(8,12)/10,0)</f>
        <v>5868</v>
      </c>
      <c r="K7" s="4">
        <f ca="1">T_Facebook_Ads[[#This Row],[engagement_rate]]*RANDBETWEEN(8,12)/10</f>
        <v>4.0260000000000004E-2</v>
      </c>
      <c r="L7" s="4">
        <f ca="1">ROUND(T_Facebook_Ads[[#This Row],[reach]]*RANDBETWEEN(8,12)/10,0)</f>
        <v>30123</v>
      </c>
      <c r="M7" s="4">
        <f ca="1">T_Facebook_Ads[[#This Row],[frequency]]*RANDBETWEEN(8,12)/10</f>
        <v>1.3420000000000001</v>
      </c>
      <c r="O7" s="3">
        <f t="shared" ca="1" si="1"/>
        <v>45193</v>
      </c>
      <c r="P7" s="4" t="s">
        <v>84</v>
      </c>
      <c r="Q7" s="4" t="s">
        <v>85</v>
      </c>
      <c r="R7" s="4" t="s">
        <v>86</v>
      </c>
      <c r="S7" s="4" t="s">
        <v>87</v>
      </c>
      <c r="T7" s="4">
        <f ca="1">ROUND(_Google_ads[[#This Row],[impressions]]*RANDBETWEEN(8,12)/10,0)</f>
        <v>64111</v>
      </c>
      <c r="U7" s="4">
        <f ca="1">ROUND(_Google_ads[[#This Row],[clicks]]*RANDBETWEEN(8,12)/10,0)</f>
        <v>2947</v>
      </c>
      <c r="V7" s="4">
        <f ca="1">_Google_ads[[#This Row],[cost]]*RANDBETWEEN(8,12)/10</f>
        <v>490.38</v>
      </c>
      <c r="W7" s="4">
        <f ca="1">ROUND(_Google_ads[[#This Row],[conversions]]*RANDBETWEEN(8,12)/10,0)</f>
        <v>57</v>
      </c>
      <c r="X7" s="4">
        <f ca="1">ROUND(_Google_ads[[#This Row],[conversion_value]]*RANDBETWEEN(8,12)/10,0)</f>
        <v>3550</v>
      </c>
      <c r="Y7" s="4">
        <f ca="1">_Google_ads[[#This Row],[ctr]]*RANDBETWEEN(8,12)/10</f>
        <v>4.1400000000000006E-2</v>
      </c>
      <c r="Z7" s="4">
        <f ca="1">_Google_ads[[#This Row],[avg_cpc]]*RANDBETWEEN(8,12)/10</f>
        <v>0.18</v>
      </c>
      <c r="AA7" s="4">
        <f ca="1">ROUND(_Google_ads[[#This Row],[quality_score]]*RANDBETWEEN(8,12)/10,0)</f>
        <v>8</v>
      </c>
      <c r="AB7" s="4">
        <f ca="1">_Google_ads[[#This Row],[search_impression_share]]*RANDBETWEEN(8,12)/10</f>
        <v>0.748</v>
      </c>
      <c r="AD7" s="3">
        <f t="shared" ca="1" si="2"/>
        <v>45172</v>
      </c>
      <c r="AE7" s="4" t="s">
        <v>108</v>
      </c>
      <c r="AF7" s="4" t="s">
        <v>109</v>
      </c>
      <c r="AG7" s="4" t="s">
        <v>110</v>
      </c>
      <c r="AH7" s="4" t="s">
        <v>111</v>
      </c>
      <c r="AI7" s="4">
        <f ca="1">ROUND(T_Tiktok_ads[[#This Row],[impressions]]*RANDBETWEEN(8,12)/10,0)</f>
        <v>178511</v>
      </c>
      <c r="AJ7" s="4">
        <f ca="1">ROUND(T_Tiktok_ads[[#This Row],[clicks]]*RANDBETWEEN(8,12)/10,0)</f>
        <v>3313</v>
      </c>
      <c r="AK7" s="4">
        <v>361.2</v>
      </c>
      <c r="AL7" s="4">
        <f ca="1">ROUND(T_Tiktok_ads[[#This Row],[conversions]]*RANDBETWEEN(8,12)/10,0)</f>
        <v>30</v>
      </c>
      <c r="AM7" s="4">
        <f ca="1">ROUND(T_Tiktok_ads[[#This Row],[video_views]]*RANDBETWEEN(8,12)/10,0)</f>
        <v>167580</v>
      </c>
      <c r="AN7" s="4">
        <f ca="1">ROUND(T_Tiktok_ads[[#This Row],[video_watch_25]]*RANDBETWEEN(8,12)/10,0)</f>
        <v>128957</v>
      </c>
      <c r="AO7" s="4">
        <f ca="1">ROUND(T_Tiktok_ads[[#This Row],[video_watch_50]]*RANDBETWEEN(8,12)/10,0)</f>
        <v>93234</v>
      </c>
      <c r="AP7" s="4">
        <f ca="1">ROUND(T_Tiktok_ads[[#This Row],[video_watch_75]]*RANDBETWEEN(8,12)/10,0)</f>
        <v>59234</v>
      </c>
      <c r="AQ7" s="4">
        <f ca="1">ROUND(T_Tiktok_ads[[#This Row],[video_watch_100]]*RANDBETWEEN(8,12)/10,0)</f>
        <v>28987</v>
      </c>
      <c r="AR7" s="4">
        <f ca="1">ROUND(T_Tiktok_ads[[#This Row],[likes]]*RANDBETWEEN(8,12)/10,0)</f>
        <v>7835</v>
      </c>
      <c r="AS7" s="4">
        <f ca="1">ROUND(T_Tiktok_ads[[#This Row],[shares]]*RANDBETWEEN(8,12)/10,0)</f>
        <v>2360</v>
      </c>
      <c r="AT7" s="4">
        <f ca="1">ROUND(T_Tiktok_ads[[#This Row],[comments]]*RANDBETWEEN(8,12)/10,0)</f>
        <v>478</v>
      </c>
      <c r="AV7" s="5">
        <f t="shared" ca="1" si="3"/>
        <v>45185</v>
      </c>
      <c r="AW7">
        <f t="shared" ca="1" si="4"/>
        <v>3</v>
      </c>
      <c r="AX7">
        <f ca="1">ROUND(T_Facebook_Ads115963677175798387[[#This Row],[impressions]]*RANDBETWEEN(8,12)/10,0)</f>
        <v>39732</v>
      </c>
      <c r="AY7">
        <f ca="1">ROUND(T_Facebook_Ads115963677175798387[[#This Row],[clicks]]*RANDBETWEEN(8,12)/10,0)</f>
        <v>1480</v>
      </c>
      <c r="AZ7">
        <f ca="1">T_Facebook_Ads115963677175798387[[#This Row],[spend]]*RANDBETWEEN(8,12)/10</f>
        <v>144.93600000000001</v>
      </c>
      <c r="BA7">
        <f ca="1">ROUND(T_Facebook_Ads115963677175798387[[#This Row],[conversions]]*RANDBETWEEN(8,12)/10,0)</f>
        <v>25</v>
      </c>
      <c r="BB7">
        <f ca="1">ROUND(T_Facebook_Ads115963677175798387[[#This Row],[video_views]]*RANDBETWEEN(8,12)/10,0)</f>
        <v>5868</v>
      </c>
    </row>
    <row r="8" spans="1:54" ht="15.75" thickBot="1" x14ac:dyDescent="0.3">
      <c r="A8" s="3">
        <f t="shared" ca="1" si="0"/>
        <v>45177</v>
      </c>
      <c r="B8" s="4" t="s">
        <v>52</v>
      </c>
      <c r="C8" s="4" t="s">
        <v>53</v>
      </c>
      <c r="D8" s="4" t="s">
        <v>54</v>
      </c>
      <c r="E8" s="4" t="s">
        <v>55</v>
      </c>
      <c r="F8" s="4">
        <f ca="1">ROUND(T_Facebook_Ads[[#This Row],[impressions]]*RANDBETWEEN(8,12)/10,0)</f>
        <v>48234</v>
      </c>
      <c r="G8" s="4">
        <v>967</v>
      </c>
      <c r="H8" s="4">
        <f ca="1">T_Facebook_Ads[[#This Row],[spend]]*RANDBETWEEN(8,12)/10</f>
        <v>121.32000000000001</v>
      </c>
      <c r="I8" s="4">
        <f ca="1">ROUND(T_Facebook_Ads[[#This Row],[conversions]]*RANDBETWEEN(8,12)/10,0)</f>
        <v>11</v>
      </c>
      <c r="J8" s="4">
        <f ca="1">ROUND(T_Facebook_Ads[[#This Row],[video_views]]*RANDBETWEEN(8,12)/10,0)</f>
        <v>8901</v>
      </c>
      <c r="K8" s="4">
        <f ca="1">T_Facebook_Ads[[#This Row],[engagement_rate]]*RANDBETWEEN(8,12)/10</f>
        <v>1.6080000000000001E-2</v>
      </c>
      <c r="L8" s="4">
        <f ca="1">ROUND(T_Facebook_Ads[[#This Row],[reach]]*RANDBETWEEN(8,12)/10,0)</f>
        <v>48148</v>
      </c>
      <c r="M8" s="4">
        <f ca="1">T_Facebook_Ads[[#This Row],[frequency]]*RANDBETWEEN(8,12)/10</f>
        <v>1.0799999999999998</v>
      </c>
      <c r="O8" s="3">
        <f t="shared" ca="1" si="1"/>
        <v>45183</v>
      </c>
      <c r="P8" s="4" t="s">
        <v>76</v>
      </c>
      <c r="Q8" s="4" t="s">
        <v>77</v>
      </c>
      <c r="R8" s="4" t="s">
        <v>78</v>
      </c>
      <c r="S8" s="4" t="s">
        <v>79</v>
      </c>
      <c r="T8" s="4">
        <f ca="1">ROUND(_Google_ads[[#This Row],[impressions]]*RANDBETWEEN(8,12)/10,0)</f>
        <v>24580</v>
      </c>
      <c r="U8" s="4">
        <f ca="1">ROUND(_Google_ads[[#This Row],[clicks]]*RANDBETWEEN(8,12)/10,0)</f>
        <v>1348</v>
      </c>
      <c r="V8" s="4">
        <f ca="1">_Google_ads[[#This Row],[cost]]*RANDBETWEEN(8,12)/10</f>
        <v>213.4</v>
      </c>
      <c r="W8" s="4">
        <f ca="1">ROUND(_Google_ads[[#This Row],[conversions]]*RANDBETWEEN(8,12)/10,0)</f>
        <v>38</v>
      </c>
      <c r="X8" s="4">
        <f ca="1">ROUND(_Google_ads[[#This Row],[conversion_value]]*RANDBETWEEN(8,12)/10,0)</f>
        <v>1680</v>
      </c>
      <c r="Y8" s="4">
        <f ca="1">_Google_ads[[#This Row],[ctr]]*RANDBETWEEN(8,12)/10</f>
        <v>5.0299999999999997E-2</v>
      </c>
      <c r="Z8" s="4">
        <f ca="1">_Google_ads[[#This Row],[avg_cpc]]*RANDBETWEEN(8,12)/10</f>
        <v>0.19</v>
      </c>
      <c r="AA8" s="4">
        <f ca="1">ROUND(_Google_ads[[#This Row],[quality_score]]*RANDBETWEEN(8,12)/10,0)</f>
        <v>9</v>
      </c>
      <c r="AB8" s="4">
        <f ca="1">_Google_ads[[#This Row],[search_impression_share]]*RANDBETWEEN(8,12)/10</f>
        <v>0.74399999999999999</v>
      </c>
      <c r="AD8" s="3">
        <f t="shared" ca="1" si="2"/>
        <v>45174</v>
      </c>
      <c r="AE8" s="4" t="s">
        <v>100</v>
      </c>
      <c r="AF8" s="4" t="s">
        <v>101</v>
      </c>
      <c r="AG8" s="4" t="s">
        <v>102</v>
      </c>
      <c r="AH8" s="4" t="s">
        <v>103</v>
      </c>
      <c r="AI8" s="4">
        <f ca="1">ROUND(T_Tiktok_ads[[#This Row],[impressions]]*RANDBETWEEN(8,12)/10,0)</f>
        <v>245802</v>
      </c>
      <c r="AJ8" s="4">
        <f ca="1">ROUND(T_Tiktok_ads[[#This Row],[clicks]]*RANDBETWEEN(8,12)/10,0)</f>
        <v>3234</v>
      </c>
      <c r="AK8" s="4">
        <v>434.5</v>
      </c>
      <c r="AL8" s="4">
        <f ca="1">ROUND(T_Tiktok_ads[[#This Row],[conversions]]*RANDBETWEEN(8,12)/10,0)</f>
        <v>26</v>
      </c>
      <c r="AM8" s="4">
        <f ca="1">ROUND(T_Tiktok_ads[[#This Row],[video_views]]*RANDBETWEEN(8,12)/10,0)</f>
        <v>170311</v>
      </c>
      <c r="AN8" s="4">
        <f ca="1">ROUND(T_Tiktok_ads[[#This Row],[video_watch_25]]*RANDBETWEEN(8,12)/10,0)</f>
        <v>148234</v>
      </c>
      <c r="AO8" s="4">
        <f ca="1">ROUND(T_Tiktok_ads[[#This Row],[video_watch_50]]*RANDBETWEEN(8,12)/10,0)</f>
        <v>93234</v>
      </c>
      <c r="AP8" s="4">
        <f ca="1">ROUND(T_Tiktok_ads[[#This Row],[video_watch_75]]*RANDBETWEEN(8,12)/10,0)</f>
        <v>76147</v>
      </c>
      <c r="AQ8" s="4">
        <f ca="1">ROUND(T_Tiktok_ads[[#This Row],[video_watch_100]]*RANDBETWEEN(8,12)/10,0)</f>
        <v>47557</v>
      </c>
      <c r="AR8" s="4">
        <f ca="1">ROUND(T_Tiktok_ads[[#This Row],[likes]]*RANDBETWEEN(8,12)/10,0)</f>
        <v>8567</v>
      </c>
      <c r="AS8" s="4">
        <f ca="1">ROUND(T_Tiktok_ads[[#This Row],[shares]]*RANDBETWEEN(8,12)/10,0)</f>
        <v>2234</v>
      </c>
      <c r="AT8" s="4">
        <f ca="1">ROUND(T_Tiktok_ads[[#This Row],[comments]]*RANDBETWEEN(8,12)/10,0)</f>
        <v>534</v>
      </c>
      <c r="AV8" s="5">
        <f t="shared" ca="1" si="3"/>
        <v>45194</v>
      </c>
      <c r="AW8">
        <f t="shared" ca="1" si="4"/>
        <v>5</v>
      </c>
      <c r="AX8">
        <f ca="1">ROUND(T_Facebook_Ads115963677175798387[[#This Row],[impressions]]*RANDBETWEEN(8,12)/10,0)</f>
        <v>48234</v>
      </c>
      <c r="AY8">
        <f ca="1">ROUND(T_Facebook_Ads115963677175798387[[#This Row],[clicks]]*RANDBETWEEN(8,12)/10,0)</f>
        <v>967</v>
      </c>
      <c r="AZ8">
        <f ca="1">T_Facebook_Ads115963677175798387[[#This Row],[spend]]*RANDBETWEEN(8,12)/10</f>
        <v>145.584</v>
      </c>
      <c r="BA8">
        <f ca="1">ROUND(T_Facebook_Ads115963677175798387[[#This Row],[conversions]]*RANDBETWEEN(8,12)/10,0)</f>
        <v>9</v>
      </c>
      <c r="BB8">
        <f ca="1">ROUND(T_Facebook_Ads115963677175798387[[#This Row],[video_views]]*RANDBETWEEN(8,12)/10,0)</f>
        <v>8011</v>
      </c>
    </row>
    <row r="9" spans="1:54" ht="15.75" thickBot="1" x14ac:dyDescent="0.3">
      <c r="A9" s="3">
        <f t="shared" ca="1" si="0"/>
        <v>45187</v>
      </c>
      <c r="B9" s="4" t="s">
        <v>56</v>
      </c>
      <c r="C9" s="4" t="s">
        <v>57</v>
      </c>
      <c r="D9" s="4" t="s">
        <v>58</v>
      </c>
      <c r="E9" s="4" t="s">
        <v>59</v>
      </c>
      <c r="F9" s="4">
        <f ca="1">ROUND(T_Facebook_Ads[[#This Row],[impressions]]*RANDBETWEEN(8,12)/10,0)</f>
        <v>10111</v>
      </c>
      <c r="G9" s="4">
        <v>489</v>
      </c>
      <c r="H9" s="4">
        <f ca="1">T_Facebook_Ads[[#This Row],[spend]]*RANDBETWEEN(8,12)/10</f>
        <v>218.57</v>
      </c>
      <c r="I9" s="4">
        <f ca="1">ROUND(T_Facebook_Ads[[#This Row],[conversions]]*RANDBETWEEN(8,12)/10,0)</f>
        <v>31</v>
      </c>
      <c r="J9" s="4">
        <f ca="1">ROUND(T_Facebook_Ads[[#This Row],[video_views]]*RANDBETWEEN(8,12)/10,0)</f>
        <v>1348</v>
      </c>
      <c r="K9" s="4">
        <f ca="1">T_Facebook_Ads[[#This Row],[engagement_rate]]*RANDBETWEEN(8,12)/10</f>
        <v>3.4799999999999998E-2</v>
      </c>
      <c r="L9" s="4">
        <f ca="1">ROUND(T_Facebook_Ads[[#This Row],[reach]]*RANDBETWEEN(8,12)/10,0)</f>
        <v>10681</v>
      </c>
      <c r="M9" s="4">
        <f ca="1">T_Facebook_Ads[[#This Row],[frequency]]*RANDBETWEEN(8,12)/10</f>
        <v>1.1339999999999999</v>
      </c>
      <c r="O9" s="3">
        <f t="shared" ca="1" si="1"/>
        <v>45170</v>
      </c>
      <c r="P9" s="4" t="s">
        <v>80</v>
      </c>
      <c r="Q9" s="4" t="s">
        <v>81</v>
      </c>
      <c r="R9" s="4" t="s">
        <v>82</v>
      </c>
      <c r="S9" s="4" t="s">
        <v>83</v>
      </c>
      <c r="T9" s="4">
        <f ca="1">ROUND(_Google_ads[[#This Row],[impressions]]*RANDBETWEEN(8,12)/10,0)</f>
        <v>47890</v>
      </c>
      <c r="U9" s="4">
        <f ca="1">ROUND(_Google_ads[[#This Row],[clicks]]*RANDBETWEEN(8,12)/10,0)</f>
        <v>967</v>
      </c>
      <c r="V9" s="4">
        <f ca="1">_Google_ads[[#This Row],[cost]]*RANDBETWEEN(8,12)/10</f>
        <v>498.8</v>
      </c>
      <c r="W9" s="4">
        <f ca="1">ROUND(_Google_ads[[#This Row],[conversions]]*RANDBETWEEN(8,12)/10,0)</f>
        <v>20</v>
      </c>
      <c r="X9" s="4">
        <f ca="1">ROUND(_Google_ads[[#This Row],[conversion_value]]*RANDBETWEEN(8,12)/10,0)</f>
        <v>1500</v>
      </c>
      <c r="Y9" s="4">
        <f ca="1">_Google_ads[[#This Row],[ctr]]*RANDBETWEEN(8,12)/10</f>
        <v>2.4240000000000001E-2</v>
      </c>
      <c r="Z9" s="4">
        <f ca="1">_Google_ads[[#This Row],[avg_cpc]]*RANDBETWEEN(8,12)/10</f>
        <v>0.64</v>
      </c>
      <c r="AA9" s="4">
        <f ca="1">ROUND(_Google_ads[[#This Row],[quality_score]]*RANDBETWEEN(8,12)/10,0)</f>
        <v>7</v>
      </c>
      <c r="AB9" s="4">
        <f ca="1">_Google_ads[[#This Row],[search_impression_share]]*RANDBETWEEN(8,12)/10</f>
        <v>0.43</v>
      </c>
      <c r="AD9" s="3">
        <f t="shared" ca="1" si="2"/>
        <v>45174</v>
      </c>
      <c r="AE9" s="4" t="s">
        <v>104</v>
      </c>
      <c r="AF9" s="4" t="s">
        <v>105</v>
      </c>
      <c r="AG9" s="4" t="s">
        <v>106</v>
      </c>
      <c r="AH9" s="4" t="s">
        <v>107</v>
      </c>
      <c r="AI9" s="4">
        <f ca="1">ROUND(T_Tiktok_ads[[#This Row],[impressions]]*RANDBETWEEN(8,12)/10,0)</f>
        <v>123580</v>
      </c>
      <c r="AJ9" s="4">
        <f ca="1">ROUND(T_Tiktok_ads[[#This Row],[clicks]]*RANDBETWEEN(8,12)/10,0)</f>
        <v>2548</v>
      </c>
      <c r="AK9" s="4">
        <v>623.4</v>
      </c>
      <c r="AL9" s="4">
        <f ca="1">ROUND(T_Tiktok_ads[[#This Row],[conversions]]*RANDBETWEEN(8,12)/10,0)</f>
        <v>56</v>
      </c>
      <c r="AM9" s="4">
        <f ca="1">ROUND(T_Tiktok_ads[[#This Row],[video_views]]*RANDBETWEEN(8,12)/10,0)</f>
        <v>82345</v>
      </c>
      <c r="AN9" s="4">
        <f ca="1">ROUND(T_Tiktok_ads[[#This Row],[video_watch_25]]*RANDBETWEEN(8,12)/10,0)</f>
        <v>67357</v>
      </c>
      <c r="AO9" s="4">
        <f ca="1">ROUND(T_Tiktok_ads[[#This Row],[video_watch_50]]*RANDBETWEEN(8,12)/10,0)</f>
        <v>41234</v>
      </c>
      <c r="AP9" s="4">
        <f ca="1">ROUND(T_Tiktok_ads[[#This Row],[video_watch_75]]*RANDBETWEEN(8,12)/10,0)</f>
        <v>28111</v>
      </c>
      <c r="AQ9" s="4">
        <f ca="1">ROUND(T_Tiktok_ads[[#This Row],[video_watch_100]]*RANDBETWEEN(8,12)/10,0)</f>
        <v>23357</v>
      </c>
      <c r="AR9" s="4">
        <f ca="1">ROUND(T_Tiktok_ads[[#This Row],[likes]]*RANDBETWEEN(8,12)/10,0)</f>
        <v>4657</v>
      </c>
      <c r="AS9" s="4">
        <f ca="1">ROUND(T_Tiktok_ads[[#This Row],[shares]]*RANDBETWEEN(8,12)/10,0)</f>
        <v>1123</v>
      </c>
      <c r="AT9" s="4">
        <f ca="1">ROUND(T_Tiktok_ads[[#This Row],[comments]]*RANDBETWEEN(8,12)/10,0)</f>
        <v>212</v>
      </c>
      <c r="AV9" s="5">
        <f t="shared" ca="1" si="3"/>
        <v>45194</v>
      </c>
      <c r="AW9">
        <f t="shared" ca="1" si="4"/>
        <v>2</v>
      </c>
      <c r="AX9">
        <f ca="1">ROUND(T_Facebook_Ads115963677175798387[[#This Row],[impressions]]*RANDBETWEEN(8,12)/10,0)</f>
        <v>12133</v>
      </c>
      <c r="AY9">
        <f ca="1">ROUND(T_Facebook_Ads115963677175798387[[#This Row],[clicks]]*RANDBETWEEN(8,12)/10,0)</f>
        <v>538</v>
      </c>
      <c r="AZ9">
        <f ca="1">T_Facebook_Ads115963677175798387[[#This Row],[spend]]*RANDBETWEEN(8,12)/10</f>
        <v>262.28399999999999</v>
      </c>
      <c r="BA9">
        <f ca="1">ROUND(T_Facebook_Ads115963677175798387[[#This Row],[conversions]]*RANDBETWEEN(8,12)/10,0)</f>
        <v>28</v>
      </c>
      <c r="BB9">
        <f ca="1">ROUND(T_Facebook_Ads115963677175798387[[#This Row],[video_views]]*RANDBETWEEN(8,12)/10,0)</f>
        <v>1483</v>
      </c>
    </row>
    <row r="10" spans="1:54" ht="15.75" thickBot="1" x14ac:dyDescent="0.3">
      <c r="A10" s="3">
        <f t="shared" ca="1" si="0"/>
        <v>45195</v>
      </c>
      <c r="B10" s="4" t="s">
        <v>60</v>
      </c>
      <c r="C10" s="4" t="s">
        <v>61</v>
      </c>
      <c r="D10" s="4" t="s">
        <v>62</v>
      </c>
      <c r="E10" s="4" t="s">
        <v>63</v>
      </c>
      <c r="F10" s="4">
        <f ca="1">ROUND(T_Facebook_Ads[[#This Row],[impressions]]*RANDBETWEEN(8,12)/10,0)</f>
        <v>31121</v>
      </c>
      <c r="G10" s="4">
        <v>1456</v>
      </c>
      <c r="H10" s="4">
        <f ca="1">T_Facebook_Ads[[#This Row],[spend]]*RANDBETWEEN(8,12)/10</f>
        <v>192.06</v>
      </c>
      <c r="I10" s="4">
        <f ca="1">ROUND(T_Facebook_Ads[[#This Row],[conversions]]*RANDBETWEEN(8,12)/10,0)</f>
        <v>31</v>
      </c>
      <c r="J10" s="4">
        <f ca="1">ROUND(T_Facebook_Ads[[#This Row],[video_views]]*RANDBETWEEN(8,12)/10,0)</f>
        <v>4187</v>
      </c>
      <c r="K10" s="4">
        <f ca="1">T_Facebook_Ads[[#This Row],[engagement_rate]]*RANDBETWEEN(8,12)/10</f>
        <v>3.3749999999999995E-2</v>
      </c>
      <c r="L10" s="4">
        <f ca="1">ROUND(T_Facebook_Ads[[#This Row],[reach]]*RANDBETWEEN(8,12)/10,0)</f>
        <v>28310</v>
      </c>
      <c r="M10" s="4">
        <f ca="1">T_Facebook_Ads[[#This Row],[frequency]]*RANDBETWEEN(8,12)/10</f>
        <v>0.99199999999999999</v>
      </c>
      <c r="O10" s="3">
        <f t="shared" ca="1" si="1"/>
        <v>45174</v>
      </c>
      <c r="P10" s="4" t="s">
        <v>88</v>
      </c>
      <c r="Q10" s="4" t="s">
        <v>89</v>
      </c>
      <c r="R10" s="4" t="s">
        <v>90</v>
      </c>
      <c r="S10" s="4" t="s">
        <v>59</v>
      </c>
      <c r="T10" s="4">
        <f ca="1">ROUND(_Google_ads[[#This Row],[impressions]]*RANDBETWEEN(8,12)/10,0)</f>
        <v>135802</v>
      </c>
      <c r="U10" s="4">
        <f ca="1">ROUND(_Google_ads[[#This Row],[clicks]]*RANDBETWEEN(8,12)/10,0)</f>
        <v>502</v>
      </c>
      <c r="V10" s="4">
        <f ca="1">_Google_ads[[#This Row],[cost]]*RANDBETWEEN(8,12)/10</f>
        <v>111.06000000000002</v>
      </c>
      <c r="W10" s="4">
        <f ca="1">ROUND(_Google_ads[[#This Row],[conversions]]*RANDBETWEEN(8,12)/10,0)</f>
        <v>12</v>
      </c>
      <c r="X10" s="4">
        <f ca="1">ROUND(_Google_ads[[#This Row],[conversion_value]]*RANDBETWEEN(8,12)/10,0)</f>
        <v>540</v>
      </c>
      <c r="Y10" s="4">
        <f ca="1">_Google_ads[[#This Row],[ctr]]*RANDBETWEEN(8,12)/10</f>
        <v>4.0699999999999998E-3</v>
      </c>
      <c r="Z10" s="4">
        <f ca="1">_Google_ads[[#This Row],[avg_cpc]]*RANDBETWEEN(8,12)/10</f>
        <v>0.32400000000000001</v>
      </c>
      <c r="AA10" s="4">
        <f ca="1">ROUND(_Google_ads[[#This Row],[quality_score]]*RANDBETWEEN(8,12)/10,0)</f>
        <v>7</v>
      </c>
      <c r="AB10" s="4">
        <f ca="1">_Google_ads[[#This Row],[search_impression_share]]*RANDBETWEEN(8,12)/10</f>
        <v>0.41999999999999993</v>
      </c>
      <c r="AD10" s="3">
        <f t="shared" ca="1" si="2"/>
        <v>45188</v>
      </c>
      <c r="AE10" s="4" t="s">
        <v>112</v>
      </c>
      <c r="AF10" s="4" t="s">
        <v>113</v>
      </c>
      <c r="AG10" s="4" t="s">
        <v>114</v>
      </c>
      <c r="AH10" s="4" t="s">
        <v>115</v>
      </c>
      <c r="AI10" s="4">
        <f ca="1">ROUND(T_Tiktok_ads[[#This Row],[impressions]]*RANDBETWEEN(8,12)/10,0)</f>
        <v>276542</v>
      </c>
      <c r="AJ10" s="4">
        <f ca="1">ROUND(T_Tiktok_ads[[#This Row],[clicks]]*RANDBETWEEN(8,12)/10,0)</f>
        <v>4542</v>
      </c>
      <c r="AK10" s="4">
        <v>890.1</v>
      </c>
      <c r="AL10" s="4">
        <f ca="1">ROUND(T_Tiktok_ads[[#This Row],[conversions]]*RANDBETWEEN(8,12)/10,0)</f>
        <v>98</v>
      </c>
      <c r="AM10" s="4">
        <f ca="1">ROUND(T_Tiktok_ads[[#This Row],[video_views]]*RANDBETWEEN(8,12)/10,0)</f>
        <v>231387</v>
      </c>
      <c r="AN10" s="4">
        <f ca="1">ROUND(T_Tiktok_ads[[#This Row],[video_watch_25]]*RANDBETWEEN(8,12)/10,0)</f>
        <v>211110</v>
      </c>
      <c r="AO10" s="4">
        <f ca="1">ROUND(T_Tiktok_ads[[#This Row],[video_watch_50]]*RANDBETWEEN(8,12)/10,0)</f>
        <v>208157</v>
      </c>
      <c r="AP10" s="4">
        <f ca="1">ROUND(T_Tiktok_ads[[#This Row],[video_watch_75]]*RANDBETWEEN(8,12)/10,0)</f>
        <v>121110</v>
      </c>
      <c r="AQ10" s="4">
        <f ca="1">ROUND(T_Tiktok_ads[[#This Row],[video_watch_100]]*RANDBETWEEN(8,12)/10,0)</f>
        <v>71387</v>
      </c>
      <c r="AR10" s="4">
        <f ca="1">ROUND(T_Tiktok_ads[[#This Row],[likes]]*RANDBETWEEN(8,12)/10,0)</f>
        <v>15678</v>
      </c>
      <c r="AS10" s="4">
        <f ca="1">ROUND(T_Tiktok_ads[[#This Row],[shares]]*RANDBETWEEN(8,12)/10,0)</f>
        <v>4567</v>
      </c>
      <c r="AT10" s="4">
        <f ca="1">ROUND(T_Tiktok_ads[[#This Row],[comments]]*RANDBETWEEN(8,12)/10,0)</f>
        <v>987</v>
      </c>
      <c r="AV10" s="5">
        <f t="shared" ca="1" si="3"/>
        <v>45187</v>
      </c>
      <c r="AW10">
        <f t="shared" ca="1" si="4"/>
        <v>5</v>
      </c>
      <c r="AX10">
        <f ca="1">ROUND(T_Facebook_Ads115963677175798387[[#This Row],[impressions]]*RANDBETWEEN(8,12)/10,0)</f>
        <v>28009</v>
      </c>
      <c r="AY10">
        <f ca="1">ROUND(T_Facebook_Ads115963677175798387[[#This Row],[clicks]]*RANDBETWEEN(8,12)/10,0)</f>
        <v>1747</v>
      </c>
      <c r="AZ10">
        <f ca="1">T_Facebook_Ads115963677175798387[[#This Row],[spend]]*RANDBETWEEN(8,12)/10</f>
        <v>153.648</v>
      </c>
      <c r="BA10">
        <f ca="1">ROUND(T_Facebook_Ads115963677175798387[[#This Row],[conversions]]*RANDBETWEEN(8,12)/10,0)</f>
        <v>31</v>
      </c>
      <c r="BB10">
        <f ca="1">ROUND(T_Facebook_Ads115963677175798387[[#This Row],[video_views]]*RANDBETWEEN(8,12)/10,0)</f>
        <v>3350</v>
      </c>
    </row>
    <row r="11" spans="1:54" ht="15.75" thickBot="1" x14ac:dyDescent="0.3">
      <c r="A11" s="3">
        <f t="shared" ca="1" si="0"/>
        <v>45196</v>
      </c>
      <c r="B11" s="4" t="s">
        <v>52</v>
      </c>
      <c r="C11" s="4" t="s">
        <v>53</v>
      </c>
      <c r="D11" s="4" t="s">
        <v>54</v>
      </c>
      <c r="E11" s="4" t="s">
        <v>55</v>
      </c>
      <c r="F11" s="4">
        <f ca="1">ROUND(T_Facebook_Ads[[#This Row],[impressions]]*RANDBETWEEN(8,12)/10,0)</f>
        <v>56357</v>
      </c>
      <c r="G11" s="4">
        <v>1023</v>
      </c>
      <c r="H11" s="4">
        <f ca="1">T_Facebook_Ads[[#This Row],[spend]]*RANDBETWEEN(8,12)/10</f>
        <v>128.07</v>
      </c>
      <c r="I11" s="4">
        <f ca="1">ROUND(T_Facebook_Ads[[#This Row],[conversions]]*RANDBETWEEN(8,12)/10,0)</f>
        <v>15</v>
      </c>
      <c r="J11" s="4">
        <f ca="1">ROUND(T_Facebook_Ads[[#This Row],[video_views]]*RANDBETWEEN(8,12)/10,0)</f>
        <v>9234</v>
      </c>
      <c r="K11" s="4">
        <f ca="1">T_Facebook_Ads[[#This Row],[engagement_rate]]*RANDBETWEEN(8,12)/10</f>
        <v>0.02</v>
      </c>
      <c r="L11" s="4">
        <f ca="1">ROUND(T_Facebook_Ads[[#This Row],[reach]]*RANDBETWEEN(8,12)/10,0)</f>
        <v>42567</v>
      </c>
      <c r="M11" s="4">
        <f ca="1">T_Facebook_Ads[[#This Row],[frequency]]*RANDBETWEEN(8,12)/10</f>
        <v>1.44</v>
      </c>
      <c r="O11" s="3">
        <f t="shared" ca="1" si="1"/>
        <v>45179</v>
      </c>
      <c r="P11" s="4" t="s">
        <v>76</v>
      </c>
      <c r="Q11" s="4" t="s">
        <v>77</v>
      </c>
      <c r="R11" s="4" t="s">
        <v>78</v>
      </c>
      <c r="S11" s="4" t="s">
        <v>79</v>
      </c>
      <c r="T11" s="4">
        <f ca="1">ROUND(_Google_ads[[#This Row],[impressions]]*RANDBETWEEN(8,12)/10,0)</f>
        <v>28246</v>
      </c>
      <c r="U11" s="4">
        <f ca="1">ROUND(_Google_ads[[#This Row],[clicks]]*RANDBETWEEN(8,12)/10,0)</f>
        <v>1211</v>
      </c>
      <c r="V11" s="4">
        <f ca="1">_Google_ads[[#This Row],[cost]]*RANDBETWEEN(8,12)/10</f>
        <v>256.7</v>
      </c>
      <c r="W11" s="4">
        <f ca="1">ROUND(_Google_ads[[#This Row],[conversions]]*RANDBETWEEN(8,12)/10,0)</f>
        <v>50</v>
      </c>
      <c r="X11" s="4">
        <f ca="1">ROUND(_Google_ads[[#This Row],[conversion_value]]*RANDBETWEEN(8,12)/10,0)</f>
        <v>2500</v>
      </c>
      <c r="Y11" s="4">
        <f ca="1">_Google_ads[[#This Row],[ctr]]*RANDBETWEEN(8,12)/10</f>
        <v>5.2400000000000002E-2</v>
      </c>
      <c r="Z11" s="4">
        <f ca="1">_Google_ads[[#This Row],[avg_cpc]]*RANDBETWEEN(8,12)/10</f>
        <v>0.17099999999999999</v>
      </c>
      <c r="AA11" s="4">
        <f ca="1">ROUND(_Google_ads[[#This Row],[quality_score]]*RANDBETWEEN(8,12)/10,0)</f>
        <v>7</v>
      </c>
      <c r="AB11" s="4">
        <f ca="1">_Google_ads[[#This Row],[search_impression_share]]*RANDBETWEEN(8,12)/10</f>
        <v>0.73599999999999999</v>
      </c>
      <c r="AD11" s="3">
        <f t="shared" ca="1" si="2"/>
        <v>45191</v>
      </c>
      <c r="AE11" s="4" t="s">
        <v>100</v>
      </c>
      <c r="AF11" s="4" t="s">
        <v>101</v>
      </c>
      <c r="AG11" s="4" t="s">
        <v>102</v>
      </c>
      <c r="AH11" s="4" t="s">
        <v>103</v>
      </c>
      <c r="AI11" s="4">
        <f ca="1">ROUND(T_Tiktok_ads[[#This Row],[impressions]]*RANDBETWEEN(8,12)/10,0)</f>
        <v>282468</v>
      </c>
      <c r="AJ11" s="4">
        <f ca="1">ROUND(T_Tiktok_ads[[#This Row],[clicks]]*RANDBETWEEN(8,12)/10,0)</f>
        <v>3112</v>
      </c>
      <c r="AK11" s="4">
        <v>512.29999999999995</v>
      </c>
      <c r="AL11" s="4">
        <f ca="1">ROUND(T_Tiktok_ads[[#This Row],[conversions]]*RANDBETWEEN(8,12)/10,0)</f>
        <v>31</v>
      </c>
      <c r="AM11" s="4">
        <f ca="1">ROUND(T_Tiktok_ads[[#This Row],[video_views]]*RANDBETWEEN(8,12)/10,0)</f>
        <v>260947</v>
      </c>
      <c r="AN11" s="4">
        <f ca="1">ROUND(T_Tiktok_ads[[#This Row],[video_watch_25]]*RANDBETWEEN(8,12)/10,0)</f>
        <v>136187</v>
      </c>
      <c r="AO11" s="4">
        <f ca="1">ROUND(T_Tiktok_ads[[#This Row],[video_watch_50]]*RANDBETWEEN(8,12)/10,0)</f>
        <v>117957</v>
      </c>
      <c r="AP11" s="4">
        <f ca="1">ROUND(T_Tiktok_ads[[#This Row],[video_watch_75]]*RANDBETWEEN(8,12)/10,0)</f>
        <v>72456</v>
      </c>
      <c r="AQ11" s="4">
        <f ca="1">ROUND(T_Tiktok_ads[[#This Row],[video_watch_100]]*RANDBETWEEN(8,12)/10,0)</f>
        <v>38765</v>
      </c>
      <c r="AR11" s="4">
        <f ca="1">ROUND(T_Tiktok_ads[[#This Row],[likes]]*RANDBETWEEN(8,12)/10,0)</f>
        <v>8610</v>
      </c>
      <c r="AS11" s="4">
        <f ca="1">ROUND(T_Tiktok_ads[[#This Row],[shares]]*RANDBETWEEN(8,12)/10,0)</f>
        <v>2310</v>
      </c>
      <c r="AT11" s="4">
        <f ca="1">ROUND(T_Tiktok_ads[[#This Row],[comments]]*RANDBETWEEN(8,12)/10,0)</f>
        <v>612</v>
      </c>
      <c r="AV11" s="5">
        <f t="shared" ca="1" si="3"/>
        <v>45182</v>
      </c>
      <c r="AW11">
        <f t="shared" ca="1" si="4"/>
        <v>8</v>
      </c>
      <c r="AX11">
        <f ca="1">ROUND(T_Facebook_Ads115963677175798387[[#This Row],[impressions]]*RANDBETWEEN(8,12)/10,0)</f>
        <v>56357</v>
      </c>
      <c r="AY11">
        <f ca="1">ROUND(T_Facebook_Ads115963677175798387[[#This Row],[clicks]]*RANDBETWEEN(8,12)/10,0)</f>
        <v>1023</v>
      </c>
      <c r="AZ11">
        <f ca="1">T_Facebook_Ads115963677175798387[[#This Row],[spend]]*RANDBETWEEN(8,12)/10</f>
        <v>102.45599999999999</v>
      </c>
      <c r="BA11">
        <f ca="1">ROUND(T_Facebook_Ads115963677175798387[[#This Row],[conversions]]*RANDBETWEEN(8,12)/10,0)</f>
        <v>18</v>
      </c>
      <c r="BB11">
        <f ca="1">ROUND(T_Facebook_Ads115963677175798387[[#This Row],[video_views]]*RANDBETWEEN(8,12)/10,0)</f>
        <v>9234</v>
      </c>
    </row>
    <row r="12" spans="1:54" ht="15.75" thickBot="1" x14ac:dyDescent="0.3">
      <c r="A12" s="3">
        <f t="shared" ca="1" si="0"/>
        <v>45187</v>
      </c>
      <c r="B12" s="4" t="s">
        <v>56</v>
      </c>
      <c r="C12" s="4" t="s">
        <v>57</v>
      </c>
      <c r="D12" s="4" t="s">
        <v>58</v>
      </c>
      <c r="E12" s="4" t="s">
        <v>59</v>
      </c>
      <c r="F12" s="4">
        <f ca="1">ROUND(T_Facebook_Ads[[#This Row],[impressions]]*RANDBETWEEN(8,12)/10,0)</f>
        <v>13110</v>
      </c>
      <c r="G12" s="4">
        <v>678</v>
      </c>
      <c r="H12" s="4">
        <f ca="1">T_Facebook_Ads[[#This Row],[spend]]*RANDBETWEEN(8,12)/10</f>
        <v>245.6</v>
      </c>
      <c r="I12" s="4">
        <f ca="1">ROUND(T_Facebook_Ads[[#This Row],[conversions]]*RANDBETWEEN(8,12)/10,0)</f>
        <v>46</v>
      </c>
      <c r="J12" s="4">
        <f ca="1">ROUND(T_Facebook_Ads[[#This Row],[video_views]]*RANDBETWEEN(8,12)/10,0)</f>
        <v>1567</v>
      </c>
      <c r="K12" s="4">
        <f ca="1">T_Facebook_Ads[[#This Row],[engagement_rate]]*RANDBETWEEN(8,12)/10</f>
        <v>3.7199999999999997E-2</v>
      </c>
      <c r="L12" s="4">
        <f ca="1">ROUND(T_Facebook_Ads[[#This Row],[reach]]*RANDBETWEEN(8,12)/10,0)</f>
        <v>8987</v>
      </c>
      <c r="M12" s="4">
        <f ca="1">T_Facebook_Ads[[#This Row],[frequency]]*RANDBETWEEN(8,12)/10</f>
        <v>1.56</v>
      </c>
      <c r="O12" s="3">
        <f t="shared" ca="1" si="1"/>
        <v>45185</v>
      </c>
      <c r="P12" s="4" t="s">
        <v>84</v>
      </c>
      <c r="Q12" s="4" t="s">
        <v>85</v>
      </c>
      <c r="R12" s="4" t="s">
        <v>86</v>
      </c>
      <c r="S12" s="4" t="s">
        <v>87</v>
      </c>
      <c r="T12" s="4">
        <f ca="1">ROUND(_Google_ads[[#This Row],[impressions]]*RANDBETWEEN(8,12)/10,0)</f>
        <v>62510</v>
      </c>
      <c r="U12" s="4">
        <f ca="1">ROUND(_Google_ads[[#This Row],[clicks]]*RANDBETWEEN(8,12)/10,0)</f>
        <v>1787</v>
      </c>
      <c r="V12" s="4">
        <f ca="1">_Google_ads[[#This Row],[cost]]*RANDBETWEEN(8,12)/10</f>
        <v>453.53000000000003</v>
      </c>
      <c r="W12" s="4">
        <f ca="1">ROUND(_Google_ads[[#This Row],[conversions]]*RANDBETWEEN(8,12)/10,0)</f>
        <v>52</v>
      </c>
      <c r="X12" s="4">
        <f ca="1">ROUND(_Google_ads[[#This Row],[conversion_value]]*RANDBETWEEN(8,12)/10,0)</f>
        <v>2925</v>
      </c>
      <c r="Y12" s="4">
        <f ca="1">_Google_ads[[#This Row],[ctr]]*RANDBETWEEN(8,12)/10</f>
        <v>3.542E-2</v>
      </c>
      <c r="Z12" s="4">
        <f ca="1">_Google_ads[[#This Row],[avg_cpc]]*RANDBETWEEN(8,12)/10</f>
        <v>0.21600000000000003</v>
      </c>
      <c r="AA12" s="4">
        <f ca="1">ROUND(_Google_ads[[#This Row],[quality_score]]*RANDBETWEEN(8,12)/10,0)</f>
        <v>7</v>
      </c>
      <c r="AB12" s="4">
        <f ca="1">_Google_ads[[#This Row],[search_impression_share]]*RANDBETWEEN(8,12)/10</f>
        <v>0.66</v>
      </c>
      <c r="AD12" s="3">
        <f t="shared" ca="1" si="2"/>
        <v>45197</v>
      </c>
      <c r="AE12" s="4" t="s">
        <v>108</v>
      </c>
      <c r="AF12" s="4" t="s">
        <v>109</v>
      </c>
      <c r="AG12" s="4" t="s">
        <v>110</v>
      </c>
      <c r="AH12" s="4" t="s">
        <v>111</v>
      </c>
      <c r="AI12" s="4">
        <f ca="1">ROUND(T_Tiktok_ads[[#This Row],[impressions]]*RANDBETWEEN(8,12)/10,0)</f>
        <v>181111</v>
      </c>
      <c r="AJ12" s="4">
        <f ca="1">ROUND(T_Tiktok_ads[[#This Row],[clicks]]*RANDBETWEEN(8,12)/10,0)</f>
        <v>2811</v>
      </c>
      <c r="AK12" s="4">
        <v>374.5</v>
      </c>
      <c r="AL12" s="4">
        <f ca="1">ROUND(T_Tiktok_ads[[#This Row],[conversions]]*RANDBETWEEN(8,12)/10,0)</f>
        <v>31</v>
      </c>
      <c r="AM12" s="4">
        <f ca="1">ROUND(T_Tiktok_ads[[#This Row],[video_views]]*RANDBETWEEN(8,12)/10,0)</f>
        <v>126312</v>
      </c>
      <c r="AN12" s="4">
        <f ca="1">ROUND(T_Tiktok_ads[[#This Row],[video_watch_25]]*RANDBETWEEN(8,12)/10,0)</f>
        <v>133357</v>
      </c>
      <c r="AO12" s="4">
        <f ca="1">ROUND(T_Tiktok_ads[[#This Row],[video_watch_50]]*RANDBETWEEN(8,12)/10,0)</f>
        <v>105857</v>
      </c>
      <c r="AP12" s="4">
        <f ca="1">ROUND(T_Tiktok_ads[[#This Row],[video_watch_75]]*RANDBETWEEN(8,12)/10,0)</f>
        <v>48987</v>
      </c>
      <c r="AQ12" s="4">
        <f ca="1">ROUND(T_Tiktok_ads[[#This Row],[video_watch_100]]*RANDBETWEEN(8,12)/10,0)</f>
        <v>41202</v>
      </c>
      <c r="AR12" s="4">
        <f ca="1">ROUND(T_Tiktok_ads[[#This Row],[likes]]*RANDBETWEEN(8,12)/10,0)</f>
        <v>7345</v>
      </c>
      <c r="AS12" s="4">
        <f ca="1">ROUND(T_Tiktok_ads[[#This Row],[shares]]*RANDBETWEEN(8,12)/10,0)</f>
        <v>2237</v>
      </c>
      <c r="AT12" s="4">
        <f ca="1">ROUND(T_Tiktok_ads[[#This Row],[comments]]*RANDBETWEEN(8,12)/10,0)</f>
        <v>440</v>
      </c>
      <c r="AV12" s="5">
        <f t="shared" ca="1" si="3"/>
        <v>45194</v>
      </c>
      <c r="AW12">
        <f t="shared" ca="1" si="4"/>
        <v>1</v>
      </c>
      <c r="AX12">
        <f ca="1">ROUND(T_Facebook_Ads115963677175798387[[#This Row],[impressions]]*RANDBETWEEN(8,12)/10,0)</f>
        <v>11799</v>
      </c>
      <c r="AY12">
        <f ca="1">ROUND(T_Facebook_Ads115963677175798387[[#This Row],[clicks]]*RANDBETWEEN(8,12)/10,0)</f>
        <v>814</v>
      </c>
      <c r="AZ12">
        <f ca="1">T_Facebook_Ads115963677175798387[[#This Row],[spend]]*RANDBETWEEN(8,12)/10</f>
        <v>221.04000000000002</v>
      </c>
      <c r="BA12">
        <f ca="1">ROUND(T_Facebook_Ads115963677175798387[[#This Row],[conversions]]*RANDBETWEEN(8,12)/10,0)</f>
        <v>41</v>
      </c>
      <c r="BB12">
        <f ca="1">ROUND(T_Facebook_Ads115963677175798387[[#This Row],[video_views]]*RANDBETWEEN(8,12)/10,0)</f>
        <v>1410</v>
      </c>
    </row>
    <row r="13" spans="1:54" ht="15.75" thickBot="1" x14ac:dyDescent="0.3">
      <c r="A13" s="3">
        <f t="shared" ca="1" si="0"/>
        <v>45186</v>
      </c>
      <c r="B13" s="4" t="s">
        <v>64</v>
      </c>
      <c r="C13" s="4" t="s">
        <v>65</v>
      </c>
      <c r="D13" s="4" t="s">
        <v>66</v>
      </c>
      <c r="E13" s="4" t="s">
        <v>67</v>
      </c>
      <c r="F13" s="4">
        <f ca="1">ROUND(T_Facebook_Ads[[#This Row],[impressions]]*RANDBETWEEN(8,12)/10,0)</f>
        <v>74679</v>
      </c>
      <c r="G13" s="4">
        <v>234</v>
      </c>
      <c r="H13" s="4">
        <f ca="1">T_Facebook_Ads[[#This Row],[spend]]*RANDBETWEEN(8,12)/10</f>
        <v>80.55</v>
      </c>
      <c r="I13" s="4">
        <f ca="1">ROUND(T_Facebook_Ads[[#This Row],[conversions]]*RANDBETWEEN(8,12)/10,0)</f>
        <v>5</v>
      </c>
      <c r="J13" s="4">
        <f ca="1">ROUND(T_Facebook_Ads[[#This Row],[video_views]]*RANDBETWEEN(8,12)/10,0)</f>
        <v>50246</v>
      </c>
      <c r="K13" s="4">
        <f ca="1">T_Facebook_Ads[[#This Row],[engagement_rate]]*RANDBETWEEN(8,12)/10</f>
        <v>3.0599999999999998E-3</v>
      </c>
      <c r="L13" s="4">
        <f ca="1">ROUND(T_Facebook_Ads[[#This Row],[reach]]*RANDBETWEEN(8,12)/10,0)</f>
        <v>45431</v>
      </c>
      <c r="M13" s="4">
        <f ca="1">T_Facebook_Ads[[#This Row],[frequency]]*RANDBETWEEN(8,12)/10</f>
        <v>1.0799999999999998</v>
      </c>
      <c r="O13" s="3">
        <f t="shared" ca="1" si="1"/>
        <v>45178</v>
      </c>
      <c r="P13" s="4" t="s">
        <v>88</v>
      </c>
      <c r="Q13" s="4" t="s">
        <v>89</v>
      </c>
      <c r="R13" s="4" t="s">
        <v>90</v>
      </c>
      <c r="S13" s="4" t="s">
        <v>59</v>
      </c>
      <c r="T13" s="4">
        <f ca="1">ROUND(_Google_ads[[#This Row],[impressions]]*RANDBETWEEN(8,12)/10,0)</f>
        <v>107654</v>
      </c>
      <c r="U13" s="4">
        <f ca="1">ROUND(_Google_ads[[#This Row],[clicks]]*RANDBETWEEN(8,12)/10,0)</f>
        <v>538</v>
      </c>
      <c r="V13" s="4">
        <f ca="1">_Google_ads[[#This Row],[cost]]*RANDBETWEEN(8,12)/10</f>
        <v>121.05</v>
      </c>
      <c r="W13" s="4">
        <f ca="1">ROUND(_Google_ads[[#This Row],[conversions]]*RANDBETWEEN(8,12)/10,0)</f>
        <v>14</v>
      </c>
      <c r="X13" s="4">
        <f ca="1">ROUND(_Google_ads[[#This Row],[conversion_value]]*RANDBETWEEN(8,12)/10,0)</f>
        <v>840</v>
      </c>
      <c r="Y13" s="4">
        <f ca="1">_Google_ads[[#This Row],[ctr]]*RANDBETWEEN(8,12)/10</f>
        <v>2.8799999999999997E-3</v>
      </c>
      <c r="Z13" s="4">
        <f ca="1">_Google_ads[[#This Row],[avg_cpc]]*RANDBETWEEN(8,12)/10</f>
        <v>0.28000000000000003</v>
      </c>
      <c r="AA13" s="4">
        <f ca="1">ROUND(_Google_ads[[#This Row],[quality_score]]*RANDBETWEEN(8,12)/10,0)</f>
        <v>8</v>
      </c>
      <c r="AB13" s="4">
        <f ca="1">_Google_ads[[#This Row],[search_impression_share]]*RANDBETWEEN(8,12)/10</f>
        <v>0.39600000000000002</v>
      </c>
      <c r="AD13" s="3">
        <f t="shared" ca="1" si="2"/>
        <v>45181</v>
      </c>
      <c r="AE13" s="4" t="s">
        <v>112</v>
      </c>
      <c r="AF13" s="4" t="s">
        <v>113</v>
      </c>
      <c r="AG13" s="4" t="s">
        <v>114</v>
      </c>
      <c r="AH13" s="4" t="s">
        <v>115</v>
      </c>
      <c r="AI13" s="4">
        <f ca="1">ROUND(T_Tiktok_ads[[#This Row],[impressions]]*RANDBETWEEN(8,12)/10,0)</f>
        <v>294312</v>
      </c>
      <c r="AJ13" s="4">
        <f ca="1">ROUND(T_Tiktok_ads[[#This Row],[clicks]]*RANDBETWEEN(8,12)/10,0)</f>
        <v>6613</v>
      </c>
      <c r="AK13" s="4">
        <v>923.4</v>
      </c>
      <c r="AL13" s="4">
        <f ca="1">ROUND(T_Tiktok_ads[[#This Row],[conversions]]*RANDBETWEEN(8,12)/10,0)</f>
        <v>85</v>
      </c>
      <c r="AM13" s="4">
        <f ca="1">ROUND(T_Tiktok_ads[[#This Row],[video_views]]*RANDBETWEEN(8,12)/10,0)</f>
        <v>240987</v>
      </c>
      <c r="AN13" s="4">
        <f ca="1">ROUND(T_Tiktok_ads[[#This Row],[video_watch_25]]*RANDBETWEEN(8,12)/10,0)</f>
        <v>294814</v>
      </c>
      <c r="AO13" s="4">
        <f ca="1">ROUND(T_Tiktok_ads[[#This Row],[video_watch_50]]*RANDBETWEEN(8,12)/10,0)</f>
        <v>177110</v>
      </c>
      <c r="AP13" s="4">
        <f ca="1">ROUND(T_Tiktok_ads[[#This Row],[video_watch_75]]*RANDBETWEEN(8,12)/10,0)</f>
        <v>126211</v>
      </c>
      <c r="AQ13" s="4">
        <f ca="1">ROUND(T_Tiktok_ads[[#This Row],[video_watch_100]]*RANDBETWEEN(8,12)/10,0)</f>
        <v>74765</v>
      </c>
      <c r="AR13" s="4">
        <f ca="1">ROUND(T_Tiktok_ads[[#This Row],[likes]]*RANDBETWEEN(8,12)/10,0)</f>
        <v>16234</v>
      </c>
      <c r="AS13" s="4">
        <f ca="1">ROUND(T_Tiktok_ads[[#This Row],[shares]]*RANDBETWEEN(8,12)/10,0)</f>
        <v>3831</v>
      </c>
      <c r="AT13" s="4">
        <f ca="1">ROUND(T_Tiktok_ads[[#This Row],[comments]]*RANDBETWEEN(8,12)/10,0)</f>
        <v>1289</v>
      </c>
      <c r="AV13" s="5">
        <f t="shared" ca="1" si="3"/>
        <v>45173</v>
      </c>
      <c r="AW13">
        <f t="shared" ca="1" si="4"/>
        <v>1</v>
      </c>
      <c r="AX13">
        <f ca="1">ROUND(T_Facebook_Ads115963677175798387[[#This Row],[impressions]]*RANDBETWEEN(8,12)/10,0)</f>
        <v>67211</v>
      </c>
      <c r="AY13">
        <f ca="1">ROUND(T_Facebook_Ads115963677175798387[[#This Row],[clicks]]*RANDBETWEEN(8,12)/10,0)</f>
        <v>211</v>
      </c>
      <c r="AZ13">
        <f ca="1">T_Facebook_Ads115963677175798387[[#This Row],[spend]]*RANDBETWEEN(8,12)/10</f>
        <v>88.60499999999999</v>
      </c>
      <c r="BA13">
        <f ca="1">ROUND(T_Facebook_Ads115963677175798387[[#This Row],[conversions]]*RANDBETWEEN(8,12)/10,0)</f>
        <v>5</v>
      </c>
      <c r="BB13">
        <f ca="1">ROUND(T_Facebook_Ads115963677175798387[[#This Row],[video_views]]*RANDBETWEEN(8,12)/10,0)</f>
        <v>40197</v>
      </c>
    </row>
    <row r="14" spans="1:54" ht="15.75" thickBot="1" x14ac:dyDescent="0.3">
      <c r="A14" s="3">
        <f t="shared" ca="1" si="0"/>
        <v>45196</v>
      </c>
      <c r="B14" s="4" t="s">
        <v>52</v>
      </c>
      <c r="C14" s="4" t="s">
        <v>53</v>
      </c>
      <c r="D14" s="4" t="s">
        <v>54</v>
      </c>
      <c r="E14" s="4" t="s">
        <v>55</v>
      </c>
      <c r="F14" s="4">
        <f ca="1">ROUND(T_Facebook_Ads[[#This Row],[impressions]]*RANDBETWEEN(8,12)/10,0)</f>
        <v>56147</v>
      </c>
      <c r="G14" s="4">
        <v>934</v>
      </c>
      <c r="H14" s="4">
        <f ca="1">T_Facebook_Ads[[#This Row],[spend]]*RANDBETWEEN(8,12)/10</f>
        <v>118.08</v>
      </c>
      <c r="I14" s="4">
        <f ca="1">ROUND(T_Facebook_Ads[[#This Row],[conversions]]*RANDBETWEEN(8,12)/10,0)</f>
        <v>14</v>
      </c>
      <c r="J14" s="4">
        <f ca="1">ROUND(T_Facebook_Ads[[#This Row],[video_views]]*RANDBETWEEN(8,12)/10,0)</f>
        <v>8567</v>
      </c>
      <c r="K14" s="4">
        <f ca="1">T_Facebook_Ads[[#This Row],[engagement_rate]]*RANDBETWEEN(8,12)/10</f>
        <v>1.7999999999999999E-2</v>
      </c>
      <c r="L14" s="4">
        <f ca="1">ROUND(T_Facebook_Ads[[#This Row],[reach]]*RANDBETWEEN(8,12)/10,0)</f>
        <v>43157</v>
      </c>
      <c r="M14" s="4">
        <f ca="1">T_Facebook_Ads[[#This Row],[frequency]]*RANDBETWEEN(8,12)/10</f>
        <v>1.071</v>
      </c>
      <c r="O14" s="3">
        <f t="shared" ca="1" si="1"/>
        <v>45179</v>
      </c>
      <c r="P14" s="4" t="s">
        <v>76</v>
      </c>
      <c r="Q14" s="4" t="s">
        <v>77</v>
      </c>
      <c r="R14" s="4" t="s">
        <v>78</v>
      </c>
      <c r="S14" s="4" t="s">
        <v>79</v>
      </c>
      <c r="T14" s="4">
        <f ca="1">ROUND(_Google_ads[[#This Row],[impressions]]*RANDBETWEEN(8,12)/10,0)</f>
        <v>28668</v>
      </c>
      <c r="U14" s="4">
        <f ca="1">ROUND(_Google_ads[[#This Row],[clicks]]*RANDBETWEEN(8,12)/10,0)</f>
        <v>1481</v>
      </c>
      <c r="V14" s="4">
        <f ca="1">_Google_ads[[#This Row],[cost]]*RANDBETWEEN(8,12)/10</f>
        <v>258.39</v>
      </c>
      <c r="W14" s="4">
        <f ca="1">ROUND(_Google_ads[[#This Row],[conversions]]*RANDBETWEEN(8,12)/10,0)</f>
        <v>55</v>
      </c>
      <c r="X14" s="4">
        <f ca="1">ROUND(_Google_ads[[#This Row],[conversion_value]]*RANDBETWEEN(8,12)/10,0)</f>
        <v>1840</v>
      </c>
      <c r="Y14" s="4">
        <f ca="1">_Google_ads[[#This Row],[ctr]]*RANDBETWEEN(8,12)/10</f>
        <v>5.1700000000000003E-2</v>
      </c>
      <c r="Z14" s="4">
        <f ca="1">_Google_ads[[#This Row],[avg_cpc]]*RANDBETWEEN(8,12)/10</f>
        <v>0.152</v>
      </c>
      <c r="AA14" s="4">
        <f ca="1">ROUND(_Google_ads[[#This Row],[quality_score]]*RANDBETWEEN(8,12)/10,0)</f>
        <v>7</v>
      </c>
      <c r="AB14" s="4">
        <f ca="1">_Google_ads[[#This Row],[search_impression_share]]*RANDBETWEEN(8,12)/10</f>
        <v>0.81899999999999995</v>
      </c>
      <c r="AD14" s="3">
        <f t="shared" ca="1" si="2"/>
        <v>45196</v>
      </c>
      <c r="AE14" s="4" t="s">
        <v>100</v>
      </c>
      <c r="AF14" s="4" t="s">
        <v>101</v>
      </c>
      <c r="AG14" s="4" t="s">
        <v>102</v>
      </c>
      <c r="AH14" s="4" t="s">
        <v>103</v>
      </c>
      <c r="AI14" s="4">
        <f ca="1">ROUND(T_Tiktok_ads[[#This Row],[impressions]]*RANDBETWEEN(8,12)/10,0)</f>
        <v>234234</v>
      </c>
      <c r="AJ14" s="4">
        <f ca="1">ROUND(T_Tiktok_ads[[#This Row],[clicks]]*RANDBETWEEN(8,12)/10,0)</f>
        <v>3814</v>
      </c>
      <c r="AK14" s="4">
        <v>460.2</v>
      </c>
      <c r="AL14" s="4">
        <f ca="1">ROUND(T_Tiktok_ads[[#This Row],[conversions]]*RANDBETWEEN(8,12)/10,0)</f>
        <v>42</v>
      </c>
      <c r="AM14" s="4">
        <f ca="1">ROUND(T_Tiktok_ads[[#This Row],[video_views]]*RANDBETWEEN(8,12)/10,0)</f>
        <v>219157</v>
      </c>
      <c r="AN14" s="4">
        <f ca="1">ROUND(T_Tiktok_ads[[#This Row],[video_watch_25]]*RANDBETWEEN(8,12)/10,0)</f>
        <v>141110</v>
      </c>
      <c r="AO14" s="4">
        <f ca="1">ROUND(T_Tiktok_ads[[#This Row],[video_watch_50]]*RANDBETWEEN(8,12)/10,0)</f>
        <v>108668</v>
      </c>
      <c r="AP14" s="4">
        <f ca="1">ROUND(T_Tiktok_ads[[#This Row],[video_watch_75]]*RANDBETWEEN(8,12)/10,0)</f>
        <v>74568</v>
      </c>
      <c r="AQ14" s="4">
        <f ca="1">ROUND(T_Tiktok_ads[[#This Row],[video_watch_100]]*RANDBETWEEN(8,12)/10,0)</f>
        <v>45456</v>
      </c>
      <c r="AR14" s="4">
        <f ca="1">ROUND(T_Tiktok_ads[[#This Row],[likes]]*RANDBETWEEN(8,12)/10,0)</f>
        <v>8051</v>
      </c>
      <c r="AS14" s="4">
        <f ca="1">ROUND(T_Tiktok_ads[[#This Row],[shares]]*RANDBETWEEN(8,12)/10,0)</f>
        <v>2367</v>
      </c>
      <c r="AT14" s="4">
        <f ca="1">ROUND(T_Tiktok_ads[[#This Row],[comments]]*RANDBETWEEN(8,12)/10,0)</f>
        <v>578</v>
      </c>
      <c r="AV14" s="5">
        <f t="shared" ca="1" si="3"/>
        <v>45171</v>
      </c>
      <c r="AW14">
        <f t="shared" ca="1" si="4"/>
        <v>5</v>
      </c>
      <c r="AX14">
        <f ca="1">ROUND(T_Facebook_Ads115963677175798387[[#This Row],[impressions]]*RANDBETWEEN(8,12)/10,0)</f>
        <v>61762</v>
      </c>
      <c r="AY14">
        <f ca="1">ROUND(T_Facebook_Ads115963677175798387[[#This Row],[clicks]]*RANDBETWEEN(8,12)/10,0)</f>
        <v>747</v>
      </c>
      <c r="AZ14">
        <f ca="1">T_Facebook_Ads115963677175798387[[#This Row],[spend]]*RANDBETWEEN(8,12)/10</f>
        <v>94.463999999999999</v>
      </c>
      <c r="BA14">
        <f ca="1">ROUND(T_Facebook_Ads115963677175798387[[#This Row],[conversions]]*RANDBETWEEN(8,12)/10,0)</f>
        <v>11</v>
      </c>
      <c r="BB14">
        <f ca="1">ROUND(T_Facebook_Ads115963677175798387[[#This Row],[video_views]]*RANDBETWEEN(8,12)/10,0)</f>
        <v>10280</v>
      </c>
    </row>
    <row r="15" spans="1:54" ht="15.75" thickBot="1" x14ac:dyDescent="0.3">
      <c r="A15" s="3">
        <f t="shared" ca="1" si="0"/>
        <v>45185</v>
      </c>
      <c r="B15" s="4" t="s">
        <v>56</v>
      </c>
      <c r="C15" s="4" t="s">
        <v>57</v>
      </c>
      <c r="D15" s="4" t="s">
        <v>58</v>
      </c>
      <c r="E15" s="4" t="s">
        <v>59</v>
      </c>
      <c r="F15" s="4">
        <f ca="1">ROUND(T_Facebook_Ads[[#This Row],[impressions]]*RANDBETWEEN(8,12)/10,0)</f>
        <v>11601</v>
      </c>
      <c r="G15" s="4">
        <v>567</v>
      </c>
      <c r="H15" s="4">
        <f ca="1">T_Facebook_Ads[[#This Row],[spend]]*RANDBETWEEN(8,12)/10</f>
        <v>264.36</v>
      </c>
      <c r="I15" s="4">
        <f ca="1">ROUND(T_Facebook_Ads[[#This Row],[conversions]]*RANDBETWEEN(8,12)/10,0)</f>
        <v>29</v>
      </c>
      <c r="J15" s="4">
        <f ca="1">ROUND(T_Facebook_Ads[[#This Row],[video_views]]*RANDBETWEEN(8,12)/10,0)</f>
        <v>1211</v>
      </c>
      <c r="K15" s="4">
        <f ca="1">T_Facebook_Ads[[#This Row],[engagement_rate]]*RANDBETWEEN(8,12)/10</f>
        <v>3.5199999999999995E-2</v>
      </c>
      <c r="L15" s="4">
        <f ca="1">ROUND(T_Facebook_Ads[[#This Row],[reach]]*RANDBETWEEN(8,12)/10,0)</f>
        <v>8098</v>
      </c>
      <c r="M15" s="4">
        <f ca="1">T_Facebook_Ads[[#This Row],[frequency]]*RANDBETWEEN(8,12)/10</f>
        <v>1.016</v>
      </c>
      <c r="O15" s="3">
        <f t="shared" ca="1" si="1"/>
        <v>45186</v>
      </c>
      <c r="P15" s="4" t="s">
        <v>80</v>
      </c>
      <c r="Q15" s="4" t="s">
        <v>81</v>
      </c>
      <c r="R15" s="4" t="s">
        <v>82</v>
      </c>
      <c r="S15" s="4" t="s">
        <v>83</v>
      </c>
      <c r="T15" s="4">
        <f ca="1">ROUND(_Google_ads[[#This Row],[impressions]]*RANDBETWEEN(8,12)/10,0)</f>
        <v>36987</v>
      </c>
      <c r="U15" s="4">
        <f ca="1">ROUND(_Google_ads[[#This Row],[clicks]]*RANDBETWEEN(8,12)/10,0)</f>
        <v>1094</v>
      </c>
      <c r="V15" s="4">
        <f ca="1">_Google_ads[[#This Row],[cost]]*RANDBETWEEN(8,12)/10</f>
        <v>707.16</v>
      </c>
      <c r="W15" s="4">
        <f ca="1">ROUND(_Google_ads[[#This Row],[conversions]]*RANDBETWEEN(8,12)/10,0)</f>
        <v>26</v>
      </c>
      <c r="X15" s="4">
        <f ca="1">ROUND(_Google_ads[[#This Row],[conversion_value]]*RANDBETWEEN(8,12)/10,0)</f>
        <v>1440</v>
      </c>
      <c r="Y15" s="4">
        <f ca="1">_Google_ads[[#This Row],[ctr]]*RANDBETWEEN(8,12)/10</f>
        <v>1.7729999999999999E-2</v>
      </c>
      <c r="Z15" s="4">
        <f ca="1">_Google_ads[[#This Row],[avg_cpc]]*RANDBETWEEN(8,12)/10</f>
        <v>0.58500000000000008</v>
      </c>
      <c r="AA15" s="4">
        <f ca="1">ROUND(_Google_ads[[#This Row],[quality_score]]*RANDBETWEEN(8,12)/10,0)</f>
        <v>6</v>
      </c>
      <c r="AB15" s="4">
        <f ca="1">_Google_ads[[#This Row],[search_impression_share]]*RANDBETWEEN(8,12)/10</f>
        <v>0.36</v>
      </c>
      <c r="AD15" s="3">
        <f t="shared" ca="1" si="2"/>
        <v>45178</v>
      </c>
      <c r="AE15" s="4" t="s">
        <v>104</v>
      </c>
      <c r="AF15" s="4" t="s">
        <v>105</v>
      </c>
      <c r="AG15" s="4" t="s">
        <v>106</v>
      </c>
      <c r="AH15" s="4" t="s">
        <v>107</v>
      </c>
      <c r="AI15" s="4">
        <f ca="1">ROUND(T_Tiktok_ads[[#This Row],[impressions]]*RANDBETWEEN(8,12)/10,0)</f>
        <v>154681</v>
      </c>
      <c r="AJ15" s="4">
        <f ca="1">ROUND(T_Tiktok_ads[[#This Row],[clicks]]*RANDBETWEEN(8,12)/10,0)</f>
        <v>2702</v>
      </c>
      <c r="AK15" s="4">
        <v>689.5</v>
      </c>
      <c r="AL15" s="4">
        <f ca="1">ROUND(T_Tiktok_ads[[#This Row],[conversions]]*RANDBETWEEN(8,12)/10,0)</f>
        <v>54</v>
      </c>
      <c r="AM15" s="4">
        <f ca="1">ROUND(T_Tiktok_ads[[#This Row],[video_views]]*RANDBETWEEN(8,12)/10,0)</f>
        <v>91234</v>
      </c>
      <c r="AN15" s="4">
        <f ca="1">ROUND(T_Tiktok_ads[[#This Row],[video_watch_25]]*RANDBETWEEN(8,12)/10,0)</f>
        <v>75057</v>
      </c>
      <c r="AO15" s="4">
        <f ca="1">ROUND(T_Tiktok_ads[[#This Row],[video_watch_50]]*RANDBETWEEN(8,12)/10,0)</f>
        <v>50368</v>
      </c>
      <c r="AP15" s="4">
        <f ca="1">ROUND(T_Tiktok_ads[[#This Row],[video_watch_75]]*RANDBETWEEN(8,12)/10,0)</f>
        <v>27654</v>
      </c>
      <c r="AQ15" s="4">
        <f ca="1">ROUND(T_Tiktok_ads[[#This Row],[video_watch_100]]*RANDBETWEEN(8,12)/10,0)</f>
        <v>28414</v>
      </c>
      <c r="AR15" s="4">
        <f ca="1">ROUND(T_Tiktok_ads[[#This Row],[likes]]*RANDBETWEEN(8,12)/10,0)</f>
        <v>4678</v>
      </c>
      <c r="AS15" s="4">
        <f ca="1">ROUND(T_Tiktok_ads[[#This Row],[shares]]*RANDBETWEEN(8,12)/10,0)</f>
        <v>1140</v>
      </c>
      <c r="AT15" s="4">
        <f ca="1">ROUND(T_Tiktok_ads[[#This Row],[comments]]*RANDBETWEEN(8,12)/10,0)</f>
        <v>190</v>
      </c>
      <c r="AV15" s="5">
        <f t="shared" ca="1" si="3"/>
        <v>45171</v>
      </c>
      <c r="AW15">
        <f t="shared" ca="1" si="4"/>
        <v>2</v>
      </c>
      <c r="AX15">
        <f ca="1">ROUND(T_Facebook_Ads115963677175798387[[#This Row],[impressions]]*RANDBETWEEN(8,12)/10,0)</f>
        <v>9281</v>
      </c>
      <c r="AY15">
        <f ca="1">ROUND(T_Facebook_Ads115963677175798387[[#This Row],[clicks]]*RANDBETWEEN(8,12)/10,0)</f>
        <v>567</v>
      </c>
      <c r="AZ15">
        <f ca="1">T_Facebook_Ads115963677175798387[[#This Row],[spend]]*RANDBETWEEN(8,12)/10</f>
        <v>211.488</v>
      </c>
      <c r="BA15">
        <f ca="1">ROUND(T_Facebook_Ads115963677175798387[[#This Row],[conversions]]*RANDBETWEEN(8,12)/10,0)</f>
        <v>29</v>
      </c>
      <c r="BB15">
        <f ca="1">ROUND(T_Facebook_Ads115963677175798387[[#This Row],[video_views]]*RANDBETWEEN(8,12)/10,0)</f>
        <v>1453</v>
      </c>
    </row>
    <row r="16" spans="1:54" ht="15.75" thickBot="1" x14ac:dyDescent="0.3">
      <c r="A16" s="3">
        <f t="shared" ca="1" si="0"/>
        <v>45179</v>
      </c>
      <c r="B16" s="4" t="s">
        <v>64</v>
      </c>
      <c r="C16" s="4" t="s">
        <v>65</v>
      </c>
      <c r="D16" s="4" t="s">
        <v>66</v>
      </c>
      <c r="E16" s="4" t="s">
        <v>67</v>
      </c>
      <c r="F16" s="4">
        <f ca="1">ROUND(T_Facebook_Ads[[#This Row],[impressions]]*RANDBETWEEN(8,12)/10,0)</f>
        <v>56987</v>
      </c>
      <c r="G16" s="4">
        <v>256</v>
      </c>
      <c r="H16" s="4">
        <f ca="1">T_Facebook_Ads[[#This Row],[spend]]*RANDBETWEEN(8,12)/10</f>
        <v>75.84</v>
      </c>
      <c r="I16" s="4">
        <f ca="1">ROUND(T_Facebook_Ads[[#This Row],[conversions]]*RANDBETWEEN(8,12)/10,0)</f>
        <v>7</v>
      </c>
      <c r="J16" s="4">
        <f ca="1">ROUND(T_Facebook_Ads[[#This Row],[video_views]]*RANDBETWEEN(8,12)/10,0)</f>
        <v>44011</v>
      </c>
      <c r="K16" s="4">
        <f ca="1">T_Facebook_Ads[[#This Row],[engagement_rate]]*RANDBETWEEN(8,12)/10</f>
        <v>3.5999999999999999E-3</v>
      </c>
      <c r="L16" s="4">
        <f ca="1">ROUND(T_Facebook_Ads[[#This Row],[reach]]*RANDBETWEEN(8,12)/10,0)</f>
        <v>71081</v>
      </c>
      <c r="M16" s="4">
        <f ca="1">T_Facebook_Ads[[#This Row],[frequency]]*RANDBETWEEN(8,12)/10</f>
        <v>1.3199999999999998</v>
      </c>
      <c r="O16" s="3">
        <f t="shared" ca="1" si="1"/>
        <v>45195</v>
      </c>
      <c r="P16" s="4" t="s">
        <v>88</v>
      </c>
      <c r="Q16" s="4" t="s">
        <v>89</v>
      </c>
      <c r="R16" s="4" t="s">
        <v>90</v>
      </c>
      <c r="S16" s="4" t="s">
        <v>59</v>
      </c>
      <c r="T16" s="4">
        <f ca="1">ROUND(_Google_ads[[#This Row],[impressions]]*RANDBETWEEN(8,12)/10,0)</f>
        <v>154681</v>
      </c>
      <c r="U16" s="4">
        <f ca="1">ROUND(_Google_ads[[#This Row],[clicks]]*RANDBETWEEN(8,12)/10,0)</f>
        <v>374</v>
      </c>
      <c r="V16" s="4">
        <f ca="1">_Google_ads[[#This Row],[cost]]*RANDBETWEEN(8,12)/10</f>
        <v>128.9</v>
      </c>
      <c r="W16" s="4">
        <f ca="1">ROUND(_Google_ads[[#This Row],[conversions]]*RANDBETWEEN(8,12)/10,0)</f>
        <v>12</v>
      </c>
      <c r="X16" s="4">
        <f ca="1">ROUND(_Google_ads[[#This Row],[conversion_value]]*RANDBETWEEN(8,12)/10,0)</f>
        <v>780</v>
      </c>
      <c r="Y16" s="4">
        <f ca="1">_Google_ads[[#This Row],[ctr]]*RANDBETWEEN(8,12)/10</f>
        <v>3.2399999999999998E-3</v>
      </c>
      <c r="Z16" s="4">
        <f ca="1">_Google_ads[[#This Row],[avg_cpc]]*RANDBETWEEN(8,12)/10</f>
        <v>0.25200000000000006</v>
      </c>
      <c r="AA16" s="4">
        <f ca="1">ROUND(_Google_ads[[#This Row],[quality_score]]*RANDBETWEEN(8,12)/10,0)</f>
        <v>6</v>
      </c>
      <c r="AB16" s="4">
        <f ca="1">_Google_ads[[#This Row],[search_impression_share]]*RANDBETWEEN(8,12)/10</f>
        <v>0.30599999999999999</v>
      </c>
      <c r="AD16" s="3">
        <f t="shared" ca="1" si="2"/>
        <v>45199</v>
      </c>
      <c r="AE16" s="4" t="s">
        <v>112</v>
      </c>
      <c r="AF16" s="4" t="s">
        <v>113</v>
      </c>
      <c r="AG16" s="4" t="s">
        <v>114</v>
      </c>
      <c r="AH16" s="4" t="s">
        <v>115</v>
      </c>
      <c r="AI16" s="4">
        <f ca="1">ROUND(T_Tiktok_ads[[#This Row],[impressions]]*RANDBETWEEN(8,12)/10,0)</f>
        <v>356789</v>
      </c>
      <c r="AJ16" s="4">
        <f ca="1">ROUND(T_Tiktok_ads[[#This Row],[clicks]]*RANDBETWEEN(8,12)/10,0)</f>
        <v>6417</v>
      </c>
      <c r="AK16" s="4">
        <v>901.2</v>
      </c>
      <c r="AL16" s="4">
        <f ca="1">ROUND(T_Tiktok_ads[[#This Row],[conversions]]*RANDBETWEEN(8,12)/10,0)</f>
        <v>73</v>
      </c>
      <c r="AM16" s="4">
        <f ca="1">ROUND(T_Tiktok_ads[[#This Row],[video_views]]*RANDBETWEEN(8,12)/10,0)</f>
        <v>234765</v>
      </c>
      <c r="AN16" s="4">
        <f ca="1">ROUND(T_Tiktok_ads[[#This Row],[video_watch_25]]*RANDBETWEEN(8,12)/10,0)</f>
        <v>215311</v>
      </c>
      <c r="AO16" s="4">
        <f ca="1">ROUND(T_Tiktok_ads[[#This Row],[video_watch_50]]*RANDBETWEEN(8,12)/10,0)</f>
        <v>152987</v>
      </c>
      <c r="AP16" s="4">
        <f ca="1">ROUND(T_Tiktok_ads[[#This Row],[video_watch_75]]*RANDBETWEEN(8,12)/10,0)</f>
        <v>122611</v>
      </c>
      <c r="AQ16" s="4">
        <f ca="1">ROUND(T_Tiktok_ads[[#This Row],[video_watch_100]]*RANDBETWEEN(8,12)/10,0)</f>
        <v>90234</v>
      </c>
      <c r="AR16" s="4">
        <f ca="1">ROUND(T_Tiktok_ads[[#This Row],[likes]]*RANDBETWEEN(8,12)/10,0)</f>
        <v>14301</v>
      </c>
      <c r="AS16" s="4">
        <f ca="1">ROUND(T_Tiktok_ads[[#This Row],[shares]]*RANDBETWEEN(8,12)/10,0)</f>
        <v>5561</v>
      </c>
      <c r="AT16" s="4">
        <f ca="1">ROUND(T_Tiktok_ads[[#This Row],[comments]]*RANDBETWEEN(8,12)/10,0)</f>
        <v>1130</v>
      </c>
      <c r="AV16" s="5">
        <f t="shared" ca="1" si="3"/>
        <v>45184</v>
      </c>
      <c r="AW16">
        <f t="shared" ca="1" si="4"/>
        <v>7</v>
      </c>
      <c r="AX16">
        <f ca="1">ROUND(T_Facebook_Ads115963677175798387[[#This Row],[impressions]]*RANDBETWEEN(8,12)/10,0)</f>
        <v>62686</v>
      </c>
      <c r="AY16">
        <f ca="1">ROUND(T_Facebook_Ads115963677175798387[[#This Row],[clicks]]*RANDBETWEEN(8,12)/10,0)</f>
        <v>282</v>
      </c>
      <c r="AZ16">
        <f ca="1">T_Facebook_Ads115963677175798387[[#This Row],[spend]]*RANDBETWEEN(8,12)/10</f>
        <v>60.672000000000004</v>
      </c>
      <c r="BA16">
        <f ca="1">ROUND(T_Facebook_Ads115963677175798387[[#This Row],[conversions]]*RANDBETWEEN(8,12)/10,0)</f>
        <v>8</v>
      </c>
      <c r="BB16">
        <f ca="1">ROUND(T_Facebook_Ads115963677175798387[[#This Row],[video_views]]*RANDBETWEEN(8,12)/10,0)</f>
        <v>44011</v>
      </c>
    </row>
    <row r="17" spans="1:54" ht="15.75" thickBot="1" x14ac:dyDescent="0.3">
      <c r="A17" s="3">
        <f t="shared" ca="1" si="0"/>
        <v>45182</v>
      </c>
      <c r="B17" s="4" t="s">
        <v>52</v>
      </c>
      <c r="C17" s="4" t="s">
        <v>53</v>
      </c>
      <c r="D17" s="4" t="s">
        <v>54</v>
      </c>
      <c r="E17" s="4" t="s">
        <v>55</v>
      </c>
      <c r="F17" s="4">
        <f ca="1">ROUND(T_Facebook_Ads[[#This Row],[impressions]]*RANDBETWEEN(8,12)/10,0)</f>
        <v>40110</v>
      </c>
      <c r="G17" s="4">
        <v>878</v>
      </c>
      <c r="H17" s="4">
        <f ca="1">T_Facebook_Ads[[#This Row],[spend]]*RANDBETWEEN(8,12)/10</f>
        <v>150.71999999999997</v>
      </c>
      <c r="I17" s="4">
        <f ca="1">ROUND(T_Facebook_Ads[[#This Row],[conversions]]*RANDBETWEEN(8,12)/10,0)</f>
        <v>11</v>
      </c>
      <c r="J17" s="4">
        <f ca="1">ROUND(T_Facebook_Ads[[#This Row],[video_views]]*RANDBETWEEN(8,12)/10,0)</f>
        <v>6498</v>
      </c>
      <c r="K17" s="4">
        <f ca="1">T_Facebook_Ads[[#This Row],[engagement_rate]]*RANDBETWEEN(8,12)/10</f>
        <v>1.9699999999999999E-2</v>
      </c>
      <c r="L17" s="4">
        <f ca="1">ROUND(T_Facebook_Ads[[#This Row],[reach]]*RANDBETWEEN(8,12)/10,0)</f>
        <v>44947</v>
      </c>
      <c r="M17" s="4">
        <f ca="1">T_Facebook_Ads[[#This Row],[frequency]]*RANDBETWEEN(8,12)/10</f>
        <v>1.3089999999999999</v>
      </c>
      <c r="O17" s="3">
        <f t="shared" ca="1" si="1"/>
        <v>45170</v>
      </c>
      <c r="P17" s="4" t="s">
        <v>76</v>
      </c>
      <c r="Q17" s="4" t="s">
        <v>77</v>
      </c>
      <c r="R17" s="4" t="s">
        <v>78</v>
      </c>
      <c r="S17" s="4" t="s">
        <v>79</v>
      </c>
      <c r="T17" s="4">
        <f ca="1">ROUND(_Google_ads[[#This Row],[impressions]]*RANDBETWEEN(8,12)/10,0)</f>
        <v>24234</v>
      </c>
      <c r="U17" s="4">
        <f ca="1">ROUND(_Google_ads[[#This Row],[clicks]]*RANDBETWEEN(8,12)/10,0)</f>
        <v>1267</v>
      </c>
      <c r="V17" s="4">
        <f ca="1">_Google_ads[[#This Row],[cost]]*RANDBETWEEN(8,12)/10</f>
        <v>241.2</v>
      </c>
      <c r="W17" s="4">
        <f ca="1">ROUND(_Google_ads[[#This Row],[conversions]]*RANDBETWEEN(8,12)/10,0)</f>
        <v>52</v>
      </c>
      <c r="X17" s="4">
        <f ca="1">ROUND(_Google_ads[[#This Row],[conversion_value]]*RANDBETWEEN(8,12)/10,0)</f>
        <v>2585</v>
      </c>
      <c r="Y17" s="4">
        <f ca="1">_Google_ads[[#This Row],[ctr]]*RANDBETWEEN(8,12)/10</f>
        <v>4.1840000000000002E-2</v>
      </c>
      <c r="Z17" s="4">
        <f ca="1">_Google_ads[[#This Row],[avg_cpc]]*RANDBETWEEN(8,12)/10</f>
        <v>0.19</v>
      </c>
      <c r="AA17" s="4">
        <f ca="1">ROUND(_Google_ads[[#This Row],[quality_score]]*RANDBETWEEN(8,12)/10,0)</f>
        <v>11</v>
      </c>
      <c r="AB17" s="4">
        <f ca="1">_Google_ads[[#This Row],[search_impression_share]]*RANDBETWEEN(8,12)/10</f>
        <v>1.012</v>
      </c>
      <c r="AD17" s="3">
        <f t="shared" ca="1" si="2"/>
        <v>45194</v>
      </c>
      <c r="AE17" s="4" t="s">
        <v>100</v>
      </c>
      <c r="AF17" s="4" t="s">
        <v>101</v>
      </c>
      <c r="AG17" s="4" t="s">
        <v>102</v>
      </c>
      <c r="AH17" s="4" t="s">
        <v>103</v>
      </c>
      <c r="AI17" s="4">
        <f ca="1">ROUND(T_Tiktok_ads[[#This Row],[impressions]]*RANDBETWEEN(8,12)/10,0)</f>
        <v>267890</v>
      </c>
      <c r="AJ17" s="4">
        <f ca="1">ROUND(T_Tiktok_ads[[#This Row],[clicks]]*RANDBETWEEN(8,12)/10,0)</f>
        <v>3156</v>
      </c>
      <c r="AK17" s="4">
        <v>523.4</v>
      </c>
      <c r="AL17" s="4">
        <f ca="1">ROUND(T_Tiktok_ads[[#This Row],[conversions]]*RANDBETWEEN(8,12)/10,0)</f>
        <v>44</v>
      </c>
      <c r="AM17" s="4">
        <f ca="1">ROUND(T_Tiktok_ads[[#This Row],[video_views]]*RANDBETWEEN(8,12)/10,0)</f>
        <v>265481</v>
      </c>
      <c r="AN17" s="4">
        <f ca="1">ROUND(T_Tiktok_ads[[#This Row],[video_watch_25]]*RANDBETWEEN(8,12)/10,0)</f>
        <v>138765</v>
      </c>
      <c r="AO17" s="4">
        <f ca="1">ROUND(T_Tiktok_ads[[#This Row],[video_watch_50]]*RANDBETWEEN(8,12)/10,0)</f>
        <v>120157</v>
      </c>
      <c r="AP17" s="4">
        <f ca="1">ROUND(T_Tiktok_ads[[#This Row],[video_watch_75]]*RANDBETWEEN(8,12)/10,0)</f>
        <v>88280</v>
      </c>
      <c r="AQ17" s="4">
        <f ca="1">ROUND(T_Tiktok_ads[[#This Row],[video_watch_100]]*RANDBETWEEN(8,12)/10,0)</f>
        <v>39387</v>
      </c>
      <c r="AR17" s="4">
        <f ca="1">ROUND(T_Tiktok_ads[[#This Row],[likes]]*RANDBETWEEN(8,12)/10,0)</f>
        <v>9789</v>
      </c>
      <c r="AS17" s="4">
        <f ca="1">ROUND(T_Tiktok_ads[[#This Row],[shares]]*RANDBETWEEN(8,12)/10,0)</f>
        <v>2107</v>
      </c>
      <c r="AT17" s="4">
        <f ca="1">ROUND(T_Tiktok_ads[[#This Row],[comments]]*RANDBETWEEN(8,12)/10,0)</f>
        <v>561</v>
      </c>
      <c r="AV17" s="5">
        <f t="shared" ca="1" si="3"/>
        <v>45194</v>
      </c>
      <c r="AW17">
        <f t="shared" ca="1" si="4"/>
        <v>4</v>
      </c>
      <c r="AX17">
        <f ca="1">ROUND(T_Facebook_Ads115963677175798387[[#This Row],[impressions]]*RANDBETWEEN(8,12)/10,0)</f>
        <v>32088</v>
      </c>
      <c r="AY17">
        <f ca="1">ROUND(T_Facebook_Ads115963677175798387[[#This Row],[clicks]]*RANDBETWEEN(8,12)/10,0)</f>
        <v>790</v>
      </c>
      <c r="AZ17">
        <f ca="1">T_Facebook_Ads115963677175798387[[#This Row],[spend]]*RANDBETWEEN(8,12)/10</f>
        <v>120.57599999999998</v>
      </c>
      <c r="BA17">
        <f ca="1">ROUND(T_Facebook_Ads115963677175798387[[#This Row],[conversions]]*RANDBETWEEN(8,12)/10,0)</f>
        <v>11</v>
      </c>
      <c r="BB17">
        <f ca="1">ROUND(T_Facebook_Ads115963677175798387[[#This Row],[video_views]]*RANDBETWEEN(8,12)/10,0)</f>
        <v>7148</v>
      </c>
    </row>
    <row r="18" spans="1:54" ht="15.75" thickBot="1" x14ac:dyDescent="0.3">
      <c r="A18" s="3">
        <f t="shared" ca="1" si="0"/>
        <v>45175</v>
      </c>
      <c r="B18" s="4" t="s">
        <v>60</v>
      </c>
      <c r="C18" s="4" t="s">
        <v>61</v>
      </c>
      <c r="D18" s="4" t="s">
        <v>62</v>
      </c>
      <c r="E18" s="4" t="s">
        <v>63</v>
      </c>
      <c r="F18" s="4">
        <f ca="1">ROUND(T_Facebook_Ads[[#This Row],[impressions]]*RANDBETWEEN(8,12)/10,0)</f>
        <v>28542</v>
      </c>
      <c r="G18" s="4">
        <v>1289</v>
      </c>
      <c r="H18" s="4">
        <f ca="1">T_Facebook_Ads[[#This Row],[spend]]*RANDBETWEEN(8,12)/10</f>
        <v>215.16</v>
      </c>
      <c r="I18" s="4">
        <f ca="1">ROUND(T_Facebook_Ads[[#This Row],[conversions]]*RANDBETWEEN(8,12)/10,0)</f>
        <v>26</v>
      </c>
      <c r="J18" s="4">
        <f ca="1">ROUND(T_Facebook_Ads[[#This Row],[video_views]]*RANDBETWEEN(8,12)/10,0)</f>
        <v>4678</v>
      </c>
      <c r="K18" s="4">
        <f ca="1">T_Facebook_Ads[[#This Row],[engagement_rate]]*RANDBETWEEN(8,12)/10</f>
        <v>3.61E-2</v>
      </c>
      <c r="L18" s="4">
        <f ca="1">ROUND(T_Facebook_Ads[[#This Row],[reach]]*RANDBETWEEN(8,12)/10,0)</f>
        <v>26411</v>
      </c>
      <c r="M18" s="4">
        <f ca="1">T_Facebook_Ads[[#This Row],[frequency]]*RANDBETWEEN(8,12)/10</f>
        <v>1.22</v>
      </c>
      <c r="O18" s="3">
        <f t="shared" ca="1" si="1"/>
        <v>45172</v>
      </c>
      <c r="P18" s="4" t="s">
        <v>84</v>
      </c>
      <c r="Q18" s="4" t="s">
        <v>85</v>
      </c>
      <c r="R18" s="4" t="s">
        <v>86</v>
      </c>
      <c r="S18" s="4" t="s">
        <v>87</v>
      </c>
      <c r="T18" s="4">
        <f ca="1">ROUND(_Google_ads[[#This Row],[impressions]]*RANDBETWEEN(8,12)/10,0)</f>
        <v>86814</v>
      </c>
      <c r="U18" s="4">
        <f ca="1">ROUND(_Google_ads[[#This Row],[clicks]]*RANDBETWEEN(8,12)/10,0)</f>
        <v>2854</v>
      </c>
      <c r="V18" s="4">
        <f ca="1">_Google_ads[[#This Row],[cost]]*RANDBETWEEN(8,12)/10</f>
        <v>519.4799999999999</v>
      </c>
      <c r="W18" s="4">
        <f ca="1">ROUND(_Google_ads[[#This Row],[conversions]]*RANDBETWEEN(8,12)/10,0)</f>
        <v>76</v>
      </c>
      <c r="X18" s="4">
        <f ca="1">ROUND(_Google_ads[[#This Row],[conversion_value]]*RANDBETWEEN(8,12)/10,0)</f>
        <v>3795</v>
      </c>
      <c r="Y18" s="4">
        <f ca="1">_Google_ads[[#This Row],[ctr]]*RANDBETWEEN(8,12)/10</f>
        <v>3.2899999999999999E-2</v>
      </c>
      <c r="Z18" s="4">
        <f ca="1">_Google_ads[[#This Row],[avg_cpc]]*RANDBETWEEN(8,12)/10</f>
        <v>0.19800000000000001</v>
      </c>
      <c r="AA18" s="4">
        <f ca="1">ROUND(_Google_ads[[#This Row],[quality_score]]*RANDBETWEEN(8,12)/10,0)</f>
        <v>9</v>
      </c>
      <c r="AB18" s="4">
        <f ca="1">_Google_ads[[#This Row],[search_impression_share]]*RANDBETWEEN(8,12)/10</f>
        <v>0.53600000000000003</v>
      </c>
      <c r="AD18" s="3">
        <f t="shared" ca="1" si="2"/>
        <v>45198</v>
      </c>
      <c r="AE18" s="4" t="s">
        <v>108</v>
      </c>
      <c r="AF18" s="4" t="s">
        <v>109</v>
      </c>
      <c r="AG18" s="4" t="s">
        <v>110</v>
      </c>
      <c r="AH18" s="4" t="s">
        <v>111</v>
      </c>
      <c r="AI18" s="4">
        <f ca="1">ROUND(T_Tiktok_ads[[#This Row],[impressions]]*RANDBETWEEN(8,12)/10,0)</f>
        <v>226246</v>
      </c>
      <c r="AJ18" s="4">
        <f ca="1">ROUND(T_Tiktok_ads[[#This Row],[clicks]]*RANDBETWEEN(8,12)/10,0)</f>
        <v>2911</v>
      </c>
      <c r="AK18" s="4">
        <v>387.8</v>
      </c>
      <c r="AL18" s="4">
        <f ca="1">ROUND(T_Tiktok_ads[[#This Row],[conversions]]*RANDBETWEEN(8,12)/10,0)</f>
        <v>27</v>
      </c>
      <c r="AM18" s="4">
        <f ca="1">ROUND(T_Tiktok_ads[[#This Row],[video_views]]*RANDBETWEEN(8,12)/10,0)</f>
        <v>146111</v>
      </c>
      <c r="AN18" s="4">
        <f ca="1">ROUND(T_Tiktok_ads[[#This Row],[video_watch_25]]*RANDBETWEEN(8,12)/10,0)</f>
        <v>149480</v>
      </c>
      <c r="AO18" s="4">
        <f ca="1">ROUND(T_Tiktok_ads[[#This Row],[video_watch_50]]*RANDBETWEEN(8,12)/10,0)</f>
        <v>108791</v>
      </c>
      <c r="AP18" s="4">
        <f ca="1">ROUND(T_Tiktok_ads[[#This Row],[video_watch_75]]*RANDBETWEEN(8,12)/10,0)</f>
        <v>56911</v>
      </c>
      <c r="AQ18" s="4">
        <f ca="1">ROUND(T_Tiktok_ads[[#This Row],[video_watch_100]]*RANDBETWEEN(8,12)/10,0)</f>
        <v>38234</v>
      </c>
      <c r="AR18" s="4">
        <f ca="1">ROUND(T_Tiktok_ads[[#This Row],[likes]]*RANDBETWEEN(8,12)/10,0)</f>
        <v>6810</v>
      </c>
      <c r="AS18" s="4">
        <f ca="1">ROUND(T_Tiktok_ads[[#This Row],[shares]]*RANDBETWEEN(8,12)/10,0)</f>
        <v>1880</v>
      </c>
      <c r="AT18" s="4">
        <f ca="1">ROUND(T_Tiktok_ads[[#This Row],[comments]]*RANDBETWEEN(8,12)/10,0)</f>
        <v>451</v>
      </c>
      <c r="AV18" s="5">
        <f t="shared" ca="1" si="3"/>
        <v>45195</v>
      </c>
      <c r="AW18">
        <f t="shared" ca="1" si="4"/>
        <v>3</v>
      </c>
      <c r="AX18">
        <f ca="1">ROUND(T_Facebook_Ads115963677175798387[[#This Row],[impressions]]*RANDBETWEEN(8,12)/10,0)</f>
        <v>25688</v>
      </c>
      <c r="AY18">
        <f ca="1">ROUND(T_Facebook_Ads115963677175798387[[#This Row],[clicks]]*RANDBETWEEN(8,12)/10,0)</f>
        <v>1547</v>
      </c>
      <c r="AZ18">
        <f ca="1">T_Facebook_Ads115963677175798387[[#This Row],[spend]]*RANDBETWEEN(8,12)/10</f>
        <v>172.12799999999999</v>
      </c>
      <c r="BA18">
        <f ca="1">ROUND(T_Facebook_Ads115963677175798387[[#This Row],[conversions]]*RANDBETWEEN(8,12)/10,0)</f>
        <v>31</v>
      </c>
      <c r="BB18">
        <f ca="1">ROUND(T_Facebook_Ads115963677175798387[[#This Row],[video_views]]*RANDBETWEEN(8,12)/10,0)</f>
        <v>5146</v>
      </c>
    </row>
    <row r="19" spans="1:54" ht="15.75" thickBot="1" x14ac:dyDescent="0.3">
      <c r="A19" s="3">
        <f t="shared" ca="1" si="0"/>
        <v>45191</v>
      </c>
      <c r="B19" s="4" t="s">
        <v>64</v>
      </c>
      <c r="C19" s="4" t="s">
        <v>65</v>
      </c>
      <c r="D19" s="4" t="s">
        <v>66</v>
      </c>
      <c r="E19" s="4" t="s">
        <v>67</v>
      </c>
      <c r="F19" s="4">
        <f ca="1">ROUND(T_Facebook_Ads[[#This Row],[impressions]]*RANDBETWEEN(8,12)/10,0)</f>
        <v>83347</v>
      </c>
      <c r="G19" s="4">
        <v>245</v>
      </c>
      <c r="H19" s="4">
        <f ca="1">T_Facebook_Ads[[#This Row],[spend]]*RANDBETWEEN(8,12)/10</f>
        <v>82.080000000000013</v>
      </c>
      <c r="I19" s="4">
        <f ca="1">ROUND(T_Facebook_Ads[[#This Row],[conversions]]*RANDBETWEEN(8,12)/10,0)</f>
        <v>6</v>
      </c>
      <c r="J19" s="4">
        <f ca="1">ROUND(T_Facebook_Ads[[#This Row],[video_views]]*RANDBETWEEN(8,12)/10,0)</f>
        <v>47234</v>
      </c>
      <c r="K19" s="4">
        <f ca="1">T_Facebook_Ads[[#This Row],[engagement_rate]]*RANDBETWEEN(8,12)/10</f>
        <v>3.15E-3</v>
      </c>
      <c r="L19" s="4">
        <f ca="1">ROUND(T_Facebook_Ads[[#This Row],[reach]]*RANDBETWEEN(8,12)/10,0)</f>
        <v>63679</v>
      </c>
      <c r="M19" s="4">
        <f ca="1">T_Facebook_Ads[[#This Row],[frequency]]*RANDBETWEEN(8,12)/10</f>
        <v>1.44</v>
      </c>
      <c r="O19" s="3">
        <f t="shared" ca="1" si="1"/>
        <v>45172</v>
      </c>
      <c r="P19" s="4" t="s">
        <v>88</v>
      </c>
      <c r="Q19" s="4" t="s">
        <v>89</v>
      </c>
      <c r="R19" s="4" t="s">
        <v>90</v>
      </c>
      <c r="S19" s="4" t="s">
        <v>59</v>
      </c>
      <c r="T19" s="4">
        <f ca="1">ROUND(_Google_ads[[#This Row],[impressions]]*RANDBETWEEN(8,12)/10,0)</f>
        <v>157481</v>
      </c>
      <c r="U19" s="4">
        <f ca="1">ROUND(_Google_ads[[#This Row],[clicks]]*RANDBETWEEN(8,12)/10,0)</f>
        <v>430</v>
      </c>
      <c r="V19" s="4">
        <f ca="1">_Google_ads[[#This Row],[cost]]*RANDBETWEEN(8,12)/10</f>
        <v>119.16000000000001</v>
      </c>
      <c r="W19" s="4">
        <f ca="1">ROUND(_Google_ads[[#This Row],[conversions]]*RANDBETWEEN(8,12)/10,0)</f>
        <v>14</v>
      </c>
      <c r="X19" s="4">
        <f ca="1">ROUND(_Google_ads[[#This Row],[conversion_value]]*RANDBETWEEN(8,12)/10,0)</f>
        <v>650</v>
      </c>
      <c r="Y19" s="4">
        <f ca="1">_Google_ads[[#This Row],[ctr]]*RANDBETWEEN(8,12)/10</f>
        <v>3.96E-3</v>
      </c>
      <c r="Z19" s="4">
        <f ca="1">_Google_ads[[#This Row],[avg_cpc]]*RANDBETWEEN(8,12)/10</f>
        <v>0.25200000000000006</v>
      </c>
      <c r="AA19" s="4">
        <f ca="1">ROUND(_Google_ads[[#This Row],[quality_score]]*RANDBETWEEN(8,12)/10,0)</f>
        <v>6</v>
      </c>
      <c r="AB19" s="4">
        <f ca="1">_Google_ads[[#This Row],[search_impression_share]]*RANDBETWEEN(8,12)/10</f>
        <v>0.38499999999999995</v>
      </c>
      <c r="AD19" s="3">
        <f t="shared" ca="1" si="2"/>
        <v>45185</v>
      </c>
      <c r="AE19" s="4" t="s">
        <v>112</v>
      </c>
      <c r="AF19" s="4" t="s">
        <v>113</v>
      </c>
      <c r="AG19" s="4" t="s">
        <v>114</v>
      </c>
      <c r="AH19" s="4" t="s">
        <v>115</v>
      </c>
      <c r="AI19" s="4">
        <f ca="1">ROUND(T_Tiktok_ads[[#This Row],[impressions]]*RANDBETWEEN(8,12)/10,0)</f>
        <v>303121</v>
      </c>
      <c r="AJ19" s="4">
        <f ca="1">ROUND(T_Tiktok_ads[[#This Row],[clicks]]*RANDBETWEEN(8,12)/10,0)</f>
        <v>6123</v>
      </c>
      <c r="AK19" s="4">
        <v>945.6</v>
      </c>
      <c r="AL19" s="4">
        <f ca="1">ROUND(T_Tiktok_ads[[#This Row],[conversions]]*RANDBETWEEN(8,12)/10,0)</f>
        <v>96</v>
      </c>
      <c r="AM19" s="4">
        <f ca="1">ROUND(T_Tiktok_ads[[#This Row],[video_views]]*RANDBETWEEN(8,12)/10,0)</f>
        <v>312345</v>
      </c>
      <c r="AN19" s="4">
        <f ca="1">ROUND(T_Tiktok_ads[[#This Row],[video_watch_25]]*RANDBETWEEN(8,12)/10,0)</f>
        <v>200987</v>
      </c>
      <c r="AO19" s="4">
        <f ca="1">ROUND(T_Tiktok_ads[[#This Row],[video_watch_50]]*RANDBETWEEN(8,12)/10,0)</f>
        <v>221357</v>
      </c>
      <c r="AP19" s="4">
        <f ca="1">ROUND(T_Tiktok_ads[[#This Row],[video_watch_75]]*RANDBETWEEN(8,12)/10,0)</f>
        <v>172147</v>
      </c>
      <c r="AQ19" s="4">
        <f ca="1">ROUND(T_Tiktok_ads[[#This Row],[video_watch_100]]*RANDBETWEEN(8,12)/10,0)</f>
        <v>76187</v>
      </c>
      <c r="AR19" s="4">
        <f ca="1">ROUND(T_Tiktok_ads[[#This Row],[likes]]*RANDBETWEEN(8,12)/10,0)</f>
        <v>18224</v>
      </c>
      <c r="AS19" s="4">
        <f ca="1">ROUND(T_Tiktok_ads[[#This Row],[shares]]*RANDBETWEEN(8,12)/10,0)</f>
        <v>5788</v>
      </c>
      <c r="AT19" s="4">
        <f ca="1">ROUND(T_Tiktok_ads[[#This Row],[comments]]*RANDBETWEEN(8,12)/10,0)</f>
        <v>1574</v>
      </c>
      <c r="AV19" s="5">
        <f t="shared" ca="1" si="3"/>
        <v>45185</v>
      </c>
      <c r="AW19">
        <f t="shared" ca="1" si="4"/>
        <v>1</v>
      </c>
      <c r="AX19">
        <f ca="1">ROUND(T_Facebook_Ads115963677175798387[[#This Row],[impressions]]*RANDBETWEEN(8,12)/10,0)</f>
        <v>75012</v>
      </c>
      <c r="AY19">
        <f ca="1">ROUND(T_Facebook_Ads115963677175798387[[#This Row],[clicks]]*RANDBETWEEN(8,12)/10,0)</f>
        <v>270</v>
      </c>
      <c r="AZ19">
        <f ca="1">T_Facebook_Ads115963677175798387[[#This Row],[spend]]*RANDBETWEEN(8,12)/10</f>
        <v>98.496000000000009</v>
      </c>
      <c r="BA19">
        <f ca="1">ROUND(T_Facebook_Ads115963677175798387[[#This Row],[conversions]]*RANDBETWEEN(8,12)/10,0)</f>
        <v>6</v>
      </c>
      <c r="BB19">
        <f ca="1">ROUND(T_Facebook_Ads115963677175798387[[#This Row],[video_views]]*RANDBETWEEN(8,12)/10,0)</f>
        <v>51957</v>
      </c>
    </row>
    <row r="20" spans="1:54" ht="15.75" thickBot="1" x14ac:dyDescent="0.3">
      <c r="A20" s="3">
        <f t="shared" ca="1" si="0"/>
        <v>45196</v>
      </c>
      <c r="B20" s="4" t="s">
        <v>52</v>
      </c>
      <c r="C20" s="4" t="s">
        <v>53</v>
      </c>
      <c r="D20" s="4" t="s">
        <v>54</v>
      </c>
      <c r="E20" s="4" t="s">
        <v>55</v>
      </c>
      <c r="F20" s="4">
        <f ca="1">ROUND(T_Facebook_Ads[[#This Row],[impressions]]*RANDBETWEEN(8,12)/10,0)</f>
        <v>54864</v>
      </c>
      <c r="G20" s="4">
        <v>1067</v>
      </c>
      <c r="H20" s="4">
        <f ca="1">T_Facebook_Ads[[#This Row],[spend]]*RANDBETWEEN(8,12)/10</f>
        <v>160.49</v>
      </c>
      <c r="I20" s="4">
        <f ca="1">ROUND(T_Facebook_Ads[[#This Row],[conversions]]*RANDBETWEEN(8,12)/10,0)</f>
        <v>14</v>
      </c>
      <c r="J20" s="4">
        <f ca="1">ROUND(T_Facebook_Ads[[#This Row],[video_views]]*RANDBETWEEN(8,12)/10,0)</f>
        <v>7654</v>
      </c>
      <c r="K20" s="4">
        <f ca="1">T_Facebook_Ads[[#This Row],[engagement_rate]]*RANDBETWEEN(8,12)/10</f>
        <v>2.5679999999999998E-2</v>
      </c>
      <c r="L20" s="4">
        <f ca="1">ROUND(T_Facebook_Ads[[#This Row],[reach]]*RANDBETWEEN(8,12)/10,0)</f>
        <v>41234</v>
      </c>
      <c r="M20" s="4">
        <f ca="1">T_Facebook_Ads[[#This Row],[frequency]]*RANDBETWEEN(8,12)/10</f>
        <v>0.96799999999999997</v>
      </c>
      <c r="O20" s="3">
        <f t="shared" ca="1" si="1"/>
        <v>45175</v>
      </c>
      <c r="P20" s="4" t="s">
        <v>76</v>
      </c>
      <c r="Q20" s="4" t="s">
        <v>77</v>
      </c>
      <c r="R20" s="4" t="s">
        <v>78</v>
      </c>
      <c r="S20" s="4" t="s">
        <v>79</v>
      </c>
      <c r="T20" s="4">
        <f ca="1">ROUND(_Google_ads[[#This Row],[impressions]]*RANDBETWEEN(8,12)/10,0)</f>
        <v>24110</v>
      </c>
      <c r="U20" s="4">
        <f ca="1">ROUND(_Google_ads[[#This Row],[clicks]]*RANDBETWEEN(8,12)/10,0)</f>
        <v>1456</v>
      </c>
      <c r="V20" s="4">
        <f ca="1">_Google_ads[[#This Row],[cost]]*RANDBETWEEN(8,12)/10</f>
        <v>223.11999999999998</v>
      </c>
      <c r="W20" s="4">
        <f ca="1">ROUND(_Google_ads[[#This Row],[conversions]]*RANDBETWEEN(8,12)/10,0)</f>
        <v>43</v>
      </c>
      <c r="X20" s="4">
        <f ca="1">ROUND(_Google_ads[[#This Row],[conversion_value]]*RANDBETWEEN(8,12)/10,0)</f>
        <v>2700</v>
      </c>
      <c r="Y20" s="4">
        <f ca="1">_Google_ads[[#This Row],[ctr]]*RANDBETWEEN(8,12)/10</f>
        <v>4.8959999999999997E-2</v>
      </c>
      <c r="Z20" s="4">
        <f ca="1">_Google_ads[[#This Row],[avg_cpc]]*RANDBETWEEN(8,12)/10</f>
        <v>0.152</v>
      </c>
      <c r="AA20" s="4">
        <f ca="1">ROUND(_Google_ads[[#This Row],[quality_score]]*RANDBETWEEN(8,12)/10,0)</f>
        <v>7</v>
      </c>
      <c r="AB20" s="4">
        <f ca="1">_Google_ads[[#This Row],[search_impression_share]]*RANDBETWEEN(8,12)/10</f>
        <v>0.83700000000000008</v>
      </c>
      <c r="AD20" s="3">
        <f t="shared" ca="1" si="2"/>
        <v>45175</v>
      </c>
      <c r="AE20" s="4" t="s">
        <v>100</v>
      </c>
      <c r="AF20" s="4" t="s">
        <v>101</v>
      </c>
      <c r="AG20" s="4" t="s">
        <v>102</v>
      </c>
      <c r="AH20" s="4" t="s">
        <v>103</v>
      </c>
      <c r="AI20" s="4">
        <f ca="1">ROUND(T_Tiktok_ads[[#This Row],[impressions]]*RANDBETWEEN(8,12)/10,0)</f>
        <v>223121</v>
      </c>
      <c r="AJ20" s="4">
        <f ca="1">ROUND(T_Tiktok_ads[[#This Row],[clicks]]*RANDBETWEEN(8,12)/10,0)</f>
        <v>3711</v>
      </c>
      <c r="AK20" s="4">
        <v>545.6</v>
      </c>
      <c r="AL20" s="4">
        <f ca="1">ROUND(T_Tiktok_ads[[#This Row],[conversions]]*RANDBETWEEN(8,12)/10,0)</f>
        <v>38</v>
      </c>
      <c r="AM20" s="4">
        <f ca="1">ROUND(T_Tiktok_ads[[#This Row],[video_views]]*RANDBETWEEN(8,12)/10,0)</f>
        <v>206311</v>
      </c>
      <c r="AN20" s="4">
        <f ca="1">ROUND(T_Tiktok_ads[[#This Row],[video_watch_25]]*RANDBETWEEN(8,12)/10,0)</f>
        <v>197157</v>
      </c>
      <c r="AO20" s="4">
        <f ca="1">ROUND(T_Tiktok_ads[[#This Row],[video_watch_50]]*RANDBETWEEN(8,12)/10,0)</f>
        <v>123457</v>
      </c>
      <c r="AP20" s="4">
        <f ca="1">ROUND(T_Tiktok_ads[[#This Row],[video_watch_75]]*RANDBETWEEN(8,12)/10,0)</f>
        <v>90814</v>
      </c>
      <c r="AQ20" s="4">
        <f ca="1">ROUND(T_Tiktok_ads[[#This Row],[video_watch_100]]*RANDBETWEEN(8,12)/10,0)</f>
        <v>40187</v>
      </c>
      <c r="AR20" s="4">
        <f ca="1">ROUND(T_Tiktok_ads[[#This Row],[likes]]*RANDBETWEEN(8,12)/10,0)</f>
        <v>10123</v>
      </c>
      <c r="AS20" s="4">
        <f ca="1">ROUND(T_Tiktok_ads[[#This Row],[shares]]*RANDBETWEEN(8,12)/10,0)</f>
        <v>2712</v>
      </c>
      <c r="AT20" s="4">
        <f ca="1">ROUND(T_Tiktok_ads[[#This Row],[comments]]*RANDBETWEEN(8,12)/10,0)</f>
        <v>645</v>
      </c>
      <c r="AV20" s="5">
        <f t="shared" ca="1" si="3"/>
        <v>45170</v>
      </c>
      <c r="AW20">
        <f t="shared" ca="1" si="4"/>
        <v>7</v>
      </c>
      <c r="AX20">
        <f ca="1">ROUND(T_Facebook_Ads115963677175798387[[#This Row],[impressions]]*RANDBETWEEN(8,12)/10,0)</f>
        <v>43891</v>
      </c>
      <c r="AY20">
        <f ca="1">ROUND(T_Facebook_Ads115963677175798387[[#This Row],[clicks]]*RANDBETWEEN(8,12)/10,0)</f>
        <v>1174</v>
      </c>
      <c r="AZ20">
        <f ca="1">T_Facebook_Ads115963677175798387[[#This Row],[spend]]*RANDBETWEEN(8,12)/10</f>
        <v>128.392</v>
      </c>
      <c r="BA20">
        <f ca="1">ROUND(T_Facebook_Ads115963677175798387[[#This Row],[conversions]]*RANDBETWEEN(8,12)/10,0)</f>
        <v>11</v>
      </c>
      <c r="BB20">
        <f ca="1">ROUND(T_Facebook_Ads115963677175798387[[#This Row],[video_views]]*RANDBETWEEN(8,12)/10,0)</f>
        <v>6123</v>
      </c>
    </row>
    <row r="21" spans="1:54" ht="15.75" thickBot="1" x14ac:dyDescent="0.3">
      <c r="A21" s="3">
        <f t="shared" ca="1" si="0"/>
        <v>45174</v>
      </c>
      <c r="B21" s="4" t="s">
        <v>56</v>
      </c>
      <c r="C21" s="4" t="s">
        <v>57</v>
      </c>
      <c r="D21" s="4" t="s">
        <v>58</v>
      </c>
      <c r="E21" s="4" t="s">
        <v>59</v>
      </c>
      <c r="F21" s="4">
        <f ca="1">ROUND(T_Facebook_Ads[[#This Row],[impressions]]*RANDBETWEEN(8,12)/10,0)</f>
        <v>16147</v>
      </c>
      <c r="G21" s="4">
        <v>623</v>
      </c>
      <c r="H21" s="4">
        <f ca="1">T_Facebook_Ads[[#This Row],[spend]]*RANDBETWEEN(8,12)/10</f>
        <v>237.8</v>
      </c>
      <c r="I21" s="4">
        <f ca="1">ROUND(T_Facebook_Ads[[#This Row],[conversions]]*RANDBETWEEN(8,12)/10,0)</f>
        <v>48</v>
      </c>
      <c r="J21" s="4">
        <f ca="1">ROUND(T_Facebook_Ads[[#This Row],[video_views]]*RANDBETWEEN(8,12)/10,0)</f>
        <v>1165</v>
      </c>
      <c r="K21" s="4">
        <f ca="1">T_Facebook_Ads[[#This Row],[engagement_rate]]*RANDBETWEEN(8,12)/10</f>
        <v>3.7040000000000003E-2</v>
      </c>
      <c r="L21" s="4">
        <f ca="1">ROUND(T_Facebook_Ads[[#This Row],[reach]]*RANDBETWEEN(8,12)/10,0)</f>
        <v>9510</v>
      </c>
      <c r="M21" s="4">
        <f ca="1">T_Facebook_Ads[[#This Row],[frequency]]*RANDBETWEEN(8,12)/10</f>
        <v>1.27</v>
      </c>
      <c r="O21" s="3">
        <f t="shared" ca="1" si="1"/>
        <v>45184</v>
      </c>
      <c r="P21" s="4" t="s">
        <v>80</v>
      </c>
      <c r="Q21" s="4" t="s">
        <v>81</v>
      </c>
      <c r="R21" s="4" t="s">
        <v>82</v>
      </c>
      <c r="S21" s="4" t="s">
        <v>83</v>
      </c>
      <c r="T21" s="4">
        <f ca="1">ROUND(_Google_ads[[#This Row],[impressions]]*RANDBETWEEN(8,12)/10,0)</f>
        <v>35654</v>
      </c>
      <c r="U21" s="4">
        <f ca="1">ROUND(_Google_ads[[#This Row],[clicks]]*RANDBETWEEN(8,12)/10,0)</f>
        <v>966</v>
      </c>
      <c r="V21" s="4">
        <f ca="1">_Google_ads[[#This Row],[cost]]*RANDBETWEEN(8,12)/10</f>
        <v>567.20000000000005</v>
      </c>
      <c r="W21" s="4">
        <f ca="1">ROUND(_Google_ads[[#This Row],[conversions]]*RANDBETWEEN(8,12)/10,0)</f>
        <v>22</v>
      </c>
      <c r="X21" s="4">
        <f ca="1">ROUND(_Google_ads[[#This Row],[conversion_value]]*RANDBETWEEN(8,12)/10,0)</f>
        <v>990</v>
      </c>
      <c r="Y21" s="4">
        <f ca="1">_Google_ads[[#This Row],[ctr]]*RANDBETWEEN(8,12)/10</f>
        <v>1.9699999999999999E-2</v>
      </c>
      <c r="Z21" s="4">
        <f ca="1">_Google_ads[[#This Row],[avg_cpc]]*RANDBETWEEN(8,12)/10</f>
        <v>0.58500000000000008</v>
      </c>
      <c r="AA21" s="4">
        <f ca="1">ROUND(_Google_ads[[#This Row],[quality_score]]*RANDBETWEEN(8,12)/10,0)</f>
        <v>6</v>
      </c>
      <c r="AB21" s="4">
        <f ca="1">_Google_ads[[#This Row],[search_impression_share]]*RANDBETWEEN(8,12)/10</f>
        <v>0.52800000000000002</v>
      </c>
      <c r="AD21" s="3">
        <f t="shared" ca="1" si="2"/>
        <v>45171</v>
      </c>
      <c r="AE21" s="4" t="s">
        <v>104</v>
      </c>
      <c r="AF21" s="4" t="s">
        <v>105</v>
      </c>
      <c r="AG21" s="4" t="s">
        <v>106</v>
      </c>
      <c r="AH21" s="4" t="s">
        <v>107</v>
      </c>
      <c r="AI21" s="4">
        <f ca="1">ROUND(T_Tiktok_ads[[#This Row],[impressions]]*RANDBETWEEN(8,12)/10,0)</f>
        <v>152791</v>
      </c>
      <c r="AJ21" s="4">
        <f ca="1">ROUND(T_Tiktok_ads[[#This Row],[clicks]]*RANDBETWEEN(8,12)/10,0)</f>
        <v>2678</v>
      </c>
      <c r="AK21" s="4">
        <v>734.5</v>
      </c>
      <c r="AL21" s="4">
        <f ca="1">ROUND(T_Tiktok_ads[[#This Row],[conversions]]*RANDBETWEEN(8,12)/10,0)</f>
        <v>58</v>
      </c>
      <c r="AM21" s="4">
        <f ca="1">ROUND(T_Tiktok_ads[[#This Row],[video_views]]*RANDBETWEEN(8,12)/10,0)</f>
        <v>78312</v>
      </c>
      <c r="AN21" s="4">
        <f ca="1">ROUND(T_Tiktok_ads[[#This Row],[video_watch_25]]*RANDBETWEEN(8,12)/10,0)</f>
        <v>65111</v>
      </c>
      <c r="AO21" s="4">
        <f ca="1">ROUND(T_Tiktok_ads[[#This Row],[video_watch_50]]*RANDBETWEEN(8,12)/10,0)</f>
        <v>39121</v>
      </c>
      <c r="AP21" s="4">
        <f ca="1">ROUND(T_Tiktok_ads[[#This Row],[video_watch_75]]*RANDBETWEEN(8,12)/10,0)</f>
        <v>44147</v>
      </c>
      <c r="AQ21" s="4">
        <f ca="1">ROUND(T_Tiktok_ads[[#This Row],[video_watch_100]]*RANDBETWEEN(8,12)/10,0)</f>
        <v>19912</v>
      </c>
      <c r="AR21" s="4">
        <f ca="1">ROUND(T_Tiktok_ads[[#This Row],[likes]]*RANDBETWEEN(8,12)/10,0)</f>
        <v>5391</v>
      </c>
      <c r="AS21" s="4">
        <f ca="1">ROUND(T_Tiktok_ads[[#This Row],[shares]]*RANDBETWEEN(8,12)/10,0)</f>
        <v>1220</v>
      </c>
      <c r="AT21" s="4">
        <f ca="1">ROUND(T_Tiktok_ads[[#This Row],[comments]]*RANDBETWEEN(8,12)/10,0)</f>
        <v>230</v>
      </c>
      <c r="AV21" s="5">
        <f t="shared" ca="1" si="3"/>
        <v>45180</v>
      </c>
      <c r="AW21">
        <f t="shared" ca="1" si="4"/>
        <v>8</v>
      </c>
      <c r="AX21">
        <f ca="1">ROUND(T_Facebook_Ads115963677175798387[[#This Row],[impressions]]*RANDBETWEEN(8,12)/10,0)</f>
        <v>12918</v>
      </c>
      <c r="AY21">
        <f ca="1">ROUND(T_Facebook_Ads115963677175798387[[#This Row],[clicks]]*RANDBETWEEN(8,12)/10,0)</f>
        <v>748</v>
      </c>
      <c r="AZ21">
        <f ca="1">T_Facebook_Ads115963677175798387[[#This Row],[spend]]*RANDBETWEEN(8,12)/10</f>
        <v>237.8</v>
      </c>
      <c r="BA21">
        <f ca="1">ROUND(T_Facebook_Ads115963677175798387[[#This Row],[conversions]]*RANDBETWEEN(8,12)/10,0)</f>
        <v>48</v>
      </c>
      <c r="BB21">
        <f ca="1">ROUND(T_Facebook_Ads115963677175798387[[#This Row],[video_views]]*RANDBETWEEN(8,12)/10,0)</f>
        <v>1398</v>
      </c>
    </row>
    <row r="22" spans="1:54" ht="15.75" thickBot="1" x14ac:dyDescent="0.3">
      <c r="A22" s="3">
        <f t="shared" ca="1" si="0"/>
        <v>45179</v>
      </c>
      <c r="B22" s="4" t="s">
        <v>60</v>
      </c>
      <c r="C22" s="4" t="s">
        <v>61</v>
      </c>
      <c r="D22" s="4" t="s">
        <v>62</v>
      </c>
      <c r="E22" s="4" t="s">
        <v>63</v>
      </c>
      <c r="F22" s="4">
        <f ca="1">ROUND(T_Facebook_Ads[[#This Row],[impressions]]*RANDBETWEEN(8,12)/10,0)</f>
        <v>37234</v>
      </c>
      <c r="G22" s="4">
        <v>1367</v>
      </c>
      <c r="H22" s="4">
        <f ca="1">T_Facebook_Ads[[#This Row],[spend]]*RANDBETWEEN(8,12)/10</f>
        <v>207.9</v>
      </c>
      <c r="I22" s="4">
        <f ca="1">ROUND(T_Facebook_Ads[[#This Row],[conversions]]*RANDBETWEEN(8,12)/10,0)</f>
        <v>32</v>
      </c>
      <c r="J22" s="4">
        <f ca="1">ROUND(T_Facebook_Ads[[#This Row],[video_views]]*RANDBETWEEN(8,12)/10,0)</f>
        <v>4010</v>
      </c>
      <c r="K22" s="4">
        <f ca="1">T_Facebook_Ads[[#This Row],[engagement_rate]]*RANDBETWEEN(8,12)/10</f>
        <v>3.6700000000000003E-2</v>
      </c>
      <c r="L22" s="4">
        <f ca="1">ROUND(T_Facebook_Ads[[#This Row],[reach]]*RANDBETWEEN(8,12)/10,0)</f>
        <v>36814</v>
      </c>
      <c r="M22" s="4">
        <f ca="1">T_Facebook_Ads[[#This Row],[frequency]]*RANDBETWEEN(8,12)/10</f>
        <v>1.089</v>
      </c>
      <c r="O22" s="3">
        <f t="shared" ca="1" si="1"/>
        <v>45194</v>
      </c>
      <c r="P22" s="4" t="s">
        <v>84</v>
      </c>
      <c r="Q22" s="4" t="s">
        <v>85</v>
      </c>
      <c r="R22" s="4" t="s">
        <v>86</v>
      </c>
      <c r="S22" s="4" t="s">
        <v>87</v>
      </c>
      <c r="T22" s="4">
        <f ca="1">ROUND(_Google_ads[[#This Row],[impressions]]*RANDBETWEEN(8,12)/10,0)</f>
        <v>56187</v>
      </c>
      <c r="U22" s="4">
        <f ca="1">ROUND(_Google_ads[[#This Row],[clicks]]*RANDBETWEEN(8,12)/10,0)</f>
        <v>2289</v>
      </c>
      <c r="V22" s="4">
        <f ca="1">_Google_ads[[#This Row],[cost]]*RANDBETWEEN(8,12)/10</f>
        <v>503.4</v>
      </c>
      <c r="W22" s="4">
        <f ca="1">ROUND(_Google_ads[[#This Row],[conversions]]*RANDBETWEEN(8,12)/10,0)</f>
        <v>73</v>
      </c>
      <c r="X22" s="4">
        <f ca="1">ROUND(_Google_ads[[#This Row],[conversion_value]]*RANDBETWEEN(8,12)/10,0)</f>
        <v>3300</v>
      </c>
      <c r="Y22" s="4">
        <f ca="1">_Google_ads[[#This Row],[ctr]]*RANDBETWEEN(8,12)/10</f>
        <v>3.5859999999999996E-2</v>
      </c>
      <c r="Z22" s="4">
        <f ca="1">_Google_ads[[#This Row],[avg_cpc]]*RANDBETWEEN(8,12)/10</f>
        <v>0.16199999999999998</v>
      </c>
      <c r="AA22" s="4">
        <f ca="1">ROUND(_Google_ads[[#This Row],[quality_score]]*RANDBETWEEN(8,12)/10,0)</f>
        <v>6</v>
      </c>
      <c r="AB22" s="4">
        <f ca="1">_Google_ads[[#This Row],[search_impression_share]]*RANDBETWEEN(8,12)/10</f>
        <v>0.79200000000000004</v>
      </c>
      <c r="AD22" s="3">
        <f t="shared" ca="1" si="2"/>
        <v>45198</v>
      </c>
      <c r="AE22" s="4" t="s">
        <v>108</v>
      </c>
      <c r="AF22" s="4" t="s">
        <v>109</v>
      </c>
      <c r="AG22" s="4" t="s">
        <v>110</v>
      </c>
      <c r="AH22" s="4" t="s">
        <v>111</v>
      </c>
      <c r="AI22" s="4">
        <f ca="1">ROUND(T_Tiktok_ads[[#This Row],[impressions]]*RANDBETWEEN(8,12)/10,0)</f>
        <v>254814</v>
      </c>
      <c r="AJ22" s="4">
        <f ca="1">ROUND(T_Tiktok_ads[[#This Row],[clicks]]*RANDBETWEEN(8,12)/10,0)</f>
        <v>3345</v>
      </c>
      <c r="AK22" s="4">
        <v>401.1</v>
      </c>
      <c r="AL22" s="4">
        <f ca="1">ROUND(T_Tiktok_ads[[#This Row],[conversions]]*RANDBETWEEN(8,12)/10,0)</f>
        <v>25</v>
      </c>
      <c r="AM22" s="4">
        <f ca="1">ROUND(T_Tiktok_ads[[#This Row],[video_views]]*RANDBETWEEN(8,12)/10,0)</f>
        <v>201468</v>
      </c>
      <c r="AN22" s="4">
        <f ca="1">ROUND(T_Tiktok_ads[[#This Row],[video_watch_25]]*RANDBETWEEN(8,12)/10,0)</f>
        <v>128234</v>
      </c>
      <c r="AO22" s="4">
        <f ca="1">ROUND(T_Tiktok_ads[[#This Row],[video_watch_50]]*RANDBETWEEN(8,12)/10,0)</f>
        <v>121481</v>
      </c>
      <c r="AP22" s="4">
        <f ca="1">ROUND(T_Tiktok_ads[[#This Row],[video_watch_75]]*RANDBETWEEN(8,12)/10,0)</f>
        <v>65234</v>
      </c>
      <c r="AQ22" s="4">
        <f ca="1">ROUND(T_Tiktok_ads[[#This Row],[video_watch_100]]*RANDBETWEEN(8,12)/10,0)</f>
        <v>35510</v>
      </c>
      <c r="AR22" s="4">
        <f ca="1">ROUND(T_Tiktok_ads[[#This Row],[likes]]*RANDBETWEEN(8,12)/10,0)</f>
        <v>9347</v>
      </c>
      <c r="AS22" s="4">
        <f ca="1">ROUND(T_Tiktok_ads[[#This Row],[shares]]*RANDBETWEEN(8,12)/10,0)</f>
        <v>2574</v>
      </c>
      <c r="AT22" s="4">
        <f ca="1">ROUND(T_Tiktok_ads[[#This Row],[comments]]*RANDBETWEEN(8,12)/10,0)</f>
        <v>614</v>
      </c>
      <c r="AV22" s="5">
        <f t="shared" ca="1" si="3"/>
        <v>45197</v>
      </c>
      <c r="AW22">
        <f t="shared" ca="1" si="4"/>
        <v>1</v>
      </c>
      <c r="AX22">
        <f ca="1">ROUND(T_Facebook_Ads115963677175798387[[#This Row],[impressions]]*RANDBETWEEN(8,12)/10,0)</f>
        <v>44681</v>
      </c>
      <c r="AY22">
        <f ca="1">ROUND(T_Facebook_Ads115963677175798387[[#This Row],[clicks]]*RANDBETWEEN(8,12)/10,0)</f>
        <v>1640</v>
      </c>
      <c r="AZ22">
        <f ca="1">T_Facebook_Ads115963677175798387[[#This Row],[spend]]*RANDBETWEEN(8,12)/10</f>
        <v>249.48000000000002</v>
      </c>
      <c r="BA22">
        <f ca="1">ROUND(T_Facebook_Ads115963677175798387[[#This Row],[conversions]]*RANDBETWEEN(8,12)/10,0)</f>
        <v>35</v>
      </c>
      <c r="BB22">
        <f ca="1">ROUND(T_Facebook_Ads115963677175798387[[#This Row],[video_views]]*RANDBETWEEN(8,12)/10,0)</f>
        <v>4411</v>
      </c>
    </row>
    <row r="23" spans="1:54" ht="15.75" thickBot="1" x14ac:dyDescent="0.3">
      <c r="A23" s="3">
        <f t="shared" ca="1" si="0"/>
        <v>45197</v>
      </c>
      <c r="B23" s="4" t="s">
        <v>52</v>
      </c>
      <c r="C23" s="4" t="s">
        <v>53</v>
      </c>
      <c r="D23" s="4" t="s">
        <v>54</v>
      </c>
      <c r="E23" s="4" t="s">
        <v>55</v>
      </c>
      <c r="F23" s="4">
        <f ca="1">ROUND(T_Facebook_Ads[[#This Row],[impressions]]*RANDBETWEEN(8,12)/10,0)</f>
        <v>56681</v>
      </c>
      <c r="G23" s="4">
        <v>945</v>
      </c>
      <c r="H23" s="4">
        <f ca="1">T_Facebook_Ads[[#This Row],[spend]]*RANDBETWEEN(8,12)/10</f>
        <v>108.32000000000001</v>
      </c>
      <c r="I23" s="4">
        <f ca="1">ROUND(T_Facebook_Ads[[#This Row],[conversions]]*RANDBETWEEN(8,12)/10,0)</f>
        <v>11</v>
      </c>
      <c r="J23" s="4">
        <f ca="1">ROUND(T_Facebook_Ads[[#This Row],[video_views]]*RANDBETWEEN(8,12)/10,0)</f>
        <v>7031</v>
      </c>
      <c r="K23" s="4">
        <f ca="1">T_Facebook_Ads[[#This Row],[engagement_rate]]*RANDBETWEEN(8,12)/10</f>
        <v>2.1999999999999999E-2</v>
      </c>
      <c r="L23" s="4">
        <f ca="1">ROUND(T_Facebook_Ads[[#This Row],[reach]]*RANDBETWEEN(8,12)/10,0)</f>
        <v>47480</v>
      </c>
      <c r="M23" s="4">
        <f ca="1">T_Facebook_Ads[[#This Row],[frequency]]*RANDBETWEEN(8,12)/10</f>
        <v>1.071</v>
      </c>
      <c r="O23" s="3">
        <f t="shared" ca="1" si="1"/>
        <v>45197</v>
      </c>
      <c r="P23" s="4" t="s">
        <v>76</v>
      </c>
      <c r="Q23" s="4" t="s">
        <v>77</v>
      </c>
      <c r="R23" s="4" t="s">
        <v>78</v>
      </c>
      <c r="S23" s="4" t="s">
        <v>79</v>
      </c>
      <c r="T23" s="4">
        <f ca="1">ROUND(_Google_ads[[#This Row],[impressions]]*RANDBETWEEN(8,12)/10,0)</f>
        <v>18054</v>
      </c>
      <c r="U23" s="4">
        <f ca="1">ROUND(_Google_ads[[#This Row],[clicks]]*RANDBETWEEN(8,12)/10,0)</f>
        <v>1134</v>
      </c>
      <c r="V23" s="4">
        <f ca="1">_Google_ads[[#This Row],[cost]]*RANDBETWEEN(8,12)/10</f>
        <v>238.48000000000002</v>
      </c>
      <c r="W23" s="4">
        <f ca="1">ROUND(_Google_ads[[#This Row],[conversions]]*RANDBETWEEN(8,12)/10,0)</f>
        <v>47</v>
      </c>
      <c r="X23" s="4">
        <f ca="1">ROUND(_Google_ads[[#This Row],[conversion_value]]*RANDBETWEEN(8,12)/10,0)</f>
        <v>2580</v>
      </c>
      <c r="Y23" s="4">
        <f ca="1">_Google_ads[[#This Row],[ctr]]*RANDBETWEEN(8,12)/10</f>
        <v>4.5269999999999998E-2</v>
      </c>
      <c r="Z23" s="4">
        <f ca="1">_Google_ads[[#This Row],[avg_cpc]]*RANDBETWEEN(8,12)/10</f>
        <v>0.22800000000000004</v>
      </c>
      <c r="AA23" s="4">
        <f ca="1">ROUND(_Google_ads[[#This Row],[quality_score]]*RANDBETWEEN(8,12)/10,0)</f>
        <v>11</v>
      </c>
      <c r="AB23" s="4">
        <f ca="1">_Google_ads[[#This Row],[search_impression_share]]*RANDBETWEEN(8,12)/10</f>
        <v>0.90999999999999992</v>
      </c>
      <c r="AD23" s="3">
        <f t="shared" ca="1" si="2"/>
        <v>45195</v>
      </c>
      <c r="AE23" s="4" t="s">
        <v>100</v>
      </c>
      <c r="AF23" s="4" t="s">
        <v>101</v>
      </c>
      <c r="AG23" s="4" t="s">
        <v>102</v>
      </c>
      <c r="AH23" s="4" t="s">
        <v>103</v>
      </c>
      <c r="AI23" s="4">
        <f ca="1">ROUND(T_Tiktok_ads[[#This Row],[impressions]]*RANDBETWEEN(8,12)/10,0)</f>
        <v>196187</v>
      </c>
      <c r="AJ23" s="4">
        <f ca="1">ROUND(T_Tiktok_ads[[#This Row],[clicks]]*RANDBETWEEN(8,12)/10,0)</f>
        <v>3936</v>
      </c>
      <c r="AK23" s="4">
        <v>474.3</v>
      </c>
      <c r="AL23" s="4">
        <f ca="1">ROUND(T_Tiktok_ads[[#This Row],[conversions]]*RANDBETWEEN(8,12)/10,0)</f>
        <v>37</v>
      </c>
      <c r="AM23" s="4">
        <f ca="1">ROUND(T_Tiktok_ads[[#This Row],[video_views]]*RANDBETWEEN(8,12)/10,0)</f>
        <v>203456</v>
      </c>
      <c r="AN23" s="4">
        <f ca="1">ROUND(T_Tiktok_ads[[#This Row],[video_watch_25]]*RANDBETWEEN(8,12)/10,0)</f>
        <v>127121</v>
      </c>
      <c r="AO23" s="4">
        <f ca="1">ROUND(T_Tiktok_ads[[#This Row],[video_watch_50]]*RANDBETWEEN(8,12)/10,0)</f>
        <v>79654</v>
      </c>
      <c r="AP23" s="4">
        <f ca="1">ROUND(T_Tiktok_ads[[#This Row],[video_watch_75]]*RANDBETWEEN(8,12)/10,0)</f>
        <v>68234</v>
      </c>
      <c r="AQ23" s="4">
        <f ca="1">ROUND(T_Tiktok_ads[[#This Row],[video_watch_100]]*RANDBETWEEN(8,12)/10,0)</f>
        <v>54947</v>
      </c>
      <c r="AR23" s="4">
        <f ca="1">ROUND(T_Tiktok_ads[[#This Row],[likes]]*RANDBETWEEN(8,12)/10,0)</f>
        <v>10774</v>
      </c>
      <c r="AS23" s="4">
        <f ca="1">ROUND(T_Tiktok_ads[[#This Row],[shares]]*RANDBETWEEN(8,12)/10,0)</f>
        <v>2150</v>
      </c>
      <c r="AT23" s="4">
        <f ca="1">ROUND(T_Tiktok_ads[[#This Row],[comments]]*RANDBETWEEN(8,12)/10,0)</f>
        <v>590</v>
      </c>
      <c r="AV23" s="5">
        <f t="shared" ca="1" si="3"/>
        <v>45184</v>
      </c>
      <c r="AW23">
        <f t="shared" ca="1" si="4"/>
        <v>3</v>
      </c>
      <c r="AX23">
        <f ca="1">ROUND(T_Facebook_Ads115963677175798387[[#This Row],[impressions]]*RANDBETWEEN(8,12)/10,0)</f>
        <v>68017</v>
      </c>
      <c r="AY23">
        <f ca="1">ROUND(T_Facebook_Ads115963677175798387[[#This Row],[clicks]]*RANDBETWEEN(8,12)/10,0)</f>
        <v>1134</v>
      </c>
      <c r="AZ23">
        <f ca="1">T_Facebook_Ads115963677175798387[[#This Row],[spend]]*RANDBETWEEN(8,12)/10</f>
        <v>119.152</v>
      </c>
      <c r="BA23">
        <f ca="1">ROUND(T_Facebook_Ads115963677175798387[[#This Row],[conversions]]*RANDBETWEEN(8,12)/10,0)</f>
        <v>10</v>
      </c>
      <c r="BB23">
        <f ca="1">ROUND(T_Facebook_Ads115963677175798387[[#This Row],[video_views]]*RANDBETWEEN(8,12)/10,0)</f>
        <v>8437</v>
      </c>
    </row>
    <row r="24" spans="1:54" ht="15.75" thickBot="1" x14ac:dyDescent="0.3">
      <c r="A24" s="3">
        <f t="shared" ca="1" si="0"/>
        <v>45190</v>
      </c>
      <c r="B24" s="4" t="s">
        <v>56</v>
      </c>
      <c r="C24" s="4" t="s">
        <v>57</v>
      </c>
      <c r="D24" s="4" t="s">
        <v>58</v>
      </c>
      <c r="E24" s="4" t="s">
        <v>59</v>
      </c>
      <c r="F24" s="4">
        <f ca="1">ROUND(T_Facebook_Ads[[#This Row],[impressions]]*RANDBETWEEN(8,12)/10,0)</f>
        <v>13335</v>
      </c>
      <c r="G24" s="4">
        <v>534</v>
      </c>
      <c r="H24" s="4">
        <f ca="1">T_Facebook_Ads[[#This Row],[spend]]*RANDBETWEEN(8,12)/10</f>
        <v>191.16000000000003</v>
      </c>
      <c r="I24" s="4">
        <f ca="1">ROUND(T_Facebook_Ads[[#This Row],[conversions]]*RANDBETWEEN(8,12)/10,0)</f>
        <v>32</v>
      </c>
      <c r="J24" s="4">
        <f ca="1">ROUND(T_Facebook_Ads[[#This Row],[video_views]]*RANDBETWEEN(8,12)/10,0)</f>
        <v>1357</v>
      </c>
      <c r="K24" s="4">
        <f ca="1">T_Facebook_Ads[[#This Row],[engagement_rate]]*RANDBETWEEN(8,12)/10</f>
        <v>3.9690000000000003E-2</v>
      </c>
      <c r="L24" s="4">
        <f ca="1">ROUND(T_Facebook_Ads[[#This Row],[reach]]*RANDBETWEEN(8,12)/10,0)</f>
        <v>8610</v>
      </c>
      <c r="M24" s="4">
        <f ca="1">T_Facebook_Ads[[#This Row],[frequency]]*RANDBETWEEN(8,12)/10</f>
        <v>1.143</v>
      </c>
      <c r="O24" s="3">
        <f t="shared" ca="1" si="1"/>
        <v>45170</v>
      </c>
      <c r="P24" s="4" t="s">
        <v>80</v>
      </c>
      <c r="Q24" s="4" t="s">
        <v>81</v>
      </c>
      <c r="R24" s="4" t="s">
        <v>82</v>
      </c>
      <c r="S24" s="4" t="s">
        <v>83</v>
      </c>
      <c r="T24" s="4">
        <f ca="1">ROUND(_Google_ads[[#This Row],[impressions]]*RANDBETWEEN(8,12)/10,0)</f>
        <v>48234</v>
      </c>
      <c r="U24" s="4">
        <f ca="1">ROUND(_Google_ads[[#This Row],[clicks]]*RANDBETWEEN(8,12)/10,0)</f>
        <v>1088</v>
      </c>
      <c r="V24" s="4">
        <f ca="1">_Google_ads[[#This Row],[cost]]*RANDBETWEEN(8,12)/10</f>
        <v>571.23</v>
      </c>
      <c r="W24" s="4">
        <f ca="1">ROUND(_Google_ads[[#This Row],[conversions]]*RANDBETWEEN(8,12)/10,0)</f>
        <v>21</v>
      </c>
      <c r="X24" s="4">
        <f ca="1">ROUND(_Google_ads[[#This Row],[conversion_value]]*RANDBETWEEN(8,12)/10,0)</f>
        <v>1560</v>
      </c>
      <c r="Y24" s="4">
        <f ca="1">_Google_ads[[#This Row],[ctr]]*RANDBETWEEN(8,12)/10</f>
        <v>1.8450000000000001E-2</v>
      </c>
      <c r="Z24" s="4">
        <f ca="1">_Google_ads[[#This Row],[avg_cpc]]*RANDBETWEEN(8,12)/10</f>
        <v>0.64</v>
      </c>
      <c r="AA24" s="4">
        <f ca="1">ROUND(_Google_ads[[#This Row],[quality_score]]*RANDBETWEEN(8,12)/10,0)</f>
        <v>8</v>
      </c>
      <c r="AB24" s="4">
        <f ca="1">_Google_ads[[#This Row],[search_impression_share]]*RANDBETWEEN(8,12)/10</f>
        <v>0.46000000000000008</v>
      </c>
      <c r="AD24" s="3">
        <f t="shared" ca="1" si="2"/>
        <v>45196</v>
      </c>
      <c r="AE24" s="4" t="s">
        <v>104</v>
      </c>
      <c r="AF24" s="4" t="s">
        <v>105</v>
      </c>
      <c r="AG24" s="4" t="s">
        <v>106</v>
      </c>
      <c r="AH24" s="4" t="s">
        <v>107</v>
      </c>
      <c r="AI24" s="4">
        <f ca="1">ROUND(T_Tiktok_ads[[#This Row],[impressions]]*RANDBETWEEN(8,12)/10,0)</f>
        <v>143081</v>
      </c>
      <c r="AJ24" s="4">
        <f ca="1">ROUND(T_Tiktok_ads[[#This Row],[clicks]]*RANDBETWEEN(8,12)/10,0)</f>
        <v>2681</v>
      </c>
      <c r="AK24" s="4">
        <v>645.6</v>
      </c>
      <c r="AL24" s="4">
        <f ca="1">ROUND(T_Tiktok_ads[[#This Row],[conversions]]*RANDBETWEEN(8,12)/10,0)</f>
        <v>77</v>
      </c>
      <c r="AM24" s="4">
        <f ca="1">ROUND(T_Tiktok_ads[[#This Row],[video_views]]*RANDBETWEEN(8,12)/10,0)</f>
        <v>94246</v>
      </c>
      <c r="AN24" s="4">
        <f ca="1">ROUND(T_Tiktok_ads[[#This Row],[video_watch_25]]*RANDBETWEEN(8,12)/10,0)</f>
        <v>63456</v>
      </c>
      <c r="AO24" s="4">
        <f ca="1">ROUND(T_Tiktok_ads[[#This Row],[video_watch_50]]*RANDBETWEEN(8,12)/10,0)</f>
        <v>33876</v>
      </c>
      <c r="AP24" s="4">
        <f ca="1">ROUND(T_Tiktok_ads[[#This Row],[video_watch_75]]*RANDBETWEEN(8,12)/10,0)</f>
        <v>35457</v>
      </c>
      <c r="AQ24" s="4">
        <f ca="1">ROUND(T_Tiktok_ads[[#This Row],[video_watch_100]]*RANDBETWEEN(8,12)/10,0)</f>
        <v>17787</v>
      </c>
      <c r="AR24" s="4">
        <f ca="1">ROUND(T_Tiktok_ads[[#This Row],[likes]]*RANDBETWEEN(8,12)/10,0)</f>
        <v>4345</v>
      </c>
      <c r="AS24" s="4">
        <f ca="1">ROUND(T_Tiktok_ads[[#This Row],[shares]]*RANDBETWEEN(8,12)/10,0)</f>
        <v>951</v>
      </c>
      <c r="AT24" s="4">
        <f ca="1">ROUND(T_Tiktok_ads[[#This Row],[comments]]*RANDBETWEEN(8,12)/10,0)</f>
        <v>245</v>
      </c>
      <c r="AV24" s="5">
        <f t="shared" ca="1" si="3"/>
        <v>45178</v>
      </c>
      <c r="AW24">
        <f t="shared" ca="1" si="4"/>
        <v>4</v>
      </c>
      <c r="AX24">
        <f ca="1">ROUND(T_Facebook_Ads115963677175798387[[#This Row],[impressions]]*RANDBETWEEN(8,12)/10,0)</f>
        <v>16002</v>
      </c>
      <c r="AY24">
        <f ca="1">ROUND(T_Facebook_Ads115963677175798387[[#This Row],[clicks]]*RANDBETWEEN(8,12)/10,0)</f>
        <v>641</v>
      </c>
      <c r="AZ24">
        <f ca="1">T_Facebook_Ads115963677175798387[[#This Row],[spend]]*RANDBETWEEN(8,12)/10</f>
        <v>229.392</v>
      </c>
      <c r="BA24">
        <f ca="1">ROUND(T_Facebook_Ads115963677175798387[[#This Row],[conversions]]*RANDBETWEEN(8,12)/10,0)</f>
        <v>38</v>
      </c>
      <c r="BB24">
        <f ca="1">ROUND(T_Facebook_Ads115963677175798387[[#This Row],[video_views]]*RANDBETWEEN(8,12)/10,0)</f>
        <v>1357</v>
      </c>
    </row>
    <row r="25" spans="1:54" ht="15.75" thickBot="1" x14ac:dyDescent="0.3">
      <c r="A25" s="3">
        <f t="shared" ca="1" si="0"/>
        <v>45190</v>
      </c>
      <c r="B25" s="4" t="s">
        <v>64</v>
      </c>
      <c r="C25" s="4" t="s">
        <v>65</v>
      </c>
      <c r="D25" s="4" t="s">
        <v>66</v>
      </c>
      <c r="E25" s="4" t="s">
        <v>67</v>
      </c>
      <c r="F25" s="4">
        <f ca="1">ROUND(T_Facebook_Ads[[#This Row],[impressions]]*RANDBETWEEN(8,12)/10,0)</f>
        <v>80802</v>
      </c>
      <c r="G25" s="4">
        <v>267</v>
      </c>
      <c r="H25" s="4">
        <f ca="1">T_Facebook_Ads[[#This Row],[spend]]*RANDBETWEEN(8,12)/10</f>
        <v>78.64</v>
      </c>
      <c r="I25" s="4">
        <f ca="1">ROUND(T_Facebook_Ads[[#This Row],[conversions]]*RANDBETWEEN(8,12)/10,0)</f>
        <v>6</v>
      </c>
      <c r="J25" s="4">
        <f ca="1">ROUND(T_Facebook_Ads[[#This Row],[video_views]]*RANDBETWEEN(8,12)/10,0)</f>
        <v>50123</v>
      </c>
      <c r="K25" s="4">
        <f ca="1">T_Facebook_Ads[[#This Row],[engagement_rate]]*RANDBETWEEN(8,12)/10</f>
        <v>4.3200000000000001E-3</v>
      </c>
      <c r="L25" s="4">
        <f ca="1">ROUND(T_Facebook_Ads[[#This Row],[reach]]*RANDBETWEEN(8,12)/10,0)</f>
        <v>66257</v>
      </c>
      <c r="M25" s="4">
        <f ca="1">T_Facebook_Ads[[#This Row],[frequency]]*RANDBETWEEN(8,12)/10</f>
        <v>1.464</v>
      </c>
      <c r="O25" s="3">
        <f t="shared" ca="1" si="1"/>
        <v>45172</v>
      </c>
      <c r="P25" s="4" t="s">
        <v>88</v>
      </c>
      <c r="Q25" s="4" t="s">
        <v>89</v>
      </c>
      <c r="R25" s="4" t="s">
        <v>90</v>
      </c>
      <c r="S25" s="4" t="s">
        <v>59</v>
      </c>
      <c r="T25" s="4">
        <f ca="1">ROUND(_Google_ads[[#This Row],[impressions]]*RANDBETWEEN(8,12)/10,0)</f>
        <v>100542</v>
      </c>
      <c r="U25" s="4">
        <f ca="1">ROUND(_Google_ads[[#This Row],[clicks]]*RANDBETWEEN(8,12)/10,0)</f>
        <v>490</v>
      </c>
      <c r="V25" s="4">
        <f ca="1">_Google_ads[[#This Row],[cost]]*RANDBETWEEN(8,12)/10</f>
        <v>133.43</v>
      </c>
      <c r="W25" s="4">
        <f ca="1">ROUND(_Google_ads[[#This Row],[conversions]]*RANDBETWEEN(8,12)/10,0)</f>
        <v>9</v>
      </c>
      <c r="X25" s="4">
        <f ca="1">ROUND(_Google_ads[[#This Row],[conversion_value]]*RANDBETWEEN(8,12)/10,0)</f>
        <v>660</v>
      </c>
      <c r="Y25" s="4">
        <f ca="1">_Google_ads[[#This Row],[ctr]]*RANDBETWEEN(8,12)/10</f>
        <v>2.8E-3</v>
      </c>
      <c r="Z25" s="4">
        <f ca="1">_Google_ads[[#This Row],[avg_cpc]]*RANDBETWEEN(8,12)/10</f>
        <v>0.32400000000000001</v>
      </c>
      <c r="AA25" s="4">
        <f ca="1">ROUND(_Google_ads[[#This Row],[quality_score]]*RANDBETWEEN(8,12)/10,0)</f>
        <v>8</v>
      </c>
      <c r="AB25" s="4">
        <f ca="1">_Google_ads[[#This Row],[search_impression_share]]*RANDBETWEEN(8,12)/10</f>
        <v>0.34</v>
      </c>
      <c r="AD25" s="3">
        <f t="shared" ca="1" si="2"/>
        <v>45170</v>
      </c>
      <c r="AE25" s="4" t="s">
        <v>112</v>
      </c>
      <c r="AF25" s="4" t="s">
        <v>113</v>
      </c>
      <c r="AG25" s="4" t="s">
        <v>114</v>
      </c>
      <c r="AH25" s="4" t="s">
        <v>115</v>
      </c>
      <c r="AI25" s="4">
        <f ca="1">ROUND(T_Tiktok_ads[[#This Row],[impressions]]*RANDBETWEEN(8,12)/10,0)</f>
        <v>350111</v>
      </c>
      <c r="AJ25" s="4">
        <f ca="1">ROUND(T_Tiktok_ads[[#This Row],[clicks]]*RANDBETWEEN(8,12)/10,0)</f>
        <v>4987</v>
      </c>
      <c r="AK25" s="4">
        <v>967.8</v>
      </c>
      <c r="AL25" s="4">
        <f ca="1">ROUND(T_Tiktok_ads[[#This Row],[conversions]]*RANDBETWEEN(8,12)/10,0)</f>
        <v>98</v>
      </c>
      <c r="AM25" s="4">
        <f ca="1">ROUND(T_Tiktok_ads[[#This Row],[video_views]]*RANDBETWEEN(8,12)/10,0)</f>
        <v>353357</v>
      </c>
      <c r="AN25" s="4">
        <f ca="1">ROUND(T_Tiktok_ads[[#This Row],[video_watch_25]]*RANDBETWEEN(8,12)/10,0)</f>
        <v>233011</v>
      </c>
      <c r="AO25" s="4">
        <f ca="1">ROUND(T_Tiktok_ads[[#This Row],[video_watch_50]]*RANDBETWEEN(8,12)/10,0)</f>
        <v>207890</v>
      </c>
      <c r="AP25" s="4">
        <f ca="1">ROUND(T_Tiktok_ads[[#This Row],[video_watch_75]]*RANDBETWEEN(8,12)/10,0)</f>
        <v>161957</v>
      </c>
      <c r="AQ25" s="4">
        <f ca="1">ROUND(T_Tiktok_ads[[#This Row],[video_watch_100]]*RANDBETWEEN(8,12)/10,0)</f>
        <v>77965</v>
      </c>
      <c r="AR25" s="4">
        <f ca="1">ROUND(T_Tiktok_ads[[#This Row],[likes]]*RANDBETWEEN(8,12)/10,0)</f>
        <v>20281</v>
      </c>
      <c r="AS25" s="4">
        <f ca="1">ROUND(T_Tiktok_ads[[#This Row],[shares]]*RANDBETWEEN(8,12)/10,0)</f>
        <v>4912</v>
      </c>
      <c r="AT25" s="4">
        <f ca="1">ROUND(T_Tiktok_ads[[#This Row],[comments]]*RANDBETWEEN(8,12)/10,0)</f>
        <v>1480</v>
      </c>
      <c r="AV25" s="5">
        <f t="shared" ca="1" si="3"/>
        <v>45183</v>
      </c>
      <c r="AW25">
        <f t="shared" ca="1" si="4"/>
        <v>2</v>
      </c>
      <c r="AX25">
        <f ca="1">ROUND(T_Facebook_Ads115963677175798387[[#This Row],[impressions]]*RANDBETWEEN(8,12)/10,0)</f>
        <v>72722</v>
      </c>
      <c r="AY25">
        <f ca="1">ROUND(T_Facebook_Ads115963677175798387[[#This Row],[clicks]]*RANDBETWEEN(8,12)/10,0)</f>
        <v>267</v>
      </c>
      <c r="AZ25">
        <f ca="1">T_Facebook_Ads115963677175798387[[#This Row],[spend]]*RANDBETWEEN(8,12)/10</f>
        <v>62.911999999999999</v>
      </c>
      <c r="BA25">
        <f ca="1">ROUND(T_Facebook_Ads115963677175798387[[#This Row],[conversions]]*RANDBETWEEN(8,12)/10,0)</f>
        <v>5</v>
      </c>
      <c r="BB25">
        <f ca="1">ROUND(T_Facebook_Ads115963677175798387[[#This Row],[video_views]]*RANDBETWEEN(8,12)/10,0)</f>
        <v>40098</v>
      </c>
    </row>
    <row r="26" spans="1:54" ht="15.75" thickBot="1" x14ac:dyDescent="0.3">
      <c r="A26" s="3">
        <f t="shared" ca="1" si="0"/>
        <v>45170</v>
      </c>
      <c r="B26" s="4" t="s">
        <v>52</v>
      </c>
      <c r="C26" s="4" t="s">
        <v>53</v>
      </c>
      <c r="D26" s="4" t="s">
        <v>54</v>
      </c>
      <c r="E26" s="4" t="s">
        <v>55</v>
      </c>
      <c r="F26" s="4">
        <f ca="1">ROUND(T_Facebook_Ads[[#This Row],[impressions]]*RANDBETWEEN(8,12)/10,0)</f>
        <v>40098</v>
      </c>
      <c r="G26" s="4">
        <v>1012</v>
      </c>
      <c r="H26" s="4">
        <f ca="1">T_Facebook_Ads[[#This Row],[spend]]*RANDBETWEEN(8,12)/10</f>
        <v>170.04</v>
      </c>
      <c r="I26" s="4">
        <f ca="1">ROUND(T_Facebook_Ads[[#This Row],[conversions]]*RANDBETWEEN(8,12)/10,0)</f>
        <v>17</v>
      </c>
      <c r="J26" s="4">
        <f ca="1">ROUND(T_Facebook_Ads[[#This Row],[video_views]]*RANDBETWEEN(8,12)/10,0)</f>
        <v>10280</v>
      </c>
      <c r="K26" s="4">
        <f ca="1">T_Facebook_Ads[[#This Row],[engagement_rate]]*RANDBETWEEN(8,12)/10</f>
        <v>2.2219999999999997E-2</v>
      </c>
      <c r="L26" s="4">
        <f ca="1">ROUND(T_Facebook_Ads[[#This Row],[reach]]*RANDBETWEEN(8,12)/10,0)</f>
        <v>37701</v>
      </c>
      <c r="M26" s="4">
        <f ca="1">T_Facebook_Ads[[#This Row],[frequency]]*RANDBETWEEN(8,12)/10</f>
        <v>1.0799999999999998</v>
      </c>
      <c r="O26" s="3">
        <f t="shared" ca="1" si="1"/>
        <v>45185</v>
      </c>
      <c r="P26" s="4" t="s">
        <v>76</v>
      </c>
      <c r="Q26" s="4" t="s">
        <v>77</v>
      </c>
      <c r="R26" s="4" t="s">
        <v>78</v>
      </c>
      <c r="S26" s="4" t="s">
        <v>79</v>
      </c>
      <c r="T26" s="4">
        <f ca="1">ROUND(_Google_ads[[#This Row],[impressions]]*RANDBETWEEN(8,12)/10,0)</f>
        <v>25234</v>
      </c>
      <c r="U26" s="4">
        <f ca="1">ROUND(_Google_ads[[#This Row],[clicks]]*RANDBETWEEN(8,12)/10,0)</f>
        <v>1574</v>
      </c>
      <c r="V26" s="4">
        <f ca="1">_Google_ads[[#This Row],[cost]]*RANDBETWEEN(8,12)/10</f>
        <v>200.24</v>
      </c>
      <c r="W26" s="4">
        <f ca="1">ROUND(_Google_ads[[#This Row],[conversions]]*RANDBETWEEN(8,12)/10,0)</f>
        <v>49</v>
      </c>
      <c r="X26" s="4">
        <f ca="1">ROUND(_Google_ads[[#This Row],[conversion_value]]*RANDBETWEEN(8,12)/10,0)</f>
        <v>2940</v>
      </c>
      <c r="Y26" s="4">
        <f ca="1">_Google_ads[[#This Row],[ctr]]*RANDBETWEEN(8,12)/10</f>
        <v>4.1599999999999998E-2</v>
      </c>
      <c r="Z26" s="4">
        <f ca="1">_Google_ads[[#This Row],[avg_cpc]]*RANDBETWEEN(8,12)/10</f>
        <v>0.20899999999999999</v>
      </c>
      <c r="AA26" s="4">
        <f ca="1">ROUND(_Google_ads[[#This Row],[quality_score]]*RANDBETWEEN(8,12)/10,0)</f>
        <v>9</v>
      </c>
      <c r="AB26" s="4">
        <f ca="1">_Google_ads[[#This Row],[search_impression_share]]*RANDBETWEEN(8,12)/10</f>
        <v>0.73599999999999999</v>
      </c>
      <c r="AD26" s="3">
        <f t="shared" ca="1" si="2"/>
        <v>45175</v>
      </c>
      <c r="AE26" s="4" t="s">
        <v>100</v>
      </c>
      <c r="AF26" s="4" t="s">
        <v>101</v>
      </c>
      <c r="AG26" s="4" t="s">
        <v>102</v>
      </c>
      <c r="AH26" s="4" t="s">
        <v>103</v>
      </c>
      <c r="AI26" s="4">
        <f ca="1">ROUND(T_Tiktok_ads[[#This Row],[impressions]]*RANDBETWEEN(8,12)/10,0)</f>
        <v>289012</v>
      </c>
      <c r="AJ26" s="4">
        <f ca="1">ROUND(T_Tiktok_ads[[#This Row],[clicks]]*RANDBETWEEN(8,12)/10,0)</f>
        <v>3387</v>
      </c>
      <c r="AK26" s="4">
        <v>556.70000000000005</v>
      </c>
      <c r="AL26" s="4">
        <f ca="1">ROUND(T_Tiktok_ads[[#This Row],[conversions]]*RANDBETWEEN(8,12)/10,0)</f>
        <v>52</v>
      </c>
      <c r="AM26" s="4">
        <f ca="1">ROUND(T_Tiktok_ads[[#This Row],[video_views]]*RANDBETWEEN(8,12)/10,0)</f>
        <v>211110</v>
      </c>
      <c r="AN26" s="4">
        <f ca="1">ROUND(T_Tiktok_ads[[#This Row],[video_watch_25]]*RANDBETWEEN(8,12)/10,0)</f>
        <v>218814</v>
      </c>
      <c r="AO26" s="4">
        <f ca="1">ROUND(T_Tiktok_ads[[#This Row],[video_watch_50]]*RANDBETWEEN(8,12)/10,0)</f>
        <v>91654</v>
      </c>
      <c r="AP26" s="4">
        <f ca="1">ROUND(T_Tiktok_ads[[#This Row],[video_watch_75]]*RANDBETWEEN(8,12)/10,0)</f>
        <v>84957</v>
      </c>
      <c r="AQ26" s="4">
        <f ca="1">ROUND(T_Tiktok_ads[[#This Row],[video_watch_100]]*RANDBETWEEN(8,12)/10,0)</f>
        <v>46111</v>
      </c>
      <c r="AR26" s="4">
        <f ca="1">ROUND(T_Tiktok_ads[[#This Row],[likes]]*RANDBETWEEN(8,12)/10,0)</f>
        <v>12414</v>
      </c>
      <c r="AS26" s="4">
        <f ca="1">ROUND(T_Tiktok_ads[[#This Row],[shares]]*RANDBETWEEN(8,12)/10,0)</f>
        <v>3347</v>
      </c>
      <c r="AT26" s="4">
        <f ca="1">ROUND(T_Tiktok_ads[[#This Row],[comments]]*RANDBETWEEN(8,12)/10,0)</f>
        <v>525</v>
      </c>
      <c r="AV26" s="5">
        <f t="shared" ca="1" si="3"/>
        <v>45177</v>
      </c>
      <c r="AW26">
        <f t="shared" ca="1" si="4"/>
        <v>3</v>
      </c>
      <c r="AX26">
        <f ca="1">ROUND(T_Facebook_Ads115963677175798387[[#This Row],[impressions]]*RANDBETWEEN(8,12)/10,0)</f>
        <v>36088</v>
      </c>
      <c r="AY26">
        <f ca="1">ROUND(T_Facebook_Ads115963677175798387[[#This Row],[clicks]]*RANDBETWEEN(8,12)/10,0)</f>
        <v>1012</v>
      </c>
      <c r="AZ26">
        <f ca="1">T_Facebook_Ads115963677175798387[[#This Row],[spend]]*RANDBETWEEN(8,12)/10</f>
        <v>187.04399999999998</v>
      </c>
      <c r="BA26">
        <f ca="1">ROUND(T_Facebook_Ads115963677175798387[[#This Row],[conversions]]*RANDBETWEEN(8,12)/10,0)</f>
        <v>20</v>
      </c>
      <c r="BB26">
        <f ca="1">ROUND(T_Facebook_Ads115963677175798387[[#This Row],[video_views]]*RANDBETWEEN(8,12)/10,0)</f>
        <v>9252</v>
      </c>
    </row>
    <row r="27" spans="1:54" ht="15.75" thickBot="1" x14ac:dyDescent="0.3">
      <c r="A27" s="3">
        <f t="shared" ca="1" si="0"/>
        <v>45180</v>
      </c>
      <c r="B27" s="4" t="s">
        <v>60</v>
      </c>
      <c r="C27" s="4" t="s">
        <v>61</v>
      </c>
      <c r="D27" s="4" t="s">
        <v>62</v>
      </c>
      <c r="E27" s="4" t="s">
        <v>63</v>
      </c>
      <c r="F27" s="4">
        <f ca="1">ROUND(T_Facebook_Ads[[#This Row],[impressions]]*RANDBETWEEN(8,12)/10,0)</f>
        <v>32810</v>
      </c>
      <c r="G27" s="4">
        <v>1312</v>
      </c>
      <c r="H27" s="4">
        <f ca="1">T_Facebook_Ads[[#This Row],[spend]]*RANDBETWEEN(8,12)/10</f>
        <v>219.78000000000003</v>
      </c>
      <c r="I27" s="4">
        <f ca="1">ROUND(T_Facebook_Ads[[#This Row],[conversions]]*RANDBETWEEN(8,12)/10,0)</f>
        <v>31</v>
      </c>
      <c r="J27" s="4">
        <f ca="1">ROUND(T_Facebook_Ads[[#This Row],[video_views]]*RANDBETWEEN(8,12)/10,0)</f>
        <v>5305</v>
      </c>
      <c r="K27" s="4">
        <f ca="1">T_Facebook_Ads[[#This Row],[engagement_rate]]*RANDBETWEEN(8,12)/10</f>
        <v>3.5999999999999997E-2</v>
      </c>
      <c r="L27" s="4">
        <f ca="1">ROUND(T_Facebook_Ads[[#This Row],[reach]]*RANDBETWEEN(8,12)/10,0)</f>
        <v>24187</v>
      </c>
      <c r="M27" s="4">
        <f ca="1">T_Facebook_Ads[[#This Row],[frequency]]*RANDBETWEEN(8,12)/10</f>
        <v>1.21</v>
      </c>
      <c r="O27" s="3">
        <f t="shared" ca="1" si="1"/>
        <v>45185</v>
      </c>
      <c r="P27" s="4" t="s">
        <v>84</v>
      </c>
      <c r="Q27" s="4" t="s">
        <v>85</v>
      </c>
      <c r="R27" s="4" t="s">
        <v>86</v>
      </c>
      <c r="S27" s="4" t="s">
        <v>87</v>
      </c>
      <c r="T27" s="4">
        <f ca="1">ROUND(_Google_ads[[#This Row],[impressions]]*RANDBETWEEN(8,12)/10,0)</f>
        <v>88147</v>
      </c>
      <c r="U27" s="4">
        <f ca="1">ROUND(_Google_ads[[#This Row],[clicks]]*RANDBETWEEN(8,12)/10,0)</f>
        <v>2423</v>
      </c>
      <c r="V27" s="4">
        <f ca="1">_Google_ads[[#This Row],[cost]]*RANDBETWEEN(8,12)/10</f>
        <v>397.62</v>
      </c>
      <c r="W27" s="4">
        <f ca="1">ROUND(_Google_ads[[#This Row],[conversions]]*RANDBETWEEN(8,12)/10,0)</f>
        <v>77</v>
      </c>
      <c r="X27" s="4">
        <f ca="1">ROUND(_Google_ads[[#This Row],[conversion_value]]*RANDBETWEEN(8,12)/10,0)</f>
        <v>3150</v>
      </c>
      <c r="Y27" s="4">
        <f ca="1">_Google_ads[[#This Row],[ctr]]*RANDBETWEEN(8,12)/10</f>
        <v>3.6299999999999999E-2</v>
      </c>
      <c r="Z27" s="4">
        <f ca="1">_Google_ads[[#This Row],[avg_cpc]]*RANDBETWEEN(8,12)/10</f>
        <v>0.18</v>
      </c>
      <c r="AA27" s="4">
        <f ca="1">ROUND(_Google_ads[[#This Row],[quality_score]]*RANDBETWEEN(8,12)/10,0)</f>
        <v>8</v>
      </c>
      <c r="AB27" s="4">
        <f ca="1">_Google_ads[[#This Row],[search_impression_share]]*RANDBETWEEN(8,12)/10</f>
        <v>0.61199999999999999</v>
      </c>
      <c r="AD27" s="3">
        <f t="shared" ca="1" si="2"/>
        <v>45179</v>
      </c>
      <c r="AE27" s="4" t="s">
        <v>108</v>
      </c>
      <c r="AF27" s="4" t="s">
        <v>109</v>
      </c>
      <c r="AG27" s="4" t="s">
        <v>110</v>
      </c>
      <c r="AH27" s="4" t="s">
        <v>111</v>
      </c>
      <c r="AI27" s="4">
        <f ca="1">ROUND(T_Tiktok_ads[[#This Row],[impressions]]*RANDBETWEEN(8,12)/10,0)</f>
        <v>262681</v>
      </c>
      <c r="AJ27" s="4">
        <f ca="1">ROUND(T_Tiktok_ads[[#This Row],[clicks]]*RANDBETWEEN(8,12)/10,0)</f>
        <v>3802</v>
      </c>
      <c r="AK27" s="4">
        <v>414.4</v>
      </c>
      <c r="AL27" s="4">
        <f ca="1">ROUND(T_Tiktok_ads[[#This Row],[conversions]]*RANDBETWEEN(8,12)/10,0)</f>
        <v>32</v>
      </c>
      <c r="AM27" s="4">
        <f ca="1">ROUND(T_Tiktok_ads[[#This Row],[video_views]]*RANDBETWEEN(8,12)/10,0)</f>
        <v>190802</v>
      </c>
      <c r="AN27" s="4">
        <f ca="1">ROUND(T_Tiktok_ads[[#This Row],[video_watch_25]]*RANDBETWEEN(8,12)/10,0)</f>
        <v>105254</v>
      </c>
      <c r="AO27" s="4">
        <f ca="1">ROUND(T_Tiktok_ads[[#This Row],[video_watch_50]]*RANDBETWEEN(8,12)/10,0)</f>
        <v>124280</v>
      </c>
      <c r="AP27" s="4">
        <f ca="1">ROUND(T_Tiktok_ads[[#This Row],[video_watch_75]]*RANDBETWEEN(8,12)/10,0)</f>
        <v>80681</v>
      </c>
      <c r="AQ27" s="4">
        <f ca="1">ROUND(T_Tiktok_ads[[#This Row],[video_watch_100]]*RANDBETWEEN(8,12)/10,0)</f>
        <v>32454</v>
      </c>
      <c r="AR27" s="4">
        <f ca="1">ROUND(T_Tiktok_ads[[#This Row],[likes]]*RANDBETWEEN(8,12)/10,0)</f>
        <v>7211</v>
      </c>
      <c r="AS27" s="4">
        <f ca="1">ROUND(T_Tiktok_ads[[#This Row],[shares]]*RANDBETWEEN(8,12)/10,0)</f>
        <v>2641</v>
      </c>
      <c r="AT27" s="4">
        <f ca="1">ROUND(T_Tiktok_ads[[#This Row],[comments]]*RANDBETWEEN(8,12)/10,0)</f>
        <v>418</v>
      </c>
      <c r="AV27" s="5">
        <f t="shared" ca="1" si="3"/>
        <v>45199</v>
      </c>
      <c r="AW27">
        <f t="shared" ca="1" si="4"/>
        <v>3</v>
      </c>
      <c r="AX27">
        <f ca="1">ROUND(T_Facebook_Ads115963677175798387[[#This Row],[impressions]]*RANDBETWEEN(8,12)/10,0)</f>
        <v>36091</v>
      </c>
      <c r="AY27">
        <f ca="1">ROUND(T_Facebook_Ads115963677175798387[[#This Row],[clicks]]*RANDBETWEEN(8,12)/10,0)</f>
        <v>1312</v>
      </c>
      <c r="AZ27">
        <f ca="1">T_Facebook_Ads115963677175798387[[#This Row],[spend]]*RANDBETWEEN(8,12)/10</f>
        <v>197.80200000000002</v>
      </c>
      <c r="BA27">
        <f ca="1">ROUND(T_Facebook_Ads115963677175798387[[#This Row],[conversions]]*RANDBETWEEN(8,12)/10,0)</f>
        <v>31</v>
      </c>
      <c r="BB27">
        <f ca="1">ROUND(T_Facebook_Ads115963677175798387[[#This Row],[video_views]]*RANDBETWEEN(8,12)/10,0)</f>
        <v>5836</v>
      </c>
    </row>
    <row r="28" spans="1:54" ht="15.75" thickBot="1" x14ac:dyDescent="0.3">
      <c r="A28" s="3">
        <f t="shared" ca="1" si="0"/>
        <v>45194</v>
      </c>
      <c r="B28" s="4" t="s">
        <v>64</v>
      </c>
      <c r="C28" s="4" t="s">
        <v>65</v>
      </c>
      <c r="D28" s="4" t="s">
        <v>66</v>
      </c>
      <c r="E28" s="4" t="s">
        <v>67</v>
      </c>
      <c r="F28" s="4">
        <f ca="1">ROUND(T_Facebook_Ads[[#This Row],[impressions]]*RANDBETWEEN(8,12)/10,0)</f>
        <v>77135</v>
      </c>
      <c r="G28" s="4">
        <v>253</v>
      </c>
      <c r="H28" s="4">
        <f ca="1">T_Facebook_Ads[[#This Row],[spend]]*RANDBETWEEN(8,12)/10</f>
        <v>84.24</v>
      </c>
      <c r="I28" s="4">
        <f ca="1">ROUND(T_Facebook_Ads[[#This Row],[conversions]]*RANDBETWEEN(8,12)/10,0)</f>
        <v>7</v>
      </c>
      <c r="J28" s="4">
        <f ca="1">ROUND(T_Facebook_Ads[[#This Row],[video_views]]*RANDBETWEEN(8,12)/10,0)</f>
        <v>48234</v>
      </c>
      <c r="K28" s="4">
        <f ca="1">T_Facebook_Ads[[#This Row],[engagement_rate]]*RANDBETWEEN(8,12)/10</f>
        <v>2.8799999999999997E-3</v>
      </c>
      <c r="L28" s="4">
        <f ca="1">ROUND(T_Facebook_Ads[[#This Row],[reach]]*RANDBETWEEN(8,12)/10,0)</f>
        <v>46765</v>
      </c>
      <c r="M28" s="4">
        <f ca="1">T_Facebook_Ads[[#This Row],[frequency]]*RANDBETWEEN(8,12)/10</f>
        <v>1.3199999999999998</v>
      </c>
      <c r="O28" s="3">
        <f t="shared" ca="1" si="1"/>
        <v>45197</v>
      </c>
      <c r="P28" s="4" t="s">
        <v>88</v>
      </c>
      <c r="Q28" s="4" t="s">
        <v>89</v>
      </c>
      <c r="R28" s="4" t="s">
        <v>90</v>
      </c>
      <c r="S28" s="4" t="s">
        <v>59</v>
      </c>
      <c r="T28" s="4">
        <f ca="1">ROUND(_Google_ads[[#This Row],[impressions]]*RANDBETWEEN(8,12)/10,0)</f>
        <v>103476</v>
      </c>
      <c r="U28" s="4">
        <f ca="1">ROUND(_Google_ads[[#This Row],[clicks]]*RANDBETWEEN(8,12)/10,0)</f>
        <v>547</v>
      </c>
      <c r="V28" s="4">
        <f ca="1">_Google_ads[[#This Row],[cost]]*RANDBETWEEN(8,12)/10</f>
        <v>113.03999999999999</v>
      </c>
      <c r="W28" s="4">
        <f ca="1">ROUND(_Google_ads[[#This Row],[conversions]]*RANDBETWEEN(8,12)/10,0)</f>
        <v>14</v>
      </c>
      <c r="X28" s="4">
        <f ca="1">ROUND(_Google_ads[[#This Row],[conversion_value]]*RANDBETWEEN(8,12)/10,0)</f>
        <v>540</v>
      </c>
      <c r="Y28" s="4">
        <f ca="1">_Google_ads[[#This Row],[ctr]]*RANDBETWEEN(8,12)/10</f>
        <v>2.8E-3</v>
      </c>
      <c r="Z28" s="4">
        <f ca="1">_Google_ads[[#This Row],[avg_cpc]]*RANDBETWEEN(8,12)/10</f>
        <v>0.308</v>
      </c>
      <c r="AA28" s="4">
        <f ca="1">ROUND(_Google_ads[[#This Row],[quality_score]]*RANDBETWEEN(8,12)/10,0)</f>
        <v>6</v>
      </c>
      <c r="AB28" s="4">
        <f ca="1">_Google_ads[[#This Row],[search_impression_share]]*RANDBETWEEN(8,12)/10</f>
        <v>0.38499999999999995</v>
      </c>
      <c r="AD28" s="3">
        <f t="shared" ca="1" si="2"/>
        <v>45188</v>
      </c>
      <c r="AE28" s="4" t="s">
        <v>112</v>
      </c>
      <c r="AF28" s="4" t="s">
        <v>113</v>
      </c>
      <c r="AG28" s="4" t="s">
        <v>114</v>
      </c>
      <c r="AH28" s="4" t="s">
        <v>115</v>
      </c>
      <c r="AI28" s="4">
        <f ca="1">ROUND(T_Tiktok_ads[[#This Row],[impressions]]*RANDBETWEEN(8,12)/10,0)</f>
        <v>401234</v>
      </c>
      <c r="AJ28" s="4">
        <f ca="1">ROUND(T_Tiktok_ads[[#This Row],[clicks]]*RANDBETWEEN(8,12)/10,0)</f>
        <v>7747</v>
      </c>
      <c r="AK28" s="4">
        <v>989.9</v>
      </c>
      <c r="AL28" s="4">
        <f ca="1">ROUND(T_Tiktok_ads[[#This Row],[conversions]]*RANDBETWEEN(8,12)/10,0)</f>
        <v>101</v>
      </c>
      <c r="AM28" s="4">
        <f ca="1">ROUND(T_Tiktok_ads[[#This Row],[video_views]]*RANDBETWEEN(8,12)/10,0)</f>
        <v>398814</v>
      </c>
      <c r="AN28" s="4">
        <f ca="1">ROUND(T_Tiktok_ads[[#This Row],[video_watch_25]]*RANDBETWEEN(8,12)/10,0)</f>
        <v>241101</v>
      </c>
      <c r="AO28" s="4">
        <f ca="1">ROUND(T_Tiktok_ads[[#This Row],[video_watch_50]]*RANDBETWEEN(8,12)/10,0)</f>
        <v>236024</v>
      </c>
      <c r="AP28" s="4">
        <f ca="1">ROUND(T_Tiktok_ads[[#This Row],[video_watch_75]]*RANDBETWEEN(8,12)/10,0)</f>
        <v>136111</v>
      </c>
      <c r="AQ28" s="4">
        <f ca="1">ROUND(T_Tiktok_ads[[#This Row],[video_watch_100]]*RANDBETWEEN(8,12)/10,0)</f>
        <v>109524</v>
      </c>
      <c r="AR28" s="4">
        <f ca="1">ROUND(T_Tiktok_ads[[#This Row],[likes]]*RANDBETWEEN(8,12)/10,0)</f>
        <v>13787</v>
      </c>
      <c r="AS28" s="4">
        <f ca="1">ROUND(T_Tiktok_ads[[#This Row],[shares]]*RANDBETWEEN(8,12)/10,0)</f>
        <v>5513</v>
      </c>
      <c r="AT28" s="4">
        <f ca="1">ROUND(T_Tiktok_ads[[#This Row],[comments]]*RANDBETWEEN(8,12)/10,0)</f>
        <v>1102</v>
      </c>
      <c r="AV28" s="5">
        <f t="shared" ca="1" si="3"/>
        <v>45187</v>
      </c>
      <c r="AW28">
        <f t="shared" ca="1" si="4"/>
        <v>8</v>
      </c>
      <c r="AX28">
        <f ca="1">ROUND(T_Facebook_Ads115963677175798387[[#This Row],[impressions]]*RANDBETWEEN(8,12)/10,0)</f>
        <v>69422</v>
      </c>
      <c r="AY28">
        <f ca="1">ROUND(T_Facebook_Ads115963677175798387[[#This Row],[clicks]]*RANDBETWEEN(8,12)/10,0)</f>
        <v>202</v>
      </c>
      <c r="AZ28">
        <f ca="1">T_Facebook_Ads115963677175798387[[#This Row],[spend]]*RANDBETWEEN(8,12)/10</f>
        <v>84.24</v>
      </c>
      <c r="BA28">
        <f ca="1">ROUND(T_Facebook_Ads115963677175798387[[#This Row],[conversions]]*RANDBETWEEN(8,12)/10,0)</f>
        <v>8</v>
      </c>
      <c r="BB28">
        <f ca="1">ROUND(T_Facebook_Ads115963677175798387[[#This Row],[video_views]]*RANDBETWEEN(8,12)/10,0)</f>
        <v>48234</v>
      </c>
    </row>
    <row r="29" spans="1:54" ht="15.75" thickBot="1" x14ac:dyDescent="0.3">
      <c r="A29" s="3">
        <f t="shared" ca="1" si="0"/>
        <v>45189</v>
      </c>
      <c r="B29" s="4" t="s">
        <v>52</v>
      </c>
      <c r="C29" s="4" t="s">
        <v>53</v>
      </c>
      <c r="D29" s="4" t="s">
        <v>54</v>
      </c>
      <c r="E29" s="4" t="s">
        <v>55</v>
      </c>
      <c r="F29" s="4">
        <f ca="1">ROUND(T_Facebook_Ads[[#This Row],[impressions]]*RANDBETWEEN(8,12)/10,0)</f>
        <v>48567</v>
      </c>
      <c r="G29" s="4">
        <v>978</v>
      </c>
      <c r="H29" s="4">
        <f ca="1">T_Facebook_Ads[[#This Row],[spend]]*RANDBETWEEN(8,12)/10</f>
        <v>110.24000000000001</v>
      </c>
      <c r="I29" s="4">
        <f ca="1">ROUND(T_Facebook_Ads[[#This Row],[conversions]]*RANDBETWEEN(8,12)/10,0)</f>
        <v>14</v>
      </c>
      <c r="J29" s="4">
        <f ca="1">ROUND(T_Facebook_Ads[[#This Row],[video_views]]*RANDBETWEEN(8,12)/10,0)</f>
        <v>8051</v>
      </c>
      <c r="K29" s="4">
        <f ca="1">T_Facebook_Ads[[#This Row],[engagement_rate]]*RANDBETWEEN(8,12)/10</f>
        <v>1.8090000000000002E-2</v>
      </c>
      <c r="L29" s="4">
        <f ca="1">ROUND(T_Facebook_Ads[[#This Row],[reach]]*RANDBETWEEN(8,12)/10,0)</f>
        <v>32365</v>
      </c>
      <c r="M29" s="4">
        <f ca="1">T_Facebook_Ads[[#This Row],[frequency]]*RANDBETWEEN(8,12)/10</f>
        <v>1.44</v>
      </c>
      <c r="O29" s="3">
        <f t="shared" ca="1" si="1"/>
        <v>45183</v>
      </c>
      <c r="P29" s="4" t="s">
        <v>76</v>
      </c>
      <c r="Q29" s="4" t="s">
        <v>77</v>
      </c>
      <c r="R29" s="4" t="s">
        <v>78</v>
      </c>
      <c r="S29" s="4" t="s">
        <v>79</v>
      </c>
      <c r="T29" s="4">
        <f ca="1">ROUND(_Google_ads[[#This Row],[impressions]]*RANDBETWEEN(8,12)/10,0)</f>
        <v>27146</v>
      </c>
      <c r="U29" s="4">
        <f ca="1">ROUND(_Google_ads[[#This Row],[clicks]]*RANDBETWEEN(8,12)/10,0)</f>
        <v>1418</v>
      </c>
      <c r="V29" s="4">
        <f ca="1">_Google_ads[[#This Row],[cost]]*RANDBETWEEN(8,12)/10</f>
        <v>245.9</v>
      </c>
      <c r="W29" s="4">
        <f ca="1">ROUND(_Google_ads[[#This Row],[conversions]]*RANDBETWEEN(8,12)/10,0)</f>
        <v>48</v>
      </c>
      <c r="X29" s="4">
        <f ca="1">ROUND(_Google_ads[[#This Row],[conversion_value]]*RANDBETWEEN(8,12)/10,0)</f>
        <v>2880</v>
      </c>
      <c r="Y29" s="4">
        <f ca="1">_Google_ads[[#This Row],[ctr]]*RANDBETWEEN(8,12)/10</f>
        <v>5.7420000000000006E-2</v>
      </c>
      <c r="Z29" s="4">
        <f ca="1">_Google_ads[[#This Row],[avg_cpc]]*RANDBETWEEN(8,12)/10</f>
        <v>0.152</v>
      </c>
      <c r="AA29" s="4">
        <f ca="1">ROUND(_Google_ads[[#This Row],[quality_score]]*RANDBETWEEN(8,12)/10,0)</f>
        <v>9</v>
      </c>
      <c r="AB29" s="4">
        <f ca="1">_Google_ads[[#This Row],[search_impression_share]]*RANDBETWEEN(8,12)/10</f>
        <v>0.81899999999999995</v>
      </c>
      <c r="AD29" s="3">
        <f t="shared" ca="1" si="2"/>
        <v>45178</v>
      </c>
      <c r="AE29" s="4" t="s">
        <v>100</v>
      </c>
      <c r="AF29" s="4" t="s">
        <v>101</v>
      </c>
      <c r="AG29" s="4" t="s">
        <v>102</v>
      </c>
      <c r="AH29" s="4" t="s">
        <v>103</v>
      </c>
      <c r="AI29" s="4">
        <f ca="1">ROUND(T_Tiktok_ads[[#This Row],[impressions]]*RANDBETWEEN(8,12)/10,0)</f>
        <v>307481</v>
      </c>
      <c r="AJ29" s="4">
        <f ca="1">ROUND(T_Tiktok_ads[[#This Row],[clicks]]*RANDBETWEEN(8,12)/10,0)</f>
        <v>2961</v>
      </c>
      <c r="AK29" s="4">
        <v>490.5</v>
      </c>
      <c r="AL29" s="4">
        <f ca="1">ROUND(T_Tiktok_ads[[#This Row],[conversions]]*RANDBETWEEN(8,12)/10,0)</f>
        <v>38</v>
      </c>
      <c r="AM29" s="4">
        <f ca="1">ROUND(T_Tiktok_ads[[#This Row],[video_views]]*RANDBETWEEN(8,12)/10,0)</f>
        <v>188311</v>
      </c>
      <c r="AN29" s="4">
        <f ca="1">ROUND(T_Tiktok_ads[[#This Row],[video_watch_25]]*RANDBETWEEN(8,12)/10,0)</f>
        <v>130854</v>
      </c>
      <c r="AO29" s="4">
        <f ca="1">ROUND(T_Tiktok_ads[[#This Row],[video_watch_50]]*RANDBETWEEN(8,12)/10,0)</f>
        <v>102567</v>
      </c>
      <c r="AP29" s="4">
        <f ca="1">ROUND(T_Tiktok_ads[[#This Row],[video_watch_75]]*RANDBETWEEN(8,12)/10,0)</f>
        <v>76524</v>
      </c>
      <c r="AQ29" s="4">
        <f ca="1">ROUND(T_Tiktok_ads[[#This Row],[video_watch_100]]*RANDBETWEEN(8,12)/10,0)</f>
        <v>37254</v>
      </c>
      <c r="AR29" s="4">
        <f ca="1">ROUND(T_Tiktok_ads[[#This Row],[likes]]*RANDBETWEEN(8,12)/10,0)</f>
        <v>9123</v>
      </c>
      <c r="AS29" s="4">
        <f ca="1">ROUND(T_Tiktok_ads[[#This Row],[shares]]*RANDBETWEEN(8,12)/10,0)</f>
        <v>1938</v>
      </c>
      <c r="AT29" s="4">
        <f ca="1">ROUND(T_Tiktok_ads[[#This Row],[comments]]*RANDBETWEEN(8,12)/10,0)</f>
        <v>721</v>
      </c>
      <c r="AV29" s="5">
        <f t="shared" ca="1" si="3"/>
        <v>45173</v>
      </c>
      <c r="AW29">
        <f t="shared" ca="1" si="4"/>
        <v>5</v>
      </c>
      <c r="AX29">
        <f ca="1">ROUND(T_Facebook_Ads115963677175798387[[#This Row],[impressions]]*RANDBETWEEN(8,12)/10,0)</f>
        <v>43710</v>
      </c>
      <c r="AY29">
        <f ca="1">ROUND(T_Facebook_Ads115963677175798387[[#This Row],[clicks]]*RANDBETWEEN(8,12)/10,0)</f>
        <v>1076</v>
      </c>
      <c r="AZ29">
        <f ca="1">T_Facebook_Ads115963677175798387[[#This Row],[spend]]*RANDBETWEEN(8,12)/10</f>
        <v>110.24000000000001</v>
      </c>
      <c r="BA29">
        <f ca="1">ROUND(T_Facebook_Ads115963677175798387[[#This Row],[conversions]]*RANDBETWEEN(8,12)/10,0)</f>
        <v>13</v>
      </c>
      <c r="BB29">
        <f ca="1">ROUND(T_Facebook_Ads115963677175798387[[#This Row],[video_views]]*RANDBETWEEN(8,12)/10,0)</f>
        <v>6441</v>
      </c>
    </row>
    <row r="30" spans="1:54" ht="15.75" thickBot="1" x14ac:dyDescent="0.3">
      <c r="A30" s="3">
        <f t="shared" ca="1" si="0"/>
        <v>45189</v>
      </c>
      <c r="B30" s="4" t="s">
        <v>56</v>
      </c>
      <c r="C30" s="4" t="s">
        <v>57</v>
      </c>
      <c r="D30" s="4" t="s">
        <v>58</v>
      </c>
      <c r="E30" s="4" t="s">
        <v>59</v>
      </c>
      <c r="F30" s="4">
        <f ca="1">ROUND(T_Facebook_Ads[[#This Row],[impressions]]*RANDBETWEEN(8,12)/10,0)</f>
        <v>13789</v>
      </c>
      <c r="G30" s="4">
        <v>645</v>
      </c>
      <c r="H30" s="4">
        <f ca="1">T_Facebook_Ads[[#This Row],[spend]]*RANDBETWEEN(8,12)/10</f>
        <v>241.2</v>
      </c>
      <c r="I30" s="4">
        <f ca="1">ROUND(T_Facebook_Ads[[#This Row],[conversions]]*RANDBETWEEN(8,12)/10,0)</f>
        <v>45</v>
      </c>
      <c r="J30" s="4">
        <f ca="1">ROUND(T_Facebook_Ads[[#This Row],[video_views]]*RANDBETWEEN(8,12)/10,0)</f>
        <v>1787</v>
      </c>
      <c r="K30" s="4">
        <f ca="1">T_Facebook_Ads[[#This Row],[engagement_rate]]*RANDBETWEEN(8,12)/10</f>
        <v>4.6800000000000001E-2</v>
      </c>
      <c r="L30" s="4">
        <f ca="1">ROUND(T_Facebook_Ads[[#This Row],[reach]]*RANDBETWEEN(8,12)/10,0)</f>
        <v>10789</v>
      </c>
      <c r="M30" s="4">
        <f ca="1">T_Facebook_Ads[[#This Row],[frequency]]*RANDBETWEEN(8,12)/10</f>
        <v>1.28</v>
      </c>
      <c r="O30" s="3">
        <f t="shared" ca="1" si="1"/>
        <v>45193</v>
      </c>
      <c r="P30" s="4" t="s">
        <v>80</v>
      </c>
      <c r="Q30" s="4" t="s">
        <v>81</v>
      </c>
      <c r="R30" s="4" t="s">
        <v>82</v>
      </c>
      <c r="S30" s="4" t="s">
        <v>83</v>
      </c>
      <c r="T30" s="4">
        <f ca="1">ROUND(_Google_ads[[#This Row],[impressions]]*RANDBETWEEN(8,12)/10,0)</f>
        <v>49757</v>
      </c>
      <c r="U30" s="4">
        <f ca="1">ROUND(_Google_ads[[#This Row],[clicks]]*RANDBETWEEN(8,12)/10,0)</f>
        <v>1081</v>
      </c>
      <c r="V30" s="4">
        <f ca="1">_Google_ads[[#This Row],[cost]]*RANDBETWEEN(8,12)/10</f>
        <v>463.12</v>
      </c>
      <c r="W30" s="4">
        <f ca="1">ROUND(_Google_ads[[#This Row],[conversions]]*RANDBETWEEN(8,12)/10,0)</f>
        <v>25</v>
      </c>
      <c r="X30" s="4">
        <f ca="1">ROUND(_Google_ads[[#This Row],[conversion_value]]*RANDBETWEEN(8,12)/10,0)</f>
        <v>1380</v>
      </c>
      <c r="Y30" s="4">
        <f ca="1">_Google_ads[[#This Row],[ctr]]*RANDBETWEEN(8,12)/10</f>
        <v>1.592E-2</v>
      </c>
      <c r="Z30" s="4">
        <f ca="1">_Google_ads[[#This Row],[avg_cpc]]*RANDBETWEEN(8,12)/10</f>
        <v>0.51200000000000001</v>
      </c>
      <c r="AA30" s="4">
        <f ca="1">ROUND(_Google_ads[[#This Row],[quality_score]]*RANDBETWEEN(8,12)/10,0)</f>
        <v>7</v>
      </c>
      <c r="AB30" s="4">
        <f ca="1">_Google_ads[[#This Row],[search_impression_share]]*RANDBETWEEN(8,12)/10</f>
        <v>0.45</v>
      </c>
      <c r="AD30" s="3">
        <f t="shared" ca="1" si="2"/>
        <v>45191</v>
      </c>
      <c r="AE30" s="4" t="s">
        <v>104</v>
      </c>
      <c r="AF30" s="4" t="s">
        <v>105</v>
      </c>
      <c r="AG30" s="4" t="s">
        <v>106</v>
      </c>
      <c r="AH30" s="4" t="s">
        <v>107</v>
      </c>
      <c r="AI30" s="4">
        <f ca="1">ROUND(T_Tiktok_ads[[#This Row],[impressions]]*RANDBETWEEN(8,12)/10,0)</f>
        <v>131110</v>
      </c>
      <c r="AJ30" s="4">
        <f ca="1">ROUND(T_Tiktok_ads[[#This Row],[clicks]]*RANDBETWEEN(8,12)/10,0)</f>
        <v>2510</v>
      </c>
      <c r="AK30" s="4">
        <v>756.7</v>
      </c>
      <c r="AL30" s="4">
        <f ca="1">ROUND(T_Tiktok_ads[[#This Row],[conversions]]*RANDBETWEEN(8,12)/10,0)</f>
        <v>68</v>
      </c>
      <c r="AM30" s="4">
        <f ca="1">ROUND(T_Tiktok_ads[[#This Row],[video_views]]*RANDBETWEEN(8,12)/10,0)</f>
        <v>91111</v>
      </c>
      <c r="AN30" s="4">
        <f ca="1">ROUND(T_Tiktok_ads[[#This Row],[video_watch_25]]*RANDBETWEEN(8,12)/10,0)</f>
        <v>59654</v>
      </c>
      <c r="AO30" s="4">
        <f ca="1">ROUND(T_Tiktok_ads[[#This Row],[video_watch_50]]*RANDBETWEEN(8,12)/10,0)</f>
        <v>60281</v>
      </c>
      <c r="AP30" s="4">
        <f ca="1">ROUND(T_Tiktok_ads[[#This Row],[video_watch_75]]*RANDBETWEEN(8,12)/10,0)</f>
        <v>45468</v>
      </c>
      <c r="AQ30" s="4">
        <f ca="1">ROUND(T_Tiktok_ads[[#This Row],[video_watch_100]]*RANDBETWEEN(8,12)/10,0)</f>
        <v>27757</v>
      </c>
      <c r="AR30" s="4">
        <f ca="1">ROUND(T_Tiktok_ads[[#This Row],[likes]]*RANDBETWEEN(8,12)/10,0)</f>
        <v>4010</v>
      </c>
      <c r="AS30" s="4">
        <f ca="1">ROUND(T_Tiktok_ads[[#This Row],[shares]]*RANDBETWEEN(8,12)/10,0)</f>
        <v>1423</v>
      </c>
      <c r="AT30" s="4">
        <f ca="1">ROUND(T_Tiktok_ads[[#This Row],[comments]]*RANDBETWEEN(8,12)/10,0)</f>
        <v>294</v>
      </c>
      <c r="AV30" s="5">
        <f t="shared" ca="1" si="3"/>
        <v>45190</v>
      </c>
      <c r="AW30">
        <f t="shared" ca="1" si="4"/>
        <v>5</v>
      </c>
      <c r="AX30">
        <f ca="1">ROUND(T_Facebook_Ads115963677175798387[[#This Row],[impressions]]*RANDBETWEEN(8,12)/10,0)</f>
        <v>13789</v>
      </c>
      <c r="AY30">
        <f ca="1">ROUND(T_Facebook_Ads115963677175798387[[#This Row],[clicks]]*RANDBETWEEN(8,12)/10,0)</f>
        <v>774</v>
      </c>
      <c r="AZ30">
        <f ca="1">T_Facebook_Ads115963677175798387[[#This Row],[spend]]*RANDBETWEEN(8,12)/10</f>
        <v>241.2</v>
      </c>
      <c r="BA30">
        <f ca="1">ROUND(T_Facebook_Ads115963677175798387[[#This Row],[conversions]]*RANDBETWEEN(8,12)/10,0)</f>
        <v>50</v>
      </c>
      <c r="BB30">
        <f ca="1">ROUND(T_Facebook_Ads115963677175798387[[#This Row],[video_views]]*RANDBETWEEN(8,12)/10,0)</f>
        <v>1966</v>
      </c>
    </row>
    <row r="31" spans="1:54" ht="15.75" thickBot="1" x14ac:dyDescent="0.3">
      <c r="A31" s="3">
        <f t="shared" ca="1" si="0"/>
        <v>45175</v>
      </c>
      <c r="B31" s="4" t="s">
        <v>60</v>
      </c>
      <c r="C31" s="4" t="s">
        <v>61</v>
      </c>
      <c r="D31" s="4" t="s">
        <v>62</v>
      </c>
      <c r="E31" s="4" t="s">
        <v>63</v>
      </c>
      <c r="F31" s="4">
        <f ca="1">ROUND(T_Facebook_Ads[[#This Row],[impressions]]*RANDBETWEEN(8,12)/10,0)</f>
        <v>38456</v>
      </c>
      <c r="G31" s="4">
        <v>1423</v>
      </c>
      <c r="H31" s="4">
        <f ca="1">T_Facebook_Ads[[#This Row],[spend]]*RANDBETWEEN(8,12)/10</f>
        <v>195.75</v>
      </c>
      <c r="I31" s="4">
        <f ca="1">ROUND(T_Facebook_Ads[[#This Row],[conversions]]*RANDBETWEEN(8,12)/10,0)</f>
        <v>29</v>
      </c>
      <c r="J31" s="4">
        <f ca="1">ROUND(T_Facebook_Ads[[#This Row],[video_views]]*RANDBETWEEN(8,12)/10,0)</f>
        <v>6148</v>
      </c>
      <c r="K31" s="4">
        <f ca="1">T_Facebook_Ads[[#This Row],[engagement_rate]]*RANDBETWEEN(8,12)/10</f>
        <v>3.3299999999999996E-2</v>
      </c>
      <c r="L31" s="4">
        <f ca="1">ROUND(T_Facebook_Ads[[#This Row],[reach]]*RANDBETWEEN(8,12)/10,0)</f>
        <v>37481</v>
      </c>
      <c r="M31" s="4">
        <f ca="1">T_Facebook_Ads[[#This Row],[frequency]]*RANDBETWEEN(8,12)/10</f>
        <v>1.23</v>
      </c>
      <c r="O31" s="3">
        <f t="shared" ca="1" si="1"/>
        <v>45175</v>
      </c>
      <c r="P31" s="4" t="s">
        <v>84</v>
      </c>
      <c r="Q31" s="4" t="s">
        <v>85</v>
      </c>
      <c r="R31" s="4" t="s">
        <v>86</v>
      </c>
      <c r="S31" s="4" t="s">
        <v>87</v>
      </c>
      <c r="T31" s="4">
        <f ca="1">ROUND(_Google_ads[[#This Row],[impressions]]*RANDBETWEEN(8,12)/10,0)</f>
        <v>55121</v>
      </c>
      <c r="U31" s="4">
        <f ca="1">ROUND(_Google_ads[[#This Row],[clicks]]*RANDBETWEEN(8,12)/10,0)</f>
        <v>1814</v>
      </c>
      <c r="V31" s="4">
        <f ca="1">_Google_ads[[#This Row],[cost]]*RANDBETWEEN(8,12)/10</f>
        <v>372.78</v>
      </c>
      <c r="W31" s="4">
        <f ca="1">ROUND(_Google_ads[[#This Row],[conversions]]*RANDBETWEEN(8,12)/10,0)</f>
        <v>64</v>
      </c>
      <c r="X31" s="4">
        <f ca="1">ROUND(_Google_ads[[#This Row],[conversion_value]]*RANDBETWEEN(8,12)/10,0)</f>
        <v>3200</v>
      </c>
      <c r="Y31" s="4">
        <f ca="1">_Google_ads[[#This Row],[ctr]]*RANDBETWEEN(8,12)/10</f>
        <v>2.632E-2</v>
      </c>
      <c r="Z31" s="4">
        <f ca="1">_Google_ads[[#This Row],[avg_cpc]]*RANDBETWEEN(8,12)/10</f>
        <v>0.19800000000000001</v>
      </c>
      <c r="AA31" s="4">
        <f ca="1">ROUND(_Google_ads[[#This Row],[quality_score]]*RANDBETWEEN(8,12)/10,0)</f>
        <v>10</v>
      </c>
      <c r="AB31" s="4">
        <f ca="1">_Google_ads[[#This Row],[search_impression_share]]*RANDBETWEEN(8,12)/10</f>
        <v>0.60299999999999998</v>
      </c>
      <c r="AD31" s="3">
        <f t="shared" ca="1" si="2"/>
        <v>45171</v>
      </c>
      <c r="AE31" s="4" t="s">
        <v>108</v>
      </c>
      <c r="AF31" s="4" t="s">
        <v>109</v>
      </c>
      <c r="AG31" s="4" t="s">
        <v>110</v>
      </c>
      <c r="AH31" s="4" t="s">
        <v>111</v>
      </c>
      <c r="AI31" s="4">
        <f ca="1">ROUND(T_Tiktok_ads[[#This Row],[impressions]]*RANDBETWEEN(8,12)/10,0)</f>
        <v>268147</v>
      </c>
      <c r="AJ31" s="4">
        <f ca="1">ROUND(T_Tiktok_ads[[#This Row],[clicks]]*RANDBETWEEN(8,12)/10,0)</f>
        <v>3210</v>
      </c>
      <c r="AK31" s="4">
        <v>427.7</v>
      </c>
      <c r="AL31" s="4">
        <f ca="1">ROUND(T_Tiktok_ads[[#This Row],[conversions]]*RANDBETWEEN(8,12)/10,0)</f>
        <v>36</v>
      </c>
      <c r="AM31" s="4">
        <f ca="1">ROUND(T_Tiktok_ads[[#This Row],[video_views]]*RANDBETWEEN(8,12)/10,0)</f>
        <v>161011</v>
      </c>
      <c r="AN31" s="4">
        <f ca="1">ROUND(T_Tiktok_ads[[#This Row],[video_watch_25]]*RANDBETWEEN(8,12)/10,0)</f>
        <v>135234</v>
      </c>
      <c r="AO31" s="4">
        <f ca="1">ROUND(T_Tiktok_ads[[#This Row],[video_watch_50]]*RANDBETWEEN(8,12)/10,0)</f>
        <v>106789</v>
      </c>
      <c r="AP31" s="4">
        <f ca="1">ROUND(T_Tiktok_ads[[#This Row],[video_watch_75]]*RANDBETWEEN(8,12)/10,0)</f>
        <v>83081</v>
      </c>
      <c r="AQ31" s="4">
        <f ca="1">ROUND(T_Tiktok_ads[[#This Row],[video_watch_100]]*RANDBETWEEN(8,12)/10,0)</f>
        <v>37610</v>
      </c>
      <c r="AR31" s="4">
        <f ca="1">ROUND(T_Tiktok_ads[[#This Row],[likes]]*RANDBETWEEN(8,12)/10,0)</f>
        <v>9057</v>
      </c>
      <c r="AS31" s="4">
        <f ca="1">ROUND(T_Tiktok_ads[[#This Row],[shares]]*RANDBETWEEN(8,12)/10,0)</f>
        <v>2494</v>
      </c>
      <c r="AT31" s="4">
        <f ca="1">ROUND(T_Tiktok_ads[[#This Row],[comments]]*RANDBETWEEN(8,12)/10,0)</f>
        <v>427</v>
      </c>
      <c r="AV31" s="5">
        <f t="shared" ca="1" si="3"/>
        <v>45172</v>
      </c>
      <c r="AW31">
        <f t="shared" ca="1" si="4"/>
        <v>2</v>
      </c>
      <c r="AX31">
        <f ca="1">ROUND(T_Facebook_Ads115963677175798387[[#This Row],[impressions]]*RANDBETWEEN(8,12)/10,0)</f>
        <v>38456</v>
      </c>
      <c r="AY31">
        <f ca="1">ROUND(T_Facebook_Ads115963677175798387[[#This Row],[clicks]]*RANDBETWEEN(8,12)/10,0)</f>
        <v>1281</v>
      </c>
      <c r="AZ31">
        <f ca="1">T_Facebook_Ads115963677175798387[[#This Row],[spend]]*RANDBETWEEN(8,12)/10</f>
        <v>176.17500000000001</v>
      </c>
      <c r="BA31">
        <f ca="1">ROUND(T_Facebook_Ads115963677175798387[[#This Row],[conversions]]*RANDBETWEEN(8,12)/10,0)</f>
        <v>26</v>
      </c>
      <c r="BB31">
        <f ca="1">ROUND(T_Facebook_Ads115963677175798387[[#This Row],[video_views]]*RANDBETWEEN(8,12)/10,0)</f>
        <v>4918</v>
      </c>
    </row>
    <row r="32" spans="1:54" ht="15.75" thickBot="1" x14ac:dyDescent="0.3">
      <c r="A32" s="3">
        <f t="shared" ca="1" si="0"/>
        <v>45182</v>
      </c>
      <c r="B32" s="4" t="s">
        <v>52</v>
      </c>
      <c r="C32" s="4" t="s">
        <v>53</v>
      </c>
      <c r="D32" s="4" t="s">
        <v>54</v>
      </c>
      <c r="E32" s="4" t="s">
        <v>55</v>
      </c>
      <c r="F32" s="4">
        <f ca="1">ROUND(T_Facebook_Ads[[#This Row],[impressions]]*RANDBETWEEN(8,12)/10,0)</f>
        <v>62548</v>
      </c>
      <c r="G32" s="4">
        <v>1089</v>
      </c>
      <c r="H32" s="4">
        <f ca="1">T_Facebook_Ads[[#This Row],[spend]]*RANDBETWEEN(8,12)/10</f>
        <v>178.32</v>
      </c>
      <c r="I32" s="4">
        <f ca="1">ROUND(T_Facebook_Ads[[#This Row],[conversions]]*RANDBETWEEN(8,12)/10,0)</f>
        <v>15</v>
      </c>
      <c r="J32" s="4">
        <f ca="1">ROUND(T_Facebook_Ads[[#This Row],[video_views]]*RANDBETWEEN(8,12)/10,0)</f>
        <v>8610</v>
      </c>
      <c r="K32" s="4">
        <f ca="1">T_Facebook_Ads[[#This Row],[engagement_rate]]*RANDBETWEEN(8,12)/10</f>
        <v>2.5079999999999998E-2</v>
      </c>
      <c r="L32" s="4">
        <f ca="1">ROUND(T_Facebook_Ads[[#This Row],[reach]]*RANDBETWEEN(8,12)/10,0)</f>
        <v>51881</v>
      </c>
      <c r="M32" s="4">
        <f ca="1">T_Facebook_Ads[[#This Row],[frequency]]*RANDBETWEEN(8,12)/10</f>
        <v>1.089</v>
      </c>
      <c r="O32" s="3">
        <f t="shared" ca="1" si="1"/>
        <v>45183</v>
      </c>
      <c r="P32" s="4" t="s">
        <v>76</v>
      </c>
      <c r="Q32" s="4" t="s">
        <v>77</v>
      </c>
      <c r="R32" s="4" t="s">
        <v>78</v>
      </c>
      <c r="S32" s="4" t="s">
        <v>79</v>
      </c>
      <c r="T32" s="4">
        <f ca="1">ROUND(_Google_ads[[#This Row],[impressions]]*RANDBETWEEN(8,12)/10,0)</f>
        <v>20987</v>
      </c>
      <c r="U32" s="4">
        <f ca="1">ROUND(_Google_ads[[#This Row],[clicks]]*RANDBETWEEN(8,12)/10,0)</f>
        <v>1102</v>
      </c>
      <c r="V32" s="4">
        <f ca="1">_Google_ads[[#This Row],[cost]]*RANDBETWEEN(8,12)/10</f>
        <v>289.73999999999995</v>
      </c>
      <c r="W32" s="4">
        <f ca="1">ROUND(_Google_ads[[#This Row],[conversions]]*RANDBETWEEN(8,12)/10,0)</f>
        <v>47</v>
      </c>
      <c r="X32" s="4">
        <f ca="1">ROUND(_Google_ads[[#This Row],[conversion_value]]*RANDBETWEEN(8,12)/10,0)</f>
        <v>3120</v>
      </c>
      <c r="Y32" s="4">
        <f ca="1">_Google_ads[[#This Row],[ctr]]*RANDBETWEEN(8,12)/10</f>
        <v>4.725E-2</v>
      </c>
      <c r="Z32" s="4">
        <f ca="1">_Google_ads[[#This Row],[avg_cpc]]*RANDBETWEEN(8,12)/10</f>
        <v>0.19</v>
      </c>
      <c r="AA32" s="4">
        <f ca="1">ROUND(_Google_ads[[#This Row],[quality_score]]*RANDBETWEEN(8,12)/10,0)</f>
        <v>10</v>
      </c>
      <c r="AB32" s="4">
        <f ca="1">_Google_ads[[#This Row],[search_impression_share]]*RANDBETWEEN(8,12)/10</f>
        <v>0.73599999999999999</v>
      </c>
      <c r="AD32" s="3">
        <f t="shared" ca="1" si="2"/>
        <v>45186</v>
      </c>
      <c r="AE32" s="4" t="s">
        <v>100</v>
      </c>
      <c r="AF32" s="4" t="s">
        <v>101</v>
      </c>
      <c r="AG32" s="4" t="s">
        <v>102</v>
      </c>
      <c r="AH32" s="4" t="s">
        <v>103</v>
      </c>
      <c r="AI32" s="4">
        <f ca="1">ROUND(T_Tiktok_ads[[#This Row],[impressions]]*RANDBETWEEN(8,12)/10,0)</f>
        <v>251011</v>
      </c>
      <c r="AJ32" s="4">
        <f ca="1">ROUND(T_Tiktok_ads[[#This Row],[clicks]]*RANDBETWEEN(8,12)/10,0)</f>
        <v>4123</v>
      </c>
      <c r="AK32" s="4">
        <v>523.6</v>
      </c>
      <c r="AL32" s="4">
        <f ca="1">ROUND(T_Tiktok_ads[[#This Row],[conversions]]*RANDBETWEEN(8,12)/10,0)</f>
        <v>38</v>
      </c>
      <c r="AM32" s="4">
        <f ca="1">ROUND(T_Tiktok_ads[[#This Row],[video_views]]*RANDBETWEEN(8,12)/10,0)</f>
        <v>211110</v>
      </c>
      <c r="AN32" s="4">
        <f ca="1">ROUND(T_Tiktok_ads[[#This Row],[video_watch_25]]*RANDBETWEEN(8,12)/10,0)</f>
        <v>200580</v>
      </c>
      <c r="AO32" s="4">
        <f ca="1">ROUND(T_Tiktok_ads[[#This Row],[video_watch_50]]*RANDBETWEEN(8,12)/10,0)</f>
        <v>126024</v>
      </c>
      <c r="AP32" s="4">
        <f ca="1">ROUND(T_Tiktok_ads[[#This Row],[video_watch_75]]*RANDBETWEEN(8,12)/10,0)</f>
        <v>69511</v>
      </c>
      <c r="AQ32" s="4">
        <f ca="1">ROUND(T_Tiktok_ads[[#This Row],[video_watch_100]]*RANDBETWEEN(8,12)/10,0)</f>
        <v>40987</v>
      </c>
      <c r="AR32" s="4">
        <f ca="1">ROUND(T_Tiktok_ads[[#This Row],[likes]]*RANDBETWEEN(8,12)/10,0)</f>
        <v>10345</v>
      </c>
      <c r="AS32" s="4">
        <f ca="1">ROUND(T_Tiktok_ads[[#This Row],[shares]]*RANDBETWEEN(8,12)/10,0)</f>
        <v>2510</v>
      </c>
      <c r="AT32" s="4">
        <f ca="1">ROUND(T_Tiktok_ads[[#This Row],[comments]]*RANDBETWEEN(8,12)/10,0)</f>
        <v>722</v>
      </c>
      <c r="AV32" s="5">
        <f t="shared" ca="1" si="3"/>
        <v>45178</v>
      </c>
      <c r="AW32">
        <f t="shared" ca="1" si="4"/>
        <v>4</v>
      </c>
      <c r="AX32">
        <f ca="1">ROUND(T_Facebook_Ads115963677175798387[[#This Row],[impressions]]*RANDBETWEEN(8,12)/10,0)</f>
        <v>62548</v>
      </c>
      <c r="AY32">
        <f ca="1">ROUND(T_Facebook_Ads115963677175798387[[#This Row],[clicks]]*RANDBETWEEN(8,12)/10,0)</f>
        <v>980</v>
      </c>
      <c r="AZ32">
        <f ca="1">T_Facebook_Ads115963677175798387[[#This Row],[spend]]*RANDBETWEEN(8,12)/10</f>
        <v>213.98400000000001</v>
      </c>
      <c r="BA32">
        <f ca="1">ROUND(T_Facebook_Ads115963677175798387[[#This Row],[conversions]]*RANDBETWEEN(8,12)/10,0)</f>
        <v>18</v>
      </c>
      <c r="BB32">
        <f ca="1">ROUND(T_Facebook_Ads115963677175798387[[#This Row],[video_views]]*RANDBETWEEN(8,12)/10,0)</f>
        <v>7749</v>
      </c>
    </row>
    <row r="33" spans="1:54" ht="15.75" thickBot="1" x14ac:dyDescent="0.3">
      <c r="A33" s="3">
        <f t="shared" ca="1" si="0"/>
        <v>45175</v>
      </c>
      <c r="B33" s="4" t="s">
        <v>56</v>
      </c>
      <c r="C33" s="4" t="s">
        <v>57</v>
      </c>
      <c r="D33" s="4" t="s">
        <v>58</v>
      </c>
      <c r="E33" s="4" t="s">
        <v>59</v>
      </c>
      <c r="F33" s="4">
        <f ca="1">ROUND(T_Facebook_Ads[[#This Row],[impressions]]*RANDBETWEEN(8,12)/10,0)</f>
        <v>17480</v>
      </c>
      <c r="G33" s="4">
        <v>723</v>
      </c>
      <c r="H33" s="4">
        <f ca="1">T_Facebook_Ads[[#This Row],[spend]]*RANDBETWEEN(8,12)/10</f>
        <v>230.76</v>
      </c>
      <c r="I33" s="4">
        <f ca="1">ROUND(T_Facebook_Ads[[#This Row],[conversions]]*RANDBETWEEN(8,12)/10,0)</f>
        <v>48</v>
      </c>
      <c r="J33" s="4">
        <f ca="1">ROUND(T_Facebook_Ads[[#This Row],[video_views]]*RANDBETWEEN(8,12)/10,0)</f>
        <v>1934</v>
      </c>
      <c r="K33" s="4">
        <f ca="1">T_Facebook_Ads[[#This Row],[engagement_rate]]*RANDBETWEEN(8,12)/10</f>
        <v>4.4639999999999999E-2</v>
      </c>
      <c r="L33" s="4">
        <f ca="1">ROUND(T_Facebook_Ads[[#This Row],[reach]]*RANDBETWEEN(8,12)/10,0)</f>
        <v>12602</v>
      </c>
      <c r="M33" s="4">
        <f ca="1">T_Facebook_Ads[[#This Row],[frequency]]*RANDBETWEEN(8,12)/10</f>
        <v>1.27</v>
      </c>
      <c r="O33" s="3">
        <f t="shared" ca="1" si="1"/>
        <v>45181</v>
      </c>
      <c r="P33" s="4" t="s">
        <v>80</v>
      </c>
      <c r="Q33" s="4" t="s">
        <v>81</v>
      </c>
      <c r="R33" s="4" t="s">
        <v>82</v>
      </c>
      <c r="S33" s="4" t="s">
        <v>83</v>
      </c>
      <c r="T33" s="4">
        <f ca="1">ROUND(_Google_ads[[#This Row],[impressions]]*RANDBETWEEN(8,12)/10,0)</f>
        <v>47890</v>
      </c>
      <c r="U33" s="4">
        <f ca="1">ROUND(_Google_ads[[#This Row],[clicks]]*RANDBETWEEN(8,12)/10,0)</f>
        <v>841</v>
      </c>
      <c r="V33" s="4">
        <f ca="1">_Google_ads[[#This Row],[cost]]*RANDBETWEEN(8,12)/10</f>
        <v>673.75</v>
      </c>
      <c r="W33" s="4">
        <f ca="1">ROUND(_Google_ads[[#This Row],[conversions]]*RANDBETWEEN(8,12)/10,0)</f>
        <v>26</v>
      </c>
      <c r="X33" s="4">
        <f ca="1">ROUND(_Google_ads[[#This Row],[conversion_value]]*RANDBETWEEN(8,12)/10,0)</f>
        <v>1430</v>
      </c>
      <c r="Y33" s="4">
        <f ca="1">_Google_ads[[#This Row],[ctr]]*RANDBETWEEN(8,12)/10</f>
        <v>1.5599999999999999E-2</v>
      </c>
      <c r="Z33" s="4">
        <f ca="1">_Google_ads[[#This Row],[avg_cpc]]*RANDBETWEEN(8,12)/10</f>
        <v>0.52800000000000002</v>
      </c>
      <c r="AA33" s="4">
        <f ca="1">ROUND(_Google_ads[[#This Row],[quality_score]]*RANDBETWEEN(8,12)/10,0)</f>
        <v>6</v>
      </c>
      <c r="AB33" s="4">
        <f ca="1">_Google_ads[[#This Row],[search_impression_share]]*RANDBETWEEN(8,12)/10</f>
        <v>0.55200000000000005</v>
      </c>
      <c r="AD33" s="3">
        <f t="shared" ca="1" si="2"/>
        <v>45183</v>
      </c>
      <c r="AE33" s="4" t="s">
        <v>104</v>
      </c>
      <c r="AF33" s="4" t="s">
        <v>105</v>
      </c>
      <c r="AG33" s="4" t="s">
        <v>106</v>
      </c>
      <c r="AH33" s="4" t="s">
        <v>107</v>
      </c>
      <c r="AI33" s="4">
        <f ca="1">ROUND(T_Tiktok_ads[[#This Row],[impressions]]*RANDBETWEEN(8,12)/10,0)</f>
        <v>172468</v>
      </c>
      <c r="AJ33" s="4">
        <f ca="1">ROUND(T_Tiktok_ads[[#This Row],[clicks]]*RANDBETWEEN(8,12)/10,0)</f>
        <v>3313</v>
      </c>
      <c r="AK33" s="4">
        <v>812.3</v>
      </c>
      <c r="AL33" s="4">
        <f ca="1">ROUND(T_Tiktok_ads[[#This Row],[conversions]]*RANDBETWEEN(8,12)/10,0)</f>
        <v>66</v>
      </c>
      <c r="AM33" s="4">
        <f ca="1">ROUND(T_Tiktok_ads[[#This Row],[video_views]]*RANDBETWEEN(8,12)/10,0)</f>
        <v>120864</v>
      </c>
      <c r="AN33" s="4">
        <f ca="1">ROUND(T_Tiktok_ads[[#This Row],[video_watch_25]]*RANDBETWEEN(8,12)/10,0)</f>
        <v>73111</v>
      </c>
      <c r="AO33" s="4">
        <f ca="1">ROUND(T_Tiktok_ads[[#This Row],[video_watch_50]]*RANDBETWEEN(8,12)/10,0)</f>
        <v>43742</v>
      </c>
      <c r="AP33" s="4">
        <f ca="1">ROUND(T_Tiktok_ads[[#This Row],[video_watch_75]]*RANDBETWEEN(8,12)/10,0)</f>
        <v>41234</v>
      </c>
      <c r="AQ33" s="4">
        <f ca="1">ROUND(T_Tiktok_ads[[#This Row],[video_watch_100]]*RANDBETWEEN(8,12)/10,0)</f>
        <v>27567</v>
      </c>
      <c r="AR33" s="4">
        <f ca="1">ROUND(T_Tiktok_ads[[#This Row],[likes]]*RANDBETWEEN(8,12)/10,0)</f>
        <v>6547</v>
      </c>
      <c r="AS33" s="4">
        <f ca="1">ROUND(T_Tiktok_ads[[#This Row],[shares]]*RANDBETWEEN(8,12)/10,0)</f>
        <v>1567</v>
      </c>
      <c r="AT33" s="4">
        <f ca="1">ROUND(T_Tiktok_ads[[#This Row],[comments]]*RANDBETWEEN(8,12)/10,0)</f>
        <v>231</v>
      </c>
      <c r="AV33" s="5">
        <f t="shared" ca="1" si="3"/>
        <v>45194</v>
      </c>
      <c r="AW33">
        <f t="shared" ca="1" si="4"/>
        <v>8</v>
      </c>
      <c r="AX33">
        <f ca="1">ROUND(T_Facebook_Ads115963677175798387[[#This Row],[impressions]]*RANDBETWEEN(8,12)/10,0)</f>
        <v>20976</v>
      </c>
      <c r="AY33">
        <f ca="1">ROUND(T_Facebook_Ads115963677175798387[[#This Row],[clicks]]*RANDBETWEEN(8,12)/10,0)</f>
        <v>651</v>
      </c>
      <c r="AZ33">
        <f ca="1">T_Facebook_Ads115963677175798387[[#This Row],[spend]]*RANDBETWEEN(8,12)/10</f>
        <v>230.76</v>
      </c>
      <c r="BA33">
        <f ca="1">ROUND(T_Facebook_Ads115963677175798387[[#This Row],[conversions]]*RANDBETWEEN(8,12)/10,0)</f>
        <v>38</v>
      </c>
      <c r="BB33">
        <f ca="1">ROUND(T_Facebook_Ads115963677175798387[[#This Row],[video_views]]*RANDBETWEEN(8,12)/10,0)</f>
        <v>1547</v>
      </c>
    </row>
    <row r="34" spans="1:54" ht="15.75" thickBot="1" x14ac:dyDescent="0.3">
      <c r="A34" s="3">
        <f t="shared" ref="A34:A65" ca="1" si="5">DATE(2023,9,RANDBETWEEN(1,30))</f>
        <v>45176</v>
      </c>
      <c r="B34" s="4" t="s">
        <v>60</v>
      </c>
      <c r="C34" s="4" t="s">
        <v>61</v>
      </c>
      <c r="D34" s="4" t="s">
        <v>62</v>
      </c>
      <c r="E34" s="4" t="s">
        <v>63</v>
      </c>
      <c r="F34" s="4">
        <f ca="1">ROUND(T_Facebook_Ads[[#This Row],[impressions]]*RANDBETWEEN(8,12)/10,0)</f>
        <v>47747</v>
      </c>
      <c r="G34" s="4">
        <v>1534</v>
      </c>
      <c r="H34" s="4">
        <f ca="1">T_Facebook_Ads[[#This Row],[spend]]*RANDBETWEEN(8,12)/10</f>
        <v>225.8</v>
      </c>
      <c r="I34" s="4">
        <f ca="1">ROUND(T_Facebook_Ads[[#This Row],[conversions]]*RANDBETWEEN(8,12)/10,0)</f>
        <v>25</v>
      </c>
      <c r="J34" s="4">
        <f ca="1">ROUND(T_Facebook_Ads[[#This Row],[video_views]]*RANDBETWEEN(8,12)/10,0)</f>
        <v>6002</v>
      </c>
      <c r="K34" s="4">
        <f ca="1">T_Facebook_Ads[[#This Row],[engagement_rate]]*RANDBETWEEN(8,12)/10</f>
        <v>4.6320000000000007E-2</v>
      </c>
      <c r="L34" s="4">
        <f ca="1">ROUND(T_Facebook_Ads[[#This Row],[reach]]*RANDBETWEEN(8,12)/10,0)</f>
        <v>39080</v>
      </c>
      <c r="M34" s="4">
        <f ca="1">T_Facebook_Ads[[#This Row],[frequency]]*RANDBETWEEN(8,12)/10</f>
        <v>1.0980000000000001</v>
      </c>
      <c r="O34" s="3">
        <f t="shared" ref="O34:O65" ca="1" si="6">DATE(2023,9,RANDBETWEEN(1,30))</f>
        <v>45177</v>
      </c>
      <c r="P34" s="4" t="s">
        <v>84</v>
      </c>
      <c r="Q34" s="4" t="s">
        <v>85</v>
      </c>
      <c r="R34" s="4" t="s">
        <v>86</v>
      </c>
      <c r="S34" s="4" t="s">
        <v>87</v>
      </c>
      <c r="T34" s="4">
        <f ca="1">ROUND(_Google_ads[[#This Row],[impressions]]*RANDBETWEEN(8,12)/10,0)</f>
        <v>64111</v>
      </c>
      <c r="U34" s="4">
        <f ca="1">ROUND(_Google_ads[[#This Row],[clicks]]*RANDBETWEEN(8,12)/10,0)</f>
        <v>1965</v>
      </c>
      <c r="V34" s="4">
        <f ca="1">_Google_ads[[#This Row],[cost]]*RANDBETWEEN(8,12)/10</f>
        <v>445.8</v>
      </c>
      <c r="W34" s="4">
        <f ca="1">ROUND(_Google_ads[[#This Row],[conversions]]*RANDBETWEEN(8,12)/10,0)</f>
        <v>64</v>
      </c>
      <c r="X34" s="4">
        <f ca="1">ROUND(_Google_ads[[#This Row],[conversion_value]]*RANDBETWEEN(8,12)/10,0)</f>
        <v>3195</v>
      </c>
      <c r="Y34" s="4">
        <f ca="1">_Google_ads[[#This Row],[ctr]]*RANDBETWEEN(8,12)/10</f>
        <v>3.7950000000000005E-2</v>
      </c>
      <c r="Z34" s="4">
        <f ca="1">_Google_ads[[#This Row],[avg_cpc]]*RANDBETWEEN(8,12)/10</f>
        <v>0.16199999999999998</v>
      </c>
      <c r="AA34" s="4">
        <f ca="1">ROUND(_Google_ads[[#This Row],[quality_score]]*RANDBETWEEN(8,12)/10,0)</f>
        <v>10</v>
      </c>
      <c r="AB34" s="4">
        <f ca="1">_Google_ads[[#This Row],[search_impression_share]]*RANDBETWEEN(8,12)/10</f>
        <v>0.68</v>
      </c>
      <c r="AD34" s="3">
        <f t="shared" ref="AD34:AD65" ca="1" si="7">DATE(2023,9,RANDBETWEEN(1,30))</f>
        <v>45198</v>
      </c>
      <c r="AE34" s="4" t="s">
        <v>108</v>
      </c>
      <c r="AF34" s="4" t="s">
        <v>109</v>
      </c>
      <c r="AG34" s="4" t="s">
        <v>110</v>
      </c>
      <c r="AH34" s="4" t="s">
        <v>111</v>
      </c>
      <c r="AI34" s="4">
        <f ca="1">ROUND(T_Tiktok_ads[[#This Row],[impressions]]*RANDBETWEEN(8,12)/10,0)</f>
        <v>281480</v>
      </c>
      <c r="AJ34" s="4">
        <f ca="1">ROUND(T_Tiktok_ads[[#This Row],[clicks]]*RANDBETWEEN(8,12)/10,0)</f>
        <v>3789</v>
      </c>
      <c r="AK34" s="4">
        <v>456.8</v>
      </c>
      <c r="AL34" s="4">
        <f ca="1">ROUND(T_Tiktok_ads[[#This Row],[conversions]]*RANDBETWEEN(8,12)/10,0)</f>
        <v>30</v>
      </c>
      <c r="AM34" s="4">
        <f ca="1">ROUND(T_Tiktok_ads[[#This Row],[video_views]]*RANDBETWEEN(8,12)/10,0)</f>
        <v>208157</v>
      </c>
      <c r="AN34" s="4">
        <f ca="1">ROUND(T_Tiktok_ads[[#This Row],[video_watch_25]]*RANDBETWEEN(8,12)/10,0)</f>
        <v>172280</v>
      </c>
      <c r="AO34" s="4">
        <f ca="1">ROUND(T_Tiktok_ads[[#This Row],[video_watch_50]]*RANDBETWEEN(8,12)/10,0)</f>
        <v>124802</v>
      </c>
      <c r="AP34" s="4">
        <f ca="1">ROUND(T_Tiktok_ads[[#This Row],[video_watch_75]]*RANDBETWEEN(8,12)/10,0)</f>
        <v>66110</v>
      </c>
      <c r="AQ34" s="4">
        <f ca="1">ROUND(T_Tiktok_ads[[#This Row],[video_watch_100]]*RANDBETWEEN(8,12)/10,0)</f>
        <v>53480</v>
      </c>
      <c r="AR34" s="4">
        <f ca="1">ROUND(T_Tiktok_ads[[#This Row],[likes]]*RANDBETWEEN(8,12)/10,0)</f>
        <v>8789</v>
      </c>
      <c r="AS34" s="4">
        <f ca="1">ROUND(T_Tiktok_ads[[#This Row],[shares]]*RANDBETWEEN(8,12)/10,0)</f>
        <v>1947</v>
      </c>
      <c r="AT34" s="4">
        <f ca="1">ROUND(T_Tiktok_ads[[#This Row],[comments]]*RANDBETWEEN(8,12)/10,0)</f>
        <v>624</v>
      </c>
      <c r="AV34" s="5">
        <f t="shared" ref="AV34:AV65" ca="1" si="8">DATE(2023,9,RANDBETWEEN(1,30))</f>
        <v>45194</v>
      </c>
      <c r="AW34">
        <f t="shared" ca="1" si="4"/>
        <v>1</v>
      </c>
      <c r="AX34">
        <f ca="1">ROUND(T_Facebook_Ads115963677175798387[[#This Row],[impressions]]*RANDBETWEEN(8,12)/10,0)</f>
        <v>38198</v>
      </c>
      <c r="AY34">
        <f ca="1">ROUND(T_Facebook_Ads115963677175798387[[#This Row],[clicks]]*RANDBETWEEN(8,12)/10,0)</f>
        <v>1534</v>
      </c>
      <c r="AZ34">
        <f ca="1">T_Facebook_Ads115963677175798387[[#This Row],[spend]]*RANDBETWEEN(8,12)/10</f>
        <v>248.38000000000002</v>
      </c>
      <c r="BA34">
        <f ca="1">ROUND(T_Facebook_Ads115963677175798387[[#This Row],[conversions]]*RANDBETWEEN(8,12)/10,0)</f>
        <v>23</v>
      </c>
      <c r="BB34">
        <f ca="1">ROUND(T_Facebook_Ads115963677175798387[[#This Row],[video_views]]*RANDBETWEEN(8,12)/10,0)</f>
        <v>4802</v>
      </c>
    </row>
    <row r="35" spans="1:54" ht="15.75" thickBot="1" x14ac:dyDescent="0.3">
      <c r="A35" s="3">
        <f t="shared" ca="1" si="5"/>
        <v>45174</v>
      </c>
      <c r="B35" s="4" t="s">
        <v>64</v>
      </c>
      <c r="C35" s="4" t="s">
        <v>65</v>
      </c>
      <c r="D35" s="4" t="s">
        <v>66</v>
      </c>
      <c r="E35" s="4" t="s">
        <v>67</v>
      </c>
      <c r="F35" s="4">
        <f ca="1">ROUND(T_Facebook_Ads[[#This Row],[impressions]]*RANDBETWEEN(8,12)/10,0)</f>
        <v>91481</v>
      </c>
      <c r="G35" s="4">
        <v>278</v>
      </c>
      <c r="H35" s="4">
        <f ca="1">T_Facebook_Ads[[#This Row],[spend]]*RANDBETWEEN(8,12)/10</f>
        <v>101.5</v>
      </c>
      <c r="I35" s="4">
        <f ca="1">ROUND(T_Facebook_Ads[[#This Row],[conversions]]*RANDBETWEEN(8,12)/10,0)</f>
        <v>9</v>
      </c>
      <c r="J35" s="4">
        <f ca="1">ROUND(T_Facebook_Ads[[#This Row],[video_views]]*RANDBETWEEN(8,12)/10,0)</f>
        <v>57580</v>
      </c>
      <c r="K35" s="4">
        <f ca="1">T_Facebook_Ads[[#This Row],[engagement_rate]]*RANDBETWEEN(8,12)/10</f>
        <v>2.96E-3</v>
      </c>
      <c r="L35" s="4">
        <f ca="1">ROUND(T_Facebook_Ads[[#This Row],[reach]]*RANDBETWEEN(8,12)/10,0)</f>
        <v>49965</v>
      </c>
      <c r="M35" s="4">
        <f ca="1">T_Facebook_Ads[[#This Row],[frequency]]*RANDBETWEEN(8,12)/10</f>
        <v>1.0980000000000001</v>
      </c>
      <c r="O35" s="3">
        <f t="shared" ca="1" si="6"/>
        <v>45194</v>
      </c>
      <c r="P35" s="4" t="s">
        <v>88</v>
      </c>
      <c r="Q35" s="4" t="s">
        <v>89</v>
      </c>
      <c r="R35" s="4" t="s">
        <v>90</v>
      </c>
      <c r="S35" s="4" t="s">
        <v>59</v>
      </c>
      <c r="T35" s="4">
        <f ca="1">ROUND(_Google_ads[[#This Row],[impressions]]*RANDBETWEEN(8,12)/10,0)</f>
        <v>136789</v>
      </c>
      <c r="U35" s="4">
        <f ca="1">ROUND(_Google_ads[[#This Row],[clicks]]*RANDBETWEEN(8,12)/10,0)</f>
        <v>614</v>
      </c>
      <c r="V35" s="4">
        <f ca="1">_Google_ads[[#This Row],[cost]]*RANDBETWEEN(8,12)/10</f>
        <v>142.30000000000001</v>
      </c>
      <c r="W35" s="4">
        <f ca="1">ROUND(_Google_ads[[#This Row],[conversions]]*RANDBETWEEN(8,12)/10,0)</f>
        <v>15</v>
      </c>
      <c r="X35" s="4">
        <f ca="1">ROUND(_Google_ads[[#This Row],[conversion_value]]*RANDBETWEEN(8,12)/10,0)</f>
        <v>900</v>
      </c>
      <c r="Y35" s="4">
        <f ca="1">_Google_ads[[#This Row],[ctr]]*RANDBETWEEN(8,12)/10</f>
        <v>3.3300000000000005E-3</v>
      </c>
      <c r="Z35" s="4">
        <f ca="1">_Google_ads[[#This Row],[avg_cpc]]*RANDBETWEEN(8,12)/10</f>
        <v>0.308</v>
      </c>
      <c r="AA35" s="4">
        <f ca="1">ROUND(_Google_ads[[#This Row],[quality_score]]*RANDBETWEEN(8,12)/10,0)</f>
        <v>6</v>
      </c>
      <c r="AB35" s="4">
        <f ca="1">_Google_ads[[#This Row],[search_impression_share]]*RANDBETWEEN(8,12)/10</f>
        <v>0.28799999999999998</v>
      </c>
      <c r="AD35" s="3">
        <f t="shared" ca="1" si="7"/>
        <v>45171</v>
      </c>
      <c r="AE35" s="4" t="s">
        <v>112</v>
      </c>
      <c r="AF35" s="4" t="s">
        <v>113</v>
      </c>
      <c r="AG35" s="4" t="s">
        <v>114</v>
      </c>
      <c r="AH35" s="4" t="s">
        <v>115</v>
      </c>
      <c r="AI35" s="4">
        <f ca="1">ROUND(T_Tiktok_ads[[#This Row],[impressions]]*RANDBETWEEN(8,12)/10,0)</f>
        <v>453580</v>
      </c>
      <c r="AJ35" s="4">
        <f ca="1">ROUND(T_Tiktok_ads[[#This Row],[clicks]]*RANDBETWEEN(8,12)/10,0)</f>
        <v>6789</v>
      </c>
      <c r="AK35" s="4">
        <v>1023.4</v>
      </c>
      <c r="AL35" s="4">
        <f ca="1">ROUND(T_Tiktok_ads[[#This Row],[conversions]]*RANDBETWEEN(8,12)/10,0)</f>
        <v>103</v>
      </c>
      <c r="AM35" s="4">
        <f ca="1">ROUND(T_Tiktok_ads[[#This Row],[video_views]]*RANDBETWEEN(8,12)/10,0)</f>
        <v>345678</v>
      </c>
      <c r="AN35" s="4">
        <f ca="1">ROUND(T_Tiktok_ads[[#This Row],[video_watch_25]]*RANDBETWEEN(8,12)/10,0)</f>
        <v>223121</v>
      </c>
      <c r="AO35" s="4">
        <f ca="1">ROUND(T_Tiktok_ads[[#This Row],[video_watch_50]]*RANDBETWEEN(8,12)/10,0)</f>
        <v>178765</v>
      </c>
      <c r="AP35" s="4">
        <f ca="1">ROUND(T_Tiktok_ads[[#This Row],[video_watch_75]]*RANDBETWEEN(8,12)/10,0)</f>
        <v>175157</v>
      </c>
      <c r="AQ35" s="4">
        <f ca="1">ROUND(T_Tiktok_ads[[#This Row],[video_watch_100]]*RANDBETWEEN(8,12)/10,0)</f>
        <v>95110</v>
      </c>
      <c r="AR35" s="4">
        <f ca="1">ROUND(T_Tiktok_ads[[#This Row],[likes]]*RANDBETWEEN(8,12)/10,0)</f>
        <v>14587</v>
      </c>
      <c r="AS35" s="4">
        <f ca="1">ROUND(T_Tiktok_ads[[#This Row],[shares]]*RANDBETWEEN(8,12)/10,0)</f>
        <v>4187</v>
      </c>
      <c r="AT35" s="4">
        <f ca="1">ROUND(T_Tiktok_ads[[#This Row],[comments]]*RANDBETWEEN(8,12)/10,0)</f>
        <v>1747</v>
      </c>
      <c r="AV35" s="5">
        <f t="shared" ca="1" si="8"/>
        <v>45188</v>
      </c>
      <c r="AW35">
        <f t="shared" ca="1" si="4"/>
        <v>5</v>
      </c>
      <c r="AX35">
        <f ca="1">ROUND(T_Facebook_Ads115963677175798387[[#This Row],[impressions]]*RANDBETWEEN(8,12)/10,0)</f>
        <v>91481</v>
      </c>
      <c r="AY35">
        <f ca="1">ROUND(T_Facebook_Ads115963677175798387[[#This Row],[clicks]]*RANDBETWEEN(8,12)/10,0)</f>
        <v>222</v>
      </c>
      <c r="AZ35">
        <f ca="1">T_Facebook_Ads115963677175798387[[#This Row],[spend]]*RANDBETWEEN(8,12)/10</f>
        <v>121.8</v>
      </c>
      <c r="BA35">
        <f ca="1">ROUND(T_Facebook_Ads115963677175798387[[#This Row],[conversions]]*RANDBETWEEN(8,12)/10,0)</f>
        <v>10</v>
      </c>
      <c r="BB35">
        <f ca="1">ROUND(T_Facebook_Ads115963677175798387[[#This Row],[video_views]]*RANDBETWEEN(8,12)/10,0)</f>
        <v>63338</v>
      </c>
    </row>
    <row r="36" spans="1:54" ht="15.75" thickBot="1" x14ac:dyDescent="0.3">
      <c r="A36" s="3">
        <f t="shared" ca="1" si="5"/>
        <v>45187</v>
      </c>
      <c r="B36" s="4" t="s">
        <v>52</v>
      </c>
      <c r="C36" s="4" t="s">
        <v>53</v>
      </c>
      <c r="D36" s="4" t="s">
        <v>54</v>
      </c>
      <c r="E36" s="4" t="s">
        <v>55</v>
      </c>
      <c r="F36" s="4">
        <f ca="1">ROUND(T_Facebook_Ads[[#This Row],[impressions]]*RANDBETWEEN(8,12)/10,0)</f>
        <v>49234</v>
      </c>
      <c r="G36" s="4">
        <v>1012</v>
      </c>
      <c r="H36" s="4">
        <f ca="1">T_Facebook_Ads[[#This Row],[spend]]*RANDBETWEEN(8,12)/10</f>
        <v>112.24000000000001</v>
      </c>
      <c r="I36" s="4">
        <f ca="1">ROUND(T_Facebook_Ads[[#This Row],[conversions]]*RANDBETWEEN(8,12)/10,0)</f>
        <v>18</v>
      </c>
      <c r="J36" s="4">
        <f ca="1">ROUND(T_Facebook_Ads[[#This Row],[video_views]]*RANDBETWEEN(8,12)/10,0)</f>
        <v>9123</v>
      </c>
      <c r="K36" s="4">
        <f ca="1">T_Facebook_Ads[[#This Row],[engagement_rate]]*RANDBETWEEN(8,12)/10</f>
        <v>2.06E-2</v>
      </c>
      <c r="L36" s="4">
        <f ca="1">ROUND(T_Facebook_Ads[[#This Row],[reach]]*RANDBETWEEN(8,12)/10,0)</f>
        <v>49880</v>
      </c>
      <c r="M36" s="4">
        <f ca="1">T_Facebook_Ads[[#This Row],[frequency]]*RANDBETWEEN(8,12)/10</f>
        <v>0.94399999999999995</v>
      </c>
      <c r="O36" s="3">
        <f t="shared" ca="1" si="6"/>
        <v>45196</v>
      </c>
      <c r="P36" s="4" t="s">
        <v>76</v>
      </c>
      <c r="Q36" s="4" t="s">
        <v>77</v>
      </c>
      <c r="R36" s="4" t="s">
        <v>78</v>
      </c>
      <c r="S36" s="4" t="s">
        <v>79</v>
      </c>
      <c r="T36" s="4">
        <f ca="1">ROUND(_Google_ads[[#This Row],[impressions]]*RANDBETWEEN(8,12)/10,0)</f>
        <v>20098</v>
      </c>
      <c r="U36" s="4">
        <f ca="1">ROUND(_Google_ads[[#This Row],[clicks]]*RANDBETWEEN(8,12)/10,0)</f>
        <v>1574</v>
      </c>
      <c r="V36" s="4">
        <f ca="1">_Google_ads[[#This Row],[cost]]*RANDBETWEEN(8,12)/10</f>
        <v>300.48</v>
      </c>
      <c r="W36" s="4">
        <f ca="1">ROUND(_Google_ads[[#This Row],[conversions]]*RANDBETWEEN(8,12)/10,0)</f>
        <v>59</v>
      </c>
      <c r="X36" s="4">
        <f ca="1">ROUND(_Google_ads[[#This Row],[conversion_value]]*RANDBETWEEN(8,12)/10,0)</f>
        <v>2450</v>
      </c>
      <c r="Y36" s="4">
        <f ca="1">_Google_ads[[#This Row],[ctr]]*RANDBETWEEN(8,12)/10</f>
        <v>5.7420000000000006E-2</v>
      </c>
      <c r="Z36" s="4">
        <f ca="1">_Google_ads[[#This Row],[avg_cpc]]*RANDBETWEEN(8,12)/10</f>
        <v>0.19</v>
      </c>
      <c r="AA36" s="4">
        <f ca="1">ROUND(_Google_ads[[#This Row],[quality_score]]*RANDBETWEEN(8,12)/10,0)</f>
        <v>7</v>
      </c>
      <c r="AB36" s="4">
        <f ca="1">_Google_ads[[#This Row],[search_impression_share]]*RANDBETWEEN(8,12)/10</f>
        <v>0.90999999999999992</v>
      </c>
      <c r="AD36" s="3">
        <f t="shared" ca="1" si="7"/>
        <v>45198</v>
      </c>
      <c r="AE36" s="4" t="s">
        <v>100</v>
      </c>
      <c r="AF36" s="4" t="s">
        <v>101</v>
      </c>
      <c r="AG36" s="4" t="s">
        <v>102</v>
      </c>
      <c r="AH36" s="4" t="s">
        <v>103</v>
      </c>
      <c r="AI36" s="4">
        <f ca="1">ROUND(T_Tiktok_ads[[#This Row],[impressions]]*RANDBETWEEN(8,12)/10,0)</f>
        <v>321468</v>
      </c>
      <c r="AJ36" s="4">
        <f ca="1">ROUND(T_Tiktok_ads[[#This Row],[clicks]]*RANDBETWEEN(8,12)/10,0)</f>
        <v>4734</v>
      </c>
      <c r="AK36" s="4">
        <v>501.2</v>
      </c>
      <c r="AL36" s="4">
        <f ca="1">ROUND(T_Tiktok_ads[[#This Row],[conversions]]*RANDBETWEEN(8,12)/10,0)</f>
        <v>36</v>
      </c>
      <c r="AM36" s="4">
        <f ca="1">ROUND(T_Tiktok_ads[[#This Row],[video_views]]*RANDBETWEEN(8,12)/10,0)</f>
        <v>265481</v>
      </c>
      <c r="AN36" s="4">
        <f ca="1">ROUND(T_Tiktok_ads[[#This Row],[video_watch_25]]*RANDBETWEEN(8,12)/10,0)</f>
        <v>138765</v>
      </c>
      <c r="AO36" s="4">
        <f ca="1">ROUND(T_Tiktok_ads[[#This Row],[video_watch_50]]*RANDBETWEEN(8,12)/10,0)</f>
        <v>87387</v>
      </c>
      <c r="AP36" s="4">
        <f ca="1">ROUND(T_Tiktok_ads[[#This Row],[video_watch_75]]*RANDBETWEEN(8,12)/10,0)</f>
        <v>80924</v>
      </c>
      <c r="AQ36" s="4">
        <f ca="1">ROUND(T_Tiktok_ads[[#This Row],[video_watch_100]]*RANDBETWEEN(8,12)/10,0)</f>
        <v>39387</v>
      </c>
      <c r="AR36" s="4">
        <f ca="1">ROUND(T_Tiktok_ads[[#This Row],[likes]]*RANDBETWEEN(8,12)/10,0)</f>
        <v>7831</v>
      </c>
      <c r="AS36" s="4">
        <f ca="1">ROUND(T_Tiktok_ads[[#This Row],[shares]]*RANDBETWEEN(8,12)/10,0)</f>
        <v>2634</v>
      </c>
      <c r="AT36" s="4">
        <f ca="1">ROUND(T_Tiktok_ads[[#This Row],[comments]]*RANDBETWEEN(8,12)/10,0)</f>
        <v>498</v>
      </c>
      <c r="AV36" s="5">
        <f t="shared" ca="1" si="8"/>
        <v>45193</v>
      </c>
      <c r="AW36">
        <f t="shared" ca="1" si="4"/>
        <v>8</v>
      </c>
      <c r="AX36">
        <f ca="1">ROUND(T_Facebook_Ads115963677175798387[[#This Row],[impressions]]*RANDBETWEEN(8,12)/10,0)</f>
        <v>59081</v>
      </c>
      <c r="AY36">
        <f ca="1">ROUND(T_Facebook_Ads115963677175798387[[#This Row],[clicks]]*RANDBETWEEN(8,12)/10,0)</f>
        <v>1113</v>
      </c>
      <c r="AZ36">
        <f ca="1">T_Facebook_Ads115963677175798387[[#This Row],[spend]]*RANDBETWEEN(8,12)/10</f>
        <v>101.01600000000001</v>
      </c>
      <c r="BA36">
        <f ca="1">ROUND(T_Facebook_Ads115963677175798387[[#This Row],[conversions]]*RANDBETWEEN(8,12)/10,0)</f>
        <v>20</v>
      </c>
      <c r="BB36">
        <f ca="1">ROUND(T_Facebook_Ads115963677175798387[[#This Row],[video_views]]*RANDBETWEEN(8,12)/10,0)</f>
        <v>10035</v>
      </c>
    </row>
    <row r="37" spans="1:54" ht="15.75" thickBot="1" x14ac:dyDescent="0.3">
      <c r="A37" s="3">
        <f t="shared" ca="1" si="5"/>
        <v>45193</v>
      </c>
      <c r="B37" s="4" t="s">
        <v>56</v>
      </c>
      <c r="C37" s="4" t="s">
        <v>57</v>
      </c>
      <c r="D37" s="4" t="s">
        <v>58</v>
      </c>
      <c r="E37" s="4" t="s">
        <v>59</v>
      </c>
      <c r="F37" s="4">
        <f ca="1">ROUND(T_Facebook_Ads[[#This Row],[impressions]]*RANDBETWEEN(8,12)/10,0)</f>
        <v>14802</v>
      </c>
      <c r="G37" s="4">
        <v>634</v>
      </c>
      <c r="H37" s="4">
        <f ca="1">T_Facebook_Ads[[#This Row],[spend]]*RANDBETWEEN(8,12)/10</f>
        <v>263.66999999999996</v>
      </c>
      <c r="I37" s="4">
        <f ca="1">ROUND(T_Facebook_Ads[[#This Row],[conversions]]*RANDBETWEEN(8,12)/10,0)</f>
        <v>47</v>
      </c>
      <c r="J37" s="4">
        <f ca="1">ROUND(T_Facebook_Ads[[#This Row],[video_views]]*RANDBETWEEN(8,12)/10,0)</f>
        <v>1654</v>
      </c>
      <c r="K37" s="4">
        <f ca="1">T_Facebook_Ads[[#This Row],[engagement_rate]]*RANDBETWEEN(8,12)/10</f>
        <v>4.7100000000000003E-2</v>
      </c>
      <c r="L37" s="4">
        <f ca="1">ROUND(T_Facebook_Ads[[#This Row],[reach]]*RANDBETWEEN(8,12)/10,0)</f>
        <v>12680</v>
      </c>
      <c r="M37" s="4">
        <f ca="1">T_Facebook_Ads[[#This Row],[frequency]]*RANDBETWEEN(8,12)/10</f>
        <v>1.143</v>
      </c>
      <c r="O37" s="3">
        <f t="shared" ca="1" si="6"/>
        <v>45170</v>
      </c>
      <c r="P37" s="4" t="s">
        <v>80</v>
      </c>
      <c r="Q37" s="4" t="s">
        <v>81</v>
      </c>
      <c r="R37" s="4" t="s">
        <v>82</v>
      </c>
      <c r="S37" s="4" t="s">
        <v>83</v>
      </c>
      <c r="T37" s="4">
        <f ca="1">ROUND(_Google_ads[[#This Row],[impressions]]*RANDBETWEEN(8,12)/10,0)</f>
        <v>55880</v>
      </c>
      <c r="U37" s="4">
        <f ca="1">ROUND(_Google_ads[[#This Row],[clicks]]*RANDBETWEEN(8,12)/10,0)</f>
        <v>821</v>
      </c>
      <c r="V37" s="4">
        <f ca="1">_Google_ads[[#This Row],[cost]]*RANDBETWEEN(8,12)/10</f>
        <v>477.36</v>
      </c>
      <c r="W37" s="4">
        <f ca="1">ROUND(_Google_ads[[#This Row],[conversions]]*RANDBETWEEN(8,12)/10,0)</f>
        <v>22</v>
      </c>
      <c r="X37" s="4">
        <f ca="1">ROUND(_Google_ads[[#This Row],[conversion_value]]*RANDBETWEEN(8,12)/10,0)</f>
        <v>1320</v>
      </c>
      <c r="Y37" s="4">
        <f ca="1">_Google_ads[[#This Row],[ctr]]*RANDBETWEEN(8,12)/10</f>
        <v>2.3519999999999999E-2</v>
      </c>
      <c r="Z37" s="4">
        <f ca="1">_Google_ads[[#This Row],[avg_cpc]]*RANDBETWEEN(8,12)/10</f>
        <v>0.71500000000000008</v>
      </c>
      <c r="AA37" s="4">
        <f ca="1">ROUND(_Google_ads[[#This Row],[quality_score]]*RANDBETWEEN(8,12)/10,0)</f>
        <v>7</v>
      </c>
      <c r="AB37" s="4">
        <f ca="1">_Google_ads[[#This Row],[search_impression_share]]*RANDBETWEEN(8,12)/10</f>
        <v>0.40499999999999997</v>
      </c>
      <c r="AD37" s="3">
        <f t="shared" ca="1" si="7"/>
        <v>45198</v>
      </c>
      <c r="AE37" s="4" t="s">
        <v>104</v>
      </c>
      <c r="AF37" s="4" t="s">
        <v>105</v>
      </c>
      <c r="AG37" s="4" t="s">
        <v>106</v>
      </c>
      <c r="AH37" s="4" t="s">
        <v>107</v>
      </c>
      <c r="AI37" s="4">
        <f ca="1">ROUND(T_Tiktok_ads[[#This Row],[impressions]]*RANDBETWEEN(8,12)/10,0)</f>
        <v>148901</v>
      </c>
      <c r="AJ37" s="4">
        <f ca="1">ROUND(T_Tiktok_ads[[#This Row],[clicks]]*RANDBETWEEN(8,12)/10,0)</f>
        <v>2267</v>
      </c>
      <c r="AK37" s="4">
        <v>767.5</v>
      </c>
      <c r="AL37" s="4">
        <f ca="1">ROUND(T_Tiktok_ads[[#This Row],[conversions]]*RANDBETWEEN(8,12)/10,0)</f>
        <v>85</v>
      </c>
      <c r="AM37" s="4">
        <f ca="1">ROUND(T_Tiktok_ads[[#This Row],[video_views]]*RANDBETWEEN(8,12)/10,0)</f>
        <v>124147</v>
      </c>
      <c r="AN37" s="4">
        <f ca="1">ROUND(T_Tiktok_ads[[#This Row],[video_watch_25]]*RANDBETWEEN(8,12)/10,0)</f>
        <v>68611</v>
      </c>
      <c r="AO37" s="4">
        <f ca="1">ROUND(T_Tiktok_ads[[#This Row],[video_watch_50]]*RANDBETWEEN(8,12)/10,0)</f>
        <v>51234</v>
      </c>
      <c r="AP37" s="4">
        <f ca="1">ROUND(T_Tiktok_ads[[#This Row],[video_watch_75]]*RANDBETWEEN(8,12)/10,0)</f>
        <v>42424</v>
      </c>
      <c r="AQ37" s="4">
        <f ca="1">ROUND(T_Tiktok_ads[[#This Row],[video_watch_100]]*RANDBETWEEN(8,12)/10,0)</f>
        <v>25789</v>
      </c>
      <c r="AR37" s="4">
        <f ca="1">ROUND(T_Tiktok_ads[[#This Row],[likes]]*RANDBETWEEN(8,12)/10,0)</f>
        <v>4611</v>
      </c>
      <c r="AS37" s="4">
        <f ca="1">ROUND(T_Tiktok_ads[[#This Row],[shares]]*RANDBETWEEN(8,12)/10,0)</f>
        <v>1602</v>
      </c>
      <c r="AT37" s="4">
        <f ca="1">ROUND(T_Tiktok_ads[[#This Row],[comments]]*RANDBETWEEN(8,12)/10,0)</f>
        <v>334</v>
      </c>
      <c r="AV37" s="5">
        <f t="shared" ca="1" si="8"/>
        <v>45188</v>
      </c>
      <c r="AW37">
        <f t="shared" ca="1" si="4"/>
        <v>6</v>
      </c>
      <c r="AX37">
        <f ca="1">ROUND(T_Facebook_Ads115963677175798387[[#This Row],[impressions]]*RANDBETWEEN(8,12)/10,0)</f>
        <v>11842</v>
      </c>
      <c r="AY37">
        <f ca="1">ROUND(T_Facebook_Ads115963677175798387[[#This Row],[clicks]]*RANDBETWEEN(8,12)/10,0)</f>
        <v>761</v>
      </c>
      <c r="AZ37">
        <f ca="1">T_Facebook_Ads115963677175798387[[#This Row],[spend]]*RANDBETWEEN(8,12)/10</f>
        <v>210.93599999999998</v>
      </c>
      <c r="BA37">
        <f ca="1">ROUND(T_Facebook_Ads115963677175798387[[#This Row],[conversions]]*RANDBETWEEN(8,12)/10,0)</f>
        <v>38</v>
      </c>
      <c r="BB37">
        <f ca="1">ROUND(T_Facebook_Ads115963677175798387[[#This Row],[video_views]]*RANDBETWEEN(8,12)/10,0)</f>
        <v>1489</v>
      </c>
    </row>
    <row r="38" spans="1:54" ht="15.75" thickBot="1" x14ac:dyDescent="0.3">
      <c r="A38" s="3">
        <f t="shared" ca="1" si="5"/>
        <v>45175</v>
      </c>
      <c r="B38" s="4" t="s">
        <v>60</v>
      </c>
      <c r="C38" s="4" t="s">
        <v>61</v>
      </c>
      <c r="D38" s="4" t="s">
        <v>62</v>
      </c>
      <c r="E38" s="4" t="s">
        <v>63</v>
      </c>
      <c r="F38" s="4">
        <f ca="1">ROUND(T_Facebook_Ads[[#This Row],[impressions]]*RANDBETWEEN(8,12)/10,0)</f>
        <v>45468</v>
      </c>
      <c r="G38" s="4">
        <v>1398</v>
      </c>
      <c r="H38" s="4">
        <f ca="1">T_Facebook_Ads[[#This Row],[spend]]*RANDBETWEEN(8,12)/10</f>
        <v>191.16000000000003</v>
      </c>
      <c r="I38" s="4">
        <f ca="1">ROUND(T_Facebook_Ads[[#This Row],[conversions]]*RANDBETWEEN(8,12)/10,0)</f>
        <v>28</v>
      </c>
      <c r="J38" s="4">
        <f ca="1">ROUND(T_Facebook_Ads[[#This Row],[video_views]]*RANDBETWEEN(8,12)/10,0)</f>
        <v>5513</v>
      </c>
      <c r="K38" s="4">
        <f ca="1">T_Facebook_Ads[[#This Row],[engagement_rate]]*RANDBETWEEN(8,12)/10</f>
        <v>4.0590000000000001E-2</v>
      </c>
      <c r="L38" s="4">
        <f ca="1">ROUND(T_Facebook_Ads[[#This Row],[reach]]*RANDBETWEEN(8,12)/10,0)</f>
        <v>24712</v>
      </c>
      <c r="M38" s="4">
        <f ca="1">T_Facebook_Ads[[#This Row],[frequency]]*RANDBETWEEN(8,12)/10</f>
        <v>0.98399999999999999</v>
      </c>
      <c r="O38" s="3">
        <f t="shared" ca="1" si="6"/>
        <v>45177</v>
      </c>
      <c r="P38" s="4" t="s">
        <v>84</v>
      </c>
      <c r="Q38" s="4" t="s">
        <v>85</v>
      </c>
      <c r="R38" s="4" t="s">
        <v>86</v>
      </c>
      <c r="S38" s="4" t="s">
        <v>87</v>
      </c>
      <c r="T38" s="4">
        <f ca="1">ROUND(_Google_ads[[#This Row],[impressions]]*RANDBETWEEN(8,12)/10,0)</f>
        <v>55912</v>
      </c>
      <c r="U38" s="4">
        <f ca="1">ROUND(_Google_ads[[#This Row],[clicks]]*RANDBETWEEN(8,12)/10,0)</f>
        <v>2334</v>
      </c>
      <c r="V38" s="4">
        <f ca="1">_Google_ads[[#This Row],[cost]]*RANDBETWEEN(8,12)/10</f>
        <v>428.9</v>
      </c>
      <c r="W38" s="4">
        <f ca="1">ROUND(_Google_ads[[#This Row],[conversions]]*RANDBETWEEN(8,12)/10,0)</f>
        <v>73</v>
      </c>
      <c r="X38" s="4">
        <f ca="1">ROUND(_Google_ads[[#This Row],[conversion_value]]*RANDBETWEEN(8,12)/10,0)</f>
        <v>2640</v>
      </c>
      <c r="Y38" s="4">
        <f ca="1">_Google_ads[[#This Row],[ctr]]*RANDBETWEEN(8,12)/10</f>
        <v>3.3399999999999999E-2</v>
      </c>
      <c r="Z38" s="4">
        <f ca="1">_Google_ads[[#This Row],[avg_cpc]]*RANDBETWEEN(8,12)/10</f>
        <v>0.19800000000000001</v>
      </c>
      <c r="AA38" s="4">
        <f ca="1">ROUND(_Google_ads[[#This Row],[quality_score]]*RANDBETWEEN(8,12)/10,0)</f>
        <v>9</v>
      </c>
      <c r="AB38" s="4">
        <f ca="1">_Google_ads[[#This Row],[search_impression_share]]*RANDBETWEEN(8,12)/10</f>
        <v>0.73699999999999999</v>
      </c>
      <c r="AD38" s="3">
        <f t="shared" ca="1" si="7"/>
        <v>45196</v>
      </c>
      <c r="AE38" s="4" t="s">
        <v>108</v>
      </c>
      <c r="AF38" s="4" t="s">
        <v>109</v>
      </c>
      <c r="AG38" s="4" t="s">
        <v>110</v>
      </c>
      <c r="AH38" s="4" t="s">
        <v>111</v>
      </c>
      <c r="AI38" s="4">
        <f ca="1">ROUND(T_Tiktok_ads[[#This Row],[impressions]]*RANDBETWEEN(8,12)/10,0)</f>
        <v>228901</v>
      </c>
      <c r="AJ38" s="4">
        <f ca="1">ROUND(T_Tiktok_ads[[#This Row],[clicks]]*RANDBETWEEN(8,12)/10,0)</f>
        <v>2907</v>
      </c>
      <c r="AK38" s="4">
        <v>441.9</v>
      </c>
      <c r="AL38" s="4">
        <f ca="1">ROUND(T_Tiktok_ads[[#This Row],[conversions]]*RANDBETWEEN(8,12)/10,0)</f>
        <v>34</v>
      </c>
      <c r="AM38" s="4">
        <f ca="1">ROUND(T_Tiktok_ads[[#This Row],[video_views]]*RANDBETWEEN(8,12)/10,0)</f>
        <v>164111</v>
      </c>
      <c r="AN38" s="4">
        <f ca="1">ROUND(T_Tiktok_ads[[#This Row],[video_watch_25]]*RANDBETWEEN(8,12)/10,0)</f>
        <v>137890</v>
      </c>
      <c r="AO38" s="4">
        <f ca="1">ROUND(T_Tiktok_ads[[#This Row],[video_watch_50]]*RANDBETWEEN(8,12)/10,0)</f>
        <v>98011</v>
      </c>
      <c r="AP38" s="4">
        <f ca="1">ROUND(T_Tiktok_ads[[#This Row],[video_watch_75]]*RANDBETWEEN(8,12)/10,0)</f>
        <v>70567</v>
      </c>
      <c r="AQ38" s="4">
        <f ca="1">ROUND(T_Tiktok_ads[[#This Row],[video_watch_100]]*RANDBETWEEN(8,12)/10,0)</f>
        <v>51347</v>
      </c>
      <c r="AR38" s="4">
        <f ca="1">ROUND(T_Tiktok_ads[[#This Row],[likes]]*RANDBETWEEN(8,12)/10,0)</f>
        <v>7610</v>
      </c>
      <c r="AS38" s="4">
        <f ca="1">ROUND(T_Tiktok_ads[[#This Row],[shares]]*RANDBETWEEN(8,12)/10,0)</f>
        <v>1841</v>
      </c>
      <c r="AT38" s="4">
        <f ca="1">ROUND(T_Tiktok_ads[[#This Row],[comments]]*RANDBETWEEN(8,12)/10,0)</f>
        <v>436</v>
      </c>
      <c r="AV38" s="5">
        <f t="shared" ca="1" si="8"/>
        <v>45186</v>
      </c>
      <c r="AW38">
        <f t="shared" ca="1" si="4"/>
        <v>7</v>
      </c>
      <c r="AX38">
        <f ca="1">ROUND(T_Facebook_Ads115963677175798387[[#This Row],[impressions]]*RANDBETWEEN(8,12)/10,0)</f>
        <v>40921</v>
      </c>
      <c r="AY38">
        <f ca="1">ROUND(T_Facebook_Ads115963677175798387[[#This Row],[clicks]]*RANDBETWEEN(8,12)/10,0)</f>
        <v>1678</v>
      </c>
      <c r="AZ38">
        <f ca="1">T_Facebook_Ads115963677175798387[[#This Row],[spend]]*RANDBETWEEN(8,12)/10</f>
        <v>191.16000000000003</v>
      </c>
      <c r="BA38">
        <f ca="1">ROUND(T_Facebook_Ads115963677175798387[[#This Row],[conversions]]*RANDBETWEEN(8,12)/10,0)</f>
        <v>28</v>
      </c>
      <c r="BB38">
        <f ca="1">ROUND(T_Facebook_Ads115963677175798387[[#This Row],[video_views]]*RANDBETWEEN(8,12)/10,0)</f>
        <v>4410</v>
      </c>
    </row>
    <row r="39" spans="1:54" ht="15.75" thickBot="1" x14ac:dyDescent="0.3">
      <c r="A39" s="3">
        <f t="shared" ca="1" si="5"/>
        <v>45182</v>
      </c>
      <c r="B39" s="4" t="s">
        <v>64</v>
      </c>
      <c r="C39" s="4" t="s">
        <v>65</v>
      </c>
      <c r="D39" s="4" t="s">
        <v>66</v>
      </c>
      <c r="E39" s="4" t="s">
        <v>67</v>
      </c>
      <c r="F39" s="4">
        <f ca="1">ROUND(T_Facebook_Ads[[#This Row],[impressions]]*RANDBETWEEN(8,12)/10,0)</f>
        <v>72890</v>
      </c>
      <c r="G39" s="4">
        <v>261</v>
      </c>
      <c r="H39" s="4">
        <f ca="1">T_Facebook_Ads[[#This Row],[spend]]*RANDBETWEEN(8,12)/10</f>
        <v>87.11999999999999</v>
      </c>
      <c r="I39" s="4">
        <f ca="1">ROUND(T_Facebook_Ads[[#This Row],[conversions]]*RANDBETWEEN(8,12)/10,0)</f>
        <v>8</v>
      </c>
      <c r="J39" s="4">
        <f ca="1">ROUND(T_Facebook_Ads[[#This Row],[video_views]]*RANDBETWEEN(8,12)/10,0)</f>
        <v>59480</v>
      </c>
      <c r="K39" s="4">
        <f ca="1">T_Facebook_Ads[[#This Row],[engagement_rate]]*RANDBETWEEN(8,12)/10</f>
        <v>3.5999999999999999E-3</v>
      </c>
      <c r="L39" s="4">
        <f ca="1">ROUND(T_Facebook_Ads[[#This Row],[reach]]*RANDBETWEEN(8,12)/10,0)</f>
        <v>65035</v>
      </c>
      <c r="M39" s="4">
        <f ca="1">T_Facebook_Ads[[#This Row],[frequency]]*RANDBETWEEN(8,12)/10</f>
        <v>1.353</v>
      </c>
      <c r="O39" s="3">
        <f t="shared" ca="1" si="6"/>
        <v>45190</v>
      </c>
      <c r="P39" s="4" t="s">
        <v>88</v>
      </c>
      <c r="Q39" s="4" t="s">
        <v>89</v>
      </c>
      <c r="R39" s="4" t="s">
        <v>90</v>
      </c>
      <c r="S39" s="4" t="s">
        <v>59</v>
      </c>
      <c r="T39" s="4">
        <f ca="1">ROUND(_Google_ads[[#This Row],[impressions]]*RANDBETWEEN(8,12)/10,0)</f>
        <v>160147</v>
      </c>
      <c r="U39" s="4">
        <f ca="1">ROUND(_Google_ads[[#This Row],[clicks]]*RANDBETWEEN(8,12)/10,0)</f>
        <v>587</v>
      </c>
      <c r="V39" s="4">
        <f ca="1">_Google_ads[[#This Row],[cost]]*RANDBETWEEN(8,12)/10</f>
        <v>118.08</v>
      </c>
      <c r="W39" s="4">
        <f ca="1">ROUND(_Google_ads[[#This Row],[conversions]]*RANDBETWEEN(8,12)/10,0)</f>
        <v>13</v>
      </c>
      <c r="X39" s="4">
        <f ca="1">ROUND(_Google_ads[[#This Row],[conversion_value]]*RANDBETWEEN(8,12)/10,0)</f>
        <v>700</v>
      </c>
      <c r="Y39" s="4">
        <f ca="1">_Google_ads[[#This Row],[ctr]]*RANDBETWEEN(8,12)/10</f>
        <v>2.96E-3</v>
      </c>
      <c r="Z39" s="4">
        <f ca="1">_Google_ads[[#This Row],[avg_cpc]]*RANDBETWEEN(8,12)/10</f>
        <v>0.24300000000000002</v>
      </c>
      <c r="AA39" s="4">
        <f ca="1">ROUND(_Google_ads[[#This Row],[quality_score]]*RANDBETWEEN(8,12)/10,0)</f>
        <v>6</v>
      </c>
      <c r="AB39" s="4">
        <f ca="1">_Google_ads[[#This Row],[search_impression_share]]*RANDBETWEEN(8,12)/10</f>
        <v>0.27999999999999997</v>
      </c>
      <c r="AD39" s="3">
        <f t="shared" ca="1" si="7"/>
        <v>45196</v>
      </c>
      <c r="AE39" s="4" t="s">
        <v>112</v>
      </c>
      <c r="AF39" s="4" t="s">
        <v>113</v>
      </c>
      <c r="AG39" s="4" t="s">
        <v>114</v>
      </c>
      <c r="AH39" s="4" t="s">
        <v>115</v>
      </c>
      <c r="AI39" s="4">
        <f ca="1">ROUND(T_Tiktok_ads[[#This Row],[impressions]]*RANDBETWEEN(8,12)/10,0)</f>
        <v>438424</v>
      </c>
      <c r="AJ39" s="4">
        <f ca="1">ROUND(T_Tiktok_ads[[#This Row],[clicks]]*RANDBETWEEN(8,12)/10,0)</f>
        <v>7841</v>
      </c>
      <c r="AK39" s="4">
        <v>998.7</v>
      </c>
      <c r="AL39" s="4">
        <f ca="1">ROUND(T_Tiktok_ads[[#This Row],[conversions]]*RANDBETWEEN(8,12)/10,0)</f>
        <v>98</v>
      </c>
      <c r="AM39" s="4">
        <f ca="1">ROUND(T_Tiktok_ads[[#This Row],[video_views]]*RANDBETWEEN(8,12)/10,0)</f>
        <v>398814</v>
      </c>
      <c r="AN39" s="4">
        <f ca="1">ROUND(T_Tiktok_ads[[#This Row],[video_watch_25]]*RANDBETWEEN(8,12)/10,0)</f>
        <v>294679</v>
      </c>
      <c r="AO39" s="4">
        <f ca="1">ROUND(T_Tiktok_ads[[#This Row],[video_watch_50]]*RANDBETWEEN(8,12)/10,0)</f>
        <v>171654</v>
      </c>
      <c r="AP39" s="4">
        <f ca="1">ROUND(T_Tiktok_ads[[#This Row],[video_watch_75]]*RANDBETWEEN(8,12)/10,0)</f>
        <v>120987</v>
      </c>
      <c r="AQ39" s="4">
        <f ca="1">ROUND(T_Tiktok_ads[[#This Row],[video_watch_100]]*RANDBETWEEN(8,12)/10,0)</f>
        <v>79654</v>
      </c>
      <c r="AR39" s="4">
        <f ca="1">ROUND(T_Tiktok_ads[[#This Row],[likes]]*RANDBETWEEN(8,12)/10,0)</f>
        <v>19532</v>
      </c>
      <c r="AS39" s="4">
        <f ca="1">ROUND(T_Tiktok_ads[[#This Row],[shares]]*RANDBETWEEN(8,12)/10,0)</f>
        <v>5012</v>
      </c>
      <c r="AT39" s="4">
        <f ca="1">ROUND(T_Tiktok_ads[[#This Row],[comments]]*RANDBETWEEN(8,12)/10,0)</f>
        <v>1528</v>
      </c>
      <c r="AV39" s="5">
        <f t="shared" ca="1" si="8"/>
        <v>45182</v>
      </c>
      <c r="AW39">
        <f t="shared" ca="1" si="4"/>
        <v>7</v>
      </c>
      <c r="AX39">
        <f ca="1">ROUND(T_Facebook_Ads115963677175798387[[#This Row],[impressions]]*RANDBETWEEN(8,12)/10,0)</f>
        <v>58312</v>
      </c>
      <c r="AY39">
        <f ca="1">ROUND(T_Facebook_Ads115963677175798387[[#This Row],[clicks]]*RANDBETWEEN(8,12)/10,0)</f>
        <v>287</v>
      </c>
      <c r="AZ39">
        <f ca="1">T_Facebook_Ads115963677175798387[[#This Row],[spend]]*RANDBETWEEN(8,12)/10</f>
        <v>69.695999999999998</v>
      </c>
      <c r="BA39">
        <f ca="1">ROUND(T_Facebook_Ads115963677175798387[[#This Row],[conversions]]*RANDBETWEEN(8,12)/10,0)</f>
        <v>8</v>
      </c>
      <c r="BB39">
        <f ca="1">ROUND(T_Facebook_Ads115963677175798387[[#This Row],[video_views]]*RANDBETWEEN(8,12)/10,0)</f>
        <v>71376</v>
      </c>
    </row>
    <row r="40" spans="1:54" ht="15.75" thickBot="1" x14ac:dyDescent="0.3">
      <c r="A40" s="3">
        <f t="shared" ca="1" si="5"/>
        <v>45175</v>
      </c>
      <c r="B40" s="4" t="s">
        <v>52</v>
      </c>
      <c r="C40" s="4" t="s">
        <v>53</v>
      </c>
      <c r="D40" s="4" t="s">
        <v>54</v>
      </c>
      <c r="E40" s="4" t="s">
        <v>55</v>
      </c>
      <c r="F40" s="4">
        <f ca="1">ROUND(T_Facebook_Ads[[#This Row],[impressions]]*RANDBETWEEN(8,12)/10,0)</f>
        <v>46580</v>
      </c>
      <c r="G40" s="4">
        <v>856</v>
      </c>
      <c r="H40" s="4">
        <f ca="1">T_Facebook_Ads[[#This Row],[spend]]*RANDBETWEEN(8,12)/10</f>
        <v>109.35</v>
      </c>
      <c r="I40" s="4">
        <f ca="1">ROUND(T_Facebook_Ads[[#This Row],[conversions]]*RANDBETWEEN(8,12)/10,0)</f>
        <v>14</v>
      </c>
      <c r="J40" s="4">
        <f ca="1">ROUND(T_Facebook_Ads[[#This Row],[video_views]]*RANDBETWEEN(8,12)/10,0)</f>
        <v>7890</v>
      </c>
      <c r="K40" s="4">
        <f ca="1">T_Facebook_Ads[[#This Row],[engagement_rate]]*RANDBETWEEN(8,12)/10</f>
        <v>2.2219999999999997E-2</v>
      </c>
      <c r="L40" s="4">
        <f ca="1">ROUND(T_Facebook_Ads[[#This Row],[reach]]*RANDBETWEEN(8,12)/10,0)</f>
        <v>32110</v>
      </c>
      <c r="M40" s="4">
        <f ca="1">T_Facebook_Ads[[#This Row],[frequency]]*RANDBETWEEN(8,12)/10</f>
        <v>1.071</v>
      </c>
      <c r="O40" s="3">
        <f t="shared" ca="1" si="6"/>
        <v>45189</v>
      </c>
      <c r="P40" s="4" t="s">
        <v>76</v>
      </c>
      <c r="Q40" s="4" t="s">
        <v>77</v>
      </c>
      <c r="R40" s="4" t="s">
        <v>78</v>
      </c>
      <c r="S40" s="4" t="s">
        <v>79</v>
      </c>
      <c r="T40" s="4">
        <f ca="1">ROUND(_Google_ads[[#This Row],[impressions]]*RANDBETWEEN(8,12)/10,0)</f>
        <v>24702</v>
      </c>
      <c r="U40" s="4">
        <f ca="1">ROUND(_Google_ads[[#This Row],[clicks]]*RANDBETWEEN(8,12)/10,0)</f>
        <v>1156</v>
      </c>
      <c r="V40" s="4">
        <f ca="1">_Google_ads[[#This Row],[cost]]*RANDBETWEEN(8,12)/10</f>
        <v>176.32</v>
      </c>
      <c r="W40" s="4">
        <f ca="1">ROUND(_Google_ads[[#This Row],[conversions]]*RANDBETWEEN(8,12)/10,0)</f>
        <v>39</v>
      </c>
      <c r="X40" s="4">
        <f ca="1">ROUND(_Google_ads[[#This Row],[conversion_value]]*RANDBETWEEN(8,12)/10,0)</f>
        <v>2580</v>
      </c>
      <c r="Y40" s="4">
        <f ca="1">_Google_ads[[#This Row],[ctr]]*RANDBETWEEN(8,12)/10</f>
        <v>5.1500000000000004E-2</v>
      </c>
      <c r="Z40" s="4">
        <f ca="1">_Google_ads[[#This Row],[avg_cpc]]*RANDBETWEEN(8,12)/10</f>
        <v>0.152</v>
      </c>
      <c r="AA40" s="4">
        <f ca="1">ROUND(_Google_ads[[#This Row],[quality_score]]*RANDBETWEEN(8,12)/10,0)</f>
        <v>10</v>
      </c>
      <c r="AB40" s="4">
        <f ca="1">_Google_ads[[#This Row],[search_impression_share]]*RANDBETWEEN(8,12)/10</f>
        <v>0.80999999999999994</v>
      </c>
      <c r="AD40" s="3">
        <f t="shared" ca="1" si="7"/>
        <v>45193</v>
      </c>
      <c r="AE40" s="4" t="s">
        <v>100</v>
      </c>
      <c r="AF40" s="4" t="s">
        <v>101</v>
      </c>
      <c r="AG40" s="4" t="s">
        <v>102</v>
      </c>
      <c r="AH40" s="4" t="s">
        <v>103</v>
      </c>
      <c r="AI40" s="4">
        <f ca="1">ROUND(T_Tiktok_ads[[#This Row],[impressions]]*RANDBETWEEN(8,12)/10,0)</f>
        <v>258024</v>
      </c>
      <c r="AJ40" s="4">
        <f ca="1">ROUND(T_Tiktok_ads[[#This Row],[clicks]]*RANDBETWEEN(8,12)/10,0)</f>
        <v>4147</v>
      </c>
      <c r="AK40" s="4">
        <v>456.7</v>
      </c>
      <c r="AL40" s="4">
        <f ca="1">ROUND(T_Tiktok_ads[[#This Row],[conversions]]*RANDBETWEEN(8,12)/10,0)</f>
        <v>31</v>
      </c>
      <c r="AM40" s="4">
        <f ca="1">ROUND(T_Tiktok_ads[[#This Row],[video_views]]*RANDBETWEEN(8,12)/10,0)</f>
        <v>178411</v>
      </c>
      <c r="AN40" s="4">
        <f ca="1">ROUND(T_Tiktok_ads[[#This Row],[video_watch_25]]*RANDBETWEEN(8,12)/10,0)</f>
        <v>124987</v>
      </c>
      <c r="AO40" s="4">
        <f ca="1">ROUND(T_Tiktok_ads[[#This Row],[video_watch_50]]*RANDBETWEEN(8,12)/10,0)</f>
        <v>98234</v>
      </c>
      <c r="AP40" s="4">
        <f ca="1">ROUND(T_Tiktok_ads[[#This Row],[video_watch_75]]*RANDBETWEEN(8,12)/10,0)</f>
        <v>60511</v>
      </c>
      <c r="AQ40" s="4">
        <f ca="1">ROUND(T_Tiktok_ads[[#This Row],[video_watch_100]]*RANDBETWEEN(8,12)/10,0)</f>
        <v>45234</v>
      </c>
      <c r="AR40" s="4">
        <f ca="1">ROUND(T_Tiktok_ads[[#This Row],[likes]]*RANDBETWEEN(8,12)/10,0)</f>
        <v>8031</v>
      </c>
      <c r="AS40" s="4">
        <f ca="1">ROUND(T_Tiktok_ads[[#This Row],[shares]]*RANDBETWEEN(8,12)/10,0)</f>
        <v>2345</v>
      </c>
      <c r="AT40" s="4">
        <f ca="1">ROUND(T_Tiktok_ads[[#This Row],[comments]]*RANDBETWEEN(8,12)/10,0)</f>
        <v>680</v>
      </c>
      <c r="AV40" s="5">
        <f t="shared" ca="1" si="8"/>
        <v>45181</v>
      </c>
      <c r="AW40">
        <f t="shared" ca="1" si="4"/>
        <v>8</v>
      </c>
      <c r="AX40">
        <f ca="1">ROUND(T_Facebook_Ads115963677175798387[[#This Row],[impressions]]*RANDBETWEEN(8,12)/10,0)</f>
        <v>41922</v>
      </c>
      <c r="AY40">
        <f ca="1">ROUND(T_Facebook_Ads115963677175798387[[#This Row],[clicks]]*RANDBETWEEN(8,12)/10,0)</f>
        <v>1027</v>
      </c>
      <c r="AZ40">
        <f ca="1">T_Facebook_Ads115963677175798387[[#This Row],[spend]]*RANDBETWEEN(8,12)/10</f>
        <v>131.21999999999997</v>
      </c>
      <c r="BA40">
        <f ca="1">ROUND(T_Facebook_Ads115963677175798387[[#This Row],[conversions]]*RANDBETWEEN(8,12)/10,0)</f>
        <v>11</v>
      </c>
      <c r="BB40">
        <f ca="1">ROUND(T_Facebook_Ads115963677175798387[[#This Row],[video_views]]*RANDBETWEEN(8,12)/10,0)</f>
        <v>7101</v>
      </c>
    </row>
    <row r="41" spans="1:54" ht="15.75" thickBot="1" x14ac:dyDescent="0.3">
      <c r="A41" s="3">
        <f t="shared" ca="1" si="5"/>
        <v>45184</v>
      </c>
      <c r="B41" s="4" t="s">
        <v>56</v>
      </c>
      <c r="C41" s="4" t="s">
        <v>57</v>
      </c>
      <c r="D41" s="4" t="s">
        <v>58</v>
      </c>
      <c r="E41" s="4" t="s">
        <v>59</v>
      </c>
      <c r="F41" s="4">
        <f ca="1">ROUND(T_Facebook_Ads[[#This Row],[impressions]]*RANDBETWEEN(8,12)/10,0)</f>
        <v>8987</v>
      </c>
      <c r="G41" s="4">
        <v>523</v>
      </c>
      <c r="H41" s="4">
        <f ca="1">T_Facebook_Ads[[#This Row],[spend]]*RANDBETWEEN(8,12)/10</f>
        <v>218.45999999999998</v>
      </c>
      <c r="I41" s="4">
        <f ca="1">ROUND(T_Facebook_Ads[[#This Row],[conversions]]*RANDBETWEEN(8,12)/10,0)</f>
        <v>29</v>
      </c>
      <c r="J41" s="4">
        <f ca="1">ROUND(T_Facebook_Ads[[#This Row],[video_views]]*RANDBETWEEN(8,12)/10,0)</f>
        <v>1348</v>
      </c>
      <c r="K41" s="4">
        <f ca="1">T_Facebook_Ads[[#This Row],[engagement_rate]]*RANDBETWEEN(8,12)/10</f>
        <v>5.1260000000000007E-2</v>
      </c>
      <c r="L41" s="4">
        <f ca="1">ROUND(T_Facebook_Ads[[#This Row],[reach]]*RANDBETWEEN(8,12)/10,0)</f>
        <v>8011</v>
      </c>
      <c r="M41" s="4">
        <f ca="1">T_Facebook_Ads[[#This Row],[frequency]]*RANDBETWEEN(8,12)/10</f>
        <v>1.143</v>
      </c>
      <c r="O41" s="3">
        <f t="shared" ca="1" si="6"/>
        <v>45193</v>
      </c>
      <c r="P41" s="4" t="s">
        <v>80</v>
      </c>
      <c r="Q41" s="4" t="s">
        <v>81</v>
      </c>
      <c r="R41" s="4" t="s">
        <v>82</v>
      </c>
      <c r="S41" s="4" t="s">
        <v>83</v>
      </c>
      <c r="T41" s="4">
        <f ca="1">ROUND(_Google_ads[[#This Row],[impressions]]*RANDBETWEEN(8,12)/10,0)</f>
        <v>45357</v>
      </c>
      <c r="U41" s="4">
        <f ca="1">ROUND(_Google_ads[[#This Row],[clicks]]*RANDBETWEEN(8,12)/10,0)</f>
        <v>905</v>
      </c>
      <c r="V41" s="4">
        <f ca="1">_Google_ads[[#This Row],[cost]]*RANDBETWEEN(8,12)/10</f>
        <v>476.00999999999993</v>
      </c>
      <c r="W41" s="4">
        <f ca="1">ROUND(_Google_ads[[#This Row],[conversions]]*RANDBETWEEN(8,12)/10,0)</f>
        <v>23</v>
      </c>
      <c r="X41" s="4">
        <f ca="1">ROUND(_Google_ads[[#This Row],[conversion_value]]*RANDBETWEEN(8,12)/10,0)</f>
        <v>840</v>
      </c>
      <c r="Y41" s="4">
        <f ca="1">_Google_ads[[#This Row],[ctr]]*RANDBETWEEN(8,12)/10</f>
        <v>1.6E-2</v>
      </c>
      <c r="Z41" s="4">
        <f ca="1">_Google_ads[[#This Row],[avg_cpc]]*RANDBETWEEN(8,12)/10</f>
        <v>0.64</v>
      </c>
      <c r="AA41" s="4">
        <f ca="1">ROUND(_Google_ads[[#This Row],[quality_score]]*RANDBETWEEN(8,12)/10,0)</f>
        <v>7</v>
      </c>
      <c r="AB41" s="4">
        <f ca="1">_Google_ads[[#This Row],[search_impression_share]]*RANDBETWEEN(8,12)/10</f>
        <v>0.51600000000000001</v>
      </c>
      <c r="AD41" s="3">
        <f t="shared" ca="1" si="7"/>
        <v>45196</v>
      </c>
      <c r="AE41" s="4" t="s">
        <v>104</v>
      </c>
      <c r="AF41" s="4" t="s">
        <v>105</v>
      </c>
      <c r="AG41" s="4" t="s">
        <v>106</v>
      </c>
      <c r="AH41" s="4" t="s">
        <v>107</v>
      </c>
      <c r="AI41" s="4">
        <f ca="1">ROUND(T_Tiktok_ads[[#This Row],[impressions]]*RANDBETWEEN(8,12)/10,0)</f>
        <v>107654</v>
      </c>
      <c r="AJ41" s="4">
        <f ca="1">ROUND(T_Tiktok_ads[[#This Row],[clicks]]*RANDBETWEEN(8,12)/10,0)</f>
        <v>2824</v>
      </c>
      <c r="AK41" s="4">
        <v>712.3</v>
      </c>
      <c r="AL41" s="4">
        <f ca="1">ROUND(T_Tiktok_ads[[#This Row],[conversions]]*RANDBETWEEN(8,12)/10,0)</f>
        <v>64</v>
      </c>
      <c r="AM41" s="4">
        <f ca="1">ROUND(T_Tiktok_ads[[#This Row],[video_views]]*RANDBETWEEN(8,12)/10,0)</f>
        <v>86110</v>
      </c>
      <c r="AN41" s="4">
        <f ca="1">ROUND(T_Tiktok_ads[[#This Row],[video_watch_25]]*RANDBETWEEN(8,12)/10,0)</f>
        <v>64111</v>
      </c>
      <c r="AO41" s="4">
        <f ca="1">ROUND(T_Tiktok_ads[[#This Row],[video_watch_50]]*RANDBETWEEN(8,12)/10,0)</f>
        <v>38587</v>
      </c>
      <c r="AP41" s="4">
        <f ca="1">ROUND(T_Tiktok_ads[[#This Row],[video_watch_75]]*RANDBETWEEN(8,12)/10,0)</f>
        <v>36234</v>
      </c>
      <c r="AQ41" s="4">
        <f ca="1">ROUND(T_Tiktok_ads[[#This Row],[video_watch_100]]*RANDBETWEEN(8,12)/10,0)</f>
        <v>29480</v>
      </c>
      <c r="AR41" s="4">
        <f ca="1">ROUND(T_Tiktok_ads[[#This Row],[likes]]*RANDBETWEEN(8,12)/10,0)</f>
        <v>3831</v>
      </c>
      <c r="AS41" s="4">
        <f ca="1">ROUND(T_Tiktok_ads[[#This Row],[shares]]*RANDBETWEEN(8,12)/10,0)</f>
        <v>1480</v>
      </c>
      <c r="AT41" s="4">
        <f ca="1">ROUND(T_Tiktok_ads[[#This Row],[comments]]*RANDBETWEEN(8,12)/10,0)</f>
        <v>196</v>
      </c>
      <c r="AV41" s="5">
        <f t="shared" ca="1" si="8"/>
        <v>45190</v>
      </c>
      <c r="AW41">
        <f t="shared" ca="1" si="4"/>
        <v>8</v>
      </c>
      <c r="AX41">
        <f ca="1">ROUND(T_Facebook_Ads115963677175798387[[#This Row],[impressions]]*RANDBETWEEN(8,12)/10,0)</f>
        <v>7190</v>
      </c>
      <c r="AY41">
        <f ca="1">ROUND(T_Facebook_Ads115963677175798387[[#This Row],[clicks]]*RANDBETWEEN(8,12)/10,0)</f>
        <v>471</v>
      </c>
      <c r="AZ41">
        <f ca="1">T_Facebook_Ads115963677175798387[[#This Row],[spend]]*RANDBETWEEN(8,12)/10</f>
        <v>174.76799999999997</v>
      </c>
      <c r="BA41">
        <f ca="1">ROUND(T_Facebook_Ads115963677175798387[[#This Row],[conversions]]*RANDBETWEEN(8,12)/10,0)</f>
        <v>23</v>
      </c>
      <c r="BB41">
        <f ca="1">ROUND(T_Facebook_Ads115963677175798387[[#This Row],[video_views]]*RANDBETWEEN(8,12)/10,0)</f>
        <v>1483</v>
      </c>
    </row>
    <row r="42" spans="1:54" ht="15.75" thickBot="1" x14ac:dyDescent="0.3">
      <c r="A42" s="3">
        <f t="shared" ca="1" si="5"/>
        <v>45198</v>
      </c>
      <c r="B42" s="4" t="s">
        <v>60</v>
      </c>
      <c r="C42" s="4" t="s">
        <v>61</v>
      </c>
      <c r="D42" s="4" t="s">
        <v>62</v>
      </c>
      <c r="E42" s="4" t="s">
        <v>63</v>
      </c>
      <c r="F42" s="4">
        <f ca="1">ROUND(T_Facebook_Ads[[#This Row],[impressions]]*RANDBETWEEN(8,12)/10,0)</f>
        <v>30110</v>
      </c>
      <c r="G42" s="4">
        <v>1203</v>
      </c>
      <c r="H42" s="4">
        <f ca="1">T_Facebook_Ads[[#This Row],[spend]]*RANDBETWEEN(8,12)/10</f>
        <v>148.24</v>
      </c>
      <c r="I42" s="4">
        <f ca="1">ROUND(T_Facebook_Ads[[#This Row],[conversions]]*RANDBETWEEN(8,12)/10,0)</f>
        <v>28</v>
      </c>
      <c r="J42" s="4">
        <f ca="1">ROUND(T_Facebook_Ads[[#This Row],[video_views]]*RANDBETWEEN(8,12)/10,0)</f>
        <v>5081</v>
      </c>
      <c r="K42" s="4">
        <f ca="1">T_Facebook_Ads[[#This Row],[engagement_rate]]*RANDBETWEEN(8,12)/10</f>
        <v>3.5999999999999997E-2</v>
      </c>
      <c r="L42" s="4">
        <f ca="1">ROUND(T_Facebook_Ads[[#This Row],[reach]]*RANDBETWEEN(8,12)/10,0)</f>
        <v>22312</v>
      </c>
      <c r="M42" s="4">
        <f ca="1">T_Facebook_Ads[[#This Row],[frequency]]*RANDBETWEEN(8,12)/10</f>
        <v>1.3199999999999998</v>
      </c>
      <c r="O42" s="3">
        <f t="shared" ca="1" si="6"/>
        <v>45182</v>
      </c>
      <c r="P42" s="4" t="s">
        <v>84</v>
      </c>
      <c r="Q42" s="4" t="s">
        <v>85</v>
      </c>
      <c r="R42" s="4" t="s">
        <v>86</v>
      </c>
      <c r="S42" s="4" t="s">
        <v>87</v>
      </c>
      <c r="T42" s="4">
        <f ca="1">ROUND(_Google_ads[[#This Row],[impressions]]*RANDBETWEEN(8,12)/10,0)</f>
        <v>50765</v>
      </c>
      <c r="U42" s="4">
        <f ca="1">ROUND(_Google_ads[[#This Row],[clicks]]*RANDBETWEEN(8,12)/10,0)</f>
        <v>2507</v>
      </c>
      <c r="V42" s="4">
        <f ca="1">_Google_ads[[#This Row],[cost]]*RANDBETWEEN(8,12)/10</f>
        <v>420.86</v>
      </c>
      <c r="W42" s="4">
        <f ca="1">ROUND(_Google_ads[[#This Row],[conversions]]*RANDBETWEEN(8,12)/10,0)</f>
        <v>72</v>
      </c>
      <c r="X42" s="4">
        <f ca="1">ROUND(_Google_ads[[#This Row],[conversion_value]]*RANDBETWEEN(8,12)/10,0)</f>
        <v>3000</v>
      </c>
      <c r="Y42" s="4">
        <f ca="1">_Google_ads[[#This Row],[ctr]]*RANDBETWEEN(8,12)/10</f>
        <v>3.2899999999999999E-2</v>
      </c>
      <c r="Z42" s="4">
        <f ca="1">_Google_ads[[#This Row],[avg_cpc]]*RANDBETWEEN(8,12)/10</f>
        <v>0.14399999999999999</v>
      </c>
      <c r="AA42" s="4">
        <f ca="1">ROUND(_Google_ads[[#This Row],[quality_score]]*RANDBETWEEN(8,12)/10,0)</f>
        <v>8</v>
      </c>
      <c r="AB42" s="4">
        <f ca="1">_Google_ads[[#This Row],[search_impression_share]]*RANDBETWEEN(8,12)/10</f>
        <v>0.58500000000000008</v>
      </c>
      <c r="AD42" s="3">
        <f t="shared" ca="1" si="7"/>
        <v>45183</v>
      </c>
      <c r="AE42" s="4" t="s">
        <v>108</v>
      </c>
      <c r="AF42" s="4" t="s">
        <v>109</v>
      </c>
      <c r="AG42" s="4" t="s">
        <v>110</v>
      </c>
      <c r="AH42" s="4" t="s">
        <v>111</v>
      </c>
      <c r="AI42" s="4">
        <f ca="1">ROUND(T_Tiktok_ads[[#This Row],[impressions]]*RANDBETWEEN(8,12)/10,0)</f>
        <v>201234</v>
      </c>
      <c r="AJ42" s="4">
        <f ca="1">ROUND(T_Tiktok_ads[[#This Row],[clicks]]*RANDBETWEEN(8,12)/10,0)</f>
        <v>3435</v>
      </c>
      <c r="AK42" s="4">
        <v>374.5</v>
      </c>
      <c r="AL42" s="4">
        <f ca="1">ROUND(T_Tiktok_ads[[#This Row],[conversions]]*RANDBETWEEN(8,12)/10,0)</f>
        <v>31</v>
      </c>
      <c r="AM42" s="4">
        <f ca="1">ROUND(T_Tiktok_ads[[#This Row],[video_views]]*RANDBETWEEN(8,12)/10,0)</f>
        <v>157890</v>
      </c>
      <c r="AN42" s="4">
        <f ca="1">ROUND(T_Tiktok_ads[[#This Row],[video_watch_25]]*RANDBETWEEN(8,12)/10,0)</f>
        <v>145481</v>
      </c>
      <c r="AO42" s="4">
        <f ca="1">ROUND(T_Tiktok_ads[[#This Row],[video_watch_50]]*RANDBETWEEN(8,12)/10,0)</f>
        <v>115481</v>
      </c>
      <c r="AP42" s="4">
        <f ca="1">ROUND(T_Tiktok_ads[[#This Row],[video_watch_75]]*RANDBETWEEN(8,12)/10,0)</f>
        <v>55111</v>
      </c>
      <c r="AQ42" s="4">
        <f ca="1">ROUND(T_Tiktok_ads[[#This Row],[video_watch_100]]*RANDBETWEEN(8,12)/10,0)</f>
        <v>33710</v>
      </c>
      <c r="AR42" s="4">
        <f ca="1">ROUND(T_Tiktok_ads[[#This Row],[likes]]*RANDBETWEEN(8,12)/10,0)</f>
        <v>5876</v>
      </c>
      <c r="AS42" s="4">
        <f ca="1">ROUND(T_Tiktok_ads[[#This Row],[shares]]*RANDBETWEEN(8,12)/10,0)</f>
        <v>2237</v>
      </c>
      <c r="AT42" s="4">
        <f ca="1">ROUND(T_Tiktok_ads[[#This Row],[comments]]*RANDBETWEEN(8,12)/10,0)</f>
        <v>440</v>
      </c>
      <c r="AV42" s="5">
        <f t="shared" ca="1" si="8"/>
        <v>45188</v>
      </c>
      <c r="AW42">
        <f t="shared" ca="1" si="4"/>
        <v>6</v>
      </c>
      <c r="AX42">
        <f ca="1">ROUND(T_Facebook_Ads115963677175798387[[#This Row],[impressions]]*RANDBETWEEN(8,12)/10,0)</f>
        <v>27099</v>
      </c>
      <c r="AY42">
        <f ca="1">ROUND(T_Facebook_Ads115963677175798387[[#This Row],[clicks]]*RANDBETWEEN(8,12)/10,0)</f>
        <v>1323</v>
      </c>
      <c r="AZ42">
        <f ca="1">T_Facebook_Ads115963677175798387[[#This Row],[spend]]*RANDBETWEEN(8,12)/10</f>
        <v>148.24</v>
      </c>
      <c r="BA42">
        <f ca="1">ROUND(T_Facebook_Ads115963677175798387[[#This Row],[conversions]]*RANDBETWEEN(8,12)/10,0)</f>
        <v>31</v>
      </c>
      <c r="BB42">
        <f ca="1">ROUND(T_Facebook_Ads115963677175798387[[#This Row],[video_views]]*RANDBETWEEN(8,12)/10,0)</f>
        <v>6097</v>
      </c>
    </row>
    <row r="43" spans="1:54" ht="15.75" thickBot="1" x14ac:dyDescent="0.3">
      <c r="A43" s="3">
        <f t="shared" ca="1" si="5"/>
        <v>45174</v>
      </c>
      <c r="B43" s="4" t="s">
        <v>64</v>
      </c>
      <c r="C43" s="4" t="s">
        <v>65</v>
      </c>
      <c r="D43" s="4" t="s">
        <v>66</v>
      </c>
      <c r="E43" s="4" t="s">
        <v>67</v>
      </c>
      <c r="F43" s="4">
        <f ca="1">ROUND(T_Facebook_Ads[[#This Row],[impressions]]*RANDBETWEEN(8,12)/10,0)</f>
        <v>71024</v>
      </c>
      <c r="G43" s="4">
        <v>238</v>
      </c>
      <c r="H43" s="4">
        <f ca="1">T_Facebook_Ads[[#This Row],[spend]]*RANDBETWEEN(8,12)/10</f>
        <v>66.72</v>
      </c>
      <c r="I43" s="4">
        <f ca="1">ROUND(T_Facebook_Ads[[#This Row],[conversions]]*RANDBETWEEN(8,12)/10,0)</f>
        <v>5</v>
      </c>
      <c r="J43" s="4">
        <f ca="1">ROUND(T_Facebook_Ads[[#This Row],[video_views]]*RANDBETWEEN(8,12)/10,0)</f>
        <v>38911</v>
      </c>
      <c r="K43" s="4">
        <f ca="1">T_Facebook_Ads[[#This Row],[engagement_rate]]*RANDBETWEEN(8,12)/10</f>
        <v>4.4400000000000004E-3</v>
      </c>
      <c r="L43" s="4">
        <f ca="1">ROUND(T_Facebook_Ads[[#This Row],[reach]]*RANDBETWEEN(8,12)/10,0)</f>
        <v>47601</v>
      </c>
      <c r="M43" s="4">
        <f ca="1">T_Facebook_Ads[[#This Row],[frequency]]*RANDBETWEEN(8,12)/10</f>
        <v>1.0980000000000001</v>
      </c>
      <c r="O43" s="3">
        <f t="shared" ca="1" si="6"/>
        <v>45191</v>
      </c>
      <c r="P43" s="4" t="s">
        <v>88</v>
      </c>
      <c r="Q43" s="4" t="s">
        <v>89</v>
      </c>
      <c r="R43" s="4" t="s">
        <v>90</v>
      </c>
      <c r="S43" s="4" t="s">
        <v>59</v>
      </c>
      <c r="T43" s="4">
        <f ca="1">ROUND(_Google_ads[[#This Row],[impressions]]*RANDBETWEEN(8,12)/10,0)</f>
        <v>119234</v>
      </c>
      <c r="U43" s="4">
        <f ca="1">ROUND(_Google_ads[[#This Row],[clicks]]*RANDBETWEEN(8,12)/10,0)</f>
        <v>521</v>
      </c>
      <c r="V43" s="4">
        <f ca="1">_Google_ads[[#This Row],[cost]]*RANDBETWEEN(8,12)/10</f>
        <v>116.8</v>
      </c>
      <c r="W43" s="4">
        <f ca="1">ROUND(_Google_ads[[#This Row],[conversions]]*RANDBETWEEN(8,12)/10,0)</f>
        <v>13</v>
      </c>
      <c r="X43" s="4">
        <f ca="1">ROUND(_Google_ads[[#This Row],[conversion_value]]*RANDBETWEEN(8,12)/10,0)</f>
        <v>600</v>
      </c>
      <c r="Y43" s="4">
        <f ca="1">_Google_ads[[#This Row],[ctr]]*RANDBETWEEN(8,12)/10</f>
        <v>3.2399999999999998E-3</v>
      </c>
      <c r="Z43" s="4">
        <f ca="1">_Google_ads[[#This Row],[avg_cpc]]*RANDBETWEEN(8,12)/10</f>
        <v>0.29700000000000004</v>
      </c>
      <c r="AA43" s="4">
        <f ca="1">ROUND(_Google_ads[[#This Row],[quality_score]]*RANDBETWEEN(8,12)/10,0)</f>
        <v>7</v>
      </c>
      <c r="AB43" s="4">
        <f ca="1">_Google_ads[[#This Row],[search_impression_share]]*RANDBETWEEN(8,12)/10</f>
        <v>0.36300000000000004</v>
      </c>
      <c r="AD43" s="3">
        <f t="shared" ca="1" si="7"/>
        <v>45195</v>
      </c>
      <c r="AE43" s="4" t="s">
        <v>112</v>
      </c>
      <c r="AF43" s="4" t="s">
        <v>113</v>
      </c>
      <c r="AG43" s="4" t="s">
        <v>114</v>
      </c>
      <c r="AH43" s="4" t="s">
        <v>115</v>
      </c>
      <c r="AI43" s="4">
        <f ca="1">ROUND(T_Tiktok_ads[[#This Row],[impressions]]*RANDBETWEEN(8,12)/10,0)</f>
        <v>441468</v>
      </c>
      <c r="AJ43" s="4">
        <f ca="1">ROUND(T_Tiktok_ads[[#This Row],[clicks]]*RANDBETWEEN(8,12)/10,0)</f>
        <v>5411</v>
      </c>
      <c r="AK43" s="4">
        <v>923.4</v>
      </c>
      <c r="AL43" s="4">
        <f ca="1">ROUND(T_Tiktok_ads[[#This Row],[conversions]]*RANDBETWEEN(8,12)/10,0)</f>
        <v>94</v>
      </c>
      <c r="AM43" s="4">
        <f ca="1">ROUND(T_Tiktok_ads[[#This Row],[video_views]]*RANDBETWEEN(8,12)/10,0)</f>
        <v>361481</v>
      </c>
      <c r="AN43" s="4">
        <f ca="1">ROUND(T_Tiktok_ads[[#This Row],[video_watch_25]]*RANDBETWEEN(8,12)/10,0)</f>
        <v>196542</v>
      </c>
      <c r="AO43" s="4">
        <f ca="1">ROUND(T_Tiktok_ads[[#This Row],[video_watch_50]]*RANDBETWEEN(8,12)/10,0)</f>
        <v>157431</v>
      </c>
      <c r="AP43" s="4">
        <f ca="1">ROUND(T_Tiktok_ads[[#This Row],[video_watch_75]]*RANDBETWEEN(8,12)/10,0)</f>
        <v>140234</v>
      </c>
      <c r="AQ43" s="4">
        <f ca="1">ROUND(T_Tiktok_ads[[#This Row],[video_watch_100]]*RANDBETWEEN(8,12)/10,0)</f>
        <v>112147</v>
      </c>
      <c r="AR43" s="4">
        <f ca="1">ROUND(T_Tiktok_ads[[#This Row],[likes]]*RANDBETWEEN(8,12)/10,0)</f>
        <v>19481</v>
      </c>
      <c r="AS43" s="4">
        <f ca="1">ROUND(T_Tiktok_ads[[#This Row],[shares]]*RANDBETWEEN(8,12)/10,0)</f>
        <v>5268</v>
      </c>
      <c r="AT43" s="4">
        <f ca="1">ROUND(T_Tiktok_ads[[#This Row],[comments]]*RANDBETWEEN(8,12)/10,0)</f>
        <v>1031</v>
      </c>
      <c r="AV43" s="5">
        <f t="shared" ca="1" si="8"/>
        <v>45179</v>
      </c>
      <c r="AW43">
        <f t="shared" ca="1" si="4"/>
        <v>6</v>
      </c>
      <c r="AX43">
        <f ca="1">ROUND(T_Facebook_Ads115963677175798387[[#This Row],[impressions]]*RANDBETWEEN(8,12)/10,0)</f>
        <v>78126</v>
      </c>
      <c r="AY43">
        <f ca="1">ROUND(T_Facebook_Ads115963677175798387[[#This Row],[clicks]]*RANDBETWEEN(8,12)/10,0)</f>
        <v>262</v>
      </c>
      <c r="AZ43">
        <f ca="1">T_Facebook_Ads115963677175798387[[#This Row],[spend]]*RANDBETWEEN(8,12)/10</f>
        <v>73.391999999999996</v>
      </c>
      <c r="BA43">
        <f ca="1">ROUND(T_Facebook_Ads115963677175798387[[#This Row],[conversions]]*RANDBETWEEN(8,12)/10,0)</f>
        <v>6</v>
      </c>
      <c r="BB43">
        <f ca="1">ROUND(T_Facebook_Ads115963677175798387[[#This Row],[video_views]]*RANDBETWEEN(8,12)/10,0)</f>
        <v>35020</v>
      </c>
    </row>
    <row r="44" spans="1:54" ht="15.75" thickBot="1" x14ac:dyDescent="0.3">
      <c r="A44" s="3">
        <f t="shared" ca="1" si="5"/>
        <v>45178</v>
      </c>
      <c r="B44" s="4" t="s">
        <v>52</v>
      </c>
      <c r="C44" s="4" t="s">
        <v>53</v>
      </c>
      <c r="D44" s="4" t="s">
        <v>54</v>
      </c>
      <c r="E44" s="4" t="s">
        <v>55</v>
      </c>
      <c r="F44" s="4">
        <f ca="1">ROUND(T_Facebook_Ads[[#This Row],[impressions]]*RANDBETWEEN(8,12)/10,0)</f>
        <v>44135</v>
      </c>
      <c r="G44" s="4">
        <v>798</v>
      </c>
      <c r="H44" s="4">
        <f ca="1">T_Facebook_Ads[[#This Row],[spend]]*RANDBETWEEN(8,12)/10</f>
        <v>114.7</v>
      </c>
      <c r="I44" s="4">
        <f ca="1">ROUND(T_Facebook_Ads[[#This Row],[conversions]]*RANDBETWEEN(8,12)/10,0)</f>
        <v>11</v>
      </c>
      <c r="J44" s="4">
        <f ca="1">ROUND(T_Facebook_Ads[[#This Row],[video_views]]*RANDBETWEEN(8,12)/10,0)</f>
        <v>7345</v>
      </c>
      <c r="K44" s="4">
        <f ca="1">T_Facebook_Ads[[#This Row],[engagement_rate]]*RANDBETWEEN(8,12)/10</f>
        <v>2.189E-2</v>
      </c>
      <c r="L44" s="4">
        <f ca="1">ROUND(T_Facebook_Ads[[#This Row],[reach]]*RANDBETWEEN(8,12)/10,0)</f>
        <v>40147</v>
      </c>
      <c r="M44" s="4">
        <f ca="1">T_Facebook_Ads[[#This Row],[frequency]]*RANDBETWEEN(8,12)/10</f>
        <v>1.3199999999999998</v>
      </c>
      <c r="O44" s="3">
        <f t="shared" ca="1" si="6"/>
        <v>45186</v>
      </c>
      <c r="P44" s="4" t="s">
        <v>76</v>
      </c>
      <c r="Q44" s="4" t="s">
        <v>77</v>
      </c>
      <c r="R44" s="4" t="s">
        <v>78</v>
      </c>
      <c r="S44" s="4" t="s">
        <v>79</v>
      </c>
      <c r="T44" s="4">
        <f ca="1">ROUND(_Google_ads[[#This Row],[impressions]]*RANDBETWEEN(8,12)/10,0)</f>
        <v>23357</v>
      </c>
      <c r="U44" s="4">
        <f ca="1">ROUND(_Google_ads[[#This Row],[clicks]]*RANDBETWEEN(8,12)/10,0)</f>
        <v>980</v>
      </c>
      <c r="V44" s="4">
        <f ca="1">_Google_ads[[#This Row],[cost]]*RANDBETWEEN(8,12)/10</f>
        <v>249.36000000000004</v>
      </c>
      <c r="W44" s="4">
        <f ca="1">ROUND(_Google_ads[[#This Row],[conversions]]*RANDBETWEEN(8,12)/10,0)</f>
        <v>37</v>
      </c>
      <c r="X44" s="4">
        <f ca="1">ROUND(_Google_ads[[#This Row],[conversion_value]]*RANDBETWEEN(8,12)/10,0)</f>
        <v>2050</v>
      </c>
      <c r="Y44" s="4">
        <f ca="1">_Google_ads[[#This Row],[ctr]]*RANDBETWEEN(8,12)/10</f>
        <v>5.1299999999999998E-2</v>
      </c>
      <c r="Z44" s="4">
        <f ca="1">_Google_ads[[#This Row],[avg_cpc]]*RANDBETWEEN(8,12)/10</f>
        <v>0.22800000000000004</v>
      </c>
      <c r="AA44" s="4">
        <f ca="1">ROUND(_Google_ads[[#This Row],[quality_score]]*RANDBETWEEN(8,12)/10,0)</f>
        <v>11</v>
      </c>
      <c r="AB44" s="4">
        <f ca="1">_Google_ads[[#This Row],[search_impression_share]]*RANDBETWEEN(8,12)/10</f>
        <v>0.80099999999999993</v>
      </c>
      <c r="AD44" s="3">
        <f t="shared" ca="1" si="7"/>
        <v>45173</v>
      </c>
      <c r="AE44" s="4" t="s">
        <v>100</v>
      </c>
      <c r="AF44" s="4" t="s">
        <v>101</v>
      </c>
      <c r="AG44" s="4" t="s">
        <v>102</v>
      </c>
      <c r="AH44" s="4" t="s">
        <v>103</v>
      </c>
      <c r="AI44" s="4">
        <f ca="1">ROUND(T_Tiktok_ads[[#This Row],[impressions]]*RANDBETWEEN(8,12)/10,0)</f>
        <v>268147</v>
      </c>
      <c r="AJ44" s="4">
        <f ca="1">ROUND(T_Tiktok_ads[[#This Row],[clicks]]*RANDBETWEEN(8,12)/10,0)</f>
        <v>2911</v>
      </c>
      <c r="AK44" s="4">
        <v>434.5</v>
      </c>
      <c r="AL44" s="4">
        <f ca="1">ROUND(T_Tiktok_ads[[#This Row],[conversions]]*RANDBETWEEN(8,12)/10,0)</f>
        <v>35</v>
      </c>
      <c r="AM44" s="4">
        <f ca="1">ROUND(T_Tiktok_ads[[#This Row],[video_views]]*RANDBETWEEN(8,12)/10,0)</f>
        <v>151387</v>
      </c>
      <c r="AN44" s="4">
        <f ca="1">ROUND(T_Tiktok_ads[[#This Row],[video_watch_25]]*RANDBETWEEN(8,12)/10,0)</f>
        <v>163057</v>
      </c>
      <c r="AO44" s="4">
        <f ca="1">ROUND(T_Tiktok_ads[[#This Row],[video_watch_50]]*RANDBETWEEN(8,12)/10,0)</f>
        <v>93234</v>
      </c>
      <c r="AP44" s="4">
        <f ca="1">ROUND(T_Tiktok_ads[[#This Row],[video_watch_75]]*RANDBETWEEN(8,12)/10,0)</f>
        <v>50765</v>
      </c>
      <c r="AQ44" s="4">
        <f ca="1">ROUND(T_Tiktok_ads[[#This Row],[video_watch_100]]*RANDBETWEEN(8,12)/10,0)</f>
        <v>43234</v>
      </c>
      <c r="AR44" s="4">
        <f ca="1">ROUND(T_Tiktok_ads[[#This Row],[likes]]*RANDBETWEEN(8,12)/10,0)</f>
        <v>8567</v>
      </c>
      <c r="AS44" s="4">
        <f ca="1">ROUND(T_Tiktok_ads[[#This Row],[shares]]*RANDBETWEEN(8,12)/10,0)</f>
        <v>2234</v>
      </c>
      <c r="AT44" s="4">
        <f ca="1">ROUND(T_Tiktok_ads[[#This Row],[comments]]*RANDBETWEEN(8,12)/10,0)</f>
        <v>427</v>
      </c>
      <c r="AV44" s="5">
        <f t="shared" ca="1" si="8"/>
        <v>45174</v>
      </c>
      <c r="AW44">
        <f t="shared" ca="1" si="4"/>
        <v>5</v>
      </c>
      <c r="AX44">
        <f ca="1">ROUND(T_Facebook_Ads115963677175798387[[#This Row],[impressions]]*RANDBETWEEN(8,12)/10,0)</f>
        <v>35308</v>
      </c>
      <c r="AY44">
        <f ca="1">ROUND(T_Facebook_Ads115963677175798387[[#This Row],[clicks]]*RANDBETWEEN(8,12)/10,0)</f>
        <v>718</v>
      </c>
      <c r="AZ44">
        <f ca="1">T_Facebook_Ads115963677175798387[[#This Row],[spend]]*RANDBETWEEN(8,12)/10</f>
        <v>91.76</v>
      </c>
      <c r="BA44">
        <f ca="1">ROUND(T_Facebook_Ads115963677175798387[[#This Row],[conversions]]*RANDBETWEEN(8,12)/10,0)</f>
        <v>9</v>
      </c>
      <c r="BB44">
        <f ca="1">ROUND(T_Facebook_Ads115963677175798387[[#This Row],[video_views]]*RANDBETWEEN(8,12)/10,0)</f>
        <v>6611</v>
      </c>
    </row>
    <row r="45" spans="1:54" ht="15.75" thickBot="1" x14ac:dyDescent="0.3">
      <c r="A45" s="3">
        <f t="shared" ca="1" si="5"/>
        <v>45192</v>
      </c>
      <c r="B45" s="4" t="s">
        <v>56</v>
      </c>
      <c r="C45" s="4" t="s">
        <v>57</v>
      </c>
      <c r="D45" s="4" t="s">
        <v>58</v>
      </c>
      <c r="E45" s="4" t="s">
        <v>59</v>
      </c>
      <c r="F45" s="4">
        <f ca="1">ROUND(T_Facebook_Ads[[#This Row],[impressions]]*RANDBETWEEN(8,12)/10,0)</f>
        <v>11624</v>
      </c>
      <c r="G45" s="4">
        <v>489</v>
      </c>
      <c r="H45" s="4">
        <f ca="1">T_Facebook_Ads[[#This Row],[spend]]*RANDBETWEEN(8,12)/10</f>
        <v>204.49</v>
      </c>
      <c r="I45" s="4">
        <f ca="1">ROUND(T_Facebook_Ads[[#This Row],[conversions]]*RANDBETWEEN(8,12)/10,0)</f>
        <v>29</v>
      </c>
      <c r="J45" s="4">
        <f ca="1">ROUND(T_Facebook_Ads[[#This Row],[video_views]]*RANDBETWEEN(8,12)/10,0)</f>
        <v>798</v>
      </c>
      <c r="K45" s="4">
        <f ca="1">T_Facebook_Ads[[#This Row],[engagement_rate]]*RANDBETWEEN(8,12)/10</f>
        <v>4.1669999999999999E-2</v>
      </c>
      <c r="L45" s="4">
        <f ca="1">ROUND(T_Facebook_Ads[[#This Row],[reach]]*RANDBETWEEN(8,12)/10,0)</f>
        <v>8234</v>
      </c>
      <c r="M45" s="4">
        <f ca="1">T_Facebook_Ads[[#This Row],[frequency]]*RANDBETWEEN(8,12)/10</f>
        <v>1.1519999999999999</v>
      </c>
      <c r="O45" s="3">
        <f t="shared" ca="1" si="6"/>
        <v>45185</v>
      </c>
      <c r="P45" s="4" t="s">
        <v>80</v>
      </c>
      <c r="Q45" s="4" t="s">
        <v>81</v>
      </c>
      <c r="R45" s="4" t="s">
        <v>82</v>
      </c>
      <c r="S45" s="4" t="s">
        <v>83</v>
      </c>
      <c r="T45" s="4">
        <f ca="1">ROUND(_Google_ads[[#This Row],[impressions]]*RANDBETWEEN(8,12)/10,0)</f>
        <v>35610</v>
      </c>
      <c r="U45" s="4">
        <f ca="1">ROUND(_Google_ads[[#This Row],[clicks]]*RANDBETWEEN(8,12)/10,0)</f>
        <v>631</v>
      </c>
      <c r="V45" s="4">
        <f ca="1">_Google_ads[[#This Row],[cost]]*RANDBETWEEN(8,12)/10</f>
        <v>558.14</v>
      </c>
      <c r="W45" s="4">
        <f ca="1">ROUND(_Google_ads[[#This Row],[conversions]]*RANDBETWEEN(8,12)/10,0)</f>
        <v>23</v>
      </c>
      <c r="X45" s="4">
        <f ca="1">ROUND(_Google_ads[[#This Row],[conversion_value]]*RANDBETWEEN(8,12)/10,0)</f>
        <v>1140</v>
      </c>
      <c r="Y45" s="4">
        <f ca="1">_Google_ads[[#This Row],[ctr]]*RANDBETWEEN(8,12)/10</f>
        <v>1.592E-2</v>
      </c>
      <c r="Z45" s="4">
        <f ca="1">_Google_ads[[#This Row],[avg_cpc]]*RANDBETWEEN(8,12)/10</f>
        <v>0.64</v>
      </c>
      <c r="AA45" s="4">
        <f ca="1">ROUND(_Google_ads[[#This Row],[quality_score]]*RANDBETWEEN(8,12)/10,0)</f>
        <v>7</v>
      </c>
      <c r="AB45" s="4">
        <f ca="1">_Google_ads[[#This Row],[search_impression_share]]*RANDBETWEEN(8,12)/10</f>
        <v>0.33599999999999997</v>
      </c>
      <c r="AD45" s="3">
        <f t="shared" ca="1" si="7"/>
        <v>45175</v>
      </c>
      <c r="AE45" s="4" t="s">
        <v>104</v>
      </c>
      <c r="AF45" s="4" t="s">
        <v>105</v>
      </c>
      <c r="AG45" s="4" t="s">
        <v>106</v>
      </c>
      <c r="AH45" s="4" t="s">
        <v>107</v>
      </c>
      <c r="AI45" s="4">
        <f ca="1">ROUND(T_Tiktok_ads[[#This Row],[impressions]]*RANDBETWEEN(8,12)/10,0)</f>
        <v>141791</v>
      </c>
      <c r="AJ45" s="4">
        <f ca="1">ROUND(T_Tiktok_ads[[#This Row],[clicks]]*RANDBETWEEN(8,12)/10,0)</f>
        <v>1965</v>
      </c>
      <c r="AK45" s="4">
        <v>689.5</v>
      </c>
      <c r="AL45" s="4">
        <f ca="1">ROUND(T_Tiktok_ads[[#This Row],[conversions]]*RANDBETWEEN(8,12)/10,0)</f>
        <v>54</v>
      </c>
      <c r="AM45" s="4">
        <f ca="1">ROUND(T_Tiktok_ads[[#This Row],[video_views]]*RANDBETWEEN(8,12)/10,0)</f>
        <v>100357</v>
      </c>
      <c r="AN45" s="4">
        <f ca="1">ROUND(T_Tiktok_ads[[#This Row],[video_watch_25]]*RANDBETWEEN(8,12)/10,0)</f>
        <v>54587</v>
      </c>
      <c r="AO45" s="4">
        <f ca="1">ROUND(T_Tiktok_ads[[#This Row],[video_watch_50]]*RANDBETWEEN(8,12)/10,0)</f>
        <v>45789</v>
      </c>
      <c r="AP45" s="4">
        <f ca="1">ROUND(T_Tiktok_ads[[#This Row],[video_watch_75]]*RANDBETWEEN(8,12)/10,0)</f>
        <v>31110</v>
      </c>
      <c r="AQ45" s="4">
        <f ca="1">ROUND(T_Tiktok_ads[[#This Row],[video_watch_100]]*RANDBETWEEN(8,12)/10,0)</f>
        <v>28414</v>
      </c>
      <c r="AR45" s="4">
        <f ca="1">ROUND(T_Tiktok_ads[[#This Row],[likes]]*RANDBETWEEN(8,12)/10,0)</f>
        <v>5614</v>
      </c>
      <c r="AS45" s="4">
        <f ca="1">ROUND(T_Tiktok_ads[[#This Row],[shares]]*RANDBETWEEN(8,12)/10,0)</f>
        <v>1394</v>
      </c>
      <c r="AT45" s="4">
        <f ca="1">ROUND(T_Tiktok_ads[[#This Row],[comments]]*RANDBETWEEN(8,12)/10,0)</f>
        <v>190</v>
      </c>
      <c r="AV45" s="5">
        <f t="shared" ca="1" si="8"/>
        <v>45197</v>
      </c>
      <c r="AW45">
        <f t="shared" ca="1" si="4"/>
        <v>4</v>
      </c>
      <c r="AX45">
        <f ca="1">ROUND(T_Facebook_Ads115963677175798387[[#This Row],[impressions]]*RANDBETWEEN(8,12)/10,0)</f>
        <v>11624</v>
      </c>
      <c r="AY45">
        <f ca="1">ROUND(T_Facebook_Ads115963677175798387[[#This Row],[clicks]]*RANDBETWEEN(8,12)/10,0)</f>
        <v>587</v>
      </c>
      <c r="AZ45">
        <f ca="1">T_Facebook_Ads115963677175798387[[#This Row],[spend]]*RANDBETWEEN(8,12)/10</f>
        <v>204.49</v>
      </c>
      <c r="BA45">
        <f ca="1">ROUND(T_Facebook_Ads115963677175798387[[#This Row],[conversions]]*RANDBETWEEN(8,12)/10,0)</f>
        <v>32</v>
      </c>
      <c r="BB45">
        <f ca="1">ROUND(T_Facebook_Ads115963677175798387[[#This Row],[video_views]]*RANDBETWEEN(8,12)/10,0)</f>
        <v>958</v>
      </c>
    </row>
    <row r="46" spans="1:54" ht="15.75" thickBot="1" x14ac:dyDescent="0.3">
      <c r="A46" s="3">
        <f t="shared" ca="1" si="5"/>
        <v>45190</v>
      </c>
      <c r="B46" s="4" t="s">
        <v>60</v>
      </c>
      <c r="C46" s="4" t="s">
        <v>61</v>
      </c>
      <c r="D46" s="4" t="s">
        <v>62</v>
      </c>
      <c r="E46" s="4" t="s">
        <v>63</v>
      </c>
      <c r="F46" s="4">
        <f ca="1">ROUND(T_Facebook_Ads[[#This Row],[impressions]]*RANDBETWEEN(8,12)/10,0)</f>
        <v>34357</v>
      </c>
      <c r="G46" s="4">
        <v>1123</v>
      </c>
      <c r="H46" s="4">
        <f ca="1">T_Facebook_Ads[[#This Row],[spend]]*RANDBETWEEN(8,12)/10</f>
        <v>173.8</v>
      </c>
      <c r="I46" s="4">
        <f ca="1">ROUND(T_Facebook_Ads[[#This Row],[conversions]]*RANDBETWEEN(8,12)/10,0)</f>
        <v>23</v>
      </c>
      <c r="J46" s="4">
        <f ca="1">ROUND(T_Facebook_Ads[[#This Row],[video_views]]*RANDBETWEEN(8,12)/10,0)</f>
        <v>3890</v>
      </c>
      <c r="K46" s="4">
        <f ca="1">T_Facebook_Ads[[#This Row],[engagement_rate]]*RANDBETWEEN(8,12)/10</f>
        <v>4.3199999999999995E-2</v>
      </c>
      <c r="L46" s="4">
        <f ca="1">ROUND(T_Facebook_Ads[[#This Row],[reach]]*RANDBETWEEN(8,12)/10,0)</f>
        <v>28735</v>
      </c>
      <c r="M46" s="4">
        <f ca="1">T_Facebook_Ads[[#This Row],[frequency]]*RANDBETWEEN(8,12)/10</f>
        <v>1.44</v>
      </c>
      <c r="O46" s="3">
        <f t="shared" ca="1" si="6"/>
        <v>45196</v>
      </c>
      <c r="P46" s="4" t="s">
        <v>84</v>
      </c>
      <c r="Q46" s="4" t="s">
        <v>85</v>
      </c>
      <c r="R46" s="4" t="s">
        <v>86</v>
      </c>
      <c r="S46" s="4" t="s">
        <v>87</v>
      </c>
      <c r="T46" s="4">
        <f ca="1">ROUND(_Google_ads[[#This Row],[impressions]]*RANDBETWEEN(8,12)/10,0)</f>
        <v>68079</v>
      </c>
      <c r="U46" s="4">
        <f ca="1">ROUND(_Google_ads[[#This Row],[clicks]]*RANDBETWEEN(8,12)/10,0)</f>
        <v>2414</v>
      </c>
      <c r="V46" s="4">
        <f ca="1">_Google_ads[[#This Row],[cost]]*RANDBETWEEN(8,12)/10</f>
        <v>443.16</v>
      </c>
      <c r="W46" s="4">
        <f ca="1">ROUND(_Google_ads[[#This Row],[conversions]]*RANDBETWEEN(8,12)/10,0)</f>
        <v>64</v>
      </c>
      <c r="X46" s="4">
        <f ca="1">ROUND(_Google_ads[[#This Row],[conversion_value]]*RANDBETWEEN(8,12)/10,0)</f>
        <v>2610</v>
      </c>
      <c r="Y46" s="4">
        <f ca="1">_Google_ads[[#This Row],[ctr]]*RANDBETWEEN(8,12)/10</f>
        <v>2.9249999999999998E-2</v>
      </c>
      <c r="Z46" s="4">
        <f ca="1">_Google_ads[[#This Row],[avg_cpc]]*RANDBETWEEN(8,12)/10</f>
        <v>0.21600000000000003</v>
      </c>
      <c r="AA46" s="4">
        <f ca="1">ROUND(_Google_ads[[#This Row],[quality_score]]*RANDBETWEEN(8,12)/10,0)</f>
        <v>7</v>
      </c>
      <c r="AB46" s="4">
        <f ca="1">_Google_ads[[#This Row],[search_impression_share]]*RANDBETWEEN(8,12)/10</f>
        <v>0.57599999999999996</v>
      </c>
      <c r="AD46" s="3">
        <f t="shared" ca="1" si="7"/>
        <v>45192</v>
      </c>
      <c r="AE46" s="4" t="s">
        <v>108</v>
      </c>
      <c r="AF46" s="4" t="s">
        <v>109</v>
      </c>
      <c r="AG46" s="4" t="s">
        <v>110</v>
      </c>
      <c r="AH46" s="4" t="s">
        <v>111</v>
      </c>
      <c r="AI46" s="4">
        <f ca="1">ROUND(T_Tiktok_ads[[#This Row],[impressions]]*RANDBETWEEN(8,12)/10,0)</f>
        <v>176110</v>
      </c>
      <c r="AJ46" s="4">
        <f ca="1">ROUND(T_Tiktok_ads[[#This Row],[clicks]]*RANDBETWEEN(8,12)/10,0)</f>
        <v>2391</v>
      </c>
      <c r="AK46" s="4">
        <v>361.2</v>
      </c>
      <c r="AL46" s="4">
        <f ca="1">ROUND(T_Tiktok_ads[[#This Row],[conversions]]*RANDBETWEEN(8,12)/10,0)</f>
        <v>25</v>
      </c>
      <c r="AM46" s="4">
        <f ca="1">ROUND(T_Tiktok_ads[[#This Row],[video_views]]*RANDBETWEEN(8,12)/10,0)</f>
        <v>182814</v>
      </c>
      <c r="AN46" s="4">
        <f ca="1">ROUND(T_Tiktok_ads[[#This Row],[video_watch_25]]*RANDBETWEEN(8,12)/10,0)</f>
        <v>105511</v>
      </c>
      <c r="AO46" s="4">
        <f ca="1">ROUND(T_Tiktok_ads[[#This Row],[video_watch_50]]*RANDBETWEEN(8,12)/10,0)</f>
        <v>83911</v>
      </c>
      <c r="AP46" s="4">
        <f ca="1">ROUND(T_Tiktok_ads[[#This Row],[video_watch_75]]*RANDBETWEEN(8,12)/10,0)</f>
        <v>71081</v>
      </c>
      <c r="AQ46" s="4">
        <f ca="1">ROUND(T_Tiktok_ads[[#This Row],[video_watch_100]]*RANDBETWEEN(8,12)/10,0)</f>
        <v>28987</v>
      </c>
      <c r="AR46" s="4">
        <f ca="1">ROUND(T_Tiktok_ads[[#This Row],[likes]]*RANDBETWEEN(8,12)/10,0)</f>
        <v>6411</v>
      </c>
      <c r="AS46" s="4">
        <f ca="1">ROUND(T_Tiktok_ads[[#This Row],[shares]]*RANDBETWEEN(8,12)/10,0)</f>
        <v>1574</v>
      </c>
      <c r="AT46" s="4">
        <f ca="1">ROUND(T_Tiktok_ads[[#This Row],[comments]]*RANDBETWEEN(8,12)/10,0)</f>
        <v>574</v>
      </c>
      <c r="AV46" s="5">
        <f t="shared" ca="1" si="8"/>
        <v>45174</v>
      </c>
      <c r="AW46">
        <f t="shared" ca="1" si="4"/>
        <v>6</v>
      </c>
      <c r="AX46">
        <f ca="1">ROUND(T_Facebook_Ads115963677175798387[[#This Row],[impressions]]*RANDBETWEEN(8,12)/10,0)</f>
        <v>37793</v>
      </c>
      <c r="AY46">
        <f ca="1">ROUND(T_Facebook_Ads115963677175798387[[#This Row],[clicks]]*RANDBETWEEN(8,12)/10,0)</f>
        <v>898</v>
      </c>
      <c r="AZ46">
        <f ca="1">T_Facebook_Ads115963677175798387[[#This Row],[spend]]*RANDBETWEEN(8,12)/10</f>
        <v>139.04000000000002</v>
      </c>
      <c r="BA46">
        <f ca="1">ROUND(T_Facebook_Ads115963677175798387[[#This Row],[conversions]]*RANDBETWEEN(8,12)/10,0)</f>
        <v>25</v>
      </c>
      <c r="BB46">
        <f ca="1">ROUND(T_Facebook_Ads115963677175798387[[#This Row],[video_views]]*RANDBETWEEN(8,12)/10,0)</f>
        <v>4279</v>
      </c>
    </row>
    <row r="47" spans="1:54" ht="15.75" thickBot="1" x14ac:dyDescent="0.3">
      <c r="A47" s="3">
        <f t="shared" ca="1" si="5"/>
        <v>45199</v>
      </c>
      <c r="B47" s="4" t="s">
        <v>64</v>
      </c>
      <c r="C47" s="4" t="s">
        <v>65</v>
      </c>
      <c r="D47" s="4" t="s">
        <v>66</v>
      </c>
      <c r="E47" s="4" t="s">
        <v>67</v>
      </c>
      <c r="F47" s="4">
        <f ca="1">ROUND(T_Facebook_Ads[[#This Row],[impressions]]*RANDBETWEEN(8,12)/10,0)</f>
        <v>55111</v>
      </c>
      <c r="G47" s="4">
        <v>223</v>
      </c>
      <c r="H47" s="4">
        <f ca="1">T_Facebook_Ads[[#This Row],[spend]]*RANDBETWEEN(8,12)/10</f>
        <v>86.79</v>
      </c>
      <c r="I47" s="4">
        <f ca="1">ROUND(T_Facebook_Ads[[#This Row],[conversions]]*RANDBETWEEN(8,12)/10,0)</f>
        <v>4</v>
      </c>
      <c r="J47" s="4">
        <f ca="1">ROUND(T_Facebook_Ads[[#This Row],[video_views]]*RANDBETWEEN(8,12)/10,0)</f>
        <v>36510</v>
      </c>
      <c r="K47" s="4">
        <f ca="1">T_Facebook_Ads[[#This Row],[engagement_rate]]*RANDBETWEEN(8,12)/10</f>
        <v>4.3200000000000001E-3</v>
      </c>
      <c r="L47" s="4">
        <f ca="1">ROUND(T_Facebook_Ads[[#This Row],[reach]]*RANDBETWEEN(8,12)/10,0)</f>
        <v>45111</v>
      </c>
      <c r="M47" s="4">
        <f ca="1">T_Facebook_Ads[[#This Row],[frequency]]*RANDBETWEEN(8,12)/10</f>
        <v>0.97599999999999998</v>
      </c>
      <c r="O47" s="3">
        <f t="shared" ca="1" si="6"/>
        <v>45188</v>
      </c>
      <c r="P47" s="4" t="s">
        <v>88</v>
      </c>
      <c r="Q47" s="4" t="s">
        <v>89</v>
      </c>
      <c r="R47" s="4" t="s">
        <v>90</v>
      </c>
      <c r="S47" s="4" t="s">
        <v>59</v>
      </c>
      <c r="T47" s="4">
        <f ca="1">ROUND(_Google_ads[[#This Row],[impressions]]*RANDBETWEEN(8,12)/10,0)</f>
        <v>92542</v>
      </c>
      <c r="U47" s="4">
        <f ca="1">ROUND(_Google_ads[[#This Row],[clicks]]*RANDBETWEEN(8,12)/10,0)</f>
        <v>453</v>
      </c>
      <c r="V47" s="4">
        <f ca="1">_Google_ads[[#This Row],[cost]]*RANDBETWEEN(8,12)/10</f>
        <v>136.08000000000001</v>
      </c>
      <c r="W47" s="4">
        <f ca="1">ROUND(_Google_ads[[#This Row],[conversions]]*RANDBETWEEN(8,12)/10,0)</f>
        <v>9</v>
      </c>
      <c r="X47" s="4">
        <f ca="1">ROUND(_Google_ads[[#This Row],[conversion_value]]*RANDBETWEEN(8,12)/10,0)</f>
        <v>605</v>
      </c>
      <c r="Y47" s="4">
        <f ca="1">_Google_ads[[#This Row],[ctr]]*RANDBETWEEN(8,12)/10</f>
        <v>3.2399999999999998E-3</v>
      </c>
      <c r="Z47" s="4">
        <f ca="1">_Google_ads[[#This Row],[avg_cpc]]*RANDBETWEEN(8,12)/10</f>
        <v>0.22400000000000003</v>
      </c>
      <c r="AA47" s="4">
        <f ca="1">ROUND(_Google_ads[[#This Row],[quality_score]]*RANDBETWEEN(8,12)/10,0)</f>
        <v>7</v>
      </c>
      <c r="AB47" s="4">
        <f ca="1">_Google_ads[[#This Row],[search_impression_share]]*RANDBETWEEN(8,12)/10</f>
        <v>0.35199999999999998</v>
      </c>
      <c r="AD47" s="3">
        <f t="shared" ca="1" si="7"/>
        <v>45171</v>
      </c>
      <c r="AE47" s="4" t="s">
        <v>112</v>
      </c>
      <c r="AF47" s="4" t="s">
        <v>113</v>
      </c>
      <c r="AG47" s="4" t="s">
        <v>114</v>
      </c>
      <c r="AH47" s="4" t="s">
        <v>115</v>
      </c>
      <c r="AI47" s="4">
        <f ca="1">ROUND(T_Tiktok_ads[[#This Row],[impressions]]*RANDBETWEEN(8,12)/10,0)</f>
        <v>321110</v>
      </c>
      <c r="AJ47" s="4">
        <f ca="1">ROUND(T_Tiktok_ads[[#This Row],[clicks]]*RANDBETWEEN(8,12)/10,0)</f>
        <v>7001</v>
      </c>
      <c r="AK47" s="4">
        <v>901.2</v>
      </c>
      <c r="AL47" s="4">
        <f ca="1">ROUND(T_Tiktok_ads[[#This Row],[conversions]]*RANDBETWEEN(8,12)/10,0)</f>
        <v>109</v>
      </c>
      <c r="AM47" s="4">
        <f ca="1">ROUND(T_Tiktok_ads[[#This Row],[video_views]]*RANDBETWEEN(8,12)/10,0)</f>
        <v>234765</v>
      </c>
      <c r="AN47" s="4">
        <f ca="1">ROUND(T_Tiktok_ads[[#This Row],[video_watch_25]]*RANDBETWEEN(8,12)/10,0)</f>
        <v>239234</v>
      </c>
      <c r="AO47" s="4">
        <f ca="1">ROUND(T_Tiktok_ads[[#This Row],[video_watch_50]]*RANDBETWEEN(8,12)/10,0)</f>
        <v>210357</v>
      </c>
      <c r="AP47" s="4">
        <f ca="1">ROUND(T_Tiktok_ads[[#This Row],[video_watch_75]]*RANDBETWEEN(8,12)/10,0)</f>
        <v>108987</v>
      </c>
      <c r="AQ47" s="4">
        <f ca="1">ROUND(T_Tiktok_ads[[#This Row],[video_watch_100]]*RANDBETWEEN(8,12)/10,0)</f>
        <v>99257</v>
      </c>
      <c r="AR47" s="4">
        <f ca="1">ROUND(T_Tiktok_ads[[#This Row],[likes]]*RANDBETWEEN(8,12)/10,0)</f>
        <v>14301</v>
      </c>
      <c r="AS47" s="4">
        <f ca="1">ROUND(T_Tiktok_ads[[#This Row],[shares]]*RANDBETWEEN(8,12)/10,0)</f>
        <v>5561</v>
      </c>
      <c r="AT47" s="4">
        <f ca="1">ROUND(T_Tiktok_ads[[#This Row],[comments]]*RANDBETWEEN(8,12)/10,0)</f>
        <v>1256</v>
      </c>
      <c r="AV47" s="5">
        <f t="shared" ca="1" si="8"/>
        <v>45181</v>
      </c>
      <c r="AW47">
        <f t="shared" ca="1" si="4"/>
        <v>1</v>
      </c>
      <c r="AX47">
        <f ca="1">ROUND(T_Facebook_Ads115963677175798387[[#This Row],[impressions]]*RANDBETWEEN(8,12)/10,0)</f>
        <v>66133</v>
      </c>
      <c r="AY47">
        <f ca="1">ROUND(T_Facebook_Ads115963677175798387[[#This Row],[clicks]]*RANDBETWEEN(8,12)/10,0)</f>
        <v>201</v>
      </c>
      <c r="AZ47">
        <f ca="1">T_Facebook_Ads115963677175798387[[#This Row],[spend]]*RANDBETWEEN(8,12)/10</f>
        <v>95.469000000000008</v>
      </c>
      <c r="BA47">
        <f ca="1">ROUND(T_Facebook_Ads115963677175798387[[#This Row],[conversions]]*RANDBETWEEN(8,12)/10,0)</f>
        <v>3</v>
      </c>
      <c r="BB47">
        <f ca="1">ROUND(T_Facebook_Ads115963677175798387[[#This Row],[video_views]]*RANDBETWEEN(8,12)/10,0)</f>
        <v>43812</v>
      </c>
    </row>
    <row r="48" spans="1:54" ht="15.75" thickBot="1" x14ac:dyDescent="0.3">
      <c r="A48" s="3">
        <f t="shared" ca="1" si="5"/>
        <v>45178</v>
      </c>
      <c r="B48" s="4" t="s">
        <v>52</v>
      </c>
      <c r="C48" s="4" t="s">
        <v>53</v>
      </c>
      <c r="D48" s="4" t="s">
        <v>54</v>
      </c>
      <c r="E48" s="4" t="s">
        <v>55</v>
      </c>
      <c r="F48" s="4">
        <f ca="1">ROUND(T_Facebook_Ads[[#This Row],[impressions]]*RANDBETWEEN(8,12)/10,0)</f>
        <v>46789</v>
      </c>
      <c r="G48" s="4">
        <v>934</v>
      </c>
      <c r="H48" s="4">
        <f ca="1">T_Facebook_Ads[[#This Row],[spend]]*RANDBETWEEN(8,12)/10</f>
        <v>132.4</v>
      </c>
      <c r="I48" s="4">
        <f ca="1">ROUND(T_Facebook_Ads[[#This Row],[conversions]]*RANDBETWEEN(8,12)/10,0)</f>
        <v>11</v>
      </c>
      <c r="J48" s="4">
        <f ca="1">ROUND(T_Facebook_Ads[[#This Row],[video_views]]*RANDBETWEEN(8,12)/10,0)</f>
        <v>6854</v>
      </c>
      <c r="K48" s="4">
        <f ca="1">T_Facebook_Ads[[#This Row],[engagement_rate]]*RANDBETWEEN(8,12)/10</f>
        <v>2.4E-2</v>
      </c>
      <c r="L48" s="4">
        <f ca="1">ROUND(T_Facebook_Ads[[#This Row],[reach]]*RANDBETWEEN(8,12)/10,0)</f>
        <v>35311</v>
      </c>
      <c r="M48" s="4">
        <f ca="1">T_Facebook_Ads[[#This Row],[frequency]]*RANDBETWEEN(8,12)/10</f>
        <v>1.3089999999999999</v>
      </c>
      <c r="O48" s="3">
        <f t="shared" ca="1" si="6"/>
        <v>45193</v>
      </c>
      <c r="P48" s="4" t="s">
        <v>76</v>
      </c>
      <c r="Q48" s="4" t="s">
        <v>77</v>
      </c>
      <c r="R48" s="4" t="s">
        <v>78</v>
      </c>
      <c r="S48" s="4" t="s">
        <v>79</v>
      </c>
      <c r="T48" s="4">
        <f ca="1">ROUND(_Google_ads[[#This Row],[impressions]]*RANDBETWEEN(8,12)/10,0)</f>
        <v>21501</v>
      </c>
      <c r="U48" s="4">
        <f ca="1">ROUND(_Google_ads[[#This Row],[clicks]]*RANDBETWEEN(8,12)/10,0)</f>
        <v>1234</v>
      </c>
      <c r="V48" s="4">
        <f ca="1">_Google_ads[[#This Row],[cost]]*RANDBETWEEN(8,12)/10</f>
        <v>235.6</v>
      </c>
      <c r="W48" s="4">
        <f ca="1">ROUND(_Google_ads[[#This Row],[conversions]]*RANDBETWEEN(8,12)/10,0)</f>
        <v>37</v>
      </c>
      <c r="X48" s="4">
        <f ca="1">ROUND(_Google_ads[[#This Row],[conversion_value]]*RANDBETWEEN(8,12)/10,0)</f>
        <v>2070</v>
      </c>
      <c r="Y48" s="4">
        <f ca="1">_Google_ads[[#This Row],[ctr]]*RANDBETWEEN(8,12)/10</f>
        <v>4.6530000000000002E-2</v>
      </c>
      <c r="Z48" s="4">
        <f ca="1">_Google_ads[[#This Row],[avg_cpc]]*RANDBETWEEN(8,12)/10</f>
        <v>0.17099999999999999</v>
      </c>
      <c r="AA48" s="4">
        <f ca="1">ROUND(_Google_ads[[#This Row],[quality_score]]*RANDBETWEEN(8,12)/10,0)</f>
        <v>11</v>
      </c>
      <c r="AB48" s="4">
        <f ca="1">_Google_ads[[#This Row],[search_impression_share]]*RANDBETWEEN(8,12)/10</f>
        <v>1.0009999999999999</v>
      </c>
      <c r="AD48" s="3">
        <f t="shared" ca="1" si="7"/>
        <v>45185</v>
      </c>
      <c r="AE48" s="4" t="s">
        <v>100</v>
      </c>
      <c r="AF48" s="4" t="s">
        <v>101</v>
      </c>
      <c r="AG48" s="4" t="s">
        <v>102</v>
      </c>
      <c r="AH48" s="4" t="s">
        <v>103</v>
      </c>
      <c r="AI48" s="4">
        <f ca="1">ROUND(T_Tiktok_ads[[#This Row],[impressions]]*RANDBETWEEN(8,12)/10,0)</f>
        <v>246789</v>
      </c>
      <c r="AJ48" s="4">
        <f ca="1">ROUND(T_Tiktok_ads[[#This Row],[clicks]]*RANDBETWEEN(8,12)/10,0)</f>
        <v>2942</v>
      </c>
      <c r="AK48" s="4">
        <v>478.9</v>
      </c>
      <c r="AL48" s="4">
        <f ca="1">ROUND(T_Tiktok_ads[[#This Row],[conversions]]*RANDBETWEEN(8,12)/10,0)</f>
        <v>32</v>
      </c>
      <c r="AM48" s="4">
        <f ca="1">ROUND(T_Tiktok_ads[[#This Row],[video_views]]*RANDBETWEEN(8,12)/10,0)</f>
        <v>228080</v>
      </c>
      <c r="AN48" s="4">
        <f ca="1">ROUND(T_Tiktok_ads[[#This Row],[video_watch_25]]*RANDBETWEEN(8,12)/10,0)</f>
        <v>130765</v>
      </c>
      <c r="AO48" s="4">
        <f ca="1">ROUND(T_Tiktok_ads[[#This Row],[video_watch_50]]*RANDBETWEEN(8,12)/10,0)</f>
        <v>102345</v>
      </c>
      <c r="AP48" s="4">
        <f ca="1">ROUND(T_Tiktok_ads[[#This Row],[video_watch_75]]*RANDBETWEEN(8,12)/10,0)</f>
        <v>70234</v>
      </c>
      <c r="AQ48" s="4">
        <f ca="1">ROUND(T_Tiktok_ads[[#This Row],[video_watch_100]]*RANDBETWEEN(8,12)/10,0)</f>
        <v>47234</v>
      </c>
      <c r="AR48" s="4">
        <f ca="1">ROUND(T_Tiktok_ads[[#This Row],[likes]]*RANDBETWEEN(8,12)/10,0)</f>
        <v>7387</v>
      </c>
      <c r="AS48" s="4">
        <f ca="1">ROUND(T_Tiktok_ads[[#This Row],[shares]]*RANDBETWEEN(8,12)/10,0)</f>
        <v>2210</v>
      </c>
      <c r="AT48" s="4">
        <f ca="1">ROUND(T_Tiktok_ads[[#This Row],[comments]]*RANDBETWEEN(8,12)/10,0)</f>
        <v>589</v>
      </c>
      <c r="AV48" s="5">
        <f t="shared" ca="1" si="8"/>
        <v>45178</v>
      </c>
      <c r="AW48">
        <f t="shared" ca="1" si="4"/>
        <v>4</v>
      </c>
      <c r="AX48">
        <f ca="1">ROUND(T_Facebook_Ads115963677175798387[[#This Row],[impressions]]*RANDBETWEEN(8,12)/10,0)</f>
        <v>46789</v>
      </c>
      <c r="AY48">
        <f ca="1">ROUND(T_Facebook_Ads115963677175798387[[#This Row],[clicks]]*RANDBETWEEN(8,12)/10,0)</f>
        <v>841</v>
      </c>
      <c r="AZ48">
        <f ca="1">T_Facebook_Ads115963677175798387[[#This Row],[spend]]*RANDBETWEEN(8,12)/10</f>
        <v>132.4</v>
      </c>
      <c r="BA48">
        <f ca="1">ROUND(T_Facebook_Ads115963677175798387[[#This Row],[conversions]]*RANDBETWEEN(8,12)/10,0)</f>
        <v>13</v>
      </c>
      <c r="BB48">
        <f ca="1">ROUND(T_Facebook_Ads115963677175798387[[#This Row],[video_views]]*RANDBETWEEN(8,12)/10,0)</f>
        <v>6854</v>
      </c>
    </row>
    <row r="49" spans="1:54" ht="15.75" thickBot="1" x14ac:dyDescent="0.3">
      <c r="A49" s="3">
        <f t="shared" ca="1" si="5"/>
        <v>45199</v>
      </c>
      <c r="B49" s="4" t="s">
        <v>56</v>
      </c>
      <c r="C49" s="4" t="s">
        <v>57</v>
      </c>
      <c r="D49" s="4" t="s">
        <v>58</v>
      </c>
      <c r="E49" s="4" t="s">
        <v>59</v>
      </c>
      <c r="F49" s="4">
        <f ca="1">ROUND(T_Facebook_Ads[[#This Row],[impressions]]*RANDBETWEEN(8,12)/10,0)</f>
        <v>12890</v>
      </c>
      <c r="G49" s="4">
        <v>567</v>
      </c>
      <c r="H49" s="4">
        <f ca="1">T_Facebook_Ads[[#This Row],[spend]]*RANDBETWEEN(8,12)/10</f>
        <v>177.04000000000002</v>
      </c>
      <c r="I49" s="4">
        <f ca="1">ROUND(T_Facebook_Ads[[#This Row],[conversions]]*RANDBETWEEN(8,12)/10,0)</f>
        <v>44</v>
      </c>
      <c r="J49" s="4">
        <f ca="1">ROUND(T_Facebook_Ads[[#This Row],[video_views]]*RANDBETWEEN(8,12)/10,0)</f>
        <v>1614</v>
      </c>
      <c r="K49" s="4">
        <f ca="1">T_Facebook_Ads[[#This Row],[engagement_rate]]*RANDBETWEEN(8,12)/10</f>
        <v>3.9599999999999996E-2</v>
      </c>
      <c r="L49" s="4">
        <f ca="1">ROUND(T_Facebook_Ads[[#This Row],[reach]]*RANDBETWEEN(8,12)/10,0)</f>
        <v>10123</v>
      </c>
      <c r="M49" s="4">
        <f ca="1">T_Facebook_Ads[[#This Row],[frequency]]*RANDBETWEEN(8,12)/10</f>
        <v>1.524</v>
      </c>
      <c r="O49" s="3">
        <f t="shared" ca="1" si="6"/>
        <v>45172</v>
      </c>
      <c r="P49" s="4" t="s">
        <v>80</v>
      </c>
      <c r="Q49" s="4" t="s">
        <v>81</v>
      </c>
      <c r="R49" s="4" t="s">
        <v>82</v>
      </c>
      <c r="S49" s="4" t="s">
        <v>83</v>
      </c>
      <c r="T49" s="4">
        <f ca="1">ROUND(_Google_ads[[#This Row],[impressions]]*RANDBETWEEN(8,12)/10,0)</f>
        <v>48168</v>
      </c>
      <c r="U49" s="4">
        <f ca="1">ROUND(_Google_ads[[#This Row],[clicks]]*RANDBETWEEN(8,12)/10,0)</f>
        <v>942</v>
      </c>
      <c r="V49" s="4">
        <f ca="1">_Google_ads[[#This Row],[cost]]*RANDBETWEEN(8,12)/10</f>
        <v>673.07999999999993</v>
      </c>
      <c r="W49" s="4">
        <f ca="1">ROUND(_Google_ads[[#This Row],[conversions]]*RANDBETWEEN(8,12)/10,0)</f>
        <v>22</v>
      </c>
      <c r="X49" s="4">
        <f ca="1">ROUND(_Google_ads[[#This Row],[conversion_value]]*RANDBETWEEN(8,12)/10,0)</f>
        <v>1100</v>
      </c>
      <c r="Y49" s="4">
        <f ca="1">_Google_ads[[#This Row],[ctr]]*RANDBETWEEN(8,12)/10</f>
        <v>1.755E-2</v>
      </c>
      <c r="Z49" s="4">
        <f ca="1">_Google_ads[[#This Row],[avg_cpc]]*RANDBETWEEN(8,12)/10</f>
        <v>0.59400000000000008</v>
      </c>
      <c r="AA49" s="4">
        <f ca="1">ROUND(_Google_ads[[#This Row],[quality_score]]*RANDBETWEEN(8,12)/10,0)</f>
        <v>6</v>
      </c>
      <c r="AB49" s="4">
        <f ca="1">_Google_ads[[#This Row],[search_impression_share]]*RANDBETWEEN(8,12)/10</f>
        <v>0.35199999999999998</v>
      </c>
      <c r="AD49" s="3">
        <f t="shared" ca="1" si="7"/>
        <v>45192</v>
      </c>
      <c r="AE49" s="4" t="s">
        <v>104</v>
      </c>
      <c r="AF49" s="4" t="s">
        <v>105</v>
      </c>
      <c r="AG49" s="4" t="s">
        <v>106</v>
      </c>
      <c r="AH49" s="4" t="s">
        <v>107</v>
      </c>
      <c r="AI49" s="4">
        <f ca="1">ROUND(T_Tiktok_ads[[#This Row],[impressions]]*RANDBETWEEN(8,12)/10,0)</f>
        <v>142345</v>
      </c>
      <c r="AJ49" s="4">
        <f ca="1">ROUND(T_Tiktok_ads[[#This Row],[clicks]]*RANDBETWEEN(8,12)/10,0)</f>
        <v>2410</v>
      </c>
      <c r="AK49" s="4">
        <v>734.5</v>
      </c>
      <c r="AL49" s="4">
        <f ca="1">ROUND(T_Tiktok_ads[[#This Row],[conversions]]*RANDBETWEEN(8,12)/10,0)</f>
        <v>73</v>
      </c>
      <c r="AM49" s="4">
        <f ca="1">ROUND(T_Tiktok_ads[[#This Row],[video_views]]*RANDBETWEEN(8,12)/10,0)</f>
        <v>88101</v>
      </c>
      <c r="AN49" s="4">
        <f ca="1">ROUND(T_Tiktok_ads[[#This Row],[video_watch_25]]*RANDBETWEEN(8,12)/10,0)</f>
        <v>57876</v>
      </c>
      <c r="AO49" s="4">
        <f ca="1">ROUND(T_Tiktok_ads[[#This Row],[video_watch_50]]*RANDBETWEEN(8,12)/10,0)</f>
        <v>44011</v>
      </c>
      <c r="AP49" s="4">
        <f ca="1">ROUND(T_Tiktok_ads[[#This Row],[video_watch_75]]*RANDBETWEEN(8,12)/10,0)</f>
        <v>36789</v>
      </c>
      <c r="AQ49" s="4">
        <f ca="1">ROUND(T_Tiktok_ads[[#This Row],[video_watch_100]]*RANDBETWEEN(8,12)/10,0)</f>
        <v>19912</v>
      </c>
      <c r="AR49" s="4">
        <f ca="1">ROUND(T_Tiktok_ads[[#This Row],[likes]]*RANDBETWEEN(8,12)/10,0)</f>
        <v>5881</v>
      </c>
      <c r="AS49" s="4">
        <f ca="1">ROUND(T_Tiktok_ads[[#This Row],[shares]]*RANDBETWEEN(8,12)/10,0)</f>
        <v>1085</v>
      </c>
      <c r="AT49" s="4">
        <f ca="1">ROUND(T_Tiktok_ads[[#This Row],[comments]]*RANDBETWEEN(8,12)/10,0)</f>
        <v>307</v>
      </c>
      <c r="AV49" s="5">
        <f t="shared" ca="1" si="8"/>
        <v>45186</v>
      </c>
      <c r="AW49">
        <f t="shared" ca="1" si="4"/>
        <v>8</v>
      </c>
      <c r="AX49">
        <f ca="1">ROUND(T_Facebook_Ads115963677175798387[[#This Row],[impressions]]*RANDBETWEEN(8,12)/10,0)</f>
        <v>14179</v>
      </c>
      <c r="AY49">
        <f ca="1">ROUND(T_Facebook_Ads115963677175798387[[#This Row],[clicks]]*RANDBETWEEN(8,12)/10,0)</f>
        <v>454</v>
      </c>
      <c r="AZ49">
        <f ca="1">T_Facebook_Ads115963677175798387[[#This Row],[spend]]*RANDBETWEEN(8,12)/10</f>
        <v>194.74400000000003</v>
      </c>
      <c r="BA49">
        <f ca="1">ROUND(T_Facebook_Ads115963677175798387[[#This Row],[conversions]]*RANDBETWEEN(8,12)/10,0)</f>
        <v>53</v>
      </c>
      <c r="BB49">
        <f ca="1">ROUND(T_Facebook_Ads115963677175798387[[#This Row],[video_views]]*RANDBETWEEN(8,12)/10,0)</f>
        <v>1614</v>
      </c>
    </row>
    <row r="50" spans="1:54" ht="15.75" thickBot="1" x14ac:dyDescent="0.3">
      <c r="A50" s="3">
        <f t="shared" ca="1" si="5"/>
        <v>45188</v>
      </c>
      <c r="B50" s="4" t="s">
        <v>60</v>
      </c>
      <c r="C50" s="4" t="s">
        <v>61</v>
      </c>
      <c r="D50" s="4" t="s">
        <v>62</v>
      </c>
      <c r="E50" s="4" t="s">
        <v>63</v>
      </c>
      <c r="F50" s="4">
        <f ca="1">ROUND(T_Facebook_Ads[[#This Row],[impressions]]*RANDBETWEEN(8,12)/10,0)</f>
        <v>35678</v>
      </c>
      <c r="G50" s="4">
        <v>1289</v>
      </c>
      <c r="H50" s="4">
        <f ca="1">T_Facebook_Ads[[#This Row],[spend]]*RANDBETWEEN(8,12)/10</f>
        <v>157.28</v>
      </c>
      <c r="I50" s="4">
        <f ca="1">ROUND(T_Facebook_Ads[[#This Row],[conversions]]*RANDBETWEEN(8,12)/10,0)</f>
        <v>20</v>
      </c>
      <c r="J50" s="4">
        <f ca="1">ROUND(T_Facebook_Ads[[#This Row],[video_views]]*RANDBETWEEN(8,12)/10,0)</f>
        <v>4678</v>
      </c>
      <c r="K50" s="4">
        <f ca="1">T_Facebook_Ads[[#This Row],[engagement_rate]]*RANDBETWEEN(8,12)/10</f>
        <v>3.61E-2</v>
      </c>
      <c r="L50" s="4">
        <f ca="1">ROUND(T_Facebook_Ads[[#This Row],[reach]]*RANDBETWEEN(8,12)/10,0)</f>
        <v>26411</v>
      </c>
      <c r="M50" s="4">
        <f ca="1">T_Facebook_Ads[[#This Row],[frequency]]*RANDBETWEEN(8,12)/10</f>
        <v>1.0980000000000001</v>
      </c>
      <c r="O50" s="3">
        <f t="shared" ca="1" si="6"/>
        <v>45198</v>
      </c>
      <c r="P50" s="4" t="s">
        <v>84</v>
      </c>
      <c r="Q50" s="4" t="s">
        <v>85</v>
      </c>
      <c r="R50" s="4" t="s">
        <v>86</v>
      </c>
      <c r="S50" s="4" t="s">
        <v>87</v>
      </c>
      <c r="T50" s="4">
        <f ca="1">ROUND(_Google_ads[[#This Row],[impressions]]*RANDBETWEEN(8,12)/10,0)</f>
        <v>53787</v>
      </c>
      <c r="U50" s="4">
        <f ca="1">ROUND(_Google_ads[[#This Row],[clicks]]*RANDBETWEEN(8,12)/10,0)</f>
        <v>2681</v>
      </c>
      <c r="V50" s="4">
        <f ca="1">_Google_ads[[#This Row],[cost]]*RANDBETWEEN(8,12)/10</f>
        <v>452.87</v>
      </c>
      <c r="W50" s="4">
        <f ca="1">ROUND(_Google_ads[[#This Row],[conversions]]*RANDBETWEEN(8,12)/10,0)</f>
        <v>78</v>
      </c>
      <c r="X50" s="4">
        <f ca="1">ROUND(_Google_ads[[#This Row],[conversion_value]]*RANDBETWEEN(8,12)/10,0)</f>
        <v>3900</v>
      </c>
      <c r="Y50" s="4">
        <f ca="1">_Google_ads[[#This Row],[ctr]]*RANDBETWEEN(8,12)/10</f>
        <v>2.988E-2</v>
      </c>
      <c r="Z50" s="4">
        <f ca="1">_Google_ads[[#This Row],[avg_cpc]]*RANDBETWEEN(8,12)/10</f>
        <v>0.14399999999999999</v>
      </c>
      <c r="AA50" s="4">
        <f ca="1">ROUND(_Google_ads[[#This Row],[quality_score]]*RANDBETWEEN(8,12)/10,0)</f>
        <v>8</v>
      </c>
      <c r="AB50" s="4">
        <f ca="1">_Google_ads[[#This Row],[search_impression_share]]*RANDBETWEEN(8,12)/10</f>
        <v>0.59400000000000008</v>
      </c>
      <c r="AD50" s="3">
        <f t="shared" ca="1" si="7"/>
        <v>45181</v>
      </c>
      <c r="AE50" s="4" t="s">
        <v>108</v>
      </c>
      <c r="AF50" s="4" t="s">
        <v>109</v>
      </c>
      <c r="AG50" s="4" t="s">
        <v>110</v>
      </c>
      <c r="AH50" s="4" t="s">
        <v>111</v>
      </c>
      <c r="AI50" s="4">
        <f ca="1">ROUND(T_Tiktok_ads[[#This Row],[impressions]]*RANDBETWEEN(8,12)/10,0)</f>
        <v>233580</v>
      </c>
      <c r="AJ50" s="4">
        <f ca="1">ROUND(T_Tiktok_ads[[#This Row],[clicks]]*RANDBETWEEN(8,12)/10,0)</f>
        <v>3345</v>
      </c>
      <c r="AK50" s="4">
        <v>401.1</v>
      </c>
      <c r="AL50" s="4">
        <f ca="1">ROUND(T_Tiktok_ads[[#This Row],[conversions]]*RANDBETWEEN(8,12)/10,0)</f>
        <v>22</v>
      </c>
      <c r="AM50" s="4">
        <f ca="1">ROUND(T_Tiktok_ads[[#This Row],[video_views]]*RANDBETWEEN(8,12)/10,0)</f>
        <v>151101</v>
      </c>
      <c r="AN50" s="4">
        <f ca="1">ROUND(T_Tiktok_ads[[#This Row],[video_watch_25]]*RANDBETWEEN(8,12)/10,0)</f>
        <v>115411</v>
      </c>
      <c r="AO50" s="4">
        <f ca="1">ROUND(T_Tiktok_ads[[#This Row],[video_watch_50]]*RANDBETWEEN(8,12)/10,0)</f>
        <v>91111</v>
      </c>
      <c r="AP50" s="4">
        <f ca="1">ROUND(T_Tiktok_ads[[#This Row],[video_watch_75]]*RANDBETWEEN(8,12)/10,0)</f>
        <v>58711</v>
      </c>
      <c r="AQ50" s="4">
        <f ca="1">ROUND(T_Tiktok_ads[[#This Row],[video_watch_100]]*RANDBETWEEN(8,12)/10,0)</f>
        <v>35510</v>
      </c>
      <c r="AR50" s="4">
        <f ca="1">ROUND(T_Tiktok_ads[[#This Row],[likes]]*RANDBETWEEN(8,12)/10,0)</f>
        <v>7010</v>
      </c>
      <c r="AS50" s="4">
        <f ca="1">ROUND(T_Tiktok_ads[[#This Row],[shares]]*RANDBETWEEN(8,12)/10,0)</f>
        <v>2574</v>
      </c>
      <c r="AT50" s="4">
        <f ca="1">ROUND(T_Tiktok_ads[[#This Row],[comments]]*RANDBETWEEN(8,12)/10,0)</f>
        <v>410</v>
      </c>
      <c r="AV50" s="5">
        <f t="shared" ca="1" si="8"/>
        <v>45195</v>
      </c>
      <c r="AW50">
        <f t="shared" ca="1" si="4"/>
        <v>8</v>
      </c>
      <c r="AX50">
        <f ca="1">ROUND(T_Facebook_Ads115963677175798387[[#This Row],[impressions]]*RANDBETWEEN(8,12)/10,0)</f>
        <v>39246</v>
      </c>
      <c r="AY50">
        <f ca="1">ROUND(T_Facebook_Ads115963677175798387[[#This Row],[clicks]]*RANDBETWEEN(8,12)/10,0)</f>
        <v>1160</v>
      </c>
      <c r="AZ50">
        <f ca="1">T_Facebook_Ads115963677175798387[[#This Row],[spend]]*RANDBETWEEN(8,12)/10</f>
        <v>141.55199999999999</v>
      </c>
      <c r="BA50">
        <f ca="1">ROUND(T_Facebook_Ads115963677175798387[[#This Row],[conversions]]*RANDBETWEEN(8,12)/10,0)</f>
        <v>16</v>
      </c>
      <c r="BB50">
        <f ca="1">ROUND(T_Facebook_Ads115963677175798387[[#This Row],[video_views]]*RANDBETWEEN(8,12)/10,0)</f>
        <v>4210</v>
      </c>
    </row>
    <row r="51" spans="1:54" ht="15.75" thickBot="1" x14ac:dyDescent="0.3">
      <c r="A51" s="3">
        <f t="shared" ca="1" si="5"/>
        <v>45174</v>
      </c>
      <c r="B51" s="4" t="s">
        <v>64</v>
      </c>
      <c r="C51" s="4" t="s">
        <v>65</v>
      </c>
      <c r="D51" s="4" t="s">
        <v>66</v>
      </c>
      <c r="E51" s="4" t="s">
        <v>67</v>
      </c>
      <c r="F51" s="4">
        <f ca="1">ROUND(T_Facebook_Ads[[#This Row],[impressions]]*RANDBETWEEN(8,12)/10,0)</f>
        <v>68456</v>
      </c>
      <c r="G51" s="4">
        <v>248</v>
      </c>
      <c r="H51" s="4">
        <f ca="1">T_Facebook_Ads[[#This Row],[spend]]*RANDBETWEEN(8,12)/10</f>
        <v>87.6</v>
      </c>
      <c r="I51" s="4">
        <f ca="1">ROUND(T_Facebook_Ads[[#This Row],[conversions]]*RANDBETWEEN(8,12)/10,0)</f>
        <v>5</v>
      </c>
      <c r="J51" s="4">
        <f ca="1">ROUND(T_Facebook_Ads[[#This Row],[video_views]]*RANDBETWEEN(8,12)/10,0)</f>
        <v>46234</v>
      </c>
      <c r="K51" s="4">
        <f ca="1">T_Facebook_Ads[[#This Row],[engagement_rate]]*RANDBETWEEN(8,12)/10</f>
        <v>4.3200000000000001E-3</v>
      </c>
      <c r="L51" s="4">
        <f ca="1">ROUND(T_Facebook_Ads[[#This Row],[reach]]*RANDBETWEEN(8,12)/10,0)</f>
        <v>45431</v>
      </c>
      <c r="M51" s="4">
        <f ca="1">T_Facebook_Ads[[#This Row],[frequency]]*RANDBETWEEN(8,12)/10</f>
        <v>1.21</v>
      </c>
      <c r="O51" s="3">
        <f t="shared" ca="1" si="6"/>
        <v>45172</v>
      </c>
      <c r="P51" s="4" t="s">
        <v>88</v>
      </c>
      <c r="Q51" s="4" t="s">
        <v>89</v>
      </c>
      <c r="R51" s="4" t="s">
        <v>90</v>
      </c>
      <c r="S51" s="4" t="s">
        <v>59</v>
      </c>
      <c r="T51" s="4">
        <f ca="1">ROUND(_Google_ads[[#This Row],[impressions]]*RANDBETWEEN(8,12)/10,0)</f>
        <v>116011</v>
      </c>
      <c r="U51" s="4">
        <f ca="1">ROUND(_Google_ads[[#This Row],[clicks]]*RANDBETWEEN(8,12)/10,0)</f>
        <v>467</v>
      </c>
      <c r="V51" s="4">
        <f ca="1">_Google_ads[[#This Row],[cost]]*RANDBETWEEN(8,12)/10</f>
        <v>126.7</v>
      </c>
      <c r="W51" s="4">
        <f ca="1">ROUND(_Google_ads[[#This Row],[conversions]]*RANDBETWEEN(8,12)/10,0)</f>
        <v>14</v>
      </c>
      <c r="X51" s="4">
        <f ca="1">ROUND(_Google_ads[[#This Row],[conversion_value]]*RANDBETWEEN(8,12)/10,0)</f>
        <v>520</v>
      </c>
      <c r="Y51" s="4">
        <f ca="1">_Google_ads[[#This Row],[ctr]]*RANDBETWEEN(8,12)/10</f>
        <v>3.5999999999999999E-3</v>
      </c>
      <c r="Z51" s="4">
        <f ca="1">_Google_ads[[#This Row],[avg_cpc]]*RANDBETWEEN(8,12)/10</f>
        <v>0.29700000000000004</v>
      </c>
      <c r="AA51" s="4">
        <f ca="1">ROUND(_Google_ads[[#This Row],[quality_score]]*RANDBETWEEN(8,12)/10,0)</f>
        <v>7</v>
      </c>
      <c r="AB51" s="4">
        <f ca="1">_Google_ads[[#This Row],[search_impression_share]]*RANDBETWEEN(8,12)/10</f>
        <v>0.40800000000000003</v>
      </c>
      <c r="AD51" s="3">
        <f t="shared" ca="1" si="7"/>
        <v>45198</v>
      </c>
      <c r="AE51" s="4" t="s">
        <v>112</v>
      </c>
      <c r="AF51" s="4" t="s">
        <v>113</v>
      </c>
      <c r="AG51" s="4" t="s">
        <v>114</v>
      </c>
      <c r="AH51" s="4" t="s">
        <v>115</v>
      </c>
      <c r="AI51" s="4">
        <f ca="1">ROUND(T_Tiktok_ads[[#This Row],[impressions]]*RANDBETWEEN(8,12)/10,0)</f>
        <v>341011</v>
      </c>
      <c r="AJ51" s="4">
        <f ca="1">ROUND(T_Tiktok_ads[[#This Row],[clicks]]*RANDBETWEEN(8,12)/10,0)</f>
        <v>7348</v>
      </c>
      <c r="AK51" s="4">
        <v>945.6</v>
      </c>
      <c r="AL51" s="4">
        <f ca="1">ROUND(T_Tiktok_ads[[#This Row],[conversions]]*RANDBETWEEN(8,12)/10,0)</f>
        <v>106</v>
      </c>
      <c r="AM51" s="4">
        <f ca="1">ROUND(T_Tiktok_ads[[#This Row],[video_views]]*RANDBETWEEN(8,12)/10,0)</f>
        <v>281111</v>
      </c>
      <c r="AN51" s="4">
        <f ca="1">ROUND(T_Tiktok_ads[[#This Row],[video_watch_25]]*RANDBETWEEN(8,12)/10,0)</f>
        <v>251234</v>
      </c>
      <c r="AO51" s="4">
        <f ca="1">ROUND(T_Tiktok_ads[[#This Row],[video_watch_50]]*RANDBETWEEN(8,12)/10,0)</f>
        <v>160987</v>
      </c>
      <c r="AP51" s="4">
        <f ca="1">ROUND(T_Tiktok_ads[[#This Row],[video_watch_75]]*RANDBETWEEN(8,12)/10,0)</f>
        <v>172147</v>
      </c>
      <c r="AQ51" s="4">
        <f ca="1">ROUND(T_Tiktok_ads[[#This Row],[video_watch_100]]*RANDBETWEEN(8,12)/10,0)</f>
        <v>85711</v>
      </c>
      <c r="AR51" s="4">
        <f ca="1">ROUND(T_Tiktok_ads[[#This Row],[likes]]*RANDBETWEEN(8,12)/10,0)</f>
        <v>16567</v>
      </c>
      <c r="AS51" s="4">
        <f ca="1">ROUND(T_Tiktok_ads[[#This Row],[shares]]*RANDBETWEEN(8,12)/10,0)</f>
        <v>5305</v>
      </c>
      <c r="AT51" s="4">
        <f ca="1">ROUND(T_Tiktok_ads[[#This Row],[comments]]*RANDBETWEEN(8,12)/10,0)</f>
        <v>1050</v>
      </c>
      <c r="AV51" s="5">
        <f t="shared" ca="1" si="8"/>
        <v>45177</v>
      </c>
      <c r="AW51">
        <f t="shared" ca="1" si="4"/>
        <v>7</v>
      </c>
      <c r="AX51">
        <f ca="1">ROUND(T_Facebook_Ads115963677175798387[[#This Row],[impressions]]*RANDBETWEEN(8,12)/10,0)</f>
        <v>82147</v>
      </c>
      <c r="AY51">
        <f ca="1">ROUND(T_Facebook_Ads115963677175798387[[#This Row],[clicks]]*RANDBETWEEN(8,12)/10,0)</f>
        <v>273</v>
      </c>
      <c r="AZ51">
        <f ca="1">T_Facebook_Ads115963677175798387[[#This Row],[spend]]*RANDBETWEEN(8,12)/10</f>
        <v>96.359999999999985</v>
      </c>
      <c r="BA51">
        <f ca="1">ROUND(T_Facebook_Ads115963677175798387[[#This Row],[conversions]]*RANDBETWEEN(8,12)/10,0)</f>
        <v>6</v>
      </c>
      <c r="BB51">
        <f ca="1">ROUND(T_Facebook_Ads115963677175798387[[#This Row],[video_views]]*RANDBETWEEN(8,12)/10,0)</f>
        <v>50857</v>
      </c>
    </row>
    <row r="52" spans="1:54" ht="15.75" thickBot="1" x14ac:dyDescent="0.3">
      <c r="A52" s="3">
        <f t="shared" ca="1" si="5"/>
        <v>45173</v>
      </c>
      <c r="B52" s="4" t="s">
        <v>52</v>
      </c>
      <c r="C52" s="4" t="s">
        <v>53</v>
      </c>
      <c r="D52" s="4" t="s">
        <v>54</v>
      </c>
      <c r="E52" s="4" t="s">
        <v>55</v>
      </c>
      <c r="F52" s="4">
        <f ca="1">ROUND(T_Facebook_Ads[[#This Row],[impressions]]*RANDBETWEEN(8,12)/10,0)</f>
        <v>55257</v>
      </c>
      <c r="G52" s="4">
        <v>1023</v>
      </c>
      <c r="H52" s="4">
        <f ca="1">T_Facebook_Ads[[#This Row],[spend]]*RANDBETWEEN(8,12)/10</f>
        <v>143.80000000000001</v>
      </c>
      <c r="I52" s="4">
        <f ca="1">ROUND(T_Facebook_Ads[[#This Row],[conversions]]*RANDBETWEEN(8,12)/10,0)</f>
        <v>19</v>
      </c>
      <c r="J52" s="4">
        <f ca="1">ROUND(T_Facebook_Ads[[#This Row],[video_views]]*RANDBETWEEN(8,12)/10,0)</f>
        <v>11081</v>
      </c>
      <c r="K52" s="4">
        <f ca="1">T_Facebook_Ads[[#This Row],[engagement_rate]]*RANDBETWEEN(8,12)/10</f>
        <v>1.8360000000000001E-2</v>
      </c>
      <c r="L52" s="4">
        <f ca="1">ROUND(T_Facebook_Ads[[#This Row],[reach]]*RANDBETWEEN(8,12)/10,0)</f>
        <v>50814</v>
      </c>
      <c r="M52" s="4">
        <f ca="1">T_Facebook_Ads[[#This Row],[frequency]]*RANDBETWEEN(8,12)/10</f>
        <v>1.19</v>
      </c>
      <c r="O52" s="3">
        <f t="shared" ca="1" si="6"/>
        <v>45195</v>
      </c>
      <c r="P52" s="4" t="s">
        <v>76</v>
      </c>
      <c r="Q52" s="4" t="s">
        <v>77</v>
      </c>
      <c r="R52" s="4" t="s">
        <v>78</v>
      </c>
      <c r="S52" s="4" t="s">
        <v>79</v>
      </c>
      <c r="T52" s="4">
        <f ca="1">ROUND(_Google_ads[[#This Row],[impressions]]*RANDBETWEEN(8,12)/10,0)</f>
        <v>30547</v>
      </c>
      <c r="U52" s="4">
        <f ca="1">ROUND(_Google_ads[[#This Row],[clicks]]*RANDBETWEEN(8,12)/10,0)</f>
        <v>1345</v>
      </c>
      <c r="V52" s="4">
        <f ca="1">_Google_ads[[#This Row],[cost]]*RANDBETWEEN(8,12)/10</f>
        <v>283.03000000000003</v>
      </c>
      <c r="W52" s="4">
        <f ca="1">ROUND(_Google_ads[[#This Row],[conversions]]*RANDBETWEEN(8,12)/10,0)</f>
        <v>56</v>
      </c>
      <c r="X52" s="4">
        <f ca="1">ROUND(_Google_ads[[#This Row],[conversion_value]]*RANDBETWEEN(8,12)/10,0)</f>
        <v>2805</v>
      </c>
      <c r="Y52" s="4">
        <f ca="1">_Google_ads[[#This Row],[ctr]]*RANDBETWEEN(8,12)/10</f>
        <v>4.752E-2</v>
      </c>
      <c r="Z52" s="4">
        <f ca="1">_Google_ads[[#This Row],[avg_cpc]]*RANDBETWEEN(8,12)/10</f>
        <v>0.19</v>
      </c>
      <c r="AA52" s="4">
        <f ca="1">ROUND(_Google_ads[[#This Row],[quality_score]]*RANDBETWEEN(8,12)/10,0)</f>
        <v>7</v>
      </c>
      <c r="AB52" s="4">
        <f ca="1">_Google_ads[[#This Row],[search_impression_share]]*RANDBETWEEN(8,12)/10</f>
        <v>0.92000000000000015</v>
      </c>
      <c r="AD52" s="3">
        <f t="shared" ca="1" si="7"/>
        <v>45197</v>
      </c>
      <c r="AE52" s="4" t="s">
        <v>100</v>
      </c>
      <c r="AF52" s="4" t="s">
        <v>101</v>
      </c>
      <c r="AG52" s="4" t="s">
        <v>102</v>
      </c>
      <c r="AH52" s="4" t="s">
        <v>103</v>
      </c>
      <c r="AI52" s="4">
        <f ca="1">ROUND(T_Tiktok_ads[[#This Row],[impressions]]*RANDBETWEEN(8,12)/10,0)</f>
        <v>289012</v>
      </c>
      <c r="AJ52" s="4">
        <f ca="1">ROUND(T_Tiktok_ads[[#This Row],[clicks]]*RANDBETWEEN(8,12)/10,0)</f>
        <v>5081</v>
      </c>
      <c r="AK52" s="4">
        <v>556.70000000000005</v>
      </c>
      <c r="AL52" s="4">
        <f ca="1">ROUND(T_Tiktok_ads[[#This Row],[conversions]]*RANDBETWEEN(8,12)/10,0)</f>
        <v>39</v>
      </c>
      <c r="AM52" s="4">
        <f ca="1">ROUND(T_Tiktok_ads[[#This Row],[video_views]]*RANDBETWEEN(8,12)/10,0)</f>
        <v>211110</v>
      </c>
      <c r="AN52" s="4">
        <f ca="1">ROUND(T_Tiktok_ads[[#This Row],[video_watch_25]]*RANDBETWEEN(8,12)/10,0)</f>
        <v>145876</v>
      </c>
      <c r="AO52" s="4">
        <f ca="1">ROUND(T_Tiktok_ads[[#This Row],[video_watch_50]]*RANDBETWEEN(8,12)/10,0)</f>
        <v>103110</v>
      </c>
      <c r="AP52" s="4">
        <f ca="1">ROUND(T_Tiktok_ads[[#This Row],[video_watch_75]]*RANDBETWEEN(8,12)/10,0)</f>
        <v>92681</v>
      </c>
      <c r="AQ52" s="4">
        <f ca="1">ROUND(T_Tiktok_ads[[#This Row],[video_watch_100]]*RANDBETWEEN(8,12)/10,0)</f>
        <v>40987</v>
      </c>
      <c r="AR52" s="4">
        <f ca="1">ROUND(T_Tiktok_ads[[#This Row],[likes]]*RANDBETWEEN(8,12)/10,0)</f>
        <v>10345</v>
      </c>
      <c r="AS52" s="4">
        <f ca="1">ROUND(T_Tiktok_ads[[#This Row],[shares]]*RANDBETWEEN(8,12)/10,0)</f>
        <v>2789</v>
      </c>
      <c r="AT52" s="4">
        <f ca="1">ROUND(T_Tiktok_ads[[#This Row],[comments]]*RANDBETWEEN(8,12)/10,0)</f>
        <v>590</v>
      </c>
      <c r="AV52" s="5">
        <f t="shared" ca="1" si="8"/>
        <v>45181</v>
      </c>
      <c r="AW52">
        <f t="shared" ca="1" si="4"/>
        <v>8</v>
      </c>
      <c r="AX52">
        <f ca="1">ROUND(T_Facebook_Ads115963677175798387[[#This Row],[impressions]]*RANDBETWEEN(8,12)/10,0)</f>
        <v>55257</v>
      </c>
      <c r="AY52">
        <f ca="1">ROUND(T_Facebook_Ads115963677175798387[[#This Row],[clicks]]*RANDBETWEEN(8,12)/10,0)</f>
        <v>1228</v>
      </c>
      <c r="AZ52">
        <f ca="1">T_Facebook_Ads115963677175798387[[#This Row],[spend]]*RANDBETWEEN(8,12)/10</f>
        <v>172.56</v>
      </c>
      <c r="BA52">
        <f ca="1">ROUND(T_Facebook_Ads115963677175798387[[#This Row],[conversions]]*RANDBETWEEN(8,12)/10,0)</f>
        <v>17</v>
      </c>
      <c r="BB52">
        <f ca="1">ROUND(T_Facebook_Ads115963677175798387[[#This Row],[video_views]]*RANDBETWEEN(8,12)/10,0)</f>
        <v>12189</v>
      </c>
    </row>
    <row r="53" spans="1:54" ht="15.75" thickBot="1" x14ac:dyDescent="0.3">
      <c r="A53" s="3">
        <f t="shared" ca="1" si="5"/>
        <v>45195</v>
      </c>
      <c r="B53" s="4" t="s">
        <v>56</v>
      </c>
      <c r="C53" s="4" t="s">
        <v>57</v>
      </c>
      <c r="D53" s="4" t="s">
        <v>58</v>
      </c>
      <c r="E53" s="4" t="s">
        <v>59</v>
      </c>
      <c r="F53" s="4">
        <f ca="1">ROUND(T_Facebook_Ads[[#This Row],[impressions]]*RANDBETWEEN(8,12)/10,0)</f>
        <v>17081</v>
      </c>
      <c r="G53" s="4">
        <v>678</v>
      </c>
      <c r="H53" s="4">
        <f ca="1">T_Facebook_Ads[[#This Row],[spend]]*RANDBETWEEN(8,12)/10</f>
        <v>223.65</v>
      </c>
      <c r="I53" s="4">
        <f ca="1">ROUND(T_Facebook_Ads[[#This Row],[conversions]]*RANDBETWEEN(8,12)/10,0)</f>
        <v>42</v>
      </c>
      <c r="J53" s="4">
        <f ca="1">ROUND(T_Facebook_Ads[[#This Row],[video_views]]*RANDBETWEEN(8,12)/10,0)</f>
        <v>1254</v>
      </c>
      <c r="K53" s="4">
        <f ca="1">T_Facebook_Ads[[#This Row],[engagement_rate]]*RANDBETWEEN(8,12)/10</f>
        <v>5.2469999999999996E-2</v>
      </c>
      <c r="L53" s="4">
        <f ca="1">ROUND(T_Facebook_Ads[[#This Row],[reach]]*RANDBETWEEN(8,12)/10,0)</f>
        <v>12357</v>
      </c>
      <c r="M53" s="4">
        <f ca="1">T_Facebook_Ads[[#This Row],[frequency]]*RANDBETWEEN(8,12)/10</f>
        <v>1.524</v>
      </c>
      <c r="O53" s="3">
        <f t="shared" ca="1" si="6"/>
        <v>45186</v>
      </c>
      <c r="P53" s="4" t="s">
        <v>80</v>
      </c>
      <c r="Q53" s="4" t="s">
        <v>81</v>
      </c>
      <c r="R53" s="4" t="s">
        <v>82</v>
      </c>
      <c r="S53" s="4" t="s">
        <v>83</v>
      </c>
      <c r="T53" s="4">
        <f ca="1">ROUND(_Google_ads[[#This Row],[impressions]]*RANDBETWEEN(8,12)/10,0)</f>
        <v>50246</v>
      </c>
      <c r="U53" s="4">
        <f ca="1">ROUND(_Google_ads[[#This Row],[clicks]]*RANDBETWEEN(8,12)/10,0)</f>
        <v>901</v>
      </c>
      <c r="V53" s="4">
        <f ca="1">_Google_ads[[#This Row],[cost]]*RANDBETWEEN(8,12)/10</f>
        <v>584.5</v>
      </c>
      <c r="W53" s="4">
        <f ca="1">ROUND(_Google_ads[[#This Row],[conversions]]*RANDBETWEEN(8,12)/10,0)</f>
        <v>22</v>
      </c>
      <c r="X53" s="4">
        <f ca="1">ROUND(_Google_ads[[#This Row],[conversion_value]]*RANDBETWEEN(8,12)/10,0)</f>
        <v>1320</v>
      </c>
      <c r="Y53" s="4">
        <f ca="1">_Google_ads[[#This Row],[ctr]]*RANDBETWEEN(8,12)/10</f>
        <v>1.576E-2</v>
      </c>
      <c r="Z53" s="4">
        <f ca="1">_Google_ads[[#This Row],[avg_cpc]]*RANDBETWEEN(8,12)/10</f>
        <v>0.65</v>
      </c>
      <c r="AA53" s="4">
        <f ca="1">ROUND(_Google_ads[[#This Row],[quality_score]]*RANDBETWEEN(8,12)/10,0)</f>
        <v>7</v>
      </c>
      <c r="AB53" s="4">
        <f ca="1">_Google_ads[[#This Row],[search_impression_share]]*RANDBETWEEN(8,12)/10</f>
        <v>0.45</v>
      </c>
      <c r="AD53" s="3">
        <f t="shared" ca="1" si="7"/>
        <v>45171</v>
      </c>
      <c r="AE53" s="4" t="s">
        <v>104</v>
      </c>
      <c r="AF53" s="4" t="s">
        <v>105</v>
      </c>
      <c r="AG53" s="4" t="s">
        <v>106</v>
      </c>
      <c r="AH53" s="4" t="s">
        <v>107</v>
      </c>
      <c r="AI53" s="4">
        <f ca="1">ROUND(T_Tiktok_ads[[#This Row],[impressions]]*RANDBETWEEN(8,12)/10,0)</f>
        <v>141110</v>
      </c>
      <c r="AJ53" s="4">
        <f ca="1">ROUND(T_Tiktok_ads[[#This Row],[clicks]]*RANDBETWEEN(8,12)/10,0)</f>
        <v>2410</v>
      </c>
      <c r="AK53" s="4">
        <v>812.3</v>
      </c>
      <c r="AL53" s="4">
        <f ca="1">ROUND(T_Tiktok_ads[[#This Row],[conversions]]*RANDBETWEEN(8,12)/10,0)</f>
        <v>90</v>
      </c>
      <c r="AM53" s="4">
        <f ca="1">ROUND(T_Tiktok_ads[[#This Row],[video_views]]*RANDBETWEEN(8,12)/10,0)</f>
        <v>120864</v>
      </c>
      <c r="AN53" s="4">
        <f ca="1">ROUND(T_Tiktok_ads[[#This Row],[video_watch_25]]*RANDBETWEEN(8,12)/10,0)</f>
        <v>89357</v>
      </c>
      <c r="AO53" s="4">
        <f ca="1">ROUND(T_Tiktok_ads[[#This Row],[video_watch_50]]*RANDBETWEEN(8,12)/10,0)</f>
        <v>43742</v>
      </c>
      <c r="AP53" s="4">
        <f ca="1">ROUND(T_Tiktok_ads[[#This Row],[video_watch_75]]*RANDBETWEEN(8,12)/10,0)</f>
        <v>41234</v>
      </c>
      <c r="AQ53" s="4">
        <f ca="1">ROUND(T_Tiktok_ads[[#This Row],[video_watch_100]]*RANDBETWEEN(8,12)/10,0)</f>
        <v>30324</v>
      </c>
      <c r="AR53" s="4">
        <f ca="1">ROUND(T_Tiktok_ads[[#This Row],[likes]]*RANDBETWEEN(8,12)/10,0)</f>
        <v>4365</v>
      </c>
      <c r="AS53" s="4">
        <f ca="1">ROUND(T_Tiktok_ads[[#This Row],[shares]]*RANDBETWEEN(8,12)/10,0)</f>
        <v>1254</v>
      </c>
      <c r="AT53" s="4">
        <f ca="1">ROUND(T_Tiktok_ads[[#This Row],[comments]]*RANDBETWEEN(8,12)/10,0)</f>
        <v>318</v>
      </c>
      <c r="AV53" s="5">
        <f t="shared" ca="1" si="8"/>
        <v>45187</v>
      </c>
      <c r="AW53">
        <f t="shared" ca="1" si="4"/>
        <v>4</v>
      </c>
      <c r="AX53">
        <f ca="1">ROUND(T_Facebook_Ads115963677175798387[[#This Row],[impressions]]*RANDBETWEEN(8,12)/10,0)</f>
        <v>15373</v>
      </c>
      <c r="AY53">
        <f ca="1">ROUND(T_Facebook_Ads115963677175798387[[#This Row],[clicks]]*RANDBETWEEN(8,12)/10,0)</f>
        <v>746</v>
      </c>
      <c r="AZ53">
        <f ca="1">T_Facebook_Ads115963677175798387[[#This Row],[spend]]*RANDBETWEEN(8,12)/10</f>
        <v>268.38</v>
      </c>
      <c r="BA53">
        <f ca="1">ROUND(T_Facebook_Ads115963677175798387[[#This Row],[conversions]]*RANDBETWEEN(8,12)/10,0)</f>
        <v>50</v>
      </c>
      <c r="BB53">
        <f ca="1">ROUND(T_Facebook_Ads115963677175798387[[#This Row],[video_views]]*RANDBETWEEN(8,12)/10,0)</f>
        <v>1129</v>
      </c>
    </row>
    <row r="54" spans="1:54" ht="15.75" thickBot="1" x14ac:dyDescent="0.3">
      <c r="A54" s="3">
        <f t="shared" ca="1" si="5"/>
        <v>45171</v>
      </c>
      <c r="B54" s="4" t="s">
        <v>60</v>
      </c>
      <c r="C54" s="4" t="s">
        <v>61</v>
      </c>
      <c r="D54" s="4" t="s">
        <v>62</v>
      </c>
      <c r="E54" s="4" t="s">
        <v>63</v>
      </c>
      <c r="F54" s="4">
        <f ca="1">ROUND(T_Facebook_Ads[[#This Row],[impressions]]*RANDBETWEEN(8,12)/10,0)</f>
        <v>38456</v>
      </c>
      <c r="G54" s="4">
        <v>1423</v>
      </c>
      <c r="H54" s="4">
        <f ca="1">T_Facebook_Ads[[#This Row],[spend]]*RANDBETWEEN(8,12)/10</f>
        <v>218.7</v>
      </c>
      <c r="I54" s="4">
        <f ca="1">ROUND(T_Facebook_Ads[[#This Row],[conversions]]*RANDBETWEEN(8,12)/10,0)</f>
        <v>30</v>
      </c>
      <c r="J54" s="4">
        <f ca="1">ROUND(T_Facebook_Ads[[#This Row],[video_views]]*RANDBETWEEN(8,12)/10,0)</f>
        <v>5635</v>
      </c>
      <c r="K54" s="4">
        <f ca="1">T_Facebook_Ads[[#This Row],[engagement_rate]]*RANDBETWEEN(8,12)/10</f>
        <v>3.6999999999999998E-2</v>
      </c>
      <c r="L54" s="4">
        <f ca="1">ROUND(T_Facebook_Ads[[#This Row],[reach]]*RANDBETWEEN(8,12)/10,0)</f>
        <v>31234</v>
      </c>
      <c r="M54" s="4">
        <f ca="1">T_Facebook_Ads[[#This Row],[frequency]]*RANDBETWEEN(8,12)/10</f>
        <v>1.476</v>
      </c>
      <c r="O54" s="3">
        <f t="shared" ca="1" si="6"/>
        <v>45193</v>
      </c>
      <c r="P54" s="4" t="s">
        <v>84</v>
      </c>
      <c r="Q54" s="4" t="s">
        <v>85</v>
      </c>
      <c r="R54" s="4" t="s">
        <v>86</v>
      </c>
      <c r="S54" s="4" t="s">
        <v>87</v>
      </c>
      <c r="T54" s="4">
        <f ca="1">ROUND(_Google_ads[[#This Row],[impressions]]*RANDBETWEEN(8,12)/10,0)</f>
        <v>84148</v>
      </c>
      <c r="U54" s="4">
        <f ca="1">ROUND(_Google_ads[[#This Row],[clicks]]*RANDBETWEEN(8,12)/10,0)</f>
        <v>2854</v>
      </c>
      <c r="V54" s="4">
        <f ca="1">_Google_ads[[#This Row],[cost]]*RANDBETWEEN(8,12)/10</f>
        <v>522.96</v>
      </c>
      <c r="W54" s="4">
        <f ca="1">ROUND(_Google_ads[[#This Row],[conversions]]*RANDBETWEEN(8,12)/10,0)</f>
        <v>83</v>
      </c>
      <c r="X54" s="4">
        <f ca="1">ROUND(_Google_ads[[#This Row],[conversion_value]]*RANDBETWEEN(8,12)/10,0)</f>
        <v>3795</v>
      </c>
      <c r="Y54" s="4">
        <f ca="1">_Google_ads[[#This Row],[ctr]]*RANDBETWEEN(8,12)/10</f>
        <v>2.7119999999999998E-2</v>
      </c>
      <c r="Z54" s="4">
        <f ca="1">_Google_ads[[#This Row],[avg_cpc]]*RANDBETWEEN(8,12)/10</f>
        <v>0.14399999999999999</v>
      </c>
      <c r="AA54" s="4">
        <f ca="1">ROUND(_Google_ads[[#This Row],[quality_score]]*RANDBETWEEN(8,12)/10,0)</f>
        <v>7</v>
      </c>
      <c r="AB54" s="4">
        <f ca="1">_Google_ads[[#This Row],[search_impression_share]]*RANDBETWEEN(8,12)/10</f>
        <v>0.53600000000000003</v>
      </c>
      <c r="AD54" s="3">
        <f t="shared" ca="1" si="7"/>
        <v>45196</v>
      </c>
      <c r="AE54" s="4" t="s">
        <v>108</v>
      </c>
      <c r="AF54" s="4" t="s">
        <v>109</v>
      </c>
      <c r="AG54" s="4" t="s">
        <v>110</v>
      </c>
      <c r="AH54" s="4" t="s">
        <v>111</v>
      </c>
      <c r="AI54" s="4">
        <f ca="1">ROUND(T_Tiktok_ads[[#This Row],[impressions]]*RANDBETWEEN(8,12)/10,0)</f>
        <v>294814</v>
      </c>
      <c r="AJ54" s="4">
        <f ca="1">ROUND(T_Tiktok_ads[[#This Row],[clicks]]*RANDBETWEEN(8,12)/10,0)</f>
        <v>3501</v>
      </c>
      <c r="AK54" s="4">
        <v>467.8</v>
      </c>
      <c r="AL54" s="4">
        <f ca="1">ROUND(T_Tiktok_ads[[#This Row],[conversions]]*RANDBETWEEN(8,12)/10,0)</f>
        <v>37</v>
      </c>
      <c r="AM54" s="4">
        <f ca="1">ROUND(T_Tiktok_ads[[#This Row],[video_views]]*RANDBETWEEN(8,12)/10,0)</f>
        <v>176110</v>
      </c>
      <c r="AN54" s="4">
        <f ca="1">ROUND(T_Tiktok_ads[[#This Row],[video_watch_25]]*RANDBETWEEN(8,12)/10,0)</f>
        <v>118587</v>
      </c>
      <c r="AO54" s="4">
        <f ca="1">ROUND(T_Tiktok_ads[[#This Row],[video_watch_50]]*RANDBETWEEN(8,12)/10,0)</f>
        <v>128957</v>
      </c>
      <c r="AP54" s="4">
        <f ca="1">ROUND(T_Tiktok_ads[[#This Row],[video_watch_75]]*RANDBETWEEN(8,12)/10,0)</f>
        <v>75234</v>
      </c>
      <c r="AQ54" s="4">
        <f ca="1">ROUND(T_Tiktok_ads[[#This Row],[video_watch_100]]*RANDBETWEEN(8,12)/10,0)</f>
        <v>45789</v>
      </c>
      <c r="AR54" s="4">
        <f ca="1">ROUND(T_Tiktok_ads[[#This Row],[likes]]*RANDBETWEEN(8,12)/10,0)</f>
        <v>7710</v>
      </c>
      <c r="AS54" s="4">
        <f ca="1">ROUND(T_Tiktok_ads[[#This Row],[shares]]*RANDBETWEEN(8,12)/10,0)</f>
        <v>2580</v>
      </c>
      <c r="AT54" s="4">
        <f ca="1">ROUND(T_Tiktok_ads[[#This Row],[comments]]*RANDBETWEEN(8,12)/10,0)</f>
        <v>624</v>
      </c>
      <c r="AV54" s="5">
        <f t="shared" ca="1" si="8"/>
        <v>45192</v>
      </c>
      <c r="AW54">
        <f t="shared" ca="1" si="4"/>
        <v>6</v>
      </c>
      <c r="AX54">
        <f ca="1">ROUND(T_Facebook_Ads115963677175798387[[#This Row],[impressions]]*RANDBETWEEN(8,12)/10,0)</f>
        <v>38456</v>
      </c>
      <c r="AY54">
        <f ca="1">ROUND(T_Facebook_Ads115963677175798387[[#This Row],[clicks]]*RANDBETWEEN(8,12)/10,0)</f>
        <v>1708</v>
      </c>
      <c r="AZ54">
        <f ca="1">T_Facebook_Ads115963677175798387[[#This Row],[spend]]*RANDBETWEEN(8,12)/10</f>
        <v>240.57</v>
      </c>
      <c r="BA54">
        <f ca="1">ROUND(T_Facebook_Ads115963677175798387[[#This Row],[conversions]]*RANDBETWEEN(8,12)/10,0)</f>
        <v>36</v>
      </c>
      <c r="BB54">
        <f ca="1">ROUND(T_Facebook_Ads115963677175798387[[#This Row],[video_views]]*RANDBETWEEN(8,12)/10,0)</f>
        <v>6762</v>
      </c>
    </row>
    <row r="55" spans="1:54" ht="15.75" thickBot="1" x14ac:dyDescent="0.3">
      <c r="A55" s="3">
        <f t="shared" ca="1" si="5"/>
        <v>45197</v>
      </c>
      <c r="B55" s="4" t="s">
        <v>64</v>
      </c>
      <c r="C55" s="4" t="s">
        <v>65</v>
      </c>
      <c r="D55" s="4" t="s">
        <v>66</v>
      </c>
      <c r="E55" s="4" t="s">
        <v>67</v>
      </c>
      <c r="F55" s="4">
        <f ca="1">ROUND(T_Facebook_Ads[[#This Row],[impressions]]*RANDBETWEEN(8,12)/10,0)</f>
        <v>58765</v>
      </c>
      <c r="G55" s="4">
        <v>267</v>
      </c>
      <c r="H55" s="4">
        <f ca="1">T_Facebook_Ads[[#This Row],[spend]]*RANDBETWEEN(8,12)/10</f>
        <v>103.62</v>
      </c>
      <c r="I55" s="4">
        <f ca="1">ROUND(T_Facebook_Ads[[#This Row],[conversions]]*RANDBETWEEN(8,12)/10,0)</f>
        <v>6</v>
      </c>
      <c r="J55" s="4">
        <f ca="1">ROUND(T_Facebook_Ads[[#This Row],[video_views]]*RANDBETWEEN(8,12)/10,0)</f>
        <v>44901</v>
      </c>
      <c r="K55" s="4">
        <f ca="1">T_Facebook_Ads[[#This Row],[engagement_rate]]*RANDBETWEEN(8,12)/10</f>
        <v>2.8799999999999997E-3</v>
      </c>
      <c r="L55" s="4">
        <f ca="1">ROUND(T_Facebook_Ads[[#This Row],[reach]]*RANDBETWEEN(8,12)/10,0)</f>
        <v>59567</v>
      </c>
      <c r="M55" s="4">
        <f ca="1">T_Facebook_Ads[[#This Row],[frequency]]*RANDBETWEEN(8,12)/10</f>
        <v>0.99199999999999999</v>
      </c>
      <c r="O55" s="3">
        <f t="shared" ca="1" si="6"/>
        <v>45194</v>
      </c>
      <c r="P55" s="4" t="s">
        <v>88</v>
      </c>
      <c r="Q55" s="4" t="s">
        <v>89</v>
      </c>
      <c r="R55" s="4" t="s">
        <v>90</v>
      </c>
      <c r="S55" s="4" t="s">
        <v>59</v>
      </c>
      <c r="T55" s="4">
        <f ca="1">ROUND(_Google_ads[[#This Row],[impressions]]*RANDBETWEEN(8,12)/10,0)</f>
        <v>106054</v>
      </c>
      <c r="U55" s="4">
        <f ca="1">ROUND(_Google_ads[[#This Row],[clicks]]*RANDBETWEEN(8,12)/10,0)</f>
        <v>440</v>
      </c>
      <c r="V55" s="4">
        <f ca="1">_Google_ads[[#This Row],[cost]]*RANDBETWEEN(8,12)/10</f>
        <v>130.5</v>
      </c>
      <c r="W55" s="4">
        <f ca="1">ROUND(_Google_ads[[#This Row],[conversions]]*RANDBETWEEN(8,12)/10,0)</f>
        <v>13</v>
      </c>
      <c r="X55" s="4">
        <f ca="1">ROUND(_Google_ads[[#This Row],[conversion_value]]*RANDBETWEEN(8,12)/10,0)</f>
        <v>840</v>
      </c>
      <c r="Y55" s="4">
        <f ca="1">_Google_ads[[#This Row],[ctr]]*RANDBETWEEN(8,12)/10</f>
        <v>3.3300000000000005E-3</v>
      </c>
      <c r="Z55" s="4">
        <f ca="1">_Google_ads[[#This Row],[avg_cpc]]*RANDBETWEEN(8,12)/10</f>
        <v>0.21600000000000003</v>
      </c>
      <c r="AA55" s="4">
        <f ca="1">ROUND(_Google_ads[[#This Row],[quality_score]]*RANDBETWEEN(8,12)/10,0)</f>
        <v>6</v>
      </c>
      <c r="AB55" s="4">
        <f ca="1">_Google_ads[[#This Row],[search_impression_share]]*RANDBETWEEN(8,12)/10</f>
        <v>0.41999999999999993</v>
      </c>
      <c r="AD55" s="3">
        <f t="shared" ca="1" si="7"/>
        <v>45181</v>
      </c>
      <c r="AE55" s="4" t="s">
        <v>112</v>
      </c>
      <c r="AF55" s="4" t="s">
        <v>113</v>
      </c>
      <c r="AG55" s="4" t="s">
        <v>114</v>
      </c>
      <c r="AH55" s="4" t="s">
        <v>115</v>
      </c>
      <c r="AI55" s="4">
        <f ca="1">ROUND(T_Tiktok_ads[[#This Row],[impressions]]*RANDBETWEEN(8,12)/10,0)</f>
        <v>338765</v>
      </c>
      <c r="AJ55" s="4">
        <f ca="1">ROUND(T_Tiktok_ads[[#This Row],[clicks]]*RANDBETWEEN(8,12)/10,0)</f>
        <v>7579</v>
      </c>
      <c r="AK55" s="4">
        <v>1056.8</v>
      </c>
      <c r="AL55" s="4">
        <f ca="1">ROUND(T_Tiktok_ads[[#This Row],[conversions]]*RANDBETWEEN(8,12)/10,0)</f>
        <v>128</v>
      </c>
      <c r="AM55" s="4">
        <f ca="1">ROUND(T_Tiktok_ads[[#This Row],[video_views]]*RANDBETWEEN(8,12)/10,0)</f>
        <v>356789</v>
      </c>
      <c r="AN55" s="4">
        <f ca="1">ROUND(T_Tiktok_ads[[#This Row],[video_watch_25]]*RANDBETWEEN(8,12)/10,0)</f>
        <v>231387</v>
      </c>
      <c r="AO55" s="4">
        <f ca="1">ROUND(T_Tiktok_ads[[#This Row],[video_watch_50]]*RANDBETWEEN(8,12)/10,0)</f>
        <v>277747</v>
      </c>
      <c r="AP55" s="4">
        <f ca="1">ROUND(T_Tiktok_ads[[#This Row],[video_watch_75]]*RANDBETWEEN(8,12)/10,0)</f>
        <v>197480</v>
      </c>
      <c r="AQ55" s="4">
        <f ca="1">ROUND(T_Tiktok_ads[[#This Row],[video_watch_100]]*RANDBETWEEN(8,12)/10,0)</f>
        <v>131081</v>
      </c>
      <c r="AR55" s="4">
        <f ca="1">ROUND(T_Tiktok_ads[[#This Row],[likes]]*RANDBETWEEN(8,12)/10,0)</f>
        <v>15112</v>
      </c>
      <c r="AS55" s="4">
        <f ca="1">ROUND(T_Tiktok_ads[[#This Row],[shares]]*RANDBETWEEN(8,12)/10,0)</f>
        <v>6547</v>
      </c>
      <c r="AT55" s="4">
        <f ca="1">ROUND(T_Tiktok_ads[[#This Row],[comments]]*RANDBETWEEN(8,12)/10,0)</f>
        <v>1191</v>
      </c>
      <c r="AV55" s="5">
        <f t="shared" ca="1" si="8"/>
        <v>45181</v>
      </c>
      <c r="AW55">
        <f t="shared" ca="1" si="4"/>
        <v>6</v>
      </c>
      <c r="AX55">
        <f ca="1">ROUND(T_Facebook_Ads115963677175798387[[#This Row],[impressions]]*RANDBETWEEN(8,12)/10,0)</f>
        <v>47012</v>
      </c>
      <c r="AY55">
        <f ca="1">ROUND(T_Facebook_Ads115963677175798387[[#This Row],[clicks]]*RANDBETWEEN(8,12)/10,0)</f>
        <v>294</v>
      </c>
      <c r="AZ55">
        <f ca="1">T_Facebook_Ads115963677175798387[[#This Row],[spend]]*RANDBETWEEN(8,12)/10</f>
        <v>113.98200000000001</v>
      </c>
      <c r="BA55">
        <f ca="1">ROUND(T_Facebook_Ads115963677175798387[[#This Row],[conversions]]*RANDBETWEEN(8,12)/10,0)</f>
        <v>7</v>
      </c>
      <c r="BB55">
        <f ca="1">ROUND(T_Facebook_Ads115963677175798387[[#This Row],[video_views]]*RANDBETWEEN(8,12)/10,0)</f>
        <v>44901</v>
      </c>
    </row>
    <row r="56" spans="1:54" ht="15.75" thickBot="1" x14ac:dyDescent="0.3">
      <c r="A56" s="3">
        <f t="shared" ca="1" si="5"/>
        <v>45180</v>
      </c>
      <c r="B56" s="4" t="s">
        <v>52</v>
      </c>
      <c r="C56" s="4" t="s">
        <v>53</v>
      </c>
      <c r="D56" s="4" t="s">
        <v>54</v>
      </c>
      <c r="E56" s="4" t="s">
        <v>55</v>
      </c>
      <c r="F56" s="4">
        <f ca="1">ROUND(T_Facebook_Ads[[#This Row],[impressions]]*RANDBETWEEN(8,12)/10,0)</f>
        <v>41431</v>
      </c>
      <c r="G56" s="4">
        <v>1089</v>
      </c>
      <c r="H56" s="4">
        <f ca="1">T_Facebook_Ads[[#This Row],[spend]]*RANDBETWEEN(8,12)/10</f>
        <v>182.76000000000002</v>
      </c>
      <c r="I56" s="4">
        <f ca="1">ROUND(T_Facebook_Ads[[#This Row],[conversions]]*RANDBETWEEN(8,12)/10,0)</f>
        <v>14</v>
      </c>
      <c r="J56" s="4">
        <f ca="1">ROUND(T_Facebook_Ads[[#This Row],[video_views]]*RANDBETWEEN(8,12)/10,0)</f>
        <v>7654</v>
      </c>
      <c r="K56" s="4">
        <f ca="1">T_Facebook_Ads[[#This Row],[engagement_rate]]*RANDBETWEEN(8,12)/10</f>
        <v>2.3100000000000002E-2</v>
      </c>
      <c r="L56" s="4">
        <f ca="1">ROUND(T_Facebook_Ads[[#This Row],[reach]]*RANDBETWEEN(8,12)/10,0)</f>
        <v>52280</v>
      </c>
      <c r="M56" s="4">
        <f ca="1">T_Facebook_Ads[[#This Row],[frequency]]*RANDBETWEEN(8,12)/10</f>
        <v>1.3089999999999999</v>
      </c>
      <c r="O56" s="3">
        <f t="shared" ca="1" si="6"/>
        <v>45186</v>
      </c>
      <c r="P56" s="4" t="s">
        <v>76</v>
      </c>
      <c r="Q56" s="4" t="s">
        <v>77</v>
      </c>
      <c r="R56" s="4" t="s">
        <v>78</v>
      </c>
      <c r="S56" s="4" t="s">
        <v>79</v>
      </c>
      <c r="T56" s="4">
        <f ca="1">ROUND(_Google_ads[[#This Row],[impressions]]*RANDBETWEEN(8,12)/10,0)</f>
        <v>21431</v>
      </c>
      <c r="U56" s="4">
        <f ca="1">ROUND(_Google_ads[[#This Row],[clicks]]*RANDBETWEEN(8,12)/10,0)</f>
        <v>1602</v>
      </c>
      <c r="V56" s="4">
        <f ca="1">_Google_ads[[#This Row],[cost]]*RANDBETWEEN(8,12)/10</f>
        <v>334.67999999999995</v>
      </c>
      <c r="W56" s="4">
        <f ca="1">ROUND(_Google_ads[[#This Row],[conversions]]*RANDBETWEEN(8,12)/10,0)</f>
        <v>59</v>
      </c>
      <c r="X56" s="4">
        <f ca="1">ROUND(_Google_ads[[#This Row],[conversion_value]]*RANDBETWEEN(8,12)/10,0)</f>
        <v>3240</v>
      </c>
      <c r="Y56" s="4">
        <f ca="1">_Google_ads[[#This Row],[ctr]]*RANDBETWEEN(8,12)/10</f>
        <v>5.983999999999999E-2</v>
      </c>
      <c r="Z56" s="4">
        <f ca="1">_Google_ads[[#This Row],[avg_cpc]]*RANDBETWEEN(8,12)/10</f>
        <v>0.22800000000000004</v>
      </c>
      <c r="AA56" s="4">
        <f ca="1">ROUND(_Google_ads[[#This Row],[quality_score]]*RANDBETWEEN(8,12)/10,0)</f>
        <v>7</v>
      </c>
      <c r="AB56" s="4">
        <f ca="1">_Google_ads[[#This Row],[search_impression_share]]*RANDBETWEEN(8,12)/10</f>
        <v>0.83700000000000008</v>
      </c>
      <c r="AD56" s="3">
        <f t="shared" ca="1" si="7"/>
        <v>45195</v>
      </c>
      <c r="AE56" s="4" t="s">
        <v>100</v>
      </c>
      <c r="AF56" s="4" t="s">
        <v>101</v>
      </c>
      <c r="AG56" s="4" t="s">
        <v>102</v>
      </c>
      <c r="AH56" s="4" t="s">
        <v>103</v>
      </c>
      <c r="AI56" s="4">
        <f ca="1">ROUND(T_Tiktok_ads[[#This Row],[impressions]]*RANDBETWEEN(8,12)/10,0)</f>
        <v>301234</v>
      </c>
      <c r="AJ56" s="4">
        <f ca="1">ROUND(T_Tiktok_ads[[#This Row],[clicks]]*RANDBETWEEN(8,12)/10,0)</f>
        <v>4456</v>
      </c>
      <c r="AK56" s="4">
        <v>589.9</v>
      </c>
      <c r="AL56" s="4">
        <f ca="1">ROUND(T_Tiktok_ads[[#This Row],[conversions]]*RANDBETWEEN(8,12)/10,0)</f>
        <v>41</v>
      </c>
      <c r="AM56" s="4">
        <f ca="1">ROUND(T_Tiktok_ads[[#This Row],[video_views]]*RANDBETWEEN(8,12)/10,0)</f>
        <v>221110</v>
      </c>
      <c r="AN56" s="4">
        <f ca="1">ROUND(T_Tiktok_ads[[#This Row],[video_watch_25]]*RANDBETWEEN(8,12)/10,0)</f>
        <v>152987</v>
      </c>
      <c r="AO56" s="4">
        <f ca="1">ROUND(T_Tiktok_ads[[#This Row],[video_watch_50]]*RANDBETWEEN(8,12)/10,0)</f>
        <v>107311</v>
      </c>
      <c r="AP56" s="4">
        <f ca="1">ROUND(T_Tiktok_ads[[#This Row],[video_watch_75]]*RANDBETWEEN(8,12)/10,0)</f>
        <v>64187</v>
      </c>
      <c r="AQ56" s="4">
        <f ca="1">ROUND(T_Tiktok_ads[[#This Row],[video_watch_100]]*RANDBETWEEN(8,12)/10,0)</f>
        <v>58802</v>
      </c>
      <c r="AR56" s="4">
        <f ca="1">ROUND(T_Tiktok_ads[[#This Row],[likes]]*RANDBETWEEN(8,12)/10,0)</f>
        <v>11868</v>
      </c>
      <c r="AS56" s="4">
        <f ca="1">ROUND(T_Tiktok_ads[[#This Row],[shares]]*RANDBETWEEN(8,12)/10,0)</f>
        <v>2901</v>
      </c>
      <c r="AT56" s="4">
        <f ca="1">ROUND(T_Tiktok_ads[[#This Row],[comments]]*RANDBETWEEN(8,12)/10,0)</f>
        <v>758</v>
      </c>
      <c r="AV56" s="5">
        <f t="shared" ca="1" si="8"/>
        <v>45171</v>
      </c>
      <c r="AW56">
        <f t="shared" ca="1" si="4"/>
        <v>8</v>
      </c>
      <c r="AX56">
        <f ca="1">ROUND(T_Facebook_Ads115963677175798387[[#This Row],[impressions]]*RANDBETWEEN(8,12)/10,0)</f>
        <v>37288</v>
      </c>
      <c r="AY56">
        <f ca="1">ROUND(T_Facebook_Ads115963677175798387[[#This Row],[clicks]]*RANDBETWEEN(8,12)/10,0)</f>
        <v>871</v>
      </c>
      <c r="AZ56">
        <f ca="1">T_Facebook_Ads115963677175798387[[#This Row],[spend]]*RANDBETWEEN(8,12)/10</f>
        <v>201.036</v>
      </c>
      <c r="BA56">
        <f ca="1">ROUND(T_Facebook_Ads115963677175798387[[#This Row],[conversions]]*RANDBETWEEN(8,12)/10,0)</f>
        <v>15</v>
      </c>
      <c r="BB56">
        <f ca="1">ROUND(T_Facebook_Ads115963677175798387[[#This Row],[video_views]]*RANDBETWEEN(8,12)/10,0)</f>
        <v>9185</v>
      </c>
    </row>
    <row r="57" spans="1:54" ht="15.75" thickBot="1" x14ac:dyDescent="0.3">
      <c r="A57" s="3">
        <f t="shared" ca="1" si="5"/>
        <v>45178</v>
      </c>
      <c r="B57" s="4" t="s">
        <v>56</v>
      </c>
      <c r="C57" s="4" t="s">
        <v>57</v>
      </c>
      <c r="D57" s="4" t="s">
        <v>58</v>
      </c>
      <c r="E57" s="4" t="s">
        <v>59</v>
      </c>
      <c r="F57" s="4">
        <f ca="1">ROUND(T_Facebook_Ads[[#This Row],[impressions]]*RANDBETWEEN(8,12)/10,0)</f>
        <v>13711</v>
      </c>
      <c r="G57" s="4">
        <v>734</v>
      </c>
      <c r="H57" s="4">
        <f ca="1">T_Facebook_Ads[[#This Row],[spend]]*RANDBETWEEN(8,12)/10</f>
        <v>238.22999999999996</v>
      </c>
      <c r="I57" s="4">
        <f ca="1">ROUND(T_Facebook_Ads[[#This Row],[conversions]]*RANDBETWEEN(8,12)/10,0)</f>
        <v>46</v>
      </c>
      <c r="J57" s="4">
        <f ca="1">ROUND(T_Facebook_Ads[[#This Row],[video_views]]*RANDBETWEEN(8,12)/10,0)</f>
        <v>1342</v>
      </c>
      <c r="K57" s="4">
        <f ca="1">T_Facebook_Ads[[#This Row],[engagement_rate]]*RANDBETWEEN(8,12)/10</f>
        <v>4.82E-2</v>
      </c>
      <c r="L57" s="4">
        <f ca="1">ROUND(T_Facebook_Ads[[#This Row],[reach]]*RANDBETWEEN(8,12)/10,0)</f>
        <v>12123</v>
      </c>
      <c r="M57" s="4">
        <f ca="1">T_Facebook_Ads[[#This Row],[frequency]]*RANDBETWEEN(8,12)/10</f>
        <v>1.008</v>
      </c>
      <c r="O57" s="3">
        <f t="shared" ca="1" si="6"/>
        <v>45198</v>
      </c>
      <c r="P57" s="4" t="s">
        <v>80</v>
      </c>
      <c r="Q57" s="4" t="s">
        <v>81</v>
      </c>
      <c r="R57" s="4" t="s">
        <v>82</v>
      </c>
      <c r="S57" s="4" t="s">
        <v>83</v>
      </c>
      <c r="T57" s="4">
        <f ca="1">ROUND(_Google_ads[[#This Row],[impressions]]*RANDBETWEEN(8,12)/10,0)</f>
        <v>37787</v>
      </c>
      <c r="U57" s="4">
        <f ca="1">ROUND(_Google_ads[[#This Row],[clicks]]*RANDBETWEEN(8,12)/10,0)</f>
        <v>1160</v>
      </c>
      <c r="V57" s="4">
        <f ca="1">_Google_ads[[#This Row],[cost]]*RANDBETWEEN(8,12)/10</f>
        <v>726.72</v>
      </c>
      <c r="W57" s="4">
        <f ca="1">ROUND(_Google_ads[[#This Row],[conversions]]*RANDBETWEEN(8,12)/10,0)</f>
        <v>30</v>
      </c>
      <c r="X57" s="4">
        <f ca="1">ROUND(_Google_ads[[#This Row],[conversion_value]]*RANDBETWEEN(8,12)/10,0)</f>
        <v>1375</v>
      </c>
      <c r="Y57" s="4">
        <f ca="1">_Google_ads[[#This Row],[ctr]]*RANDBETWEEN(8,12)/10</f>
        <v>2.46E-2</v>
      </c>
      <c r="Z57" s="4">
        <f ca="1">_Google_ads[[#This Row],[avg_cpc]]*RANDBETWEEN(8,12)/10</f>
        <v>0.69299999999999995</v>
      </c>
      <c r="AA57" s="4">
        <f ca="1">ROUND(_Google_ads[[#This Row],[quality_score]]*RANDBETWEEN(8,12)/10,0)</f>
        <v>6</v>
      </c>
      <c r="AB57" s="4">
        <f ca="1">_Google_ads[[#This Row],[search_impression_share]]*RANDBETWEEN(8,12)/10</f>
        <v>0.41400000000000003</v>
      </c>
      <c r="AD57" s="3">
        <f t="shared" ca="1" si="7"/>
        <v>45174</v>
      </c>
      <c r="AE57" s="4" t="s">
        <v>104</v>
      </c>
      <c r="AF57" s="4" t="s">
        <v>105</v>
      </c>
      <c r="AG57" s="4" t="s">
        <v>106</v>
      </c>
      <c r="AH57" s="4" t="s">
        <v>107</v>
      </c>
      <c r="AI57" s="4">
        <f ca="1">ROUND(T_Tiktok_ads[[#This Row],[impressions]]*RANDBETWEEN(8,12)/10,0)</f>
        <v>151101</v>
      </c>
      <c r="AJ57" s="4">
        <f ca="1">ROUND(T_Tiktok_ads[[#This Row],[clicks]]*RANDBETWEEN(8,12)/10,0)</f>
        <v>2587</v>
      </c>
      <c r="AK57" s="4">
        <v>845.6</v>
      </c>
      <c r="AL57" s="4">
        <f ca="1">ROUND(T_Tiktok_ads[[#This Row],[conversions]]*RANDBETWEEN(8,12)/10,0)</f>
        <v>102</v>
      </c>
      <c r="AM57" s="4">
        <f ca="1">ROUND(T_Tiktok_ads[[#This Row],[video_views]]*RANDBETWEEN(8,12)/10,0)</f>
        <v>129679</v>
      </c>
      <c r="AN57" s="4">
        <f ca="1">ROUND(T_Tiktok_ads[[#This Row],[video_watch_25]]*RANDBETWEEN(8,12)/10,0)</f>
        <v>95957</v>
      </c>
      <c r="AO57" s="4">
        <f ca="1">ROUND(T_Tiktok_ads[[#This Row],[video_watch_50]]*RANDBETWEEN(8,12)/10,0)</f>
        <v>58901</v>
      </c>
      <c r="AP57" s="4">
        <f ca="1">ROUND(T_Tiktok_ads[[#This Row],[video_watch_75]]*RANDBETWEEN(8,12)/10,0)</f>
        <v>53081</v>
      </c>
      <c r="AQ57" s="4">
        <f ca="1">ROUND(T_Tiktok_ads[[#This Row],[video_watch_100]]*RANDBETWEEN(8,12)/10,0)</f>
        <v>29567</v>
      </c>
      <c r="AR57" s="4">
        <f ca="1">ROUND(T_Tiktok_ads[[#This Row],[likes]]*RANDBETWEEN(8,12)/10,0)</f>
        <v>4542</v>
      </c>
      <c r="AS57" s="4">
        <f ca="1">ROUND(T_Tiktok_ads[[#This Row],[shares]]*RANDBETWEEN(8,12)/10,0)</f>
        <v>1797</v>
      </c>
      <c r="AT57" s="4">
        <f ca="1">ROUND(T_Tiktok_ads[[#This Row],[comments]]*RANDBETWEEN(8,12)/10,0)</f>
        <v>374</v>
      </c>
      <c r="AV57" s="5">
        <f t="shared" ca="1" si="8"/>
        <v>45195</v>
      </c>
      <c r="AW57">
        <f t="shared" ca="1" si="4"/>
        <v>7</v>
      </c>
      <c r="AX57">
        <f ca="1">ROUND(T_Facebook_Ads115963677175798387[[#This Row],[impressions]]*RANDBETWEEN(8,12)/10,0)</f>
        <v>10969</v>
      </c>
      <c r="AY57">
        <f ca="1">ROUND(T_Facebook_Ads115963677175798387[[#This Row],[clicks]]*RANDBETWEEN(8,12)/10,0)</f>
        <v>807</v>
      </c>
      <c r="AZ57">
        <f ca="1">T_Facebook_Ads115963677175798387[[#This Row],[spend]]*RANDBETWEEN(8,12)/10</f>
        <v>238.22999999999996</v>
      </c>
      <c r="BA57">
        <f ca="1">ROUND(T_Facebook_Ads115963677175798387[[#This Row],[conversions]]*RANDBETWEEN(8,12)/10,0)</f>
        <v>46</v>
      </c>
      <c r="BB57">
        <f ca="1">ROUND(T_Facebook_Ads115963677175798387[[#This Row],[video_views]]*RANDBETWEEN(8,12)/10,0)</f>
        <v>1074</v>
      </c>
    </row>
    <row r="58" spans="1:54" ht="15.75" thickBot="1" x14ac:dyDescent="0.3">
      <c r="A58" s="3">
        <f t="shared" ca="1" si="5"/>
        <v>45196</v>
      </c>
      <c r="B58" s="4" t="s">
        <v>60</v>
      </c>
      <c r="C58" s="4" t="s">
        <v>61</v>
      </c>
      <c r="D58" s="4" t="s">
        <v>62</v>
      </c>
      <c r="E58" s="4" t="s">
        <v>63</v>
      </c>
      <c r="F58" s="4">
        <f ca="1">ROUND(T_Facebook_Ads[[#This Row],[impressions]]*RANDBETWEEN(8,12)/10,0)</f>
        <v>48148</v>
      </c>
      <c r="G58" s="4">
        <v>1534</v>
      </c>
      <c r="H58" s="4">
        <f ca="1">T_Facebook_Ads[[#This Row],[spend]]*RANDBETWEEN(8,12)/10</f>
        <v>232.8</v>
      </c>
      <c r="I58" s="4">
        <f ca="1">ROUND(T_Facebook_Ads[[#This Row],[conversions]]*RANDBETWEEN(8,12)/10,0)</f>
        <v>30</v>
      </c>
      <c r="J58" s="4">
        <f ca="1">ROUND(T_Facebook_Ads[[#This Row],[video_views]]*RANDBETWEEN(8,12)/10,0)</f>
        <v>4365</v>
      </c>
      <c r="K58" s="4">
        <f ca="1">T_Facebook_Ads[[#This Row],[engagement_rate]]*RANDBETWEEN(8,12)/10</f>
        <v>3.0559999999999997E-2</v>
      </c>
      <c r="L58" s="4">
        <f ca="1">ROUND(T_Facebook_Ads[[#This Row],[reach]]*RANDBETWEEN(8,12)/10,0)</f>
        <v>26312</v>
      </c>
      <c r="M58" s="4">
        <f ca="1">T_Facebook_Ads[[#This Row],[frequency]]*RANDBETWEEN(8,12)/10</f>
        <v>1.22</v>
      </c>
      <c r="O58" s="3">
        <f t="shared" ca="1" si="6"/>
        <v>45189</v>
      </c>
      <c r="P58" s="4" t="s">
        <v>84</v>
      </c>
      <c r="Q58" s="4" t="s">
        <v>85</v>
      </c>
      <c r="R58" s="4" t="s">
        <v>86</v>
      </c>
      <c r="S58" s="4" t="s">
        <v>87</v>
      </c>
      <c r="T58" s="4">
        <f ca="1">ROUND(_Google_ads[[#This Row],[impressions]]*RANDBETWEEN(8,12)/10,0)</f>
        <v>65210</v>
      </c>
      <c r="U58" s="4">
        <f ca="1">ROUND(_Google_ads[[#This Row],[clicks]]*RANDBETWEEN(8,12)/10,0)</f>
        <v>2738</v>
      </c>
      <c r="V58" s="4">
        <f ca="1">_Google_ads[[#This Row],[cost]]*RANDBETWEEN(8,12)/10</f>
        <v>405.63</v>
      </c>
      <c r="W58" s="4">
        <f ca="1">ROUND(_Google_ads[[#This Row],[conversions]]*RANDBETWEEN(8,12)/10,0)</f>
        <v>72</v>
      </c>
      <c r="X58" s="4">
        <f ca="1">ROUND(_Google_ads[[#This Row],[conversion_value]]*RANDBETWEEN(8,12)/10,0)</f>
        <v>3960</v>
      </c>
      <c r="Y58" s="4">
        <f ca="1">_Google_ads[[#This Row],[ctr]]*RANDBETWEEN(8,12)/10</f>
        <v>3.7839999999999999E-2</v>
      </c>
      <c r="Z58" s="4">
        <f ca="1">_Google_ads[[#This Row],[avg_cpc]]*RANDBETWEEN(8,12)/10</f>
        <v>0.14399999999999999</v>
      </c>
      <c r="AA58" s="4">
        <f ca="1">ROUND(_Google_ads[[#This Row],[quality_score]]*RANDBETWEEN(8,12)/10,0)</f>
        <v>7</v>
      </c>
      <c r="AB58" s="4">
        <f ca="1">_Google_ads[[#This Row],[search_impression_share]]*RANDBETWEEN(8,12)/10</f>
        <v>0.748</v>
      </c>
      <c r="AD58" s="3">
        <f t="shared" ca="1" si="7"/>
        <v>45177</v>
      </c>
      <c r="AE58" s="4" t="s">
        <v>108</v>
      </c>
      <c r="AF58" s="4" t="s">
        <v>109</v>
      </c>
      <c r="AG58" s="4" t="s">
        <v>110</v>
      </c>
      <c r="AH58" s="4" t="s">
        <v>111</v>
      </c>
      <c r="AI58" s="4">
        <f ca="1">ROUND(T_Tiktok_ads[[#This Row],[impressions]]*RANDBETWEEN(8,12)/10,0)</f>
        <v>256789</v>
      </c>
      <c r="AJ58" s="4">
        <f ca="1">ROUND(T_Tiktok_ads[[#This Row],[clicks]]*RANDBETWEEN(8,12)/10,0)</f>
        <v>4413</v>
      </c>
      <c r="AK58" s="4">
        <v>489.2</v>
      </c>
      <c r="AL58" s="4">
        <f ca="1">ROUND(T_Tiktok_ads[[#This Row],[conversions]]*RANDBETWEEN(8,12)/10,0)</f>
        <v>40</v>
      </c>
      <c r="AM58" s="4">
        <f ca="1">ROUND(T_Tiktok_ads[[#This Row],[video_views]]*RANDBETWEEN(8,12)/10,0)</f>
        <v>181111</v>
      </c>
      <c r="AN58" s="4">
        <f ca="1">ROUND(T_Tiktok_ads[[#This Row],[video_watch_25]]*RANDBETWEEN(8,12)/10,0)</f>
        <v>152345</v>
      </c>
      <c r="AO58" s="4">
        <f ca="1">ROUND(T_Tiktok_ads[[#This Row],[video_watch_50]]*RANDBETWEEN(8,12)/10,0)</f>
        <v>96365</v>
      </c>
      <c r="AP58" s="4">
        <f ca="1">ROUND(T_Tiktok_ads[[#This Row],[video_watch_75]]*RANDBETWEEN(8,12)/10,0)</f>
        <v>77890</v>
      </c>
      <c r="AQ58" s="4">
        <f ca="1">ROUND(T_Tiktok_ads[[#This Row],[video_watch_100]]*RANDBETWEEN(8,12)/10,0)</f>
        <v>42511</v>
      </c>
      <c r="AR58" s="4">
        <f ca="1">ROUND(T_Tiktok_ads[[#This Row],[likes]]*RANDBETWEEN(8,12)/10,0)</f>
        <v>8901</v>
      </c>
      <c r="AS58" s="4">
        <f ca="1">ROUND(T_Tiktok_ads[[#This Row],[shares]]*RANDBETWEEN(8,12)/10,0)</f>
        <v>1965</v>
      </c>
      <c r="AT58" s="4">
        <f ca="1">ROUND(T_Tiktok_ads[[#This Row],[comments]]*RANDBETWEEN(8,12)/10,0)</f>
        <v>471</v>
      </c>
      <c r="AV58" s="5">
        <f t="shared" ca="1" si="8"/>
        <v>45189</v>
      </c>
      <c r="AW58">
        <f t="shared" ca="1" si="4"/>
        <v>7</v>
      </c>
      <c r="AX58">
        <f ca="1">ROUND(T_Facebook_Ads115963677175798387[[#This Row],[impressions]]*RANDBETWEEN(8,12)/10,0)</f>
        <v>43333</v>
      </c>
      <c r="AY58">
        <f ca="1">ROUND(T_Facebook_Ads115963677175798387[[#This Row],[clicks]]*RANDBETWEEN(8,12)/10,0)</f>
        <v>1841</v>
      </c>
      <c r="AZ58">
        <f ca="1">T_Facebook_Ads115963677175798387[[#This Row],[spend]]*RANDBETWEEN(8,12)/10</f>
        <v>186.24</v>
      </c>
      <c r="BA58">
        <f ca="1">ROUND(T_Facebook_Ads115963677175798387[[#This Row],[conversions]]*RANDBETWEEN(8,12)/10,0)</f>
        <v>27</v>
      </c>
      <c r="BB58">
        <f ca="1">ROUND(T_Facebook_Ads115963677175798387[[#This Row],[video_views]]*RANDBETWEEN(8,12)/10,0)</f>
        <v>5238</v>
      </c>
    </row>
    <row r="59" spans="1:54" ht="15.75" thickBot="1" x14ac:dyDescent="0.3">
      <c r="A59" s="3">
        <f t="shared" ca="1" si="5"/>
        <v>45197</v>
      </c>
      <c r="B59" s="4" t="s">
        <v>64</v>
      </c>
      <c r="C59" s="4" t="s">
        <v>65</v>
      </c>
      <c r="D59" s="4" t="s">
        <v>66</v>
      </c>
      <c r="E59" s="4" t="s">
        <v>67</v>
      </c>
      <c r="F59" s="4">
        <f ca="1">ROUND(T_Facebook_Ads[[#This Row],[impressions]]*RANDBETWEEN(8,12)/10,0)</f>
        <v>60712</v>
      </c>
      <c r="G59" s="4">
        <v>278</v>
      </c>
      <c r="H59" s="4">
        <f ca="1">T_Facebook_Ads[[#This Row],[spend]]*RANDBETWEEN(8,12)/10</f>
        <v>108.35</v>
      </c>
      <c r="I59" s="4">
        <f ca="1">ROUND(T_Facebook_Ads[[#This Row],[conversions]]*RANDBETWEEN(8,12)/10,0)</f>
        <v>6</v>
      </c>
      <c r="J59" s="4">
        <f ca="1">ROUND(T_Facebook_Ads[[#This Row],[video_views]]*RANDBETWEEN(8,12)/10,0)</f>
        <v>46111</v>
      </c>
      <c r="K59" s="4">
        <f ca="1">T_Facebook_Ads[[#This Row],[engagement_rate]]*RANDBETWEEN(8,12)/10</f>
        <v>3.3300000000000005E-3</v>
      </c>
      <c r="L59" s="4">
        <f ca="1">ROUND(T_Facebook_Ads[[#This Row],[reach]]*RANDBETWEEN(8,12)/10,0)</f>
        <v>73880</v>
      </c>
      <c r="M59" s="4">
        <f ca="1">T_Facebook_Ads[[#This Row],[frequency]]*RANDBETWEEN(8,12)/10</f>
        <v>0.98399999999999999</v>
      </c>
      <c r="O59" s="3">
        <f t="shared" ca="1" si="6"/>
        <v>45171</v>
      </c>
      <c r="P59" s="4" t="s">
        <v>88</v>
      </c>
      <c r="Q59" s="4" t="s">
        <v>89</v>
      </c>
      <c r="R59" s="4" t="s">
        <v>90</v>
      </c>
      <c r="S59" s="4" t="s">
        <v>59</v>
      </c>
      <c r="T59" s="4">
        <f ca="1">ROUND(_Google_ads[[#This Row],[impressions]]*RANDBETWEEN(8,12)/10,0)</f>
        <v>166681</v>
      </c>
      <c r="U59" s="4">
        <f ca="1">ROUND(_Google_ads[[#This Row],[clicks]]*RANDBETWEEN(8,12)/10,0)</f>
        <v>481</v>
      </c>
      <c r="V59" s="4">
        <f ca="1">_Google_ads[[#This Row],[cost]]*RANDBETWEEN(8,12)/10</f>
        <v>109.12</v>
      </c>
      <c r="W59" s="4">
        <f ca="1">ROUND(_Google_ads[[#This Row],[conversions]]*RANDBETWEEN(8,12)/10,0)</f>
        <v>18</v>
      </c>
      <c r="X59" s="4">
        <f ca="1">ROUND(_Google_ads[[#This Row],[conversion_value]]*RANDBETWEEN(8,12)/10,0)</f>
        <v>825</v>
      </c>
      <c r="Y59" s="4">
        <f ca="1">_Google_ads[[#This Row],[ctr]]*RANDBETWEEN(8,12)/10</f>
        <v>3.0400000000000002E-3</v>
      </c>
      <c r="Z59" s="4">
        <f ca="1">_Google_ads[[#This Row],[avg_cpc]]*RANDBETWEEN(8,12)/10</f>
        <v>0.28600000000000003</v>
      </c>
      <c r="AA59" s="4">
        <f ca="1">ROUND(_Google_ads[[#This Row],[quality_score]]*RANDBETWEEN(8,12)/10,0)</f>
        <v>8</v>
      </c>
      <c r="AB59" s="4">
        <f ca="1">_Google_ads[[#This Row],[search_impression_share]]*RANDBETWEEN(8,12)/10</f>
        <v>0.43200000000000005</v>
      </c>
      <c r="AD59" s="3">
        <f t="shared" ca="1" si="7"/>
        <v>45172</v>
      </c>
      <c r="AE59" s="4" t="s">
        <v>112</v>
      </c>
      <c r="AF59" s="4" t="s">
        <v>113</v>
      </c>
      <c r="AG59" s="4" t="s">
        <v>114</v>
      </c>
      <c r="AH59" s="4" t="s">
        <v>115</v>
      </c>
      <c r="AI59" s="4">
        <f ca="1">ROUND(T_Tiktok_ads[[#This Row],[impressions]]*RANDBETWEEN(8,12)/10,0)</f>
        <v>401110</v>
      </c>
      <c r="AJ59" s="4">
        <f ca="1">ROUND(T_Tiktok_ads[[#This Row],[clicks]]*RANDBETWEEN(8,12)/10,0)</f>
        <v>6511</v>
      </c>
      <c r="AK59" s="4">
        <v>1123.5</v>
      </c>
      <c r="AL59" s="4">
        <f ca="1">ROUND(T_Tiktok_ads[[#This Row],[conversions]]*RANDBETWEEN(8,12)/10,0)</f>
        <v>90</v>
      </c>
      <c r="AM59" s="4">
        <f ca="1">ROUND(T_Tiktok_ads[[#This Row],[video_views]]*RANDBETWEEN(8,12)/10,0)</f>
        <v>378901</v>
      </c>
      <c r="AN59" s="4">
        <f ca="1">ROUND(T_Tiktok_ads[[#This Row],[video_watch_25]]*RANDBETWEEN(8,12)/10,0)</f>
        <v>243654</v>
      </c>
      <c r="AO59" s="4">
        <f ca="1">ROUND(T_Tiktok_ads[[#This Row],[video_watch_50]]*RANDBETWEEN(8,12)/10,0)</f>
        <v>267802</v>
      </c>
      <c r="AP59" s="4">
        <f ca="1">ROUND(T_Tiktok_ads[[#This Row],[video_watch_75]]*RANDBETWEEN(8,12)/10,0)</f>
        <v>137876</v>
      </c>
      <c r="AQ59" s="4">
        <f ca="1">ROUND(T_Tiktok_ads[[#This Row],[video_watch_100]]*RANDBETWEEN(8,12)/10,0)</f>
        <v>103110</v>
      </c>
      <c r="AR59" s="4">
        <f ca="1">ROUND(T_Tiktok_ads[[#This Row],[likes]]*RANDBETWEEN(8,12)/10,0)</f>
        <v>21524</v>
      </c>
      <c r="AS59" s="4">
        <f ca="1">ROUND(T_Tiktok_ads[[#This Row],[shares]]*RANDBETWEEN(8,12)/10,0)</f>
        <v>5678</v>
      </c>
      <c r="AT59" s="4">
        <f ca="1">ROUND(T_Tiktok_ads[[#This Row],[comments]]*RANDBETWEEN(8,12)/10,0)</f>
        <v>1880</v>
      </c>
      <c r="AV59" s="5">
        <f t="shared" ca="1" si="8"/>
        <v>45179</v>
      </c>
      <c r="AW59">
        <f t="shared" ca="1" si="4"/>
        <v>6</v>
      </c>
      <c r="AX59">
        <f ca="1">ROUND(T_Facebook_Ads115963677175798387[[#This Row],[impressions]]*RANDBETWEEN(8,12)/10,0)</f>
        <v>48570</v>
      </c>
      <c r="AY59">
        <f ca="1">ROUND(T_Facebook_Ads115963677175798387[[#This Row],[clicks]]*RANDBETWEEN(8,12)/10,0)</f>
        <v>334</v>
      </c>
      <c r="AZ59">
        <f ca="1">T_Facebook_Ads115963677175798387[[#This Row],[spend]]*RANDBETWEEN(8,12)/10</f>
        <v>108.35</v>
      </c>
      <c r="BA59">
        <f ca="1">ROUND(T_Facebook_Ads115963677175798387[[#This Row],[conversions]]*RANDBETWEEN(8,12)/10,0)</f>
        <v>7</v>
      </c>
      <c r="BB59">
        <f ca="1">ROUND(T_Facebook_Ads115963677175798387[[#This Row],[video_views]]*RANDBETWEEN(8,12)/10,0)</f>
        <v>36889</v>
      </c>
    </row>
    <row r="60" spans="1:54" ht="15.75" thickBot="1" x14ac:dyDescent="0.3">
      <c r="A60" s="3">
        <f t="shared" ca="1" si="5"/>
        <v>45194</v>
      </c>
      <c r="B60" s="4" t="s">
        <v>52</v>
      </c>
      <c r="C60" s="4" t="s">
        <v>53</v>
      </c>
      <c r="D60" s="4" t="s">
        <v>54</v>
      </c>
      <c r="E60" s="4" t="s">
        <v>55</v>
      </c>
      <c r="F60" s="4">
        <f ca="1">ROUND(T_Facebook_Ads[[#This Row],[impressions]]*RANDBETWEEN(8,12)/10,0)</f>
        <v>54524</v>
      </c>
      <c r="G60" s="4">
        <v>1012</v>
      </c>
      <c r="H60" s="4">
        <f ca="1">T_Facebook_Ads[[#This Row],[spend]]*RANDBETWEEN(8,12)/10</f>
        <v>173.51999999999998</v>
      </c>
      <c r="I60" s="4">
        <f ca="1">ROUND(T_Facebook_Ads[[#This Row],[conversions]]*RANDBETWEEN(8,12)/10,0)</f>
        <v>19</v>
      </c>
      <c r="J60" s="4">
        <f ca="1">ROUND(T_Facebook_Ads[[#This Row],[video_views]]*RANDBETWEEN(8,12)/10,0)</f>
        <v>10948</v>
      </c>
      <c r="K60" s="4">
        <f ca="1">T_Facebook_Ads[[#This Row],[engagement_rate]]*RANDBETWEEN(8,12)/10</f>
        <v>2.0400000000000001E-2</v>
      </c>
      <c r="L60" s="4">
        <f ca="1">ROUND(T_Facebook_Ads[[#This Row],[reach]]*RANDBETWEEN(8,12)/10,0)</f>
        <v>33512</v>
      </c>
      <c r="M60" s="4">
        <f ca="1">T_Facebook_Ads[[#This Row],[frequency]]*RANDBETWEEN(8,12)/10</f>
        <v>0.94399999999999995</v>
      </c>
      <c r="O60" s="3">
        <f t="shared" ca="1" si="6"/>
        <v>45177</v>
      </c>
      <c r="P60" s="4" t="s">
        <v>76</v>
      </c>
      <c r="Q60" s="4" t="s">
        <v>77</v>
      </c>
      <c r="R60" s="4" t="s">
        <v>78</v>
      </c>
      <c r="S60" s="4" t="s">
        <v>79</v>
      </c>
      <c r="T60" s="4">
        <f ca="1">ROUND(_Google_ads[[#This Row],[impressions]]*RANDBETWEEN(8,12)/10,0)</f>
        <v>20631</v>
      </c>
      <c r="U60" s="4">
        <f ca="1">ROUND(_Google_ads[[#This Row],[clicks]]*RANDBETWEEN(8,12)/10,0)</f>
        <v>1250</v>
      </c>
      <c r="V60" s="4">
        <f ca="1">_Google_ads[[#This Row],[cost]]*RANDBETWEEN(8,12)/10</f>
        <v>212.16</v>
      </c>
      <c r="W60" s="4">
        <f ca="1">ROUND(_Google_ads[[#This Row],[conversions]]*RANDBETWEEN(8,12)/10,0)</f>
        <v>42</v>
      </c>
      <c r="X60" s="4">
        <f ca="1">ROUND(_Google_ads[[#This Row],[conversion_value]]*RANDBETWEEN(8,12)/10,0)</f>
        <v>2600</v>
      </c>
      <c r="Y60" s="4">
        <f ca="1">_Google_ads[[#This Row],[ctr]]*RANDBETWEEN(8,12)/10</f>
        <v>4.8420000000000005E-2</v>
      </c>
      <c r="Z60" s="4">
        <f ca="1">_Google_ads[[#This Row],[avg_cpc]]*RANDBETWEEN(8,12)/10</f>
        <v>0.22800000000000004</v>
      </c>
      <c r="AA60" s="4">
        <f ca="1">ROUND(_Google_ads[[#This Row],[quality_score]]*RANDBETWEEN(8,12)/10,0)</f>
        <v>9</v>
      </c>
      <c r="AB60" s="4">
        <f ca="1">_Google_ads[[#This Row],[search_impression_share]]*RANDBETWEEN(8,12)/10</f>
        <v>0.82800000000000007</v>
      </c>
      <c r="AD60" s="3">
        <f t="shared" ca="1" si="7"/>
        <v>45192</v>
      </c>
      <c r="AE60" s="4" t="s">
        <v>100</v>
      </c>
      <c r="AF60" s="4" t="s">
        <v>101</v>
      </c>
      <c r="AG60" s="4" t="s">
        <v>102</v>
      </c>
      <c r="AH60" s="4" t="s">
        <v>103</v>
      </c>
      <c r="AI60" s="4">
        <f ca="1">ROUND(T_Tiktok_ads[[#This Row],[impressions]]*RANDBETWEEN(8,12)/10,0)</f>
        <v>261111</v>
      </c>
      <c r="AJ60" s="4">
        <f ca="1">ROUND(T_Tiktok_ads[[#This Row],[clicks]]*RANDBETWEEN(8,12)/10,0)</f>
        <v>4189</v>
      </c>
      <c r="AK60" s="4">
        <v>567.79999999999995</v>
      </c>
      <c r="AL60" s="4">
        <f ca="1">ROUND(T_Tiktok_ads[[#This Row],[conversions]]*RANDBETWEEN(8,12)/10,0)</f>
        <v>35</v>
      </c>
      <c r="AM60" s="4">
        <f ca="1">ROUND(T_Tiktok_ads[[#This Row],[video_views]]*RANDBETWEEN(8,12)/10,0)</f>
        <v>213110</v>
      </c>
      <c r="AN60" s="4">
        <f ca="1">ROUND(T_Tiktok_ads[[#This Row],[video_watch_25]]*RANDBETWEEN(8,12)/10,0)</f>
        <v>221480</v>
      </c>
      <c r="AO60" s="4">
        <f ca="1">ROUND(T_Tiktok_ads[[#This Row],[video_watch_50]]*RANDBETWEEN(8,12)/10,0)</f>
        <v>104110</v>
      </c>
      <c r="AP60" s="4">
        <f ca="1">ROUND(T_Tiktok_ads[[#This Row],[video_watch_75]]*RANDBETWEEN(8,12)/10,0)</f>
        <v>70411</v>
      </c>
      <c r="AQ60" s="4">
        <f ca="1">ROUND(T_Tiktok_ads[[#This Row],[video_watch_100]]*RANDBETWEEN(8,12)/10,0)</f>
        <v>41876</v>
      </c>
      <c r="AR60" s="4">
        <f ca="1">ROUND(T_Tiktok_ads[[#This Row],[likes]]*RANDBETWEEN(8,12)/10,0)</f>
        <v>10456</v>
      </c>
      <c r="AS60" s="4">
        <f ca="1">ROUND(T_Tiktok_ads[[#This Row],[shares]]*RANDBETWEEN(8,12)/10,0)</f>
        <v>2812</v>
      </c>
      <c r="AT60" s="4">
        <f ca="1">ROUND(T_Tiktok_ads[[#This Row],[comments]]*RANDBETWEEN(8,12)/10,0)</f>
        <v>542</v>
      </c>
      <c r="AV60" s="5">
        <f t="shared" ca="1" si="8"/>
        <v>45176</v>
      </c>
      <c r="AW60">
        <f t="shared" ca="1" si="4"/>
        <v>2</v>
      </c>
      <c r="AX60">
        <f ca="1">ROUND(T_Facebook_Ads115963677175798387[[#This Row],[impressions]]*RANDBETWEEN(8,12)/10,0)</f>
        <v>59976</v>
      </c>
      <c r="AY60">
        <f ca="1">ROUND(T_Facebook_Ads115963677175798387[[#This Row],[clicks]]*RANDBETWEEN(8,12)/10,0)</f>
        <v>1012</v>
      </c>
      <c r="AZ60">
        <f ca="1">T_Facebook_Ads115963677175798387[[#This Row],[spend]]*RANDBETWEEN(8,12)/10</f>
        <v>190.87199999999999</v>
      </c>
      <c r="BA60">
        <f ca="1">ROUND(T_Facebook_Ads115963677175798387[[#This Row],[conversions]]*RANDBETWEEN(8,12)/10,0)</f>
        <v>17</v>
      </c>
      <c r="BB60">
        <f ca="1">ROUND(T_Facebook_Ads115963677175798387[[#This Row],[video_views]]*RANDBETWEEN(8,12)/10,0)</f>
        <v>13138</v>
      </c>
    </row>
    <row r="61" spans="1:54" ht="15.75" thickBot="1" x14ac:dyDescent="0.3">
      <c r="A61" s="3">
        <f t="shared" ca="1" si="5"/>
        <v>45183</v>
      </c>
      <c r="B61" s="4" t="s">
        <v>56</v>
      </c>
      <c r="C61" s="4" t="s">
        <v>57</v>
      </c>
      <c r="D61" s="4" t="s">
        <v>58</v>
      </c>
      <c r="E61" s="4" t="s">
        <v>59</v>
      </c>
      <c r="F61" s="4">
        <f ca="1">ROUND(T_Facebook_Ads[[#This Row],[impressions]]*RANDBETWEEN(8,12)/10,0)</f>
        <v>13110</v>
      </c>
      <c r="G61" s="4">
        <v>689</v>
      </c>
      <c r="H61" s="4">
        <f ca="1">T_Facebook_Ads[[#This Row],[spend]]*RANDBETWEEN(8,12)/10</f>
        <v>278.74</v>
      </c>
      <c r="I61" s="4">
        <f ca="1">ROUND(T_Facebook_Ads[[#This Row],[conversions]]*RANDBETWEEN(8,12)/10,0)</f>
        <v>52</v>
      </c>
      <c r="J61" s="4">
        <f ca="1">ROUND(T_Facebook_Ads[[#This Row],[video_views]]*RANDBETWEEN(8,12)/10,0)</f>
        <v>1638</v>
      </c>
      <c r="K61" s="4">
        <f ca="1">T_Facebook_Ads[[#This Row],[engagement_rate]]*RANDBETWEEN(8,12)/10</f>
        <v>4.2570000000000004E-2</v>
      </c>
      <c r="L61" s="4">
        <f ca="1">ROUND(T_Facebook_Ads[[#This Row],[reach]]*RANDBETWEEN(8,12)/10,0)</f>
        <v>9254</v>
      </c>
      <c r="M61" s="4">
        <f ca="1">T_Facebook_Ads[[#This Row],[frequency]]*RANDBETWEEN(8,12)/10</f>
        <v>1.008</v>
      </c>
      <c r="O61" s="3">
        <f t="shared" ca="1" si="6"/>
        <v>45193</v>
      </c>
      <c r="P61" s="4" t="s">
        <v>80</v>
      </c>
      <c r="Q61" s="4" t="s">
        <v>81</v>
      </c>
      <c r="R61" s="4" t="s">
        <v>82</v>
      </c>
      <c r="S61" s="4" t="s">
        <v>83</v>
      </c>
      <c r="T61" s="4">
        <f ca="1">ROUND(_Google_ads[[#This Row],[impressions]]*RANDBETWEEN(8,12)/10,0)</f>
        <v>50735</v>
      </c>
      <c r="U61" s="4">
        <f ca="1">ROUND(_Google_ads[[#This Row],[clicks]]*RANDBETWEEN(8,12)/10,0)</f>
        <v>923</v>
      </c>
      <c r="V61" s="4">
        <f ca="1">_Google_ads[[#This Row],[cost]]*RANDBETWEEN(8,12)/10</f>
        <v>649.32999999999993</v>
      </c>
      <c r="W61" s="4">
        <f ca="1">ROUND(_Google_ads[[#This Row],[conversions]]*RANDBETWEEN(8,12)/10,0)</f>
        <v>22</v>
      </c>
      <c r="X61" s="4">
        <f ca="1">ROUND(_Google_ads[[#This Row],[conversion_value]]*RANDBETWEEN(8,12)/10,0)</f>
        <v>1080</v>
      </c>
      <c r="Y61" s="4">
        <f ca="1">_Google_ads[[#This Row],[ctr]]*RANDBETWEEN(8,12)/10</f>
        <v>2.4E-2</v>
      </c>
      <c r="Z61" s="4">
        <f ca="1">_Google_ads[[#This Row],[avg_cpc]]*RANDBETWEEN(8,12)/10</f>
        <v>0.64</v>
      </c>
      <c r="AA61" s="4">
        <f ca="1">ROUND(_Google_ads[[#This Row],[quality_score]]*RANDBETWEEN(8,12)/10,0)</f>
        <v>8</v>
      </c>
      <c r="AB61" s="4">
        <f ca="1">_Google_ads[[#This Row],[search_impression_share]]*RANDBETWEEN(8,12)/10</f>
        <v>0.495</v>
      </c>
      <c r="AD61" s="3">
        <f t="shared" ca="1" si="7"/>
        <v>45171</v>
      </c>
      <c r="AE61" s="4" t="s">
        <v>104</v>
      </c>
      <c r="AF61" s="4" t="s">
        <v>105</v>
      </c>
      <c r="AG61" s="4" t="s">
        <v>106</v>
      </c>
      <c r="AH61" s="4" t="s">
        <v>107</v>
      </c>
      <c r="AI61" s="4">
        <f ca="1">ROUND(T_Tiktok_ads[[#This Row],[impressions]]*RANDBETWEEN(8,12)/10,0)</f>
        <v>128987</v>
      </c>
      <c r="AJ61" s="4">
        <f ca="1">ROUND(T_Tiktok_ads[[#This Row],[clicks]]*RANDBETWEEN(8,12)/10,0)</f>
        <v>2471</v>
      </c>
      <c r="AK61" s="4">
        <v>823.7</v>
      </c>
      <c r="AL61" s="4">
        <f ca="1">ROUND(T_Tiktok_ads[[#This Row],[conversions]]*RANDBETWEEN(8,12)/10,0)</f>
        <v>100</v>
      </c>
      <c r="AM61" s="4">
        <f ca="1">ROUND(T_Tiktok_ads[[#This Row],[video_views]]*RANDBETWEEN(8,12)/10,0)</f>
        <v>113456</v>
      </c>
      <c r="AN61" s="4">
        <f ca="1">ROUND(T_Tiktok_ads[[#This Row],[video_watch_25]]*RANDBETWEEN(8,12)/10,0)</f>
        <v>91924</v>
      </c>
      <c r="AO61" s="4">
        <f ca="1">ROUND(T_Tiktok_ads[[#This Row],[video_watch_50]]*RANDBETWEEN(8,12)/10,0)</f>
        <v>44987</v>
      </c>
      <c r="AP61" s="4">
        <f ca="1">ROUND(T_Tiktok_ads[[#This Row],[video_watch_75]]*RANDBETWEEN(8,12)/10,0)</f>
        <v>33876</v>
      </c>
      <c r="AQ61" s="4">
        <f ca="1">ROUND(T_Tiktok_ads[[#This Row],[video_watch_100]]*RANDBETWEEN(8,12)/10,0)</f>
        <v>22587</v>
      </c>
      <c r="AR61" s="4">
        <f ca="1">ROUND(T_Tiktok_ads[[#This Row],[likes]]*RANDBETWEEN(8,12)/10,0)</f>
        <v>4971</v>
      </c>
      <c r="AS61" s="4">
        <f ca="1">ROUND(T_Tiktok_ads[[#This Row],[shares]]*RANDBETWEEN(8,12)/10,0)</f>
        <v>1271</v>
      </c>
      <c r="AT61" s="4">
        <f ca="1">ROUND(T_Tiktok_ads[[#This Row],[comments]]*RANDBETWEEN(8,12)/10,0)</f>
        <v>301</v>
      </c>
      <c r="AV61" s="5">
        <f t="shared" ca="1" si="8"/>
        <v>45187</v>
      </c>
      <c r="AW61">
        <f t="shared" ca="1" si="4"/>
        <v>3</v>
      </c>
      <c r="AX61">
        <f ca="1">ROUND(T_Facebook_Ads115963677175798387[[#This Row],[impressions]]*RANDBETWEEN(8,12)/10,0)</f>
        <v>10488</v>
      </c>
      <c r="AY61">
        <f ca="1">ROUND(T_Facebook_Ads115963677175798387[[#This Row],[clicks]]*RANDBETWEEN(8,12)/10,0)</f>
        <v>827</v>
      </c>
      <c r="AZ61">
        <f ca="1">T_Facebook_Ads115963677175798387[[#This Row],[spend]]*RANDBETWEEN(8,12)/10</f>
        <v>250.86599999999999</v>
      </c>
      <c r="BA61">
        <f ca="1">ROUND(T_Facebook_Ads115963677175798387[[#This Row],[conversions]]*RANDBETWEEN(8,12)/10,0)</f>
        <v>47</v>
      </c>
      <c r="BB61">
        <f ca="1">ROUND(T_Facebook_Ads115963677175798387[[#This Row],[video_views]]*RANDBETWEEN(8,12)/10,0)</f>
        <v>1310</v>
      </c>
    </row>
    <row r="62" spans="1:54" ht="15.75" thickBot="1" x14ac:dyDescent="0.3">
      <c r="A62" s="3">
        <f t="shared" ca="1" si="5"/>
        <v>45192</v>
      </c>
      <c r="B62" s="4" t="s">
        <v>60</v>
      </c>
      <c r="C62" s="4" t="s">
        <v>61</v>
      </c>
      <c r="D62" s="4" t="s">
        <v>62</v>
      </c>
      <c r="E62" s="4" t="s">
        <v>63</v>
      </c>
      <c r="F62" s="4">
        <f ca="1">ROUND(T_Facebook_Ads[[#This Row],[impressions]]*RANDBETWEEN(8,12)/10,0)</f>
        <v>31121</v>
      </c>
      <c r="G62" s="4">
        <v>1456</v>
      </c>
      <c r="H62" s="4">
        <f ca="1">T_Facebook_Ads[[#This Row],[spend]]*RANDBETWEEN(8,12)/10</f>
        <v>246.95</v>
      </c>
      <c r="I62" s="4">
        <f ca="1">ROUND(T_Facebook_Ads[[#This Row],[conversions]]*RANDBETWEEN(8,12)/10,0)</f>
        <v>25</v>
      </c>
      <c r="J62" s="4">
        <f ca="1">ROUND(T_Facebook_Ads[[#This Row],[video_views]]*RANDBETWEEN(8,12)/10,0)</f>
        <v>6281</v>
      </c>
      <c r="K62" s="4">
        <f ca="1">T_Facebook_Ads[[#This Row],[engagement_rate]]*RANDBETWEEN(8,12)/10</f>
        <v>4.1140000000000003E-2</v>
      </c>
      <c r="L62" s="4">
        <f ca="1">ROUND(T_Facebook_Ads[[#This Row],[reach]]*RANDBETWEEN(8,12)/10,0)</f>
        <v>31456</v>
      </c>
      <c r="M62" s="4">
        <f ca="1">T_Facebook_Ads[[#This Row],[frequency]]*RANDBETWEEN(8,12)/10</f>
        <v>1.24</v>
      </c>
      <c r="O62" s="3">
        <f t="shared" ca="1" si="6"/>
        <v>45191</v>
      </c>
      <c r="P62" s="4" t="s">
        <v>84</v>
      </c>
      <c r="Q62" s="4" t="s">
        <v>85</v>
      </c>
      <c r="R62" s="4" t="s">
        <v>86</v>
      </c>
      <c r="S62" s="4" t="s">
        <v>87</v>
      </c>
      <c r="T62" s="4">
        <f ca="1">ROUND(_Google_ads[[#This Row],[impressions]]*RANDBETWEEN(8,12)/10,0)</f>
        <v>78724</v>
      </c>
      <c r="U62" s="4">
        <f ca="1">ROUND(_Google_ads[[#This Row],[clicks]]*RANDBETWEEN(8,12)/10,0)</f>
        <v>2894</v>
      </c>
      <c r="V62" s="4">
        <f ca="1">_Google_ads[[#This Row],[cost]]*RANDBETWEEN(8,12)/10</f>
        <v>442.3</v>
      </c>
      <c r="W62" s="4">
        <f ca="1">ROUND(_Google_ads[[#This Row],[conversions]]*RANDBETWEEN(8,12)/10,0)</f>
        <v>70</v>
      </c>
      <c r="X62" s="4">
        <f ca="1">ROUND(_Google_ads[[#This Row],[conversion_value]]*RANDBETWEEN(8,12)/10,0)</f>
        <v>2800</v>
      </c>
      <c r="Y62" s="4">
        <f ca="1">_Google_ads[[#This Row],[ctr]]*RANDBETWEEN(8,12)/10</f>
        <v>3.7070000000000006E-2</v>
      </c>
      <c r="Z62" s="4">
        <f ca="1">_Google_ads[[#This Row],[avg_cpc]]*RANDBETWEEN(8,12)/10</f>
        <v>0.21600000000000003</v>
      </c>
      <c r="AA62" s="4">
        <f ca="1">ROUND(_Google_ads[[#This Row],[quality_score]]*RANDBETWEEN(8,12)/10,0)</f>
        <v>10</v>
      </c>
      <c r="AB62" s="4">
        <f ca="1">_Google_ads[[#This Row],[search_impression_share]]*RANDBETWEEN(8,12)/10</f>
        <v>0.81600000000000006</v>
      </c>
      <c r="AD62" s="3">
        <f t="shared" ca="1" si="7"/>
        <v>45182</v>
      </c>
      <c r="AE62" s="4" t="s">
        <v>108</v>
      </c>
      <c r="AF62" s="4" t="s">
        <v>109</v>
      </c>
      <c r="AG62" s="4" t="s">
        <v>110</v>
      </c>
      <c r="AH62" s="4" t="s">
        <v>111</v>
      </c>
      <c r="AI62" s="4">
        <f ca="1">ROUND(T_Tiktok_ads[[#This Row],[impressions]]*RANDBETWEEN(8,12)/10,0)</f>
        <v>224011</v>
      </c>
      <c r="AJ62" s="4">
        <f ca="1">ROUND(T_Tiktok_ads[[#This Row],[clicks]]*RANDBETWEEN(8,12)/10,0)</f>
        <v>3934</v>
      </c>
      <c r="AK62" s="4">
        <v>478.5</v>
      </c>
      <c r="AL62" s="4">
        <f ca="1">ROUND(T_Tiktok_ads[[#This Row],[conversions]]*RANDBETWEEN(8,12)/10,0)</f>
        <v>32</v>
      </c>
      <c r="AM62" s="4">
        <f ca="1">ROUND(T_Tiktok_ads[[#This Row],[video_views]]*RANDBETWEEN(8,12)/10,0)</f>
        <v>195234</v>
      </c>
      <c r="AN62" s="4">
        <f ca="1">ROUND(T_Tiktok_ads[[#This Row],[video_watch_25]]*RANDBETWEEN(8,12)/10,0)</f>
        <v>163791</v>
      </c>
      <c r="AO62" s="4">
        <f ca="1">ROUND(T_Tiktok_ads[[#This Row],[video_watch_50]]*RANDBETWEEN(8,12)/10,0)</f>
        <v>141468</v>
      </c>
      <c r="AP62" s="4">
        <f ca="1">ROUND(T_Tiktok_ads[[#This Row],[video_watch_75]]*RANDBETWEEN(8,12)/10,0)</f>
        <v>60987</v>
      </c>
      <c r="AQ62" s="4">
        <f ca="1">ROUND(T_Tiktok_ads[[#This Row],[video_watch_100]]*RANDBETWEEN(8,12)/10,0)</f>
        <v>46234</v>
      </c>
      <c r="AR62" s="4">
        <f ca="1">ROUND(T_Tiktok_ads[[#This Row],[likes]]*RANDBETWEEN(8,12)/10,0)</f>
        <v>7861</v>
      </c>
      <c r="AS62" s="4">
        <f ca="1">ROUND(T_Tiktok_ads[[#This Row],[shares]]*RANDBETWEEN(8,12)/10,0)</f>
        <v>2161</v>
      </c>
      <c r="AT62" s="4">
        <f ca="1">ROUND(T_Tiktok_ads[[#This Row],[comments]]*RANDBETWEEN(8,12)/10,0)</f>
        <v>636</v>
      </c>
      <c r="AV62" s="5">
        <f t="shared" ca="1" si="8"/>
        <v>45180</v>
      </c>
      <c r="AW62">
        <f t="shared" ca="1" si="4"/>
        <v>2</v>
      </c>
      <c r="AX62">
        <f ca="1">ROUND(T_Facebook_Ads115963677175798387[[#This Row],[impressions]]*RANDBETWEEN(8,12)/10,0)</f>
        <v>37345</v>
      </c>
      <c r="AY62">
        <f ca="1">ROUND(T_Facebook_Ads115963677175798387[[#This Row],[clicks]]*RANDBETWEEN(8,12)/10,0)</f>
        <v>1747</v>
      </c>
      <c r="AZ62">
        <f ca="1">T_Facebook_Ads115963677175798387[[#This Row],[spend]]*RANDBETWEEN(8,12)/10</f>
        <v>246.95</v>
      </c>
      <c r="BA62">
        <f ca="1">ROUND(T_Facebook_Ads115963677175798387[[#This Row],[conversions]]*RANDBETWEEN(8,12)/10,0)</f>
        <v>25</v>
      </c>
      <c r="BB62">
        <f ca="1">ROUND(T_Facebook_Ads115963677175798387[[#This Row],[video_views]]*RANDBETWEEN(8,12)/10,0)</f>
        <v>5653</v>
      </c>
    </row>
    <row r="63" spans="1:54" ht="15.75" thickBot="1" x14ac:dyDescent="0.3">
      <c r="A63" s="3">
        <f t="shared" ca="1" si="5"/>
        <v>45179</v>
      </c>
      <c r="B63" s="4" t="s">
        <v>64</v>
      </c>
      <c r="C63" s="4" t="s">
        <v>65</v>
      </c>
      <c r="D63" s="4" t="s">
        <v>66</v>
      </c>
      <c r="E63" s="4" t="s">
        <v>67</v>
      </c>
      <c r="F63" s="4">
        <f ca="1">ROUND(T_Facebook_Ads[[#This Row],[impressions]]*RANDBETWEEN(8,12)/10,0)</f>
        <v>72345</v>
      </c>
      <c r="G63" s="4">
        <v>261</v>
      </c>
      <c r="H63" s="4">
        <f ca="1">T_Facebook_Ads[[#This Row],[spend]]*RANDBETWEEN(8,12)/10</f>
        <v>83.43</v>
      </c>
      <c r="I63" s="4">
        <f ca="1">ROUND(T_Facebook_Ads[[#This Row],[conversions]]*RANDBETWEEN(8,12)/10,0)</f>
        <v>6</v>
      </c>
      <c r="J63" s="4">
        <f ca="1">ROUND(T_Facebook_Ads[[#This Row],[video_views]]*RANDBETWEEN(8,12)/10,0)</f>
        <v>58280</v>
      </c>
      <c r="K63" s="4">
        <f ca="1">T_Facebook_Ads[[#This Row],[engagement_rate]]*RANDBETWEEN(8,12)/10</f>
        <v>2.8799999999999997E-3</v>
      </c>
      <c r="L63" s="4">
        <f ca="1">ROUND(T_Facebook_Ads[[#This Row],[reach]]*RANDBETWEEN(8,12)/10,0)</f>
        <v>64057</v>
      </c>
      <c r="M63" s="4">
        <f ca="1">T_Facebook_Ads[[#This Row],[frequency]]*RANDBETWEEN(8,12)/10</f>
        <v>1.488</v>
      </c>
      <c r="O63" s="3">
        <f t="shared" ca="1" si="6"/>
        <v>45191</v>
      </c>
      <c r="P63" s="4" t="s">
        <v>88</v>
      </c>
      <c r="Q63" s="4" t="s">
        <v>89</v>
      </c>
      <c r="R63" s="4" t="s">
        <v>90</v>
      </c>
      <c r="S63" s="4" t="s">
        <v>59</v>
      </c>
      <c r="T63" s="4">
        <f ca="1">ROUND(_Google_ads[[#This Row],[impressions]]*RANDBETWEEN(8,12)/10,0)</f>
        <v>108187</v>
      </c>
      <c r="U63" s="4">
        <f ca="1">ROUND(_Google_ads[[#This Row],[clicks]]*RANDBETWEEN(8,12)/10,0)</f>
        <v>451</v>
      </c>
      <c r="V63" s="4">
        <f ca="1">_Google_ads[[#This Row],[cost]]*RANDBETWEEN(8,12)/10</f>
        <v>120.23999999999998</v>
      </c>
      <c r="W63" s="4">
        <f ca="1">ROUND(_Google_ads[[#This Row],[conversions]]*RANDBETWEEN(8,12)/10,0)</f>
        <v>11</v>
      </c>
      <c r="X63" s="4">
        <f ca="1">ROUND(_Google_ads[[#This Row],[conversion_value]]*RANDBETWEEN(8,12)/10,0)</f>
        <v>840</v>
      </c>
      <c r="Y63" s="4">
        <f ca="1">_Google_ads[[#This Row],[ctr]]*RANDBETWEEN(8,12)/10</f>
        <v>3.3300000000000005E-3</v>
      </c>
      <c r="Z63" s="4">
        <f ca="1">_Google_ads[[#This Row],[avg_cpc]]*RANDBETWEEN(8,12)/10</f>
        <v>0.21600000000000003</v>
      </c>
      <c r="AA63" s="4">
        <f ca="1">ROUND(_Google_ads[[#This Row],[quality_score]]*RANDBETWEEN(8,12)/10,0)</f>
        <v>6</v>
      </c>
      <c r="AB63" s="4">
        <f ca="1">_Google_ads[[#This Row],[search_impression_share]]*RANDBETWEEN(8,12)/10</f>
        <v>0.41999999999999993</v>
      </c>
      <c r="AD63" s="3">
        <f t="shared" ca="1" si="7"/>
        <v>45181</v>
      </c>
      <c r="AE63" s="4" t="s">
        <v>112</v>
      </c>
      <c r="AF63" s="4" t="s">
        <v>113</v>
      </c>
      <c r="AG63" s="4" t="s">
        <v>114</v>
      </c>
      <c r="AH63" s="4" t="s">
        <v>115</v>
      </c>
      <c r="AI63" s="4">
        <f ca="1">ROUND(T_Tiktok_ads[[#This Row],[impressions]]*RANDBETWEEN(8,12)/10,0)</f>
        <v>478024</v>
      </c>
      <c r="AJ63" s="4">
        <f ca="1">ROUND(T_Tiktok_ads[[#This Row],[clicks]]*RANDBETWEEN(8,12)/10,0)</f>
        <v>5610</v>
      </c>
      <c r="AK63" s="4">
        <v>1089.3</v>
      </c>
      <c r="AL63" s="4">
        <f ca="1">ROUND(T_Tiktok_ads[[#This Row],[conversions]]*RANDBETWEEN(8,12)/10,0)</f>
        <v>120</v>
      </c>
      <c r="AM63" s="4">
        <f ca="1">ROUND(T_Tiktok_ads[[#This Row],[video_views]]*RANDBETWEEN(8,12)/10,0)</f>
        <v>404679</v>
      </c>
      <c r="AN63" s="4">
        <f ca="1">ROUND(T_Tiktok_ads[[#This Row],[video_watch_25]]*RANDBETWEEN(8,12)/10,0)</f>
        <v>236987</v>
      </c>
      <c r="AO63" s="4">
        <f ca="1">ROUND(T_Tiktok_ads[[#This Row],[video_watch_50]]*RANDBETWEEN(8,12)/10,0)</f>
        <v>237890</v>
      </c>
      <c r="AP63" s="4">
        <f ca="1">ROUND(T_Tiktok_ads[[#This Row],[video_watch_75]]*RANDBETWEEN(8,12)/10,0)</f>
        <v>185057</v>
      </c>
      <c r="AQ63" s="4">
        <f ca="1">ROUND(T_Tiktok_ads[[#This Row],[video_watch_100]]*RANDBETWEEN(8,12)/10,0)</f>
        <v>88987</v>
      </c>
      <c r="AR63" s="4">
        <f ca="1">ROUND(T_Tiktok_ads[[#This Row],[likes]]*RANDBETWEEN(8,12)/10,0)</f>
        <v>19234</v>
      </c>
      <c r="AS63" s="4">
        <f ca="1">ROUND(T_Tiktok_ads[[#This Row],[shares]]*RANDBETWEEN(8,12)/10,0)</f>
        <v>4981</v>
      </c>
      <c r="AT63" s="4">
        <f ca="1">ROUND(T_Tiktok_ads[[#This Row],[comments]]*RANDBETWEEN(8,12)/10,0)</f>
        <v>1218</v>
      </c>
      <c r="AV63" s="5">
        <f t="shared" ca="1" si="8"/>
        <v>45173</v>
      </c>
      <c r="AW63">
        <f t="shared" ca="1" si="4"/>
        <v>2</v>
      </c>
      <c r="AX63">
        <f ca="1">ROUND(T_Facebook_Ads115963677175798387[[#This Row],[impressions]]*RANDBETWEEN(8,12)/10,0)</f>
        <v>72345</v>
      </c>
      <c r="AY63">
        <f ca="1">ROUND(T_Facebook_Ads115963677175798387[[#This Row],[clicks]]*RANDBETWEEN(8,12)/10,0)</f>
        <v>261</v>
      </c>
      <c r="AZ63">
        <f ca="1">T_Facebook_Ads115963677175798387[[#This Row],[spend]]*RANDBETWEEN(8,12)/10</f>
        <v>91.772999999999996</v>
      </c>
      <c r="BA63">
        <f ca="1">ROUND(T_Facebook_Ads115963677175798387[[#This Row],[conversions]]*RANDBETWEEN(8,12)/10,0)</f>
        <v>6</v>
      </c>
      <c r="BB63">
        <f ca="1">ROUND(T_Facebook_Ads115963677175798387[[#This Row],[video_views]]*RANDBETWEEN(8,12)/10,0)</f>
        <v>64108</v>
      </c>
    </row>
    <row r="64" spans="1:54" ht="15.75" thickBot="1" x14ac:dyDescent="0.3">
      <c r="A64" s="3">
        <f t="shared" ca="1" si="5"/>
        <v>45191</v>
      </c>
      <c r="B64" s="4" t="s">
        <v>52</v>
      </c>
      <c r="C64" s="4" t="s">
        <v>53</v>
      </c>
      <c r="D64" s="4" t="s">
        <v>54</v>
      </c>
      <c r="E64" s="4" t="s">
        <v>55</v>
      </c>
      <c r="F64" s="4">
        <f ca="1">ROUND(T_Facebook_Ads[[#This Row],[impressions]]*RANDBETWEEN(8,12)/10,0)</f>
        <v>43101</v>
      </c>
      <c r="G64" s="4">
        <v>967</v>
      </c>
      <c r="H64" s="4">
        <f ca="1">T_Facebook_Ads[[#This Row],[spend]]*RANDBETWEEN(8,12)/10</f>
        <v>138.4</v>
      </c>
      <c r="I64" s="4">
        <f ca="1">ROUND(T_Facebook_Ads[[#This Row],[conversions]]*RANDBETWEEN(8,12)/10,0)</f>
        <v>12</v>
      </c>
      <c r="J64" s="4">
        <f ca="1">ROUND(T_Facebook_Ads[[#This Row],[video_views]]*RANDBETWEEN(8,12)/10,0)</f>
        <v>7031</v>
      </c>
      <c r="K64" s="4">
        <f ca="1">T_Facebook_Ads[[#This Row],[engagement_rate]]*RANDBETWEEN(8,12)/10</f>
        <v>2.4240000000000001E-2</v>
      </c>
      <c r="L64" s="4">
        <f ca="1">ROUND(T_Facebook_Ads[[#This Row],[reach]]*RANDBETWEEN(8,12)/10,0)</f>
        <v>44257</v>
      </c>
      <c r="M64" s="4">
        <f ca="1">T_Facebook_Ads[[#This Row],[frequency]]*RANDBETWEEN(8,12)/10</f>
        <v>0.95199999999999996</v>
      </c>
      <c r="O64" s="3">
        <f t="shared" ca="1" si="6"/>
        <v>45172</v>
      </c>
      <c r="P64" s="4" t="s">
        <v>76</v>
      </c>
      <c r="Q64" s="4" t="s">
        <v>77</v>
      </c>
      <c r="R64" s="4" t="s">
        <v>78</v>
      </c>
      <c r="S64" s="4" t="s">
        <v>79</v>
      </c>
      <c r="T64" s="4">
        <f ca="1">ROUND(_Google_ads[[#This Row],[impressions]]*RANDBETWEEN(8,12)/10,0)</f>
        <v>22110</v>
      </c>
      <c r="U64" s="4">
        <f ca="1">ROUND(_Google_ads[[#This Row],[clicks]]*RANDBETWEEN(8,12)/10,0)</f>
        <v>1160</v>
      </c>
      <c r="V64" s="4">
        <f ca="1">_Google_ads[[#This Row],[cost]]*RANDBETWEEN(8,12)/10</f>
        <v>271.48</v>
      </c>
      <c r="W64" s="4">
        <f ca="1">ROUND(_Google_ads[[#This Row],[conversions]]*RANDBETWEEN(8,12)/10,0)</f>
        <v>48</v>
      </c>
      <c r="X64" s="4">
        <f ca="1">ROUND(_Google_ads[[#This Row],[conversion_value]]*RANDBETWEEN(8,12)/10,0)</f>
        <v>2640</v>
      </c>
      <c r="Y64" s="4">
        <f ca="1">_Google_ads[[#This Row],[ctr]]*RANDBETWEEN(8,12)/10</f>
        <v>4.725E-2</v>
      </c>
      <c r="Z64" s="4">
        <f ca="1">_Google_ads[[#This Row],[avg_cpc]]*RANDBETWEEN(8,12)/10</f>
        <v>0.20899999999999999</v>
      </c>
      <c r="AA64" s="4">
        <f ca="1">ROUND(_Google_ads[[#This Row],[quality_score]]*RANDBETWEEN(8,12)/10,0)</f>
        <v>10</v>
      </c>
      <c r="AB64" s="4">
        <f ca="1">_Google_ads[[#This Row],[search_impression_share]]*RANDBETWEEN(8,12)/10</f>
        <v>1.0920000000000001</v>
      </c>
      <c r="AD64" s="3">
        <f t="shared" ca="1" si="7"/>
        <v>45186</v>
      </c>
      <c r="AE64" s="4" t="s">
        <v>100</v>
      </c>
      <c r="AF64" s="4" t="s">
        <v>101</v>
      </c>
      <c r="AG64" s="4" t="s">
        <v>102</v>
      </c>
      <c r="AH64" s="4" t="s">
        <v>103</v>
      </c>
      <c r="AI64" s="4">
        <f ca="1">ROUND(T_Tiktok_ads[[#This Row],[impressions]]*RANDBETWEEN(8,12)/10,0)</f>
        <v>306791</v>
      </c>
      <c r="AJ64" s="4">
        <f ca="1">ROUND(T_Tiktok_ads[[#This Row],[clicks]]*RANDBETWEEN(8,12)/10,0)</f>
        <v>4123</v>
      </c>
      <c r="AK64" s="4">
        <v>545.6</v>
      </c>
      <c r="AL64" s="4">
        <f ca="1">ROUND(T_Tiktok_ads[[#This Row],[conversions]]*RANDBETWEEN(8,12)/10,0)</f>
        <v>42</v>
      </c>
      <c r="AM64" s="4">
        <f ca="1">ROUND(T_Tiktok_ads[[#This Row],[video_views]]*RANDBETWEEN(8,12)/10,0)</f>
        <v>275081</v>
      </c>
      <c r="AN64" s="4">
        <f ca="1">ROUND(T_Tiktok_ads[[#This Row],[video_watch_25]]*RANDBETWEEN(8,12)/10,0)</f>
        <v>161311</v>
      </c>
      <c r="AO64" s="4">
        <f ca="1">ROUND(T_Tiktok_ads[[#This Row],[video_watch_50]]*RANDBETWEEN(8,12)/10,0)</f>
        <v>89787</v>
      </c>
      <c r="AP64" s="4">
        <f ca="1">ROUND(T_Tiktok_ads[[#This Row],[video_watch_75]]*RANDBETWEEN(8,12)/10,0)</f>
        <v>75678</v>
      </c>
      <c r="AQ64" s="4">
        <f ca="1">ROUND(T_Tiktok_ads[[#This Row],[video_watch_100]]*RANDBETWEEN(8,12)/10,0)</f>
        <v>50234</v>
      </c>
      <c r="AR64" s="4">
        <f ca="1">ROUND(T_Tiktok_ads[[#This Row],[likes]]*RANDBETWEEN(8,12)/10,0)</f>
        <v>8098</v>
      </c>
      <c r="AS64" s="4">
        <f ca="1">ROUND(T_Tiktok_ads[[#This Row],[shares]]*RANDBETWEEN(8,12)/10,0)</f>
        <v>2712</v>
      </c>
      <c r="AT64" s="4">
        <f ca="1">ROUND(T_Tiktok_ads[[#This Row],[comments]]*RANDBETWEEN(8,12)/10,0)</f>
        <v>581</v>
      </c>
      <c r="AV64" s="5">
        <f t="shared" ca="1" si="8"/>
        <v>45176</v>
      </c>
      <c r="AW64">
        <f t="shared" ca="1" si="4"/>
        <v>1</v>
      </c>
      <c r="AX64">
        <f ca="1">ROUND(T_Facebook_Ads115963677175798387[[#This Row],[impressions]]*RANDBETWEEN(8,12)/10,0)</f>
        <v>43101</v>
      </c>
      <c r="AY64">
        <f ca="1">ROUND(T_Facebook_Ads115963677175798387[[#This Row],[clicks]]*RANDBETWEEN(8,12)/10,0)</f>
        <v>774</v>
      </c>
      <c r="AZ64">
        <f ca="1">T_Facebook_Ads115963677175798387[[#This Row],[spend]]*RANDBETWEEN(8,12)/10</f>
        <v>124.56000000000002</v>
      </c>
      <c r="BA64">
        <f ca="1">ROUND(T_Facebook_Ads115963677175798387[[#This Row],[conversions]]*RANDBETWEEN(8,12)/10,0)</f>
        <v>10</v>
      </c>
      <c r="BB64">
        <f ca="1">ROUND(T_Facebook_Ads115963677175798387[[#This Row],[video_views]]*RANDBETWEEN(8,12)/10,0)</f>
        <v>7031</v>
      </c>
    </row>
    <row r="65" spans="1:54" ht="15.75" thickBot="1" x14ac:dyDescent="0.3">
      <c r="A65" s="3">
        <f t="shared" ca="1" si="5"/>
        <v>45170</v>
      </c>
      <c r="B65" s="4" t="s">
        <v>56</v>
      </c>
      <c r="C65" s="4" t="s">
        <v>57</v>
      </c>
      <c r="D65" s="4" t="s">
        <v>58</v>
      </c>
      <c r="E65" s="4" t="s">
        <v>59</v>
      </c>
      <c r="F65" s="4">
        <f ca="1">ROUND(T_Facebook_Ads[[#This Row],[impressions]]*RANDBETWEEN(8,12)/10,0)</f>
        <v>11112</v>
      </c>
      <c r="G65" s="4">
        <v>634</v>
      </c>
      <c r="H65" s="4">
        <f ca="1">T_Facebook_Ads[[#This Row],[spend]]*RANDBETWEEN(8,12)/10</f>
        <v>188.64000000000001</v>
      </c>
      <c r="I65" s="4">
        <f ca="1">ROUND(T_Facebook_Ads[[#This Row],[conversions]]*RANDBETWEEN(8,12)/10,0)</f>
        <v>36</v>
      </c>
      <c r="J65" s="4">
        <f ca="1">ROUND(T_Facebook_Ads[[#This Row],[video_views]]*RANDBETWEEN(8,12)/10,0)</f>
        <v>1378</v>
      </c>
      <c r="K65" s="4">
        <f ca="1">T_Facebook_Ads[[#This Row],[engagement_rate]]*RANDBETWEEN(8,12)/10</f>
        <v>3.6559999999999995E-2</v>
      </c>
      <c r="L65" s="4">
        <f ca="1">ROUND(T_Facebook_Ads[[#This Row],[reach]]*RANDBETWEEN(8,12)/10,0)</f>
        <v>8712</v>
      </c>
      <c r="M65" s="4">
        <f ca="1">T_Facebook_Ads[[#This Row],[frequency]]*RANDBETWEEN(8,12)/10</f>
        <v>1.016</v>
      </c>
      <c r="O65" s="3">
        <f t="shared" ca="1" si="6"/>
        <v>45173</v>
      </c>
      <c r="P65" s="4" t="s">
        <v>80</v>
      </c>
      <c r="Q65" s="4" t="s">
        <v>81</v>
      </c>
      <c r="R65" s="4" t="s">
        <v>82</v>
      </c>
      <c r="S65" s="4" t="s">
        <v>83</v>
      </c>
      <c r="T65" s="4">
        <f ca="1">ROUND(_Google_ads[[#This Row],[impressions]]*RANDBETWEEN(8,12)/10,0)</f>
        <v>40401</v>
      </c>
      <c r="U65" s="4">
        <f ca="1">ROUND(_Google_ads[[#This Row],[clicks]]*RANDBETWEEN(8,12)/10,0)</f>
        <v>712</v>
      </c>
      <c r="V65" s="4">
        <f ca="1">_Google_ads[[#This Row],[cost]]*RANDBETWEEN(8,12)/10</f>
        <v>632.17000000000007</v>
      </c>
      <c r="W65" s="4">
        <f ca="1">ROUND(_Google_ads[[#This Row],[conversions]]*RANDBETWEEN(8,12)/10,0)</f>
        <v>25</v>
      </c>
      <c r="X65" s="4">
        <f ca="1">ROUND(_Google_ads[[#This Row],[conversion_value]]*RANDBETWEEN(8,12)/10,0)</f>
        <v>1035</v>
      </c>
      <c r="Y65" s="4">
        <f ca="1">_Google_ads[[#This Row],[ctr]]*RANDBETWEEN(8,12)/10</f>
        <v>2.3760000000000003E-2</v>
      </c>
      <c r="Z65" s="4">
        <f ca="1">_Google_ads[[#This Row],[avg_cpc]]*RANDBETWEEN(8,12)/10</f>
        <v>0.58500000000000008</v>
      </c>
      <c r="AA65" s="4">
        <f ca="1">ROUND(_Google_ads[[#This Row],[quality_score]]*RANDBETWEEN(8,12)/10,0)</f>
        <v>8</v>
      </c>
      <c r="AB65" s="4">
        <f ca="1">_Google_ads[[#This Row],[search_impression_share]]*RANDBETWEEN(8,12)/10</f>
        <v>0.35199999999999998</v>
      </c>
      <c r="AD65" s="3">
        <f t="shared" ca="1" si="7"/>
        <v>45187</v>
      </c>
      <c r="AE65" s="4" t="s">
        <v>104</v>
      </c>
      <c r="AF65" s="4" t="s">
        <v>105</v>
      </c>
      <c r="AG65" s="4" t="s">
        <v>106</v>
      </c>
      <c r="AH65" s="4" t="s">
        <v>107</v>
      </c>
      <c r="AI65" s="4">
        <f ca="1">ROUND(T_Tiktok_ads[[#This Row],[impressions]]*RANDBETWEEN(8,12)/10,0)</f>
        <v>153456</v>
      </c>
      <c r="AJ65" s="4">
        <f ca="1">ROUND(T_Tiktok_ads[[#This Row],[clicks]]*RANDBETWEEN(8,12)/10,0)</f>
        <v>2651</v>
      </c>
      <c r="AK65" s="4">
        <v>789.2</v>
      </c>
      <c r="AL65" s="4">
        <f ca="1">ROUND(T_Tiktok_ads[[#This Row],[conversions]]*RANDBETWEEN(8,12)/10,0)</f>
        <v>95</v>
      </c>
      <c r="AM65" s="4">
        <f ca="1">ROUND(T_Tiktok_ads[[#This Row],[video_views]]*RANDBETWEEN(8,12)/10,0)</f>
        <v>129468</v>
      </c>
      <c r="AN65" s="4">
        <f ca="1">ROUND(T_Tiktok_ads[[#This Row],[video_watch_25]]*RANDBETWEEN(8,12)/10,0)</f>
        <v>63654</v>
      </c>
      <c r="AO65" s="4">
        <f ca="1">ROUND(T_Tiktok_ads[[#This Row],[video_watch_50]]*RANDBETWEEN(8,12)/10,0)</f>
        <v>59046</v>
      </c>
      <c r="AP65" s="4">
        <f ca="1">ROUND(T_Tiktok_ads[[#This Row],[video_watch_75]]*RANDBETWEEN(8,12)/10,0)</f>
        <v>36211</v>
      </c>
      <c r="AQ65" s="4">
        <f ca="1">ROUND(T_Tiktok_ads[[#This Row],[video_watch_100]]*RANDBETWEEN(8,12)/10,0)</f>
        <v>32268</v>
      </c>
      <c r="AR65" s="4">
        <f ca="1">ROUND(T_Tiktok_ads[[#This Row],[likes]]*RANDBETWEEN(8,12)/10,0)</f>
        <v>5757</v>
      </c>
      <c r="AS65" s="4">
        <f ca="1">ROUND(T_Tiktok_ads[[#This Row],[shares]]*RANDBETWEEN(8,12)/10,0)</f>
        <v>1310</v>
      </c>
      <c r="AT65" s="4">
        <f ca="1">ROUND(T_Tiktok_ads[[#This Row],[comments]]*RANDBETWEEN(8,12)/10,0)</f>
        <v>278</v>
      </c>
      <c r="AV65" s="5">
        <f t="shared" ca="1" si="8"/>
        <v>45188</v>
      </c>
      <c r="AW65">
        <f t="shared" ca="1" si="4"/>
        <v>1</v>
      </c>
      <c r="AX65">
        <f ca="1">ROUND(T_Facebook_Ads115963677175798387[[#This Row],[impressions]]*RANDBETWEEN(8,12)/10,0)</f>
        <v>10001</v>
      </c>
      <c r="AY65">
        <f ca="1">ROUND(T_Facebook_Ads115963677175798387[[#This Row],[clicks]]*RANDBETWEEN(8,12)/10,0)</f>
        <v>697</v>
      </c>
      <c r="AZ65">
        <f ca="1">T_Facebook_Ads115963677175798387[[#This Row],[spend]]*RANDBETWEEN(8,12)/10</f>
        <v>207.50399999999999</v>
      </c>
      <c r="BA65">
        <f ca="1">ROUND(T_Facebook_Ads115963677175798387[[#This Row],[conversions]]*RANDBETWEEN(8,12)/10,0)</f>
        <v>40</v>
      </c>
      <c r="BB65">
        <f ca="1">ROUND(T_Facebook_Ads115963677175798387[[#This Row],[video_views]]*RANDBETWEEN(8,12)/10,0)</f>
        <v>1516</v>
      </c>
    </row>
    <row r="66" spans="1:54" ht="15.75" thickBot="1" x14ac:dyDescent="0.3">
      <c r="A66" s="3">
        <f t="shared" ref="A66:A97" ca="1" si="9">DATE(2023,9,RANDBETWEEN(1,30))</f>
        <v>45177</v>
      </c>
      <c r="B66" s="4" t="s">
        <v>60</v>
      </c>
      <c r="C66" s="4" t="s">
        <v>61</v>
      </c>
      <c r="D66" s="4" t="s">
        <v>62</v>
      </c>
      <c r="E66" s="4" t="s">
        <v>63</v>
      </c>
      <c r="F66" s="4">
        <f ca="1">ROUND(T_Facebook_Ads[[#This Row],[impressions]]*RANDBETWEEN(8,12)/10,0)</f>
        <v>37234</v>
      </c>
      <c r="G66" s="4">
        <v>1367</v>
      </c>
      <c r="H66" s="4">
        <f ca="1">T_Facebook_Ads[[#This Row],[spend]]*RANDBETWEEN(8,12)/10</f>
        <v>188.91000000000003</v>
      </c>
      <c r="I66" s="4">
        <f ca="1">ROUND(T_Facebook_Ads[[#This Row],[conversions]]*RANDBETWEEN(8,12)/10,0)</f>
        <v>25</v>
      </c>
      <c r="J66" s="4">
        <f ca="1">ROUND(T_Facebook_Ads[[#This Row],[video_views]]*RANDBETWEEN(8,12)/10,0)</f>
        <v>6014</v>
      </c>
      <c r="K66" s="4">
        <f ca="1">T_Facebook_Ads[[#This Row],[engagement_rate]]*RANDBETWEEN(8,12)/10</f>
        <v>4.4040000000000003E-2</v>
      </c>
      <c r="L66" s="4">
        <f ca="1">ROUND(T_Facebook_Ads[[#This Row],[reach]]*RANDBETWEEN(8,12)/10,0)</f>
        <v>24542</v>
      </c>
      <c r="M66" s="4">
        <f ca="1">T_Facebook_Ads[[#This Row],[frequency]]*RANDBETWEEN(8,12)/10</f>
        <v>1.452</v>
      </c>
      <c r="O66" s="3">
        <f t="shared" ref="O66:O97" ca="1" si="10">DATE(2023,9,RANDBETWEEN(1,30))</f>
        <v>45190</v>
      </c>
      <c r="P66" s="4" t="s">
        <v>84</v>
      </c>
      <c r="Q66" s="4" t="s">
        <v>85</v>
      </c>
      <c r="R66" s="4" t="s">
        <v>86</v>
      </c>
      <c r="S66" s="4" t="s">
        <v>87</v>
      </c>
      <c r="T66" s="4">
        <f ca="1">ROUND(_Google_ads[[#This Row],[impressions]]*RANDBETWEEN(8,12)/10,0)</f>
        <v>83081</v>
      </c>
      <c r="U66" s="4">
        <f ca="1">ROUND(_Google_ads[[#This Row],[clicks]]*RANDBETWEEN(8,12)/10,0)</f>
        <v>2301</v>
      </c>
      <c r="V66" s="4">
        <f ca="1">_Google_ads[[#This Row],[cost]]*RANDBETWEEN(8,12)/10</f>
        <v>338.8</v>
      </c>
      <c r="W66" s="4">
        <f ca="1">ROUND(_Google_ads[[#This Row],[conversions]]*RANDBETWEEN(8,12)/10,0)</f>
        <v>60</v>
      </c>
      <c r="X66" s="4">
        <f ca="1">ROUND(_Google_ads[[#This Row],[conversion_value]]*RANDBETWEEN(8,12)/10,0)</f>
        <v>3015</v>
      </c>
      <c r="Y66" s="4">
        <f ca="1">_Google_ads[[#This Row],[ctr]]*RANDBETWEEN(8,12)/10</f>
        <v>3.32E-2</v>
      </c>
      <c r="Z66" s="4">
        <f ca="1">_Google_ads[[#This Row],[avg_cpc]]*RANDBETWEEN(8,12)/10</f>
        <v>0.16199999999999998</v>
      </c>
      <c r="AA66" s="4">
        <f ca="1">ROUND(_Google_ads[[#This Row],[quality_score]]*RANDBETWEEN(8,12)/10,0)</f>
        <v>8</v>
      </c>
      <c r="AB66" s="4">
        <f ca="1">_Google_ads[[#This Row],[search_impression_share]]*RANDBETWEEN(8,12)/10</f>
        <v>0.53600000000000003</v>
      </c>
      <c r="AD66" s="3">
        <f t="shared" ref="AD66:AD97" ca="1" si="11">DATE(2023,9,RANDBETWEEN(1,30))</f>
        <v>45173</v>
      </c>
      <c r="AE66" s="4" t="s">
        <v>108</v>
      </c>
      <c r="AF66" s="4" t="s">
        <v>109</v>
      </c>
      <c r="AG66" s="4" t="s">
        <v>110</v>
      </c>
      <c r="AH66" s="4" t="s">
        <v>111</v>
      </c>
      <c r="AI66" s="4">
        <f ca="1">ROUND(T_Tiktok_ads[[#This Row],[impressions]]*RANDBETWEEN(8,12)/10,0)</f>
        <v>213110</v>
      </c>
      <c r="AJ66" s="4">
        <f ca="1">ROUND(T_Tiktok_ads[[#This Row],[clicks]]*RANDBETWEEN(8,12)/10,0)</f>
        <v>2987</v>
      </c>
      <c r="AK66" s="4">
        <v>456.8</v>
      </c>
      <c r="AL66" s="4">
        <f ca="1">ROUND(T_Tiktok_ads[[#This Row],[conversions]]*RANDBETWEEN(8,12)/10,0)</f>
        <v>30</v>
      </c>
      <c r="AM66" s="4">
        <f ca="1">ROUND(T_Tiktok_ads[[#This Row],[video_views]]*RANDBETWEEN(8,12)/10,0)</f>
        <v>206679</v>
      </c>
      <c r="AN66" s="4">
        <f ca="1">ROUND(T_Tiktok_ads[[#This Row],[video_watch_25]]*RANDBETWEEN(8,12)/10,0)</f>
        <v>113876</v>
      </c>
      <c r="AO66" s="4">
        <f ca="1">ROUND(T_Tiktok_ads[[#This Row],[video_watch_50]]*RANDBETWEEN(8,12)/10,0)</f>
        <v>134814</v>
      </c>
      <c r="AP66" s="4">
        <f ca="1">ROUND(T_Tiktok_ads[[#This Row],[video_watch_75]]*RANDBETWEEN(8,12)/10,0)</f>
        <v>65111</v>
      </c>
      <c r="AQ66" s="4">
        <f ca="1">ROUND(T_Tiktok_ads[[#This Row],[video_watch_100]]*RANDBETWEEN(8,12)/10,0)</f>
        <v>39410</v>
      </c>
      <c r="AR66" s="4">
        <f ca="1">ROUND(T_Tiktok_ads[[#This Row],[likes]]*RANDBETWEEN(8,12)/10,0)</f>
        <v>6765</v>
      </c>
      <c r="AS66" s="4">
        <f ca="1">ROUND(T_Tiktok_ads[[#This Row],[shares]]*RANDBETWEEN(8,12)/10,0)</f>
        <v>2040</v>
      </c>
      <c r="AT66" s="4">
        <f ca="1">ROUND(T_Tiktok_ads[[#This Row],[comments]]*RANDBETWEEN(8,12)/10,0)</f>
        <v>545</v>
      </c>
      <c r="AV66" s="5">
        <f t="shared" ref="AV66:AV97" ca="1" si="12">DATE(2023,9,RANDBETWEEN(1,30))</f>
        <v>45171</v>
      </c>
      <c r="AW66">
        <f t="shared" ca="1" si="4"/>
        <v>5</v>
      </c>
      <c r="AX66">
        <f ca="1">ROUND(T_Facebook_Ads115963677175798387[[#This Row],[impressions]]*RANDBETWEEN(8,12)/10,0)</f>
        <v>40957</v>
      </c>
      <c r="AY66">
        <f ca="1">ROUND(T_Facebook_Ads115963677175798387[[#This Row],[clicks]]*RANDBETWEEN(8,12)/10,0)</f>
        <v>1230</v>
      </c>
      <c r="AZ66">
        <f ca="1">T_Facebook_Ads115963677175798387[[#This Row],[spend]]*RANDBETWEEN(8,12)/10</f>
        <v>188.91000000000003</v>
      </c>
      <c r="BA66">
        <f ca="1">ROUND(T_Facebook_Ads115963677175798387[[#This Row],[conversions]]*RANDBETWEEN(8,12)/10,0)</f>
        <v>20</v>
      </c>
      <c r="BB66">
        <f ca="1">ROUND(T_Facebook_Ads115963677175798387[[#This Row],[video_views]]*RANDBETWEEN(8,12)/10,0)</f>
        <v>5413</v>
      </c>
    </row>
    <row r="67" spans="1:54" ht="15.75" thickBot="1" x14ac:dyDescent="0.3">
      <c r="A67" s="3">
        <f t="shared" ca="1" si="9"/>
        <v>45196</v>
      </c>
      <c r="B67" s="4" t="s">
        <v>64</v>
      </c>
      <c r="C67" s="4" t="s">
        <v>65</v>
      </c>
      <c r="D67" s="4" t="s">
        <v>66</v>
      </c>
      <c r="E67" s="4" t="s">
        <v>67</v>
      </c>
      <c r="F67" s="4">
        <f ca="1">ROUND(T_Facebook_Ads[[#This Row],[impressions]]*RANDBETWEEN(8,12)/10,0)</f>
        <v>84148</v>
      </c>
      <c r="G67" s="4">
        <v>253</v>
      </c>
      <c r="H67" s="4">
        <f ca="1">T_Facebook_Ads[[#This Row],[spend]]*RANDBETWEEN(8,12)/10</f>
        <v>98.34</v>
      </c>
      <c r="I67" s="4">
        <f ca="1">ROUND(T_Facebook_Ads[[#This Row],[conversions]]*RANDBETWEEN(8,12)/10,0)</f>
        <v>7</v>
      </c>
      <c r="J67" s="4">
        <f ca="1">ROUND(T_Facebook_Ads[[#This Row],[video_views]]*RANDBETWEEN(8,12)/10,0)</f>
        <v>47234</v>
      </c>
      <c r="K67" s="4">
        <f ca="1">T_Facebook_Ads[[#This Row],[engagement_rate]]*RANDBETWEEN(8,12)/10</f>
        <v>3.5999999999999999E-3</v>
      </c>
      <c r="L67" s="4">
        <f ca="1">ROUND(T_Facebook_Ads[[#This Row],[reach]]*RANDBETWEEN(8,12)/10,0)</f>
        <v>69468</v>
      </c>
      <c r="M67" s="4">
        <f ca="1">T_Facebook_Ads[[#This Row],[frequency]]*RANDBETWEEN(8,12)/10</f>
        <v>1.452</v>
      </c>
      <c r="O67" s="3">
        <f t="shared" ca="1" si="10"/>
        <v>45199</v>
      </c>
      <c r="P67" s="4" t="s">
        <v>88</v>
      </c>
      <c r="Q67" s="4" t="s">
        <v>89</v>
      </c>
      <c r="R67" s="4" t="s">
        <v>90</v>
      </c>
      <c r="S67" s="4" t="s">
        <v>59</v>
      </c>
      <c r="T67" s="4">
        <f ca="1">ROUND(_Google_ads[[#This Row],[impressions]]*RANDBETWEEN(8,12)/10,0)</f>
        <v>105254</v>
      </c>
      <c r="U67" s="4">
        <f ca="1">ROUND(_Google_ads[[#This Row],[clicks]]*RANDBETWEEN(8,12)/10,0)</f>
        <v>478</v>
      </c>
      <c r="V67" s="4">
        <f ca="1">_Google_ads[[#This Row],[cost]]*RANDBETWEEN(8,12)/10</f>
        <v>129.4</v>
      </c>
      <c r="W67" s="4">
        <f ca="1">ROUND(_Google_ads[[#This Row],[conversions]]*RANDBETWEEN(8,12)/10,0)</f>
        <v>14</v>
      </c>
      <c r="X67" s="4">
        <f ca="1">ROUND(_Google_ads[[#This Row],[conversion_value]]*RANDBETWEEN(8,12)/10,0)</f>
        <v>520</v>
      </c>
      <c r="Y67" s="4">
        <f ca="1">_Google_ads[[#This Row],[ctr]]*RANDBETWEEN(8,12)/10</f>
        <v>3.96E-3</v>
      </c>
      <c r="Z67" s="4">
        <f ca="1">_Google_ads[[#This Row],[avg_cpc]]*RANDBETWEEN(8,12)/10</f>
        <v>0.32400000000000001</v>
      </c>
      <c r="AA67" s="4">
        <f ca="1">ROUND(_Google_ads[[#This Row],[quality_score]]*RANDBETWEEN(8,12)/10,0)</f>
        <v>8</v>
      </c>
      <c r="AB67" s="4">
        <f ca="1">_Google_ads[[#This Row],[search_impression_share]]*RANDBETWEEN(8,12)/10</f>
        <v>0.374</v>
      </c>
      <c r="AD67" s="3">
        <f t="shared" ca="1" si="11"/>
        <v>45199</v>
      </c>
      <c r="AE67" s="4" t="s">
        <v>112</v>
      </c>
      <c r="AF67" s="4" t="s">
        <v>113</v>
      </c>
      <c r="AG67" s="4" t="s">
        <v>114</v>
      </c>
      <c r="AH67" s="4" t="s">
        <v>115</v>
      </c>
      <c r="AI67" s="4">
        <f ca="1">ROUND(T_Tiktok_ads[[#This Row],[impressions]]*RANDBETWEEN(8,12)/10,0)</f>
        <v>338765</v>
      </c>
      <c r="AJ67" s="4">
        <f ca="1">ROUND(T_Tiktok_ads[[#This Row],[clicks]]*RANDBETWEEN(8,12)/10,0)</f>
        <v>8147</v>
      </c>
      <c r="AK67" s="4">
        <v>1034.5</v>
      </c>
      <c r="AL67" s="4">
        <f ca="1">ROUND(T_Tiktok_ads[[#This Row],[conversions]]*RANDBETWEEN(8,12)/10,0)</f>
        <v>125</v>
      </c>
      <c r="AM67" s="4">
        <f ca="1">ROUND(T_Tiktok_ads[[#This Row],[video_views]]*RANDBETWEEN(8,12)/10,0)</f>
        <v>428147</v>
      </c>
      <c r="AN67" s="4">
        <f ca="1">ROUND(T_Tiktok_ads[[#This Row],[video_watch_25]]*RANDBETWEEN(8,12)/10,0)</f>
        <v>258511</v>
      </c>
      <c r="AO67" s="4">
        <f ca="1">ROUND(T_Tiktok_ads[[#This Row],[video_watch_50]]*RANDBETWEEN(8,12)/10,0)</f>
        <v>206311</v>
      </c>
      <c r="AP67" s="4">
        <f ca="1">ROUND(T_Tiktok_ads[[#This Row],[video_watch_75]]*RANDBETWEEN(8,12)/10,0)</f>
        <v>162345</v>
      </c>
      <c r="AQ67" s="4">
        <f ca="1">ROUND(T_Tiktok_ads[[#This Row],[video_watch_100]]*RANDBETWEEN(8,12)/10,0)</f>
        <v>97101</v>
      </c>
      <c r="AR67" s="4">
        <f ca="1">ROUND(T_Tiktok_ads[[#This Row],[likes]]*RANDBETWEEN(8,12)/10,0)</f>
        <v>16880</v>
      </c>
      <c r="AS67" s="4">
        <f ca="1">ROUND(T_Tiktok_ads[[#This Row],[shares]]*RANDBETWEEN(8,12)/10,0)</f>
        <v>4276</v>
      </c>
      <c r="AT67" s="4">
        <f ca="1">ROUND(T_Tiktok_ads[[#This Row],[comments]]*RANDBETWEEN(8,12)/10,0)</f>
        <v>1602</v>
      </c>
      <c r="AV67" s="5">
        <f t="shared" ca="1" si="12"/>
        <v>45175</v>
      </c>
      <c r="AW67">
        <f t="shared" ref="AW67:AW111" ca="1" si="13">RANDBETWEEN(1,8)</f>
        <v>3</v>
      </c>
      <c r="AX67">
        <f ca="1">ROUND(T_Facebook_Ads115963677175798387[[#This Row],[impressions]]*RANDBETWEEN(8,12)/10,0)</f>
        <v>84148</v>
      </c>
      <c r="AY67">
        <f ca="1">ROUND(T_Facebook_Ads115963677175798387[[#This Row],[clicks]]*RANDBETWEEN(8,12)/10,0)</f>
        <v>253</v>
      </c>
      <c r="AZ67">
        <f ca="1">T_Facebook_Ads115963677175798387[[#This Row],[spend]]*RANDBETWEEN(8,12)/10</f>
        <v>118.008</v>
      </c>
      <c r="BA67">
        <f ca="1">ROUND(T_Facebook_Ads115963677175798387[[#This Row],[conversions]]*RANDBETWEEN(8,12)/10,0)</f>
        <v>8</v>
      </c>
      <c r="BB67">
        <f ca="1">ROUND(T_Facebook_Ads115963677175798387[[#This Row],[video_views]]*RANDBETWEEN(8,12)/10,0)</f>
        <v>51957</v>
      </c>
    </row>
    <row r="68" spans="1:54" ht="15.75" thickBot="1" x14ac:dyDescent="0.3">
      <c r="A68" s="3">
        <f t="shared" ca="1" si="9"/>
        <v>45174</v>
      </c>
      <c r="B68" s="4" t="s">
        <v>52</v>
      </c>
      <c r="C68" s="4" t="s">
        <v>53</v>
      </c>
      <c r="D68" s="4" t="s">
        <v>54</v>
      </c>
      <c r="E68" s="4" t="s">
        <v>55</v>
      </c>
      <c r="F68" s="4">
        <f ca="1">ROUND(T_Facebook_Ads[[#This Row],[impressions]]*RANDBETWEEN(8,12)/10,0)</f>
        <v>43234</v>
      </c>
      <c r="G68" s="4">
        <v>878</v>
      </c>
      <c r="H68" s="4">
        <f ca="1">T_Facebook_Ads[[#This Row],[spend]]*RANDBETWEEN(8,12)/10</f>
        <v>150.84</v>
      </c>
      <c r="I68" s="4">
        <f ca="1">ROUND(T_Facebook_Ads[[#This Row],[conversions]]*RANDBETWEEN(8,12)/10,0)</f>
        <v>10</v>
      </c>
      <c r="J68" s="4">
        <f ca="1">ROUND(T_Facebook_Ads[[#This Row],[video_views]]*RANDBETWEEN(8,12)/10,0)</f>
        <v>9468</v>
      </c>
      <c r="K68" s="4">
        <f ca="1">T_Facebook_Ads[[#This Row],[engagement_rate]]*RANDBETWEEN(8,12)/10</f>
        <v>1.8269999999999998E-2</v>
      </c>
      <c r="L68" s="4">
        <f ca="1">ROUND(T_Facebook_Ads[[#This Row],[reach]]*RANDBETWEEN(8,12)/10,0)</f>
        <v>29254</v>
      </c>
      <c r="M68" s="4">
        <f ca="1">T_Facebook_Ads[[#This Row],[frequency]]*RANDBETWEEN(8,12)/10</f>
        <v>1.4159999999999999</v>
      </c>
      <c r="O68" s="3">
        <f t="shared" ca="1" si="10"/>
        <v>45197</v>
      </c>
      <c r="P68" s="4" t="s">
        <v>76</v>
      </c>
      <c r="Q68" s="4" t="s">
        <v>77</v>
      </c>
      <c r="R68" s="4" t="s">
        <v>78</v>
      </c>
      <c r="S68" s="4" t="s">
        <v>79</v>
      </c>
      <c r="T68" s="4">
        <f ca="1">ROUND(_Google_ads[[#This Row],[impressions]]*RANDBETWEEN(8,12)/10,0)</f>
        <v>24580</v>
      </c>
      <c r="U68" s="4">
        <f ca="1">ROUND(_Google_ads[[#This Row],[clicks]]*RANDBETWEEN(8,12)/10,0)</f>
        <v>1123</v>
      </c>
      <c r="V68" s="4">
        <f ca="1">_Google_ads[[#This Row],[cost]]*RANDBETWEEN(8,12)/10</f>
        <v>171.6</v>
      </c>
      <c r="W68" s="4">
        <f ca="1">ROUND(_Google_ads[[#This Row],[conversions]]*RANDBETWEEN(8,12)/10,0)</f>
        <v>50</v>
      </c>
      <c r="X68" s="4">
        <f ca="1">ROUND(_Google_ads[[#This Row],[conversion_value]]*RANDBETWEEN(8,12)/10,0)</f>
        <v>1890</v>
      </c>
      <c r="Y68" s="4">
        <f ca="1">_Google_ads[[#This Row],[ctr]]*RANDBETWEEN(8,12)/10</f>
        <v>4.0239999999999998E-2</v>
      </c>
      <c r="Z68" s="4">
        <f ca="1">_Google_ads[[#This Row],[avg_cpc]]*RANDBETWEEN(8,12)/10</f>
        <v>0.20899999999999999</v>
      </c>
      <c r="AA68" s="4">
        <f ca="1">ROUND(_Google_ads[[#This Row],[quality_score]]*RANDBETWEEN(8,12)/10,0)</f>
        <v>11</v>
      </c>
      <c r="AB68" s="4">
        <f ca="1">_Google_ads[[#This Row],[search_impression_share]]*RANDBETWEEN(8,12)/10</f>
        <v>0.89</v>
      </c>
      <c r="AD68" s="3">
        <f t="shared" ca="1" si="11"/>
        <v>45197</v>
      </c>
      <c r="AE68" s="4" t="s">
        <v>100</v>
      </c>
      <c r="AF68" s="4" t="s">
        <v>101</v>
      </c>
      <c r="AG68" s="4" t="s">
        <v>102</v>
      </c>
      <c r="AH68" s="4" t="s">
        <v>103</v>
      </c>
      <c r="AI68" s="4">
        <f ca="1">ROUND(T_Tiktok_ads[[#This Row],[impressions]]*RANDBETWEEN(8,12)/10,0)</f>
        <v>204987</v>
      </c>
      <c r="AJ68" s="4">
        <f ca="1">ROUND(T_Tiktok_ads[[#This Row],[clicks]]*RANDBETWEEN(8,12)/10,0)</f>
        <v>4071</v>
      </c>
      <c r="AK68" s="4">
        <v>490.5</v>
      </c>
      <c r="AL68" s="4">
        <f ca="1">ROUND(T_Tiktok_ads[[#This Row],[conversions]]*RANDBETWEEN(8,12)/10,0)</f>
        <v>34</v>
      </c>
      <c r="AM68" s="4">
        <f ca="1">ROUND(T_Tiktok_ads[[#This Row],[video_views]]*RANDBETWEEN(8,12)/10,0)</f>
        <v>209234</v>
      </c>
      <c r="AN68" s="4">
        <f ca="1">ROUND(T_Tiktok_ads[[#This Row],[video_watch_25]]*RANDBETWEEN(8,12)/10,0)</f>
        <v>163567</v>
      </c>
      <c r="AO68" s="4">
        <f ca="1">ROUND(T_Tiktok_ads[[#This Row],[video_watch_50]]*RANDBETWEEN(8,12)/10,0)</f>
        <v>123080</v>
      </c>
      <c r="AP68" s="4">
        <f ca="1">ROUND(T_Tiktok_ads[[#This Row],[video_watch_75]]*RANDBETWEEN(8,12)/10,0)</f>
        <v>69567</v>
      </c>
      <c r="AQ68" s="4">
        <f ca="1">ROUND(T_Tiktok_ads[[#This Row],[video_watch_100]]*RANDBETWEEN(8,12)/10,0)</f>
        <v>37254</v>
      </c>
      <c r="AR68" s="4">
        <f ca="1">ROUND(T_Tiktok_ads[[#This Row],[likes]]*RANDBETWEEN(8,12)/10,0)</f>
        <v>8211</v>
      </c>
      <c r="AS68" s="4">
        <f ca="1">ROUND(T_Tiktok_ads[[#This Row],[shares]]*RANDBETWEEN(8,12)/10,0)</f>
        <v>2908</v>
      </c>
      <c r="AT68" s="4">
        <f ca="1">ROUND(T_Tiktok_ads[[#This Row],[comments]]*RANDBETWEEN(8,12)/10,0)</f>
        <v>661</v>
      </c>
      <c r="AV68" s="5">
        <f t="shared" ca="1" si="12"/>
        <v>45172</v>
      </c>
      <c r="AW68">
        <f t="shared" ca="1" si="13"/>
        <v>2</v>
      </c>
      <c r="AX68">
        <f ca="1">ROUND(T_Facebook_Ads115963677175798387[[#This Row],[impressions]]*RANDBETWEEN(8,12)/10,0)</f>
        <v>51881</v>
      </c>
      <c r="AY68">
        <f ca="1">ROUND(T_Facebook_Ads115963677175798387[[#This Row],[clicks]]*RANDBETWEEN(8,12)/10,0)</f>
        <v>790</v>
      </c>
      <c r="AZ68">
        <f ca="1">T_Facebook_Ads115963677175798387[[#This Row],[spend]]*RANDBETWEEN(8,12)/10</f>
        <v>165.92400000000001</v>
      </c>
      <c r="BA68">
        <f ca="1">ROUND(T_Facebook_Ads115963677175798387[[#This Row],[conversions]]*RANDBETWEEN(8,12)/10,0)</f>
        <v>11</v>
      </c>
      <c r="BB68">
        <f ca="1">ROUND(T_Facebook_Ads115963677175798387[[#This Row],[video_views]]*RANDBETWEEN(8,12)/10,0)</f>
        <v>10415</v>
      </c>
    </row>
    <row r="69" spans="1:54" ht="15.75" thickBot="1" x14ac:dyDescent="0.3">
      <c r="A69" s="3">
        <f t="shared" ca="1" si="9"/>
        <v>45173</v>
      </c>
      <c r="B69" s="4" t="s">
        <v>56</v>
      </c>
      <c r="C69" s="4" t="s">
        <v>57</v>
      </c>
      <c r="D69" s="4" t="s">
        <v>58</v>
      </c>
      <c r="E69" s="4" t="s">
        <v>59</v>
      </c>
      <c r="F69" s="4">
        <f ca="1">ROUND(T_Facebook_Ads[[#This Row],[impressions]]*RANDBETWEEN(8,12)/10,0)</f>
        <v>9512</v>
      </c>
      <c r="G69" s="4">
        <v>545</v>
      </c>
      <c r="H69" s="4">
        <f ca="1">T_Facebook_Ads[[#This Row],[spend]]*RANDBETWEEN(8,12)/10</f>
        <v>161.84</v>
      </c>
      <c r="I69" s="4">
        <f ca="1">ROUND(T_Facebook_Ads[[#This Row],[conversions]]*RANDBETWEEN(8,12)/10,0)</f>
        <v>37</v>
      </c>
      <c r="J69" s="4">
        <f ca="1">ROUND(T_Facebook_Ads[[#This Row],[video_views]]*RANDBETWEEN(8,12)/10,0)</f>
        <v>925</v>
      </c>
      <c r="K69" s="4">
        <f ca="1">T_Facebook_Ads[[#This Row],[engagement_rate]]*RANDBETWEEN(8,12)/10</f>
        <v>5.4959999999999995E-2</v>
      </c>
      <c r="L69" s="4">
        <f ca="1">ROUND(T_Facebook_Ads[[#This Row],[reach]]*RANDBETWEEN(8,12)/10,0)</f>
        <v>9567</v>
      </c>
      <c r="M69" s="4">
        <f ca="1">T_Facebook_Ads[[#This Row],[frequency]]*RANDBETWEEN(8,12)/10</f>
        <v>1.1519999999999999</v>
      </c>
      <c r="O69" s="3">
        <f t="shared" ca="1" si="10"/>
        <v>45193</v>
      </c>
      <c r="P69" s="4" t="s">
        <v>80</v>
      </c>
      <c r="Q69" s="4" t="s">
        <v>81</v>
      </c>
      <c r="R69" s="4" t="s">
        <v>82</v>
      </c>
      <c r="S69" s="4" t="s">
        <v>83</v>
      </c>
      <c r="T69" s="4">
        <f ca="1">ROUND(_Google_ads[[#This Row],[impressions]]*RANDBETWEEN(8,12)/10,0)</f>
        <v>32454</v>
      </c>
      <c r="U69" s="4">
        <f ca="1">ROUND(_Google_ads[[#This Row],[clicks]]*RANDBETWEEN(8,12)/10,0)</f>
        <v>650</v>
      </c>
      <c r="V69" s="4">
        <f ca="1">_Google_ads[[#This Row],[cost]]*RANDBETWEEN(8,12)/10</f>
        <v>416.32</v>
      </c>
      <c r="W69" s="4">
        <f ca="1">ROUND(_Google_ads[[#This Row],[conversions]]*RANDBETWEEN(8,12)/10,0)</f>
        <v>18</v>
      </c>
      <c r="X69" s="4">
        <f ca="1">ROUND(_Google_ads[[#This Row],[conversion_value]]*RANDBETWEEN(8,12)/10,0)</f>
        <v>800</v>
      </c>
      <c r="Y69" s="4">
        <f ca="1">_Google_ads[[#This Row],[ctr]]*RANDBETWEEN(8,12)/10</f>
        <v>1.6E-2</v>
      </c>
      <c r="Z69" s="4">
        <f ca="1">_Google_ads[[#This Row],[avg_cpc]]*RANDBETWEEN(8,12)/10</f>
        <v>0.64</v>
      </c>
      <c r="AA69" s="4">
        <f ca="1">ROUND(_Google_ads[[#This Row],[quality_score]]*RANDBETWEEN(8,12)/10,0)</f>
        <v>5</v>
      </c>
      <c r="AB69" s="4">
        <f ca="1">_Google_ads[[#This Row],[search_impression_share]]*RANDBETWEEN(8,12)/10</f>
        <v>0.46200000000000002</v>
      </c>
      <c r="AD69" s="3">
        <f t="shared" ca="1" si="11"/>
        <v>45170</v>
      </c>
      <c r="AE69" s="4" t="s">
        <v>104</v>
      </c>
      <c r="AF69" s="4" t="s">
        <v>105</v>
      </c>
      <c r="AG69" s="4" t="s">
        <v>106</v>
      </c>
      <c r="AH69" s="4" t="s">
        <v>107</v>
      </c>
      <c r="AI69" s="4">
        <f ca="1">ROUND(T_Tiktok_ads[[#This Row],[impressions]]*RANDBETWEEN(8,12)/10,0)</f>
        <v>142345</v>
      </c>
      <c r="AJ69" s="4">
        <f ca="1">ROUND(T_Tiktok_ads[[#This Row],[clicks]]*RANDBETWEEN(8,12)/10,0)</f>
        <v>2946</v>
      </c>
      <c r="AK69" s="4">
        <v>734.5</v>
      </c>
      <c r="AL69" s="4">
        <f ca="1">ROUND(T_Tiktok_ads[[#This Row],[conversions]]*RANDBETWEEN(8,12)/10,0)</f>
        <v>80</v>
      </c>
      <c r="AM69" s="4">
        <f ca="1">ROUND(T_Tiktok_ads[[#This Row],[video_views]]*RANDBETWEEN(8,12)/10,0)</f>
        <v>97890</v>
      </c>
      <c r="AN69" s="4">
        <f ca="1">ROUND(T_Tiktok_ads[[#This Row],[video_watch_25]]*RANDBETWEEN(8,12)/10,0)</f>
        <v>72345</v>
      </c>
      <c r="AO69" s="4">
        <f ca="1">ROUND(T_Tiktok_ads[[#This Row],[video_watch_50]]*RANDBETWEEN(8,12)/10,0)</f>
        <v>53791</v>
      </c>
      <c r="AP69" s="4">
        <f ca="1">ROUND(T_Tiktok_ads[[#This Row],[video_watch_75]]*RANDBETWEEN(8,12)/10,0)</f>
        <v>33110</v>
      </c>
      <c r="AQ69" s="4">
        <f ca="1">ROUND(T_Tiktok_ads[[#This Row],[video_watch_100]]*RANDBETWEEN(8,12)/10,0)</f>
        <v>24890</v>
      </c>
      <c r="AR69" s="4">
        <f ca="1">ROUND(T_Tiktok_ads[[#This Row],[likes]]*RANDBETWEEN(8,12)/10,0)</f>
        <v>5391</v>
      </c>
      <c r="AS69" s="4">
        <f ca="1">ROUND(T_Tiktok_ads[[#This Row],[shares]]*RANDBETWEEN(8,12)/10,0)</f>
        <v>1220</v>
      </c>
      <c r="AT69" s="4">
        <f ca="1">ROUND(T_Tiktok_ads[[#This Row],[comments]]*RANDBETWEEN(8,12)/10,0)</f>
        <v>256</v>
      </c>
      <c r="AV69" s="5">
        <f t="shared" ca="1" si="12"/>
        <v>45183</v>
      </c>
      <c r="AW69">
        <f t="shared" ca="1" si="13"/>
        <v>7</v>
      </c>
      <c r="AX69">
        <f ca="1">ROUND(T_Facebook_Ads115963677175798387[[#This Row],[impressions]]*RANDBETWEEN(8,12)/10,0)</f>
        <v>7610</v>
      </c>
      <c r="AY69">
        <f ca="1">ROUND(T_Facebook_Ads115963677175798387[[#This Row],[clicks]]*RANDBETWEEN(8,12)/10,0)</f>
        <v>545</v>
      </c>
      <c r="AZ69">
        <f ca="1">T_Facebook_Ads115963677175798387[[#This Row],[spend]]*RANDBETWEEN(8,12)/10</f>
        <v>145.65600000000001</v>
      </c>
      <c r="BA69">
        <f ca="1">ROUND(T_Facebook_Ads115963677175798387[[#This Row],[conversions]]*RANDBETWEEN(8,12)/10,0)</f>
        <v>44</v>
      </c>
      <c r="BB69">
        <f ca="1">ROUND(T_Facebook_Ads115963677175798387[[#This Row],[video_views]]*RANDBETWEEN(8,12)/10,0)</f>
        <v>925</v>
      </c>
    </row>
    <row r="70" spans="1:54" ht="15.75" thickBot="1" x14ac:dyDescent="0.3">
      <c r="A70" s="3">
        <f t="shared" ca="1" si="9"/>
        <v>45184</v>
      </c>
      <c r="B70" s="4" t="s">
        <v>60</v>
      </c>
      <c r="C70" s="4" t="s">
        <v>61</v>
      </c>
      <c r="D70" s="4" t="s">
        <v>62</v>
      </c>
      <c r="E70" s="4" t="s">
        <v>63</v>
      </c>
      <c r="F70" s="4">
        <f ca="1">ROUND(T_Facebook_Ads[[#This Row],[impressions]]*RANDBETWEEN(8,12)/10,0)</f>
        <v>27654</v>
      </c>
      <c r="G70" s="4">
        <v>1234</v>
      </c>
      <c r="H70" s="4">
        <f ca="1">T_Facebook_Ads[[#This Row],[spend]]*RANDBETWEEN(8,12)/10</f>
        <v>170.64</v>
      </c>
      <c r="I70" s="4">
        <f ca="1">ROUND(T_Facebook_Ads[[#This Row],[conversions]]*RANDBETWEEN(8,12)/10,0)</f>
        <v>19</v>
      </c>
      <c r="J70" s="4">
        <f ca="1">ROUND(T_Facebook_Ads[[#This Row],[video_views]]*RANDBETWEEN(8,12)/10,0)</f>
        <v>4567</v>
      </c>
      <c r="K70" s="4">
        <f ca="1">T_Facebook_Ads[[#This Row],[engagement_rate]]*RANDBETWEEN(8,12)/10</f>
        <v>3.9270000000000006E-2</v>
      </c>
      <c r="L70" s="4">
        <f ca="1">ROUND(T_Facebook_Ads[[#This Row],[reach]]*RANDBETWEEN(8,12)/10,0)</f>
        <v>31827</v>
      </c>
      <c r="M70" s="4">
        <f ca="1">T_Facebook_Ads[[#This Row],[frequency]]*RANDBETWEEN(8,12)/10</f>
        <v>1.3089999999999999</v>
      </c>
      <c r="O70" s="3">
        <f t="shared" ca="1" si="10"/>
        <v>45185</v>
      </c>
      <c r="P70" s="4" t="s">
        <v>84</v>
      </c>
      <c r="Q70" s="4" t="s">
        <v>85</v>
      </c>
      <c r="R70" s="4" t="s">
        <v>86</v>
      </c>
      <c r="S70" s="4" t="s">
        <v>87</v>
      </c>
      <c r="T70" s="4">
        <f ca="1">ROUND(_Google_ads[[#This Row],[impressions]]*RANDBETWEEN(8,12)/10,0)</f>
        <v>58401</v>
      </c>
      <c r="U70" s="4">
        <f ca="1">ROUND(_Google_ads[[#This Row],[clicks]]*RANDBETWEEN(8,12)/10,0)</f>
        <v>1654</v>
      </c>
      <c r="V70" s="4">
        <f ca="1">_Google_ads[[#This Row],[cost]]*RANDBETWEEN(8,12)/10</f>
        <v>301.44</v>
      </c>
      <c r="W70" s="4">
        <f ca="1">ROUND(_Google_ads[[#This Row],[conversions]]*RANDBETWEEN(8,12)/10,0)</f>
        <v>71</v>
      </c>
      <c r="X70" s="4">
        <f ca="1">ROUND(_Google_ads[[#This Row],[conversion_value]]*RANDBETWEEN(8,12)/10,0)</f>
        <v>2950</v>
      </c>
      <c r="Y70" s="4">
        <f ca="1">_Google_ads[[#This Row],[ctr]]*RANDBETWEEN(8,12)/10</f>
        <v>3.8279999999999995E-2</v>
      </c>
      <c r="Z70" s="4">
        <f ca="1">_Google_ads[[#This Row],[avg_cpc]]*RANDBETWEEN(8,12)/10</f>
        <v>0.18</v>
      </c>
      <c r="AA70" s="4">
        <f ca="1">ROUND(_Google_ads[[#This Row],[quality_score]]*RANDBETWEEN(8,12)/10,0)</f>
        <v>10</v>
      </c>
      <c r="AB70" s="4">
        <f ca="1">_Google_ads[[#This Row],[search_impression_share]]*RANDBETWEEN(8,12)/10</f>
        <v>0.58500000000000008</v>
      </c>
      <c r="AD70" s="3">
        <f t="shared" ca="1" si="11"/>
        <v>45185</v>
      </c>
      <c r="AE70" s="4" t="s">
        <v>108</v>
      </c>
      <c r="AF70" s="4" t="s">
        <v>109</v>
      </c>
      <c r="AG70" s="4" t="s">
        <v>110</v>
      </c>
      <c r="AH70" s="4" t="s">
        <v>111</v>
      </c>
      <c r="AI70" s="4">
        <f ca="1">ROUND(T_Tiktok_ads[[#This Row],[impressions]]*RANDBETWEEN(8,12)/10,0)</f>
        <v>218901</v>
      </c>
      <c r="AJ70" s="4">
        <f ca="1">ROUND(T_Tiktok_ads[[#This Row],[clicks]]*RANDBETWEEN(8,12)/10,0)</f>
        <v>2765</v>
      </c>
      <c r="AK70" s="4">
        <v>414.4</v>
      </c>
      <c r="AL70" s="4">
        <f ca="1">ROUND(T_Tiktok_ads[[#This Row],[conversions]]*RANDBETWEEN(8,12)/10,0)</f>
        <v>32</v>
      </c>
      <c r="AM70" s="4">
        <f ca="1">ROUND(T_Tiktok_ads[[#This Row],[video_views]]*RANDBETWEEN(8,12)/10,0)</f>
        <v>190802</v>
      </c>
      <c r="AN70" s="4">
        <f ca="1">ROUND(T_Tiktok_ads[[#This Row],[video_watch_25]]*RANDBETWEEN(8,12)/10,0)</f>
        <v>144724</v>
      </c>
      <c r="AO70" s="4">
        <f ca="1">ROUND(T_Tiktok_ads[[#This Row],[video_watch_50]]*RANDBETWEEN(8,12)/10,0)</f>
        <v>113924</v>
      </c>
      <c r="AP70" s="4">
        <f ca="1">ROUND(T_Tiktok_ads[[#This Row],[video_watch_75]]*RANDBETWEEN(8,12)/10,0)</f>
        <v>80681</v>
      </c>
      <c r="AQ70" s="4">
        <f ca="1">ROUND(T_Tiktok_ads[[#This Row],[video_watch_100]]*RANDBETWEEN(8,12)/10,0)</f>
        <v>36510</v>
      </c>
      <c r="AR70" s="4">
        <f ca="1">ROUND(T_Tiktok_ads[[#This Row],[likes]]*RANDBETWEEN(8,12)/10,0)</f>
        <v>8012</v>
      </c>
      <c r="AS70" s="4">
        <f ca="1">ROUND(T_Tiktok_ads[[#This Row],[shares]]*RANDBETWEEN(8,12)/10,0)</f>
        <v>1981</v>
      </c>
      <c r="AT70" s="4">
        <f ca="1">ROUND(T_Tiktok_ads[[#This Row],[comments]]*RANDBETWEEN(8,12)/10,0)</f>
        <v>418</v>
      </c>
      <c r="AV70" s="5">
        <f t="shared" ca="1" si="12"/>
        <v>45191</v>
      </c>
      <c r="AW70">
        <f t="shared" ca="1" si="13"/>
        <v>3</v>
      </c>
      <c r="AX70">
        <f ca="1">ROUND(T_Facebook_Ads115963677175798387[[#This Row],[impressions]]*RANDBETWEEN(8,12)/10,0)</f>
        <v>33185</v>
      </c>
      <c r="AY70">
        <f ca="1">ROUND(T_Facebook_Ads115963677175798387[[#This Row],[clicks]]*RANDBETWEEN(8,12)/10,0)</f>
        <v>1481</v>
      </c>
      <c r="AZ70">
        <f ca="1">T_Facebook_Ads115963677175798387[[#This Row],[spend]]*RANDBETWEEN(8,12)/10</f>
        <v>170.64</v>
      </c>
      <c r="BA70">
        <f ca="1">ROUND(T_Facebook_Ads115963677175798387[[#This Row],[conversions]]*RANDBETWEEN(8,12)/10,0)</f>
        <v>19</v>
      </c>
      <c r="BB70">
        <f ca="1">ROUND(T_Facebook_Ads115963677175798387[[#This Row],[video_views]]*RANDBETWEEN(8,12)/10,0)</f>
        <v>5024</v>
      </c>
    </row>
    <row r="71" spans="1:54" ht="15.75" thickBot="1" x14ac:dyDescent="0.3">
      <c r="A71" s="3">
        <f t="shared" ca="1" si="9"/>
        <v>45189</v>
      </c>
      <c r="B71" s="4" t="s">
        <v>64</v>
      </c>
      <c r="C71" s="4" t="s">
        <v>65</v>
      </c>
      <c r="D71" s="4" t="s">
        <v>66</v>
      </c>
      <c r="E71" s="4" t="s">
        <v>67</v>
      </c>
      <c r="F71" s="4">
        <f ca="1">ROUND(T_Facebook_Ads[[#This Row],[impressions]]*RANDBETWEEN(8,12)/10,0)</f>
        <v>78281</v>
      </c>
      <c r="G71" s="4">
        <v>234</v>
      </c>
      <c r="H71" s="4">
        <f ca="1">T_Facebook_Ads[[#This Row],[spend]]*RANDBETWEEN(8,12)/10</f>
        <v>73.080000000000013</v>
      </c>
      <c r="I71" s="4">
        <f ca="1">ROUND(T_Facebook_Ads[[#This Row],[conversions]]*RANDBETWEEN(8,12)/10,0)</f>
        <v>5</v>
      </c>
      <c r="J71" s="4">
        <f ca="1">ROUND(T_Facebook_Ads[[#This Row],[video_views]]*RANDBETWEEN(8,12)/10,0)</f>
        <v>34854</v>
      </c>
      <c r="K71" s="4">
        <f ca="1">T_Facebook_Ads[[#This Row],[engagement_rate]]*RANDBETWEEN(8,12)/10</f>
        <v>4.3200000000000001E-3</v>
      </c>
      <c r="L71" s="4">
        <f ca="1">ROUND(T_Facebook_Ads[[#This Row],[reach]]*RANDBETWEEN(8,12)/10,0)</f>
        <v>64147</v>
      </c>
      <c r="M71" s="4">
        <f ca="1">T_Facebook_Ads[[#This Row],[frequency]]*RANDBETWEEN(8,12)/10</f>
        <v>1.3089999999999999</v>
      </c>
      <c r="O71" s="3">
        <f t="shared" ca="1" si="10"/>
        <v>45171</v>
      </c>
      <c r="P71" s="4" t="s">
        <v>88</v>
      </c>
      <c r="Q71" s="4" t="s">
        <v>89</v>
      </c>
      <c r="R71" s="4" t="s">
        <v>90</v>
      </c>
      <c r="S71" s="4" t="s">
        <v>59</v>
      </c>
      <c r="T71" s="4">
        <f ca="1">ROUND(_Google_ads[[#This Row],[impressions]]*RANDBETWEEN(8,12)/10,0)</f>
        <v>99654</v>
      </c>
      <c r="U71" s="4">
        <f ca="1">ROUND(_Google_ads[[#This Row],[clicks]]*RANDBETWEEN(8,12)/10,0)</f>
        <v>356</v>
      </c>
      <c r="V71" s="4">
        <f ca="1">_Google_ads[[#This Row],[cost]]*RANDBETWEEN(8,12)/10</f>
        <v>146.76</v>
      </c>
      <c r="W71" s="4">
        <f ca="1">ROUND(_Google_ads[[#This Row],[conversions]]*RANDBETWEEN(8,12)/10,0)</f>
        <v>14</v>
      </c>
      <c r="X71" s="4">
        <f ca="1">ROUND(_Google_ads[[#This Row],[conversion_value]]*RANDBETWEEN(8,12)/10,0)</f>
        <v>660</v>
      </c>
      <c r="Y71" s="4">
        <f ca="1">_Google_ads[[#This Row],[ctr]]*RANDBETWEEN(8,12)/10</f>
        <v>3.2399999999999998E-3</v>
      </c>
      <c r="Z71" s="4">
        <f ca="1">_Google_ads[[#This Row],[avg_cpc]]*RANDBETWEEN(8,12)/10</f>
        <v>0.29700000000000004</v>
      </c>
      <c r="AA71" s="4">
        <f ca="1">ROUND(_Google_ads[[#This Row],[quality_score]]*RANDBETWEEN(8,12)/10,0)</f>
        <v>8</v>
      </c>
      <c r="AB71" s="4">
        <f ca="1">_Google_ads[[#This Row],[search_impression_share]]*RANDBETWEEN(8,12)/10</f>
        <v>0.36300000000000004</v>
      </c>
      <c r="AD71" s="3">
        <f t="shared" ca="1" si="11"/>
        <v>45189</v>
      </c>
      <c r="AE71" s="4" t="s">
        <v>112</v>
      </c>
      <c r="AF71" s="4" t="s">
        <v>113</v>
      </c>
      <c r="AG71" s="4" t="s">
        <v>114</v>
      </c>
      <c r="AH71" s="4" t="s">
        <v>115</v>
      </c>
      <c r="AI71" s="4">
        <f ca="1">ROUND(T_Tiktok_ads[[#This Row],[impressions]]*RANDBETWEEN(8,12)/10,0)</f>
        <v>389012</v>
      </c>
      <c r="AJ71" s="4">
        <f ca="1">ROUND(T_Tiktok_ads[[#This Row],[clicks]]*RANDBETWEEN(8,12)/10,0)</f>
        <v>6857</v>
      </c>
      <c r="AK71" s="4">
        <v>967.8</v>
      </c>
      <c r="AL71" s="4">
        <f ca="1">ROUND(T_Tiktok_ads[[#This Row],[conversions]]*RANDBETWEEN(8,12)/10,0)</f>
        <v>118</v>
      </c>
      <c r="AM71" s="4">
        <f ca="1">ROUND(T_Tiktok_ads[[#This Row],[video_views]]*RANDBETWEEN(8,12)/10,0)</f>
        <v>289111</v>
      </c>
      <c r="AN71" s="4">
        <f ca="1">ROUND(T_Tiktok_ads[[#This Row],[video_watch_25]]*RANDBETWEEN(8,12)/10,0)</f>
        <v>258901</v>
      </c>
      <c r="AO71" s="4">
        <f ca="1">ROUND(T_Tiktok_ads[[#This Row],[video_watch_50]]*RANDBETWEEN(8,12)/10,0)</f>
        <v>249468</v>
      </c>
      <c r="AP71" s="4">
        <f ca="1">ROUND(T_Tiktok_ads[[#This Row],[video_watch_75]]*RANDBETWEEN(8,12)/10,0)</f>
        <v>147234</v>
      </c>
      <c r="AQ71" s="4">
        <f ca="1">ROUND(T_Tiktok_ads[[#This Row],[video_watch_100]]*RANDBETWEEN(8,12)/10,0)</f>
        <v>77965</v>
      </c>
      <c r="AR71" s="4">
        <f ca="1">ROUND(T_Tiktok_ads[[#This Row],[likes]]*RANDBETWEEN(8,12)/10,0)</f>
        <v>20281</v>
      </c>
      <c r="AS71" s="4">
        <f ca="1">ROUND(T_Tiktok_ads[[#This Row],[shares]]*RANDBETWEEN(8,12)/10,0)</f>
        <v>4421</v>
      </c>
      <c r="AT71" s="4">
        <f ca="1">ROUND(T_Tiktok_ads[[#This Row],[comments]]*RANDBETWEEN(8,12)/10,0)</f>
        <v>1614</v>
      </c>
      <c r="AV71" s="5">
        <f t="shared" ca="1" si="12"/>
        <v>45193</v>
      </c>
      <c r="AW71">
        <f t="shared" ca="1" si="13"/>
        <v>3</v>
      </c>
      <c r="AX71">
        <f ca="1">ROUND(T_Facebook_Ads115963677175798387[[#This Row],[impressions]]*RANDBETWEEN(8,12)/10,0)</f>
        <v>78281</v>
      </c>
      <c r="AY71">
        <f ca="1">ROUND(T_Facebook_Ads115963677175798387[[#This Row],[clicks]]*RANDBETWEEN(8,12)/10,0)</f>
        <v>234</v>
      </c>
      <c r="AZ71">
        <f ca="1">T_Facebook_Ads115963677175798387[[#This Row],[spend]]*RANDBETWEEN(8,12)/10</f>
        <v>58.464000000000013</v>
      </c>
      <c r="BA71">
        <f ca="1">ROUND(T_Facebook_Ads115963677175798387[[#This Row],[conversions]]*RANDBETWEEN(8,12)/10,0)</f>
        <v>6</v>
      </c>
      <c r="BB71">
        <f ca="1">ROUND(T_Facebook_Ads115963677175798387[[#This Row],[video_views]]*RANDBETWEEN(8,12)/10,0)</f>
        <v>41825</v>
      </c>
    </row>
    <row r="72" spans="1:54" ht="15.75" thickBot="1" x14ac:dyDescent="0.3">
      <c r="A72" s="3">
        <f t="shared" ca="1" si="9"/>
        <v>45185</v>
      </c>
      <c r="B72" s="4" t="s">
        <v>52</v>
      </c>
      <c r="C72" s="4" t="s">
        <v>53</v>
      </c>
      <c r="D72" s="4" t="s">
        <v>54</v>
      </c>
      <c r="E72" s="4" t="s">
        <v>55</v>
      </c>
      <c r="F72" s="4">
        <f ca="1">ROUND(T_Facebook_Ads[[#This Row],[impressions]]*RANDBETWEEN(8,12)/10,0)</f>
        <v>41567</v>
      </c>
      <c r="G72" s="4">
        <v>823</v>
      </c>
      <c r="H72" s="4">
        <f ca="1">T_Facebook_Ads[[#This Row],[spend]]*RANDBETWEEN(8,12)/10</f>
        <v>142.68</v>
      </c>
      <c r="I72" s="4">
        <f ca="1">ROUND(T_Facebook_Ads[[#This Row],[conversions]]*RANDBETWEEN(8,12)/10,0)</f>
        <v>11</v>
      </c>
      <c r="J72" s="4">
        <f ca="1">ROUND(T_Facebook_Ads[[#This Row],[video_views]]*RANDBETWEEN(8,12)/10,0)</f>
        <v>7456</v>
      </c>
      <c r="K72" s="4">
        <f ca="1">T_Facebook_Ads[[#This Row],[engagement_rate]]*RANDBETWEEN(8,12)/10</f>
        <v>2.1780000000000001E-2</v>
      </c>
      <c r="L72" s="4">
        <f ca="1">ROUND(T_Facebook_Ads[[#This Row],[reach]]*RANDBETWEEN(8,12)/10,0)</f>
        <v>42148</v>
      </c>
      <c r="M72" s="4">
        <f ca="1">T_Facebook_Ads[[#This Row],[frequency]]*RANDBETWEEN(8,12)/10</f>
        <v>1.18</v>
      </c>
      <c r="O72" s="3">
        <f t="shared" ca="1" si="10"/>
        <v>45181</v>
      </c>
      <c r="P72" s="4" t="s">
        <v>76</v>
      </c>
      <c r="Q72" s="4" t="s">
        <v>77</v>
      </c>
      <c r="R72" s="4" t="s">
        <v>78</v>
      </c>
      <c r="S72" s="4" t="s">
        <v>79</v>
      </c>
      <c r="T72" s="4">
        <f ca="1">ROUND(_Google_ads[[#This Row],[impressions]]*RANDBETWEEN(8,12)/10,0)</f>
        <v>19410</v>
      </c>
      <c r="U72" s="4">
        <f ca="1">ROUND(_Google_ads[[#This Row],[clicks]]*RANDBETWEEN(8,12)/10,0)</f>
        <v>871</v>
      </c>
      <c r="V72" s="4">
        <f ca="1">_Google_ads[[#This Row],[cost]]*RANDBETWEEN(8,12)/10</f>
        <v>249.36000000000004</v>
      </c>
      <c r="W72" s="4">
        <f ca="1">ROUND(_Google_ads[[#This Row],[conversions]]*RANDBETWEEN(8,12)/10,0)</f>
        <v>41</v>
      </c>
      <c r="X72" s="4">
        <f ca="1">ROUND(_Google_ads[[#This Row],[conversion_value]]*RANDBETWEEN(8,12)/10,0)</f>
        <v>1845</v>
      </c>
      <c r="Y72" s="4">
        <f ca="1">_Google_ads[[#This Row],[ctr]]*RANDBETWEEN(8,12)/10</f>
        <v>4.0400000000000005E-2</v>
      </c>
      <c r="Z72" s="4">
        <f ca="1">_Google_ads[[#This Row],[avg_cpc]]*RANDBETWEEN(8,12)/10</f>
        <v>0.20899999999999999</v>
      </c>
      <c r="AA72" s="4">
        <f ca="1">ROUND(_Google_ads[[#This Row],[quality_score]]*RANDBETWEEN(8,12)/10,0)</f>
        <v>11</v>
      </c>
      <c r="AB72" s="4">
        <f ca="1">_Google_ads[[#This Row],[search_impression_share]]*RANDBETWEEN(8,12)/10</f>
        <v>0.70399999999999996</v>
      </c>
      <c r="AD72" s="3">
        <f t="shared" ca="1" si="11"/>
        <v>45174</v>
      </c>
      <c r="AE72" s="4" t="s">
        <v>100</v>
      </c>
      <c r="AF72" s="4" t="s">
        <v>101</v>
      </c>
      <c r="AG72" s="4" t="s">
        <v>102</v>
      </c>
      <c r="AH72" s="4" t="s">
        <v>103</v>
      </c>
      <c r="AI72" s="4">
        <f ca="1">ROUND(T_Tiktok_ads[[#This Row],[impressions]]*RANDBETWEEN(8,12)/10,0)</f>
        <v>234567</v>
      </c>
      <c r="AJ72" s="4">
        <f ca="1">ROUND(T_Tiktok_ads[[#This Row],[clicks]]*RANDBETWEEN(8,12)/10,0)</f>
        <v>3110</v>
      </c>
      <c r="AK72" s="4">
        <v>445.7</v>
      </c>
      <c r="AL72" s="4">
        <f ca="1">ROUND(T_Tiktok_ads[[#This Row],[conversions]]*RANDBETWEEN(8,12)/10,0)</f>
        <v>41</v>
      </c>
      <c r="AM72" s="4">
        <f ca="1">ROUND(T_Tiktok_ads[[#This Row],[video_views]]*RANDBETWEEN(8,12)/10,0)</f>
        <v>175711</v>
      </c>
      <c r="AN72" s="4">
        <f ca="1">ROUND(T_Tiktok_ads[[#This Row],[video_watch_25]]*RANDBETWEEN(8,12)/10,0)</f>
        <v>122765</v>
      </c>
      <c r="AO72" s="4">
        <f ca="1">ROUND(T_Tiktok_ads[[#This Row],[video_watch_50]]*RANDBETWEEN(8,12)/10,0)</f>
        <v>105857</v>
      </c>
      <c r="AP72" s="4">
        <f ca="1">ROUND(T_Tiktok_ads[[#This Row],[video_watch_75]]*RANDBETWEEN(8,12)/10,0)</f>
        <v>71757</v>
      </c>
      <c r="AQ72" s="4">
        <f ca="1">ROUND(T_Tiktok_ads[[#This Row],[video_watch_100]]*RANDBETWEEN(8,12)/10,0)</f>
        <v>43567</v>
      </c>
      <c r="AR72" s="4">
        <f ca="1">ROUND(T_Tiktok_ads[[#This Row],[likes]]*RANDBETWEEN(8,12)/10,0)</f>
        <v>7880</v>
      </c>
      <c r="AS72" s="4">
        <f ca="1">ROUND(T_Tiktok_ads[[#This Row],[shares]]*RANDBETWEEN(8,12)/10,0)</f>
        <v>2011</v>
      </c>
      <c r="AT72" s="4">
        <f ca="1">ROUND(T_Tiktok_ads[[#This Row],[comments]]*RANDBETWEEN(8,12)/10,0)</f>
        <v>534</v>
      </c>
      <c r="AV72" s="5">
        <f t="shared" ca="1" si="12"/>
        <v>45192</v>
      </c>
      <c r="AW72">
        <f t="shared" ca="1" si="13"/>
        <v>1</v>
      </c>
      <c r="AX72">
        <f ca="1">ROUND(T_Facebook_Ads115963677175798387[[#This Row],[impressions]]*RANDBETWEEN(8,12)/10,0)</f>
        <v>37410</v>
      </c>
      <c r="AY72">
        <f ca="1">ROUND(T_Facebook_Ads115963677175798387[[#This Row],[clicks]]*RANDBETWEEN(8,12)/10,0)</f>
        <v>988</v>
      </c>
      <c r="AZ72">
        <f ca="1">T_Facebook_Ads115963677175798387[[#This Row],[spend]]*RANDBETWEEN(8,12)/10</f>
        <v>171.21600000000001</v>
      </c>
      <c r="BA72">
        <f ca="1">ROUND(T_Facebook_Ads115963677175798387[[#This Row],[conversions]]*RANDBETWEEN(8,12)/10,0)</f>
        <v>9</v>
      </c>
      <c r="BB72">
        <f ca="1">ROUND(T_Facebook_Ads115963677175798387[[#This Row],[video_views]]*RANDBETWEEN(8,12)/10,0)</f>
        <v>8202</v>
      </c>
    </row>
    <row r="73" spans="1:54" ht="15.75" thickBot="1" x14ac:dyDescent="0.3">
      <c r="A73" s="3">
        <f t="shared" ca="1" si="9"/>
        <v>45171</v>
      </c>
      <c r="B73" s="4" t="s">
        <v>56</v>
      </c>
      <c r="C73" s="4" t="s">
        <v>57</v>
      </c>
      <c r="D73" s="4" t="s">
        <v>58</v>
      </c>
      <c r="E73" s="4" t="s">
        <v>59</v>
      </c>
      <c r="F73" s="4">
        <f ca="1">ROUND(T_Facebook_Ads[[#This Row],[impressions]]*RANDBETWEEN(8,12)/10,0)</f>
        <v>12281</v>
      </c>
      <c r="G73" s="4">
        <v>467</v>
      </c>
      <c r="H73" s="4">
        <f ca="1">T_Facebook_Ads[[#This Row],[spend]]*RANDBETWEEN(8,12)/10</f>
        <v>214.08</v>
      </c>
      <c r="I73" s="4">
        <f ca="1">ROUND(T_Facebook_Ads[[#This Row],[conversions]]*RANDBETWEEN(8,12)/10,0)</f>
        <v>33</v>
      </c>
      <c r="J73" s="4">
        <f ca="1">ROUND(T_Facebook_Ads[[#This Row],[video_views]]*RANDBETWEEN(8,12)/10,0)</f>
        <v>945</v>
      </c>
      <c r="K73" s="4">
        <f ca="1">T_Facebook_Ads[[#This Row],[engagement_rate]]*RANDBETWEEN(8,12)/10</f>
        <v>3.6479999999999999E-2</v>
      </c>
      <c r="L73" s="4">
        <f ca="1">ROUND(T_Facebook_Ads[[#This Row],[reach]]*RANDBETWEEN(8,12)/10,0)</f>
        <v>6765</v>
      </c>
      <c r="M73" s="4">
        <f ca="1">T_Facebook_Ads[[#This Row],[frequency]]*RANDBETWEEN(8,12)/10</f>
        <v>0.96799999999999997</v>
      </c>
      <c r="O73" s="3">
        <f t="shared" ca="1" si="10"/>
        <v>45171</v>
      </c>
      <c r="P73" s="4" t="s">
        <v>80</v>
      </c>
      <c r="Q73" s="4" t="s">
        <v>81</v>
      </c>
      <c r="R73" s="4" t="s">
        <v>82</v>
      </c>
      <c r="S73" s="4" t="s">
        <v>83</v>
      </c>
      <c r="T73" s="4">
        <f ca="1">ROUND(_Google_ads[[#This Row],[impressions]]*RANDBETWEEN(8,12)/10,0)</f>
        <v>31121</v>
      </c>
      <c r="U73" s="4">
        <f ca="1">ROUND(_Google_ads[[#This Row],[clicks]]*RANDBETWEEN(8,12)/10,0)</f>
        <v>622</v>
      </c>
      <c r="V73" s="4">
        <f ca="1">_Google_ads[[#This Row],[cost]]*RANDBETWEEN(8,12)/10</f>
        <v>498.7</v>
      </c>
      <c r="W73" s="4">
        <f ca="1">ROUND(_Google_ads[[#This Row],[conversions]]*RANDBETWEEN(8,12)/10,0)</f>
        <v>17</v>
      </c>
      <c r="X73" s="4">
        <f ca="1">ROUND(_Google_ads[[#This Row],[conversion_value]]*RANDBETWEEN(8,12)/10,0)</f>
        <v>855</v>
      </c>
      <c r="Y73" s="4">
        <f ca="1">_Google_ads[[#This Row],[ctr]]*RANDBETWEEN(8,12)/10</f>
        <v>1.7999999999999999E-2</v>
      </c>
      <c r="Z73" s="4">
        <f ca="1">_Google_ads[[#This Row],[avg_cpc]]*RANDBETWEEN(8,12)/10</f>
        <v>0.57599999999999996</v>
      </c>
      <c r="AA73" s="4">
        <f ca="1">ROUND(_Google_ads[[#This Row],[quality_score]]*RANDBETWEEN(8,12)/10,0)</f>
        <v>7</v>
      </c>
      <c r="AB73" s="4">
        <f ca="1">_Google_ads[[#This Row],[search_impression_share]]*RANDBETWEEN(8,12)/10</f>
        <v>0.36899999999999999</v>
      </c>
      <c r="AD73" s="3">
        <f t="shared" ca="1" si="11"/>
        <v>45185</v>
      </c>
      <c r="AE73" s="4" t="s">
        <v>104</v>
      </c>
      <c r="AF73" s="4" t="s">
        <v>105</v>
      </c>
      <c r="AG73" s="4" t="s">
        <v>106</v>
      </c>
      <c r="AH73" s="4" t="s">
        <v>107</v>
      </c>
      <c r="AI73" s="4">
        <f ca="1">ROUND(T_Tiktok_ads[[#This Row],[impressions]]*RANDBETWEEN(8,12)/10,0)</f>
        <v>141791</v>
      </c>
      <c r="AJ73" s="4">
        <f ca="1">ROUND(T_Tiktok_ads[[#This Row],[clicks]]*RANDBETWEEN(8,12)/10,0)</f>
        <v>2456</v>
      </c>
      <c r="AK73" s="4">
        <v>678.9</v>
      </c>
      <c r="AL73" s="4">
        <f ca="1">ROUND(T_Tiktok_ads[[#This Row],[conversions]]*RANDBETWEEN(8,12)/10,0)</f>
        <v>60</v>
      </c>
      <c r="AM73" s="4">
        <f ca="1">ROUND(T_Tiktok_ads[[#This Row],[video_views]]*RANDBETWEEN(8,12)/10,0)</f>
        <v>98157</v>
      </c>
      <c r="AN73" s="4">
        <f ca="1">ROUND(T_Tiktok_ads[[#This Row],[video_watch_25]]*RANDBETWEEN(8,12)/10,0)</f>
        <v>60511</v>
      </c>
      <c r="AO73" s="4">
        <f ca="1">ROUND(T_Tiktok_ads[[#This Row],[video_watch_50]]*RANDBETWEEN(8,12)/10,0)</f>
        <v>45234</v>
      </c>
      <c r="AP73" s="4">
        <f ca="1">ROUND(T_Tiktok_ads[[#This Row],[video_watch_75]]*RANDBETWEEN(8,12)/10,0)</f>
        <v>34234</v>
      </c>
      <c r="AQ73" s="4">
        <f ca="1">ROUND(T_Tiktok_ads[[#This Row],[video_watch_100]]*RANDBETWEEN(8,12)/10,0)</f>
        <v>25802</v>
      </c>
      <c r="AR73" s="4">
        <f ca="1">ROUND(T_Tiktok_ads[[#This Row],[likes]]*RANDBETWEEN(8,12)/10,0)</f>
        <v>4110</v>
      </c>
      <c r="AS73" s="4">
        <f ca="1">ROUND(T_Tiktok_ads[[#This Row],[shares]]*RANDBETWEEN(8,12)/10,0)</f>
        <v>1481</v>
      </c>
      <c r="AT73" s="4">
        <f ca="1">ROUND(T_Tiktok_ads[[#This Row],[comments]]*RANDBETWEEN(8,12)/10,0)</f>
        <v>211</v>
      </c>
      <c r="AV73" s="5">
        <f t="shared" ca="1" si="12"/>
        <v>45176</v>
      </c>
      <c r="AW73">
        <f t="shared" ca="1" si="13"/>
        <v>1</v>
      </c>
      <c r="AX73">
        <f ca="1">ROUND(T_Facebook_Ads115963677175798387[[#This Row],[impressions]]*RANDBETWEEN(8,12)/10,0)</f>
        <v>9825</v>
      </c>
      <c r="AY73">
        <f ca="1">ROUND(T_Facebook_Ads115963677175798387[[#This Row],[clicks]]*RANDBETWEEN(8,12)/10,0)</f>
        <v>467</v>
      </c>
      <c r="AZ73">
        <f ca="1">T_Facebook_Ads115963677175798387[[#This Row],[spend]]*RANDBETWEEN(8,12)/10</f>
        <v>214.08</v>
      </c>
      <c r="BA73">
        <f ca="1">ROUND(T_Facebook_Ads115963677175798387[[#This Row],[conversions]]*RANDBETWEEN(8,12)/10,0)</f>
        <v>26</v>
      </c>
      <c r="BB73">
        <f ca="1">ROUND(T_Facebook_Ads115963677175798387[[#This Row],[video_views]]*RANDBETWEEN(8,12)/10,0)</f>
        <v>756</v>
      </c>
    </row>
    <row r="74" spans="1:54" ht="15.75" thickBot="1" x14ac:dyDescent="0.3">
      <c r="A74" s="3">
        <f t="shared" ca="1" si="9"/>
        <v>45196</v>
      </c>
      <c r="B74" s="4" t="s">
        <v>60</v>
      </c>
      <c r="C74" s="4" t="s">
        <v>61</v>
      </c>
      <c r="D74" s="4" t="s">
        <v>62</v>
      </c>
      <c r="E74" s="4" t="s">
        <v>63</v>
      </c>
      <c r="F74" s="4">
        <f ca="1">ROUND(T_Facebook_Ads[[#This Row],[impressions]]*RANDBETWEEN(8,12)/10,0)</f>
        <v>36179</v>
      </c>
      <c r="G74" s="4">
        <v>1178</v>
      </c>
      <c r="H74" s="4">
        <f ca="1">T_Facebook_Ads[[#This Row],[spend]]*RANDBETWEEN(8,12)/10</f>
        <v>205.43999999999997</v>
      </c>
      <c r="I74" s="4">
        <f ca="1">ROUND(T_Facebook_Ads[[#This Row],[conversions]]*RANDBETWEEN(8,12)/10,0)</f>
        <v>20</v>
      </c>
      <c r="J74" s="4">
        <f ca="1">ROUND(T_Facebook_Ads[[#This Row],[video_views]]*RANDBETWEEN(8,12)/10,0)</f>
        <v>4547</v>
      </c>
      <c r="K74" s="4">
        <f ca="1">T_Facebook_Ads[[#This Row],[engagement_rate]]*RANDBETWEEN(8,12)/10</f>
        <v>3.9379999999999998E-2</v>
      </c>
      <c r="L74" s="4">
        <f ca="1">ROUND(T_Facebook_Ads[[#This Row],[reach]]*RANDBETWEEN(8,12)/10,0)</f>
        <v>32681</v>
      </c>
      <c r="M74" s="4">
        <f ca="1">T_Facebook_Ads[[#This Row],[frequency]]*RANDBETWEEN(8,12)/10</f>
        <v>1.21</v>
      </c>
      <c r="O74" s="3">
        <f t="shared" ca="1" si="10"/>
        <v>45177</v>
      </c>
      <c r="P74" s="4" t="s">
        <v>84</v>
      </c>
      <c r="Q74" s="4" t="s">
        <v>85</v>
      </c>
      <c r="R74" s="4" t="s">
        <v>86</v>
      </c>
      <c r="S74" s="4" t="s">
        <v>87</v>
      </c>
      <c r="T74" s="4">
        <f ca="1">ROUND(_Google_ads[[#This Row],[impressions]]*RANDBETWEEN(8,12)/10,0)</f>
        <v>74814</v>
      </c>
      <c r="U74" s="4">
        <f ca="1">ROUND(_Google_ads[[#This Row],[clicks]]*RANDBETWEEN(8,12)/10,0)</f>
        <v>2387</v>
      </c>
      <c r="V74" s="4">
        <f ca="1">_Google_ads[[#This Row],[cost]]*RANDBETWEEN(8,12)/10</f>
        <v>401.93999999999994</v>
      </c>
      <c r="W74" s="4">
        <f ca="1">ROUND(_Google_ads[[#This Row],[conversions]]*RANDBETWEEN(8,12)/10,0)</f>
        <v>63</v>
      </c>
      <c r="X74" s="4">
        <f ca="1">ROUND(_Google_ads[[#This Row],[conversion_value]]*RANDBETWEEN(8,12)/10,0)</f>
        <v>3420</v>
      </c>
      <c r="Y74" s="4">
        <f ca="1">_Google_ads[[#This Row],[ctr]]*RANDBETWEEN(8,12)/10</f>
        <v>3.5089999999999996E-2</v>
      </c>
      <c r="Z74" s="4">
        <f ca="1">_Google_ads[[#This Row],[avg_cpc]]*RANDBETWEEN(8,12)/10</f>
        <v>0.18</v>
      </c>
      <c r="AA74" s="4">
        <f ca="1">ROUND(_Google_ads[[#This Row],[quality_score]]*RANDBETWEEN(8,12)/10,0)</f>
        <v>7</v>
      </c>
      <c r="AB74" s="4">
        <f ca="1">_Google_ads[[#This Row],[search_impression_share]]*RANDBETWEEN(8,12)/10</f>
        <v>0.504</v>
      </c>
      <c r="AD74" s="3">
        <f t="shared" ca="1" si="11"/>
        <v>45187</v>
      </c>
      <c r="AE74" s="4" t="s">
        <v>108</v>
      </c>
      <c r="AF74" s="4" t="s">
        <v>109</v>
      </c>
      <c r="AG74" s="4" t="s">
        <v>110</v>
      </c>
      <c r="AH74" s="4" t="s">
        <v>111</v>
      </c>
      <c r="AI74" s="4">
        <f ca="1">ROUND(T_Tiktok_ads[[#This Row],[impressions]]*RANDBETWEEN(8,12)/10,0)</f>
        <v>201234</v>
      </c>
      <c r="AJ74" s="4">
        <f ca="1">ROUND(T_Tiktok_ads[[#This Row],[clicks]]*RANDBETWEEN(8,12)/10,0)</f>
        <v>3748</v>
      </c>
      <c r="AK74" s="4">
        <v>374.5</v>
      </c>
      <c r="AL74" s="4">
        <f ca="1">ROUND(T_Tiktok_ads[[#This Row],[conversions]]*RANDBETWEEN(8,12)/10,0)</f>
        <v>26</v>
      </c>
      <c r="AM74" s="4">
        <f ca="1">ROUND(T_Tiktok_ads[[#This Row],[video_views]]*RANDBETWEEN(8,12)/10,0)</f>
        <v>189468</v>
      </c>
      <c r="AN74" s="4">
        <f ca="1">ROUND(T_Tiktok_ads[[#This Row],[video_watch_25]]*RANDBETWEEN(8,12)/10,0)</f>
        <v>133357</v>
      </c>
      <c r="AO74" s="4">
        <f ca="1">ROUND(T_Tiktok_ads[[#This Row],[video_watch_50]]*RANDBETWEEN(8,12)/10,0)</f>
        <v>96234</v>
      </c>
      <c r="AP74" s="4">
        <f ca="1">ROUND(T_Tiktok_ads[[#This Row],[video_watch_75]]*RANDBETWEEN(8,12)/10,0)</f>
        <v>73481</v>
      </c>
      <c r="AQ74" s="4">
        <f ca="1">ROUND(T_Tiktok_ads[[#This Row],[video_watch_100]]*RANDBETWEEN(8,12)/10,0)</f>
        <v>29965</v>
      </c>
      <c r="AR74" s="4">
        <f ca="1">ROUND(T_Tiktok_ads[[#This Row],[likes]]*RANDBETWEEN(8,12)/10,0)</f>
        <v>5876</v>
      </c>
      <c r="AS74" s="4">
        <f ca="1">ROUND(T_Tiktok_ads[[#This Row],[shares]]*RANDBETWEEN(8,12)/10,0)</f>
        <v>2441</v>
      </c>
      <c r="AT74" s="4">
        <f ca="1">ROUND(T_Tiktok_ads[[#This Row],[comments]]*RANDBETWEEN(8,12)/10,0)</f>
        <v>538</v>
      </c>
      <c r="AV74" s="5">
        <f t="shared" ca="1" si="12"/>
        <v>45185</v>
      </c>
      <c r="AW74">
        <f t="shared" ca="1" si="13"/>
        <v>5</v>
      </c>
      <c r="AX74">
        <f ca="1">ROUND(T_Facebook_Ads115963677175798387[[#This Row],[impressions]]*RANDBETWEEN(8,12)/10,0)</f>
        <v>36179</v>
      </c>
      <c r="AY74">
        <f ca="1">ROUND(T_Facebook_Ads115963677175798387[[#This Row],[clicks]]*RANDBETWEEN(8,12)/10,0)</f>
        <v>1060</v>
      </c>
      <c r="AZ74">
        <f ca="1">T_Facebook_Ads115963677175798387[[#This Row],[spend]]*RANDBETWEEN(8,12)/10</f>
        <v>164.35199999999998</v>
      </c>
      <c r="BA74">
        <f ca="1">ROUND(T_Facebook_Ads115963677175798387[[#This Row],[conversions]]*RANDBETWEEN(8,12)/10,0)</f>
        <v>22</v>
      </c>
      <c r="BB74">
        <f ca="1">ROUND(T_Facebook_Ads115963677175798387[[#This Row],[video_views]]*RANDBETWEEN(8,12)/10,0)</f>
        <v>3638</v>
      </c>
    </row>
    <row r="75" spans="1:54" ht="15.75" thickBot="1" x14ac:dyDescent="0.3">
      <c r="A75" s="3">
        <f t="shared" ca="1" si="9"/>
        <v>45196</v>
      </c>
      <c r="B75" s="4" t="s">
        <v>64</v>
      </c>
      <c r="C75" s="4" t="s">
        <v>65</v>
      </c>
      <c r="D75" s="4" t="s">
        <v>66</v>
      </c>
      <c r="E75" s="4" t="s">
        <v>67</v>
      </c>
      <c r="F75" s="4">
        <f ca="1">ROUND(T_Facebook_Ads[[#This Row],[impressions]]*RANDBETWEEN(8,12)/10,0)</f>
        <v>62345</v>
      </c>
      <c r="G75" s="4">
        <v>223</v>
      </c>
      <c r="H75" s="4">
        <f ca="1">T_Facebook_Ads[[#This Row],[spend]]*RANDBETWEEN(8,12)/10</f>
        <v>68.669999999999987</v>
      </c>
      <c r="I75" s="4">
        <f ca="1">ROUND(T_Facebook_Ads[[#This Row],[conversions]]*RANDBETWEEN(8,12)/10,0)</f>
        <v>4</v>
      </c>
      <c r="J75" s="4">
        <f ca="1">ROUND(T_Facebook_Ads[[#This Row],[video_views]]*RANDBETWEEN(8,12)/10,0)</f>
        <v>37111</v>
      </c>
      <c r="K75" s="4">
        <f ca="1">T_Facebook_Ads[[#This Row],[engagement_rate]]*RANDBETWEEN(8,12)/10</f>
        <v>4.3200000000000001E-3</v>
      </c>
      <c r="L75" s="4">
        <f ca="1">ROUND(T_Facebook_Ads[[#This Row],[reach]]*RANDBETWEEN(8,12)/10,0)</f>
        <v>56724</v>
      </c>
      <c r="M75" s="4">
        <f ca="1">T_Facebook_Ads[[#This Row],[frequency]]*RANDBETWEEN(8,12)/10</f>
        <v>1.3199999999999998</v>
      </c>
      <c r="O75" s="3">
        <f t="shared" ca="1" si="10"/>
        <v>45197</v>
      </c>
      <c r="P75" s="4" t="s">
        <v>88</v>
      </c>
      <c r="Q75" s="4" t="s">
        <v>89</v>
      </c>
      <c r="R75" s="4" t="s">
        <v>90</v>
      </c>
      <c r="S75" s="4" t="s">
        <v>59</v>
      </c>
      <c r="T75" s="4">
        <f ca="1">ROUND(_Google_ads[[#This Row],[impressions]]*RANDBETWEEN(8,12)/10,0)</f>
        <v>94587</v>
      </c>
      <c r="U75" s="4">
        <f ca="1">ROUND(_Google_ads[[#This Row],[clicks]]*RANDBETWEEN(8,12)/10,0)</f>
        <v>508</v>
      </c>
      <c r="V75" s="4">
        <f ca="1">_Google_ads[[#This Row],[cost]]*RANDBETWEEN(8,12)/10</f>
        <v>104.58</v>
      </c>
      <c r="W75" s="4">
        <f ca="1">ROUND(_Google_ads[[#This Row],[conversions]]*RANDBETWEEN(8,12)/10,0)</f>
        <v>13</v>
      </c>
      <c r="X75" s="4">
        <f ca="1">ROUND(_Google_ads[[#This Row],[conversion_value]]*RANDBETWEEN(8,12)/10,0)</f>
        <v>550</v>
      </c>
      <c r="Y75" s="4">
        <f ca="1">_Google_ads[[#This Row],[ctr]]*RANDBETWEEN(8,12)/10</f>
        <v>2.8799999999999997E-3</v>
      </c>
      <c r="Z75" s="4">
        <f ca="1">_Google_ads[[#This Row],[avg_cpc]]*RANDBETWEEN(8,12)/10</f>
        <v>0.29700000000000004</v>
      </c>
      <c r="AA75" s="4">
        <f ca="1">ROUND(_Google_ads[[#This Row],[quality_score]]*RANDBETWEEN(8,12)/10,0)</f>
        <v>6</v>
      </c>
      <c r="AB75" s="4">
        <f ca="1">_Google_ads[[#This Row],[search_impression_share]]*RANDBETWEEN(8,12)/10</f>
        <v>0.25600000000000001</v>
      </c>
      <c r="AD75" s="3">
        <f t="shared" ca="1" si="11"/>
        <v>45191</v>
      </c>
      <c r="AE75" s="4" t="s">
        <v>112</v>
      </c>
      <c r="AF75" s="4" t="s">
        <v>113</v>
      </c>
      <c r="AG75" s="4" t="s">
        <v>114</v>
      </c>
      <c r="AH75" s="4" t="s">
        <v>115</v>
      </c>
      <c r="AI75" s="4">
        <f ca="1">ROUND(T_Tiktok_ads[[#This Row],[impressions]]*RANDBETWEEN(8,12)/10,0)</f>
        <v>331101</v>
      </c>
      <c r="AJ75" s="4">
        <f ca="1">ROUND(T_Tiktok_ads[[#This Row],[clicks]]*RANDBETWEEN(8,12)/10,0)</f>
        <v>7214</v>
      </c>
      <c r="AK75" s="4">
        <v>923.4</v>
      </c>
      <c r="AL75" s="4">
        <f ca="1">ROUND(T_Tiktok_ads[[#This Row],[conversions]]*RANDBETWEEN(8,12)/10,0)</f>
        <v>103</v>
      </c>
      <c r="AM75" s="4">
        <f ca="1">ROUND(T_Tiktok_ads[[#This Row],[video_views]]*RANDBETWEEN(8,12)/10,0)</f>
        <v>301234</v>
      </c>
      <c r="AN75" s="4">
        <f ca="1">ROUND(T_Tiktok_ads[[#This Row],[video_watch_25]]*RANDBETWEEN(8,12)/10,0)</f>
        <v>221110</v>
      </c>
      <c r="AO75" s="4">
        <f ca="1">ROUND(T_Tiktok_ads[[#This Row],[video_watch_50]]*RANDBETWEEN(8,12)/10,0)</f>
        <v>177110</v>
      </c>
      <c r="AP75" s="4">
        <f ca="1">ROUND(T_Tiktok_ads[[#This Row],[video_watch_75]]*RANDBETWEEN(8,12)/10,0)</f>
        <v>154257</v>
      </c>
      <c r="AQ75" s="4">
        <f ca="1">ROUND(T_Tiktok_ads[[#This Row],[video_watch_100]]*RANDBETWEEN(8,12)/10,0)</f>
        <v>102802</v>
      </c>
      <c r="AR75" s="4">
        <f ca="1">ROUND(T_Tiktok_ads[[#This Row],[likes]]*RANDBETWEEN(8,12)/10,0)</f>
        <v>19481</v>
      </c>
      <c r="AS75" s="4">
        <f ca="1">ROUND(T_Tiktok_ads[[#This Row],[shares]]*RANDBETWEEN(8,12)/10,0)</f>
        <v>5747</v>
      </c>
      <c r="AT75" s="4">
        <f ca="1">ROUND(T_Tiktok_ads[[#This Row],[comments]]*RANDBETWEEN(8,12)/10,0)</f>
        <v>1289</v>
      </c>
      <c r="AV75" s="5">
        <f t="shared" ca="1" si="12"/>
        <v>45174</v>
      </c>
      <c r="AW75">
        <f t="shared" ca="1" si="13"/>
        <v>4</v>
      </c>
      <c r="AX75">
        <f ca="1">ROUND(T_Facebook_Ads115963677175798387[[#This Row],[impressions]]*RANDBETWEEN(8,12)/10,0)</f>
        <v>68580</v>
      </c>
      <c r="AY75">
        <f ca="1">ROUND(T_Facebook_Ads115963677175798387[[#This Row],[clicks]]*RANDBETWEEN(8,12)/10,0)</f>
        <v>201</v>
      </c>
      <c r="AZ75">
        <f ca="1">T_Facebook_Ads115963677175798387[[#This Row],[spend]]*RANDBETWEEN(8,12)/10</f>
        <v>54.935999999999993</v>
      </c>
      <c r="BA75">
        <f ca="1">ROUND(T_Facebook_Ads115963677175798387[[#This Row],[conversions]]*RANDBETWEEN(8,12)/10,0)</f>
        <v>4</v>
      </c>
      <c r="BB75">
        <f ca="1">ROUND(T_Facebook_Ads115963677175798387[[#This Row],[video_views]]*RANDBETWEEN(8,12)/10,0)</f>
        <v>33400</v>
      </c>
    </row>
    <row r="76" spans="1:54" ht="15.75" thickBot="1" x14ac:dyDescent="0.3">
      <c r="A76" s="3">
        <f t="shared" ca="1" si="9"/>
        <v>45183</v>
      </c>
      <c r="B76" s="4" t="s">
        <v>52</v>
      </c>
      <c r="C76" s="4" t="s">
        <v>53</v>
      </c>
      <c r="D76" s="4" t="s">
        <v>54</v>
      </c>
      <c r="E76" s="4" t="s">
        <v>55</v>
      </c>
      <c r="F76" s="4">
        <f ca="1">ROUND(T_Facebook_Ads[[#This Row],[impressions]]*RANDBETWEEN(8,12)/10,0)</f>
        <v>49757</v>
      </c>
      <c r="G76" s="4">
        <v>912</v>
      </c>
      <c r="H76" s="4">
        <f ca="1">T_Facebook_Ads[[#This Row],[spend]]*RANDBETWEEN(8,12)/10</f>
        <v>116.82000000000001</v>
      </c>
      <c r="I76" s="4">
        <f ca="1">ROUND(T_Facebook_Ads[[#This Row],[conversions]]*RANDBETWEEN(8,12)/10,0)</f>
        <v>11</v>
      </c>
      <c r="J76" s="4">
        <f ca="1">ROUND(T_Facebook_Ads[[#This Row],[video_views]]*RANDBETWEEN(8,12)/10,0)</f>
        <v>8234</v>
      </c>
      <c r="K76" s="4">
        <f ca="1">T_Facebook_Ads[[#This Row],[engagement_rate]]*RANDBETWEEN(8,12)/10</f>
        <v>2.2219999999999997E-2</v>
      </c>
      <c r="L76" s="4">
        <f ca="1">ROUND(T_Facebook_Ads[[#This Row],[reach]]*RANDBETWEEN(8,12)/10,0)</f>
        <v>34710</v>
      </c>
      <c r="M76" s="4">
        <f ca="1">T_Facebook_Ads[[#This Row],[frequency]]*RANDBETWEEN(8,12)/10</f>
        <v>1.17</v>
      </c>
      <c r="O76" s="3">
        <f t="shared" ca="1" si="10"/>
        <v>45173</v>
      </c>
      <c r="P76" s="4" t="s">
        <v>76</v>
      </c>
      <c r="Q76" s="4" t="s">
        <v>77</v>
      </c>
      <c r="R76" s="4" t="s">
        <v>78</v>
      </c>
      <c r="S76" s="4" t="s">
        <v>79</v>
      </c>
      <c r="T76" s="4">
        <f ca="1">ROUND(_Google_ads[[#This Row],[impressions]]*RANDBETWEEN(8,12)/10,0)</f>
        <v>19387</v>
      </c>
      <c r="U76" s="4">
        <f ca="1">ROUND(_Google_ads[[#This Row],[clicks]]*RANDBETWEEN(8,12)/10,0)</f>
        <v>1394</v>
      </c>
      <c r="V76" s="4">
        <f ca="1">_Google_ads[[#This Row],[cost]]*RANDBETWEEN(8,12)/10</f>
        <v>192.95999999999998</v>
      </c>
      <c r="W76" s="4">
        <f ca="1">ROUND(_Google_ads[[#This Row],[conversions]]*RANDBETWEEN(8,12)/10,0)</f>
        <v>38</v>
      </c>
      <c r="X76" s="4">
        <f ca="1">ROUND(_Google_ads[[#This Row],[conversion_value]]*RANDBETWEEN(8,12)/10,0)</f>
        <v>1880</v>
      </c>
      <c r="Y76" s="4">
        <f ca="1">_Google_ads[[#This Row],[ctr]]*RANDBETWEEN(8,12)/10</f>
        <v>4.1840000000000002E-2</v>
      </c>
      <c r="Z76" s="4">
        <f ca="1">_Google_ads[[#This Row],[avg_cpc]]*RANDBETWEEN(8,12)/10</f>
        <v>0.22800000000000004</v>
      </c>
      <c r="AA76" s="4">
        <f ca="1">ROUND(_Google_ads[[#This Row],[quality_score]]*RANDBETWEEN(8,12)/10,0)</f>
        <v>8</v>
      </c>
      <c r="AB76" s="4">
        <f ca="1">_Google_ads[[#This Row],[search_impression_share]]*RANDBETWEEN(8,12)/10</f>
        <v>1.0920000000000001</v>
      </c>
      <c r="AD76" s="3">
        <f t="shared" ca="1" si="11"/>
        <v>45175</v>
      </c>
      <c r="AE76" s="4" t="s">
        <v>100</v>
      </c>
      <c r="AF76" s="4" t="s">
        <v>101</v>
      </c>
      <c r="AG76" s="4" t="s">
        <v>102</v>
      </c>
      <c r="AH76" s="4" t="s">
        <v>103</v>
      </c>
      <c r="AI76" s="4">
        <f ca="1">ROUND(T_Tiktok_ads[[#This Row],[impressions]]*RANDBETWEEN(8,12)/10,0)</f>
        <v>321468</v>
      </c>
      <c r="AJ76" s="4">
        <f ca="1">ROUND(T_Tiktok_ads[[#This Row],[clicks]]*RANDBETWEEN(8,12)/10,0)</f>
        <v>3156</v>
      </c>
      <c r="AK76" s="4">
        <v>523.4</v>
      </c>
      <c r="AL76" s="4">
        <f ca="1">ROUND(T_Tiktok_ads[[#This Row],[conversions]]*RANDBETWEEN(8,12)/10,0)</f>
        <v>36</v>
      </c>
      <c r="AM76" s="4">
        <f ca="1">ROUND(T_Tiktok_ads[[#This Row],[video_views]]*RANDBETWEEN(8,12)/10,0)</f>
        <v>243357</v>
      </c>
      <c r="AN76" s="4">
        <f ca="1">ROUND(T_Tiktok_ads[[#This Row],[video_watch_25]]*RANDBETWEEN(8,12)/10,0)</f>
        <v>138765</v>
      </c>
      <c r="AO76" s="4">
        <f ca="1">ROUND(T_Tiktok_ads[[#This Row],[video_watch_50]]*RANDBETWEEN(8,12)/10,0)</f>
        <v>131081</v>
      </c>
      <c r="AP76" s="4">
        <f ca="1">ROUND(T_Tiktok_ads[[#This Row],[video_watch_75]]*RANDBETWEEN(8,12)/10,0)</f>
        <v>58854</v>
      </c>
      <c r="AQ76" s="4">
        <f ca="1">ROUND(T_Tiktok_ads[[#This Row],[video_watch_100]]*RANDBETWEEN(8,12)/10,0)</f>
        <v>44311</v>
      </c>
      <c r="AR76" s="4">
        <f ca="1">ROUND(T_Tiktok_ads[[#This Row],[likes]]*RANDBETWEEN(8,12)/10,0)</f>
        <v>8810</v>
      </c>
      <c r="AS76" s="4">
        <f ca="1">ROUND(T_Tiktok_ads[[#This Row],[shares]]*RANDBETWEEN(8,12)/10,0)</f>
        <v>2634</v>
      </c>
      <c r="AT76" s="4">
        <f ca="1">ROUND(T_Tiktok_ads[[#This Row],[comments]]*RANDBETWEEN(8,12)/10,0)</f>
        <v>561</v>
      </c>
      <c r="AV76" s="5">
        <f t="shared" ca="1" si="12"/>
        <v>45177</v>
      </c>
      <c r="AW76">
        <f t="shared" ca="1" si="13"/>
        <v>7</v>
      </c>
      <c r="AX76">
        <f ca="1">ROUND(T_Facebook_Ads115963677175798387[[#This Row],[impressions]]*RANDBETWEEN(8,12)/10,0)</f>
        <v>59708</v>
      </c>
      <c r="AY76">
        <f ca="1">ROUND(T_Facebook_Ads115963677175798387[[#This Row],[clicks]]*RANDBETWEEN(8,12)/10,0)</f>
        <v>730</v>
      </c>
      <c r="AZ76">
        <f ca="1">T_Facebook_Ads115963677175798387[[#This Row],[spend]]*RANDBETWEEN(8,12)/10</f>
        <v>116.82000000000001</v>
      </c>
      <c r="BA76">
        <f ca="1">ROUND(T_Facebook_Ads115963677175798387[[#This Row],[conversions]]*RANDBETWEEN(8,12)/10,0)</f>
        <v>13</v>
      </c>
      <c r="BB76">
        <f ca="1">ROUND(T_Facebook_Ads115963677175798387[[#This Row],[video_views]]*RANDBETWEEN(8,12)/10,0)</f>
        <v>9057</v>
      </c>
    </row>
    <row r="77" spans="1:54" ht="15.75" thickBot="1" x14ac:dyDescent="0.3">
      <c r="A77" s="3">
        <f t="shared" ca="1" si="9"/>
        <v>45189</v>
      </c>
      <c r="B77" s="4" t="s">
        <v>56</v>
      </c>
      <c r="C77" s="4" t="s">
        <v>57</v>
      </c>
      <c r="D77" s="4" t="s">
        <v>58</v>
      </c>
      <c r="E77" s="4" t="s">
        <v>59</v>
      </c>
      <c r="F77" s="4">
        <f ca="1">ROUND(T_Facebook_Ads[[#This Row],[impressions]]*RANDBETWEEN(8,12)/10,0)</f>
        <v>12456</v>
      </c>
      <c r="G77" s="4">
        <v>567</v>
      </c>
      <c r="H77" s="4">
        <f ca="1">T_Facebook_Ads[[#This Row],[spend]]*RANDBETWEEN(8,12)/10</f>
        <v>188.64</v>
      </c>
      <c r="I77" s="4">
        <f ca="1">ROUND(T_Facebook_Ads[[#This Row],[conversions]]*RANDBETWEEN(8,12)/10,0)</f>
        <v>36</v>
      </c>
      <c r="J77" s="4">
        <f ca="1">ROUND(T_Facebook_Ads[[#This Row],[video_views]]*RANDBETWEEN(8,12)/10,0)</f>
        <v>1111</v>
      </c>
      <c r="K77" s="4">
        <f ca="1">T_Facebook_Ads[[#This Row],[engagement_rate]]*RANDBETWEEN(8,12)/10</f>
        <v>5.4600000000000003E-2</v>
      </c>
      <c r="L77" s="4">
        <f ca="1">ROUND(T_Facebook_Ads[[#This Row],[reach]]*RANDBETWEEN(8,12)/10,0)</f>
        <v>11851</v>
      </c>
      <c r="M77" s="4">
        <f ca="1">T_Facebook_Ads[[#This Row],[frequency]]*RANDBETWEEN(8,12)/10</f>
        <v>1.512</v>
      </c>
      <c r="O77" s="3">
        <f t="shared" ca="1" si="10"/>
        <v>45170</v>
      </c>
      <c r="P77" s="4" t="s">
        <v>80</v>
      </c>
      <c r="Q77" s="4" t="s">
        <v>81</v>
      </c>
      <c r="R77" s="4" t="s">
        <v>82</v>
      </c>
      <c r="S77" s="4" t="s">
        <v>83</v>
      </c>
      <c r="T77" s="4">
        <f ca="1">ROUND(_Google_ads[[#This Row],[impressions]]*RANDBETWEEN(8,12)/10,0)</f>
        <v>34312</v>
      </c>
      <c r="U77" s="4">
        <f ca="1">ROUND(_Google_ads[[#This Row],[clicks]]*RANDBETWEEN(8,12)/10,0)</f>
        <v>930</v>
      </c>
      <c r="V77" s="4">
        <f ca="1">_Google_ads[[#This Row],[cost]]*RANDBETWEEN(8,12)/10</f>
        <v>604.2299999999999</v>
      </c>
      <c r="W77" s="4">
        <f ca="1">ROUND(_Google_ads[[#This Row],[conversions]]*RANDBETWEEN(8,12)/10,0)</f>
        <v>24</v>
      </c>
      <c r="X77" s="4">
        <f ca="1">ROUND(_Google_ads[[#This Row],[conversion_value]]*RANDBETWEEN(8,12)/10,0)</f>
        <v>880</v>
      </c>
      <c r="Y77" s="4">
        <f ca="1">_Google_ads[[#This Row],[ctr]]*RANDBETWEEN(8,12)/10</f>
        <v>1.7729999999999999E-2</v>
      </c>
      <c r="Z77" s="4">
        <f ca="1">_Google_ads[[#This Row],[avg_cpc]]*RANDBETWEEN(8,12)/10</f>
        <v>0.78</v>
      </c>
      <c r="AA77" s="4">
        <f ca="1">ROUND(_Google_ads[[#This Row],[quality_score]]*RANDBETWEEN(8,12)/10,0)</f>
        <v>8</v>
      </c>
      <c r="AB77" s="4">
        <f ca="1">_Google_ads[[#This Row],[search_impression_share]]*RANDBETWEEN(8,12)/10</f>
        <v>0.48399999999999999</v>
      </c>
      <c r="AD77" s="3">
        <f t="shared" ca="1" si="11"/>
        <v>45191</v>
      </c>
      <c r="AE77" s="4" t="s">
        <v>104</v>
      </c>
      <c r="AF77" s="4" t="s">
        <v>105</v>
      </c>
      <c r="AG77" s="4" t="s">
        <v>106</v>
      </c>
      <c r="AH77" s="4" t="s">
        <v>107</v>
      </c>
      <c r="AI77" s="4">
        <f ca="1">ROUND(T_Tiktok_ads[[#This Row],[impressions]]*RANDBETWEEN(8,12)/10,0)</f>
        <v>178681</v>
      </c>
      <c r="AJ77" s="4">
        <f ca="1">ROUND(T_Tiktok_ads[[#This Row],[clicks]]*RANDBETWEEN(8,12)/10,0)</f>
        <v>3401</v>
      </c>
      <c r="AK77" s="4">
        <v>767.5</v>
      </c>
      <c r="AL77" s="4">
        <f ca="1">ROUND(T_Tiktok_ads[[#This Row],[conversions]]*RANDBETWEEN(8,12)/10,0)</f>
        <v>92</v>
      </c>
      <c r="AM77" s="4">
        <f ca="1">ROUND(T_Tiktok_ads[[#This Row],[video_views]]*RANDBETWEEN(8,12)/10,0)</f>
        <v>93110</v>
      </c>
      <c r="AN77" s="4">
        <f ca="1">ROUND(T_Tiktok_ads[[#This Row],[video_watch_25]]*RANDBETWEEN(8,12)/10,0)</f>
        <v>60987</v>
      </c>
      <c r="AO77" s="4">
        <f ca="1">ROUND(T_Tiktok_ads[[#This Row],[video_watch_50]]*RANDBETWEEN(8,12)/10,0)</f>
        <v>61481</v>
      </c>
      <c r="AP77" s="4">
        <f ca="1">ROUND(T_Tiktok_ads[[#This Row],[video_watch_75]]*RANDBETWEEN(8,12)/10,0)</f>
        <v>46280</v>
      </c>
      <c r="AQ77" s="4">
        <f ca="1">ROUND(T_Tiktok_ads[[#This Row],[video_watch_100]]*RANDBETWEEN(8,12)/10,0)</f>
        <v>20631</v>
      </c>
      <c r="AR77" s="4">
        <f ca="1">ROUND(T_Tiktok_ads[[#This Row],[likes]]*RANDBETWEEN(8,12)/10,0)</f>
        <v>5635</v>
      </c>
      <c r="AS77" s="4">
        <f ca="1">ROUND(T_Tiktok_ads[[#This Row],[shares]]*RANDBETWEEN(8,12)/10,0)</f>
        <v>1310</v>
      </c>
      <c r="AT77" s="4">
        <f ca="1">ROUND(T_Tiktok_ads[[#This Row],[comments]]*RANDBETWEEN(8,12)/10,0)</f>
        <v>334</v>
      </c>
      <c r="AV77" s="5">
        <f t="shared" ca="1" si="12"/>
        <v>45180</v>
      </c>
      <c r="AW77">
        <f t="shared" ca="1" si="13"/>
        <v>6</v>
      </c>
      <c r="AX77">
        <f ca="1">ROUND(T_Facebook_Ads115963677175798387[[#This Row],[impressions]]*RANDBETWEEN(8,12)/10,0)</f>
        <v>12456</v>
      </c>
      <c r="AY77">
        <f ca="1">ROUND(T_Facebook_Ads115963677175798387[[#This Row],[clicks]]*RANDBETWEEN(8,12)/10,0)</f>
        <v>680</v>
      </c>
      <c r="AZ77">
        <f ca="1">T_Facebook_Ads115963677175798387[[#This Row],[spend]]*RANDBETWEEN(8,12)/10</f>
        <v>169.77599999999998</v>
      </c>
      <c r="BA77">
        <f ca="1">ROUND(T_Facebook_Ads115963677175798387[[#This Row],[conversions]]*RANDBETWEEN(8,12)/10,0)</f>
        <v>40</v>
      </c>
      <c r="BB77">
        <f ca="1">ROUND(T_Facebook_Ads115963677175798387[[#This Row],[video_views]]*RANDBETWEEN(8,12)/10,0)</f>
        <v>1000</v>
      </c>
    </row>
    <row r="78" spans="1:54" ht="15.75" thickBot="1" x14ac:dyDescent="0.3">
      <c r="A78" s="3">
        <f t="shared" ca="1" si="9"/>
        <v>45170</v>
      </c>
      <c r="B78" s="4" t="s">
        <v>60</v>
      </c>
      <c r="C78" s="4" t="s">
        <v>61</v>
      </c>
      <c r="D78" s="4" t="s">
        <v>62</v>
      </c>
      <c r="E78" s="4" t="s">
        <v>63</v>
      </c>
      <c r="F78" s="4">
        <f ca="1">ROUND(T_Facebook_Ads[[#This Row],[impressions]]*RANDBETWEEN(8,12)/10,0)</f>
        <v>38635</v>
      </c>
      <c r="G78" s="4">
        <v>1267</v>
      </c>
      <c r="H78" s="4">
        <f ca="1">T_Facebook_Ads[[#This Row],[spend]]*RANDBETWEEN(8,12)/10</f>
        <v>194.5</v>
      </c>
      <c r="I78" s="4">
        <f ca="1">ROUND(T_Facebook_Ads[[#This Row],[conversions]]*RANDBETWEEN(8,12)/10,0)</f>
        <v>26</v>
      </c>
      <c r="J78" s="4">
        <f ca="1">ROUND(T_Facebook_Ads[[#This Row],[video_views]]*RANDBETWEEN(8,12)/10,0)</f>
        <v>3476</v>
      </c>
      <c r="K78" s="4">
        <f ca="1">T_Facebook_Ads[[#This Row],[engagement_rate]]*RANDBETWEEN(8,12)/10</f>
        <v>3.2490000000000005E-2</v>
      </c>
      <c r="L78" s="4">
        <f ca="1">ROUND(T_Facebook_Ads[[#This Row],[reach]]*RANDBETWEEN(8,12)/10,0)</f>
        <v>26211</v>
      </c>
      <c r="M78" s="4">
        <f ca="1">T_Facebook_Ads[[#This Row],[frequency]]*RANDBETWEEN(8,12)/10</f>
        <v>0.96799999999999997</v>
      </c>
      <c r="O78" s="3">
        <f t="shared" ca="1" si="10"/>
        <v>45172</v>
      </c>
      <c r="P78" s="4" t="s">
        <v>84</v>
      </c>
      <c r="Q78" s="4" t="s">
        <v>85</v>
      </c>
      <c r="R78" s="4" t="s">
        <v>86</v>
      </c>
      <c r="S78" s="4" t="s">
        <v>87</v>
      </c>
      <c r="T78" s="4">
        <f ca="1">ROUND(_Google_ads[[#This Row],[impressions]]*RANDBETWEEN(8,12)/10,0)</f>
        <v>66789</v>
      </c>
      <c r="U78" s="4">
        <f ca="1">ROUND(_Google_ads[[#This Row],[clicks]]*RANDBETWEEN(8,12)/10,0)</f>
        <v>2668</v>
      </c>
      <c r="V78" s="4">
        <f ca="1">_Google_ads[[#This Row],[cost]]*RANDBETWEEN(8,12)/10</f>
        <v>407.9</v>
      </c>
      <c r="W78" s="4">
        <f ca="1">ROUND(_Google_ads[[#This Row],[conversions]]*RANDBETWEEN(8,12)/10,0)</f>
        <v>64</v>
      </c>
      <c r="X78" s="4">
        <f ca="1">ROUND(_Google_ads[[#This Row],[conversion_value]]*RANDBETWEEN(8,12)/10,0)</f>
        <v>3520</v>
      </c>
      <c r="Y78" s="4">
        <f ca="1">_Google_ads[[#This Row],[ctr]]*RANDBETWEEN(8,12)/10</f>
        <v>3.6630000000000003E-2</v>
      </c>
      <c r="Z78" s="4">
        <f ca="1">_Google_ads[[#This Row],[avg_cpc]]*RANDBETWEEN(8,12)/10</f>
        <v>0.16199999999999998</v>
      </c>
      <c r="AA78" s="4">
        <f ca="1">ROUND(_Google_ads[[#This Row],[quality_score]]*RANDBETWEEN(8,12)/10,0)</f>
        <v>9</v>
      </c>
      <c r="AB78" s="4">
        <f ca="1">_Google_ads[[#This Row],[search_impression_share]]*RANDBETWEEN(8,12)/10</f>
        <v>0.72600000000000009</v>
      </c>
      <c r="AD78" s="3">
        <f t="shared" ca="1" si="11"/>
        <v>45188</v>
      </c>
      <c r="AE78" s="4" t="s">
        <v>108</v>
      </c>
      <c r="AF78" s="4" t="s">
        <v>109</v>
      </c>
      <c r="AG78" s="4" t="s">
        <v>110</v>
      </c>
      <c r="AH78" s="4" t="s">
        <v>111</v>
      </c>
      <c r="AI78" s="4">
        <f ca="1">ROUND(T_Tiktok_ads[[#This Row],[impressions]]*RANDBETWEEN(8,12)/10,0)</f>
        <v>183121</v>
      </c>
      <c r="AJ78" s="4">
        <f ca="1">ROUND(T_Tiktok_ads[[#This Row],[clicks]]*RANDBETWEEN(8,12)/10,0)</f>
        <v>3997</v>
      </c>
      <c r="AK78" s="4">
        <v>441.9</v>
      </c>
      <c r="AL78" s="4">
        <f ca="1">ROUND(T_Tiktok_ads[[#This Row],[conversions]]*RANDBETWEEN(8,12)/10,0)</f>
        <v>25</v>
      </c>
      <c r="AM78" s="4">
        <f ca="1">ROUND(T_Tiktok_ads[[#This Row],[video_views]]*RANDBETWEEN(8,12)/10,0)</f>
        <v>145876</v>
      </c>
      <c r="AN78" s="4">
        <f ca="1">ROUND(T_Tiktok_ads[[#This Row],[video_watch_25]]*RANDBETWEEN(8,12)/10,0)</f>
        <v>151679</v>
      </c>
      <c r="AO78" s="4">
        <f ca="1">ROUND(T_Tiktok_ads[[#This Row],[video_watch_50]]*RANDBETWEEN(8,12)/10,0)</f>
        <v>130681</v>
      </c>
      <c r="AP78" s="4">
        <f ca="1">ROUND(T_Tiktok_ads[[#This Row],[video_watch_75]]*RANDBETWEEN(8,12)/10,0)</f>
        <v>63510</v>
      </c>
      <c r="AQ78" s="4">
        <f ca="1">ROUND(T_Tiktok_ads[[#This Row],[video_watch_100]]*RANDBETWEEN(8,12)/10,0)</f>
        <v>42789</v>
      </c>
      <c r="AR78" s="4">
        <f ca="1">ROUND(T_Tiktok_ads[[#This Row],[likes]]*RANDBETWEEN(8,12)/10,0)</f>
        <v>7610</v>
      </c>
      <c r="AS78" s="4">
        <f ca="1">ROUND(T_Tiktok_ads[[#This Row],[shares]]*RANDBETWEEN(8,12)/10,0)</f>
        <v>1841</v>
      </c>
      <c r="AT78" s="4">
        <f ca="1">ROUND(T_Tiktok_ads[[#This Row],[comments]]*RANDBETWEEN(8,12)/10,0)</f>
        <v>491</v>
      </c>
      <c r="AV78" s="5">
        <f t="shared" ca="1" si="12"/>
        <v>45194</v>
      </c>
      <c r="AW78">
        <f t="shared" ca="1" si="13"/>
        <v>7</v>
      </c>
      <c r="AX78">
        <f ca="1">ROUND(T_Facebook_Ads115963677175798387[[#This Row],[impressions]]*RANDBETWEEN(8,12)/10,0)</f>
        <v>46362</v>
      </c>
      <c r="AY78">
        <f ca="1">ROUND(T_Facebook_Ads115963677175798387[[#This Row],[clicks]]*RANDBETWEEN(8,12)/10,0)</f>
        <v>1140</v>
      </c>
      <c r="AZ78">
        <f ca="1">T_Facebook_Ads115963677175798387[[#This Row],[spend]]*RANDBETWEEN(8,12)/10</f>
        <v>213.95</v>
      </c>
      <c r="BA78">
        <f ca="1">ROUND(T_Facebook_Ads115963677175798387[[#This Row],[conversions]]*RANDBETWEEN(8,12)/10,0)</f>
        <v>23</v>
      </c>
      <c r="BB78">
        <f ca="1">ROUND(T_Facebook_Ads115963677175798387[[#This Row],[video_views]]*RANDBETWEEN(8,12)/10,0)</f>
        <v>3824</v>
      </c>
    </row>
    <row r="79" spans="1:54" ht="15.75" thickBot="1" x14ac:dyDescent="0.3">
      <c r="A79" s="3">
        <f t="shared" ca="1" si="9"/>
        <v>45171</v>
      </c>
      <c r="B79" s="4" t="s">
        <v>64</v>
      </c>
      <c r="C79" s="4" t="s">
        <v>65</v>
      </c>
      <c r="D79" s="4" t="s">
        <v>66</v>
      </c>
      <c r="E79" s="4" t="s">
        <v>67</v>
      </c>
      <c r="F79" s="4">
        <f ca="1">ROUND(T_Facebook_Ads[[#This Row],[impressions]]*RANDBETWEEN(8,12)/10,0)</f>
        <v>53431</v>
      </c>
      <c r="G79" s="4">
        <v>245</v>
      </c>
      <c r="H79" s="4">
        <f ca="1">T_Facebook_Ads[[#This Row],[spend]]*RANDBETWEEN(8,12)/10</f>
        <v>84.7</v>
      </c>
      <c r="I79" s="4">
        <f ca="1">ROUND(T_Facebook_Ads[[#This Row],[conversions]]*RANDBETWEEN(8,12)/10,0)</f>
        <v>6</v>
      </c>
      <c r="J79" s="4">
        <f ca="1">ROUND(T_Facebook_Ads[[#This Row],[video_views]]*RANDBETWEEN(8,12)/10,0)</f>
        <v>44567</v>
      </c>
      <c r="K79" s="4">
        <f ca="1">T_Facebook_Ads[[#This Row],[engagement_rate]]*RANDBETWEEN(8,12)/10</f>
        <v>2.96E-3</v>
      </c>
      <c r="L79" s="4">
        <f ca="1">ROUND(T_Facebook_Ads[[#This Row],[reach]]*RANDBETWEEN(8,12)/10,0)</f>
        <v>54890</v>
      </c>
      <c r="M79" s="4">
        <f ca="1">T_Facebook_Ads[[#This Row],[frequency]]*RANDBETWEEN(8,12)/10</f>
        <v>1.0980000000000001</v>
      </c>
      <c r="O79" s="3">
        <f t="shared" ca="1" si="10"/>
        <v>45195</v>
      </c>
      <c r="P79" s="4" t="s">
        <v>88</v>
      </c>
      <c r="Q79" s="4" t="s">
        <v>89</v>
      </c>
      <c r="R79" s="4" t="s">
        <v>90</v>
      </c>
      <c r="S79" s="4" t="s">
        <v>59</v>
      </c>
      <c r="T79" s="4">
        <f ca="1">ROUND(_Google_ads[[#This Row],[impressions]]*RANDBETWEEN(8,12)/10,0)</f>
        <v>153468</v>
      </c>
      <c r="U79" s="4">
        <f ca="1">ROUND(_Google_ads[[#This Row],[clicks]]*RANDBETWEEN(8,12)/10,0)</f>
        <v>502</v>
      </c>
      <c r="V79" s="4">
        <f ca="1">_Google_ads[[#This Row],[cost]]*RANDBETWEEN(8,12)/10</f>
        <v>125.6</v>
      </c>
      <c r="W79" s="4">
        <f ca="1">ROUND(_Google_ads[[#This Row],[conversions]]*RANDBETWEEN(8,12)/10,0)</f>
        <v>16</v>
      </c>
      <c r="X79" s="4">
        <f ca="1">ROUND(_Google_ads[[#This Row],[conversion_value]]*RANDBETWEEN(8,12)/10,0)</f>
        <v>650</v>
      </c>
      <c r="Y79" s="4">
        <f ca="1">_Google_ads[[#This Row],[ctr]]*RANDBETWEEN(8,12)/10</f>
        <v>3.96E-3</v>
      </c>
      <c r="Z79" s="4">
        <f ca="1">_Google_ads[[#This Row],[avg_cpc]]*RANDBETWEEN(8,12)/10</f>
        <v>0.22400000000000003</v>
      </c>
      <c r="AA79" s="4">
        <f ca="1">ROUND(_Google_ads[[#This Row],[quality_score]]*RANDBETWEEN(8,12)/10,0)</f>
        <v>7</v>
      </c>
      <c r="AB79" s="4">
        <f ca="1">_Google_ads[[#This Row],[search_impression_share]]*RANDBETWEEN(8,12)/10</f>
        <v>0.30599999999999999</v>
      </c>
      <c r="AD79" s="3">
        <f t="shared" ca="1" si="11"/>
        <v>45188</v>
      </c>
      <c r="AE79" s="4" t="s">
        <v>112</v>
      </c>
      <c r="AF79" s="4" t="s">
        <v>113</v>
      </c>
      <c r="AG79" s="4" t="s">
        <v>114</v>
      </c>
      <c r="AH79" s="4" t="s">
        <v>115</v>
      </c>
      <c r="AI79" s="4">
        <f ca="1">ROUND(T_Tiktok_ads[[#This Row],[impressions]]*RANDBETWEEN(8,12)/10,0)</f>
        <v>358710</v>
      </c>
      <c r="AJ79" s="4">
        <f ca="1">ROUND(T_Tiktok_ads[[#This Row],[clicks]]*RANDBETWEEN(8,12)/10,0)</f>
        <v>7187</v>
      </c>
      <c r="AK79" s="4">
        <v>998.7</v>
      </c>
      <c r="AL79" s="4">
        <f ca="1">ROUND(T_Tiktok_ads[[#This Row],[conversions]]*RANDBETWEEN(8,12)/10,0)</f>
        <v>78</v>
      </c>
      <c r="AM79" s="4">
        <f ca="1">ROUND(T_Tiktok_ads[[#This Row],[video_views]]*RANDBETWEEN(8,12)/10,0)</f>
        <v>265876</v>
      </c>
      <c r="AN79" s="4">
        <f ca="1">ROUND(T_Tiktok_ads[[#This Row],[video_watch_25]]*RANDBETWEEN(8,12)/10,0)</f>
        <v>294679</v>
      </c>
      <c r="AO79" s="4">
        <f ca="1">ROUND(T_Tiktok_ads[[#This Row],[video_watch_50]]*RANDBETWEEN(8,12)/10,0)</f>
        <v>214567</v>
      </c>
      <c r="AP79" s="4">
        <f ca="1">ROUND(T_Tiktok_ads[[#This Row],[video_watch_75]]*RANDBETWEEN(8,12)/10,0)</f>
        <v>151234</v>
      </c>
      <c r="AQ79" s="4">
        <f ca="1">ROUND(T_Tiktok_ads[[#This Row],[video_watch_100]]*RANDBETWEEN(8,12)/10,0)</f>
        <v>89610</v>
      </c>
      <c r="AR79" s="4">
        <f ca="1">ROUND(T_Tiktok_ads[[#This Row],[likes]]*RANDBETWEEN(8,12)/10,0)</f>
        <v>21307</v>
      </c>
      <c r="AS79" s="4">
        <f ca="1">ROUND(T_Tiktok_ads[[#This Row],[shares]]*RANDBETWEEN(8,12)/10,0)</f>
        <v>4010</v>
      </c>
      <c r="AT79" s="4">
        <f ca="1">ROUND(T_Tiktok_ads[[#This Row],[comments]]*RANDBETWEEN(8,12)/10,0)</f>
        <v>1667</v>
      </c>
      <c r="AV79" s="5">
        <f t="shared" ca="1" si="12"/>
        <v>45186</v>
      </c>
      <c r="AW79">
        <f t="shared" ca="1" si="13"/>
        <v>5</v>
      </c>
      <c r="AX79">
        <f ca="1">ROUND(T_Facebook_Ads115963677175798387[[#This Row],[impressions]]*RANDBETWEEN(8,12)/10,0)</f>
        <v>48088</v>
      </c>
      <c r="AY79">
        <f ca="1">ROUND(T_Facebook_Ads115963677175798387[[#This Row],[clicks]]*RANDBETWEEN(8,12)/10,0)</f>
        <v>294</v>
      </c>
      <c r="AZ79">
        <f ca="1">T_Facebook_Ads115963677175798387[[#This Row],[spend]]*RANDBETWEEN(8,12)/10</f>
        <v>67.760000000000005</v>
      </c>
      <c r="BA79">
        <f ca="1">ROUND(T_Facebook_Ads115963677175798387[[#This Row],[conversions]]*RANDBETWEEN(8,12)/10,0)</f>
        <v>7</v>
      </c>
      <c r="BB79">
        <f ca="1">ROUND(T_Facebook_Ads115963677175798387[[#This Row],[video_views]]*RANDBETWEEN(8,12)/10,0)</f>
        <v>53480</v>
      </c>
    </row>
    <row r="80" spans="1:54" ht="15.75" thickBot="1" x14ac:dyDescent="0.3">
      <c r="A80" s="3">
        <f t="shared" ca="1" si="9"/>
        <v>45199</v>
      </c>
      <c r="B80" s="4" t="s">
        <v>52</v>
      </c>
      <c r="C80" s="4" t="s">
        <v>53</v>
      </c>
      <c r="D80" s="4" t="s">
        <v>54</v>
      </c>
      <c r="E80" s="4" t="s">
        <v>55</v>
      </c>
      <c r="F80" s="4">
        <f ca="1">ROUND(T_Facebook_Ads[[#This Row],[impressions]]*RANDBETWEEN(8,12)/10,0)</f>
        <v>48567</v>
      </c>
      <c r="G80" s="4">
        <v>989</v>
      </c>
      <c r="H80" s="4">
        <f ca="1">T_Facebook_Ads[[#This Row],[spend]]*RANDBETWEEN(8,12)/10</f>
        <v>168.36</v>
      </c>
      <c r="I80" s="4">
        <f ca="1">ROUND(T_Facebook_Ads[[#This Row],[conversions]]*RANDBETWEEN(8,12)/10,0)</f>
        <v>14</v>
      </c>
      <c r="J80" s="4">
        <f ca="1">ROUND(T_Facebook_Ads[[#This Row],[video_views]]*RANDBETWEEN(8,12)/10,0)</f>
        <v>9840</v>
      </c>
      <c r="K80" s="4">
        <f ca="1">T_Facebook_Ads[[#This Row],[engagement_rate]]*RANDBETWEEN(8,12)/10</f>
        <v>2.2440000000000002E-2</v>
      </c>
      <c r="L80" s="4">
        <f ca="1">ROUND(T_Facebook_Ads[[#This Row],[reach]]*RANDBETWEEN(8,12)/10,0)</f>
        <v>48547</v>
      </c>
      <c r="M80" s="4">
        <f ca="1">T_Facebook_Ads[[#This Row],[frequency]]*RANDBETWEEN(8,12)/10</f>
        <v>1.3199999999999998</v>
      </c>
      <c r="O80" s="3">
        <f t="shared" ca="1" si="10"/>
        <v>45194</v>
      </c>
      <c r="P80" s="4" t="s">
        <v>76</v>
      </c>
      <c r="Q80" s="4" t="s">
        <v>77</v>
      </c>
      <c r="R80" s="4" t="s">
        <v>78</v>
      </c>
      <c r="S80" s="4" t="s">
        <v>79</v>
      </c>
      <c r="T80" s="4">
        <f ca="1">ROUND(_Google_ads[[#This Row],[impressions]]*RANDBETWEEN(8,12)/10,0)</f>
        <v>28246</v>
      </c>
      <c r="U80" s="4">
        <f ca="1">ROUND(_Google_ads[[#This Row],[clicks]]*RANDBETWEEN(8,12)/10,0)</f>
        <v>1220</v>
      </c>
      <c r="V80" s="4">
        <f ca="1">_Google_ads[[#This Row],[cost]]*RANDBETWEEN(8,12)/10</f>
        <v>285.33999999999997</v>
      </c>
      <c r="W80" s="4">
        <f ca="1">ROUND(_Google_ads[[#This Row],[conversions]]*RANDBETWEEN(8,12)/10,0)</f>
        <v>46</v>
      </c>
      <c r="X80" s="4">
        <f ca="1">ROUND(_Google_ads[[#This Row],[conversion_value]]*RANDBETWEEN(8,12)/10,0)</f>
        <v>2295</v>
      </c>
      <c r="Y80" s="4">
        <f ca="1">_Google_ads[[#This Row],[ctr]]*RANDBETWEEN(8,12)/10</f>
        <v>5.808E-2</v>
      </c>
      <c r="Z80" s="4">
        <f ca="1">_Google_ads[[#This Row],[avg_cpc]]*RANDBETWEEN(8,12)/10</f>
        <v>0.20899999999999999</v>
      </c>
      <c r="AA80" s="4">
        <f ca="1">ROUND(_Google_ads[[#This Row],[quality_score]]*RANDBETWEEN(8,12)/10,0)</f>
        <v>11</v>
      </c>
      <c r="AB80" s="4">
        <f ca="1">_Google_ads[[#This Row],[search_impression_share]]*RANDBETWEEN(8,12)/10</f>
        <v>0.92000000000000015</v>
      </c>
      <c r="AD80" s="3">
        <f t="shared" ca="1" si="11"/>
        <v>45175</v>
      </c>
      <c r="AE80" s="4" t="s">
        <v>100</v>
      </c>
      <c r="AF80" s="4" t="s">
        <v>101</v>
      </c>
      <c r="AG80" s="4" t="s">
        <v>102</v>
      </c>
      <c r="AH80" s="4" t="s">
        <v>103</v>
      </c>
      <c r="AI80" s="4">
        <f ca="1">ROUND(T_Tiktok_ads[[#This Row],[impressions]]*RANDBETWEEN(8,12)/10,0)</f>
        <v>346814</v>
      </c>
      <c r="AJ80" s="4">
        <f ca="1">ROUND(T_Tiktok_ads[[#This Row],[clicks]]*RANDBETWEEN(8,12)/10,0)</f>
        <v>4657</v>
      </c>
      <c r="AK80" s="4">
        <v>556.70000000000005</v>
      </c>
      <c r="AL80" s="4">
        <f ca="1">ROUND(T_Tiktok_ads[[#This Row],[conversions]]*RANDBETWEEN(8,12)/10,0)</f>
        <v>39</v>
      </c>
      <c r="AM80" s="4">
        <f ca="1">ROUND(T_Tiktok_ads[[#This Row],[video_views]]*RANDBETWEEN(8,12)/10,0)</f>
        <v>258024</v>
      </c>
      <c r="AN80" s="4">
        <f ca="1">ROUND(T_Tiktok_ads[[#This Row],[video_watch_25]]*RANDBETWEEN(8,12)/10,0)</f>
        <v>200580</v>
      </c>
      <c r="AO80" s="4">
        <f ca="1">ROUND(T_Tiktok_ads[[#This Row],[video_watch_50]]*RANDBETWEEN(8,12)/10,0)</f>
        <v>114567</v>
      </c>
      <c r="AP80" s="4">
        <f ca="1">ROUND(T_Tiktok_ads[[#This Row],[video_watch_75]]*RANDBETWEEN(8,12)/10,0)</f>
        <v>77234</v>
      </c>
      <c r="AQ80" s="4">
        <f ca="1">ROUND(T_Tiktok_ads[[#This Row],[video_watch_100]]*RANDBETWEEN(8,12)/10,0)</f>
        <v>56357</v>
      </c>
      <c r="AR80" s="4">
        <f ca="1">ROUND(T_Tiktok_ads[[#This Row],[likes]]*RANDBETWEEN(8,12)/10,0)</f>
        <v>8276</v>
      </c>
      <c r="AS80" s="4">
        <f ca="1">ROUND(T_Tiktok_ads[[#This Row],[shares]]*RANDBETWEEN(8,12)/10,0)</f>
        <v>3068</v>
      </c>
      <c r="AT80" s="4">
        <f ca="1">ROUND(T_Tiktok_ads[[#This Row],[comments]]*RANDBETWEEN(8,12)/10,0)</f>
        <v>590</v>
      </c>
      <c r="AV80" s="5">
        <f t="shared" ca="1" si="12"/>
        <v>45188</v>
      </c>
      <c r="AW80">
        <f t="shared" ca="1" si="13"/>
        <v>8</v>
      </c>
      <c r="AX80">
        <f ca="1">ROUND(T_Facebook_Ads115963677175798387[[#This Row],[impressions]]*RANDBETWEEN(8,12)/10,0)</f>
        <v>48567</v>
      </c>
      <c r="AY80">
        <f ca="1">ROUND(T_Facebook_Ads115963677175798387[[#This Row],[clicks]]*RANDBETWEEN(8,12)/10,0)</f>
        <v>1187</v>
      </c>
      <c r="AZ80">
        <f ca="1">T_Facebook_Ads115963677175798387[[#This Row],[spend]]*RANDBETWEEN(8,12)/10</f>
        <v>185.196</v>
      </c>
      <c r="BA80">
        <f ca="1">ROUND(T_Facebook_Ads115963677175798387[[#This Row],[conversions]]*RANDBETWEEN(8,12)/10,0)</f>
        <v>14</v>
      </c>
      <c r="BB80">
        <f ca="1">ROUND(T_Facebook_Ads115963677175798387[[#This Row],[video_views]]*RANDBETWEEN(8,12)/10,0)</f>
        <v>7872</v>
      </c>
    </row>
    <row r="81" spans="1:54" ht="15.75" thickBot="1" x14ac:dyDescent="0.3">
      <c r="A81" s="3">
        <f t="shared" ca="1" si="9"/>
        <v>45180</v>
      </c>
      <c r="B81" s="4" t="s">
        <v>56</v>
      </c>
      <c r="C81" s="4" t="s">
        <v>57</v>
      </c>
      <c r="D81" s="4" t="s">
        <v>58</v>
      </c>
      <c r="E81" s="4" t="s">
        <v>59</v>
      </c>
      <c r="F81" s="4">
        <f ca="1">ROUND(T_Facebook_Ads[[#This Row],[impressions]]*RANDBETWEEN(8,12)/10,0)</f>
        <v>11031</v>
      </c>
      <c r="G81" s="4">
        <v>623</v>
      </c>
      <c r="H81" s="4">
        <f ca="1">T_Facebook_Ads[[#This Row],[spend]]*RANDBETWEEN(8,12)/10</f>
        <v>183.84</v>
      </c>
      <c r="I81" s="4">
        <f ca="1">ROUND(T_Facebook_Ads[[#This Row],[conversions]]*RANDBETWEEN(8,12)/10,0)</f>
        <v>46</v>
      </c>
      <c r="J81" s="4">
        <f ca="1">ROUND(T_Facebook_Ads[[#This Row],[video_views]]*RANDBETWEEN(8,12)/10,0)</f>
        <v>1787</v>
      </c>
      <c r="K81" s="4">
        <f ca="1">T_Facebook_Ads[[#This Row],[engagement_rate]]*RANDBETWEEN(8,12)/10</f>
        <v>4.972E-2</v>
      </c>
      <c r="L81" s="4">
        <f ca="1">ROUND(T_Facebook_Ads[[#This Row],[reach]]*RANDBETWEEN(8,12)/10,0)</f>
        <v>9710</v>
      </c>
      <c r="M81" s="4">
        <f ca="1">T_Facebook_Ads[[#This Row],[frequency]]*RANDBETWEEN(8,12)/10</f>
        <v>1.4079999999999999</v>
      </c>
      <c r="O81" s="3">
        <f t="shared" ca="1" si="10"/>
        <v>45185</v>
      </c>
      <c r="P81" s="4" t="s">
        <v>80</v>
      </c>
      <c r="Q81" s="4" t="s">
        <v>81</v>
      </c>
      <c r="R81" s="4" t="s">
        <v>82</v>
      </c>
      <c r="S81" s="4" t="s">
        <v>83</v>
      </c>
      <c r="T81" s="4">
        <f ca="1">ROUND(_Google_ads[[#This Row],[impressions]]*RANDBETWEEN(8,12)/10,0)</f>
        <v>49635</v>
      </c>
      <c r="U81" s="4">
        <f ca="1">ROUND(_Google_ads[[#This Row],[clicks]]*RANDBETWEEN(8,12)/10,0)</f>
        <v>821</v>
      </c>
      <c r="V81" s="4">
        <f ca="1">_Google_ads[[#This Row],[cost]]*RANDBETWEEN(8,12)/10</f>
        <v>577.79999999999995</v>
      </c>
      <c r="W81" s="4">
        <f ca="1">ROUND(_Google_ads[[#This Row],[conversions]]*RANDBETWEEN(8,12)/10,0)</f>
        <v>22</v>
      </c>
      <c r="X81" s="4">
        <f ca="1">ROUND(_Google_ads[[#This Row],[conversion_value]]*RANDBETWEEN(8,12)/10,0)</f>
        <v>960</v>
      </c>
      <c r="Y81" s="4">
        <f ca="1">_Google_ads[[#This Row],[ctr]]*RANDBETWEEN(8,12)/10</f>
        <v>1.6160000000000001E-2</v>
      </c>
      <c r="Z81" s="4">
        <f ca="1">_Google_ads[[#This Row],[avg_cpc]]*RANDBETWEEN(8,12)/10</f>
        <v>0.63</v>
      </c>
      <c r="AA81" s="4">
        <f ca="1">ROUND(_Google_ads[[#This Row],[quality_score]]*RANDBETWEEN(8,12)/10,0)</f>
        <v>8</v>
      </c>
      <c r="AB81" s="4">
        <f ca="1">_Google_ads[[#This Row],[search_impression_share]]*RANDBETWEEN(8,12)/10</f>
        <v>0.36</v>
      </c>
      <c r="AD81" s="3">
        <f t="shared" ca="1" si="11"/>
        <v>45175</v>
      </c>
      <c r="AE81" s="4" t="s">
        <v>104</v>
      </c>
      <c r="AF81" s="4" t="s">
        <v>105</v>
      </c>
      <c r="AG81" s="4" t="s">
        <v>106</v>
      </c>
      <c r="AH81" s="4" t="s">
        <v>107</v>
      </c>
      <c r="AI81" s="4">
        <f ca="1">ROUND(T_Tiktok_ads[[#This Row],[impressions]]*RANDBETWEEN(8,12)/10,0)</f>
        <v>172468</v>
      </c>
      <c r="AJ81" s="4">
        <f ca="1">ROUND(T_Tiktok_ads[[#This Row],[clicks]]*RANDBETWEEN(8,12)/10,0)</f>
        <v>3614</v>
      </c>
      <c r="AK81" s="4">
        <v>812.3</v>
      </c>
      <c r="AL81" s="4">
        <f ca="1">ROUND(T_Tiktok_ads[[#This Row],[conversions]]*RANDBETWEEN(8,12)/10,0)</f>
        <v>74</v>
      </c>
      <c r="AM81" s="4">
        <f ca="1">ROUND(T_Tiktok_ads[[#This Row],[video_views]]*RANDBETWEEN(8,12)/10,0)</f>
        <v>98888</v>
      </c>
      <c r="AN81" s="4">
        <f ca="1">ROUND(T_Tiktok_ads[[#This Row],[video_watch_25]]*RANDBETWEEN(8,12)/10,0)</f>
        <v>81234</v>
      </c>
      <c r="AO81" s="4">
        <f ca="1">ROUND(T_Tiktok_ads[[#This Row],[video_watch_50]]*RANDBETWEEN(8,12)/10,0)</f>
        <v>65614</v>
      </c>
      <c r="AP81" s="4">
        <f ca="1">ROUND(T_Tiktok_ads[[#This Row],[video_watch_75]]*RANDBETWEEN(8,12)/10,0)</f>
        <v>41234</v>
      </c>
      <c r="AQ81" s="4">
        <f ca="1">ROUND(T_Tiktok_ads[[#This Row],[video_watch_100]]*RANDBETWEEN(8,12)/10,0)</f>
        <v>33080</v>
      </c>
      <c r="AR81" s="4">
        <f ca="1">ROUND(T_Tiktok_ads[[#This Row],[likes]]*RANDBETWEEN(8,12)/10,0)</f>
        <v>6002</v>
      </c>
      <c r="AS81" s="4">
        <f ca="1">ROUND(T_Tiktok_ads[[#This Row],[shares]]*RANDBETWEEN(8,12)/10,0)</f>
        <v>1567</v>
      </c>
      <c r="AT81" s="4">
        <f ca="1">ROUND(T_Tiktok_ads[[#This Row],[comments]]*RANDBETWEEN(8,12)/10,0)</f>
        <v>260</v>
      </c>
      <c r="AV81" s="5">
        <f t="shared" ca="1" si="12"/>
        <v>45172</v>
      </c>
      <c r="AW81">
        <f t="shared" ca="1" si="13"/>
        <v>3</v>
      </c>
      <c r="AX81">
        <f ca="1">ROUND(T_Facebook_Ads115963677175798387[[#This Row],[impressions]]*RANDBETWEEN(8,12)/10,0)</f>
        <v>9928</v>
      </c>
      <c r="AY81">
        <f ca="1">ROUND(T_Facebook_Ads115963677175798387[[#This Row],[clicks]]*RANDBETWEEN(8,12)/10,0)</f>
        <v>748</v>
      </c>
      <c r="AZ81">
        <f ca="1">T_Facebook_Ads115963677175798387[[#This Row],[spend]]*RANDBETWEEN(8,12)/10</f>
        <v>220.608</v>
      </c>
      <c r="BA81">
        <f ca="1">ROUND(T_Facebook_Ads115963677175798387[[#This Row],[conversions]]*RANDBETWEEN(8,12)/10,0)</f>
        <v>55</v>
      </c>
      <c r="BB81">
        <f ca="1">ROUND(T_Facebook_Ads115963677175798387[[#This Row],[video_views]]*RANDBETWEEN(8,12)/10,0)</f>
        <v>1787</v>
      </c>
    </row>
    <row r="82" spans="1:54" ht="15.75" thickBot="1" x14ac:dyDescent="0.3">
      <c r="A82" s="3">
        <f t="shared" ca="1" si="9"/>
        <v>45192</v>
      </c>
      <c r="B82" s="4" t="s">
        <v>60</v>
      </c>
      <c r="C82" s="4" t="s">
        <v>61</v>
      </c>
      <c r="D82" s="4" t="s">
        <v>62</v>
      </c>
      <c r="E82" s="4" t="s">
        <v>63</v>
      </c>
      <c r="F82" s="4">
        <f ca="1">ROUND(T_Facebook_Ads[[#This Row],[impressions]]*RANDBETWEEN(8,12)/10,0)</f>
        <v>44947</v>
      </c>
      <c r="G82" s="4">
        <v>1389</v>
      </c>
      <c r="H82" s="4">
        <f ca="1">T_Facebook_Ads[[#This Row],[spend]]*RANDBETWEEN(8,12)/10</f>
        <v>234.74</v>
      </c>
      <c r="I82" s="4">
        <f ca="1">ROUND(T_Facebook_Ads[[#This Row],[conversions]]*RANDBETWEEN(8,12)/10,0)</f>
        <v>29</v>
      </c>
      <c r="J82" s="4">
        <f ca="1">ROUND(T_Facebook_Ads[[#This Row],[video_views]]*RANDBETWEEN(8,12)/10,0)</f>
        <v>5379</v>
      </c>
      <c r="K82" s="4">
        <f ca="1">T_Facebook_Ads[[#This Row],[engagement_rate]]*RANDBETWEEN(8,12)/10</f>
        <v>4.4520000000000004E-2</v>
      </c>
      <c r="L82" s="4">
        <f ca="1">ROUND(T_Facebook_Ads[[#This Row],[reach]]*RANDBETWEEN(8,12)/10,0)</f>
        <v>30567</v>
      </c>
      <c r="M82" s="4">
        <f ca="1">T_Facebook_Ads[[#This Row],[frequency]]*RANDBETWEEN(8,12)/10</f>
        <v>1.0980000000000001</v>
      </c>
      <c r="O82" s="3">
        <f t="shared" ca="1" si="10"/>
        <v>45174</v>
      </c>
      <c r="P82" s="4" t="s">
        <v>84</v>
      </c>
      <c r="Q82" s="4" t="s">
        <v>85</v>
      </c>
      <c r="R82" s="4" t="s">
        <v>86</v>
      </c>
      <c r="S82" s="4" t="s">
        <v>87</v>
      </c>
      <c r="T82" s="4">
        <f ca="1">ROUND(_Google_ads[[#This Row],[impressions]]*RANDBETWEEN(8,12)/10,0)</f>
        <v>56187</v>
      </c>
      <c r="U82" s="4">
        <f ca="1">ROUND(_Google_ads[[#This Row],[clicks]]*RANDBETWEEN(8,12)/10,0)</f>
        <v>2867</v>
      </c>
      <c r="V82" s="4">
        <f ca="1">_Google_ads[[#This Row],[cost]]*RANDBETWEEN(8,12)/10</f>
        <v>475.86</v>
      </c>
      <c r="W82" s="4">
        <f ca="1">ROUND(_Google_ads[[#This Row],[conversions]]*RANDBETWEEN(8,12)/10,0)</f>
        <v>76</v>
      </c>
      <c r="X82" s="4">
        <f ca="1">ROUND(_Google_ads[[#This Row],[conversion_value]]*RANDBETWEEN(8,12)/10,0)</f>
        <v>3795</v>
      </c>
      <c r="Y82" s="4">
        <f ca="1">_Google_ads[[#This Row],[ctr]]*RANDBETWEEN(8,12)/10</f>
        <v>3.4000000000000002E-2</v>
      </c>
      <c r="Z82" s="4">
        <f ca="1">_Google_ads[[#This Row],[avg_cpc]]*RANDBETWEEN(8,12)/10</f>
        <v>0.14399999999999999</v>
      </c>
      <c r="AA82" s="4">
        <f ca="1">ROUND(_Google_ads[[#This Row],[quality_score]]*RANDBETWEEN(8,12)/10,0)</f>
        <v>10</v>
      </c>
      <c r="AB82" s="4">
        <f ca="1">_Google_ads[[#This Row],[search_impression_share]]*RANDBETWEEN(8,12)/10</f>
        <v>0.53600000000000003</v>
      </c>
      <c r="AD82" s="3">
        <f t="shared" ca="1" si="11"/>
        <v>45171</v>
      </c>
      <c r="AE82" s="4" t="s">
        <v>108</v>
      </c>
      <c r="AF82" s="4" t="s">
        <v>109</v>
      </c>
      <c r="AG82" s="4" t="s">
        <v>110</v>
      </c>
      <c r="AH82" s="4" t="s">
        <v>111</v>
      </c>
      <c r="AI82" s="4">
        <f ca="1">ROUND(T_Tiktok_ads[[#This Row],[impressions]]*RANDBETWEEN(8,12)/10,0)</f>
        <v>196542</v>
      </c>
      <c r="AJ82" s="4">
        <f ca="1">ROUND(T_Tiktok_ads[[#This Row],[clicks]]*RANDBETWEEN(8,12)/10,0)</f>
        <v>3112</v>
      </c>
      <c r="AK82" s="4">
        <v>467.8</v>
      </c>
      <c r="AL82" s="4">
        <f ca="1">ROUND(T_Tiktok_ads[[#This Row],[conversions]]*RANDBETWEEN(8,12)/10,0)</f>
        <v>37</v>
      </c>
      <c r="AM82" s="4">
        <f ca="1">ROUND(T_Tiktok_ads[[#This Row],[video_views]]*RANDBETWEEN(8,12)/10,0)</f>
        <v>234814</v>
      </c>
      <c r="AN82" s="4">
        <f ca="1">ROUND(T_Tiktok_ads[[#This Row],[video_watch_25]]*RANDBETWEEN(8,12)/10,0)</f>
        <v>118587</v>
      </c>
      <c r="AO82" s="4">
        <f ca="1">ROUND(T_Tiktok_ads[[#This Row],[video_watch_50]]*RANDBETWEEN(8,12)/10,0)</f>
        <v>140681</v>
      </c>
      <c r="AP82" s="4">
        <f ca="1">ROUND(T_Tiktok_ads[[#This Row],[video_watch_75]]*RANDBETWEEN(8,12)/10,0)</f>
        <v>90281</v>
      </c>
      <c r="AQ82" s="4">
        <f ca="1">ROUND(T_Tiktok_ads[[#This Row],[video_watch_100]]*RANDBETWEEN(8,12)/10,0)</f>
        <v>50368</v>
      </c>
      <c r="AR82" s="4">
        <f ca="1">ROUND(T_Tiktok_ads[[#This Row],[likes]]*RANDBETWEEN(8,12)/10,0)</f>
        <v>7710</v>
      </c>
      <c r="AS82" s="4">
        <f ca="1">ROUND(T_Tiktok_ads[[#This Row],[shares]]*RANDBETWEEN(8,12)/10,0)</f>
        <v>2111</v>
      </c>
      <c r="AT82" s="4">
        <f ca="1">ROUND(T_Tiktok_ads[[#This Row],[comments]]*RANDBETWEEN(8,12)/10,0)</f>
        <v>624</v>
      </c>
      <c r="AV82" s="5">
        <f t="shared" ca="1" si="12"/>
        <v>45175</v>
      </c>
      <c r="AW82">
        <f t="shared" ca="1" si="13"/>
        <v>8</v>
      </c>
      <c r="AX82">
        <f ca="1">ROUND(T_Facebook_Ads115963677175798387[[#This Row],[impressions]]*RANDBETWEEN(8,12)/10,0)</f>
        <v>35958</v>
      </c>
      <c r="AY82">
        <f ca="1">ROUND(T_Facebook_Ads115963677175798387[[#This Row],[clicks]]*RANDBETWEEN(8,12)/10,0)</f>
        <v>1250</v>
      </c>
      <c r="AZ82">
        <f ca="1">T_Facebook_Ads115963677175798387[[#This Row],[spend]]*RANDBETWEEN(8,12)/10</f>
        <v>258.21400000000006</v>
      </c>
      <c r="BA82">
        <f ca="1">ROUND(T_Facebook_Ads115963677175798387[[#This Row],[conversions]]*RANDBETWEEN(8,12)/10,0)</f>
        <v>23</v>
      </c>
      <c r="BB82">
        <f ca="1">ROUND(T_Facebook_Ads115963677175798387[[#This Row],[video_views]]*RANDBETWEEN(8,12)/10,0)</f>
        <v>4303</v>
      </c>
    </row>
    <row r="83" spans="1:54" ht="15.75" thickBot="1" x14ac:dyDescent="0.3">
      <c r="A83" s="3">
        <f t="shared" ca="1" si="9"/>
        <v>45176</v>
      </c>
      <c r="B83" s="4" t="s">
        <v>64</v>
      </c>
      <c r="C83" s="4" t="s">
        <v>65</v>
      </c>
      <c r="D83" s="4" t="s">
        <v>66</v>
      </c>
      <c r="E83" s="4" t="s">
        <v>67</v>
      </c>
      <c r="F83" s="4">
        <f ca="1">ROUND(T_Facebook_Ads[[#This Row],[impressions]]*RANDBETWEEN(8,12)/10,0)</f>
        <v>64111</v>
      </c>
      <c r="G83" s="4">
        <v>256</v>
      </c>
      <c r="H83" s="4">
        <f ca="1">T_Facebook_Ads[[#This Row],[spend]]*RANDBETWEEN(8,12)/10</f>
        <v>72.400000000000006</v>
      </c>
      <c r="I83" s="4">
        <f ca="1">ROUND(T_Facebook_Ads[[#This Row],[conversions]]*RANDBETWEEN(8,12)/10,0)</f>
        <v>6</v>
      </c>
      <c r="J83" s="4">
        <f ca="1">ROUND(T_Facebook_Ads[[#This Row],[video_views]]*RANDBETWEEN(8,12)/10,0)</f>
        <v>57748</v>
      </c>
      <c r="K83" s="4">
        <f ca="1">T_Facebook_Ads[[#This Row],[engagement_rate]]*RANDBETWEEN(8,12)/10</f>
        <v>2.8799999999999997E-3</v>
      </c>
      <c r="L83" s="4">
        <f ca="1">ROUND(T_Facebook_Ads[[#This Row],[reach]]*RANDBETWEEN(8,12)/10,0)</f>
        <v>46854</v>
      </c>
      <c r="M83" s="4">
        <f ca="1">T_Facebook_Ads[[#This Row],[frequency]]*RANDBETWEEN(8,12)/10</f>
        <v>1.3420000000000001</v>
      </c>
      <c r="O83" s="3">
        <f t="shared" ca="1" si="10"/>
        <v>45192</v>
      </c>
      <c r="P83" s="4" t="s">
        <v>88</v>
      </c>
      <c r="Q83" s="4" t="s">
        <v>89</v>
      </c>
      <c r="R83" s="4" t="s">
        <v>90</v>
      </c>
      <c r="S83" s="4" t="s">
        <v>59</v>
      </c>
      <c r="T83" s="4">
        <f ca="1">ROUND(_Google_ads[[#This Row],[impressions]]*RANDBETWEEN(8,12)/10,0)</f>
        <v>133456</v>
      </c>
      <c r="U83" s="4">
        <f ca="1">ROUND(_Google_ads[[#This Row],[clicks]]*RANDBETWEEN(8,12)/10,0)</f>
        <v>489</v>
      </c>
      <c r="V83" s="4">
        <f ca="1">_Google_ads[[#This Row],[cost]]*RANDBETWEEN(8,12)/10</f>
        <v>131.19999999999999</v>
      </c>
      <c r="W83" s="4">
        <f ca="1">ROUND(_Google_ads[[#This Row],[conversions]]*RANDBETWEEN(8,12)/10,0)</f>
        <v>11</v>
      </c>
      <c r="X83" s="4">
        <f ca="1">ROUND(_Google_ads[[#This Row],[conversion_value]]*RANDBETWEEN(8,12)/10,0)</f>
        <v>560</v>
      </c>
      <c r="Y83" s="4">
        <f ca="1">_Google_ads[[#This Row],[ctr]]*RANDBETWEEN(8,12)/10</f>
        <v>4.4400000000000004E-3</v>
      </c>
      <c r="Z83" s="4">
        <f ca="1">_Google_ads[[#This Row],[avg_cpc]]*RANDBETWEEN(8,12)/10</f>
        <v>0.27</v>
      </c>
      <c r="AA83" s="4">
        <f ca="1">ROUND(_Google_ads[[#This Row],[quality_score]]*RANDBETWEEN(8,12)/10,0)</f>
        <v>6</v>
      </c>
      <c r="AB83" s="4">
        <f ca="1">_Google_ads[[#This Row],[search_impression_share]]*RANDBETWEEN(8,12)/10</f>
        <v>0.38499999999999995</v>
      </c>
      <c r="AD83" s="3">
        <f t="shared" ca="1" si="11"/>
        <v>45172</v>
      </c>
      <c r="AE83" s="4" t="s">
        <v>112</v>
      </c>
      <c r="AF83" s="4" t="s">
        <v>113</v>
      </c>
      <c r="AG83" s="4" t="s">
        <v>114</v>
      </c>
      <c r="AH83" s="4" t="s">
        <v>115</v>
      </c>
      <c r="AI83" s="4">
        <f ca="1">ROUND(T_Tiktok_ads[[#This Row],[impressions]]*RANDBETWEEN(8,12)/10,0)</f>
        <v>338765</v>
      </c>
      <c r="AJ83" s="4">
        <f ca="1">ROUND(T_Tiktok_ads[[#This Row],[clicks]]*RANDBETWEEN(8,12)/10,0)</f>
        <v>6890</v>
      </c>
      <c r="AK83" s="4">
        <v>1056.8</v>
      </c>
      <c r="AL83" s="4">
        <f ca="1">ROUND(T_Tiktok_ads[[#This Row],[conversions]]*RANDBETWEEN(8,12)/10,0)</f>
        <v>128</v>
      </c>
      <c r="AM83" s="4">
        <f ca="1">ROUND(T_Tiktok_ads[[#This Row],[video_views]]*RANDBETWEEN(8,12)/10,0)</f>
        <v>356789</v>
      </c>
      <c r="AN83" s="4">
        <f ca="1">ROUND(T_Tiktok_ads[[#This Row],[video_watch_25]]*RANDBETWEEN(8,12)/10,0)</f>
        <v>231387</v>
      </c>
      <c r="AO83" s="4">
        <f ca="1">ROUND(T_Tiktok_ads[[#This Row],[video_watch_50]]*RANDBETWEEN(8,12)/10,0)</f>
        <v>185165</v>
      </c>
      <c r="AP83" s="4">
        <f ca="1">ROUND(T_Tiktok_ads[[#This Row],[video_watch_75]]*RANDBETWEEN(8,12)/10,0)</f>
        <v>131654</v>
      </c>
      <c r="AQ83" s="4">
        <f ca="1">ROUND(T_Tiktok_ads[[#This Row],[video_watch_100]]*RANDBETWEEN(8,12)/10,0)</f>
        <v>120157</v>
      </c>
      <c r="AR83" s="4">
        <f ca="1">ROUND(T_Tiktok_ads[[#This Row],[likes]]*RANDBETWEEN(8,12)/10,0)</f>
        <v>17001</v>
      </c>
      <c r="AS83" s="4">
        <f ca="1">ROUND(T_Tiktok_ads[[#This Row],[shares]]*RANDBETWEEN(8,12)/10,0)</f>
        <v>6002</v>
      </c>
      <c r="AT83" s="4">
        <f ca="1">ROUND(T_Tiktok_ads[[#This Row],[comments]]*RANDBETWEEN(8,12)/10,0)</f>
        <v>1787</v>
      </c>
      <c r="AV83" s="5">
        <f t="shared" ca="1" si="12"/>
        <v>45180</v>
      </c>
      <c r="AW83">
        <f t="shared" ca="1" si="13"/>
        <v>6</v>
      </c>
      <c r="AX83">
        <f ca="1">ROUND(T_Facebook_Ads115963677175798387[[#This Row],[impressions]]*RANDBETWEEN(8,12)/10,0)</f>
        <v>70522</v>
      </c>
      <c r="AY83">
        <f ca="1">ROUND(T_Facebook_Ads115963677175798387[[#This Row],[clicks]]*RANDBETWEEN(8,12)/10,0)</f>
        <v>282</v>
      </c>
      <c r="AZ83">
        <f ca="1">T_Facebook_Ads115963677175798387[[#This Row],[spend]]*RANDBETWEEN(8,12)/10</f>
        <v>57.92</v>
      </c>
      <c r="BA83">
        <f ca="1">ROUND(T_Facebook_Ads115963677175798387[[#This Row],[conversions]]*RANDBETWEEN(8,12)/10,0)</f>
        <v>7</v>
      </c>
      <c r="BB83">
        <f ca="1">ROUND(T_Facebook_Ads115963677175798387[[#This Row],[video_views]]*RANDBETWEEN(8,12)/10,0)</f>
        <v>69298</v>
      </c>
    </row>
    <row r="84" spans="1:54" ht="15.75" thickBot="1" x14ac:dyDescent="0.3">
      <c r="A84" s="3">
        <f t="shared" ca="1" si="9"/>
        <v>45172</v>
      </c>
      <c r="B84" s="4" t="s">
        <v>52</v>
      </c>
      <c r="C84" s="4" t="s">
        <v>53</v>
      </c>
      <c r="D84" s="4" t="s">
        <v>54</v>
      </c>
      <c r="E84" s="4" t="s">
        <v>55</v>
      </c>
      <c r="F84" s="4">
        <f ca="1">ROUND(T_Facebook_Ads[[#This Row],[impressions]]*RANDBETWEEN(8,12)/10,0)</f>
        <v>61481</v>
      </c>
      <c r="G84" s="4">
        <v>1067</v>
      </c>
      <c r="H84" s="4">
        <f ca="1">T_Facebook_Ads[[#This Row],[spend]]*RANDBETWEEN(8,12)/10</f>
        <v>149.69999999999999</v>
      </c>
      <c r="I84" s="4">
        <f ca="1">ROUND(T_Facebook_Ads[[#This Row],[conversions]]*RANDBETWEEN(8,12)/10,0)</f>
        <v>15</v>
      </c>
      <c r="J84" s="4">
        <f ca="1">ROUND(T_Facebook_Ads[[#This Row],[video_views]]*RANDBETWEEN(8,12)/10,0)</f>
        <v>10157</v>
      </c>
      <c r="K84" s="4">
        <f ca="1">T_Facebook_Ads[[#This Row],[engagement_rate]]*RANDBETWEEN(8,12)/10</f>
        <v>2.496E-2</v>
      </c>
      <c r="L84" s="4">
        <f ca="1">ROUND(T_Facebook_Ads[[#This Row],[reach]]*RANDBETWEEN(8,12)/10,0)</f>
        <v>34054</v>
      </c>
      <c r="M84" s="4">
        <f ca="1">T_Facebook_Ads[[#This Row],[frequency]]*RANDBETWEEN(8,12)/10</f>
        <v>0.96</v>
      </c>
      <c r="O84" s="3">
        <f t="shared" ca="1" si="10"/>
        <v>45188</v>
      </c>
      <c r="P84" s="4" t="s">
        <v>76</v>
      </c>
      <c r="Q84" s="4" t="s">
        <v>77</v>
      </c>
      <c r="R84" s="4" t="s">
        <v>78</v>
      </c>
      <c r="S84" s="4" t="s">
        <v>79</v>
      </c>
      <c r="T84" s="4">
        <f ca="1">ROUND(_Google_ads[[#This Row],[impressions]]*RANDBETWEEN(8,12)/10,0)</f>
        <v>24411</v>
      </c>
      <c r="U84" s="4">
        <f ca="1">ROUND(_Google_ads[[#This Row],[clicks]]*RANDBETWEEN(8,12)/10,0)</f>
        <v>1434</v>
      </c>
      <c r="V84" s="4">
        <f ca="1">_Google_ads[[#This Row],[cost]]*RANDBETWEEN(8,12)/10</f>
        <v>219.44</v>
      </c>
      <c r="W84" s="4">
        <f ca="1">ROUND(_Google_ads[[#This Row],[conversions]]*RANDBETWEEN(8,12)/10,0)</f>
        <v>44</v>
      </c>
      <c r="X84" s="4">
        <f ca="1">ROUND(_Google_ads[[#This Row],[conversion_value]]*RANDBETWEEN(8,12)/10,0)</f>
        <v>3025</v>
      </c>
      <c r="Y84" s="4">
        <f ca="1">_Google_ads[[#This Row],[ctr]]*RANDBETWEEN(8,12)/10</f>
        <v>4.761E-2</v>
      </c>
      <c r="Z84" s="4">
        <f ca="1">_Google_ads[[#This Row],[avg_cpc]]*RANDBETWEEN(8,12)/10</f>
        <v>0.152</v>
      </c>
      <c r="AA84" s="4">
        <f ca="1">ROUND(_Google_ads[[#This Row],[quality_score]]*RANDBETWEEN(8,12)/10,0)</f>
        <v>8</v>
      </c>
      <c r="AB84" s="4">
        <f ca="1">_Google_ads[[#This Row],[search_impression_share]]*RANDBETWEEN(8,12)/10</f>
        <v>0.83700000000000008</v>
      </c>
      <c r="AD84" s="3">
        <f t="shared" ca="1" si="11"/>
        <v>45199</v>
      </c>
      <c r="AE84" s="4" t="s">
        <v>100</v>
      </c>
      <c r="AF84" s="4" t="s">
        <v>101</v>
      </c>
      <c r="AG84" s="4" t="s">
        <v>102</v>
      </c>
      <c r="AH84" s="4" t="s">
        <v>103</v>
      </c>
      <c r="AI84" s="4">
        <f ca="1">ROUND(T_Tiktok_ads[[#This Row],[impressions]]*RANDBETWEEN(8,12)/10,0)</f>
        <v>312345</v>
      </c>
      <c r="AJ84" s="4">
        <f ca="1">ROUND(T_Tiktok_ads[[#This Row],[clicks]]*RANDBETWEEN(8,12)/10,0)</f>
        <v>5024</v>
      </c>
      <c r="AK84" s="4">
        <v>623.4</v>
      </c>
      <c r="AL84" s="4">
        <f ca="1">ROUND(T_Tiktok_ads[[#This Row],[conversions]]*RANDBETWEEN(8,12)/10,0)</f>
        <v>48</v>
      </c>
      <c r="AM84" s="4">
        <f ca="1">ROUND(T_Tiktok_ads[[#This Row],[video_views]]*RANDBETWEEN(8,12)/10,0)</f>
        <v>256789</v>
      </c>
      <c r="AN84" s="4">
        <f ca="1">ROUND(T_Tiktok_ads[[#This Row],[video_watch_25]]*RANDBETWEEN(8,12)/10,0)</f>
        <v>200234</v>
      </c>
      <c r="AO84" s="4">
        <f ca="1">ROUND(T_Tiktok_ads[[#This Row],[video_watch_50]]*RANDBETWEEN(8,12)/10,0)</f>
        <v>113110</v>
      </c>
      <c r="AP84" s="4">
        <f ca="1">ROUND(T_Tiktok_ads[[#This Row],[video_watch_75]]*RANDBETWEEN(8,12)/10,0)</f>
        <v>84567</v>
      </c>
      <c r="AQ84" s="4">
        <f ca="1">ROUND(T_Tiktok_ads[[#This Row],[video_watch_100]]*RANDBETWEEN(8,12)/10,0)</f>
        <v>44987</v>
      </c>
      <c r="AR84" s="4">
        <f ca="1">ROUND(T_Tiktok_ads[[#This Row],[likes]]*RANDBETWEEN(8,12)/10,0)</f>
        <v>8987</v>
      </c>
      <c r="AS84" s="4">
        <f ca="1">ROUND(T_Tiktok_ads[[#This Row],[shares]]*RANDBETWEEN(8,12)/10,0)</f>
        <v>2711</v>
      </c>
      <c r="AT84" s="4">
        <f ca="1">ROUND(T_Tiktok_ads[[#This Row],[comments]]*RANDBETWEEN(8,12)/10,0)</f>
        <v>868</v>
      </c>
      <c r="AV84" s="5">
        <f t="shared" ca="1" si="12"/>
        <v>45173</v>
      </c>
      <c r="AW84">
        <f t="shared" ca="1" si="13"/>
        <v>2</v>
      </c>
      <c r="AX84">
        <f ca="1">ROUND(T_Facebook_Ads115963677175798387[[#This Row],[impressions]]*RANDBETWEEN(8,12)/10,0)</f>
        <v>73777</v>
      </c>
      <c r="AY84">
        <f ca="1">ROUND(T_Facebook_Ads115963677175798387[[#This Row],[clicks]]*RANDBETWEEN(8,12)/10,0)</f>
        <v>1174</v>
      </c>
      <c r="AZ84">
        <f ca="1">T_Facebook_Ads115963677175798387[[#This Row],[spend]]*RANDBETWEEN(8,12)/10</f>
        <v>134.72999999999999</v>
      </c>
      <c r="BA84">
        <f ca="1">ROUND(T_Facebook_Ads115963677175798387[[#This Row],[conversions]]*RANDBETWEEN(8,12)/10,0)</f>
        <v>17</v>
      </c>
      <c r="BB84">
        <f ca="1">ROUND(T_Facebook_Ads115963677175798387[[#This Row],[video_views]]*RANDBETWEEN(8,12)/10,0)</f>
        <v>9141</v>
      </c>
    </row>
    <row r="85" spans="1:54" ht="15.75" thickBot="1" x14ac:dyDescent="0.3">
      <c r="A85" s="3">
        <f t="shared" ca="1" si="9"/>
        <v>45174</v>
      </c>
      <c r="B85" s="4" t="s">
        <v>56</v>
      </c>
      <c r="C85" s="4" t="s">
        <v>57</v>
      </c>
      <c r="D85" s="4" t="s">
        <v>58</v>
      </c>
      <c r="E85" s="4" t="s">
        <v>59</v>
      </c>
      <c r="F85" s="4">
        <f ca="1">ROUND(T_Facebook_Ads[[#This Row],[impressions]]*RANDBETWEEN(8,12)/10,0)</f>
        <v>14890</v>
      </c>
      <c r="G85" s="4">
        <v>712</v>
      </c>
      <c r="H85" s="4">
        <f ca="1">T_Facebook_Ads[[#This Row],[spend]]*RANDBETWEEN(8,12)/10</f>
        <v>201.28</v>
      </c>
      <c r="I85" s="4">
        <f ca="1">ROUND(T_Facebook_Ads[[#This Row],[conversions]]*RANDBETWEEN(8,12)/10,0)</f>
        <v>47</v>
      </c>
      <c r="J85" s="4">
        <f ca="1">ROUND(T_Facebook_Ads[[#This Row],[video_views]]*RANDBETWEEN(8,12)/10,0)</f>
        <v>1262</v>
      </c>
      <c r="K85" s="4">
        <f ca="1">T_Facebook_Ads[[#This Row],[engagement_rate]]*RANDBETWEEN(8,12)/10</f>
        <v>4.3020000000000003E-2</v>
      </c>
      <c r="L85" s="4">
        <f ca="1">ROUND(T_Facebook_Ads[[#This Row],[reach]]*RANDBETWEEN(8,12)/10,0)</f>
        <v>12969</v>
      </c>
      <c r="M85" s="4">
        <f ca="1">T_Facebook_Ads[[#This Row],[frequency]]*RANDBETWEEN(8,12)/10</f>
        <v>1.3859999999999999</v>
      </c>
      <c r="O85" s="3">
        <f t="shared" ca="1" si="10"/>
        <v>45175</v>
      </c>
      <c r="P85" s="4" t="s">
        <v>80</v>
      </c>
      <c r="Q85" s="4" t="s">
        <v>81</v>
      </c>
      <c r="R85" s="4" t="s">
        <v>82</v>
      </c>
      <c r="S85" s="4" t="s">
        <v>83</v>
      </c>
      <c r="T85" s="4">
        <f ca="1">ROUND(_Google_ads[[#This Row],[impressions]]*RANDBETWEEN(8,12)/10,0)</f>
        <v>57468</v>
      </c>
      <c r="U85" s="4">
        <f ca="1">ROUND(_Google_ads[[#This Row],[clicks]]*RANDBETWEEN(8,12)/10,0)</f>
        <v>1076</v>
      </c>
      <c r="V85" s="4">
        <f ca="1">_Google_ads[[#This Row],[cost]]*RANDBETWEEN(8,12)/10</f>
        <v>674.85</v>
      </c>
      <c r="W85" s="4">
        <f ca="1">ROUND(_Google_ads[[#This Row],[conversions]]*RANDBETWEEN(8,12)/10,0)</f>
        <v>29</v>
      </c>
      <c r="X85" s="4">
        <f ca="1">ROUND(_Google_ads[[#This Row],[conversion_value]]*RANDBETWEEN(8,12)/10,0)</f>
        <v>1300</v>
      </c>
      <c r="Y85" s="4">
        <f ca="1">_Google_ads[[#This Row],[ctr]]*RANDBETWEEN(8,12)/10</f>
        <v>2.4480000000000002E-2</v>
      </c>
      <c r="Z85" s="4">
        <f ca="1">_Google_ads[[#This Row],[avg_cpc]]*RANDBETWEEN(8,12)/10</f>
        <v>0.63</v>
      </c>
      <c r="AA85" s="4">
        <f ca="1">ROUND(_Google_ads[[#This Row],[quality_score]]*RANDBETWEEN(8,12)/10,0)</f>
        <v>6</v>
      </c>
      <c r="AB85" s="4">
        <f ca="1">_Google_ads[[#This Row],[search_impression_share]]*RANDBETWEEN(8,12)/10</f>
        <v>0.36799999999999999</v>
      </c>
      <c r="AD85" s="3">
        <f t="shared" ca="1" si="11"/>
        <v>45174</v>
      </c>
      <c r="AE85" s="4" t="s">
        <v>104</v>
      </c>
      <c r="AF85" s="4" t="s">
        <v>105</v>
      </c>
      <c r="AG85" s="4" t="s">
        <v>106</v>
      </c>
      <c r="AH85" s="4" t="s">
        <v>107</v>
      </c>
      <c r="AI85" s="4">
        <f ca="1">ROUND(T_Tiktok_ads[[#This Row],[impressions]]*RANDBETWEEN(8,12)/10,0)</f>
        <v>172345</v>
      </c>
      <c r="AJ85" s="4">
        <f ca="1">ROUND(T_Tiktok_ads[[#This Row],[clicks]]*RANDBETWEEN(8,12)/10,0)</f>
        <v>3345</v>
      </c>
      <c r="AK85" s="4">
        <v>867.9</v>
      </c>
      <c r="AL85" s="4">
        <f ca="1">ROUND(T_Tiktok_ads[[#This Row],[conversions]]*RANDBETWEEN(8,12)/10,0)</f>
        <v>78</v>
      </c>
      <c r="AM85" s="4">
        <f ca="1">ROUND(T_Tiktok_ads[[#This Row],[video_views]]*RANDBETWEEN(8,12)/10,0)</f>
        <v>135802</v>
      </c>
      <c r="AN85" s="4">
        <f ca="1">ROUND(T_Tiktok_ads[[#This Row],[video_watch_25]]*RANDBETWEEN(8,12)/10,0)</f>
        <v>72987</v>
      </c>
      <c r="AO85" s="4">
        <f ca="1">ROUND(T_Tiktok_ads[[#This Row],[video_watch_50]]*RANDBETWEEN(8,12)/10,0)</f>
        <v>49254</v>
      </c>
      <c r="AP85" s="4">
        <f ca="1">ROUND(T_Tiktok_ads[[#This Row],[video_watch_75]]*RANDBETWEEN(8,12)/10,0)</f>
        <v>50857</v>
      </c>
      <c r="AQ85" s="4">
        <f ca="1">ROUND(T_Tiktok_ads[[#This Row],[video_watch_100]]*RANDBETWEEN(8,12)/10,0)</f>
        <v>30789</v>
      </c>
      <c r="AR85" s="4">
        <f ca="1">ROUND(T_Tiktok_ads[[#This Row],[likes]]*RANDBETWEEN(8,12)/10,0)</f>
        <v>7068</v>
      </c>
      <c r="AS85" s="4">
        <f ca="1">ROUND(T_Tiktok_ads[[#This Row],[shares]]*RANDBETWEEN(8,12)/10,0)</f>
        <v>1342</v>
      </c>
      <c r="AT85" s="4">
        <f ca="1">ROUND(T_Tiktok_ads[[#This Row],[comments]]*RANDBETWEEN(8,12)/10,0)</f>
        <v>401</v>
      </c>
      <c r="AV85" s="5">
        <f t="shared" ca="1" si="12"/>
        <v>45175</v>
      </c>
      <c r="AW85">
        <f t="shared" ca="1" si="13"/>
        <v>4</v>
      </c>
      <c r="AX85">
        <f ca="1">ROUND(T_Facebook_Ads115963677175798387[[#This Row],[impressions]]*RANDBETWEEN(8,12)/10,0)</f>
        <v>13401</v>
      </c>
      <c r="AY85">
        <f ca="1">ROUND(T_Facebook_Ads115963677175798387[[#This Row],[clicks]]*RANDBETWEEN(8,12)/10,0)</f>
        <v>712</v>
      </c>
      <c r="AZ85">
        <f ca="1">T_Facebook_Ads115963677175798387[[#This Row],[spend]]*RANDBETWEEN(8,12)/10</f>
        <v>181.15199999999999</v>
      </c>
      <c r="BA85">
        <f ca="1">ROUND(T_Facebook_Ads115963677175798387[[#This Row],[conversions]]*RANDBETWEEN(8,12)/10,0)</f>
        <v>56</v>
      </c>
      <c r="BB85">
        <f ca="1">ROUND(T_Facebook_Ads115963677175798387[[#This Row],[video_views]]*RANDBETWEEN(8,12)/10,0)</f>
        <v>1136</v>
      </c>
    </row>
    <row r="86" spans="1:54" ht="15.75" thickBot="1" x14ac:dyDescent="0.3">
      <c r="A86" s="3">
        <f t="shared" ca="1" si="9"/>
        <v>45192</v>
      </c>
      <c r="B86" s="4" t="s">
        <v>60</v>
      </c>
      <c r="C86" s="4" t="s">
        <v>61</v>
      </c>
      <c r="D86" s="4" t="s">
        <v>62</v>
      </c>
      <c r="E86" s="4" t="s">
        <v>63</v>
      </c>
      <c r="F86" s="4">
        <f ca="1">ROUND(T_Facebook_Ads[[#This Row],[impressions]]*RANDBETWEEN(8,12)/10,0)</f>
        <v>39234</v>
      </c>
      <c r="G86" s="4">
        <v>1489</v>
      </c>
      <c r="H86" s="4">
        <f ca="1">T_Facebook_Ads[[#This Row],[spend]]*RANDBETWEEN(8,12)/10</f>
        <v>250.69</v>
      </c>
      <c r="I86" s="4">
        <f ca="1">ROUND(T_Facebook_Ads[[#This Row],[conversions]]*RANDBETWEEN(8,12)/10,0)</f>
        <v>32</v>
      </c>
      <c r="J86" s="4">
        <f ca="1">ROUND(T_Facebook_Ads[[#This Row],[video_views]]*RANDBETWEEN(8,12)/10,0)</f>
        <v>4711</v>
      </c>
      <c r="K86" s="4">
        <f ca="1">T_Facebook_Ads[[#This Row],[engagement_rate]]*RANDBETWEEN(8,12)/10</f>
        <v>3.4110000000000001E-2</v>
      </c>
      <c r="L86" s="4">
        <f ca="1">ROUND(T_Facebook_Ads[[#This Row],[reach]]*RANDBETWEEN(8,12)/10,0)</f>
        <v>25698</v>
      </c>
      <c r="M86" s="4">
        <f ca="1">T_Facebook_Ads[[#This Row],[frequency]]*RANDBETWEEN(8,12)/10</f>
        <v>1.22</v>
      </c>
      <c r="O86" s="3">
        <f t="shared" ca="1" si="10"/>
        <v>45188</v>
      </c>
      <c r="P86" s="4" t="s">
        <v>84</v>
      </c>
      <c r="Q86" s="4" t="s">
        <v>85</v>
      </c>
      <c r="R86" s="4" t="s">
        <v>86</v>
      </c>
      <c r="S86" s="4" t="s">
        <v>87</v>
      </c>
      <c r="T86" s="4">
        <f ca="1">ROUND(_Google_ads[[#This Row],[impressions]]*RANDBETWEEN(8,12)/10,0)</f>
        <v>88147</v>
      </c>
      <c r="U86" s="4">
        <f ca="1">ROUND(_Google_ads[[#This Row],[clicks]]*RANDBETWEEN(8,12)/10,0)</f>
        <v>2251</v>
      </c>
      <c r="V86" s="4">
        <f ca="1">_Google_ads[[#This Row],[cost]]*RANDBETWEEN(8,12)/10</f>
        <v>365.36</v>
      </c>
      <c r="W86" s="4">
        <f ca="1">ROUND(_Google_ads[[#This Row],[conversions]]*RANDBETWEEN(8,12)/10,0)</f>
        <v>73</v>
      </c>
      <c r="X86" s="4">
        <f ca="1">ROUND(_Google_ads[[#This Row],[conversion_value]]*RANDBETWEEN(8,12)/10,0)</f>
        <v>4015</v>
      </c>
      <c r="Y86" s="4">
        <f ca="1">_Google_ads[[#This Row],[ctr]]*RANDBETWEEN(8,12)/10</f>
        <v>4.0800000000000003E-2</v>
      </c>
      <c r="Z86" s="4">
        <f ca="1">_Google_ads[[#This Row],[avg_cpc]]*RANDBETWEEN(8,12)/10</f>
        <v>0.18</v>
      </c>
      <c r="AA86" s="4">
        <f ca="1">ROUND(_Google_ads[[#This Row],[quality_score]]*RANDBETWEEN(8,12)/10,0)</f>
        <v>10</v>
      </c>
      <c r="AB86" s="4">
        <f ca="1">_Google_ads[[#This Row],[search_impression_share]]*RANDBETWEEN(8,12)/10</f>
        <v>0.82799999999999996</v>
      </c>
      <c r="AD86" s="3">
        <f t="shared" ca="1" si="11"/>
        <v>45187</v>
      </c>
      <c r="AE86" s="4" t="s">
        <v>108</v>
      </c>
      <c r="AF86" s="4" t="s">
        <v>109</v>
      </c>
      <c r="AG86" s="4" t="s">
        <v>110</v>
      </c>
      <c r="AH86" s="4" t="s">
        <v>111</v>
      </c>
      <c r="AI86" s="4">
        <f ca="1">ROUND(T_Tiktok_ads[[#This Row],[impressions]]*RANDBETWEEN(8,12)/10,0)</f>
        <v>321468</v>
      </c>
      <c r="AJ86" s="4">
        <f ca="1">ROUND(T_Tiktok_ads[[#This Row],[clicks]]*RANDBETWEEN(8,12)/10,0)</f>
        <v>4123</v>
      </c>
      <c r="AK86" s="4">
        <v>512.6</v>
      </c>
      <c r="AL86" s="4">
        <f ca="1">ROUND(T_Tiktok_ads[[#This Row],[conversions]]*RANDBETWEEN(8,12)/10,0)</f>
        <v>41</v>
      </c>
      <c r="AM86" s="4">
        <f ca="1">ROUND(T_Tiktok_ads[[#This Row],[video_views]]*RANDBETWEEN(8,12)/10,0)</f>
        <v>233580</v>
      </c>
      <c r="AN86" s="4">
        <f ca="1">ROUND(T_Tiktok_ads[[#This Row],[video_watch_25]]*RANDBETWEEN(8,12)/10,0)</f>
        <v>144211</v>
      </c>
      <c r="AO86" s="4">
        <f ca="1">ROUND(T_Tiktok_ads[[#This Row],[video_watch_50]]*RANDBETWEEN(8,12)/10,0)</f>
        <v>152147</v>
      </c>
      <c r="AP86" s="4">
        <f ca="1">ROUND(T_Tiktok_ads[[#This Row],[video_watch_75]]*RANDBETWEEN(8,12)/10,0)</f>
        <v>73111</v>
      </c>
      <c r="AQ86" s="4">
        <f ca="1">ROUND(T_Tiktok_ads[[#This Row],[video_watch_100]]*RANDBETWEEN(8,12)/10,0)</f>
        <v>54157</v>
      </c>
      <c r="AR86" s="4">
        <f ca="1">ROUND(T_Tiktok_ads[[#This Row],[likes]]*RANDBETWEEN(8,12)/10,0)</f>
        <v>7298</v>
      </c>
      <c r="AS86" s="4">
        <f ca="1">ROUND(T_Tiktok_ads[[#This Row],[shares]]*RANDBETWEEN(8,12)/10,0)</f>
        <v>3080</v>
      </c>
      <c r="AT86" s="4">
        <f ca="1">ROUND(T_Tiktok_ads[[#This Row],[comments]]*RANDBETWEEN(8,12)/10,0)</f>
        <v>490</v>
      </c>
      <c r="AV86" s="5">
        <f t="shared" ca="1" si="12"/>
        <v>45190</v>
      </c>
      <c r="AW86">
        <f t="shared" ca="1" si="13"/>
        <v>3</v>
      </c>
      <c r="AX86">
        <f ca="1">ROUND(T_Facebook_Ads115963677175798387[[#This Row],[impressions]]*RANDBETWEEN(8,12)/10,0)</f>
        <v>35311</v>
      </c>
      <c r="AY86">
        <f ca="1">ROUND(T_Facebook_Ads115963677175798387[[#This Row],[clicks]]*RANDBETWEEN(8,12)/10,0)</f>
        <v>1489</v>
      </c>
      <c r="AZ86">
        <f ca="1">T_Facebook_Ads115963677175798387[[#This Row],[spend]]*RANDBETWEEN(8,12)/10</f>
        <v>225.62100000000001</v>
      </c>
      <c r="BA86">
        <f ca="1">ROUND(T_Facebook_Ads115963677175798387[[#This Row],[conversions]]*RANDBETWEEN(8,12)/10,0)</f>
        <v>29</v>
      </c>
      <c r="BB86">
        <f ca="1">ROUND(T_Facebook_Ads115963677175798387[[#This Row],[video_views]]*RANDBETWEEN(8,12)/10,0)</f>
        <v>4711</v>
      </c>
    </row>
    <row r="87" spans="1:54" ht="15.75" thickBot="1" x14ac:dyDescent="0.3">
      <c r="A87" s="3">
        <f t="shared" ca="1" si="9"/>
        <v>45191</v>
      </c>
      <c r="B87" s="4" t="s">
        <v>64</v>
      </c>
      <c r="C87" s="4" t="s">
        <v>65</v>
      </c>
      <c r="D87" s="4" t="s">
        <v>66</v>
      </c>
      <c r="E87" s="4" t="s">
        <v>67</v>
      </c>
      <c r="F87" s="4">
        <f ca="1">ROUND(T_Facebook_Ads[[#This Row],[impressions]]*RANDBETWEEN(8,12)/10,0)</f>
        <v>67110</v>
      </c>
      <c r="G87" s="4">
        <v>267</v>
      </c>
      <c r="H87" s="4">
        <f ca="1">T_Facebook_Ads[[#This Row],[spend]]*RANDBETWEEN(8,12)/10</f>
        <v>86.22</v>
      </c>
      <c r="I87" s="4">
        <f ca="1">ROUND(T_Facebook_Ads[[#This Row],[conversions]]*RANDBETWEEN(8,12)/10,0)</f>
        <v>7</v>
      </c>
      <c r="J87" s="4">
        <f ca="1">ROUND(T_Facebook_Ads[[#This Row],[video_views]]*RANDBETWEEN(8,12)/10,0)</f>
        <v>45211</v>
      </c>
      <c r="K87" s="4">
        <f ca="1">T_Facebook_Ads[[#This Row],[engagement_rate]]*RANDBETWEEN(8,12)/10</f>
        <v>3.2399999999999998E-3</v>
      </c>
      <c r="L87" s="4">
        <f ca="1">ROUND(T_Facebook_Ads[[#This Row],[reach]]*RANDBETWEEN(8,12)/10,0)</f>
        <v>66868</v>
      </c>
      <c r="M87" s="4">
        <f ca="1">T_Facebook_Ads[[#This Row],[frequency]]*RANDBETWEEN(8,12)/10</f>
        <v>1.353</v>
      </c>
      <c r="O87" s="3">
        <f t="shared" ca="1" si="10"/>
        <v>45199</v>
      </c>
      <c r="P87" s="4" t="s">
        <v>88</v>
      </c>
      <c r="Q87" s="4" t="s">
        <v>89</v>
      </c>
      <c r="R87" s="4" t="s">
        <v>90</v>
      </c>
      <c r="S87" s="4" t="s">
        <v>59</v>
      </c>
      <c r="T87" s="4">
        <f ca="1">ROUND(_Google_ads[[#This Row],[impressions]]*RANDBETWEEN(8,12)/10,0)</f>
        <v>167081</v>
      </c>
      <c r="U87" s="4">
        <f ca="1">ROUND(_Google_ads[[#This Row],[clicks]]*RANDBETWEEN(8,12)/10,0)</f>
        <v>418</v>
      </c>
      <c r="V87" s="4">
        <f ca="1">_Google_ads[[#This Row],[cost]]*RANDBETWEEN(8,12)/10</f>
        <v>164.16000000000003</v>
      </c>
      <c r="W87" s="4">
        <f ca="1">ROUND(_Google_ads[[#This Row],[conversions]]*RANDBETWEEN(8,12)/10,0)</f>
        <v>14</v>
      </c>
      <c r="X87" s="4">
        <f ca="1">ROUND(_Google_ads[[#This Row],[conversion_value]]*RANDBETWEEN(8,12)/10,0)</f>
        <v>900</v>
      </c>
      <c r="Y87" s="4">
        <f ca="1">_Google_ads[[#This Row],[ctr]]*RANDBETWEEN(8,12)/10</f>
        <v>3.8E-3</v>
      </c>
      <c r="Z87" s="4">
        <f ca="1">_Google_ads[[#This Row],[avg_cpc]]*RANDBETWEEN(8,12)/10</f>
        <v>0.28600000000000003</v>
      </c>
      <c r="AA87" s="4">
        <f ca="1">ROUND(_Google_ads[[#This Row],[quality_score]]*RANDBETWEEN(8,12)/10,0)</f>
        <v>8</v>
      </c>
      <c r="AB87" s="4">
        <f ca="1">_Google_ads[[#This Row],[search_impression_share]]*RANDBETWEEN(8,12)/10</f>
        <v>0.36</v>
      </c>
      <c r="AD87" s="3">
        <f t="shared" ca="1" si="11"/>
        <v>45196</v>
      </c>
      <c r="AE87" s="4" t="s">
        <v>112</v>
      </c>
      <c r="AF87" s="4" t="s">
        <v>113</v>
      </c>
      <c r="AG87" s="4" t="s">
        <v>114</v>
      </c>
      <c r="AH87" s="4" t="s">
        <v>115</v>
      </c>
      <c r="AI87" s="4">
        <f ca="1">ROUND(T_Tiktok_ads[[#This Row],[impressions]]*RANDBETWEEN(8,12)/10,0)</f>
        <v>365431</v>
      </c>
      <c r="AJ87" s="4">
        <f ca="1">ROUND(T_Tiktok_ads[[#This Row],[clicks]]*RANDBETWEEN(8,12)/10,0)</f>
        <v>6710</v>
      </c>
      <c r="AK87" s="4">
        <v>1167.8</v>
      </c>
      <c r="AL87" s="4">
        <f ca="1">ROUND(T_Tiktok_ads[[#This Row],[conversions]]*RANDBETWEEN(8,12)/10,0)</f>
        <v>106</v>
      </c>
      <c r="AM87" s="4">
        <f ca="1">ROUND(T_Tiktok_ads[[#This Row],[video_views]]*RANDBETWEEN(8,12)/10,0)</f>
        <v>311210</v>
      </c>
      <c r="AN87" s="4">
        <f ca="1">ROUND(T_Tiktok_ads[[#This Row],[video_watch_25]]*RANDBETWEEN(8,12)/10,0)</f>
        <v>312345</v>
      </c>
      <c r="AO87" s="4">
        <f ca="1">ROUND(T_Tiktok_ads[[#This Row],[video_watch_50]]*RANDBETWEEN(8,12)/10,0)</f>
        <v>199387</v>
      </c>
      <c r="AP87" s="4">
        <f ca="1">ROUND(T_Tiktok_ads[[#This Row],[video_watch_75]]*RANDBETWEEN(8,12)/10,0)</f>
        <v>142312</v>
      </c>
      <c r="AQ87" s="4">
        <f ca="1">ROUND(T_Tiktok_ads[[#This Row],[video_watch_100]]*RANDBETWEEN(8,12)/10,0)</f>
        <v>94587</v>
      </c>
      <c r="AR87" s="4">
        <f ca="1">ROUND(T_Tiktok_ads[[#This Row],[likes]]*RANDBETWEEN(8,12)/10,0)</f>
        <v>16187</v>
      </c>
      <c r="AS87" s="4">
        <f ca="1">ROUND(T_Tiktok_ads[[#This Row],[shares]]*RANDBETWEEN(8,12)/10,0)</f>
        <v>6503</v>
      </c>
      <c r="AT87" s="4">
        <f ca="1">ROUND(T_Tiktok_ads[[#This Row],[comments]]*RANDBETWEEN(8,12)/10,0)</f>
        <v>1298</v>
      </c>
      <c r="AV87" s="5">
        <f t="shared" ca="1" si="12"/>
        <v>45188</v>
      </c>
      <c r="AW87">
        <f t="shared" ca="1" si="13"/>
        <v>6</v>
      </c>
      <c r="AX87">
        <f ca="1">ROUND(T_Facebook_Ads115963677175798387[[#This Row],[impressions]]*RANDBETWEEN(8,12)/10,0)</f>
        <v>60399</v>
      </c>
      <c r="AY87">
        <f ca="1">ROUND(T_Facebook_Ads115963677175798387[[#This Row],[clicks]]*RANDBETWEEN(8,12)/10,0)</f>
        <v>294</v>
      </c>
      <c r="AZ87">
        <f ca="1">T_Facebook_Ads115963677175798387[[#This Row],[spend]]*RANDBETWEEN(8,12)/10</f>
        <v>94.841999999999999</v>
      </c>
      <c r="BA87">
        <f ca="1">ROUND(T_Facebook_Ads115963677175798387[[#This Row],[conversions]]*RANDBETWEEN(8,12)/10,0)</f>
        <v>6</v>
      </c>
      <c r="BB87">
        <f ca="1">ROUND(T_Facebook_Ads115963677175798387[[#This Row],[video_views]]*RANDBETWEEN(8,12)/10,0)</f>
        <v>49732</v>
      </c>
    </row>
    <row r="88" spans="1:54" ht="15.75" thickBot="1" x14ac:dyDescent="0.3">
      <c r="A88" s="3">
        <f t="shared" ca="1" si="9"/>
        <v>45193</v>
      </c>
      <c r="B88" s="4" t="s">
        <v>52</v>
      </c>
      <c r="C88" s="4" t="s">
        <v>53</v>
      </c>
      <c r="D88" s="4" t="s">
        <v>54</v>
      </c>
      <c r="E88" s="4" t="s">
        <v>55</v>
      </c>
      <c r="F88" s="4">
        <f ca="1">ROUND(T_Facebook_Ads[[#This Row],[impressions]]*RANDBETWEEN(8,12)/10,0)</f>
        <v>47510</v>
      </c>
      <c r="G88" s="4">
        <v>1123</v>
      </c>
      <c r="H88" s="4">
        <f ca="1">T_Facebook_Ads[[#This Row],[spend]]*RANDBETWEEN(8,12)/10</f>
        <v>156.4</v>
      </c>
      <c r="I88" s="4">
        <f ca="1">ROUND(T_Facebook_Ads[[#This Row],[conversions]]*RANDBETWEEN(8,12)/10,0)</f>
        <v>20</v>
      </c>
      <c r="J88" s="4">
        <f ca="1">ROUND(T_Facebook_Ads[[#This Row],[video_views]]*RANDBETWEEN(8,12)/10,0)</f>
        <v>11480</v>
      </c>
      <c r="K88" s="4">
        <f ca="1">T_Facebook_Ads[[#This Row],[engagement_rate]]*RANDBETWEEN(8,12)/10</f>
        <v>2.3429999999999999E-2</v>
      </c>
      <c r="L88" s="4">
        <f ca="1">ROUND(T_Facebook_Ads[[#This Row],[reach]]*RANDBETWEEN(8,12)/10,0)</f>
        <v>43890</v>
      </c>
      <c r="M88" s="4">
        <f ca="1">T_Facebook_Ads[[#This Row],[frequency]]*RANDBETWEEN(8,12)/10</f>
        <v>1.2</v>
      </c>
      <c r="O88" s="3">
        <f t="shared" ca="1" si="10"/>
        <v>45182</v>
      </c>
      <c r="P88" s="4" t="s">
        <v>76</v>
      </c>
      <c r="Q88" s="4" t="s">
        <v>77</v>
      </c>
      <c r="R88" s="4" t="s">
        <v>78</v>
      </c>
      <c r="S88" s="4" t="s">
        <v>79</v>
      </c>
      <c r="T88" s="4">
        <f ca="1">ROUND(_Google_ads[[#This Row],[impressions]]*RANDBETWEEN(8,12)/10,0)</f>
        <v>33881</v>
      </c>
      <c r="U88" s="4">
        <f ca="1">ROUND(_Google_ads[[#This Row],[clicks]]*RANDBETWEEN(8,12)/10,0)</f>
        <v>1663</v>
      </c>
      <c r="V88" s="4">
        <f ca="1">_Google_ads[[#This Row],[cost]]*RANDBETWEEN(8,12)/10</f>
        <v>230.08</v>
      </c>
      <c r="W88" s="4">
        <f ca="1">ROUND(_Google_ads[[#This Row],[conversions]]*RANDBETWEEN(8,12)/10,0)</f>
        <v>70</v>
      </c>
      <c r="X88" s="4">
        <f ca="1">ROUND(_Google_ads[[#This Row],[conversion_value]]*RANDBETWEEN(8,12)/10,0)</f>
        <v>3190</v>
      </c>
      <c r="Y88" s="4">
        <f ca="1">_Google_ads[[#This Row],[ctr]]*RANDBETWEEN(8,12)/10</f>
        <v>5.885E-2</v>
      </c>
      <c r="Z88" s="4">
        <f ca="1">_Google_ads[[#This Row],[avg_cpc]]*RANDBETWEEN(8,12)/10</f>
        <v>0.17099999999999999</v>
      </c>
      <c r="AA88" s="4">
        <f ca="1">ROUND(_Google_ads[[#This Row],[quality_score]]*RANDBETWEEN(8,12)/10,0)</f>
        <v>7</v>
      </c>
      <c r="AB88" s="4">
        <f ca="1">_Google_ads[[#This Row],[search_impression_share]]*RANDBETWEEN(8,12)/10</f>
        <v>1.1279999999999999</v>
      </c>
      <c r="AD88" s="3">
        <f t="shared" ca="1" si="11"/>
        <v>45192</v>
      </c>
      <c r="AE88" s="4" t="s">
        <v>100</v>
      </c>
      <c r="AF88" s="4" t="s">
        <v>101</v>
      </c>
      <c r="AG88" s="4" t="s">
        <v>102</v>
      </c>
      <c r="AH88" s="4" t="s">
        <v>103</v>
      </c>
      <c r="AI88" s="4">
        <f ca="1">ROUND(T_Tiktok_ads[[#This Row],[impressions]]*RANDBETWEEN(8,12)/10,0)</f>
        <v>355802</v>
      </c>
      <c r="AJ88" s="4">
        <f ca="1">ROUND(T_Tiktok_ads[[#This Row],[clicks]]*RANDBETWEEN(8,12)/10,0)</f>
        <v>4310</v>
      </c>
      <c r="AK88" s="4">
        <v>645.70000000000005</v>
      </c>
      <c r="AL88" s="4">
        <f ca="1">ROUND(T_Tiktok_ads[[#This Row],[conversions]]*RANDBETWEEN(8,12)/10,0)</f>
        <v>45</v>
      </c>
      <c r="AM88" s="4">
        <f ca="1">ROUND(T_Tiktok_ads[[#This Row],[video_views]]*RANDBETWEEN(8,12)/10,0)</f>
        <v>267890</v>
      </c>
      <c r="AN88" s="4">
        <f ca="1">ROUND(T_Tiktok_ads[[#This Row],[video_watch_25]]*RANDBETWEEN(8,12)/10,0)</f>
        <v>250681</v>
      </c>
      <c r="AO88" s="4">
        <f ca="1">ROUND(T_Tiktok_ads[[#This Row],[video_watch_50]]*RANDBETWEEN(8,12)/10,0)</f>
        <v>144357</v>
      </c>
      <c r="AP88" s="4">
        <f ca="1">ROUND(T_Tiktok_ads[[#This Row],[video_watch_75]]*RANDBETWEEN(8,12)/10,0)</f>
        <v>79411</v>
      </c>
      <c r="AQ88" s="4">
        <f ca="1">ROUND(T_Tiktok_ads[[#This Row],[video_watch_100]]*RANDBETWEEN(8,12)/10,0)</f>
        <v>47121</v>
      </c>
      <c r="AR88" s="4">
        <f ca="1">ROUND(T_Tiktok_ads[[#This Row],[likes]]*RANDBETWEEN(8,12)/10,0)</f>
        <v>9254</v>
      </c>
      <c r="AS88" s="4">
        <f ca="1">ROUND(T_Tiktok_ads[[#This Row],[shares]]*RANDBETWEEN(8,12)/10,0)</f>
        <v>2821</v>
      </c>
      <c r="AT88" s="4">
        <f ca="1">ROUND(T_Tiktok_ads[[#This Row],[comments]]*RANDBETWEEN(8,12)/10,0)</f>
        <v>807</v>
      </c>
      <c r="AV88" s="5">
        <f t="shared" ca="1" si="12"/>
        <v>45199</v>
      </c>
      <c r="AW88">
        <f t="shared" ca="1" si="13"/>
        <v>8</v>
      </c>
      <c r="AX88">
        <f ca="1">ROUND(T_Facebook_Ads115963677175798387[[#This Row],[impressions]]*RANDBETWEEN(8,12)/10,0)</f>
        <v>57012</v>
      </c>
      <c r="AY88">
        <f ca="1">ROUND(T_Facebook_Ads115963677175798387[[#This Row],[clicks]]*RANDBETWEEN(8,12)/10,0)</f>
        <v>898</v>
      </c>
      <c r="AZ88">
        <f ca="1">T_Facebook_Ads115963677175798387[[#This Row],[spend]]*RANDBETWEEN(8,12)/10</f>
        <v>187.68</v>
      </c>
      <c r="BA88">
        <f ca="1">ROUND(T_Facebook_Ads115963677175798387[[#This Row],[conversions]]*RANDBETWEEN(8,12)/10,0)</f>
        <v>24</v>
      </c>
      <c r="BB88">
        <f ca="1">ROUND(T_Facebook_Ads115963677175798387[[#This Row],[video_views]]*RANDBETWEEN(8,12)/10,0)</f>
        <v>9184</v>
      </c>
    </row>
    <row r="89" spans="1:54" ht="15.75" thickBot="1" x14ac:dyDescent="0.3">
      <c r="A89" s="3">
        <f t="shared" ca="1" si="9"/>
        <v>45199</v>
      </c>
      <c r="B89" s="4" t="s">
        <v>56</v>
      </c>
      <c r="C89" s="4" t="s">
        <v>57</v>
      </c>
      <c r="D89" s="4" t="s">
        <v>58</v>
      </c>
      <c r="E89" s="4" t="s">
        <v>59</v>
      </c>
      <c r="F89" s="4">
        <f ca="1">ROUND(T_Facebook_Ads[[#This Row],[impressions]]*RANDBETWEEN(8,12)/10,0)</f>
        <v>18814</v>
      </c>
      <c r="G89" s="4">
        <v>756</v>
      </c>
      <c r="H89" s="4">
        <f ca="1">T_Facebook_Ads[[#This Row],[spend]]*RANDBETWEEN(8,12)/10</f>
        <v>322.67999999999995</v>
      </c>
      <c r="I89" s="4">
        <f ca="1">ROUND(T_Facebook_Ads[[#This Row],[conversions]]*RANDBETWEEN(8,12)/10,0)</f>
        <v>52</v>
      </c>
      <c r="J89" s="4">
        <f ca="1">ROUND(T_Facebook_Ads[[#This Row],[video_views]]*RANDBETWEEN(8,12)/10,0)</f>
        <v>1678</v>
      </c>
      <c r="K89" s="4">
        <f ca="1">T_Facebook_Ads[[#This Row],[engagement_rate]]*RANDBETWEEN(8,12)/10</f>
        <v>5.3019999999999998E-2</v>
      </c>
      <c r="L89" s="4">
        <f ca="1">ROUND(T_Facebook_Ads[[#This Row],[reach]]*RANDBETWEEN(8,12)/10,0)</f>
        <v>13580</v>
      </c>
      <c r="M89" s="4">
        <f ca="1">T_Facebook_Ads[[#This Row],[frequency]]*RANDBETWEEN(8,12)/10</f>
        <v>1.143</v>
      </c>
      <c r="O89" s="3">
        <f t="shared" ca="1" si="10"/>
        <v>45182</v>
      </c>
      <c r="P89" s="4" t="s">
        <v>80</v>
      </c>
      <c r="Q89" s="4" t="s">
        <v>81</v>
      </c>
      <c r="R89" s="4" t="s">
        <v>82</v>
      </c>
      <c r="S89" s="4" t="s">
        <v>83</v>
      </c>
      <c r="T89" s="4">
        <f ca="1">ROUND(_Google_ads[[#This Row],[impressions]]*RANDBETWEEN(8,12)/10,0)</f>
        <v>44610</v>
      </c>
      <c r="U89" s="4">
        <f ca="1">ROUND(_Google_ads[[#This Row],[clicks]]*RANDBETWEEN(8,12)/10,0)</f>
        <v>911</v>
      </c>
      <c r="V89" s="4">
        <f ca="1">_Google_ads[[#This Row],[cost]]*RANDBETWEEN(8,12)/10</f>
        <v>507.36</v>
      </c>
      <c r="W89" s="4">
        <f ca="1">ROUND(_Google_ads[[#This Row],[conversions]]*RANDBETWEEN(8,12)/10,0)</f>
        <v>32</v>
      </c>
      <c r="X89" s="4">
        <f ca="1">ROUND(_Google_ads[[#This Row],[conversion_value]]*RANDBETWEEN(8,12)/10,0)</f>
        <v>1350</v>
      </c>
      <c r="Y89" s="4">
        <f ca="1">_Google_ads[[#This Row],[ctr]]*RANDBETWEEN(8,12)/10</f>
        <v>2.0400000000000001E-2</v>
      </c>
      <c r="Z89" s="4">
        <f ca="1">_Google_ads[[#This Row],[avg_cpc]]*RANDBETWEEN(8,12)/10</f>
        <v>0.69299999999999995</v>
      </c>
      <c r="AA89" s="4">
        <f ca="1">ROUND(_Google_ads[[#This Row],[quality_score]]*RANDBETWEEN(8,12)/10,0)</f>
        <v>6</v>
      </c>
      <c r="AB89" s="4">
        <f ca="1">_Google_ads[[#This Row],[search_impression_share]]*RANDBETWEEN(8,12)/10</f>
        <v>0.46999999999999992</v>
      </c>
      <c r="AD89" s="3">
        <f t="shared" ca="1" si="11"/>
        <v>45172</v>
      </c>
      <c r="AE89" s="4" t="s">
        <v>104</v>
      </c>
      <c r="AF89" s="4" t="s">
        <v>105</v>
      </c>
      <c r="AG89" s="4" t="s">
        <v>106</v>
      </c>
      <c r="AH89" s="4" t="s">
        <v>107</v>
      </c>
      <c r="AI89" s="4">
        <f ca="1">ROUND(T_Tiktok_ads[[#This Row],[impressions]]*RANDBETWEEN(8,12)/10,0)</f>
        <v>178901</v>
      </c>
      <c r="AJ89" s="4">
        <f ca="1">ROUND(T_Tiktok_ads[[#This Row],[clicks]]*RANDBETWEEN(8,12)/10,0)</f>
        <v>2765</v>
      </c>
      <c r="AK89" s="4">
        <v>889.5</v>
      </c>
      <c r="AL89" s="4">
        <f ca="1">ROUND(T_Tiktok_ads[[#This Row],[conversions]]*RANDBETWEEN(8,12)/10,0)</f>
        <v>89</v>
      </c>
      <c r="AM89" s="4">
        <f ca="1">ROUND(T_Tiktok_ads[[#This Row],[video_views]]*RANDBETWEEN(8,12)/10,0)</f>
        <v>103121</v>
      </c>
      <c r="AN89" s="4">
        <f ca="1">ROUND(T_Tiktok_ads[[#This Row],[video_watch_25]]*RANDBETWEEN(8,12)/10,0)</f>
        <v>86110</v>
      </c>
      <c r="AO89" s="4">
        <f ca="1">ROUND(T_Tiktok_ads[[#This Row],[video_watch_50]]*RANDBETWEEN(8,12)/10,0)</f>
        <v>58110</v>
      </c>
      <c r="AP89" s="4">
        <f ca="1">ROUND(T_Tiktok_ads[[#This Row],[video_watch_75]]*RANDBETWEEN(8,12)/10,0)</f>
        <v>53424</v>
      </c>
      <c r="AQ89" s="4">
        <f ca="1">ROUND(T_Tiktok_ads[[#This Row],[video_watch_100]]*RANDBETWEEN(8,12)/10,0)</f>
        <v>32345</v>
      </c>
      <c r="AR89" s="4">
        <f ca="1">ROUND(T_Tiktok_ads[[#This Row],[likes]]*RANDBETWEEN(8,12)/10,0)</f>
        <v>6123</v>
      </c>
      <c r="AS89" s="4">
        <f ca="1">ROUND(T_Tiktok_ads[[#This Row],[shares]]*RANDBETWEEN(8,12)/10,0)</f>
        <v>1387</v>
      </c>
      <c r="AT89" s="4">
        <f ca="1">ROUND(T_Tiktok_ads[[#This Row],[comments]]*RANDBETWEEN(8,12)/10,0)</f>
        <v>276</v>
      </c>
      <c r="AV89" s="5">
        <f t="shared" ca="1" si="12"/>
        <v>45197</v>
      </c>
      <c r="AW89">
        <f t="shared" ca="1" si="13"/>
        <v>2</v>
      </c>
      <c r="AX89">
        <f ca="1">ROUND(T_Facebook_Ads115963677175798387[[#This Row],[impressions]]*RANDBETWEEN(8,12)/10,0)</f>
        <v>16933</v>
      </c>
      <c r="AY89">
        <f ca="1">ROUND(T_Facebook_Ads115963677175798387[[#This Row],[clicks]]*RANDBETWEEN(8,12)/10,0)</f>
        <v>680</v>
      </c>
      <c r="AZ89">
        <f ca="1">T_Facebook_Ads115963677175798387[[#This Row],[spend]]*RANDBETWEEN(8,12)/10</f>
        <v>322.67999999999995</v>
      </c>
      <c r="BA89">
        <f ca="1">ROUND(T_Facebook_Ads115963677175798387[[#This Row],[conversions]]*RANDBETWEEN(8,12)/10,0)</f>
        <v>47</v>
      </c>
      <c r="BB89">
        <f ca="1">ROUND(T_Facebook_Ads115963677175798387[[#This Row],[video_views]]*RANDBETWEEN(8,12)/10,0)</f>
        <v>2014</v>
      </c>
    </row>
    <row r="90" spans="1:54" ht="15.75" thickBot="1" x14ac:dyDescent="0.3">
      <c r="A90" s="3">
        <f t="shared" ca="1" si="9"/>
        <v>45174</v>
      </c>
      <c r="B90" s="4" t="s">
        <v>60</v>
      </c>
      <c r="C90" s="4" t="s">
        <v>61</v>
      </c>
      <c r="D90" s="4" t="s">
        <v>62</v>
      </c>
      <c r="E90" s="4" t="s">
        <v>63</v>
      </c>
      <c r="F90" s="4">
        <f ca="1">ROUND(T_Facebook_Ads[[#This Row],[impressions]]*RANDBETWEEN(8,12)/10,0)</f>
        <v>44624</v>
      </c>
      <c r="G90" s="4">
        <v>1567</v>
      </c>
      <c r="H90" s="4">
        <f ca="1">T_Facebook_Ads[[#This Row],[spend]]*RANDBETWEEN(8,12)/10</f>
        <v>238.6</v>
      </c>
      <c r="I90" s="4">
        <f ca="1">ROUND(T_Facebook_Ads[[#This Row],[conversions]]*RANDBETWEEN(8,12)/10,0)</f>
        <v>37</v>
      </c>
      <c r="J90" s="4">
        <f ca="1">ROUND(T_Facebook_Ads[[#This Row],[video_views]]*RANDBETWEEN(8,12)/10,0)</f>
        <v>4910</v>
      </c>
      <c r="K90" s="4">
        <f ca="1">T_Facebook_Ads[[#This Row],[engagement_rate]]*RANDBETWEEN(8,12)/10</f>
        <v>3.0880000000000001E-2</v>
      </c>
      <c r="L90" s="4">
        <f ca="1">ROUND(T_Facebook_Ads[[#This Row],[reach]]*RANDBETWEEN(8,12)/10,0)</f>
        <v>29911</v>
      </c>
      <c r="M90" s="4">
        <f ca="1">T_Facebook_Ads[[#This Row],[frequency]]*RANDBETWEEN(8,12)/10</f>
        <v>0.97599999999999998</v>
      </c>
      <c r="O90" s="3">
        <f t="shared" ca="1" si="10"/>
        <v>45189</v>
      </c>
      <c r="P90" s="4" t="s">
        <v>84</v>
      </c>
      <c r="Q90" s="4" t="s">
        <v>85</v>
      </c>
      <c r="R90" s="4" t="s">
        <v>86</v>
      </c>
      <c r="S90" s="4" t="s">
        <v>87</v>
      </c>
      <c r="T90" s="4">
        <f ca="1">ROUND(_Google_ads[[#This Row],[impressions]]*RANDBETWEEN(8,12)/10,0)</f>
        <v>90281</v>
      </c>
      <c r="U90" s="4">
        <f ca="1">ROUND(_Google_ads[[#This Row],[clicks]]*RANDBETWEEN(8,12)/10,0)</f>
        <v>3080</v>
      </c>
      <c r="V90" s="4">
        <f ca="1">_Google_ads[[#This Row],[cost]]*RANDBETWEEN(8,12)/10</f>
        <v>374.24</v>
      </c>
      <c r="W90" s="4">
        <f ca="1">ROUND(_Google_ads[[#This Row],[conversions]]*RANDBETWEEN(8,12)/10,0)</f>
        <v>83</v>
      </c>
      <c r="X90" s="4">
        <f ca="1">ROUND(_Google_ads[[#This Row],[conversion_value]]*RANDBETWEEN(8,12)/10,0)</f>
        <v>3000</v>
      </c>
      <c r="Y90" s="4">
        <f ca="1">_Google_ads[[#This Row],[ctr]]*RANDBETWEEN(8,12)/10</f>
        <v>3.4099999999999998E-2</v>
      </c>
      <c r="Z90" s="4">
        <f ca="1">_Google_ads[[#This Row],[avg_cpc]]*RANDBETWEEN(8,12)/10</f>
        <v>0.18</v>
      </c>
      <c r="AA90" s="4">
        <f ca="1">ROUND(_Google_ads[[#This Row],[quality_score]]*RANDBETWEEN(8,12)/10,0)</f>
        <v>6</v>
      </c>
      <c r="AB90" s="4">
        <f ca="1">_Google_ads[[#This Row],[search_impression_share]]*RANDBETWEEN(8,12)/10</f>
        <v>0.55999999999999994</v>
      </c>
      <c r="AD90" s="3">
        <f t="shared" ca="1" si="11"/>
        <v>45176</v>
      </c>
      <c r="AE90" s="4" t="s">
        <v>108</v>
      </c>
      <c r="AF90" s="4" t="s">
        <v>109</v>
      </c>
      <c r="AG90" s="4" t="s">
        <v>110</v>
      </c>
      <c r="AH90" s="4" t="s">
        <v>111</v>
      </c>
      <c r="AI90" s="4">
        <f ca="1">ROUND(T_Tiktok_ads[[#This Row],[impressions]]*RANDBETWEEN(8,12)/10,0)</f>
        <v>334681</v>
      </c>
      <c r="AJ90" s="4">
        <f ca="1">ROUND(T_Tiktok_ads[[#This Row],[clicks]]*RANDBETWEEN(8,12)/10,0)</f>
        <v>3387</v>
      </c>
      <c r="AK90" s="4">
        <v>534.20000000000005</v>
      </c>
      <c r="AL90" s="4">
        <f ca="1">ROUND(T_Tiktok_ads[[#This Row],[conversions]]*RANDBETWEEN(8,12)/10,0)</f>
        <v>35</v>
      </c>
      <c r="AM90" s="4">
        <f ca="1">ROUND(T_Tiktok_ads[[#This Row],[video_views]]*RANDBETWEEN(8,12)/10,0)</f>
        <v>268147</v>
      </c>
      <c r="AN90" s="4">
        <f ca="1">ROUND(T_Tiktok_ads[[#This Row],[video_watch_25]]*RANDBETWEEN(8,12)/10,0)</f>
        <v>202681</v>
      </c>
      <c r="AO90" s="4">
        <f ca="1">ROUND(T_Tiktok_ads[[#This Row],[video_watch_50]]*RANDBETWEEN(8,12)/10,0)</f>
        <v>146802</v>
      </c>
      <c r="AP90" s="4">
        <f ca="1">ROUND(T_Tiktok_ads[[#This Row],[video_watch_75]]*RANDBETWEEN(8,12)/10,0)</f>
        <v>77110</v>
      </c>
      <c r="AQ90" s="4">
        <f ca="1">ROUND(T_Tiktok_ads[[#This Row],[video_watch_100]]*RANDBETWEEN(8,12)/10,0)</f>
        <v>56968</v>
      </c>
      <c r="AR90" s="4">
        <f ca="1">ROUND(T_Tiktok_ads[[#This Row],[likes]]*RANDBETWEEN(8,12)/10,0)</f>
        <v>11347</v>
      </c>
      <c r="AS90" s="4">
        <f ca="1">ROUND(T_Tiktok_ads[[#This Row],[shares]]*RANDBETWEEN(8,12)/10,0)</f>
        <v>2107</v>
      </c>
      <c r="AT90" s="4">
        <f ca="1">ROUND(T_Tiktok_ads[[#This Row],[comments]]*RANDBETWEEN(8,12)/10,0)</f>
        <v>498</v>
      </c>
      <c r="AV90" s="5">
        <f t="shared" ca="1" si="12"/>
        <v>45187</v>
      </c>
      <c r="AW90">
        <f t="shared" ca="1" si="13"/>
        <v>6</v>
      </c>
      <c r="AX90">
        <f ca="1">ROUND(T_Facebook_Ads115963677175798387[[#This Row],[impressions]]*RANDBETWEEN(8,12)/10,0)</f>
        <v>35699</v>
      </c>
      <c r="AY90">
        <f ca="1">ROUND(T_Facebook_Ads115963677175798387[[#This Row],[clicks]]*RANDBETWEEN(8,12)/10,0)</f>
        <v>1724</v>
      </c>
      <c r="AZ90">
        <f ca="1">T_Facebook_Ads115963677175798387[[#This Row],[spend]]*RANDBETWEEN(8,12)/10</f>
        <v>214.74</v>
      </c>
      <c r="BA90">
        <f ca="1">ROUND(T_Facebook_Ads115963677175798387[[#This Row],[conversions]]*RANDBETWEEN(8,12)/10,0)</f>
        <v>44</v>
      </c>
      <c r="BB90">
        <f ca="1">ROUND(T_Facebook_Ads115963677175798387[[#This Row],[video_views]]*RANDBETWEEN(8,12)/10,0)</f>
        <v>5401</v>
      </c>
    </row>
    <row r="91" spans="1:54" ht="15.75" thickBot="1" x14ac:dyDescent="0.3">
      <c r="A91" s="3">
        <f t="shared" ca="1" si="9"/>
        <v>45192</v>
      </c>
      <c r="B91" s="4" t="s">
        <v>64</v>
      </c>
      <c r="C91" s="4" t="s">
        <v>65</v>
      </c>
      <c r="D91" s="4" t="s">
        <v>66</v>
      </c>
      <c r="E91" s="4" t="s">
        <v>67</v>
      </c>
      <c r="F91" s="4">
        <f ca="1">ROUND(T_Facebook_Ads[[#This Row],[impressions]]*RANDBETWEEN(8,12)/10,0)</f>
        <v>69201</v>
      </c>
      <c r="G91" s="4">
        <v>278</v>
      </c>
      <c r="H91" s="4">
        <f ca="1">T_Facebook_Ads[[#This Row],[spend]]*RANDBETWEEN(8,12)/10</f>
        <v>119.04</v>
      </c>
      <c r="I91" s="4">
        <f ca="1">ROUND(T_Facebook_Ads[[#This Row],[conversions]]*RANDBETWEEN(8,12)/10,0)</f>
        <v>8</v>
      </c>
      <c r="J91" s="4">
        <f ca="1">ROUND(T_Facebook_Ads[[#This Row],[video_views]]*RANDBETWEEN(8,12)/10,0)</f>
        <v>41254</v>
      </c>
      <c r="K91" s="4">
        <f ca="1">T_Facebook_Ads[[#This Row],[engagement_rate]]*RANDBETWEEN(8,12)/10</f>
        <v>3.2399999999999998E-3</v>
      </c>
      <c r="L91" s="4">
        <f ca="1">ROUND(T_Facebook_Ads[[#This Row],[reach]]*RANDBETWEEN(8,12)/10,0)</f>
        <v>75468</v>
      </c>
      <c r="M91" s="4">
        <f ca="1">T_Facebook_Ads[[#This Row],[frequency]]*RANDBETWEEN(8,12)/10</f>
        <v>1.476</v>
      </c>
      <c r="O91" s="3">
        <f t="shared" ca="1" si="10"/>
        <v>45179</v>
      </c>
      <c r="P91" s="4" t="s">
        <v>88</v>
      </c>
      <c r="Q91" s="4" t="s">
        <v>89</v>
      </c>
      <c r="R91" s="4" t="s">
        <v>90</v>
      </c>
      <c r="S91" s="4" t="s">
        <v>59</v>
      </c>
      <c r="T91" s="4">
        <f ca="1">ROUND(_Google_ads[[#This Row],[impressions]]*RANDBETWEEN(8,12)/10,0)</f>
        <v>142345</v>
      </c>
      <c r="U91" s="4">
        <f ca="1">ROUND(_Google_ads[[#This Row],[clicks]]*RANDBETWEEN(8,12)/10,0)</f>
        <v>436</v>
      </c>
      <c r="V91" s="4">
        <f ca="1">_Google_ads[[#This Row],[cost]]*RANDBETWEEN(8,12)/10</f>
        <v>167.88000000000002</v>
      </c>
      <c r="W91" s="4">
        <f ca="1">ROUND(_Google_ads[[#This Row],[conversions]]*RANDBETWEEN(8,12)/10,0)</f>
        <v>19</v>
      </c>
      <c r="X91" s="4">
        <f ca="1">ROUND(_Google_ads[[#This Row],[conversion_value]]*RANDBETWEEN(8,12)/10,0)</f>
        <v>720</v>
      </c>
      <c r="Y91" s="4">
        <f ca="1">_Google_ads[[#This Row],[ctr]]*RANDBETWEEN(8,12)/10</f>
        <v>4.1799999999999997E-3</v>
      </c>
      <c r="Z91" s="4">
        <f ca="1">_Google_ads[[#This Row],[avg_cpc]]*RANDBETWEEN(8,12)/10</f>
        <v>0.26</v>
      </c>
      <c r="AA91" s="4">
        <f ca="1">ROUND(_Google_ads[[#This Row],[quality_score]]*RANDBETWEEN(8,12)/10,0)</f>
        <v>8</v>
      </c>
      <c r="AB91" s="4">
        <f ca="1">_Google_ads[[#This Row],[search_impression_share]]*RANDBETWEEN(8,12)/10</f>
        <v>0.44399999999999995</v>
      </c>
      <c r="AD91" s="3">
        <f t="shared" ca="1" si="11"/>
        <v>45198</v>
      </c>
      <c r="AE91" s="4" t="s">
        <v>112</v>
      </c>
      <c r="AF91" s="4" t="s">
        <v>113</v>
      </c>
      <c r="AG91" s="4" t="s">
        <v>114</v>
      </c>
      <c r="AH91" s="4" t="s">
        <v>115</v>
      </c>
      <c r="AI91" s="4">
        <f ca="1">ROUND(T_Tiktok_ads[[#This Row],[impressions]]*RANDBETWEEN(8,12)/10,0)</f>
        <v>514679</v>
      </c>
      <c r="AJ91" s="4">
        <f ca="1">ROUND(T_Tiktok_ads[[#This Row],[clicks]]*RANDBETWEEN(8,12)/10,0)</f>
        <v>6098</v>
      </c>
      <c r="AK91" s="4">
        <v>1189.4000000000001</v>
      </c>
      <c r="AL91" s="4">
        <f ca="1">ROUND(T_Tiktok_ads[[#This Row],[conversions]]*RANDBETWEEN(8,12)/10,0)</f>
        <v>108</v>
      </c>
      <c r="AM91" s="4">
        <f ca="1">ROUND(T_Tiktok_ads[[#This Row],[video_views]]*RANDBETWEEN(8,12)/10,0)</f>
        <v>481481</v>
      </c>
      <c r="AN91" s="4">
        <f ca="1">ROUND(T_Tiktok_ads[[#This Row],[video_watch_25]]*RANDBETWEEN(8,12)/10,0)</f>
        <v>388147</v>
      </c>
      <c r="AO91" s="4">
        <f ca="1">ROUND(T_Tiktok_ads[[#This Row],[video_watch_50]]*RANDBETWEEN(8,12)/10,0)</f>
        <v>207121</v>
      </c>
      <c r="AP91" s="4">
        <f ca="1">ROUND(T_Tiktok_ads[[#This Row],[video_watch_75]]*RANDBETWEEN(8,12)/10,0)</f>
        <v>203024</v>
      </c>
      <c r="AQ91" s="4">
        <f ca="1">ROUND(T_Tiktok_ads[[#This Row],[video_watch_100]]*RANDBETWEEN(8,12)/10,0)</f>
        <v>97876</v>
      </c>
      <c r="AR91" s="4">
        <f ca="1">ROUND(T_Tiktok_ads[[#This Row],[likes]]*RANDBETWEEN(8,12)/10,0)</f>
        <v>22868</v>
      </c>
      <c r="AS91" s="4">
        <f ca="1">ROUND(T_Tiktok_ads[[#This Row],[shares]]*RANDBETWEEN(8,12)/10,0)</f>
        <v>4827</v>
      </c>
      <c r="AT91" s="4">
        <f ca="1">ROUND(T_Tiktok_ads[[#This Row],[comments]]*RANDBETWEEN(8,12)/10,0)</f>
        <v>1342</v>
      </c>
      <c r="AV91" s="5">
        <f t="shared" ca="1" si="12"/>
        <v>45178</v>
      </c>
      <c r="AW91">
        <f t="shared" ca="1" si="13"/>
        <v>1</v>
      </c>
      <c r="AX91">
        <f ca="1">ROUND(T_Facebook_Ads115963677175798387[[#This Row],[impressions]]*RANDBETWEEN(8,12)/10,0)</f>
        <v>69201</v>
      </c>
      <c r="AY91">
        <f ca="1">ROUND(T_Facebook_Ads115963677175798387[[#This Row],[clicks]]*RANDBETWEEN(8,12)/10,0)</f>
        <v>334</v>
      </c>
      <c r="AZ91">
        <f ca="1">T_Facebook_Ads115963677175798387[[#This Row],[spend]]*RANDBETWEEN(8,12)/10</f>
        <v>119.04</v>
      </c>
      <c r="BA91">
        <f ca="1">ROUND(T_Facebook_Ads115963677175798387[[#This Row],[conversions]]*RANDBETWEEN(8,12)/10,0)</f>
        <v>9</v>
      </c>
      <c r="BB91">
        <f ca="1">ROUND(T_Facebook_Ads115963677175798387[[#This Row],[video_views]]*RANDBETWEEN(8,12)/10,0)</f>
        <v>33003</v>
      </c>
    </row>
    <row r="92" spans="1:54" ht="15.75" thickBot="1" x14ac:dyDescent="0.3">
      <c r="A92" s="3">
        <f t="shared" ca="1" si="9"/>
        <v>45185</v>
      </c>
      <c r="B92" s="4" t="s">
        <v>52</v>
      </c>
      <c r="C92" s="4" t="s">
        <v>53</v>
      </c>
      <c r="D92" s="4" t="s">
        <v>54</v>
      </c>
      <c r="E92" s="4" t="s">
        <v>55</v>
      </c>
      <c r="F92" s="4">
        <f ca="1">ROUND(T_Facebook_Ads[[#This Row],[impressions]]*RANDBETWEEN(8,12)/10,0)</f>
        <v>60148</v>
      </c>
      <c r="G92" s="4">
        <v>1034</v>
      </c>
      <c r="H92" s="4">
        <f ca="1">T_Facebook_Ads[[#This Row],[spend]]*RANDBETWEEN(8,12)/10</f>
        <v>118</v>
      </c>
      <c r="I92" s="4">
        <f ca="1">ROUND(T_Facebook_Ads[[#This Row],[conversions]]*RANDBETWEEN(8,12)/10,0)</f>
        <v>20</v>
      </c>
      <c r="J92" s="4">
        <f ca="1">ROUND(T_Facebook_Ads[[#This Row],[video_views]]*RANDBETWEEN(8,12)/10,0)</f>
        <v>7298</v>
      </c>
      <c r="K92" s="4">
        <f ca="1">T_Facebook_Ads[[#This Row],[engagement_rate]]*RANDBETWEEN(8,12)/10</f>
        <v>2.266E-2</v>
      </c>
      <c r="L92" s="4">
        <f ca="1">ROUND(T_Facebook_Ads[[#This Row],[reach]]*RANDBETWEEN(8,12)/10,0)</f>
        <v>41890</v>
      </c>
      <c r="M92" s="4">
        <f ca="1">T_Facebook_Ads[[#This Row],[frequency]]*RANDBETWEEN(8,12)/10</f>
        <v>1.44</v>
      </c>
      <c r="O92" s="3">
        <f t="shared" ca="1" si="10"/>
        <v>45180</v>
      </c>
      <c r="P92" s="4" t="s">
        <v>76</v>
      </c>
      <c r="Q92" s="4" t="s">
        <v>77</v>
      </c>
      <c r="R92" s="4" t="s">
        <v>78</v>
      </c>
      <c r="S92" s="4" t="s">
        <v>79</v>
      </c>
      <c r="T92" s="4">
        <f ca="1">ROUND(_Google_ads[[#This Row],[impressions]]*RANDBETWEEN(8,12)/10,0)</f>
        <v>21431</v>
      </c>
      <c r="U92" s="4">
        <f ca="1">ROUND(_Google_ads[[#This Row],[clicks]]*RANDBETWEEN(8,12)/10,0)</f>
        <v>1654</v>
      </c>
      <c r="V92" s="4">
        <f ca="1">_Google_ads[[#This Row],[cost]]*RANDBETWEEN(8,12)/10</f>
        <v>237.06</v>
      </c>
      <c r="W92" s="4">
        <f ca="1">ROUND(_Google_ads[[#This Row],[conversions]]*RANDBETWEEN(8,12)/10,0)</f>
        <v>42</v>
      </c>
      <c r="X92" s="4">
        <f ca="1">ROUND(_Google_ads[[#This Row],[conversion_value]]*RANDBETWEEN(8,12)/10,0)</f>
        <v>2385</v>
      </c>
      <c r="Y92" s="4">
        <f ca="1">_Google_ads[[#This Row],[ctr]]*RANDBETWEEN(8,12)/10</f>
        <v>4.6349999999999995E-2</v>
      </c>
      <c r="Z92" s="4">
        <f ca="1">_Google_ads[[#This Row],[avg_cpc]]*RANDBETWEEN(8,12)/10</f>
        <v>0.17099999999999999</v>
      </c>
      <c r="AA92" s="4">
        <f ca="1">ROUND(_Google_ads[[#This Row],[quality_score]]*RANDBETWEEN(8,12)/10,0)</f>
        <v>11</v>
      </c>
      <c r="AB92" s="4">
        <f ca="1">_Google_ads[[#This Row],[search_impression_share]]*RANDBETWEEN(8,12)/10</f>
        <v>1.1040000000000001</v>
      </c>
      <c r="AD92" s="3">
        <f t="shared" ca="1" si="11"/>
        <v>45192</v>
      </c>
      <c r="AE92" s="4" t="s">
        <v>100</v>
      </c>
      <c r="AF92" s="4" t="s">
        <v>101</v>
      </c>
      <c r="AG92" s="4" t="s">
        <v>102</v>
      </c>
      <c r="AH92" s="4" t="s">
        <v>103</v>
      </c>
      <c r="AI92" s="4">
        <f ca="1">ROUND(T_Tiktok_ads[[#This Row],[impressions]]*RANDBETWEEN(8,12)/10,0)</f>
        <v>301234</v>
      </c>
      <c r="AJ92" s="4">
        <f ca="1">ROUND(T_Tiktok_ads[[#This Row],[clicks]]*RANDBETWEEN(8,12)/10,0)</f>
        <v>3565</v>
      </c>
      <c r="AK92" s="4">
        <v>589.9</v>
      </c>
      <c r="AL92" s="4">
        <f ca="1">ROUND(T_Tiktok_ads[[#This Row],[conversions]]*RANDBETWEEN(8,12)/10,0)</f>
        <v>41</v>
      </c>
      <c r="AM92" s="4">
        <f ca="1">ROUND(T_Tiktok_ads[[#This Row],[video_views]]*RANDBETWEEN(8,12)/10,0)</f>
        <v>196542</v>
      </c>
      <c r="AN92" s="4">
        <f ca="1">ROUND(T_Tiktok_ads[[#This Row],[video_watch_25]]*RANDBETWEEN(8,12)/10,0)</f>
        <v>191234</v>
      </c>
      <c r="AO92" s="4">
        <f ca="1">ROUND(T_Tiktok_ads[[#This Row],[video_watch_50]]*RANDBETWEEN(8,12)/10,0)</f>
        <v>95387</v>
      </c>
      <c r="AP92" s="4">
        <f ca="1">ROUND(T_Tiktok_ads[[#This Row],[video_watch_75]]*RANDBETWEEN(8,12)/10,0)</f>
        <v>88257</v>
      </c>
      <c r="AQ92" s="4">
        <f ca="1">ROUND(T_Tiktok_ads[[#This Row],[video_watch_100]]*RANDBETWEEN(8,12)/10,0)</f>
        <v>64147</v>
      </c>
      <c r="AR92" s="4">
        <f ca="1">ROUND(T_Tiktok_ads[[#This Row],[likes]]*RANDBETWEEN(8,12)/10,0)</f>
        <v>10789</v>
      </c>
      <c r="AS92" s="4">
        <f ca="1">ROUND(T_Tiktok_ads[[#This Row],[shares]]*RANDBETWEEN(8,12)/10,0)</f>
        <v>3191</v>
      </c>
      <c r="AT92" s="4">
        <f ca="1">ROUND(T_Tiktok_ads[[#This Row],[comments]]*RANDBETWEEN(8,12)/10,0)</f>
        <v>620</v>
      </c>
      <c r="AV92" s="5">
        <f t="shared" ca="1" si="12"/>
        <v>45175</v>
      </c>
      <c r="AW92">
        <f t="shared" ca="1" si="13"/>
        <v>1</v>
      </c>
      <c r="AX92">
        <f ca="1">ROUND(T_Facebook_Ads115963677175798387[[#This Row],[impressions]]*RANDBETWEEN(8,12)/10,0)</f>
        <v>54133</v>
      </c>
      <c r="AY92">
        <f ca="1">ROUND(T_Facebook_Ads115963677175798387[[#This Row],[clicks]]*RANDBETWEEN(8,12)/10,0)</f>
        <v>1241</v>
      </c>
      <c r="AZ92">
        <f ca="1">T_Facebook_Ads115963677175798387[[#This Row],[spend]]*RANDBETWEEN(8,12)/10</f>
        <v>129.80000000000001</v>
      </c>
      <c r="BA92">
        <f ca="1">ROUND(T_Facebook_Ads115963677175798387[[#This Row],[conversions]]*RANDBETWEEN(8,12)/10,0)</f>
        <v>24</v>
      </c>
      <c r="BB92">
        <f ca="1">ROUND(T_Facebook_Ads115963677175798387[[#This Row],[video_views]]*RANDBETWEEN(8,12)/10,0)</f>
        <v>6568</v>
      </c>
    </row>
    <row r="93" spans="1:54" ht="15.75" thickBot="1" x14ac:dyDescent="0.3">
      <c r="A93" s="3">
        <f t="shared" ca="1" si="9"/>
        <v>45183</v>
      </c>
      <c r="B93" s="4" t="s">
        <v>56</v>
      </c>
      <c r="C93" s="4" t="s">
        <v>57</v>
      </c>
      <c r="D93" s="4" t="s">
        <v>58</v>
      </c>
      <c r="E93" s="4" t="s">
        <v>59</v>
      </c>
      <c r="F93" s="4">
        <f ca="1">ROUND(T_Facebook_Ads[[#This Row],[impressions]]*RANDBETWEEN(8,12)/10,0)</f>
        <v>17081</v>
      </c>
      <c r="G93" s="4">
        <v>689</v>
      </c>
      <c r="H93" s="4">
        <f ca="1">T_Facebook_Ads[[#This Row],[spend]]*RANDBETWEEN(8,12)/10</f>
        <v>229.22999999999996</v>
      </c>
      <c r="I93" s="4">
        <f ca="1">ROUND(T_Facebook_Ads[[#This Row],[conversions]]*RANDBETWEEN(8,12)/10,0)</f>
        <v>40</v>
      </c>
      <c r="J93" s="4">
        <f ca="1">ROUND(T_Facebook_Ads[[#This Row],[video_views]]*RANDBETWEEN(8,12)/10,0)</f>
        <v>1310</v>
      </c>
      <c r="K93" s="4">
        <f ca="1">T_Facebook_Ads[[#This Row],[engagement_rate]]*RANDBETWEEN(8,12)/10</f>
        <v>4.3560000000000001E-2</v>
      </c>
      <c r="L93" s="4">
        <f ca="1">ROUND(T_Facebook_Ads[[#This Row],[reach]]*RANDBETWEEN(8,12)/10,0)</f>
        <v>13481</v>
      </c>
      <c r="M93" s="4">
        <f ca="1">T_Facebook_Ads[[#This Row],[frequency]]*RANDBETWEEN(8,12)/10</f>
        <v>1.016</v>
      </c>
      <c r="O93" s="3">
        <f t="shared" ca="1" si="10"/>
        <v>45179</v>
      </c>
      <c r="P93" s="4" t="s">
        <v>80</v>
      </c>
      <c r="Q93" s="4" t="s">
        <v>81</v>
      </c>
      <c r="R93" s="4" t="s">
        <v>82</v>
      </c>
      <c r="S93" s="4" t="s">
        <v>83</v>
      </c>
      <c r="T93" s="4">
        <f ca="1">ROUND(_Google_ads[[#This Row],[impressions]]*RANDBETWEEN(8,12)/10,0)</f>
        <v>47234</v>
      </c>
      <c r="U93" s="4">
        <f ca="1">ROUND(_Google_ads[[#This Row],[clicks]]*RANDBETWEEN(8,12)/10,0)</f>
        <v>756</v>
      </c>
      <c r="V93" s="4">
        <f ca="1">_Google_ads[[#This Row],[cost]]*RANDBETWEEN(8,12)/10</f>
        <v>605.6</v>
      </c>
      <c r="W93" s="4">
        <f ca="1">ROUND(_Google_ads[[#This Row],[conversions]]*RANDBETWEEN(8,12)/10,0)</f>
        <v>20</v>
      </c>
      <c r="X93" s="4">
        <f ca="1">ROUND(_Google_ads[[#This Row],[conversion_value]]*RANDBETWEEN(8,12)/10,0)</f>
        <v>1500</v>
      </c>
      <c r="Y93" s="4">
        <f ca="1">_Google_ads[[#This Row],[ctr]]*RANDBETWEEN(8,12)/10</f>
        <v>0.02</v>
      </c>
      <c r="Z93" s="4">
        <f ca="1">_Google_ads[[#This Row],[avg_cpc]]*RANDBETWEEN(8,12)/10</f>
        <v>0.64</v>
      </c>
      <c r="AA93" s="4">
        <f ca="1">ROUND(_Google_ads[[#This Row],[quality_score]]*RANDBETWEEN(8,12)/10,0)</f>
        <v>7</v>
      </c>
      <c r="AB93" s="4">
        <f ca="1">_Google_ads[[#This Row],[search_impression_share]]*RANDBETWEEN(8,12)/10</f>
        <v>0.36799999999999999</v>
      </c>
      <c r="AD93" s="3">
        <f t="shared" ca="1" si="11"/>
        <v>45194</v>
      </c>
      <c r="AE93" s="4" t="s">
        <v>104</v>
      </c>
      <c r="AF93" s="4" t="s">
        <v>105</v>
      </c>
      <c r="AG93" s="4" t="s">
        <v>106</v>
      </c>
      <c r="AH93" s="4" t="s">
        <v>107</v>
      </c>
      <c r="AI93" s="4">
        <f ca="1">ROUND(T_Tiktok_ads[[#This Row],[impressions]]*RANDBETWEEN(8,12)/10,0)</f>
        <v>184679</v>
      </c>
      <c r="AJ93" s="4">
        <f ca="1">ROUND(T_Tiktok_ads[[#This Row],[clicks]]*RANDBETWEEN(8,12)/10,0)</f>
        <v>3557</v>
      </c>
      <c r="AK93" s="4">
        <v>845.6</v>
      </c>
      <c r="AL93" s="4">
        <f ca="1">ROUND(T_Tiktok_ads[[#This Row],[conversions]]*RANDBETWEEN(8,12)/10,0)</f>
        <v>85</v>
      </c>
      <c r="AM93" s="4">
        <f ca="1">ROUND(T_Tiktok_ads[[#This Row],[video_views]]*RANDBETWEEN(8,12)/10,0)</f>
        <v>106101</v>
      </c>
      <c r="AN93" s="4">
        <f ca="1">ROUND(T_Tiktok_ads[[#This Row],[video_watch_25]]*RANDBETWEEN(8,12)/10,0)</f>
        <v>87234</v>
      </c>
      <c r="AO93" s="4">
        <f ca="1">ROUND(T_Tiktok_ads[[#This Row],[video_watch_50]]*RANDBETWEEN(8,12)/10,0)</f>
        <v>64791</v>
      </c>
      <c r="AP93" s="4">
        <f ca="1">ROUND(T_Tiktok_ads[[#This Row],[video_watch_75]]*RANDBETWEEN(8,12)/10,0)</f>
        <v>44234</v>
      </c>
      <c r="AQ93" s="4">
        <f ca="1">ROUND(T_Tiktok_ads[[#This Row],[video_watch_100]]*RANDBETWEEN(8,12)/10,0)</f>
        <v>29567</v>
      </c>
      <c r="AR93" s="4">
        <f ca="1">ROUND(T_Tiktok_ads[[#This Row],[likes]]*RANDBETWEEN(8,12)/10,0)</f>
        <v>6814</v>
      </c>
      <c r="AS93" s="4">
        <f ca="1">ROUND(T_Tiktok_ads[[#This Row],[shares]]*RANDBETWEEN(8,12)/10,0)</f>
        <v>1307</v>
      </c>
      <c r="AT93" s="4">
        <f ca="1">ROUND(T_Tiktok_ads[[#This Row],[comments]]*RANDBETWEEN(8,12)/10,0)</f>
        <v>281</v>
      </c>
      <c r="AV93" s="5">
        <f t="shared" ca="1" si="12"/>
        <v>45177</v>
      </c>
      <c r="AW93">
        <f t="shared" ca="1" si="13"/>
        <v>7</v>
      </c>
      <c r="AX93">
        <f ca="1">ROUND(T_Facebook_Ads115963677175798387[[#This Row],[impressions]]*RANDBETWEEN(8,12)/10,0)</f>
        <v>17081</v>
      </c>
      <c r="AY93">
        <f ca="1">ROUND(T_Facebook_Ads115963677175798387[[#This Row],[clicks]]*RANDBETWEEN(8,12)/10,0)</f>
        <v>827</v>
      </c>
      <c r="AZ93">
        <f ca="1">T_Facebook_Ads115963677175798387[[#This Row],[spend]]*RANDBETWEEN(8,12)/10</f>
        <v>275.07599999999991</v>
      </c>
      <c r="BA93">
        <f ca="1">ROUND(T_Facebook_Ads115963677175798387[[#This Row],[conversions]]*RANDBETWEEN(8,12)/10,0)</f>
        <v>44</v>
      </c>
      <c r="BB93">
        <f ca="1">ROUND(T_Facebook_Ads115963677175798387[[#This Row],[video_views]]*RANDBETWEEN(8,12)/10,0)</f>
        <v>1310</v>
      </c>
    </row>
    <row r="94" spans="1:54" ht="15.75" thickBot="1" x14ac:dyDescent="0.3">
      <c r="A94" s="3">
        <f t="shared" ca="1" si="9"/>
        <v>45190</v>
      </c>
      <c r="B94" s="4" t="s">
        <v>60</v>
      </c>
      <c r="C94" s="4" t="s">
        <v>61</v>
      </c>
      <c r="D94" s="4" t="s">
        <v>62</v>
      </c>
      <c r="E94" s="4" t="s">
        <v>63</v>
      </c>
      <c r="F94" s="4">
        <f ca="1">ROUND(T_Facebook_Ads[[#This Row],[impressions]]*RANDBETWEEN(8,12)/10,0)</f>
        <v>46668</v>
      </c>
      <c r="G94" s="4">
        <v>1445</v>
      </c>
      <c r="H94" s="4">
        <f ca="1">T_Facebook_Ads[[#This Row],[spend]]*RANDBETWEEN(8,12)/10</f>
        <v>184.95999999999998</v>
      </c>
      <c r="I94" s="4">
        <f ca="1">ROUND(T_Facebook_Ads[[#This Row],[conversions]]*RANDBETWEEN(8,12)/10,0)</f>
        <v>35</v>
      </c>
      <c r="J94" s="4">
        <f ca="1">ROUND(T_Facebook_Ads[[#This Row],[video_views]]*RANDBETWEEN(8,12)/10,0)</f>
        <v>5123</v>
      </c>
      <c r="K94" s="4">
        <f ca="1">T_Facebook_Ads[[#This Row],[engagement_rate]]*RANDBETWEEN(8,12)/10</f>
        <v>4.0919999999999998E-2</v>
      </c>
      <c r="L94" s="4">
        <f ca="1">ROUND(T_Facebook_Ads[[#This Row],[reach]]*RANDBETWEEN(8,12)/10,0)</f>
        <v>28410</v>
      </c>
      <c r="M94" s="4">
        <f ca="1">T_Facebook_Ads[[#This Row],[frequency]]*RANDBETWEEN(8,12)/10</f>
        <v>1.353</v>
      </c>
      <c r="O94" s="3">
        <f t="shared" ca="1" si="10"/>
        <v>45178</v>
      </c>
      <c r="P94" s="4" t="s">
        <v>84</v>
      </c>
      <c r="Q94" s="4" t="s">
        <v>85</v>
      </c>
      <c r="R94" s="4" t="s">
        <v>86</v>
      </c>
      <c r="S94" s="4" t="s">
        <v>87</v>
      </c>
      <c r="T94" s="4">
        <f ca="1">ROUND(_Google_ads[[#This Row],[impressions]]*RANDBETWEEN(8,12)/10,0)</f>
        <v>80179</v>
      </c>
      <c r="U94" s="4">
        <f ca="1">ROUND(_Google_ads[[#This Row],[clicks]]*RANDBETWEEN(8,12)/10,0)</f>
        <v>1947</v>
      </c>
      <c r="V94" s="4">
        <f ca="1">_Google_ads[[#This Row],[cost]]*RANDBETWEEN(8,12)/10</f>
        <v>450.2</v>
      </c>
      <c r="W94" s="4">
        <f ca="1">ROUND(_Google_ads[[#This Row],[conversions]]*RANDBETWEEN(8,12)/10,0)</f>
        <v>71</v>
      </c>
      <c r="X94" s="4">
        <f ca="1">ROUND(_Google_ads[[#This Row],[conversion_value]]*RANDBETWEEN(8,12)/10,0)</f>
        <v>4260</v>
      </c>
      <c r="Y94" s="4">
        <f ca="1">_Google_ads[[#This Row],[ctr]]*RANDBETWEEN(8,12)/10</f>
        <v>3.6740000000000002E-2</v>
      </c>
      <c r="Z94" s="4">
        <f ca="1">_Google_ads[[#This Row],[avg_cpc]]*RANDBETWEEN(8,12)/10</f>
        <v>0.18</v>
      </c>
      <c r="AA94" s="4">
        <f ca="1">ROUND(_Google_ads[[#This Row],[quality_score]]*RANDBETWEEN(8,12)/10,0)</f>
        <v>10</v>
      </c>
      <c r="AB94" s="4">
        <f ca="1">_Google_ads[[#This Row],[search_impression_share]]*RANDBETWEEN(8,12)/10</f>
        <v>0.55199999999999994</v>
      </c>
      <c r="AD94" s="3">
        <f t="shared" ca="1" si="11"/>
        <v>45170</v>
      </c>
      <c r="AE94" s="4" t="s">
        <v>108</v>
      </c>
      <c r="AF94" s="4" t="s">
        <v>109</v>
      </c>
      <c r="AG94" s="4" t="s">
        <v>110</v>
      </c>
      <c r="AH94" s="4" t="s">
        <v>111</v>
      </c>
      <c r="AI94" s="4">
        <f ca="1">ROUND(T_Tiktok_ads[[#This Row],[impressions]]*RANDBETWEEN(8,12)/10,0)</f>
        <v>282468</v>
      </c>
      <c r="AJ94" s="4">
        <f ca="1">ROUND(T_Tiktok_ads[[#This Row],[clicks]]*RANDBETWEEN(8,12)/10,0)</f>
        <v>4012</v>
      </c>
      <c r="AK94" s="4">
        <v>489.2</v>
      </c>
      <c r="AL94" s="4">
        <f ca="1">ROUND(T_Tiktok_ads[[#This Row],[conversions]]*RANDBETWEEN(8,12)/10,0)</f>
        <v>36</v>
      </c>
      <c r="AM94" s="4">
        <f ca="1">ROUND(T_Tiktok_ads[[#This Row],[video_views]]*RANDBETWEEN(8,12)/10,0)</f>
        <v>160987</v>
      </c>
      <c r="AN94" s="4">
        <f ca="1">ROUND(T_Tiktok_ads[[#This Row],[video_watch_25]]*RANDBETWEEN(8,12)/10,0)</f>
        <v>167580</v>
      </c>
      <c r="AO94" s="4">
        <f ca="1">ROUND(T_Tiktok_ads[[#This Row],[video_watch_50]]*RANDBETWEEN(8,12)/10,0)</f>
        <v>144547</v>
      </c>
      <c r="AP94" s="4">
        <f ca="1">ROUND(T_Tiktok_ads[[#This Row],[video_watch_75]]*RANDBETWEEN(8,12)/10,0)</f>
        <v>85679</v>
      </c>
      <c r="AQ94" s="4">
        <f ca="1">ROUND(T_Tiktok_ads[[#This Row],[video_watch_100]]*RANDBETWEEN(8,12)/10,0)</f>
        <v>42511</v>
      </c>
      <c r="AR94" s="4">
        <f ca="1">ROUND(T_Tiktok_ads[[#This Row],[likes]]*RANDBETWEEN(8,12)/10,0)</f>
        <v>9791</v>
      </c>
      <c r="AS94" s="4">
        <f ca="1">ROUND(T_Tiktok_ads[[#This Row],[shares]]*RANDBETWEEN(8,12)/10,0)</f>
        <v>2456</v>
      </c>
      <c r="AT94" s="4">
        <f ca="1">ROUND(T_Tiktok_ads[[#This Row],[comments]]*RANDBETWEEN(8,12)/10,0)</f>
        <v>589</v>
      </c>
      <c r="AV94" s="5">
        <f t="shared" ca="1" si="12"/>
        <v>45190</v>
      </c>
      <c r="AW94">
        <f t="shared" ca="1" si="13"/>
        <v>4</v>
      </c>
      <c r="AX94">
        <f ca="1">ROUND(T_Facebook_Ads115963677175798387[[#This Row],[impressions]]*RANDBETWEEN(8,12)/10,0)</f>
        <v>37334</v>
      </c>
      <c r="AY94">
        <f ca="1">ROUND(T_Facebook_Ads115963677175798387[[#This Row],[clicks]]*RANDBETWEEN(8,12)/10,0)</f>
        <v>1445</v>
      </c>
      <c r="AZ94">
        <f ca="1">T_Facebook_Ads115963677175798387[[#This Row],[spend]]*RANDBETWEEN(8,12)/10</f>
        <v>147.96799999999999</v>
      </c>
      <c r="BA94">
        <f ca="1">ROUND(T_Facebook_Ads115963677175798387[[#This Row],[conversions]]*RANDBETWEEN(8,12)/10,0)</f>
        <v>42</v>
      </c>
      <c r="BB94">
        <f ca="1">ROUND(T_Facebook_Ads115963677175798387[[#This Row],[video_views]]*RANDBETWEEN(8,12)/10,0)</f>
        <v>4611</v>
      </c>
    </row>
    <row r="95" spans="1:54" ht="15.75" thickBot="1" x14ac:dyDescent="0.3">
      <c r="A95" s="3">
        <f t="shared" ca="1" si="9"/>
        <v>45170</v>
      </c>
      <c r="B95" s="4" t="s">
        <v>64</v>
      </c>
      <c r="C95" s="4" t="s">
        <v>65</v>
      </c>
      <c r="D95" s="4" t="s">
        <v>66</v>
      </c>
      <c r="E95" s="4" t="s">
        <v>67</v>
      </c>
      <c r="F95" s="4">
        <f ca="1">ROUND(T_Facebook_Ads[[#This Row],[impressions]]*RANDBETWEEN(8,12)/10,0)</f>
        <v>88147</v>
      </c>
      <c r="G95" s="4">
        <v>261</v>
      </c>
      <c r="H95" s="4">
        <f ca="1">T_Facebook_Ads[[#This Row],[spend]]*RANDBETWEEN(8,12)/10</f>
        <v>104.05999999999999</v>
      </c>
      <c r="I95" s="4">
        <f ca="1">ROUND(T_Facebook_Ads[[#This Row],[conversions]]*RANDBETWEEN(8,12)/10,0)</f>
        <v>6</v>
      </c>
      <c r="J95" s="4">
        <f ca="1">ROUND(T_Facebook_Ads[[#This Row],[video_views]]*RANDBETWEEN(8,12)/10,0)</f>
        <v>59081</v>
      </c>
      <c r="K95" s="4">
        <f ca="1">T_Facebook_Ads[[#This Row],[engagement_rate]]*RANDBETWEEN(8,12)/10</f>
        <v>2.8799999999999997E-3</v>
      </c>
      <c r="L95" s="4">
        <f ca="1">ROUND(T_Facebook_Ads[[#This Row],[reach]]*RANDBETWEEN(8,12)/10,0)</f>
        <v>53610</v>
      </c>
      <c r="M95" s="4">
        <f ca="1">T_Facebook_Ads[[#This Row],[frequency]]*RANDBETWEEN(8,12)/10</f>
        <v>0.98399999999999999</v>
      </c>
      <c r="O95" s="3">
        <f t="shared" ca="1" si="10"/>
        <v>45180</v>
      </c>
      <c r="P95" s="4" t="s">
        <v>88</v>
      </c>
      <c r="Q95" s="4" t="s">
        <v>89</v>
      </c>
      <c r="R95" s="4" t="s">
        <v>90</v>
      </c>
      <c r="S95" s="4" t="s">
        <v>59</v>
      </c>
      <c r="T95" s="4">
        <f ca="1">ROUND(_Google_ads[[#This Row],[impressions]]*RANDBETWEEN(8,12)/10,0)</f>
        <v>152424</v>
      </c>
      <c r="U95" s="4">
        <f ca="1">ROUND(_Google_ads[[#This Row],[clicks]]*RANDBETWEEN(8,12)/10,0)</f>
        <v>461</v>
      </c>
      <c r="V95" s="4">
        <f ca="1">_Google_ads[[#This Row],[cost]]*RANDBETWEEN(8,12)/10</f>
        <v>122.58</v>
      </c>
      <c r="W95" s="4">
        <f ca="1">ROUND(_Google_ads[[#This Row],[conversions]]*RANDBETWEEN(8,12)/10,0)</f>
        <v>14</v>
      </c>
      <c r="X95" s="4">
        <f ca="1">ROUND(_Google_ads[[#This Row],[conversion_value]]*RANDBETWEEN(8,12)/10,0)</f>
        <v>675</v>
      </c>
      <c r="Y95" s="4">
        <f ca="1">_Google_ads[[#This Row],[ctr]]*RANDBETWEEN(8,12)/10</f>
        <v>2.96E-3</v>
      </c>
      <c r="Z95" s="4">
        <f ca="1">_Google_ads[[#This Row],[avg_cpc]]*RANDBETWEEN(8,12)/10</f>
        <v>0.24300000000000002</v>
      </c>
      <c r="AA95" s="4">
        <f ca="1">ROUND(_Google_ads[[#This Row],[quality_score]]*RANDBETWEEN(8,12)/10,0)</f>
        <v>7</v>
      </c>
      <c r="AB95" s="4">
        <f ca="1">_Google_ads[[#This Row],[search_impression_share]]*RANDBETWEEN(8,12)/10</f>
        <v>0.28799999999999998</v>
      </c>
      <c r="AD95" s="3">
        <f t="shared" ca="1" si="11"/>
        <v>45199</v>
      </c>
      <c r="AE95" s="4" t="s">
        <v>112</v>
      </c>
      <c r="AF95" s="4" t="s">
        <v>113</v>
      </c>
      <c r="AG95" s="4" t="s">
        <v>114</v>
      </c>
      <c r="AH95" s="4" t="s">
        <v>115</v>
      </c>
      <c r="AI95" s="4">
        <f ca="1">ROUND(T_Tiktok_ads[[#This Row],[impressions]]*RANDBETWEEN(8,12)/10,0)</f>
        <v>401110</v>
      </c>
      <c r="AJ95" s="4">
        <f ca="1">ROUND(T_Tiktok_ads[[#This Row],[clicks]]*RANDBETWEEN(8,12)/10,0)</f>
        <v>8681</v>
      </c>
      <c r="AK95" s="4">
        <v>1123.5</v>
      </c>
      <c r="AL95" s="4">
        <f ca="1">ROUND(T_Tiktok_ads[[#This Row],[conversions]]*RANDBETWEEN(8,12)/10,0)</f>
        <v>90</v>
      </c>
      <c r="AM95" s="4">
        <f ca="1">ROUND(T_Tiktok_ads[[#This Row],[video_views]]*RANDBETWEEN(8,12)/10,0)</f>
        <v>416791</v>
      </c>
      <c r="AN95" s="4">
        <f ca="1">ROUND(T_Tiktok_ads[[#This Row],[video_watch_25]]*RANDBETWEEN(8,12)/10,0)</f>
        <v>365480</v>
      </c>
      <c r="AO95" s="4">
        <f ca="1">ROUND(T_Tiktok_ads[[#This Row],[video_watch_50]]*RANDBETWEEN(8,12)/10,0)</f>
        <v>267802</v>
      </c>
      <c r="AP95" s="4">
        <f ca="1">ROUND(T_Tiktok_ads[[#This Row],[video_watch_75]]*RANDBETWEEN(8,12)/10,0)</f>
        <v>137876</v>
      </c>
      <c r="AQ95" s="4">
        <f ca="1">ROUND(T_Tiktok_ads[[#This Row],[video_watch_100]]*RANDBETWEEN(8,12)/10,0)</f>
        <v>103110</v>
      </c>
      <c r="AR95" s="4">
        <f ca="1">ROUND(T_Tiktok_ads[[#This Row],[likes]]*RANDBETWEEN(8,12)/10,0)</f>
        <v>23480</v>
      </c>
      <c r="AS95" s="4">
        <f ca="1">ROUND(T_Tiktok_ads[[#This Row],[shares]]*RANDBETWEEN(8,12)/10,0)</f>
        <v>4542</v>
      </c>
      <c r="AT95" s="4">
        <f ca="1">ROUND(T_Tiktok_ads[[#This Row],[comments]]*RANDBETWEEN(8,12)/10,0)</f>
        <v>1880</v>
      </c>
      <c r="AV95" s="5">
        <f t="shared" ca="1" si="12"/>
        <v>45189</v>
      </c>
      <c r="AW95">
        <f t="shared" ca="1" si="13"/>
        <v>5</v>
      </c>
      <c r="AX95">
        <f ca="1">ROUND(T_Facebook_Ads115963677175798387[[#This Row],[impressions]]*RANDBETWEEN(8,12)/10,0)</f>
        <v>79332</v>
      </c>
      <c r="AY95">
        <f ca="1">ROUND(T_Facebook_Ads115963677175798387[[#This Row],[clicks]]*RANDBETWEEN(8,12)/10,0)</f>
        <v>235</v>
      </c>
      <c r="AZ95">
        <f ca="1">T_Facebook_Ads115963677175798387[[#This Row],[spend]]*RANDBETWEEN(8,12)/10</f>
        <v>83.24799999999999</v>
      </c>
      <c r="BA95">
        <f ca="1">ROUND(T_Facebook_Ads115963677175798387[[#This Row],[conversions]]*RANDBETWEEN(8,12)/10,0)</f>
        <v>7</v>
      </c>
      <c r="BB95">
        <f ca="1">ROUND(T_Facebook_Ads115963677175798387[[#This Row],[video_views]]*RANDBETWEEN(8,12)/10,0)</f>
        <v>47265</v>
      </c>
    </row>
    <row r="96" spans="1:54" ht="15.75" thickBot="1" x14ac:dyDescent="0.3">
      <c r="A96" s="3">
        <f t="shared" ca="1" si="9"/>
        <v>45196</v>
      </c>
      <c r="B96" s="4" t="s">
        <v>52</v>
      </c>
      <c r="C96" s="4" t="s">
        <v>53</v>
      </c>
      <c r="D96" s="4" t="s">
        <v>54</v>
      </c>
      <c r="E96" s="4" t="s">
        <v>55</v>
      </c>
      <c r="F96" s="4">
        <f ca="1">ROUND(T_Facebook_Ads[[#This Row],[impressions]]*RANDBETWEEN(8,12)/10,0)</f>
        <v>46234</v>
      </c>
      <c r="G96" s="4">
        <v>934</v>
      </c>
      <c r="H96" s="4">
        <f ca="1">T_Facebook_Ads[[#This Row],[spend]]*RANDBETWEEN(8,12)/10</f>
        <v>107.04</v>
      </c>
      <c r="I96" s="4">
        <f ca="1">ROUND(T_Facebook_Ads[[#This Row],[conversions]]*RANDBETWEEN(8,12)/10,0)</f>
        <v>14</v>
      </c>
      <c r="J96" s="4">
        <f ca="1">ROUND(T_Facebook_Ads[[#This Row],[video_views]]*RANDBETWEEN(8,12)/10,0)</f>
        <v>7610</v>
      </c>
      <c r="K96" s="4">
        <f ca="1">T_Facebook_Ads[[#This Row],[engagement_rate]]*RANDBETWEEN(8,12)/10</f>
        <v>2.4240000000000001E-2</v>
      </c>
      <c r="L96" s="4">
        <f ca="1">ROUND(T_Facebook_Ads[[#This Row],[reach]]*RANDBETWEEN(8,12)/10,0)</f>
        <v>42779</v>
      </c>
      <c r="M96" s="4">
        <f ca="1">T_Facebook_Ads[[#This Row],[frequency]]*RANDBETWEEN(8,12)/10</f>
        <v>1.4279999999999999</v>
      </c>
      <c r="O96" s="3">
        <f t="shared" ca="1" si="10"/>
        <v>45195</v>
      </c>
      <c r="P96" s="4" t="s">
        <v>76</v>
      </c>
      <c r="Q96" s="4" t="s">
        <v>77</v>
      </c>
      <c r="R96" s="4" t="s">
        <v>78</v>
      </c>
      <c r="S96" s="4" t="s">
        <v>79</v>
      </c>
      <c r="T96" s="4">
        <f ca="1">ROUND(_Google_ads[[#This Row],[impressions]]*RANDBETWEEN(8,12)/10,0)</f>
        <v>25234</v>
      </c>
      <c r="U96" s="4">
        <f ca="1">ROUND(_Google_ads[[#This Row],[clicks]]*RANDBETWEEN(8,12)/10,0)</f>
        <v>1050</v>
      </c>
      <c r="V96" s="4">
        <f ca="1">_Google_ads[[#This Row],[cost]]*RANDBETWEEN(8,12)/10</f>
        <v>300.36</v>
      </c>
      <c r="W96" s="4">
        <f ca="1">ROUND(_Google_ads[[#This Row],[conversions]]*RANDBETWEEN(8,12)/10,0)</f>
        <v>39</v>
      </c>
      <c r="X96" s="4">
        <f ca="1">ROUND(_Google_ads[[#This Row],[conversion_value]]*RANDBETWEEN(8,12)/10,0)</f>
        <v>1960</v>
      </c>
      <c r="Y96" s="4">
        <f ca="1">_Google_ads[[#This Row],[ctr]]*RANDBETWEEN(8,12)/10</f>
        <v>4.1599999999999998E-2</v>
      </c>
      <c r="Z96" s="4">
        <f ca="1">_Google_ads[[#This Row],[avg_cpc]]*RANDBETWEEN(8,12)/10</f>
        <v>0.22800000000000004</v>
      </c>
      <c r="AA96" s="4">
        <f ca="1">ROUND(_Google_ads[[#This Row],[quality_score]]*RANDBETWEEN(8,12)/10,0)</f>
        <v>7</v>
      </c>
      <c r="AB96" s="4">
        <f ca="1">_Google_ads[[#This Row],[search_impression_share]]*RANDBETWEEN(8,12)/10</f>
        <v>0.81899999999999995</v>
      </c>
      <c r="AD96" s="3">
        <f t="shared" ca="1" si="11"/>
        <v>45187</v>
      </c>
      <c r="AE96" s="4" t="s">
        <v>100</v>
      </c>
      <c r="AF96" s="4" t="s">
        <v>101</v>
      </c>
      <c r="AG96" s="4" t="s">
        <v>102</v>
      </c>
      <c r="AH96" s="4" t="s">
        <v>103</v>
      </c>
      <c r="AI96" s="4">
        <f ca="1">ROUND(T_Tiktok_ads[[#This Row],[impressions]]*RANDBETWEEN(8,12)/10,0)</f>
        <v>334681</v>
      </c>
      <c r="AJ96" s="4">
        <f ca="1">ROUND(T_Tiktok_ads[[#This Row],[clicks]]*RANDBETWEEN(8,12)/10,0)</f>
        <v>3298</v>
      </c>
      <c r="AK96" s="4">
        <v>545.6</v>
      </c>
      <c r="AL96" s="4">
        <f ca="1">ROUND(T_Tiktok_ads[[#This Row],[conversions]]*RANDBETWEEN(8,12)/10,0)</f>
        <v>38</v>
      </c>
      <c r="AM96" s="4">
        <f ca="1">ROUND(T_Tiktok_ads[[#This Row],[video_views]]*RANDBETWEEN(8,12)/10,0)</f>
        <v>183387</v>
      </c>
      <c r="AN96" s="4">
        <f ca="1">ROUND(T_Tiktok_ads[[#This Row],[video_watch_25]]*RANDBETWEEN(8,12)/10,0)</f>
        <v>179234</v>
      </c>
      <c r="AO96" s="4">
        <f ca="1">ROUND(T_Tiktok_ads[[#This Row],[video_watch_50]]*RANDBETWEEN(8,12)/10,0)</f>
        <v>89787</v>
      </c>
      <c r="AP96" s="4">
        <f ca="1">ROUND(T_Tiktok_ads[[#This Row],[video_watch_75]]*RANDBETWEEN(8,12)/10,0)</f>
        <v>68110</v>
      </c>
      <c r="AQ96" s="4">
        <f ca="1">ROUND(T_Tiktok_ads[[#This Row],[video_watch_100]]*RANDBETWEEN(8,12)/10,0)</f>
        <v>40187</v>
      </c>
      <c r="AR96" s="4">
        <f ca="1">ROUND(T_Tiktok_ads[[#This Row],[likes]]*RANDBETWEEN(8,12)/10,0)</f>
        <v>10123</v>
      </c>
      <c r="AS96" s="4">
        <f ca="1">ROUND(T_Tiktok_ads[[#This Row],[shares]]*RANDBETWEEN(8,12)/10,0)</f>
        <v>2983</v>
      </c>
      <c r="AT96" s="4">
        <f ca="1">ROUND(T_Tiktok_ads[[#This Row],[comments]]*RANDBETWEEN(8,12)/10,0)</f>
        <v>645</v>
      </c>
      <c r="AV96" s="5">
        <f t="shared" ca="1" si="12"/>
        <v>45197</v>
      </c>
      <c r="AW96">
        <f t="shared" ca="1" si="13"/>
        <v>2</v>
      </c>
      <c r="AX96">
        <f ca="1">ROUND(T_Facebook_Ads115963677175798387[[#This Row],[impressions]]*RANDBETWEEN(8,12)/10,0)</f>
        <v>41611</v>
      </c>
      <c r="AY96">
        <f ca="1">ROUND(T_Facebook_Ads115963677175798387[[#This Row],[clicks]]*RANDBETWEEN(8,12)/10,0)</f>
        <v>841</v>
      </c>
      <c r="AZ96">
        <f ca="1">T_Facebook_Ads115963677175798387[[#This Row],[spend]]*RANDBETWEEN(8,12)/10</f>
        <v>96.335999999999999</v>
      </c>
      <c r="BA96">
        <f ca="1">ROUND(T_Facebook_Ads115963677175798387[[#This Row],[conversions]]*RANDBETWEEN(8,12)/10,0)</f>
        <v>11</v>
      </c>
      <c r="BB96">
        <f ca="1">ROUND(T_Facebook_Ads115963677175798387[[#This Row],[video_views]]*RANDBETWEEN(8,12)/10,0)</f>
        <v>7610</v>
      </c>
    </row>
    <row r="97" spans="1:54" ht="15.75" thickBot="1" x14ac:dyDescent="0.3">
      <c r="A97" s="3">
        <f t="shared" ca="1" si="9"/>
        <v>45192</v>
      </c>
      <c r="B97" s="4" t="s">
        <v>56</v>
      </c>
      <c r="C97" s="4" t="s">
        <v>57</v>
      </c>
      <c r="D97" s="4" t="s">
        <v>58</v>
      </c>
      <c r="E97" s="4" t="s">
        <v>59</v>
      </c>
      <c r="F97" s="4">
        <f ca="1">ROUND(T_Facebook_Ads[[#This Row],[impressions]]*RANDBETWEEN(8,12)/10,0)</f>
        <v>15080</v>
      </c>
      <c r="G97" s="4">
        <v>567</v>
      </c>
      <c r="H97" s="4">
        <f ca="1">T_Facebook_Ads[[#This Row],[spend]]*RANDBETWEEN(8,12)/10</f>
        <v>188.46</v>
      </c>
      <c r="I97" s="4">
        <f ca="1">ROUND(T_Facebook_Ads[[#This Row],[conversions]]*RANDBETWEEN(8,12)/10,0)</f>
        <v>43</v>
      </c>
      <c r="J97" s="4">
        <f ca="1">ROUND(T_Facebook_Ads[[#This Row],[video_views]]*RANDBETWEEN(8,12)/10,0)</f>
        <v>1140</v>
      </c>
      <c r="K97" s="4">
        <f ca="1">T_Facebook_Ads[[#This Row],[engagement_rate]]*RANDBETWEEN(8,12)/10</f>
        <v>4.9610000000000001E-2</v>
      </c>
      <c r="L97" s="4">
        <f ca="1">ROUND(T_Facebook_Ads[[#This Row],[reach]]*RANDBETWEEN(8,12)/10,0)</f>
        <v>8901</v>
      </c>
      <c r="M97" s="4">
        <f ca="1">T_Facebook_Ads[[#This Row],[frequency]]*RANDBETWEEN(8,12)/10</f>
        <v>1.143</v>
      </c>
      <c r="O97" s="3">
        <f t="shared" ca="1" si="10"/>
        <v>45177</v>
      </c>
      <c r="P97" s="4" t="s">
        <v>80</v>
      </c>
      <c r="Q97" s="4" t="s">
        <v>81</v>
      </c>
      <c r="R97" s="4" t="s">
        <v>82</v>
      </c>
      <c r="S97" s="4" t="s">
        <v>83</v>
      </c>
      <c r="T97" s="4">
        <f ca="1">ROUND(_Google_ads[[#This Row],[impressions]]*RANDBETWEEN(8,12)/10,0)</f>
        <v>54814</v>
      </c>
      <c r="U97" s="4">
        <f ca="1">ROUND(_Google_ads[[#This Row],[clicks]]*RANDBETWEEN(8,12)/10,0)</f>
        <v>901</v>
      </c>
      <c r="V97" s="4">
        <f ca="1">_Google_ads[[#This Row],[cost]]*RANDBETWEEN(8,12)/10</f>
        <v>701.4</v>
      </c>
      <c r="W97" s="4">
        <f ca="1">ROUND(_Google_ads[[#This Row],[conversions]]*RANDBETWEEN(8,12)/10,0)</f>
        <v>29</v>
      </c>
      <c r="X97" s="4">
        <f ca="1">ROUND(_Google_ads[[#This Row],[conversion_value]]*RANDBETWEEN(8,12)/10,0)</f>
        <v>960</v>
      </c>
      <c r="Y97" s="4">
        <f ca="1">_Google_ads[[#This Row],[ctr]]*RANDBETWEEN(8,12)/10</f>
        <v>2.3640000000000001E-2</v>
      </c>
      <c r="Z97" s="4">
        <f ca="1">_Google_ads[[#This Row],[avg_cpc]]*RANDBETWEEN(8,12)/10</f>
        <v>0.58500000000000008</v>
      </c>
      <c r="AA97" s="4">
        <f ca="1">ROUND(_Google_ads[[#This Row],[quality_score]]*RANDBETWEEN(8,12)/10,0)</f>
        <v>6</v>
      </c>
      <c r="AB97" s="4">
        <f ca="1">_Google_ads[[#This Row],[search_impression_share]]*RANDBETWEEN(8,12)/10</f>
        <v>0.36</v>
      </c>
      <c r="AD97" s="3">
        <f t="shared" ca="1" si="11"/>
        <v>45190</v>
      </c>
      <c r="AE97" s="4" t="s">
        <v>104</v>
      </c>
      <c r="AF97" s="4" t="s">
        <v>105</v>
      </c>
      <c r="AG97" s="4" t="s">
        <v>106</v>
      </c>
      <c r="AH97" s="4" t="s">
        <v>107</v>
      </c>
      <c r="AI97" s="4">
        <f ca="1">ROUND(T_Tiktok_ads[[#This Row],[impressions]]*RANDBETWEEN(8,12)/10,0)</f>
        <v>138110</v>
      </c>
      <c r="AJ97" s="4">
        <f ca="1">ROUND(T_Tiktok_ads[[#This Row],[clicks]]*RANDBETWEEN(8,12)/10,0)</f>
        <v>2651</v>
      </c>
      <c r="AK97" s="4">
        <v>789.2</v>
      </c>
      <c r="AL97" s="4">
        <f ca="1">ROUND(T_Tiktok_ads[[#This Row],[conversions]]*RANDBETWEEN(8,12)/10,0)</f>
        <v>87</v>
      </c>
      <c r="AM97" s="4">
        <f ca="1">ROUND(T_Tiktok_ads[[#This Row],[video_views]]*RANDBETWEEN(8,12)/10,0)</f>
        <v>129468</v>
      </c>
      <c r="AN97" s="4">
        <f ca="1">ROUND(T_Tiktok_ads[[#This Row],[video_watch_25]]*RANDBETWEEN(8,12)/10,0)</f>
        <v>87524</v>
      </c>
      <c r="AO97" s="4">
        <f ca="1">ROUND(T_Tiktok_ads[[#This Row],[video_watch_50]]*RANDBETWEEN(8,12)/10,0)</f>
        <v>64414</v>
      </c>
      <c r="AP97" s="4">
        <f ca="1">ROUND(T_Tiktok_ads[[#This Row],[video_watch_75]]*RANDBETWEEN(8,12)/10,0)</f>
        <v>44257</v>
      </c>
      <c r="AQ97" s="4">
        <f ca="1">ROUND(T_Tiktok_ads[[#This Row],[video_watch_100]]*RANDBETWEEN(8,12)/10,0)</f>
        <v>29579</v>
      </c>
      <c r="AR97" s="4">
        <f ca="1">ROUND(T_Tiktok_ads[[#This Row],[likes]]*RANDBETWEEN(8,12)/10,0)</f>
        <v>6281</v>
      </c>
      <c r="AS97" s="4">
        <f ca="1">ROUND(T_Tiktok_ads[[#This Row],[shares]]*RANDBETWEEN(8,12)/10,0)</f>
        <v>1165</v>
      </c>
      <c r="AT97" s="4">
        <f ca="1">ROUND(T_Tiktok_ads[[#This Row],[comments]]*RANDBETWEEN(8,12)/10,0)</f>
        <v>250</v>
      </c>
      <c r="AV97" s="5">
        <f t="shared" ca="1" si="12"/>
        <v>45175</v>
      </c>
      <c r="AW97">
        <f t="shared" ca="1" si="13"/>
        <v>1</v>
      </c>
      <c r="AX97">
        <f ca="1">ROUND(T_Facebook_Ads115963677175798387[[#This Row],[impressions]]*RANDBETWEEN(8,12)/10,0)</f>
        <v>18096</v>
      </c>
      <c r="AY97">
        <f ca="1">ROUND(T_Facebook_Ads115963677175798387[[#This Row],[clicks]]*RANDBETWEEN(8,12)/10,0)</f>
        <v>454</v>
      </c>
      <c r="AZ97">
        <f ca="1">T_Facebook_Ads115963677175798387[[#This Row],[spend]]*RANDBETWEEN(8,12)/10</f>
        <v>169.614</v>
      </c>
      <c r="BA97">
        <f ca="1">ROUND(T_Facebook_Ads115963677175798387[[#This Row],[conversions]]*RANDBETWEEN(8,12)/10,0)</f>
        <v>43</v>
      </c>
      <c r="BB97">
        <f ca="1">ROUND(T_Facebook_Ads115963677175798387[[#This Row],[video_views]]*RANDBETWEEN(8,12)/10,0)</f>
        <v>1254</v>
      </c>
    </row>
    <row r="98" spans="1:54" ht="15.75" thickBot="1" x14ac:dyDescent="0.3">
      <c r="A98" s="3">
        <f t="shared" ref="A98:A111" ca="1" si="14">DATE(2023,9,RANDBETWEEN(1,30))</f>
        <v>45193</v>
      </c>
      <c r="B98" s="4" t="s">
        <v>60</v>
      </c>
      <c r="C98" s="4" t="s">
        <v>61</v>
      </c>
      <c r="D98" s="4" t="s">
        <v>62</v>
      </c>
      <c r="E98" s="4" t="s">
        <v>63</v>
      </c>
      <c r="F98" s="4">
        <f ca="1">ROUND(T_Facebook_Ads[[#This Row],[impressions]]*RANDBETWEEN(8,12)/10,0)</f>
        <v>35890</v>
      </c>
      <c r="G98" s="4">
        <v>1289</v>
      </c>
      <c r="H98" s="4">
        <f ca="1">T_Facebook_Ads[[#This Row],[spend]]*RANDBETWEEN(8,12)/10</f>
        <v>178.02</v>
      </c>
      <c r="I98" s="4">
        <f ca="1">ROUND(T_Facebook_Ads[[#This Row],[conversions]]*RANDBETWEEN(8,12)/10,0)</f>
        <v>24</v>
      </c>
      <c r="J98" s="4">
        <f ca="1">ROUND(T_Facebook_Ads[[#This Row],[video_views]]*RANDBETWEEN(8,12)/10,0)</f>
        <v>3654</v>
      </c>
      <c r="K98" s="4">
        <f ca="1">T_Facebook_Ads[[#This Row],[engagement_rate]]*RANDBETWEEN(8,12)/10</f>
        <v>4.308E-2</v>
      </c>
      <c r="L98" s="4">
        <f ca="1">ROUND(T_Facebook_Ads[[#This Row],[reach]]*RANDBETWEEN(8,12)/10,0)</f>
        <v>23654</v>
      </c>
      <c r="M98" s="4">
        <f ca="1">T_Facebook_Ads[[#This Row],[frequency]]*RANDBETWEEN(8,12)/10</f>
        <v>1.21</v>
      </c>
      <c r="O98" s="3">
        <f t="shared" ref="O98:O111" ca="1" si="15">DATE(2023,9,RANDBETWEEN(1,30))</f>
        <v>45196</v>
      </c>
      <c r="P98" s="4" t="s">
        <v>84</v>
      </c>
      <c r="Q98" s="4" t="s">
        <v>85</v>
      </c>
      <c r="R98" s="4" t="s">
        <v>86</v>
      </c>
      <c r="S98" s="4" t="s">
        <v>87</v>
      </c>
      <c r="T98" s="4">
        <f ca="1">ROUND(_Google_ads[[#This Row],[impressions]]*RANDBETWEEN(8,12)/10,0)</f>
        <v>77135</v>
      </c>
      <c r="U98" s="4">
        <f ca="1">ROUND(_Google_ads[[#This Row],[clicks]]*RANDBETWEEN(8,12)/10,0)</f>
        <v>2827</v>
      </c>
      <c r="V98" s="4">
        <f ca="1">_Google_ads[[#This Row],[cost]]*RANDBETWEEN(8,12)/10</f>
        <v>388.08</v>
      </c>
      <c r="W98" s="4">
        <f ca="1">ROUND(_Google_ads[[#This Row],[conversions]]*RANDBETWEEN(8,12)/10,0)</f>
        <v>82</v>
      </c>
      <c r="X98" s="4">
        <f ca="1">ROUND(_Google_ads[[#This Row],[conversion_value]]*RANDBETWEEN(8,12)/10,0)</f>
        <v>2720</v>
      </c>
      <c r="Y98" s="4">
        <f ca="1">_Google_ads[[#This Row],[ctr]]*RANDBETWEEN(8,12)/10</f>
        <v>3.696E-2</v>
      </c>
      <c r="Z98" s="4">
        <f ca="1">_Google_ads[[#This Row],[avg_cpc]]*RANDBETWEEN(8,12)/10</f>
        <v>0.19800000000000001</v>
      </c>
      <c r="AA98" s="4">
        <f ca="1">ROUND(_Google_ads[[#This Row],[quality_score]]*RANDBETWEEN(8,12)/10,0)</f>
        <v>10</v>
      </c>
      <c r="AB98" s="4">
        <f ca="1">_Google_ads[[#This Row],[search_impression_share]]*RANDBETWEEN(8,12)/10</f>
        <v>0.54400000000000004</v>
      </c>
      <c r="AD98" s="3">
        <f t="shared" ref="AD98:AD111" ca="1" si="16">DATE(2023,9,RANDBETWEEN(1,30))</f>
        <v>45187</v>
      </c>
      <c r="AE98" s="4" t="s">
        <v>108</v>
      </c>
      <c r="AF98" s="4" t="s">
        <v>109</v>
      </c>
      <c r="AG98" s="4" t="s">
        <v>110</v>
      </c>
      <c r="AH98" s="4" t="s">
        <v>111</v>
      </c>
      <c r="AI98" s="4">
        <f ca="1">ROUND(T_Tiktok_ads[[#This Row],[impressions]]*RANDBETWEEN(8,12)/10,0)</f>
        <v>260468</v>
      </c>
      <c r="AJ98" s="4">
        <f ca="1">ROUND(T_Tiktok_ads[[#This Row],[clicks]]*RANDBETWEEN(8,12)/10,0)</f>
        <v>3361</v>
      </c>
      <c r="AK98" s="4">
        <v>456.8</v>
      </c>
      <c r="AL98" s="4">
        <f ca="1">ROUND(T_Tiktok_ads[[#This Row],[conversions]]*RANDBETWEEN(8,12)/10,0)</f>
        <v>33</v>
      </c>
      <c r="AM98" s="4">
        <f ca="1">ROUND(T_Tiktok_ads[[#This Row],[video_views]]*RANDBETWEEN(8,12)/10,0)</f>
        <v>225468</v>
      </c>
      <c r="AN98" s="4">
        <f ca="1">ROUND(T_Tiktok_ads[[#This Row],[video_watch_25]]*RANDBETWEEN(8,12)/10,0)</f>
        <v>128111</v>
      </c>
      <c r="AO98" s="4">
        <f ca="1">ROUND(T_Tiktok_ads[[#This Row],[video_watch_50]]*RANDBETWEEN(8,12)/10,0)</f>
        <v>89876</v>
      </c>
      <c r="AP98" s="4">
        <f ca="1">ROUND(T_Tiktok_ads[[#This Row],[video_watch_75]]*RANDBETWEEN(8,12)/10,0)</f>
        <v>65111</v>
      </c>
      <c r="AQ98" s="4">
        <f ca="1">ROUND(T_Tiktok_ads[[#This Row],[video_watch_100]]*RANDBETWEEN(8,12)/10,0)</f>
        <v>48168</v>
      </c>
      <c r="AR98" s="4">
        <f ca="1">ROUND(T_Tiktok_ads[[#This Row],[likes]]*RANDBETWEEN(8,12)/10,0)</f>
        <v>8456</v>
      </c>
      <c r="AS98" s="4">
        <f ca="1">ROUND(T_Tiktok_ads[[#This Row],[shares]]*RANDBETWEEN(8,12)/10,0)</f>
        <v>2494</v>
      </c>
      <c r="AT98" s="4">
        <f ca="1">ROUND(T_Tiktok_ads[[#This Row],[comments]]*RANDBETWEEN(8,12)/10,0)</f>
        <v>654</v>
      </c>
      <c r="AV98" s="5">
        <f t="shared" ref="AV98:AV111" ca="1" si="17">DATE(2023,9,RANDBETWEEN(1,30))</f>
        <v>45179</v>
      </c>
      <c r="AW98">
        <f t="shared" ca="1" si="13"/>
        <v>5</v>
      </c>
      <c r="AX98">
        <f ca="1">ROUND(T_Facebook_Ads115963677175798387[[#This Row],[impressions]]*RANDBETWEEN(8,12)/10,0)</f>
        <v>39479</v>
      </c>
      <c r="AY98">
        <f ca="1">ROUND(T_Facebook_Ads115963677175798387[[#This Row],[clicks]]*RANDBETWEEN(8,12)/10,0)</f>
        <v>1289</v>
      </c>
      <c r="AZ98">
        <f ca="1">T_Facebook_Ads115963677175798387[[#This Row],[spend]]*RANDBETWEEN(8,12)/10</f>
        <v>213.62400000000002</v>
      </c>
      <c r="BA98">
        <f ca="1">ROUND(T_Facebook_Ads115963677175798387[[#This Row],[conversions]]*RANDBETWEEN(8,12)/10,0)</f>
        <v>26</v>
      </c>
      <c r="BB98">
        <f ca="1">ROUND(T_Facebook_Ads115963677175798387[[#This Row],[video_views]]*RANDBETWEEN(8,12)/10,0)</f>
        <v>3654</v>
      </c>
    </row>
    <row r="99" spans="1:54" ht="15.75" thickBot="1" x14ac:dyDescent="0.3">
      <c r="A99" s="3">
        <f t="shared" ca="1" si="14"/>
        <v>45170</v>
      </c>
      <c r="B99" s="4" t="s">
        <v>64</v>
      </c>
      <c r="C99" s="4" t="s">
        <v>65</v>
      </c>
      <c r="D99" s="4" t="s">
        <v>66</v>
      </c>
      <c r="E99" s="4" t="s">
        <v>67</v>
      </c>
      <c r="F99" s="4">
        <f ca="1">ROUND(T_Facebook_Ads[[#This Row],[impressions]]*RANDBETWEEN(8,12)/10,0)</f>
        <v>61411</v>
      </c>
      <c r="G99" s="4">
        <v>245</v>
      </c>
      <c r="H99" s="4">
        <f ca="1">T_Facebook_Ads[[#This Row],[spend]]*RANDBETWEEN(8,12)/10</f>
        <v>103.08000000000001</v>
      </c>
      <c r="I99" s="4">
        <f ca="1">ROUND(T_Facebook_Ads[[#This Row],[conversions]]*RANDBETWEEN(8,12)/10,0)</f>
        <v>5</v>
      </c>
      <c r="J99" s="4">
        <f ca="1">ROUND(T_Facebook_Ads[[#This Row],[video_views]]*RANDBETWEEN(8,12)/10,0)</f>
        <v>45678</v>
      </c>
      <c r="K99" s="4">
        <f ca="1">T_Facebook_Ads[[#This Row],[engagement_rate]]*RANDBETWEEN(8,12)/10</f>
        <v>3.2399999999999998E-3</v>
      </c>
      <c r="L99" s="4">
        <f ca="1">ROUND(T_Facebook_Ads[[#This Row],[reach]]*RANDBETWEEN(8,12)/10,0)</f>
        <v>67068</v>
      </c>
      <c r="M99" s="4">
        <f ca="1">T_Facebook_Ads[[#This Row],[frequency]]*RANDBETWEEN(8,12)/10</f>
        <v>1.464</v>
      </c>
      <c r="O99" s="3">
        <f t="shared" ca="1" si="15"/>
        <v>45175</v>
      </c>
      <c r="P99" s="4" t="s">
        <v>88</v>
      </c>
      <c r="Q99" s="4" t="s">
        <v>89</v>
      </c>
      <c r="R99" s="4" t="s">
        <v>90</v>
      </c>
      <c r="S99" s="4" t="s">
        <v>59</v>
      </c>
      <c r="T99" s="4">
        <f ca="1">ROUND(_Google_ads[[#This Row],[impressions]]*RANDBETWEEN(8,12)/10,0)</f>
        <v>107912</v>
      </c>
      <c r="U99" s="4">
        <f ca="1">ROUND(_Google_ads[[#This Row],[clicks]]*RANDBETWEEN(8,12)/10,0)</f>
        <v>489</v>
      </c>
      <c r="V99" s="4">
        <f ca="1">_Google_ads[[#This Row],[cost]]*RANDBETWEEN(8,12)/10</f>
        <v>159.23999999999998</v>
      </c>
      <c r="W99" s="4">
        <f ca="1">ROUND(_Google_ads[[#This Row],[conversions]]*RANDBETWEEN(8,12)/10,0)</f>
        <v>17</v>
      </c>
      <c r="X99" s="4">
        <f ca="1">ROUND(_Google_ads[[#This Row],[conversion_value]]*RANDBETWEEN(8,12)/10,0)</f>
        <v>770</v>
      </c>
      <c r="Y99" s="4">
        <f ca="1">_Google_ads[[#This Row],[ctr]]*RANDBETWEEN(8,12)/10</f>
        <v>4.3200000000000001E-3</v>
      </c>
      <c r="Z99" s="4">
        <f ca="1">_Google_ads[[#This Row],[avg_cpc]]*RANDBETWEEN(8,12)/10</f>
        <v>0.21600000000000003</v>
      </c>
      <c r="AA99" s="4">
        <f ca="1">ROUND(_Google_ads[[#This Row],[quality_score]]*RANDBETWEEN(8,12)/10,0)</f>
        <v>8</v>
      </c>
      <c r="AB99" s="4">
        <f ca="1">_Google_ads[[#This Row],[search_impression_share]]*RANDBETWEEN(8,12)/10</f>
        <v>0.38499999999999995</v>
      </c>
      <c r="AD99" s="3">
        <f t="shared" ca="1" si="16"/>
        <v>45197</v>
      </c>
      <c r="AE99" s="4" t="s">
        <v>112</v>
      </c>
      <c r="AF99" s="4" t="s">
        <v>113</v>
      </c>
      <c r="AG99" s="4" t="s">
        <v>114</v>
      </c>
      <c r="AH99" s="4" t="s">
        <v>115</v>
      </c>
      <c r="AI99" s="4">
        <f ca="1">ROUND(T_Tiktok_ads[[#This Row],[impressions]]*RANDBETWEEN(8,12)/10,0)</f>
        <v>381110</v>
      </c>
      <c r="AJ99" s="4">
        <f ca="1">ROUND(T_Tiktok_ads[[#This Row],[clicks]]*RANDBETWEEN(8,12)/10,0)</f>
        <v>8147</v>
      </c>
      <c r="AK99" s="4">
        <v>1034.5</v>
      </c>
      <c r="AL99" s="4">
        <f ca="1">ROUND(T_Tiktok_ads[[#This Row],[conversions]]*RANDBETWEEN(8,12)/10,0)</f>
        <v>94</v>
      </c>
      <c r="AM99" s="4">
        <f ca="1">ROUND(T_Tiktok_ads[[#This Row],[video_views]]*RANDBETWEEN(8,12)/10,0)</f>
        <v>321110</v>
      </c>
      <c r="AN99" s="4">
        <f ca="1">ROUND(T_Tiktok_ads[[#This Row],[video_watch_25]]*RANDBETWEEN(8,12)/10,0)</f>
        <v>315957</v>
      </c>
      <c r="AO99" s="4">
        <f ca="1">ROUND(T_Tiktok_ads[[#This Row],[video_watch_50]]*RANDBETWEEN(8,12)/10,0)</f>
        <v>252157</v>
      </c>
      <c r="AP99" s="4">
        <f ca="1">ROUND(T_Tiktok_ads[[#This Row],[video_watch_75]]*RANDBETWEEN(8,12)/10,0)</f>
        <v>194814</v>
      </c>
      <c r="AQ99" s="4">
        <f ca="1">ROUND(T_Tiktok_ads[[#This Row],[video_watch_100]]*RANDBETWEEN(8,12)/10,0)</f>
        <v>129468</v>
      </c>
      <c r="AR99" s="4">
        <f ca="1">ROUND(T_Tiktok_ads[[#This Row],[likes]]*RANDBETWEEN(8,12)/10,0)</f>
        <v>22507</v>
      </c>
      <c r="AS99" s="4">
        <f ca="1">ROUND(T_Tiktok_ads[[#This Row],[shares]]*RANDBETWEEN(8,12)/10,0)</f>
        <v>4276</v>
      </c>
      <c r="AT99" s="4">
        <f ca="1">ROUND(T_Tiktok_ads[[#This Row],[comments]]*RANDBETWEEN(8,12)/10,0)</f>
        <v>1747</v>
      </c>
      <c r="AV99" s="5">
        <f t="shared" ca="1" si="17"/>
        <v>45178</v>
      </c>
      <c r="AW99">
        <f t="shared" ca="1" si="13"/>
        <v>6</v>
      </c>
      <c r="AX99">
        <f ca="1">ROUND(T_Facebook_Ads115963677175798387[[#This Row],[impressions]]*RANDBETWEEN(8,12)/10,0)</f>
        <v>73693</v>
      </c>
      <c r="AY99">
        <f ca="1">ROUND(T_Facebook_Ads115963677175798387[[#This Row],[clicks]]*RANDBETWEEN(8,12)/10,0)</f>
        <v>294</v>
      </c>
      <c r="AZ99">
        <f ca="1">T_Facebook_Ads115963677175798387[[#This Row],[spend]]*RANDBETWEEN(8,12)/10</f>
        <v>82.464000000000013</v>
      </c>
      <c r="BA99">
        <f ca="1">ROUND(T_Facebook_Ads115963677175798387[[#This Row],[conversions]]*RANDBETWEEN(8,12)/10,0)</f>
        <v>5</v>
      </c>
      <c r="BB99">
        <f ca="1">ROUND(T_Facebook_Ads115963677175798387[[#This Row],[video_views]]*RANDBETWEEN(8,12)/10,0)</f>
        <v>54814</v>
      </c>
    </row>
    <row r="100" spans="1:54" ht="15.75" thickBot="1" x14ac:dyDescent="0.3">
      <c r="A100" s="3">
        <f t="shared" ca="1" si="14"/>
        <v>45172</v>
      </c>
      <c r="B100" s="4" t="s">
        <v>52</v>
      </c>
      <c r="C100" s="4" t="s">
        <v>53</v>
      </c>
      <c r="D100" s="4" t="s">
        <v>54</v>
      </c>
      <c r="E100" s="4" t="s">
        <v>55</v>
      </c>
      <c r="F100" s="4">
        <f ca="1">ROUND(T_Facebook_Ads[[#This Row],[impressions]]*RANDBETWEEN(8,12)/10,0)</f>
        <v>35654</v>
      </c>
      <c r="G100" s="4">
        <v>890</v>
      </c>
      <c r="H100" s="4">
        <f ca="1">T_Facebook_Ads[[#This Row],[spend]]*RANDBETWEEN(8,12)/10</f>
        <v>102.08</v>
      </c>
      <c r="I100" s="4">
        <f ca="1">ROUND(T_Facebook_Ads[[#This Row],[conversions]]*RANDBETWEEN(8,12)/10,0)</f>
        <v>10</v>
      </c>
      <c r="J100" s="4">
        <f ca="1">ROUND(T_Facebook_Ads[[#This Row],[video_views]]*RANDBETWEEN(8,12)/10,0)</f>
        <v>7311</v>
      </c>
      <c r="K100" s="4">
        <f ca="1">T_Facebook_Ads[[#This Row],[engagement_rate]]*RANDBETWEEN(8,12)/10</f>
        <v>1.7999999999999999E-2</v>
      </c>
      <c r="L100" s="4">
        <f ca="1">ROUND(T_Facebook_Ads[[#This Row],[reach]]*RANDBETWEEN(8,12)/10,0)</f>
        <v>33710</v>
      </c>
      <c r="M100" s="4">
        <f ca="1">T_Facebook_Ads[[#This Row],[frequency]]*RANDBETWEEN(8,12)/10</f>
        <v>0.95199999999999996</v>
      </c>
      <c r="O100" s="3">
        <f t="shared" ca="1" si="15"/>
        <v>45172</v>
      </c>
      <c r="P100" s="4" t="s">
        <v>76</v>
      </c>
      <c r="Q100" s="4" t="s">
        <v>77</v>
      </c>
      <c r="R100" s="4" t="s">
        <v>78</v>
      </c>
      <c r="S100" s="4" t="s">
        <v>79</v>
      </c>
      <c r="T100" s="4">
        <f ca="1">ROUND(_Google_ads[[#This Row],[impressions]]*RANDBETWEEN(8,12)/10,0)</f>
        <v>25924</v>
      </c>
      <c r="U100" s="4">
        <f ca="1">ROUND(_Google_ads[[#This Row],[clicks]]*RANDBETWEEN(8,12)/10,0)</f>
        <v>1070</v>
      </c>
      <c r="V100" s="4">
        <f ca="1">_Google_ads[[#This Row],[cost]]*RANDBETWEEN(8,12)/10</f>
        <v>181.44</v>
      </c>
      <c r="W100" s="4">
        <f ca="1">ROUND(_Google_ads[[#This Row],[conversions]]*RANDBETWEEN(8,12)/10,0)</f>
        <v>44</v>
      </c>
      <c r="X100" s="4">
        <f ca="1">ROUND(_Google_ads[[#This Row],[conversion_value]]*RANDBETWEEN(8,12)/10,0)</f>
        <v>2640</v>
      </c>
      <c r="Y100" s="4">
        <f ca="1">_Google_ads[[#This Row],[ctr]]*RANDBETWEEN(8,12)/10</f>
        <v>4.5450000000000004E-2</v>
      </c>
      <c r="Z100" s="4">
        <f ca="1">_Google_ads[[#This Row],[avg_cpc]]*RANDBETWEEN(8,12)/10</f>
        <v>0.22800000000000004</v>
      </c>
      <c r="AA100" s="4">
        <f ca="1">ROUND(_Google_ads[[#This Row],[quality_score]]*RANDBETWEEN(8,12)/10,0)</f>
        <v>8</v>
      </c>
      <c r="AB100" s="4">
        <f ca="1">_Google_ads[[#This Row],[search_impression_share]]*RANDBETWEEN(8,12)/10</f>
        <v>0.80999999999999994</v>
      </c>
      <c r="AD100" s="3">
        <f t="shared" ca="1" si="16"/>
        <v>45192</v>
      </c>
      <c r="AE100" s="4" t="s">
        <v>100</v>
      </c>
      <c r="AF100" s="4" t="s">
        <v>101</v>
      </c>
      <c r="AG100" s="4" t="s">
        <v>102</v>
      </c>
      <c r="AH100" s="4" t="s">
        <v>103</v>
      </c>
      <c r="AI100" s="4">
        <f ca="1">ROUND(T_Tiktok_ads[[#This Row],[impressions]]*RANDBETWEEN(8,12)/10,0)</f>
        <v>241101</v>
      </c>
      <c r="AJ100" s="4">
        <f ca="1">ROUND(T_Tiktok_ads[[#This Row],[clicks]]*RANDBETWEEN(8,12)/10,0)</f>
        <v>4734</v>
      </c>
      <c r="AK100" s="4">
        <v>501.2</v>
      </c>
      <c r="AL100" s="4">
        <f ca="1">ROUND(T_Tiktok_ads[[#This Row],[conversions]]*RANDBETWEEN(8,12)/10,0)</f>
        <v>44</v>
      </c>
      <c r="AM100" s="4">
        <f ca="1">ROUND(T_Tiktok_ads[[#This Row],[video_views]]*RANDBETWEEN(8,12)/10,0)</f>
        <v>199111</v>
      </c>
      <c r="AN100" s="4">
        <f ca="1">ROUND(T_Tiktok_ads[[#This Row],[video_watch_25]]*RANDBETWEEN(8,12)/10,0)</f>
        <v>190802</v>
      </c>
      <c r="AO100" s="4">
        <f ca="1">ROUND(T_Tiktok_ads[[#This Row],[video_watch_50]]*RANDBETWEEN(8,12)/10,0)</f>
        <v>87387</v>
      </c>
      <c r="AP100" s="4">
        <f ca="1">ROUND(T_Tiktok_ads[[#This Row],[video_watch_75]]*RANDBETWEEN(8,12)/10,0)</f>
        <v>80924</v>
      </c>
      <c r="AQ100" s="4">
        <f ca="1">ROUND(T_Tiktok_ads[[#This Row],[video_watch_100]]*RANDBETWEEN(8,12)/10,0)</f>
        <v>59081</v>
      </c>
      <c r="AR100" s="4">
        <f ca="1">ROUND(T_Tiktok_ads[[#This Row],[likes]]*RANDBETWEEN(8,12)/10,0)</f>
        <v>11747</v>
      </c>
      <c r="AS100" s="4">
        <f ca="1">ROUND(T_Tiktok_ads[[#This Row],[shares]]*RANDBETWEEN(8,12)/10,0)</f>
        <v>2107</v>
      </c>
      <c r="AT100" s="4">
        <f ca="1">ROUND(T_Tiktok_ads[[#This Row],[comments]]*RANDBETWEEN(8,12)/10,0)</f>
        <v>498</v>
      </c>
      <c r="AV100" s="5">
        <f t="shared" ca="1" si="17"/>
        <v>45197</v>
      </c>
      <c r="AW100">
        <f t="shared" ca="1" si="13"/>
        <v>6</v>
      </c>
      <c r="AX100">
        <f ca="1">ROUND(T_Facebook_Ads115963677175798387[[#This Row],[impressions]]*RANDBETWEEN(8,12)/10,0)</f>
        <v>28523</v>
      </c>
      <c r="AY100">
        <f ca="1">ROUND(T_Facebook_Ads115963677175798387[[#This Row],[clicks]]*RANDBETWEEN(8,12)/10,0)</f>
        <v>801</v>
      </c>
      <c r="AZ100">
        <f ca="1">T_Facebook_Ads115963677175798387[[#This Row],[spend]]*RANDBETWEEN(8,12)/10</f>
        <v>102.08</v>
      </c>
      <c r="BA100">
        <f ca="1">ROUND(T_Facebook_Ads115963677175798387[[#This Row],[conversions]]*RANDBETWEEN(8,12)/10,0)</f>
        <v>10</v>
      </c>
      <c r="BB100">
        <f ca="1">ROUND(T_Facebook_Ads115963677175798387[[#This Row],[video_views]]*RANDBETWEEN(8,12)/10,0)</f>
        <v>8773</v>
      </c>
    </row>
    <row r="101" spans="1:54" ht="15.75" thickBot="1" x14ac:dyDescent="0.3">
      <c r="A101" s="3">
        <f t="shared" ca="1" si="14"/>
        <v>45189</v>
      </c>
      <c r="B101" s="4" t="s">
        <v>56</v>
      </c>
      <c r="C101" s="4" t="s">
        <v>57</v>
      </c>
      <c r="D101" s="4" t="s">
        <v>58</v>
      </c>
      <c r="E101" s="4" t="s">
        <v>59</v>
      </c>
      <c r="F101" s="4">
        <f ca="1">ROUND(T_Facebook_Ads[[#This Row],[impressions]]*RANDBETWEEN(8,12)/10,0)</f>
        <v>13747</v>
      </c>
      <c r="G101" s="4">
        <v>523</v>
      </c>
      <c r="H101" s="4">
        <f ca="1">T_Facebook_Ads[[#This Row],[spend]]*RANDBETWEEN(8,12)/10</f>
        <v>173.07</v>
      </c>
      <c r="I101" s="4">
        <f ca="1">ROUND(T_Facebook_Ads[[#This Row],[conversions]]*RANDBETWEEN(8,12)/10,0)</f>
        <v>40</v>
      </c>
      <c r="J101" s="4">
        <f ca="1">ROUND(T_Facebook_Ads[[#This Row],[video_views]]*RANDBETWEEN(8,12)/10,0)</f>
        <v>1198</v>
      </c>
      <c r="K101" s="4">
        <f ca="1">T_Facebook_Ads[[#This Row],[engagement_rate]]*RANDBETWEEN(8,12)/10</f>
        <v>5.0269999999999995E-2</v>
      </c>
      <c r="L101" s="4">
        <f ca="1">ROUND(T_Facebook_Ads[[#This Row],[reach]]*RANDBETWEEN(8,12)/10,0)</f>
        <v>7174</v>
      </c>
      <c r="M101" s="4">
        <f ca="1">T_Facebook_Ads[[#This Row],[frequency]]*RANDBETWEEN(8,12)/10</f>
        <v>1.4079999999999999</v>
      </c>
      <c r="O101" s="3">
        <f t="shared" ca="1" si="15"/>
        <v>45170</v>
      </c>
      <c r="P101" s="4" t="s">
        <v>80</v>
      </c>
      <c r="Q101" s="4" t="s">
        <v>81</v>
      </c>
      <c r="R101" s="4" t="s">
        <v>82</v>
      </c>
      <c r="S101" s="4" t="s">
        <v>83</v>
      </c>
      <c r="T101" s="4">
        <f ca="1">ROUND(_Google_ads[[#This Row],[impressions]]*RANDBETWEEN(8,12)/10,0)</f>
        <v>38601</v>
      </c>
      <c r="U101" s="4">
        <f ca="1">ROUND(_Google_ads[[#This Row],[clicks]]*RANDBETWEEN(8,12)/10,0)</f>
        <v>834</v>
      </c>
      <c r="V101" s="4">
        <f ca="1">_Google_ads[[#This Row],[cost]]*RANDBETWEEN(8,12)/10</f>
        <v>494.37</v>
      </c>
      <c r="W101" s="4">
        <f ca="1">ROUND(_Google_ads[[#This Row],[conversions]]*RANDBETWEEN(8,12)/10,0)</f>
        <v>25</v>
      </c>
      <c r="X101" s="4">
        <f ca="1">ROUND(_Google_ads[[#This Row],[conversion_value]]*RANDBETWEEN(8,12)/10,0)</f>
        <v>1260</v>
      </c>
      <c r="Y101" s="4">
        <f ca="1">_Google_ads[[#This Row],[ctr]]*RANDBETWEEN(8,12)/10</f>
        <v>1.755E-2</v>
      </c>
      <c r="Z101" s="4">
        <f ca="1">_Google_ads[[#This Row],[avg_cpc]]*RANDBETWEEN(8,12)/10</f>
        <v>0.79200000000000004</v>
      </c>
      <c r="AA101" s="4">
        <f ca="1">ROUND(_Google_ads[[#This Row],[quality_score]]*RANDBETWEEN(8,12)/10,0)</f>
        <v>6</v>
      </c>
      <c r="AB101" s="4">
        <f ca="1">_Google_ads[[#This Row],[search_impression_share]]*RANDBETWEEN(8,12)/10</f>
        <v>0.34399999999999997</v>
      </c>
      <c r="AD101" s="3">
        <f t="shared" ca="1" si="16"/>
        <v>45182</v>
      </c>
      <c r="AE101" s="4" t="s">
        <v>104</v>
      </c>
      <c r="AF101" s="4" t="s">
        <v>105</v>
      </c>
      <c r="AG101" s="4" t="s">
        <v>106</v>
      </c>
      <c r="AH101" s="4" t="s">
        <v>107</v>
      </c>
      <c r="AI101" s="4">
        <f ca="1">ROUND(T_Tiktok_ads[[#This Row],[impressions]]*RANDBETWEEN(8,12)/10,0)</f>
        <v>134011</v>
      </c>
      <c r="AJ101" s="4">
        <f ca="1">ROUND(T_Tiktok_ads[[#This Row],[clicks]]*RANDBETWEEN(8,12)/10,0)</f>
        <v>2834</v>
      </c>
      <c r="AK101" s="4">
        <v>756.7</v>
      </c>
      <c r="AL101" s="4">
        <f ca="1">ROUND(T_Tiktok_ads[[#This Row],[conversions]]*RANDBETWEEN(8,12)/10,0)</f>
        <v>61</v>
      </c>
      <c r="AM101" s="4">
        <f ca="1">ROUND(T_Tiktok_ads[[#This Row],[video_views]]*RANDBETWEEN(8,12)/10,0)</f>
        <v>91111</v>
      </c>
      <c r="AN101" s="4">
        <f ca="1">ROUND(T_Tiktok_ads[[#This Row],[video_watch_25]]*RANDBETWEEN(8,12)/10,0)</f>
        <v>89480</v>
      </c>
      <c r="AO101" s="4">
        <f ca="1">ROUND(T_Tiktok_ads[[#This Row],[video_watch_50]]*RANDBETWEEN(8,12)/10,0)</f>
        <v>40187</v>
      </c>
      <c r="AP101" s="4">
        <f ca="1">ROUND(T_Tiktok_ads[[#This Row],[video_watch_75]]*RANDBETWEEN(8,12)/10,0)</f>
        <v>45468</v>
      </c>
      <c r="AQ101" s="4">
        <f ca="1">ROUND(T_Tiktok_ads[[#This Row],[video_watch_100]]*RANDBETWEEN(8,12)/10,0)</f>
        <v>30281</v>
      </c>
      <c r="AR101" s="4">
        <f ca="1">ROUND(T_Tiktok_ads[[#This Row],[likes]]*RANDBETWEEN(8,12)/10,0)</f>
        <v>6014</v>
      </c>
      <c r="AS101" s="4">
        <f ca="1">ROUND(T_Tiktok_ads[[#This Row],[shares]]*RANDBETWEEN(8,12)/10,0)</f>
        <v>1281</v>
      </c>
      <c r="AT101" s="4">
        <f ca="1">ROUND(T_Tiktok_ads[[#This Row],[comments]]*RANDBETWEEN(8,12)/10,0)</f>
        <v>294</v>
      </c>
      <c r="AV101" s="5">
        <f t="shared" ca="1" si="17"/>
        <v>45198</v>
      </c>
      <c r="AW101">
        <f t="shared" ca="1" si="13"/>
        <v>8</v>
      </c>
      <c r="AX101">
        <f ca="1">ROUND(T_Facebook_Ads115963677175798387[[#This Row],[impressions]]*RANDBETWEEN(8,12)/10,0)</f>
        <v>12372</v>
      </c>
      <c r="AY101">
        <f ca="1">ROUND(T_Facebook_Ads115963677175798387[[#This Row],[clicks]]*RANDBETWEEN(8,12)/10,0)</f>
        <v>575</v>
      </c>
      <c r="AZ101">
        <f ca="1">T_Facebook_Ads115963677175798387[[#This Row],[spend]]*RANDBETWEEN(8,12)/10</f>
        <v>173.07</v>
      </c>
      <c r="BA101">
        <f ca="1">ROUND(T_Facebook_Ads115963677175798387[[#This Row],[conversions]]*RANDBETWEEN(8,12)/10,0)</f>
        <v>40</v>
      </c>
      <c r="BB101">
        <f ca="1">ROUND(T_Facebook_Ads115963677175798387[[#This Row],[video_views]]*RANDBETWEEN(8,12)/10,0)</f>
        <v>1078</v>
      </c>
    </row>
    <row r="102" spans="1:54" ht="15.75" thickBot="1" x14ac:dyDescent="0.3">
      <c r="A102" s="3">
        <f t="shared" ca="1" si="14"/>
        <v>45175</v>
      </c>
      <c r="B102" s="4" t="s">
        <v>60</v>
      </c>
      <c r="C102" s="4" t="s">
        <v>61</v>
      </c>
      <c r="D102" s="4" t="s">
        <v>62</v>
      </c>
      <c r="E102" s="4" t="s">
        <v>63</v>
      </c>
      <c r="F102" s="4">
        <f ca="1">ROUND(T_Facebook_Ads[[#This Row],[impressions]]*RANDBETWEEN(8,12)/10,0)</f>
        <v>36924</v>
      </c>
      <c r="G102" s="4">
        <v>1203</v>
      </c>
      <c r="H102" s="4">
        <f ca="1">T_Facebook_Ads[[#This Row],[spend]]*RANDBETWEEN(8,12)/10</f>
        <v>147.6</v>
      </c>
      <c r="I102" s="4">
        <f ca="1">ROUND(T_Facebook_Ads[[#This Row],[conversions]]*RANDBETWEEN(8,12)/10,0)</f>
        <v>30</v>
      </c>
      <c r="J102" s="4">
        <f ca="1">ROUND(T_Facebook_Ads[[#This Row],[video_views]]*RANDBETWEEN(8,12)/10,0)</f>
        <v>3711</v>
      </c>
      <c r="K102" s="4">
        <f ca="1">T_Facebook_Ads[[#This Row],[engagement_rate]]*RANDBETWEEN(8,12)/10</f>
        <v>3.5799999999999998E-2</v>
      </c>
      <c r="L102" s="4">
        <f ca="1">ROUND(T_Facebook_Ads[[#This Row],[reach]]*RANDBETWEEN(8,12)/10,0)</f>
        <v>30679</v>
      </c>
      <c r="M102" s="4">
        <f ca="1">T_Facebook_Ads[[#This Row],[frequency]]*RANDBETWEEN(8,12)/10</f>
        <v>1.2</v>
      </c>
      <c r="O102" s="3">
        <f t="shared" ca="1" si="15"/>
        <v>45177</v>
      </c>
      <c r="P102" s="4" t="s">
        <v>84</v>
      </c>
      <c r="Q102" s="4" t="s">
        <v>85</v>
      </c>
      <c r="R102" s="4" t="s">
        <v>86</v>
      </c>
      <c r="S102" s="4" t="s">
        <v>87</v>
      </c>
      <c r="T102" s="4">
        <f ca="1">ROUND(_Google_ads[[#This Row],[impressions]]*RANDBETWEEN(8,12)/10,0)</f>
        <v>72857</v>
      </c>
      <c r="U102" s="4">
        <f ca="1">ROUND(_Google_ads[[#This Row],[clicks]]*RANDBETWEEN(8,12)/10,0)</f>
        <v>2600</v>
      </c>
      <c r="V102" s="4">
        <f ca="1">_Google_ads[[#This Row],[cost]]*RANDBETWEEN(8,12)/10</f>
        <v>316.64</v>
      </c>
      <c r="W102" s="4">
        <f ca="1">ROUND(_Google_ads[[#This Row],[conversions]]*RANDBETWEEN(8,12)/10,0)</f>
        <v>49</v>
      </c>
      <c r="X102" s="4">
        <f ca="1">ROUND(_Google_ads[[#This Row],[conversion_value]]*RANDBETWEEN(8,12)/10,0)</f>
        <v>3050</v>
      </c>
      <c r="Y102" s="4">
        <f ca="1">_Google_ads[[#This Row],[ctr]]*RANDBETWEEN(8,12)/10</f>
        <v>2.9430000000000001E-2</v>
      </c>
      <c r="Z102" s="4">
        <f ca="1">_Google_ads[[#This Row],[avg_cpc]]*RANDBETWEEN(8,12)/10</f>
        <v>0.16199999999999998</v>
      </c>
      <c r="AA102" s="4">
        <f ca="1">ROUND(_Google_ads[[#This Row],[quality_score]]*RANDBETWEEN(8,12)/10,0)</f>
        <v>9</v>
      </c>
      <c r="AB102" s="4">
        <f ca="1">_Google_ads[[#This Row],[search_impression_share]]*RANDBETWEEN(8,12)/10</f>
        <v>0.79200000000000004</v>
      </c>
      <c r="AD102" s="3">
        <f t="shared" ca="1" si="16"/>
        <v>45175</v>
      </c>
      <c r="AE102" s="4" t="s">
        <v>108</v>
      </c>
      <c r="AF102" s="4" t="s">
        <v>109</v>
      </c>
      <c r="AG102" s="4" t="s">
        <v>110</v>
      </c>
      <c r="AH102" s="4" t="s">
        <v>111</v>
      </c>
      <c r="AI102" s="4">
        <f ca="1">ROUND(T_Tiktok_ads[[#This Row],[impressions]]*RANDBETWEEN(8,12)/10,0)</f>
        <v>245802</v>
      </c>
      <c r="AJ102" s="4">
        <f ca="1">ROUND(T_Tiktok_ads[[#This Row],[clicks]]*RANDBETWEEN(8,12)/10,0)</f>
        <v>2854</v>
      </c>
      <c r="AK102" s="4">
        <v>427.7</v>
      </c>
      <c r="AL102" s="4">
        <f ca="1">ROUND(T_Tiktok_ads[[#This Row],[conversions]]*RANDBETWEEN(8,12)/10,0)</f>
        <v>27</v>
      </c>
      <c r="AM102" s="4">
        <f ca="1">ROUND(T_Tiktok_ads[[#This Row],[video_views]]*RANDBETWEEN(8,12)/10,0)</f>
        <v>214681</v>
      </c>
      <c r="AN102" s="4">
        <f ca="1">ROUND(T_Tiktok_ads[[#This Row],[video_watch_25]]*RANDBETWEEN(8,12)/10,0)</f>
        <v>135234</v>
      </c>
      <c r="AO102" s="4">
        <f ca="1">ROUND(T_Tiktok_ads[[#This Row],[video_watch_50]]*RANDBETWEEN(8,12)/10,0)</f>
        <v>128147</v>
      </c>
      <c r="AP102" s="4">
        <f ca="1">ROUND(T_Tiktok_ads[[#This Row],[video_watch_75]]*RANDBETWEEN(8,12)/10,0)</f>
        <v>55387</v>
      </c>
      <c r="AQ102" s="4">
        <f ca="1">ROUND(T_Tiktok_ads[[#This Row],[video_watch_100]]*RANDBETWEEN(8,12)/10,0)</f>
        <v>37610</v>
      </c>
      <c r="AR102" s="4">
        <f ca="1">ROUND(T_Tiktok_ads[[#This Row],[likes]]*RANDBETWEEN(8,12)/10,0)</f>
        <v>9057</v>
      </c>
      <c r="AS102" s="4">
        <f ca="1">ROUND(T_Tiktok_ads[[#This Row],[shares]]*RANDBETWEEN(8,12)/10,0)</f>
        <v>2720</v>
      </c>
      <c r="AT102" s="4">
        <f ca="1">ROUND(T_Tiktok_ads[[#This Row],[comments]]*RANDBETWEEN(8,12)/10,0)</f>
        <v>587</v>
      </c>
      <c r="AV102" s="5">
        <f t="shared" ca="1" si="17"/>
        <v>45185</v>
      </c>
      <c r="AW102">
        <f t="shared" ca="1" si="13"/>
        <v>4</v>
      </c>
      <c r="AX102">
        <f ca="1">ROUND(T_Facebook_Ads115963677175798387[[#This Row],[impressions]]*RANDBETWEEN(8,12)/10,0)</f>
        <v>33232</v>
      </c>
      <c r="AY102">
        <f ca="1">ROUND(T_Facebook_Ads115963677175798387[[#This Row],[clicks]]*RANDBETWEEN(8,12)/10,0)</f>
        <v>1203</v>
      </c>
      <c r="AZ102">
        <f ca="1">T_Facebook_Ads115963677175798387[[#This Row],[spend]]*RANDBETWEEN(8,12)/10</f>
        <v>147.6</v>
      </c>
      <c r="BA102">
        <f ca="1">ROUND(T_Facebook_Ads115963677175798387[[#This Row],[conversions]]*RANDBETWEEN(8,12)/10,0)</f>
        <v>36</v>
      </c>
      <c r="BB102">
        <f ca="1">ROUND(T_Facebook_Ads115963677175798387[[#This Row],[video_views]]*RANDBETWEEN(8,12)/10,0)</f>
        <v>3340</v>
      </c>
    </row>
    <row r="103" spans="1:54" ht="15.75" thickBot="1" x14ac:dyDescent="0.3">
      <c r="A103" s="3">
        <f t="shared" ca="1" si="14"/>
        <v>45180</v>
      </c>
      <c r="B103" s="4" t="s">
        <v>64</v>
      </c>
      <c r="C103" s="4" t="s">
        <v>65</v>
      </c>
      <c r="D103" s="4" t="s">
        <v>66</v>
      </c>
      <c r="E103" s="4" t="s">
        <v>67</v>
      </c>
      <c r="F103" s="4">
        <f ca="1">ROUND(T_Facebook_Ads[[#This Row],[impressions]]*RANDBETWEEN(8,12)/10,0)</f>
        <v>65789</v>
      </c>
      <c r="G103" s="4">
        <v>234</v>
      </c>
      <c r="H103" s="4">
        <f ca="1">T_Facebook_Ads[[#This Row],[spend]]*RANDBETWEEN(8,12)/10</f>
        <v>64.320000000000007</v>
      </c>
      <c r="I103" s="4">
        <f ca="1">ROUND(T_Facebook_Ads[[#This Row],[conversions]]*RANDBETWEEN(8,12)/10,0)</f>
        <v>3</v>
      </c>
      <c r="J103" s="4">
        <f ca="1">ROUND(T_Facebook_Ads[[#This Row],[video_views]]*RANDBETWEEN(8,12)/10,0)</f>
        <v>48279</v>
      </c>
      <c r="K103" s="4">
        <f ca="1">T_Facebook_Ads[[#This Row],[engagement_rate]]*RANDBETWEEN(8,12)/10</f>
        <v>4.3200000000000001E-3</v>
      </c>
      <c r="L103" s="4">
        <f ca="1">ROUND(T_Facebook_Ads[[#This Row],[reach]]*RANDBETWEEN(8,12)/10,0)</f>
        <v>43298</v>
      </c>
      <c r="M103" s="4">
        <f ca="1">T_Facebook_Ads[[#This Row],[frequency]]*RANDBETWEEN(8,12)/10</f>
        <v>0.96799999999999997</v>
      </c>
      <c r="O103" s="3">
        <f t="shared" ca="1" si="15"/>
        <v>45190</v>
      </c>
      <c r="P103" s="4" t="s">
        <v>88</v>
      </c>
      <c r="Q103" s="4" t="s">
        <v>89</v>
      </c>
      <c r="R103" s="4" t="s">
        <v>90</v>
      </c>
      <c r="S103" s="4" t="s">
        <v>59</v>
      </c>
      <c r="T103" s="4">
        <f ca="1">ROUND(_Google_ads[[#This Row],[impressions]]*RANDBETWEEN(8,12)/10,0)</f>
        <v>127345</v>
      </c>
      <c r="U103" s="4">
        <f ca="1">ROUND(_Google_ads[[#This Row],[clicks]]*RANDBETWEEN(8,12)/10,0)</f>
        <v>356</v>
      </c>
      <c r="V103" s="4">
        <f ca="1">_Google_ads[[#This Row],[cost]]*RANDBETWEEN(8,12)/10</f>
        <v>112.58999999999999</v>
      </c>
      <c r="W103" s="4">
        <f ca="1">ROUND(_Google_ads[[#This Row],[conversions]]*RANDBETWEEN(8,12)/10,0)</f>
        <v>14</v>
      </c>
      <c r="X103" s="4">
        <f ca="1">ROUND(_Google_ads[[#This Row],[conversion_value]]*RANDBETWEEN(8,12)/10,0)</f>
        <v>540</v>
      </c>
      <c r="Y103" s="4">
        <f ca="1">_Google_ads[[#This Row],[ctr]]*RANDBETWEEN(8,12)/10</f>
        <v>3.5000000000000005E-3</v>
      </c>
      <c r="Z103" s="4">
        <f ca="1">_Google_ads[[#This Row],[avg_cpc]]*RANDBETWEEN(8,12)/10</f>
        <v>0.308</v>
      </c>
      <c r="AA103" s="4">
        <f ca="1">ROUND(_Google_ads[[#This Row],[quality_score]]*RANDBETWEEN(8,12)/10,0)</f>
        <v>8</v>
      </c>
      <c r="AB103" s="4">
        <f ca="1">_Google_ads[[#This Row],[search_impression_share]]*RANDBETWEEN(8,12)/10</f>
        <v>0.33</v>
      </c>
      <c r="AD103" s="3">
        <f t="shared" ca="1" si="16"/>
        <v>45189</v>
      </c>
      <c r="AE103" s="4" t="s">
        <v>112</v>
      </c>
      <c r="AF103" s="4" t="s">
        <v>113</v>
      </c>
      <c r="AG103" s="4" t="s">
        <v>114</v>
      </c>
      <c r="AH103" s="4" t="s">
        <v>115</v>
      </c>
      <c r="AI103" s="4">
        <f ca="1">ROUND(T_Tiktok_ads[[#This Row],[impressions]]*RANDBETWEEN(8,12)/10,0)</f>
        <v>320987</v>
      </c>
      <c r="AJ103" s="4">
        <f ca="1">ROUND(T_Tiktok_ads[[#This Row],[clicks]]*RANDBETWEEN(8,12)/10,0)</f>
        <v>6456</v>
      </c>
      <c r="AK103" s="4">
        <v>989.9</v>
      </c>
      <c r="AL103" s="4">
        <f ca="1">ROUND(T_Tiktok_ads[[#This Row],[conversions]]*RANDBETWEEN(8,12)/10,0)</f>
        <v>121</v>
      </c>
      <c r="AM103" s="4">
        <f ca="1">ROUND(T_Tiktok_ads[[#This Row],[video_views]]*RANDBETWEEN(8,12)/10,0)</f>
        <v>398814</v>
      </c>
      <c r="AN103" s="4">
        <f ca="1">ROUND(T_Tiktok_ads[[#This Row],[video_watch_25]]*RANDBETWEEN(8,12)/10,0)</f>
        <v>267890</v>
      </c>
      <c r="AO103" s="4">
        <f ca="1">ROUND(T_Tiktok_ads[[#This Row],[video_watch_50]]*RANDBETWEEN(8,12)/10,0)</f>
        <v>193110</v>
      </c>
      <c r="AP103" s="4">
        <f ca="1">ROUND(T_Tiktok_ads[[#This Row],[video_watch_75]]*RANDBETWEEN(8,12)/10,0)</f>
        <v>166357</v>
      </c>
      <c r="AQ103" s="4">
        <f ca="1">ROUND(T_Tiktok_ads[[#This Row],[video_watch_100]]*RANDBETWEEN(8,12)/10,0)</f>
        <v>109524</v>
      </c>
      <c r="AR103" s="4">
        <f ca="1">ROUND(T_Tiktok_ads[[#This Row],[likes]]*RANDBETWEEN(8,12)/10,0)</f>
        <v>13787</v>
      </c>
      <c r="AS103" s="4">
        <f ca="1">ROUND(T_Tiktok_ads[[#This Row],[shares]]*RANDBETWEEN(8,12)/10,0)</f>
        <v>5513</v>
      </c>
      <c r="AT103" s="4">
        <f ca="1">ROUND(T_Tiktok_ads[[#This Row],[comments]]*RANDBETWEEN(8,12)/10,0)</f>
        <v>1102</v>
      </c>
      <c r="AV103" s="5">
        <f t="shared" ca="1" si="17"/>
        <v>45199</v>
      </c>
      <c r="AW103">
        <f t="shared" ca="1" si="13"/>
        <v>7</v>
      </c>
      <c r="AX103">
        <f ca="1">ROUND(T_Facebook_Ads115963677175798387[[#This Row],[impressions]]*RANDBETWEEN(8,12)/10,0)</f>
        <v>78947</v>
      </c>
      <c r="AY103">
        <f ca="1">ROUND(T_Facebook_Ads115963677175798387[[#This Row],[clicks]]*RANDBETWEEN(8,12)/10,0)</f>
        <v>211</v>
      </c>
      <c r="AZ103">
        <f ca="1">T_Facebook_Ads115963677175798387[[#This Row],[spend]]*RANDBETWEEN(8,12)/10</f>
        <v>77.184000000000012</v>
      </c>
      <c r="BA103">
        <f ca="1">ROUND(T_Facebook_Ads115963677175798387[[#This Row],[conversions]]*RANDBETWEEN(8,12)/10,0)</f>
        <v>4</v>
      </c>
      <c r="BB103">
        <f ca="1">ROUND(T_Facebook_Ads115963677175798387[[#This Row],[video_views]]*RANDBETWEEN(8,12)/10,0)</f>
        <v>43451</v>
      </c>
    </row>
    <row r="104" spans="1:54" ht="15.75" thickBot="1" x14ac:dyDescent="0.3">
      <c r="A104" s="3">
        <f t="shared" ca="1" si="14"/>
        <v>45182</v>
      </c>
      <c r="B104" s="4" t="s">
        <v>52</v>
      </c>
      <c r="C104" s="4" t="s">
        <v>53</v>
      </c>
      <c r="D104" s="4" t="s">
        <v>54</v>
      </c>
      <c r="E104" s="4" t="s">
        <v>55</v>
      </c>
      <c r="F104" s="4">
        <f ca="1">ROUND(T_Facebook_Ads[[#This Row],[impressions]]*RANDBETWEEN(8,12)/10,0)</f>
        <v>38312</v>
      </c>
      <c r="G104" s="4">
        <v>967</v>
      </c>
      <c r="H104" s="4">
        <f ca="1">T_Facebook_Ads[[#This Row],[spend]]*RANDBETWEEN(8,12)/10</f>
        <v>166.08</v>
      </c>
      <c r="I104" s="4">
        <f ca="1">ROUND(T_Facebook_Ads[[#This Row],[conversions]]*RANDBETWEEN(8,12)/10,0)</f>
        <v>17</v>
      </c>
      <c r="J104" s="4">
        <f ca="1">ROUND(T_Facebook_Ads[[#This Row],[video_views]]*RANDBETWEEN(8,12)/10,0)</f>
        <v>10547</v>
      </c>
      <c r="K104" s="4">
        <f ca="1">T_Facebook_Ads[[#This Row],[engagement_rate]]*RANDBETWEEN(8,12)/10</f>
        <v>2.2219999999999997E-2</v>
      </c>
      <c r="L104" s="4">
        <f ca="1">ROUND(T_Facebook_Ads[[#This Row],[reach]]*RANDBETWEEN(8,12)/10,0)</f>
        <v>32187</v>
      </c>
      <c r="M104" s="4">
        <f ca="1">T_Facebook_Ads[[#This Row],[frequency]]*RANDBETWEEN(8,12)/10</f>
        <v>1.4279999999999999</v>
      </c>
      <c r="O104" s="3">
        <f t="shared" ca="1" si="15"/>
        <v>45196</v>
      </c>
      <c r="P104" s="4" t="s">
        <v>76</v>
      </c>
      <c r="Q104" s="4" t="s">
        <v>77</v>
      </c>
      <c r="R104" s="4" t="s">
        <v>78</v>
      </c>
      <c r="S104" s="4" t="s">
        <v>79</v>
      </c>
      <c r="T104" s="4">
        <f ca="1">ROUND(_Google_ads[[#This Row],[impressions]]*RANDBETWEEN(8,12)/10,0)</f>
        <v>22401</v>
      </c>
      <c r="U104" s="4">
        <f ca="1">ROUND(_Google_ads[[#This Row],[clicks]]*RANDBETWEEN(8,12)/10,0)</f>
        <v>1278</v>
      </c>
      <c r="V104" s="4">
        <f ca="1">_Google_ads[[#This Row],[cost]]*RANDBETWEEN(8,12)/10</f>
        <v>244.2</v>
      </c>
      <c r="W104" s="4">
        <f ca="1">ROUND(_Google_ads[[#This Row],[conversions]]*RANDBETWEEN(8,12)/10,0)</f>
        <v>42</v>
      </c>
      <c r="X104" s="4">
        <f ca="1">ROUND(_Google_ads[[#This Row],[conversion_value]]*RANDBETWEEN(8,12)/10,0)</f>
        <v>1880</v>
      </c>
      <c r="Y104" s="4">
        <f ca="1">_Google_ads[[#This Row],[ctr]]*RANDBETWEEN(8,12)/10</f>
        <v>4.104E-2</v>
      </c>
      <c r="Z104" s="4">
        <f ca="1">_Google_ads[[#This Row],[avg_cpc]]*RANDBETWEEN(8,12)/10</f>
        <v>0.22800000000000004</v>
      </c>
      <c r="AA104" s="4">
        <f ca="1">ROUND(_Google_ads[[#This Row],[quality_score]]*RANDBETWEEN(8,12)/10,0)</f>
        <v>7</v>
      </c>
      <c r="AB104" s="4">
        <f ca="1">_Google_ads[[#This Row],[search_impression_share]]*RANDBETWEEN(8,12)/10</f>
        <v>0.81899999999999995</v>
      </c>
      <c r="AD104" s="3">
        <f t="shared" ca="1" si="16"/>
        <v>45191</v>
      </c>
      <c r="AE104" s="4" t="s">
        <v>100</v>
      </c>
      <c r="AF104" s="4" t="s">
        <v>101</v>
      </c>
      <c r="AG104" s="4" t="s">
        <v>102</v>
      </c>
      <c r="AH104" s="4" t="s">
        <v>103</v>
      </c>
      <c r="AI104" s="4">
        <f ca="1">ROUND(T_Tiktok_ads[[#This Row],[impressions]]*RANDBETWEEN(8,12)/10,0)</f>
        <v>231210</v>
      </c>
      <c r="AJ104" s="4">
        <f ca="1">ROUND(T_Tiktok_ads[[#This Row],[clicks]]*RANDBETWEEN(8,12)/10,0)</f>
        <v>4234</v>
      </c>
      <c r="AK104" s="4">
        <v>556.70000000000005</v>
      </c>
      <c r="AL104" s="4">
        <f ca="1">ROUND(T_Tiktok_ads[[#This Row],[conversions]]*RANDBETWEEN(8,12)/10,0)</f>
        <v>43</v>
      </c>
      <c r="AM104" s="4">
        <f ca="1">ROUND(T_Tiktok_ads[[#This Row],[video_views]]*RANDBETWEEN(8,12)/10,0)</f>
        <v>258024</v>
      </c>
      <c r="AN104" s="4">
        <f ca="1">ROUND(T_Tiktok_ads[[#This Row],[video_watch_25]]*RANDBETWEEN(8,12)/10,0)</f>
        <v>200580</v>
      </c>
      <c r="AO104" s="4">
        <f ca="1">ROUND(T_Tiktok_ads[[#This Row],[video_watch_50]]*RANDBETWEEN(8,12)/10,0)</f>
        <v>137480</v>
      </c>
      <c r="AP104" s="4">
        <f ca="1">ROUND(T_Tiktok_ads[[#This Row],[video_watch_75]]*RANDBETWEEN(8,12)/10,0)</f>
        <v>61787</v>
      </c>
      <c r="AQ104" s="4">
        <f ca="1">ROUND(T_Tiktok_ads[[#This Row],[video_watch_100]]*RANDBETWEEN(8,12)/10,0)</f>
        <v>61481</v>
      </c>
      <c r="AR104" s="4">
        <f ca="1">ROUND(T_Tiktok_ads[[#This Row],[likes]]*RANDBETWEEN(8,12)/10,0)</f>
        <v>9311</v>
      </c>
      <c r="AS104" s="4">
        <f ca="1">ROUND(T_Tiktok_ads[[#This Row],[shares]]*RANDBETWEEN(8,12)/10,0)</f>
        <v>3068</v>
      </c>
      <c r="AT104" s="4">
        <f ca="1">ROUND(T_Tiktok_ads[[#This Row],[comments]]*RANDBETWEEN(8,12)/10,0)</f>
        <v>656</v>
      </c>
      <c r="AV104" s="5">
        <f t="shared" ca="1" si="17"/>
        <v>45193</v>
      </c>
      <c r="AW104">
        <f t="shared" ca="1" si="13"/>
        <v>4</v>
      </c>
      <c r="AX104">
        <f ca="1">ROUND(T_Facebook_Ads115963677175798387[[#This Row],[impressions]]*RANDBETWEEN(8,12)/10,0)</f>
        <v>30650</v>
      </c>
      <c r="AY104">
        <f ca="1">ROUND(T_Facebook_Ads115963677175798387[[#This Row],[clicks]]*RANDBETWEEN(8,12)/10,0)</f>
        <v>967</v>
      </c>
      <c r="AZ104">
        <f ca="1">T_Facebook_Ads115963677175798387[[#This Row],[spend]]*RANDBETWEEN(8,12)/10</f>
        <v>132.864</v>
      </c>
      <c r="BA104">
        <f ca="1">ROUND(T_Facebook_Ads115963677175798387[[#This Row],[conversions]]*RANDBETWEEN(8,12)/10,0)</f>
        <v>14</v>
      </c>
      <c r="BB104">
        <f ca="1">ROUND(T_Facebook_Ads115963677175798387[[#This Row],[video_views]]*RANDBETWEEN(8,12)/10,0)</f>
        <v>8438</v>
      </c>
    </row>
    <row r="105" spans="1:54" ht="15.75" thickBot="1" x14ac:dyDescent="0.3">
      <c r="A105" s="3">
        <f t="shared" ca="1" si="14"/>
        <v>45182</v>
      </c>
      <c r="B105" s="4" t="s">
        <v>56</v>
      </c>
      <c r="C105" s="4" t="s">
        <v>57</v>
      </c>
      <c r="D105" s="4" t="s">
        <v>58</v>
      </c>
      <c r="E105" s="4" t="s">
        <v>59</v>
      </c>
      <c r="F105" s="4">
        <f ca="1">ROUND(T_Facebook_Ads[[#This Row],[impressions]]*RANDBETWEEN(8,12)/10,0)</f>
        <v>13234</v>
      </c>
      <c r="G105" s="4">
        <v>612</v>
      </c>
      <c r="H105" s="4">
        <f ca="1">T_Facebook_Ads[[#This Row],[spend]]*RANDBETWEEN(8,12)/10</f>
        <v>249.15</v>
      </c>
      <c r="I105" s="4">
        <f ca="1">ROUND(T_Facebook_Ads[[#This Row],[conversions]]*RANDBETWEEN(8,12)/10,0)</f>
        <v>35</v>
      </c>
      <c r="J105" s="4">
        <f ca="1">ROUND(T_Facebook_Ads[[#This Row],[video_views]]*RANDBETWEEN(8,12)/10,0)</f>
        <v>1076</v>
      </c>
      <c r="K105" s="4">
        <f ca="1">T_Facebook_Ads[[#This Row],[engagement_rate]]*RANDBETWEEN(8,12)/10</f>
        <v>5.5559999999999998E-2</v>
      </c>
      <c r="L105" s="4">
        <f ca="1">ROUND(T_Facebook_Ads[[#This Row],[reach]]*RANDBETWEEN(8,12)/10,0)</f>
        <v>12547</v>
      </c>
      <c r="M105" s="4">
        <f ca="1">T_Facebook_Ads[[#This Row],[frequency]]*RANDBETWEEN(8,12)/10</f>
        <v>1.397</v>
      </c>
      <c r="O105" s="3">
        <f t="shared" ca="1" si="15"/>
        <v>45186</v>
      </c>
      <c r="P105" s="4" t="s">
        <v>80</v>
      </c>
      <c r="Q105" s="4" t="s">
        <v>81</v>
      </c>
      <c r="R105" s="4" t="s">
        <v>82</v>
      </c>
      <c r="S105" s="4" t="s">
        <v>83</v>
      </c>
      <c r="T105" s="4">
        <f ca="1">ROUND(_Google_ads[[#This Row],[impressions]]*RANDBETWEEN(8,12)/10,0)</f>
        <v>49024</v>
      </c>
      <c r="U105" s="4">
        <f ca="1">ROUND(_Google_ads[[#This Row],[clicks]]*RANDBETWEEN(8,12)/10,0)</f>
        <v>790</v>
      </c>
      <c r="V105" s="4">
        <f ca="1">_Google_ads[[#This Row],[cost]]*RANDBETWEEN(8,12)/10</f>
        <v>627.87999999999988</v>
      </c>
      <c r="W105" s="4">
        <f ca="1">ROUND(_Google_ads[[#This Row],[conversions]]*RANDBETWEEN(8,12)/10,0)</f>
        <v>23</v>
      </c>
      <c r="X105" s="4">
        <f ca="1">ROUND(_Google_ads[[#This Row],[conversion_value]]*RANDBETWEEN(8,12)/10,0)</f>
        <v>1035</v>
      </c>
      <c r="Y105" s="4">
        <f ca="1">_Google_ads[[#This Row],[ctr]]*RANDBETWEEN(8,12)/10</f>
        <v>2.1669999999999998E-2</v>
      </c>
      <c r="Z105" s="4">
        <f ca="1">_Google_ads[[#This Row],[avg_cpc]]*RANDBETWEEN(8,12)/10</f>
        <v>0.71500000000000008</v>
      </c>
      <c r="AA105" s="4">
        <f ca="1">ROUND(_Google_ads[[#This Row],[quality_score]]*RANDBETWEEN(8,12)/10,0)</f>
        <v>7</v>
      </c>
      <c r="AB105" s="4">
        <f ca="1">_Google_ads[[#This Row],[search_impression_share]]*RANDBETWEEN(8,12)/10</f>
        <v>0.44000000000000006</v>
      </c>
      <c r="AD105" s="3">
        <f t="shared" ca="1" si="16"/>
        <v>45191</v>
      </c>
      <c r="AE105" s="4" t="s">
        <v>104</v>
      </c>
      <c r="AF105" s="4" t="s">
        <v>105</v>
      </c>
      <c r="AG105" s="4" t="s">
        <v>106</v>
      </c>
      <c r="AH105" s="4" t="s">
        <v>107</v>
      </c>
      <c r="AI105" s="4">
        <f ca="1">ROUND(T_Tiktok_ads[[#This Row],[impressions]]*RANDBETWEEN(8,12)/10,0)</f>
        <v>172468</v>
      </c>
      <c r="AJ105" s="4">
        <f ca="1">ROUND(T_Tiktok_ads[[#This Row],[clicks]]*RANDBETWEEN(8,12)/10,0)</f>
        <v>2711</v>
      </c>
      <c r="AK105" s="4">
        <v>812.3</v>
      </c>
      <c r="AL105" s="4">
        <f ca="1">ROUND(T_Tiktok_ads[[#This Row],[conversions]]*RANDBETWEEN(8,12)/10,0)</f>
        <v>98</v>
      </c>
      <c r="AM105" s="4">
        <f ca="1">ROUND(T_Tiktok_ads[[#This Row],[video_views]]*RANDBETWEEN(8,12)/10,0)</f>
        <v>87901</v>
      </c>
      <c r="AN105" s="4">
        <f ca="1">ROUND(T_Tiktok_ads[[#This Row],[video_watch_25]]*RANDBETWEEN(8,12)/10,0)</f>
        <v>81234</v>
      </c>
      <c r="AO105" s="4">
        <f ca="1">ROUND(T_Tiktok_ads[[#This Row],[video_watch_50]]*RANDBETWEEN(8,12)/10,0)</f>
        <v>54678</v>
      </c>
      <c r="AP105" s="4">
        <f ca="1">ROUND(T_Tiktok_ads[[#This Row],[video_watch_75]]*RANDBETWEEN(8,12)/10,0)</f>
        <v>37111</v>
      </c>
      <c r="AQ105" s="4">
        <f ca="1">ROUND(T_Tiktok_ads[[#This Row],[video_watch_100]]*RANDBETWEEN(8,12)/10,0)</f>
        <v>22054</v>
      </c>
      <c r="AR105" s="4">
        <f ca="1">ROUND(T_Tiktok_ads[[#This Row],[likes]]*RANDBETWEEN(8,12)/10,0)</f>
        <v>5456</v>
      </c>
      <c r="AS105" s="4">
        <f ca="1">ROUND(T_Tiktok_ads[[#This Row],[shares]]*RANDBETWEEN(8,12)/10,0)</f>
        <v>1567</v>
      </c>
      <c r="AT105" s="4">
        <f ca="1">ROUND(T_Tiktok_ads[[#This Row],[comments]]*RANDBETWEEN(8,12)/10,0)</f>
        <v>289</v>
      </c>
      <c r="AV105" s="5">
        <f t="shared" ca="1" si="17"/>
        <v>45196</v>
      </c>
      <c r="AW105">
        <f t="shared" ca="1" si="13"/>
        <v>1</v>
      </c>
      <c r="AX105">
        <f ca="1">ROUND(T_Facebook_Ads115963677175798387[[#This Row],[impressions]]*RANDBETWEEN(8,12)/10,0)</f>
        <v>10587</v>
      </c>
      <c r="AY105">
        <f ca="1">ROUND(T_Facebook_Ads115963677175798387[[#This Row],[clicks]]*RANDBETWEEN(8,12)/10,0)</f>
        <v>734</v>
      </c>
      <c r="AZ105">
        <f ca="1">T_Facebook_Ads115963677175798387[[#This Row],[spend]]*RANDBETWEEN(8,12)/10</f>
        <v>199.32</v>
      </c>
      <c r="BA105">
        <f ca="1">ROUND(T_Facebook_Ads115963677175798387[[#This Row],[conversions]]*RANDBETWEEN(8,12)/10,0)</f>
        <v>42</v>
      </c>
      <c r="BB105">
        <f ca="1">ROUND(T_Facebook_Ads115963677175798387[[#This Row],[video_views]]*RANDBETWEEN(8,12)/10,0)</f>
        <v>1291</v>
      </c>
    </row>
    <row r="106" spans="1:54" ht="15.75" thickBot="1" x14ac:dyDescent="0.3">
      <c r="A106" s="3">
        <f t="shared" ca="1" si="14"/>
        <v>45180</v>
      </c>
      <c r="B106" s="4" t="s">
        <v>60</v>
      </c>
      <c r="C106" s="4" t="s">
        <v>61</v>
      </c>
      <c r="D106" s="4" t="s">
        <v>62</v>
      </c>
      <c r="E106" s="4" t="s">
        <v>63</v>
      </c>
      <c r="F106" s="4">
        <f ca="1">ROUND(T_Facebook_Ads[[#This Row],[impressions]]*RANDBETWEEN(8,12)/10,0)</f>
        <v>28987</v>
      </c>
      <c r="G106" s="4">
        <v>1334</v>
      </c>
      <c r="H106" s="4">
        <f ca="1">T_Facebook_Ads[[#This Row],[spend]]*RANDBETWEEN(8,12)/10</f>
        <v>162.95999999999998</v>
      </c>
      <c r="I106" s="4">
        <f ca="1">ROUND(T_Facebook_Ads[[#This Row],[conversions]]*RANDBETWEEN(8,12)/10,0)</f>
        <v>22</v>
      </c>
      <c r="J106" s="4">
        <f ca="1">ROUND(T_Facebook_Ads[[#This Row],[video_views]]*RANDBETWEEN(8,12)/10,0)</f>
        <v>5146</v>
      </c>
      <c r="K106" s="4">
        <f ca="1">T_Facebook_Ads[[#This Row],[engagement_rate]]*RANDBETWEEN(8,12)/10</f>
        <v>3.6799999999999999E-2</v>
      </c>
      <c r="L106" s="4">
        <f ca="1">ROUND(T_Facebook_Ads[[#This Row],[reach]]*RANDBETWEEN(8,12)/10,0)</f>
        <v>36148</v>
      </c>
      <c r="M106" s="4">
        <f ca="1">T_Facebook_Ads[[#This Row],[frequency]]*RANDBETWEEN(8,12)/10</f>
        <v>0.96</v>
      </c>
      <c r="O106" s="3">
        <f t="shared" ca="1" si="15"/>
        <v>45178</v>
      </c>
      <c r="P106" s="4" t="s">
        <v>84</v>
      </c>
      <c r="Q106" s="4" t="s">
        <v>85</v>
      </c>
      <c r="R106" s="4" t="s">
        <v>86</v>
      </c>
      <c r="S106" s="4" t="s">
        <v>87</v>
      </c>
      <c r="T106" s="4">
        <f ca="1">ROUND(_Google_ads[[#This Row],[impressions]]*RANDBETWEEN(8,12)/10,0)</f>
        <v>54765</v>
      </c>
      <c r="U106" s="4">
        <f ca="1">ROUND(_Google_ads[[#This Row],[clicks]]*RANDBETWEEN(8,12)/10,0)</f>
        <v>2747</v>
      </c>
      <c r="V106" s="4">
        <f ca="1">_Google_ads[[#This Row],[cost]]*RANDBETWEEN(8,12)/10</f>
        <v>503.4</v>
      </c>
      <c r="W106" s="4">
        <f ca="1">ROUND(_Google_ads[[#This Row],[conversions]]*RANDBETWEEN(8,12)/10,0)</f>
        <v>79</v>
      </c>
      <c r="X106" s="4">
        <f ca="1">ROUND(_Google_ads[[#This Row],[conversion_value]]*RANDBETWEEN(8,12)/10,0)</f>
        <v>3960</v>
      </c>
      <c r="Y106" s="4">
        <f ca="1">_Google_ads[[#This Row],[ctr]]*RANDBETWEEN(8,12)/10</f>
        <v>3.6740000000000002E-2</v>
      </c>
      <c r="Z106" s="4">
        <f ca="1">_Google_ads[[#This Row],[avg_cpc]]*RANDBETWEEN(8,12)/10</f>
        <v>0.21600000000000003</v>
      </c>
      <c r="AA106" s="4">
        <f ca="1">ROUND(_Google_ads[[#This Row],[quality_score]]*RANDBETWEEN(8,12)/10,0)</f>
        <v>8</v>
      </c>
      <c r="AB106" s="4">
        <f ca="1">_Google_ads[[#This Row],[search_impression_share]]*RANDBETWEEN(8,12)/10</f>
        <v>0.73699999999999999</v>
      </c>
      <c r="AD106" s="3">
        <f t="shared" ca="1" si="16"/>
        <v>45190</v>
      </c>
      <c r="AE106" s="4" t="s">
        <v>108</v>
      </c>
      <c r="AF106" s="4" t="s">
        <v>109</v>
      </c>
      <c r="AG106" s="4" t="s">
        <v>110</v>
      </c>
      <c r="AH106" s="4" t="s">
        <v>111</v>
      </c>
      <c r="AI106" s="4">
        <f ca="1">ROUND(T_Tiktok_ads[[#This Row],[impressions]]*RANDBETWEEN(8,12)/10,0)</f>
        <v>221110</v>
      </c>
      <c r="AJ106" s="4">
        <f ca="1">ROUND(T_Tiktok_ads[[#This Row],[clicks]]*RANDBETWEEN(8,12)/10,0)</f>
        <v>3501</v>
      </c>
      <c r="AK106" s="4">
        <v>467.8</v>
      </c>
      <c r="AL106" s="4">
        <f ca="1">ROUND(T_Tiktok_ads[[#This Row],[conversions]]*RANDBETWEEN(8,12)/10,0)</f>
        <v>27</v>
      </c>
      <c r="AM106" s="4">
        <f ca="1">ROUND(T_Tiktok_ads[[#This Row],[video_views]]*RANDBETWEEN(8,12)/10,0)</f>
        <v>176110</v>
      </c>
      <c r="AN106" s="4">
        <f ca="1">ROUND(T_Tiktok_ads[[#This Row],[video_watch_25]]*RANDBETWEEN(8,12)/10,0)</f>
        <v>177881</v>
      </c>
      <c r="AO106" s="4">
        <f ca="1">ROUND(T_Tiktok_ads[[#This Row],[video_watch_50]]*RANDBETWEEN(8,12)/10,0)</f>
        <v>140681</v>
      </c>
      <c r="AP106" s="4">
        <f ca="1">ROUND(T_Tiktok_ads[[#This Row],[video_watch_75]]*RANDBETWEEN(8,12)/10,0)</f>
        <v>67711</v>
      </c>
      <c r="AQ106" s="4">
        <f ca="1">ROUND(T_Tiktok_ads[[#This Row],[video_watch_100]]*RANDBETWEEN(8,12)/10,0)</f>
        <v>54947</v>
      </c>
      <c r="AR106" s="4">
        <f ca="1">ROUND(T_Tiktok_ads[[#This Row],[likes]]*RANDBETWEEN(8,12)/10,0)</f>
        <v>6854</v>
      </c>
      <c r="AS106" s="4">
        <f ca="1">ROUND(T_Tiktok_ads[[#This Row],[shares]]*RANDBETWEEN(8,12)/10,0)</f>
        <v>1876</v>
      </c>
      <c r="AT106" s="4">
        <f ca="1">ROUND(T_Tiktok_ads[[#This Row],[comments]]*RANDBETWEEN(8,12)/10,0)</f>
        <v>624</v>
      </c>
      <c r="AV106" s="5">
        <f t="shared" ca="1" si="17"/>
        <v>45180</v>
      </c>
      <c r="AW106">
        <f t="shared" ca="1" si="13"/>
        <v>5</v>
      </c>
      <c r="AX106">
        <f ca="1">ROUND(T_Facebook_Ads115963677175798387[[#This Row],[impressions]]*RANDBETWEEN(8,12)/10,0)</f>
        <v>26088</v>
      </c>
      <c r="AY106">
        <f ca="1">ROUND(T_Facebook_Ads115963677175798387[[#This Row],[clicks]]*RANDBETWEEN(8,12)/10,0)</f>
        <v>1467</v>
      </c>
      <c r="AZ106">
        <f ca="1">T_Facebook_Ads115963677175798387[[#This Row],[spend]]*RANDBETWEEN(8,12)/10</f>
        <v>146.66399999999999</v>
      </c>
      <c r="BA106">
        <f ca="1">ROUND(T_Facebook_Ads115963677175798387[[#This Row],[conversions]]*RANDBETWEEN(8,12)/10,0)</f>
        <v>20</v>
      </c>
      <c r="BB106">
        <f ca="1">ROUND(T_Facebook_Ads115963677175798387[[#This Row],[video_views]]*RANDBETWEEN(8,12)/10,0)</f>
        <v>4631</v>
      </c>
    </row>
    <row r="107" spans="1:54" ht="15.75" thickBot="1" x14ac:dyDescent="0.3">
      <c r="A107" s="3">
        <f t="shared" ca="1" si="14"/>
        <v>45179</v>
      </c>
      <c r="B107" s="4" t="s">
        <v>64</v>
      </c>
      <c r="C107" s="4" t="s">
        <v>65</v>
      </c>
      <c r="D107" s="4" t="s">
        <v>66</v>
      </c>
      <c r="E107" s="4" t="s">
        <v>67</v>
      </c>
      <c r="F107" s="4">
        <f ca="1">ROUND(T_Facebook_Ads[[#This Row],[impressions]]*RANDBETWEEN(8,12)/10,0)</f>
        <v>69567</v>
      </c>
      <c r="G107" s="4">
        <v>253</v>
      </c>
      <c r="H107" s="4">
        <f ca="1">T_Facebook_Ads[[#This Row],[spend]]*RANDBETWEEN(8,12)/10</f>
        <v>88.7</v>
      </c>
      <c r="I107" s="4">
        <f ca="1">ROUND(T_Facebook_Ads[[#This Row],[conversions]]*RANDBETWEEN(8,12)/10,0)</f>
        <v>5</v>
      </c>
      <c r="J107" s="4">
        <f ca="1">ROUND(T_Facebook_Ads[[#This Row],[video_views]]*RANDBETWEEN(8,12)/10,0)</f>
        <v>46890</v>
      </c>
      <c r="K107" s="4">
        <f ca="1">T_Facebook_Ads[[#This Row],[engagement_rate]]*RANDBETWEEN(8,12)/10</f>
        <v>3.5999999999999999E-3</v>
      </c>
      <c r="L107" s="4">
        <f ca="1">ROUND(T_Facebook_Ads[[#This Row],[reach]]*RANDBETWEEN(8,12)/10,0)</f>
        <v>68548</v>
      </c>
      <c r="M107" s="4">
        <f ca="1">T_Facebook_Ads[[#This Row],[frequency]]*RANDBETWEEN(8,12)/10</f>
        <v>1.0980000000000001</v>
      </c>
      <c r="O107" s="3">
        <f t="shared" ca="1" si="15"/>
        <v>45195</v>
      </c>
      <c r="P107" s="4" t="s">
        <v>88</v>
      </c>
      <c r="Q107" s="4" t="s">
        <v>89</v>
      </c>
      <c r="R107" s="4" t="s">
        <v>90</v>
      </c>
      <c r="S107" s="4" t="s">
        <v>59</v>
      </c>
      <c r="T107" s="4">
        <f ca="1">ROUND(_Google_ads[[#This Row],[impressions]]*RANDBETWEEN(8,12)/10,0)</f>
        <v>157481</v>
      </c>
      <c r="U107" s="4">
        <f ca="1">ROUND(_Google_ads[[#This Row],[clicks]]*RANDBETWEEN(8,12)/10,0)</f>
        <v>420</v>
      </c>
      <c r="V107" s="4">
        <f ca="1">_Google_ads[[#This Row],[cost]]*RANDBETWEEN(8,12)/10</f>
        <v>116.01000000000002</v>
      </c>
      <c r="W107" s="4">
        <f ca="1">ROUND(_Google_ads[[#This Row],[conversions]]*RANDBETWEEN(8,12)/10,0)</f>
        <v>14</v>
      </c>
      <c r="X107" s="4">
        <f ca="1">ROUND(_Google_ads[[#This Row],[conversion_value]]*RANDBETWEEN(8,12)/10,0)</f>
        <v>780</v>
      </c>
      <c r="Y107" s="4">
        <f ca="1">_Google_ads[[#This Row],[ctr]]*RANDBETWEEN(8,12)/10</f>
        <v>3.96E-3</v>
      </c>
      <c r="Z107" s="4">
        <f ca="1">_Google_ads[[#This Row],[avg_cpc]]*RANDBETWEEN(8,12)/10</f>
        <v>0.308</v>
      </c>
      <c r="AA107" s="4">
        <f ca="1">ROUND(_Google_ads[[#This Row],[quality_score]]*RANDBETWEEN(8,12)/10,0)</f>
        <v>6</v>
      </c>
      <c r="AB107" s="4">
        <f ca="1">_Google_ads[[#This Row],[search_impression_share]]*RANDBETWEEN(8,12)/10</f>
        <v>0.34</v>
      </c>
      <c r="AD107" s="3">
        <f t="shared" ca="1" si="16"/>
        <v>45188</v>
      </c>
      <c r="AE107" s="4" t="s">
        <v>112</v>
      </c>
      <c r="AF107" s="4" t="s">
        <v>113</v>
      </c>
      <c r="AG107" s="4" t="s">
        <v>114</v>
      </c>
      <c r="AH107" s="4" t="s">
        <v>115</v>
      </c>
      <c r="AI107" s="4">
        <f ca="1">ROUND(T_Tiktok_ads[[#This Row],[impressions]]*RANDBETWEEN(8,12)/10,0)</f>
        <v>465802</v>
      </c>
      <c r="AJ107" s="4">
        <f ca="1">ROUND(T_Tiktok_ads[[#This Row],[clicks]]*RANDBETWEEN(8,12)/10,0)</f>
        <v>6201</v>
      </c>
      <c r="AK107" s="4">
        <v>1056.8</v>
      </c>
      <c r="AL107" s="4">
        <f ca="1">ROUND(T_Tiktok_ads[[#This Row],[conversions]]*RANDBETWEEN(8,12)/10,0)</f>
        <v>128</v>
      </c>
      <c r="AM107" s="4">
        <f ca="1">ROUND(T_Tiktok_ads[[#This Row],[video_views]]*RANDBETWEEN(8,12)/10,0)</f>
        <v>285431</v>
      </c>
      <c r="AN107" s="4">
        <f ca="1">ROUND(T_Tiktok_ads[[#This Row],[video_watch_25]]*RANDBETWEEN(8,12)/10,0)</f>
        <v>347081</v>
      </c>
      <c r="AO107" s="4">
        <f ca="1">ROUND(T_Tiktok_ads[[#This Row],[video_watch_50]]*RANDBETWEEN(8,12)/10,0)</f>
        <v>254602</v>
      </c>
      <c r="AP107" s="4">
        <f ca="1">ROUND(T_Tiktok_ads[[#This Row],[video_watch_75]]*RANDBETWEEN(8,12)/10,0)</f>
        <v>164567</v>
      </c>
      <c r="AQ107" s="4">
        <f ca="1">ROUND(T_Tiktok_ads[[#This Row],[video_watch_100]]*RANDBETWEEN(8,12)/10,0)</f>
        <v>98311</v>
      </c>
      <c r="AR107" s="4">
        <f ca="1">ROUND(T_Tiktok_ads[[#This Row],[likes]]*RANDBETWEEN(8,12)/10,0)</f>
        <v>15112</v>
      </c>
      <c r="AS107" s="4">
        <f ca="1">ROUND(T_Tiktok_ads[[#This Row],[shares]]*RANDBETWEEN(8,12)/10,0)</f>
        <v>4910</v>
      </c>
      <c r="AT107" s="4">
        <f ca="1">ROUND(T_Tiktok_ads[[#This Row],[comments]]*RANDBETWEEN(8,12)/10,0)</f>
        <v>1340</v>
      </c>
      <c r="AV107" s="5">
        <f t="shared" ca="1" si="17"/>
        <v>45181</v>
      </c>
      <c r="AW107">
        <f t="shared" ca="1" si="13"/>
        <v>8</v>
      </c>
      <c r="AX107">
        <f ca="1">ROUND(T_Facebook_Ads115963677175798387[[#This Row],[impressions]]*RANDBETWEEN(8,12)/10,0)</f>
        <v>69567</v>
      </c>
      <c r="AY107">
        <f ca="1">ROUND(T_Facebook_Ads115963677175798387[[#This Row],[clicks]]*RANDBETWEEN(8,12)/10,0)</f>
        <v>278</v>
      </c>
      <c r="AZ107">
        <f ca="1">T_Facebook_Ads115963677175798387[[#This Row],[spend]]*RANDBETWEEN(8,12)/10</f>
        <v>106.44000000000001</v>
      </c>
      <c r="BA107">
        <f ca="1">ROUND(T_Facebook_Ads115963677175798387[[#This Row],[conversions]]*RANDBETWEEN(8,12)/10,0)</f>
        <v>4</v>
      </c>
      <c r="BB107">
        <f ca="1">ROUND(T_Facebook_Ads115963677175798387[[#This Row],[video_views]]*RANDBETWEEN(8,12)/10,0)</f>
        <v>51579</v>
      </c>
    </row>
    <row r="108" spans="1:54" ht="15.75" thickBot="1" x14ac:dyDescent="0.3">
      <c r="A108" s="3">
        <f t="shared" ca="1" si="14"/>
        <v>45189</v>
      </c>
      <c r="B108" s="4" t="s">
        <v>52</v>
      </c>
      <c r="C108" s="4" t="s">
        <v>53</v>
      </c>
      <c r="D108" s="4" t="s">
        <v>54</v>
      </c>
      <c r="E108" s="4" t="s">
        <v>55</v>
      </c>
      <c r="F108" s="4">
        <f ca="1">ROUND(T_Facebook_Ads[[#This Row],[impressions]]*RANDBETWEEN(8,12)/10,0)</f>
        <v>59081</v>
      </c>
      <c r="G108" s="4">
        <v>1001</v>
      </c>
      <c r="H108" s="4">
        <f ca="1">T_Facebook_Ads[[#This Row],[spend]]*RANDBETWEEN(8,12)/10</f>
        <v>171.36</v>
      </c>
      <c r="I108" s="4">
        <f ca="1">ROUND(T_Facebook_Ads[[#This Row],[conversions]]*RANDBETWEEN(8,12)/10,0)</f>
        <v>13</v>
      </c>
      <c r="J108" s="4">
        <f ca="1">ROUND(T_Facebook_Ads[[#This Row],[video_views]]*RANDBETWEEN(8,12)/10,0)</f>
        <v>9012</v>
      </c>
      <c r="K108" s="4">
        <f ca="1">T_Facebook_Ads[[#This Row],[engagement_rate]]*RANDBETWEEN(8,12)/10</f>
        <v>1.8269999999999998E-2</v>
      </c>
      <c r="L108" s="4">
        <f ca="1">ROUND(T_Facebook_Ads[[#This Row],[reach]]*RANDBETWEEN(8,12)/10,0)</f>
        <v>37410</v>
      </c>
      <c r="M108" s="4">
        <f ca="1">T_Facebook_Ads[[#This Row],[frequency]]*RANDBETWEEN(8,12)/10</f>
        <v>1.4159999999999999</v>
      </c>
      <c r="O108" s="3">
        <f t="shared" ca="1" si="15"/>
        <v>45183</v>
      </c>
      <c r="P108" s="4" t="s">
        <v>76</v>
      </c>
      <c r="Q108" s="4" t="s">
        <v>77</v>
      </c>
      <c r="R108" s="4" t="s">
        <v>78</v>
      </c>
      <c r="S108" s="4" t="s">
        <v>79</v>
      </c>
      <c r="T108" s="4">
        <f ca="1">ROUND(_Google_ads[[#This Row],[impressions]]*RANDBETWEEN(8,12)/10,0)</f>
        <v>25456</v>
      </c>
      <c r="U108" s="4">
        <f ca="1">ROUND(_Google_ads[[#This Row],[clicks]]*RANDBETWEEN(8,12)/10,0)</f>
        <v>1467</v>
      </c>
      <c r="V108" s="4">
        <f ca="1">_Google_ads[[#This Row],[cost]]*RANDBETWEEN(8,12)/10</f>
        <v>254.6</v>
      </c>
      <c r="W108" s="4">
        <f ca="1">ROUND(_Google_ads[[#This Row],[conversions]]*RANDBETWEEN(8,12)/10,0)</f>
        <v>40</v>
      </c>
      <c r="X108" s="4">
        <f ca="1">ROUND(_Google_ads[[#This Row],[conversion_value]]*RANDBETWEEN(8,12)/10,0)</f>
        <v>2500</v>
      </c>
      <c r="Y108" s="4">
        <f ca="1">_Google_ads[[#This Row],[ctr]]*RANDBETWEEN(8,12)/10</f>
        <v>4.1919999999999999E-2</v>
      </c>
      <c r="Z108" s="4">
        <f ca="1">_Google_ads[[#This Row],[avg_cpc]]*RANDBETWEEN(8,12)/10</f>
        <v>0.152</v>
      </c>
      <c r="AA108" s="4">
        <f ca="1">ROUND(_Google_ads[[#This Row],[quality_score]]*RANDBETWEEN(8,12)/10,0)</f>
        <v>7</v>
      </c>
      <c r="AB108" s="4">
        <f ca="1">_Google_ads[[#This Row],[search_impression_share]]*RANDBETWEEN(8,12)/10</f>
        <v>0.92000000000000015</v>
      </c>
      <c r="AD108" s="3">
        <f t="shared" ca="1" si="16"/>
        <v>45193</v>
      </c>
      <c r="AE108" s="4" t="s">
        <v>100</v>
      </c>
      <c r="AF108" s="4" t="s">
        <v>101</v>
      </c>
      <c r="AG108" s="4" t="s">
        <v>102</v>
      </c>
      <c r="AH108" s="4" t="s">
        <v>103</v>
      </c>
      <c r="AI108" s="4">
        <f ca="1">ROUND(T_Tiktok_ads[[#This Row],[impressions]]*RANDBETWEEN(8,12)/10,0)</f>
        <v>325246</v>
      </c>
      <c r="AJ108" s="4">
        <f ca="1">ROUND(T_Tiktok_ads[[#This Row],[clicks]]*RANDBETWEEN(8,12)/10,0)</f>
        <v>4345</v>
      </c>
      <c r="AK108" s="4">
        <v>573.20000000000005</v>
      </c>
      <c r="AL108" s="4">
        <f ca="1">ROUND(T_Tiktok_ads[[#This Row],[conversions]]*RANDBETWEEN(8,12)/10,0)</f>
        <v>53</v>
      </c>
      <c r="AM108" s="4">
        <f ca="1">ROUND(T_Tiktok_ads[[#This Row],[video_views]]*RANDBETWEEN(8,12)/10,0)</f>
        <v>192987</v>
      </c>
      <c r="AN108" s="4">
        <f ca="1">ROUND(T_Tiktok_ads[[#This Row],[video_watch_25]]*RANDBETWEEN(8,12)/10,0)</f>
        <v>225881</v>
      </c>
      <c r="AO108" s="4">
        <f ca="1">ROUND(T_Tiktok_ads[[#This Row],[video_watch_50]]*RANDBETWEEN(8,12)/10,0)</f>
        <v>106101</v>
      </c>
      <c r="AP108" s="4">
        <f ca="1">ROUND(T_Tiktok_ads[[#This Row],[video_watch_75]]*RANDBETWEEN(8,12)/10,0)</f>
        <v>95081</v>
      </c>
      <c r="AQ108" s="4">
        <f ca="1">ROUND(T_Tiktok_ads[[#This Row],[video_watch_100]]*RANDBETWEEN(8,12)/10,0)</f>
        <v>52789</v>
      </c>
      <c r="AR108" s="4">
        <f ca="1">ROUND(T_Tiktok_ads[[#This Row],[likes]]*RANDBETWEEN(8,12)/10,0)</f>
        <v>8454</v>
      </c>
      <c r="AS108" s="4">
        <f ca="1">ROUND(T_Tiktok_ads[[#This Row],[shares]]*RANDBETWEEN(8,12)/10,0)</f>
        <v>3427</v>
      </c>
      <c r="AT108" s="4">
        <f ca="1">ROUND(T_Tiktok_ads[[#This Row],[comments]]*RANDBETWEEN(8,12)/10,0)</f>
        <v>534</v>
      </c>
      <c r="AV108" s="5">
        <f t="shared" ca="1" si="17"/>
        <v>45175</v>
      </c>
      <c r="AW108">
        <f t="shared" ca="1" si="13"/>
        <v>3</v>
      </c>
      <c r="AX108">
        <f ca="1">ROUND(T_Facebook_Ads115963677175798387[[#This Row],[impressions]]*RANDBETWEEN(8,12)/10,0)</f>
        <v>47265</v>
      </c>
      <c r="AY108">
        <f ca="1">ROUND(T_Facebook_Ads115963677175798387[[#This Row],[clicks]]*RANDBETWEEN(8,12)/10,0)</f>
        <v>901</v>
      </c>
      <c r="AZ108">
        <f ca="1">T_Facebook_Ads115963677175798387[[#This Row],[spend]]*RANDBETWEEN(8,12)/10</f>
        <v>154.22400000000002</v>
      </c>
      <c r="BA108">
        <f ca="1">ROUND(T_Facebook_Ads115963677175798387[[#This Row],[conversions]]*RANDBETWEEN(8,12)/10,0)</f>
        <v>14</v>
      </c>
      <c r="BB108">
        <f ca="1">ROUND(T_Facebook_Ads115963677175798387[[#This Row],[video_views]]*RANDBETWEEN(8,12)/10,0)</f>
        <v>8111</v>
      </c>
    </row>
    <row r="109" spans="1:54" ht="15.75" thickBot="1" x14ac:dyDescent="0.3">
      <c r="A109" s="3">
        <f t="shared" ca="1" si="14"/>
        <v>45177</v>
      </c>
      <c r="B109" s="4" t="s">
        <v>56</v>
      </c>
      <c r="C109" s="4" t="s">
        <v>57</v>
      </c>
      <c r="D109" s="4" t="s">
        <v>58</v>
      </c>
      <c r="E109" s="4" t="s">
        <v>59</v>
      </c>
      <c r="F109" s="4">
        <f ca="1">ROUND(T_Facebook_Ads[[#This Row],[impressions]]*RANDBETWEEN(8,12)/10,0)</f>
        <v>12711</v>
      </c>
      <c r="G109" s="4">
        <v>645</v>
      </c>
      <c r="H109" s="4">
        <f ca="1">T_Facebook_Ads[[#This Row],[spend]]*RANDBETWEEN(8,12)/10</f>
        <v>213.20999999999998</v>
      </c>
      <c r="I109" s="4">
        <f ca="1">ROUND(T_Facebook_Ads[[#This Row],[conversions]]*RANDBETWEEN(8,12)/10,0)</f>
        <v>33</v>
      </c>
      <c r="J109" s="4">
        <f ca="1">ROUND(T_Facebook_Ads[[#This Row],[video_views]]*RANDBETWEEN(8,12)/10,0)</f>
        <v>1281</v>
      </c>
      <c r="K109" s="4">
        <f ca="1">T_Facebook_Ads[[#This Row],[engagement_rate]]*RANDBETWEEN(8,12)/10</f>
        <v>4.113E-2</v>
      </c>
      <c r="L109" s="4">
        <f ca="1">ROUND(T_Facebook_Ads[[#This Row],[reach]]*RANDBETWEEN(8,12)/10,0)</f>
        <v>11123</v>
      </c>
      <c r="M109" s="4">
        <f ca="1">T_Facebook_Ads[[#This Row],[frequency]]*RANDBETWEEN(8,12)/10</f>
        <v>1.27</v>
      </c>
      <c r="O109" s="3">
        <f t="shared" ca="1" si="15"/>
        <v>45183</v>
      </c>
      <c r="P109" s="4" t="s">
        <v>80</v>
      </c>
      <c r="Q109" s="4" t="s">
        <v>81</v>
      </c>
      <c r="R109" s="4" t="s">
        <v>82</v>
      </c>
      <c r="S109" s="4" t="s">
        <v>83</v>
      </c>
      <c r="T109" s="4">
        <f ca="1">ROUND(_Google_ads[[#This Row],[impressions]]*RANDBETWEEN(8,12)/10,0)</f>
        <v>41301</v>
      </c>
      <c r="U109" s="4">
        <f ca="1">ROUND(_Google_ads[[#This Row],[clicks]]*RANDBETWEEN(8,12)/10,0)</f>
        <v>730</v>
      </c>
      <c r="V109" s="4">
        <f ca="1">_Google_ads[[#This Row],[cost]]*RANDBETWEEN(8,12)/10</f>
        <v>587.70000000000005</v>
      </c>
      <c r="W109" s="4">
        <f ca="1">ROUND(_Google_ads[[#This Row],[conversions]]*RANDBETWEEN(8,12)/10,0)</f>
        <v>22</v>
      </c>
      <c r="X109" s="4">
        <f ca="1">ROUND(_Google_ads[[#This Row],[conversion_value]]*RANDBETWEEN(8,12)/10,0)</f>
        <v>960</v>
      </c>
      <c r="Y109" s="4">
        <f ca="1">_Google_ads[[#This Row],[ctr]]*RANDBETWEEN(8,12)/10</f>
        <v>1.7910000000000002E-2</v>
      </c>
      <c r="Z109" s="4">
        <f ca="1">_Google_ads[[#This Row],[avg_cpc]]*RANDBETWEEN(8,12)/10</f>
        <v>0.57599999999999996</v>
      </c>
      <c r="AA109" s="4">
        <f ca="1">ROUND(_Google_ads[[#This Row],[quality_score]]*RANDBETWEEN(8,12)/10,0)</f>
        <v>6</v>
      </c>
      <c r="AB109" s="4">
        <f ca="1">_Google_ads[[#This Row],[search_impression_share]]*RANDBETWEEN(8,12)/10</f>
        <v>0.36</v>
      </c>
      <c r="AD109" s="3">
        <f t="shared" ca="1" si="16"/>
        <v>45176</v>
      </c>
      <c r="AE109" s="4" t="s">
        <v>104</v>
      </c>
      <c r="AF109" s="4" t="s">
        <v>105</v>
      </c>
      <c r="AG109" s="4" t="s">
        <v>106</v>
      </c>
      <c r="AH109" s="4" t="s">
        <v>107</v>
      </c>
      <c r="AI109" s="4">
        <f ca="1">ROUND(T_Tiktok_ads[[#This Row],[impressions]]*RANDBETWEEN(8,12)/10,0)</f>
        <v>177357</v>
      </c>
      <c r="AJ109" s="4">
        <f ca="1">ROUND(T_Tiktok_ads[[#This Row],[clicks]]*RANDBETWEEN(8,12)/10,0)</f>
        <v>3089</v>
      </c>
      <c r="AK109" s="4">
        <v>823.7</v>
      </c>
      <c r="AL109" s="4">
        <f ca="1">ROUND(T_Tiktok_ads[[#This Row],[conversions]]*RANDBETWEEN(8,12)/10,0)</f>
        <v>91</v>
      </c>
      <c r="AM109" s="4">
        <f ca="1">ROUND(T_Tiktok_ads[[#This Row],[video_views]]*RANDBETWEEN(8,12)/10,0)</f>
        <v>113456</v>
      </c>
      <c r="AN109" s="4">
        <f ca="1">ROUND(T_Tiktok_ads[[#This Row],[video_watch_25]]*RANDBETWEEN(8,12)/10,0)</f>
        <v>83567</v>
      </c>
      <c r="AO109" s="4">
        <f ca="1">ROUND(T_Tiktok_ads[[#This Row],[video_watch_50]]*RANDBETWEEN(8,12)/10,0)</f>
        <v>61857</v>
      </c>
      <c r="AP109" s="4">
        <f ca="1">ROUND(T_Tiktok_ads[[#This Row],[video_watch_75]]*RANDBETWEEN(8,12)/10,0)</f>
        <v>46580</v>
      </c>
      <c r="AQ109" s="4">
        <f ca="1">ROUND(T_Tiktok_ads[[#This Row],[video_watch_100]]*RANDBETWEEN(8,12)/10,0)</f>
        <v>33881</v>
      </c>
      <c r="AR109" s="4">
        <f ca="1">ROUND(T_Tiktok_ads[[#This Row],[likes]]*RANDBETWEEN(8,12)/10,0)</f>
        <v>6075</v>
      </c>
      <c r="AS109" s="4">
        <f ca="1">ROUND(T_Tiktok_ads[[#This Row],[shares]]*RANDBETWEEN(8,12)/10,0)</f>
        <v>1430</v>
      </c>
      <c r="AT109" s="4">
        <f ca="1">ROUND(T_Tiktok_ads[[#This Row],[comments]]*RANDBETWEEN(8,12)/10,0)</f>
        <v>301</v>
      </c>
      <c r="AV109" s="5">
        <f t="shared" ca="1" si="17"/>
        <v>45182</v>
      </c>
      <c r="AW109">
        <f t="shared" ca="1" si="13"/>
        <v>4</v>
      </c>
      <c r="AX109">
        <f ca="1">ROUND(T_Facebook_Ads115963677175798387[[#This Row],[impressions]]*RANDBETWEEN(8,12)/10,0)</f>
        <v>13982</v>
      </c>
      <c r="AY109">
        <f ca="1">ROUND(T_Facebook_Ads115963677175798387[[#This Row],[clicks]]*RANDBETWEEN(8,12)/10,0)</f>
        <v>710</v>
      </c>
      <c r="AZ109">
        <f ca="1">T_Facebook_Ads115963677175798387[[#This Row],[spend]]*RANDBETWEEN(8,12)/10</f>
        <v>191.88899999999998</v>
      </c>
      <c r="BA109">
        <f ca="1">ROUND(T_Facebook_Ads115963677175798387[[#This Row],[conversions]]*RANDBETWEEN(8,12)/10,0)</f>
        <v>30</v>
      </c>
      <c r="BB109">
        <f ca="1">ROUND(T_Facebook_Ads115963677175798387[[#This Row],[video_views]]*RANDBETWEEN(8,12)/10,0)</f>
        <v>1537</v>
      </c>
    </row>
    <row r="110" spans="1:54" ht="15.75" thickBot="1" x14ac:dyDescent="0.3">
      <c r="A110" s="3">
        <f t="shared" ca="1" si="14"/>
        <v>45186</v>
      </c>
      <c r="B110" s="4" t="s">
        <v>60</v>
      </c>
      <c r="C110" s="4" t="s">
        <v>61</v>
      </c>
      <c r="D110" s="4" t="s">
        <v>62</v>
      </c>
      <c r="E110" s="4" t="s">
        <v>63</v>
      </c>
      <c r="F110" s="4">
        <f ca="1">ROUND(T_Facebook_Ads[[#This Row],[impressions]]*RANDBETWEEN(8,12)/10,0)</f>
        <v>45468</v>
      </c>
      <c r="G110" s="4">
        <v>1412</v>
      </c>
      <c r="H110" s="4">
        <f ca="1">T_Facebook_Ads[[#This Row],[spend]]*RANDBETWEEN(8,12)/10</f>
        <v>216.5</v>
      </c>
      <c r="I110" s="4">
        <f ca="1">ROUND(T_Facebook_Ads[[#This Row],[conversions]]*RANDBETWEEN(8,12)/10,0)</f>
        <v>33</v>
      </c>
      <c r="J110" s="4">
        <f ca="1">ROUND(T_Facebook_Ads[[#This Row],[video_views]]*RANDBETWEEN(8,12)/10,0)</f>
        <v>4460</v>
      </c>
      <c r="K110" s="4">
        <f ca="1">T_Facebook_Ads[[#This Row],[engagement_rate]]*RANDBETWEEN(8,12)/10</f>
        <v>3.73E-2</v>
      </c>
      <c r="L110" s="4">
        <f ca="1">ROUND(T_Facebook_Ads[[#This Row],[reach]]*RANDBETWEEN(8,12)/10,0)</f>
        <v>27801</v>
      </c>
      <c r="M110" s="4">
        <f ca="1">T_Facebook_Ads[[#This Row],[frequency]]*RANDBETWEEN(8,12)/10</f>
        <v>1.353</v>
      </c>
      <c r="O110" s="3">
        <f t="shared" ca="1" si="15"/>
        <v>45173</v>
      </c>
      <c r="P110" s="4" t="s">
        <v>84</v>
      </c>
      <c r="Q110" s="4" t="s">
        <v>85</v>
      </c>
      <c r="R110" s="4" t="s">
        <v>86</v>
      </c>
      <c r="S110" s="4" t="s">
        <v>87</v>
      </c>
      <c r="T110" s="4">
        <f ca="1">ROUND(_Google_ads[[#This Row],[impressions]]*RANDBETWEEN(8,12)/10,0)</f>
        <v>84281</v>
      </c>
      <c r="U110" s="4">
        <f ca="1">ROUND(_Google_ads[[#This Row],[clicks]]*RANDBETWEEN(8,12)/10,0)</f>
        <v>1894</v>
      </c>
      <c r="V110" s="4">
        <f ca="1">_Google_ads[[#This Row],[cost]]*RANDBETWEEN(8,12)/10</f>
        <v>475.31000000000006</v>
      </c>
      <c r="W110" s="4">
        <f ca="1">ROUND(_Google_ads[[#This Row],[conversions]]*RANDBETWEEN(8,12)/10,0)</f>
        <v>82</v>
      </c>
      <c r="X110" s="4">
        <f ca="1">ROUND(_Google_ads[[#This Row],[conversion_value]]*RANDBETWEEN(8,12)/10,0)</f>
        <v>3400</v>
      </c>
      <c r="Y110" s="4">
        <f ca="1">_Google_ads[[#This Row],[ctr]]*RANDBETWEEN(8,12)/10</f>
        <v>3.7070000000000006E-2</v>
      </c>
      <c r="Z110" s="4">
        <f ca="1">_Google_ads[[#This Row],[avg_cpc]]*RANDBETWEEN(8,12)/10</f>
        <v>0.16199999999999998</v>
      </c>
      <c r="AA110" s="4">
        <f ca="1">ROUND(_Google_ads[[#This Row],[quality_score]]*RANDBETWEEN(8,12)/10,0)</f>
        <v>7</v>
      </c>
      <c r="AB110" s="4">
        <f ca="1">_Google_ads[[#This Row],[search_impression_share]]*RANDBETWEEN(8,12)/10</f>
        <v>0.80400000000000005</v>
      </c>
      <c r="AD110" s="3">
        <f t="shared" ca="1" si="16"/>
        <v>45174</v>
      </c>
      <c r="AE110" s="4" t="s">
        <v>108</v>
      </c>
      <c r="AF110" s="4" t="s">
        <v>109</v>
      </c>
      <c r="AG110" s="4" t="s">
        <v>110</v>
      </c>
      <c r="AH110" s="4" t="s">
        <v>111</v>
      </c>
      <c r="AI110" s="4">
        <f ca="1">ROUND(T_Tiktok_ads[[#This Row],[impressions]]*RANDBETWEEN(8,12)/10,0)</f>
        <v>251234</v>
      </c>
      <c r="AJ110" s="4">
        <f ca="1">ROUND(T_Tiktok_ads[[#This Row],[clicks]]*RANDBETWEEN(8,12)/10,0)</f>
        <v>3570</v>
      </c>
      <c r="AK110" s="4">
        <v>481.5</v>
      </c>
      <c r="AL110" s="4">
        <f ca="1">ROUND(T_Tiktok_ads[[#This Row],[conversions]]*RANDBETWEEN(8,12)/10,0)</f>
        <v>39</v>
      </c>
      <c r="AM110" s="4">
        <f ca="1">ROUND(T_Tiktok_ads[[#This Row],[video_views]]*RANDBETWEEN(8,12)/10,0)</f>
        <v>238681</v>
      </c>
      <c r="AN110" s="4">
        <f ca="1">ROUND(T_Tiktok_ads[[#This Row],[video_watch_25]]*RANDBETWEEN(8,12)/10,0)</f>
        <v>135510</v>
      </c>
      <c r="AO110" s="4">
        <f ca="1">ROUND(T_Tiktok_ads[[#This Row],[video_watch_50]]*RANDBETWEEN(8,12)/10,0)</f>
        <v>131157</v>
      </c>
      <c r="AP110" s="4">
        <f ca="1">ROUND(T_Tiktok_ads[[#This Row],[video_watch_75]]*RANDBETWEEN(8,12)/10,0)</f>
        <v>61512</v>
      </c>
      <c r="AQ110" s="4">
        <f ca="1">ROUND(T_Tiktok_ads[[#This Row],[video_watch_100]]*RANDBETWEEN(8,12)/10,0)</f>
        <v>55880</v>
      </c>
      <c r="AR110" s="4">
        <f ca="1">ROUND(T_Tiktok_ads[[#This Row],[likes]]*RANDBETWEEN(8,12)/10,0)</f>
        <v>8678</v>
      </c>
      <c r="AS110" s="4">
        <f ca="1">ROUND(T_Tiktok_ads[[#This Row],[shares]]*RANDBETWEEN(8,12)/10,0)</f>
        <v>2854</v>
      </c>
      <c r="AT110" s="4">
        <f ca="1">ROUND(T_Tiktok_ads[[#This Row],[comments]]*RANDBETWEEN(8,12)/10,0)</f>
        <v>667</v>
      </c>
      <c r="AV110" s="5">
        <f t="shared" ca="1" si="17"/>
        <v>45180</v>
      </c>
      <c r="AW110">
        <f t="shared" ca="1" si="13"/>
        <v>3</v>
      </c>
      <c r="AX110">
        <f ca="1">ROUND(T_Facebook_Ads115963677175798387[[#This Row],[impressions]]*RANDBETWEEN(8,12)/10,0)</f>
        <v>54562</v>
      </c>
      <c r="AY110">
        <f ca="1">ROUND(T_Facebook_Ads115963677175798387[[#This Row],[clicks]]*RANDBETWEEN(8,12)/10,0)</f>
        <v>1553</v>
      </c>
      <c r="AZ110">
        <f ca="1">T_Facebook_Ads115963677175798387[[#This Row],[spend]]*RANDBETWEEN(8,12)/10</f>
        <v>238.15</v>
      </c>
      <c r="BA110">
        <f ca="1">ROUND(T_Facebook_Ads115963677175798387[[#This Row],[conversions]]*RANDBETWEEN(8,12)/10,0)</f>
        <v>36</v>
      </c>
      <c r="BB110">
        <f ca="1">ROUND(T_Facebook_Ads115963677175798387[[#This Row],[video_views]]*RANDBETWEEN(8,12)/10,0)</f>
        <v>4460</v>
      </c>
    </row>
    <row r="111" spans="1:54" x14ac:dyDescent="0.25">
      <c r="A111" s="3">
        <f t="shared" ca="1" si="14"/>
        <v>45199</v>
      </c>
      <c r="B111" s="4" t="s">
        <v>64</v>
      </c>
      <c r="C111" s="4" t="s">
        <v>65</v>
      </c>
      <c r="D111" s="4" t="s">
        <v>66</v>
      </c>
      <c r="E111" s="4" t="s">
        <v>67</v>
      </c>
      <c r="F111" s="4">
        <f ca="1">ROUND(T_Facebook_Ads[[#This Row],[impressions]]*RANDBETWEEN(8,12)/10,0)</f>
        <v>72123</v>
      </c>
      <c r="G111" s="4">
        <v>261</v>
      </c>
      <c r="H111" s="4">
        <f ca="1">T_Facebook_Ads[[#This Row],[spend]]*RANDBETWEEN(8,12)/10</f>
        <v>73.039999999999992</v>
      </c>
      <c r="I111" s="4">
        <f ca="1">ROUND(T_Facebook_Ads[[#This Row],[conversions]]*RANDBETWEEN(8,12)/10,0)</f>
        <v>6</v>
      </c>
      <c r="J111" s="4">
        <f ca="1">ROUND(T_Facebook_Ads[[#This Row],[video_views]]*RANDBETWEEN(8,12)/10,0)</f>
        <v>53424</v>
      </c>
      <c r="K111" s="4">
        <f ca="1">T_Facebook_Ads[[#This Row],[engagement_rate]]*RANDBETWEEN(8,12)/10</f>
        <v>3.96E-3</v>
      </c>
      <c r="L111" s="4">
        <f ca="1">ROUND(T_Facebook_Ads[[#This Row],[reach]]*RANDBETWEEN(8,12)/10,0)</f>
        <v>64779</v>
      </c>
      <c r="M111" s="4">
        <f ca="1">T_Facebook_Ads[[#This Row],[frequency]]*RANDBETWEEN(8,12)/10</f>
        <v>1.22</v>
      </c>
      <c r="O111" s="3">
        <f t="shared" ca="1" si="15"/>
        <v>45179</v>
      </c>
      <c r="P111" s="4" t="s">
        <v>88</v>
      </c>
      <c r="Q111" s="4" t="s">
        <v>89</v>
      </c>
      <c r="R111" s="4" t="s">
        <v>90</v>
      </c>
      <c r="S111" s="4" t="s">
        <v>59</v>
      </c>
      <c r="T111" s="4">
        <f ca="1">ROUND(_Google_ads[[#This Row],[impressions]]*RANDBETWEEN(8,12)/10,0)</f>
        <v>106765</v>
      </c>
      <c r="U111" s="4">
        <f ca="1">ROUND(_Google_ads[[#This Row],[clicks]]*RANDBETWEEN(8,12)/10,0)</f>
        <v>574</v>
      </c>
      <c r="V111" s="4">
        <f ca="1">_Google_ads[[#This Row],[cost]]*RANDBETWEEN(8,12)/10</f>
        <v>131.19999999999999</v>
      </c>
      <c r="W111" s="4">
        <f ca="1">ROUND(_Google_ads[[#This Row],[conversions]]*RANDBETWEEN(8,12)/10,0)</f>
        <v>13</v>
      </c>
      <c r="X111" s="4">
        <f ca="1">ROUND(_Google_ads[[#This Row],[conversion_value]]*RANDBETWEEN(8,12)/10,0)</f>
        <v>630</v>
      </c>
      <c r="Y111" s="4">
        <f ca="1">_Google_ads[[#This Row],[ctr]]*RANDBETWEEN(8,12)/10</f>
        <v>3.2399999999999998E-3</v>
      </c>
      <c r="Z111" s="4">
        <f ca="1">_Google_ads[[#This Row],[avg_cpc]]*RANDBETWEEN(8,12)/10</f>
        <v>0.27</v>
      </c>
      <c r="AA111" s="4">
        <f ca="1">ROUND(_Google_ads[[#This Row],[quality_score]]*RANDBETWEEN(8,12)/10,0)</f>
        <v>7</v>
      </c>
      <c r="AB111" s="4">
        <f ca="1">_Google_ads[[#This Row],[search_impression_share]]*RANDBETWEEN(8,12)/10</f>
        <v>0.38499999999999995</v>
      </c>
      <c r="AD111" s="3">
        <f t="shared" ca="1" si="16"/>
        <v>45193</v>
      </c>
      <c r="AE111" s="4" t="s">
        <v>112</v>
      </c>
      <c r="AF111" s="4" t="s">
        <v>113</v>
      </c>
      <c r="AG111" s="4" t="s">
        <v>114</v>
      </c>
      <c r="AH111" s="4" t="s">
        <v>115</v>
      </c>
      <c r="AI111" s="4">
        <f ca="1">ROUND(T_Tiktok_ads[[#This Row],[impressions]]*RANDBETWEEN(8,12)/10,0)</f>
        <v>478024</v>
      </c>
      <c r="AJ111" s="4">
        <f ca="1">ROUND(T_Tiktok_ads[[#This Row],[clicks]]*RANDBETWEEN(8,12)/10,0)</f>
        <v>7012</v>
      </c>
      <c r="AK111" s="4">
        <v>1089.3</v>
      </c>
      <c r="AL111" s="4">
        <f ca="1">ROUND(T_Tiktok_ads[[#This Row],[conversions]]*RANDBETWEEN(8,12)/10,0)</f>
        <v>87</v>
      </c>
      <c r="AM111" s="4">
        <f ca="1">ROUND(T_Tiktok_ads[[#This Row],[video_views]]*RANDBETWEEN(8,12)/10,0)</f>
        <v>294312</v>
      </c>
      <c r="AN111" s="4">
        <f ca="1">ROUND(T_Tiktok_ads[[#This Row],[video_watch_25]]*RANDBETWEEN(8,12)/10,0)</f>
        <v>266611</v>
      </c>
      <c r="AO111" s="4">
        <f ca="1">ROUND(T_Tiktok_ads[[#This Row],[video_watch_50]]*RANDBETWEEN(8,12)/10,0)</f>
        <v>237890</v>
      </c>
      <c r="AP111" s="4">
        <f ca="1">ROUND(T_Tiktok_ads[[#This Row],[video_watch_75]]*RANDBETWEEN(8,12)/10,0)</f>
        <v>151411</v>
      </c>
      <c r="AQ111" s="4">
        <f ca="1">ROUND(T_Tiktok_ads[[#This Row],[video_watch_100]]*RANDBETWEEN(8,12)/10,0)</f>
        <v>133481</v>
      </c>
      <c r="AR111" s="4">
        <f ca="1">ROUND(T_Tiktok_ads[[#This Row],[likes]]*RANDBETWEEN(8,12)/10,0)</f>
        <v>21157</v>
      </c>
      <c r="AS111" s="4">
        <f ca="1">ROUND(T_Tiktok_ads[[#This Row],[shares]]*RANDBETWEEN(8,12)/10,0)</f>
        <v>4981</v>
      </c>
      <c r="AT111" s="4">
        <f ca="1">ROUND(T_Tiktok_ads[[#This Row],[comments]]*RANDBETWEEN(8,12)/10,0)</f>
        <v>1218</v>
      </c>
      <c r="AV111" s="5">
        <f t="shared" ca="1" si="17"/>
        <v>45173</v>
      </c>
      <c r="AW111">
        <f t="shared" ca="1" si="13"/>
        <v>6</v>
      </c>
      <c r="AX111">
        <f ca="1">ROUND(T_Facebook_Ads115963677175798387[[#This Row],[impressions]]*RANDBETWEEN(8,12)/10,0)</f>
        <v>57698</v>
      </c>
      <c r="AY111">
        <f ca="1">ROUND(T_Facebook_Ads115963677175798387[[#This Row],[clicks]]*RANDBETWEEN(8,12)/10,0)</f>
        <v>313</v>
      </c>
      <c r="AZ111">
        <f ca="1">T_Facebook_Ads115963677175798387[[#This Row],[spend]]*RANDBETWEEN(8,12)/10</f>
        <v>80.343999999999994</v>
      </c>
      <c r="BA111">
        <f ca="1">ROUND(T_Facebook_Ads115963677175798387[[#This Row],[conversions]]*RANDBETWEEN(8,12)/10,0)</f>
        <v>5</v>
      </c>
      <c r="BB111">
        <f ca="1">ROUND(T_Facebook_Ads115963677175798387[[#This Row],[video_views]]*RANDBETWEEN(8,12)/10,0)</f>
        <v>48082</v>
      </c>
    </row>
  </sheetData>
  <pageMargins left="0.7" right="0.7" top="0.75" bottom="0.75" header="0.3" footer="0.3"/>
  <pageSetup orientation="portrait" r:id="rId1"/>
  <tableParts count="4">
    <tablePart r:id="rId2"/>
    <tablePart r:id="rId3"/>
    <tablePart r:id="rId4"/>
    <tablePart r:id="rId5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F2045-85AA-41E0-A824-B024DFEE3CC3}">
  <dimension ref="A1:BB111"/>
  <sheetViews>
    <sheetView topLeftCell="AM1" workbookViewId="0">
      <selection activeCell="AY3" sqref="AY3"/>
    </sheetView>
  </sheetViews>
  <sheetFormatPr baseColWidth="10" defaultRowHeight="15" x14ac:dyDescent="0.25"/>
  <cols>
    <col min="2" max="2" width="14.42578125" customWidth="1"/>
    <col min="3" max="3" width="19.85546875" bestFit="1" customWidth="1"/>
    <col min="5" max="5" width="18.28515625" bestFit="1" customWidth="1"/>
    <col min="6" max="6" width="13.7109375" customWidth="1"/>
    <col min="9" max="10" width="13.7109375" customWidth="1"/>
    <col min="11" max="11" width="18.42578125" customWidth="1"/>
    <col min="13" max="13" width="12" customWidth="1"/>
    <col min="16" max="16" width="14.42578125" customWidth="1"/>
    <col min="17" max="17" width="18.5703125" bestFit="1" customWidth="1"/>
    <col min="18" max="18" width="14" customWidth="1"/>
    <col min="19" max="19" width="17.140625" customWidth="1"/>
    <col min="20" max="20" width="13.7109375" customWidth="1"/>
    <col min="21" max="21" width="8.140625" customWidth="1"/>
    <col min="22" max="22" width="6.85546875" customWidth="1"/>
    <col min="23" max="23" width="13.7109375" customWidth="1"/>
    <col min="24" max="24" width="18.42578125" customWidth="1"/>
    <col min="25" max="25" width="6.140625" bestFit="1" customWidth="1"/>
    <col min="26" max="26" width="10.28515625" customWidth="1"/>
    <col min="27" max="27" width="14.85546875" customWidth="1"/>
    <col min="28" max="28" width="25" customWidth="1"/>
    <col min="29" max="29" width="6.85546875" customWidth="1"/>
    <col min="30" max="30" width="9.28515625" bestFit="1" customWidth="1"/>
    <col min="31" max="31" width="14.42578125" customWidth="1"/>
    <col min="32" max="32" width="17.5703125" customWidth="1"/>
    <col min="33" max="33" width="13.140625" customWidth="1"/>
    <col min="34" max="34" width="16.28515625" customWidth="1"/>
    <col min="35" max="35" width="13.7109375" customWidth="1"/>
    <col min="36" max="36" width="8.140625" customWidth="1"/>
    <col min="37" max="37" width="6.85546875" customWidth="1"/>
    <col min="38" max="39" width="13.7109375" customWidth="1"/>
    <col min="40" max="42" width="17" customWidth="1"/>
    <col min="43" max="43" width="18" customWidth="1"/>
    <col min="44" max="44" width="7.140625" customWidth="1"/>
    <col min="45" max="45" width="8.7109375" customWidth="1"/>
    <col min="46" max="46" width="12.42578125" customWidth="1"/>
    <col min="49" max="49" width="14.28515625" customWidth="1"/>
    <col min="50" max="50" width="13.85546875" customWidth="1"/>
    <col min="53" max="53" width="13.7109375" customWidth="1"/>
    <col min="54" max="54" width="14.28515625" customWidth="1"/>
  </cols>
  <sheetData>
    <row r="1" spans="1:54" ht="15.75" thickBot="1" x14ac:dyDescent="0.3">
      <c r="A1" s="2" t="s">
        <v>39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  <c r="O1" s="2" t="s">
        <v>39</v>
      </c>
      <c r="P1" s="1" t="s">
        <v>40</v>
      </c>
      <c r="Q1" s="1" t="s">
        <v>41</v>
      </c>
      <c r="R1" s="1" t="s">
        <v>68</v>
      </c>
      <c r="S1" s="1" t="s">
        <v>69</v>
      </c>
      <c r="T1" s="1" t="s">
        <v>44</v>
      </c>
      <c r="U1" s="1" t="s">
        <v>45</v>
      </c>
      <c r="V1" s="1" t="s">
        <v>70</v>
      </c>
      <c r="W1" s="1" t="s">
        <v>47</v>
      </c>
      <c r="X1" s="1" t="s">
        <v>71</v>
      </c>
      <c r="Y1" s="1" t="s">
        <v>72</v>
      </c>
      <c r="Z1" s="1" t="s">
        <v>73</v>
      </c>
      <c r="AA1" s="1" t="s">
        <v>74</v>
      </c>
      <c r="AB1" s="1" t="s">
        <v>75</v>
      </c>
      <c r="AD1" s="2" t="s">
        <v>39</v>
      </c>
      <c r="AE1" s="1" t="s">
        <v>40</v>
      </c>
      <c r="AF1" s="1" t="s">
        <v>41</v>
      </c>
      <c r="AG1" s="1" t="s">
        <v>91</v>
      </c>
      <c r="AH1" s="1" t="s">
        <v>92</v>
      </c>
      <c r="AI1" s="1" t="s">
        <v>44</v>
      </c>
      <c r="AJ1" s="1" t="s">
        <v>45</v>
      </c>
      <c r="AK1" s="1" t="s">
        <v>70</v>
      </c>
      <c r="AL1" s="1" t="s">
        <v>47</v>
      </c>
      <c r="AM1" s="1" t="s">
        <v>48</v>
      </c>
      <c r="AN1" s="1" t="s">
        <v>93</v>
      </c>
      <c r="AO1" s="1" t="s">
        <v>94</v>
      </c>
      <c r="AP1" s="1" t="s">
        <v>95</v>
      </c>
      <c r="AQ1" s="1" t="s">
        <v>96</v>
      </c>
      <c r="AR1" s="1" t="s">
        <v>97</v>
      </c>
      <c r="AS1" s="1" t="s">
        <v>98</v>
      </c>
      <c r="AT1" s="1" t="s">
        <v>99</v>
      </c>
      <c r="AV1" t="s">
        <v>39</v>
      </c>
      <c r="AW1" t="s">
        <v>40</v>
      </c>
      <c r="AX1" t="s">
        <v>44</v>
      </c>
      <c r="AY1" t="s">
        <v>45</v>
      </c>
      <c r="AZ1" t="s">
        <v>46</v>
      </c>
      <c r="BA1" t="s">
        <v>47</v>
      </c>
      <c r="BB1" t="s">
        <v>48</v>
      </c>
    </row>
    <row r="2" spans="1:54" ht="15.75" thickBot="1" x14ac:dyDescent="0.3">
      <c r="A2" s="3">
        <f t="shared" ref="A2:A33" ca="1" si="0">DATE(2023,10,RANDBETWEEN(1,31))</f>
        <v>45220</v>
      </c>
      <c r="B2" s="4" t="s">
        <v>52</v>
      </c>
      <c r="C2" s="4" t="s">
        <v>53</v>
      </c>
      <c r="D2" s="4" t="s">
        <v>54</v>
      </c>
      <c r="E2" s="4" t="s">
        <v>55</v>
      </c>
      <c r="F2" s="4">
        <f ca="1">ROUND(T_Facebook_Ads[[#This Row],[impressions]]*RANDBETWEEN(8,12)/10,0)</f>
        <v>45623</v>
      </c>
      <c r="G2" s="4">
        <f ca="1">ROUND(T_Facebook_Ads[[#This Row],[clicks]]*RANDBETWEEN(8,12)/10,0)</f>
        <v>714</v>
      </c>
      <c r="H2" s="4">
        <f ca="1">T_Facebook_Ads[[#This Row],[spend]]*RANDBETWEEN(8,12)/10</f>
        <v>127.5</v>
      </c>
      <c r="I2" s="4">
        <f ca="1">ROUND(T_Facebook_Ads[[#This Row],[conversions]]*RANDBETWEEN(8,12)/10,0)</f>
        <v>11</v>
      </c>
      <c r="J2" s="4">
        <f ca="1">ROUND(T_Facebook_Ads[[#This Row],[video_views]]*RANDBETWEEN(8,12)/10,0)</f>
        <v>9057</v>
      </c>
      <c r="K2" s="4">
        <f ca="1">T_Facebook_Ads[[#This Row],[engagement_rate]]*RANDBETWEEN(8,12)/10</f>
        <v>1.95E-2</v>
      </c>
      <c r="L2" s="4">
        <f ca="1">ROUND(T_Facebook_Ads[[#This Row],[reach]]*RANDBETWEEN(8,12)/10,0)</f>
        <v>45881</v>
      </c>
      <c r="M2" s="4">
        <f ca="1">T_Facebook_Ads[[#This Row],[frequency]]*RANDBETWEEN(8,12)/10</f>
        <v>1.3089999999999999</v>
      </c>
      <c r="O2" s="3">
        <f t="shared" ref="O2:O33" ca="1" si="1">DATE(2023,10,RANDBETWEEN(1,31))</f>
        <v>45205</v>
      </c>
      <c r="P2" s="4" t="s">
        <v>76</v>
      </c>
      <c r="Q2" s="4" t="s">
        <v>77</v>
      </c>
      <c r="R2" s="4" t="s">
        <v>78</v>
      </c>
      <c r="S2" s="4" t="s">
        <v>79</v>
      </c>
      <c r="T2" s="4">
        <f ca="1">ROUND(_Google_ads[[#This Row],[impressions]]*RANDBETWEEN(8,12)/10,0)</f>
        <v>18765</v>
      </c>
      <c r="U2" s="4">
        <f ca="1">ROUND(_Google_ads[[#This Row],[clicks]]*RANDBETWEEN(8,12)/10,0)</f>
        <v>1357</v>
      </c>
      <c r="V2" s="4">
        <f ca="1">_Google_ads[[#This Row],[cost]]*RANDBETWEEN(8,12)/10</f>
        <v>281.39999999999998</v>
      </c>
      <c r="W2" s="4">
        <f ca="1">ROUND(_Google_ads[[#This Row],[conversions]]*RANDBETWEEN(8,12)/10,0)</f>
        <v>41</v>
      </c>
      <c r="X2" s="4">
        <f ca="1">ROUND(_Google_ads[[#This Row],[conversion_value]]*RANDBETWEEN(8,12)/10,0)</f>
        <v>2250</v>
      </c>
      <c r="Y2" s="4">
        <f ca="1">_Google_ads[[#This Row],[ctr]]*RANDBETWEEN(8,12)/10</f>
        <v>4.2079999999999999E-2</v>
      </c>
      <c r="Z2" s="4">
        <f ca="1">_Google_ads[[#This Row],[avg_cpc]]*RANDBETWEEN(8,12)/10</f>
        <v>0.19</v>
      </c>
      <c r="AA2" s="4">
        <f ca="1">ROUND(_Google_ads[[#This Row],[quality_score]]*RANDBETWEEN(8,12)/10,0)</f>
        <v>11</v>
      </c>
      <c r="AB2" s="4">
        <f ca="1">_Google_ads[[#This Row],[search_impression_share]]*RANDBETWEEN(8,12)/10</f>
        <v>1.012</v>
      </c>
      <c r="AD2" s="3">
        <f t="shared" ref="AD2:AD33" ca="1" si="2">DATE(2023,10,RANDBETWEEN(1,31))</f>
        <v>45201</v>
      </c>
      <c r="AE2" s="4" t="s">
        <v>100</v>
      </c>
      <c r="AF2" s="4" t="s">
        <v>101</v>
      </c>
      <c r="AG2" s="4" t="s">
        <v>102</v>
      </c>
      <c r="AH2" s="4" t="s">
        <v>103</v>
      </c>
      <c r="AI2" s="4">
        <f ca="1">ROUND(T_Tiktok_ads[[#This Row],[impressions]]*RANDBETWEEN(8,12)/10,0)</f>
        <v>187654</v>
      </c>
      <c r="AJ2" s="4">
        <f ca="1">ROUND(T_Tiktok_ads[[#This Row],[clicks]]*RANDBETWEEN(8,12)/10,0)</f>
        <v>4147</v>
      </c>
      <c r="AK2" s="4">
        <f ca="1">T_Tiktok_ads[[#This Row],[cost]]*RANDBETWEEN(8,12)/10</f>
        <v>456.7</v>
      </c>
      <c r="AL2" s="4">
        <f ca="1">ROUND(T_Tiktok_ads[[#This Row],[conversions]]*RANDBETWEEN(8,12)/10,0)</f>
        <v>34</v>
      </c>
      <c r="AM2" s="4">
        <f ca="1">ROUND(T_Tiktok_ads[[#This Row],[video_views]]*RANDBETWEEN(8,12)/10,0)</f>
        <v>158587</v>
      </c>
      <c r="AN2" s="4">
        <f ca="1">ROUND(T_Tiktok_ads[[#This Row],[video_watch_25]]*RANDBETWEEN(8,12)/10,0)</f>
        <v>156234</v>
      </c>
      <c r="AO2" s="4">
        <f ca="1">ROUND(T_Tiktok_ads[[#This Row],[video_watch_50]]*RANDBETWEEN(8,12)/10,0)</f>
        <v>78587</v>
      </c>
      <c r="AP2" s="4">
        <f ca="1">ROUND(T_Tiktok_ads[[#This Row],[video_watch_75]]*RANDBETWEEN(8,12)/10,0)</f>
        <v>80681</v>
      </c>
      <c r="AQ2" s="4">
        <f ca="1">ROUND(T_Tiktok_ads[[#This Row],[video_watch_100]]*RANDBETWEEN(8,12)/10,0)</f>
        <v>40711</v>
      </c>
      <c r="AR2" s="4">
        <f ca="1">ROUND(T_Tiktok_ads[[#This Row],[likes]]*RANDBETWEEN(8,12)/10,0)</f>
        <v>7138</v>
      </c>
      <c r="AS2" s="4">
        <f ca="1">ROUND(T_Tiktok_ads[[#This Row],[shares]]*RANDBETWEEN(8,12)/10,0)</f>
        <v>2580</v>
      </c>
      <c r="AT2" s="4">
        <f ca="1">ROUND(T_Tiktok_ads[[#This Row],[comments]]*RANDBETWEEN(8,12)/10,0)</f>
        <v>680</v>
      </c>
      <c r="AV2" s="3">
        <f t="shared" ref="AV2:AV33" ca="1" si="3">DATE(2023,10,RANDBETWEEN(1,31))</f>
        <v>45222</v>
      </c>
      <c r="AW2">
        <f ca="1">RANDBETWEEN(1,8)</f>
        <v>5</v>
      </c>
      <c r="AX2">
        <f ca="1">ROUND(T_Facebook_Ads11596367717579838791[[#This Row],[impressions]]*RANDBETWEEN(8,12)/10,0)</f>
        <v>36498</v>
      </c>
      <c r="AY2">
        <f ca="1">ROUND(T_Facebook_Ads11596367717579838791[[#This Row],[clicks]]*RANDBETWEEN(8,12)/10,0)</f>
        <v>714</v>
      </c>
      <c r="AZ2">
        <f ca="1">T_Facebook_Ads11596367717579838791[[#This Row],[spend]]*RANDBETWEEN(8,12)/10</f>
        <v>153</v>
      </c>
      <c r="BA2">
        <f ca="1">ROUND(T_Facebook_Ads11596367717579838791[[#This Row],[conversions]]*RANDBETWEEN(8,12)/10,0)</f>
        <v>9</v>
      </c>
      <c r="BB2">
        <f ca="1">ROUND(T_Facebook_Ads11596367717579838791[[#This Row],[video_views]]*RANDBETWEEN(8,12)/10,0)</f>
        <v>10868</v>
      </c>
    </row>
    <row r="3" spans="1:54" ht="15.75" thickBot="1" x14ac:dyDescent="0.3">
      <c r="A3" s="3">
        <f t="shared" ca="1" si="0"/>
        <v>45212</v>
      </c>
      <c r="B3" s="4" t="s">
        <v>56</v>
      </c>
      <c r="C3" s="4" t="s">
        <v>57</v>
      </c>
      <c r="D3" s="4" t="s">
        <v>58</v>
      </c>
      <c r="E3" s="4" t="s">
        <v>59</v>
      </c>
      <c r="F3" s="4">
        <f ca="1">ROUND(T_Facebook_Ads[[#This Row],[impressions]]*RANDBETWEEN(8,12)/10,0)</f>
        <v>13702</v>
      </c>
      <c r="G3" s="4">
        <v>567</v>
      </c>
      <c r="H3" s="4">
        <f ca="1">T_Facebook_Ads[[#This Row],[spend]]*RANDBETWEEN(8,12)/10</f>
        <v>172.64000000000001</v>
      </c>
      <c r="I3" s="4">
        <f ca="1">ROUND(T_Facebook_Ads[[#This Row],[conversions]]*RANDBETWEEN(8,12)/10,0)</f>
        <v>31</v>
      </c>
      <c r="J3" s="4">
        <f ca="1">ROUND(T_Facebook_Ads[[#This Row],[video_views]]*RANDBETWEEN(8,12)/10,0)</f>
        <v>1234</v>
      </c>
      <c r="K3" s="4">
        <f ca="1">T_Facebook_Ads[[#This Row],[engagement_rate]]*RANDBETWEEN(8,12)/10</f>
        <v>5.4600000000000003E-2</v>
      </c>
      <c r="L3" s="4">
        <f ca="1">ROUND(T_Facebook_Ads[[#This Row],[reach]]*RANDBETWEEN(8,12)/10,0)</f>
        <v>8888</v>
      </c>
      <c r="M3" s="4">
        <f ca="1">T_Facebook_Ads[[#This Row],[frequency]]*RANDBETWEEN(8,12)/10</f>
        <v>1.26</v>
      </c>
      <c r="O3" s="3">
        <f t="shared" ca="1" si="1"/>
        <v>45220</v>
      </c>
      <c r="P3" s="4" t="s">
        <v>80</v>
      </c>
      <c r="Q3" s="4" t="s">
        <v>81</v>
      </c>
      <c r="R3" s="4" t="s">
        <v>82</v>
      </c>
      <c r="S3" s="4" t="s">
        <v>83</v>
      </c>
      <c r="T3" s="4">
        <f ca="1">ROUND(_Google_ads[[#This Row],[impressions]]*RANDBETWEEN(8,12)/10,0)</f>
        <v>36542</v>
      </c>
      <c r="U3" s="4">
        <f ca="1">ROUND(_Google_ads[[#This Row],[clicks]]*RANDBETWEEN(8,12)/10,0)</f>
        <v>712</v>
      </c>
      <c r="V3" s="4">
        <f ca="1">_Google_ads[[#This Row],[cost]]*RANDBETWEEN(8,12)/10</f>
        <v>567.79999999999995</v>
      </c>
      <c r="W3" s="4">
        <f ca="1">ROUND(_Google_ads[[#This Row],[conversions]]*RANDBETWEEN(8,12)/10,0)</f>
        <v>23</v>
      </c>
      <c r="X3" s="4">
        <f ca="1">ROUND(_Google_ads[[#This Row],[conversion_value]]*RANDBETWEEN(8,12)/10,0)</f>
        <v>1150</v>
      </c>
      <c r="Y3" s="4">
        <f ca="1">_Google_ads[[#This Row],[ctr]]*RANDBETWEEN(8,12)/10</f>
        <v>2.3399999999999997E-2</v>
      </c>
      <c r="Z3" s="4">
        <f ca="1">_Google_ads[[#This Row],[avg_cpc]]*RANDBETWEEN(8,12)/10</f>
        <v>0.57599999999999996</v>
      </c>
      <c r="AA3" s="4">
        <f ca="1">ROUND(_Google_ads[[#This Row],[quality_score]]*RANDBETWEEN(8,12)/10,0)</f>
        <v>6</v>
      </c>
      <c r="AB3" s="4">
        <f ca="1">_Google_ads[[#This Row],[search_impression_share]]*RANDBETWEEN(8,12)/10</f>
        <v>0.54</v>
      </c>
      <c r="AD3" s="3">
        <f t="shared" ca="1" si="2"/>
        <v>45222</v>
      </c>
      <c r="AE3" s="4" t="s">
        <v>104</v>
      </c>
      <c r="AF3" s="4" t="s">
        <v>105</v>
      </c>
      <c r="AG3" s="4" t="s">
        <v>106</v>
      </c>
      <c r="AH3" s="4" t="s">
        <v>107</v>
      </c>
      <c r="AI3" s="4">
        <f ca="1">ROUND(T_Tiktok_ads[[#This Row],[impressions]]*RANDBETWEEN(8,12)/10,0)</f>
        <v>98765</v>
      </c>
      <c r="AJ3" s="4">
        <f ca="1">ROUND(T_Tiktok_ads[[#This Row],[clicks]]*RANDBETWEEN(8,12)/10,0)</f>
        <v>2345</v>
      </c>
      <c r="AK3" s="4">
        <v>678.9</v>
      </c>
      <c r="AL3" s="4">
        <f ca="1">ROUND(T_Tiktok_ads[[#This Row],[conversions]]*RANDBETWEEN(8,12)/10,0)</f>
        <v>54</v>
      </c>
      <c r="AM3" s="4">
        <f ca="1">ROUND(T_Tiktok_ads[[#This Row],[video_views]]*RANDBETWEEN(8,12)/10,0)</f>
        <v>71387</v>
      </c>
      <c r="AN3" s="4">
        <f ca="1">ROUND(T_Tiktok_ads[[#This Row],[video_watch_25]]*RANDBETWEEN(8,12)/10,0)</f>
        <v>67234</v>
      </c>
      <c r="AO3" s="4">
        <f ca="1">ROUND(T_Tiktok_ads[[#This Row],[video_watch_50]]*RANDBETWEEN(8,12)/10,0)</f>
        <v>49757</v>
      </c>
      <c r="AP3" s="4">
        <f ca="1">ROUND(T_Tiktok_ads[[#This Row],[video_watch_75]]*RANDBETWEEN(8,12)/10,0)</f>
        <v>41081</v>
      </c>
      <c r="AQ3" s="4">
        <f ca="1">ROUND(T_Tiktok_ads[[#This Row],[video_watch_100]]*RANDBETWEEN(8,12)/10,0)</f>
        <v>23456</v>
      </c>
      <c r="AR3" s="4">
        <f ca="1">ROUND(T_Tiktok_ads[[#This Row],[likes]]*RANDBETWEEN(8,12)/10,0)</f>
        <v>5480</v>
      </c>
      <c r="AS3" s="4">
        <f ca="1">ROUND(T_Tiktok_ads[[#This Row],[shares]]*RANDBETWEEN(8,12)/10,0)</f>
        <v>1111</v>
      </c>
      <c r="AT3" s="4">
        <f ca="1">ROUND(T_Tiktok_ads[[#This Row],[comments]]*RANDBETWEEN(8,12)/10,0)</f>
        <v>257</v>
      </c>
      <c r="AV3" s="5">
        <f t="shared" ca="1" si="3"/>
        <v>45229</v>
      </c>
      <c r="AW3">
        <f t="shared" ref="AW3:AW66" ca="1" si="4">RANDBETWEEN(1,8)</f>
        <v>3</v>
      </c>
      <c r="AX3">
        <f ca="1">ROUND(T_Facebook_Ads11596367717579838791[[#This Row],[impressions]]*RANDBETWEEN(8,12)/10,0)</f>
        <v>16442</v>
      </c>
      <c r="AY3">
        <f ca="1">ROUND(T_Facebook_Ads11596367717579838791[[#This Row],[clicks]]*RANDBETWEEN(8,12)/10,0)</f>
        <v>567</v>
      </c>
      <c r="AZ3">
        <f ca="1">T_Facebook_Ads11596367717579838791[[#This Row],[spend]]*RANDBETWEEN(8,12)/10</f>
        <v>155.37600000000003</v>
      </c>
      <c r="BA3">
        <f ca="1">ROUND(T_Facebook_Ads11596367717579838791[[#This Row],[conversions]]*RANDBETWEEN(8,12)/10,0)</f>
        <v>31</v>
      </c>
      <c r="BB3">
        <f ca="1">ROUND(T_Facebook_Ads11596367717579838791[[#This Row],[video_views]]*RANDBETWEEN(8,12)/10,0)</f>
        <v>1357</v>
      </c>
    </row>
    <row r="4" spans="1:54" ht="15.75" thickBot="1" x14ac:dyDescent="0.3">
      <c r="A4" s="3">
        <f t="shared" ca="1" si="0"/>
        <v>45200</v>
      </c>
      <c r="B4" s="4" t="s">
        <v>60</v>
      </c>
      <c r="C4" s="4" t="s">
        <v>61</v>
      </c>
      <c r="D4" s="4" t="s">
        <v>62</v>
      </c>
      <c r="E4" s="4" t="s">
        <v>63</v>
      </c>
      <c r="F4" s="4">
        <f ca="1">ROUND(T_Facebook_Ads[[#This Row],[impressions]]*RANDBETWEEN(8,12)/10,0)</f>
        <v>41480</v>
      </c>
      <c r="G4" s="4">
        <v>1234</v>
      </c>
      <c r="H4" s="4">
        <f ca="1">T_Facebook_Ads[[#This Row],[spend]]*RANDBETWEEN(8,12)/10</f>
        <v>208.89000000000001</v>
      </c>
      <c r="I4" s="4">
        <f ca="1">ROUND(T_Facebook_Ads[[#This Row],[conversions]]*RANDBETWEEN(8,12)/10,0)</f>
        <v>18</v>
      </c>
      <c r="J4" s="4">
        <f ca="1">ROUND(T_Facebook_Ads[[#This Row],[video_views]]*RANDBETWEEN(8,12)/10,0)</f>
        <v>5480</v>
      </c>
      <c r="K4" s="4">
        <f ca="1">T_Facebook_Ads[[#This Row],[engagement_rate]]*RANDBETWEEN(8,12)/10</f>
        <v>3.2130000000000006E-2</v>
      </c>
      <c r="L4" s="4">
        <f ca="1">ROUND(T_Facebook_Ads[[#This Row],[reach]]*RANDBETWEEN(8,12)/10,0)</f>
        <v>28934</v>
      </c>
      <c r="M4" s="4">
        <f ca="1">T_Facebook_Ads[[#This Row],[frequency]]*RANDBETWEEN(8,12)/10</f>
        <v>0.95199999999999996</v>
      </c>
      <c r="O4" s="3">
        <f t="shared" ca="1" si="1"/>
        <v>45210</v>
      </c>
      <c r="P4" s="4" t="s">
        <v>84</v>
      </c>
      <c r="Q4" s="4" t="s">
        <v>85</v>
      </c>
      <c r="R4" s="4" t="s">
        <v>86</v>
      </c>
      <c r="S4" s="4" t="s">
        <v>87</v>
      </c>
      <c r="T4" s="4">
        <f ca="1">ROUND(_Google_ads[[#This Row],[impressions]]*RANDBETWEEN(8,12)/10,0)</f>
        <v>81468</v>
      </c>
      <c r="U4" s="4">
        <f ca="1">ROUND(_Google_ads[[#This Row],[clicks]]*RANDBETWEEN(8,12)/10,0)</f>
        <v>2814</v>
      </c>
      <c r="V4" s="4">
        <f ca="1">_Google_ads[[#This Row],[cost]]*RANDBETWEEN(8,12)/10</f>
        <v>508.32000000000005</v>
      </c>
      <c r="W4" s="4">
        <f ca="1">ROUND(_Google_ads[[#This Row],[conversions]]*RANDBETWEEN(8,12)/10,0)</f>
        <v>54</v>
      </c>
      <c r="X4" s="4">
        <f ca="1">ROUND(_Google_ads[[#This Row],[conversion_value]]*RANDBETWEEN(8,12)/10,0)</f>
        <v>3685</v>
      </c>
      <c r="Y4" s="4">
        <f ca="1">_Google_ads[[#This Row],[ctr]]*RANDBETWEEN(8,12)/10</f>
        <v>2.7600000000000003E-2</v>
      </c>
      <c r="Z4" s="4">
        <f ca="1">_Google_ads[[#This Row],[avg_cpc]]*RANDBETWEEN(8,12)/10</f>
        <v>0.21600000000000003</v>
      </c>
      <c r="AA4" s="4">
        <f ca="1">ROUND(_Google_ads[[#This Row],[quality_score]]*RANDBETWEEN(8,12)/10,0)</f>
        <v>10</v>
      </c>
      <c r="AB4" s="4">
        <f ca="1">_Google_ads[[#This Row],[search_impression_share]]*RANDBETWEEN(8,12)/10</f>
        <v>0.80400000000000005</v>
      </c>
      <c r="AD4" s="3">
        <f t="shared" ca="1" si="2"/>
        <v>45214</v>
      </c>
      <c r="AE4" s="4" t="s">
        <v>108</v>
      </c>
      <c r="AF4" s="4" t="s">
        <v>109</v>
      </c>
      <c r="AG4" s="4" t="s">
        <v>110</v>
      </c>
      <c r="AH4" s="4" t="s">
        <v>111</v>
      </c>
      <c r="AI4" s="4">
        <f ca="1">ROUND(T_Tiktok_ads[[#This Row],[impressions]]*RANDBETWEEN(8,12)/10,0)</f>
        <v>227081</v>
      </c>
      <c r="AJ4" s="4">
        <f ca="1">ROUND(T_Tiktok_ads[[#This Row],[clicks]]*RANDBETWEEN(8,12)/10,0)</f>
        <v>2601</v>
      </c>
      <c r="AK4" s="4">
        <v>345.6</v>
      </c>
      <c r="AL4" s="4">
        <f ca="1">ROUND(T_Tiktok_ads[[#This Row],[conversions]]*RANDBETWEEN(8,12)/10,0)</f>
        <v>28</v>
      </c>
      <c r="AM4" s="4">
        <f ca="1">ROUND(T_Tiktok_ads[[#This Row],[video_views]]*RANDBETWEEN(8,12)/10,0)</f>
        <v>116542</v>
      </c>
      <c r="AN4" s="4">
        <f ca="1">ROUND(T_Tiktok_ads[[#This Row],[video_watch_25]]*RANDBETWEEN(8,12)/10,0)</f>
        <v>89876</v>
      </c>
      <c r="AO4" s="4">
        <f ca="1">ROUND(T_Tiktok_ads[[#This Row],[video_watch_50]]*RANDBETWEEN(8,12)/10,0)</f>
        <v>71387</v>
      </c>
      <c r="AP4" s="4">
        <f ca="1">ROUND(T_Tiktok_ads[[#This Row],[video_watch_75]]*RANDBETWEEN(8,12)/10,0)</f>
        <v>45431</v>
      </c>
      <c r="AQ4" s="4">
        <f ca="1">ROUND(T_Tiktok_ads[[#This Row],[video_watch_100]]*RANDBETWEEN(8,12)/10,0)</f>
        <v>38024</v>
      </c>
      <c r="AR4" s="4">
        <f ca="1">ROUND(T_Tiktok_ads[[#This Row],[likes]]*RANDBETWEEN(8,12)/10,0)</f>
        <v>7468</v>
      </c>
      <c r="AS4" s="4">
        <f ca="1">ROUND(T_Tiktok_ads[[#This Row],[shares]]*RANDBETWEEN(8,12)/10,0)</f>
        <v>1701</v>
      </c>
      <c r="AT4" s="4">
        <f ca="1">ROUND(T_Tiktok_ads[[#This Row],[comments]]*RANDBETWEEN(8,12)/10,0)</f>
        <v>456</v>
      </c>
      <c r="AV4" s="5">
        <f t="shared" ca="1" si="3"/>
        <v>45207</v>
      </c>
      <c r="AW4">
        <f t="shared" ca="1" si="4"/>
        <v>5</v>
      </c>
      <c r="AX4">
        <f ca="1">ROUND(T_Facebook_Ads11596367717579838791[[#This Row],[impressions]]*RANDBETWEEN(8,12)/10,0)</f>
        <v>33184</v>
      </c>
      <c r="AY4">
        <f ca="1">ROUND(T_Facebook_Ads11596367717579838791[[#This Row],[clicks]]*RANDBETWEEN(8,12)/10,0)</f>
        <v>1234</v>
      </c>
      <c r="AZ4">
        <f ca="1">T_Facebook_Ads11596367717579838791[[#This Row],[spend]]*RANDBETWEEN(8,12)/10</f>
        <v>167.11200000000002</v>
      </c>
      <c r="BA4">
        <f ca="1">ROUND(T_Facebook_Ads11596367717579838791[[#This Row],[conversions]]*RANDBETWEEN(8,12)/10,0)</f>
        <v>22</v>
      </c>
      <c r="BB4">
        <f ca="1">ROUND(T_Facebook_Ads11596367717579838791[[#This Row],[video_views]]*RANDBETWEEN(8,12)/10,0)</f>
        <v>4384</v>
      </c>
    </row>
    <row r="5" spans="1:54" ht="15.75" thickBot="1" x14ac:dyDescent="0.3">
      <c r="A5" s="3">
        <f t="shared" ca="1" si="0"/>
        <v>45228</v>
      </c>
      <c r="B5" s="4" t="s">
        <v>52</v>
      </c>
      <c r="C5" s="4" t="s">
        <v>53</v>
      </c>
      <c r="D5" s="4" t="s">
        <v>54</v>
      </c>
      <c r="E5" s="4" t="s">
        <v>55</v>
      </c>
      <c r="F5" s="4">
        <f ca="1">ROUND(T_Facebook_Ads[[#This Row],[impressions]]*RANDBETWEEN(8,12)/10,0)</f>
        <v>46580</v>
      </c>
      <c r="G5" s="4">
        <v>823</v>
      </c>
      <c r="H5" s="4">
        <f ca="1">T_Facebook_Ads[[#This Row],[spend]]*RANDBETWEEN(8,12)/10</f>
        <v>130.02000000000001</v>
      </c>
      <c r="I5" s="4">
        <f ca="1">ROUND(T_Facebook_Ads[[#This Row],[conversions]]*RANDBETWEEN(8,12)/10,0)</f>
        <v>10</v>
      </c>
      <c r="J5" s="4">
        <f ca="1">ROUND(T_Facebook_Ads[[#This Row],[video_views]]*RANDBETWEEN(8,12)/10,0)</f>
        <v>7101</v>
      </c>
      <c r="K5" s="4">
        <f ca="1">T_Facebook_Ads[[#This Row],[engagement_rate]]*RANDBETWEEN(8,12)/10</f>
        <v>1.9400000000000001E-2</v>
      </c>
      <c r="L5" s="4">
        <f ca="1">ROUND(T_Facebook_Ads[[#This Row],[reach]]*RANDBETWEEN(8,12)/10,0)</f>
        <v>44147</v>
      </c>
      <c r="M5" s="4">
        <f ca="1">T_Facebook_Ads[[#This Row],[frequency]]*RANDBETWEEN(8,12)/10</f>
        <v>1.1499999999999999</v>
      </c>
      <c r="O5" s="3">
        <f t="shared" ca="1" si="1"/>
        <v>45210</v>
      </c>
      <c r="P5" s="4" t="s">
        <v>76</v>
      </c>
      <c r="Q5" s="4" t="s">
        <v>77</v>
      </c>
      <c r="R5" s="4" t="s">
        <v>78</v>
      </c>
      <c r="S5" s="4" t="s">
        <v>79</v>
      </c>
      <c r="T5" s="4">
        <f ca="1">ROUND(_Google_ads[[#This Row],[impressions]]*RANDBETWEEN(8,12)/10,0)</f>
        <v>27024</v>
      </c>
      <c r="U5" s="4">
        <f ca="1">ROUND(_Google_ads[[#This Row],[clicks]]*RANDBETWEEN(8,12)/10,0)</f>
        <v>1289</v>
      </c>
      <c r="V5" s="4">
        <f ca="1">_Google_ads[[#This Row],[cost]]*RANDBETWEEN(8,12)/10</f>
        <v>270.15999999999997</v>
      </c>
      <c r="W5" s="4">
        <f ca="1">ROUND(_Google_ads[[#This Row],[conversions]]*RANDBETWEEN(8,12)/10,0)</f>
        <v>43</v>
      </c>
      <c r="X5" s="4">
        <f ca="1">ROUND(_Google_ads[[#This Row],[conversion_value]]*RANDBETWEEN(8,12)/10,0)</f>
        <v>2160</v>
      </c>
      <c r="Y5" s="4">
        <f ca="1">_Google_ads[[#This Row],[ctr]]*RANDBETWEEN(8,12)/10</f>
        <v>4.1999999999999996E-2</v>
      </c>
      <c r="Z5" s="4">
        <f ca="1">_Google_ads[[#This Row],[avg_cpc]]*RANDBETWEEN(8,12)/10</f>
        <v>0.20899999999999999</v>
      </c>
      <c r="AA5" s="4">
        <f ca="1">ROUND(_Google_ads[[#This Row],[quality_score]]*RANDBETWEEN(8,12)/10,0)</f>
        <v>9</v>
      </c>
      <c r="AB5" s="4">
        <f ca="1">_Google_ads[[#This Row],[search_impression_share]]*RANDBETWEEN(8,12)/10</f>
        <v>0.72799999999999998</v>
      </c>
      <c r="AD5" s="3">
        <f t="shared" ca="1" si="2"/>
        <v>45223</v>
      </c>
      <c r="AE5" s="4" t="s">
        <v>100</v>
      </c>
      <c r="AF5" s="4" t="s">
        <v>101</v>
      </c>
      <c r="AG5" s="4" t="s">
        <v>102</v>
      </c>
      <c r="AH5" s="4" t="s">
        <v>103</v>
      </c>
      <c r="AI5" s="4">
        <f ca="1">ROUND(T_Tiktok_ads[[#This Row],[impressions]]*RANDBETWEEN(8,12)/10,0)</f>
        <v>196542</v>
      </c>
      <c r="AJ5" s="4">
        <f ca="1">ROUND(T_Tiktok_ads[[#This Row],[clicks]]*RANDBETWEEN(8,12)/10,0)</f>
        <v>4046</v>
      </c>
      <c r="AK5" s="4">
        <v>478.9</v>
      </c>
      <c r="AL5" s="4">
        <f ca="1">ROUND(T_Tiktok_ads[[#This Row],[conversions]]*RANDBETWEEN(8,12)/10,0)</f>
        <v>43</v>
      </c>
      <c r="AM5" s="4">
        <f ca="1">ROUND(T_Tiktok_ads[[#This Row],[video_views]]*RANDBETWEEN(8,12)/10,0)</f>
        <v>207345</v>
      </c>
      <c r="AN5" s="4">
        <f ca="1">ROUND(T_Tiktok_ads[[#This Row],[video_watch_25]]*RANDBETWEEN(8,12)/10,0)</f>
        <v>196147</v>
      </c>
      <c r="AO5" s="4">
        <f ca="1">ROUND(T_Tiktok_ads[[#This Row],[video_watch_50]]*RANDBETWEEN(8,12)/10,0)</f>
        <v>81876</v>
      </c>
      <c r="AP5" s="4">
        <f ca="1">ROUND(T_Tiktok_ads[[#This Row],[video_watch_75]]*RANDBETWEEN(8,12)/10,0)</f>
        <v>70234</v>
      </c>
      <c r="AQ5" s="4">
        <f ca="1">ROUND(T_Tiktok_ads[[#This Row],[video_watch_100]]*RANDBETWEEN(8,12)/10,0)</f>
        <v>51957</v>
      </c>
      <c r="AR5" s="4">
        <f ca="1">ROUND(T_Tiktok_ads[[#This Row],[likes]]*RANDBETWEEN(8,12)/10,0)</f>
        <v>10157</v>
      </c>
      <c r="AS5" s="4">
        <f ca="1">ROUND(T_Tiktok_ads[[#This Row],[shares]]*RANDBETWEEN(8,12)/10,0)</f>
        <v>2702</v>
      </c>
      <c r="AT5" s="4">
        <f ca="1">ROUND(T_Tiktok_ads[[#This Row],[comments]]*RANDBETWEEN(8,12)/10,0)</f>
        <v>648</v>
      </c>
      <c r="AV5" s="5">
        <f t="shared" ca="1" si="3"/>
        <v>45224</v>
      </c>
      <c r="AW5">
        <f ca="1">RANDBETWEEN(1,8)</f>
        <v>4</v>
      </c>
      <c r="AX5">
        <f ca="1">ROUND(T_Facebook_Ads11596367717579838791[[#This Row],[impressions]]*RANDBETWEEN(8,12)/10,0)</f>
        <v>41922</v>
      </c>
      <c r="AY5">
        <f ca="1">ROUND(T_Facebook_Ads11596367717579838791[[#This Row],[clicks]]*RANDBETWEEN(8,12)/10,0)</f>
        <v>658</v>
      </c>
      <c r="AZ5">
        <f ca="1">T_Facebook_Ads11596367717579838791[[#This Row],[spend]]*RANDBETWEEN(8,12)/10</f>
        <v>104.01600000000001</v>
      </c>
      <c r="BA5">
        <f ca="1">ROUND(T_Facebook_Ads11596367717579838791[[#This Row],[conversions]]*RANDBETWEEN(8,12)/10,0)</f>
        <v>11</v>
      </c>
      <c r="BB5">
        <f ca="1">ROUND(T_Facebook_Ads11596367717579838791[[#This Row],[video_views]]*RANDBETWEEN(8,12)/10,0)</f>
        <v>5681</v>
      </c>
    </row>
    <row r="6" spans="1:54" ht="15.75" thickBot="1" x14ac:dyDescent="0.3">
      <c r="A6" s="3">
        <f t="shared" ca="1" si="0"/>
        <v>45224</v>
      </c>
      <c r="B6" s="4" t="s">
        <v>56</v>
      </c>
      <c r="C6" s="4" t="s">
        <v>57</v>
      </c>
      <c r="D6" s="4" t="s">
        <v>58</v>
      </c>
      <c r="E6" s="4" t="s">
        <v>59</v>
      </c>
      <c r="F6" s="4">
        <f ca="1">ROUND(T_Facebook_Ads[[#This Row],[impressions]]*RANDBETWEEN(8,12)/10,0)</f>
        <v>12310</v>
      </c>
      <c r="G6" s="4">
        <v>623</v>
      </c>
      <c r="H6" s="4">
        <f ca="1">T_Facebook_Ads[[#This Row],[spend]]*RANDBETWEEN(8,12)/10</f>
        <v>211.05</v>
      </c>
      <c r="I6" s="4">
        <f ca="1">ROUND(T_Facebook_Ads[[#This Row],[conversions]]*RANDBETWEEN(8,12)/10,0)</f>
        <v>38</v>
      </c>
      <c r="J6" s="4">
        <f ca="1">ROUND(T_Facebook_Ads[[#This Row],[video_views]]*RANDBETWEEN(8,12)/10,0)</f>
        <v>1165</v>
      </c>
      <c r="K6" s="4">
        <f ca="1">T_Facebook_Ads[[#This Row],[engagement_rate]]*RANDBETWEEN(8,12)/10</f>
        <v>5.4600000000000003E-2</v>
      </c>
      <c r="L6" s="4">
        <f ca="1">ROUND(T_Facebook_Ads[[#This Row],[reach]]*RANDBETWEEN(8,12)/10,0)</f>
        <v>12281</v>
      </c>
      <c r="M6" s="4">
        <f ca="1">T_Facebook_Ads[[#This Row],[frequency]]*RANDBETWEEN(8,12)/10</f>
        <v>1.474</v>
      </c>
      <c r="O6" s="3">
        <f t="shared" ca="1" si="1"/>
        <v>45216</v>
      </c>
      <c r="P6" s="4" t="s">
        <v>80</v>
      </c>
      <c r="Q6" s="4" t="s">
        <v>81</v>
      </c>
      <c r="R6" s="4" t="s">
        <v>82</v>
      </c>
      <c r="S6" s="4" t="s">
        <v>83</v>
      </c>
      <c r="T6" s="4">
        <f ca="1">ROUND(_Google_ads[[#This Row],[impressions]]*RANDBETWEEN(8,12)/10,0)</f>
        <v>47557</v>
      </c>
      <c r="U6" s="4">
        <f ca="1">ROUND(_Google_ads[[#This Row],[clicks]]*RANDBETWEEN(8,12)/10,0)</f>
        <v>905</v>
      </c>
      <c r="V6" s="4">
        <f ca="1">_Google_ads[[#This Row],[cost]]*RANDBETWEEN(8,12)/10</f>
        <v>641.04000000000008</v>
      </c>
      <c r="W6" s="4">
        <f ca="1">ROUND(_Google_ads[[#This Row],[conversions]]*RANDBETWEEN(8,12)/10,0)</f>
        <v>21</v>
      </c>
      <c r="X6" s="4">
        <f ca="1">ROUND(_Google_ads[[#This Row],[conversion_value]]*RANDBETWEEN(8,12)/10,0)</f>
        <v>1155</v>
      </c>
      <c r="Y6" s="4">
        <f ca="1">_Google_ads[[#This Row],[ctr]]*RANDBETWEEN(8,12)/10</f>
        <v>2.2799999999999997E-2</v>
      </c>
      <c r="Z6" s="4">
        <f ca="1">_Google_ads[[#This Row],[avg_cpc]]*RANDBETWEEN(8,12)/10</f>
        <v>0.78</v>
      </c>
      <c r="AA6" s="4">
        <f ca="1">ROUND(_Google_ads[[#This Row],[quality_score]]*RANDBETWEEN(8,12)/10,0)</f>
        <v>7</v>
      </c>
      <c r="AB6" s="4">
        <f ca="1">_Google_ads[[#This Row],[search_impression_share]]*RANDBETWEEN(8,12)/10</f>
        <v>0.39600000000000002</v>
      </c>
      <c r="AD6" s="3">
        <f t="shared" ca="1" si="2"/>
        <v>45228</v>
      </c>
      <c r="AE6" s="4" t="s">
        <v>104</v>
      </c>
      <c r="AF6" s="4" t="s">
        <v>105</v>
      </c>
      <c r="AG6" s="4" t="s">
        <v>106</v>
      </c>
      <c r="AH6" s="4" t="s">
        <v>107</v>
      </c>
      <c r="AI6" s="4">
        <f ca="1">ROUND(T_Tiktok_ads[[#This Row],[impressions]]*RANDBETWEEN(8,12)/10,0)</f>
        <v>134567</v>
      </c>
      <c r="AJ6" s="4">
        <f ca="1">ROUND(T_Tiktok_ads[[#This Row],[clicks]]*RANDBETWEEN(8,12)/10,0)</f>
        <v>3080</v>
      </c>
      <c r="AK6" s="4">
        <v>712.3</v>
      </c>
      <c r="AL6" s="4">
        <f ca="1">ROUND(T_Tiktok_ads[[#This Row],[conversions]]*RANDBETWEEN(8,12)/10,0)</f>
        <v>71</v>
      </c>
      <c r="AM6" s="4">
        <f ca="1">ROUND(T_Tiktok_ads[[#This Row],[video_views]]*RANDBETWEEN(8,12)/10,0)</f>
        <v>86110</v>
      </c>
      <c r="AN6" s="4">
        <f ca="1">ROUND(T_Tiktok_ads[[#This Row],[video_watch_25]]*RANDBETWEEN(8,12)/10,0)</f>
        <v>78357</v>
      </c>
      <c r="AO6" s="4">
        <f ca="1">ROUND(T_Tiktok_ads[[#This Row],[video_watch_50]]*RANDBETWEEN(8,12)/10,0)</f>
        <v>48234</v>
      </c>
      <c r="AP6" s="4">
        <f ca="1">ROUND(T_Tiktok_ads[[#This Row],[video_watch_75]]*RANDBETWEEN(8,12)/10,0)</f>
        <v>43481</v>
      </c>
      <c r="AQ6" s="4">
        <f ca="1">ROUND(T_Tiktok_ads[[#This Row],[video_watch_100]]*RANDBETWEEN(8,12)/10,0)</f>
        <v>22110</v>
      </c>
      <c r="AR6" s="4">
        <f ca="1">ROUND(T_Tiktok_ads[[#This Row],[likes]]*RANDBETWEEN(8,12)/10,0)</f>
        <v>3831</v>
      </c>
      <c r="AS6" s="4">
        <f ca="1">ROUND(T_Tiktok_ads[[#This Row],[shares]]*RANDBETWEEN(8,12)/10,0)</f>
        <v>1614</v>
      </c>
      <c r="AT6" s="4">
        <f ca="1">ROUND(T_Tiktok_ads[[#This Row],[comments]]*RANDBETWEEN(8,12)/10,0)</f>
        <v>270</v>
      </c>
      <c r="AV6" s="5">
        <f t="shared" ca="1" si="3"/>
        <v>45222</v>
      </c>
      <c r="AW6">
        <f t="shared" ca="1" si="4"/>
        <v>8</v>
      </c>
      <c r="AX6">
        <f ca="1">ROUND(T_Facebook_Ads11596367717579838791[[#This Row],[impressions]]*RANDBETWEEN(8,12)/10,0)</f>
        <v>13541</v>
      </c>
      <c r="AY6">
        <f ca="1">ROUND(T_Facebook_Ads11596367717579838791[[#This Row],[clicks]]*RANDBETWEEN(8,12)/10,0)</f>
        <v>498</v>
      </c>
      <c r="AZ6">
        <f ca="1">T_Facebook_Ads11596367717579838791[[#This Row],[spend]]*RANDBETWEEN(8,12)/10</f>
        <v>168.84</v>
      </c>
      <c r="BA6">
        <f ca="1">ROUND(T_Facebook_Ads11596367717579838791[[#This Row],[conversions]]*RANDBETWEEN(8,12)/10,0)</f>
        <v>42</v>
      </c>
      <c r="BB6">
        <f ca="1">ROUND(T_Facebook_Ads11596367717579838791[[#This Row],[video_views]]*RANDBETWEEN(8,12)/10,0)</f>
        <v>1282</v>
      </c>
    </row>
    <row r="7" spans="1:54" ht="15.75" thickBot="1" x14ac:dyDescent="0.3">
      <c r="A7" s="3">
        <f t="shared" ca="1" si="0"/>
        <v>45214</v>
      </c>
      <c r="B7" s="4" t="s">
        <v>60</v>
      </c>
      <c r="C7" s="4" t="s">
        <v>61</v>
      </c>
      <c r="D7" s="4" t="s">
        <v>62</v>
      </c>
      <c r="E7" s="4" t="s">
        <v>63</v>
      </c>
      <c r="F7" s="4">
        <f ca="1">ROUND(T_Facebook_Ads[[#This Row],[impressions]]*RANDBETWEEN(8,12)/10,0)</f>
        <v>36789</v>
      </c>
      <c r="G7" s="4">
        <v>1345</v>
      </c>
      <c r="H7" s="4">
        <f ca="1">T_Facebook_Ads[[#This Row],[spend]]*RANDBETWEEN(8,12)/10</f>
        <v>201.3</v>
      </c>
      <c r="I7" s="4">
        <f ca="1">ROUND(T_Facebook_Ads[[#This Row],[conversions]]*RANDBETWEEN(8,12)/10,0)</f>
        <v>30</v>
      </c>
      <c r="J7" s="4">
        <f ca="1">ROUND(T_Facebook_Ads[[#This Row],[video_views]]*RANDBETWEEN(8,12)/10,0)</f>
        <v>4401</v>
      </c>
      <c r="K7" s="4">
        <f ca="1">T_Facebook_Ads[[#This Row],[engagement_rate]]*RANDBETWEEN(8,12)/10</f>
        <v>3.6600000000000001E-2</v>
      </c>
      <c r="L7" s="4">
        <f ca="1">ROUND(T_Facebook_Ads[[#This Row],[reach]]*RANDBETWEEN(8,12)/10,0)</f>
        <v>24098</v>
      </c>
      <c r="M7" s="4">
        <f ca="1">T_Facebook_Ads[[#This Row],[frequency]]*RANDBETWEEN(8,12)/10</f>
        <v>0.97599999999999998</v>
      </c>
      <c r="O7" s="3">
        <f t="shared" ca="1" si="1"/>
        <v>45230</v>
      </c>
      <c r="P7" s="4" t="s">
        <v>84</v>
      </c>
      <c r="Q7" s="4" t="s">
        <v>85</v>
      </c>
      <c r="R7" s="4" t="s">
        <v>86</v>
      </c>
      <c r="S7" s="4" t="s">
        <v>87</v>
      </c>
      <c r="T7" s="4">
        <f ca="1">ROUND(_Google_ads[[#This Row],[impressions]]*RANDBETWEEN(8,12)/10,0)</f>
        <v>64111</v>
      </c>
      <c r="U7" s="4">
        <f ca="1">ROUND(_Google_ads[[#This Row],[clicks]]*RANDBETWEEN(8,12)/10,0)</f>
        <v>2947</v>
      </c>
      <c r="V7" s="4">
        <f ca="1">_Google_ads[[#This Row],[cost]]*RANDBETWEEN(8,12)/10</f>
        <v>356.64</v>
      </c>
      <c r="W7" s="4">
        <f ca="1">ROUND(_Google_ads[[#This Row],[conversions]]*RANDBETWEEN(8,12)/10,0)</f>
        <v>57</v>
      </c>
      <c r="X7" s="4">
        <f ca="1">ROUND(_Google_ads[[#This Row],[conversion_value]]*RANDBETWEEN(8,12)/10,0)</f>
        <v>4260</v>
      </c>
      <c r="Y7" s="4">
        <f ca="1">_Google_ads[[#This Row],[ctr]]*RANDBETWEEN(8,12)/10</f>
        <v>3.1050000000000001E-2</v>
      </c>
      <c r="Z7" s="4">
        <f ca="1">_Google_ads[[#This Row],[avg_cpc]]*RANDBETWEEN(8,12)/10</f>
        <v>0.19800000000000001</v>
      </c>
      <c r="AA7" s="4">
        <f ca="1">ROUND(_Google_ads[[#This Row],[quality_score]]*RANDBETWEEN(8,12)/10,0)</f>
        <v>6</v>
      </c>
      <c r="AB7" s="4">
        <f ca="1">_Google_ads[[#This Row],[search_impression_share]]*RANDBETWEEN(8,12)/10</f>
        <v>0.61199999999999999</v>
      </c>
      <c r="AD7" s="3">
        <f t="shared" ca="1" si="2"/>
        <v>45209</v>
      </c>
      <c r="AE7" s="4" t="s">
        <v>108</v>
      </c>
      <c r="AF7" s="4" t="s">
        <v>109</v>
      </c>
      <c r="AG7" s="4" t="s">
        <v>110</v>
      </c>
      <c r="AH7" s="4" t="s">
        <v>111</v>
      </c>
      <c r="AI7" s="4">
        <f ca="1">ROUND(T_Tiktok_ads[[#This Row],[impressions]]*RANDBETWEEN(8,12)/10,0)</f>
        <v>178511</v>
      </c>
      <c r="AJ7" s="4">
        <f ca="1">ROUND(T_Tiktok_ads[[#This Row],[clicks]]*RANDBETWEEN(8,12)/10,0)</f>
        <v>2711</v>
      </c>
      <c r="AK7" s="4">
        <v>361.2</v>
      </c>
      <c r="AL7" s="4">
        <f ca="1">ROUND(T_Tiktok_ads[[#This Row],[conversions]]*RANDBETWEEN(8,12)/10,0)</f>
        <v>20</v>
      </c>
      <c r="AM7" s="4">
        <f ca="1">ROUND(T_Tiktok_ads[[#This Row],[video_views]]*RANDBETWEEN(8,12)/10,0)</f>
        <v>182814</v>
      </c>
      <c r="AN7" s="4">
        <f ca="1">ROUND(T_Tiktok_ads[[#This Row],[video_watch_25]]*RANDBETWEEN(8,12)/10,0)</f>
        <v>93787</v>
      </c>
      <c r="AO7" s="4">
        <f ca="1">ROUND(T_Tiktok_ads[[#This Row],[video_watch_50]]*RANDBETWEEN(8,12)/10,0)</f>
        <v>111881</v>
      </c>
      <c r="AP7" s="4">
        <f ca="1">ROUND(T_Tiktok_ads[[#This Row],[video_watch_75]]*RANDBETWEEN(8,12)/10,0)</f>
        <v>47387</v>
      </c>
      <c r="AQ7" s="4">
        <f ca="1">ROUND(T_Tiktok_ads[[#This Row],[video_watch_100]]*RANDBETWEEN(8,12)/10,0)</f>
        <v>39857</v>
      </c>
      <c r="AR7" s="4">
        <f ca="1">ROUND(T_Tiktok_ads[[#This Row],[likes]]*RANDBETWEEN(8,12)/10,0)</f>
        <v>7123</v>
      </c>
      <c r="AS7" s="4">
        <f ca="1">ROUND(T_Tiktok_ads[[#This Row],[shares]]*RANDBETWEEN(8,12)/10,0)</f>
        <v>2164</v>
      </c>
      <c r="AT7" s="4">
        <f ca="1">ROUND(T_Tiktok_ads[[#This Row],[comments]]*RANDBETWEEN(8,12)/10,0)</f>
        <v>382</v>
      </c>
      <c r="AV7" s="5">
        <f t="shared" ca="1" si="3"/>
        <v>45220</v>
      </c>
      <c r="AW7">
        <f t="shared" ca="1" si="4"/>
        <v>3</v>
      </c>
      <c r="AX7">
        <f ca="1">ROUND(T_Facebook_Ads11596367717579838791[[#This Row],[impressions]]*RANDBETWEEN(8,12)/10,0)</f>
        <v>44147</v>
      </c>
      <c r="AY7">
        <f ca="1">ROUND(T_Facebook_Ads11596367717579838791[[#This Row],[clicks]]*RANDBETWEEN(8,12)/10,0)</f>
        <v>1345</v>
      </c>
      <c r="AZ7">
        <f ca="1">T_Facebook_Ads11596367717579838791[[#This Row],[spend]]*RANDBETWEEN(8,12)/10</f>
        <v>221.43</v>
      </c>
      <c r="BA7">
        <f ca="1">ROUND(T_Facebook_Ads11596367717579838791[[#This Row],[conversions]]*RANDBETWEEN(8,12)/10,0)</f>
        <v>36</v>
      </c>
      <c r="BB7">
        <f ca="1">ROUND(T_Facebook_Ads11596367717579838791[[#This Row],[video_views]]*RANDBETWEEN(8,12)/10,0)</f>
        <v>5281</v>
      </c>
    </row>
    <row r="8" spans="1:54" ht="15.75" thickBot="1" x14ac:dyDescent="0.3">
      <c r="A8" s="3">
        <f t="shared" ca="1" si="0"/>
        <v>45205</v>
      </c>
      <c r="B8" s="4" t="s">
        <v>52</v>
      </c>
      <c r="C8" s="4" t="s">
        <v>53</v>
      </c>
      <c r="D8" s="4" t="s">
        <v>54</v>
      </c>
      <c r="E8" s="4" t="s">
        <v>55</v>
      </c>
      <c r="F8" s="4">
        <f ca="1">ROUND(T_Facebook_Ads[[#This Row],[impressions]]*RANDBETWEEN(8,12)/10,0)</f>
        <v>38587</v>
      </c>
      <c r="G8" s="4">
        <v>967</v>
      </c>
      <c r="H8" s="4">
        <f ca="1">T_Facebook_Ads[[#This Row],[spend]]*RANDBETWEEN(8,12)/10</f>
        <v>148.28000000000003</v>
      </c>
      <c r="I8" s="4">
        <f ca="1">ROUND(T_Facebook_Ads[[#This Row],[conversions]]*RANDBETWEEN(8,12)/10,0)</f>
        <v>15</v>
      </c>
      <c r="J8" s="4">
        <f ca="1">ROUND(T_Facebook_Ads[[#This Row],[video_views]]*RANDBETWEEN(8,12)/10,0)</f>
        <v>9791</v>
      </c>
      <c r="K8" s="4">
        <f ca="1">T_Facebook_Ads[[#This Row],[engagement_rate]]*RANDBETWEEN(8,12)/10</f>
        <v>1.8090000000000002E-2</v>
      </c>
      <c r="L8" s="4">
        <f ca="1">ROUND(T_Facebook_Ads[[#This Row],[reach]]*RANDBETWEEN(8,12)/10,0)</f>
        <v>36111</v>
      </c>
      <c r="M8" s="4">
        <f ca="1">T_Facebook_Ads[[#This Row],[frequency]]*RANDBETWEEN(8,12)/10</f>
        <v>1.0799999999999998</v>
      </c>
      <c r="O8" s="3">
        <f t="shared" ca="1" si="1"/>
        <v>45221</v>
      </c>
      <c r="P8" s="4" t="s">
        <v>76</v>
      </c>
      <c r="Q8" s="4" t="s">
        <v>77</v>
      </c>
      <c r="R8" s="4" t="s">
        <v>78</v>
      </c>
      <c r="S8" s="4" t="s">
        <v>79</v>
      </c>
      <c r="T8" s="4">
        <f ca="1">ROUND(_Google_ads[[#This Row],[impressions]]*RANDBETWEEN(8,12)/10,0)</f>
        <v>24580</v>
      </c>
      <c r="U8" s="4">
        <f ca="1">ROUND(_Google_ads[[#This Row],[clicks]]*RANDBETWEEN(8,12)/10,0)</f>
        <v>1123</v>
      </c>
      <c r="V8" s="4">
        <f ca="1">_Google_ads[[#This Row],[cost]]*RANDBETWEEN(8,12)/10</f>
        <v>213.4</v>
      </c>
      <c r="W8" s="4">
        <f ca="1">ROUND(_Google_ads[[#This Row],[conversions]]*RANDBETWEEN(8,12)/10,0)</f>
        <v>34</v>
      </c>
      <c r="X8" s="4">
        <f ca="1">ROUND(_Google_ads[[#This Row],[conversion_value]]*RANDBETWEEN(8,12)/10,0)</f>
        <v>1890</v>
      </c>
      <c r="Y8" s="4">
        <f ca="1">_Google_ads[[#This Row],[ctr]]*RANDBETWEEN(8,12)/10</f>
        <v>5.5330000000000004E-2</v>
      </c>
      <c r="Z8" s="4">
        <f ca="1">_Google_ads[[#This Row],[avg_cpc]]*RANDBETWEEN(8,12)/10</f>
        <v>0.152</v>
      </c>
      <c r="AA8" s="4">
        <f ca="1">ROUND(_Google_ads[[#This Row],[quality_score]]*RANDBETWEEN(8,12)/10,0)</f>
        <v>9</v>
      </c>
      <c r="AB8" s="4">
        <f ca="1">_Google_ads[[#This Row],[search_impression_share]]*RANDBETWEEN(8,12)/10</f>
        <v>0.74399999999999999</v>
      </c>
      <c r="AD8" s="3">
        <f t="shared" ca="1" si="2"/>
        <v>45200</v>
      </c>
      <c r="AE8" s="4" t="s">
        <v>100</v>
      </c>
      <c r="AF8" s="4" t="s">
        <v>101</v>
      </c>
      <c r="AG8" s="4" t="s">
        <v>102</v>
      </c>
      <c r="AH8" s="4" t="s">
        <v>103</v>
      </c>
      <c r="AI8" s="4">
        <f ca="1">ROUND(T_Tiktok_ads[[#This Row],[impressions]]*RANDBETWEEN(8,12)/10,0)</f>
        <v>245802</v>
      </c>
      <c r="AJ8" s="4">
        <f ca="1">ROUND(T_Tiktok_ads[[#This Row],[clicks]]*RANDBETWEEN(8,12)/10,0)</f>
        <v>3234</v>
      </c>
      <c r="AK8" s="4">
        <v>434.5</v>
      </c>
      <c r="AL8" s="4">
        <f ca="1">ROUND(T_Tiktok_ads[[#This Row],[conversions]]*RANDBETWEEN(8,12)/10,0)</f>
        <v>29</v>
      </c>
      <c r="AM8" s="4">
        <f ca="1">ROUND(T_Tiktok_ads[[#This Row],[video_views]]*RANDBETWEEN(8,12)/10,0)</f>
        <v>227081</v>
      </c>
      <c r="AN8" s="4">
        <f ca="1">ROUND(T_Tiktok_ads[[#This Row],[video_watch_25]]*RANDBETWEEN(8,12)/10,0)</f>
        <v>177881</v>
      </c>
      <c r="AO8" s="4">
        <f ca="1">ROUND(T_Tiktok_ads[[#This Row],[video_watch_50]]*RANDBETWEEN(8,12)/10,0)</f>
        <v>111881</v>
      </c>
      <c r="AP8" s="4">
        <f ca="1">ROUND(T_Tiktok_ads[[#This Row],[video_watch_75]]*RANDBETWEEN(8,12)/10,0)</f>
        <v>57110</v>
      </c>
      <c r="AQ8" s="4">
        <f ca="1">ROUND(T_Tiktok_ads[[#This Row],[video_watch_100]]*RANDBETWEEN(8,12)/10,0)</f>
        <v>47557</v>
      </c>
      <c r="AR8" s="4">
        <f ca="1">ROUND(T_Tiktok_ads[[#This Row],[likes]]*RANDBETWEEN(8,12)/10,0)</f>
        <v>7710</v>
      </c>
      <c r="AS8" s="4">
        <f ca="1">ROUND(T_Tiktok_ads[[#This Row],[shares]]*RANDBETWEEN(8,12)/10,0)</f>
        <v>2457</v>
      </c>
      <c r="AT8" s="4">
        <f ca="1">ROUND(T_Tiktok_ads[[#This Row],[comments]]*RANDBETWEEN(8,12)/10,0)</f>
        <v>534</v>
      </c>
      <c r="AV8" s="5">
        <f t="shared" ca="1" si="3"/>
        <v>45204</v>
      </c>
      <c r="AW8">
        <f t="shared" ca="1" si="4"/>
        <v>3</v>
      </c>
      <c r="AX8">
        <f ca="1">ROUND(T_Facebook_Ads11596367717579838791[[#This Row],[impressions]]*RANDBETWEEN(8,12)/10,0)</f>
        <v>38587</v>
      </c>
      <c r="AY8">
        <f ca="1">ROUND(T_Facebook_Ads11596367717579838791[[#This Row],[clicks]]*RANDBETWEEN(8,12)/10,0)</f>
        <v>1064</v>
      </c>
      <c r="AZ8">
        <f ca="1">T_Facebook_Ads11596367717579838791[[#This Row],[spend]]*RANDBETWEEN(8,12)/10</f>
        <v>148.28000000000003</v>
      </c>
      <c r="BA8">
        <f ca="1">ROUND(T_Facebook_Ads11596367717579838791[[#This Row],[conversions]]*RANDBETWEEN(8,12)/10,0)</f>
        <v>17</v>
      </c>
      <c r="BB8">
        <f ca="1">ROUND(T_Facebook_Ads11596367717579838791[[#This Row],[video_views]]*RANDBETWEEN(8,12)/10,0)</f>
        <v>11749</v>
      </c>
    </row>
    <row r="9" spans="1:54" ht="15.75" thickBot="1" x14ac:dyDescent="0.3">
      <c r="A9" s="3">
        <f t="shared" ca="1" si="0"/>
        <v>45230</v>
      </c>
      <c r="B9" s="4" t="s">
        <v>56</v>
      </c>
      <c r="C9" s="4" t="s">
        <v>57</v>
      </c>
      <c r="D9" s="4" t="s">
        <v>58</v>
      </c>
      <c r="E9" s="4" t="s">
        <v>59</v>
      </c>
      <c r="F9" s="4">
        <f ca="1">ROUND(T_Facebook_Ads[[#This Row],[impressions]]*RANDBETWEEN(8,12)/10,0)</f>
        <v>12357</v>
      </c>
      <c r="G9" s="4">
        <v>489</v>
      </c>
      <c r="H9" s="4">
        <f ca="1">T_Facebook_Ads[[#This Row],[spend]]*RANDBETWEEN(8,12)/10</f>
        <v>198.7</v>
      </c>
      <c r="I9" s="4">
        <f ca="1">ROUND(T_Facebook_Ads[[#This Row],[conversions]]*RANDBETWEEN(8,12)/10,0)</f>
        <v>25</v>
      </c>
      <c r="J9" s="4">
        <f ca="1">ROUND(T_Facebook_Ads[[#This Row],[video_views]]*RANDBETWEEN(8,12)/10,0)</f>
        <v>898</v>
      </c>
      <c r="K9" s="4">
        <f ca="1">T_Facebook_Ads[[#This Row],[engagement_rate]]*RANDBETWEEN(8,12)/10</f>
        <v>4.3499999999999997E-2</v>
      </c>
      <c r="L9" s="4">
        <f ca="1">ROUND(T_Facebook_Ads[[#This Row],[reach]]*RANDBETWEEN(8,12)/10,0)</f>
        <v>8901</v>
      </c>
      <c r="M9" s="4">
        <f ca="1">T_Facebook_Ads[[#This Row],[frequency]]*RANDBETWEEN(8,12)/10</f>
        <v>1.3859999999999999</v>
      </c>
      <c r="O9" s="3">
        <f t="shared" ca="1" si="1"/>
        <v>45218</v>
      </c>
      <c r="P9" s="4" t="s">
        <v>80</v>
      </c>
      <c r="Q9" s="4" t="s">
        <v>81</v>
      </c>
      <c r="R9" s="4" t="s">
        <v>82</v>
      </c>
      <c r="S9" s="4" t="s">
        <v>83</v>
      </c>
      <c r="T9" s="4">
        <f ca="1">ROUND(_Google_ads[[#This Row],[impressions]]*RANDBETWEEN(8,12)/10,0)</f>
        <v>43101</v>
      </c>
      <c r="U9" s="4">
        <f ca="1">ROUND(_Google_ads[[#This Row],[clicks]]*RANDBETWEEN(8,12)/10,0)</f>
        <v>967</v>
      </c>
      <c r="V9" s="4">
        <f ca="1">_Google_ads[[#This Row],[cost]]*RANDBETWEEN(8,12)/10</f>
        <v>561.15</v>
      </c>
      <c r="W9" s="4">
        <f ca="1">ROUND(_Google_ads[[#This Row],[conversions]]*RANDBETWEEN(8,12)/10,0)</f>
        <v>23</v>
      </c>
      <c r="X9" s="4">
        <f ca="1">ROUND(_Google_ads[[#This Row],[conversion_value]]*RANDBETWEEN(8,12)/10,0)</f>
        <v>1250</v>
      </c>
      <c r="Y9" s="4">
        <f ca="1">_Google_ads[[#This Row],[ctr]]*RANDBETWEEN(8,12)/10</f>
        <v>1.8179999999999998E-2</v>
      </c>
      <c r="Z9" s="4">
        <f ca="1">_Google_ads[[#This Row],[avg_cpc]]*RANDBETWEEN(8,12)/10</f>
        <v>0.64</v>
      </c>
      <c r="AA9" s="4">
        <f ca="1">ROUND(_Google_ads[[#This Row],[quality_score]]*RANDBETWEEN(8,12)/10,0)</f>
        <v>6</v>
      </c>
      <c r="AB9" s="4">
        <f ca="1">_Google_ads[[#This Row],[search_impression_share]]*RANDBETWEEN(8,12)/10</f>
        <v>0.38700000000000001</v>
      </c>
      <c r="AD9" s="3">
        <f t="shared" ca="1" si="2"/>
        <v>45224</v>
      </c>
      <c r="AE9" s="4" t="s">
        <v>104</v>
      </c>
      <c r="AF9" s="4" t="s">
        <v>105</v>
      </c>
      <c r="AG9" s="4" t="s">
        <v>106</v>
      </c>
      <c r="AH9" s="4" t="s">
        <v>107</v>
      </c>
      <c r="AI9" s="4">
        <f ca="1">ROUND(T_Tiktok_ads[[#This Row],[impressions]]*RANDBETWEEN(8,12)/10,0)</f>
        <v>89876</v>
      </c>
      <c r="AJ9" s="4">
        <f ca="1">ROUND(T_Tiktok_ads[[#This Row],[clicks]]*RANDBETWEEN(8,12)/10,0)</f>
        <v>2548</v>
      </c>
      <c r="AK9" s="4">
        <v>623.4</v>
      </c>
      <c r="AL9" s="4">
        <f ca="1">ROUND(T_Tiktok_ads[[#This Row],[conversions]]*RANDBETWEEN(8,12)/10,0)</f>
        <v>74</v>
      </c>
      <c r="AM9" s="4">
        <f ca="1">ROUND(T_Tiktok_ads[[#This Row],[video_views]]*RANDBETWEEN(8,12)/10,0)</f>
        <v>74111</v>
      </c>
      <c r="AN9" s="4">
        <f ca="1">ROUND(T_Tiktok_ads[[#This Row],[video_watch_25]]*RANDBETWEEN(8,12)/10,0)</f>
        <v>73481</v>
      </c>
      <c r="AO9" s="4">
        <f ca="1">ROUND(T_Tiktok_ads[[#This Row],[video_watch_50]]*RANDBETWEEN(8,12)/10,0)</f>
        <v>37111</v>
      </c>
      <c r="AP9" s="4">
        <f ca="1">ROUND(T_Tiktok_ads[[#This Row],[video_watch_75]]*RANDBETWEEN(8,12)/10,0)</f>
        <v>31234</v>
      </c>
      <c r="AQ9" s="4">
        <f ca="1">ROUND(T_Tiktok_ads[[#This Row],[video_watch_100]]*RANDBETWEEN(8,12)/10,0)</f>
        <v>16987</v>
      </c>
      <c r="AR9" s="4">
        <f ca="1">ROUND(T_Tiktok_ads[[#This Row],[likes]]*RANDBETWEEN(8,12)/10,0)</f>
        <v>4657</v>
      </c>
      <c r="AS9" s="4">
        <f ca="1">ROUND(T_Tiktok_ads[[#This Row],[shares]]*RANDBETWEEN(8,12)/10,0)</f>
        <v>898</v>
      </c>
      <c r="AT9" s="4">
        <f ca="1">ROUND(T_Tiktok_ads[[#This Row],[comments]]*RANDBETWEEN(8,12)/10,0)</f>
        <v>212</v>
      </c>
      <c r="AV9" s="5">
        <f t="shared" ca="1" si="3"/>
        <v>45216</v>
      </c>
      <c r="AW9">
        <f t="shared" ca="1" si="4"/>
        <v>6</v>
      </c>
      <c r="AX9">
        <f ca="1">ROUND(T_Facebook_Ads11596367717579838791[[#This Row],[impressions]]*RANDBETWEEN(8,12)/10,0)</f>
        <v>13593</v>
      </c>
      <c r="AY9">
        <f ca="1">ROUND(T_Facebook_Ads11596367717579838791[[#This Row],[clicks]]*RANDBETWEEN(8,12)/10,0)</f>
        <v>538</v>
      </c>
      <c r="AZ9">
        <f ca="1">T_Facebook_Ads11596367717579838791[[#This Row],[spend]]*RANDBETWEEN(8,12)/10</f>
        <v>218.57</v>
      </c>
      <c r="BA9">
        <f ca="1">ROUND(T_Facebook_Ads11596367717579838791[[#This Row],[conversions]]*RANDBETWEEN(8,12)/10,0)</f>
        <v>20</v>
      </c>
      <c r="BB9">
        <f ca="1">ROUND(T_Facebook_Ads11596367717579838791[[#This Row],[video_views]]*RANDBETWEEN(8,12)/10,0)</f>
        <v>718</v>
      </c>
    </row>
    <row r="10" spans="1:54" ht="15.75" thickBot="1" x14ac:dyDescent="0.3">
      <c r="A10" s="3">
        <f t="shared" ca="1" si="0"/>
        <v>45208</v>
      </c>
      <c r="B10" s="4" t="s">
        <v>60</v>
      </c>
      <c r="C10" s="4" t="s">
        <v>61</v>
      </c>
      <c r="D10" s="4" t="s">
        <v>62</v>
      </c>
      <c r="E10" s="4" t="s">
        <v>63</v>
      </c>
      <c r="F10" s="4">
        <f ca="1">ROUND(T_Facebook_Ads[[#This Row],[impressions]]*RANDBETWEEN(8,12)/10,0)</f>
        <v>46681</v>
      </c>
      <c r="G10" s="4">
        <v>1456</v>
      </c>
      <c r="H10" s="4">
        <f ca="1">T_Facebook_Ads[[#This Row],[spend]]*RANDBETWEEN(8,12)/10</f>
        <v>234.74</v>
      </c>
      <c r="I10" s="4">
        <f ca="1">ROUND(T_Facebook_Ads[[#This Row],[conversions]]*RANDBETWEEN(8,12)/10,0)</f>
        <v>22</v>
      </c>
      <c r="J10" s="4">
        <f ca="1">ROUND(T_Facebook_Ads[[#This Row],[video_views]]*RANDBETWEEN(8,12)/10,0)</f>
        <v>4187</v>
      </c>
      <c r="K10" s="4">
        <f ca="1">T_Facebook_Ads[[#This Row],[engagement_rate]]*RANDBETWEEN(8,12)/10</f>
        <v>3.7499999999999999E-2</v>
      </c>
      <c r="L10" s="4">
        <f ca="1">ROUND(T_Facebook_Ads[[#This Row],[reach]]*RANDBETWEEN(8,12)/10,0)</f>
        <v>25165</v>
      </c>
      <c r="M10" s="4">
        <f ca="1">T_Facebook_Ads[[#This Row],[frequency]]*RANDBETWEEN(8,12)/10</f>
        <v>0.99199999999999999</v>
      </c>
      <c r="O10" s="3">
        <f t="shared" ca="1" si="1"/>
        <v>45230</v>
      </c>
      <c r="P10" s="4" t="s">
        <v>88</v>
      </c>
      <c r="Q10" s="4" t="s">
        <v>89</v>
      </c>
      <c r="R10" s="4" t="s">
        <v>90</v>
      </c>
      <c r="S10" s="4" t="s">
        <v>59</v>
      </c>
      <c r="T10" s="4">
        <f ca="1">ROUND(_Google_ads[[#This Row],[impressions]]*RANDBETWEEN(8,12)/10,0)</f>
        <v>111110</v>
      </c>
      <c r="U10" s="4">
        <f ca="1">ROUND(_Google_ads[[#This Row],[clicks]]*RANDBETWEEN(8,12)/10,0)</f>
        <v>365</v>
      </c>
      <c r="V10" s="4">
        <f ca="1">_Google_ads[[#This Row],[cost]]*RANDBETWEEN(8,12)/10</f>
        <v>123.4</v>
      </c>
      <c r="W10" s="4">
        <f ca="1">ROUND(_Google_ads[[#This Row],[conversions]]*RANDBETWEEN(8,12)/10,0)</f>
        <v>12</v>
      </c>
      <c r="X10" s="4">
        <f ca="1">ROUND(_Google_ads[[#This Row],[conversion_value]]*RANDBETWEEN(8,12)/10,0)</f>
        <v>660</v>
      </c>
      <c r="Y10" s="4">
        <f ca="1">_Google_ads[[#This Row],[ctr]]*RANDBETWEEN(8,12)/10</f>
        <v>2.96E-3</v>
      </c>
      <c r="Z10" s="4">
        <f ca="1">_Google_ads[[#This Row],[avg_cpc]]*RANDBETWEEN(8,12)/10</f>
        <v>0.27</v>
      </c>
      <c r="AA10" s="4">
        <f ca="1">ROUND(_Google_ads[[#This Row],[quality_score]]*RANDBETWEEN(8,12)/10,0)</f>
        <v>7</v>
      </c>
      <c r="AB10" s="4">
        <f ca="1">_Google_ads[[#This Row],[search_impression_share]]*RANDBETWEEN(8,12)/10</f>
        <v>0.27999999999999997</v>
      </c>
      <c r="AD10" s="3">
        <f t="shared" ca="1" si="2"/>
        <v>45221</v>
      </c>
      <c r="AE10" s="4" t="s">
        <v>112</v>
      </c>
      <c r="AF10" s="4" t="s">
        <v>113</v>
      </c>
      <c r="AG10" s="4" t="s">
        <v>114</v>
      </c>
      <c r="AH10" s="4" t="s">
        <v>115</v>
      </c>
      <c r="AI10" s="4">
        <f ca="1">ROUND(T_Tiktok_ads[[#This Row],[impressions]]*RANDBETWEEN(8,12)/10,0)</f>
        <v>414814</v>
      </c>
      <c r="AJ10" s="4">
        <f ca="1">ROUND(T_Tiktok_ads[[#This Row],[clicks]]*RANDBETWEEN(8,12)/10,0)</f>
        <v>4542</v>
      </c>
      <c r="AK10" s="4">
        <v>890.1</v>
      </c>
      <c r="AL10" s="4">
        <f ca="1">ROUND(T_Tiktok_ads[[#This Row],[conversions]]*RANDBETWEEN(8,12)/10,0)</f>
        <v>89</v>
      </c>
      <c r="AM10" s="4">
        <f ca="1">ROUND(T_Tiktok_ads[[#This Row],[video_views]]*RANDBETWEEN(8,12)/10,0)</f>
        <v>231387</v>
      </c>
      <c r="AN10" s="4">
        <f ca="1">ROUND(T_Tiktok_ads[[#This Row],[video_watch_25]]*RANDBETWEEN(8,12)/10,0)</f>
        <v>258024</v>
      </c>
      <c r="AO10" s="4">
        <f ca="1">ROUND(T_Tiktok_ads[[#This Row],[video_watch_50]]*RANDBETWEEN(8,12)/10,0)</f>
        <v>208157</v>
      </c>
      <c r="AP10" s="4">
        <f ca="1">ROUND(T_Tiktok_ads[[#This Row],[video_watch_75]]*RANDBETWEEN(8,12)/10,0)</f>
        <v>148024</v>
      </c>
      <c r="AQ10" s="4">
        <f ca="1">ROUND(T_Tiktok_ads[[#This Row],[video_watch_100]]*RANDBETWEEN(8,12)/10,0)</f>
        <v>71387</v>
      </c>
      <c r="AR10" s="4">
        <f ca="1">ROUND(T_Tiktok_ads[[#This Row],[likes]]*RANDBETWEEN(8,12)/10,0)</f>
        <v>17246</v>
      </c>
      <c r="AS10" s="4">
        <f ca="1">ROUND(T_Tiktok_ads[[#This Row],[shares]]*RANDBETWEEN(8,12)/10,0)</f>
        <v>3654</v>
      </c>
      <c r="AT10" s="4">
        <f ca="1">ROUND(T_Tiktok_ads[[#This Row],[comments]]*RANDBETWEEN(8,12)/10,0)</f>
        <v>1481</v>
      </c>
      <c r="AV10" s="5">
        <f t="shared" ca="1" si="3"/>
        <v>45205</v>
      </c>
      <c r="AW10">
        <f t="shared" ca="1" si="4"/>
        <v>2</v>
      </c>
      <c r="AX10">
        <f ca="1">ROUND(T_Facebook_Ads11596367717579838791[[#This Row],[impressions]]*RANDBETWEEN(8,12)/10,0)</f>
        <v>51349</v>
      </c>
      <c r="AY10">
        <f ca="1">ROUND(T_Facebook_Ads11596367717579838791[[#This Row],[clicks]]*RANDBETWEEN(8,12)/10,0)</f>
        <v>1747</v>
      </c>
      <c r="AZ10">
        <f ca="1">T_Facebook_Ads11596367717579838791[[#This Row],[spend]]*RANDBETWEEN(8,12)/10</f>
        <v>258.21400000000006</v>
      </c>
      <c r="BA10">
        <f ca="1">ROUND(T_Facebook_Ads11596367717579838791[[#This Row],[conversions]]*RANDBETWEEN(8,12)/10,0)</f>
        <v>24</v>
      </c>
      <c r="BB10">
        <f ca="1">ROUND(T_Facebook_Ads11596367717579838791[[#This Row],[video_views]]*RANDBETWEEN(8,12)/10,0)</f>
        <v>4606</v>
      </c>
    </row>
    <row r="11" spans="1:54" ht="15.75" thickBot="1" x14ac:dyDescent="0.3">
      <c r="A11" s="3">
        <f t="shared" ca="1" si="0"/>
        <v>45213</v>
      </c>
      <c r="B11" s="4" t="s">
        <v>52</v>
      </c>
      <c r="C11" s="4" t="s">
        <v>53</v>
      </c>
      <c r="D11" s="4" t="s">
        <v>54</v>
      </c>
      <c r="E11" s="4" t="s">
        <v>55</v>
      </c>
      <c r="F11" s="4">
        <f ca="1">ROUND(T_Facebook_Ads[[#This Row],[impressions]]*RANDBETWEEN(8,12)/10,0)</f>
        <v>40987</v>
      </c>
      <c r="G11" s="4">
        <v>1023</v>
      </c>
      <c r="H11" s="4">
        <f ca="1">T_Facebook_Ads[[#This Row],[spend]]*RANDBETWEEN(8,12)/10</f>
        <v>142.30000000000001</v>
      </c>
      <c r="I11" s="4">
        <f ca="1">ROUND(T_Facebook_Ads[[#This Row],[conversions]]*RANDBETWEEN(8,12)/10,0)</f>
        <v>14</v>
      </c>
      <c r="J11" s="4">
        <f ca="1">ROUND(T_Facebook_Ads[[#This Row],[video_views]]*RANDBETWEEN(8,12)/10,0)</f>
        <v>8311</v>
      </c>
      <c r="K11" s="4">
        <f ca="1">T_Facebook_Ads[[#This Row],[engagement_rate]]*RANDBETWEEN(8,12)/10</f>
        <v>1.6E-2</v>
      </c>
      <c r="L11" s="4">
        <f ca="1">ROUND(T_Facebook_Ads[[#This Row],[reach]]*RANDBETWEEN(8,12)/10,0)</f>
        <v>38310</v>
      </c>
      <c r="M11" s="4">
        <f ca="1">T_Facebook_Ads[[#This Row],[frequency]]*RANDBETWEEN(8,12)/10</f>
        <v>1.0799999999999998</v>
      </c>
      <c r="O11" s="3">
        <f t="shared" ca="1" si="1"/>
        <v>45219</v>
      </c>
      <c r="P11" s="4" t="s">
        <v>76</v>
      </c>
      <c r="Q11" s="4" t="s">
        <v>77</v>
      </c>
      <c r="R11" s="4" t="s">
        <v>78</v>
      </c>
      <c r="S11" s="4" t="s">
        <v>79</v>
      </c>
      <c r="T11" s="4">
        <f ca="1">ROUND(_Google_ads[[#This Row],[impressions]]*RANDBETWEEN(8,12)/10,0)</f>
        <v>20542</v>
      </c>
      <c r="U11" s="4">
        <f ca="1">ROUND(_Google_ads[[#This Row],[clicks]]*RANDBETWEEN(8,12)/10,0)</f>
        <v>1211</v>
      </c>
      <c r="V11" s="4">
        <f ca="1">_Google_ads[[#This Row],[cost]]*RANDBETWEEN(8,12)/10</f>
        <v>205.35999999999999</v>
      </c>
      <c r="W11" s="4">
        <f ca="1">ROUND(_Google_ads[[#This Row],[conversions]]*RANDBETWEEN(8,12)/10,0)</f>
        <v>50</v>
      </c>
      <c r="X11" s="4">
        <f ca="1">ROUND(_Google_ads[[#This Row],[conversion_value]]*RANDBETWEEN(8,12)/10,0)</f>
        <v>2500</v>
      </c>
      <c r="Y11" s="4">
        <f ca="1">_Google_ads[[#This Row],[ctr]]*RANDBETWEEN(8,12)/10</f>
        <v>4.1919999999999999E-2</v>
      </c>
      <c r="Z11" s="4">
        <f ca="1">_Google_ads[[#This Row],[avg_cpc]]*RANDBETWEEN(8,12)/10</f>
        <v>0.19</v>
      </c>
      <c r="AA11" s="4">
        <f ca="1">ROUND(_Google_ads[[#This Row],[quality_score]]*RANDBETWEEN(8,12)/10,0)</f>
        <v>7</v>
      </c>
      <c r="AB11" s="4">
        <f ca="1">_Google_ads[[#This Row],[search_impression_share]]*RANDBETWEEN(8,12)/10</f>
        <v>0.92000000000000015</v>
      </c>
      <c r="AD11" s="3">
        <f t="shared" ca="1" si="2"/>
        <v>45203</v>
      </c>
      <c r="AE11" s="4" t="s">
        <v>100</v>
      </c>
      <c r="AF11" s="4" t="s">
        <v>101</v>
      </c>
      <c r="AG11" s="4" t="s">
        <v>102</v>
      </c>
      <c r="AH11" s="4" t="s">
        <v>103</v>
      </c>
      <c r="AI11" s="4">
        <f ca="1">ROUND(T_Tiktok_ads[[#This Row],[impressions]]*RANDBETWEEN(8,12)/10,0)</f>
        <v>205431</v>
      </c>
      <c r="AJ11" s="4">
        <f ca="1">ROUND(T_Tiktok_ads[[#This Row],[clicks]]*RANDBETWEEN(8,12)/10,0)</f>
        <v>3501</v>
      </c>
      <c r="AK11" s="4">
        <v>512.29999999999995</v>
      </c>
      <c r="AL11" s="4">
        <f ca="1">ROUND(T_Tiktok_ads[[#This Row],[conversions]]*RANDBETWEEN(8,12)/10,0)</f>
        <v>31</v>
      </c>
      <c r="AM11" s="4">
        <f ca="1">ROUND(T_Tiktok_ads[[#This Row],[video_views]]*RANDBETWEEN(8,12)/10,0)</f>
        <v>173965</v>
      </c>
      <c r="AN11" s="4">
        <f ca="1">ROUND(T_Tiktok_ads[[#This Row],[video_watch_25]]*RANDBETWEEN(8,12)/10,0)</f>
        <v>187257</v>
      </c>
      <c r="AO11" s="4">
        <f ca="1">ROUND(T_Tiktok_ads[[#This Row],[video_watch_50]]*RANDBETWEEN(8,12)/10,0)</f>
        <v>128681</v>
      </c>
      <c r="AP11" s="4">
        <f ca="1">ROUND(T_Tiktok_ads[[#This Row],[video_watch_75]]*RANDBETWEEN(8,12)/10,0)</f>
        <v>72456</v>
      </c>
      <c r="AQ11" s="4">
        <f ca="1">ROUND(T_Tiktok_ads[[#This Row],[video_watch_100]]*RANDBETWEEN(8,12)/10,0)</f>
        <v>58147</v>
      </c>
      <c r="AR11" s="4">
        <f ca="1">ROUND(T_Tiktok_ads[[#This Row],[likes]]*RANDBETWEEN(8,12)/10,0)</f>
        <v>7654</v>
      </c>
      <c r="AS11" s="4">
        <f ca="1">ROUND(T_Tiktok_ads[[#This Row],[shares]]*RANDBETWEEN(8,12)/10,0)</f>
        <v>2824</v>
      </c>
      <c r="AT11" s="4">
        <f ca="1">ROUND(T_Tiktok_ads[[#This Row],[comments]]*RANDBETWEEN(8,12)/10,0)</f>
        <v>612</v>
      </c>
      <c r="AV11" s="5">
        <f t="shared" ca="1" si="3"/>
        <v>45222</v>
      </c>
      <c r="AW11">
        <f t="shared" ca="1" si="4"/>
        <v>7</v>
      </c>
      <c r="AX11">
        <f ca="1">ROUND(T_Facebook_Ads11596367717579838791[[#This Row],[impressions]]*RANDBETWEEN(8,12)/10,0)</f>
        <v>32790</v>
      </c>
      <c r="AY11">
        <f ca="1">ROUND(T_Facebook_Ads11596367717579838791[[#This Row],[clicks]]*RANDBETWEEN(8,12)/10,0)</f>
        <v>1125</v>
      </c>
      <c r="AZ11">
        <f ca="1">T_Facebook_Ads11596367717579838791[[#This Row],[spend]]*RANDBETWEEN(8,12)/10</f>
        <v>113.84</v>
      </c>
      <c r="BA11">
        <f ca="1">ROUND(T_Facebook_Ads11596367717579838791[[#This Row],[conversions]]*RANDBETWEEN(8,12)/10,0)</f>
        <v>13</v>
      </c>
      <c r="BB11">
        <f ca="1">ROUND(T_Facebook_Ads11596367717579838791[[#This Row],[video_views]]*RANDBETWEEN(8,12)/10,0)</f>
        <v>8311</v>
      </c>
    </row>
    <row r="12" spans="1:54" ht="15.75" thickBot="1" x14ac:dyDescent="0.3">
      <c r="A12" s="3">
        <f t="shared" ca="1" si="0"/>
        <v>45217</v>
      </c>
      <c r="B12" s="4" t="s">
        <v>56</v>
      </c>
      <c r="C12" s="4" t="s">
        <v>57</v>
      </c>
      <c r="D12" s="4" t="s">
        <v>58</v>
      </c>
      <c r="E12" s="4" t="s">
        <v>59</v>
      </c>
      <c r="F12" s="4">
        <f ca="1">ROUND(T_Facebook_Ads[[#This Row],[impressions]]*RANDBETWEEN(8,12)/10,0)</f>
        <v>16024</v>
      </c>
      <c r="G12" s="4">
        <v>678</v>
      </c>
      <c r="H12" s="4">
        <f ca="1">T_Facebook_Ads[[#This Row],[spend]]*RANDBETWEEN(8,12)/10</f>
        <v>196.48</v>
      </c>
      <c r="I12" s="4">
        <f ca="1">ROUND(T_Facebook_Ads[[#This Row],[conversions]]*RANDBETWEEN(8,12)/10,0)</f>
        <v>38</v>
      </c>
      <c r="J12" s="4">
        <f ca="1">ROUND(T_Facebook_Ads[[#This Row],[video_views]]*RANDBETWEEN(8,12)/10,0)</f>
        <v>1880</v>
      </c>
      <c r="K12" s="4">
        <f ca="1">T_Facebook_Ads[[#This Row],[engagement_rate]]*RANDBETWEEN(8,12)/10</f>
        <v>4.65E-2</v>
      </c>
      <c r="L12" s="4">
        <f ca="1">ROUND(T_Facebook_Ads[[#This Row],[reach]]*RANDBETWEEN(8,12)/10,0)</f>
        <v>8987</v>
      </c>
      <c r="M12" s="4">
        <f ca="1">T_Facebook_Ads[[#This Row],[frequency]]*RANDBETWEEN(8,12)/10</f>
        <v>1.3</v>
      </c>
      <c r="O12" s="3">
        <f t="shared" ca="1" si="1"/>
        <v>45218</v>
      </c>
      <c r="P12" s="4" t="s">
        <v>84</v>
      </c>
      <c r="Q12" s="4" t="s">
        <v>85</v>
      </c>
      <c r="R12" s="4" t="s">
        <v>86</v>
      </c>
      <c r="S12" s="4" t="s">
        <v>87</v>
      </c>
      <c r="T12" s="4">
        <f ca="1">ROUND(_Google_ads[[#This Row],[impressions]]*RANDBETWEEN(8,12)/10,0)</f>
        <v>55565</v>
      </c>
      <c r="U12" s="4">
        <f ca="1">ROUND(_Google_ads[[#This Row],[clicks]]*RANDBETWEEN(8,12)/10,0)</f>
        <v>2457</v>
      </c>
      <c r="V12" s="4">
        <f ca="1">_Google_ads[[#This Row],[cost]]*RANDBETWEEN(8,12)/10</f>
        <v>412.3</v>
      </c>
      <c r="W12" s="4">
        <f ca="1">ROUND(_Google_ads[[#This Row],[conversions]]*RANDBETWEEN(8,12)/10,0)</f>
        <v>52</v>
      </c>
      <c r="X12" s="4">
        <f ca="1">ROUND(_Google_ads[[#This Row],[conversion_value]]*RANDBETWEEN(8,12)/10,0)</f>
        <v>3575</v>
      </c>
      <c r="Y12" s="4">
        <f ca="1">_Google_ads[[#This Row],[ctr]]*RANDBETWEEN(8,12)/10</f>
        <v>2.8979999999999999E-2</v>
      </c>
      <c r="Z12" s="4">
        <f ca="1">_Google_ads[[#This Row],[avg_cpc]]*RANDBETWEEN(8,12)/10</f>
        <v>0.16199999999999998</v>
      </c>
      <c r="AA12" s="4">
        <f ca="1">ROUND(_Google_ads[[#This Row],[quality_score]]*RANDBETWEEN(8,12)/10,0)</f>
        <v>6</v>
      </c>
      <c r="AB12" s="4">
        <f ca="1">_Google_ads[[#This Row],[search_impression_share]]*RANDBETWEEN(8,12)/10</f>
        <v>0.52800000000000002</v>
      </c>
      <c r="AD12" s="3">
        <f t="shared" ca="1" si="2"/>
        <v>45219</v>
      </c>
      <c r="AE12" s="4" t="s">
        <v>108</v>
      </c>
      <c r="AF12" s="4" t="s">
        <v>109</v>
      </c>
      <c r="AG12" s="4" t="s">
        <v>110</v>
      </c>
      <c r="AH12" s="4" t="s">
        <v>111</v>
      </c>
      <c r="AI12" s="4">
        <f ca="1">ROUND(T_Tiktok_ads[[#This Row],[impressions]]*RANDBETWEEN(8,12)/10,0)</f>
        <v>160987</v>
      </c>
      <c r="AJ12" s="4">
        <f ca="1">ROUND(T_Tiktok_ads[[#This Row],[clicks]]*RANDBETWEEN(8,12)/10,0)</f>
        <v>3748</v>
      </c>
      <c r="AK12" s="4">
        <v>374.5</v>
      </c>
      <c r="AL12" s="4">
        <f ca="1">ROUND(T_Tiktok_ads[[#This Row],[conversions]]*RANDBETWEEN(8,12)/10,0)</f>
        <v>26</v>
      </c>
      <c r="AM12" s="4">
        <f ca="1">ROUND(T_Tiktok_ads[[#This Row],[video_views]]*RANDBETWEEN(8,12)/10,0)</f>
        <v>157890</v>
      </c>
      <c r="AN12" s="4">
        <f ca="1">ROUND(T_Tiktok_ads[[#This Row],[video_watch_25]]*RANDBETWEEN(8,12)/10,0)</f>
        <v>121234</v>
      </c>
      <c r="AO12" s="4">
        <f ca="1">ROUND(T_Tiktok_ads[[#This Row],[video_watch_50]]*RANDBETWEEN(8,12)/10,0)</f>
        <v>86611</v>
      </c>
      <c r="AP12" s="4">
        <f ca="1">ROUND(T_Tiktok_ads[[#This Row],[video_watch_75]]*RANDBETWEEN(8,12)/10,0)</f>
        <v>67357</v>
      </c>
      <c r="AQ12" s="4">
        <f ca="1">ROUND(T_Tiktok_ads[[#This Row],[video_watch_100]]*RANDBETWEEN(8,12)/10,0)</f>
        <v>37456</v>
      </c>
      <c r="AR12" s="4">
        <f ca="1">ROUND(T_Tiktok_ads[[#This Row],[likes]]*RANDBETWEEN(8,12)/10,0)</f>
        <v>8814</v>
      </c>
      <c r="AS12" s="4">
        <f ca="1">ROUND(T_Tiktok_ads[[#This Row],[shares]]*RANDBETWEEN(8,12)/10,0)</f>
        <v>1627</v>
      </c>
      <c r="AT12" s="4">
        <f ca="1">ROUND(T_Tiktok_ads[[#This Row],[comments]]*RANDBETWEEN(8,12)/10,0)</f>
        <v>489</v>
      </c>
      <c r="AV12" s="5">
        <f t="shared" ca="1" si="3"/>
        <v>45210</v>
      </c>
      <c r="AW12">
        <f t="shared" ca="1" si="4"/>
        <v>7</v>
      </c>
      <c r="AX12">
        <f ca="1">ROUND(T_Facebook_Ads11596367717579838791[[#This Row],[impressions]]*RANDBETWEEN(8,12)/10,0)</f>
        <v>17626</v>
      </c>
      <c r="AY12">
        <f ca="1">ROUND(T_Facebook_Ads11596367717579838791[[#This Row],[clicks]]*RANDBETWEEN(8,12)/10,0)</f>
        <v>542</v>
      </c>
      <c r="AZ12">
        <f ca="1">T_Facebook_Ads11596367717579838791[[#This Row],[spend]]*RANDBETWEEN(8,12)/10</f>
        <v>176.83199999999999</v>
      </c>
      <c r="BA12">
        <f ca="1">ROUND(T_Facebook_Ads11596367717579838791[[#This Row],[conversions]]*RANDBETWEEN(8,12)/10,0)</f>
        <v>34</v>
      </c>
      <c r="BB12">
        <f ca="1">ROUND(T_Facebook_Ads11596367717579838791[[#This Row],[video_views]]*RANDBETWEEN(8,12)/10,0)</f>
        <v>1880</v>
      </c>
    </row>
    <row r="13" spans="1:54" ht="15.75" thickBot="1" x14ac:dyDescent="0.3">
      <c r="A13" s="3">
        <f t="shared" ca="1" si="0"/>
        <v>45200</v>
      </c>
      <c r="B13" s="4" t="s">
        <v>64</v>
      </c>
      <c r="C13" s="4" t="s">
        <v>65</v>
      </c>
      <c r="D13" s="4" t="s">
        <v>66</v>
      </c>
      <c r="E13" s="4" t="s">
        <v>67</v>
      </c>
      <c r="F13" s="4">
        <f ca="1">ROUND(T_Facebook_Ads[[#This Row],[impressions]]*RANDBETWEEN(8,12)/10,0)</f>
        <v>67890</v>
      </c>
      <c r="G13" s="4">
        <v>234</v>
      </c>
      <c r="H13" s="4">
        <f ca="1">T_Facebook_Ads[[#This Row],[spend]]*RANDBETWEEN(8,12)/10</f>
        <v>98.45</v>
      </c>
      <c r="I13" s="4">
        <f ca="1">ROUND(T_Facebook_Ads[[#This Row],[conversions]]*RANDBETWEEN(8,12)/10,0)</f>
        <v>4</v>
      </c>
      <c r="J13" s="4">
        <f ca="1">ROUND(T_Facebook_Ads[[#This Row],[video_views]]*RANDBETWEEN(8,12)/10,0)</f>
        <v>54814</v>
      </c>
      <c r="K13" s="4">
        <f ca="1">T_Facebook_Ads[[#This Row],[engagement_rate]]*RANDBETWEEN(8,12)/10</f>
        <v>3.7399999999999994E-3</v>
      </c>
      <c r="L13" s="4">
        <f ca="1">ROUND(T_Facebook_Ads[[#This Row],[reach]]*RANDBETWEEN(8,12)/10,0)</f>
        <v>62468</v>
      </c>
      <c r="M13" s="4">
        <f ca="1">T_Facebook_Ads[[#This Row],[frequency]]*RANDBETWEEN(8,12)/10</f>
        <v>1.0799999999999998</v>
      </c>
      <c r="O13" s="3">
        <f t="shared" ca="1" si="1"/>
        <v>45205</v>
      </c>
      <c r="P13" s="4" t="s">
        <v>88</v>
      </c>
      <c r="Q13" s="4" t="s">
        <v>89</v>
      </c>
      <c r="R13" s="4" t="s">
        <v>90</v>
      </c>
      <c r="S13" s="4" t="s">
        <v>59</v>
      </c>
      <c r="T13" s="4">
        <f ca="1">ROUND(_Google_ads[[#This Row],[impressions]]*RANDBETWEEN(8,12)/10,0)</f>
        <v>161480</v>
      </c>
      <c r="U13" s="4">
        <f ca="1">ROUND(_Google_ads[[#This Row],[clicks]]*RANDBETWEEN(8,12)/10,0)</f>
        <v>489</v>
      </c>
      <c r="V13" s="4">
        <f ca="1">_Google_ads[[#This Row],[cost]]*RANDBETWEEN(8,12)/10</f>
        <v>147.94999999999999</v>
      </c>
      <c r="W13" s="4">
        <f ca="1">ROUND(_Google_ads[[#This Row],[conversions]]*RANDBETWEEN(8,12)/10,0)</f>
        <v>15</v>
      </c>
      <c r="X13" s="4">
        <f ca="1">ROUND(_Google_ads[[#This Row],[conversion_value]]*RANDBETWEEN(8,12)/10,0)</f>
        <v>840</v>
      </c>
      <c r="Y13" s="4">
        <f ca="1">_Google_ads[[#This Row],[ctr]]*RANDBETWEEN(8,12)/10</f>
        <v>4.3200000000000001E-3</v>
      </c>
      <c r="Z13" s="4">
        <f ca="1">_Google_ads[[#This Row],[avg_cpc]]*RANDBETWEEN(8,12)/10</f>
        <v>0.308</v>
      </c>
      <c r="AA13" s="4">
        <f ca="1">ROUND(_Google_ads[[#This Row],[quality_score]]*RANDBETWEEN(8,12)/10,0)</f>
        <v>8</v>
      </c>
      <c r="AB13" s="4">
        <f ca="1">_Google_ads[[#This Row],[search_impression_share]]*RANDBETWEEN(8,12)/10</f>
        <v>0.39600000000000002</v>
      </c>
      <c r="AD13" s="3">
        <f t="shared" ca="1" si="2"/>
        <v>45213</v>
      </c>
      <c r="AE13" s="4" t="s">
        <v>112</v>
      </c>
      <c r="AF13" s="4" t="s">
        <v>113</v>
      </c>
      <c r="AG13" s="4" t="s">
        <v>114</v>
      </c>
      <c r="AH13" s="4" t="s">
        <v>115</v>
      </c>
      <c r="AI13" s="4">
        <f ca="1">ROUND(T_Tiktok_ads[[#This Row],[impressions]]*RANDBETWEEN(8,12)/10,0)</f>
        <v>367890</v>
      </c>
      <c r="AJ13" s="4">
        <f ca="1">ROUND(T_Tiktok_ads[[#This Row],[clicks]]*RANDBETWEEN(8,12)/10,0)</f>
        <v>5411</v>
      </c>
      <c r="AK13" s="4">
        <v>923.4</v>
      </c>
      <c r="AL13" s="4">
        <f ca="1">ROUND(T_Tiktok_ads[[#This Row],[conversions]]*RANDBETWEEN(8,12)/10,0)</f>
        <v>113</v>
      </c>
      <c r="AM13" s="4">
        <f ca="1">ROUND(T_Tiktok_ads[[#This Row],[video_views]]*RANDBETWEEN(8,12)/10,0)</f>
        <v>301234</v>
      </c>
      <c r="AN13" s="4">
        <f ca="1">ROUND(T_Tiktok_ads[[#This Row],[video_watch_25]]*RANDBETWEEN(8,12)/10,0)</f>
        <v>196542</v>
      </c>
      <c r="AO13" s="4">
        <f ca="1">ROUND(T_Tiktok_ads[[#This Row],[video_watch_50]]*RANDBETWEEN(8,12)/10,0)</f>
        <v>236147</v>
      </c>
      <c r="AP13" s="4">
        <f ca="1">ROUND(T_Tiktok_ads[[#This Row],[video_watch_75]]*RANDBETWEEN(8,12)/10,0)</f>
        <v>112187</v>
      </c>
      <c r="AQ13" s="4">
        <f ca="1">ROUND(T_Tiktok_ads[[#This Row],[video_watch_100]]*RANDBETWEEN(8,12)/10,0)</f>
        <v>112147</v>
      </c>
      <c r="AR13" s="4">
        <f ca="1">ROUND(T_Tiktok_ads[[#This Row],[likes]]*RANDBETWEEN(8,12)/10,0)</f>
        <v>14611</v>
      </c>
      <c r="AS13" s="4">
        <f ca="1">ROUND(T_Tiktok_ads[[#This Row],[shares]]*RANDBETWEEN(8,12)/10,0)</f>
        <v>5747</v>
      </c>
      <c r="AT13" s="4">
        <f ca="1">ROUND(T_Tiktok_ads[[#This Row],[comments]]*RANDBETWEEN(8,12)/10,0)</f>
        <v>1031</v>
      </c>
      <c r="AV13" s="5">
        <f t="shared" ca="1" si="3"/>
        <v>45221</v>
      </c>
      <c r="AW13">
        <f t="shared" ca="1" si="4"/>
        <v>1</v>
      </c>
      <c r="AX13">
        <f ca="1">ROUND(T_Facebook_Ads11596367717579838791[[#This Row],[impressions]]*RANDBETWEEN(8,12)/10,0)</f>
        <v>54312</v>
      </c>
      <c r="AY13">
        <f ca="1">ROUND(T_Facebook_Ads11596367717579838791[[#This Row],[clicks]]*RANDBETWEEN(8,12)/10,0)</f>
        <v>234</v>
      </c>
      <c r="AZ13">
        <f ca="1">T_Facebook_Ads11596367717579838791[[#This Row],[spend]]*RANDBETWEEN(8,12)/10</f>
        <v>78.760000000000005</v>
      </c>
      <c r="BA13">
        <f ca="1">ROUND(T_Facebook_Ads11596367717579838791[[#This Row],[conversions]]*RANDBETWEEN(8,12)/10,0)</f>
        <v>4</v>
      </c>
      <c r="BB13">
        <f ca="1">ROUND(T_Facebook_Ads11596367717579838791[[#This Row],[video_views]]*RANDBETWEEN(8,12)/10,0)</f>
        <v>54814</v>
      </c>
    </row>
    <row r="14" spans="1:54" ht="15.75" thickBot="1" x14ac:dyDescent="0.3">
      <c r="A14" s="3">
        <f t="shared" ca="1" si="0"/>
        <v>45229</v>
      </c>
      <c r="B14" s="4" t="s">
        <v>52</v>
      </c>
      <c r="C14" s="4" t="s">
        <v>53</v>
      </c>
      <c r="D14" s="4" t="s">
        <v>54</v>
      </c>
      <c r="E14" s="4" t="s">
        <v>55</v>
      </c>
      <c r="F14" s="4">
        <f ca="1">ROUND(T_Facebook_Ads[[#This Row],[impressions]]*RANDBETWEEN(8,12)/10,0)</f>
        <v>51468</v>
      </c>
      <c r="G14" s="4">
        <v>934</v>
      </c>
      <c r="H14" s="4">
        <f ca="1">T_Facebook_Ads[[#This Row],[spend]]*RANDBETWEEN(8,12)/10</f>
        <v>131.19999999999999</v>
      </c>
      <c r="I14" s="4">
        <f ca="1">ROUND(T_Facebook_Ads[[#This Row],[conversions]]*RANDBETWEEN(8,12)/10,0)</f>
        <v>12</v>
      </c>
      <c r="J14" s="4">
        <f ca="1">ROUND(T_Facebook_Ads[[#This Row],[video_views]]*RANDBETWEEN(8,12)/10,0)</f>
        <v>10280</v>
      </c>
      <c r="K14" s="4">
        <f ca="1">T_Facebook_Ads[[#This Row],[engagement_rate]]*RANDBETWEEN(8,12)/10</f>
        <v>2.1999999999999999E-2</v>
      </c>
      <c r="L14" s="4">
        <f ca="1">ROUND(T_Facebook_Ads[[#This Row],[reach]]*RANDBETWEEN(8,12)/10,0)</f>
        <v>39234</v>
      </c>
      <c r="M14" s="4">
        <f ca="1">T_Facebook_Ads[[#This Row],[frequency]]*RANDBETWEEN(8,12)/10</f>
        <v>1.071</v>
      </c>
      <c r="O14" s="3">
        <f t="shared" ca="1" si="1"/>
        <v>45212</v>
      </c>
      <c r="P14" s="4" t="s">
        <v>76</v>
      </c>
      <c r="Q14" s="4" t="s">
        <v>77</v>
      </c>
      <c r="R14" s="4" t="s">
        <v>78</v>
      </c>
      <c r="S14" s="4" t="s">
        <v>79</v>
      </c>
      <c r="T14" s="4">
        <f ca="1">ROUND(_Google_ads[[#This Row],[impressions]]*RANDBETWEEN(8,12)/10,0)</f>
        <v>19112</v>
      </c>
      <c r="U14" s="4">
        <f ca="1">ROUND(_Google_ads[[#This Row],[clicks]]*RANDBETWEEN(8,12)/10,0)</f>
        <v>1234</v>
      </c>
      <c r="V14" s="4">
        <f ca="1">_Google_ads[[#This Row],[cost]]*RANDBETWEEN(8,12)/10</f>
        <v>187.92000000000002</v>
      </c>
      <c r="W14" s="4">
        <f ca="1">ROUND(_Google_ads[[#This Row],[conversions]]*RANDBETWEEN(8,12)/10,0)</f>
        <v>37</v>
      </c>
      <c r="X14" s="4">
        <f ca="1">ROUND(_Google_ads[[#This Row],[conversion_value]]*RANDBETWEEN(8,12)/10,0)</f>
        <v>2300</v>
      </c>
      <c r="Y14" s="4">
        <f ca="1">_Google_ads[[#This Row],[ctr]]*RANDBETWEEN(8,12)/10</f>
        <v>5.1700000000000003E-2</v>
      </c>
      <c r="Z14" s="4">
        <f ca="1">_Google_ads[[#This Row],[avg_cpc]]*RANDBETWEEN(8,12)/10</f>
        <v>0.152</v>
      </c>
      <c r="AA14" s="4">
        <f ca="1">ROUND(_Google_ads[[#This Row],[quality_score]]*RANDBETWEEN(8,12)/10,0)</f>
        <v>11</v>
      </c>
      <c r="AB14" s="4">
        <f ca="1">_Google_ads[[#This Row],[search_impression_share]]*RANDBETWEEN(8,12)/10</f>
        <v>1.0009999999999999</v>
      </c>
      <c r="AD14" s="3">
        <f t="shared" ca="1" si="2"/>
        <v>45215</v>
      </c>
      <c r="AE14" s="4" t="s">
        <v>100</v>
      </c>
      <c r="AF14" s="4" t="s">
        <v>101</v>
      </c>
      <c r="AG14" s="4" t="s">
        <v>102</v>
      </c>
      <c r="AH14" s="4" t="s">
        <v>103</v>
      </c>
      <c r="AI14" s="4">
        <f ca="1">ROUND(T_Tiktok_ads[[#This Row],[impressions]]*RANDBETWEEN(8,12)/10,0)</f>
        <v>210811</v>
      </c>
      <c r="AJ14" s="4">
        <f ca="1">ROUND(T_Tiktok_ads[[#This Row],[clicks]]*RANDBETWEEN(8,12)/10,0)</f>
        <v>3814</v>
      </c>
      <c r="AK14" s="4">
        <v>460.2</v>
      </c>
      <c r="AL14" s="4">
        <f ca="1">ROUND(T_Tiktok_ads[[#This Row],[conversions]]*RANDBETWEEN(8,12)/10,0)</f>
        <v>39</v>
      </c>
      <c r="AM14" s="4">
        <f ca="1">ROUND(T_Tiktok_ads[[#This Row],[video_views]]*RANDBETWEEN(8,12)/10,0)</f>
        <v>179311</v>
      </c>
      <c r="AN14" s="4">
        <f ca="1">ROUND(T_Tiktok_ads[[#This Row],[video_watch_25]]*RANDBETWEEN(8,12)/10,0)</f>
        <v>141110</v>
      </c>
      <c r="AO14" s="4">
        <f ca="1">ROUND(T_Tiktok_ads[[#This Row],[video_watch_50]]*RANDBETWEEN(8,12)/10,0)</f>
        <v>79031</v>
      </c>
      <c r="AP14" s="4">
        <f ca="1">ROUND(T_Tiktok_ads[[#This Row],[video_watch_75]]*RANDBETWEEN(8,12)/10,0)</f>
        <v>61010</v>
      </c>
      <c r="AQ14" s="4">
        <f ca="1">ROUND(T_Tiktok_ads[[#This Row],[video_watch_100]]*RANDBETWEEN(8,12)/10,0)</f>
        <v>54547</v>
      </c>
      <c r="AR14" s="4">
        <f ca="1">ROUND(T_Tiktok_ads[[#This Row],[likes]]*RANDBETWEEN(8,12)/10,0)</f>
        <v>9840</v>
      </c>
      <c r="AS14" s="4">
        <f ca="1">ROUND(T_Tiktok_ads[[#This Row],[shares]]*RANDBETWEEN(8,12)/10,0)</f>
        <v>2604</v>
      </c>
      <c r="AT14" s="4">
        <f ca="1">ROUND(T_Tiktok_ads[[#This Row],[comments]]*RANDBETWEEN(8,12)/10,0)</f>
        <v>520</v>
      </c>
      <c r="AV14" s="5">
        <f t="shared" ca="1" si="3"/>
        <v>45205</v>
      </c>
      <c r="AW14">
        <f t="shared" ca="1" si="4"/>
        <v>8</v>
      </c>
      <c r="AX14">
        <f ca="1">ROUND(T_Facebook_Ads11596367717579838791[[#This Row],[impressions]]*RANDBETWEEN(8,12)/10,0)</f>
        <v>46321</v>
      </c>
      <c r="AY14">
        <f ca="1">ROUND(T_Facebook_Ads11596367717579838791[[#This Row],[clicks]]*RANDBETWEEN(8,12)/10,0)</f>
        <v>934</v>
      </c>
      <c r="AZ14">
        <f ca="1">T_Facebook_Ads11596367717579838791[[#This Row],[spend]]*RANDBETWEEN(8,12)/10</f>
        <v>144.32</v>
      </c>
      <c r="BA14">
        <f ca="1">ROUND(T_Facebook_Ads11596367717579838791[[#This Row],[conversions]]*RANDBETWEEN(8,12)/10,0)</f>
        <v>10</v>
      </c>
      <c r="BB14">
        <f ca="1">ROUND(T_Facebook_Ads11596367717579838791[[#This Row],[video_views]]*RANDBETWEEN(8,12)/10,0)</f>
        <v>10280</v>
      </c>
    </row>
    <row r="15" spans="1:54" ht="15.75" thickBot="1" x14ac:dyDescent="0.3">
      <c r="A15" s="3">
        <f t="shared" ca="1" si="0"/>
        <v>45228</v>
      </c>
      <c r="B15" s="4" t="s">
        <v>56</v>
      </c>
      <c r="C15" s="4" t="s">
        <v>57</v>
      </c>
      <c r="D15" s="4" t="s">
        <v>58</v>
      </c>
      <c r="E15" s="4" t="s">
        <v>59</v>
      </c>
      <c r="F15" s="4">
        <f ca="1">ROUND(T_Facebook_Ads[[#This Row],[impressions]]*RANDBETWEEN(8,12)/10,0)</f>
        <v>15468</v>
      </c>
      <c r="G15" s="4">
        <v>567</v>
      </c>
      <c r="H15" s="4">
        <f ca="1">T_Facebook_Ads[[#This Row],[spend]]*RANDBETWEEN(8,12)/10</f>
        <v>176.24</v>
      </c>
      <c r="I15" s="4">
        <f ca="1">ROUND(T_Facebook_Ads[[#This Row],[conversions]]*RANDBETWEEN(8,12)/10,0)</f>
        <v>43</v>
      </c>
      <c r="J15" s="4">
        <f ca="1">ROUND(T_Facebook_Ads[[#This Row],[video_views]]*RANDBETWEEN(8,12)/10,0)</f>
        <v>1211</v>
      </c>
      <c r="K15" s="4">
        <f ca="1">T_Facebook_Ads[[#This Row],[engagement_rate]]*RANDBETWEEN(8,12)/10</f>
        <v>3.5199999999999995E-2</v>
      </c>
      <c r="L15" s="4">
        <f ca="1">ROUND(T_Facebook_Ads[[#This Row],[reach]]*RANDBETWEEN(8,12)/10,0)</f>
        <v>10123</v>
      </c>
      <c r="M15" s="4">
        <f ca="1">T_Facebook_Ads[[#This Row],[frequency]]*RANDBETWEEN(8,12)/10</f>
        <v>1.27</v>
      </c>
      <c r="O15" s="3">
        <f t="shared" ca="1" si="1"/>
        <v>45217</v>
      </c>
      <c r="P15" s="4" t="s">
        <v>80</v>
      </c>
      <c r="Q15" s="4" t="s">
        <v>81</v>
      </c>
      <c r="R15" s="4" t="s">
        <v>82</v>
      </c>
      <c r="S15" s="4" t="s">
        <v>83</v>
      </c>
      <c r="T15" s="4">
        <f ca="1">ROUND(_Google_ads[[#This Row],[impressions]]*RANDBETWEEN(8,12)/10,0)</f>
        <v>36987</v>
      </c>
      <c r="U15" s="4">
        <f ca="1">ROUND(_Google_ads[[#This Row],[clicks]]*RANDBETWEEN(8,12)/10,0)</f>
        <v>912</v>
      </c>
      <c r="V15" s="4">
        <f ca="1">_Google_ads[[#This Row],[cost]]*RANDBETWEEN(8,12)/10</f>
        <v>471.43999999999994</v>
      </c>
      <c r="W15" s="4">
        <f ca="1">ROUND(_Google_ads[[#This Row],[conversions]]*RANDBETWEEN(8,12)/10,0)</f>
        <v>29</v>
      </c>
      <c r="X15" s="4">
        <f ca="1">ROUND(_Google_ads[[#This Row],[conversion_value]]*RANDBETWEEN(8,12)/10,0)</f>
        <v>1440</v>
      </c>
      <c r="Y15" s="4">
        <f ca="1">_Google_ads[[#This Row],[ctr]]*RANDBETWEEN(8,12)/10</f>
        <v>2.1669999999999998E-2</v>
      </c>
      <c r="Z15" s="4">
        <f ca="1">_Google_ads[[#This Row],[avg_cpc]]*RANDBETWEEN(8,12)/10</f>
        <v>0.58500000000000008</v>
      </c>
      <c r="AA15" s="4">
        <f ca="1">ROUND(_Google_ads[[#This Row],[quality_score]]*RANDBETWEEN(8,12)/10,0)</f>
        <v>8</v>
      </c>
      <c r="AB15" s="4">
        <f ca="1">_Google_ads[[#This Row],[search_impression_share]]*RANDBETWEEN(8,12)/10</f>
        <v>0.495</v>
      </c>
      <c r="AD15" s="3">
        <f t="shared" ca="1" si="2"/>
        <v>45228</v>
      </c>
      <c r="AE15" s="4" t="s">
        <v>104</v>
      </c>
      <c r="AF15" s="4" t="s">
        <v>105</v>
      </c>
      <c r="AG15" s="4" t="s">
        <v>106</v>
      </c>
      <c r="AH15" s="4" t="s">
        <v>107</v>
      </c>
      <c r="AI15" s="4">
        <f ca="1">ROUND(T_Tiktok_ads[[#This Row],[impressions]]*RANDBETWEEN(8,12)/10,0)</f>
        <v>128901</v>
      </c>
      <c r="AJ15" s="4">
        <f ca="1">ROUND(T_Tiktok_ads[[#This Row],[clicks]]*RANDBETWEEN(8,12)/10,0)</f>
        <v>2947</v>
      </c>
      <c r="AK15" s="4">
        <v>689.5</v>
      </c>
      <c r="AL15" s="4">
        <f ca="1">ROUND(T_Tiktok_ads[[#This Row],[conversions]]*RANDBETWEEN(8,12)/10,0)</f>
        <v>82</v>
      </c>
      <c r="AM15" s="4">
        <f ca="1">ROUND(T_Tiktok_ads[[#This Row],[video_views]]*RANDBETWEEN(8,12)/10,0)</f>
        <v>72987</v>
      </c>
      <c r="AN15" s="4">
        <f ca="1">ROUND(T_Tiktok_ads[[#This Row],[video_watch_25]]*RANDBETWEEN(8,12)/10,0)</f>
        <v>54587</v>
      </c>
      <c r="AO15" s="4">
        <f ca="1">ROUND(T_Tiktok_ads[[#This Row],[video_watch_50]]*RANDBETWEEN(8,12)/10,0)</f>
        <v>45789</v>
      </c>
      <c r="AP15" s="4">
        <f ca="1">ROUND(T_Tiktok_ads[[#This Row],[video_watch_75]]*RANDBETWEEN(8,12)/10,0)</f>
        <v>31110</v>
      </c>
      <c r="AQ15" s="4">
        <f ca="1">ROUND(T_Tiktok_ads[[#This Row],[video_watch_100]]*RANDBETWEEN(8,12)/10,0)</f>
        <v>28414</v>
      </c>
      <c r="AR15" s="4">
        <f ca="1">ROUND(T_Tiktok_ads[[#This Row],[likes]]*RANDBETWEEN(8,12)/10,0)</f>
        <v>5614</v>
      </c>
      <c r="AS15" s="4">
        <f ca="1">ROUND(T_Tiktok_ads[[#This Row],[shares]]*RANDBETWEEN(8,12)/10,0)</f>
        <v>1267</v>
      </c>
      <c r="AT15" s="4">
        <f ca="1">ROUND(T_Tiktok_ads[[#This Row],[comments]]*RANDBETWEEN(8,12)/10,0)</f>
        <v>190</v>
      </c>
      <c r="AV15" s="5">
        <f t="shared" ca="1" si="3"/>
        <v>45210</v>
      </c>
      <c r="AW15">
        <f t="shared" ca="1" si="4"/>
        <v>3</v>
      </c>
      <c r="AX15">
        <f ca="1">ROUND(T_Facebook_Ads11596367717579838791[[#This Row],[impressions]]*RANDBETWEEN(8,12)/10,0)</f>
        <v>15468</v>
      </c>
      <c r="AY15">
        <f ca="1">ROUND(T_Facebook_Ads11596367717579838791[[#This Row],[clicks]]*RANDBETWEEN(8,12)/10,0)</f>
        <v>567</v>
      </c>
      <c r="AZ15">
        <f ca="1">T_Facebook_Ads11596367717579838791[[#This Row],[spend]]*RANDBETWEEN(8,12)/10</f>
        <v>158.61600000000001</v>
      </c>
      <c r="BA15">
        <f ca="1">ROUND(T_Facebook_Ads11596367717579838791[[#This Row],[conversions]]*RANDBETWEEN(8,12)/10,0)</f>
        <v>34</v>
      </c>
      <c r="BB15">
        <f ca="1">ROUND(T_Facebook_Ads11596367717579838791[[#This Row],[video_views]]*RANDBETWEEN(8,12)/10,0)</f>
        <v>1090</v>
      </c>
    </row>
    <row r="16" spans="1:54" ht="15.75" thickBot="1" x14ac:dyDescent="0.3">
      <c r="A16" s="3">
        <f t="shared" ca="1" si="0"/>
        <v>45205</v>
      </c>
      <c r="B16" s="4" t="s">
        <v>64</v>
      </c>
      <c r="C16" s="4" t="s">
        <v>65</v>
      </c>
      <c r="D16" s="4" t="s">
        <v>66</v>
      </c>
      <c r="E16" s="4" t="s">
        <v>67</v>
      </c>
      <c r="F16" s="4">
        <f ca="1">ROUND(T_Facebook_Ads[[#This Row],[impressions]]*RANDBETWEEN(8,12)/10,0)</f>
        <v>56987</v>
      </c>
      <c r="G16" s="4">
        <v>256</v>
      </c>
      <c r="H16" s="4">
        <f ca="1">T_Facebook_Ads[[#This Row],[spend]]*RANDBETWEEN(8,12)/10</f>
        <v>75.84</v>
      </c>
      <c r="I16" s="4">
        <f ca="1">ROUND(T_Facebook_Ads[[#This Row],[conversions]]*RANDBETWEEN(8,12)/10,0)</f>
        <v>5</v>
      </c>
      <c r="J16" s="4">
        <f ca="1">ROUND(T_Facebook_Ads[[#This Row],[video_views]]*RANDBETWEEN(8,12)/10,0)</f>
        <v>44011</v>
      </c>
      <c r="K16" s="4">
        <f ca="1">T_Facebook_Ads[[#This Row],[engagement_rate]]*RANDBETWEEN(8,12)/10</f>
        <v>4.3200000000000001E-3</v>
      </c>
      <c r="L16" s="4">
        <f ca="1">ROUND(T_Facebook_Ads[[#This Row],[reach]]*RANDBETWEEN(8,12)/10,0)</f>
        <v>71081</v>
      </c>
      <c r="M16" s="4">
        <f ca="1">T_Facebook_Ads[[#This Row],[frequency]]*RANDBETWEEN(8,12)/10</f>
        <v>1.3199999999999998</v>
      </c>
      <c r="O16" s="3">
        <f t="shared" ca="1" si="1"/>
        <v>45218</v>
      </c>
      <c r="P16" s="4" t="s">
        <v>88</v>
      </c>
      <c r="Q16" s="4" t="s">
        <v>89</v>
      </c>
      <c r="R16" s="4" t="s">
        <v>90</v>
      </c>
      <c r="S16" s="4" t="s">
        <v>59</v>
      </c>
      <c r="T16" s="4">
        <f ca="1">ROUND(_Google_ads[[#This Row],[impressions]]*RANDBETWEEN(8,12)/10,0)</f>
        <v>116011</v>
      </c>
      <c r="U16" s="4">
        <f ca="1">ROUND(_Google_ads[[#This Row],[clicks]]*RANDBETWEEN(8,12)/10,0)</f>
        <v>420</v>
      </c>
      <c r="V16" s="4">
        <f ca="1">_Google_ads[[#This Row],[cost]]*RANDBETWEEN(8,12)/10</f>
        <v>128.9</v>
      </c>
      <c r="W16" s="4">
        <f ca="1">ROUND(_Google_ads[[#This Row],[conversions]]*RANDBETWEEN(8,12)/10,0)</f>
        <v>16</v>
      </c>
      <c r="X16" s="4">
        <f ca="1">ROUND(_Google_ads[[#This Row],[conversion_value]]*RANDBETWEEN(8,12)/10,0)</f>
        <v>520</v>
      </c>
      <c r="Y16" s="4">
        <f ca="1">_Google_ads[[#This Row],[ctr]]*RANDBETWEEN(8,12)/10</f>
        <v>3.96E-3</v>
      </c>
      <c r="Z16" s="4">
        <f ca="1">_Google_ads[[#This Row],[avg_cpc]]*RANDBETWEEN(8,12)/10</f>
        <v>0.25200000000000006</v>
      </c>
      <c r="AA16" s="4">
        <f ca="1">ROUND(_Google_ads[[#This Row],[quality_score]]*RANDBETWEEN(8,12)/10,0)</f>
        <v>6</v>
      </c>
      <c r="AB16" s="4">
        <f ca="1">_Google_ads[[#This Row],[search_impression_share]]*RANDBETWEEN(8,12)/10</f>
        <v>0.34</v>
      </c>
      <c r="AD16" s="3">
        <f t="shared" ca="1" si="2"/>
        <v>45213</v>
      </c>
      <c r="AE16" s="4" t="s">
        <v>112</v>
      </c>
      <c r="AF16" s="4" t="s">
        <v>113</v>
      </c>
      <c r="AG16" s="4" t="s">
        <v>114</v>
      </c>
      <c r="AH16" s="4" t="s">
        <v>115</v>
      </c>
      <c r="AI16" s="4">
        <f ca="1">ROUND(T_Tiktok_ads[[#This Row],[impressions]]*RANDBETWEEN(8,12)/10,0)</f>
        <v>428147</v>
      </c>
      <c r="AJ16" s="4">
        <f ca="1">ROUND(T_Tiktok_ads[[#This Row],[clicks]]*RANDBETWEEN(8,12)/10,0)</f>
        <v>6417</v>
      </c>
      <c r="AK16" s="4">
        <v>901.2</v>
      </c>
      <c r="AL16" s="4">
        <f ca="1">ROUND(T_Tiktok_ads[[#This Row],[conversions]]*RANDBETWEEN(8,12)/10,0)</f>
        <v>73</v>
      </c>
      <c r="AM16" s="4">
        <f ca="1">ROUND(T_Tiktok_ads[[#This Row],[video_views]]*RANDBETWEEN(8,12)/10,0)</f>
        <v>352147</v>
      </c>
      <c r="AN16" s="4">
        <f ca="1">ROUND(T_Tiktok_ads[[#This Row],[video_watch_25]]*RANDBETWEEN(8,12)/10,0)</f>
        <v>239234</v>
      </c>
      <c r="AO16" s="4">
        <f ca="1">ROUND(T_Tiktok_ads[[#This Row],[video_watch_50]]*RANDBETWEEN(8,12)/10,0)</f>
        <v>229481</v>
      </c>
      <c r="AP16" s="4">
        <f ca="1">ROUND(T_Tiktok_ads[[#This Row],[video_watch_75]]*RANDBETWEEN(8,12)/10,0)</f>
        <v>163481</v>
      </c>
      <c r="AQ16" s="4">
        <f ca="1">ROUND(T_Tiktok_ads[[#This Row],[video_watch_100]]*RANDBETWEEN(8,12)/10,0)</f>
        <v>72187</v>
      </c>
      <c r="AR16" s="4">
        <f ca="1">ROUND(T_Tiktok_ads[[#This Row],[likes]]*RANDBETWEEN(8,12)/10,0)</f>
        <v>14301</v>
      </c>
      <c r="AS16" s="4">
        <f ca="1">ROUND(T_Tiktok_ads[[#This Row],[shares]]*RANDBETWEEN(8,12)/10,0)</f>
        <v>5097</v>
      </c>
      <c r="AT16" s="4">
        <f ca="1">ROUND(T_Tiktok_ads[[#This Row],[comments]]*RANDBETWEEN(8,12)/10,0)</f>
        <v>1005</v>
      </c>
      <c r="AV16" s="5">
        <f t="shared" ca="1" si="3"/>
        <v>45203</v>
      </c>
      <c r="AW16">
        <f t="shared" ca="1" si="4"/>
        <v>6</v>
      </c>
      <c r="AX16">
        <f ca="1">ROUND(T_Facebook_Ads11596367717579838791[[#This Row],[impressions]]*RANDBETWEEN(8,12)/10,0)</f>
        <v>45590</v>
      </c>
      <c r="AY16">
        <f ca="1">ROUND(T_Facebook_Ads11596367717579838791[[#This Row],[clicks]]*RANDBETWEEN(8,12)/10,0)</f>
        <v>307</v>
      </c>
      <c r="AZ16">
        <f ca="1">T_Facebook_Ads11596367717579838791[[#This Row],[spend]]*RANDBETWEEN(8,12)/10</f>
        <v>75.84</v>
      </c>
      <c r="BA16">
        <f ca="1">ROUND(T_Facebook_Ads11596367717579838791[[#This Row],[conversions]]*RANDBETWEEN(8,12)/10,0)</f>
        <v>6</v>
      </c>
      <c r="BB16">
        <f ca="1">ROUND(T_Facebook_Ads11596367717579838791[[#This Row],[video_views]]*RANDBETWEEN(8,12)/10,0)</f>
        <v>35209</v>
      </c>
    </row>
    <row r="17" spans="1:54" ht="15.75" thickBot="1" x14ac:dyDescent="0.3">
      <c r="A17" s="3">
        <f t="shared" ca="1" si="0"/>
        <v>45219</v>
      </c>
      <c r="B17" s="4" t="s">
        <v>52</v>
      </c>
      <c r="C17" s="4" t="s">
        <v>53</v>
      </c>
      <c r="D17" s="4" t="s">
        <v>54</v>
      </c>
      <c r="E17" s="4" t="s">
        <v>55</v>
      </c>
      <c r="F17" s="4">
        <f ca="1">ROUND(T_Facebook_Ads[[#This Row],[impressions]]*RANDBETWEEN(8,12)/10,0)</f>
        <v>35654</v>
      </c>
      <c r="G17" s="4">
        <v>878</v>
      </c>
      <c r="H17" s="4">
        <f ca="1">T_Facebook_Ads[[#This Row],[spend]]*RANDBETWEEN(8,12)/10</f>
        <v>113.03999999999999</v>
      </c>
      <c r="I17" s="4">
        <f ca="1">ROUND(T_Facebook_Ads[[#This Row],[conversions]]*RANDBETWEEN(8,12)/10,0)</f>
        <v>13</v>
      </c>
      <c r="J17" s="4">
        <f ca="1">ROUND(T_Facebook_Ads[[#This Row],[video_views]]*RANDBETWEEN(8,12)/10,0)</f>
        <v>7311</v>
      </c>
      <c r="K17" s="4">
        <f ca="1">T_Facebook_Ads[[#This Row],[engagement_rate]]*RANDBETWEEN(8,12)/10</f>
        <v>1.576E-2</v>
      </c>
      <c r="L17" s="4">
        <f ca="1">ROUND(T_Facebook_Ads[[#This Row],[reach]]*RANDBETWEEN(8,12)/10,0)</f>
        <v>37456</v>
      </c>
      <c r="M17" s="4">
        <f ca="1">T_Facebook_Ads[[#This Row],[frequency]]*RANDBETWEEN(8,12)/10</f>
        <v>1.071</v>
      </c>
      <c r="O17" s="3">
        <f t="shared" ca="1" si="1"/>
        <v>45226</v>
      </c>
      <c r="P17" s="4" t="s">
        <v>76</v>
      </c>
      <c r="Q17" s="4" t="s">
        <v>77</v>
      </c>
      <c r="R17" s="4" t="s">
        <v>78</v>
      </c>
      <c r="S17" s="4" t="s">
        <v>79</v>
      </c>
      <c r="T17" s="4">
        <f ca="1">ROUND(_Google_ads[[#This Row],[impressions]]*RANDBETWEEN(8,12)/10,0)</f>
        <v>19387</v>
      </c>
      <c r="U17" s="4">
        <f ca="1">ROUND(_Google_ads[[#This Row],[clicks]]*RANDBETWEEN(8,12)/10,0)</f>
        <v>1140</v>
      </c>
      <c r="V17" s="4">
        <f ca="1">_Google_ads[[#This Row],[cost]]*RANDBETWEEN(8,12)/10</f>
        <v>241.2</v>
      </c>
      <c r="W17" s="4">
        <f ca="1">ROUND(_Google_ads[[#This Row],[conversions]]*RANDBETWEEN(8,12)/10,0)</f>
        <v>52</v>
      </c>
      <c r="X17" s="4">
        <f ca="1">ROUND(_Google_ads[[#This Row],[conversion_value]]*RANDBETWEEN(8,12)/10,0)</f>
        <v>2585</v>
      </c>
      <c r="Y17" s="4">
        <f ca="1">_Google_ads[[#This Row],[ctr]]*RANDBETWEEN(8,12)/10</f>
        <v>5.2299999999999999E-2</v>
      </c>
      <c r="Z17" s="4">
        <f ca="1">_Google_ads[[#This Row],[avg_cpc]]*RANDBETWEEN(8,12)/10</f>
        <v>0.22800000000000004</v>
      </c>
      <c r="AA17" s="4">
        <f ca="1">ROUND(_Google_ads[[#This Row],[quality_score]]*RANDBETWEEN(8,12)/10,0)</f>
        <v>11</v>
      </c>
      <c r="AB17" s="4">
        <f ca="1">_Google_ads[[#This Row],[search_impression_share]]*RANDBETWEEN(8,12)/10</f>
        <v>1.012</v>
      </c>
      <c r="AD17" s="3">
        <f t="shared" ca="1" si="2"/>
        <v>45209</v>
      </c>
      <c r="AE17" s="4" t="s">
        <v>100</v>
      </c>
      <c r="AF17" s="4" t="s">
        <v>101</v>
      </c>
      <c r="AG17" s="4" t="s">
        <v>102</v>
      </c>
      <c r="AH17" s="4" t="s">
        <v>103</v>
      </c>
      <c r="AI17" s="4">
        <f ca="1">ROUND(T_Tiktok_ads[[#This Row],[impressions]]*RANDBETWEEN(8,12)/10,0)</f>
        <v>267890</v>
      </c>
      <c r="AJ17" s="4">
        <f ca="1">ROUND(T_Tiktok_ads[[#This Row],[clicks]]*RANDBETWEEN(8,12)/10,0)</f>
        <v>3551</v>
      </c>
      <c r="AK17" s="4">
        <v>523.4</v>
      </c>
      <c r="AL17" s="4">
        <f ca="1">ROUND(T_Tiktok_ads[[#This Row],[conversions]]*RANDBETWEEN(8,12)/10,0)</f>
        <v>48</v>
      </c>
      <c r="AM17" s="4">
        <f ca="1">ROUND(T_Tiktok_ads[[#This Row],[video_views]]*RANDBETWEEN(8,12)/10,0)</f>
        <v>265481</v>
      </c>
      <c r="AN17" s="4">
        <f ca="1">ROUND(T_Tiktok_ads[[#This Row],[video_watch_25]]*RANDBETWEEN(8,12)/10,0)</f>
        <v>190802</v>
      </c>
      <c r="AO17" s="4">
        <f ca="1">ROUND(T_Tiktok_ads[[#This Row],[video_watch_50]]*RANDBETWEEN(8,12)/10,0)</f>
        <v>98311</v>
      </c>
      <c r="AP17" s="4">
        <f ca="1">ROUND(T_Tiktok_ads[[#This Row],[video_watch_75]]*RANDBETWEEN(8,12)/10,0)</f>
        <v>73567</v>
      </c>
      <c r="AQ17" s="4">
        <f ca="1">ROUND(T_Tiktok_ads[[#This Row],[video_watch_100]]*RANDBETWEEN(8,12)/10,0)</f>
        <v>39387</v>
      </c>
      <c r="AR17" s="4">
        <f ca="1">ROUND(T_Tiktok_ads[[#This Row],[likes]]*RANDBETWEEN(8,12)/10,0)</f>
        <v>10768</v>
      </c>
      <c r="AS17" s="4">
        <f ca="1">ROUND(T_Tiktok_ads[[#This Row],[shares]]*RANDBETWEEN(8,12)/10,0)</f>
        <v>2897</v>
      </c>
      <c r="AT17" s="4">
        <f ca="1">ROUND(T_Tiktok_ads[[#This Row],[comments]]*RANDBETWEEN(8,12)/10,0)</f>
        <v>748</v>
      </c>
      <c r="AV17" s="5">
        <f t="shared" ca="1" si="3"/>
        <v>45201</v>
      </c>
      <c r="AW17">
        <f t="shared" ca="1" si="4"/>
        <v>4</v>
      </c>
      <c r="AX17">
        <f ca="1">ROUND(T_Facebook_Ads11596367717579838791[[#This Row],[impressions]]*RANDBETWEEN(8,12)/10,0)</f>
        <v>32089</v>
      </c>
      <c r="AY17">
        <f ca="1">ROUND(T_Facebook_Ads11596367717579838791[[#This Row],[clicks]]*RANDBETWEEN(8,12)/10,0)</f>
        <v>790</v>
      </c>
      <c r="AZ17">
        <f ca="1">T_Facebook_Ads11596367717579838791[[#This Row],[spend]]*RANDBETWEEN(8,12)/10</f>
        <v>124.34399999999998</v>
      </c>
      <c r="BA17">
        <f ca="1">ROUND(T_Facebook_Ads11596367717579838791[[#This Row],[conversions]]*RANDBETWEEN(8,12)/10,0)</f>
        <v>10</v>
      </c>
      <c r="BB17">
        <f ca="1">ROUND(T_Facebook_Ads11596367717579838791[[#This Row],[video_views]]*RANDBETWEEN(8,12)/10,0)</f>
        <v>7311</v>
      </c>
    </row>
    <row r="18" spans="1:54" ht="15.75" thickBot="1" x14ac:dyDescent="0.3">
      <c r="A18" s="3">
        <f t="shared" ca="1" si="0"/>
        <v>45211</v>
      </c>
      <c r="B18" s="4" t="s">
        <v>60</v>
      </c>
      <c r="C18" s="4" t="s">
        <v>61</v>
      </c>
      <c r="D18" s="4" t="s">
        <v>62</v>
      </c>
      <c r="E18" s="4" t="s">
        <v>63</v>
      </c>
      <c r="F18" s="4">
        <f ca="1">ROUND(T_Facebook_Ads[[#This Row],[impressions]]*RANDBETWEEN(8,12)/10,0)</f>
        <v>35678</v>
      </c>
      <c r="G18" s="4">
        <v>1289</v>
      </c>
      <c r="H18" s="4">
        <f ca="1">T_Facebook_Ads[[#This Row],[spend]]*RANDBETWEEN(8,12)/10</f>
        <v>195.6</v>
      </c>
      <c r="I18" s="4">
        <f ca="1">ROUND(T_Facebook_Ads[[#This Row],[conversions]]*RANDBETWEEN(8,12)/10,0)</f>
        <v>26</v>
      </c>
      <c r="J18" s="4">
        <f ca="1">ROUND(T_Facebook_Ads[[#This Row],[video_views]]*RANDBETWEEN(8,12)/10,0)</f>
        <v>3742</v>
      </c>
      <c r="K18" s="4">
        <f ca="1">T_Facebook_Ads[[#This Row],[engagement_rate]]*RANDBETWEEN(8,12)/10</f>
        <v>3.2490000000000005E-2</v>
      </c>
      <c r="L18" s="4">
        <f ca="1">ROUND(T_Facebook_Ads[[#This Row],[reach]]*RANDBETWEEN(8,12)/10,0)</f>
        <v>23476</v>
      </c>
      <c r="M18" s="4">
        <f ca="1">T_Facebook_Ads[[#This Row],[frequency]]*RANDBETWEEN(8,12)/10</f>
        <v>1.0980000000000001</v>
      </c>
      <c r="O18" s="3">
        <f t="shared" ca="1" si="1"/>
        <v>45219</v>
      </c>
      <c r="P18" s="4" t="s">
        <v>84</v>
      </c>
      <c r="Q18" s="4" t="s">
        <v>85</v>
      </c>
      <c r="R18" s="4" t="s">
        <v>86</v>
      </c>
      <c r="S18" s="4" t="s">
        <v>87</v>
      </c>
      <c r="T18" s="4">
        <f ca="1">ROUND(_Google_ads[[#This Row],[impressions]]*RANDBETWEEN(8,12)/10,0)</f>
        <v>86814</v>
      </c>
      <c r="U18" s="4">
        <f ca="1">ROUND(_Google_ads[[#This Row],[clicks]]*RANDBETWEEN(8,12)/10,0)</f>
        <v>2140</v>
      </c>
      <c r="V18" s="4">
        <f ca="1">_Google_ads[[#This Row],[cost]]*RANDBETWEEN(8,12)/10</f>
        <v>389.61</v>
      </c>
      <c r="W18" s="4">
        <f ca="1">ROUND(_Google_ads[[#This Row],[conversions]]*RANDBETWEEN(8,12)/10,0)</f>
        <v>55</v>
      </c>
      <c r="X18" s="4">
        <f ca="1">ROUND(_Google_ads[[#This Row],[conversion_value]]*RANDBETWEEN(8,12)/10,0)</f>
        <v>3105</v>
      </c>
      <c r="Y18" s="4">
        <f ca="1">_Google_ads[[#This Row],[ctr]]*RANDBETWEEN(8,12)/10</f>
        <v>2.632E-2</v>
      </c>
      <c r="Z18" s="4">
        <f ca="1">_Google_ads[[#This Row],[avg_cpc]]*RANDBETWEEN(8,12)/10</f>
        <v>0.16199999999999998</v>
      </c>
      <c r="AA18" s="4">
        <f ca="1">ROUND(_Google_ads[[#This Row],[quality_score]]*RANDBETWEEN(8,12)/10,0)</f>
        <v>7</v>
      </c>
      <c r="AB18" s="4">
        <f ca="1">_Google_ads[[#This Row],[search_impression_share]]*RANDBETWEEN(8,12)/10</f>
        <v>0.60299999999999998</v>
      </c>
      <c r="AD18" s="3">
        <f t="shared" ca="1" si="2"/>
        <v>45207</v>
      </c>
      <c r="AE18" s="4" t="s">
        <v>108</v>
      </c>
      <c r="AF18" s="4" t="s">
        <v>109</v>
      </c>
      <c r="AG18" s="4" t="s">
        <v>110</v>
      </c>
      <c r="AH18" s="4" t="s">
        <v>111</v>
      </c>
      <c r="AI18" s="4">
        <f ca="1">ROUND(T_Tiktok_ads[[#This Row],[impressions]]*RANDBETWEEN(8,12)/10,0)</f>
        <v>185110</v>
      </c>
      <c r="AJ18" s="4">
        <f ca="1">ROUND(T_Tiktok_ads[[#This Row],[clicks]]*RANDBETWEEN(8,12)/10,0)</f>
        <v>3234</v>
      </c>
      <c r="AK18" s="4">
        <v>387.8</v>
      </c>
      <c r="AL18" s="4">
        <f ca="1">ROUND(T_Tiktok_ads[[#This Row],[conversions]]*RANDBETWEEN(8,12)/10,0)</f>
        <v>30</v>
      </c>
      <c r="AM18" s="4">
        <f ca="1">ROUND(T_Tiktok_ads[[#This Row],[video_views]]*RANDBETWEEN(8,12)/10,0)</f>
        <v>162345</v>
      </c>
      <c r="AN18" s="4">
        <f ca="1">ROUND(T_Tiktok_ads[[#This Row],[video_watch_25]]*RANDBETWEEN(8,12)/10,0)</f>
        <v>149480</v>
      </c>
      <c r="AO18" s="4">
        <f ca="1">ROUND(T_Tiktok_ads[[#This Row],[video_watch_50]]*RANDBETWEEN(8,12)/10,0)</f>
        <v>79121</v>
      </c>
      <c r="AP18" s="4">
        <f ca="1">ROUND(T_Tiktok_ads[[#This Row],[video_watch_75]]*RANDBETWEEN(8,12)/10,0)</f>
        <v>75881</v>
      </c>
      <c r="AQ18" s="4">
        <f ca="1">ROUND(T_Tiktok_ads[[#This Row],[video_watch_100]]*RANDBETWEEN(8,12)/10,0)</f>
        <v>45881</v>
      </c>
      <c r="AR18" s="4">
        <f ca="1">ROUND(T_Tiktok_ads[[#This Row],[likes]]*RANDBETWEEN(8,12)/10,0)</f>
        <v>6054</v>
      </c>
      <c r="AS18" s="4">
        <f ca="1">ROUND(T_Tiktok_ads[[#This Row],[shares]]*RANDBETWEEN(8,12)/10,0)</f>
        <v>2507</v>
      </c>
      <c r="AT18" s="4">
        <f ca="1">ROUND(T_Tiktok_ads[[#This Row],[comments]]*RANDBETWEEN(8,12)/10,0)</f>
        <v>601</v>
      </c>
      <c r="AV18" s="5">
        <f t="shared" ca="1" si="3"/>
        <v>45218</v>
      </c>
      <c r="AW18">
        <f t="shared" ca="1" si="4"/>
        <v>6</v>
      </c>
      <c r="AX18">
        <f ca="1">ROUND(T_Facebook_Ads11596367717579838791[[#This Row],[impressions]]*RANDBETWEEN(8,12)/10,0)</f>
        <v>32110</v>
      </c>
      <c r="AY18">
        <f ca="1">ROUND(T_Facebook_Ads11596367717579838791[[#This Row],[clicks]]*RANDBETWEEN(8,12)/10,0)</f>
        <v>1547</v>
      </c>
      <c r="AZ18">
        <f ca="1">T_Facebook_Ads11596367717579838791[[#This Row],[spend]]*RANDBETWEEN(8,12)/10</f>
        <v>195.6</v>
      </c>
      <c r="BA18">
        <f ca="1">ROUND(T_Facebook_Ads11596367717579838791[[#This Row],[conversions]]*RANDBETWEEN(8,12)/10,0)</f>
        <v>23</v>
      </c>
      <c r="BB18">
        <f ca="1">ROUND(T_Facebook_Ads11596367717579838791[[#This Row],[video_views]]*RANDBETWEEN(8,12)/10,0)</f>
        <v>2994</v>
      </c>
    </row>
    <row r="19" spans="1:54" ht="15.75" thickBot="1" x14ac:dyDescent="0.3">
      <c r="A19" s="3">
        <f t="shared" ca="1" si="0"/>
        <v>45227</v>
      </c>
      <c r="B19" s="4" t="s">
        <v>64</v>
      </c>
      <c r="C19" s="4" t="s">
        <v>65</v>
      </c>
      <c r="D19" s="4" t="s">
        <v>66</v>
      </c>
      <c r="E19" s="4" t="s">
        <v>67</v>
      </c>
      <c r="F19" s="4">
        <f ca="1">ROUND(T_Facebook_Ads[[#This Row],[impressions]]*RANDBETWEEN(8,12)/10,0)</f>
        <v>76402</v>
      </c>
      <c r="G19" s="4">
        <v>245</v>
      </c>
      <c r="H19" s="4">
        <f ca="1">T_Facebook_Ads[[#This Row],[spend]]*RANDBETWEEN(8,12)/10</f>
        <v>82.080000000000013</v>
      </c>
      <c r="I19" s="4">
        <f ca="1">ROUND(T_Facebook_Ads[[#This Row],[conversions]]*RANDBETWEEN(8,12)/10,0)</f>
        <v>4</v>
      </c>
      <c r="J19" s="4">
        <f ca="1">ROUND(T_Facebook_Ads[[#This Row],[video_views]]*RANDBETWEEN(8,12)/10,0)</f>
        <v>42511</v>
      </c>
      <c r="K19" s="4">
        <f ca="1">T_Facebook_Ads[[#This Row],[engagement_rate]]*RANDBETWEEN(8,12)/10</f>
        <v>3.15E-3</v>
      </c>
      <c r="L19" s="4">
        <f ca="1">ROUND(T_Facebook_Ads[[#This Row],[reach]]*RANDBETWEEN(8,12)/10,0)</f>
        <v>69468</v>
      </c>
      <c r="M19" s="4">
        <f ca="1">T_Facebook_Ads[[#This Row],[frequency]]*RANDBETWEEN(8,12)/10</f>
        <v>1.3199999999999998</v>
      </c>
      <c r="O19" s="3">
        <f t="shared" ca="1" si="1"/>
        <v>45212</v>
      </c>
      <c r="P19" s="4" t="s">
        <v>88</v>
      </c>
      <c r="Q19" s="4" t="s">
        <v>89</v>
      </c>
      <c r="R19" s="4" t="s">
        <v>90</v>
      </c>
      <c r="S19" s="4" t="s">
        <v>59</v>
      </c>
      <c r="T19" s="4">
        <f ca="1">ROUND(_Google_ads[[#This Row],[impressions]]*RANDBETWEEN(8,12)/10,0)</f>
        <v>118111</v>
      </c>
      <c r="U19" s="4">
        <f ca="1">ROUND(_Google_ads[[#This Row],[clicks]]*RANDBETWEEN(8,12)/10,0)</f>
        <v>526</v>
      </c>
      <c r="V19" s="4">
        <f ca="1">_Google_ads[[#This Row],[cost]]*RANDBETWEEN(8,12)/10</f>
        <v>105.92</v>
      </c>
      <c r="W19" s="4">
        <f ca="1">ROUND(_Google_ads[[#This Row],[conversions]]*RANDBETWEEN(8,12)/10,0)</f>
        <v>16</v>
      </c>
      <c r="X19" s="4">
        <f ca="1">ROUND(_Google_ads[[#This Row],[conversion_value]]*RANDBETWEEN(8,12)/10,0)</f>
        <v>650</v>
      </c>
      <c r="Y19" s="4">
        <f ca="1">_Google_ads[[#This Row],[ctr]]*RANDBETWEEN(8,12)/10</f>
        <v>4.3200000000000001E-3</v>
      </c>
      <c r="Z19" s="4">
        <f ca="1">_Google_ads[[#This Row],[avg_cpc]]*RANDBETWEEN(8,12)/10</f>
        <v>0.25200000000000006</v>
      </c>
      <c r="AA19" s="4">
        <f ca="1">ROUND(_Google_ads[[#This Row],[quality_score]]*RANDBETWEEN(8,12)/10,0)</f>
        <v>8</v>
      </c>
      <c r="AB19" s="4">
        <f ca="1">_Google_ads[[#This Row],[search_impression_share]]*RANDBETWEEN(8,12)/10</f>
        <v>0.38499999999999995</v>
      </c>
      <c r="AD19" s="3">
        <f t="shared" ca="1" si="2"/>
        <v>45215</v>
      </c>
      <c r="AE19" s="4" t="s">
        <v>112</v>
      </c>
      <c r="AF19" s="4" t="s">
        <v>113</v>
      </c>
      <c r="AG19" s="4" t="s">
        <v>114</v>
      </c>
      <c r="AH19" s="4" t="s">
        <v>115</v>
      </c>
      <c r="AI19" s="4">
        <f ca="1">ROUND(T_Tiktok_ads[[#This Row],[impressions]]*RANDBETWEEN(8,12)/10,0)</f>
        <v>378901</v>
      </c>
      <c r="AJ19" s="4">
        <f ca="1">ROUND(T_Tiktok_ads[[#This Row],[clicks]]*RANDBETWEEN(8,12)/10,0)</f>
        <v>5511</v>
      </c>
      <c r="AK19" s="4">
        <v>945.6</v>
      </c>
      <c r="AL19" s="4">
        <f ca="1">ROUND(T_Tiktok_ads[[#This Row],[conversions]]*RANDBETWEEN(8,12)/10,0)</f>
        <v>115</v>
      </c>
      <c r="AM19" s="4">
        <f ca="1">ROUND(T_Tiktok_ads[[#This Row],[video_views]]*RANDBETWEEN(8,12)/10,0)</f>
        <v>312345</v>
      </c>
      <c r="AN19" s="4">
        <f ca="1">ROUND(T_Tiktok_ads[[#This Row],[video_watch_25]]*RANDBETWEEN(8,12)/10,0)</f>
        <v>301481</v>
      </c>
      <c r="AO19" s="4">
        <f ca="1">ROUND(T_Tiktok_ads[[#This Row],[video_watch_50]]*RANDBETWEEN(8,12)/10,0)</f>
        <v>181111</v>
      </c>
      <c r="AP19" s="4">
        <f ca="1">ROUND(T_Tiktok_ads[[#This Row],[video_watch_75]]*RANDBETWEEN(8,12)/10,0)</f>
        <v>129110</v>
      </c>
      <c r="AQ19" s="4">
        <f ca="1">ROUND(T_Tiktok_ads[[#This Row],[video_watch_100]]*RANDBETWEEN(8,12)/10,0)</f>
        <v>76187</v>
      </c>
      <c r="AR19" s="4">
        <f ca="1">ROUND(T_Tiktok_ads[[#This Row],[likes]]*RANDBETWEEN(8,12)/10,0)</f>
        <v>14910</v>
      </c>
      <c r="AS19" s="4">
        <f ca="1">ROUND(T_Tiktok_ads[[#This Row],[shares]]*RANDBETWEEN(8,12)/10,0)</f>
        <v>5305</v>
      </c>
      <c r="AT19" s="4">
        <f ca="1">ROUND(T_Tiktok_ads[[#This Row],[comments]]*RANDBETWEEN(8,12)/10,0)</f>
        <v>1181</v>
      </c>
      <c r="AV19" s="5">
        <f t="shared" ca="1" si="3"/>
        <v>45221</v>
      </c>
      <c r="AW19">
        <f t="shared" ca="1" si="4"/>
        <v>3</v>
      </c>
      <c r="AX19">
        <f ca="1">ROUND(T_Facebook_Ads11596367717579838791[[#This Row],[impressions]]*RANDBETWEEN(8,12)/10,0)</f>
        <v>68762</v>
      </c>
      <c r="AY19">
        <f ca="1">ROUND(T_Facebook_Ads11596367717579838791[[#This Row],[clicks]]*RANDBETWEEN(8,12)/10,0)</f>
        <v>196</v>
      </c>
      <c r="AZ19">
        <f ca="1">T_Facebook_Ads11596367717579838791[[#This Row],[spend]]*RANDBETWEEN(8,12)/10</f>
        <v>73.872000000000014</v>
      </c>
      <c r="BA19">
        <f ca="1">ROUND(T_Facebook_Ads11596367717579838791[[#This Row],[conversions]]*RANDBETWEEN(8,12)/10,0)</f>
        <v>4</v>
      </c>
      <c r="BB19">
        <f ca="1">ROUND(T_Facebook_Ads11596367717579838791[[#This Row],[video_views]]*RANDBETWEEN(8,12)/10,0)</f>
        <v>46762</v>
      </c>
    </row>
    <row r="20" spans="1:54" ht="15.75" thickBot="1" x14ac:dyDescent="0.3">
      <c r="A20" s="3">
        <f t="shared" ca="1" si="0"/>
        <v>45220</v>
      </c>
      <c r="B20" s="4" t="s">
        <v>52</v>
      </c>
      <c r="C20" s="4" t="s">
        <v>53</v>
      </c>
      <c r="D20" s="4" t="s">
        <v>54</v>
      </c>
      <c r="E20" s="4" t="s">
        <v>55</v>
      </c>
      <c r="F20" s="4">
        <f ca="1">ROUND(T_Facebook_Ads[[#This Row],[impressions]]*RANDBETWEEN(8,12)/10,0)</f>
        <v>44888</v>
      </c>
      <c r="G20" s="4">
        <v>1067</v>
      </c>
      <c r="H20" s="4">
        <f ca="1">T_Facebook_Ads[[#This Row],[spend]]*RANDBETWEEN(8,12)/10</f>
        <v>116.72</v>
      </c>
      <c r="I20" s="4">
        <f ca="1">ROUND(T_Facebook_Ads[[#This Row],[conversions]]*RANDBETWEEN(8,12)/10,0)</f>
        <v>14</v>
      </c>
      <c r="J20" s="4">
        <f ca="1">ROUND(T_Facebook_Ads[[#This Row],[video_views]]*RANDBETWEEN(8,12)/10,0)</f>
        <v>8610</v>
      </c>
      <c r="K20" s="4">
        <f ca="1">T_Facebook_Ads[[#This Row],[engagement_rate]]*RANDBETWEEN(8,12)/10</f>
        <v>2.1399999999999999E-2</v>
      </c>
      <c r="L20" s="4">
        <f ca="1">ROUND(T_Facebook_Ads[[#This Row],[reach]]*RANDBETWEEN(8,12)/10,0)</f>
        <v>41234</v>
      </c>
      <c r="M20" s="4">
        <f ca="1">T_Facebook_Ads[[#This Row],[frequency]]*RANDBETWEEN(8,12)/10</f>
        <v>1.331</v>
      </c>
      <c r="O20" s="3">
        <f t="shared" ca="1" si="1"/>
        <v>45200</v>
      </c>
      <c r="P20" s="4" t="s">
        <v>76</v>
      </c>
      <c r="Q20" s="4" t="s">
        <v>77</v>
      </c>
      <c r="R20" s="4" t="s">
        <v>78</v>
      </c>
      <c r="S20" s="4" t="s">
        <v>79</v>
      </c>
      <c r="T20" s="4">
        <f ca="1">ROUND(_Google_ads[[#This Row],[impressions]]*RANDBETWEEN(8,12)/10,0)</f>
        <v>21431</v>
      </c>
      <c r="U20" s="4">
        <f ca="1">ROUND(_Google_ads[[#This Row],[clicks]]*RANDBETWEEN(8,12)/10,0)</f>
        <v>1456</v>
      </c>
      <c r="V20" s="4">
        <f ca="1">_Google_ads[[#This Row],[cost]]*RANDBETWEEN(8,12)/10</f>
        <v>306.78999999999996</v>
      </c>
      <c r="W20" s="4">
        <f ca="1">ROUND(_Google_ads[[#This Row],[conversions]]*RANDBETWEEN(8,12)/10,0)</f>
        <v>65</v>
      </c>
      <c r="X20" s="4">
        <f ca="1">ROUND(_Google_ads[[#This Row],[conversion_value]]*RANDBETWEEN(8,12)/10,0)</f>
        <v>3240</v>
      </c>
      <c r="Y20" s="4">
        <f ca="1">_Google_ads[[#This Row],[ctr]]*RANDBETWEEN(8,12)/10</f>
        <v>4.8959999999999997E-2</v>
      </c>
      <c r="Z20" s="4">
        <f ca="1">_Google_ads[[#This Row],[avg_cpc]]*RANDBETWEEN(8,12)/10</f>
        <v>0.20899999999999999</v>
      </c>
      <c r="AA20" s="4">
        <f ca="1">ROUND(_Google_ads[[#This Row],[quality_score]]*RANDBETWEEN(8,12)/10,0)</f>
        <v>11</v>
      </c>
      <c r="AB20" s="4">
        <f ca="1">_Google_ads[[#This Row],[search_impression_share]]*RANDBETWEEN(8,12)/10</f>
        <v>0.83700000000000008</v>
      </c>
      <c r="AD20" s="3">
        <f t="shared" ca="1" si="2"/>
        <v>45210</v>
      </c>
      <c r="AE20" s="4" t="s">
        <v>100</v>
      </c>
      <c r="AF20" s="4" t="s">
        <v>101</v>
      </c>
      <c r="AG20" s="4" t="s">
        <v>102</v>
      </c>
      <c r="AH20" s="4" t="s">
        <v>103</v>
      </c>
      <c r="AI20" s="4">
        <f ca="1">ROUND(T_Tiktok_ads[[#This Row],[impressions]]*RANDBETWEEN(8,12)/10,0)</f>
        <v>278901</v>
      </c>
      <c r="AJ20" s="4">
        <f ca="1">ROUND(T_Tiktok_ads[[#This Row],[clicks]]*RANDBETWEEN(8,12)/10,0)</f>
        <v>3298</v>
      </c>
      <c r="AK20" s="4">
        <v>545.6</v>
      </c>
      <c r="AL20" s="4">
        <f ca="1">ROUND(T_Tiktok_ads[[#This Row],[conversions]]*RANDBETWEEN(8,12)/10,0)</f>
        <v>38</v>
      </c>
      <c r="AM20" s="4">
        <f ca="1">ROUND(T_Tiktok_ads[[#This Row],[video_views]]*RANDBETWEEN(8,12)/10,0)</f>
        <v>229234</v>
      </c>
      <c r="AN20" s="4">
        <f ca="1">ROUND(T_Tiktok_ads[[#This Row],[video_watch_25]]*RANDBETWEEN(8,12)/10,0)</f>
        <v>143387</v>
      </c>
      <c r="AO20" s="4">
        <f ca="1">ROUND(T_Tiktok_ads[[#This Row],[video_watch_50]]*RANDBETWEEN(8,12)/10,0)</f>
        <v>101011</v>
      </c>
      <c r="AP20" s="4">
        <f ca="1">ROUND(T_Tiktok_ads[[#This Row],[video_watch_75]]*RANDBETWEEN(8,12)/10,0)</f>
        <v>83246</v>
      </c>
      <c r="AQ20" s="4">
        <f ca="1">ROUND(T_Tiktok_ads[[#This Row],[video_watch_100]]*RANDBETWEEN(8,12)/10,0)</f>
        <v>60281</v>
      </c>
      <c r="AR20" s="4">
        <f ca="1">ROUND(T_Tiktok_ads[[#This Row],[likes]]*RANDBETWEEN(8,12)/10,0)</f>
        <v>11135</v>
      </c>
      <c r="AS20" s="4">
        <f ca="1">ROUND(T_Tiktok_ads[[#This Row],[shares]]*RANDBETWEEN(8,12)/10,0)</f>
        <v>2712</v>
      </c>
      <c r="AT20" s="4">
        <f ca="1">ROUND(T_Tiktok_ads[[#This Row],[comments]]*RANDBETWEEN(8,12)/10,0)</f>
        <v>774</v>
      </c>
      <c r="AV20" s="5">
        <f t="shared" ca="1" si="3"/>
        <v>45209</v>
      </c>
      <c r="AW20">
        <f t="shared" ca="1" si="4"/>
        <v>5</v>
      </c>
      <c r="AX20">
        <f ca="1">ROUND(T_Facebook_Ads11596367717579838791[[#This Row],[impressions]]*RANDBETWEEN(8,12)/10,0)</f>
        <v>49377</v>
      </c>
      <c r="AY20">
        <f ca="1">ROUND(T_Facebook_Ads11596367717579838791[[#This Row],[clicks]]*RANDBETWEEN(8,12)/10,0)</f>
        <v>854</v>
      </c>
      <c r="AZ20">
        <f ca="1">T_Facebook_Ads11596367717579838791[[#This Row],[spend]]*RANDBETWEEN(8,12)/10</f>
        <v>105.048</v>
      </c>
      <c r="BA20">
        <f ca="1">ROUND(T_Facebook_Ads11596367717579838791[[#This Row],[conversions]]*RANDBETWEEN(8,12)/10,0)</f>
        <v>14</v>
      </c>
      <c r="BB20">
        <f ca="1">ROUND(T_Facebook_Ads11596367717579838791[[#This Row],[video_views]]*RANDBETWEEN(8,12)/10,0)</f>
        <v>7749</v>
      </c>
    </row>
    <row r="21" spans="1:54" ht="15.75" thickBot="1" x14ac:dyDescent="0.3">
      <c r="A21" s="3">
        <f t="shared" ca="1" si="0"/>
        <v>45206</v>
      </c>
      <c r="B21" s="4" t="s">
        <v>56</v>
      </c>
      <c r="C21" s="4" t="s">
        <v>57</v>
      </c>
      <c r="D21" s="4" t="s">
        <v>58</v>
      </c>
      <c r="E21" s="4" t="s">
        <v>59</v>
      </c>
      <c r="F21" s="4">
        <f ca="1">ROUND(T_Facebook_Ads[[#This Row],[impressions]]*RANDBETWEEN(8,12)/10,0)</f>
        <v>10765</v>
      </c>
      <c r="G21" s="4">
        <v>623</v>
      </c>
      <c r="H21" s="4">
        <f ca="1">T_Facebook_Ads[[#This Row],[spend]]*RANDBETWEEN(8,12)/10</f>
        <v>285.36</v>
      </c>
      <c r="I21" s="4">
        <f ca="1">ROUND(T_Facebook_Ads[[#This Row],[conversions]]*RANDBETWEEN(8,12)/10,0)</f>
        <v>32</v>
      </c>
      <c r="J21" s="4">
        <f ca="1">ROUND(T_Facebook_Ads[[#This Row],[video_views]]*RANDBETWEEN(8,12)/10,0)</f>
        <v>1165</v>
      </c>
      <c r="K21" s="4">
        <f ca="1">T_Facebook_Ads[[#This Row],[engagement_rate]]*RANDBETWEEN(8,12)/10</f>
        <v>5.5559999999999998E-2</v>
      </c>
      <c r="L21" s="4">
        <f ca="1">ROUND(T_Facebook_Ads[[#This Row],[reach]]*RANDBETWEEN(8,12)/10,0)</f>
        <v>8454</v>
      </c>
      <c r="M21" s="4">
        <f ca="1">T_Facebook_Ads[[#This Row],[frequency]]*RANDBETWEEN(8,12)/10</f>
        <v>1.397</v>
      </c>
      <c r="O21" s="3">
        <f t="shared" ca="1" si="1"/>
        <v>45207</v>
      </c>
      <c r="P21" s="4" t="s">
        <v>80</v>
      </c>
      <c r="Q21" s="4" t="s">
        <v>81</v>
      </c>
      <c r="R21" s="4" t="s">
        <v>82</v>
      </c>
      <c r="S21" s="4" t="s">
        <v>83</v>
      </c>
      <c r="T21" s="4">
        <f ca="1">ROUND(_Google_ads[[#This Row],[impressions]]*RANDBETWEEN(8,12)/10,0)</f>
        <v>35654</v>
      </c>
      <c r="U21" s="4">
        <f ca="1">ROUND(_Google_ads[[#This Row],[clicks]]*RANDBETWEEN(8,12)/10,0)</f>
        <v>790</v>
      </c>
      <c r="V21" s="4">
        <f ca="1">_Google_ads[[#This Row],[cost]]*RANDBETWEEN(8,12)/10</f>
        <v>567.20000000000005</v>
      </c>
      <c r="W21" s="4">
        <f ca="1">ROUND(_Google_ads[[#This Row],[conversions]]*RANDBETWEEN(8,12)/10,0)</f>
        <v>22</v>
      </c>
      <c r="X21" s="4">
        <f ca="1">ROUND(_Google_ads[[#This Row],[conversion_value]]*RANDBETWEEN(8,12)/10,0)</f>
        <v>1100</v>
      </c>
      <c r="Y21" s="4">
        <f ca="1">_Google_ads[[#This Row],[ctr]]*RANDBETWEEN(8,12)/10</f>
        <v>2.1669999999999998E-2</v>
      </c>
      <c r="Z21" s="4">
        <f ca="1">_Google_ads[[#This Row],[avg_cpc]]*RANDBETWEEN(8,12)/10</f>
        <v>0.71500000000000008</v>
      </c>
      <c r="AA21" s="4">
        <f ca="1">ROUND(_Google_ads[[#This Row],[quality_score]]*RANDBETWEEN(8,12)/10,0)</f>
        <v>7</v>
      </c>
      <c r="AB21" s="4">
        <f ca="1">_Google_ads[[#This Row],[search_impression_share]]*RANDBETWEEN(8,12)/10</f>
        <v>0.44000000000000006</v>
      </c>
      <c r="AD21" s="3">
        <f t="shared" ca="1" si="2"/>
        <v>45222</v>
      </c>
      <c r="AE21" s="4" t="s">
        <v>104</v>
      </c>
      <c r="AF21" s="4" t="s">
        <v>105</v>
      </c>
      <c r="AG21" s="4" t="s">
        <v>106</v>
      </c>
      <c r="AH21" s="4" t="s">
        <v>107</v>
      </c>
      <c r="AI21" s="4">
        <f ca="1">ROUND(T_Tiktok_ads[[#This Row],[impressions]]*RANDBETWEEN(8,12)/10,0)</f>
        <v>125011</v>
      </c>
      <c r="AJ21" s="4">
        <f ca="1">ROUND(T_Tiktok_ads[[#This Row],[clicks]]*RANDBETWEEN(8,12)/10,0)</f>
        <v>2410</v>
      </c>
      <c r="AK21" s="4">
        <v>734.5</v>
      </c>
      <c r="AL21" s="4">
        <f ca="1">ROUND(T_Tiktok_ads[[#This Row],[conversions]]*RANDBETWEEN(8,12)/10,0)</f>
        <v>80</v>
      </c>
      <c r="AM21" s="4">
        <f ca="1">ROUND(T_Tiktok_ads[[#This Row],[video_views]]*RANDBETWEEN(8,12)/10,0)</f>
        <v>78312</v>
      </c>
      <c r="AN21" s="4">
        <f ca="1">ROUND(T_Tiktok_ads[[#This Row],[video_watch_25]]*RANDBETWEEN(8,12)/10,0)</f>
        <v>86814</v>
      </c>
      <c r="AO21" s="4">
        <f ca="1">ROUND(T_Tiktok_ads[[#This Row],[video_watch_50]]*RANDBETWEEN(8,12)/10,0)</f>
        <v>53791</v>
      </c>
      <c r="AP21" s="4">
        <f ca="1">ROUND(T_Tiktok_ads[[#This Row],[video_watch_75]]*RANDBETWEEN(8,12)/10,0)</f>
        <v>36789</v>
      </c>
      <c r="AQ21" s="4">
        <f ca="1">ROUND(T_Tiktok_ads[[#This Row],[video_watch_100]]*RANDBETWEEN(8,12)/10,0)</f>
        <v>22401</v>
      </c>
      <c r="AR21" s="4">
        <f ca="1">ROUND(T_Tiktok_ads[[#This Row],[likes]]*RANDBETWEEN(8,12)/10,0)</f>
        <v>5391</v>
      </c>
      <c r="AS21" s="4">
        <f ca="1">ROUND(T_Tiktok_ads[[#This Row],[shares]]*RANDBETWEEN(8,12)/10,0)</f>
        <v>1085</v>
      </c>
      <c r="AT21" s="4">
        <f ca="1">ROUND(T_Tiktok_ads[[#This Row],[comments]]*RANDBETWEEN(8,12)/10,0)</f>
        <v>282</v>
      </c>
      <c r="AV21" s="5">
        <f t="shared" ca="1" si="3"/>
        <v>45226</v>
      </c>
      <c r="AW21">
        <f t="shared" ca="1" si="4"/>
        <v>2</v>
      </c>
      <c r="AX21">
        <f ca="1">ROUND(T_Facebook_Ads11596367717579838791[[#This Row],[impressions]]*RANDBETWEEN(8,12)/10,0)</f>
        <v>11842</v>
      </c>
      <c r="AY21">
        <f ca="1">ROUND(T_Facebook_Ads11596367717579838791[[#This Row],[clicks]]*RANDBETWEEN(8,12)/10,0)</f>
        <v>685</v>
      </c>
      <c r="AZ21">
        <f ca="1">T_Facebook_Ads11596367717579838791[[#This Row],[spend]]*RANDBETWEEN(8,12)/10</f>
        <v>256.82400000000001</v>
      </c>
      <c r="BA21">
        <f ca="1">ROUND(T_Facebook_Ads11596367717579838791[[#This Row],[conversions]]*RANDBETWEEN(8,12)/10,0)</f>
        <v>26</v>
      </c>
      <c r="BB21">
        <f ca="1">ROUND(T_Facebook_Ads11596367717579838791[[#This Row],[video_views]]*RANDBETWEEN(8,12)/10,0)</f>
        <v>1049</v>
      </c>
    </row>
    <row r="22" spans="1:54" ht="15.75" thickBot="1" x14ac:dyDescent="0.3">
      <c r="A22" s="3">
        <f t="shared" ca="1" si="0"/>
        <v>45204</v>
      </c>
      <c r="B22" s="4" t="s">
        <v>60</v>
      </c>
      <c r="C22" s="4" t="s">
        <v>61</v>
      </c>
      <c r="D22" s="4" t="s">
        <v>62</v>
      </c>
      <c r="E22" s="4" t="s">
        <v>63</v>
      </c>
      <c r="F22" s="4">
        <f ca="1">ROUND(T_Facebook_Ads[[#This Row],[impressions]]*RANDBETWEEN(8,12)/10,0)</f>
        <v>33511</v>
      </c>
      <c r="G22" s="4">
        <v>1367</v>
      </c>
      <c r="H22" s="4">
        <f ca="1">T_Facebook_Ads[[#This Row],[spend]]*RANDBETWEEN(8,12)/10</f>
        <v>249.48000000000002</v>
      </c>
      <c r="I22" s="4">
        <f ca="1">ROUND(T_Facebook_Ads[[#This Row],[conversions]]*RANDBETWEEN(8,12)/10,0)</f>
        <v>30</v>
      </c>
      <c r="J22" s="4">
        <f ca="1">ROUND(T_Facebook_Ads[[#This Row],[video_views]]*RANDBETWEEN(8,12)/10,0)</f>
        <v>4511</v>
      </c>
      <c r="K22" s="4">
        <f ca="1">T_Facebook_Ads[[#This Row],[engagement_rate]]*RANDBETWEEN(8,12)/10</f>
        <v>2.9360000000000004E-2</v>
      </c>
      <c r="L22" s="4">
        <f ca="1">ROUND(T_Facebook_Ads[[#This Row],[reach]]*RANDBETWEEN(8,12)/10,0)</f>
        <v>30678</v>
      </c>
      <c r="M22" s="4">
        <f ca="1">T_Facebook_Ads[[#This Row],[frequency]]*RANDBETWEEN(8,12)/10</f>
        <v>1.452</v>
      </c>
      <c r="O22" s="3">
        <f t="shared" ca="1" si="1"/>
        <v>45224</v>
      </c>
      <c r="P22" s="4" t="s">
        <v>84</v>
      </c>
      <c r="Q22" s="4" t="s">
        <v>85</v>
      </c>
      <c r="R22" s="4" t="s">
        <v>86</v>
      </c>
      <c r="S22" s="4" t="s">
        <v>87</v>
      </c>
      <c r="T22" s="4">
        <f ca="1">ROUND(_Google_ads[[#This Row],[impressions]]*RANDBETWEEN(8,12)/10,0)</f>
        <v>56187</v>
      </c>
      <c r="U22" s="4">
        <f ca="1">ROUND(_Google_ads[[#This Row],[clicks]]*RANDBETWEEN(8,12)/10,0)</f>
        <v>2060</v>
      </c>
      <c r="V22" s="4">
        <f ca="1">_Google_ads[[#This Row],[cost]]*RANDBETWEEN(8,12)/10</f>
        <v>461.45</v>
      </c>
      <c r="W22" s="4">
        <f ca="1">ROUND(_Google_ads[[#This Row],[conversions]]*RANDBETWEEN(8,12)/10,0)</f>
        <v>59</v>
      </c>
      <c r="X22" s="4">
        <f ca="1">ROUND(_Google_ads[[#This Row],[conversion_value]]*RANDBETWEEN(8,12)/10,0)</f>
        <v>3960</v>
      </c>
      <c r="Y22" s="4">
        <f ca="1">_Google_ads[[#This Row],[ctr]]*RANDBETWEEN(8,12)/10</f>
        <v>3.9120000000000002E-2</v>
      </c>
      <c r="Z22" s="4">
        <f ca="1">_Google_ads[[#This Row],[avg_cpc]]*RANDBETWEEN(8,12)/10</f>
        <v>0.14399999999999999</v>
      </c>
      <c r="AA22" s="4">
        <f ca="1">ROUND(_Google_ads[[#This Row],[quality_score]]*RANDBETWEEN(8,12)/10,0)</f>
        <v>6</v>
      </c>
      <c r="AB22" s="4">
        <f ca="1">_Google_ads[[#This Row],[search_impression_share]]*RANDBETWEEN(8,12)/10</f>
        <v>0.59400000000000008</v>
      </c>
      <c r="AD22" s="3">
        <f t="shared" ca="1" si="2"/>
        <v>45226</v>
      </c>
      <c r="AE22" s="4" t="s">
        <v>108</v>
      </c>
      <c r="AF22" s="4" t="s">
        <v>109</v>
      </c>
      <c r="AG22" s="4" t="s">
        <v>110</v>
      </c>
      <c r="AH22" s="4" t="s">
        <v>111</v>
      </c>
      <c r="AI22" s="4">
        <f ca="1">ROUND(T_Tiktok_ads[[#This Row],[impressions]]*RANDBETWEEN(8,12)/10,0)</f>
        <v>254814</v>
      </c>
      <c r="AJ22" s="4">
        <f ca="1">ROUND(T_Tiktok_ads[[#This Row],[clicks]]*RANDBETWEEN(8,12)/10,0)</f>
        <v>2676</v>
      </c>
      <c r="AK22" s="4">
        <v>401.1</v>
      </c>
      <c r="AL22" s="4">
        <f ca="1">ROUND(T_Tiktok_ads[[#This Row],[conversions]]*RANDBETWEEN(8,12)/10,0)</f>
        <v>28</v>
      </c>
      <c r="AM22" s="4">
        <f ca="1">ROUND(T_Tiktok_ads[[#This Row],[video_views]]*RANDBETWEEN(8,12)/10,0)</f>
        <v>184679</v>
      </c>
      <c r="AN22" s="4">
        <f ca="1">ROUND(T_Tiktok_ads[[#This Row],[video_watch_25]]*RANDBETWEEN(8,12)/10,0)</f>
        <v>141057</v>
      </c>
      <c r="AO22" s="4">
        <f ca="1">ROUND(T_Tiktok_ads[[#This Row],[video_watch_50]]*RANDBETWEEN(8,12)/10,0)</f>
        <v>121481</v>
      </c>
      <c r="AP22" s="4">
        <f ca="1">ROUND(T_Tiktok_ads[[#This Row],[video_watch_75]]*RANDBETWEEN(8,12)/10,0)</f>
        <v>65234</v>
      </c>
      <c r="AQ22" s="4">
        <f ca="1">ROUND(T_Tiktok_ads[[#This Row],[video_watch_100]]*RANDBETWEEN(8,12)/10,0)</f>
        <v>47347</v>
      </c>
      <c r="AR22" s="4">
        <f ca="1">ROUND(T_Tiktok_ads[[#This Row],[likes]]*RANDBETWEEN(8,12)/10,0)</f>
        <v>9347</v>
      </c>
      <c r="AS22" s="4">
        <f ca="1">ROUND(T_Tiktok_ads[[#This Row],[shares]]*RANDBETWEEN(8,12)/10,0)</f>
        <v>1716</v>
      </c>
      <c r="AT22" s="4">
        <f ca="1">ROUND(T_Tiktok_ads[[#This Row],[comments]]*RANDBETWEEN(8,12)/10,0)</f>
        <v>563</v>
      </c>
      <c r="AV22" s="5">
        <f t="shared" ca="1" si="3"/>
        <v>45226</v>
      </c>
      <c r="AW22">
        <f t="shared" ca="1" si="4"/>
        <v>8</v>
      </c>
      <c r="AX22">
        <f ca="1">ROUND(T_Facebook_Ads11596367717579838791[[#This Row],[impressions]]*RANDBETWEEN(8,12)/10,0)</f>
        <v>26809</v>
      </c>
      <c r="AY22">
        <f ca="1">ROUND(T_Facebook_Ads11596367717579838791[[#This Row],[clicks]]*RANDBETWEEN(8,12)/10,0)</f>
        <v>1094</v>
      </c>
      <c r="AZ22">
        <f ca="1">T_Facebook_Ads11596367717579838791[[#This Row],[spend]]*RANDBETWEEN(8,12)/10</f>
        <v>199.584</v>
      </c>
      <c r="BA22">
        <f ca="1">ROUND(T_Facebook_Ads11596367717579838791[[#This Row],[conversions]]*RANDBETWEEN(8,12)/10,0)</f>
        <v>33</v>
      </c>
      <c r="BB22">
        <f ca="1">ROUND(T_Facebook_Ads11596367717579838791[[#This Row],[video_views]]*RANDBETWEEN(8,12)/10,0)</f>
        <v>3609</v>
      </c>
    </row>
    <row r="23" spans="1:54" ht="15.75" thickBot="1" x14ac:dyDescent="0.3">
      <c r="A23" s="3">
        <f t="shared" ca="1" si="0"/>
        <v>45228</v>
      </c>
      <c r="B23" s="4" t="s">
        <v>52</v>
      </c>
      <c r="C23" s="4" t="s">
        <v>53</v>
      </c>
      <c r="D23" s="4" t="s">
        <v>54</v>
      </c>
      <c r="E23" s="4" t="s">
        <v>55</v>
      </c>
      <c r="F23" s="4">
        <f ca="1">ROUND(T_Facebook_Ads[[#This Row],[impressions]]*RANDBETWEEN(8,12)/10,0)</f>
        <v>51957</v>
      </c>
      <c r="G23" s="4">
        <v>945</v>
      </c>
      <c r="H23" s="4">
        <f ca="1">T_Facebook_Ads[[#This Row],[spend]]*RANDBETWEEN(8,12)/10</f>
        <v>135.4</v>
      </c>
      <c r="I23" s="4">
        <f ca="1">ROUND(T_Facebook_Ads[[#This Row],[conversions]]*RANDBETWEEN(8,12)/10,0)</f>
        <v>14</v>
      </c>
      <c r="J23" s="4">
        <f ca="1">ROUND(T_Facebook_Ads[[#This Row],[video_views]]*RANDBETWEEN(8,12)/10,0)</f>
        <v>9668</v>
      </c>
      <c r="K23" s="4">
        <f ca="1">T_Facebook_Ads[[#This Row],[engagement_rate]]*RANDBETWEEN(8,12)/10</f>
        <v>2.1999999999999999E-2</v>
      </c>
      <c r="L23" s="4">
        <f ca="1">ROUND(T_Facebook_Ads[[#This Row],[reach]]*RANDBETWEEN(8,12)/10,0)</f>
        <v>39567</v>
      </c>
      <c r="M23" s="4">
        <f ca="1">T_Facebook_Ads[[#This Row],[frequency]]*RANDBETWEEN(8,12)/10</f>
        <v>1.3089999999999999</v>
      </c>
      <c r="O23" s="3">
        <f t="shared" ca="1" si="1"/>
        <v>45205</v>
      </c>
      <c r="P23" s="4" t="s">
        <v>76</v>
      </c>
      <c r="Q23" s="4" t="s">
        <v>77</v>
      </c>
      <c r="R23" s="4" t="s">
        <v>78</v>
      </c>
      <c r="S23" s="4" t="s">
        <v>79</v>
      </c>
      <c r="T23" s="4">
        <f ca="1">ROUND(_Google_ads[[#This Row],[impressions]]*RANDBETWEEN(8,12)/10,0)</f>
        <v>18054</v>
      </c>
      <c r="U23" s="4">
        <f ca="1">ROUND(_Google_ads[[#This Row],[clicks]]*RANDBETWEEN(8,12)/10,0)</f>
        <v>1021</v>
      </c>
      <c r="V23" s="4">
        <f ca="1">_Google_ads[[#This Row],[cost]]*RANDBETWEEN(8,12)/10</f>
        <v>260.16000000000003</v>
      </c>
      <c r="W23" s="4">
        <f ca="1">ROUND(_Google_ads[[#This Row],[conversions]]*RANDBETWEEN(8,12)/10,0)</f>
        <v>52</v>
      </c>
      <c r="X23" s="4">
        <f ca="1">ROUND(_Google_ads[[#This Row],[conversion_value]]*RANDBETWEEN(8,12)/10,0)</f>
        <v>2150</v>
      </c>
      <c r="Y23" s="4">
        <f ca="1">_Google_ads[[#This Row],[ctr]]*RANDBETWEEN(8,12)/10</f>
        <v>5.5330000000000004E-2</v>
      </c>
      <c r="Z23" s="4">
        <f ca="1">_Google_ads[[#This Row],[avg_cpc]]*RANDBETWEEN(8,12)/10</f>
        <v>0.22800000000000004</v>
      </c>
      <c r="AA23" s="4">
        <f ca="1">ROUND(_Google_ads[[#This Row],[quality_score]]*RANDBETWEEN(8,12)/10,0)</f>
        <v>9</v>
      </c>
      <c r="AB23" s="4">
        <f ca="1">_Google_ads[[#This Row],[search_impression_share]]*RANDBETWEEN(8,12)/10</f>
        <v>0.90999999999999992</v>
      </c>
      <c r="AD23" s="3">
        <f t="shared" ca="1" si="2"/>
        <v>45221</v>
      </c>
      <c r="AE23" s="4" t="s">
        <v>100</v>
      </c>
      <c r="AF23" s="4" t="s">
        <v>101</v>
      </c>
      <c r="AG23" s="4" t="s">
        <v>102</v>
      </c>
      <c r="AH23" s="4" t="s">
        <v>103</v>
      </c>
      <c r="AI23" s="4">
        <f ca="1">ROUND(T_Tiktok_ads[[#This Row],[impressions]]*RANDBETWEEN(8,12)/10,0)</f>
        <v>269757</v>
      </c>
      <c r="AJ23" s="4">
        <f ca="1">ROUND(T_Tiktok_ads[[#This Row],[clicks]]*RANDBETWEEN(8,12)/10,0)</f>
        <v>3220</v>
      </c>
      <c r="AK23" s="4">
        <v>474.3</v>
      </c>
      <c r="AL23" s="4">
        <f ca="1">ROUND(T_Tiktok_ads[[#This Row],[conversions]]*RANDBETWEEN(8,12)/10,0)</f>
        <v>33</v>
      </c>
      <c r="AM23" s="4">
        <f ca="1">ROUND(T_Tiktok_ads[[#This Row],[video_views]]*RANDBETWEEN(8,12)/10,0)</f>
        <v>203456</v>
      </c>
      <c r="AN23" s="4">
        <f ca="1">ROUND(T_Tiktok_ads[[#This Row],[video_watch_25]]*RANDBETWEEN(8,12)/10,0)</f>
        <v>190681</v>
      </c>
      <c r="AO23" s="4">
        <f ca="1">ROUND(T_Tiktok_ads[[#This Row],[video_watch_50]]*RANDBETWEEN(8,12)/10,0)</f>
        <v>89610</v>
      </c>
      <c r="AP23" s="4">
        <f ca="1">ROUND(T_Tiktok_ads[[#This Row],[video_watch_75]]*RANDBETWEEN(8,12)/10,0)</f>
        <v>54587</v>
      </c>
      <c r="AQ23" s="4">
        <f ca="1">ROUND(T_Tiktok_ads[[#This Row],[video_watch_100]]*RANDBETWEEN(8,12)/10,0)</f>
        <v>50368</v>
      </c>
      <c r="AR23" s="4">
        <f ca="1">ROUND(T_Tiktok_ads[[#This Row],[likes]]*RANDBETWEEN(8,12)/10,0)</f>
        <v>7182</v>
      </c>
      <c r="AS23" s="4">
        <f ca="1">ROUND(T_Tiktok_ads[[#This Row],[shares]]*RANDBETWEEN(8,12)/10,0)</f>
        <v>2628</v>
      </c>
      <c r="AT23" s="4">
        <f ca="1">ROUND(T_Tiktok_ads[[#This Row],[comments]]*RANDBETWEEN(8,12)/10,0)</f>
        <v>649</v>
      </c>
      <c r="AV23" s="5">
        <f t="shared" ca="1" si="3"/>
        <v>45204</v>
      </c>
      <c r="AW23">
        <f t="shared" ca="1" si="4"/>
        <v>1</v>
      </c>
      <c r="AX23">
        <f ca="1">ROUND(T_Facebook_Ads11596367717579838791[[#This Row],[impressions]]*RANDBETWEEN(8,12)/10,0)</f>
        <v>51957</v>
      </c>
      <c r="AY23">
        <f ca="1">ROUND(T_Facebook_Ads11596367717579838791[[#This Row],[clicks]]*RANDBETWEEN(8,12)/10,0)</f>
        <v>1040</v>
      </c>
      <c r="AZ23">
        <f ca="1">T_Facebook_Ads11596367717579838791[[#This Row],[spend]]*RANDBETWEEN(8,12)/10</f>
        <v>148.94</v>
      </c>
      <c r="BA23">
        <f ca="1">ROUND(T_Facebook_Ads11596367717579838791[[#This Row],[conversions]]*RANDBETWEEN(8,12)/10,0)</f>
        <v>13</v>
      </c>
      <c r="BB23">
        <f ca="1">ROUND(T_Facebook_Ads11596367717579838791[[#This Row],[video_views]]*RANDBETWEEN(8,12)/10,0)</f>
        <v>10635</v>
      </c>
    </row>
    <row r="24" spans="1:54" ht="15.75" thickBot="1" x14ac:dyDescent="0.3">
      <c r="A24" s="3">
        <f t="shared" ca="1" si="0"/>
        <v>45219</v>
      </c>
      <c r="B24" s="4" t="s">
        <v>56</v>
      </c>
      <c r="C24" s="4" t="s">
        <v>57</v>
      </c>
      <c r="D24" s="4" t="s">
        <v>58</v>
      </c>
      <c r="E24" s="4" t="s">
        <v>59</v>
      </c>
      <c r="F24" s="4">
        <f ca="1">ROUND(T_Facebook_Ads[[#This Row],[impressions]]*RANDBETWEEN(8,12)/10,0)</f>
        <v>10911</v>
      </c>
      <c r="G24" s="4">
        <v>534</v>
      </c>
      <c r="H24" s="4">
        <f ca="1">T_Facebook_Ads[[#This Row],[spend]]*RANDBETWEEN(8,12)/10</f>
        <v>233.64000000000001</v>
      </c>
      <c r="I24" s="4">
        <f ca="1">ROUND(T_Facebook_Ads[[#This Row],[conversions]]*RANDBETWEEN(8,12)/10,0)</f>
        <v>28</v>
      </c>
      <c r="J24" s="4">
        <f ca="1">ROUND(T_Facebook_Ads[[#This Row],[video_views]]*RANDBETWEEN(8,12)/10,0)</f>
        <v>987</v>
      </c>
      <c r="K24" s="4">
        <f ca="1">T_Facebook_Ads[[#This Row],[engagement_rate]]*RANDBETWEEN(8,12)/10</f>
        <v>4.8509999999999998E-2</v>
      </c>
      <c r="L24" s="4">
        <f ca="1">ROUND(T_Facebook_Ads[[#This Row],[reach]]*RANDBETWEEN(8,12)/10,0)</f>
        <v>10524</v>
      </c>
      <c r="M24" s="4">
        <f ca="1">T_Facebook_Ads[[#This Row],[frequency]]*RANDBETWEEN(8,12)/10</f>
        <v>1.27</v>
      </c>
      <c r="O24" s="3">
        <f t="shared" ca="1" si="1"/>
        <v>45223</v>
      </c>
      <c r="P24" s="4" t="s">
        <v>80</v>
      </c>
      <c r="Q24" s="4" t="s">
        <v>81</v>
      </c>
      <c r="R24" s="4" t="s">
        <v>82</v>
      </c>
      <c r="S24" s="4" t="s">
        <v>83</v>
      </c>
      <c r="T24" s="4">
        <f ca="1">ROUND(_Google_ads[[#This Row],[impressions]]*RANDBETWEEN(8,12)/10,0)</f>
        <v>53057</v>
      </c>
      <c r="U24" s="4">
        <f ca="1">ROUND(_Google_ads[[#This Row],[clicks]]*RANDBETWEEN(8,12)/10,0)</f>
        <v>791</v>
      </c>
      <c r="V24" s="4">
        <f ca="1">_Google_ads[[#This Row],[cost]]*RANDBETWEEN(8,12)/10</f>
        <v>507.76000000000005</v>
      </c>
      <c r="W24" s="4">
        <f ca="1">ROUND(_Google_ads[[#This Row],[conversions]]*RANDBETWEEN(8,12)/10,0)</f>
        <v>31</v>
      </c>
      <c r="X24" s="4">
        <f ca="1">ROUND(_Google_ads[[#This Row],[conversion_value]]*RANDBETWEEN(8,12)/10,0)</f>
        <v>1300</v>
      </c>
      <c r="Y24" s="4">
        <f ca="1">_Google_ads[[#This Row],[ctr]]*RANDBETWEEN(8,12)/10</f>
        <v>1.6400000000000001E-2</v>
      </c>
      <c r="Z24" s="4">
        <f ca="1">_Google_ads[[#This Row],[avg_cpc]]*RANDBETWEEN(8,12)/10</f>
        <v>0.51200000000000001</v>
      </c>
      <c r="AA24" s="4">
        <f ca="1">ROUND(_Google_ads[[#This Row],[quality_score]]*RANDBETWEEN(8,12)/10,0)</f>
        <v>7</v>
      </c>
      <c r="AB24" s="4">
        <f ca="1">_Google_ads[[#This Row],[search_impression_share]]*RANDBETWEEN(8,12)/10</f>
        <v>0.55200000000000005</v>
      </c>
      <c r="AD24" s="3">
        <f t="shared" ca="1" si="2"/>
        <v>45200</v>
      </c>
      <c r="AE24" s="4" t="s">
        <v>104</v>
      </c>
      <c r="AF24" s="4" t="s">
        <v>105</v>
      </c>
      <c r="AG24" s="4" t="s">
        <v>106</v>
      </c>
      <c r="AH24" s="4" t="s">
        <v>107</v>
      </c>
      <c r="AI24" s="4">
        <f ca="1">ROUND(T_Tiktok_ads[[#This Row],[impressions]]*RANDBETWEEN(8,12)/10,0)</f>
        <v>143081</v>
      </c>
      <c r="AJ24" s="4">
        <f ca="1">ROUND(T_Tiktok_ads[[#This Row],[clicks]]*RANDBETWEEN(8,12)/10,0)</f>
        <v>1787</v>
      </c>
      <c r="AK24" s="4">
        <v>645.6</v>
      </c>
      <c r="AL24" s="4">
        <f ca="1">ROUND(T_Tiktok_ads[[#This Row],[conversions]]*RANDBETWEEN(8,12)/10,0)</f>
        <v>58</v>
      </c>
      <c r="AM24" s="4">
        <f ca="1">ROUND(T_Tiktok_ads[[#This Row],[video_views]]*RANDBETWEEN(8,12)/10,0)</f>
        <v>77110</v>
      </c>
      <c r="AN24" s="4">
        <f ca="1">ROUND(T_Tiktok_ads[[#This Row],[video_watch_25]]*RANDBETWEEN(8,12)/10,0)</f>
        <v>69802</v>
      </c>
      <c r="AO24" s="4">
        <f ca="1">ROUND(T_Tiktok_ads[[#This Row],[video_watch_50]]*RANDBETWEEN(8,12)/10,0)</f>
        <v>50814</v>
      </c>
      <c r="AP24" s="4">
        <f ca="1">ROUND(T_Tiktok_ads[[#This Row],[video_watch_75]]*RANDBETWEEN(8,12)/10,0)</f>
        <v>29011</v>
      </c>
      <c r="AQ24" s="4">
        <f ca="1">ROUND(T_Tiktok_ads[[#This Row],[video_watch_100]]*RANDBETWEEN(8,12)/10,0)</f>
        <v>24457</v>
      </c>
      <c r="AR24" s="4">
        <f ca="1">ROUND(T_Tiktok_ads[[#This Row],[likes]]*RANDBETWEEN(8,12)/10,0)</f>
        <v>4780</v>
      </c>
      <c r="AS24" s="4">
        <f ca="1">ROUND(T_Tiktok_ads[[#This Row],[shares]]*RANDBETWEEN(8,12)/10,0)</f>
        <v>951</v>
      </c>
      <c r="AT24" s="4">
        <f ca="1">ROUND(T_Tiktok_ads[[#This Row],[comments]]*RANDBETWEEN(8,12)/10,0)</f>
        <v>201</v>
      </c>
      <c r="AV24" s="5">
        <f t="shared" ca="1" si="3"/>
        <v>45221</v>
      </c>
      <c r="AW24">
        <f t="shared" ca="1" si="4"/>
        <v>6</v>
      </c>
      <c r="AX24">
        <f ca="1">ROUND(T_Facebook_Ads11596367717579838791[[#This Row],[impressions]]*RANDBETWEEN(8,12)/10,0)</f>
        <v>12002</v>
      </c>
      <c r="AY24">
        <f ca="1">ROUND(T_Facebook_Ads11596367717579838791[[#This Row],[clicks]]*RANDBETWEEN(8,12)/10,0)</f>
        <v>481</v>
      </c>
      <c r="AZ24">
        <f ca="1">T_Facebook_Ads11596367717579838791[[#This Row],[spend]]*RANDBETWEEN(8,12)/10</f>
        <v>186.91200000000001</v>
      </c>
      <c r="BA24">
        <f ca="1">ROUND(T_Facebook_Ads11596367717579838791[[#This Row],[conversions]]*RANDBETWEEN(8,12)/10,0)</f>
        <v>31</v>
      </c>
      <c r="BB24">
        <f ca="1">ROUND(T_Facebook_Ads11596367717579838791[[#This Row],[video_views]]*RANDBETWEEN(8,12)/10,0)</f>
        <v>888</v>
      </c>
    </row>
    <row r="25" spans="1:54" ht="15.75" thickBot="1" x14ac:dyDescent="0.3">
      <c r="A25" s="3">
        <f t="shared" ca="1" si="0"/>
        <v>45223</v>
      </c>
      <c r="B25" s="4" t="s">
        <v>64</v>
      </c>
      <c r="C25" s="4" t="s">
        <v>65</v>
      </c>
      <c r="D25" s="4" t="s">
        <v>66</v>
      </c>
      <c r="E25" s="4" t="s">
        <v>67</v>
      </c>
      <c r="F25" s="4">
        <f ca="1">ROUND(T_Facebook_Ads[[#This Row],[impressions]]*RANDBETWEEN(8,12)/10,0)</f>
        <v>88147</v>
      </c>
      <c r="G25" s="4">
        <v>267</v>
      </c>
      <c r="H25" s="4">
        <f ca="1">T_Facebook_Ads[[#This Row],[spend]]*RANDBETWEEN(8,12)/10</f>
        <v>88.47</v>
      </c>
      <c r="I25" s="4">
        <f ca="1">ROUND(T_Facebook_Ads[[#This Row],[conversions]]*RANDBETWEEN(8,12)/10,0)</f>
        <v>6</v>
      </c>
      <c r="J25" s="4">
        <f ca="1">ROUND(T_Facebook_Ads[[#This Row],[video_views]]*RANDBETWEEN(8,12)/10,0)</f>
        <v>50123</v>
      </c>
      <c r="K25" s="4">
        <f ca="1">T_Facebook_Ads[[#This Row],[engagement_rate]]*RANDBETWEEN(8,12)/10</f>
        <v>3.96E-3</v>
      </c>
      <c r="L25" s="4">
        <f ca="1">ROUND(T_Facebook_Ads[[#This Row],[reach]]*RANDBETWEEN(8,12)/10,0)</f>
        <v>54211</v>
      </c>
      <c r="M25" s="4">
        <f ca="1">T_Facebook_Ads[[#This Row],[frequency]]*RANDBETWEEN(8,12)/10</f>
        <v>1.464</v>
      </c>
      <c r="O25" s="3">
        <f t="shared" ca="1" si="1"/>
        <v>45226</v>
      </c>
      <c r="P25" s="4" t="s">
        <v>88</v>
      </c>
      <c r="Q25" s="4" t="s">
        <v>89</v>
      </c>
      <c r="R25" s="4" t="s">
        <v>90</v>
      </c>
      <c r="S25" s="4" t="s">
        <v>59</v>
      </c>
      <c r="T25" s="4">
        <f ca="1">ROUND(_Google_ads[[#This Row],[impressions]]*RANDBETWEEN(8,12)/10,0)</f>
        <v>100542</v>
      </c>
      <c r="U25" s="4">
        <f ca="1">ROUND(_Google_ads[[#This Row],[clicks]]*RANDBETWEEN(8,12)/10,0)</f>
        <v>356</v>
      </c>
      <c r="V25" s="4">
        <f ca="1">_Google_ads[[#This Row],[cost]]*RANDBETWEEN(8,12)/10</f>
        <v>145.56</v>
      </c>
      <c r="W25" s="4">
        <f ca="1">ROUND(_Google_ads[[#This Row],[conversions]]*RANDBETWEEN(8,12)/10,0)</f>
        <v>11</v>
      </c>
      <c r="X25" s="4">
        <f ca="1">ROUND(_Google_ads[[#This Row],[conversion_value]]*RANDBETWEEN(8,12)/10,0)</f>
        <v>440</v>
      </c>
      <c r="Y25" s="4">
        <f ca="1">_Google_ads[[#This Row],[ctr]]*RANDBETWEEN(8,12)/10</f>
        <v>3.5000000000000005E-3</v>
      </c>
      <c r="Z25" s="4">
        <f ca="1">_Google_ads[[#This Row],[avg_cpc]]*RANDBETWEEN(8,12)/10</f>
        <v>0.32400000000000001</v>
      </c>
      <c r="AA25" s="4">
        <f ca="1">ROUND(_Google_ads[[#This Row],[quality_score]]*RANDBETWEEN(8,12)/10,0)</f>
        <v>8</v>
      </c>
      <c r="AB25" s="4">
        <f ca="1">_Google_ads[[#This Row],[search_impression_share]]*RANDBETWEEN(8,12)/10</f>
        <v>0.27200000000000002</v>
      </c>
      <c r="AD25" s="3">
        <f t="shared" ca="1" si="2"/>
        <v>45214</v>
      </c>
      <c r="AE25" s="4" t="s">
        <v>112</v>
      </c>
      <c r="AF25" s="4" t="s">
        <v>113</v>
      </c>
      <c r="AG25" s="4" t="s">
        <v>114</v>
      </c>
      <c r="AH25" s="4" t="s">
        <v>115</v>
      </c>
      <c r="AI25" s="4">
        <f ca="1">ROUND(T_Tiktok_ads[[#This Row],[impressions]]*RANDBETWEEN(8,12)/10,0)</f>
        <v>311210</v>
      </c>
      <c r="AJ25" s="4">
        <f ca="1">ROUND(T_Tiktok_ads[[#This Row],[clicks]]*RANDBETWEEN(8,12)/10,0)</f>
        <v>6857</v>
      </c>
      <c r="AK25" s="4">
        <v>967.8</v>
      </c>
      <c r="AL25" s="4">
        <f ca="1">ROUND(T_Tiktok_ads[[#This Row],[conversions]]*RANDBETWEEN(8,12)/10,0)</f>
        <v>88</v>
      </c>
      <c r="AM25" s="4">
        <f ca="1">ROUND(T_Tiktok_ads[[#This Row],[video_views]]*RANDBETWEEN(8,12)/10,0)</f>
        <v>353357</v>
      </c>
      <c r="AN25" s="4">
        <f ca="1">ROUND(T_Tiktok_ads[[#This Row],[video_watch_25]]*RANDBETWEEN(8,12)/10,0)</f>
        <v>284791</v>
      </c>
      <c r="AO25" s="4">
        <f ca="1">ROUND(T_Tiktok_ads[[#This Row],[video_watch_50]]*RANDBETWEEN(8,12)/10,0)</f>
        <v>207890</v>
      </c>
      <c r="AP25" s="4">
        <f ca="1">ROUND(T_Tiktok_ads[[#This Row],[video_watch_75]]*RANDBETWEEN(8,12)/10,0)</f>
        <v>147234</v>
      </c>
      <c r="AQ25" s="4">
        <f ca="1">ROUND(T_Tiktok_ads[[#This Row],[video_watch_100]]*RANDBETWEEN(8,12)/10,0)</f>
        <v>116947</v>
      </c>
      <c r="AR25" s="4">
        <f ca="1">ROUND(T_Tiktok_ads[[#This Row],[likes]]*RANDBETWEEN(8,12)/10,0)</f>
        <v>20281</v>
      </c>
      <c r="AS25" s="4">
        <f ca="1">ROUND(T_Tiktok_ads[[#This Row],[shares]]*RANDBETWEEN(8,12)/10,0)</f>
        <v>4421</v>
      </c>
      <c r="AT25" s="4">
        <f ca="1">ROUND(T_Tiktok_ads[[#This Row],[comments]]*RANDBETWEEN(8,12)/10,0)</f>
        <v>1211</v>
      </c>
      <c r="AV25" s="5">
        <f t="shared" ca="1" si="3"/>
        <v>45222</v>
      </c>
      <c r="AW25">
        <f t="shared" ca="1" si="4"/>
        <v>2</v>
      </c>
      <c r="AX25">
        <f ca="1">ROUND(T_Facebook_Ads11596367717579838791[[#This Row],[impressions]]*RANDBETWEEN(8,12)/10,0)</f>
        <v>96962</v>
      </c>
      <c r="AY25">
        <f ca="1">ROUND(T_Facebook_Ads11596367717579838791[[#This Row],[clicks]]*RANDBETWEEN(8,12)/10,0)</f>
        <v>294</v>
      </c>
      <c r="AZ25">
        <f ca="1">T_Facebook_Ads11596367717579838791[[#This Row],[spend]]*RANDBETWEEN(8,12)/10</f>
        <v>106.16399999999999</v>
      </c>
      <c r="BA25">
        <f ca="1">ROUND(T_Facebook_Ads11596367717579838791[[#This Row],[conversions]]*RANDBETWEEN(8,12)/10,0)</f>
        <v>7</v>
      </c>
      <c r="BB25">
        <f ca="1">ROUND(T_Facebook_Ads11596367717579838791[[#This Row],[video_views]]*RANDBETWEEN(8,12)/10,0)</f>
        <v>50123</v>
      </c>
    </row>
    <row r="26" spans="1:54" ht="15.75" thickBot="1" x14ac:dyDescent="0.3">
      <c r="A26" s="3">
        <f t="shared" ca="1" si="0"/>
        <v>45226</v>
      </c>
      <c r="B26" s="4" t="s">
        <v>52</v>
      </c>
      <c r="C26" s="4" t="s">
        <v>53</v>
      </c>
      <c r="D26" s="4" t="s">
        <v>54</v>
      </c>
      <c r="E26" s="4" t="s">
        <v>55</v>
      </c>
      <c r="F26" s="4">
        <f ca="1">ROUND(T_Facebook_Ads[[#This Row],[impressions]]*RANDBETWEEN(8,12)/10,0)</f>
        <v>60148</v>
      </c>
      <c r="G26" s="4">
        <v>1012</v>
      </c>
      <c r="H26" s="4">
        <f ca="1">T_Facebook_Ads[[#This Row],[spend]]*RANDBETWEEN(8,12)/10</f>
        <v>127.53</v>
      </c>
      <c r="I26" s="4">
        <f ca="1">ROUND(T_Facebook_Ads[[#This Row],[conversions]]*RANDBETWEEN(8,12)/10,0)</f>
        <v>14</v>
      </c>
      <c r="J26" s="4">
        <f ca="1">ROUND(T_Facebook_Ads[[#This Row],[video_views]]*RANDBETWEEN(8,12)/10,0)</f>
        <v>10280</v>
      </c>
      <c r="K26" s="4">
        <f ca="1">T_Facebook_Ads[[#This Row],[engagement_rate]]*RANDBETWEEN(8,12)/10</f>
        <v>2.0199999999999999E-2</v>
      </c>
      <c r="L26" s="4">
        <f ca="1">ROUND(T_Facebook_Ads[[#This Row],[reach]]*RANDBETWEEN(8,12)/10,0)</f>
        <v>37701</v>
      </c>
      <c r="M26" s="4">
        <f ca="1">T_Facebook_Ads[[#This Row],[frequency]]*RANDBETWEEN(8,12)/10</f>
        <v>1.44</v>
      </c>
      <c r="O26" s="3">
        <f t="shared" ca="1" si="1"/>
        <v>45230</v>
      </c>
      <c r="P26" s="4" t="s">
        <v>76</v>
      </c>
      <c r="Q26" s="4" t="s">
        <v>77</v>
      </c>
      <c r="R26" s="4" t="s">
        <v>78</v>
      </c>
      <c r="S26" s="4" t="s">
        <v>79</v>
      </c>
      <c r="T26" s="4">
        <f ca="1">ROUND(_Google_ads[[#This Row],[impressions]]*RANDBETWEEN(8,12)/10,0)</f>
        <v>25234</v>
      </c>
      <c r="U26" s="4">
        <f ca="1">ROUND(_Google_ads[[#This Row],[clicks]]*RANDBETWEEN(8,12)/10,0)</f>
        <v>1443</v>
      </c>
      <c r="V26" s="4">
        <f ca="1">_Google_ads[[#This Row],[cost]]*RANDBETWEEN(8,12)/10</f>
        <v>250.3</v>
      </c>
      <c r="W26" s="4">
        <f ca="1">ROUND(_Google_ads[[#This Row],[conversions]]*RANDBETWEEN(8,12)/10,0)</f>
        <v>44</v>
      </c>
      <c r="X26" s="4">
        <f ca="1">ROUND(_Google_ads[[#This Row],[conversion_value]]*RANDBETWEEN(8,12)/10,0)</f>
        <v>1960</v>
      </c>
      <c r="Y26" s="4">
        <f ca="1">_Google_ads[[#This Row],[ctr]]*RANDBETWEEN(8,12)/10</f>
        <v>5.2000000000000005E-2</v>
      </c>
      <c r="Z26" s="4">
        <f ca="1">_Google_ads[[#This Row],[avg_cpc]]*RANDBETWEEN(8,12)/10</f>
        <v>0.20899999999999999</v>
      </c>
      <c r="AA26" s="4">
        <f ca="1">ROUND(_Google_ads[[#This Row],[quality_score]]*RANDBETWEEN(8,12)/10,0)</f>
        <v>11</v>
      </c>
      <c r="AB26" s="4">
        <f ca="1">_Google_ads[[#This Row],[search_impression_share]]*RANDBETWEEN(8,12)/10</f>
        <v>0.73599999999999999</v>
      </c>
      <c r="AD26" s="3">
        <f t="shared" ca="1" si="2"/>
        <v>45204</v>
      </c>
      <c r="AE26" s="4" t="s">
        <v>100</v>
      </c>
      <c r="AF26" s="4" t="s">
        <v>101</v>
      </c>
      <c r="AG26" s="4" t="s">
        <v>102</v>
      </c>
      <c r="AH26" s="4" t="s">
        <v>103</v>
      </c>
      <c r="AI26" s="4">
        <f ca="1">ROUND(T_Tiktok_ads[[#This Row],[impressions]]*RANDBETWEEN(8,12)/10,0)</f>
        <v>231210</v>
      </c>
      <c r="AJ26" s="4">
        <f ca="1">ROUND(T_Tiktok_ads[[#This Row],[clicks]]*RANDBETWEEN(8,12)/10,0)</f>
        <v>3811</v>
      </c>
      <c r="AK26" s="4">
        <v>556.70000000000005</v>
      </c>
      <c r="AL26" s="4">
        <f ca="1">ROUND(T_Tiktok_ads[[#This Row],[conversions]]*RANDBETWEEN(8,12)/10,0)</f>
        <v>47</v>
      </c>
      <c r="AM26" s="4">
        <f ca="1">ROUND(T_Tiktok_ads[[#This Row],[video_views]]*RANDBETWEEN(8,12)/10,0)</f>
        <v>187654</v>
      </c>
      <c r="AN26" s="4">
        <f ca="1">ROUND(T_Tiktok_ads[[#This Row],[video_watch_25]]*RANDBETWEEN(8,12)/10,0)</f>
        <v>200580</v>
      </c>
      <c r="AO26" s="4">
        <f ca="1">ROUND(T_Tiktok_ads[[#This Row],[video_watch_50]]*RANDBETWEEN(8,12)/10,0)</f>
        <v>91654</v>
      </c>
      <c r="AP26" s="4">
        <f ca="1">ROUND(T_Tiktok_ads[[#This Row],[video_watch_75]]*RANDBETWEEN(8,12)/10,0)</f>
        <v>61787</v>
      </c>
      <c r="AQ26" s="4">
        <f ca="1">ROUND(T_Tiktok_ads[[#This Row],[video_watch_100]]*RANDBETWEEN(8,12)/10,0)</f>
        <v>61481</v>
      </c>
      <c r="AR26" s="4">
        <f ca="1">ROUND(T_Tiktok_ads[[#This Row],[likes]]*RANDBETWEEN(8,12)/10,0)</f>
        <v>11380</v>
      </c>
      <c r="AS26" s="4">
        <f ca="1">ROUND(T_Tiktok_ads[[#This Row],[shares]]*RANDBETWEEN(8,12)/10,0)</f>
        <v>2789</v>
      </c>
      <c r="AT26" s="4">
        <f ca="1">ROUND(T_Tiktok_ads[[#This Row],[comments]]*RANDBETWEEN(8,12)/10,0)</f>
        <v>656</v>
      </c>
      <c r="AV26" s="5">
        <f t="shared" ca="1" si="3"/>
        <v>45230</v>
      </c>
      <c r="AW26">
        <f t="shared" ca="1" si="4"/>
        <v>6</v>
      </c>
      <c r="AX26">
        <f ca="1">ROUND(T_Facebook_Ads11596367717579838791[[#This Row],[impressions]]*RANDBETWEEN(8,12)/10,0)</f>
        <v>54133</v>
      </c>
      <c r="AY26">
        <f ca="1">ROUND(T_Facebook_Ads11596367717579838791[[#This Row],[clicks]]*RANDBETWEEN(8,12)/10,0)</f>
        <v>1214</v>
      </c>
      <c r="AZ26">
        <f ca="1">T_Facebook_Ads11596367717579838791[[#This Row],[spend]]*RANDBETWEEN(8,12)/10</f>
        <v>140.28299999999999</v>
      </c>
      <c r="BA26">
        <f ca="1">ROUND(T_Facebook_Ads11596367717579838791[[#This Row],[conversions]]*RANDBETWEEN(8,12)/10,0)</f>
        <v>15</v>
      </c>
      <c r="BB26">
        <f ca="1">ROUND(T_Facebook_Ads11596367717579838791[[#This Row],[video_views]]*RANDBETWEEN(8,12)/10,0)</f>
        <v>10280</v>
      </c>
    </row>
    <row r="27" spans="1:54" ht="15.75" thickBot="1" x14ac:dyDescent="0.3">
      <c r="A27" s="3">
        <f t="shared" ca="1" si="0"/>
        <v>45224</v>
      </c>
      <c r="B27" s="4" t="s">
        <v>60</v>
      </c>
      <c r="C27" s="4" t="s">
        <v>61</v>
      </c>
      <c r="D27" s="4" t="s">
        <v>62</v>
      </c>
      <c r="E27" s="4" t="s">
        <v>63</v>
      </c>
      <c r="F27" s="4">
        <f ca="1">ROUND(T_Facebook_Ads[[#This Row],[impressions]]*RANDBETWEEN(8,12)/10,0)</f>
        <v>43747</v>
      </c>
      <c r="G27" s="4">
        <v>1312</v>
      </c>
      <c r="H27" s="4">
        <f ca="1">T_Facebook_Ads[[#This Row],[spend]]*RANDBETWEEN(8,12)/10</f>
        <v>179.82</v>
      </c>
      <c r="I27" s="4">
        <f ca="1">ROUND(T_Facebook_Ads[[#This Row],[conversions]]*RANDBETWEEN(8,12)/10,0)</f>
        <v>23</v>
      </c>
      <c r="J27" s="4">
        <f ca="1">ROUND(T_Facebook_Ads[[#This Row],[video_views]]*RANDBETWEEN(8,12)/10,0)</f>
        <v>4341</v>
      </c>
      <c r="K27" s="4">
        <f ca="1">T_Facebook_Ads[[#This Row],[engagement_rate]]*RANDBETWEEN(8,12)/10</f>
        <v>4.3199999999999995E-2</v>
      </c>
      <c r="L27" s="4">
        <f ca="1">ROUND(T_Facebook_Ads[[#This Row],[reach]]*RANDBETWEEN(8,12)/10,0)</f>
        <v>27211</v>
      </c>
      <c r="M27" s="4">
        <f ca="1">T_Facebook_Ads[[#This Row],[frequency]]*RANDBETWEEN(8,12)/10</f>
        <v>1.21</v>
      </c>
      <c r="O27" s="3">
        <f t="shared" ca="1" si="1"/>
        <v>45208</v>
      </c>
      <c r="P27" s="4" t="s">
        <v>84</v>
      </c>
      <c r="Q27" s="4" t="s">
        <v>85</v>
      </c>
      <c r="R27" s="4" t="s">
        <v>86</v>
      </c>
      <c r="S27" s="4" t="s">
        <v>87</v>
      </c>
      <c r="T27" s="4">
        <f ca="1">ROUND(_Google_ads[[#This Row],[impressions]]*RANDBETWEEN(8,12)/10,0)</f>
        <v>80802</v>
      </c>
      <c r="U27" s="4">
        <f ca="1">ROUND(_Google_ads[[#This Row],[clicks]]*RANDBETWEEN(8,12)/10,0)</f>
        <v>2423</v>
      </c>
      <c r="V27" s="4">
        <f ca="1">_Google_ads[[#This Row],[cost]]*RANDBETWEEN(8,12)/10</f>
        <v>441.8</v>
      </c>
      <c r="W27" s="4">
        <f ca="1">ROUND(_Google_ads[[#This Row],[conversions]]*RANDBETWEEN(8,12)/10,0)</f>
        <v>70</v>
      </c>
      <c r="X27" s="4">
        <f ca="1">ROUND(_Google_ads[[#This Row],[conversion_value]]*RANDBETWEEN(8,12)/10,0)</f>
        <v>3850</v>
      </c>
      <c r="Y27" s="4">
        <f ca="1">_Google_ads[[#This Row],[ctr]]*RANDBETWEEN(8,12)/10</f>
        <v>3.3000000000000002E-2</v>
      </c>
      <c r="Z27" s="4">
        <f ca="1">_Google_ads[[#This Row],[avg_cpc]]*RANDBETWEEN(8,12)/10</f>
        <v>0.21600000000000003</v>
      </c>
      <c r="AA27" s="4">
        <f ca="1">ROUND(_Google_ads[[#This Row],[quality_score]]*RANDBETWEEN(8,12)/10,0)</f>
        <v>7</v>
      </c>
      <c r="AB27" s="4">
        <f ca="1">_Google_ads[[#This Row],[search_impression_share]]*RANDBETWEEN(8,12)/10</f>
        <v>0.61199999999999999</v>
      </c>
      <c r="AD27" s="3">
        <f t="shared" ca="1" si="2"/>
        <v>45201</v>
      </c>
      <c r="AE27" s="4" t="s">
        <v>108</v>
      </c>
      <c r="AF27" s="4" t="s">
        <v>109</v>
      </c>
      <c r="AG27" s="4" t="s">
        <v>110</v>
      </c>
      <c r="AH27" s="4" t="s">
        <v>111</v>
      </c>
      <c r="AI27" s="4">
        <f ca="1">ROUND(T_Tiktok_ads[[#This Row],[impressions]]*RANDBETWEEN(8,12)/10,0)</f>
        <v>240791</v>
      </c>
      <c r="AJ27" s="4">
        <f ca="1">ROUND(T_Tiktok_ads[[#This Row],[clicks]]*RANDBETWEEN(8,12)/10,0)</f>
        <v>3802</v>
      </c>
      <c r="AK27" s="4">
        <v>414.4</v>
      </c>
      <c r="AL27" s="4">
        <f ca="1">ROUND(T_Tiktok_ads[[#This Row],[conversions]]*RANDBETWEEN(8,12)/10,0)</f>
        <v>23</v>
      </c>
      <c r="AM27" s="4">
        <f ca="1">ROUND(T_Tiktok_ads[[#This Row],[video_views]]*RANDBETWEEN(8,12)/10,0)</f>
        <v>208147</v>
      </c>
      <c r="AN27" s="4">
        <f ca="1">ROUND(T_Tiktok_ads[[#This Row],[video_watch_25]]*RANDBETWEEN(8,12)/10,0)</f>
        <v>118410</v>
      </c>
      <c r="AO27" s="4">
        <f ca="1">ROUND(T_Tiktok_ads[[#This Row],[video_watch_50]]*RANDBETWEEN(8,12)/10,0)</f>
        <v>82854</v>
      </c>
      <c r="AP27" s="4">
        <f ca="1">ROUND(T_Tiktok_ads[[#This Row],[video_watch_75]]*RANDBETWEEN(8,12)/10,0)</f>
        <v>60511</v>
      </c>
      <c r="AQ27" s="4">
        <f ca="1">ROUND(T_Tiktok_ads[[#This Row],[video_watch_100]]*RANDBETWEEN(8,12)/10,0)</f>
        <v>48680</v>
      </c>
      <c r="AR27" s="4">
        <f ca="1">ROUND(T_Tiktok_ads[[#This Row],[likes]]*RANDBETWEEN(8,12)/10,0)</f>
        <v>6410</v>
      </c>
      <c r="AS27" s="4">
        <f ca="1">ROUND(T_Tiktok_ads[[#This Row],[shares]]*RANDBETWEEN(8,12)/10,0)</f>
        <v>2421</v>
      </c>
      <c r="AT27" s="4">
        <f ca="1">ROUND(T_Tiktok_ads[[#This Row],[comments]]*RANDBETWEEN(8,12)/10,0)</f>
        <v>523</v>
      </c>
      <c r="AV27" s="5">
        <f t="shared" ca="1" si="3"/>
        <v>45229</v>
      </c>
      <c r="AW27">
        <f t="shared" ca="1" si="4"/>
        <v>7</v>
      </c>
      <c r="AX27">
        <f ca="1">ROUND(T_Facebook_Ads11596367717579838791[[#This Row],[impressions]]*RANDBETWEEN(8,12)/10,0)</f>
        <v>48122</v>
      </c>
      <c r="AY27">
        <f ca="1">ROUND(T_Facebook_Ads11596367717579838791[[#This Row],[clicks]]*RANDBETWEEN(8,12)/10,0)</f>
        <v>1181</v>
      </c>
      <c r="AZ27">
        <f ca="1">T_Facebook_Ads11596367717579838791[[#This Row],[spend]]*RANDBETWEEN(8,12)/10</f>
        <v>161.83799999999999</v>
      </c>
      <c r="BA27">
        <f ca="1">ROUND(T_Facebook_Ads11596367717579838791[[#This Row],[conversions]]*RANDBETWEEN(8,12)/10,0)</f>
        <v>21</v>
      </c>
      <c r="BB27">
        <f ca="1">ROUND(T_Facebook_Ads11596367717579838791[[#This Row],[video_views]]*RANDBETWEEN(8,12)/10,0)</f>
        <v>5209</v>
      </c>
    </row>
    <row r="28" spans="1:54" ht="15.75" thickBot="1" x14ac:dyDescent="0.3">
      <c r="A28" s="3">
        <f t="shared" ca="1" si="0"/>
        <v>45218</v>
      </c>
      <c r="B28" s="4" t="s">
        <v>64</v>
      </c>
      <c r="C28" s="4" t="s">
        <v>65</v>
      </c>
      <c r="D28" s="4" t="s">
        <v>66</v>
      </c>
      <c r="E28" s="4" t="s">
        <v>67</v>
      </c>
      <c r="F28" s="4">
        <f ca="1">ROUND(T_Facebook_Ads[[#This Row],[impressions]]*RANDBETWEEN(8,12)/10,0)</f>
        <v>70123</v>
      </c>
      <c r="G28" s="4">
        <v>253</v>
      </c>
      <c r="H28" s="4">
        <f ca="1">T_Facebook_Ads[[#This Row],[spend]]*RANDBETWEEN(8,12)/10</f>
        <v>93.6</v>
      </c>
      <c r="I28" s="4">
        <f ca="1">ROUND(T_Facebook_Ads[[#This Row],[conversions]]*RANDBETWEEN(8,12)/10,0)</f>
        <v>7</v>
      </c>
      <c r="J28" s="4">
        <f ca="1">ROUND(T_Facebook_Ads[[#This Row],[video_views]]*RANDBETWEEN(8,12)/10,0)</f>
        <v>53057</v>
      </c>
      <c r="K28" s="4">
        <f ca="1">T_Facebook_Ads[[#This Row],[engagement_rate]]*RANDBETWEEN(8,12)/10</f>
        <v>4.3200000000000001E-3</v>
      </c>
      <c r="L28" s="4">
        <f ca="1">ROUND(T_Facebook_Ads[[#This Row],[reach]]*RANDBETWEEN(8,12)/10,0)</f>
        <v>70147</v>
      </c>
      <c r="M28" s="4">
        <f ca="1">T_Facebook_Ads[[#This Row],[frequency]]*RANDBETWEEN(8,12)/10</f>
        <v>1.0799999999999998</v>
      </c>
      <c r="O28" s="3">
        <f t="shared" ca="1" si="1"/>
        <v>45224</v>
      </c>
      <c r="P28" s="4" t="s">
        <v>88</v>
      </c>
      <c r="Q28" s="4" t="s">
        <v>89</v>
      </c>
      <c r="R28" s="4" t="s">
        <v>90</v>
      </c>
      <c r="S28" s="4" t="s">
        <v>59</v>
      </c>
      <c r="T28" s="4">
        <f ca="1">ROUND(_Google_ads[[#This Row],[impressions]]*RANDBETWEEN(8,12)/10,0)</f>
        <v>129345</v>
      </c>
      <c r="U28" s="4">
        <f ca="1">ROUND(_Google_ads[[#This Row],[clicks]]*RANDBETWEEN(8,12)/10,0)</f>
        <v>547</v>
      </c>
      <c r="V28" s="4">
        <f ca="1">_Google_ads[[#This Row],[cost]]*RANDBETWEEN(8,12)/10</f>
        <v>125.6</v>
      </c>
      <c r="W28" s="4">
        <f ca="1">ROUND(_Google_ads[[#This Row],[conversions]]*RANDBETWEEN(8,12)/10,0)</f>
        <v>12</v>
      </c>
      <c r="X28" s="4">
        <f ca="1">ROUND(_Google_ads[[#This Row],[conversion_value]]*RANDBETWEEN(8,12)/10,0)</f>
        <v>660</v>
      </c>
      <c r="Y28" s="4">
        <f ca="1">_Google_ads[[#This Row],[ctr]]*RANDBETWEEN(8,12)/10</f>
        <v>3.15E-3</v>
      </c>
      <c r="Z28" s="4">
        <f ca="1">_Google_ads[[#This Row],[avg_cpc]]*RANDBETWEEN(8,12)/10</f>
        <v>0.22400000000000003</v>
      </c>
      <c r="AA28" s="4">
        <f ca="1">ROUND(_Google_ads[[#This Row],[quality_score]]*RANDBETWEEN(8,12)/10,0)</f>
        <v>8</v>
      </c>
      <c r="AB28" s="4">
        <f ca="1">_Google_ads[[#This Row],[search_impression_share]]*RANDBETWEEN(8,12)/10</f>
        <v>0.41999999999999993</v>
      </c>
      <c r="AD28" s="3">
        <f t="shared" ca="1" si="2"/>
        <v>45213</v>
      </c>
      <c r="AE28" s="4" t="s">
        <v>112</v>
      </c>
      <c r="AF28" s="4" t="s">
        <v>113</v>
      </c>
      <c r="AG28" s="4" t="s">
        <v>114</v>
      </c>
      <c r="AH28" s="4" t="s">
        <v>115</v>
      </c>
      <c r="AI28" s="4">
        <f ca="1">ROUND(T_Tiktok_ads[[#This Row],[impressions]]*RANDBETWEEN(8,12)/10,0)</f>
        <v>401234</v>
      </c>
      <c r="AJ28" s="4">
        <f ca="1">ROUND(T_Tiktok_ads[[#This Row],[clicks]]*RANDBETWEEN(8,12)/10,0)</f>
        <v>7102</v>
      </c>
      <c r="AK28" s="4">
        <v>989.9</v>
      </c>
      <c r="AL28" s="4">
        <f ca="1">ROUND(T_Tiktok_ads[[#This Row],[conversions]]*RANDBETWEEN(8,12)/10,0)</f>
        <v>111</v>
      </c>
      <c r="AM28" s="4">
        <f ca="1">ROUND(T_Tiktok_ads[[#This Row],[video_views]]*RANDBETWEEN(8,12)/10,0)</f>
        <v>265876</v>
      </c>
      <c r="AN28" s="4">
        <f ca="1">ROUND(T_Tiktok_ads[[#This Row],[video_watch_25]]*RANDBETWEEN(8,12)/10,0)</f>
        <v>321468</v>
      </c>
      <c r="AO28" s="4">
        <f ca="1">ROUND(T_Tiktok_ads[[#This Row],[video_watch_50]]*RANDBETWEEN(8,12)/10,0)</f>
        <v>257480</v>
      </c>
      <c r="AP28" s="4">
        <f ca="1">ROUND(T_Tiktok_ads[[#This Row],[video_watch_75]]*RANDBETWEEN(8,12)/10,0)</f>
        <v>166357</v>
      </c>
      <c r="AQ28" s="4">
        <f ca="1">ROUND(T_Tiktok_ads[[#This Row],[video_watch_100]]*RANDBETWEEN(8,12)/10,0)</f>
        <v>79654</v>
      </c>
      <c r="AR28" s="4">
        <f ca="1">ROUND(T_Tiktok_ads[[#This Row],[likes]]*RANDBETWEEN(8,12)/10,0)</f>
        <v>13787</v>
      </c>
      <c r="AS28" s="4">
        <f ca="1">ROUND(T_Tiktok_ads[[#This Row],[shares]]*RANDBETWEEN(8,12)/10,0)</f>
        <v>6014</v>
      </c>
      <c r="AT28" s="4">
        <f ca="1">ROUND(T_Tiktok_ads[[#This Row],[comments]]*RANDBETWEEN(8,12)/10,0)</f>
        <v>1378</v>
      </c>
      <c r="AV28" s="5">
        <f t="shared" ca="1" si="3"/>
        <v>45229</v>
      </c>
      <c r="AW28">
        <f t="shared" ca="1" si="4"/>
        <v>7</v>
      </c>
      <c r="AX28">
        <f ca="1">ROUND(T_Facebook_Ads11596367717579838791[[#This Row],[impressions]]*RANDBETWEEN(8,12)/10,0)</f>
        <v>84148</v>
      </c>
      <c r="AY28">
        <f ca="1">ROUND(T_Facebook_Ads11596367717579838791[[#This Row],[clicks]]*RANDBETWEEN(8,12)/10,0)</f>
        <v>278</v>
      </c>
      <c r="AZ28">
        <f ca="1">T_Facebook_Ads11596367717579838791[[#This Row],[spend]]*RANDBETWEEN(8,12)/10</f>
        <v>84.24</v>
      </c>
      <c r="BA28">
        <f ca="1">ROUND(T_Facebook_Ads11596367717579838791[[#This Row],[conversions]]*RANDBETWEEN(8,12)/10,0)</f>
        <v>8</v>
      </c>
      <c r="BB28">
        <f ca="1">ROUND(T_Facebook_Ads11596367717579838791[[#This Row],[video_views]]*RANDBETWEEN(8,12)/10,0)</f>
        <v>47751</v>
      </c>
    </row>
    <row r="29" spans="1:54" ht="15.75" thickBot="1" x14ac:dyDescent="0.3">
      <c r="A29" s="3">
        <f t="shared" ca="1" si="0"/>
        <v>45217</v>
      </c>
      <c r="B29" s="4" t="s">
        <v>52</v>
      </c>
      <c r="C29" s="4" t="s">
        <v>53</v>
      </c>
      <c r="D29" s="4" t="s">
        <v>54</v>
      </c>
      <c r="E29" s="4" t="s">
        <v>55</v>
      </c>
      <c r="F29" s="4">
        <f ca="1">ROUND(T_Facebook_Ads[[#This Row],[impressions]]*RANDBETWEEN(8,12)/10,0)</f>
        <v>38854</v>
      </c>
      <c r="G29" s="4">
        <v>978</v>
      </c>
      <c r="H29" s="4">
        <f ca="1">T_Facebook_Ads[[#This Row],[spend]]*RANDBETWEEN(8,12)/10</f>
        <v>137.80000000000001</v>
      </c>
      <c r="I29" s="4">
        <f ca="1">ROUND(T_Facebook_Ads[[#This Row],[conversions]]*RANDBETWEEN(8,12)/10,0)</f>
        <v>11</v>
      </c>
      <c r="J29" s="4">
        <f ca="1">ROUND(T_Facebook_Ads[[#This Row],[video_views]]*RANDBETWEEN(8,12)/10,0)</f>
        <v>8945</v>
      </c>
      <c r="K29" s="4">
        <f ca="1">T_Facebook_Ads[[#This Row],[engagement_rate]]*RANDBETWEEN(8,12)/10</f>
        <v>1.6080000000000001E-2</v>
      </c>
      <c r="L29" s="4">
        <f ca="1">ROUND(T_Facebook_Ads[[#This Row],[reach]]*RANDBETWEEN(8,12)/10,0)</f>
        <v>44502</v>
      </c>
      <c r="M29" s="4">
        <f ca="1">T_Facebook_Ads[[#This Row],[frequency]]*RANDBETWEEN(8,12)/10</f>
        <v>1.0799999999999998</v>
      </c>
      <c r="O29" s="3">
        <f t="shared" ca="1" si="1"/>
        <v>45210</v>
      </c>
      <c r="P29" s="4" t="s">
        <v>76</v>
      </c>
      <c r="Q29" s="4" t="s">
        <v>77</v>
      </c>
      <c r="R29" s="4" t="s">
        <v>78</v>
      </c>
      <c r="S29" s="4" t="s">
        <v>79</v>
      </c>
      <c r="T29" s="4">
        <f ca="1">ROUND(_Google_ads[[#This Row],[impressions]]*RANDBETWEEN(8,12)/10,0)</f>
        <v>27146</v>
      </c>
      <c r="U29" s="4">
        <f ca="1">ROUND(_Google_ads[[#This Row],[clicks]]*RANDBETWEEN(8,12)/10,0)</f>
        <v>1289</v>
      </c>
      <c r="V29" s="4">
        <f ca="1">_Google_ads[[#This Row],[cost]]*RANDBETWEEN(8,12)/10</f>
        <v>295.08000000000004</v>
      </c>
      <c r="W29" s="4">
        <f ca="1">ROUND(_Google_ads[[#This Row],[conversions]]*RANDBETWEEN(8,12)/10,0)</f>
        <v>58</v>
      </c>
      <c r="X29" s="4">
        <f ca="1">ROUND(_Google_ads[[#This Row],[conversion_value]]*RANDBETWEEN(8,12)/10,0)</f>
        <v>1920</v>
      </c>
      <c r="Y29" s="4">
        <f ca="1">_Google_ads[[#This Row],[ctr]]*RANDBETWEEN(8,12)/10</f>
        <v>4.6980000000000008E-2</v>
      </c>
      <c r="Z29" s="4">
        <f ca="1">_Google_ads[[#This Row],[avg_cpc]]*RANDBETWEEN(8,12)/10</f>
        <v>0.22800000000000004</v>
      </c>
      <c r="AA29" s="4">
        <f ca="1">ROUND(_Google_ads[[#This Row],[quality_score]]*RANDBETWEEN(8,12)/10,0)</f>
        <v>9</v>
      </c>
      <c r="AB29" s="4">
        <f ca="1">_Google_ads[[#This Row],[search_impression_share]]*RANDBETWEEN(8,12)/10</f>
        <v>1.0009999999999999</v>
      </c>
      <c r="AD29" s="3">
        <f t="shared" ca="1" si="2"/>
        <v>45204</v>
      </c>
      <c r="AE29" s="4" t="s">
        <v>100</v>
      </c>
      <c r="AF29" s="4" t="s">
        <v>101</v>
      </c>
      <c r="AG29" s="4" t="s">
        <v>102</v>
      </c>
      <c r="AH29" s="4" t="s">
        <v>103</v>
      </c>
      <c r="AI29" s="4">
        <f ca="1">ROUND(T_Tiktok_ads[[#This Row],[impressions]]*RANDBETWEEN(8,12)/10,0)</f>
        <v>307481</v>
      </c>
      <c r="AJ29" s="4">
        <f ca="1">ROUND(T_Tiktok_ads[[#This Row],[clicks]]*RANDBETWEEN(8,12)/10,0)</f>
        <v>2961</v>
      </c>
      <c r="AK29" s="4">
        <v>490.5</v>
      </c>
      <c r="AL29" s="4">
        <f ca="1">ROUND(T_Tiktok_ads[[#This Row],[conversions]]*RANDBETWEEN(8,12)/10,0)</f>
        <v>38</v>
      </c>
      <c r="AM29" s="4">
        <f ca="1">ROUND(T_Tiktok_ads[[#This Row],[video_views]]*RANDBETWEEN(8,12)/10,0)</f>
        <v>167387</v>
      </c>
      <c r="AN29" s="4">
        <f ca="1">ROUND(T_Tiktok_ads[[#This Row],[video_watch_25]]*RANDBETWEEN(8,12)/10,0)</f>
        <v>147210</v>
      </c>
      <c r="AO29" s="4">
        <f ca="1">ROUND(T_Tiktok_ads[[#This Row],[video_watch_50]]*RANDBETWEEN(8,12)/10,0)</f>
        <v>102567</v>
      </c>
      <c r="AP29" s="4">
        <f ca="1">ROUND(T_Tiktok_ads[[#This Row],[video_watch_75]]*RANDBETWEEN(8,12)/10,0)</f>
        <v>62610</v>
      </c>
      <c r="AQ29" s="4">
        <f ca="1">ROUND(T_Tiktok_ads[[#This Row],[video_watch_100]]*RANDBETWEEN(8,12)/10,0)</f>
        <v>37254</v>
      </c>
      <c r="AR29" s="4">
        <f ca="1">ROUND(T_Tiktok_ads[[#This Row],[likes]]*RANDBETWEEN(8,12)/10,0)</f>
        <v>9123</v>
      </c>
      <c r="AS29" s="4">
        <f ca="1">ROUND(T_Tiktok_ads[[#This Row],[shares]]*RANDBETWEEN(8,12)/10,0)</f>
        <v>2423</v>
      </c>
      <c r="AT29" s="4">
        <f ca="1">ROUND(T_Tiktok_ads[[#This Row],[comments]]*RANDBETWEEN(8,12)/10,0)</f>
        <v>541</v>
      </c>
      <c r="AV29" s="5">
        <f t="shared" ca="1" si="3"/>
        <v>45221</v>
      </c>
      <c r="AW29">
        <f t="shared" ca="1" si="4"/>
        <v>7</v>
      </c>
      <c r="AX29">
        <f ca="1">ROUND(T_Facebook_Ads11596367717579838791[[#This Row],[impressions]]*RANDBETWEEN(8,12)/10,0)</f>
        <v>38854</v>
      </c>
      <c r="AY29">
        <f ca="1">ROUND(T_Facebook_Ads11596367717579838791[[#This Row],[clicks]]*RANDBETWEEN(8,12)/10,0)</f>
        <v>1174</v>
      </c>
      <c r="AZ29">
        <f ca="1">T_Facebook_Ads11596367717579838791[[#This Row],[spend]]*RANDBETWEEN(8,12)/10</f>
        <v>137.80000000000001</v>
      </c>
      <c r="BA29">
        <f ca="1">ROUND(T_Facebook_Ads11596367717579838791[[#This Row],[conversions]]*RANDBETWEEN(8,12)/10,0)</f>
        <v>9</v>
      </c>
      <c r="BB29">
        <f ca="1">ROUND(T_Facebook_Ads11596367717579838791[[#This Row],[video_views]]*RANDBETWEEN(8,12)/10,0)</f>
        <v>8945</v>
      </c>
    </row>
    <row r="30" spans="1:54" ht="15.75" thickBot="1" x14ac:dyDescent="0.3">
      <c r="A30" s="3">
        <f t="shared" ca="1" si="0"/>
        <v>45228</v>
      </c>
      <c r="B30" s="4" t="s">
        <v>56</v>
      </c>
      <c r="C30" s="4" t="s">
        <v>57</v>
      </c>
      <c r="D30" s="4" t="s">
        <v>58</v>
      </c>
      <c r="E30" s="4" t="s">
        <v>59</v>
      </c>
      <c r="F30" s="4">
        <f ca="1">ROUND(T_Facebook_Ads[[#This Row],[impressions]]*RANDBETWEEN(8,12)/10,0)</f>
        <v>15168</v>
      </c>
      <c r="G30" s="4">
        <v>645</v>
      </c>
      <c r="H30" s="4">
        <f ca="1">T_Facebook_Ads[[#This Row],[spend]]*RANDBETWEEN(8,12)/10</f>
        <v>217.07999999999998</v>
      </c>
      <c r="I30" s="4">
        <f ca="1">ROUND(T_Facebook_Ads[[#This Row],[conversions]]*RANDBETWEEN(8,12)/10,0)</f>
        <v>45</v>
      </c>
      <c r="J30" s="4">
        <f ca="1">ROUND(T_Facebook_Ads[[#This Row],[video_views]]*RANDBETWEEN(8,12)/10,0)</f>
        <v>1787</v>
      </c>
      <c r="K30" s="4">
        <f ca="1">T_Facebook_Ads[[#This Row],[engagement_rate]]*RANDBETWEEN(8,12)/10</f>
        <v>3.7440000000000001E-2</v>
      </c>
      <c r="L30" s="4">
        <f ca="1">ROUND(T_Facebook_Ads[[#This Row],[reach]]*RANDBETWEEN(8,12)/10,0)</f>
        <v>11868</v>
      </c>
      <c r="M30" s="4">
        <f ca="1">T_Facebook_Ads[[#This Row],[frequency]]*RANDBETWEEN(8,12)/10</f>
        <v>1.1519999999999999</v>
      </c>
      <c r="O30" s="3">
        <f t="shared" ca="1" si="1"/>
        <v>45216</v>
      </c>
      <c r="P30" s="4" t="s">
        <v>80</v>
      </c>
      <c r="Q30" s="4" t="s">
        <v>81</v>
      </c>
      <c r="R30" s="4" t="s">
        <v>82</v>
      </c>
      <c r="S30" s="4" t="s">
        <v>83</v>
      </c>
      <c r="T30" s="4">
        <f ca="1">ROUND(_Google_ads[[#This Row],[impressions]]*RANDBETWEEN(8,12)/10,0)</f>
        <v>40711</v>
      </c>
      <c r="U30" s="4">
        <f ca="1">ROUND(_Google_ads[[#This Row],[clicks]]*RANDBETWEEN(8,12)/10,0)</f>
        <v>811</v>
      </c>
      <c r="V30" s="4">
        <f ca="1">_Google_ads[[#This Row],[cost]]*RANDBETWEEN(8,12)/10</f>
        <v>694.68</v>
      </c>
      <c r="W30" s="4">
        <f ca="1">ROUND(_Google_ads[[#This Row],[conversions]]*RANDBETWEEN(8,12)/10,0)</f>
        <v>25</v>
      </c>
      <c r="X30" s="4">
        <f ca="1">ROUND(_Google_ads[[#This Row],[conversion_value]]*RANDBETWEEN(8,12)/10,0)</f>
        <v>1150</v>
      </c>
      <c r="Y30" s="4">
        <f ca="1">_Google_ads[[#This Row],[ctr]]*RANDBETWEEN(8,12)/10</f>
        <v>2.189E-2</v>
      </c>
      <c r="Z30" s="4">
        <f ca="1">_Google_ads[[#This Row],[avg_cpc]]*RANDBETWEEN(8,12)/10</f>
        <v>0.70399999999999996</v>
      </c>
      <c r="AA30" s="4">
        <f ca="1">ROUND(_Google_ads[[#This Row],[quality_score]]*RANDBETWEEN(8,12)/10,0)</f>
        <v>8</v>
      </c>
      <c r="AB30" s="4">
        <f ca="1">_Google_ads[[#This Row],[search_impression_share]]*RANDBETWEEN(8,12)/10</f>
        <v>0.54</v>
      </c>
      <c r="AD30" s="3">
        <f t="shared" ca="1" si="2"/>
        <v>45222</v>
      </c>
      <c r="AE30" s="4" t="s">
        <v>104</v>
      </c>
      <c r="AF30" s="4" t="s">
        <v>105</v>
      </c>
      <c r="AG30" s="4" t="s">
        <v>106</v>
      </c>
      <c r="AH30" s="4" t="s">
        <v>107</v>
      </c>
      <c r="AI30" s="4">
        <f ca="1">ROUND(T_Tiktok_ads[[#This Row],[impressions]]*RANDBETWEEN(8,12)/10,0)</f>
        <v>174814</v>
      </c>
      <c r="AJ30" s="4">
        <f ca="1">ROUND(T_Tiktok_ads[[#This Row],[clicks]]*RANDBETWEEN(8,12)/10,0)</f>
        <v>3347</v>
      </c>
      <c r="AK30" s="4">
        <v>756.7</v>
      </c>
      <c r="AL30" s="4">
        <f ca="1">ROUND(T_Tiktok_ads[[#This Row],[conversions]]*RANDBETWEEN(8,12)/10,0)</f>
        <v>61</v>
      </c>
      <c r="AM30" s="4">
        <f ca="1">ROUND(T_Tiktok_ads[[#This Row],[video_views]]*RANDBETWEEN(8,12)/10,0)</f>
        <v>111357</v>
      </c>
      <c r="AN30" s="4">
        <f ca="1">ROUND(T_Tiktok_ads[[#This Row],[video_watch_25]]*RANDBETWEEN(8,12)/10,0)</f>
        <v>74567</v>
      </c>
      <c r="AO30" s="4">
        <f ca="1">ROUND(T_Tiktok_ads[[#This Row],[video_watch_50]]*RANDBETWEEN(8,12)/10,0)</f>
        <v>55257</v>
      </c>
      <c r="AP30" s="4">
        <f ca="1">ROUND(T_Tiktok_ads[[#This Row],[video_watch_75]]*RANDBETWEEN(8,12)/10,0)</f>
        <v>45468</v>
      </c>
      <c r="AQ30" s="4">
        <f ca="1">ROUND(T_Tiktok_ads[[#This Row],[video_watch_100]]*RANDBETWEEN(8,12)/10,0)</f>
        <v>20187</v>
      </c>
      <c r="AR30" s="4">
        <f ca="1">ROUND(T_Tiktok_ads[[#This Row],[likes]]*RANDBETWEEN(8,12)/10,0)</f>
        <v>4010</v>
      </c>
      <c r="AS30" s="4">
        <f ca="1">ROUND(T_Tiktok_ads[[#This Row],[shares]]*RANDBETWEEN(8,12)/10,0)</f>
        <v>1423</v>
      </c>
      <c r="AT30" s="4">
        <f ca="1">ROUND(T_Tiktok_ads[[#This Row],[comments]]*RANDBETWEEN(8,12)/10,0)</f>
        <v>240</v>
      </c>
      <c r="AV30" s="5">
        <f t="shared" ca="1" si="3"/>
        <v>45211</v>
      </c>
      <c r="AW30">
        <f t="shared" ca="1" si="4"/>
        <v>8</v>
      </c>
      <c r="AX30">
        <f ca="1">ROUND(T_Facebook_Ads11596367717579838791[[#This Row],[impressions]]*RANDBETWEEN(8,12)/10,0)</f>
        <v>13651</v>
      </c>
      <c r="AY30">
        <f ca="1">ROUND(T_Facebook_Ads11596367717579838791[[#This Row],[clicks]]*RANDBETWEEN(8,12)/10,0)</f>
        <v>645</v>
      </c>
      <c r="AZ30">
        <f ca="1">T_Facebook_Ads11596367717579838791[[#This Row],[spend]]*RANDBETWEEN(8,12)/10</f>
        <v>238.78799999999995</v>
      </c>
      <c r="BA30">
        <f ca="1">ROUND(T_Facebook_Ads11596367717579838791[[#This Row],[conversions]]*RANDBETWEEN(8,12)/10,0)</f>
        <v>45</v>
      </c>
      <c r="BB30">
        <f ca="1">ROUND(T_Facebook_Ads11596367717579838791[[#This Row],[video_views]]*RANDBETWEEN(8,12)/10,0)</f>
        <v>1430</v>
      </c>
    </row>
    <row r="31" spans="1:54" ht="15.75" thickBot="1" x14ac:dyDescent="0.3">
      <c r="A31" s="3">
        <f t="shared" ca="1" si="0"/>
        <v>45226</v>
      </c>
      <c r="B31" s="4" t="s">
        <v>60</v>
      </c>
      <c r="C31" s="4" t="s">
        <v>61</v>
      </c>
      <c r="D31" s="4" t="s">
        <v>62</v>
      </c>
      <c r="E31" s="4" t="s">
        <v>63</v>
      </c>
      <c r="F31" s="4">
        <f ca="1">ROUND(T_Facebook_Ads[[#This Row],[impressions]]*RANDBETWEEN(8,12)/10,0)</f>
        <v>34610</v>
      </c>
      <c r="G31" s="4">
        <v>1423</v>
      </c>
      <c r="H31" s="4">
        <f ca="1">T_Facebook_Ads[[#This Row],[spend]]*RANDBETWEEN(8,12)/10</f>
        <v>239.25</v>
      </c>
      <c r="I31" s="4">
        <f ca="1">ROUND(T_Facebook_Ads[[#This Row],[conversions]]*RANDBETWEEN(8,12)/10,0)</f>
        <v>35</v>
      </c>
      <c r="J31" s="4">
        <f ca="1">ROUND(T_Facebook_Ads[[#This Row],[video_views]]*RANDBETWEEN(8,12)/10,0)</f>
        <v>4611</v>
      </c>
      <c r="K31" s="4">
        <f ca="1">T_Facebook_Ads[[#This Row],[engagement_rate]]*RANDBETWEEN(8,12)/10</f>
        <v>3.3299999999999996E-2</v>
      </c>
      <c r="L31" s="4">
        <f ca="1">ROUND(T_Facebook_Ads[[#This Row],[reach]]*RANDBETWEEN(8,12)/10,0)</f>
        <v>31234</v>
      </c>
      <c r="M31" s="4">
        <f ca="1">T_Facebook_Ads[[#This Row],[frequency]]*RANDBETWEEN(8,12)/10</f>
        <v>1.353</v>
      </c>
      <c r="O31" s="3">
        <f t="shared" ca="1" si="1"/>
        <v>45209</v>
      </c>
      <c r="P31" s="4" t="s">
        <v>84</v>
      </c>
      <c r="Q31" s="4" t="s">
        <v>85</v>
      </c>
      <c r="R31" s="4" t="s">
        <v>86</v>
      </c>
      <c r="S31" s="4" t="s">
        <v>87</v>
      </c>
      <c r="T31" s="4">
        <f ca="1">ROUND(_Google_ads[[#This Row],[impressions]]*RANDBETWEEN(8,12)/10,0)</f>
        <v>82681</v>
      </c>
      <c r="U31" s="4">
        <f ca="1">ROUND(_Google_ads[[#This Row],[clicks]]*RANDBETWEEN(8,12)/10,0)</f>
        <v>2720</v>
      </c>
      <c r="V31" s="4">
        <f ca="1">_Google_ads[[#This Row],[cost]]*RANDBETWEEN(8,12)/10</f>
        <v>455.62</v>
      </c>
      <c r="W31" s="4">
        <f ca="1">ROUND(_Google_ads[[#This Row],[conversions]]*RANDBETWEEN(8,12)/10,0)</f>
        <v>51</v>
      </c>
      <c r="X31" s="4">
        <f ca="1">ROUND(_Google_ads[[#This Row],[conversion_value]]*RANDBETWEEN(8,12)/10,0)</f>
        <v>3520</v>
      </c>
      <c r="Y31" s="4">
        <f ca="1">_Google_ads[[#This Row],[ctr]]*RANDBETWEEN(8,12)/10</f>
        <v>2.632E-2</v>
      </c>
      <c r="Z31" s="4">
        <f ca="1">_Google_ads[[#This Row],[avg_cpc]]*RANDBETWEEN(8,12)/10</f>
        <v>0.18</v>
      </c>
      <c r="AA31" s="4">
        <f ca="1">ROUND(_Google_ads[[#This Row],[quality_score]]*RANDBETWEEN(8,12)/10,0)</f>
        <v>8</v>
      </c>
      <c r="AB31" s="4">
        <f ca="1">_Google_ads[[#This Row],[search_impression_share]]*RANDBETWEEN(8,12)/10</f>
        <v>0.53600000000000003</v>
      </c>
      <c r="AD31" s="3">
        <f t="shared" ca="1" si="2"/>
        <v>45210</v>
      </c>
      <c r="AE31" s="4" t="s">
        <v>108</v>
      </c>
      <c r="AF31" s="4" t="s">
        <v>109</v>
      </c>
      <c r="AG31" s="4" t="s">
        <v>110</v>
      </c>
      <c r="AH31" s="4" t="s">
        <v>111</v>
      </c>
      <c r="AI31" s="4">
        <f ca="1">ROUND(T_Tiktok_ads[[#This Row],[impressions]]*RANDBETWEEN(8,12)/10,0)</f>
        <v>268147</v>
      </c>
      <c r="AJ31" s="4">
        <f ca="1">ROUND(T_Tiktok_ads[[#This Row],[clicks]]*RANDBETWEEN(8,12)/10,0)</f>
        <v>3210</v>
      </c>
      <c r="AK31" s="4">
        <v>427.7</v>
      </c>
      <c r="AL31" s="4">
        <f ca="1">ROUND(T_Tiktok_ads[[#This Row],[conversions]]*RANDBETWEEN(8,12)/10,0)</f>
        <v>33</v>
      </c>
      <c r="AM31" s="4">
        <f ca="1">ROUND(T_Tiktok_ads[[#This Row],[video_views]]*RANDBETWEEN(8,12)/10,0)</f>
        <v>178901</v>
      </c>
      <c r="AN31" s="4">
        <f ca="1">ROUND(T_Tiktok_ads[[#This Row],[video_watch_25]]*RANDBETWEEN(8,12)/10,0)</f>
        <v>108187</v>
      </c>
      <c r="AO31" s="4">
        <f ca="1">ROUND(T_Tiktok_ads[[#This Row],[video_watch_50]]*RANDBETWEEN(8,12)/10,0)</f>
        <v>96110</v>
      </c>
      <c r="AP31" s="4">
        <f ca="1">ROUND(T_Tiktok_ads[[#This Row],[video_watch_75]]*RANDBETWEEN(8,12)/10,0)</f>
        <v>83081</v>
      </c>
      <c r="AQ31" s="4">
        <f ca="1">ROUND(T_Tiktok_ads[[#This Row],[video_watch_100]]*RANDBETWEEN(8,12)/10,0)</f>
        <v>37610</v>
      </c>
      <c r="AR31" s="4">
        <f ca="1">ROUND(T_Tiktok_ads[[#This Row],[likes]]*RANDBETWEEN(8,12)/10,0)</f>
        <v>8234</v>
      </c>
      <c r="AS31" s="4">
        <f ca="1">ROUND(T_Tiktok_ads[[#This Row],[shares]]*RANDBETWEEN(8,12)/10,0)</f>
        <v>2720</v>
      </c>
      <c r="AT31" s="4">
        <f ca="1">ROUND(T_Tiktok_ads[[#This Row],[comments]]*RANDBETWEEN(8,12)/10,0)</f>
        <v>587</v>
      </c>
      <c r="AV31" s="5">
        <f t="shared" ca="1" si="3"/>
        <v>45209</v>
      </c>
      <c r="AW31">
        <f t="shared" ca="1" si="4"/>
        <v>3</v>
      </c>
      <c r="AX31">
        <f ca="1">ROUND(T_Facebook_Ads11596367717579838791[[#This Row],[impressions]]*RANDBETWEEN(8,12)/10,0)</f>
        <v>31149</v>
      </c>
      <c r="AY31">
        <f ca="1">ROUND(T_Facebook_Ads11596367717579838791[[#This Row],[clicks]]*RANDBETWEEN(8,12)/10,0)</f>
        <v>1423</v>
      </c>
      <c r="AZ31">
        <f ca="1">T_Facebook_Ads11596367717579838791[[#This Row],[spend]]*RANDBETWEEN(8,12)/10</f>
        <v>287.10000000000002</v>
      </c>
      <c r="BA31">
        <f ca="1">ROUND(T_Facebook_Ads11596367717579838791[[#This Row],[conversions]]*RANDBETWEEN(8,12)/10,0)</f>
        <v>42</v>
      </c>
      <c r="BB31">
        <f ca="1">ROUND(T_Facebook_Ads11596367717579838791[[#This Row],[video_views]]*RANDBETWEEN(8,12)/10,0)</f>
        <v>5072</v>
      </c>
    </row>
    <row r="32" spans="1:54" ht="15.75" thickBot="1" x14ac:dyDescent="0.3">
      <c r="A32" s="3">
        <f t="shared" ca="1" si="0"/>
        <v>45205</v>
      </c>
      <c r="B32" s="4" t="s">
        <v>52</v>
      </c>
      <c r="C32" s="4" t="s">
        <v>53</v>
      </c>
      <c r="D32" s="4" t="s">
        <v>54</v>
      </c>
      <c r="E32" s="4" t="s">
        <v>55</v>
      </c>
      <c r="F32" s="4">
        <f ca="1">ROUND(T_Facebook_Ads[[#This Row],[impressions]]*RANDBETWEEN(8,12)/10,0)</f>
        <v>57335</v>
      </c>
      <c r="G32" s="4">
        <v>1089</v>
      </c>
      <c r="H32" s="4">
        <f ca="1">T_Facebook_Ads[[#This Row],[spend]]*RANDBETWEEN(8,12)/10</f>
        <v>163.45999999999998</v>
      </c>
      <c r="I32" s="4">
        <f ca="1">ROUND(T_Facebook_Ads[[#This Row],[conversions]]*RANDBETWEEN(8,12)/10,0)</f>
        <v>15</v>
      </c>
      <c r="J32" s="4">
        <f ca="1">ROUND(T_Facebook_Ads[[#This Row],[video_views]]*RANDBETWEEN(8,12)/10,0)</f>
        <v>8610</v>
      </c>
      <c r="K32" s="4">
        <f ca="1">T_Facebook_Ads[[#This Row],[engagement_rate]]*RANDBETWEEN(8,12)/10</f>
        <v>2.299E-2</v>
      </c>
      <c r="L32" s="4">
        <f ca="1">ROUND(T_Facebook_Ads[[#This Row],[reach]]*RANDBETWEEN(8,12)/10,0)</f>
        <v>43234</v>
      </c>
      <c r="M32" s="4">
        <f ca="1">T_Facebook_Ads[[#This Row],[frequency]]*RANDBETWEEN(8,12)/10</f>
        <v>0.96799999999999997</v>
      </c>
      <c r="O32" s="3">
        <f t="shared" ca="1" si="1"/>
        <v>45215</v>
      </c>
      <c r="P32" s="4" t="s">
        <v>76</v>
      </c>
      <c r="Q32" s="4" t="s">
        <v>77</v>
      </c>
      <c r="R32" s="4" t="s">
        <v>78</v>
      </c>
      <c r="S32" s="4" t="s">
        <v>79</v>
      </c>
      <c r="T32" s="4">
        <f ca="1">ROUND(_Google_ads[[#This Row],[impressions]]*RANDBETWEEN(8,12)/10,0)</f>
        <v>23611</v>
      </c>
      <c r="U32" s="4">
        <f ca="1">ROUND(_Google_ads[[#This Row],[clicks]]*RANDBETWEEN(8,12)/10,0)</f>
        <v>1654</v>
      </c>
      <c r="V32" s="4">
        <f ca="1">_Google_ads[[#This Row],[cost]]*RANDBETWEEN(8,12)/10</f>
        <v>210.71999999999997</v>
      </c>
      <c r="W32" s="4">
        <f ca="1">ROUND(_Google_ads[[#This Row],[conversions]]*RANDBETWEEN(8,12)/10,0)</f>
        <v>57</v>
      </c>
      <c r="X32" s="4">
        <f ca="1">ROUND(_Google_ads[[#This Row],[conversion_value]]*RANDBETWEEN(8,12)/10,0)</f>
        <v>3120</v>
      </c>
      <c r="Y32" s="4">
        <f ca="1">_Google_ads[[#This Row],[ctr]]*RANDBETWEEN(8,12)/10</f>
        <v>5.7750000000000003E-2</v>
      </c>
      <c r="Z32" s="4">
        <f ca="1">_Google_ads[[#This Row],[avg_cpc]]*RANDBETWEEN(8,12)/10</f>
        <v>0.152</v>
      </c>
      <c r="AA32" s="4">
        <f ca="1">ROUND(_Google_ads[[#This Row],[quality_score]]*RANDBETWEEN(8,12)/10,0)</f>
        <v>8</v>
      </c>
      <c r="AB32" s="4">
        <f ca="1">_Google_ads[[#This Row],[search_impression_share]]*RANDBETWEEN(8,12)/10</f>
        <v>1.1040000000000001</v>
      </c>
      <c r="AD32" s="3">
        <f t="shared" ca="1" si="2"/>
        <v>45207</v>
      </c>
      <c r="AE32" s="4" t="s">
        <v>100</v>
      </c>
      <c r="AF32" s="4" t="s">
        <v>101</v>
      </c>
      <c r="AG32" s="4" t="s">
        <v>102</v>
      </c>
      <c r="AH32" s="4" t="s">
        <v>103</v>
      </c>
      <c r="AI32" s="4">
        <f ca="1">ROUND(T_Tiktok_ads[[#This Row],[impressions]]*RANDBETWEEN(8,12)/10,0)</f>
        <v>306791</v>
      </c>
      <c r="AJ32" s="4">
        <f ca="1">ROUND(T_Tiktok_ads[[#This Row],[clicks]]*RANDBETWEEN(8,12)/10,0)</f>
        <v>3298</v>
      </c>
      <c r="AK32" s="4">
        <v>523.6</v>
      </c>
      <c r="AL32" s="4">
        <f ca="1">ROUND(T_Tiktok_ads[[#This Row],[conversions]]*RANDBETWEEN(8,12)/10,0)</f>
        <v>34</v>
      </c>
      <c r="AM32" s="4">
        <f ca="1">ROUND(T_Tiktok_ads[[#This Row],[video_views]]*RANDBETWEEN(8,12)/10,0)</f>
        <v>234567</v>
      </c>
      <c r="AN32" s="4">
        <f ca="1">ROUND(T_Tiktok_ads[[#This Row],[video_watch_25]]*RANDBETWEEN(8,12)/10,0)</f>
        <v>182345</v>
      </c>
      <c r="AO32" s="4">
        <f ca="1">ROUND(T_Tiktok_ads[[#This Row],[video_watch_50]]*RANDBETWEEN(8,12)/10,0)</f>
        <v>103110</v>
      </c>
      <c r="AP32" s="4">
        <f ca="1">ROUND(T_Tiktok_ads[[#This Row],[video_watch_75]]*RANDBETWEEN(8,12)/10,0)</f>
        <v>69511</v>
      </c>
      <c r="AQ32" s="4">
        <f ca="1">ROUND(T_Tiktok_ads[[#This Row],[video_watch_100]]*RANDBETWEEN(8,12)/10,0)</f>
        <v>51234</v>
      </c>
      <c r="AR32" s="4">
        <f ca="1">ROUND(T_Tiktok_ads[[#This Row],[likes]]*RANDBETWEEN(8,12)/10,0)</f>
        <v>9311</v>
      </c>
      <c r="AS32" s="4">
        <f ca="1">ROUND(T_Tiktok_ads[[#This Row],[shares]]*RANDBETWEEN(8,12)/10,0)</f>
        <v>2789</v>
      </c>
      <c r="AT32" s="4">
        <f ca="1">ROUND(T_Tiktok_ads[[#This Row],[comments]]*RANDBETWEEN(8,12)/10,0)</f>
        <v>590</v>
      </c>
      <c r="AV32" s="5">
        <f t="shared" ca="1" si="3"/>
        <v>45214</v>
      </c>
      <c r="AW32">
        <f t="shared" ca="1" si="4"/>
        <v>7</v>
      </c>
      <c r="AX32">
        <f ca="1">ROUND(T_Facebook_Ads11596367717579838791[[#This Row],[impressions]]*RANDBETWEEN(8,12)/10,0)</f>
        <v>63069</v>
      </c>
      <c r="AY32">
        <f ca="1">ROUND(T_Facebook_Ads11596367717579838791[[#This Row],[clicks]]*RANDBETWEEN(8,12)/10,0)</f>
        <v>871</v>
      </c>
      <c r="AZ32">
        <f ca="1">T_Facebook_Ads11596367717579838791[[#This Row],[spend]]*RANDBETWEEN(8,12)/10</f>
        <v>179.80599999999998</v>
      </c>
      <c r="BA32">
        <f ca="1">ROUND(T_Facebook_Ads11596367717579838791[[#This Row],[conversions]]*RANDBETWEEN(8,12)/10,0)</f>
        <v>15</v>
      </c>
      <c r="BB32">
        <f ca="1">ROUND(T_Facebook_Ads11596367717579838791[[#This Row],[video_views]]*RANDBETWEEN(8,12)/10,0)</f>
        <v>7749</v>
      </c>
    </row>
    <row r="33" spans="1:54" ht="15.75" thickBot="1" x14ac:dyDescent="0.3">
      <c r="A33" s="3">
        <f t="shared" ca="1" si="0"/>
        <v>45215</v>
      </c>
      <c r="B33" s="4" t="s">
        <v>56</v>
      </c>
      <c r="C33" s="4" t="s">
        <v>57</v>
      </c>
      <c r="D33" s="4" t="s">
        <v>58</v>
      </c>
      <c r="E33" s="4" t="s">
        <v>59</v>
      </c>
      <c r="F33" s="4">
        <f ca="1">ROUND(T_Facebook_Ads[[#This Row],[impressions]]*RANDBETWEEN(8,12)/10,0)</f>
        <v>17480</v>
      </c>
      <c r="G33" s="4">
        <v>723</v>
      </c>
      <c r="H33" s="4">
        <f ca="1">T_Facebook_Ads[[#This Row],[spend]]*RANDBETWEEN(8,12)/10</f>
        <v>307.67999999999995</v>
      </c>
      <c r="I33" s="4">
        <f ca="1">ROUND(T_Facebook_Ads[[#This Row],[conversions]]*RANDBETWEEN(8,12)/10,0)</f>
        <v>35</v>
      </c>
      <c r="J33" s="4">
        <f ca="1">ROUND(T_Facebook_Ads[[#This Row],[video_views]]*RANDBETWEEN(8,12)/10,0)</f>
        <v>1773</v>
      </c>
      <c r="K33" s="4">
        <f ca="1">T_Facebook_Ads[[#This Row],[engagement_rate]]*RANDBETWEEN(8,12)/10</f>
        <v>4.4639999999999999E-2</v>
      </c>
      <c r="L33" s="4">
        <f ca="1">ROUND(T_Facebook_Ads[[#This Row],[reach]]*RANDBETWEEN(8,12)/10,0)</f>
        <v>13747</v>
      </c>
      <c r="M33" s="4">
        <f ca="1">T_Facebook_Ads[[#This Row],[frequency]]*RANDBETWEEN(8,12)/10</f>
        <v>1.016</v>
      </c>
      <c r="O33" s="3">
        <f t="shared" ca="1" si="1"/>
        <v>45228</v>
      </c>
      <c r="P33" s="4" t="s">
        <v>80</v>
      </c>
      <c r="Q33" s="4" t="s">
        <v>81</v>
      </c>
      <c r="R33" s="4" t="s">
        <v>82</v>
      </c>
      <c r="S33" s="4" t="s">
        <v>83</v>
      </c>
      <c r="T33" s="4">
        <f ca="1">ROUND(_Google_ads[[#This Row],[impressions]]*RANDBETWEEN(8,12)/10,0)</f>
        <v>43101</v>
      </c>
      <c r="U33" s="4">
        <f ca="1">ROUND(_Google_ads[[#This Row],[clicks]]*RANDBETWEEN(8,12)/10,0)</f>
        <v>1121</v>
      </c>
      <c r="V33" s="4">
        <f ca="1">_Google_ads[[#This Row],[cost]]*RANDBETWEEN(8,12)/10</f>
        <v>612.5</v>
      </c>
      <c r="W33" s="4">
        <f ca="1">ROUND(_Google_ads[[#This Row],[conversions]]*RANDBETWEEN(8,12)/10,0)</f>
        <v>29</v>
      </c>
      <c r="X33" s="4">
        <f ca="1">ROUND(_Google_ads[[#This Row],[conversion_value]]*RANDBETWEEN(8,12)/10,0)</f>
        <v>1170</v>
      </c>
      <c r="Y33" s="4">
        <f ca="1">_Google_ads[[#This Row],[ctr]]*RANDBETWEEN(8,12)/10</f>
        <v>1.95E-2</v>
      </c>
      <c r="Z33" s="4">
        <f ca="1">_Google_ads[[#This Row],[avg_cpc]]*RANDBETWEEN(8,12)/10</f>
        <v>0.72600000000000009</v>
      </c>
      <c r="AA33" s="4">
        <f ca="1">ROUND(_Google_ads[[#This Row],[quality_score]]*RANDBETWEEN(8,12)/10,0)</f>
        <v>6</v>
      </c>
      <c r="AB33" s="4">
        <f ca="1">_Google_ads[[#This Row],[search_impression_share]]*RANDBETWEEN(8,12)/10</f>
        <v>0.36799999999999999</v>
      </c>
      <c r="AD33" s="3">
        <f t="shared" ca="1" si="2"/>
        <v>45221</v>
      </c>
      <c r="AE33" s="4" t="s">
        <v>104</v>
      </c>
      <c r="AF33" s="4" t="s">
        <v>105</v>
      </c>
      <c r="AG33" s="4" t="s">
        <v>106</v>
      </c>
      <c r="AH33" s="4" t="s">
        <v>107</v>
      </c>
      <c r="AI33" s="4">
        <f ca="1">ROUND(T_Tiktok_ads[[#This Row],[impressions]]*RANDBETWEEN(8,12)/10,0)</f>
        <v>141110</v>
      </c>
      <c r="AJ33" s="4">
        <f ca="1">ROUND(T_Tiktok_ads[[#This Row],[clicks]]*RANDBETWEEN(8,12)/10,0)</f>
        <v>3313</v>
      </c>
      <c r="AK33" s="4">
        <v>812.3</v>
      </c>
      <c r="AL33" s="4">
        <f ca="1">ROUND(T_Tiktok_ads[[#This Row],[conversions]]*RANDBETWEEN(8,12)/10,0)</f>
        <v>66</v>
      </c>
      <c r="AM33" s="4">
        <f ca="1">ROUND(T_Tiktok_ads[[#This Row],[video_views]]*RANDBETWEEN(8,12)/10,0)</f>
        <v>131851</v>
      </c>
      <c r="AN33" s="4">
        <f ca="1">ROUND(T_Tiktok_ads[[#This Row],[video_watch_25]]*RANDBETWEEN(8,12)/10,0)</f>
        <v>73111</v>
      </c>
      <c r="AO33" s="4">
        <f ca="1">ROUND(T_Tiktok_ads[[#This Row],[video_watch_50]]*RANDBETWEEN(8,12)/10,0)</f>
        <v>65614</v>
      </c>
      <c r="AP33" s="4">
        <f ca="1">ROUND(T_Tiktok_ads[[#This Row],[video_watch_75]]*RANDBETWEEN(8,12)/10,0)</f>
        <v>37111</v>
      </c>
      <c r="AQ33" s="4">
        <f ca="1">ROUND(T_Tiktok_ads[[#This Row],[video_watch_100]]*RANDBETWEEN(8,12)/10,0)</f>
        <v>24810</v>
      </c>
      <c r="AR33" s="4">
        <f ca="1">ROUND(T_Tiktok_ads[[#This Row],[likes]]*RANDBETWEEN(8,12)/10,0)</f>
        <v>6547</v>
      </c>
      <c r="AS33" s="4">
        <f ca="1">ROUND(T_Tiktok_ads[[#This Row],[shares]]*RANDBETWEEN(8,12)/10,0)</f>
        <v>1567</v>
      </c>
      <c r="AT33" s="4">
        <f ca="1">ROUND(T_Tiktok_ads[[#This Row],[comments]]*RANDBETWEEN(8,12)/10,0)</f>
        <v>260</v>
      </c>
      <c r="AV33" s="5">
        <f t="shared" ca="1" si="3"/>
        <v>45218</v>
      </c>
      <c r="AW33">
        <f t="shared" ca="1" si="4"/>
        <v>2</v>
      </c>
      <c r="AX33">
        <f ca="1">ROUND(T_Facebook_Ads11596367717579838791[[#This Row],[impressions]]*RANDBETWEEN(8,12)/10,0)</f>
        <v>17480</v>
      </c>
      <c r="AY33">
        <f ca="1">ROUND(T_Facebook_Ads11596367717579838791[[#This Row],[clicks]]*RANDBETWEEN(8,12)/10,0)</f>
        <v>723</v>
      </c>
      <c r="AZ33">
        <f ca="1">T_Facebook_Ads11596367717579838791[[#This Row],[spend]]*RANDBETWEEN(8,12)/10</f>
        <v>246.14399999999995</v>
      </c>
      <c r="BA33">
        <f ca="1">ROUND(T_Facebook_Ads11596367717579838791[[#This Row],[conversions]]*RANDBETWEEN(8,12)/10,0)</f>
        <v>28</v>
      </c>
      <c r="BB33">
        <f ca="1">ROUND(T_Facebook_Ads11596367717579838791[[#This Row],[video_views]]*RANDBETWEEN(8,12)/10,0)</f>
        <v>1418</v>
      </c>
    </row>
    <row r="34" spans="1:54" ht="15.75" thickBot="1" x14ac:dyDescent="0.3">
      <c r="A34" s="3">
        <f t="shared" ref="A34:A65" ca="1" si="5">DATE(2023,10,RANDBETWEEN(1,31))</f>
        <v>45230</v>
      </c>
      <c r="B34" s="4" t="s">
        <v>60</v>
      </c>
      <c r="C34" s="4" t="s">
        <v>61</v>
      </c>
      <c r="D34" s="4" t="s">
        <v>62</v>
      </c>
      <c r="E34" s="4" t="s">
        <v>63</v>
      </c>
      <c r="F34" s="4">
        <f ca="1">ROUND(T_Facebook_Ads[[#This Row],[impressions]]*RANDBETWEEN(8,12)/10,0)</f>
        <v>47747</v>
      </c>
      <c r="G34" s="4">
        <v>1534</v>
      </c>
      <c r="H34" s="4">
        <f ca="1">T_Facebook_Ads[[#This Row],[spend]]*RANDBETWEEN(8,12)/10</f>
        <v>270.96000000000004</v>
      </c>
      <c r="I34" s="4">
        <f ca="1">ROUND(T_Facebook_Ads[[#This Row],[conversions]]*RANDBETWEEN(8,12)/10,0)</f>
        <v>25</v>
      </c>
      <c r="J34" s="4">
        <f ca="1">ROUND(T_Facebook_Ads[[#This Row],[video_views]]*RANDBETWEEN(8,12)/10,0)</f>
        <v>6002</v>
      </c>
      <c r="K34" s="4">
        <f ca="1">T_Facebook_Ads[[#This Row],[engagement_rate]]*RANDBETWEEN(8,12)/10</f>
        <v>4.6320000000000007E-2</v>
      </c>
      <c r="L34" s="4">
        <f ca="1">ROUND(T_Facebook_Ads[[#This Row],[reach]]*RANDBETWEEN(8,12)/10,0)</f>
        <v>32567</v>
      </c>
      <c r="M34" s="4">
        <f ca="1">T_Facebook_Ads[[#This Row],[frequency]]*RANDBETWEEN(8,12)/10</f>
        <v>1.3420000000000001</v>
      </c>
      <c r="O34" s="3">
        <f t="shared" ref="O34:O65" ca="1" si="6">DATE(2023,10,RANDBETWEEN(1,31))</f>
        <v>45213</v>
      </c>
      <c r="P34" s="4" t="s">
        <v>84</v>
      </c>
      <c r="Q34" s="4" t="s">
        <v>85</v>
      </c>
      <c r="R34" s="4" t="s">
        <v>86</v>
      </c>
      <c r="S34" s="4" t="s">
        <v>87</v>
      </c>
      <c r="T34" s="4">
        <f ca="1">ROUND(_Google_ads[[#This Row],[impressions]]*RANDBETWEEN(8,12)/10,0)</f>
        <v>85481</v>
      </c>
      <c r="U34" s="4">
        <f ca="1">ROUND(_Google_ads[[#This Row],[clicks]]*RANDBETWEEN(8,12)/10,0)</f>
        <v>2947</v>
      </c>
      <c r="V34" s="4">
        <f ca="1">_Google_ads[[#This Row],[cost]]*RANDBETWEEN(8,12)/10</f>
        <v>534.96</v>
      </c>
      <c r="W34" s="4">
        <f ca="1">ROUND(_Google_ads[[#This Row],[conversions]]*RANDBETWEEN(8,12)/10,0)</f>
        <v>85</v>
      </c>
      <c r="X34" s="4">
        <f ca="1">ROUND(_Google_ads[[#This Row],[conversion_value]]*RANDBETWEEN(8,12)/10,0)</f>
        <v>4260</v>
      </c>
      <c r="Y34" s="4">
        <f ca="1">_Google_ads[[#This Row],[ctr]]*RANDBETWEEN(8,12)/10</f>
        <v>3.7950000000000005E-2</v>
      </c>
      <c r="Z34" s="4">
        <f ca="1">_Google_ads[[#This Row],[avg_cpc]]*RANDBETWEEN(8,12)/10</f>
        <v>0.19800000000000001</v>
      </c>
      <c r="AA34" s="4">
        <f ca="1">ROUND(_Google_ads[[#This Row],[quality_score]]*RANDBETWEEN(8,12)/10,0)</f>
        <v>7</v>
      </c>
      <c r="AB34" s="4">
        <f ca="1">_Google_ads[[#This Row],[search_impression_share]]*RANDBETWEEN(8,12)/10</f>
        <v>0.68</v>
      </c>
      <c r="AD34" s="3">
        <f t="shared" ref="AD34:AD65" ca="1" si="7">DATE(2023,10,RANDBETWEEN(1,31))</f>
        <v>45222</v>
      </c>
      <c r="AE34" s="4" t="s">
        <v>108</v>
      </c>
      <c r="AF34" s="4" t="s">
        <v>109</v>
      </c>
      <c r="AG34" s="4" t="s">
        <v>110</v>
      </c>
      <c r="AH34" s="4" t="s">
        <v>111</v>
      </c>
      <c r="AI34" s="4">
        <f ca="1">ROUND(T_Tiktok_ads[[#This Row],[impressions]]*RANDBETWEEN(8,12)/10,0)</f>
        <v>281480</v>
      </c>
      <c r="AJ34" s="4">
        <f ca="1">ROUND(T_Tiktok_ads[[#This Row],[clicks]]*RANDBETWEEN(8,12)/10,0)</f>
        <v>3789</v>
      </c>
      <c r="AK34" s="4">
        <v>456.8</v>
      </c>
      <c r="AL34" s="4">
        <f ca="1">ROUND(T_Tiktok_ads[[#This Row],[conversions]]*RANDBETWEEN(8,12)/10,0)</f>
        <v>40</v>
      </c>
      <c r="AM34" s="4">
        <f ca="1">ROUND(T_Tiktok_ads[[#This Row],[video_views]]*RANDBETWEEN(8,12)/10,0)</f>
        <v>227081</v>
      </c>
      <c r="AN34" s="4">
        <f ca="1">ROUND(T_Tiktok_ads[[#This Row],[video_watch_25]]*RANDBETWEEN(8,12)/10,0)</f>
        <v>129210</v>
      </c>
      <c r="AO34" s="4">
        <f ca="1">ROUND(T_Tiktok_ads[[#This Row],[video_watch_50]]*RANDBETWEEN(8,12)/10,0)</f>
        <v>102110</v>
      </c>
      <c r="AP34" s="4">
        <f ca="1">ROUND(T_Tiktok_ads[[#This Row],[video_watch_75]]*RANDBETWEEN(8,12)/10,0)</f>
        <v>80802</v>
      </c>
      <c r="AQ34" s="4">
        <f ca="1">ROUND(T_Tiktok_ads[[#This Row],[video_watch_100]]*RANDBETWEEN(8,12)/10,0)</f>
        <v>53480</v>
      </c>
      <c r="AR34" s="4">
        <f ca="1">ROUND(T_Tiktok_ads[[#This Row],[likes]]*RANDBETWEEN(8,12)/10,0)</f>
        <v>8789</v>
      </c>
      <c r="AS34" s="4">
        <f ca="1">ROUND(T_Tiktok_ads[[#This Row],[shares]]*RANDBETWEEN(8,12)/10,0)</f>
        <v>2191</v>
      </c>
      <c r="AT34" s="4">
        <f ca="1">ROUND(T_Tiktok_ads[[#This Row],[comments]]*RANDBETWEEN(8,12)/10,0)</f>
        <v>680</v>
      </c>
      <c r="AV34" s="5">
        <f t="shared" ref="AV34:AV65" ca="1" si="8">DATE(2023,10,RANDBETWEEN(1,31))</f>
        <v>45225</v>
      </c>
      <c r="AW34">
        <f t="shared" ca="1" si="4"/>
        <v>2</v>
      </c>
      <c r="AX34">
        <f ca="1">ROUND(T_Facebook_Ads11596367717579838791[[#This Row],[impressions]]*RANDBETWEEN(8,12)/10,0)</f>
        <v>38198</v>
      </c>
      <c r="AY34">
        <f ca="1">ROUND(T_Facebook_Ads11596367717579838791[[#This Row],[clicks]]*RANDBETWEEN(8,12)/10,0)</f>
        <v>1534</v>
      </c>
      <c r="AZ34">
        <f ca="1">T_Facebook_Ads11596367717579838791[[#This Row],[spend]]*RANDBETWEEN(8,12)/10</f>
        <v>216.76800000000003</v>
      </c>
      <c r="BA34">
        <f ca="1">ROUND(T_Facebook_Ads11596367717579838791[[#This Row],[conversions]]*RANDBETWEEN(8,12)/10,0)</f>
        <v>28</v>
      </c>
      <c r="BB34">
        <f ca="1">ROUND(T_Facebook_Ads11596367717579838791[[#This Row],[video_views]]*RANDBETWEEN(8,12)/10,0)</f>
        <v>5402</v>
      </c>
    </row>
    <row r="35" spans="1:54" ht="15.75" thickBot="1" x14ac:dyDescent="0.3">
      <c r="A35" s="3">
        <f t="shared" ca="1" si="5"/>
        <v>45203</v>
      </c>
      <c r="B35" s="4" t="s">
        <v>64</v>
      </c>
      <c r="C35" s="4" t="s">
        <v>65</v>
      </c>
      <c r="D35" s="4" t="s">
        <v>66</v>
      </c>
      <c r="E35" s="4" t="s">
        <v>67</v>
      </c>
      <c r="F35" s="4">
        <f ca="1">ROUND(T_Facebook_Ads[[#This Row],[impressions]]*RANDBETWEEN(8,12)/10,0)</f>
        <v>76234</v>
      </c>
      <c r="G35" s="4">
        <v>278</v>
      </c>
      <c r="H35" s="4">
        <f ca="1">T_Facebook_Ads[[#This Row],[spend]]*RANDBETWEEN(8,12)/10</f>
        <v>111.65</v>
      </c>
      <c r="I35" s="4">
        <f ca="1">ROUND(T_Facebook_Ads[[#This Row],[conversions]]*RANDBETWEEN(8,12)/10,0)</f>
        <v>10</v>
      </c>
      <c r="J35" s="4">
        <f ca="1">ROUND(T_Facebook_Ads[[#This Row],[video_views]]*RANDBETWEEN(8,12)/10,0)</f>
        <v>52345</v>
      </c>
      <c r="K35" s="4">
        <f ca="1">T_Facebook_Ads[[#This Row],[engagement_rate]]*RANDBETWEEN(8,12)/10</f>
        <v>3.3300000000000005E-3</v>
      </c>
      <c r="L35" s="4">
        <f ca="1">ROUND(T_Facebook_Ads[[#This Row],[reach]]*RANDBETWEEN(8,12)/10,0)</f>
        <v>68702</v>
      </c>
      <c r="M35" s="4">
        <f ca="1">T_Facebook_Ads[[#This Row],[frequency]]*RANDBETWEEN(8,12)/10</f>
        <v>0.97599999999999998</v>
      </c>
      <c r="O35" s="3">
        <f t="shared" ca="1" si="6"/>
        <v>45204</v>
      </c>
      <c r="P35" s="4" t="s">
        <v>88</v>
      </c>
      <c r="Q35" s="4" t="s">
        <v>89</v>
      </c>
      <c r="R35" s="4" t="s">
        <v>90</v>
      </c>
      <c r="S35" s="4" t="s">
        <v>59</v>
      </c>
      <c r="T35" s="4">
        <f ca="1">ROUND(_Google_ads[[#This Row],[impressions]]*RANDBETWEEN(8,12)/10,0)</f>
        <v>164147</v>
      </c>
      <c r="U35" s="4">
        <f ca="1">ROUND(_Google_ads[[#This Row],[clicks]]*RANDBETWEEN(8,12)/10,0)</f>
        <v>410</v>
      </c>
      <c r="V35" s="4">
        <f ca="1">_Google_ads[[#This Row],[cost]]*RANDBETWEEN(8,12)/10</f>
        <v>113.84</v>
      </c>
      <c r="W35" s="4">
        <f ca="1">ROUND(_Google_ads[[#This Row],[conversions]]*RANDBETWEEN(8,12)/10,0)</f>
        <v>17</v>
      </c>
      <c r="X35" s="4">
        <f ca="1">ROUND(_Google_ads[[#This Row],[conversion_value]]*RANDBETWEEN(8,12)/10,0)</f>
        <v>900</v>
      </c>
      <c r="Y35" s="4">
        <f ca="1">_Google_ads[[#This Row],[ctr]]*RANDBETWEEN(8,12)/10</f>
        <v>4.4400000000000004E-3</v>
      </c>
      <c r="Z35" s="4">
        <f ca="1">_Google_ads[[#This Row],[avg_cpc]]*RANDBETWEEN(8,12)/10</f>
        <v>0.28000000000000003</v>
      </c>
      <c r="AA35" s="4">
        <f ca="1">ROUND(_Google_ads[[#This Row],[quality_score]]*RANDBETWEEN(8,12)/10,0)</f>
        <v>8</v>
      </c>
      <c r="AB35" s="4">
        <f ca="1">_Google_ads[[#This Row],[search_impression_share]]*RANDBETWEEN(8,12)/10</f>
        <v>0.28799999999999998</v>
      </c>
      <c r="AD35" s="3">
        <f t="shared" ca="1" si="7"/>
        <v>45214</v>
      </c>
      <c r="AE35" s="4" t="s">
        <v>112</v>
      </c>
      <c r="AF35" s="4" t="s">
        <v>113</v>
      </c>
      <c r="AG35" s="4" t="s">
        <v>114</v>
      </c>
      <c r="AH35" s="4" t="s">
        <v>115</v>
      </c>
      <c r="AI35" s="4">
        <f ca="1">ROUND(T_Tiktok_ads[[#This Row],[impressions]]*RANDBETWEEN(8,12)/10,0)</f>
        <v>412345</v>
      </c>
      <c r="AJ35" s="4">
        <f ca="1">ROUND(T_Tiktok_ads[[#This Row],[clicks]]*RANDBETWEEN(8,12)/10,0)</f>
        <v>7468</v>
      </c>
      <c r="AK35" s="4">
        <v>1023.4</v>
      </c>
      <c r="AL35" s="4">
        <f ca="1">ROUND(T_Tiktok_ads[[#This Row],[conversions]]*RANDBETWEEN(8,12)/10,0)</f>
        <v>103</v>
      </c>
      <c r="AM35" s="4">
        <f ca="1">ROUND(T_Tiktok_ads[[#This Row],[video_views]]*RANDBETWEEN(8,12)/10,0)</f>
        <v>380246</v>
      </c>
      <c r="AN35" s="4">
        <f ca="1">ROUND(T_Tiktok_ads[[#This Row],[video_watch_25]]*RANDBETWEEN(8,12)/10,0)</f>
        <v>223121</v>
      </c>
      <c r="AO35" s="4">
        <f ca="1">ROUND(T_Tiktok_ads[[#This Row],[video_watch_50]]*RANDBETWEEN(8,12)/10,0)</f>
        <v>268147</v>
      </c>
      <c r="AP35" s="4">
        <f ca="1">ROUND(T_Tiktok_ads[[#This Row],[video_watch_75]]*RANDBETWEEN(8,12)/10,0)</f>
        <v>127387</v>
      </c>
      <c r="AQ35" s="4">
        <f ca="1">ROUND(T_Tiktok_ads[[#This Row],[video_watch_100]]*RANDBETWEEN(8,12)/10,0)</f>
        <v>126814</v>
      </c>
      <c r="AR35" s="4">
        <f ca="1">ROUND(T_Tiktok_ads[[#This Row],[likes]]*RANDBETWEEN(8,12)/10,0)</f>
        <v>16411</v>
      </c>
      <c r="AS35" s="4">
        <f ca="1">ROUND(T_Tiktok_ads[[#This Row],[shares]]*RANDBETWEEN(8,12)/10,0)</f>
        <v>5234</v>
      </c>
      <c r="AT35" s="4">
        <f ca="1">ROUND(T_Tiktok_ads[[#This Row],[comments]]*RANDBETWEEN(8,12)/10,0)</f>
        <v>1747</v>
      </c>
      <c r="AV35" s="5">
        <f t="shared" ca="1" si="8"/>
        <v>45208</v>
      </c>
      <c r="AW35">
        <f t="shared" ca="1" si="4"/>
        <v>5</v>
      </c>
      <c r="AX35">
        <f ca="1">ROUND(T_Facebook_Ads11596367717579838791[[#This Row],[impressions]]*RANDBETWEEN(8,12)/10,0)</f>
        <v>68611</v>
      </c>
      <c r="AY35">
        <f ca="1">ROUND(T_Facebook_Ads11596367717579838791[[#This Row],[clicks]]*RANDBETWEEN(8,12)/10,0)</f>
        <v>306</v>
      </c>
      <c r="AZ35">
        <f ca="1">T_Facebook_Ads11596367717579838791[[#This Row],[spend]]*RANDBETWEEN(8,12)/10</f>
        <v>100.485</v>
      </c>
      <c r="BA35">
        <f ca="1">ROUND(T_Facebook_Ads11596367717579838791[[#This Row],[conversions]]*RANDBETWEEN(8,12)/10,0)</f>
        <v>10</v>
      </c>
      <c r="BB35">
        <f ca="1">ROUND(T_Facebook_Ads11596367717579838791[[#This Row],[video_views]]*RANDBETWEEN(8,12)/10,0)</f>
        <v>47111</v>
      </c>
    </row>
    <row r="36" spans="1:54" ht="15.75" thickBot="1" x14ac:dyDescent="0.3">
      <c r="A36" s="3">
        <f t="shared" ca="1" si="5"/>
        <v>45212</v>
      </c>
      <c r="B36" s="4" t="s">
        <v>52</v>
      </c>
      <c r="C36" s="4" t="s">
        <v>53</v>
      </c>
      <c r="D36" s="4" t="s">
        <v>54</v>
      </c>
      <c r="E36" s="4" t="s">
        <v>55</v>
      </c>
      <c r="F36" s="4">
        <f ca="1">ROUND(T_Facebook_Ads[[#This Row],[impressions]]*RANDBETWEEN(8,12)/10,0)</f>
        <v>49234</v>
      </c>
      <c r="G36" s="4">
        <v>1012</v>
      </c>
      <c r="H36" s="4">
        <f ca="1">T_Facebook_Ads[[#This Row],[spend]]*RANDBETWEEN(8,12)/10</f>
        <v>126.27000000000001</v>
      </c>
      <c r="I36" s="4">
        <f ca="1">ROUND(T_Facebook_Ads[[#This Row],[conversions]]*RANDBETWEEN(8,12)/10,0)</f>
        <v>15</v>
      </c>
      <c r="J36" s="4">
        <f ca="1">ROUND(T_Facebook_Ads[[#This Row],[video_views]]*RANDBETWEEN(8,12)/10,0)</f>
        <v>7298</v>
      </c>
      <c r="K36" s="4">
        <f ca="1">T_Facebook_Ads[[#This Row],[engagement_rate]]*RANDBETWEEN(8,12)/10</f>
        <v>2.266E-2</v>
      </c>
      <c r="L36" s="4">
        <f ca="1">ROUND(T_Facebook_Ads[[#This Row],[reach]]*RANDBETWEEN(8,12)/10,0)</f>
        <v>33254</v>
      </c>
      <c r="M36" s="4">
        <f ca="1">T_Facebook_Ads[[#This Row],[frequency]]*RANDBETWEEN(8,12)/10</f>
        <v>1.4159999999999999</v>
      </c>
      <c r="O36" s="3">
        <f t="shared" ca="1" si="6"/>
        <v>45223</v>
      </c>
      <c r="P36" s="4" t="s">
        <v>76</v>
      </c>
      <c r="Q36" s="4" t="s">
        <v>77</v>
      </c>
      <c r="R36" s="4" t="s">
        <v>78</v>
      </c>
      <c r="S36" s="4" t="s">
        <v>79</v>
      </c>
      <c r="T36" s="4">
        <f ca="1">ROUND(_Google_ads[[#This Row],[impressions]]*RANDBETWEEN(8,12)/10,0)</f>
        <v>25123</v>
      </c>
      <c r="U36" s="4">
        <f ca="1">ROUND(_Google_ads[[#This Row],[clicks]]*RANDBETWEEN(8,12)/10,0)</f>
        <v>1443</v>
      </c>
      <c r="V36" s="4">
        <f ca="1">_Google_ads[[#This Row],[cost]]*RANDBETWEEN(8,12)/10</f>
        <v>275.44</v>
      </c>
      <c r="W36" s="4">
        <f ca="1">ROUND(_Google_ads[[#This Row],[conversions]]*RANDBETWEEN(8,12)/10,0)</f>
        <v>44</v>
      </c>
      <c r="X36" s="4">
        <f ca="1">ROUND(_Google_ads[[#This Row],[conversion_value]]*RANDBETWEEN(8,12)/10,0)</f>
        <v>2695</v>
      </c>
      <c r="Y36" s="4">
        <f ca="1">_Google_ads[[#This Row],[ctr]]*RANDBETWEEN(8,12)/10</f>
        <v>5.7420000000000006E-2</v>
      </c>
      <c r="Z36" s="4">
        <f ca="1">_Google_ads[[#This Row],[avg_cpc]]*RANDBETWEEN(8,12)/10</f>
        <v>0.20899999999999999</v>
      </c>
      <c r="AA36" s="4">
        <f ca="1">ROUND(_Google_ads[[#This Row],[quality_score]]*RANDBETWEEN(8,12)/10,0)</f>
        <v>8</v>
      </c>
      <c r="AB36" s="4">
        <f ca="1">_Google_ads[[#This Row],[search_impression_share]]*RANDBETWEEN(8,12)/10</f>
        <v>0.90999999999999992</v>
      </c>
      <c r="AD36" s="3">
        <f t="shared" ca="1" si="7"/>
        <v>45217</v>
      </c>
      <c r="AE36" s="4" t="s">
        <v>100</v>
      </c>
      <c r="AF36" s="4" t="s">
        <v>101</v>
      </c>
      <c r="AG36" s="4" t="s">
        <v>102</v>
      </c>
      <c r="AH36" s="4" t="s">
        <v>103</v>
      </c>
      <c r="AI36" s="4">
        <f ca="1">ROUND(T_Tiktok_ads[[#This Row],[impressions]]*RANDBETWEEN(8,12)/10,0)</f>
        <v>267890</v>
      </c>
      <c r="AJ36" s="4">
        <f ca="1">ROUND(T_Tiktok_ads[[#This Row],[clicks]]*RANDBETWEEN(8,12)/10,0)</f>
        <v>4734</v>
      </c>
      <c r="AK36" s="4">
        <v>501.2</v>
      </c>
      <c r="AL36" s="4">
        <f ca="1">ROUND(T_Tiktok_ads[[#This Row],[conversions]]*RANDBETWEEN(8,12)/10,0)</f>
        <v>44</v>
      </c>
      <c r="AM36" s="4">
        <f ca="1">ROUND(T_Tiktok_ads[[#This Row],[video_views]]*RANDBETWEEN(8,12)/10,0)</f>
        <v>243357</v>
      </c>
      <c r="AN36" s="4">
        <f ca="1">ROUND(T_Tiktok_ads[[#This Row],[video_watch_25]]*RANDBETWEEN(8,12)/10,0)</f>
        <v>156110</v>
      </c>
      <c r="AO36" s="4">
        <f ca="1">ROUND(T_Tiktok_ads[[#This Row],[video_watch_50]]*RANDBETWEEN(8,12)/10,0)</f>
        <v>87387</v>
      </c>
      <c r="AP36" s="4">
        <f ca="1">ROUND(T_Tiktok_ads[[#This Row],[video_watch_75]]*RANDBETWEEN(8,12)/10,0)</f>
        <v>73567</v>
      </c>
      <c r="AQ36" s="4">
        <f ca="1">ROUND(T_Tiktok_ads[[#This Row],[video_watch_100]]*RANDBETWEEN(8,12)/10,0)</f>
        <v>39387</v>
      </c>
      <c r="AR36" s="4">
        <f ca="1">ROUND(T_Tiktok_ads[[#This Row],[likes]]*RANDBETWEEN(8,12)/10,0)</f>
        <v>8810</v>
      </c>
      <c r="AS36" s="4">
        <f ca="1">ROUND(T_Tiktok_ads[[#This Row],[shares]]*RANDBETWEEN(8,12)/10,0)</f>
        <v>2634</v>
      </c>
      <c r="AT36" s="4">
        <f ca="1">ROUND(T_Tiktok_ads[[#This Row],[comments]]*RANDBETWEEN(8,12)/10,0)</f>
        <v>685</v>
      </c>
      <c r="AV36" s="5">
        <f t="shared" ca="1" si="8"/>
        <v>45203</v>
      </c>
      <c r="AW36">
        <f t="shared" ca="1" si="4"/>
        <v>4</v>
      </c>
      <c r="AX36">
        <f ca="1">ROUND(T_Facebook_Ads11596367717579838791[[#This Row],[impressions]]*RANDBETWEEN(8,12)/10,0)</f>
        <v>54157</v>
      </c>
      <c r="AY36">
        <f ca="1">ROUND(T_Facebook_Ads11596367717579838791[[#This Row],[clicks]]*RANDBETWEEN(8,12)/10,0)</f>
        <v>911</v>
      </c>
      <c r="AZ36">
        <f ca="1">T_Facebook_Ads11596367717579838791[[#This Row],[spend]]*RANDBETWEEN(8,12)/10</f>
        <v>126.27000000000001</v>
      </c>
      <c r="BA36">
        <f ca="1">ROUND(T_Facebook_Ads11596367717579838791[[#This Row],[conversions]]*RANDBETWEEN(8,12)/10,0)</f>
        <v>12</v>
      </c>
      <c r="BB36">
        <f ca="1">ROUND(T_Facebook_Ads11596367717579838791[[#This Row],[video_views]]*RANDBETWEEN(8,12)/10,0)</f>
        <v>8758</v>
      </c>
    </row>
    <row r="37" spans="1:54" ht="15.75" thickBot="1" x14ac:dyDescent="0.3">
      <c r="A37" s="3">
        <f t="shared" ca="1" si="5"/>
        <v>45224</v>
      </c>
      <c r="B37" s="4" t="s">
        <v>56</v>
      </c>
      <c r="C37" s="4" t="s">
        <v>57</v>
      </c>
      <c r="D37" s="4" t="s">
        <v>58</v>
      </c>
      <c r="E37" s="4" t="s">
        <v>59</v>
      </c>
      <c r="F37" s="4">
        <f ca="1">ROUND(T_Facebook_Ads[[#This Row],[impressions]]*RANDBETWEEN(8,12)/10,0)</f>
        <v>12110</v>
      </c>
      <c r="G37" s="4">
        <v>634</v>
      </c>
      <c r="H37" s="4">
        <f ca="1">T_Facebook_Ads[[#This Row],[spend]]*RANDBETWEEN(8,12)/10</f>
        <v>191.76</v>
      </c>
      <c r="I37" s="4">
        <f ca="1">ROUND(T_Facebook_Ads[[#This Row],[conversions]]*RANDBETWEEN(8,12)/10,0)</f>
        <v>43</v>
      </c>
      <c r="J37" s="4">
        <f ca="1">ROUND(T_Facebook_Ads[[#This Row],[video_views]]*RANDBETWEEN(8,12)/10,0)</f>
        <v>1654</v>
      </c>
      <c r="K37" s="4">
        <f ca="1">T_Facebook_Ads[[#This Row],[engagement_rate]]*RANDBETWEEN(8,12)/10</f>
        <v>5.6520000000000001E-2</v>
      </c>
      <c r="L37" s="4">
        <f ca="1">ROUND(T_Facebook_Ads[[#This Row],[reach]]*RANDBETWEEN(8,12)/10,0)</f>
        <v>8454</v>
      </c>
      <c r="M37" s="4">
        <f ca="1">T_Facebook_Ads[[#This Row],[frequency]]*RANDBETWEEN(8,12)/10</f>
        <v>1.016</v>
      </c>
      <c r="O37" s="3">
        <f t="shared" ca="1" si="6"/>
        <v>45224</v>
      </c>
      <c r="P37" s="4" t="s">
        <v>80</v>
      </c>
      <c r="Q37" s="4" t="s">
        <v>81</v>
      </c>
      <c r="R37" s="4" t="s">
        <v>82</v>
      </c>
      <c r="S37" s="4" t="s">
        <v>83</v>
      </c>
      <c r="T37" s="4">
        <f ca="1">ROUND(_Google_ads[[#This Row],[impressions]]*RANDBETWEEN(8,12)/10,0)</f>
        <v>41910</v>
      </c>
      <c r="U37" s="4">
        <f ca="1">ROUND(_Google_ads[[#This Row],[clicks]]*RANDBETWEEN(8,12)/10,0)</f>
        <v>821</v>
      </c>
      <c r="V37" s="4">
        <f ca="1">_Google_ads[[#This Row],[cost]]*RANDBETWEEN(8,12)/10</f>
        <v>716.04000000000008</v>
      </c>
      <c r="W37" s="4">
        <f ca="1">ROUND(_Google_ads[[#This Row],[conversions]]*RANDBETWEEN(8,12)/10,0)</f>
        <v>19</v>
      </c>
      <c r="X37" s="4">
        <f ca="1">ROUND(_Google_ads[[#This Row],[conversion_value]]*RANDBETWEEN(8,12)/10,0)</f>
        <v>1440</v>
      </c>
      <c r="Y37" s="4">
        <f ca="1">_Google_ads[[#This Row],[ctr]]*RANDBETWEEN(8,12)/10</f>
        <v>2.3519999999999999E-2</v>
      </c>
      <c r="Z37" s="4">
        <f ca="1">_Google_ads[[#This Row],[avg_cpc]]*RANDBETWEEN(8,12)/10</f>
        <v>0.58500000000000008</v>
      </c>
      <c r="AA37" s="4">
        <f ca="1">ROUND(_Google_ads[[#This Row],[quality_score]]*RANDBETWEEN(8,12)/10,0)</f>
        <v>8</v>
      </c>
      <c r="AB37" s="4">
        <f ca="1">_Google_ads[[#This Row],[search_impression_share]]*RANDBETWEEN(8,12)/10</f>
        <v>0.54</v>
      </c>
      <c r="AD37" s="3">
        <f t="shared" ca="1" si="7"/>
        <v>45223</v>
      </c>
      <c r="AE37" s="4" t="s">
        <v>104</v>
      </c>
      <c r="AF37" s="4" t="s">
        <v>105</v>
      </c>
      <c r="AG37" s="4" t="s">
        <v>106</v>
      </c>
      <c r="AH37" s="4" t="s">
        <v>107</v>
      </c>
      <c r="AI37" s="4">
        <f ca="1">ROUND(T_Tiktok_ads[[#This Row],[impressions]]*RANDBETWEEN(8,12)/10,0)</f>
        <v>178681</v>
      </c>
      <c r="AJ37" s="4">
        <f ca="1">ROUND(T_Tiktok_ads[[#This Row],[clicks]]*RANDBETWEEN(8,12)/10,0)</f>
        <v>2834</v>
      </c>
      <c r="AK37" s="4">
        <v>767.5</v>
      </c>
      <c r="AL37" s="4">
        <f ca="1">ROUND(T_Tiktok_ads[[#This Row],[conversions]]*RANDBETWEEN(8,12)/10,0)</f>
        <v>69</v>
      </c>
      <c r="AM37" s="4">
        <f ca="1">ROUND(T_Tiktok_ads[[#This Row],[video_views]]*RANDBETWEEN(8,12)/10,0)</f>
        <v>82765</v>
      </c>
      <c r="AN37" s="4">
        <f ca="1">ROUND(T_Tiktok_ads[[#This Row],[video_watch_25]]*RANDBETWEEN(8,12)/10,0)</f>
        <v>68611</v>
      </c>
      <c r="AO37" s="4">
        <f ca="1">ROUND(T_Tiktok_ads[[#This Row],[video_watch_50]]*RANDBETWEEN(8,12)/10,0)</f>
        <v>40987</v>
      </c>
      <c r="AP37" s="4">
        <f ca="1">ROUND(T_Tiktok_ads[[#This Row],[video_watch_75]]*RANDBETWEEN(8,12)/10,0)</f>
        <v>34710</v>
      </c>
      <c r="AQ37" s="4">
        <f ca="1">ROUND(T_Tiktok_ads[[#This Row],[video_watch_100]]*RANDBETWEEN(8,12)/10,0)</f>
        <v>30947</v>
      </c>
      <c r="AR37" s="4">
        <f ca="1">ROUND(T_Tiktok_ads[[#This Row],[likes]]*RANDBETWEEN(8,12)/10,0)</f>
        <v>4611</v>
      </c>
      <c r="AS37" s="4">
        <f ca="1">ROUND(T_Tiktok_ads[[#This Row],[shares]]*RANDBETWEEN(8,12)/10,0)</f>
        <v>1310</v>
      </c>
      <c r="AT37" s="4">
        <f ca="1">ROUND(T_Tiktok_ads[[#This Row],[comments]]*RANDBETWEEN(8,12)/10,0)</f>
        <v>278</v>
      </c>
      <c r="AV37" s="5">
        <f t="shared" ca="1" si="8"/>
        <v>45214</v>
      </c>
      <c r="AW37">
        <f t="shared" ca="1" si="4"/>
        <v>1</v>
      </c>
      <c r="AX37">
        <f ca="1">ROUND(T_Facebook_Ads11596367717579838791[[#This Row],[impressions]]*RANDBETWEEN(8,12)/10,0)</f>
        <v>10899</v>
      </c>
      <c r="AY37">
        <f ca="1">ROUND(T_Facebook_Ads11596367717579838791[[#This Row],[clicks]]*RANDBETWEEN(8,12)/10,0)</f>
        <v>571</v>
      </c>
      <c r="AZ37">
        <f ca="1">T_Facebook_Ads11596367717579838791[[#This Row],[spend]]*RANDBETWEEN(8,12)/10</f>
        <v>153.40799999999999</v>
      </c>
      <c r="BA37">
        <f ca="1">ROUND(T_Facebook_Ads11596367717579838791[[#This Row],[conversions]]*RANDBETWEEN(8,12)/10,0)</f>
        <v>43</v>
      </c>
      <c r="BB37">
        <f ca="1">ROUND(T_Facebook_Ads11596367717579838791[[#This Row],[video_views]]*RANDBETWEEN(8,12)/10,0)</f>
        <v>1654</v>
      </c>
    </row>
    <row r="38" spans="1:54" ht="15.75" thickBot="1" x14ac:dyDescent="0.3">
      <c r="A38" s="3">
        <f t="shared" ca="1" si="5"/>
        <v>45229</v>
      </c>
      <c r="B38" s="4" t="s">
        <v>60</v>
      </c>
      <c r="C38" s="4" t="s">
        <v>61</v>
      </c>
      <c r="D38" s="4" t="s">
        <v>62</v>
      </c>
      <c r="E38" s="4" t="s">
        <v>63</v>
      </c>
      <c r="F38" s="4">
        <f ca="1">ROUND(T_Facebook_Ads[[#This Row],[impressions]]*RANDBETWEEN(8,12)/10,0)</f>
        <v>30312</v>
      </c>
      <c r="G38" s="4">
        <v>1398</v>
      </c>
      <c r="H38" s="4">
        <f ca="1">T_Facebook_Ads[[#This Row],[spend]]*RANDBETWEEN(8,12)/10</f>
        <v>191.16000000000003</v>
      </c>
      <c r="I38" s="4">
        <f ca="1">ROUND(T_Facebook_Ads[[#This Row],[conversions]]*RANDBETWEEN(8,12)/10,0)</f>
        <v>28</v>
      </c>
      <c r="J38" s="4">
        <f ca="1">ROUND(T_Facebook_Ads[[#This Row],[video_views]]*RANDBETWEEN(8,12)/10,0)</f>
        <v>4010</v>
      </c>
      <c r="K38" s="4">
        <f ca="1">T_Facebook_Ads[[#This Row],[engagement_rate]]*RANDBETWEEN(8,12)/10</f>
        <v>2.9520000000000001E-2</v>
      </c>
      <c r="L38" s="4">
        <f ca="1">ROUND(T_Facebook_Ads[[#This Row],[reach]]*RANDBETWEEN(8,12)/10,0)</f>
        <v>27801</v>
      </c>
      <c r="M38" s="4">
        <f ca="1">T_Facebook_Ads[[#This Row],[frequency]]*RANDBETWEEN(8,12)/10</f>
        <v>1.353</v>
      </c>
      <c r="O38" s="3">
        <f t="shared" ca="1" si="6"/>
        <v>45211</v>
      </c>
      <c r="P38" s="4" t="s">
        <v>84</v>
      </c>
      <c r="Q38" s="4" t="s">
        <v>85</v>
      </c>
      <c r="R38" s="4" t="s">
        <v>86</v>
      </c>
      <c r="S38" s="4" t="s">
        <v>87</v>
      </c>
      <c r="T38" s="4">
        <f ca="1">ROUND(_Google_ads[[#This Row],[impressions]]*RANDBETWEEN(8,12)/10,0)</f>
        <v>76879</v>
      </c>
      <c r="U38" s="4">
        <f ca="1">ROUND(_Google_ads[[#This Row],[clicks]]*RANDBETWEEN(8,12)/10,0)</f>
        <v>2801</v>
      </c>
      <c r="V38" s="4">
        <f ca="1">_Google_ads[[#This Row],[cost]]*RANDBETWEEN(8,12)/10</f>
        <v>471.78999999999996</v>
      </c>
      <c r="W38" s="4">
        <f ca="1">ROUND(_Google_ads[[#This Row],[conversions]]*RANDBETWEEN(8,12)/10,0)</f>
        <v>79</v>
      </c>
      <c r="X38" s="4">
        <f ca="1">ROUND(_Google_ads[[#This Row],[conversion_value]]*RANDBETWEEN(8,12)/10,0)</f>
        <v>3300</v>
      </c>
      <c r="Y38" s="4">
        <f ca="1">_Google_ads[[#This Row],[ctr]]*RANDBETWEEN(8,12)/10</f>
        <v>2.6720000000000001E-2</v>
      </c>
      <c r="Z38" s="4">
        <f ca="1">_Google_ads[[#This Row],[avg_cpc]]*RANDBETWEEN(8,12)/10</f>
        <v>0.14399999999999999</v>
      </c>
      <c r="AA38" s="4">
        <f ca="1">ROUND(_Google_ads[[#This Row],[quality_score]]*RANDBETWEEN(8,12)/10,0)</f>
        <v>8</v>
      </c>
      <c r="AB38" s="4">
        <f ca="1">_Google_ads[[#This Row],[search_impression_share]]*RANDBETWEEN(8,12)/10</f>
        <v>0.73699999999999999</v>
      </c>
      <c r="AD38" s="3">
        <f t="shared" ca="1" si="7"/>
        <v>45213</v>
      </c>
      <c r="AE38" s="4" t="s">
        <v>108</v>
      </c>
      <c r="AF38" s="4" t="s">
        <v>109</v>
      </c>
      <c r="AG38" s="4" t="s">
        <v>110</v>
      </c>
      <c r="AH38" s="4" t="s">
        <v>111</v>
      </c>
      <c r="AI38" s="4">
        <f ca="1">ROUND(T_Tiktok_ads[[#This Row],[impressions]]*RANDBETWEEN(8,12)/10,0)</f>
        <v>228901</v>
      </c>
      <c r="AJ38" s="4">
        <f ca="1">ROUND(T_Tiktok_ads[[#This Row],[clicks]]*RANDBETWEEN(8,12)/10,0)</f>
        <v>4361</v>
      </c>
      <c r="AK38" s="4">
        <v>441.9</v>
      </c>
      <c r="AL38" s="4">
        <f ca="1">ROUND(T_Tiktok_ads[[#This Row],[conversions]]*RANDBETWEEN(8,12)/10,0)</f>
        <v>31</v>
      </c>
      <c r="AM38" s="4">
        <f ca="1">ROUND(T_Tiktok_ads[[#This Row],[video_views]]*RANDBETWEEN(8,12)/10,0)</f>
        <v>200580</v>
      </c>
      <c r="AN38" s="4">
        <f ca="1">ROUND(T_Tiktok_ads[[#This Row],[video_watch_25]]*RANDBETWEEN(8,12)/10,0)</f>
        <v>165468</v>
      </c>
      <c r="AO38" s="4">
        <f ca="1">ROUND(T_Tiktok_ads[[#This Row],[video_watch_50]]*RANDBETWEEN(8,12)/10,0)</f>
        <v>87121</v>
      </c>
      <c r="AP38" s="4">
        <f ca="1">ROUND(T_Tiktok_ads[[#This Row],[video_watch_75]]*RANDBETWEEN(8,12)/10,0)</f>
        <v>56454</v>
      </c>
      <c r="AQ38" s="4">
        <f ca="1">ROUND(T_Tiktok_ads[[#This Row],[video_watch_100]]*RANDBETWEEN(8,12)/10,0)</f>
        <v>51347</v>
      </c>
      <c r="AR38" s="4">
        <f ca="1">ROUND(T_Tiktok_ads[[#This Row],[likes]]*RANDBETWEEN(8,12)/10,0)</f>
        <v>9302</v>
      </c>
      <c r="AS38" s="4">
        <f ca="1">ROUND(T_Tiktok_ads[[#This Row],[shares]]*RANDBETWEEN(8,12)/10,0)</f>
        <v>2071</v>
      </c>
      <c r="AT38" s="4">
        <f ca="1">ROUND(T_Tiktok_ads[[#This Row],[comments]]*RANDBETWEEN(8,12)/10,0)</f>
        <v>436</v>
      </c>
      <c r="AV38" s="5">
        <f t="shared" ca="1" si="8"/>
        <v>45223</v>
      </c>
      <c r="AW38">
        <f t="shared" ca="1" si="4"/>
        <v>3</v>
      </c>
      <c r="AX38">
        <f ca="1">ROUND(T_Facebook_Ads11596367717579838791[[#This Row],[impressions]]*RANDBETWEEN(8,12)/10,0)</f>
        <v>33343</v>
      </c>
      <c r="AY38">
        <f ca="1">ROUND(T_Facebook_Ads11596367717579838791[[#This Row],[clicks]]*RANDBETWEEN(8,12)/10,0)</f>
        <v>1258</v>
      </c>
      <c r="AZ38">
        <f ca="1">T_Facebook_Ads11596367717579838791[[#This Row],[spend]]*RANDBETWEEN(8,12)/10</f>
        <v>191.16000000000003</v>
      </c>
      <c r="BA38">
        <f ca="1">ROUND(T_Facebook_Ads11596367717579838791[[#This Row],[conversions]]*RANDBETWEEN(8,12)/10,0)</f>
        <v>31</v>
      </c>
      <c r="BB38">
        <f ca="1">ROUND(T_Facebook_Ads11596367717579838791[[#This Row],[video_views]]*RANDBETWEEN(8,12)/10,0)</f>
        <v>3208</v>
      </c>
    </row>
    <row r="39" spans="1:54" ht="15.75" thickBot="1" x14ac:dyDescent="0.3">
      <c r="A39" s="3">
        <f t="shared" ca="1" si="5"/>
        <v>45225</v>
      </c>
      <c r="B39" s="4" t="s">
        <v>64</v>
      </c>
      <c r="C39" s="4" t="s">
        <v>65</v>
      </c>
      <c r="D39" s="4" t="s">
        <v>66</v>
      </c>
      <c r="E39" s="4" t="s">
        <v>67</v>
      </c>
      <c r="F39" s="4">
        <f ca="1">ROUND(T_Facebook_Ads[[#This Row],[impressions]]*RANDBETWEEN(8,12)/10,0)</f>
        <v>72890</v>
      </c>
      <c r="G39" s="4">
        <v>261</v>
      </c>
      <c r="H39" s="4">
        <f ca="1">T_Facebook_Ads[[#This Row],[spend]]*RANDBETWEEN(8,12)/10</f>
        <v>87.11999999999999</v>
      </c>
      <c r="I39" s="4">
        <f ca="1">ROUND(T_Facebook_Ads[[#This Row],[conversions]]*RANDBETWEEN(8,12)/10,0)</f>
        <v>8</v>
      </c>
      <c r="J39" s="4">
        <f ca="1">ROUND(T_Facebook_Ads[[#This Row],[video_views]]*RANDBETWEEN(8,12)/10,0)</f>
        <v>39654</v>
      </c>
      <c r="K39" s="4">
        <f ca="1">T_Facebook_Ads[[#This Row],[engagement_rate]]*RANDBETWEEN(8,12)/10</f>
        <v>3.96E-3</v>
      </c>
      <c r="L39" s="4">
        <f ca="1">ROUND(T_Facebook_Ads[[#This Row],[reach]]*RANDBETWEEN(8,12)/10,0)</f>
        <v>59123</v>
      </c>
      <c r="M39" s="4">
        <f ca="1">T_Facebook_Ads[[#This Row],[frequency]]*RANDBETWEEN(8,12)/10</f>
        <v>0.98399999999999999</v>
      </c>
      <c r="O39" s="3">
        <f t="shared" ca="1" si="6"/>
        <v>45226</v>
      </c>
      <c r="P39" s="4" t="s">
        <v>88</v>
      </c>
      <c r="Q39" s="4" t="s">
        <v>89</v>
      </c>
      <c r="R39" s="4" t="s">
        <v>90</v>
      </c>
      <c r="S39" s="4" t="s">
        <v>59</v>
      </c>
      <c r="T39" s="4">
        <f ca="1">ROUND(_Google_ads[[#This Row],[impressions]]*RANDBETWEEN(8,12)/10,0)</f>
        <v>133456</v>
      </c>
      <c r="U39" s="4">
        <f ca="1">ROUND(_Google_ads[[#This Row],[clicks]]*RANDBETWEEN(8,12)/10,0)</f>
        <v>440</v>
      </c>
      <c r="V39" s="4">
        <f ca="1">_Google_ads[[#This Row],[cost]]*RANDBETWEEN(8,12)/10</f>
        <v>157.44</v>
      </c>
      <c r="W39" s="4">
        <f ca="1">ROUND(_Google_ads[[#This Row],[conversions]]*RANDBETWEEN(8,12)/10,0)</f>
        <v>11</v>
      </c>
      <c r="X39" s="4">
        <f ca="1">ROUND(_Google_ads[[#This Row],[conversion_value]]*RANDBETWEEN(8,12)/10,0)</f>
        <v>560</v>
      </c>
      <c r="Y39" s="4">
        <f ca="1">_Google_ads[[#This Row],[ctr]]*RANDBETWEEN(8,12)/10</f>
        <v>3.3300000000000005E-3</v>
      </c>
      <c r="Z39" s="4">
        <f ca="1">_Google_ads[[#This Row],[avg_cpc]]*RANDBETWEEN(8,12)/10</f>
        <v>0.29700000000000004</v>
      </c>
      <c r="AA39" s="4">
        <f ca="1">ROUND(_Google_ads[[#This Row],[quality_score]]*RANDBETWEEN(8,12)/10,0)</f>
        <v>6</v>
      </c>
      <c r="AB39" s="4">
        <f ca="1">_Google_ads[[#This Row],[search_impression_share]]*RANDBETWEEN(8,12)/10</f>
        <v>0.35</v>
      </c>
      <c r="AD39" s="3">
        <f t="shared" ca="1" si="7"/>
        <v>45202</v>
      </c>
      <c r="AE39" s="4" t="s">
        <v>112</v>
      </c>
      <c r="AF39" s="4" t="s">
        <v>113</v>
      </c>
      <c r="AG39" s="4" t="s">
        <v>114</v>
      </c>
      <c r="AH39" s="4" t="s">
        <v>115</v>
      </c>
      <c r="AI39" s="4">
        <f ca="1">ROUND(T_Tiktok_ads[[#This Row],[impressions]]*RANDBETWEEN(8,12)/10,0)</f>
        <v>438424</v>
      </c>
      <c r="AJ39" s="4">
        <f ca="1">ROUND(T_Tiktok_ads[[#This Row],[clicks]]*RANDBETWEEN(8,12)/10,0)</f>
        <v>6534</v>
      </c>
      <c r="AK39" s="4">
        <v>998.7</v>
      </c>
      <c r="AL39" s="4">
        <f ca="1">ROUND(T_Tiktok_ads[[#This Row],[conversions]]*RANDBETWEEN(8,12)/10,0)</f>
        <v>78</v>
      </c>
      <c r="AM39" s="4">
        <f ca="1">ROUND(T_Tiktok_ads[[#This Row],[video_views]]*RANDBETWEEN(8,12)/10,0)</f>
        <v>299111</v>
      </c>
      <c r="AN39" s="4">
        <f ca="1">ROUND(T_Tiktok_ads[[#This Row],[video_watch_25]]*RANDBETWEEN(8,12)/10,0)</f>
        <v>294679</v>
      </c>
      <c r="AO39" s="4">
        <f ca="1">ROUND(T_Tiktok_ads[[#This Row],[video_watch_50]]*RANDBETWEEN(8,12)/10,0)</f>
        <v>257480</v>
      </c>
      <c r="AP39" s="4">
        <f ca="1">ROUND(T_Tiktok_ads[[#This Row],[video_watch_75]]*RANDBETWEEN(8,12)/10,0)</f>
        <v>181481</v>
      </c>
      <c r="AQ39" s="4">
        <f ca="1">ROUND(T_Tiktok_ads[[#This Row],[video_watch_100]]*RANDBETWEEN(8,12)/10,0)</f>
        <v>99567</v>
      </c>
      <c r="AR39" s="4">
        <f ca="1">ROUND(T_Tiktok_ads[[#This Row],[likes]]*RANDBETWEEN(8,12)/10,0)</f>
        <v>21307</v>
      </c>
      <c r="AS39" s="4">
        <f ca="1">ROUND(T_Tiktok_ads[[#This Row],[shares]]*RANDBETWEEN(8,12)/10,0)</f>
        <v>6014</v>
      </c>
      <c r="AT39" s="4">
        <f ca="1">ROUND(T_Tiktok_ads[[#This Row],[comments]]*RANDBETWEEN(8,12)/10,0)</f>
        <v>1667</v>
      </c>
      <c r="AV39" s="5">
        <f t="shared" ca="1" si="8"/>
        <v>45214</v>
      </c>
      <c r="AW39">
        <f t="shared" ca="1" si="4"/>
        <v>8</v>
      </c>
      <c r="AX39">
        <f ca="1">ROUND(T_Facebook_Ads11596367717579838791[[#This Row],[impressions]]*RANDBETWEEN(8,12)/10,0)</f>
        <v>65601</v>
      </c>
      <c r="AY39">
        <f ca="1">ROUND(T_Facebook_Ads11596367717579838791[[#This Row],[clicks]]*RANDBETWEEN(8,12)/10,0)</f>
        <v>261</v>
      </c>
      <c r="AZ39">
        <f ca="1">T_Facebook_Ads11596367717579838791[[#This Row],[spend]]*RANDBETWEEN(8,12)/10</f>
        <v>87.11999999999999</v>
      </c>
      <c r="BA39">
        <f ca="1">ROUND(T_Facebook_Ads11596367717579838791[[#This Row],[conversions]]*RANDBETWEEN(8,12)/10,0)</f>
        <v>9</v>
      </c>
      <c r="BB39">
        <f ca="1">ROUND(T_Facebook_Ads11596367717579838791[[#This Row],[video_views]]*RANDBETWEEN(8,12)/10,0)</f>
        <v>31723</v>
      </c>
    </row>
    <row r="40" spans="1:54" ht="15.75" thickBot="1" x14ac:dyDescent="0.3">
      <c r="A40" s="3">
        <f t="shared" ca="1" si="5"/>
        <v>45202</v>
      </c>
      <c r="B40" s="4" t="s">
        <v>52</v>
      </c>
      <c r="C40" s="4" t="s">
        <v>53</v>
      </c>
      <c r="D40" s="4" t="s">
        <v>54</v>
      </c>
      <c r="E40" s="4" t="s">
        <v>55</v>
      </c>
      <c r="F40" s="4">
        <f ca="1">ROUND(T_Facebook_Ads[[#This Row],[impressions]]*RANDBETWEEN(8,12)/10,0)</f>
        <v>46580</v>
      </c>
      <c r="G40" s="4">
        <v>856</v>
      </c>
      <c r="H40" s="4">
        <f ca="1">T_Facebook_Ads[[#This Row],[spend]]*RANDBETWEEN(8,12)/10</f>
        <v>109.35</v>
      </c>
      <c r="I40" s="4">
        <f ca="1">ROUND(T_Facebook_Ads[[#This Row],[conversions]]*RANDBETWEEN(8,12)/10,0)</f>
        <v>14</v>
      </c>
      <c r="J40" s="4">
        <f ca="1">ROUND(T_Facebook_Ads[[#This Row],[video_views]]*RANDBETWEEN(8,12)/10,0)</f>
        <v>7890</v>
      </c>
      <c r="K40" s="4">
        <f ca="1">T_Facebook_Ads[[#This Row],[engagement_rate]]*RANDBETWEEN(8,12)/10</f>
        <v>1.8179999999999998E-2</v>
      </c>
      <c r="L40" s="4">
        <f ca="1">ROUND(T_Facebook_Ads[[#This Row],[reach]]*RANDBETWEEN(8,12)/10,0)</f>
        <v>42814</v>
      </c>
      <c r="M40" s="4">
        <f ca="1">T_Facebook_Ads[[#This Row],[frequency]]*RANDBETWEEN(8,12)/10</f>
        <v>1.4279999999999999</v>
      </c>
      <c r="O40" s="3">
        <f t="shared" ca="1" si="6"/>
        <v>45222</v>
      </c>
      <c r="P40" s="4" t="s">
        <v>76</v>
      </c>
      <c r="Q40" s="4" t="s">
        <v>77</v>
      </c>
      <c r="R40" s="4" t="s">
        <v>78</v>
      </c>
      <c r="S40" s="4" t="s">
        <v>79</v>
      </c>
      <c r="T40" s="4">
        <f ca="1">ROUND(_Google_ads[[#This Row],[impressions]]*RANDBETWEEN(8,12)/10,0)</f>
        <v>20210</v>
      </c>
      <c r="U40" s="4">
        <f ca="1">ROUND(_Google_ads[[#This Row],[clicks]]*RANDBETWEEN(8,12)/10,0)</f>
        <v>1040</v>
      </c>
      <c r="V40" s="4">
        <f ca="1">_Google_ads[[#This Row],[cost]]*RANDBETWEEN(8,12)/10</f>
        <v>176.32</v>
      </c>
      <c r="W40" s="4">
        <f ca="1">ROUND(_Google_ads[[#This Row],[conversions]]*RANDBETWEEN(8,12)/10,0)</f>
        <v>34</v>
      </c>
      <c r="X40" s="4">
        <f ca="1">ROUND(_Google_ads[[#This Row],[conversion_value]]*RANDBETWEEN(8,12)/10,0)</f>
        <v>2150</v>
      </c>
      <c r="Y40" s="4">
        <f ca="1">_Google_ads[[#This Row],[ctr]]*RANDBETWEEN(8,12)/10</f>
        <v>5.6649999999999999E-2</v>
      </c>
      <c r="Z40" s="4">
        <f ca="1">_Google_ads[[#This Row],[avg_cpc]]*RANDBETWEEN(8,12)/10</f>
        <v>0.19</v>
      </c>
      <c r="AA40" s="4">
        <f ca="1">ROUND(_Google_ads[[#This Row],[quality_score]]*RANDBETWEEN(8,12)/10,0)</f>
        <v>7</v>
      </c>
      <c r="AB40" s="4">
        <f ca="1">_Google_ads[[#This Row],[search_impression_share]]*RANDBETWEEN(8,12)/10</f>
        <v>0.72</v>
      </c>
      <c r="AD40" s="3">
        <f t="shared" ca="1" si="7"/>
        <v>45209</v>
      </c>
      <c r="AE40" s="4" t="s">
        <v>100</v>
      </c>
      <c r="AF40" s="4" t="s">
        <v>101</v>
      </c>
      <c r="AG40" s="4" t="s">
        <v>102</v>
      </c>
      <c r="AH40" s="4" t="s">
        <v>103</v>
      </c>
      <c r="AI40" s="4">
        <f ca="1">ROUND(T_Tiktok_ads[[#This Row],[impressions]]*RANDBETWEEN(8,12)/10,0)</f>
        <v>258024</v>
      </c>
      <c r="AJ40" s="4">
        <f ca="1">ROUND(T_Tiktok_ads[[#This Row],[clicks]]*RANDBETWEEN(8,12)/10,0)</f>
        <v>3110</v>
      </c>
      <c r="AK40" s="4">
        <v>456.7</v>
      </c>
      <c r="AL40" s="4">
        <f ca="1">ROUND(T_Tiktok_ads[[#This Row],[conversions]]*RANDBETWEEN(8,12)/10,0)</f>
        <v>27</v>
      </c>
      <c r="AM40" s="4">
        <f ca="1">ROUND(T_Tiktok_ads[[#This Row],[video_views]]*RANDBETWEEN(8,12)/10,0)</f>
        <v>218057</v>
      </c>
      <c r="AN40" s="4">
        <f ca="1">ROUND(T_Tiktok_ads[[#This Row],[video_watch_25]]*RANDBETWEEN(8,12)/10,0)</f>
        <v>187481</v>
      </c>
      <c r="AO40" s="4">
        <f ca="1">ROUND(T_Tiktok_ads[[#This Row],[video_watch_50]]*RANDBETWEEN(8,12)/10,0)</f>
        <v>117881</v>
      </c>
      <c r="AP40" s="4">
        <f ca="1">ROUND(T_Tiktok_ads[[#This Row],[video_watch_75]]*RANDBETWEEN(8,12)/10,0)</f>
        <v>53787</v>
      </c>
      <c r="AQ40" s="4">
        <f ca="1">ROUND(T_Tiktok_ads[[#This Row],[video_watch_100]]*RANDBETWEEN(8,12)/10,0)</f>
        <v>36187</v>
      </c>
      <c r="AR40" s="4">
        <f ca="1">ROUND(T_Tiktok_ads[[#This Row],[likes]]*RANDBETWEEN(8,12)/10,0)</f>
        <v>10708</v>
      </c>
      <c r="AS40" s="4">
        <f ca="1">ROUND(T_Tiktok_ads[[#This Row],[shares]]*RANDBETWEEN(8,12)/10,0)</f>
        <v>2580</v>
      </c>
      <c r="AT40" s="4">
        <f ca="1">ROUND(T_Tiktok_ads[[#This Row],[comments]]*RANDBETWEEN(8,12)/10,0)</f>
        <v>567</v>
      </c>
      <c r="AV40" s="5">
        <f t="shared" ca="1" si="8"/>
        <v>45219</v>
      </c>
      <c r="AW40">
        <f t="shared" ca="1" si="4"/>
        <v>3</v>
      </c>
      <c r="AX40">
        <f ca="1">ROUND(T_Facebook_Ads11596367717579838791[[#This Row],[impressions]]*RANDBETWEEN(8,12)/10,0)</f>
        <v>51238</v>
      </c>
      <c r="AY40">
        <f ca="1">ROUND(T_Facebook_Ads11596367717579838791[[#This Row],[clicks]]*RANDBETWEEN(8,12)/10,0)</f>
        <v>942</v>
      </c>
      <c r="AZ40">
        <f ca="1">T_Facebook_Ads11596367717579838791[[#This Row],[spend]]*RANDBETWEEN(8,12)/10</f>
        <v>120.285</v>
      </c>
      <c r="BA40">
        <f ca="1">ROUND(T_Facebook_Ads11596367717579838791[[#This Row],[conversions]]*RANDBETWEEN(8,12)/10,0)</f>
        <v>14</v>
      </c>
      <c r="BB40">
        <f ca="1">ROUND(T_Facebook_Ads11596367717579838791[[#This Row],[video_views]]*RANDBETWEEN(8,12)/10,0)</f>
        <v>7101</v>
      </c>
    </row>
    <row r="41" spans="1:54" ht="15.75" thickBot="1" x14ac:dyDescent="0.3">
      <c r="A41" s="3">
        <f t="shared" ca="1" si="5"/>
        <v>45226</v>
      </c>
      <c r="B41" s="4" t="s">
        <v>56</v>
      </c>
      <c r="C41" s="4" t="s">
        <v>57</v>
      </c>
      <c r="D41" s="4" t="s">
        <v>58</v>
      </c>
      <c r="E41" s="4" t="s">
        <v>59</v>
      </c>
      <c r="F41" s="4">
        <f ca="1">ROUND(T_Facebook_Ads[[#This Row],[impressions]]*RANDBETWEEN(8,12)/10,0)</f>
        <v>11234</v>
      </c>
      <c r="G41" s="4">
        <v>523</v>
      </c>
      <c r="H41" s="4">
        <f ca="1">T_Facebook_Ads[[#This Row],[spend]]*RANDBETWEEN(8,12)/10</f>
        <v>158.88</v>
      </c>
      <c r="I41" s="4">
        <f ca="1">ROUND(T_Facebook_Ads[[#This Row],[conversions]]*RANDBETWEEN(8,12)/10,0)</f>
        <v>35</v>
      </c>
      <c r="J41" s="4">
        <f ca="1">ROUND(T_Facebook_Ads[[#This Row],[video_views]]*RANDBETWEEN(8,12)/10,0)</f>
        <v>898</v>
      </c>
      <c r="K41" s="4">
        <f ca="1">T_Facebook_Ads[[#This Row],[engagement_rate]]*RANDBETWEEN(8,12)/10</f>
        <v>3.7280000000000001E-2</v>
      </c>
      <c r="L41" s="4">
        <f ca="1">ROUND(T_Facebook_Ads[[#This Row],[reach]]*RANDBETWEEN(8,12)/10,0)</f>
        <v>8011</v>
      </c>
      <c r="M41" s="4">
        <f ca="1">T_Facebook_Ads[[#This Row],[frequency]]*RANDBETWEEN(8,12)/10</f>
        <v>1.27</v>
      </c>
      <c r="O41" s="3">
        <f t="shared" ca="1" si="6"/>
        <v>45215</v>
      </c>
      <c r="P41" s="4" t="s">
        <v>80</v>
      </c>
      <c r="Q41" s="4" t="s">
        <v>81</v>
      </c>
      <c r="R41" s="4" t="s">
        <v>82</v>
      </c>
      <c r="S41" s="4" t="s">
        <v>83</v>
      </c>
      <c r="T41" s="4">
        <f ca="1">ROUND(_Google_ads[[#This Row],[impressions]]*RANDBETWEEN(8,12)/10,0)</f>
        <v>49481</v>
      </c>
      <c r="U41" s="4">
        <f ca="1">ROUND(_Google_ads[[#This Row],[clicks]]*RANDBETWEEN(8,12)/10,0)</f>
        <v>658</v>
      </c>
      <c r="V41" s="4">
        <f ca="1">_Google_ads[[#This Row],[cost]]*RANDBETWEEN(8,12)/10</f>
        <v>476.00999999999993</v>
      </c>
      <c r="W41" s="4">
        <f ca="1">ROUND(_Google_ads[[#This Row],[conversions]]*RANDBETWEEN(8,12)/10,0)</f>
        <v>19</v>
      </c>
      <c r="X41" s="4">
        <f ca="1">ROUND(_Google_ads[[#This Row],[conversion_value]]*RANDBETWEEN(8,12)/10,0)</f>
        <v>945</v>
      </c>
      <c r="Y41" s="4">
        <f ca="1">_Google_ads[[#This Row],[ctr]]*RANDBETWEEN(8,12)/10</f>
        <v>2.1999999999999999E-2</v>
      </c>
      <c r="Z41" s="4">
        <f ca="1">_Google_ads[[#This Row],[avg_cpc]]*RANDBETWEEN(8,12)/10</f>
        <v>0.57599999999999996</v>
      </c>
      <c r="AA41" s="4">
        <f ca="1">ROUND(_Google_ads[[#This Row],[quality_score]]*RANDBETWEEN(8,12)/10,0)</f>
        <v>5</v>
      </c>
      <c r="AB41" s="4">
        <f ca="1">_Google_ads[[#This Row],[search_impression_share]]*RANDBETWEEN(8,12)/10</f>
        <v>0.47299999999999998</v>
      </c>
      <c r="AD41" s="3">
        <f t="shared" ca="1" si="7"/>
        <v>45226</v>
      </c>
      <c r="AE41" s="4" t="s">
        <v>104</v>
      </c>
      <c r="AF41" s="4" t="s">
        <v>105</v>
      </c>
      <c r="AG41" s="4" t="s">
        <v>106</v>
      </c>
      <c r="AH41" s="4" t="s">
        <v>107</v>
      </c>
      <c r="AI41" s="4">
        <f ca="1">ROUND(T_Tiktok_ads[[#This Row],[impressions]]*RANDBETWEEN(8,12)/10,0)</f>
        <v>148024</v>
      </c>
      <c r="AJ41" s="4">
        <f ca="1">ROUND(T_Tiktok_ads[[#This Row],[clicks]]*RANDBETWEEN(8,12)/10,0)</f>
        <v>2054</v>
      </c>
      <c r="AK41" s="4">
        <v>712.3</v>
      </c>
      <c r="AL41" s="4">
        <f ca="1">ROUND(T_Tiktok_ads[[#This Row],[conversions]]*RANDBETWEEN(8,12)/10,0)</f>
        <v>85</v>
      </c>
      <c r="AM41" s="4">
        <f ca="1">ROUND(T_Tiktok_ads[[#This Row],[video_views]]*RANDBETWEEN(8,12)/10,0)</f>
        <v>105246</v>
      </c>
      <c r="AN41" s="4">
        <f ca="1">ROUND(T_Tiktok_ads[[#This Row],[video_watch_25]]*RANDBETWEEN(8,12)/10,0)</f>
        <v>64111</v>
      </c>
      <c r="AO41" s="4">
        <f ca="1">ROUND(T_Tiktok_ads[[#This Row],[video_watch_50]]*RANDBETWEEN(8,12)/10,0)</f>
        <v>53057</v>
      </c>
      <c r="AP41" s="4">
        <f ca="1">ROUND(T_Tiktok_ads[[#This Row],[video_watch_75]]*RANDBETWEEN(8,12)/10,0)</f>
        <v>28987</v>
      </c>
      <c r="AQ41" s="4">
        <f ca="1">ROUND(T_Tiktok_ads[[#This Row],[video_watch_100]]*RANDBETWEEN(8,12)/10,0)</f>
        <v>27024</v>
      </c>
      <c r="AR41" s="4">
        <f ca="1">ROUND(T_Tiktok_ads[[#This Row],[likes]]*RANDBETWEEN(8,12)/10,0)</f>
        <v>5747</v>
      </c>
      <c r="AS41" s="4">
        <f ca="1">ROUND(T_Tiktok_ads[[#This Row],[shares]]*RANDBETWEEN(8,12)/10,0)</f>
        <v>1211</v>
      </c>
      <c r="AT41" s="4">
        <f ca="1">ROUND(T_Tiktok_ads[[#This Row],[comments]]*RANDBETWEEN(8,12)/10,0)</f>
        <v>270</v>
      </c>
      <c r="AV41" s="5">
        <f t="shared" ca="1" si="8"/>
        <v>45220</v>
      </c>
      <c r="AW41">
        <f t="shared" ca="1" si="4"/>
        <v>6</v>
      </c>
      <c r="AX41">
        <f ca="1">ROUND(T_Facebook_Ads11596367717579838791[[#This Row],[impressions]]*RANDBETWEEN(8,12)/10,0)</f>
        <v>10111</v>
      </c>
      <c r="AY41">
        <f ca="1">ROUND(T_Facebook_Ads11596367717579838791[[#This Row],[clicks]]*RANDBETWEEN(8,12)/10,0)</f>
        <v>418</v>
      </c>
      <c r="AZ41">
        <f ca="1">T_Facebook_Ads11596367717579838791[[#This Row],[spend]]*RANDBETWEEN(8,12)/10</f>
        <v>174.76799999999997</v>
      </c>
      <c r="BA41">
        <f ca="1">ROUND(T_Facebook_Ads11596367717579838791[[#This Row],[conversions]]*RANDBETWEEN(8,12)/10,0)</f>
        <v>32</v>
      </c>
      <c r="BB41">
        <f ca="1">ROUND(T_Facebook_Ads11596367717579838791[[#This Row],[video_views]]*RANDBETWEEN(8,12)/10,0)</f>
        <v>898</v>
      </c>
    </row>
    <row r="42" spans="1:54" ht="15.75" thickBot="1" x14ac:dyDescent="0.3">
      <c r="A42" s="3">
        <f t="shared" ca="1" si="5"/>
        <v>45220</v>
      </c>
      <c r="B42" s="4" t="s">
        <v>60</v>
      </c>
      <c r="C42" s="4" t="s">
        <v>61</v>
      </c>
      <c r="D42" s="4" t="s">
        <v>62</v>
      </c>
      <c r="E42" s="4" t="s">
        <v>63</v>
      </c>
      <c r="F42" s="4">
        <f ca="1">ROUND(T_Facebook_Ads[[#This Row],[impressions]]*RANDBETWEEN(8,12)/10,0)</f>
        <v>36802</v>
      </c>
      <c r="G42" s="4">
        <v>1203</v>
      </c>
      <c r="H42" s="4">
        <f ca="1">T_Facebook_Ads[[#This Row],[spend]]*RANDBETWEEN(8,12)/10</f>
        <v>203.83</v>
      </c>
      <c r="I42" s="4">
        <f ca="1">ROUND(T_Facebook_Ads[[#This Row],[conversions]]*RANDBETWEEN(8,12)/10,0)</f>
        <v>18</v>
      </c>
      <c r="J42" s="4">
        <f ca="1">ROUND(T_Facebook_Ads[[#This Row],[video_views]]*RANDBETWEEN(8,12)/10,0)</f>
        <v>5081</v>
      </c>
      <c r="K42" s="4">
        <f ca="1">T_Facebook_Ads[[#This Row],[engagement_rate]]*RANDBETWEEN(8,12)/10</f>
        <v>3.5999999999999997E-2</v>
      </c>
      <c r="L42" s="4">
        <f ca="1">ROUND(T_Facebook_Ads[[#This Row],[reach]]*RANDBETWEEN(8,12)/10,0)</f>
        <v>27890</v>
      </c>
      <c r="M42" s="4">
        <f ca="1">T_Facebook_Ads[[#This Row],[frequency]]*RANDBETWEEN(8,12)/10</f>
        <v>0.96</v>
      </c>
      <c r="O42" s="3">
        <f t="shared" ca="1" si="6"/>
        <v>45230</v>
      </c>
      <c r="P42" s="4" t="s">
        <v>84</v>
      </c>
      <c r="Q42" s="4" t="s">
        <v>85</v>
      </c>
      <c r="R42" s="4" t="s">
        <v>86</v>
      </c>
      <c r="S42" s="4" t="s">
        <v>87</v>
      </c>
      <c r="T42" s="4">
        <f ca="1">ROUND(_Google_ads[[#This Row],[impressions]]*RANDBETWEEN(8,12)/10,0)</f>
        <v>63456</v>
      </c>
      <c r="U42" s="4">
        <f ca="1">ROUND(_Google_ads[[#This Row],[clicks]]*RANDBETWEEN(8,12)/10,0)</f>
        <v>2089</v>
      </c>
      <c r="V42" s="4">
        <f ca="1">_Google_ads[[#This Row],[cost]]*RANDBETWEEN(8,12)/10</f>
        <v>459.12000000000006</v>
      </c>
      <c r="W42" s="4">
        <f ca="1">ROUND(_Google_ads[[#This Row],[conversions]]*RANDBETWEEN(8,12)/10,0)</f>
        <v>54</v>
      </c>
      <c r="X42" s="4">
        <f ca="1">ROUND(_Google_ads[[#This Row],[conversion_value]]*RANDBETWEEN(8,12)/10,0)</f>
        <v>2400</v>
      </c>
      <c r="Y42" s="4">
        <f ca="1">_Google_ads[[#This Row],[ctr]]*RANDBETWEEN(8,12)/10</f>
        <v>2.9609999999999997E-2</v>
      </c>
      <c r="Z42" s="4">
        <f ca="1">_Google_ads[[#This Row],[avg_cpc]]*RANDBETWEEN(8,12)/10</f>
        <v>0.19800000000000001</v>
      </c>
      <c r="AA42" s="4">
        <f ca="1">ROUND(_Google_ads[[#This Row],[quality_score]]*RANDBETWEEN(8,12)/10,0)</f>
        <v>9</v>
      </c>
      <c r="AB42" s="4">
        <f ca="1">_Google_ads[[#This Row],[search_impression_share]]*RANDBETWEEN(8,12)/10</f>
        <v>0.65</v>
      </c>
      <c r="AD42" s="3">
        <f t="shared" ca="1" si="7"/>
        <v>45216</v>
      </c>
      <c r="AE42" s="4" t="s">
        <v>108</v>
      </c>
      <c r="AF42" s="4" t="s">
        <v>109</v>
      </c>
      <c r="AG42" s="4" t="s">
        <v>110</v>
      </c>
      <c r="AH42" s="4" t="s">
        <v>111</v>
      </c>
      <c r="AI42" s="4">
        <f ca="1">ROUND(T_Tiktok_ads[[#This Row],[impressions]]*RANDBETWEEN(8,12)/10,0)</f>
        <v>241481</v>
      </c>
      <c r="AJ42" s="4">
        <f ca="1">ROUND(T_Tiktok_ads[[#This Row],[clicks]]*RANDBETWEEN(8,12)/10,0)</f>
        <v>2811</v>
      </c>
      <c r="AK42" s="4">
        <v>374.5</v>
      </c>
      <c r="AL42" s="4">
        <f ca="1">ROUND(T_Tiktok_ads[[#This Row],[conversions]]*RANDBETWEEN(8,12)/10,0)</f>
        <v>31</v>
      </c>
      <c r="AM42" s="4">
        <f ca="1">ROUND(T_Tiktok_ads[[#This Row],[video_views]]*RANDBETWEEN(8,12)/10,0)</f>
        <v>173679</v>
      </c>
      <c r="AN42" s="4">
        <f ca="1">ROUND(T_Tiktok_ads[[#This Row],[video_watch_25]]*RANDBETWEEN(8,12)/10,0)</f>
        <v>133357</v>
      </c>
      <c r="AO42" s="4">
        <f ca="1">ROUND(T_Tiktok_ads[[#This Row],[video_watch_50]]*RANDBETWEEN(8,12)/10,0)</f>
        <v>96234</v>
      </c>
      <c r="AP42" s="4">
        <f ca="1">ROUND(T_Tiktok_ads[[#This Row],[video_watch_75]]*RANDBETWEEN(8,12)/10,0)</f>
        <v>67357</v>
      </c>
      <c r="AQ42" s="4">
        <f ca="1">ROUND(T_Tiktok_ads[[#This Row],[video_watch_100]]*RANDBETWEEN(8,12)/10,0)</f>
        <v>29965</v>
      </c>
      <c r="AR42" s="4">
        <f ca="1">ROUND(T_Tiktok_ads[[#This Row],[likes]]*RANDBETWEEN(8,12)/10,0)</f>
        <v>8814</v>
      </c>
      <c r="AS42" s="4">
        <f ca="1">ROUND(T_Tiktok_ads[[#This Row],[shares]]*RANDBETWEEN(8,12)/10,0)</f>
        <v>1831</v>
      </c>
      <c r="AT42" s="4">
        <f ca="1">ROUND(T_Tiktok_ads[[#This Row],[comments]]*RANDBETWEEN(8,12)/10,0)</f>
        <v>489</v>
      </c>
      <c r="AV42" s="5">
        <f t="shared" ca="1" si="8"/>
        <v>45205</v>
      </c>
      <c r="AW42">
        <f t="shared" ca="1" si="4"/>
        <v>2</v>
      </c>
      <c r="AX42">
        <f ca="1">ROUND(T_Facebook_Ads11596367717579838791[[#This Row],[impressions]]*RANDBETWEEN(8,12)/10,0)</f>
        <v>29442</v>
      </c>
      <c r="AY42">
        <f ca="1">ROUND(T_Facebook_Ads11596367717579838791[[#This Row],[clicks]]*RANDBETWEEN(8,12)/10,0)</f>
        <v>962</v>
      </c>
      <c r="AZ42">
        <f ca="1">T_Facebook_Ads11596367717579838791[[#This Row],[spend]]*RANDBETWEEN(8,12)/10</f>
        <v>183.447</v>
      </c>
      <c r="BA42">
        <f ca="1">ROUND(T_Facebook_Ads11596367717579838791[[#This Row],[conversions]]*RANDBETWEEN(8,12)/10,0)</f>
        <v>14</v>
      </c>
      <c r="BB42">
        <f ca="1">ROUND(T_Facebook_Ads11596367717579838791[[#This Row],[video_views]]*RANDBETWEEN(8,12)/10,0)</f>
        <v>5081</v>
      </c>
    </row>
    <row r="43" spans="1:54" ht="15.75" thickBot="1" x14ac:dyDescent="0.3">
      <c r="A43" s="3">
        <f t="shared" ca="1" si="5"/>
        <v>45213</v>
      </c>
      <c r="B43" s="4" t="s">
        <v>64</v>
      </c>
      <c r="C43" s="4" t="s">
        <v>65</v>
      </c>
      <c r="D43" s="4" t="s">
        <v>66</v>
      </c>
      <c r="E43" s="4" t="s">
        <v>67</v>
      </c>
      <c r="F43" s="4">
        <f ca="1">ROUND(T_Facebook_Ads[[#This Row],[impressions]]*RANDBETWEEN(8,12)/10,0)</f>
        <v>64567</v>
      </c>
      <c r="G43" s="4">
        <v>238</v>
      </c>
      <c r="H43" s="4">
        <f ca="1">T_Facebook_Ads[[#This Row],[spend]]*RANDBETWEEN(8,12)/10</f>
        <v>83.4</v>
      </c>
      <c r="I43" s="4">
        <f ca="1">ROUND(T_Facebook_Ads[[#This Row],[conversions]]*RANDBETWEEN(8,12)/10,0)</f>
        <v>5</v>
      </c>
      <c r="J43" s="4">
        <f ca="1">ROUND(T_Facebook_Ads[[#This Row],[video_views]]*RANDBETWEEN(8,12)/10,0)</f>
        <v>47557</v>
      </c>
      <c r="K43" s="4">
        <f ca="1">T_Facebook_Ads[[#This Row],[engagement_rate]]*RANDBETWEEN(8,12)/10</f>
        <v>4.4400000000000004E-3</v>
      </c>
      <c r="L43" s="4">
        <f ca="1">ROUND(T_Facebook_Ads[[#This Row],[reach]]*RANDBETWEEN(8,12)/10,0)</f>
        <v>58179</v>
      </c>
      <c r="M43" s="4">
        <f ca="1">T_Facebook_Ads[[#This Row],[frequency]]*RANDBETWEEN(8,12)/10</f>
        <v>1.0980000000000001</v>
      </c>
      <c r="O43" s="3">
        <f t="shared" ca="1" si="6"/>
        <v>45229</v>
      </c>
      <c r="P43" s="4" t="s">
        <v>88</v>
      </c>
      <c r="Q43" s="4" t="s">
        <v>89</v>
      </c>
      <c r="R43" s="4" t="s">
        <v>90</v>
      </c>
      <c r="S43" s="4" t="s">
        <v>59</v>
      </c>
      <c r="T43" s="4">
        <f ca="1">ROUND(_Google_ads[[#This Row],[impressions]]*RANDBETWEEN(8,12)/10,0)</f>
        <v>119234</v>
      </c>
      <c r="U43" s="4">
        <f ca="1">ROUND(_Google_ads[[#This Row],[clicks]]*RANDBETWEEN(8,12)/10,0)</f>
        <v>391</v>
      </c>
      <c r="V43" s="4">
        <f ca="1">_Google_ads[[#This Row],[cost]]*RANDBETWEEN(8,12)/10</f>
        <v>116.8</v>
      </c>
      <c r="W43" s="4">
        <f ca="1">ROUND(_Google_ads[[#This Row],[conversions]]*RANDBETWEEN(8,12)/10,0)</f>
        <v>10</v>
      </c>
      <c r="X43" s="4">
        <f ca="1">ROUND(_Google_ads[[#This Row],[conversion_value]]*RANDBETWEEN(8,12)/10,0)</f>
        <v>540</v>
      </c>
      <c r="Y43" s="4">
        <f ca="1">_Google_ads[[#This Row],[ctr]]*RANDBETWEEN(8,12)/10</f>
        <v>4.3200000000000001E-3</v>
      </c>
      <c r="Z43" s="4">
        <f ca="1">_Google_ads[[#This Row],[avg_cpc]]*RANDBETWEEN(8,12)/10</f>
        <v>0.29700000000000004</v>
      </c>
      <c r="AA43" s="4">
        <f ca="1">ROUND(_Google_ads[[#This Row],[quality_score]]*RANDBETWEEN(8,12)/10,0)</f>
        <v>8</v>
      </c>
      <c r="AB43" s="4">
        <f ca="1">_Google_ads[[#This Row],[search_impression_share]]*RANDBETWEEN(8,12)/10</f>
        <v>0.33</v>
      </c>
      <c r="AD43" s="3">
        <f t="shared" ca="1" si="7"/>
        <v>45227</v>
      </c>
      <c r="AE43" s="4" t="s">
        <v>112</v>
      </c>
      <c r="AF43" s="4" t="s">
        <v>113</v>
      </c>
      <c r="AG43" s="4" t="s">
        <v>114</v>
      </c>
      <c r="AH43" s="4" t="s">
        <v>115</v>
      </c>
      <c r="AI43" s="4">
        <f ca="1">ROUND(T_Tiktok_ads[[#This Row],[impressions]]*RANDBETWEEN(8,12)/10,0)</f>
        <v>404679</v>
      </c>
      <c r="AJ43" s="4">
        <f ca="1">ROUND(T_Tiktok_ads[[#This Row],[clicks]]*RANDBETWEEN(8,12)/10,0)</f>
        <v>6012</v>
      </c>
      <c r="AK43" s="4">
        <v>923.4</v>
      </c>
      <c r="AL43" s="4">
        <f ca="1">ROUND(T_Tiktok_ads[[#This Row],[conversions]]*RANDBETWEEN(8,12)/10,0)</f>
        <v>94</v>
      </c>
      <c r="AM43" s="4">
        <f ca="1">ROUND(T_Tiktok_ads[[#This Row],[video_views]]*RANDBETWEEN(8,12)/10,0)</f>
        <v>331357</v>
      </c>
      <c r="AN43" s="4">
        <f ca="1">ROUND(T_Tiktok_ads[[#This Row],[video_watch_25]]*RANDBETWEEN(8,12)/10,0)</f>
        <v>221110</v>
      </c>
      <c r="AO43" s="4">
        <f ca="1">ROUND(T_Tiktok_ads[[#This Row],[video_watch_50]]*RANDBETWEEN(8,12)/10,0)</f>
        <v>236147</v>
      </c>
      <c r="AP43" s="4">
        <f ca="1">ROUND(T_Tiktok_ads[[#This Row],[video_watch_75]]*RANDBETWEEN(8,12)/10,0)</f>
        <v>140234</v>
      </c>
      <c r="AQ43" s="4">
        <f ca="1">ROUND(T_Tiktok_ads[[#This Row],[video_watch_100]]*RANDBETWEEN(8,12)/10,0)</f>
        <v>74765</v>
      </c>
      <c r="AR43" s="4">
        <f ca="1">ROUND(T_Tiktok_ads[[#This Row],[likes]]*RANDBETWEEN(8,12)/10,0)</f>
        <v>16234</v>
      </c>
      <c r="AS43" s="4">
        <f ca="1">ROUND(T_Tiktok_ads[[#This Row],[shares]]*RANDBETWEEN(8,12)/10,0)</f>
        <v>3831</v>
      </c>
      <c r="AT43" s="4">
        <f ca="1">ROUND(T_Tiktok_ads[[#This Row],[comments]]*RANDBETWEEN(8,12)/10,0)</f>
        <v>1547</v>
      </c>
      <c r="AV43" s="5">
        <f t="shared" ca="1" si="8"/>
        <v>45208</v>
      </c>
      <c r="AW43">
        <f t="shared" ca="1" si="4"/>
        <v>8</v>
      </c>
      <c r="AX43">
        <f ca="1">ROUND(T_Facebook_Ads11596367717579838791[[#This Row],[impressions]]*RANDBETWEEN(8,12)/10,0)</f>
        <v>71024</v>
      </c>
      <c r="AY43">
        <f ca="1">ROUND(T_Facebook_Ads11596367717579838791[[#This Row],[clicks]]*RANDBETWEEN(8,12)/10,0)</f>
        <v>190</v>
      </c>
      <c r="AZ43">
        <f ca="1">T_Facebook_Ads11596367717579838791[[#This Row],[spend]]*RANDBETWEEN(8,12)/10</f>
        <v>100.08000000000001</v>
      </c>
      <c r="BA43">
        <f ca="1">ROUND(T_Facebook_Ads11596367717579838791[[#This Row],[conversions]]*RANDBETWEEN(8,12)/10,0)</f>
        <v>5</v>
      </c>
      <c r="BB43">
        <f ca="1">ROUND(T_Facebook_Ads11596367717579838791[[#This Row],[video_views]]*RANDBETWEEN(8,12)/10,0)</f>
        <v>47557</v>
      </c>
    </row>
    <row r="44" spans="1:54" ht="15.75" thickBot="1" x14ac:dyDescent="0.3">
      <c r="A44" s="3">
        <f t="shared" ca="1" si="5"/>
        <v>45208</v>
      </c>
      <c r="B44" s="4" t="s">
        <v>52</v>
      </c>
      <c r="C44" s="4" t="s">
        <v>53</v>
      </c>
      <c r="D44" s="4" t="s">
        <v>54</v>
      </c>
      <c r="E44" s="4" t="s">
        <v>55</v>
      </c>
      <c r="F44" s="4">
        <f ca="1">ROUND(T_Facebook_Ads[[#This Row],[impressions]]*RANDBETWEEN(8,12)/10,0)</f>
        <v>40123</v>
      </c>
      <c r="G44" s="4">
        <v>798</v>
      </c>
      <c r="H44" s="4">
        <f ca="1">T_Facebook_Ads[[#This Row],[spend]]*RANDBETWEEN(8,12)/10</f>
        <v>126.17</v>
      </c>
      <c r="I44" s="4">
        <f ca="1">ROUND(T_Facebook_Ads[[#This Row],[conversions]]*RANDBETWEEN(8,12)/10,0)</f>
        <v>11</v>
      </c>
      <c r="J44" s="4">
        <f ca="1">ROUND(T_Facebook_Ads[[#This Row],[video_views]]*RANDBETWEEN(8,12)/10,0)</f>
        <v>5876</v>
      </c>
      <c r="K44" s="4">
        <f ca="1">T_Facebook_Ads[[#This Row],[engagement_rate]]*RANDBETWEEN(8,12)/10</f>
        <v>1.7910000000000002E-2</v>
      </c>
      <c r="L44" s="4">
        <f ca="1">ROUND(T_Facebook_Ads[[#This Row],[reach]]*RANDBETWEEN(8,12)/10,0)</f>
        <v>40147</v>
      </c>
      <c r="M44" s="4">
        <f ca="1">T_Facebook_Ads[[#This Row],[frequency]]*RANDBETWEEN(8,12)/10</f>
        <v>1.3199999999999998</v>
      </c>
      <c r="O44" s="3">
        <f t="shared" ca="1" si="6"/>
        <v>45204</v>
      </c>
      <c r="P44" s="4" t="s">
        <v>76</v>
      </c>
      <c r="Q44" s="4" t="s">
        <v>77</v>
      </c>
      <c r="R44" s="4" t="s">
        <v>78</v>
      </c>
      <c r="S44" s="4" t="s">
        <v>79</v>
      </c>
      <c r="T44" s="4">
        <f ca="1">ROUND(_Google_ads[[#This Row],[impressions]]*RANDBETWEEN(8,12)/10,0)</f>
        <v>16987</v>
      </c>
      <c r="U44" s="4">
        <f ca="1">ROUND(_Google_ads[[#This Row],[clicks]]*RANDBETWEEN(8,12)/10,0)</f>
        <v>1198</v>
      </c>
      <c r="V44" s="4">
        <f ca="1">_Google_ads[[#This Row],[cost]]*RANDBETWEEN(8,12)/10</f>
        <v>187.02</v>
      </c>
      <c r="W44" s="4">
        <f ca="1">ROUND(_Google_ads[[#This Row],[conversions]]*RANDBETWEEN(8,12)/10,0)</f>
        <v>45</v>
      </c>
      <c r="X44" s="4">
        <f ca="1">ROUND(_Google_ads[[#This Row],[conversion_value]]*RANDBETWEEN(8,12)/10,0)</f>
        <v>2255</v>
      </c>
      <c r="Y44" s="4">
        <f ca="1">_Google_ads[[#This Row],[ctr]]*RANDBETWEEN(8,12)/10</f>
        <v>4.104E-2</v>
      </c>
      <c r="Z44" s="4">
        <f ca="1">_Google_ads[[#This Row],[avg_cpc]]*RANDBETWEEN(8,12)/10</f>
        <v>0.20899999999999999</v>
      </c>
      <c r="AA44" s="4">
        <f ca="1">ROUND(_Google_ads[[#This Row],[quality_score]]*RANDBETWEEN(8,12)/10,0)</f>
        <v>9</v>
      </c>
      <c r="AB44" s="4">
        <f ca="1">_Google_ads[[#This Row],[search_impression_share]]*RANDBETWEEN(8,12)/10</f>
        <v>0.80099999999999993</v>
      </c>
      <c r="AD44" s="3">
        <f t="shared" ca="1" si="7"/>
        <v>45215</v>
      </c>
      <c r="AE44" s="4" t="s">
        <v>100</v>
      </c>
      <c r="AF44" s="4" t="s">
        <v>101</v>
      </c>
      <c r="AG44" s="4" t="s">
        <v>102</v>
      </c>
      <c r="AH44" s="4" t="s">
        <v>103</v>
      </c>
      <c r="AI44" s="4">
        <f ca="1">ROUND(T_Tiktok_ads[[#This Row],[impressions]]*RANDBETWEEN(8,12)/10,0)</f>
        <v>245802</v>
      </c>
      <c r="AJ44" s="4">
        <f ca="1">ROUND(T_Tiktok_ads[[#This Row],[clicks]]*RANDBETWEEN(8,12)/10,0)</f>
        <v>2587</v>
      </c>
      <c r="AK44" s="4">
        <v>434.5</v>
      </c>
      <c r="AL44" s="4">
        <f ca="1">ROUND(T_Tiktok_ads[[#This Row],[conversions]]*RANDBETWEEN(8,12)/10,0)</f>
        <v>35</v>
      </c>
      <c r="AM44" s="4">
        <f ca="1">ROUND(T_Tiktok_ads[[#This Row],[video_views]]*RANDBETWEEN(8,12)/10,0)</f>
        <v>208157</v>
      </c>
      <c r="AN44" s="4">
        <f ca="1">ROUND(T_Tiktok_ads[[#This Row],[video_watch_25]]*RANDBETWEEN(8,12)/10,0)</f>
        <v>163057</v>
      </c>
      <c r="AO44" s="4">
        <f ca="1">ROUND(T_Tiktok_ads[[#This Row],[video_watch_50]]*RANDBETWEEN(8,12)/10,0)</f>
        <v>83911</v>
      </c>
      <c r="AP44" s="4">
        <f ca="1">ROUND(T_Tiktok_ads[[#This Row],[video_watch_75]]*RANDBETWEEN(8,12)/10,0)</f>
        <v>76147</v>
      </c>
      <c r="AQ44" s="4">
        <f ca="1">ROUND(T_Tiktok_ads[[#This Row],[video_watch_100]]*RANDBETWEEN(8,12)/10,0)</f>
        <v>43234</v>
      </c>
      <c r="AR44" s="4">
        <f ca="1">ROUND(T_Tiktok_ads[[#This Row],[likes]]*RANDBETWEEN(8,12)/10,0)</f>
        <v>6854</v>
      </c>
      <c r="AS44" s="4">
        <f ca="1">ROUND(T_Tiktok_ads[[#This Row],[shares]]*RANDBETWEEN(8,12)/10,0)</f>
        <v>2681</v>
      </c>
      <c r="AT44" s="4">
        <f ca="1">ROUND(T_Tiktok_ads[[#This Row],[comments]]*RANDBETWEEN(8,12)/10,0)</f>
        <v>534</v>
      </c>
      <c r="AV44" s="5">
        <f t="shared" ca="1" si="8"/>
        <v>45220</v>
      </c>
      <c r="AW44">
        <f t="shared" ca="1" si="4"/>
        <v>5</v>
      </c>
      <c r="AX44">
        <f ca="1">ROUND(T_Facebook_Ads11596367717579838791[[#This Row],[impressions]]*RANDBETWEEN(8,12)/10,0)</f>
        <v>40123</v>
      </c>
      <c r="AY44">
        <f ca="1">ROUND(T_Facebook_Ads11596367717579838791[[#This Row],[clicks]]*RANDBETWEEN(8,12)/10,0)</f>
        <v>878</v>
      </c>
      <c r="AZ44">
        <f ca="1">T_Facebook_Ads11596367717579838791[[#This Row],[spend]]*RANDBETWEEN(8,12)/10</f>
        <v>126.17</v>
      </c>
      <c r="BA44">
        <f ca="1">ROUND(T_Facebook_Ads11596367717579838791[[#This Row],[conversions]]*RANDBETWEEN(8,12)/10,0)</f>
        <v>9</v>
      </c>
      <c r="BB44">
        <f ca="1">ROUND(T_Facebook_Ads11596367717579838791[[#This Row],[video_views]]*RANDBETWEEN(8,12)/10,0)</f>
        <v>5288</v>
      </c>
    </row>
    <row r="45" spans="1:54" ht="15.75" thickBot="1" x14ac:dyDescent="0.3">
      <c r="A45" s="3">
        <f t="shared" ca="1" si="5"/>
        <v>45223</v>
      </c>
      <c r="B45" s="4" t="s">
        <v>56</v>
      </c>
      <c r="C45" s="4" t="s">
        <v>57</v>
      </c>
      <c r="D45" s="4" t="s">
        <v>58</v>
      </c>
      <c r="E45" s="4" t="s">
        <v>59</v>
      </c>
      <c r="F45" s="4">
        <f ca="1">ROUND(T_Facebook_Ads[[#This Row],[impressions]]*RANDBETWEEN(8,12)/10,0)</f>
        <v>10567</v>
      </c>
      <c r="G45" s="4">
        <v>489</v>
      </c>
      <c r="H45" s="4">
        <f ca="1">T_Facebook_Ads[[#This Row],[spend]]*RANDBETWEEN(8,12)/10</f>
        <v>185.9</v>
      </c>
      <c r="I45" s="4">
        <f ca="1">ROUND(T_Facebook_Ads[[#This Row],[conversions]]*RANDBETWEEN(8,12)/10,0)</f>
        <v>26</v>
      </c>
      <c r="J45" s="4">
        <f ca="1">ROUND(T_Facebook_Ads[[#This Row],[video_views]]*RANDBETWEEN(8,12)/10,0)</f>
        <v>898</v>
      </c>
      <c r="K45" s="4">
        <f ca="1">T_Facebook_Ads[[#This Row],[engagement_rate]]*RANDBETWEEN(8,12)/10</f>
        <v>4.6300000000000001E-2</v>
      </c>
      <c r="L45" s="4">
        <f ca="1">ROUND(T_Facebook_Ads[[#This Row],[reach]]*RANDBETWEEN(8,12)/10,0)</f>
        <v>6587</v>
      </c>
      <c r="M45" s="4">
        <f ca="1">T_Facebook_Ads[[#This Row],[frequency]]*RANDBETWEEN(8,12)/10</f>
        <v>1.28</v>
      </c>
      <c r="O45" s="3">
        <f t="shared" ca="1" si="6"/>
        <v>45215</v>
      </c>
      <c r="P45" s="4" t="s">
        <v>80</v>
      </c>
      <c r="Q45" s="4" t="s">
        <v>81</v>
      </c>
      <c r="R45" s="4" t="s">
        <v>82</v>
      </c>
      <c r="S45" s="4" t="s">
        <v>83</v>
      </c>
      <c r="T45" s="4">
        <f ca="1">ROUND(_Google_ads[[#This Row],[impressions]]*RANDBETWEEN(8,12)/10,0)</f>
        <v>35610</v>
      </c>
      <c r="U45" s="4">
        <f ca="1">ROUND(_Google_ads[[#This Row],[clicks]]*RANDBETWEEN(8,12)/10,0)</f>
        <v>947</v>
      </c>
      <c r="V45" s="4">
        <f ca="1">_Google_ads[[#This Row],[cost]]*RANDBETWEEN(8,12)/10</f>
        <v>405.91999999999996</v>
      </c>
      <c r="W45" s="4">
        <f ca="1">ROUND(_Google_ads[[#This Row],[conversions]]*RANDBETWEEN(8,12)/10,0)</f>
        <v>21</v>
      </c>
      <c r="X45" s="4">
        <f ca="1">ROUND(_Google_ads[[#This Row],[conversion_value]]*RANDBETWEEN(8,12)/10,0)</f>
        <v>950</v>
      </c>
      <c r="Y45" s="4">
        <f ca="1">_Google_ads[[#This Row],[ctr]]*RANDBETWEEN(8,12)/10</f>
        <v>1.7910000000000002E-2</v>
      </c>
      <c r="Z45" s="4">
        <f ca="1">_Google_ads[[#This Row],[avg_cpc]]*RANDBETWEEN(8,12)/10</f>
        <v>0.57599999999999996</v>
      </c>
      <c r="AA45" s="4">
        <f ca="1">ROUND(_Google_ads[[#This Row],[quality_score]]*RANDBETWEEN(8,12)/10,0)</f>
        <v>7</v>
      </c>
      <c r="AB45" s="4">
        <f ca="1">_Google_ads[[#This Row],[search_impression_share]]*RANDBETWEEN(8,12)/10</f>
        <v>0.46200000000000002</v>
      </c>
      <c r="AD45" s="3">
        <f t="shared" ca="1" si="7"/>
        <v>45223</v>
      </c>
      <c r="AE45" s="4" t="s">
        <v>104</v>
      </c>
      <c r="AF45" s="4" t="s">
        <v>105</v>
      </c>
      <c r="AG45" s="4" t="s">
        <v>106</v>
      </c>
      <c r="AH45" s="4" t="s">
        <v>107</v>
      </c>
      <c r="AI45" s="4">
        <f ca="1">ROUND(T_Tiktok_ads[[#This Row],[impressions]]*RANDBETWEEN(8,12)/10,0)</f>
        <v>116011</v>
      </c>
      <c r="AJ45" s="4">
        <f ca="1">ROUND(T_Tiktok_ads[[#This Row],[clicks]]*RANDBETWEEN(8,12)/10,0)</f>
        <v>2210</v>
      </c>
      <c r="AK45" s="4">
        <v>689.5</v>
      </c>
      <c r="AL45" s="4">
        <f ca="1">ROUND(T_Tiktok_ads[[#This Row],[conversions]]*RANDBETWEEN(8,12)/10,0)</f>
        <v>75</v>
      </c>
      <c r="AM45" s="4">
        <f ca="1">ROUND(T_Tiktok_ads[[#This Row],[video_views]]*RANDBETWEEN(8,12)/10,0)</f>
        <v>82111</v>
      </c>
      <c r="AN45" s="4">
        <f ca="1">ROUND(T_Tiktok_ads[[#This Row],[video_watch_25]]*RANDBETWEEN(8,12)/10,0)</f>
        <v>81881</v>
      </c>
      <c r="AO45" s="4">
        <f ca="1">ROUND(T_Tiktok_ads[[#This Row],[video_watch_50]]*RANDBETWEEN(8,12)/10,0)</f>
        <v>41210</v>
      </c>
      <c r="AP45" s="4">
        <f ca="1">ROUND(T_Tiktok_ads[[#This Row],[video_watch_75]]*RANDBETWEEN(8,12)/10,0)</f>
        <v>34567</v>
      </c>
      <c r="AQ45" s="4">
        <f ca="1">ROUND(T_Tiktok_ads[[#This Row],[video_watch_100]]*RANDBETWEEN(8,12)/10,0)</f>
        <v>18942</v>
      </c>
      <c r="AR45" s="4">
        <f ca="1">ROUND(T_Tiktok_ads[[#This Row],[likes]]*RANDBETWEEN(8,12)/10,0)</f>
        <v>3742</v>
      </c>
      <c r="AS45" s="4">
        <f ca="1">ROUND(T_Tiktok_ads[[#This Row],[shares]]*RANDBETWEEN(8,12)/10,0)</f>
        <v>1140</v>
      </c>
      <c r="AT45" s="4">
        <f ca="1">ROUND(T_Tiktok_ads[[#This Row],[comments]]*RANDBETWEEN(8,12)/10,0)</f>
        <v>190</v>
      </c>
      <c r="AV45" s="5">
        <f t="shared" ca="1" si="8"/>
        <v>45209</v>
      </c>
      <c r="AW45">
        <f t="shared" ca="1" si="4"/>
        <v>1</v>
      </c>
      <c r="AX45">
        <f ca="1">ROUND(T_Facebook_Ads11596367717579838791[[#This Row],[impressions]]*RANDBETWEEN(8,12)/10,0)</f>
        <v>9510</v>
      </c>
      <c r="AY45">
        <f ca="1">ROUND(T_Facebook_Ads11596367717579838791[[#This Row],[clicks]]*RANDBETWEEN(8,12)/10,0)</f>
        <v>391</v>
      </c>
      <c r="AZ45">
        <f ca="1">T_Facebook_Ads11596367717579838791[[#This Row],[spend]]*RANDBETWEEN(8,12)/10</f>
        <v>167.31</v>
      </c>
      <c r="BA45">
        <f ca="1">ROUND(T_Facebook_Ads11596367717579838791[[#This Row],[conversions]]*RANDBETWEEN(8,12)/10,0)</f>
        <v>31</v>
      </c>
      <c r="BB45">
        <f ca="1">ROUND(T_Facebook_Ads11596367717579838791[[#This Row],[video_views]]*RANDBETWEEN(8,12)/10,0)</f>
        <v>1078</v>
      </c>
    </row>
    <row r="46" spans="1:54" ht="15.75" thickBot="1" x14ac:dyDescent="0.3">
      <c r="A46" s="3">
        <f t="shared" ca="1" si="5"/>
        <v>45216</v>
      </c>
      <c r="B46" s="4" t="s">
        <v>60</v>
      </c>
      <c r="C46" s="4" t="s">
        <v>61</v>
      </c>
      <c r="D46" s="4" t="s">
        <v>62</v>
      </c>
      <c r="E46" s="4" t="s">
        <v>63</v>
      </c>
      <c r="F46" s="4">
        <f ca="1">ROUND(T_Facebook_Ads[[#This Row],[impressions]]*RANDBETWEEN(8,12)/10,0)</f>
        <v>34357</v>
      </c>
      <c r="G46" s="4">
        <v>1123</v>
      </c>
      <c r="H46" s="4">
        <f ca="1">T_Facebook_Ads[[#This Row],[spend]]*RANDBETWEEN(8,12)/10</f>
        <v>191.18</v>
      </c>
      <c r="I46" s="4">
        <f ca="1">ROUND(T_Facebook_Ads[[#This Row],[conversions]]*RANDBETWEEN(8,12)/10,0)</f>
        <v>19</v>
      </c>
      <c r="J46" s="4">
        <f ca="1">ROUND(T_Facebook_Ads[[#This Row],[video_views]]*RANDBETWEEN(8,12)/10,0)</f>
        <v>4279</v>
      </c>
      <c r="K46" s="4">
        <f ca="1">T_Facebook_Ads[[#This Row],[engagement_rate]]*RANDBETWEEN(8,12)/10</f>
        <v>3.5999999999999997E-2</v>
      </c>
      <c r="L46" s="4">
        <f ca="1">ROUND(T_Facebook_Ads[[#This Row],[reach]]*RANDBETWEEN(8,12)/10,0)</f>
        <v>26123</v>
      </c>
      <c r="M46" s="4">
        <f ca="1">T_Facebook_Ads[[#This Row],[frequency]]*RANDBETWEEN(8,12)/10</f>
        <v>1.3199999999999998</v>
      </c>
      <c r="O46" s="3">
        <f t="shared" ca="1" si="6"/>
        <v>45219</v>
      </c>
      <c r="P46" s="4" t="s">
        <v>84</v>
      </c>
      <c r="Q46" s="4" t="s">
        <v>85</v>
      </c>
      <c r="R46" s="4" t="s">
        <v>86</v>
      </c>
      <c r="S46" s="4" t="s">
        <v>87</v>
      </c>
      <c r="T46" s="4">
        <f ca="1">ROUND(_Google_ads[[#This Row],[impressions]]*RANDBETWEEN(8,12)/10,0)</f>
        <v>68079</v>
      </c>
      <c r="U46" s="4">
        <f ca="1">ROUND(_Google_ads[[#This Row],[clicks]]*RANDBETWEEN(8,12)/10,0)</f>
        <v>1610</v>
      </c>
      <c r="V46" s="4">
        <f ca="1">_Google_ads[[#This Row],[cost]]*RANDBETWEEN(8,12)/10</f>
        <v>332.37</v>
      </c>
      <c r="W46" s="4">
        <f ca="1">ROUND(_Google_ads[[#This Row],[conversions]]*RANDBETWEEN(8,12)/10,0)</f>
        <v>46</v>
      </c>
      <c r="X46" s="4">
        <f ca="1">ROUND(_Google_ads[[#This Row],[conversion_value]]*RANDBETWEEN(8,12)/10,0)</f>
        <v>2900</v>
      </c>
      <c r="Y46" s="4">
        <f ca="1">_Google_ads[[#This Row],[ctr]]*RANDBETWEEN(8,12)/10</f>
        <v>3.2500000000000001E-2</v>
      </c>
      <c r="Z46" s="4">
        <f ca="1">_Google_ads[[#This Row],[avg_cpc]]*RANDBETWEEN(8,12)/10</f>
        <v>0.21600000000000003</v>
      </c>
      <c r="AA46" s="4">
        <f ca="1">ROUND(_Google_ads[[#This Row],[quality_score]]*RANDBETWEEN(8,12)/10,0)</f>
        <v>7</v>
      </c>
      <c r="AB46" s="4">
        <f ca="1">_Google_ads[[#This Row],[search_impression_share]]*RANDBETWEEN(8,12)/10</f>
        <v>0.70399999999999996</v>
      </c>
      <c r="AD46" s="3">
        <f t="shared" ca="1" si="7"/>
        <v>45223</v>
      </c>
      <c r="AE46" s="4" t="s">
        <v>108</v>
      </c>
      <c r="AF46" s="4" t="s">
        <v>109</v>
      </c>
      <c r="AG46" s="4" t="s">
        <v>110</v>
      </c>
      <c r="AH46" s="4" t="s">
        <v>111</v>
      </c>
      <c r="AI46" s="4">
        <f ca="1">ROUND(T_Tiktok_ads[[#This Row],[impressions]]*RANDBETWEEN(8,12)/10,0)</f>
        <v>215246</v>
      </c>
      <c r="AJ46" s="4">
        <f ca="1">ROUND(T_Tiktok_ads[[#This Row],[clicks]]*RANDBETWEEN(8,12)/10,0)</f>
        <v>3587</v>
      </c>
      <c r="AK46" s="4">
        <v>361.2</v>
      </c>
      <c r="AL46" s="4">
        <f ca="1">ROUND(T_Tiktok_ads[[#This Row],[conversions]]*RANDBETWEEN(8,12)/10,0)</f>
        <v>28</v>
      </c>
      <c r="AM46" s="4">
        <f ca="1">ROUND(T_Tiktok_ads[[#This Row],[video_views]]*RANDBETWEEN(8,12)/10,0)</f>
        <v>182814</v>
      </c>
      <c r="AN46" s="4">
        <f ca="1">ROUND(T_Tiktok_ads[[#This Row],[video_watch_25]]*RANDBETWEEN(8,12)/10,0)</f>
        <v>93787</v>
      </c>
      <c r="AO46" s="4">
        <f ca="1">ROUND(T_Tiktok_ads[[#This Row],[video_watch_50]]*RANDBETWEEN(8,12)/10,0)</f>
        <v>74587</v>
      </c>
      <c r="AP46" s="4">
        <f ca="1">ROUND(T_Tiktok_ads[[#This Row],[video_watch_75]]*RANDBETWEEN(8,12)/10,0)</f>
        <v>65157</v>
      </c>
      <c r="AQ46" s="4">
        <f ca="1">ROUND(T_Tiktok_ads[[#This Row],[video_watch_100]]*RANDBETWEEN(8,12)/10,0)</f>
        <v>32611</v>
      </c>
      <c r="AR46" s="4">
        <f ca="1">ROUND(T_Tiktok_ads[[#This Row],[likes]]*RANDBETWEEN(8,12)/10,0)</f>
        <v>6411</v>
      </c>
      <c r="AS46" s="4">
        <f ca="1">ROUND(T_Tiktok_ads[[#This Row],[shares]]*RANDBETWEEN(8,12)/10,0)</f>
        <v>2360</v>
      </c>
      <c r="AT46" s="4">
        <f ca="1">ROUND(T_Tiktok_ads[[#This Row],[comments]]*RANDBETWEEN(8,12)/10,0)</f>
        <v>430</v>
      </c>
      <c r="AV46" s="5">
        <f t="shared" ca="1" si="8"/>
        <v>45218</v>
      </c>
      <c r="AW46">
        <f t="shared" ca="1" si="4"/>
        <v>7</v>
      </c>
      <c r="AX46">
        <f ca="1">ROUND(T_Facebook_Ads11596367717579838791[[#This Row],[impressions]]*RANDBETWEEN(8,12)/10,0)</f>
        <v>41228</v>
      </c>
      <c r="AY46">
        <f ca="1">ROUND(T_Facebook_Ads11596367717579838791[[#This Row],[clicks]]*RANDBETWEEN(8,12)/10,0)</f>
        <v>1011</v>
      </c>
      <c r="AZ46">
        <f ca="1">T_Facebook_Ads11596367717579838791[[#This Row],[spend]]*RANDBETWEEN(8,12)/10</f>
        <v>152.94400000000002</v>
      </c>
      <c r="BA46">
        <f ca="1">ROUND(T_Facebook_Ads11596367717579838791[[#This Row],[conversions]]*RANDBETWEEN(8,12)/10,0)</f>
        <v>21</v>
      </c>
      <c r="BB46">
        <f ca="1">ROUND(T_Facebook_Ads11596367717579838791[[#This Row],[video_views]]*RANDBETWEEN(8,12)/10,0)</f>
        <v>3423</v>
      </c>
    </row>
    <row r="47" spans="1:54" ht="15.75" thickBot="1" x14ac:dyDescent="0.3">
      <c r="A47" s="3">
        <f t="shared" ca="1" si="5"/>
        <v>45215</v>
      </c>
      <c r="B47" s="4" t="s">
        <v>64</v>
      </c>
      <c r="C47" s="4" t="s">
        <v>65</v>
      </c>
      <c r="D47" s="4" t="s">
        <v>66</v>
      </c>
      <c r="E47" s="4" t="s">
        <v>67</v>
      </c>
      <c r="F47" s="4">
        <f ca="1">ROUND(T_Facebook_Ads[[#This Row],[impressions]]*RANDBETWEEN(8,12)/10,0)</f>
        <v>61234</v>
      </c>
      <c r="G47" s="4">
        <v>223</v>
      </c>
      <c r="H47" s="4">
        <f ca="1">T_Facebook_Ads[[#This Row],[spend]]*RANDBETWEEN(8,12)/10</f>
        <v>94.68</v>
      </c>
      <c r="I47" s="4">
        <f ca="1">ROUND(T_Facebook_Ads[[#This Row],[conversions]]*RANDBETWEEN(8,12)/10,0)</f>
        <v>4</v>
      </c>
      <c r="J47" s="4">
        <f ca="1">ROUND(T_Facebook_Ads[[#This Row],[video_views]]*RANDBETWEEN(8,12)/10,0)</f>
        <v>32454</v>
      </c>
      <c r="K47" s="4">
        <f ca="1">T_Facebook_Ads[[#This Row],[engagement_rate]]*RANDBETWEEN(8,12)/10</f>
        <v>3.96E-3</v>
      </c>
      <c r="L47" s="4">
        <f ca="1">ROUND(T_Facebook_Ads[[#This Row],[reach]]*RANDBETWEEN(8,12)/10,0)</f>
        <v>55135</v>
      </c>
      <c r="M47" s="4">
        <f ca="1">T_Facebook_Ads[[#This Row],[frequency]]*RANDBETWEEN(8,12)/10</f>
        <v>1.3420000000000001</v>
      </c>
      <c r="O47" s="3">
        <f t="shared" ca="1" si="6"/>
        <v>45200</v>
      </c>
      <c r="P47" s="4" t="s">
        <v>88</v>
      </c>
      <c r="Q47" s="4" t="s">
        <v>89</v>
      </c>
      <c r="R47" s="4" t="s">
        <v>90</v>
      </c>
      <c r="S47" s="4" t="s">
        <v>59</v>
      </c>
      <c r="T47" s="4">
        <f ca="1">ROUND(_Google_ads[[#This Row],[impressions]]*RANDBETWEEN(8,12)/10,0)</f>
        <v>138814</v>
      </c>
      <c r="U47" s="4">
        <f ca="1">ROUND(_Google_ads[[#This Row],[clicks]]*RANDBETWEEN(8,12)/10,0)</f>
        <v>494</v>
      </c>
      <c r="V47" s="4">
        <f ca="1">_Google_ads[[#This Row],[cost]]*RANDBETWEEN(8,12)/10</f>
        <v>136.08000000000001</v>
      </c>
      <c r="W47" s="4">
        <f ca="1">ROUND(_Google_ads[[#This Row],[conversions]]*RANDBETWEEN(8,12)/10,0)</f>
        <v>11</v>
      </c>
      <c r="X47" s="4">
        <f ca="1">ROUND(_Google_ads[[#This Row],[conversion_value]]*RANDBETWEEN(8,12)/10,0)</f>
        <v>550</v>
      </c>
      <c r="Y47" s="4">
        <f ca="1">_Google_ads[[#This Row],[ctr]]*RANDBETWEEN(8,12)/10</f>
        <v>3.5999999999999999E-3</v>
      </c>
      <c r="Z47" s="4">
        <f ca="1">_Google_ads[[#This Row],[avg_cpc]]*RANDBETWEEN(8,12)/10</f>
        <v>0.22400000000000003</v>
      </c>
      <c r="AA47" s="4">
        <f ca="1">ROUND(_Google_ads[[#This Row],[quality_score]]*RANDBETWEEN(8,12)/10,0)</f>
        <v>8</v>
      </c>
      <c r="AB47" s="4">
        <f ca="1">_Google_ads[[#This Row],[search_impression_share]]*RANDBETWEEN(8,12)/10</f>
        <v>0.28799999999999998</v>
      </c>
      <c r="AD47" s="3">
        <f t="shared" ca="1" si="7"/>
        <v>45212</v>
      </c>
      <c r="AE47" s="4" t="s">
        <v>112</v>
      </c>
      <c r="AF47" s="4" t="s">
        <v>113</v>
      </c>
      <c r="AG47" s="4" t="s">
        <v>114</v>
      </c>
      <c r="AH47" s="4" t="s">
        <v>115</v>
      </c>
      <c r="AI47" s="4">
        <f ca="1">ROUND(T_Tiktok_ads[[#This Row],[impressions]]*RANDBETWEEN(8,12)/10,0)</f>
        <v>321110</v>
      </c>
      <c r="AJ47" s="4">
        <f ca="1">ROUND(T_Tiktok_ads[[#This Row],[clicks]]*RANDBETWEEN(8,12)/10,0)</f>
        <v>7001</v>
      </c>
      <c r="AK47" s="4">
        <v>901.2</v>
      </c>
      <c r="AL47" s="4">
        <f ca="1">ROUND(T_Tiktok_ads[[#This Row],[conversions]]*RANDBETWEEN(8,12)/10,0)</f>
        <v>100</v>
      </c>
      <c r="AM47" s="4">
        <f ca="1">ROUND(T_Tiktok_ads[[#This Row],[video_views]]*RANDBETWEEN(8,12)/10,0)</f>
        <v>234765</v>
      </c>
      <c r="AN47" s="4">
        <f ca="1">ROUND(T_Tiktok_ads[[#This Row],[video_watch_25]]*RANDBETWEEN(8,12)/10,0)</f>
        <v>239234</v>
      </c>
      <c r="AO47" s="4">
        <f ca="1">ROUND(T_Tiktok_ads[[#This Row],[video_watch_50]]*RANDBETWEEN(8,12)/10,0)</f>
        <v>191234</v>
      </c>
      <c r="AP47" s="4">
        <f ca="1">ROUND(T_Tiktok_ads[[#This Row],[video_watch_75]]*RANDBETWEEN(8,12)/10,0)</f>
        <v>149857</v>
      </c>
      <c r="AQ47" s="4">
        <f ca="1">ROUND(T_Tiktok_ads[[#This Row],[video_watch_100]]*RANDBETWEEN(8,12)/10,0)</f>
        <v>72187</v>
      </c>
      <c r="AR47" s="4">
        <f ca="1">ROUND(T_Tiktok_ads[[#This Row],[likes]]*RANDBETWEEN(8,12)/10,0)</f>
        <v>17479</v>
      </c>
      <c r="AS47" s="4">
        <f ca="1">ROUND(T_Tiktok_ads[[#This Row],[shares]]*RANDBETWEEN(8,12)/10,0)</f>
        <v>5097</v>
      </c>
      <c r="AT47" s="4">
        <f ca="1">ROUND(T_Tiktok_ads[[#This Row],[comments]]*RANDBETWEEN(8,12)/10,0)</f>
        <v>1507</v>
      </c>
      <c r="AV47" s="5">
        <f t="shared" ca="1" si="8"/>
        <v>45225</v>
      </c>
      <c r="AW47">
        <f t="shared" ca="1" si="4"/>
        <v>6</v>
      </c>
      <c r="AX47">
        <f ca="1">ROUND(T_Facebook_Ads11596367717579838791[[#This Row],[impressions]]*RANDBETWEEN(8,12)/10,0)</f>
        <v>48987</v>
      </c>
      <c r="AY47">
        <f ca="1">ROUND(T_Facebook_Ads11596367717579838791[[#This Row],[clicks]]*RANDBETWEEN(8,12)/10,0)</f>
        <v>223</v>
      </c>
      <c r="AZ47">
        <f ca="1">T_Facebook_Ads11596367717579838791[[#This Row],[spend]]*RANDBETWEEN(8,12)/10</f>
        <v>75.744</v>
      </c>
      <c r="BA47">
        <f ca="1">ROUND(T_Facebook_Ads11596367717579838791[[#This Row],[conversions]]*RANDBETWEEN(8,12)/10,0)</f>
        <v>4</v>
      </c>
      <c r="BB47">
        <f ca="1">ROUND(T_Facebook_Ads11596367717579838791[[#This Row],[video_views]]*RANDBETWEEN(8,12)/10,0)</f>
        <v>35699</v>
      </c>
    </row>
    <row r="48" spans="1:54" ht="15.75" thickBot="1" x14ac:dyDescent="0.3">
      <c r="A48" s="3">
        <f t="shared" ca="1" si="5"/>
        <v>45206</v>
      </c>
      <c r="B48" s="4" t="s">
        <v>52</v>
      </c>
      <c r="C48" s="4" t="s">
        <v>53</v>
      </c>
      <c r="D48" s="4" t="s">
        <v>54</v>
      </c>
      <c r="E48" s="4" t="s">
        <v>55</v>
      </c>
      <c r="F48" s="4">
        <f ca="1">ROUND(T_Facebook_Ads[[#This Row],[impressions]]*RANDBETWEEN(8,12)/10,0)</f>
        <v>51468</v>
      </c>
      <c r="G48" s="4">
        <v>934</v>
      </c>
      <c r="H48" s="4">
        <f ca="1">T_Facebook_Ads[[#This Row],[spend]]*RANDBETWEEN(8,12)/10</f>
        <v>105.92</v>
      </c>
      <c r="I48" s="4">
        <f ca="1">ROUND(T_Facebook_Ads[[#This Row],[conversions]]*RANDBETWEEN(8,12)/10,0)</f>
        <v>17</v>
      </c>
      <c r="J48" s="4">
        <f ca="1">ROUND(T_Facebook_Ads[[#This Row],[video_views]]*RANDBETWEEN(8,12)/10,0)</f>
        <v>6854</v>
      </c>
      <c r="K48" s="4">
        <f ca="1">T_Facebook_Ads[[#This Row],[engagement_rate]]*RANDBETWEEN(8,12)/10</f>
        <v>1.6E-2</v>
      </c>
      <c r="L48" s="4">
        <f ca="1">ROUND(T_Facebook_Ads[[#This Row],[reach]]*RANDBETWEEN(8,12)/10,0)</f>
        <v>47081</v>
      </c>
      <c r="M48" s="4">
        <f ca="1">T_Facebook_Ads[[#This Row],[frequency]]*RANDBETWEEN(8,12)/10</f>
        <v>0.95199999999999996</v>
      </c>
      <c r="O48" s="3">
        <f t="shared" ca="1" si="6"/>
        <v>45209</v>
      </c>
      <c r="P48" s="4" t="s">
        <v>76</v>
      </c>
      <c r="Q48" s="4" t="s">
        <v>77</v>
      </c>
      <c r="R48" s="4" t="s">
        <v>78</v>
      </c>
      <c r="S48" s="4" t="s">
        <v>79</v>
      </c>
      <c r="T48" s="4">
        <f ca="1">ROUND(_Google_ads[[#This Row],[impressions]]*RANDBETWEEN(8,12)/10,0)</f>
        <v>26279</v>
      </c>
      <c r="U48" s="4">
        <f ca="1">ROUND(_Google_ads[[#This Row],[clicks]]*RANDBETWEEN(8,12)/10,0)</f>
        <v>987</v>
      </c>
      <c r="V48" s="4">
        <f ca="1">_Google_ads[[#This Row],[cost]]*RANDBETWEEN(8,12)/10</f>
        <v>212.04000000000002</v>
      </c>
      <c r="W48" s="4">
        <f ca="1">ROUND(_Google_ads[[#This Row],[conversions]]*RANDBETWEEN(8,12)/10,0)</f>
        <v>51</v>
      </c>
      <c r="X48" s="4">
        <f ca="1">ROUND(_Google_ads[[#This Row],[conversion_value]]*RANDBETWEEN(8,12)/10,0)</f>
        <v>2530</v>
      </c>
      <c r="Y48" s="4">
        <f ca="1">_Google_ads[[#This Row],[ctr]]*RANDBETWEEN(8,12)/10</f>
        <v>6.2040000000000005E-2</v>
      </c>
      <c r="Z48" s="4">
        <f ca="1">_Google_ads[[#This Row],[avg_cpc]]*RANDBETWEEN(8,12)/10</f>
        <v>0.17099999999999999</v>
      </c>
      <c r="AA48" s="4">
        <f ca="1">ROUND(_Google_ads[[#This Row],[quality_score]]*RANDBETWEEN(8,12)/10,0)</f>
        <v>8</v>
      </c>
      <c r="AB48" s="4">
        <f ca="1">_Google_ads[[#This Row],[search_impression_share]]*RANDBETWEEN(8,12)/10</f>
        <v>1.0920000000000001</v>
      </c>
      <c r="AD48" s="3">
        <f t="shared" ca="1" si="7"/>
        <v>45225</v>
      </c>
      <c r="AE48" s="4" t="s">
        <v>100</v>
      </c>
      <c r="AF48" s="4" t="s">
        <v>101</v>
      </c>
      <c r="AG48" s="4" t="s">
        <v>102</v>
      </c>
      <c r="AH48" s="4" t="s">
        <v>103</v>
      </c>
      <c r="AI48" s="4">
        <f ca="1">ROUND(T_Tiktok_ads[[#This Row],[impressions]]*RANDBETWEEN(8,12)/10,0)</f>
        <v>246789</v>
      </c>
      <c r="AJ48" s="4">
        <f ca="1">ROUND(T_Tiktok_ads[[#This Row],[clicks]]*RANDBETWEEN(8,12)/10,0)</f>
        <v>3310</v>
      </c>
      <c r="AK48" s="4">
        <v>478.9</v>
      </c>
      <c r="AL48" s="4">
        <f ca="1">ROUND(T_Tiktok_ads[[#This Row],[conversions]]*RANDBETWEEN(8,12)/10,0)</f>
        <v>36</v>
      </c>
      <c r="AM48" s="4">
        <f ca="1">ROUND(T_Tiktok_ads[[#This Row],[video_views]]*RANDBETWEEN(8,12)/10,0)</f>
        <v>228080</v>
      </c>
      <c r="AN48" s="4">
        <f ca="1">ROUND(T_Tiktok_ads[[#This Row],[video_watch_25]]*RANDBETWEEN(8,12)/10,0)</f>
        <v>147110</v>
      </c>
      <c r="AO48" s="4">
        <f ca="1">ROUND(T_Tiktok_ads[[#This Row],[video_watch_50]]*RANDBETWEEN(8,12)/10,0)</f>
        <v>92111</v>
      </c>
      <c r="AP48" s="4">
        <f ca="1">ROUND(T_Tiktok_ads[[#This Row],[video_watch_75]]*RANDBETWEEN(8,12)/10,0)</f>
        <v>77257</v>
      </c>
      <c r="AQ48" s="4">
        <f ca="1">ROUND(T_Tiktok_ads[[#This Row],[video_watch_100]]*RANDBETWEEN(8,12)/10,0)</f>
        <v>47234</v>
      </c>
      <c r="AR48" s="4">
        <f ca="1">ROUND(T_Tiktok_ads[[#This Row],[likes]]*RANDBETWEEN(8,12)/10,0)</f>
        <v>7387</v>
      </c>
      <c r="AS48" s="4">
        <f ca="1">ROUND(T_Tiktok_ads[[#This Row],[shares]]*RANDBETWEEN(8,12)/10,0)</f>
        <v>2947</v>
      </c>
      <c r="AT48" s="4">
        <f ca="1">ROUND(T_Tiktok_ads[[#This Row],[comments]]*RANDBETWEEN(8,12)/10,0)</f>
        <v>648</v>
      </c>
      <c r="AV48" s="5">
        <f t="shared" ca="1" si="8"/>
        <v>45205</v>
      </c>
      <c r="AW48">
        <f t="shared" ca="1" si="4"/>
        <v>1</v>
      </c>
      <c r="AX48">
        <f ca="1">ROUND(T_Facebook_Ads11596367717579838791[[#This Row],[impressions]]*RANDBETWEEN(8,12)/10,0)</f>
        <v>41174</v>
      </c>
      <c r="AY48">
        <f ca="1">ROUND(T_Facebook_Ads11596367717579838791[[#This Row],[clicks]]*RANDBETWEEN(8,12)/10,0)</f>
        <v>841</v>
      </c>
      <c r="AZ48">
        <f ca="1">T_Facebook_Ads11596367717579838791[[#This Row],[spend]]*RANDBETWEEN(8,12)/10</f>
        <v>105.92</v>
      </c>
      <c r="BA48">
        <f ca="1">ROUND(T_Facebook_Ads11596367717579838791[[#This Row],[conversions]]*RANDBETWEEN(8,12)/10,0)</f>
        <v>19</v>
      </c>
      <c r="BB48">
        <f ca="1">ROUND(T_Facebook_Ads11596367717579838791[[#This Row],[video_views]]*RANDBETWEEN(8,12)/10,0)</f>
        <v>7539</v>
      </c>
    </row>
    <row r="49" spans="1:54" ht="15.75" thickBot="1" x14ac:dyDescent="0.3">
      <c r="A49" s="3">
        <f t="shared" ca="1" si="5"/>
        <v>45201</v>
      </c>
      <c r="B49" s="4" t="s">
        <v>56</v>
      </c>
      <c r="C49" s="4" t="s">
        <v>57</v>
      </c>
      <c r="D49" s="4" t="s">
        <v>58</v>
      </c>
      <c r="E49" s="4" t="s">
        <v>59</v>
      </c>
      <c r="F49" s="4">
        <f ca="1">ROUND(T_Facebook_Ads[[#This Row],[impressions]]*RANDBETWEEN(8,12)/10,0)</f>
        <v>11601</v>
      </c>
      <c r="G49" s="4">
        <v>567</v>
      </c>
      <c r="H49" s="4">
        <f ca="1">T_Facebook_Ads[[#This Row],[spend]]*RANDBETWEEN(8,12)/10</f>
        <v>221.3</v>
      </c>
      <c r="I49" s="4">
        <f ca="1">ROUND(T_Facebook_Ads[[#This Row],[conversions]]*RANDBETWEEN(8,12)/10,0)</f>
        <v>30</v>
      </c>
      <c r="J49" s="4">
        <f ca="1">ROUND(T_Facebook_Ads[[#This Row],[video_views]]*RANDBETWEEN(8,12)/10,0)</f>
        <v>1211</v>
      </c>
      <c r="K49" s="4">
        <f ca="1">T_Facebook_Ads[[#This Row],[engagement_rate]]*RANDBETWEEN(8,12)/10</f>
        <v>3.5199999999999995E-2</v>
      </c>
      <c r="L49" s="4">
        <f ca="1">ROUND(T_Facebook_Ads[[#This Row],[reach]]*RANDBETWEEN(8,12)/10,0)</f>
        <v>12148</v>
      </c>
      <c r="M49" s="4">
        <f ca="1">T_Facebook_Ads[[#This Row],[frequency]]*RANDBETWEEN(8,12)/10</f>
        <v>1.524</v>
      </c>
      <c r="O49" s="3">
        <f t="shared" ca="1" si="6"/>
        <v>45225</v>
      </c>
      <c r="P49" s="4" t="s">
        <v>80</v>
      </c>
      <c r="Q49" s="4" t="s">
        <v>81</v>
      </c>
      <c r="R49" s="4" t="s">
        <v>82</v>
      </c>
      <c r="S49" s="4" t="s">
        <v>83</v>
      </c>
      <c r="T49" s="4">
        <f ca="1">ROUND(_Google_ads[[#This Row],[impressions]]*RANDBETWEEN(8,12)/10,0)</f>
        <v>48168</v>
      </c>
      <c r="U49" s="4">
        <f ca="1">ROUND(_Google_ads[[#This Row],[clicks]]*RANDBETWEEN(8,12)/10,0)</f>
        <v>770</v>
      </c>
      <c r="V49" s="4">
        <f ca="1">_Google_ads[[#This Row],[cost]]*RANDBETWEEN(8,12)/10</f>
        <v>673.07999999999993</v>
      </c>
      <c r="W49" s="4">
        <f ca="1">ROUND(_Google_ads[[#This Row],[conversions]]*RANDBETWEEN(8,12)/10,0)</f>
        <v>20</v>
      </c>
      <c r="X49" s="4">
        <f ca="1">ROUND(_Google_ads[[#This Row],[conversion_value]]*RANDBETWEEN(8,12)/10,0)</f>
        <v>1320</v>
      </c>
      <c r="Y49" s="4">
        <f ca="1">_Google_ads[[#This Row],[ctr]]*RANDBETWEEN(8,12)/10</f>
        <v>1.95E-2</v>
      </c>
      <c r="Z49" s="4">
        <f ca="1">_Google_ads[[#This Row],[avg_cpc]]*RANDBETWEEN(8,12)/10</f>
        <v>0.52800000000000002</v>
      </c>
      <c r="AA49" s="4">
        <f ca="1">ROUND(_Google_ads[[#This Row],[quality_score]]*RANDBETWEEN(8,12)/10,0)</f>
        <v>6</v>
      </c>
      <c r="AB49" s="4">
        <f ca="1">_Google_ads[[#This Row],[search_impression_share]]*RANDBETWEEN(8,12)/10</f>
        <v>0.44000000000000006</v>
      </c>
      <c r="AD49" s="3">
        <f t="shared" ca="1" si="7"/>
        <v>45213</v>
      </c>
      <c r="AE49" s="4" t="s">
        <v>104</v>
      </c>
      <c r="AF49" s="4" t="s">
        <v>105</v>
      </c>
      <c r="AG49" s="4" t="s">
        <v>106</v>
      </c>
      <c r="AH49" s="4" t="s">
        <v>107</v>
      </c>
      <c r="AI49" s="4">
        <f ca="1">ROUND(T_Tiktok_ads[[#This Row],[impressions]]*RANDBETWEEN(8,12)/10,0)</f>
        <v>170814</v>
      </c>
      <c r="AJ49" s="4">
        <f ca="1">ROUND(T_Tiktok_ads[[#This Row],[clicks]]*RANDBETWEEN(8,12)/10,0)</f>
        <v>2946</v>
      </c>
      <c r="AK49" s="4">
        <v>734.5</v>
      </c>
      <c r="AL49" s="4">
        <f ca="1">ROUND(T_Tiktok_ads[[#This Row],[conversions]]*RANDBETWEEN(8,12)/10,0)</f>
        <v>88</v>
      </c>
      <c r="AM49" s="4">
        <f ca="1">ROUND(T_Tiktok_ads[[#This Row],[video_views]]*RANDBETWEEN(8,12)/10,0)</f>
        <v>117468</v>
      </c>
      <c r="AN49" s="4">
        <f ca="1">ROUND(T_Tiktok_ads[[#This Row],[video_watch_25]]*RANDBETWEEN(8,12)/10,0)</f>
        <v>72345</v>
      </c>
      <c r="AO49" s="4">
        <f ca="1">ROUND(T_Tiktok_ads[[#This Row],[video_watch_50]]*RANDBETWEEN(8,12)/10,0)</f>
        <v>39121</v>
      </c>
      <c r="AP49" s="4">
        <f ca="1">ROUND(T_Tiktok_ads[[#This Row],[video_watch_75]]*RANDBETWEEN(8,12)/10,0)</f>
        <v>36789</v>
      </c>
      <c r="AQ49" s="4">
        <f ca="1">ROUND(T_Tiktok_ads[[#This Row],[video_watch_100]]*RANDBETWEEN(8,12)/10,0)</f>
        <v>29868</v>
      </c>
      <c r="AR49" s="4">
        <f ca="1">ROUND(T_Tiktok_ads[[#This Row],[likes]]*RANDBETWEEN(8,12)/10,0)</f>
        <v>3921</v>
      </c>
      <c r="AS49" s="4">
        <f ca="1">ROUND(T_Tiktok_ads[[#This Row],[shares]]*RANDBETWEEN(8,12)/10,0)</f>
        <v>1220</v>
      </c>
      <c r="AT49" s="4">
        <f ca="1">ROUND(T_Tiktok_ads[[#This Row],[comments]]*RANDBETWEEN(8,12)/10,0)</f>
        <v>230</v>
      </c>
      <c r="AV49" s="5">
        <f t="shared" ca="1" si="8"/>
        <v>45219</v>
      </c>
      <c r="AW49">
        <f t="shared" ca="1" si="4"/>
        <v>3</v>
      </c>
      <c r="AX49">
        <f ca="1">ROUND(T_Facebook_Ads11596367717579838791[[#This Row],[impressions]]*RANDBETWEEN(8,12)/10,0)</f>
        <v>11601</v>
      </c>
      <c r="AY49">
        <f ca="1">ROUND(T_Facebook_Ads11596367717579838791[[#This Row],[clicks]]*RANDBETWEEN(8,12)/10,0)</f>
        <v>680</v>
      </c>
      <c r="AZ49">
        <f ca="1">T_Facebook_Ads11596367717579838791[[#This Row],[spend]]*RANDBETWEEN(8,12)/10</f>
        <v>221.3</v>
      </c>
      <c r="BA49">
        <f ca="1">ROUND(T_Facebook_Ads11596367717579838791[[#This Row],[conversions]]*RANDBETWEEN(8,12)/10,0)</f>
        <v>36</v>
      </c>
      <c r="BB49">
        <f ca="1">ROUND(T_Facebook_Ads11596367717579838791[[#This Row],[video_views]]*RANDBETWEEN(8,12)/10,0)</f>
        <v>1090</v>
      </c>
    </row>
    <row r="50" spans="1:54" ht="15.75" thickBot="1" x14ac:dyDescent="0.3">
      <c r="A50" s="3">
        <f t="shared" ca="1" si="5"/>
        <v>45224</v>
      </c>
      <c r="B50" s="4" t="s">
        <v>60</v>
      </c>
      <c r="C50" s="4" t="s">
        <v>61</v>
      </c>
      <c r="D50" s="4" t="s">
        <v>62</v>
      </c>
      <c r="E50" s="4" t="s">
        <v>63</v>
      </c>
      <c r="F50" s="4">
        <f ca="1">ROUND(T_Facebook_Ads[[#This Row],[impressions]]*RANDBETWEEN(8,12)/10,0)</f>
        <v>28542</v>
      </c>
      <c r="G50" s="4">
        <v>1289</v>
      </c>
      <c r="H50" s="4">
        <f ca="1">T_Facebook_Ads[[#This Row],[spend]]*RANDBETWEEN(8,12)/10</f>
        <v>157.28</v>
      </c>
      <c r="I50" s="4">
        <f ca="1">ROUND(T_Facebook_Ads[[#This Row],[conversions]]*RANDBETWEEN(8,12)/10,0)</f>
        <v>30</v>
      </c>
      <c r="J50" s="4">
        <f ca="1">ROUND(T_Facebook_Ads[[#This Row],[video_views]]*RANDBETWEEN(8,12)/10,0)</f>
        <v>5146</v>
      </c>
      <c r="K50" s="4">
        <f ca="1">T_Facebook_Ads[[#This Row],[engagement_rate]]*RANDBETWEEN(8,12)/10</f>
        <v>3.2490000000000005E-2</v>
      </c>
      <c r="L50" s="4">
        <f ca="1">ROUND(T_Facebook_Ads[[#This Row],[reach]]*RANDBETWEEN(8,12)/10,0)</f>
        <v>23476</v>
      </c>
      <c r="M50" s="4">
        <f ca="1">T_Facebook_Ads[[#This Row],[frequency]]*RANDBETWEEN(8,12)/10</f>
        <v>1.3420000000000001</v>
      </c>
      <c r="O50" s="3">
        <f t="shared" ca="1" si="6"/>
        <v>45220</v>
      </c>
      <c r="P50" s="4" t="s">
        <v>84</v>
      </c>
      <c r="Q50" s="4" t="s">
        <v>85</v>
      </c>
      <c r="R50" s="4" t="s">
        <v>86</v>
      </c>
      <c r="S50" s="4" t="s">
        <v>87</v>
      </c>
      <c r="T50" s="4">
        <f ca="1">ROUND(_Google_ads[[#This Row],[impressions]]*RANDBETWEEN(8,12)/10,0)</f>
        <v>67234</v>
      </c>
      <c r="U50" s="4">
        <f ca="1">ROUND(_Google_ads[[#This Row],[clicks]]*RANDBETWEEN(8,12)/10,0)</f>
        <v>2234</v>
      </c>
      <c r="V50" s="4">
        <f ca="1">_Google_ads[[#This Row],[cost]]*RANDBETWEEN(8,12)/10</f>
        <v>411.7</v>
      </c>
      <c r="W50" s="4">
        <f ca="1">ROUND(_Google_ads[[#This Row],[conversions]]*RANDBETWEEN(8,12)/10,0)</f>
        <v>78</v>
      </c>
      <c r="X50" s="4">
        <f ca="1">ROUND(_Google_ads[[#This Row],[conversion_value]]*RANDBETWEEN(8,12)/10,0)</f>
        <v>3250</v>
      </c>
      <c r="Y50" s="4">
        <f ca="1">_Google_ads[[#This Row],[ctr]]*RANDBETWEEN(8,12)/10</f>
        <v>2.656E-2</v>
      </c>
      <c r="Z50" s="4">
        <f ca="1">_Google_ads[[#This Row],[avg_cpc]]*RANDBETWEEN(8,12)/10</f>
        <v>0.19800000000000001</v>
      </c>
      <c r="AA50" s="4">
        <f ca="1">ROUND(_Google_ads[[#This Row],[quality_score]]*RANDBETWEEN(8,12)/10,0)</f>
        <v>10</v>
      </c>
      <c r="AB50" s="4">
        <f ca="1">_Google_ads[[#This Row],[search_impression_share]]*RANDBETWEEN(8,12)/10</f>
        <v>0.59400000000000008</v>
      </c>
      <c r="AD50" s="3">
        <f t="shared" ca="1" si="7"/>
        <v>45211</v>
      </c>
      <c r="AE50" s="4" t="s">
        <v>108</v>
      </c>
      <c r="AF50" s="4" t="s">
        <v>109</v>
      </c>
      <c r="AG50" s="4" t="s">
        <v>110</v>
      </c>
      <c r="AH50" s="4" t="s">
        <v>111</v>
      </c>
      <c r="AI50" s="4">
        <f ca="1">ROUND(T_Tiktok_ads[[#This Row],[impressions]]*RANDBETWEEN(8,12)/10,0)</f>
        <v>233580</v>
      </c>
      <c r="AJ50" s="4">
        <f ca="1">ROUND(T_Tiktok_ads[[#This Row],[clicks]]*RANDBETWEEN(8,12)/10,0)</f>
        <v>2676</v>
      </c>
      <c r="AK50" s="4">
        <v>401.1</v>
      </c>
      <c r="AL50" s="4">
        <f ca="1">ROUND(T_Tiktok_ads[[#This Row],[conversions]]*RANDBETWEEN(8,12)/10,0)</f>
        <v>25</v>
      </c>
      <c r="AM50" s="4">
        <f ca="1">ROUND(T_Tiktok_ads[[#This Row],[video_views]]*RANDBETWEEN(8,12)/10,0)</f>
        <v>184679</v>
      </c>
      <c r="AN50" s="4">
        <f ca="1">ROUND(T_Tiktok_ads[[#This Row],[video_watch_25]]*RANDBETWEEN(8,12)/10,0)</f>
        <v>141057</v>
      </c>
      <c r="AO50" s="4">
        <f ca="1">ROUND(T_Tiktok_ads[[#This Row],[video_watch_50]]*RANDBETWEEN(8,12)/10,0)</f>
        <v>80987</v>
      </c>
      <c r="AP50" s="4">
        <f ca="1">ROUND(T_Tiktok_ads[[#This Row],[video_watch_75]]*RANDBETWEEN(8,12)/10,0)</f>
        <v>65234</v>
      </c>
      <c r="AQ50" s="4">
        <f ca="1">ROUND(T_Tiktok_ads[[#This Row],[video_watch_100]]*RANDBETWEEN(8,12)/10,0)</f>
        <v>47347</v>
      </c>
      <c r="AR50" s="4">
        <f ca="1">ROUND(T_Tiktok_ads[[#This Row],[likes]]*RANDBETWEEN(8,12)/10,0)</f>
        <v>7010</v>
      </c>
      <c r="AS50" s="4">
        <f ca="1">ROUND(T_Tiktok_ads[[#This Row],[shares]]*RANDBETWEEN(8,12)/10,0)</f>
        <v>2574</v>
      </c>
      <c r="AT50" s="4">
        <f ca="1">ROUND(T_Tiktok_ads[[#This Row],[comments]]*RANDBETWEEN(8,12)/10,0)</f>
        <v>512</v>
      </c>
      <c r="AV50" s="5">
        <f t="shared" ca="1" si="8"/>
        <v>45204</v>
      </c>
      <c r="AW50">
        <f t="shared" ca="1" si="4"/>
        <v>2</v>
      </c>
      <c r="AX50">
        <f ca="1">ROUND(T_Facebook_Ads11596367717579838791[[#This Row],[impressions]]*RANDBETWEEN(8,12)/10,0)</f>
        <v>31396</v>
      </c>
      <c r="AY50">
        <f ca="1">ROUND(T_Facebook_Ads11596367717579838791[[#This Row],[clicks]]*RANDBETWEEN(8,12)/10,0)</f>
        <v>1289</v>
      </c>
      <c r="AZ50">
        <f ca="1">T_Facebook_Ads11596367717579838791[[#This Row],[spend]]*RANDBETWEEN(8,12)/10</f>
        <v>141.55199999999999</v>
      </c>
      <c r="BA50">
        <f ca="1">ROUND(T_Facebook_Ads11596367717579838791[[#This Row],[conversions]]*RANDBETWEEN(8,12)/10,0)</f>
        <v>27</v>
      </c>
      <c r="BB50">
        <f ca="1">ROUND(T_Facebook_Ads11596367717579838791[[#This Row],[video_views]]*RANDBETWEEN(8,12)/10,0)</f>
        <v>6175</v>
      </c>
    </row>
    <row r="51" spans="1:54" ht="15.75" thickBot="1" x14ac:dyDescent="0.3">
      <c r="A51" s="3">
        <f t="shared" ca="1" si="5"/>
        <v>45215</v>
      </c>
      <c r="B51" s="4" t="s">
        <v>64</v>
      </c>
      <c r="C51" s="4" t="s">
        <v>65</v>
      </c>
      <c r="D51" s="4" t="s">
        <v>66</v>
      </c>
      <c r="E51" s="4" t="s">
        <v>67</v>
      </c>
      <c r="F51" s="4">
        <f ca="1">ROUND(T_Facebook_Ads[[#This Row],[impressions]]*RANDBETWEEN(8,12)/10,0)</f>
        <v>54765</v>
      </c>
      <c r="G51" s="4">
        <v>248</v>
      </c>
      <c r="H51" s="4">
        <f ca="1">T_Facebook_Ads[[#This Row],[spend]]*RANDBETWEEN(8,12)/10</f>
        <v>105.11999999999998</v>
      </c>
      <c r="I51" s="4">
        <f ca="1">ROUND(T_Facebook_Ads[[#This Row],[conversions]]*RANDBETWEEN(8,12)/10,0)</f>
        <v>7</v>
      </c>
      <c r="J51" s="4">
        <f ca="1">ROUND(T_Facebook_Ads[[#This Row],[video_views]]*RANDBETWEEN(8,12)/10,0)</f>
        <v>50857</v>
      </c>
      <c r="K51" s="4">
        <f ca="1">T_Facebook_Ads[[#This Row],[engagement_rate]]*RANDBETWEEN(8,12)/10</f>
        <v>4.3200000000000001E-3</v>
      </c>
      <c r="L51" s="4">
        <f ca="1">ROUND(T_Facebook_Ads[[#This Row],[reach]]*RANDBETWEEN(8,12)/10,0)</f>
        <v>68147</v>
      </c>
      <c r="M51" s="4">
        <f ca="1">T_Facebook_Ads[[#This Row],[frequency]]*RANDBETWEEN(8,12)/10</f>
        <v>1.452</v>
      </c>
      <c r="O51" s="3">
        <f t="shared" ca="1" si="6"/>
        <v>45222</v>
      </c>
      <c r="P51" s="4" t="s">
        <v>88</v>
      </c>
      <c r="Q51" s="4" t="s">
        <v>89</v>
      </c>
      <c r="R51" s="4" t="s">
        <v>90</v>
      </c>
      <c r="S51" s="4" t="s">
        <v>59</v>
      </c>
      <c r="T51" s="4">
        <f ca="1">ROUND(_Google_ads[[#This Row],[impressions]]*RANDBETWEEN(8,12)/10,0)</f>
        <v>116011</v>
      </c>
      <c r="U51" s="4">
        <f ca="1">ROUND(_Google_ads[[#This Row],[clicks]]*RANDBETWEEN(8,12)/10,0)</f>
        <v>420</v>
      </c>
      <c r="V51" s="4">
        <f ca="1">_Google_ads[[#This Row],[cost]]*RANDBETWEEN(8,12)/10</f>
        <v>139.37</v>
      </c>
      <c r="W51" s="4">
        <f ca="1">ROUND(_Google_ads[[#This Row],[conversions]]*RANDBETWEEN(8,12)/10,0)</f>
        <v>13</v>
      </c>
      <c r="X51" s="4">
        <f ca="1">ROUND(_Google_ads[[#This Row],[conversion_value]]*RANDBETWEEN(8,12)/10,0)</f>
        <v>650</v>
      </c>
      <c r="Y51" s="4">
        <f ca="1">_Google_ads[[#This Row],[ctr]]*RANDBETWEEN(8,12)/10</f>
        <v>3.2399999999999998E-3</v>
      </c>
      <c r="Z51" s="4">
        <f ca="1">_Google_ads[[#This Row],[avg_cpc]]*RANDBETWEEN(8,12)/10</f>
        <v>0.32400000000000001</v>
      </c>
      <c r="AA51" s="4">
        <f ca="1">ROUND(_Google_ads[[#This Row],[quality_score]]*RANDBETWEEN(8,12)/10,0)</f>
        <v>8</v>
      </c>
      <c r="AB51" s="4">
        <f ca="1">_Google_ads[[#This Row],[search_impression_share]]*RANDBETWEEN(8,12)/10</f>
        <v>0.40800000000000003</v>
      </c>
      <c r="AD51" s="3">
        <f t="shared" ca="1" si="7"/>
        <v>45223</v>
      </c>
      <c r="AE51" s="4" t="s">
        <v>112</v>
      </c>
      <c r="AF51" s="4" t="s">
        <v>113</v>
      </c>
      <c r="AG51" s="4" t="s">
        <v>114</v>
      </c>
      <c r="AH51" s="4" t="s">
        <v>115</v>
      </c>
      <c r="AI51" s="4">
        <f ca="1">ROUND(T_Tiktok_ads[[#This Row],[impressions]]*RANDBETWEEN(8,12)/10,0)</f>
        <v>378901</v>
      </c>
      <c r="AJ51" s="4">
        <f ca="1">ROUND(T_Tiktok_ads[[#This Row],[clicks]]*RANDBETWEEN(8,12)/10,0)</f>
        <v>5511</v>
      </c>
      <c r="AK51" s="4">
        <v>945.6</v>
      </c>
      <c r="AL51" s="4">
        <f ca="1">ROUND(T_Tiktok_ads[[#This Row],[conversions]]*RANDBETWEEN(8,12)/10,0)</f>
        <v>77</v>
      </c>
      <c r="AM51" s="4">
        <f ca="1">ROUND(T_Tiktok_ads[[#This Row],[video_views]]*RANDBETWEEN(8,12)/10,0)</f>
        <v>312345</v>
      </c>
      <c r="AN51" s="4">
        <f ca="1">ROUND(T_Tiktok_ads[[#This Row],[video_watch_25]]*RANDBETWEEN(8,12)/10,0)</f>
        <v>251234</v>
      </c>
      <c r="AO51" s="4">
        <f ca="1">ROUND(T_Tiktok_ads[[#This Row],[video_watch_50]]*RANDBETWEEN(8,12)/10,0)</f>
        <v>201234</v>
      </c>
      <c r="AP51" s="4">
        <f ca="1">ROUND(T_Tiktok_ads[[#This Row],[video_watch_75]]*RANDBETWEEN(8,12)/10,0)</f>
        <v>129110</v>
      </c>
      <c r="AQ51" s="4">
        <f ca="1">ROUND(T_Tiktok_ads[[#This Row],[video_watch_100]]*RANDBETWEEN(8,12)/10,0)</f>
        <v>85711</v>
      </c>
      <c r="AR51" s="4">
        <f ca="1">ROUND(T_Tiktok_ads[[#This Row],[likes]]*RANDBETWEEN(8,12)/10,0)</f>
        <v>13254</v>
      </c>
      <c r="AS51" s="4">
        <f ca="1">ROUND(T_Tiktok_ads[[#This Row],[shares]]*RANDBETWEEN(8,12)/10,0)</f>
        <v>3858</v>
      </c>
      <c r="AT51" s="4">
        <f ca="1">ROUND(T_Tiktok_ads[[#This Row],[comments]]*RANDBETWEEN(8,12)/10,0)</f>
        <v>1443</v>
      </c>
      <c r="AV51" s="5">
        <f t="shared" ca="1" si="8"/>
        <v>45219</v>
      </c>
      <c r="AW51">
        <f t="shared" ca="1" si="4"/>
        <v>2</v>
      </c>
      <c r="AX51">
        <f ca="1">ROUND(T_Facebook_Ads11596367717579838791[[#This Row],[impressions]]*RANDBETWEEN(8,12)/10,0)</f>
        <v>60242</v>
      </c>
      <c r="AY51">
        <f ca="1">ROUND(T_Facebook_Ads11596367717579838791[[#This Row],[clicks]]*RANDBETWEEN(8,12)/10,0)</f>
        <v>248</v>
      </c>
      <c r="AZ51">
        <f ca="1">T_Facebook_Ads11596367717579838791[[#This Row],[spend]]*RANDBETWEEN(8,12)/10</f>
        <v>126.14399999999996</v>
      </c>
      <c r="BA51">
        <f ca="1">ROUND(T_Facebook_Ads11596367717579838791[[#This Row],[conversions]]*RANDBETWEEN(8,12)/10,0)</f>
        <v>6</v>
      </c>
      <c r="BB51">
        <f ca="1">ROUND(T_Facebook_Ads11596367717579838791[[#This Row],[video_views]]*RANDBETWEEN(8,12)/10,0)</f>
        <v>55943</v>
      </c>
    </row>
    <row r="52" spans="1:54" ht="15.75" thickBot="1" x14ac:dyDescent="0.3">
      <c r="A52" s="3">
        <f t="shared" ca="1" si="5"/>
        <v>45204</v>
      </c>
      <c r="B52" s="4" t="s">
        <v>52</v>
      </c>
      <c r="C52" s="4" t="s">
        <v>53</v>
      </c>
      <c r="D52" s="4" t="s">
        <v>54</v>
      </c>
      <c r="E52" s="4" t="s">
        <v>55</v>
      </c>
      <c r="F52" s="4">
        <f ca="1">ROUND(T_Facebook_Ads[[#This Row],[impressions]]*RANDBETWEEN(8,12)/10,0)</f>
        <v>60281</v>
      </c>
      <c r="G52" s="4">
        <v>1023</v>
      </c>
      <c r="H52" s="4">
        <f ca="1">T_Facebook_Ads[[#This Row],[spend]]*RANDBETWEEN(8,12)/10</f>
        <v>115.04</v>
      </c>
      <c r="I52" s="4">
        <f ca="1">ROUND(T_Facebook_Ads[[#This Row],[conversions]]*RANDBETWEEN(8,12)/10,0)</f>
        <v>14</v>
      </c>
      <c r="J52" s="4">
        <f ca="1">ROUND(T_Facebook_Ads[[#This Row],[video_views]]*RANDBETWEEN(8,12)/10,0)</f>
        <v>10157</v>
      </c>
      <c r="K52" s="4">
        <f ca="1">T_Facebook_Ads[[#This Row],[engagement_rate]]*RANDBETWEEN(8,12)/10</f>
        <v>2.0400000000000001E-2</v>
      </c>
      <c r="L52" s="4">
        <f ca="1">ROUND(T_Facebook_Ads[[#This Row],[reach]]*RANDBETWEEN(8,12)/10,0)</f>
        <v>50814</v>
      </c>
      <c r="M52" s="4">
        <f ca="1">T_Facebook_Ads[[#This Row],[frequency]]*RANDBETWEEN(8,12)/10</f>
        <v>0.95199999999999996</v>
      </c>
      <c r="O52" s="3">
        <f t="shared" ca="1" si="6"/>
        <v>45210</v>
      </c>
      <c r="P52" s="4" t="s">
        <v>76</v>
      </c>
      <c r="Q52" s="4" t="s">
        <v>77</v>
      </c>
      <c r="R52" s="4" t="s">
        <v>78</v>
      </c>
      <c r="S52" s="4" t="s">
        <v>79</v>
      </c>
      <c r="T52" s="4">
        <f ca="1">ROUND(_Google_ads[[#This Row],[impressions]]*RANDBETWEEN(8,12)/10,0)</f>
        <v>28002</v>
      </c>
      <c r="U52" s="4">
        <f ca="1">ROUND(_Google_ads[[#This Row],[clicks]]*RANDBETWEEN(8,12)/10,0)</f>
        <v>1076</v>
      </c>
      <c r="V52" s="4">
        <f ca="1">_Google_ads[[#This Row],[cost]]*RANDBETWEEN(8,12)/10</f>
        <v>257.3</v>
      </c>
      <c r="W52" s="4">
        <f ca="1">ROUND(_Google_ads[[#This Row],[conversions]]*RANDBETWEEN(8,12)/10,0)</f>
        <v>51</v>
      </c>
      <c r="X52" s="4">
        <f ca="1">ROUND(_Google_ads[[#This Row],[conversion_value]]*RANDBETWEEN(8,12)/10,0)</f>
        <v>2805</v>
      </c>
      <c r="Y52" s="4">
        <f ca="1">_Google_ads[[#This Row],[ctr]]*RANDBETWEEN(8,12)/10</f>
        <v>4.752E-2</v>
      </c>
      <c r="Z52" s="4">
        <f ca="1">_Google_ads[[#This Row],[avg_cpc]]*RANDBETWEEN(8,12)/10</f>
        <v>0.152</v>
      </c>
      <c r="AA52" s="4">
        <f ca="1">ROUND(_Google_ads[[#This Row],[quality_score]]*RANDBETWEEN(8,12)/10,0)</f>
        <v>10</v>
      </c>
      <c r="AB52" s="4">
        <f ca="1">_Google_ads[[#This Row],[search_impression_share]]*RANDBETWEEN(8,12)/10</f>
        <v>1.012</v>
      </c>
      <c r="AD52" s="3">
        <f t="shared" ca="1" si="7"/>
        <v>45230</v>
      </c>
      <c r="AE52" s="4" t="s">
        <v>100</v>
      </c>
      <c r="AF52" s="4" t="s">
        <v>101</v>
      </c>
      <c r="AG52" s="4" t="s">
        <v>102</v>
      </c>
      <c r="AH52" s="4" t="s">
        <v>103</v>
      </c>
      <c r="AI52" s="4">
        <f ca="1">ROUND(T_Tiktok_ads[[#This Row],[impressions]]*RANDBETWEEN(8,12)/10,0)</f>
        <v>346814</v>
      </c>
      <c r="AJ52" s="4">
        <f ca="1">ROUND(T_Tiktok_ads[[#This Row],[clicks]]*RANDBETWEEN(8,12)/10,0)</f>
        <v>5081</v>
      </c>
      <c r="AK52" s="4">
        <v>556.70000000000005</v>
      </c>
      <c r="AL52" s="4">
        <f ca="1">ROUND(T_Tiktok_ads[[#This Row],[conversions]]*RANDBETWEEN(8,12)/10,0)</f>
        <v>47</v>
      </c>
      <c r="AM52" s="4">
        <f ca="1">ROUND(T_Tiktok_ads[[#This Row],[video_views]]*RANDBETWEEN(8,12)/10,0)</f>
        <v>234567</v>
      </c>
      <c r="AN52" s="4">
        <f ca="1">ROUND(T_Tiktok_ads[[#This Row],[video_watch_25]]*RANDBETWEEN(8,12)/10,0)</f>
        <v>218814</v>
      </c>
      <c r="AO52" s="4">
        <f ca="1">ROUND(T_Tiktok_ads[[#This Row],[video_watch_50]]*RANDBETWEEN(8,12)/10,0)</f>
        <v>126024</v>
      </c>
      <c r="AP52" s="4">
        <f ca="1">ROUND(T_Tiktok_ads[[#This Row],[video_watch_75]]*RANDBETWEEN(8,12)/10,0)</f>
        <v>69511</v>
      </c>
      <c r="AQ52" s="4">
        <f ca="1">ROUND(T_Tiktok_ads[[#This Row],[video_watch_100]]*RANDBETWEEN(8,12)/10,0)</f>
        <v>40987</v>
      </c>
      <c r="AR52" s="4">
        <f ca="1">ROUND(T_Tiktok_ads[[#This Row],[likes]]*RANDBETWEEN(8,12)/10,0)</f>
        <v>9311</v>
      </c>
      <c r="AS52" s="4">
        <f ca="1">ROUND(T_Tiktok_ads[[#This Row],[shares]]*RANDBETWEEN(8,12)/10,0)</f>
        <v>3347</v>
      </c>
      <c r="AT52" s="4">
        <f ca="1">ROUND(T_Tiktok_ads[[#This Row],[comments]]*RANDBETWEEN(8,12)/10,0)</f>
        <v>525</v>
      </c>
      <c r="AV52" s="5">
        <f t="shared" ca="1" si="8"/>
        <v>45230</v>
      </c>
      <c r="AW52">
        <f t="shared" ca="1" si="4"/>
        <v>5</v>
      </c>
      <c r="AX52">
        <f ca="1">ROUND(T_Facebook_Ads11596367717579838791[[#This Row],[impressions]]*RANDBETWEEN(8,12)/10,0)</f>
        <v>60281</v>
      </c>
      <c r="AY52">
        <f ca="1">ROUND(T_Facebook_Ads11596367717579838791[[#This Row],[clicks]]*RANDBETWEEN(8,12)/10,0)</f>
        <v>1228</v>
      </c>
      <c r="AZ52">
        <f ca="1">T_Facebook_Ads11596367717579838791[[#This Row],[spend]]*RANDBETWEEN(8,12)/10</f>
        <v>138.048</v>
      </c>
      <c r="BA52">
        <f ca="1">ROUND(T_Facebook_Ads11596367717579838791[[#This Row],[conversions]]*RANDBETWEEN(8,12)/10,0)</f>
        <v>17</v>
      </c>
      <c r="BB52">
        <f ca="1">ROUND(T_Facebook_Ads11596367717579838791[[#This Row],[video_views]]*RANDBETWEEN(8,12)/10,0)</f>
        <v>10157</v>
      </c>
    </row>
    <row r="53" spans="1:54" ht="15.75" thickBot="1" x14ac:dyDescent="0.3">
      <c r="A53" s="3">
        <f t="shared" ca="1" si="5"/>
        <v>45200</v>
      </c>
      <c r="B53" s="4" t="s">
        <v>56</v>
      </c>
      <c r="C53" s="4" t="s">
        <v>57</v>
      </c>
      <c r="D53" s="4" t="s">
        <v>58</v>
      </c>
      <c r="E53" s="4" t="s">
        <v>59</v>
      </c>
      <c r="F53" s="4">
        <f ca="1">ROUND(T_Facebook_Ads[[#This Row],[impressions]]*RANDBETWEEN(8,12)/10,0)</f>
        <v>12811</v>
      </c>
      <c r="G53" s="4">
        <v>678</v>
      </c>
      <c r="H53" s="4">
        <f ca="1">T_Facebook_Ads[[#This Row],[spend]]*RANDBETWEEN(8,12)/10</f>
        <v>248.5</v>
      </c>
      <c r="I53" s="4">
        <f ca="1">ROUND(T_Facebook_Ads[[#This Row],[conversions]]*RANDBETWEEN(8,12)/10,0)</f>
        <v>46</v>
      </c>
      <c r="J53" s="4">
        <f ca="1">ROUND(T_Facebook_Ads[[#This Row],[video_views]]*RANDBETWEEN(8,12)/10,0)</f>
        <v>1410</v>
      </c>
      <c r="K53" s="4">
        <f ca="1">T_Facebook_Ads[[#This Row],[engagement_rate]]*RANDBETWEEN(8,12)/10</f>
        <v>4.2930000000000003E-2</v>
      </c>
      <c r="L53" s="4">
        <f ca="1">ROUND(T_Facebook_Ads[[#This Row],[reach]]*RANDBETWEEN(8,12)/10,0)</f>
        <v>8987</v>
      </c>
      <c r="M53" s="4">
        <f ca="1">T_Facebook_Ads[[#This Row],[frequency]]*RANDBETWEEN(8,12)/10</f>
        <v>1.016</v>
      </c>
      <c r="O53" s="3">
        <f t="shared" ca="1" si="6"/>
        <v>45211</v>
      </c>
      <c r="P53" s="4" t="s">
        <v>80</v>
      </c>
      <c r="Q53" s="4" t="s">
        <v>81</v>
      </c>
      <c r="R53" s="4" t="s">
        <v>82</v>
      </c>
      <c r="S53" s="4" t="s">
        <v>83</v>
      </c>
      <c r="T53" s="4">
        <f ca="1">ROUND(_Google_ads[[#This Row],[impressions]]*RANDBETWEEN(8,12)/10,0)</f>
        <v>50246</v>
      </c>
      <c r="U53" s="4">
        <f ca="1">ROUND(_Google_ads[[#This Row],[clicks]]*RANDBETWEEN(8,12)/10,0)</f>
        <v>991</v>
      </c>
      <c r="V53" s="4">
        <f ca="1">_Google_ads[[#This Row],[cost]]*RANDBETWEEN(8,12)/10</f>
        <v>526.04999999999995</v>
      </c>
      <c r="W53" s="4">
        <f ca="1">ROUND(_Google_ads[[#This Row],[conversions]]*RANDBETWEEN(8,12)/10,0)</f>
        <v>22</v>
      </c>
      <c r="X53" s="4">
        <f ca="1">ROUND(_Google_ads[[#This Row],[conversion_value]]*RANDBETWEEN(8,12)/10,0)</f>
        <v>960</v>
      </c>
      <c r="Y53" s="4">
        <f ca="1">_Google_ads[[#This Row],[ctr]]*RANDBETWEEN(8,12)/10</f>
        <v>2.1669999999999998E-2</v>
      </c>
      <c r="Z53" s="4">
        <f ca="1">_Google_ads[[#This Row],[avg_cpc]]*RANDBETWEEN(8,12)/10</f>
        <v>0.52</v>
      </c>
      <c r="AA53" s="4">
        <f ca="1">ROUND(_Google_ads[[#This Row],[quality_score]]*RANDBETWEEN(8,12)/10,0)</f>
        <v>8</v>
      </c>
      <c r="AB53" s="4">
        <f ca="1">_Google_ads[[#This Row],[search_impression_share]]*RANDBETWEEN(8,12)/10</f>
        <v>0.40499999999999997</v>
      </c>
      <c r="AD53" s="3">
        <f t="shared" ca="1" si="7"/>
        <v>45220</v>
      </c>
      <c r="AE53" s="4" t="s">
        <v>104</v>
      </c>
      <c r="AF53" s="4" t="s">
        <v>105</v>
      </c>
      <c r="AG53" s="4" t="s">
        <v>106</v>
      </c>
      <c r="AH53" s="4" t="s">
        <v>107</v>
      </c>
      <c r="AI53" s="4">
        <f ca="1">ROUND(T_Tiktok_ads[[#This Row],[impressions]]*RANDBETWEEN(8,12)/10,0)</f>
        <v>141110</v>
      </c>
      <c r="AJ53" s="4">
        <f ca="1">ROUND(T_Tiktok_ads[[#This Row],[clicks]]*RANDBETWEEN(8,12)/10,0)</f>
        <v>3614</v>
      </c>
      <c r="AK53" s="4">
        <v>812.3</v>
      </c>
      <c r="AL53" s="4">
        <f ca="1">ROUND(T_Tiktok_ads[[#This Row],[conversions]]*RANDBETWEEN(8,12)/10,0)</f>
        <v>82</v>
      </c>
      <c r="AM53" s="4">
        <f ca="1">ROUND(T_Tiktok_ads[[#This Row],[video_views]]*RANDBETWEEN(8,12)/10,0)</f>
        <v>87901</v>
      </c>
      <c r="AN53" s="4">
        <f ca="1">ROUND(T_Tiktok_ads[[#This Row],[video_watch_25]]*RANDBETWEEN(8,12)/10,0)</f>
        <v>73111</v>
      </c>
      <c r="AO53" s="4">
        <f ca="1">ROUND(T_Tiktok_ads[[#This Row],[video_watch_50]]*RANDBETWEEN(8,12)/10,0)</f>
        <v>43742</v>
      </c>
      <c r="AP53" s="4">
        <f ca="1">ROUND(T_Tiktok_ads[[#This Row],[video_watch_75]]*RANDBETWEEN(8,12)/10,0)</f>
        <v>49481</v>
      </c>
      <c r="AQ53" s="4">
        <f ca="1">ROUND(T_Tiktok_ads[[#This Row],[video_watch_100]]*RANDBETWEEN(8,12)/10,0)</f>
        <v>22054</v>
      </c>
      <c r="AR53" s="4">
        <f ca="1">ROUND(T_Tiktok_ads[[#This Row],[likes]]*RANDBETWEEN(8,12)/10,0)</f>
        <v>6547</v>
      </c>
      <c r="AS53" s="4">
        <f ca="1">ROUND(T_Tiktok_ads[[#This Row],[shares]]*RANDBETWEEN(8,12)/10,0)</f>
        <v>1567</v>
      </c>
      <c r="AT53" s="4">
        <f ca="1">ROUND(T_Tiktok_ads[[#This Row],[comments]]*RANDBETWEEN(8,12)/10,0)</f>
        <v>318</v>
      </c>
      <c r="AV53" s="5">
        <f t="shared" ca="1" si="8"/>
        <v>45204</v>
      </c>
      <c r="AW53">
        <f t="shared" ca="1" si="4"/>
        <v>7</v>
      </c>
      <c r="AX53">
        <f ca="1">ROUND(T_Facebook_Ads11596367717579838791[[#This Row],[impressions]]*RANDBETWEEN(8,12)/10,0)</f>
        <v>11530</v>
      </c>
      <c r="AY53">
        <f ca="1">ROUND(T_Facebook_Ads11596367717579838791[[#This Row],[clicks]]*RANDBETWEEN(8,12)/10,0)</f>
        <v>814</v>
      </c>
      <c r="AZ53">
        <f ca="1">T_Facebook_Ads11596367717579838791[[#This Row],[spend]]*RANDBETWEEN(8,12)/10</f>
        <v>198.8</v>
      </c>
      <c r="BA53">
        <f ca="1">ROUND(T_Facebook_Ads11596367717579838791[[#This Row],[conversions]]*RANDBETWEEN(8,12)/10,0)</f>
        <v>51</v>
      </c>
      <c r="BB53">
        <f ca="1">ROUND(T_Facebook_Ads11596367717579838791[[#This Row],[video_views]]*RANDBETWEEN(8,12)/10,0)</f>
        <v>1410</v>
      </c>
    </row>
    <row r="54" spans="1:54" ht="15.75" thickBot="1" x14ac:dyDescent="0.3">
      <c r="A54" s="3">
        <f t="shared" ca="1" si="5"/>
        <v>45214</v>
      </c>
      <c r="B54" s="4" t="s">
        <v>60</v>
      </c>
      <c r="C54" s="4" t="s">
        <v>61</v>
      </c>
      <c r="D54" s="4" t="s">
        <v>62</v>
      </c>
      <c r="E54" s="4" t="s">
        <v>63</v>
      </c>
      <c r="F54" s="4">
        <f ca="1">ROUND(T_Facebook_Ads[[#This Row],[impressions]]*RANDBETWEEN(8,12)/10,0)</f>
        <v>42302</v>
      </c>
      <c r="G54" s="4">
        <v>1423</v>
      </c>
      <c r="H54" s="4">
        <f ca="1">T_Facebook_Ads[[#This Row],[spend]]*RANDBETWEEN(8,12)/10</f>
        <v>262.43999999999994</v>
      </c>
      <c r="I54" s="4">
        <f ca="1">ROUND(T_Facebook_Ads[[#This Row],[conversions]]*RANDBETWEEN(8,12)/10,0)</f>
        <v>27</v>
      </c>
      <c r="J54" s="4">
        <f ca="1">ROUND(T_Facebook_Ads[[#This Row],[video_views]]*RANDBETWEEN(8,12)/10,0)</f>
        <v>5635</v>
      </c>
      <c r="K54" s="4">
        <f ca="1">T_Facebook_Ads[[#This Row],[engagement_rate]]*RANDBETWEEN(8,12)/10</f>
        <v>4.4399999999999995E-2</v>
      </c>
      <c r="L54" s="4">
        <f ca="1">ROUND(T_Facebook_Ads[[#This Row],[reach]]*RANDBETWEEN(8,12)/10,0)</f>
        <v>24987</v>
      </c>
      <c r="M54" s="4">
        <f ca="1">T_Facebook_Ads[[#This Row],[frequency]]*RANDBETWEEN(8,12)/10</f>
        <v>0.98399999999999999</v>
      </c>
      <c r="O54" s="3">
        <f t="shared" ca="1" si="6"/>
        <v>45225</v>
      </c>
      <c r="P54" s="4" t="s">
        <v>84</v>
      </c>
      <c r="Q54" s="4" t="s">
        <v>85</v>
      </c>
      <c r="R54" s="4" t="s">
        <v>86</v>
      </c>
      <c r="S54" s="4" t="s">
        <v>87</v>
      </c>
      <c r="T54" s="4">
        <f ca="1">ROUND(_Google_ads[[#This Row],[impressions]]*RANDBETWEEN(8,12)/10,0)</f>
        <v>63111</v>
      </c>
      <c r="U54" s="4">
        <f ca="1">ROUND(_Google_ads[[#This Row],[clicks]]*RANDBETWEEN(8,12)/10,0)</f>
        <v>2140</v>
      </c>
      <c r="V54" s="4">
        <f ca="1">_Google_ads[[#This Row],[cost]]*RANDBETWEEN(8,12)/10</f>
        <v>522.96</v>
      </c>
      <c r="W54" s="4">
        <f ca="1">ROUND(_Google_ads[[#This Row],[conversions]]*RANDBETWEEN(8,12)/10,0)</f>
        <v>69</v>
      </c>
      <c r="X54" s="4">
        <f ca="1">ROUND(_Google_ads[[#This Row],[conversion_value]]*RANDBETWEEN(8,12)/10,0)</f>
        <v>3795</v>
      </c>
      <c r="Y54" s="4">
        <f ca="1">_Google_ads[[#This Row],[ctr]]*RANDBETWEEN(8,12)/10</f>
        <v>3.0509999999999999E-2</v>
      </c>
      <c r="Z54" s="4">
        <f ca="1">_Google_ads[[#This Row],[avg_cpc]]*RANDBETWEEN(8,12)/10</f>
        <v>0.18</v>
      </c>
      <c r="AA54" s="4">
        <f ca="1">ROUND(_Google_ads[[#This Row],[quality_score]]*RANDBETWEEN(8,12)/10,0)</f>
        <v>10</v>
      </c>
      <c r="AB54" s="4">
        <f ca="1">_Google_ads[[#This Row],[search_impression_share]]*RANDBETWEEN(8,12)/10</f>
        <v>0.67</v>
      </c>
      <c r="AD54" s="3">
        <f t="shared" ca="1" si="7"/>
        <v>45200</v>
      </c>
      <c r="AE54" s="4" t="s">
        <v>108</v>
      </c>
      <c r="AF54" s="4" t="s">
        <v>109</v>
      </c>
      <c r="AG54" s="4" t="s">
        <v>110</v>
      </c>
      <c r="AH54" s="4" t="s">
        <v>111</v>
      </c>
      <c r="AI54" s="4">
        <f ca="1">ROUND(T_Tiktok_ads[[#This Row],[impressions]]*RANDBETWEEN(8,12)/10,0)</f>
        <v>196542</v>
      </c>
      <c r="AJ54" s="4">
        <f ca="1">ROUND(T_Tiktok_ads[[#This Row],[clicks]]*RANDBETWEEN(8,12)/10,0)</f>
        <v>3112</v>
      </c>
      <c r="AK54" s="4">
        <v>467.8</v>
      </c>
      <c r="AL54" s="4">
        <f ca="1">ROUND(T_Tiktok_ads[[#This Row],[conversions]]*RANDBETWEEN(8,12)/10,0)</f>
        <v>41</v>
      </c>
      <c r="AM54" s="4">
        <f ca="1">ROUND(T_Tiktok_ads[[#This Row],[video_views]]*RANDBETWEEN(8,12)/10,0)</f>
        <v>234814</v>
      </c>
      <c r="AN54" s="4">
        <f ca="1">ROUND(T_Tiktok_ads[[#This Row],[video_watch_25]]*RANDBETWEEN(8,12)/10,0)</f>
        <v>133411</v>
      </c>
      <c r="AO54" s="4">
        <f ca="1">ROUND(T_Tiktok_ads[[#This Row],[video_watch_50]]*RANDBETWEEN(8,12)/10,0)</f>
        <v>105511</v>
      </c>
      <c r="AP54" s="4">
        <f ca="1">ROUND(T_Tiktok_ads[[#This Row],[video_watch_75]]*RANDBETWEEN(8,12)/10,0)</f>
        <v>67711</v>
      </c>
      <c r="AQ54" s="4">
        <f ca="1">ROUND(T_Tiktok_ads[[#This Row],[video_watch_100]]*RANDBETWEEN(8,12)/10,0)</f>
        <v>45789</v>
      </c>
      <c r="AR54" s="4">
        <f ca="1">ROUND(T_Tiktok_ads[[#This Row],[likes]]*RANDBETWEEN(8,12)/10,0)</f>
        <v>6854</v>
      </c>
      <c r="AS54" s="4">
        <f ca="1">ROUND(T_Tiktok_ads[[#This Row],[shares]]*RANDBETWEEN(8,12)/10,0)</f>
        <v>2345</v>
      </c>
      <c r="AT54" s="4">
        <f ca="1">ROUND(T_Tiktok_ads[[#This Row],[comments]]*RANDBETWEEN(8,12)/10,0)</f>
        <v>680</v>
      </c>
      <c r="AV54" s="5">
        <f t="shared" ca="1" si="8"/>
        <v>45218</v>
      </c>
      <c r="AW54">
        <f t="shared" ca="1" si="4"/>
        <v>4</v>
      </c>
      <c r="AX54">
        <f ca="1">ROUND(T_Facebook_Ads11596367717579838791[[#This Row],[impressions]]*RANDBETWEEN(8,12)/10,0)</f>
        <v>42302</v>
      </c>
      <c r="AY54">
        <f ca="1">ROUND(T_Facebook_Ads11596367717579838791[[#This Row],[clicks]]*RANDBETWEEN(8,12)/10,0)</f>
        <v>1423</v>
      </c>
      <c r="AZ54">
        <f ca="1">T_Facebook_Ads11596367717579838791[[#This Row],[spend]]*RANDBETWEEN(8,12)/10</f>
        <v>236.19599999999997</v>
      </c>
      <c r="BA54">
        <f ca="1">ROUND(T_Facebook_Ads11596367717579838791[[#This Row],[conversions]]*RANDBETWEEN(8,12)/10,0)</f>
        <v>24</v>
      </c>
      <c r="BB54">
        <f ca="1">ROUND(T_Facebook_Ads11596367717579838791[[#This Row],[video_views]]*RANDBETWEEN(8,12)/10,0)</f>
        <v>4508</v>
      </c>
    </row>
    <row r="55" spans="1:54" ht="15.75" thickBot="1" x14ac:dyDescent="0.3">
      <c r="A55" s="3">
        <f t="shared" ca="1" si="5"/>
        <v>45223</v>
      </c>
      <c r="B55" s="4" t="s">
        <v>64</v>
      </c>
      <c r="C55" s="4" t="s">
        <v>65</v>
      </c>
      <c r="D55" s="4" t="s">
        <v>66</v>
      </c>
      <c r="E55" s="4" t="s">
        <v>67</v>
      </c>
      <c r="F55" s="4">
        <f ca="1">ROUND(T_Facebook_Ads[[#This Row],[impressions]]*RANDBETWEEN(8,12)/10,0)</f>
        <v>80802</v>
      </c>
      <c r="G55" s="4">
        <v>267</v>
      </c>
      <c r="H55" s="4">
        <f ca="1">T_Facebook_Ads[[#This Row],[spend]]*RANDBETWEEN(8,12)/10</f>
        <v>84.78</v>
      </c>
      <c r="I55" s="4">
        <f ca="1">ROUND(T_Facebook_Ads[[#This Row],[conversions]]*RANDBETWEEN(8,12)/10,0)</f>
        <v>6</v>
      </c>
      <c r="J55" s="4">
        <f ca="1">ROUND(T_Facebook_Ads[[#This Row],[video_views]]*RANDBETWEEN(8,12)/10,0)</f>
        <v>54879</v>
      </c>
      <c r="K55" s="4">
        <f ca="1">T_Facebook_Ads[[#This Row],[engagement_rate]]*RANDBETWEEN(8,12)/10</f>
        <v>3.2399999999999998E-3</v>
      </c>
      <c r="L55" s="4">
        <f ca="1">ROUND(T_Facebook_Ads[[#This Row],[reach]]*RANDBETWEEN(8,12)/10,0)</f>
        <v>53610</v>
      </c>
      <c r="M55" s="4">
        <f ca="1">T_Facebook_Ads[[#This Row],[frequency]]*RANDBETWEEN(8,12)/10</f>
        <v>1.3640000000000001</v>
      </c>
      <c r="O55" s="3">
        <f t="shared" ca="1" si="6"/>
        <v>45227</v>
      </c>
      <c r="P55" s="4" t="s">
        <v>88</v>
      </c>
      <c r="Q55" s="4" t="s">
        <v>89</v>
      </c>
      <c r="R55" s="4" t="s">
        <v>90</v>
      </c>
      <c r="S55" s="4" t="s">
        <v>59</v>
      </c>
      <c r="T55" s="4">
        <f ca="1">ROUND(_Google_ads[[#This Row],[impressions]]*RANDBETWEEN(8,12)/10,0)</f>
        <v>106054</v>
      </c>
      <c r="U55" s="4">
        <f ca="1">ROUND(_Google_ads[[#This Row],[clicks]]*RANDBETWEEN(8,12)/10,0)</f>
        <v>391</v>
      </c>
      <c r="V55" s="4">
        <f ca="1">_Google_ads[[#This Row],[cost]]*RANDBETWEEN(8,12)/10</f>
        <v>156.6</v>
      </c>
      <c r="W55" s="4">
        <f ca="1">ROUND(_Google_ads[[#This Row],[conversions]]*RANDBETWEEN(8,12)/10,0)</f>
        <v>15</v>
      </c>
      <c r="X55" s="4">
        <f ca="1">ROUND(_Google_ads[[#This Row],[conversion_value]]*RANDBETWEEN(8,12)/10,0)</f>
        <v>840</v>
      </c>
      <c r="Y55" s="4">
        <f ca="1">_Google_ads[[#This Row],[ctr]]*RANDBETWEEN(8,12)/10</f>
        <v>4.4400000000000004E-3</v>
      </c>
      <c r="Z55" s="4">
        <f ca="1">_Google_ads[[#This Row],[avg_cpc]]*RANDBETWEEN(8,12)/10</f>
        <v>0.29700000000000004</v>
      </c>
      <c r="AA55" s="4">
        <f ca="1">ROUND(_Google_ads[[#This Row],[quality_score]]*RANDBETWEEN(8,12)/10,0)</f>
        <v>6</v>
      </c>
      <c r="AB55" s="4">
        <f ca="1">_Google_ads[[#This Row],[search_impression_share]]*RANDBETWEEN(8,12)/10</f>
        <v>0.35</v>
      </c>
      <c r="AD55" s="3">
        <f t="shared" ca="1" si="7"/>
        <v>45202</v>
      </c>
      <c r="AE55" s="4" t="s">
        <v>112</v>
      </c>
      <c r="AF55" s="4" t="s">
        <v>113</v>
      </c>
      <c r="AG55" s="4" t="s">
        <v>114</v>
      </c>
      <c r="AH55" s="4" t="s">
        <v>115</v>
      </c>
      <c r="AI55" s="4">
        <f ca="1">ROUND(T_Tiktok_ads[[#This Row],[impressions]]*RANDBETWEEN(8,12)/10,0)</f>
        <v>465802</v>
      </c>
      <c r="AJ55" s="4">
        <f ca="1">ROUND(T_Tiktok_ads[[#This Row],[clicks]]*RANDBETWEEN(8,12)/10,0)</f>
        <v>7579</v>
      </c>
      <c r="AK55" s="4">
        <v>1056.8</v>
      </c>
      <c r="AL55" s="4">
        <f ca="1">ROUND(T_Tiktok_ads[[#This Row],[conversions]]*RANDBETWEEN(8,12)/10,0)</f>
        <v>107</v>
      </c>
      <c r="AM55" s="4">
        <f ca="1">ROUND(T_Tiktok_ads[[#This Row],[video_views]]*RANDBETWEEN(8,12)/10,0)</f>
        <v>356789</v>
      </c>
      <c r="AN55" s="4">
        <f ca="1">ROUND(T_Tiktok_ads[[#This Row],[video_watch_25]]*RANDBETWEEN(8,12)/10,0)</f>
        <v>289234</v>
      </c>
      <c r="AO55" s="4">
        <f ca="1">ROUND(T_Tiktok_ads[[#This Row],[video_watch_50]]*RANDBETWEEN(8,12)/10,0)</f>
        <v>277747</v>
      </c>
      <c r="AP55" s="4">
        <f ca="1">ROUND(T_Tiktok_ads[[#This Row],[video_watch_75]]*RANDBETWEEN(8,12)/10,0)</f>
        <v>197480</v>
      </c>
      <c r="AQ55" s="4">
        <f ca="1">ROUND(T_Tiktok_ads[[#This Row],[video_watch_100]]*RANDBETWEEN(8,12)/10,0)</f>
        <v>120157</v>
      </c>
      <c r="AR55" s="4">
        <f ca="1">ROUND(T_Tiktok_ads[[#This Row],[likes]]*RANDBETWEEN(8,12)/10,0)</f>
        <v>18890</v>
      </c>
      <c r="AS55" s="4">
        <f ca="1">ROUND(T_Tiktok_ads[[#This Row],[shares]]*RANDBETWEEN(8,12)/10,0)</f>
        <v>4365</v>
      </c>
      <c r="AT55" s="4">
        <f ca="1">ROUND(T_Tiktok_ads[[#This Row],[comments]]*RANDBETWEEN(8,12)/10,0)</f>
        <v>1340</v>
      </c>
      <c r="AV55" s="5">
        <f t="shared" ca="1" si="8"/>
        <v>45206</v>
      </c>
      <c r="AW55">
        <f t="shared" ca="1" si="4"/>
        <v>4</v>
      </c>
      <c r="AX55">
        <f ca="1">ROUND(T_Facebook_Ads11596367717579838791[[#This Row],[impressions]]*RANDBETWEEN(8,12)/10,0)</f>
        <v>64642</v>
      </c>
      <c r="AY55">
        <f ca="1">ROUND(T_Facebook_Ads11596367717579838791[[#This Row],[clicks]]*RANDBETWEEN(8,12)/10,0)</f>
        <v>294</v>
      </c>
      <c r="AZ55">
        <f ca="1">T_Facebook_Ads11596367717579838791[[#This Row],[spend]]*RANDBETWEEN(8,12)/10</f>
        <v>101.736</v>
      </c>
      <c r="BA55">
        <f ca="1">ROUND(T_Facebook_Ads11596367717579838791[[#This Row],[conversions]]*RANDBETWEEN(8,12)/10,0)</f>
        <v>7</v>
      </c>
      <c r="BB55">
        <f ca="1">ROUND(T_Facebook_Ads11596367717579838791[[#This Row],[video_views]]*RANDBETWEEN(8,12)/10,0)</f>
        <v>49391</v>
      </c>
    </row>
    <row r="56" spans="1:54" ht="15.75" thickBot="1" x14ac:dyDescent="0.3">
      <c r="A56" s="3">
        <f t="shared" ca="1" si="5"/>
        <v>45217</v>
      </c>
      <c r="B56" s="4" t="s">
        <v>52</v>
      </c>
      <c r="C56" s="4" t="s">
        <v>53</v>
      </c>
      <c r="D56" s="4" t="s">
        <v>54</v>
      </c>
      <c r="E56" s="4" t="s">
        <v>55</v>
      </c>
      <c r="F56" s="4">
        <f ca="1">ROUND(T_Facebook_Ads[[#This Row],[impressions]]*RANDBETWEEN(8,12)/10,0)</f>
        <v>56968</v>
      </c>
      <c r="G56" s="4">
        <v>1089</v>
      </c>
      <c r="H56" s="4">
        <f ca="1">T_Facebook_Ads[[#This Row],[spend]]*RANDBETWEEN(8,12)/10</f>
        <v>152.30000000000001</v>
      </c>
      <c r="I56" s="4">
        <f ca="1">ROUND(T_Facebook_Ads[[#This Row],[conversions]]*RANDBETWEEN(8,12)/10,0)</f>
        <v>14</v>
      </c>
      <c r="J56" s="4">
        <f ca="1">ROUND(T_Facebook_Ads[[#This Row],[video_views]]*RANDBETWEEN(8,12)/10,0)</f>
        <v>10524</v>
      </c>
      <c r="K56" s="4">
        <f ca="1">T_Facebook_Ads[[#This Row],[engagement_rate]]*RANDBETWEEN(8,12)/10</f>
        <v>2.1000000000000001E-2</v>
      </c>
      <c r="L56" s="4">
        <f ca="1">ROUND(T_Facebook_Ads[[#This Row],[reach]]*RANDBETWEEN(8,12)/10,0)</f>
        <v>34854</v>
      </c>
      <c r="M56" s="4">
        <f ca="1">T_Facebook_Ads[[#This Row],[frequency]]*RANDBETWEEN(8,12)/10</f>
        <v>1.3089999999999999</v>
      </c>
      <c r="O56" s="3">
        <f t="shared" ca="1" si="6"/>
        <v>45225</v>
      </c>
      <c r="P56" s="4" t="s">
        <v>76</v>
      </c>
      <c r="Q56" s="4" t="s">
        <v>77</v>
      </c>
      <c r="R56" s="4" t="s">
        <v>78</v>
      </c>
      <c r="S56" s="4" t="s">
        <v>79</v>
      </c>
      <c r="T56" s="4">
        <f ca="1">ROUND(_Google_ads[[#This Row],[impressions]]*RANDBETWEEN(8,12)/10,0)</f>
        <v>29468</v>
      </c>
      <c r="U56" s="4">
        <f ca="1">ROUND(_Google_ads[[#This Row],[clicks]]*RANDBETWEEN(8,12)/10,0)</f>
        <v>1165</v>
      </c>
      <c r="V56" s="4">
        <f ca="1">_Google_ads[[#This Row],[cost]]*RANDBETWEEN(8,12)/10</f>
        <v>306.78999999999996</v>
      </c>
      <c r="W56" s="4">
        <f ca="1">ROUND(_Google_ads[[#This Row],[conversions]]*RANDBETWEEN(8,12)/10,0)</f>
        <v>65</v>
      </c>
      <c r="X56" s="4">
        <f ca="1">ROUND(_Google_ads[[#This Row],[conversion_value]]*RANDBETWEEN(8,12)/10,0)</f>
        <v>3240</v>
      </c>
      <c r="Y56" s="4">
        <f ca="1">_Google_ads[[#This Row],[ctr]]*RANDBETWEEN(8,12)/10</f>
        <v>4.3519999999999996E-2</v>
      </c>
      <c r="Z56" s="4">
        <f ca="1">_Google_ads[[#This Row],[avg_cpc]]*RANDBETWEEN(8,12)/10</f>
        <v>0.152</v>
      </c>
      <c r="AA56" s="4">
        <f ca="1">ROUND(_Google_ads[[#This Row],[quality_score]]*RANDBETWEEN(8,12)/10,0)</f>
        <v>8</v>
      </c>
      <c r="AB56" s="4">
        <f ca="1">_Google_ads[[#This Row],[search_impression_share]]*RANDBETWEEN(8,12)/10</f>
        <v>0.83700000000000008</v>
      </c>
      <c r="AD56" s="3">
        <f t="shared" ca="1" si="7"/>
        <v>45230</v>
      </c>
      <c r="AE56" s="4" t="s">
        <v>100</v>
      </c>
      <c r="AF56" s="4" t="s">
        <v>101</v>
      </c>
      <c r="AG56" s="4" t="s">
        <v>102</v>
      </c>
      <c r="AH56" s="4" t="s">
        <v>103</v>
      </c>
      <c r="AI56" s="4">
        <f ca="1">ROUND(T_Tiktok_ads[[#This Row],[impressions]]*RANDBETWEEN(8,12)/10,0)</f>
        <v>331357</v>
      </c>
      <c r="AJ56" s="4">
        <f ca="1">ROUND(T_Tiktok_ads[[#This Row],[clicks]]*RANDBETWEEN(8,12)/10,0)</f>
        <v>4010</v>
      </c>
      <c r="AK56" s="4">
        <v>589.9</v>
      </c>
      <c r="AL56" s="4">
        <f ca="1">ROUND(T_Tiktok_ads[[#This Row],[conversions]]*RANDBETWEEN(8,12)/10,0)</f>
        <v>37</v>
      </c>
      <c r="AM56" s="4">
        <f ca="1">ROUND(T_Tiktok_ads[[#This Row],[video_views]]*RANDBETWEEN(8,12)/10,0)</f>
        <v>270246</v>
      </c>
      <c r="AN56" s="4">
        <f ca="1">ROUND(T_Tiktok_ads[[#This Row],[video_watch_25]]*RANDBETWEEN(8,12)/10,0)</f>
        <v>229481</v>
      </c>
      <c r="AO56" s="4">
        <f ca="1">ROUND(T_Tiktok_ads[[#This Row],[video_watch_50]]*RANDBETWEEN(8,12)/10,0)</f>
        <v>95387</v>
      </c>
      <c r="AP56" s="4">
        <f ca="1">ROUND(T_Tiktok_ads[[#This Row],[video_watch_75]]*RANDBETWEEN(8,12)/10,0)</f>
        <v>80234</v>
      </c>
      <c r="AQ56" s="4">
        <f ca="1">ROUND(T_Tiktok_ads[[#This Row],[video_watch_100]]*RANDBETWEEN(8,12)/10,0)</f>
        <v>58802</v>
      </c>
      <c r="AR56" s="4">
        <f ca="1">ROUND(T_Tiktok_ads[[#This Row],[likes]]*RANDBETWEEN(8,12)/10,0)</f>
        <v>8631</v>
      </c>
      <c r="AS56" s="4">
        <f ca="1">ROUND(T_Tiktok_ads[[#This Row],[shares]]*RANDBETWEEN(8,12)/10,0)</f>
        <v>3191</v>
      </c>
      <c r="AT56" s="4">
        <f ca="1">ROUND(T_Tiktok_ads[[#This Row],[comments]]*RANDBETWEEN(8,12)/10,0)</f>
        <v>758</v>
      </c>
      <c r="AV56" s="5">
        <f t="shared" ca="1" si="8"/>
        <v>45200</v>
      </c>
      <c r="AW56">
        <f t="shared" ca="1" si="4"/>
        <v>8</v>
      </c>
      <c r="AX56">
        <f ca="1">ROUND(T_Facebook_Ads11596367717579838791[[#This Row],[impressions]]*RANDBETWEEN(8,12)/10,0)</f>
        <v>68362</v>
      </c>
      <c r="AY56">
        <f ca="1">ROUND(T_Facebook_Ads11596367717579838791[[#This Row],[clicks]]*RANDBETWEEN(8,12)/10,0)</f>
        <v>1307</v>
      </c>
      <c r="AZ56">
        <f ca="1">T_Facebook_Ads11596367717579838791[[#This Row],[spend]]*RANDBETWEEN(8,12)/10</f>
        <v>121.84</v>
      </c>
      <c r="BA56">
        <f ca="1">ROUND(T_Facebook_Ads11596367717579838791[[#This Row],[conversions]]*RANDBETWEEN(8,12)/10,0)</f>
        <v>14</v>
      </c>
      <c r="BB56">
        <f ca="1">ROUND(T_Facebook_Ads11596367717579838791[[#This Row],[video_views]]*RANDBETWEEN(8,12)/10,0)</f>
        <v>8419</v>
      </c>
    </row>
    <row r="57" spans="1:54" ht="15.75" thickBot="1" x14ac:dyDescent="0.3">
      <c r="A57" s="3">
        <f t="shared" ca="1" si="5"/>
        <v>45207</v>
      </c>
      <c r="B57" s="4" t="s">
        <v>56</v>
      </c>
      <c r="C57" s="4" t="s">
        <v>57</v>
      </c>
      <c r="D57" s="4" t="s">
        <v>58</v>
      </c>
      <c r="E57" s="4" t="s">
        <v>59</v>
      </c>
      <c r="F57" s="4">
        <f ca="1">ROUND(T_Facebook_Ads[[#This Row],[impressions]]*RANDBETWEEN(8,12)/10,0)</f>
        <v>12187</v>
      </c>
      <c r="G57" s="4">
        <v>734</v>
      </c>
      <c r="H57" s="4">
        <f ca="1">T_Facebook_Ads[[#This Row],[spend]]*RANDBETWEEN(8,12)/10</f>
        <v>264.7</v>
      </c>
      <c r="I57" s="4">
        <f ca="1">ROUND(T_Facebook_Ads[[#This Row],[conversions]]*RANDBETWEEN(8,12)/10,0)</f>
        <v>41</v>
      </c>
      <c r="J57" s="4">
        <f ca="1">ROUND(T_Facebook_Ads[[#This Row],[video_views]]*RANDBETWEEN(8,12)/10,0)</f>
        <v>2014</v>
      </c>
      <c r="K57" s="4">
        <f ca="1">T_Facebook_Ads[[#This Row],[engagement_rate]]*RANDBETWEEN(8,12)/10</f>
        <v>4.3380000000000002E-2</v>
      </c>
      <c r="L57" s="4">
        <f ca="1">ROUND(T_Facebook_Ads[[#This Row],[reach]]*RANDBETWEEN(8,12)/10,0)</f>
        <v>12123</v>
      </c>
      <c r="M57" s="4">
        <f ca="1">T_Facebook_Ads[[#This Row],[frequency]]*RANDBETWEEN(8,12)/10</f>
        <v>1.008</v>
      </c>
      <c r="O57" s="3">
        <f t="shared" ca="1" si="6"/>
        <v>45223</v>
      </c>
      <c r="P57" s="4" t="s">
        <v>80</v>
      </c>
      <c r="Q57" s="4" t="s">
        <v>81</v>
      </c>
      <c r="R57" s="4" t="s">
        <v>82</v>
      </c>
      <c r="S57" s="4" t="s">
        <v>83</v>
      </c>
      <c r="T57" s="4">
        <f ca="1">ROUND(_Google_ads[[#This Row],[impressions]]*RANDBETWEEN(8,12)/10,0)</f>
        <v>51957</v>
      </c>
      <c r="U57" s="4">
        <f ca="1">ROUND(_Google_ads[[#This Row],[clicks]]*RANDBETWEEN(8,12)/10,0)</f>
        <v>774</v>
      </c>
      <c r="V57" s="4">
        <f ca="1">_Google_ads[[#This Row],[cost]]*RANDBETWEEN(8,12)/10</f>
        <v>666.16000000000008</v>
      </c>
      <c r="W57" s="4">
        <f ca="1">ROUND(_Google_ads[[#This Row],[conversions]]*RANDBETWEEN(8,12)/10,0)</f>
        <v>30</v>
      </c>
      <c r="X57" s="4">
        <f ca="1">ROUND(_Google_ads[[#This Row],[conversion_value]]*RANDBETWEEN(8,12)/10,0)</f>
        <v>1500</v>
      </c>
      <c r="Y57" s="4">
        <f ca="1">_Google_ads[[#This Row],[ctr]]*RANDBETWEEN(8,12)/10</f>
        <v>1.8450000000000001E-2</v>
      </c>
      <c r="Z57" s="4">
        <f ca="1">_Google_ads[[#This Row],[avg_cpc]]*RANDBETWEEN(8,12)/10</f>
        <v>0.63</v>
      </c>
      <c r="AA57" s="4">
        <f ca="1">ROUND(_Google_ads[[#This Row],[quality_score]]*RANDBETWEEN(8,12)/10,0)</f>
        <v>7</v>
      </c>
      <c r="AB57" s="4">
        <f ca="1">_Google_ads[[#This Row],[search_impression_share]]*RANDBETWEEN(8,12)/10</f>
        <v>0.41400000000000003</v>
      </c>
      <c r="AD57" s="3">
        <f t="shared" ca="1" si="7"/>
        <v>45201</v>
      </c>
      <c r="AE57" s="4" t="s">
        <v>104</v>
      </c>
      <c r="AF57" s="4" t="s">
        <v>105</v>
      </c>
      <c r="AG57" s="4" t="s">
        <v>106</v>
      </c>
      <c r="AH57" s="4" t="s">
        <v>107</v>
      </c>
      <c r="AI57" s="4">
        <f ca="1">ROUND(T_Tiktok_ads[[#This Row],[impressions]]*RANDBETWEEN(8,12)/10,0)</f>
        <v>134312</v>
      </c>
      <c r="AJ57" s="4">
        <f ca="1">ROUND(T_Tiktok_ads[[#This Row],[clicks]]*RANDBETWEEN(8,12)/10,0)</f>
        <v>2587</v>
      </c>
      <c r="AK57" s="4">
        <v>845.6</v>
      </c>
      <c r="AL57" s="4">
        <f ca="1">ROUND(T_Tiktok_ads[[#This Row],[conversions]]*RANDBETWEEN(8,12)/10,0)</f>
        <v>68</v>
      </c>
      <c r="AM57" s="4">
        <f ca="1">ROUND(T_Tiktok_ads[[#This Row],[video_views]]*RANDBETWEEN(8,12)/10,0)</f>
        <v>106101</v>
      </c>
      <c r="AN57" s="4">
        <f ca="1">ROUND(T_Tiktok_ads[[#This Row],[video_watch_25]]*RANDBETWEEN(8,12)/10,0)</f>
        <v>104681</v>
      </c>
      <c r="AO57" s="4">
        <f ca="1">ROUND(T_Tiktok_ads[[#This Row],[video_watch_50]]*RANDBETWEEN(8,12)/10,0)</f>
        <v>58901</v>
      </c>
      <c r="AP57" s="4">
        <f ca="1">ROUND(T_Tiktok_ads[[#This Row],[video_watch_75]]*RANDBETWEEN(8,12)/10,0)</f>
        <v>48657</v>
      </c>
      <c r="AQ57" s="4">
        <f ca="1">ROUND(T_Tiktok_ads[[#This Row],[video_watch_100]]*RANDBETWEEN(8,12)/10,0)</f>
        <v>23654</v>
      </c>
      <c r="AR57" s="4">
        <f ca="1">ROUND(T_Tiktok_ads[[#This Row],[likes]]*RANDBETWEEN(8,12)/10,0)</f>
        <v>6814</v>
      </c>
      <c r="AS57" s="4">
        <f ca="1">ROUND(T_Tiktok_ads[[#This Row],[shares]]*RANDBETWEEN(8,12)/10,0)</f>
        <v>1634</v>
      </c>
      <c r="AT57" s="4">
        <f ca="1">ROUND(T_Tiktok_ads[[#This Row],[comments]]*RANDBETWEEN(8,12)/10,0)</f>
        <v>281</v>
      </c>
      <c r="AV57" s="5">
        <f t="shared" ca="1" si="8"/>
        <v>45224</v>
      </c>
      <c r="AW57">
        <f t="shared" ca="1" si="4"/>
        <v>2</v>
      </c>
      <c r="AX57">
        <f ca="1">ROUND(T_Facebook_Ads11596367717579838791[[#This Row],[impressions]]*RANDBETWEEN(8,12)/10,0)</f>
        <v>12187</v>
      </c>
      <c r="AY57">
        <f ca="1">ROUND(T_Facebook_Ads11596367717579838791[[#This Row],[clicks]]*RANDBETWEEN(8,12)/10,0)</f>
        <v>807</v>
      </c>
      <c r="AZ57">
        <f ca="1">T_Facebook_Ads11596367717579838791[[#This Row],[spend]]*RANDBETWEEN(8,12)/10</f>
        <v>317.64</v>
      </c>
      <c r="BA57">
        <f ca="1">ROUND(T_Facebook_Ads11596367717579838791[[#This Row],[conversions]]*RANDBETWEEN(8,12)/10,0)</f>
        <v>37</v>
      </c>
      <c r="BB57">
        <f ca="1">ROUND(T_Facebook_Ads11596367717579838791[[#This Row],[video_views]]*RANDBETWEEN(8,12)/10,0)</f>
        <v>1813</v>
      </c>
    </row>
    <row r="58" spans="1:54" ht="15.75" thickBot="1" x14ac:dyDescent="0.3">
      <c r="A58" s="3">
        <f t="shared" ca="1" si="5"/>
        <v>45218</v>
      </c>
      <c r="B58" s="4" t="s">
        <v>60</v>
      </c>
      <c r="C58" s="4" t="s">
        <v>61</v>
      </c>
      <c r="D58" s="4" t="s">
        <v>62</v>
      </c>
      <c r="E58" s="4" t="s">
        <v>63</v>
      </c>
      <c r="F58" s="4">
        <f ca="1">ROUND(T_Facebook_Ads[[#This Row],[impressions]]*RANDBETWEEN(8,12)/10,0)</f>
        <v>32098</v>
      </c>
      <c r="G58" s="4">
        <v>1534</v>
      </c>
      <c r="H58" s="4">
        <f ca="1">T_Facebook_Ads[[#This Row],[spend]]*RANDBETWEEN(8,12)/10</f>
        <v>256.08000000000004</v>
      </c>
      <c r="I58" s="4">
        <f ca="1">ROUND(T_Facebook_Ads[[#This Row],[conversions]]*RANDBETWEEN(8,12)/10,0)</f>
        <v>26</v>
      </c>
      <c r="J58" s="4">
        <f ca="1">ROUND(T_Facebook_Ads[[#This Row],[video_views]]*RANDBETWEEN(8,12)/10,0)</f>
        <v>6002</v>
      </c>
      <c r="K58" s="4">
        <f ca="1">T_Facebook_Ads[[#This Row],[engagement_rate]]*RANDBETWEEN(8,12)/10</f>
        <v>3.0559999999999997E-2</v>
      </c>
      <c r="L58" s="4">
        <f ca="1">ROUND(T_Facebook_Ads[[#This Row],[reach]]*RANDBETWEEN(8,12)/10,0)</f>
        <v>39468</v>
      </c>
      <c r="M58" s="4">
        <f ca="1">T_Facebook_Ads[[#This Row],[frequency]]*RANDBETWEEN(8,12)/10</f>
        <v>1.0980000000000001</v>
      </c>
      <c r="O58" s="3">
        <f t="shared" ca="1" si="6"/>
        <v>45204</v>
      </c>
      <c r="P58" s="4" t="s">
        <v>84</v>
      </c>
      <c r="Q58" s="4" t="s">
        <v>85</v>
      </c>
      <c r="R58" s="4" t="s">
        <v>86</v>
      </c>
      <c r="S58" s="4" t="s">
        <v>87</v>
      </c>
      <c r="T58" s="4">
        <f ca="1">ROUND(_Google_ads[[#This Row],[impressions]]*RANDBETWEEN(8,12)/10,0)</f>
        <v>72456</v>
      </c>
      <c r="U58" s="4">
        <f ca="1">ROUND(_Google_ads[[#This Row],[clicks]]*RANDBETWEEN(8,12)/10,0)</f>
        <v>2987</v>
      </c>
      <c r="V58" s="4">
        <f ca="1">_Google_ads[[#This Row],[cost]]*RANDBETWEEN(8,12)/10</f>
        <v>360.56</v>
      </c>
      <c r="W58" s="4">
        <f ca="1">ROUND(_Google_ads[[#This Row],[conversions]]*RANDBETWEEN(8,12)/10,0)</f>
        <v>79</v>
      </c>
      <c r="X58" s="4">
        <f ca="1">ROUND(_Google_ads[[#This Row],[conversion_value]]*RANDBETWEEN(8,12)/10,0)</f>
        <v>3600</v>
      </c>
      <c r="Y58" s="4">
        <f ca="1">_Google_ads[[#This Row],[ctr]]*RANDBETWEEN(8,12)/10</f>
        <v>3.7839999999999999E-2</v>
      </c>
      <c r="Z58" s="4">
        <f ca="1">_Google_ads[[#This Row],[avg_cpc]]*RANDBETWEEN(8,12)/10</f>
        <v>0.19800000000000001</v>
      </c>
      <c r="AA58" s="4">
        <f ca="1">ROUND(_Google_ads[[#This Row],[quality_score]]*RANDBETWEEN(8,12)/10,0)</f>
        <v>7</v>
      </c>
      <c r="AB58" s="4">
        <f ca="1">_Google_ads[[#This Row],[search_impression_share]]*RANDBETWEEN(8,12)/10</f>
        <v>0.54400000000000004</v>
      </c>
      <c r="AD58" s="3">
        <f t="shared" ca="1" si="7"/>
        <v>45216</v>
      </c>
      <c r="AE58" s="4" t="s">
        <v>108</v>
      </c>
      <c r="AF58" s="4" t="s">
        <v>109</v>
      </c>
      <c r="AG58" s="4" t="s">
        <v>110</v>
      </c>
      <c r="AH58" s="4" t="s">
        <v>111</v>
      </c>
      <c r="AI58" s="4">
        <f ca="1">ROUND(T_Tiktok_ads[[#This Row],[impressions]]*RANDBETWEEN(8,12)/10,0)</f>
        <v>308147</v>
      </c>
      <c r="AJ58" s="4">
        <f ca="1">ROUND(T_Tiktok_ads[[#This Row],[clicks]]*RANDBETWEEN(8,12)/10,0)</f>
        <v>4012</v>
      </c>
      <c r="AK58" s="4">
        <v>489.2</v>
      </c>
      <c r="AL58" s="4">
        <f ca="1">ROUND(T_Tiktok_ads[[#This Row],[conversions]]*RANDBETWEEN(8,12)/10,0)</f>
        <v>29</v>
      </c>
      <c r="AM58" s="4">
        <f ca="1">ROUND(T_Tiktok_ads[[#This Row],[video_views]]*RANDBETWEEN(8,12)/10,0)</f>
        <v>160987</v>
      </c>
      <c r="AN58" s="4">
        <f ca="1">ROUND(T_Tiktok_ads[[#This Row],[video_watch_25]]*RANDBETWEEN(8,12)/10,0)</f>
        <v>121876</v>
      </c>
      <c r="AO58" s="4">
        <f ca="1">ROUND(T_Tiktok_ads[[#This Row],[video_watch_50]]*RANDBETWEEN(8,12)/10,0)</f>
        <v>120456</v>
      </c>
      <c r="AP58" s="4">
        <f ca="1">ROUND(T_Tiktok_ads[[#This Row],[video_watch_75]]*RANDBETWEEN(8,12)/10,0)</f>
        <v>85679</v>
      </c>
      <c r="AQ58" s="4">
        <f ca="1">ROUND(T_Tiktok_ads[[#This Row],[video_watch_100]]*RANDBETWEEN(8,12)/10,0)</f>
        <v>37787</v>
      </c>
      <c r="AR58" s="4">
        <f ca="1">ROUND(T_Tiktok_ads[[#This Row],[likes]]*RANDBETWEEN(8,12)/10,0)</f>
        <v>9791</v>
      </c>
      <c r="AS58" s="4">
        <f ca="1">ROUND(T_Tiktok_ads[[#This Row],[shares]]*RANDBETWEEN(8,12)/10,0)</f>
        <v>1965</v>
      </c>
      <c r="AT58" s="4">
        <f ca="1">ROUND(T_Tiktok_ads[[#This Row],[comments]]*RANDBETWEEN(8,12)/10,0)</f>
        <v>589</v>
      </c>
      <c r="AV58" s="5">
        <f t="shared" ca="1" si="8"/>
        <v>45210</v>
      </c>
      <c r="AW58">
        <f t="shared" ca="1" si="4"/>
        <v>2</v>
      </c>
      <c r="AX58">
        <f ca="1">ROUND(T_Facebook_Ads11596367717579838791[[#This Row],[impressions]]*RANDBETWEEN(8,12)/10,0)</f>
        <v>35308</v>
      </c>
      <c r="AY58">
        <f ca="1">ROUND(T_Facebook_Ads11596367717579838791[[#This Row],[clicks]]*RANDBETWEEN(8,12)/10,0)</f>
        <v>1687</v>
      </c>
      <c r="AZ58">
        <f ca="1">T_Facebook_Ads11596367717579838791[[#This Row],[spend]]*RANDBETWEEN(8,12)/10</f>
        <v>281.68800000000005</v>
      </c>
      <c r="BA58">
        <f ca="1">ROUND(T_Facebook_Ads11596367717579838791[[#This Row],[conversions]]*RANDBETWEEN(8,12)/10,0)</f>
        <v>23</v>
      </c>
      <c r="BB58">
        <f ca="1">ROUND(T_Facebook_Ads11596367717579838791[[#This Row],[video_views]]*RANDBETWEEN(8,12)/10,0)</f>
        <v>5402</v>
      </c>
    </row>
    <row r="59" spans="1:54" ht="15.75" thickBot="1" x14ac:dyDescent="0.3">
      <c r="A59" s="3">
        <f t="shared" ca="1" si="5"/>
        <v>45219</v>
      </c>
      <c r="B59" s="4" t="s">
        <v>64</v>
      </c>
      <c r="C59" s="4" t="s">
        <v>65</v>
      </c>
      <c r="D59" s="4" t="s">
        <v>66</v>
      </c>
      <c r="E59" s="4" t="s">
        <v>67</v>
      </c>
      <c r="F59" s="4">
        <f ca="1">ROUND(T_Facebook_Ads[[#This Row],[impressions]]*RANDBETWEEN(8,12)/10,0)</f>
        <v>68301</v>
      </c>
      <c r="G59" s="4">
        <v>278</v>
      </c>
      <c r="H59" s="4">
        <f ca="1">T_Facebook_Ads[[#This Row],[spend]]*RANDBETWEEN(8,12)/10</f>
        <v>78.8</v>
      </c>
      <c r="I59" s="4">
        <f ca="1">ROUND(T_Facebook_Ads[[#This Row],[conversions]]*RANDBETWEEN(8,12)/10,0)</f>
        <v>10</v>
      </c>
      <c r="J59" s="4">
        <f ca="1">ROUND(T_Facebook_Ads[[#This Row],[video_views]]*RANDBETWEEN(8,12)/10,0)</f>
        <v>51234</v>
      </c>
      <c r="K59" s="4">
        <f ca="1">T_Facebook_Ads[[#This Row],[engagement_rate]]*RANDBETWEEN(8,12)/10</f>
        <v>4.4400000000000004E-3</v>
      </c>
      <c r="L59" s="4">
        <f ca="1">ROUND(T_Facebook_Ads[[#This Row],[reach]]*RANDBETWEEN(8,12)/10,0)</f>
        <v>55410</v>
      </c>
      <c r="M59" s="4">
        <f ca="1">T_Facebook_Ads[[#This Row],[frequency]]*RANDBETWEEN(8,12)/10</f>
        <v>1.107</v>
      </c>
      <c r="O59" s="3">
        <f t="shared" ca="1" si="6"/>
        <v>45205</v>
      </c>
      <c r="P59" s="4" t="s">
        <v>88</v>
      </c>
      <c r="Q59" s="4" t="s">
        <v>89</v>
      </c>
      <c r="R59" s="4" t="s">
        <v>90</v>
      </c>
      <c r="S59" s="4" t="s">
        <v>59</v>
      </c>
      <c r="T59" s="4">
        <f ca="1">ROUND(_Google_ads[[#This Row],[impressions]]*RANDBETWEEN(8,12)/10,0)</f>
        <v>125011</v>
      </c>
      <c r="U59" s="4">
        <f ca="1">ROUND(_Google_ads[[#This Row],[clicks]]*RANDBETWEEN(8,12)/10,0)</f>
        <v>427</v>
      </c>
      <c r="V59" s="4">
        <f ca="1">_Google_ads[[#This Row],[cost]]*RANDBETWEEN(8,12)/10</f>
        <v>163.68</v>
      </c>
      <c r="W59" s="4">
        <f ca="1">ROUND(_Google_ads[[#This Row],[conversions]]*RANDBETWEEN(8,12)/10,0)</f>
        <v>12</v>
      </c>
      <c r="X59" s="4">
        <f ca="1">ROUND(_Google_ads[[#This Row],[conversion_value]]*RANDBETWEEN(8,12)/10,0)</f>
        <v>675</v>
      </c>
      <c r="Y59" s="4">
        <f ca="1">_Google_ads[[#This Row],[ctr]]*RANDBETWEEN(8,12)/10</f>
        <v>4.1799999999999997E-3</v>
      </c>
      <c r="Z59" s="4">
        <f ca="1">_Google_ads[[#This Row],[avg_cpc]]*RANDBETWEEN(8,12)/10</f>
        <v>0.23399999999999999</v>
      </c>
      <c r="AA59" s="4">
        <f ca="1">ROUND(_Google_ads[[#This Row],[quality_score]]*RANDBETWEEN(8,12)/10,0)</f>
        <v>6</v>
      </c>
      <c r="AB59" s="4">
        <f ca="1">_Google_ads[[#This Row],[search_impression_share]]*RANDBETWEEN(8,12)/10</f>
        <v>0.32399999999999995</v>
      </c>
      <c r="AD59" s="3">
        <f t="shared" ca="1" si="7"/>
        <v>45209</v>
      </c>
      <c r="AE59" s="4" t="s">
        <v>112</v>
      </c>
      <c r="AF59" s="4" t="s">
        <v>113</v>
      </c>
      <c r="AG59" s="4" t="s">
        <v>114</v>
      </c>
      <c r="AH59" s="4" t="s">
        <v>115</v>
      </c>
      <c r="AI59" s="4">
        <f ca="1">ROUND(T_Tiktok_ads[[#This Row],[impressions]]*RANDBETWEEN(8,12)/10,0)</f>
        <v>445678</v>
      </c>
      <c r="AJ59" s="4">
        <f ca="1">ROUND(T_Tiktok_ads[[#This Row],[clicks]]*RANDBETWEEN(8,12)/10,0)</f>
        <v>6511</v>
      </c>
      <c r="AK59" s="4">
        <v>1123.5</v>
      </c>
      <c r="AL59" s="4">
        <f ca="1">ROUND(T_Tiktok_ads[[#This Row],[conversions]]*RANDBETWEEN(8,12)/10,0)</f>
        <v>113</v>
      </c>
      <c r="AM59" s="4">
        <f ca="1">ROUND(T_Tiktok_ads[[#This Row],[video_views]]*RANDBETWEEN(8,12)/10,0)</f>
        <v>341011</v>
      </c>
      <c r="AN59" s="4">
        <f ca="1">ROUND(T_Tiktok_ads[[#This Row],[video_watch_25]]*RANDBETWEEN(8,12)/10,0)</f>
        <v>274110</v>
      </c>
      <c r="AO59" s="4">
        <f ca="1">ROUND(T_Tiktok_ads[[#This Row],[video_watch_50]]*RANDBETWEEN(8,12)/10,0)</f>
        <v>219110</v>
      </c>
      <c r="AP59" s="4">
        <f ca="1">ROUND(T_Tiktok_ads[[#This Row],[video_watch_75]]*RANDBETWEEN(8,12)/10,0)</f>
        <v>137876</v>
      </c>
      <c r="AQ59" s="4">
        <f ca="1">ROUND(T_Tiktok_ads[[#This Row],[video_watch_100]]*RANDBETWEEN(8,12)/10,0)</f>
        <v>137480</v>
      </c>
      <c r="AR59" s="4">
        <f ca="1">ROUND(T_Tiktok_ads[[#This Row],[likes]]*RANDBETWEEN(8,12)/10,0)</f>
        <v>17610</v>
      </c>
      <c r="AS59" s="4">
        <f ca="1">ROUND(T_Tiktok_ads[[#This Row],[shares]]*RANDBETWEEN(8,12)/10,0)</f>
        <v>6814</v>
      </c>
      <c r="AT59" s="4">
        <f ca="1">ROUND(T_Tiktok_ads[[#This Row],[comments]]*RANDBETWEEN(8,12)/10,0)</f>
        <v>1880</v>
      </c>
      <c r="AV59" s="5">
        <f t="shared" ca="1" si="8"/>
        <v>45215</v>
      </c>
      <c r="AW59">
        <f t="shared" ca="1" si="4"/>
        <v>2</v>
      </c>
      <c r="AX59">
        <f ca="1">ROUND(T_Facebook_Ads11596367717579838791[[#This Row],[impressions]]*RANDBETWEEN(8,12)/10,0)</f>
        <v>54641</v>
      </c>
      <c r="AY59">
        <f ca="1">ROUND(T_Facebook_Ads11596367717579838791[[#This Row],[clicks]]*RANDBETWEEN(8,12)/10,0)</f>
        <v>306</v>
      </c>
      <c r="AZ59">
        <f ca="1">T_Facebook_Ads11596367717579838791[[#This Row],[spend]]*RANDBETWEEN(8,12)/10</f>
        <v>63.04</v>
      </c>
      <c r="BA59">
        <f ca="1">ROUND(T_Facebook_Ads11596367717579838791[[#This Row],[conversions]]*RANDBETWEEN(8,12)/10,0)</f>
        <v>11</v>
      </c>
      <c r="BB59">
        <f ca="1">ROUND(T_Facebook_Ads11596367717579838791[[#This Row],[video_views]]*RANDBETWEEN(8,12)/10,0)</f>
        <v>56357</v>
      </c>
    </row>
    <row r="60" spans="1:54" ht="15.75" thickBot="1" x14ac:dyDescent="0.3">
      <c r="A60" s="3">
        <f t="shared" ca="1" si="5"/>
        <v>45201</v>
      </c>
      <c r="B60" s="4" t="s">
        <v>52</v>
      </c>
      <c r="C60" s="4" t="s">
        <v>53</v>
      </c>
      <c r="D60" s="4" t="s">
        <v>54</v>
      </c>
      <c r="E60" s="4" t="s">
        <v>55</v>
      </c>
      <c r="F60" s="4">
        <f ca="1">ROUND(T_Facebook_Ads[[#This Row],[impressions]]*RANDBETWEEN(8,12)/10,0)</f>
        <v>49567</v>
      </c>
      <c r="G60" s="4">
        <v>1012</v>
      </c>
      <c r="H60" s="4">
        <f ca="1">T_Facebook_Ads[[#This Row],[spend]]*RANDBETWEEN(8,12)/10</f>
        <v>173.51999999999998</v>
      </c>
      <c r="I60" s="4">
        <f ca="1">ROUND(T_Facebook_Ads[[#This Row],[conversions]]*RANDBETWEEN(8,12)/10,0)</f>
        <v>18</v>
      </c>
      <c r="J60" s="4">
        <f ca="1">ROUND(T_Facebook_Ads[[#This Row],[video_views]]*RANDBETWEEN(8,12)/10,0)</f>
        <v>10035</v>
      </c>
      <c r="K60" s="4">
        <f ca="1">T_Facebook_Ads[[#This Row],[engagement_rate]]*RANDBETWEEN(8,12)/10</f>
        <v>2.0400000000000001E-2</v>
      </c>
      <c r="L60" s="4">
        <f ca="1">ROUND(T_Facebook_Ads[[#This Row],[reach]]*RANDBETWEEN(8,12)/10,0)</f>
        <v>37701</v>
      </c>
      <c r="M60" s="4">
        <f ca="1">T_Facebook_Ads[[#This Row],[frequency]]*RANDBETWEEN(8,12)/10</f>
        <v>1.2979999999999998</v>
      </c>
      <c r="O60" s="3">
        <f t="shared" ca="1" si="6"/>
        <v>45214</v>
      </c>
      <c r="P60" s="4" t="s">
        <v>76</v>
      </c>
      <c r="Q60" s="4" t="s">
        <v>77</v>
      </c>
      <c r="R60" s="4" t="s">
        <v>78</v>
      </c>
      <c r="S60" s="4" t="s">
        <v>79</v>
      </c>
      <c r="T60" s="4">
        <f ca="1">ROUND(_Google_ads[[#This Row],[impressions]]*RANDBETWEEN(8,12)/10,0)</f>
        <v>25789</v>
      </c>
      <c r="U60" s="4">
        <f ca="1">ROUND(_Google_ads[[#This Row],[clicks]]*RANDBETWEEN(8,12)/10,0)</f>
        <v>1528</v>
      </c>
      <c r="V60" s="4">
        <f ca="1">_Google_ads[[#This Row],[cost]]*RANDBETWEEN(8,12)/10</f>
        <v>318.23999999999995</v>
      </c>
      <c r="W60" s="4">
        <f ca="1">ROUND(_Google_ads[[#This Row],[conversions]]*RANDBETWEEN(8,12)/10,0)</f>
        <v>57</v>
      </c>
      <c r="X60" s="4">
        <f ca="1">ROUND(_Google_ads[[#This Row],[conversion_value]]*RANDBETWEEN(8,12)/10,0)</f>
        <v>2340</v>
      </c>
      <c r="Y60" s="4">
        <f ca="1">_Google_ads[[#This Row],[ctr]]*RANDBETWEEN(8,12)/10</f>
        <v>4.3040000000000002E-2</v>
      </c>
      <c r="Z60" s="4">
        <f ca="1">_Google_ads[[#This Row],[avg_cpc]]*RANDBETWEEN(8,12)/10</f>
        <v>0.152</v>
      </c>
      <c r="AA60" s="4">
        <f ca="1">ROUND(_Google_ads[[#This Row],[quality_score]]*RANDBETWEEN(8,12)/10,0)</f>
        <v>10</v>
      </c>
      <c r="AB60" s="4">
        <f ca="1">_Google_ads[[#This Row],[search_impression_share]]*RANDBETWEEN(8,12)/10</f>
        <v>0.92000000000000015</v>
      </c>
      <c r="AD60" s="3">
        <f t="shared" ca="1" si="7"/>
        <v>45204</v>
      </c>
      <c r="AE60" s="4" t="s">
        <v>100</v>
      </c>
      <c r="AF60" s="4" t="s">
        <v>101</v>
      </c>
      <c r="AG60" s="4" t="s">
        <v>102</v>
      </c>
      <c r="AH60" s="4" t="s">
        <v>103</v>
      </c>
      <c r="AI60" s="4">
        <f ca="1">ROUND(T_Tiktok_ads[[#This Row],[impressions]]*RANDBETWEEN(8,12)/10,0)</f>
        <v>261111</v>
      </c>
      <c r="AJ60" s="4">
        <f ca="1">ROUND(T_Tiktok_ads[[#This Row],[clicks]]*RANDBETWEEN(8,12)/10,0)</f>
        <v>4189</v>
      </c>
      <c r="AK60" s="4">
        <v>567.79999999999995</v>
      </c>
      <c r="AL60" s="4">
        <f ca="1">ROUND(T_Tiktok_ads[[#This Row],[conversions]]*RANDBETWEEN(8,12)/10,0)</f>
        <v>48</v>
      </c>
      <c r="AM60" s="4">
        <f ca="1">ROUND(T_Tiktok_ads[[#This Row],[video_views]]*RANDBETWEEN(8,12)/10,0)</f>
        <v>189431</v>
      </c>
      <c r="AN60" s="4">
        <f ca="1">ROUND(T_Tiktok_ads[[#This Row],[video_watch_25]]*RANDBETWEEN(8,12)/10,0)</f>
        <v>221480</v>
      </c>
      <c r="AO60" s="4">
        <f ca="1">ROUND(T_Tiktok_ads[[#This Row],[video_watch_50]]*RANDBETWEEN(8,12)/10,0)</f>
        <v>127246</v>
      </c>
      <c r="AP60" s="4">
        <f ca="1">ROUND(T_Tiktok_ads[[#This Row],[video_watch_75]]*RANDBETWEEN(8,12)/10,0)</f>
        <v>70411</v>
      </c>
      <c r="AQ60" s="4">
        <f ca="1">ROUND(T_Tiktok_ads[[#This Row],[video_watch_100]]*RANDBETWEEN(8,12)/10,0)</f>
        <v>57580</v>
      </c>
      <c r="AR60" s="4">
        <f ca="1">ROUND(T_Tiktok_ads[[#This Row],[likes]]*RANDBETWEEN(8,12)/10,0)</f>
        <v>10456</v>
      </c>
      <c r="AS60" s="4">
        <f ca="1">ROUND(T_Tiktok_ads[[#This Row],[shares]]*RANDBETWEEN(8,12)/10,0)</f>
        <v>3093</v>
      </c>
      <c r="AT60" s="4">
        <f ca="1">ROUND(T_Tiktok_ads[[#This Row],[comments]]*RANDBETWEEN(8,12)/10,0)</f>
        <v>678</v>
      </c>
      <c r="AV60" s="5">
        <f t="shared" ca="1" si="8"/>
        <v>45212</v>
      </c>
      <c r="AW60">
        <f t="shared" ca="1" si="4"/>
        <v>2</v>
      </c>
      <c r="AX60">
        <f ca="1">ROUND(T_Facebook_Ads11596367717579838791[[#This Row],[impressions]]*RANDBETWEEN(8,12)/10,0)</f>
        <v>54524</v>
      </c>
      <c r="AY60">
        <f ca="1">ROUND(T_Facebook_Ads11596367717579838791[[#This Row],[clicks]]*RANDBETWEEN(8,12)/10,0)</f>
        <v>1012</v>
      </c>
      <c r="AZ60">
        <f ca="1">T_Facebook_Ads11596367717579838791[[#This Row],[spend]]*RANDBETWEEN(8,12)/10</f>
        <v>190.87199999999999</v>
      </c>
      <c r="BA60">
        <f ca="1">ROUND(T_Facebook_Ads11596367717579838791[[#This Row],[conversions]]*RANDBETWEEN(8,12)/10,0)</f>
        <v>22</v>
      </c>
      <c r="BB60">
        <f ca="1">ROUND(T_Facebook_Ads11596367717579838791[[#This Row],[video_views]]*RANDBETWEEN(8,12)/10,0)</f>
        <v>10035</v>
      </c>
    </row>
    <row r="61" spans="1:54" ht="15.75" thickBot="1" x14ac:dyDescent="0.3">
      <c r="A61" s="3">
        <f t="shared" ca="1" si="5"/>
        <v>45229</v>
      </c>
      <c r="B61" s="4" t="s">
        <v>56</v>
      </c>
      <c r="C61" s="4" t="s">
        <v>57</v>
      </c>
      <c r="D61" s="4" t="s">
        <v>58</v>
      </c>
      <c r="E61" s="4" t="s">
        <v>59</v>
      </c>
      <c r="F61" s="4">
        <f ca="1">ROUND(T_Facebook_Ads[[#This Row],[impressions]]*RANDBETWEEN(8,12)/10,0)</f>
        <v>17480</v>
      </c>
      <c r="G61" s="4">
        <v>689</v>
      </c>
      <c r="H61" s="4">
        <f ca="1">T_Facebook_Ads[[#This Row],[spend]]*RANDBETWEEN(8,12)/10</f>
        <v>253.4</v>
      </c>
      <c r="I61" s="4">
        <f ca="1">ROUND(T_Facebook_Ads[[#This Row],[conversions]]*RANDBETWEEN(8,12)/10,0)</f>
        <v>52</v>
      </c>
      <c r="J61" s="4">
        <f ca="1">ROUND(T_Facebook_Ads[[#This Row],[video_views]]*RANDBETWEEN(8,12)/10,0)</f>
        <v>1191</v>
      </c>
      <c r="K61" s="4">
        <f ca="1">T_Facebook_Ads[[#This Row],[engagement_rate]]*RANDBETWEEN(8,12)/10</f>
        <v>5.203E-2</v>
      </c>
      <c r="L61" s="4">
        <f ca="1">ROUND(T_Facebook_Ads[[#This Row],[reach]]*RANDBETWEEN(8,12)/10,0)</f>
        <v>11567</v>
      </c>
      <c r="M61" s="4">
        <f ca="1">T_Facebook_Ads[[#This Row],[frequency]]*RANDBETWEEN(8,12)/10</f>
        <v>1.512</v>
      </c>
      <c r="O61" s="3">
        <f t="shared" ca="1" si="6"/>
        <v>45227</v>
      </c>
      <c r="P61" s="4" t="s">
        <v>80</v>
      </c>
      <c r="Q61" s="4" t="s">
        <v>81</v>
      </c>
      <c r="R61" s="4" t="s">
        <v>82</v>
      </c>
      <c r="S61" s="4" t="s">
        <v>83</v>
      </c>
      <c r="T61" s="4">
        <f ca="1">ROUND(_Google_ads[[#This Row],[impressions]]*RANDBETWEEN(8,12)/10,0)</f>
        <v>36898</v>
      </c>
      <c r="U61" s="4">
        <f ca="1">ROUND(_Google_ads[[#This Row],[clicks]]*RANDBETWEEN(8,12)/10,0)</f>
        <v>738</v>
      </c>
      <c r="V61" s="4">
        <f ca="1">_Google_ads[[#This Row],[cost]]*RANDBETWEEN(8,12)/10</f>
        <v>472.23999999999995</v>
      </c>
      <c r="W61" s="4">
        <f ca="1">ROUND(_Google_ads[[#This Row],[conversions]]*RANDBETWEEN(8,12)/10,0)</f>
        <v>29</v>
      </c>
      <c r="X61" s="4">
        <f ca="1">ROUND(_Google_ads[[#This Row],[conversion_value]]*RANDBETWEEN(8,12)/10,0)</f>
        <v>1440</v>
      </c>
      <c r="Y61" s="4">
        <f ca="1">_Google_ads[[#This Row],[ctr]]*RANDBETWEEN(8,12)/10</f>
        <v>2.4E-2</v>
      </c>
      <c r="Z61" s="4">
        <f ca="1">_Google_ads[[#This Row],[avg_cpc]]*RANDBETWEEN(8,12)/10</f>
        <v>0.57599999999999996</v>
      </c>
      <c r="AA61" s="4">
        <f ca="1">ROUND(_Google_ads[[#This Row],[quality_score]]*RANDBETWEEN(8,12)/10,0)</f>
        <v>8</v>
      </c>
      <c r="AB61" s="4">
        <f ca="1">_Google_ads[[#This Row],[search_impression_share]]*RANDBETWEEN(8,12)/10</f>
        <v>0.495</v>
      </c>
      <c r="AD61" s="3">
        <f t="shared" ca="1" si="7"/>
        <v>45218</v>
      </c>
      <c r="AE61" s="4" t="s">
        <v>104</v>
      </c>
      <c r="AF61" s="4" t="s">
        <v>105</v>
      </c>
      <c r="AG61" s="4" t="s">
        <v>106</v>
      </c>
      <c r="AH61" s="4" t="s">
        <v>107</v>
      </c>
      <c r="AI61" s="4">
        <f ca="1">ROUND(T_Tiktok_ads[[#This Row],[impressions]]*RANDBETWEEN(8,12)/10,0)</f>
        <v>145111</v>
      </c>
      <c r="AJ61" s="4">
        <f ca="1">ROUND(T_Tiktok_ads[[#This Row],[clicks]]*RANDBETWEEN(8,12)/10,0)</f>
        <v>3707</v>
      </c>
      <c r="AK61" s="4">
        <v>823.7</v>
      </c>
      <c r="AL61" s="4">
        <f ca="1">ROUND(T_Tiktok_ads[[#This Row],[conversions]]*RANDBETWEEN(8,12)/10,0)</f>
        <v>75</v>
      </c>
      <c r="AM61" s="4">
        <f ca="1">ROUND(T_Tiktok_ads[[#This Row],[video_views]]*RANDBETWEEN(8,12)/10,0)</f>
        <v>102110</v>
      </c>
      <c r="AN61" s="4">
        <f ca="1">ROUND(T_Tiktok_ads[[#This Row],[video_watch_25]]*RANDBETWEEN(8,12)/10,0)</f>
        <v>66854</v>
      </c>
      <c r="AO61" s="4">
        <f ca="1">ROUND(T_Tiktok_ads[[#This Row],[video_watch_50]]*RANDBETWEEN(8,12)/10,0)</f>
        <v>50611</v>
      </c>
      <c r="AP61" s="4">
        <f ca="1">ROUND(T_Tiktok_ads[[#This Row],[video_watch_75]]*RANDBETWEEN(8,12)/10,0)</f>
        <v>46580</v>
      </c>
      <c r="AQ61" s="4">
        <f ca="1">ROUND(T_Tiktok_ads[[#This Row],[video_watch_100]]*RANDBETWEEN(8,12)/10,0)</f>
        <v>33881</v>
      </c>
      <c r="AR61" s="4">
        <f ca="1">ROUND(T_Tiktok_ads[[#This Row],[likes]]*RANDBETWEEN(8,12)/10,0)</f>
        <v>6075</v>
      </c>
      <c r="AS61" s="4">
        <f ca="1">ROUND(T_Tiktok_ads[[#This Row],[shares]]*RANDBETWEEN(8,12)/10,0)</f>
        <v>1430</v>
      </c>
      <c r="AT61" s="4">
        <f ca="1">ROUND(T_Tiktok_ads[[#This Row],[comments]]*RANDBETWEEN(8,12)/10,0)</f>
        <v>271</v>
      </c>
      <c r="AV61" s="5">
        <f t="shared" ca="1" si="8"/>
        <v>45207</v>
      </c>
      <c r="AW61">
        <f t="shared" ca="1" si="4"/>
        <v>4</v>
      </c>
      <c r="AX61">
        <f ca="1">ROUND(T_Facebook_Ads11596367717579838791[[#This Row],[impressions]]*RANDBETWEEN(8,12)/10,0)</f>
        <v>19228</v>
      </c>
      <c r="AY61">
        <f ca="1">ROUND(T_Facebook_Ads11596367717579838791[[#This Row],[clicks]]*RANDBETWEEN(8,12)/10,0)</f>
        <v>689</v>
      </c>
      <c r="AZ61">
        <f ca="1">T_Facebook_Ads11596367717579838791[[#This Row],[spend]]*RANDBETWEEN(8,12)/10</f>
        <v>253.4</v>
      </c>
      <c r="BA61">
        <f ca="1">ROUND(T_Facebook_Ads11596367717579838791[[#This Row],[conversions]]*RANDBETWEEN(8,12)/10,0)</f>
        <v>52</v>
      </c>
      <c r="BB61">
        <f ca="1">ROUND(T_Facebook_Ads11596367717579838791[[#This Row],[video_views]]*RANDBETWEEN(8,12)/10,0)</f>
        <v>953</v>
      </c>
    </row>
    <row r="62" spans="1:54" ht="15.75" thickBot="1" x14ac:dyDescent="0.3">
      <c r="A62" s="3">
        <f t="shared" ca="1" si="5"/>
        <v>45224</v>
      </c>
      <c r="B62" s="4" t="s">
        <v>60</v>
      </c>
      <c r="C62" s="4" t="s">
        <v>61</v>
      </c>
      <c r="D62" s="4" t="s">
        <v>62</v>
      </c>
      <c r="E62" s="4" t="s">
        <v>63</v>
      </c>
      <c r="F62" s="4">
        <f ca="1">ROUND(T_Facebook_Ads[[#This Row],[impressions]]*RANDBETWEEN(8,12)/10,0)</f>
        <v>46681</v>
      </c>
      <c r="G62" s="4">
        <v>1456</v>
      </c>
      <c r="H62" s="4">
        <f ca="1">T_Facebook_Ads[[#This Row],[spend]]*RANDBETWEEN(8,12)/10</f>
        <v>179.6</v>
      </c>
      <c r="I62" s="4">
        <f ca="1">ROUND(T_Facebook_Ads[[#This Row],[conversions]]*RANDBETWEEN(8,12)/10,0)</f>
        <v>25</v>
      </c>
      <c r="J62" s="4">
        <f ca="1">ROUND(T_Facebook_Ads[[#This Row],[video_views]]*RANDBETWEEN(8,12)/10,0)</f>
        <v>6281</v>
      </c>
      <c r="K62" s="4">
        <f ca="1">T_Facebook_Ads[[#This Row],[engagement_rate]]*RANDBETWEEN(8,12)/10</f>
        <v>4.4880000000000003E-2</v>
      </c>
      <c r="L62" s="4">
        <f ca="1">ROUND(T_Facebook_Ads[[#This Row],[reach]]*RANDBETWEEN(8,12)/10,0)</f>
        <v>25165</v>
      </c>
      <c r="M62" s="4">
        <f ca="1">T_Facebook_Ads[[#This Row],[frequency]]*RANDBETWEEN(8,12)/10</f>
        <v>1.3640000000000001</v>
      </c>
      <c r="O62" s="3">
        <f t="shared" ca="1" si="6"/>
        <v>45218</v>
      </c>
      <c r="P62" s="4" t="s">
        <v>84</v>
      </c>
      <c r="Q62" s="4" t="s">
        <v>85</v>
      </c>
      <c r="R62" s="4" t="s">
        <v>86</v>
      </c>
      <c r="S62" s="4" t="s">
        <v>87</v>
      </c>
      <c r="T62" s="4">
        <f ca="1">ROUND(_Google_ads[[#This Row],[impressions]]*RANDBETWEEN(8,12)/10,0)</f>
        <v>57254</v>
      </c>
      <c r="U62" s="4">
        <f ca="1">ROUND(_Google_ads[[#This Row],[clicks]]*RANDBETWEEN(8,12)/10,0)</f>
        <v>2171</v>
      </c>
      <c r="V62" s="4">
        <f ca="1">_Google_ads[[#This Row],[cost]]*RANDBETWEEN(8,12)/10</f>
        <v>398.07000000000005</v>
      </c>
      <c r="W62" s="4">
        <f ca="1">ROUND(_Google_ads[[#This Row],[conversions]]*RANDBETWEEN(8,12)/10,0)</f>
        <v>63</v>
      </c>
      <c r="X62" s="4">
        <f ca="1">ROUND(_Google_ads[[#This Row],[conversion_value]]*RANDBETWEEN(8,12)/10,0)</f>
        <v>2800</v>
      </c>
      <c r="Y62" s="4">
        <f ca="1">_Google_ads[[#This Row],[ctr]]*RANDBETWEEN(8,12)/10</f>
        <v>3.0330000000000003E-2</v>
      </c>
      <c r="Z62" s="4">
        <f ca="1">_Google_ads[[#This Row],[avg_cpc]]*RANDBETWEEN(8,12)/10</f>
        <v>0.18</v>
      </c>
      <c r="AA62" s="4">
        <f ca="1">ROUND(_Google_ads[[#This Row],[quality_score]]*RANDBETWEEN(8,12)/10,0)</f>
        <v>9</v>
      </c>
      <c r="AB62" s="4">
        <f ca="1">_Google_ads[[#This Row],[search_impression_share]]*RANDBETWEEN(8,12)/10</f>
        <v>0.61199999999999999</v>
      </c>
      <c r="AD62" s="3">
        <f t="shared" ca="1" si="7"/>
        <v>45223</v>
      </c>
      <c r="AE62" s="4" t="s">
        <v>108</v>
      </c>
      <c r="AF62" s="4" t="s">
        <v>109</v>
      </c>
      <c r="AG62" s="4" t="s">
        <v>110</v>
      </c>
      <c r="AH62" s="4" t="s">
        <v>111</v>
      </c>
      <c r="AI62" s="4">
        <f ca="1">ROUND(T_Tiktok_ads[[#This Row],[impressions]]*RANDBETWEEN(8,12)/10,0)</f>
        <v>273791</v>
      </c>
      <c r="AJ62" s="4">
        <f ca="1">ROUND(T_Tiktok_ads[[#This Row],[clicks]]*RANDBETWEEN(8,12)/10,0)</f>
        <v>4721</v>
      </c>
      <c r="AK62" s="4">
        <v>478.5</v>
      </c>
      <c r="AL62" s="4">
        <f ca="1">ROUND(T_Tiktok_ads[[#This Row],[conversions]]*RANDBETWEEN(8,12)/10,0)</f>
        <v>35</v>
      </c>
      <c r="AM62" s="4">
        <f ca="1">ROUND(T_Tiktok_ads[[#This Row],[video_views]]*RANDBETWEEN(8,12)/10,0)</f>
        <v>156187</v>
      </c>
      <c r="AN62" s="4">
        <f ca="1">ROUND(T_Tiktok_ads[[#This Row],[video_watch_25]]*RANDBETWEEN(8,12)/10,0)</f>
        <v>148901</v>
      </c>
      <c r="AO62" s="4">
        <f ca="1">ROUND(T_Tiktok_ads[[#This Row],[video_watch_50]]*RANDBETWEEN(8,12)/10,0)</f>
        <v>94312</v>
      </c>
      <c r="AP62" s="4">
        <f ca="1">ROUND(T_Tiktok_ads[[#This Row],[video_watch_75]]*RANDBETWEEN(8,12)/10,0)</f>
        <v>68611</v>
      </c>
      <c r="AQ62" s="4">
        <f ca="1">ROUND(T_Tiktok_ads[[#This Row],[video_watch_100]]*RANDBETWEEN(8,12)/10,0)</f>
        <v>46234</v>
      </c>
      <c r="AR62" s="4">
        <f ca="1">ROUND(T_Tiktok_ads[[#This Row],[likes]]*RANDBETWEEN(8,12)/10,0)</f>
        <v>7861</v>
      </c>
      <c r="AS62" s="4">
        <f ca="1">ROUND(T_Tiktok_ads[[#This Row],[shares]]*RANDBETWEEN(8,12)/10,0)</f>
        <v>2881</v>
      </c>
      <c r="AT62" s="4">
        <f ca="1">ROUND(T_Tiktok_ads[[#This Row],[comments]]*RANDBETWEEN(8,12)/10,0)</f>
        <v>636</v>
      </c>
      <c r="AV62" s="5">
        <f t="shared" ca="1" si="8"/>
        <v>45214</v>
      </c>
      <c r="AW62">
        <f t="shared" ca="1" si="4"/>
        <v>8</v>
      </c>
      <c r="AX62">
        <f ca="1">ROUND(T_Facebook_Ads11596367717579838791[[#This Row],[impressions]]*RANDBETWEEN(8,12)/10,0)</f>
        <v>56017</v>
      </c>
      <c r="AY62">
        <f ca="1">ROUND(T_Facebook_Ads11596367717579838791[[#This Row],[clicks]]*RANDBETWEEN(8,12)/10,0)</f>
        <v>1165</v>
      </c>
      <c r="AZ62">
        <f ca="1">T_Facebook_Ads11596367717579838791[[#This Row],[spend]]*RANDBETWEEN(8,12)/10</f>
        <v>179.6</v>
      </c>
      <c r="BA62">
        <f ca="1">ROUND(T_Facebook_Ads11596367717579838791[[#This Row],[conversions]]*RANDBETWEEN(8,12)/10,0)</f>
        <v>20</v>
      </c>
      <c r="BB62">
        <f ca="1">ROUND(T_Facebook_Ads11596367717579838791[[#This Row],[video_views]]*RANDBETWEEN(8,12)/10,0)</f>
        <v>6909</v>
      </c>
    </row>
    <row r="63" spans="1:54" ht="15.75" thickBot="1" x14ac:dyDescent="0.3">
      <c r="A63" s="3">
        <f t="shared" ca="1" si="5"/>
        <v>45204</v>
      </c>
      <c r="B63" s="4" t="s">
        <v>64</v>
      </c>
      <c r="C63" s="4" t="s">
        <v>65</v>
      </c>
      <c r="D63" s="4" t="s">
        <v>66</v>
      </c>
      <c r="E63" s="4" t="s">
        <v>67</v>
      </c>
      <c r="F63" s="4">
        <f ca="1">ROUND(T_Facebook_Ads[[#This Row],[impressions]]*RANDBETWEEN(8,12)/10,0)</f>
        <v>86814</v>
      </c>
      <c r="G63" s="4">
        <v>261</v>
      </c>
      <c r="H63" s="4">
        <f ca="1">T_Facebook_Ads[[#This Row],[spend]]*RANDBETWEEN(8,12)/10</f>
        <v>74.16</v>
      </c>
      <c r="I63" s="4">
        <f ca="1">ROUND(T_Facebook_Ads[[#This Row],[conversions]]*RANDBETWEEN(8,12)/10,0)</f>
        <v>8</v>
      </c>
      <c r="J63" s="4">
        <f ca="1">ROUND(T_Facebook_Ads[[#This Row],[video_views]]*RANDBETWEEN(8,12)/10,0)</f>
        <v>38854</v>
      </c>
      <c r="K63" s="4">
        <f ca="1">T_Facebook_Ads[[#This Row],[engagement_rate]]*RANDBETWEEN(8,12)/10</f>
        <v>3.96E-3</v>
      </c>
      <c r="L63" s="4">
        <f ca="1">ROUND(T_Facebook_Ads[[#This Row],[reach]]*RANDBETWEEN(8,12)/10,0)</f>
        <v>69881</v>
      </c>
      <c r="M63" s="4">
        <f ca="1">T_Facebook_Ads[[#This Row],[frequency]]*RANDBETWEEN(8,12)/10</f>
        <v>1.488</v>
      </c>
      <c r="O63" s="3">
        <f t="shared" ca="1" si="6"/>
        <v>45208</v>
      </c>
      <c r="P63" s="4" t="s">
        <v>88</v>
      </c>
      <c r="Q63" s="4" t="s">
        <v>89</v>
      </c>
      <c r="R63" s="4" t="s">
        <v>90</v>
      </c>
      <c r="S63" s="4" t="s">
        <v>59</v>
      </c>
      <c r="T63" s="4">
        <f ca="1">ROUND(_Google_ads[[#This Row],[impressions]]*RANDBETWEEN(8,12)/10,0)</f>
        <v>148757</v>
      </c>
      <c r="U63" s="4">
        <f ca="1">ROUND(_Google_ads[[#This Row],[clicks]]*RANDBETWEEN(8,12)/10,0)</f>
        <v>601</v>
      </c>
      <c r="V63" s="4">
        <f ca="1">_Google_ads[[#This Row],[cost]]*RANDBETWEEN(8,12)/10</f>
        <v>146.95999999999998</v>
      </c>
      <c r="W63" s="4">
        <f ca="1">ROUND(_Google_ads[[#This Row],[conversions]]*RANDBETWEEN(8,12)/10,0)</f>
        <v>13</v>
      </c>
      <c r="X63" s="4">
        <f ca="1">ROUND(_Google_ads[[#This Row],[conversion_value]]*RANDBETWEEN(8,12)/10,0)</f>
        <v>630</v>
      </c>
      <c r="Y63" s="4">
        <f ca="1">_Google_ads[[#This Row],[ctr]]*RANDBETWEEN(8,12)/10</f>
        <v>4.4400000000000004E-3</v>
      </c>
      <c r="Z63" s="4">
        <f ca="1">_Google_ads[[#This Row],[avg_cpc]]*RANDBETWEEN(8,12)/10</f>
        <v>0.21600000000000003</v>
      </c>
      <c r="AA63" s="4">
        <f ca="1">ROUND(_Google_ads[[#This Row],[quality_score]]*RANDBETWEEN(8,12)/10,0)</f>
        <v>8</v>
      </c>
      <c r="AB63" s="4">
        <f ca="1">_Google_ads[[#This Row],[search_impression_share]]*RANDBETWEEN(8,12)/10</f>
        <v>0.38499999999999995</v>
      </c>
      <c r="AD63" s="3">
        <f t="shared" ca="1" si="7"/>
        <v>45201</v>
      </c>
      <c r="AE63" s="4" t="s">
        <v>112</v>
      </c>
      <c r="AF63" s="4" t="s">
        <v>113</v>
      </c>
      <c r="AG63" s="4" t="s">
        <v>114</v>
      </c>
      <c r="AH63" s="4" t="s">
        <v>115</v>
      </c>
      <c r="AI63" s="4">
        <f ca="1">ROUND(T_Tiktok_ads[[#This Row],[impressions]]*RANDBETWEEN(8,12)/10,0)</f>
        <v>478024</v>
      </c>
      <c r="AJ63" s="4">
        <f ca="1">ROUND(T_Tiktok_ads[[#This Row],[clicks]]*RANDBETWEEN(8,12)/10,0)</f>
        <v>7012</v>
      </c>
      <c r="AK63" s="4">
        <v>1089.3</v>
      </c>
      <c r="AL63" s="4">
        <f ca="1">ROUND(T_Tiktok_ads[[#This Row],[conversions]]*RANDBETWEEN(8,12)/10,0)</f>
        <v>131</v>
      </c>
      <c r="AM63" s="4">
        <f ca="1">ROUND(T_Tiktok_ads[[#This Row],[video_views]]*RANDBETWEEN(8,12)/10,0)</f>
        <v>294312</v>
      </c>
      <c r="AN63" s="4">
        <f ca="1">ROUND(T_Tiktok_ads[[#This Row],[video_watch_25]]*RANDBETWEEN(8,12)/10,0)</f>
        <v>296234</v>
      </c>
      <c r="AO63" s="4">
        <f ca="1">ROUND(T_Tiktok_ads[[#This Row],[video_watch_50]]*RANDBETWEEN(8,12)/10,0)</f>
        <v>190312</v>
      </c>
      <c r="AP63" s="4">
        <f ca="1">ROUND(T_Tiktok_ads[[#This Row],[video_watch_75]]*RANDBETWEEN(8,12)/10,0)</f>
        <v>185057</v>
      </c>
      <c r="AQ63" s="4">
        <f ca="1">ROUND(T_Tiktok_ads[[#This Row],[video_watch_100]]*RANDBETWEEN(8,12)/10,0)</f>
        <v>111234</v>
      </c>
      <c r="AR63" s="4">
        <f ca="1">ROUND(T_Tiktok_ads[[#This Row],[likes]]*RANDBETWEEN(8,12)/10,0)</f>
        <v>23081</v>
      </c>
      <c r="AS63" s="4">
        <f ca="1">ROUND(T_Tiktok_ads[[#This Row],[shares]]*RANDBETWEEN(8,12)/10,0)</f>
        <v>5534</v>
      </c>
      <c r="AT63" s="4">
        <f ca="1">ROUND(T_Tiktok_ads[[#This Row],[comments]]*RANDBETWEEN(8,12)/10,0)</f>
        <v>1218</v>
      </c>
      <c r="AV63" s="5">
        <f t="shared" ca="1" si="8"/>
        <v>45221</v>
      </c>
      <c r="AW63">
        <f t="shared" ca="1" si="4"/>
        <v>2</v>
      </c>
      <c r="AX63">
        <f ca="1">ROUND(T_Facebook_Ads11596367717579838791[[#This Row],[impressions]]*RANDBETWEEN(8,12)/10,0)</f>
        <v>95495</v>
      </c>
      <c r="AY63">
        <f ca="1">ROUND(T_Facebook_Ads11596367717579838791[[#This Row],[clicks]]*RANDBETWEEN(8,12)/10,0)</f>
        <v>261</v>
      </c>
      <c r="AZ63">
        <f ca="1">T_Facebook_Ads11596367717579838791[[#This Row],[spend]]*RANDBETWEEN(8,12)/10</f>
        <v>81.575999999999993</v>
      </c>
      <c r="BA63">
        <f ca="1">ROUND(T_Facebook_Ads11596367717579838791[[#This Row],[conversions]]*RANDBETWEEN(8,12)/10,0)</f>
        <v>6</v>
      </c>
      <c r="BB63">
        <f ca="1">ROUND(T_Facebook_Ads11596367717579838791[[#This Row],[video_views]]*RANDBETWEEN(8,12)/10,0)</f>
        <v>46625</v>
      </c>
    </row>
    <row r="64" spans="1:54" ht="15.75" thickBot="1" x14ac:dyDescent="0.3">
      <c r="A64" s="3">
        <f t="shared" ca="1" si="5"/>
        <v>45208</v>
      </c>
      <c r="B64" s="4" t="s">
        <v>52</v>
      </c>
      <c r="C64" s="4" t="s">
        <v>53</v>
      </c>
      <c r="D64" s="4" t="s">
        <v>54</v>
      </c>
      <c r="E64" s="4" t="s">
        <v>55</v>
      </c>
      <c r="F64" s="4">
        <f ca="1">ROUND(T_Facebook_Ads[[#This Row],[impressions]]*RANDBETWEEN(8,12)/10,0)</f>
        <v>57468</v>
      </c>
      <c r="G64" s="4">
        <v>967</v>
      </c>
      <c r="H64" s="4">
        <f ca="1">T_Facebook_Ads[[#This Row],[spend]]*RANDBETWEEN(8,12)/10</f>
        <v>152.24</v>
      </c>
      <c r="I64" s="4">
        <f ca="1">ROUND(T_Facebook_Ads[[#This Row],[conversions]]*RANDBETWEEN(8,12)/10,0)</f>
        <v>12</v>
      </c>
      <c r="J64" s="4">
        <f ca="1">ROUND(T_Facebook_Ads[[#This Row],[video_views]]*RANDBETWEEN(8,12)/10,0)</f>
        <v>10547</v>
      </c>
      <c r="K64" s="4">
        <f ca="1">T_Facebook_Ads[[#This Row],[engagement_rate]]*RANDBETWEEN(8,12)/10</f>
        <v>1.6160000000000001E-2</v>
      </c>
      <c r="L64" s="4">
        <f ca="1">ROUND(T_Facebook_Ads[[#This Row],[reach]]*RANDBETWEEN(8,12)/10,0)</f>
        <v>44257</v>
      </c>
      <c r="M64" s="4">
        <f ca="1">T_Facebook_Ads[[#This Row],[frequency]]*RANDBETWEEN(8,12)/10</f>
        <v>1.071</v>
      </c>
      <c r="O64" s="3">
        <f t="shared" ca="1" si="6"/>
        <v>45215</v>
      </c>
      <c r="P64" s="4" t="s">
        <v>76</v>
      </c>
      <c r="Q64" s="4" t="s">
        <v>77</v>
      </c>
      <c r="R64" s="4" t="s">
        <v>78</v>
      </c>
      <c r="S64" s="4" t="s">
        <v>79</v>
      </c>
      <c r="T64" s="4">
        <f ca="1">ROUND(_Google_ads[[#This Row],[impressions]]*RANDBETWEEN(8,12)/10,0)</f>
        <v>27024</v>
      </c>
      <c r="U64" s="4">
        <f ca="1">ROUND(_Google_ads[[#This Row],[clicks]]*RANDBETWEEN(8,12)/10,0)</f>
        <v>1289</v>
      </c>
      <c r="V64" s="4">
        <f ca="1">_Google_ads[[#This Row],[cost]]*RANDBETWEEN(8,12)/10</f>
        <v>197.44</v>
      </c>
      <c r="W64" s="4">
        <f ca="1">ROUND(_Google_ads[[#This Row],[conversions]]*RANDBETWEEN(8,12)/10,0)</f>
        <v>53</v>
      </c>
      <c r="X64" s="4">
        <f ca="1">ROUND(_Google_ads[[#This Row],[conversion_value]]*RANDBETWEEN(8,12)/10,0)</f>
        <v>2160</v>
      </c>
      <c r="Y64" s="4">
        <f ca="1">_Google_ads[[#This Row],[ctr]]*RANDBETWEEN(8,12)/10</f>
        <v>4.1999999999999996E-2</v>
      </c>
      <c r="Z64" s="4">
        <f ca="1">_Google_ads[[#This Row],[avg_cpc]]*RANDBETWEEN(8,12)/10</f>
        <v>0.20899999999999999</v>
      </c>
      <c r="AA64" s="4">
        <f ca="1">ROUND(_Google_ads[[#This Row],[quality_score]]*RANDBETWEEN(8,12)/10,0)</f>
        <v>8</v>
      </c>
      <c r="AB64" s="4">
        <f ca="1">_Google_ads[[#This Row],[search_impression_share]]*RANDBETWEEN(8,12)/10</f>
        <v>1.0920000000000001</v>
      </c>
      <c r="AD64" s="3">
        <f t="shared" ca="1" si="7"/>
        <v>45217</v>
      </c>
      <c r="AE64" s="4" t="s">
        <v>100</v>
      </c>
      <c r="AF64" s="4" t="s">
        <v>101</v>
      </c>
      <c r="AG64" s="4" t="s">
        <v>102</v>
      </c>
      <c r="AH64" s="4" t="s">
        <v>103</v>
      </c>
      <c r="AI64" s="4">
        <f ca="1">ROUND(T_Tiktok_ads[[#This Row],[impressions]]*RANDBETWEEN(8,12)/10,0)</f>
        <v>223121</v>
      </c>
      <c r="AJ64" s="4">
        <f ca="1">ROUND(T_Tiktok_ads[[#This Row],[clicks]]*RANDBETWEEN(8,12)/10,0)</f>
        <v>3298</v>
      </c>
      <c r="AK64" s="4">
        <v>545.6</v>
      </c>
      <c r="AL64" s="4">
        <f ca="1">ROUND(T_Tiktok_ads[[#This Row],[conversions]]*RANDBETWEEN(8,12)/10,0)</f>
        <v>46</v>
      </c>
      <c r="AM64" s="4">
        <f ca="1">ROUND(T_Tiktok_ads[[#This Row],[video_views]]*RANDBETWEEN(8,12)/10,0)</f>
        <v>206311</v>
      </c>
      <c r="AN64" s="4">
        <f ca="1">ROUND(T_Tiktok_ads[[#This Row],[video_watch_25]]*RANDBETWEEN(8,12)/10,0)</f>
        <v>215081</v>
      </c>
      <c r="AO64" s="4">
        <f ca="1">ROUND(T_Tiktok_ads[[#This Row],[video_watch_50]]*RANDBETWEEN(8,12)/10,0)</f>
        <v>123457</v>
      </c>
      <c r="AP64" s="4">
        <f ca="1">ROUND(T_Tiktok_ads[[#This Row],[video_watch_75]]*RANDBETWEEN(8,12)/10,0)</f>
        <v>60542</v>
      </c>
      <c r="AQ64" s="4">
        <f ca="1">ROUND(T_Tiktok_ads[[#This Row],[video_watch_100]]*RANDBETWEEN(8,12)/10,0)</f>
        <v>55257</v>
      </c>
      <c r="AR64" s="4">
        <f ca="1">ROUND(T_Tiktok_ads[[#This Row],[likes]]*RANDBETWEEN(8,12)/10,0)</f>
        <v>9111</v>
      </c>
      <c r="AS64" s="4">
        <f ca="1">ROUND(T_Tiktok_ads[[#This Row],[shares]]*RANDBETWEEN(8,12)/10,0)</f>
        <v>2983</v>
      </c>
      <c r="AT64" s="4">
        <f ca="1">ROUND(T_Tiktok_ads[[#This Row],[comments]]*RANDBETWEEN(8,12)/10,0)</f>
        <v>645</v>
      </c>
      <c r="AV64" s="5">
        <f t="shared" ca="1" si="8"/>
        <v>45226</v>
      </c>
      <c r="AW64">
        <f t="shared" ca="1" si="4"/>
        <v>2</v>
      </c>
      <c r="AX64">
        <f ca="1">ROUND(T_Facebook_Ads11596367717579838791[[#This Row],[impressions]]*RANDBETWEEN(8,12)/10,0)</f>
        <v>63215</v>
      </c>
      <c r="AY64">
        <f ca="1">ROUND(T_Facebook_Ads11596367717579838791[[#This Row],[clicks]]*RANDBETWEEN(8,12)/10,0)</f>
        <v>967</v>
      </c>
      <c r="AZ64">
        <f ca="1">T_Facebook_Ads11596367717579838791[[#This Row],[spend]]*RANDBETWEEN(8,12)/10</f>
        <v>137.01600000000002</v>
      </c>
      <c r="BA64">
        <f ca="1">ROUND(T_Facebook_Ads11596367717579838791[[#This Row],[conversions]]*RANDBETWEEN(8,12)/10,0)</f>
        <v>14</v>
      </c>
      <c r="BB64">
        <f ca="1">ROUND(T_Facebook_Ads11596367717579838791[[#This Row],[video_views]]*RANDBETWEEN(8,12)/10,0)</f>
        <v>10547</v>
      </c>
    </row>
    <row r="65" spans="1:54" ht="15.75" thickBot="1" x14ac:dyDescent="0.3">
      <c r="A65" s="3">
        <f t="shared" ca="1" si="5"/>
        <v>45204</v>
      </c>
      <c r="B65" s="4" t="s">
        <v>56</v>
      </c>
      <c r="C65" s="4" t="s">
        <v>57</v>
      </c>
      <c r="D65" s="4" t="s">
        <v>58</v>
      </c>
      <c r="E65" s="4" t="s">
        <v>59</v>
      </c>
      <c r="F65" s="4">
        <f ca="1">ROUND(T_Facebook_Ads[[#This Row],[impressions]]*RANDBETWEEN(8,12)/10,0)</f>
        <v>12501</v>
      </c>
      <c r="G65" s="4">
        <v>634</v>
      </c>
      <c r="H65" s="4">
        <f ca="1">T_Facebook_Ads[[#This Row],[spend]]*RANDBETWEEN(8,12)/10</f>
        <v>212.22000000000003</v>
      </c>
      <c r="I65" s="4">
        <f ca="1">ROUND(T_Facebook_Ads[[#This Row],[conversions]]*RANDBETWEEN(8,12)/10,0)</f>
        <v>44</v>
      </c>
      <c r="J65" s="4">
        <f ca="1">ROUND(T_Facebook_Ads[[#This Row],[video_views]]*RANDBETWEEN(8,12)/10,0)</f>
        <v>1378</v>
      </c>
      <c r="K65" s="4">
        <f ca="1">T_Facebook_Ads[[#This Row],[engagement_rate]]*RANDBETWEEN(8,12)/10</f>
        <v>5.0269999999999995E-2</v>
      </c>
      <c r="L65" s="4">
        <f ca="1">ROUND(T_Facebook_Ads[[#This Row],[reach]]*RANDBETWEEN(8,12)/10,0)</f>
        <v>10890</v>
      </c>
      <c r="M65" s="4">
        <f ca="1">T_Facebook_Ads[[#This Row],[frequency]]*RANDBETWEEN(8,12)/10</f>
        <v>1.016</v>
      </c>
      <c r="O65" s="3">
        <f t="shared" ca="1" si="6"/>
        <v>45229</v>
      </c>
      <c r="P65" s="4" t="s">
        <v>80</v>
      </c>
      <c r="Q65" s="4" t="s">
        <v>81</v>
      </c>
      <c r="R65" s="4" t="s">
        <v>82</v>
      </c>
      <c r="S65" s="4" t="s">
        <v>83</v>
      </c>
      <c r="T65" s="4">
        <f ca="1">ROUND(_Google_ads[[#This Row],[impressions]]*RANDBETWEEN(8,12)/10,0)</f>
        <v>49379</v>
      </c>
      <c r="U65" s="4">
        <f ca="1">ROUND(_Google_ads[[#This Row],[clicks]]*RANDBETWEEN(8,12)/10,0)</f>
        <v>712</v>
      </c>
      <c r="V65" s="4">
        <f ca="1">_Google_ads[[#This Row],[cost]]*RANDBETWEEN(8,12)/10</f>
        <v>459.76000000000005</v>
      </c>
      <c r="W65" s="4">
        <f ca="1">ROUND(_Google_ads[[#This Row],[conversions]]*RANDBETWEEN(8,12)/10,0)</f>
        <v>18</v>
      </c>
      <c r="X65" s="4">
        <f ca="1">ROUND(_Google_ads[[#This Row],[conversion_value]]*RANDBETWEEN(8,12)/10,0)</f>
        <v>1380</v>
      </c>
      <c r="Y65" s="4">
        <f ca="1">_Google_ads[[#This Row],[ctr]]*RANDBETWEEN(8,12)/10</f>
        <v>1.9800000000000002E-2</v>
      </c>
      <c r="Z65" s="4">
        <f ca="1">_Google_ads[[#This Row],[avg_cpc]]*RANDBETWEEN(8,12)/10</f>
        <v>0.52</v>
      </c>
      <c r="AA65" s="4">
        <f ca="1">ROUND(_Google_ads[[#This Row],[quality_score]]*RANDBETWEEN(8,12)/10,0)</f>
        <v>6</v>
      </c>
      <c r="AB65" s="4">
        <f ca="1">_Google_ads[[#This Row],[search_impression_share]]*RANDBETWEEN(8,12)/10</f>
        <v>0.35199999999999998</v>
      </c>
      <c r="AD65" s="3">
        <f t="shared" ca="1" si="7"/>
        <v>45225</v>
      </c>
      <c r="AE65" s="4" t="s">
        <v>104</v>
      </c>
      <c r="AF65" s="4" t="s">
        <v>105</v>
      </c>
      <c r="AG65" s="4" t="s">
        <v>106</v>
      </c>
      <c r="AH65" s="4" t="s">
        <v>107</v>
      </c>
      <c r="AI65" s="4">
        <f ca="1">ROUND(T_Tiktok_ads[[#This Row],[impressions]]*RANDBETWEEN(8,12)/10,0)</f>
        <v>153456</v>
      </c>
      <c r="AJ65" s="4">
        <f ca="1">ROUND(T_Tiktok_ads[[#This Row],[clicks]]*RANDBETWEEN(8,12)/10,0)</f>
        <v>2945</v>
      </c>
      <c r="AK65" s="4">
        <v>789.2</v>
      </c>
      <c r="AL65" s="4">
        <f ca="1">ROUND(T_Tiktok_ads[[#This Row],[conversions]]*RANDBETWEEN(8,12)/10,0)</f>
        <v>87</v>
      </c>
      <c r="AM65" s="4">
        <f ca="1">ROUND(T_Tiktok_ads[[#This Row],[video_views]]*RANDBETWEEN(8,12)/10,0)</f>
        <v>97101</v>
      </c>
      <c r="AN65" s="4">
        <f ca="1">ROUND(T_Tiktok_ads[[#This Row],[video_watch_25]]*RANDBETWEEN(8,12)/10,0)</f>
        <v>71610</v>
      </c>
      <c r="AO65" s="4">
        <f ca="1">ROUND(T_Tiktok_ads[[#This Row],[video_watch_50]]*RANDBETWEEN(8,12)/10,0)</f>
        <v>42942</v>
      </c>
      <c r="AP65" s="4">
        <f ca="1">ROUND(T_Tiktok_ads[[#This Row],[video_watch_75]]*RANDBETWEEN(8,12)/10,0)</f>
        <v>32187</v>
      </c>
      <c r="AQ65" s="4">
        <f ca="1">ROUND(T_Tiktok_ads[[#This Row],[video_watch_100]]*RANDBETWEEN(8,12)/10,0)</f>
        <v>29579</v>
      </c>
      <c r="AR65" s="4">
        <f ca="1">ROUND(T_Tiktok_ads[[#This Row],[likes]]*RANDBETWEEN(8,12)/10,0)</f>
        <v>4187</v>
      </c>
      <c r="AS65" s="4">
        <f ca="1">ROUND(T_Tiktok_ads[[#This Row],[shares]]*RANDBETWEEN(8,12)/10,0)</f>
        <v>1310</v>
      </c>
      <c r="AT65" s="4">
        <f ca="1">ROUND(T_Tiktok_ads[[#This Row],[comments]]*RANDBETWEEN(8,12)/10,0)</f>
        <v>250</v>
      </c>
      <c r="AV65" s="5">
        <f t="shared" ca="1" si="8"/>
        <v>45215</v>
      </c>
      <c r="AW65">
        <f t="shared" ca="1" si="4"/>
        <v>6</v>
      </c>
      <c r="AX65">
        <f ca="1">ROUND(T_Facebook_Ads11596367717579838791[[#This Row],[impressions]]*RANDBETWEEN(8,12)/10,0)</f>
        <v>11251</v>
      </c>
      <c r="AY65">
        <f ca="1">ROUND(T_Facebook_Ads11596367717579838791[[#This Row],[clicks]]*RANDBETWEEN(8,12)/10,0)</f>
        <v>761</v>
      </c>
      <c r="AZ65">
        <f ca="1">T_Facebook_Ads11596367717579838791[[#This Row],[spend]]*RANDBETWEEN(8,12)/10</f>
        <v>254.66400000000004</v>
      </c>
      <c r="BA65">
        <f ca="1">ROUND(T_Facebook_Ads11596367717579838791[[#This Row],[conversions]]*RANDBETWEEN(8,12)/10,0)</f>
        <v>44</v>
      </c>
      <c r="BB65">
        <f ca="1">ROUND(T_Facebook_Ads11596367717579838791[[#This Row],[video_views]]*RANDBETWEEN(8,12)/10,0)</f>
        <v>1654</v>
      </c>
    </row>
    <row r="66" spans="1:54" ht="15.75" thickBot="1" x14ac:dyDescent="0.3">
      <c r="A66" s="3">
        <f t="shared" ref="A66:A97" ca="1" si="9">DATE(2023,10,RANDBETWEEN(1,31))</f>
        <v>45209</v>
      </c>
      <c r="B66" s="4" t="s">
        <v>60</v>
      </c>
      <c r="C66" s="4" t="s">
        <v>61</v>
      </c>
      <c r="D66" s="4" t="s">
        <v>62</v>
      </c>
      <c r="E66" s="4" t="s">
        <v>63</v>
      </c>
      <c r="F66" s="4">
        <f ca="1">ROUND(T_Facebook_Ads[[#This Row],[impressions]]*RANDBETWEEN(8,12)/10,0)</f>
        <v>44681</v>
      </c>
      <c r="G66" s="4">
        <v>1367</v>
      </c>
      <c r="H66" s="4">
        <f ca="1">T_Facebook_Ads[[#This Row],[spend]]*RANDBETWEEN(8,12)/10</f>
        <v>209.9</v>
      </c>
      <c r="I66" s="4">
        <f ca="1">ROUND(T_Facebook_Ads[[#This Row],[conversions]]*RANDBETWEEN(8,12)/10,0)</f>
        <v>31</v>
      </c>
      <c r="J66" s="4">
        <f ca="1">ROUND(T_Facebook_Ads[[#This Row],[video_views]]*RANDBETWEEN(8,12)/10,0)</f>
        <v>4511</v>
      </c>
      <c r="K66" s="4">
        <f ca="1">T_Facebook_Ads[[#This Row],[engagement_rate]]*RANDBETWEEN(8,12)/10</f>
        <v>3.3030000000000004E-2</v>
      </c>
      <c r="L66" s="4">
        <f ca="1">ROUND(T_Facebook_Ads[[#This Row],[reach]]*RANDBETWEEN(8,12)/10,0)</f>
        <v>30678</v>
      </c>
      <c r="M66" s="4">
        <f ca="1">T_Facebook_Ads[[#This Row],[frequency]]*RANDBETWEEN(8,12)/10</f>
        <v>0.96799999999999997</v>
      </c>
      <c r="O66" s="3">
        <f t="shared" ref="O66:O97" ca="1" si="10">DATE(2023,10,RANDBETWEEN(1,31))</f>
        <v>45217</v>
      </c>
      <c r="P66" s="4" t="s">
        <v>84</v>
      </c>
      <c r="Q66" s="4" t="s">
        <v>85</v>
      </c>
      <c r="R66" s="4" t="s">
        <v>86</v>
      </c>
      <c r="S66" s="4" t="s">
        <v>87</v>
      </c>
      <c r="T66" s="4">
        <f ca="1">ROUND(_Google_ads[[#This Row],[impressions]]*RANDBETWEEN(8,12)/10,0)</f>
        <v>62311</v>
      </c>
      <c r="U66" s="4">
        <f ca="1">ROUND(_Google_ads[[#This Row],[clicks]]*RANDBETWEEN(8,12)/10,0)</f>
        <v>1841</v>
      </c>
      <c r="V66" s="4">
        <f ca="1">_Google_ads[[#This Row],[cost]]*RANDBETWEEN(8,12)/10</f>
        <v>338.8</v>
      </c>
      <c r="W66" s="4">
        <f ca="1">ROUND(_Google_ads[[#This Row],[conversions]]*RANDBETWEEN(8,12)/10,0)</f>
        <v>67</v>
      </c>
      <c r="X66" s="4">
        <f ca="1">ROUND(_Google_ads[[#This Row],[conversion_value]]*RANDBETWEEN(8,12)/10,0)</f>
        <v>2680</v>
      </c>
      <c r="Y66" s="4">
        <f ca="1">_Google_ads[[#This Row],[ctr]]*RANDBETWEEN(8,12)/10</f>
        <v>3.32E-2</v>
      </c>
      <c r="Z66" s="4">
        <f ca="1">_Google_ads[[#This Row],[avg_cpc]]*RANDBETWEEN(8,12)/10</f>
        <v>0.14399999999999999</v>
      </c>
      <c r="AA66" s="4">
        <f ca="1">ROUND(_Google_ads[[#This Row],[quality_score]]*RANDBETWEEN(8,12)/10,0)</f>
        <v>7</v>
      </c>
      <c r="AB66" s="4">
        <f ca="1">_Google_ads[[#This Row],[search_impression_share]]*RANDBETWEEN(8,12)/10</f>
        <v>0.80400000000000005</v>
      </c>
      <c r="AD66" s="3">
        <f t="shared" ref="AD66:AD97" ca="1" si="11">DATE(2023,10,RANDBETWEEN(1,31))</f>
        <v>45206</v>
      </c>
      <c r="AE66" s="4" t="s">
        <v>108</v>
      </c>
      <c r="AF66" s="4" t="s">
        <v>109</v>
      </c>
      <c r="AG66" s="4" t="s">
        <v>110</v>
      </c>
      <c r="AH66" s="4" t="s">
        <v>111</v>
      </c>
      <c r="AI66" s="4">
        <f ca="1">ROUND(T_Tiktok_ads[[#This Row],[impressions]]*RANDBETWEEN(8,12)/10,0)</f>
        <v>260468</v>
      </c>
      <c r="AJ66" s="4">
        <f ca="1">ROUND(T_Tiktok_ads[[#This Row],[clicks]]*RANDBETWEEN(8,12)/10,0)</f>
        <v>2987</v>
      </c>
      <c r="AK66" s="4">
        <v>456.8</v>
      </c>
      <c r="AL66" s="4">
        <f ca="1">ROUND(T_Tiktok_ads[[#This Row],[conversions]]*RANDBETWEEN(8,12)/10,0)</f>
        <v>26</v>
      </c>
      <c r="AM66" s="4">
        <f ca="1">ROUND(T_Tiktok_ads[[#This Row],[video_views]]*RANDBETWEEN(8,12)/10,0)</f>
        <v>169101</v>
      </c>
      <c r="AN66" s="4">
        <f ca="1">ROUND(T_Tiktok_ads[[#This Row],[video_watch_25]]*RANDBETWEEN(8,12)/10,0)</f>
        <v>170814</v>
      </c>
      <c r="AO66" s="4">
        <f ca="1">ROUND(T_Tiktok_ads[[#This Row],[video_watch_50]]*RANDBETWEEN(8,12)/10,0)</f>
        <v>89876</v>
      </c>
      <c r="AP66" s="4">
        <f ca="1">ROUND(T_Tiktok_ads[[#This Row],[video_watch_75]]*RANDBETWEEN(8,12)/10,0)</f>
        <v>79580</v>
      </c>
      <c r="AQ66" s="4">
        <f ca="1">ROUND(T_Tiktok_ads[[#This Row],[video_watch_100]]*RANDBETWEEN(8,12)/10,0)</f>
        <v>35031</v>
      </c>
      <c r="AR66" s="4">
        <f ca="1">ROUND(T_Tiktok_ads[[#This Row],[likes]]*RANDBETWEEN(8,12)/10,0)</f>
        <v>8456</v>
      </c>
      <c r="AS66" s="4">
        <f ca="1">ROUND(T_Tiktok_ads[[#This Row],[shares]]*RANDBETWEEN(8,12)/10,0)</f>
        <v>1814</v>
      </c>
      <c r="AT66" s="4">
        <f ca="1">ROUND(T_Tiktok_ads[[#This Row],[comments]]*RANDBETWEEN(8,12)/10,0)</f>
        <v>654</v>
      </c>
      <c r="AV66" s="5">
        <f t="shared" ref="AV66:AV97" ca="1" si="12">DATE(2023,10,RANDBETWEEN(1,31))</f>
        <v>45211</v>
      </c>
      <c r="AW66">
        <f t="shared" ca="1" si="4"/>
        <v>6</v>
      </c>
      <c r="AX66">
        <f ca="1">ROUND(T_Facebook_Ads11596367717579838791[[#This Row],[impressions]]*RANDBETWEEN(8,12)/10,0)</f>
        <v>53617</v>
      </c>
      <c r="AY66">
        <f ca="1">ROUND(T_Facebook_Ads11596367717579838791[[#This Row],[clicks]]*RANDBETWEEN(8,12)/10,0)</f>
        <v>1640</v>
      </c>
      <c r="AZ66">
        <f ca="1">T_Facebook_Ads11596367717579838791[[#This Row],[spend]]*RANDBETWEEN(8,12)/10</f>
        <v>188.91000000000003</v>
      </c>
      <c r="BA66">
        <f ca="1">ROUND(T_Facebook_Ads11596367717579838791[[#This Row],[conversions]]*RANDBETWEEN(8,12)/10,0)</f>
        <v>37</v>
      </c>
      <c r="BB66">
        <f ca="1">ROUND(T_Facebook_Ads11596367717579838791[[#This Row],[video_views]]*RANDBETWEEN(8,12)/10,0)</f>
        <v>4962</v>
      </c>
    </row>
    <row r="67" spans="1:54" ht="15.75" thickBot="1" x14ac:dyDescent="0.3">
      <c r="A67" s="3">
        <f t="shared" ca="1" si="9"/>
        <v>45223</v>
      </c>
      <c r="B67" s="4" t="s">
        <v>64</v>
      </c>
      <c r="C67" s="4" t="s">
        <v>65</v>
      </c>
      <c r="D67" s="4" t="s">
        <v>66</v>
      </c>
      <c r="E67" s="4" t="s">
        <v>67</v>
      </c>
      <c r="F67" s="4">
        <f ca="1">ROUND(T_Facebook_Ads[[#This Row],[impressions]]*RANDBETWEEN(8,12)/10,0)</f>
        <v>77135</v>
      </c>
      <c r="G67" s="4">
        <v>253</v>
      </c>
      <c r="H67" s="4">
        <f ca="1">T_Facebook_Ads[[#This Row],[spend]]*RANDBETWEEN(8,12)/10</f>
        <v>89.4</v>
      </c>
      <c r="I67" s="4">
        <f ca="1">ROUND(T_Facebook_Ads[[#This Row],[conversions]]*RANDBETWEEN(8,12)/10,0)</f>
        <v>5</v>
      </c>
      <c r="J67" s="4">
        <f ca="1">ROUND(T_Facebook_Ads[[#This Row],[video_views]]*RANDBETWEEN(8,12)/10,0)</f>
        <v>42511</v>
      </c>
      <c r="K67" s="4">
        <f ca="1">T_Facebook_Ads[[#This Row],[engagement_rate]]*RANDBETWEEN(8,12)/10</f>
        <v>4.3200000000000001E-3</v>
      </c>
      <c r="L67" s="4">
        <f ca="1">ROUND(T_Facebook_Ads[[#This Row],[reach]]*RANDBETWEEN(8,12)/10,0)</f>
        <v>52101</v>
      </c>
      <c r="M67" s="4">
        <f ca="1">T_Facebook_Ads[[#This Row],[frequency]]*RANDBETWEEN(8,12)/10</f>
        <v>1.452</v>
      </c>
      <c r="O67" s="3">
        <f t="shared" ca="1" si="10"/>
        <v>45210</v>
      </c>
      <c r="P67" s="4" t="s">
        <v>88</v>
      </c>
      <c r="Q67" s="4" t="s">
        <v>89</v>
      </c>
      <c r="R67" s="4" t="s">
        <v>90</v>
      </c>
      <c r="S67" s="4" t="s">
        <v>59</v>
      </c>
      <c r="T67" s="4">
        <f ca="1">ROUND(_Google_ads[[#This Row],[impressions]]*RANDBETWEEN(8,12)/10,0)</f>
        <v>118410</v>
      </c>
      <c r="U67" s="4">
        <f ca="1">ROUND(_Google_ads[[#This Row],[clicks]]*RANDBETWEEN(8,12)/10,0)</f>
        <v>526</v>
      </c>
      <c r="V67" s="4">
        <f ca="1">_Google_ads[[#This Row],[cost]]*RANDBETWEEN(8,12)/10</f>
        <v>116.46000000000001</v>
      </c>
      <c r="W67" s="4">
        <f ca="1">ROUND(_Google_ads[[#This Row],[conversions]]*RANDBETWEEN(8,12)/10,0)</f>
        <v>12</v>
      </c>
      <c r="X67" s="4">
        <f ca="1">ROUND(_Google_ads[[#This Row],[conversion_value]]*RANDBETWEEN(8,12)/10,0)</f>
        <v>715</v>
      </c>
      <c r="Y67" s="4">
        <f ca="1">_Google_ads[[#This Row],[ctr]]*RANDBETWEEN(8,12)/10</f>
        <v>4.3200000000000001E-3</v>
      </c>
      <c r="Z67" s="4">
        <f ca="1">_Google_ads[[#This Row],[avg_cpc]]*RANDBETWEEN(8,12)/10</f>
        <v>0.21600000000000003</v>
      </c>
      <c r="AA67" s="4">
        <f ca="1">ROUND(_Google_ads[[#This Row],[quality_score]]*RANDBETWEEN(8,12)/10,0)</f>
        <v>8</v>
      </c>
      <c r="AB67" s="4">
        <f ca="1">_Google_ads[[#This Row],[search_impression_share]]*RANDBETWEEN(8,12)/10</f>
        <v>0.34</v>
      </c>
      <c r="AD67" s="3">
        <f t="shared" ca="1" si="11"/>
        <v>45216</v>
      </c>
      <c r="AE67" s="4" t="s">
        <v>112</v>
      </c>
      <c r="AF67" s="4" t="s">
        <v>113</v>
      </c>
      <c r="AG67" s="4" t="s">
        <v>114</v>
      </c>
      <c r="AH67" s="4" t="s">
        <v>115</v>
      </c>
      <c r="AI67" s="4">
        <f ca="1">ROUND(T_Tiktok_ads[[#This Row],[impressions]]*RANDBETWEEN(8,12)/10,0)</f>
        <v>381110</v>
      </c>
      <c r="AJ67" s="4">
        <f ca="1">ROUND(T_Tiktok_ads[[#This Row],[clicks]]*RANDBETWEEN(8,12)/10,0)</f>
        <v>6789</v>
      </c>
      <c r="AK67" s="4">
        <v>1034.5</v>
      </c>
      <c r="AL67" s="4">
        <f ca="1">ROUND(T_Tiktok_ads[[#This Row],[conversions]]*RANDBETWEEN(8,12)/10,0)</f>
        <v>114</v>
      </c>
      <c r="AM67" s="4">
        <f ca="1">ROUND(T_Tiktok_ads[[#This Row],[video_views]]*RANDBETWEEN(8,12)/10,0)</f>
        <v>392468</v>
      </c>
      <c r="AN67" s="4">
        <f ca="1">ROUND(T_Tiktok_ads[[#This Row],[video_watch_25]]*RANDBETWEEN(8,12)/10,0)</f>
        <v>344681</v>
      </c>
      <c r="AO67" s="4">
        <f ca="1">ROUND(T_Tiktok_ads[[#This Row],[video_watch_50]]*RANDBETWEEN(8,12)/10,0)</f>
        <v>183387</v>
      </c>
      <c r="AP67" s="4">
        <f ca="1">ROUND(T_Tiktok_ads[[#This Row],[video_watch_75]]*RANDBETWEEN(8,12)/10,0)</f>
        <v>129876</v>
      </c>
      <c r="AQ67" s="4">
        <f ca="1">ROUND(T_Tiktok_ads[[#This Row],[video_watch_100]]*RANDBETWEEN(8,12)/10,0)</f>
        <v>97101</v>
      </c>
      <c r="AR67" s="4">
        <f ca="1">ROUND(T_Tiktok_ads[[#This Row],[likes]]*RANDBETWEEN(8,12)/10,0)</f>
        <v>16880</v>
      </c>
      <c r="AS67" s="4">
        <f ca="1">ROUND(T_Tiktok_ads[[#This Row],[shares]]*RANDBETWEEN(8,12)/10,0)</f>
        <v>5880</v>
      </c>
      <c r="AT67" s="4">
        <f ca="1">ROUND(T_Tiktok_ads[[#This Row],[comments]]*RANDBETWEEN(8,12)/10,0)</f>
        <v>1310</v>
      </c>
      <c r="AV67" s="5">
        <f t="shared" ca="1" si="12"/>
        <v>45228</v>
      </c>
      <c r="AW67">
        <f t="shared" ref="AW67:AW111" ca="1" si="13">RANDBETWEEN(1,8)</f>
        <v>7</v>
      </c>
      <c r="AX67">
        <f ca="1">ROUND(T_Facebook_Ads11596367717579838791[[#This Row],[impressions]]*RANDBETWEEN(8,12)/10,0)</f>
        <v>69422</v>
      </c>
      <c r="AY67">
        <f ca="1">ROUND(T_Facebook_Ads11596367717579838791[[#This Row],[clicks]]*RANDBETWEEN(8,12)/10,0)</f>
        <v>228</v>
      </c>
      <c r="AZ67">
        <f ca="1">T_Facebook_Ads11596367717579838791[[#This Row],[spend]]*RANDBETWEEN(8,12)/10</f>
        <v>71.52000000000001</v>
      </c>
      <c r="BA67">
        <f ca="1">ROUND(T_Facebook_Ads11596367717579838791[[#This Row],[conversions]]*RANDBETWEEN(8,12)/10,0)</f>
        <v>5</v>
      </c>
      <c r="BB67">
        <f ca="1">ROUND(T_Facebook_Ads11596367717579838791[[#This Row],[video_views]]*RANDBETWEEN(8,12)/10,0)</f>
        <v>46762</v>
      </c>
    </row>
    <row r="68" spans="1:54" ht="15.75" thickBot="1" x14ac:dyDescent="0.3">
      <c r="A68" s="3">
        <f t="shared" ca="1" si="9"/>
        <v>45229</v>
      </c>
      <c r="B68" s="4" t="s">
        <v>52</v>
      </c>
      <c r="C68" s="4" t="s">
        <v>53</v>
      </c>
      <c r="D68" s="4" t="s">
        <v>54</v>
      </c>
      <c r="E68" s="4" t="s">
        <v>55</v>
      </c>
      <c r="F68" s="4">
        <f ca="1">ROUND(T_Facebook_Ads[[#This Row],[impressions]]*RANDBETWEEN(8,12)/10,0)</f>
        <v>51881</v>
      </c>
      <c r="G68" s="4">
        <v>878</v>
      </c>
      <c r="H68" s="4">
        <f ca="1">T_Facebook_Ads[[#This Row],[spend]]*RANDBETWEEN(8,12)/10</f>
        <v>113.13</v>
      </c>
      <c r="I68" s="4">
        <f ca="1">ROUND(T_Facebook_Ads[[#This Row],[conversions]]*RANDBETWEEN(8,12)/10,0)</f>
        <v>16</v>
      </c>
      <c r="J68" s="4">
        <f ca="1">ROUND(T_Facebook_Ads[[#This Row],[video_views]]*RANDBETWEEN(8,12)/10,0)</f>
        <v>6312</v>
      </c>
      <c r="K68" s="4">
        <f ca="1">T_Facebook_Ads[[#This Row],[engagement_rate]]*RANDBETWEEN(8,12)/10</f>
        <v>1.8269999999999998E-2</v>
      </c>
      <c r="L68" s="4">
        <f ca="1">ROUND(T_Facebook_Ads[[#This Row],[reach]]*RANDBETWEEN(8,12)/10,0)</f>
        <v>36567</v>
      </c>
      <c r="M68" s="4">
        <f ca="1">T_Facebook_Ads[[#This Row],[frequency]]*RANDBETWEEN(8,12)/10</f>
        <v>1.4159999999999999</v>
      </c>
      <c r="O68" s="3">
        <f t="shared" ca="1" si="10"/>
        <v>45217</v>
      </c>
      <c r="P68" s="4" t="s">
        <v>76</v>
      </c>
      <c r="Q68" s="4" t="s">
        <v>77</v>
      </c>
      <c r="R68" s="4" t="s">
        <v>78</v>
      </c>
      <c r="S68" s="4" t="s">
        <v>79</v>
      </c>
      <c r="T68" s="4">
        <f ca="1">ROUND(_Google_ads[[#This Row],[impressions]]*RANDBETWEEN(8,12)/10,0)</f>
        <v>26814</v>
      </c>
      <c r="U68" s="4">
        <f ca="1">ROUND(_Google_ads[[#This Row],[clicks]]*RANDBETWEEN(8,12)/10,0)</f>
        <v>1235</v>
      </c>
      <c r="V68" s="4">
        <f ca="1">_Google_ads[[#This Row],[cost]]*RANDBETWEEN(8,12)/10</f>
        <v>214.5</v>
      </c>
      <c r="W68" s="4">
        <f ca="1">ROUND(_Google_ads[[#This Row],[conversions]]*RANDBETWEEN(8,12)/10,0)</f>
        <v>50</v>
      </c>
      <c r="X68" s="4">
        <f ca="1">ROUND(_Google_ads[[#This Row],[conversion_value]]*RANDBETWEEN(8,12)/10,0)</f>
        <v>1890</v>
      </c>
      <c r="Y68" s="4">
        <f ca="1">_Google_ads[[#This Row],[ctr]]*RANDBETWEEN(8,12)/10</f>
        <v>6.035999999999999E-2</v>
      </c>
      <c r="Z68" s="4">
        <f ca="1">_Google_ads[[#This Row],[avg_cpc]]*RANDBETWEEN(8,12)/10</f>
        <v>0.17099999999999999</v>
      </c>
      <c r="AA68" s="4">
        <f ca="1">ROUND(_Google_ads[[#This Row],[quality_score]]*RANDBETWEEN(8,12)/10,0)</f>
        <v>10</v>
      </c>
      <c r="AB68" s="4">
        <f ca="1">_Google_ads[[#This Row],[search_impression_share]]*RANDBETWEEN(8,12)/10</f>
        <v>0.97900000000000009</v>
      </c>
      <c r="AD68" s="3">
        <f t="shared" ca="1" si="11"/>
        <v>45229</v>
      </c>
      <c r="AE68" s="4" t="s">
        <v>100</v>
      </c>
      <c r="AF68" s="4" t="s">
        <v>101</v>
      </c>
      <c r="AG68" s="4" t="s">
        <v>102</v>
      </c>
      <c r="AH68" s="4" t="s">
        <v>103</v>
      </c>
      <c r="AI68" s="4">
        <f ca="1">ROUND(T_Tiktok_ads[[#This Row],[impressions]]*RANDBETWEEN(8,12)/10,0)</f>
        <v>281857</v>
      </c>
      <c r="AJ68" s="4">
        <f ca="1">ROUND(T_Tiktok_ads[[#This Row],[clicks]]*RANDBETWEEN(8,12)/10,0)</f>
        <v>3701</v>
      </c>
      <c r="AK68" s="4">
        <v>490.5</v>
      </c>
      <c r="AL68" s="4">
        <f ca="1">ROUND(T_Tiktok_ads[[#This Row],[conversions]]*RANDBETWEEN(8,12)/10,0)</f>
        <v>46</v>
      </c>
      <c r="AM68" s="4">
        <f ca="1">ROUND(T_Tiktok_ads[[#This Row],[video_views]]*RANDBETWEEN(8,12)/10,0)</f>
        <v>188311</v>
      </c>
      <c r="AN68" s="4">
        <f ca="1">ROUND(T_Tiktok_ads[[#This Row],[video_watch_25]]*RANDBETWEEN(8,12)/10,0)</f>
        <v>196280</v>
      </c>
      <c r="AO68" s="4">
        <f ca="1">ROUND(T_Tiktok_ads[[#This Row],[video_watch_50]]*RANDBETWEEN(8,12)/10,0)</f>
        <v>92310</v>
      </c>
      <c r="AP68" s="4">
        <f ca="1">ROUND(T_Tiktok_ads[[#This Row],[video_watch_75]]*RANDBETWEEN(8,12)/10,0)</f>
        <v>55654</v>
      </c>
      <c r="AQ68" s="4">
        <f ca="1">ROUND(T_Tiktok_ads[[#This Row],[video_watch_100]]*RANDBETWEEN(8,12)/10,0)</f>
        <v>46567</v>
      </c>
      <c r="AR68" s="4">
        <f ca="1">ROUND(T_Tiktok_ads[[#This Row],[likes]]*RANDBETWEEN(8,12)/10,0)</f>
        <v>10035</v>
      </c>
      <c r="AS68" s="4">
        <f ca="1">ROUND(T_Tiktok_ads[[#This Row],[shares]]*RANDBETWEEN(8,12)/10,0)</f>
        <v>2423</v>
      </c>
      <c r="AT68" s="4">
        <f ca="1">ROUND(T_Tiktok_ads[[#This Row],[comments]]*RANDBETWEEN(8,12)/10,0)</f>
        <v>721</v>
      </c>
      <c r="AV68" s="5">
        <f t="shared" ca="1" si="12"/>
        <v>45216</v>
      </c>
      <c r="AW68">
        <f t="shared" ca="1" si="13"/>
        <v>4</v>
      </c>
      <c r="AX68">
        <f ca="1">ROUND(T_Facebook_Ads11596367717579838791[[#This Row],[impressions]]*RANDBETWEEN(8,12)/10,0)</f>
        <v>41505</v>
      </c>
      <c r="AY68">
        <f ca="1">ROUND(T_Facebook_Ads11596367717579838791[[#This Row],[clicks]]*RANDBETWEEN(8,12)/10,0)</f>
        <v>966</v>
      </c>
      <c r="AZ68">
        <f ca="1">T_Facebook_Ads11596367717579838791[[#This Row],[spend]]*RANDBETWEEN(8,12)/10</f>
        <v>101.81699999999999</v>
      </c>
      <c r="BA68">
        <f ca="1">ROUND(T_Facebook_Ads11596367717579838791[[#This Row],[conversions]]*RANDBETWEEN(8,12)/10,0)</f>
        <v>13</v>
      </c>
      <c r="BB68">
        <f ca="1">ROUND(T_Facebook_Ads11596367717579838791[[#This Row],[video_views]]*RANDBETWEEN(8,12)/10,0)</f>
        <v>5050</v>
      </c>
    </row>
    <row r="69" spans="1:54" ht="15.75" thickBot="1" x14ac:dyDescent="0.3">
      <c r="A69" s="3">
        <f t="shared" ca="1" si="9"/>
        <v>45228</v>
      </c>
      <c r="B69" s="4" t="s">
        <v>56</v>
      </c>
      <c r="C69" s="4" t="s">
        <v>57</v>
      </c>
      <c r="D69" s="4" t="s">
        <v>58</v>
      </c>
      <c r="E69" s="4" t="s">
        <v>59</v>
      </c>
      <c r="F69" s="4">
        <f ca="1">ROUND(T_Facebook_Ads[[#This Row],[impressions]]*RANDBETWEEN(8,12)/10,0)</f>
        <v>9512</v>
      </c>
      <c r="G69" s="4">
        <v>545</v>
      </c>
      <c r="H69" s="4">
        <f ca="1">T_Facebook_Ads[[#This Row],[spend]]*RANDBETWEEN(8,12)/10</f>
        <v>161.84</v>
      </c>
      <c r="I69" s="4">
        <f ca="1">ROUND(T_Facebook_Ads[[#This Row],[conversions]]*RANDBETWEEN(8,12)/10,0)</f>
        <v>27</v>
      </c>
      <c r="J69" s="4">
        <f ca="1">ROUND(T_Facebook_Ads[[#This Row],[video_views]]*RANDBETWEEN(8,12)/10,0)</f>
        <v>1272</v>
      </c>
      <c r="K69" s="4">
        <f ca="1">T_Facebook_Ads[[#This Row],[engagement_rate]]*RANDBETWEEN(8,12)/10</f>
        <v>3.6639999999999999E-2</v>
      </c>
      <c r="L69" s="4">
        <f ca="1">ROUND(T_Facebook_Ads[[#This Row],[reach]]*RANDBETWEEN(8,12)/10,0)</f>
        <v>7654</v>
      </c>
      <c r="M69" s="4">
        <f ca="1">T_Facebook_Ads[[#This Row],[frequency]]*RANDBETWEEN(8,12)/10</f>
        <v>1.28</v>
      </c>
      <c r="O69" s="3">
        <f t="shared" ca="1" si="10"/>
        <v>45207</v>
      </c>
      <c r="P69" s="4" t="s">
        <v>80</v>
      </c>
      <c r="Q69" s="4" t="s">
        <v>81</v>
      </c>
      <c r="R69" s="4" t="s">
        <v>82</v>
      </c>
      <c r="S69" s="4" t="s">
        <v>83</v>
      </c>
      <c r="T69" s="4">
        <f ca="1">ROUND(_Google_ads[[#This Row],[impressions]]*RANDBETWEEN(8,12)/10,0)</f>
        <v>32454</v>
      </c>
      <c r="U69" s="4">
        <f ca="1">ROUND(_Google_ads[[#This Row],[clicks]]*RANDBETWEEN(8,12)/10,0)</f>
        <v>731</v>
      </c>
      <c r="V69" s="4">
        <f ca="1">_Google_ads[[#This Row],[cost]]*RANDBETWEEN(8,12)/10</f>
        <v>468.35999999999996</v>
      </c>
      <c r="W69" s="4">
        <f ca="1">ROUND(_Google_ads[[#This Row],[conversions]]*RANDBETWEEN(8,12)/10,0)</f>
        <v>22</v>
      </c>
      <c r="X69" s="4">
        <f ca="1">ROUND(_Google_ads[[#This Row],[conversion_value]]*RANDBETWEEN(8,12)/10,0)</f>
        <v>900</v>
      </c>
      <c r="Y69" s="4">
        <f ca="1">_Google_ads[[#This Row],[ctr]]*RANDBETWEEN(8,12)/10</f>
        <v>1.7999999999999999E-2</v>
      </c>
      <c r="Z69" s="4">
        <f ca="1">_Google_ads[[#This Row],[avg_cpc]]*RANDBETWEEN(8,12)/10</f>
        <v>0.70399999999999996</v>
      </c>
      <c r="AA69" s="4">
        <f ca="1">ROUND(_Google_ads[[#This Row],[quality_score]]*RANDBETWEEN(8,12)/10,0)</f>
        <v>7</v>
      </c>
      <c r="AB69" s="4">
        <f ca="1">_Google_ads[[#This Row],[search_impression_share]]*RANDBETWEEN(8,12)/10</f>
        <v>0.46200000000000002</v>
      </c>
      <c r="AD69" s="3">
        <f t="shared" ca="1" si="11"/>
        <v>45219</v>
      </c>
      <c r="AE69" s="4" t="s">
        <v>104</v>
      </c>
      <c r="AF69" s="4" t="s">
        <v>105</v>
      </c>
      <c r="AG69" s="4" t="s">
        <v>106</v>
      </c>
      <c r="AH69" s="4" t="s">
        <v>107</v>
      </c>
      <c r="AI69" s="4">
        <f ca="1">ROUND(T_Tiktok_ads[[#This Row],[impressions]]*RANDBETWEEN(8,12)/10,0)</f>
        <v>156580</v>
      </c>
      <c r="AJ69" s="4">
        <f ca="1">ROUND(T_Tiktok_ads[[#This Row],[clicks]]*RANDBETWEEN(8,12)/10,0)</f>
        <v>2946</v>
      </c>
      <c r="AK69" s="4">
        <v>734.5</v>
      </c>
      <c r="AL69" s="4">
        <f ca="1">ROUND(T_Tiktok_ads[[#This Row],[conversions]]*RANDBETWEEN(8,12)/10,0)</f>
        <v>80</v>
      </c>
      <c r="AM69" s="4">
        <f ca="1">ROUND(T_Tiktok_ads[[#This Row],[video_views]]*RANDBETWEEN(8,12)/10,0)</f>
        <v>88101</v>
      </c>
      <c r="AN69" s="4">
        <f ca="1">ROUND(T_Tiktok_ads[[#This Row],[video_watch_25]]*RANDBETWEEN(8,12)/10,0)</f>
        <v>86814</v>
      </c>
      <c r="AO69" s="4">
        <f ca="1">ROUND(T_Tiktok_ads[[#This Row],[video_watch_50]]*RANDBETWEEN(8,12)/10,0)</f>
        <v>44011</v>
      </c>
      <c r="AP69" s="4">
        <f ca="1">ROUND(T_Tiktok_ads[[#This Row],[video_watch_75]]*RANDBETWEEN(8,12)/10,0)</f>
        <v>29431</v>
      </c>
      <c r="AQ69" s="4">
        <f ca="1">ROUND(T_Tiktok_ads[[#This Row],[video_watch_100]]*RANDBETWEEN(8,12)/10,0)</f>
        <v>19912</v>
      </c>
      <c r="AR69" s="4">
        <f ca="1">ROUND(T_Tiktok_ads[[#This Row],[likes]]*RANDBETWEEN(8,12)/10,0)</f>
        <v>5881</v>
      </c>
      <c r="AS69" s="4">
        <f ca="1">ROUND(T_Tiktok_ads[[#This Row],[shares]]*RANDBETWEEN(8,12)/10,0)</f>
        <v>1085</v>
      </c>
      <c r="AT69" s="4">
        <f ca="1">ROUND(T_Tiktok_ads[[#This Row],[comments]]*RANDBETWEEN(8,12)/10,0)</f>
        <v>307</v>
      </c>
      <c r="AV69" s="5">
        <f t="shared" ca="1" si="12"/>
        <v>45218</v>
      </c>
      <c r="AW69">
        <f t="shared" ca="1" si="13"/>
        <v>4</v>
      </c>
      <c r="AX69">
        <f ca="1">ROUND(T_Facebook_Ads11596367717579838791[[#This Row],[impressions]]*RANDBETWEEN(8,12)/10,0)</f>
        <v>11414</v>
      </c>
      <c r="AY69">
        <f ca="1">ROUND(T_Facebook_Ads11596367717579838791[[#This Row],[clicks]]*RANDBETWEEN(8,12)/10,0)</f>
        <v>436</v>
      </c>
      <c r="AZ69">
        <f ca="1">T_Facebook_Ads11596367717579838791[[#This Row],[spend]]*RANDBETWEEN(8,12)/10</f>
        <v>129.47200000000001</v>
      </c>
      <c r="BA69">
        <f ca="1">ROUND(T_Facebook_Ads11596367717579838791[[#This Row],[conversions]]*RANDBETWEEN(8,12)/10,0)</f>
        <v>24</v>
      </c>
      <c r="BB69">
        <f ca="1">ROUND(T_Facebook_Ads11596367717579838791[[#This Row],[video_views]]*RANDBETWEEN(8,12)/10,0)</f>
        <v>1018</v>
      </c>
    </row>
    <row r="70" spans="1:54" ht="15.75" thickBot="1" x14ac:dyDescent="0.3">
      <c r="A70" s="3">
        <f t="shared" ca="1" si="9"/>
        <v>45210</v>
      </c>
      <c r="B70" s="4" t="s">
        <v>60</v>
      </c>
      <c r="C70" s="4" t="s">
        <v>61</v>
      </c>
      <c r="D70" s="4" t="s">
        <v>62</v>
      </c>
      <c r="E70" s="4" t="s">
        <v>63</v>
      </c>
      <c r="F70" s="4">
        <f ca="1">ROUND(T_Facebook_Ads[[#This Row],[impressions]]*RANDBETWEEN(8,12)/10,0)</f>
        <v>34567</v>
      </c>
      <c r="G70" s="4">
        <v>1234</v>
      </c>
      <c r="H70" s="4">
        <f ca="1">T_Facebook_Ads[[#This Row],[spend]]*RANDBETWEEN(8,12)/10</f>
        <v>189.6</v>
      </c>
      <c r="I70" s="4">
        <f ca="1">ROUND(T_Facebook_Ads[[#This Row],[conversions]]*RANDBETWEEN(8,12)/10,0)</f>
        <v>26</v>
      </c>
      <c r="J70" s="4">
        <f ca="1">ROUND(T_Facebook_Ads[[#This Row],[video_views]]*RANDBETWEEN(8,12)/10,0)</f>
        <v>4110</v>
      </c>
      <c r="K70" s="4">
        <f ca="1">T_Facebook_Ads[[#This Row],[engagement_rate]]*RANDBETWEEN(8,12)/10</f>
        <v>2.8560000000000002E-2</v>
      </c>
      <c r="L70" s="4">
        <f ca="1">ROUND(T_Facebook_Ads[[#This Row],[reach]]*RANDBETWEEN(8,12)/10,0)</f>
        <v>31827</v>
      </c>
      <c r="M70" s="4">
        <f ca="1">T_Facebook_Ads[[#This Row],[frequency]]*RANDBETWEEN(8,12)/10</f>
        <v>1.3089999999999999</v>
      </c>
      <c r="O70" s="3">
        <f t="shared" ca="1" si="10"/>
        <v>45216</v>
      </c>
      <c r="P70" s="4" t="s">
        <v>84</v>
      </c>
      <c r="Q70" s="4" t="s">
        <v>85</v>
      </c>
      <c r="R70" s="4" t="s">
        <v>86</v>
      </c>
      <c r="S70" s="4" t="s">
        <v>87</v>
      </c>
      <c r="T70" s="4">
        <f ca="1">ROUND(_Google_ads[[#This Row],[impressions]]*RANDBETWEEN(8,12)/10,0)</f>
        <v>77868</v>
      </c>
      <c r="U70" s="4">
        <f ca="1">ROUND(_Google_ads[[#This Row],[clicks]]*RANDBETWEEN(8,12)/10,0)</f>
        <v>2067</v>
      </c>
      <c r="V70" s="4">
        <f ca="1">_Google_ads[[#This Row],[cost]]*RANDBETWEEN(8,12)/10</f>
        <v>376.8</v>
      </c>
      <c r="W70" s="4">
        <f ca="1">ROUND(_Google_ads[[#This Row],[conversions]]*RANDBETWEEN(8,12)/10,0)</f>
        <v>65</v>
      </c>
      <c r="X70" s="4">
        <f ca="1">ROUND(_Google_ads[[#This Row],[conversion_value]]*RANDBETWEEN(8,12)/10,0)</f>
        <v>2655</v>
      </c>
      <c r="Y70" s="4">
        <f ca="1">_Google_ads[[#This Row],[ctr]]*RANDBETWEEN(8,12)/10</f>
        <v>3.1899999999999998E-2</v>
      </c>
      <c r="Z70" s="4">
        <f ca="1">_Google_ads[[#This Row],[avg_cpc]]*RANDBETWEEN(8,12)/10</f>
        <v>0.14399999999999999</v>
      </c>
      <c r="AA70" s="4">
        <f ca="1">ROUND(_Google_ads[[#This Row],[quality_score]]*RANDBETWEEN(8,12)/10,0)</f>
        <v>10</v>
      </c>
      <c r="AB70" s="4">
        <f ca="1">_Google_ads[[#This Row],[search_impression_share]]*RANDBETWEEN(8,12)/10</f>
        <v>0.52</v>
      </c>
      <c r="AD70" s="3">
        <f t="shared" ca="1" si="11"/>
        <v>45217</v>
      </c>
      <c r="AE70" s="4" t="s">
        <v>108</v>
      </c>
      <c r="AF70" s="4" t="s">
        <v>109</v>
      </c>
      <c r="AG70" s="4" t="s">
        <v>110</v>
      </c>
      <c r="AH70" s="4" t="s">
        <v>111</v>
      </c>
      <c r="AI70" s="4">
        <f ca="1">ROUND(T_Tiktok_ads[[#This Row],[impressions]]*RANDBETWEEN(8,12)/10,0)</f>
        <v>218901</v>
      </c>
      <c r="AJ70" s="4">
        <f ca="1">ROUND(T_Tiktok_ads[[#This Row],[clicks]]*RANDBETWEEN(8,12)/10,0)</f>
        <v>3456</v>
      </c>
      <c r="AK70" s="4">
        <v>414.4</v>
      </c>
      <c r="AL70" s="4">
        <f ca="1">ROUND(T_Tiktok_ads[[#This Row],[conversions]]*RANDBETWEEN(8,12)/10,0)</f>
        <v>32</v>
      </c>
      <c r="AM70" s="4">
        <f ca="1">ROUND(T_Tiktok_ads[[#This Row],[video_views]]*RANDBETWEEN(8,12)/10,0)</f>
        <v>208147</v>
      </c>
      <c r="AN70" s="4">
        <f ca="1">ROUND(T_Tiktok_ads[[#This Row],[video_watch_25]]*RANDBETWEEN(8,12)/10,0)</f>
        <v>157880</v>
      </c>
      <c r="AO70" s="4">
        <f ca="1">ROUND(T_Tiktok_ads[[#This Row],[video_watch_50]]*RANDBETWEEN(8,12)/10,0)</f>
        <v>93210</v>
      </c>
      <c r="AP70" s="4">
        <f ca="1">ROUND(T_Tiktok_ads[[#This Row],[video_watch_75]]*RANDBETWEEN(8,12)/10,0)</f>
        <v>73957</v>
      </c>
      <c r="AQ70" s="4">
        <f ca="1">ROUND(T_Tiktok_ads[[#This Row],[video_watch_100]]*RANDBETWEEN(8,12)/10,0)</f>
        <v>48680</v>
      </c>
      <c r="AR70" s="4">
        <f ca="1">ROUND(T_Tiktok_ads[[#This Row],[likes]]*RANDBETWEEN(8,12)/10,0)</f>
        <v>9614</v>
      </c>
      <c r="AS70" s="4">
        <f ca="1">ROUND(T_Tiktok_ads[[#This Row],[shares]]*RANDBETWEEN(8,12)/10,0)</f>
        <v>2421</v>
      </c>
      <c r="AT70" s="4">
        <f ca="1">ROUND(T_Tiktok_ads[[#This Row],[comments]]*RANDBETWEEN(8,12)/10,0)</f>
        <v>418</v>
      </c>
      <c r="AV70" s="5">
        <f t="shared" ca="1" si="12"/>
        <v>45210</v>
      </c>
      <c r="AW70">
        <f t="shared" ca="1" si="13"/>
        <v>3</v>
      </c>
      <c r="AX70">
        <f ca="1">ROUND(T_Facebook_Ads11596367717579838791[[#This Row],[impressions]]*RANDBETWEEN(8,12)/10,0)</f>
        <v>38024</v>
      </c>
      <c r="AY70">
        <f ca="1">ROUND(T_Facebook_Ads11596367717579838791[[#This Row],[clicks]]*RANDBETWEEN(8,12)/10,0)</f>
        <v>1111</v>
      </c>
      <c r="AZ70">
        <f ca="1">T_Facebook_Ads11596367717579838791[[#This Row],[spend]]*RANDBETWEEN(8,12)/10</f>
        <v>151.68</v>
      </c>
      <c r="BA70">
        <f ca="1">ROUND(T_Facebook_Ads11596367717579838791[[#This Row],[conversions]]*RANDBETWEEN(8,12)/10,0)</f>
        <v>23</v>
      </c>
      <c r="BB70">
        <f ca="1">ROUND(T_Facebook_Ads11596367717579838791[[#This Row],[video_views]]*RANDBETWEEN(8,12)/10,0)</f>
        <v>4110</v>
      </c>
    </row>
    <row r="71" spans="1:54" ht="15.75" thickBot="1" x14ac:dyDescent="0.3">
      <c r="A71" s="3">
        <f t="shared" ca="1" si="9"/>
        <v>45218</v>
      </c>
      <c r="B71" s="4" t="s">
        <v>64</v>
      </c>
      <c r="C71" s="4" t="s">
        <v>65</v>
      </c>
      <c r="D71" s="4" t="s">
        <v>66</v>
      </c>
      <c r="E71" s="4" t="s">
        <v>67</v>
      </c>
      <c r="F71" s="4">
        <f ca="1">ROUND(T_Facebook_Ads[[#This Row],[impressions]]*RANDBETWEEN(8,12)/10,0)</f>
        <v>65234</v>
      </c>
      <c r="G71" s="4">
        <v>234</v>
      </c>
      <c r="H71" s="4">
        <f ca="1">T_Facebook_Ads[[#This Row],[spend]]*RANDBETWEEN(8,12)/10</f>
        <v>64.960000000000008</v>
      </c>
      <c r="I71" s="4">
        <f ca="1">ROUND(T_Facebook_Ads[[#This Row],[conversions]]*RANDBETWEEN(8,12)/10,0)</f>
        <v>6</v>
      </c>
      <c r="J71" s="4">
        <f ca="1">ROUND(T_Facebook_Ads[[#This Row],[video_views]]*RANDBETWEEN(8,12)/10,0)</f>
        <v>52280</v>
      </c>
      <c r="K71" s="4">
        <f ca="1">T_Facebook_Ads[[#This Row],[engagement_rate]]*RANDBETWEEN(8,12)/10</f>
        <v>2.8799999999999997E-3</v>
      </c>
      <c r="L71" s="4">
        <f ca="1">ROUND(T_Facebook_Ads[[#This Row],[reach]]*RANDBETWEEN(8,12)/10,0)</f>
        <v>53456</v>
      </c>
      <c r="M71" s="4">
        <f ca="1">T_Facebook_Ads[[#This Row],[frequency]]*RANDBETWEEN(8,12)/10</f>
        <v>1.071</v>
      </c>
      <c r="O71" s="3">
        <f t="shared" ca="1" si="10"/>
        <v>45223</v>
      </c>
      <c r="P71" s="4" t="s">
        <v>88</v>
      </c>
      <c r="Q71" s="4" t="s">
        <v>89</v>
      </c>
      <c r="R71" s="4" t="s">
        <v>90</v>
      </c>
      <c r="S71" s="4" t="s">
        <v>59</v>
      </c>
      <c r="T71" s="4">
        <f ca="1">ROUND(_Google_ads[[#This Row],[impressions]]*RANDBETWEEN(8,12)/10,0)</f>
        <v>149480</v>
      </c>
      <c r="U71" s="4">
        <f ca="1">ROUND(_Google_ads[[#This Row],[clicks]]*RANDBETWEEN(8,12)/10,0)</f>
        <v>401</v>
      </c>
      <c r="V71" s="4">
        <f ca="1">_Google_ads[[#This Row],[cost]]*RANDBETWEEN(8,12)/10</f>
        <v>134.53</v>
      </c>
      <c r="W71" s="4">
        <f ca="1">ROUND(_Google_ads[[#This Row],[conversions]]*RANDBETWEEN(8,12)/10,0)</f>
        <v>13</v>
      </c>
      <c r="X71" s="4">
        <f ca="1">ROUND(_Google_ads[[#This Row],[conversion_value]]*RANDBETWEEN(8,12)/10,0)</f>
        <v>720</v>
      </c>
      <c r="Y71" s="4">
        <f ca="1">_Google_ads[[#This Row],[ctr]]*RANDBETWEEN(8,12)/10</f>
        <v>3.5999999999999999E-3</v>
      </c>
      <c r="Z71" s="4">
        <f ca="1">_Google_ads[[#This Row],[avg_cpc]]*RANDBETWEEN(8,12)/10</f>
        <v>0.27</v>
      </c>
      <c r="AA71" s="4">
        <f ca="1">ROUND(_Google_ads[[#This Row],[quality_score]]*RANDBETWEEN(8,12)/10,0)</f>
        <v>6</v>
      </c>
      <c r="AB71" s="4">
        <f ca="1">_Google_ads[[#This Row],[search_impression_share]]*RANDBETWEEN(8,12)/10</f>
        <v>0.26400000000000001</v>
      </c>
      <c r="AD71" s="3">
        <f t="shared" ca="1" si="11"/>
        <v>45213</v>
      </c>
      <c r="AE71" s="4" t="s">
        <v>112</v>
      </c>
      <c r="AF71" s="4" t="s">
        <v>113</v>
      </c>
      <c r="AG71" s="4" t="s">
        <v>114</v>
      </c>
      <c r="AH71" s="4" t="s">
        <v>115</v>
      </c>
      <c r="AI71" s="4">
        <f ca="1">ROUND(T_Tiktok_ads[[#This Row],[impressions]]*RANDBETWEEN(8,12)/10,0)</f>
        <v>389012</v>
      </c>
      <c r="AJ71" s="4">
        <f ca="1">ROUND(T_Tiktok_ads[[#This Row],[clicks]]*RANDBETWEEN(8,12)/10,0)</f>
        <v>6234</v>
      </c>
      <c r="AK71" s="4">
        <v>967.8</v>
      </c>
      <c r="AL71" s="4">
        <f ca="1">ROUND(T_Tiktok_ads[[#This Row],[conversions]]*RANDBETWEEN(8,12)/10,0)</f>
        <v>98</v>
      </c>
      <c r="AM71" s="4">
        <f ca="1">ROUND(T_Tiktok_ads[[#This Row],[video_views]]*RANDBETWEEN(8,12)/10,0)</f>
        <v>256987</v>
      </c>
      <c r="AN71" s="4">
        <f ca="1">ROUND(T_Tiktok_ads[[#This Row],[video_watch_25]]*RANDBETWEEN(8,12)/10,0)</f>
        <v>258901</v>
      </c>
      <c r="AO71" s="4">
        <f ca="1">ROUND(T_Tiktok_ads[[#This Row],[video_watch_50]]*RANDBETWEEN(8,12)/10,0)</f>
        <v>249468</v>
      </c>
      <c r="AP71" s="4">
        <f ca="1">ROUND(T_Tiktok_ads[[#This Row],[video_watch_75]]*RANDBETWEEN(8,12)/10,0)</f>
        <v>147234</v>
      </c>
      <c r="AQ71" s="4">
        <f ca="1">ROUND(T_Tiktok_ads[[#This Row],[video_watch_100]]*RANDBETWEEN(8,12)/10,0)</f>
        <v>77965</v>
      </c>
      <c r="AR71" s="4">
        <f ca="1">ROUND(T_Tiktok_ads[[#This Row],[likes]]*RANDBETWEEN(8,12)/10,0)</f>
        <v>16901</v>
      </c>
      <c r="AS71" s="4">
        <f ca="1">ROUND(T_Tiktok_ads[[#This Row],[shares]]*RANDBETWEEN(8,12)/10,0)</f>
        <v>5894</v>
      </c>
      <c r="AT71" s="4">
        <f ca="1">ROUND(T_Tiktok_ads[[#This Row],[comments]]*RANDBETWEEN(8,12)/10,0)</f>
        <v>1076</v>
      </c>
      <c r="AV71" s="5">
        <f t="shared" ca="1" si="12"/>
        <v>45200</v>
      </c>
      <c r="AW71">
        <f t="shared" ca="1" si="13"/>
        <v>1</v>
      </c>
      <c r="AX71">
        <f ca="1">ROUND(T_Facebook_Ads11596367717579838791[[#This Row],[impressions]]*RANDBETWEEN(8,12)/10,0)</f>
        <v>65234</v>
      </c>
      <c r="AY71">
        <f ca="1">ROUND(T_Facebook_Ads11596367717579838791[[#This Row],[clicks]]*RANDBETWEEN(8,12)/10,0)</f>
        <v>211</v>
      </c>
      <c r="AZ71">
        <f ca="1">T_Facebook_Ads11596367717579838791[[#This Row],[spend]]*RANDBETWEEN(8,12)/10</f>
        <v>51.968000000000004</v>
      </c>
      <c r="BA71">
        <f ca="1">ROUND(T_Facebook_Ads11596367717579838791[[#This Row],[conversions]]*RANDBETWEEN(8,12)/10,0)</f>
        <v>7</v>
      </c>
      <c r="BB71">
        <f ca="1">ROUND(T_Facebook_Ads11596367717579838791[[#This Row],[video_views]]*RANDBETWEEN(8,12)/10,0)</f>
        <v>47052</v>
      </c>
    </row>
    <row r="72" spans="1:54" ht="15.75" thickBot="1" x14ac:dyDescent="0.3">
      <c r="A72" s="3">
        <f t="shared" ca="1" si="9"/>
        <v>45230</v>
      </c>
      <c r="B72" s="4" t="s">
        <v>52</v>
      </c>
      <c r="C72" s="4" t="s">
        <v>53</v>
      </c>
      <c r="D72" s="4" t="s">
        <v>54</v>
      </c>
      <c r="E72" s="4" t="s">
        <v>55</v>
      </c>
      <c r="F72" s="4">
        <f ca="1">ROUND(T_Facebook_Ads[[#This Row],[impressions]]*RANDBETWEEN(8,12)/10,0)</f>
        <v>37410</v>
      </c>
      <c r="G72" s="4">
        <v>823</v>
      </c>
      <c r="H72" s="4">
        <f ca="1">T_Facebook_Ads[[#This Row],[spend]]*RANDBETWEEN(8,12)/10</f>
        <v>130.79000000000002</v>
      </c>
      <c r="I72" s="4">
        <f ca="1">ROUND(T_Facebook_Ads[[#This Row],[conversions]]*RANDBETWEEN(8,12)/10,0)</f>
        <v>14</v>
      </c>
      <c r="J72" s="4">
        <f ca="1">ROUND(T_Facebook_Ads[[#This Row],[video_views]]*RANDBETWEEN(8,12)/10,0)</f>
        <v>8947</v>
      </c>
      <c r="K72" s="4">
        <f ca="1">T_Facebook_Ads[[#This Row],[engagement_rate]]*RANDBETWEEN(8,12)/10</f>
        <v>1.9800000000000002E-2</v>
      </c>
      <c r="L72" s="4">
        <f ca="1">ROUND(T_Facebook_Ads[[#This Row],[reach]]*RANDBETWEEN(8,12)/10,0)</f>
        <v>28098</v>
      </c>
      <c r="M72" s="4">
        <f ca="1">T_Facebook_Ads[[#This Row],[frequency]]*RANDBETWEEN(8,12)/10</f>
        <v>0.94399999999999995</v>
      </c>
      <c r="O72" s="3">
        <f t="shared" ca="1" si="10"/>
        <v>45214</v>
      </c>
      <c r="P72" s="4" t="s">
        <v>76</v>
      </c>
      <c r="Q72" s="4" t="s">
        <v>77</v>
      </c>
      <c r="R72" s="4" t="s">
        <v>78</v>
      </c>
      <c r="S72" s="4" t="s">
        <v>79</v>
      </c>
      <c r="T72" s="4">
        <f ca="1">ROUND(_Google_ads[[#This Row],[impressions]]*RANDBETWEEN(8,12)/10,0)</f>
        <v>19410</v>
      </c>
      <c r="U72" s="4">
        <f ca="1">ROUND(_Google_ads[[#This Row],[clicks]]*RANDBETWEEN(8,12)/10,0)</f>
        <v>1307</v>
      </c>
      <c r="V72" s="4">
        <f ca="1">_Google_ads[[#This Row],[cost]]*RANDBETWEEN(8,12)/10</f>
        <v>187.02</v>
      </c>
      <c r="W72" s="4">
        <f ca="1">ROUND(_Google_ads[[#This Row],[conversions]]*RANDBETWEEN(8,12)/10,0)</f>
        <v>49</v>
      </c>
      <c r="X72" s="4">
        <f ca="1">ROUND(_Google_ads[[#This Row],[conversion_value]]*RANDBETWEEN(8,12)/10,0)</f>
        <v>2255</v>
      </c>
      <c r="Y72" s="4">
        <f ca="1">_Google_ads[[#This Row],[ctr]]*RANDBETWEEN(8,12)/10</f>
        <v>4.5450000000000004E-2</v>
      </c>
      <c r="Z72" s="4">
        <f ca="1">_Google_ads[[#This Row],[avg_cpc]]*RANDBETWEEN(8,12)/10</f>
        <v>0.22800000000000004</v>
      </c>
      <c r="AA72" s="4">
        <f ca="1">ROUND(_Google_ads[[#This Row],[quality_score]]*RANDBETWEEN(8,12)/10,0)</f>
        <v>8</v>
      </c>
      <c r="AB72" s="4">
        <f ca="1">_Google_ads[[#This Row],[search_impression_share]]*RANDBETWEEN(8,12)/10</f>
        <v>0.70399999999999996</v>
      </c>
      <c r="AD72" s="3">
        <f t="shared" ca="1" si="11"/>
        <v>45204</v>
      </c>
      <c r="AE72" s="4" t="s">
        <v>100</v>
      </c>
      <c r="AF72" s="4" t="s">
        <v>101</v>
      </c>
      <c r="AG72" s="4" t="s">
        <v>102</v>
      </c>
      <c r="AH72" s="4" t="s">
        <v>103</v>
      </c>
      <c r="AI72" s="4">
        <f ca="1">ROUND(T_Tiktok_ads[[#This Row],[impressions]]*RANDBETWEEN(8,12)/10,0)</f>
        <v>234567</v>
      </c>
      <c r="AJ72" s="4">
        <f ca="1">ROUND(T_Tiktok_ads[[#This Row],[clicks]]*RANDBETWEEN(8,12)/10,0)</f>
        <v>3456</v>
      </c>
      <c r="AK72" s="4">
        <v>445.7</v>
      </c>
      <c r="AL72" s="4">
        <f ca="1">ROUND(T_Tiktok_ads[[#This Row],[conversions]]*RANDBETWEEN(8,12)/10,0)</f>
        <v>41</v>
      </c>
      <c r="AM72" s="4">
        <f ca="1">ROUND(T_Tiktok_ads[[#This Row],[video_views]]*RANDBETWEEN(8,12)/10,0)</f>
        <v>234281</v>
      </c>
      <c r="AN72" s="4">
        <f ca="1">ROUND(T_Tiktok_ads[[#This Row],[video_watch_25]]*RANDBETWEEN(8,12)/10,0)</f>
        <v>168802</v>
      </c>
      <c r="AO72" s="4">
        <f ca="1">ROUND(T_Tiktok_ads[[#This Row],[video_watch_50]]*RANDBETWEEN(8,12)/10,0)</f>
        <v>115481</v>
      </c>
      <c r="AP72" s="4">
        <f ca="1">ROUND(T_Tiktok_ads[[#This Row],[video_watch_75]]*RANDBETWEEN(8,12)/10,0)</f>
        <v>65234</v>
      </c>
      <c r="AQ72" s="4">
        <f ca="1">ROUND(T_Tiktok_ads[[#This Row],[video_watch_100]]*RANDBETWEEN(8,12)/10,0)</f>
        <v>52280</v>
      </c>
      <c r="AR72" s="4">
        <f ca="1">ROUND(T_Tiktok_ads[[#This Row],[likes]]*RANDBETWEEN(8,12)/10,0)</f>
        <v>7005</v>
      </c>
      <c r="AS72" s="4">
        <f ca="1">ROUND(T_Tiktok_ads[[#This Row],[shares]]*RANDBETWEEN(8,12)/10,0)</f>
        <v>1787</v>
      </c>
      <c r="AT72" s="4">
        <f ca="1">ROUND(T_Tiktok_ads[[#This Row],[comments]]*RANDBETWEEN(8,12)/10,0)</f>
        <v>481</v>
      </c>
      <c r="AV72" s="5">
        <f t="shared" ca="1" si="12"/>
        <v>45213</v>
      </c>
      <c r="AW72">
        <f t="shared" ca="1" si="13"/>
        <v>5</v>
      </c>
      <c r="AX72">
        <f ca="1">ROUND(T_Facebook_Ads11596367717579838791[[#This Row],[impressions]]*RANDBETWEEN(8,12)/10,0)</f>
        <v>29928</v>
      </c>
      <c r="AY72">
        <f ca="1">ROUND(T_Facebook_Ads11596367717579838791[[#This Row],[clicks]]*RANDBETWEEN(8,12)/10,0)</f>
        <v>823</v>
      </c>
      <c r="AZ72">
        <f ca="1">T_Facebook_Ads11596367717579838791[[#This Row],[spend]]*RANDBETWEEN(8,12)/10</f>
        <v>104.63200000000002</v>
      </c>
      <c r="BA72">
        <f ca="1">ROUND(T_Facebook_Ads11596367717579838791[[#This Row],[conversions]]*RANDBETWEEN(8,12)/10,0)</f>
        <v>11</v>
      </c>
      <c r="BB72">
        <f ca="1">ROUND(T_Facebook_Ads11596367717579838791[[#This Row],[video_views]]*RANDBETWEEN(8,12)/10,0)</f>
        <v>7158</v>
      </c>
    </row>
    <row r="73" spans="1:54" ht="15.75" thickBot="1" x14ac:dyDescent="0.3">
      <c r="A73" s="3">
        <f t="shared" ca="1" si="9"/>
        <v>45227</v>
      </c>
      <c r="B73" s="4" t="s">
        <v>56</v>
      </c>
      <c r="C73" s="4" t="s">
        <v>57</v>
      </c>
      <c r="D73" s="4" t="s">
        <v>58</v>
      </c>
      <c r="E73" s="4" t="s">
        <v>59</v>
      </c>
      <c r="F73" s="4">
        <f ca="1">ROUND(T_Facebook_Ads[[#This Row],[impressions]]*RANDBETWEEN(8,12)/10,0)</f>
        <v>10234</v>
      </c>
      <c r="G73" s="4">
        <v>467</v>
      </c>
      <c r="H73" s="4">
        <f ca="1">T_Facebook_Ads[[#This Row],[spend]]*RANDBETWEEN(8,12)/10</f>
        <v>214.08</v>
      </c>
      <c r="I73" s="4">
        <f ca="1">ROUND(T_Facebook_Ads[[#This Row],[conversions]]*RANDBETWEEN(8,12)/10,0)</f>
        <v>36</v>
      </c>
      <c r="J73" s="4">
        <f ca="1">ROUND(T_Facebook_Ads[[#This Row],[video_views]]*RANDBETWEEN(8,12)/10,0)</f>
        <v>756</v>
      </c>
      <c r="K73" s="4">
        <f ca="1">T_Facebook_Ads[[#This Row],[engagement_rate]]*RANDBETWEEN(8,12)/10</f>
        <v>4.104E-2</v>
      </c>
      <c r="L73" s="4">
        <f ca="1">ROUND(T_Facebook_Ads[[#This Row],[reach]]*RANDBETWEEN(8,12)/10,0)</f>
        <v>10147</v>
      </c>
      <c r="M73" s="4">
        <f ca="1">T_Facebook_Ads[[#This Row],[frequency]]*RANDBETWEEN(8,12)/10</f>
        <v>1.452</v>
      </c>
      <c r="O73" s="3">
        <f t="shared" ca="1" si="10"/>
        <v>45217</v>
      </c>
      <c r="P73" s="4" t="s">
        <v>80</v>
      </c>
      <c r="Q73" s="4" t="s">
        <v>81</v>
      </c>
      <c r="R73" s="4" t="s">
        <v>82</v>
      </c>
      <c r="S73" s="4" t="s">
        <v>83</v>
      </c>
      <c r="T73" s="4">
        <f ca="1">ROUND(_Google_ads[[#This Row],[impressions]]*RANDBETWEEN(8,12)/10,0)</f>
        <v>42791</v>
      </c>
      <c r="U73" s="4">
        <f ca="1">ROUND(_Google_ads[[#This Row],[clicks]]*RANDBETWEEN(8,12)/10,0)</f>
        <v>622</v>
      </c>
      <c r="V73" s="4">
        <f ca="1">_Google_ads[[#This Row],[cost]]*RANDBETWEEN(8,12)/10</f>
        <v>548.56999999999994</v>
      </c>
      <c r="W73" s="4">
        <f ca="1">ROUND(_Google_ads[[#This Row],[conversions]]*RANDBETWEEN(8,12)/10,0)</f>
        <v>19</v>
      </c>
      <c r="X73" s="4">
        <f ca="1">ROUND(_Google_ads[[#This Row],[conversion_value]]*RANDBETWEEN(8,12)/10,0)</f>
        <v>1140</v>
      </c>
      <c r="Y73" s="4">
        <f ca="1">_Google_ads[[#This Row],[ctr]]*RANDBETWEEN(8,12)/10</f>
        <v>0.02</v>
      </c>
      <c r="Z73" s="4">
        <f ca="1">_Google_ads[[#This Row],[avg_cpc]]*RANDBETWEEN(8,12)/10</f>
        <v>0.57599999999999996</v>
      </c>
      <c r="AA73" s="4">
        <f ca="1">ROUND(_Google_ads[[#This Row],[quality_score]]*RANDBETWEEN(8,12)/10,0)</f>
        <v>5</v>
      </c>
      <c r="AB73" s="4">
        <f ca="1">_Google_ads[[#This Row],[search_impression_share]]*RANDBETWEEN(8,12)/10</f>
        <v>0.41</v>
      </c>
      <c r="AD73" s="3">
        <f t="shared" ca="1" si="11"/>
        <v>45219</v>
      </c>
      <c r="AE73" s="4" t="s">
        <v>104</v>
      </c>
      <c r="AF73" s="4" t="s">
        <v>105</v>
      </c>
      <c r="AG73" s="4" t="s">
        <v>106</v>
      </c>
      <c r="AH73" s="4" t="s">
        <v>107</v>
      </c>
      <c r="AI73" s="4">
        <f ca="1">ROUND(T_Tiktok_ads[[#This Row],[impressions]]*RANDBETWEEN(8,12)/10,0)</f>
        <v>154681</v>
      </c>
      <c r="AJ73" s="4">
        <f ca="1">ROUND(T_Tiktok_ads[[#This Row],[clicks]]*RANDBETWEEN(8,12)/10,0)</f>
        <v>1965</v>
      </c>
      <c r="AK73" s="4">
        <v>678.9</v>
      </c>
      <c r="AL73" s="4">
        <f ca="1">ROUND(T_Tiktok_ads[[#This Row],[conversions]]*RANDBETWEEN(8,12)/10,0)</f>
        <v>54</v>
      </c>
      <c r="AM73" s="4">
        <f ca="1">ROUND(T_Tiktok_ads[[#This Row],[video_views]]*RANDBETWEEN(8,12)/10,0)</f>
        <v>89234</v>
      </c>
      <c r="AN73" s="4">
        <f ca="1">ROUND(T_Tiktok_ads[[#This Row],[video_watch_25]]*RANDBETWEEN(8,12)/10,0)</f>
        <v>60511</v>
      </c>
      <c r="AO73" s="4">
        <f ca="1">ROUND(T_Tiktok_ads[[#This Row],[video_watch_50]]*RANDBETWEEN(8,12)/10,0)</f>
        <v>54281</v>
      </c>
      <c r="AP73" s="4">
        <f ca="1">ROUND(T_Tiktok_ads[[#This Row],[video_watch_75]]*RANDBETWEEN(8,12)/10,0)</f>
        <v>27387</v>
      </c>
      <c r="AQ73" s="4">
        <f ca="1">ROUND(T_Tiktok_ads[[#This Row],[video_watch_100]]*RANDBETWEEN(8,12)/10,0)</f>
        <v>18765</v>
      </c>
      <c r="AR73" s="4">
        <f ca="1">ROUND(T_Tiktok_ads[[#This Row],[likes]]*RANDBETWEEN(8,12)/10,0)</f>
        <v>4110</v>
      </c>
      <c r="AS73" s="4">
        <f ca="1">ROUND(T_Tiktok_ads[[#This Row],[shares]]*RANDBETWEEN(8,12)/10,0)</f>
        <v>1357</v>
      </c>
      <c r="AT73" s="4">
        <f ca="1">ROUND(T_Tiktok_ads[[#This Row],[comments]]*RANDBETWEEN(8,12)/10,0)</f>
        <v>281</v>
      </c>
      <c r="AV73" s="5">
        <f t="shared" ca="1" si="12"/>
        <v>45226</v>
      </c>
      <c r="AW73">
        <f t="shared" ca="1" si="13"/>
        <v>7</v>
      </c>
      <c r="AX73">
        <f ca="1">ROUND(T_Facebook_Ads11596367717579838791[[#This Row],[impressions]]*RANDBETWEEN(8,12)/10,0)</f>
        <v>12281</v>
      </c>
      <c r="AY73">
        <f ca="1">ROUND(T_Facebook_Ads11596367717579838791[[#This Row],[clicks]]*RANDBETWEEN(8,12)/10,0)</f>
        <v>560</v>
      </c>
      <c r="AZ73">
        <f ca="1">T_Facebook_Ads11596367717579838791[[#This Row],[spend]]*RANDBETWEEN(8,12)/10</f>
        <v>256.89600000000002</v>
      </c>
      <c r="BA73">
        <f ca="1">ROUND(T_Facebook_Ads11596367717579838791[[#This Row],[conversions]]*RANDBETWEEN(8,12)/10,0)</f>
        <v>40</v>
      </c>
      <c r="BB73">
        <f ca="1">ROUND(T_Facebook_Ads11596367717579838791[[#This Row],[video_views]]*RANDBETWEEN(8,12)/10,0)</f>
        <v>680</v>
      </c>
    </row>
    <row r="74" spans="1:54" ht="15.75" thickBot="1" x14ac:dyDescent="0.3">
      <c r="A74" s="3">
        <f t="shared" ca="1" si="9"/>
        <v>45204</v>
      </c>
      <c r="B74" s="4" t="s">
        <v>60</v>
      </c>
      <c r="C74" s="4" t="s">
        <v>61</v>
      </c>
      <c r="D74" s="4" t="s">
        <v>62</v>
      </c>
      <c r="E74" s="4" t="s">
        <v>63</v>
      </c>
      <c r="F74" s="4">
        <f ca="1">ROUND(T_Facebook_Ads[[#This Row],[impressions]]*RANDBETWEEN(8,12)/10,0)</f>
        <v>26312</v>
      </c>
      <c r="G74" s="4">
        <v>1178</v>
      </c>
      <c r="H74" s="4">
        <f ca="1">T_Facebook_Ads[[#This Row],[spend]]*RANDBETWEEN(8,12)/10</f>
        <v>205.43999999999997</v>
      </c>
      <c r="I74" s="4">
        <f ca="1">ROUND(T_Facebook_Ads[[#This Row],[conversions]]*RANDBETWEEN(8,12)/10,0)</f>
        <v>22</v>
      </c>
      <c r="J74" s="4">
        <f ca="1">ROUND(T_Facebook_Ads[[#This Row],[video_views]]*RANDBETWEEN(8,12)/10,0)</f>
        <v>3789</v>
      </c>
      <c r="K74" s="4">
        <f ca="1">T_Facebook_Ads[[#This Row],[engagement_rate]]*RANDBETWEEN(8,12)/10</f>
        <v>3.9379999999999998E-2</v>
      </c>
      <c r="L74" s="4">
        <f ca="1">ROUND(T_Facebook_Ads[[#This Row],[reach]]*RANDBETWEEN(8,12)/10,0)</f>
        <v>21787</v>
      </c>
      <c r="M74" s="4">
        <f ca="1">T_Facebook_Ads[[#This Row],[frequency]]*RANDBETWEEN(8,12)/10</f>
        <v>0.96799999999999997</v>
      </c>
      <c r="O74" s="3">
        <f t="shared" ca="1" si="10"/>
        <v>45229</v>
      </c>
      <c r="P74" s="4" t="s">
        <v>84</v>
      </c>
      <c r="Q74" s="4" t="s">
        <v>85</v>
      </c>
      <c r="R74" s="4" t="s">
        <v>86</v>
      </c>
      <c r="S74" s="4" t="s">
        <v>87</v>
      </c>
      <c r="T74" s="4">
        <f ca="1">ROUND(_Google_ads[[#This Row],[impressions]]*RANDBETWEEN(8,12)/10,0)</f>
        <v>68580</v>
      </c>
      <c r="U74" s="4">
        <f ca="1">ROUND(_Google_ads[[#This Row],[clicks]]*RANDBETWEEN(8,12)/10,0)</f>
        <v>1989</v>
      </c>
      <c r="V74" s="4">
        <f ca="1">_Google_ads[[#This Row],[cost]]*RANDBETWEEN(8,12)/10</f>
        <v>401.93999999999994</v>
      </c>
      <c r="W74" s="4">
        <f ca="1">ROUND(_Google_ads[[#This Row],[conversions]]*RANDBETWEEN(8,12)/10,0)</f>
        <v>63</v>
      </c>
      <c r="X74" s="4">
        <f ca="1">ROUND(_Google_ads[[#This Row],[conversion_value]]*RANDBETWEEN(8,12)/10,0)</f>
        <v>2565</v>
      </c>
      <c r="Y74" s="4">
        <f ca="1">_Google_ads[[#This Row],[ctr]]*RANDBETWEEN(8,12)/10</f>
        <v>2.8709999999999996E-2</v>
      </c>
      <c r="Z74" s="4">
        <f ca="1">_Google_ads[[#This Row],[avg_cpc]]*RANDBETWEEN(8,12)/10</f>
        <v>0.14399999999999999</v>
      </c>
      <c r="AA74" s="4">
        <f ca="1">ROUND(_Google_ads[[#This Row],[quality_score]]*RANDBETWEEN(8,12)/10,0)</f>
        <v>9</v>
      </c>
      <c r="AB74" s="4">
        <f ca="1">_Google_ads[[#This Row],[search_impression_share]]*RANDBETWEEN(8,12)/10</f>
        <v>0.75600000000000001</v>
      </c>
      <c r="AD74" s="3">
        <f t="shared" ca="1" si="11"/>
        <v>45223</v>
      </c>
      <c r="AE74" s="4" t="s">
        <v>108</v>
      </c>
      <c r="AF74" s="4" t="s">
        <v>109</v>
      </c>
      <c r="AG74" s="4" t="s">
        <v>110</v>
      </c>
      <c r="AH74" s="4" t="s">
        <v>111</v>
      </c>
      <c r="AI74" s="4">
        <f ca="1">ROUND(T_Tiktok_ads[[#This Row],[impressions]]*RANDBETWEEN(8,12)/10,0)</f>
        <v>181111</v>
      </c>
      <c r="AJ74" s="4">
        <f ca="1">ROUND(T_Tiktok_ads[[#This Row],[clicks]]*RANDBETWEEN(8,12)/10,0)</f>
        <v>3748</v>
      </c>
      <c r="AK74" s="4">
        <v>374.5</v>
      </c>
      <c r="AL74" s="4">
        <f ca="1">ROUND(T_Tiktok_ads[[#This Row],[conversions]]*RANDBETWEEN(8,12)/10,0)</f>
        <v>21</v>
      </c>
      <c r="AM74" s="4">
        <f ca="1">ROUND(T_Tiktok_ads[[#This Row],[video_views]]*RANDBETWEEN(8,12)/10,0)</f>
        <v>157890</v>
      </c>
      <c r="AN74" s="4">
        <f ca="1">ROUND(T_Tiktok_ads[[#This Row],[video_watch_25]]*RANDBETWEEN(8,12)/10,0)</f>
        <v>96987</v>
      </c>
      <c r="AO74" s="4">
        <f ca="1">ROUND(T_Tiktok_ads[[#This Row],[video_watch_50]]*RANDBETWEEN(8,12)/10,0)</f>
        <v>105857</v>
      </c>
      <c r="AP74" s="4">
        <f ca="1">ROUND(T_Tiktok_ads[[#This Row],[video_watch_75]]*RANDBETWEEN(8,12)/10,0)</f>
        <v>48987</v>
      </c>
      <c r="AQ74" s="4">
        <f ca="1">ROUND(T_Tiktok_ads[[#This Row],[video_watch_100]]*RANDBETWEEN(8,12)/10,0)</f>
        <v>41202</v>
      </c>
      <c r="AR74" s="4">
        <f ca="1">ROUND(T_Tiktok_ads[[#This Row],[likes]]*RANDBETWEEN(8,12)/10,0)</f>
        <v>8080</v>
      </c>
      <c r="AS74" s="4">
        <f ca="1">ROUND(T_Tiktok_ads[[#This Row],[shares]]*RANDBETWEEN(8,12)/10,0)</f>
        <v>2237</v>
      </c>
      <c r="AT74" s="4">
        <f ca="1">ROUND(T_Tiktok_ads[[#This Row],[comments]]*RANDBETWEEN(8,12)/10,0)</f>
        <v>391</v>
      </c>
      <c r="AV74" s="5">
        <f t="shared" ca="1" si="12"/>
        <v>45225</v>
      </c>
      <c r="AW74">
        <f t="shared" ca="1" si="13"/>
        <v>4</v>
      </c>
      <c r="AX74">
        <f ca="1">ROUND(T_Facebook_Ads11596367717579838791[[#This Row],[impressions]]*RANDBETWEEN(8,12)/10,0)</f>
        <v>23681</v>
      </c>
      <c r="AY74">
        <f ca="1">ROUND(T_Facebook_Ads11596367717579838791[[#This Row],[clicks]]*RANDBETWEEN(8,12)/10,0)</f>
        <v>1060</v>
      </c>
      <c r="AZ74">
        <f ca="1">T_Facebook_Ads11596367717579838791[[#This Row],[spend]]*RANDBETWEEN(8,12)/10</f>
        <v>184.89599999999999</v>
      </c>
      <c r="BA74">
        <f ca="1">ROUND(T_Facebook_Ads11596367717579838791[[#This Row],[conversions]]*RANDBETWEEN(8,12)/10,0)</f>
        <v>20</v>
      </c>
      <c r="BB74">
        <f ca="1">ROUND(T_Facebook_Ads11596367717579838791[[#This Row],[video_views]]*RANDBETWEEN(8,12)/10,0)</f>
        <v>4168</v>
      </c>
    </row>
    <row r="75" spans="1:54" ht="15.75" thickBot="1" x14ac:dyDescent="0.3">
      <c r="A75" s="3">
        <f t="shared" ca="1" si="9"/>
        <v>45211</v>
      </c>
      <c r="B75" s="4" t="s">
        <v>64</v>
      </c>
      <c r="C75" s="4" t="s">
        <v>65</v>
      </c>
      <c r="D75" s="4" t="s">
        <v>66</v>
      </c>
      <c r="E75" s="4" t="s">
        <v>67</v>
      </c>
      <c r="F75" s="4">
        <f ca="1">ROUND(T_Facebook_Ads[[#This Row],[impressions]]*RANDBETWEEN(8,12)/10,0)</f>
        <v>68580</v>
      </c>
      <c r="G75" s="4">
        <v>223</v>
      </c>
      <c r="H75" s="4">
        <f ca="1">T_Facebook_Ads[[#This Row],[spend]]*RANDBETWEEN(8,12)/10</f>
        <v>91.559999999999988</v>
      </c>
      <c r="I75" s="4">
        <f ca="1">ROUND(T_Facebook_Ads[[#This Row],[conversions]]*RANDBETWEEN(8,12)/10,0)</f>
        <v>3</v>
      </c>
      <c r="J75" s="4">
        <f ca="1">ROUND(T_Facebook_Ads[[#This Row],[video_views]]*RANDBETWEEN(8,12)/10,0)</f>
        <v>41234</v>
      </c>
      <c r="K75" s="4">
        <f ca="1">T_Facebook_Ads[[#This Row],[engagement_rate]]*RANDBETWEEN(8,12)/10</f>
        <v>3.96E-3</v>
      </c>
      <c r="L75" s="4">
        <f ca="1">ROUND(T_Facebook_Ads[[#This Row],[reach]]*RANDBETWEEN(8,12)/10,0)</f>
        <v>46410</v>
      </c>
      <c r="M75" s="4">
        <f ca="1">T_Facebook_Ads[[#This Row],[frequency]]*RANDBETWEEN(8,12)/10</f>
        <v>1.3199999999999998</v>
      </c>
      <c r="O75" s="3">
        <f t="shared" ca="1" si="10"/>
        <v>45230</v>
      </c>
      <c r="P75" s="4" t="s">
        <v>88</v>
      </c>
      <c r="Q75" s="4" t="s">
        <v>89</v>
      </c>
      <c r="R75" s="4" t="s">
        <v>90</v>
      </c>
      <c r="S75" s="4" t="s">
        <v>59</v>
      </c>
      <c r="T75" s="4">
        <f ca="1">ROUND(_Google_ads[[#This Row],[impressions]]*RANDBETWEEN(8,12)/10,0)</f>
        <v>94587</v>
      </c>
      <c r="U75" s="4">
        <f ca="1">ROUND(_Google_ads[[#This Row],[clicks]]*RANDBETWEEN(8,12)/10,0)</f>
        <v>338</v>
      </c>
      <c r="V75" s="4">
        <f ca="1">_Google_ads[[#This Row],[cost]]*RANDBETWEEN(8,12)/10</f>
        <v>139.44</v>
      </c>
      <c r="W75" s="4">
        <f ca="1">ROUND(_Google_ads[[#This Row],[conversions]]*RANDBETWEEN(8,12)/10,0)</f>
        <v>13</v>
      </c>
      <c r="X75" s="4">
        <f ca="1">ROUND(_Google_ads[[#This Row],[conversion_value]]*RANDBETWEEN(8,12)/10,0)</f>
        <v>605</v>
      </c>
      <c r="Y75" s="4">
        <f ca="1">_Google_ads[[#This Row],[ctr]]*RANDBETWEEN(8,12)/10</f>
        <v>4.3200000000000001E-3</v>
      </c>
      <c r="Z75" s="4">
        <f ca="1">_Google_ads[[#This Row],[avg_cpc]]*RANDBETWEEN(8,12)/10</f>
        <v>0.29700000000000004</v>
      </c>
      <c r="AA75" s="4">
        <f ca="1">ROUND(_Google_ads[[#This Row],[quality_score]]*RANDBETWEEN(8,12)/10,0)</f>
        <v>8</v>
      </c>
      <c r="AB75" s="4">
        <f ca="1">_Google_ads[[#This Row],[search_impression_share]]*RANDBETWEEN(8,12)/10</f>
        <v>0.35199999999999998</v>
      </c>
      <c r="AD75" s="3">
        <f t="shared" ca="1" si="11"/>
        <v>45208</v>
      </c>
      <c r="AE75" s="4" t="s">
        <v>112</v>
      </c>
      <c r="AF75" s="4" t="s">
        <v>113</v>
      </c>
      <c r="AG75" s="4" t="s">
        <v>114</v>
      </c>
      <c r="AH75" s="4" t="s">
        <v>115</v>
      </c>
      <c r="AI75" s="4">
        <f ca="1">ROUND(T_Tiktok_ads[[#This Row],[impressions]]*RANDBETWEEN(8,12)/10,0)</f>
        <v>331101</v>
      </c>
      <c r="AJ75" s="4">
        <f ca="1">ROUND(T_Tiktok_ads[[#This Row],[clicks]]*RANDBETWEEN(8,12)/10,0)</f>
        <v>6613</v>
      </c>
      <c r="AK75" s="4">
        <v>923.4</v>
      </c>
      <c r="AL75" s="4">
        <f ca="1">ROUND(T_Tiktok_ads[[#This Row],[conversions]]*RANDBETWEEN(8,12)/10,0)</f>
        <v>75</v>
      </c>
      <c r="AM75" s="4">
        <f ca="1">ROUND(T_Tiktok_ads[[#This Row],[video_views]]*RANDBETWEEN(8,12)/10,0)</f>
        <v>271111</v>
      </c>
      <c r="AN75" s="4">
        <f ca="1">ROUND(T_Tiktok_ads[[#This Row],[video_watch_25]]*RANDBETWEEN(8,12)/10,0)</f>
        <v>294814</v>
      </c>
      <c r="AO75" s="4">
        <f ca="1">ROUND(T_Tiktok_ads[[#This Row],[video_watch_50]]*RANDBETWEEN(8,12)/10,0)</f>
        <v>157431</v>
      </c>
      <c r="AP75" s="4">
        <f ca="1">ROUND(T_Tiktok_ads[[#This Row],[video_watch_75]]*RANDBETWEEN(8,12)/10,0)</f>
        <v>168281</v>
      </c>
      <c r="AQ75" s="4">
        <f ca="1">ROUND(T_Tiktok_ads[[#This Row],[video_watch_100]]*RANDBETWEEN(8,12)/10,0)</f>
        <v>84110</v>
      </c>
      <c r="AR75" s="4">
        <f ca="1">ROUND(T_Tiktok_ads[[#This Row],[likes]]*RANDBETWEEN(8,12)/10,0)</f>
        <v>16234</v>
      </c>
      <c r="AS75" s="4">
        <f ca="1">ROUND(T_Tiktok_ads[[#This Row],[shares]]*RANDBETWEEN(8,12)/10,0)</f>
        <v>5747</v>
      </c>
      <c r="AT75" s="4">
        <f ca="1">ROUND(T_Tiktok_ads[[#This Row],[comments]]*RANDBETWEEN(8,12)/10,0)</f>
        <v>1289</v>
      </c>
      <c r="AV75" s="5">
        <f t="shared" ca="1" si="12"/>
        <v>45213</v>
      </c>
      <c r="AW75">
        <f t="shared" ca="1" si="13"/>
        <v>1</v>
      </c>
      <c r="AX75">
        <f ca="1">ROUND(T_Facebook_Ads11596367717579838791[[#This Row],[impressions]]*RANDBETWEEN(8,12)/10,0)</f>
        <v>75438</v>
      </c>
      <c r="AY75">
        <f ca="1">ROUND(T_Facebook_Ads11596367717579838791[[#This Row],[clicks]]*RANDBETWEEN(8,12)/10,0)</f>
        <v>223</v>
      </c>
      <c r="AZ75">
        <f ca="1">T_Facebook_Ads11596367717579838791[[#This Row],[spend]]*RANDBETWEEN(8,12)/10</f>
        <v>109.87199999999999</v>
      </c>
      <c r="BA75">
        <f ca="1">ROUND(T_Facebook_Ads11596367717579838791[[#This Row],[conversions]]*RANDBETWEEN(8,12)/10,0)</f>
        <v>2</v>
      </c>
      <c r="BB75">
        <f ca="1">ROUND(T_Facebook_Ads11596367717579838791[[#This Row],[video_views]]*RANDBETWEEN(8,12)/10,0)</f>
        <v>41234</v>
      </c>
    </row>
    <row r="76" spans="1:54" ht="15.75" thickBot="1" x14ac:dyDescent="0.3">
      <c r="A76" s="3">
        <f t="shared" ca="1" si="9"/>
        <v>45217</v>
      </c>
      <c r="B76" s="4" t="s">
        <v>52</v>
      </c>
      <c r="C76" s="4" t="s">
        <v>53</v>
      </c>
      <c r="D76" s="4" t="s">
        <v>54</v>
      </c>
      <c r="E76" s="4" t="s">
        <v>55</v>
      </c>
      <c r="F76" s="4">
        <f ca="1">ROUND(T_Facebook_Ads[[#This Row],[impressions]]*RANDBETWEEN(8,12)/10,0)</f>
        <v>54281</v>
      </c>
      <c r="G76" s="4">
        <v>912</v>
      </c>
      <c r="H76" s="4">
        <f ca="1">T_Facebook_Ads[[#This Row],[spend]]*RANDBETWEEN(8,12)/10</f>
        <v>116.82000000000001</v>
      </c>
      <c r="I76" s="4">
        <f ca="1">ROUND(T_Facebook_Ads[[#This Row],[conversions]]*RANDBETWEEN(8,12)/10,0)</f>
        <v>14</v>
      </c>
      <c r="J76" s="4">
        <f ca="1">ROUND(T_Facebook_Ads[[#This Row],[video_views]]*RANDBETWEEN(8,12)/10,0)</f>
        <v>7411</v>
      </c>
      <c r="K76" s="4">
        <f ca="1">T_Facebook_Ads[[#This Row],[engagement_rate]]*RANDBETWEEN(8,12)/10</f>
        <v>2.2219999999999997E-2</v>
      </c>
      <c r="L76" s="4">
        <f ca="1">ROUND(T_Facebook_Ads[[#This Row],[reach]]*RANDBETWEEN(8,12)/10,0)</f>
        <v>46280</v>
      </c>
      <c r="M76" s="4">
        <f ca="1">T_Facebook_Ads[[#This Row],[frequency]]*RANDBETWEEN(8,12)/10</f>
        <v>1.4039999999999999</v>
      </c>
      <c r="O76" s="3">
        <f t="shared" ca="1" si="10"/>
        <v>45222</v>
      </c>
      <c r="P76" s="4" t="s">
        <v>76</v>
      </c>
      <c r="Q76" s="4" t="s">
        <v>77</v>
      </c>
      <c r="R76" s="4" t="s">
        <v>78</v>
      </c>
      <c r="S76" s="4" t="s">
        <v>79</v>
      </c>
      <c r="T76" s="4">
        <f ca="1">ROUND(_Google_ads[[#This Row],[impressions]]*RANDBETWEEN(8,12)/10,0)</f>
        <v>24234</v>
      </c>
      <c r="U76" s="4">
        <f ca="1">ROUND(_Google_ads[[#This Row],[clicks]]*RANDBETWEEN(8,12)/10,0)</f>
        <v>1267</v>
      </c>
      <c r="V76" s="4">
        <f ca="1">_Google_ads[[#This Row],[cost]]*RANDBETWEEN(8,12)/10</f>
        <v>289.43999999999994</v>
      </c>
      <c r="W76" s="4">
        <f ca="1">ROUND(_Google_ads[[#This Row],[conversions]]*RANDBETWEEN(8,12)/10,0)</f>
        <v>42</v>
      </c>
      <c r="X76" s="4">
        <f ca="1">ROUND(_Google_ads[[#This Row],[conversion_value]]*RANDBETWEEN(8,12)/10,0)</f>
        <v>1880</v>
      </c>
      <c r="Y76" s="4">
        <f ca="1">_Google_ads[[#This Row],[ctr]]*RANDBETWEEN(8,12)/10</f>
        <v>5.2299999999999999E-2</v>
      </c>
      <c r="Z76" s="4">
        <f ca="1">_Google_ads[[#This Row],[avg_cpc]]*RANDBETWEEN(8,12)/10</f>
        <v>0.19</v>
      </c>
      <c r="AA76" s="4">
        <f ca="1">ROUND(_Google_ads[[#This Row],[quality_score]]*RANDBETWEEN(8,12)/10,0)</f>
        <v>10</v>
      </c>
      <c r="AB76" s="4">
        <f ca="1">_Google_ads[[#This Row],[search_impression_share]]*RANDBETWEEN(8,12)/10</f>
        <v>0.81899999999999995</v>
      </c>
      <c r="AD76" s="3">
        <f t="shared" ca="1" si="11"/>
        <v>45209</v>
      </c>
      <c r="AE76" s="4" t="s">
        <v>100</v>
      </c>
      <c r="AF76" s="4" t="s">
        <v>101</v>
      </c>
      <c r="AG76" s="4" t="s">
        <v>102</v>
      </c>
      <c r="AH76" s="4" t="s">
        <v>103</v>
      </c>
      <c r="AI76" s="4">
        <f ca="1">ROUND(T_Tiktok_ads[[#This Row],[impressions]]*RANDBETWEEN(8,12)/10,0)</f>
        <v>241101</v>
      </c>
      <c r="AJ76" s="4">
        <f ca="1">ROUND(T_Tiktok_ads[[#This Row],[clicks]]*RANDBETWEEN(8,12)/10,0)</f>
        <v>4734</v>
      </c>
      <c r="AK76" s="4">
        <v>523.4</v>
      </c>
      <c r="AL76" s="4">
        <f ca="1">ROUND(T_Tiktok_ads[[#This Row],[conversions]]*RANDBETWEEN(8,12)/10,0)</f>
        <v>36</v>
      </c>
      <c r="AM76" s="4">
        <f ca="1">ROUND(T_Tiktok_ads[[#This Row],[video_views]]*RANDBETWEEN(8,12)/10,0)</f>
        <v>265481</v>
      </c>
      <c r="AN76" s="4">
        <f ca="1">ROUND(T_Tiktok_ads[[#This Row],[video_watch_25]]*RANDBETWEEN(8,12)/10,0)</f>
        <v>190802</v>
      </c>
      <c r="AO76" s="4">
        <f ca="1">ROUND(T_Tiktok_ads[[#This Row],[video_watch_50]]*RANDBETWEEN(8,12)/10,0)</f>
        <v>120157</v>
      </c>
      <c r="AP76" s="4">
        <f ca="1">ROUND(T_Tiktok_ads[[#This Row],[video_watch_75]]*RANDBETWEEN(8,12)/10,0)</f>
        <v>73567</v>
      </c>
      <c r="AQ76" s="4">
        <f ca="1">ROUND(T_Tiktok_ads[[#This Row],[video_watch_100]]*RANDBETWEEN(8,12)/10,0)</f>
        <v>44311</v>
      </c>
      <c r="AR76" s="4">
        <f ca="1">ROUND(T_Tiktok_ads[[#This Row],[likes]]*RANDBETWEEN(8,12)/10,0)</f>
        <v>7831</v>
      </c>
      <c r="AS76" s="4">
        <f ca="1">ROUND(T_Tiktok_ads[[#This Row],[shares]]*RANDBETWEEN(8,12)/10,0)</f>
        <v>3161</v>
      </c>
      <c r="AT76" s="4">
        <f ca="1">ROUND(T_Tiktok_ads[[#This Row],[comments]]*RANDBETWEEN(8,12)/10,0)</f>
        <v>561</v>
      </c>
      <c r="AV76" s="5">
        <f t="shared" ca="1" si="12"/>
        <v>45221</v>
      </c>
      <c r="AW76">
        <f t="shared" ca="1" si="13"/>
        <v>7</v>
      </c>
      <c r="AX76">
        <f ca="1">ROUND(T_Facebook_Ads11596367717579838791[[#This Row],[impressions]]*RANDBETWEEN(8,12)/10,0)</f>
        <v>65137</v>
      </c>
      <c r="AY76">
        <f ca="1">ROUND(T_Facebook_Ads11596367717579838791[[#This Row],[clicks]]*RANDBETWEEN(8,12)/10,0)</f>
        <v>821</v>
      </c>
      <c r="AZ76">
        <f ca="1">T_Facebook_Ads11596367717579838791[[#This Row],[spend]]*RANDBETWEEN(8,12)/10</f>
        <v>128.50200000000001</v>
      </c>
      <c r="BA76">
        <f ca="1">ROUND(T_Facebook_Ads11596367717579838791[[#This Row],[conversions]]*RANDBETWEEN(8,12)/10,0)</f>
        <v>15</v>
      </c>
      <c r="BB76">
        <f ca="1">ROUND(T_Facebook_Ads11596367717579838791[[#This Row],[video_views]]*RANDBETWEEN(8,12)/10,0)</f>
        <v>8893</v>
      </c>
    </row>
    <row r="77" spans="1:54" ht="15.75" thickBot="1" x14ac:dyDescent="0.3">
      <c r="A77" s="3">
        <f t="shared" ca="1" si="9"/>
        <v>45211</v>
      </c>
      <c r="B77" s="4" t="s">
        <v>56</v>
      </c>
      <c r="C77" s="4" t="s">
        <v>57</v>
      </c>
      <c r="D77" s="4" t="s">
        <v>58</v>
      </c>
      <c r="E77" s="4" t="s">
        <v>59</v>
      </c>
      <c r="F77" s="4">
        <f ca="1">ROUND(T_Facebook_Ads[[#This Row],[impressions]]*RANDBETWEEN(8,12)/10,0)</f>
        <v>11210</v>
      </c>
      <c r="G77" s="4">
        <v>567</v>
      </c>
      <c r="H77" s="4">
        <f ca="1">T_Facebook_Ads[[#This Row],[spend]]*RANDBETWEEN(8,12)/10</f>
        <v>230.56</v>
      </c>
      <c r="I77" s="4">
        <f ca="1">ROUND(T_Facebook_Ads[[#This Row],[conversions]]*RANDBETWEEN(8,12)/10,0)</f>
        <v>36</v>
      </c>
      <c r="J77" s="4">
        <f ca="1">ROUND(T_Facebook_Ads[[#This Row],[video_views]]*RANDBETWEEN(8,12)/10,0)</f>
        <v>1111</v>
      </c>
      <c r="K77" s="4">
        <f ca="1">T_Facebook_Ads[[#This Row],[engagement_rate]]*RANDBETWEEN(8,12)/10</f>
        <v>3.6400000000000002E-2</v>
      </c>
      <c r="L77" s="4">
        <f ca="1">ROUND(T_Facebook_Ads[[#This Row],[reach]]*RANDBETWEEN(8,12)/10,0)</f>
        <v>7901</v>
      </c>
      <c r="M77" s="4">
        <f ca="1">T_Facebook_Ads[[#This Row],[frequency]]*RANDBETWEEN(8,12)/10</f>
        <v>1.008</v>
      </c>
      <c r="O77" s="3">
        <f t="shared" ca="1" si="10"/>
        <v>45204</v>
      </c>
      <c r="P77" s="4" t="s">
        <v>80</v>
      </c>
      <c r="Q77" s="4" t="s">
        <v>81</v>
      </c>
      <c r="R77" s="4" t="s">
        <v>82</v>
      </c>
      <c r="S77" s="4" t="s">
        <v>83</v>
      </c>
      <c r="T77" s="4">
        <f ca="1">ROUND(_Google_ads[[#This Row],[impressions]]*RANDBETWEEN(8,12)/10,0)</f>
        <v>42890</v>
      </c>
      <c r="U77" s="4">
        <f ca="1">ROUND(_Google_ads[[#This Row],[clicks]]*RANDBETWEEN(8,12)/10,0)</f>
        <v>761</v>
      </c>
      <c r="V77" s="4">
        <f ca="1">_Google_ads[[#This Row],[cost]]*RANDBETWEEN(8,12)/10</f>
        <v>549.29999999999995</v>
      </c>
      <c r="W77" s="4">
        <f ca="1">ROUND(_Google_ads[[#This Row],[conversions]]*RANDBETWEEN(8,12)/10,0)</f>
        <v>24</v>
      </c>
      <c r="X77" s="4">
        <f ca="1">ROUND(_Google_ads[[#This Row],[conversion_value]]*RANDBETWEEN(8,12)/10,0)</f>
        <v>1210</v>
      </c>
      <c r="Y77" s="4">
        <f ca="1">_Google_ads[[#This Row],[ctr]]*RANDBETWEEN(8,12)/10</f>
        <v>1.7729999999999999E-2</v>
      </c>
      <c r="Z77" s="4">
        <f ca="1">_Google_ads[[#This Row],[avg_cpc]]*RANDBETWEEN(8,12)/10</f>
        <v>0.71500000000000008</v>
      </c>
      <c r="AA77" s="4">
        <f ca="1">ROUND(_Google_ads[[#This Row],[quality_score]]*RANDBETWEEN(8,12)/10,0)</f>
        <v>6</v>
      </c>
      <c r="AB77" s="4">
        <f ca="1">_Google_ads[[#This Row],[search_impression_share]]*RANDBETWEEN(8,12)/10</f>
        <v>0.52800000000000002</v>
      </c>
      <c r="AD77" s="3">
        <f t="shared" ca="1" si="11"/>
        <v>45213</v>
      </c>
      <c r="AE77" s="4" t="s">
        <v>104</v>
      </c>
      <c r="AF77" s="4" t="s">
        <v>105</v>
      </c>
      <c r="AG77" s="4" t="s">
        <v>106</v>
      </c>
      <c r="AH77" s="4" t="s">
        <v>107</v>
      </c>
      <c r="AI77" s="4">
        <f ca="1">ROUND(T_Tiktok_ads[[#This Row],[impressions]]*RANDBETWEEN(8,12)/10,0)</f>
        <v>148901</v>
      </c>
      <c r="AJ77" s="4">
        <f ca="1">ROUND(T_Tiktok_ads[[#This Row],[clicks]]*RANDBETWEEN(8,12)/10,0)</f>
        <v>3401</v>
      </c>
      <c r="AK77" s="4">
        <v>767.5</v>
      </c>
      <c r="AL77" s="4">
        <f ca="1">ROUND(T_Tiktok_ads[[#This Row],[conversions]]*RANDBETWEEN(8,12)/10,0)</f>
        <v>69</v>
      </c>
      <c r="AM77" s="4">
        <f ca="1">ROUND(T_Tiktok_ads[[#This Row],[video_views]]*RANDBETWEEN(8,12)/10,0)</f>
        <v>93110</v>
      </c>
      <c r="AN77" s="4">
        <f ca="1">ROUND(T_Tiktok_ads[[#This Row],[video_watch_25]]*RANDBETWEEN(8,12)/10,0)</f>
        <v>83857</v>
      </c>
      <c r="AO77" s="4">
        <f ca="1">ROUND(T_Tiktok_ads[[#This Row],[video_watch_50]]*RANDBETWEEN(8,12)/10,0)</f>
        <v>51234</v>
      </c>
      <c r="AP77" s="4">
        <f ca="1">ROUND(T_Tiktok_ads[[#This Row],[video_watch_75]]*RANDBETWEEN(8,12)/10,0)</f>
        <v>42424</v>
      </c>
      <c r="AQ77" s="4">
        <f ca="1">ROUND(T_Tiktok_ads[[#This Row],[video_watch_100]]*RANDBETWEEN(8,12)/10,0)</f>
        <v>30947</v>
      </c>
      <c r="AR77" s="4">
        <f ca="1">ROUND(T_Tiktok_ads[[#This Row],[likes]]*RANDBETWEEN(8,12)/10,0)</f>
        <v>6148</v>
      </c>
      <c r="AS77" s="4">
        <f ca="1">ROUND(T_Tiktok_ads[[#This Row],[shares]]*RANDBETWEEN(8,12)/10,0)</f>
        <v>1602</v>
      </c>
      <c r="AT77" s="4">
        <f ca="1">ROUND(T_Tiktok_ads[[#This Row],[comments]]*RANDBETWEEN(8,12)/10,0)</f>
        <v>250</v>
      </c>
      <c r="AV77" s="5">
        <f t="shared" ca="1" si="12"/>
        <v>45220</v>
      </c>
      <c r="AW77">
        <f t="shared" ca="1" si="13"/>
        <v>4</v>
      </c>
      <c r="AX77">
        <f ca="1">ROUND(T_Facebook_Ads11596367717579838791[[#This Row],[impressions]]*RANDBETWEEN(8,12)/10,0)</f>
        <v>11210</v>
      </c>
      <c r="AY77">
        <f ca="1">ROUND(T_Facebook_Ads11596367717579838791[[#This Row],[clicks]]*RANDBETWEEN(8,12)/10,0)</f>
        <v>624</v>
      </c>
      <c r="AZ77">
        <f ca="1">T_Facebook_Ads11596367717579838791[[#This Row],[spend]]*RANDBETWEEN(8,12)/10</f>
        <v>230.56</v>
      </c>
      <c r="BA77">
        <f ca="1">ROUND(T_Facebook_Ads11596367717579838791[[#This Row],[conversions]]*RANDBETWEEN(8,12)/10,0)</f>
        <v>29</v>
      </c>
      <c r="BB77">
        <f ca="1">ROUND(T_Facebook_Ads11596367717579838791[[#This Row],[video_views]]*RANDBETWEEN(8,12)/10,0)</f>
        <v>889</v>
      </c>
    </row>
    <row r="78" spans="1:54" ht="15.75" thickBot="1" x14ac:dyDescent="0.3">
      <c r="A78" s="3">
        <f t="shared" ca="1" si="9"/>
        <v>45211</v>
      </c>
      <c r="B78" s="4" t="s">
        <v>60</v>
      </c>
      <c r="C78" s="4" t="s">
        <v>61</v>
      </c>
      <c r="D78" s="4" t="s">
        <v>62</v>
      </c>
      <c r="E78" s="4" t="s">
        <v>63</v>
      </c>
      <c r="F78" s="4">
        <f ca="1">ROUND(T_Facebook_Ads[[#This Row],[impressions]]*RANDBETWEEN(8,12)/10,0)</f>
        <v>31611</v>
      </c>
      <c r="G78" s="4">
        <v>1267</v>
      </c>
      <c r="H78" s="4">
        <f ca="1">T_Facebook_Ads[[#This Row],[spend]]*RANDBETWEEN(8,12)/10</f>
        <v>233.4</v>
      </c>
      <c r="I78" s="4">
        <f ca="1">ROUND(T_Facebook_Ads[[#This Row],[conversions]]*RANDBETWEEN(8,12)/10,0)</f>
        <v>26</v>
      </c>
      <c r="J78" s="4">
        <f ca="1">ROUND(T_Facebook_Ads[[#This Row],[video_views]]*RANDBETWEEN(8,12)/10,0)</f>
        <v>3911</v>
      </c>
      <c r="K78" s="4">
        <f ca="1">T_Facebook_Ads[[#This Row],[engagement_rate]]*RANDBETWEEN(8,12)/10</f>
        <v>3.9710000000000002E-2</v>
      </c>
      <c r="L78" s="4">
        <f ca="1">ROUND(T_Facebook_Ads[[#This Row],[reach]]*RANDBETWEEN(8,12)/10,0)</f>
        <v>23298</v>
      </c>
      <c r="M78" s="4">
        <f ca="1">T_Facebook_Ads[[#This Row],[frequency]]*RANDBETWEEN(8,12)/10</f>
        <v>0.96799999999999997</v>
      </c>
      <c r="O78" s="3">
        <f t="shared" ca="1" si="10"/>
        <v>45212</v>
      </c>
      <c r="P78" s="4" t="s">
        <v>84</v>
      </c>
      <c r="Q78" s="4" t="s">
        <v>85</v>
      </c>
      <c r="R78" s="4" t="s">
        <v>86</v>
      </c>
      <c r="S78" s="4" t="s">
        <v>87</v>
      </c>
      <c r="T78" s="4">
        <f ca="1">ROUND(_Google_ads[[#This Row],[impressions]]*RANDBETWEEN(8,12)/10,0)</f>
        <v>66789</v>
      </c>
      <c r="U78" s="4">
        <f ca="1">ROUND(_Google_ads[[#This Row],[clicks]]*RANDBETWEEN(8,12)/10,0)</f>
        <v>2445</v>
      </c>
      <c r="V78" s="4">
        <f ca="1">_Google_ads[[#This Row],[cost]]*RANDBETWEEN(8,12)/10</f>
        <v>367.11</v>
      </c>
      <c r="W78" s="4">
        <f ca="1">ROUND(_Google_ads[[#This Row],[conversions]]*RANDBETWEEN(8,12)/10,0)</f>
        <v>77</v>
      </c>
      <c r="X78" s="4">
        <f ca="1">ROUND(_Google_ads[[#This Row],[conversion_value]]*RANDBETWEEN(8,12)/10,0)</f>
        <v>2560</v>
      </c>
      <c r="Y78" s="4">
        <f ca="1">_Google_ads[[#This Row],[ctr]]*RANDBETWEEN(8,12)/10</f>
        <v>3.9960000000000009E-2</v>
      </c>
      <c r="Z78" s="4">
        <f ca="1">_Google_ads[[#This Row],[avg_cpc]]*RANDBETWEEN(8,12)/10</f>
        <v>0.18</v>
      </c>
      <c r="AA78" s="4">
        <f ca="1">ROUND(_Google_ads[[#This Row],[quality_score]]*RANDBETWEEN(8,12)/10,0)</f>
        <v>8</v>
      </c>
      <c r="AB78" s="4">
        <f ca="1">_Google_ads[[#This Row],[search_impression_share]]*RANDBETWEEN(8,12)/10</f>
        <v>0.79200000000000004</v>
      </c>
      <c r="AD78" s="3">
        <f t="shared" ca="1" si="11"/>
        <v>45205</v>
      </c>
      <c r="AE78" s="4" t="s">
        <v>108</v>
      </c>
      <c r="AF78" s="4" t="s">
        <v>109</v>
      </c>
      <c r="AG78" s="4" t="s">
        <v>110</v>
      </c>
      <c r="AH78" s="4" t="s">
        <v>111</v>
      </c>
      <c r="AI78" s="4">
        <f ca="1">ROUND(T_Tiktok_ads[[#This Row],[impressions]]*RANDBETWEEN(8,12)/10,0)</f>
        <v>274681</v>
      </c>
      <c r="AJ78" s="4">
        <f ca="1">ROUND(T_Tiktok_ads[[#This Row],[clicks]]*RANDBETWEEN(8,12)/10,0)</f>
        <v>3271</v>
      </c>
      <c r="AK78" s="4">
        <v>441.9</v>
      </c>
      <c r="AL78" s="4">
        <f ca="1">ROUND(T_Tiktok_ads[[#This Row],[conversions]]*RANDBETWEEN(8,12)/10,0)</f>
        <v>25</v>
      </c>
      <c r="AM78" s="4">
        <f ca="1">ROUND(T_Tiktok_ads[[#This Row],[video_views]]*RANDBETWEEN(8,12)/10,0)</f>
        <v>200580</v>
      </c>
      <c r="AN78" s="4">
        <f ca="1">ROUND(T_Tiktok_ads[[#This Row],[video_watch_25]]*RANDBETWEEN(8,12)/10,0)</f>
        <v>151679</v>
      </c>
      <c r="AO78" s="4">
        <f ca="1">ROUND(T_Tiktok_ads[[#This Row],[video_watch_50]]*RANDBETWEEN(8,12)/10,0)</f>
        <v>119791</v>
      </c>
      <c r="AP78" s="4">
        <f ca="1">ROUND(T_Tiktok_ads[[#This Row],[video_watch_75]]*RANDBETWEEN(8,12)/10,0)</f>
        <v>70567</v>
      </c>
      <c r="AQ78" s="4">
        <f ca="1">ROUND(T_Tiktok_ads[[#This Row],[video_watch_100]]*RANDBETWEEN(8,12)/10,0)</f>
        <v>47068</v>
      </c>
      <c r="AR78" s="4">
        <f ca="1">ROUND(T_Tiktok_ads[[#This Row],[likes]]*RANDBETWEEN(8,12)/10,0)</f>
        <v>7610</v>
      </c>
      <c r="AS78" s="4">
        <f ca="1">ROUND(T_Tiktok_ads[[#This Row],[shares]]*RANDBETWEEN(8,12)/10,0)</f>
        <v>2071</v>
      </c>
      <c r="AT78" s="4">
        <f ca="1">ROUND(T_Tiktok_ads[[#This Row],[comments]]*RANDBETWEEN(8,12)/10,0)</f>
        <v>654</v>
      </c>
      <c r="AV78" s="5">
        <f t="shared" ca="1" si="12"/>
        <v>45201</v>
      </c>
      <c r="AW78">
        <f t="shared" ca="1" si="13"/>
        <v>3</v>
      </c>
      <c r="AX78">
        <f ca="1">ROUND(T_Facebook_Ads11596367717579838791[[#This Row],[impressions]]*RANDBETWEEN(8,12)/10,0)</f>
        <v>34772</v>
      </c>
      <c r="AY78">
        <f ca="1">ROUND(T_Facebook_Ads11596367717579838791[[#This Row],[clicks]]*RANDBETWEEN(8,12)/10,0)</f>
        <v>1394</v>
      </c>
      <c r="AZ78">
        <f ca="1">T_Facebook_Ads11596367717579838791[[#This Row],[spend]]*RANDBETWEEN(8,12)/10</f>
        <v>280.08000000000004</v>
      </c>
      <c r="BA78">
        <f ca="1">ROUND(T_Facebook_Ads11596367717579838791[[#This Row],[conversions]]*RANDBETWEEN(8,12)/10,0)</f>
        <v>31</v>
      </c>
      <c r="BB78">
        <f ca="1">ROUND(T_Facebook_Ads11596367717579838791[[#This Row],[video_views]]*RANDBETWEEN(8,12)/10,0)</f>
        <v>3911</v>
      </c>
    </row>
    <row r="79" spans="1:54" ht="15.75" thickBot="1" x14ac:dyDescent="0.3">
      <c r="A79" s="3">
        <f t="shared" ca="1" si="9"/>
        <v>45219</v>
      </c>
      <c r="B79" s="4" t="s">
        <v>64</v>
      </c>
      <c r="C79" s="4" t="s">
        <v>65</v>
      </c>
      <c r="D79" s="4" t="s">
        <v>66</v>
      </c>
      <c r="E79" s="4" t="s">
        <v>67</v>
      </c>
      <c r="F79" s="4">
        <f ca="1">ROUND(T_Facebook_Ads[[#This Row],[impressions]]*RANDBETWEEN(8,12)/10,0)</f>
        <v>66789</v>
      </c>
      <c r="G79" s="4">
        <v>245</v>
      </c>
      <c r="H79" s="4">
        <f ca="1">T_Facebook_Ads[[#This Row],[spend]]*RANDBETWEEN(8,12)/10</f>
        <v>84.7</v>
      </c>
      <c r="I79" s="4">
        <f ca="1">ROUND(T_Facebook_Ads[[#This Row],[conversions]]*RANDBETWEEN(8,12)/10,0)</f>
        <v>6</v>
      </c>
      <c r="J79" s="4">
        <f ca="1">ROUND(T_Facebook_Ads[[#This Row],[video_views]]*RANDBETWEEN(8,12)/10,0)</f>
        <v>53480</v>
      </c>
      <c r="K79" s="4">
        <f ca="1">T_Facebook_Ads[[#This Row],[engagement_rate]]*RANDBETWEEN(8,12)/10</f>
        <v>3.7000000000000006E-3</v>
      </c>
      <c r="L79" s="4">
        <f ca="1">ROUND(T_Facebook_Ads[[#This Row],[reach]]*RANDBETWEEN(8,12)/10,0)</f>
        <v>49401</v>
      </c>
      <c r="M79" s="4">
        <f ca="1">T_Facebook_Ads[[#This Row],[frequency]]*RANDBETWEEN(8,12)/10</f>
        <v>1.464</v>
      </c>
      <c r="O79" s="3">
        <f t="shared" ca="1" si="10"/>
        <v>45222</v>
      </c>
      <c r="P79" s="4" t="s">
        <v>88</v>
      </c>
      <c r="Q79" s="4" t="s">
        <v>89</v>
      </c>
      <c r="R79" s="4" t="s">
        <v>90</v>
      </c>
      <c r="S79" s="4" t="s">
        <v>59</v>
      </c>
      <c r="T79" s="4">
        <f ca="1">ROUND(_Google_ads[[#This Row],[impressions]]*RANDBETWEEN(8,12)/10,0)</f>
        <v>127890</v>
      </c>
      <c r="U79" s="4">
        <f ca="1">ROUND(_Google_ads[[#This Row],[clicks]]*RANDBETWEEN(8,12)/10,0)</f>
        <v>502</v>
      </c>
      <c r="V79" s="4">
        <f ca="1">_Google_ads[[#This Row],[cost]]*RANDBETWEEN(8,12)/10</f>
        <v>100.47999999999999</v>
      </c>
      <c r="W79" s="4">
        <f ca="1">ROUND(_Google_ads[[#This Row],[conversions]]*RANDBETWEEN(8,12)/10,0)</f>
        <v>16</v>
      </c>
      <c r="X79" s="4">
        <f ca="1">ROUND(_Google_ads[[#This Row],[conversion_value]]*RANDBETWEEN(8,12)/10,0)</f>
        <v>715</v>
      </c>
      <c r="Y79" s="4">
        <f ca="1">_Google_ads[[#This Row],[ctr]]*RANDBETWEEN(8,12)/10</f>
        <v>2.8799999999999997E-3</v>
      </c>
      <c r="Z79" s="4">
        <f ca="1">_Google_ads[[#This Row],[avg_cpc]]*RANDBETWEEN(8,12)/10</f>
        <v>0.25200000000000006</v>
      </c>
      <c r="AA79" s="4">
        <f ca="1">ROUND(_Google_ads[[#This Row],[quality_score]]*RANDBETWEEN(8,12)/10,0)</f>
        <v>8</v>
      </c>
      <c r="AB79" s="4">
        <f ca="1">_Google_ads[[#This Row],[search_impression_share]]*RANDBETWEEN(8,12)/10</f>
        <v>0.34</v>
      </c>
      <c r="AD79" s="3">
        <f t="shared" ca="1" si="11"/>
        <v>45225</v>
      </c>
      <c r="AE79" s="4" t="s">
        <v>112</v>
      </c>
      <c r="AF79" s="4" t="s">
        <v>113</v>
      </c>
      <c r="AG79" s="4" t="s">
        <v>114</v>
      </c>
      <c r="AH79" s="4" t="s">
        <v>115</v>
      </c>
      <c r="AI79" s="4">
        <f ca="1">ROUND(T_Tiktok_ads[[#This Row],[impressions]]*RANDBETWEEN(8,12)/10,0)</f>
        <v>358710</v>
      </c>
      <c r="AJ79" s="4">
        <f ca="1">ROUND(T_Tiktok_ads[[#This Row],[clicks]]*RANDBETWEEN(8,12)/10,0)</f>
        <v>5881</v>
      </c>
      <c r="AK79" s="4">
        <v>998.7</v>
      </c>
      <c r="AL79" s="4">
        <f ca="1">ROUND(T_Tiktok_ads[[#This Row],[conversions]]*RANDBETWEEN(8,12)/10,0)</f>
        <v>78</v>
      </c>
      <c r="AM79" s="4">
        <f ca="1">ROUND(T_Tiktok_ads[[#This Row],[video_views]]*RANDBETWEEN(8,12)/10,0)</f>
        <v>398814</v>
      </c>
      <c r="AN79" s="4">
        <f ca="1">ROUND(T_Tiktok_ads[[#This Row],[video_watch_25]]*RANDBETWEEN(8,12)/10,0)</f>
        <v>241101</v>
      </c>
      <c r="AO79" s="4">
        <f ca="1">ROUND(T_Tiktok_ads[[#This Row],[video_watch_50]]*RANDBETWEEN(8,12)/10,0)</f>
        <v>193110</v>
      </c>
      <c r="AP79" s="4">
        <f ca="1">ROUND(T_Tiktok_ads[[#This Row],[video_watch_75]]*RANDBETWEEN(8,12)/10,0)</f>
        <v>181481</v>
      </c>
      <c r="AQ79" s="4">
        <f ca="1">ROUND(T_Tiktok_ads[[#This Row],[video_watch_100]]*RANDBETWEEN(8,12)/10,0)</f>
        <v>79654</v>
      </c>
      <c r="AR79" s="4">
        <f ca="1">ROUND(T_Tiktok_ads[[#This Row],[likes]]*RANDBETWEEN(8,12)/10,0)</f>
        <v>21307</v>
      </c>
      <c r="AS79" s="4">
        <f ca="1">ROUND(T_Tiktok_ads[[#This Row],[shares]]*RANDBETWEEN(8,12)/10,0)</f>
        <v>4010</v>
      </c>
      <c r="AT79" s="4">
        <f ca="1">ROUND(T_Tiktok_ads[[#This Row],[comments]]*RANDBETWEEN(8,12)/10,0)</f>
        <v>1528</v>
      </c>
      <c r="AV79" s="5">
        <f t="shared" ca="1" si="12"/>
        <v>45218</v>
      </c>
      <c r="AW79">
        <f t="shared" ca="1" si="13"/>
        <v>4</v>
      </c>
      <c r="AX79">
        <f ca="1">ROUND(T_Facebook_Ads11596367717579838791[[#This Row],[impressions]]*RANDBETWEEN(8,12)/10,0)</f>
        <v>60110</v>
      </c>
      <c r="AY79">
        <f ca="1">ROUND(T_Facebook_Ads11596367717579838791[[#This Row],[clicks]]*RANDBETWEEN(8,12)/10,0)</f>
        <v>294</v>
      </c>
      <c r="AZ79">
        <f ca="1">T_Facebook_Ads11596367717579838791[[#This Row],[spend]]*RANDBETWEEN(8,12)/10</f>
        <v>84.7</v>
      </c>
      <c r="BA79">
        <f ca="1">ROUND(T_Facebook_Ads11596367717579838791[[#This Row],[conversions]]*RANDBETWEEN(8,12)/10,0)</f>
        <v>5</v>
      </c>
      <c r="BB79">
        <f ca="1">ROUND(T_Facebook_Ads11596367717579838791[[#This Row],[video_views]]*RANDBETWEEN(8,12)/10,0)</f>
        <v>58828</v>
      </c>
    </row>
    <row r="80" spans="1:54" ht="15.75" thickBot="1" x14ac:dyDescent="0.3">
      <c r="A80" s="3">
        <f t="shared" ca="1" si="9"/>
        <v>45219</v>
      </c>
      <c r="B80" s="4" t="s">
        <v>52</v>
      </c>
      <c r="C80" s="4" t="s">
        <v>53</v>
      </c>
      <c r="D80" s="4" t="s">
        <v>54</v>
      </c>
      <c r="E80" s="4" t="s">
        <v>55</v>
      </c>
      <c r="F80" s="4">
        <f ca="1">ROUND(T_Facebook_Ads[[#This Row],[impressions]]*RANDBETWEEN(8,12)/10,0)</f>
        <v>58280</v>
      </c>
      <c r="G80" s="4">
        <v>989</v>
      </c>
      <c r="H80" s="4">
        <f ca="1">T_Facebook_Ads[[#This Row],[spend]]*RANDBETWEEN(8,12)/10</f>
        <v>168.36</v>
      </c>
      <c r="I80" s="4">
        <f ca="1">ROUND(T_Facebook_Ads[[#This Row],[conversions]]*RANDBETWEEN(8,12)/10,0)</f>
        <v>18</v>
      </c>
      <c r="J80" s="4">
        <f ca="1">ROUND(T_Facebook_Ads[[#This Row],[video_views]]*RANDBETWEEN(8,12)/10,0)</f>
        <v>8051</v>
      </c>
      <c r="K80" s="4">
        <f ca="1">T_Facebook_Ads[[#This Row],[engagement_rate]]*RANDBETWEEN(8,12)/10</f>
        <v>1.8360000000000001E-2</v>
      </c>
      <c r="L80" s="4">
        <f ca="1">ROUND(T_Facebook_Ads[[#This Row],[reach]]*RANDBETWEEN(8,12)/10,0)</f>
        <v>44502</v>
      </c>
      <c r="M80" s="4">
        <f ca="1">T_Facebook_Ads[[#This Row],[frequency]]*RANDBETWEEN(8,12)/10</f>
        <v>0.96</v>
      </c>
      <c r="O80" s="3">
        <f t="shared" ca="1" si="10"/>
        <v>45222</v>
      </c>
      <c r="P80" s="4" t="s">
        <v>76</v>
      </c>
      <c r="Q80" s="4" t="s">
        <v>77</v>
      </c>
      <c r="R80" s="4" t="s">
        <v>78</v>
      </c>
      <c r="S80" s="4" t="s">
        <v>79</v>
      </c>
      <c r="T80" s="4">
        <f ca="1">ROUND(_Google_ads[[#This Row],[impressions]]*RANDBETWEEN(8,12)/10,0)</f>
        <v>30814</v>
      </c>
      <c r="U80" s="4">
        <f ca="1">ROUND(_Google_ads[[#This Row],[clicks]]*RANDBETWEEN(8,12)/10,0)</f>
        <v>1627</v>
      </c>
      <c r="V80" s="4">
        <f ca="1">_Google_ads[[#This Row],[cost]]*RANDBETWEEN(8,12)/10</f>
        <v>285.33999999999997</v>
      </c>
      <c r="W80" s="4">
        <f ca="1">ROUND(_Google_ads[[#This Row],[conversions]]*RANDBETWEEN(8,12)/10,0)</f>
        <v>61</v>
      </c>
      <c r="X80" s="4">
        <f ca="1">ROUND(_Google_ads[[#This Row],[conversion_value]]*RANDBETWEEN(8,12)/10,0)</f>
        <v>3060</v>
      </c>
      <c r="Y80" s="4">
        <f ca="1">_Google_ads[[#This Row],[ctr]]*RANDBETWEEN(8,12)/10</f>
        <v>6.336E-2</v>
      </c>
      <c r="Z80" s="4">
        <f ca="1">_Google_ads[[#This Row],[avg_cpc]]*RANDBETWEEN(8,12)/10</f>
        <v>0.20899999999999999</v>
      </c>
      <c r="AA80" s="4">
        <f ca="1">ROUND(_Google_ads[[#This Row],[quality_score]]*RANDBETWEEN(8,12)/10,0)</f>
        <v>8</v>
      </c>
      <c r="AB80" s="4">
        <f ca="1">_Google_ads[[#This Row],[search_impression_share]]*RANDBETWEEN(8,12)/10</f>
        <v>1.1040000000000001</v>
      </c>
      <c r="AD80" s="3">
        <f t="shared" ca="1" si="11"/>
        <v>45229</v>
      </c>
      <c r="AE80" s="4" t="s">
        <v>100</v>
      </c>
      <c r="AF80" s="4" t="s">
        <v>101</v>
      </c>
      <c r="AG80" s="4" t="s">
        <v>102</v>
      </c>
      <c r="AH80" s="4" t="s">
        <v>103</v>
      </c>
      <c r="AI80" s="4">
        <f ca="1">ROUND(T_Tiktok_ads[[#This Row],[impressions]]*RANDBETWEEN(8,12)/10,0)</f>
        <v>289012</v>
      </c>
      <c r="AJ80" s="4">
        <f ca="1">ROUND(T_Tiktok_ads[[#This Row],[clicks]]*RANDBETWEEN(8,12)/10,0)</f>
        <v>4657</v>
      </c>
      <c r="AK80" s="4">
        <v>556.70000000000005</v>
      </c>
      <c r="AL80" s="4">
        <f ca="1">ROUND(T_Tiktok_ads[[#This Row],[conversions]]*RANDBETWEEN(8,12)/10,0)</f>
        <v>34</v>
      </c>
      <c r="AM80" s="4">
        <f ca="1">ROUND(T_Tiktok_ads[[#This Row],[video_views]]*RANDBETWEEN(8,12)/10,0)</f>
        <v>258024</v>
      </c>
      <c r="AN80" s="4">
        <f ca="1">ROUND(T_Tiktok_ads[[#This Row],[video_watch_25]]*RANDBETWEEN(8,12)/10,0)</f>
        <v>200580</v>
      </c>
      <c r="AO80" s="4">
        <f ca="1">ROUND(T_Tiktok_ads[[#This Row],[video_watch_50]]*RANDBETWEEN(8,12)/10,0)</f>
        <v>103110</v>
      </c>
      <c r="AP80" s="4">
        <f ca="1">ROUND(T_Tiktok_ads[[#This Row],[video_watch_75]]*RANDBETWEEN(8,12)/10,0)</f>
        <v>84957</v>
      </c>
      <c r="AQ80" s="4">
        <f ca="1">ROUND(T_Tiktok_ads[[#This Row],[video_watch_100]]*RANDBETWEEN(8,12)/10,0)</f>
        <v>61481</v>
      </c>
      <c r="AR80" s="4">
        <f ca="1">ROUND(T_Tiktok_ads[[#This Row],[likes]]*RANDBETWEEN(8,12)/10,0)</f>
        <v>9311</v>
      </c>
      <c r="AS80" s="4">
        <f ca="1">ROUND(T_Tiktok_ads[[#This Row],[shares]]*RANDBETWEEN(8,12)/10,0)</f>
        <v>3068</v>
      </c>
      <c r="AT80" s="4">
        <f ca="1">ROUND(T_Tiktok_ads[[#This Row],[comments]]*RANDBETWEEN(8,12)/10,0)</f>
        <v>590</v>
      </c>
      <c r="AV80" s="5">
        <f t="shared" ca="1" si="12"/>
        <v>45219</v>
      </c>
      <c r="AW80">
        <f t="shared" ca="1" si="13"/>
        <v>6</v>
      </c>
      <c r="AX80">
        <f ca="1">ROUND(T_Facebook_Ads11596367717579838791[[#This Row],[impressions]]*RANDBETWEEN(8,12)/10,0)</f>
        <v>58280</v>
      </c>
      <c r="AY80">
        <f ca="1">ROUND(T_Facebook_Ads11596367717579838791[[#This Row],[clicks]]*RANDBETWEEN(8,12)/10,0)</f>
        <v>890</v>
      </c>
      <c r="AZ80">
        <f ca="1">T_Facebook_Ads11596367717579838791[[#This Row],[spend]]*RANDBETWEEN(8,12)/10</f>
        <v>151.52400000000003</v>
      </c>
      <c r="BA80">
        <f ca="1">ROUND(T_Facebook_Ads11596367717579838791[[#This Row],[conversions]]*RANDBETWEEN(8,12)/10,0)</f>
        <v>20</v>
      </c>
      <c r="BB80">
        <f ca="1">ROUND(T_Facebook_Ads11596367717579838791[[#This Row],[video_views]]*RANDBETWEEN(8,12)/10,0)</f>
        <v>8856</v>
      </c>
    </row>
    <row r="81" spans="1:54" ht="15.75" thickBot="1" x14ac:dyDescent="0.3">
      <c r="A81" s="3">
        <f t="shared" ca="1" si="9"/>
        <v>45203</v>
      </c>
      <c r="B81" s="4" t="s">
        <v>56</v>
      </c>
      <c r="C81" s="4" t="s">
        <v>57</v>
      </c>
      <c r="D81" s="4" t="s">
        <v>58</v>
      </c>
      <c r="E81" s="4" t="s">
        <v>59</v>
      </c>
      <c r="F81" s="4">
        <f ca="1">ROUND(T_Facebook_Ads[[#This Row],[impressions]]*RANDBETWEEN(8,12)/10,0)</f>
        <v>15168</v>
      </c>
      <c r="G81" s="4">
        <v>623</v>
      </c>
      <c r="H81" s="4">
        <f ca="1">T_Facebook_Ads[[#This Row],[spend]]*RANDBETWEEN(8,12)/10</f>
        <v>275.76000000000005</v>
      </c>
      <c r="I81" s="4">
        <f ca="1">ROUND(T_Facebook_Ads[[#This Row],[conversions]]*RANDBETWEEN(8,12)/10,0)</f>
        <v>34</v>
      </c>
      <c r="J81" s="4">
        <f ca="1">ROUND(T_Facebook_Ads[[#This Row],[video_views]]*RANDBETWEEN(8,12)/10,0)</f>
        <v>1787</v>
      </c>
      <c r="K81" s="4">
        <f ca="1">T_Facebook_Ads[[#This Row],[engagement_rate]]*RANDBETWEEN(8,12)/10</f>
        <v>4.972E-2</v>
      </c>
      <c r="L81" s="4">
        <f ca="1">ROUND(T_Facebook_Ads[[#This Row],[reach]]*RANDBETWEEN(8,12)/10,0)</f>
        <v>12947</v>
      </c>
      <c r="M81" s="4">
        <f ca="1">T_Facebook_Ads[[#This Row],[frequency]]*RANDBETWEEN(8,12)/10</f>
        <v>1.536</v>
      </c>
      <c r="O81" s="3">
        <f t="shared" ca="1" si="10"/>
        <v>45220</v>
      </c>
      <c r="P81" s="4" t="s">
        <v>80</v>
      </c>
      <c r="Q81" s="4" t="s">
        <v>81</v>
      </c>
      <c r="R81" s="4" t="s">
        <v>82</v>
      </c>
      <c r="S81" s="4" t="s">
        <v>83</v>
      </c>
      <c r="T81" s="4">
        <f ca="1">ROUND(_Google_ads[[#This Row],[impressions]]*RANDBETWEEN(8,12)/10,0)</f>
        <v>45123</v>
      </c>
      <c r="U81" s="4">
        <f ca="1">ROUND(_Google_ads[[#This Row],[clicks]]*RANDBETWEEN(8,12)/10,0)</f>
        <v>821</v>
      </c>
      <c r="V81" s="4">
        <f ca="1">_Google_ads[[#This Row],[cost]]*RANDBETWEEN(8,12)/10</f>
        <v>520.02</v>
      </c>
      <c r="W81" s="4">
        <f ca="1">ROUND(_Google_ads[[#This Row],[conversions]]*RANDBETWEEN(8,12)/10,0)</f>
        <v>29</v>
      </c>
      <c r="X81" s="4">
        <f ca="1">ROUND(_Google_ads[[#This Row],[conversion_value]]*RANDBETWEEN(8,12)/10,0)</f>
        <v>1440</v>
      </c>
      <c r="Y81" s="4">
        <f ca="1">_Google_ads[[#This Row],[ctr]]*RANDBETWEEN(8,12)/10</f>
        <v>2.2219999999999997E-2</v>
      </c>
      <c r="Z81" s="4">
        <f ca="1">_Google_ads[[#This Row],[avg_cpc]]*RANDBETWEEN(8,12)/10</f>
        <v>0.69299999999999995</v>
      </c>
      <c r="AA81" s="4">
        <f ca="1">ROUND(_Google_ads[[#This Row],[quality_score]]*RANDBETWEEN(8,12)/10,0)</f>
        <v>8</v>
      </c>
      <c r="AB81" s="4">
        <f ca="1">_Google_ads[[#This Row],[search_impression_share]]*RANDBETWEEN(8,12)/10</f>
        <v>0.495</v>
      </c>
      <c r="AD81" s="3">
        <f t="shared" ca="1" si="11"/>
        <v>45210</v>
      </c>
      <c r="AE81" s="4" t="s">
        <v>104</v>
      </c>
      <c r="AF81" s="4" t="s">
        <v>105</v>
      </c>
      <c r="AG81" s="4" t="s">
        <v>106</v>
      </c>
      <c r="AH81" s="4" t="s">
        <v>107</v>
      </c>
      <c r="AI81" s="4">
        <f ca="1">ROUND(T_Tiktok_ads[[#This Row],[impressions]]*RANDBETWEEN(8,12)/10,0)</f>
        <v>188147</v>
      </c>
      <c r="AJ81" s="4">
        <f ca="1">ROUND(T_Tiktok_ads[[#This Row],[clicks]]*RANDBETWEEN(8,12)/10,0)</f>
        <v>2711</v>
      </c>
      <c r="AK81" s="4">
        <v>812.3</v>
      </c>
      <c r="AL81" s="4">
        <f ca="1">ROUND(T_Tiktok_ads[[#This Row],[conversions]]*RANDBETWEEN(8,12)/10,0)</f>
        <v>98</v>
      </c>
      <c r="AM81" s="4">
        <f ca="1">ROUND(T_Tiktok_ads[[#This Row],[video_views]]*RANDBETWEEN(8,12)/10,0)</f>
        <v>131851</v>
      </c>
      <c r="AN81" s="4">
        <f ca="1">ROUND(T_Tiktok_ads[[#This Row],[video_watch_25]]*RANDBETWEEN(8,12)/10,0)</f>
        <v>81234</v>
      </c>
      <c r="AO81" s="4">
        <f ca="1">ROUND(T_Tiktok_ads[[#This Row],[video_watch_50]]*RANDBETWEEN(8,12)/10,0)</f>
        <v>60146</v>
      </c>
      <c r="AP81" s="4">
        <f ca="1">ROUND(T_Tiktok_ads[[#This Row],[video_watch_75]]*RANDBETWEEN(8,12)/10,0)</f>
        <v>37111</v>
      </c>
      <c r="AQ81" s="4">
        <f ca="1">ROUND(T_Tiktok_ads[[#This Row],[video_watch_100]]*RANDBETWEEN(8,12)/10,0)</f>
        <v>33080</v>
      </c>
      <c r="AR81" s="4">
        <f ca="1">ROUND(T_Tiktok_ads[[#This Row],[likes]]*RANDBETWEEN(8,12)/10,0)</f>
        <v>6547</v>
      </c>
      <c r="AS81" s="4">
        <f ca="1">ROUND(T_Tiktok_ads[[#This Row],[shares]]*RANDBETWEEN(8,12)/10,0)</f>
        <v>1724</v>
      </c>
      <c r="AT81" s="4">
        <f ca="1">ROUND(T_Tiktok_ads[[#This Row],[comments]]*RANDBETWEEN(8,12)/10,0)</f>
        <v>318</v>
      </c>
      <c r="AV81" s="5">
        <f t="shared" ca="1" si="12"/>
        <v>45218</v>
      </c>
      <c r="AW81">
        <f t="shared" ca="1" si="13"/>
        <v>3</v>
      </c>
      <c r="AX81">
        <f ca="1">ROUND(T_Facebook_Ads11596367717579838791[[#This Row],[impressions]]*RANDBETWEEN(8,12)/10,0)</f>
        <v>18202</v>
      </c>
      <c r="AY81">
        <f ca="1">ROUND(T_Facebook_Ads11596367717579838791[[#This Row],[clicks]]*RANDBETWEEN(8,12)/10,0)</f>
        <v>561</v>
      </c>
      <c r="AZ81">
        <f ca="1">T_Facebook_Ads11596367717579838791[[#This Row],[spend]]*RANDBETWEEN(8,12)/10</f>
        <v>275.76000000000005</v>
      </c>
      <c r="BA81">
        <f ca="1">ROUND(T_Facebook_Ads11596367717579838791[[#This Row],[conversions]]*RANDBETWEEN(8,12)/10,0)</f>
        <v>34</v>
      </c>
      <c r="BB81">
        <f ca="1">ROUND(T_Facebook_Ads11596367717579838791[[#This Row],[video_views]]*RANDBETWEEN(8,12)/10,0)</f>
        <v>1787</v>
      </c>
    </row>
    <row r="82" spans="1:54" ht="15.75" thickBot="1" x14ac:dyDescent="0.3">
      <c r="A82" s="3">
        <f t="shared" ca="1" si="9"/>
        <v>45206</v>
      </c>
      <c r="B82" s="4" t="s">
        <v>60</v>
      </c>
      <c r="C82" s="4" t="s">
        <v>61</v>
      </c>
      <c r="D82" s="4" t="s">
        <v>62</v>
      </c>
      <c r="E82" s="4" t="s">
        <v>63</v>
      </c>
      <c r="F82" s="4">
        <f ca="1">ROUND(T_Facebook_Ads[[#This Row],[impressions]]*RANDBETWEEN(8,12)/10,0)</f>
        <v>33710</v>
      </c>
      <c r="G82" s="4">
        <v>1389</v>
      </c>
      <c r="H82" s="4">
        <f ca="1">T_Facebook_Ads[[#This Row],[spend]]*RANDBETWEEN(8,12)/10</f>
        <v>170.72</v>
      </c>
      <c r="I82" s="4">
        <f ca="1">ROUND(T_Facebook_Ads[[#This Row],[conversions]]*RANDBETWEEN(8,12)/10,0)</f>
        <v>26</v>
      </c>
      <c r="J82" s="4">
        <f ca="1">ROUND(T_Facebook_Ads[[#This Row],[video_views]]*RANDBETWEEN(8,12)/10,0)</f>
        <v>5868</v>
      </c>
      <c r="K82" s="4">
        <f ca="1">T_Facebook_Ads[[#This Row],[engagement_rate]]*RANDBETWEEN(8,12)/10</f>
        <v>2.9680000000000002E-2</v>
      </c>
      <c r="L82" s="4">
        <f ca="1">ROUND(T_Facebook_Ads[[#This Row],[reach]]*RANDBETWEEN(8,12)/10,0)</f>
        <v>30567</v>
      </c>
      <c r="M82" s="4">
        <f ca="1">T_Facebook_Ads[[#This Row],[frequency]]*RANDBETWEEN(8,12)/10</f>
        <v>1.3420000000000001</v>
      </c>
      <c r="O82" s="3">
        <f t="shared" ca="1" si="10"/>
        <v>45220</v>
      </c>
      <c r="P82" s="4" t="s">
        <v>84</v>
      </c>
      <c r="Q82" s="4" t="s">
        <v>85</v>
      </c>
      <c r="R82" s="4" t="s">
        <v>86</v>
      </c>
      <c r="S82" s="4" t="s">
        <v>87</v>
      </c>
      <c r="T82" s="4">
        <f ca="1">ROUND(_Google_ads[[#This Row],[impressions]]*RANDBETWEEN(8,12)/10,0)</f>
        <v>77257</v>
      </c>
      <c r="U82" s="4">
        <f ca="1">ROUND(_Google_ads[[#This Row],[clicks]]*RANDBETWEEN(8,12)/10,0)</f>
        <v>2867</v>
      </c>
      <c r="V82" s="4">
        <f ca="1">_Google_ads[[#This Row],[cost]]*RANDBETWEEN(8,12)/10</f>
        <v>432.6</v>
      </c>
      <c r="W82" s="4">
        <f ca="1">ROUND(_Google_ads[[#This Row],[conversions]]*RANDBETWEEN(8,12)/10,0)</f>
        <v>69</v>
      </c>
      <c r="X82" s="4">
        <f ca="1">ROUND(_Google_ads[[#This Row],[conversion_value]]*RANDBETWEEN(8,12)/10,0)</f>
        <v>4140</v>
      </c>
      <c r="Y82" s="4">
        <f ca="1">_Google_ads[[#This Row],[ctr]]*RANDBETWEEN(8,12)/10</f>
        <v>2.7200000000000002E-2</v>
      </c>
      <c r="Z82" s="4">
        <f ca="1">_Google_ads[[#This Row],[avg_cpc]]*RANDBETWEEN(8,12)/10</f>
        <v>0.21600000000000003</v>
      </c>
      <c r="AA82" s="4">
        <f ca="1">ROUND(_Google_ads[[#This Row],[quality_score]]*RANDBETWEEN(8,12)/10,0)</f>
        <v>8</v>
      </c>
      <c r="AB82" s="4">
        <f ca="1">_Google_ads[[#This Row],[search_impression_share]]*RANDBETWEEN(8,12)/10</f>
        <v>0.60299999999999998</v>
      </c>
      <c r="AD82" s="3">
        <f t="shared" ca="1" si="11"/>
        <v>45205</v>
      </c>
      <c r="AE82" s="4" t="s">
        <v>108</v>
      </c>
      <c r="AF82" s="4" t="s">
        <v>109</v>
      </c>
      <c r="AG82" s="4" t="s">
        <v>110</v>
      </c>
      <c r="AH82" s="4" t="s">
        <v>111</v>
      </c>
      <c r="AI82" s="4">
        <f ca="1">ROUND(T_Tiktok_ads[[#This Row],[impressions]]*RANDBETWEEN(8,12)/10,0)</f>
        <v>270246</v>
      </c>
      <c r="AJ82" s="4">
        <f ca="1">ROUND(T_Tiktok_ads[[#This Row],[clicks]]*RANDBETWEEN(8,12)/10,0)</f>
        <v>3890</v>
      </c>
      <c r="AK82" s="4">
        <v>467.8</v>
      </c>
      <c r="AL82" s="4">
        <f ca="1">ROUND(T_Tiktok_ads[[#This Row],[conversions]]*RANDBETWEEN(8,12)/10,0)</f>
        <v>27</v>
      </c>
      <c r="AM82" s="4">
        <f ca="1">ROUND(T_Tiktok_ads[[#This Row],[video_views]]*RANDBETWEEN(8,12)/10,0)</f>
        <v>234814</v>
      </c>
      <c r="AN82" s="4">
        <f ca="1">ROUND(T_Tiktok_ads[[#This Row],[video_watch_25]]*RANDBETWEEN(8,12)/10,0)</f>
        <v>133411</v>
      </c>
      <c r="AO82" s="4">
        <f ca="1">ROUND(T_Tiktok_ads[[#This Row],[video_watch_50]]*RANDBETWEEN(8,12)/10,0)</f>
        <v>93787</v>
      </c>
      <c r="AP82" s="4">
        <f ca="1">ROUND(T_Tiktok_ads[[#This Row],[video_watch_75]]*RANDBETWEEN(8,12)/10,0)</f>
        <v>90281</v>
      </c>
      <c r="AQ82" s="4">
        <f ca="1">ROUND(T_Tiktok_ads[[#This Row],[video_watch_100]]*RANDBETWEEN(8,12)/10,0)</f>
        <v>50368</v>
      </c>
      <c r="AR82" s="4">
        <f ca="1">ROUND(T_Tiktok_ads[[#This Row],[likes]]*RANDBETWEEN(8,12)/10,0)</f>
        <v>7710</v>
      </c>
      <c r="AS82" s="4">
        <f ca="1">ROUND(T_Tiktok_ads[[#This Row],[shares]]*RANDBETWEEN(8,12)/10,0)</f>
        <v>2345</v>
      </c>
      <c r="AT82" s="4">
        <f ca="1">ROUND(T_Tiktok_ads[[#This Row],[comments]]*RANDBETWEEN(8,12)/10,0)</f>
        <v>567</v>
      </c>
      <c r="AV82" s="5">
        <f t="shared" ca="1" si="12"/>
        <v>45212</v>
      </c>
      <c r="AW82">
        <f t="shared" ca="1" si="13"/>
        <v>2</v>
      </c>
      <c r="AX82">
        <f ca="1">ROUND(T_Facebook_Ads11596367717579838791[[#This Row],[impressions]]*RANDBETWEEN(8,12)/10,0)</f>
        <v>40452</v>
      </c>
      <c r="AY82">
        <f ca="1">ROUND(T_Facebook_Ads11596367717579838791[[#This Row],[clicks]]*RANDBETWEEN(8,12)/10,0)</f>
        <v>1250</v>
      </c>
      <c r="AZ82">
        <f ca="1">T_Facebook_Ads11596367717579838791[[#This Row],[spend]]*RANDBETWEEN(8,12)/10</f>
        <v>153.648</v>
      </c>
      <c r="BA82">
        <f ca="1">ROUND(T_Facebook_Ads11596367717579838791[[#This Row],[conversions]]*RANDBETWEEN(8,12)/10,0)</f>
        <v>29</v>
      </c>
      <c r="BB82">
        <f ca="1">ROUND(T_Facebook_Ads11596367717579838791[[#This Row],[video_views]]*RANDBETWEEN(8,12)/10,0)</f>
        <v>7042</v>
      </c>
    </row>
    <row r="83" spans="1:54" ht="15.75" thickBot="1" x14ac:dyDescent="0.3">
      <c r="A83" s="3">
        <f t="shared" ca="1" si="9"/>
        <v>45224</v>
      </c>
      <c r="B83" s="4" t="s">
        <v>64</v>
      </c>
      <c r="C83" s="4" t="s">
        <v>65</v>
      </c>
      <c r="D83" s="4" t="s">
        <v>66</v>
      </c>
      <c r="E83" s="4" t="s">
        <v>67</v>
      </c>
      <c r="F83" s="4">
        <f ca="1">ROUND(T_Facebook_Ads[[#This Row],[impressions]]*RANDBETWEEN(8,12)/10,0)</f>
        <v>85481</v>
      </c>
      <c r="G83" s="4">
        <v>256</v>
      </c>
      <c r="H83" s="4">
        <f ca="1">T_Facebook_Ads[[#This Row],[spend]]*RANDBETWEEN(8,12)/10</f>
        <v>108.6</v>
      </c>
      <c r="I83" s="4">
        <f ca="1">ROUND(T_Facebook_Ads[[#This Row],[conversions]]*RANDBETWEEN(8,12)/10,0)</f>
        <v>5</v>
      </c>
      <c r="J83" s="4">
        <f ca="1">ROUND(T_Facebook_Ads[[#This Row],[video_views]]*RANDBETWEEN(8,12)/10,0)</f>
        <v>48123</v>
      </c>
      <c r="K83" s="4">
        <f ca="1">T_Facebook_Ads[[#This Row],[engagement_rate]]*RANDBETWEEN(8,12)/10</f>
        <v>3.2399999999999998E-3</v>
      </c>
      <c r="L83" s="4">
        <f ca="1">ROUND(T_Facebook_Ads[[#This Row],[reach]]*RANDBETWEEN(8,12)/10,0)</f>
        <v>46854</v>
      </c>
      <c r="M83" s="4">
        <f ca="1">T_Facebook_Ads[[#This Row],[frequency]]*RANDBETWEEN(8,12)/10</f>
        <v>1.3420000000000001</v>
      </c>
      <c r="O83" s="3">
        <f t="shared" ca="1" si="10"/>
        <v>45228</v>
      </c>
      <c r="P83" s="4" t="s">
        <v>88</v>
      </c>
      <c r="Q83" s="4" t="s">
        <v>89</v>
      </c>
      <c r="R83" s="4" t="s">
        <v>90</v>
      </c>
      <c r="S83" s="4" t="s">
        <v>59</v>
      </c>
      <c r="T83" s="4">
        <f ca="1">ROUND(_Google_ads[[#This Row],[impressions]]*RANDBETWEEN(8,12)/10,0)</f>
        <v>160147</v>
      </c>
      <c r="U83" s="4">
        <f ca="1">ROUND(_Google_ads[[#This Row],[clicks]]*RANDBETWEEN(8,12)/10,0)</f>
        <v>538</v>
      </c>
      <c r="V83" s="4">
        <f ca="1">_Google_ads[[#This Row],[cost]]*RANDBETWEEN(8,12)/10</f>
        <v>131.19999999999999</v>
      </c>
      <c r="W83" s="4">
        <f ca="1">ROUND(_Google_ads[[#This Row],[conversions]]*RANDBETWEEN(8,12)/10,0)</f>
        <v>15</v>
      </c>
      <c r="X83" s="4">
        <f ca="1">ROUND(_Google_ads[[#This Row],[conversion_value]]*RANDBETWEEN(8,12)/10,0)</f>
        <v>700</v>
      </c>
      <c r="Y83" s="4">
        <f ca="1">_Google_ads[[#This Row],[ctr]]*RANDBETWEEN(8,12)/10</f>
        <v>3.7000000000000006E-3</v>
      </c>
      <c r="Z83" s="4">
        <f ca="1">_Google_ads[[#This Row],[avg_cpc]]*RANDBETWEEN(8,12)/10</f>
        <v>0.27</v>
      </c>
      <c r="AA83" s="4">
        <f ca="1">ROUND(_Google_ads[[#This Row],[quality_score]]*RANDBETWEEN(8,12)/10,0)</f>
        <v>8</v>
      </c>
      <c r="AB83" s="4">
        <f ca="1">_Google_ads[[#This Row],[search_impression_share]]*RANDBETWEEN(8,12)/10</f>
        <v>0.27999999999999997</v>
      </c>
      <c r="AD83" s="3">
        <f t="shared" ca="1" si="11"/>
        <v>45208</v>
      </c>
      <c r="AE83" s="4" t="s">
        <v>112</v>
      </c>
      <c r="AF83" s="4" t="s">
        <v>113</v>
      </c>
      <c r="AG83" s="4" t="s">
        <v>114</v>
      </c>
      <c r="AH83" s="4" t="s">
        <v>115</v>
      </c>
      <c r="AI83" s="4">
        <f ca="1">ROUND(T_Tiktok_ads[[#This Row],[impressions]]*RANDBETWEEN(8,12)/10,0)</f>
        <v>423456</v>
      </c>
      <c r="AJ83" s="4">
        <f ca="1">ROUND(T_Tiktok_ads[[#This Row],[clicks]]*RANDBETWEEN(8,12)/10,0)</f>
        <v>6890</v>
      </c>
      <c r="AK83" s="4">
        <v>1056.8</v>
      </c>
      <c r="AL83" s="4">
        <f ca="1">ROUND(T_Tiktok_ads[[#This Row],[conversions]]*RANDBETWEEN(8,12)/10,0)</f>
        <v>118</v>
      </c>
      <c r="AM83" s="4">
        <f ca="1">ROUND(T_Tiktok_ads[[#This Row],[video_views]]*RANDBETWEEN(8,12)/10,0)</f>
        <v>285431</v>
      </c>
      <c r="AN83" s="4">
        <f ca="1">ROUND(T_Tiktok_ads[[#This Row],[video_watch_25]]*RANDBETWEEN(8,12)/10,0)</f>
        <v>347081</v>
      </c>
      <c r="AO83" s="4">
        <f ca="1">ROUND(T_Tiktok_ads[[#This Row],[video_watch_50]]*RANDBETWEEN(8,12)/10,0)</f>
        <v>254602</v>
      </c>
      <c r="AP83" s="4">
        <f ca="1">ROUND(T_Tiktok_ads[[#This Row],[video_watch_75]]*RANDBETWEEN(8,12)/10,0)</f>
        <v>181024</v>
      </c>
      <c r="AQ83" s="4">
        <f ca="1">ROUND(T_Tiktok_ads[[#This Row],[video_watch_100]]*RANDBETWEEN(8,12)/10,0)</f>
        <v>87387</v>
      </c>
      <c r="AR83" s="4">
        <f ca="1">ROUND(T_Tiktok_ads[[#This Row],[likes]]*RANDBETWEEN(8,12)/10,0)</f>
        <v>22668</v>
      </c>
      <c r="AS83" s="4">
        <f ca="1">ROUND(T_Tiktok_ads[[#This Row],[shares]]*RANDBETWEEN(8,12)/10,0)</f>
        <v>4365</v>
      </c>
      <c r="AT83" s="4">
        <f ca="1">ROUND(T_Tiktok_ads[[#This Row],[comments]]*RANDBETWEEN(8,12)/10,0)</f>
        <v>1489</v>
      </c>
      <c r="AV83" s="5">
        <f t="shared" ca="1" si="12"/>
        <v>45201</v>
      </c>
      <c r="AW83">
        <f t="shared" ca="1" si="13"/>
        <v>5</v>
      </c>
      <c r="AX83">
        <f ca="1">ROUND(T_Facebook_Ads11596367717579838791[[#This Row],[impressions]]*RANDBETWEEN(8,12)/10,0)</f>
        <v>85481</v>
      </c>
      <c r="AY83">
        <f ca="1">ROUND(T_Facebook_Ads11596367717579838791[[#This Row],[clicks]]*RANDBETWEEN(8,12)/10,0)</f>
        <v>230</v>
      </c>
      <c r="AZ83">
        <f ca="1">T_Facebook_Ads11596367717579838791[[#This Row],[spend]]*RANDBETWEEN(8,12)/10</f>
        <v>108.6</v>
      </c>
      <c r="BA83">
        <f ca="1">ROUND(T_Facebook_Ads11596367717579838791[[#This Row],[conversions]]*RANDBETWEEN(8,12)/10,0)</f>
        <v>6</v>
      </c>
      <c r="BB83">
        <f ca="1">ROUND(T_Facebook_Ads11596367717579838791[[#This Row],[video_views]]*RANDBETWEEN(8,12)/10,0)</f>
        <v>48123</v>
      </c>
    </row>
    <row r="84" spans="1:54" ht="15.75" thickBot="1" x14ac:dyDescent="0.3">
      <c r="A84" s="3">
        <f t="shared" ca="1" si="9"/>
        <v>45228</v>
      </c>
      <c r="B84" s="4" t="s">
        <v>52</v>
      </c>
      <c r="C84" s="4" t="s">
        <v>53</v>
      </c>
      <c r="D84" s="4" t="s">
        <v>54</v>
      </c>
      <c r="E84" s="4" t="s">
        <v>55</v>
      </c>
      <c r="F84" s="4">
        <f ca="1">ROUND(T_Facebook_Ads[[#This Row],[impressions]]*RANDBETWEEN(8,12)/10,0)</f>
        <v>46111</v>
      </c>
      <c r="G84" s="4">
        <v>1067</v>
      </c>
      <c r="H84" s="4">
        <f ca="1">T_Facebook_Ads[[#This Row],[spend]]*RANDBETWEEN(8,12)/10</f>
        <v>149.69999999999999</v>
      </c>
      <c r="I84" s="4">
        <f ca="1">ROUND(T_Facebook_Ads[[#This Row],[conversions]]*RANDBETWEEN(8,12)/10,0)</f>
        <v>17</v>
      </c>
      <c r="J84" s="4">
        <f ca="1">ROUND(T_Facebook_Ads[[#This Row],[video_views]]*RANDBETWEEN(8,12)/10,0)</f>
        <v>9234</v>
      </c>
      <c r="K84" s="4">
        <f ca="1">T_Facebook_Ads[[#This Row],[engagement_rate]]*RANDBETWEEN(8,12)/10</f>
        <v>1.6639999999999999E-2</v>
      </c>
      <c r="L84" s="4">
        <f ca="1">ROUND(T_Facebook_Ads[[#This Row],[reach]]*RANDBETWEEN(8,12)/10,0)</f>
        <v>38310</v>
      </c>
      <c r="M84" s="4">
        <f ca="1">T_Facebook_Ads[[#This Row],[frequency]]*RANDBETWEEN(8,12)/10</f>
        <v>1.0799999999999998</v>
      </c>
      <c r="O84" s="3">
        <f t="shared" ca="1" si="10"/>
        <v>45214</v>
      </c>
      <c r="P84" s="4" t="s">
        <v>76</v>
      </c>
      <c r="Q84" s="4" t="s">
        <v>77</v>
      </c>
      <c r="R84" s="4" t="s">
        <v>78</v>
      </c>
      <c r="S84" s="4" t="s">
        <v>79</v>
      </c>
      <c r="T84" s="4">
        <f ca="1">ROUND(_Google_ads[[#This Row],[impressions]]*RANDBETWEEN(8,12)/10,0)</f>
        <v>29835</v>
      </c>
      <c r="U84" s="4">
        <f ca="1">ROUND(_Google_ads[[#This Row],[clicks]]*RANDBETWEEN(8,12)/10,0)</f>
        <v>1291</v>
      </c>
      <c r="V84" s="4">
        <f ca="1">_Google_ads[[#This Row],[cost]]*RANDBETWEEN(8,12)/10</f>
        <v>219.44</v>
      </c>
      <c r="W84" s="4">
        <f ca="1">ROUND(_Google_ads[[#This Row],[conversions]]*RANDBETWEEN(8,12)/10,0)</f>
        <v>50</v>
      </c>
      <c r="X84" s="4">
        <f ca="1">ROUND(_Google_ads[[#This Row],[conversion_value]]*RANDBETWEEN(8,12)/10,0)</f>
        <v>2750</v>
      </c>
      <c r="Y84" s="4">
        <f ca="1">_Google_ads[[#This Row],[ctr]]*RANDBETWEEN(8,12)/10</f>
        <v>5.2900000000000003E-2</v>
      </c>
      <c r="Z84" s="4">
        <f ca="1">_Google_ads[[#This Row],[avg_cpc]]*RANDBETWEEN(8,12)/10</f>
        <v>0.17099999999999999</v>
      </c>
      <c r="AA84" s="4">
        <f ca="1">ROUND(_Google_ads[[#This Row],[quality_score]]*RANDBETWEEN(8,12)/10,0)</f>
        <v>8</v>
      </c>
      <c r="AB84" s="4">
        <f ca="1">_Google_ads[[#This Row],[search_impression_share]]*RANDBETWEEN(8,12)/10</f>
        <v>1.0230000000000001</v>
      </c>
      <c r="AD84" s="3">
        <f t="shared" ca="1" si="11"/>
        <v>45228</v>
      </c>
      <c r="AE84" s="4" t="s">
        <v>100</v>
      </c>
      <c r="AF84" s="4" t="s">
        <v>101</v>
      </c>
      <c r="AG84" s="4" t="s">
        <v>102</v>
      </c>
      <c r="AH84" s="4" t="s">
        <v>103</v>
      </c>
      <c r="AI84" s="4">
        <f ca="1">ROUND(T_Tiktok_ads[[#This Row],[impressions]]*RANDBETWEEN(8,12)/10,0)</f>
        <v>249876</v>
      </c>
      <c r="AJ84" s="4">
        <f ca="1">ROUND(T_Tiktok_ads[[#This Row],[clicks]]*RANDBETWEEN(8,12)/10,0)</f>
        <v>5480</v>
      </c>
      <c r="AK84" s="4">
        <v>623.4</v>
      </c>
      <c r="AL84" s="4">
        <f ca="1">ROUND(T_Tiktok_ads[[#This Row],[conversions]]*RANDBETWEEN(8,12)/10,0)</f>
        <v>43</v>
      </c>
      <c r="AM84" s="4">
        <f ca="1">ROUND(T_Tiktok_ads[[#This Row],[video_views]]*RANDBETWEEN(8,12)/10,0)</f>
        <v>282468</v>
      </c>
      <c r="AN84" s="4">
        <f ca="1">ROUND(T_Tiktok_ads[[#This Row],[video_watch_25]]*RANDBETWEEN(8,12)/10,0)</f>
        <v>180211</v>
      </c>
      <c r="AO84" s="4">
        <f ca="1">ROUND(T_Tiktok_ads[[#This Row],[video_watch_50]]*RANDBETWEEN(8,12)/10,0)</f>
        <v>150814</v>
      </c>
      <c r="AP84" s="4">
        <f ca="1">ROUND(T_Tiktok_ads[[#This Row],[video_watch_75]]*RANDBETWEEN(8,12)/10,0)</f>
        <v>93024</v>
      </c>
      <c r="AQ84" s="4">
        <f ca="1">ROUND(T_Tiktok_ads[[#This Row],[video_watch_100]]*RANDBETWEEN(8,12)/10,0)</f>
        <v>50611</v>
      </c>
      <c r="AR84" s="4">
        <f ca="1">ROUND(T_Tiktok_ads[[#This Row],[likes]]*RANDBETWEEN(8,12)/10,0)</f>
        <v>10111</v>
      </c>
      <c r="AS84" s="4">
        <f ca="1">ROUND(T_Tiktok_ads[[#This Row],[shares]]*RANDBETWEEN(8,12)/10,0)</f>
        <v>3313</v>
      </c>
      <c r="AT84" s="4">
        <f ca="1">ROUND(T_Tiktok_ads[[#This Row],[comments]]*RANDBETWEEN(8,12)/10,0)</f>
        <v>868</v>
      </c>
      <c r="AV84" s="5">
        <f t="shared" ca="1" si="12"/>
        <v>45224</v>
      </c>
      <c r="AW84">
        <f t="shared" ca="1" si="13"/>
        <v>5</v>
      </c>
      <c r="AX84">
        <f ca="1">ROUND(T_Facebook_Ads11596367717579838791[[#This Row],[impressions]]*RANDBETWEEN(8,12)/10,0)</f>
        <v>46111</v>
      </c>
      <c r="AY84">
        <f ca="1">ROUND(T_Facebook_Ads11596367717579838791[[#This Row],[clicks]]*RANDBETWEEN(8,12)/10,0)</f>
        <v>854</v>
      </c>
      <c r="AZ84">
        <f ca="1">T_Facebook_Ads11596367717579838791[[#This Row],[spend]]*RANDBETWEEN(8,12)/10</f>
        <v>149.69999999999999</v>
      </c>
      <c r="BA84">
        <f ca="1">ROUND(T_Facebook_Ads11596367717579838791[[#This Row],[conversions]]*RANDBETWEEN(8,12)/10,0)</f>
        <v>20</v>
      </c>
      <c r="BB84">
        <f ca="1">ROUND(T_Facebook_Ads11596367717579838791[[#This Row],[video_views]]*RANDBETWEEN(8,12)/10,0)</f>
        <v>7387</v>
      </c>
    </row>
    <row r="85" spans="1:54" ht="15.75" thickBot="1" x14ac:dyDescent="0.3">
      <c r="A85" s="3">
        <f t="shared" ca="1" si="9"/>
        <v>45228</v>
      </c>
      <c r="B85" s="4" t="s">
        <v>56</v>
      </c>
      <c r="C85" s="4" t="s">
        <v>57</v>
      </c>
      <c r="D85" s="4" t="s">
        <v>58</v>
      </c>
      <c r="E85" s="4" t="s">
        <v>59</v>
      </c>
      <c r="F85" s="4">
        <f ca="1">ROUND(T_Facebook_Ads[[#This Row],[impressions]]*RANDBETWEEN(8,12)/10,0)</f>
        <v>13401</v>
      </c>
      <c r="G85" s="4">
        <v>712</v>
      </c>
      <c r="H85" s="4">
        <f ca="1">T_Facebook_Ads[[#This Row],[spend]]*RANDBETWEEN(8,12)/10</f>
        <v>301.91999999999996</v>
      </c>
      <c r="I85" s="4">
        <f ca="1">ROUND(T_Facebook_Ads[[#This Row],[conversions]]*RANDBETWEEN(8,12)/10,0)</f>
        <v>34</v>
      </c>
      <c r="J85" s="4">
        <f ca="1">ROUND(T_Facebook_Ads[[#This Row],[video_views]]*RANDBETWEEN(8,12)/10,0)</f>
        <v>1262</v>
      </c>
      <c r="K85" s="4">
        <f ca="1">T_Facebook_Ads[[#This Row],[engagement_rate]]*RANDBETWEEN(8,12)/10</f>
        <v>4.3020000000000003E-2</v>
      </c>
      <c r="L85" s="4">
        <f ca="1">ROUND(T_Facebook_Ads[[#This Row],[reach]]*RANDBETWEEN(8,12)/10,0)</f>
        <v>12969</v>
      </c>
      <c r="M85" s="4">
        <f ca="1">T_Facebook_Ads[[#This Row],[frequency]]*RANDBETWEEN(8,12)/10</f>
        <v>1.512</v>
      </c>
      <c r="O85" s="3">
        <f t="shared" ca="1" si="10"/>
        <v>45213</v>
      </c>
      <c r="P85" s="4" t="s">
        <v>80</v>
      </c>
      <c r="Q85" s="4" t="s">
        <v>81</v>
      </c>
      <c r="R85" s="4" t="s">
        <v>82</v>
      </c>
      <c r="S85" s="4" t="s">
        <v>83</v>
      </c>
      <c r="T85" s="4">
        <f ca="1">ROUND(_Google_ads[[#This Row],[impressions]]*RANDBETWEEN(8,12)/10,0)</f>
        <v>43101</v>
      </c>
      <c r="U85" s="4">
        <f ca="1">ROUND(_Google_ads[[#This Row],[clicks]]*RANDBETWEEN(8,12)/10,0)</f>
        <v>978</v>
      </c>
      <c r="V85" s="4">
        <f ca="1">_Google_ads[[#This Row],[cost]]*RANDBETWEEN(8,12)/10</f>
        <v>490.8</v>
      </c>
      <c r="W85" s="4">
        <f ca="1">ROUND(_Google_ads[[#This Row],[conversions]]*RANDBETWEEN(8,12)/10,0)</f>
        <v>31</v>
      </c>
      <c r="X85" s="4">
        <f ca="1">ROUND(_Google_ads[[#This Row],[conversion_value]]*RANDBETWEEN(8,12)/10,0)</f>
        <v>1170</v>
      </c>
      <c r="Y85" s="4">
        <f ca="1">_Google_ads[[#This Row],[ctr]]*RANDBETWEEN(8,12)/10</f>
        <v>1.8360000000000001E-2</v>
      </c>
      <c r="Z85" s="4">
        <f ca="1">_Google_ads[[#This Row],[avg_cpc]]*RANDBETWEEN(8,12)/10</f>
        <v>0.75600000000000001</v>
      </c>
      <c r="AA85" s="4">
        <f ca="1">ROUND(_Google_ads[[#This Row],[quality_score]]*RANDBETWEEN(8,12)/10,0)</f>
        <v>6</v>
      </c>
      <c r="AB85" s="4">
        <f ca="1">_Google_ads[[#This Row],[search_impression_share]]*RANDBETWEEN(8,12)/10</f>
        <v>0.50600000000000001</v>
      </c>
      <c r="AD85" s="3">
        <f t="shared" ca="1" si="11"/>
        <v>45215</v>
      </c>
      <c r="AE85" s="4" t="s">
        <v>104</v>
      </c>
      <c r="AF85" s="4" t="s">
        <v>105</v>
      </c>
      <c r="AG85" s="4" t="s">
        <v>106</v>
      </c>
      <c r="AH85" s="4" t="s">
        <v>107</v>
      </c>
      <c r="AI85" s="4">
        <f ca="1">ROUND(T_Tiktok_ads[[#This Row],[impressions]]*RANDBETWEEN(8,12)/10,0)</f>
        <v>206814</v>
      </c>
      <c r="AJ85" s="4">
        <f ca="1">ROUND(T_Tiktok_ads[[#This Row],[clicks]]*RANDBETWEEN(8,12)/10,0)</f>
        <v>3011</v>
      </c>
      <c r="AK85" s="4">
        <v>867.9</v>
      </c>
      <c r="AL85" s="4">
        <f ca="1">ROUND(T_Tiktok_ads[[#This Row],[conversions]]*RANDBETWEEN(8,12)/10,0)</f>
        <v>96</v>
      </c>
      <c r="AM85" s="4">
        <f ca="1">ROUND(T_Tiktok_ads[[#This Row],[video_views]]*RANDBETWEEN(8,12)/10,0)</f>
        <v>135802</v>
      </c>
      <c r="AN85" s="4">
        <f ca="1">ROUND(T_Tiktok_ads[[#This Row],[video_watch_25]]*RANDBETWEEN(8,12)/10,0)</f>
        <v>109481</v>
      </c>
      <c r="AO85" s="4">
        <f ca="1">ROUND(T_Tiktok_ads[[#This Row],[video_watch_50]]*RANDBETWEEN(8,12)/10,0)</f>
        <v>67724</v>
      </c>
      <c r="AP85" s="4">
        <f ca="1">ROUND(T_Tiktok_ads[[#This Row],[video_watch_75]]*RANDBETWEEN(8,12)/10,0)</f>
        <v>55481</v>
      </c>
      <c r="AQ85" s="4">
        <f ca="1">ROUND(T_Tiktok_ads[[#This Row],[video_watch_100]]*RANDBETWEEN(8,12)/10,0)</f>
        <v>27710</v>
      </c>
      <c r="AR85" s="4">
        <f ca="1">ROUND(T_Tiktok_ads[[#This Row],[likes]]*RANDBETWEEN(8,12)/10,0)</f>
        <v>6479</v>
      </c>
      <c r="AS85" s="4">
        <f ca="1">ROUND(T_Tiktok_ads[[#This Row],[shares]]*RANDBETWEEN(8,12)/10,0)</f>
        <v>1510</v>
      </c>
      <c r="AT85" s="4">
        <f ca="1">ROUND(T_Tiktok_ads[[#This Row],[comments]]*RANDBETWEEN(8,12)/10,0)</f>
        <v>301</v>
      </c>
      <c r="AV85" s="5">
        <f t="shared" ca="1" si="12"/>
        <v>45200</v>
      </c>
      <c r="AW85">
        <f t="shared" ca="1" si="13"/>
        <v>1</v>
      </c>
      <c r="AX85">
        <f ca="1">ROUND(T_Facebook_Ads11596367717579838791[[#This Row],[impressions]]*RANDBETWEEN(8,12)/10,0)</f>
        <v>16081</v>
      </c>
      <c r="AY85">
        <f ca="1">ROUND(T_Facebook_Ads11596367717579838791[[#This Row],[clicks]]*RANDBETWEEN(8,12)/10,0)</f>
        <v>783</v>
      </c>
      <c r="AZ85">
        <f ca="1">T_Facebook_Ads11596367717579838791[[#This Row],[spend]]*RANDBETWEEN(8,12)/10</f>
        <v>301.91999999999996</v>
      </c>
      <c r="BA85">
        <f ca="1">ROUND(T_Facebook_Ads11596367717579838791[[#This Row],[conversions]]*RANDBETWEEN(8,12)/10,0)</f>
        <v>31</v>
      </c>
      <c r="BB85">
        <f ca="1">ROUND(T_Facebook_Ads11596367717579838791[[#This Row],[video_views]]*RANDBETWEEN(8,12)/10,0)</f>
        <v>1388</v>
      </c>
    </row>
    <row r="86" spans="1:54" ht="15.75" thickBot="1" x14ac:dyDescent="0.3">
      <c r="A86" s="3">
        <f t="shared" ca="1" si="9"/>
        <v>45222</v>
      </c>
      <c r="B86" s="4" t="s">
        <v>60</v>
      </c>
      <c r="C86" s="4" t="s">
        <v>61</v>
      </c>
      <c r="D86" s="4" t="s">
        <v>62</v>
      </c>
      <c r="E86" s="4" t="s">
        <v>63</v>
      </c>
      <c r="F86" s="4">
        <f ca="1">ROUND(T_Facebook_Ads[[#This Row],[impressions]]*RANDBETWEEN(8,12)/10,0)</f>
        <v>39234</v>
      </c>
      <c r="G86" s="4">
        <v>1489</v>
      </c>
      <c r="H86" s="4">
        <f ca="1">T_Facebook_Ads[[#This Row],[spend]]*RANDBETWEEN(8,12)/10</f>
        <v>250.69</v>
      </c>
      <c r="I86" s="4">
        <f ca="1">ROUND(T_Facebook_Ads[[#This Row],[conversions]]*RANDBETWEEN(8,12)/10,0)</f>
        <v>32</v>
      </c>
      <c r="J86" s="4">
        <f ca="1">ROUND(T_Facebook_Ads[[#This Row],[video_views]]*RANDBETWEEN(8,12)/10,0)</f>
        <v>5234</v>
      </c>
      <c r="K86" s="4">
        <f ca="1">T_Facebook_Ads[[#This Row],[engagement_rate]]*RANDBETWEEN(8,12)/10</f>
        <v>3.4110000000000001E-2</v>
      </c>
      <c r="L86" s="4">
        <f ca="1">ROUND(T_Facebook_Ads[[#This Row],[reach]]*RANDBETWEEN(8,12)/10,0)</f>
        <v>25698</v>
      </c>
      <c r="M86" s="4">
        <f ca="1">T_Facebook_Ads[[#This Row],[frequency]]*RANDBETWEEN(8,12)/10</f>
        <v>1.464</v>
      </c>
      <c r="O86" s="3">
        <f t="shared" ca="1" si="10"/>
        <v>45225</v>
      </c>
      <c r="P86" s="4" t="s">
        <v>84</v>
      </c>
      <c r="Q86" s="4" t="s">
        <v>85</v>
      </c>
      <c r="R86" s="4" t="s">
        <v>86</v>
      </c>
      <c r="S86" s="4" t="s">
        <v>87</v>
      </c>
      <c r="T86" s="4">
        <f ca="1">ROUND(_Google_ads[[#This Row],[impressions]]*RANDBETWEEN(8,12)/10,0)</f>
        <v>80802</v>
      </c>
      <c r="U86" s="4">
        <f ca="1">ROUND(_Google_ads[[#This Row],[clicks]]*RANDBETWEEN(8,12)/10,0)</f>
        <v>2251</v>
      </c>
      <c r="V86" s="4">
        <f ca="1">_Google_ads[[#This Row],[cost]]*RANDBETWEEN(8,12)/10</f>
        <v>365.36</v>
      </c>
      <c r="W86" s="4">
        <f ca="1">ROUND(_Google_ads[[#This Row],[conversions]]*RANDBETWEEN(8,12)/10,0)</f>
        <v>88</v>
      </c>
      <c r="X86" s="4">
        <f ca="1">ROUND(_Google_ads[[#This Row],[conversion_value]]*RANDBETWEEN(8,12)/10,0)</f>
        <v>3650</v>
      </c>
      <c r="Y86" s="4">
        <f ca="1">_Google_ads[[#This Row],[ctr]]*RANDBETWEEN(8,12)/10</f>
        <v>2.7200000000000002E-2</v>
      </c>
      <c r="Z86" s="4">
        <f ca="1">_Google_ads[[#This Row],[avg_cpc]]*RANDBETWEEN(8,12)/10</f>
        <v>0.21600000000000003</v>
      </c>
      <c r="AA86" s="4">
        <f ca="1">ROUND(_Google_ads[[#This Row],[quality_score]]*RANDBETWEEN(8,12)/10,0)</f>
        <v>7</v>
      </c>
      <c r="AB86" s="4">
        <f ca="1">_Google_ads[[#This Row],[search_impression_share]]*RANDBETWEEN(8,12)/10</f>
        <v>0.62099999999999989</v>
      </c>
      <c r="AD86" s="3">
        <f t="shared" ca="1" si="11"/>
        <v>45217</v>
      </c>
      <c r="AE86" s="4" t="s">
        <v>108</v>
      </c>
      <c r="AF86" s="4" t="s">
        <v>109</v>
      </c>
      <c r="AG86" s="4" t="s">
        <v>110</v>
      </c>
      <c r="AH86" s="4" t="s">
        <v>111</v>
      </c>
      <c r="AI86" s="4">
        <f ca="1">ROUND(T_Tiktok_ads[[#This Row],[impressions]]*RANDBETWEEN(8,12)/10,0)</f>
        <v>267890</v>
      </c>
      <c r="AJ86" s="4">
        <f ca="1">ROUND(T_Tiktok_ads[[#This Row],[clicks]]*RANDBETWEEN(8,12)/10,0)</f>
        <v>3298</v>
      </c>
      <c r="AK86" s="4">
        <v>512.6</v>
      </c>
      <c r="AL86" s="4">
        <f ca="1">ROUND(T_Tiktok_ads[[#This Row],[conversions]]*RANDBETWEEN(8,12)/10,0)</f>
        <v>30</v>
      </c>
      <c r="AM86" s="4">
        <f ca="1">ROUND(T_Tiktok_ads[[#This Row],[video_views]]*RANDBETWEEN(8,12)/10,0)</f>
        <v>169876</v>
      </c>
      <c r="AN86" s="4">
        <f ca="1">ROUND(T_Tiktok_ads[[#This Row],[video_watch_25]]*RANDBETWEEN(8,12)/10,0)</f>
        <v>160234</v>
      </c>
      <c r="AO86" s="4">
        <f ca="1">ROUND(T_Tiktok_ads[[#This Row],[video_watch_50]]*RANDBETWEEN(8,12)/10,0)</f>
        <v>139468</v>
      </c>
      <c r="AP86" s="4">
        <f ca="1">ROUND(T_Tiktok_ads[[#This Row],[video_watch_75]]*RANDBETWEEN(8,12)/10,0)</f>
        <v>89357</v>
      </c>
      <c r="AQ86" s="4">
        <f ca="1">ROUND(T_Tiktok_ads[[#This Row],[video_watch_100]]*RANDBETWEEN(8,12)/10,0)</f>
        <v>59081</v>
      </c>
      <c r="AR86" s="4">
        <f ca="1">ROUND(T_Tiktok_ads[[#This Row],[likes]]*RANDBETWEEN(8,12)/10,0)</f>
        <v>10948</v>
      </c>
      <c r="AS86" s="4">
        <f ca="1">ROUND(T_Tiktok_ads[[#This Row],[shares]]*RANDBETWEEN(8,12)/10,0)</f>
        <v>2824</v>
      </c>
      <c r="AT86" s="4">
        <f ca="1">ROUND(T_Tiktok_ads[[#This Row],[comments]]*RANDBETWEEN(8,12)/10,0)</f>
        <v>673</v>
      </c>
      <c r="AV86" s="5">
        <f t="shared" ca="1" si="12"/>
        <v>45229</v>
      </c>
      <c r="AW86">
        <f t="shared" ca="1" si="13"/>
        <v>3</v>
      </c>
      <c r="AX86">
        <f ca="1">ROUND(T_Facebook_Ads11596367717579838791[[#This Row],[impressions]]*RANDBETWEEN(8,12)/10,0)</f>
        <v>31387</v>
      </c>
      <c r="AY86">
        <f ca="1">ROUND(T_Facebook_Ads11596367717579838791[[#This Row],[clicks]]*RANDBETWEEN(8,12)/10,0)</f>
        <v>1340</v>
      </c>
      <c r="AZ86">
        <f ca="1">T_Facebook_Ads11596367717579838791[[#This Row],[spend]]*RANDBETWEEN(8,12)/10</f>
        <v>225.62100000000001</v>
      </c>
      <c r="BA86">
        <f ca="1">ROUND(T_Facebook_Ads11596367717579838791[[#This Row],[conversions]]*RANDBETWEEN(8,12)/10,0)</f>
        <v>35</v>
      </c>
      <c r="BB86">
        <f ca="1">ROUND(T_Facebook_Ads11596367717579838791[[#This Row],[video_views]]*RANDBETWEEN(8,12)/10,0)</f>
        <v>4711</v>
      </c>
    </row>
    <row r="87" spans="1:54" ht="15.75" thickBot="1" x14ac:dyDescent="0.3">
      <c r="A87" s="3">
        <f t="shared" ca="1" si="9"/>
        <v>45214</v>
      </c>
      <c r="B87" s="4" t="s">
        <v>64</v>
      </c>
      <c r="C87" s="4" t="s">
        <v>65</v>
      </c>
      <c r="D87" s="4" t="s">
        <v>66</v>
      </c>
      <c r="E87" s="4" t="s">
        <v>67</v>
      </c>
      <c r="F87" s="4">
        <f ca="1">ROUND(T_Facebook_Ads[[#This Row],[impressions]]*RANDBETWEEN(8,12)/10,0)</f>
        <v>82024</v>
      </c>
      <c r="G87" s="4">
        <v>267</v>
      </c>
      <c r="H87" s="4">
        <f ca="1">T_Facebook_Ads[[#This Row],[spend]]*RANDBETWEEN(8,12)/10</f>
        <v>114.96</v>
      </c>
      <c r="I87" s="4">
        <f ca="1">ROUND(T_Facebook_Ads[[#This Row],[conversions]]*RANDBETWEEN(8,12)/10,0)</f>
        <v>7</v>
      </c>
      <c r="J87" s="4">
        <f ca="1">ROUND(T_Facebook_Ads[[#This Row],[video_views]]*RANDBETWEEN(8,12)/10,0)</f>
        <v>55257</v>
      </c>
      <c r="K87" s="4">
        <f ca="1">T_Facebook_Ads[[#This Row],[engagement_rate]]*RANDBETWEEN(8,12)/10</f>
        <v>3.2399999999999998E-3</v>
      </c>
      <c r="L87" s="4">
        <f ca="1">ROUND(T_Facebook_Ads[[#This Row],[reach]]*RANDBETWEEN(8,12)/10,0)</f>
        <v>48631</v>
      </c>
      <c r="M87" s="4">
        <f ca="1">T_Facebook_Ads[[#This Row],[frequency]]*RANDBETWEEN(8,12)/10</f>
        <v>1.353</v>
      </c>
      <c r="O87" s="3">
        <f t="shared" ca="1" si="10"/>
        <v>45228</v>
      </c>
      <c r="P87" s="4" t="s">
        <v>88</v>
      </c>
      <c r="Q87" s="4" t="s">
        <v>89</v>
      </c>
      <c r="R87" s="4" t="s">
        <v>90</v>
      </c>
      <c r="S87" s="4" t="s">
        <v>59</v>
      </c>
      <c r="T87" s="4">
        <f ca="1">ROUND(_Google_ads[[#This Row],[impressions]]*RANDBETWEEN(8,12)/10,0)</f>
        <v>153157</v>
      </c>
      <c r="U87" s="4">
        <f ca="1">ROUND(_Google_ads[[#This Row],[clicks]]*RANDBETWEEN(8,12)/10,0)</f>
        <v>575</v>
      </c>
      <c r="V87" s="4">
        <f ca="1">_Google_ads[[#This Row],[cost]]*RANDBETWEEN(8,12)/10</f>
        <v>136.80000000000001</v>
      </c>
      <c r="W87" s="4">
        <f ca="1">ROUND(_Google_ads[[#This Row],[conversions]]*RANDBETWEEN(8,12)/10,0)</f>
        <v>12</v>
      </c>
      <c r="X87" s="4">
        <f ca="1">ROUND(_Google_ads[[#This Row],[conversion_value]]*RANDBETWEEN(8,12)/10,0)</f>
        <v>675</v>
      </c>
      <c r="Y87" s="4">
        <f ca="1">_Google_ads[[#This Row],[ctr]]*RANDBETWEEN(8,12)/10</f>
        <v>3.0400000000000002E-3</v>
      </c>
      <c r="Z87" s="4">
        <f ca="1">_Google_ads[[#This Row],[avg_cpc]]*RANDBETWEEN(8,12)/10</f>
        <v>0.20800000000000002</v>
      </c>
      <c r="AA87" s="4">
        <f ca="1">ROUND(_Google_ads[[#This Row],[quality_score]]*RANDBETWEEN(8,12)/10,0)</f>
        <v>6</v>
      </c>
      <c r="AB87" s="4">
        <f ca="1">_Google_ads[[#This Row],[search_impression_share]]*RANDBETWEEN(8,12)/10</f>
        <v>0.39600000000000002</v>
      </c>
      <c r="AD87" s="3">
        <f t="shared" ca="1" si="11"/>
        <v>45202</v>
      </c>
      <c r="AE87" s="4" t="s">
        <v>112</v>
      </c>
      <c r="AF87" s="4" t="s">
        <v>113</v>
      </c>
      <c r="AG87" s="4" t="s">
        <v>114</v>
      </c>
      <c r="AH87" s="4" t="s">
        <v>115</v>
      </c>
      <c r="AI87" s="4">
        <f ca="1">ROUND(T_Tiktok_ads[[#This Row],[impressions]]*RANDBETWEEN(8,12)/10,0)</f>
        <v>502468</v>
      </c>
      <c r="AJ87" s="4">
        <f ca="1">ROUND(T_Tiktok_ads[[#This Row],[clicks]]*RANDBETWEEN(8,12)/10,0)</f>
        <v>7456</v>
      </c>
      <c r="AK87" s="4">
        <v>1167.8</v>
      </c>
      <c r="AL87" s="4">
        <f ca="1">ROUND(T_Tiktok_ads[[#This Row],[conversions]]*RANDBETWEEN(8,12)/10,0)</f>
        <v>94</v>
      </c>
      <c r="AM87" s="4">
        <f ca="1">ROUND(T_Tiktok_ads[[#This Row],[video_views]]*RANDBETWEEN(8,12)/10,0)</f>
        <v>427913</v>
      </c>
      <c r="AN87" s="4">
        <f ca="1">ROUND(T_Tiktok_ads[[#This Row],[video_watch_25]]*RANDBETWEEN(8,12)/10,0)</f>
        <v>249876</v>
      </c>
      <c r="AO87" s="4">
        <f ca="1">ROUND(T_Tiktok_ads[[#This Row],[video_watch_50]]*RANDBETWEEN(8,12)/10,0)</f>
        <v>274157</v>
      </c>
      <c r="AP87" s="4">
        <f ca="1">ROUND(T_Tiktok_ads[[#This Row],[video_watch_75]]*RANDBETWEEN(8,12)/10,0)</f>
        <v>160101</v>
      </c>
      <c r="AQ87" s="4">
        <f ca="1">ROUND(T_Tiktok_ads[[#This Row],[video_watch_100]]*RANDBETWEEN(8,12)/10,0)</f>
        <v>141881</v>
      </c>
      <c r="AR87" s="4">
        <f ca="1">ROUND(T_Tiktok_ads[[#This Row],[likes]]*RANDBETWEEN(8,12)/10,0)</f>
        <v>22257</v>
      </c>
      <c r="AS87" s="4">
        <f ca="1">ROUND(T_Tiktok_ads[[#This Row],[shares]]*RANDBETWEEN(8,12)/10,0)</f>
        <v>7094</v>
      </c>
      <c r="AT87" s="4">
        <f ca="1">ROUND(T_Tiktok_ads[[#This Row],[comments]]*RANDBETWEEN(8,12)/10,0)</f>
        <v>1298</v>
      </c>
      <c r="AV87" s="5">
        <f t="shared" ca="1" si="12"/>
        <v>45224</v>
      </c>
      <c r="AW87">
        <f t="shared" ca="1" si="13"/>
        <v>6</v>
      </c>
      <c r="AX87">
        <f ca="1">ROUND(T_Facebook_Ads11596367717579838791[[#This Row],[impressions]]*RANDBETWEEN(8,12)/10,0)</f>
        <v>98429</v>
      </c>
      <c r="AY87">
        <f ca="1">ROUND(T_Facebook_Ads11596367717579838791[[#This Row],[clicks]]*RANDBETWEEN(8,12)/10,0)</f>
        <v>240</v>
      </c>
      <c r="AZ87">
        <f ca="1">T_Facebook_Ads11596367717579838791[[#This Row],[spend]]*RANDBETWEEN(8,12)/10</f>
        <v>126.45599999999999</v>
      </c>
      <c r="BA87">
        <f ca="1">ROUND(T_Facebook_Ads11596367717579838791[[#This Row],[conversions]]*RANDBETWEEN(8,12)/10,0)</f>
        <v>6</v>
      </c>
      <c r="BB87">
        <f ca="1">ROUND(T_Facebook_Ads11596367717579838791[[#This Row],[video_views]]*RANDBETWEEN(8,12)/10,0)</f>
        <v>49731</v>
      </c>
    </row>
    <row r="88" spans="1:54" ht="15.75" thickBot="1" x14ac:dyDescent="0.3">
      <c r="A88" s="3">
        <f t="shared" ca="1" si="9"/>
        <v>45220</v>
      </c>
      <c r="B88" s="4" t="s">
        <v>52</v>
      </c>
      <c r="C88" s="4" t="s">
        <v>53</v>
      </c>
      <c r="D88" s="4" t="s">
        <v>54</v>
      </c>
      <c r="E88" s="4" t="s">
        <v>55</v>
      </c>
      <c r="F88" s="4">
        <f ca="1">ROUND(T_Facebook_Ads[[#This Row],[impressions]]*RANDBETWEEN(8,12)/10,0)</f>
        <v>52789</v>
      </c>
      <c r="G88" s="4">
        <v>1123</v>
      </c>
      <c r="H88" s="4">
        <f ca="1">T_Facebook_Ads[[#This Row],[spend]]*RANDBETWEEN(8,12)/10</f>
        <v>125.12</v>
      </c>
      <c r="I88" s="4">
        <f ca="1">ROUND(T_Facebook_Ads[[#This Row],[conversions]]*RANDBETWEEN(8,12)/10,0)</f>
        <v>22</v>
      </c>
      <c r="J88" s="4">
        <f ca="1">ROUND(T_Facebook_Ads[[#This Row],[video_views]]*RANDBETWEEN(8,12)/10,0)</f>
        <v>10524</v>
      </c>
      <c r="K88" s="4">
        <f ca="1">T_Facebook_Ads[[#This Row],[engagement_rate]]*RANDBETWEEN(8,12)/10</f>
        <v>1.704E-2</v>
      </c>
      <c r="L88" s="4">
        <f ca="1">ROUND(T_Facebook_Ads[[#This Row],[reach]]*RANDBETWEEN(8,12)/10,0)</f>
        <v>52668</v>
      </c>
      <c r="M88" s="4">
        <f ca="1">T_Facebook_Ads[[#This Row],[frequency]]*RANDBETWEEN(8,12)/10</f>
        <v>0.96</v>
      </c>
      <c r="O88" s="3">
        <f t="shared" ca="1" si="10"/>
        <v>45211</v>
      </c>
      <c r="P88" s="4" t="s">
        <v>76</v>
      </c>
      <c r="Q88" s="4" t="s">
        <v>77</v>
      </c>
      <c r="R88" s="4" t="s">
        <v>78</v>
      </c>
      <c r="S88" s="4" t="s">
        <v>79</v>
      </c>
      <c r="T88" s="4">
        <f ca="1">ROUND(_Google_ads[[#This Row],[impressions]]*RANDBETWEEN(8,12)/10,0)</f>
        <v>28234</v>
      </c>
      <c r="U88" s="4">
        <f ca="1">ROUND(_Google_ads[[#This Row],[clicks]]*RANDBETWEEN(8,12)/10,0)</f>
        <v>1814</v>
      </c>
      <c r="V88" s="4">
        <f ca="1">_Google_ads[[#This Row],[cost]]*RANDBETWEEN(8,12)/10</f>
        <v>316.36</v>
      </c>
      <c r="W88" s="4">
        <f ca="1">ROUND(_Google_ads[[#This Row],[conversions]]*RANDBETWEEN(8,12)/10,0)</f>
        <v>46</v>
      </c>
      <c r="X88" s="4">
        <f ca="1">ROUND(_Google_ads[[#This Row],[conversion_value]]*RANDBETWEEN(8,12)/10,0)</f>
        <v>3190</v>
      </c>
      <c r="Y88" s="4">
        <f ca="1">_Google_ads[[#This Row],[ctr]]*RANDBETWEEN(8,12)/10</f>
        <v>4.2799999999999998E-2</v>
      </c>
      <c r="Z88" s="4">
        <f ca="1">_Google_ads[[#This Row],[avg_cpc]]*RANDBETWEEN(8,12)/10</f>
        <v>0.152</v>
      </c>
      <c r="AA88" s="4">
        <f ca="1">ROUND(_Google_ads[[#This Row],[quality_score]]*RANDBETWEEN(8,12)/10,0)</f>
        <v>11</v>
      </c>
      <c r="AB88" s="4">
        <f ca="1">_Google_ads[[#This Row],[search_impression_share]]*RANDBETWEEN(8,12)/10</f>
        <v>1.1279999999999999</v>
      </c>
      <c r="AD88" s="3">
        <f t="shared" ca="1" si="11"/>
        <v>45222</v>
      </c>
      <c r="AE88" s="4" t="s">
        <v>100</v>
      </c>
      <c r="AF88" s="4" t="s">
        <v>101</v>
      </c>
      <c r="AG88" s="4" t="s">
        <v>102</v>
      </c>
      <c r="AH88" s="4" t="s">
        <v>103</v>
      </c>
      <c r="AI88" s="4">
        <f ca="1">ROUND(T_Tiktok_ads[[#This Row],[impressions]]*RANDBETWEEN(8,12)/10,0)</f>
        <v>355802</v>
      </c>
      <c r="AJ88" s="4">
        <f ca="1">ROUND(T_Tiktok_ads[[#This Row],[clicks]]*RANDBETWEEN(8,12)/10,0)</f>
        <v>4789</v>
      </c>
      <c r="AK88" s="4">
        <v>645.70000000000005</v>
      </c>
      <c r="AL88" s="4">
        <f ca="1">ROUND(T_Tiktok_ads[[#This Row],[conversions]]*RANDBETWEEN(8,12)/10,0)</f>
        <v>60</v>
      </c>
      <c r="AM88" s="4">
        <f ca="1">ROUND(T_Tiktok_ads[[#This Row],[video_views]]*RANDBETWEEN(8,12)/10,0)</f>
        <v>267890</v>
      </c>
      <c r="AN88" s="4">
        <f ca="1">ROUND(T_Tiktok_ads[[#This Row],[video_watch_25]]*RANDBETWEEN(8,12)/10,0)</f>
        <v>188011</v>
      </c>
      <c r="AO88" s="4">
        <f ca="1">ROUND(T_Tiktok_ads[[#This Row],[video_watch_50]]*RANDBETWEEN(8,12)/10,0)</f>
        <v>104987</v>
      </c>
      <c r="AP88" s="4">
        <f ca="1">ROUND(T_Tiktok_ads[[#This Row],[video_watch_75]]*RANDBETWEEN(8,12)/10,0)</f>
        <v>97057</v>
      </c>
      <c r="AQ88" s="4">
        <f ca="1">ROUND(T_Tiktok_ads[[#This Row],[video_watch_100]]*RANDBETWEEN(8,12)/10,0)</f>
        <v>58901</v>
      </c>
      <c r="AR88" s="4">
        <f ca="1">ROUND(T_Tiktok_ads[[#This Row],[likes]]*RANDBETWEEN(8,12)/10,0)</f>
        <v>11567</v>
      </c>
      <c r="AS88" s="4">
        <f ca="1">ROUND(T_Tiktok_ads[[#This Row],[shares]]*RANDBETWEEN(8,12)/10,0)</f>
        <v>3447</v>
      </c>
      <c r="AT88" s="4">
        <f ca="1">ROUND(T_Tiktok_ads[[#This Row],[comments]]*RANDBETWEEN(8,12)/10,0)</f>
        <v>587</v>
      </c>
      <c r="AV88" s="5">
        <f t="shared" ca="1" si="12"/>
        <v>45224</v>
      </c>
      <c r="AW88">
        <f t="shared" ca="1" si="13"/>
        <v>3</v>
      </c>
      <c r="AX88">
        <f ca="1">ROUND(T_Facebook_Ads11596367717579838791[[#This Row],[impressions]]*RANDBETWEEN(8,12)/10,0)</f>
        <v>52789</v>
      </c>
      <c r="AY88">
        <f ca="1">ROUND(T_Facebook_Ads11596367717579838791[[#This Row],[clicks]]*RANDBETWEEN(8,12)/10,0)</f>
        <v>898</v>
      </c>
      <c r="AZ88">
        <f ca="1">T_Facebook_Ads11596367717579838791[[#This Row],[spend]]*RANDBETWEEN(8,12)/10</f>
        <v>125.12</v>
      </c>
      <c r="BA88">
        <f ca="1">ROUND(T_Facebook_Ads11596367717579838791[[#This Row],[conversions]]*RANDBETWEEN(8,12)/10,0)</f>
        <v>20</v>
      </c>
      <c r="BB88">
        <f ca="1">ROUND(T_Facebook_Ads11596367717579838791[[#This Row],[video_views]]*RANDBETWEEN(8,12)/10,0)</f>
        <v>12629</v>
      </c>
    </row>
    <row r="89" spans="1:54" ht="15.75" thickBot="1" x14ac:dyDescent="0.3">
      <c r="A89" s="3">
        <f t="shared" ca="1" si="9"/>
        <v>45220</v>
      </c>
      <c r="B89" s="4" t="s">
        <v>56</v>
      </c>
      <c r="C89" s="4" t="s">
        <v>57</v>
      </c>
      <c r="D89" s="4" t="s">
        <v>58</v>
      </c>
      <c r="E89" s="4" t="s">
        <v>59</v>
      </c>
      <c r="F89" s="4">
        <f ca="1">ROUND(T_Facebook_Ads[[#This Row],[impressions]]*RANDBETWEEN(8,12)/10,0)</f>
        <v>14110</v>
      </c>
      <c r="G89" s="4">
        <v>756</v>
      </c>
      <c r="H89" s="4">
        <f ca="1">T_Facebook_Ads[[#This Row],[spend]]*RANDBETWEEN(8,12)/10</f>
        <v>295.78999999999996</v>
      </c>
      <c r="I89" s="4">
        <f ca="1">ROUND(T_Facebook_Ads[[#This Row],[conversions]]*RANDBETWEEN(8,12)/10,0)</f>
        <v>56</v>
      </c>
      <c r="J89" s="4">
        <f ca="1">ROUND(T_Facebook_Ads[[#This Row],[video_views]]*RANDBETWEEN(8,12)/10,0)</f>
        <v>2014</v>
      </c>
      <c r="K89" s="4">
        <f ca="1">T_Facebook_Ads[[#This Row],[engagement_rate]]*RANDBETWEEN(8,12)/10</f>
        <v>4.3380000000000002E-2</v>
      </c>
      <c r="L89" s="4">
        <f ca="1">ROUND(T_Facebook_Ads[[#This Row],[reach]]*RANDBETWEEN(8,12)/10,0)</f>
        <v>14814</v>
      </c>
      <c r="M89" s="4">
        <f ca="1">T_Facebook_Ads[[#This Row],[frequency]]*RANDBETWEEN(8,12)/10</f>
        <v>1.143</v>
      </c>
      <c r="O89" s="3">
        <f t="shared" ca="1" si="10"/>
        <v>45214</v>
      </c>
      <c r="P89" s="4" t="s">
        <v>80</v>
      </c>
      <c r="Q89" s="4" t="s">
        <v>81</v>
      </c>
      <c r="R89" s="4" t="s">
        <v>82</v>
      </c>
      <c r="S89" s="4" t="s">
        <v>83</v>
      </c>
      <c r="T89" s="4">
        <f ca="1">ROUND(_Google_ads[[#This Row],[impressions]]*RANDBETWEEN(8,12)/10,0)</f>
        <v>54524</v>
      </c>
      <c r="U89" s="4">
        <f ca="1">ROUND(_Google_ads[[#This Row],[clicks]]*RANDBETWEEN(8,12)/10,0)</f>
        <v>1012</v>
      </c>
      <c r="V89" s="4">
        <f ca="1">_Google_ads[[#This Row],[cost]]*RANDBETWEEN(8,12)/10</f>
        <v>697.62000000000012</v>
      </c>
      <c r="W89" s="4">
        <f ca="1">ROUND(_Google_ads[[#This Row],[conversions]]*RANDBETWEEN(8,12)/10,0)</f>
        <v>24</v>
      </c>
      <c r="X89" s="4">
        <f ca="1">ROUND(_Google_ads[[#This Row],[conversion_value]]*RANDBETWEEN(8,12)/10,0)</f>
        <v>1485</v>
      </c>
      <c r="Y89" s="4">
        <f ca="1">_Google_ads[[#This Row],[ctr]]*RANDBETWEEN(8,12)/10</f>
        <v>2.0400000000000001E-2</v>
      </c>
      <c r="Z89" s="4">
        <f ca="1">_Google_ads[[#This Row],[avg_cpc]]*RANDBETWEEN(8,12)/10</f>
        <v>0.75600000000000001</v>
      </c>
      <c r="AA89" s="4">
        <f ca="1">ROUND(_Google_ads[[#This Row],[quality_score]]*RANDBETWEEN(8,12)/10,0)</f>
        <v>6</v>
      </c>
      <c r="AB89" s="4">
        <f ca="1">_Google_ads[[#This Row],[search_impression_share]]*RANDBETWEEN(8,12)/10</f>
        <v>0.51700000000000002</v>
      </c>
      <c r="AD89" s="3">
        <f t="shared" ca="1" si="11"/>
        <v>45219</v>
      </c>
      <c r="AE89" s="4" t="s">
        <v>104</v>
      </c>
      <c r="AF89" s="4" t="s">
        <v>105</v>
      </c>
      <c r="AG89" s="4" t="s">
        <v>106</v>
      </c>
      <c r="AH89" s="4" t="s">
        <v>107</v>
      </c>
      <c r="AI89" s="4">
        <f ca="1">ROUND(T_Tiktok_ads[[#This Row],[impressions]]*RANDBETWEEN(8,12)/10,0)</f>
        <v>143121</v>
      </c>
      <c r="AJ89" s="4">
        <f ca="1">ROUND(T_Tiktok_ads[[#This Row],[clicks]]*RANDBETWEEN(8,12)/10,0)</f>
        <v>3802</v>
      </c>
      <c r="AK89" s="4">
        <v>889.5</v>
      </c>
      <c r="AL89" s="4">
        <f ca="1">ROUND(T_Tiktok_ads[[#This Row],[conversions]]*RANDBETWEEN(8,12)/10,0)</f>
        <v>80</v>
      </c>
      <c r="AM89" s="4">
        <f ca="1">ROUND(T_Tiktok_ads[[#This Row],[video_views]]*RANDBETWEEN(8,12)/10,0)</f>
        <v>141791</v>
      </c>
      <c r="AN89" s="4">
        <f ca="1">ROUND(T_Tiktok_ads[[#This Row],[video_watch_25]]*RANDBETWEEN(8,12)/10,0)</f>
        <v>76542</v>
      </c>
      <c r="AO89" s="4">
        <f ca="1">ROUND(T_Tiktok_ads[[#This Row],[video_watch_50]]*RANDBETWEEN(8,12)/10,0)</f>
        <v>71024</v>
      </c>
      <c r="AP89" s="4">
        <f ca="1">ROUND(T_Tiktok_ads[[#This Row],[video_watch_75]]*RANDBETWEEN(8,12)/10,0)</f>
        <v>38854</v>
      </c>
      <c r="AQ89" s="4">
        <f ca="1">ROUND(T_Tiktok_ads[[#This Row],[video_watch_100]]*RANDBETWEEN(8,12)/10,0)</f>
        <v>29111</v>
      </c>
      <c r="AR89" s="4">
        <f ca="1">ROUND(T_Tiktok_ads[[#This Row],[likes]]*RANDBETWEEN(8,12)/10,0)</f>
        <v>6123</v>
      </c>
      <c r="AS89" s="4">
        <f ca="1">ROUND(T_Tiktok_ads[[#This Row],[shares]]*RANDBETWEEN(8,12)/10,0)</f>
        <v>2081</v>
      </c>
      <c r="AT89" s="4">
        <f ca="1">ROUND(T_Tiktok_ads[[#This Row],[comments]]*RANDBETWEEN(8,12)/10,0)</f>
        <v>414</v>
      </c>
      <c r="AV89" s="5">
        <f t="shared" ca="1" si="12"/>
        <v>45200</v>
      </c>
      <c r="AW89">
        <f t="shared" ca="1" si="13"/>
        <v>7</v>
      </c>
      <c r="AX89">
        <f ca="1">ROUND(T_Facebook_Ads11596367717579838791[[#This Row],[impressions]]*RANDBETWEEN(8,12)/10,0)</f>
        <v>16932</v>
      </c>
      <c r="AY89">
        <f ca="1">ROUND(T_Facebook_Ads11596367717579838791[[#This Row],[clicks]]*RANDBETWEEN(8,12)/10,0)</f>
        <v>832</v>
      </c>
      <c r="AZ89">
        <f ca="1">T_Facebook_Ads11596367717579838791[[#This Row],[spend]]*RANDBETWEEN(8,12)/10</f>
        <v>295.78999999999996</v>
      </c>
      <c r="BA89">
        <f ca="1">ROUND(T_Facebook_Ads11596367717579838791[[#This Row],[conversions]]*RANDBETWEEN(8,12)/10,0)</f>
        <v>56</v>
      </c>
      <c r="BB89">
        <f ca="1">ROUND(T_Facebook_Ads11596367717579838791[[#This Row],[video_views]]*RANDBETWEEN(8,12)/10,0)</f>
        <v>2417</v>
      </c>
    </row>
    <row r="90" spans="1:54" ht="15.75" thickBot="1" x14ac:dyDescent="0.3">
      <c r="A90" s="3">
        <f t="shared" ca="1" si="9"/>
        <v>45222</v>
      </c>
      <c r="B90" s="4" t="s">
        <v>60</v>
      </c>
      <c r="C90" s="4" t="s">
        <v>61</v>
      </c>
      <c r="D90" s="4" t="s">
        <v>62</v>
      </c>
      <c r="E90" s="4" t="s">
        <v>63</v>
      </c>
      <c r="F90" s="4">
        <f ca="1">ROUND(T_Facebook_Ads[[#This Row],[impressions]]*RANDBETWEEN(8,12)/10,0)</f>
        <v>36510</v>
      </c>
      <c r="G90" s="4">
        <v>1567</v>
      </c>
      <c r="H90" s="4">
        <f ca="1">T_Facebook_Ads[[#This Row],[spend]]*RANDBETWEEN(8,12)/10</f>
        <v>262.45999999999998</v>
      </c>
      <c r="I90" s="4">
        <f ca="1">ROUND(T_Facebook_Ads[[#This Row],[conversions]]*RANDBETWEEN(8,12)/10,0)</f>
        <v>31</v>
      </c>
      <c r="J90" s="4">
        <f ca="1">ROUND(T_Facebook_Ads[[#This Row],[video_views]]*RANDBETWEEN(8,12)/10,0)</f>
        <v>4365</v>
      </c>
      <c r="K90" s="4">
        <f ca="1">T_Facebook_Ads[[#This Row],[engagement_rate]]*RANDBETWEEN(8,12)/10</f>
        <v>4.6320000000000007E-2</v>
      </c>
      <c r="L90" s="4">
        <f ca="1">ROUND(T_Facebook_Ads[[#This Row],[reach]]*RANDBETWEEN(8,12)/10,0)</f>
        <v>29911</v>
      </c>
      <c r="M90" s="4">
        <f ca="1">T_Facebook_Ads[[#This Row],[frequency]]*RANDBETWEEN(8,12)/10</f>
        <v>1.464</v>
      </c>
      <c r="O90" s="3">
        <f t="shared" ca="1" si="10"/>
        <v>45205</v>
      </c>
      <c r="P90" s="4" t="s">
        <v>84</v>
      </c>
      <c r="Q90" s="4" t="s">
        <v>85</v>
      </c>
      <c r="R90" s="4" t="s">
        <v>86</v>
      </c>
      <c r="S90" s="4" t="s">
        <v>87</v>
      </c>
      <c r="T90" s="4">
        <f ca="1">ROUND(_Google_ads[[#This Row],[impressions]]*RANDBETWEEN(8,12)/10,0)</f>
        <v>60187</v>
      </c>
      <c r="U90" s="4">
        <f ca="1">ROUND(_Google_ads[[#This Row],[clicks]]*RANDBETWEEN(8,12)/10,0)</f>
        <v>2824</v>
      </c>
      <c r="V90" s="4">
        <f ca="1">_Google_ads[[#This Row],[cost]]*RANDBETWEEN(8,12)/10</f>
        <v>374.24</v>
      </c>
      <c r="W90" s="4">
        <f ca="1">ROUND(_Google_ads[[#This Row],[conversions]]*RANDBETWEEN(8,12)/10,0)</f>
        <v>83</v>
      </c>
      <c r="X90" s="4">
        <f ca="1">ROUND(_Google_ads[[#This Row],[conversion_value]]*RANDBETWEEN(8,12)/10,0)</f>
        <v>3000</v>
      </c>
      <c r="Y90" s="4">
        <f ca="1">_Google_ads[[#This Row],[ctr]]*RANDBETWEEN(8,12)/10</f>
        <v>4.0919999999999998E-2</v>
      </c>
      <c r="Z90" s="4">
        <f ca="1">_Google_ads[[#This Row],[avg_cpc]]*RANDBETWEEN(8,12)/10</f>
        <v>0.21600000000000003</v>
      </c>
      <c r="AA90" s="4">
        <f ca="1">ROUND(_Google_ads[[#This Row],[quality_score]]*RANDBETWEEN(8,12)/10,0)</f>
        <v>7</v>
      </c>
      <c r="AB90" s="4">
        <f ca="1">_Google_ads[[#This Row],[search_impression_share]]*RANDBETWEEN(8,12)/10</f>
        <v>0.83999999999999986</v>
      </c>
      <c r="AD90" s="3">
        <f t="shared" ca="1" si="11"/>
        <v>45216</v>
      </c>
      <c r="AE90" s="4" t="s">
        <v>108</v>
      </c>
      <c r="AF90" s="4" t="s">
        <v>109</v>
      </c>
      <c r="AG90" s="4" t="s">
        <v>110</v>
      </c>
      <c r="AH90" s="4" t="s">
        <v>111</v>
      </c>
      <c r="AI90" s="4">
        <f ca="1">ROUND(T_Tiktok_ads[[#This Row],[impressions]]*RANDBETWEEN(8,12)/10,0)</f>
        <v>306791</v>
      </c>
      <c r="AJ90" s="4">
        <f ca="1">ROUND(T_Tiktok_ads[[#This Row],[clicks]]*RANDBETWEEN(8,12)/10,0)</f>
        <v>3387</v>
      </c>
      <c r="AK90" s="4">
        <v>534.20000000000005</v>
      </c>
      <c r="AL90" s="4">
        <f ca="1">ROUND(T_Tiktok_ads[[#This Row],[conversions]]*RANDBETWEEN(8,12)/10,0)</f>
        <v>39</v>
      </c>
      <c r="AM90" s="4">
        <f ca="1">ROUND(T_Tiktok_ads[[#This Row],[video_views]]*RANDBETWEEN(8,12)/10,0)</f>
        <v>268147</v>
      </c>
      <c r="AN90" s="4">
        <f ca="1">ROUND(T_Tiktok_ads[[#This Row],[video_watch_25]]*RANDBETWEEN(8,12)/10,0)</f>
        <v>135121</v>
      </c>
      <c r="AO90" s="4">
        <f ca="1">ROUND(T_Tiktok_ads[[#This Row],[video_watch_50]]*RANDBETWEEN(8,12)/10,0)</f>
        <v>120110</v>
      </c>
      <c r="AP90" s="4">
        <f ca="1">ROUND(T_Tiktok_ads[[#This Row],[video_watch_75]]*RANDBETWEEN(8,12)/10,0)</f>
        <v>102814</v>
      </c>
      <c r="AQ90" s="4">
        <f ca="1">ROUND(T_Tiktok_ads[[#This Row],[video_watch_100]]*RANDBETWEEN(8,12)/10,0)</f>
        <v>41431</v>
      </c>
      <c r="AR90" s="4">
        <f ca="1">ROUND(T_Tiktok_ads[[#This Row],[likes]]*RANDBETWEEN(8,12)/10,0)</f>
        <v>10402</v>
      </c>
      <c r="AS90" s="4">
        <f ca="1">ROUND(T_Tiktok_ads[[#This Row],[shares]]*RANDBETWEEN(8,12)/10,0)</f>
        <v>2897</v>
      </c>
      <c r="AT90" s="4">
        <f ca="1">ROUND(T_Tiktok_ads[[#This Row],[comments]]*RANDBETWEEN(8,12)/10,0)</f>
        <v>685</v>
      </c>
      <c r="AV90" s="5">
        <f t="shared" ca="1" si="12"/>
        <v>45209</v>
      </c>
      <c r="AW90">
        <f t="shared" ca="1" si="13"/>
        <v>7</v>
      </c>
      <c r="AX90">
        <f ca="1">ROUND(T_Facebook_Ads11596367717579838791[[#This Row],[impressions]]*RANDBETWEEN(8,12)/10,0)</f>
        <v>43812</v>
      </c>
      <c r="AY90">
        <f ca="1">ROUND(T_Facebook_Ads11596367717579838791[[#This Row],[clicks]]*RANDBETWEEN(8,12)/10,0)</f>
        <v>1567</v>
      </c>
      <c r="AZ90">
        <f ca="1">T_Facebook_Ads11596367717579838791[[#This Row],[spend]]*RANDBETWEEN(8,12)/10</f>
        <v>236.214</v>
      </c>
      <c r="BA90">
        <f ca="1">ROUND(T_Facebook_Ads11596367717579838791[[#This Row],[conversions]]*RANDBETWEEN(8,12)/10,0)</f>
        <v>37</v>
      </c>
      <c r="BB90">
        <f ca="1">ROUND(T_Facebook_Ads11596367717579838791[[#This Row],[video_views]]*RANDBETWEEN(8,12)/10,0)</f>
        <v>3492</v>
      </c>
    </row>
    <row r="91" spans="1:54" ht="15.75" thickBot="1" x14ac:dyDescent="0.3">
      <c r="A91" s="3">
        <f t="shared" ca="1" si="9"/>
        <v>45226</v>
      </c>
      <c r="B91" s="4" t="s">
        <v>64</v>
      </c>
      <c r="C91" s="4" t="s">
        <v>65</v>
      </c>
      <c r="D91" s="4" t="s">
        <v>66</v>
      </c>
      <c r="E91" s="4" t="s">
        <v>67</v>
      </c>
      <c r="F91" s="4">
        <f ca="1">ROUND(T_Facebook_Ads[[#This Row],[impressions]]*RANDBETWEEN(8,12)/10,0)</f>
        <v>61512</v>
      </c>
      <c r="G91" s="4">
        <v>278</v>
      </c>
      <c r="H91" s="4">
        <f ca="1">T_Facebook_Ads[[#This Row],[spend]]*RANDBETWEEN(8,12)/10</f>
        <v>89.28</v>
      </c>
      <c r="I91" s="4">
        <f ca="1">ROUND(T_Facebook_Ads[[#This Row],[conversions]]*RANDBETWEEN(8,12)/10,0)</f>
        <v>7</v>
      </c>
      <c r="J91" s="4">
        <f ca="1">ROUND(T_Facebook_Ads[[#This Row],[video_views]]*RANDBETWEEN(8,12)/10,0)</f>
        <v>41254</v>
      </c>
      <c r="K91" s="4">
        <f ca="1">T_Facebook_Ads[[#This Row],[engagement_rate]]*RANDBETWEEN(8,12)/10</f>
        <v>4.3200000000000001E-3</v>
      </c>
      <c r="L91" s="4">
        <f ca="1">ROUND(T_Facebook_Ads[[#This Row],[reach]]*RANDBETWEEN(8,12)/10,0)</f>
        <v>69179</v>
      </c>
      <c r="M91" s="4">
        <f ca="1">T_Facebook_Ads[[#This Row],[frequency]]*RANDBETWEEN(8,12)/10</f>
        <v>1.353</v>
      </c>
      <c r="O91" s="3">
        <f t="shared" ca="1" si="10"/>
        <v>45212</v>
      </c>
      <c r="P91" s="4" t="s">
        <v>88</v>
      </c>
      <c r="Q91" s="4" t="s">
        <v>89</v>
      </c>
      <c r="R91" s="4" t="s">
        <v>90</v>
      </c>
      <c r="S91" s="4" t="s">
        <v>59</v>
      </c>
      <c r="T91" s="4">
        <f ca="1">ROUND(_Google_ads[[#This Row],[impressions]]*RANDBETWEEN(8,12)/10,0)</f>
        <v>142345</v>
      </c>
      <c r="U91" s="4">
        <f ca="1">ROUND(_Google_ads[[#This Row],[clicks]]*RANDBETWEEN(8,12)/10,0)</f>
        <v>545</v>
      </c>
      <c r="V91" s="4">
        <f ca="1">_Google_ads[[#This Row],[cost]]*RANDBETWEEN(8,12)/10</f>
        <v>153.89000000000001</v>
      </c>
      <c r="W91" s="4">
        <f ca="1">ROUND(_Google_ads[[#This Row],[conversions]]*RANDBETWEEN(8,12)/10,0)</f>
        <v>14</v>
      </c>
      <c r="X91" s="4">
        <f ca="1">ROUND(_Google_ads[[#This Row],[conversion_value]]*RANDBETWEEN(8,12)/10,0)</f>
        <v>960</v>
      </c>
      <c r="Y91" s="4">
        <f ca="1">_Google_ads[[#This Row],[ctr]]*RANDBETWEEN(8,12)/10</f>
        <v>3.8E-3</v>
      </c>
      <c r="Z91" s="4">
        <f ca="1">_Google_ads[[#This Row],[avg_cpc]]*RANDBETWEEN(8,12)/10</f>
        <v>0.28600000000000003</v>
      </c>
      <c r="AA91" s="4">
        <f ca="1">ROUND(_Google_ads[[#This Row],[quality_score]]*RANDBETWEEN(8,12)/10,0)</f>
        <v>6</v>
      </c>
      <c r="AB91" s="4">
        <f ca="1">_Google_ads[[#This Row],[search_impression_share]]*RANDBETWEEN(8,12)/10</f>
        <v>0.33300000000000002</v>
      </c>
      <c r="AD91" s="3">
        <f t="shared" ca="1" si="11"/>
        <v>45214</v>
      </c>
      <c r="AE91" s="4" t="s">
        <v>112</v>
      </c>
      <c r="AF91" s="4" t="s">
        <v>113</v>
      </c>
      <c r="AG91" s="4" t="s">
        <v>114</v>
      </c>
      <c r="AH91" s="4" t="s">
        <v>115</v>
      </c>
      <c r="AI91" s="4">
        <f ca="1">ROUND(T_Tiktok_ads[[#This Row],[impressions]]*RANDBETWEEN(8,12)/10,0)</f>
        <v>561468</v>
      </c>
      <c r="AJ91" s="4">
        <f ca="1">ROUND(T_Tiktok_ads[[#This Row],[clicks]]*RANDBETWEEN(8,12)/10,0)</f>
        <v>6861</v>
      </c>
      <c r="AK91" s="4">
        <v>1189.4000000000001</v>
      </c>
      <c r="AL91" s="4">
        <f ca="1">ROUND(T_Tiktok_ads[[#This Row],[conversions]]*RANDBETWEEN(8,12)/10,0)</f>
        <v>144</v>
      </c>
      <c r="AM91" s="4">
        <f ca="1">ROUND(T_Tiktok_ads[[#This Row],[video_views]]*RANDBETWEEN(8,12)/10,0)</f>
        <v>441357</v>
      </c>
      <c r="AN91" s="4">
        <f ca="1">ROUND(T_Tiktok_ads[[#This Row],[video_watch_25]]*RANDBETWEEN(8,12)/10,0)</f>
        <v>323456</v>
      </c>
      <c r="AO91" s="4">
        <f ca="1">ROUND(T_Tiktok_ads[[#This Row],[video_watch_50]]*RANDBETWEEN(8,12)/10,0)</f>
        <v>207121</v>
      </c>
      <c r="AP91" s="4">
        <f ca="1">ROUND(T_Tiktok_ads[[#This Row],[video_watch_75]]*RANDBETWEEN(8,12)/10,0)</f>
        <v>203024</v>
      </c>
      <c r="AQ91" s="4">
        <f ca="1">ROUND(T_Tiktok_ads[[#This Row],[video_watch_100]]*RANDBETWEEN(8,12)/10,0)</f>
        <v>110111</v>
      </c>
      <c r="AR91" s="4">
        <f ca="1">ROUND(T_Tiktok_ads[[#This Row],[likes]]*RANDBETWEEN(8,12)/10,0)</f>
        <v>16631</v>
      </c>
      <c r="AS91" s="4">
        <f ca="1">ROUND(T_Tiktok_ads[[#This Row],[shares]]*RANDBETWEEN(8,12)/10,0)</f>
        <v>6637</v>
      </c>
      <c r="AT91" s="4">
        <f ca="1">ROUND(T_Tiktok_ads[[#This Row],[comments]]*RANDBETWEEN(8,12)/10,0)</f>
        <v>1342</v>
      </c>
      <c r="AV91" s="5">
        <f t="shared" ca="1" si="12"/>
        <v>45208</v>
      </c>
      <c r="AW91">
        <f t="shared" ca="1" si="13"/>
        <v>5</v>
      </c>
      <c r="AX91">
        <f ca="1">ROUND(T_Facebook_Ads11596367717579838791[[#This Row],[impressions]]*RANDBETWEEN(8,12)/10,0)</f>
        <v>61512</v>
      </c>
      <c r="AY91">
        <f ca="1">ROUND(T_Facebook_Ads11596367717579838791[[#This Row],[clicks]]*RANDBETWEEN(8,12)/10,0)</f>
        <v>334</v>
      </c>
      <c r="AZ91">
        <f ca="1">T_Facebook_Ads11596367717579838791[[#This Row],[spend]]*RANDBETWEEN(8,12)/10</f>
        <v>98.207999999999998</v>
      </c>
      <c r="BA91">
        <f ca="1">ROUND(T_Facebook_Ads11596367717579838791[[#This Row],[conversions]]*RANDBETWEEN(8,12)/10,0)</f>
        <v>7</v>
      </c>
      <c r="BB91">
        <f ca="1">ROUND(T_Facebook_Ads11596367717579838791[[#This Row],[video_views]]*RANDBETWEEN(8,12)/10,0)</f>
        <v>37129</v>
      </c>
    </row>
    <row r="92" spans="1:54" ht="15.75" thickBot="1" x14ac:dyDescent="0.3">
      <c r="A92" s="3">
        <f t="shared" ca="1" si="9"/>
        <v>45216</v>
      </c>
      <c r="B92" s="4" t="s">
        <v>52</v>
      </c>
      <c r="C92" s="4" t="s">
        <v>53</v>
      </c>
      <c r="D92" s="4" t="s">
        <v>54</v>
      </c>
      <c r="E92" s="4" t="s">
        <v>55</v>
      </c>
      <c r="F92" s="4">
        <f ca="1">ROUND(T_Facebook_Ads[[#This Row],[impressions]]*RANDBETWEEN(8,12)/10,0)</f>
        <v>60148</v>
      </c>
      <c r="G92" s="4">
        <v>1034</v>
      </c>
      <c r="H92" s="4">
        <f ca="1">T_Facebook_Ads[[#This Row],[spend]]*RANDBETWEEN(8,12)/10</f>
        <v>177</v>
      </c>
      <c r="I92" s="4">
        <f ca="1">ROUND(T_Facebook_Ads[[#This Row],[conversions]]*RANDBETWEEN(8,12)/10,0)</f>
        <v>19</v>
      </c>
      <c r="J92" s="4">
        <f ca="1">ROUND(T_Facebook_Ads[[#This Row],[video_views]]*RANDBETWEEN(8,12)/10,0)</f>
        <v>8211</v>
      </c>
      <c r="K92" s="4">
        <f ca="1">T_Facebook_Ads[[#This Row],[engagement_rate]]*RANDBETWEEN(8,12)/10</f>
        <v>2.06E-2</v>
      </c>
      <c r="L92" s="4">
        <f ca="1">ROUND(T_Facebook_Ads[[#This Row],[reach]]*RANDBETWEEN(8,12)/10,0)</f>
        <v>41890</v>
      </c>
      <c r="M92" s="4">
        <f ca="1">T_Facebook_Ads[[#This Row],[frequency]]*RANDBETWEEN(8,12)/10</f>
        <v>0.96</v>
      </c>
      <c r="O92" s="3">
        <f t="shared" ca="1" si="10"/>
        <v>45200</v>
      </c>
      <c r="P92" s="4" t="s">
        <v>76</v>
      </c>
      <c r="Q92" s="4" t="s">
        <v>77</v>
      </c>
      <c r="R92" s="4" t="s">
        <v>78</v>
      </c>
      <c r="S92" s="4" t="s">
        <v>79</v>
      </c>
      <c r="T92" s="4">
        <f ca="1">ROUND(_Google_ads[[#This Row],[impressions]]*RANDBETWEEN(8,12)/10,0)</f>
        <v>26789</v>
      </c>
      <c r="U92" s="4">
        <f ca="1">ROUND(_Google_ads[[#This Row],[clicks]]*RANDBETWEEN(8,12)/10,0)</f>
        <v>1102</v>
      </c>
      <c r="V92" s="4">
        <f ca="1">_Google_ads[[#This Row],[cost]]*RANDBETWEEN(8,12)/10</f>
        <v>289.73999999999995</v>
      </c>
      <c r="W92" s="4">
        <f ca="1">ROUND(_Google_ads[[#This Row],[conversions]]*RANDBETWEEN(8,12)/10,0)</f>
        <v>58</v>
      </c>
      <c r="X92" s="4">
        <f ca="1">ROUND(_Google_ads[[#This Row],[conversion_value]]*RANDBETWEEN(8,12)/10,0)</f>
        <v>2385</v>
      </c>
      <c r="Y92" s="4">
        <f ca="1">_Google_ads[[#This Row],[ctr]]*RANDBETWEEN(8,12)/10</f>
        <v>6.1800000000000001E-2</v>
      </c>
      <c r="Z92" s="4">
        <f ca="1">_Google_ads[[#This Row],[avg_cpc]]*RANDBETWEEN(8,12)/10</f>
        <v>0.20899999999999999</v>
      </c>
      <c r="AA92" s="4">
        <f ca="1">ROUND(_Google_ads[[#This Row],[quality_score]]*RANDBETWEEN(8,12)/10,0)</f>
        <v>7</v>
      </c>
      <c r="AB92" s="4">
        <f ca="1">_Google_ads[[#This Row],[search_impression_share]]*RANDBETWEEN(8,12)/10</f>
        <v>0.82800000000000007</v>
      </c>
      <c r="AD92" s="3">
        <f t="shared" ca="1" si="11"/>
        <v>45222</v>
      </c>
      <c r="AE92" s="4" t="s">
        <v>100</v>
      </c>
      <c r="AF92" s="4" t="s">
        <v>101</v>
      </c>
      <c r="AG92" s="4" t="s">
        <v>102</v>
      </c>
      <c r="AH92" s="4" t="s">
        <v>103</v>
      </c>
      <c r="AI92" s="4">
        <f ca="1">ROUND(T_Tiktok_ads[[#This Row],[impressions]]*RANDBETWEEN(8,12)/10,0)</f>
        <v>361481</v>
      </c>
      <c r="AJ92" s="4">
        <f ca="1">ROUND(T_Tiktok_ads[[#This Row],[clicks]]*RANDBETWEEN(8,12)/10,0)</f>
        <v>3565</v>
      </c>
      <c r="AK92" s="4">
        <v>589.9</v>
      </c>
      <c r="AL92" s="4">
        <f ca="1">ROUND(T_Tiktok_ads[[#This Row],[conversions]]*RANDBETWEEN(8,12)/10,0)</f>
        <v>37</v>
      </c>
      <c r="AM92" s="4">
        <f ca="1">ROUND(T_Tiktok_ads[[#This Row],[video_views]]*RANDBETWEEN(8,12)/10,0)</f>
        <v>221110</v>
      </c>
      <c r="AN92" s="4">
        <f ca="1">ROUND(T_Tiktok_ads[[#This Row],[video_watch_25]]*RANDBETWEEN(8,12)/10,0)</f>
        <v>229481</v>
      </c>
      <c r="AO92" s="4">
        <f ca="1">ROUND(T_Tiktok_ads[[#This Row],[video_watch_50]]*RANDBETWEEN(8,12)/10,0)</f>
        <v>143081</v>
      </c>
      <c r="AP92" s="4">
        <f ca="1">ROUND(T_Tiktok_ads[[#This Row],[video_watch_75]]*RANDBETWEEN(8,12)/10,0)</f>
        <v>72211</v>
      </c>
      <c r="AQ92" s="4">
        <f ca="1">ROUND(T_Tiktok_ads[[#This Row],[video_watch_100]]*RANDBETWEEN(8,12)/10,0)</f>
        <v>53456</v>
      </c>
      <c r="AR92" s="4">
        <f ca="1">ROUND(T_Tiktok_ads[[#This Row],[likes]]*RANDBETWEEN(8,12)/10,0)</f>
        <v>10789</v>
      </c>
      <c r="AS92" s="4">
        <f ca="1">ROUND(T_Tiktok_ads[[#This Row],[shares]]*RANDBETWEEN(8,12)/10,0)</f>
        <v>2611</v>
      </c>
      <c r="AT92" s="4">
        <f ca="1">ROUND(T_Tiktok_ads[[#This Row],[comments]]*RANDBETWEEN(8,12)/10,0)</f>
        <v>758</v>
      </c>
      <c r="AV92" s="5">
        <f t="shared" ca="1" si="12"/>
        <v>45207</v>
      </c>
      <c r="AW92">
        <f t="shared" ca="1" si="13"/>
        <v>8</v>
      </c>
      <c r="AX92">
        <f ca="1">ROUND(T_Facebook_Ads11596367717579838791[[#This Row],[impressions]]*RANDBETWEEN(8,12)/10,0)</f>
        <v>48118</v>
      </c>
      <c r="AY92">
        <f ca="1">ROUND(T_Facebook_Ads11596367717579838791[[#This Row],[clicks]]*RANDBETWEEN(8,12)/10,0)</f>
        <v>827</v>
      </c>
      <c r="AZ92">
        <f ca="1">T_Facebook_Ads11596367717579838791[[#This Row],[spend]]*RANDBETWEEN(8,12)/10</f>
        <v>141.6</v>
      </c>
      <c r="BA92">
        <f ca="1">ROUND(T_Facebook_Ads11596367717579838791[[#This Row],[conversions]]*RANDBETWEEN(8,12)/10,0)</f>
        <v>23</v>
      </c>
      <c r="BB92">
        <f ca="1">ROUND(T_Facebook_Ads11596367717579838791[[#This Row],[video_views]]*RANDBETWEEN(8,12)/10,0)</f>
        <v>9032</v>
      </c>
    </row>
    <row r="93" spans="1:54" ht="15.75" thickBot="1" x14ac:dyDescent="0.3">
      <c r="A93" s="3">
        <f t="shared" ca="1" si="9"/>
        <v>45223</v>
      </c>
      <c r="B93" s="4" t="s">
        <v>56</v>
      </c>
      <c r="C93" s="4" t="s">
        <v>57</v>
      </c>
      <c r="D93" s="4" t="s">
        <v>58</v>
      </c>
      <c r="E93" s="4" t="s">
        <v>59</v>
      </c>
      <c r="F93" s="4">
        <f ca="1">ROUND(T_Facebook_Ads[[#This Row],[impressions]]*RANDBETWEEN(8,12)/10,0)</f>
        <v>17081</v>
      </c>
      <c r="G93" s="4">
        <v>689</v>
      </c>
      <c r="H93" s="4">
        <f ca="1">T_Facebook_Ads[[#This Row],[spend]]*RANDBETWEEN(8,12)/10</f>
        <v>229.22999999999996</v>
      </c>
      <c r="I93" s="4">
        <f ca="1">ROUND(T_Facebook_Ads[[#This Row],[conversions]]*RANDBETWEEN(8,12)/10,0)</f>
        <v>35</v>
      </c>
      <c r="J93" s="4">
        <f ca="1">ROUND(T_Facebook_Ads[[#This Row],[video_views]]*RANDBETWEEN(8,12)/10,0)</f>
        <v>1456</v>
      </c>
      <c r="K93" s="4">
        <f ca="1">T_Facebook_Ads[[#This Row],[engagement_rate]]*RANDBETWEEN(8,12)/10</f>
        <v>4.3560000000000001E-2</v>
      </c>
      <c r="L93" s="4">
        <f ca="1">ROUND(T_Facebook_Ads[[#This Row],[reach]]*RANDBETWEEN(8,12)/10,0)</f>
        <v>12357</v>
      </c>
      <c r="M93" s="4">
        <f ca="1">T_Facebook_Ads[[#This Row],[frequency]]*RANDBETWEEN(8,12)/10</f>
        <v>1.016</v>
      </c>
      <c r="O93" s="3">
        <f t="shared" ca="1" si="10"/>
        <v>45200</v>
      </c>
      <c r="P93" s="4" t="s">
        <v>80</v>
      </c>
      <c r="Q93" s="4" t="s">
        <v>81</v>
      </c>
      <c r="R93" s="4" t="s">
        <v>82</v>
      </c>
      <c r="S93" s="4" t="s">
        <v>83</v>
      </c>
      <c r="T93" s="4">
        <f ca="1">ROUND(_Google_ads[[#This Row],[impressions]]*RANDBETWEEN(8,12)/10,0)</f>
        <v>37787</v>
      </c>
      <c r="U93" s="4">
        <f ca="1">ROUND(_Google_ads[[#This Row],[clicks]]*RANDBETWEEN(8,12)/10,0)</f>
        <v>1040</v>
      </c>
      <c r="V93" s="4">
        <f ca="1">_Google_ads[[#This Row],[cost]]*RANDBETWEEN(8,12)/10</f>
        <v>545.04000000000008</v>
      </c>
      <c r="W93" s="4">
        <f ca="1">ROUND(_Google_ads[[#This Row],[conversions]]*RANDBETWEEN(8,12)/10,0)</f>
        <v>20</v>
      </c>
      <c r="X93" s="4">
        <f ca="1">ROUND(_Google_ads[[#This Row],[conversion_value]]*RANDBETWEEN(8,12)/10,0)</f>
        <v>1375</v>
      </c>
      <c r="Y93" s="4">
        <f ca="1">_Google_ads[[#This Row],[ctr]]*RANDBETWEEN(8,12)/10</f>
        <v>0.02</v>
      </c>
      <c r="Z93" s="4">
        <f ca="1">_Google_ads[[#This Row],[avg_cpc]]*RANDBETWEEN(8,12)/10</f>
        <v>0.51200000000000001</v>
      </c>
      <c r="AA93" s="4">
        <f ca="1">ROUND(_Google_ads[[#This Row],[quality_score]]*RANDBETWEEN(8,12)/10,0)</f>
        <v>8</v>
      </c>
      <c r="AB93" s="4">
        <f ca="1">_Google_ads[[#This Row],[search_impression_share]]*RANDBETWEEN(8,12)/10</f>
        <v>0.46000000000000008</v>
      </c>
      <c r="AD93" s="3">
        <f t="shared" ca="1" si="11"/>
        <v>45226</v>
      </c>
      <c r="AE93" s="4" t="s">
        <v>104</v>
      </c>
      <c r="AF93" s="4" t="s">
        <v>105</v>
      </c>
      <c r="AG93" s="4" t="s">
        <v>106</v>
      </c>
      <c r="AH93" s="4" t="s">
        <v>107</v>
      </c>
      <c r="AI93" s="4">
        <f ca="1">ROUND(T_Tiktok_ads[[#This Row],[impressions]]*RANDBETWEEN(8,12)/10,0)</f>
        <v>201468</v>
      </c>
      <c r="AJ93" s="4">
        <f ca="1">ROUND(T_Tiktok_ads[[#This Row],[clicks]]*RANDBETWEEN(8,12)/10,0)</f>
        <v>2911</v>
      </c>
      <c r="AK93" s="4">
        <v>845.6</v>
      </c>
      <c r="AL93" s="4">
        <f ca="1">ROUND(T_Tiktok_ads[[#This Row],[conversions]]*RANDBETWEEN(8,12)/10,0)</f>
        <v>77</v>
      </c>
      <c r="AM93" s="4">
        <f ca="1">ROUND(T_Tiktok_ads[[#This Row],[video_views]]*RANDBETWEEN(8,12)/10,0)</f>
        <v>117890</v>
      </c>
      <c r="AN93" s="4">
        <f ca="1">ROUND(T_Tiktok_ads[[#This Row],[video_watch_25]]*RANDBETWEEN(8,12)/10,0)</f>
        <v>87234</v>
      </c>
      <c r="AO93" s="4">
        <f ca="1">ROUND(T_Tiktok_ads[[#This Row],[video_watch_50]]*RANDBETWEEN(8,12)/10,0)</f>
        <v>70681</v>
      </c>
      <c r="AP93" s="4">
        <f ca="1">ROUND(T_Tiktok_ads[[#This Row],[video_watch_75]]*RANDBETWEEN(8,12)/10,0)</f>
        <v>53081</v>
      </c>
      <c r="AQ93" s="4">
        <f ca="1">ROUND(T_Tiktok_ads[[#This Row],[video_watch_100]]*RANDBETWEEN(8,12)/10,0)</f>
        <v>35480</v>
      </c>
      <c r="AR93" s="4">
        <f ca="1">ROUND(T_Tiktok_ads[[#This Row],[likes]]*RANDBETWEEN(8,12)/10,0)</f>
        <v>4542</v>
      </c>
      <c r="AS93" s="4">
        <f ca="1">ROUND(T_Tiktok_ads[[#This Row],[shares]]*RANDBETWEEN(8,12)/10,0)</f>
        <v>1634</v>
      </c>
      <c r="AT93" s="4">
        <f ca="1">ROUND(T_Tiktok_ads[[#This Row],[comments]]*RANDBETWEEN(8,12)/10,0)</f>
        <v>374</v>
      </c>
      <c r="AV93" s="5">
        <f t="shared" ca="1" si="12"/>
        <v>45202</v>
      </c>
      <c r="AW93">
        <f t="shared" ca="1" si="13"/>
        <v>8</v>
      </c>
      <c r="AX93">
        <f ca="1">ROUND(T_Facebook_Ads11596367717579838791[[#This Row],[impressions]]*RANDBETWEEN(8,12)/10,0)</f>
        <v>13665</v>
      </c>
      <c r="AY93">
        <f ca="1">ROUND(T_Facebook_Ads11596367717579838791[[#This Row],[clicks]]*RANDBETWEEN(8,12)/10,0)</f>
        <v>827</v>
      </c>
      <c r="AZ93">
        <f ca="1">T_Facebook_Ads11596367717579838791[[#This Row],[spend]]*RANDBETWEEN(8,12)/10</f>
        <v>252.15299999999996</v>
      </c>
      <c r="BA93">
        <f ca="1">ROUND(T_Facebook_Ads11596367717579838791[[#This Row],[conversions]]*RANDBETWEEN(8,12)/10,0)</f>
        <v>39</v>
      </c>
      <c r="BB93">
        <f ca="1">ROUND(T_Facebook_Ads11596367717579838791[[#This Row],[video_views]]*RANDBETWEEN(8,12)/10,0)</f>
        <v>1165</v>
      </c>
    </row>
    <row r="94" spans="1:54" ht="15.75" thickBot="1" x14ac:dyDescent="0.3">
      <c r="A94" s="3">
        <f t="shared" ca="1" si="9"/>
        <v>45200</v>
      </c>
      <c r="B94" s="4" t="s">
        <v>60</v>
      </c>
      <c r="C94" s="4" t="s">
        <v>61</v>
      </c>
      <c r="D94" s="4" t="s">
        <v>62</v>
      </c>
      <c r="E94" s="4" t="s">
        <v>63</v>
      </c>
      <c r="F94" s="4">
        <f ca="1">ROUND(T_Facebook_Ads[[#This Row],[impressions]]*RANDBETWEEN(8,12)/10,0)</f>
        <v>42779</v>
      </c>
      <c r="G94" s="4">
        <v>1445</v>
      </c>
      <c r="H94" s="4">
        <f ca="1">T_Facebook_Ads[[#This Row],[spend]]*RANDBETWEEN(8,12)/10</f>
        <v>208.07999999999998</v>
      </c>
      <c r="I94" s="4">
        <f ca="1">ROUND(T_Facebook_Ads[[#This Row],[conversions]]*RANDBETWEEN(8,12)/10,0)</f>
        <v>29</v>
      </c>
      <c r="J94" s="4">
        <f ca="1">ROUND(T_Facebook_Ads[[#This Row],[video_views]]*RANDBETWEEN(8,12)/10,0)</f>
        <v>5635</v>
      </c>
      <c r="K94" s="4">
        <f ca="1">T_Facebook_Ads[[#This Row],[engagement_rate]]*RANDBETWEEN(8,12)/10</f>
        <v>4.4639999999999999E-2</v>
      </c>
      <c r="L94" s="4">
        <f ca="1">ROUND(T_Facebook_Ads[[#This Row],[reach]]*RANDBETWEEN(8,12)/10,0)</f>
        <v>34724</v>
      </c>
      <c r="M94" s="4">
        <f ca="1">T_Facebook_Ads[[#This Row],[frequency]]*RANDBETWEEN(8,12)/10</f>
        <v>0.98399999999999999</v>
      </c>
      <c r="O94" s="3">
        <f t="shared" ca="1" si="10"/>
        <v>45208</v>
      </c>
      <c r="P94" s="4" t="s">
        <v>84</v>
      </c>
      <c r="Q94" s="4" t="s">
        <v>85</v>
      </c>
      <c r="R94" s="4" t="s">
        <v>86</v>
      </c>
      <c r="S94" s="4" t="s">
        <v>87</v>
      </c>
      <c r="T94" s="4">
        <f ca="1">ROUND(_Google_ads[[#This Row],[impressions]]*RANDBETWEEN(8,12)/10,0)</f>
        <v>72890</v>
      </c>
      <c r="U94" s="4">
        <f ca="1">ROUND(_Google_ads[[#This Row],[clicks]]*RANDBETWEEN(8,12)/10,0)</f>
        <v>2191</v>
      </c>
      <c r="V94" s="4">
        <f ca="1">_Google_ads[[#This Row],[cost]]*RANDBETWEEN(8,12)/10</f>
        <v>360.15999999999997</v>
      </c>
      <c r="W94" s="4">
        <f ca="1">ROUND(_Google_ads[[#This Row],[conversions]]*RANDBETWEEN(8,12)/10,0)</f>
        <v>64</v>
      </c>
      <c r="X94" s="4">
        <f ca="1">ROUND(_Google_ads[[#This Row],[conversion_value]]*RANDBETWEEN(8,12)/10,0)</f>
        <v>3195</v>
      </c>
      <c r="Y94" s="4">
        <f ca="1">_Google_ads[[#This Row],[ctr]]*RANDBETWEEN(8,12)/10</f>
        <v>2.6720000000000001E-2</v>
      </c>
      <c r="Z94" s="4">
        <f ca="1">_Google_ads[[#This Row],[avg_cpc]]*RANDBETWEEN(8,12)/10</f>
        <v>0.19800000000000001</v>
      </c>
      <c r="AA94" s="4">
        <f ca="1">ROUND(_Google_ads[[#This Row],[quality_score]]*RANDBETWEEN(8,12)/10,0)</f>
        <v>7</v>
      </c>
      <c r="AB94" s="4">
        <f ca="1">_Google_ads[[#This Row],[search_impression_share]]*RANDBETWEEN(8,12)/10</f>
        <v>0.82799999999999996</v>
      </c>
      <c r="AD94" s="3">
        <f t="shared" ca="1" si="11"/>
        <v>45227</v>
      </c>
      <c r="AE94" s="4" t="s">
        <v>108</v>
      </c>
      <c r="AF94" s="4" t="s">
        <v>109</v>
      </c>
      <c r="AG94" s="4" t="s">
        <v>110</v>
      </c>
      <c r="AH94" s="4" t="s">
        <v>111</v>
      </c>
      <c r="AI94" s="4">
        <f ca="1">ROUND(T_Tiktok_ads[[#This Row],[impressions]]*RANDBETWEEN(8,12)/10,0)</f>
        <v>256789</v>
      </c>
      <c r="AJ94" s="4">
        <f ca="1">ROUND(T_Tiktok_ads[[#This Row],[clicks]]*RANDBETWEEN(8,12)/10,0)</f>
        <v>3611</v>
      </c>
      <c r="AK94" s="4">
        <v>489.2</v>
      </c>
      <c r="AL94" s="4">
        <f ca="1">ROUND(T_Tiktok_ads[[#This Row],[conversions]]*RANDBETWEEN(8,12)/10,0)</f>
        <v>40</v>
      </c>
      <c r="AM94" s="4">
        <f ca="1">ROUND(T_Tiktok_ads[[#This Row],[video_views]]*RANDBETWEEN(8,12)/10,0)</f>
        <v>221357</v>
      </c>
      <c r="AN94" s="4">
        <f ca="1">ROUND(T_Tiktok_ads[[#This Row],[video_watch_25]]*RANDBETWEEN(8,12)/10,0)</f>
        <v>182814</v>
      </c>
      <c r="AO94" s="4">
        <f ca="1">ROUND(T_Tiktok_ads[[#This Row],[video_watch_50]]*RANDBETWEEN(8,12)/10,0)</f>
        <v>120456</v>
      </c>
      <c r="AP94" s="4">
        <f ca="1">ROUND(T_Tiktok_ads[[#This Row],[video_watch_75]]*RANDBETWEEN(8,12)/10,0)</f>
        <v>77890</v>
      </c>
      <c r="AQ94" s="4">
        <f ca="1">ROUND(T_Tiktok_ads[[#This Row],[video_watch_100]]*RANDBETWEEN(8,12)/10,0)</f>
        <v>37787</v>
      </c>
      <c r="AR94" s="4">
        <f ca="1">ROUND(T_Tiktok_ads[[#This Row],[likes]]*RANDBETWEEN(8,12)/10,0)</f>
        <v>10681</v>
      </c>
      <c r="AS94" s="4">
        <f ca="1">ROUND(T_Tiktok_ads[[#This Row],[shares]]*RANDBETWEEN(8,12)/10,0)</f>
        <v>1965</v>
      </c>
      <c r="AT94" s="4">
        <f ca="1">ROUND(T_Tiktok_ads[[#This Row],[comments]]*RANDBETWEEN(8,12)/10,0)</f>
        <v>707</v>
      </c>
      <c r="AV94" s="5">
        <f t="shared" ca="1" si="12"/>
        <v>45207</v>
      </c>
      <c r="AW94">
        <f t="shared" ca="1" si="13"/>
        <v>2</v>
      </c>
      <c r="AX94">
        <f ca="1">ROUND(T_Facebook_Ads11596367717579838791[[#This Row],[impressions]]*RANDBETWEEN(8,12)/10,0)</f>
        <v>47057</v>
      </c>
      <c r="AY94">
        <f ca="1">ROUND(T_Facebook_Ads11596367717579838791[[#This Row],[clicks]]*RANDBETWEEN(8,12)/10,0)</f>
        <v>1734</v>
      </c>
      <c r="AZ94">
        <f ca="1">T_Facebook_Ads11596367717579838791[[#This Row],[spend]]*RANDBETWEEN(8,12)/10</f>
        <v>249.696</v>
      </c>
      <c r="BA94">
        <f ca="1">ROUND(T_Facebook_Ads11596367717579838791[[#This Row],[conversions]]*RANDBETWEEN(8,12)/10,0)</f>
        <v>23</v>
      </c>
      <c r="BB94">
        <f ca="1">ROUND(T_Facebook_Ads11596367717579838791[[#This Row],[video_views]]*RANDBETWEEN(8,12)/10,0)</f>
        <v>5635</v>
      </c>
    </row>
    <row r="95" spans="1:54" ht="15.75" thickBot="1" x14ac:dyDescent="0.3">
      <c r="A95" s="3">
        <f t="shared" ca="1" si="9"/>
        <v>45218</v>
      </c>
      <c r="B95" s="4" t="s">
        <v>64</v>
      </c>
      <c r="C95" s="4" t="s">
        <v>65</v>
      </c>
      <c r="D95" s="4" t="s">
        <v>66</v>
      </c>
      <c r="E95" s="4" t="s">
        <v>67</v>
      </c>
      <c r="F95" s="4">
        <f ca="1">ROUND(T_Facebook_Ads[[#This Row],[impressions]]*RANDBETWEEN(8,12)/10,0)</f>
        <v>58765</v>
      </c>
      <c r="G95" s="4">
        <v>261</v>
      </c>
      <c r="H95" s="4">
        <f ca="1">T_Facebook_Ads[[#This Row],[spend]]*RANDBETWEEN(8,12)/10</f>
        <v>104.05999999999999</v>
      </c>
      <c r="I95" s="4">
        <f ca="1">ROUND(T_Facebook_Ads[[#This Row],[conversions]]*RANDBETWEEN(8,12)/10,0)</f>
        <v>7</v>
      </c>
      <c r="J95" s="4">
        <f ca="1">ROUND(T_Facebook_Ads[[#This Row],[video_views]]*RANDBETWEEN(8,12)/10,0)</f>
        <v>44311</v>
      </c>
      <c r="K95" s="4">
        <f ca="1">T_Facebook_Ads[[#This Row],[engagement_rate]]*RANDBETWEEN(8,12)/10</f>
        <v>3.5999999999999999E-3</v>
      </c>
      <c r="L95" s="4">
        <f ca="1">ROUND(T_Facebook_Ads[[#This Row],[reach]]*RANDBETWEEN(8,12)/10,0)</f>
        <v>53610</v>
      </c>
      <c r="M95" s="4">
        <f ca="1">T_Facebook_Ads[[#This Row],[frequency]]*RANDBETWEEN(8,12)/10</f>
        <v>1.476</v>
      </c>
      <c r="O95" s="3">
        <f t="shared" ca="1" si="10"/>
        <v>45225</v>
      </c>
      <c r="P95" s="4" t="s">
        <v>88</v>
      </c>
      <c r="Q95" s="4" t="s">
        <v>89</v>
      </c>
      <c r="R95" s="4" t="s">
        <v>90</v>
      </c>
      <c r="S95" s="4" t="s">
        <v>59</v>
      </c>
      <c r="T95" s="4">
        <f ca="1">ROUND(_Google_ads[[#This Row],[impressions]]*RANDBETWEEN(8,12)/10,0)</f>
        <v>152424</v>
      </c>
      <c r="U95" s="4">
        <f ca="1">ROUND(_Google_ads[[#This Row],[clicks]]*RANDBETWEEN(8,12)/10,0)</f>
        <v>461</v>
      </c>
      <c r="V95" s="4">
        <f ca="1">_Google_ads[[#This Row],[cost]]*RANDBETWEEN(8,12)/10</f>
        <v>136.19999999999999</v>
      </c>
      <c r="W95" s="4">
        <f ca="1">ROUND(_Google_ads[[#This Row],[conversions]]*RANDBETWEEN(8,12)/10,0)</f>
        <v>17</v>
      </c>
      <c r="X95" s="4">
        <f ca="1">ROUND(_Google_ads[[#This Row],[conversion_value]]*RANDBETWEEN(8,12)/10,0)</f>
        <v>825</v>
      </c>
      <c r="Y95" s="4">
        <f ca="1">_Google_ads[[#This Row],[ctr]]*RANDBETWEEN(8,12)/10</f>
        <v>4.0699999999999998E-3</v>
      </c>
      <c r="Z95" s="4">
        <f ca="1">_Google_ads[[#This Row],[avg_cpc]]*RANDBETWEEN(8,12)/10</f>
        <v>0.24300000000000002</v>
      </c>
      <c r="AA95" s="4">
        <f ca="1">ROUND(_Google_ads[[#This Row],[quality_score]]*RANDBETWEEN(8,12)/10,0)</f>
        <v>6</v>
      </c>
      <c r="AB95" s="4">
        <f ca="1">_Google_ads[[#This Row],[search_impression_share]]*RANDBETWEEN(8,12)/10</f>
        <v>0.36</v>
      </c>
      <c r="AD95" s="3">
        <f t="shared" ca="1" si="11"/>
        <v>45204</v>
      </c>
      <c r="AE95" s="4" t="s">
        <v>112</v>
      </c>
      <c r="AF95" s="4" t="s">
        <v>113</v>
      </c>
      <c r="AG95" s="4" t="s">
        <v>114</v>
      </c>
      <c r="AH95" s="4" t="s">
        <v>115</v>
      </c>
      <c r="AI95" s="4">
        <f ca="1">ROUND(T_Tiktok_ads[[#This Row],[impressions]]*RANDBETWEEN(8,12)/10,0)</f>
        <v>534814</v>
      </c>
      <c r="AJ95" s="4">
        <f ca="1">ROUND(T_Tiktok_ads[[#This Row],[clicks]]*RANDBETWEEN(8,12)/10,0)</f>
        <v>7957</v>
      </c>
      <c r="AK95" s="4">
        <v>1123.5</v>
      </c>
      <c r="AL95" s="4">
        <f ca="1">ROUND(T_Tiktok_ads[[#This Row],[conversions]]*RANDBETWEEN(8,12)/10,0)</f>
        <v>90</v>
      </c>
      <c r="AM95" s="4">
        <f ca="1">ROUND(T_Tiktok_ads[[#This Row],[video_views]]*RANDBETWEEN(8,12)/10,0)</f>
        <v>416791</v>
      </c>
      <c r="AN95" s="4">
        <f ca="1">ROUND(T_Tiktok_ads[[#This Row],[video_watch_25]]*RANDBETWEEN(8,12)/10,0)</f>
        <v>274110</v>
      </c>
      <c r="AO95" s="4">
        <f ca="1">ROUND(T_Tiktok_ads[[#This Row],[video_watch_50]]*RANDBETWEEN(8,12)/10,0)</f>
        <v>219110</v>
      </c>
      <c r="AP95" s="4">
        <f ca="1">ROUND(T_Tiktok_ads[[#This Row],[video_watch_75]]*RANDBETWEEN(8,12)/10,0)</f>
        <v>206814</v>
      </c>
      <c r="AQ95" s="4">
        <f ca="1">ROUND(T_Tiktok_ads[[#This Row],[video_watch_100]]*RANDBETWEEN(8,12)/10,0)</f>
        <v>91654</v>
      </c>
      <c r="AR95" s="4">
        <f ca="1">ROUND(T_Tiktok_ads[[#This Row],[likes]]*RANDBETWEEN(8,12)/10,0)</f>
        <v>15654</v>
      </c>
      <c r="AS95" s="4">
        <f ca="1">ROUND(T_Tiktok_ads[[#This Row],[shares]]*RANDBETWEEN(8,12)/10,0)</f>
        <v>5110</v>
      </c>
      <c r="AT95" s="4">
        <f ca="1">ROUND(T_Tiktok_ads[[#This Row],[comments]]*RANDBETWEEN(8,12)/10,0)</f>
        <v>1254</v>
      </c>
      <c r="AV95" s="5">
        <f t="shared" ca="1" si="12"/>
        <v>45225</v>
      </c>
      <c r="AW95">
        <f t="shared" ca="1" si="13"/>
        <v>8</v>
      </c>
      <c r="AX95">
        <f ca="1">ROUND(T_Facebook_Ads11596367717579838791[[#This Row],[impressions]]*RANDBETWEEN(8,12)/10,0)</f>
        <v>64642</v>
      </c>
      <c r="AY95">
        <f ca="1">ROUND(T_Facebook_Ads11596367717579838791[[#This Row],[clicks]]*RANDBETWEEN(8,12)/10,0)</f>
        <v>313</v>
      </c>
      <c r="AZ95">
        <f ca="1">T_Facebook_Ads11596367717579838791[[#This Row],[spend]]*RANDBETWEEN(8,12)/10</f>
        <v>104.05999999999999</v>
      </c>
      <c r="BA95">
        <f ca="1">ROUND(T_Facebook_Ads11596367717579838791[[#This Row],[conversions]]*RANDBETWEEN(8,12)/10,0)</f>
        <v>8</v>
      </c>
      <c r="BB95">
        <f ca="1">ROUND(T_Facebook_Ads11596367717579838791[[#This Row],[video_views]]*RANDBETWEEN(8,12)/10,0)</f>
        <v>35449</v>
      </c>
    </row>
    <row r="96" spans="1:54" ht="15.75" thickBot="1" x14ac:dyDescent="0.3">
      <c r="A96" s="3">
        <f t="shared" ca="1" si="9"/>
        <v>45226</v>
      </c>
      <c r="B96" s="4" t="s">
        <v>52</v>
      </c>
      <c r="C96" s="4" t="s">
        <v>53</v>
      </c>
      <c r="D96" s="4" t="s">
        <v>54</v>
      </c>
      <c r="E96" s="4" t="s">
        <v>55</v>
      </c>
      <c r="F96" s="4">
        <f ca="1">ROUND(T_Facebook_Ads[[#This Row],[impressions]]*RANDBETWEEN(8,12)/10,0)</f>
        <v>55481</v>
      </c>
      <c r="G96" s="4">
        <v>934</v>
      </c>
      <c r="H96" s="4">
        <f ca="1">T_Facebook_Ads[[#This Row],[spend]]*RANDBETWEEN(8,12)/10</f>
        <v>120.42</v>
      </c>
      <c r="I96" s="4">
        <f ca="1">ROUND(T_Facebook_Ads[[#This Row],[conversions]]*RANDBETWEEN(8,12)/10,0)</f>
        <v>17</v>
      </c>
      <c r="J96" s="4">
        <f ca="1">ROUND(T_Facebook_Ads[[#This Row],[video_views]]*RANDBETWEEN(8,12)/10,0)</f>
        <v>7610</v>
      </c>
      <c r="K96" s="4">
        <f ca="1">T_Facebook_Ads[[#This Row],[engagement_rate]]*RANDBETWEEN(8,12)/10</f>
        <v>2.4240000000000001E-2</v>
      </c>
      <c r="L96" s="4">
        <f ca="1">ROUND(T_Facebook_Ads[[#This Row],[reach]]*RANDBETWEEN(8,12)/10,0)</f>
        <v>38890</v>
      </c>
      <c r="M96" s="4">
        <f ca="1">T_Facebook_Ads[[#This Row],[frequency]]*RANDBETWEEN(8,12)/10</f>
        <v>1.071</v>
      </c>
      <c r="O96" s="3">
        <f t="shared" ca="1" si="10"/>
        <v>45202</v>
      </c>
      <c r="P96" s="4" t="s">
        <v>76</v>
      </c>
      <c r="Q96" s="4" t="s">
        <v>77</v>
      </c>
      <c r="R96" s="4" t="s">
        <v>78</v>
      </c>
      <c r="S96" s="4" t="s">
        <v>79</v>
      </c>
      <c r="T96" s="4">
        <f ca="1">ROUND(_Google_ads[[#This Row],[impressions]]*RANDBETWEEN(8,12)/10,0)</f>
        <v>20187</v>
      </c>
      <c r="U96" s="4">
        <f ca="1">ROUND(_Google_ads[[#This Row],[clicks]]*RANDBETWEEN(8,12)/10,0)</f>
        <v>1312</v>
      </c>
      <c r="V96" s="4">
        <f ca="1">_Google_ads[[#This Row],[cost]]*RANDBETWEEN(8,12)/10</f>
        <v>200.24</v>
      </c>
      <c r="W96" s="4">
        <f ca="1">ROUND(_Google_ads[[#This Row],[conversions]]*RANDBETWEEN(8,12)/10,0)</f>
        <v>49</v>
      </c>
      <c r="X96" s="4">
        <f ca="1">ROUND(_Google_ads[[#This Row],[conversion_value]]*RANDBETWEEN(8,12)/10,0)</f>
        <v>2450</v>
      </c>
      <c r="Y96" s="4">
        <f ca="1">_Google_ads[[#This Row],[ctr]]*RANDBETWEEN(8,12)/10</f>
        <v>5.7199999999999994E-2</v>
      </c>
      <c r="Z96" s="4">
        <f ca="1">_Google_ads[[#This Row],[avg_cpc]]*RANDBETWEEN(8,12)/10</f>
        <v>0.20899999999999999</v>
      </c>
      <c r="AA96" s="4">
        <f ca="1">ROUND(_Google_ads[[#This Row],[quality_score]]*RANDBETWEEN(8,12)/10,0)</f>
        <v>11</v>
      </c>
      <c r="AB96" s="4">
        <f ca="1">_Google_ads[[#This Row],[search_impression_share]]*RANDBETWEEN(8,12)/10</f>
        <v>1.0920000000000001</v>
      </c>
      <c r="AD96" s="3">
        <f t="shared" ca="1" si="11"/>
        <v>45201</v>
      </c>
      <c r="AE96" s="4" t="s">
        <v>100</v>
      </c>
      <c r="AF96" s="4" t="s">
        <v>101</v>
      </c>
      <c r="AG96" s="4" t="s">
        <v>102</v>
      </c>
      <c r="AH96" s="4" t="s">
        <v>103</v>
      </c>
      <c r="AI96" s="4">
        <f ca="1">ROUND(T_Tiktok_ads[[#This Row],[impressions]]*RANDBETWEEN(8,12)/10,0)</f>
        <v>306791</v>
      </c>
      <c r="AJ96" s="4">
        <f ca="1">ROUND(T_Tiktok_ads[[#This Row],[clicks]]*RANDBETWEEN(8,12)/10,0)</f>
        <v>3711</v>
      </c>
      <c r="AK96" s="4">
        <v>545.6</v>
      </c>
      <c r="AL96" s="4">
        <f ca="1">ROUND(T_Tiktok_ads[[#This Row],[conversions]]*RANDBETWEEN(8,12)/10,0)</f>
        <v>42</v>
      </c>
      <c r="AM96" s="4">
        <f ca="1">ROUND(T_Tiktok_ads[[#This Row],[video_views]]*RANDBETWEEN(8,12)/10,0)</f>
        <v>229234</v>
      </c>
      <c r="AN96" s="4">
        <f ca="1">ROUND(T_Tiktok_ads[[#This Row],[video_watch_25]]*RANDBETWEEN(8,12)/10,0)</f>
        <v>179234</v>
      </c>
      <c r="AO96" s="4">
        <f ca="1">ROUND(T_Tiktok_ads[[#This Row],[video_watch_50]]*RANDBETWEEN(8,12)/10,0)</f>
        <v>123457</v>
      </c>
      <c r="AP96" s="4">
        <f ca="1">ROUND(T_Tiktok_ads[[#This Row],[video_watch_75]]*RANDBETWEEN(8,12)/10,0)</f>
        <v>83246</v>
      </c>
      <c r="AQ96" s="4">
        <f ca="1">ROUND(T_Tiktok_ads[[#This Row],[video_watch_100]]*RANDBETWEEN(8,12)/10,0)</f>
        <v>50234</v>
      </c>
      <c r="AR96" s="4">
        <f ca="1">ROUND(T_Tiktok_ads[[#This Row],[likes]]*RANDBETWEEN(8,12)/10,0)</f>
        <v>8098</v>
      </c>
      <c r="AS96" s="4">
        <f ca="1">ROUND(T_Tiktok_ads[[#This Row],[shares]]*RANDBETWEEN(8,12)/10,0)</f>
        <v>2441</v>
      </c>
      <c r="AT96" s="4">
        <f ca="1">ROUND(T_Tiktok_ads[[#This Row],[comments]]*RANDBETWEEN(8,12)/10,0)</f>
        <v>645</v>
      </c>
      <c r="AV96" s="5">
        <f t="shared" ca="1" si="12"/>
        <v>45216</v>
      </c>
      <c r="AW96">
        <f t="shared" ca="1" si="13"/>
        <v>5</v>
      </c>
      <c r="AX96">
        <f ca="1">ROUND(T_Facebook_Ads11596367717579838791[[#This Row],[impressions]]*RANDBETWEEN(8,12)/10,0)</f>
        <v>61029</v>
      </c>
      <c r="AY96">
        <f ca="1">ROUND(T_Facebook_Ads11596367717579838791[[#This Row],[clicks]]*RANDBETWEEN(8,12)/10,0)</f>
        <v>1121</v>
      </c>
      <c r="AZ96">
        <f ca="1">T_Facebook_Ads11596367717579838791[[#This Row],[spend]]*RANDBETWEEN(8,12)/10</f>
        <v>120.42</v>
      </c>
      <c r="BA96">
        <f ca="1">ROUND(T_Facebook_Ads11596367717579838791[[#This Row],[conversions]]*RANDBETWEEN(8,12)/10,0)</f>
        <v>14</v>
      </c>
      <c r="BB96">
        <f ca="1">ROUND(T_Facebook_Ads11596367717579838791[[#This Row],[video_views]]*RANDBETWEEN(8,12)/10,0)</f>
        <v>6849</v>
      </c>
    </row>
    <row r="97" spans="1:54" ht="15.75" thickBot="1" x14ac:dyDescent="0.3">
      <c r="A97" s="3">
        <f t="shared" ca="1" si="9"/>
        <v>45204</v>
      </c>
      <c r="B97" s="4" t="s">
        <v>56</v>
      </c>
      <c r="C97" s="4" t="s">
        <v>57</v>
      </c>
      <c r="D97" s="4" t="s">
        <v>58</v>
      </c>
      <c r="E97" s="4" t="s">
        <v>59</v>
      </c>
      <c r="F97" s="4">
        <f ca="1">ROUND(T_Facebook_Ads[[#This Row],[impressions]]*RANDBETWEEN(8,12)/10,0)</f>
        <v>13824</v>
      </c>
      <c r="G97" s="4">
        <v>567</v>
      </c>
      <c r="H97" s="4">
        <f ca="1">T_Facebook_Ads[[#This Row],[spend]]*RANDBETWEEN(8,12)/10</f>
        <v>167.52</v>
      </c>
      <c r="I97" s="4">
        <f ca="1">ROUND(T_Facebook_Ads[[#This Row],[conversions]]*RANDBETWEEN(8,12)/10,0)</f>
        <v>29</v>
      </c>
      <c r="J97" s="4">
        <f ca="1">ROUND(T_Facebook_Ads[[#This Row],[video_views]]*RANDBETWEEN(8,12)/10,0)</f>
        <v>1014</v>
      </c>
      <c r="K97" s="4">
        <f ca="1">T_Facebook_Ads[[#This Row],[engagement_rate]]*RANDBETWEEN(8,12)/10</f>
        <v>4.0590000000000001E-2</v>
      </c>
      <c r="L97" s="4">
        <f ca="1">ROUND(T_Facebook_Ads[[#This Row],[reach]]*RANDBETWEEN(8,12)/10,0)</f>
        <v>8901</v>
      </c>
      <c r="M97" s="4">
        <f ca="1">T_Facebook_Ads[[#This Row],[frequency]]*RANDBETWEEN(8,12)/10</f>
        <v>1.27</v>
      </c>
      <c r="O97" s="3">
        <f t="shared" ca="1" si="10"/>
        <v>45203</v>
      </c>
      <c r="P97" s="4" t="s">
        <v>80</v>
      </c>
      <c r="Q97" s="4" t="s">
        <v>81</v>
      </c>
      <c r="R97" s="4" t="s">
        <v>82</v>
      </c>
      <c r="S97" s="4" t="s">
        <v>83</v>
      </c>
      <c r="T97" s="4">
        <f ca="1">ROUND(_Google_ads[[#This Row],[impressions]]*RANDBETWEEN(8,12)/10,0)</f>
        <v>45678</v>
      </c>
      <c r="U97" s="4">
        <f ca="1">ROUND(_Google_ads[[#This Row],[clicks]]*RANDBETWEEN(8,12)/10,0)</f>
        <v>811</v>
      </c>
      <c r="V97" s="4">
        <f ca="1">_Google_ads[[#This Row],[cost]]*RANDBETWEEN(8,12)/10</f>
        <v>642.95000000000005</v>
      </c>
      <c r="W97" s="4">
        <f ca="1">ROUND(_Google_ads[[#This Row],[conversions]]*RANDBETWEEN(8,12)/10,0)</f>
        <v>29</v>
      </c>
      <c r="X97" s="4">
        <f ca="1">ROUND(_Google_ads[[#This Row],[conversion_value]]*RANDBETWEEN(8,12)/10,0)</f>
        <v>960</v>
      </c>
      <c r="Y97" s="4">
        <f ca="1">_Google_ads[[#This Row],[ctr]]*RANDBETWEEN(8,12)/10</f>
        <v>2.1669999999999998E-2</v>
      </c>
      <c r="Z97" s="4">
        <f ca="1">_Google_ads[[#This Row],[avg_cpc]]*RANDBETWEEN(8,12)/10</f>
        <v>0.58500000000000008</v>
      </c>
      <c r="AA97" s="4">
        <f ca="1">ROUND(_Google_ads[[#This Row],[quality_score]]*RANDBETWEEN(8,12)/10,0)</f>
        <v>8</v>
      </c>
      <c r="AB97" s="4">
        <f ca="1">_Google_ads[[#This Row],[search_impression_share]]*RANDBETWEEN(8,12)/10</f>
        <v>0.45</v>
      </c>
      <c r="AD97" s="3">
        <f t="shared" ca="1" si="11"/>
        <v>45204</v>
      </c>
      <c r="AE97" s="4" t="s">
        <v>104</v>
      </c>
      <c r="AF97" s="4" t="s">
        <v>105</v>
      </c>
      <c r="AG97" s="4" t="s">
        <v>106</v>
      </c>
      <c r="AH97" s="4" t="s">
        <v>107</v>
      </c>
      <c r="AI97" s="4">
        <f ca="1">ROUND(T_Tiktok_ads[[#This Row],[impressions]]*RANDBETWEEN(8,12)/10,0)</f>
        <v>122765</v>
      </c>
      <c r="AJ97" s="4">
        <f ca="1">ROUND(T_Tiktok_ads[[#This Row],[clicks]]*RANDBETWEEN(8,12)/10,0)</f>
        <v>2651</v>
      </c>
      <c r="AK97" s="4">
        <v>789.2</v>
      </c>
      <c r="AL97" s="4">
        <f ca="1">ROUND(T_Tiktok_ads[[#This Row],[conversions]]*RANDBETWEEN(8,12)/10,0)</f>
        <v>87</v>
      </c>
      <c r="AM97" s="4">
        <f ca="1">ROUND(T_Tiktok_ads[[#This Row],[video_views]]*RANDBETWEEN(8,12)/10,0)</f>
        <v>97101</v>
      </c>
      <c r="AN97" s="4">
        <f ca="1">ROUND(T_Tiktok_ads[[#This Row],[video_watch_25]]*RANDBETWEEN(8,12)/10,0)</f>
        <v>79567</v>
      </c>
      <c r="AO97" s="4">
        <f ca="1">ROUND(T_Tiktok_ads[[#This Row],[video_watch_50]]*RANDBETWEEN(8,12)/10,0)</f>
        <v>53678</v>
      </c>
      <c r="AP97" s="4">
        <f ca="1">ROUND(T_Tiktok_ads[[#This Row],[video_watch_75]]*RANDBETWEEN(8,12)/10,0)</f>
        <v>40234</v>
      </c>
      <c r="AQ97" s="4">
        <f ca="1">ROUND(T_Tiktok_ads[[#This Row],[video_watch_100]]*RANDBETWEEN(8,12)/10,0)</f>
        <v>32268</v>
      </c>
      <c r="AR97" s="4">
        <f ca="1">ROUND(T_Tiktok_ads[[#This Row],[likes]]*RANDBETWEEN(8,12)/10,0)</f>
        <v>4187</v>
      </c>
      <c r="AS97" s="4">
        <f ca="1">ROUND(T_Tiktok_ads[[#This Row],[shares]]*RANDBETWEEN(8,12)/10,0)</f>
        <v>1602</v>
      </c>
      <c r="AT97" s="4">
        <f ca="1">ROUND(T_Tiktok_ads[[#This Row],[comments]]*RANDBETWEEN(8,12)/10,0)</f>
        <v>222</v>
      </c>
      <c r="AV97" s="5">
        <f t="shared" ca="1" si="12"/>
        <v>45209</v>
      </c>
      <c r="AW97">
        <f t="shared" ca="1" si="13"/>
        <v>3</v>
      </c>
      <c r="AX97">
        <f ca="1">ROUND(T_Facebook_Ads11596367717579838791[[#This Row],[impressions]]*RANDBETWEEN(8,12)/10,0)</f>
        <v>15206</v>
      </c>
      <c r="AY97">
        <f ca="1">ROUND(T_Facebook_Ads11596367717579838791[[#This Row],[clicks]]*RANDBETWEEN(8,12)/10,0)</f>
        <v>567</v>
      </c>
      <c r="AZ97">
        <f ca="1">T_Facebook_Ads11596367717579838791[[#This Row],[spend]]*RANDBETWEEN(8,12)/10</f>
        <v>134.01600000000002</v>
      </c>
      <c r="BA97">
        <f ca="1">ROUND(T_Facebook_Ads11596367717579838791[[#This Row],[conversions]]*RANDBETWEEN(8,12)/10,0)</f>
        <v>35</v>
      </c>
      <c r="BB97">
        <f ca="1">ROUND(T_Facebook_Ads11596367717579838791[[#This Row],[video_views]]*RANDBETWEEN(8,12)/10,0)</f>
        <v>913</v>
      </c>
    </row>
    <row r="98" spans="1:54" ht="15.75" thickBot="1" x14ac:dyDescent="0.3">
      <c r="A98" s="3">
        <f t="shared" ref="A98:A111" ca="1" si="14">DATE(2023,10,RANDBETWEEN(1,31))</f>
        <v>45202</v>
      </c>
      <c r="B98" s="4" t="s">
        <v>60</v>
      </c>
      <c r="C98" s="4" t="s">
        <v>61</v>
      </c>
      <c r="D98" s="4" t="s">
        <v>62</v>
      </c>
      <c r="E98" s="4" t="s">
        <v>63</v>
      </c>
      <c r="F98" s="4">
        <f ca="1">ROUND(T_Facebook_Ads[[#This Row],[impressions]]*RANDBETWEEN(8,12)/10,0)</f>
        <v>28712</v>
      </c>
      <c r="G98" s="4">
        <v>1289</v>
      </c>
      <c r="H98" s="4">
        <f ca="1">T_Facebook_Ads[[#This Row],[spend]]*RANDBETWEEN(8,12)/10</f>
        <v>178.02</v>
      </c>
      <c r="I98" s="4">
        <f ca="1">ROUND(T_Facebook_Ads[[#This Row],[conversions]]*RANDBETWEEN(8,12)/10,0)</f>
        <v>24</v>
      </c>
      <c r="J98" s="4">
        <f ca="1">ROUND(T_Facebook_Ads[[#This Row],[video_views]]*RANDBETWEEN(8,12)/10,0)</f>
        <v>4567</v>
      </c>
      <c r="K98" s="4">
        <f ca="1">T_Facebook_Ads[[#This Row],[engagement_rate]]*RANDBETWEEN(8,12)/10</f>
        <v>4.308E-2</v>
      </c>
      <c r="L98" s="4">
        <f ca="1">ROUND(T_Facebook_Ads[[#This Row],[reach]]*RANDBETWEEN(8,12)/10,0)</f>
        <v>23654</v>
      </c>
      <c r="M98" s="4">
        <f ca="1">T_Facebook_Ads[[#This Row],[frequency]]*RANDBETWEEN(8,12)/10</f>
        <v>1.21</v>
      </c>
      <c r="O98" s="3">
        <f t="shared" ref="O98:O111" ca="1" si="15">DATE(2023,10,RANDBETWEEN(1,31))</f>
        <v>45228</v>
      </c>
      <c r="P98" s="4" t="s">
        <v>84</v>
      </c>
      <c r="Q98" s="4" t="s">
        <v>85</v>
      </c>
      <c r="R98" s="4" t="s">
        <v>86</v>
      </c>
      <c r="S98" s="4" t="s">
        <v>87</v>
      </c>
      <c r="T98" s="4">
        <f ca="1">ROUND(_Google_ads[[#This Row],[impressions]]*RANDBETWEEN(8,12)/10,0)</f>
        <v>84148</v>
      </c>
      <c r="U98" s="4">
        <f ca="1">ROUND(_Google_ads[[#This Row],[clicks]]*RANDBETWEEN(8,12)/10,0)</f>
        <v>1885</v>
      </c>
      <c r="V98" s="4">
        <f ca="1">_Google_ads[[#This Row],[cost]]*RANDBETWEEN(8,12)/10</f>
        <v>388.08</v>
      </c>
      <c r="W98" s="4">
        <f ca="1">ROUND(_Google_ads[[#This Row],[conversions]]*RANDBETWEEN(8,12)/10,0)</f>
        <v>75</v>
      </c>
      <c r="X98" s="4">
        <f ca="1">ROUND(_Google_ads[[#This Row],[conversion_value]]*RANDBETWEEN(8,12)/10,0)</f>
        <v>2720</v>
      </c>
      <c r="Y98" s="4">
        <f ca="1">_Google_ads[[#This Row],[ctr]]*RANDBETWEEN(8,12)/10</f>
        <v>3.696E-2</v>
      </c>
      <c r="Z98" s="4">
        <f ca="1">_Google_ads[[#This Row],[avg_cpc]]*RANDBETWEEN(8,12)/10</f>
        <v>0.16199999999999998</v>
      </c>
      <c r="AA98" s="4">
        <f ca="1">ROUND(_Google_ads[[#This Row],[quality_score]]*RANDBETWEEN(8,12)/10,0)</f>
        <v>10</v>
      </c>
      <c r="AB98" s="4">
        <f ca="1">_Google_ads[[#This Row],[search_impression_share]]*RANDBETWEEN(8,12)/10</f>
        <v>0.54400000000000004</v>
      </c>
      <c r="AD98" s="3">
        <f t="shared" ref="AD98:AD111" ca="1" si="16">DATE(2023,10,RANDBETWEEN(1,31))</f>
        <v>45200</v>
      </c>
      <c r="AE98" s="4" t="s">
        <v>108</v>
      </c>
      <c r="AF98" s="4" t="s">
        <v>109</v>
      </c>
      <c r="AG98" s="4" t="s">
        <v>110</v>
      </c>
      <c r="AH98" s="4" t="s">
        <v>111</v>
      </c>
      <c r="AI98" s="4">
        <f ca="1">ROUND(T_Tiktok_ads[[#This Row],[impressions]]*RANDBETWEEN(8,12)/10,0)</f>
        <v>213110</v>
      </c>
      <c r="AJ98" s="4">
        <f ca="1">ROUND(T_Tiktok_ads[[#This Row],[clicks]]*RANDBETWEEN(8,12)/10,0)</f>
        <v>3734</v>
      </c>
      <c r="AK98" s="4">
        <v>456.8</v>
      </c>
      <c r="AL98" s="4">
        <f ca="1">ROUND(T_Tiktok_ads[[#This Row],[conversions]]*RANDBETWEEN(8,12)/10,0)</f>
        <v>36</v>
      </c>
      <c r="AM98" s="4">
        <f ca="1">ROUND(T_Tiktok_ads[[#This Row],[video_views]]*RANDBETWEEN(8,12)/10,0)</f>
        <v>150312</v>
      </c>
      <c r="AN98" s="4">
        <f ca="1">ROUND(T_Tiktok_ads[[#This Row],[video_watch_25]]*RANDBETWEEN(8,12)/10,0)</f>
        <v>128111</v>
      </c>
      <c r="AO98" s="4">
        <f ca="1">ROUND(T_Tiktok_ads[[#This Row],[video_watch_50]]*RANDBETWEEN(8,12)/10,0)</f>
        <v>112345</v>
      </c>
      <c r="AP98" s="4">
        <f ca="1">ROUND(T_Tiktok_ads[[#This Row],[video_watch_75]]*RANDBETWEEN(8,12)/10,0)</f>
        <v>57876</v>
      </c>
      <c r="AQ98" s="4">
        <f ca="1">ROUND(T_Tiktok_ads[[#This Row],[video_watch_100]]*RANDBETWEEN(8,12)/10,0)</f>
        <v>39410</v>
      </c>
      <c r="AR98" s="4">
        <f ca="1">ROUND(T_Tiktok_ads[[#This Row],[likes]]*RANDBETWEEN(8,12)/10,0)</f>
        <v>7610</v>
      </c>
      <c r="AS98" s="4">
        <f ca="1">ROUND(T_Tiktok_ads[[#This Row],[shares]]*RANDBETWEEN(8,12)/10,0)</f>
        <v>2494</v>
      </c>
      <c r="AT98" s="4">
        <f ca="1">ROUND(T_Tiktok_ads[[#This Row],[comments]]*RANDBETWEEN(8,12)/10,0)</f>
        <v>600</v>
      </c>
      <c r="AV98" s="5">
        <f t="shared" ref="AV98:AV111" ca="1" si="17">DATE(2023,10,RANDBETWEEN(1,31))</f>
        <v>45216</v>
      </c>
      <c r="AW98">
        <f t="shared" ca="1" si="13"/>
        <v>8</v>
      </c>
      <c r="AX98">
        <f ca="1">ROUND(T_Facebook_Ads11596367717579838791[[#This Row],[impressions]]*RANDBETWEEN(8,12)/10,0)</f>
        <v>34454</v>
      </c>
      <c r="AY98">
        <f ca="1">ROUND(T_Facebook_Ads11596367717579838791[[#This Row],[clicks]]*RANDBETWEEN(8,12)/10,0)</f>
        <v>1418</v>
      </c>
      <c r="AZ98">
        <f ca="1">T_Facebook_Ads11596367717579838791[[#This Row],[spend]]*RANDBETWEEN(8,12)/10</f>
        <v>195.822</v>
      </c>
      <c r="BA98">
        <f ca="1">ROUND(T_Facebook_Ads11596367717579838791[[#This Row],[conversions]]*RANDBETWEEN(8,12)/10,0)</f>
        <v>29</v>
      </c>
      <c r="BB98">
        <f ca="1">ROUND(T_Facebook_Ads11596367717579838791[[#This Row],[video_views]]*RANDBETWEEN(8,12)/10,0)</f>
        <v>5024</v>
      </c>
    </row>
    <row r="99" spans="1:54" ht="15.75" thickBot="1" x14ac:dyDescent="0.3">
      <c r="A99" s="3">
        <f t="shared" ca="1" si="14"/>
        <v>45202</v>
      </c>
      <c r="B99" s="4" t="s">
        <v>64</v>
      </c>
      <c r="C99" s="4" t="s">
        <v>65</v>
      </c>
      <c r="D99" s="4" t="s">
        <v>66</v>
      </c>
      <c r="E99" s="4" t="s">
        <v>67</v>
      </c>
      <c r="F99" s="4">
        <f ca="1">ROUND(T_Facebook_Ads[[#This Row],[impressions]]*RANDBETWEEN(8,12)/10,0)</f>
        <v>81881</v>
      </c>
      <c r="G99" s="4">
        <v>245</v>
      </c>
      <c r="H99" s="4">
        <f ca="1">T_Facebook_Ads[[#This Row],[spend]]*RANDBETWEEN(8,12)/10</f>
        <v>85.9</v>
      </c>
      <c r="I99" s="4">
        <f ca="1">ROUND(T_Facebook_Ads[[#This Row],[conversions]]*RANDBETWEEN(8,12)/10,0)</f>
        <v>6</v>
      </c>
      <c r="J99" s="4">
        <f ca="1">ROUND(T_Facebook_Ads[[#This Row],[video_views]]*RANDBETWEEN(8,12)/10,0)</f>
        <v>50246</v>
      </c>
      <c r="K99" s="4">
        <f ca="1">T_Facebook_Ads[[#This Row],[engagement_rate]]*RANDBETWEEN(8,12)/10</f>
        <v>4.3200000000000001E-3</v>
      </c>
      <c r="L99" s="4">
        <f ca="1">ROUND(T_Facebook_Ads[[#This Row],[reach]]*RANDBETWEEN(8,12)/10,0)</f>
        <v>67068</v>
      </c>
      <c r="M99" s="4">
        <f ca="1">T_Facebook_Ads[[#This Row],[frequency]]*RANDBETWEEN(8,12)/10</f>
        <v>1.464</v>
      </c>
      <c r="O99" s="3">
        <f t="shared" ca="1" si="15"/>
        <v>45210</v>
      </c>
      <c r="P99" s="4" t="s">
        <v>88</v>
      </c>
      <c r="Q99" s="4" t="s">
        <v>89</v>
      </c>
      <c r="R99" s="4" t="s">
        <v>90</v>
      </c>
      <c r="S99" s="4" t="s">
        <v>59</v>
      </c>
      <c r="T99" s="4">
        <f ca="1">ROUND(_Google_ads[[#This Row],[impressions]]*RANDBETWEEN(8,12)/10,0)</f>
        <v>148379</v>
      </c>
      <c r="U99" s="4">
        <f ca="1">ROUND(_Google_ads[[#This Row],[clicks]]*RANDBETWEEN(8,12)/10,0)</f>
        <v>587</v>
      </c>
      <c r="V99" s="4">
        <f ca="1">_Google_ads[[#This Row],[cost]]*RANDBETWEEN(8,12)/10</f>
        <v>159.23999999999998</v>
      </c>
      <c r="W99" s="4">
        <f ca="1">ROUND(_Google_ads[[#This Row],[conversions]]*RANDBETWEEN(8,12)/10,0)</f>
        <v>11</v>
      </c>
      <c r="X99" s="4">
        <f ca="1">ROUND(_Google_ads[[#This Row],[conversion_value]]*RANDBETWEEN(8,12)/10,0)</f>
        <v>630</v>
      </c>
      <c r="Y99" s="4">
        <f ca="1">_Google_ads[[#This Row],[ctr]]*RANDBETWEEN(8,12)/10</f>
        <v>2.8799999999999997E-3</v>
      </c>
      <c r="Z99" s="4">
        <f ca="1">_Google_ads[[#This Row],[avg_cpc]]*RANDBETWEEN(8,12)/10</f>
        <v>0.21600000000000003</v>
      </c>
      <c r="AA99" s="4">
        <f ca="1">ROUND(_Google_ads[[#This Row],[quality_score]]*RANDBETWEEN(8,12)/10,0)</f>
        <v>8</v>
      </c>
      <c r="AB99" s="4">
        <f ca="1">_Google_ads[[#This Row],[search_impression_share]]*RANDBETWEEN(8,12)/10</f>
        <v>0.38499999999999995</v>
      </c>
      <c r="AD99" s="3">
        <f t="shared" ca="1" si="16"/>
        <v>45218</v>
      </c>
      <c r="AE99" s="4" t="s">
        <v>112</v>
      </c>
      <c r="AF99" s="4" t="s">
        <v>113</v>
      </c>
      <c r="AG99" s="4" t="s">
        <v>114</v>
      </c>
      <c r="AH99" s="4" t="s">
        <v>115</v>
      </c>
      <c r="AI99" s="4">
        <f ca="1">ROUND(T_Tiktok_ads[[#This Row],[impressions]]*RANDBETWEEN(8,12)/10,0)</f>
        <v>338765</v>
      </c>
      <c r="AJ99" s="4">
        <f ca="1">ROUND(T_Tiktok_ads[[#This Row],[clicks]]*RANDBETWEEN(8,12)/10,0)</f>
        <v>8147</v>
      </c>
      <c r="AK99" s="4">
        <v>1034.5</v>
      </c>
      <c r="AL99" s="4">
        <f ca="1">ROUND(T_Tiktok_ads[[#This Row],[conversions]]*RANDBETWEEN(8,12)/10,0)</f>
        <v>104</v>
      </c>
      <c r="AM99" s="4">
        <f ca="1">ROUND(T_Tiktok_ads[[#This Row],[video_views]]*RANDBETWEEN(8,12)/10,0)</f>
        <v>392468</v>
      </c>
      <c r="AN99" s="4">
        <f ca="1">ROUND(T_Tiktok_ads[[#This Row],[video_watch_25]]*RANDBETWEEN(8,12)/10,0)</f>
        <v>315957</v>
      </c>
      <c r="AO99" s="4">
        <f ca="1">ROUND(T_Tiktok_ads[[#This Row],[video_watch_50]]*RANDBETWEEN(8,12)/10,0)</f>
        <v>252157</v>
      </c>
      <c r="AP99" s="4">
        <f ca="1">ROUND(T_Tiktok_ads[[#This Row],[video_watch_75]]*RANDBETWEEN(8,12)/10,0)</f>
        <v>146111</v>
      </c>
      <c r="AQ99" s="4">
        <f ca="1">ROUND(T_Tiktok_ads[[#This Row],[video_watch_100]]*RANDBETWEEN(8,12)/10,0)</f>
        <v>118679</v>
      </c>
      <c r="AR99" s="4">
        <f ca="1">ROUND(T_Tiktok_ads[[#This Row],[likes]]*RANDBETWEEN(8,12)/10,0)</f>
        <v>18756</v>
      </c>
      <c r="AS99" s="4">
        <f ca="1">ROUND(T_Tiktok_ads[[#This Row],[shares]]*RANDBETWEEN(8,12)/10,0)</f>
        <v>5880</v>
      </c>
      <c r="AT99" s="4">
        <f ca="1">ROUND(T_Tiktok_ads[[#This Row],[comments]]*RANDBETWEEN(8,12)/10,0)</f>
        <v>1456</v>
      </c>
      <c r="AV99" s="5">
        <f t="shared" ca="1" si="17"/>
        <v>45215</v>
      </c>
      <c r="AW99">
        <f t="shared" ca="1" si="13"/>
        <v>1</v>
      </c>
      <c r="AX99">
        <f ca="1">ROUND(T_Facebook_Ads11596367717579838791[[#This Row],[impressions]]*RANDBETWEEN(8,12)/10,0)</f>
        <v>73693</v>
      </c>
      <c r="AY99">
        <f ca="1">ROUND(T_Facebook_Ads11596367717579838791[[#This Row],[clicks]]*RANDBETWEEN(8,12)/10,0)</f>
        <v>245</v>
      </c>
      <c r="AZ99">
        <f ca="1">T_Facebook_Ads11596367717579838791[[#This Row],[spend]]*RANDBETWEEN(8,12)/10</f>
        <v>68.72</v>
      </c>
      <c r="BA99">
        <f ca="1">ROUND(T_Facebook_Ads11596367717579838791[[#This Row],[conversions]]*RANDBETWEEN(8,12)/10,0)</f>
        <v>5</v>
      </c>
      <c r="BB99">
        <f ca="1">ROUND(T_Facebook_Ads11596367717579838791[[#This Row],[video_views]]*RANDBETWEEN(8,12)/10,0)</f>
        <v>40197</v>
      </c>
    </row>
    <row r="100" spans="1:54" ht="15.75" thickBot="1" x14ac:dyDescent="0.3">
      <c r="A100" s="3">
        <f t="shared" ca="1" si="14"/>
        <v>45217</v>
      </c>
      <c r="B100" s="4" t="s">
        <v>52</v>
      </c>
      <c r="C100" s="4" t="s">
        <v>53</v>
      </c>
      <c r="D100" s="4" t="s">
        <v>54</v>
      </c>
      <c r="E100" s="4" t="s">
        <v>55</v>
      </c>
      <c r="F100" s="4">
        <f ca="1">ROUND(T_Facebook_Ads[[#This Row],[impressions]]*RANDBETWEEN(8,12)/10,0)</f>
        <v>40110</v>
      </c>
      <c r="G100" s="4">
        <v>890</v>
      </c>
      <c r="H100" s="4">
        <f ca="1">T_Facebook_Ads[[#This Row],[spend]]*RANDBETWEEN(8,12)/10</f>
        <v>114.83999999999999</v>
      </c>
      <c r="I100" s="4">
        <f ca="1">ROUND(T_Facebook_Ads[[#This Row],[conversions]]*RANDBETWEEN(8,12)/10,0)</f>
        <v>14</v>
      </c>
      <c r="J100" s="4">
        <f ca="1">ROUND(T_Facebook_Ads[[#This Row],[video_views]]*RANDBETWEEN(8,12)/10,0)</f>
        <v>7311</v>
      </c>
      <c r="K100" s="4">
        <f ca="1">T_Facebook_Ads[[#This Row],[engagement_rate]]*RANDBETWEEN(8,12)/10</f>
        <v>1.6E-2</v>
      </c>
      <c r="L100" s="4">
        <f ca="1">ROUND(T_Facebook_Ads[[#This Row],[reach]]*RANDBETWEEN(8,12)/10,0)</f>
        <v>44947</v>
      </c>
      <c r="M100" s="4">
        <f ca="1">T_Facebook_Ads[[#This Row],[frequency]]*RANDBETWEEN(8,12)/10</f>
        <v>1.19</v>
      </c>
      <c r="O100" s="3">
        <f t="shared" ca="1" si="15"/>
        <v>45211</v>
      </c>
      <c r="P100" s="4" t="s">
        <v>76</v>
      </c>
      <c r="Q100" s="4" t="s">
        <v>77</v>
      </c>
      <c r="R100" s="4" t="s">
        <v>78</v>
      </c>
      <c r="S100" s="4" t="s">
        <v>79</v>
      </c>
      <c r="T100" s="4">
        <f ca="1">ROUND(_Google_ads[[#This Row],[impressions]]*RANDBETWEEN(8,12)/10,0)</f>
        <v>28280</v>
      </c>
      <c r="U100" s="4">
        <f ca="1">ROUND(_Google_ads[[#This Row],[clicks]]*RANDBETWEEN(8,12)/10,0)</f>
        <v>1427</v>
      </c>
      <c r="V100" s="4">
        <f ca="1">_Google_ads[[#This Row],[cost]]*RANDBETWEEN(8,12)/10</f>
        <v>181.44</v>
      </c>
      <c r="W100" s="4">
        <f ca="1">ROUND(_Google_ads[[#This Row],[conversions]]*RANDBETWEEN(8,12)/10,0)</f>
        <v>48</v>
      </c>
      <c r="X100" s="4">
        <f ca="1">ROUND(_Google_ads[[#This Row],[conversion_value]]*RANDBETWEEN(8,12)/10,0)</f>
        <v>2640</v>
      </c>
      <c r="Y100" s="4">
        <f ca="1">_Google_ads[[#This Row],[ctr]]*RANDBETWEEN(8,12)/10</f>
        <v>5.0500000000000003E-2</v>
      </c>
      <c r="Z100" s="4">
        <f ca="1">_Google_ads[[#This Row],[avg_cpc]]*RANDBETWEEN(8,12)/10</f>
        <v>0.20899999999999999</v>
      </c>
      <c r="AA100" s="4">
        <f ca="1">ROUND(_Google_ads[[#This Row],[quality_score]]*RANDBETWEEN(8,12)/10,0)</f>
        <v>9</v>
      </c>
      <c r="AB100" s="4">
        <f ca="1">_Google_ads[[#This Row],[search_impression_share]]*RANDBETWEEN(8,12)/10</f>
        <v>0.80999999999999994</v>
      </c>
      <c r="AD100" s="3">
        <f t="shared" ca="1" si="16"/>
        <v>45214</v>
      </c>
      <c r="AE100" s="4" t="s">
        <v>100</v>
      </c>
      <c r="AF100" s="4" t="s">
        <v>101</v>
      </c>
      <c r="AG100" s="4" t="s">
        <v>102</v>
      </c>
      <c r="AH100" s="4" t="s">
        <v>103</v>
      </c>
      <c r="AI100" s="4">
        <f ca="1">ROUND(T_Tiktok_ads[[#This Row],[impressions]]*RANDBETWEEN(8,12)/10,0)</f>
        <v>241101</v>
      </c>
      <c r="AJ100" s="4">
        <f ca="1">ROUND(T_Tiktok_ads[[#This Row],[clicks]]*RANDBETWEEN(8,12)/10,0)</f>
        <v>3945</v>
      </c>
      <c r="AK100" s="4">
        <v>501.2</v>
      </c>
      <c r="AL100" s="4">
        <f ca="1">ROUND(T_Tiktok_ads[[#This Row],[conversions]]*RANDBETWEEN(8,12)/10,0)</f>
        <v>44</v>
      </c>
      <c r="AM100" s="4">
        <f ca="1">ROUND(T_Tiktok_ads[[#This Row],[video_views]]*RANDBETWEEN(8,12)/10,0)</f>
        <v>221234</v>
      </c>
      <c r="AN100" s="4">
        <f ca="1">ROUND(T_Tiktok_ads[[#This Row],[video_watch_25]]*RANDBETWEEN(8,12)/10,0)</f>
        <v>208147</v>
      </c>
      <c r="AO100" s="4">
        <f ca="1">ROUND(T_Tiktok_ads[[#This Row],[video_watch_50]]*RANDBETWEEN(8,12)/10,0)</f>
        <v>109234</v>
      </c>
      <c r="AP100" s="4">
        <f ca="1">ROUND(T_Tiktok_ads[[#This Row],[video_watch_75]]*RANDBETWEEN(8,12)/10,0)</f>
        <v>58854</v>
      </c>
      <c r="AQ100" s="4">
        <f ca="1">ROUND(T_Tiktok_ads[[#This Row],[video_watch_100]]*RANDBETWEEN(8,12)/10,0)</f>
        <v>59081</v>
      </c>
      <c r="AR100" s="4">
        <f ca="1">ROUND(T_Tiktok_ads[[#This Row],[likes]]*RANDBETWEEN(8,12)/10,0)</f>
        <v>7831</v>
      </c>
      <c r="AS100" s="4">
        <f ca="1">ROUND(T_Tiktok_ads[[#This Row],[shares]]*RANDBETWEEN(8,12)/10,0)</f>
        <v>2371</v>
      </c>
      <c r="AT100" s="4">
        <f ca="1">ROUND(T_Tiktok_ads[[#This Row],[comments]]*RANDBETWEEN(8,12)/10,0)</f>
        <v>623</v>
      </c>
      <c r="AV100" s="5">
        <f t="shared" ca="1" si="17"/>
        <v>45221</v>
      </c>
      <c r="AW100">
        <f t="shared" ca="1" si="13"/>
        <v>4</v>
      </c>
      <c r="AX100">
        <f ca="1">ROUND(T_Facebook_Ads11596367717579838791[[#This Row],[impressions]]*RANDBETWEEN(8,12)/10,0)</f>
        <v>44121</v>
      </c>
      <c r="AY100">
        <f ca="1">ROUND(T_Facebook_Ads11596367717579838791[[#This Row],[clicks]]*RANDBETWEEN(8,12)/10,0)</f>
        <v>979</v>
      </c>
      <c r="AZ100">
        <f ca="1">T_Facebook_Ads11596367717579838791[[#This Row],[spend]]*RANDBETWEEN(8,12)/10</f>
        <v>103.35599999999999</v>
      </c>
      <c r="BA100">
        <f ca="1">ROUND(T_Facebook_Ads11596367717579838791[[#This Row],[conversions]]*RANDBETWEEN(8,12)/10,0)</f>
        <v>14</v>
      </c>
      <c r="BB100">
        <f ca="1">ROUND(T_Facebook_Ads11596367717579838791[[#This Row],[video_views]]*RANDBETWEEN(8,12)/10,0)</f>
        <v>5849</v>
      </c>
    </row>
    <row r="101" spans="1:54" ht="15.75" thickBot="1" x14ac:dyDescent="0.3">
      <c r="A101" s="3">
        <f t="shared" ca="1" si="14"/>
        <v>45209</v>
      </c>
      <c r="B101" s="4" t="s">
        <v>56</v>
      </c>
      <c r="C101" s="4" t="s">
        <v>57</v>
      </c>
      <c r="D101" s="4" t="s">
        <v>58</v>
      </c>
      <c r="E101" s="4" t="s">
        <v>59</v>
      </c>
      <c r="F101" s="4">
        <f ca="1">ROUND(T_Facebook_Ads[[#This Row],[impressions]]*RANDBETWEEN(8,12)/10,0)</f>
        <v>12602</v>
      </c>
      <c r="G101" s="4">
        <v>523</v>
      </c>
      <c r="H101" s="4">
        <f ca="1">T_Facebook_Ads[[#This Row],[spend]]*RANDBETWEEN(8,12)/10</f>
        <v>192.3</v>
      </c>
      <c r="I101" s="4">
        <f ca="1">ROUND(T_Facebook_Ads[[#This Row],[conversions]]*RANDBETWEEN(8,12)/10,0)</f>
        <v>33</v>
      </c>
      <c r="J101" s="4">
        <f ca="1">ROUND(T_Facebook_Ads[[#This Row],[video_views]]*RANDBETWEEN(8,12)/10,0)</f>
        <v>871</v>
      </c>
      <c r="K101" s="4">
        <f ca="1">T_Facebook_Ads[[#This Row],[engagement_rate]]*RANDBETWEEN(8,12)/10</f>
        <v>5.484E-2</v>
      </c>
      <c r="L101" s="4">
        <f ca="1">ROUND(T_Facebook_Ads[[#This Row],[reach]]*RANDBETWEEN(8,12)/10,0)</f>
        <v>7174</v>
      </c>
      <c r="M101" s="4">
        <f ca="1">T_Facebook_Ads[[#This Row],[frequency]]*RANDBETWEEN(8,12)/10</f>
        <v>1.1519999999999999</v>
      </c>
      <c r="O101" s="3">
        <f t="shared" ca="1" si="15"/>
        <v>45200</v>
      </c>
      <c r="P101" s="4" t="s">
        <v>80</v>
      </c>
      <c r="Q101" s="4" t="s">
        <v>81</v>
      </c>
      <c r="R101" s="4" t="s">
        <v>82</v>
      </c>
      <c r="S101" s="4" t="s">
        <v>83</v>
      </c>
      <c r="T101" s="4">
        <f ca="1">ROUND(_Google_ads[[#This Row],[impressions]]*RANDBETWEEN(8,12)/10,0)</f>
        <v>47179</v>
      </c>
      <c r="U101" s="4">
        <f ca="1">ROUND(_Google_ads[[#This Row],[clicks]]*RANDBETWEEN(8,12)/10,0)</f>
        <v>1001</v>
      </c>
      <c r="V101" s="4">
        <f ca="1">_Google_ads[[#This Row],[cost]]*RANDBETWEEN(8,12)/10</f>
        <v>659.16</v>
      </c>
      <c r="W101" s="4">
        <f ca="1">ROUND(_Google_ads[[#This Row],[conversions]]*RANDBETWEEN(8,12)/10,0)</f>
        <v>21</v>
      </c>
      <c r="X101" s="4">
        <f ca="1">ROUND(_Google_ads[[#This Row],[conversion_value]]*RANDBETWEEN(8,12)/10,0)</f>
        <v>945</v>
      </c>
      <c r="Y101" s="4">
        <f ca="1">_Google_ads[[#This Row],[ctr]]*RANDBETWEEN(8,12)/10</f>
        <v>2.145E-2</v>
      </c>
      <c r="Z101" s="4">
        <f ca="1">_Google_ads[[#This Row],[avg_cpc]]*RANDBETWEEN(8,12)/10</f>
        <v>0.52800000000000002</v>
      </c>
      <c r="AA101" s="4">
        <f ca="1">ROUND(_Google_ads[[#This Row],[quality_score]]*RANDBETWEEN(8,12)/10,0)</f>
        <v>6</v>
      </c>
      <c r="AB101" s="4">
        <f ca="1">_Google_ads[[#This Row],[search_impression_share]]*RANDBETWEEN(8,12)/10</f>
        <v>0.47299999999999998</v>
      </c>
      <c r="AD101" s="3">
        <f t="shared" ca="1" si="16"/>
        <v>45214</v>
      </c>
      <c r="AE101" s="4" t="s">
        <v>104</v>
      </c>
      <c r="AF101" s="4" t="s">
        <v>105</v>
      </c>
      <c r="AG101" s="4" t="s">
        <v>106</v>
      </c>
      <c r="AH101" s="4" t="s">
        <v>107</v>
      </c>
      <c r="AI101" s="4">
        <f ca="1">ROUND(T_Tiktok_ads[[#This Row],[impressions]]*RANDBETWEEN(8,12)/10,0)</f>
        <v>134011</v>
      </c>
      <c r="AJ101" s="4">
        <f ca="1">ROUND(T_Tiktok_ads[[#This Row],[clicks]]*RANDBETWEEN(8,12)/10,0)</f>
        <v>2551</v>
      </c>
      <c r="AK101" s="4">
        <v>756.7</v>
      </c>
      <c r="AL101" s="4">
        <f ca="1">ROUND(T_Tiktok_ads[[#This Row],[conversions]]*RANDBETWEEN(8,12)/10,0)</f>
        <v>76</v>
      </c>
      <c r="AM101" s="4">
        <f ca="1">ROUND(T_Tiktok_ads[[#This Row],[video_views]]*RANDBETWEEN(8,12)/10,0)</f>
        <v>80987</v>
      </c>
      <c r="AN101" s="4">
        <f ca="1">ROUND(T_Tiktok_ads[[#This Row],[video_watch_25]]*RANDBETWEEN(8,12)/10,0)</f>
        <v>67110</v>
      </c>
      <c r="AO101" s="4">
        <f ca="1">ROUND(T_Tiktok_ads[[#This Row],[video_watch_50]]*RANDBETWEEN(8,12)/10,0)</f>
        <v>45211</v>
      </c>
      <c r="AP101" s="4">
        <f ca="1">ROUND(T_Tiktok_ads[[#This Row],[video_watch_75]]*RANDBETWEEN(8,12)/10,0)</f>
        <v>34101</v>
      </c>
      <c r="AQ101" s="4">
        <f ca="1">ROUND(T_Tiktok_ads[[#This Row],[video_watch_100]]*RANDBETWEEN(8,12)/10,0)</f>
        <v>22711</v>
      </c>
      <c r="AR101" s="4">
        <f ca="1">ROUND(T_Tiktok_ads[[#This Row],[likes]]*RANDBETWEEN(8,12)/10,0)</f>
        <v>5012</v>
      </c>
      <c r="AS101" s="4">
        <f ca="1">ROUND(T_Tiktok_ads[[#This Row],[shares]]*RANDBETWEEN(8,12)/10,0)</f>
        <v>1423</v>
      </c>
      <c r="AT101" s="4">
        <f ca="1">ROUND(T_Tiktok_ads[[#This Row],[comments]]*RANDBETWEEN(8,12)/10,0)</f>
        <v>214</v>
      </c>
      <c r="AV101" s="5">
        <f t="shared" ca="1" si="17"/>
        <v>45219</v>
      </c>
      <c r="AW101">
        <f t="shared" ca="1" si="13"/>
        <v>3</v>
      </c>
      <c r="AX101">
        <f ca="1">ROUND(T_Facebook_Ads11596367717579838791[[#This Row],[impressions]]*RANDBETWEEN(8,12)/10,0)</f>
        <v>13862</v>
      </c>
      <c r="AY101">
        <f ca="1">ROUND(T_Facebook_Ads11596367717579838791[[#This Row],[clicks]]*RANDBETWEEN(8,12)/10,0)</f>
        <v>575</v>
      </c>
      <c r="AZ101">
        <f ca="1">T_Facebook_Ads11596367717579838791[[#This Row],[spend]]*RANDBETWEEN(8,12)/10</f>
        <v>230.76000000000005</v>
      </c>
      <c r="BA101">
        <f ca="1">ROUND(T_Facebook_Ads11596367717579838791[[#This Row],[conversions]]*RANDBETWEEN(8,12)/10,0)</f>
        <v>30</v>
      </c>
      <c r="BB101">
        <f ca="1">ROUND(T_Facebook_Ads11596367717579838791[[#This Row],[video_views]]*RANDBETWEEN(8,12)/10,0)</f>
        <v>958</v>
      </c>
    </row>
    <row r="102" spans="1:54" ht="15.75" thickBot="1" x14ac:dyDescent="0.3">
      <c r="A102" s="3">
        <f t="shared" ca="1" si="14"/>
        <v>45209</v>
      </c>
      <c r="B102" s="4" t="s">
        <v>60</v>
      </c>
      <c r="C102" s="4" t="s">
        <v>61</v>
      </c>
      <c r="D102" s="4" t="s">
        <v>62</v>
      </c>
      <c r="E102" s="4" t="s">
        <v>63</v>
      </c>
      <c r="F102" s="4">
        <f ca="1">ROUND(T_Facebook_Ads[[#This Row],[impressions]]*RANDBETWEEN(8,12)/10,0)</f>
        <v>40280</v>
      </c>
      <c r="G102" s="4">
        <v>1203</v>
      </c>
      <c r="H102" s="4">
        <f ca="1">T_Facebook_Ads[[#This Row],[spend]]*RANDBETWEEN(8,12)/10</f>
        <v>166.05</v>
      </c>
      <c r="I102" s="4">
        <f ca="1">ROUND(T_Facebook_Ads[[#This Row],[conversions]]*RANDBETWEEN(8,12)/10,0)</f>
        <v>30</v>
      </c>
      <c r="J102" s="4">
        <f ca="1">ROUND(T_Facebook_Ads[[#This Row],[video_views]]*RANDBETWEEN(8,12)/10,0)</f>
        <v>3298</v>
      </c>
      <c r="K102" s="4">
        <f ca="1">T_Facebook_Ads[[#This Row],[engagement_rate]]*RANDBETWEEN(8,12)/10</f>
        <v>3.5799999999999998E-2</v>
      </c>
      <c r="L102" s="4">
        <f ca="1">ROUND(T_Facebook_Ads[[#This Row],[reach]]*RANDBETWEEN(8,12)/10,0)</f>
        <v>22312</v>
      </c>
      <c r="M102" s="4">
        <f ca="1">T_Facebook_Ads[[#This Row],[frequency]]*RANDBETWEEN(8,12)/10</f>
        <v>1.3199999999999998</v>
      </c>
      <c r="O102" s="3">
        <f t="shared" ca="1" si="15"/>
        <v>45228</v>
      </c>
      <c r="P102" s="4" t="s">
        <v>84</v>
      </c>
      <c r="Q102" s="4" t="s">
        <v>85</v>
      </c>
      <c r="R102" s="4" t="s">
        <v>86</v>
      </c>
      <c r="S102" s="4" t="s">
        <v>87</v>
      </c>
      <c r="T102" s="4">
        <f ca="1">ROUND(_Google_ads[[#This Row],[impressions]]*RANDBETWEEN(8,12)/10,0)</f>
        <v>79481</v>
      </c>
      <c r="U102" s="4">
        <f ca="1">ROUND(_Google_ads[[#This Row],[clicks]]*RANDBETWEEN(8,12)/10,0)</f>
        <v>1950</v>
      </c>
      <c r="V102" s="4">
        <f ca="1">_Google_ads[[#This Row],[cost]]*RANDBETWEEN(8,12)/10</f>
        <v>435.38</v>
      </c>
      <c r="W102" s="4">
        <f ca="1">ROUND(_Google_ads[[#This Row],[conversions]]*RANDBETWEEN(8,12)/10,0)</f>
        <v>61</v>
      </c>
      <c r="X102" s="4">
        <f ca="1">ROUND(_Google_ads[[#This Row],[conversion_value]]*RANDBETWEEN(8,12)/10,0)</f>
        <v>3355</v>
      </c>
      <c r="Y102" s="4">
        <f ca="1">_Google_ads[[#This Row],[ctr]]*RANDBETWEEN(8,12)/10</f>
        <v>3.5970000000000002E-2</v>
      </c>
      <c r="Z102" s="4">
        <f ca="1">_Google_ads[[#This Row],[avg_cpc]]*RANDBETWEEN(8,12)/10</f>
        <v>0.16199999999999998</v>
      </c>
      <c r="AA102" s="4">
        <f ca="1">ROUND(_Google_ads[[#This Row],[quality_score]]*RANDBETWEEN(8,12)/10,0)</f>
        <v>10</v>
      </c>
      <c r="AB102" s="4">
        <f ca="1">_Google_ads[[#This Row],[search_impression_share]]*RANDBETWEEN(8,12)/10</f>
        <v>0.52800000000000002</v>
      </c>
      <c r="AD102" s="3">
        <f t="shared" ca="1" si="16"/>
        <v>45208</v>
      </c>
      <c r="AE102" s="4" t="s">
        <v>108</v>
      </c>
      <c r="AF102" s="4" t="s">
        <v>109</v>
      </c>
      <c r="AG102" s="4" t="s">
        <v>110</v>
      </c>
      <c r="AH102" s="4" t="s">
        <v>111</v>
      </c>
      <c r="AI102" s="4">
        <f ca="1">ROUND(T_Tiktok_ads[[#This Row],[impressions]]*RANDBETWEEN(8,12)/10,0)</f>
        <v>245802</v>
      </c>
      <c r="AJ102" s="4">
        <f ca="1">ROUND(T_Tiktok_ads[[#This Row],[clicks]]*RANDBETWEEN(8,12)/10,0)</f>
        <v>3567</v>
      </c>
      <c r="AK102" s="4">
        <v>427.7</v>
      </c>
      <c r="AL102" s="4">
        <f ca="1">ROUND(T_Tiktok_ads[[#This Row],[conversions]]*RANDBETWEEN(8,12)/10,0)</f>
        <v>30</v>
      </c>
      <c r="AM102" s="4">
        <f ca="1">ROUND(T_Tiktok_ads[[#This Row],[video_views]]*RANDBETWEEN(8,12)/10,0)</f>
        <v>143121</v>
      </c>
      <c r="AN102" s="4">
        <f ca="1">ROUND(T_Tiktok_ads[[#This Row],[video_watch_25]]*RANDBETWEEN(8,12)/10,0)</f>
        <v>135234</v>
      </c>
      <c r="AO102" s="4">
        <f ca="1">ROUND(T_Tiktok_ads[[#This Row],[video_watch_50]]*RANDBETWEEN(8,12)/10,0)</f>
        <v>117468</v>
      </c>
      <c r="AP102" s="4">
        <f ca="1">ROUND(T_Tiktok_ads[[#This Row],[video_watch_75]]*RANDBETWEEN(8,12)/10,0)</f>
        <v>55387</v>
      </c>
      <c r="AQ102" s="4">
        <f ca="1">ROUND(T_Tiktok_ads[[#This Row],[video_watch_100]]*RANDBETWEEN(8,12)/10,0)</f>
        <v>41789</v>
      </c>
      <c r="AR102" s="4">
        <f ca="1">ROUND(T_Tiktok_ads[[#This Row],[likes]]*RANDBETWEEN(8,12)/10,0)</f>
        <v>9057</v>
      </c>
      <c r="AS102" s="4">
        <f ca="1">ROUND(T_Tiktok_ads[[#This Row],[shares]]*RANDBETWEEN(8,12)/10,0)</f>
        <v>2267</v>
      </c>
      <c r="AT102" s="4">
        <f ca="1">ROUND(T_Tiktok_ads[[#This Row],[comments]]*RANDBETWEEN(8,12)/10,0)</f>
        <v>427</v>
      </c>
      <c r="AV102" s="5">
        <f t="shared" ca="1" si="17"/>
        <v>45217</v>
      </c>
      <c r="AW102">
        <f t="shared" ca="1" si="13"/>
        <v>4</v>
      </c>
      <c r="AX102">
        <f ca="1">ROUND(T_Facebook_Ads11596367717579838791[[#This Row],[impressions]]*RANDBETWEEN(8,12)/10,0)</f>
        <v>36252</v>
      </c>
      <c r="AY102">
        <f ca="1">ROUND(T_Facebook_Ads11596367717579838791[[#This Row],[clicks]]*RANDBETWEEN(8,12)/10,0)</f>
        <v>962</v>
      </c>
      <c r="AZ102">
        <f ca="1">T_Facebook_Ads11596367717579838791[[#This Row],[spend]]*RANDBETWEEN(8,12)/10</f>
        <v>149.44499999999999</v>
      </c>
      <c r="BA102">
        <f ca="1">ROUND(T_Facebook_Ads11596367717579838791[[#This Row],[conversions]]*RANDBETWEEN(8,12)/10,0)</f>
        <v>27</v>
      </c>
      <c r="BB102">
        <f ca="1">ROUND(T_Facebook_Ads11596367717579838791[[#This Row],[video_views]]*RANDBETWEEN(8,12)/10,0)</f>
        <v>3958</v>
      </c>
    </row>
    <row r="103" spans="1:54" ht="15.75" thickBot="1" x14ac:dyDescent="0.3">
      <c r="A103" s="3">
        <f t="shared" ca="1" si="14"/>
        <v>45221</v>
      </c>
      <c r="B103" s="4" t="s">
        <v>64</v>
      </c>
      <c r="C103" s="4" t="s">
        <v>65</v>
      </c>
      <c r="D103" s="4" t="s">
        <v>66</v>
      </c>
      <c r="E103" s="4" t="s">
        <v>67</v>
      </c>
      <c r="F103" s="4">
        <f ca="1">ROUND(T_Facebook_Ads[[#This Row],[impressions]]*RANDBETWEEN(8,12)/10,0)</f>
        <v>59210</v>
      </c>
      <c r="G103" s="4">
        <v>234</v>
      </c>
      <c r="H103" s="4">
        <f ca="1">T_Facebook_Ads[[#This Row],[spend]]*RANDBETWEEN(8,12)/10</f>
        <v>64.320000000000007</v>
      </c>
      <c r="I103" s="4">
        <f ca="1">ROUND(T_Facebook_Ads[[#This Row],[conversions]]*RANDBETWEEN(8,12)/10,0)</f>
        <v>3</v>
      </c>
      <c r="J103" s="4">
        <f ca="1">ROUND(T_Facebook_Ads[[#This Row],[video_views]]*RANDBETWEEN(8,12)/10,0)</f>
        <v>48279</v>
      </c>
      <c r="K103" s="4">
        <f ca="1">T_Facebook_Ads[[#This Row],[engagement_rate]]*RANDBETWEEN(8,12)/10</f>
        <v>3.5999999999999999E-3</v>
      </c>
      <c r="L103" s="4">
        <f ca="1">ROUND(T_Facebook_Ads[[#This Row],[reach]]*RANDBETWEEN(8,12)/10,0)</f>
        <v>54123</v>
      </c>
      <c r="M103" s="4">
        <f ca="1">T_Facebook_Ads[[#This Row],[frequency]]*RANDBETWEEN(8,12)/10</f>
        <v>1.331</v>
      </c>
      <c r="O103" s="3">
        <f t="shared" ca="1" si="15"/>
        <v>45202</v>
      </c>
      <c r="P103" s="4" t="s">
        <v>88</v>
      </c>
      <c r="Q103" s="4" t="s">
        <v>89</v>
      </c>
      <c r="R103" s="4" t="s">
        <v>90</v>
      </c>
      <c r="S103" s="4" t="s">
        <v>59</v>
      </c>
      <c r="T103" s="4">
        <f ca="1">ROUND(_Google_ads[[#This Row],[impressions]]*RANDBETWEEN(8,12)/10,0)</f>
        <v>152814</v>
      </c>
      <c r="U103" s="4">
        <f ca="1">ROUND(_Google_ads[[#This Row],[clicks]]*RANDBETWEEN(8,12)/10,0)</f>
        <v>401</v>
      </c>
      <c r="V103" s="4">
        <f ca="1">_Google_ads[[#This Row],[cost]]*RANDBETWEEN(8,12)/10</f>
        <v>100.08</v>
      </c>
      <c r="W103" s="4">
        <f ca="1">ROUND(_Google_ads[[#This Row],[conversions]]*RANDBETWEEN(8,12)/10,0)</f>
        <v>11</v>
      </c>
      <c r="X103" s="4">
        <f ca="1">ROUND(_Google_ads[[#This Row],[conversion_value]]*RANDBETWEEN(8,12)/10,0)</f>
        <v>660</v>
      </c>
      <c r="Y103" s="4">
        <f ca="1">_Google_ads[[#This Row],[ctr]]*RANDBETWEEN(8,12)/10</f>
        <v>3.5000000000000005E-3</v>
      </c>
      <c r="Z103" s="4">
        <f ca="1">_Google_ads[[#This Row],[avg_cpc]]*RANDBETWEEN(8,12)/10</f>
        <v>0.33600000000000002</v>
      </c>
      <c r="AA103" s="4">
        <f ca="1">ROUND(_Google_ads[[#This Row],[quality_score]]*RANDBETWEEN(8,12)/10,0)</f>
        <v>8</v>
      </c>
      <c r="AB103" s="4">
        <f ca="1">_Google_ads[[#This Row],[search_impression_share]]*RANDBETWEEN(8,12)/10</f>
        <v>0.29700000000000004</v>
      </c>
      <c r="AD103" s="3">
        <f t="shared" ca="1" si="16"/>
        <v>45228</v>
      </c>
      <c r="AE103" s="4" t="s">
        <v>112</v>
      </c>
      <c r="AF103" s="4" t="s">
        <v>113</v>
      </c>
      <c r="AG103" s="4" t="s">
        <v>114</v>
      </c>
      <c r="AH103" s="4" t="s">
        <v>115</v>
      </c>
      <c r="AI103" s="4">
        <f ca="1">ROUND(T_Tiktok_ads[[#This Row],[impressions]]*RANDBETWEEN(8,12)/10,0)</f>
        <v>401234</v>
      </c>
      <c r="AJ103" s="4">
        <f ca="1">ROUND(T_Tiktok_ads[[#This Row],[clicks]]*RANDBETWEEN(8,12)/10,0)</f>
        <v>7102</v>
      </c>
      <c r="AK103" s="4">
        <v>989.9</v>
      </c>
      <c r="AL103" s="4">
        <f ca="1">ROUND(T_Tiktok_ads[[#This Row],[conversions]]*RANDBETWEEN(8,12)/10,0)</f>
        <v>81</v>
      </c>
      <c r="AM103" s="4">
        <f ca="1">ROUND(T_Tiktok_ads[[#This Row],[video_views]]*RANDBETWEEN(8,12)/10,0)</f>
        <v>299111</v>
      </c>
      <c r="AN103" s="4">
        <f ca="1">ROUND(T_Tiktok_ads[[#This Row],[video_watch_25]]*RANDBETWEEN(8,12)/10,0)</f>
        <v>241101</v>
      </c>
      <c r="AO103" s="4">
        <f ca="1">ROUND(T_Tiktok_ads[[#This Row],[video_watch_50]]*RANDBETWEEN(8,12)/10,0)</f>
        <v>214567</v>
      </c>
      <c r="AP103" s="4">
        <f ca="1">ROUND(T_Tiktok_ads[[#This Row],[video_watch_75]]*RANDBETWEEN(8,12)/10,0)</f>
        <v>181481</v>
      </c>
      <c r="AQ103" s="4">
        <f ca="1">ROUND(T_Tiktok_ads[[#This Row],[video_watch_100]]*RANDBETWEEN(8,12)/10,0)</f>
        <v>119480</v>
      </c>
      <c r="AR103" s="4">
        <f ca="1">ROUND(T_Tiktok_ads[[#This Row],[likes]]*RANDBETWEEN(8,12)/10,0)</f>
        <v>17234</v>
      </c>
      <c r="AS103" s="4">
        <f ca="1">ROUND(T_Tiktok_ads[[#This Row],[shares]]*RANDBETWEEN(8,12)/10,0)</f>
        <v>4010</v>
      </c>
      <c r="AT103" s="4">
        <f ca="1">ROUND(T_Tiktok_ads[[#This Row],[comments]]*RANDBETWEEN(8,12)/10,0)</f>
        <v>1654</v>
      </c>
      <c r="AV103" s="5">
        <f t="shared" ca="1" si="17"/>
        <v>45210</v>
      </c>
      <c r="AW103">
        <f t="shared" ca="1" si="13"/>
        <v>5</v>
      </c>
      <c r="AX103">
        <f ca="1">ROUND(T_Facebook_Ads11596367717579838791[[#This Row],[impressions]]*RANDBETWEEN(8,12)/10,0)</f>
        <v>47368</v>
      </c>
      <c r="AY103">
        <f ca="1">ROUND(T_Facebook_Ads11596367717579838791[[#This Row],[clicks]]*RANDBETWEEN(8,12)/10,0)</f>
        <v>257</v>
      </c>
      <c r="AZ103">
        <f ca="1">T_Facebook_Ads11596367717579838791[[#This Row],[spend]]*RANDBETWEEN(8,12)/10</f>
        <v>57.888000000000012</v>
      </c>
      <c r="BA103">
        <f ca="1">ROUND(T_Facebook_Ads11596367717579838791[[#This Row],[conversions]]*RANDBETWEEN(8,12)/10,0)</f>
        <v>3</v>
      </c>
      <c r="BB103">
        <f ca="1">ROUND(T_Facebook_Ads11596367717579838791[[#This Row],[video_views]]*RANDBETWEEN(8,12)/10,0)</f>
        <v>57935</v>
      </c>
    </row>
    <row r="104" spans="1:54" ht="15.75" thickBot="1" x14ac:dyDescent="0.3">
      <c r="A104" s="3">
        <f t="shared" ca="1" si="14"/>
        <v>45207</v>
      </c>
      <c r="B104" s="4" t="s">
        <v>52</v>
      </c>
      <c r="C104" s="4" t="s">
        <v>53</v>
      </c>
      <c r="D104" s="4" t="s">
        <v>54</v>
      </c>
      <c r="E104" s="4" t="s">
        <v>55</v>
      </c>
      <c r="F104" s="4">
        <f ca="1">ROUND(T_Facebook_Ads[[#This Row],[impressions]]*RANDBETWEEN(8,12)/10,0)</f>
        <v>47890</v>
      </c>
      <c r="G104" s="4">
        <v>967</v>
      </c>
      <c r="H104" s="4">
        <f ca="1">T_Facebook_Ads[[#This Row],[spend]]*RANDBETWEEN(8,12)/10</f>
        <v>152.24</v>
      </c>
      <c r="I104" s="4">
        <f ca="1">ROUND(T_Facebook_Ads[[#This Row],[conversions]]*RANDBETWEEN(8,12)/10,0)</f>
        <v>18</v>
      </c>
      <c r="J104" s="4">
        <f ca="1">ROUND(T_Facebook_Ads[[#This Row],[video_views]]*RANDBETWEEN(8,12)/10,0)</f>
        <v>7031</v>
      </c>
      <c r="K104" s="4">
        <f ca="1">T_Facebook_Ads[[#This Row],[engagement_rate]]*RANDBETWEEN(8,12)/10</f>
        <v>2.0199999999999999E-2</v>
      </c>
      <c r="L104" s="4">
        <f ca="1">ROUND(T_Facebook_Ads[[#This Row],[reach]]*RANDBETWEEN(8,12)/10,0)</f>
        <v>40234</v>
      </c>
      <c r="M104" s="4">
        <f ca="1">T_Facebook_Ads[[#This Row],[frequency]]*RANDBETWEEN(8,12)/10</f>
        <v>1.4279999999999999</v>
      </c>
      <c r="O104" s="3">
        <f t="shared" ca="1" si="15"/>
        <v>45224</v>
      </c>
      <c r="P104" s="4" t="s">
        <v>76</v>
      </c>
      <c r="Q104" s="4" t="s">
        <v>77</v>
      </c>
      <c r="R104" s="4" t="s">
        <v>78</v>
      </c>
      <c r="S104" s="4" t="s">
        <v>79</v>
      </c>
      <c r="T104" s="4">
        <f ca="1">ROUND(_Google_ads[[#This Row],[impressions]]*RANDBETWEEN(8,12)/10,0)</f>
        <v>29868</v>
      </c>
      <c r="U104" s="4">
        <f ca="1">ROUND(_Google_ads[[#This Row],[clicks]]*RANDBETWEEN(8,12)/10,0)</f>
        <v>1022</v>
      </c>
      <c r="V104" s="4">
        <f ca="1">_Google_ads[[#This Row],[cost]]*RANDBETWEEN(8,12)/10</f>
        <v>244.2</v>
      </c>
      <c r="W104" s="4">
        <f ca="1">ROUND(_Google_ads[[#This Row],[conversions]]*RANDBETWEEN(8,12)/10,0)</f>
        <v>42</v>
      </c>
      <c r="X104" s="4">
        <f ca="1">ROUND(_Google_ads[[#This Row],[conversion_value]]*RANDBETWEEN(8,12)/10,0)</f>
        <v>2585</v>
      </c>
      <c r="Y104" s="4">
        <f ca="1">_Google_ads[[#This Row],[ctr]]*RANDBETWEEN(8,12)/10</f>
        <v>5.1299999999999998E-2</v>
      </c>
      <c r="Z104" s="4">
        <f ca="1">_Google_ads[[#This Row],[avg_cpc]]*RANDBETWEEN(8,12)/10</f>
        <v>0.17099999999999999</v>
      </c>
      <c r="AA104" s="4">
        <f ca="1">ROUND(_Google_ads[[#This Row],[quality_score]]*RANDBETWEEN(8,12)/10,0)</f>
        <v>10</v>
      </c>
      <c r="AB104" s="4">
        <f ca="1">_Google_ads[[#This Row],[search_impression_share]]*RANDBETWEEN(8,12)/10</f>
        <v>0.81899999999999995</v>
      </c>
      <c r="AD104" s="3">
        <f t="shared" ca="1" si="16"/>
        <v>45221</v>
      </c>
      <c r="AE104" s="4" t="s">
        <v>100</v>
      </c>
      <c r="AF104" s="4" t="s">
        <v>101</v>
      </c>
      <c r="AG104" s="4" t="s">
        <v>102</v>
      </c>
      <c r="AH104" s="4" t="s">
        <v>103</v>
      </c>
      <c r="AI104" s="4">
        <f ca="1">ROUND(T_Tiktok_ads[[#This Row],[impressions]]*RANDBETWEEN(8,12)/10,0)</f>
        <v>289012</v>
      </c>
      <c r="AJ104" s="4">
        <f ca="1">ROUND(T_Tiktok_ads[[#This Row],[clicks]]*RANDBETWEEN(8,12)/10,0)</f>
        <v>5081</v>
      </c>
      <c r="AK104" s="4">
        <v>556.70000000000005</v>
      </c>
      <c r="AL104" s="4">
        <f ca="1">ROUND(T_Tiktok_ads[[#This Row],[conversions]]*RANDBETWEEN(8,12)/10,0)</f>
        <v>39</v>
      </c>
      <c r="AM104" s="4">
        <f ca="1">ROUND(T_Tiktok_ads[[#This Row],[video_views]]*RANDBETWEEN(8,12)/10,0)</f>
        <v>187654</v>
      </c>
      <c r="AN104" s="4">
        <f ca="1">ROUND(T_Tiktok_ads[[#This Row],[video_watch_25]]*RANDBETWEEN(8,12)/10,0)</f>
        <v>164111</v>
      </c>
      <c r="AO104" s="4">
        <f ca="1">ROUND(T_Tiktok_ads[[#This Row],[video_watch_50]]*RANDBETWEEN(8,12)/10,0)</f>
        <v>137480</v>
      </c>
      <c r="AP104" s="4">
        <f ca="1">ROUND(T_Tiktok_ads[[#This Row],[video_watch_75]]*RANDBETWEEN(8,12)/10,0)</f>
        <v>84957</v>
      </c>
      <c r="AQ104" s="4">
        <f ca="1">ROUND(T_Tiktok_ads[[#This Row],[video_watch_100]]*RANDBETWEEN(8,12)/10,0)</f>
        <v>56357</v>
      </c>
      <c r="AR104" s="4">
        <f ca="1">ROUND(T_Tiktok_ads[[#This Row],[likes]]*RANDBETWEEN(8,12)/10,0)</f>
        <v>12414</v>
      </c>
      <c r="AS104" s="4">
        <f ca="1">ROUND(T_Tiktok_ads[[#This Row],[shares]]*RANDBETWEEN(8,12)/10,0)</f>
        <v>2231</v>
      </c>
      <c r="AT104" s="4">
        <f ca="1">ROUND(T_Tiktok_ads[[#This Row],[comments]]*RANDBETWEEN(8,12)/10,0)</f>
        <v>722</v>
      </c>
      <c r="AV104" s="5">
        <f t="shared" ca="1" si="17"/>
        <v>45218</v>
      </c>
      <c r="AW104">
        <f t="shared" ca="1" si="13"/>
        <v>3</v>
      </c>
      <c r="AX104">
        <f ca="1">ROUND(T_Facebook_Ads11596367717579838791[[#This Row],[impressions]]*RANDBETWEEN(8,12)/10,0)</f>
        <v>47890</v>
      </c>
      <c r="AY104">
        <f ca="1">ROUND(T_Facebook_Ads11596367717579838791[[#This Row],[clicks]]*RANDBETWEEN(8,12)/10,0)</f>
        <v>870</v>
      </c>
      <c r="AZ104">
        <f ca="1">T_Facebook_Ads11596367717579838791[[#This Row],[spend]]*RANDBETWEEN(8,12)/10</f>
        <v>167.464</v>
      </c>
      <c r="BA104">
        <f ca="1">ROUND(T_Facebook_Ads11596367717579838791[[#This Row],[conversions]]*RANDBETWEEN(8,12)/10,0)</f>
        <v>22</v>
      </c>
      <c r="BB104">
        <f ca="1">ROUND(T_Facebook_Ads11596367717579838791[[#This Row],[video_views]]*RANDBETWEEN(8,12)/10,0)</f>
        <v>7734</v>
      </c>
    </row>
    <row r="105" spans="1:54" ht="15.75" thickBot="1" x14ac:dyDescent="0.3">
      <c r="A105" s="3">
        <f t="shared" ca="1" si="14"/>
        <v>45212</v>
      </c>
      <c r="B105" s="4" t="s">
        <v>56</v>
      </c>
      <c r="C105" s="4" t="s">
        <v>57</v>
      </c>
      <c r="D105" s="4" t="s">
        <v>58</v>
      </c>
      <c r="E105" s="4" t="s">
        <v>59</v>
      </c>
      <c r="F105" s="4">
        <f ca="1">ROUND(T_Facebook_Ads[[#This Row],[impressions]]*RANDBETWEEN(8,12)/10,0)</f>
        <v>10587</v>
      </c>
      <c r="G105" s="4">
        <v>612</v>
      </c>
      <c r="H105" s="4">
        <f ca="1">T_Facebook_Ads[[#This Row],[spend]]*RANDBETWEEN(8,12)/10</f>
        <v>271.8</v>
      </c>
      <c r="I105" s="4">
        <f ca="1">ROUND(T_Facebook_Ads[[#This Row],[conversions]]*RANDBETWEEN(8,12)/10,0)</f>
        <v>39</v>
      </c>
      <c r="J105" s="4">
        <f ca="1">ROUND(T_Facebook_Ads[[#This Row],[video_views]]*RANDBETWEEN(8,12)/10,0)</f>
        <v>1480</v>
      </c>
      <c r="K105" s="4">
        <f ca="1">T_Facebook_Ads[[#This Row],[engagement_rate]]*RANDBETWEEN(8,12)/10</f>
        <v>3.7040000000000003E-2</v>
      </c>
      <c r="L105" s="4">
        <f ca="1">ROUND(T_Facebook_Ads[[#This Row],[reach]]*RANDBETWEEN(8,12)/10,0)</f>
        <v>12547</v>
      </c>
      <c r="M105" s="4">
        <f ca="1">T_Facebook_Ads[[#This Row],[frequency]]*RANDBETWEEN(8,12)/10</f>
        <v>1.524</v>
      </c>
      <c r="O105" s="3">
        <f t="shared" ca="1" si="15"/>
        <v>45216</v>
      </c>
      <c r="P105" s="4" t="s">
        <v>80</v>
      </c>
      <c r="Q105" s="4" t="s">
        <v>81</v>
      </c>
      <c r="R105" s="4" t="s">
        <v>82</v>
      </c>
      <c r="S105" s="4" t="s">
        <v>83</v>
      </c>
      <c r="T105" s="4">
        <f ca="1">ROUND(_Google_ads[[#This Row],[impressions]]*RANDBETWEEN(8,12)/10,0)</f>
        <v>49024</v>
      </c>
      <c r="U105" s="4">
        <f ca="1">ROUND(_Google_ads[[#This Row],[clicks]]*RANDBETWEEN(8,12)/10,0)</f>
        <v>966</v>
      </c>
      <c r="V105" s="4">
        <f ca="1">_Google_ads[[#This Row],[cost]]*RANDBETWEEN(8,12)/10</f>
        <v>627.87999999999988</v>
      </c>
      <c r="W105" s="4">
        <f ca="1">ROUND(_Google_ads[[#This Row],[conversions]]*RANDBETWEEN(8,12)/10,0)</f>
        <v>23</v>
      </c>
      <c r="X105" s="4">
        <f ca="1">ROUND(_Google_ads[[#This Row],[conversion_value]]*RANDBETWEEN(8,12)/10,0)</f>
        <v>1265</v>
      </c>
      <c r="Y105" s="4">
        <f ca="1">_Google_ads[[#This Row],[ctr]]*RANDBETWEEN(8,12)/10</f>
        <v>1.7729999999999999E-2</v>
      </c>
      <c r="Z105" s="4">
        <f ca="1">_Google_ads[[#This Row],[avg_cpc]]*RANDBETWEEN(8,12)/10</f>
        <v>0.52</v>
      </c>
      <c r="AA105" s="4">
        <f ca="1">ROUND(_Google_ads[[#This Row],[quality_score]]*RANDBETWEEN(8,12)/10,0)</f>
        <v>6</v>
      </c>
      <c r="AB105" s="4">
        <f ca="1">_Google_ads[[#This Row],[search_impression_share]]*RANDBETWEEN(8,12)/10</f>
        <v>0.35199999999999998</v>
      </c>
      <c r="AD105" s="3">
        <f t="shared" ca="1" si="16"/>
        <v>45207</v>
      </c>
      <c r="AE105" s="4" t="s">
        <v>104</v>
      </c>
      <c r="AF105" s="4" t="s">
        <v>105</v>
      </c>
      <c r="AG105" s="4" t="s">
        <v>106</v>
      </c>
      <c r="AH105" s="4" t="s">
        <v>107</v>
      </c>
      <c r="AI105" s="4">
        <f ca="1">ROUND(T_Tiktok_ads[[#This Row],[impressions]]*RANDBETWEEN(8,12)/10,0)</f>
        <v>172468</v>
      </c>
      <c r="AJ105" s="4">
        <f ca="1">ROUND(T_Tiktok_ads[[#This Row],[clicks]]*RANDBETWEEN(8,12)/10,0)</f>
        <v>3012</v>
      </c>
      <c r="AK105" s="4">
        <v>812.3</v>
      </c>
      <c r="AL105" s="4">
        <f ca="1">ROUND(T_Tiktok_ads[[#This Row],[conversions]]*RANDBETWEEN(8,12)/10,0)</f>
        <v>90</v>
      </c>
      <c r="AM105" s="4">
        <f ca="1">ROUND(T_Tiktok_ads[[#This Row],[video_views]]*RANDBETWEEN(8,12)/10,0)</f>
        <v>98888</v>
      </c>
      <c r="AN105" s="4">
        <f ca="1">ROUND(T_Tiktok_ads[[#This Row],[video_watch_25]]*RANDBETWEEN(8,12)/10,0)</f>
        <v>97481</v>
      </c>
      <c r="AO105" s="4">
        <f ca="1">ROUND(T_Tiktok_ads[[#This Row],[video_watch_50]]*RANDBETWEEN(8,12)/10,0)</f>
        <v>60146</v>
      </c>
      <c r="AP105" s="4">
        <f ca="1">ROUND(T_Tiktok_ads[[#This Row],[video_watch_75]]*RANDBETWEEN(8,12)/10,0)</f>
        <v>45357</v>
      </c>
      <c r="AQ105" s="4">
        <f ca="1">ROUND(T_Tiktok_ads[[#This Row],[video_watch_100]]*RANDBETWEEN(8,12)/10,0)</f>
        <v>24810</v>
      </c>
      <c r="AR105" s="4">
        <f ca="1">ROUND(T_Tiktok_ads[[#This Row],[likes]]*RANDBETWEEN(8,12)/10,0)</f>
        <v>6002</v>
      </c>
      <c r="AS105" s="4">
        <f ca="1">ROUND(T_Tiktok_ads[[#This Row],[shares]]*RANDBETWEEN(8,12)/10,0)</f>
        <v>1254</v>
      </c>
      <c r="AT105" s="4">
        <f ca="1">ROUND(T_Tiktok_ads[[#This Row],[comments]]*RANDBETWEEN(8,12)/10,0)</f>
        <v>347</v>
      </c>
      <c r="AV105" s="5">
        <f t="shared" ca="1" si="17"/>
        <v>45223</v>
      </c>
      <c r="AW105">
        <f t="shared" ca="1" si="13"/>
        <v>7</v>
      </c>
      <c r="AX105">
        <f ca="1">ROUND(T_Facebook_Ads11596367717579838791[[#This Row],[impressions]]*RANDBETWEEN(8,12)/10,0)</f>
        <v>8470</v>
      </c>
      <c r="AY105">
        <f ca="1">ROUND(T_Facebook_Ads11596367717579838791[[#This Row],[clicks]]*RANDBETWEEN(8,12)/10,0)</f>
        <v>734</v>
      </c>
      <c r="AZ105">
        <f ca="1">T_Facebook_Ads11596367717579838791[[#This Row],[spend]]*RANDBETWEEN(8,12)/10</f>
        <v>326.16000000000003</v>
      </c>
      <c r="BA105">
        <f ca="1">ROUND(T_Facebook_Ads11596367717579838791[[#This Row],[conversions]]*RANDBETWEEN(8,12)/10,0)</f>
        <v>47</v>
      </c>
      <c r="BB105">
        <f ca="1">ROUND(T_Facebook_Ads11596367717579838791[[#This Row],[video_views]]*RANDBETWEEN(8,12)/10,0)</f>
        <v>1184</v>
      </c>
    </row>
    <row r="106" spans="1:54" ht="15.75" thickBot="1" x14ac:dyDescent="0.3">
      <c r="A106" s="3">
        <f t="shared" ca="1" si="14"/>
        <v>45215</v>
      </c>
      <c r="B106" s="4" t="s">
        <v>60</v>
      </c>
      <c r="C106" s="4" t="s">
        <v>61</v>
      </c>
      <c r="D106" s="4" t="s">
        <v>62</v>
      </c>
      <c r="E106" s="4" t="s">
        <v>63</v>
      </c>
      <c r="F106" s="4">
        <f ca="1">ROUND(T_Facebook_Ads[[#This Row],[impressions]]*RANDBETWEEN(8,12)/10,0)</f>
        <v>39857</v>
      </c>
      <c r="G106" s="4">
        <v>1334</v>
      </c>
      <c r="H106" s="4">
        <f ca="1">T_Facebook_Ads[[#This Row],[spend]]*RANDBETWEEN(8,12)/10</f>
        <v>183.32999999999998</v>
      </c>
      <c r="I106" s="4">
        <f ca="1">ROUND(T_Facebook_Ads[[#This Row],[conversions]]*RANDBETWEEN(8,12)/10,0)</f>
        <v>25</v>
      </c>
      <c r="J106" s="4">
        <f ca="1">ROUND(T_Facebook_Ads[[#This Row],[video_views]]*RANDBETWEEN(8,12)/10,0)</f>
        <v>4678</v>
      </c>
      <c r="K106" s="4">
        <f ca="1">T_Facebook_Ads[[#This Row],[engagement_rate]]*RANDBETWEEN(8,12)/10</f>
        <v>2.9440000000000001E-2</v>
      </c>
      <c r="L106" s="4">
        <f ca="1">ROUND(T_Facebook_Ads[[#This Row],[reach]]*RANDBETWEEN(8,12)/10,0)</f>
        <v>24098</v>
      </c>
      <c r="M106" s="4">
        <f ca="1">T_Facebook_Ads[[#This Row],[frequency]]*RANDBETWEEN(8,12)/10</f>
        <v>1.44</v>
      </c>
      <c r="O106" s="3">
        <f t="shared" ca="1" si="15"/>
        <v>45230</v>
      </c>
      <c r="P106" s="4" t="s">
        <v>84</v>
      </c>
      <c r="Q106" s="4" t="s">
        <v>85</v>
      </c>
      <c r="R106" s="4" t="s">
        <v>86</v>
      </c>
      <c r="S106" s="4" t="s">
        <v>87</v>
      </c>
      <c r="T106" s="4">
        <f ca="1">ROUND(_Google_ads[[#This Row],[impressions]]*RANDBETWEEN(8,12)/10,0)</f>
        <v>82147</v>
      </c>
      <c r="U106" s="4">
        <f ca="1">ROUND(_Google_ads[[#This Row],[clicks]]*RANDBETWEEN(8,12)/10,0)</f>
        <v>2518</v>
      </c>
      <c r="V106" s="4">
        <f ca="1">_Google_ads[[#This Row],[cost]]*RANDBETWEEN(8,12)/10</f>
        <v>335.6</v>
      </c>
      <c r="W106" s="4">
        <f ca="1">ROUND(_Google_ads[[#This Row],[conversions]]*RANDBETWEEN(8,12)/10,0)</f>
        <v>53</v>
      </c>
      <c r="X106" s="4">
        <f ca="1">ROUND(_Google_ads[[#This Row],[conversion_value]]*RANDBETWEEN(8,12)/10,0)</f>
        <v>3960</v>
      </c>
      <c r="Y106" s="4">
        <f ca="1">_Google_ads[[#This Row],[ctr]]*RANDBETWEEN(8,12)/10</f>
        <v>3.3399999999999999E-2</v>
      </c>
      <c r="Z106" s="4">
        <f ca="1">_Google_ads[[#This Row],[avg_cpc]]*RANDBETWEEN(8,12)/10</f>
        <v>0.21600000000000003</v>
      </c>
      <c r="AA106" s="4">
        <f ca="1">ROUND(_Google_ads[[#This Row],[quality_score]]*RANDBETWEEN(8,12)/10,0)</f>
        <v>7</v>
      </c>
      <c r="AB106" s="4">
        <f ca="1">_Google_ads[[#This Row],[search_impression_share]]*RANDBETWEEN(8,12)/10</f>
        <v>0.73699999999999999</v>
      </c>
      <c r="AD106" s="3">
        <f t="shared" ca="1" si="16"/>
        <v>45208</v>
      </c>
      <c r="AE106" s="4" t="s">
        <v>108</v>
      </c>
      <c r="AF106" s="4" t="s">
        <v>109</v>
      </c>
      <c r="AG106" s="4" t="s">
        <v>110</v>
      </c>
      <c r="AH106" s="4" t="s">
        <v>111</v>
      </c>
      <c r="AI106" s="4">
        <f ca="1">ROUND(T_Tiktok_ads[[#This Row],[impressions]]*RANDBETWEEN(8,12)/10,0)</f>
        <v>245678</v>
      </c>
      <c r="AJ106" s="4">
        <f ca="1">ROUND(T_Tiktok_ads[[#This Row],[clicks]]*RANDBETWEEN(8,12)/10,0)</f>
        <v>3112</v>
      </c>
      <c r="AK106" s="4">
        <v>467.8</v>
      </c>
      <c r="AL106" s="4">
        <f ca="1">ROUND(T_Tiktok_ads[[#This Row],[conversions]]*RANDBETWEEN(8,12)/10,0)</f>
        <v>27</v>
      </c>
      <c r="AM106" s="4">
        <f ca="1">ROUND(T_Tiktok_ads[[#This Row],[video_views]]*RANDBETWEEN(8,12)/10,0)</f>
        <v>234814</v>
      </c>
      <c r="AN106" s="4">
        <f ca="1">ROUND(T_Tiktok_ads[[#This Row],[video_watch_25]]*RANDBETWEEN(8,12)/10,0)</f>
        <v>118587</v>
      </c>
      <c r="AO106" s="4">
        <f ca="1">ROUND(T_Tiktok_ads[[#This Row],[video_watch_50]]*RANDBETWEEN(8,12)/10,0)</f>
        <v>128957</v>
      </c>
      <c r="AP106" s="4">
        <f ca="1">ROUND(T_Tiktok_ads[[#This Row],[video_watch_75]]*RANDBETWEEN(8,12)/10,0)</f>
        <v>67711</v>
      </c>
      <c r="AQ106" s="4">
        <f ca="1">ROUND(T_Tiktok_ads[[#This Row],[video_watch_100]]*RANDBETWEEN(8,12)/10,0)</f>
        <v>54947</v>
      </c>
      <c r="AR106" s="4">
        <f ca="1">ROUND(T_Tiktok_ads[[#This Row],[likes]]*RANDBETWEEN(8,12)/10,0)</f>
        <v>6854</v>
      </c>
      <c r="AS106" s="4">
        <f ca="1">ROUND(T_Tiktok_ads[[#This Row],[shares]]*RANDBETWEEN(8,12)/10,0)</f>
        <v>1876</v>
      </c>
      <c r="AT106" s="4">
        <f ca="1">ROUND(T_Tiktok_ads[[#This Row],[comments]]*RANDBETWEEN(8,12)/10,0)</f>
        <v>454</v>
      </c>
      <c r="AV106" s="5">
        <f t="shared" ca="1" si="17"/>
        <v>45218</v>
      </c>
      <c r="AW106">
        <f t="shared" ca="1" si="13"/>
        <v>7</v>
      </c>
      <c r="AX106">
        <f ca="1">ROUND(T_Facebook_Ads11596367717579838791[[#This Row],[impressions]]*RANDBETWEEN(8,12)/10,0)</f>
        <v>39857</v>
      </c>
      <c r="AY106">
        <f ca="1">ROUND(T_Facebook_Ads11596367717579838791[[#This Row],[clicks]]*RANDBETWEEN(8,12)/10,0)</f>
        <v>1201</v>
      </c>
      <c r="AZ106">
        <f ca="1">T_Facebook_Ads11596367717579838791[[#This Row],[spend]]*RANDBETWEEN(8,12)/10</f>
        <v>201.66299999999998</v>
      </c>
      <c r="BA106">
        <f ca="1">ROUND(T_Facebook_Ads11596367717579838791[[#This Row],[conversions]]*RANDBETWEEN(8,12)/10,0)</f>
        <v>28</v>
      </c>
      <c r="BB106">
        <f ca="1">ROUND(T_Facebook_Ads11596367717579838791[[#This Row],[video_views]]*RANDBETWEEN(8,12)/10,0)</f>
        <v>4678</v>
      </c>
    </row>
    <row r="107" spans="1:54" ht="15.75" thickBot="1" x14ac:dyDescent="0.3">
      <c r="A107" s="3">
        <f t="shared" ca="1" si="14"/>
        <v>45202</v>
      </c>
      <c r="B107" s="4" t="s">
        <v>64</v>
      </c>
      <c r="C107" s="4" t="s">
        <v>65</v>
      </c>
      <c r="D107" s="4" t="s">
        <v>66</v>
      </c>
      <c r="E107" s="4" t="s">
        <v>67</v>
      </c>
      <c r="F107" s="4">
        <f ca="1">ROUND(T_Facebook_Ads[[#This Row],[impressions]]*RANDBETWEEN(8,12)/10,0)</f>
        <v>55654</v>
      </c>
      <c r="G107" s="4">
        <v>253</v>
      </c>
      <c r="H107" s="4">
        <f ca="1">T_Facebook_Ads[[#This Row],[spend]]*RANDBETWEEN(8,12)/10</f>
        <v>97.570000000000007</v>
      </c>
      <c r="I107" s="4">
        <f ca="1">ROUND(T_Facebook_Ads[[#This Row],[conversions]]*RANDBETWEEN(8,12)/10,0)</f>
        <v>7</v>
      </c>
      <c r="J107" s="4">
        <f ca="1">ROUND(T_Facebook_Ads[[#This Row],[video_views]]*RANDBETWEEN(8,12)/10,0)</f>
        <v>46890</v>
      </c>
      <c r="K107" s="4">
        <f ca="1">T_Facebook_Ads[[#This Row],[engagement_rate]]*RANDBETWEEN(8,12)/10</f>
        <v>3.2399999999999998E-3</v>
      </c>
      <c r="L107" s="4">
        <f ca="1">ROUND(T_Facebook_Ads[[#This Row],[reach]]*RANDBETWEEN(8,12)/10,0)</f>
        <v>62835</v>
      </c>
      <c r="M107" s="4">
        <f ca="1">T_Facebook_Ads[[#This Row],[frequency]]*RANDBETWEEN(8,12)/10</f>
        <v>0.97599999999999998</v>
      </c>
      <c r="O107" s="3">
        <f t="shared" ca="1" si="15"/>
        <v>45200</v>
      </c>
      <c r="P107" s="4" t="s">
        <v>88</v>
      </c>
      <c r="Q107" s="4" t="s">
        <v>89</v>
      </c>
      <c r="R107" s="4" t="s">
        <v>90</v>
      </c>
      <c r="S107" s="4" t="s">
        <v>59</v>
      </c>
      <c r="T107" s="4">
        <f ca="1">ROUND(_Google_ads[[#This Row],[impressions]]*RANDBETWEEN(8,12)/10,0)</f>
        <v>104987</v>
      </c>
      <c r="U107" s="4">
        <f ca="1">ROUND(_Google_ads[[#This Row],[clicks]]*RANDBETWEEN(8,12)/10,0)</f>
        <v>560</v>
      </c>
      <c r="V107" s="4">
        <f ca="1">_Google_ads[[#This Row],[cost]]*RANDBETWEEN(8,12)/10</f>
        <v>116.01000000000002</v>
      </c>
      <c r="W107" s="4">
        <f ca="1">ROUND(_Google_ads[[#This Row],[conversions]]*RANDBETWEEN(8,12)/10,0)</f>
        <v>13</v>
      </c>
      <c r="X107" s="4">
        <f ca="1">ROUND(_Google_ads[[#This Row],[conversion_value]]*RANDBETWEEN(8,12)/10,0)</f>
        <v>780</v>
      </c>
      <c r="Y107" s="4">
        <f ca="1">_Google_ads[[#This Row],[ctr]]*RANDBETWEEN(8,12)/10</f>
        <v>2.8799999999999997E-3</v>
      </c>
      <c r="Z107" s="4">
        <f ca="1">_Google_ads[[#This Row],[avg_cpc]]*RANDBETWEEN(8,12)/10</f>
        <v>0.308</v>
      </c>
      <c r="AA107" s="4">
        <f ca="1">ROUND(_Google_ads[[#This Row],[quality_score]]*RANDBETWEEN(8,12)/10,0)</f>
        <v>7</v>
      </c>
      <c r="AB107" s="4">
        <f ca="1">_Google_ads[[#This Row],[search_impression_share]]*RANDBETWEEN(8,12)/10</f>
        <v>0.30599999999999999</v>
      </c>
      <c r="AD107" s="3">
        <f t="shared" ca="1" si="16"/>
        <v>45216</v>
      </c>
      <c r="AE107" s="4" t="s">
        <v>112</v>
      </c>
      <c r="AF107" s="4" t="s">
        <v>113</v>
      </c>
      <c r="AG107" s="4" t="s">
        <v>114</v>
      </c>
      <c r="AH107" s="4" t="s">
        <v>115</v>
      </c>
      <c r="AI107" s="4">
        <f ca="1">ROUND(T_Tiktok_ads[[#This Row],[impressions]]*RANDBETWEEN(8,12)/10,0)</f>
        <v>423456</v>
      </c>
      <c r="AJ107" s="4">
        <f ca="1">ROUND(T_Tiktok_ads[[#This Row],[clicks]]*RANDBETWEEN(8,12)/10,0)</f>
        <v>7579</v>
      </c>
      <c r="AK107" s="4">
        <v>1056.8</v>
      </c>
      <c r="AL107" s="4">
        <f ca="1">ROUND(T_Tiktok_ads[[#This Row],[conversions]]*RANDBETWEEN(8,12)/10,0)</f>
        <v>96</v>
      </c>
      <c r="AM107" s="4">
        <f ca="1">ROUND(T_Tiktok_ads[[#This Row],[video_views]]*RANDBETWEEN(8,12)/10,0)</f>
        <v>285431</v>
      </c>
      <c r="AN107" s="4">
        <f ca="1">ROUND(T_Tiktok_ads[[#This Row],[video_watch_25]]*RANDBETWEEN(8,12)/10,0)</f>
        <v>347081</v>
      </c>
      <c r="AO107" s="4">
        <f ca="1">ROUND(T_Tiktok_ads[[#This Row],[video_watch_50]]*RANDBETWEEN(8,12)/10,0)</f>
        <v>254602</v>
      </c>
      <c r="AP107" s="4">
        <f ca="1">ROUND(T_Tiktok_ads[[#This Row],[video_watch_75]]*RANDBETWEEN(8,12)/10,0)</f>
        <v>181024</v>
      </c>
      <c r="AQ107" s="4">
        <f ca="1">ROUND(T_Tiktok_ads[[#This Row],[video_watch_100]]*RANDBETWEEN(8,12)/10,0)</f>
        <v>87387</v>
      </c>
      <c r="AR107" s="4">
        <f ca="1">ROUND(T_Tiktok_ads[[#This Row],[likes]]*RANDBETWEEN(8,12)/10,0)</f>
        <v>17001</v>
      </c>
      <c r="AS107" s="4">
        <f ca="1">ROUND(T_Tiktok_ads[[#This Row],[shares]]*RANDBETWEEN(8,12)/10,0)</f>
        <v>6002</v>
      </c>
      <c r="AT107" s="4">
        <f ca="1">ROUND(T_Tiktok_ads[[#This Row],[comments]]*RANDBETWEEN(8,12)/10,0)</f>
        <v>1340</v>
      </c>
      <c r="AV107" s="5">
        <f t="shared" ca="1" si="17"/>
        <v>45208</v>
      </c>
      <c r="AW107">
        <f t="shared" ca="1" si="13"/>
        <v>1</v>
      </c>
      <c r="AX107">
        <f ca="1">ROUND(T_Facebook_Ads11596367717579838791[[#This Row],[impressions]]*RANDBETWEEN(8,12)/10,0)</f>
        <v>61219</v>
      </c>
      <c r="AY107">
        <f ca="1">ROUND(T_Facebook_Ads11596367717579838791[[#This Row],[clicks]]*RANDBETWEEN(8,12)/10,0)</f>
        <v>253</v>
      </c>
      <c r="AZ107">
        <f ca="1">T_Facebook_Ads11596367717579838791[[#This Row],[spend]]*RANDBETWEEN(8,12)/10</f>
        <v>117.08400000000002</v>
      </c>
      <c r="BA107">
        <f ca="1">ROUND(T_Facebook_Ads11596367717579838791[[#This Row],[conversions]]*RANDBETWEEN(8,12)/10,0)</f>
        <v>7</v>
      </c>
      <c r="BB107">
        <f ca="1">ROUND(T_Facebook_Ads11596367717579838791[[#This Row],[video_views]]*RANDBETWEEN(8,12)/10,0)</f>
        <v>51579</v>
      </c>
    </row>
    <row r="108" spans="1:54" ht="15.75" thickBot="1" x14ac:dyDescent="0.3">
      <c r="A108" s="3">
        <f t="shared" ca="1" si="14"/>
        <v>45228</v>
      </c>
      <c r="B108" s="4" t="s">
        <v>52</v>
      </c>
      <c r="C108" s="4" t="s">
        <v>53</v>
      </c>
      <c r="D108" s="4" t="s">
        <v>54</v>
      </c>
      <c r="E108" s="4" t="s">
        <v>55</v>
      </c>
      <c r="F108" s="4">
        <f ca="1">ROUND(T_Facebook_Ads[[#This Row],[impressions]]*RANDBETWEEN(8,12)/10,0)</f>
        <v>54157</v>
      </c>
      <c r="G108" s="4">
        <v>1001</v>
      </c>
      <c r="H108" s="4">
        <f ca="1">T_Facebook_Ads[[#This Row],[spend]]*RANDBETWEEN(8,12)/10</f>
        <v>128.52000000000001</v>
      </c>
      <c r="I108" s="4">
        <f ca="1">ROUND(T_Facebook_Ads[[#This Row],[conversions]]*RANDBETWEEN(8,12)/10,0)</f>
        <v>16</v>
      </c>
      <c r="J108" s="4">
        <f ca="1">ROUND(T_Facebook_Ads[[#This Row],[video_views]]*RANDBETWEEN(8,12)/10,0)</f>
        <v>8111</v>
      </c>
      <c r="K108" s="4">
        <f ca="1">T_Facebook_Ads[[#This Row],[engagement_rate]]*RANDBETWEEN(8,12)/10</f>
        <v>2.0299999999999999E-2</v>
      </c>
      <c r="L108" s="4">
        <f ca="1">ROUND(T_Facebook_Ads[[#This Row],[reach]]*RANDBETWEEN(8,12)/10,0)</f>
        <v>41567</v>
      </c>
      <c r="M108" s="4">
        <f ca="1">T_Facebook_Ads[[#This Row],[frequency]]*RANDBETWEEN(8,12)/10</f>
        <v>0.94399999999999995</v>
      </c>
      <c r="O108" s="3">
        <f t="shared" ca="1" si="15"/>
        <v>45215</v>
      </c>
      <c r="P108" s="4" t="s">
        <v>76</v>
      </c>
      <c r="Q108" s="4" t="s">
        <v>77</v>
      </c>
      <c r="R108" s="4" t="s">
        <v>78</v>
      </c>
      <c r="S108" s="4" t="s">
        <v>79</v>
      </c>
      <c r="T108" s="4">
        <f ca="1">ROUND(_Google_ads[[#This Row],[impressions]]*RANDBETWEEN(8,12)/10,0)</f>
        <v>25456</v>
      </c>
      <c r="U108" s="4">
        <f ca="1">ROUND(_Google_ads[[#This Row],[clicks]]*RANDBETWEEN(8,12)/10,0)</f>
        <v>1334</v>
      </c>
      <c r="V108" s="4">
        <f ca="1">_Google_ads[[#This Row],[cost]]*RANDBETWEEN(8,12)/10</f>
        <v>305.52</v>
      </c>
      <c r="W108" s="4">
        <f ca="1">ROUND(_Google_ads[[#This Row],[conversions]]*RANDBETWEEN(8,12)/10,0)</f>
        <v>55</v>
      </c>
      <c r="X108" s="4">
        <f ca="1">ROUND(_Google_ads[[#This Row],[conversion_value]]*RANDBETWEEN(8,12)/10,0)</f>
        <v>3000</v>
      </c>
      <c r="Y108" s="4">
        <f ca="1">_Google_ads[[#This Row],[ctr]]*RANDBETWEEN(8,12)/10</f>
        <v>5.7640000000000004E-2</v>
      </c>
      <c r="Z108" s="4">
        <f ca="1">_Google_ads[[#This Row],[avg_cpc]]*RANDBETWEEN(8,12)/10</f>
        <v>0.152</v>
      </c>
      <c r="AA108" s="4">
        <f ca="1">ROUND(_Google_ads[[#This Row],[quality_score]]*RANDBETWEEN(8,12)/10,0)</f>
        <v>9</v>
      </c>
      <c r="AB108" s="4">
        <f ca="1">_Google_ads[[#This Row],[search_impression_share]]*RANDBETWEEN(8,12)/10</f>
        <v>0.82800000000000007</v>
      </c>
      <c r="AD108" s="3">
        <f t="shared" ca="1" si="16"/>
        <v>45229</v>
      </c>
      <c r="AE108" s="4" t="s">
        <v>100</v>
      </c>
      <c r="AF108" s="4" t="s">
        <v>101</v>
      </c>
      <c r="AG108" s="4" t="s">
        <v>102</v>
      </c>
      <c r="AH108" s="4" t="s">
        <v>103</v>
      </c>
      <c r="AI108" s="4">
        <f ca="1">ROUND(T_Tiktok_ads[[#This Row],[impressions]]*RANDBETWEEN(8,12)/10,0)</f>
        <v>295678</v>
      </c>
      <c r="AJ108" s="4">
        <f ca="1">ROUND(T_Tiktok_ads[[#This Row],[clicks]]*RANDBETWEEN(8,12)/10,0)</f>
        <v>3911</v>
      </c>
      <c r="AK108" s="4">
        <v>573.20000000000005</v>
      </c>
      <c r="AL108" s="4">
        <f ca="1">ROUND(T_Tiktok_ads[[#This Row],[conversions]]*RANDBETWEEN(8,12)/10,0)</f>
        <v>53</v>
      </c>
      <c r="AM108" s="4">
        <f ca="1">ROUND(T_Tiktok_ads[[#This Row],[video_views]]*RANDBETWEEN(8,12)/10,0)</f>
        <v>217111</v>
      </c>
      <c r="AN108" s="4">
        <f ca="1">ROUND(T_Tiktok_ads[[#This Row],[video_watch_25]]*RANDBETWEEN(8,12)/10,0)</f>
        <v>169411</v>
      </c>
      <c r="AO108" s="4">
        <f ca="1">ROUND(T_Tiktok_ads[[#This Row],[video_watch_50]]*RANDBETWEEN(8,12)/10,0)</f>
        <v>117890</v>
      </c>
      <c r="AP108" s="4">
        <f ca="1">ROUND(T_Tiktok_ads[[#This Row],[video_watch_75]]*RANDBETWEEN(8,12)/10,0)</f>
        <v>87157</v>
      </c>
      <c r="AQ108" s="4">
        <f ca="1">ROUND(T_Tiktok_ads[[#This Row],[video_watch_100]]*RANDBETWEEN(8,12)/10,0)</f>
        <v>47510</v>
      </c>
      <c r="AR108" s="4">
        <f ca="1">ROUND(T_Tiktok_ads[[#This Row],[likes]]*RANDBETWEEN(8,12)/10,0)</f>
        <v>9510</v>
      </c>
      <c r="AS108" s="4">
        <f ca="1">ROUND(T_Tiktok_ads[[#This Row],[shares]]*RANDBETWEEN(8,12)/10,0)</f>
        <v>2285</v>
      </c>
      <c r="AT108" s="4">
        <f ca="1">ROUND(T_Tiktok_ads[[#This Row],[comments]]*RANDBETWEEN(8,12)/10,0)</f>
        <v>800</v>
      </c>
      <c r="AV108" s="5">
        <f t="shared" ca="1" si="17"/>
        <v>45202</v>
      </c>
      <c r="AW108">
        <f t="shared" ca="1" si="13"/>
        <v>8</v>
      </c>
      <c r="AX108">
        <f ca="1">ROUND(T_Facebook_Ads11596367717579838791[[#This Row],[impressions]]*RANDBETWEEN(8,12)/10,0)</f>
        <v>64988</v>
      </c>
      <c r="AY108">
        <f ca="1">ROUND(T_Facebook_Ads11596367717579838791[[#This Row],[clicks]]*RANDBETWEEN(8,12)/10,0)</f>
        <v>1001</v>
      </c>
      <c r="AZ108">
        <f ca="1">T_Facebook_Ads11596367717579838791[[#This Row],[spend]]*RANDBETWEEN(8,12)/10</f>
        <v>102.816</v>
      </c>
      <c r="BA108">
        <f ca="1">ROUND(T_Facebook_Ads11596367717579838791[[#This Row],[conversions]]*RANDBETWEEN(8,12)/10,0)</f>
        <v>18</v>
      </c>
      <c r="BB108">
        <f ca="1">ROUND(T_Facebook_Ads11596367717579838791[[#This Row],[video_views]]*RANDBETWEEN(8,12)/10,0)</f>
        <v>6489</v>
      </c>
    </row>
    <row r="109" spans="1:54" ht="15.75" thickBot="1" x14ac:dyDescent="0.3">
      <c r="A109" s="3">
        <f t="shared" ca="1" si="14"/>
        <v>45222</v>
      </c>
      <c r="B109" s="4" t="s">
        <v>56</v>
      </c>
      <c r="C109" s="4" t="s">
        <v>57</v>
      </c>
      <c r="D109" s="4" t="s">
        <v>58</v>
      </c>
      <c r="E109" s="4" t="s">
        <v>59</v>
      </c>
      <c r="F109" s="4">
        <f ca="1">ROUND(T_Facebook_Ads[[#This Row],[impressions]]*RANDBETWEEN(8,12)/10,0)</f>
        <v>15535</v>
      </c>
      <c r="G109" s="4">
        <v>645</v>
      </c>
      <c r="H109" s="4">
        <f ca="1">T_Facebook_Ads[[#This Row],[spend]]*RANDBETWEEN(8,12)/10</f>
        <v>260.59000000000003</v>
      </c>
      <c r="I109" s="4">
        <f ca="1">ROUND(T_Facebook_Ads[[#This Row],[conversions]]*RANDBETWEEN(8,12)/10,0)</f>
        <v>37</v>
      </c>
      <c r="J109" s="4">
        <f ca="1">ROUND(T_Facebook_Ads[[#This Row],[video_views]]*RANDBETWEEN(8,12)/10,0)</f>
        <v>1708</v>
      </c>
      <c r="K109" s="4">
        <f ca="1">T_Facebook_Ads[[#This Row],[engagement_rate]]*RANDBETWEEN(8,12)/10</f>
        <v>4.113E-2</v>
      </c>
      <c r="L109" s="4">
        <f ca="1">ROUND(T_Facebook_Ads[[#This Row],[reach]]*RANDBETWEEN(8,12)/10,0)</f>
        <v>13348</v>
      </c>
      <c r="M109" s="4">
        <f ca="1">T_Facebook_Ads[[#This Row],[frequency]]*RANDBETWEEN(8,12)/10</f>
        <v>1.27</v>
      </c>
      <c r="O109" s="3">
        <f t="shared" ca="1" si="15"/>
        <v>45225</v>
      </c>
      <c r="P109" s="4" t="s">
        <v>80</v>
      </c>
      <c r="Q109" s="4" t="s">
        <v>81</v>
      </c>
      <c r="R109" s="4" t="s">
        <v>82</v>
      </c>
      <c r="S109" s="4" t="s">
        <v>83</v>
      </c>
      <c r="T109" s="4">
        <f ca="1">ROUND(_Google_ads[[#This Row],[impressions]]*RANDBETWEEN(8,12)/10,0)</f>
        <v>45890</v>
      </c>
      <c r="U109" s="4">
        <f ca="1">ROUND(_Google_ads[[#This Row],[clicks]]*RANDBETWEEN(8,12)/10,0)</f>
        <v>912</v>
      </c>
      <c r="V109" s="4">
        <f ca="1">_Google_ads[[#This Row],[cost]]*RANDBETWEEN(8,12)/10</f>
        <v>646.47</v>
      </c>
      <c r="W109" s="4">
        <f ca="1">ROUND(_Google_ads[[#This Row],[conversions]]*RANDBETWEEN(8,12)/10,0)</f>
        <v>26</v>
      </c>
      <c r="X109" s="4">
        <f ca="1">ROUND(_Google_ads[[#This Row],[conversion_value]]*RANDBETWEEN(8,12)/10,0)</f>
        <v>1200</v>
      </c>
      <c r="Y109" s="4">
        <f ca="1">_Google_ads[[#This Row],[ctr]]*RANDBETWEEN(8,12)/10</f>
        <v>2.3880000000000002E-2</v>
      </c>
      <c r="Z109" s="4">
        <f ca="1">_Google_ads[[#This Row],[avg_cpc]]*RANDBETWEEN(8,12)/10</f>
        <v>0.76800000000000002</v>
      </c>
      <c r="AA109" s="4">
        <f ca="1">ROUND(_Google_ads[[#This Row],[quality_score]]*RANDBETWEEN(8,12)/10,0)</f>
        <v>7</v>
      </c>
      <c r="AB109" s="4">
        <f ca="1">_Google_ads[[#This Row],[search_impression_share]]*RANDBETWEEN(8,12)/10</f>
        <v>0.36</v>
      </c>
      <c r="AD109" s="3">
        <f t="shared" ca="1" si="16"/>
        <v>45212</v>
      </c>
      <c r="AE109" s="4" t="s">
        <v>104</v>
      </c>
      <c r="AF109" s="4" t="s">
        <v>105</v>
      </c>
      <c r="AG109" s="4" t="s">
        <v>106</v>
      </c>
      <c r="AH109" s="4" t="s">
        <v>107</v>
      </c>
      <c r="AI109" s="4">
        <f ca="1">ROUND(T_Tiktok_ads[[#This Row],[impressions]]*RANDBETWEEN(8,12)/10,0)</f>
        <v>193481</v>
      </c>
      <c r="AJ109" s="4">
        <f ca="1">ROUND(T_Tiktok_ads[[#This Row],[clicks]]*RANDBETWEEN(8,12)/10,0)</f>
        <v>2780</v>
      </c>
      <c r="AK109" s="4">
        <v>823.7</v>
      </c>
      <c r="AL109" s="4">
        <f ca="1">ROUND(T_Tiktok_ads[[#This Row],[conversions]]*RANDBETWEEN(8,12)/10,0)</f>
        <v>75</v>
      </c>
      <c r="AM109" s="4">
        <f ca="1">ROUND(T_Tiktok_ads[[#This Row],[video_views]]*RANDBETWEEN(8,12)/10,0)</f>
        <v>90765</v>
      </c>
      <c r="AN109" s="4">
        <f ca="1">ROUND(T_Tiktok_ads[[#This Row],[video_watch_25]]*RANDBETWEEN(8,12)/10,0)</f>
        <v>66854</v>
      </c>
      <c r="AO109" s="4">
        <f ca="1">ROUND(T_Tiktok_ads[[#This Row],[video_watch_50]]*RANDBETWEEN(8,12)/10,0)</f>
        <v>44987</v>
      </c>
      <c r="AP109" s="4">
        <f ca="1">ROUND(T_Tiktok_ads[[#This Row],[video_watch_75]]*RANDBETWEEN(8,12)/10,0)</f>
        <v>38111</v>
      </c>
      <c r="AQ109" s="4">
        <f ca="1">ROUND(T_Tiktok_ads[[#This Row],[video_watch_100]]*RANDBETWEEN(8,12)/10,0)</f>
        <v>22587</v>
      </c>
      <c r="AR109" s="4">
        <f ca="1">ROUND(T_Tiktok_ads[[#This Row],[likes]]*RANDBETWEEN(8,12)/10,0)</f>
        <v>4418</v>
      </c>
      <c r="AS109" s="4">
        <f ca="1">ROUND(T_Tiktok_ads[[#This Row],[shares]]*RANDBETWEEN(8,12)/10,0)</f>
        <v>1748</v>
      </c>
      <c r="AT109" s="4">
        <f ca="1">ROUND(T_Tiktok_ads[[#This Row],[comments]]*RANDBETWEEN(8,12)/10,0)</f>
        <v>331</v>
      </c>
      <c r="AV109" s="5">
        <f t="shared" ca="1" si="17"/>
        <v>45226</v>
      </c>
      <c r="AW109">
        <f t="shared" ca="1" si="13"/>
        <v>6</v>
      </c>
      <c r="AX109">
        <f ca="1">ROUND(T_Facebook_Ads11596367717579838791[[#This Row],[impressions]]*RANDBETWEEN(8,12)/10,0)</f>
        <v>15535</v>
      </c>
      <c r="AY109">
        <f ca="1">ROUND(T_Facebook_Ads11596367717579838791[[#This Row],[clicks]]*RANDBETWEEN(8,12)/10,0)</f>
        <v>645</v>
      </c>
      <c r="AZ109">
        <f ca="1">T_Facebook_Ads11596367717579838791[[#This Row],[spend]]*RANDBETWEEN(8,12)/10</f>
        <v>208.47200000000004</v>
      </c>
      <c r="BA109">
        <f ca="1">ROUND(T_Facebook_Ads11596367717579838791[[#This Row],[conversions]]*RANDBETWEEN(8,12)/10,0)</f>
        <v>30</v>
      </c>
      <c r="BB109">
        <f ca="1">ROUND(T_Facebook_Ads11596367717579838791[[#This Row],[video_views]]*RANDBETWEEN(8,12)/10,0)</f>
        <v>1366</v>
      </c>
    </row>
    <row r="110" spans="1:54" ht="15.75" thickBot="1" x14ac:dyDescent="0.3">
      <c r="A110" s="3">
        <f t="shared" ca="1" si="14"/>
        <v>45200</v>
      </c>
      <c r="B110" s="4" t="s">
        <v>60</v>
      </c>
      <c r="C110" s="4" t="s">
        <v>61</v>
      </c>
      <c r="D110" s="4" t="s">
        <v>62</v>
      </c>
      <c r="E110" s="4" t="s">
        <v>63</v>
      </c>
      <c r="F110" s="4">
        <f ca="1">ROUND(T_Facebook_Ads[[#This Row],[impressions]]*RANDBETWEEN(8,12)/10,0)</f>
        <v>41679</v>
      </c>
      <c r="G110" s="4">
        <v>1412</v>
      </c>
      <c r="H110" s="4">
        <f ca="1">T_Facebook_Ads[[#This Row],[spend]]*RANDBETWEEN(8,12)/10</f>
        <v>259.8</v>
      </c>
      <c r="I110" s="4">
        <f ca="1">ROUND(T_Facebook_Ads[[#This Row],[conversions]]*RANDBETWEEN(8,12)/10,0)</f>
        <v>24</v>
      </c>
      <c r="J110" s="4">
        <f ca="1">ROUND(T_Facebook_Ads[[#This Row],[video_views]]*RANDBETWEEN(8,12)/10,0)</f>
        <v>3965</v>
      </c>
      <c r="K110" s="4">
        <f ca="1">T_Facebook_Ads[[#This Row],[engagement_rate]]*RANDBETWEEN(8,12)/10</f>
        <v>4.1029999999999997E-2</v>
      </c>
      <c r="L110" s="4">
        <f ca="1">ROUND(T_Facebook_Ads[[#This Row],[reach]]*RANDBETWEEN(8,12)/10,0)</f>
        <v>30890</v>
      </c>
      <c r="M110" s="4">
        <f ca="1">T_Facebook_Ads[[#This Row],[frequency]]*RANDBETWEEN(8,12)/10</f>
        <v>0.98399999999999999</v>
      </c>
      <c r="O110" s="3">
        <f t="shared" ca="1" si="15"/>
        <v>45230</v>
      </c>
      <c r="P110" s="4" t="s">
        <v>84</v>
      </c>
      <c r="Q110" s="4" t="s">
        <v>85</v>
      </c>
      <c r="R110" s="4" t="s">
        <v>86</v>
      </c>
      <c r="S110" s="4" t="s">
        <v>87</v>
      </c>
      <c r="T110" s="4">
        <f ca="1">ROUND(_Google_ads[[#This Row],[impressions]]*RANDBETWEEN(8,12)/10,0)</f>
        <v>63211</v>
      </c>
      <c r="U110" s="4">
        <f ca="1">ROUND(_Google_ads[[#This Row],[clicks]]*RANDBETWEEN(8,12)/10,0)</f>
        <v>2840</v>
      </c>
      <c r="V110" s="4">
        <f ca="1">_Google_ads[[#This Row],[cost]]*RANDBETWEEN(8,12)/10</f>
        <v>432.1</v>
      </c>
      <c r="W110" s="4">
        <f ca="1">ROUND(_Google_ads[[#This Row],[conversions]]*RANDBETWEEN(8,12)/10,0)</f>
        <v>61</v>
      </c>
      <c r="X110" s="4">
        <f ca="1">ROUND(_Google_ads[[#This Row],[conversion_value]]*RANDBETWEEN(8,12)/10,0)</f>
        <v>3740</v>
      </c>
      <c r="Y110" s="4">
        <f ca="1">_Google_ads[[#This Row],[ctr]]*RANDBETWEEN(8,12)/10</f>
        <v>3.3700000000000001E-2</v>
      </c>
      <c r="Z110" s="4">
        <f ca="1">_Google_ads[[#This Row],[avg_cpc]]*RANDBETWEEN(8,12)/10</f>
        <v>0.19800000000000001</v>
      </c>
      <c r="AA110" s="4">
        <f ca="1">ROUND(_Google_ads[[#This Row],[quality_score]]*RANDBETWEEN(8,12)/10,0)</f>
        <v>8</v>
      </c>
      <c r="AB110" s="4">
        <f ca="1">_Google_ads[[#This Row],[search_impression_share]]*RANDBETWEEN(8,12)/10</f>
        <v>0.73699999999999999</v>
      </c>
      <c r="AD110" s="3">
        <f t="shared" ca="1" si="16"/>
        <v>45209</v>
      </c>
      <c r="AE110" s="4" t="s">
        <v>108</v>
      </c>
      <c r="AF110" s="4" t="s">
        <v>109</v>
      </c>
      <c r="AG110" s="4" t="s">
        <v>110</v>
      </c>
      <c r="AH110" s="4" t="s">
        <v>111</v>
      </c>
      <c r="AI110" s="4">
        <f ca="1">ROUND(T_Tiktok_ads[[#This Row],[impressions]]*RANDBETWEEN(8,12)/10,0)</f>
        <v>226111</v>
      </c>
      <c r="AJ110" s="4">
        <f ca="1">ROUND(T_Tiktok_ads[[#This Row],[clicks]]*RANDBETWEEN(8,12)/10,0)</f>
        <v>4760</v>
      </c>
      <c r="AK110" s="4">
        <v>481.5</v>
      </c>
      <c r="AL110" s="4">
        <f ca="1">ROUND(T_Tiktok_ads[[#This Row],[conversions]]*RANDBETWEEN(8,12)/10,0)</f>
        <v>42</v>
      </c>
      <c r="AM110" s="4">
        <f ca="1">ROUND(T_Tiktok_ads[[#This Row],[video_views]]*RANDBETWEEN(8,12)/10,0)</f>
        <v>159121</v>
      </c>
      <c r="AN110" s="4">
        <f ca="1">ROUND(T_Tiktok_ads[[#This Row],[video_watch_25]]*RANDBETWEEN(8,12)/10,0)</f>
        <v>180680</v>
      </c>
      <c r="AO110" s="4">
        <f ca="1">ROUND(T_Tiktok_ads[[#This Row],[video_watch_50]]*RANDBETWEEN(8,12)/10,0)</f>
        <v>143081</v>
      </c>
      <c r="AP110" s="4">
        <f ca="1">ROUND(T_Tiktok_ads[[#This Row],[video_watch_75]]*RANDBETWEEN(8,12)/10,0)</f>
        <v>76890</v>
      </c>
      <c r="AQ110" s="4">
        <f ca="1">ROUND(T_Tiktok_ads[[#This Row],[video_watch_100]]*RANDBETWEEN(8,12)/10,0)</f>
        <v>41910</v>
      </c>
      <c r="AR110" s="4">
        <f ca="1">ROUND(T_Tiktok_ads[[#This Row],[likes]]*RANDBETWEEN(8,12)/10,0)</f>
        <v>7810</v>
      </c>
      <c r="AS110" s="4">
        <f ca="1">ROUND(T_Tiktok_ads[[#This Row],[shares]]*RANDBETWEEN(8,12)/10,0)</f>
        <v>1902</v>
      </c>
      <c r="AT110" s="4">
        <f ca="1">ROUND(T_Tiktok_ads[[#This Row],[comments]]*RANDBETWEEN(8,12)/10,0)</f>
        <v>556</v>
      </c>
      <c r="AV110" s="5">
        <f t="shared" ca="1" si="17"/>
        <v>45222</v>
      </c>
      <c r="AW110">
        <f t="shared" ca="1" si="13"/>
        <v>8</v>
      </c>
      <c r="AX110">
        <f ca="1">ROUND(T_Facebook_Ads11596367717579838791[[#This Row],[impressions]]*RANDBETWEEN(8,12)/10,0)</f>
        <v>41679</v>
      </c>
      <c r="AY110">
        <f ca="1">ROUND(T_Facebook_Ads11596367717579838791[[#This Row],[clicks]]*RANDBETWEEN(8,12)/10,0)</f>
        <v>1412</v>
      </c>
      <c r="AZ110">
        <f ca="1">T_Facebook_Ads11596367717579838791[[#This Row],[spend]]*RANDBETWEEN(8,12)/10</f>
        <v>233.82000000000002</v>
      </c>
      <c r="BA110">
        <f ca="1">ROUND(T_Facebook_Ads11596367717579838791[[#This Row],[conversions]]*RANDBETWEEN(8,12)/10,0)</f>
        <v>24</v>
      </c>
      <c r="BB110">
        <f ca="1">ROUND(T_Facebook_Ads11596367717579838791[[#This Row],[video_views]]*RANDBETWEEN(8,12)/10,0)</f>
        <v>3569</v>
      </c>
    </row>
    <row r="111" spans="1:54" x14ac:dyDescent="0.25">
      <c r="A111" s="3">
        <f t="shared" ca="1" si="14"/>
        <v>45218</v>
      </c>
      <c r="B111" s="4" t="s">
        <v>64</v>
      </c>
      <c r="C111" s="4" t="s">
        <v>65</v>
      </c>
      <c r="D111" s="4" t="s">
        <v>66</v>
      </c>
      <c r="E111" s="4" t="s">
        <v>67</v>
      </c>
      <c r="F111" s="4">
        <f ca="1">ROUND(T_Facebook_Ads[[#This Row],[impressions]]*RANDBETWEEN(8,12)/10,0)</f>
        <v>86548</v>
      </c>
      <c r="G111" s="4">
        <v>261</v>
      </c>
      <c r="H111" s="4">
        <f ca="1">T_Facebook_Ads[[#This Row],[spend]]*RANDBETWEEN(8,12)/10</f>
        <v>109.55999999999999</v>
      </c>
      <c r="I111" s="4">
        <f ca="1">ROUND(T_Facebook_Ads[[#This Row],[conversions]]*RANDBETWEEN(8,12)/10,0)</f>
        <v>6</v>
      </c>
      <c r="J111" s="4">
        <f ca="1">ROUND(T_Facebook_Ads[[#This Row],[video_views]]*RANDBETWEEN(8,12)/10,0)</f>
        <v>53424</v>
      </c>
      <c r="K111" s="4">
        <f ca="1">T_Facebook_Ads[[#This Row],[engagement_rate]]*RANDBETWEEN(8,12)/10</f>
        <v>3.5999999999999999E-3</v>
      </c>
      <c r="L111" s="4">
        <f ca="1">ROUND(T_Facebook_Ads[[#This Row],[reach]]*RANDBETWEEN(8,12)/10,0)</f>
        <v>47112</v>
      </c>
      <c r="M111" s="4">
        <f ca="1">T_Facebook_Ads[[#This Row],[frequency]]*RANDBETWEEN(8,12)/10</f>
        <v>1.0980000000000001</v>
      </c>
      <c r="O111" s="3">
        <f t="shared" ca="1" si="15"/>
        <v>45225</v>
      </c>
      <c r="P111" s="4" t="s">
        <v>88</v>
      </c>
      <c r="Q111" s="4" t="s">
        <v>89</v>
      </c>
      <c r="R111" s="4" t="s">
        <v>90</v>
      </c>
      <c r="S111" s="4" t="s">
        <v>59</v>
      </c>
      <c r="T111" s="4">
        <f ca="1">ROUND(_Google_ads[[#This Row],[impressions]]*RANDBETWEEN(8,12)/10,0)</f>
        <v>160147</v>
      </c>
      <c r="U111" s="4">
        <f ca="1">ROUND(_Google_ads[[#This Row],[clicks]]*RANDBETWEEN(8,12)/10,0)</f>
        <v>430</v>
      </c>
      <c r="V111" s="4">
        <f ca="1">_Google_ads[[#This Row],[cost]]*RANDBETWEEN(8,12)/10</f>
        <v>118.08</v>
      </c>
      <c r="W111" s="4">
        <f ca="1">ROUND(_Google_ads[[#This Row],[conversions]]*RANDBETWEEN(8,12)/10,0)</f>
        <v>14</v>
      </c>
      <c r="X111" s="4">
        <f ca="1">ROUND(_Google_ads[[#This Row],[conversion_value]]*RANDBETWEEN(8,12)/10,0)</f>
        <v>700</v>
      </c>
      <c r="Y111" s="4">
        <f ca="1">_Google_ads[[#This Row],[ctr]]*RANDBETWEEN(8,12)/10</f>
        <v>3.5999999999999999E-3</v>
      </c>
      <c r="Z111" s="4">
        <f ca="1">_Google_ads[[#This Row],[avg_cpc]]*RANDBETWEEN(8,12)/10</f>
        <v>0.32400000000000001</v>
      </c>
      <c r="AA111" s="4">
        <f ca="1">ROUND(_Google_ads[[#This Row],[quality_score]]*RANDBETWEEN(8,12)/10,0)</f>
        <v>6</v>
      </c>
      <c r="AB111" s="4">
        <f ca="1">_Google_ads[[#This Row],[search_impression_share]]*RANDBETWEEN(8,12)/10</f>
        <v>0.27999999999999997</v>
      </c>
      <c r="AD111" s="3">
        <f t="shared" ca="1" si="16"/>
        <v>45213</v>
      </c>
      <c r="AE111" s="4" t="s">
        <v>112</v>
      </c>
      <c r="AF111" s="4" t="s">
        <v>113</v>
      </c>
      <c r="AG111" s="4" t="s">
        <v>114</v>
      </c>
      <c r="AH111" s="4" t="s">
        <v>115</v>
      </c>
      <c r="AI111" s="4">
        <f ca="1">ROUND(T_Tiktok_ads[[#This Row],[impressions]]*RANDBETWEEN(8,12)/10,0)</f>
        <v>478024</v>
      </c>
      <c r="AJ111" s="4">
        <f ca="1">ROUND(T_Tiktok_ads[[#This Row],[clicks]]*RANDBETWEEN(8,12)/10,0)</f>
        <v>7713</v>
      </c>
      <c r="AK111" s="4">
        <v>1089.3</v>
      </c>
      <c r="AL111" s="4">
        <f ca="1">ROUND(T_Tiktok_ads[[#This Row],[conversions]]*RANDBETWEEN(8,12)/10,0)</f>
        <v>87</v>
      </c>
      <c r="AM111" s="4">
        <f ca="1">ROUND(T_Tiktok_ads[[#This Row],[video_views]]*RANDBETWEEN(8,12)/10,0)</f>
        <v>367890</v>
      </c>
      <c r="AN111" s="4">
        <f ca="1">ROUND(T_Tiktok_ads[[#This Row],[video_watch_25]]*RANDBETWEEN(8,12)/10,0)</f>
        <v>296234</v>
      </c>
      <c r="AO111" s="4">
        <f ca="1">ROUND(T_Tiktok_ads[[#This Row],[video_watch_50]]*RANDBETWEEN(8,12)/10,0)</f>
        <v>214101</v>
      </c>
      <c r="AP111" s="4">
        <f ca="1">ROUND(T_Tiktok_ads[[#This Row],[video_watch_75]]*RANDBETWEEN(8,12)/10,0)</f>
        <v>134587</v>
      </c>
      <c r="AQ111" s="4">
        <f ca="1">ROUND(T_Tiktok_ads[[#This Row],[video_watch_100]]*RANDBETWEEN(8,12)/10,0)</f>
        <v>122357</v>
      </c>
      <c r="AR111" s="4">
        <f ca="1">ROUND(T_Tiktok_ads[[#This Row],[likes]]*RANDBETWEEN(8,12)/10,0)</f>
        <v>17311</v>
      </c>
      <c r="AS111" s="4">
        <f ca="1">ROUND(T_Tiktok_ads[[#This Row],[shares]]*RANDBETWEEN(8,12)/10,0)</f>
        <v>6087</v>
      </c>
      <c r="AT111" s="4">
        <f ca="1">ROUND(T_Tiktok_ads[[#This Row],[comments]]*RANDBETWEEN(8,12)/10,0)</f>
        <v>1675</v>
      </c>
      <c r="AV111" s="5">
        <f t="shared" ca="1" si="17"/>
        <v>45218</v>
      </c>
      <c r="AW111">
        <f t="shared" ca="1" si="13"/>
        <v>8</v>
      </c>
      <c r="AX111">
        <f ca="1">ROUND(T_Facebook_Ads11596367717579838791[[#This Row],[impressions]]*RANDBETWEEN(8,12)/10,0)</f>
        <v>86548</v>
      </c>
      <c r="AY111">
        <f ca="1">ROUND(T_Facebook_Ads11596367717579838791[[#This Row],[clicks]]*RANDBETWEEN(8,12)/10,0)</f>
        <v>287</v>
      </c>
      <c r="AZ111">
        <f ca="1">T_Facebook_Ads11596367717579838791[[#This Row],[spend]]*RANDBETWEEN(8,12)/10</f>
        <v>87.647999999999996</v>
      </c>
      <c r="BA111">
        <f ca="1">ROUND(T_Facebook_Ads11596367717579838791[[#This Row],[conversions]]*RANDBETWEEN(8,12)/10,0)</f>
        <v>5</v>
      </c>
      <c r="BB111">
        <f ca="1">ROUND(T_Facebook_Ads11596367717579838791[[#This Row],[video_views]]*RANDBETWEEN(8,12)/10,0)</f>
        <v>48082</v>
      </c>
    </row>
  </sheetData>
  <pageMargins left="0.7" right="0.7" top="0.75" bottom="0.75" header="0.3" footer="0.3"/>
  <pageSetup orientation="portrait" r:id="rId1"/>
  <tableParts count="4">
    <tablePart r:id="rId2"/>
    <tablePart r:id="rId3"/>
    <tablePart r:id="rId4"/>
    <tablePart r:id="rId5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5CFCD-89B2-4518-BD30-3C164B3F2D3D}">
  <dimension ref="A1:BB111"/>
  <sheetViews>
    <sheetView topLeftCell="AI1" workbookViewId="0">
      <selection activeCell="AY3" sqref="AY3"/>
    </sheetView>
  </sheetViews>
  <sheetFormatPr baseColWidth="10" defaultRowHeight="15" x14ac:dyDescent="0.25"/>
  <cols>
    <col min="2" max="2" width="14.42578125" customWidth="1"/>
    <col min="3" max="3" width="19.85546875" bestFit="1" customWidth="1"/>
    <col min="5" max="5" width="18.28515625" bestFit="1" customWidth="1"/>
    <col min="6" max="6" width="13.7109375" customWidth="1"/>
    <col min="9" max="10" width="13.7109375" customWidth="1"/>
    <col min="11" max="11" width="18.42578125" customWidth="1"/>
    <col min="13" max="13" width="12" customWidth="1"/>
    <col min="16" max="16" width="14.42578125" customWidth="1"/>
    <col min="17" max="17" width="18.5703125" bestFit="1" customWidth="1"/>
    <col min="18" max="18" width="14" customWidth="1"/>
    <col min="19" max="19" width="17.140625" customWidth="1"/>
    <col min="20" max="20" width="13.7109375" customWidth="1"/>
    <col min="21" max="21" width="8.140625" customWidth="1"/>
    <col min="22" max="22" width="6.85546875" customWidth="1"/>
    <col min="23" max="23" width="13.7109375" customWidth="1"/>
    <col min="24" max="24" width="18.42578125" customWidth="1"/>
    <col min="25" max="25" width="6.140625" bestFit="1" customWidth="1"/>
    <col min="26" max="26" width="10.28515625" customWidth="1"/>
    <col min="27" max="27" width="14.85546875" customWidth="1"/>
    <col min="28" max="28" width="25" customWidth="1"/>
    <col min="29" max="29" width="6.85546875" customWidth="1"/>
    <col min="30" max="30" width="9.28515625" bestFit="1" customWidth="1"/>
    <col min="31" max="31" width="14.42578125" customWidth="1"/>
    <col min="32" max="32" width="17.5703125" customWidth="1"/>
    <col min="33" max="33" width="13.140625" customWidth="1"/>
    <col min="34" max="34" width="16.28515625" customWidth="1"/>
    <col min="35" max="35" width="13.7109375" customWidth="1"/>
    <col min="36" max="36" width="8.140625" customWidth="1"/>
    <col min="37" max="37" width="6.85546875" customWidth="1"/>
    <col min="38" max="39" width="13.7109375" customWidth="1"/>
    <col min="40" max="42" width="17" customWidth="1"/>
    <col min="43" max="43" width="18" customWidth="1"/>
    <col min="44" max="44" width="7.140625" customWidth="1"/>
    <col min="45" max="45" width="8.7109375" customWidth="1"/>
    <col min="46" max="46" width="12.42578125" customWidth="1"/>
    <col min="49" max="49" width="14.28515625" customWidth="1"/>
    <col min="50" max="50" width="13.85546875" customWidth="1"/>
    <col min="53" max="53" width="13.7109375" customWidth="1"/>
    <col min="54" max="54" width="14.28515625" customWidth="1"/>
  </cols>
  <sheetData>
    <row r="1" spans="1:54" ht="15.75" thickBot="1" x14ac:dyDescent="0.3">
      <c r="A1" s="2" t="s">
        <v>39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  <c r="O1" s="2" t="s">
        <v>39</v>
      </c>
      <c r="P1" s="1" t="s">
        <v>40</v>
      </c>
      <c r="Q1" s="1" t="s">
        <v>41</v>
      </c>
      <c r="R1" s="1" t="s">
        <v>68</v>
      </c>
      <c r="S1" s="1" t="s">
        <v>69</v>
      </c>
      <c r="T1" s="1" t="s">
        <v>44</v>
      </c>
      <c r="U1" s="1" t="s">
        <v>45</v>
      </c>
      <c r="V1" s="1" t="s">
        <v>70</v>
      </c>
      <c r="W1" s="1" t="s">
        <v>47</v>
      </c>
      <c r="X1" s="1" t="s">
        <v>71</v>
      </c>
      <c r="Y1" s="1" t="s">
        <v>72</v>
      </c>
      <c r="Z1" s="1" t="s">
        <v>73</v>
      </c>
      <c r="AA1" s="1" t="s">
        <v>74</v>
      </c>
      <c r="AB1" s="1" t="s">
        <v>75</v>
      </c>
      <c r="AD1" s="2" t="s">
        <v>39</v>
      </c>
      <c r="AE1" s="1" t="s">
        <v>40</v>
      </c>
      <c r="AF1" s="1" t="s">
        <v>41</v>
      </c>
      <c r="AG1" s="1" t="s">
        <v>91</v>
      </c>
      <c r="AH1" s="1" t="s">
        <v>92</v>
      </c>
      <c r="AI1" s="1" t="s">
        <v>44</v>
      </c>
      <c r="AJ1" s="1" t="s">
        <v>45</v>
      </c>
      <c r="AK1" s="1" t="s">
        <v>70</v>
      </c>
      <c r="AL1" s="1" t="s">
        <v>47</v>
      </c>
      <c r="AM1" s="1" t="s">
        <v>48</v>
      </c>
      <c r="AN1" s="1" t="s">
        <v>93</v>
      </c>
      <c r="AO1" s="1" t="s">
        <v>94</v>
      </c>
      <c r="AP1" s="1" t="s">
        <v>95</v>
      </c>
      <c r="AQ1" s="1" t="s">
        <v>96</v>
      </c>
      <c r="AR1" s="1" t="s">
        <v>97</v>
      </c>
      <c r="AS1" s="1" t="s">
        <v>98</v>
      </c>
      <c r="AT1" s="1" t="s">
        <v>99</v>
      </c>
      <c r="AV1" t="s">
        <v>39</v>
      </c>
      <c r="AW1" t="s">
        <v>40</v>
      </c>
      <c r="AX1" t="s">
        <v>44</v>
      </c>
      <c r="AY1" t="s">
        <v>45</v>
      </c>
      <c r="AZ1" t="s">
        <v>46</v>
      </c>
      <c r="BA1" t="s">
        <v>47</v>
      </c>
      <c r="BB1" t="s">
        <v>48</v>
      </c>
    </row>
    <row r="2" spans="1:54" ht="15.75" thickBot="1" x14ac:dyDescent="0.3">
      <c r="A2" s="3">
        <f t="shared" ref="A2:A33" ca="1" si="0">DATE(2023,11,RANDBETWEEN(1,30))</f>
        <v>45234</v>
      </c>
      <c r="B2" s="4" t="s">
        <v>52</v>
      </c>
      <c r="C2" s="4" t="s">
        <v>53</v>
      </c>
      <c r="D2" s="4" t="s">
        <v>54</v>
      </c>
      <c r="E2" s="4" t="s">
        <v>55</v>
      </c>
      <c r="F2" s="4">
        <f ca="1">ROUND(T_Facebook_Ads[[#This Row],[impressions]]*RANDBETWEEN(8,12)/10,0)</f>
        <v>41061</v>
      </c>
      <c r="G2" s="4">
        <f ca="1">ROUND(T_Facebook_Ads[[#This Row],[clicks]]*RANDBETWEEN(8,12)/10,0)</f>
        <v>981</v>
      </c>
      <c r="H2" s="4">
        <f ca="1">T_Facebook_Ads[[#This Row],[spend]]*RANDBETWEEN(8,12)/10</f>
        <v>140.25</v>
      </c>
      <c r="I2" s="4">
        <f ca="1">ROUND(T_Facebook_Ads[[#This Row],[conversions]]*RANDBETWEEN(8,12)/10,0)</f>
        <v>13</v>
      </c>
      <c r="J2" s="4">
        <f ca="1">ROUND(T_Facebook_Ads[[#This Row],[video_views]]*RANDBETWEEN(8,12)/10,0)</f>
        <v>7411</v>
      </c>
      <c r="K2" s="4">
        <f ca="1">T_Facebook_Ads[[#This Row],[engagement_rate]]*RANDBETWEEN(8,12)/10</f>
        <v>1.5599999999999999E-2</v>
      </c>
      <c r="L2" s="4">
        <f ca="1">ROUND(T_Facebook_Ads[[#This Row],[reach]]*RANDBETWEEN(8,12)/10,0)</f>
        <v>34411</v>
      </c>
      <c r="M2" s="4">
        <f ca="1">T_Facebook_Ads[[#This Row],[frequency]]*RANDBETWEEN(8,12)/10</f>
        <v>1.3089999999999999</v>
      </c>
      <c r="O2" s="3">
        <f t="shared" ref="O2:O33" ca="1" si="1">DATE(2023,11,RANDBETWEEN(1,30))</f>
        <v>45245</v>
      </c>
      <c r="P2" s="4" t="s">
        <v>76</v>
      </c>
      <c r="Q2" s="4" t="s">
        <v>77</v>
      </c>
      <c r="R2" s="4" t="s">
        <v>78</v>
      </c>
      <c r="S2" s="4" t="s">
        <v>79</v>
      </c>
      <c r="T2" s="4">
        <f ca="1">ROUND(_Google_ads[[#This Row],[impressions]]*RANDBETWEEN(8,12)/10,0)</f>
        <v>28147</v>
      </c>
      <c r="U2" s="4">
        <f ca="1">ROUND(_Google_ads[[#This Row],[clicks]]*RANDBETWEEN(8,12)/10,0)</f>
        <v>987</v>
      </c>
      <c r="V2" s="4">
        <f ca="1">_Google_ads[[#This Row],[cost]]*RANDBETWEEN(8,12)/10</f>
        <v>234.5</v>
      </c>
      <c r="W2" s="4">
        <f ca="1">ROUND(_Google_ads[[#This Row],[conversions]]*RANDBETWEEN(8,12)/10,0)</f>
        <v>41</v>
      </c>
      <c r="X2" s="4">
        <f ca="1">ROUND(_Google_ads[[#This Row],[conversion_value]]*RANDBETWEEN(8,12)/10,0)</f>
        <v>2025</v>
      </c>
      <c r="Y2" s="4">
        <f ca="1">_Google_ads[[#This Row],[ctr]]*RANDBETWEEN(8,12)/10</f>
        <v>4.734E-2</v>
      </c>
      <c r="Z2" s="4">
        <f ca="1">_Google_ads[[#This Row],[avg_cpc]]*RANDBETWEEN(8,12)/10</f>
        <v>0.22800000000000004</v>
      </c>
      <c r="AA2" s="4">
        <f ca="1">ROUND(_Google_ads[[#This Row],[quality_score]]*RANDBETWEEN(8,12)/10,0)</f>
        <v>8</v>
      </c>
      <c r="AB2" s="4">
        <f ca="1">_Google_ads[[#This Row],[search_impression_share]]*RANDBETWEEN(8,12)/10</f>
        <v>1.012</v>
      </c>
      <c r="AD2" s="3">
        <f t="shared" ref="AD2:AD33" ca="1" si="2">DATE(2023,11,RANDBETWEEN(1,30))</f>
        <v>45260</v>
      </c>
      <c r="AE2" s="4" t="s">
        <v>100</v>
      </c>
      <c r="AF2" s="4" t="s">
        <v>101</v>
      </c>
      <c r="AG2" s="4" t="s">
        <v>102</v>
      </c>
      <c r="AH2" s="4" t="s">
        <v>103</v>
      </c>
      <c r="AI2" s="4">
        <f ca="1">ROUND(T_Tiktok_ads[[#This Row],[impressions]]*RANDBETWEEN(8,12)/10,0)</f>
        <v>281480</v>
      </c>
      <c r="AJ2" s="4">
        <f ca="1">ROUND(T_Tiktok_ads[[#This Row],[clicks]]*RANDBETWEEN(8,12)/10,0)</f>
        <v>4147</v>
      </c>
      <c r="AK2" s="4">
        <f ca="1">T_Tiktok_ads[[#This Row],[cost]]*RANDBETWEEN(8,12)/10</f>
        <v>548.04</v>
      </c>
      <c r="AL2" s="4">
        <f ca="1">ROUND(T_Tiktok_ads[[#This Row],[conversions]]*RANDBETWEEN(8,12)/10,0)</f>
        <v>41</v>
      </c>
      <c r="AM2" s="4">
        <f ca="1">ROUND(T_Tiktok_ads[[#This Row],[video_views]]*RANDBETWEEN(8,12)/10,0)</f>
        <v>218057</v>
      </c>
      <c r="AN2" s="4">
        <f ca="1">ROUND(T_Tiktok_ads[[#This Row],[video_watch_25]]*RANDBETWEEN(8,12)/10,0)</f>
        <v>156234</v>
      </c>
      <c r="AO2" s="4">
        <f ca="1">ROUND(T_Tiktok_ads[[#This Row],[video_watch_50]]*RANDBETWEEN(8,12)/10,0)</f>
        <v>108057</v>
      </c>
      <c r="AP2" s="4">
        <f ca="1">ROUND(T_Tiktok_ads[[#This Row],[video_watch_75]]*RANDBETWEEN(8,12)/10,0)</f>
        <v>67234</v>
      </c>
      <c r="AQ2" s="4">
        <f ca="1">ROUND(T_Tiktok_ads[[#This Row],[video_watch_100]]*RANDBETWEEN(8,12)/10,0)</f>
        <v>40711</v>
      </c>
      <c r="AR2" s="4">
        <f ca="1">ROUND(T_Tiktok_ads[[#This Row],[likes]]*RANDBETWEEN(8,12)/10,0)</f>
        <v>8923</v>
      </c>
      <c r="AS2" s="4">
        <f ca="1">ROUND(T_Tiktok_ads[[#This Row],[shares]]*RANDBETWEEN(8,12)/10,0)</f>
        <v>1876</v>
      </c>
      <c r="AT2" s="4">
        <f ca="1">ROUND(T_Tiktok_ads[[#This Row],[comments]]*RANDBETWEEN(8,12)/10,0)</f>
        <v>567</v>
      </c>
      <c r="AV2" s="3">
        <f t="shared" ref="AV2:AV33" ca="1" si="3">DATE(2023,11,RANDBETWEEN(1,30))</f>
        <v>45246</v>
      </c>
      <c r="AW2">
        <f ca="1">RANDBETWEEN(1,8)</f>
        <v>1</v>
      </c>
      <c r="AX2">
        <f ca="1">ROUND(T_Facebook_Ads1159636771757983879195[[#This Row],[impressions]]*RANDBETWEEN(8,12)/10,0)</f>
        <v>49273</v>
      </c>
      <c r="AY2">
        <f ca="1">ROUND(T_Facebook_Ads1159636771757983879195[[#This Row],[clicks]]*RANDBETWEEN(8,12)/10,0)</f>
        <v>1079</v>
      </c>
      <c r="AZ2">
        <f ca="1">T_Facebook_Ads1159636771757983879195[[#This Row],[spend]]*RANDBETWEEN(8,12)/10</f>
        <v>154.27500000000001</v>
      </c>
      <c r="BA2">
        <f ca="1">ROUND(T_Facebook_Ads1159636771757983879195[[#This Row],[conversions]]*RANDBETWEEN(8,12)/10,0)</f>
        <v>14</v>
      </c>
      <c r="BB2">
        <f ca="1">ROUND(T_Facebook_Ads1159636771757983879195[[#This Row],[video_views]]*RANDBETWEEN(8,12)/10,0)</f>
        <v>6670</v>
      </c>
    </row>
    <row r="3" spans="1:54" ht="15.75" thickBot="1" x14ac:dyDescent="0.3">
      <c r="A3" s="3">
        <f t="shared" ca="1" si="0"/>
        <v>45247</v>
      </c>
      <c r="B3" s="4" t="s">
        <v>56</v>
      </c>
      <c r="C3" s="4" t="s">
        <v>57</v>
      </c>
      <c r="D3" s="4" t="s">
        <v>58</v>
      </c>
      <c r="E3" s="4" t="s">
        <v>59</v>
      </c>
      <c r="F3" s="4">
        <f ca="1">ROUND(T_Facebook_Ads[[#This Row],[impressions]]*RANDBETWEEN(8,12)/10,0)</f>
        <v>11210</v>
      </c>
      <c r="G3" s="4">
        <v>567</v>
      </c>
      <c r="H3" s="4">
        <f ca="1">T_Facebook_Ads[[#This Row],[spend]]*RANDBETWEEN(8,12)/10</f>
        <v>172.64000000000001</v>
      </c>
      <c r="I3" s="4">
        <f ca="1">ROUND(T_Facebook_Ads[[#This Row],[conversions]]*RANDBETWEEN(8,12)/10,0)</f>
        <v>41</v>
      </c>
      <c r="J3" s="4">
        <f ca="1">ROUND(T_Facebook_Ads[[#This Row],[video_views]]*RANDBETWEEN(8,12)/10,0)</f>
        <v>1481</v>
      </c>
      <c r="K3" s="4">
        <f ca="1">T_Facebook_Ads[[#This Row],[engagement_rate]]*RANDBETWEEN(8,12)/10</f>
        <v>5.0049999999999997E-2</v>
      </c>
      <c r="L3" s="4">
        <f ca="1">ROUND(T_Facebook_Ads[[#This Row],[reach]]*RANDBETWEEN(8,12)/10,0)</f>
        <v>8888</v>
      </c>
      <c r="M3" s="4">
        <f ca="1">T_Facebook_Ads[[#This Row],[frequency]]*RANDBETWEEN(8,12)/10</f>
        <v>1.26</v>
      </c>
      <c r="O3" s="3">
        <f t="shared" ca="1" si="1"/>
        <v>45231</v>
      </c>
      <c r="P3" s="4" t="s">
        <v>80</v>
      </c>
      <c r="Q3" s="4" t="s">
        <v>81</v>
      </c>
      <c r="R3" s="4" t="s">
        <v>82</v>
      </c>
      <c r="S3" s="4" t="s">
        <v>83</v>
      </c>
      <c r="T3" s="4">
        <f ca="1">ROUND(_Google_ads[[#This Row],[impressions]]*RANDBETWEEN(8,12)/10,0)</f>
        <v>50246</v>
      </c>
      <c r="U3" s="4">
        <f ca="1">ROUND(_Google_ads[[#This Row],[clicks]]*RANDBETWEEN(8,12)/10,0)</f>
        <v>979</v>
      </c>
      <c r="V3" s="4">
        <f ca="1">_Google_ads[[#This Row],[cost]]*RANDBETWEEN(8,12)/10</f>
        <v>511.02</v>
      </c>
      <c r="W3" s="4">
        <f ca="1">ROUND(_Google_ads[[#This Row],[conversions]]*RANDBETWEEN(8,12)/10,0)</f>
        <v>28</v>
      </c>
      <c r="X3" s="4">
        <f ca="1">ROUND(_Google_ads[[#This Row],[conversion_value]]*RANDBETWEEN(8,12)/10,0)</f>
        <v>1265</v>
      </c>
      <c r="Y3" s="4">
        <f ca="1">_Google_ads[[#This Row],[ctr]]*RANDBETWEEN(8,12)/10</f>
        <v>1.95E-2</v>
      </c>
      <c r="Z3" s="4">
        <f ca="1">_Google_ads[[#This Row],[avg_cpc]]*RANDBETWEEN(8,12)/10</f>
        <v>0.57599999999999996</v>
      </c>
      <c r="AA3" s="4">
        <f ca="1">ROUND(_Google_ads[[#This Row],[quality_score]]*RANDBETWEEN(8,12)/10,0)</f>
        <v>8</v>
      </c>
      <c r="AB3" s="4">
        <f ca="1">_Google_ads[[#This Row],[search_impression_share]]*RANDBETWEEN(8,12)/10</f>
        <v>0.54</v>
      </c>
      <c r="AD3" s="3">
        <f t="shared" ca="1" si="2"/>
        <v>45242</v>
      </c>
      <c r="AE3" s="4" t="s">
        <v>104</v>
      </c>
      <c r="AF3" s="4" t="s">
        <v>105</v>
      </c>
      <c r="AG3" s="4" t="s">
        <v>106</v>
      </c>
      <c r="AH3" s="4" t="s">
        <v>107</v>
      </c>
      <c r="AI3" s="4">
        <f ca="1">ROUND(T_Tiktok_ads[[#This Row],[impressions]]*RANDBETWEEN(8,12)/10,0)</f>
        <v>135802</v>
      </c>
      <c r="AJ3" s="4">
        <f ca="1">ROUND(T_Tiktok_ads[[#This Row],[clicks]]*RANDBETWEEN(8,12)/10,0)</f>
        <v>2345</v>
      </c>
      <c r="AK3" s="4">
        <v>678.9</v>
      </c>
      <c r="AL3" s="4">
        <f ca="1">ROUND(T_Tiktok_ads[[#This Row],[conversions]]*RANDBETWEEN(8,12)/10,0)</f>
        <v>60</v>
      </c>
      <c r="AM3" s="4">
        <f ca="1">ROUND(T_Tiktok_ads[[#This Row],[video_views]]*RANDBETWEEN(8,12)/10,0)</f>
        <v>98157</v>
      </c>
      <c r="AN3" s="4">
        <f ca="1">ROUND(T_Tiktok_ads[[#This Row],[video_watch_25]]*RANDBETWEEN(8,12)/10,0)</f>
        <v>80681</v>
      </c>
      <c r="AO3" s="4">
        <f ca="1">ROUND(T_Tiktok_ads[[#This Row],[video_watch_50]]*RANDBETWEEN(8,12)/10,0)</f>
        <v>45234</v>
      </c>
      <c r="AP3" s="4">
        <f ca="1">ROUND(T_Tiktok_ads[[#This Row],[video_watch_75]]*RANDBETWEEN(8,12)/10,0)</f>
        <v>37657</v>
      </c>
      <c r="AQ3" s="4">
        <f ca="1">ROUND(T_Tiktok_ads[[#This Row],[video_watch_100]]*RANDBETWEEN(8,12)/10,0)</f>
        <v>28147</v>
      </c>
      <c r="AR3" s="4">
        <f ca="1">ROUND(T_Tiktok_ads[[#This Row],[likes]]*RANDBETWEEN(8,12)/10,0)</f>
        <v>4567</v>
      </c>
      <c r="AS3" s="4">
        <f ca="1">ROUND(T_Tiktok_ads[[#This Row],[shares]]*RANDBETWEEN(8,12)/10,0)</f>
        <v>1234</v>
      </c>
      <c r="AT3" s="4">
        <f ca="1">ROUND(T_Tiktok_ads[[#This Row],[comments]]*RANDBETWEEN(8,12)/10,0)</f>
        <v>187</v>
      </c>
      <c r="AV3" s="5">
        <f t="shared" ca="1" si="3"/>
        <v>45242</v>
      </c>
      <c r="AW3">
        <f t="shared" ref="AW3:AW66" ca="1" si="4">RANDBETWEEN(1,8)</f>
        <v>5</v>
      </c>
      <c r="AX3">
        <f ca="1">ROUND(T_Facebook_Ads1159636771757983879195[[#This Row],[impressions]]*RANDBETWEEN(8,12)/10,0)</f>
        <v>12331</v>
      </c>
      <c r="AY3">
        <f ca="1">ROUND(T_Facebook_Ads1159636771757983879195[[#This Row],[clicks]]*RANDBETWEEN(8,12)/10,0)</f>
        <v>624</v>
      </c>
      <c r="AZ3">
        <f ca="1">T_Facebook_Ads1159636771757983879195[[#This Row],[spend]]*RANDBETWEEN(8,12)/10</f>
        <v>189.90400000000002</v>
      </c>
      <c r="BA3">
        <f ca="1">ROUND(T_Facebook_Ads1159636771757983879195[[#This Row],[conversions]]*RANDBETWEEN(8,12)/10,0)</f>
        <v>37</v>
      </c>
      <c r="BB3">
        <f ca="1">ROUND(T_Facebook_Ads1159636771757983879195[[#This Row],[video_views]]*RANDBETWEEN(8,12)/10,0)</f>
        <v>1185</v>
      </c>
    </row>
    <row r="4" spans="1:54" ht="15.75" thickBot="1" x14ac:dyDescent="0.3">
      <c r="A4" s="3">
        <f t="shared" ca="1" si="0"/>
        <v>45257</v>
      </c>
      <c r="B4" s="4" t="s">
        <v>60</v>
      </c>
      <c r="C4" s="4" t="s">
        <v>61</v>
      </c>
      <c r="D4" s="4" t="s">
        <v>62</v>
      </c>
      <c r="E4" s="4" t="s">
        <v>63</v>
      </c>
      <c r="F4" s="4">
        <f ca="1">ROUND(T_Facebook_Ads[[#This Row],[impressions]]*RANDBETWEEN(8,12)/10,0)</f>
        <v>41480</v>
      </c>
      <c r="G4" s="4">
        <v>1234</v>
      </c>
      <c r="H4" s="4">
        <f ca="1">T_Facebook_Ads[[#This Row],[spend]]*RANDBETWEEN(8,12)/10</f>
        <v>189.9</v>
      </c>
      <c r="I4" s="4">
        <f ca="1">ROUND(T_Facebook_Ads[[#This Row],[conversions]]*RANDBETWEEN(8,12)/10,0)</f>
        <v>21</v>
      </c>
      <c r="J4" s="4">
        <f ca="1">ROUND(T_Facebook_Ads[[#This Row],[video_views]]*RANDBETWEEN(8,12)/10,0)</f>
        <v>4110</v>
      </c>
      <c r="K4" s="4">
        <f ca="1">T_Facebook_Ads[[#This Row],[engagement_rate]]*RANDBETWEEN(8,12)/10</f>
        <v>3.5700000000000003E-2</v>
      </c>
      <c r="L4" s="4">
        <f ca="1">ROUND(T_Facebook_Ads[[#This Row],[reach]]*RANDBETWEEN(8,12)/10,0)</f>
        <v>34721</v>
      </c>
      <c r="M4" s="4">
        <f ca="1">T_Facebook_Ads[[#This Row],[frequency]]*RANDBETWEEN(8,12)/10</f>
        <v>0.95199999999999996</v>
      </c>
      <c r="O4" s="3">
        <f t="shared" ca="1" si="1"/>
        <v>45239</v>
      </c>
      <c r="P4" s="4" t="s">
        <v>84</v>
      </c>
      <c r="Q4" s="4" t="s">
        <v>85</v>
      </c>
      <c r="R4" s="4" t="s">
        <v>86</v>
      </c>
      <c r="S4" s="4" t="s">
        <v>87</v>
      </c>
      <c r="T4" s="4">
        <f ca="1">ROUND(_Google_ads[[#This Row],[impressions]]*RANDBETWEEN(8,12)/10,0)</f>
        <v>54312</v>
      </c>
      <c r="U4" s="4">
        <f ca="1">ROUND(_Google_ads[[#This Row],[clicks]]*RANDBETWEEN(8,12)/10,0)</f>
        <v>2814</v>
      </c>
      <c r="V4" s="4">
        <f ca="1">_Google_ads[[#This Row],[cost]]*RANDBETWEEN(8,12)/10</f>
        <v>465.96000000000004</v>
      </c>
      <c r="W4" s="4">
        <f ca="1">ROUND(_Google_ads[[#This Row],[conversions]]*RANDBETWEEN(8,12)/10,0)</f>
        <v>60</v>
      </c>
      <c r="X4" s="4">
        <f ca="1">ROUND(_Google_ads[[#This Row],[conversion_value]]*RANDBETWEEN(8,12)/10,0)</f>
        <v>2680</v>
      </c>
      <c r="Y4" s="4">
        <f ca="1">_Google_ads[[#This Row],[ctr]]*RANDBETWEEN(8,12)/10</f>
        <v>4.1400000000000006E-2</v>
      </c>
      <c r="Z4" s="4">
        <f ca="1">_Google_ads[[#This Row],[avg_cpc]]*RANDBETWEEN(8,12)/10</f>
        <v>0.19800000000000001</v>
      </c>
      <c r="AA4" s="4">
        <f ca="1">ROUND(_Google_ads[[#This Row],[quality_score]]*RANDBETWEEN(8,12)/10,0)</f>
        <v>10</v>
      </c>
      <c r="AB4" s="4">
        <f ca="1">_Google_ads[[#This Row],[search_impression_share]]*RANDBETWEEN(8,12)/10</f>
        <v>0.73699999999999999</v>
      </c>
      <c r="AD4" s="3">
        <f t="shared" ca="1" si="2"/>
        <v>45250</v>
      </c>
      <c r="AE4" s="4" t="s">
        <v>108</v>
      </c>
      <c r="AF4" s="4" t="s">
        <v>109</v>
      </c>
      <c r="AG4" s="4" t="s">
        <v>110</v>
      </c>
      <c r="AH4" s="4" t="s">
        <v>111</v>
      </c>
      <c r="AI4" s="4">
        <f ca="1">ROUND(T_Tiktok_ads[[#This Row],[impressions]]*RANDBETWEEN(8,12)/10,0)</f>
        <v>151387</v>
      </c>
      <c r="AJ4" s="4">
        <f ca="1">ROUND(T_Tiktok_ads[[#This Row],[clicks]]*RANDBETWEEN(8,12)/10,0)</f>
        <v>2601</v>
      </c>
      <c r="AK4" s="4">
        <v>345.6</v>
      </c>
      <c r="AL4" s="4">
        <f ca="1">ROUND(T_Tiktok_ads[[#This Row],[conversions]]*RANDBETWEEN(8,12)/10,0)</f>
        <v>21</v>
      </c>
      <c r="AM4" s="4">
        <f ca="1">ROUND(T_Tiktok_ads[[#This Row],[video_views]]*RANDBETWEEN(8,12)/10,0)</f>
        <v>131110</v>
      </c>
      <c r="AN4" s="4">
        <f ca="1">ROUND(T_Tiktok_ads[[#This Row],[video_watch_25]]*RANDBETWEEN(8,12)/10,0)</f>
        <v>101111</v>
      </c>
      <c r="AO4" s="4">
        <f ca="1">ROUND(T_Tiktok_ads[[#This Row],[video_watch_50]]*RANDBETWEEN(8,12)/10,0)</f>
        <v>98157</v>
      </c>
      <c r="AP4" s="4">
        <f ca="1">ROUND(T_Tiktok_ads[[#This Row],[video_watch_75]]*RANDBETWEEN(8,12)/10,0)</f>
        <v>56789</v>
      </c>
      <c r="AQ4" s="4">
        <f ca="1">ROUND(T_Tiktok_ads[[#This Row],[video_watch_100]]*RANDBETWEEN(8,12)/10,0)</f>
        <v>34567</v>
      </c>
      <c r="AR4" s="4">
        <f ca="1">ROUND(T_Tiktok_ads[[#This Row],[likes]]*RANDBETWEEN(8,12)/10,0)</f>
        <v>6110</v>
      </c>
      <c r="AS4" s="4">
        <f ca="1">ROUND(T_Tiktok_ads[[#This Row],[shares]]*RANDBETWEEN(8,12)/10,0)</f>
        <v>2268</v>
      </c>
      <c r="AT4" s="4">
        <f ca="1">ROUND(T_Tiktok_ads[[#This Row],[comments]]*RANDBETWEEN(8,12)/10,0)</f>
        <v>547</v>
      </c>
      <c r="AV4" s="5">
        <f t="shared" ca="1" si="3"/>
        <v>45259</v>
      </c>
      <c r="AW4">
        <f t="shared" ca="1" si="4"/>
        <v>8</v>
      </c>
      <c r="AX4">
        <f ca="1">ROUND(T_Facebook_Ads1159636771757983879195[[#This Row],[impressions]]*RANDBETWEEN(8,12)/10,0)</f>
        <v>37332</v>
      </c>
      <c r="AY4">
        <f ca="1">ROUND(T_Facebook_Ads1159636771757983879195[[#This Row],[clicks]]*RANDBETWEEN(8,12)/10,0)</f>
        <v>987</v>
      </c>
      <c r="AZ4">
        <f ca="1">T_Facebook_Ads1159636771757983879195[[#This Row],[spend]]*RANDBETWEEN(8,12)/10</f>
        <v>208.89000000000001</v>
      </c>
      <c r="BA4">
        <f ca="1">ROUND(T_Facebook_Ads1159636771757983879195[[#This Row],[conversions]]*RANDBETWEEN(8,12)/10,0)</f>
        <v>21</v>
      </c>
      <c r="BB4">
        <f ca="1">ROUND(T_Facebook_Ads1159636771757983879195[[#This Row],[video_views]]*RANDBETWEEN(8,12)/10,0)</f>
        <v>4932</v>
      </c>
    </row>
    <row r="5" spans="1:54" ht="15.75" thickBot="1" x14ac:dyDescent="0.3">
      <c r="A5" s="3">
        <f t="shared" ca="1" si="0"/>
        <v>45258</v>
      </c>
      <c r="B5" s="4" t="s">
        <v>52</v>
      </c>
      <c r="C5" s="4" t="s">
        <v>53</v>
      </c>
      <c r="D5" s="4" t="s">
        <v>54</v>
      </c>
      <c r="E5" s="4" t="s">
        <v>55</v>
      </c>
      <c r="F5" s="4">
        <f ca="1">ROUND(T_Facebook_Ads[[#This Row],[impressions]]*RANDBETWEEN(8,12)/10,0)</f>
        <v>46580</v>
      </c>
      <c r="G5" s="4">
        <v>823</v>
      </c>
      <c r="H5" s="4">
        <f ca="1">T_Facebook_Ads[[#This Row],[spend]]*RANDBETWEEN(8,12)/10</f>
        <v>141.84</v>
      </c>
      <c r="I5" s="4">
        <f ca="1">ROUND(T_Facebook_Ads[[#This Row],[conversions]]*RANDBETWEEN(8,12)/10,0)</f>
        <v>10</v>
      </c>
      <c r="J5" s="4">
        <f ca="1">ROUND(T_Facebook_Ads[[#This Row],[video_views]]*RANDBETWEEN(8,12)/10,0)</f>
        <v>7101</v>
      </c>
      <c r="K5" s="4">
        <f ca="1">T_Facebook_Ads[[#This Row],[engagement_rate]]*RANDBETWEEN(8,12)/10</f>
        <v>1.5520000000000001E-2</v>
      </c>
      <c r="L5" s="4">
        <f ca="1">ROUND(T_Facebook_Ads[[#This Row],[reach]]*RANDBETWEEN(8,12)/10,0)</f>
        <v>36789</v>
      </c>
      <c r="M5" s="4">
        <f ca="1">T_Facebook_Ads[[#This Row],[frequency]]*RANDBETWEEN(8,12)/10</f>
        <v>1.0349999999999999</v>
      </c>
      <c r="O5" s="3">
        <f t="shared" ca="1" si="1"/>
        <v>45239</v>
      </c>
      <c r="P5" s="4" t="s">
        <v>76</v>
      </c>
      <c r="Q5" s="4" t="s">
        <v>77</v>
      </c>
      <c r="R5" s="4" t="s">
        <v>78</v>
      </c>
      <c r="S5" s="4" t="s">
        <v>79</v>
      </c>
      <c r="T5" s="4">
        <f ca="1">ROUND(_Google_ads[[#This Row],[impressions]]*RANDBETWEEN(8,12)/10,0)</f>
        <v>24567</v>
      </c>
      <c r="U5" s="4">
        <f ca="1">ROUND(_Google_ads[[#This Row],[clicks]]*RANDBETWEEN(8,12)/10,0)</f>
        <v>1418</v>
      </c>
      <c r="V5" s="4">
        <f ca="1">_Google_ads[[#This Row],[cost]]*RANDBETWEEN(8,12)/10</f>
        <v>294.71999999999997</v>
      </c>
      <c r="W5" s="4">
        <f ca="1">ROUND(_Google_ads[[#This Row],[conversions]]*RANDBETWEEN(8,12)/10,0)</f>
        <v>38</v>
      </c>
      <c r="X5" s="4">
        <f ca="1">ROUND(_Google_ads[[#This Row],[conversion_value]]*RANDBETWEEN(8,12)/10,0)</f>
        <v>2640</v>
      </c>
      <c r="Y5" s="4">
        <f ca="1">_Google_ads[[#This Row],[ctr]]*RANDBETWEEN(8,12)/10</f>
        <v>4.1999999999999996E-2</v>
      </c>
      <c r="Z5" s="4">
        <f ca="1">_Google_ads[[#This Row],[avg_cpc]]*RANDBETWEEN(8,12)/10</f>
        <v>0.20899999999999999</v>
      </c>
      <c r="AA5" s="4">
        <f ca="1">ROUND(_Google_ads[[#This Row],[quality_score]]*RANDBETWEEN(8,12)/10,0)</f>
        <v>9</v>
      </c>
      <c r="AB5" s="4">
        <f ca="1">_Google_ads[[#This Row],[search_impression_share]]*RANDBETWEEN(8,12)/10</f>
        <v>0.72799999999999998</v>
      </c>
      <c r="AD5" s="3">
        <f t="shared" ca="1" si="2"/>
        <v>45254</v>
      </c>
      <c r="AE5" s="4" t="s">
        <v>100</v>
      </c>
      <c r="AF5" s="4" t="s">
        <v>101</v>
      </c>
      <c r="AG5" s="4" t="s">
        <v>102</v>
      </c>
      <c r="AH5" s="4" t="s">
        <v>103</v>
      </c>
      <c r="AI5" s="4">
        <f ca="1">ROUND(T_Tiktok_ads[[#This Row],[impressions]]*RANDBETWEEN(8,12)/10,0)</f>
        <v>245678</v>
      </c>
      <c r="AJ5" s="4">
        <f ca="1">ROUND(T_Tiktok_ads[[#This Row],[clicks]]*RANDBETWEEN(8,12)/10,0)</f>
        <v>3310</v>
      </c>
      <c r="AK5" s="4">
        <v>478.9</v>
      </c>
      <c r="AL5" s="4">
        <f ca="1">ROUND(T_Tiktok_ads[[#This Row],[conversions]]*RANDBETWEEN(8,12)/10,0)</f>
        <v>32</v>
      </c>
      <c r="AM5" s="4">
        <f ca="1">ROUND(T_Tiktok_ads[[#This Row],[video_views]]*RANDBETWEEN(8,12)/10,0)</f>
        <v>248814</v>
      </c>
      <c r="AN5" s="4">
        <f ca="1">ROUND(T_Tiktok_ads[[#This Row],[video_watch_25]]*RANDBETWEEN(8,12)/10,0)</f>
        <v>179802</v>
      </c>
      <c r="AO5" s="4">
        <f ca="1">ROUND(T_Tiktok_ads[[#This Row],[video_watch_50]]*RANDBETWEEN(8,12)/10,0)</f>
        <v>122814</v>
      </c>
      <c r="AP5" s="4">
        <f ca="1">ROUND(T_Tiktok_ads[[#This Row],[video_watch_75]]*RANDBETWEEN(8,12)/10,0)</f>
        <v>63211</v>
      </c>
      <c r="AQ5" s="4">
        <f ca="1">ROUND(T_Tiktok_ads[[#This Row],[video_watch_100]]*RANDBETWEEN(8,12)/10,0)</f>
        <v>42511</v>
      </c>
      <c r="AR5" s="4">
        <f ca="1">ROUND(T_Tiktok_ads[[#This Row],[likes]]*RANDBETWEEN(8,12)/10,0)</f>
        <v>11081</v>
      </c>
      <c r="AS5" s="4">
        <f ca="1">ROUND(T_Tiktok_ads[[#This Row],[shares]]*RANDBETWEEN(8,12)/10,0)</f>
        <v>2947</v>
      </c>
      <c r="AT5" s="4">
        <f ca="1">ROUND(T_Tiktok_ads[[#This Row],[comments]]*RANDBETWEEN(8,12)/10,0)</f>
        <v>589</v>
      </c>
      <c r="AV5" s="5">
        <f t="shared" ca="1" si="3"/>
        <v>45259</v>
      </c>
      <c r="AW5">
        <f ca="1">RANDBETWEEN(1,8)</f>
        <v>8</v>
      </c>
      <c r="AX5">
        <f ca="1">ROUND(T_Facebook_Ads1159636771757983879195[[#This Row],[impressions]]*RANDBETWEEN(8,12)/10,0)</f>
        <v>41922</v>
      </c>
      <c r="AY5">
        <f ca="1">ROUND(T_Facebook_Ads1159636771757983879195[[#This Row],[clicks]]*RANDBETWEEN(8,12)/10,0)</f>
        <v>658</v>
      </c>
      <c r="AZ5">
        <f ca="1">T_Facebook_Ads1159636771757983879195[[#This Row],[spend]]*RANDBETWEEN(8,12)/10</f>
        <v>127.65599999999999</v>
      </c>
      <c r="BA5">
        <f ca="1">ROUND(T_Facebook_Ads1159636771757983879195[[#This Row],[conversions]]*RANDBETWEEN(8,12)/10,0)</f>
        <v>11</v>
      </c>
      <c r="BB5">
        <f ca="1">ROUND(T_Facebook_Ads1159636771757983879195[[#This Row],[video_views]]*RANDBETWEEN(8,12)/10,0)</f>
        <v>6391</v>
      </c>
    </row>
    <row r="6" spans="1:54" ht="15.75" thickBot="1" x14ac:dyDescent="0.3">
      <c r="A6" s="3">
        <f t="shared" ca="1" si="0"/>
        <v>45245</v>
      </c>
      <c r="B6" s="4" t="s">
        <v>56</v>
      </c>
      <c r="C6" s="4" t="s">
        <v>57</v>
      </c>
      <c r="D6" s="4" t="s">
        <v>58</v>
      </c>
      <c r="E6" s="4" t="s">
        <v>59</v>
      </c>
      <c r="F6" s="4">
        <f ca="1">ROUND(T_Facebook_Ads[[#This Row],[impressions]]*RANDBETWEEN(8,12)/10,0)</f>
        <v>15046</v>
      </c>
      <c r="G6" s="4">
        <v>623</v>
      </c>
      <c r="H6" s="4">
        <f ca="1">T_Facebook_Ads[[#This Row],[spend]]*RANDBETWEEN(8,12)/10</f>
        <v>187.6</v>
      </c>
      <c r="I6" s="4">
        <f ca="1">ROUND(T_Facebook_Ads[[#This Row],[conversions]]*RANDBETWEEN(8,12)/10,0)</f>
        <v>34</v>
      </c>
      <c r="J6" s="4">
        <f ca="1">ROUND(T_Facebook_Ads[[#This Row],[video_views]]*RANDBETWEEN(8,12)/10,0)</f>
        <v>1747</v>
      </c>
      <c r="K6" s="4">
        <f ca="1">T_Facebook_Ads[[#This Row],[engagement_rate]]*RANDBETWEEN(8,12)/10</f>
        <v>3.6400000000000002E-2</v>
      </c>
      <c r="L6" s="4">
        <f ca="1">ROUND(T_Facebook_Ads[[#This Row],[reach]]*RANDBETWEEN(8,12)/10,0)</f>
        <v>12281</v>
      </c>
      <c r="M6" s="4">
        <f ca="1">T_Facebook_Ads[[#This Row],[frequency]]*RANDBETWEEN(8,12)/10</f>
        <v>1.34</v>
      </c>
      <c r="O6" s="3">
        <f t="shared" ca="1" si="1"/>
        <v>45256</v>
      </c>
      <c r="P6" s="4" t="s">
        <v>80</v>
      </c>
      <c r="Q6" s="4" t="s">
        <v>81</v>
      </c>
      <c r="R6" s="4" t="s">
        <v>82</v>
      </c>
      <c r="S6" s="4" t="s">
        <v>83</v>
      </c>
      <c r="T6" s="4">
        <f ca="1">ROUND(_Google_ads[[#This Row],[impressions]]*RANDBETWEEN(8,12)/10,0)</f>
        <v>51881</v>
      </c>
      <c r="U6" s="4">
        <f ca="1">ROUND(_Google_ads[[#This Row],[clicks]]*RANDBETWEEN(8,12)/10,0)</f>
        <v>741</v>
      </c>
      <c r="V6" s="4">
        <f ca="1">_Google_ads[[#This Row],[cost]]*RANDBETWEEN(8,12)/10</f>
        <v>427.36</v>
      </c>
      <c r="W6" s="4">
        <f ca="1">ROUND(_Google_ads[[#This Row],[conversions]]*RANDBETWEEN(8,12)/10,0)</f>
        <v>23</v>
      </c>
      <c r="X6" s="4">
        <f ca="1">ROUND(_Google_ads[[#This Row],[conversion_value]]*RANDBETWEEN(8,12)/10,0)</f>
        <v>945</v>
      </c>
      <c r="Y6" s="4">
        <f ca="1">_Google_ads[[#This Row],[ctr]]*RANDBETWEEN(8,12)/10</f>
        <v>1.7099999999999997E-2</v>
      </c>
      <c r="Z6" s="4">
        <f ca="1">_Google_ads[[#This Row],[avg_cpc]]*RANDBETWEEN(8,12)/10</f>
        <v>0.65</v>
      </c>
      <c r="AA6" s="4">
        <f ca="1">ROUND(_Google_ads[[#This Row],[quality_score]]*RANDBETWEEN(8,12)/10,0)</f>
        <v>7</v>
      </c>
      <c r="AB6" s="4">
        <f ca="1">_Google_ads[[#This Row],[search_impression_share]]*RANDBETWEEN(8,12)/10</f>
        <v>0.52800000000000002</v>
      </c>
      <c r="AD6" s="3">
        <f t="shared" ca="1" si="2"/>
        <v>45234</v>
      </c>
      <c r="AE6" s="4" t="s">
        <v>104</v>
      </c>
      <c r="AF6" s="4" t="s">
        <v>105</v>
      </c>
      <c r="AG6" s="4" t="s">
        <v>106</v>
      </c>
      <c r="AH6" s="4" t="s">
        <v>107</v>
      </c>
      <c r="AI6" s="4">
        <f ca="1">ROUND(T_Tiktok_ads[[#This Row],[impressions]]*RANDBETWEEN(8,12)/10,0)</f>
        <v>121110</v>
      </c>
      <c r="AJ6" s="4">
        <f ca="1">ROUND(T_Tiktok_ads[[#This Row],[clicks]]*RANDBETWEEN(8,12)/10,0)</f>
        <v>2824</v>
      </c>
      <c r="AK6" s="4">
        <v>712.3</v>
      </c>
      <c r="AL6" s="4">
        <f ca="1">ROUND(T_Tiktok_ads[[#This Row],[conversions]]*RANDBETWEEN(8,12)/10,0)</f>
        <v>71</v>
      </c>
      <c r="AM6" s="4">
        <f ca="1">ROUND(T_Tiktok_ads[[#This Row],[video_views]]*RANDBETWEEN(8,12)/10,0)</f>
        <v>76542</v>
      </c>
      <c r="AN6" s="4">
        <f ca="1">ROUND(T_Tiktok_ads[[#This Row],[video_watch_25]]*RANDBETWEEN(8,12)/10,0)</f>
        <v>71234</v>
      </c>
      <c r="AO6" s="4">
        <f ca="1">ROUND(T_Tiktok_ads[[#This Row],[video_watch_50]]*RANDBETWEEN(8,12)/10,0)</f>
        <v>48234</v>
      </c>
      <c r="AP6" s="4">
        <f ca="1">ROUND(T_Tiktok_ads[[#This Row],[video_watch_75]]*RANDBETWEEN(8,12)/10,0)</f>
        <v>28987</v>
      </c>
      <c r="AQ6" s="4">
        <f ca="1">ROUND(T_Tiktok_ads[[#This Row],[video_watch_100]]*RANDBETWEEN(8,12)/10,0)</f>
        <v>22110</v>
      </c>
      <c r="AR6" s="4">
        <f ca="1">ROUND(T_Tiktok_ads[[#This Row],[likes]]*RANDBETWEEN(8,12)/10,0)</f>
        <v>3831</v>
      </c>
      <c r="AS6" s="4">
        <f ca="1">ROUND(T_Tiktok_ads[[#This Row],[shares]]*RANDBETWEEN(8,12)/10,0)</f>
        <v>1614</v>
      </c>
      <c r="AT6" s="4">
        <f ca="1">ROUND(T_Tiktok_ads[[#This Row],[comments]]*RANDBETWEEN(8,12)/10,0)</f>
        <v>294</v>
      </c>
      <c r="AV6" s="5">
        <f t="shared" ca="1" si="3"/>
        <v>45251</v>
      </c>
      <c r="AW6">
        <f t="shared" ca="1" si="4"/>
        <v>3</v>
      </c>
      <c r="AX6">
        <f ca="1">ROUND(T_Facebook_Ads1159636771757983879195[[#This Row],[impressions]]*RANDBETWEEN(8,12)/10,0)</f>
        <v>16551</v>
      </c>
      <c r="AY6">
        <f ca="1">ROUND(T_Facebook_Ads1159636771757983879195[[#This Row],[clicks]]*RANDBETWEEN(8,12)/10,0)</f>
        <v>498</v>
      </c>
      <c r="AZ6">
        <f ca="1">T_Facebook_Ads1159636771757983879195[[#This Row],[spend]]*RANDBETWEEN(8,12)/10</f>
        <v>206.35999999999999</v>
      </c>
      <c r="BA6">
        <f ca="1">ROUND(T_Facebook_Ads1159636771757983879195[[#This Row],[conversions]]*RANDBETWEEN(8,12)/10,0)</f>
        <v>31</v>
      </c>
      <c r="BB6">
        <f ca="1">ROUND(T_Facebook_Ads1159636771757983879195[[#This Row],[video_views]]*RANDBETWEEN(8,12)/10,0)</f>
        <v>2096</v>
      </c>
    </row>
    <row r="7" spans="1:54" ht="15.75" thickBot="1" x14ac:dyDescent="0.3">
      <c r="A7" s="3">
        <f t="shared" ca="1" si="0"/>
        <v>45234</v>
      </c>
      <c r="B7" s="4" t="s">
        <v>60</v>
      </c>
      <c r="C7" s="4" t="s">
        <v>61</v>
      </c>
      <c r="D7" s="4" t="s">
        <v>62</v>
      </c>
      <c r="E7" s="4" t="s">
        <v>63</v>
      </c>
      <c r="F7" s="4">
        <f ca="1">ROUND(T_Facebook_Ads[[#This Row],[impressions]]*RANDBETWEEN(8,12)/10,0)</f>
        <v>36789</v>
      </c>
      <c r="G7" s="4">
        <v>1345</v>
      </c>
      <c r="H7" s="4">
        <f ca="1">T_Facebook_Ads[[#This Row],[spend]]*RANDBETWEEN(8,12)/10</f>
        <v>181.17000000000002</v>
      </c>
      <c r="I7" s="4">
        <f ca="1">ROUND(T_Facebook_Ads[[#This Row],[conversions]]*RANDBETWEEN(8,12)/10,0)</f>
        <v>20</v>
      </c>
      <c r="J7" s="4">
        <f ca="1">ROUND(T_Facebook_Ads[[#This Row],[video_views]]*RANDBETWEEN(8,12)/10,0)</f>
        <v>3912</v>
      </c>
      <c r="K7" s="4">
        <f ca="1">T_Facebook_Ads[[#This Row],[engagement_rate]]*RANDBETWEEN(8,12)/10</f>
        <v>3.2940000000000004E-2</v>
      </c>
      <c r="L7" s="4">
        <f ca="1">ROUND(T_Facebook_Ads[[#This Row],[reach]]*RANDBETWEEN(8,12)/10,0)</f>
        <v>24098</v>
      </c>
      <c r="M7" s="4">
        <f ca="1">T_Facebook_Ads[[#This Row],[frequency]]*RANDBETWEEN(8,12)/10</f>
        <v>1.0980000000000001</v>
      </c>
      <c r="O7" s="3">
        <f t="shared" ca="1" si="1"/>
        <v>45245</v>
      </c>
      <c r="P7" s="4" t="s">
        <v>84</v>
      </c>
      <c r="Q7" s="4" t="s">
        <v>85</v>
      </c>
      <c r="R7" s="4" t="s">
        <v>86</v>
      </c>
      <c r="S7" s="4" t="s">
        <v>87</v>
      </c>
      <c r="T7" s="4">
        <f ca="1">ROUND(_Google_ads[[#This Row],[impressions]]*RANDBETWEEN(8,12)/10,0)</f>
        <v>56987</v>
      </c>
      <c r="U7" s="4">
        <f ca="1">ROUND(_Google_ads[[#This Row],[clicks]]*RANDBETWEEN(8,12)/10,0)</f>
        <v>2210</v>
      </c>
      <c r="V7" s="4">
        <f ca="1">_Google_ads[[#This Row],[cost]]*RANDBETWEEN(8,12)/10</f>
        <v>534.96</v>
      </c>
      <c r="W7" s="4">
        <f ca="1">ROUND(_Google_ads[[#This Row],[conversions]]*RANDBETWEEN(8,12)/10,0)</f>
        <v>64</v>
      </c>
      <c r="X7" s="4">
        <f ca="1">ROUND(_Google_ads[[#This Row],[conversion_value]]*RANDBETWEEN(8,12)/10,0)</f>
        <v>3550</v>
      </c>
      <c r="Y7" s="4">
        <f ca="1">_Google_ads[[#This Row],[ctr]]*RANDBETWEEN(8,12)/10</f>
        <v>3.7950000000000005E-2</v>
      </c>
      <c r="Z7" s="4">
        <f ca="1">_Google_ads[[#This Row],[avg_cpc]]*RANDBETWEEN(8,12)/10</f>
        <v>0.21600000000000003</v>
      </c>
      <c r="AA7" s="4">
        <f ca="1">ROUND(_Google_ads[[#This Row],[quality_score]]*RANDBETWEEN(8,12)/10,0)</f>
        <v>8</v>
      </c>
      <c r="AB7" s="4">
        <f ca="1">_Google_ads[[#This Row],[search_impression_share]]*RANDBETWEEN(8,12)/10</f>
        <v>0.61199999999999999</v>
      </c>
      <c r="AD7" s="3">
        <f t="shared" ca="1" si="2"/>
        <v>45247</v>
      </c>
      <c r="AE7" s="4" t="s">
        <v>108</v>
      </c>
      <c r="AF7" s="4" t="s">
        <v>109</v>
      </c>
      <c r="AG7" s="4" t="s">
        <v>110</v>
      </c>
      <c r="AH7" s="4" t="s">
        <v>111</v>
      </c>
      <c r="AI7" s="4">
        <f ca="1">ROUND(T_Tiktok_ads[[#This Row],[impressions]]*RANDBETWEEN(8,12)/10,0)</f>
        <v>158676</v>
      </c>
      <c r="AJ7" s="4">
        <f ca="1">ROUND(T_Tiktok_ads[[#This Row],[clicks]]*RANDBETWEEN(8,12)/10,0)</f>
        <v>2410</v>
      </c>
      <c r="AK7" s="4">
        <v>361.2</v>
      </c>
      <c r="AL7" s="4">
        <f ca="1">ROUND(T_Tiktok_ads[[#This Row],[conversions]]*RANDBETWEEN(8,12)/10,0)</f>
        <v>25</v>
      </c>
      <c r="AM7" s="4">
        <f ca="1">ROUND(T_Tiktok_ads[[#This Row],[video_views]]*RANDBETWEEN(8,12)/10,0)</f>
        <v>137111</v>
      </c>
      <c r="AN7" s="4">
        <f ca="1">ROUND(T_Tiktok_ads[[#This Row],[video_watch_25]]*RANDBETWEEN(8,12)/10,0)</f>
        <v>117234</v>
      </c>
      <c r="AO7" s="4">
        <f ca="1">ROUND(T_Tiktok_ads[[#This Row],[video_watch_50]]*RANDBETWEEN(8,12)/10,0)</f>
        <v>111881</v>
      </c>
      <c r="AP7" s="4">
        <f ca="1">ROUND(T_Tiktok_ads[[#This Row],[video_watch_75]]*RANDBETWEEN(8,12)/10,0)</f>
        <v>71081</v>
      </c>
      <c r="AQ7" s="4">
        <f ca="1">ROUND(T_Tiktok_ads[[#This Row],[video_watch_100]]*RANDBETWEEN(8,12)/10,0)</f>
        <v>28987</v>
      </c>
      <c r="AR7" s="4">
        <f ca="1">ROUND(T_Tiktok_ads[[#This Row],[likes]]*RANDBETWEEN(8,12)/10,0)</f>
        <v>7835</v>
      </c>
      <c r="AS7" s="4">
        <f ca="1">ROUND(T_Tiktok_ads[[#This Row],[shares]]*RANDBETWEEN(8,12)/10,0)</f>
        <v>1574</v>
      </c>
      <c r="AT7" s="4">
        <f ca="1">ROUND(T_Tiktok_ads[[#This Row],[comments]]*RANDBETWEEN(8,12)/10,0)</f>
        <v>430</v>
      </c>
      <c r="AV7" s="5">
        <f t="shared" ca="1" si="3"/>
        <v>45259</v>
      </c>
      <c r="AW7">
        <f t="shared" ca="1" si="4"/>
        <v>5</v>
      </c>
      <c r="AX7">
        <f ca="1">ROUND(T_Facebook_Ads1159636771757983879195[[#This Row],[impressions]]*RANDBETWEEN(8,12)/10,0)</f>
        <v>29431</v>
      </c>
      <c r="AY7">
        <f ca="1">ROUND(T_Facebook_Ads1159636771757983879195[[#This Row],[clicks]]*RANDBETWEEN(8,12)/10,0)</f>
        <v>1076</v>
      </c>
      <c r="AZ7">
        <f ca="1">T_Facebook_Ads1159636771757983879195[[#This Row],[spend]]*RANDBETWEEN(8,12)/10</f>
        <v>181.17000000000002</v>
      </c>
      <c r="BA7">
        <f ca="1">ROUND(T_Facebook_Ads1159636771757983879195[[#This Row],[conversions]]*RANDBETWEEN(8,12)/10,0)</f>
        <v>20</v>
      </c>
      <c r="BB7">
        <f ca="1">ROUND(T_Facebook_Ads1159636771757983879195[[#This Row],[video_views]]*RANDBETWEEN(8,12)/10,0)</f>
        <v>4694</v>
      </c>
    </row>
    <row r="8" spans="1:54" ht="15.75" thickBot="1" x14ac:dyDescent="0.3">
      <c r="A8" s="3">
        <f t="shared" ca="1" si="0"/>
        <v>45259</v>
      </c>
      <c r="B8" s="4" t="s">
        <v>52</v>
      </c>
      <c r="C8" s="4" t="s">
        <v>53</v>
      </c>
      <c r="D8" s="4" t="s">
        <v>54</v>
      </c>
      <c r="E8" s="4" t="s">
        <v>55</v>
      </c>
      <c r="F8" s="4">
        <f ca="1">ROUND(T_Facebook_Ads[[#This Row],[impressions]]*RANDBETWEEN(8,12)/10,0)</f>
        <v>43411</v>
      </c>
      <c r="G8" s="4">
        <v>967</v>
      </c>
      <c r="H8" s="4">
        <f ca="1">T_Facebook_Ads[[#This Row],[spend]]*RANDBETWEEN(8,12)/10</f>
        <v>107.84</v>
      </c>
      <c r="I8" s="4">
        <f ca="1">ROUND(T_Facebook_Ads[[#This Row],[conversions]]*RANDBETWEEN(8,12)/10,0)</f>
        <v>15</v>
      </c>
      <c r="J8" s="4">
        <f ca="1">ROUND(T_Facebook_Ads[[#This Row],[video_views]]*RANDBETWEEN(8,12)/10,0)</f>
        <v>10681</v>
      </c>
      <c r="K8" s="4">
        <f ca="1">T_Facebook_Ads[[#This Row],[engagement_rate]]*RANDBETWEEN(8,12)/10</f>
        <v>2.01E-2</v>
      </c>
      <c r="L8" s="4">
        <f ca="1">ROUND(T_Facebook_Ads[[#This Row],[reach]]*RANDBETWEEN(8,12)/10,0)</f>
        <v>40123</v>
      </c>
      <c r="M8" s="4">
        <f ca="1">T_Facebook_Ads[[#This Row],[frequency]]*RANDBETWEEN(8,12)/10</f>
        <v>1.44</v>
      </c>
      <c r="O8" s="3">
        <f t="shared" ca="1" si="1"/>
        <v>45254</v>
      </c>
      <c r="P8" s="4" t="s">
        <v>76</v>
      </c>
      <c r="Q8" s="4" t="s">
        <v>77</v>
      </c>
      <c r="R8" s="4" t="s">
        <v>78</v>
      </c>
      <c r="S8" s="4" t="s">
        <v>79</v>
      </c>
      <c r="T8" s="4">
        <f ca="1">ROUND(_Google_ads[[#This Row],[impressions]]*RANDBETWEEN(8,12)/10,0)</f>
        <v>26814</v>
      </c>
      <c r="U8" s="4">
        <f ca="1">ROUND(_Google_ads[[#This Row],[clicks]]*RANDBETWEEN(8,12)/10,0)</f>
        <v>1348</v>
      </c>
      <c r="V8" s="4">
        <f ca="1">_Google_ads[[#This Row],[cost]]*RANDBETWEEN(8,12)/10</f>
        <v>170.72</v>
      </c>
      <c r="W8" s="4">
        <f ca="1">ROUND(_Google_ads[[#This Row],[conversions]]*RANDBETWEEN(8,12)/10,0)</f>
        <v>42</v>
      </c>
      <c r="X8" s="4">
        <f ca="1">ROUND(_Google_ads[[#This Row],[conversion_value]]*RANDBETWEEN(8,12)/10,0)</f>
        <v>2310</v>
      </c>
      <c r="Y8" s="4">
        <f ca="1">_Google_ads[[#This Row],[ctr]]*RANDBETWEEN(8,12)/10</f>
        <v>6.035999999999999E-2</v>
      </c>
      <c r="Z8" s="4">
        <f ca="1">_Google_ads[[#This Row],[avg_cpc]]*RANDBETWEEN(8,12)/10</f>
        <v>0.20899999999999999</v>
      </c>
      <c r="AA8" s="4">
        <f ca="1">ROUND(_Google_ads[[#This Row],[quality_score]]*RANDBETWEEN(8,12)/10,0)</f>
        <v>7</v>
      </c>
      <c r="AB8" s="4">
        <f ca="1">_Google_ads[[#This Row],[search_impression_share]]*RANDBETWEEN(8,12)/10</f>
        <v>0.83700000000000008</v>
      </c>
      <c r="AD8" s="3">
        <f t="shared" ca="1" si="2"/>
        <v>45251</v>
      </c>
      <c r="AE8" s="4" t="s">
        <v>100</v>
      </c>
      <c r="AF8" s="4" t="s">
        <v>101</v>
      </c>
      <c r="AG8" s="4" t="s">
        <v>102</v>
      </c>
      <c r="AH8" s="4" t="s">
        <v>103</v>
      </c>
      <c r="AI8" s="4">
        <f ca="1">ROUND(T_Tiktok_ads[[#This Row],[impressions]]*RANDBETWEEN(8,12)/10,0)</f>
        <v>268147</v>
      </c>
      <c r="AJ8" s="4">
        <f ca="1">ROUND(T_Tiktok_ads[[#This Row],[clicks]]*RANDBETWEEN(8,12)/10,0)</f>
        <v>3234</v>
      </c>
      <c r="AK8" s="4">
        <v>434.5</v>
      </c>
      <c r="AL8" s="4">
        <f ca="1">ROUND(T_Tiktok_ads[[#This Row],[conversions]]*RANDBETWEEN(8,12)/10,0)</f>
        <v>26</v>
      </c>
      <c r="AM8" s="4">
        <f ca="1">ROUND(T_Tiktok_ads[[#This Row],[video_views]]*RANDBETWEEN(8,12)/10,0)</f>
        <v>227081</v>
      </c>
      <c r="AN8" s="4">
        <f ca="1">ROUND(T_Tiktok_ads[[#This Row],[video_watch_25]]*RANDBETWEEN(8,12)/10,0)</f>
        <v>177881</v>
      </c>
      <c r="AO8" s="4">
        <f ca="1">ROUND(T_Tiktok_ads[[#This Row],[video_watch_50]]*RANDBETWEEN(8,12)/10,0)</f>
        <v>111881</v>
      </c>
      <c r="AP8" s="4">
        <f ca="1">ROUND(T_Tiktok_ads[[#This Row],[video_watch_75]]*RANDBETWEEN(8,12)/10,0)</f>
        <v>50765</v>
      </c>
      <c r="AQ8" s="4">
        <f ca="1">ROUND(T_Tiktok_ads[[#This Row],[video_watch_100]]*RANDBETWEEN(8,12)/10,0)</f>
        <v>43234</v>
      </c>
      <c r="AR8" s="4">
        <f ca="1">ROUND(T_Tiktok_ads[[#This Row],[likes]]*RANDBETWEEN(8,12)/10,0)</f>
        <v>7710</v>
      </c>
      <c r="AS8" s="4">
        <f ca="1">ROUND(T_Tiktok_ads[[#This Row],[shares]]*RANDBETWEEN(8,12)/10,0)</f>
        <v>1787</v>
      </c>
      <c r="AT8" s="4">
        <f ca="1">ROUND(T_Tiktok_ads[[#This Row],[comments]]*RANDBETWEEN(8,12)/10,0)</f>
        <v>534</v>
      </c>
      <c r="AV8" s="5">
        <f t="shared" ca="1" si="3"/>
        <v>45254</v>
      </c>
      <c r="AW8">
        <f t="shared" ca="1" si="4"/>
        <v>6</v>
      </c>
      <c r="AX8">
        <f ca="1">ROUND(T_Facebook_Ads1159636771757983879195[[#This Row],[impressions]]*RANDBETWEEN(8,12)/10,0)</f>
        <v>43411</v>
      </c>
      <c r="AY8">
        <f ca="1">ROUND(T_Facebook_Ads1159636771757983879195[[#This Row],[clicks]]*RANDBETWEEN(8,12)/10,0)</f>
        <v>870</v>
      </c>
      <c r="AZ8">
        <f ca="1">T_Facebook_Ads1159636771757983879195[[#This Row],[spend]]*RANDBETWEEN(8,12)/10</f>
        <v>97.056000000000012</v>
      </c>
      <c r="BA8">
        <f ca="1">ROUND(T_Facebook_Ads1159636771757983879195[[#This Row],[conversions]]*RANDBETWEEN(8,12)/10,0)</f>
        <v>15</v>
      </c>
      <c r="BB8">
        <f ca="1">ROUND(T_Facebook_Ads1159636771757983879195[[#This Row],[video_views]]*RANDBETWEEN(8,12)/10,0)</f>
        <v>11749</v>
      </c>
    </row>
    <row r="9" spans="1:54" ht="15.75" thickBot="1" x14ac:dyDescent="0.3">
      <c r="A9" s="3">
        <f t="shared" ca="1" si="0"/>
        <v>45254</v>
      </c>
      <c r="B9" s="4" t="s">
        <v>56</v>
      </c>
      <c r="C9" s="4" t="s">
        <v>57</v>
      </c>
      <c r="D9" s="4" t="s">
        <v>58</v>
      </c>
      <c r="E9" s="4" t="s">
        <v>59</v>
      </c>
      <c r="F9" s="4">
        <f ca="1">ROUND(T_Facebook_Ads[[#This Row],[impressions]]*RANDBETWEEN(8,12)/10,0)</f>
        <v>11234</v>
      </c>
      <c r="G9" s="4">
        <v>489</v>
      </c>
      <c r="H9" s="4">
        <f ca="1">T_Facebook_Ads[[#This Row],[spend]]*RANDBETWEEN(8,12)/10</f>
        <v>238.43999999999997</v>
      </c>
      <c r="I9" s="4">
        <f ca="1">ROUND(T_Facebook_Ads[[#This Row],[conversions]]*RANDBETWEEN(8,12)/10,0)</f>
        <v>37</v>
      </c>
      <c r="J9" s="4">
        <f ca="1">ROUND(T_Facebook_Ads[[#This Row],[video_views]]*RANDBETWEEN(8,12)/10,0)</f>
        <v>1235</v>
      </c>
      <c r="K9" s="4">
        <f ca="1">T_Facebook_Ads[[#This Row],[engagement_rate]]*RANDBETWEEN(8,12)/10</f>
        <v>3.4799999999999998E-2</v>
      </c>
      <c r="L9" s="4">
        <f ca="1">ROUND(T_Facebook_Ads[[#This Row],[reach]]*RANDBETWEEN(8,12)/10,0)</f>
        <v>8011</v>
      </c>
      <c r="M9" s="4">
        <f ca="1">T_Facebook_Ads[[#This Row],[frequency]]*RANDBETWEEN(8,12)/10</f>
        <v>1.26</v>
      </c>
      <c r="O9" s="3">
        <f t="shared" ca="1" si="1"/>
        <v>45236</v>
      </c>
      <c r="P9" s="4" t="s">
        <v>80</v>
      </c>
      <c r="Q9" s="4" t="s">
        <v>81</v>
      </c>
      <c r="R9" s="4" t="s">
        <v>82</v>
      </c>
      <c r="S9" s="4" t="s">
        <v>83</v>
      </c>
      <c r="T9" s="4">
        <f ca="1">ROUND(_Google_ads[[#This Row],[impressions]]*RANDBETWEEN(8,12)/10,0)</f>
        <v>47890</v>
      </c>
      <c r="U9" s="4">
        <f ca="1">ROUND(_Google_ads[[#This Row],[clicks]]*RANDBETWEEN(8,12)/10,0)</f>
        <v>1064</v>
      </c>
      <c r="V9" s="4">
        <f ca="1">_Google_ads[[#This Row],[cost]]*RANDBETWEEN(8,12)/10</f>
        <v>748.2</v>
      </c>
      <c r="W9" s="4">
        <f ca="1">ROUND(_Google_ads[[#This Row],[conversions]]*RANDBETWEEN(8,12)/10,0)</f>
        <v>30</v>
      </c>
      <c r="X9" s="4">
        <f ca="1">ROUND(_Google_ads[[#This Row],[conversion_value]]*RANDBETWEEN(8,12)/10,0)</f>
        <v>1375</v>
      </c>
      <c r="Y9" s="4">
        <f ca="1">_Google_ads[[#This Row],[ctr]]*RANDBETWEEN(8,12)/10</f>
        <v>2.4240000000000001E-2</v>
      </c>
      <c r="Z9" s="4">
        <f ca="1">_Google_ads[[#This Row],[avg_cpc]]*RANDBETWEEN(8,12)/10</f>
        <v>0.70399999999999996</v>
      </c>
      <c r="AA9" s="4">
        <f ca="1">ROUND(_Google_ads[[#This Row],[quality_score]]*RANDBETWEEN(8,12)/10,0)</f>
        <v>5</v>
      </c>
      <c r="AB9" s="4">
        <f ca="1">_Google_ads[[#This Row],[search_impression_share]]*RANDBETWEEN(8,12)/10</f>
        <v>0.47299999999999998</v>
      </c>
      <c r="AD9" s="3">
        <f t="shared" ca="1" si="2"/>
        <v>45258</v>
      </c>
      <c r="AE9" s="4" t="s">
        <v>104</v>
      </c>
      <c r="AF9" s="4" t="s">
        <v>105</v>
      </c>
      <c r="AG9" s="4" t="s">
        <v>106</v>
      </c>
      <c r="AH9" s="4" t="s">
        <v>107</v>
      </c>
      <c r="AI9" s="4">
        <f ca="1">ROUND(T_Tiktok_ads[[#This Row],[impressions]]*RANDBETWEEN(8,12)/10,0)</f>
        <v>101111</v>
      </c>
      <c r="AJ9" s="4">
        <f ca="1">ROUND(T_Tiktok_ads[[#This Row],[clicks]]*RANDBETWEEN(8,12)/10,0)</f>
        <v>1911</v>
      </c>
      <c r="AK9" s="4">
        <v>623.4</v>
      </c>
      <c r="AL9" s="4">
        <f ca="1">ROUND(T_Tiktok_ads[[#This Row],[conversions]]*RANDBETWEEN(8,12)/10,0)</f>
        <v>50</v>
      </c>
      <c r="AM9" s="4">
        <f ca="1">ROUND(T_Tiktok_ads[[#This Row],[video_views]]*RANDBETWEEN(8,12)/10,0)</f>
        <v>90580</v>
      </c>
      <c r="AN9" s="4">
        <f ca="1">ROUND(T_Tiktok_ads[[#This Row],[video_watch_25]]*RANDBETWEEN(8,12)/10,0)</f>
        <v>55111</v>
      </c>
      <c r="AO9" s="4">
        <f ca="1">ROUND(T_Tiktok_ads[[#This Row],[video_watch_50]]*RANDBETWEEN(8,12)/10,0)</f>
        <v>41234</v>
      </c>
      <c r="AP9" s="4">
        <f ca="1">ROUND(T_Tiktok_ads[[#This Row],[video_watch_75]]*RANDBETWEEN(8,12)/10,0)</f>
        <v>28111</v>
      </c>
      <c r="AQ9" s="4">
        <f ca="1">ROUND(T_Tiktok_ads[[#This Row],[video_watch_100]]*RANDBETWEEN(8,12)/10,0)</f>
        <v>19111</v>
      </c>
      <c r="AR9" s="4">
        <f ca="1">ROUND(T_Tiktok_ads[[#This Row],[likes]]*RANDBETWEEN(8,12)/10,0)</f>
        <v>4234</v>
      </c>
      <c r="AS9" s="4">
        <f ca="1">ROUND(T_Tiktok_ads[[#This Row],[shares]]*RANDBETWEEN(8,12)/10,0)</f>
        <v>1348</v>
      </c>
      <c r="AT9" s="4">
        <f ca="1">ROUND(T_Tiktok_ads[[#This Row],[comments]]*RANDBETWEEN(8,12)/10,0)</f>
        <v>254</v>
      </c>
      <c r="AV9" s="5">
        <f t="shared" ca="1" si="3"/>
        <v>45248</v>
      </c>
      <c r="AW9">
        <f t="shared" ca="1" si="4"/>
        <v>8</v>
      </c>
      <c r="AX9">
        <f ca="1">ROUND(T_Facebook_Ads1159636771757983879195[[#This Row],[impressions]]*RANDBETWEEN(8,12)/10,0)</f>
        <v>12357</v>
      </c>
      <c r="AY9">
        <f ca="1">ROUND(T_Facebook_Ads1159636771757983879195[[#This Row],[clicks]]*RANDBETWEEN(8,12)/10,0)</f>
        <v>440</v>
      </c>
      <c r="AZ9">
        <f ca="1">T_Facebook_Ads1159636771757983879195[[#This Row],[spend]]*RANDBETWEEN(8,12)/10</f>
        <v>190.75199999999998</v>
      </c>
      <c r="BA9">
        <f ca="1">ROUND(T_Facebook_Ads1159636771757983879195[[#This Row],[conversions]]*RANDBETWEEN(8,12)/10,0)</f>
        <v>30</v>
      </c>
      <c r="BB9">
        <f ca="1">ROUND(T_Facebook_Ads1159636771757983879195[[#This Row],[video_views]]*RANDBETWEEN(8,12)/10,0)</f>
        <v>1482</v>
      </c>
    </row>
    <row r="10" spans="1:54" ht="15.75" thickBot="1" x14ac:dyDescent="0.3">
      <c r="A10" s="3">
        <f t="shared" ca="1" si="0"/>
        <v>45243</v>
      </c>
      <c r="B10" s="4" t="s">
        <v>60</v>
      </c>
      <c r="C10" s="4" t="s">
        <v>61</v>
      </c>
      <c r="D10" s="4" t="s">
        <v>62</v>
      </c>
      <c r="E10" s="4" t="s">
        <v>63</v>
      </c>
      <c r="F10" s="4">
        <f ca="1">ROUND(T_Facebook_Ads[[#This Row],[impressions]]*RANDBETWEEN(8,12)/10,0)</f>
        <v>31121</v>
      </c>
      <c r="G10" s="4">
        <v>1456</v>
      </c>
      <c r="H10" s="4">
        <f ca="1">T_Facebook_Ads[[#This Row],[spend]]*RANDBETWEEN(8,12)/10</f>
        <v>213.4</v>
      </c>
      <c r="I10" s="4">
        <f ca="1">ROUND(T_Facebook_Ads[[#This Row],[conversions]]*RANDBETWEEN(8,12)/10,0)</f>
        <v>22</v>
      </c>
      <c r="J10" s="4">
        <f ca="1">ROUND(T_Facebook_Ads[[#This Row],[video_views]]*RANDBETWEEN(8,12)/10,0)</f>
        <v>5234</v>
      </c>
      <c r="K10" s="4">
        <f ca="1">T_Facebook_Ads[[#This Row],[engagement_rate]]*RANDBETWEEN(8,12)/10</f>
        <v>4.1249999999999995E-2</v>
      </c>
      <c r="L10" s="4">
        <f ca="1">ROUND(T_Facebook_Ads[[#This Row],[reach]]*RANDBETWEEN(8,12)/10,0)</f>
        <v>31456</v>
      </c>
      <c r="M10" s="4">
        <f ca="1">T_Facebook_Ads[[#This Row],[frequency]]*RANDBETWEEN(8,12)/10</f>
        <v>1.3640000000000001</v>
      </c>
      <c r="O10" s="3">
        <f t="shared" ca="1" si="1"/>
        <v>45234</v>
      </c>
      <c r="P10" s="4" t="s">
        <v>88</v>
      </c>
      <c r="Q10" s="4" t="s">
        <v>89</v>
      </c>
      <c r="R10" s="4" t="s">
        <v>90</v>
      </c>
      <c r="S10" s="4" t="s">
        <v>59</v>
      </c>
      <c r="T10" s="4">
        <f ca="1">ROUND(_Google_ads[[#This Row],[impressions]]*RANDBETWEEN(8,12)/10,0)</f>
        <v>111110</v>
      </c>
      <c r="U10" s="4">
        <f ca="1">ROUND(_Google_ads[[#This Row],[clicks]]*RANDBETWEEN(8,12)/10,0)</f>
        <v>456</v>
      </c>
      <c r="V10" s="4">
        <f ca="1">_Google_ads[[#This Row],[cost]]*RANDBETWEEN(8,12)/10</f>
        <v>111.06000000000002</v>
      </c>
      <c r="W10" s="4">
        <f ca="1">ROUND(_Google_ads[[#This Row],[conversions]]*RANDBETWEEN(8,12)/10,0)</f>
        <v>11</v>
      </c>
      <c r="X10" s="4">
        <f ca="1">ROUND(_Google_ads[[#This Row],[conversion_value]]*RANDBETWEEN(8,12)/10,0)</f>
        <v>480</v>
      </c>
      <c r="Y10" s="4">
        <f ca="1">_Google_ads[[#This Row],[ctr]]*RANDBETWEEN(8,12)/10</f>
        <v>3.7000000000000006E-3</v>
      </c>
      <c r="Z10" s="4">
        <f ca="1">_Google_ads[[#This Row],[avg_cpc]]*RANDBETWEEN(8,12)/10</f>
        <v>0.27</v>
      </c>
      <c r="AA10" s="4">
        <f ca="1">ROUND(_Google_ads[[#This Row],[quality_score]]*RANDBETWEEN(8,12)/10,0)</f>
        <v>6</v>
      </c>
      <c r="AB10" s="4">
        <f ca="1">_Google_ads[[#This Row],[search_impression_share]]*RANDBETWEEN(8,12)/10</f>
        <v>0.38499999999999995</v>
      </c>
      <c r="AD10" s="3">
        <f t="shared" ca="1" si="2"/>
        <v>45242</v>
      </c>
      <c r="AE10" s="4" t="s">
        <v>112</v>
      </c>
      <c r="AF10" s="4" t="s">
        <v>113</v>
      </c>
      <c r="AG10" s="4" t="s">
        <v>114</v>
      </c>
      <c r="AH10" s="4" t="s">
        <v>115</v>
      </c>
      <c r="AI10" s="4">
        <f ca="1">ROUND(T_Tiktok_ads[[#This Row],[impressions]]*RANDBETWEEN(8,12)/10,0)</f>
        <v>380246</v>
      </c>
      <c r="AJ10" s="4">
        <f ca="1">ROUND(T_Tiktok_ads[[#This Row],[clicks]]*RANDBETWEEN(8,12)/10,0)</f>
        <v>6246</v>
      </c>
      <c r="AK10" s="4">
        <v>890.1</v>
      </c>
      <c r="AL10" s="4">
        <f ca="1">ROUND(T_Tiktok_ads[[#This Row],[conversions]]*RANDBETWEEN(8,12)/10,0)</f>
        <v>98</v>
      </c>
      <c r="AM10" s="4">
        <f ca="1">ROUND(T_Tiktok_ads[[#This Row],[video_views]]*RANDBETWEEN(8,12)/10,0)</f>
        <v>289234</v>
      </c>
      <c r="AN10" s="4">
        <f ca="1">ROUND(T_Tiktok_ads[[#This Row],[video_watch_25]]*RANDBETWEEN(8,12)/10,0)</f>
        <v>258024</v>
      </c>
      <c r="AO10" s="4">
        <f ca="1">ROUND(T_Tiktok_ads[[#This Row],[video_watch_50]]*RANDBETWEEN(8,12)/10,0)</f>
        <v>151387</v>
      </c>
      <c r="AP10" s="4">
        <f ca="1">ROUND(T_Tiktok_ads[[#This Row],[video_watch_75]]*RANDBETWEEN(8,12)/10,0)</f>
        <v>121110</v>
      </c>
      <c r="AQ10" s="4">
        <f ca="1">ROUND(T_Tiktok_ads[[#This Row],[video_watch_100]]*RANDBETWEEN(8,12)/10,0)</f>
        <v>71387</v>
      </c>
      <c r="AR10" s="4">
        <f ca="1">ROUND(T_Tiktok_ads[[#This Row],[likes]]*RANDBETWEEN(8,12)/10,0)</f>
        <v>14110</v>
      </c>
      <c r="AS10" s="4">
        <f ca="1">ROUND(T_Tiktok_ads[[#This Row],[shares]]*RANDBETWEEN(8,12)/10,0)</f>
        <v>5024</v>
      </c>
      <c r="AT10" s="4">
        <f ca="1">ROUND(T_Tiktok_ads[[#This Row],[comments]]*RANDBETWEEN(8,12)/10,0)</f>
        <v>1234</v>
      </c>
      <c r="AV10" s="5">
        <f t="shared" ca="1" si="3"/>
        <v>45248</v>
      </c>
      <c r="AW10">
        <f t="shared" ca="1" si="4"/>
        <v>4</v>
      </c>
      <c r="AX10">
        <f ca="1">ROUND(T_Facebook_Ads1159636771757983879195[[#This Row],[impressions]]*RANDBETWEEN(8,12)/10,0)</f>
        <v>28009</v>
      </c>
      <c r="AY10">
        <f ca="1">ROUND(T_Facebook_Ads1159636771757983879195[[#This Row],[clicks]]*RANDBETWEEN(8,12)/10,0)</f>
        <v>1602</v>
      </c>
      <c r="AZ10">
        <f ca="1">T_Facebook_Ads1159636771757983879195[[#This Row],[spend]]*RANDBETWEEN(8,12)/10</f>
        <v>213.4</v>
      </c>
      <c r="BA10">
        <f ca="1">ROUND(T_Facebook_Ads1159636771757983879195[[#This Row],[conversions]]*RANDBETWEEN(8,12)/10,0)</f>
        <v>22</v>
      </c>
      <c r="BB10">
        <f ca="1">ROUND(T_Facebook_Ads1159636771757983879195[[#This Row],[video_views]]*RANDBETWEEN(8,12)/10,0)</f>
        <v>4711</v>
      </c>
    </row>
    <row r="11" spans="1:54" ht="15.75" thickBot="1" x14ac:dyDescent="0.3">
      <c r="A11" s="3">
        <f t="shared" ca="1" si="0"/>
        <v>45244</v>
      </c>
      <c r="B11" s="4" t="s">
        <v>52</v>
      </c>
      <c r="C11" s="4" t="s">
        <v>53</v>
      </c>
      <c r="D11" s="4" t="s">
        <v>54</v>
      </c>
      <c r="E11" s="4" t="s">
        <v>55</v>
      </c>
      <c r="F11" s="4">
        <f ca="1">ROUND(T_Facebook_Ads[[#This Row],[impressions]]*RANDBETWEEN(8,12)/10,0)</f>
        <v>56357</v>
      </c>
      <c r="G11" s="4">
        <v>1023</v>
      </c>
      <c r="H11" s="4">
        <f ca="1">T_Facebook_Ads[[#This Row],[spend]]*RANDBETWEEN(8,12)/10</f>
        <v>128.07</v>
      </c>
      <c r="I11" s="4">
        <f ca="1">ROUND(T_Facebook_Ads[[#This Row],[conversions]]*RANDBETWEEN(8,12)/10,0)</f>
        <v>18</v>
      </c>
      <c r="J11" s="4">
        <f ca="1">ROUND(T_Facebook_Ads[[#This Row],[video_views]]*RANDBETWEEN(8,12)/10,0)</f>
        <v>7387</v>
      </c>
      <c r="K11" s="4">
        <f ca="1">T_Facebook_Ads[[#This Row],[engagement_rate]]*RANDBETWEEN(8,12)/10</f>
        <v>2.4E-2</v>
      </c>
      <c r="L11" s="4">
        <f ca="1">ROUND(T_Facebook_Ads[[#This Row],[reach]]*RANDBETWEEN(8,12)/10,0)</f>
        <v>51080</v>
      </c>
      <c r="M11" s="4">
        <f ca="1">T_Facebook_Ads[[#This Row],[frequency]]*RANDBETWEEN(8,12)/10</f>
        <v>1.3199999999999998</v>
      </c>
      <c r="O11" s="3">
        <f t="shared" ca="1" si="1"/>
        <v>45238</v>
      </c>
      <c r="P11" s="4" t="s">
        <v>76</v>
      </c>
      <c r="Q11" s="4" t="s">
        <v>77</v>
      </c>
      <c r="R11" s="4" t="s">
        <v>78</v>
      </c>
      <c r="S11" s="4" t="s">
        <v>79</v>
      </c>
      <c r="T11" s="4">
        <f ca="1">ROUND(_Google_ads[[#This Row],[impressions]]*RANDBETWEEN(8,12)/10,0)</f>
        <v>25678</v>
      </c>
      <c r="U11" s="4">
        <f ca="1">ROUND(_Google_ads[[#This Row],[clicks]]*RANDBETWEEN(8,12)/10,0)</f>
        <v>1614</v>
      </c>
      <c r="V11" s="4">
        <f ca="1">_Google_ads[[#This Row],[cost]]*RANDBETWEEN(8,12)/10</f>
        <v>256.7</v>
      </c>
      <c r="W11" s="4">
        <f ca="1">ROUND(_Google_ads[[#This Row],[conversions]]*RANDBETWEEN(8,12)/10,0)</f>
        <v>55</v>
      </c>
      <c r="X11" s="4">
        <f ca="1">ROUND(_Google_ads[[#This Row],[conversion_value]]*RANDBETWEEN(8,12)/10,0)</f>
        <v>2250</v>
      </c>
      <c r="Y11" s="4">
        <f ca="1">_Google_ads[[#This Row],[ctr]]*RANDBETWEEN(8,12)/10</f>
        <v>4.1919999999999999E-2</v>
      </c>
      <c r="Z11" s="4">
        <f ca="1">_Google_ads[[#This Row],[avg_cpc]]*RANDBETWEEN(8,12)/10</f>
        <v>0.152</v>
      </c>
      <c r="AA11" s="4">
        <f ca="1">ROUND(_Google_ads[[#This Row],[quality_score]]*RANDBETWEEN(8,12)/10,0)</f>
        <v>11</v>
      </c>
      <c r="AB11" s="4">
        <f ca="1">_Google_ads[[#This Row],[search_impression_share]]*RANDBETWEEN(8,12)/10</f>
        <v>1.1040000000000001</v>
      </c>
      <c r="AD11" s="3">
        <f t="shared" ca="1" si="2"/>
        <v>45250</v>
      </c>
      <c r="AE11" s="4" t="s">
        <v>100</v>
      </c>
      <c r="AF11" s="4" t="s">
        <v>101</v>
      </c>
      <c r="AG11" s="4" t="s">
        <v>102</v>
      </c>
      <c r="AH11" s="4" t="s">
        <v>103</v>
      </c>
      <c r="AI11" s="4">
        <f ca="1">ROUND(T_Tiktok_ads[[#This Row],[impressions]]*RANDBETWEEN(8,12)/10,0)</f>
        <v>256789</v>
      </c>
      <c r="AJ11" s="4">
        <f ca="1">ROUND(T_Tiktok_ads[[#This Row],[clicks]]*RANDBETWEEN(8,12)/10,0)</f>
        <v>4668</v>
      </c>
      <c r="AK11" s="4">
        <v>512.29999999999995</v>
      </c>
      <c r="AL11" s="4">
        <f ca="1">ROUND(T_Tiktok_ads[[#This Row],[conversions]]*RANDBETWEEN(8,12)/10,0)</f>
        <v>43</v>
      </c>
      <c r="AM11" s="4">
        <f ca="1">ROUND(T_Tiktok_ads[[#This Row],[video_views]]*RANDBETWEEN(8,12)/10,0)</f>
        <v>217456</v>
      </c>
      <c r="AN11" s="4">
        <f ca="1">ROUND(T_Tiktok_ads[[#This Row],[video_watch_25]]*RANDBETWEEN(8,12)/10,0)</f>
        <v>204281</v>
      </c>
      <c r="AO11" s="4">
        <f ca="1">ROUND(T_Tiktok_ads[[#This Row],[video_watch_50]]*RANDBETWEEN(8,12)/10,0)</f>
        <v>128681</v>
      </c>
      <c r="AP11" s="4">
        <f ca="1">ROUND(T_Tiktok_ads[[#This Row],[video_watch_75]]*RANDBETWEEN(8,12)/10,0)</f>
        <v>79702</v>
      </c>
      <c r="AQ11" s="4">
        <f ca="1">ROUND(T_Tiktok_ads[[#This Row],[video_watch_100]]*RANDBETWEEN(8,12)/10,0)</f>
        <v>48456</v>
      </c>
      <c r="AR11" s="4">
        <f ca="1">ROUND(T_Tiktok_ads[[#This Row],[likes]]*RANDBETWEEN(8,12)/10,0)</f>
        <v>7654</v>
      </c>
      <c r="AS11" s="4">
        <f ca="1">ROUND(T_Tiktok_ads[[#This Row],[shares]]*RANDBETWEEN(8,12)/10,0)</f>
        <v>2310</v>
      </c>
      <c r="AT11" s="4">
        <f ca="1">ROUND(T_Tiktok_ads[[#This Row],[comments]]*RANDBETWEEN(8,12)/10,0)</f>
        <v>490</v>
      </c>
      <c r="AV11" s="5">
        <f t="shared" ca="1" si="3"/>
        <v>45234</v>
      </c>
      <c r="AW11">
        <f t="shared" ca="1" si="4"/>
        <v>2</v>
      </c>
      <c r="AX11">
        <f ca="1">ROUND(T_Facebook_Ads1159636771757983879195[[#This Row],[impressions]]*RANDBETWEEN(8,12)/10,0)</f>
        <v>61993</v>
      </c>
      <c r="AY11">
        <f ca="1">ROUND(T_Facebook_Ads1159636771757983879195[[#This Row],[clicks]]*RANDBETWEEN(8,12)/10,0)</f>
        <v>1023</v>
      </c>
      <c r="AZ11">
        <f ca="1">T_Facebook_Ads1159636771757983879195[[#This Row],[spend]]*RANDBETWEEN(8,12)/10</f>
        <v>153.684</v>
      </c>
      <c r="BA11">
        <f ca="1">ROUND(T_Facebook_Ads1159636771757983879195[[#This Row],[conversions]]*RANDBETWEEN(8,12)/10,0)</f>
        <v>14</v>
      </c>
      <c r="BB11">
        <f ca="1">ROUND(T_Facebook_Ads1159636771757983879195[[#This Row],[video_views]]*RANDBETWEEN(8,12)/10,0)</f>
        <v>7387</v>
      </c>
    </row>
    <row r="12" spans="1:54" ht="15.75" thickBot="1" x14ac:dyDescent="0.3">
      <c r="A12" s="3">
        <f t="shared" ca="1" si="0"/>
        <v>45248</v>
      </c>
      <c r="B12" s="4" t="s">
        <v>56</v>
      </c>
      <c r="C12" s="4" t="s">
        <v>57</v>
      </c>
      <c r="D12" s="4" t="s">
        <v>58</v>
      </c>
      <c r="E12" s="4" t="s">
        <v>59</v>
      </c>
      <c r="F12" s="4">
        <f ca="1">ROUND(T_Facebook_Ads[[#This Row],[impressions]]*RANDBETWEEN(8,12)/10,0)</f>
        <v>13110</v>
      </c>
      <c r="G12" s="4">
        <v>678</v>
      </c>
      <c r="H12" s="4">
        <f ca="1">T_Facebook_Ads[[#This Row],[spend]]*RANDBETWEEN(8,12)/10</f>
        <v>245.6</v>
      </c>
      <c r="I12" s="4">
        <f ca="1">ROUND(T_Facebook_Ads[[#This Row],[conversions]]*RANDBETWEEN(8,12)/10,0)</f>
        <v>46</v>
      </c>
      <c r="J12" s="4">
        <f ca="1">ROUND(T_Facebook_Ads[[#This Row],[video_views]]*RANDBETWEEN(8,12)/10,0)</f>
        <v>1410</v>
      </c>
      <c r="K12" s="4">
        <f ca="1">T_Facebook_Ads[[#This Row],[engagement_rate]]*RANDBETWEEN(8,12)/10</f>
        <v>5.1149999999999994E-2</v>
      </c>
      <c r="L12" s="4">
        <f ca="1">ROUND(T_Facebook_Ads[[#This Row],[reach]]*RANDBETWEEN(8,12)/10,0)</f>
        <v>8987</v>
      </c>
      <c r="M12" s="4">
        <f ca="1">T_Facebook_Ads[[#This Row],[frequency]]*RANDBETWEEN(8,12)/10</f>
        <v>1.1700000000000002</v>
      </c>
      <c r="O12" s="3">
        <f t="shared" ca="1" si="1"/>
        <v>45250</v>
      </c>
      <c r="P12" s="4" t="s">
        <v>84</v>
      </c>
      <c r="Q12" s="4" t="s">
        <v>85</v>
      </c>
      <c r="R12" s="4" t="s">
        <v>86</v>
      </c>
      <c r="S12" s="4" t="s">
        <v>87</v>
      </c>
      <c r="T12" s="4">
        <f ca="1">ROUND(_Google_ads[[#This Row],[impressions]]*RANDBETWEEN(8,12)/10,0)</f>
        <v>62510</v>
      </c>
      <c r="U12" s="4">
        <f ca="1">ROUND(_Google_ads[[#This Row],[clicks]]*RANDBETWEEN(8,12)/10,0)</f>
        <v>2681</v>
      </c>
      <c r="V12" s="4">
        <f ca="1">_Google_ads[[#This Row],[cost]]*RANDBETWEEN(8,12)/10</f>
        <v>494.76000000000005</v>
      </c>
      <c r="W12" s="4">
        <f ca="1">ROUND(_Google_ads[[#This Row],[conversions]]*RANDBETWEEN(8,12)/10,0)</f>
        <v>72</v>
      </c>
      <c r="X12" s="4">
        <f ca="1">ROUND(_Google_ads[[#This Row],[conversion_value]]*RANDBETWEEN(8,12)/10,0)</f>
        <v>2925</v>
      </c>
      <c r="Y12" s="4">
        <f ca="1">_Google_ads[[#This Row],[ctr]]*RANDBETWEEN(8,12)/10</f>
        <v>2.8979999999999999E-2</v>
      </c>
      <c r="Z12" s="4">
        <f ca="1">_Google_ads[[#This Row],[avg_cpc]]*RANDBETWEEN(8,12)/10</f>
        <v>0.18</v>
      </c>
      <c r="AA12" s="4">
        <f ca="1">ROUND(_Google_ads[[#This Row],[quality_score]]*RANDBETWEEN(8,12)/10,0)</f>
        <v>7</v>
      </c>
      <c r="AB12" s="4">
        <f ca="1">_Google_ads[[#This Row],[search_impression_share]]*RANDBETWEEN(8,12)/10</f>
        <v>0.72600000000000009</v>
      </c>
      <c r="AD12" s="3">
        <f t="shared" ca="1" si="2"/>
        <v>45247</v>
      </c>
      <c r="AE12" s="4" t="s">
        <v>108</v>
      </c>
      <c r="AF12" s="4" t="s">
        <v>109</v>
      </c>
      <c r="AG12" s="4" t="s">
        <v>110</v>
      </c>
      <c r="AH12" s="4" t="s">
        <v>111</v>
      </c>
      <c r="AI12" s="4">
        <f ca="1">ROUND(T_Tiktok_ads[[#This Row],[impressions]]*RANDBETWEEN(8,12)/10,0)</f>
        <v>201234</v>
      </c>
      <c r="AJ12" s="4">
        <f ca="1">ROUND(T_Tiktok_ads[[#This Row],[clicks]]*RANDBETWEEN(8,12)/10,0)</f>
        <v>2498</v>
      </c>
      <c r="AK12" s="4">
        <v>374.5</v>
      </c>
      <c r="AL12" s="4">
        <f ca="1">ROUND(T_Tiktok_ads[[#This Row],[conversions]]*RANDBETWEEN(8,12)/10,0)</f>
        <v>31</v>
      </c>
      <c r="AM12" s="4">
        <f ca="1">ROUND(T_Tiktok_ads[[#This Row],[video_views]]*RANDBETWEEN(8,12)/10,0)</f>
        <v>189468</v>
      </c>
      <c r="AN12" s="4">
        <f ca="1">ROUND(T_Tiktok_ads[[#This Row],[video_watch_25]]*RANDBETWEEN(8,12)/10,0)</f>
        <v>145481</v>
      </c>
      <c r="AO12" s="4">
        <f ca="1">ROUND(T_Tiktok_ads[[#This Row],[video_watch_50]]*RANDBETWEEN(8,12)/10,0)</f>
        <v>96234</v>
      </c>
      <c r="AP12" s="4">
        <f ca="1">ROUND(T_Tiktok_ads[[#This Row],[video_watch_75]]*RANDBETWEEN(8,12)/10,0)</f>
        <v>73481</v>
      </c>
      <c r="AQ12" s="4">
        <f ca="1">ROUND(T_Tiktok_ads[[#This Row],[video_watch_100]]*RANDBETWEEN(8,12)/10,0)</f>
        <v>37456</v>
      </c>
      <c r="AR12" s="4">
        <f ca="1">ROUND(T_Tiktok_ads[[#This Row],[likes]]*RANDBETWEEN(8,12)/10,0)</f>
        <v>7345</v>
      </c>
      <c r="AS12" s="4">
        <f ca="1">ROUND(T_Tiktok_ads[[#This Row],[shares]]*RANDBETWEEN(8,12)/10,0)</f>
        <v>2441</v>
      </c>
      <c r="AT12" s="4">
        <f ca="1">ROUND(T_Tiktok_ads[[#This Row],[comments]]*RANDBETWEEN(8,12)/10,0)</f>
        <v>440</v>
      </c>
      <c r="AV12" s="5">
        <f t="shared" ca="1" si="3"/>
        <v>45237</v>
      </c>
      <c r="AW12">
        <f t="shared" ca="1" si="4"/>
        <v>4</v>
      </c>
      <c r="AX12">
        <f ca="1">ROUND(T_Facebook_Ads1159636771757983879195[[#This Row],[impressions]]*RANDBETWEEN(8,12)/10,0)</f>
        <v>13110</v>
      </c>
      <c r="AY12">
        <f ca="1">ROUND(T_Facebook_Ads1159636771757983879195[[#This Row],[clicks]]*RANDBETWEEN(8,12)/10,0)</f>
        <v>746</v>
      </c>
      <c r="AZ12">
        <f ca="1">T_Facebook_Ads1159636771757983879195[[#This Row],[spend]]*RANDBETWEEN(8,12)/10</f>
        <v>221.04000000000002</v>
      </c>
      <c r="BA12">
        <f ca="1">ROUND(T_Facebook_Ads1159636771757983879195[[#This Row],[conversions]]*RANDBETWEEN(8,12)/10,0)</f>
        <v>51</v>
      </c>
      <c r="BB12">
        <f ca="1">ROUND(T_Facebook_Ads1159636771757983879195[[#This Row],[video_views]]*RANDBETWEEN(8,12)/10,0)</f>
        <v>1128</v>
      </c>
    </row>
    <row r="13" spans="1:54" ht="15.75" thickBot="1" x14ac:dyDescent="0.3">
      <c r="A13" s="3">
        <f t="shared" ca="1" si="0"/>
        <v>45256</v>
      </c>
      <c r="B13" s="4" t="s">
        <v>64</v>
      </c>
      <c r="C13" s="4" t="s">
        <v>65</v>
      </c>
      <c r="D13" s="4" t="s">
        <v>66</v>
      </c>
      <c r="E13" s="4" t="s">
        <v>67</v>
      </c>
      <c r="F13" s="4">
        <f ca="1">ROUND(T_Facebook_Ads[[#This Row],[impressions]]*RANDBETWEEN(8,12)/10,0)</f>
        <v>54312</v>
      </c>
      <c r="G13" s="4">
        <v>234</v>
      </c>
      <c r="H13" s="4">
        <f ca="1">T_Facebook_Ads[[#This Row],[spend]]*RANDBETWEEN(8,12)/10</f>
        <v>71.599999999999994</v>
      </c>
      <c r="I13" s="4">
        <f ca="1">ROUND(T_Facebook_Ads[[#This Row],[conversions]]*RANDBETWEEN(8,12)/10,0)</f>
        <v>5</v>
      </c>
      <c r="J13" s="4">
        <f ca="1">ROUND(T_Facebook_Ads[[#This Row],[video_views]]*RANDBETWEEN(8,12)/10,0)</f>
        <v>41110</v>
      </c>
      <c r="K13" s="4">
        <f ca="1">T_Facebook_Ads[[#This Row],[engagement_rate]]*RANDBETWEEN(8,12)/10</f>
        <v>3.0599999999999998E-3</v>
      </c>
      <c r="L13" s="4">
        <f ca="1">ROUND(T_Facebook_Ads[[#This Row],[reach]]*RANDBETWEEN(8,12)/10,0)</f>
        <v>68147</v>
      </c>
      <c r="M13" s="4">
        <f ca="1">T_Facebook_Ads[[#This Row],[frequency]]*RANDBETWEEN(8,12)/10</f>
        <v>0.96</v>
      </c>
      <c r="O13" s="3">
        <f t="shared" ca="1" si="1"/>
        <v>45260</v>
      </c>
      <c r="P13" s="4" t="s">
        <v>88</v>
      </c>
      <c r="Q13" s="4" t="s">
        <v>89</v>
      </c>
      <c r="R13" s="4" t="s">
        <v>90</v>
      </c>
      <c r="S13" s="4" t="s">
        <v>59</v>
      </c>
      <c r="T13" s="4">
        <f ca="1">ROUND(_Google_ads[[#This Row],[impressions]]*RANDBETWEEN(8,12)/10,0)</f>
        <v>107654</v>
      </c>
      <c r="U13" s="4">
        <f ca="1">ROUND(_Google_ads[[#This Row],[clicks]]*RANDBETWEEN(8,12)/10,0)</f>
        <v>587</v>
      </c>
      <c r="V13" s="4">
        <f ca="1">_Google_ads[[#This Row],[cost]]*RANDBETWEEN(8,12)/10</f>
        <v>134.5</v>
      </c>
      <c r="W13" s="4">
        <f ca="1">ROUND(_Google_ads[[#This Row],[conversions]]*RANDBETWEEN(8,12)/10,0)</f>
        <v>15</v>
      </c>
      <c r="X13" s="4">
        <f ca="1">ROUND(_Google_ads[[#This Row],[conversion_value]]*RANDBETWEEN(8,12)/10,0)</f>
        <v>700</v>
      </c>
      <c r="Y13" s="4">
        <f ca="1">_Google_ads[[#This Row],[ctr]]*RANDBETWEEN(8,12)/10</f>
        <v>3.2399999999999998E-3</v>
      </c>
      <c r="Z13" s="4">
        <f ca="1">_Google_ads[[#This Row],[avg_cpc]]*RANDBETWEEN(8,12)/10</f>
        <v>0.25200000000000006</v>
      </c>
      <c r="AA13" s="4">
        <f ca="1">ROUND(_Google_ads[[#This Row],[quality_score]]*RANDBETWEEN(8,12)/10,0)</f>
        <v>7</v>
      </c>
      <c r="AB13" s="4">
        <f ca="1">_Google_ads[[#This Row],[search_impression_share]]*RANDBETWEEN(8,12)/10</f>
        <v>0.43200000000000005</v>
      </c>
      <c r="AD13" s="3">
        <f t="shared" ca="1" si="2"/>
        <v>45248</v>
      </c>
      <c r="AE13" s="4" t="s">
        <v>112</v>
      </c>
      <c r="AF13" s="4" t="s">
        <v>113</v>
      </c>
      <c r="AG13" s="4" t="s">
        <v>114</v>
      </c>
      <c r="AH13" s="4" t="s">
        <v>115</v>
      </c>
      <c r="AI13" s="4">
        <f ca="1">ROUND(T_Tiktok_ads[[#This Row],[impressions]]*RANDBETWEEN(8,12)/10,0)</f>
        <v>367890</v>
      </c>
      <c r="AJ13" s="4">
        <f ca="1">ROUND(T_Tiktok_ads[[#This Row],[clicks]]*RANDBETWEEN(8,12)/10,0)</f>
        <v>6613</v>
      </c>
      <c r="AK13" s="4">
        <v>923.4</v>
      </c>
      <c r="AL13" s="4">
        <f ca="1">ROUND(T_Tiktok_ads[[#This Row],[conversions]]*RANDBETWEEN(8,12)/10,0)</f>
        <v>85</v>
      </c>
      <c r="AM13" s="4">
        <f ca="1">ROUND(T_Tiktok_ads[[#This Row],[video_views]]*RANDBETWEEN(8,12)/10,0)</f>
        <v>331357</v>
      </c>
      <c r="AN13" s="4">
        <f ca="1">ROUND(T_Tiktok_ads[[#This Row],[video_watch_25]]*RANDBETWEEN(8,12)/10,0)</f>
        <v>294814</v>
      </c>
      <c r="AO13" s="4">
        <f ca="1">ROUND(T_Tiktok_ads[[#This Row],[video_watch_50]]*RANDBETWEEN(8,12)/10,0)</f>
        <v>216468</v>
      </c>
      <c r="AP13" s="4">
        <f ca="1">ROUND(T_Tiktok_ads[[#This Row],[video_watch_75]]*RANDBETWEEN(8,12)/10,0)</f>
        <v>154257</v>
      </c>
      <c r="AQ13" s="4">
        <f ca="1">ROUND(T_Tiktok_ads[[#This Row],[video_watch_100]]*RANDBETWEEN(8,12)/10,0)</f>
        <v>84110</v>
      </c>
      <c r="AR13" s="4">
        <f ca="1">ROUND(T_Tiktok_ads[[#This Row],[likes]]*RANDBETWEEN(8,12)/10,0)</f>
        <v>12987</v>
      </c>
      <c r="AS13" s="4">
        <f ca="1">ROUND(T_Tiktok_ads[[#This Row],[shares]]*RANDBETWEEN(8,12)/10,0)</f>
        <v>4789</v>
      </c>
      <c r="AT13" s="4">
        <f ca="1">ROUND(T_Tiktok_ads[[#This Row],[comments]]*RANDBETWEEN(8,12)/10,0)</f>
        <v>1418</v>
      </c>
      <c r="AV13" s="5">
        <f t="shared" ca="1" si="3"/>
        <v>45242</v>
      </c>
      <c r="AW13">
        <f t="shared" ca="1" si="4"/>
        <v>2</v>
      </c>
      <c r="AX13">
        <f ca="1">ROUND(T_Facebook_Ads1159636771757983879195[[#This Row],[impressions]]*RANDBETWEEN(8,12)/10,0)</f>
        <v>54312</v>
      </c>
      <c r="AY13">
        <f ca="1">ROUND(T_Facebook_Ads1159636771757983879195[[#This Row],[clicks]]*RANDBETWEEN(8,12)/10,0)</f>
        <v>281</v>
      </c>
      <c r="AZ13">
        <f ca="1">T_Facebook_Ads1159636771757983879195[[#This Row],[spend]]*RANDBETWEEN(8,12)/10</f>
        <v>78.759999999999991</v>
      </c>
      <c r="BA13">
        <f ca="1">ROUND(T_Facebook_Ads1159636771757983879195[[#This Row],[conversions]]*RANDBETWEEN(8,12)/10,0)</f>
        <v>6</v>
      </c>
      <c r="BB13">
        <f ca="1">ROUND(T_Facebook_Ads1159636771757983879195[[#This Row],[video_views]]*RANDBETWEEN(8,12)/10,0)</f>
        <v>36999</v>
      </c>
    </row>
    <row r="14" spans="1:54" ht="15.75" thickBot="1" x14ac:dyDescent="0.3">
      <c r="A14" s="3">
        <f t="shared" ca="1" si="0"/>
        <v>45249</v>
      </c>
      <c r="B14" s="4" t="s">
        <v>52</v>
      </c>
      <c r="C14" s="4" t="s">
        <v>53</v>
      </c>
      <c r="D14" s="4" t="s">
        <v>54</v>
      </c>
      <c r="E14" s="4" t="s">
        <v>55</v>
      </c>
      <c r="F14" s="4">
        <f ca="1">ROUND(T_Facebook_Ads[[#This Row],[impressions]]*RANDBETWEEN(8,12)/10,0)</f>
        <v>51468</v>
      </c>
      <c r="G14" s="4">
        <v>934</v>
      </c>
      <c r="H14" s="4">
        <f ca="1">T_Facebook_Ads[[#This Row],[spend]]*RANDBETWEEN(8,12)/10</f>
        <v>144.32</v>
      </c>
      <c r="I14" s="4">
        <f ca="1">ROUND(T_Facebook_Ads[[#This Row],[conversions]]*RANDBETWEEN(8,12)/10,0)</f>
        <v>13</v>
      </c>
      <c r="J14" s="4">
        <f ca="1">ROUND(T_Facebook_Ads[[#This Row],[video_views]]*RANDBETWEEN(8,12)/10,0)</f>
        <v>10280</v>
      </c>
      <c r="K14" s="4">
        <f ca="1">T_Facebook_Ads[[#This Row],[engagement_rate]]*RANDBETWEEN(8,12)/10</f>
        <v>0.02</v>
      </c>
      <c r="L14" s="4">
        <f ca="1">ROUND(T_Facebook_Ads[[#This Row],[reach]]*RANDBETWEEN(8,12)/10,0)</f>
        <v>39234</v>
      </c>
      <c r="M14" s="4">
        <f ca="1">T_Facebook_Ads[[#This Row],[frequency]]*RANDBETWEEN(8,12)/10</f>
        <v>1.19</v>
      </c>
      <c r="O14" s="3">
        <f t="shared" ca="1" si="1"/>
        <v>45246</v>
      </c>
      <c r="P14" s="4" t="s">
        <v>76</v>
      </c>
      <c r="Q14" s="4" t="s">
        <v>77</v>
      </c>
      <c r="R14" s="4" t="s">
        <v>78</v>
      </c>
      <c r="S14" s="4" t="s">
        <v>79</v>
      </c>
      <c r="T14" s="4">
        <f ca="1">ROUND(_Google_ads[[#This Row],[impressions]]*RANDBETWEEN(8,12)/10,0)</f>
        <v>19112</v>
      </c>
      <c r="U14" s="4">
        <f ca="1">ROUND(_Google_ads[[#This Row],[clicks]]*RANDBETWEEN(8,12)/10,0)</f>
        <v>1481</v>
      </c>
      <c r="V14" s="4">
        <f ca="1">_Google_ads[[#This Row],[cost]]*RANDBETWEEN(8,12)/10</f>
        <v>258.39</v>
      </c>
      <c r="W14" s="4">
        <f ca="1">ROUND(_Google_ads[[#This Row],[conversions]]*RANDBETWEEN(8,12)/10,0)</f>
        <v>46</v>
      </c>
      <c r="X14" s="4">
        <f ca="1">ROUND(_Google_ads[[#This Row],[conversion_value]]*RANDBETWEEN(8,12)/10,0)</f>
        <v>2300</v>
      </c>
      <c r="Y14" s="4">
        <f ca="1">_Google_ads[[#This Row],[ctr]]*RANDBETWEEN(8,12)/10</f>
        <v>4.1360000000000001E-2</v>
      </c>
      <c r="Z14" s="4">
        <f ca="1">_Google_ads[[#This Row],[avg_cpc]]*RANDBETWEEN(8,12)/10</f>
        <v>0.19</v>
      </c>
      <c r="AA14" s="4">
        <f ca="1">ROUND(_Google_ads[[#This Row],[quality_score]]*RANDBETWEEN(8,12)/10,0)</f>
        <v>11</v>
      </c>
      <c r="AB14" s="4">
        <f ca="1">_Google_ads[[#This Row],[search_impression_share]]*RANDBETWEEN(8,12)/10</f>
        <v>1.0009999999999999</v>
      </c>
      <c r="AD14" s="3">
        <f t="shared" ca="1" si="2"/>
        <v>45256</v>
      </c>
      <c r="AE14" s="4" t="s">
        <v>100</v>
      </c>
      <c r="AF14" s="4" t="s">
        <v>101</v>
      </c>
      <c r="AG14" s="4" t="s">
        <v>102</v>
      </c>
      <c r="AH14" s="4" t="s">
        <v>103</v>
      </c>
      <c r="AI14" s="4">
        <f ca="1">ROUND(T_Tiktok_ads[[#This Row],[impressions]]*RANDBETWEEN(8,12)/10,0)</f>
        <v>281081</v>
      </c>
      <c r="AJ14" s="4">
        <f ca="1">ROUND(T_Tiktok_ads[[#This Row],[clicks]]*RANDBETWEEN(8,12)/10,0)</f>
        <v>2774</v>
      </c>
      <c r="AK14" s="4">
        <v>460.2</v>
      </c>
      <c r="AL14" s="4">
        <f ca="1">ROUND(T_Tiktok_ads[[#This Row],[conversions]]*RANDBETWEEN(8,12)/10,0)</f>
        <v>32</v>
      </c>
      <c r="AM14" s="4">
        <f ca="1">ROUND(T_Tiktok_ads[[#This Row],[video_views]]*RANDBETWEEN(8,12)/10,0)</f>
        <v>199234</v>
      </c>
      <c r="AN14" s="4">
        <f ca="1">ROUND(T_Tiktok_ads[[#This Row],[video_watch_25]]*RANDBETWEEN(8,12)/10,0)</f>
        <v>141110</v>
      </c>
      <c r="AO14" s="4">
        <f ca="1">ROUND(T_Tiktok_ads[[#This Row],[video_watch_50]]*RANDBETWEEN(8,12)/10,0)</f>
        <v>88910</v>
      </c>
      <c r="AP14" s="4">
        <f ca="1">ROUND(T_Tiktok_ads[[#This Row],[video_watch_75]]*RANDBETWEEN(8,12)/10,0)</f>
        <v>67789</v>
      </c>
      <c r="AQ14" s="4">
        <f ca="1">ROUND(T_Tiktok_ads[[#This Row],[video_watch_100]]*RANDBETWEEN(8,12)/10,0)</f>
        <v>54547</v>
      </c>
      <c r="AR14" s="4">
        <f ca="1">ROUND(T_Tiktok_ads[[#This Row],[likes]]*RANDBETWEEN(8,12)/10,0)</f>
        <v>10734</v>
      </c>
      <c r="AS14" s="4">
        <f ca="1">ROUND(T_Tiktok_ads[[#This Row],[shares]]*RANDBETWEEN(8,12)/10,0)</f>
        <v>2840</v>
      </c>
      <c r="AT14" s="4">
        <f ca="1">ROUND(T_Tiktok_ads[[#This Row],[comments]]*RANDBETWEEN(8,12)/10,0)</f>
        <v>520</v>
      </c>
      <c r="AV14" s="5">
        <f t="shared" ca="1" si="3"/>
        <v>45238</v>
      </c>
      <c r="AW14">
        <f t="shared" ca="1" si="4"/>
        <v>5</v>
      </c>
      <c r="AX14">
        <f ca="1">ROUND(T_Facebook_Ads1159636771757983879195[[#This Row],[impressions]]*RANDBETWEEN(8,12)/10,0)</f>
        <v>56615</v>
      </c>
      <c r="AY14">
        <f ca="1">ROUND(T_Facebook_Ads1159636771757983879195[[#This Row],[clicks]]*RANDBETWEEN(8,12)/10,0)</f>
        <v>1027</v>
      </c>
      <c r="AZ14">
        <f ca="1">T_Facebook_Ads1159636771757983879195[[#This Row],[spend]]*RANDBETWEEN(8,12)/10</f>
        <v>129.88799999999998</v>
      </c>
      <c r="BA14">
        <f ca="1">ROUND(T_Facebook_Ads1159636771757983879195[[#This Row],[conversions]]*RANDBETWEEN(8,12)/10,0)</f>
        <v>16</v>
      </c>
      <c r="BB14">
        <f ca="1">ROUND(T_Facebook_Ads1159636771757983879195[[#This Row],[video_views]]*RANDBETWEEN(8,12)/10,0)</f>
        <v>12336</v>
      </c>
    </row>
    <row r="15" spans="1:54" ht="15.75" thickBot="1" x14ac:dyDescent="0.3">
      <c r="A15" s="3">
        <f t="shared" ca="1" si="0"/>
        <v>45256</v>
      </c>
      <c r="B15" s="4" t="s">
        <v>56</v>
      </c>
      <c r="C15" s="4" t="s">
        <v>57</v>
      </c>
      <c r="D15" s="4" t="s">
        <v>58</v>
      </c>
      <c r="E15" s="4" t="s">
        <v>59</v>
      </c>
      <c r="F15" s="4">
        <f ca="1">ROUND(T_Facebook_Ads[[#This Row],[impressions]]*RANDBETWEEN(8,12)/10,0)</f>
        <v>12890</v>
      </c>
      <c r="G15" s="4">
        <v>567</v>
      </c>
      <c r="H15" s="4">
        <f ca="1">T_Facebook_Ads[[#This Row],[spend]]*RANDBETWEEN(8,12)/10</f>
        <v>220.3</v>
      </c>
      <c r="I15" s="4">
        <f ca="1">ROUND(T_Facebook_Ads[[#This Row],[conversions]]*RANDBETWEEN(8,12)/10,0)</f>
        <v>40</v>
      </c>
      <c r="J15" s="4">
        <f ca="1">ROUND(T_Facebook_Ads[[#This Row],[video_views]]*RANDBETWEEN(8,12)/10,0)</f>
        <v>1345</v>
      </c>
      <c r="K15" s="4">
        <f ca="1">T_Facebook_Ads[[#This Row],[engagement_rate]]*RANDBETWEEN(8,12)/10</f>
        <v>3.9599999999999996E-2</v>
      </c>
      <c r="L15" s="4">
        <f ca="1">ROUND(T_Facebook_Ads[[#This Row],[reach]]*RANDBETWEEN(8,12)/10,0)</f>
        <v>8098</v>
      </c>
      <c r="M15" s="4">
        <f ca="1">T_Facebook_Ads[[#This Row],[frequency]]*RANDBETWEEN(8,12)/10</f>
        <v>1.397</v>
      </c>
      <c r="O15" s="3">
        <f t="shared" ca="1" si="1"/>
        <v>45248</v>
      </c>
      <c r="P15" s="4" t="s">
        <v>80</v>
      </c>
      <c r="Q15" s="4" t="s">
        <v>81</v>
      </c>
      <c r="R15" s="4" t="s">
        <v>82</v>
      </c>
      <c r="S15" s="4" t="s">
        <v>83</v>
      </c>
      <c r="T15" s="4">
        <f ca="1">ROUND(_Google_ads[[#This Row],[impressions]]*RANDBETWEEN(8,12)/10,0)</f>
        <v>46234</v>
      </c>
      <c r="U15" s="4">
        <f ca="1">ROUND(_Google_ads[[#This Row],[clicks]]*RANDBETWEEN(8,12)/10,0)</f>
        <v>821</v>
      </c>
      <c r="V15" s="4">
        <f ca="1">_Google_ads[[#This Row],[cost]]*RANDBETWEEN(8,12)/10</f>
        <v>471.43999999999994</v>
      </c>
      <c r="W15" s="4">
        <f ca="1">ROUND(_Google_ads[[#This Row],[conversions]]*RANDBETWEEN(8,12)/10,0)</f>
        <v>22</v>
      </c>
      <c r="X15" s="4">
        <f ca="1">ROUND(_Google_ads[[#This Row],[conversion_value]]*RANDBETWEEN(8,12)/10,0)</f>
        <v>960</v>
      </c>
      <c r="Y15" s="4">
        <f ca="1">_Google_ads[[#This Row],[ctr]]*RANDBETWEEN(8,12)/10</f>
        <v>1.9699999999999999E-2</v>
      </c>
      <c r="Z15" s="4">
        <f ca="1">_Google_ads[[#This Row],[avg_cpc]]*RANDBETWEEN(8,12)/10</f>
        <v>0.52</v>
      </c>
      <c r="AA15" s="4">
        <f ca="1">ROUND(_Google_ads[[#This Row],[quality_score]]*RANDBETWEEN(8,12)/10,0)</f>
        <v>7</v>
      </c>
      <c r="AB15" s="4">
        <f ca="1">_Google_ads[[#This Row],[search_impression_share]]*RANDBETWEEN(8,12)/10</f>
        <v>0.36</v>
      </c>
      <c r="AD15" s="3">
        <f t="shared" ca="1" si="2"/>
        <v>45232</v>
      </c>
      <c r="AE15" s="4" t="s">
        <v>104</v>
      </c>
      <c r="AF15" s="4" t="s">
        <v>105</v>
      </c>
      <c r="AG15" s="4" t="s">
        <v>106</v>
      </c>
      <c r="AH15" s="4" t="s">
        <v>107</v>
      </c>
      <c r="AI15" s="4">
        <f ca="1">ROUND(T_Tiktok_ads[[#This Row],[impressions]]*RANDBETWEEN(8,12)/10,0)</f>
        <v>128901</v>
      </c>
      <c r="AJ15" s="4">
        <f ca="1">ROUND(T_Tiktok_ads[[#This Row],[clicks]]*RANDBETWEEN(8,12)/10,0)</f>
        <v>2210</v>
      </c>
      <c r="AK15" s="4">
        <v>689.5</v>
      </c>
      <c r="AL15" s="4">
        <f ca="1">ROUND(T_Tiktok_ads[[#This Row],[conversions]]*RANDBETWEEN(8,12)/10,0)</f>
        <v>54</v>
      </c>
      <c r="AM15" s="4">
        <f ca="1">ROUND(T_Tiktok_ads[[#This Row],[video_views]]*RANDBETWEEN(8,12)/10,0)</f>
        <v>109481</v>
      </c>
      <c r="AN15" s="4">
        <f ca="1">ROUND(T_Tiktok_ads[[#This Row],[video_watch_25]]*RANDBETWEEN(8,12)/10,0)</f>
        <v>75057</v>
      </c>
      <c r="AO15" s="4">
        <f ca="1">ROUND(T_Tiktok_ads[[#This Row],[video_watch_50]]*RANDBETWEEN(8,12)/10,0)</f>
        <v>50368</v>
      </c>
      <c r="AP15" s="4">
        <f ca="1">ROUND(T_Tiktok_ads[[#This Row],[video_watch_75]]*RANDBETWEEN(8,12)/10,0)</f>
        <v>31110</v>
      </c>
      <c r="AQ15" s="4">
        <f ca="1">ROUND(T_Tiktok_ads[[#This Row],[video_watch_100]]*RANDBETWEEN(8,12)/10,0)</f>
        <v>21310</v>
      </c>
      <c r="AR15" s="4">
        <f ca="1">ROUND(T_Tiktok_ads[[#This Row],[likes]]*RANDBETWEEN(8,12)/10,0)</f>
        <v>5614</v>
      </c>
      <c r="AS15" s="4">
        <f ca="1">ROUND(T_Tiktok_ads[[#This Row],[shares]]*RANDBETWEEN(8,12)/10,0)</f>
        <v>1394</v>
      </c>
      <c r="AT15" s="4">
        <f ca="1">ROUND(T_Tiktok_ads[[#This Row],[comments]]*RANDBETWEEN(8,12)/10,0)</f>
        <v>237</v>
      </c>
      <c r="AV15" s="5">
        <f t="shared" ca="1" si="3"/>
        <v>45244</v>
      </c>
      <c r="AW15">
        <f t="shared" ca="1" si="4"/>
        <v>1</v>
      </c>
      <c r="AX15">
        <f ca="1">ROUND(T_Facebook_Ads1159636771757983879195[[#This Row],[impressions]]*RANDBETWEEN(8,12)/10,0)</f>
        <v>10312</v>
      </c>
      <c r="AY15">
        <f ca="1">ROUND(T_Facebook_Ads1159636771757983879195[[#This Row],[clicks]]*RANDBETWEEN(8,12)/10,0)</f>
        <v>567</v>
      </c>
      <c r="AZ15">
        <f ca="1">T_Facebook_Ads1159636771757983879195[[#This Row],[spend]]*RANDBETWEEN(8,12)/10</f>
        <v>264.36</v>
      </c>
      <c r="BA15">
        <f ca="1">ROUND(T_Facebook_Ads1159636771757983879195[[#This Row],[conversions]]*RANDBETWEEN(8,12)/10,0)</f>
        <v>48</v>
      </c>
      <c r="BB15">
        <f ca="1">ROUND(T_Facebook_Ads1159636771757983879195[[#This Row],[video_views]]*RANDBETWEEN(8,12)/10,0)</f>
        <v>1480</v>
      </c>
    </row>
    <row r="16" spans="1:54" ht="15.75" thickBot="1" x14ac:dyDescent="0.3">
      <c r="A16" s="3">
        <f t="shared" ca="1" si="0"/>
        <v>45236</v>
      </c>
      <c r="B16" s="4" t="s">
        <v>64</v>
      </c>
      <c r="C16" s="4" t="s">
        <v>65</v>
      </c>
      <c r="D16" s="4" t="s">
        <v>66</v>
      </c>
      <c r="E16" s="4" t="s">
        <v>67</v>
      </c>
      <c r="F16" s="4">
        <f ca="1">ROUND(T_Facebook_Ads[[#This Row],[impressions]]*RANDBETWEEN(8,12)/10,0)</f>
        <v>56987</v>
      </c>
      <c r="G16" s="4">
        <v>256</v>
      </c>
      <c r="H16" s="4">
        <f ca="1">T_Facebook_Ads[[#This Row],[spend]]*RANDBETWEEN(8,12)/10</f>
        <v>94.8</v>
      </c>
      <c r="I16" s="4">
        <f ca="1">ROUND(T_Facebook_Ads[[#This Row],[conversions]]*RANDBETWEEN(8,12)/10,0)</f>
        <v>6</v>
      </c>
      <c r="J16" s="4">
        <f ca="1">ROUND(T_Facebook_Ads[[#This Row],[video_views]]*RANDBETWEEN(8,12)/10,0)</f>
        <v>39121</v>
      </c>
      <c r="K16" s="4">
        <f ca="1">T_Facebook_Ads[[#This Row],[engagement_rate]]*RANDBETWEEN(8,12)/10</f>
        <v>3.2399999999999998E-3</v>
      </c>
      <c r="L16" s="4">
        <f ca="1">ROUND(T_Facebook_Ads[[#This Row],[reach]]*RANDBETWEEN(8,12)/10,0)</f>
        <v>59234</v>
      </c>
      <c r="M16" s="4">
        <f ca="1">T_Facebook_Ads[[#This Row],[frequency]]*RANDBETWEEN(8,12)/10</f>
        <v>1.2</v>
      </c>
      <c r="O16" s="3">
        <f t="shared" ca="1" si="1"/>
        <v>45240</v>
      </c>
      <c r="P16" s="4" t="s">
        <v>88</v>
      </c>
      <c r="Q16" s="4" t="s">
        <v>89</v>
      </c>
      <c r="R16" s="4" t="s">
        <v>90</v>
      </c>
      <c r="S16" s="4" t="s">
        <v>59</v>
      </c>
      <c r="T16" s="4">
        <f ca="1">ROUND(_Google_ads[[#This Row],[impressions]]*RANDBETWEEN(8,12)/10,0)</f>
        <v>116011</v>
      </c>
      <c r="U16" s="4">
        <f ca="1">ROUND(_Google_ads[[#This Row],[clicks]]*RANDBETWEEN(8,12)/10,0)</f>
        <v>467</v>
      </c>
      <c r="V16" s="4">
        <f ca="1">_Google_ads[[#This Row],[cost]]*RANDBETWEEN(8,12)/10</f>
        <v>103.12</v>
      </c>
      <c r="W16" s="4">
        <f ca="1">ROUND(_Google_ads[[#This Row],[conversions]]*RANDBETWEEN(8,12)/10,0)</f>
        <v>16</v>
      </c>
      <c r="X16" s="4">
        <f ca="1">ROUND(_Google_ads[[#This Row],[conversion_value]]*RANDBETWEEN(8,12)/10,0)</f>
        <v>715</v>
      </c>
      <c r="Y16" s="4">
        <f ca="1">_Google_ads[[#This Row],[ctr]]*RANDBETWEEN(8,12)/10</f>
        <v>3.2399999999999998E-3</v>
      </c>
      <c r="Z16" s="4">
        <f ca="1">_Google_ads[[#This Row],[avg_cpc]]*RANDBETWEEN(8,12)/10</f>
        <v>0.308</v>
      </c>
      <c r="AA16" s="4">
        <f ca="1">ROUND(_Google_ads[[#This Row],[quality_score]]*RANDBETWEEN(8,12)/10,0)</f>
        <v>8</v>
      </c>
      <c r="AB16" s="4">
        <f ca="1">_Google_ads[[#This Row],[search_impression_share]]*RANDBETWEEN(8,12)/10</f>
        <v>0.30599999999999999</v>
      </c>
      <c r="AD16" s="3">
        <f t="shared" ca="1" si="2"/>
        <v>45257</v>
      </c>
      <c r="AE16" s="4" t="s">
        <v>112</v>
      </c>
      <c r="AF16" s="4" t="s">
        <v>113</v>
      </c>
      <c r="AG16" s="4" t="s">
        <v>114</v>
      </c>
      <c r="AH16" s="4" t="s">
        <v>115</v>
      </c>
      <c r="AI16" s="4">
        <f ca="1">ROUND(T_Tiktok_ads[[#This Row],[impressions]]*RANDBETWEEN(8,12)/10,0)</f>
        <v>356789</v>
      </c>
      <c r="AJ16" s="4">
        <f ca="1">ROUND(T_Tiktok_ads[[#This Row],[clicks]]*RANDBETWEEN(8,12)/10,0)</f>
        <v>6417</v>
      </c>
      <c r="AK16" s="4">
        <v>901.2</v>
      </c>
      <c r="AL16" s="4">
        <f ca="1">ROUND(T_Tiktok_ads[[#This Row],[conversions]]*RANDBETWEEN(8,12)/10,0)</f>
        <v>100</v>
      </c>
      <c r="AM16" s="4">
        <f ca="1">ROUND(T_Tiktok_ads[[#This Row],[video_views]]*RANDBETWEEN(8,12)/10,0)</f>
        <v>322802</v>
      </c>
      <c r="AN16" s="4">
        <f ca="1">ROUND(T_Tiktok_ads[[#This Row],[video_watch_25]]*RANDBETWEEN(8,12)/10,0)</f>
        <v>239234</v>
      </c>
      <c r="AO16" s="4">
        <f ca="1">ROUND(T_Tiktok_ads[[#This Row],[video_watch_50]]*RANDBETWEEN(8,12)/10,0)</f>
        <v>152987</v>
      </c>
      <c r="AP16" s="4">
        <f ca="1">ROUND(T_Tiktok_ads[[#This Row],[video_watch_75]]*RANDBETWEEN(8,12)/10,0)</f>
        <v>122611</v>
      </c>
      <c r="AQ16" s="4">
        <f ca="1">ROUND(T_Tiktok_ads[[#This Row],[video_watch_100]]*RANDBETWEEN(8,12)/10,0)</f>
        <v>108281</v>
      </c>
      <c r="AR16" s="4">
        <f ca="1">ROUND(T_Tiktok_ads[[#This Row],[likes]]*RANDBETWEEN(8,12)/10,0)</f>
        <v>14301</v>
      </c>
      <c r="AS16" s="4">
        <f ca="1">ROUND(T_Tiktok_ads[[#This Row],[shares]]*RANDBETWEEN(8,12)/10,0)</f>
        <v>5561</v>
      </c>
      <c r="AT16" s="4">
        <f ca="1">ROUND(T_Tiktok_ads[[#This Row],[comments]]*RANDBETWEEN(8,12)/10,0)</f>
        <v>1005</v>
      </c>
      <c r="AV16" s="5">
        <f t="shared" ca="1" si="3"/>
        <v>45255</v>
      </c>
      <c r="AW16">
        <f t="shared" ca="1" si="4"/>
        <v>6</v>
      </c>
      <c r="AX16">
        <f ca="1">ROUND(T_Facebook_Ads1159636771757983879195[[#This Row],[impressions]]*RANDBETWEEN(8,12)/10,0)</f>
        <v>45590</v>
      </c>
      <c r="AY16">
        <f ca="1">ROUND(T_Facebook_Ads1159636771757983879195[[#This Row],[clicks]]*RANDBETWEEN(8,12)/10,0)</f>
        <v>230</v>
      </c>
      <c r="AZ16">
        <f ca="1">T_Facebook_Ads1159636771757983879195[[#This Row],[spend]]*RANDBETWEEN(8,12)/10</f>
        <v>104.28</v>
      </c>
      <c r="BA16">
        <f ca="1">ROUND(T_Facebook_Ads1159636771757983879195[[#This Row],[conversions]]*RANDBETWEEN(8,12)/10,0)</f>
        <v>6</v>
      </c>
      <c r="BB16">
        <f ca="1">ROUND(T_Facebook_Ads1159636771757983879195[[#This Row],[video_views]]*RANDBETWEEN(8,12)/10,0)</f>
        <v>46945</v>
      </c>
    </row>
    <row r="17" spans="1:54" ht="15.75" thickBot="1" x14ac:dyDescent="0.3">
      <c r="A17" s="3">
        <f t="shared" ca="1" si="0"/>
        <v>45239</v>
      </c>
      <c r="B17" s="4" t="s">
        <v>52</v>
      </c>
      <c r="C17" s="4" t="s">
        <v>53</v>
      </c>
      <c r="D17" s="4" t="s">
        <v>54</v>
      </c>
      <c r="E17" s="4" t="s">
        <v>55</v>
      </c>
      <c r="F17" s="4">
        <f ca="1">ROUND(T_Facebook_Ads[[#This Row],[impressions]]*RANDBETWEEN(8,12)/10,0)</f>
        <v>53480</v>
      </c>
      <c r="G17" s="4">
        <v>878</v>
      </c>
      <c r="H17" s="4">
        <f ca="1">T_Facebook_Ads[[#This Row],[spend]]*RANDBETWEEN(8,12)/10</f>
        <v>100.47999999999999</v>
      </c>
      <c r="I17" s="4">
        <f ca="1">ROUND(T_Facebook_Ads[[#This Row],[conversions]]*RANDBETWEEN(8,12)/10,0)</f>
        <v>9</v>
      </c>
      <c r="J17" s="4">
        <f ca="1">ROUND(T_Facebook_Ads[[#This Row],[video_views]]*RANDBETWEEN(8,12)/10,0)</f>
        <v>9748</v>
      </c>
      <c r="K17" s="4">
        <f ca="1">T_Facebook_Ads[[#This Row],[engagement_rate]]*RANDBETWEEN(8,12)/10</f>
        <v>1.7729999999999999E-2</v>
      </c>
      <c r="L17" s="4">
        <f ca="1">ROUND(T_Facebook_Ads[[#This Row],[reach]]*RANDBETWEEN(8,12)/10,0)</f>
        <v>29965</v>
      </c>
      <c r="M17" s="4">
        <f ca="1">T_Facebook_Ads[[#This Row],[frequency]]*RANDBETWEEN(8,12)/10</f>
        <v>1.19</v>
      </c>
      <c r="O17" s="3">
        <f t="shared" ca="1" si="1"/>
        <v>45253</v>
      </c>
      <c r="P17" s="4" t="s">
        <v>76</v>
      </c>
      <c r="Q17" s="4" t="s">
        <v>77</v>
      </c>
      <c r="R17" s="4" t="s">
        <v>78</v>
      </c>
      <c r="S17" s="4" t="s">
        <v>79</v>
      </c>
      <c r="T17" s="4">
        <f ca="1">ROUND(_Google_ads[[#This Row],[impressions]]*RANDBETWEEN(8,12)/10,0)</f>
        <v>19387</v>
      </c>
      <c r="U17" s="4">
        <f ca="1">ROUND(_Google_ads[[#This Row],[clicks]]*RANDBETWEEN(8,12)/10,0)</f>
        <v>1394</v>
      </c>
      <c r="V17" s="4">
        <f ca="1">_Google_ads[[#This Row],[cost]]*RANDBETWEEN(8,12)/10</f>
        <v>289.43999999999994</v>
      </c>
      <c r="W17" s="4">
        <f ca="1">ROUND(_Google_ads[[#This Row],[conversions]]*RANDBETWEEN(8,12)/10,0)</f>
        <v>42</v>
      </c>
      <c r="X17" s="4">
        <f ca="1">ROUND(_Google_ads[[#This Row],[conversion_value]]*RANDBETWEEN(8,12)/10,0)</f>
        <v>2585</v>
      </c>
      <c r="Y17" s="4">
        <f ca="1">_Google_ads[[#This Row],[ctr]]*RANDBETWEEN(8,12)/10</f>
        <v>4.7070000000000001E-2</v>
      </c>
      <c r="Z17" s="4">
        <f ca="1">_Google_ads[[#This Row],[avg_cpc]]*RANDBETWEEN(8,12)/10</f>
        <v>0.152</v>
      </c>
      <c r="AA17" s="4">
        <f ca="1">ROUND(_Google_ads[[#This Row],[quality_score]]*RANDBETWEEN(8,12)/10,0)</f>
        <v>7</v>
      </c>
      <c r="AB17" s="4">
        <f ca="1">_Google_ads[[#This Row],[search_impression_share]]*RANDBETWEEN(8,12)/10</f>
        <v>0.92000000000000015</v>
      </c>
      <c r="AD17" s="3">
        <f t="shared" ca="1" si="2"/>
        <v>45245</v>
      </c>
      <c r="AE17" s="4" t="s">
        <v>100</v>
      </c>
      <c r="AF17" s="4" t="s">
        <v>101</v>
      </c>
      <c r="AG17" s="4" t="s">
        <v>102</v>
      </c>
      <c r="AH17" s="4" t="s">
        <v>103</v>
      </c>
      <c r="AI17" s="4">
        <f ca="1">ROUND(T_Tiktok_ads[[#This Row],[impressions]]*RANDBETWEEN(8,12)/10,0)</f>
        <v>267890</v>
      </c>
      <c r="AJ17" s="4">
        <f ca="1">ROUND(T_Tiktok_ads[[#This Row],[clicks]]*RANDBETWEEN(8,12)/10,0)</f>
        <v>4734</v>
      </c>
      <c r="AK17" s="4">
        <v>523.4</v>
      </c>
      <c r="AL17" s="4">
        <f ca="1">ROUND(T_Tiktok_ads[[#This Row],[conversions]]*RANDBETWEEN(8,12)/10,0)</f>
        <v>48</v>
      </c>
      <c r="AM17" s="4">
        <f ca="1">ROUND(T_Tiktok_ads[[#This Row],[video_views]]*RANDBETWEEN(8,12)/10,0)</f>
        <v>243357</v>
      </c>
      <c r="AN17" s="4">
        <f ca="1">ROUND(T_Tiktok_ads[[#This Row],[video_watch_25]]*RANDBETWEEN(8,12)/10,0)</f>
        <v>138765</v>
      </c>
      <c r="AO17" s="4">
        <f ca="1">ROUND(T_Tiktok_ads[[#This Row],[video_watch_50]]*RANDBETWEEN(8,12)/10,0)</f>
        <v>131081</v>
      </c>
      <c r="AP17" s="4">
        <f ca="1">ROUND(T_Tiktok_ads[[#This Row],[video_watch_75]]*RANDBETWEEN(8,12)/10,0)</f>
        <v>66210</v>
      </c>
      <c r="AQ17" s="4">
        <f ca="1">ROUND(T_Tiktok_ads[[#This Row],[video_watch_100]]*RANDBETWEEN(8,12)/10,0)</f>
        <v>39387</v>
      </c>
      <c r="AR17" s="4">
        <f ca="1">ROUND(T_Tiktok_ads[[#This Row],[likes]]*RANDBETWEEN(8,12)/10,0)</f>
        <v>10768</v>
      </c>
      <c r="AS17" s="4">
        <f ca="1">ROUND(T_Tiktok_ads[[#This Row],[shares]]*RANDBETWEEN(8,12)/10,0)</f>
        <v>3161</v>
      </c>
      <c r="AT17" s="4">
        <f ca="1">ROUND(T_Tiktok_ads[[#This Row],[comments]]*RANDBETWEEN(8,12)/10,0)</f>
        <v>623</v>
      </c>
      <c r="AV17" s="5">
        <f t="shared" ca="1" si="3"/>
        <v>45244</v>
      </c>
      <c r="AW17">
        <f t="shared" ca="1" si="4"/>
        <v>3</v>
      </c>
      <c r="AX17">
        <f ca="1">ROUND(T_Facebook_Ads1159636771757983879195[[#This Row],[impressions]]*RANDBETWEEN(8,12)/10,0)</f>
        <v>48132</v>
      </c>
      <c r="AY17">
        <f ca="1">ROUND(T_Facebook_Ads1159636771757983879195[[#This Row],[clicks]]*RANDBETWEEN(8,12)/10,0)</f>
        <v>1054</v>
      </c>
      <c r="AZ17">
        <f ca="1">T_Facebook_Ads1159636771757983879195[[#This Row],[spend]]*RANDBETWEEN(8,12)/10</f>
        <v>80.383999999999986</v>
      </c>
      <c r="BA17">
        <f ca="1">ROUND(T_Facebook_Ads1159636771757983879195[[#This Row],[conversions]]*RANDBETWEEN(8,12)/10,0)</f>
        <v>8</v>
      </c>
      <c r="BB17">
        <f ca="1">ROUND(T_Facebook_Ads1159636771757983879195[[#This Row],[video_views]]*RANDBETWEEN(8,12)/10,0)</f>
        <v>10723</v>
      </c>
    </row>
    <row r="18" spans="1:54" ht="15.75" thickBot="1" x14ac:dyDescent="0.3">
      <c r="A18" s="3">
        <f t="shared" ca="1" si="0"/>
        <v>45258</v>
      </c>
      <c r="B18" s="4" t="s">
        <v>60</v>
      </c>
      <c r="C18" s="4" t="s">
        <v>61</v>
      </c>
      <c r="D18" s="4" t="s">
        <v>62</v>
      </c>
      <c r="E18" s="4" t="s">
        <v>63</v>
      </c>
      <c r="F18" s="4">
        <f ca="1">ROUND(T_Facebook_Ads[[#This Row],[impressions]]*RANDBETWEEN(8,12)/10,0)</f>
        <v>32110</v>
      </c>
      <c r="G18" s="4">
        <v>1289</v>
      </c>
      <c r="H18" s="4">
        <f ca="1">T_Facebook_Ads[[#This Row],[spend]]*RANDBETWEEN(8,12)/10</f>
        <v>176.04</v>
      </c>
      <c r="I18" s="4">
        <f ca="1">ROUND(T_Facebook_Ads[[#This Row],[conversions]]*RANDBETWEEN(8,12)/10,0)</f>
        <v>24</v>
      </c>
      <c r="J18" s="4">
        <f ca="1">ROUND(T_Facebook_Ads[[#This Row],[video_views]]*RANDBETWEEN(8,12)/10,0)</f>
        <v>4678</v>
      </c>
      <c r="K18" s="4">
        <f ca="1">T_Facebook_Ads[[#This Row],[engagement_rate]]*RANDBETWEEN(8,12)/10</f>
        <v>3.2490000000000005E-2</v>
      </c>
      <c r="L18" s="4">
        <f ca="1">ROUND(T_Facebook_Ads[[#This Row],[reach]]*RANDBETWEEN(8,12)/10,0)</f>
        <v>29345</v>
      </c>
      <c r="M18" s="4">
        <f ca="1">T_Facebook_Ads[[#This Row],[frequency]]*RANDBETWEEN(8,12)/10</f>
        <v>1.3420000000000001</v>
      </c>
      <c r="O18" s="3">
        <f t="shared" ca="1" si="1"/>
        <v>45251</v>
      </c>
      <c r="P18" s="4" t="s">
        <v>84</v>
      </c>
      <c r="Q18" s="4" t="s">
        <v>85</v>
      </c>
      <c r="R18" s="4" t="s">
        <v>86</v>
      </c>
      <c r="S18" s="4" t="s">
        <v>87</v>
      </c>
      <c r="T18" s="4">
        <f ca="1">ROUND(_Google_ads[[#This Row],[impressions]]*RANDBETWEEN(8,12)/10,0)</f>
        <v>57876</v>
      </c>
      <c r="U18" s="4">
        <f ca="1">ROUND(_Google_ads[[#This Row],[clicks]]*RANDBETWEEN(8,12)/10,0)</f>
        <v>2616</v>
      </c>
      <c r="V18" s="4">
        <f ca="1">_Google_ads[[#This Row],[cost]]*RANDBETWEEN(8,12)/10</f>
        <v>389.61</v>
      </c>
      <c r="W18" s="4">
        <f ca="1">ROUND(_Google_ads[[#This Row],[conversions]]*RANDBETWEEN(8,12)/10,0)</f>
        <v>83</v>
      </c>
      <c r="X18" s="4">
        <f ca="1">ROUND(_Google_ads[[#This Row],[conversion_value]]*RANDBETWEEN(8,12)/10,0)</f>
        <v>3105</v>
      </c>
      <c r="Y18" s="4">
        <f ca="1">_Google_ads[[#This Row],[ctr]]*RANDBETWEEN(8,12)/10</f>
        <v>2.632E-2</v>
      </c>
      <c r="Z18" s="4">
        <f ca="1">_Google_ads[[#This Row],[avg_cpc]]*RANDBETWEEN(8,12)/10</f>
        <v>0.14399999999999999</v>
      </c>
      <c r="AA18" s="4">
        <f ca="1">ROUND(_Google_ads[[#This Row],[quality_score]]*RANDBETWEEN(8,12)/10,0)</f>
        <v>8</v>
      </c>
      <c r="AB18" s="4">
        <f ca="1">_Google_ads[[#This Row],[search_impression_share]]*RANDBETWEEN(8,12)/10</f>
        <v>0.73699999999999999</v>
      </c>
      <c r="AD18" s="3">
        <f t="shared" ca="1" si="2"/>
        <v>45247</v>
      </c>
      <c r="AE18" s="4" t="s">
        <v>108</v>
      </c>
      <c r="AF18" s="4" t="s">
        <v>109</v>
      </c>
      <c r="AG18" s="4" t="s">
        <v>110</v>
      </c>
      <c r="AH18" s="4" t="s">
        <v>111</v>
      </c>
      <c r="AI18" s="4">
        <f ca="1">ROUND(T_Tiktok_ads[[#This Row],[impressions]]*RANDBETWEEN(8,12)/10,0)</f>
        <v>226246</v>
      </c>
      <c r="AJ18" s="4">
        <f ca="1">ROUND(T_Tiktok_ads[[#This Row],[clicks]]*RANDBETWEEN(8,12)/10,0)</f>
        <v>2911</v>
      </c>
      <c r="AK18" s="4">
        <v>387.8</v>
      </c>
      <c r="AL18" s="4">
        <f ca="1">ROUND(T_Tiktok_ads[[#This Row],[conversions]]*RANDBETWEEN(8,12)/10,0)</f>
        <v>30</v>
      </c>
      <c r="AM18" s="4">
        <f ca="1">ROUND(T_Tiktok_ads[[#This Row],[video_views]]*RANDBETWEEN(8,12)/10,0)</f>
        <v>194814</v>
      </c>
      <c r="AN18" s="4">
        <f ca="1">ROUND(T_Tiktok_ads[[#This Row],[video_watch_25]]*RANDBETWEEN(8,12)/10,0)</f>
        <v>99654</v>
      </c>
      <c r="AO18" s="4">
        <f ca="1">ROUND(T_Tiktok_ads[[#This Row],[video_watch_50]]*RANDBETWEEN(8,12)/10,0)</f>
        <v>79121</v>
      </c>
      <c r="AP18" s="4">
        <f ca="1">ROUND(T_Tiktok_ads[[#This Row],[video_watch_75]]*RANDBETWEEN(8,12)/10,0)</f>
        <v>56911</v>
      </c>
      <c r="AQ18" s="4">
        <f ca="1">ROUND(T_Tiktok_ads[[#This Row],[video_watch_100]]*RANDBETWEEN(8,12)/10,0)</f>
        <v>45881</v>
      </c>
      <c r="AR18" s="4">
        <f ca="1">ROUND(T_Tiktok_ads[[#This Row],[likes]]*RANDBETWEEN(8,12)/10,0)</f>
        <v>7567</v>
      </c>
      <c r="AS18" s="4">
        <f ca="1">ROUND(T_Tiktok_ads[[#This Row],[shares]]*RANDBETWEEN(8,12)/10,0)</f>
        <v>1671</v>
      </c>
      <c r="AT18" s="4">
        <f ca="1">ROUND(T_Tiktok_ads[[#This Row],[comments]]*RANDBETWEEN(8,12)/10,0)</f>
        <v>551</v>
      </c>
      <c r="AV18" s="5">
        <f t="shared" ca="1" si="3"/>
        <v>45242</v>
      </c>
      <c r="AW18">
        <f t="shared" ca="1" si="4"/>
        <v>6</v>
      </c>
      <c r="AX18">
        <f ca="1">ROUND(T_Facebook_Ads1159636771757983879195[[#This Row],[impressions]]*RANDBETWEEN(8,12)/10,0)</f>
        <v>28899</v>
      </c>
      <c r="AY18">
        <f ca="1">ROUND(T_Facebook_Ads1159636771757983879195[[#This Row],[clicks]]*RANDBETWEEN(8,12)/10,0)</f>
        <v>1289</v>
      </c>
      <c r="AZ18">
        <f ca="1">T_Facebook_Ads1159636771757983879195[[#This Row],[spend]]*RANDBETWEEN(8,12)/10</f>
        <v>176.04</v>
      </c>
      <c r="BA18">
        <f ca="1">ROUND(T_Facebook_Ads1159636771757983879195[[#This Row],[conversions]]*RANDBETWEEN(8,12)/10,0)</f>
        <v>19</v>
      </c>
      <c r="BB18">
        <f ca="1">ROUND(T_Facebook_Ads1159636771757983879195[[#This Row],[video_views]]*RANDBETWEEN(8,12)/10,0)</f>
        <v>4678</v>
      </c>
    </row>
    <row r="19" spans="1:54" ht="15.75" thickBot="1" x14ac:dyDescent="0.3">
      <c r="A19" s="3">
        <f t="shared" ca="1" si="0"/>
        <v>45247</v>
      </c>
      <c r="B19" s="4" t="s">
        <v>64</v>
      </c>
      <c r="C19" s="4" t="s">
        <v>65</v>
      </c>
      <c r="D19" s="4" t="s">
        <v>66</v>
      </c>
      <c r="E19" s="4" t="s">
        <v>67</v>
      </c>
      <c r="F19" s="4">
        <f ca="1">ROUND(T_Facebook_Ads[[#This Row],[impressions]]*RANDBETWEEN(8,12)/10,0)</f>
        <v>83347</v>
      </c>
      <c r="G19" s="4">
        <v>245</v>
      </c>
      <c r="H19" s="4">
        <f ca="1">T_Facebook_Ads[[#This Row],[spend]]*RANDBETWEEN(8,12)/10</f>
        <v>100.32000000000001</v>
      </c>
      <c r="I19" s="4">
        <f ca="1">ROUND(T_Facebook_Ads[[#This Row],[conversions]]*RANDBETWEEN(8,12)/10,0)</f>
        <v>5</v>
      </c>
      <c r="J19" s="4">
        <f ca="1">ROUND(T_Facebook_Ads[[#This Row],[video_views]]*RANDBETWEEN(8,12)/10,0)</f>
        <v>47234</v>
      </c>
      <c r="K19" s="4">
        <f ca="1">T_Facebook_Ads[[#This Row],[engagement_rate]]*RANDBETWEEN(8,12)/10</f>
        <v>3.8500000000000001E-3</v>
      </c>
      <c r="L19" s="4">
        <f ca="1">ROUND(T_Facebook_Ads[[#This Row],[reach]]*RANDBETWEEN(8,12)/10,0)</f>
        <v>69468</v>
      </c>
      <c r="M19" s="4">
        <f ca="1">T_Facebook_Ads[[#This Row],[frequency]]*RANDBETWEEN(8,12)/10</f>
        <v>1.0799999999999998</v>
      </c>
      <c r="O19" s="3">
        <f t="shared" ca="1" si="1"/>
        <v>45233</v>
      </c>
      <c r="P19" s="4" t="s">
        <v>88</v>
      </c>
      <c r="Q19" s="4" t="s">
        <v>89</v>
      </c>
      <c r="R19" s="4" t="s">
        <v>90</v>
      </c>
      <c r="S19" s="4" t="s">
        <v>59</v>
      </c>
      <c r="T19" s="4">
        <f ca="1">ROUND(_Google_ads[[#This Row],[impressions]]*RANDBETWEEN(8,12)/10,0)</f>
        <v>157481</v>
      </c>
      <c r="U19" s="4">
        <f ca="1">ROUND(_Google_ads[[#This Row],[clicks]]*RANDBETWEEN(8,12)/10,0)</f>
        <v>382</v>
      </c>
      <c r="V19" s="4">
        <f ca="1">_Google_ads[[#This Row],[cost]]*RANDBETWEEN(8,12)/10</f>
        <v>105.92</v>
      </c>
      <c r="W19" s="4">
        <f ca="1">ROUND(_Google_ads[[#This Row],[conversions]]*RANDBETWEEN(8,12)/10,0)</f>
        <v>10</v>
      </c>
      <c r="X19" s="4">
        <f ca="1">ROUND(_Google_ads[[#This Row],[conversion_value]]*RANDBETWEEN(8,12)/10,0)</f>
        <v>585</v>
      </c>
      <c r="Y19" s="4">
        <f ca="1">_Google_ads[[#This Row],[ctr]]*RANDBETWEEN(8,12)/10</f>
        <v>3.96E-3</v>
      </c>
      <c r="Z19" s="4">
        <f ca="1">_Google_ads[[#This Row],[avg_cpc]]*RANDBETWEEN(8,12)/10</f>
        <v>0.28000000000000003</v>
      </c>
      <c r="AA19" s="4">
        <f ca="1">ROUND(_Google_ads[[#This Row],[quality_score]]*RANDBETWEEN(8,12)/10,0)</f>
        <v>8</v>
      </c>
      <c r="AB19" s="4">
        <f ca="1">_Google_ads[[#This Row],[search_impression_share]]*RANDBETWEEN(8,12)/10</f>
        <v>0.41999999999999993</v>
      </c>
      <c r="AD19" s="3">
        <f t="shared" ca="1" si="2"/>
        <v>45235</v>
      </c>
      <c r="AE19" s="4" t="s">
        <v>112</v>
      </c>
      <c r="AF19" s="4" t="s">
        <v>113</v>
      </c>
      <c r="AG19" s="4" t="s">
        <v>114</v>
      </c>
      <c r="AH19" s="4" t="s">
        <v>115</v>
      </c>
      <c r="AI19" s="4">
        <f ca="1">ROUND(T_Tiktok_ads[[#This Row],[impressions]]*RANDBETWEEN(8,12)/10,0)</f>
        <v>454681</v>
      </c>
      <c r="AJ19" s="4">
        <f ca="1">ROUND(T_Tiktok_ads[[#This Row],[clicks]]*RANDBETWEEN(8,12)/10,0)</f>
        <v>6123</v>
      </c>
      <c r="AK19" s="4">
        <v>945.6</v>
      </c>
      <c r="AL19" s="4">
        <f ca="1">ROUND(T_Tiktok_ads[[#This Row],[conversions]]*RANDBETWEEN(8,12)/10,0)</f>
        <v>115</v>
      </c>
      <c r="AM19" s="4">
        <f ca="1">ROUND(T_Tiktok_ads[[#This Row],[video_views]]*RANDBETWEEN(8,12)/10,0)</f>
        <v>281111</v>
      </c>
      <c r="AN19" s="4">
        <f ca="1">ROUND(T_Tiktok_ads[[#This Row],[video_watch_25]]*RANDBETWEEN(8,12)/10,0)</f>
        <v>251234</v>
      </c>
      <c r="AO19" s="4">
        <f ca="1">ROUND(T_Tiktok_ads[[#This Row],[video_watch_50]]*RANDBETWEEN(8,12)/10,0)</f>
        <v>221357</v>
      </c>
      <c r="AP19" s="4">
        <f ca="1">ROUND(T_Tiktok_ads[[#This Row],[video_watch_75]]*RANDBETWEEN(8,12)/10,0)</f>
        <v>143456</v>
      </c>
      <c r="AQ19" s="4">
        <f ca="1">ROUND(T_Tiktok_ads[[#This Row],[video_watch_100]]*RANDBETWEEN(8,12)/10,0)</f>
        <v>95234</v>
      </c>
      <c r="AR19" s="4">
        <f ca="1">ROUND(T_Tiktok_ads[[#This Row],[likes]]*RANDBETWEEN(8,12)/10,0)</f>
        <v>18224</v>
      </c>
      <c r="AS19" s="4">
        <f ca="1">ROUND(T_Tiktok_ads[[#This Row],[shares]]*RANDBETWEEN(8,12)/10,0)</f>
        <v>3858</v>
      </c>
      <c r="AT19" s="4">
        <f ca="1">ROUND(T_Tiktok_ads[[#This Row],[comments]]*RANDBETWEEN(8,12)/10,0)</f>
        <v>1181</v>
      </c>
      <c r="AV19" s="5">
        <f t="shared" ca="1" si="3"/>
        <v>45244</v>
      </c>
      <c r="AW19">
        <f t="shared" ca="1" si="4"/>
        <v>4</v>
      </c>
      <c r="AX19">
        <f ca="1">ROUND(T_Facebook_Ads1159636771757983879195[[#This Row],[impressions]]*RANDBETWEEN(8,12)/10,0)</f>
        <v>66678</v>
      </c>
      <c r="AY19">
        <f ca="1">ROUND(T_Facebook_Ads1159636771757983879195[[#This Row],[clicks]]*RANDBETWEEN(8,12)/10,0)</f>
        <v>245</v>
      </c>
      <c r="AZ19">
        <f ca="1">T_Facebook_Ads1159636771757983879195[[#This Row],[spend]]*RANDBETWEEN(8,12)/10</f>
        <v>120.38400000000001</v>
      </c>
      <c r="BA19">
        <f ca="1">ROUND(T_Facebook_Ads1159636771757983879195[[#This Row],[conversions]]*RANDBETWEEN(8,12)/10,0)</f>
        <v>6</v>
      </c>
      <c r="BB19">
        <f ca="1">ROUND(T_Facebook_Ads1159636771757983879195[[#This Row],[video_views]]*RANDBETWEEN(8,12)/10,0)</f>
        <v>37787</v>
      </c>
    </row>
    <row r="20" spans="1:54" ht="15.75" thickBot="1" x14ac:dyDescent="0.3">
      <c r="A20" s="3">
        <f t="shared" ca="1" si="0"/>
        <v>45233</v>
      </c>
      <c r="B20" s="4" t="s">
        <v>52</v>
      </c>
      <c r="C20" s="4" t="s">
        <v>53</v>
      </c>
      <c r="D20" s="4" t="s">
        <v>54</v>
      </c>
      <c r="E20" s="4" t="s">
        <v>55</v>
      </c>
      <c r="F20" s="4">
        <f ca="1">ROUND(T_Facebook_Ads[[#This Row],[impressions]]*RANDBETWEEN(8,12)/10,0)</f>
        <v>49876</v>
      </c>
      <c r="G20" s="4">
        <v>1067</v>
      </c>
      <c r="H20" s="4">
        <f ca="1">T_Facebook_Ads[[#This Row],[spend]]*RANDBETWEEN(8,12)/10</f>
        <v>145.9</v>
      </c>
      <c r="I20" s="4">
        <f ca="1">ROUND(T_Facebook_Ads[[#This Row],[conversions]]*RANDBETWEEN(8,12)/10,0)</f>
        <v>16</v>
      </c>
      <c r="J20" s="4">
        <f ca="1">ROUND(T_Facebook_Ads[[#This Row],[video_views]]*RANDBETWEEN(8,12)/10,0)</f>
        <v>8610</v>
      </c>
      <c r="K20" s="4">
        <f ca="1">T_Facebook_Ads[[#This Row],[engagement_rate]]*RANDBETWEEN(8,12)/10</f>
        <v>2.3539999999999998E-2</v>
      </c>
      <c r="L20" s="4">
        <f ca="1">ROUND(T_Facebook_Ads[[#This Row],[reach]]*RANDBETWEEN(8,12)/10,0)</f>
        <v>41234</v>
      </c>
      <c r="M20" s="4">
        <f ca="1">T_Facebook_Ads[[#This Row],[frequency]]*RANDBETWEEN(8,12)/10</f>
        <v>1.452</v>
      </c>
      <c r="O20" s="3">
        <f t="shared" ca="1" si="1"/>
        <v>45232</v>
      </c>
      <c r="P20" s="4" t="s">
        <v>76</v>
      </c>
      <c r="Q20" s="4" t="s">
        <v>77</v>
      </c>
      <c r="R20" s="4" t="s">
        <v>78</v>
      </c>
      <c r="S20" s="4" t="s">
        <v>79</v>
      </c>
      <c r="T20" s="4">
        <f ca="1">ROUND(_Google_ads[[#This Row],[impressions]]*RANDBETWEEN(8,12)/10,0)</f>
        <v>24110</v>
      </c>
      <c r="U20" s="4">
        <f ca="1">ROUND(_Google_ads[[#This Row],[clicks]]*RANDBETWEEN(8,12)/10,0)</f>
        <v>1456</v>
      </c>
      <c r="V20" s="4">
        <f ca="1">_Google_ads[[#This Row],[cost]]*RANDBETWEEN(8,12)/10</f>
        <v>334.67999999999995</v>
      </c>
      <c r="W20" s="4">
        <f ca="1">ROUND(_Google_ads[[#This Row],[conversions]]*RANDBETWEEN(8,12)/10,0)</f>
        <v>43</v>
      </c>
      <c r="X20" s="4">
        <f ca="1">ROUND(_Google_ads[[#This Row],[conversion_value]]*RANDBETWEEN(8,12)/10,0)</f>
        <v>2430</v>
      </c>
      <c r="Y20" s="4">
        <f ca="1">_Google_ads[[#This Row],[ctr]]*RANDBETWEEN(8,12)/10</f>
        <v>6.5279999999999991E-2</v>
      </c>
      <c r="Z20" s="4">
        <f ca="1">_Google_ads[[#This Row],[avg_cpc]]*RANDBETWEEN(8,12)/10</f>
        <v>0.19</v>
      </c>
      <c r="AA20" s="4">
        <f ca="1">ROUND(_Google_ads[[#This Row],[quality_score]]*RANDBETWEEN(8,12)/10,0)</f>
        <v>10</v>
      </c>
      <c r="AB20" s="4">
        <f ca="1">_Google_ads[[#This Row],[search_impression_share]]*RANDBETWEEN(8,12)/10</f>
        <v>0.83700000000000008</v>
      </c>
      <c r="AD20" s="3">
        <f t="shared" ca="1" si="2"/>
        <v>45247</v>
      </c>
      <c r="AE20" s="4" t="s">
        <v>100</v>
      </c>
      <c r="AF20" s="4" t="s">
        <v>101</v>
      </c>
      <c r="AG20" s="4" t="s">
        <v>102</v>
      </c>
      <c r="AH20" s="4" t="s">
        <v>103</v>
      </c>
      <c r="AI20" s="4">
        <f ca="1">ROUND(T_Tiktok_ads[[#This Row],[impressions]]*RANDBETWEEN(8,12)/10,0)</f>
        <v>306791</v>
      </c>
      <c r="AJ20" s="4">
        <f ca="1">ROUND(T_Tiktok_ads[[#This Row],[clicks]]*RANDBETWEEN(8,12)/10,0)</f>
        <v>3711</v>
      </c>
      <c r="AK20" s="4">
        <v>545.6</v>
      </c>
      <c r="AL20" s="4">
        <f ca="1">ROUND(T_Tiktok_ads[[#This Row],[conversions]]*RANDBETWEEN(8,12)/10,0)</f>
        <v>38</v>
      </c>
      <c r="AM20" s="4">
        <f ca="1">ROUND(T_Tiktok_ads[[#This Row],[video_views]]*RANDBETWEEN(8,12)/10,0)</f>
        <v>183387</v>
      </c>
      <c r="AN20" s="4">
        <f ca="1">ROUND(T_Tiktok_ads[[#This Row],[video_watch_25]]*RANDBETWEEN(8,12)/10,0)</f>
        <v>161311</v>
      </c>
      <c r="AO20" s="4">
        <f ca="1">ROUND(T_Tiktok_ads[[#This Row],[video_watch_50]]*RANDBETWEEN(8,12)/10,0)</f>
        <v>112234</v>
      </c>
      <c r="AP20" s="4">
        <f ca="1">ROUND(T_Tiktok_ads[[#This Row],[video_watch_75]]*RANDBETWEEN(8,12)/10,0)</f>
        <v>60542</v>
      </c>
      <c r="AQ20" s="4">
        <f ca="1">ROUND(T_Tiktok_ads[[#This Row],[video_watch_100]]*RANDBETWEEN(8,12)/10,0)</f>
        <v>55257</v>
      </c>
      <c r="AR20" s="4">
        <f ca="1">ROUND(T_Tiktok_ads[[#This Row],[likes]]*RANDBETWEEN(8,12)/10,0)</f>
        <v>8098</v>
      </c>
      <c r="AS20" s="4">
        <f ca="1">ROUND(T_Tiktok_ads[[#This Row],[shares]]*RANDBETWEEN(8,12)/10,0)</f>
        <v>2441</v>
      </c>
      <c r="AT20" s="4">
        <f ca="1">ROUND(T_Tiktok_ads[[#This Row],[comments]]*RANDBETWEEN(8,12)/10,0)</f>
        <v>774</v>
      </c>
      <c r="AV20" s="5">
        <f t="shared" ca="1" si="3"/>
        <v>45242</v>
      </c>
      <c r="AW20">
        <f t="shared" ca="1" si="4"/>
        <v>8</v>
      </c>
      <c r="AX20">
        <f ca="1">ROUND(T_Facebook_Ads1159636771757983879195[[#This Row],[impressions]]*RANDBETWEEN(8,12)/10,0)</f>
        <v>39901</v>
      </c>
      <c r="AY20">
        <f ca="1">ROUND(T_Facebook_Ads1159636771757983879195[[#This Row],[clicks]]*RANDBETWEEN(8,12)/10,0)</f>
        <v>1174</v>
      </c>
      <c r="AZ20">
        <f ca="1">T_Facebook_Ads1159636771757983879195[[#This Row],[spend]]*RANDBETWEEN(8,12)/10</f>
        <v>145.9</v>
      </c>
      <c r="BA20">
        <f ca="1">ROUND(T_Facebook_Ads1159636771757983879195[[#This Row],[conversions]]*RANDBETWEEN(8,12)/10,0)</f>
        <v>19</v>
      </c>
      <c r="BB20">
        <f ca="1">ROUND(T_Facebook_Ads1159636771757983879195[[#This Row],[video_views]]*RANDBETWEEN(8,12)/10,0)</f>
        <v>8610</v>
      </c>
    </row>
    <row r="21" spans="1:54" ht="15.75" thickBot="1" x14ac:dyDescent="0.3">
      <c r="A21" s="3">
        <f t="shared" ca="1" si="0"/>
        <v>45251</v>
      </c>
      <c r="B21" s="4" t="s">
        <v>56</v>
      </c>
      <c r="C21" s="4" t="s">
        <v>57</v>
      </c>
      <c r="D21" s="4" t="s">
        <v>58</v>
      </c>
      <c r="E21" s="4" t="s">
        <v>59</v>
      </c>
      <c r="F21" s="4">
        <f ca="1">ROUND(T_Facebook_Ads[[#This Row],[impressions]]*RANDBETWEEN(8,12)/10,0)</f>
        <v>16147</v>
      </c>
      <c r="G21" s="4">
        <v>623</v>
      </c>
      <c r="H21" s="4">
        <f ca="1">T_Facebook_Ads[[#This Row],[spend]]*RANDBETWEEN(8,12)/10</f>
        <v>237.8</v>
      </c>
      <c r="I21" s="4">
        <f ca="1">ROUND(T_Facebook_Ads[[#This Row],[conversions]]*RANDBETWEEN(8,12)/10,0)</f>
        <v>40</v>
      </c>
      <c r="J21" s="4">
        <f ca="1">ROUND(T_Facebook_Ads[[#This Row],[video_views]]*RANDBETWEEN(8,12)/10,0)</f>
        <v>1165</v>
      </c>
      <c r="K21" s="4">
        <f ca="1">T_Facebook_Ads[[#This Row],[engagement_rate]]*RANDBETWEEN(8,12)/10</f>
        <v>5.5559999999999998E-2</v>
      </c>
      <c r="L21" s="4">
        <f ca="1">ROUND(T_Facebook_Ads[[#This Row],[reach]]*RANDBETWEEN(8,12)/10,0)</f>
        <v>8454</v>
      </c>
      <c r="M21" s="4">
        <f ca="1">T_Facebook_Ads[[#This Row],[frequency]]*RANDBETWEEN(8,12)/10</f>
        <v>1.016</v>
      </c>
      <c r="O21" s="3">
        <f t="shared" ca="1" si="1"/>
        <v>45239</v>
      </c>
      <c r="P21" s="4" t="s">
        <v>80</v>
      </c>
      <c r="Q21" s="4" t="s">
        <v>81</v>
      </c>
      <c r="R21" s="4" t="s">
        <v>82</v>
      </c>
      <c r="S21" s="4" t="s">
        <v>83</v>
      </c>
      <c r="T21" s="4">
        <f ca="1">ROUND(_Google_ads[[#This Row],[impressions]]*RANDBETWEEN(8,12)/10,0)</f>
        <v>35654</v>
      </c>
      <c r="U21" s="4">
        <f ca="1">ROUND(_Google_ads[[#This Row],[clicks]]*RANDBETWEEN(8,12)/10,0)</f>
        <v>702</v>
      </c>
      <c r="V21" s="4">
        <f ca="1">_Google_ads[[#This Row],[cost]]*RANDBETWEEN(8,12)/10</f>
        <v>680.6400000000001</v>
      </c>
      <c r="W21" s="4">
        <f ca="1">ROUND(_Google_ads[[#This Row],[conversions]]*RANDBETWEEN(8,12)/10,0)</f>
        <v>22</v>
      </c>
      <c r="X21" s="4">
        <f ca="1">ROUND(_Google_ads[[#This Row],[conversion_value]]*RANDBETWEEN(8,12)/10,0)</f>
        <v>1320</v>
      </c>
      <c r="Y21" s="4">
        <f ca="1">_Google_ads[[#This Row],[ctr]]*RANDBETWEEN(8,12)/10</f>
        <v>1.9699999999999999E-2</v>
      </c>
      <c r="Z21" s="4">
        <f ca="1">_Google_ads[[#This Row],[avg_cpc]]*RANDBETWEEN(8,12)/10</f>
        <v>0.71500000000000008</v>
      </c>
      <c r="AA21" s="4">
        <f ca="1">ROUND(_Google_ads[[#This Row],[quality_score]]*RANDBETWEEN(8,12)/10,0)</f>
        <v>5</v>
      </c>
      <c r="AB21" s="4">
        <f ca="1">_Google_ads[[#This Row],[search_impression_share]]*RANDBETWEEN(8,12)/10</f>
        <v>0.48399999999999999</v>
      </c>
      <c r="AD21" s="3">
        <f t="shared" ca="1" si="2"/>
        <v>45239</v>
      </c>
      <c r="AE21" s="4" t="s">
        <v>104</v>
      </c>
      <c r="AF21" s="4" t="s">
        <v>105</v>
      </c>
      <c r="AG21" s="4" t="s">
        <v>106</v>
      </c>
      <c r="AH21" s="4" t="s">
        <v>107</v>
      </c>
      <c r="AI21" s="4">
        <f ca="1">ROUND(T_Tiktok_ads[[#This Row],[impressions]]*RANDBETWEEN(8,12)/10,0)</f>
        <v>138901</v>
      </c>
      <c r="AJ21" s="4">
        <f ca="1">ROUND(T_Tiktok_ads[[#This Row],[clicks]]*RANDBETWEEN(8,12)/10,0)</f>
        <v>2410</v>
      </c>
      <c r="AK21" s="4">
        <v>734.5</v>
      </c>
      <c r="AL21" s="4">
        <f ca="1">ROUND(T_Tiktok_ads[[#This Row],[conversions]]*RANDBETWEEN(8,12)/10,0)</f>
        <v>80</v>
      </c>
      <c r="AM21" s="4">
        <f ca="1">ROUND(T_Tiktok_ads[[#This Row],[video_views]]*RANDBETWEEN(8,12)/10,0)</f>
        <v>117468</v>
      </c>
      <c r="AN21" s="4">
        <f ca="1">ROUND(T_Tiktok_ads[[#This Row],[video_watch_25]]*RANDBETWEEN(8,12)/10,0)</f>
        <v>79580</v>
      </c>
      <c r="AO21" s="4">
        <f ca="1">ROUND(T_Tiktok_ads[[#This Row],[video_watch_50]]*RANDBETWEEN(8,12)/10,0)</f>
        <v>53791</v>
      </c>
      <c r="AP21" s="4">
        <f ca="1">ROUND(T_Tiktok_ads[[#This Row],[video_watch_75]]*RANDBETWEEN(8,12)/10,0)</f>
        <v>29431</v>
      </c>
      <c r="AQ21" s="4">
        <f ca="1">ROUND(T_Tiktok_ads[[#This Row],[video_watch_100]]*RANDBETWEEN(8,12)/10,0)</f>
        <v>29868</v>
      </c>
      <c r="AR21" s="4">
        <f ca="1">ROUND(T_Tiktok_ads[[#This Row],[likes]]*RANDBETWEEN(8,12)/10,0)</f>
        <v>4411</v>
      </c>
      <c r="AS21" s="4">
        <f ca="1">ROUND(T_Tiktok_ads[[#This Row],[shares]]*RANDBETWEEN(8,12)/10,0)</f>
        <v>1220</v>
      </c>
      <c r="AT21" s="4">
        <f ca="1">ROUND(T_Tiktok_ads[[#This Row],[comments]]*RANDBETWEEN(8,12)/10,0)</f>
        <v>307</v>
      </c>
      <c r="AV21" s="5">
        <f t="shared" ca="1" si="3"/>
        <v>45245</v>
      </c>
      <c r="AW21">
        <f t="shared" ca="1" si="4"/>
        <v>6</v>
      </c>
      <c r="AX21">
        <f ca="1">ROUND(T_Facebook_Ads1159636771757983879195[[#This Row],[impressions]]*RANDBETWEEN(8,12)/10,0)</f>
        <v>17762</v>
      </c>
      <c r="AY21">
        <f ca="1">ROUND(T_Facebook_Ads1159636771757983879195[[#This Row],[clicks]]*RANDBETWEEN(8,12)/10,0)</f>
        <v>498</v>
      </c>
      <c r="AZ21">
        <f ca="1">T_Facebook_Ads1159636771757983879195[[#This Row],[spend]]*RANDBETWEEN(8,12)/10</f>
        <v>190.24</v>
      </c>
      <c r="BA21">
        <f ca="1">ROUND(T_Facebook_Ads1159636771757983879195[[#This Row],[conversions]]*RANDBETWEEN(8,12)/10,0)</f>
        <v>36</v>
      </c>
      <c r="BB21">
        <f ca="1">ROUND(T_Facebook_Ads1159636771757983879195[[#This Row],[video_views]]*RANDBETWEEN(8,12)/10,0)</f>
        <v>1165</v>
      </c>
    </row>
    <row r="22" spans="1:54" ht="15.75" thickBot="1" x14ac:dyDescent="0.3">
      <c r="A22" s="3">
        <f t="shared" ca="1" si="0"/>
        <v>45245</v>
      </c>
      <c r="B22" s="4" t="s">
        <v>60</v>
      </c>
      <c r="C22" s="4" t="s">
        <v>61</v>
      </c>
      <c r="D22" s="4" t="s">
        <v>62</v>
      </c>
      <c r="E22" s="4" t="s">
        <v>63</v>
      </c>
      <c r="F22" s="4">
        <f ca="1">ROUND(T_Facebook_Ads[[#This Row],[impressions]]*RANDBETWEEN(8,12)/10,0)</f>
        <v>37234</v>
      </c>
      <c r="G22" s="4">
        <v>1367</v>
      </c>
      <c r="H22" s="4">
        <f ca="1">T_Facebook_Ads[[#This Row],[spend]]*RANDBETWEEN(8,12)/10</f>
        <v>207.9</v>
      </c>
      <c r="I22" s="4">
        <f ca="1">ROUND(T_Facebook_Ads[[#This Row],[conversions]]*RANDBETWEEN(8,12)/10,0)</f>
        <v>27</v>
      </c>
      <c r="J22" s="4">
        <f ca="1">ROUND(T_Facebook_Ads[[#This Row],[video_views]]*RANDBETWEEN(8,12)/10,0)</f>
        <v>4010</v>
      </c>
      <c r="K22" s="4">
        <f ca="1">T_Facebook_Ads[[#This Row],[engagement_rate]]*RANDBETWEEN(8,12)/10</f>
        <v>4.0370000000000003E-2</v>
      </c>
      <c r="L22" s="4">
        <f ca="1">ROUND(T_Facebook_Ads[[#This Row],[reach]]*RANDBETWEEN(8,12)/10,0)</f>
        <v>36814</v>
      </c>
      <c r="M22" s="4">
        <f ca="1">T_Facebook_Ads[[#This Row],[frequency]]*RANDBETWEEN(8,12)/10</f>
        <v>1.452</v>
      </c>
      <c r="O22" s="3">
        <f t="shared" ca="1" si="1"/>
        <v>45242</v>
      </c>
      <c r="P22" s="4" t="s">
        <v>84</v>
      </c>
      <c r="Q22" s="4" t="s">
        <v>85</v>
      </c>
      <c r="R22" s="4" t="s">
        <v>86</v>
      </c>
      <c r="S22" s="4" t="s">
        <v>87</v>
      </c>
      <c r="T22" s="4">
        <f ca="1">ROUND(_Google_ads[[#This Row],[impressions]]*RANDBETWEEN(8,12)/10,0)</f>
        <v>63211</v>
      </c>
      <c r="U22" s="4">
        <f ca="1">ROUND(_Google_ads[[#This Row],[clicks]]*RANDBETWEEN(8,12)/10,0)</f>
        <v>1831</v>
      </c>
      <c r="V22" s="4">
        <f ca="1">_Google_ads[[#This Row],[cost]]*RANDBETWEEN(8,12)/10</f>
        <v>377.55</v>
      </c>
      <c r="W22" s="4">
        <f ca="1">ROUND(_Google_ads[[#This Row],[conversions]]*RANDBETWEEN(8,12)/10,0)</f>
        <v>73</v>
      </c>
      <c r="X22" s="4">
        <f ca="1">ROUND(_Google_ads[[#This Row],[conversion_value]]*RANDBETWEEN(8,12)/10,0)</f>
        <v>3960</v>
      </c>
      <c r="Y22" s="4">
        <f ca="1">_Google_ads[[#This Row],[ctr]]*RANDBETWEEN(8,12)/10</f>
        <v>3.9120000000000002E-2</v>
      </c>
      <c r="Z22" s="4">
        <f ca="1">_Google_ads[[#This Row],[avg_cpc]]*RANDBETWEEN(8,12)/10</f>
        <v>0.18</v>
      </c>
      <c r="AA22" s="4">
        <f ca="1">ROUND(_Google_ads[[#This Row],[quality_score]]*RANDBETWEEN(8,12)/10,0)</f>
        <v>6</v>
      </c>
      <c r="AB22" s="4">
        <f ca="1">_Google_ads[[#This Row],[search_impression_share]]*RANDBETWEEN(8,12)/10</f>
        <v>0.52800000000000002</v>
      </c>
      <c r="AD22" s="3">
        <f t="shared" ca="1" si="2"/>
        <v>45251</v>
      </c>
      <c r="AE22" s="4" t="s">
        <v>108</v>
      </c>
      <c r="AF22" s="4" t="s">
        <v>109</v>
      </c>
      <c r="AG22" s="4" t="s">
        <v>110</v>
      </c>
      <c r="AH22" s="4" t="s">
        <v>111</v>
      </c>
      <c r="AI22" s="4">
        <f ca="1">ROUND(T_Tiktok_ads[[#This Row],[impressions]]*RANDBETWEEN(8,12)/10,0)</f>
        <v>212345</v>
      </c>
      <c r="AJ22" s="4">
        <f ca="1">ROUND(T_Tiktok_ads[[#This Row],[clicks]]*RANDBETWEEN(8,12)/10,0)</f>
        <v>3345</v>
      </c>
      <c r="AK22" s="4">
        <v>401.1</v>
      </c>
      <c r="AL22" s="4">
        <f ca="1">ROUND(T_Tiktok_ads[[#This Row],[conversions]]*RANDBETWEEN(8,12)/10,0)</f>
        <v>28</v>
      </c>
      <c r="AM22" s="4">
        <f ca="1">ROUND(T_Tiktok_ads[[#This Row],[video_views]]*RANDBETWEEN(8,12)/10,0)</f>
        <v>151101</v>
      </c>
      <c r="AN22" s="4">
        <f ca="1">ROUND(T_Tiktok_ads[[#This Row],[video_watch_25]]*RANDBETWEEN(8,12)/10,0)</f>
        <v>141057</v>
      </c>
      <c r="AO22" s="4">
        <f ca="1">ROUND(T_Tiktok_ads[[#This Row],[video_watch_50]]*RANDBETWEEN(8,12)/10,0)</f>
        <v>101234</v>
      </c>
      <c r="AP22" s="4">
        <f ca="1">ROUND(T_Tiktok_ads[[#This Row],[video_watch_75]]*RANDBETWEEN(8,12)/10,0)</f>
        <v>65234</v>
      </c>
      <c r="AQ22" s="4">
        <f ca="1">ROUND(T_Tiktok_ads[[#This Row],[video_watch_100]]*RANDBETWEEN(8,12)/10,0)</f>
        <v>47347</v>
      </c>
      <c r="AR22" s="4">
        <f ca="1">ROUND(T_Tiktok_ads[[#This Row],[likes]]*RANDBETWEEN(8,12)/10,0)</f>
        <v>7789</v>
      </c>
      <c r="AS22" s="4">
        <f ca="1">ROUND(T_Tiktok_ads[[#This Row],[shares]]*RANDBETWEEN(8,12)/10,0)</f>
        <v>1716</v>
      </c>
      <c r="AT22" s="4">
        <f ca="1">ROUND(T_Tiktok_ads[[#This Row],[comments]]*RANDBETWEEN(8,12)/10,0)</f>
        <v>614</v>
      </c>
      <c r="AV22" s="5">
        <f t="shared" ca="1" si="3"/>
        <v>45259</v>
      </c>
      <c r="AW22">
        <f t="shared" ca="1" si="4"/>
        <v>6</v>
      </c>
      <c r="AX22">
        <f ca="1">ROUND(T_Facebook_Ads1159636771757983879195[[#This Row],[impressions]]*RANDBETWEEN(8,12)/10,0)</f>
        <v>40957</v>
      </c>
      <c r="AY22">
        <f ca="1">ROUND(T_Facebook_Ads1159636771757983879195[[#This Row],[clicks]]*RANDBETWEEN(8,12)/10,0)</f>
        <v>1367</v>
      </c>
      <c r="AZ22">
        <f ca="1">T_Facebook_Ads1159636771757983879195[[#This Row],[spend]]*RANDBETWEEN(8,12)/10</f>
        <v>228.69</v>
      </c>
      <c r="BA22">
        <f ca="1">ROUND(T_Facebook_Ads1159636771757983879195[[#This Row],[conversions]]*RANDBETWEEN(8,12)/10,0)</f>
        <v>32</v>
      </c>
      <c r="BB22">
        <f ca="1">ROUND(T_Facebook_Ads1159636771757983879195[[#This Row],[video_views]]*RANDBETWEEN(8,12)/10,0)</f>
        <v>3208</v>
      </c>
    </row>
    <row r="23" spans="1:54" ht="15.75" thickBot="1" x14ac:dyDescent="0.3">
      <c r="A23" s="3">
        <f t="shared" ca="1" si="0"/>
        <v>45251</v>
      </c>
      <c r="B23" s="4" t="s">
        <v>52</v>
      </c>
      <c r="C23" s="4" t="s">
        <v>53</v>
      </c>
      <c r="D23" s="4" t="s">
        <v>54</v>
      </c>
      <c r="E23" s="4" t="s">
        <v>55</v>
      </c>
      <c r="F23" s="4">
        <f ca="1">ROUND(T_Facebook_Ads[[#This Row],[impressions]]*RANDBETWEEN(8,12)/10,0)</f>
        <v>47234</v>
      </c>
      <c r="G23" s="4">
        <v>945</v>
      </c>
      <c r="H23" s="4">
        <f ca="1">T_Facebook_Ads[[#This Row],[spend]]*RANDBETWEEN(8,12)/10</f>
        <v>135.4</v>
      </c>
      <c r="I23" s="4">
        <f ca="1">ROUND(T_Facebook_Ads[[#This Row],[conversions]]*RANDBETWEEN(8,12)/10,0)</f>
        <v>17</v>
      </c>
      <c r="J23" s="4">
        <f ca="1">ROUND(T_Facebook_Ads[[#This Row],[video_views]]*RANDBETWEEN(8,12)/10,0)</f>
        <v>9668</v>
      </c>
      <c r="K23" s="4">
        <f ca="1">T_Facebook_Ads[[#This Row],[engagement_rate]]*RANDBETWEEN(8,12)/10</f>
        <v>2.1999999999999999E-2</v>
      </c>
      <c r="L23" s="4">
        <f ca="1">ROUND(T_Facebook_Ads[[#This Row],[reach]]*RANDBETWEEN(8,12)/10,0)</f>
        <v>43524</v>
      </c>
      <c r="M23" s="4">
        <f ca="1">T_Facebook_Ads[[#This Row],[frequency]]*RANDBETWEEN(8,12)/10</f>
        <v>1.3089999999999999</v>
      </c>
      <c r="O23" s="3">
        <f t="shared" ca="1" si="1"/>
        <v>45259</v>
      </c>
      <c r="P23" s="4" t="s">
        <v>76</v>
      </c>
      <c r="Q23" s="4" t="s">
        <v>77</v>
      </c>
      <c r="R23" s="4" t="s">
        <v>78</v>
      </c>
      <c r="S23" s="4" t="s">
        <v>79</v>
      </c>
      <c r="T23" s="4">
        <f ca="1">ROUND(_Google_ads[[#This Row],[impressions]]*RANDBETWEEN(8,12)/10,0)</f>
        <v>27080</v>
      </c>
      <c r="U23" s="4">
        <f ca="1">ROUND(_Google_ads[[#This Row],[clicks]]*RANDBETWEEN(8,12)/10,0)</f>
        <v>1361</v>
      </c>
      <c r="V23" s="4">
        <f ca="1">_Google_ads[[#This Row],[cost]]*RANDBETWEEN(8,12)/10</f>
        <v>216.8</v>
      </c>
      <c r="W23" s="4">
        <f ca="1">ROUND(_Google_ads[[#This Row],[conversions]]*RANDBETWEEN(8,12)/10,0)</f>
        <v>47</v>
      </c>
      <c r="X23" s="4">
        <f ca="1">ROUND(_Google_ads[[#This Row],[conversion_value]]*RANDBETWEEN(8,12)/10,0)</f>
        <v>1935</v>
      </c>
      <c r="Y23" s="4">
        <f ca="1">_Google_ads[[#This Row],[ctr]]*RANDBETWEEN(8,12)/10</f>
        <v>5.0299999999999997E-2</v>
      </c>
      <c r="Z23" s="4">
        <f ca="1">_Google_ads[[#This Row],[avg_cpc]]*RANDBETWEEN(8,12)/10</f>
        <v>0.20899999999999999</v>
      </c>
      <c r="AA23" s="4">
        <f ca="1">ROUND(_Google_ads[[#This Row],[quality_score]]*RANDBETWEEN(8,12)/10,0)</f>
        <v>7</v>
      </c>
      <c r="AB23" s="4">
        <f ca="1">_Google_ads[[#This Row],[search_impression_share]]*RANDBETWEEN(8,12)/10</f>
        <v>0.90999999999999992</v>
      </c>
      <c r="AD23" s="3">
        <f t="shared" ca="1" si="2"/>
        <v>45253</v>
      </c>
      <c r="AE23" s="4" t="s">
        <v>100</v>
      </c>
      <c r="AF23" s="4" t="s">
        <v>101</v>
      </c>
      <c r="AG23" s="4" t="s">
        <v>102</v>
      </c>
      <c r="AH23" s="4" t="s">
        <v>103</v>
      </c>
      <c r="AI23" s="4">
        <f ca="1">ROUND(T_Tiktok_ads[[#This Row],[impressions]]*RANDBETWEEN(8,12)/10,0)</f>
        <v>196187</v>
      </c>
      <c r="AJ23" s="4">
        <f ca="1">ROUND(T_Tiktok_ads[[#This Row],[clicks]]*RANDBETWEEN(8,12)/10,0)</f>
        <v>3578</v>
      </c>
      <c r="AK23" s="4">
        <v>474.3</v>
      </c>
      <c r="AL23" s="4">
        <f ca="1">ROUND(T_Tiktok_ads[[#This Row],[conversions]]*RANDBETWEEN(8,12)/10,0)</f>
        <v>37</v>
      </c>
      <c r="AM23" s="4">
        <f ca="1">ROUND(T_Tiktok_ads[[#This Row],[video_views]]*RANDBETWEEN(8,12)/10,0)</f>
        <v>244147</v>
      </c>
      <c r="AN23" s="4">
        <f ca="1">ROUND(T_Tiktok_ads[[#This Row],[video_watch_25]]*RANDBETWEEN(8,12)/10,0)</f>
        <v>158901</v>
      </c>
      <c r="AO23" s="4">
        <f ca="1">ROUND(T_Tiktok_ads[[#This Row],[video_watch_50]]*RANDBETWEEN(8,12)/10,0)</f>
        <v>79654</v>
      </c>
      <c r="AP23" s="4">
        <f ca="1">ROUND(T_Tiktok_ads[[#This Row],[video_watch_75]]*RANDBETWEEN(8,12)/10,0)</f>
        <v>54587</v>
      </c>
      <c r="AQ23" s="4">
        <f ca="1">ROUND(T_Tiktok_ads[[#This Row],[video_watch_100]]*RANDBETWEEN(8,12)/10,0)</f>
        <v>45789</v>
      </c>
      <c r="AR23" s="4">
        <f ca="1">ROUND(T_Tiktok_ads[[#This Row],[likes]]*RANDBETWEEN(8,12)/10,0)</f>
        <v>7182</v>
      </c>
      <c r="AS23" s="4">
        <f ca="1">ROUND(T_Tiktok_ads[[#This Row],[shares]]*RANDBETWEEN(8,12)/10,0)</f>
        <v>2389</v>
      </c>
      <c r="AT23" s="4">
        <f ca="1">ROUND(T_Tiktok_ads[[#This Row],[comments]]*RANDBETWEEN(8,12)/10,0)</f>
        <v>472</v>
      </c>
      <c r="AV23" s="5">
        <f t="shared" ca="1" si="3"/>
        <v>45242</v>
      </c>
      <c r="AW23">
        <f t="shared" ca="1" si="4"/>
        <v>1</v>
      </c>
      <c r="AX23">
        <f ca="1">ROUND(T_Facebook_Ads1159636771757983879195[[#This Row],[impressions]]*RANDBETWEEN(8,12)/10,0)</f>
        <v>51957</v>
      </c>
      <c r="AY23">
        <f ca="1">ROUND(T_Facebook_Ads1159636771757983879195[[#This Row],[clicks]]*RANDBETWEEN(8,12)/10,0)</f>
        <v>1134</v>
      </c>
      <c r="AZ23">
        <f ca="1">T_Facebook_Ads1159636771757983879195[[#This Row],[spend]]*RANDBETWEEN(8,12)/10</f>
        <v>135.4</v>
      </c>
      <c r="BA23">
        <f ca="1">ROUND(T_Facebook_Ads1159636771757983879195[[#This Row],[conversions]]*RANDBETWEEN(8,12)/10,0)</f>
        <v>19</v>
      </c>
      <c r="BB23">
        <f ca="1">ROUND(T_Facebook_Ads1159636771757983879195[[#This Row],[video_views]]*RANDBETWEEN(8,12)/10,0)</f>
        <v>7734</v>
      </c>
    </row>
    <row r="24" spans="1:54" ht="15.75" thickBot="1" x14ac:dyDescent="0.3">
      <c r="A24" s="3">
        <f t="shared" ca="1" si="0"/>
        <v>45235</v>
      </c>
      <c r="B24" s="4" t="s">
        <v>56</v>
      </c>
      <c r="C24" s="4" t="s">
        <v>57</v>
      </c>
      <c r="D24" s="4" t="s">
        <v>58</v>
      </c>
      <c r="E24" s="4" t="s">
        <v>59</v>
      </c>
      <c r="F24" s="4">
        <f ca="1">ROUND(T_Facebook_Ads[[#This Row],[impressions]]*RANDBETWEEN(8,12)/10,0)</f>
        <v>9698</v>
      </c>
      <c r="G24" s="4">
        <v>534</v>
      </c>
      <c r="H24" s="4">
        <f ca="1">T_Facebook_Ads[[#This Row],[spend]]*RANDBETWEEN(8,12)/10</f>
        <v>191.16000000000003</v>
      </c>
      <c r="I24" s="4">
        <f ca="1">ROUND(T_Facebook_Ads[[#This Row],[conversions]]*RANDBETWEEN(8,12)/10,0)</f>
        <v>35</v>
      </c>
      <c r="J24" s="4">
        <f ca="1">ROUND(T_Facebook_Ads[[#This Row],[video_views]]*RANDBETWEEN(8,12)/10,0)</f>
        <v>1357</v>
      </c>
      <c r="K24" s="4">
        <f ca="1">T_Facebook_Ads[[#This Row],[engagement_rate]]*RANDBETWEEN(8,12)/10</f>
        <v>3.5279999999999999E-2</v>
      </c>
      <c r="L24" s="4">
        <f ca="1">ROUND(T_Facebook_Ads[[#This Row],[reach]]*RANDBETWEEN(8,12)/10,0)</f>
        <v>11480</v>
      </c>
      <c r="M24" s="4">
        <f ca="1">T_Facebook_Ads[[#This Row],[frequency]]*RANDBETWEEN(8,12)/10</f>
        <v>1.524</v>
      </c>
      <c r="O24" s="3">
        <f t="shared" ca="1" si="1"/>
        <v>45231</v>
      </c>
      <c r="P24" s="4" t="s">
        <v>80</v>
      </c>
      <c r="Q24" s="4" t="s">
        <v>81</v>
      </c>
      <c r="R24" s="4" t="s">
        <v>82</v>
      </c>
      <c r="S24" s="4" t="s">
        <v>83</v>
      </c>
      <c r="T24" s="4">
        <f ca="1">ROUND(_Google_ads[[#This Row],[impressions]]*RANDBETWEEN(8,12)/10,0)</f>
        <v>38587</v>
      </c>
      <c r="U24" s="4">
        <f ca="1">ROUND(_Google_ads[[#This Row],[clicks]]*RANDBETWEEN(8,12)/10,0)</f>
        <v>1088</v>
      </c>
      <c r="V24" s="4">
        <f ca="1">_Google_ads[[#This Row],[cost]]*RANDBETWEEN(8,12)/10</f>
        <v>507.76000000000005</v>
      </c>
      <c r="W24" s="4">
        <f ca="1">ROUND(_Google_ads[[#This Row],[conversions]]*RANDBETWEEN(8,12)/10,0)</f>
        <v>26</v>
      </c>
      <c r="X24" s="4">
        <f ca="1">ROUND(_Google_ads[[#This Row],[conversion_value]]*RANDBETWEEN(8,12)/10,0)</f>
        <v>1170</v>
      </c>
      <c r="Y24" s="4">
        <f ca="1">_Google_ads[[#This Row],[ctr]]*RANDBETWEEN(8,12)/10</f>
        <v>1.8450000000000001E-2</v>
      </c>
      <c r="Z24" s="4">
        <f ca="1">_Google_ads[[#This Row],[avg_cpc]]*RANDBETWEEN(8,12)/10</f>
        <v>0.51200000000000001</v>
      </c>
      <c r="AA24" s="4">
        <f ca="1">ROUND(_Google_ads[[#This Row],[quality_score]]*RANDBETWEEN(8,12)/10,0)</f>
        <v>8</v>
      </c>
      <c r="AB24" s="4">
        <f ca="1">_Google_ads[[#This Row],[search_impression_share]]*RANDBETWEEN(8,12)/10</f>
        <v>0.50600000000000001</v>
      </c>
      <c r="AD24" s="3">
        <f t="shared" ca="1" si="2"/>
        <v>45251</v>
      </c>
      <c r="AE24" s="4" t="s">
        <v>104</v>
      </c>
      <c r="AF24" s="4" t="s">
        <v>105</v>
      </c>
      <c r="AG24" s="4" t="s">
        <v>106</v>
      </c>
      <c r="AH24" s="4" t="s">
        <v>107</v>
      </c>
      <c r="AI24" s="4">
        <f ca="1">ROUND(T_Tiktok_ads[[#This Row],[impressions]]*RANDBETWEEN(8,12)/10,0)</f>
        <v>131157</v>
      </c>
      <c r="AJ24" s="4">
        <f ca="1">ROUND(T_Tiktok_ads[[#This Row],[clicks]]*RANDBETWEEN(8,12)/10,0)</f>
        <v>2457</v>
      </c>
      <c r="AK24" s="4">
        <v>645.6</v>
      </c>
      <c r="AL24" s="4">
        <f ca="1">ROUND(T_Tiktok_ads[[#This Row],[conversions]]*RANDBETWEEN(8,12)/10,0)</f>
        <v>64</v>
      </c>
      <c r="AM24" s="4">
        <f ca="1">ROUND(T_Tiktok_ads[[#This Row],[video_views]]*RANDBETWEEN(8,12)/10,0)</f>
        <v>102814</v>
      </c>
      <c r="AN24" s="4">
        <f ca="1">ROUND(T_Tiktok_ads[[#This Row],[video_watch_25]]*RANDBETWEEN(8,12)/10,0)</f>
        <v>57110</v>
      </c>
      <c r="AO24" s="4">
        <f ca="1">ROUND(T_Tiktok_ads[[#This Row],[video_watch_50]]*RANDBETWEEN(8,12)/10,0)</f>
        <v>46580</v>
      </c>
      <c r="AP24" s="4">
        <f ca="1">ROUND(T_Tiktok_ads[[#This Row],[video_watch_75]]*RANDBETWEEN(8,12)/10,0)</f>
        <v>32234</v>
      </c>
      <c r="AQ24" s="4">
        <f ca="1">ROUND(T_Tiktok_ads[[#This Row],[video_watch_100]]*RANDBETWEEN(8,12)/10,0)</f>
        <v>26681</v>
      </c>
      <c r="AR24" s="4">
        <f ca="1">ROUND(T_Tiktok_ads[[#This Row],[likes]]*RANDBETWEEN(8,12)/10,0)</f>
        <v>3911</v>
      </c>
      <c r="AS24" s="4">
        <f ca="1">ROUND(T_Tiktok_ads[[#This Row],[shares]]*RANDBETWEEN(8,12)/10,0)</f>
        <v>1189</v>
      </c>
      <c r="AT24" s="4">
        <f ca="1">ROUND(T_Tiktok_ads[[#This Row],[comments]]*RANDBETWEEN(8,12)/10,0)</f>
        <v>268</v>
      </c>
      <c r="AV24" s="5">
        <f t="shared" ca="1" si="3"/>
        <v>45235</v>
      </c>
      <c r="AW24">
        <f t="shared" ca="1" si="4"/>
        <v>1</v>
      </c>
      <c r="AX24">
        <f ca="1">ROUND(T_Facebook_Ads1159636771757983879195[[#This Row],[impressions]]*RANDBETWEEN(8,12)/10,0)</f>
        <v>10668</v>
      </c>
      <c r="AY24">
        <f ca="1">ROUND(T_Facebook_Ads1159636771757983879195[[#This Row],[clicks]]*RANDBETWEEN(8,12)/10,0)</f>
        <v>587</v>
      </c>
      <c r="AZ24">
        <f ca="1">T_Facebook_Ads1159636771757983879195[[#This Row],[spend]]*RANDBETWEEN(8,12)/10</f>
        <v>172.04400000000004</v>
      </c>
      <c r="BA24">
        <f ca="1">ROUND(T_Facebook_Ads1159636771757983879195[[#This Row],[conversions]]*RANDBETWEEN(8,12)/10,0)</f>
        <v>39</v>
      </c>
      <c r="BB24">
        <f ca="1">ROUND(T_Facebook_Ads1159636771757983879195[[#This Row],[video_views]]*RANDBETWEEN(8,12)/10,0)</f>
        <v>1086</v>
      </c>
    </row>
    <row r="25" spans="1:54" ht="15.75" thickBot="1" x14ac:dyDescent="0.3">
      <c r="A25" s="3">
        <f t="shared" ca="1" si="0"/>
        <v>45234</v>
      </c>
      <c r="B25" s="4" t="s">
        <v>64</v>
      </c>
      <c r="C25" s="4" t="s">
        <v>65</v>
      </c>
      <c r="D25" s="4" t="s">
        <v>66</v>
      </c>
      <c r="E25" s="4" t="s">
        <v>67</v>
      </c>
      <c r="F25" s="4">
        <f ca="1">ROUND(T_Facebook_Ads[[#This Row],[impressions]]*RANDBETWEEN(8,12)/10,0)</f>
        <v>58765</v>
      </c>
      <c r="G25" s="4">
        <v>267</v>
      </c>
      <c r="H25" s="4">
        <f ca="1">T_Facebook_Ads[[#This Row],[spend]]*RANDBETWEEN(8,12)/10</f>
        <v>78.64</v>
      </c>
      <c r="I25" s="4">
        <f ca="1">ROUND(T_Facebook_Ads[[#This Row],[conversions]]*RANDBETWEEN(8,12)/10,0)</f>
        <v>6</v>
      </c>
      <c r="J25" s="4">
        <f ca="1">ROUND(T_Facebook_Ads[[#This Row],[video_views]]*RANDBETWEEN(8,12)/10,0)</f>
        <v>55135</v>
      </c>
      <c r="K25" s="4">
        <f ca="1">T_Facebook_Ads[[#This Row],[engagement_rate]]*RANDBETWEEN(8,12)/10</f>
        <v>2.8799999999999997E-3</v>
      </c>
      <c r="L25" s="4">
        <f ca="1">ROUND(T_Facebook_Ads[[#This Row],[reach]]*RANDBETWEEN(8,12)/10,0)</f>
        <v>60234</v>
      </c>
      <c r="M25" s="4">
        <f ca="1">T_Facebook_Ads[[#This Row],[frequency]]*RANDBETWEEN(8,12)/10</f>
        <v>1.3420000000000001</v>
      </c>
      <c r="O25" s="3">
        <f t="shared" ca="1" si="1"/>
        <v>45237</v>
      </c>
      <c r="P25" s="4" t="s">
        <v>88</v>
      </c>
      <c r="Q25" s="4" t="s">
        <v>89</v>
      </c>
      <c r="R25" s="4" t="s">
        <v>90</v>
      </c>
      <c r="S25" s="4" t="s">
        <v>59</v>
      </c>
      <c r="T25" s="4">
        <f ca="1">ROUND(_Google_ads[[#This Row],[impressions]]*RANDBETWEEN(8,12)/10,0)</f>
        <v>113110</v>
      </c>
      <c r="U25" s="4">
        <f ca="1">ROUND(_Google_ads[[#This Row],[clicks]]*RANDBETWEEN(8,12)/10,0)</f>
        <v>490</v>
      </c>
      <c r="V25" s="4">
        <f ca="1">_Google_ads[[#This Row],[cost]]*RANDBETWEEN(8,12)/10</f>
        <v>133.43</v>
      </c>
      <c r="W25" s="4">
        <f ca="1">ROUND(_Google_ads[[#This Row],[conversions]]*RANDBETWEEN(8,12)/10,0)</f>
        <v>10</v>
      </c>
      <c r="X25" s="4">
        <f ca="1">ROUND(_Google_ads[[#This Row],[conversion_value]]*RANDBETWEEN(8,12)/10,0)</f>
        <v>605</v>
      </c>
      <c r="Y25" s="4">
        <f ca="1">_Google_ads[[#This Row],[ctr]]*RANDBETWEEN(8,12)/10</f>
        <v>3.15E-3</v>
      </c>
      <c r="Z25" s="4">
        <f ca="1">_Google_ads[[#This Row],[avg_cpc]]*RANDBETWEEN(8,12)/10</f>
        <v>0.27</v>
      </c>
      <c r="AA25" s="4">
        <f ca="1">ROUND(_Google_ads[[#This Row],[quality_score]]*RANDBETWEEN(8,12)/10,0)</f>
        <v>8</v>
      </c>
      <c r="AB25" s="4">
        <f ca="1">_Google_ads[[#This Row],[search_impression_share]]*RANDBETWEEN(8,12)/10</f>
        <v>0.34</v>
      </c>
      <c r="AD25" s="3">
        <f t="shared" ca="1" si="2"/>
        <v>45254</v>
      </c>
      <c r="AE25" s="4" t="s">
        <v>112</v>
      </c>
      <c r="AF25" s="4" t="s">
        <v>113</v>
      </c>
      <c r="AG25" s="4" t="s">
        <v>114</v>
      </c>
      <c r="AH25" s="4" t="s">
        <v>115</v>
      </c>
      <c r="AI25" s="4">
        <f ca="1">ROUND(T_Tiktok_ads[[#This Row],[impressions]]*RANDBETWEEN(8,12)/10,0)</f>
        <v>350111</v>
      </c>
      <c r="AJ25" s="4">
        <f ca="1">ROUND(T_Tiktok_ads[[#This Row],[clicks]]*RANDBETWEEN(8,12)/10,0)</f>
        <v>6234</v>
      </c>
      <c r="AK25" s="4">
        <v>967.8</v>
      </c>
      <c r="AL25" s="4">
        <f ca="1">ROUND(T_Tiktok_ads[[#This Row],[conversions]]*RANDBETWEEN(8,12)/10,0)</f>
        <v>78</v>
      </c>
      <c r="AM25" s="4">
        <f ca="1">ROUND(T_Tiktok_ads[[#This Row],[video_views]]*RANDBETWEEN(8,12)/10,0)</f>
        <v>289111</v>
      </c>
      <c r="AN25" s="4">
        <f ca="1">ROUND(T_Tiktok_ads[[#This Row],[video_watch_25]]*RANDBETWEEN(8,12)/10,0)</f>
        <v>284791</v>
      </c>
      <c r="AO25" s="4">
        <f ca="1">ROUND(T_Tiktok_ads[[#This Row],[video_watch_50]]*RANDBETWEEN(8,12)/10,0)</f>
        <v>166312</v>
      </c>
      <c r="AP25" s="4">
        <f ca="1">ROUND(T_Tiktok_ads[[#This Row],[video_watch_75]]*RANDBETWEEN(8,12)/10,0)</f>
        <v>132511</v>
      </c>
      <c r="AQ25" s="4">
        <f ca="1">ROUND(T_Tiktok_ads[[#This Row],[video_watch_100]]*RANDBETWEEN(8,12)/10,0)</f>
        <v>97456</v>
      </c>
      <c r="AR25" s="4">
        <f ca="1">ROUND(T_Tiktok_ads[[#This Row],[likes]]*RANDBETWEEN(8,12)/10,0)</f>
        <v>16901</v>
      </c>
      <c r="AS25" s="4">
        <f ca="1">ROUND(T_Tiktok_ads[[#This Row],[shares]]*RANDBETWEEN(8,12)/10,0)</f>
        <v>4421</v>
      </c>
      <c r="AT25" s="4">
        <f ca="1">ROUND(T_Tiktok_ads[[#This Row],[comments]]*RANDBETWEEN(8,12)/10,0)</f>
        <v>1076</v>
      </c>
      <c r="AV25" s="5">
        <f t="shared" ca="1" si="3"/>
        <v>45232</v>
      </c>
      <c r="AW25">
        <f t="shared" ca="1" si="4"/>
        <v>3</v>
      </c>
      <c r="AX25">
        <f ca="1">ROUND(T_Facebook_Ads1159636771757983879195[[#This Row],[impressions]]*RANDBETWEEN(8,12)/10,0)</f>
        <v>47012</v>
      </c>
      <c r="AY25">
        <f ca="1">ROUND(T_Facebook_Ads1159636771757983879195[[#This Row],[clicks]]*RANDBETWEEN(8,12)/10,0)</f>
        <v>294</v>
      </c>
      <c r="AZ25">
        <f ca="1">T_Facebook_Ads1159636771757983879195[[#This Row],[spend]]*RANDBETWEEN(8,12)/10</f>
        <v>62.911999999999999</v>
      </c>
      <c r="BA25">
        <f ca="1">ROUND(T_Facebook_Ads1159636771757983879195[[#This Row],[conversions]]*RANDBETWEEN(8,12)/10,0)</f>
        <v>7</v>
      </c>
      <c r="BB25">
        <f ca="1">ROUND(T_Facebook_Ads1159636771757983879195[[#This Row],[video_views]]*RANDBETWEEN(8,12)/10,0)</f>
        <v>44108</v>
      </c>
    </row>
    <row r="26" spans="1:54" ht="15.75" thickBot="1" x14ac:dyDescent="0.3">
      <c r="A26" s="3">
        <f t="shared" ca="1" si="0"/>
        <v>45247</v>
      </c>
      <c r="B26" s="4" t="s">
        <v>52</v>
      </c>
      <c r="C26" s="4" t="s">
        <v>53</v>
      </c>
      <c r="D26" s="4" t="s">
        <v>54</v>
      </c>
      <c r="E26" s="4" t="s">
        <v>55</v>
      </c>
      <c r="F26" s="4">
        <f ca="1">ROUND(T_Facebook_Ads[[#This Row],[impressions]]*RANDBETWEEN(8,12)/10,0)</f>
        <v>50123</v>
      </c>
      <c r="G26" s="4">
        <v>1012</v>
      </c>
      <c r="H26" s="4">
        <f ca="1">T_Facebook_Ads[[#This Row],[spend]]*RANDBETWEEN(8,12)/10</f>
        <v>170.04</v>
      </c>
      <c r="I26" s="4">
        <f ca="1">ROUND(T_Facebook_Ads[[#This Row],[conversions]]*RANDBETWEEN(8,12)/10,0)</f>
        <v>18</v>
      </c>
      <c r="J26" s="4">
        <f ca="1">ROUND(T_Facebook_Ads[[#This Row],[video_views]]*RANDBETWEEN(8,12)/10,0)</f>
        <v>9345</v>
      </c>
      <c r="K26" s="4">
        <f ca="1">T_Facebook_Ads[[#This Row],[engagement_rate]]*RANDBETWEEN(8,12)/10</f>
        <v>2.2219999999999997E-2</v>
      </c>
      <c r="L26" s="4">
        <f ca="1">ROUND(T_Facebook_Ads[[#This Row],[reach]]*RANDBETWEEN(8,12)/10,0)</f>
        <v>33512</v>
      </c>
      <c r="M26" s="4">
        <f ca="1">T_Facebook_Ads[[#This Row],[frequency]]*RANDBETWEEN(8,12)/10</f>
        <v>1.44</v>
      </c>
      <c r="O26" s="3">
        <f t="shared" ca="1" si="1"/>
        <v>45239</v>
      </c>
      <c r="P26" s="4" t="s">
        <v>76</v>
      </c>
      <c r="Q26" s="4" t="s">
        <v>77</v>
      </c>
      <c r="R26" s="4" t="s">
        <v>78</v>
      </c>
      <c r="S26" s="4" t="s">
        <v>79</v>
      </c>
      <c r="T26" s="4">
        <f ca="1">ROUND(_Google_ads[[#This Row],[impressions]]*RANDBETWEEN(8,12)/10,0)</f>
        <v>22711</v>
      </c>
      <c r="U26" s="4">
        <f ca="1">ROUND(_Google_ads[[#This Row],[clicks]]*RANDBETWEEN(8,12)/10,0)</f>
        <v>1312</v>
      </c>
      <c r="V26" s="4">
        <f ca="1">_Google_ads[[#This Row],[cost]]*RANDBETWEEN(8,12)/10</f>
        <v>225.27000000000004</v>
      </c>
      <c r="W26" s="4">
        <f ca="1">ROUND(_Google_ads[[#This Row],[conversions]]*RANDBETWEEN(8,12)/10,0)</f>
        <v>54</v>
      </c>
      <c r="X26" s="4">
        <f ca="1">ROUND(_Google_ads[[#This Row],[conversion_value]]*RANDBETWEEN(8,12)/10,0)</f>
        <v>1960</v>
      </c>
      <c r="Y26" s="4">
        <f ca="1">_Google_ads[[#This Row],[ctr]]*RANDBETWEEN(8,12)/10</f>
        <v>5.2000000000000005E-2</v>
      </c>
      <c r="Z26" s="4">
        <f ca="1">_Google_ads[[#This Row],[avg_cpc]]*RANDBETWEEN(8,12)/10</f>
        <v>0.152</v>
      </c>
      <c r="AA26" s="4">
        <f ca="1">ROUND(_Google_ads[[#This Row],[quality_score]]*RANDBETWEEN(8,12)/10,0)</f>
        <v>11</v>
      </c>
      <c r="AB26" s="4">
        <f ca="1">_Google_ads[[#This Row],[search_impression_share]]*RANDBETWEEN(8,12)/10</f>
        <v>0.82800000000000007</v>
      </c>
      <c r="AD26" s="3">
        <f t="shared" ca="1" si="2"/>
        <v>45245</v>
      </c>
      <c r="AE26" s="4" t="s">
        <v>100</v>
      </c>
      <c r="AF26" s="4" t="s">
        <v>101</v>
      </c>
      <c r="AG26" s="4" t="s">
        <v>102</v>
      </c>
      <c r="AH26" s="4" t="s">
        <v>103</v>
      </c>
      <c r="AI26" s="4">
        <f ca="1">ROUND(T_Tiktok_ads[[#This Row],[impressions]]*RANDBETWEEN(8,12)/10,0)</f>
        <v>317913</v>
      </c>
      <c r="AJ26" s="4">
        <f ca="1">ROUND(T_Tiktok_ads[[#This Row],[clicks]]*RANDBETWEEN(8,12)/10,0)</f>
        <v>3811</v>
      </c>
      <c r="AK26" s="4">
        <v>556.70000000000005</v>
      </c>
      <c r="AL26" s="4">
        <f ca="1">ROUND(T_Tiktok_ads[[#This Row],[conversions]]*RANDBETWEEN(8,12)/10,0)</f>
        <v>43</v>
      </c>
      <c r="AM26" s="4">
        <f ca="1">ROUND(T_Tiktok_ads[[#This Row],[video_views]]*RANDBETWEEN(8,12)/10,0)</f>
        <v>234567</v>
      </c>
      <c r="AN26" s="4">
        <f ca="1">ROUND(T_Tiktok_ads[[#This Row],[video_watch_25]]*RANDBETWEEN(8,12)/10,0)</f>
        <v>164111</v>
      </c>
      <c r="AO26" s="4">
        <f ca="1">ROUND(T_Tiktok_ads[[#This Row],[video_watch_50]]*RANDBETWEEN(8,12)/10,0)</f>
        <v>91654</v>
      </c>
      <c r="AP26" s="4">
        <f ca="1">ROUND(T_Tiktok_ads[[#This Row],[video_watch_75]]*RANDBETWEEN(8,12)/10,0)</f>
        <v>92681</v>
      </c>
      <c r="AQ26" s="4">
        <f ca="1">ROUND(T_Tiktok_ads[[#This Row],[video_watch_100]]*RANDBETWEEN(8,12)/10,0)</f>
        <v>51234</v>
      </c>
      <c r="AR26" s="4">
        <f ca="1">ROUND(T_Tiktok_ads[[#This Row],[likes]]*RANDBETWEEN(8,12)/10,0)</f>
        <v>11380</v>
      </c>
      <c r="AS26" s="4">
        <f ca="1">ROUND(T_Tiktok_ads[[#This Row],[shares]]*RANDBETWEEN(8,12)/10,0)</f>
        <v>2510</v>
      </c>
      <c r="AT26" s="4">
        <f ca="1">ROUND(T_Tiktok_ads[[#This Row],[comments]]*RANDBETWEEN(8,12)/10,0)</f>
        <v>656</v>
      </c>
      <c r="AV26" s="5">
        <f t="shared" ca="1" si="3"/>
        <v>45234</v>
      </c>
      <c r="AW26">
        <f t="shared" ca="1" si="4"/>
        <v>4</v>
      </c>
      <c r="AX26">
        <f ca="1">ROUND(T_Facebook_Ads1159636771757983879195[[#This Row],[impressions]]*RANDBETWEEN(8,12)/10,0)</f>
        <v>55135</v>
      </c>
      <c r="AY26">
        <f ca="1">ROUND(T_Facebook_Ads1159636771757983879195[[#This Row],[clicks]]*RANDBETWEEN(8,12)/10,0)</f>
        <v>911</v>
      </c>
      <c r="AZ26">
        <f ca="1">T_Facebook_Ads1159636771757983879195[[#This Row],[spend]]*RANDBETWEEN(8,12)/10</f>
        <v>187.04399999999998</v>
      </c>
      <c r="BA26">
        <f ca="1">ROUND(T_Facebook_Ads1159636771757983879195[[#This Row],[conversions]]*RANDBETWEEN(8,12)/10,0)</f>
        <v>20</v>
      </c>
      <c r="BB26">
        <f ca="1">ROUND(T_Facebook_Ads1159636771757983879195[[#This Row],[video_views]]*RANDBETWEEN(8,12)/10,0)</f>
        <v>9345</v>
      </c>
    </row>
    <row r="27" spans="1:54" ht="15.75" thickBot="1" x14ac:dyDescent="0.3">
      <c r="A27" s="3">
        <f t="shared" ca="1" si="0"/>
        <v>45244</v>
      </c>
      <c r="B27" s="4" t="s">
        <v>60</v>
      </c>
      <c r="C27" s="4" t="s">
        <v>61</v>
      </c>
      <c r="D27" s="4" t="s">
        <v>62</v>
      </c>
      <c r="E27" s="4" t="s">
        <v>63</v>
      </c>
      <c r="F27" s="4">
        <f ca="1">ROUND(T_Facebook_Ads[[#This Row],[impressions]]*RANDBETWEEN(8,12)/10,0)</f>
        <v>43747</v>
      </c>
      <c r="G27" s="4">
        <v>1312</v>
      </c>
      <c r="H27" s="4">
        <f ca="1">T_Facebook_Ads[[#This Row],[spend]]*RANDBETWEEN(8,12)/10</f>
        <v>199.8</v>
      </c>
      <c r="I27" s="4">
        <f ca="1">ROUND(T_Facebook_Ads[[#This Row],[conversions]]*RANDBETWEEN(8,12)/10,0)</f>
        <v>29</v>
      </c>
      <c r="J27" s="4">
        <f ca="1">ROUND(T_Facebook_Ads[[#This Row],[video_views]]*RANDBETWEEN(8,12)/10,0)</f>
        <v>5788</v>
      </c>
      <c r="K27" s="4">
        <f ca="1">T_Facebook_Ads[[#This Row],[engagement_rate]]*RANDBETWEEN(8,12)/10</f>
        <v>2.8799999999999999E-2</v>
      </c>
      <c r="L27" s="4">
        <f ca="1">ROUND(T_Facebook_Ads[[#This Row],[reach]]*RANDBETWEEN(8,12)/10,0)</f>
        <v>30234</v>
      </c>
      <c r="M27" s="4">
        <f ca="1">T_Facebook_Ads[[#This Row],[frequency]]*RANDBETWEEN(8,12)/10</f>
        <v>1.452</v>
      </c>
      <c r="O27" s="3">
        <f t="shared" ca="1" si="1"/>
        <v>45239</v>
      </c>
      <c r="P27" s="4" t="s">
        <v>84</v>
      </c>
      <c r="Q27" s="4" t="s">
        <v>85</v>
      </c>
      <c r="R27" s="4" t="s">
        <v>86</v>
      </c>
      <c r="S27" s="4" t="s">
        <v>87</v>
      </c>
      <c r="T27" s="4">
        <f ca="1">ROUND(_Google_ads[[#This Row],[impressions]]*RANDBETWEEN(8,12)/10,0)</f>
        <v>88147</v>
      </c>
      <c r="U27" s="4">
        <f ca="1">ROUND(_Google_ads[[#This Row],[clicks]]*RANDBETWEEN(8,12)/10,0)</f>
        <v>1938</v>
      </c>
      <c r="V27" s="4">
        <f ca="1">_Google_ads[[#This Row],[cost]]*RANDBETWEEN(8,12)/10</f>
        <v>530.16000000000008</v>
      </c>
      <c r="W27" s="4">
        <f ca="1">ROUND(_Google_ads[[#This Row],[conversions]]*RANDBETWEEN(8,12)/10,0)</f>
        <v>77</v>
      </c>
      <c r="X27" s="4">
        <f ca="1">ROUND(_Google_ads[[#This Row],[conversion_value]]*RANDBETWEEN(8,12)/10,0)</f>
        <v>4200</v>
      </c>
      <c r="Y27" s="4">
        <f ca="1">_Google_ads[[#This Row],[ctr]]*RANDBETWEEN(8,12)/10</f>
        <v>3.3000000000000002E-2</v>
      </c>
      <c r="Z27" s="4">
        <f ca="1">_Google_ads[[#This Row],[avg_cpc]]*RANDBETWEEN(8,12)/10</f>
        <v>0.16199999999999998</v>
      </c>
      <c r="AA27" s="4">
        <f ca="1">ROUND(_Google_ads[[#This Row],[quality_score]]*RANDBETWEEN(8,12)/10,0)</f>
        <v>8</v>
      </c>
      <c r="AB27" s="4">
        <f ca="1">_Google_ads[[#This Row],[search_impression_share]]*RANDBETWEEN(8,12)/10</f>
        <v>0.81600000000000006</v>
      </c>
      <c r="AD27" s="3">
        <f t="shared" ca="1" si="2"/>
        <v>45238</v>
      </c>
      <c r="AE27" s="4" t="s">
        <v>108</v>
      </c>
      <c r="AF27" s="4" t="s">
        <v>109</v>
      </c>
      <c r="AG27" s="4" t="s">
        <v>110</v>
      </c>
      <c r="AH27" s="4" t="s">
        <v>111</v>
      </c>
      <c r="AI27" s="4">
        <f ca="1">ROUND(T_Tiktok_ads[[#This Row],[impressions]]*RANDBETWEEN(8,12)/10,0)</f>
        <v>240791</v>
      </c>
      <c r="AJ27" s="4">
        <f ca="1">ROUND(T_Tiktok_ads[[#This Row],[clicks]]*RANDBETWEEN(8,12)/10,0)</f>
        <v>2765</v>
      </c>
      <c r="AK27" s="4">
        <v>414.4</v>
      </c>
      <c r="AL27" s="4">
        <f ca="1">ROUND(T_Tiktok_ads[[#This Row],[conversions]]*RANDBETWEEN(8,12)/10,0)</f>
        <v>29</v>
      </c>
      <c r="AM27" s="4">
        <f ca="1">ROUND(T_Tiktok_ads[[#This Row],[video_views]]*RANDBETWEEN(8,12)/10,0)</f>
        <v>138765</v>
      </c>
      <c r="AN27" s="4">
        <f ca="1">ROUND(T_Tiktok_ads[[#This Row],[video_watch_25]]*RANDBETWEEN(8,12)/10,0)</f>
        <v>131567</v>
      </c>
      <c r="AO27" s="4">
        <f ca="1">ROUND(T_Tiktok_ads[[#This Row],[video_watch_50]]*RANDBETWEEN(8,12)/10,0)</f>
        <v>82854</v>
      </c>
      <c r="AP27" s="4">
        <f ca="1">ROUND(T_Tiktok_ads[[#This Row],[video_watch_75]]*RANDBETWEEN(8,12)/10,0)</f>
        <v>53787</v>
      </c>
      <c r="AQ27" s="4">
        <f ca="1">ROUND(T_Tiktok_ads[[#This Row],[video_watch_100]]*RANDBETWEEN(8,12)/10,0)</f>
        <v>32454</v>
      </c>
      <c r="AR27" s="4">
        <f ca="1">ROUND(T_Tiktok_ads[[#This Row],[likes]]*RANDBETWEEN(8,12)/10,0)</f>
        <v>9614</v>
      </c>
      <c r="AS27" s="4">
        <f ca="1">ROUND(T_Tiktok_ads[[#This Row],[shares]]*RANDBETWEEN(8,12)/10,0)</f>
        <v>1761</v>
      </c>
      <c r="AT27" s="4">
        <f ca="1">ROUND(T_Tiktok_ads[[#This Row],[comments]]*RANDBETWEEN(8,12)/10,0)</f>
        <v>523</v>
      </c>
      <c r="AV27" s="5">
        <f t="shared" ca="1" si="3"/>
        <v>45255</v>
      </c>
      <c r="AW27">
        <f t="shared" ca="1" si="4"/>
        <v>4</v>
      </c>
      <c r="AX27">
        <f ca="1">ROUND(T_Facebook_Ads1159636771757983879195[[#This Row],[impressions]]*RANDBETWEEN(8,12)/10,0)</f>
        <v>48122</v>
      </c>
      <c r="AY27">
        <f ca="1">ROUND(T_Facebook_Ads1159636771757983879195[[#This Row],[clicks]]*RANDBETWEEN(8,12)/10,0)</f>
        <v>1443</v>
      </c>
      <c r="AZ27">
        <f ca="1">T_Facebook_Ads1159636771757983879195[[#This Row],[spend]]*RANDBETWEEN(8,12)/10</f>
        <v>199.8</v>
      </c>
      <c r="BA27">
        <f ca="1">ROUND(T_Facebook_Ads1159636771757983879195[[#This Row],[conversions]]*RANDBETWEEN(8,12)/10,0)</f>
        <v>29</v>
      </c>
      <c r="BB27">
        <f ca="1">ROUND(T_Facebook_Ads1159636771757983879195[[#This Row],[video_views]]*RANDBETWEEN(8,12)/10,0)</f>
        <v>6367</v>
      </c>
    </row>
    <row r="28" spans="1:54" ht="15.75" thickBot="1" x14ac:dyDescent="0.3">
      <c r="A28" s="3">
        <f t="shared" ca="1" si="0"/>
        <v>45240</v>
      </c>
      <c r="B28" s="4" t="s">
        <v>64</v>
      </c>
      <c r="C28" s="4" t="s">
        <v>65</v>
      </c>
      <c r="D28" s="4" t="s">
        <v>66</v>
      </c>
      <c r="E28" s="4" t="s">
        <v>67</v>
      </c>
      <c r="F28" s="4">
        <f ca="1">ROUND(T_Facebook_Ads[[#This Row],[impressions]]*RANDBETWEEN(8,12)/10,0)</f>
        <v>84148</v>
      </c>
      <c r="G28" s="4">
        <v>253</v>
      </c>
      <c r="H28" s="4">
        <f ca="1">T_Facebook_Ads[[#This Row],[spend]]*RANDBETWEEN(8,12)/10</f>
        <v>93.6</v>
      </c>
      <c r="I28" s="4">
        <f ca="1">ROUND(T_Facebook_Ads[[#This Row],[conversions]]*RANDBETWEEN(8,12)/10,0)</f>
        <v>7</v>
      </c>
      <c r="J28" s="4">
        <f ca="1">ROUND(T_Facebook_Ads[[#This Row],[video_views]]*RANDBETWEEN(8,12)/10,0)</f>
        <v>48234</v>
      </c>
      <c r="K28" s="4">
        <f ca="1">T_Facebook_Ads[[#This Row],[engagement_rate]]*RANDBETWEEN(8,12)/10</f>
        <v>2.8799999999999997E-3</v>
      </c>
      <c r="L28" s="4">
        <f ca="1">ROUND(T_Facebook_Ads[[#This Row],[reach]]*RANDBETWEEN(8,12)/10,0)</f>
        <v>64302</v>
      </c>
      <c r="M28" s="4">
        <f ca="1">T_Facebook_Ads[[#This Row],[frequency]]*RANDBETWEEN(8,12)/10</f>
        <v>1.0799999999999998</v>
      </c>
      <c r="O28" s="3">
        <f t="shared" ca="1" si="1"/>
        <v>45233</v>
      </c>
      <c r="P28" s="4" t="s">
        <v>88</v>
      </c>
      <c r="Q28" s="4" t="s">
        <v>89</v>
      </c>
      <c r="R28" s="4" t="s">
        <v>90</v>
      </c>
      <c r="S28" s="4" t="s">
        <v>59</v>
      </c>
      <c r="T28" s="4">
        <f ca="1">ROUND(_Google_ads[[#This Row],[impressions]]*RANDBETWEEN(8,12)/10,0)</f>
        <v>155214</v>
      </c>
      <c r="U28" s="4">
        <f ca="1">ROUND(_Google_ads[[#This Row],[clicks]]*RANDBETWEEN(8,12)/10,0)</f>
        <v>547</v>
      </c>
      <c r="V28" s="4">
        <f ca="1">_Google_ads[[#This Row],[cost]]*RANDBETWEEN(8,12)/10</f>
        <v>100.47999999999999</v>
      </c>
      <c r="W28" s="4">
        <f ca="1">ROUND(_Google_ads[[#This Row],[conversions]]*RANDBETWEEN(8,12)/10,0)</f>
        <v>10</v>
      </c>
      <c r="X28" s="4">
        <f ca="1">ROUND(_Google_ads[[#This Row],[conversion_value]]*RANDBETWEEN(8,12)/10,0)</f>
        <v>600</v>
      </c>
      <c r="Y28" s="4">
        <f ca="1">_Google_ads[[#This Row],[ctr]]*RANDBETWEEN(8,12)/10</f>
        <v>2.8E-3</v>
      </c>
      <c r="Z28" s="4">
        <f ca="1">_Google_ads[[#This Row],[avg_cpc]]*RANDBETWEEN(8,12)/10</f>
        <v>0.308</v>
      </c>
      <c r="AA28" s="4">
        <f ca="1">ROUND(_Google_ads[[#This Row],[quality_score]]*RANDBETWEEN(8,12)/10,0)</f>
        <v>6</v>
      </c>
      <c r="AB28" s="4">
        <f ca="1">_Google_ads[[#This Row],[search_impression_share]]*RANDBETWEEN(8,12)/10</f>
        <v>0.41999999999999993</v>
      </c>
      <c r="AD28" s="3">
        <f t="shared" ca="1" si="2"/>
        <v>45234</v>
      </c>
      <c r="AE28" s="4" t="s">
        <v>112</v>
      </c>
      <c r="AF28" s="4" t="s">
        <v>113</v>
      </c>
      <c r="AG28" s="4" t="s">
        <v>114</v>
      </c>
      <c r="AH28" s="4" t="s">
        <v>115</v>
      </c>
      <c r="AI28" s="4">
        <f ca="1">ROUND(T_Tiktok_ads[[#This Row],[impressions]]*RANDBETWEEN(8,12)/10,0)</f>
        <v>361111</v>
      </c>
      <c r="AJ28" s="4">
        <f ca="1">ROUND(T_Tiktok_ads[[#This Row],[clicks]]*RANDBETWEEN(8,12)/10,0)</f>
        <v>6456</v>
      </c>
      <c r="AK28" s="4">
        <v>989.9</v>
      </c>
      <c r="AL28" s="4">
        <f ca="1">ROUND(T_Tiktok_ads[[#This Row],[conversions]]*RANDBETWEEN(8,12)/10,0)</f>
        <v>91</v>
      </c>
      <c r="AM28" s="4">
        <f ca="1">ROUND(T_Tiktok_ads[[#This Row],[video_views]]*RANDBETWEEN(8,12)/10,0)</f>
        <v>332345</v>
      </c>
      <c r="AN28" s="4">
        <f ca="1">ROUND(T_Tiktok_ads[[#This Row],[video_watch_25]]*RANDBETWEEN(8,12)/10,0)</f>
        <v>294679</v>
      </c>
      <c r="AO28" s="4">
        <f ca="1">ROUND(T_Tiktok_ads[[#This Row],[video_watch_50]]*RANDBETWEEN(8,12)/10,0)</f>
        <v>257480</v>
      </c>
      <c r="AP28" s="4">
        <f ca="1">ROUND(T_Tiktok_ads[[#This Row],[video_watch_75]]*RANDBETWEEN(8,12)/10,0)</f>
        <v>151234</v>
      </c>
      <c r="AQ28" s="4">
        <f ca="1">ROUND(T_Tiktok_ads[[#This Row],[video_watch_100]]*RANDBETWEEN(8,12)/10,0)</f>
        <v>99567</v>
      </c>
      <c r="AR28" s="4">
        <f ca="1">ROUND(T_Tiktok_ads[[#This Row],[likes]]*RANDBETWEEN(8,12)/10,0)</f>
        <v>20681</v>
      </c>
      <c r="AS28" s="4">
        <f ca="1">ROUND(T_Tiktok_ads[[#This Row],[shares]]*RANDBETWEEN(8,12)/10,0)</f>
        <v>5012</v>
      </c>
      <c r="AT28" s="4">
        <f ca="1">ROUND(T_Tiktok_ads[[#This Row],[comments]]*RANDBETWEEN(8,12)/10,0)</f>
        <v>1516</v>
      </c>
      <c r="AV28" s="5">
        <f t="shared" ca="1" si="3"/>
        <v>45256</v>
      </c>
      <c r="AW28">
        <f t="shared" ca="1" si="4"/>
        <v>6</v>
      </c>
      <c r="AX28">
        <f ca="1">ROUND(T_Facebook_Ads1159636771757983879195[[#This Row],[impressions]]*RANDBETWEEN(8,12)/10,0)</f>
        <v>75733</v>
      </c>
      <c r="AY28">
        <f ca="1">ROUND(T_Facebook_Ads1159636771757983879195[[#This Row],[clicks]]*RANDBETWEEN(8,12)/10,0)</f>
        <v>278</v>
      </c>
      <c r="AZ28">
        <f ca="1">T_Facebook_Ads1159636771757983879195[[#This Row],[spend]]*RANDBETWEEN(8,12)/10</f>
        <v>74.88</v>
      </c>
      <c r="BA28">
        <f ca="1">ROUND(T_Facebook_Ads1159636771757983879195[[#This Row],[conversions]]*RANDBETWEEN(8,12)/10,0)</f>
        <v>8</v>
      </c>
      <c r="BB28">
        <f ca="1">ROUND(T_Facebook_Ads1159636771757983879195[[#This Row],[video_views]]*RANDBETWEEN(8,12)/10,0)</f>
        <v>53057</v>
      </c>
    </row>
    <row r="29" spans="1:54" ht="15.75" thickBot="1" x14ac:dyDescent="0.3">
      <c r="A29" s="3">
        <f t="shared" ca="1" si="0"/>
        <v>45256</v>
      </c>
      <c r="B29" s="4" t="s">
        <v>52</v>
      </c>
      <c r="C29" s="4" t="s">
        <v>53</v>
      </c>
      <c r="D29" s="4" t="s">
        <v>54</v>
      </c>
      <c r="E29" s="4" t="s">
        <v>55</v>
      </c>
      <c r="F29" s="4">
        <f ca="1">ROUND(T_Facebook_Ads[[#This Row],[impressions]]*RANDBETWEEN(8,12)/10,0)</f>
        <v>48567</v>
      </c>
      <c r="G29" s="4">
        <v>978</v>
      </c>
      <c r="H29" s="4">
        <f ca="1">T_Facebook_Ads[[#This Row],[spend]]*RANDBETWEEN(8,12)/10</f>
        <v>110.24000000000001</v>
      </c>
      <c r="I29" s="4">
        <f ca="1">ROUND(T_Facebook_Ads[[#This Row],[conversions]]*RANDBETWEEN(8,12)/10,0)</f>
        <v>14</v>
      </c>
      <c r="J29" s="4">
        <f ca="1">ROUND(T_Facebook_Ads[[#This Row],[video_views]]*RANDBETWEEN(8,12)/10,0)</f>
        <v>10734</v>
      </c>
      <c r="K29" s="4">
        <f ca="1">T_Facebook_Ads[[#This Row],[engagement_rate]]*RANDBETWEEN(8,12)/10</f>
        <v>1.8090000000000002E-2</v>
      </c>
      <c r="L29" s="4">
        <f ca="1">ROUND(T_Facebook_Ads[[#This Row],[reach]]*RANDBETWEEN(8,12)/10,0)</f>
        <v>48547</v>
      </c>
      <c r="M29" s="4">
        <f ca="1">T_Facebook_Ads[[#This Row],[frequency]]*RANDBETWEEN(8,12)/10</f>
        <v>0.96</v>
      </c>
      <c r="O29" s="3">
        <f t="shared" ca="1" si="1"/>
        <v>45235</v>
      </c>
      <c r="P29" s="4" t="s">
        <v>76</v>
      </c>
      <c r="Q29" s="4" t="s">
        <v>77</v>
      </c>
      <c r="R29" s="4" t="s">
        <v>78</v>
      </c>
      <c r="S29" s="4" t="s">
        <v>79</v>
      </c>
      <c r="T29" s="4">
        <f ca="1">ROUND(_Google_ads[[#This Row],[impressions]]*RANDBETWEEN(8,12)/10,0)</f>
        <v>19742</v>
      </c>
      <c r="U29" s="4">
        <f ca="1">ROUND(_Google_ads[[#This Row],[clicks]]*RANDBETWEEN(8,12)/10,0)</f>
        <v>1160</v>
      </c>
      <c r="V29" s="4">
        <f ca="1">_Google_ads[[#This Row],[cost]]*RANDBETWEEN(8,12)/10</f>
        <v>270.49</v>
      </c>
      <c r="W29" s="4">
        <f ca="1">ROUND(_Google_ads[[#This Row],[conversions]]*RANDBETWEEN(8,12)/10,0)</f>
        <v>43</v>
      </c>
      <c r="X29" s="4">
        <f ca="1">ROUND(_Google_ads[[#This Row],[conversion_value]]*RANDBETWEEN(8,12)/10,0)</f>
        <v>1920</v>
      </c>
      <c r="Y29" s="4">
        <f ca="1">_Google_ads[[#This Row],[ctr]]*RANDBETWEEN(8,12)/10</f>
        <v>4.1760000000000005E-2</v>
      </c>
      <c r="Z29" s="4">
        <f ca="1">_Google_ads[[#This Row],[avg_cpc]]*RANDBETWEEN(8,12)/10</f>
        <v>0.20899999999999999</v>
      </c>
      <c r="AA29" s="4">
        <f ca="1">ROUND(_Google_ads[[#This Row],[quality_score]]*RANDBETWEEN(8,12)/10,0)</f>
        <v>10</v>
      </c>
      <c r="AB29" s="4">
        <f ca="1">_Google_ads[[#This Row],[search_impression_share]]*RANDBETWEEN(8,12)/10</f>
        <v>0.81899999999999995</v>
      </c>
      <c r="AD29" s="3">
        <f t="shared" ca="1" si="2"/>
        <v>45246</v>
      </c>
      <c r="AE29" s="4" t="s">
        <v>100</v>
      </c>
      <c r="AF29" s="4" t="s">
        <v>101</v>
      </c>
      <c r="AG29" s="4" t="s">
        <v>102</v>
      </c>
      <c r="AH29" s="4" t="s">
        <v>103</v>
      </c>
      <c r="AI29" s="4">
        <f ca="1">ROUND(T_Tiktok_ads[[#This Row],[impressions]]*RANDBETWEEN(8,12)/10,0)</f>
        <v>281857</v>
      </c>
      <c r="AJ29" s="4">
        <f ca="1">ROUND(T_Tiktok_ads[[#This Row],[clicks]]*RANDBETWEEN(8,12)/10,0)</f>
        <v>4441</v>
      </c>
      <c r="AK29" s="4">
        <v>490.5</v>
      </c>
      <c r="AL29" s="4">
        <f ca="1">ROUND(T_Tiktok_ads[[#This Row],[conversions]]*RANDBETWEEN(8,12)/10,0)</f>
        <v>46</v>
      </c>
      <c r="AM29" s="4">
        <f ca="1">ROUND(T_Tiktok_ads[[#This Row],[video_views]]*RANDBETWEEN(8,12)/10,0)</f>
        <v>230157</v>
      </c>
      <c r="AN29" s="4">
        <f ca="1">ROUND(T_Tiktok_ads[[#This Row],[video_watch_25]]*RANDBETWEEN(8,12)/10,0)</f>
        <v>130854</v>
      </c>
      <c r="AO29" s="4">
        <f ca="1">ROUND(T_Tiktok_ads[[#This Row],[video_watch_50]]*RANDBETWEEN(8,12)/10,0)</f>
        <v>102567</v>
      </c>
      <c r="AP29" s="4">
        <f ca="1">ROUND(T_Tiktok_ads[[#This Row],[video_watch_75]]*RANDBETWEEN(8,12)/10,0)</f>
        <v>76524</v>
      </c>
      <c r="AQ29" s="4">
        <f ca="1">ROUND(T_Tiktok_ads[[#This Row],[video_watch_100]]*RANDBETWEEN(8,12)/10,0)</f>
        <v>41910</v>
      </c>
      <c r="AR29" s="4">
        <f ca="1">ROUND(T_Tiktok_ads[[#This Row],[likes]]*RANDBETWEEN(8,12)/10,0)</f>
        <v>9123</v>
      </c>
      <c r="AS29" s="4">
        <f ca="1">ROUND(T_Tiktok_ads[[#This Row],[shares]]*RANDBETWEEN(8,12)/10,0)</f>
        <v>1938</v>
      </c>
      <c r="AT29" s="4">
        <f ca="1">ROUND(T_Tiktok_ads[[#This Row],[comments]]*RANDBETWEEN(8,12)/10,0)</f>
        <v>481</v>
      </c>
      <c r="AV29" s="5">
        <f t="shared" ca="1" si="3"/>
        <v>45234</v>
      </c>
      <c r="AW29">
        <f t="shared" ca="1" si="4"/>
        <v>2</v>
      </c>
      <c r="AX29">
        <f ca="1">ROUND(T_Facebook_Ads1159636771757983879195[[#This Row],[impressions]]*RANDBETWEEN(8,12)/10,0)</f>
        <v>53424</v>
      </c>
      <c r="AY29">
        <f ca="1">ROUND(T_Facebook_Ads1159636771757983879195[[#This Row],[clicks]]*RANDBETWEEN(8,12)/10,0)</f>
        <v>880</v>
      </c>
      <c r="AZ29">
        <f ca="1">T_Facebook_Ads1159636771757983879195[[#This Row],[spend]]*RANDBETWEEN(8,12)/10</f>
        <v>132.28800000000001</v>
      </c>
      <c r="BA29">
        <f ca="1">ROUND(T_Facebook_Ads1159636771757983879195[[#This Row],[conversions]]*RANDBETWEEN(8,12)/10,0)</f>
        <v>15</v>
      </c>
      <c r="BB29">
        <f ca="1">ROUND(T_Facebook_Ads1159636771757983879195[[#This Row],[video_views]]*RANDBETWEEN(8,12)/10,0)</f>
        <v>10734</v>
      </c>
    </row>
    <row r="30" spans="1:54" ht="15.75" thickBot="1" x14ac:dyDescent="0.3">
      <c r="A30" s="3">
        <f t="shared" ca="1" si="0"/>
        <v>45243</v>
      </c>
      <c r="B30" s="4" t="s">
        <v>56</v>
      </c>
      <c r="C30" s="4" t="s">
        <v>57</v>
      </c>
      <c r="D30" s="4" t="s">
        <v>58</v>
      </c>
      <c r="E30" s="4" t="s">
        <v>59</v>
      </c>
      <c r="F30" s="4">
        <f ca="1">ROUND(T_Facebook_Ads[[#This Row],[impressions]]*RANDBETWEEN(8,12)/10,0)</f>
        <v>11031</v>
      </c>
      <c r="G30" s="4">
        <v>645</v>
      </c>
      <c r="H30" s="4">
        <f ca="1">T_Facebook_Ads[[#This Row],[spend]]*RANDBETWEEN(8,12)/10</f>
        <v>265.32</v>
      </c>
      <c r="I30" s="4">
        <f ca="1">ROUND(T_Facebook_Ads[[#This Row],[conversions]]*RANDBETWEEN(8,12)/10,0)</f>
        <v>49</v>
      </c>
      <c r="J30" s="4">
        <f ca="1">ROUND(T_Facebook_Ads[[#This Row],[video_views]]*RANDBETWEEN(8,12)/10,0)</f>
        <v>1638</v>
      </c>
      <c r="K30" s="4">
        <f ca="1">T_Facebook_Ads[[#This Row],[engagement_rate]]*RANDBETWEEN(8,12)/10</f>
        <v>5.6160000000000002E-2</v>
      </c>
      <c r="L30" s="4">
        <f ca="1">ROUND(T_Facebook_Ads[[#This Row],[reach]]*RANDBETWEEN(8,12)/10,0)</f>
        <v>10789</v>
      </c>
      <c r="M30" s="4">
        <f ca="1">T_Facebook_Ads[[#This Row],[frequency]]*RANDBETWEEN(8,12)/10</f>
        <v>1.536</v>
      </c>
      <c r="O30" s="3">
        <f t="shared" ca="1" si="1"/>
        <v>45249</v>
      </c>
      <c r="P30" s="4" t="s">
        <v>80</v>
      </c>
      <c r="Q30" s="4" t="s">
        <v>81</v>
      </c>
      <c r="R30" s="4" t="s">
        <v>82</v>
      </c>
      <c r="S30" s="4" t="s">
        <v>83</v>
      </c>
      <c r="T30" s="4">
        <f ca="1">ROUND(_Google_ads[[#This Row],[impressions]]*RANDBETWEEN(8,12)/10,0)</f>
        <v>36187</v>
      </c>
      <c r="U30" s="4">
        <f ca="1">ROUND(_Google_ads[[#This Row],[clicks]]*RANDBETWEEN(8,12)/10,0)</f>
        <v>1081</v>
      </c>
      <c r="V30" s="4">
        <f ca="1">_Google_ads[[#This Row],[cost]]*RANDBETWEEN(8,12)/10</f>
        <v>521.01</v>
      </c>
      <c r="W30" s="4">
        <f ca="1">ROUND(_Google_ads[[#This Row],[conversions]]*RANDBETWEEN(8,12)/10,0)</f>
        <v>23</v>
      </c>
      <c r="X30" s="4">
        <f ca="1">ROUND(_Google_ads[[#This Row],[conversion_value]]*RANDBETWEEN(8,12)/10,0)</f>
        <v>920</v>
      </c>
      <c r="Y30" s="4">
        <f ca="1">_Google_ads[[#This Row],[ctr]]*RANDBETWEEN(8,12)/10</f>
        <v>2.3880000000000002E-2</v>
      </c>
      <c r="Z30" s="4">
        <f ca="1">_Google_ads[[#This Row],[avg_cpc]]*RANDBETWEEN(8,12)/10</f>
        <v>0.57599999999999996</v>
      </c>
      <c r="AA30" s="4">
        <f ca="1">ROUND(_Google_ads[[#This Row],[quality_score]]*RANDBETWEEN(8,12)/10,0)</f>
        <v>6</v>
      </c>
      <c r="AB30" s="4">
        <f ca="1">_Google_ads[[#This Row],[search_impression_share]]*RANDBETWEEN(8,12)/10</f>
        <v>0.40499999999999997</v>
      </c>
      <c r="AD30" s="3">
        <f t="shared" ca="1" si="2"/>
        <v>45235</v>
      </c>
      <c r="AE30" s="4" t="s">
        <v>104</v>
      </c>
      <c r="AF30" s="4" t="s">
        <v>105</v>
      </c>
      <c r="AG30" s="4" t="s">
        <v>106</v>
      </c>
      <c r="AH30" s="4" t="s">
        <v>107</v>
      </c>
      <c r="AI30" s="4">
        <f ca="1">ROUND(T_Tiktok_ads[[#This Row],[impressions]]*RANDBETWEEN(8,12)/10,0)</f>
        <v>116542</v>
      </c>
      <c r="AJ30" s="4">
        <f ca="1">ROUND(T_Tiktok_ads[[#This Row],[clicks]]*RANDBETWEEN(8,12)/10,0)</f>
        <v>2231</v>
      </c>
      <c r="AK30" s="4">
        <v>756.7</v>
      </c>
      <c r="AL30" s="4">
        <f ca="1">ROUND(T_Tiktok_ads[[#This Row],[conversions]]*RANDBETWEEN(8,12)/10,0)</f>
        <v>84</v>
      </c>
      <c r="AM30" s="4">
        <f ca="1">ROUND(T_Tiktok_ads[[#This Row],[video_views]]*RANDBETWEEN(8,12)/10,0)</f>
        <v>80987</v>
      </c>
      <c r="AN30" s="4">
        <f ca="1">ROUND(T_Tiktok_ads[[#This Row],[video_watch_25]]*RANDBETWEEN(8,12)/10,0)</f>
        <v>59654</v>
      </c>
      <c r="AO30" s="4">
        <f ca="1">ROUND(T_Tiktok_ads[[#This Row],[video_watch_50]]*RANDBETWEEN(8,12)/10,0)</f>
        <v>40187</v>
      </c>
      <c r="AP30" s="4">
        <f ca="1">ROUND(T_Tiktok_ads[[#This Row],[video_watch_75]]*RANDBETWEEN(8,12)/10,0)</f>
        <v>34101</v>
      </c>
      <c r="AQ30" s="4">
        <f ca="1">ROUND(T_Tiktok_ads[[#This Row],[video_watch_100]]*RANDBETWEEN(8,12)/10,0)</f>
        <v>25234</v>
      </c>
      <c r="AR30" s="4">
        <f ca="1">ROUND(T_Tiktok_ads[[#This Row],[likes]]*RANDBETWEEN(8,12)/10,0)</f>
        <v>4511</v>
      </c>
      <c r="AS30" s="4">
        <f ca="1">ROUND(T_Tiktok_ads[[#This Row],[shares]]*RANDBETWEEN(8,12)/10,0)</f>
        <v>1708</v>
      </c>
      <c r="AT30" s="4">
        <f ca="1">ROUND(T_Tiktok_ads[[#This Row],[comments]]*RANDBETWEEN(8,12)/10,0)</f>
        <v>320</v>
      </c>
      <c r="AV30" s="5">
        <f t="shared" ca="1" si="3"/>
        <v>45245</v>
      </c>
      <c r="AW30">
        <f t="shared" ca="1" si="4"/>
        <v>4</v>
      </c>
      <c r="AX30">
        <f ca="1">ROUND(T_Facebook_Ads1159636771757983879195[[#This Row],[impressions]]*RANDBETWEEN(8,12)/10,0)</f>
        <v>8825</v>
      </c>
      <c r="AY30">
        <f ca="1">ROUND(T_Facebook_Ads1159636771757983879195[[#This Row],[clicks]]*RANDBETWEEN(8,12)/10,0)</f>
        <v>645</v>
      </c>
      <c r="AZ30">
        <f ca="1">T_Facebook_Ads1159636771757983879195[[#This Row],[spend]]*RANDBETWEEN(8,12)/10</f>
        <v>212.256</v>
      </c>
      <c r="BA30">
        <f ca="1">ROUND(T_Facebook_Ads1159636771757983879195[[#This Row],[conversions]]*RANDBETWEEN(8,12)/10,0)</f>
        <v>59</v>
      </c>
      <c r="BB30">
        <f ca="1">ROUND(T_Facebook_Ads1159636771757983879195[[#This Row],[video_views]]*RANDBETWEEN(8,12)/10,0)</f>
        <v>1802</v>
      </c>
    </row>
    <row r="31" spans="1:54" ht="15.75" thickBot="1" x14ac:dyDescent="0.3">
      <c r="A31" s="3">
        <f t="shared" ca="1" si="0"/>
        <v>45243</v>
      </c>
      <c r="B31" s="4" t="s">
        <v>60</v>
      </c>
      <c r="C31" s="4" t="s">
        <v>61</v>
      </c>
      <c r="D31" s="4" t="s">
        <v>62</v>
      </c>
      <c r="E31" s="4" t="s">
        <v>63</v>
      </c>
      <c r="F31" s="4">
        <f ca="1">ROUND(T_Facebook_Ads[[#This Row],[impressions]]*RANDBETWEEN(8,12)/10,0)</f>
        <v>30765</v>
      </c>
      <c r="G31" s="4">
        <v>1423</v>
      </c>
      <c r="H31" s="4">
        <f ca="1">T_Facebook_Ads[[#This Row],[spend]]*RANDBETWEEN(8,12)/10</f>
        <v>217.5</v>
      </c>
      <c r="I31" s="4">
        <f ca="1">ROUND(T_Facebook_Ads[[#This Row],[conversions]]*RANDBETWEEN(8,12)/10,0)</f>
        <v>23</v>
      </c>
      <c r="J31" s="4">
        <f ca="1">ROUND(T_Facebook_Ads[[#This Row],[video_views]]*RANDBETWEEN(8,12)/10,0)</f>
        <v>4098</v>
      </c>
      <c r="K31" s="4">
        <f ca="1">T_Facebook_Ads[[#This Row],[engagement_rate]]*RANDBETWEEN(8,12)/10</f>
        <v>4.07E-2</v>
      </c>
      <c r="L31" s="4">
        <f ca="1">ROUND(T_Facebook_Ads[[#This Row],[reach]]*RANDBETWEEN(8,12)/10,0)</f>
        <v>31234</v>
      </c>
      <c r="M31" s="4">
        <f ca="1">T_Facebook_Ads[[#This Row],[frequency]]*RANDBETWEEN(8,12)/10</f>
        <v>0.98399999999999999</v>
      </c>
      <c r="O31" s="3">
        <f t="shared" ca="1" si="1"/>
        <v>45232</v>
      </c>
      <c r="P31" s="4" t="s">
        <v>84</v>
      </c>
      <c r="Q31" s="4" t="s">
        <v>85</v>
      </c>
      <c r="R31" s="4" t="s">
        <v>86</v>
      </c>
      <c r="S31" s="4" t="s">
        <v>87</v>
      </c>
      <c r="T31" s="4">
        <f ca="1">ROUND(_Google_ads[[#This Row],[impressions]]*RANDBETWEEN(8,12)/10,0)</f>
        <v>68901</v>
      </c>
      <c r="U31" s="4">
        <f ca="1">ROUND(_Google_ads[[#This Row],[clicks]]*RANDBETWEEN(8,12)/10,0)</f>
        <v>2040</v>
      </c>
      <c r="V31" s="4">
        <f ca="1">_Google_ads[[#This Row],[cost]]*RANDBETWEEN(8,12)/10</f>
        <v>331.36</v>
      </c>
      <c r="W31" s="4">
        <f ca="1">ROUND(_Google_ads[[#This Row],[conversions]]*RANDBETWEEN(8,12)/10,0)</f>
        <v>58</v>
      </c>
      <c r="X31" s="4">
        <f ca="1">ROUND(_Google_ads[[#This Row],[conversion_value]]*RANDBETWEEN(8,12)/10,0)</f>
        <v>3520</v>
      </c>
      <c r="Y31" s="4">
        <f ca="1">_Google_ads[[#This Row],[ctr]]*RANDBETWEEN(8,12)/10</f>
        <v>2.632E-2</v>
      </c>
      <c r="Z31" s="4">
        <f ca="1">_Google_ads[[#This Row],[avg_cpc]]*RANDBETWEEN(8,12)/10</f>
        <v>0.16199999999999998</v>
      </c>
      <c r="AA31" s="4">
        <f ca="1">ROUND(_Google_ads[[#This Row],[quality_score]]*RANDBETWEEN(8,12)/10,0)</f>
        <v>10</v>
      </c>
      <c r="AB31" s="4">
        <f ca="1">_Google_ads[[#This Row],[search_impression_share]]*RANDBETWEEN(8,12)/10</f>
        <v>0.53600000000000003</v>
      </c>
      <c r="AD31" s="3">
        <f t="shared" ca="1" si="2"/>
        <v>45242</v>
      </c>
      <c r="AE31" s="4" t="s">
        <v>108</v>
      </c>
      <c r="AF31" s="4" t="s">
        <v>109</v>
      </c>
      <c r="AG31" s="4" t="s">
        <v>110</v>
      </c>
      <c r="AH31" s="4" t="s">
        <v>111</v>
      </c>
      <c r="AI31" s="4">
        <f ca="1">ROUND(T_Tiktok_ads[[#This Row],[impressions]]*RANDBETWEEN(8,12)/10,0)</f>
        <v>223456</v>
      </c>
      <c r="AJ31" s="4">
        <f ca="1">ROUND(T_Tiktok_ads[[#This Row],[clicks]]*RANDBETWEEN(8,12)/10,0)</f>
        <v>3210</v>
      </c>
      <c r="AK31" s="4">
        <v>427.7</v>
      </c>
      <c r="AL31" s="4">
        <f ca="1">ROUND(T_Tiktok_ads[[#This Row],[conversions]]*RANDBETWEEN(8,12)/10,0)</f>
        <v>30</v>
      </c>
      <c r="AM31" s="4">
        <f ca="1">ROUND(T_Tiktok_ads[[#This Row],[video_views]]*RANDBETWEEN(8,12)/10,0)</f>
        <v>196791</v>
      </c>
      <c r="AN31" s="4">
        <f ca="1">ROUND(T_Tiktok_ads[[#This Row],[video_watch_25]]*RANDBETWEEN(8,12)/10,0)</f>
        <v>148757</v>
      </c>
      <c r="AO31" s="4">
        <f ca="1">ROUND(T_Tiktok_ads[[#This Row],[video_watch_50]]*RANDBETWEEN(8,12)/10,0)</f>
        <v>96110</v>
      </c>
      <c r="AP31" s="4">
        <f ca="1">ROUND(T_Tiktok_ads[[#This Row],[video_watch_75]]*RANDBETWEEN(8,12)/10,0)</f>
        <v>83081</v>
      </c>
      <c r="AQ31" s="4">
        <f ca="1">ROUND(T_Tiktok_ads[[#This Row],[video_watch_100]]*RANDBETWEEN(8,12)/10,0)</f>
        <v>41789</v>
      </c>
      <c r="AR31" s="4">
        <f ca="1">ROUND(T_Tiktok_ads[[#This Row],[likes]]*RANDBETWEEN(8,12)/10,0)</f>
        <v>7411</v>
      </c>
      <c r="AS31" s="4">
        <f ca="1">ROUND(T_Tiktok_ads[[#This Row],[shares]]*RANDBETWEEN(8,12)/10,0)</f>
        <v>2720</v>
      </c>
      <c r="AT31" s="4">
        <f ca="1">ROUND(T_Tiktok_ads[[#This Row],[comments]]*RANDBETWEEN(8,12)/10,0)</f>
        <v>641</v>
      </c>
      <c r="AV31" s="5">
        <f t="shared" ca="1" si="3"/>
        <v>45233</v>
      </c>
      <c r="AW31">
        <f t="shared" ca="1" si="4"/>
        <v>3</v>
      </c>
      <c r="AX31">
        <f ca="1">ROUND(T_Facebook_Ads1159636771757983879195[[#This Row],[impressions]]*RANDBETWEEN(8,12)/10,0)</f>
        <v>36918</v>
      </c>
      <c r="AY31">
        <f ca="1">ROUND(T_Facebook_Ads1159636771757983879195[[#This Row],[clicks]]*RANDBETWEEN(8,12)/10,0)</f>
        <v>1423</v>
      </c>
      <c r="AZ31">
        <f ca="1">T_Facebook_Ads1159636771757983879195[[#This Row],[spend]]*RANDBETWEEN(8,12)/10</f>
        <v>217.5</v>
      </c>
      <c r="BA31">
        <f ca="1">ROUND(T_Facebook_Ads1159636771757983879195[[#This Row],[conversions]]*RANDBETWEEN(8,12)/10,0)</f>
        <v>18</v>
      </c>
      <c r="BB31">
        <f ca="1">ROUND(T_Facebook_Ads1159636771757983879195[[#This Row],[video_views]]*RANDBETWEEN(8,12)/10,0)</f>
        <v>4508</v>
      </c>
    </row>
    <row r="32" spans="1:54" ht="15.75" thickBot="1" x14ac:dyDescent="0.3">
      <c r="A32" s="3">
        <f t="shared" ca="1" si="0"/>
        <v>45255</v>
      </c>
      <c r="B32" s="4" t="s">
        <v>52</v>
      </c>
      <c r="C32" s="4" t="s">
        <v>53</v>
      </c>
      <c r="D32" s="4" t="s">
        <v>54</v>
      </c>
      <c r="E32" s="4" t="s">
        <v>55</v>
      </c>
      <c r="F32" s="4">
        <f ca="1">ROUND(T_Facebook_Ads[[#This Row],[impressions]]*RANDBETWEEN(8,12)/10,0)</f>
        <v>46911</v>
      </c>
      <c r="G32" s="4">
        <v>1089</v>
      </c>
      <c r="H32" s="4">
        <f ca="1">T_Facebook_Ads[[#This Row],[spend]]*RANDBETWEEN(8,12)/10</f>
        <v>148.6</v>
      </c>
      <c r="I32" s="4">
        <f ca="1">ROUND(T_Facebook_Ads[[#This Row],[conversions]]*RANDBETWEEN(8,12)/10,0)</f>
        <v>20</v>
      </c>
      <c r="J32" s="4">
        <f ca="1">ROUND(T_Facebook_Ads[[#This Row],[video_views]]*RANDBETWEEN(8,12)/10,0)</f>
        <v>11480</v>
      </c>
      <c r="K32" s="4">
        <f ca="1">T_Facebook_Ads[[#This Row],[engagement_rate]]*RANDBETWEEN(8,12)/10</f>
        <v>2.0899999999999998E-2</v>
      </c>
      <c r="L32" s="4">
        <f ca="1">ROUND(T_Facebook_Ads[[#This Row],[reach]]*RANDBETWEEN(8,12)/10,0)</f>
        <v>51881</v>
      </c>
      <c r="M32" s="4">
        <f ca="1">T_Facebook_Ads[[#This Row],[frequency]]*RANDBETWEEN(8,12)/10</f>
        <v>1.452</v>
      </c>
      <c r="O32" s="3">
        <f t="shared" ca="1" si="1"/>
        <v>45235</v>
      </c>
      <c r="P32" s="4" t="s">
        <v>76</v>
      </c>
      <c r="Q32" s="4" t="s">
        <v>77</v>
      </c>
      <c r="R32" s="4" t="s">
        <v>78</v>
      </c>
      <c r="S32" s="4" t="s">
        <v>79</v>
      </c>
      <c r="T32" s="4">
        <f ca="1">ROUND(_Google_ads[[#This Row],[impressions]]*RANDBETWEEN(8,12)/10,0)</f>
        <v>20987</v>
      </c>
      <c r="U32" s="4">
        <f ca="1">ROUND(_Google_ads[[#This Row],[clicks]]*RANDBETWEEN(8,12)/10,0)</f>
        <v>1378</v>
      </c>
      <c r="V32" s="4">
        <f ca="1">_Google_ads[[#This Row],[cost]]*RANDBETWEEN(8,12)/10</f>
        <v>316.08</v>
      </c>
      <c r="W32" s="4">
        <f ca="1">ROUND(_Google_ads[[#This Row],[conversions]]*RANDBETWEEN(8,12)/10,0)</f>
        <v>57</v>
      </c>
      <c r="X32" s="4">
        <f ca="1">ROUND(_Google_ads[[#This Row],[conversion_value]]*RANDBETWEEN(8,12)/10,0)</f>
        <v>2860</v>
      </c>
      <c r="Y32" s="4">
        <f ca="1">_Google_ads[[#This Row],[ctr]]*RANDBETWEEN(8,12)/10</f>
        <v>4.725E-2</v>
      </c>
      <c r="Z32" s="4">
        <f ca="1">_Google_ads[[#This Row],[avg_cpc]]*RANDBETWEEN(8,12)/10</f>
        <v>0.20899999999999999</v>
      </c>
      <c r="AA32" s="4">
        <f ca="1">ROUND(_Google_ads[[#This Row],[quality_score]]*RANDBETWEEN(8,12)/10,0)</f>
        <v>10</v>
      </c>
      <c r="AB32" s="4">
        <f ca="1">_Google_ads[[#This Row],[search_impression_share]]*RANDBETWEEN(8,12)/10</f>
        <v>0.73599999999999999</v>
      </c>
      <c r="AD32" s="3">
        <f t="shared" ca="1" si="2"/>
        <v>45249</v>
      </c>
      <c r="AE32" s="4" t="s">
        <v>100</v>
      </c>
      <c r="AF32" s="4" t="s">
        <v>101</v>
      </c>
      <c r="AG32" s="4" t="s">
        <v>102</v>
      </c>
      <c r="AH32" s="4" t="s">
        <v>103</v>
      </c>
      <c r="AI32" s="4">
        <f ca="1">ROUND(T_Tiktok_ads[[#This Row],[impressions]]*RANDBETWEEN(8,12)/10,0)</f>
        <v>334681</v>
      </c>
      <c r="AJ32" s="4">
        <f ca="1">ROUND(T_Tiktok_ads[[#This Row],[clicks]]*RANDBETWEEN(8,12)/10,0)</f>
        <v>4123</v>
      </c>
      <c r="AK32" s="4">
        <v>523.6</v>
      </c>
      <c r="AL32" s="4">
        <f ca="1">ROUND(T_Tiktok_ads[[#This Row],[conversions]]*RANDBETWEEN(8,12)/10,0)</f>
        <v>46</v>
      </c>
      <c r="AM32" s="4">
        <f ca="1">ROUND(T_Tiktok_ads[[#This Row],[video_views]]*RANDBETWEEN(8,12)/10,0)</f>
        <v>187654</v>
      </c>
      <c r="AN32" s="4">
        <f ca="1">ROUND(T_Tiktok_ads[[#This Row],[video_watch_25]]*RANDBETWEEN(8,12)/10,0)</f>
        <v>145876</v>
      </c>
      <c r="AO32" s="4">
        <f ca="1">ROUND(T_Tiktok_ads[[#This Row],[video_watch_50]]*RANDBETWEEN(8,12)/10,0)</f>
        <v>137480</v>
      </c>
      <c r="AP32" s="4">
        <f ca="1">ROUND(T_Tiktok_ads[[#This Row],[video_watch_75]]*RANDBETWEEN(8,12)/10,0)</f>
        <v>77234</v>
      </c>
      <c r="AQ32" s="4">
        <f ca="1">ROUND(T_Tiktok_ads[[#This Row],[video_watch_100]]*RANDBETWEEN(8,12)/10,0)</f>
        <v>51234</v>
      </c>
      <c r="AR32" s="4">
        <f ca="1">ROUND(T_Tiktok_ads[[#This Row],[likes]]*RANDBETWEEN(8,12)/10,0)</f>
        <v>9311</v>
      </c>
      <c r="AS32" s="4">
        <f ca="1">ROUND(T_Tiktok_ads[[#This Row],[shares]]*RANDBETWEEN(8,12)/10,0)</f>
        <v>3347</v>
      </c>
      <c r="AT32" s="4">
        <f ca="1">ROUND(T_Tiktok_ads[[#This Row],[comments]]*RANDBETWEEN(8,12)/10,0)</f>
        <v>722</v>
      </c>
      <c r="AV32" s="5">
        <f t="shared" ca="1" si="3"/>
        <v>45252</v>
      </c>
      <c r="AW32">
        <f t="shared" ca="1" si="4"/>
        <v>6</v>
      </c>
      <c r="AX32">
        <f ca="1">ROUND(T_Facebook_Ads1159636771757983879195[[#This Row],[impressions]]*RANDBETWEEN(8,12)/10,0)</f>
        <v>37529</v>
      </c>
      <c r="AY32">
        <f ca="1">ROUND(T_Facebook_Ads1159636771757983879195[[#This Row],[clicks]]*RANDBETWEEN(8,12)/10,0)</f>
        <v>980</v>
      </c>
      <c r="AZ32">
        <f ca="1">T_Facebook_Ads1159636771757983879195[[#This Row],[spend]]*RANDBETWEEN(8,12)/10</f>
        <v>133.73999999999998</v>
      </c>
      <c r="BA32">
        <f ca="1">ROUND(T_Facebook_Ads1159636771757983879195[[#This Row],[conversions]]*RANDBETWEEN(8,12)/10,0)</f>
        <v>18</v>
      </c>
      <c r="BB32">
        <f ca="1">ROUND(T_Facebook_Ads1159636771757983879195[[#This Row],[video_views]]*RANDBETWEEN(8,12)/10,0)</f>
        <v>11480</v>
      </c>
    </row>
    <row r="33" spans="1:54" ht="15.75" thickBot="1" x14ac:dyDescent="0.3">
      <c r="A33" s="3">
        <f t="shared" ca="1" si="0"/>
        <v>45237</v>
      </c>
      <c r="B33" s="4" t="s">
        <v>56</v>
      </c>
      <c r="C33" s="4" t="s">
        <v>57</v>
      </c>
      <c r="D33" s="4" t="s">
        <v>58</v>
      </c>
      <c r="E33" s="4" t="s">
        <v>59</v>
      </c>
      <c r="F33" s="4">
        <f ca="1">ROUND(T_Facebook_Ads[[#This Row],[impressions]]*RANDBETWEEN(8,12)/10,0)</f>
        <v>13110</v>
      </c>
      <c r="G33" s="4">
        <v>723</v>
      </c>
      <c r="H33" s="4">
        <f ca="1">T_Facebook_Ads[[#This Row],[spend]]*RANDBETWEEN(8,12)/10</f>
        <v>256.39999999999998</v>
      </c>
      <c r="I33" s="4">
        <f ca="1">ROUND(T_Facebook_Ads[[#This Row],[conversions]]*RANDBETWEEN(8,12)/10,0)</f>
        <v>53</v>
      </c>
      <c r="J33" s="4">
        <f ca="1">ROUND(T_Facebook_Ads[[#This Row],[video_views]]*RANDBETWEEN(8,12)/10,0)</f>
        <v>1612</v>
      </c>
      <c r="K33" s="4">
        <f ca="1">T_Facebook_Ads[[#This Row],[engagement_rate]]*RANDBETWEEN(8,12)/10</f>
        <v>4.4639999999999999E-2</v>
      </c>
      <c r="L33" s="4">
        <f ca="1">ROUND(T_Facebook_Ads[[#This Row],[reach]]*RANDBETWEEN(8,12)/10,0)</f>
        <v>9165</v>
      </c>
      <c r="M33" s="4">
        <f ca="1">T_Facebook_Ads[[#This Row],[frequency]]*RANDBETWEEN(8,12)/10</f>
        <v>1.397</v>
      </c>
      <c r="O33" s="3">
        <f t="shared" ca="1" si="1"/>
        <v>45251</v>
      </c>
      <c r="P33" s="4" t="s">
        <v>80</v>
      </c>
      <c r="Q33" s="4" t="s">
        <v>81</v>
      </c>
      <c r="R33" s="4" t="s">
        <v>82</v>
      </c>
      <c r="S33" s="4" t="s">
        <v>83</v>
      </c>
      <c r="T33" s="4">
        <f ca="1">ROUND(_Google_ads[[#This Row],[impressions]]*RANDBETWEEN(8,12)/10,0)</f>
        <v>43101</v>
      </c>
      <c r="U33" s="4">
        <f ca="1">ROUND(_Google_ads[[#This Row],[clicks]]*RANDBETWEEN(8,12)/10,0)</f>
        <v>841</v>
      </c>
      <c r="V33" s="4">
        <f ca="1">_Google_ads[[#This Row],[cost]]*RANDBETWEEN(8,12)/10</f>
        <v>551.25</v>
      </c>
      <c r="W33" s="4">
        <f ca="1">ROUND(_Google_ads[[#This Row],[conversions]]*RANDBETWEEN(8,12)/10,0)</f>
        <v>23</v>
      </c>
      <c r="X33" s="4">
        <f ca="1">ROUND(_Google_ads[[#This Row],[conversion_value]]*RANDBETWEEN(8,12)/10,0)</f>
        <v>1560</v>
      </c>
      <c r="Y33" s="4">
        <f ca="1">_Google_ads[[#This Row],[ctr]]*RANDBETWEEN(8,12)/10</f>
        <v>2.3399999999999997E-2</v>
      </c>
      <c r="Z33" s="4">
        <f ca="1">_Google_ads[[#This Row],[avg_cpc]]*RANDBETWEEN(8,12)/10</f>
        <v>0.66</v>
      </c>
      <c r="AA33" s="4">
        <f ca="1">ROUND(_Google_ads[[#This Row],[quality_score]]*RANDBETWEEN(8,12)/10,0)</f>
        <v>8</v>
      </c>
      <c r="AB33" s="4">
        <f ca="1">_Google_ads[[#This Row],[search_impression_share]]*RANDBETWEEN(8,12)/10</f>
        <v>0.46000000000000008</v>
      </c>
      <c r="AD33" s="3">
        <f t="shared" ca="1" si="2"/>
        <v>45246</v>
      </c>
      <c r="AE33" s="4" t="s">
        <v>104</v>
      </c>
      <c r="AF33" s="4" t="s">
        <v>105</v>
      </c>
      <c r="AG33" s="4" t="s">
        <v>106</v>
      </c>
      <c r="AH33" s="4" t="s">
        <v>107</v>
      </c>
      <c r="AI33" s="4">
        <f ca="1">ROUND(T_Tiktok_ads[[#This Row],[impressions]]*RANDBETWEEN(8,12)/10,0)</f>
        <v>141110</v>
      </c>
      <c r="AJ33" s="4">
        <f ca="1">ROUND(T_Tiktok_ads[[#This Row],[clicks]]*RANDBETWEEN(8,12)/10,0)</f>
        <v>2410</v>
      </c>
      <c r="AK33" s="4">
        <v>812.3</v>
      </c>
      <c r="AL33" s="4">
        <f ca="1">ROUND(T_Tiktok_ads[[#This Row],[conversions]]*RANDBETWEEN(8,12)/10,0)</f>
        <v>66</v>
      </c>
      <c r="AM33" s="4">
        <f ca="1">ROUND(T_Tiktok_ads[[#This Row],[video_views]]*RANDBETWEEN(8,12)/10,0)</f>
        <v>98888</v>
      </c>
      <c r="AN33" s="4">
        <f ca="1">ROUND(T_Tiktok_ads[[#This Row],[video_watch_25]]*RANDBETWEEN(8,12)/10,0)</f>
        <v>81234</v>
      </c>
      <c r="AO33" s="4">
        <f ca="1">ROUND(T_Tiktok_ads[[#This Row],[video_watch_50]]*RANDBETWEEN(8,12)/10,0)</f>
        <v>54678</v>
      </c>
      <c r="AP33" s="4">
        <f ca="1">ROUND(T_Tiktok_ads[[#This Row],[video_watch_75]]*RANDBETWEEN(8,12)/10,0)</f>
        <v>49481</v>
      </c>
      <c r="AQ33" s="4">
        <f ca="1">ROUND(T_Tiktok_ads[[#This Row],[video_watch_100]]*RANDBETWEEN(8,12)/10,0)</f>
        <v>27567</v>
      </c>
      <c r="AR33" s="4">
        <f ca="1">ROUND(T_Tiktok_ads[[#This Row],[likes]]*RANDBETWEEN(8,12)/10,0)</f>
        <v>6547</v>
      </c>
      <c r="AS33" s="4">
        <f ca="1">ROUND(T_Tiktok_ads[[#This Row],[shares]]*RANDBETWEEN(8,12)/10,0)</f>
        <v>1254</v>
      </c>
      <c r="AT33" s="4">
        <f ca="1">ROUND(T_Tiktok_ads[[#This Row],[comments]]*RANDBETWEEN(8,12)/10,0)</f>
        <v>347</v>
      </c>
      <c r="AV33" s="5">
        <f t="shared" ca="1" si="3"/>
        <v>45253</v>
      </c>
      <c r="AW33">
        <f t="shared" ca="1" si="4"/>
        <v>8</v>
      </c>
      <c r="AX33">
        <f ca="1">ROUND(T_Facebook_Ads1159636771757983879195[[#This Row],[impressions]]*RANDBETWEEN(8,12)/10,0)</f>
        <v>11799</v>
      </c>
      <c r="AY33">
        <f ca="1">ROUND(T_Facebook_Ads1159636771757983879195[[#This Row],[clicks]]*RANDBETWEEN(8,12)/10,0)</f>
        <v>795</v>
      </c>
      <c r="AZ33">
        <f ca="1">T_Facebook_Ads1159636771757983879195[[#This Row],[spend]]*RANDBETWEEN(8,12)/10</f>
        <v>230.76</v>
      </c>
      <c r="BA33">
        <f ca="1">ROUND(T_Facebook_Ads1159636771757983879195[[#This Row],[conversions]]*RANDBETWEEN(8,12)/10,0)</f>
        <v>42</v>
      </c>
      <c r="BB33">
        <f ca="1">ROUND(T_Facebook_Ads1159636771757983879195[[#This Row],[video_views]]*RANDBETWEEN(8,12)/10,0)</f>
        <v>1451</v>
      </c>
    </row>
    <row r="34" spans="1:54" ht="15.75" thickBot="1" x14ac:dyDescent="0.3">
      <c r="A34" s="3">
        <f t="shared" ref="A34:A65" ca="1" si="5">DATE(2023,11,RANDBETWEEN(1,30))</f>
        <v>45260</v>
      </c>
      <c r="B34" s="4" t="s">
        <v>60</v>
      </c>
      <c r="C34" s="4" t="s">
        <v>61</v>
      </c>
      <c r="D34" s="4" t="s">
        <v>62</v>
      </c>
      <c r="E34" s="4" t="s">
        <v>63</v>
      </c>
      <c r="F34" s="4">
        <f ca="1">ROUND(T_Facebook_Ads[[#This Row],[impressions]]*RANDBETWEEN(8,12)/10,0)</f>
        <v>43768</v>
      </c>
      <c r="G34" s="4">
        <v>1534</v>
      </c>
      <c r="H34" s="4">
        <f ca="1">T_Facebook_Ads[[#This Row],[spend]]*RANDBETWEEN(8,12)/10</f>
        <v>270.96000000000004</v>
      </c>
      <c r="I34" s="4">
        <f ca="1">ROUND(T_Facebook_Ads[[#This Row],[conversions]]*RANDBETWEEN(8,12)/10,0)</f>
        <v>28</v>
      </c>
      <c r="J34" s="4">
        <f ca="1">ROUND(T_Facebook_Ads[[#This Row],[video_views]]*RANDBETWEEN(8,12)/10,0)</f>
        <v>4910</v>
      </c>
      <c r="K34" s="4">
        <f ca="1">T_Facebook_Ads[[#This Row],[engagement_rate]]*RANDBETWEEN(8,12)/10</f>
        <v>3.8600000000000002E-2</v>
      </c>
      <c r="L34" s="4">
        <f ca="1">ROUND(T_Facebook_Ads[[#This Row],[reach]]*RANDBETWEEN(8,12)/10,0)</f>
        <v>26054</v>
      </c>
      <c r="M34" s="4">
        <f ca="1">T_Facebook_Ads[[#This Row],[frequency]]*RANDBETWEEN(8,12)/10</f>
        <v>1.464</v>
      </c>
      <c r="O34" s="3">
        <f t="shared" ref="O34:O65" ca="1" si="6">DATE(2023,11,RANDBETWEEN(1,30))</f>
        <v>45243</v>
      </c>
      <c r="P34" s="4" t="s">
        <v>84</v>
      </c>
      <c r="Q34" s="4" t="s">
        <v>85</v>
      </c>
      <c r="R34" s="4" t="s">
        <v>86</v>
      </c>
      <c r="S34" s="4" t="s">
        <v>87</v>
      </c>
      <c r="T34" s="4">
        <f ca="1">ROUND(_Google_ads[[#This Row],[impressions]]*RANDBETWEEN(8,12)/10,0)</f>
        <v>78357</v>
      </c>
      <c r="U34" s="4">
        <f ca="1">ROUND(_Google_ads[[#This Row],[clicks]]*RANDBETWEEN(8,12)/10,0)</f>
        <v>2210</v>
      </c>
      <c r="V34" s="4">
        <f ca="1">_Google_ads[[#This Row],[cost]]*RANDBETWEEN(8,12)/10</f>
        <v>534.96</v>
      </c>
      <c r="W34" s="4">
        <f ca="1">ROUND(_Google_ads[[#This Row],[conversions]]*RANDBETWEEN(8,12)/10,0)</f>
        <v>64</v>
      </c>
      <c r="X34" s="4">
        <f ca="1">ROUND(_Google_ads[[#This Row],[conversion_value]]*RANDBETWEEN(8,12)/10,0)</f>
        <v>3550</v>
      </c>
      <c r="Y34" s="4">
        <f ca="1">_Google_ads[[#This Row],[ctr]]*RANDBETWEEN(8,12)/10</f>
        <v>4.1400000000000006E-2</v>
      </c>
      <c r="Z34" s="4">
        <f ca="1">_Google_ads[[#This Row],[avg_cpc]]*RANDBETWEEN(8,12)/10</f>
        <v>0.21600000000000003</v>
      </c>
      <c r="AA34" s="4">
        <f ca="1">ROUND(_Google_ads[[#This Row],[quality_score]]*RANDBETWEEN(8,12)/10,0)</f>
        <v>10</v>
      </c>
      <c r="AB34" s="4">
        <f ca="1">_Google_ads[[#This Row],[search_impression_share]]*RANDBETWEEN(8,12)/10</f>
        <v>0.61199999999999999</v>
      </c>
      <c r="AD34" s="3">
        <f t="shared" ref="AD34:AD65" ca="1" si="7">DATE(2023,11,RANDBETWEEN(1,30))</f>
        <v>45244</v>
      </c>
      <c r="AE34" s="4" t="s">
        <v>108</v>
      </c>
      <c r="AF34" s="4" t="s">
        <v>109</v>
      </c>
      <c r="AG34" s="4" t="s">
        <v>110</v>
      </c>
      <c r="AH34" s="4" t="s">
        <v>111</v>
      </c>
      <c r="AI34" s="4">
        <f ca="1">ROUND(T_Tiktok_ads[[#This Row],[impressions]]*RANDBETWEEN(8,12)/10,0)</f>
        <v>234567</v>
      </c>
      <c r="AJ34" s="4">
        <f ca="1">ROUND(T_Tiktok_ads[[#This Row],[clicks]]*RANDBETWEEN(8,12)/10,0)</f>
        <v>4168</v>
      </c>
      <c r="AK34" s="4">
        <v>456.8</v>
      </c>
      <c r="AL34" s="4">
        <f ca="1">ROUND(T_Tiktok_ads[[#This Row],[conversions]]*RANDBETWEEN(8,12)/10,0)</f>
        <v>30</v>
      </c>
      <c r="AM34" s="4">
        <f ca="1">ROUND(T_Tiktok_ads[[#This Row],[video_views]]*RANDBETWEEN(8,12)/10,0)</f>
        <v>170311</v>
      </c>
      <c r="AN34" s="4">
        <f ca="1">ROUND(T_Tiktok_ads[[#This Row],[video_watch_25]]*RANDBETWEEN(8,12)/10,0)</f>
        <v>172280</v>
      </c>
      <c r="AO34" s="4">
        <f ca="1">ROUND(T_Tiktok_ads[[#This Row],[video_watch_50]]*RANDBETWEEN(8,12)/10,0)</f>
        <v>124802</v>
      </c>
      <c r="AP34" s="4">
        <f ca="1">ROUND(T_Tiktok_ads[[#This Row],[video_watch_75]]*RANDBETWEEN(8,12)/10,0)</f>
        <v>66110</v>
      </c>
      <c r="AQ34" s="4">
        <f ca="1">ROUND(T_Tiktok_ads[[#This Row],[video_watch_100]]*RANDBETWEEN(8,12)/10,0)</f>
        <v>44567</v>
      </c>
      <c r="AR34" s="4">
        <f ca="1">ROUND(T_Tiktok_ads[[#This Row],[likes]]*RANDBETWEEN(8,12)/10,0)</f>
        <v>10547</v>
      </c>
      <c r="AS34" s="4">
        <f ca="1">ROUND(T_Tiktok_ads[[#This Row],[shares]]*RANDBETWEEN(8,12)/10,0)</f>
        <v>2434</v>
      </c>
      <c r="AT34" s="4">
        <f ca="1">ROUND(T_Tiktok_ads[[#This Row],[comments]]*RANDBETWEEN(8,12)/10,0)</f>
        <v>567</v>
      </c>
      <c r="AV34" s="5">
        <f t="shared" ref="AV34:AV65" ca="1" si="8">DATE(2023,11,RANDBETWEEN(1,30))</f>
        <v>45245</v>
      </c>
      <c r="AW34">
        <f t="shared" ca="1" si="4"/>
        <v>6</v>
      </c>
      <c r="AX34">
        <f ca="1">ROUND(T_Facebook_Ads1159636771757983879195[[#This Row],[impressions]]*RANDBETWEEN(8,12)/10,0)</f>
        <v>35014</v>
      </c>
      <c r="AY34">
        <f ca="1">ROUND(T_Facebook_Ads1159636771757983879195[[#This Row],[clicks]]*RANDBETWEEN(8,12)/10,0)</f>
        <v>1841</v>
      </c>
      <c r="AZ34">
        <f ca="1">T_Facebook_Ads1159636771757983879195[[#This Row],[spend]]*RANDBETWEEN(8,12)/10</f>
        <v>216.76800000000003</v>
      </c>
      <c r="BA34">
        <f ca="1">ROUND(T_Facebook_Ads1159636771757983879195[[#This Row],[conversions]]*RANDBETWEEN(8,12)/10,0)</f>
        <v>25</v>
      </c>
      <c r="BB34">
        <f ca="1">ROUND(T_Facebook_Ads1159636771757983879195[[#This Row],[video_views]]*RANDBETWEEN(8,12)/10,0)</f>
        <v>3928</v>
      </c>
    </row>
    <row r="35" spans="1:54" ht="15.75" thickBot="1" x14ac:dyDescent="0.3">
      <c r="A35" s="3">
        <f t="shared" ca="1" si="5"/>
        <v>45252</v>
      </c>
      <c r="B35" s="4" t="s">
        <v>64</v>
      </c>
      <c r="C35" s="4" t="s">
        <v>65</v>
      </c>
      <c r="D35" s="4" t="s">
        <v>66</v>
      </c>
      <c r="E35" s="4" t="s">
        <v>67</v>
      </c>
      <c r="F35" s="4">
        <f ca="1">ROUND(T_Facebook_Ads[[#This Row],[impressions]]*RANDBETWEEN(8,12)/10,0)</f>
        <v>60987</v>
      </c>
      <c r="G35" s="4">
        <v>278</v>
      </c>
      <c r="H35" s="4">
        <f ca="1">T_Facebook_Ads[[#This Row],[spend]]*RANDBETWEEN(8,12)/10</f>
        <v>81.2</v>
      </c>
      <c r="I35" s="4">
        <f ca="1">ROUND(T_Facebook_Ads[[#This Row],[conversions]]*RANDBETWEEN(8,12)/10,0)</f>
        <v>6</v>
      </c>
      <c r="J35" s="4">
        <f ca="1">ROUND(T_Facebook_Ads[[#This Row],[video_views]]*RANDBETWEEN(8,12)/10,0)</f>
        <v>47111</v>
      </c>
      <c r="K35" s="4">
        <f ca="1">T_Facebook_Ads[[#This Row],[engagement_rate]]*RANDBETWEEN(8,12)/10</f>
        <v>3.7000000000000006E-3</v>
      </c>
      <c r="L35" s="4">
        <f ca="1">ROUND(T_Facebook_Ads[[#This Row],[reach]]*RANDBETWEEN(8,12)/10,0)</f>
        <v>62456</v>
      </c>
      <c r="M35" s="4">
        <f ca="1">T_Facebook_Ads[[#This Row],[frequency]]*RANDBETWEEN(8,12)/10</f>
        <v>1.464</v>
      </c>
      <c r="O35" s="3">
        <f t="shared" ca="1" si="6"/>
        <v>45235</v>
      </c>
      <c r="P35" s="4" t="s">
        <v>88</v>
      </c>
      <c r="Q35" s="4" t="s">
        <v>89</v>
      </c>
      <c r="R35" s="4" t="s">
        <v>90</v>
      </c>
      <c r="S35" s="4" t="s">
        <v>59</v>
      </c>
      <c r="T35" s="4">
        <f ca="1">ROUND(_Google_ads[[#This Row],[impressions]]*RANDBETWEEN(8,12)/10,0)</f>
        <v>150468</v>
      </c>
      <c r="U35" s="4">
        <f ca="1">ROUND(_Google_ads[[#This Row],[clicks]]*RANDBETWEEN(8,12)/10,0)</f>
        <v>461</v>
      </c>
      <c r="V35" s="4">
        <f ca="1">_Google_ads[[#This Row],[cost]]*RANDBETWEEN(8,12)/10</f>
        <v>113.84</v>
      </c>
      <c r="W35" s="4">
        <f ca="1">ROUND(_Google_ads[[#This Row],[conversions]]*RANDBETWEEN(8,12)/10,0)</f>
        <v>15</v>
      </c>
      <c r="X35" s="4">
        <f ca="1">ROUND(_Google_ads[[#This Row],[conversion_value]]*RANDBETWEEN(8,12)/10,0)</f>
        <v>900</v>
      </c>
      <c r="Y35" s="4">
        <f ca="1">_Google_ads[[#This Row],[ctr]]*RANDBETWEEN(8,12)/10</f>
        <v>3.7000000000000006E-3</v>
      </c>
      <c r="Z35" s="4">
        <f ca="1">_Google_ads[[#This Row],[avg_cpc]]*RANDBETWEEN(8,12)/10</f>
        <v>0.33600000000000002</v>
      </c>
      <c r="AA35" s="4">
        <f ca="1">ROUND(_Google_ads[[#This Row],[quality_score]]*RANDBETWEEN(8,12)/10,0)</f>
        <v>8</v>
      </c>
      <c r="AB35" s="4">
        <f ca="1">_Google_ads[[#This Row],[search_impression_share]]*RANDBETWEEN(8,12)/10</f>
        <v>0.36</v>
      </c>
      <c r="AD35" s="3">
        <f t="shared" ca="1" si="7"/>
        <v>45239</v>
      </c>
      <c r="AE35" s="4" t="s">
        <v>112</v>
      </c>
      <c r="AF35" s="4" t="s">
        <v>113</v>
      </c>
      <c r="AG35" s="4" t="s">
        <v>114</v>
      </c>
      <c r="AH35" s="4" t="s">
        <v>115</v>
      </c>
      <c r="AI35" s="4">
        <f ca="1">ROUND(T_Tiktok_ads[[#This Row],[impressions]]*RANDBETWEEN(8,12)/10,0)</f>
        <v>329876</v>
      </c>
      <c r="AJ35" s="4">
        <f ca="1">ROUND(T_Tiktok_ads[[#This Row],[clicks]]*RANDBETWEEN(8,12)/10,0)</f>
        <v>5431</v>
      </c>
      <c r="AK35" s="4">
        <v>1023.4</v>
      </c>
      <c r="AL35" s="4">
        <f ca="1">ROUND(T_Tiktok_ads[[#This Row],[conversions]]*RANDBETWEEN(8,12)/10,0)</f>
        <v>103</v>
      </c>
      <c r="AM35" s="4">
        <f ca="1">ROUND(T_Tiktok_ads[[#This Row],[video_views]]*RANDBETWEEN(8,12)/10,0)</f>
        <v>276542</v>
      </c>
      <c r="AN35" s="4">
        <f ca="1">ROUND(T_Tiktok_ads[[#This Row],[video_watch_25]]*RANDBETWEEN(8,12)/10,0)</f>
        <v>223121</v>
      </c>
      <c r="AO35" s="4">
        <f ca="1">ROUND(T_Tiktok_ads[[#This Row],[video_watch_50]]*RANDBETWEEN(8,12)/10,0)</f>
        <v>223456</v>
      </c>
      <c r="AP35" s="4">
        <f ca="1">ROUND(T_Tiktok_ads[[#This Row],[video_watch_75]]*RANDBETWEEN(8,12)/10,0)</f>
        <v>175157</v>
      </c>
      <c r="AQ35" s="4">
        <f ca="1">ROUND(T_Tiktok_ads[[#This Row],[video_watch_100]]*RANDBETWEEN(8,12)/10,0)</f>
        <v>116246</v>
      </c>
      <c r="AR35" s="4">
        <f ca="1">ROUND(T_Tiktok_ads[[#This Row],[likes]]*RANDBETWEEN(8,12)/10,0)</f>
        <v>21881</v>
      </c>
      <c r="AS35" s="4">
        <f ca="1">ROUND(T_Tiktok_ads[[#This Row],[shares]]*RANDBETWEEN(8,12)/10,0)</f>
        <v>4711</v>
      </c>
      <c r="AT35" s="4">
        <f ca="1">ROUND(T_Tiktok_ads[[#This Row],[comments]]*RANDBETWEEN(8,12)/10,0)</f>
        <v>1165</v>
      </c>
      <c r="AV35" s="5">
        <f t="shared" ca="1" si="8"/>
        <v>45244</v>
      </c>
      <c r="AW35">
        <f t="shared" ca="1" si="4"/>
        <v>2</v>
      </c>
      <c r="AX35">
        <f ca="1">ROUND(T_Facebook_Ads1159636771757983879195[[#This Row],[impressions]]*RANDBETWEEN(8,12)/10,0)</f>
        <v>60987</v>
      </c>
      <c r="AY35">
        <f ca="1">ROUND(T_Facebook_Ads1159636771757983879195[[#This Row],[clicks]]*RANDBETWEEN(8,12)/10,0)</f>
        <v>334</v>
      </c>
      <c r="AZ35">
        <f ca="1">T_Facebook_Ads1159636771757983879195[[#This Row],[spend]]*RANDBETWEEN(8,12)/10</f>
        <v>64.960000000000008</v>
      </c>
      <c r="BA35">
        <f ca="1">ROUND(T_Facebook_Ads1159636771757983879195[[#This Row],[conversions]]*RANDBETWEEN(8,12)/10,0)</f>
        <v>5</v>
      </c>
      <c r="BB35">
        <f ca="1">ROUND(T_Facebook_Ads1159636771757983879195[[#This Row],[video_views]]*RANDBETWEEN(8,12)/10,0)</f>
        <v>56533</v>
      </c>
    </row>
    <row r="36" spans="1:54" ht="15.75" thickBot="1" x14ac:dyDescent="0.3">
      <c r="A36" s="3">
        <f t="shared" ca="1" si="5"/>
        <v>45258</v>
      </c>
      <c r="B36" s="4" t="s">
        <v>52</v>
      </c>
      <c r="C36" s="4" t="s">
        <v>53</v>
      </c>
      <c r="D36" s="4" t="s">
        <v>54</v>
      </c>
      <c r="E36" s="4" t="s">
        <v>55</v>
      </c>
      <c r="F36" s="4">
        <f ca="1">ROUND(T_Facebook_Ads[[#This Row],[impressions]]*RANDBETWEEN(8,12)/10,0)</f>
        <v>39387</v>
      </c>
      <c r="G36" s="4">
        <v>1012</v>
      </c>
      <c r="H36" s="4">
        <f ca="1">T_Facebook_Ads[[#This Row],[spend]]*RANDBETWEEN(8,12)/10</f>
        <v>112.24000000000001</v>
      </c>
      <c r="I36" s="4">
        <f ca="1">ROUND(T_Facebook_Ads[[#This Row],[conversions]]*RANDBETWEEN(8,12)/10,0)</f>
        <v>15</v>
      </c>
      <c r="J36" s="4">
        <f ca="1">ROUND(T_Facebook_Ads[[#This Row],[video_views]]*RANDBETWEEN(8,12)/10,0)</f>
        <v>9123</v>
      </c>
      <c r="K36" s="4">
        <f ca="1">T_Facebook_Ads[[#This Row],[engagement_rate]]*RANDBETWEEN(8,12)/10</f>
        <v>2.06E-2</v>
      </c>
      <c r="L36" s="4">
        <f ca="1">ROUND(T_Facebook_Ads[[#This Row],[reach]]*RANDBETWEEN(8,12)/10,0)</f>
        <v>37410</v>
      </c>
      <c r="M36" s="4">
        <f ca="1">T_Facebook_Ads[[#This Row],[frequency]]*RANDBETWEEN(8,12)/10</f>
        <v>1.0619999999999998</v>
      </c>
      <c r="O36" s="3">
        <f t="shared" ca="1" si="6"/>
        <v>45256</v>
      </c>
      <c r="P36" s="4" t="s">
        <v>76</v>
      </c>
      <c r="Q36" s="4" t="s">
        <v>77</v>
      </c>
      <c r="R36" s="4" t="s">
        <v>78</v>
      </c>
      <c r="S36" s="4" t="s">
        <v>79</v>
      </c>
      <c r="T36" s="4">
        <f ca="1">ROUND(_Google_ads[[#This Row],[impressions]]*RANDBETWEEN(8,12)/10,0)</f>
        <v>30148</v>
      </c>
      <c r="U36" s="4">
        <f ca="1">ROUND(_Google_ads[[#This Row],[clicks]]*RANDBETWEEN(8,12)/10,0)</f>
        <v>1574</v>
      </c>
      <c r="V36" s="4">
        <f ca="1">_Google_ads[[#This Row],[cost]]*RANDBETWEEN(8,12)/10</f>
        <v>275.44</v>
      </c>
      <c r="W36" s="4">
        <f ca="1">ROUND(_Google_ads[[#This Row],[conversions]]*RANDBETWEEN(8,12)/10,0)</f>
        <v>49</v>
      </c>
      <c r="X36" s="4">
        <f ca="1">ROUND(_Google_ads[[#This Row],[conversion_value]]*RANDBETWEEN(8,12)/10,0)</f>
        <v>2450</v>
      </c>
      <c r="Y36" s="4">
        <f ca="1">_Google_ads[[#This Row],[ctr]]*RANDBETWEEN(8,12)/10</f>
        <v>4.6980000000000008E-2</v>
      </c>
      <c r="Z36" s="4">
        <f ca="1">_Google_ads[[#This Row],[avg_cpc]]*RANDBETWEEN(8,12)/10</f>
        <v>0.22800000000000004</v>
      </c>
      <c r="AA36" s="4">
        <f ca="1">ROUND(_Google_ads[[#This Row],[quality_score]]*RANDBETWEEN(8,12)/10,0)</f>
        <v>9</v>
      </c>
      <c r="AB36" s="4">
        <f ca="1">_Google_ads[[#This Row],[search_impression_share]]*RANDBETWEEN(8,12)/10</f>
        <v>1.0920000000000001</v>
      </c>
      <c r="AD36" s="3">
        <f t="shared" ca="1" si="7"/>
        <v>45259</v>
      </c>
      <c r="AE36" s="4" t="s">
        <v>100</v>
      </c>
      <c r="AF36" s="4" t="s">
        <v>101</v>
      </c>
      <c r="AG36" s="4" t="s">
        <v>102</v>
      </c>
      <c r="AH36" s="4" t="s">
        <v>103</v>
      </c>
      <c r="AI36" s="4">
        <f ca="1">ROUND(T_Tiktok_ads[[#This Row],[impressions]]*RANDBETWEEN(8,12)/10,0)</f>
        <v>267890</v>
      </c>
      <c r="AJ36" s="4">
        <f ca="1">ROUND(T_Tiktok_ads[[#This Row],[clicks]]*RANDBETWEEN(8,12)/10,0)</f>
        <v>4340</v>
      </c>
      <c r="AK36" s="4">
        <v>501.2</v>
      </c>
      <c r="AL36" s="4">
        <f ca="1">ROUND(T_Tiktok_ads[[#This Row],[conversions]]*RANDBETWEEN(8,12)/10,0)</f>
        <v>40</v>
      </c>
      <c r="AM36" s="4">
        <f ca="1">ROUND(T_Tiktok_ads[[#This Row],[video_views]]*RANDBETWEEN(8,12)/10,0)</f>
        <v>243357</v>
      </c>
      <c r="AN36" s="4">
        <f ca="1">ROUND(T_Tiktok_ads[[#This Row],[video_watch_25]]*RANDBETWEEN(8,12)/10,0)</f>
        <v>190802</v>
      </c>
      <c r="AO36" s="4">
        <f ca="1">ROUND(T_Tiktok_ads[[#This Row],[video_watch_50]]*RANDBETWEEN(8,12)/10,0)</f>
        <v>120157</v>
      </c>
      <c r="AP36" s="4">
        <f ca="1">ROUND(T_Tiktok_ads[[#This Row],[video_watch_75]]*RANDBETWEEN(8,12)/10,0)</f>
        <v>58854</v>
      </c>
      <c r="AQ36" s="4">
        <f ca="1">ROUND(T_Tiktok_ads[[#This Row],[video_watch_100]]*RANDBETWEEN(8,12)/10,0)</f>
        <v>39387</v>
      </c>
      <c r="AR36" s="4">
        <f ca="1">ROUND(T_Tiktok_ads[[#This Row],[likes]]*RANDBETWEEN(8,12)/10,0)</f>
        <v>9789</v>
      </c>
      <c r="AS36" s="4">
        <f ca="1">ROUND(T_Tiktok_ads[[#This Row],[shares]]*RANDBETWEEN(8,12)/10,0)</f>
        <v>2371</v>
      </c>
      <c r="AT36" s="4">
        <f ca="1">ROUND(T_Tiktok_ads[[#This Row],[comments]]*RANDBETWEEN(8,12)/10,0)</f>
        <v>498</v>
      </c>
      <c r="AV36" s="5">
        <f t="shared" ca="1" si="8"/>
        <v>45246</v>
      </c>
      <c r="AW36">
        <f t="shared" ca="1" si="4"/>
        <v>6</v>
      </c>
      <c r="AX36">
        <f ca="1">ROUND(T_Facebook_Ads1159636771757983879195[[#This Row],[impressions]]*RANDBETWEEN(8,12)/10,0)</f>
        <v>39387</v>
      </c>
      <c r="AY36">
        <f ca="1">ROUND(T_Facebook_Ads1159636771757983879195[[#This Row],[clicks]]*RANDBETWEEN(8,12)/10,0)</f>
        <v>1214</v>
      </c>
      <c r="AZ36">
        <f ca="1">T_Facebook_Ads1159636771757983879195[[#This Row],[spend]]*RANDBETWEEN(8,12)/10</f>
        <v>89.792000000000002</v>
      </c>
      <c r="BA36">
        <f ca="1">ROUND(T_Facebook_Ads1159636771757983879195[[#This Row],[conversions]]*RANDBETWEEN(8,12)/10,0)</f>
        <v>17</v>
      </c>
      <c r="BB36">
        <f ca="1">ROUND(T_Facebook_Ads1159636771757983879195[[#This Row],[video_views]]*RANDBETWEEN(8,12)/10,0)</f>
        <v>10948</v>
      </c>
    </row>
    <row r="37" spans="1:54" ht="15.75" thickBot="1" x14ac:dyDescent="0.3">
      <c r="A37" s="3">
        <f t="shared" ca="1" si="5"/>
        <v>45253</v>
      </c>
      <c r="B37" s="4" t="s">
        <v>56</v>
      </c>
      <c r="C37" s="4" t="s">
        <v>57</v>
      </c>
      <c r="D37" s="4" t="s">
        <v>58</v>
      </c>
      <c r="E37" s="4" t="s">
        <v>59</v>
      </c>
      <c r="F37" s="4">
        <f ca="1">ROUND(T_Facebook_Ads[[#This Row],[impressions]]*RANDBETWEEN(8,12)/10,0)</f>
        <v>10765</v>
      </c>
      <c r="G37" s="4">
        <v>634</v>
      </c>
      <c r="H37" s="4">
        <f ca="1">T_Facebook_Ads[[#This Row],[spend]]*RANDBETWEEN(8,12)/10</f>
        <v>215.72999999999996</v>
      </c>
      <c r="I37" s="4">
        <f ca="1">ROUND(T_Facebook_Ads[[#This Row],[conversions]]*RANDBETWEEN(8,12)/10,0)</f>
        <v>35</v>
      </c>
      <c r="J37" s="4">
        <f ca="1">ROUND(T_Facebook_Ads[[#This Row],[video_views]]*RANDBETWEEN(8,12)/10,0)</f>
        <v>1654</v>
      </c>
      <c r="K37" s="4">
        <f ca="1">T_Facebook_Ads[[#This Row],[engagement_rate]]*RANDBETWEEN(8,12)/10</f>
        <v>4.7100000000000003E-2</v>
      </c>
      <c r="L37" s="4">
        <f ca="1">ROUND(T_Facebook_Ads[[#This Row],[reach]]*RANDBETWEEN(8,12)/10,0)</f>
        <v>8454</v>
      </c>
      <c r="M37" s="4">
        <f ca="1">T_Facebook_Ads[[#This Row],[frequency]]*RANDBETWEEN(8,12)/10</f>
        <v>1.143</v>
      </c>
      <c r="O37" s="3">
        <f t="shared" ca="1" si="6"/>
        <v>45257</v>
      </c>
      <c r="P37" s="4" t="s">
        <v>80</v>
      </c>
      <c r="Q37" s="4" t="s">
        <v>81</v>
      </c>
      <c r="R37" s="4" t="s">
        <v>82</v>
      </c>
      <c r="S37" s="4" t="s">
        <v>83</v>
      </c>
      <c r="T37" s="4">
        <f ca="1">ROUND(_Google_ads[[#This Row],[impressions]]*RANDBETWEEN(8,12)/10,0)</f>
        <v>41910</v>
      </c>
      <c r="U37" s="4">
        <f ca="1">ROUND(_Google_ads[[#This Row],[clicks]]*RANDBETWEEN(8,12)/10,0)</f>
        <v>1003</v>
      </c>
      <c r="V37" s="4">
        <f ca="1">_Google_ads[[#This Row],[cost]]*RANDBETWEEN(8,12)/10</f>
        <v>596.70000000000005</v>
      </c>
      <c r="W37" s="4">
        <f ca="1">ROUND(_Google_ads[[#This Row],[conversions]]*RANDBETWEEN(8,12)/10,0)</f>
        <v>24</v>
      </c>
      <c r="X37" s="4">
        <f ca="1">ROUND(_Google_ads[[#This Row],[conversion_value]]*RANDBETWEEN(8,12)/10,0)</f>
        <v>1200</v>
      </c>
      <c r="Y37" s="4">
        <f ca="1">_Google_ads[[#This Row],[ctr]]*RANDBETWEEN(8,12)/10</f>
        <v>1.5679999999999999E-2</v>
      </c>
      <c r="Z37" s="4">
        <f ca="1">_Google_ads[[#This Row],[avg_cpc]]*RANDBETWEEN(8,12)/10</f>
        <v>0.58500000000000008</v>
      </c>
      <c r="AA37" s="4">
        <f ca="1">ROUND(_Google_ads[[#This Row],[quality_score]]*RANDBETWEEN(8,12)/10,0)</f>
        <v>8</v>
      </c>
      <c r="AB37" s="4">
        <f ca="1">_Google_ads[[#This Row],[search_impression_share]]*RANDBETWEEN(8,12)/10</f>
        <v>0.45</v>
      </c>
      <c r="AD37" s="3">
        <f t="shared" ca="1" si="7"/>
        <v>45254</v>
      </c>
      <c r="AE37" s="4" t="s">
        <v>104</v>
      </c>
      <c r="AF37" s="4" t="s">
        <v>105</v>
      </c>
      <c r="AG37" s="4" t="s">
        <v>106</v>
      </c>
      <c r="AH37" s="4" t="s">
        <v>107</v>
      </c>
      <c r="AI37" s="4">
        <f ca="1">ROUND(T_Tiktok_ads[[#This Row],[impressions]]*RANDBETWEEN(8,12)/10,0)</f>
        <v>119121</v>
      </c>
      <c r="AJ37" s="4">
        <f ca="1">ROUND(T_Tiktok_ads[[#This Row],[clicks]]*RANDBETWEEN(8,12)/10,0)</f>
        <v>2267</v>
      </c>
      <c r="AK37" s="4">
        <v>767.5</v>
      </c>
      <c r="AL37" s="4">
        <f ca="1">ROUND(T_Tiktok_ads[[#This Row],[conversions]]*RANDBETWEEN(8,12)/10,0)</f>
        <v>77</v>
      </c>
      <c r="AM37" s="4">
        <f ca="1">ROUND(T_Tiktok_ads[[#This Row],[video_views]]*RANDBETWEEN(8,12)/10,0)</f>
        <v>93110</v>
      </c>
      <c r="AN37" s="4">
        <f ca="1">ROUND(T_Tiktok_ads[[#This Row],[video_watch_25]]*RANDBETWEEN(8,12)/10,0)</f>
        <v>83857</v>
      </c>
      <c r="AO37" s="4">
        <f ca="1">ROUND(T_Tiktok_ads[[#This Row],[video_watch_50]]*RANDBETWEEN(8,12)/10,0)</f>
        <v>51234</v>
      </c>
      <c r="AP37" s="4">
        <f ca="1">ROUND(T_Tiktok_ads[[#This Row],[video_watch_75]]*RANDBETWEEN(8,12)/10,0)</f>
        <v>38567</v>
      </c>
      <c r="AQ37" s="4">
        <f ca="1">ROUND(T_Tiktok_ads[[#This Row],[video_watch_100]]*RANDBETWEEN(8,12)/10,0)</f>
        <v>28368</v>
      </c>
      <c r="AR37" s="4">
        <f ca="1">ROUND(T_Tiktok_ads[[#This Row],[likes]]*RANDBETWEEN(8,12)/10,0)</f>
        <v>6148</v>
      </c>
      <c r="AS37" s="4">
        <f ca="1">ROUND(T_Tiktok_ads[[#This Row],[shares]]*RANDBETWEEN(8,12)/10,0)</f>
        <v>1747</v>
      </c>
      <c r="AT37" s="4">
        <f ca="1">ROUND(T_Tiktok_ads[[#This Row],[comments]]*RANDBETWEEN(8,12)/10,0)</f>
        <v>222</v>
      </c>
      <c r="AV37" s="5">
        <f t="shared" ca="1" si="8"/>
        <v>45240</v>
      </c>
      <c r="AW37">
        <f t="shared" ca="1" si="4"/>
        <v>8</v>
      </c>
      <c r="AX37">
        <f ca="1">ROUND(T_Facebook_Ads1159636771757983879195[[#This Row],[impressions]]*RANDBETWEEN(8,12)/10,0)</f>
        <v>9689</v>
      </c>
      <c r="AY37">
        <f ca="1">ROUND(T_Facebook_Ads1159636771757983879195[[#This Row],[clicks]]*RANDBETWEEN(8,12)/10,0)</f>
        <v>697</v>
      </c>
      <c r="AZ37">
        <f ca="1">T_Facebook_Ads1159636771757983879195[[#This Row],[spend]]*RANDBETWEEN(8,12)/10</f>
        <v>237.30299999999997</v>
      </c>
      <c r="BA37">
        <f ca="1">ROUND(T_Facebook_Ads1159636771757983879195[[#This Row],[conversions]]*RANDBETWEEN(8,12)/10,0)</f>
        <v>42</v>
      </c>
      <c r="BB37">
        <f ca="1">ROUND(T_Facebook_Ads1159636771757983879195[[#This Row],[video_views]]*RANDBETWEEN(8,12)/10,0)</f>
        <v>1654</v>
      </c>
    </row>
    <row r="38" spans="1:54" ht="15.75" thickBot="1" x14ac:dyDescent="0.3">
      <c r="A38" s="3">
        <f t="shared" ca="1" si="5"/>
        <v>45258</v>
      </c>
      <c r="B38" s="4" t="s">
        <v>60</v>
      </c>
      <c r="C38" s="4" t="s">
        <v>61</v>
      </c>
      <c r="D38" s="4" t="s">
        <v>62</v>
      </c>
      <c r="E38" s="4" t="s">
        <v>63</v>
      </c>
      <c r="F38" s="4">
        <f ca="1">ROUND(T_Facebook_Ads[[#This Row],[impressions]]*RANDBETWEEN(8,12)/10,0)</f>
        <v>45468</v>
      </c>
      <c r="G38" s="4">
        <v>1398</v>
      </c>
      <c r="H38" s="4">
        <f ca="1">T_Facebook_Ads[[#This Row],[spend]]*RANDBETWEEN(8,12)/10</f>
        <v>212.4</v>
      </c>
      <c r="I38" s="4">
        <f ca="1">ROUND(T_Facebook_Ads[[#This Row],[conversions]]*RANDBETWEEN(8,12)/10,0)</f>
        <v>28</v>
      </c>
      <c r="J38" s="4">
        <f ca="1">ROUND(T_Facebook_Ads[[#This Row],[video_views]]*RANDBETWEEN(8,12)/10,0)</f>
        <v>6014</v>
      </c>
      <c r="K38" s="4">
        <f ca="1">T_Facebook_Ads[[#This Row],[engagement_rate]]*RANDBETWEEN(8,12)/10</f>
        <v>2.9520000000000001E-2</v>
      </c>
      <c r="L38" s="4">
        <f ca="1">ROUND(T_Facebook_Ads[[#This Row],[reach]]*RANDBETWEEN(8,12)/10,0)</f>
        <v>24712</v>
      </c>
      <c r="M38" s="4">
        <f ca="1">T_Facebook_Ads[[#This Row],[frequency]]*RANDBETWEEN(8,12)/10</f>
        <v>1.353</v>
      </c>
      <c r="O38" s="3">
        <f t="shared" ca="1" si="6"/>
        <v>45235</v>
      </c>
      <c r="P38" s="4" t="s">
        <v>84</v>
      </c>
      <c r="Q38" s="4" t="s">
        <v>85</v>
      </c>
      <c r="R38" s="4" t="s">
        <v>86</v>
      </c>
      <c r="S38" s="4" t="s">
        <v>87</v>
      </c>
      <c r="T38" s="4">
        <f ca="1">ROUND(_Google_ads[[#This Row],[impressions]]*RANDBETWEEN(8,12)/10,0)</f>
        <v>76879</v>
      </c>
      <c r="U38" s="4">
        <f ca="1">ROUND(_Google_ads[[#This Row],[clicks]]*RANDBETWEEN(8,12)/10,0)</f>
        <v>2334</v>
      </c>
      <c r="V38" s="4">
        <f ca="1">_Google_ads[[#This Row],[cost]]*RANDBETWEEN(8,12)/10</f>
        <v>428.9</v>
      </c>
      <c r="W38" s="4">
        <f ca="1">ROUND(_Google_ads[[#This Row],[conversions]]*RANDBETWEEN(8,12)/10,0)</f>
        <v>53</v>
      </c>
      <c r="X38" s="4">
        <f ca="1">ROUND(_Google_ads[[#This Row],[conversion_value]]*RANDBETWEEN(8,12)/10,0)</f>
        <v>3960</v>
      </c>
      <c r="Y38" s="4">
        <f ca="1">_Google_ads[[#This Row],[ctr]]*RANDBETWEEN(8,12)/10</f>
        <v>3.0059999999999996E-2</v>
      </c>
      <c r="Z38" s="4">
        <f ca="1">_Google_ads[[#This Row],[avg_cpc]]*RANDBETWEEN(8,12)/10</f>
        <v>0.14399999999999999</v>
      </c>
      <c r="AA38" s="4">
        <f ca="1">ROUND(_Google_ads[[#This Row],[quality_score]]*RANDBETWEEN(8,12)/10,0)</f>
        <v>10</v>
      </c>
      <c r="AB38" s="4">
        <f ca="1">_Google_ads[[#This Row],[search_impression_share]]*RANDBETWEEN(8,12)/10</f>
        <v>0.73699999999999999</v>
      </c>
      <c r="AD38" s="3">
        <f t="shared" ca="1" si="7"/>
        <v>45239</v>
      </c>
      <c r="AE38" s="4" t="s">
        <v>108</v>
      </c>
      <c r="AF38" s="4" t="s">
        <v>109</v>
      </c>
      <c r="AG38" s="4" t="s">
        <v>110</v>
      </c>
      <c r="AH38" s="4" t="s">
        <v>111</v>
      </c>
      <c r="AI38" s="4">
        <f ca="1">ROUND(T_Tiktok_ads[[#This Row],[impressions]]*RANDBETWEEN(8,12)/10,0)</f>
        <v>251791</v>
      </c>
      <c r="AJ38" s="4">
        <f ca="1">ROUND(T_Tiktok_ads[[#This Row],[clicks]]*RANDBETWEEN(8,12)/10,0)</f>
        <v>3634</v>
      </c>
      <c r="AK38" s="4">
        <v>441.9</v>
      </c>
      <c r="AL38" s="4">
        <f ca="1">ROUND(T_Tiktok_ads[[#This Row],[conversions]]*RANDBETWEEN(8,12)/10,0)</f>
        <v>37</v>
      </c>
      <c r="AM38" s="4">
        <f ca="1">ROUND(T_Tiktok_ads[[#This Row],[video_views]]*RANDBETWEEN(8,12)/10,0)</f>
        <v>200580</v>
      </c>
      <c r="AN38" s="4">
        <f ca="1">ROUND(T_Tiktok_ads[[#This Row],[video_watch_25]]*RANDBETWEEN(8,12)/10,0)</f>
        <v>124101</v>
      </c>
      <c r="AO38" s="4">
        <f ca="1">ROUND(T_Tiktok_ads[[#This Row],[video_watch_50]]*RANDBETWEEN(8,12)/10,0)</f>
        <v>119791</v>
      </c>
      <c r="AP38" s="4">
        <f ca="1">ROUND(T_Tiktok_ads[[#This Row],[video_watch_75]]*RANDBETWEEN(8,12)/10,0)</f>
        <v>63510</v>
      </c>
      <c r="AQ38" s="4">
        <f ca="1">ROUND(T_Tiktok_ads[[#This Row],[video_watch_100]]*RANDBETWEEN(8,12)/10,0)</f>
        <v>34231</v>
      </c>
      <c r="AR38" s="4">
        <f ca="1">ROUND(T_Tiktok_ads[[#This Row],[likes]]*RANDBETWEEN(8,12)/10,0)</f>
        <v>8456</v>
      </c>
      <c r="AS38" s="4">
        <f ca="1">ROUND(T_Tiktok_ads[[#This Row],[shares]]*RANDBETWEEN(8,12)/10,0)</f>
        <v>2761</v>
      </c>
      <c r="AT38" s="4">
        <f ca="1">ROUND(T_Tiktok_ads[[#This Row],[comments]]*RANDBETWEEN(8,12)/10,0)</f>
        <v>600</v>
      </c>
      <c r="AV38" s="5">
        <f t="shared" ca="1" si="8"/>
        <v>45247</v>
      </c>
      <c r="AW38">
        <f t="shared" ca="1" si="4"/>
        <v>3</v>
      </c>
      <c r="AX38">
        <f ca="1">ROUND(T_Facebook_Ads1159636771757983879195[[#This Row],[impressions]]*RANDBETWEEN(8,12)/10,0)</f>
        <v>36374</v>
      </c>
      <c r="AY38">
        <f ca="1">ROUND(T_Facebook_Ads1159636771757983879195[[#This Row],[clicks]]*RANDBETWEEN(8,12)/10,0)</f>
        <v>1538</v>
      </c>
      <c r="AZ38">
        <f ca="1">T_Facebook_Ads1159636771757983879195[[#This Row],[spend]]*RANDBETWEEN(8,12)/10</f>
        <v>191.16000000000003</v>
      </c>
      <c r="BA38">
        <f ca="1">ROUND(T_Facebook_Ads1159636771757983879195[[#This Row],[conversions]]*RANDBETWEEN(8,12)/10,0)</f>
        <v>34</v>
      </c>
      <c r="BB38">
        <f ca="1">ROUND(T_Facebook_Ads1159636771757983879195[[#This Row],[video_views]]*RANDBETWEEN(8,12)/10,0)</f>
        <v>4811</v>
      </c>
    </row>
    <row r="39" spans="1:54" ht="15.75" thickBot="1" x14ac:dyDescent="0.3">
      <c r="A39" s="3">
        <f t="shared" ca="1" si="5"/>
        <v>45258</v>
      </c>
      <c r="B39" s="4" t="s">
        <v>64</v>
      </c>
      <c r="C39" s="4" t="s">
        <v>65</v>
      </c>
      <c r="D39" s="4" t="s">
        <v>66</v>
      </c>
      <c r="E39" s="4" t="s">
        <v>67</v>
      </c>
      <c r="F39" s="4">
        <f ca="1">ROUND(T_Facebook_Ads[[#This Row],[impressions]]*RANDBETWEEN(8,12)/10,0)</f>
        <v>58312</v>
      </c>
      <c r="G39" s="4">
        <v>261</v>
      </c>
      <c r="H39" s="4">
        <f ca="1">T_Facebook_Ads[[#This Row],[spend]]*RANDBETWEEN(8,12)/10</f>
        <v>116.16</v>
      </c>
      <c r="I39" s="4">
        <f ca="1">ROUND(T_Facebook_Ads[[#This Row],[conversions]]*RANDBETWEEN(8,12)/10,0)</f>
        <v>7</v>
      </c>
      <c r="J39" s="4">
        <f ca="1">ROUND(T_Facebook_Ads[[#This Row],[video_views]]*RANDBETWEEN(8,12)/10,0)</f>
        <v>44610</v>
      </c>
      <c r="K39" s="4">
        <f ca="1">T_Facebook_Ads[[#This Row],[engagement_rate]]*RANDBETWEEN(8,12)/10</f>
        <v>3.96E-3</v>
      </c>
      <c r="L39" s="4">
        <f ca="1">ROUND(T_Facebook_Ads[[#This Row],[reach]]*RANDBETWEEN(8,12)/10,0)</f>
        <v>59123</v>
      </c>
      <c r="M39" s="4">
        <f ca="1">T_Facebook_Ads[[#This Row],[frequency]]*RANDBETWEEN(8,12)/10</f>
        <v>0.98399999999999999</v>
      </c>
      <c r="O39" s="3">
        <f t="shared" ca="1" si="6"/>
        <v>45249</v>
      </c>
      <c r="P39" s="4" t="s">
        <v>88</v>
      </c>
      <c r="Q39" s="4" t="s">
        <v>89</v>
      </c>
      <c r="R39" s="4" t="s">
        <v>90</v>
      </c>
      <c r="S39" s="4" t="s">
        <v>59</v>
      </c>
      <c r="T39" s="4">
        <f ca="1">ROUND(_Google_ads[[#This Row],[impressions]]*RANDBETWEEN(8,12)/10,0)</f>
        <v>160147</v>
      </c>
      <c r="U39" s="4">
        <f ca="1">ROUND(_Google_ads[[#This Row],[clicks]]*RANDBETWEEN(8,12)/10,0)</f>
        <v>440</v>
      </c>
      <c r="V39" s="4">
        <f ca="1">_Google_ads[[#This Row],[cost]]*RANDBETWEEN(8,12)/10</f>
        <v>131.19999999999999</v>
      </c>
      <c r="W39" s="4">
        <f ca="1">ROUND(_Google_ads[[#This Row],[conversions]]*RANDBETWEEN(8,12)/10,0)</f>
        <v>15</v>
      </c>
      <c r="X39" s="4">
        <f ca="1">ROUND(_Google_ads[[#This Row],[conversion_value]]*RANDBETWEEN(8,12)/10,0)</f>
        <v>770</v>
      </c>
      <c r="Y39" s="4">
        <f ca="1">_Google_ads[[#This Row],[ctr]]*RANDBETWEEN(8,12)/10</f>
        <v>2.96E-3</v>
      </c>
      <c r="Z39" s="4">
        <f ca="1">_Google_ads[[#This Row],[avg_cpc]]*RANDBETWEEN(8,12)/10</f>
        <v>0.24300000000000002</v>
      </c>
      <c r="AA39" s="4">
        <f ca="1">ROUND(_Google_ads[[#This Row],[quality_score]]*RANDBETWEEN(8,12)/10,0)</f>
        <v>8</v>
      </c>
      <c r="AB39" s="4">
        <f ca="1">_Google_ads[[#This Row],[search_impression_share]]*RANDBETWEEN(8,12)/10</f>
        <v>0.315</v>
      </c>
      <c r="AD39" s="3">
        <f t="shared" ca="1" si="7"/>
        <v>45249</v>
      </c>
      <c r="AE39" s="4" t="s">
        <v>112</v>
      </c>
      <c r="AF39" s="4" t="s">
        <v>113</v>
      </c>
      <c r="AG39" s="4" t="s">
        <v>114</v>
      </c>
      <c r="AH39" s="4" t="s">
        <v>115</v>
      </c>
      <c r="AI39" s="4">
        <f ca="1">ROUND(T_Tiktok_ads[[#This Row],[impressions]]*RANDBETWEEN(8,12)/10,0)</f>
        <v>358710</v>
      </c>
      <c r="AJ39" s="4">
        <f ca="1">ROUND(T_Tiktok_ads[[#This Row],[clicks]]*RANDBETWEEN(8,12)/10,0)</f>
        <v>5881</v>
      </c>
      <c r="AK39" s="4">
        <v>998.7</v>
      </c>
      <c r="AL39" s="4">
        <f ca="1">ROUND(T_Tiktok_ads[[#This Row],[conversions]]*RANDBETWEEN(8,12)/10,0)</f>
        <v>98</v>
      </c>
      <c r="AM39" s="4">
        <f ca="1">ROUND(T_Tiktok_ads[[#This Row],[video_views]]*RANDBETWEEN(8,12)/10,0)</f>
        <v>398814</v>
      </c>
      <c r="AN39" s="4">
        <f ca="1">ROUND(T_Tiktok_ads[[#This Row],[video_watch_25]]*RANDBETWEEN(8,12)/10,0)</f>
        <v>267890</v>
      </c>
      <c r="AO39" s="4">
        <f ca="1">ROUND(T_Tiktok_ads[[#This Row],[video_watch_50]]*RANDBETWEEN(8,12)/10,0)</f>
        <v>257480</v>
      </c>
      <c r="AP39" s="4">
        <f ca="1">ROUND(T_Tiktok_ads[[#This Row],[video_watch_75]]*RANDBETWEEN(8,12)/10,0)</f>
        <v>120987</v>
      </c>
      <c r="AQ39" s="4">
        <f ca="1">ROUND(T_Tiktok_ads[[#This Row],[video_watch_100]]*RANDBETWEEN(8,12)/10,0)</f>
        <v>119480</v>
      </c>
      <c r="AR39" s="4">
        <f ca="1">ROUND(T_Tiktok_ads[[#This Row],[likes]]*RANDBETWEEN(8,12)/10,0)</f>
        <v>21307</v>
      </c>
      <c r="AS39" s="4">
        <f ca="1">ROUND(T_Tiktok_ads[[#This Row],[shares]]*RANDBETWEEN(8,12)/10,0)</f>
        <v>5513</v>
      </c>
      <c r="AT39" s="4">
        <f ca="1">ROUND(T_Tiktok_ads[[#This Row],[comments]]*RANDBETWEEN(8,12)/10,0)</f>
        <v>1389</v>
      </c>
      <c r="AV39" s="5">
        <f t="shared" ca="1" si="8"/>
        <v>45234</v>
      </c>
      <c r="AW39">
        <f t="shared" ca="1" si="4"/>
        <v>2</v>
      </c>
      <c r="AX39">
        <f ca="1">ROUND(T_Facebook_Ads1159636771757983879195[[#This Row],[impressions]]*RANDBETWEEN(8,12)/10,0)</f>
        <v>58312</v>
      </c>
      <c r="AY39">
        <f ca="1">ROUND(T_Facebook_Ads1159636771757983879195[[#This Row],[clicks]]*RANDBETWEEN(8,12)/10,0)</f>
        <v>209</v>
      </c>
      <c r="AZ39">
        <f ca="1">T_Facebook_Ads1159636771757983879195[[#This Row],[spend]]*RANDBETWEEN(8,12)/10</f>
        <v>104.54400000000001</v>
      </c>
      <c r="BA39">
        <f ca="1">ROUND(T_Facebook_Ads1159636771757983879195[[#This Row],[conversions]]*RANDBETWEEN(8,12)/10,0)</f>
        <v>7</v>
      </c>
      <c r="BB39">
        <f ca="1">ROUND(T_Facebook_Ads1159636771757983879195[[#This Row],[video_views]]*RANDBETWEEN(8,12)/10,0)</f>
        <v>40149</v>
      </c>
    </row>
    <row r="40" spans="1:54" ht="15.75" thickBot="1" x14ac:dyDescent="0.3">
      <c r="A40" s="3">
        <f t="shared" ca="1" si="5"/>
        <v>45246</v>
      </c>
      <c r="B40" s="4" t="s">
        <v>52</v>
      </c>
      <c r="C40" s="4" t="s">
        <v>53</v>
      </c>
      <c r="D40" s="4" t="s">
        <v>54</v>
      </c>
      <c r="E40" s="4" t="s">
        <v>55</v>
      </c>
      <c r="F40" s="4">
        <f ca="1">ROUND(T_Facebook_Ads[[#This Row],[impressions]]*RANDBETWEEN(8,12)/10,0)</f>
        <v>42345</v>
      </c>
      <c r="G40" s="4">
        <v>856</v>
      </c>
      <c r="H40" s="4">
        <f ca="1">T_Facebook_Ads[[#This Row],[spend]]*RANDBETWEEN(8,12)/10</f>
        <v>97.2</v>
      </c>
      <c r="I40" s="4">
        <f ca="1">ROUND(T_Facebook_Ads[[#This Row],[conversions]]*RANDBETWEEN(8,12)/10,0)</f>
        <v>13</v>
      </c>
      <c r="J40" s="4">
        <f ca="1">ROUND(T_Facebook_Ads[[#This Row],[video_views]]*RANDBETWEEN(8,12)/10,0)</f>
        <v>8679</v>
      </c>
      <c r="K40" s="4">
        <f ca="1">T_Facebook_Ads[[#This Row],[engagement_rate]]*RANDBETWEEN(8,12)/10</f>
        <v>2.2219999999999997E-2</v>
      </c>
      <c r="L40" s="4">
        <f ca="1">ROUND(T_Facebook_Ads[[#This Row],[reach]]*RANDBETWEEN(8,12)/10,0)</f>
        <v>28542</v>
      </c>
      <c r="M40" s="4">
        <f ca="1">T_Facebook_Ads[[#This Row],[frequency]]*RANDBETWEEN(8,12)/10</f>
        <v>1.19</v>
      </c>
      <c r="O40" s="3">
        <f t="shared" ca="1" si="6"/>
        <v>45244</v>
      </c>
      <c r="P40" s="4" t="s">
        <v>76</v>
      </c>
      <c r="Q40" s="4" t="s">
        <v>77</v>
      </c>
      <c r="R40" s="4" t="s">
        <v>78</v>
      </c>
      <c r="S40" s="4" t="s">
        <v>79</v>
      </c>
      <c r="T40" s="4">
        <f ca="1">ROUND(_Google_ads[[#This Row],[impressions]]*RANDBETWEEN(8,12)/10,0)</f>
        <v>20210</v>
      </c>
      <c r="U40" s="4">
        <f ca="1">ROUND(_Google_ads[[#This Row],[clicks]]*RANDBETWEEN(8,12)/10,0)</f>
        <v>1387</v>
      </c>
      <c r="V40" s="4">
        <f ca="1">_Google_ads[[#This Row],[cost]]*RANDBETWEEN(8,12)/10</f>
        <v>220.4</v>
      </c>
      <c r="W40" s="4">
        <f ca="1">ROUND(_Google_ads[[#This Row],[conversions]]*RANDBETWEEN(8,12)/10,0)</f>
        <v>34</v>
      </c>
      <c r="X40" s="4">
        <f ca="1">ROUND(_Google_ads[[#This Row],[conversion_value]]*RANDBETWEEN(8,12)/10,0)</f>
        <v>2365</v>
      </c>
      <c r="Y40" s="4">
        <f ca="1">_Google_ads[[#This Row],[ctr]]*RANDBETWEEN(8,12)/10</f>
        <v>5.1500000000000004E-2</v>
      </c>
      <c r="Z40" s="4">
        <f ca="1">_Google_ads[[#This Row],[avg_cpc]]*RANDBETWEEN(8,12)/10</f>
        <v>0.20899999999999999</v>
      </c>
      <c r="AA40" s="4">
        <f ca="1">ROUND(_Google_ads[[#This Row],[quality_score]]*RANDBETWEEN(8,12)/10,0)</f>
        <v>9</v>
      </c>
      <c r="AB40" s="4">
        <f ca="1">_Google_ads[[#This Row],[search_impression_share]]*RANDBETWEEN(8,12)/10</f>
        <v>0.9</v>
      </c>
      <c r="AD40" s="3">
        <f t="shared" ca="1" si="7"/>
        <v>45240</v>
      </c>
      <c r="AE40" s="4" t="s">
        <v>100</v>
      </c>
      <c r="AF40" s="4" t="s">
        <v>101</v>
      </c>
      <c r="AG40" s="4" t="s">
        <v>102</v>
      </c>
      <c r="AH40" s="4" t="s">
        <v>103</v>
      </c>
      <c r="AI40" s="4">
        <f ca="1">ROUND(T_Tiktok_ads[[#This Row],[impressions]]*RANDBETWEEN(8,12)/10,0)</f>
        <v>234567</v>
      </c>
      <c r="AJ40" s="4">
        <f ca="1">ROUND(T_Tiktok_ads[[#This Row],[clicks]]*RANDBETWEEN(8,12)/10,0)</f>
        <v>3802</v>
      </c>
      <c r="AK40" s="4">
        <v>456.7</v>
      </c>
      <c r="AL40" s="4">
        <f ca="1">ROUND(T_Tiktok_ads[[#This Row],[conversions]]*RANDBETWEEN(8,12)/10,0)</f>
        <v>37</v>
      </c>
      <c r="AM40" s="4">
        <f ca="1">ROUND(T_Tiktok_ads[[#This Row],[video_views]]*RANDBETWEEN(8,12)/10,0)</f>
        <v>218057</v>
      </c>
      <c r="AN40" s="4">
        <f ca="1">ROUND(T_Tiktok_ads[[#This Row],[video_watch_25]]*RANDBETWEEN(8,12)/10,0)</f>
        <v>156234</v>
      </c>
      <c r="AO40" s="4">
        <f ca="1">ROUND(T_Tiktok_ads[[#This Row],[video_watch_50]]*RANDBETWEEN(8,12)/10,0)</f>
        <v>88411</v>
      </c>
      <c r="AP40" s="4">
        <f ca="1">ROUND(T_Tiktok_ads[[#This Row],[video_watch_75]]*RANDBETWEEN(8,12)/10,0)</f>
        <v>80681</v>
      </c>
      <c r="AQ40" s="4">
        <f ca="1">ROUND(T_Tiktok_ads[[#This Row],[video_watch_100]]*RANDBETWEEN(8,12)/10,0)</f>
        <v>40711</v>
      </c>
      <c r="AR40" s="4">
        <f ca="1">ROUND(T_Tiktok_ads[[#This Row],[likes]]*RANDBETWEEN(8,12)/10,0)</f>
        <v>8031</v>
      </c>
      <c r="AS40" s="4">
        <f ca="1">ROUND(T_Tiktok_ads[[#This Row],[shares]]*RANDBETWEEN(8,12)/10,0)</f>
        <v>2111</v>
      </c>
      <c r="AT40" s="4">
        <f ca="1">ROUND(T_Tiktok_ads[[#This Row],[comments]]*RANDBETWEEN(8,12)/10,0)</f>
        <v>624</v>
      </c>
      <c r="AV40" s="5">
        <f t="shared" ca="1" si="8"/>
        <v>45248</v>
      </c>
      <c r="AW40">
        <f t="shared" ca="1" si="4"/>
        <v>4</v>
      </c>
      <c r="AX40">
        <f ca="1">ROUND(T_Facebook_Ads1159636771757983879195[[#This Row],[impressions]]*RANDBETWEEN(8,12)/10,0)</f>
        <v>42345</v>
      </c>
      <c r="AY40">
        <f ca="1">ROUND(T_Facebook_Ads1159636771757983879195[[#This Row],[clicks]]*RANDBETWEEN(8,12)/10,0)</f>
        <v>856</v>
      </c>
      <c r="AZ40">
        <f ca="1">T_Facebook_Ads1159636771757983879195[[#This Row],[spend]]*RANDBETWEEN(8,12)/10</f>
        <v>87.48</v>
      </c>
      <c r="BA40">
        <f ca="1">ROUND(T_Facebook_Ads1159636771757983879195[[#This Row],[conversions]]*RANDBETWEEN(8,12)/10,0)</f>
        <v>14</v>
      </c>
      <c r="BB40">
        <f ca="1">ROUND(T_Facebook_Ads1159636771757983879195[[#This Row],[video_views]]*RANDBETWEEN(8,12)/10,0)</f>
        <v>6943</v>
      </c>
    </row>
    <row r="41" spans="1:54" ht="15.75" thickBot="1" x14ac:dyDescent="0.3">
      <c r="A41" s="3">
        <f t="shared" ca="1" si="5"/>
        <v>45245</v>
      </c>
      <c r="B41" s="4" t="s">
        <v>56</v>
      </c>
      <c r="C41" s="4" t="s">
        <v>57</v>
      </c>
      <c r="D41" s="4" t="s">
        <v>58</v>
      </c>
      <c r="E41" s="4" t="s">
        <v>59</v>
      </c>
      <c r="F41" s="4">
        <f ca="1">ROUND(T_Facebook_Ads[[#This Row],[impressions]]*RANDBETWEEN(8,12)/10,0)</f>
        <v>8987</v>
      </c>
      <c r="G41" s="4">
        <v>523</v>
      </c>
      <c r="H41" s="4">
        <f ca="1">T_Facebook_Ads[[#This Row],[spend]]*RANDBETWEEN(8,12)/10</f>
        <v>158.88</v>
      </c>
      <c r="I41" s="4">
        <f ca="1">ROUND(T_Facebook_Ads[[#This Row],[conversions]]*RANDBETWEEN(8,12)/10,0)</f>
        <v>38</v>
      </c>
      <c r="J41" s="4">
        <f ca="1">ROUND(T_Facebook_Ads[[#This Row],[video_views]]*RANDBETWEEN(8,12)/10,0)</f>
        <v>1348</v>
      </c>
      <c r="K41" s="4">
        <f ca="1">T_Facebook_Ads[[#This Row],[engagement_rate]]*RANDBETWEEN(8,12)/10</f>
        <v>4.6600000000000003E-2</v>
      </c>
      <c r="L41" s="4">
        <f ca="1">ROUND(T_Facebook_Ads[[#This Row],[reach]]*RANDBETWEEN(8,12)/10,0)</f>
        <v>7121</v>
      </c>
      <c r="M41" s="4">
        <f ca="1">T_Facebook_Ads[[#This Row],[frequency]]*RANDBETWEEN(8,12)/10</f>
        <v>1.524</v>
      </c>
      <c r="O41" s="3">
        <f t="shared" ca="1" si="6"/>
        <v>45256</v>
      </c>
      <c r="P41" s="4" t="s">
        <v>80</v>
      </c>
      <c r="Q41" s="4" t="s">
        <v>81</v>
      </c>
      <c r="R41" s="4" t="s">
        <v>82</v>
      </c>
      <c r="S41" s="4" t="s">
        <v>83</v>
      </c>
      <c r="T41" s="4">
        <f ca="1">ROUND(_Google_ads[[#This Row],[impressions]]*RANDBETWEEN(8,12)/10,0)</f>
        <v>49481</v>
      </c>
      <c r="U41" s="4">
        <f ca="1">ROUND(_Google_ads[[#This Row],[clicks]]*RANDBETWEEN(8,12)/10,0)</f>
        <v>658</v>
      </c>
      <c r="V41" s="4">
        <f ca="1">_Google_ads[[#This Row],[cost]]*RANDBETWEEN(8,12)/10</f>
        <v>581.79</v>
      </c>
      <c r="W41" s="4">
        <f ca="1">ROUND(_Google_ads[[#This Row],[conversions]]*RANDBETWEEN(8,12)/10,0)</f>
        <v>17</v>
      </c>
      <c r="X41" s="4">
        <f ca="1">ROUND(_Google_ads[[#This Row],[conversion_value]]*RANDBETWEEN(8,12)/10,0)</f>
        <v>840</v>
      </c>
      <c r="Y41" s="4">
        <f ca="1">_Google_ads[[#This Row],[ctr]]*RANDBETWEEN(8,12)/10</f>
        <v>0.02</v>
      </c>
      <c r="Z41" s="4">
        <f ca="1">_Google_ads[[#This Row],[avg_cpc]]*RANDBETWEEN(8,12)/10</f>
        <v>0.70399999999999996</v>
      </c>
      <c r="AA41" s="4">
        <f ca="1">ROUND(_Google_ads[[#This Row],[quality_score]]*RANDBETWEEN(8,12)/10,0)</f>
        <v>5</v>
      </c>
      <c r="AB41" s="4">
        <f ca="1">_Google_ads[[#This Row],[search_impression_share]]*RANDBETWEEN(8,12)/10</f>
        <v>0.34399999999999997</v>
      </c>
      <c r="AD41" s="3">
        <f t="shared" ca="1" si="7"/>
        <v>45248</v>
      </c>
      <c r="AE41" s="4" t="s">
        <v>104</v>
      </c>
      <c r="AF41" s="4" t="s">
        <v>105</v>
      </c>
      <c r="AG41" s="4" t="s">
        <v>106</v>
      </c>
      <c r="AH41" s="4" t="s">
        <v>107</v>
      </c>
      <c r="AI41" s="4">
        <f ca="1">ROUND(T_Tiktok_ads[[#This Row],[impressions]]*RANDBETWEEN(8,12)/10,0)</f>
        <v>161480</v>
      </c>
      <c r="AJ41" s="4">
        <f ca="1">ROUND(T_Tiktok_ads[[#This Row],[clicks]]*RANDBETWEEN(8,12)/10,0)</f>
        <v>2567</v>
      </c>
      <c r="AK41" s="4">
        <v>712.3</v>
      </c>
      <c r="AL41" s="4">
        <f ca="1">ROUND(T_Tiktok_ads[[#This Row],[conversions]]*RANDBETWEEN(8,12)/10,0)</f>
        <v>78</v>
      </c>
      <c r="AM41" s="4">
        <f ca="1">ROUND(T_Tiktok_ads[[#This Row],[video_views]]*RANDBETWEEN(8,12)/10,0)</f>
        <v>95678</v>
      </c>
      <c r="AN41" s="4">
        <f ca="1">ROUND(T_Tiktok_ads[[#This Row],[video_watch_25]]*RANDBETWEEN(8,12)/10,0)</f>
        <v>64111</v>
      </c>
      <c r="AO41" s="4">
        <f ca="1">ROUND(T_Tiktok_ads[[#This Row],[video_watch_50]]*RANDBETWEEN(8,12)/10,0)</f>
        <v>53057</v>
      </c>
      <c r="AP41" s="4">
        <f ca="1">ROUND(T_Tiktok_ads[[#This Row],[video_watch_75]]*RANDBETWEEN(8,12)/10,0)</f>
        <v>32611</v>
      </c>
      <c r="AQ41" s="4">
        <f ca="1">ROUND(T_Tiktok_ads[[#This Row],[video_watch_100]]*RANDBETWEEN(8,12)/10,0)</f>
        <v>29480</v>
      </c>
      <c r="AR41" s="4">
        <f ca="1">ROUND(T_Tiktok_ads[[#This Row],[likes]]*RANDBETWEEN(8,12)/10,0)</f>
        <v>3831</v>
      </c>
      <c r="AS41" s="4">
        <f ca="1">ROUND(T_Tiktok_ads[[#This Row],[shares]]*RANDBETWEEN(8,12)/10,0)</f>
        <v>1480</v>
      </c>
      <c r="AT41" s="4">
        <f ca="1">ROUND(T_Tiktok_ads[[#This Row],[comments]]*RANDBETWEEN(8,12)/10,0)</f>
        <v>245</v>
      </c>
      <c r="AV41" s="5">
        <f t="shared" ca="1" si="8"/>
        <v>45253</v>
      </c>
      <c r="AW41">
        <f t="shared" ca="1" si="4"/>
        <v>2</v>
      </c>
      <c r="AX41">
        <f ca="1">ROUND(T_Facebook_Ads1159636771757983879195[[#This Row],[impressions]]*RANDBETWEEN(8,12)/10,0)</f>
        <v>8088</v>
      </c>
      <c r="AY41">
        <f ca="1">ROUND(T_Facebook_Ads1159636771757983879195[[#This Row],[clicks]]*RANDBETWEEN(8,12)/10,0)</f>
        <v>471</v>
      </c>
      <c r="AZ41">
        <f ca="1">T_Facebook_Ads1159636771757983879195[[#This Row],[spend]]*RANDBETWEEN(8,12)/10</f>
        <v>158.88</v>
      </c>
      <c r="BA41">
        <f ca="1">ROUND(T_Facebook_Ads1159636771757983879195[[#This Row],[conversions]]*RANDBETWEEN(8,12)/10,0)</f>
        <v>42</v>
      </c>
      <c r="BB41">
        <f ca="1">ROUND(T_Facebook_Ads1159636771757983879195[[#This Row],[video_views]]*RANDBETWEEN(8,12)/10,0)</f>
        <v>1483</v>
      </c>
    </row>
    <row r="42" spans="1:54" ht="15.75" thickBot="1" x14ac:dyDescent="0.3">
      <c r="A42" s="3">
        <f t="shared" ca="1" si="5"/>
        <v>45238</v>
      </c>
      <c r="B42" s="4" t="s">
        <v>60</v>
      </c>
      <c r="C42" s="4" t="s">
        <v>61</v>
      </c>
      <c r="D42" s="4" t="s">
        <v>62</v>
      </c>
      <c r="E42" s="4" t="s">
        <v>63</v>
      </c>
      <c r="F42" s="4">
        <f ca="1">ROUND(T_Facebook_Ads[[#This Row],[impressions]]*RANDBETWEEN(8,12)/10,0)</f>
        <v>36802</v>
      </c>
      <c r="G42" s="4">
        <v>1203</v>
      </c>
      <c r="H42" s="4">
        <f ca="1">T_Facebook_Ads[[#This Row],[spend]]*RANDBETWEEN(8,12)/10</f>
        <v>222.36000000000004</v>
      </c>
      <c r="I42" s="4">
        <f ca="1">ROUND(T_Facebook_Ads[[#This Row],[conversions]]*RANDBETWEEN(8,12)/10,0)</f>
        <v>28</v>
      </c>
      <c r="J42" s="4">
        <f ca="1">ROUND(T_Facebook_Ads[[#This Row],[video_views]]*RANDBETWEEN(8,12)/10,0)</f>
        <v>4234</v>
      </c>
      <c r="K42" s="4">
        <f ca="1">T_Facebook_Ads[[#This Row],[engagement_rate]]*RANDBETWEEN(8,12)/10</f>
        <v>3.5999999999999997E-2</v>
      </c>
      <c r="L42" s="4">
        <f ca="1">ROUND(T_Facebook_Ads[[#This Row],[reach]]*RANDBETWEEN(8,12)/10,0)</f>
        <v>30679</v>
      </c>
      <c r="M42" s="4">
        <f ca="1">T_Facebook_Ads[[#This Row],[frequency]]*RANDBETWEEN(8,12)/10</f>
        <v>1.3199999999999998</v>
      </c>
      <c r="O42" s="3">
        <f t="shared" ca="1" si="6"/>
        <v>45240</v>
      </c>
      <c r="P42" s="4" t="s">
        <v>84</v>
      </c>
      <c r="Q42" s="4" t="s">
        <v>85</v>
      </c>
      <c r="R42" s="4" t="s">
        <v>86</v>
      </c>
      <c r="S42" s="4" t="s">
        <v>87</v>
      </c>
      <c r="T42" s="4">
        <f ca="1">ROUND(_Google_ads[[#This Row],[impressions]]*RANDBETWEEN(8,12)/10,0)</f>
        <v>50765</v>
      </c>
      <c r="U42" s="4">
        <f ca="1">ROUND(_Google_ads[[#This Row],[clicks]]*RANDBETWEEN(8,12)/10,0)</f>
        <v>1671</v>
      </c>
      <c r="V42" s="4">
        <f ca="1">_Google_ads[[#This Row],[cost]]*RANDBETWEEN(8,12)/10</f>
        <v>459.12000000000006</v>
      </c>
      <c r="W42" s="4">
        <f ca="1">ROUND(_Google_ads[[#This Row],[conversions]]*RANDBETWEEN(8,12)/10,0)</f>
        <v>72</v>
      </c>
      <c r="X42" s="4">
        <f ca="1">ROUND(_Google_ads[[#This Row],[conversion_value]]*RANDBETWEEN(8,12)/10,0)</f>
        <v>2700</v>
      </c>
      <c r="Y42" s="4">
        <f ca="1">_Google_ads[[#This Row],[ctr]]*RANDBETWEEN(8,12)/10</f>
        <v>3.2899999999999999E-2</v>
      </c>
      <c r="Z42" s="4">
        <f ca="1">_Google_ads[[#This Row],[avg_cpc]]*RANDBETWEEN(8,12)/10</f>
        <v>0.14399999999999999</v>
      </c>
      <c r="AA42" s="4">
        <f ca="1">ROUND(_Google_ads[[#This Row],[quality_score]]*RANDBETWEEN(8,12)/10,0)</f>
        <v>9</v>
      </c>
      <c r="AB42" s="4">
        <f ca="1">_Google_ads[[#This Row],[search_impression_share]]*RANDBETWEEN(8,12)/10</f>
        <v>0.71500000000000008</v>
      </c>
      <c r="AD42" s="3">
        <f t="shared" ca="1" si="7"/>
        <v>45259</v>
      </c>
      <c r="AE42" s="4" t="s">
        <v>108</v>
      </c>
      <c r="AF42" s="4" t="s">
        <v>109</v>
      </c>
      <c r="AG42" s="4" t="s">
        <v>110</v>
      </c>
      <c r="AH42" s="4" t="s">
        <v>111</v>
      </c>
      <c r="AI42" s="4">
        <f ca="1">ROUND(T_Tiktok_ads[[#This Row],[impressions]]*RANDBETWEEN(8,12)/10,0)</f>
        <v>241481</v>
      </c>
      <c r="AJ42" s="4">
        <f ca="1">ROUND(T_Tiktok_ads[[#This Row],[clicks]]*RANDBETWEEN(8,12)/10,0)</f>
        <v>2811</v>
      </c>
      <c r="AK42" s="4">
        <v>374.5</v>
      </c>
      <c r="AL42" s="4">
        <f ca="1">ROUND(T_Tiktok_ads[[#This Row],[conversions]]*RANDBETWEEN(8,12)/10,0)</f>
        <v>26</v>
      </c>
      <c r="AM42" s="4">
        <f ca="1">ROUND(T_Tiktok_ads[[#This Row],[video_views]]*RANDBETWEEN(8,12)/10,0)</f>
        <v>126312</v>
      </c>
      <c r="AN42" s="4">
        <f ca="1">ROUND(T_Tiktok_ads[[#This Row],[video_watch_25]]*RANDBETWEEN(8,12)/10,0)</f>
        <v>121234</v>
      </c>
      <c r="AO42" s="4">
        <f ca="1">ROUND(T_Tiktok_ads[[#This Row],[video_watch_50]]*RANDBETWEEN(8,12)/10,0)</f>
        <v>115481</v>
      </c>
      <c r="AP42" s="4">
        <f ca="1">ROUND(T_Tiktok_ads[[#This Row],[video_watch_75]]*RANDBETWEEN(8,12)/10,0)</f>
        <v>61234</v>
      </c>
      <c r="AQ42" s="4">
        <f ca="1">ROUND(T_Tiktok_ads[[#This Row],[video_watch_100]]*RANDBETWEEN(8,12)/10,0)</f>
        <v>29965</v>
      </c>
      <c r="AR42" s="4">
        <f ca="1">ROUND(T_Tiktok_ads[[#This Row],[likes]]*RANDBETWEEN(8,12)/10,0)</f>
        <v>7345</v>
      </c>
      <c r="AS42" s="4">
        <f ca="1">ROUND(T_Tiktok_ads[[#This Row],[shares]]*RANDBETWEEN(8,12)/10,0)</f>
        <v>1831</v>
      </c>
      <c r="AT42" s="4">
        <f ca="1">ROUND(T_Tiktok_ads[[#This Row],[comments]]*RANDBETWEEN(8,12)/10,0)</f>
        <v>391</v>
      </c>
      <c r="AV42" s="5">
        <f t="shared" ca="1" si="8"/>
        <v>45249</v>
      </c>
      <c r="AW42">
        <f t="shared" ca="1" si="4"/>
        <v>3</v>
      </c>
      <c r="AX42">
        <f ca="1">ROUND(T_Facebook_Ads1159636771757983879195[[#This Row],[impressions]]*RANDBETWEEN(8,12)/10,0)</f>
        <v>29442</v>
      </c>
      <c r="AY42">
        <f ca="1">ROUND(T_Facebook_Ads1159636771757983879195[[#This Row],[clicks]]*RANDBETWEEN(8,12)/10,0)</f>
        <v>1083</v>
      </c>
      <c r="AZ42">
        <f ca="1">T_Facebook_Ads1159636771757983879195[[#This Row],[spend]]*RANDBETWEEN(8,12)/10</f>
        <v>200.12400000000005</v>
      </c>
      <c r="BA42">
        <f ca="1">ROUND(T_Facebook_Ads1159636771757983879195[[#This Row],[conversions]]*RANDBETWEEN(8,12)/10,0)</f>
        <v>25</v>
      </c>
      <c r="BB42">
        <f ca="1">ROUND(T_Facebook_Ads1159636771757983879195[[#This Row],[video_views]]*RANDBETWEEN(8,12)/10,0)</f>
        <v>4657</v>
      </c>
    </row>
    <row r="43" spans="1:54" ht="15.75" thickBot="1" x14ac:dyDescent="0.3">
      <c r="A43" s="3">
        <f t="shared" ca="1" si="5"/>
        <v>45234</v>
      </c>
      <c r="B43" s="4" t="s">
        <v>64</v>
      </c>
      <c r="C43" s="4" t="s">
        <v>65</v>
      </c>
      <c r="D43" s="4" t="s">
        <v>66</v>
      </c>
      <c r="E43" s="4" t="s">
        <v>67</v>
      </c>
      <c r="F43" s="4">
        <f ca="1">ROUND(T_Facebook_Ads[[#This Row],[impressions]]*RANDBETWEEN(8,12)/10,0)</f>
        <v>51654</v>
      </c>
      <c r="G43" s="4">
        <v>238</v>
      </c>
      <c r="H43" s="4">
        <f ca="1">T_Facebook_Ads[[#This Row],[spend]]*RANDBETWEEN(8,12)/10</f>
        <v>83.4</v>
      </c>
      <c r="I43" s="4">
        <f ca="1">ROUND(T_Facebook_Ads[[#This Row],[conversions]]*RANDBETWEEN(8,12)/10,0)</f>
        <v>4</v>
      </c>
      <c r="J43" s="4">
        <f ca="1">ROUND(T_Facebook_Ads[[#This Row],[video_views]]*RANDBETWEEN(8,12)/10,0)</f>
        <v>43234</v>
      </c>
      <c r="K43" s="4">
        <f ca="1">T_Facebook_Ads[[#This Row],[engagement_rate]]*RANDBETWEEN(8,12)/10</f>
        <v>4.4400000000000004E-3</v>
      </c>
      <c r="L43" s="4">
        <f ca="1">ROUND(T_Facebook_Ads[[#This Row],[reach]]*RANDBETWEEN(8,12)/10,0)</f>
        <v>47601</v>
      </c>
      <c r="M43" s="4">
        <f ca="1">T_Facebook_Ads[[#This Row],[frequency]]*RANDBETWEEN(8,12)/10</f>
        <v>1.3420000000000001</v>
      </c>
      <c r="O43" s="3">
        <f t="shared" ca="1" si="6"/>
        <v>45233</v>
      </c>
      <c r="P43" s="4" t="s">
        <v>88</v>
      </c>
      <c r="Q43" s="4" t="s">
        <v>89</v>
      </c>
      <c r="R43" s="4" t="s">
        <v>90</v>
      </c>
      <c r="S43" s="4" t="s">
        <v>59</v>
      </c>
      <c r="T43" s="4">
        <f ca="1">ROUND(_Google_ads[[#This Row],[impressions]]*RANDBETWEEN(8,12)/10,0)</f>
        <v>95387</v>
      </c>
      <c r="U43" s="4">
        <f ca="1">ROUND(_Google_ads[[#This Row],[clicks]]*RANDBETWEEN(8,12)/10,0)</f>
        <v>477</v>
      </c>
      <c r="V43" s="4">
        <f ca="1">_Google_ads[[#This Row],[cost]]*RANDBETWEEN(8,12)/10</f>
        <v>128.47999999999999</v>
      </c>
      <c r="W43" s="4">
        <f ca="1">ROUND(_Google_ads[[#This Row],[conversions]]*RANDBETWEEN(8,12)/10,0)</f>
        <v>13</v>
      </c>
      <c r="X43" s="4">
        <f ca="1">ROUND(_Google_ads[[#This Row],[conversion_value]]*RANDBETWEEN(8,12)/10,0)</f>
        <v>600</v>
      </c>
      <c r="Y43" s="4">
        <f ca="1">_Google_ads[[#This Row],[ctr]]*RANDBETWEEN(8,12)/10</f>
        <v>3.2399999999999998E-3</v>
      </c>
      <c r="Z43" s="4">
        <f ca="1">_Google_ads[[#This Row],[avg_cpc]]*RANDBETWEEN(8,12)/10</f>
        <v>0.21600000000000003</v>
      </c>
      <c r="AA43" s="4">
        <f ca="1">ROUND(_Google_ads[[#This Row],[quality_score]]*RANDBETWEEN(8,12)/10,0)</f>
        <v>7</v>
      </c>
      <c r="AB43" s="4">
        <f ca="1">_Google_ads[[#This Row],[search_impression_share]]*RANDBETWEEN(8,12)/10</f>
        <v>0.29700000000000004</v>
      </c>
      <c r="AD43" s="3">
        <f t="shared" ca="1" si="7"/>
        <v>45237</v>
      </c>
      <c r="AE43" s="4" t="s">
        <v>112</v>
      </c>
      <c r="AF43" s="4" t="s">
        <v>113</v>
      </c>
      <c r="AG43" s="4" t="s">
        <v>114</v>
      </c>
      <c r="AH43" s="4" t="s">
        <v>115</v>
      </c>
      <c r="AI43" s="4">
        <f ca="1">ROUND(T_Tiktok_ads[[#This Row],[impressions]]*RANDBETWEEN(8,12)/10,0)</f>
        <v>294312</v>
      </c>
      <c r="AJ43" s="4">
        <f ca="1">ROUND(T_Tiktok_ads[[#This Row],[clicks]]*RANDBETWEEN(8,12)/10,0)</f>
        <v>6613</v>
      </c>
      <c r="AK43" s="4">
        <v>923.4</v>
      </c>
      <c r="AL43" s="4">
        <f ca="1">ROUND(T_Tiktok_ads[[#This Row],[conversions]]*RANDBETWEEN(8,12)/10,0)</f>
        <v>113</v>
      </c>
      <c r="AM43" s="4">
        <f ca="1">ROUND(T_Tiktok_ads[[#This Row],[video_views]]*RANDBETWEEN(8,12)/10,0)</f>
        <v>361481</v>
      </c>
      <c r="AN43" s="4">
        <f ca="1">ROUND(T_Tiktok_ads[[#This Row],[video_watch_25]]*RANDBETWEEN(8,12)/10,0)</f>
        <v>221110</v>
      </c>
      <c r="AO43" s="4">
        <f ca="1">ROUND(T_Tiktok_ads[[#This Row],[video_watch_50]]*RANDBETWEEN(8,12)/10,0)</f>
        <v>157431</v>
      </c>
      <c r="AP43" s="4">
        <f ca="1">ROUND(T_Tiktok_ads[[#This Row],[video_watch_75]]*RANDBETWEEN(8,12)/10,0)</f>
        <v>112187</v>
      </c>
      <c r="AQ43" s="4">
        <f ca="1">ROUND(T_Tiktok_ads[[#This Row],[video_watch_100]]*RANDBETWEEN(8,12)/10,0)</f>
        <v>93456</v>
      </c>
      <c r="AR43" s="4">
        <f ca="1">ROUND(T_Tiktok_ads[[#This Row],[likes]]*RANDBETWEEN(8,12)/10,0)</f>
        <v>19481</v>
      </c>
      <c r="AS43" s="4">
        <f ca="1">ROUND(T_Tiktok_ads[[#This Row],[shares]]*RANDBETWEEN(8,12)/10,0)</f>
        <v>4789</v>
      </c>
      <c r="AT43" s="4">
        <f ca="1">ROUND(T_Tiktok_ads[[#This Row],[comments]]*RANDBETWEEN(8,12)/10,0)</f>
        <v>1547</v>
      </c>
      <c r="AV43" s="5">
        <f t="shared" ca="1" si="8"/>
        <v>45245</v>
      </c>
      <c r="AW43">
        <f t="shared" ca="1" si="4"/>
        <v>6</v>
      </c>
      <c r="AX43">
        <f ca="1">ROUND(T_Facebook_Ads1159636771757983879195[[#This Row],[impressions]]*RANDBETWEEN(8,12)/10,0)</f>
        <v>61985</v>
      </c>
      <c r="AY43">
        <f ca="1">ROUND(T_Facebook_Ads1159636771757983879195[[#This Row],[clicks]]*RANDBETWEEN(8,12)/10,0)</f>
        <v>262</v>
      </c>
      <c r="AZ43">
        <f ca="1">T_Facebook_Ads1159636771757983879195[[#This Row],[spend]]*RANDBETWEEN(8,12)/10</f>
        <v>75.06</v>
      </c>
      <c r="BA43">
        <f ca="1">ROUND(T_Facebook_Ads1159636771757983879195[[#This Row],[conversions]]*RANDBETWEEN(8,12)/10,0)</f>
        <v>3</v>
      </c>
      <c r="BB43">
        <f ca="1">ROUND(T_Facebook_Ads1159636771757983879195[[#This Row],[video_views]]*RANDBETWEEN(8,12)/10,0)</f>
        <v>51881</v>
      </c>
    </row>
    <row r="44" spans="1:54" ht="15.75" thickBot="1" x14ac:dyDescent="0.3">
      <c r="A44" s="3">
        <f t="shared" ca="1" si="5"/>
        <v>45260</v>
      </c>
      <c r="B44" s="4" t="s">
        <v>52</v>
      </c>
      <c r="C44" s="4" t="s">
        <v>53</v>
      </c>
      <c r="D44" s="4" t="s">
        <v>54</v>
      </c>
      <c r="E44" s="4" t="s">
        <v>55</v>
      </c>
      <c r="F44" s="4">
        <f ca="1">ROUND(T_Facebook_Ads[[#This Row],[impressions]]*RANDBETWEEN(8,12)/10,0)</f>
        <v>40123</v>
      </c>
      <c r="G44" s="4">
        <v>798</v>
      </c>
      <c r="H44" s="4">
        <f ca="1">T_Facebook_Ads[[#This Row],[spend]]*RANDBETWEEN(8,12)/10</f>
        <v>91.76</v>
      </c>
      <c r="I44" s="4">
        <f ca="1">ROUND(T_Facebook_Ads[[#This Row],[conversions]]*RANDBETWEEN(8,12)/10,0)</f>
        <v>11</v>
      </c>
      <c r="J44" s="4">
        <f ca="1">ROUND(T_Facebook_Ads[[#This Row],[video_views]]*RANDBETWEEN(8,12)/10,0)</f>
        <v>6611</v>
      </c>
      <c r="K44" s="4">
        <f ca="1">T_Facebook_Ads[[#This Row],[engagement_rate]]*RANDBETWEEN(8,12)/10</f>
        <v>2.3880000000000002E-2</v>
      </c>
      <c r="L44" s="4">
        <f ca="1">ROUND(T_Facebook_Ads[[#This Row],[reach]]*RANDBETWEEN(8,12)/10,0)</f>
        <v>26765</v>
      </c>
      <c r="M44" s="4">
        <f ca="1">T_Facebook_Ads[[#This Row],[frequency]]*RANDBETWEEN(8,12)/10</f>
        <v>1.0799999999999998</v>
      </c>
      <c r="O44" s="3">
        <f t="shared" ca="1" si="6"/>
        <v>45233</v>
      </c>
      <c r="P44" s="4" t="s">
        <v>76</v>
      </c>
      <c r="Q44" s="4" t="s">
        <v>77</v>
      </c>
      <c r="R44" s="4" t="s">
        <v>78</v>
      </c>
      <c r="S44" s="4" t="s">
        <v>79</v>
      </c>
      <c r="T44" s="4">
        <f ca="1">ROUND(_Google_ads[[#This Row],[impressions]]*RANDBETWEEN(8,12)/10,0)</f>
        <v>23357</v>
      </c>
      <c r="U44" s="4">
        <f ca="1">ROUND(_Google_ads[[#This Row],[clicks]]*RANDBETWEEN(8,12)/10,0)</f>
        <v>871</v>
      </c>
      <c r="V44" s="4">
        <f ca="1">_Google_ads[[#This Row],[cost]]*RANDBETWEEN(8,12)/10</f>
        <v>249.36000000000004</v>
      </c>
      <c r="W44" s="4">
        <f ca="1">ROUND(_Google_ads[[#This Row],[conversions]]*RANDBETWEEN(8,12)/10,0)</f>
        <v>45</v>
      </c>
      <c r="X44" s="4">
        <f ca="1">ROUND(_Google_ads[[#This Row],[conversion_value]]*RANDBETWEEN(8,12)/10,0)</f>
        <v>2050</v>
      </c>
      <c r="Y44" s="4">
        <f ca="1">_Google_ads[[#This Row],[ctr]]*RANDBETWEEN(8,12)/10</f>
        <v>5.1299999999999998E-2</v>
      </c>
      <c r="Z44" s="4">
        <f ca="1">_Google_ads[[#This Row],[avg_cpc]]*RANDBETWEEN(8,12)/10</f>
        <v>0.152</v>
      </c>
      <c r="AA44" s="4">
        <f ca="1">ROUND(_Google_ads[[#This Row],[quality_score]]*RANDBETWEEN(8,12)/10,0)</f>
        <v>10</v>
      </c>
      <c r="AB44" s="4">
        <f ca="1">_Google_ads[[#This Row],[search_impression_share]]*RANDBETWEEN(8,12)/10</f>
        <v>0.71199999999999997</v>
      </c>
      <c r="AD44" s="3">
        <f t="shared" ca="1" si="7"/>
        <v>45231</v>
      </c>
      <c r="AE44" s="4" t="s">
        <v>100</v>
      </c>
      <c r="AF44" s="4" t="s">
        <v>101</v>
      </c>
      <c r="AG44" s="4" t="s">
        <v>102</v>
      </c>
      <c r="AH44" s="4" t="s">
        <v>103</v>
      </c>
      <c r="AI44" s="4">
        <f ca="1">ROUND(T_Tiktok_ads[[#This Row],[impressions]]*RANDBETWEEN(8,12)/10,0)</f>
        <v>223456</v>
      </c>
      <c r="AJ44" s="4">
        <f ca="1">ROUND(T_Tiktok_ads[[#This Row],[clicks]]*RANDBETWEEN(8,12)/10,0)</f>
        <v>3234</v>
      </c>
      <c r="AK44" s="4">
        <v>434.5</v>
      </c>
      <c r="AL44" s="4">
        <f ca="1">ROUND(T_Tiktok_ads[[#This Row],[conversions]]*RANDBETWEEN(8,12)/10,0)</f>
        <v>38</v>
      </c>
      <c r="AM44" s="4">
        <f ca="1">ROUND(T_Tiktok_ads[[#This Row],[video_views]]*RANDBETWEEN(8,12)/10,0)</f>
        <v>170311</v>
      </c>
      <c r="AN44" s="4">
        <f ca="1">ROUND(T_Tiktok_ads[[#This Row],[video_watch_25]]*RANDBETWEEN(8,12)/10,0)</f>
        <v>163057</v>
      </c>
      <c r="AO44" s="4">
        <f ca="1">ROUND(T_Tiktok_ads[[#This Row],[video_watch_50]]*RANDBETWEEN(8,12)/10,0)</f>
        <v>83911</v>
      </c>
      <c r="AP44" s="4">
        <f ca="1">ROUND(T_Tiktok_ads[[#This Row],[video_watch_75]]*RANDBETWEEN(8,12)/10,0)</f>
        <v>57110</v>
      </c>
      <c r="AQ44" s="4">
        <f ca="1">ROUND(T_Tiktok_ads[[#This Row],[video_watch_100]]*RANDBETWEEN(8,12)/10,0)</f>
        <v>38911</v>
      </c>
      <c r="AR44" s="4">
        <f ca="1">ROUND(T_Tiktok_ads[[#This Row],[likes]]*RANDBETWEEN(8,12)/10,0)</f>
        <v>7710</v>
      </c>
      <c r="AS44" s="4">
        <f ca="1">ROUND(T_Tiktok_ads[[#This Row],[shares]]*RANDBETWEEN(8,12)/10,0)</f>
        <v>1787</v>
      </c>
      <c r="AT44" s="4">
        <f ca="1">ROUND(T_Tiktok_ads[[#This Row],[comments]]*RANDBETWEEN(8,12)/10,0)</f>
        <v>481</v>
      </c>
      <c r="AV44" s="5">
        <f t="shared" ca="1" si="8"/>
        <v>45242</v>
      </c>
      <c r="AW44">
        <f t="shared" ca="1" si="4"/>
        <v>7</v>
      </c>
      <c r="AX44">
        <f ca="1">ROUND(T_Facebook_Ads1159636771757983879195[[#This Row],[impressions]]*RANDBETWEEN(8,12)/10,0)</f>
        <v>32098</v>
      </c>
      <c r="AY44">
        <f ca="1">ROUND(T_Facebook_Ads1159636771757983879195[[#This Row],[clicks]]*RANDBETWEEN(8,12)/10,0)</f>
        <v>718</v>
      </c>
      <c r="AZ44">
        <f ca="1">T_Facebook_Ads1159636771757983879195[[#This Row],[spend]]*RANDBETWEEN(8,12)/10</f>
        <v>73.408000000000001</v>
      </c>
      <c r="BA44">
        <f ca="1">ROUND(T_Facebook_Ads1159636771757983879195[[#This Row],[conversions]]*RANDBETWEEN(8,12)/10,0)</f>
        <v>12</v>
      </c>
      <c r="BB44">
        <f ca="1">ROUND(T_Facebook_Ads1159636771757983879195[[#This Row],[video_views]]*RANDBETWEEN(8,12)/10,0)</f>
        <v>5289</v>
      </c>
    </row>
    <row r="45" spans="1:54" ht="15.75" thickBot="1" x14ac:dyDescent="0.3">
      <c r="A45" s="3">
        <f t="shared" ca="1" si="5"/>
        <v>45259</v>
      </c>
      <c r="B45" s="4" t="s">
        <v>56</v>
      </c>
      <c r="C45" s="4" t="s">
        <v>57</v>
      </c>
      <c r="D45" s="4" t="s">
        <v>58</v>
      </c>
      <c r="E45" s="4" t="s">
        <v>59</v>
      </c>
      <c r="F45" s="4">
        <f ca="1">ROUND(T_Facebook_Ads[[#This Row],[impressions]]*RANDBETWEEN(8,12)/10,0)</f>
        <v>9510</v>
      </c>
      <c r="G45" s="4">
        <v>489</v>
      </c>
      <c r="H45" s="4">
        <f ca="1">T_Facebook_Ads[[#This Row],[spend]]*RANDBETWEEN(8,12)/10</f>
        <v>148.72</v>
      </c>
      <c r="I45" s="4">
        <f ca="1">ROUND(T_Facebook_Ads[[#This Row],[conversions]]*RANDBETWEEN(8,12)/10,0)</f>
        <v>32</v>
      </c>
      <c r="J45" s="4">
        <f ca="1">ROUND(T_Facebook_Ads[[#This Row],[video_views]]*RANDBETWEEN(8,12)/10,0)</f>
        <v>798</v>
      </c>
      <c r="K45" s="4">
        <f ca="1">T_Facebook_Ads[[#This Row],[engagement_rate]]*RANDBETWEEN(8,12)/10</f>
        <v>4.1669999999999999E-2</v>
      </c>
      <c r="L45" s="4">
        <f ca="1">ROUND(T_Facebook_Ads[[#This Row],[reach]]*RANDBETWEEN(8,12)/10,0)</f>
        <v>8234</v>
      </c>
      <c r="M45" s="4">
        <f ca="1">T_Facebook_Ads[[#This Row],[frequency]]*RANDBETWEEN(8,12)/10</f>
        <v>1.536</v>
      </c>
      <c r="O45" s="3">
        <f t="shared" ca="1" si="6"/>
        <v>45256</v>
      </c>
      <c r="P45" s="4" t="s">
        <v>80</v>
      </c>
      <c r="Q45" s="4" t="s">
        <v>81</v>
      </c>
      <c r="R45" s="4" t="s">
        <v>82</v>
      </c>
      <c r="S45" s="4" t="s">
        <v>83</v>
      </c>
      <c r="T45" s="4">
        <f ca="1">ROUND(_Google_ads[[#This Row],[impressions]]*RANDBETWEEN(8,12)/10,0)</f>
        <v>39567</v>
      </c>
      <c r="U45" s="4">
        <f ca="1">ROUND(_Google_ads[[#This Row],[clicks]]*RANDBETWEEN(8,12)/10,0)</f>
        <v>789</v>
      </c>
      <c r="V45" s="4">
        <f ca="1">_Google_ads[[#This Row],[cost]]*RANDBETWEEN(8,12)/10</f>
        <v>507.4</v>
      </c>
      <c r="W45" s="4">
        <f ca="1">ROUND(_Google_ads[[#This Row],[conversions]]*RANDBETWEEN(8,12)/10,0)</f>
        <v>23</v>
      </c>
      <c r="X45" s="4">
        <f ca="1">ROUND(_Google_ads[[#This Row],[conversion_value]]*RANDBETWEEN(8,12)/10,0)</f>
        <v>950</v>
      </c>
      <c r="Y45" s="4">
        <f ca="1">_Google_ads[[#This Row],[ctr]]*RANDBETWEEN(8,12)/10</f>
        <v>1.592E-2</v>
      </c>
      <c r="Z45" s="4">
        <f ca="1">_Google_ads[[#This Row],[avg_cpc]]*RANDBETWEEN(8,12)/10</f>
        <v>0.70399999999999996</v>
      </c>
      <c r="AA45" s="4">
        <f ca="1">ROUND(_Google_ads[[#This Row],[quality_score]]*RANDBETWEEN(8,12)/10,0)</f>
        <v>6</v>
      </c>
      <c r="AB45" s="4">
        <f ca="1">_Google_ads[[#This Row],[search_impression_share]]*RANDBETWEEN(8,12)/10</f>
        <v>0.378</v>
      </c>
      <c r="AD45" s="3">
        <f t="shared" ca="1" si="7"/>
        <v>45241</v>
      </c>
      <c r="AE45" s="4" t="s">
        <v>104</v>
      </c>
      <c r="AF45" s="4" t="s">
        <v>105</v>
      </c>
      <c r="AG45" s="4" t="s">
        <v>106</v>
      </c>
      <c r="AH45" s="4" t="s">
        <v>107</v>
      </c>
      <c r="AI45" s="4">
        <f ca="1">ROUND(T_Tiktok_ads[[#This Row],[impressions]]*RANDBETWEEN(8,12)/10,0)</f>
        <v>103121</v>
      </c>
      <c r="AJ45" s="4">
        <f ca="1">ROUND(T_Tiktok_ads[[#This Row],[clicks]]*RANDBETWEEN(8,12)/10,0)</f>
        <v>2947</v>
      </c>
      <c r="AK45" s="4">
        <v>689.5</v>
      </c>
      <c r="AL45" s="4">
        <f ca="1">ROUND(T_Tiktok_ads[[#This Row],[conversions]]*RANDBETWEEN(8,12)/10,0)</f>
        <v>82</v>
      </c>
      <c r="AM45" s="4">
        <f ca="1">ROUND(T_Tiktok_ads[[#This Row],[video_views]]*RANDBETWEEN(8,12)/10,0)</f>
        <v>72987</v>
      </c>
      <c r="AN45" s="4">
        <f ca="1">ROUND(T_Tiktok_ads[[#This Row],[video_watch_25]]*RANDBETWEEN(8,12)/10,0)</f>
        <v>75057</v>
      </c>
      <c r="AO45" s="4">
        <f ca="1">ROUND(T_Tiktok_ads[[#This Row],[video_watch_50]]*RANDBETWEEN(8,12)/10,0)</f>
        <v>41210</v>
      </c>
      <c r="AP45" s="4">
        <f ca="1">ROUND(T_Tiktok_ads[[#This Row],[video_watch_75]]*RANDBETWEEN(8,12)/10,0)</f>
        <v>31110</v>
      </c>
      <c r="AQ45" s="4">
        <f ca="1">ROUND(T_Tiktok_ads[[#This Row],[video_watch_100]]*RANDBETWEEN(8,12)/10,0)</f>
        <v>18942</v>
      </c>
      <c r="AR45" s="4">
        <f ca="1">ROUND(T_Tiktok_ads[[#This Row],[likes]]*RANDBETWEEN(8,12)/10,0)</f>
        <v>5614</v>
      </c>
      <c r="AS45" s="4">
        <f ca="1">ROUND(T_Tiktok_ads[[#This Row],[shares]]*RANDBETWEEN(8,12)/10,0)</f>
        <v>1140</v>
      </c>
      <c r="AT45" s="4">
        <f ca="1">ROUND(T_Tiktok_ads[[#This Row],[comments]]*RANDBETWEEN(8,12)/10,0)</f>
        <v>213</v>
      </c>
      <c r="AV45" s="5">
        <f t="shared" ca="1" si="8"/>
        <v>45242</v>
      </c>
      <c r="AW45">
        <f t="shared" ca="1" si="4"/>
        <v>4</v>
      </c>
      <c r="AX45">
        <f ca="1">ROUND(T_Facebook_Ads1159636771757983879195[[#This Row],[impressions]]*RANDBETWEEN(8,12)/10,0)</f>
        <v>7608</v>
      </c>
      <c r="AY45">
        <f ca="1">ROUND(T_Facebook_Ads1159636771757983879195[[#This Row],[clicks]]*RANDBETWEEN(8,12)/10,0)</f>
        <v>538</v>
      </c>
      <c r="AZ45">
        <f ca="1">T_Facebook_Ads1159636771757983879195[[#This Row],[spend]]*RANDBETWEEN(8,12)/10</f>
        <v>148.72</v>
      </c>
      <c r="BA45">
        <f ca="1">ROUND(T_Facebook_Ads1159636771757983879195[[#This Row],[conversions]]*RANDBETWEEN(8,12)/10,0)</f>
        <v>38</v>
      </c>
      <c r="BB45">
        <f ca="1">ROUND(T_Facebook_Ads1159636771757983879195[[#This Row],[video_views]]*RANDBETWEEN(8,12)/10,0)</f>
        <v>718</v>
      </c>
    </row>
    <row r="46" spans="1:54" ht="15.75" thickBot="1" x14ac:dyDescent="0.3">
      <c r="A46" s="3">
        <f t="shared" ca="1" si="5"/>
        <v>45244</v>
      </c>
      <c r="B46" s="4" t="s">
        <v>60</v>
      </c>
      <c r="C46" s="4" t="s">
        <v>61</v>
      </c>
      <c r="D46" s="4" t="s">
        <v>62</v>
      </c>
      <c r="E46" s="4" t="s">
        <v>63</v>
      </c>
      <c r="F46" s="4">
        <f ca="1">ROUND(T_Facebook_Ads[[#This Row],[impressions]]*RANDBETWEEN(8,12)/10,0)</f>
        <v>24987</v>
      </c>
      <c r="G46" s="4">
        <v>1123</v>
      </c>
      <c r="H46" s="4">
        <f ca="1">T_Facebook_Ads[[#This Row],[spend]]*RANDBETWEEN(8,12)/10</f>
        <v>139.04000000000002</v>
      </c>
      <c r="I46" s="4">
        <f ca="1">ROUND(T_Facebook_Ads[[#This Row],[conversions]]*RANDBETWEEN(8,12)/10,0)</f>
        <v>23</v>
      </c>
      <c r="J46" s="4">
        <f ca="1">ROUND(T_Facebook_Ads[[#This Row],[video_views]]*RANDBETWEEN(8,12)/10,0)</f>
        <v>3890</v>
      </c>
      <c r="K46" s="4">
        <f ca="1">T_Facebook_Ads[[#This Row],[engagement_rate]]*RANDBETWEEN(8,12)/10</f>
        <v>3.2399999999999998E-2</v>
      </c>
      <c r="L46" s="4">
        <f ca="1">ROUND(T_Facebook_Ads[[#This Row],[reach]]*RANDBETWEEN(8,12)/10,0)</f>
        <v>31348</v>
      </c>
      <c r="M46" s="4">
        <f ca="1">T_Facebook_Ads[[#This Row],[frequency]]*RANDBETWEEN(8,12)/10</f>
        <v>1.44</v>
      </c>
      <c r="O46" s="3">
        <f t="shared" ca="1" si="6"/>
        <v>45241</v>
      </c>
      <c r="P46" s="4" t="s">
        <v>84</v>
      </c>
      <c r="Q46" s="4" t="s">
        <v>85</v>
      </c>
      <c r="R46" s="4" t="s">
        <v>86</v>
      </c>
      <c r="S46" s="4" t="s">
        <v>87</v>
      </c>
      <c r="T46" s="4">
        <f ca="1">ROUND(_Google_ads[[#This Row],[impressions]]*RANDBETWEEN(8,12)/10,0)</f>
        <v>61890</v>
      </c>
      <c r="U46" s="4">
        <f ca="1">ROUND(_Google_ads[[#This Row],[clicks]]*RANDBETWEEN(8,12)/10,0)</f>
        <v>1811</v>
      </c>
      <c r="V46" s="4">
        <f ca="1">_Google_ads[[#This Row],[cost]]*RANDBETWEEN(8,12)/10</f>
        <v>295.44</v>
      </c>
      <c r="W46" s="4">
        <f ca="1">ROUND(_Google_ads[[#This Row],[conversions]]*RANDBETWEEN(8,12)/10,0)</f>
        <v>64</v>
      </c>
      <c r="X46" s="4">
        <f ca="1">ROUND(_Google_ads[[#This Row],[conversion_value]]*RANDBETWEEN(8,12)/10,0)</f>
        <v>3480</v>
      </c>
      <c r="Y46" s="4">
        <f ca="1">_Google_ads[[#This Row],[ctr]]*RANDBETWEEN(8,12)/10</f>
        <v>2.6000000000000002E-2</v>
      </c>
      <c r="Z46" s="4">
        <f ca="1">_Google_ads[[#This Row],[avg_cpc]]*RANDBETWEEN(8,12)/10</f>
        <v>0.18</v>
      </c>
      <c r="AA46" s="4">
        <f ca="1">ROUND(_Google_ads[[#This Row],[quality_score]]*RANDBETWEEN(8,12)/10,0)</f>
        <v>7</v>
      </c>
      <c r="AB46" s="4">
        <f ca="1">_Google_ads[[#This Row],[search_impression_share]]*RANDBETWEEN(8,12)/10</f>
        <v>0.57599999999999996</v>
      </c>
      <c r="AD46" s="3">
        <f t="shared" ca="1" si="7"/>
        <v>45241</v>
      </c>
      <c r="AE46" s="4" t="s">
        <v>108</v>
      </c>
      <c r="AF46" s="4" t="s">
        <v>109</v>
      </c>
      <c r="AG46" s="4" t="s">
        <v>110</v>
      </c>
      <c r="AH46" s="4" t="s">
        <v>111</v>
      </c>
      <c r="AI46" s="4">
        <f ca="1">ROUND(T_Tiktok_ads[[#This Row],[impressions]]*RANDBETWEEN(8,12)/10,0)</f>
        <v>176110</v>
      </c>
      <c r="AJ46" s="4">
        <f ca="1">ROUND(T_Tiktok_ads[[#This Row],[clicks]]*RANDBETWEEN(8,12)/10,0)</f>
        <v>2391</v>
      </c>
      <c r="AK46" s="4">
        <v>361.2</v>
      </c>
      <c r="AL46" s="4">
        <f ca="1">ROUND(T_Tiktok_ads[[#This Row],[conversions]]*RANDBETWEEN(8,12)/10,0)</f>
        <v>25</v>
      </c>
      <c r="AM46" s="4">
        <f ca="1">ROUND(T_Tiktok_ads[[#This Row],[video_views]]*RANDBETWEEN(8,12)/10,0)</f>
        <v>152345</v>
      </c>
      <c r="AN46" s="4">
        <f ca="1">ROUND(T_Tiktok_ads[[#This Row],[video_watch_25]]*RANDBETWEEN(8,12)/10,0)</f>
        <v>105511</v>
      </c>
      <c r="AO46" s="4">
        <f ca="1">ROUND(T_Tiktok_ads[[#This Row],[video_watch_50]]*RANDBETWEEN(8,12)/10,0)</f>
        <v>111881</v>
      </c>
      <c r="AP46" s="4">
        <f ca="1">ROUND(T_Tiktok_ads[[#This Row],[video_watch_75]]*RANDBETWEEN(8,12)/10,0)</f>
        <v>71081</v>
      </c>
      <c r="AQ46" s="4">
        <f ca="1">ROUND(T_Tiktok_ads[[#This Row],[video_watch_100]]*RANDBETWEEN(8,12)/10,0)</f>
        <v>28987</v>
      </c>
      <c r="AR46" s="4">
        <f ca="1">ROUND(T_Tiktok_ads[[#This Row],[likes]]*RANDBETWEEN(8,12)/10,0)</f>
        <v>5698</v>
      </c>
      <c r="AS46" s="4">
        <f ca="1">ROUND(T_Tiktok_ads[[#This Row],[shares]]*RANDBETWEEN(8,12)/10,0)</f>
        <v>1967</v>
      </c>
      <c r="AT46" s="4">
        <f ca="1">ROUND(T_Tiktok_ads[[#This Row],[comments]]*RANDBETWEEN(8,12)/10,0)</f>
        <v>478</v>
      </c>
      <c r="AV46" s="5">
        <f t="shared" ca="1" si="8"/>
        <v>45245</v>
      </c>
      <c r="AW46">
        <f t="shared" ca="1" si="4"/>
        <v>2</v>
      </c>
      <c r="AX46">
        <f ca="1">ROUND(T_Facebook_Ads1159636771757983879195[[#This Row],[impressions]]*RANDBETWEEN(8,12)/10,0)</f>
        <v>22488</v>
      </c>
      <c r="AY46">
        <f ca="1">ROUND(T_Facebook_Ads1159636771757983879195[[#This Row],[clicks]]*RANDBETWEEN(8,12)/10,0)</f>
        <v>1123</v>
      </c>
      <c r="AZ46">
        <f ca="1">T_Facebook_Ads1159636771757983879195[[#This Row],[spend]]*RANDBETWEEN(8,12)/10</f>
        <v>125.13600000000001</v>
      </c>
      <c r="BA46">
        <f ca="1">ROUND(T_Facebook_Ads1159636771757983879195[[#This Row],[conversions]]*RANDBETWEEN(8,12)/10,0)</f>
        <v>18</v>
      </c>
      <c r="BB46">
        <f ca="1">ROUND(T_Facebook_Ads1159636771757983879195[[#This Row],[video_views]]*RANDBETWEEN(8,12)/10,0)</f>
        <v>3890</v>
      </c>
    </row>
    <row r="47" spans="1:54" ht="15.75" thickBot="1" x14ac:dyDescent="0.3">
      <c r="A47" s="3">
        <f t="shared" ca="1" si="5"/>
        <v>45237</v>
      </c>
      <c r="B47" s="4" t="s">
        <v>64</v>
      </c>
      <c r="C47" s="4" t="s">
        <v>65</v>
      </c>
      <c r="D47" s="4" t="s">
        <v>66</v>
      </c>
      <c r="E47" s="4" t="s">
        <v>67</v>
      </c>
      <c r="F47" s="4">
        <f ca="1">ROUND(T_Facebook_Ads[[#This Row],[impressions]]*RANDBETWEEN(8,12)/10,0)</f>
        <v>73481</v>
      </c>
      <c r="G47" s="4">
        <v>223</v>
      </c>
      <c r="H47" s="4">
        <f ca="1">T_Facebook_Ads[[#This Row],[spend]]*RANDBETWEEN(8,12)/10</f>
        <v>71.010000000000005</v>
      </c>
      <c r="I47" s="4">
        <f ca="1">ROUND(T_Facebook_Ads[[#This Row],[conversions]]*RANDBETWEEN(8,12)/10,0)</f>
        <v>4</v>
      </c>
      <c r="J47" s="4">
        <f ca="1">ROUND(T_Facebook_Ads[[#This Row],[video_views]]*RANDBETWEEN(8,12)/10,0)</f>
        <v>48680</v>
      </c>
      <c r="K47" s="4">
        <f ca="1">T_Facebook_Ads[[#This Row],[engagement_rate]]*RANDBETWEEN(8,12)/10</f>
        <v>3.96E-3</v>
      </c>
      <c r="L47" s="4">
        <f ca="1">ROUND(T_Facebook_Ads[[#This Row],[reach]]*RANDBETWEEN(8,12)/10,0)</f>
        <v>45111</v>
      </c>
      <c r="M47" s="4">
        <f ca="1">T_Facebook_Ads[[#This Row],[frequency]]*RANDBETWEEN(8,12)/10</f>
        <v>0.97599999999999998</v>
      </c>
      <c r="O47" s="3">
        <f t="shared" ca="1" si="6"/>
        <v>45239</v>
      </c>
      <c r="P47" s="4" t="s">
        <v>88</v>
      </c>
      <c r="Q47" s="4" t="s">
        <v>89</v>
      </c>
      <c r="R47" s="4" t="s">
        <v>90</v>
      </c>
      <c r="S47" s="4" t="s">
        <v>59</v>
      </c>
      <c r="T47" s="4">
        <f ca="1">ROUND(_Google_ads[[#This Row],[impressions]]*RANDBETWEEN(8,12)/10,0)</f>
        <v>92542</v>
      </c>
      <c r="U47" s="4">
        <f ca="1">ROUND(_Google_ads[[#This Row],[clicks]]*RANDBETWEEN(8,12)/10,0)</f>
        <v>330</v>
      </c>
      <c r="V47" s="4">
        <f ca="1">_Google_ads[[#This Row],[cost]]*RANDBETWEEN(8,12)/10</f>
        <v>124.74000000000001</v>
      </c>
      <c r="W47" s="4">
        <f ca="1">ROUND(_Google_ads[[#This Row],[conversions]]*RANDBETWEEN(8,12)/10,0)</f>
        <v>9</v>
      </c>
      <c r="X47" s="4">
        <f ca="1">ROUND(_Google_ads[[#This Row],[conversion_value]]*RANDBETWEEN(8,12)/10,0)</f>
        <v>605</v>
      </c>
      <c r="Y47" s="4">
        <f ca="1">_Google_ads[[#This Row],[ctr]]*RANDBETWEEN(8,12)/10</f>
        <v>3.2399999999999998E-3</v>
      </c>
      <c r="Z47" s="4">
        <f ca="1">_Google_ads[[#This Row],[avg_cpc]]*RANDBETWEEN(8,12)/10</f>
        <v>0.33600000000000002</v>
      </c>
      <c r="AA47" s="4">
        <f ca="1">ROUND(_Google_ads[[#This Row],[quality_score]]*RANDBETWEEN(8,12)/10,0)</f>
        <v>6</v>
      </c>
      <c r="AB47" s="4">
        <f ca="1">_Google_ads[[#This Row],[search_impression_share]]*RANDBETWEEN(8,12)/10</f>
        <v>0.35199999999999998</v>
      </c>
      <c r="AD47" s="3">
        <f t="shared" ca="1" si="7"/>
        <v>45250</v>
      </c>
      <c r="AE47" s="4" t="s">
        <v>112</v>
      </c>
      <c r="AF47" s="4" t="s">
        <v>113</v>
      </c>
      <c r="AG47" s="4" t="s">
        <v>114</v>
      </c>
      <c r="AH47" s="4" t="s">
        <v>115</v>
      </c>
      <c r="AI47" s="4">
        <f ca="1">ROUND(T_Tiktok_ads[[#This Row],[impressions]]*RANDBETWEEN(8,12)/10,0)</f>
        <v>356789</v>
      </c>
      <c r="AJ47" s="4">
        <f ca="1">ROUND(T_Tiktok_ads[[#This Row],[clicks]]*RANDBETWEEN(8,12)/10,0)</f>
        <v>4667</v>
      </c>
      <c r="AK47" s="4">
        <v>901.2</v>
      </c>
      <c r="AL47" s="4">
        <f ca="1">ROUND(T_Tiktok_ads[[#This Row],[conversions]]*RANDBETWEEN(8,12)/10,0)</f>
        <v>109</v>
      </c>
      <c r="AM47" s="4">
        <f ca="1">ROUND(T_Tiktok_ads[[#This Row],[video_views]]*RANDBETWEEN(8,12)/10,0)</f>
        <v>264110</v>
      </c>
      <c r="AN47" s="4">
        <f ca="1">ROUND(T_Tiktok_ads[[#This Row],[video_watch_25]]*RANDBETWEEN(8,12)/10,0)</f>
        <v>215311</v>
      </c>
      <c r="AO47" s="4">
        <f ca="1">ROUND(T_Tiktok_ads[[#This Row],[video_watch_50]]*RANDBETWEEN(8,12)/10,0)</f>
        <v>229481</v>
      </c>
      <c r="AP47" s="4">
        <f ca="1">ROUND(T_Tiktok_ads[[#This Row],[video_watch_75]]*RANDBETWEEN(8,12)/10,0)</f>
        <v>163481</v>
      </c>
      <c r="AQ47" s="4">
        <f ca="1">ROUND(T_Tiktok_ads[[#This Row],[video_watch_100]]*RANDBETWEEN(8,12)/10,0)</f>
        <v>99257</v>
      </c>
      <c r="AR47" s="4">
        <f ca="1">ROUND(T_Tiktok_ads[[#This Row],[likes]]*RANDBETWEEN(8,12)/10,0)</f>
        <v>19068</v>
      </c>
      <c r="AS47" s="4">
        <f ca="1">ROUND(T_Tiktok_ads[[#This Row],[shares]]*RANDBETWEEN(8,12)/10,0)</f>
        <v>4171</v>
      </c>
      <c r="AT47" s="4">
        <f ca="1">ROUND(T_Tiktok_ads[[#This Row],[comments]]*RANDBETWEEN(8,12)/10,0)</f>
        <v>1507</v>
      </c>
      <c r="AV47" s="5">
        <f t="shared" ca="1" si="8"/>
        <v>45253</v>
      </c>
      <c r="AW47">
        <f t="shared" ca="1" si="4"/>
        <v>4</v>
      </c>
      <c r="AX47">
        <f ca="1">ROUND(T_Facebook_Ads1159636771757983879195[[#This Row],[impressions]]*RANDBETWEEN(8,12)/10,0)</f>
        <v>80829</v>
      </c>
      <c r="AY47">
        <f ca="1">ROUND(T_Facebook_Ads1159636771757983879195[[#This Row],[clicks]]*RANDBETWEEN(8,12)/10,0)</f>
        <v>268</v>
      </c>
      <c r="AZ47">
        <f ca="1">T_Facebook_Ads1159636771757983879195[[#This Row],[spend]]*RANDBETWEEN(8,12)/10</f>
        <v>63.909000000000006</v>
      </c>
      <c r="BA47">
        <f ca="1">ROUND(T_Facebook_Ads1159636771757983879195[[#This Row],[conversions]]*RANDBETWEEN(8,12)/10,0)</f>
        <v>4</v>
      </c>
      <c r="BB47">
        <f ca="1">ROUND(T_Facebook_Ads1159636771757983879195[[#This Row],[video_views]]*RANDBETWEEN(8,12)/10,0)</f>
        <v>43812</v>
      </c>
    </row>
    <row r="48" spans="1:54" ht="15.75" thickBot="1" x14ac:dyDescent="0.3">
      <c r="A48" s="3">
        <f t="shared" ca="1" si="5"/>
        <v>45245</v>
      </c>
      <c r="B48" s="4" t="s">
        <v>52</v>
      </c>
      <c r="C48" s="4" t="s">
        <v>53</v>
      </c>
      <c r="D48" s="4" t="s">
        <v>54</v>
      </c>
      <c r="E48" s="4" t="s">
        <v>55</v>
      </c>
      <c r="F48" s="4">
        <f ca="1">ROUND(T_Facebook_Ads[[#This Row],[impressions]]*RANDBETWEEN(8,12)/10,0)</f>
        <v>37431</v>
      </c>
      <c r="G48" s="4">
        <v>934</v>
      </c>
      <c r="H48" s="4">
        <f ca="1">T_Facebook_Ads[[#This Row],[spend]]*RANDBETWEEN(8,12)/10</f>
        <v>145.64000000000001</v>
      </c>
      <c r="I48" s="4">
        <f ca="1">ROUND(T_Facebook_Ads[[#This Row],[conversions]]*RANDBETWEEN(8,12)/10,0)</f>
        <v>14</v>
      </c>
      <c r="J48" s="4">
        <f ca="1">ROUND(T_Facebook_Ads[[#This Row],[video_views]]*RANDBETWEEN(8,12)/10,0)</f>
        <v>8567</v>
      </c>
      <c r="K48" s="4">
        <f ca="1">T_Facebook_Ads[[#This Row],[engagement_rate]]*RANDBETWEEN(8,12)/10</f>
        <v>2.4E-2</v>
      </c>
      <c r="L48" s="4">
        <f ca="1">ROUND(T_Facebook_Ads[[#This Row],[reach]]*RANDBETWEEN(8,12)/10,0)</f>
        <v>39234</v>
      </c>
      <c r="M48" s="4">
        <f ca="1">T_Facebook_Ads[[#This Row],[frequency]]*RANDBETWEEN(8,12)/10</f>
        <v>1.3089999999999999</v>
      </c>
      <c r="O48" s="3">
        <f t="shared" ca="1" si="6"/>
        <v>45233</v>
      </c>
      <c r="P48" s="4" t="s">
        <v>76</v>
      </c>
      <c r="Q48" s="4" t="s">
        <v>77</v>
      </c>
      <c r="R48" s="4" t="s">
        <v>78</v>
      </c>
      <c r="S48" s="4" t="s">
        <v>79</v>
      </c>
      <c r="T48" s="4">
        <f ca="1">ROUND(_Google_ads[[#This Row],[impressions]]*RANDBETWEEN(8,12)/10,0)</f>
        <v>21501</v>
      </c>
      <c r="U48" s="4">
        <f ca="1">ROUND(_Google_ads[[#This Row],[clicks]]*RANDBETWEEN(8,12)/10,0)</f>
        <v>1481</v>
      </c>
      <c r="V48" s="4">
        <f ca="1">_Google_ads[[#This Row],[cost]]*RANDBETWEEN(8,12)/10</f>
        <v>235.6</v>
      </c>
      <c r="W48" s="4">
        <f ca="1">ROUND(_Google_ads[[#This Row],[conversions]]*RANDBETWEEN(8,12)/10,0)</f>
        <v>46</v>
      </c>
      <c r="X48" s="4">
        <f ca="1">ROUND(_Google_ads[[#This Row],[conversion_value]]*RANDBETWEEN(8,12)/10,0)</f>
        <v>1840</v>
      </c>
      <c r="Y48" s="4">
        <f ca="1">_Google_ads[[#This Row],[ctr]]*RANDBETWEEN(8,12)/10</f>
        <v>5.1700000000000003E-2</v>
      </c>
      <c r="Z48" s="4">
        <f ca="1">_Google_ads[[#This Row],[avg_cpc]]*RANDBETWEEN(8,12)/10</f>
        <v>0.20899999999999999</v>
      </c>
      <c r="AA48" s="4">
        <f ca="1">ROUND(_Google_ads[[#This Row],[quality_score]]*RANDBETWEEN(8,12)/10,0)</f>
        <v>9</v>
      </c>
      <c r="AB48" s="4">
        <f ca="1">_Google_ads[[#This Row],[search_impression_share]]*RANDBETWEEN(8,12)/10</f>
        <v>0.72799999999999998</v>
      </c>
      <c r="AD48" s="3">
        <f t="shared" ca="1" si="7"/>
        <v>45241</v>
      </c>
      <c r="AE48" s="4" t="s">
        <v>100</v>
      </c>
      <c r="AF48" s="4" t="s">
        <v>101</v>
      </c>
      <c r="AG48" s="4" t="s">
        <v>102</v>
      </c>
      <c r="AH48" s="4" t="s">
        <v>103</v>
      </c>
      <c r="AI48" s="4">
        <f ca="1">ROUND(T_Tiktok_ads[[#This Row],[impressions]]*RANDBETWEEN(8,12)/10,0)</f>
        <v>222110</v>
      </c>
      <c r="AJ48" s="4">
        <f ca="1">ROUND(T_Tiktok_ads[[#This Row],[clicks]]*RANDBETWEEN(8,12)/10,0)</f>
        <v>4046</v>
      </c>
      <c r="AK48" s="4">
        <v>478.9</v>
      </c>
      <c r="AL48" s="4">
        <f ca="1">ROUND(T_Tiktok_ads[[#This Row],[conversions]]*RANDBETWEEN(8,12)/10,0)</f>
        <v>36</v>
      </c>
      <c r="AM48" s="4">
        <f ca="1">ROUND(T_Tiktok_ads[[#This Row],[video_views]]*RANDBETWEEN(8,12)/10,0)</f>
        <v>165876</v>
      </c>
      <c r="AN48" s="4">
        <f ca="1">ROUND(T_Tiktok_ads[[#This Row],[video_watch_25]]*RANDBETWEEN(8,12)/10,0)</f>
        <v>163456</v>
      </c>
      <c r="AO48" s="4">
        <f ca="1">ROUND(T_Tiktok_ads[[#This Row],[video_watch_50]]*RANDBETWEEN(8,12)/10,0)</f>
        <v>112580</v>
      </c>
      <c r="AP48" s="4">
        <f ca="1">ROUND(T_Tiktok_ads[[#This Row],[video_watch_75]]*RANDBETWEEN(8,12)/10,0)</f>
        <v>70234</v>
      </c>
      <c r="AQ48" s="4">
        <f ca="1">ROUND(T_Tiktok_ads[[#This Row],[video_watch_100]]*RANDBETWEEN(8,12)/10,0)</f>
        <v>42511</v>
      </c>
      <c r="AR48" s="4">
        <f ca="1">ROUND(T_Tiktok_ads[[#This Row],[likes]]*RANDBETWEEN(8,12)/10,0)</f>
        <v>8311</v>
      </c>
      <c r="AS48" s="4">
        <f ca="1">ROUND(T_Tiktok_ads[[#This Row],[shares]]*RANDBETWEEN(8,12)/10,0)</f>
        <v>2702</v>
      </c>
      <c r="AT48" s="4">
        <f ca="1">ROUND(T_Tiktok_ads[[#This Row],[comments]]*RANDBETWEEN(8,12)/10,0)</f>
        <v>648</v>
      </c>
      <c r="AV48" s="5">
        <f t="shared" ca="1" si="8"/>
        <v>45246</v>
      </c>
      <c r="AW48">
        <f t="shared" ca="1" si="4"/>
        <v>1</v>
      </c>
      <c r="AX48">
        <f ca="1">ROUND(T_Facebook_Ads1159636771757983879195[[#This Row],[impressions]]*RANDBETWEEN(8,12)/10,0)</f>
        <v>29945</v>
      </c>
      <c r="AY48">
        <f ca="1">ROUND(T_Facebook_Ads1159636771757983879195[[#This Row],[clicks]]*RANDBETWEEN(8,12)/10,0)</f>
        <v>1121</v>
      </c>
      <c r="AZ48">
        <f ca="1">T_Facebook_Ads1159636771757983879195[[#This Row],[spend]]*RANDBETWEEN(8,12)/10</f>
        <v>131.07600000000002</v>
      </c>
      <c r="BA48">
        <f ca="1">ROUND(T_Facebook_Ads1159636771757983879195[[#This Row],[conversions]]*RANDBETWEEN(8,12)/10,0)</f>
        <v>14</v>
      </c>
      <c r="BB48">
        <f ca="1">ROUND(T_Facebook_Ads1159636771757983879195[[#This Row],[video_views]]*RANDBETWEEN(8,12)/10,0)</f>
        <v>7710</v>
      </c>
    </row>
    <row r="49" spans="1:54" ht="15.75" thickBot="1" x14ac:dyDescent="0.3">
      <c r="A49" s="3">
        <f t="shared" ca="1" si="5"/>
        <v>45243</v>
      </c>
      <c r="B49" s="4" t="s">
        <v>56</v>
      </c>
      <c r="C49" s="4" t="s">
        <v>57</v>
      </c>
      <c r="D49" s="4" t="s">
        <v>58</v>
      </c>
      <c r="E49" s="4" t="s">
        <v>59</v>
      </c>
      <c r="F49" s="4">
        <f ca="1">ROUND(T_Facebook_Ads[[#This Row],[impressions]]*RANDBETWEEN(8,12)/10,0)</f>
        <v>12890</v>
      </c>
      <c r="G49" s="4">
        <v>567</v>
      </c>
      <c r="H49" s="4">
        <f ca="1">T_Facebook_Ads[[#This Row],[spend]]*RANDBETWEEN(8,12)/10</f>
        <v>199.17000000000002</v>
      </c>
      <c r="I49" s="4">
        <f ca="1">ROUND(T_Facebook_Ads[[#This Row],[conversions]]*RANDBETWEEN(8,12)/10,0)</f>
        <v>41</v>
      </c>
      <c r="J49" s="4">
        <f ca="1">ROUND(T_Facebook_Ads[[#This Row],[video_views]]*RANDBETWEEN(8,12)/10,0)</f>
        <v>1480</v>
      </c>
      <c r="K49" s="4">
        <f ca="1">T_Facebook_Ads[[#This Row],[engagement_rate]]*RANDBETWEEN(8,12)/10</f>
        <v>3.5199999999999995E-2</v>
      </c>
      <c r="L49" s="4">
        <f ca="1">ROUND(T_Facebook_Ads[[#This Row],[reach]]*RANDBETWEEN(8,12)/10,0)</f>
        <v>9111</v>
      </c>
      <c r="M49" s="4">
        <f ca="1">T_Facebook_Ads[[#This Row],[frequency]]*RANDBETWEEN(8,12)/10</f>
        <v>1.143</v>
      </c>
      <c r="O49" s="3">
        <f t="shared" ca="1" si="6"/>
        <v>45258</v>
      </c>
      <c r="P49" s="4" t="s">
        <v>80</v>
      </c>
      <c r="Q49" s="4" t="s">
        <v>81</v>
      </c>
      <c r="R49" s="4" t="s">
        <v>82</v>
      </c>
      <c r="S49" s="4" t="s">
        <v>83</v>
      </c>
      <c r="T49" s="4">
        <f ca="1">ROUND(_Google_ads[[#This Row],[impressions]]*RANDBETWEEN(8,12)/10,0)</f>
        <v>35031</v>
      </c>
      <c r="U49" s="4">
        <f ca="1">ROUND(_Google_ads[[#This Row],[clicks]]*RANDBETWEEN(8,12)/10,0)</f>
        <v>942</v>
      </c>
      <c r="V49" s="4">
        <f ca="1">_Google_ads[[#This Row],[cost]]*RANDBETWEEN(8,12)/10</f>
        <v>504.80999999999995</v>
      </c>
      <c r="W49" s="4">
        <f ca="1">ROUND(_Google_ads[[#This Row],[conversions]]*RANDBETWEEN(8,12)/10,0)</f>
        <v>22</v>
      </c>
      <c r="X49" s="4">
        <f ca="1">ROUND(_Google_ads[[#This Row],[conversion_value]]*RANDBETWEEN(8,12)/10,0)</f>
        <v>880</v>
      </c>
      <c r="Y49" s="4">
        <f ca="1">_Google_ads[[#This Row],[ctr]]*RANDBETWEEN(8,12)/10</f>
        <v>1.755E-2</v>
      </c>
      <c r="Z49" s="4">
        <f ca="1">_Google_ads[[#This Row],[avg_cpc]]*RANDBETWEEN(8,12)/10</f>
        <v>0.72600000000000009</v>
      </c>
      <c r="AA49" s="4">
        <f ca="1">ROUND(_Google_ads[[#This Row],[quality_score]]*RANDBETWEEN(8,12)/10,0)</f>
        <v>6</v>
      </c>
      <c r="AB49" s="4">
        <f ca="1">_Google_ads[[#This Row],[search_impression_share]]*RANDBETWEEN(8,12)/10</f>
        <v>0.52800000000000002</v>
      </c>
      <c r="AD49" s="3">
        <f t="shared" ca="1" si="7"/>
        <v>45232</v>
      </c>
      <c r="AE49" s="4" t="s">
        <v>104</v>
      </c>
      <c r="AF49" s="4" t="s">
        <v>105</v>
      </c>
      <c r="AG49" s="4" t="s">
        <v>106</v>
      </c>
      <c r="AH49" s="4" t="s">
        <v>107</v>
      </c>
      <c r="AI49" s="4">
        <f ca="1">ROUND(T_Tiktok_ads[[#This Row],[impressions]]*RANDBETWEEN(8,12)/10,0)</f>
        <v>156580</v>
      </c>
      <c r="AJ49" s="4">
        <f ca="1">ROUND(T_Tiktok_ads[[#This Row],[clicks]]*RANDBETWEEN(8,12)/10,0)</f>
        <v>3214</v>
      </c>
      <c r="AK49" s="4">
        <v>734.5</v>
      </c>
      <c r="AL49" s="4">
        <f ca="1">ROUND(T_Tiktok_ads[[#This Row],[conversions]]*RANDBETWEEN(8,12)/10,0)</f>
        <v>80</v>
      </c>
      <c r="AM49" s="4">
        <f ca="1">ROUND(T_Tiktok_ads[[#This Row],[video_views]]*RANDBETWEEN(8,12)/10,0)</f>
        <v>107679</v>
      </c>
      <c r="AN49" s="4">
        <f ca="1">ROUND(T_Tiktok_ads[[#This Row],[video_watch_25]]*RANDBETWEEN(8,12)/10,0)</f>
        <v>72345</v>
      </c>
      <c r="AO49" s="4">
        <f ca="1">ROUND(T_Tiktok_ads[[#This Row],[video_watch_50]]*RANDBETWEEN(8,12)/10,0)</f>
        <v>58681</v>
      </c>
      <c r="AP49" s="4">
        <f ca="1">ROUND(T_Tiktok_ads[[#This Row],[video_watch_75]]*RANDBETWEEN(8,12)/10,0)</f>
        <v>44147</v>
      </c>
      <c r="AQ49" s="4">
        <f ca="1">ROUND(T_Tiktok_ads[[#This Row],[video_watch_100]]*RANDBETWEEN(8,12)/10,0)</f>
        <v>27379</v>
      </c>
      <c r="AR49" s="4">
        <f ca="1">ROUND(T_Tiktok_ads[[#This Row],[likes]]*RANDBETWEEN(8,12)/10,0)</f>
        <v>5391</v>
      </c>
      <c r="AS49" s="4">
        <f ca="1">ROUND(T_Tiktok_ads[[#This Row],[shares]]*RANDBETWEEN(8,12)/10,0)</f>
        <v>1492</v>
      </c>
      <c r="AT49" s="4">
        <f ca="1">ROUND(T_Tiktok_ads[[#This Row],[comments]]*RANDBETWEEN(8,12)/10,0)</f>
        <v>256</v>
      </c>
      <c r="AV49" s="5">
        <f t="shared" ca="1" si="8"/>
        <v>45251</v>
      </c>
      <c r="AW49">
        <f t="shared" ca="1" si="4"/>
        <v>8</v>
      </c>
      <c r="AX49">
        <f ca="1">ROUND(T_Facebook_Ads1159636771757983879195[[#This Row],[impressions]]*RANDBETWEEN(8,12)/10,0)</f>
        <v>12890</v>
      </c>
      <c r="AY49">
        <f ca="1">ROUND(T_Facebook_Ads1159636771757983879195[[#This Row],[clicks]]*RANDBETWEEN(8,12)/10,0)</f>
        <v>624</v>
      </c>
      <c r="AZ49">
        <f ca="1">T_Facebook_Ads1159636771757983879195[[#This Row],[spend]]*RANDBETWEEN(8,12)/10</f>
        <v>159.33600000000001</v>
      </c>
      <c r="BA49">
        <f ca="1">ROUND(T_Facebook_Ads1159636771757983879195[[#This Row],[conversions]]*RANDBETWEEN(8,12)/10,0)</f>
        <v>41</v>
      </c>
      <c r="BB49">
        <f ca="1">ROUND(T_Facebook_Ads1159636771757983879195[[#This Row],[video_views]]*RANDBETWEEN(8,12)/10,0)</f>
        <v>1776</v>
      </c>
    </row>
    <row r="50" spans="1:54" ht="15.75" thickBot="1" x14ac:dyDescent="0.3">
      <c r="A50" s="3">
        <f t="shared" ca="1" si="5"/>
        <v>45236</v>
      </c>
      <c r="B50" s="4" t="s">
        <v>60</v>
      </c>
      <c r="C50" s="4" t="s">
        <v>61</v>
      </c>
      <c r="D50" s="4" t="s">
        <v>62</v>
      </c>
      <c r="E50" s="4" t="s">
        <v>63</v>
      </c>
      <c r="F50" s="4">
        <f ca="1">ROUND(T_Facebook_Ads[[#This Row],[impressions]]*RANDBETWEEN(8,12)/10,0)</f>
        <v>42814</v>
      </c>
      <c r="G50" s="4">
        <v>1289</v>
      </c>
      <c r="H50" s="4">
        <f ca="1">T_Facebook_Ads[[#This Row],[spend]]*RANDBETWEEN(8,12)/10</f>
        <v>196.6</v>
      </c>
      <c r="I50" s="4">
        <f ca="1">ROUND(T_Facebook_Ads[[#This Row],[conversions]]*RANDBETWEEN(8,12)/10,0)</f>
        <v>20</v>
      </c>
      <c r="J50" s="4">
        <f ca="1">ROUND(T_Facebook_Ads[[#This Row],[video_views]]*RANDBETWEEN(8,12)/10,0)</f>
        <v>4678</v>
      </c>
      <c r="K50" s="4">
        <f ca="1">T_Facebook_Ads[[#This Row],[engagement_rate]]*RANDBETWEEN(8,12)/10</f>
        <v>3.9710000000000002E-2</v>
      </c>
      <c r="L50" s="4">
        <f ca="1">ROUND(T_Facebook_Ads[[#This Row],[reach]]*RANDBETWEEN(8,12)/10,0)</f>
        <v>29345</v>
      </c>
      <c r="M50" s="4">
        <f ca="1">T_Facebook_Ads[[#This Row],[frequency]]*RANDBETWEEN(8,12)/10</f>
        <v>1.464</v>
      </c>
      <c r="O50" s="3">
        <f t="shared" ca="1" si="6"/>
        <v>45243</v>
      </c>
      <c r="P50" s="4" t="s">
        <v>84</v>
      </c>
      <c r="Q50" s="4" t="s">
        <v>85</v>
      </c>
      <c r="R50" s="4" t="s">
        <v>86</v>
      </c>
      <c r="S50" s="4" t="s">
        <v>87</v>
      </c>
      <c r="T50" s="4">
        <f ca="1">ROUND(_Google_ads[[#This Row],[impressions]]*RANDBETWEEN(8,12)/10,0)</f>
        <v>67234</v>
      </c>
      <c r="U50" s="4">
        <f ca="1">ROUND(_Google_ads[[#This Row],[clicks]]*RANDBETWEEN(8,12)/10,0)</f>
        <v>2234</v>
      </c>
      <c r="V50" s="4">
        <f ca="1">_Google_ads[[#This Row],[cost]]*RANDBETWEEN(8,12)/10</f>
        <v>329.36</v>
      </c>
      <c r="W50" s="4">
        <f ca="1">ROUND(_Google_ads[[#This Row],[conversions]]*RANDBETWEEN(8,12)/10,0)</f>
        <v>78</v>
      </c>
      <c r="X50" s="4">
        <f ca="1">ROUND(_Google_ads[[#This Row],[conversion_value]]*RANDBETWEEN(8,12)/10,0)</f>
        <v>2925</v>
      </c>
      <c r="Y50" s="4">
        <f ca="1">_Google_ads[[#This Row],[ctr]]*RANDBETWEEN(8,12)/10</f>
        <v>2.656E-2</v>
      </c>
      <c r="Z50" s="4">
        <f ca="1">_Google_ads[[#This Row],[avg_cpc]]*RANDBETWEEN(8,12)/10</f>
        <v>0.16199999999999998</v>
      </c>
      <c r="AA50" s="4">
        <f ca="1">ROUND(_Google_ads[[#This Row],[quality_score]]*RANDBETWEEN(8,12)/10,0)</f>
        <v>10</v>
      </c>
      <c r="AB50" s="4">
        <f ca="1">_Google_ads[[#This Row],[search_impression_share]]*RANDBETWEEN(8,12)/10</f>
        <v>0.72600000000000009</v>
      </c>
      <c r="AD50" s="3">
        <f t="shared" ca="1" si="7"/>
        <v>45234</v>
      </c>
      <c r="AE50" s="4" t="s">
        <v>108</v>
      </c>
      <c r="AF50" s="4" t="s">
        <v>109</v>
      </c>
      <c r="AG50" s="4" t="s">
        <v>110</v>
      </c>
      <c r="AH50" s="4" t="s">
        <v>111</v>
      </c>
      <c r="AI50" s="4">
        <f ca="1">ROUND(T_Tiktok_ads[[#This Row],[impressions]]*RANDBETWEEN(8,12)/10,0)</f>
        <v>191111</v>
      </c>
      <c r="AJ50" s="4">
        <f ca="1">ROUND(T_Tiktok_ads[[#This Row],[clicks]]*RANDBETWEEN(8,12)/10,0)</f>
        <v>3680</v>
      </c>
      <c r="AK50" s="4">
        <v>401.1</v>
      </c>
      <c r="AL50" s="4">
        <f ca="1">ROUND(T_Tiktok_ads[[#This Row],[conversions]]*RANDBETWEEN(8,12)/10,0)</f>
        <v>25</v>
      </c>
      <c r="AM50" s="4">
        <f ca="1">ROUND(T_Tiktok_ads[[#This Row],[video_views]]*RANDBETWEEN(8,12)/10,0)</f>
        <v>167890</v>
      </c>
      <c r="AN50" s="4">
        <f ca="1">ROUND(T_Tiktok_ads[[#This Row],[video_watch_25]]*RANDBETWEEN(8,12)/10,0)</f>
        <v>102587</v>
      </c>
      <c r="AO50" s="4">
        <f ca="1">ROUND(T_Tiktok_ads[[#This Row],[video_watch_50]]*RANDBETWEEN(8,12)/10,0)</f>
        <v>91111</v>
      </c>
      <c r="AP50" s="4">
        <f ca="1">ROUND(T_Tiktok_ads[[#This Row],[video_watch_75]]*RANDBETWEEN(8,12)/10,0)</f>
        <v>58711</v>
      </c>
      <c r="AQ50" s="4">
        <f ca="1">ROUND(T_Tiktok_ads[[#This Row],[video_watch_100]]*RANDBETWEEN(8,12)/10,0)</f>
        <v>47347</v>
      </c>
      <c r="AR50" s="4">
        <f ca="1">ROUND(T_Tiktok_ads[[#This Row],[likes]]*RANDBETWEEN(8,12)/10,0)</f>
        <v>6231</v>
      </c>
      <c r="AS50" s="4">
        <f ca="1">ROUND(T_Tiktok_ads[[#This Row],[shares]]*RANDBETWEEN(8,12)/10,0)</f>
        <v>2145</v>
      </c>
      <c r="AT50" s="4">
        <f ca="1">ROUND(T_Tiktok_ads[[#This Row],[comments]]*RANDBETWEEN(8,12)/10,0)</f>
        <v>563</v>
      </c>
      <c r="AV50" s="5">
        <f t="shared" ca="1" si="8"/>
        <v>45241</v>
      </c>
      <c r="AW50">
        <f t="shared" ca="1" si="4"/>
        <v>3</v>
      </c>
      <c r="AX50">
        <f ca="1">ROUND(T_Facebook_Ads1159636771757983879195[[#This Row],[impressions]]*RANDBETWEEN(8,12)/10,0)</f>
        <v>42814</v>
      </c>
      <c r="AY50">
        <f ca="1">ROUND(T_Facebook_Ads1159636771757983879195[[#This Row],[clicks]]*RANDBETWEEN(8,12)/10,0)</f>
        <v>1418</v>
      </c>
      <c r="AZ50">
        <f ca="1">T_Facebook_Ads1159636771757983879195[[#This Row],[spend]]*RANDBETWEEN(8,12)/10</f>
        <v>157.28</v>
      </c>
      <c r="BA50">
        <f ca="1">ROUND(T_Facebook_Ads1159636771757983879195[[#This Row],[conversions]]*RANDBETWEEN(8,12)/10,0)</f>
        <v>20</v>
      </c>
      <c r="BB50">
        <f ca="1">ROUND(T_Facebook_Ads1159636771757983879195[[#This Row],[video_views]]*RANDBETWEEN(8,12)/10,0)</f>
        <v>5614</v>
      </c>
    </row>
    <row r="51" spans="1:54" ht="15.75" thickBot="1" x14ac:dyDescent="0.3">
      <c r="A51" s="3">
        <f t="shared" ca="1" si="5"/>
        <v>45243</v>
      </c>
      <c r="B51" s="4" t="s">
        <v>64</v>
      </c>
      <c r="C51" s="4" t="s">
        <v>65</v>
      </c>
      <c r="D51" s="4" t="s">
        <v>66</v>
      </c>
      <c r="E51" s="4" t="s">
        <v>67</v>
      </c>
      <c r="F51" s="4">
        <f ca="1">ROUND(T_Facebook_Ads[[#This Row],[impressions]]*RANDBETWEEN(8,12)/10,0)</f>
        <v>68456</v>
      </c>
      <c r="G51" s="4">
        <v>248</v>
      </c>
      <c r="H51" s="4">
        <f ca="1">T_Facebook_Ads[[#This Row],[spend]]*RANDBETWEEN(8,12)/10</f>
        <v>70.08</v>
      </c>
      <c r="I51" s="4">
        <f ca="1">ROUND(T_Facebook_Ads[[#This Row],[conversions]]*RANDBETWEEN(8,12)/10,0)</f>
        <v>5</v>
      </c>
      <c r="J51" s="4">
        <f ca="1">ROUND(T_Facebook_Ads[[#This Row],[video_views]]*RANDBETWEEN(8,12)/10,0)</f>
        <v>55481</v>
      </c>
      <c r="K51" s="4">
        <f ca="1">T_Facebook_Ads[[#This Row],[engagement_rate]]*RANDBETWEEN(8,12)/10</f>
        <v>2.8799999999999997E-3</v>
      </c>
      <c r="L51" s="4">
        <f ca="1">ROUND(T_Facebook_Ads[[#This Row],[reach]]*RANDBETWEEN(8,12)/10,0)</f>
        <v>56789</v>
      </c>
      <c r="M51" s="4">
        <f ca="1">T_Facebook_Ads[[#This Row],[frequency]]*RANDBETWEEN(8,12)/10</f>
        <v>0.96799999999999997</v>
      </c>
      <c r="O51" s="3">
        <f t="shared" ca="1" si="6"/>
        <v>45246</v>
      </c>
      <c r="P51" s="4" t="s">
        <v>88</v>
      </c>
      <c r="Q51" s="4" t="s">
        <v>89</v>
      </c>
      <c r="R51" s="4" t="s">
        <v>90</v>
      </c>
      <c r="S51" s="4" t="s">
        <v>59</v>
      </c>
      <c r="T51" s="4">
        <f ca="1">ROUND(_Google_ads[[#This Row],[impressions]]*RANDBETWEEN(8,12)/10,0)</f>
        <v>116011</v>
      </c>
      <c r="U51" s="4">
        <f ca="1">ROUND(_Google_ads[[#This Row],[clicks]]*RANDBETWEEN(8,12)/10,0)</f>
        <v>420</v>
      </c>
      <c r="V51" s="4">
        <f ca="1">_Google_ads[[#This Row],[cost]]*RANDBETWEEN(8,12)/10</f>
        <v>139.37</v>
      </c>
      <c r="W51" s="4">
        <f ca="1">ROUND(_Google_ads[[#This Row],[conversions]]*RANDBETWEEN(8,12)/10,0)</f>
        <v>12</v>
      </c>
      <c r="X51" s="4">
        <f ca="1">ROUND(_Google_ads[[#This Row],[conversion_value]]*RANDBETWEEN(8,12)/10,0)</f>
        <v>650</v>
      </c>
      <c r="Y51" s="4">
        <f ca="1">_Google_ads[[#This Row],[ctr]]*RANDBETWEEN(8,12)/10</f>
        <v>3.5999999999999999E-3</v>
      </c>
      <c r="Z51" s="4">
        <f ca="1">_Google_ads[[#This Row],[avg_cpc]]*RANDBETWEEN(8,12)/10</f>
        <v>0.21600000000000003</v>
      </c>
      <c r="AA51" s="4">
        <f ca="1">ROUND(_Google_ads[[#This Row],[quality_score]]*RANDBETWEEN(8,12)/10,0)</f>
        <v>6</v>
      </c>
      <c r="AB51" s="4">
        <f ca="1">_Google_ads[[#This Row],[search_impression_share]]*RANDBETWEEN(8,12)/10</f>
        <v>0.30599999999999999</v>
      </c>
      <c r="AD51" s="3">
        <f t="shared" ca="1" si="7"/>
        <v>45232</v>
      </c>
      <c r="AE51" s="4" t="s">
        <v>112</v>
      </c>
      <c r="AF51" s="4" t="s">
        <v>113</v>
      </c>
      <c r="AG51" s="4" t="s">
        <v>114</v>
      </c>
      <c r="AH51" s="4" t="s">
        <v>115</v>
      </c>
      <c r="AI51" s="4">
        <f ca="1">ROUND(T_Tiktok_ads[[#This Row],[impressions]]*RANDBETWEEN(8,12)/10,0)</f>
        <v>416791</v>
      </c>
      <c r="AJ51" s="4">
        <f ca="1">ROUND(T_Tiktok_ads[[#This Row],[clicks]]*RANDBETWEEN(8,12)/10,0)</f>
        <v>6123</v>
      </c>
      <c r="AK51" s="4">
        <v>945.6</v>
      </c>
      <c r="AL51" s="4">
        <f ca="1">ROUND(T_Tiktok_ads[[#This Row],[conversions]]*RANDBETWEEN(8,12)/10,0)</f>
        <v>86</v>
      </c>
      <c r="AM51" s="4">
        <f ca="1">ROUND(T_Tiktok_ads[[#This Row],[video_views]]*RANDBETWEEN(8,12)/10,0)</f>
        <v>343580</v>
      </c>
      <c r="AN51" s="4">
        <f ca="1">ROUND(T_Tiktok_ads[[#This Row],[video_watch_25]]*RANDBETWEEN(8,12)/10,0)</f>
        <v>301481</v>
      </c>
      <c r="AO51" s="4">
        <f ca="1">ROUND(T_Tiktok_ads[[#This Row],[video_watch_50]]*RANDBETWEEN(8,12)/10,0)</f>
        <v>160987</v>
      </c>
      <c r="AP51" s="4">
        <f ca="1">ROUND(T_Tiktok_ads[[#This Row],[video_watch_75]]*RANDBETWEEN(8,12)/10,0)</f>
        <v>114765</v>
      </c>
      <c r="AQ51" s="4">
        <f ca="1">ROUND(T_Tiktok_ads[[#This Row],[video_watch_100]]*RANDBETWEEN(8,12)/10,0)</f>
        <v>85711</v>
      </c>
      <c r="AR51" s="4">
        <f ca="1">ROUND(T_Tiktok_ads[[#This Row],[likes]]*RANDBETWEEN(8,12)/10,0)</f>
        <v>19880</v>
      </c>
      <c r="AS51" s="4">
        <f ca="1">ROUND(T_Tiktok_ads[[#This Row],[shares]]*RANDBETWEEN(8,12)/10,0)</f>
        <v>3858</v>
      </c>
      <c r="AT51" s="4">
        <f ca="1">ROUND(T_Tiktok_ads[[#This Row],[comments]]*RANDBETWEEN(8,12)/10,0)</f>
        <v>1050</v>
      </c>
      <c r="AV51" s="5">
        <f t="shared" ca="1" si="8"/>
        <v>45240</v>
      </c>
      <c r="AW51">
        <f t="shared" ca="1" si="4"/>
        <v>3</v>
      </c>
      <c r="AX51">
        <f ca="1">ROUND(T_Facebook_Ads1159636771757983879195[[#This Row],[impressions]]*RANDBETWEEN(8,12)/10,0)</f>
        <v>75302</v>
      </c>
      <c r="AY51">
        <f ca="1">ROUND(T_Facebook_Ads1159636771757983879195[[#This Row],[clicks]]*RANDBETWEEN(8,12)/10,0)</f>
        <v>223</v>
      </c>
      <c r="AZ51">
        <f ca="1">T_Facebook_Ads1159636771757983879195[[#This Row],[spend]]*RANDBETWEEN(8,12)/10</f>
        <v>84.096000000000004</v>
      </c>
      <c r="BA51">
        <f ca="1">ROUND(T_Facebook_Ads1159636771757983879195[[#This Row],[conversions]]*RANDBETWEEN(8,12)/10,0)</f>
        <v>6</v>
      </c>
      <c r="BB51">
        <f ca="1">ROUND(T_Facebook_Ads1159636771757983879195[[#This Row],[video_views]]*RANDBETWEEN(8,12)/10,0)</f>
        <v>44385</v>
      </c>
    </row>
    <row r="52" spans="1:54" ht="15.75" thickBot="1" x14ac:dyDescent="0.3">
      <c r="A52" s="3">
        <f t="shared" ca="1" si="5"/>
        <v>45241</v>
      </c>
      <c r="B52" s="4" t="s">
        <v>52</v>
      </c>
      <c r="C52" s="4" t="s">
        <v>53</v>
      </c>
      <c r="D52" s="4" t="s">
        <v>54</v>
      </c>
      <c r="E52" s="4" t="s">
        <v>55</v>
      </c>
      <c r="F52" s="4">
        <f ca="1">ROUND(T_Facebook_Ads[[#This Row],[impressions]]*RANDBETWEEN(8,12)/10,0)</f>
        <v>45211</v>
      </c>
      <c r="G52" s="4">
        <v>1023</v>
      </c>
      <c r="H52" s="4">
        <f ca="1">T_Facebook_Ads[[#This Row],[spend]]*RANDBETWEEN(8,12)/10</f>
        <v>129.42000000000002</v>
      </c>
      <c r="I52" s="4">
        <f ca="1">ROUND(T_Facebook_Ads[[#This Row],[conversions]]*RANDBETWEEN(8,12)/10,0)</f>
        <v>14</v>
      </c>
      <c r="J52" s="4">
        <f ca="1">ROUND(T_Facebook_Ads[[#This Row],[video_views]]*RANDBETWEEN(8,12)/10,0)</f>
        <v>11081</v>
      </c>
      <c r="K52" s="4">
        <f ca="1">T_Facebook_Ads[[#This Row],[engagement_rate]]*RANDBETWEEN(8,12)/10</f>
        <v>2.4480000000000002E-2</v>
      </c>
      <c r="L52" s="4">
        <f ca="1">ROUND(T_Facebook_Ads[[#This Row],[reach]]*RANDBETWEEN(8,12)/10,0)</f>
        <v>46580</v>
      </c>
      <c r="M52" s="4">
        <f ca="1">T_Facebook_Ads[[#This Row],[frequency]]*RANDBETWEEN(8,12)/10</f>
        <v>0.95199999999999996</v>
      </c>
      <c r="O52" s="3">
        <f t="shared" ca="1" si="6"/>
        <v>45243</v>
      </c>
      <c r="P52" s="4" t="s">
        <v>76</v>
      </c>
      <c r="Q52" s="4" t="s">
        <v>77</v>
      </c>
      <c r="R52" s="4" t="s">
        <v>78</v>
      </c>
      <c r="S52" s="4" t="s">
        <v>79</v>
      </c>
      <c r="T52" s="4">
        <f ca="1">ROUND(_Google_ads[[#This Row],[impressions]]*RANDBETWEEN(8,12)/10,0)</f>
        <v>20365</v>
      </c>
      <c r="U52" s="4">
        <f ca="1">ROUND(_Google_ads[[#This Row],[clicks]]*RANDBETWEEN(8,12)/10,0)</f>
        <v>1480</v>
      </c>
      <c r="V52" s="4">
        <f ca="1">_Google_ads[[#This Row],[cost]]*RANDBETWEEN(8,12)/10</f>
        <v>257.3</v>
      </c>
      <c r="W52" s="4">
        <f ca="1">ROUND(_Google_ads[[#This Row],[conversions]]*RANDBETWEEN(8,12)/10,0)</f>
        <v>41</v>
      </c>
      <c r="X52" s="4">
        <f ca="1">ROUND(_Google_ads[[#This Row],[conversion_value]]*RANDBETWEEN(8,12)/10,0)</f>
        <v>2805</v>
      </c>
      <c r="Y52" s="4">
        <f ca="1">_Google_ads[[#This Row],[ctr]]*RANDBETWEEN(8,12)/10</f>
        <v>4.752E-2</v>
      </c>
      <c r="Z52" s="4">
        <f ca="1">_Google_ads[[#This Row],[avg_cpc]]*RANDBETWEEN(8,12)/10</f>
        <v>0.152</v>
      </c>
      <c r="AA52" s="4">
        <f ca="1">ROUND(_Google_ads[[#This Row],[quality_score]]*RANDBETWEEN(8,12)/10,0)</f>
        <v>9</v>
      </c>
      <c r="AB52" s="4">
        <f ca="1">_Google_ads[[#This Row],[search_impression_share]]*RANDBETWEEN(8,12)/10</f>
        <v>0.82800000000000007</v>
      </c>
      <c r="AD52" s="3">
        <f t="shared" ca="1" si="7"/>
        <v>45256</v>
      </c>
      <c r="AE52" s="4" t="s">
        <v>100</v>
      </c>
      <c r="AF52" s="4" t="s">
        <v>101</v>
      </c>
      <c r="AG52" s="4" t="s">
        <v>102</v>
      </c>
      <c r="AH52" s="4" t="s">
        <v>103</v>
      </c>
      <c r="AI52" s="4">
        <f ca="1">ROUND(T_Tiktok_ads[[#This Row],[impressions]]*RANDBETWEEN(8,12)/10,0)</f>
        <v>231210</v>
      </c>
      <c r="AJ52" s="4">
        <f ca="1">ROUND(T_Tiktok_ads[[#This Row],[clicks]]*RANDBETWEEN(8,12)/10,0)</f>
        <v>3387</v>
      </c>
      <c r="AK52" s="4">
        <v>556.70000000000005</v>
      </c>
      <c r="AL52" s="4">
        <f ca="1">ROUND(T_Tiktok_ads[[#This Row],[conversions]]*RANDBETWEEN(8,12)/10,0)</f>
        <v>34</v>
      </c>
      <c r="AM52" s="4">
        <f ca="1">ROUND(T_Tiktok_ads[[#This Row],[video_views]]*RANDBETWEEN(8,12)/10,0)</f>
        <v>187654</v>
      </c>
      <c r="AN52" s="4">
        <f ca="1">ROUND(T_Tiktok_ads[[#This Row],[video_watch_25]]*RANDBETWEEN(8,12)/10,0)</f>
        <v>218814</v>
      </c>
      <c r="AO52" s="4">
        <f ca="1">ROUND(T_Tiktok_ads[[#This Row],[video_watch_50]]*RANDBETWEEN(8,12)/10,0)</f>
        <v>91654</v>
      </c>
      <c r="AP52" s="4">
        <f ca="1">ROUND(T_Tiktok_ads[[#This Row],[video_watch_75]]*RANDBETWEEN(8,12)/10,0)</f>
        <v>92681</v>
      </c>
      <c r="AQ52" s="4">
        <f ca="1">ROUND(T_Tiktok_ads[[#This Row],[video_watch_100]]*RANDBETWEEN(8,12)/10,0)</f>
        <v>46111</v>
      </c>
      <c r="AR52" s="4">
        <f ca="1">ROUND(T_Tiktok_ads[[#This Row],[likes]]*RANDBETWEEN(8,12)/10,0)</f>
        <v>10345</v>
      </c>
      <c r="AS52" s="4">
        <f ca="1">ROUND(T_Tiktok_ads[[#This Row],[shares]]*RANDBETWEEN(8,12)/10,0)</f>
        <v>2231</v>
      </c>
      <c r="AT52" s="4">
        <f ca="1">ROUND(T_Tiktok_ads[[#This Row],[comments]]*RANDBETWEEN(8,12)/10,0)</f>
        <v>525</v>
      </c>
      <c r="AV52" s="5">
        <f t="shared" ca="1" si="8"/>
        <v>45236</v>
      </c>
      <c r="AW52">
        <f t="shared" ca="1" si="4"/>
        <v>5</v>
      </c>
      <c r="AX52">
        <f ca="1">ROUND(T_Facebook_Ads1159636771757983879195[[#This Row],[impressions]]*RANDBETWEEN(8,12)/10,0)</f>
        <v>45211</v>
      </c>
      <c r="AY52">
        <f ca="1">ROUND(T_Facebook_Ads1159636771757983879195[[#This Row],[clicks]]*RANDBETWEEN(8,12)/10,0)</f>
        <v>818</v>
      </c>
      <c r="AZ52">
        <f ca="1">T_Facebook_Ads1159636771757983879195[[#This Row],[spend]]*RANDBETWEEN(8,12)/10</f>
        <v>129.42000000000002</v>
      </c>
      <c r="BA52">
        <f ca="1">ROUND(T_Facebook_Ads1159636771757983879195[[#This Row],[conversions]]*RANDBETWEEN(8,12)/10,0)</f>
        <v>17</v>
      </c>
      <c r="BB52">
        <f ca="1">ROUND(T_Facebook_Ads1159636771757983879195[[#This Row],[video_views]]*RANDBETWEEN(8,12)/10,0)</f>
        <v>11081</v>
      </c>
    </row>
    <row r="53" spans="1:54" ht="15.75" thickBot="1" x14ac:dyDescent="0.3">
      <c r="A53" s="3">
        <f t="shared" ca="1" si="5"/>
        <v>45245</v>
      </c>
      <c r="B53" s="4" t="s">
        <v>56</v>
      </c>
      <c r="C53" s="4" t="s">
        <v>57</v>
      </c>
      <c r="D53" s="4" t="s">
        <v>58</v>
      </c>
      <c r="E53" s="4" t="s">
        <v>59</v>
      </c>
      <c r="F53" s="4">
        <f ca="1">ROUND(T_Facebook_Ads[[#This Row],[impressions]]*RANDBETWEEN(8,12)/10,0)</f>
        <v>17081</v>
      </c>
      <c r="G53" s="4">
        <v>678</v>
      </c>
      <c r="H53" s="4">
        <f ca="1">T_Facebook_Ads[[#This Row],[spend]]*RANDBETWEEN(8,12)/10</f>
        <v>198.8</v>
      </c>
      <c r="I53" s="4">
        <f ca="1">ROUND(T_Facebook_Ads[[#This Row],[conversions]]*RANDBETWEEN(8,12)/10,0)</f>
        <v>38</v>
      </c>
      <c r="J53" s="4">
        <f ca="1">ROUND(T_Facebook_Ads[[#This Row],[video_views]]*RANDBETWEEN(8,12)/10,0)</f>
        <v>1410</v>
      </c>
      <c r="K53" s="4">
        <f ca="1">T_Facebook_Ads[[#This Row],[engagement_rate]]*RANDBETWEEN(8,12)/10</f>
        <v>4.2930000000000003E-2</v>
      </c>
      <c r="L53" s="4">
        <f ca="1">ROUND(T_Facebook_Ads[[#This Row],[reach]]*RANDBETWEEN(8,12)/10,0)</f>
        <v>13481</v>
      </c>
      <c r="M53" s="4">
        <f ca="1">T_Facebook_Ads[[#This Row],[frequency]]*RANDBETWEEN(8,12)/10</f>
        <v>1.524</v>
      </c>
      <c r="O53" s="3">
        <f t="shared" ca="1" si="6"/>
        <v>45243</v>
      </c>
      <c r="P53" s="4" t="s">
        <v>80</v>
      </c>
      <c r="Q53" s="4" t="s">
        <v>81</v>
      </c>
      <c r="R53" s="4" t="s">
        <v>82</v>
      </c>
      <c r="S53" s="4" t="s">
        <v>83</v>
      </c>
      <c r="T53" s="4">
        <f ca="1">ROUND(_Google_ads[[#This Row],[impressions]]*RANDBETWEEN(8,12)/10,0)</f>
        <v>36542</v>
      </c>
      <c r="U53" s="4">
        <f ca="1">ROUND(_Google_ads[[#This Row],[clicks]]*RANDBETWEEN(8,12)/10,0)</f>
        <v>901</v>
      </c>
      <c r="V53" s="4">
        <f ca="1">_Google_ads[[#This Row],[cost]]*RANDBETWEEN(8,12)/10</f>
        <v>467.6</v>
      </c>
      <c r="W53" s="4">
        <f ca="1">ROUND(_Google_ads[[#This Row],[conversions]]*RANDBETWEEN(8,12)/10,0)</f>
        <v>22</v>
      </c>
      <c r="X53" s="4">
        <f ca="1">ROUND(_Google_ads[[#This Row],[conversion_value]]*RANDBETWEEN(8,12)/10,0)</f>
        <v>960</v>
      </c>
      <c r="Y53" s="4">
        <f ca="1">_Google_ads[[#This Row],[ctr]]*RANDBETWEEN(8,12)/10</f>
        <v>1.576E-2</v>
      </c>
      <c r="Z53" s="4">
        <f ca="1">_Google_ads[[#This Row],[avg_cpc]]*RANDBETWEEN(8,12)/10</f>
        <v>0.71500000000000008</v>
      </c>
      <c r="AA53" s="4">
        <f ca="1">ROUND(_Google_ads[[#This Row],[quality_score]]*RANDBETWEEN(8,12)/10,0)</f>
        <v>8</v>
      </c>
      <c r="AB53" s="4">
        <f ca="1">_Google_ads[[#This Row],[search_impression_share]]*RANDBETWEEN(8,12)/10</f>
        <v>0.45</v>
      </c>
      <c r="AD53" s="3">
        <f t="shared" ca="1" si="7"/>
        <v>45247</v>
      </c>
      <c r="AE53" s="4" t="s">
        <v>104</v>
      </c>
      <c r="AF53" s="4" t="s">
        <v>105</v>
      </c>
      <c r="AG53" s="4" t="s">
        <v>106</v>
      </c>
      <c r="AH53" s="4" t="s">
        <v>107</v>
      </c>
      <c r="AI53" s="4">
        <f ca="1">ROUND(T_Tiktok_ads[[#This Row],[impressions]]*RANDBETWEEN(8,12)/10,0)</f>
        <v>188147</v>
      </c>
      <c r="AJ53" s="4">
        <f ca="1">ROUND(T_Tiktok_ads[[#This Row],[clicks]]*RANDBETWEEN(8,12)/10,0)</f>
        <v>3614</v>
      </c>
      <c r="AK53" s="4">
        <v>812.3</v>
      </c>
      <c r="AL53" s="4">
        <f ca="1">ROUND(T_Tiktok_ads[[#This Row],[conversions]]*RANDBETWEEN(8,12)/10,0)</f>
        <v>98</v>
      </c>
      <c r="AM53" s="4">
        <f ca="1">ROUND(T_Tiktok_ads[[#This Row],[video_views]]*RANDBETWEEN(8,12)/10,0)</f>
        <v>98888</v>
      </c>
      <c r="AN53" s="4">
        <f ca="1">ROUND(T_Tiktok_ads[[#This Row],[video_watch_25]]*RANDBETWEEN(8,12)/10,0)</f>
        <v>81234</v>
      </c>
      <c r="AO53" s="4">
        <f ca="1">ROUND(T_Tiktok_ads[[#This Row],[video_watch_50]]*RANDBETWEEN(8,12)/10,0)</f>
        <v>43742</v>
      </c>
      <c r="AP53" s="4">
        <f ca="1">ROUND(T_Tiktok_ads[[#This Row],[video_watch_75]]*RANDBETWEEN(8,12)/10,0)</f>
        <v>32987</v>
      </c>
      <c r="AQ53" s="4">
        <f ca="1">ROUND(T_Tiktok_ads[[#This Row],[video_watch_100]]*RANDBETWEEN(8,12)/10,0)</f>
        <v>30324</v>
      </c>
      <c r="AR53" s="4">
        <f ca="1">ROUND(T_Tiktok_ads[[#This Row],[likes]]*RANDBETWEEN(8,12)/10,0)</f>
        <v>6002</v>
      </c>
      <c r="AS53" s="4">
        <f ca="1">ROUND(T_Tiktok_ads[[#This Row],[shares]]*RANDBETWEEN(8,12)/10,0)</f>
        <v>1567</v>
      </c>
      <c r="AT53" s="4">
        <f ca="1">ROUND(T_Tiktok_ads[[#This Row],[comments]]*RANDBETWEEN(8,12)/10,0)</f>
        <v>289</v>
      </c>
      <c r="AV53" s="5">
        <f t="shared" ca="1" si="8"/>
        <v>45231</v>
      </c>
      <c r="AW53">
        <f t="shared" ca="1" si="4"/>
        <v>3</v>
      </c>
      <c r="AX53">
        <f ca="1">ROUND(T_Facebook_Ads1159636771757983879195[[#This Row],[impressions]]*RANDBETWEEN(8,12)/10,0)</f>
        <v>13665</v>
      </c>
      <c r="AY53">
        <f ca="1">ROUND(T_Facebook_Ads1159636771757983879195[[#This Row],[clicks]]*RANDBETWEEN(8,12)/10,0)</f>
        <v>746</v>
      </c>
      <c r="AZ53">
        <f ca="1">T_Facebook_Ads1159636771757983879195[[#This Row],[spend]]*RANDBETWEEN(8,12)/10</f>
        <v>198.8</v>
      </c>
      <c r="BA53">
        <f ca="1">ROUND(T_Facebook_Ads1159636771757983879195[[#This Row],[conversions]]*RANDBETWEEN(8,12)/10,0)</f>
        <v>42</v>
      </c>
      <c r="BB53">
        <f ca="1">ROUND(T_Facebook_Ads1159636771757983879195[[#This Row],[video_views]]*RANDBETWEEN(8,12)/10,0)</f>
        <v>1410</v>
      </c>
    </row>
    <row r="54" spans="1:54" ht="15.75" thickBot="1" x14ac:dyDescent="0.3">
      <c r="A54" s="3">
        <f t="shared" ca="1" si="5"/>
        <v>45256</v>
      </c>
      <c r="B54" s="4" t="s">
        <v>60</v>
      </c>
      <c r="C54" s="4" t="s">
        <v>61</v>
      </c>
      <c r="D54" s="4" t="s">
        <v>62</v>
      </c>
      <c r="E54" s="4" t="s">
        <v>63</v>
      </c>
      <c r="F54" s="4">
        <f ca="1">ROUND(T_Facebook_Ads[[#This Row],[impressions]]*RANDBETWEEN(8,12)/10,0)</f>
        <v>30765</v>
      </c>
      <c r="G54" s="4">
        <v>1423</v>
      </c>
      <c r="H54" s="4">
        <f ca="1">T_Facebook_Ads[[#This Row],[spend]]*RANDBETWEEN(8,12)/10</f>
        <v>174.95999999999998</v>
      </c>
      <c r="I54" s="4">
        <f ca="1">ROUND(T_Facebook_Ads[[#This Row],[conversions]]*RANDBETWEEN(8,12)/10,0)</f>
        <v>30</v>
      </c>
      <c r="J54" s="4">
        <f ca="1">ROUND(T_Facebook_Ads[[#This Row],[video_views]]*RANDBETWEEN(8,12)/10,0)</f>
        <v>6148</v>
      </c>
      <c r="K54" s="4">
        <f ca="1">T_Facebook_Ads[[#This Row],[engagement_rate]]*RANDBETWEEN(8,12)/10</f>
        <v>4.4399999999999995E-2</v>
      </c>
      <c r="L54" s="4">
        <f ca="1">ROUND(T_Facebook_Ads[[#This Row],[reach]]*RANDBETWEEN(8,12)/10,0)</f>
        <v>31234</v>
      </c>
      <c r="M54" s="4">
        <f ca="1">T_Facebook_Ads[[#This Row],[frequency]]*RANDBETWEEN(8,12)/10</f>
        <v>1.23</v>
      </c>
      <c r="O54" s="3">
        <f t="shared" ca="1" si="6"/>
        <v>45231</v>
      </c>
      <c r="P54" s="4" t="s">
        <v>84</v>
      </c>
      <c r="Q54" s="4" t="s">
        <v>85</v>
      </c>
      <c r="R54" s="4" t="s">
        <v>86</v>
      </c>
      <c r="S54" s="4" t="s">
        <v>87</v>
      </c>
      <c r="T54" s="4">
        <f ca="1">ROUND(_Google_ads[[#This Row],[impressions]]*RANDBETWEEN(8,12)/10,0)</f>
        <v>63111</v>
      </c>
      <c r="U54" s="4">
        <f ca="1">ROUND(_Google_ads[[#This Row],[clicks]]*RANDBETWEEN(8,12)/10,0)</f>
        <v>2616</v>
      </c>
      <c r="V54" s="4">
        <f ca="1">_Google_ads[[#This Row],[cost]]*RANDBETWEEN(8,12)/10</f>
        <v>479.38</v>
      </c>
      <c r="W54" s="4">
        <f ca="1">ROUND(_Google_ads[[#This Row],[conversions]]*RANDBETWEEN(8,12)/10,0)</f>
        <v>69</v>
      </c>
      <c r="X54" s="4">
        <f ca="1">ROUND(_Google_ads[[#This Row],[conversion_value]]*RANDBETWEEN(8,12)/10,0)</f>
        <v>3105</v>
      </c>
      <c r="Y54" s="4">
        <f ca="1">_Google_ads[[#This Row],[ctr]]*RANDBETWEEN(8,12)/10</f>
        <v>4.0680000000000001E-2</v>
      </c>
      <c r="Z54" s="4">
        <f ca="1">_Google_ads[[#This Row],[avg_cpc]]*RANDBETWEEN(8,12)/10</f>
        <v>0.18</v>
      </c>
      <c r="AA54" s="4">
        <f ca="1">ROUND(_Google_ads[[#This Row],[quality_score]]*RANDBETWEEN(8,12)/10,0)</f>
        <v>9</v>
      </c>
      <c r="AB54" s="4">
        <f ca="1">_Google_ads[[#This Row],[search_impression_share]]*RANDBETWEEN(8,12)/10</f>
        <v>0.67</v>
      </c>
      <c r="AD54" s="3">
        <f t="shared" ca="1" si="7"/>
        <v>45260</v>
      </c>
      <c r="AE54" s="4" t="s">
        <v>108</v>
      </c>
      <c r="AF54" s="4" t="s">
        <v>109</v>
      </c>
      <c r="AG54" s="4" t="s">
        <v>110</v>
      </c>
      <c r="AH54" s="4" t="s">
        <v>111</v>
      </c>
      <c r="AI54" s="4">
        <f ca="1">ROUND(T_Tiktok_ads[[#This Row],[impressions]]*RANDBETWEEN(8,12)/10,0)</f>
        <v>221110</v>
      </c>
      <c r="AJ54" s="4">
        <f ca="1">ROUND(T_Tiktok_ads[[#This Row],[clicks]]*RANDBETWEEN(8,12)/10,0)</f>
        <v>3890</v>
      </c>
      <c r="AK54" s="4">
        <v>467.8</v>
      </c>
      <c r="AL54" s="4">
        <f ca="1">ROUND(T_Tiktok_ads[[#This Row],[conversions]]*RANDBETWEEN(8,12)/10,0)</f>
        <v>37</v>
      </c>
      <c r="AM54" s="4">
        <f ca="1">ROUND(T_Tiktok_ads[[#This Row],[video_views]]*RANDBETWEEN(8,12)/10,0)</f>
        <v>156542</v>
      </c>
      <c r="AN54" s="4">
        <f ca="1">ROUND(T_Tiktok_ads[[#This Row],[video_watch_25]]*RANDBETWEEN(8,12)/10,0)</f>
        <v>133411</v>
      </c>
      <c r="AO54" s="4">
        <f ca="1">ROUND(T_Tiktok_ads[[#This Row],[video_watch_50]]*RANDBETWEEN(8,12)/10,0)</f>
        <v>93787</v>
      </c>
      <c r="AP54" s="4">
        <f ca="1">ROUND(T_Tiktok_ads[[#This Row],[video_watch_75]]*RANDBETWEEN(8,12)/10,0)</f>
        <v>67711</v>
      </c>
      <c r="AQ54" s="4">
        <f ca="1">ROUND(T_Tiktok_ads[[#This Row],[video_watch_100]]*RANDBETWEEN(8,12)/10,0)</f>
        <v>41210</v>
      </c>
      <c r="AR54" s="4">
        <f ca="1">ROUND(T_Tiktok_ads[[#This Row],[likes]]*RANDBETWEEN(8,12)/10,0)</f>
        <v>7710</v>
      </c>
      <c r="AS54" s="4">
        <f ca="1">ROUND(T_Tiktok_ads[[#This Row],[shares]]*RANDBETWEEN(8,12)/10,0)</f>
        <v>2580</v>
      </c>
      <c r="AT54" s="4">
        <f ca="1">ROUND(T_Tiktok_ads[[#This Row],[comments]]*RANDBETWEEN(8,12)/10,0)</f>
        <v>567</v>
      </c>
      <c r="AV54" s="5">
        <f t="shared" ca="1" si="8"/>
        <v>45235</v>
      </c>
      <c r="AW54">
        <f t="shared" ca="1" si="4"/>
        <v>8</v>
      </c>
      <c r="AX54">
        <f ca="1">ROUND(T_Facebook_Ads1159636771757983879195[[#This Row],[impressions]]*RANDBETWEEN(8,12)/10,0)</f>
        <v>24612</v>
      </c>
      <c r="AY54">
        <f ca="1">ROUND(T_Facebook_Ads1159636771757983879195[[#This Row],[clicks]]*RANDBETWEEN(8,12)/10,0)</f>
        <v>1708</v>
      </c>
      <c r="AZ54">
        <f ca="1">T_Facebook_Ads1159636771757983879195[[#This Row],[spend]]*RANDBETWEEN(8,12)/10</f>
        <v>139.96799999999999</v>
      </c>
      <c r="BA54">
        <f ca="1">ROUND(T_Facebook_Ads1159636771757983879195[[#This Row],[conversions]]*RANDBETWEEN(8,12)/10,0)</f>
        <v>27</v>
      </c>
      <c r="BB54">
        <f ca="1">ROUND(T_Facebook_Ads1159636771757983879195[[#This Row],[video_views]]*RANDBETWEEN(8,12)/10,0)</f>
        <v>5533</v>
      </c>
    </row>
    <row r="55" spans="1:54" ht="15.75" thickBot="1" x14ac:dyDescent="0.3">
      <c r="A55" s="3">
        <f t="shared" ca="1" si="5"/>
        <v>45232</v>
      </c>
      <c r="B55" s="4" t="s">
        <v>64</v>
      </c>
      <c r="C55" s="4" t="s">
        <v>65</v>
      </c>
      <c r="D55" s="4" t="s">
        <v>66</v>
      </c>
      <c r="E55" s="4" t="s">
        <v>67</v>
      </c>
      <c r="F55" s="4">
        <f ca="1">ROUND(T_Facebook_Ads[[#This Row],[impressions]]*RANDBETWEEN(8,12)/10,0)</f>
        <v>73456</v>
      </c>
      <c r="G55" s="4">
        <v>267</v>
      </c>
      <c r="H55" s="4">
        <f ca="1">T_Facebook_Ads[[#This Row],[spend]]*RANDBETWEEN(8,12)/10</f>
        <v>75.36</v>
      </c>
      <c r="I55" s="4">
        <f ca="1">ROUND(T_Facebook_Ads[[#This Row],[conversions]]*RANDBETWEEN(8,12)/10,0)</f>
        <v>6</v>
      </c>
      <c r="J55" s="4">
        <f ca="1">ROUND(T_Facebook_Ads[[#This Row],[video_views]]*RANDBETWEEN(8,12)/10,0)</f>
        <v>54879</v>
      </c>
      <c r="K55" s="4">
        <f ca="1">T_Facebook_Ads[[#This Row],[engagement_rate]]*RANDBETWEEN(8,12)/10</f>
        <v>3.5999999999999999E-3</v>
      </c>
      <c r="L55" s="4">
        <f ca="1">ROUND(T_Facebook_Ads[[#This Row],[reach]]*RANDBETWEEN(8,12)/10,0)</f>
        <v>53610</v>
      </c>
      <c r="M55" s="4">
        <f ca="1">T_Facebook_Ads[[#This Row],[frequency]]*RANDBETWEEN(8,12)/10</f>
        <v>1.488</v>
      </c>
      <c r="O55" s="3">
        <f t="shared" ca="1" si="6"/>
        <v>45231</v>
      </c>
      <c r="P55" s="4" t="s">
        <v>88</v>
      </c>
      <c r="Q55" s="4" t="s">
        <v>89</v>
      </c>
      <c r="R55" s="4" t="s">
        <v>90</v>
      </c>
      <c r="S55" s="4" t="s">
        <v>59</v>
      </c>
      <c r="T55" s="4">
        <f ca="1">ROUND(_Google_ads[[#This Row],[impressions]]*RANDBETWEEN(8,12)/10,0)</f>
        <v>119310</v>
      </c>
      <c r="U55" s="4">
        <f ca="1">ROUND(_Google_ads[[#This Row],[clicks]]*RANDBETWEEN(8,12)/10,0)</f>
        <v>538</v>
      </c>
      <c r="V55" s="4">
        <f ca="1">_Google_ads[[#This Row],[cost]]*RANDBETWEEN(8,12)/10</f>
        <v>130.5</v>
      </c>
      <c r="W55" s="4">
        <f ca="1">ROUND(_Google_ads[[#This Row],[conversions]]*RANDBETWEEN(8,12)/10,0)</f>
        <v>17</v>
      </c>
      <c r="X55" s="4">
        <f ca="1">ROUND(_Google_ads[[#This Row],[conversion_value]]*RANDBETWEEN(8,12)/10,0)</f>
        <v>560</v>
      </c>
      <c r="Y55" s="4">
        <f ca="1">_Google_ads[[#This Row],[ctr]]*RANDBETWEEN(8,12)/10</f>
        <v>2.96E-3</v>
      </c>
      <c r="Z55" s="4">
        <f ca="1">_Google_ads[[#This Row],[avg_cpc]]*RANDBETWEEN(8,12)/10</f>
        <v>0.27</v>
      </c>
      <c r="AA55" s="4">
        <f ca="1">ROUND(_Google_ads[[#This Row],[quality_score]]*RANDBETWEEN(8,12)/10,0)</f>
        <v>8</v>
      </c>
      <c r="AB55" s="4">
        <f ca="1">_Google_ads[[#This Row],[search_impression_share]]*RANDBETWEEN(8,12)/10</f>
        <v>0.35</v>
      </c>
      <c r="AD55" s="3">
        <f t="shared" ca="1" si="7"/>
        <v>45258</v>
      </c>
      <c r="AE55" s="4" t="s">
        <v>112</v>
      </c>
      <c r="AF55" s="4" t="s">
        <v>113</v>
      </c>
      <c r="AG55" s="4" t="s">
        <v>114</v>
      </c>
      <c r="AH55" s="4" t="s">
        <v>115</v>
      </c>
      <c r="AI55" s="4">
        <f ca="1">ROUND(T_Tiktok_ads[[#This Row],[impressions]]*RANDBETWEEN(8,12)/10,0)</f>
        <v>508147</v>
      </c>
      <c r="AJ55" s="4">
        <f ca="1">ROUND(T_Tiktok_ads[[#This Row],[clicks]]*RANDBETWEEN(8,12)/10,0)</f>
        <v>5512</v>
      </c>
      <c r="AK55" s="4">
        <v>1056.8</v>
      </c>
      <c r="AL55" s="4">
        <f ca="1">ROUND(T_Tiktok_ads[[#This Row],[conversions]]*RANDBETWEEN(8,12)/10,0)</f>
        <v>128</v>
      </c>
      <c r="AM55" s="4">
        <f ca="1">ROUND(T_Tiktok_ads[[#This Row],[video_views]]*RANDBETWEEN(8,12)/10,0)</f>
        <v>285431</v>
      </c>
      <c r="AN55" s="4">
        <f ca="1">ROUND(T_Tiktok_ads[[#This Row],[video_watch_25]]*RANDBETWEEN(8,12)/10,0)</f>
        <v>260311</v>
      </c>
      <c r="AO55" s="4">
        <f ca="1">ROUND(T_Tiktok_ads[[#This Row],[video_watch_50]]*RANDBETWEEN(8,12)/10,0)</f>
        <v>185165</v>
      </c>
      <c r="AP55" s="4">
        <f ca="1">ROUND(T_Tiktok_ads[[#This Row],[video_watch_75]]*RANDBETWEEN(8,12)/10,0)</f>
        <v>131654</v>
      </c>
      <c r="AQ55" s="4">
        <f ca="1">ROUND(T_Tiktok_ads[[#This Row],[video_watch_100]]*RANDBETWEEN(8,12)/10,0)</f>
        <v>98311</v>
      </c>
      <c r="AR55" s="4">
        <f ca="1">ROUND(T_Tiktok_ads[[#This Row],[likes]]*RANDBETWEEN(8,12)/10,0)</f>
        <v>17001</v>
      </c>
      <c r="AS55" s="4">
        <f ca="1">ROUND(T_Tiktok_ads[[#This Row],[shares]]*RANDBETWEEN(8,12)/10,0)</f>
        <v>6002</v>
      </c>
      <c r="AT55" s="4">
        <f ca="1">ROUND(T_Tiktok_ads[[#This Row],[comments]]*RANDBETWEEN(8,12)/10,0)</f>
        <v>1787</v>
      </c>
      <c r="AV55" s="5">
        <f t="shared" ca="1" si="8"/>
        <v>45252</v>
      </c>
      <c r="AW55">
        <f t="shared" ca="1" si="4"/>
        <v>8</v>
      </c>
      <c r="AX55">
        <f ca="1">ROUND(T_Facebook_Ads1159636771757983879195[[#This Row],[impressions]]*RANDBETWEEN(8,12)/10,0)</f>
        <v>88147</v>
      </c>
      <c r="AY55">
        <f ca="1">ROUND(T_Facebook_Ads1159636771757983879195[[#This Row],[clicks]]*RANDBETWEEN(8,12)/10,0)</f>
        <v>267</v>
      </c>
      <c r="AZ55">
        <f ca="1">T_Facebook_Ads1159636771757983879195[[#This Row],[spend]]*RANDBETWEEN(8,12)/10</f>
        <v>60.287999999999997</v>
      </c>
      <c r="BA55">
        <f ca="1">ROUND(T_Facebook_Ads1159636771757983879195[[#This Row],[conversions]]*RANDBETWEEN(8,12)/10,0)</f>
        <v>5</v>
      </c>
      <c r="BB55">
        <f ca="1">ROUND(T_Facebook_Ads1159636771757983879195[[#This Row],[video_views]]*RANDBETWEEN(8,12)/10,0)</f>
        <v>60367</v>
      </c>
    </row>
    <row r="56" spans="1:54" ht="15.75" thickBot="1" x14ac:dyDescent="0.3">
      <c r="A56" s="3">
        <f t="shared" ca="1" si="5"/>
        <v>45236</v>
      </c>
      <c r="B56" s="4" t="s">
        <v>52</v>
      </c>
      <c r="C56" s="4" t="s">
        <v>53</v>
      </c>
      <c r="D56" s="4" t="s">
        <v>54</v>
      </c>
      <c r="E56" s="4" t="s">
        <v>55</v>
      </c>
      <c r="F56" s="4">
        <f ca="1">ROUND(T_Facebook_Ads[[#This Row],[impressions]]*RANDBETWEEN(8,12)/10,0)</f>
        <v>46610</v>
      </c>
      <c r="G56" s="4">
        <v>1089</v>
      </c>
      <c r="H56" s="4">
        <f ca="1">T_Facebook_Ads[[#This Row],[spend]]*RANDBETWEEN(8,12)/10</f>
        <v>121.84</v>
      </c>
      <c r="I56" s="4">
        <f ca="1">ROUND(T_Facebook_Ads[[#This Row],[conversions]]*RANDBETWEEN(8,12)/10,0)</f>
        <v>14</v>
      </c>
      <c r="J56" s="4">
        <f ca="1">ROUND(T_Facebook_Ads[[#This Row],[video_views]]*RANDBETWEEN(8,12)/10,0)</f>
        <v>11480</v>
      </c>
      <c r="K56" s="4">
        <f ca="1">T_Facebook_Ads[[#This Row],[engagement_rate]]*RANDBETWEEN(8,12)/10</f>
        <v>1.6800000000000002E-2</v>
      </c>
      <c r="L56" s="4">
        <f ca="1">ROUND(T_Facebook_Ads[[#This Row],[reach]]*RANDBETWEEN(8,12)/10,0)</f>
        <v>34854</v>
      </c>
      <c r="M56" s="4">
        <f ca="1">T_Facebook_Ads[[#This Row],[frequency]]*RANDBETWEEN(8,12)/10</f>
        <v>1.4279999999999999</v>
      </c>
      <c r="O56" s="3">
        <f t="shared" ca="1" si="6"/>
        <v>45234</v>
      </c>
      <c r="P56" s="4" t="s">
        <v>76</v>
      </c>
      <c r="Q56" s="4" t="s">
        <v>77</v>
      </c>
      <c r="R56" s="4" t="s">
        <v>78</v>
      </c>
      <c r="S56" s="4" t="s">
        <v>79</v>
      </c>
      <c r="T56" s="4">
        <f ca="1">ROUND(_Google_ads[[#This Row],[impressions]]*RANDBETWEEN(8,12)/10,0)</f>
        <v>32147</v>
      </c>
      <c r="U56" s="4">
        <f ca="1">ROUND(_Google_ads[[#This Row],[clicks]]*RANDBETWEEN(8,12)/10,0)</f>
        <v>1456</v>
      </c>
      <c r="V56" s="4">
        <f ca="1">_Google_ads[[#This Row],[cost]]*RANDBETWEEN(8,12)/10</f>
        <v>251.01</v>
      </c>
      <c r="W56" s="4">
        <f ca="1">ROUND(_Google_ads[[#This Row],[conversions]]*RANDBETWEEN(8,12)/10,0)</f>
        <v>54</v>
      </c>
      <c r="X56" s="4">
        <f ca="1">ROUND(_Google_ads[[#This Row],[conversion_value]]*RANDBETWEEN(8,12)/10,0)</f>
        <v>2970</v>
      </c>
      <c r="Y56" s="4">
        <f ca="1">_Google_ads[[#This Row],[ctr]]*RANDBETWEEN(8,12)/10</f>
        <v>6.5279999999999991E-2</v>
      </c>
      <c r="Z56" s="4">
        <f ca="1">_Google_ads[[#This Row],[avg_cpc]]*RANDBETWEEN(8,12)/10</f>
        <v>0.152</v>
      </c>
      <c r="AA56" s="4">
        <f ca="1">ROUND(_Google_ads[[#This Row],[quality_score]]*RANDBETWEEN(8,12)/10,0)</f>
        <v>11</v>
      </c>
      <c r="AB56" s="4">
        <f ca="1">_Google_ads[[#This Row],[search_impression_share]]*RANDBETWEEN(8,12)/10</f>
        <v>0.74399999999999999</v>
      </c>
      <c r="AD56" s="3">
        <f t="shared" ca="1" si="7"/>
        <v>45259</v>
      </c>
      <c r="AE56" s="4" t="s">
        <v>100</v>
      </c>
      <c r="AF56" s="4" t="s">
        <v>101</v>
      </c>
      <c r="AG56" s="4" t="s">
        <v>102</v>
      </c>
      <c r="AH56" s="4" t="s">
        <v>103</v>
      </c>
      <c r="AI56" s="4">
        <f ca="1">ROUND(T_Tiktok_ads[[#This Row],[impressions]]*RANDBETWEEN(8,12)/10,0)</f>
        <v>271111</v>
      </c>
      <c r="AJ56" s="4">
        <f ca="1">ROUND(T_Tiktok_ads[[#This Row],[clicks]]*RANDBETWEEN(8,12)/10,0)</f>
        <v>4010</v>
      </c>
      <c r="AK56" s="4">
        <v>589.9</v>
      </c>
      <c r="AL56" s="4">
        <f ca="1">ROUND(T_Tiktok_ads[[#This Row],[conversions]]*RANDBETWEEN(8,12)/10,0)</f>
        <v>41</v>
      </c>
      <c r="AM56" s="4">
        <f ca="1">ROUND(T_Tiktok_ads[[#This Row],[video_views]]*RANDBETWEEN(8,12)/10,0)</f>
        <v>196542</v>
      </c>
      <c r="AN56" s="4">
        <f ca="1">ROUND(T_Tiktok_ads[[#This Row],[video_watch_25]]*RANDBETWEEN(8,12)/10,0)</f>
        <v>152987</v>
      </c>
      <c r="AO56" s="4">
        <f ca="1">ROUND(T_Tiktok_ads[[#This Row],[video_watch_50]]*RANDBETWEEN(8,12)/10,0)</f>
        <v>107311</v>
      </c>
      <c r="AP56" s="4">
        <f ca="1">ROUND(T_Tiktok_ads[[#This Row],[video_watch_75]]*RANDBETWEEN(8,12)/10,0)</f>
        <v>88257</v>
      </c>
      <c r="AQ56" s="4">
        <f ca="1">ROUND(T_Tiktok_ads[[#This Row],[video_watch_100]]*RANDBETWEEN(8,12)/10,0)</f>
        <v>48110</v>
      </c>
      <c r="AR56" s="4">
        <f ca="1">ROUND(T_Tiktok_ads[[#This Row],[likes]]*RANDBETWEEN(8,12)/10,0)</f>
        <v>11868</v>
      </c>
      <c r="AS56" s="4">
        <f ca="1">ROUND(T_Tiktok_ads[[#This Row],[shares]]*RANDBETWEEN(8,12)/10,0)</f>
        <v>2901</v>
      </c>
      <c r="AT56" s="4">
        <f ca="1">ROUND(T_Tiktok_ads[[#This Row],[comments]]*RANDBETWEEN(8,12)/10,0)</f>
        <v>758</v>
      </c>
      <c r="AV56" s="5">
        <f t="shared" ca="1" si="8"/>
        <v>45235</v>
      </c>
      <c r="AW56">
        <f t="shared" ca="1" si="4"/>
        <v>8</v>
      </c>
      <c r="AX56">
        <f ca="1">ROUND(T_Facebook_Ads1159636771757983879195[[#This Row],[impressions]]*RANDBETWEEN(8,12)/10,0)</f>
        <v>37288</v>
      </c>
      <c r="AY56">
        <f ca="1">ROUND(T_Facebook_Ads1159636771757983879195[[#This Row],[clicks]]*RANDBETWEEN(8,12)/10,0)</f>
        <v>1089</v>
      </c>
      <c r="AZ56">
        <f ca="1">T_Facebook_Ads1159636771757983879195[[#This Row],[spend]]*RANDBETWEEN(8,12)/10</f>
        <v>134.024</v>
      </c>
      <c r="BA56">
        <f ca="1">ROUND(T_Facebook_Ads1159636771757983879195[[#This Row],[conversions]]*RANDBETWEEN(8,12)/10,0)</f>
        <v>13</v>
      </c>
      <c r="BB56">
        <f ca="1">ROUND(T_Facebook_Ads1159636771757983879195[[#This Row],[video_views]]*RANDBETWEEN(8,12)/10,0)</f>
        <v>13776</v>
      </c>
    </row>
    <row r="57" spans="1:54" ht="15.75" thickBot="1" x14ac:dyDescent="0.3">
      <c r="A57" s="3">
        <f t="shared" ca="1" si="5"/>
        <v>45249</v>
      </c>
      <c r="B57" s="4" t="s">
        <v>56</v>
      </c>
      <c r="C57" s="4" t="s">
        <v>57</v>
      </c>
      <c r="D57" s="4" t="s">
        <v>58</v>
      </c>
      <c r="E57" s="4" t="s">
        <v>59</v>
      </c>
      <c r="F57" s="4">
        <f ca="1">ROUND(T_Facebook_Ads[[#This Row],[impressions]]*RANDBETWEEN(8,12)/10,0)</f>
        <v>15234</v>
      </c>
      <c r="G57" s="4">
        <v>734</v>
      </c>
      <c r="H57" s="4">
        <f ca="1">T_Facebook_Ads[[#This Row],[spend]]*RANDBETWEEN(8,12)/10</f>
        <v>317.64</v>
      </c>
      <c r="I57" s="4">
        <f ca="1">ROUND(T_Facebook_Ads[[#This Row],[conversions]]*RANDBETWEEN(8,12)/10,0)</f>
        <v>37</v>
      </c>
      <c r="J57" s="4">
        <f ca="1">ROUND(T_Facebook_Ads[[#This Row],[video_views]]*RANDBETWEEN(8,12)/10,0)</f>
        <v>1342</v>
      </c>
      <c r="K57" s="4">
        <f ca="1">T_Facebook_Ads[[#This Row],[engagement_rate]]*RANDBETWEEN(8,12)/10</f>
        <v>3.8559999999999997E-2</v>
      </c>
      <c r="L57" s="4">
        <f ca="1">ROUND(T_Facebook_Ads[[#This Row],[reach]]*RANDBETWEEN(8,12)/10,0)</f>
        <v>10911</v>
      </c>
      <c r="M57" s="4">
        <f ca="1">T_Facebook_Ads[[#This Row],[frequency]]*RANDBETWEEN(8,12)/10</f>
        <v>1.1339999999999999</v>
      </c>
      <c r="O57" s="3">
        <f t="shared" ca="1" si="6"/>
        <v>45231</v>
      </c>
      <c r="P57" s="4" t="s">
        <v>80</v>
      </c>
      <c r="Q57" s="4" t="s">
        <v>81</v>
      </c>
      <c r="R57" s="4" t="s">
        <v>82</v>
      </c>
      <c r="S57" s="4" t="s">
        <v>83</v>
      </c>
      <c r="T57" s="4">
        <f ca="1">ROUND(_Google_ads[[#This Row],[impressions]]*RANDBETWEEN(8,12)/10,0)</f>
        <v>42511</v>
      </c>
      <c r="U57" s="4">
        <f ca="1">ROUND(_Google_ads[[#This Row],[clicks]]*RANDBETWEEN(8,12)/10,0)</f>
        <v>967</v>
      </c>
      <c r="V57" s="4">
        <f ca="1">_Google_ads[[#This Row],[cost]]*RANDBETWEEN(8,12)/10</f>
        <v>545.04000000000008</v>
      </c>
      <c r="W57" s="4">
        <f ca="1">ROUND(_Google_ads[[#This Row],[conversions]]*RANDBETWEEN(8,12)/10,0)</f>
        <v>28</v>
      </c>
      <c r="X57" s="4">
        <f ca="1">ROUND(_Google_ads[[#This Row],[conversion_value]]*RANDBETWEEN(8,12)/10,0)</f>
        <v>1375</v>
      </c>
      <c r="Y57" s="4">
        <f ca="1">_Google_ads[[#This Row],[ctr]]*RANDBETWEEN(8,12)/10</f>
        <v>2.46E-2</v>
      </c>
      <c r="Z57" s="4">
        <f ca="1">_Google_ads[[#This Row],[avg_cpc]]*RANDBETWEEN(8,12)/10</f>
        <v>0.63</v>
      </c>
      <c r="AA57" s="4">
        <f ca="1">ROUND(_Google_ads[[#This Row],[quality_score]]*RANDBETWEEN(8,12)/10,0)</f>
        <v>7</v>
      </c>
      <c r="AB57" s="4">
        <f ca="1">_Google_ads[[#This Row],[search_impression_share]]*RANDBETWEEN(8,12)/10</f>
        <v>0.46000000000000008</v>
      </c>
      <c r="AD57" s="3">
        <f t="shared" ca="1" si="7"/>
        <v>45233</v>
      </c>
      <c r="AE57" s="4" t="s">
        <v>104</v>
      </c>
      <c r="AF57" s="4" t="s">
        <v>105</v>
      </c>
      <c r="AG57" s="4" t="s">
        <v>106</v>
      </c>
      <c r="AH57" s="4" t="s">
        <v>107</v>
      </c>
      <c r="AI57" s="4">
        <f ca="1">ROUND(T_Tiktok_ads[[#This Row],[impressions]]*RANDBETWEEN(8,12)/10,0)</f>
        <v>184679</v>
      </c>
      <c r="AJ57" s="4">
        <f ca="1">ROUND(T_Tiktok_ads[[#This Row],[clicks]]*RANDBETWEEN(8,12)/10,0)</f>
        <v>3557</v>
      </c>
      <c r="AK57" s="4">
        <v>845.6</v>
      </c>
      <c r="AL57" s="4">
        <f ca="1">ROUND(T_Tiktok_ads[[#This Row],[conversions]]*RANDBETWEEN(8,12)/10,0)</f>
        <v>77</v>
      </c>
      <c r="AM57" s="4">
        <f ca="1">ROUND(T_Tiktok_ads[[#This Row],[video_views]]*RANDBETWEEN(8,12)/10,0)</f>
        <v>106101</v>
      </c>
      <c r="AN57" s="4">
        <f ca="1">ROUND(T_Tiktok_ads[[#This Row],[video_watch_25]]*RANDBETWEEN(8,12)/10,0)</f>
        <v>104681</v>
      </c>
      <c r="AO57" s="4">
        <f ca="1">ROUND(T_Tiktok_ads[[#This Row],[video_watch_50]]*RANDBETWEEN(8,12)/10,0)</f>
        <v>64791</v>
      </c>
      <c r="AP57" s="4">
        <f ca="1">ROUND(T_Tiktok_ads[[#This Row],[video_watch_75]]*RANDBETWEEN(8,12)/10,0)</f>
        <v>44234</v>
      </c>
      <c r="AQ57" s="4">
        <f ca="1">ROUND(T_Tiktok_ads[[#This Row],[video_watch_100]]*RANDBETWEEN(8,12)/10,0)</f>
        <v>23654</v>
      </c>
      <c r="AR57" s="4">
        <f ca="1">ROUND(T_Tiktok_ads[[#This Row],[likes]]*RANDBETWEEN(8,12)/10,0)</f>
        <v>5110</v>
      </c>
      <c r="AS57" s="4">
        <f ca="1">ROUND(T_Tiktok_ads[[#This Row],[shares]]*RANDBETWEEN(8,12)/10,0)</f>
        <v>1797</v>
      </c>
      <c r="AT57" s="4">
        <f ca="1">ROUND(T_Tiktok_ads[[#This Row],[comments]]*RANDBETWEEN(8,12)/10,0)</f>
        <v>250</v>
      </c>
      <c r="AV57" s="5">
        <f t="shared" ca="1" si="8"/>
        <v>45235</v>
      </c>
      <c r="AW57">
        <f t="shared" ca="1" si="4"/>
        <v>4</v>
      </c>
      <c r="AX57">
        <f ca="1">ROUND(T_Facebook_Ads1159636771757983879195[[#This Row],[impressions]]*RANDBETWEEN(8,12)/10,0)</f>
        <v>16757</v>
      </c>
      <c r="AY57">
        <f ca="1">ROUND(T_Facebook_Ads1159636771757983879195[[#This Row],[clicks]]*RANDBETWEEN(8,12)/10,0)</f>
        <v>587</v>
      </c>
      <c r="AZ57">
        <f ca="1">T_Facebook_Ads1159636771757983879195[[#This Row],[spend]]*RANDBETWEEN(8,12)/10</f>
        <v>254.11199999999999</v>
      </c>
      <c r="BA57">
        <f ca="1">ROUND(T_Facebook_Ads1159636771757983879195[[#This Row],[conversions]]*RANDBETWEEN(8,12)/10,0)</f>
        <v>33</v>
      </c>
      <c r="BB57">
        <f ca="1">ROUND(T_Facebook_Ads1159636771757983879195[[#This Row],[video_views]]*RANDBETWEEN(8,12)/10,0)</f>
        <v>1208</v>
      </c>
    </row>
    <row r="58" spans="1:54" ht="15.75" thickBot="1" x14ac:dyDescent="0.3">
      <c r="A58" s="3">
        <f t="shared" ca="1" si="5"/>
        <v>45232</v>
      </c>
      <c r="B58" s="4" t="s">
        <v>60</v>
      </c>
      <c r="C58" s="4" t="s">
        <v>61</v>
      </c>
      <c r="D58" s="4" t="s">
        <v>62</v>
      </c>
      <c r="E58" s="4" t="s">
        <v>63</v>
      </c>
      <c r="F58" s="4">
        <f ca="1">ROUND(T_Facebook_Ads[[#This Row],[impressions]]*RANDBETWEEN(8,12)/10,0)</f>
        <v>36111</v>
      </c>
      <c r="G58" s="4">
        <v>1534</v>
      </c>
      <c r="H58" s="4">
        <f ca="1">T_Facebook_Ads[[#This Row],[spend]]*RANDBETWEEN(8,12)/10</f>
        <v>256.08000000000004</v>
      </c>
      <c r="I58" s="4">
        <f ca="1">ROUND(T_Facebook_Ads[[#This Row],[conversions]]*RANDBETWEEN(8,12)/10,0)</f>
        <v>26</v>
      </c>
      <c r="J58" s="4">
        <f ca="1">ROUND(T_Facebook_Ads[[#This Row],[video_views]]*RANDBETWEEN(8,12)/10,0)</f>
        <v>6002</v>
      </c>
      <c r="K58" s="4">
        <f ca="1">T_Facebook_Ads[[#This Row],[engagement_rate]]*RANDBETWEEN(8,12)/10</f>
        <v>3.8199999999999998E-2</v>
      </c>
      <c r="L58" s="4">
        <f ca="1">ROUND(T_Facebook_Ads[[#This Row],[reach]]*RANDBETWEEN(8,12)/10,0)</f>
        <v>32890</v>
      </c>
      <c r="M58" s="4">
        <f ca="1">T_Facebook_Ads[[#This Row],[frequency]]*RANDBETWEEN(8,12)/10</f>
        <v>1.0980000000000001</v>
      </c>
      <c r="O58" s="3">
        <f t="shared" ca="1" si="6"/>
        <v>45260</v>
      </c>
      <c r="P58" s="4" t="s">
        <v>84</v>
      </c>
      <c r="Q58" s="4" t="s">
        <v>85</v>
      </c>
      <c r="R58" s="4" t="s">
        <v>86</v>
      </c>
      <c r="S58" s="4" t="s">
        <v>87</v>
      </c>
      <c r="T58" s="4">
        <f ca="1">ROUND(_Google_ads[[#This Row],[impressions]]*RANDBETWEEN(8,12)/10,0)</f>
        <v>86947</v>
      </c>
      <c r="U58" s="4">
        <f ca="1">ROUND(_Google_ads[[#This Row],[clicks]]*RANDBETWEEN(8,12)/10,0)</f>
        <v>1991</v>
      </c>
      <c r="V58" s="4">
        <f ca="1">_Google_ads[[#This Row],[cost]]*RANDBETWEEN(8,12)/10</f>
        <v>405.63</v>
      </c>
      <c r="W58" s="4">
        <f ca="1">ROUND(_Google_ads[[#This Row],[conversions]]*RANDBETWEEN(8,12)/10,0)</f>
        <v>79</v>
      </c>
      <c r="X58" s="4">
        <f ca="1">ROUND(_Google_ads[[#This Row],[conversion_value]]*RANDBETWEEN(8,12)/10,0)</f>
        <v>3240</v>
      </c>
      <c r="Y58" s="4">
        <f ca="1">_Google_ads[[#This Row],[ctr]]*RANDBETWEEN(8,12)/10</f>
        <v>3.7839999999999999E-2</v>
      </c>
      <c r="Z58" s="4">
        <f ca="1">_Google_ads[[#This Row],[avg_cpc]]*RANDBETWEEN(8,12)/10</f>
        <v>0.19800000000000001</v>
      </c>
      <c r="AA58" s="4">
        <f ca="1">ROUND(_Google_ads[[#This Row],[quality_score]]*RANDBETWEEN(8,12)/10,0)</f>
        <v>10</v>
      </c>
      <c r="AB58" s="4">
        <f ca="1">_Google_ads[[#This Row],[search_impression_share]]*RANDBETWEEN(8,12)/10</f>
        <v>0.748</v>
      </c>
      <c r="AD58" s="3">
        <f t="shared" ca="1" si="7"/>
        <v>45246</v>
      </c>
      <c r="AE58" s="4" t="s">
        <v>108</v>
      </c>
      <c r="AF58" s="4" t="s">
        <v>109</v>
      </c>
      <c r="AG58" s="4" t="s">
        <v>110</v>
      </c>
      <c r="AH58" s="4" t="s">
        <v>111</v>
      </c>
      <c r="AI58" s="4">
        <f ca="1">ROUND(T_Tiktok_ads[[#This Row],[impressions]]*RANDBETWEEN(8,12)/10,0)</f>
        <v>282468</v>
      </c>
      <c r="AJ58" s="4">
        <f ca="1">ROUND(T_Tiktok_ads[[#This Row],[clicks]]*RANDBETWEEN(8,12)/10,0)</f>
        <v>3210</v>
      </c>
      <c r="AK58" s="4">
        <v>489.2</v>
      </c>
      <c r="AL58" s="4">
        <f ca="1">ROUND(T_Tiktok_ads[[#This Row],[conversions]]*RANDBETWEEN(8,12)/10,0)</f>
        <v>40</v>
      </c>
      <c r="AM58" s="4">
        <f ca="1">ROUND(T_Tiktok_ads[[#This Row],[video_views]]*RANDBETWEEN(8,12)/10,0)</f>
        <v>201234</v>
      </c>
      <c r="AN58" s="4">
        <f ca="1">ROUND(T_Tiktok_ads[[#This Row],[video_watch_25]]*RANDBETWEEN(8,12)/10,0)</f>
        <v>167580</v>
      </c>
      <c r="AO58" s="4">
        <f ca="1">ROUND(T_Tiktok_ads[[#This Row],[video_watch_50]]*RANDBETWEEN(8,12)/10,0)</f>
        <v>120456</v>
      </c>
      <c r="AP58" s="4">
        <f ca="1">ROUND(T_Tiktok_ads[[#This Row],[video_watch_75]]*RANDBETWEEN(8,12)/10,0)</f>
        <v>77890</v>
      </c>
      <c r="AQ58" s="4">
        <f ca="1">ROUND(T_Tiktok_ads[[#This Row],[video_watch_100]]*RANDBETWEEN(8,12)/10,0)</f>
        <v>47234</v>
      </c>
      <c r="AR58" s="4">
        <f ca="1">ROUND(T_Tiktok_ads[[#This Row],[likes]]*RANDBETWEEN(8,12)/10,0)</f>
        <v>7121</v>
      </c>
      <c r="AS58" s="4">
        <f ca="1">ROUND(T_Tiktok_ads[[#This Row],[shares]]*RANDBETWEEN(8,12)/10,0)</f>
        <v>2210</v>
      </c>
      <c r="AT58" s="4">
        <f ca="1">ROUND(T_Tiktok_ads[[#This Row],[comments]]*RANDBETWEEN(8,12)/10,0)</f>
        <v>471</v>
      </c>
      <c r="AV58" s="5">
        <f t="shared" ca="1" si="8"/>
        <v>45256</v>
      </c>
      <c r="AW58">
        <f t="shared" ca="1" si="4"/>
        <v>4</v>
      </c>
      <c r="AX58">
        <f ca="1">ROUND(T_Facebook_Ads1159636771757983879195[[#This Row],[impressions]]*RANDBETWEEN(8,12)/10,0)</f>
        <v>28889</v>
      </c>
      <c r="AY58">
        <f ca="1">ROUND(T_Facebook_Ads1159636771757983879195[[#This Row],[clicks]]*RANDBETWEEN(8,12)/10,0)</f>
        <v>1381</v>
      </c>
      <c r="AZ58">
        <f ca="1">T_Facebook_Ads1159636771757983879195[[#This Row],[spend]]*RANDBETWEEN(8,12)/10</f>
        <v>256.08000000000004</v>
      </c>
      <c r="BA58">
        <f ca="1">ROUND(T_Facebook_Ads1159636771757983879195[[#This Row],[conversions]]*RANDBETWEEN(8,12)/10,0)</f>
        <v>29</v>
      </c>
      <c r="BB58">
        <f ca="1">ROUND(T_Facebook_Ads1159636771757983879195[[#This Row],[video_views]]*RANDBETWEEN(8,12)/10,0)</f>
        <v>5402</v>
      </c>
    </row>
    <row r="59" spans="1:54" ht="15.75" thickBot="1" x14ac:dyDescent="0.3">
      <c r="A59" s="3">
        <f t="shared" ca="1" si="5"/>
        <v>45247</v>
      </c>
      <c r="B59" s="4" t="s">
        <v>64</v>
      </c>
      <c r="C59" s="4" t="s">
        <v>65</v>
      </c>
      <c r="D59" s="4" t="s">
        <v>66</v>
      </c>
      <c r="E59" s="4" t="s">
        <v>67</v>
      </c>
      <c r="F59" s="4">
        <f ca="1">ROUND(T_Facebook_Ads[[#This Row],[impressions]]*RANDBETWEEN(8,12)/10,0)</f>
        <v>60712</v>
      </c>
      <c r="G59" s="4">
        <v>278</v>
      </c>
      <c r="H59" s="4">
        <f ca="1">T_Facebook_Ads[[#This Row],[spend]]*RANDBETWEEN(8,12)/10</f>
        <v>108.35</v>
      </c>
      <c r="I59" s="4">
        <f ca="1">ROUND(T_Facebook_Ads[[#This Row],[conversions]]*RANDBETWEEN(8,12)/10,0)</f>
        <v>6</v>
      </c>
      <c r="J59" s="4">
        <f ca="1">ROUND(T_Facebook_Ads[[#This Row],[video_views]]*RANDBETWEEN(8,12)/10,0)</f>
        <v>40987</v>
      </c>
      <c r="K59" s="4">
        <f ca="1">T_Facebook_Ads[[#This Row],[engagement_rate]]*RANDBETWEEN(8,12)/10</f>
        <v>4.4400000000000004E-3</v>
      </c>
      <c r="L59" s="4">
        <f ca="1">ROUND(T_Facebook_Ads[[#This Row],[reach]]*RANDBETWEEN(8,12)/10,0)</f>
        <v>73880</v>
      </c>
      <c r="M59" s="4">
        <f ca="1">T_Facebook_Ads[[#This Row],[frequency]]*RANDBETWEEN(8,12)/10</f>
        <v>1.107</v>
      </c>
      <c r="O59" s="3">
        <f t="shared" ca="1" si="6"/>
        <v>45250</v>
      </c>
      <c r="P59" s="4" t="s">
        <v>88</v>
      </c>
      <c r="Q59" s="4" t="s">
        <v>89</v>
      </c>
      <c r="R59" s="4" t="s">
        <v>90</v>
      </c>
      <c r="S59" s="4" t="s">
        <v>59</v>
      </c>
      <c r="T59" s="4">
        <f ca="1">ROUND(_Google_ads[[#This Row],[impressions]]*RANDBETWEEN(8,12)/10,0)</f>
        <v>166681</v>
      </c>
      <c r="U59" s="4">
        <f ca="1">ROUND(_Google_ads[[#This Row],[clicks]]*RANDBETWEEN(8,12)/10,0)</f>
        <v>641</v>
      </c>
      <c r="V59" s="4">
        <f ca="1">_Google_ads[[#This Row],[cost]]*RANDBETWEEN(8,12)/10</f>
        <v>163.68</v>
      </c>
      <c r="W59" s="4">
        <f ca="1">ROUND(_Google_ads[[#This Row],[conversions]]*RANDBETWEEN(8,12)/10,0)</f>
        <v>17</v>
      </c>
      <c r="X59" s="4">
        <f ca="1">ROUND(_Google_ads[[#This Row],[conversion_value]]*RANDBETWEEN(8,12)/10,0)</f>
        <v>600</v>
      </c>
      <c r="Y59" s="4">
        <f ca="1">_Google_ads[[#This Row],[ctr]]*RANDBETWEEN(8,12)/10</f>
        <v>3.0400000000000002E-3</v>
      </c>
      <c r="Z59" s="4">
        <f ca="1">_Google_ads[[#This Row],[avg_cpc]]*RANDBETWEEN(8,12)/10</f>
        <v>0.28600000000000003</v>
      </c>
      <c r="AA59" s="4">
        <f ca="1">ROUND(_Google_ads[[#This Row],[quality_score]]*RANDBETWEEN(8,12)/10,0)</f>
        <v>6</v>
      </c>
      <c r="AB59" s="4">
        <f ca="1">_Google_ads[[#This Row],[search_impression_share]]*RANDBETWEEN(8,12)/10</f>
        <v>0.43200000000000005</v>
      </c>
      <c r="AD59" s="3">
        <f t="shared" ca="1" si="7"/>
        <v>45253</v>
      </c>
      <c r="AE59" s="4" t="s">
        <v>112</v>
      </c>
      <c r="AF59" s="4" t="s">
        <v>113</v>
      </c>
      <c r="AG59" s="4" t="s">
        <v>114</v>
      </c>
      <c r="AH59" s="4" t="s">
        <v>115</v>
      </c>
      <c r="AI59" s="4">
        <f ca="1">ROUND(T_Tiktok_ads[[#This Row],[impressions]]*RANDBETWEEN(8,12)/10,0)</f>
        <v>445678</v>
      </c>
      <c r="AJ59" s="4">
        <f ca="1">ROUND(T_Tiktok_ads[[#This Row],[clicks]]*RANDBETWEEN(8,12)/10,0)</f>
        <v>8681</v>
      </c>
      <c r="AK59" s="4">
        <v>1123.5</v>
      </c>
      <c r="AL59" s="4">
        <f ca="1">ROUND(T_Tiktok_ads[[#This Row],[conversions]]*RANDBETWEEN(8,12)/10,0)</f>
        <v>124</v>
      </c>
      <c r="AM59" s="4">
        <f ca="1">ROUND(T_Tiktok_ads[[#This Row],[video_views]]*RANDBETWEEN(8,12)/10,0)</f>
        <v>416791</v>
      </c>
      <c r="AN59" s="4">
        <f ca="1">ROUND(T_Tiktok_ads[[#This Row],[video_watch_25]]*RANDBETWEEN(8,12)/10,0)</f>
        <v>365480</v>
      </c>
      <c r="AO59" s="4">
        <f ca="1">ROUND(T_Tiktok_ads[[#This Row],[video_watch_50]]*RANDBETWEEN(8,12)/10,0)</f>
        <v>219110</v>
      </c>
      <c r="AP59" s="4">
        <f ca="1">ROUND(T_Tiktok_ads[[#This Row],[video_watch_75]]*RANDBETWEEN(8,12)/10,0)</f>
        <v>172345</v>
      </c>
      <c r="AQ59" s="4">
        <f ca="1">ROUND(T_Tiktok_ads[[#This Row],[video_watch_100]]*RANDBETWEEN(8,12)/10,0)</f>
        <v>126024</v>
      </c>
      <c r="AR59" s="4">
        <f ca="1">ROUND(T_Tiktok_ads[[#This Row],[likes]]*RANDBETWEEN(8,12)/10,0)</f>
        <v>19567</v>
      </c>
      <c r="AS59" s="4">
        <f ca="1">ROUND(T_Tiktok_ads[[#This Row],[shares]]*RANDBETWEEN(8,12)/10,0)</f>
        <v>5678</v>
      </c>
      <c r="AT59" s="4">
        <f ca="1">ROUND(T_Tiktok_ads[[#This Row],[comments]]*RANDBETWEEN(8,12)/10,0)</f>
        <v>1410</v>
      </c>
      <c r="AV59" s="5">
        <f t="shared" ca="1" si="8"/>
        <v>45253</v>
      </c>
      <c r="AW59">
        <f t="shared" ca="1" si="4"/>
        <v>1</v>
      </c>
      <c r="AX59">
        <f ca="1">ROUND(T_Facebook_Ads1159636771757983879195[[#This Row],[impressions]]*RANDBETWEEN(8,12)/10,0)</f>
        <v>66783</v>
      </c>
      <c r="AY59">
        <f ca="1">ROUND(T_Facebook_Ads1159636771757983879195[[#This Row],[clicks]]*RANDBETWEEN(8,12)/10,0)</f>
        <v>222</v>
      </c>
      <c r="AZ59">
        <f ca="1">T_Facebook_Ads1159636771757983879195[[#This Row],[spend]]*RANDBETWEEN(8,12)/10</f>
        <v>130.01999999999998</v>
      </c>
      <c r="BA59">
        <f ca="1">ROUND(T_Facebook_Ads1159636771757983879195[[#This Row],[conversions]]*RANDBETWEEN(8,12)/10,0)</f>
        <v>7</v>
      </c>
      <c r="BB59">
        <f ca="1">ROUND(T_Facebook_Ads1159636771757983879195[[#This Row],[video_views]]*RANDBETWEEN(8,12)/10,0)</f>
        <v>45086</v>
      </c>
    </row>
    <row r="60" spans="1:54" ht="15.75" thickBot="1" x14ac:dyDescent="0.3">
      <c r="A60" s="3">
        <f t="shared" ca="1" si="5"/>
        <v>45260</v>
      </c>
      <c r="B60" s="4" t="s">
        <v>52</v>
      </c>
      <c r="C60" s="4" t="s">
        <v>53</v>
      </c>
      <c r="D60" s="4" t="s">
        <v>54</v>
      </c>
      <c r="E60" s="4" t="s">
        <v>55</v>
      </c>
      <c r="F60" s="4">
        <f ca="1">ROUND(T_Facebook_Ads[[#This Row],[impressions]]*RANDBETWEEN(8,12)/10,0)</f>
        <v>54524</v>
      </c>
      <c r="G60" s="4">
        <v>1012</v>
      </c>
      <c r="H60" s="4">
        <f ca="1">T_Facebook_Ads[[#This Row],[spend]]*RANDBETWEEN(8,12)/10</f>
        <v>130.13999999999999</v>
      </c>
      <c r="I60" s="4">
        <f ca="1">ROUND(T_Facebook_Ads[[#This Row],[conversions]]*RANDBETWEEN(8,12)/10,0)</f>
        <v>14</v>
      </c>
      <c r="J60" s="4">
        <f ca="1">ROUND(T_Facebook_Ads[[#This Row],[video_views]]*RANDBETWEEN(8,12)/10,0)</f>
        <v>10948</v>
      </c>
      <c r="K60" s="4">
        <f ca="1">T_Facebook_Ads[[#This Row],[engagement_rate]]*RANDBETWEEN(8,12)/10</f>
        <v>2.4480000000000002E-2</v>
      </c>
      <c r="L60" s="4">
        <f ca="1">ROUND(T_Facebook_Ads[[#This Row],[reach]]*RANDBETWEEN(8,12)/10,0)</f>
        <v>41890</v>
      </c>
      <c r="M60" s="4">
        <f ca="1">T_Facebook_Ads[[#This Row],[frequency]]*RANDBETWEEN(8,12)/10</f>
        <v>1.0619999999999998</v>
      </c>
      <c r="O60" s="3">
        <f t="shared" ca="1" si="6"/>
        <v>45253</v>
      </c>
      <c r="P60" s="4" t="s">
        <v>76</v>
      </c>
      <c r="Q60" s="4" t="s">
        <v>77</v>
      </c>
      <c r="R60" s="4" t="s">
        <v>78</v>
      </c>
      <c r="S60" s="4" t="s">
        <v>79</v>
      </c>
      <c r="T60" s="4">
        <f ca="1">ROUND(_Google_ads[[#This Row],[impressions]]*RANDBETWEEN(8,12)/10,0)</f>
        <v>23210</v>
      </c>
      <c r="U60" s="4">
        <f ca="1">ROUND(_Google_ads[[#This Row],[clicks]]*RANDBETWEEN(8,12)/10,0)</f>
        <v>1250</v>
      </c>
      <c r="V60" s="4">
        <f ca="1">_Google_ads[[#This Row],[cost]]*RANDBETWEEN(8,12)/10</f>
        <v>212.16</v>
      </c>
      <c r="W60" s="4">
        <f ca="1">ROUND(_Google_ads[[#This Row],[conversions]]*RANDBETWEEN(8,12)/10,0)</f>
        <v>52</v>
      </c>
      <c r="X60" s="4">
        <f ca="1">ROUND(_Google_ads[[#This Row],[conversion_value]]*RANDBETWEEN(8,12)/10,0)</f>
        <v>2340</v>
      </c>
      <c r="Y60" s="4">
        <f ca="1">_Google_ads[[#This Row],[ctr]]*RANDBETWEEN(8,12)/10</f>
        <v>5.3800000000000001E-2</v>
      </c>
      <c r="Z60" s="4">
        <f ca="1">_Google_ads[[#This Row],[avg_cpc]]*RANDBETWEEN(8,12)/10</f>
        <v>0.20899999999999999</v>
      </c>
      <c r="AA60" s="4">
        <f ca="1">ROUND(_Google_ads[[#This Row],[quality_score]]*RANDBETWEEN(8,12)/10,0)</f>
        <v>9</v>
      </c>
      <c r="AB60" s="4">
        <f ca="1">_Google_ads[[#This Row],[search_impression_share]]*RANDBETWEEN(8,12)/10</f>
        <v>0.82800000000000007</v>
      </c>
      <c r="AD60" s="3">
        <f t="shared" ca="1" si="7"/>
        <v>45249</v>
      </c>
      <c r="AE60" s="4" t="s">
        <v>100</v>
      </c>
      <c r="AF60" s="4" t="s">
        <v>101</v>
      </c>
      <c r="AG60" s="4" t="s">
        <v>102</v>
      </c>
      <c r="AH60" s="4" t="s">
        <v>103</v>
      </c>
      <c r="AI60" s="4">
        <f ca="1">ROUND(T_Tiktok_ads[[#This Row],[impressions]]*RANDBETWEEN(8,12)/10,0)</f>
        <v>232098</v>
      </c>
      <c r="AJ60" s="4">
        <f ca="1">ROUND(T_Tiktok_ads[[#This Row],[clicks]]*RANDBETWEEN(8,12)/10,0)</f>
        <v>4189</v>
      </c>
      <c r="AK60" s="4">
        <v>567.79999999999995</v>
      </c>
      <c r="AL60" s="4">
        <f ca="1">ROUND(T_Tiktok_ads[[#This Row],[conversions]]*RANDBETWEEN(8,12)/10,0)</f>
        <v>35</v>
      </c>
      <c r="AM60" s="4">
        <f ca="1">ROUND(T_Tiktok_ads[[#This Row],[video_views]]*RANDBETWEEN(8,12)/10,0)</f>
        <v>213110</v>
      </c>
      <c r="AN60" s="4">
        <f ca="1">ROUND(T_Tiktok_ads[[#This Row],[video_watch_25]]*RANDBETWEEN(8,12)/10,0)</f>
        <v>221480</v>
      </c>
      <c r="AO60" s="4">
        <f ca="1">ROUND(T_Tiktok_ads[[#This Row],[video_watch_50]]*RANDBETWEEN(8,12)/10,0)</f>
        <v>138814</v>
      </c>
      <c r="AP60" s="4">
        <f ca="1">ROUND(T_Tiktok_ads[[#This Row],[video_watch_75]]*RANDBETWEEN(8,12)/10,0)</f>
        <v>78234</v>
      </c>
      <c r="AQ60" s="4">
        <f ca="1">ROUND(T_Tiktok_ads[[#This Row],[video_watch_100]]*RANDBETWEEN(8,12)/10,0)</f>
        <v>57580</v>
      </c>
      <c r="AR60" s="4">
        <f ca="1">ROUND(T_Tiktok_ads[[#This Row],[likes]]*RANDBETWEEN(8,12)/10,0)</f>
        <v>9410</v>
      </c>
      <c r="AS60" s="4">
        <f ca="1">ROUND(T_Tiktok_ads[[#This Row],[shares]]*RANDBETWEEN(8,12)/10,0)</f>
        <v>3374</v>
      </c>
      <c r="AT60" s="4">
        <f ca="1">ROUND(T_Tiktok_ads[[#This Row],[comments]]*RANDBETWEEN(8,12)/10,0)</f>
        <v>678</v>
      </c>
      <c r="AV60" s="5">
        <f t="shared" ca="1" si="8"/>
        <v>45245</v>
      </c>
      <c r="AW60">
        <f t="shared" ca="1" si="4"/>
        <v>3</v>
      </c>
      <c r="AX60">
        <f ca="1">ROUND(T_Facebook_Ads1159636771757983879195[[#This Row],[impressions]]*RANDBETWEEN(8,12)/10,0)</f>
        <v>59976</v>
      </c>
      <c r="AY60">
        <f ca="1">ROUND(T_Facebook_Ads1159636771757983879195[[#This Row],[clicks]]*RANDBETWEEN(8,12)/10,0)</f>
        <v>911</v>
      </c>
      <c r="AZ60">
        <f ca="1">T_Facebook_Ads1159636771757983879195[[#This Row],[spend]]*RANDBETWEEN(8,12)/10</f>
        <v>117.12599999999998</v>
      </c>
      <c r="BA60">
        <f ca="1">ROUND(T_Facebook_Ads1159636771757983879195[[#This Row],[conversions]]*RANDBETWEEN(8,12)/10,0)</f>
        <v>13</v>
      </c>
      <c r="BB60">
        <f ca="1">ROUND(T_Facebook_Ads1159636771757983879195[[#This Row],[video_views]]*RANDBETWEEN(8,12)/10,0)</f>
        <v>12043</v>
      </c>
    </row>
    <row r="61" spans="1:54" ht="15.75" thickBot="1" x14ac:dyDescent="0.3">
      <c r="A61" s="3">
        <f t="shared" ca="1" si="5"/>
        <v>45257</v>
      </c>
      <c r="B61" s="4" t="s">
        <v>56</v>
      </c>
      <c r="C61" s="4" t="s">
        <v>57</v>
      </c>
      <c r="D61" s="4" t="s">
        <v>58</v>
      </c>
      <c r="E61" s="4" t="s">
        <v>59</v>
      </c>
      <c r="F61" s="4">
        <f ca="1">ROUND(T_Facebook_Ads[[#This Row],[impressions]]*RANDBETWEEN(8,12)/10,0)</f>
        <v>14567</v>
      </c>
      <c r="G61" s="4">
        <v>689</v>
      </c>
      <c r="H61" s="4">
        <f ca="1">T_Facebook_Ads[[#This Row],[spend]]*RANDBETWEEN(8,12)/10</f>
        <v>202.72</v>
      </c>
      <c r="I61" s="4">
        <f ca="1">ROUND(T_Facebook_Ads[[#This Row],[conversions]]*RANDBETWEEN(8,12)/10,0)</f>
        <v>43</v>
      </c>
      <c r="J61" s="4">
        <f ca="1">ROUND(T_Facebook_Ads[[#This Row],[video_views]]*RANDBETWEEN(8,12)/10,0)</f>
        <v>1787</v>
      </c>
      <c r="K61" s="4">
        <f ca="1">T_Facebook_Ads[[#This Row],[engagement_rate]]*RANDBETWEEN(8,12)/10</f>
        <v>4.7300000000000002E-2</v>
      </c>
      <c r="L61" s="4">
        <f ca="1">ROUND(T_Facebook_Ads[[#This Row],[reach]]*RANDBETWEEN(8,12)/10,0)</f>
        <v>13880</v>
      </c>
      <c r="M61" s="4">
        <f ca="1">T_Facebook_Ads[[#This Row],[frequency]]*RANDBETWEEN(8,12)/10</f>
        <v>1.3859999999999999</v>
      </c>
      <c r="O61" s="3">
        <f t="shared" ca="1" si="6"/>
        <v>45257</v>
      </c>
      <c r="P61" s="4" t="s">
        <v>80</v>
      </c>
      <c r="Q61" s="4" t="s">
        <v>81</v>
      </c>
      <c r="R61" s="4" t="s">
        <v>82</v>
      </c>
      <c r="S61" s="4" t="s">
        <v>83</v>
      </c>
      <c r="T61" s="4">
        <f ca="1">ROUND(_Google_ads[[#This Row],[impressions]]*RANDBETWEEN(8,12)/10,0)</f>
        <v>55348</v>
      </c>
      <c r="U61" s="4">
        <f ca="1">ROUND(_Google_ads[[#This Row],[clicks]]*RANDBETWEEN(8,12)/10,0)</f>
        <v>923</v>
      </c>
      <c r="V61" s="4">
        <f ca="1">_Google_ads[[#This Row],[cost]]*RANDBETWEEN(8,12)/10</f>
        <v>590.29999999999995</v>
      </c>
      <c r="W61" s="4">
        <f ca="1">ROUND(_Google_ads[[#This Row],[conversions]]*RANDBETWEEN(8,12)/10,0)</f>
        <v>29</v>
      </c>
      <c r="X61" s="4">
        <f ca="1">ROUND(_Google_ads[[#This Row],[conversion_value]]*RANDBETWEEN(8,12)/10,0)</f>
        <v>1200</v>
      </c>
      <c r="Y61" s="4">
        <f ca="1">_Google_ads[[#This Row],[ctr]]*RANDBETWEEN(8,12)/10</f>
        <v>1.7999999999999999E-2</v>
      </c>
      <c r="Z61" s="4">
        <f ca="1">_Google_ads[[#This Row],[avg_cpc]]*RANDBETWEEN(8,12)/10</f>
        <v>0.70399999999999996</v>
      </c>
      <c r="AA61" s="4">
        <f ca="1">ROUND(_Google_ads[[#This Row],[quality_score]]*RANDBETWEEN(8,12)/10,0)</f>
        <v>8</v>
      </c>
      <c r="AB61" s="4">
        <f ca="1">_Google_ads[[#This Row],[search_impression_share]]*RANDBETWEEN(8,12)/10</f>
        <v>0.495</v>
      </c>
      <c r="AD61" s="3">
        <f t="shared" ca="1" si="7"/>
        <v>45252</v>
      </c>
      <c r="AE61" s="4" t="s">
        <v>104</v>
      </c>
      <c r="AF61" s="4" t="s">
        <v>105</v>
      </c>
      <c r="AG61" s="4" t="s">
        <v>106</v>
      </c>
      <c r="AH61" s="4" t="s">
        <v>107</v>
      </c>
      <c r="AI61" s="4">
        <f ca="1">ROUND(T_Tiktok_ads[[#This Row],[impressions]]*RANDBETWEEN(8,12)/10,0)</f>
        <v>193481</v>
      </c>
      <c r="AJ61" s="4">
        <f ca="1">ROUND(T_Tiktok_ads[[#This Row],[clicks]]*RANDBETWEEN(8,12)/10,0)</f>
        <v>3707</v>
      </c>
      <c r="AK61" s="4">
        <v>823.7</v>
      </c>
      <c r="AL61" s="4">
        <f ca="1">ROUND(T_Tiktok_ads[[#This Row],[conversions]]*RANDBETWEEN(8,12)/10,0)</f>
        <v>91</v>
      </c>
      <c r="AM61" s="4">
        <f ca="1">ROUND(T_Tiktok_ads[[#This Row],[video_views]]*RANDBETWEEN(8,12)/10,0)</f>
        <v>102110</v>
      </c>
      <c r="AN61" s="4">
        <f ca="1">ROUND(T_Tiktok_ads[[#This Row],[video_watch_25]]*RANDBETWEEN(8,12)/10,0)</f>
        <v>91924</v>
      </c>
      <c r="AO61" s="4">
        <f ca="1">ROUND(T_Tiktok_ads[[#This Row],[video_watch_50]]*RANDBETWEEN(8,12)/10,0)</f>
        <v>61857</v>
      </c>
      <c r="AP61" s="4">
        <f ca="1">ROUND(T_Tiktok_ads[[#This Row],[video_watch_75]]*RANDBETWEEN(8,12)/10,0)</f>
        <v>46580</v>
      </c>
      <c r="AQ61" s="4">
        <f ca="1">ROUND(T_Tiktok_ads[[#This Row],[video_watch_100]]*RANDBETWEEN(8,12)/10,0)</f>
        <v>28234</v>
      </c>
      <c r="AR61" s="4">
        <f ca="1">ROUND(T_Tiktok_ads[[#This Row],[likes]]*RANDBETWEEN(8,12)/10,0)</f>
        <v>6628</v>
      </c>
      <c r="AS61" s="4">
        <f ca="1">ROUND(T_Tiktok_ads[[#This Row],[shares]]*RANDBETWEEN(8,12)/10,0)</f>
        <v>1271</v>
      </c>
      <c r="AT61" s="4">
        <f ca="1">ROUND(T_Tiktok_ads[[#This Row],[comments]]*RANDBETWEEN(8,12)/10,0)</f>
        <v>361</v>
      </c>
      <c r="AV61" s="5">
        <f t="shared" ca="1" si="8"/>
        <v>45254</v>
      </c>
      <c r="AW61">
        <f t="shared" ca="1" si="4"/>
        <v>4</v>
      </c>
      <c r="AX61">
        <f ca="1">ROUND(T_Facebook_Ads1159636771757983879195[[#This Row],[impressions]]*RANDBETWEEN(8,12)/10,0)</f>
        <v>13110</v>
      </c>
      <c r="AY61">
        <f ca="1">ROUND(T_Facebook_Ads1159636771757983879195[[#This Row],[clicks]]*RANDBETWEEN(8,12)/10,0)</f>
        <v>827</v>
      </c>
      <c r="AZ61">
        <f ca="1">T_Facebook_Ads1159636771757983879195[[#This Row],[spend]]*RANDBETWEEN(8,12)/10</f>
        <v>243.26399999999998</v>
      </c>
      <c r="BA61">
        <f ca="1">ROUND(T_Facebook_Ads1159636771757983879195[[#This Row],[conversions]]*RANDBETWEEN(8,12)/10,0)</f>
        <v>47</v>
      </c>
      <c r="BB61">
        <f ca="1">ROUND(T_Facebook_Ads1159636771757983879195[[#This Row],[video_views]]*RANDBETWEEN(8,12)/10,0)</f>
        <v>2144</v>
      </c>
    </row>
    <row r="62" spans="1:54" ht="15.75" thickBot="1" x14ac:dyDescent="0.3">
      <c r="A62" s="3">
        <f t="shared" ca="1" si="5"/>
        <v>45259</v>
      </c>
      <c r="B62" s="4" t="s">
        <v>60</v>
      </c>
      <c r="C62" s="4" t="s">
        <v>61</v>
      </c>
      <c r="D62" s="4" t="s">
        <v>62</v>
      </c>
      <c r="E62" s="4" t="s">
        <v>63</v>
      </c>
      <c r="F62" s="4">
        <f ca="1">ROUND(T_Facebook_Ads[[#This Row],[impressions]]*RANDBETWEEN(8,12)/10,0)</f>
        <v>31121</v>
      </c>
      <c r="G62" s="4">
        <v>1456</v>
      </c>
      <c r="H62" s="4">
        <f ca="1">T_Facebook_Ads[[#This Row],[spend]]*RANDBETWEEN(8,12)/10</f>
        <v>246.95</v>
      </c>
      <c r="I62" s="4">
        <f ca="1">ROUND(T_Facebook_Ads[[#This Row],[conversions]]*RANDBETWEEN(8,12)/10,0)</f>
        <v>34</v>
      </c>
      <c r="J62" s="4">
        <f ca="1">ROUND(T_Facebook_Ads[[#This Row],[video_views]]*RANDBETWEEN(8,12)/10,0)</f>
        <v>4711</v>
      </c>
      <c r="K62" s="4">
        <f ca="1">T_Facebook_Ads[[#This Row],[engagement_rate]]*RANDBETWEEN(8,12)/10</f>
        <v>4.4880000000000003E-2</v>
      </c>
      <c r="L62" s="4">
        <f ca="1">ROUND(T_Facebook_Ads[[#This Row],[reach]]*RANDBETWEEN(8,12)/10,0)</f>
        <v>28310</v>
      </c>
      <c r="M62" s="4">
        <f ca="1">T_Facebook_Ads[[#This Row],[frequency]]*RANDBETWEEN(8,12)/10</f>
        <v>1.488</v>
      </c>
      <c r="O62" s="3">
        <f t="shared" ca="1" si="6"/>
        <v>45258</v>
      </c>
      <c r="P62" s="4" t="s">
        <v>84</v>
      </c>
      <c r="Q62" s="4" t="s">
        <v>85</v>
      </c>
      <c r="R62" s="4" t="s">
        <v>86</v>
      </c>
      <c r="S62" s="4" t="s">
        <v>87</v>
      </c>
      <c r="T62" s="4">
        <f ca="1">ROUND(_Google_ads[[#This Row],[impressions]]*RANDBETWEEN(8,12)/10,0)</f>
        <v>85880</v>
      </c>
      <c r="U62" s="4">
        <f ca="1">ROUND(_Google_ads[[#This Row],[clicks]]*RANDBETWEEN(8,12)/10,0)</f>
        <v>2894</v>
      </c>
      <c r="V62" s="4">
        <f ca="1">_Google_ads[[#This Row],[cost]]*RANDBETWEEN(8,12)/10</f>
        <v>486.53000000000003</v>
      </c>
      <c r="W62" s="4">
        <f ca="1">ROUND(_Google_ads[[#This Row],[conversions]]*RANDBETWEEN(8,12)/10,0)</f>
        <v>84</v>
      </c>
      <c r="X62" s="4">
        <f ca="1">ROUND(_Google_ads[[#This Row],[conversion_value]]*RANDBETWEEN(8,12)/10,0)</f>
        <v>2800</v>
      </c>
      <c r="Y62" s="4">
        <f ca="1">_Google_ads[[#This Row],[ctr]]*RANDBETWEEN(8,12)/10</f>
        <v>4.0439999999999997E-2</v>
      </c>
      <c r="Z62" s="4">
        <f ca="1">_Google_ads[[#This Row],[avg_cpc]]*RANDBETWEEN(8,12)/10</f>
        <v>0.21600000000000003</v>
      </c>
      <c r="AA62" s="4">
        <f ca="1">ROUND(_Google_ads[[#This Row],[quality_score]]*RANDBETWEEN(8,12)/10,0)</f>
        <v>9</v>
      </c>
      <c r="AB62" s="4">
        <f ca="1">_Google_ads[[#This Row],[search_impression_share]]*RANDBETWEEN(8,12)/10</f>
        <v>0.68</v>
      </c>
      <c r="AD62" s="3">
        <f t="shared" ca="1" si="7"/>
        <v>45245</v>
      </c>
      <c r="AE62" s="4" t="s">
        <v>108</v>
      </c>
      <c r="AF62" s="4" t="s">
        <v>109</v>
      </c>
      <c r="AG62" s="4" t="s">
        <v>110</v>
      </c>
      <c r="AH62" s="4" t="s">
        <v>111</v>
      </c>
      <c r="AI62" s="4">
        <f ca="1">ROUND(T_Tiktok_ads[[#This Row],[impressions]]*RANDBETWEEN(8,12)/10,0)</f>
        <v>199121</v>
      </c>
      <c r="AJ62" s="4">
        <f ca="1">ROUND(T_Tiktok_ads[[#This Row],[clicks]]*RANDBETWEEN(8,12)/10,0)</f>
        <v>3541</v>
      </c>
      <c r="AK62" s="4">
        <v>478.5</v>
      </c>
      <c r="AL62" s="4">
        <f ca="1">ROUND(T_Tiktok_ads[[#This Row],[conversions]]*RANDBETWEEN(8,12)/10,0)</f>
        <v>28</v>
      </c>
      <c r="AM62" s="4">
        <f ca="1">ROUND(T_Tiktok_ads[[#This Row],[video_views]]*RANDBETWEEN(8,12)/10,0)</f>
        <v>175711</v>
      </c>
      <c r="AN62" s="4">
        <f ca="1">ROUND(T_Tiktok_ads[[#This Row],[video_watch_25]]*RANDBETWEEN(8,12)/10,0)</f>
        <v>163791</v>
      </c>
      <c r="AO62" s="4">
        <f ca="1">ROUND(T_Tiktok_ads[[#This Row],[video_watch_50]]*RANDBETWEEN(8,12)/10,0)</f>
        <v>129679</v>
      </c>
      <c r="AP62" s="4">
        <f ca="1">ROUND(T_Tiktok_ads[[#This Row],[video_watch_75]]*RANDBETWEEN(8,12)/10,0)</f>
        <v>68611</v>
      </c>
      <c r="AQ62" s="4">
        <f ca="1">ROUND(T_Tiktok_ads[[#This Row],[video_watch_100]]*RANDBETWEEN(8,12)/10,0)</f>
        <v>46234</v>
      </c>
      <c r="AR62" s="4">
        <f ca="1">ROUND(T_Tiktok_ads[[#This Row],[likes]]*RANDBETWEEN(8,12)/10,0)</f>
        <v>10481</v>
      </c>
      <c r="AS62" s="4">
        <f ca="1">ROUND(T_Tiktok_ads[[#This Row],[shares]]*RANDBETWEEN(8,12)/10,0)</f>
        <v>2641</v>
      </c>
      <c r="AT62" s="4">
        <f ca="1">ROUND(T_Tiktok_ads[[#This Row],[comments]]*RANDBETWEEN(8,12)/10,0)</f>
        <v>694</v>
      </c>
      <c r="AV62" s="5">
        <f t="shared" ca="1" si="8"/>
        <v>45247</v>
      </c>
      <c r="AW62">
        <f t="shared" ca="1" si="4"/>
        <v>3</v>
      </c>
      <c r="AX62">
        <f ca="1">ROUND(T_Facebook_Ads1159636771757983879195[[#This Row],[impressions]]*RANDBETWEEN(8,12)/10,0)</f>
        <v>31121</v>
      </c>
      <c r="AY62">
        <f ca="1">ROUND(T_Facebook_Ads1159636771757983879195[[#This Row],[clicks]]*RANDBETWEEN(8,12)/10,0)</f>
        <v>1456</v>
      </c>
      <c r="AZ62">
        <f ca="1">T_Facebook_Ads1159636771757983879195[[#This Row],[spend]]*RANDBETWEEN(8,12)/10</f>
        <v>296.33999999999997</v>
      </c>
      <c r="BA62">
        <f ca="1">ROUND(T_Facebook_Ads1159636771757983879195[[#This Row],[conversions]]*RANDBETWEEN(8,12)/10,0)</f>
        <v>31</v>
      </c>
      <c r="BB62">
        <f ca="1">ROUND(T_Facebook_Ads1159636771757983879195[[#This Row],[video_views]]*RANDBETWEEN(8,12)/10,0)</f>
        <v>5182</v>
      </c>
    </row>
    <row r="63" spans="1:54" ht="15.75" thickBot="1" x14ac:dyDescent="0.3">
      <c r="A63" s="3">
        <f t="shared" ca="1" si="5"/>
        <v>45239</v>
      </c>
      <c r="B63" s="4" t="s">
        <v>64</v>
      </c>
      <c r="C63" s="4" t="s">
        <v>65</v>
      </c>
      <c r="D63" s="4" t="s">
        <v>66</v>
      </c>
      <c r="E63" s="4" t="s">
        <v>67</v>
      </c>
      <c r="F63" s="4">
        <f ca="1">ROUND(T_Facebook_Ads[[#This Row],[impressions]]*RANDBETWEEN(8,12)/10,0)</f>
        <v>57876</v>
      </c>
      <c r="G63" s="4">
        <v>261</v>
      </c>
      <c r="H63" s="4">
        <f ca="1">T_Facebook_Ads[[#This Row],[spend]]*RANDBETWEEN(8,12)/10</f>
        <v>101.97</v>
      </c>
      <c r="I63" s="4">
        <f ca="1">ROUND(T_Facebook_Ads[[#This Row],[conversions]]*RANDBETWEEN(8,12)/10,0)</f>
        <v>7</v>
      </c>
      <c r="J63" s="4">
        <f ca="1">ROUND(T_Facebook_Ads[[#This Row],[video_views]]*RANDBETWEEN(8,12)/10,0)</f>
        <v>58280</v>
      </c>
      <c r="K63" s="4">
        <f ca="1">T_Facebook_Ads[[#This Row],[engagement_rate]]*RANDBETWEEN(8,12)/10</f>
        <v>3.96E-3</v>
      </c>
      <c r="L63" s="4">
        <f ca="1">ROUND(T_Facebook_Ads[[#This Row],[reach]]*RANDBETWEEN(8,12)/10,0)</f>
        <v>58234</v>
      </c>
      <c r="M63" s="4">
        <f ca="1">T_Facebook_Ads[[#This Row],[frequency]]*RANDBETWEEN(8,12)/10</f>
        <v>1.24</v>
      </c>
      <c r="O63" s="3">
        <f t="shared" ca="1" si="6"/>
        <v>45236</v>
      </c>
      <c r="P63" s="4" t="s">
        <v>88</v>
      </c>
      <c r="Q63" s="4" t="s">
        <v>89</v>
      </c>
      <c r="R63" s="4" t="s">
        <v>90</v>
      </c>
      <c r="S63" s="4" t="s">
        <v>59</v>
      </c>
      <c r="T63" s="4">
        <f ca="1">ROUND(_Google_ads[[#This Row],[impressions]]*RANDBETWEEN(8,12)/10,0)</f>
        <v>108187</v>
      </c>
      <c r="U63" s="4">
        <f ca="1">ROUND(_Google_ads[[#This Row],[clicks]]*RANDBETWEEN(8,12)/10,0)</f>
        <v>501</v>
      </c>
      <c r="V63" s="4">
        <f ca="1">_Google_ads[[#This Row],[cost]]*RANDBETWEEN(8,12)/10</f>
        <v>133.6</v>
      </c>
      <c r="W63" s="4">
        <f ca="1">ROUND(_Google_ads[[#This Row],[conversions]]*RANDBETWEEN(8,12)/10,0)</f>
        <v>13</v>
      </c>
      <c r="X63" s="4">
        <f ca="1">ROUND(_Google_ads[[#This Row],[conversion_value]]*RANDBETWEEN(8,12)/10,0)</f>
        <v>770</v>
      </c>
      <c r="Y63" s="4">
        <f ca="1">_Google_ads[[#This Row],[ctr]]*RANDBETWEEN(8,12)/10</f>
        <v>3.7000000000000006E-3</v>
      </c>
      <c r="Z63" s="4">
        <f ca="1">_Google_ads[[#This Row],[avg_cpc]]*RANDBETWEEN(8,12)/10</f>
        <v>0.21600000000000003</v>
      </c>
      <c r="AA63" s="4">
        <f ca="1">ROUND(_Google_ads[[#This Row],[quality_score]]*RANDBETWEEN(8,12)/10,0)</f>
        <v>6</v>
      </c>
      <c r="AB63" s="4">
        <f ca="1">_Google_ads[[#This Row],[search_impression_share]]*RANDBETWEEN(8,12)/10</f>
        <v>0.315</v>
      </c>
      <c r="AD63" s="3">
        <f t="shared" ca="1" si="7"/>
        <v>45255</v>
      </c>
      <c r="AE63" s="4" t="s">
        <v>112</v>
      </c>
      <c r="AF63" s="4" t="s">
        <v>113</v>
      </c>
      <c r="AG63" s="4" t="s">
        <v>114</v>
      </c>
      <c r="AH63" s="4" t="s">
        <v>115</v>
      </c>
      <c r="AI63" s="4">
        <f ca="1">ROUND(T_Tiktok_ads[[#This Row],[impressions]]*RANDBETWEEN(8,12)/10,0)</f>
        <v>478024</v>
      </c>
      <c r="AJ63" s="4">
        <f ca="1">ROUND(T_Tiktok_ads[[#This Row],[clicks]]*RANDBETWEEN(8,12)/10,0)</f>
        <v>7713</v>
      </c>
      <c r="AK63" s="4">
        <v>1089.3</v>
      </c>
      <c r="AL63" s="4">
        <f ca="1">ROUND(T_Tiktok_ads[[#This Row],[conversions]]*RANDBETWEEN(8,12)/10,0)</f>
        <v>98</v>
      </c>
      <c r="AM63" s="4">
        <f ca="1">ROUND(T_Tiktok_ads[[#This Row],[video_views]]*RANDBETWEEN(8,12)/10,0)</f>
        <v>331101</v>
      </c>
      <c r="AN63" s="4">
        <f ca="1">ROUND(T_Tiktok_ads[[#This Row],[video_watch_25]]*RANDBETWEEN(8,12)/10,0)</f>
        <v>296234</v>
      </c>
      <c r="AO63" s="4">
        <f ca="1">ROUND(T_Tiktok_ads[[#This Row],[video_watch_50]]*RANDBETWEEN(8,12)/10,0)</f>
        <v>285468</v>
      </c>
      <c r="AP63" s="4">
        <f ca="1">ROUND(T_Tiktok_ads[[#This Row],[video_watch_75]]*RANDBETWEEN(8,12)/10,0)</f>
        <v>168234</v>
      </c>
      <c r="AQ63" s="4">
        <f ca="1">ROUND(T_Tiktok_ads[[#This Row],[video_watch_100]]*RANDBETWEEN(8,12)/10,0)</f>
        <v>111234</v>
      </c>
      <c r="AR63" s="4">
        <f ca="1">ROUND(T_Tiktok_ads[[#This Row],[likes]]*RANDBETWEEN(8,12)/10,0)</f>
        <v>19234</v>
      </c>
      <c r="AS63" s="4">
        <f ca="1">ROUND(T_Tiktok_ads[[#This Row],[shares]]*RANDBETWEEN(8,12)/10,0)</f>
        <v>6087</v>
      </c>
      <c r="AT63" s="4">
        <f ca="1">ROUND(T_Tiktok_ads[[#This Row],[comments]]*RANDBETWEEN(8,12)/10,0)</f>
        <v>1371</v>
      </c>
      <c r="AV63" s="5">
        <f t="shared" ca="1" si="8"/>
        <v>45237</v>
      </c>
      <c r="AW63">
        <f t="shared" ca="1" si="4"/>
        <v>1</v>
      </c>
      <c r="AX63">
        <f ca="1">ROUND(T_Facebook_Ads1159636771757983879195[[#This Row],[impressions]]*RANDBETWEEN(8,12)/10,0)</f>
        <v>52088</v>
      </c>
      <c r="AY63">
        <f ca="1">ROUND(T_Facebook_Ads1159636771757983879195[[#This Row],[clicks]]*RANDBETWEEN(8,12)/10,0)</f>
        <v>209</v>
      </c>
      <c r="AZ63">
        <f ca="1">T_Facebook_Ads1159636771757983879195[[#This Row],[spend]]*RANDBETWEEN(8,12)/10</f>
        <v>91.772999999999996</v>
      </c>
      <c r="BA63">
        <f ca="1">ROUND(T_Facebook_Ads1159636771757983879195[[#This Row],[conversions]]*RANDBETWEEN(8,12)/10,0)</f>
        <v>6</v>
      </c>
      <c r="BB63">
        <f ca="1">ROUND(T_Facebook_Ads1159636771757983879195[[#This Row],[video_views]]*RANDBETWEEN(8,12)/10,0)</f>
        <v>64108</v>
      </c>
    </row>
    <row r="64" spans="1:54" ht="15.75" thickBot="1" x14ac:dyDescent="0.3">
      <c r="A64" s="3">
        <f t="shared" ca="1" si="5"/>
        <v>45246</v>
      </c>
      <c r="B64" s="4" t="s">
        <v>52</v>
      </c>
      <c r="C64" s="4" t="s">
        <v>53</v>
      </c>
      <c r="D64" s="4" t="s">
        <v>54</v>
      </c>
      <c r="E64" s="4" t="s">
        <v>55</v>
      </c>
      <c r="F64" s="4">
        <f ca="1">ROUND(T_Facebook_Ads[[#This Row],[impressions]]*RANDBETWEEN(8,12)/10,0)</f>
        <v>38312</v>
      </c>
      <c r="G64" s="4">
        <v>967</v>
      </c>
      <c r="H64" s="4">
        <f ca="1">T_Facebook_Ads[[#This Row],[spend]]*RANDBETWEEN(8,12)/10</f>
        <v>110.72</v>
      </c>
      <c r="I64" s="4">
        <f ca="1">ROUND(T_Facebook_Ads[[#This Row],[conversions]]*RANDBETWEEN(8,12)/10,0)</f>
        <v>17</v>
      </c>
      <c r="J64" s="4">
        <f ca="1">ROUND(T_Facebook_Ads[[#This Row],[video_views]]*RANDBETWEEN(8,12)/10,0)</f>
        <v>7910</v>
      </c>
      <c r="K64" s="4">
        <f ca="1">T_Facebook_Ads[[#This Row],[engagement_rate]]*RANDBETWEEN(8,12)/10</f>
        <v>2.4240000000000001E-2</v>
      </c>
      <c r="L64" s="4">
        <f ca="1">ROUND(T_Facebook_Ads[[#This Row],[reach]]*RANDBETWEEN(8,12)/10,0)</f>
        <v>44257</v>
      </c>
      <c r="M64" s="4">
        <f ca="1">T_Facebook_Ads[[#This Row],[frequency]]*RANDBETWEEN(8,12)/10</f>
        <v>1.4279999999999999</v>
      </c>
      <c r="O64" s="3">
        <f t="shared" ca="1" si="6"/>
        <v>45244</v>
      </c>
      <c r="P64" s="4" t="s">
        <v>76</v>
      </c>
      <c r="Q64" s="4" t="s">
        <v>77</v>
      </c>
      <c r="R64" s="4" t="s">
        <v>78</v>
      </c>
      <c r="S64" s="4" t="s">
        <v>79</v>
      </c>
      <c r="T64" s="4">
        <f ca="1">ROUND(_Google_ads[[#This Row],[impressions]]*RANDBETWEEN(8,12)/10,0)</f>
        <v>27024</v>
      </c>
      <c r="U64" s="4">
        <f ca="1">ROUND(_Google_ads[[#This Row],[clicks]]*RANDBETWEEN(8,12)/10,0)</f>
        <v>1547</v>
      </c>
      <c r="V64" s="4">
        <f ca="1">_Google_ads[[#This Row],[cost]]*RANDBETWEEN(8,12)/10</f>
        <v>296.16000000000003</v>
      </c>
      <c r="W64" s="4">
        <f ca="1">ROUND(_Google_ads[[#This Row],[conversions]]*RANDBETWEEN(8,12)/10,0)</f>
        <v>58</v>
      </c>
      <c r="X64" s="4">
        <f ca="1">ROUND(_Google_ads[[#This Row],[conversion_value]]*RANDBETWEEN(8,12)/10,0)</f>
        <v>2880</v>
      </c>
      <c r="Y64" s="4">
        <f ca="1">_Google_ads[[#This Row],[ctr]]*RANDBETWEEN(8,12)/10</f>
        <v>6.3E-2</v>
      </c>
      <c r="Z64" s="4">
        <f ca="1">_Google_ads[[#This Row],[avg_cpc]]*RANDBETWEEN(8,12)/10</f>
        <v>0.152</v>
      </c>
      <c r="AA64" s="4">
        <f ca="1">ROUND(_Google_ads[[#This Row],[quality_score]]*RANDBETWEEN(8,12)/10,0)</f>
        <v>10</v>
      </c>
      <c r="AB64" s="4">
        <f ca="1">_Google_ads[[#This Row],[search_impression_share]]*RANDBETWEEN(8,12)/10</f>
        <v>1.0009999999999999</v>
      </c>
      <c r="AD64" s="3">
        <f t="shared" ca="1" si="7"/>
        <v>45237</v>
      </c>
      <c r="AE64" s="4" t="s">
        <v>100</v>
      </c>
      <c r="AF64" s="4" t="s">
        <v>101</v>
      </c>
      <c r="AG64" s="4" t="s">
        <v>102</v>
      </c>
      <c r="AH64" s="4" t="s">
        <v>103</v>
      </c>
      <c r="AI64" s="4">
        <f ca="1">ROUND(T_Tiktok_ads[[#This Row],[impressions]]*RANDBETWEEN(8,12)/10,0)</f>
        <v>251011</v>
      </c>
      <c r="AJ64" s="4">
        <f ca="1">ROUND(T_Tiktok_ads[[#This Row],[clicks]]*RANDBETWEEN(8,12)/10,0)</f>
        <v>4948</v>
      </c>
      <c r="AK64" s="4">
        <v>545.6</v>
      </c>
      <c r="AL64" s="4">
        <f ca="1">ROUND(T_Tiktok_ads[[#This Row],[conversions]]*RANDBETWEEN(8,12)/10,0)</f>
        <v>50</v>
      </c>
      <c r="AM64" s="4">
        <f ca="1">ROUND(T_Tiktok_ads[[#This Row],[video_views]]*RANDBETWEEN(8,12)/10,0)</f>
        <v>206311</v>
      </c>
      <c r="AN64" s="4">
        <f ca="1">ROUND(T_Tiktok_ads[[#This Row],[video_watch_25]]*RANDBETWEEN(8,12)/10,0)</f>
        <v>215081</v>
      </c>
      <c r="AO64" s="4">
        <f ca="1">ROUND(T_Tiktok_ads[[#This Row],[video_watch_50]]*RANDBETWEEN(8,12)/10,0)</f>
        <v>134681</v>
      </c>
      <c r="AP64" s="4">
        <f ca="1">ROUND(T_Tiktok_ads[[#This Row],[video_watch_75]]*RANDBETWEEN(8,12)/10,0)</f>
        <v>90814</v>
      </c>
      <c r="AQ64" s="4">
        <f ca="1">ROUND(T_Tiktok_ads[[#This Row],[video_watch_100]]*RANDBETWEEN(8,12)/10,0)</f>
        <v>40187</v>
      </c>
      <c r="AR64" s="4">
        <f ca="1">ROUND(T_Tiktok_ads[[#This Row],[likes]]*RANDBETWEEN(8,12)/10,0)</f>
        <v>12148</v>
      </c>
      <c r="AS64" s="4">
        <f ca="1">ROUND(T_Tiktok_ads[[#This Row],[shares]]*RANDBETWEEN(8,12)/10,0)</f>
        <v>2983</v>
      </c>
      <c r="AT64" s="4">
        <f ca="1">ROUND(T_Tiktok_ads[[#This Row],[comments]]*RANDBETWEEN(8,12)/10,0)</f>
        <v>774</v>
      </c>
      <c r="AV64" s="5">
        <f t="shared" ca="1" si="8"/>
        <v>45259</v>
      </c>
      <c r="AW64">
        <f t="shared" ca="1" si="4"/>
        <v>3</v>
      </c>
      <c r="AX64">
        <f ca="1">ROUND(T_Facebook_Ads1159636771757983879195[[#This Row],[impressions]]*RANDBETWEEN(8,12)/10,0)</f>
        <v>38312</v>
      </c>
      <c r="AY64">
        <f ca="1">ROUND(T_Facebook_Ads1159636771757983879195[[#This Row],[clicks]]*RANDBETWEEN(8,12)/10,0)</f>
        <v>1160</v>
      </c>
      <c r="AZ64">
        <f ca="1">T_Facebook_Ads1159636771757983879195[[#This Row],[spend]]*RANDBETWEEN(8,12)/10</f>
        <v>132.86399999999998</v>
      </c>
      <c r="BA64">
        <f ca="1">ROUND(T_Facebook_Ads1159636771757983879195[[#This Row],[conversions]]*RANDBETWEEN(8,12)/10,0)</f>
        <v>20</v>
      </c>
      <c r="BB64">
        <f ca="1">ROUND(T_Facebook_Ads1159636771757983879195[[#This Row],[video_views]]*RANDBETWEEN(8,12)/10,0)</f>
        <v>7119</v>
      </c>
    </row>
    <row r="65" spans="1:54" ht="15.75" thickBot="1" x14ac:dyDescent="0.3">
      <c r="A65" s="3">
        <f t="shared" ca="1" si="5"/>
        <v>45255</v>
      </c>
      <c r="B65" s="4" t="s">
        <v>56</v>
      </c>
      <c r="C65" s="4" t="s">
        <v>57</v>
      </c>
      <c r="D65" s="4" t="s">
        <v>58</v>
      </c>
      <c r="E65" s="4" t="s">
        <v>59</v>
      </c>
      <c r="F65" s="4">
        <f ca="1">ROUND(T_Facebook_Ads[[#This Row],[impressions]]*RANDBETWEEN(8,12)/10,0)</f>
        <v>11112</v>
      </c>
      <c r="G65" s="4">
        <v>634</v>
      </c>
      <c r="H65" s="4">
        <f ca="1">T_Facebook_Ads[[#This Row],[spend]]*RANDBETWEEN(8,12)/10</f>
        <v>212.22000000000003</v>
      </c>
      <c r="I65" s="4">
        <f ca="1">ROUND(T_Facebook_Ads[[#This Row],[conversions]]*RANDBETWEEN(8,12)/10,0)</f>
        <v>44</v>
      </c>
      <c r="J65" s="4">
        <f ca="1">ROUND(T_Facebook_Ads[[#This Row],[video_views]]*RANDBETWEEN(8,12)/10,0)</f>
        <v>1516</v>
      </c>
      <c r="K65" s="4">
        <f ca="1">T_Facebook_Ads[[#This Row],[engagement_rate]]*RANDBETWEEN(8,12)/10</f>
        <v>4.113E-2</v>
      </c>
      <c r="L65" s="4">
        <f ca="1">ROUND(T_Facebook_Ads[[#This Row],[reach]]*RANDBETWEEN(8,12)/10,0)</f>
        <v>8712</v>
      </c>
      <c r="M65" s="4">
        <f ca="1">T_Facebook_Ads[[#This Row],[frequency]]*RANDBETWEEN(8,12)/10</f>
        <v>1.27</v>
      </c>
      <c r="O65" s="3">
        <f t="shared" ca="1" si="6"/>
        <v>45253</v>
      </c>
      <c r="P65" s="4" t="s">
        <v>80</v>
      </c>
      <c r="Q65" s="4" t="s">
        <v>81</v>
      </c>
      <c r="R65" s="4" t="s">
        <v>82</v>
      </c>
      <c r="S65" s="4" t="s">
        <v>83</v>
      </c>
      <c r="T65" s="4">
        <f ca="1">ROUND(_Google_ads[[#This Row],[impressions]]*RANDBETWEEN(8,12)/10,0)</f>
        <v>35912</v>
      </c>
      <c r="U65" s="4">
        <f ca="1">ROUND(_Google_ads[[#This Row],[clicks]]*RANDBETWEEN(8,12)/10,0)</f>
        <v>979</v>
      </c>
      <c r="V65" s="4">
        <f ca="1">_Google_ads[[#This Row],[cost]]*RANDBETWEEN(8,12)/10</f>
        <v>632.17000000000007</v>
      </c>
      <c r="W65" s="4">
        <f ca="1">ROUND(_Google_ads[[#This Row],[conversions]]*RANDBETWEEN(8,12)/10,0)</f>
        <v>23</v>
      </c>
      <c r="X65" s="4">
        <f ca="1">ROUND(_Google_ads[[#This Row],[conversion_value]]*RANDBETWEEN(8,12)/10,0)</f>
        <v>1035</v>
      </c>
      <c r="Y65" s="4">
        <f ca="1">_Google_ads[[#This Row],[ctr]]*RANDBETWEEN(8,12)/10</f>
        <v>1.9800000000000002E-2</v>
      </c>
      <c r="Z65" s="4">
        <f ca="1">_Google_ads[[#This Row],[avg_cpc]]*RANDBETWEEN(8,12)/10</f>
        <v>0.58500000000000008</v>
      </c>
      <c r="AA65" s="4">
        <f ca="1">ROUND(_Google_ads[[#This Row],[quality_score]]*RANDBETWEEN(8,12)/10,0)</f>
        <v>6</v>
      </c>
      <c r="AB65" s="4">
        <f ca="1">_Google_ads[[#This Row],[search_impression_share]]*RANDBETWEEN(8,12)/10</f>
        <v>0.44000000000000006</v>
      </c>
      <c r="AD65" s="3">
        <f t="shared" ca="1" si="7"/>
        <v>45250</v>
      </c>
      <c r="AE65" s="4" t="s">
        <v>104</v>
      </c>
      <c r="AF65" s="4" t="s">
        <v>105</v>
      </c>
      <c r="AG65" s="4" t="s">
        <v>106</v>
      </c>
      <c r="AH65" s="4" t="s">
        <v>107</v>
      </c>
      <c r="AI65" s="4">
        <f ca="1">ROUND(T_Tiktok_ads[[#This Row],[impressions]]*RANDBETWEEN(8,12)/10,0)</f>
        <v>138110</v>
      </c>
      <c r="AJ65" s="4">
        <f ca="1">ROUND(T_Tiktok_ads[[#This Row],[clicks]]*RANDBETWEEN(8,12)/10,0)</f>
        <v>3240</v>
      </c>
      <c r="AK65" s="4">
        <v>789.2</v>
      </c>
      <c r="AL65" s="4">
        <f ca="1">ROUND(T_Tiktok_ads[[#This Row],[conversions]]*RANDBETWEEN(8,12)/10,0)</f>
        <v>95</v>
      </c>
      <c r="AM65" s="4">
        <f ca="1">ROUND(T_Tiktok_ads[[#This Row],[video_views]]*RANDBETWEEN(8,12)/10,0)</f>
        <v>118679</v>
      </c>
      <c r="AN65" s="4">
        <f ca="1">ROUND(T_Tiktok_ads[[#This Row],[video_watch_25]]*RANDBETWEEN(8,12)/10,0)</f>
        <v>87524</v>
      </c>
      <c r="AO65" s="4">
        <f ca="1">ROUND(T_Tiktok_ads[[#This Row],[video_watch_50]]*RANDBETWEEN(8,12)/10,0)</f>
        <v>59046</v>
      </c>
      <c r="AP65" s="4">
        <f ca="1">ROUND(T_Tiktok_ads[[#This Row],[video_watch_75]]*RANDBETWEEN(8,12)/10,0)</f>
        <v>36211</v>
      </c>
      <c r="AQ65" s="4">
        <f ca="1">ROUND(T_Tiktok_ads[[#This Row],[video_watch_100]]*RANDBETWEEN(8,12)/10,0)</f>
        <v>26890</v>
      </c>
      <c r="AR65" s="4">
        <f ca="1">ROUND(T_Tiktok_ads[[#This Row],[likes]]*RANDBETWEEN(8,12)/10,0)</f>
        <v>6281</v>
      </c>
      <c r="AS65" s="4">
        <f ca="1">ROUND(T_Tiktok_ads[[#This Row],[shares]]*RANDBETWEEN(8,12)/10,0)</f>
        <v>1165</v>
      </c>
      <c r="AT65" s="4">
        <f ca="1">ROUND(T_Tiktok_ads[[#This Row],[comments]]*RANDBETWEEN(8,12)/10,0)</f>
        <v>278</v>
      </c>
      <c r="AV65" s="5">
        <f t="shared" ca="1" si="8"/>
        <v>45245</v>
      </c>
      <c r="AW65">
        <f t="shared" ca="1" si="4"/>
        <v>8</v>
      </c>
      <c r="AX65">
        <f ca="1">ROUND(T_Facebook_Ads1159636771757983879195[[#This Row],[impressions]]*RANDBETWEEN(8,12)/10,0)</f>
        <v>11112</v>
      </c>
      <c r="AY65">
        <f ca="1">ROUND(T_Facebook_Ads1159636771757983879195[[#This Row],[clicks]]*RANDBETWEEN(8,12)/10,0)</f>
        <v>571</v>
      </c>
      <c r="AZ65">
        <f ca="1">T_Facebook_Ads1159636771757983879195[[#This Row],[spend]]*RANDBETWEEN(8,12)/10</f>
        <v>169.77600000000001</v>
      </c>
      <c r="BA65">
        <f ca="1">ROUND(T_Facebook_Ads1159636771757983879195[[#This Row],[conversions]]*RANDBETWEEN(8,12)/10,0)</f>
        <v>44</v>
      </c>
      <c r="BB65">
        <f ca="1">ROUND(T_Facebook_Ads1159636771757983879195[[#This Row],[video_views]]*RANDBETWEEN(8,12)/10,0)</f>
        <v>1516</v>
      </c>
    </row>
    <row r="66" spans="1:54" ht="15.75" thickBot="1" x14ac:dyDescent="0.3">
      <c r="A66" s="3">
        <f t="shared" ref="A66:A97" ca="1" si="9">DATE(2023,11,RANDBETWEEN(1,30))</f>
        <v>45231</v>
      </c>
      <c r="B66" s="4" t="s">
        <v>60</v>
      </c>
      <c r="C66" s="4" t="s">
        <v>61</v>
      </c>
      <c r="D66" s="4" t="s">
        <v>62</v>
      </c>
      <c r="E66" s="4" t="s">
        <v>63</v>
      </c>
      <c r="F66" s="4">
        <f ca="1">ROUND(T_Facebook_Ads[[#This Row],[impressions]]*RANDBETWEEN(8,12)/10,0)</f>
        <v>37234</v>
      </c>
      <c r="G66" s="4">
        <v>1367</v>
      </c>
      <c r="H66" s="4">
        <f ca="1">T_Facebook_Ads[[#This Row],[spend]]*RANDBETWEEN(8,12)/10</f>
        <v>188.91000000000003</v>
      </c>
      <c r="I66" s="4">
        <f ca="1">ROUND(T_Facebook_Ads[[#This Row],[conversions]]*RANDBETWEEN(8,12)/10,0)</f>
        <v>28</v>
      </c>
      <c r="J66" s="4">
        <f ca="1">ROUND(T_Facebook_Ads[[#This Row],[video_views]]*RANDBETWEEN(8,12)/10,0)</f>
        <v>6014</v>
      </c>
      <c r="K66" s="4">
        <f ca="1">T_Facebook_Ads[[#This Row],[engagement_rate]]*RANDBETWEEN(8,12)/10</f>
        <v>2.9360000000000004E-2</v>
      </c>
      <c r="L66" s="4">
        <f ca="1">ROUND(T_Facebook_Ads[[#This Row],[reach]]*RANDBETWEEN(8,12)/10,0)</f>
        <v>33746</v>
      </c>
      <c r="M66" s="4">
        <f ca="1">T_Facebook_Ads[[#This Row],[frequency]]*RANDBETWEEN(8,12)/10</f>
        <v>0.96799999999999997</v>
      </c>
      <c r="O66" s="3">
        <f t="shared" ref="O66:O97" ca="1" si="10">DATE(2023,11,RANDBETWEEN(1,30))</f>
        <v>45244</v>
      </c>
      <c r="P66" s="4" t="s">
        <v>84</v>
      </c>
      <c r="Q66" s="4" t="s">
        <v>85</v>
      </c>
      <c r="R66" s="4" t="s">
        <v>86</v>
      </c>
      <c r="S66" s="4" t="s">
        <v>87</v>
      </c>
      <c r="T66" s="4">
        <f ca="1">ROUND(_Google_ads[[#This Row],[impressions]]*RANDBETWEEN(8,12)/10,0)</f>
        <v>69234</v>
      </c>
      <c r="U66" s="4">
        <f ca="1">ROUND(_Google_ads[[#This Row],[clicks]]*RANDBETWEEN(8,12)/10,0)</f>
        <v>1841</v>
      </c>
      <c r="V66" s="4">
        <f ca="1">_Google_ads[[#This Row],[cost]]*RANDBETWEEN(8,12)/10</f>
        <v>381.15</v>
      </c>
      <c r="W66" s="4">
        <f ca="1">ROUND(_Google_ads[[#This Row],[conversions]]*RANDBETWEEN(8,12)/10,0)</f>
        <v>74</v>
      </c>
      <c r="X66" s="4">
        <f ca="1">ROUND(_Google_ads[[#This Row],[conversion_value]]*RANDBETWEEN(8,12)/10,0)</f>
        <v>2680</v>
      </c>
      <c r="Y66" s="4">
        <f ca="1">_Google_ads[[#This Row],[ctr]]*RANDBETWEEN(8,12)/10</f>
        <v>2.988E-2</v>
      </c>
      <c r="Z66" s="4">
        <f ca="1">_Google_ads[[#This Row],[avg_cpc]]*RANDBETWEEN(8,12)/10</f>
        <v>0.18</v>
      </c>
      <c r="AA66" s="4">
        <f ca="1">ROUND(_Google_ads[[#This Row],[quality_score]]*RANDBETWEEN(8,12)/10,0)</f>
        <v>9</v>
      </c>
      <c r="AB66" s="4">
        <f ca="1">_Google_ads[[#This Row],[search_impression_share]]*RANDBETWEEN(8,12)/10</f>
        <v>0.80400000000000005</v>
      </c>
      <c r="AD66" s="3">
        <f t="shared" ref="AD66:AD97" ca="1" si="11">DATE(2023,11,RANDBETWEEN(1,30))</f>
        <v>45232</v>
      </c>
      <c r="AE66" s="4" t="s">
        <v>108</v>
      </c>
      <c r="AF66" s="4" t="s">
        <v>109</v>
      </c>
      <c r="AG66" s="4" t="s">
        <v>110</v>
      </c>
      <c r="AH66" s="4" t="s">
        <v>111</v>
      </c>
      <c r="AI66" s="4">
        <f ca="1">ROUND(T_Tiktok_ads[[#This Row],[impressions]]*RANDBETWEEN(8,12)/10,0)</f>
        <v>213110</v>
      </c>
      <c r="AJ66" s="4">
        <f ca="1">ROUND(T_Tiktok_ads[[#This Row],[clicks]]*RANDBETWEEN(8,12)/10,0)</f>
        <v>2987</v>
      </c>
      <c r="AK66" s="4">
        <v>456.8</v>
      </c>
      <c r="AL66" s="4">
        <f ca="1">ROUND(T_Tiktok_ads[[#This Row],[conversions]]*RANDBETWEEN(8,12)/10,0)</f>
        <v>33</v>
      </c>
      <c r="AM66" s="4">
        <f ca="1">ROUND(T_Tiktok_ads[[#This Row],[video_views]]*RANDBETWEEN(8,12)/10,0)</f>
        <v>187890</v>
      </c>
      <c r="AN66" s="4">
        <f ca="1">ROUND(T_Tiktok_ads[[#This Row],[video_watch_25]]*RANDBETWEEN(8,12)/10,0)</f>
        <v>142345</v>
      </c>
      <c r="AO66" s="4">
        <f ca="1">ROUND(T_Tiktok_ads[[#This Row],[video_watch_50]]*RANDBETWEEN(8,12)/10,0)</f>
        <v>134814</v>
      </c>
      <c r="AP66" s="4">
        <f ca="1">ROUND(T_Tiktok_ads[[#This Row],[video_watch_75]]*RANDBETWEEN(8,12)/10,0)</f>
        <v>79580</v>
      </c>
      <c r="AQ66" s="4">
        <f ca="1">ROUND(T_Tiktok_ads[[#This Row],[video_watch_100]]*RANDBETWEEN(8,12)/10,0)</f>
        <v>52547</v>
      </c>
      <c r="AR66" s="4">
        <f ca="1">ROUND(T_Tiktok_ads[[#This Row],[likes]]*RANDBETWEEN(8,12)/10,0)</f>
        <v>6765</v>
      </c>
      <c r="AS66" s="4">
        <f ca="1">ROUND(T_Tiktok_ads[[#This Row],[shares]]*RANDBETWEEN(8,12)/10,0)</f>
        <v>1814</v>
      </c>
      <c r="AT66" s="4">
        <f ca="1">ROUND(T_Tiktok_ads[[#This Row],[comments]]*RANDBETWEEN(8,12)/10,0)</f>
        <v>491</v>
      </c>
      <c r="AV66" s="5">
        <f t="shared" ref="AV66:AV97" ca="1" si="12">DATE(2023,11,RANDBETWEEN(1,30))</f>
        <v>45257</v>
      </c>
      <c r="AW66">
        <f t="shared" ca="1" si="4"/>
        <v>3</v>
      </c>
      <c r="AX66">
        <f ca="1">ROUND(T_Facebook_Ads1159636771757983879195[[#This Row],[impressions]]*RANDBETWEEN(8,12)/10,0)</f>
        <v>37234</v>
      </c>
      <c r="AY66">
        <f ca="1">ROUND(T_Facebook_Ads1159636771757983879195[[#This Row],[clicks]]*RANDBETWEEN(8,12)/10,0)</f>
        <v>1230</v>
      </c>
      <c r="AZ66">
        <f ca="1">T_Facebook_Ads1159636771757983879195[[#This Row],[spend]]*RANDBETWEEN(8,12)/10</f>
        <v>188.91000000000003</v>
      </c>
      <c r="BA66">
        <f ca="1">ROUND(T_Facebook_Ads1159636771757983879195[[#This Row],[conversions]]*RANDBETWEEN(8,12)/10,0)</f>
        <v>22</v>
      </c>
      <c r="BB66">
        <f ca="1">ROUND(T_Facebook_Ads1159636771757983879195[[#This Row],[video_views]]*RANDBETWEEN(8,12)/10,0)</f>
        <v>5413</v>
      </c>
    </row>
    <row r="67" spans="1:54" ht="15.75" thickBot="1" x14ac:dyDescent="0.3">
      <c r="A67" s="3">
        <f t="shared" ca="1" si="9"/>
        <v>45245</v>
      </c>
      <c r="B67" s="4" t="s">
        <v>64</v>
      </c>
      <c r="C67" s="4" t="s">
        <v>65</v>
      </c>
      <c r="D67" s="4" t="s">
        <v>66</v>
      </c>
      <c r="E67" s="4" t="s">
        <v>67</v>
      </c>
      <c r="F67" s="4">
        <f ca="1">ROUND(T_Facebook_Ads[[#This Row],[impressions]]*RANDBETWEEN(8,12)/10,0)</f>
        <v>84148</v>
      </c>
      <c r="G67" s="4">
        <v>253</v>
      </c>
      <c r="H67" s="4">
        <f ca="1">T_Facebook_Ads[[#This Row],[spend]]*RANDBETWEEN(8,12)/10</f>
        <v>89.4</v>
      </c>
      <c r="I67" s="4">
        <f ca="1">ROUND(T_Facebook_Ads[[#This Row],[conversions]]*RANDBETWEEN(8,12)/10,0)</f>
        <v>7</v>
      </c>
      <c r="J67" s="4">
        <f ca="1">ROUND(T_Facebook_Ads[[#This Row],[video_views]]*RANDBETWEEN(8,12)/10,0)</f>
        <v>47234</v>
      </c>
      <c r="K67" s="4">
        <f ca="1">T_Facebook_Ads[[#This Row],[engagement_rate]]*RANDBETWEEN(8,12)/10</f>
        <v>3.2399999999999998E-3</v>
      </c>
      <c r="L67" s="4">
        <f ca="1">ROUND(T_Facebook_Ads[[#This Row],[reach]]*RANDBETWEEN(8,12)/10,0)</f>
        <v>46312</v>
      </c>
      <c r="M67" s="4">
        <f ca="1">T_Facebook_Ads[[#This Row],[frequency]]*RANDBETWEEN(8,12)/10</f>
        <v>1.331</v>
      </c>
      <c r="O67" s="3">
        <f t="shared" ca="1" si="10"/>
        <v>45245</v>
      </c>
      <c r="P67" s="4" t="s">
        <v>88</v>
      </c>
      <c r="Q67" s="4" t="s">
        <v>89</v>
      </c>
      <c r="R67" s="4" t="s">
        <v>90</v>
      </c>
      <c r="S67" s="4" t="s">
        <v>59</v>
      </c>
      <c r="T67" s="4">
        <f ca="1">ROUND(_Google_ads[[#This Row],[impressions]]*RANDBETWEEN(8,12)/10,0)</f>
        <v>105254</v>
      </c>
      <c r="U67" s="4">
        <f ca="1">ROUND(_Google_ads[[#This Row],[clicks]]*RANDBETWEEN(8,12)/10,0)</f>
        <v>382</v>
      </c>
      <c r="V67" s="4">
        <f ca="1">_Google_ads[[#This Row],[cost]]*RANDBETWEEN(8,12)/10</f>
        <v>142.34</v>
      </c>
      <c r="W67" s="4">
        <f ca="1">ROUND(_Google_ads[[#This Row],[conversions]]*RANDBETWEEN(8,12)/10,0)</f>
        <v>12</v>
      </c>
      <c r="X67" s="4">
        <f ca="1">ROUND(_Google_ads[[#This Row],[conversion_value]]*RANDBETWEEN(8,12)/10,0)</f>
        <v>585</v>
      </c>
      <c r="Y67" s="4">
        <f ca="1">_Google_ads[[#This Row],[ctr]]*RANDBETWEEN(8,12)/10</f>
        <v>4.3200000000000001E-3</v>
      </c>
      <c r="Z67" s="4">
        <f ca="1">_Google_ads[[#This Row],[avg_cpc]]*RANDBETWEEN(8,12)/10</f>
        <v>0.24300000000000002</v>
      </c>
      <c r="AA67" s="4">
        <f ca="1">ROUND(_Google_ads[[#This Row],[quality_score]]*RANDBETWEEN(8,12)/10,0)</f>
        <v>6</v>
      </c>
      <c r="AB67" s="4">
        <f ca="1">_Google_ads[[#This Row],[search_impression_share]]*RANDBETWEEN(8,12)/10</f>
        <v>0.27200000000000002</v>
      </c>
      <c r="AD67" s="3">
        <f t="shared" ca="1" si="11"/>
        <v>45239</v>
      </c>
      <c r="AE67" s="4" t="s">
        <v>112</v>
      </c>
      <c r="AF67" s="4" t="s">
        <v>113</v>
      </c>
      <c r="AG67" s="4" t="s">
        <v>114</v>
      </c>
      <c r="AH67" s="4" t="s">
        <v>115</v>
      </c>
      <c r="AI67" s="4">
        <f ca="1">ROUND(T_Tiktok_ads[[#This Row],[impressions]]*RANDBETWEEN(8,12)/10,0)</f>
        <v>338765</v>
      </c>
      <c r="AJ67" s="4">
        <f ca="1">ROUND(T_Tiktok_ads[[#This Row],[clicks]]*RANDBETWEEN(8,12)/10,0)</f>
        <v>6110</v>
      </c>
      <c r="AK67" s="4">
        <v>1034.5</v>
      </c>
      <c r="AL67" s="4">
        <f ca="1">ROUND(T_Tiktok_ads[[#This Row],[conversions]]*RANDBETWEEN(8,12)/10,0)</f>
        <v>125</v>
      </c>
      <c r="AM67" s="4">
        <f ca="1">ROUND(T_Tiktok_ads[[#This Row],[video_views]]*RANDBETWEEN(8,12)/10,0)</f>
        <v>428147</v>
      </c>
      <c r="AN67" s="4">
        <f ca="1">ROUND(T_Tiktok_ads[[#This Row],[video_watch_25]]*RANDBETWEEN(8,12)/10,0)</f>
        <v>229787</v>
      </c>
      <c r="AO67" s="4">
        <f ca="1">ROUND(T_Tiktok_ads[[#This Row],[video_watch_50]]*RANDBETWEEN(8,12)/10,0)</f>
        <v>229234</v>
      </c>
      <c r="AP67" s="4">
        <f ca="1">ROUND(T_Tiktok_ads[[#This Row],[video_watch_75]]*RANDBETWEEN(8,12)/10,0)</f>
        <v>129876</v>
      </c>
      <c r="AQ67" s="4">
        <f ca="1">ROUND(T_Tiktok_ads[[#This Row],[video_watch_100]]*RANDBETWEEN(8,12)/10,0)</f>
        <v>107890</v>
      </c>
      <c r="AR67" s="4">
        <f ca="1">ROUND(T_Tiktok_ads[[#This Row],[likes]]*RANDBETWEEN(8,12)/10,0)</f>
        <v>18756</v>
      </c>
      <c r="AS67" s="4">
        <f ca="1">ROUND(T_Tiktok_ads[[#This Row],[shares]]*RANDBETWEEN(8,12)/10,0)</f>
        <v>4811</v>
      </c>
      <c r="AT67" s="4">
        <f ca="1">ROUND(T_Tiktok_ads[[#This Row],[comments]]*RANDBETWEEN(8,12)/10,0)</f>
        <v>1456</v>
      </c>
      <c r="AV67" s="5">
        <f t="shared" ca="1" si="12"/>
        <v>45248</v>
      </c>
      <c r="AW67">
        <f t="shared" ref="AW67:AW111" ca="1" si="13">RANDBETWEEN(1,8)</f>
        <v>2</v>
      </c>
      <c r="AX67">
        <f ca="1">ROUND(T_Facebook_Ads1159636771757983879195[[#This Row],[impressions]]*RANDBETWEEN(8,12)/10,0)</f>
        <v>84148</v>
      </c>
      <c r="AY67">
        <f ca="1">ROUND(T_Facebook_Ads1159636771757983879195[[#This Row],[clicks]]*RANDBETWEEN(8,12)/10,0)</f>
        <v>202</v>
      </c>
      <c r="AZ67">
        <f ca="1">T_Facebook_Ads1159636771757983879195[[#This Row],[spend]]*RANDBETWEEN(8,12)/10</f>
        <v>98.34</v>
      </c>
      <c r="BA67">
        <f ca="1">ROUND(T_Facebook_Ads1159636771757983879195[[#This Row],[conversions]]*RANDBETWEEN(8,12)/10,0)</f>
        <v>6</v>
      </c>
      <c r="BB67">
        <f ca="1">ROUND(T_Facebook_Ads1159636771757983879195[[#This Row],[video_views]]*RANDBETWEEN(8,12)/10,0)</f>
        <v>42511</v>
      </c>
    </row>
    <row r="68" spans="1:54" ht="15.75" thickBot="1" x14ac:dyDescent="0.3">
      <c r="A68" s="3">
        <f t="shared" ca="1" si="9"/>
        <v>45259</v>
      </c>
      <c r="B68" s="4" t="s">
        <v>52</v>
      </c>
      <c r="C68" s="4" t="s">
        <v>53</v>
      </c>
      <c r="D68" s="4" t="s">
        <v>54</v>
      </c>
      <c r="E68" s="4" t="s">
        <v>55</v>
      </c>
      <c r="F68" s="4">
        <f ca="1">ROUND(T_Facebook_Ads[[#This Row],[impressions]]*RANDBETWEEN(8,12)/10,0)</f>
        <v>43234</v>
      </c>
      <c r="G68" s="4">
        <v>878</v>
      </c>
      <c r="H68" s="4">
        <f ca="1">T_Facebook_Ads[[#This Row],[spend]]*RANDBETWEEN(8,12)/10</f>
        <v>100.56</v>
      </c>
      <c r="I68" s="4">
        <f ca="1">ROUND(T_Facebook_Ads[[#This Row],[conversions]]*RANDBETWEEN(8,12)/10,0)</f>
        <v>12</v>
      </c>
      <c r="J68" s="4">
        <f ca="1">ROUND(T_Facebook_Ads[[#This Row],[video_views]]*RANDBETWEEN(8,12)/10,0)</f>
        <v>9468</v>
      </c>
      <c r="K68" s="4">
        <f ca="1">T_Facebook_Ads[[#This Row],[engagement_rate]]*RANDBETWEEN(8,12)/10</f>
        <v>2.2329999999999999E-2</v>
      </c>
      <c r="L68" s="4">
        <f ca="1">ROUND(T_Facebook_Ads[[#This Row],[reach]]*RANDBETWEEN(8,12)/10,0)</f>
        <v>40224</v>
      </c>
      <c r="M68" s="4">
        <f ca="1">T_Facebook_Ads[[#This Row],[frequency]]*RANDBETWEEN(8,12)/10</f>
        <v>1.4159999999999999</v>
      </c>
      <c r="O68" s="3">
        <f t="shared" ca="1" si="10"/>
        <v>45232</v>
      </c>
      <c r="P68" s="4" t="s">
        <v>76</v>
      </c>
      <c r="Q68" s="4" t="s">
        <v>77</v>
      </c>
      <c r="R68" s="4" t="s">
        <v>78</v>
      </c>
      <c r="S68" s="4" t="s">
        <v>79</v>
      </c>
      <c r="T68" s="4">
        <f ca="1">ROUND(_Google_ads[[#This Row],[impressions]]*RANDBETWEEN(8,12)/10,0)</f>
        <v>17876</v>
      </c>
      <c r="U68" s="4">
        <f ca="1">ROUND(_Google_ads[[#This Row],[clicks]]*RANDBETWEEN(8,12)/10,0)</f>
        <v>1235</v>
      </c>
      <c r="V68" s="4">
        <f ca="1">_Google_ads[[#This Row],[cost]]*RANDBETWEEN(8,12)/10</f>
        <v>214.5</v>
      </c>
      <c r="W68" s="4">
        <f ca="1">ROUND(_Google_ads[[#This Row],[conversions]]*RANDBETWEEN(8,12)/10,0)</f>
        <v>34</v>
      </c>
      <c r="X68" s="4">
        <f ca="1">ROUND(_Google_ads[[#This Row],[conversion_value]]*RANDBETWEEN(8,12)/10,0)</f>
        <v>1890</v>
      </c>
      <c r="Y68" s="4">
        <f ca="1">_Google_ads[[#This Row],[ctr]]*RANDBETWEEN(8,12)/10</f>
        <v>5.5330000000000004E-2</v>
      </c>
      <c r="Z68" s="4">
        <f ca="1">_Google_ads[[#This Row],[avg_cpc]]*RANDBETWEEN(8,12)/10</f>
        <v>0.19</v>
      </c>
      <c r="AA68" s="4">
        <f ca="1">ROUND(_Google_ads[[#This Row],[quality_score]]*RANDBETWEEN(8,12)/10,0)</f>
        <v>10</v>
      </c>
      <c r="AB68" s="4">
        <f ca="1">_Google_ads[[#This Row],[search_impression_share]]*RANDBETWEEN(8,12)/10</f>
        <v>0.97900000000000009</v>
      </c>
      <c r="AD68" s="3">
        <f t="shared" ca="1" si="11"/>
        <v>45248</v>
      </c>
      <c r="AE68" s="4" t="s">
        <v>100</v>
      </c>
      <c r="AF68" s="4" t="s">
        <v>101</v>
      </c>
      <c r="AG68" s="4" t="s">
        <v>102</v>
      </c>
      <c r="AH68" s="4" t="s">
        <v>103</v>
      </c>
      <c r="AI68" s="4">
        <f ca="1">ROUND(T_Tiktok_ads[[#This Row],[impressions]]*RANDBETWEEN(8,12)/10,0)</f>
        <v>281857</v>
      </c>
      <c r="AJ68" s="4">
        <f ca="1">ROUND(T_Tiktok_ads[[#This Row],[clicks]]*RANDBETWEEN(8,12)/10,0)</f>
        <v>4441</v>
      </c>
      <c r="AK68" s="4">
        <v>490.5</v>
      </c>
      <c r="AL68" s="4">
        <f ca="1">ROUND(T_Tiktok_ads[[#This Row],[conversions]]*RANDBETWEEN(8,12)/10,0)</f>
        <v>42</v>
      </c>
      <c r="AM68" s="4">
        <f ca="1">ROUND(T_Tiktok_ads[[#This Row],[video_views]]*RANDBETWEEN(8,12)/10,0)</f>
        <v>167387</v>
      </c>
      <c r="AN68" s="4">
        <f ca="1">ROUND(T_Tiktok_ads[[#This Row],[video_watch_25]]*RANDBETWEEN(8,12)/10,0)</f>
        <v>179924</v>
      </c>
      <c r="AO68" s="4">
        <f ca="1">ROUND(T_Tiktok_ads[[#This Row],[video_watch_50]]*RANDBETWEEN(8,12)/10,0)</f>
        <v>123080</v>
      </c>
      <c r="AP68" s="4">
        <f ca="1">ROUND(T_Tiktok_ads[[#This Row],[video_watch_75]]*RANDBETWEEN(8,12)/10,0)</f>
        <v>76524</v>
      </c>
      <c r="AQ68" s="4">
        <f ca="1">ROUND(T_Tiktok_ads[[#This Row],[video_watch_100]]*RANDBETWEEN(8,12)/10,0)</f>
        <v>41910</v>
      </c>
      <c r="AR68" s="4">
        <f ca="1">ROUND(T_Tiktok_ads[[#This Row],[likes]]*RANDBETWEEN(8,12)/10,0)</f>
        <v>9123</v>
      </c>
      <c r="AS68" s="4">
        <f ca="1">ROUND(T_Tiktok_ads[[#This Row],[shares]]*RANDBETWEEN(8,12)/10,0)</f>
        <v>1938</v>
      </c>
      <c r="AT68" s="4">
        <f ca="1">ROUND(T_Tiktok_ads[[#This Row],[comments]]*RANDBETWEEN(8,12)/10,0)</f>
        <v>661</v>
      </c>
      <c r="AV68" s="5">
        <f t="shared" ca="1" si="12"/>
        <v>45247</v>
      </c>
      <c r="AW68">
        <f t="shared" ca="1" si="13"/>
        <v>5</v>
      </c>
      <c r="AX68">
        <f ca="1">ROUND(T_Facebook_Ads1159636771757983879195[[#This Row],[impressions]]*RANDBETWEEN(8,12)/10,0)</f>
        <v>47557</v>
      </c>
      <c r="AY68">
        <f ca="1">ROUND(T_Facebook_Ads1159636771757983879195[[#This Row],[clicks]]*RANDBETWEEN(8,12)/10,0)</f>
        <v>790</v>
      </c>
      <c r="AZ68">
        <f ca="1">T_Facebook_Ads1159636771757983879195[[#This Row],[spend]]*RANDBETWEEN(8,12)/10</f>
        <v>120.672</v>
      </c>
      <c r="BA68">
        <f ca="1">ROUND(T_Facebook_Ads1159636771757983879195[[#This Row],[conversions]]*RANDBETWEEN(8,12)/10,0)</f>
        <v>10</v>
      </c>
      <c r="BB68">
        <f ca="1">ROUND(T_Facebook_Ads1159636771757983879195[[#This Row],[video_views]]*RANDBETWEEN(8,12)/10,0)</f>
        <v>9468</v>
      </c>
    </row>
    <row r="69" spans="1:54" ht="15.75" thickBot="1" x14ac:dyDescent="0.3">
      <c r="A69" s="3">
        <f t="shared" ca="1" si="9"/>
        <v>45260</v>
      </c>
      <c r="B69" s="4" t="s">
        <v>56</v>
      </c>
      <c r="C69" s="4" t="s">
        <v>57</v>
      </c>
      <c r="D69" s="4" t="s">
        <v>58</v>
      </c>
      <c r="E69" s="4" t="s">
        <v>59</v>
      </c>
      <c r="F69" s="4">
        <f ca="1">ROUND(T_Facebook_Ads[[#This Row],[impressions]]*RANDBETWEEN(8,12)/10,0)</f>
        <v>13079</v>
      </c>
      <c r="G69" s="4">
        <v>545</v>
      </c>
      <c r="H69" s="4">
        <f ca="1">T_Facebook_Ads[[#This Row],[spend]]*RANDBETWEEN(8,12)/10</f>
        <v>161.84</v>
      </c>
      <c r="I69" s="4">
        <f ca="1">ROUND(T_Facebook_Ads[[#This Row],[conversions]]*RANDBETWEEN(8,12)/10,0)</f>
        <v>41</v>
      </c>
      <c r="J69" s="4">
        <f ca="1">ROUND(T_Facebook_Ads[[#This Row],[video_views]]*RANDBETWEEN(8,12)/10,0)</f>
        <v>1387</v>
      </c>
      <c r="K69" s="4">
        <f ca="1">T_Facebook_Ads[[#This Row],[engagement_rate]]*RANDBETWEEN(8,12)/10</f>
        <v>3.6639999999999999E-2</v>
      </c>
      <c r="L69" s="4">
        <f ca="1">ROUND(T_Facebook_Ads[[#This Row],[reach]]*RANDBETWEEN(8,12)/10,0)</f>
        <v>8610</v>
      </c>
      <c r="M69" s="4">
        <f ca="1">T_Facebook_Ads[[#This Row],[frequency]]*RANDBETWEEN(8,12)/10</f>
        <v>1.4079999999999999</v>
      </c>
      <c r="O69" s="3">
        <f t="shared" ca="1" si="10"/>
        <v>45235</v>
      </c>
      <c r="P69" s="4" t="s">
        <v>80</v>
      </c>
      <c r="Q69" s="4" t="s">
        <v>81</v>
      </c>
      <c r="R69" s="4" t="s">
        <v>82</v>
      </c>
      <c r="S69" s="4" t="s">
        <v>83</v>
      </c>
      <c r="T69" s="4">
        <f ca="1">ROUND(_Google_ads[[#This Row],[impressions]]*RANDBETWEEN(8,12)/10,0)</f>
        <v>44624</v>
      </c>
      <c r="U69" s="4">
        <f ca="1">ROUND(_Google_ads[[#This Row],[clicks]]*RANDBETWEEN(8,12)/10,0)</f>
        <v>812</v>
      </c>
      <c r="V69" s="4">
        <f ca="1">_Google_ads[[#This Row],[cost]]*RANDBETWEEN(8,12)/10</f>
        <v>468.35999999999996</v>
      </c>
      <c r="W69" s="4">
        <f ca="1">ROUND(_Google_ads[[#This Row],[conversions]]*RANDBETWEEN(8,12)/10,0)</f>
        <v>18</v>
      </c>
      <c r="X69" s="4">
        <f ca="1">ROUND(_Google_ads[[#This Row],[conversion_value]]*RANDBETWEEN(8,12)/10,0)</f>
        <v>1000</v>
      </c>
      <c r="Y69" s="4">
        <f ca="1">_Google_ads[[#This Row],[ctr]]*RANDBETWEEN(8,12)/10</f>
        <v>2.4E-2</v>
      </c>
      <c r="Z69" s="4">
        <f ca="1">_Google_ads[[#This Row],[avg_cpc]]*RANDBETWEEN(8,12)/10</f>
        <v>0.70399999999999996</v>
      </c>
      <c r="AA69" s="4">
        <f ca="1">ROUND(_Google_ads[[#This Row],[quality_score]]*RANDBETWEEN(8,12)/10,0)</f>
        <v>7</v>
      </c>
      <c r="AB69" s="4">
        <f ca="1">_Google_ads[[#This Row],[search_impression_share]]*RANDBETWEEN(8,12)/10</f>
        <v>0.504</v>
      </c>
      <c r="AD69" s="3">
        <f t="shared" ca="1" si="11"/>
        <v>45242</v>
      </c>
      <c r="AE69" s="4" t="s">
        <v>104</v>
      </c>
      <c r="AF69" s="4" t="s">
        <v>105</v>
      </c>
      <c r="AG69" s="4" t="s">
        <v>106</v>
      </c>
      <c r="AH69" s="4" t="s">
        <v>107</v>
      </c>
      <c r="AI69" s="4">
        <f ca="1">ROUND(T_Tiktok_ads[[#This Row],[impressions]]*RANDBETWEEN(8,12)/10,0)</f>
        <v>142345</v>
      </c>
      <c r="AJ69" s="4">
        <f ca="1">ROUND(T_Tiktok_ads[[#This Row],[clicks]]*RANDBETWEEN(8,12)/10,0)</f>
        <v>2678</v>
      </c>
      <c r="AK69" s="4">
        <v>734.5</v>
      </c>
      <c r="AL69" s="4">
        <f ca="1">ROUND(T_Tiktok_ads[[#This Row],[conversions]]*RANDBETWEEN(8,12)/10,0)</f>
        <v>80</v>
      </c>
      <c r="AM69" s="4">
        <f ca="1">ROUND(T_Tiktok_ads[[#This Row],[video_views]]*RANDBETWEEN(8,12)/10,0)</f>
        <v>97890</v>
      </c>
      <c r="AN69" s="4">
        <f ca="1">ROUND(T_Tiktok_ads[[#This Row],[video_watch_25]]*RANDBETWEEN(8,12)/10,0)</f>
        <v>72345</v>
      </c>
      <c r="AO69" s="4">
        <f ca="1">ROUND(T_Tiktok_ads[[#This Row],[video_watch_50]]*RANDBETWEEN(8,12)/10,0)</f>
        <v>39121</v>
      </c>
      <c r="AP69" s="4">
        <f ca="1">ROUND(T_Tiktok_ads[[#This Row],[video_watch_75]]*RANDBETWEEN(8,12)/10,0)</f>
        <v>36789</v>
      </c>
      <c r="AQ69" s="4">
        <f ca="1">ROUND(T_Tiktok_ads[[#This Row],[video_watch_100]]*RANDBETWEEN(8,12)/10,0)</f>
        <v>22401</v>
      </c>
      <c r="AR69" s="4">
        <f ca="1">ROUND(T_Tiktok_ads[[#This Row],[likes]]*RANDBETWEEN(8,12)/10,0)</f>
        <v>4411</v>
      </c>
      <c r="AS69" s="4">
        <f ca="1">ROUND(T_Tiktok_ads[[#This Row],[shares]]*RANDBETWEEN(8,12)/10,0)</f>
        <v>1492</v>
      </c>
      <c r="AT69" s="4">
        <f ca="1">ROUND(T_Tiktok_ads[[#This Row],[comments]]*RANDBETWEEN(8,12)/10,0)</f>
        <v>256</v>
      </c>
      <c r="AV69" s="5">
        <f t="shared" ca="1" si="12"/>
        <v>45259</v>
      </c>
      <c r="AW69">
        <f t="shared" ca="1" si="13"/>
        <v>4</v>
      </c>
      <c r="AX69">
        <f ca="1">ROUND(T_Facebook_Ads1159636771757983879195[[#This Row],[impressions]]*RANDBETWEEN(8,12)/10,0)</f>
        <v>15695</v>
      </c>
      <c r="AY69">
        <f ca="1">ROUND(T_Facebook_Ads1159636771757983879195[[#This Row],[clicks]]*RANDBETWEEN(8,12)/10,0)</f>
        <v>600</v>
      </c>
      <c r="AZ69">
        <f ca="1">T_Facebook_Ads1159636771757983879195[[#This Row],[spend]]*RANDBETWEEN(8,12)/10</f>
        <v>129.47200000000001</v>
      </c>
      <c r="BA69">
        <f ca="1">ROUND(T_Facebook_Ads1159636771757983879195[[#This Row],[conversions]]*RANDBETWEEN(8,12)/10,0)</f>
        <v>49</v>
      </c>
      <c r="BB69">
        <f ca="1">ROUND(T_Facebook_Ads1159636771757983879195[[#This Row],[video_views]]*RANDBETWEEN(8,12)/10,0)</f>
        <v>1387</v>
      </c>
    </row>
    <row r="70" spans="1:54" ht="15.75" thickBot="1" x14ac:dyDescent="0.3">
      <c r="A70" s="3">
        <f t="shared" ca="1" si="9"/>
        <v>45239</v>
      </c>
      <c r="B70" s="4" t="s">
        <v>60</v>
      </c>
      <c r="C70" s="4" t="s">
        <v>61</v>
      </c>
      <c r="D70" s="4" t="s">
        <v>62</v>
      </c>
      <c r="E70" s="4" t="s">
        <v>63</v>
      </c>
      <c r="F70" s="4">
        <f ca="1">ROUND(T_Facebook_Ads[[#This Row],[impressions]]*RANDBETWEEN(8,12)/10,0)</f>
        <v>41480</v>
      </c>
      <c r="G70" s="4">
        <v>1234</v>
      </c>
      <c r="H70" s="4">
        <f ca="1">T_Facebook_Ads[[#This Row],[spend]]*RANDBETWEEN(8,12)/10</f>
        <v>151.68</v>
      </c>
      <c r="I70" s="4">
        <f ca="1">ROUND(T_Facebook_Ads[[#This Row],[conversions]]*RANDBETWEEN(8,12)/10,0)</f>
        <v>19</v>
      </c>
      <c r="J70" s="4">
        <f ca="1">ROUND(T_Facebook_Ads[[#This Row],[video_views]]*RANDBETWEEN(8,12)/10,0)</f>
        <v>4567</v>
      </c>
      <c r="K70" s="4">
        <f ca="1">T_Facebook_Ads[[#This Row],[engagement_rate]]*RANDBETWEEN(8,12)/10</f>
        <v>3.2130000000000006E-2</v>
      </c>
      <c r="L70" s="4">
        <f ca="1">ROUND(T_Facebook_Ads[[#This Row],[reach]]*RANDBETWEEN(8,12)/10,0)</f>
        <v>28934</v>
      </c>
      <c r="M70" s="4">
        <f ca="1">T_Facebook_Ads[[#This Row],[frequency]]*RANDBETWEEN(8,12)/10</f>
        <v>1.4279999999999999</v>
      </c>
      <c r="O70" s="3">
        <f t="shared" ca="1" si="10"/>
        <v>45256</v>
      </c>
      <c r="P70" s="4" t="s">
        <v>84</v>
      </c>
      <c r="Q70" s="4" t="s">
        <v>85</v>
      </c>
      <c r="R70" s="4" t="s">
        <v>86</v>
      </c>
      <c r="S70" s="4" t="s">
        <v>87</v>
      </c>
      <c r="T70" s="4">
        <f ca="1">ROUND(_Google_ads[[#This Row],[impressions]]*RANDBETWEEN(8,12)/10,0)</f>
        <v>58401</v>
      </c>
      <c r="U70" s="4">
        <f ca="1">ROUND(_Google_ads[[#This Row],[clicks]]*RANDBETWEEN(8,12)/10,0)</f>
        <v>2480</v>
      </c>
      <c r="V70" s="4">
        <f ca="1">_Google_ads[[#This Row],[cost]]*RANDBETWEEN(8,12)/10</f>
        <v>414.48</v>
      </c>
      <c r="W70" s="4">
        <f ca="1">ROUND(_Google_ads[[#This Row],[conversions]]*RANDBETWEEN(8,12)/10,0)</f>
        <v>47</v>
      </c>
      <c r="X70" s="4">
        <f ca="1">ROUND(_Google_ads[[#This Row],[conversion_value]]*RANDBETWEEN(8,12)/10,0)</f>
        <v>2360</v>
      </c>
      <c r="Y70" s="4">
        <f ca="1">_Google_ads[[#This Row],[ctr]]*RANDBETWEEN(8,12)/10</f>
        <v>3.8279999999999995E-2</v>
      </c>
      <c r="Z70" s="4">
        <f ca="1">_Google_ads[[#This Row],[avg_cpc]]*RANDBETWEEN(8,12)/10</f>
        <v>0.18</v>
      </c>
      <c r="AA70" s="4">
        <f ca="1">ROUND(_Google_ads[[#This Row],[quality_score]]*RANDBETWEEN(8,12)/10,0)</f>
        <v>6</v>
      </c>
      <c r="AB70" s="4">
        <f ca="1">_Google_ads[[#This Row],[search_impression_share]]*RANDBETWEEN(8,12)/10</f>
        <v>0.58500000000000008</v>
      </c>
      <c r="AD70" s="3">
        <f t="shared" ca="1" si="11"/>
        <v>45242</v>
      </c>
      <c r="AE70" s="4" t="s">
        <v>108</v>
      </c>
      <c r="AF70" s="4" t="s">
        <v>109</v>
      </c>
      <c r="AG70" s="4" t="s">
        <v>110</v>
      </c>
      <c r="AH70" s="4" t="s">
        <v>111</v>
      </c>
      <c r="AI70" s="4">
        <f ca="1">ROUND(T_Tiktok_ads[[#This Row],[impressions]]*RANDBETWEEN(8,12)/10,0)</f>
        <v>175121</v>
      </c>
      <c r="AJ70" s="4">
        <f ca="1">ROUND(T_Tiktok_ads[[#This Row],[clicks]]*RANDBETWEEN(8,12)/10,0)</f>
        <v>3802</v>
      </c>
      <c r="AK70" s="4">
        <v>414.4</v>
      </c>
      <c r="AL70" s="4">
        <f ca="1">ROUND(T_Tiktok_ads[[#This Row],[conversions]]*RANDBETWEEN(8,12)/10,0)</f>
        <v>26</v>
      </c>
      <c r="AM70" s="4">
        <f ca="1">ROUND(T_Tiktok_ads[[#This Row],[video_views]]*RANDBETWEEN(8,12)/10,0)</f>
        <v>190802</v>
      </c>
      <c r="AN70" s="4">
        <f ca="1">ROUND(T_Tiktok_ads[[#This Row],[video_watch_25]]*RANDBETWEEN(8,12)/10,0)</f>
        <v>105254</v>
      </c>
      <c r="AO70" s="4">
        <f ca="1">ROUND(T_Tiktok_ads[[#This Row],[video_watch_50]]*RANDBETWEEN(8,12)/10,0)</f>
        <v>113924</v>
      </c>
      <c r="AP70" s="4">
        <f ca="1">ROUND(T_Tiktok_ads[[#This Row],[video_watch_75]]*RANDBETWEEN(8,12)/10,0)</f>
        <v>67234</v>
      </c>
      <c r="AQ70" s="4">
        <f ca="1">ROUND(T_Tiktok_ads[[#This Row],[video_watch_100]]*RANDBETWEEN(8,12)/10,0)</f>
        <v>36510</v>
      </c>
      <c r="AR70" s="4">
        <f ca="1">ROUND(T_Tiktok_ads[[#This Row],[likes]]*RANDBETWEEN(8,12)/10,0)</f>
        <v>8012</v>
      </c>
      <c r="AS70" s="4">
        <f ca="1">ROUND(T_Tiktok_ads[[#This Row],[shares]]*RANDBETWEEN(8,12)/10,0)</f>
        <v>2641</v>
      </c>
      <c r="AT70" s="4">
        <f ca="1">ROUND(T_Tiktok_ads[[#This Row],[comments]]*RANDBETWEEN(8,12)/10,0)</f>
        <v>471</v>
      </c>
      <c r="AV70" s="5">
        <f t="shared" ca="1" si="12"/>
        <v>45234</v>
      </c>
      <c r="AW70">
        <f t="shared" ca="1" si="13"/>
        <v>3</v>
      </c>
      <c r="AX70">
        <f ca="1">ROUND(T_Facebook_Ads1159636771757983879195[[#This Row],[impressions]]*RANDBETWEEN(8,12)/10,0)</f>
        <v>37332</v>
      </c>
      <c r="AY70">
        <f ca="1">ROUND(T_Facebook_Ads1159636771757983879195[[#This Row],[clicks]]*RANDBETWEEN(8,12)/10,0)</f>
        <v>1481</v>
      </c>
      <c r="AZ70">
        <f ca="1">T_Facebook_Ads1159636771757983879195[[#This Row],[spend]]*RANDBETWEEN(8,12)/10</f>
        <v>166.84800000000001</v>
      </c>
      <c r="BA70">
        <f ca="1">ROUND(T_Facebook_Ads1159636771757983879195[[#This Row],[conversions]]*RANDBETWEEN(8,12)/10,0)</f>
        <v>23</v>
      </c>
      <c r="BB70">
        <f ca="1">ROUND(T_Facebook_Ads1159636771757983879195[[#This Row],[video_views]]*RANDBETWEEN(8,12)/10,0)</f>
        <v>4110</v>
      </c>
    </row>
    <row r="71" spans="1:54" ht="15.75" thickBot="1" x14ac:dyDescent="0.3">
      <c r="A71" s="3">
        <f t="shared" ca="1" si="9"/>
        <v>45233</v>
      </c>
      <c r="B71" s="4" t="s">
        <v>64</v>
      </c>
      <c r="C71" s="4" t="s">
        <v>65</v>
      </c>
      <c r="D71" s="4" t="s">
        <v>66</v>
      </c>
      <c r="E71" s="4" t="s">
        <v>67</v>
      </c>
      <c r="F71" s="4">
        <f ca="1">ROUND(T_Facebook_Ads[[#This Row],[impressions]]*RANDBETWEEN(8,12)/10,0)</f>
        <v>52187</v>
      </c>
      <c r="G71" s="4">
        <v>234</v>
      </c>
      <c r="H71" s="4">
        <f ca="1">T_Facebook_Ads[[#This Row],[spend]]*RANDBETWEEN(8,12)/10</f>
        <v>81.2</v>
      </c>
      <c r="I71" s="4">
        <f ca="1">ROUND(T_Facebook_Ads[[#This Row],[conversions]]*RANDBETWEEN(8,12)/10,0)</f>
        <v>6</v>
      </c>
      <c r="J71" s="4">
        <f ca="1">ROUND(T_Facebook_Ads[[#This Row],[video_views]]*RANDBETWEEN(8,12)/10,0)</f>
        <v>39210</v>
      </c>
      <c r="K71" s="4">
        <f ca="1">T_Facebook_Ads[[#This Row],[engagement_rate]]*RANDBETWEEN(8,12)/10</f>
        <v>3.2399999999999998E-3</v>
      </c>
      <c r="L71" s="4">
        <f ca="1">ROUND(T_Facebook_Ads[[#This Row],[reach]]*RANDBETWEEN(8,12)/10,0)</f>
        <v>58802</v>
      </c>
      <c r="M71" s="4">
        <f ca="1">T_Facebook_Ads[[#This Row],[frequency]]*RANDBETWEEN(8,12)/10</f>
        <v>1.071</v>
      </c>
      <c r="O71" s="3">
        <f t="shared" ca="1" si="10"/>
        <v>45257</v>
      </c>
      <c r="P71" s="4" t="s">
        <v>88</v>
      </c>
      <c r="Q71" s="4" t="s">
        <v>89</v>
      </c>
      <c r="R71" s="4" t="s">
        <v>90</v>
      </c>
      <c r="S71" s="4" t="s">
        <v>59</v>
      </c>
      <c r="T71" s="4">
        <f ca="1">ROUND(_Google_ads[[#This Row],[impressions]]*RANDBETWEEN(8,12)/10,0)</f>
        <v>112110</v>
      </c>
      <c r="U71" s="4">
        <f ca="1">ROUND(_Google_ads[[#This Row],[clicks]]*RANDBETWEEN(8,12)/10,0)</f>
        <v>490</v>
      </c>
      <c r="V71" s="4">
        <f ca="1">_Google_ads[[#This Row],[cost]]*RANDBETWEEN(8,12)/10</f>
        <v>146.76</v>
      </c>
      <c r="W71" s="4">
        <f ca="1">ROUND(_Google_ads[[#This Row],[conversions]]*RANDBETWEEN(8,12)/10,0)</f>
        <v>12</v>
      </c>
      <c r="X71" s="4">
        <f ca="1">ROUND(_Google_ads[[#This Row],[conversion_value]]*RANDBETWEEN(8,12)/10,0)</f>
        <v>480</v>
      </c>
      <c r="Y71" s="4">
        <f ca="1">_Google_ads[[#This Row],[ctr]]*RANDBETWEEN(8,12)/10</f>
        <v>4.3200000000000001E-3</v>
      </c>
      <c r="Z71" s="4">
        <f ca="1">_Google_ads[[#This Row],[avg_cpc]]*RANDBETWEEN(8,12)/10</f>
        <v>0.29700000000000004</v>
      </c>
      <c r="AA71" s="4">
        <f ca="1">ROUND(_Google_ads[[#This Row],[quality_score]]*RANDBETWEEN(8,12)/10,0)</f>
        <v>8</v>
      </c>
      <c r="AB71" s="4">
        <f ca="1">_Google_ads[[#This Row],[search_impression_share]]*RANDBETWEEN(8,12)/10</f>
        <v>0.39600000000000002</v>
      </c>
      <c r="AD71" s="3">
        <f t="shared" ca="1" si="11"/>
        <v>45253</v>
      </c>
      <c r="AE71" s="4" t="s">
        <v>112</v>
      </c>
      <c r="AF71" s="4" t="s">
        <v>113</v>
      </c>
      <c r="AG71" s="4" t="s">
        <v>114</v>
      </c>
      <c r="AH71" s="4" t="s">
        <v>115</v>
      </c>
      <c r="AI71" s="4">
        <f ca="1">ROUND(T_Tiktok_ads[[#This Row],[impressions]]*RANDBETWEEN(8,12)/10,0)</f>
        <v>350111</v>
      </c>
      <c r="AJ71" s="4">
        <f ca="1">ROUND(T_Tiktok_ads[[#This Row],[clicks]]*RANDBETWEEN(8,12)/10,0)</f>
        <v>5611</v>
      </c>
      <c r="AK71" s="4">
        <v>967.8</v>
      </c>
      <c r="AL71" s="4">
        <f ca="1">ROUND(T_Tiktok_ads[[#This Row],[conversions]]*RANDBETWEEN(8,12)/10,0)</f>
        <v>98</v>
      </c>
      <c r="AM71" s="4">
        <f ca="1">ROUND(T_Tiktok_ads[[#This Row],[video_views]]*RANDBETWEEN(8,12)/10,0)</f>
        <v>289111</v>
      </c>
      <c r="AN71" s="4">
        <f ca="1">ROUND(T_Tiktok_ads[[#This Row],[video_watch_25]]*RANDBETWEEN(8,12)/10,0)</f>
        <v>258901</v>
      </c>
      <c r="AO71" s="4">
        <f ca="1">ROUND(T_Tiktok_ads[[#This Row],[video_watch_50]]*RANDBETWEEN(8,12)/10,0)</f>
        <v>228679</v>
      </c>
      <c r="AP71" s="4">
        <f ca="1">ROUND(T_Tiktok_ads[[#This Row],[video_watch_75]]*RANDBETWEEN(8,12)/10,0)</f>
        <v>161957</v>
      </c>
      <c r="AQ71" s="4">
        <f ca="1">ROUND(T_Tiktok_ads[[#This Row],[video_watch_100]]*RANDBETWEEN(8,12)/10,0)</f>
        <v>116947</v>
      </c>
      <c r="AR71" s="4">
        <f ca="1">ROUND(T_Tiktok_ads[[#This Row],[likes]]*RANDBETWEEN(8,12)/10,0)</f>
        <v>20281</v>
      </c>
      <c r="AS71" s="4">
        <f ca="1">ROUND(T_Tiktok_ads[[#This Row],[shares]]*RANDBETWEEN(8,12)/10,0)</f>
        <v>4421</v>
      </c>
      <c r="AT71" s="4">
        <f ca="1">ROUND(T_Tiktok_ads[[#This Row],[comments]]*RANDBETWEEN(8,12)/10,0)</f>
        <v>1480</v>
      </c>
      <c r="AV71" s="5">
        <f t="shared" ca="1" si="12"/>
        <v>45237</v>
      </c>
      <c r="AW71">
        <f t="shared" ca="1" si="13"/>
        <v>4</v>
      </c>
      <c r="AX71">
        <f ca="1">ROUND(T_Facebook_Ads1159636771757983879195[[#This Row],[impressions]]*RANDBETWEEN(8,12)/10,0)</f>
        <v>62624</v>
      </c>
      <c r="AY71">
        <f ca="1">ROUND(T_Facebook_Ads1159636771757983879195[[#This Row],[clicks]]*RANDBETWEEN(8,12)/10,0)</f>
        <v>234</v>
      </c>
      <c r="AZ71">
        <f ca="1">T_Facebook_Ads1159636771757983879195[[#This Row],[spend]]*RANDBETWEEN(8,12)/10</f>
        <v>73.080000000000013</v>
      </c>
      <c r="BA71">
        <f ca="1">ROUND(T_Facebook_Ads1159636771757983879195[[#This Row],[conversions]]*RANDBETWEEN(8,12)/10,0)</f>
        <v>5</v>
      </c>
      <c r="BB71">
        <f ca="1">ROUND(T_Facebook_Ads1159636771757983879195[[#This Row],[video_views]]*RANDBETWEEN(8,12)/10,0)</f>
        <v>43131</v>
      </c>
    </row>
    <row r="72" spans="1:54" ht="15.75" thickBot="1" x14ac:dyDescent="0.3">
      <c r="A72" s="3">
        <f t="shared" ca="1" si="9"/>
        <v>45255</v>
      </c>
      <c r="B72" s="4" t="s">
        <v>52</v>
      </c>
      <c r="C72" s="4" t="s">
        <v>53</v>
      </c>
      <c r="D72" s="4" t="s">
        <v>54</v>
      </c>
      <c r="E72" s="4" t="s">
        <v>55</v>
      </c>
      <c r="F72" s="4">
        <f ca="1">ROUND(T_Facebook_Ads[[#This Row],[impressions]]*RANDBETWEEN(8,12)/10,0)</f>
        <v>33254</v>
      </c>
      <c r="G72" s="4">
        <v>823</v>
      </c>
      <c r="H72" s="4">
        <f ca="1">T_Facebook_Ads[[#This Row],[spend]]*RANDBETWEEN(8,12)/10</f>
        <v>130.79000000000002</v>
      </c>
      <c r="I72" s="4">
        <f ca="1">ROUND(T_Facebook_Ads[[#This Row],[conversions]]*RANDBETWEEN(8,12)/10,0)</f>
        <v>10</v>
      </c>
      <c r="J72" s="4">
        <f ca="1">ROUND(T_Facebook_Ads[[#This Row],[video_views]]*RANDBETWEEN(8,12)/10,0)</f>
        <v>8202</v>
      </c>
      <c r="K72" s="4">
        <f ca="1">T_Facebook_Ads[[#This Row],[engagement_rate]]*RANDBETWEEN(8,12)/10</f>
        <v>2.1780000000000001E-2</v>
      </c>
      <c r="L72" s="4">
        <f ca="1">ROUND(T_Facebook_Ads[[#This Row],[reach]]*RANDBETWEEN(8,12)/10,0)</f>
        <v>38635</v>
      </c>
      <c r="M72" s="4">
        <f ca="1">T_Facebook_Ads[[#This Row],[frequency]]*RANDBETWEEN(8,12)/10</f>
        <v>1.18</v>
      </c>
      <c r="O72" s="3">
        <f t="shared" ca="1" si="10"/>
        <v>45256</v>
      </c>
      <c r="P72" s="4" t="s">
        <v>76</v>
      </c>
      <c r="Q72" s="4" t="s">
        <v>77</v>
      </c>
      <c r="R72" s="4" t="s">
        <v>78</v>
      </c>
      <c r="S72" s="4" t="s">
        <v>79</v>
      </c>
      <c r="T72" s="4">
        <f ca="1">ROUND(_Google_ads[[#This Row],[impressions]]*RANDBETWEEN(8,12)/10,0)</f>
        <v>23724</v>
      </c>
      <c r="U72" s="4">
        <f ca="1">ROUND(_Google_ads[[#This Row],[clicks]]*RANDBETWEEN(8,12)/10,0)</f>
        <v>871</v>
      </c>
      <c r="V72" s="4">
        <f ca="1">_Google_ads[[#This Row],[cost]]*RANDBETWEEN(8,12)/10</f>
        <v>207.8</v>
      </c>
      <c r="W72" s="4">
        <f ca="1">ROUND(_Google_ads[[#This Row],[conversions]]*RANDBETWEEN(8,12)/10,0)</f>
        <v>41</v>
      </c>
      <c r="X72" s="4">
        <f ca="1">ROUND(_Google_ads[[#This Row],[conversion_value]]*RANDBETWEEN(8,12)/10,0)</f>
        <v>2255</v>
      </c>
      <c r="Y72" s="4">
        <f ca="1">_Google_ads[[#This Row],[ctr]]*RANDBETWEEN(8,12)/10</f>
        <v>4.5450000000000004E-2</v>
      </c>
      <c r="Z72" s="4">
        <f ca="1">_Google_ads[[#This Row],[avg_cpc]]*RANDBETWEEN(8,12)/10</f>
        <v>0.19</v>
      </c>
      <c r="AA72" s="4">
        <f ca="1">ROUND(_Google_ads[[#This Row],[quality_score]]*RANDBETWEEN(8,12)/10,0)</f>
        <v>11</v>
      </c>
      <c r="AB72" s="4">
        <f ca="1">_Google_ads[[#This Row],[search_impression_share]]*RANDBETWEEN(8,12)/10</f>
        <v>0.88000000000000012</v>
      </c>
      <c r="AD72" s="3">
        <f t="shared" ca="1" si="11"/>
        <v>45235</v>
      </c>
      <c r="AE72" s="4" t="s">
        <v>100</v>
      </c>
      <c r="AF72" s="4" t="s">
        <v>101</v>
      </c>
      <c r="AG72" s="4" t="s">
        <v>102</v>
      </c>
      <c r="AH72" s="4" t="s">
        <v>103</v>
      </c>
      <c r="AI72" s="4">
        <f ca="1">ROUND(T_Tiktok_ads[[#This Row],[impressions]]*RANDBETWEEN(8,12)/10,0)</f>
        <v>234567</v>
      </c>
      <c r="AJ72" s="4">
        <f ca="1">ROUND(T_Tiktok_ads[[#This Row],[clicks]]*RANDBETWEEN(8,12)/10,0)</f>
        <v>4147</v>
      </c>
      <c r="AK72" s="4">
        <v>445.7</v>
      </c>
      <c r="AL72" s="4">
        <f ca="1">ROUND(T_Tiktok_ads[[#This Row],[conversions]]*RANDBETWEEN(8,12)/10,0)</f>
        <v>34</v>
      </c>
      <c r="AM72" s="4">
        <f ca="1">ROUND(T_Tiktok_ads[[#This Row],[video_views]]*RANDBETWEEN(8,12)/10,0)</f>
        <v>234281</v>
      </c>
      <c r="AN72" s="4">
        <f ca="1">ROUND(T_Tiktok_ads[[#This Row],[video_watch_25]]*RANDBETWEEN(8,12)/10,0)</f>
        <v>122765</v>
      </c>
      <c r="AO72" s="4">
        <f ca="1">ROUND(T_Tiktok_ads[[#This Row],[video_watch_50]]*RANDBETWEEN(8,12)/10,0)</f>
        <v>96234</v>
      </c>
      <c r="AP72" s="4">
        <f ca="1">ROUND(T_Tiktok_ads[[#This Row],[video_watch_75]]*RANDBETWEEN(8,12)/10,0)</f>
        <v>71757</v>
      </c>
      <c r="AQ72" s="4">
        <f ca="1">ROUND(T_Tiktok_ads[[#This Row],[video_watch_100]]*RANDBETWEEN(8,12)/10,0)</f>
        <v>43567</v>
      </c>
      <c r="AR72" s="4">
        <f ca="1">ROUND(T_Tiktok_ads[[#This Row],[likes]]*RANDBETWEEN(8,12)/10,0)</f>
        <v>10507</v>
      </c>
      <c r="AS72" s="4">
        <f ca="1">ROUND(T_Tiktok_ads[[#This Row],[shares]]*RANDBETWEEN(8,12)/10,0)</f>
        <v>2457</v>
      </c>
      <c r="AT72" s="4">
        <f ca="1">ROUND(T_Tiktok_ads[[#This Row],[comments]]*RANDBETWEEN(8,12)/10,0)</f>
        <v>481</v>
      </c>
      <c r="AV72" s="5">
        <f t="shared" ca="1" si="12"/>
        <v>45257</v>
      </c>
      <c r="AW72">
        <f t="shared" ca="1" si="13"/>
        <v>7</v>
      </c>
      <c r="AX72">
        <f ca="1">ROUND(T_Facebook_Ads1159636771757983879195[[#This Row],[impressions]]*RANDBETWEEN(8,12)/10,0)</f>
        <v>26603</v>
      </c>
      <c r="AY72">
        <f ca="1">ROUND(T_Facebook_Ads1159636771757983879195[[#This Row],[clicks]]*RANDBETWEEN(8,12)/10,0)</f>
        <v>823</v>
      </c>
      <c r="AZ72">
        <f ca="1">T_Facebook_Ads1159636771757983879195[[#This Row],[spend]]*RANDBETWEEN(8,12)/10</f>
        <v>156.94800000000004</v>
      </c>
      <c r="BA72">
        <f ca="1">ROUND(T_Facebook_Ads1159636771757983879195[[#This Row],[conversions]]*RANDBETWEEN(8,12)/10,0)</f>
        <v>12</v>
      </c>
      <c r="BB72">
        <f ca="1">ROUND(T_Facebook_Ads1159636771757983879195[[#This Row],[video_views]]*RANDBETWEEN(8,12)/10,0)</f>
        <v>7382</v>
      </c>
    </row>
    <row r="73" spans="1:54" ht="15.75" thickBot="1" x14ac:dyDescent="0.3">
      <c r="A73" s="3">
        <f t="shared" ca="1" si="9"/>
        <v>45235</v>
      </c>
      <c r="B73" s="4" t="s">
        <v>56</v>
      </c>
      <c r="C73" s="4" t="s">
        <v>57</v>
      </c>
      <c r="D73" s="4" t="s">
        <v>58</v>
      </c>
      <c r="E73" s="4" t="s">
        <v>59</v>
      </c>
      <c r="F73" s="4">
        <f ca="1">ROUND(T_Facebook_Ads[[#This Row],[impressions]]*RANDBETWEEN(8,12)/10,0)</f>
        <v>8187</v>
      </c>
      <c r="G73" s="4">
        <v>467</v>
      </c>
      <c r="H73" s="4">
        <f ca="1">T_Facebook_Ads[[#This Row],[spend]]*RANDBETWEEN(8,12)/10</f>
        <v>178.4</v>
      </c>
      <c r="I73" s="4">
        <f ca="1">ROUND(T_Facebook_Ads[[#This Row],[conversions]]*RANDBETWEEN(8,12)/10,0)</f>
        <v>33</v>
      </c>
      <c r="J73" s="4">
        <f ca="1">ROUND(T_Facebook_Ads[[#This Row],[video_views]]*RANDBETWEEN(8,12)/10,0)</f>
        <v>1134</v>
      </c>
      <c r="K73" s="4">
        <f ca="1">T_Facebook_Ads[[#This Row],[engagement_rate]]*RANDBETWEEN(8,12)/10</f>
        <v>3.6479999999999999E-2</v>
      </c>
      <c r="L73" s="4">
        <f ca="1">ROUND(T_Facebook_Ads[[#This Row],[reach]]*RANDBETWEEN(8,12)/10,0)</f>
        <v>10147</v>
      </c>
      <c r="M73" s="4">
        <f ca="1">T_Facebook_Ads[[#This Row],[frequency]]*RANDBETWEEN(8,12)/10</f>
        <v>1.331</v>
      </c>
      <c r="O73" s="3">
        <f t="shared" ca="1" si="10"/>
        <v>45259</v>
      </c>
      <c r="P73" s="4" t="s">
        <v>80</v>
      </c>
      <c r="Q73" s="4" t="s">
        <v>81</v>
      </c>
      <c r="R73" s="4" t="s">
        <v>82</v>
      </c>
      <c r="S73" s="4" t="s">
        <v>83</v>
      </c>
      <c r="T73" s="4">
        <f ca="1">ROUND(_Google_ads[[#This Row],[impressions]]*RANDBETWEEN(8,12)/10,0)</f>
        <v>31121</v>
      </c>
      <c r="U73" s="4">
        <f ca="1">ROUND(_Google_ads[[#This Row],[clicks]]*RANDBETWEEN(8,12)/10,0)</f>
        <v>934</v>
      </c>
      <c r="V73" s="4">
        <f ca="1">_Google_ads[[#This Row],[cost]]*RANDBETWEEN(8,12)/10</f>
        <v>548.56999999999994</v>
      </c>
      <c r="W73" s="4">
        <f ca="1">ROUND(_Google_ads[[#This Row],[conversions]]*RANDBETWEEN(8,12)/10,0)</f>
        <v>17</v>
      </c>
      <c r="X73" s="4">
        <f ca="1">ROUND(_Google_ads[[#This Row],[conversion_value]]*RANDBETWEEN(8,12)/10,0)</f>
        <v>1140</v>
      </c>
      <c r="Y73" s="4">
        <f ca="1">_Google_ads[[#This Row],[ctr]]*RANDBETWEEN(8,12)/10</f>
        <v>0.02</v>
      </c>
      <c r="Z73" s="4">
        <f ca="1">_Google_ads[[#This Row],[avg_cpc]]*RANDBETWEEN(8,12)/10</f>
        <v>0.76800000000000002</v>
      </c>
      <c r="AA73" s="4">
        <f ca="1">ROUND(_Google_ads[[#This Row],[quality_score]]*RANDBETWEEN(8,12)/10,0)</f>
        <v>7</v>
      </c>
      <c r="AB73" s="4">
        <f ca="1">_Google_ads[[#This Row],[search_impression_share]]*RANDBETWEEN(8,12)/10</f>
        <v>0.32799999999999996</v>
      </c>
      <c r="AD73" s="3">
        <f t="shared" ca="1" si="11"/>
        <v>45237</v>
      </c>
      <c r="AE73" s="4" t="s">
        <v>104</v>
      </c>
      <c r="AF73" s="4" t="s">
        <v>105</v>
      </c>
      <c r="AG73" s="4" t="s">
        <v>106</v>
      </c>
      <c r="AH73" s="4" t="s">
        <v>107</v>
      </c>
      <c r="AI73" s="4">
        <f ca="1">ROUND(T_Tiktok_ads[[#This Row],[impressions]]*RANDBETWEEN(8,12)/10,0)</f>
        <v>154681</v>
      </c>
      <c r="AJ73" s="4">
        <f ca="1">ROUND(T_Tiktok_ads[[#This Row],[clicks]]*RANDBETWEEN(8,12)/10,0)</f>
        <v>1965</v>
      </c>
      <c r="AK73" s="4">
        <v>678.9</v>
      </c>
      <c r="AL73" s="4">
        <f ca="1">ROUND(T_Tiktok_ads[[#This Row],[conversions]]*RANDBETWEEN(8,12)/10,0)</f>
        <v>60</v>
      </c>
      <c r="AM73" s="4">
        <f ca="1">ROUND(T_Tiktok_ads[[#This Row],[video_views]]*RANDBETWEEN(8,12)/10,0)</f>
        <v>98157</v>
      </c>
      <c r="AN73" s="4">
        <f ca="1">ROUND(T_Tiktok_ads[[#This Row],[video_watch_25]]*RANDBETWEEN(8,12)/10,0)</f>
        <v>73957</v>
      </c>
      <c r="AO73" s="4">
        <f ca="1">ROUND(T_Tiktok_ads[[#This Row],[video_watch_50]]*RANDBETWEEN(8,12)/10,0)</f>
        <v>36187</v>
      </c>
      <c r="AP73" s="4">
        <f ca="1">ROUND(T_Tiktok_ads[[#This Row],[video_watch_75]]*RANDBETWEEN(8,12)/10,0)</f>
        <v>37657</v>
      </c>
      <c r="AQ73" s="4">
        <f ca="1">ROUND(T_Tiktok_ads[[#This Row],[video_watch_100]]*RANDBETWEEN(8,12)/10,0)</f>
        <v>28147</v>
      </c>
      <c r="AR73" s="4">
        <f ca="1">ROUND(T_Tiktok_ads[[#This Row],[likes]]*RANDBETWEEN(8,12)/10,0)</f>
        <v>5024</v>
      </c>
      <c r="AS73" s="4">
        <f ca="1">ROUND(T_Tiktok_ads[[#This Row],[shares]]*RANDBETWEEN(8,12)/10,0)</f>
        <v>987</v>
      </c>
      <c r="AT73" s="4">
        <f ca="1">ROUND(T_Tiktok_ads[[#This Row],[comments]]*RANDBETWEEN(8,12)/10,0)</f>
        <v>234</v>
      </c>
      <c r="AV73" s="5">
        <f t="shared" ca="1" si="12"/>
        <v>45248</v>
      </c>
      <c r="AW73">
        <f t="shared" ca="1" si="13"/>
        <v>3</v>
      </c>
      <c r="AX73">
        <f ca="1">ROUND(T_Facebook_Ads1159636771757983879195[[#This Row],[impressions]]*RANDBETWEEN(8,12)/10,0)</f>
        <v>8187</v>
      </c>
      <c r="AY73">
        <f ca="1">ROUND(T_Facebook_Ads1159636771757983879195[[#This Row],[clicks]]*RANDBETWEEN(8,12)/10,0)</f>
        <v>560</v>
      </c>
      <c r="AZ73">
        <f ca="1">T_Facebook_Ads1159636771757983879195[[#This Row],[spend]]*RANDBETWEEN(8,12)/10</f>
        <v>142.72</v>
      </c>
      <c r="BA73">
        <f ca="1">ROUND(T_Facebook_Ads1159636771757983879195[[#This Row],[conversions]]*RANDBETWEEN(8,12)/10,0)</f>
        <v>33</v>
      </c>
      <c r="BB73">
        <f ca="1">ROUND(T_Facebook_Ads1159636771757983879195[[#This Row],[video_views]]*RANDBETWEEN(8,12)/10,0)</f>
        <v>1247</v>
      </c>
    </row>
    <row r="74" spans="1:54" ht="15.75" thickBot="1" x14ac:dyDescent="0.3">
      <c r="A74" s="3">
        <f t="shared" ca="1" si="9"/>
        <v>45243</v>
      </c>
      <c r="B74" s="4" t="s">
        <v>60</v>
      </c>
      <c r="C74" s="4" t="s">
        <v>61</v>
      </c>
      <c r="D74" s="4" t="s">
        <v>62</v>
      </c>
      <c r="E74" s="4" t="s">
        <v>63</v>
      </c>
      <c r="F74" s="4">
        <f ca="1">ROUND(T_Facebook_Ads[[#This Row],[impressions]]*RANDBETWEEN(8,12)/10,0)</f>
        <v>26312</v>
      </c>
      <c r="G74" s="4">
        <v>1178</v>
      </c>
      <c r="H74" s="4">
        <f ca="1">T_Facebook_Ads[[#This Row],[spend]]*RANDBETWEEN(8,12)/10</f>
        <v>154.07999999999998</v>
      </c>
      <c r="I74" s="4">
        <f ca="1">ROUND(T_Facebook_Ads[[#This Row],[conversions]]*RANDBETWEEN(8,12)/10,0)</f>
        <v>26</v>
      </c>
      <c r="J74" s="4">
        <f ca="1">ROUND(T_Facebook_Ads[[#This Row],[video_views]]*RANDBETWEEN(8,12)/10,0)</f>
        <v>4547</v>
      </c>
      <c r="K74" s="4">
        <f ca="1">T_Facebook_Ads[[#This Row],[engagement_rate]]*RANDBETWEEN(8,12)/10</f>
        <v>2.8639999999999999E-2</v>
      </c>
      <c r="L74" s="4">
        <f ca="1">ROUND(T_Facebook_Ads[[#This Row],[reach]]*RANDBETWEEN(8,12)/10,0)</f>
        <v>24511</v>
      </c>
      <c r="M74" s="4">
        <f ca="1">T_Facebook_Ads[[#This Row],[frequency]]*RANDBETWEEN(8,12)/10</f>
        <v>1.331</v>
      </c>
      <c r="O74" s="3">
        <f t="shared" ca="1" si="10"/>
        <v>45248</v>
      </c>
      <c r="P74" s="4" t="s">
        <v>84</v>
      </c>
      <c r="Q74" s="4" t="s">
        <v>85</v>
      </c>
      <c r="R74" s="4" t="s">
        <v>86</v>
      </c>
      <c r="S74" s="4" t="s">
        <v>87</v>
      </c>
      <c r="T74" s="4">
        <f ca="1">ROUND(_Google_ads[[#This Row],[impressions]]*RANDBETWEEN(8,12)/10,0)</f>
        <v>56111</v>
      </c>
      <c r="U74" s="4">
        <f ca="1">ROUND(_Google_ads[[#This Row],[clicks]]*RANDBETWEEN(8,12)/10,0)</f>
        <v>1989</v>
      </c>
      <c r="V74" s="4">
        <f ca="1">_Google_ads[[#This Row],[cost]]*RANDBETWEEN(8,12)/10</f>
        <v>328.86</v>
      </c>
      <c r="W74" s="4">
        <f ca="1">ROUND(_Google_ads[[#This Row],[conversions]]*RANDBETWEEN(8,12)/10,0)</f>
        <v>63</v>
      </c>
      <c r="X74" s="4">
        <f ca="1">ROUND(_Google_ads[[#This Row],[conversion_value]]*RANDBETWEEN(8,12)/10,0)</f>
        <v>2565</v>
      </c>
      <c r="Y74" s="4">
        <f ca="1">_Google_ads[[#This Row],[ctr]]*RANDBETWEEN(8,12)/10</f>
        <v>2.5519999999999998E-2</v>
      </c>
      <c r="Z74" s="4">
        <f ca="1">_Google_ads[[#This Row],[avg_cpc]]*RANDBETWEEN(8,12)/10</f>
        <v>0.21600000000000003</v>
      </c>
      <c r="AA74" s="4">
        <f ca="1">ROUND(_Google_ads[[#This Row],[quality_score]]*RANDBETWEEN(8,12)/10,0)</f>
        <v>6</v>
      </c>
      <c r="AB74" s="4">
        <f ca="1">_Google_ads[[#This Row],[search_impression_share]]*RANDBETWEEN(8,12)/10</f>
        <v>0.56699999999999995</v>
      </c>
      <c r="AD74" s="3">
        <f t="shared" ca="1" si="11"/>
        <v>45239</v>
      </c>
      <c r="AE74" s="4" t="s">
        <v>108</v>
      </c>
      <c r="AF74" s="4" t="s">
        <v>109</v>
      </c>
      <c r="AG74" s="4" t="s">
        <v>110</v>
      </c>
      <c r="AH74" s="4" t="s">
        <v>111</v>
      </c>
      <c r="AI74" s="4">
        <f ca="1">ROUND(T_Tiktok_ads[[#This Row],[impressions]]*RANDBETWEEN(8,12)/10,0)</f>
        <v>181111</v>
      </c>
      <c r="AJ74" s="4">
        <f ca="1">ROUND(T_Tiktok_ads[[#This Row],[clicks]]*RANDBETWEEN(8,12)/10,0)</f>
        <v>3748</v>
      </c>
      <c r="AK74" s="4">
        <v>374.5</v>
      </c>
      <c r="AL74" s="4">
        <f ca="1">ROUND(T_Tiktok_ads[[#This Row],[conversions]]*RANDBETWEEN(8,12)/10,0)</f>
        <v>31</v>
      </c>
      <c r="AM74" s="4">
        <f ca="1">ROUND(T_Tiktok_ads[[#This Row],[video_views]]*RANDBETWEEN(8,12)/10,0)</f>
        <v>142101</v>
      </c>
      <c r="AN74" s="4">
        <f ca="1">ROUND(T_Tiktok_ads[[#This Row],[video_watch_25]]*RANDBETWEEN(8,12)/10,0)</f>
        <v>121234</v>
      </c>
      <c r="AO74" s="4">
        <f ca="1">ROUND(T_Tiktok_ads[[#This Row],[video_watch_50]]*RANDBETWEEN(8,12)/10,0)</f>
        <v>76987</v>
      </c>
      <c r="AP74" s="4">
        <f ca="1">ROUND(T_Tiktok_ads[[#This Row],[video_watch_75]]*RANDBETWEEN(8,12)/10,0)</f>
        <v>67357</v>
      </c>
      <c r="AQ74" s="4">
        <f ca="1">ROUND(T_Tiktok_ads[[#This Row],[video_watch_100]]*RANDBETWEEN(8,12)/10,0)</f>
        <v>44947</v>
      </c>
      <c r="AR74" s="4">
        <f ca="1">ROUND(T_Tiktok_ads[[#This Row],[likes]]*RANDBETWEEN(8,12)/10,0)</f>
        <v>8814</v>
      </c>
      <c r="AS74" s="4">
        <f ca="1">ROUND(T_Tiktok_ads[[#This Row],[shares]]*RANDBETWEEN(8,12)/10,0)</f>
        <v>1627</v>
      </c>
      <c r="AT74" s="4">
        <f ca="1">ROUND(T_Tiktok_ads[[#This Row],[comments]]*RANDBETWEEN(8,12)/10,0)</f>
        <v>440</v>
      </c>
      <c r="AV74" s="5">
        <f t="shared" ca="1" si="12"/>
        <v>45251</v>
      </c>
      <c r="AW74">
        <f t="shared" ca="1" si="13"/>
        <v>7</v>
      </c>
      <c r="AX74">
        <f ca="1">ROUND(T_Facebook_Ads1159636771757983879195[[#This Row],[impressions]]*RANDBETWEEN(8,12)/10,0)</f>
        <v>23681</v>
      </c>
      <c r="AY74">
        <f ca="1">ROUND(T_Facebook_Ads1159636771757983879195[[#This Row],[clicks]]*RANDBETWEEN(8,12)/10,0)</f>
        <v>1296</v>
      </c>
      <c r="AZ74">
        <f ca="1">T_Facebook_Ads1159636771757983879195[[#This Row],[spend]]*RANDBETWEEN(8,12)/10</f>
        <v>138.67199999999997</v>
      </c>
      <c r="BA74">
        <f ca="1">ROUND(T_Facebook_Ads1159636771757983879195[[#This Row],[conversions]]*RANDBETWEEN(8,12)/10,0)</f>
        <v>23</v>
      </c>
      <c r="BB74">
        <f ca="1">ROUND(T_Facebook_Ads1159636771757983879195[[#This Row],[video_views]]*RANDBETWEEN(8,12)/10,0)</f>
        <v>3638</v>
      </c>
    </row>
    <row r="75" spans="1:54" ht="15.75" thickBot="1" x14ac:dyDescent="0.3">
      <c r="A75" s="3">
        <f t="shared" ca="1" si="9"/>
        <v>45235</v>
      </c>
      <c r="B75" s="4" t="s">
        <v>64</v>
      </c>
      <c r="C75" s="4" t="s">
        <v>65</v>
      </c>
      <c r="D75" s="4" t="s">
        <v>66</v>
      </c>
      <c r="E75" s="4" t="s">
        <v>67</v>
      </c>
      <c r="F75" s="4">
        <f ca="1">ROUND(T_Facebook_Ads[[#This Row],[impressions]]*RANDBETWEEN(8,12)/10,0)</f>
        <v>68580</v>
      </c>
      <c r="G75" s="4">
        <v>223</v>
      </c>
      <c r="H75" s="4">
        <f ca="1">T_Facebook_Ads[[#This Row],[spend]]*RANDBETWEEN(8,12)/10</f>
        <v>68.669999999999987</v>
      </c>
      <c r="I75" s="4">
        <f ca="1">ROUND(T_Facebook_Ads[[#This Row],[conversions]]*RANDBETWEEN(8,12)/10,0)</f>
        <v>4</v>
      </c>
      <c r="J75" s="4">
        <f ca="1">ROUND(T_Facebook_Ads[[#This Row],[video_views]]*RANDBETWEEN(8,12)/10,0)</f>
        <v>49481</v>
      </c>
      <c r="K75" s="4">
        <f ca="1">T_Facebook_Ads[[#This Row],[engagement_rate]]*RANDBETWEEN(8,12)/10</f>
        <v>3.2399999999999998E-3</v>
      </c>
      <c r="L75" s="4">
        <f ca="1">ROUND(T_Facebook_Ads[[#This Row],[reach]]*RANDBETWEEN(8,12)/10,0)</f>
        <v>51567</v>
      </c>
      <c r="M75" s="4">
        <f ca="1">T_Facebook_Ads[[#This Row],[frequency]]*RANDBETWEEN(8,12)/10</f>
        <v>1.0799999999999998</v>
      </c>
      <c r="O75" s="3">
        <f t="shared" ca="1" si="10"/>
        <v>45240</v>
      </c>
      <c r="P75" s="4" t="s">
        <v>88</v>
      </c>
      <c r="Q75" s="4" t="s">
        <v>89</v>
      </c>
      <c r="R75" s="4" t="s">
        <v>90</v>
      </c>
      <c r="S75" s="4" t="s">
        <v>59</v>
      </c>
      <c r="T75" s="4">
        <f ca="1">ROUND(_Google_ads[[#This Row],[impressions]]*RANDBETWEEN(8,12)/10,0)</f>
        <v>106411</v>
      </c>
      <c r="U75" s="4">
        <f ca="1">ROUND(_Google_ads[[#This Row],[clicks]]*RANDBETWEEN(8,12)/10,0)</f>
        <v>465</v>
      </c>
      <c r="V75" s="4">
        <f ca="1">_Google_ads[[#This Row],[cost]]*RANDBETWEEN(8,12)/10</f>
        <v>127.82000000000001</v>
      </c>
      <c r="W75" s="4">
        <f ca="1">ROUND(_Google_ads[[#This Row],[conversions]]*RANDBETWEEN(8,12)/10,0)</f>
        <v>12</v>
      </c>
      <c r="X75" s="4">
        <f ca="1">ROUND(_Google_ads[[#This Row],[conversion_value]]*RANDBETWEEN(8,12)/10,0)</f>
        <v>495</v>
      </c>
      <c r="Y75" s="4">
        <f ca="1">_Google_ads[[#This Row],[ctr]]*RANDBETWEEN(8,12)/10</f>
        <v>4.3200000000000001E-3</v>
      </c>
      <c r="Z75" s="4">
        <f ca="1">_Google_ads[[#This Row],[avg_cpc]]*RANDBETWEEN(8,12)/10</f>
        <v>0.21600000000000003</v>
      </c>
      <c r="AA75" s="4">
        <f ca="1">ROUND(_Google_ads[[#This Row],[quality_score]]*RANDBETWEEN(8,12)/10,0)</f>
        <v>8</v>
      </c>
      <c r="AB75" s="4">
        <f ca="1">_Google_ads[[#This Row],[search_impression_share]]*RANDBETWEEN(8,12)/10</f>
        <v>0.35199999999999998</v>
      </c>
      <c r="AD75" s="3">
        <f t="shared" ca="1" si="11"/>
        <v>45234</v>
      </c>
      <c r="AE75" s="4" t="s">
        <v>112</v>
      </c>
      <c r="AF75" s="4" t="s">
        <v>113</v>
      </c>
      <c r="AG75" s="4" t="s">
        <v>114</v>
      </c>
      <c r="AH75" s="4" t="s">
        <v>115</v>
      </c>
      <c r="AI75" s="4">
        <f ca="1">ROUND(T_Tiktok_ads[[#This Row],[impressions]]*RANDBETWEEN(8,12)/10,0)</f>
        <v>331101</v>
      </c>
      <c r="AJ75" s="4">
        <f ca="1">ROUND(T_Tiktok_ads[[#This Row],[clicks]]*RANDBETWEEN(8,12)/10,0)</f>
        <v>6613</v>
      </c>
      <c r="AK75" s="4">
        <v>923.4</v>
      </c>
      <c r="AL75" s="4">
        <f ca="1">ROUND(T_Tiktok_ads[[#This Row],[conversions]]*RANDBETWEEN(8,12)/10,0)</f>
        <v>75</v>
      </c>
      <c r="AM75" s="4">
        <f ca="1">ROUND(T_Tiktok_ads[[#This Row],[video_views]]*RANDBETWEEN(8,12)/10,0)</f>
        <v>240987</v>
      </c>
      <c r="AN75" s="4">
        <f ca="1">ROUND(T_Tiktok_ads[[#This Row],[video_watch_25]]*RANDBETWEEN(8,12)/10,0)</f>
        <v>294814</v>
      </c>
      <c r="AO75" s="4">
        <f ca="1">ROUND(T_Tiktok_ads[[#This Row],[video_watch_50]]*RANDBETWEEN(8,12)/10,0)</f>
        <v>236147</v>
      </c>
      <c r="AP75" s="4">
        <f ca="1">ROUND(T_Tiktok_ads[[#This Row],[video_watch_75]]*RANDBETWEEN(8,12)/10,0)</f>
        <v>140234</v>
      </c>
      <c r="AQ75" s="4">
        <f ca="1">ROUND(T_Tiktok_ads[[#This Row],[video_watch_100]]*RANDBETWEEN(8,12)/10,0)</f>
        <v>112147</v>
      </c>
      <c r="AR75" s="4">
        <f ca="1">ROUND(T_Tiktok_ads[[#This Row],[likes]]*RANDBETWEEN(8,12)/10,0)</f>
        <v>14611</v>
      </c>
      <c r="AS75" s="4">
        <f ca="1">ROUND(T_Tiktok_ads[[#This Row],[shares]]*RANDBETWEEN(8,12)/10,0)</f>
        <v>3831</v>
      </c>
      <c r="AT75" s="4">
        <f ca="1">ROUND(T_Tiktok_ads[[#This Row],[comments]]*RANDBETWEEN(8,12)/10,0)</f>
        <v>1418</v>
      </c>
      <c r="AV75" s="5">
        <f t="shared" ca="1" si="12"/>
        <v>45257</v>
      </c>
      <c r="AW75">
        <f t="shared" ca="1" si="13"/>
        <v>6</v>
      </c>
      <c r="AX75">
        <f ca="1">ROUND(T_Facebook_Ads1159636771757983879195[[#This Row],[impressions]]*RANDBETWEEN(8,12)/10,0)</f>
        <v>82296</v>
      </c>
      <c r="AY75">
        <f ca="1">ROUND(T_Facebook_Ads1159636771757983879195[[#This Row],[clicks]]*RANDBETWEEN(8,12)/10,0)</f>
        <v>223</v>
      </c>
      <c r="AZ75">
        <f ca="1">T_Facebook_Ads1159636771757983879195[[#This Row],[spend]]*RANDBETWEEN(8,12)/10</f>
        <v>82.403999999999982</v>
      </c>
      <c r="BA75">
        <f ca="1">ROUND(T_Facebook_Ads1159636771757983879195[[#This Row],[conversions]]*RANDBETWEEN(8,12)/10,0)</f>
        <v>3</v>
      </c>
      <c r="BB75">
        <f ca="1">ROUND(T_Facebook_Ads1159636771757983879195[[#This Row],[video_views]]*RANDBETWEEN(8,12)/10,0)</f>
        <v>44533</v>
      </c>
    </row>
    <row r="76" spans="1:54" ht="15.75" thickBot="1" x14ac:dyDescent="0.3">
      <c r="A76" s="3">
        <f t="shared" ca="1" si="9"/>
        <v>45246</v>
      </c>
      <c r="B76" s="4" t="s">
        <v>52</v>
      </c>
      <c r="C76" s="4" t="s">
        <v>53</v>
      </c>
      <c r="D76" s="4" t="s">
        <v>54</v>
      </c>
      <c r="E76" s="4" t="s">
        <v>55</v>
      </c>
      <c r="F76" s="4">
        <f ca="1">ROUND(T_Facebook_Ads[[#This Row],[impressions]]*RANDBETWEEN(8,12)/10,0)</f>
        <v>54281</v>
      </c>
      <c r="G76" s="4">
        <v>912</v>
      </c>
      <c r="H76" s="4">
        <f ca="1">T_Facebook_Ads[[#This Row],[spend]]*RANDBETWEEN(8,12)/10</f>
        <v>142.78000000000003</v>
      </c>
      <c r="I76" s="4">
        <f ca="1">ROUND(T_Facebook_Ads[[#This Row],[conversions]]*RANDBETWEEN(8,12)/10,0)</f>
        <v>14</v>
      </c>
      <c r="J76" s="4">
        <f ca="1">ROUND(T_Facebook_Ads[[#This Row],[video_views]]*RANDBETWEEN(8,12)/10,0)</f>
        <v>7411</v>
      </c>
      <c r="K76" s="4">
        <f ca="1">T_Facebook_Ads[[#This Row],[engagement_rate]]*RANDBETWEEN(8,12)/10</f>
        <v>2.4240000000000001E-2</v>
      </c>
      <c r="L76" s="4">
        <f ca="1">ROUND(T_Facebook_Ads[[#This Row],[reach]]*RANDBETWEEN(8,12)/10,0)</f>
        <v>38567</v>
      </c>
      <c r="M76" s="4">
        <f ca="1">T_Facebook_Ads[[#This Row],[frequency]]*RANDBETWEEN(8,12)/10</f>
        <v>0.93599999999999994</v>
      </c>
      <c r="O76" s="3">
        <f t="shared" ca="1" si="10"/>
        <v>45232</v>
      </c>
      <c r="P76" s="4" t="s">
        <v>76</v>
      </c>
      <c r="Q76" s="4" t="s">
        <v>77</v>
      </c>
      <c r="R76" s="4" t="s">
        <v>78</v>
      </c>
      <c r="S76" s="4" t="s">
        <v>79</v>
      </c>
      <c r="T76" s="4">
        <f ca="1">ROUND(_Google_ads[[#This Row],[impressions]]*RANDBETWEEN(8,12)/10,0)</f>
        <v>29081</v>
      </c>
      <c r="U76" s="4">
        <f ca="1">ROUND(_Google_ads[[#This Row],[clicks]]*RANDBETWEEN(8,12)/10,0)</f>
        <v>1394</v>
      </c>
      <c r="V76" s="4">
        <f ca="1">_Google_ads[[#This Row],[cost]]*RANDBETWEEN(8,12)/10</f>
        <v>265.32</v>
      </c>
      <c r="W76" s="4">
        <f ca="1">ROUND(_Google_ads[[#This Row],[conversions]]*RANDBETWEEN(8,12)/10,0)</f>
        <v>47</v>
      </c>
      <c r="X76" s="4">
        <f ca="1">ROUND(_Google_ads[[#This Row],[conversion_value]]*RANDBETWEEN(8,12)/10,0)</f>
        <v>2350</v>
      </c>
      <c r="Y76" s="4">
        <f ca="1">_Google_ads[[#This Row],[ctr]]*RANDBETWEEN(8,12)/10</f>
        <v>5.7530000000000005E-2</v>
      </c>
      <c r="Z76" s="4">
        <f ca="1">_Google_ads[[#This Row],[avg_cpc]]*RANDBETWEEN(8,12)/10</f>
        <v>0.17099999999999999</v>
      </c>
      <c r="AA76" s="4">
        <f ca="1">ROUND(_Google_ads[[#This Row],[quality_score]]*RANDBETWEEN(8,12)/10,0)</f>
        <v>7</v>
      </c>
      <c r="AB76" s="4">
        <f ca="1">_Google_ads[[#This Row],[search_impression_share]]*RANDBETWEEN(8,12)/10</f>
        <v>0.81899999999999995</v>
      </c>
      <c r="AD76" s="3">
        <f t="shared" ca="1" si="11"/>
        <v>45231</v>
      </c>
      <c r="AE76" s="4" t="s">
        <v>100</v>
      </c>
      <c r="AF76" s="4" t="s">
        <v>101</v>
      </c>
      <c r="AG76" s="4" t="s">
        <v>102</v>
      </c>
      <c r="AH76" s="4" t="s">
        <v>103</v>
      </c>
      <c r="AI76" s="4">
        <f ca="1">ROUND(T_Tiktok_ads[[#This Row],[impressions]]*RANDBETWEEN(8,12)/10,0)</f>
        <v>267890</v>
      </c>
      <c r="AJ76" s="4">
        <f ca="1">ROUND(T_Tiktok_ads[[#This Row],[clicks]]*RANDBETWEEN(8,12)/10,0)</f>
        <v>3156</v>
      </c>
      <c r="AK76" s="4">
        <v>523.4</v>
      </c>
      <c r="AL76" s="4">
        <f ca="1">ROUND(T_Tiktok_ads[[#This Row],[conversions]]*RANDBETWEEN(8,12)/10,0)</f>
        <v>48</v>
      </c>
      <c r="AM76" s="4">
        <f ca="1">ROUND(T_Tiktok_ads[[#This Row],[video_views]]*RANDBETWEEN(8,12)/10,0)</f>
        <v>243357</v>
      </c>
      <c r="AN76" s="4">
        <f ca="1">ROUND(T_Tiktok_ads[[#This Row],[video_watch_25]]*RANDBETWEEN(8,12)/10,0)</f>
        <v>156110</v>
      </c>
      <c r="AO76" s="4">
        <f ca="1">ROUND(T_Tiktok_ads[[#This Row],[video_watch_50]]*RANDBETWEEN(8,12)/10,0)</f>
        <v>98311</v>
      </c>
      <c r="AP76" s="4">
        <f ca="1">ROUND(T_Tiktok_ads[[#This Row],[video_watch_75]]*RANDBETWEEN(8,12)/10,0)</f>
        <v>80924</v>
      </c>
      <c r="AQ76" s="4">
        <f ca="1">ROUND(T_Tiktok_ads[[#This Row],[video_watch_100]]*RANDBETWEEN(8,12)/10,0)</f>
        <v>54157</v>
      </c>
      <c r="AR76" s="4">
        <f ca="1">ROUND(T_Tiktok_ads[[#This Row],[likes]]*RANDBETWEEN(8,12)/10,0)</f>
        <v>9789</v>
      </c>
      <c r="AS76" s="4">
        <f ca="1">ROUND(T_Tiktok_ads[[#This Row],[shares]]*RANDBETWEEN(8,12)/10,0)</f>
        <v>2371</v>
      </c>
      <c r="AT76" s="4">
        <f ca="1">ROUND(T_Tiktok_ads[[#This Row],[comments]]*RANDBETWEEN(8,12)/10,0)</f>
        <v>685</v>
      </c>
      <c r="AV76" s="5">
        <f t="shared" ca="1" si="12"/>
        <v>45247</v>
      </c>
      <c r="AW76">
        <f t="shared" ca="1" si="13"/>
        <v>3</v>
      </c>
      <c r="AX76">
        <f ca="1">ROUND(T_Facebook_Ads1159636771757983879195[[#This Row],[impressions]]*RANDBETWEEN(8,12)/10,0)</f>
        <v>59709</v>
      </c>
      <c r="AY76">
        <f ca="1">ROUND(T_Facebook_Ads1159636771757983879195[[#This Row],[clicks]]*RANDBETWEEN(8,12)/10,0)</f>
        <v>730</v>
      </c>
      <c r="AZ76">
        <f ca="1">T_Facebook_Ads1159636771757983879195[[#This Row],[spend]]*RANDBETWEEN(8,12)/10</f>
        <v>114.22400000000002</v>
      </c>
      <c r="BA76">
        <f ca="1">ROUND(T_Facebook_Ads1159636771757983879195[[#This Row],[conversions]]*RANDBETWEEN(8,12)/10,0)</f>
        <v>14</v>
      </c>
      <c r="BB76">
        <f ca="1">ROUND(T_Facebook_Ads1159636771757983879195[[#This Row],[video_views]]*RANDBETWEEN(8,12)/10,0)</f>
        <v>7411</v>
      </c>
    </row>
    <row r="77" spans="1:54" ht="15.75" thickBot="1" x14ac:dyDescent="0.3">
      <c r="A77" s="3">
        <f t="shared" ca="1" si="9"/>
        <v>45252</v>
      </c>
      <c r="B77" s="4" t="s">
        <v>56</v>
      </c>
      <c r="C77" s="4" t="s">
        <v>57</v>
      </c>
      <c r="D77" s="4" t="s">
        <v>58</v>
      </c>
      <c r="E77" s="4" t="s">
        <v>59</v>
      </c>
      <c r="F77" s="4">
        <f ca="1">ROUND(T_Facebook_Ads[[#This Row],[impressions]]*RANDBETWEEN(8,12)/10,0)</f>
        <v>9965</v>
      </c>
      <c r="G77" s="4">
        <v>567</v>
      </c>
      <c r="H77" s="4">
        <f ca="1">T_Facebook_Ads[[#This Row],[spend]]*RANDBETWEEN(8,12)/10</f>
        <v>188.64</v>
      </c>
      <c r="I77" s="4">
        <f ca="1">ROUND(T_Facebook_Ads[[#This Row],[conversions]]*RANDBETWEEN(8,12)/10,0)</f>
        <v>29</v>
      </c>
      <c r="J77" s="4">
        <f ca="1">ROUND(T_Facebook_Ads[[#This Row],[video_views]]*RANDBETWEEN(8,12)/10,0)</f>
        <v>1234</v>
      </c>
      <c r="K77" s="4">
        <f ca="1">T_Facebook_Ads[[#This Row],[engagement_rate]]*RANDBETWEEN(8,12)/10</f>
        <v>5.4600000000000003E-2</v>
      </c>
      <c r="L77" s="4">
        <f ca="1">ROUND(T_Facebook_Ads[[#This Row],[reach]]*RANDBETWEEN(8,12)/10,0)</f>
        <v>8888</v>
      </c>
      <c r="M77" s="4">
        <f ca="1">T_Facebook_Ads[[#This Row],[frequency]]*RANDBETWEEN(8,12)/10</f>
        <v>1.26</v>
      </c>
      <c r="O77" s="3">
        <f t="shared" ca="1" si="10"/>
        <v>45236</v>
      </c>
      <c r="P77" s="4" t="s">
        <v>80</v>
      </c>
      <c r="Q77" s="4" t="s">
        <v>81</v>
      </c>
      <c r="R77" s="4" t="s">
        <v>82</v>
      </c>
      <c r="S77" s="4" t="s">
        <v>83</v>
      </c>
      <c r="T77" s="4">
        <f ca="1">ROUND(_Google_ads[[#This Row],[impressions]]*RANDBETWEEN(8,12)/10,0)</f>
        <v>38601</v>
      </c>
      <c r="U77" s="4">
        <f ca="1">ROUND(_Google_ads[[#This Row],[clicks]]*RANDBETWEEN(8,12)/10,0)</f>
        <v>676</v>
      </c>
      <c r="V77" s="4">
        <f ca="1">_Google_ads[[#This Row],[cost]]*RANDBETWEEN(8,12)/10</f>
        <v>439.43999999999994</v>
      </c>
      <c r="W77" s="4">
        <f ca="1">ROUND(_Google_ads[[#This Row],[conversions]]*RANDBETWEEN(8,12)/10,0)</f>
        <v>18</v>
      </c>
      <c r="X77" s="4">
        <f ca="1">ROUND(_Google_ads[[#This Row],[conversion_value]]*RANDBETWEEN(8,12)/10,0)</f>
        <v>990</v>
      </c>
      <c r="Y77" s="4">
        <f ca="1">_Google_ads[[#This Row],[ctr]]*RANDBETWEEN(8,12)/10</f>
        <v>2.3640000000000001E-2</v>
      </c>
      <c r="Z77" s="4">
        <f ca="1">_Google_ads[[#This Row],[avg_cpc]]*RANDBETWEEN(8,12)/10</f>
        <v>0.58500000000000008</v>
      </c>
      <c r="AA77" s="4">
        <f ca="1">ROUND(_Google_ads[[#This Row],[quality_score]]*RANDBETWEEN(8,12)/10,0)</f>
        <v>8</v>
      </c>
      <c r="AB77" s="4">
        <f ca="1">_Google_ads[[#This Row],[search_impression_share]]*RANDBETWEEN(8,12)/10</f>
        <v>0.44000000000000006</v>
      </c>
      <c r="AD77" s="3">
        <f t="shared" ca="1" si="11"/>
        <v>45238</v>
      </c>
      <c r="AE77" s="4" t="s">
        <v>104</v>
      </c>
      <c r="AF77" s="4" t="s">
        <v>105</v>
      </c>
      <c r="AG77" s="4" t="s">
        <v>106</v>
      </c>
      <c r="AH77" s="4" t="s">
        <v>107</v>
      </c>
      <c r="AI77" s="4">
        <f ca="1">ROUND(T_Tiktok_ads[[#This Row],[impressions]]*RANDBETWEEN(8,12)/10,0)</f>
        <v>119121</v>
      </c>
      <c r="AJ77" s="4">
        <f ca="1">ROUND(T_Tiktok_ads[[#This Row],[clicks]]*RANDBETWEEN(8,12)/10,0)</f>
        <v>3401</v>
      </c>
      <c r="AK77" s="4">
        <v>767.5</v>
      </c>
      <c r="AL77" s="4">
        <f ca="1">ROUND(T_Tiktok_ads[[#This Row],[conversions]]*RANDBETWEEN(8,12)/10,0)</f>
        <v>62</v>
      </c>
      <c r="AM77" s="4">
        <f ca="1">ROUND(T_Tiktok_ads[[#This Row],[video_views]]*RANDBETWEEN(8,12)/10,0)</f>
        <v>103456</v>
      </c>
      <c r="AN77" s="4">
        <f ca="1">ROUND(T_Tiktok_ads[[#This Row],[video_watch_25]]*RANDBETWEEN(8,12)/10,0)</f>
        <v>76234</v>
      </c>
      <c r="AO77" s="4">
        <f ca="1">ROUND(T_Tiktok_ads[[#This Row],[video_watch_50]]*RANDBETWEEN(8,12)/10,0)</f>
        <v>56357</v>
      </c>
      <c r="AP77" s="4">
        <f ca="1">ROUND(T_Tiktok_ads[[#This Row],[video_watch_75]]*RANDBETWEEN(8,12)/10,0)</f>
        <v>34710</v>
      </c>
      <c r="AQ77" s="4">
        <f ca="1">ROUND(T_Tiktok_ads[[#This Row],[video_watch_100]]*RANDBETWEEN(8,12)/10,0)</f>
        <v>28368</v>
      </c>
      <c r="AR77" s="4">
        <f ca="1">ROUND(T_Tiktok_ads[[#This Row],[likes]]*RANDBETWEEN(8,12)/10,0)</f>
        <v>5123</v>
      </c>
      <c r="AS77" s="4">
        <f ca="1">ROUND(T_Tiktok_ads[[#This Row],[shares]]*RANDBETWEEN(8,12)/10,0)</f>
        <v>1165</v>
      </c>
      <c r="AT77" s="4">
        <f ca="1">ROUND(T_Tiktok_ads[[#This Row],[comments]]*RANDBETWEEN(8,12)/10,0)</f>
        <v>222</v>
      </c>
      <c r="AV77" s="5">
        <f t="shared" ca="1" si="12"/>
        <v>45241</v>
      </c>
      <c r="AW77">
        <f t="shared" ca="1" si="13"/>
        <v>5</v>
      </c>
      <c r="AX77">
        <f ca="1">ROUND(T_Facebook_Ads1159636771757983879195[[#This Row],[impressions]]*RANDBETWEEN(8,12)/10,0)</f>
        <v>9965</v>
      </c>
      <c r="AY77">
        <f ca="1">ROUND(T_Facebook_Ads1159636771757983879195[[#This Row],[clicks]]*RANDBETWEEN(8,12)/10,0)</f>
        <v>567</v>
      </c>
      <c r="AZ77">
        <f ca="1">T_Facebook_Ads1159636771757983879195[[#This Row],[spend]]*RANDBETWEEN(8,12)/10</f>
        <v>207.50399999999999</v>
      </c>
      <c r="BA77">
        <f ca="1">ROUND(T_Facebook_Ads1159636771757983879195[[#This Row],[conversions]]*RANDBETWEEN(8,12)/10,0)</f>
        <v>29</v>
      </c>
      <c r="BB77">
        <f ca="1">ROUND(T_Facebook_Ads1159636771757983879195[[#This Row],[video_views]]*RANDBETWEEN(8,12)/10,0)</f>
        <v>1481</v>
      </c>
    </row>
    <row r="78" spans="1:54" ht="15.75" thickBot="1" x14ac:dyDescent="0.3">
      <c r="A78" s="3">
        <f t="shared" ca="1" si="9"/>
        <v>45233</v>
      </c>
      <c r="B78" s="4" t="s">
        <v>60</v>
      </c>
      <c r="C78" s="4" t="s">
        <v>61</v>
      </c>
      <c r="D78" s="4" t="s">
        <v>62</v>
      </c>
      <c r="E78" s="4" t="s">
        <v>63</v>
      </c>
      <c r="F78" s="4">
        <f ca="1">ROUND(T_Facebook_Ads[[#This Row],[impressions]]*RANDBETWEEN(8,12)/10,0)</f>
        <v>35123</v>
      </c>
      <c r="G78" s="4">
        <v>1267</v>
      </c>
      <c r="H78" s="4">
        <f ca="1">T_Facebook_Ads[[#This Row],[spend]]*RANDBETWEEN(8,12)/10</f>
        <v>213.95</v>
      </c>
      <c r="I78" s="4">
        <f ca="1">ROUND(T_Facebook_Ads[[#This Row],[conversions]]*RANDBETWEEN(8,12)/10,0)</f>
        <v>31</v>
      </c>
      <c r="J78" s="4">
        <f ca="1">ROUND(T_Facebook_Ads[[#This Row],[video_views]]*RANDBETWEEN(8,12)/10,0)</f>
        <v>3911</v>
      </c>
      <c r="K78" s="4">
        <f ca="1">T_Facebook_Ads[[#This Row],[engagement_rate]]*RANDBETWEEN(8,12)/10</f>
        <v>2.8879999999999999E-2</v>
      </c>
      <c r="L78" s="4">
        <f ca="1">ROUND(T_Facebook_Ads[[#This Row],[reach]]*RANDBETWEEN(8,12)/10,0)</f>
        <v>26211</v>
      </c>
      <c r="M78" s="4">
        <f ca="1">T_Facebook_Ads[[#This Row],[frequency]]*RANDBETWEEN(8,12)/10</f>
        <v>0.96799999999999997</v>
      </c>
      <c r="O78" s="3">
        <f t="shared" ca="1" si="10"/>
        <v>45257</v>
      </c>
      <c r="P78" s="4" t="s">
        <v>84</v>
      </c>
      <c r="Q78" s="4" t="s">
        <v>85</v>
      </c>
      <c r="R78" s="4" t="s">
        <v>86</v>
      </c>
      <c r="S78" s="4" t="s">
        <v>87</v>
      </c>
      <c r="T78" s="4">
        <f ca="1">ROUND(_Google_ads[[#This Row],[impressions]]*RANDBETWEEN(8,12)/10,0)</f>
        <v>60110</v>
      </c>
      <c r="U78" s="4">
        <f ca="1">ROUND(_Google_ads[[#This Row],[clicks]]*RANDBETWEEN(8,12)/10,0)</f>
        <v>2668</v>
      </c>
      <c r="V78" s="4">
        <f ca="1">_Google_ads[[#This Row],[cost]]*RANDBETWEEN(8,12)/10</f>
        <v>489.4799999999999</v>
      </c>
      <c r="W78" s="4">
        <f ca="1">ROUND(_Google_ads[[#This Row],[conversions]]*RANDBETWEEN(8,12)/10,0)</f>
        <v>77</v>
      </c>
      <c r="X78" s="4">
        <f ca="1">ROUND(_Google_ads[[#This Row],[conversion_value]]*RANDBETWEEN(8,12)/10,0)</f>
        <v>2880</v>
      </c>
      <c r="Y78" s="4">
        <f ca="1">_Google_ads[[#This Row],[ctr]]*RANDBETWEEN(8,12)/10</f>
        <v>3.3300000000000003E-2</v>
      </c>
      <c r="Z78" s="4">
        <f ca="1">_Google_ads[[#This Row],[avg_cpc]]*RANDBETWEEN(8,12)/10</f>
        <v>0.14399999999999999</v>
      </c>
      <c r="AA78" s="4">
        <f ca="1">ROUND(_Google_ads[[#This Row],[quality_score]]*RANDBETWEEN(8,12)/10,0)</f>
        <v>10</v>
      </c>
      <c r="AB78" s="4">
        <f ca="1">_Google_ads[[#This Row],[search_impression_share]]*RANDBETWEEN(8,12)/10</f>
        <v>0.72600000000000009</v>
      </c>
      <c r="AD78" s="3">
        <f t="shared" ca="1" si="11"/>
        <v>45252</v>
      </c>
      <c r="AE78" s="4" t="s">
        <v>108</v>
      </c>
      <c r="AF78" s="4" t="s">
        <v>109</v>
      </c>
      <c r="AG78" s="4" t="s">
        <v>110</v>
      </c>
      <c r="AH78" s="4" t="s">
        <v>111</v>
      </c>
      <c r="AI78" s="4">
        <f ca="1">ROUND(T_Tiktok_ads[[#This Row],[impressions]]*RANDBETWEEN(8,12)/10,0)</f>
        <v>274681</v>
      </c>
      <c r="AJ78" s="4">
        <f ca="1">ROUND(T_Tiktok_ads[[#This Row],[clicks]]*RANDBETWEEN(8,12)/10,0)</f>
        <v>2907</v>
      </c>
      <c r="AK78" s="4">
        <v>441.9</v>
      </c>
      <c r="AL78" s="4">
        <f ca="1">ROUND(T_Tiktok_ads[[#This Row],[conversions]]*RANDBETWEEN(8,12)/10,0)</f>
        <v>28</v>
      </c>
      <c r="AM78" s="4">
        <f ca="1">ROUND(T_Tiktok_ads[[#This Row],[video_views]]*RANDBETWEEN(8,12)/10,0)</f>
        <v>182345</v>
      </c>
      <c r="AN78" s="4">
        <f ca="1">ROUND(T_Tiktok_ads[[#This Row],[video_watch_25]]*RANDBETWEEN(8,12)/10,0)</f>
        <v>151679</v>
      </c>
      <c r="AO78" s="4">
        <f ca="1">ROUND(T_Tiktok_ads[[#This Row],[video_watch_50]]*RANDBETWEEN(8,12)/10,0)</f>
        <v>87121</v>
      </c>
      <c r="AP78" s="4">
        <f ca="1">ROUND(T_Tiktok_ads[[#This Row],[video_watch_75]]*RANDBETWEEN(8,12)/10,0)</f>
        <v>70567</v>
      </c>
      <c r="AQ78" s="4">
        <f ca="1">ROUND(T_Tiktok_ads[[#This Row],[video_watch_100]]*RANDBETWEEN(8,12)/10,0)</f>
        <v>38510</v>
      </c>
      <c r="AR78" s="4">
        <f ca="1">ROUND(T_Tiktok_ads[[#This Row],[likes]]*RANDBETWEEN(8,12)/10,0)</f>
        <v>6765</v>
      </c>
      <c r="AS78" s="4">
        <f ca="1">ROUND(T_Tiktok_ads[[#This Row],[shares]]*RANDBETWEEN(8,12)/10,0)</f>
        <v>2071</v>
      </c>
      <c r="AT78" s="4">
        <f ca="1">ROUND(T_Tiktok_ads[[#This Row],[comments]]*RANDBETWEEN(8,12)/10,0)</f>
        <v>491</v>
      </c>
      <c r="AV78" s="5">
        <f t="shared" ca="1" si="12"/>
        <v>45244</v>
      </c>
      <c r="AW78">
        <f t="shared" ca="1" si="13"/>
        <v>1</v>
      </c>
      <c r="AX78">
        <f ca="1">ROUND(T_Facebook_Ads1159636771757983879195[[#This Row],[impressions]]*RANDBETWEEN(8,12)/10,0)</f>
        <v>35123</v>
      </c>
      <c r="AY78">
        <f ca="1">ROUND(T_Facebook_Ads1159636771757983879195[[#This Row],[clicks]]*RANDBETWEEN(8,12)/10,0)</f>
        <v>1140</v>
      </c>
      <c r="AZ78">
        <f ca="1">T_Facebook_Ads1159636771757983879195[[#This Row],[spend]]*RANDBETWEEN(8,12)/10</f>
        <v>256.73999999999995</v>
      </c>
      <c r="BA78">
        <f ca="1">ROUND(T_Facebook_Ads1159636771757983879195[[#This Row],[conversions]]*RANDBETWEEN(8,12)/10,0)</f>
        <v>37</v>
      </c>
      <c r="BB78">
        <f ca="1">ROUND(T_Facebook_Ads1159636771757983879195[[#This Row],[video_views]]*RANDBETWEEN(8,12)/10,0)</f>
        <v>4693</v>
      </c>
    </row>
    <row r="79" spans="1:54" ht="15.75" thickBot="1" x14ac:dyDescent="0.3">
      <c r="A79" s="3">
        <f t="shared" ca="1" si="9"/>
        <v>45245</v>
      </c>
      <c r="B79" s="4" t="s">
        <v>64</v>
      </c>
      <c r="C79" s="4" t="s">
        <v>65</v>
      </c>
      <c r="D79" s="4" t="s">
        <v>66</v>
      </c>
      <c r="E79" s="4" t="s">
        <v>67</v>
      </c>
      <c r="F79" s="4">
        <f ca="1">ROUND(T_Facebook_Ads[[#This Row],[impressions]]*RANDBETWEEN(8,12)/10,0)</f>
        <v>53431</v>
      </c>
      <c r="G79" s="4">
        <v>245</v>
      </c>
      <c r="H79" s="4">
        <f ca="1">T_Facebook_Ads[[#This Row],[spend]]*RANDBETWEEN(8,12)/10</f>
        <v>67.760000000000005</v>
      </c>
      <c r="I79" s="4">
        <f ca="1">ROUND(T_Facebook_Ads[[#This Row],[conversions]]*RANDBETWEEN(8,12)/10,0)</f>
        <v>5</v>
      </c>
      <c r="J79" s="4">
        <f ca="1">ROUND(T_Facebook_Ads[[#This Row],[video_views]]*RANDBETWEEN(8,12)/10,0)</f>
        <v>49024</v>
      </c>
      <c r="K79" s="4">
        <f ca="1">T_Facebook_Ads[[#This Row],[engagement_rate]]*RANDBETWEEN(8,12)/10</f>
        <v>3.3300000000000005E-3</v>
      </c>
      <c r="L79" s="4">
        <f ca="1">ROUND(T_Facebook_Ads[[#This Row],[reach]]*RANDBETWEEN(8,12)/10,0)</f>
        <v>43912</v>
      </c>
      <c r="M79" s="4">
        <f ca="1">T_Facebook_Ads[[#This Row],[frequency]]*RANDBETWEEN(8,12)/10</f>
        <v>1.22</v>
      </c>
      <c r="O79" s="3">
        <f t="shared" ca="1" si="10"/>
        <v>45257</v>
      </c>
      <c r="P79" s="4" t="s">
        <v>88</v>
      </c>
      <c r="Q79" s="4" t="s">
        <v>89</v>
      </c>
      <c r="R79" s="4" t="s">
        <v>90</v>
      </c>
      <c r="S79" s="4" t="s">
        <v>59</v>
      </c>
      <c r="T79" s="4">
        <f ca="1">ROUND(_Google_ads[[#This Row],[impressions]]*RANDBETWEEN(8,12)/10,0)</f>
        <v>153468</v>
      </c>
      <c r="U79" s="4">
        <f ca="1">ROUND(_Google_ads[[#This Row],[clicks]]*RANDBETWEEN(8,12)/10,0)</f>
        <v>410</v>
      </c>
      <c r="V79" s="4">
        <f ca="1">_Google_ads[[#This Row],[cost]]*RANDBETWEEN(8,12)/10</f>
        <v>150.71999999999997</v>
      </c>
      <c r="W79" s="4">
        <f ca="1">ROUND(_Google_ads[[#This Row],[conversions]]*RANDBETWEEN(8,12)/10,0)</f>
        <v>12</v>
      </c>
      <c r="X79" s="4">
        <f ca="1">ROUND(_Google_ads[[#This Row],[conversion_value]]*RANDBETWEEN(8,12)/10,0)</f>
        <v>520</v>
      </c>
      <c r="Y79" s="4">
        <f ca="1">_Google_ads[[#This Row],[ctr]]*RANDBETWEEN(8,12)/10</f>
        <v>3.96E-3</v>
      </c>
      <c r="Z79" s="4">
        <f ca="1">_Google_ads[[#This Row],[avg_cpc]]*RANDBETWEEN(8,12)/10</f>
        <v>0.22400000000000003</v>
      </c>
      <c r="AA79" s="4">
        <f ca="1">ROUND(_Google_ads[[#This Row],[quality_score]]*RANDBETWEEN(8,12)/10,0)</f>
        <v>8</v>
      </c>
      <c r="AB79" s="4">
        <f ca="1">_Google_ads[[#This Row],[search_impression_share]]*RANDBETWEEN(8,12)/10</f>
        <v>0.374</v>
      </c>
      <c r="AD79" s="3">
        <f t="shared" ca="1" si="11"/>
        <v>45255</v>
      </c>
      <c r="AE79" s="4" t="s">
        <v>112</v>
      </c>
      <c r="AF79" s="4" t="s">
        <v>113</v>
      </c>
      <c r="AG79" s="4" t="s">
        <v>114</v>
      </c>
      <c r="AH79" s="4" t="s">
        <v>115</v>
      </c>
      <c r="AI79" s="4">
        <f ca="1">ROUND(T_Tiktok_ads[[#This Row],[impressions]]*RANDBETWEEN(8,12)/10,0)</f>
        <v>318854</v>
      </c>
      <c r="AJ79" s="4">
        <f ca="1">ROUND(T_Tiktok_ads[[#This Row],[clicks]]*RANDBETWEEN(8,12)/10,0)</f>
        <v>6534</v>
      </c>
      <c r="AK79" s="4">
        <v>998.7</v>
      </c>
      <c r="AL79" s="4">
        <f ca="1">ROUND(T_Tiktok_ads[[#This Row],[conversions]]*RANDBETWEEN(8,12)/10,0)</f>
        <v>108</v>
      </c>
      <c r="AM79" s="4">
        <f ca="1">ROUND(T_Tiktok_ads[[#This Row],[video_views]]*RANDBETWEEN(8,12)/10,0)</f>
        <v>299111</v>
      </c>
      <c r="AN79" s="4">
        <f ca="1">ROUND(T_Tiktok_ads[[#This Row],[video_watch_25]]*RANDBETWEEN(8,12)/10,0)</f>
        <v>321468</v>
      </c>
      <c r="AO79" s="4">
        <f ca="1">ROUND(T_Tiktok_ads[[#This Row],[video_watch_50]]*RANDBETWEEN(8,12)/10,0)</f>
        <v>257480</v>
      </c>
      <c r="AP79" s="4">
        <f ca="1">ROUND(T_Tiktok_ads[[#This Row],[video_watch_75]]*RANDBETWEEN(8,12)/10,0)</f>
        <v>166357</v>
      </c>
      <c r="AQ79" s="4">
        <f ca="1">ROUND(T_Tiktok_ads[[#This Row],[video_watch_100]]*RANDBETWEEN(8,12)/10,0)</f>
        <v>89610</v>
      </c>
      <c r="AR79" s="4">
        <f ca="1">ROUND(T_Tiktok_ads[[#This Row],[likes]]*RANDBETWEEN(8,12)/10,0)</f>
        <v>19532</v>
      </c>
      <c r="AS79" s="4">
        <f ca="1">ROUND(T_Tiktok_ads[[#This Row],[shares]]*RANDBETWEEN(8,12)/10,0)</f>
        <v>4010</v>
      </c>
      <c r="AT79" s="4">
        <f ca="1">ROUND(T_Tiktok_ads[[#This Row],[comments]]*RANDBETWEEN(8,12)/10,0)</f>
        <v>1250</v>
      </c>
      <c r="AV79" s="5">
        <f t="shared" ca="1" si="12"/>
        <v>45252</v>
      </c>
      <c r="AW79">
        <f t="shared" ca="1" si="13"/>
        <v>2</v>
      </c>
      <c r="AX79">
        <f ca="1">ROUND(T_Facebook_Ads1159636771757983879195[[#This Row],[impressions]]*RANDBETWEEN(8,12)/10,0)</f>
        <v>58774</v>
      </c>
      <c r="AY79">
        <f ca="1">ROUND(T_Facebook_Ads1159636771757983879195[[#This Row],[clicks]]*RANDBETWEEN(8,12)/10,0)</f>
        <v>245</v>
      </c>
      <c r="AZ79">
        <f ca="1">T_Facebook_Ads1159636771757983879195[[#This Row],[spend]]*RANDBETWEEN(8,12)/10</f>
        <v>60.984000000000002</v>
      </c>
      <c r="BA79">
        <f ca="1">ROUND(T_Facebook_Ads1159636771757983879195[[#This Row],[conversions]]*RANDBETWEEN(8,12)/10,0)</f>
        <v>4</v>
      </c>
      <c r="BB79">
        <f ca="1">ROUND(T_Facebook_Ads1159636771757983879195[[#This Row],[video_views]]*RANDBETWEEN(8,12)/10,0)</f>
        <v>39219</v>
      </c>
    </row>
    <row r="80" spans="1:54" ht="15.75" thickBot="1" x14ac:dyDescent="0.3">
      <c r="A80" s="3">
        <f t="shared" ca="1" si="9"/>
        <v>45242</v>
      </c>
      <c r="B80" s="4" t="s">
        <v>52</v>
      </c>
      <c r="C80" s="4" t="s">
        <v>53</v>
      </c>
      <c r="D80" s="4" t="s">
        <v>54</v>
      </c>
      <c r="E80" s="4" t="s">
        <v>55</v>
      </c>
      <c r="F80" s="4">
        <f ca="1">ROUND(T_Facebook_Ads[[#This Row],[impressions]]*RANDBETWEEN(8,12)/10,0)</f>
        <v>58280</v>
      </c>
      <c r="G80" s="4">
        <v>989</v>
      </c>
      <c r="H80" s="4">
        <f ca="1">T_Facebook_Ads[[#This Row],[spend]]*RANDBETWEEN(8,12)/10</f>
        <v>140.30000000000001</v>
      </c>
      <c r="I80" s="4">
        <f ca="1">ROUND(T_Facebook_Ads[[#This Row],[conversions]]*RANDBETWEEN(8,12)/10,0)</f>
        <v>18</v>
      </c>
      <c r="J80" s="4">
        <f ca="1">ROUND(T_Facebook_Ads[[#This Row],[video_views]]*RANDBETWEEN(8,12)/10,0)</f>
        <v>8051</v>
      </c>
      <c r="K80" s="4">
        <f ca="1">T_Facebook_Ads[[#This Row],[engagement_rate]]*RANDBETWEEN(8,12)/10</f>
        <v>1.8360000000000001E-2</v>
      </c>
      <c r="L80" s="4">
        <f ca="1">ROUND(T_Facebook_Ads[[#This Row],[reach]]*RANDBETWEEN(8,12)/10,0)</f>
        <v>48547</v>
      </c>
      <c r="M80" s="4">
        <f ca="1">T_Facebook_Ads[[#This Row],[frequency]]*RANDBETWEEN(8,12)/10</f>
        <v>1.0799999999999998</v>
      </c>
      <c r="O80" s="3">
        <f t="shared" ca="1" si="10"/>
        <v>45239</v>
      </c>
      <c r="P80" s="4" t="s">
        <v>76</v>
      </c>
      <c r="Q80" s="4" t="s">
        <v>77</v>
      </c>
      <c r="R80" s="4" t="s">
        <v>78</v>
      </c>
      <c r="S80" s="4" t="s">
        <v>79</v>
      </c>
      <c r="T80" s="4">
        <f ca="1">ROUND(_Google_ads[[#This Row],[impressions]]*RANDBETWEEN(8,12)/10,0)</f>
        <v>28246</v>
      </c>
      <c r="U80" s="4">
        <f ca="1">ROUND(_Google_ads[[#This Row],[clicks]]*RANDBETWEEN(8,12)/10,0)</f>
        <v>1492</v>
      </c>
      <c r="V80" s="4">
        <f ca="1">_Google_ads[[#This Row],[cost]]*RANDBETWEEN(8,12)/10</f>
        <v>233.45999999999998</v>
      </c>
      <c r="W80" s="4">
        <f ca="1">ROUND(_Google_ads[[#This Row],[conversions]]*RANDBETWEEN(8,12)/10,0)</f>
        <v>41</v>
      </c>
      <c r="X80" s="4">
        <f ca="1">ROUND(_Google_ads[[#This Row],[conversion_value]]*RANDBETWEEN(8,12)/10,0)</f>
        <v>2550</v>
      </c>
      <c r="Y80" s="4">
        <f ca="1">_Google_ads[[#This Row],[ctr]]*RANDBETWEEN(8,12)/10</f>
        <v>4.752E-2</v>
      </c>
      <c r="Z80" s="4">
        <f ca="1">_Google_ads[[#This Row],[avg_cpc]]*RANDBETWEEN(8,12)/10</f>
        <v>0.152</v>
      </c>
      <c r="AA80" s="4">
        <f ca="1">ROUND(_Google_ads[[#This Row],[quality_score]]*RANDBETWEEN(8,12)/10,0)</f>
        <v>9</v>
      </c>
      <c r="AB80" s="4">
        <f ca="1">_Google_ads[[#This Row],[search_impression_share]]*RANDBETWEEN(8,12)/10</f>
        <v>1.1040000000000001</v>
      </c>
      <c r="AD80" s="3">
        <f t="shared" ca="1" si="11"/>
        <v>45234</v>
      </c>
      <c r="AE80" s="4" t="s">
        <v>100</v>
      </c>
      <c r="AF80" s="4" t="s">
        <v>101</v>
      </c>
      <c r="AG80" s="4" t="s">
        <v>102</v>
      </c>
      <c r="AH80" s="4" t="s">
        <v>103</v>
      </c>
      <c r="AI80" s="4">
        <f ca="1">ROUND(T_Tiktok_ads[[#This Row],[impressions]]*RANDBETWEEN(8,12)/10,0)</f>
        <v>317913</v>
      </c>
      <c r="AJ80" s="4">
        <f ca="1">ROUND(T_Tiktok_ads[[#This Row],[clicks]]*RANDBETWEEN(8,12)/10,0)</f>
        <v>4657</v>
      </c>
      <c r="AK80" s="4">
        <v>556.70000000000005</v>
      </c>
      <c r="AL80" s="4">
        <f ca="1">ROUND(T_Tiktok_ads[[#This Row],[conversions]]*RANDBETWEEN(8,12)/10,0)</f>
        <v>39</v>
      </c>
      <c r="AM80" s="4">
        <f ca="1">ROUND(T_Tiktok_ads[[#This Row],[video_views]]*RANDBETWEEN(8,12)/10,0)</f>
        <v>281480</v>
      </c>
      <c r="AN80" s="4">
        <f ca="1">ROUND(T_Tiktok_ads[[#This Row],[video_watch_25]]*RANDBETWEEN(8,12)/10,0)</f>
        <v>164111</v>
      </c>
      <c r="AO80" s="4">
        <f ca="1">ROUND(T_Tiktok_ads[[#This Row],[video_watch_50]]*RANDBETWEEN(8,12)/10,0)</f>
        <v>103110</v>
      </c>
      <c r="AP80" s="4">
        <f ca="1">ROUND(T_Tiktok_ads[[#This Row],[video_watch_75]]*RANDBETWEEN(8,12)/10,0)</f>
        <v>61787</v>
      </c>
      <c r="AQ80" s="4">
        <f ca="1">ROUND(T_Tiktok_ads[[#This Row],[video_watch_100]]*RANDBETWEEN(8,12)/10,0)</f>
        <v>46111</v>
      </c>
      <c r="AR80" s="4">
        <f ca="1">ROUND(T_Tiktok_ads[[#This Row],[likes]]*RANDBETWEEN(8,12)/10,0)</f>
        <v>11380</v>
      </c>
      <c r="AS80" s="4">
        <f ca="1">ROUND(T_Tiktok_ads[[#This Row],[shares]]*RANDBETWEEN(8,12)/10,0)</f>
        <v>3068</v>
      </c>
      <c r="AT80" s="4">
        <f ca="1">ROUND(T_Tiktok_ads[[#This Row],[comments]]*RANDBETWEEN(8,12)/10,0)</f>
        <v>722</v>
      </c>
      <c r="AV80" s="5">
        <f t="shared" ca="1" si="12"/>
        <v>45259</v>
      </c>
      <c r="AW80">
        <f t="shared" ca="1" si="13"/>
        <v>5</v>
      </c>
      <c r="AX80">
        <f ca="1">ROUND(T_Facebook_Ads1159636771757983879195[[#This Row],[impressions]]*RANDBETWEEN(8,12)/10,0)</f>
        <v>69936</v>
      </c>
      <c r="AY80">
        <f ca="1">ROUND(T_Facebook_Ads1159636771757983879195[[#This Row],[clicks]]*RANDBETWEEN(8,12)/10,0)</f>
        <v>1187</v>
      </c>
      <c r="AZ80">
        <f ca="1">T_Facebook_Ads1159636771757983879195[[#This Row],[spend]]*RANDBETWEEN(8,12)/10</f>
        <v>126.27000000000001</v>
      </c>
      <c r="BA80">
        <f ca="1">ROUND(T_Facebook_Ads1159636771757983879195[[#This Row],[conversions]]*RANDBETWEEN(8,12)/10,0)</f>
        <v>20</v>
      </c>
      <c r="BB80">
        <f ca="1">ROUND(T_Facebook_Ads1159636771757983879195[[#This Row],[video_views]]*RANDBETWEEN(8,12)/10,0)</f>
        <v>8856</v>
      </c>
    </row>
    <row r="81" spans="1:54" ht="15.75" thickBot="1" x14ac:dyDescent="0.3">
      <c r="A81" s="3">
        <f t="shared" ca="1" si="9"/>
        <v>45249</v>
      </c>
      <c r="B81" s="4" t="s">
        <v>56</v>
      </c>
      <c r="C81" s="4" t="s">
        <v>57</v>
      </c>
      <c r="D81" s="4" t="s">
        <v>58</v>
      </c>
      <c r="E81" s="4" t="s">
        <v>59</v>
      </c>
      <c r="F81" s="4">
        <f ca="1">ROUND(T_Facebook_Ads[[#This Row],[impressions]]*RANDBETWEEN(8,12)/10,0)</f>
        <v>13789</v>
      </c>
      <c r="G81" s="4">
        <v>623</v>
      </c>
      <c r="H81" s="4">
        <f ca="1">T_Facebook_Ads[[#This Row],[spend]]*RANDBETWEEN(8,12)/10</f>
        <v>229.8</v>
      </c>
      <c r="I81" s="4">
        <f ca="1">ROUND(T_Facebook_Ads[[#This Row],[conversions]]*RANDBETWEEN(8,12)/10,0)</f>
        <v>38</v>
      </c>
      <c r="J81" s="4">
        <f ca="1">ROUND(T_Facebook_Ads[[#This Row],[video_views]]*RANDBETWEEN(8,12)/10,0)</f>
        <v>1489</v>
      </c>
      <c r="K81" s="4">
        <f ca="1">T_Facebook_Ads[[#This Row],[engagement_rate]]*RANDBETWEEN(8,12)/10</f>
        <v>4.5199999999999997E-2</v>
      </c>
      <c r="L81" s="4">
        <f ca="1">ROUND(T_Facebook_Ads[[#This Row],[reach]]*RANDBETWEEN(8,12)/10,0)</f>
        <v>12947</v>
      </c>
      <c r="M81" s="4">
        <f ca="1">T_Facebook_Ads[[#This Row],[frequency]]*RANDBETWEEN(8,12)/10</f>
        <v>1.536</v>
      </c>
      <c r="O81" s="3">
        <f t="shared" ca="1" si="10"/>
        <v>45233</v>
      </c>
      <c r="P81" s="4" t="s">
        <v>80</v>
      </c>
      <c r="Q81" s="4" t="s">
        <v>81</v>
      </c>
      <c r="R81" s="4" t="s">
        <v>82</v>
      </c>
      <c r="S81" s="4" t="s">
        <v>83</v>
      </c>
      <c r="T81" s="4">
        <f ca="1">ROUND(_Google_ads[[#This Row],[impressions]]*RANDBETWEEN(8,12)/10,0)</f>
        <v>45123</v>
      </c>
      <c r="U81" s="4">
        <f ca="1">ROUND(_Google_ads[[#This Row],[clicks]]*RANDBETWEEN(8,12)/10,0)</f>
        <v>1003</v>
      </c>
      <c r="V81" s="4">
        <f ca="1">_Google_ads[[#This Row],[cost]]*RANDBETWEEN(8,12)/10</f>
        <v>520.02</v>
      </c>
      <c r="W81" s="4">
        <f ca="1">ROUND(_Google_ads[[#This Row],[conversions]]*RANDBETWEEN(8,12)/10,0)</f>
        <v>26</v>
      </c>
      <c r="X81" s="4">
        <f ca="1">ROUND(_Google_ads[[#This Row],[conversion_value]]*RANDBETWEEN(8,12)/10,0)</f>
        <v>1320</v>
      </c>
      <c r="Y81" s="4">
        <f ca="1">_Google_ads[[#This Row],[ctr]]*RANDBETWEEN(8,12)/10</f>
        <v>1.8179999999999998E-2</v>
      </c>
      <c r="Z81" s="4">
        <f ca="1">_Google_ads[[#This Row],[avg_cpc]]*RANDBETWEEN(8,12)/10</f>
        <v>0.504</v>
      </c>
      <c r="AA81" s="4">
        <f ca="1">ROUND(_Google_ads[[#This Row],[quality_score]]*RANDBETWEEN(8,12)/10,0)</f>
        <v>7</v>
      </c>
      <c r="AB81" s="4">
        <f ca="1">_Google_ads[[#This Row],[search_impression_share]]*RANDBETWEEN(8,12)/10</f>
        <v>0.40499999999999997</v>
      </c>
      <c r="AD81" s="3">
        <f t="shared" ca="1" si="11"/>
        <v>45247</v>
      </c>
      <c r="AE81" s="4" t="s">
        <v>104</v>
      </c>
      <c r="AF81" s="4" t="s">
        <v>105</v>
      </c>
      <c r="AG81" s="4" t="s">
        <v>106</v>
      </c>
      <c r="AH81" s="4" t="s">
        <v>107</v>
      </c>
      <c r="AI81" s="4">
        <f ca="1">ROUND(T_Tiktok_ads[[#This Row],[impressions]]*RANDBETWEEN(8,12)/10,0)</f>
        <v>156789</v>
      </c>
      <c r="AJ81" s="4">
        <f ca="1">ROUND(T_Tiktok_ads[[#This Row],[clicks]]*RANDBETWEEN(8,12)/10,0)</f>
        <v>3012</v>
      </c>
      <c r="AK81" s="4">
        <v>812.3</v>
      </c>
      <c r="AL81" s="4">
        <f ca="1">ROUND(T_Tiktok_ads[[#This Row],[conversions]]*RANDBETWEEN(8,12)/10,0)</f>
        <v>90</v>
      </c>
      <c r="AM81" s="4">
        <f ca="1">ROUND(T_Tiktok_ads[[#This Row],[video_views]]*RANDBETWEEN(8,12)/10,0)</f>
        <v>120864</v>
      </c>
      <c r="AN81" s="4">
        <f ca="1">ROUND(T_Tiktok_ads[[#This Row],[video_watch_25]]*RANDBETWEEN(8,12)/10,0)</f>
        <v>97481</v>
      </c>
      <c r="AO81" s="4">
        <f ca="1">ROUND(T_Tiktok_ads[[#This Row],[video_watch_50]]*RANDBETWEEN(8,12)/10,0)</f>
        <v>43742</v>
      </c>
      <c r="AP81" s="4">
        <f ca="1">ROUND(T_Tiktok_ads[[#This Row],[video_watch_75]]*RANDBETWEEN(8,12)/10,0)</f>
        <v>32987</v>
      </c>
      <c r="AQ81" s="4">
        <f ca="1">ROUND(T_Tiktok_ads[[#This Row],[video_watch_100]]*RANDBETWEEN(8,12)/10,0)</f>
        <v>33080</v>
      </c>
      <c r="AR81" s="4">
        <f ca="1">ROUND(T_Tiktok_ads[[#This Row],[likes]]*RANDBETWEEN(8,12)/10,0)</f>
        <v>6547</v>
      </c>
      <c r="AS81" s="4">
        <f ca="1">ROUND(T_Tiktok_ads[[#This Row],[shares]]*RANDBETWEEN(8,12)/10,0)</f>
        <v>1724</v>
      </c>
      <c r="AT81" s="4">
        <f ca="1">ROUND(T_Tiktok_ads[[#This Row],[comments]]*RANDBETWEEN(8,12)/10,0)</f>
        <v>260</v>
      </c>
      <c r="AV81" s="5">
        <f t="shared" ca="1" si="12"/>
        <v>45244</v>
      </c>
      <c r="AW81">
        <f t="shared" ca="1" si="13"/>
        <v>6</v>
      </c>
      <c r="AX81">
        <f ca="1">ROUND(T_Facebook_Ads1159636771757983879195[[#This Row],[impressions]]*RANDBETWEEN(8,12)/10,0)</f>
        <v>13789</v>
      </c>
      <c r="AY81">
        <f ca="1">ROUND(T_Facebook_Ads1159636771757983879195[[#This Row],[clicks]]*RANDBETWEEN(8,12)/10,0)</f>
        <v>498</v>
      </c>
      <c r="AZ81">
        <f ca="1">T_Facebook_Ads1159636771757983879195[[#This Row],[spend]]*RANDBETWEEN(8,12)/10</f>
        <v>275.76000000000005</v>
      </c>
      <c r="BA81">
        <f ca="1">ROUND(T_Facebook_Ads1159636771757983879195[[#This Row],[conversions]]*RANDBETWEEN(8,12)/10,0)</f>
        <v>42</v>
      </c>
      <c r="BB81">
        <f ca="1">ROUND(T_Facebook_Ads1159636771757983879195[[#This Row],[video_views]]*RANDBETWEEN(8,12)/10,0)</f>
        <v>1340</v>
      </c>
    </row>
    <row r="82" spans="1:54" ht="15.75" thickBot="1" x14ac:dyDescent="0.3">
      <c r="A82" s="3">
        <f t="shared" ca="1" si="9"/>
        <v>45260</v>
      </c>
      <c r="B82" s="4" t="s">
        <v>60</v>
      </c>
      <c r="C82" s="4" t="s">
        <v>61</v>
      </c>
      <c r="D82" s="4" t="s">
        <v>62</v>
      </c>
      <c r="E82" s="4" t="s">
        <v>63</v>
      </c>
      <c r="F82" s="4">
        <f ca="1">ROUND(T_Facebook_Ads[[#This Row],[impressions]]*RANDBETWEEN(8,12)/10,0)</f>
        <v>44947</v>
      </c>
      <c r="G82" s="4">
        <v>1389</v>
      </c>
      <c r="H82" s="4">
        <f ca="1">T_Facebook_Ads[[#This Row],[spend]]*RANDBETWEEN(8,12)/10</f>
        <v>256.08000000000004</v>
      </c>
      <c r="I82" s="4">
        <f ca="1">ROUND(T_Facebook_Ads[[#This Row],[conversions]]*RANDBETWEEN(8,12)/10,0)</f>
        <v>35</v>
      </c>
      <c r="J82" s="4">
        <f ca="1">ROUND(T_Facebook_Ads[[#This Row],[video_views]]*RANDBETWEEN(8,12)/10,0)</f>
        <v>4401</v>
      </c>
      <c r="K82" s="4">
        <f ca="1">T_Facebook_Ads[[#This Row],[engagement_rate]]*RANDBETWEEN(8,12)/10</f>
        <v>3.7100000000000001E-2</v>
      </c>
      <c r="L82" s="4">
        <f ca="1">ROUND(T_Facebook_Ads[[#This Row],[reach]]*RANDBETWEEN(8,12)/10,0)</f>
        <v>24454</v>
      </c>
      <c r="M82" s="4">
        <f ca="1">T_Facebook_Ads[[#This Row],[frequency]]*RANDBETWEEN(8,12)/10</f>
        <v>1.22</v>
      </c>
      <c r="O82" s="3">
        <f t="shared" ca="1" si="10"/>
        <v>45259</v>
      </c>
      <c r="P82" s="4" t="s">
        <v>84</v>
      </c>
      <c r="Q82" s="4" t="s">
        <v>85</v>
      </c>
      <c r="R82" s="4" t="s">
        <v>86</v>
      </c>
      <c r="S82" s="4" t="s">
        <v>87</v>
      </c>
      <c r="T82" s="4">
        <f ca="1">ROUND(_Google_ads[[#This Row],[impressions]]*RANDBETWEEN(8,12)/10,0)</f>
        <v>70234</v>
      </c>
      <c r="U82" s="4">
        <f ca="1">ROUND(_Google_ads[[#This Row],[clicks]]*RANDBETWEEN(8,12)/10,0)</f>
        <v>2389</v>
      </c>
      <c r="V82" s="4">
        <f ca="1">_Google_ads[[#This Row],[cost]]*RANDBETWEEN(8,12)/10</f>
        <v>346.08000000000004</v>
      </c>
      <c r="W82" s="4">
        <f ca="1">ROUND(_Google_ads[[#This Row],[conversions]]*RANDBETWEEN(8,12)/10,0)</f>
        <v>83</v>
      </c>
      <c r="X82" s="4">
        <f ca="1">ROUND(_Google_ads[[#This Row],[conversion_value]]*RANDBETWEEN(8,12)/10,0)</f>
        <v>3450</v>
      </c>
      <c r="Y82" s="4">
        <f ca="1">_Google_ads[[#This Row],[ctr]]*RANDBETWEEN(8,12)/10</f>
        <v>4.0800000000000003E-2</v>
      </c>
      <c r="Z82" s="4">
        <f ca="1">_Google_ads[[#This Row],[avg_cpc]]*RANDBETWEEN(8,12)/10</f>
        <v>0.18</v>
      </c>
      <c r="AA82" s="4">
        <f ca="1">ROUND(_Google_ads[[#This Row],[quality_score]]*RANDBETWEEN(8,12)/10,0)</f>
        <v>8</v>
      </c>
      <c r="AB82" s="4">
        <f ca="1">_Google_ads[[#This Row],[search_impression_share]]*RANDBETWEEN(8,12)/10</f>
        <v>0.60299999999999998</v>
      </c>
      <c r="AD82" s="3">
        <f t="shared" ca="1" si="11"/>
        <v>45245</v>
      </c>
      <c r="AE82" s="4" t="s">
        <v>108</v>
      </c>
      <c r="AF82" s="4" t="s">
        <v>109</v>
      </c>
      <c r="AG82" s="4" t="s">
        <v>110</v>
      </c>
      <c r="AH82" s="4" t="s">
        <v>111</v>
      </c>
      <c r="AI82" s="4">
        <f ca="1">ROUND(T_Tiktok_ads[[#This Row],[impressions]]*RANDBETWEEN(8,12)/10,0)</f>
        <v>245678</v>
      </c>
      <c r="AJ82" s="4">
        <f ca="1">ROUND(T_Tiktok_ads[[#This Row],[clicks]]*RANDBETWEEN(8,12)/10,0)</f>
        <v>4668</v>
      </c>
      <c r="AK82" s="4">
        <v>467.8</v>
      </c>
      <c r="AL82" s="4">
        <f ca="1">ROUND(T_Tiktok_ads[[#This Row],[conversions]]*RANDBETWEEN(8,12)/10,0)</f>
        <v>31</v>
      </c>
      <c r="AM82" s="4">
        <f ca="1">ROUND(T_Tiktok_ads[[#This Row],[video_views]]*RANDBETWEEN(8,12)/10,0)</f>
        <v>176110</v>
      </c>
      <c r="AN82" s="4">
        <f ca="1">ROUND(T_Tiktok_ads[[#This Row],[video_watch_25]]*RANDBETWEEN(8,12)/10,0)</f>
        <v>133411</v>
      </c>
      <c r="AO82" s="4">
        <f ca="1">ROUND(T_Tiktok_ads[[#This Row],[video_watch_50]]*RANDBETWEEN(8,12)/10,0)</f>
        <v>105511</v>
      </c>
      <c r="AP82" s="4">
        <f ca="1">ROUND(T_Tiktok_ads[[#This Row],[video_watch_75]]*RANDBETWEEN(8,12)/10,0)</f>
        <v>82757</v>
      </c>
      <c r="AQ82" s="4">
        <f ca="1">ROUND(T_Tiktok_ads[[#This Row],[video_watch_100]]*RANDBETWEEN(8,12)/10,0)</f>
        <v>45789</v>
      </c>
      <c r="AR82" s="4">
        <f ca="1">ROUND(T_Tiktok_ads[[#This Row],[likes]]*RANDBETWEEN(8,12)/10,0)</f>
        <v>8567</v>
      </c>
      <c r="AS82" s="4">
        <f ca="1">ROUND(T_Tiktok_ads[[#This Row],[shares]]*RANDBETWEEN(8,12)/10,0)</f>
        <v>2814</v>
      </c>
      <c r="AT82" s="4">
        <f ca="1">ROUND(T_Tiktok_ads[[#This Row],[comments]]*RANDBETWEEN(8,12)/10,0)</f>
        <v>680</v>
      </c>
      <c r="AV82" s="5">
        <f t="shared" ca="1" si="12"/>
        <v>45237</v>
      </c>
      <c r="AW82">
        <f t="shared" ca="1" si="13"/>
        <v>5</v>
      </c>
      <c r="AX82">
        <f ca="1">ROUND(T_Facebook_Ads1159636771757983879195[[#This Row],[impressions]]*RANDBETWEEN(8,12)/10,0)</f>
        <v>44947</v>
      </c>
      <c r="AY82">
        <f ca="1">ROUND(T_Facebook_Ads1159636771757983879195[[#This Row],[clicks]]*RANDBETWEEN(8,12)/10,0)</f>
        <v>1250</v>
      </c>
      <c r="AZ82">
        <f ca="1">T_Facebook_Ads1159636771757983879195[[#This Row],[spend]]*RANDBETWEEN(8,12)/10</f>
        <v>256.08000000000004</v>
      </c>
      <c r="BA82">
        <f ca="1">ROUND(T_Facebook_Ads1159636771757983879195[[#This Row],[conversions]]*RANDBETWEEN(8,12)/10,0)</f>
        <v>42</v>
      </c>
      <c r="BB82">
        <f ca="1">ROUND(T_Facebook_Ads1159636771757983879195[[#This Row],[video_views]]*RANDBETWEEN(8,12)/10,0)</f>
        <v>3521</v>
      </c>
    </row>
    <row r="83" spans="1:54" ht="15.75" thickBot="1" x14ac:dyDescent="0.3">
      <c r="A83" s="3">
        <f t="shared" ca="1" si="9"/>
        <v>45243</v>
      </c>
      <c r="B83" s="4" t="s">
        <v>64</v>
      </c>
      <c r="C83" s="4" t="s">
        <v>65</v>
      </c>
      <c r="D83" s="4" t="s">
        <v>66</v>
      </c>
      <c r="E83" s="4" t="s">
        <v>67</v>
      </c>
      <c r="F83" s="4">
        <f ca="1">ROUND(T_Facebook_Ads[[#This Row],[impressions]]*RANDBETWEEN(8,12)/10,0)</f>
        <v>78357</v>
      </c>
      <c r="G83" s="4">
        <v>256</v>
      </c>
      <c r="H83" s="4">
        <f ca="1">T_Facebook_Ads[[#This Row],[spend]]*RANDBETWEEN(8,12)/10</f>
        <v>99.55</v>
      </c>
      <c r="I83" s="4">
        <f ca="1">ROUND(T_Facebook_Ads[[#This Row],[conversions]]*RANDBETWEEN(8,12)/10,0)</f>
        <v>5</v>
      </c>
      <c r="J83" s="4">
        <f ca="1">ROUND(T_Facebook_Ads[[#This Row],[video_views]]*RANDBETWEEN(8,12)/10,0)</f>
        <v>43311</v>
      </c>
      <c r="K83" s="4">
        <f ca="1">T_Facebook_Ads[[#This Row],[engagement_rate]]*RANDBETWEEN(8,12)/10</f>
        <v>4.3200000000000001E-3</v>
      </c>
      <c r="L83" s="4">
        <f ca="1">ROUND(T_Facebook_Ads[[#This Row],[reach]]*RANDBETWEEN(8,12)/10,0)</f>
        <v>58567</v>
      </c>
      <c r="M83" s="4">
        <f ca="1">T_Facebook_Ads[[#This Row],[frequency]]*RANDBETWEEN(8,12)/10</f>
        <v>1.464</v>
      </c>
      <c r="O83" s="3">
        <f t="shared" ca="1" si="10"/>
        <v>45254</v>
      </c>
      <c r="P83" s="4" t="s">
        <v>88</v>
      </c>
      <c r="Q83" s="4" t="s">
        <v>89</v>
      </c>
      <c r="R83" s="4" t="s">
        <v>90</v>
      </c>
      <c r="S83" s="4" t="s">
        <v>59</v>
      </c>
      <c r="T83" s="4">
        <f ca="1">ROUND(_Google_ads[[#This Row],[impressions]]*RANDBETWEEN(8,12)/10,0)</f>
        <v>160147</v>
      </c>
      <c r="U83" s="4">
        <f ca="1">ROUND(_Google_ads[[#This Row],[clicks]]*RANDBETWEEN(8,12)/10,0)</f>
        <v>538</v>
      </c>
      <c r="V83" s="4">
        <f ca="1">_Google_ads[[#This Row],[cost]]*RANDBETWEEN(8,12)/10</f>
        <v>157.44</v>
      </c>
      <c r="W83" s="4">
        <f ca="1">ROUND(_Google_ads[[#This Row],[conversions]]*RANDBETWEEN(8,12)/10,0)</f>
        <v>11</v>
      </c>
      <c r="X83" s="4">
        <f ca="1">ROUND(_Google_ads[[#This Row],[conversion_value]]*RANDBETWEEN(8,12)/10,0)</f>
        <v>840</v>
      </c>
      <c r="Y83" s="4">
        <f ca="1">_Google_ads[[#This Row],[ctr]]*RANDBETWEEN(8,12)/10</f>
        <v>3.3300000000000005E-3</v>
      </c>
      <c r="Z83" s="4">
        <f ca="1">_Google_ads[[#This Row],[avg_cpc]]*RANDBETWEEN(8,12)/10</f>
        <v>0.29700000000000004</v>
      </c>
      <c r="AA83" s="4">
        <f ca="1">ROUND(_Google_ads[[#This Row],[quality_score]]*RANDBETWEEN(8,12)/10,0)</f>
        <v>6</v>
      </c>
      <c r="AB83" s="4">
        <f ca="1">_Google_ads[[#This Row],[search_impression_share]]*RANDBETWEEN(8,12)/10</f>
        <v>0.35</v>
      </c>
      <c r="AD83" s="3">
        <f t="shared" ca="1" si="11"/>
        <v>45231</v>
      </c>
      <c r="AE83" s="4" t="s">
        <v>112</v>
      </c>
      <c r="AF83" s="4" t="s">
        <v>113</v>
      </c>
      <c r="AG83" s="4" t="s">
        <v>114</v>
      </c>
      <c r="AH83" s="4" t="s">
        <v>115</v>
      </c>
      <c r="AI83" s="4">
        <f ca="1">ROUND(T_Tiktok_ads[[#This Row],[impressions]]*RANDBETWEEN(8,12)/10,0)</f>
        <v>338765</v>
      </c>
      <c r="AJ83" s="4">
        <f ca="1">ROUND(T_Tiktok_ads[[#This Row],[clicks]]*RANDBETWEEN(8,12)/10,0)</f>
        <v>8268</v>
      </c>
      <c r="AK83" s="4">
        <v>1056.8</v>
      </c>
      <c r="AL83" s="4">
        <f ca="1">ROUND(T_Tiktok_ads[[#This Row],[conversions]]*RANDBETWEEN(8,12)/10,0)</f>
        <v>107</v>
      </c>
      <c r="AM83" s="4">
        <f ca="1">ROUND(T_Tiktok_ads[[#This Row],[video_views]]*RANDBETWEEN(8,12)/10,0)</f>
        <v>321110</v>
      </c>
      <c r="AN83" s="4">
        <f ca="1">ROUND(T_Tiktok_ads[[#This Row],[video_watch_25]]*RANDBETWEEN(8,12)/10,0)</f>
        <v>318157</v>
      </c>
      <c r="AO83" s="4">
        <f ca="1">ROUND(T_Tiktok_ads[[#This Row],[video_watch_50]]*RANDBETWEEN(8,12)/10,0)</f>
        <v>254602</v>
      </c>
      <c r="AP83" s="4">
        <f ca="1">ROUND(T_Tiktok_ads[[#This Row],[video_watch_75]]*RANDBETWEEN(8,12)/10,0)</f>
        <v>148110</v>
      </c>
      <c r="AQ83" s="4">
        <f ca="1">ROUND(T_Tiktok_ads[[#This Row],[video_watch_100]]*RANDBETWEEN(8,12)/10,0)</f>
        <v>131081</v>
      </c>
      <c r="AR83" s="4">
        <f ca="1">ROUND(T_Tiktok_ads[[#This Row],[likes]]*RANDBETWEEN(8,12)/10,0)</f>
        <v>15112</v>
      </c>
      <c r="AS83" s="4">
        <f ca="1">ROUND(T_Tiktok_ads[[#This Row],[shares]]*RANDBETWEEN(8,12)/10,0)</f>
        <v>6547</v>
      </c>
      <c r="AT83" s="4">
        <f ca="1">ROUND(T_Tiktok_ads[[#This Row],[comments]]*RANDBETWEEN(8,12)/10,0)</f>
        <v>1787</v>
      </c>
      <c r="AV83" s="5">
        <f t="shared" ca="1" si="12"/>
        <v>45236</v>
      </c>
      <c r="AW83">
        <f t="shared" ca="1" si="13"/>
        <v>2</v>
      </c>
      <c r="AX83">
        <f ca="1">ROUND(T_Facebook_Ads1159636771757983879195[[#This Row],[impressions]]*RANDBETWEEN(8,12)/10,0)</f>
        <v>70521</v>
      </c>
      <c r="AY83">
        <f ca="1">ROUND(T_Facebook_Ads1159636771757983879195[[#This Row],[clicks]]*RANDBETWEEN(8,12)/10,0)</f>
        <v>282</v>
      </c>
      <c r="AZ83">
        <f ca="1">T_Facebook_Ads1159636771757983879195[[#This Row],[spend]]*RANDBETWEEN(8,12)/10</f>
        <v>99.55</v>
      </c>
      <c r="BA83">
        <f ca="1">ROUND(T_Facebook_Ads1159636771757983879195[[#This Row],[conversions]]*RANDBETWEEN(8,12)/10,0)</f>
        <v>6</v>
      </c>
      <c r="BB83">
        <f ca="1">ROUND(T_Facebook_Ads1159636771757983879195[[#This Row],[video_views]]*RANDBETWEEN(8,12)/10,0)</f>
        <v>34649</v>
      </c>
    </row>
    <row r="84" spans="1:54" ht="15.75" thickBot="1" x14ac:dyDescent="0.3">
      <c r="A84" s="3">
        <f t="shared" ca="1" si="9"/>
        <v>45247</v>
      </c>
      <c r="B84" s="4" t="s">
        <v>52</v>
      </c>
      <c r="C84" s="4" t="s">
        <v>53</v>
      </c>
      <c r="D84" s="4" t="s">
        <v>54</v>
      </c>
      <c r="E84" s="4" t="s">
        <v>55</v>
      </c>
      <c r="F84" s="4">
        <f ca="1">ROUND(T_Facebook_Ads[[#This Row],[impressions]]*RANDBETWEEN(8,12)/10,0)</f>
        <v>46111</v>
      </c>
      <c r="G84" s="4">
        <v>1067</v>
      </c>
      <c r="H84" s="4">
        <f ca="1">T_Facebook_Ads[[#This Row],[spend]]*RANDBETWEEN(8,12)/10</f>
        <v>164.67</v>
      </c>
      <c r="I84" s="4">
        <f ca="1">ROUND(T_Facebook_Ads[[#This Row],[conversions]]*RANDBETWEEN(8,12)/10,0)</f>
        <v>14</v>
      </c>
      <c r="J84" s="4">
        <f ca="1">ROUND(T_Facebook_Ads[[#This Row],[video_views]]*RANDBETWEEN(8,12)/10,0)</f>
        <v>11081</v>
      </c>
      <c r="K84" s="4">
        <f ca="1">T_Facebook_Ads[[#This Row],[engagement_rate]]*RANDBETWEEN(8,12)/10</f>
        <v>1.6639999999999999E-2</v>
      </c>
      <c r="L84" s="4">
        <f ca="1">ROUND(T_Facebook_Ads[[#This Row],[reach]]*RANDBETWEEN(8,12)/10,0)</f>
        <v>34054</v>
      </c>
      <c r="M84" s="4">
        <f ca="1">T_Facebook_Ads[[#This Row],[frequency]]*RANDBETWEEN(8,12)/10</f>
        <v>1.3199999999999998</v>
      </c>
      <c r="O84" s="3">
        <f t="shared" ca="1" si="10"/>
        <v>45249</v>
      </c>
      <c r="P84" s="4" t="s">
        <v>76</v>
      </c>
      <c r="Q84" s="4" t="s">
        <v>77</v>
      </c>
      <c r="R84" s="4" t="s">
        <v>78</v>
      </c>
      <c r="S84" s="4" t="s">
        <v>79</v>
      </c>
      <c r="T84" s="4">
        <f ca="1">ROUND(_Google_ads[[#This Row],[impressions]]*RANDBETWEEN(8,12)/10,0)</f>
        <v>29835</v>
      </c>
      <c r="U84" s="4">
        <f ca="1">ROUND(_Google_ads[[#This Row],[clicks]]*RANDBETWEEN(8,12)/10,0)</f>
        <v>1577</v>
      </c>
      <c r="V84" s="4">
        <f ca="1">_Google_ads[[#This Row],[cost]]*RANDBETWEEN(8,12)/10</f>
        <v>246.87000000000003</v>
      </c>
      <c r="W84" s="4">
        <f ca="1">ROUND(_Google_ads[[#This Row],[conversions]]*RANDBETWEEN(8,12)/10,0)</f>
        <v>50</v>
      </c>
      <c r="X84" s="4">
        <f ca="1">ROUND(_Google_ads[[#This Row],[conversion_value]]*RANDBETWEEN(8,12)/10,0)</f>
        <v>3300</v>
      </c>
      <c r="Y84" s="4">
        <f ca="1">_Google_ads[[#This Row],[ctr]]*RANDBETWEEN(8,12)/10</f>
        <v>5.8190000000000006E-2</v>
      </c>
      <c r="Z84" s="4">
        <f ca="1">_Google_ads[[#This Row],[avg_cpc]]*RANDBETWEEN(8,12)/10</f>
        <v>0.19</v>
      </c>
      <c r="AA84" s="4">
        <f ca="1">ROUND(_Google_ads[[#This Row],[quality_score]]*RANDBETWEEN(8,12)/10,0)</f>
        <v>7</v>
      </c>
      <c r="AB84" s="4">
        <f ca="1">_Google_ads[[#This Row],[search_impression_share]]*RANDBETWEEN(8,12)/10</f>
        <v>1.0230000000000001</v>
      </c>
      <c r="AD84" s="3">
        <f t="shared" ca="1" si="11"/>
        <v>45244</v>
      </c>
      <c r="AE84" s="4" t="s">
        <v>100</v>
      </c>
      <c r="AF84" s="4" t="s">
        <v>101</v>
      </c>
      <c r="AG84" s="4" t="s">
        <v>102</v>
      </c>
      <c r="AH84" s="4" t="s">
        <v>103</v>
      </c>
      <c r="AI84" s="4">
        <f ca="1">ROUND(T_Tiktok_ads[[#This Row],[impressions]]*RANDBETWEEN(8,12)/10,0)</f>
        <v>312345</v>
      </c>
      <c r="AJ84" s="4">
        <f ca="1">ROUND(T_Tiktok_ads[[#This Row],[clicks]]*RANDBETWEEN(8,12)/10,0)</f>
        <v>5024</v>
      </c>
      <c r="AK84" s="4">
        <v>623.4</v>
      </c>
      <c r="AL84" s="4">
        <f ca="1">ROUND(T_Tiktok_ads[[#This Row],[conversions]]*RANDBETWEEN(8,12)/10,0)</f>
        <v>38</v>
      </c>
      <c r="AM84" s="4">
        <f ca="1">ROUND(T_Tiktok_ads[[#This Row],[video_views]]*RANDBETWEEN(8,12)/10,0)</f>
        <v>231110</v>
      </c>
      <c r="AN84" s="4">
        <f ca="1">ROUND(T_Tiktok_ads[[#This Row],[video_watch_25]]*RANDBETWEEN(8,12)/10,0)</f>
        <v>240281</v>
      </c>
      <c r="AO84" s="4">
        <f ca="1">ROUND(T_Tiktok_ads[[#This Row],[video_watch_50]]*RANDBETWEEN(8,12)/10,0)</f>
        <v>125678</v>
      </c>
      <c r="AP84" s="4">
        <f ca="1">ROUND(T_Tiktok_ads[[#This Row],[video_watch_75]]*RANDBETWEEN(8,12)/10,0)</f>
        <v>67654</v>
      </c>
      <c r="AQ84" s="4">
        <f ca="1">ROUND(T_Tiktok_ads[[#This Row],[video_watch_100]]*RANDBETWEEN(8,12)/10,0)</f>
        <v>50611</v>
      </c>
      <c r="AR84" s="4">
        <f ca="1">ROUND(T_Tiktok_ads[[#This Row],[likes]]*RANDBETWEEN(8,12)/10,0)</f>
        <v>11234</v>
      </c>
      <c r="AS84" s="4">
        <f ca="1">ROUND(T_Tiktok_ads[[#This Row],[shares]]*RANDBETWEEN(8,12)/10,0)</f>
        <v>3012</v>
      </c>
      <c r="AT84" s="4">
        <f ca="1">ROUND(T_Tiktok_ads[[#This Row],[comments]]*RANDBETWEEN(8,12)/10,0)</f>
        <v>723</v>
      </c>
      <c r="AV84" s="5">
        <f t="shared" ca="1" si="12"/>
        <v>45239</v>
      </c>
      <c r="AW84">
        <f t="shared" ca="1" si="13"/>
        <v>7</v>
      </c>
      <c r="AX84">
        <f ca="1">ROUND(T_Facebook_Ads1159636771757983879195[[#This Row],[impressions]]*RANDBETWEEN(8,12)/10,0)</f>
        <v>36889</v>
      </c>
      <c r="AY84">
        <f ca="1">ROUND(T_Facebook_Ads1159636771757983879195[[#This Row],[clicks]]*RANDBETWEEN(8,12)/10,0)</f>
        <v>1280</v>
      </c>
      <c r="AZ84">
        <f ca="1">T_Facebook_Ads1159636771757983879195[[#This Row],[spend]]*RANDBETWEEN(8,12)/10</f>
        <v>197.60399999999998</v>
      </c>
      <c r="BA84">
        <f ca="1">ROUND(T_Facebook_Ads1159636771757983879195[[#This Row],[conversions]]*RANDBETWEEN(8,12)/10,0)</f>
        <v>13</v>
      </c>
      <c r="BB84">
        <f ca="1">ROUND(T_Facebook_Ads1159636771757983879195[[#This Row],[video_views]]*RANDBETWEEN(8,12)/10,0)</f>
        <v>8865</v>
      </c>
    </row>
    <row r="85" spans="1:54" ht="15.75" thickBot="1" x14ac:dyDescent="0.3">
      <c r="A85" s="3">
        <f t="shared" ca="1" si="9"/>
        <v>45253</v>
      </c>
      <c r="B85" s="4" t="s">
        <v>56</v>
      </c>
      <c r="C85" s="4" t="s">
        <v>57</v>
      </c>
      <c r="D85" s="4" t="s">
        <v>58</v>
      </c>
      <c r="E85" s="4" t="s">
        <v>59</v>
      </c>
      <c r="F85" s="4">
        <f ca="1">ROUND(T_Facebook_Ads[[#This Row],[impressions]]*RANDBETWEEN(8,12)/10,0)</f>
        <v>16379</v>
      </c>
      <c r="G85" s="4">
        <v>712</v>
      </c>
      <c r="H85" s="4">
        <f ca="1">T_Facebook_Ads[[#This Row],[spend]]*RANDBETWEEN(8,12)/10</f>
        <v>301.91999999999996</v>
      </c>
      <c r="I85" s="4">
        <f ca="1">ROUND(T_Facebook_Ads[[#This Row],[conversions]]*RANDBETWEEN(8,12)/10,0)</f>
        <v>39</v>
      </c>
      <c r="J85" s="4">
        <f ca="1">ROUND(T_Facebook_Ads[[#This Row],[video_views]]*RANDBETWEEN(8,12)/10,0)</f>
        <v>1262</v>
      </c>
      <c r="K85" s="4">
        <f ca="1">T_Facebook_Ads[[#This Row],[engagement_rate]]*RANDBETWEEN(8,12)/10</f>
        <v>5.2580000000000002E-2</v>
      </c>
      <c r="L85" s="4">
        <f ca="1">ROUND(T_Facebook_Ads[[#This Row],[reach]]*RANDBETWEEN(8,12)/10,0)</f>
        <v>11790</v>
      </c>
      <c r="M85" s="4">
        <f ca="1">T_Facebook_Ads[[#This Row],[frequency]]*RANDBETWEEN(8,12)/10</f>
        <v>1.008</v>
      </c>
      <c r="O85" s="3">
        <f t="shared" ca="1" si="10"/>
        <v>45239</v>
      </c>
      <c r="P85" s="4" t="s">
        <v>80</v>
      </c>
      <c r="Q85" s="4" t="s">
        <v>81</v>
      </c>
      <c r="R85" s="4" t="s">
        <v>82</v>
      </c>
      <c r="S85" s="4" t="s">
        <v>83</v>
      </c>
      <c r="T85" s="4">
        <f ca="1">ROUND(_Google_ads[[#This Row],[impressions]]*RANDBETWEEN(8,12)/10,0)</f>
        <v>57468</v>
      </c>
      <c r="U85" s="4">
        <f ca="1">ROUND(_Google_ads[[#This Row],[clicks]]*RANDBETWEEN(8,12)/10,0)</f>
        <v>1174</v>
      </c>
      <c r="V85" s="4">
        <f ca="1">_Google_ads[[#This Row],[cost]]*RANDBETWEEN(8,12)/10</f>
        <v>736.2</v>
      </c>
      <c r="W85" s="4">
        <f ca="1">ROUND(_Google_ads[[#This Row],[conversions]]*RANDBETWEEN(8,12)/10,0)</f>
        <v>29</v>
      </c>
      <c r="X85" s="4">
        <f ca="1">ROUND(_Google_ads[[#This Row],[conversion_value]]*RANDBETWEEN(8,12)/10,0)</f>
        <v>1560</v>
      </c>
      <c r="Y85" s="4">
        <f ca="1">_Google_ads[[#This Row],[ctr]]*RANDBETWEEN(8,12)/10</f>
        <v>2.4480000000000002E-2</v>
      </c>
      <c r="Z85" s="4">
        <f ca="1">_Google_ads[[#This Row],[avg_cpc]]*RANDBETWEEN(8,12)/10</f>
        <v>0.69299999999999995</v>
      </c>
      <c r="AA85" s="4">
        <f ca="1">ROUND(_Google_ads[[#This Row],[quality_score]]*RANDBETWEEN(8,12)/10,0)</f>
        <v>8</v>
      </c>
      <c r="AB85" s="4">
        <f ca="1">_Google_ads[[#This Row],[search_impression_share]]*RANDBETWEEN(8,12)/10</f>
        <v>0.41400000000000003</v>
      </c>
      <c r="AD85" s="3">
        <f t="shared" ca="1" si="11"/>
        <v>45246</v>
      </c>
      <c r="AE85" s="4" t="s">
        <v>104</v>
      </c>
      <c r="AF85" s="4" t="s">
        <v>105</v>
      </c>
      <c r="AG85" s="4" t="s">
        <v>106</v>
      </c>
      <c r="AH85" s="4" t="s">
        <v>107</v>
      </c>
      <c r="AI85" s="4">
        <f ca="1">ROUND(T_Tiktok_ads[[#This Row],[impressions]]*RANDBETWEEN(8,12)/10,0)</f>
        <v>137876</v>
      </c>
      <c r="AJ85" s="4">
        <f ca="1">ROUND(T_Tiktok_ads[[#This Row],[clicks]]*RANDBETWEEN(8,12)/10,0)</f>
        <v>3011</v>
      </c>
      <c r="AK85" s="4">
        <v>867.9</v>
      </c>
      <c r="AL85" s="4">
        <f ca="1">ROUND(T_Tiktok_ads[[#This Row],[conversions]]*RANDBETWEEN(8,12)/10,0)</f>
        <v>96</v>
      </c>
      <c r="AM85" s="4">
        <f ca="1">ROUND(T_Tiktok_ads[[#This Row],[video_views]]*RANDBETWEEN(8,12)/10,0)</f>
        <v>148147</v>
      </c>
      <c r="AN85" s="4">
        <f ca="1">ROUND(T_Tiktok_ads[[#This Row],[video_watch_25]]*RANDBETWEEN(8,12)/10,0)</f>
        <v>109481</v>
      </c>
      <c r="AO85" s="4">
        <f ca="1">ROUND(T_Tiktok_ads[[#This Row],[video_watch_50]]*RANDBETWEEN(8,12)/10,0)</f>
        <v>49254</v>
      </c>
      <c r="AP85" s="4">
        <f ca="1">ROUND(T_Tiktok_ads[[#This Row],[video_watch_75]]*RANDBETWEEN(8,12)/10,0)</f>
        <v>41611</v>
      </c>
      <c r="AQ85" s="4">
        <f ca="1">ROUND(T_Tiktok_ads[[#This Row],[video_watch_100]]*RANDBETWEEN(8,12)/10,0)</f>
        <v>33868</v>
      </c>
      <c r="AR85" s="4">
        <f ca="1">ROUND(T_Tiktok_ads[[#This Row],[likes]]*RANDBETWEEN(8,12)/10,0)</f>
        <v>6479</v>
      </c>
      <c r="AS85" s="4">
        <f ca="1">ROUND(T_Tiktok_ads[[#This Row],[shares]]*RANDBETWEEN(8,12)/10,0)</f>
        <v>2014</v>
      </c>
      <c r="AT85" s="4">
        <f ca="1">ROUND(T_Tiktok_ads[[#This Row],[comments]]*RANDBETWEEN(8,12)/10,0)</f>
        <v>401</v>
      </c>
      <c r="AV85" s="5">
        <f t="shared" ca="1" si="12"/>
        <v>45244</v>
      </c>
      <c r="AW85">
        <f t="shared" ca="1" si="13"/>
        <v>5</v>
      </c>
      <c r="AX85">
        <f ca="1">ROUND(T_Facebook_Ads1159636771757983879195[[#This Row],[impressions]]*RANDBETWEEN(8,12)/10,0)</f>
        <v>16379</v>
      </c>
      <c r="AY85">
        <f ca="1">ROUND(T_Facebook_Ads1159636771757983879195[[#This Row],[clicks]]*RANDBETWEEN(8,12)/10,0)</f>
        <v>641</v>
      </c>
      <c r="AZ85">
        <f ca="1">T_Facebook_Ads1159636771757983879195[[#This Row],[spend]]*RANDBETWEEN(8,12)/10</f>
        <v>332.11199999999997</v>
      </c>
      <c r="BA85">
        <f ca="1">ROUND(T_Facebook_Ads1159636771757983879195[[#This Row],[conversions]]*RANDBETWEEN(8,12)/10,0)</f>
        <v>31</v>
      </c>
      <c r="BB85">
        <f ca="1">ROUND(T_Facebook_Ads1159636771757983879195[[#This Row],[video_views]]*RANDBETWEEN(8,12)/10,0)</f>
        <v>1514</v>
      </c>
    </row>
    <row r="86" spans="1:54" ht="15.75" thickBot="1" x14ac:dyDescent="0.3">
      <c r="A86" s="3">
        <f t="shared" ca="1" si="9"/>
        <v>45239</v>
      </c>
      <c r="B86" s="4" t="s">
        <v>60</v>
      </c>
      <c r="C86" s="4" t="s">
        <v>61</v>
      </c>
      <c r="D86" s="4" t="s">
        <v>62</v>
      </c>
      <c r="E86" s="4" t="s">
        <v>63</v>
      </c>
      <c r="F86" s="4">
        <f ca="1">ROUND(T_Facebook_Ads[[#This Row],[impressions]]*RANDBETWEEN(8,12)/10,0)</f>
        <v>39234</v>
      </c>
      <c r="G86" s="4">
        <v>1489</v>
      </c>
      <c r="H86" s="4">
        <f ca="1">T_Facebook_Ads[[#This Row],[spend]]*RANDBETWEEN(8,12)/10</f>
        <v>182.32</v>
      </c>
      <c r="I86" s="4">
        <f ca="1">ROUND(T_Facebook_Ads[[#This Row],[conversions]]*RANDBETWEEN(8,12)/10,0)</f>
        <v>29</v>
      </c>
      <c r="J86" s="4">
        <f ca="1">ROUND(T_Facebook_Ads[[#This Row],[video_views]]*RANDBETWEEN(8,12)/10,0)</f>
        <v>6281</v>
      </c>
      <c r="K86" s="4">
        <f ca="1">T_Facebook_Ads[[#This Row],[engagement_rate]]*RANDBETWEEN(8,12)/10</f>
        <v>4.1690000000000005E-2</v>
      </c>
      <c r="L86" s="4">
        <f ca="1">ROUND(T_Facebook_Ads[[#This Row],[reach]]*RANDBETWEEN(8,12)/10,0)</f>
        <v>28911</v>
      </c>
      <c r="M86" s="4">
        <f ca="1">T_Facebook_Ads[[#This Row],[frequency]]*RANDBETWEEN(8,12)/10</f>
        <v>1.464</v>
      </c>
      <c r="O86" s="3">
        <f t="shared" ca="1" si="10"/>
        <v>45240</v>
      </c>
      <c r="P86" s="4" t="s">
        <v>84</v>
      </c>
      <c r="Q86" s="4" t="s">
        <v>85</v>
      </c>
      <c r="R86" s="4" t="s">
        <v>86</v>
      </c>
      <c r="S86" s="4" t="s">
        <v>87</v>
      </c>
      <c r="T86" s="4">
        <f ca="1">ROUND(_Google_ads[[#This Row],[impressions]]*RANDBETWEEN(8,12)/10,0)</f>
        <v>80802</v>
      </c>
      <c r="U86" s="4">
        <f ca="1">ROUND(_Google_ads[[#This Row],[clicks]]*RANDBETWEEN(8,12)/10,0)</f>
        <v>2501</v>
      </c>
      <c r="V86" s="4">
        <f ca="1">_Google_ads[[#This Row],[cost]]*RANDBETWEEN(8,12)/10</f>
        <v>502.37</v>
      </c>
      <c r="W86" s="4">
        <f ca="1">ROUND(_Google_ads[[#This Row],[conversions]]*RANDBETWEEN(8,12)/10,0)</f>
        <v>66</v>
      </c>
      <c r="X86" s="4">
        <f ca="1">ROUND(_Google_ads[[#This Row],[conversion_value]]*RANDBETWEEN(8,12)/10,0)</f>
        <v>4015</v>
      </c>
      <c r="Y86" s="4">
        <f ca="1">_Google_ads[[#This Row],[ctr]]*RANDBETWEEN(8,12)/10</f>
        <v>2.7200000000000002E-2</v>
      </c>
      <c r="Z86" s="4">
        <f ca="1">_Google_ads[[#This Row],[avg_cpc]]*RANDBETWEEN(8,12)/10</f>
        <v>0.16199999999999998</v>
      </c>
      <c r="AA86" s="4">
        <f ca="1">ROUND(_Google_ads[[#This Row],[quality_score]]*RANDBETWEEN(8,12)/10,0)</f>
        <v>7</v>
      </c>
      <c r="AB86" s="4">
        <f ca="1">_Google_ads[[#This Row],[search_impression_share]]*RANDBETWEEN(8,12)/10</f>
        <v>0.62099999999999989</v>
      </c>
      <c r="AD86" s="3">
        <f t="shared" ca="1" si="11"/>
        <v>45248</v>
      </c>
      <c r="AE86" s="4" t="s">
        <v>108</v>
      </c>
      <c r="AF86" s="4" t="s">
        <v>109</v>
      </c>
      <c r="AG86" s="4" t="s">
        <v>110</v>
      </c>
      <c r="AH86" s="4" t="s">
        <v>111</v>
      </c>
      <c r="AI86" s="4">
        <f ca="1">ROUND(T_Tiktok_ads[[#This Row],[impressions]]*RANDBETWEEN(8,12)/10,0)</f>
        <v>214312</v>
      </c>
      <c r="AJ86" s="4">
        <f ca="1">ROUND(T_Tiktok_ads[[#This Row],[clicks]]*RANDBETWEEN(8,12)/10,0)</f>
        <v>3298</v>
      </c>
      <c r="AK86" s="4">
        <v>512.6</v>
      </c>
      <c r="AL86" s="4">
        <f ca="1">ROUND(T_Tiktok_ads[[#This Row],[conversions]]*RANDBETWEEN(8,12)/10,0)</f>
        <v>33</v>
      </c>
      <c r="AM86" s="4">
        <f ca="1">ROUND(T_Tiktok_ads[[#This Row],[video_views]]*RANDBETWEEN(8,12)/10,0)</f>
        <v>233580</v>
      </c>
      <c r="AN86" s="4">
        <f ca="1">ROUND(T_Tiktok_ads[[#This Row],[video_watch_25]]*RANDBETWEEN(8,12)/10,0)</f>
        <v>128187</v>
      </c>
      <c r="AO86" s="4">
        <f ca="1">ROUND(T_Tiktok_ads[[#This Row],[video_watch_50]]*RANDBETWEEN(8,12)/10,0)</f>
        <v>101431</v>
      </c>
      <c r="AP86" s="4">
        <f ca="1">ROUND(T_Tiktok_ads[[#This Row],[video_watch_75]]*RANDBETWEEN(8,12)/10,0)</f>
        <v>89357</v>
      </c>
      <c r="AQ86" s="4">
        <f ca="1">ROUND(T_Tiktok_ads[[#This Row],[video_watch_100]]*RANDBETWEEN(8,12)/10,0)</f>
        <v>54157</v>
      </c>
      <c r="AR86" s="4">
        <f ca="1">ROUND(T_Tiktok_ads[[#This Row],[likes]]*RANDBETWEEN(8,12)/10,0)</f>
        <v>10948</v>
      </c>
      <c r="AS86" s="4">
        <f ca="1">ROUND(T_Tiktok_ads[[#This Row],[shares]]*RANDBETWEEN(8,12)/10,0)</f>
        <v>2824</v>
      </c>
      <c r="AT86" s="4">
        <f ca="1">ROUND(T_Tiktok_ads[[#This Row],[comments]]*RANDBETWEEN(8,12)/10,0)</f>
        <v>734</v>
      </c>
      <c r="AV86" s="5">
        <f t="shared" ca="1" si="12"/>
        <v>45239</v>
      </c>
      <c r="AW86">
        <f t="shared" ca="1" si="13"/>
        <v>6</v>
      </c>
      <c r="AX86">
        <f ca="1">ROUND(T_Facebook_Ads1159636771757983879195[[#This Row],[impressions]]*RANDBETWEEN(8,12)/10,0)</f>
        <v>47081</v>
      </c>
      <c r="AY86">
        <f ca="1">ROUND(T_Facebook_Ads1159636771757983879195[[#This Row],[clicks]]*RANDBETWEEN(8,12)/10,0)</f>
        <v>1340</v>
      </c>
      <c r="AZ86">
        <f ca="1">T_Facebook_Ads1159636771757983879195[[#This Row],[spend]]*RANDBETWEEN(8,12)/10</f>
        <v>145.85599999999999</v>
      </c>
      <c r="BA86">
        <f ca="1">ROUND(T_Facebook_Ads1159636771757983879195[[#This Row],[conversions]]*RANDBETWEEN(8,12)/10,0)</f>
        <v>35</v>
      </c>
      <c r="BB86">
        <f ca="1">ROUND(T_Facebook_Ads1159636771757983879195[[#This Row],[video_views]]*RANDBETWEEN(8,12)/10,0)</f>
        <v>6281</v>
      </c>
    </row>
    <row r="87" spans="1:54" ht="15.75" thickBot="1" x14ac:dyDescent="0.3">
      <c r="A87" s="3">
        <f t="shared" ca="1" si="9"/>
        <v>45231</v>
      </c>
      <c r="B87" s="4" t="s">
        <v>64</v>
      </c>
      <c r="C87" s="4" t="s">
        <v>65</v>
      </c>
      <c r="D87" s="4" t="s">
        <v>66</v>
      </c>
      <c r="E87" s="4" t="s">
        <v>67</v>
      </c>
      <c r="F87" s="4">
        <f ca="1">ROUND(T_Facebook_Ads[[#This Row],[impressions]]*RANDBETWEEN(8,12)/10,0)</f>
        <v>59654</v>
      </c>
      <c r="G87" s="4">
        <v>267</v>
      </c>
      <c r="H87" s="4">
        <f ca="1">T_Facebook_Ads[[#This Row],[spend]]*RANDBETWEEN(8,12)/10</f>
        <v>86.22</v>
      </c>
      <c r="I87" s="4">
        <f ca="1">ROUND(T_Facebook_Ads[[#This Row],[conversions]]*RANDBETWEEN(8,12)/10,0)</f>
        <v>6</v>
      </c>
      <c r="J87" s="4">
        <f ca="1">ROUND(T_Facebook_Ads[[#This Row],[video_views]]*RANDBETWEEN(8,12)/10,0)</f>
        <v>60281</v>
      </c>
      <c r="K87" s="4">
        <f ca="1">T_Facebook_Ads[[#This Row],[engagement_rate]]*RANDBETWEEN(8,12)/10</f>
        <v>2.8799999999999997E-3</v>
      </c>
      <c r="L87" s="4">
        <f ca="1">ROUND(T_Facebook_Ads[[#This Row],[reach]]*RANDBETWEEN(8,12)/10,0)</f>
        <v>66868</v>
      </c>
      <c r="M87" s="4">
        <f ca="1">T_Facebook_Ads[[#This Row],[frequency]]*RANDBETWEEN(8,12)/10</f>
        <v>1.353</v>
      </c>
      <c r="O87" s="3">
        <f t="shared" ca="1" si="10"/>
        <v>45244</v>
      </c>
      <c r="P87" s="4" t="s">
        <v>88</v>
      </c>
      <c r="Q87" s="4" t="s">
        <v>89</v>
      </c>
      <c r="R87" s="4" t="s">
        <v>90</v>
      </c>
      <c r="S87" s="4" t="s">
        <v>59</v>
      </c>
      <c r="T87" s="4">
        <f ca="1">ROUND(_Google_ads[[#This Row],[impressions]]*RANDBETWEEN(8,12)/10,0)</f>
        <v>153157</v>
      </c>
      <c r="U87" s="4">
        <f ca="1">ROUND(_Google_ads[[#This Row],[clicks]]*RANDBETWEEN(8,12)/10,0)</f>
        <v>523</v>
      </c>
      <c r="V87" s="4">
        <f ca="1">_Google_ads[[#This Row],[cost]]*RANDBETWEEN(8,12)/10</f>
        <v>164.16000000000003</v>
      </c>
      <c r="W87" s="4">
        <f ca="1">ROUND(_Google_ads[[#This Row],[conversions]]*RANDBETWEEN(8,12)/10,0)</f>
        <v>17</v>
      </c>
      <c r="X87" s="4">
        <f ca="1">ROUND(_Google_ads[[#This Row],[conversion_value]]*RANDBETWEEN(8,12)/10,0)</f>
        <v>900</v>
      </c>
      <c r="Y87" s="4">
        <f ca="1">_Google_ads[[#This Row],[ctr]]*RANDBETWEEN(8,12)/10</f>
        <v>3.4200000000000003E-3</v>
      </c>
      <c r="Z87" s="4">
        <f ca="1">_Google_ads[[#This Row],[avg_cpc]]*RANDBETWEEN(8,12)/10</f>
        <v>0.20800000000000002</v>
      </c>
      <c r="AA87" s="4">
        <f ca="1">ROUND(_Google_ads[[#This Row],[quality_score]]*RANDBETWEEN(8,12)/10,0)</f>
        <v>6</v>
      </c>
      <c r="AB87" s="4">
        <f ca="1">_Google_ads[[#This Row],[search_impression_share]]*RANDBETWEEN(8,12)/10</f>
        <v>0.32399999999999995</v>
      </c>
      <c r="AD87" s="3">
        <f t="shared" ca="1" si="11"/>
        <v>45232</v>
      </c>
      <c r="AE87" s="4" t="s">
        <v>112</v>
      </c>
      <c r="AF87" s="4" t="s">
        <v>113</v>
      </c>
      <c r="AG87" s="4" t="s">
        <v>114</v>
      </c>
      <c r="AH87" s="4" t="s">
        <v>115</v>
      </c>
      <c r="AI87" s="4">
        <f ca="1">ROUND(T_Tiktok_ads[[#This Row],[impressions]]*RANDBETWEEN(8,12)/10,0)</f>
        <v>548147</v>
      </c>
      <c r="AJ87" s="4">
        <f ca="1">ROUND(T_Tiktok_ads[[#This Row],[clicks]]*RANDBETWEEN(8,12)/10,0)</f>
        <v>8202</v>
      </c>
      <c r="AK87" s="4">
        <v>1167.8</v>
      </c>
      <c r="AL87" s="4">
        <f ca="1">ROUND(T_Tiktok_ads[[#This Row],[conversions]]*RANDBETWEEN(8,12)/10,0)</f>
        <v>130</v>
      </c>
      <c r="AM87" s="4">
        <f ca="1">ROUND(T_Tiktok_ads[[#This Row],[video_views]]*RANDBETWEEN(8,12)/10,0)</f>
        <v>389012</v>
      </c>
      <c r="AN87" s="4">
        <f ca="1">ROUND(T_Tiktok_ads[[#This Row],[video_watch_25]]*RANDBETWEEN(8,12)/10,0)</f>
        <v>249876</v>
      </c>
      <c r="AO87" s="4">
        <f ca="1">ROUND(T_Tiktok_ads[[#This Row],[video_watch_50]]*RANDBETWEEN(8,12)/10,0)</f>
        <v>199387</v>
      </c>
      <c r="AP87" s="4">
        <f ca="1">ROUND(T_Tiktok_ads[[#This Row],[video_watch_75]]*RANDBETWEEN(8,12)/10,0)</f>
        <v>142312</v>
      </c>
      <c r="AQ87" s="4">
        <f ca="1">ROUND(T_Tiktok_ads[[#This Row],[video_watch_100]]*RANDBETWEEN(8,12)/10,0)</f>
        <v>130057</v>
      </c>
      <c r="AR87" s="4">
        <f ca="1">ROUND(T_Tiktok_ads[[#This Row],[likes]]*RANDBETWEEN(8,12)/10,0)</f>
        <v>16187</v>
      </c>
      <c r="AS87" s="4">
        <f ca="1">ROUND(T_Tiktok_ads[[#This Row],[shares]]*RANDBETWEEN(8,12)/10,0)</f>
        <v>6503</v>
      </c>
      <c r="AT87" s="4">
        <f ca="1">ROUND(T_Tiktok_ads[[#This Row],[comments]]*RANDBETWEEN(8,12)/10,0)</f>
        <v>1623</v>
      </c>
      <c r="AV87" s="5">
        <f t="shared" ca="1" si="12"/>
        <v>45247</v>
      </c>
      <c r="AW87">
        <f t="shared" ca="1" si="13"/>
        <v>1</v>
      </c>
      <c r="AX87">
        <f ca="1">ROUND(T_Facebook_Ads1159636771757983879195[[#This Row],[impressions]]*RANDBETWEEN(8,12)/10,0)</f>
        <v>59654</v>
      </c>
      <c r="AY87">
        <f ca="1">ROUND(T_Facebook_Ads1159636771757983879195[[#This Row],[clicks]]*RANDBETWEEN(8,12)/10,0)</f>
        <v>320</v>
      </c>
      <c r="AZ87">
        <f ca="1">T_Facebook_Ads1159636771757983879195[[#This Row],[spend]]*RANDBETWEEN(8,12)/10</f>
        <v>68.975999999999999</v>
      </c>
      <c r="BA87">
        <f ca="1">ROUND(T_Facebook_Ads1159636771757983879195[[#This Row],[conversions]]*RANDBETWEEN(8,12)/10,0)</f>
        <v>5</v>
      </c>
      <c r="BB87">
        <f ca="1">ROUND(T_Facebook_Ads1159636771757983879195[[#This Row],[video_views]]*RANDBETWEEN(8,12)/10,0)</f>
        <v>48225</v>
      </c>
    </row>
    <row r="88" spans="1:54" ht="15.75" thickBot="1" x14ac:dyDescent="0.3">
      <c r="A88" s="3">
        <f t="shared" ca="1" si="9"/>
        <v>45234</v>
      </c>
      <c r="B88" s="4" t="s">
        <v>52</v>
      </c>
      <c r="C88" s="4" t="s">
        <v>53</v>
      </c>
      <c r="D88" s="4" t="s">
        <v>54</v>
      </c>
      <c r="E88" s="4" t="s">
        <v>55</v>
      </c>
      <c r="F88" s="4">
        <f ca="1">ROUND(T_Facebook_Ads[[#This Row],[impressions]]*RANDBETWEEN(8,12)/10,0)</f>
        <v>58068</v>
      </c>
      <c r="G88" s="4">
        <v>1123</v>
      </c>
      <c r="H88" s="4">
        <f ca="1">T_Facebook_Ads[[#This Row],[spend]]*RANDBETWEEN(8,12)/10</f>
        <v>156.4</v>
      </c>
      <c r="I88" s="4">
        <f ca="1">ROUND(T_Facebook_Ads[[#This Row],[conversions]]*RANDBETWEEN(8,12)/10,0)</f>
        <v>14</v>
      </c>
      <c r="J88" s="4">
        <f ca="1">ROUND(T_Facebook_Ads[[#This Row],[video_views]]*RANDBETWEEN(8,12)/10,0)</f>
        <v>7654</v>
      </c>
      <c r="K88" s="4">
        <f ca="1">T_Facebook_Ads[[#This Row],[engagement_rate]]*RANDBETWEEN(8,12)/10</f>
        <v>2.3429999999999999E-2</v>
      </c>
      <c r="L88" s="4">
        <f ca="1">ROUND(T_Facebook_Ads[[#This Row],[reach]]*RANDBETWEEN(8,12)/10,0)</f>
        <v>39501</v>
      </c>
      <c r="M88" s="4">
        <f ca="1">T_Facebook_Ads[[#This Row],[frequency]]*RANDBETWEEN(8,12)/10</f>
        <v>1.0799999999999998</v>
      </c>
      <c r="O88" s="3">
        <f t="shared" ca="1" si="10"/>
        <v>45260</v>
      </c>
      <c r="P88" s="4" t="s">
        <v>76</v>
      </c>
      <c r="Q88" s="4" t="s">
        <v>77</v>
      </c>
      <c r="R88" s="4" t="s">
        <v>78</v>
      </c>
      <c r="S88" s="4" t="s">
        <v>79</v>
      </c>
      <c r="T88" s="4">
        <f ca="1">ROUND(_Google_ads[[#This Row],[impressions]]*RANDBETWEEN(8,12)/10,0)</f>
        <v>25411</v>
      </c>
      <c r="U88" s="4">
        <f ca="1">ROUND(_Google_ads[[#This Row],[clicks]]*RANDBETWEEN(8,12)/10,0)</f>
        <v>1361</v>
      </c>
      <c r="V88" s="4">
        <f ca="1">_Google_ads[[#This Row],[cost]]*RANDBETWEEN(8,12)/10</f>
        <v>230.08</v>
      </c>
      <c r="W88" s="4">
        <f ca="1">ROUND(_Google_ads[[#This Row],[conversions]]*RANDBETWEEN(8,12)/10,0)</f>
        <v>46</v>
      </c>
      <c r="X88" s="4">
        <f ca="1">ROUND(_Google_ads[[#This Row],[conversion_value]]*RANDBETWEEN(8,12)/10,0)</f>
        <v>2900</v>
      </c>
      <c r="Y88" s="4">
        <f ca="1">_Google_ads[[#This Row],[ctr]]*RANDBETWEEN(8,12)/10</f>
        <v>5.885E-2</v>
      </c>
      <c r="Z88" s="4">
        <f ca="1">_Google_ads[[#This Row],[avg_cpc]]*RANDBETWEEN(8,12)/10</f>
        <v>0.17099999999999999</v>
      </c>
      <c r="AA88" s="4">
        <f ca="1">ROUND(_Google_ads[[#This Row],[quality_score]]*RANDBETWEEN(8,12)/10,0)</f>
        <v>11</v>
      </c>
      <c r="AB88" s="4">
        <f ca="1">_Google_ads[[#This Row],[search_impression_share]]*RANDBETWEEN(8,12)/10</f>
        <v>1.034</v>
      </c>
      <c r="AD88" s="3">
        <f t="shared" ca="1" si="11"/>
        <v>45258</v>
      </c>
      <c r="AE88" s="4" t="s">
        <v>100</v>
      </c>
      <c r="AF88" s="4" t="s">
        <v>101</v>
      </c>
      <c r="AG88" s="4" t="s">
        <v>102</v>
      </c>
      <c r="AH88" s="4" t="s">
        <v>103</v>
      </c>
      <c r="AI88" s="4">
        <f ca="1">ROUND(T_Tiktok_ads[[#This Row],[impressions]]*RANDBETWEEN(8,12)/10,0)</f>
        <v>355802</v>
      </c>
      <c r="AJ88" s="4">
        <f ca="1">ROUND(T_Tiktok_ads[[#This Row],[clicks]]*RANDBETWEEN(8,12)/10,0)</f>
        <v>5747</v>
      </c>
      <c r="AK88" s="4">
        <v>645.70000000000005</v>
      </c>
      <c r="AL88" s="4">
        <f ca="1">ROUND(T_Tiktok_ads[[#This Row],[conversions]]*RANDBETWEEN(8,12)/10,0)</f>
        <v>45</v>
      </c>
      <c r="AM88" s="4">
        <f ca="1">ROUND(T_Tiktok_ads[[#This Row],[video_views]]*RANDBETWEEN(8,12)/10,0)</f>
        <v>241101</v>
      </c>
      <c r="AN88" s="4">
        <f ca="1">ROUND(T_Tiktok_ads[[#This Row],[video_watch_25]]*RANDBETWEEN(8,12)/10,0)</f>
        <v>188011</v>
      </c>
      <c r="AO88" s="4">
        <f ca="1">ROUND(T_Tiktok_ads[[#This Row],[video_watch_50]]*RANDBETWEEN(8,12)/10,0)</f>
        <v>104987</v>
      </c>
      <c r="AP88" s="4">
        <f ca="1">ROUND(T_Tiktok_ads[[#This Row],[video_watch_75]]*RANDBETWEEN(8,12)/10,0)</f>
        <v>79411</v>
      </c>
      <c r="AQ88" s="4">
        <f ca="1">ROUND(T_Tiktok_ads[[#This Row],[video_watch_100]]*RANDBETWEEN(8,12)/10,0)</f>
        <v>58901</v>
      </c>
      <c r="AR88" s="4">
        <f ca="1">ROUND(T_Tiktok_ads[[#This Row],[likes]]*RANDBETWEEN(8,12)/10,0)</f>
        <v>12724</v>
      </c>
      <c r="AS88" s="4">
        <f ca="1">ROUND(T_Tiktok_ads[[#This Row],[shares]]*RANDBETWEEN(8,12)/10,0)</f>
        <v>3134</v>
      </c>
      <c r="AT88" s="4">
        <f ca="1">ROUND(T_Tiktok_ads[[#This Row],[comments]]*RANDBETWEEN(8,12)/10,0)</f>
        <v>881</v>
      </c>
      <c r="AV88" s="5">
        <f t="shared" ca="1" si="12"/>
        <v>45242</v>
      </c>
      <c r="AW88">
        <f t="shared" ca="1" si="13"/>
        <v>3</v>
      </c>
      <c r="AX88">
        <f ca="1">ROUND(T_Facebook_Ads1159636771757983879195[[#This Row],[impressions]]*RANDBETWEEN(8,12)/10,0)</f>
        <v>52261</v>
      </c>
      <c r="AY88">
        <f ca="1">ROUND(T_Facebook_Ads1159636771757983879195[[#This Row],[clicks]]*RANDBETWEEN(8,12)/10,0)</f>
        <v>1348</v>
      </c>
      <c r="AZ88">
        <f ca="1">T_Facebook_Ads1159636771757983879195[[#This Row],[spend]]*RANDBETWEEN(8,12)/10</f>
        <v>140.76000000000002</v>
      </c>
      <c r="BA88">
        <f ca="1">ROUND(T_Facebook_Ads1159636771757983879195[[#This Row],[conversions]]*RANDBETWEEN(8,12)/10,0)</f>
        <v>11</v>
      </c>
      <c r="BB88">
        <f ca="1">ROUND(T_Facebook_Ads1159636771757983879195[[#This Row],[video_views]]*RANDBETWEEN(8,12)/10,0)</f>
        <v>6889</v>
      </c>
    </row>
    <row r="89" spans="1:54" ht="15.75" thickBot="1" x14ac:dyDescent="0.3">
      <c r="A89" s="3">
        <f t="shared" ca="1" si="9"/>
        <v>45246</v>
      </c>
      <c r="B89" s="4" t="s">
        <v>56</v>
      </c>
      <c r="C89" s="4" t="s">
        <v>57</v>
      </c>
      <c r="D89" s="4" t="s">
        <v>58</v>
      </c>
      <c r="E89" s="4" t="s">
        <v>59</v>
      </c>
      <c r="F89" s="4">
        <f ca="1">ROUND(T_Facebook_Ads[[#This Row],[impressions]]*RANDBETWEEN(8,12)/10,0)</f>
        <v>18814</v>
      </c>
      <c r="G89" s="4">
        <v>756</v>
      </c>
      <c r="H89" s="4">
        <f ca="1">T_Facebook_Ads[[#This Row],[spend]]*RANDBETWEEN(8,12)/10</f>
        <v>242.01</v>
      </c>
      <c r="I89" s="4">
        <f ca="1">ROUND(T_Facebook_Ads[[#This Row],[conversions]]*RANDBETWEEN(8,12)/10,0)</f>
        <v>56</v>
      </c>
      <c r="J89" s="4">
        <f ca="1">ROUND(T_Facebook_Ads[[#This Row],[video_views]]*RANDBETWEEN(8,12)/10,0)</f>
        <v>2014</v>
      </c>
      <c r="K89" s="4">
        <f ca="1">T_Facebook_Ads[[#This Row],[engagement_rate]]*RANDBETWEEN(8,12)/10</f>
        <v>4.82E-2</v>
      </c>
      <c r="L89" s="4">
        <f ca="1">ROUND(T_Facebook_Ads[[#This Row],[reach]]*RANDBETWEEN(8,12)/10,0)</f>
        <v>14814</v>
      </c>
      <c r="M89" s="4">
        <f ca="1">T_Facebook_Ads[[#This Row],[frequency]]*RANDBETWEEN(8,12)/10</f>
        <v>1.143</v>
      </c>
      <c r="O89" s="3">
        <f t="shared" ca="1" si="10"/>
        <v>45251</v>
      </c>
      <c r="P89" s="4" t="s">
        <v>80</v>
      </c>
      <c r="Q89" s="4" t="s">
        <v>81</v>
      </c>
      <c r="R89" s="4" t="s">
        <v>82</v>
      </c>
      <c r="S89" s="4" t="s">
        <v>83</v>
      </c>
      <c r="T89" s="4">
        <f ca="1">ROUND(_Google_ads[[#This Row],[impressions]]*RANDBETWEEN(8,12)/10,0)</f>
        <v>49567</v>
      </c>
      <c r="U89" s="4">
        <f ca="1">ROUND(_Google_ads[[#This Row],[clicks]]*RANDBETWEEN(8,12)/10,0)</f>
        <v>810</v>
      </c>
      <c r="V89" s="4">
        <f ca="1">_Google_ads[[#This Row],[cost]]*RANDBETWEEN(8,12)/10</f>
        <v>697.62000000000012</v>
      </c>
      <c r="W89" s="4">
        <f ca="1">ROUND(_Google_ads[[#This Row],[conversions]]*RANDBETWEEN(8,12)/10,0)</f>
        <v>30</v>
      </c>
      <c r="X89" s="4">
        <f ca="1">ROUND(_Google_ads[[#This Row],[conversion_value]]*RANDBETWEEN(8,12)/10,0)</f>
        <v>1080</v>
      </c>
      <c r="Y89" s="4">
        <f ca="1">_Google_ads[[#This Row],[ctr]]*RANDBETWEEN(8,12)/10</f>
        <v>2.4480000000000002E-2</v>
      </c>
      <c r="Z89" s="4">
        <f ca="1">_Google_ads[[#This Row],[avg_cpc]]*RANDBETWEEN(8,12)/10</f>
        <v>0.63</v>
      </c>
      <c r="AA89" s="4">
        <f ca="1">ROUND(_Google_ads[[#This Row],[quality_score]]*RANDBETWEEN(8,12)/10,0)</f>
        <v>6</v>
      </c>
      <c r="AB89" s="4">
        <f ca="1">_Google_ads[[#This Row],[search_impression_share]]*RANDBETWEEN(8,12)/10</f>
        <v>0.51700000000000002</v>
      </c>
      <c r="AD89" s="3">
        <f t="shared" ca="1" si="11"/>
        <v>45241</v>
      </c>
      <c r="AE89" s="4" t="s">
        <v>104</v>
      </c>
      <c r="AF89" s="4" t="s">
        <v>105</v>
      </c>
      <c r="AG89" s="4" t="s">
        <v>106</v>
      </c>
      <c r="AH89" s="4" t="s">
        <v>107</v>
      </c>
      <c r="AI89" s="4">
        <f ca="1">ROUND(T_Tiktok_ads[[#This Row],[impressions]]*RANDBETWEEN(8,12)/10,0)</f>
        <v>161011</v>
      </c>
      <c r="AJ89" s="4">
        <f ca="1">ROUND(T_Tiktok_ads[[#This Row],[clicks]]*RANDBETWEEN(8,12)/10,0)</f>
        <v>3110</v>
      </c>
      <c r="AK89" s="4">
        <v>889.5</v>
      </c>
      <c r="AL89" s="4">
        <f ca="1">ROUND(T_Tiktok_ads[[#This Row],[conversions]]*RANDBETWEEN(8,12)/10,0)</f>
        <v>89</v>
      </c>
      <c r="AM89" s="4">
        <f ca="1">ROUND(T_Tiktok_ads[[#This Row],[video_views]]*RANDBETWEEN(8,12)/10,0)</f>
        <v>116011</v>
      </c>
      <c r="AN89" s="4">
        <f ca="1">ROUND(T_Tiktok_ads[[#This Row],[video_watch_25]]*RANDBETWEEN(8,12)/10,0)</f>
        <v>76542</v>
      </c>
      <c r="AO89" s="4">
        <f ca="1">ROUND(T_Tiktok_ads[[#This Row],[video_watch_50]]*RANDBETWEEN(8,12)/10,0)</f>
        <v>71024</v>
      </c>
      <c r="AP89" s="4">
        <f ca="1">ROUND(T_Tiktok_ads[[#This Row],[video_watch_75]]*RANDBETWEEN(8,12)/10,0)</f>
        <v>48567</v>
      </c>
      <c r="AQ89" s="4">
        <f ca="1">ROUND(T_Tiktok_ads[[#This Row],[video_watch_100]]*RANDBETWEEN(8,12)/10,0)</f>
        <v>25876</v>
      </c>
      <c r="AR89" s="4">
        <f ca="1">ROUND(T_Tiktok_ads[[#This Row],[likes]]*RANDBETWEEN(8,12)/10,0)</f>
        <v>5511</v>
      </c>
      <c r="AS89" s="4">
        <f ca="1">ROUND(T_Tiktok_ads[[#This Row],[shares]]*RANDBETWEEN(8,12)/10,0)</f>
        <v>1561</v>
      </c>
      <c r="AT89" s="4">
        <f ca="1">ROUND(T_Tiktok_ads[[#This Row],[comments]]*RANDBETWEEN(8,12)/10,0)</f>
        <v>414</v>
      </c>
      <c r="AV89" s="5">
        <f t="shared" ca="1" si="12"/>
        <v>45242</v>
      </c>
      <c r="AW89">
        <f t="shared" ca="1" si="13"/>
        <v>1</v>
      </c>
      <c r="AX89">
        <f ca="1">ROUND(T_Facebook_Ads1159636771757983879195[[#This Row],[impressions]]*RANDBETWEEN(8,12)/10,0)</f>
        <v>16933</v>
      </c>
      <c r="AY89">
        <f ca="1">ROUND(T_Facebook_Ads1159636771757983879195[[#This Row],[clicks]]*RANDBETWEEN(8,12)/10,0)</f>
        <v>756</v>
      </c>
      <c r="AZ89">
        <f ca="1">T_Facebook_Ads1159636771757983879195[[#This Row],[spend]]*RANDBETWEEN(8,12)/10</f>
        <v>290.41199999999998</v>
      </c>
      <c r="BA89">
        <f ca="1">ROUND(T_Facebook_Ads1159636771757983879195[[#This Row],[conversions]]*RANDBETWEEN(8,12)/10,0)</f>
        <v>45</v>
      </c>
      <c r="BB89">
        <f ca="1">ROUND(T_Facebook_Ads1159636771757983879195[[#This Row],[video_views]]*RANDBETWEEN(8,12)/10,0)</f>
        <v>2215</v>
      </c>
    </row>
    <row r="90" spans="1:54" ht="15.75" thickBot="1" x14ac:dyDescent="0.3">
      <c r="A90" s="3">
        <f t="shared" ca="1" si="9"/>
        <v>45232</v>
      </c>
      <c r="B90" s="4" t="s">
        <v>60</v>
      </c>
      <c r="C90" s="4" t="s">
        <v>61</v>
      </c>
      <c r="D90" s="4" t="s">
        <v>62</v>
      </c>
      <c r="E90" s="4" t="s">
        <v>63</v>
      </c>
      <c r="F90" s="4">
        <f ca="1">ROUND(T_Facebook_Ads[[#This Row],[impressions]]*RANDBETWEEN(8,12)/10,0)</f>
        <v>32454</v>
      </c>
      <c r="G90" s="4">
        <v>1567</v>
      </c>
      <c r="H90" s="4">
        <f ca="1">T_Facebook_Ads[[#This Row],[spend]]*RANDBETWEEN(8,12)/10</f>
        <v>190.88</v>
      </c>
      <c r="I90" s="4">
        <f ca="1">ROUND(T_Facebook_Ads[[#This Row],[conversions]]*RANDBETWEEN(8,12)/10,0)</f>
        <v>41</v>
      </c>
      <c r="J90" s="4">
        <f ca="1">ROUND(T_Facebook_Ads[[#This Row],[video_views]]*RANDBETWEEN(8,12)/10,0)</f>
        <v>6547</v>
      </c>
      <c r="K90" s="4">
        <f ca="1">T_Facebook_Ads[[#This Row],[engagement_rate]]*RANDBETWEEN(8,12)/10</f>
        <v>4.6320000000000007E-2</v>
      </c>
      <c r="L90" s="4">
        <f ca="1">ROUND(T_Facebook_Ads[[#This Row],[reach]]*RANDBETWEEN(8,12)/10,0)</f>
        <v>33234</v>
      </c>
      <c r="M90" s="4">
        <f ca="1">T_Facebook_Ads[[#This Row],[frequency]]*RANDBETWEEN(8,12)/10</f>
        <v>1.3420000000000001</v>
      </c>
      <c r="O90" s="3">
        <f t="shared" ca="1" si="10"/>
        <v>45231</v>
      </c>
      <c r="P90" s="4" t="s">
        <v>84</v>
      </c>
      <c r="Q90" s="4" t="s">
        <v>85</v>
      </c>
      <c r="R90" s="4" t="s">
        <v>86</v>
      </c>
      <c r="S90" s="4" t="s">
        <v>87</v>
      </c>
      <c r="T90" s="4">
        <f ca="1">ROUND(_Google_ads[[#This Row],[impressions]]*RANDBETWEEN(8,12)/10,0)</f>
        <v>82757</v>
      </c>
      <c r="U90" s="4">
        <f ca="1">ROUND(_Google_ads[[#This Row],[clicks]]*RANDBETWEEN(8,12)/10,0)</f>
        <v>3080</v>
      </c>
      <c r="V90" s="4">
        <f ca="1">_Google_ads[[#This Row],[cost]]*RANDBETWEEN(8,12)/10</f>
        <v>561.36</v>
      </c>
      <c r="W90" s="4">
        <f ca="1">ROUND(_Google_ads[[#This Row],[conversions]]*RANDBETWEEN(8,12)/10,0)</f>
        <v>60</v>
      </c>
      <c r="X90" s="4">
        <f ca="1">ROUND(_Google_ads[[#This Row],[conversion_value]]*RANDBETWEEN(8,12)/10,0)</f>
        <v>3375</v>
      </c>
      <c r="Y90" s="4">
        <f ca="1">_Google_ads[[#This Row],[ctr]]*RANDBETWEEN(8,12)/10</f>
        <v>3.7510000000000002E-2</v>
      </c>
      <c r="Z90" s="4">
        <f ca="1">_Google_ads[[#This Row],[avg_cpc]]*RANDBETWEEN(8,12)/10</f>
        <v>0.18</v>
      </c>
      <c r="AA90" s="4">
        <f ca="1">ROUND(_Google_ads[[#This Row],[quality_score]]*RANDBETWEEN(8,12)/10,0)</f>
        <v>6</v>
      </c>
      <c r="AB90" s="4">
        <f ca="1">_Google_ads[[#This Row],[search_impression_share]]*RANDBETWEEN(8,12)/10</f>
        <v>0.55999999999999994</v>
      </c>
      <c r="AD90" s="3">
        <f t="shared" ca="1" si="11"/>
        <v>45242</v>
      </c>
      <c r="AE90" s="4" t="s">
        <v>108</v>
      </c>
      <c r="AF90" s="4" t="s">
        <v>109</v>
      </c>
      <c r="AG90" s="4" t="s">
        <v>110</v>
      </c>
      <c r="AH90" s="4" t="s">
        <v>111</v>
      </c>
      <c r="AI90" s="4">
        <f ca="1">ROUND(T_Tiktok_ads[[#This Row],[impressions]]*RANDBETWEEN(8,12)/10,0)</f>
        <v>223121</v>
      </c>
      <c r="AJ90" s="4">
        <f ca="1">ROUND(T_Tiktok_ads[[#This Row],[clicks]]*RANDBETWEEN(8,12)/10,0)</f>
        <v>3387</v>
      </c>
      <c r="AK90" s="4">
        <v>534.20000000000005</v>
      </c>
      <c r="AL90" s="4">
        <f ca="1">ROUND(T_Tiktok_ads[[#This Row],[conversions]]*RANDBETWEEN(8,12)/10,0)</f>
        <v>43</v>
      </c>
      <c r="AM90" s="4">
        <f ca="1">ROUND(T_Tiktok_ads[[#This Row],[video_views]]*RANDBETWEEN(8,12)/10,0)</f>
        <v>223456</v>
      </c>
      <c r="AN90" s="4">
        <f ca="1">ROUND(T_Tiktok_ads[[#This Row],[video_watch_25]]*RANDBETWEEN(8,12)/10,0)</f>
        <v>168901</v>
      </c>
      <c r="AO90" s="4">
        <f ca="1">ROUND(T_Tiktok_ads[[#This Row],[video_watch_50]]*RANDBETWEEN(8,12)/10,0)</f>
        <v>120110</v>
      </c>
      <c r="AP90" s="4">
        <f ca="1">ROUND(T_Tiktok_ads[[#This Row],[video_watch_75]]*RANDBETWEEN(8,12)/10,0)</f>
        <v>77110</v>
      </c>
      <c r="AQ90" s="4">
        <f ca="1">ROUND(T_Tiktok_ads[[#This Row],[video_watch_100]]*RANDBETWEEN(8,12)/10,0)</f>
        <v>41431</v>
      </c>
      <c r="AR90" s="4">
        <f ca="1">ROUND(T_Tiktok_ads[[#This Row],[likes]]*RANDBETWEEN(8,12)/10,0)</f>
        <v>7565</v>
      </c>
      <c r="AS90" s="4">
        <f ca="1">ROUND(T_Tiktok_ads[[#This Row],[shares]]*RANDBETWEEN(8,12)/10,0)</f>
        <v>2897</v>
      </c>
      <c r="AT90" s="4">
        <f ca="1">ROUND(T_Tiktok_ads[[#This Row],[comments]]*RANDBETWEEN(8,12)/10,0)</f>
        <v>623</v>
      </c>
      <c r="AV90" s="5">
        <f t="shared" ca="1" si="12"/>
        <v>45236</v>
      </c>
      <c r="AW90">
        <f t="shared" ca="1" si="13"/>
        <v>1</v>
      </c>
      <c r="AX90">
        <f ca="1">ROUND(T_Facebook_Ads1159636771757983879195[[#This Row],[impressions]]*RANDBETWEEN(8,12)/10,0)</f>
        <v>29209</v>
      </c>
      <c r="AY90">
        <f ca="1">ROUND(T_Facebook_Ads1159636771757983879195[[#This Row],[clicks]]*RANDBETWEEN(8,12)/10,0)</f>
        <v>1880</v>
      </c>
      <c r="AZ90">
        <f ca="1">T_Facebook_Ads1159636771757983879195[[#This Row],[spend]]*RANDBETWEEN(8,12)/10</f>
        <v>171.792</v>
      </c>
      <c r="BA90">
        <f ca="1">ROUND(T_Facebook_Ads1159636771757983879195[[#This Row],[conversions]]*RANDBETWEEN(8,12)/10,0)</f>
        <v>49</v>
      </c>
      <c r="BB90">
        <f ca="1">ROUND(T_Facebook_Ads1159636771757983879195[[#This Row],[video_views]]*RANDBETWEEN(8,12)/10,0)</f>
        <v>7856</v>
      </c>
    </row>
    <row r="91" spans="1:54" ht="15.75" thickBot="1" x14ac:dyDescent="0.3">
      <c r="A91" s="3">
        <f t="shared" ca="1" si="9"/>
        <v>45253</v>
      </c>
      <c r="B91" s="4" t="s">
        <v>64</v>
      </c>
      <c r="C91" s="4" t="s">
        <v>65</v>
      </c>
      <c r="D91" s="4" t="s">
        <v>66</v>
      </c>
      <c r="E91" s="4" t="s">
        <v>67</v>
      </c>
      <c r="F91" s="4">
        <f ca="1">ROUND(T_Facebook_Ads[[#This Row],[impressions]]*RANDBETWEEN(8,12)/10,0)</f>
        <v>84579</v>
      </c>
      <c r="G91" s="4">
        <v>278</v>
      </c>
      <c r="H91" s="4">
        <f ca="1">T_Facebook_Ads[[#This Row],[spend]]*RANDBETWEEN(8,12)/10</f>
        <v>99.2</v>
      </c>
      <c r="I91" s="4">
        <f ca="1">ROUND(T_Facebook_Ads[[#This Row],[conversions]]*RANDBETWEEN(8,12)/10,0)</f>
        <v>7</v>
      </c>
      <c r="J91" s="4">
        <f ca="1">ROUND(T_Facebook_Ads[[#This Row],[video_views]]*RANDBETWEEN(8,12)/10,0)</f>
        <v>41254</v>
      </c>
      <c r="K91" s="4">
        <f ca="1">T_Facebook_Ads[[#This Row],[engagement_rate]]*RANDBETWEEN(8,12)/10</f>
        <v>3.5999999999999999E-3</v>
      </c>
      <c r="L91" s="4">
        <f ca="1">ROUND(T_Facebook_Ads[[#This Row],[reach]]*RANDBETWEEN(8,12)/10,0)</f>
        <v>56601</v>
      </c>
      <c r="M91" s="4">
        <f ca="1">T_Facebook_Ads[[#This Row],[frequency]]*RANDBETWEEN(8,12)/10</f>
        <v>1.476</v>
      </c>
      <c r="O91" s="3">
        <f t="shared" ca="1" si="10"/>
        <v>45242</v>
      </c>
      <c r="P91" s="4" t="s">
        <v>88</v>
      </c>
      <c r="Q91" s="4" t="s">
        <v>89</v>
      </c>
      <c r="R91" s="4" t="s">
        <v>90</v>
      </c>
      <c r="S91" s="4" t="s">
        <v>59</v>
      </c>
      <c r="T91" s="4">
        <f ca="1">ROUND(_Google_ads[[#This Row],[impressions]]*RANDBETWEEN(8,12)/10,0)</f>
        <v>128111</v>
      </c>
      <c r="U91" s="4">
        <f ca="1">ROUND(_Google_ads[[#This Row],[clicks]]*RANDBETWEEN(8,12)/10,0)</f>
        <v>600</v>
      </c>
      <c r="V91" s="4">
        <f ca="1">_Google_ads[[#This Row],[cost]]*RANDBETWEEN(8,12)/10</f>
        <v>125.91000000000001</v>
      </c>
      <c r="W91" s="4">
        <f ca="1">ROUND(_Google_ads[[#This Row],[conversions]]*RANDBETWEEN(8,12)/10,0)</f>
        <v>16</v>
      </c>
      <c r="X91" s="4">
        <f ca="1">ROUND(_Google_ads[[#This Row],[conversion_value]]*RANDBETWEEN(8,12)/10,0)</f>
        <v>880</v>
      </c>
      <c r="Y91" s="4">
        <f ca="1">_Google_ads[[#This Row],[ctr]]*RANDBETWEEN(8,12)/10</f>
        <v>3.0400000000000002E-3</v>
      </c>
      <c r="Z91" s="4">
        <f ca="1">_Google_ads[[#This Row],[avg_cpc]]*RANDBETWEEN(8,12)/10</f>
        <v>0.20800000000000002</v>
      </c>
      <c r="AA91" s="4">
        <f ca="1">ROUND(_Google_ads[[#This Row],[quality_score]]*RANDBETWEEN(8,12)/10,0)</f>
        <v>8</v>
      </c>
      <c r="AB91" s="4">
        <f ca="1">_Google_ads[[#This Row],[search_impression_share]]*RANDBETWEEN(8,12)/10</f>
        <v>0.29599999999999999</v>
      </c>
      <c r="AD91" s="3">
        <f t="shared" ca="1" si="11"/>
        <v>45241</v>
      </c>
      <c r="AE91" s="4" t="s">
        <v>112</v>
      </c>
      <c r="AF91" s="4" t="s">
        <v>113</v>
      </c>
      <c r="AG91" s="4" t="s">
        <v>114</v>
      </c>
      <c r="AH91" s="4" t="s">
        <v>115</v>
      </c>
      <c r="AI91" s="4">
        <f ca="1">ROUND(T_Tiktok_ads[[#This Row],[impressions]]*RANDBETWEEN(8,12)/10,0)</f>
        <v>514679</v>
      </c>
      <c r="AJ91" s="4">
        <f ca="1">ROUND(T_Tiktok_ads[[#This Row],[clicks]]*RANDBETWEEN(8,12)/10,0)</f>
        <v>6861</v>
      </c>
      <c r="AK91" s="4">
        <v>1189.4000000000001</v>
      </c>
      <c r="AL91" s="4">
        <f ca="1">ROUND(T_Tiktok_ads[[#This Row],[conversions]]*RANDBETWEEN(8,12)/10,0)</f>
        <v>120</v>
      </c>
      <c r="AM91" s="4">
        <f ca="1">ROUND(T_Tiktok_ads[[#This Row],[video_views]]*RANDBETWEEN(8,12)/10,0)</f>
        <v>441357</v>
      </c>
      <c r="AN91" s="4">
        <f ca="1">ROUND(T_Tiktok_ads[[#This Row],[video_watch_25]]*RANDBETWEEN(8,12)/10,0)</f>
        <v>323456</v>
      </c>
      <c r="AO91" s="4">
        <f ca="1">ROUND(T_Tiktok_ads[[#This Row],[video_watch_50]]*RANDBETWEEN(8,12)/10,0)</f>
        <v>284791</v>
      </c>
      <c r="AP91" s="4">
        <f ca="1">ROUND(T_Tiktok_ads[[#This Row],[video_watch_75]]*RANDBETWEEN(8,12)/10,0)</f>
        <v>147654</v>
      </c>
      <c r="AQ91" s="4">
        <f ca="1">ROUND(T_Tiktok_ads[[#This Row],[video_watch_100]]*RANDBETWEEN(8,12)/10,0)</f>
        <v>110111</v>
      </c>
      <c r="AR91" s="4">
        <f ca="1">ROUND(T_Tiktok_ads[[#This Row],[likes]]*RANDBETWEEN(8,12)/10,0)</f>
        <v>24947</v>
      </c>
      <c r="AS91" s="4">
        <f ca="1">ROUND(T_Tiktok_ads[[#This Row],[shares]]*RANDBETWEEN(8,12)/10,0)</f>
        <v>7241</v>
      </c>
      <c r="AT91" s="4">
        <f ca="1">ROUND(T_Tiktok_ads[[#This Row],[comments]]*RANDBETWEEN(8,12)/10,0)</f>
        <v>1846</v>
      </c>
      <c r="AV91" s="5">
        <f t="shared" ca="1" si="12"/>
        <v>45259</v>
      </c>
      <c r="AW91">
        <f t="shared" ca="1" si="13"/>
        <v>5</v>
      </c>
      <c r="AX91">
        <f ca="1">ROUND(T_Facebook_Ads1159636771757983879195[[#This Row],[impressions]]*RANDBETWEEN(8,12)/10,0)</f>
        <v>101495</v>
      </c>
      <c r="AY91">
        <f ca="1">ROUND(T_Facebook_Ads1159636771757983879195[[#This Row],[clicks]]*RANDBETWEEN(8,12)/10,0)</f>
        <v>250</v>
      </c>
      <c r="AZ91">
        <f ca="1">T_Facebook_Ads1159636771757983879195[[#This Row],[spend]]*RANDBETWEEN(8,12)/10</f>
        <v>109.12</v>
      </c>
      <c r="BA91">
        <f ca="1">ROUND(T_Facebook_Ads1159636771757983879195[[#This Row],[conversions]]*RANDBETWEEN(8,12)/10,0)</f>
        <v>8</v>
      </c>
      <c r="BB91">
        <f ca="1">ROUND(T_Facebook_Ads1159636771757983879195[[#This Row],[video_views]]*RANDBETWEEN(8,12)/10,0)</f>
        <v>33003</v>
      </c>
    </row>
    <row r="92" spans="1:54" ht="15.75" thickBot="1" x14ac:dyDescent="0.3">
      <c r="A92" s="3">
        <f t="shared" ca="1" si="9"/>
        <v>45248</v>
      </c>
      <c r="B92" s="4" t="s">
        <v>52</v>
      </c>
      <c r="C92" s="4" t="s">
        <v>53</v>
      </c>
      <c r="D92" s="4" t="s">
        <v>54</v>
      </c>
      <c r="E92" s="4" t="s">
        <v>55</v>
      </c>
      <c r="F92" s="4">
        <f ca="1">ROUND(T_Facebook_Ads[[#This Row],[impressions]]*RANDBETWEEN(8,12)/10,0)</f>
        <v>50123</v>
      </c>
      <c r="G92" s="4">
        <v>1034</v>
      </c>
      <c r="H92" s="4">
        <f ca="1">T_Facebook_Ads[[#This Row],[spend]]*RANDBETWEEN(8,12)/10</f>
        <v>162.25</v>
      </c>
      <c r="I92" s="4">
        <f ca="1">ROUND(T_Facebook_Ads[[#This Row],[conversions]]*RANDBETWEEN(8,12)/10,0)</f>
        <v>20</v>
      </c>
      <c r="J92" s="4">
        <f ca="1">ROUND(T_Facebook_Ads[[#This Row],[video_views]]*RANDBETWEEN(8,12)/10,0)</f>
        <v>10035</v>
      </c>
      <c r="K92" s="4">
        <f ca="1">T_Facebook_Ads[[#This Row],[engagement_rate]]*RANDBETWEEN(8,12)/10</f>
        <v>2.06E-2</v>
      </c>
      <c r="L92" s="4">
        <f ca="1">ROUND(T_Facebook_Ads[[#This Row],[reach]]*RANDBETWEEN(8,12)/10,0)</f>
        <v>50268</v>
      </c>
      <c r="M92" s="4">
        <f ca="1">T_Facebook_Ads[[#This Row],[frequency]]*RANDBETWEEN(8,12)/10</f>
        <v>1.0799999999999998</v>
      </c>
      <c r="O92" s="3">
        <f t="shared" ca="1" si="10"/>
        <v>45237</v>
      </c>
      <c r="P92" s="4" t="s">
        <v>76</v>
      </c>
      <c r="Q92" s="4" t="s">
        <v>77</v>
      </c>
      <c r="R92" s="4" t="s">
        <v>78</v>
      </c>
      <c r="S92" s="4" t="s">
        <v>79</v>
      </c>
      <c r="T92" s="4">
        <f ca="1">ROUND(_Google_ads[[#This Row],[impressions]]*RANDBETWEEN(8,12)/10,0)</f>
        <v>29468</v>
      </c>
      <c r="U92" s="4">
        <f ca="1">ROUND(_Google_ads[[#This Row],[clicks]]*RANDBETWEEN(8,12)/10,0)</f>
        <v>1378</v>
      </c>
      <c r="V92" s="4">
        <f ca="1">_Google_ads[[#This Row],[cost]]*RANDBETWEEN(8,12)/10</f>
        <v>289.73999999999995</v>
      </c>
      <c r="W92" s="4">
        <f ca="1">ROUND(_Google_ads[[#This Row],[conversions]]*RANDBETWEEN(8,12)/10,0)</f>
        <v>64</v>
      </c>
      <c r="X92" s="4">
        <f ca="1">ROUND(_Google_ads[[#This Row],[conversion_value]]*RANDBETWEEN(8,12)/10,0)</f>
        <v>2120</v>
      </c>
      <c r="Y92" s="4">
        <f ca="1">_Google_ads[[#This Row],[ctr]]*RANDBETWEEN(8,12)/10</f>
        <v>5.1500000000000004E-2</v>
      </c>
      <c r="Z92" s="4">
        <f ca="1">_Google_ads[[#This Row],[avg_cpc]]*RANDBETWEEN(8,12)/10</f>
        <v>0.22800000000000004</v>
      </c>
      <c r="AA92" s="4">
        <f ca="1">ROUND(_Google_ads[[#This Row],[quality_score]]*RANDBETWEEN(8,12)/10,0)</f>
        <v>9</v>
      </c>
      <c r="AB92" s="4">
        <f ca="1">_Google_ads[[#This Row],[search_impression_share]]*RANDBETWEEN(8,12)/10</f>
        <v>0.73599999999999999</v>
      </c>
      <c r="AD92" s="3">
        <f t="shared" ca="1" si="11"/>
        <v>45253</v>
      </c>
      <c r="AE92" s="4" t="s">
        <v>100</v>
      </c>
      <c r="AF92" s="4" t="s">
        <v>101</v>
      </c>
      <c r="AG92" s="4" t="s">
        <v>102</v>
      </c>
      <c r="AH92" s="4" t="s">
        <v>103</v>
      </c>
      <c r="AI92" s="4">
        <f ca="1">ROUND(T_Tiktok_ads[[#This Row],[impressions]]*RANDBETWEEN(8,12)/10,0)</f>
        <v>271111</v>
      </c>
      <c r="AJ92" s="4">
        <f ca="1">ROUND(T_Tiktok_ads[[#This Row],[clicks]]*RANDBETWEEN(8,12)/10,0)</f>
        <v>5347</v>
      </c>
      <c r="AK92" s="4">
        <v>589.9</v>
      </c>
      <c r="AL92" s="4">
        <f ca="1">ROUND(T_Tiktok_ads[[#This Row],[conversions]]*RANDBETWEEN(8,12)/10,0)</f>
        <v>37</v>
      </c>
      <c r="AM92" s="4">
        <f ca="1">ROUND(T_Tiktok_ads[[#This Row],[video_views]]*RANDBETWEEN(8,12)/10,0)</f>
        <v>245678</v>
      </c>
      <c r="AN92" s="4">
        <f ca="1">ROUND(T_Tiktok_ads[[#This Row],[video_watch_25]]*RANDBETWEEN(8,12)/10,0)</f>
        <v>172111</v>
      </c>
      <c r="AO92" s="4">
        <f ca="1">ROUND(T_Tiktok_ads[[#This Row],[video_watch_50]]*RANDBETWEEN(8,12)/10,0)</f>
        <v>95387</v>
      </c>
      <c r="AP92" s="4">
        <f ca="1">ROUND(T_Tiktok_ads[[#This Row],[video_watch_75]]*RANDBETWEEN(8,12)/10,0)</f>
        <v>80234</v>
      </c>
      <c r="AQ92" s="4">
        <f ca="1">ROUND(T_Tiktok_ads[[#This Row],[video_watch_100]]*RANDBETWEEN(8,12)/10,0)</f>
        <v>64147</v>
      </c>
      <c r="AR92" s="4">
        <f ca="1">ROUND(T_Tiktok_ads[[#This Row],[likes]]*RANDBETWEEN(8,12)/10,0)</f>
        <v>8631</v>
      </c>
      <c r="AS92" s="4">
        <f ca="1">ROUND(T_Tiktok_ads[[#This Row],[shares]]*RANDBETWEEN(8,12)/10,0)</f>
        <v>3191</v>
      </c>
      <c r="AT92" s="4">
        <f ca="1">ROUND(T_Tiktok_ads[[#This Row],[comments]]*RANDBETWEEN(8,12)/10,0)</f>
        <v>827</v>
      </c>
      <c r="AV92" s="5">
        <f t="shared" ca="1" si="12"/>
        <v>45253</v>
      </c>
      <c r="AW92">
        <f t="shared" ca="1" si="13"/>
        <v>3</v>
      </c>
      <c r="AX92">
        <f ca="1">ROUND(T_Facebook_Ads1159636771757983879195[[#This Row],[impressions]]*RANDBETWEEN(8,12)/10,0)</f>
        <v>45111</v>
      </c>
      <c r="AY92">
        <f ca="1">ROUND(T_Facebook_Ads1159636771757983879195[[#This Row],[clicks]]*RANDBETWEEN(8,12)/10,0)</f>
        <v>827</v>
      </c>
      <c r="AZ92">
        <f ca="1">T_Facebook_Ads1159636771757983879195[[#This Row],[spend]]*RANDBETWEEN(8,12)/10</f>
        <v>194.7</v>
      </c>
      <c r="BA92">
        <f ca="1">ROUND(T_Facebook_Ads1159636771757983879195[[#This Row],[conversions]]*RANDBETWEEN(8,12)/10,0)</f>
        <v>22</v>
      </c>
      <c r="BB92">
        <f ca="1">ROUND(T_Facebook_Ads1159636771757983879195[[#This Row],[video_views]]*RANDBETWEEN(8,12)/10,0)</f>
        <v>9032</v>
      </c>
    </row>
    <row r="93" spans="1:54" ht="15.75" thickBot="1" x14ac:dyDescent="0.3">
      <c r="A93" s="3">
        <f t="shared" ca="1" si="9"/>
        <v>45249</v>
      </c>
      <c r="B93" s="4" t="s">
        <v>56</v>
      </c>
      <c r="C93" s="4" t="s">
        <v>57</v>
      </c>
      <c r="D93" s="4" t="s">
        <v>58</v>
      </c>
      <c r="E93" s="4" t="s">
        <v>59</v>
      </c>
      <c r="F93" s="4">
        <f ca="1">ROUND(T_Facebook_Ads[[#This Row],[impressions]]*RANDBETWEEN(8,12)/10,0)</f>
        <v>11387</v>
      </c>
      <c r="G93" s="4">
        <v>689</v>
      </c>
      <c r="H93" s="4">
        <f ca="1">T_Facebook_Ads[[#This Row],[spend]]*RANDBETWEEN(8,12)/10</f>
        <v>280.16999999999996</v>
      </c>
      <c r="I93" s="4">
        <f ca="1">ROUND(T_Facebook_Ads[[#This Row],[conversions]]*RANDBETWEEN(8,12)/10,0)</f>
        <v>53</v>
      </c>
      <c r="J93" s="4">
        <f ca="1">ROUND(T_Facebook_Ads[[#This Row],[video_views]]*RANDBETWEEN(8,12)/10,0)</f>
        <v>1747</v>
      </c>
      <c r="K93" s="4">
        <f ca="1">T_Facebook_Ads[[#This Row],[engagement_rate]]*RANDBETWEEN(8,12)/10</f>
        <v>5.808E-2</v>
      </c>
      <c r="L93" s="4">
        <f ca="1">ROUND(T_Facebook_Ads[[#This Row],[reach]]*RANDBETWEEN(8,12)/10,0)</f>
        <v>8987</v>
      </c>
      <c r="M93" s="4">
        <f ca="1">T_Facebook_Ads[[#This Row],[frequency]]*RANDBETWEEN(8,12)/10</f>
        <v>1.143</v>
      </c>
      <c r="O93" s="3">
        <f t="shared" ca="1" si="10"/>
        <v>45246</v>
      </c>
      <c r="P93" s="4" t="s">
        <v>80</v>
      </c>
      <c r="Q93" s="4" t="s">
        <v>81</v>
      </c>
      <c r="R93" s="4" t="s">
        <v>82</v>
      </c>
      <c r="S93" s="4" t="s">
        <v>83</v>
      </c>
      <c r="T93" s="4">
        <f ca="1">ROUND(_Google_ads[[#This Row],[impressions]]*RANDBETWEEN(8,12)/10,0)</f>
        <v>42511</v>
      </c>
      <c r="U93" s="4">
        <f ca="1">ROUND(_Google_ads[[#This Row],[clicks]]*RANDBETWEEN(8,12)/10,0)</f>
        <v>945</v>
      </c>
      <c r="V93" s="4">
        <f ca="1">_Google_ads[[#This Row],[cost]]*RANDBETWEEN(8,12)/10</f>
        <v>605.6</v>
      </c>
      <c r="W93" s="4">
        <f ca="1">ROUND(_Google_ads[[#This Row],[conversions]]*RANDBETWEEN(8,12)/10,0)</f>
        <v>23</v>
      </c>
      <c r="X93" s="4">
        <f ca="1">ROUND(_Google_ads[[#This Row],[conversion_value]]*RANDBETWEEN(8,12)/10,0)</f>
        <v>1125</v>
      </c>
      <c r="Y93" s="4">
        <f ca="1">_Google_ads[[#This Row],[ctr]]*RANDBETWEEN(8,12)/10</f>
        <v>1.6E-2</v>
      </c>
      <c r="Z93" s="4">
        <f ca="1">_Google_ads[[#This Row],[avg_cpc]]*RANDBETWEEN(8,12)/10</f>
        <v>0.64</v>
      </c>
      <c r="AA93" s="4">
        <f ca="1">ROUND(_Google_ads[[#This Row],[quality_score]]*RANDBETWEEN(8,12)/10,0)</f>
        <v>8</v>
      </c>
      <c r="AB93" s="4">
        <f ca="1">_Google_ads[[#This Row],[search_impression_share]]*RANDBETWEEN(8,12)/10</f>
        <v>0.50600000000000001</v>
      </c>
      <c r="AD93" s="3">
        <f t="shared" ca="1" si="11"/>
        <v>45254</v>
      </c>
      <c r="AE93" s="4" t="s">
        <v>104</v>
      </c>
      <c r="AF93" s="4" t="s">
        <v>105</v>
      </c>
      <c r="AG93" s="4" t="s">
        <v>106</v>
      </c>
      <c r="AH93" s="4" t="s">
        <v>107</v>
      </c>
      <c r="AI93" s="4">
        <f ca="1">ROUND(T_Tiktok_ads[[#This Row],[impressions]]*RANDBETWEEN(8,12)/10,0)</f>
        <v>134312</v>
      </c>
      <c r="AJ93" s="4">
        <f ca="1">ROUND(T_Tiktok_ads[[#This Row],[clicks]]*RANDBETWEEN(8,12)/10,0)</f>
        <v>3557</v>
      </c>
      <c r="AK93" s="4">
        <v>845.6</v>
      </c>
      <c r="AL93" s="4">
        <f ca="1">ROUND(T_Tiktok_ads[[#This Row],[conversions]]*RANDBETWEEN(8,12)/10,0)</f>
        <v>94</v>
      </c>
      <c r="AM93" s="4">
        <f ca="1">ROUND(T_Tiktok_ads[[#This Row],[video_views]]*RANDBETWEEN(8,12)/10,0)</f>
        <v>94312</v>
      </c>
      <c r="AN93" s="4">
        <f ca="1">ROUND(T_Tiktok_ads[[#This Row],[video_watch_25]]*RANDBETWEEN(8,12)/10,0)</f>
        <v>95957</v>
      </c>
      <c r="AO93" s="4">
        <f ca="1">ROUND(T_Tiktok_ads[[#This Row],[video_watch_50]]*RANDBETWEEN(8,12)/10,0)</f>
        <v>58901</v>
      </c>
      <c r="AP93" s="4">
        <f ca="1">ROUND(T_Tiktok_ads[[#This Row],[video_watch_75]]*RANDBETWEEN(8,12)/10,0)</f>
        <v>44234</v>
      </c>
      <c r="AQ93" s="4">
        <f ca="1">ROUND(T_Tiktok_ads[[#This Row],[video_watch_100]]*RANDBETWEEN(8,12)/10,0)</f>
        <v>32524</v>
      </c>
      <c r="AR93" s="4">
        <f ca="1">ROUND(T_Tiktok_ads[[#This Row],[likes]]*RANDBETWEEN(8,12)/10,0)</f>
        <v>6814</v>
      </c>
      <c r="AS93" s="4">
        <f ca="1">ROUND(T_Tiktok_ads[[#This Row],[shares]]*RANDBETWEEN(8,12)/10,0)</f>
        <v>1471</v>
      </c>
      <c r="AT93" s="4">
        <f ca="1">ROUND(T_Tiktok_ads[[#This Row],[comments]]*RANDBETWEEN(8,12)/10,0)</f>
        <v>281</v>
      </c>
      <c r="AV93" s="5">
        <f t="shared" ca="1" si="12"/>
        <v>45232</v>
      </c>
      <c r="AW93">
        <f t="shared" ca="1" si="13"/>
        <v>2</v>
      </c>
      <c r="AX93">
        <f ca="1">ROUND(T_Facebook_Ads1159636771757983879195[[#This Row],[impressions]]*RANDBETWEEN(8,12)/10,0)</f>
        <v>10248</v>
      </c>
      <c r="AY93">
        <f ca="1">ROUND(T_Facebook_Ads1159636771757983879195[[#This Row],[clicks]]*RANDBETWEEN(8,12)/10,0)</f>
        <v>620</v>
      </c>
      <c r="AZ93">
        <f ca="1">T_Facebook_Ads1159636771757983879195[[#This Row],[spend]]*RANDBETWEEN(8,12)/10</f>
        <v>280.16999999999996</v>
      </c>
      <c r="BA93">
        <f ca="1">ROUND(T_Facebook_Ads1159636771757983879195[[#This Row],[conversions]]*RANDBETWEEN(8,12)/10,0)</f>
        <v>42</v>
      </c>
      <c r="BB93">
        <f ca="1">ROUND(T_Facebook_Ads1159636771757983879195[[#This Row],[video_views]]*RANDBETWEEN(8,12)/10,0)</f>
        <v>2096</v>
      </c>
    </row>
    <row r="94" spans="1:54" ht="15.75" thickBot="1" x14ac:dyDescent="0.3">
      <c r="A94" s="3">
        <f t="shared" ca="1" si="9"/>
        <v>45256</v>
      </c>
      <c r="B94" s="4" t="s">
        <v>60</v>
      </c>
      <c r="C94" s="4" t="s">
        <v>61</v>
      </c>
      <c r="D94" s="4" t="s">
        <v>62</v>
      </c>
      <c r="E94" s="4" t="s">
        <v>63</v>
      </c>
      <c r="F94" s="4">
        <f ca="1">ROUND(T_Facebook_Ads[[#This Row],[impressions]]*RANDBETWEEN(8,12)/10,0)</f>
        <v>38890</v>
      </c>
      <c r="G94" s="4">
        <v>1445</v>
      </c>
      <c r="H94" s="4">
        <f ca="1">T_Facebook_Ads[[#This Row],[spend]]*RANDBETWEEN(8,12)/10</f>
        <v>208.07999999999998</v>
      </c>
      <c r="I94" s="4">
        <f ca="1">ROUND(T_Facebook_Ads[[#This Row],[conversions]]*RANDBETWEEN(8,12)/10,0)</f>
        <v>26</v>
      </c>
      <c r="J94" s="4">
        <f ca="1">ROUND(T_Facebook_Ads[[#This Row],[video_views]]*RANDBETWEEN(8,12)/10,0)</f>
        <v>4611</v>
      </c>
      <c r="K94" s="4">
        <f ca="1">T_Facebook_Ads[[#This Row],[engagement_rate]]*RANDBETWEEN(8,12)/10</f>
        <v>3.3479999999999996E-2</v>
      </c>
      <c r="L94" s="4">
        <f ca="1">ROUND(T_Facebook_Ads[[#This Row],[reach]]*RANDBETWEEN(8,12)/10,0)</f>
        <v>34724</v>
      </c>
      <c r="M94" s="4">
        <f ca="1">T_Facebook_Ads[[#This Row],[frequency]]*RANDBETWEEN(8,12)/10</f>
        <v>0.98399999999999999</v>
      </c>
      <c r="O94" s="3">
        <f t="shared" ca="1" si="10"/>
        <v>45254</v>
      </c>
      <c r="P94" s="4" t="s">
        <v>84</v>
      </c>
      <c r="Q94" s="4" t="s">
        <v>85</v>
      </c>
      <c r="R94" s="4" t="s">
        <v>86</v>
      </c>
      <c r="S94" s="4" t="s">
        <v>87</v>
      </c>
      <c r="T94" s="4">
        <f ca="1">ROUND(_Google_ads[[#This Row],[impressions]]*RANDBETWEEN(8,12)/10,0)</f>
        <v>87468</v>
      </c>
      <c r="U94" s="4">
        <f ca="1">ROUND(_Google_ads[[#This Row],[clicks]]*RANDBETWEEN(8,12)/10,0)</f>
        <v>1947</v>
      </c>
      <c r="V94" s="4">
        <f ca="1">_Google_ads[[#This Row],[cost]]*RANDBETWEEN(8,12)/10</f>
        <v>495.21999999999997</v>
      </c>
      <c r="W94" s="4">
        <f ca="1">ROUND(_Google_ads[[#This Row],[conversions]]*RANDBETWEEN(8,12)/10,0)</f>
        <v>71</v>
      </c>
      <c r="X94" s="4">
        <f ca="1">ROUND(_Google_ads[[#This Row],[conversion_value]]*RANDBETWEEN(8,12)/10,0)</f>
        <v>3195</v>
      </c>
      <c r="Y94" s="4">
        <f ca="1">_Google_ads[[#This Row],[ctr]]*RANDBETWEEN(8,12)/10</f>
        <v>3.6740000000000002E-2</v>
      </c>
      <c r="Z94" s="4">
        <f ca="1">_Google_ads[[#This Row],[avg_cpc]]*RANDBETWEEN(8,12)/10</f>
        <v>0.14399999999999999</v>
      </c>
      <c r="AA94" s="4">
        <f ca="1">ROUND(_Google_ads[[#This Row],[quality_score]]*RANDBETWEEN(8,12)/10,0)</f>
        <v>9</v>
      </c>
      <c r="AB94" s="4">
        <f ca="1">_Google_ads[[#This Row],[search_impression_share]]*RANDBETWEEN(8,12)/10</f>
        <v>0.75900000000000001</v>
      </c>
      <c r="AD94" s="3">
        <f t="shared" ca="1" si="11"/>
        <v>45247</v>
      </c>
      <c r="AE94" s="4" t="s">
        <v>108</v>
      </c>
      <c r="AF94" s="4" t="s">
        <v>109</v>
      </c>
      <c r="AG94" s="4" t="s">
        <v>110</v>
      </c>
      <c r="AH94" s="4" t="s">
        <v>111</v>
      </c>
      <c r="AI94" s="4">
        <f ca="1">ROUND(T_Tiktok_ads[[#This Row],[impressions]]*RANDBETWEEN(8,12)/10,0)</f>
        <v>231110</v>
      </c>
      <c r="AJ94" s="4">
        <f ca="1">ROUND(T_Tiktok_ads[[#This Row],[clicks]]*RANDBETWEEN(8,12)/10,0)</f>
        <v>4413</v>
      </c>
      <c r="AK94" s="4">
        <v>489.2</v>
      </c>
      <c r="AL94" s="4">
        <f ca="1">ROUND(T_Tiktok_ads[[#This Row],[conversions]]*RANDBETWEEN(8,12)/10,0)</f>
        <v>40</v>
      </c>
      <c r="AM94" s="4">
        <f ca="1">ROUND(T_Tiktok_ads[[#This Row],[video_views]]*RANDBETWEEN(8,12)/10,0)</f>
        <v>221357</v>
      </c>
      <c r="AN94" s="4">
        <f ca="1">ROUND(T_Tiktok_ads[[#This Row],[video_watch_25]]*RANDBETWEEN(8,12)/10,0)</f>
        <v>137111</v>
      </c>
      <c r="AO94" s="4">
        <f ca="1">ROUND(T_Tiktok_ads[[#This Row],[video_watch_50]]*RANDBETWEEN(8,12)/10,0)</f>
        <v>144547</v>
      </c>
      <c r="AP94" s="4">
        <f ca="1">ROUND(T_Tiktok_ads[[#This Row],[video_watch_75]]*RANDBETWEEN(8,12)/10,0)</f>
        <v>62312</v>
      </c>
      <c r="AQ94" s="4">
        <f ca="1">ROUND(T_Tiktok_ads[[#This Row],[video_watch_100]]*RANDBETWEEN(8,12)/10,0)</f>
        <v>42511</v>
      </c>
      <c r="AR94" s="4">
        <f ca="1">ROUND(T_Tiktok_ads[[#This Row],[likes]]*RANDBETWEEN(8,12)/10,0)</f>
        <v>8011</v>
      </c>
      <c r="AS94" s="4">
        <f ca="1">ROUND(T_Tiktok_ads[[#This Row],[shares]]*RANDBETWEEN(8,12)/10,0)</f>
        <v>2456</v>
      </c>
      <c r="AT94" s="4">
        <f ca="1">ROUND(T_Tiktok_ads[[#This Row],[comments]]*RANDBETWEEN(8,12)/10,0)</f>
        <v>530</v>
      </c>
      <c r="AV94" s="5">
        <f t="shared" ca="1" si="12"/>
        <v>45259</v>
      </c>
      <c r="AW94">
        <f t="shared" ca="1" si="13"/>
        <v>3</v>
      </c>
      <c r="AX94">
        <f ca="1">ROUND(T_Facebook_Ads1159636771757983879195[[#This Row],[impressions]]*RANDBETWEEN(8,12)/10,0)</f>
        <v>46668</v>
      </c>
      <c r="AY94">
        <f ca="1">ROUND(T_Facebook_Ads1159636771757983879195[[#This Row],[clicks]]*RANDBETWEEN(8,12)/10,0)</f>
        <v>1590</v>
      </c>
      <c r="AZ94">
        <f ca="1">T_Facebook_Ads1159636771757983879195[[#This Row],[spend]]*RANDBETWEEN(8,12)/10</f>
        <v>228.88799999999998</v>
      </c>
      <c r="BA94">
        <f ca="1">ROUND(T_Facebook_Ads1159636771757983879195[[#This Row],[conversions]]*RANDBETWEEN(8,12)/10,0)</f>
        <v>21</v>
      </c>
      <c r="BB94">
        <f ca="1">ROUND(T_Facebook_Ads1159636771757983879195[[#This Row],[video_views]]*RANDBETWEEN(8,12)/10,0)</f>
        <v>3689</v>
      </c>
    </row>
    <row r="95" spans="1:54" ht="15.75" thickBot="1" x14ac:dyDescent="0.3">
      <c r="A95" s="3">
        <f t="shared" ca="1" si="9"/>
        <v>45255</v>
      </c>
      <c r="B95" s="4" t="s">
        <v>64</v>
      </c>
      <c r="C95" s="4" t="s">
        <v>65</v>
      </c>
      <c r="D95" s="4" t="s">
        <v>66</v>
      </c>
      <c r="E95" s="4" t="s">
        <v>67</v>
      </c>
      <c r="F95" s="4">
        <f ca="1">ROUND(T_Facebook_Ads[[#This Row],[impressions]]*RANDBETWEEN(8,12)/10,0)</f>
        <v>88147</v>
      </c>
      <c r="G95" s="4">
        <v>261</v>
      </c>
      <c r="H95" s="4">
        <f ca="1">T_Facebook_Ads[[#This Row],[spend]]*RANDBETWEEN(8,12)/10</f>
        <v>85.14</v>
      </c>
      <c r="I95" s="4">
        <f ca="1">ROUND(T_Facebook_Ads[[#This Row],[conversions]]*RANDBETWEEN(8,12)/10,0)</f>
        <v>8</v>
      </c>
      <c r="J95" s="4">
        <f ca="1">ROUND(T_Facebook_Ads[[#This Row],[video_views]]*RANDBETWEEN(8,12)/10,0)</f>
        <v>59081</v>
      </c>
      <c r="K95" s="4">
        <f ca="1">T_Facebook_Ads[[#This Row],[engagement_rate]]*RANDBETWEEN(8,12)/10</f>
        <v>3.5999999999999999E-3</v>
      </c>
      <c r="L95" s="4">
        <f ca="1">ROUND(T_Facebook_Ads[[#This Row],[reach]]*RANDBETWEEN(8,12)/10,0)</f>
        <v>71480</v>
      </c>
      <c r="M95" s="4">
        <f ca="1">T_Facebook_Ads[[#This Row],[frequency]]*RANDBETWEEN(8,12)/10</f>
        <v>0.98399999999999999</v>
      </c>
      <c r="O95" s="3">
        <f t="shared" ca="1" si="10"/>
        <v>45256</v>
      </c>
      <c r="P95" s="4" t="s">
        <v>88</v>
      </c>
      <c r="Q95" s="4" t="s">
        <v>89</v>
      </c>
      <c r="R95" s="4" t="s">
        <v>90</v>
      </c>
      <c r="S95" s="4" t="s">
        <v>59</v>
      </c>
      <c r="T95" s="4">
        <f ca="1">ROUND(_Google_ads[[#This Row],[impressions]]*RANDBETWEEN(8,12)/10,0)</f>
        <v>110854</v>
      </c>
      <c r="U95" s="4">
        <f ca="1">ROUND(_Google_ads[[#This Row],[clicks]]*RANDBETWEEN(8,12)/10,0)</f>
        <v>410</v>
      </c>
      <c r="V95" s="4">
        <f ca="1">_Google_ads[[#This Row],[cost]]*RANDBETWEEN(8,12)/10</f>
        <v>163.44</v>
      </c>
      <c r="W95" s="4">
        <f ca="1">ROUND(_Google_ads[[#This Row],[conversions]]*RANDBETWEEN(8,12)/10,0)</f>
        <v>15</v>
      </c>
      <c r="X95" s="4">
        <f ca="1">ROUND(_Google_ads[[#This Row],[conversion_value]]*RANDBETWEEN(8,12)/10,0)</f>
        <v>600</v>
      </c>
      <c r="Y95" s="4">
        <f ca="1">_Google_ads[[#This Row],[ctr]]*RANDBETWEEN(8,12)/10</f>
        <v>2.96E-3</v>
      </c>
      <c r="Z95" s="4">
        <f ca="1">_Google_ads[[#This Row],[avg_cpc]]*RANDBETWEEN(8,12)/10</f>
        <v>0.21600000000000003</v>
      </c>
      <c r="AA95" s="4">
        <f ca="1">ROUND(_Google_ads[[#This Row],[quality_score]]*RANDBETWEEN(8,12)/10,0)</f>
        <v>6</v>
      </c>
      <c r="AB95" s="4">
        <f ca="1">_Google_ads[[#This Row],[search_impression_share]]*RANDBETWEEN(8,12)/10</f>
        <v>0.39600000000000002</v>
      </c>
      <c r="AD95" s="3">
        <f t="shared" ca="1" si="11"/>
        <v>45232</v>
      </c>
      <c r="AE95" s="4" t="s">
        <v>112</v>
      </c>
      <c r="AF95" s="4" t="s">
        <v>113</v>
      </c>
      <c r="AG95" s="4" t="s">
        <v>114</v>
      </c>
      <c r="AH95" s="4" t="s">
        <v>115</v>
      </c>
      <c r="AI95" s="4">
        <f ca="1">ROUND(T_Tiktok_ads[[#This Row],[impressions]]*RANDBETWEEN(8,12)/10,0)</f>
        <v>401110</v>
      </c>
      <c r="AJ95" s="4">
        <f ca="1">ROUND(T_Tiktok_ads[[#This Row],[clicks]]*RANDBETWEEN(8,12)/10,0)</f>
        <v>8681</v>
      </c>
      <c r="AK95" s="4">
        <v>1123.5</v>
      </c>
      <c r="AL95" s="4">
        <f ca="1">ROUND(T_Tiktok_ads[[#This Row],[conversions]]*RANDBETWEEN(8,12)/10,0)</f>
        <v>136</v>
      </c>
      <c r="AM95" s="4">
        <f ca="1">ROUND(T_Tiktok_ads[[#This Row],[video_views]]*RANDBETWEEN(8,12)/10,0)</f>
        <v>416791</v>
      </c>
      <c r="AN95" s="4">
        <f ca="1">ROUND(T_Tiktok_ads[[#This Row],[video_watch_25]]*RANDBETWEEN(8,12)/10,0)</f>
        <v>274110</v>
      </c>
      <c r="AO95" s="4">
        <f ca="1">ROUND(T_Tiktok_ads[[#This Row],[video_watch_50]]*RANDBETWEEN(8,12)/10,0)</f>
        <v>219110</v>
      </c>
      <c r="AP95" s="4">
        <f ca="1">ROUND(T_Tiktok_ads[[#This Row],[video_watch_75]]*RANDBETWEEN(8,12)/10,0)</f>
        <v>189580</v>
      </c>
      <c r="AQ95" s="4">
        <f ca="1">ROUND(T_Tiktok_ads[[#This Row],[video_watch_100]]*RANDBETWEEN(8,12)/10,0)</f>
        <v>137480</v>
      </c>
      <c r="AR95" s="4">
        <f ca="1">ROUND(T_Tiktok_ads[[#This Row],[likes]]*RANDBETWEEN(8,12)/10,0)</f>
        <v>21524</v>
      </c>
      <c r="AS95" s="4">
        <f ca="1">ROUND(T_Tiktok_ads[[#This Row],[shares]]*RANDBETWEEN(8,12)/10,0)</f>
        <v>5110</v>
      </c>
      <c r="AT95" s="4">
        <f ca="1">ROUND(T_Tiktok_ads[[#This Row],[comments]]*RANDBETWEEN(8,12)/10,0)</f>
        <v>1254</v>
      </c>
      <c r="AV95" s="5">
        <f t="shared" ca="1" si="12"/>
        <v>45236</v>
      </c>
      <c r="AW95">
        <f t="shared" ca="1" si="13"/>
        <v>5</v>
      </c>
      <c r="AX95">
        <f ca="1">ROUND(T_Facebook_Ads1159636771757983879195[[#This Row],[impressions]]*RANDBETWEEN(8,12)/10,0)</f>
        <v>105776</v>
      </c>
      <c r="AY95">
        <f ca="1">ROUND(T_Facebook_Ads1159636771757983879195[[#This Row],[clicks]]*RANDBETWEEN(8,12)/10,0)</f>
        <v>235</v>
      </c>
      <c r="AZ95">
        <f ca="1">T_Facebook_Ads1159636771757983879195[[#This Row],[spend]]*RANDBETWEEN(8,12)/10</f>
        <v>93.653999999999996</v>
      </c>
      <c r="BA95">
        <f ca="1">ROUND(T_Facebook_Ads1159636771757983879195[[#This Row],[conversions]]*RANDBETWEEN(8,12)/10,0)</f>
        <v>10</v>
      </c>
      <c r="BB95">
        <f ca="1">ROUND(T_Facebook_Ads1159636771757983879195[[#This Row],[video_views]]*RANDBETWEEN(8,12)/10,0)</f>
        <v>59081</v>
      </c>
    </row>
    <row r="96" spans="1:54" ht="15.75" thickBot="1" x14ac:dyDescent="0.3">
      <c r="A96" s="3">
        <f t="shared" ca="1" si="9"/>
        <v>45259</v>
      </c>
      <c r="B96" s="4" t="s">
        <v>52</v>
      </c>
      <c r="C96" s="4" t="s">
        <v>53</v>
      </c>
      <c r="D96" s="4" t="s">
        <v>54</v>
      </c>
      <c r="E96" s="4" t="s">
        <v>55</v>
      </c>
      <c r="F96" s="4">
        <f ca="1">ROUND(T_Facebook_Ads[[#This Row],[impressions]]*RANDBETWEEN(8,12)/10,0)</f>
        <v>36987</v>
      </c>
      <c r="G96" s="4">
        <v>934</v>
      </c>
      <c r="H96" s="4">
        <f ca="1">T_Facebook_Ads[[#This Row],[spend]]*RANDBETWEEN(8,12)/10</f>
        <v>133.80000000000001</v>
      </c>
      <c r="I96" s="4">
        <f ca="1">ROUND(T_Facebook_Ads[[#This Row],[conversions]]*RANDBETWEEN(8,12)/10,0)</f>
        <v>17</v>
      </c>
      <c r="J96" s="4">
        <f ca="1">ROUND(T_Facebook_Ads[[#This Row],[video_views]]*RANDBETWEEN(8,12)/10,0)</f>
        <v>7610</v>
      </c>
      <c r="K96" s="4">
        <f ca="1">T_Facebook_Ads[[#This Row],[engagement_rate]]*RANDBETWEEN(8,12)/10</f>
        <v>2.0199999999999999E-2</v>
      </c>
      <c r="L96" s="4">
        <f ca="1">ROUND(T_Facebook_Ads[[#This Row],[reach]]*RANDBETWEEN(8,12)/10,0)</f>
        <v>42779</v>
      </c>
      <c r="M96" s="4">
        <f ca="1">T_Facebook_Ads[[#This Row],[frequency]]*RANDBETWEEN(8,12)/10</f>
        <v>0.95199999999999996</v>
      </c>
      <c r="O96" s="3">
        <f t="shared" ca="1" si="10"/>
        <v>45254</v>
      </c>
      <c r="P96" s="4" t="s">
        <v>76</v>
      </c>
      <c r="Q96" s="4" t="s">
        <v>77</v>
      </c>
      <c r="R96" s="4" t="s">
        <v>78</v>
      </c>
      <c r="S96" s="4" t="s">
        <v>79</v>
      </c>
      <c r="T96" s="4">
        <f ca="1">ROUND(_Google_ads[[#This Row],[impressions]]*RANDBETWEEN(8,12)/10,0)</f>
        <v>22711</v>
      </c>
      <c r="U96" s="4">
        <f ca="1">ROUND(_Google_ads[[#This Row],[clicks]]*RANDBETWEEN(8,12)/10,0)</f>
        <v>1443</v>
      </c>
      <c r="V96" s="4">
        <f ca="1">_Google_ads[[#This Row],[cost]]*RANDBETWEEN(8,12)/10</f>
        <v>225.27000000000004</v>
      </c>
      <c r="W96" s="4">
        <f ca="1">ROUND(_Google_ads[[#This Row],[conversions]]*RANDBETWEEN(8,12)/10,0)</f>
        <v>59</v>
      </c>
      <c r="X96" s="4">
        <f ca="1">ROUND(_Google_ads[[#This Row],[conversion_value]]*RANDBETWEEN(8,12)/10,0)</f>
        <v>2450</v>
      </c>
      <c r="Y96" s="4">
        <f ca="1">_Google_ads[[#This Row],[ctr]]*RANDBETWEEN(8,12)/10</f>
        <v>6.2399999999999997E-2</v>
      </c>
      <c r="Z96" s="4">
        <f ca="1">_Google_ads[[#This Row],[avg_cpc]]*RANDBETWEEN(8,12)/10</f>
        <v>0.20899999999999999</v>
      </c>
      <c r="AA96" s="4">
        <f ca="1">ROUND(_Google_ads[[#This Row],[quality_score]]*RANDBETWEEN(8,12)/10,0)</f>
        <v>9</v>
      </c>
      <c r="AB96" s="4">
        <f ca="1">_Google_ads[[#This Row],[search_impression_share]]*RANDBETWEEN(8,12)/10</f>
        <v>0.90999999999999992</v>
      </c>
      <c r="AD96" s="3">
        <f t="shared" ca="1" si="11"/>
        <v>45232</v>
      </c>
      <c r="AE96" s="4" t="s">
        <v>100</v>
      </c>
      <c r="AF96" s="4" t="s">
        <v>101</v>
      </c>
      <c r="AG96" s="4" t="s">
        <v>102</v>
      </c>
      <c r="AH96" s="4" t="s">
        <v>103</v>
      </c>
      <c r="AI96" s="4">
        <f ca="1">ROUND(T_Tiktok_ads[[#This Row],[impressions]]*RANDBETWEEN(8,12)/10,0)</f>
        <v>306791</v>
      </c>
      <c r="AJ96" s="4">
        <f ca="1">ROUND(T_Tiktok_ads[[#This Row],[clicks]]*RANDBETWEEN(8,12)/10,0)</f>
        <v>4535</v>
      </c>
      <c r="AK96" s="4">
        <v>545.6</v>
      </c>
      <c r="AL96" s="4">
        <f ca="1">ROUND(T_Tiktok_ads[[#This Row],[conversions]]*RANDBETWEEN(8,12)/10,0)</f>
        <v>38</v>
      </c>
      <c r="AM96" s="4">
        <f ca="1">ROUND(T_Tiktok_ads[[#This Row],[video_views]]*RANDBETWEEN(8,12)/10,0)</f>
        <v>183387</v>
      </c>
      <c r="AN96" s="4">
        <f ca="1">ROUND(T_Tiktok_ads[[#This Row],[video_watch_25]]*RANDBETWEEN(8,12)/10,0)</f>
        <v>215081</v>
      </c>
      <c r="AO96" s="4">
        <f ca="1">ROUND(T_Tiktok_ads[[#This Row],[video_watch_50]]*RANDBETWEEN(8,12)/10,0)</f>
        <v>134681</v>
      </c>
      <c r="AP96" s="4">
        <f ca="1">ROUND(T_Tiktok_ads[[#This Row],[video_watch_75]]*RANDBETWEEN(8,12)/10,0)</f>
        <v>68110</v>
      </c>
      <c r="AQ96" s="4">
        <f ca="1">ROUND(T_Tiktok_ads[[#This Row],[video_watch_100]]*RANDBETWEEN(8,12)/10,0)</f>
        <v>45211</v>
      </c>
      <c r="AR96" s="4">
        <f ca="1">ROUND(T_Tiktok_ads[[#This Row],[likes]]*RANDBETWEEN(8,12)/10,0)</f>
        <v>11135</v>
      </c>
      <c r="AS96" s="4">
        <f ca="1">ROUND(T_Tiktok_ads[[#This Row],[shares]]*RANDBETWEEN(8,12)/10,0)</f>
        <v>2441</v>
      </c>
      <c r="AT96" s="4">
        <f ca="1">ROUND(T_Tiktok_ads[[#This Row],[comments]]*RANDBETWEEN(8,12)/10,0)</f>
        <v>710</v>
      </c>
      <c r="AV96" s="5">
        <f t="shared" ca="1" si="12"/>
        <v>45240</v>
      </c>
      <c r="AW96">
        <f t="shared" ca="1" si="13"/>
        <v>8</v>
      </c>
      <c r="AX96">
        <f ca="1">ROUND(T_Facebook_Ads1159636771757983879195[[#This Row],[impressions]]*RANDBETWEEN(8,12)/10,0)</f>
        <v>29590</v>
      </c>
      <c r="AY96">
        <f ca="1">ROUND(T_Facebook_Ads1159636771757983879195[[#This Row],[clicks]]*RANDBETWEEN(8,12)/10,0)</f>
        <v>1121</v>
      </c>
      <c r="AZ96">
        <f ca="1">T_Facebook_Ads1159636771757983879195[[#This Row],[spend]]*RANDBETWEEN(8,12)/10</f>
        <v>147.18</v>
      </c>
      <c r="BA96">
        <f ca="1">ROUND(T_Facebook_Ads1159636771757983879195[[#This Row],[conversions]]*RANDBETWEEN(8,12)/10,0)</f>
        <v>15</v>
      </c>
      <c r="BB96">
        <f ca="1">ROUND(T_Facebook_Ads1159636771757983879195[[#This Row],[video_views]]*RANDBETWEEN(8,12)/10,0)</f>
        <v>7610</v>
      </c>
    </row>
    <row r="97" spans="1:54" ht="15.75" thickBot="1" x14ac:dyDescent="0.3">
      <c r="A97" s="3">
        <f t="shared" ca="1" si="9"/>
        <v>45259</v>
      </c>
      <c r="B97" s="4" t="s">
        <v>56</v>
      </c>
      <c r="C97" s="4" t="s">
        <v>57</v>
      </c>
      <c r="D97" s="4" t="s">
        <v>58</v>
      </c>
      <c r="E97" s="4" t="s">
        <v>59</v>
      </c>
      <c r="F97" s="4">
        <f ca="1">ROUND(T_Facebook_Ads[[#This Row],[impressions]]*RANDBETWEEN(8,12)/10,0)</f>
        <v>13824</v>
      </c>
      <c r="G97" s="4">
        <v>567</v>
      </c>
      <c r="H97" s="4">
        <f ca="1">T_Facebook_Ads[[#This Row],[spend]]*RANDBETWEEN(8,12)/10</f>
        <v>167.52</v>
      </c>
      <c r="I97" s="4">
        <f ca="1">ROUND(T_Facebook_Ads[[#This Row],[conversions]]*RANDBETWEEN(8,12)/10,0)</f>
        <v>36</v>
      </c>
      <c r="J97" s="4">
        <f ca="1">ROUND(T_Facebook_Ads[[#This Row],[video_views]]*RANDBETWEEN(8,12)/10,0)</f>
        <v>1267</v>
      </c>
      <c r="K97" s="4">
        <f ca="1">T_Facebook_Ads[[#This Row],[engagement_rate]]*RANDBETWEEN(8,12)/10</f>
        <v>5.4120000000000001E-2</v>
      </c>
      <c r="L97" s="4">
        <f ca="1">ROUND(T_Facebook_Ads[[#This Row],[reach]]*RANDBETWEEN(8,12)/10,0)</f>
        <v>7912</v>
      </c>
      <c r="M97" s="4">
        <f ca="1">T_Facebook_Ads[[#This Row],[frequency]]*RANDBETWEEN(8,12)/10</f>
        <v>1.27</v>
      </c>
      <c r="O97" s="3">
        <f t="shared" ca="1" si="10"/>
        <v>45259</v>
      </c>
      <c r="P97" s="4" t="s">
        <v>80</v>
      </c>
      <c r="Q97" s="4" t="s">
        <v>81</v>
      </c>
      <c r="R97" s="4" t="s">
        <v>82</v>
      </c>
      <c r="S97" s="4" t="s">
        <v>83</v>
      </c>
      <c r="T97" s="4">
        <f ca="1">ROUND(_Google_ads[[#This Row],[impressions]]*RANDBETWEEN(8,12)/10,0)</f>
        <v>50246</v>
      </c>
      <c r="U97" s="4">
        <f ca="1">ROUND(_Google_ads[[#This Row],[clicks]]*RANDBETWEEN(8,12)/10,0)</f>
        <v>901</v>
      </c>
      <c r="V97" s="4">
        <f ca="1">_Google_ads[[#This Row],[cost]]*RANDBETWEEN(8,12)/10</f>
        <v>467.6</v>
      </c>
      <c r="W97" s="4">
        <f ca="1">ROUND(_Google_ads[[#This Row],[conversions]]*RANDBETWEEN(8,12)/10,0)</f>
        <v>22</v>
      </c>
      <c r="X97" s="4">
        <f ca="1">ROUND(_Google_ads[[#This Row],[conversion_value]]*RANDBETWEEN(8,12)/10,0)</f>
        <v>1440</v>
      </c>
      <c r="Y97" s="4">
        <f ca="1">_Google_ads[[#This Row],[ctr]]*RANDBETWEEN(8,12)/10</f>
        <v>1.7729999999999999E-2</v>
      </c>
      <c r="Z97" s="4">
        <f ca="1">_Google_ads[[#This Row],[avg_cpc]]*RANDBETWEEN(8,12)/10</f>
        <v>0.78</v>
      </c>
      <c r="AA97" s="4">
        <f ca="1">ROUND(_Google_ads[[#This Row],[quality_score]]*RANDBETWEEN(8,12)/10,0)</f>
        <v>8</v>
      </c>
      <c r="AB97" s="4">
        <f ca="1">_Google_ads[[#This Row],[search_impression_share]]*RANDBETWEEN(8,12)/10</f>
        <v>0.40499999999999997</v>
      </c>
      <c r="AD97" s="3">
        <f t="shared" ca="1" si="11"/>
        <v>45241</v>
      </c>
      <c r="AE97" s="4" t="s">
        <v>104</v>
      </c>
      <c r="AF97" s="4" t="s">
        <v>105</v>
      </c>
      <c r="AG97" s="4" t="s">
        <v>106</v>
      </c>
      <c r="AH97" s="4" t="s">
        <v>107</v>
      </c>
      <c r="AI97" s="4">
        <f ca="1">ROUND(T_Tiktok_ads[[#This Row],[impressions]]*RANDBETWEEN(8,12)/10,0)</f>
        <v>153456</v>
      </c>
      <c r="AJ97" s="4">
        <f ca="1">ROUND(T_Tiktok_ads[[#This Row],[clicks]]*RANDBETWEEN(8,12)/10,0)</f>
        <v>2945</v>
      </c>
      <c r="AK97" s="4">
        <v>789.2</v>
      </c>
      <c r="AL97" s="4">
        <f ca="1">ROUND(T_Tiktok_ads[[#This Row],[conversions]]*RANDBETWEEN(8,12)/10,0)</f>
        <v>79</v>
      </c>
      <c r="AM97" s="4">
        <f ca="1">ROUND(T_Tiktok_ads[[#This Row],[video_views]]*RANDBETWEEN(8,12)/10,0)</f>
        <v>129468</v>
      </c>
      <c r="AN97" s="4">
        <f ca="1">ROUND(T_Tiktok_ads[[#This Row],[video_watch_25]]*RANDBETWEEN(8,12)/10,0)</f>
        <v>79567</v>
      </c>
      <c r="AO97" s="4">
        <f ca="1">ROUND(T_Tiktok_ads[[#This Row],[video_watch_50]]*RANDBETWEEN(8,12)/10,0)</f>
        <v>59046</v>
      </c>
      <c r="AP97" s="4">
        <f ca="1">ROUND(T_Tiktok_ads[[#This Row],[video_watch_75]]*RANDBETWEEN(8,12)/10,0)</f>
        <v>32187</v>
      </c>
      <c r="AQ97" s="4">
        <f ca="1">ROUND(T_Tiktok_ads[[#This Row],[video_watch_100]]*RANDBETWEEN(8,12)/10,0)</f>
        <v>24201</v>
      </c>
      <c r="AR97" s="4">
        <f ca="1">ROUND(T_Tiktok_ads[[#This Row],[likes]]*RANDBETWEEN(8,12)/10,0)</f>
        <v>6281</v>
      </c>
      <c r="AS97" s="4">
        <f ca="1">ROUND(T_Tiktok_ads[[#This Row],[shares]]*RANDBETWEEN(8,12)/10,0)</f>
        <v>1165</v>
      </c>
      <c r="AT97" s="4">
        <f ca="1">ROUND(T_Tiktok_ads[[#This Row],[comments]]*RANDBETWEEN(8,12)/10,0)</f>
        <v>306</v>
      </c>
      <c r="AV97" s="5">
        <f t="shared" ca="1" si="12"/>
        <v>45253</v>
      </c>
      <c r="AW97">
        <f t="shared" ca="1" si="13"/>
        <v>1</v>
      </c>
      <c r="AX97">
        <f ca="1">ROUND(T_Facebook_Ads1159636771757983879195[[#This Row],[impressions]]*RANDBETWEEN(8,12)/10,0)</f>
        <v>12442</v>
      </c>
      <c r="AY97">
        <f ca="1">ROUND(T_Facebook_Ads1159636771757983879195[[#This Row],[clicks]]*RANDBETWEEN(8,12)/10,0)</f>
        <v>454</v>
      </c>
      <c r="AZ97">
        <f ca="1">T_Facebook_Ads1159636771757983879195[[#This Row],[spend]]*RANDBETWEEN(8,12)/10</f>
        <v>167.52</v>
      </c>
      <c r="BA97">
        <f ca="1">ROUND(T_Facebook_Ads1159636771757983879195[[#This Row],[conversions]]*RANDBETWEEN(8,12)/10,0)</f>
        <v>36</v>
      </c>
      <c r="BB97">
        <f ca="1">ROUND(T_Facebook_Ads1159636771757983879195[[#This Row],[video_views]]*RANDBETWEEN(8,12)/10,0)</f>
        <v>1394</v>
      </c>
    </row>
    <row r="98" spans="1:54" ht="15.75" thickBot="1" x14ac:dyDescent="0.3">
      <c r="A98" s="3">
        <f t="shared" ref="A98:A111" ca="1" si="14">DATE(2023,11,RANDBETWEEN(1,30))</f>
        <v>45236</v>
      </c>
      <c r="B98" s="4" t="s">
        <v>60</v>
      </c>
      <c r="C98" s="4" t="s">
        <v>61</v>
      </c>
      <c r="D98" s="4" t="s">
        <v>62</v>
      </c>
      <c r="E98" s="4" t="s">
        <v>63</v>
      </c>
      <c r="F98" s="4">
        <f ca="1">ROUND(T_Facebook_Ads[[#This Row],[impressions]]*RANDBETWEEN(8,12)/10,0)</f>
        <v>28712</v>
      </c>
      <c r="G98" s="4">
        <v>1289</v>
      </c>
      <c r="H98" s="4">
        <f ca="1">T_Facebook_Ads[[#This Row],[spend]]*RANDBETWEEN(8,12)/10</f>
        <v>197.8</v>
      </c>
      <c r="I98" s="4">
        <f ca="1">ROUND(T_Facebook_Ads[[#This Row],[conversions]]*RANDBETWEEN(8,12)/10,0)</f>
        <v>22</v>
      </c>
      <c r="J98" s="4">
        <f ca="1">ROUND(T_Facebook_Ads[[#This Row],[video_views]]*RANDBETWEEN(8,12)/10,0)</f>
        <v>4567</v>
      </c>
      <c r="K98" s="4">
        <f ca="1">T_Facebook_Ads[[#This Row],[engagement_rate]]*RANDBETWEEN(8,12)/10</f>
        <v>4.308E-2</v>
      </c>
      <c r="L98" s="4">
        <f ca="1">ROUND(T_Facebook_Ads[[#This Row],[reach]]*RANDBETWEEN(8,12)/10,0)</f>
        <v>35480</v>
      </c>
      <c r="M98" s="4">
        <f ca="1">T_Facebook_Ads[[#This Row],[frequency]]*RANDBETWEEN(8,12)/10</f>
        <v>1.089</v>
      </c>
      <c r="O98" s="3">
        <f t="shared" ref="O98:O111" ca="1" si="15">DATE(2023,11,RANDBETWEEN(1,30))</f>
        <v>45232</v>
      </c>
      <c r="P98" s="4" t="s">
        <v>84</v>
      </c>
      <c r="Q98" s="4" t="s">
        <v>85</v>
      </c>
      <c r="R98" s="4" t="s">
        <v>86</v>
      </c>
      <c r="S98" s="4" t="s">
        <v>87</v>
      </c>
      <c r="T98" s="4">
        <f ca="1">ROUND(_Google_ads[[#This Row],[impressions]]*RANDBETWEEN(8,12)/10,0)</f>
        <v>70123</v>
      </c>
      <c r="U98" s="4">
        <f ca="1">ROUND(_Google_ads[[#This Row],[clicks]]*RANDBETWEEN(8,12)/10,0)</f>
        <v>2827</v>
      </c>
      <c r="V98" s="4">
        <f ca="1">_Google_ads[[#This Row],[cost]]*RANDBETWEEN(8,12)/10</f>
        <v>517.43999999999994</v>
      </c>
      <c r="W98" s="4">
        <f ca="1">ROUND(_Google_ads[[#This Row],[conversions]]*RANDBETWEEN(8,12)/10,0)</f>
        <v>54</v>
      </c>
      <c r="X98" s="4">
        <f ca="1">ROUND(_Google_ads[[#This Row],[conversion_value]]*RANDBETWEEN(8,12)/10,0)</f>
        <v>2720</v>
      </c>
      <c r="Y98" s="4">
        <f ca="1">_Google_ads[[#This Row],[ctr]]*RANDBETWEEN(8,12)/10</f>
        <v>3.696E-2</v>
      </c>
      <c r="Z98" s="4">
        <f ca="1">_Google_ads[[#This Row],[avg_cpc]]*RANDBETWEEN(8,12)/10</f>
        <v>0.14399999999999999</v>
      </c>
      <c r="AA98" s="4">
        <f ca="1">ROUND(_Google_ads[[#This Row],[quality_score]]*RANDBETWEEN(8,12)/10,0)</f>
        <v>9</v>
      </c>
      <c r="AB98" s="4">
        <f ca="1">_Google_ads[[#This Row],[search_impression_share]]*RANDBETWEEN(8,12)/10</f>
        <v>0.54400000000000004</v>
      </c>
      <c r="AD98" s="3">
        <f t="shared" ref="AD98:AD111" ca="1" si="16">DATE(2023,11,RANDBETWEEN(1,30))</f>
        <v>45248</v>
      </c>
      <c r="AE98" s="4" t="s">
        <v>108</v>
      </c>
      <c r="AF98" s="4" t="s">
        <v>109</v>
      </c>
      <c r="AG98" s="4" t="s">
        <v>110</v>
      </c>
      <c r="AH98" s="4" t="s">
        <v>111</v>
      </c>
      <c r="AI98" s="4">
        <f ca="1">ROUND(T_Tiktok_ads[[#This Row],[impressions]]*RANDBETWEEN(8,12)/10,0)</f>
        <v>213110</v>
      </c>
      <c r="AJ98" s="4">
        <f ca="1">ROUND(T_Tiktok_ads[[#This Row],[clicks]]*RANDBETWEEN(8,12)/10,0)</f>
        <v>4481</v>
      </c>
      <c r="AK98" s="4">
        <v>456.8</v>
      </c>
      <c r="AL98" s="4">
        <f ca="1">ROUND(T_Tiktok_ads[[#This Row],[conversions]]*RANDBETWEEN(8,12)/10,0)</f>
        <v>30</v>
      </c>
      <c r="AM98" s="4">
        <f ca="1">ROUND(T_Tiktok_ads[[#This Row],[video_views]]*RANDBETWEEN(8,12)/10,0)</f>
        <v>225468</v>
      </c>
      <c r="AN98" s="4">
        <f ca="1">ROUND(T_Tiktok_ads[[#This Row],[video_watch_25]]*RANDBETWEEN(8,12)/10,0)</f>
        <v>142345</v>
      </c>
      <c r="AO98" s="4">
        <f ca="1">ROUND(T_Tiktok_ads[[#This Row],[video_watch_50]]*RANDBETWEEN(8,12)/10,0)</f>
        <v>101111</v>
      </c>
      <c r="AP98" s="4">
        <f ca="1">ROUND(T_Tiktok_ads[[#This Row],[video_watch_75]]*RANDBETWEEN(8,12)/10,0)</f>
        <v>65111</v>
      </c>
      <c r="AQ98" s="4">
        <f ca="1">ROUND(T_Tiktok_ads[[#This Row],[video_watch_100]]*RANDBETWEEN(8,12)/10,0)</f>
        <v>35031</v>
      </c>
      <c r="AR98" s="4">
        <f ca="1">ROUND(T_Tiktok_ads[[#This Row],[likes]]*RANDBETWEEN(8,12)/10,0)</f>
        <v>9302</v>
      </c>
      <c r="AS98" s="4">
        <f ca="1">ROUND(T_Tiktok_ads[[#This Row],[shares]]*RANDBETWEEN(8,12)/10,0)</f>
        <v>2494</v>
      </c>
      <c r="AT98" s="4">
        <f ca="1">ROUND(T_Tiktok_ads[[#This Row],[comments]]*RANDBETWEEN(8,12)/10,0)</f>
        <v>600</v>
      </c>
      <c r="AV98" s="5">
        <f t="shared" ref="AV98:AV111" ca="1" si="17">DATE(2023,11,RANDBETWEEN(1,30))</f>
        <v>45246</v>
      </c>
      <c r="AW98">
        <f t="shared" ca="1" si="13"/>
        <v>8</v>
      </c>
      <c r="AX98">
        <f ca="1">ROUND(T_Facebook_Ads1159636771757983879195[[#This Row],[impressions]]*RANDBETWEEN(8,12)/10,0)</f>
        <v>22970</v>
      </c>
      <c r="AY98">
        <f ca="1">ROUND(T_Facebook_Ads1159636771757983879195[[#This Row],[clicks]]*RANDBETWEEN(8,12)/10,0)</f>
        <v>1160</v>
      </c>
      <c r="AZ98">
        <f ca="1">T_Facebook_Ads1159636771757983879195[[#This Row],[spend]]*RANDBETWEEN(8,12)/10</f>
        <v>217.58</v>
      </c>
      <c r="BA98">
        <f ca="1">ROUND(T_Facebook_Ads1159636771757983879195[[#This Row],[conversions]]*RANDBETWEEN(8,12)/10,0)</f>
        <v>24</v>
      </c>
      <c r="BB98">
        <f ca="1">ROUND(T_Facebook_Ads1159636771757983879195[[#This Row],[video_views]]*RANDBETWEEN(8,12)/10,0)</f>
        <v>4567</v>
      </c>
    </row>
    <row r="99" spans="1:54" ht="15.75" thickBot="1" x14ac:dyDescent="0.3">
      <c r="A99" s="3">
        <f t="shared" ca="1" si="14"/>
        <v>45247</v>
      </c>
      <c r="B99" s="4" t="s">
        <v>64</v>
      </c>
      <c r="C99" s="4" t="s">
        <v>65</v>
      </c>
      <c r="D99" s="4" t="s">
        <v>66</v>
      </c>
      <c r="E99" s="4" t="s">
        <v>67</v>
      </c>
      <c r="F99" s="4">
        <f ca="1">ROUND(T_Facebook_Ads[[#This Row],[impressions]]*RANDBETWEEN(8,12)/10,0)</f>
        <v>68234</v>
      </c>
      <c r="G99" s="4">
        <v>245</v>
      </c>
      <c r="H99" s="4">
        <f ca="1">T_Facebook_Ads[[#This Row],[spend]]*RANDBETWEEN(8,12)/10</f>
        <v>85.9</v>
      </c>
      <c r="I99" s="4">
        <f ca="1">ROUND(T_Facebook_Ads[[#This Row],[conversions]]*RANDBETWEEN(8,12)/10,0)</f>
        <v>5</v>
      </c>
      <c r="J99" s="4">
        <f ca="1">ROUND(T_Facebook_Ads[[#This Row],[video_views]]*RANDBETWEEN(8,12)/10,0)</f>
        <v>36542</v>
      </c>
      <c r="K99" s="4">
        <f ca="1">T_Facebook_Ads[[#This Row],[engagement_rate]]*RANDBETWEEN(8,12)/10</f>
        <v>3.96E-3</v>
      </c>
      <c r="L99" s="4">
        <f ca="1">ROUND(T_Facebook_Ads[[#This Row],[reach]]*RANDBETWEEN(8,12)/10,0)</f>
        <v>61479</v>
      </c>
      <c r="M99" s="4">
        <f ca="1">T_Facebook_Ads[[#This Row],[frequency]]*RANDBETWEEN(8,12)/10</f>
        <v>0.97599999999999998</v>
      </c>
      <c r="O99" s="3">
        <f t="shared" ca="1" si="15"/>
        <v>45231</v>
      </c>
      <c r="P99" s="4" t="s">
        <v>88</v>
      </c>
      <c r="Q99" s="4" t="s">
        <v>89</v>
      </c>
      <c r="R99" s="4" t="s">
        <v>90</v>
      </c>
      <c r="S99" s="4" t="s">
        <v>59</v>
      </c>
      <c r="T99" s="4">
        <f ca="1">ROUND(_Google_ads[[#This Row],[impressions]]*RANDBETWEEN(8,12)/10,0)</f>
        <v>121401</v>
      </c>
      <c r="U99" s="4">
        <f ca="1">ROUND(_Google_ads[[#This Row],[clicks]]*RANDBETWEEN(8,12)/10,0)</f>
        <v>489</v>
      </c>
      <c r="V99" s="4">
        <f ca="1">_Google_ads[[#This Row],[cost]]*RANDBETWEEN(8,12)/10</f>
        <v>119.42999999999999</v>
      </c>
      <c r="W99" s="4">
        <f ca="1">ROUND(_Google_ads[[#This Row],[conversions]]*RANDBETWEEN(8,12)/10,0)</f>
        <v>15</v>
      </c>
      <c r="X99" s="4">
        <f ca="1">ROUND(_Google_ads[[#This Row],[conversion_value]]*RANDBETWEEN(8,12)/10,0)</f>
        <v>560</v>
      </c>
      <c r="Y99" s="4">
        <f ca="1">_Google_ads[[#This Row],[ctr]]*RANDBETWEEN(8,12)/10</f>
        <v>3.5999999999999999E-3</v>
      </c>
      <c r="Z99" s="4">
        <f ca="1">_Google_ads[[#This Row],[avg_cpc]]*RANDBETWEEN(8,12)/10</f>
        <v>0.32400000000000001</v>
      </c>
      <c r="AA99" s="4">
        <f ca="1">ROUND(_Google_ads[[#This Row],[quality_score]]*RANDBETWEEN(8,12)/10,0)</f>
        <v>6</v>
      </c>
      <c r="AB99" s="4">
        <f ca="1">_Google_ads[[#This Row],[search_impression_share]]*RANDBETWEEN(8,12)/10</f>
        <v>0.41999999999999993</v>
      </c>
      <c r="AD99" s="3">
        <f t="shared" ca="1" si="16"/>
        <v>45244</v>
      </c>
      <c r="AE99" s="4" t="s">
        <v>112</v>
      </c>
      <c r="AF99" s="4" t="s">
        <v>113</v>
      </c>
      <c r="AG99" s="4" t="s">
        <v>114</v>
      </c>
      <c r="AH99" s="4" t="s">
        <v>115</v>
      </c>
      <c r="AI99" s="4">
        <f ca="1">ROUND(T_Tiktok_ads[[#This Row],[impressions]]*RANDBETWEEN(8,12)/10,0)</f>
        <v>338765</v>
      </c>
      <c r="AJ99" s="4">
        <f ca="1">ROUND(T_Tiktok_ads[[#This Row],[clicks]]*RANDBETWEEN(8,12)/10,0)</f>
        <v>5431</v>
      </c>
      <c r="AK99" s="4">
        <v>1034.5</v>
      </c>
      <c r="AL99" s="4">
        <f ca="1">ROUND(T_Tiktok_ads[[#This Row],[conversions]]*RANDBETWEEN(8,12)/10,0)</f>
        <v>94</v>
      </c>
      <c r="AM99" s="4">
        <f ca="1">ROUND(T_Tiktok_ads[[#This Row],[video_views]]*RANDBETWEEN(8,12)/10,0)</f>
        <v>321110</v>
      </c>
      <c r="AN99" s="4">
        <f ca="1">ROUND(T_Tiktok_ads[[#This Row],[video_watch_25]]*RANDBETWEEN(8,12)/10,0)</f>
        <v>258511</v>
      </c>
      <c r="AO99" s="4">
        <f ca="1">ROUND(T_Tiktok_ads[[#This Row],[video_watch_50]]*RANDBETWEEN(8,12)/10,0)</f>
        <v>183387</v>
      </c>
      <c r="AP99" s="4">
        <f ca="1">ROUND(T_Tiktok_ads[[#This Row],[video_watch_75]]*RANDBETWEEN(8,12)/10,0)</f>
        <v>146111</v>
      </c>
      <c r="AQ99" s="4">
        <f ca="1">ROUND(T_Tiktok_ads[[#This Row],[video_watch_100]]*RANDBETWEEN(8,12)/10,0)</f>
        <v>86312</v>
      </c>
      <c r="AR99" s="4">
        <f ca="1">ROUND(T_Tiktok_ads[[#This Row],[likes]]*RANDBETWEEN(8,12)/10,0)</f>
        <v>20632</v>
      </c>
      <c r="AS99" s="4">
        <f ca="1">ROUND(T_Tiktok_ads[[#This Row],[shares]]*RANDBETWEEN(8,12)/10,0)</f>
        <v>5345</v>
      </c>
      <c r="AT99" s="4">
        <f ca="1">ROUND(T_Tiktok_ads[[#This Row],[comments]]*RANDBETWEEN(8,12)/10,0)</f>
        <v>1602</v>
      </c>
      <c r="AV99" s="5">
        <f t="shared" ca="1" si="17"/>
        <v>45256</v>
      </c>
      <c r="AW99">
        <f t="shared" ca="1" si="13"/>
        <v>3</v>
      </c>
      <c r="AX99">
        <f ca="1">ROUND(T_Facebook_Ads1159636771757983879195[[#This Row],[impressions]]*RANDBETWEEN(8,12)/10,0)</f>
        <v>81881</v>
      </c>
      <c r="AY99">
        <f ca="1">ROUND(T_Facebook_Ads1159636771757983879195[[#This Row],[clicks]]*RANDBETWEEN(8,12)/10,0)</f>
        <v>270</v>
      </c>
      <c r="AZ99">
        <f ca="1">T_Facebook_Ads1159636771757983879195[[#This Row],[spend]]*RANDBETWEEN(8,12)/10</f>
        <v>68.72</v>
      </c>
      <c r="BA99">
        <f ca="1">ROUND(T_Facebook_Ads1159636771757983879195[[#This Row],[conversions]]*RANDBETWEEN(8,12)/10,0)</f>
        <v>6</v>
      </c>
      <c r="BB99">
        <f ca="1">ROUND(T_Facebook_Ads1159636771757983879195[[#This Row],[video_views]]*RANDBETWEEN(8,12)/10,0)</f>
        <v>36542</v>
      </c>
    </row>
    <row r="100" spans="1:54" ht="15.75" thickBot="1" x14ac:dyDescent="0.3">
      <c r="A100" s="3">
        <f t="shared" ca="1" si="14"/>
        <v>45237</v>
      </c>
      <c r="B100" s="4" t="s">
        <v>52</v>
      </c>
      <c r="C100" s="4" t="s">
        <v>53</v>
      </c>
      <c r="D100" s="4" t="s">
        <v>54</v>
      </c>
      <c r="E100" s="4" t="s">
        <v>55</v>
      </c>
      <c r="F100" s="4">
        <f ca="1">ROUND(T_Facebook_Ads[[#This Row],[impressions]]*RANDBETWEEN(8,12)/10,0)</f>
        <v>44567</v>
      </c>
      <c r="G100" s="4">
        <v>890</v>
      </c>
      <c r="H100" s="4">
        <f ca="1">T_Facebook_Ads[[#This Row],[spend]]*RANDBETWEEN(8,12)/10</f>
        <v>127.6</v>
      </c>
      <c r="I100" s="4">
        <f ca="1">ROUND(T_Facebook_Ads[[#This Row],[conversions]]*RANDBETWEEN(8,12)/10,0)</f>
        <v>12</v>
      </c>
      <c r="J100" s="4">
        <f ca="1">ROUND(T_Facebook_Ads[[#This Row],[video_views]]*RANDBETWEEN(8,12)/10,0)</f>
        <v>7311</v>
      </c>
      <c r="K100" s="4">
        <f ca="1">T_Facebook_Ads[[#This Row],[engagement_rate]]*RANDBETWEEN(8,12)/10</f>
        <v>1.6E-2</v>
      </c>
      <c r="L100" s="4">
        <f ca="1">ROUND(T_Facebook_Ads[[#This Row],[reach]]*RANDBETWEEN(8,12)/10,0)</f>
        <v>29965</v>
      </c>
      <c r="M100" s="4">
        <f ca="1">T_Facebook_Ads[[#This Row],[frequency]]*RANDBETWEEN(8,12)/10</f>
        <v>1.4279999999999999</v>
      </c>
      <c r="O100" s="3">
        <f t="shared" ca="1" si="15"/>
        <v>45260</v>
      </c>
      <c r="P100" s="4" t="s">
        <v>76</v>
      </c>
      <c r="Q100" s="4" t="s">
        <v>77</v>
      </c>
      <c r="R100" s="4" t="s">
        <v>78</v>
      </c>
      <c r="S100" s="4" t="s">
        <v>79</v>
      </c>
      <c r="T100" s="4">
        <f ca="1">ROUND(_Google_ads[[#This Row],[impressions]]*RANDBETWEEN(8,12)/10,0)</f>
        <v>28280</v>
      </c>
      <c r="U100" s="4">
        <f ca="1">ROUND(_Google_ads[[#This Row],[clicks]]*RANDBETWEEN(8,12)/10,0)</f>
        <v>1070</v>
      </c>
      <c r="V100" s="4">
        <f ca="1">_Google_ads[[#This Row],[cost]]*RANDBETWEEN(8,12)/10</f>
        <v>272.16000000000003</v>
      </c>
      <c r="W100" s="4">
        <f ca="1">ROUND(_Google_ads[[#This Row],[conversions]]*RANDBETWEEN(8,12)/10,0)</f>
        <v>48</v>
      </c>
      <c r="X100" s="4">
        <f ca="1">ROUND(_Google_ads[[#This Row],[conversion_value]]*RANDBETWEEN(8,12)/10,0)</f>
        <v>1760</v>
      </c>
      <c r="Y100" s="4">
        <f ca="1">_Google_ads[[#This Row],[ctr]]*RANDBETWEEN(8,12)/10</f>
        <v>4.0400000000000005E-2</v>
      </c>
      <c r="Z100" s="4">
        <f ca="1">_Google_ads[[#This Row],[avg_cpc]]*RANDBETWEEN(8,12)/10</f>
        <v>0.22800000000000004</v>
      </c>
      <c r="AA100" s="4">
        <f ca="1">ROUND(_Google_ads[[#This Row],[quality_score]]*RANDBETWEEN(8,12)/10,0)</f>
        <v>7</v>
      </c>
      <c r="AB100" s="4">
        <f ca="1">_Google_ads[[#This Row],[search_impression_share]]*RANDBETWEEN(8,12)/10</f>
        <v>0.72</v>
      </c>
      <c r="AD100" s="3">
        <f t="shared" ca="1" si="16"/>
        <v>45255</v>
      </c>
      <c r="AE100" s="4" t="s">
        <v>100</v>
      </c>
      <c r="AF100" s="4" t="s">
        <v>101</v>
      </c>
      <c r="AG100" s="4" t="s">
        <v>102</v>
      </c>
      <c r="AH100" s="4" t="s">
        <v>103</v>
      </c>
      <c r="AI100" s="4">
        <f ca="1">ROUND(T_Tiktok_ads[[#This Row],[impressions]]*RANDBETWEEN(8,12)/10,0)</f>
        <v>294679</v>
      </c>
      <c r="AJ100" s="4">
        <f ca="1">ROUND(T_Tiktok_ads[[#This Row],[clicks]]*RANDBETWEEN(8,12)/10,0)</f>
        <v>3156</v>
      </c>
      <c r="AK100" s="4">
        <v>501.2</v>
      </c>
      <c r="AL100" s="4">
        <f ca="1">ROUND(T_Tiktok_ads[[#This Row],[conversions]]*RANDBETWEEN(8,12)/10,0)</f>
        <v>44</v>
      </c>
      <c r="AM100" s="4">
        <f ca="1">ROUND(T_Tiktok_ads[[#This Row],[video_views]]*RANDBETWEEN(8,12)/10,0)</f>
        <v>176987</v>
      </c>
      <c r="AN100" s="4">
        <f ca="1">ROUND(T_Tiktok_ads[[#This Row],[video_watch_25]]*RANDBETWEEN(8,12)/10,0)</f>
        <v>156110</v>
      </c>
      <c r="AO100" s="4">
        <f ca="1">ROUND(T_Tiktok_ads[[#This Row],[video_watch_50]]*RANDBETWEEN(8,12)/10,0)</f>
        <v>98311</v>
      </c>
      <c r="AP100" s="4">
        <f ca="1">ROUND(T_Tiktok_ads[[#This Row],[video_watch_75]]*RANDBETWEEN(8,12)/10,0)</f>
        <v>88280</v>
      </c>
      <c r="AQ100" s="4">
        <f ca="1">ROUND(T_Tiktok_ads[[#This Row],[video_watch_100]]*RANDBETWEEN(8,12)/10,0)</f>
        <v>44311</v>
      </c>
      <c r="AR100" s="4">
        <f ca="1">ROUND(T_Tiktok_ads[[#This Row],[likes]]*RANDBETWEEN(8,12)/10,0)</f>
        <v>9789</v>
      </c>
      <c r="AS100" s="4">
        <f ca="1">ROUND(T_Tiktok_ads[[#This Row],[shares]]*RANDBETWEEN(8,12)/10,0)</f>
        <v>2897</v>
      </c>
      <c r="AT100" s="4">
        <f ca="1">ROUND(T_Tiktok_ads[[#This Row],[comments]]*RANDBETWEEN(8,12)/10,0)</f>
        <v>498</v>
      </c>
      <c r="AV100" s="5">
        <f t="shared" ca="1" si="17"/>
        <v>45257</v>
      </c>
      <c r="AW100">
        <f t="shared" ca="1" si="13"/>
        <v>8</v>
      </c>
      <c r="AX100">
        <f ca="1">ROUND(T_Facebook_Ads1159636771757983879195[[#This Row],[impressions]]*RANDBETWEEN(8,12)/10,0)</f>
        <v>44567</v>
      </c>
      <c r="AY100">
        <f ca="1">ROUND(T_Facebook_Ads1159636771757983879195[[#This Row],[clicks]]*RANDBETWEEN(8,12)/10,0)</f>
        <v>712</v>
      </c>
      <c r="AZ100">
        <f ca="1">T_Facebook_Ads1159636771757983879195[[#This Row],[spend]]*RANDBETWEEN(8,12)/10</f>
        <v>102.08</v>
      </c>
      <c r="BA100">
        <f ca="1">ROUND(T_Facebook_Ads1159636771757983879195[[#This Row],[conversions]]*RANDBETWEEN(8,12)/10,0)</f>
        <v>13</v>
      </c>
      <c r="BB100">
        <f ca="1">ROUND(T_Facebook_Ads1159636771757983879195[[#This Row],[video_views]]*RANDBETWEEN(8,12)/10,0)</f>
        <v>8773</v>
      </c>
    </row>
    <row r="101" spans="1:54" ht="15.75" thickBot="1" x14ac:dyDescent="0.3">
      <c r="A101" s="3">
        <f t="shared" ca="1" si="14"/>
        <v>45235</v>
      </c>
      <c r="B101" s="4" t="s">
        <v>56</v>
      </c>
      <c r="C101" s="4" t="s">
        <v>57</v>
      </c>
      <c r="D101" s="4" t="s">
        <v>58</v>
      </c>
      <c r="E101" s="4" t="s">
        <v>59</v>
      </c>
      <c r="F101" s="4">
        <f ca="1">ROUND(T_Facebook_Ads[[#This Row],[impressions]]*RANDBETWEEN(8,12)/10,0)</f>
        <v>13747</v>
      </c>
      <c r="G101" s="4">
        <v>523</v>
      </c>
      <c r="H101" s="4">
        <f ca="1">T_Facebook_Ads[[#This Row],[spend]]*RANDBETWEEN(8,12)/10</f>
        <v>192.3</v>
      </c>
      <c r="I101" s="4">
        <f ca="1">ROUND(T_Facebook_Ads[[#This Row],[conversions]]*RANDBETWEEN(8,12)/10,0)</f>
        <v>33</v>
      </c>
      <c r="J101" s="4">
        <f ca="1">ROUND(T_Facebook_Ads[[#This Row],[video_views]]*RANDBETWEEN(8,12)/10,0)</f>
        <v>1089</v>
      </c>
      <c r="K101" s="4">
        <f ca="1">T_Facebook_Ads[[#This Row],[engagement_rate]]*RANDBETWEEN(8,12)/10</f>
        <v>4.113E-2</v>
      </c>
      <c r="L101" s="4">
        <f ca="1">ROUND(T_Facebook_Ads[[#This Row],[reach]]*RANDBETWEEN(8,12)/10,0)</f>
        <v>8967</v>
      </c>
      <c r="M101" s="4">
        <f ca="1">T_Facebook_Ads[[#This Row],[frequency]]*RANDBETWEEN(8,12)/10</f>
        <v>1.024</v>
      </c>
      <c r="O101" s="3">
        <f t="shared" ca="1" si="15"/>
        <v>45242</v>
      </c>
      <c r="P101" s="4" t="s">
        <v>80</v>
      </c>
      <c r="Q101" s="4" t="s">
        <v>81</v>
      </c>
      <c r="R101" s="4" t="s">
        <v>82</v>
      </c>
      <c r="S101" s="4" t="s">
        <v>83</v>
      </c>
      <c r="T101" s="4">
        <f ca="1">ROUND(_Google_ads[[#This Row],[impressions]]*RANDBETWEEN(8,12)/10,0)</f>
        <v>38601</v>
      </c>
      <c r="U101" s="4">
        <f ca="1">ROUND(_Google_ads[[#This Row],[clicks]]*RANDBETWEEN(8,12)/10,0)</f>
        <v>667</v>
      </c>
      <c r="V101" s="4">
        <f ca="1">_Google_ads[[#This Row],[cost]]*RANDBETWEEN(8,12)/10</f>
        <v>439.43999999999994</v>
      </c>
      <c r="W101" s="4">
        <f ca="1">ROUND(_Google_ads[[#This Row],[conversions]]*RANDBETWEEN(8,12)/10,0)</f>
        <v>21</v>
      </c>
      <c r="X101" s="4">
        <f ca="1">ROUND(_Google_ads[[#This Row],[conversion_value]]*RANDBETWEEN(8,12)/10,0)</f>
        <v>1050</v>
      </c>
      <c r="Y101" s="4">
        <f ca="1">_Google_ads[[#This Row],[ctr]]*RANDBETWEEN(8,12)/10</f>
        <v>1.95E-2</v>
      </c>
      <c r="Z101" s="4">
        <f ca="1">_Google_ads[[#This Row],[avg_cpc]]*RANDBETWEEN(8,12)/10</f>
        <v>0.79200000000000004</v>
      </c>
      <c r="AA101" s="4">
        <f ca="1">ROUND(_Google_ads[[#This Row],[quality_score]]*RANDBETWEEN(8,12)/10,0)</f>
        <v>6</v>
      </c>
      <c r="AB101" s="4">
        <f ca="1">_Google_ads[[#This Row],[search_impression_share]]*RANDBETWEEN(8,12)/10</f>
        <v>0.47299999999999998</v>
      </c>
      <c r="AD101" s="3">
        <f t="shared" ca="1" si="16"/>
        <v>45242</v>
      </c>
      <c r="AE101" s="4" t="s">
        <v>104</v>
      </c>
      <c r="AF101" s="4" t="s">
        <v>105</v>
      </c>
      <c r="AG101" s="4" t="s">
        <v>106</v>
      </c>
      <c r="AH101" s="4" t="s">
        <v>107</v>
      </c>
      <c r="AI101" s="4">
        <f ca="1">ROUND(T_Tiktok_ads[[#This Row],[impressions]]*RANDBETWEEN(8,12)/10,0)</f>
        <v>148901</v>
      </c>
      <c r="AJ101" s="4">
        <f ca="1">ROUND(T_Tiktok_ads[[#This Row],[clicks]]*RANDBETWEEN(8,12)/10,0)</f>
        <v>2551</v>
      </c>
      <c r="AK101" s="4">
        <v>756.7</v>
      </c>
      <c r="AL101" s="4">
        <f ca="1">ROUND(T_Tiktok_ads[[#This Row],[conversions]]*RANDBETWEEN(8,12)/10,0)</f>
        <v>91</v>
      </c>
      <c r="AM101" s="4">
        <f ca="1">ROUND(T_Tiktok_ads[[#This Row],[video_views]]*RANDBETWEEN(8,12)/10,0)</f>
        <v>121481</v>
      </c>
      <c r="AN101" s="4">
        <f ca="1">ROUND(T_Tiktok_ads[[#This Row],[video_watch_25]]*RANDBETWEEN(8,12)/10,0)</f>
        <v>67110</v>
      </c>
      <c r="AO101" s="4">
        <f ca="1">ROUND(T_Tiktok_ads[[#This Row],[video_watch_50]]*RANDBETWEEN(8,12)/10,0)</f>
        <v>60281</v>
      </c>
      <c r="AP101" s="4">
        <f ca="1">ROUND(T_Tiktok_ads[[#This Row],[video_watch_75]]*RANDBETWEEN(8,12)/10,0)</f>
        <v>41679</v>
      </c>
      <c r="AQ101" s="4">
        <f ca="1">ROUND(T_Tiktok_ads[[#This Row],[video_watch_100]]*RANDBETWEEN(8,12)/10,0)</f>
        <v>30281</v>
      </c>
      <c r="AR101" s="4">
        <f ca="1">ROUND(T_Tiktok_ads[[#This Row],[likes]]*RANDBETWEEN(8,12)/10,0)</f>
        <v>4511</v>
      </c>
      <c r="AS101" s="4">
        <f ca="1">ROUND(T_Tiktok_ads[[#This Row],[shares]]*RANDBETWEEN(8,12)/10,0)</f>
        <v>1281</v>
      </c>
      <c r="AT101" s="4">
        <f ca="1">ROUND(T_Tiktok_ads[[#This Row],[comments]]*RANDBETWEEN(8,12)/10,0)</f>
        <v>214</v>
      </c>
      <c r="AV101" s="5">
        <f t="shared" ca="1" si="17"/>
        <v>45251</v>
      </c>
      <c r="AW101">
        <f t="shared" ca="1" si="13"/>
        <v>1</v>
      </c>
      <c r="AX101">
        <f ca="1">ROUND(T_Facebook_Ads1159636771757983879195[[#This Row],[impressions]]*RANDBETWEEN(8,12)/10,0)</f>
        <v>10998</v>
      </c>
      <c r="AY101">
        <f ca="1">ROUND(T_Facebook_Ads1159636771757983879195[[#This Row],[clicks]]*RANDBETWEEN(8,12)/10,0)</f>
        <v>575</v>
      </c>
      <c r="AZ101">
        <f ca="1">T_Facebook_Ads1159636771757983879195[[#This Row],[spend]]*RANDBETWEEN(8,12)/10</f>
        <v>153.84</v>
      </c>
      <c r="BA101">
        <f ca="1">ROUND(T_Facebook_Ads1159636771757983879195[[#This Row],[conversions]]*RANDBETWEEN(8,12)/10,0)</f>
        <v>33</v>
      </c>
      <c r="BB101">
        <f ca="1">ROUND(T_Facebook_Ads1159636771757983879195[[#This Row],[video_views]]*RANDBETWEEN(8,12)/10,0)</f>
        <v>1307</v>
      </c>
    </row>
    <row r="102" spans="1:54" ht="15.75" thickBot="1" x14ac:dyDescent="0.3">
      <c r="A102" s="3">
        <f t="shared" ca="1" si="14"/>
        <v>45231</v>
      </c>
      <c r="B102" s="4" t="s">
        <v>60</v>
      </c>
      <c r="C102" s="4" t="s">
        <v>61</v>
      </c>
      <c r="D102" s="4" t="s">
        <v>62</v>
      </c>
      <c r="E102" s="4" t="s">
        <v>63</v>
      </c>
      <c r="F102" s="4">
        <f ca="1">ROUND(T_Facebook_Ads[[#This Row],[impressions]]*RANDBETWEEN(8,12)/10,0)</f>
        <v>33567</v>
      </c>
      <c r="G102" s="4">
        <v>1203</v>
      </c>
      <c r="H102" s="4">
        <f ca="1">T_Facebook_Ads[[#This Row],[spend]]*RANDBETWEEN(8,12)/10</f>
        <v>221.4</v>
      </c>
      <c r="I102" s="4">
        <f ca="1">ROUND(T_Facebook_Ads[[#This Row],[conversions]]*RANDBETWEEN(8,12)/10,0)</f>
        <v>28</v>
      </c>
      <c r="J102" s="4">
        <f ca="1">ROUND(T_Facebook_Ads[[#This Row],[video_views]]*RANDBETWEEN(8,12)/10,0)</f>
        <v>3711</v>
      </c>
      <c r="K102" s="4">
        <f ca="1">T_Facebook_Ads[[#This Row],[engagement_rate]]*RANDBETWEEN(8,12)/10</f>
        <v>3.2219999999999999E-2</v>
      </c>
      <c r="L102" s="4">
        <f ca="1">ROUND(T_Facebook_Ads[[#This Row],[reach]]*RANDBETWEEN(8,12)/10,0)</f>
        <v>22312</v>
      </c>
      <c r="M102" s="4">
        <f ca="1">T_Facebook_Ads[[#This Row],[frequency]]*RANDBETWEEN(8,12)/10</f>
        <v>1.3199999999999998</v>
      </c>
      <c r="O102" s="3">
        <f t="shared" ca="1" si="15"/>
        <v>45239</v>
      </c>
      <c r="P102" s="4" t="s">
        <v>84</v>
      </c>
      <c r="Q102" s="4" t="s">
        <v>85</v>
      </c>
      <c r="R102" s="4" t="s">
        <v>86</v>
      </c>
      <c r="S102" s="4" t="s">
        <v>87</v>
      </c>
      <c r="T102" s="4">
        <f ca="1">ROUND(_Google_ads[[#This Row],[impressions]]*RANDBETWEEN(8,12)/10,0)</f>
        <v>79481</v>
      </c>
      <c r="U102" s="4">
        <f ca="1">ROUND(_Google_ads[[#This Row],[clicks]]*RANDBETWEEN(8,12)/10,0)</f>
        <v>1734</v>
      </c>
      <c r="V102" s="4">
        <f ca="1">_Google_ads[[#This Row],[cost]]*RANDBETWEEN(8,12)/10</f>
        <v>356.22</v>
      </c>
      <c r="W102" s="4">
        <f ca="1">ROUND(_Google_ads[[#This Row],[conversions]]*RANDBETWEEN(8,12)/10,0)</f>
        <v>49</v>
      </c>
      <c r="X102" s="4">
        <f ca="1">ROUND(_Google_ads[[#This Row],[conversion_value]]*RANDBETWEEN(8,12)/10,0)</f>
        <v>3355</v>
      </c>
      <c r="Y102" s="4">
        <f ca="1">_Google_ads[[#This Row],[ctr]]*RANDBETWEEN(8,12)/10</f>
        <v>3.5970000000000002E-2</v>
      </c>
      <c r="Z102" s="4">
        <f ca="1">_Google_ads[[#This Row],[avg_cpc]]*RANDBETWEEN(8,12)/10</f>
        <v>0.14399999999999999</v>
      </c>
      <c r="AA102" s="4">
        <f ca="1">ROUND(_Google_ads[[#This Row],[quality_score]]*RANDBETWEEN(8,12)/10,0)</f>
        <v>10</v>
      </c>
      <c r="AB102" s="4">
        <f ca="1">_Google_ads[[#This Row],[search_impression_share]]*RANDBETWEEN(8,12)/10</f>
        <v>0.59400000000000008</v>
      </c>
      <c r="AD102" s="3">
        <f t="shared" ca="1" si="16"/>
        <v>45233</v>
      </c>
      <c r="AE102" s="4" t="s">
        <v>108</v>
      </c>
      <c r="AF102" s="4" t="s">
        <v>109</v>
      </c>
      <c r="AG102" s="4" t="s">
        <v>110</v>
      </c>
      <c r="AH102" s="4" t="s">
        <v>111</v>
      </c>
      <c r="AI102" s="4">
        <f ca="1">ROUND(T_Tiktok_ads[[#This Row],[impressions]]*RANDBETWEEN(8,12)/10,0)</f>
        <v>268147</v>
      </c>
      <c r="AJ102" s="4">
        <f ca="1">ROUND(T_Tiktok_ads[[#This Row],[clicks]]*RANDBETWEEN(8,12)/10,0)</f>
        <v>3567</v>
      </c>
      <c r="AK102" s="4">
        <v>427.7</v>
      </c>
      <c r="AL102" s="4">
        <f ca="1">ROUND(T_Tiktok_ads[[#This Row],[conversions]]*RANDBETWEEN(8,12)/10,0)</f>
        <v>33</v>
      </c>
      <c r="AM102" s="4">
        <f ca="1">ROUND(T_Tiktok_ads[[#This Row],[video_views]]*RANDBETWEEN(8,12)/10,0)</f>
        <v>196791</v>
      </c>
      <c r="AN102" s="4">
        <f ca="1">ROUND(T_Tiktok_ads[[#This Row],[video_watch_25]]*RANDBETWEEN(8,12)/10,0)</f>
        <v>108187</v>
      </c>
      <c r="AO102" s="4">
        <f ca="1">ROUND(T_Tiktok_ads[[#This Row],[video_watch_50]]*RANDBETWEEN(8,12)/10,0)</f>
        <v>106789</v>
      </c>
      <c r="AP102" s="4">
        <f ca="1">ROUND(T_Tiktok_ads[[#This Row],[video_watch_75]]*RANDBETWEEN(8,12)/10,0)</f>
        <v>83081</v>
      </c>
      <c r="AQ102" s="4">
        <f ca="1">ROUND(T_Tiktok_ads[[#This Row],[video_watch_100]]*RANDBETWEEN(8,12)/10,0)</f>
        <v>45968</v>
      </c>
      <c r="AR102" s="4">
        <f ca="1">ROUND(T_Tiktok_ads[[#This Row],[likes]]*RANDBETWEEN(8,12)/10,0)</f>
        <v>8234</v>
      </c>
      <c r="AS102" s="4">
        <f ca="1">ROUND(T_Tiktok_ads[[#This Row],[shares]]*RANDBETWEEN(8,12)/10,0)</f>
        <v>2494</v>
      </c>
      <c r="AT102" s="4">
        <f ca="1">ROUND(T_Tiktok_ads[[#This Row],[comments]]*RANDBETWEEN(8,12)/10,0)</f>
        <v>427</v>
      </c>
      <c r="AV102" s="5">
        <f t="shared" ca="1" si="17"/>
        <v>45252</v>
      </c>
      <c r="AW102">
        <f t="shared" ca="1" si="13"/>
        <v>3</v>
      </c>
      <c r="AX102">
        <f ca="1">ROUND(T_Facebook_Ads1159636771757983879195[[#This Row],[impressions]]*RANDBETWEEN(8,12)/10,0)</f>
        <v>26854</v>
      </c>
      <c r="AY102">
        <f ca="1">ROUND(T_Facebook_Ads1159636771757983879195[[#This Row],[clicks]]*RANDBETWEEN(8,12)/10,0)</f>
        <v>1203</v>
      </c>
      <c r="AZ102">
        <f ca="1">T_Facebook_Ads1159636771757983879195[[#This Row],[spend]]*RANDBETWEEN(8,12)/10</f>
        <v>177.12</v>
      </c>
      <c r="BA102">
        <f ca="1">ROUND(T_Facebook_Ads1159636771757983879195[[#This Row],[conversions]]*RANDBETWEEN(8,12)/10,0)</f>
        <v>28</v>
      </c>
      <c r="BB102">
        <f ca="1">ROUND(T_Facebook_Ads1159636771757983879195[[#This Row],[video_views]]*RANDBETWEEN(8,12)/10,0)</f>
        <v>3340</v>
      </c>
    </row>
    <row r="103" spans="1:54" ht="15.75" thickBot="1" x14ac:dyDescent="0.3">
      <c r="A103" s="3">
        <f t="shared" ca="1" si="14"/>
        <v>45244</v>
      </c>
      <c r="B103" s="4" t="s">
        <v>64</v>
      </c>
      <c r="C103" s="4" t="s">
        <v>65</v>
      </c>
      <c r="D103" s="4" t="s">
        <v>66</v>
      </c>
      <c r="E103" s="4" t="s">
        <v>67</v>
      </c>
      <c r="F103" s="4">
        <f ca="1">ROUND(T_Facebook_Ads[[#This Row],[impressions]]*RANDBETWEEN(8,12)/10,0)</f>
        <v>78947</v>
      </c>
      <c r="G103" s="4">
        <v>234</v>
      </c>
      <c r="H103" s="4">
        <f ca="1">T_Facebook_Ads[[#This Row],[spend]]*RANDBETWEEN(8,12)/10</f>
        <v>96.48</v>
      </c>
      <c r="I103" s="4">
        <f ca="1">ROUND(T_Facebook_Ads[[#This Row],[conversions]]*RANDBETWEEN(8,12)/10,0)</f>
        <v>3</v>
      </c>
      <c r="J103" s="4">
        <f ca="1">ROUND(T_Facebook_Ads[[#This Row],[video_views]]*RANDBETWEEN(8,12)/10,0)</f>
        <v>39501</v>
      </c>
      <c r="K103" s="4">
        <f ca="1">T_Facebook_Ads[[#This Row],[engagement_rate]]*RANDBETWEEN(8,12)/10</f>
        <v>3.96E-3</v>
      </c>
      <c r="L103" s="4">
        <f ca="1">ROUND(T_Facebook_Ads[[#This Row],[reach]]*RANDBETWEEN(8,12)/10,0)</f>
        <v>54123</v>
      </c>
      <c r="M103" s="4">
        <f ca="1">T_Facebook_Ads[[#This Row],[frequency]]*RANDBETWEEN(8,12)/10</f>
        <v>0.96799999999999997</v>
      </c>
      <c r="O103" s="3">
        <f t="shared" ca="1" si="15"/>
        <v>45236</v>
      </c>
      <c r="P103" s="4" t="s">
        <v>88</v>
      </c>
      <c r="Q103" s="4" t="s">
        <v>89</v>
      </c>
      <c r="R103" s="4" t="s">
        <v>90</v>
      </c>
      <c r="S103" s="4" t="s">
        <v>59</v>
      </c>
      <c r="T103" s="4">
        <f ca="1">ROUND(_Google_ads[[#This Row],[impressions]]*RANDBETWEEN(8,12)/10,0)</f>
        <v>101876</v>
      </c>
      <c r="U103" s="4">
        <f ca="1">ROUND(_Google_ads[[#This Row],[clicks]]*RANDBETWEEN(8,12)/10,0)</f>
        <v>356</v>
      </c>
      <c r="V103" s="4">
        <f ca="1">_Google_ads[[#This Row],[cost]]*RANDBETWEEN(8,12)/10</f>
        <v>112.58999999999999</v>
      </c>
      <c r="W103" s="4">
        <f ca="1">ROUND(_Google_ads[[#This Row],[conversions]]*RANDBETWEEN(8,12)/10,0)</f>
        <v>11</v>
      </c>
      <c r="X103" s="4">
        <f ca="1">ROUND(_Google_ads[[#This Row],[conversion_value]]*RANDBETWEEN(8,12)/10,0)</f>
        <v>660</v>
      </c>
      <c r="Y103" s="4">
        <f ca="1">_Google_ads[[#This Row],[ctr]]*RANDBETWEEN(8,12)/10</f>
        <v>2.8E-3</v>
      </c>
      <c r="Z103" s="4">
        <f ca="1">_Google_ads[[#This Row],[avg_cpc]]*RANDBETWEEN(8,12)/10</f>
        <v>0.22400000000000003</v>
      </c>
      <c r="AA103" s="4">
        <f ca="1">ROUND(_Google_ads[[#This Row],[quality_score]]*RANDBETWEEN(8,12)/10,0)</f>
        <v>6</v>
      </c>
      <c r="AB103" s="4">
        <f ca="1">_Google_ads[[#This Row],[search_impression_share]]*RANDBETWEEN(8,12)/10</f>
        <v>0.33</v>
      </c>
      <c r="AD103" s="3">
        <f t="shared" ca="1" si="16"/>
        <v>45256</v>
      </c>
      <c r="AE103" s="4" t="s">
        <v>112</v>
      </c>
      <c r="AF103" s="4" t="s">
        <v>113</v>
      </c>
      <c r="AG103" s="4" t="s">
        <v>114</v>
      </c>
      <c r="AH103" s="4" t="s">
        <v>115</v>
      </c>
      <c r="AI103" s="4">
        <f ca="1">ROUND(T_Tiktok_ads[[#This Row],[impressions]]*RANDBETWEEN(8,12)/10,0)</f>
        <v>361111</v>
      </c>
      <c r="AJ103" s="4">
        <f ca="1">ROUND(T_Tiktok_ads[[#This Row],[clicks]]*RANDBETWEEN(8,12)/10,0)</f>
        <v>5810</v>
      </c>
      <c r="AK103" s="4">
        <v>989.9</v>
      </c>
      <c r="AL103" s="4">
        <f ca="1">ROUND(T_Tiktok_ads[[#This Row],[conversions]]*RANDBETWEEN(8,12)/10,0)</f>
        <v>81</v>
      </c>
      <c r="AM103" s="4">
        <f ca="1">ROUND(T_Tiktok_ads[[#This Row],[video_views]]*RANDBETWEEN(8,12)/10,0)</f>
        <v>365580</v>
      </c>
      <c r="AN103" s="4">
        <f ca="1">ROUND(T_Tiktok_ads[[#This Row],[video_watch_25]]*RANDBETWEEN(8,12)/10,0)</f>
        <v>241101</v>
      </c>
      <c r="AO103" s="4">
        <f ca="1">ROUND(T_Tiktok_ads[[#This Row],[video_watch_50]]*RANDBETWEEN(8,12)/10,0)</f>
        <v>236024</v>
      </c>
      <c r="AP103" s="4">
        <f ca="1">ROUND(T_Tiktok_ads[[#This Row],[video_watch_75]]*RANDBETWEEN(8,12)/10,0)</f>
        <v>181481</v>
      </c>
      <c r="AQ103" s="4">
        <f ca="1">ROUND(T_Tiktok_ads[[#This Row],[video_watch_100]]*RANDBETWEEN(8,12)/10,0)</f>
        <v>79654</v>
      </c>
      <c r="AR103" s="4">
        <f ca="1">ROUND(T_Tiktok_ads[[#This Row],[likes]]*RANDBETWEEN(8,12)/10,0)</f>
        <v>15511</v>
      </c>
      <c r="AS103" s="4">
        <f ca="1">ROUND(T_Tiktok_ads[[#This Row],[shares]]*RANDBETWEEN(8,12)/10,0)</f>
        <v>4511</v>
      </c>
      <c r="AT103" s="4">
        <f ca="1">ROUND(T_Tiktok_ads[[#This Row],[comments]]*RANDBETWEEN(8,12)/10,0)</f>
        <v>1378</v>
      </c>
      <c r="AV103" s="5">
        <f t="shared" ca="1" si="17"/>
        <v>45247</v>
      </c>
      <c r="AW103">
        <f t="shared" ca="1" si="13"/>
        <v>3</v>
      </c>
      <c r="AX103">
        <f ca="1">ROUND(T_Facebook_Ads1159636771757983879195[[#This Row],[impressions]]*RANDBETWEEN(8,12)/10,0)</f>
        <v>86842</v>
      </c>
      <c r="AY103">
        <f ca="1">ROUND(T_Facebook_Ads1159636771757983879195[[#This Row],[clicks]]*RANDBETWEEN(8,12)/10,0)</f>
        <v>187</v>
      </c>
      <c r="AZ103">
        <f ca="1">T_Facebook_Ads1159636771757983879195[[#This Row],[spend]]*RANDBETWEEN(8,12)/10</f>
        <v>106.128</v>
      </c>
      <c r="BA103">
        <f ca="1">ROUND(T_Facebook_Ads1159636771757983879195[[#This Row],[conversions]]*RANDBETWEEN(8,12)/10,0)</f>
        <v>4</v>
      </c>
      <c r="BB103">
        <f ca="1">ROUND(T_Facebook_Ads1159636771757983879195[[#This Row],[video_views]]*RANDBETWEEN(8,12)/10,0)</f>
        <v>47401</v>
      </c>
    </row>
    <row r="104" spans="1:54" ht="15.75" thickBot="1" x14ac:dyDescent="0.3">
      <c r="A104" s="3">
        <f t="shared" ca="1" si="14"/>
        <v>45246</v>
      </c>
      <c r="B104" s="4" t="s">
        <v>52</v>
      </c>
      <c r="C104" s="4" t="s">
        <v>53</v>
      </c>
      <c r="D104" s="4" t="s">
        <v>54</v>
      </c>
      <c r="E104" s="4" t="s">
        <v>55</v>
      </c>
      <c r="F104" s="4">
        <f ca="1">ROUND(T_Facebook_Ads[[#This Row],[impressions]]*RANDBETWEEN(8,12)/10,0)</f>
        <v>38312</v>
      </c>
      <c r="G104" s="4">
        <v>967</v>
      </c>
      <c r="H104" s="4">
        <f ca="1">T_Facebook_Ads[[#This Row],[spend]]*RANDBETWEEN(8,12)/10</f>
        <v>110.72</v>
      </c>
      <c r="I104" s="4">
        <f ca="1">ROUND(T_Facebook_Ads[[#This Row],[conversions]]*RANDBETWEEN(8,12)/10,0)</f>
        <v>15</v>
      </c>
      <c r="J104" s="4">
        <f ca="1">ROUND(T_Facebook_Ads[[#This Row],[video_views]]*RANDBETWEEN(8,12)/10,0)</f>
        <v>7910</v>
      </c>
      <c r="K104" s="4">
        <f ca="1">T_Facebook_Ads[[#This Row],[engagement_rate]]*RANDBETWEEN(8,12)/10</f>
        <v>2.0199999999999999E-2</v>
      </c>
      <c r="L104" s="4">
        <f ca="1">ROUND(T_Facebook_Ads[[#This Row],[reach]]*RANDBETWEEN(8,12)/10,0)</f>
        <v>40234</v>
      </c>
      <c r="M104" s="4">
        <f ca="1">T_Facebook_Ads[[#This Row],[frequency]]*RANDBETWEEN(8,12)/10</f>
        <v>0.95199999999999996</v>
      </c>
      <c r="O104" s="3">
        <f t="shared" ca="1" si="15"/>
        <v>45232</v>
      </c>
      <c r="P104" s="4" t="s">
        <v>76</v>
      </c>
      <c r="Q104" s="4" t="s">
        <v>77</v>
      </c>
      <c r="R104" s="4" t="s">
        <v>78</v>
      </c>
      <c r="S104" s="4" t="s">
        <v>79</v>
      </c>
      <c r="T104" s="4">
        <f ca="1">ROUND(_Google_ads[[#This Row],[impressions]]*RANDBETWEEN(8,12)/10,0)</f>
        <v>19912</v>
      </c>
      <c r="U104" s="4">
        <f ca="1">ROUND(_Google_ads[[#This Row],[clicks]]*RANDBETWEEN(8,12)/10,0)</f>
        <v>1278</v>
      </c>
      <c r="V104" s="4">
        <f ca="1">_Google_ads[[#This Row],[cost]]*RANDBETWEEN(8,12)/10</f>
        <v>268.62</v>
      </c>
      <c r="W104" s="4">
        <f ca="1">ROUND(_Google_ads[[#This Row],[conversions]]*RANDBETWEEN(8,12)/10,0)</f>
        <v>56</v>
      </c>
      <c r="X104" s="4">
        <f ca="1">ROUND(_Google_ads[[#This Row],[conversion_value]]*RANDBETWEEN(8,12)/10,0)</f>
        <v>2585</v>
      </c>
      <c r="Y104" s="4">
        <f ca="1">_Google_ads[[#This Row],[ctr]]*RANDBETWEEN(8,12)/10</f>
        <v>4.6170000000000003E-2</v>
      </c>
      <c r="Z104" s="4">
        <f ca="1">_Google_ads[[#This Row],[avg_cpc]]*RANDBETWEEN(8,12)/10</f>
        <v>0.20899999999999999</v>
      </c>
      <c r="AA104" s="4">
        <f ca="1">ROUND(_Google_ads[[#This Row],[quality_score]]*RANDBETWEEN(8,12)/10,0)</f>
        <v>7</v>
      </c>
      <c r="AB104" s="4">
        <f ca="1">_Google_ads[[#This Row],[search_impression_share]]*RANDBETWEEN(8,12)/10</f>
        <v>0.81899999999999995</v>
      </c>
      <c r="AD104" s="3">
        <f t="shared" ca="1" si="16"/>
        <v>45237</v>
      </c>
      <c r="AE104" s="4" t="s">
        <v>100</v>
      </c>
      <c r="AF104" s="4" t="s">
        <v>101</v>
      </c>
      <c r="AG104" s="4" t="s">
        <v>102</v>
      </c>
      <c r="AH104" s="4" t="s">
        <v>103</v>
      </c>
      <c r="AI104" s="4">
        <f ca="1">ROUND(T_Tiktok_ads[[#This Row],[impressions]]*RANDBETWEEN(8,12)/10,0)</f>
        <v>317913</v>
      </c>
      <c r="AJ104" s="4">
        <f ca="1">ROUND(T_Tiktok_ads[[#This Row],[clicks]]*RANDBETWEEN(8,12)/10,0)</f>
        <v>3811</v>
      </c>
      <c r="AK104" s="4">
        <v>556.70000000000005</v>
      </c>
      <c r="AL104" s="4">
        <f ca="1">ROUND(T_Tiktok_ads[[#This Row],[conversions]]*RANDBETWEEN(8,12)/10,0)</f>
        <v>34</v>
      </c>
      <c r="AM104" s="4">
        <f ca="1">ROUND(T_Tiktok_ads[[#This Row],[video_views]]*RANDBETWEEN(8,12)/10,0)</f>
        <v>211110</v>
      </c>
      <c r="AN104" s="4">
        <f ca="1">ROUND(T_Tiktok_ads[[#This Row],[video_watch_25]]*RANDBETWEEN(8,12)/10,0)</f>
        <v>164111</v>
      </c>
      <c r="AO104" s="4">
        <f ca="1">ROUND(T_Tiktok_ads[[#This Row],[video_watch_50]]*RANDBETWEEN(8,12)/10,0)</f>
        <v>126024</v>
      </c>
      <c r="AP104" s="4">
        <f ca="1">ROUND(T_Tiktok_ads[[#This Row],[video_watch_75]]*RANDBETWEEN(8,12)/10,0)</f>
        <v>69511</v>
      </c>
      <c r="AQ104" s="4">
        <f ca="1">ROUND(T_Tiktok_ads[[#This Row],[video_watch_100]]*RANDBETWEEN(8,12)/10,0)</f>
        <v>46111</v>
      </c>
      <c r="AR104" s="4">
        <f ca="1">ROUND(T_Tiktok_ads[[#This Row],[likes]]*RANDBETWEEN(8,12)/10,0)</f>
        <v>8276</v>
      </c>
      <c r="AS104" s="4">
        <f ca="1">ROUND(T_Tiktok_ads[[#This Row],[shares]]*RANDBETWEEN(8,12)/10,0)</f>
        <v>3347</v>
      </c>
      <c r="AT104" s="4">
        <f ca="1">ROUND(T_Tiktok_ads[[#This Row],[comments]]*RANDBETWEEN(8,12)/10,0)</f>
        <v>656</v>
      </c>
      <c r="AV104" s="5">
        <f t="shared" ca="1" si="17"/>
        <v>45246</v>
      </c>
      <c r="AW104">
        <f t="shared" ca="1" si="13"/>
        <v>1</v>
      </c>
      <c r="AX104">
        <f ca="1">ROUND(T_Facebook_Ads1159636771757983879195[[#This Row],[impressions]]*RANDBETWEEN(8,12)/10,0)</f>
        <v>30650</v>
      </c>
      <c r="AY104">
        <f ca="1">ROUND(T_Facebook_Ads1159636771757983879195[[#This Row],[clicks]]*RANDBETWEEN(8,12)/10,0)</f>
        <v>870</v>
      </c>
      <c r="AZ104">
        <f ca="1">T_Facebook_Ads1159636771757983879195[[#This Row],[spend]]*RANDBETWEEN(8,12)/10</f>
        <v>121.792</v>
      </c>
      <c r="BA104">
        <f ca="1">ROUND(T_Facebook_Ads1159636771757983879195[[#This Row],[conversions]]*RANDBETWEEN(8,12)/10,0)</f>
        <v>12</v>
      </c>
      <c r="BB104">
        <f ca="1">ROUND(T_Facebook_Ads1159636771757983879195[[#This Row],[video_views]]*RANDBETWEEN(8,12)/10,0)</f>
        <v>8701</v>
      </c>
    </row>
    <row r="105" spans="1:54" ht="15.75" thickBot="1" x14ac:dyDescent="0.3">
      <c r="A105" s="3">
        <f t="shared" ca="1" si="14"/>
        <v>45231</v>
      </c>
      <c r="B105" s="4" t="s">
        <v>56</v>
      </c>
      <c r="C105" s="4" t="s">
        <v>57</v>
      </c>
      <c r="D105" s="4" t="s">
        <v>58</v>
      </c>
      <c r="E105" s="4" t="s">
        <v>59</v>
      </c>
      <c r="F105" s="4">
        <f ca="1">ROUND(T_Facebook_Ads[[#This Row],[impressions]]*RANDBETWEEN(8,12)/10,0)</f>
        <v>14557</v>
      </c>
      <c r="G105" s="4">
        <v>612</v>
      </c>
      <c r="H105" s="4">
        <f ca="1">T_Facebook_Ads[[#This Row],[spend]]*RANDBETWEEN(8,12)/10</f>
        <v>203.85</v>
      </c>
      <c r="I105" s="4">
        <f ca="1">ROUND(T_Facebook_Ads[[#This Row],[conversions]]*RANDBETWEEN(8,12)/10,0)</f>
        <v>47</v>
      </c>
      <c r="J105" s="4">
        <f ca="1">ROUND(T_Facebook_Ads[[#This Row],[video_views]]*RANDBETWEEN(8,12)/10,0)</f>
        <v>1211</v>
      </c>
      <c r="K105" s="4">
        <f ca="1">T_Facebook_Ads[[#This Row],[engagement_rate]]*RANDBETWEEN(8,12)/10</f>
        <v>3.7040000000000003E-2</v>
      </c>
      <c r="L105" s="4">
        <f ca="1">ROUND(T_Facebook_Ads[[#This Row],[reach]]*RANDBETWEEN(8,12)/10,0)</f>
        <v>10456</v>
      </c>
      <c r="M105" s="4">
        <f ca="1">T_Facebook_Ads[[#This Row],[frequency]]*RANDBETWEEN(8,12)/10</f>
        <v>1.016</v>
      </c>
      <c r="O105" s="3">
        <f t="shared" ca="1" si="15"/>
        <v>45251</v>
      </c>
      <c r="P105" s="4" t="s">
        <v>80</v>
      </c>
      <c r="Q105" s="4" t="s">
        <v>81</v>
      </c>
      <c r="R105" s="4" t="s">
        <v>82</v>
      </c>
      <c r="S105" s="4" t="s">
        <v>83</v>
      </c>
      <c r="T105" s="4">
        <f ca="1">ROUND(_Google_ads[[#This Row],[impressions]]*RANDBETWEEN(8,12)/10,0)</f>
        <v>35654</v>
      </c>
      <c r="U105" s="4">
        <f ca="1">ROUND(_Google_ads[[#This Row],[clicks]]*RANDBETWEEN(8,12)/10,0)</f>
        <v>966</v>
      </c>
      <c r="V105" s="4">
        <f ca="1">_Google_ads[[#This Row],[cost]]*RANDBETWEEN(8,12)/10</f>
        <v>627.87999999999988</v>
      </c>
      <c r="W105" s="4">
        <f ca="1">ROUND(_Google_ads[[#This Row],[conversions]]*RANDBETWEEN(8,12)/10,0)</f>
        <v>21</v>
      </c>
      <c r="X105" s="4">
        <f ca="1">ROUND(_Google_ads[[#This Row],[conversion_value]]*RANDBETWEEN(8,12)/10,0)</f>
        <v>920</v>
      </c>
      <c r="Y105" s="4">
        <f ca="1">_Google_ads[[#This Row],[ctr]]*RANDBETWEEN(8,12)/10</f>
        <v>1.9699999999999999E-2</v>
      </c>
      <c r="Z105" s="4">
        <f ca="1">_Google_ads[[#This Row],[avg_cpc]]*RANDBETWEEN(8,12)/10</f>
        <v>0.65</v>
      </c>
      <c r="AA105" s="4">
        <f ca="1">ROUND(_Google_ads[[#This Row],[quality_score]]*RANDBETWEEN(8,12)/10,0)</f>
        <v>8</v>
      </c>
      <c r="AB105" s="4">
        <f ca="1">_Google_ads[[#This Row],[search_impression_share]]*RANDBETWEEN(8,12)/10</f>
        <v>0.52800000000000002</v>
      </c>
      <c r="AD105" s="3">
        <f t="shared" ca="1" si="16"/>
        <v>45249</v>
      </c>
      <c r="AE105" s="4" t="s">
        <v>104</v>
      </c>
      <c r="AF105" s="4" t="s">
        <v>105</v>
      </c>
      <c r="AG105" s="4" t="s">
        <v>106</v>
      </c>
      <c r="AH105" s="4" t="s">
        <v>107</v>
      </c>
      <c r="AI105" s="4">
        <f ca="1">ROUND(T_Tiktok_ads[[#This Row],[impressions]]*RANDBETWEEN(8,12)/10,0)</f>
        <v>156789</v>
      </c>
      <c r="AJ105" s="4">
        <f ca="1">ROUND(T_Tiktok_ads[[#This Row],[clicks]]*RANDBETWEEN(8,12)/10,0)</f>
        <v>3012</v>
      </c>
      <c r="AK105" s="4">
        <v>812.3</v>
      </c>
      <c r="AL105" s="4">
        <f ca="1">ROUND(T_Tiktok_ads[[#This Row],[conversions]]*RANDBETWEEN(8,12)/10,0)</f>
        <v>66</v>
      </c>
      <c r="AM105" s="4">
        <f ca="1">ROUND(T_Tiktok_ads[[#This Row],[video_views]]*RANDBETWEEN(8,12)/10,0)</f>
        <v>131851</v>
      </c>
      <c r="AN105" s="4">
        <f ca="1">ROUND(T_Tiktok_ads[[#This Row],[video_watch_25]]*RANDBETWEEN(8,12)/10,0)</f>
        <v>89357</v>
      </c>
      <c r="AO105" s="4">
        <f ca="1">ROUND(T_Tiktok_ads[[#This Row],[video_watch_50]]*RANDBETWEEN(8,12)/10,0)</f>
        <v>60146</v>
      </c>
      <c r="AP105" s="4">
        <f ca="1">ROUND(T_Tiktok_ads[[#This Row],[video_watch_75]]*RANDBETWEEN(8,12)/10,0)</f>
        <v>45357</v>
      </c>
      <c r="AQ105" s="4">
        <f ca="1">ROUND(T_Tiktok_ads[[#This Row],[video_watch_100]]*RANDBETWEEN(8,12)/10,0)</f>
        <v>22054</v>
      </c>
      <c r="AR105" s="4">
        <f ca="1">ROUND(T_Tiktok_ads[[#This Row],[likes]]*RANDBETWEEN(8,12)/10,0)</f>
        <v>5456</v>
      </c>
      <c r="AS105" s="4">
        <f ca="1">ROUND(T_Tiktok_ads[[#This Row],[shares]]*RANDBETWEEN(8,12)/10,0)</f>
        <v>1254</v>
      </c>
      <c r="AT105" s="4">
        <f ca="1">ROUND(T_Tiktok_ads[[#This Row],[comments]]*RANDBETWEEN(8,12)/10,0)</f>
        <v>347</v>
      </c>
      <c r="AV105" s="5">
        <f t="shared" ca="1" si="17"/>
        <v>45235</v>
      </c>
      <c r="AW105">
        <f t="shared" ca="1" si="13"/>
        <v>8</v>
      </c>
      <c r="AX105">
        <f ca="1">ROUND(T_Facebook_Ads1159636771757983879195[[#This Row],[impressions]]*RANDBETWEEN(8,12)/10,0)</f>
        <v>16013</v>
      </c>
      <c r="AY105">
        <f ca="1">ROUND(T_Facebook_Ads1159636771757983879195[[#This Row],[clicks]]*RANDBETWEEN(8,12)/10,0)</f>
        <v>612</v>
      </c>
      <c r="AZ105">
        <f ca="1">T_Facebook_Ads1159636771757983879195[[#This Row],[spend]]*RANDBETWEEN(8,12)/10</f>
        <v>244.61999999999998</v>
      </c>
      <c r="BA105">
        <f ca="1">ROUND(T_Facebook_Ads1159636771757983879195[[#This Row],[conversions]]*RANDBETWEEN(8,12)/10,0)</f>
        <v>47</v>
      </c>
      <c r="BB105">
        <f ca="1">ROUND(T_Facebook_Ads1159636771757983879195[[#This Row],[video_views]]*RANDBETWEEN(8,12)/10,0)</f>
        <v>1332</v>
      </c>
    </row>
    <row r="106" spans="1:54" ht="15.75" thickBot="1" x14ac:dyDescent="0.3">
      <c r="A106" s="3">
        <f t="shared" ca="1" si="14"/>
        <v>45239</v>
      </c>
      <c r="B106" s="4" t="s">
        <v>60</v>
      </c>
      <c r="C106" s="4" t="s">
        <v>61</v>
      </c>
      <c r="D106" s="4" t="s">
        <v>62</v>
      </c>
      <c r="E106" s="4" t="s">
        <v>63</v>
      </c>
      <c r="F106" s="4">
        <f ca="1">ROUND(T_Facebook_Ads[[#This Row],[impressions]]*RANDBETWEEN(8,12)/10,0)</f>
        <v>39857</v>
      </c>
      <c r="G106" s="4">
        <v>1334</v>
      </c>
      <c r="H106" s="4">
        <f ca="1">T_Facebook_Ads[[#This Row],[spend]]*RANDBETWEEN(8,12)/10</f>
        <v>203.7</v>
      </c>
      <c r="I106" s="4">
        <f ca="1">ROUND(T_Facebook_Ads[[#This Row],[conversions]]*RANDBETWEEN(8,12)/10,0)</f>
        <v>34</v>
      </c>
      <c r="J106" s="4">
        <f ca="1">ROUND(T_Facebook_Ads[[#This Row],[video_views]]*RANDBETWEEN(8,12)/10,0)</f>
        <v>5614</v>
      </c>
      <c r="K106" s="4">
        <f ca="1">T_Facebook_Ads[[#This Row],[engagement_rate]]*RANDBETWEEN(8,12)/10</f>
        <v>2.9440000000000001E-2</v>
      </c>
      <c r="L106" s="4">
        <f ca="1">ROUND(T_Facebook_Ads[[#This Row],[reach]]*RANDBETWEEN(8,12)/10,0)</f>
        <v>30123</v>
      </c>
      <c r="M106" s="4">
        <f ca="1">T_Facebook_Ads[[#This Row],[frequency]]*RANDBETWEEN(8,12)/10</f>
        <v>0.96</v>
      </c>
      <c r="O106" s="3">
        <f t="shared" ca="1" si="15"/>
        <v>45246</v>
      </c>
      <c r="P106" s="4" t="s">
        <v>84</v>
      </c>
      <c r="Q106" s="4" t="s">
        <v>85</v>
      </c>
      <c r="R106" s="4" t="s">
        <v>86</v>
      </c>
      <c r="S106" s="4" t="s">
        <v>87</v>
      </c>
      <c r="T106" s="4">
        <f ca="1">ROUND(_Google_ads[[#This Row],[impressions]]*RANDBETWEEN(8,12)/10,0)</f>
        <v>75302</v>
      </c>
      <c r="U106" s="4">
        <f ca="1">ROUND(_Google_ads[[#This Row],[clicks]]*RANDBETWEEN(8,12)/10,0)</f>
        <v>2518</v>
      </c>
      <c r="V106" s="4">
        <f ca="1">_Google_ads[[#This Row],[cost]]*RANDBETWEEN(8,12)/10</f>
        <v>335.6</v>
      </c>
      <c r="W106" s="4">
        <f ca="1">ROUND(_Google_ads[[#This Row],[conversions]]*RANDBETWEEN(8,12)/10,0)</f>
        <v>73</v>
      </c>
      <c r="X106" s="4">
        <f ca="1">ROUND(_Google_ads[[#This Row],[conversion_value]]*RANDBETWEEN(8,12)/10,0)</f>
        <v>2640</v>
      </c>
      <c r="Y106" s="4">
        <f ca="1">_Google_ads[[#This Row],[ctr]]*RANDBETWEEN(8,12)/10</f>
        <v>4.0079999999999998E-2</v>
      </c>
      <c r="Z106" s="4">
        <f ca="1">_Google_ads[[#This Row],[avg_cpc]]*RANDBETWEEN(8,12)/10</f>
        <v>0.18</v>
      </c>
      <c r="AA106" s="4">
        <f ca="1">ROUND(_Google_ads[[#This Row],[quality_score]]*RANDBETWEEN(8,12)/10,0)</f>
        <v>7</v>
      </c>
      <c r="AB106" s="4">
        <f ca="1">_Google_ads[[#This Row],[search_impression_share]]*RANDBETWEEN(8,12)/10</f>
        <v>0.53600000000000003</v>
      </c>
      <c r="AD106" s="3">
        <f t="shared" ca="1" si="16"/>
        <v>45238</v>
      </c>
      <c r="AE106" s="4" t="s">
        <v>108</v>
      </c>
      <c r="AF106" s="4" t="s">
        <v>109</v>
      </c>
      <c r="AG106" s="4" t="s">
        <v>110</v>
      </c>
      <c r="AH106" s="4" t="s">
        <v>111</v>
      </c>
      <c r="AI106" s="4">
        <f ca="1">ROUND(T_Tiktok_ads[[#This Row],[impressions]]*RANDBETWEEN(8,12)/10,0)</f>
        <v>196542</v>
      </c>
      <c r="AJ106" s="4">
        <f ca="1">ROUND(T_Tiktok_ads[[#This Row],[clicks]]*RANDBETWEEN(8,12)/10,0)</f>
        <v>3890</v>
      </c>
      <c r="AK106" s="4">
        <v>467.8</v>
      </c>
      <c r="AL106" s="4">
        <f ca="1">ROUND(T_Tiktok_ads[[#This Row],[conversions]]*RANDBETWEEN(8,12)/10,0)</f>
        <v>27</v>
      </c>
      <c r="AM106" s="4">
        <f ca="1">ROUND(T_Tiktok_ads[[#This Row],[video_views]]*RANDBETWEEN(8,12)/10,0)</f>
        <v>215246</v>
      </c>
      <c r="AN106" s="4">
        <f ca="1">ROUND(T_Tiktok_ads[[#This Row],[video_watch_25]]*RANDBETWEEN(8,12)/10,0)</f>
        <v>177881</v>
      </c>
      <c r="AO106" s="4">
        <f ca="1">ROUND(T_Tiktok_ads[[#This Row],[video_watch_50]]*RANDBETWEEN(8,12)/10,0)</f>
        <v>117234</v>
      </c>
      <c r="AP106" s="4">
        <f ca="1">ROUND(T_Tiktok_ads[[#This Row],[video_watch_75]]*RANDBETWEEN(8,12)/10,0)</f>
        <v>75234</v>
      </c>
      <c r="AQ106" s="4">
        <f ca="1">ROUND(T_Tiktok_ads[[#This Row],[video_watch_100]]*RANDBETWEEN(8,12)/10,0)</f>
        <v>41210</v>
      </c>
      <c r="AR106" s="4">
        <f ca="1">ROUND(T_Tiktok_ads[[#This Row],[likes]]*RANDBETWEEN(8,12)/10,0)</f>
        <v>9424</v>
      </c>
      <c r="AS106" s="4">
        <f ca="1">ROUND(T_Tiktok_ads[[#This Row],[shares]]*RANDBETWEEN(8,12)/10,0)</f>
        <v>2111</v>
      </c>
      <c r="AT106" s="4">
        <f ca="1">ROUND(T_Tiktok_ads[[#This Row],[comments]]*RANDBETWEEN(8,12)/10,0)</f>
        <v>680</v>
      </c>
      <c r="AV106" s="5">
        <f t="shared" ca="1" si="17"/>
        <v>45249</v>
      </c>
      <c r="AW106">
        <f t="shared" ca="1" si="13"/>
        <v>1</v>
      </c>
      <c r="AX106">
        <f ca="1">ROUND(T_Facebook_Ads1159636771757983879195[[#This Row],[impressions]]*RANDBETWEEN(8,12)/10,0)</f>
        <v>31886</v>
      </c>
      <c r="AY106">
        <f ca="1">ROUND(T_Facebook_Ads1159636771757983879195[[#This Row],[clicks]]*RANDBETWEEN(8,12)/10,0)</f>
        <v>1467</v>
      </c>
      <c r="AZ106">
        <f ca="1">T_Facebook_Ads1159636771757983879195[[#This Row],[spend]]*RANDBETWEEN(8,12)/10</f>
        <v>203.7</v>
      </c>
      <c r="BA106">
        <f ca="1">ROUND(T_Facebook_Ads1159636771757983879195[[#This Row],[conversions]]*RANDBETWEEN(8,12)/10,0)</f>
        <v>41</v>
      </c>
      <c r="BB106">
        <f ca="1">ROUND(T_Facebook_Ads1159636771757983879195[[#This Row],[video_views]]*RANDBETWEEN(8,12)/10,0)</f>
        <v>6737</v>
      </c>
    </row>
    <row r="107" spans="1:54" ht="15.75" thickBot="1" x14ac:dyDescent="0.3">
      <c r="A107" s="3">
        <f t="shared" ca="1" si="14"/>
        <v>45232</v>
      </c>
      <c r="B107" s="4" t="s">
        <v>64</v>
      </c>
      <c r="C107" s="4" t="s">
        <v>65</v>
      </c>
      <c r="D107" s="4" t="s">
        <v>66</v>
      </c>
      <c r="E107" s="4" t="s">
        <v>67</v>
      </c>
      <c r="F107" s="4">
        <f ca="1">ROUND(T_Facebook_Ads[[#This Row],[impressions]]*RANDBETWEEN(8,12)/10,0)</f>
        <v>83480</v>
      </c>
      <c r="G107" s="4">
        <v>253</v>
      </c>
      <c r="H107" s="4">
        <f ca="1">T_Facebook_Ads[[#This Row],[spend]]*RANDBETWEEN(8,12)/10</f>
        <v>88.7</v>
      </c>
      <c r="I107" s="4">
        <f ca="1">ROUND(T_Facebook_Ads[[#This Row],[conversions]]*RANDBETWEEN(8,12)/10,0)</f>
        <v>7</v>
      </c>
      <c r="J107" s="4">
        <f ca="1">ROUND(T_Facebook_Ads[[#This Row],[video_views]]*RANDBETWEEN(8,12)/10,0)</f>
        <v>51579</v>
      </c>
      <c r="K107" s="4">
        <f ca="1">T_Facebook_Ads[[#This Row],[engagement_rate]]*RANDBETWEEN(8,12)/10</f>
        <v>3.96E-3</v>
      </c>
      <c r="L107" s="4">
        <f ca="1">ROUND(T_Facebook_Ads[[#This Row],[reach]]*RANDBETWEEN(8,12)/10,0)</f>
        <v>62835</v>
      </c>
      <c r="M107" s="4">
        <f ca="1">T_Facebook_Ads[[#This Row],[frequency]]*RANDBETWEEN(8,12)/10</f>
        <v>1.464</v>
      </c>
      <c r="O107" s="3">
        <f t="shared" ca="1" si="15"/>
        <v>45251</v>
      </c>
      <c r="P107" s="4" t="s">
        <v>88</v>
      </c>
      <c r="Q107" s="4" t="s">
        <v>89</v>
      </c>
      <c r="R107" s="4" t="s">
        <v>90</v>
      </c>
      <c r="S107" s="4" t="s">
        <v>59</v>
      </c>
      <c r="T107" s="4">
        <f ca="1">ROUND(_Google_ads[[#This Row],[impressions]]*RANDBETWEEN(8,12)/10,0)</f>
        <v>144357</v>
      </c>
      <c r="U107" s="4">
        <f ca="1">ROUND(_Google_ads[[#This Row],[clicks]]*RANDBETWEEN(8,12)/10,0)</f>
        <v>560</v>
      </c>
      <c r="V107" s="4">
        <f ca="1">_Google_ads[[#This Row],[cost]]*RANDBETWEEN(8,12)/10</f>
        <v>128.9</v>
      </c>
      <c r="W107" s="4">
        <f ca="1">ROUND(_Google_ads[[#This Row],[conversions]]*RANDBETWEEN(8,12)/10,0)</f>
        <v>12</v>
      </c>
      <c r="X107" s="4">
        <f ca="1">ROUND(_Google_ads[[#This Row],[conversion_value]]*RANDBETWEEN(8,12)/10,0)</f>
        <v>585</v>
      </c>
      <c r="Y107" s="4">
        <f ca="1">_Google_ads[[#This Row],[ctr]]*RANDBETWEEN(8,12)/10</f>
        <v>3.2399999999999998E-3</v>
      </c>
      <c r="Z107" s="4">
        <f ca="1">_Google_ads[[#This Row],[avg_cpc]]*RANDBETWEEN(8,12)/10</f>
        <v>0.22400000000000003</v>
      </c>
      <c r="AA107" s="4">
        <f ca="1">ROUND(_Google_ads[[#This Row],[quality_score]]*RANDBETWEEN(8,12)/10,0)</f>
        <v>6</v>
      </c>
      <c r="AB107" s="4">
        <f ca="1">_Google_ads[[#This Row],[search_impression_share]]*RANDBETWEEN(8,12)/10</f>
        <v>0.40800000000000003</v>
      </c>
      <c r="AD107" s="3">
        <f t="shared" ca="1" si="16"/>
        <v>45233</v>
      </c>
      <c r="AE107" s="4" t="s">
        <v>112</v>
      </c>
      <c r="AF107" s="4" t="s">
        <v>113</v>
      </c>
      <c r="AG107" s="4" t="s">
        <v>114</v>
      </c>
      <c r="AH107" s="4" t="s">
        <v>115</v>
      </c>
      <c r="AI107" s="4">
        <f ca="1">ROUND(T_Tiktok_ads[[#This Row],[impressions]]*RANDBETWEEN(8,12)/10,0)</f>
        <v>423456</v>
      </c>
      <c r="AJ107" s="4">
        <f ca="1">ROUND(T_Tiktok_ads[[#This Row],[clicks]]*RANDBETWEEN(8,12)/10,0)</f>
        <v>5512</v>
      </c>
      <c r="AK107" s="4">
        <v>1056.8</v>
      </c>
      <c r="AL107" s="4">
        <f ca="1">ROUND(T_Tiktok_ads[[#This Row],[conversions]]*RANDBETWEEN(8,12)/10,0)</f>
        <v>96</v>
      </c>
      <c r="AM107" s="4">
        <f ca="1">ROUND(T_Tiktok_ads[[#This Row],[video_views]]*RANDBETWEEN(8,12)/10,0)</f>
        <v>356789</v>
      </c>
      <c r="AN107" s="4">
        <f ca="1">ROUND(T_Tiktok_ads[[#This Row],[video_watch_25]]*RANDBETWEEN(8,12)/10,0)</f>
        <v>289234</v>
      </c>
      <c r="AO107" s="4">
        <f ca="1">ROUND(T_Tiktok_ads[[#This Row],[video_watch_50]]*RANDBETWEEN(8,12)/10,0)</f>
        <v>208310</v>
      </c>
      <c r="AP107" s="4">
        <f ca="1">ROUND(T_Tiktok_ads[[#This Row],[video_watch_75]]*RANDBETWEEN(8,12)/10,0)</f>
        <v>181024</v>
      </c>
      <c r="AQ107" s="4">
        <f ca="1">ROUND(T_Tiktok_ads[[#This Row],[video_watch_100]]*RANDBETWEEN(8,12)/10,0)</f>
        <v>120157</v>
      </c>
      <c r="AR107" s="4">
        <f ca="1">ROUND(T_Tiktok_ads[[#This Row],[likes]]*RANDBETWEEN(8,12)/10,0)</f>
        <v>18890</v>
      </c>
      <c r="AS107" s="4">
        <f ca="1">ROUND(T_Tiktok_ads[[#This Row],[shares]]*RANDBETWEEN(8,12)/10,0)</f>
        <v>4365</v>
      </c>
      <c r="AT107" s="4">
        <f ca="1">ROUND(T_Tiktok_ads[[#This Row],[comments]]*RANDBETWEEN(8,12)/10,0)</f>
        <v>1489</v>
      </c>
      <c r="AV107" s="5">
        <f t="shared" ca="1" si="17"/>
        <v>45241</v>
      </c>
      <c r="AW107">
        <f t="shared" ca="1" si="13"/>
        <v>6</v>
      </c>
      <c r="AX107">
        <f ca="1">ROUND(T_Facebook_Ads1159636771757983879195[[#This Row],[impressions]]*RANDBETWEEN(8,12)/10,0)</f>
        <v>83480</v>
      </c>
      <c r="AY107">
        <f ca="1">ROUND(T_Facebook_Ads1159636771757983879195[[#This Row],[clicks]]*RANDBETWEEN(8,12)/10,0)</f>
        <v>304</v>
      </c>
      <c r="AZ107">
        <f ca="1">T_Facebook_Ads1159636771757983879195[[#This Row],[spend]]*RANDBETWEEN(8,12)/10</f>
        <v>97.570000000000007</v>
      </c>
      <c r="BA107">
        <f ca="1">ROUND(T_Facebook_Ads1159636771757983879195[[#This Row],[conversions]]*RANDBETWEEN(8,12)/10,0)</f>
        <v>8</v>
      </c>
      <c r="BB107">
        <f ca="1">ROUND(T_Facebook_Ads1159636771757983879195[[#This Row],[video_views]]*RANDBETWEEN(8,12)/10,0)</f>
        <v>56737</v>
      </c>
    </row>
    <row r="108" spans="1:54" ht="15.75" thickBot="1" x14ac:dyDescent="0.3">
      <c r="A108" s="3">
        <f t="shared" ca="1" si="14"/>
        <v>45253</v>
      </c>
      <c r="B108" s="4" t="s">
        <v>52</v>
      </c>
      <c r="C108" s="4" t="s">
        <v>53</v>
      </c>
      <c r="D108" s="4" t="s">
        <v>54</v>
      </c>
      <c r="E108" s="4" t="s">
        <v>55</v>
      </c>
      <c r="F108" s="4">
        <f ca="1">ROUND(T_Facebook_Ads[[#This Row],[impressions]]*RANDBETWEEN(8,12)/10,0)</f>
        <v>44311</v>
      </c>
      <c r="G108" s="4">
        <v>1001</v>
      </c>
      <c r="H108" s="4">
        <f ca="1">T_Facebook_Ads[[#This Row],[spend]]*RANDBETWEEN(8,12)/10</f>
        <v>114.24000000000001</v>
      </c>
      <c r="I108" s="4">
        <f ca="1">ROUND(T_Facebook_Ads[[#This Row],[conversions]]*RANDBETWEEN(8,12)/10,0)</f>
        <v>19</v>
      </c>
      <c r="J108" s="4">
        <f ca="1">ROUND(T_Facebook_Ads[[#This Row],[video_views]]*RANDBETWEEN(8,12)/10,0)</f>
        <v>9012</v>
      </c>
      <c r="K108" s="4">
        <f ca="1">T_Facebook_Ads[[#This Row],[engagement_rate]]*RANDBETWEEN(8,12)/10</f>
        <v>2.2329999999999999E-2</v>
      </c>
      <c r="L108" s="4">
        <f ca="1">ROUND(T_Facebook_Ads[[#This Row],[reach]]*RANDBETWEEN(8,12)/10,0)</f>
        <v>41567</v>
      </c>
      <c r="M108" s="4">
        <f ca="1">T_Facebook_Ads[[#This Row],[frequency]]*RANDBETWEEN(8,12)/10</f>
        <v>1.4159999999999999</v>
      </c>
      <c r="O108" s="3">
        <f t="shared" ca="1" si="15"/>
        <v>45245</v>
      </c>
      <c r="P108" s="4" t="s">
        <v>76</v>
      </c>
      <c r="Q108" s="4" t="s">
        <v>77</v>
      </c>
      <c r="R108" s="4" t="s">
        <v>78</v>
      </c>
      <c r="S108" s="4" t="s">
        <v>79</v>
      </c>
      <c r="T108" s="4">
        <f ca="1">ROUND(_Google_ads[[#This Row],[impressions]]*RANDBETWEEN(8,12)/10,0)</f>
        <v>22910</v>
      </c>
      <c r="U108" s="4">
        <f ca="1">ROUND(_Google_ads[[#This Row],[clicks]]*RANDBETWEEN(8,12)/10,0)</f>
        <v>1467</v>
      </c>
      <c r="V108" s="4">
        <f ca="1">_Google_ads[[#This Row],[cost]]*RANDBETWEEN(8,12)/10</f>
        <v>203.68</v>
      </c>
      <c r="W108" s="4">
        <f ca="1">ROUND(_Google_ads[[#This Row],[conversions]]*RANDBETWEEN(8,12)/10,0)</f>
        <v>50</v>
      </c>
      <c r="X108" s="4">
        <f ca="1">ROUND(_Google_ads[[#This Row],[conversion_value]]*RANDBETWEEN(8,12)/10,0)</f>
        <v>2750</v>
      </c>
      <c r="Y108" s="4">
        <f ca="1">_Google_ads[[#This Row],[ctr]]*RANDBETWEEN(8,12)/10</f>
        <v>6.2880000000000005E-2</v>
      </c>
      <c r="Z108" s="4">
        <f ca="1">_Google_ads[[#This Row],[avg_cpc]]*RANDBETWEEN(8,12)/10</f>
        <v>0.22800000000000004</v>
      </c>
      <c r="AA108" s="4">
        <f ca="1">ROUND(_Google_ads[[#This Row],[quality_score]]*RANDBETWEEN(8,12)/10,0)</f>
        <v>7</v>
      </c>
      <c r="AB108" s="4">
        <f ca="1">_Google_ads[[#This Row],[search_impression_share]]*RANDBETWEEN(8,12)/10</f>
        <v>0.82800000000000007</v>
      </c>
      <c r="AD108" s="3">
        <f t="shared" ca="1" si="16"/>
        <v>45258</v>
      </c>
      <c r="AE108" s="4" t="s">
        <v>100</v>
      </c>
      <c r="AF108" s="4" t="s">
        <v>101</v>
      </c>
      <c r="AG108" s="4" t="s">
        <v>102</v>
      </c>
      <c r="AH108" s="4" t="s">
        <v>103</v>
      </c>
      <c r="AI108" s="4">
        <f ca="1">ROUND(T_Tiktok_ads[[#This Row],[impressions]]*RANDBETWEEN(8,12)/10,0)</f>
        <v>236542</v>
      </c>
      <c r="AJ108" s="4">
        <f ca="1">ROUND(T_Tiktok_ads[[#This Row],[clicks]]*RANDBETWEEN(8,12)/10,0)</f>
        <v>5214</v>
      </c>
      <c r="AK108" s="4">
        <v>573.20000000000005</v>
      </c>
      <c r="AL108" s="4">
        <f ca="1">ROUND(T_Tiktok_ads[[#This Row],[conversions]]*RANDBETWEEN(8,12)/10,0)</f>
        <v>35</v>
      </c>
      <c r="AM108" s="4">
        <f ca="1">ROUND(T_Tiktok_ads[[#This Row],[video_views]]*RANDBETWEEN(8,12)/10,0)</f>
        <v>217111</v>
      </c>
      <c r="AN108" s="4">
        <f ca="1">ROUND(T_Tiktok_ads[[#This Row],[video_watch_25]]*RANDBETWEEN(8,12)/10,0)</f>
        <v>207057</v>
      </c>
      <c r="AO108" s="4">
        <f ca="1">ROUND(T_Tiktok_ads[[#This Row],[video_watch_50]]*RANDBETWEEN(8,12)/10,0)</f>
        <v>141468</v>
      </c>
      <c r="AP108" s="4">
        <f ca="1">ROUND(T_Tiktok_ads[[#This Row],[video_watch_75]]*RANDBETWEEN(8,12)/10,0)</f>
        <v>95081</v>
      </c>
      <c r="AQ108" s="4">
        <f ca="1">ROUND(T_Tiktok_ads[[#This Row],[video_watch_100]]*RANDBETWEEN(8,12)/10,0)</f>
        <v>58068</v>
      </c>
      <c r="AR108" s="4">
        <f ca="1">ROUND(T_Tiktok_ads[[#This Row],[likes]]*RANDBETWEEN(8,12)/10,0)</f>
        <v>10567</v>
      </c>
      <c r="AS108" s="4">
        <f ca="1">ROUND(T_Tiktok_ads[[#This Row],[shares]]*RANDBETWEEN(8,12)/10,0)</f>
        <v>3427</v>
      </c>
      <c r="AT108" s="4">
        <f ca="1">ROUND(T_Tiktok_ads[[#This Row],[comments]]*RANDBETWEEN(8,12)/10,0)</f>
        <v>734</v>
      </c>
      <c r="AV108" s="5">
        <f t="shared" ca="1" si="17"/>
        <v>45233</v>
      </c>
      <c r="AW108">
        <f t="shared" ca="1" si="13"/>
        <v>5</v>
      </c>
      <c r="AX108">
        <f ca="1">ROUND(T_Facebook_Ads1159636771757983879195[[#This Row],[impressions]]*RANDBETWEEN(8,12)/10,0)</f>
        <v>53173</v>
      </c>
      <c r="AY108">
        <f ca="1">ROUND(T_Facebook_Ads1159636771757983879195[[#This Row],[clicks]]*RANDBETWEEN(8,12)/10,0)</f>
        <v>1001</v>
      </c>
      <c r="AZ108">
        <f ca="1">T_Facebook_Ads1159636771757983879195[[#This Row],[spend]]*RANDBETWEEN(8,12)/10</f>
        <v>114.24000000000001</v>
      </c>
      <c r="BA108">
        <f ca="1">ROUND(T_Facebook_Ads1159636771757983879195[[#This Row],[conversions]]*RANDBETWEEN(8,12)/10,0)</f>
        <v>21</v>
      </c>
      <c r="BB108">
        <f ca="1">ROUND(T_Facebook_Ads1159636771757983879195[[#This Row],[video_views]]*RANDBETWEEN(8,12)/10,0)</f>
        <v>7210</v>
      </c>
    </row>
    <row r="109" spans="1:54" ht="15.75" thickBot="1" x14ac:dyDescent="0.3">
      <c r="A109" s="3">
        <f t="shared" ca="1" si="14"/>
        <v>45244</v>
      </c>
      <c r="B109" s="4" t="s">
        <v>56</v>
      </c>
      <c r="C109" s="4" t="s">
        <v>57</v>
      </c>
      <c r="D109" s="4" t="s">
        <v>58</v>
      </c>
      <c r="E109" s="4" t="s">
        <v>59</v>
      </c>
      <c r="F109" s="4">
        <f ca="1">ROUND(T_Facebook_Ads[[#This Row],[impressions]]*RANDBETWEEN(8,12)/10,0)</f>
        <v>12711</v>
      </c>
      <c r="G109" s="4">
        <v>645</v>
      </c>
      <c r="H109" s="4">
        <f ca="1">T_Facebook_Ads[[#This Row],[spend]]*RANDBETWEEN(8,12)/10</f>
        <v>284.28000000000003</v>
      </c>
      <c r="I109" s="4">
        <f ca="1">ROUND(T_Facebook_Ads[[#This Row],[conversions]]*RANDBETWEEN(8,12)/10,0)</f>
        <v>37</v>
      </c>
      <c r="J109" s="4">
        <f ca="1">ROUND(T_Facebook_Ads[[#This Row],[video_views]]*RANDBETWEEN(8,12)/10,0)</f>
        <v>1708</v>
      </c>
      <c r="K109" s="4">
        <f ca="1">T_Facebook_Ads[[#This Row],[engagement_rate]]*RANDBETWEEN(8,12)/10</f>
        <v>5.484E-2</v>
      </c>
      <c r="L109" s="4">
        <f ca="1">ROUND(T_Facebook_Ads[[#This Row],[reach]]*RANDBETWEEN(8,12)/10,0)</f>
        <v>12235</v>
      </c>
      <c r="M109" s="4">
        <f ca="1">T_Facebook_Ads[[#This Row],[frequency]]*RANDBETWEEN(8,12)/10</f>
        <v>1.397</v>
      </c>
      <c r="O109" s="3">
        <f t="shared" ca="1" si="15"/>
        <v>45238</v>
      </c>
      <c r="P109" s="4" t="s">
        <v>80</v>
      </c>
      <c r="Q109" s="4" t="s">
        <v>81</v>
      </c>
      <c r="R109" s="4" t="s">
        <v>82</v>
      </c>
      <c r="S109" s="4" t="s">
        <v>83</v>
      </c>
      <c r="T109" s="4">
        <f ca="1">ROUND(_Google_ads[[#This Row],[impressions]]*RANDBETWEEN(8,12)/10,0)</f>
        <v>50479</v>
      </c>
      <c r="U109" s="4">
        <f ca="1">ROUND(_Google_ads[[#This Row],[clicks]]*RANDBETWEEN(8,12)/10,0)</f>
        <v>1094</v>
      </c>
      <c r="V109" s="4">
        <f ca="1">_Google_ads[[#This Row],[cost]]*RANDBETWEEN(8,12)/10</f>
        <v>470.16</v>
      </c>
      <c r="W109" s="4">
        <f ca="1">ROUND(_Google_ads[[#This Row],[conversions]]*RANDBETWEEN(8,12)/10,0)</f>
        <v>24</v>
      </c>
      <c r="X109" s="4">
        <f ca="1">ROUND(_Google_ads[[#This Row],[conversion_value]]*RANDBETWEEN(8,12)/10,0)</f>
        <v>1080</v>
      </c>
      <c r="Y109" s="4">
        <f ca="1">_Google_ads[[#This Row],[ctr]]*RANDBETWEEN(8,12)/10</f>
        <v>1.9900000000000001E-2</v>
      </c>
      <c r="Z109" s="4">
        <f ca="1">_Google_ads[[#This Row],[avg_cpc]]*RANDBETWEEN(8,12)/10</f>
        <v>0.70399999999999996</v>
      </c>
      <c r="AA109" s="4">
        <f ca="1">ROUND(_Google_ads[[#This Row],[quality_score]]*RANDBETWEEN(8,12)/10,0)</f>
        <v>7</v>
      </c>
      <c r="AB109" s="4">
        <f ca="1">_Google_ads[[#This Row],[search_impression_share]]*RANDBETWEEN(8,12)/10</f>
        <v>0.54</v>
      </c>
      <c r="AD109" s="3">
        <f t="shared" ca="1" si="16"/>
        <v>45249</v>
      </c>
      <c r="AE109" s="4" t="s">
        <v>104</v>
      </c>
      <c r="AF109" s="4" t="s">
        <v>105</v>
      </c>
      <c r="AG109" s="4" t="s">
        <v>106</v>
      </c>
      <c r="AH109" s="4" t="s">
        <v>107</v>
      </c>
      <c r="AI109" s="4">
        <f ca="1">ROUND(T_Tiktok_ads[[#This Row],[impressions]]*RANDBETWEEN(8,12)/10,0)</f>
        <v>161234</v>
      </c>
      <c r="AJ109" s="4">
        <f ca="1">ROUND(T_Tiktok_ads[[#This Row],[clicks]]*RANDBETWEEN(8,12)/10,0)</f>
        <v>3707</v>
      </c>
      <c r="AK109" s="4">
        <v>823.7</v>
      </c>
      <c r="AL109" s="4">
        <f ca="1">ROUND(T_Tiktok_ads[[#This Row],[conversions]]*RANDBETWEEN(8,12)/10,0)</f>
        <v>83</v>
      </c>
      <c r="AM109" s="4">
        <f ca="1">ROUND(T_Tiktok_ads[[#This Row],[video_views]]*RANDBETWEEN(8,12)/10,0)</f>
        <v>90765</v>
      </c>
      <c r="AN109" s="4">
        <f ca="1">ROUND(T_Tiktok_ads[[#This Row],[video_watch_25]]*RANDBETWEEN(8,12)/10,0)</f>
        <v>66854</v>
      </c>
      <c r="AO109" s="4">
        <f ca="1">ROUND(T_Tiktok_ads[[#This Row],[video_watch_50]]*RANDBETWEEN(8,12)/10,0)</f>
        <v>44987</v>
      </c>
      <c r="AP109" s="4">
        <f ca="1">ROUND(T_Tiktok_ads[[#This Row],[video_watch_75]]*RANDBETWEEN(8,12)/10,0)</f>
        <v>38111</v>
      </c>
      <c r="AQ109" s="4">
        <f ca="1">ROUND(T_Tiktok_ads[[#This Row],[video_watch_100]]*RANDBETWEEN(8,12)/10,0)</f>
        <v>25411</v>
      </c>
      <c r="AR109" s="4">
        <f ca="1">ROUND(T_Tiktok_ads[[#This Row],[likes]]*RANDBETWEEN(8,12)/10,0)</f>
        <v>5523</v>
      </c>
      <c r="AS109" s="4">
        <f ca="1">ROUND(T_Tiktok_ads[[#This Row],[shares]]*RANDBETWEEN(8,12)/10,0)</f>
        <v>1907</v>
      </c>
      <c r="AT109" s="4">
        <f ca="1">ROUND(T_Tiktok_ads[[#This Row],[comments]]*RANDBETWEEN(8,12)/10,0)</f>
        <v>361</v>
      </c>
      <c r="AV109" s="5">
        <f t="shared" ca="1" si="17"/>
        <v>45260</v>
      </c>
      <c r="AW109">
        <f t="shared" ca="1" si="13"/>
        <v>4</v>
      </c>
      <c r="AX109">
        <f ca="1">ROUND(T_Facebook_Ads1159636771757983879195[[#This Row],[impressions]]*RANDBETWEEN(8,12)/10,0)</f>
        <v>11440</v>
      </c>
      <c r="AY109">
        <f ca="1">ROUND(T_Facebook_Ads1159636771757983879195[[#This Row],[clicks]]*RANDBETWEEN(8,12)/10,0)</f>
        <v>516</v>
      </c>
      <c r="AZ109">
        <f ca="1">T_Facebook_Ads1159636771757983879195[[#This Row],[spend]]*RANDBETWEEN(8,12)/10</f>
        <v>341.13600000000008</v>
      </c>
      <c r="BA109">
        <f ca="1">ROUND(T_Facebook_Ads1159636771757983879195[[#This Row],[conversions]]*RANDBETWEEN(8,12)/10,0)</f>
        <v>44</v>
      </c>
      <c r="BB109">
        <f ca="1">ROUND(T_Facebook_Ads1159636771757983879195[[#This Row],[video_views]]*RANDBETWEEN(8,12)/10,0)</f>
        <v>1366</v>
      </c>
    </row>
    <row r="110" spans="1:54" ht="15.75" thickBot="1" x14ac:dyDescent="0.3">
      <c r="A110" s="3">
        <f t="shared" ca="1" si="14"/>
        <v>45231</v>
      </c>
      <c r="B110" s="4" t="s">
        <v>60</v>
      </c>
      <c r="C110" s="4" t="s">
        <v>61</v>
      </c>
      <c r="D110" s="4" t="s">
        <v>62</v>
      </c>
      <c r="E110" s="4" t="s">
        <v>63</v>
      </c>
      <c r="F110" s="4">
        <f ca="1">ROUND(T_Facebook_Ads[[#This Row],[impressions]]*RANDBETWEEN(8,12)/10,0)</f>
        <v>34101</v>
      </c>
      <c r="G110" s="4">
        <v>1412</v>
      </c>
      <c r="H110" s="4">
        <f ca="1">T_Facebook_Ads[[#This Row],[spend]]*RANDBETWEEN(8,12)/10</f>
        <v>173.2</v>
      </c>
      <c r="I110" s="4">
        <f ca="1">ROUND(T_Facebook_Ads[[#This Row],[conversions]]*RANDBETWEEN(8,12)/10,0)</f>
        <v>33</v>
      </c>
      <c r="J110" s="4">
        <f ca="1">ROUND(T_Facebook_Ads[[#This Row],[video_views]]*RANDBETWEEN(8,12)/10,0)</f>
        <v>3965</v>
      </c>
      <c r="K110" s="4">
        <f ca="1">T_Facebook_Ads[[#This Row],[engagement_rate]]*RANDBETWEEN(8,12)/10</f>
        <v>4.1029999999999997E-2</v>
      </c>
      <c r="L110" s="4">
        <f ca="1">ROUND(T_Facebook_Ads[[#This Row],[reach]]*RANDBETWEEN(8,12)/10,0)</f>
        <v>24712</v>
      </c>
      <c r="M110" s="4">
        <f ca="1">T_Facebook_Ads[[#This Row],[frequency]]*RANDBETWEEN(8,12)/10</f>
        <v>1.476</v>
      </c>
      <c r="O110" s="3">
        <f t="shared" ca="1" si="15"/>
        <v>45238</v>
      </c>
      <c r="P110" s="4" t="s">
        <v>84</v>
      </c>
      <c r="Q110" s="4" t="s">
        <v>85</v>
      </c>
      <c r="R110" s="4" t="s">
        <v>86</v>
      </c>
      <c r="S110" s="4" t="s">
        <v>87</v>
      </c>
      <c r="T110" s="4">
        <f ca="1">ROUND(_Google_ads[[#This Row],[impressions]]*RANDBETWEEN(8,12)/10,0)</f>
        <v>70234</v>
      </c>
      <c r="U110" s="4">
        <f ca="1">ROUND(_Google_ads[[#This Row],[clicks]]*RANDBETWEEN(8,12)/10,0)</f>
        <v>1894</v>
      </c>
      <c r="V110" s="4">
        <f ca="1">_Google_ads[[#This Row],[cost]]*RANDBETWEEN(8,12)/10</f>
        <v>475.31000000000006</v>
      </c>
      <c r="W110" s="4">
        <f ca="1">ROUND(_Google_ads[[#This Row],[conversions]]*RANDBETWEEN(8,12)/10,0)</f>
        <v>68</v>
      </c>
      <c r="X110" s="4">
        <f ca="1">ROUND(_Google_ads[[#This Row],[conversion_value]]*RANDBETWEEN(8,12)/10,0)</f>
        <v>2720</v>
      </c>
      <c r="Y110" s="4">
        <f ca="1">_Google_ads[[#This Row],[ctr]]*RANDBETWEEN(8,12)/10</f>
        <v>3.7070000000000006E-2</v>
      </c>
      <c r="Z110" s="4">
        <f ca="1">_Google_ads[[#This Row],[avg_cpc]]*RANDBETWEEN(8,12)/10</f>
        <v>0.14399999999999999</v>
      </c>
      <c r="AA110" s="4">
        <f ca="1">ROUND(_Google_ads[[#This Row],[quality_score]]*RANDBETWEEN(8,12)/10,0)</f>
        <v>8</v>
      </c>
      <c r="AB110" s="4">
        <f ca="1">_Google_ads[[#This Row],[search_impression_share]]*RANDBETWEEN(8,12)/10</f>
        <v>0.60299999999999998</v>
      </c>
      <c r="AD110" s="3">
        <f t="shared" ca="1" si="16"/>
        <v>45260</v>
      </c>
      <c r="AE110" s="4" t="s">
        <v>108</v>
      </c>
      <c r="AF110" s="4" t="s">
        <v>109</v>
      </c>
      <c r="AG110" s="4" t="s">
        <v>110</v>
      </c>
      <c r="AH110" s="4" t="s">
        <v>111</v>
      </c>
      <c r="AI110" s="4">
        <f ca="1">ROUND(T_Tiktok_ads[[#This Row],[impressions]]*RANDBETWEEN(8,12)/10,0)</f>
        <v>200987</v>
      </c>
      <c r="AJ110" s="4">
        <f ca="1">ROUND(T_Tiktok_ads[[#This Row],[clicks]]*RANDBETWEEN(8,12)/10,0)</f>
        <v>4760</v>
      </c>
      <c r="AK110" s="4">
        <v>481.5</v>
      </c>
      <c r="AL110" s="4">
        <f ca="1">ROUND(T_Tiktok_ads[[#This Row],[conversions]]*RANDBETWEEN(8,12)/10,0)</f>
        <v>42</v>
      </c>
      <c r="AM110" s="4">
        <f ca="1">ROUND(T_Tiktok_ads[[#This Row],[video_views]]*RANDBETWEEN(8,12)/10,0)</f>
        <v>198901</v>
      </c>
      <c r="AN110" s="4">
        <f ca="1">ROUND(T_Tiktok_ads[[#This Row],[video_watch_25]]*RANDBETWEEN(8,12)/10,0)</f>
        <v>180680</v>
      </c>
      <c r="AO110" s="4">
        <f ca="1">ROUND(T_Tiktok_ads[[#This Row],[video_watch_50]]*RANDBETWEEN(8,12)/10,0)</f>
        <v>95387</v>
      </c>
      <c r="AP110" s="4">
        <f ca="1">ROUND(T_Tiktok_ads[[#This Row],[video_watch_75]]*RANDBETWEEN(8,12)/10,0)</f>
        <v>92268</v>
      </c>
      <c r="AQ110" s="4">
        <f ca="1">ROUND(T_Tiktok_ads[[#This Row],[video_watch_100]]*RANDBETWEEN(8,12)/10,0)</f>
        <v>41910</v>
      </c>
      <c r="AR110" s="4">
        <f ca="1">ROUND(T_Tiktok_ads[[#This Row],[likes]]*RANDBETWEEN(8,12)/10,0)</f>
        <v>9546</v>
      </c>
      <c r="AS110" s="4">
        <f ca="1">ROUND(T_Tiktok_ads[[#This Row],[shares]]*RANDBETWEEN(8,12)/10,0)</f>
        <v>2140</v>
      </c>
      <c r="AT110" s="4">
        <f ca="1">ROUND(T_Tiktok_ads[[#This Row],[comments]]*RANDBETWEEN(8,12)/10,0)</f>
        <v>612</v>
      </c>
      <c r="AV110" s="5">
        <f t="shared" ca="1" si="17"/>
        <v>45233</v>
      </c>
      <c r="AW110">
        <f t="shared" ca="1" si="13"/>
        <v>7</v>
      </c>
      <c r="AX110">
        <f ca="1">ROUND(T_Facebook_Ads1159636771757983879195[[#This Row],[impressions]]*RANDBETWEEN(8,12)/10,0)</f>
        <v>34101</v>
      </c>
      <c r="AY110">
        <f ca="1">ROUND(T_Facebook_Ads1159636771757983879195[[#This Row],[clicks]]*RANDBETWEEN(8,12)/10,0)</f>
        <v>1130</v>
      </c>
      <c r="AZ110">
        <f ca="1">T_Facebook_Ads1159636771757983879195[[#This Row],[spend]]*RANDBETWEEN(8,12)/10</f>
        <v>190.51999999999998</v>
      </c>
      <c r="BA110">
        <f ca="1">ROUND(T_Facebook_Ads1159636771757983879195[[#This Row],[conversions]]*RANDBETWEEN(8,12)/10,0)</f>
        <v>36</v>
      </c>
      <c r="BB110">
        <f ca="1">ROUND(T_Facebook_Ads1159636771757983879195[[#This Row],[video_views]]*RANDBETWEEN(8,12)/10,0)</f>
        <v>4362</v>
      </c>
    </row>
    <row r="111" spans="1:54" x14ac:dyDescent="0.25">
      <c r="A111" s="3">
        <f t="shared" ca="1" si="14"/>
        <v>45236</v>
      </c>
      <c r="B111" s="4" t="s">
        <v>64</v>
      </c>
      <c r="C111" s="4" t="s">
        <v>65</v>
      </c>
      <c r="D111" s="4" t="s">
        <v>66</v>
      </c>
      <c r="E111" s="4" t="s">
        <v>67</v>
      </c>
      <c r="F111" s="4">
        <f ca="1">ROUND(T_Facebook_Ads[[#This Row],[impressions]]*RANDBETWEEN(8,12)/10,0)</f>
        <v>86548</v>
      </c>
      <c r="G111" s="4">
        <v>261</v>
      </c>
      <c r="H111" s="4">
        <f ca="1">T_Facebook_Ads[[#This Row],[spend]]*RANDBETWEEN(8,12)/10</f>
        <v>109.55999999999999</v>
      </c>
      <c r="I111" s="4">
        <f ca="1">ROUND(T_Facebook_Ads[[#This Row],[conversions]]*RANDBETWEEN(8,12)/10,0)</f>
        <v>8</v>
      </c>
      <c r="J111" s="4">
        <f ca="1">ROUND(T_Facebook_Ads[[#This Row],[video_views]]*RANDBETWEEN(8,12)/10,0)</f>
        <v>48567</v>
      </c>
      <c r="K111" s="4">
        <f ca="1">T_Facebook_Ads[[#This Row],[engagement_rate]]*RANDBETWEEN(8,12)/10</f>
        <v>2.8799999999999997E-3</v>
      </c>
      <c r="L111" s="4">
        <f ca="1">ROUND(T_Facebook_Ads[[#This Row],[reach]]*RANDBETWEEN(8,12)/10,0)</f>
        <v>70668</v>
      </c>
      <c r="M111" s="4">
        <f ca="1">T_Facebook_Ads[[#This Row],[frequency]]*RANDBETWEEN(8,12)/10</f>
        <v>1.464</v>
      </c>
      <c r="O111" s="3">
        <f t="shared" ca="1" si="15"/>
        <v>45232</v>
      </c>
      <c r="P111" s="4" t="s">
        <v>88</v>
      </c>
      <c r="Q111" s="4" t="s">
        <v>89</v>
      </c>
      <c r="R111" s="4" t="s">
        <v>90</v>
      </c>
      <c r="S111" s="4" t="s">
        <v>59</v>
      </c>
      <c r="T111" s="4">
        <f ca="1">ROUND(_Google_ads[[#This Row],[impressions]]*RANDBETWEEN(8,12)/10,0)</f>
        <v>106765</v>
      </c>
      <c r="U111" s="4">
        <f ca="1">ROUND(_Google_ads[[#This Row],[clicks]]*RANDBETWEEN(8,12)/10,0)</f>
        <v>382</v>
      </c>
      <c r="V111" s="4">
        <f ca="1">_Google_ads[[#This Row],[cost]]*RANDBETWEEN(8,12)/10</f>
        <v>157.44</v>
      </c>
      <c r="W111" s="4">
        <f ca="1">ROUND(_Google_ads[[#This Row],[conversions]]*RANDBETWEEN(8,12)/10,0)</f>
        <v>14</v>
      </c>
      <c r="X111" s="4">
        <f ca="1">ROUND(_Google_ads[[#This Row],[conversion_value]]*RANDBETWEEN(8,12)/10,0)</f>
        <v>560</v>
      </c>
      <c r="Y111" s="4">
        <f ca="1">_Google_ads[[#This Row],[ctr]]*RANDBETWEEN(8,12)/10</f>
        <v>3.2399999999999998E-3</v>
      </c>
      <c r="Z111" s="4">
        <f ca="1">_Google_ads[[#This Row],[avg_cpc]]*RANDBETWEEN(8,12)/10</f>
        <v>0.21600000000000003</v>
      </c>
      <c r="AA111" s="4">
        <f ca="1">ROUND(_Google_ads[[#This Row],[quality_score]]*RANDBETWEEN(8,12)/10,0)</f>
        <v>8</v>
      </c>
      <c r="AB111" s="4">
        <f ca="1">_Google_ads[[#This Row],[search_impression_share]]*RANDBETWEEN(8,12)/10</f>
        <v>0.27999999999999997</v>
      </c>
      <c r="AD111" s="3">
        <f t="shared" ca="1" si="16"/>
        <v>45253</v>
      </c>
      <c r="AE111" s="4" t="s">
        <v>112</v>
      </c>
      <c r="AF111" s="4" t="s">
        <v>113</v>
      </c>
      <c r="AG111" s="4" t="s">
        <v>114</v>
      </c>
      <c r="AH111" s="4" t="s">
        <v>115</v>
      </c>
      <c r="AI111" s="4">
        <f ca="1">ROUND(T_Tiktok_ads[[#This Row],[impressions]]*RANDBETWEEN(8,12)/10,0)</f>
        <v>478024</v>
      </c>
      <c r="AJ111" s="4">
        <f ca="1">ROUND(T_Tiktok_ads[[#This Row],[clicks]]*RANDBETWEEN(8,12)/10,0)</f>
        <v>7012</v>
      </c>
      <c r="AK111" s="4">
        <v>1089.3</v>
      </c>
      <c r="AL111" s="4">
        <f ca="1">ROUND(T_Tiktok_ads[[#This Row],[conversions]]*RANDBETWEEN(8,12)/10,0)</f>
        <v>120</v>
      </c>
      <c r="AM111" s="4">
        <f ca="1">ROUND(T_Tiktok_ads[[#This Row],[video_views]]*RANDBETWEEN(8,12)/10,0)</f>
        <v>367890</v>
      </c>
      <c r="AN111" s="4">
        <f ca="1">ROUND(T_Tiktok_ads[[#This Row],[video_watch_25]]*RANDBETWEEN(8,12)/10,0)</f>
        <v>296234</v>
      </c>
      <c r="AO111" s="4">
        <f ca="1">ROUND(T_Tiktok_ads[[#This Row],[video_watch_50]]*RANDBETWEEN(8,12)/10,0)</f>
        <v>261679</v>
      </c>
      <c r="AP111" s="4">
        <f ca="1">ROUND(T_Tiktok_ads[[#This Row],[video_watch_75]]*RANDBETWEEN(8,12)/10,0)</f>
        <v>185057</v>
      </c>
      <c r="AQ111" s="4">
        <f ca="1">ROUND(T_Tiktok_ads[[#This Row],[video_watch_100]]*RANDBETWEEN(8,12)/10,0)</f>
        <v>111234</v>
      </c>
      <c r="AR111" s="4">
        <f ca="1">ROUND(T_Tiktok_ads[[#This Row],[likes]]*RANDBETWEEN(8,12)/10,0)</f>
        <v>15387</v>
      </c>
      <c r="AS111" s="4">
        <f ca="1">ROUND(T_Tiktok_ads[[#This Row],[shares]]*RANDBETWEEN(8,12)/10,0)</f>
        <v>5534</v>
      </c>
      <c r="AT111" s="4">
        <f ca="1">ROUND(T_Tiktok_ads[[#This Row],[comments]]*RANDBETWEEN(8,12)/10,0)</f>
        <v>1218</v>
      </c>
      <c r="AV111" s="5">
        <f t="shared" ca="1" si="17"/>
        <v>45258</v>
      </c>
      <c r="AW111">
        <f t="shared" ca="1" si="13"/>
        <v>1</v>
      </c>
      <c r="AX111">
        <f ca="1">ROUND(T_Facebook_Ads1159636771757983879195[[#This Row],[impressions]]*RANDBETWEEN(8,12)/10,0)</f>
        <v>77893</v>
      </c>
      <c r="AY111">
        <f ca="1">ROUND(T_Facebook_Ads1159636771757983879195[[#This Row],[clicks]]*RANDBETWEEN(8,12)/10,0)</f>
        <v>235</v>
      </c>
      <c r="AZ111">
        <f ca="1">T_Facebook_Ads1159636771757983879195[[#This Row],[spend]]*RANDBETWEEN(8,12)/10</f>
        <v>131.47199999999998</v>
      </c>
      <c r="BA111">
        <f ca="1">ROUND(T_Facebook_Ads1159636771757983879195[[#This Row],[conversions]]*RANDBETWEEN(8,12)/10,0)</f>
        <v>10</v>
      </c>
      <c r="BB111">
        <f ca="1">ROUND(T_Facebook_Ads1159636771757983879195[[#This Row],[video_views]]*RANDBETWEEN(8,12)/10,0)</f>
        <v>38854</v>
      </c>
    </row>
  </sheetData>
  <pageMargins left="0.7" right="0.7" top="0.75" bottom="0.75" header="0.3" footer="0.3"/>
  <pageSetup orientation="portrait" r:id="rId1"/>
  <tableParts count="4">
    <tablePart r:id="rId2"/>
    <tablePart r:id="rId3"/>
    <tablePart r:id="rId4"/>
    <tablePart r:id="rId5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7E930-F19C-42E4-9E31-9023BBCDD647}">
  <dimension ref="A1:BB111"/>
  <sheetViews>
    <sheetView topLeftCell="AM1" workbookViewId="0">
      <selection activeCell="AY3" sqref="AY3"/>
    </sheetView>
  </sheetViews>
  <sheetFormatPr baseColWidth="10" defaultRowHeight="15" x14ac:dyDescent="0.25"/>
  <cols>
    <col min="2" max="2" width="14.42578125" customWidth="1"/>
    <col min="3" max="3" width="19.85546875" bestFit="1" customWidth="1"/>
    <col min="5" max="5" width="18.28515625" bestFit="1" customWidth="1"/>
    <col min="6" max="6" width="13.7109375" customWidth="1"/>
    <col min="9" max="10" width="13.7109375" customWidth="1"/>
    <col min="11" max="11" width="18.42578125" customWidth="1"/>
    <col min="13" max="13" width="12" customWidth="1"/>
    <col min="16" max="16" width="14.42578125" customWidth="1"/>
    <col min="17" max="17" width="18.5703125" bestFit="1" customWidth="1"/>
    <col min="18" max="18" width="14" customWidth="1"/>
    <col min="19" max="19" width="17.140625" customWidth="1"/>
    <col min="20" max="20" width="13.7109375" customWidth="1"/>
    <col min="21" max="21" width="8.140625" customWidth="1"/>
    <col min="22" max="22" width="6.85546875" customWidth="1"/>
    <col min="23" max="23" width="13.7109375" customWidth="1"/>
    <col min="24" max="24" width="18.42578125" customWidth="1"/>
    <col min="25" max="25" width="6.140625" bestFit="1" customWidth="1"/>
    <col min="26" max="26" width="10.28515625" customWidth="1"/>
    <col min="27" max="27" width="14.85546875" customWidth="1"/>
    <col min="28" max="28" width="25" customWidth="1"/>
    <col min="29" max="29" width="6.85546875" customWidth="1"/>
    <col min="30" max="30" width="9.28515625" bestFit="1" customWidth="1"/>
    <col min="31" max="31" width="14.42578125" customWidth="1"/>
    <col min="32" max="32" width="17.5703125" customWidth="1"/>
    <col min="33" max="33" width="13.140625" customWidth="1"/>
    <col min="34" max="34" width="16.28515625" customWidth="1"/>
    <col min="35" max="35" width="13.7109375" customWidth="1"/>
    <col min="36" max="36" width="8.140625" customWidth="1"/>
    <col min="37" max="37" width="6.85546875" customWidth="1"/>
    <col min="38" max="39" width="13.7109375" customWidth="1"/>
    <col min="40" max="42" width="17" customWidth="1"/>
    <col min="43" max="43" width="18" customWidth="1"/>
    <col min="44" max="44" width="7.140625" customWidth="1"/>
    <col min="45" max="45" width="8.7109375" customWidth="1"/>
    <col min="46" max="46" width="12.42578125" customWidth="1"/>
    <col min="49" max="49" width="14.28515625" customWidth="1"/>
    <col min="50" max="50" width="13.85546875" customWidth="1"/>
    <col min="53" max="53" width="13.7109375" customWidth="1"/>
    <col min="54" max="54" width="14.28515625" customWidth="1"/>
  </cols>
  <sheetData>
    <row r="1" spans="1:54" ht="15.75" thickBot="1" x14ac:dyDescent="0.3">
      <c r="A1" s="2" t="s">
        <v>39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  <c r="O1" s="2" t="s">
        <v>39</v>
      </c>
      <c r="P1" s="1" t="s">
        <v>40</v>
      </c>
      <c r="Q1" s="1" t="s">
        <v>41</v>
      </c>
      <c r="R1" s="1" t="s">
        <v>68</v>
      </c>
      <c r="S1" s="1" t="s">
        <v>69</v>
      </c>
      <c r="T1" s="1" t="s">
        <v>44</v>
      </c>
      <c r="U1" s="1" t="s">
        <v>45</v>
      </c>
      <c r="V1" s="1" t="s">
        <v>70</v>
      </c>
      <c r="W1" s="1" t="s">
        <v>47</v>
      </c>
      <c r="X1" s="1" t="s">
        <v>71</v>
      </c>
      <c r="Y1" s="1" t="s">
        <v>72</v>
      </c>
      <c r="Z1" s="1" t="s">
        <v>73</v>
      </c>
      <c r="AA1" s="1" t="s">
        <v>74</v>
      </c>
      <c r="AB1" s="1" t="s">
        <v>75</v>
      </c>
      <c r="AD1" s="2" t="s">
        <v>39</v>
      </c>
      <c r="AE1" s="1" t="s">
        <v>40</v>
      </c>
      <c r="AF1" s="1" t="s">
        <v>41</v>
      </c>
      <c r="AG1" s="1" t="s">
        <v>91</v>
      </c>
      <c r="AH1" s="1" t="s">
        <v>92</v>
      </c>
      <c r="AI1" s="1" t="s">
        <v>44</v>
      </c>
      <c r="AJ1" s="1" t="s">
        <v>45</v>
      </c>
      <c r="AK1" s="1" t="s">
        <v>70</v>
      </c>
      <c r="AL1" s="1" t="s">
        <v>47</v>
      </c>
      <c r="AM1" s="1" t="s">
        <v>48</v>
      </c>
      <c r="AN1" s="1" t="s">
        <v>93</v>
      </c>
      <c r="AO1" s="1" t="s">
        <v>94</v>
      </c>
      <c r="AP1" s="1" t="s">
        <v>95</v>
      </c>
      <c r="AQ1" s="1" t="s">
        <v>96</v>
      </c>
      <c r="AR1" s="1" t="s">
        <v>97</v>
      </c>
      <c r="AS1" s="1" t="s">
        <v>98</v>
      </c>
      <c r="AT1" s="1" t="s">
        <v>99</v>
      </c>
      <c r="AV1" t="s">
        <v>39</v>
      </c>
      <c r="AW1" t="s">
        <v>40</v>
      </c>
      <c r="AX1" t="s">
        <v>44</v>
      </c>
      <c r="AY1" t="s">
        <v>45</v>
      </c>
      <c r="AZ1" t="s">
        <v>46</v>
      </c>
      <c r="BA1" t="s">
        <v>47</v>
      </c>
      <c r="BB1" t="s">
        <v>48</v>
      </c>
    </row>
    <row r="2" spans="1:54" ht="15.75" thickBot="1" x14ac:dyDescent="0.3">
      <c r="A2" s="3">
        <f t="shared" ref="A2:A33" ca="1" si="0">DATE(2023,12,RANDBETWEEN(1,31))</f>
        <v>45264</v>
      </c>
      <c r="B2" s="4" t="s">
        <v>52</v>
      </c>
      <c r="C2" s="4" t="s">
        <v>53</v>
      </c>
      <c r="D2" s="4" t="s">
        <v>54</v>
      </c>
      <c r="E2" s="4" t="s">
        <v>55</v>
      </c>
      <c r="F2" s="4">
        <f ca="1">ROUND(T_Facebook_Ads[[#This Row],[impressions]]*RANDBETWEEN(8,12)/10,0)</f>
        <v>54748</v>
      </c>
      <c r="G2" s="4">
        <f ca="1">ROUND(T_Facebook_Ads[[#This Row],[clicks]]*RANDBETWEEN(8,12)/10,0)</f>
        <v>803</v>
      </c>
      <c r="H2" s="4">
        <f ca="1">T_Facebook_Ads[[#This Row],[spend]]*RANDBETWEEN(8,12)/10</f>
        <v>127.5</v>
      </c>
      <c r="I2" s="4">
        <f ca="1">ROUND(T_Facebook_Ads[[#This Row],[conversions]]*RANDBETWEEN(8,12)/10,0)</f>
        <v>13</v>
      </c>
      <c r="J2" s="4">
        <f ca="1">ROUND(T_Facebook_Ads[[#This Row],[video_views]]*RANDBETWEEN(8,12)/10,0)</f>
        <v>9057</v>
      </c>
      <c r="K2" s="4">
        <f ca="1">T_Facebook_Ads[[#This Row],[engagement_rate]]*RANDBETWEEN(8,12)/10</f>
        <v>2.3399999999999997E-2</v>
      </c>
      <c r="L2" s="4">
        <f ca="1">ROUND(T_Facebook_Ads[[#This Row],[reach]]*RANDBETWEEN(8,12)/10,0)</f>
        <v>42057</v>
      </c>
      <c r="M2" s="4">
        <f ca="1">T_Facebook_Ads[[#This Row],[frequency]]*RANDBETWEEN(8,12)/10</f>
        <v>1.4279999999999999</v>
      </c>
      <c r="O2" s="3">
        <f t="shared" ref="O2:O33" ca="1" si="1">DATE(2023,12,RANDBETWEEN(1,31))</f>
        <v>45279</v>
      </c>
      <c r="P2" s="4" t="s">
        <v>76</v>
      </c>
      <c r="Q2" s="4" t="s">
        <v>77</v>
      </c>
      <c r="R2" s="4" t="s">
        <v>78</v>
      </c>
      <c r="S2" s="4" t="s">
        <v>79</v>
      </c>
      <c r="T2" s="4">
        <f ca="1">ROUND(_Google_ads[[#This Row],[impressions]]*RANDBETWEEN(8,12)/10,0)</f>
        <v>23456</v>
      </c>
      <c r="U2" s="4">
        <f ca="1">ROUND(_Google_ads[[#This Row],[clicks]]*RANDBETWEEN(8,12)/10,0)</f>
        <v>1111</v>
      </c>
      <c r="V2" s="4">
        <f ca="1">_Google_ads[[#This Row],[cost]]*RANDBETWEEN(8,12)/10</f>
        <v>257.95</v>
      </c>
      <c r="W2" s="4">
        <f ca="1">ROUND(_Google_ads[[#This Row],[conversions]]*RANDBETWEEN(8,12)/10,0)</f>
        <v>36</v>
      </c>
      <c r="X2" s="4">
        <f ca="1">ROUND(_Google_ads[[#This Row],[conversion_value]]*RANDBETWEEN(8,12)/10,0)</f>
        <v>2250</v>
      </c>
      <c r="Y2" s="4">
        <f ca="1">_Google_ads[[#This Row],[ctr]]*RANDBETWEEN(8,12)/10</f>
        <v>4.2079999999999999E-2</v>
      </c>
      <c r="Z2" s="4">
        <f ca="1">_Google_ads[[#This Row],[avg_cpc]]*RANDBETWEEN(8,12)/10</f>
        <v>0.152</v>
      </c>
      <c r="AA2" s="4">
        <f ca="1">ROUND(_Google_ads[[#This Row],[quality_score]]*RANDBETWEEN(8,12)/10,0)</f>
        <v>7</v>
      </c>
      <c r="AB2" s="4">
        <f ca="1">_Google_ads[[#This Row],[search_impression_share]]*RANDBETWEEN(8,12)/10</f>
        <v>1.1040000000000001</v>
      </c>
      <c r="AD2" s="3">
        <f t="shared" ref="AD2:AD33" ca="1" si="2">DATE(2023,12,RANDBETWEEN(1,31))</f>
        <v>45289</v>
      </c>
      <c r="AE2" s="4" t="s">
        <v>100</v>
      </c>
      <c r="AF2" s="4" t="s">
        <v>101</v>
      </c>
      <c r="AG2" s="4" t="s">
        <v>102</v>
      </c>
      <c r="AH2" s="4" t="s">
        <v>103</v>
      </c>
      <c r="AI2" s="4">
        <f ca="1">ROUND(T_Tiktok_ads[[#This Row],[impressions]]*RANDBETWEEN(8,12)/10,0)</f>
        <v>187654</v>
      </c>
      <c r="AJ2" s="4">
        <f ca="1">ROUND(T_Tiktok_ads[[#This Row],[clicks]]*RANDBETWEEN(8,12)/10,0)</f>
        <v>3110</v>
      </c>
      <c r="AK2" s="4">
        <f ca="1">T_Tiktok_ads[[#This Row],[cost]]*RANDBETWEEN(8,12)/10</f>
        <v>365.36</v>
      </c>
      <c r="AL2" s="4">
        <f ca="1">ROUND(T_Tiktok_ads[[#This Row],[conversions]]*RANDBETWEEN(8,12)/10,0)</f>
        <v>27</v>
      </c>
      <c r="AM2" s="4">
        <f ca="1">ROUND(T_Tiktok_ads[[#This Row],[video_views]]*RANDBETWEEN(8,12)/10,0)</f>
        <v>178411</v>
      </c>
      <c r="AN2" s="4">
        <f ca="1">ROUND(T_Tiktok_ads[[#This Row],[video_watch_25]]*RANDBETWEEN(8,12)/10,0)</f>
        <v>124987</v>
      </c>
      <c r="AO2" s="4">
        <f ca="1">ROUND(T_Tiktok_ads[[#This Row],[video_watch_50]]*RANDBETWEEN(8,12)/10,0)</f>
        <v>108057</v>
      </c>
      <c r="AP2" s="4">
        <f ca="1">ROUND(T_Tiktok_ads[[#This Row],[video_watch_75]]*RANDBETWEEN(8,12)/10,0)</f>
        <v>53787</v>
      </c>
      <c r="AQ2" s="4">
        <f ca="1">ROUND(T_Tiktok_ads[[#This Row],[video_watch_100]]*RANDBETWEEN(8,12)/10,0)</f>
        <v>49757</v>
      </c>
      <c r="AR2" s="4">
        <f ca="1">ROUND(T_Tiktok_ads[[#This Row],[likes]]*RANDBETWEEN(8,12)/10,0)</f>
        <v>8923</v>
      </c>
      <c r="AS2" s="4">
        <f ca="1">ROUND(T_Tiktok_ads[[#This Row],[shares]]*RANDBETWEEN(8,12)/10,0)</f>
        <v>2814</v>
      </c>
      <c r="AT2" s="4">
        <f ca="1">ROUND(T_Tiktok_ads[[#This Row],[comments]]*RANDBETWEEN(8,12)/10,0)</f>
        <v>454</v>
      </c>
      <c r="AV2" s="3">
        <f t="shared" ref="AV2:AV33" ca="1" si="3">DATE(2023,12,RANDBETWEEN(1,31))</f>
        <v>45283</v>
      </c>
      <c r="AW2">
        <f ca="1">RANDBETWEEN(1,8)</f>
        <v>3</v>
      </c>
      <c r="AX2">
        <f ca="1">ROUND(T_Facebook_Ads115963677175798387919599[[#This Row],[impressions]]*RANDBETWEEN(8,12)/10,0)</f>
        <v>54748</v>
      </c>
      <c r="AY2">
        <f ca="1">ROUND(T_Facebook_Ads115963677175798387919599[[#This Row],[clicks]]*RANDBETWEEN(8,12)/10,0)</f>
        <v>964</v>
      </c>
      <c r="AZ2">
        <f ca="1">T_Facebook_Ads115963677175798387919599[[#This Row],[spend]]*RANDBETWEEN(8,12)/10</f>
        <v>114.75</v>
      </c>
      <c r="BA2">
        <f ca="1">ROUND(T_Facebook_Ads115963677175798387919599[[#This Row],[conversions]]*RANDBETWEEN(8,12)/10,0)</f>
        <v>13</v>
      </c>
      <c r="BB2">
        <f ca="1">ROUND(T_Facebook_Ads115963677175798387919599[[#This Row],[video_views]]*RANDBETWEEN(8,12)/10,0)</f>
        <v>8151</v>
      </c>
    </row>
    <row r="3" spans="1:54" ht="15.75" thickBot="1" x14ac:dyDescent="0.3">
      <c r="A3" s="3">
        <f t="shared" ca="1" si="0"/>
        <v>45277</v>
      </c>
      <c r="B3" s="4" t="s">
        <v>56</v>
      </c>
      <c r="C3" s="4" t="s">
        <v>57</v>
      </c>
      <c r="D3" s="4" t="s">
        <v>58</v>
      </c>
      <c r="E3" s="4" t="s">
        <v>59</v>
      </c>
      <c r="F3" s="4">
        <f ca="1">ROUND(T_Facebook_Ads[[#This Row],[impressions]]*RANDBETWEEN(8,12)/10,0)</f>
        <v>14947</v>
      </c>
      <c r="G3" s="4">
        <v>567</v>
      </c>
      <c r="H3" s="4">
        <f ca="1">T_Facebook_Ads[[#This Row],[spend]]*RANDBETWEEN(8,12)/10</f>
        <v>258.96000000000004</v>
      </c>
      <c r="I3" s="4">
        <f ca="1">ROUND(T_Facebook_Ads[[#This Row],[conversions]]*RANDBETWEEN(8,12)/10,0)</f>
        <v>31</v>
      </c>
      <c r="J3" s="4">
        <f ca="1">ROUND(T_Facebook_Ads[[#This Row],[video_views]]*RANDBETWEEN(8,12)/10,0)</f>
        <v>1234</v>
      </c>
      <c r="K3" s="4">
        <f ca="1">T_Facebook_Ads[[#This Row],[engagement_rate]]*RANDBETWEEN(8,12)/10</f>
        <v>3.6400000000000002E-2</v>
      </c>
      <c r="L3" s="4">
        <f ca="1">ROUND(T_Facebook_Ads[[#This Row],[reach]]*RANDBETWEEN(8,12)/10,0)</f>
        <v>9876</v>
      </c>
      <c r="M3" s="4">
        <f ca="1">T_Facebook_Ads[[#This Row],[frequency]]*RANDBETWEEN(8,12)/10</f>
        <v>1.512</v>
      </c>
      <c r="O3" s="3">
        <f t="shared" ca="1" si="1"/>
        <v>45286</v>
      </c>
      <c r="P3" s="4" t="s">
        <v>80</v>
      </c>
      <c r="Q3" s="4" t="s">
        <v>81</v>
      </c>
      <c r="R3" s="4" t="s">
        <v>82</v>
      </c>
      <c r="S3" s="4" t="s">
        <v>83</v>
      </c>
      <c r="T3" s="4">
        <f ca="1">ROUND(_Google_ads[[#This Row],[impressions]]*RANDBETWEEN(8,12)/10,0)</f>
        <v>50246</v>
      </c>
      <c r="U3" s="4">
        <f ca="1">ROUND(_Google_ads[[#This Row],[clicks]]*RANDBETWEEN(8,12)/10,0)</f>
        <v>890</v>
      </c>
      <c r="V3" s="4">
        <f ca="1">_Google_ads[[#This Row],[cost]]*RANDBETWEEN(8,12)/10</f>
        <v>567.79999999999995</v>
      </c>
      <c r="W3" s="4">
        <f ca="1">ROUND(_Google_ads[[#This Row],[conversions]]*RANDBETWEEN(8,12)/10,0)</f>
        <v>18</v>
      </c>
      <c r="X3" s="4">
        <f ca="1">ROUND(_Google_ads[[#This Row],[conversion_value]]*RANDBETWEEN(8,12)/10,0)</f>
        <v>1150</v>
      </c>
      <c r="Y3" s="4">
        <f ca="1">_Google_ads[[#This Row],[ctr]]*RANDBETWEEN(8,12)/10</f>
        <v>2.3399999999999997E-2</v>
      </c>
      <c r="Z3" s="4">
        <f ca="1">_Google_ads[[#This Row],[avg_cpc]]*RANDBETWEEN(8,12)/10</f>
        <v>0.76800000000000002</v>
      </c>
      <c r="AA3" s="4">
        <f ca="1">ROUND(_Google_ads[[#This Row],[quality_score]]*RANDBETWEEN(8,12)/10,0)</f>
        <v>6</v>
      </c>
      <c r="AB3" s="4">
        <f ca="1">_Google_ads[[#This Row],[search_impression_share]]*RANDBETWEEN(8,12)/10</f>
        <v>0.495</v>
      </c>
      <c r="AD3" s="3">
        <f t="shared" ca="1" si="2"/>
        <v>45273</v>
      </c>
      <c r="AE3" s="4" t="s">
        <v>104</v>
      </c>
      <c r="AF3" s="4" t="s">
        <v>105</v>
      </c>
      <c r="AG3" s="4" t="s">
        <v>106</v>
      </c>
      <c r="AH3" s="4" t="s">
        <v>107</v>
      </c>
      <c r="AI3" s="4">
        <f ca="1">ROUND(T_Tiktok_ads[[#This Row],[impressions]]*RANDBETWEEN(8,12)/10,0)</f>
        <v>135802</v>
      </c>
      <c r="AJ3" s="4">
        <f ca="1">ROUND(T_Tiktok_ads[[#This Row],[clicks]]*RANDBETWEEN(8,12)/10,0)</f>
        <v>2345</v>
      </c>
      <c r="AK3" s="4">
        <v>678.9</v>
      </c>
      <c r="AL3" s="4">
        <f ca="1">ROUND(T_Tiktok_ads[[#This Row],[conversions]]*RANDBETWEEN(8,12)/10,0)</f>
        <v>80</v>
      </c>
      <c r="AM3" s="4">
        <f ca="1">ROUND(T_Tiktok_ads[[#This Row],[video_views]]*RANDBETWEEN(8,12)/10,0)</f>
        <v>80311</v>
      </c>
      <c r="AN3" s="4">
        <f ca="1">ROUND(T_Tiktok_ads[[#This Row],[video_watch_25]]*RANDBETWEEN(8,12)/10,0)</f>
        <v>80681</v>
      </c>
      <c r="AO3" s="4">
        <f ca="1">ROUND(T_Tiktok_ads[[#This Row],[video_watch_50]]*RANDBETWEEN(8,12)/10,0)</f>
        <v>45234</v>
      </c>
      <c r="AP3" s="4">
        <f ca="1">ROUND(T_Tiktok_ads[[#This Row],[video_watch_75]]*RANDBETWEEN(8,12)/10,0)</f>
        <v>41081</v>
      </c>
      <c r="AQ3" s="4">
        <f ca="1">ROUND(T_Tiktok_ads[[#This Row],[video_watch_100]]*RANDBETWEEN(8,12)/10,0)</f>
        <v>18765</v>
      </c>
      <c r="AR3" s="4">
        <f ca="1">ROUND(T_Tiktok_ads[[#This Row],[likes]]*RANDBETWEEN(8,12)/10,0)</f>
        <v>5024</v>
      </c>
      <c r="AS3" s="4">
        <f ca="1">ROUND(T_Tiktok_ads[[#This Row],[shares]]*RANDBETWEEN(8,12)/10,0)</f>
        <v>1481</v>
      </c>
      <c r="AT3" s="4">
        <f ca="1">ROUND(T_Tiktok_ads[[#This Row],[comments]]*RANDBETWEEN(8,12)/10,0)</f>
        <v>187</v>
      </c>
      <c r="AV3" s="5">
        <f t="shared" ca="1" si="3"/>
        <v>45275</v>
      </c>
      <c r="AW3">
        <f t="shared" ref="AW3:AW66" ca="1" si="4">RANDBETWEEN(1,8)</f>
        <v>6</v>
      </c>
      <c r="AX3">
        <f ca="1">ROUND(T_Facebook_Ads115963677175798387919599[[#This Row],[impressions]]*RANDBETWEEN(8,12)/10,0)</f>
        <v>11958</v>
      </c>
      <c r="AY3">
        <f ca="1">ROUND(T_Facebook_Ads115963677175798387919599[[#This Row],[clicks]]*RANDBETWEEN(8,12)/10,0)</f>
        <v>567</v>
      </c>
      <c r="AZ3">
        <f ca="1">T_Facebook_Ads115963677175798387919599[[#This Row],[spend]]*RANDBETWEEN(8,12)/10</f>
        <v>207.16800000000003</v>
      </c>
      <c r="BA3">
        <f ca="1">ROUND(T_Facebook_Ads115963677175798387919599[[#This Row],[conversions]]*RANDBETWEEN(8,12)/10,0)</f>
        <v>28</v>
      </c>
      <c r="BB3">
        <f ca="1">ROUND(T_Facebook_Ads115963677175798387919599[[#This Row],[video_views]]*RANDBETWEEN(8,12)/10,0)</f>
        <v>1481</v>
      </c>
    </row>
    <row r="4" spans="1:54" ht="15.75" thickBot="1" x14ac:dyDescent="0.3">
      <c r="A4" s="3">
        <f t="shared" ca="1" si="0"/>
        <v>45265</v>
      </c>
      <c r="B4" s="4" t="s">
        <v>60</v>
      </c>
      <c r="C4" s="4" t="s">
        <v>61</v>
      </c>
      <c r="D4" s="4" t="s">
        <v>62</v>
      </c>
      <c r="E4" s="4" t="s">
        <v>63</v>
      </c>
      <c r="F4" s="4">
        <f ca="1">ROUND(T_Facebook_Ads[[#This Row],[impressions]]*RANDBETWEEN(8,12)/10,0)</f>
        <v>38024</v>
      </c>
      <c r="G4" s="4">
        <v>1234</v>
      </c>
      <c r="H4" s="4">
        <f ca="1">T_Facebook_Ads[[#This Row],[spend]]*RANDBETWEEN(8,12)/10</f>
        <v>227.88000000000002</v>
      </c>
      <c r="I4" s="4">
        <f ca="1">ROUND(T_Facebook_Ads[[#This Row],[conversions]]*RANDBETWEEN(8,12)/10,0)</f>
        <v>21</v>
      </c>
      <c r="J4" s="4">
        <f ca="1">ROUND(T_Facebook_Ads[[#This Row],[video_views]]*RANDBETWEEN(8,12)/10,0)</f>
        <v>5480</v>
      </c>
      <c r="K4" s="4">
        <f ca="1">T_Facebook_Ads[[#This Row],[engagement_rate]]*RANDBETWEEN(8,12)/10</f>
        <v>3.5700000000000003E-2</v>
      </c>
      <c r="L4" s="4">
        <f ca="1">ROUND(T_Facebook_Ads[[#This Row],[reach]]*RANDBETWEEN(8,12)/10,0)</f>
        <v>28934</v>
      </c>
      <c r="M4" s="4">
        <f ca="1">T_Facebook_Ads[[#This Row],[frequency]]*RANDBETWEEN(8,12)/10</f>
        <v>1.19</v>
      </c>
      <c r="O4" s="3">
        <f t="shared" ca="1" si="1"/>
        <v>45277</v>
      </c>
      <c r="P4" s="4" t="s">
        <v>84</v>
      </c>
      <c r="Q4" s="4" t="s">
        <v>85</v>
      </c>
      <c r="R4" s="4" t="s">
        <v>86</v>
      </c>
      <c r="S4" s="4" t="s">
        <v>87</v>
      </c>
      <c r="T4" s="4">
        <f ca="1">ROUND(_Google_ads[[#This Row],[impressions]]*RANDBETWEEN(8,12)/10,0)</f>
        <v>81468</v>
      </c>
      <c r="U4" s="4">
        <f ca="1">ROUND(_Google_ads[[#This Row],[clicks]]*RANDBETWEEN(8,12)/10,0)</f>
        <v>2111</v>
      </c>
      <c r="V4" s="4">
        <f ca="1">_Google_ads[[#This Row],[cost]]*RANDBETWEEN(8,12)/10</f>
        <v>381.24</v>
      </c>
      <c r="W4" s="4">
        <f ca="1">ROUND(_Google_ads[[#This Row],[conversions]]*RANDBETWEEN(8,12)/10,0)</f>
        <v>80</v>
      </c>
      <c r="X4" s="4">
        <f ca="1">ROUND(_Google_ads[[#This Row],[conversion_value]]*RANDBETWEEN(8,12)/10,0)</f>
        <v>2680</v>
      </c>
      <c r="Y4" s="4">
        <f ca="1">_Google_ads[[#This Row],[ctr]]*RANDBETWEEN(8,12)/10</f>
        <v>3.4500000000000003E-2</v>
      </c>
      <c r="Z4" s="4">
        <f ca="1">_Google_ads[[#This Row],[avg_cpc]]*RANDBETWEEN(8,12)/10</f>
        <v>0.14399999999999999</v>
      </c>
      <c r="AA4" s="4">
        <f ca="1">ROUND(_Google_ads[[#This Row],[quality_score]]*RANDBETWEEN(8,12)/10,0)</f>
        <v>10</v>
      </c>
      <c r="AB4" s="4">
        <f ca="1">_Google_ads[[#This Row],[search_impression_share]]*RANDBETWEEN(8,12)/10</f>
        <v>0.80400000000000005</v>
      </c>
      <c r="AD4" s="3">
        <f t="shared" ca="1" si="2"/>
        <v>45280</v>
      </c>
      <c r="AE4" s="4" t="s">
        <v>108</v>
      </c>
      <c r="AF4" s="4" t="s">
        <v>109</v>
      </c>
      <c r="AG4" s="4" t="s">
        <v>110</v>
      </c>
      <c r="AH4" s="4" t="s">
        <v>111</v>
      </c>
      <c r="AI4" s="4">
        <f ca="1">ROUND(T_Tiktok_ads[[#This Row],[impressions]]*RANDBETWEEN(8,12)/10,0)</f>
        <v>170311</v>
      </c>
      <c r="AJ4" s="4">
        <f ca="1">ROUND(T_Tiktok_ads[[#This Row],[clicks]]*RANDBETWEEN(8,12)/10,0)</f>
        <v>2601</v>
      </c>
      <c r="AK4" s="4">
        <v>345.6</v>
      </c>
      <c r="AL4" s="4">
        <f ca="1">ROUND(T_Tiktok_ads[[#This Row],[conversions]]*RANDBETWEEN(8,12)/10,0)</f>
        <v>23</v>
      </c>
      <c r="AM4" s="4">
        <f ca="1">ROUND(T_Tiktok_ads[[#This Row],[video_views]]*RANDBETWEEN(8,12)/10,0)</f>
        <v>145678</v>
      </c>
      <c r="AN4" s="4">
        <f ca="1">ROUND(T_Tiktok_ads[[#This Row],[video_watch_25]]*RANDBETWEEN(8,12)/10,0)</f>
        <v>89876</v>
      </c>
      <c r="AO4" s="4">
        <f ca="1">ROUND(T_Tiktok_ads[[#This Row],[video_watch_50]]*RANDBETWEEN(8,12)/10,0)</f>
        <v>80311</v>
      </c>
      <c r="AP4" s="4">
        <f ca="1">ROUND(T_Tiktok_ads[[#This Row],[video_watch_75]]*RANDBETWEEN(8,12)/10,0)</f>
        <v>68147</v>
      </c>
      <c r="AQ4" s="4">
        <f ca="1">ROUND(T_Tiktok_ads[[#This Row],[video_watch_100]]*RANDBETWEEN(8,12)/10,0)</f>
        <v>38024</v>
      </c>
      <c r="AR4" s="4">
        <f ca="1">ROUND(T_Tiktok_ads[[#This Row],[likes]]*RANDBETWEEN(8,12)/10,0)</f>
        <v>7468</v>
      </c>
      <c r="AS4" s="4">
        <f ca="1">ROUND(T_Tiktok_ads[[#This Row],[shares]]*RANDBETWEEN(8,12)/10,0)</f>
        <v>2079</v>
      </c>
      <c r="AT4" s="4">
        <f ca="1">ROUND(T_Tiktok_ads[[#This Row],[comments]]*RANDBETWEEN(8,12)/10,0)</f>
        <v>365</v>
      </c>
      <c r="AV4" s="5">
        <f t="shared" ca="1" si="3"/>
        <v>45276</v>
      </c>
      <c r="AW4">
        <f t="shared" ca="1" si="4"/>
        <v>5</v>
      </c>
      <c r="AX4">
        <f ca="1">ROUND(T_Facebook_Ads115963677175798387919599[[#This Row],[impressions]]*RANDBETWEEN(8,12)/10,0)</f>
        <v>41826</v>
      </c>
      <c r="AY4">
        <f ca="1">ROUND(T_Facebook_Ads115963677175798387919599[[#This Row],[clicks]]*RANDBETWEEN(8,12)/10,0)</f>
        <v>1357</v>
      </c>
      <c r="AZ4">
        <f ca="1">T_Facebook_Ads115963677175798387919599[[#This Row],[spend]]*RANDBETWEEN(8,12)/10</f>
        <v>205.09200000000001</v>
      </c>
      <c r="BA4">
        <f ca="1">ROUND(T_Facebook_Ads115963677175798387919599[[#This Row],[conversions]]*RANDBETWEEN(8,12)/10,0)</f>
        <v>17</v>
      </c>
      <c r="BB4">
        <f ca="1">ROUND(T_Facebook_Ads115963677175798387919599[[#This Row],[video_views]]*RANDBETWEEN(8,12)/10,0)</f>
        <v>5480</v>
      </c>
    </row>
    <row r="5" spans="1:54" ht="15.75" thickBot="1" x14ac:dyDescent="0.3">
      <c r="A5" s="3">
        <f t="shared" ca="1" si="0"/>
        <v>45283</v>
      </c>
      <c r="B5" s="4" t="s">
        <v>52</v>
      </c>
      <c r="C5" s="4" t="s">
        <v>53</v>
      </c>
      <c r="D5" s="4" t="s">
        <v>54</v>
      </c>
      <c r="E5" s="4" t="s">
        <v>55</v>
      </c>
      <c r="F5" s="4">
        <f ca="1">ROUND(T_Facebook_Ads[[#This Row],[impressions]]*RANDBETWEEN(8,12)/10,0)</f>
        <v>42345</v>
      </c>
      <c r="G5" s="4">
        <v>823</v>
      </c>
      <c r="H5" s="4">
        <f ca="1">T_Facebook_Ads[[#This Row],[spend]]*RANDBETWEEN(8,12)/10</f>
        <v>130.02000000000001</v>
      </c>
      <c r="I5" s="4">
        <f ca="1">ROUND(T_Facebook_Ads[[#This Row],[conversions]]*RANDBETWEEN(8,12)/10,0)</f>
        <v>9</v>
      </c>
      <c r="J5" s="4">
        <f ca="1">ROUND(T_Facebook_Ads[[#This Row],[video_views]]*RANDBETWEEN(8,12)/10,0)</f>
        <v>9468</v>
      </c>
      <c r="K5" s="4">
        <f ca="1">T_Facebook_Ads[[#This Row],[engagement_rate]]*RANDBETWEEN(8,12)/10</f>
        <v>1.9400000000000001E-2</v>
      </c>
      <c r="L5" s="4">
        <f ca="1">ROUND(T_Facebook_Ads[[#This Row],[reach]]*RANDBETWEEN(8,12)/10,0)</f>
        <v>44147</v>
      </c>
      <c r="M5" s="4">
        <f ca="1">T_Facebook_Ads[[#This Row],[frequency]]*RANDBETWEEN(8,12)/10</f>
        <v>1.38</v>
      </c>
      <c r="O5" s="3">
        <f t="shared" ca="1" si="1"/>
        <v>45261</v>
      </c>
      <c r="P5" s="4" t="s">
        <v>76</v>
      </c>
      <c r="Q5" s="4" t="s">
        <v>77</v>
      </c>
      <c r="R5" s="4" t="s">
        <v>78</v>
      </c>
      <c r="S5" s="4" t="s">
        <v>79</v>
      </c>
      <c r="T5" s="4">
        <f ca="1">ROUND(_Google_ads[[#This Row],[impressions]]*RANDBETWEEN(8,12)/10,0)</f>
        <v>29480</v>
      </c>
      <c r="U5" s="4">
        <f ca="1">ROUND(_Google_ads[[#This Row],[clicks]]*RANDBETWEEN(8,12)/10,0)</f>
        <v>1418</v>
      </c>
      <c r="V5" s="4">
        <f ca="1">_Google_ads[[#This Row],[cost]]*RANDBETWEEN(8,12)/10</f>
        <v>196.48</v>
      </c>
      <c r="W5" s="4">
        <f ca="1">ROUND(_Google_ads[[#This Row],[conversions]]*RANDBETWEEN(8,12)/10,0)</f>
        <v>48</v>
      </c>
      <c r="X5" s="4">
        <f ca="1">ROUND(_Google_ads[[#This Row],[conversion_value]]*RANDBETWEEN(8,12)/10,0)</f>
        <v>2880</v>
      </c>
      <c r="Y5" s="4">
        <f ca="1">_Google_ads[[#This Row],[ctr]]*RANDBETWEEN(8,12)/10</f>
        <v>4.1999999999999996E-2</v>
      </c>
      <c r="Z5" s="4">
        <f ca="1">_Google_ads[[#This Row],[avg_cpc]]*RANDBETWEEN(8,12)/10</f>
        <v>0.20899999999999999</v>
      </c>
      <c r="AA5" s="4">
        <f ca="1">ROUND(_Google_ads[[#This Row],[quality_score]]*RANDBETWEEN(8,12)/10,0)</f>
        <v>8</v>
      </c>
      <c r="AB5" s="4">
        <f ca="1">_Google_ads[[#This Row],[search_impression_share]]*RANDBETWEEN(8,12)/10</f>
        <v>1.0920000000000001</v>
      </c>
      <c r="AD5" s="3">
        <f t="shared" ca="1" si="2"/>
        <v>45281</v>
      </c>
      <c r="AE5" s="4" t="s">
        <v>100</v>
      </c>
      <c r="AF5" s="4" t="s">
        <v>101</v>
      </c>
      <c r="AG5" s="4" t="s">
        <v>102</v>
      </c>
      <c r="AH5" s="4" t="s">
        <v>103</v>
      </c>
      <c r="AI5" s="4">
        <f ca="1">ROUND(T_Tiktok_ads[[#This Row],[impressions]]*RANDBETWEEN(8,12)/10,0)</f>
        <v>294814</v>
      </c>
      <c r="AJ5" s="4">
        <f ca="1">ROUND(T_Tiktok_ads[[#This Row],[clicks]]*RANDBETWEEN(8,12)/10,0)</f>
        <v>3678</v>
      </c>
      <c r="AK5" s="4">
        <v>478.9</v>
      </c>
      <c r="AL5" s="4">
        <f ca="1">ROUND(T_Tiktok_ads[[#This Row],[conversions]]*RANDBETWEEN(8,12)/10,0)</f>
        <v>29</v>
      </c>
      <c r="AM5" s="4">
        <f ca="1">ROUND(T_Tiktok_ads[[#This Row],[video_views]]*RANDBETWEEN(8,12)/10,0)</f>
        <v>186611</v>
      </c>
      <c r="AN5" s="4">
        <f ca="1">ROUND(T_Tiktok_ads[[#This Row],[video_watch_25]]*RANDBETWEEN(8,12)/10,0)</f>
        <v>196147</v>
      </c>
      <c r="AO5" s="4">
        <f ca="1">ROUND(T_Tiktok_ads[[#This Row],[video_watch_50]]*RANDBETWEEN(8,12)/10,0)</f>
        <v>122814</v>
      </c>
      <c r="AP5" s="4">
        <f ca="1">ROUND(T_Tiktok_ads[[#This Row],[video_watch_75]]*RANDBETWEEN(8,12)/10,0)</f>
        <v>56187</v>
      </c>
      <c r="AQ5" s="4">
        <f ca="1">ROUND(T_Tiktok_ads[[#This Row],[video_watch_100]]*RANDBETWEEN(8,12)/10,0)</f>
        <v>42511</v>
      </c>
      <c r="AR5" s="4">
        <f ca="1">ROUND(T_Tiktok_ads[[#This Row],[likes]]*RANDBETWEEN(8,12)/10,0)</f>
        <v>7387</v>
      </c>
      <c r="AS5" s="4">
        <f ca="1">ROUND(T_Tiktok_ads[[#This Row],[shares]]*RANDBETWEEN(8,12)/10,0)</f>
        <v>1965</v>
      </c>
      <c r="AT5" s="4">
        <f ca="1">ROUND(T_Tiktok_ads[[#This Row],[comments]]*RANDBETWEEN(8,12)/10,0)</f>
        <v>589</v>
      </c>
      <c r="AV5" s="5">
        <f t="shared" ca="1" si="3"/>
        <v>45286</v>
      </c>
      <c r="AW5">
        <f ca="1">RANDBETWEEN(1,8)</f>
        <v>8</v>
      </c>
      <c r="AX5">
        <f ca="1">ROUND(T_Facebook_Ads115963677175798387919599[[#This Row],[impressions]]*RANDBETWEEN(8,12)/10,0)</f>
        <v>33876</v>
      </c>
      <c r="AY5">
        <f ca="1">ROUND(T_Facebook_Ads115963677175798387919599[[#This Row],[clicks]]*RANDBETWEEN(8,12)/10,0)</f>
        <v>658</v>
      </c>
      <c r="AZ5">
        <f ca="1">T_Facebook_Ads115963677175798387919599[[#This Row],[spend]]*RANDBETWEEN(8,12)/10</f>
        <v>130.02000000000001</v>
      </c>
      <c r="BA5">
        <f ca="1">ROUND(T_Facebook_Ads115963677175798387919599[[#This Row],[conversions]]*RANDBETWEEN(8,12)/10,0)</f>
        <v>11</v>
      </c>
      <c r="BB5">
        <f ca="1">ROUND(T_Facebook_Ads115963677175798387919599[[#This Row],[video_views]]*RANDBETWEEN(8,12)/10,0)</f>
        <v>10415</v>
      </c>
    </row>
    <row r="6" spans="1:54" ht="15.75" thickBot="1" x14ac:dyDescent="0.3">
      <c r="A6" s="3">
        <f t="shared" ca="1" si="0"/>
        <v>45277</v>
      </c>
      <c r="B6" s="4" t="s">
        <v>56</v>
      </c>
      <c r="C6" s="4" t="s">
        <v>57</v>
      </c>
      <c r="D6" s="4" t="s">
        <v>58</v>
      </c>
      <c r="E6" s="4" t="s">
        <v>59</v>
      </c>
      <c r="F6" s="4">
        <f ca="1">ROUND(T_Facebook_Ads[[#This Row],[impressions]]*RANDBETWEEN(8,12)/10,0)</f>
        <v>10942</v>
      </c>
      <c r="G6" s="4">
        <v>623</v>
      </c>
      <c r="H6" s="4">
        <f ca="1">T_Facebook_Ads[[#This Row],[spend]]*RANDBETWEEN(8,12)/10</f>
        <v>234.5</v>
      </c>
      <c r="I6" s="4">
        <f ca="1">ROUND(T_Facebook_Ads[[#This Row],[conversions]]*RANDBETWEEN(8,12)/10,0)</f>
        <v>46</v>
      </c>
      <c r="J6" s="4">
        <f ca="1">ROUND(T_Facebook_Ads[[#This Row],[video_views]]*RANDBETWEEN(8,12)/10,0)</f>
        <v>1165</v>
      </c>
      <c r="K6" s="4">
        <f ca="1">T_Facebook_Ads[[#This Row],[engagement_rate]]*RANDBETWEEN(8,12)/10</f>
        <v>4.5499999999999999E-2</v>
      </c>
      <c r="L6" s="4">
        <f ca="1">ROUND(T_Facebook_Ads[[#This Row],[reach]]*RANDBETWEEN(8,12)/10,0)</f>
        <v>8187</v>
      </c>
      <c r="M6" s="4">
        <f ca="1">T_Facebook_Ads[[#This Row],[frequency]]*RANDBETWEEN(8,12)/10</f>
        <v>1.474</v>
      </c>
      <c r="O6" s="3">
        <f t="shared" ca="1" si="1"/>
        <v>45291</v>
      </c>
      <c r="P6" s="4" t="s">
        <v>80</v>
      </c>
      <c r="Q6" s="4" t="s">
        <v>81</v>
      </c>
      <c r="R6" s="4" t="s">
        <v>82</v>
      </c>
      <c r="S6" s="4" t="s">
        <v>83</v>
      </c>
      <c r="T6" s="4">
        <f ca="1">ROUND(_Google_ads[[#This Row],[impressions]]*RANDBETWEEN(8,12)/10,0)</f>
        <v>47557</v>
      </c>
      <c r="U6" s="4">
        <f ca="1">ROUND(_Google_ads[[#This Row],[clicks]]*RANDBETWEEN(8,12)/10,0)</f>
        <v>905</v>
      </c>
      <c r="V6" s="4">
        <f ca="1">_Google_ads[[#This Row],[cost]]*RANDBETWEEN(8,12)/10</f>
        <v>641.04000000000008</v>
      </c>
      <c r="W6" s="4">
        <f ca="1">ROUND(_Google_ads[[#This Row],[conversions]]*RANDBETWEEN(8,12)/10,0)</f>
        <v>25</v>
      </c>
      <c r="X6" s="4">
        <f ca="1">ROUND(_Google_ads[[#This Row],[conversion_value]]*RANDBETWEEN(8,12)/10,0)</f>
        <v>945</v>
      </c>
      <c r="Y6" s="4">
        <f ca="1">_Google_ads[[#This Row],[ctr]]*RANDBETWEEN(8,12)/10</f>
        <v>1.52E-2</v>
      </c>
      <c r="Z6" s="4">
        <f ca="1">_Google_ads[[#This Row],[avg_cpc]]*RANDBETWEEN(8,12)/10</f>
        <v>0.65</v>
      </c>
      <c r="AA6" s="4">
        <f ca="1">ROUND(_Google_ads[[#This Row],[quality_score]]*RANDBETWEEN(8,12)/10,0)</f>
        <v>8</v>
      </c>
      <c r="AB6" s="4">
        <f ca="1">_Google_ads[[#This Row],[search_impression_share]]*RANDBETWEEN(8,12)/10</f>
        <v>0.52800000000000002</v>
      </c>
      <c r="AD6" s="3">
        <f t="shared" ca="1" si="2"/>
        <v>45285</v>
      </c>
      <c r="AE6" s="4" t="s">
        <v>104</v>
      </c>
      <c r="AF6" s="4" t="s">
        <v>105</v>
      </c>
      <c r="AG6" s="4" t="s">
        <v>106</v>
      </c>
      <c r="AH6" s="4" t="s">
        <v>107</v>
      </c>
      <c r="AI6" s="4">
        <f ca="1">ROUND(T_Tiktok_ads[[#This Row],[impressions]]*RANDBETWEEN(8,12)/10,0)</f>
        <v>121110</v>
      </c>
      <c r="AJ6" s="4">
        <f ca="1">ROUND(T_Tiktok_ads[[#This Row],[clicks]]*RANDBETWEEN(8,12)/10,0)</f>
        <v>2054</v>
      </c>
      <c r="AK6" s="4">
        <v>712.3</v>
      </c>
      <c r="AL6" s="4">
        <f ca="1">ROUND(T_Tiktok_ads[[#This Row],[conversions]]*RANDBETWEEN(8,12)/10,0)</f>
        <v>57</v>
      </c>
      <c r="AM6" s="4">
        <f ca="1">ROUND(T_Tiktok_ads[[#This Row],[video_views]]*RANDBETWEEN(8,12)/10,0)</f>
        <v>114814</v>
      </c>
      <c r="AN6" s="4">
        <f ca="1">ROUND(T_Tiktok_ads[[#This Row],[video_watch_25]]*RANDBETWEEN(8,12)/10,0)</f>
        <v>71234</v>
      </c>
      <c r="AO6" s="4">
        <f ca="1">ROUND(T_Tiktok_ads[[#This Row],[video_watch_50]]*RANDBETWEEN(8,12)/10,0)</f>
        <v>38587</v>
      </c>
      <c r="AP6" s="4">
        <f ca="1">ROUND(T_Tiktok_ads[[#This Row],[video_watch_75]]*RANDBETWEEN(8,12)/10,0)</f>
        <v>39857</v>
      </c>
      <c r="AQ6" s="4">
        <f ca="1">ROUND(T_Tiktok_ads[[#This Row],[video_watch_100]]*RANDBETWEEN(8,12)/10,0)</f>
        <v>19654</v>
      </c>
      <c r="AR6" s="4">
        <f ca="1">ROUND(T_Tiktok_ads[[#This Row],[likes]]*RANDBETWEEN(8,12)/10,0)</f>
        <v>3831</v>
      </c>
      <c r="AS6" s="4">
        <f ca="1">ROUND(T_Tiktok_ads[[#This Row],[shares]]*RANDBETWEEN(8,12)/10,0)</f>
        <v>1614</v>
      </c>
      <c r="AT6" s="4">
        <f ca="1">ROUND(T_Tiktok_ads[[#This Row],[comments]]*RANDBETWEEN(8,12)/10,0)</f>
        <v>221</v>
      </c>
      <c r="AV6" s="5">
        <f t="shared" ca="1" si="3"/>
        <v>45270</v>
      </c>
      <c r="AW6">
        <f t="shared" ca="1" si="4"/>
        <v>2</v>
      </c>
      <c r="AX6">
        <f ca="1">ROUND(T_Facebook_Ads115963677175798387919599[[#This Row],[impressions]]*RANDBETWEEN(8,12)/10,0)</f>
        <v>12036</v>
      </c>
      <c r="AY6">
        <f ca="1">ROUND(T_Facebook_Ads115963677175798387919599[[#This Row],[clicks]]*RANDBETWEEN(8,12)/10,0)</f>
        <v>561</v>
      </c>
      <c r="AZ6">
        <f ca="1">T_Facebook_Ads115963677175798387919599[[#This Row],[spend]]*RANDBETWEEN(8,12)/10</f>
        <v>257.95</v>
      </c>
      <c r="BA6">
        <f ca="1">ROUND(T_Facebook_Ads115963677175798387919599[[#This Row],[conversions]]*RANDBETWEEN(8,12)/10,0)</f>
        <v>46</v>
      </c>
      <c r="BB6">
        <f ca="1">ROUND(T_Facebook_Ads115963677175798387919599[[#This Row],[video_views]]*RANDBETWEEN(8,12)/10,0)</f>
        <v>932</v>
      </c>
    </row>
    <row r="7" spans="1:54" ht="15.75" thickBot="1" x14ac:dyDescent="0.3">
      <c r="A7" s="3">
        <f t="shared" ca="1" si="0"/>
        <v>45271</v>
      </c>
      <c r="B7" s="4" t="s">
        <v>60</v>
      </c>
      <c r="C7" s="4" t="s">
        <v>61</v>
      </c>
      <c r="D7" s="4" t="s">
        <v>62</v>
      </c>
      <c r="E7" s="4" t="s">
        <v>63</v>
      </c>
      <c r="F7" s="4">
        <f ca="1">ROUND(T_Facebook_Ads[[#This Row],[impressions]]*RANDBETWEEN(8,12)/10,0)</f>
        <v>33110</v>
      </c>
      <c r="G7" s="4">
        <v>1345</v>
      </c>
      <c r="H7" s="4">
        <f ca="1">T_Facebook_Ads[[#This Row],[spend]]*RANDBETWEEN(8,12)/10</f>
        <v>241.56000000000003</v>
      </c>
      <c r="I7" s="4">
        <f ca="1">ROUND(T_Facebook_Ads[[#This Row],[conversions]]*RANDBETWEEN(8,12)/10,0)</f>
        <v>20</v>
      </c>
      <c r="J7" s="4">
        <f ca="1">ROUND(T_Facebook_Ads[[#This Row],[video_views]]*RANDBETWEEN(8,12)/10,0)</f>
        <v>5379</v>
      </c>
      <c r="K7" s="4">
        <f ca="1">T_Facebook_Ads[[#This Row],[engagement_rate]]*RANDBETWEEN(8,12)/10</f>
        <v>4.3920000000000001E-2</v>
      </c>
      <c r="L7" s="4">
        <f ca="1">ROUND(T_Facebook_Ads[[#This Row],[reach]]*RANDBETWEEN(8,12)/10,0)</f>
        <v>30123</v>
      </c>
      <c r="M7" s="4">
        <f ca="1">T_Facebook_Ads[[#This Row],[frequency]]*RANDBETWEEN(8,12)/10</f>
        <v>1.3420000000000001</v>
      </c>
      <c r="O7" s="3">
        <f t="shared" ca="1" si="1"/>
        <v>45268</v>
      </c>
      <c r="P7" s="4" t="s">
        <v>84</v>
      </c>
      <c r="Q7" s="4" t="s">
        <v>85</v>
      </c>
      <c r="R7" s="4" t="s">
        <v>86</v>
      </c>
      <c r="S7" s="4" t="s">
        <v>87</v>
      </c>
      <c r="T7" s="4">
        <f ca="1">ROUND(_Google_ads[[#This Row],[impressions]]*RANDBETWEEN(8,12)/10,0)</f>
        <v>71234</v>
      </c>
      <c r="U7" s="4">
        <f ca="1">ROUND(_Google_ads[[#This Row],[clicks]]*RANDBETWEEN(8,12)/10,0)</f>
        <v>1965</v>
      </c>
      <c r="V7" s="4">
        <f ca="1">_Google_ads[[#This Row],[cost]]*RANDBETWEEN(8,12)/10</f>
        <v>401.22</v>
      </c>
      <c r="W7" s="4">
        <f ca="1">ROUND(_Google_ads[[#This Row],[conversions]]*RANDBETWEEN(8,12)/10,0)</f>
        <v>57</v>
      </c>
      <c r="X7" s="4">
        <f ca="1">ROUND(_Google_ads[[#This Row],[conversion_value]]*RANDBETWEEN(8,12)/10,0)</f>
        <v>3905</v>
      </c>
      <c r="Y7" s="4">
        <f ca="1">_Google_ads[[#This Row],[ctr]]*RANDBETWEEN(8,12)/10</f>
        <v>3.7950000000000005E-2</v>
      </c>
      <c r="Z7" s="4">
        <f ca="1">_Google_ads[[#This Row],[avg_cpc]]*RANDBETWEEN(8,12)/10</f>
        <v>0.19800000000000001</v>
      </c>
      <c r="AA7" s="4">
        <f ca="1">ROUND(_Google_ads[[#This Row],[quality_score]]*RANDBETWEEN(8,12)/10,0)</f>
        <v>9</v>
      </c>
      <c r="AB7" s="4">
        <f ca="1">_Google_ads[[#This Row],[search_impression_share]]*RANDBETWEEN(8,12)/10</f>
        <v>0.748</v>
      </c>
      <c r="AD7" s="3">
        <f t="shared" ca="1" si="2"/>
        <v>45283</v>
      </c>
      <c r="AE7" s="4" t="s">
        <v>108</v>
      </c>
      <c r="AF7" s="4" t="s">
        <v>109</v>
      </c>
      <c r="AG7" s="4" t="s">
        <v>110</v>
      </c>
      <c r="AH7" s="4" t="s">
        <v>111</v>
      </c>
      <c r="AI7" s="4">
        <f ca="1">ROUND(T_Tiktok_ads[[#This Row],[impressions]]*RANDBETWEEN(8,12)/10,0)</f>
        <v>178511</v>
      </c>
      <c r="AJ7" s="4">
        <f ca="1">ROUND(T_Tiktok_ads[[#This Row],[clicks]]*RANDBETWEEN(8,12)/10,0)</f>
        <v>2711</v>
      </c>
      <c r="AK7" s="4">
        <v>361.2</v>
      </c>
      <c r="AL7" s="4">
        <f ca="1">ROUND(T_Tiktok_ads[[#This Row],[conversions]]*RANDBETWEEN(8,12)/10,0)</f>
        <v>30</v>
      </c>
      <c r="AM7" s="4">
        <f ca="1">ROUND(T_Tiktok_ads[[#This Row],[video_views]]*RANDBETWEEN(8,12)/10,0)</f>
        <v>121876</v>
      </c>
      <c r="AN7" s="4">
        <f ca="1">ROUND(T_Tiktok_ads[[#This Row],[video_watch_25]]*RANDBETWEEN(8,12)/10,0)</f>
        <v>117234</v>
      </c>
      <c r="AO7" s="4">
        <f ca="1">ROUND(T_Tiktok_ads[[#This Row],[video_watch_50]]*RANDBETWEEN(8,12)/10,0)</f>
        <v>83911</v>
      </c>
      <c r="AP7" s="4">
        <f ca="1">ROUND(T_Tiktok_ads[[#This Row],[video_watch_75]]*RANDBETWEEN(8,12)/10,0)</f>
        <v>59234</v>
      </c>
      <c r="AQ7" s="4">
        <f ca="1">ROUND(T_Tiktok_ads[[#This Row],[video_watch_100]]*RANDBETWEEN(8,12)/10,0)</f>
        <v>32611</v>
      </c>
      <c r="AR7" s="4">
        <f ca="1">ROUND(T_Tiktok_ads[[#This Row],[likes]]*RANDBETWEEN(8,12)/10,0)</f>
        <v>7835</v>
      </c>
      <c r="AS7" s="4">
        <f ca="1">ROUND(T_Tiktok_ads[[#This Row],[shares]]*RANDBETWEEN(8,12)/10,0)</f>
        <v>2164</v>
      </c>
      <c r="AT7" s="4">
        <f ca="1">ROUND(T_Tiktok_ads[[#This Row],[comments]]*RANDBETWEEN(8,12)/10,0)</f>
        <v>382</v>
      </c>
      <c r="AV7" s="5">
        <f t="shared" ca="1" si="3"/>
        <v>45275</v>
      </c>
      <c r="AW7">
        <f t="shared" ca="1" si="4"/>
        <v>1</v>
      </c>
      <c r="AX7">
        <f ca="1">ROUND(T_Facebook_Ads115963677175798387919599[[#This Row],[impressions]]*RANDBETWEEN(8,12)/10,0)</f>
        <v>26488</v>
      </c>
      <c r="AY7">
        <f ca="1">ROUND(T_Facebook_Ads115963677175798387919599[[#This Row],[clicks]]*RANDBETWEEN(8,12)/10,0)</f>
        <v>1480</v>
      </c>
      <c r="AZ7">
        <f ca="1">T_Facebook_Ads115963677175798387919599[[#This Row],[spend]]*RANDBETWEEN(8,12)/10</f>
        <v>241.56000000000003</v>
      </c>
      <c r="BA7">
        <f ca="1">ROUND(T_Facebook_Ads115963677175798387919599[[#This Row],[conversions]]*RANDBETWEEN(8,12)/10,0)</f>
        <v>18</v>
      </c>
      <c r="BB7">
        <f ca="1">ROUND(T_Facebook_Ads115963677175798387919599[[#This Row],[video_views]]*RANDBETWEEN(8,12)/10,0)</f>
        <v>6455</v>
      </c>
    </row>
    <row r="8" spans="1:54" ht="15.75" thickBot="1" x14ac:dyDescent="0.3">
      <c r="A8" s="3">
        <f t="shared" ca="1" si="0"/>
        <v>45291</v>
      </c>
      <c r="B8" s="4" t="s">
        <v>52</v>
      </c>
      <c r="C8" s="4" t="s">
        <v>53</v>
      </c>
      <c r="D8" s="4" t="s">
        <v>54</v>
      </c>
      <c r="E8" s="4" t="s">
        <v>55</v>
      </c>
      <c r="F8" s="4">
        <f ca="1">ROUND(T_Facebook_Ads[[#This Row],[impressions]]*RANDBETWEEN(8,12)/10,0)</f>
        <v>57881</v>
      </c>
      <c r="G8" s="4">
        <v>967</v>
      </c>
      <c r="H8" s="4">
        <f ca="1">T_Facebook_Ads[[#This Row],[spend]]*RANDBETWEEN(8,12)/10</f>
        <v>121.32000000000001</v>
      </c>
      <c r="I8" s="4">
        <f ca="1">ROUND(T_Facebook_Ads[[#This Row],[conversions]]*RANDBETWEEN(8,12)/10,0)</f>
        <v>15</v>
      </c>
      <c r="J8" s="4">
        <f ca="1">ROUND(T_Facebook_Ads[[#This Row],[video_views]]*RANDBETWEEN(8,12)/10,0)</f>
        <v>10681</v>
      </c>
      <c r="K8" s="4">
        <f ca="1">T_Facebook_Ads[[#This Row],[engagement_rate]]*RANDBETWEEN(8,12)/10</f>
        <v>1.8090000000000002E-2</v>
      </c>
      <c r="L8" s="4">
        <f ca="1">ROUND(T_Facebook_Ads[[#This Row],[reach]]*RANDBETWEEN(8,12)/10,0)</f>
        <v>40123</v>
      </c>
      <c r="M8" s="4">
        <f ca="1">T_Facebook_Ads[[#This Row],[frequency]]*RANDBETWEEN(8,12)/10</f>
        <v>1.0799999999999998</v>
      </c>
      <c r="O8" s="3">
        <f t="shared" ca="1" si="1"/>
        <v>45269</v>
      </c>
      <c r="P8" s="4" t="s">
        <v>76</v>
      </c>
      <c r="Q8" s="4" t="s">
        <v>77</v>
      </c>
      <c r="R8" s="4" t="s">
        <v>78</v>
      </c>
      <c r="S8" s="4" t="s">
        <v>79</v>
      </c>
      <c r="T8" s="4">
        <f ca="1">ROUND(_Google_ads[[#This Row],[impressions]]*RANDBETWEEN(8,12)/10,0)</f>
        <v>20111</v>
      </c>
      <c r="U8" s="4">
        <f ca="1">ROUND(_Google_ads[[#This Row],[clicks]]*RANDBETWEEN(8,12)/10,0)</f>
        <v>898</v>
      </c>
      <c r="V8" s="4">
        <f ca="1">_Google_ads[[#This Row],[cost]]*RANDBETWEEN(8,12)/10</f>
        <v>213.4</v>
      </c>
      <c r="W8" s="4">
        <f ca="1">ROUND(_Google_ads[[#This Row],[conversions]]*RANDBETWEEN(8,12)/10,0)</f>
        <v>50</v>
      </c>
      <c r="X8" s="4">
        <f ca="1">ROUND(_Google_ads[[#This Row],[conversion_value]]*RANDBETWEEN(8,12)/10,0)</f>
        <v>2100</v>
      </c>
      <c r="Y8" s="4">
        <f ca="1">_Google_ads[[#This Row],[ctr]]*RANDBETWEEN(8,12)/10</f>
        <v>5.0299999999999997E-2</v>
      </c>
      <c r="Z8" s="4">
        <f ca="1">_Google_ads[[#This Row],[avg_cpc]]*RANDBETWEEN(8,12)/10</f>
        <v>0.152</v>
      </c>
      <c r="AA8" s="4">
        <f ca="1">ROUND(_Google_ads[[#This Row],[quality_score]]*RANDBETWEEN(8,12)/10,0)</f>
        <v>7</v>
      </c>
      <c r="AB8" s="4">
        <f ca="1">_Google_ads[[#This Row],[search_impression_share]]*RANDBETWEEN(8,12)/10</f>
        <v>0.83700000000000008</v>
      </c>
      <c r="AD8" s="3">
        <f t="shared" ca="1" si="2"/>
        <v>45273</v>
      </c>
      <c r="AE8" s="4" t="s">
        <v>100</v>
      </c>
      <c r="AF8" s="4" t="s">
        <v>101</v>
      </c>
      <c r="AG8" s="4" t="s">
        <v>102</v>
      </c>
      <c r="AH8" s="4" t="s">
        <v>103</v>
      </c>
      <c r="AI8" s="4">
        <f ca="1">ROUND(T_Tiktok_ads[[#This Row],[impressions]]*RANDBETWEEN(8,12)/10,0)</f>
        <v>245802</v>
      </c>
      <c r="AJ8" s="4">
        <f ca="1">ROUND(T_Tiktok_ads[[#This Row],[clicks]]*RANDBETWEEN(8,12)/10,0)</f>
        <v>2911</v>
      </c>
      <c r="AK8" s="4">
        <v>434.5</v>
      </c>
      <c r="AL8" s="4">
        <f ca="1">ROUND(T_Tiktok_ads[[#This Row],[conversions]]*RANDBETWEEN(8,12)/10,0)</f>
        <v>38</v>
      </c>
      <c r="AM8" s="4">
        <f ca="1">ROUND(T_Tiktok_ads[[#This Row],[video_views]]*RANDBETWEEN(8,12)/10,0)</f>
        <v>208157</v>
      </c>
      <c r="AN8" s="4">
        <f ca="1">ROUND(T_Tiktok_ads[[#This Row],[video_watch_25]]*RANDBETWEEN(8,12)/10,0)</f>
        <v>163057</v>
      </c>
      <c r="AO8" s="4">
        <f ca="1">ROUND(T_Tiktok_ads[[#This Row],[video_watch_50]]*RANDBETWEEN(8,12)/10,0)</f>
        <v>93234</v>
      </c>
      <c r="AP8" s="4">
        <f ca="1">ROUND(T_Tiktok_ads[[#This Row],[video_watch_75]]*RANDBETWEEN(8,12)/10,0)</f>
        <v>50765</v>
      </c>
      <c r="AQ8" s="4">
        <f ca="1">ROUND(T_Tiktok_ads[[#This Row],[video_watch_100]]*RANDBETWEEN(8,12)/10,0)</f>
        <v>51881</v>
      </c>
      <c r="AR8" s="4">
        <f ca="1">ROUND(T_Tiktok_ads[[#This Row],[likes]]*RANDBETWEEN(8,12)/10,0)</f>
        <v>7710</v>
      </c>
      <c r="AS8" s="4">
        <f ca="1">ROUND(T_Tiktok_ads[[#This Row],[shares]]*RANDBETWEEN(8,12)/10,0)</f>
        <v>2681</v>
      </c>
      <c r="AT8" s="4">
        <f ca="1">ROUND(T_Tiktok_ads[[#This Row],[comments]]*RANDBETWEEN(8,12)/10,0)</f>
        <v>641</v>
      </c>
      <c r="AV8" s="5">
        <f t="shared" ca="1" si="3"/>
        <v>45282</v>
      </c>
      <c r="AW8">
        <f t="shared" ca="1" si="4"/>
        <v>3</v>
      </c>
      <c r="AX8">
        <f ca="1">ROUND(T_Facebook_Ads115963677175798387919599[[#This Row],[impressions]]*RANDBETWEEN(8,12)/10,0)</f>
        <v>52093</v>
      </c>
      <c r="AY8">
        <f ca="1">ROUND(T_Facebook_Ads115963677175798387919599[[#This Row],[clicks]]*RANDBETWEEN(8,12)/10,0)</f>
        <v>1160</v>
      </c>
      <c r="AZ8">
        <f ca="1">T_Facebook_Ads115963677175798387919599[[#This Row],[spend]]*RANDBETWEEN(8,12)/10</f>
        <v>133.452</v>
      </c>
      <c r="BA8">
        <f ca="1">ROUND(T_Facebook_Ads115963677175798387919599[[#This Row],[conversions]]*RANDBETWEEN(8,12)/10,0)</f>
        <v>15</v>
      </c>
      <c r="BB8">
        <f ca="1">ROUND(T_Facebook_Ads115963677175798387919599[[#This Row],[video_views]]*RANDBETWEEN(8,12)/10,0)</f>
        <v>8545</v>
      </c>
    </row>
    <row r="9" spans="1:54" ht="15.75" thickBot="1" x14ac:dyDescent="0.3">
      <c r="A9" s="3">
        <f t="shared" ca="1" si="0"/>
        <v>45274</v>
      </c>
      <c r="B9" s="4" t="s">
        <v>56</v>
      </c>
      <c r="C9" s="4" t="s">
        <v>57</v>
      </c>
      <c r="D9" s="4" t="s">
        <v>58</v>
      </c>
      <c r="E9" s="4" t="s">
        <v>59</v>
      </c>
      <c r="F9" s="4">
        <f ca="1">ROUND(T_Facebook_Ads[[#This Row],[impressions]]*RANDBETWEEN(8,12)/10,0)</f>
        <v>10111</v>
      </c>
      <c r="G9" s="4">
        <v>489</v>
      </c>
      <c r="H9" s="4">
        <f ca="1">T_Facebook_Ads[[#This Row],[spend]]*RANDBETWEEN(8,12)/10</f>
        <v>198.7</v>
      </c>
      <c r="I9" s="4">
        <f ca="1">ROUND(T_Facebook_Ads[[#This Row],[conversions]]*RANDBETWEEN(8,12)/10,0)</f>
        <v>37</v>
      </c>
      <c r="J9" s="4">
        <f ca="1">ROUND(T_Facebook_Ads[[#This Row],[video_views]]*RANDBETWEEN(8,12)/10,0)</f>
        <v>1348</v>
      </c>
      <c r="K9" s="4">
        <f ca="1">T_Facebook_Ads[[#This Row],[engagement_rate]]*RANDBETWEEN(8,12)/10</f>
        <v>3.9149999999999997E-2</v>
      </c>
      <c r="L9" s="4">
        <f ca="1">ROUND(T_Facebook_Ads[[#This Row],[reach]]*RANDBETWEEN(8,12)/10,0)</f>
        <v>9791</v>
      </c>
      <c r="M9" s="4">
        <f ca="1">T_Facebook_Ads[[#This Row],[frequency]]*RANDBETWEEN(8,12)/10</f>
        <v>1.3859999999999999</v>
      </c>
      <c r="O9" s="3">
        <f t="shared" ca="1" si="1"/>
        <v>45279</v>
      </c>
      <c r="P9" s="4" t="s">
        <v>80</v>
      </c>
      <c r="Q9" s="4" t="s">
        <v>81</v>
      </c>
      <c r="R9" s="4" t="s">
        <v>82</v>
      </c>
      <c r="S9" s="4" t="s">
        <v>83</v>
      </c>
      <c r="T9" s="4">
        <f ca="1">ROUND(_Google_ads[[#This Row],[impressions]]*RANDBETWEEN(8,12)/10,0)</f>
        <v>38312</v>
      </c>
      <c r="U9" s="4">
        <f ca="1">ROUND(_Google_ads[[#This Row],[clicks]]*RANDBETWEEN(8,12)/10,0)</f>
        <v>1064</v>
      </c>
      <c r="V9" s="4">
        <f ca="1">_Google_ads[[#This Row],[cost]]*RANDBETWEEN(8,12)/10</f>
        <v>623.5</v>
      </c>
      <c r="W9" s="4">
        <f ca="1">ROUND(_Google_ads[[#This Row],[conversions]]*RANDBETWEEN(8,12)/10,0)</f>
        <v>23</v>
      </c>
      <c r="X9" s="4">
        <f ca="1">ROUND(_Google_ads[[#This Row],[conversion_value]]*RANDBETWEEN(8,12)/10,0)</f>
        <v>1375</v>
      </c>
      <c r="Y9" s="4">
        <f ca="1">_Google_ads[[#This Row],[ctr]]*RANDBETWEEN(8,12)/10</f>
        <v>2.4240000000000001E-2</v>
      </c>
      <c r="Z9" s="4">
        <f ca="1">_Google_ads[[#This Row],[avg_cpc]]*RANDBETWEEN(8,12)/10</f>
        <v>0.76800000000000002</v>
      </c>
      <c r="AA9" s="4">
        <f ca="1">ROUND(_Google_ads[[#This Row],[quality_score]]*RANDBETWEEN(8,12)/10,0)</f>
        <v>5</v>
      </c>
      <c r="AB9" s="4">
        <f ca="1">_Google_ads[[#This Row],[search_impression_share]]*RANDBETWEEN(8,12)/10</f>
        <v>0.51600000000000001</v>
      </c>
      <c r="AD9" s="3">
        <f t="shared" ca="1" si="2"/>
        <v>45269</v>
      </c>
      <c r="AE9" s="4" t="s">
        <v>104</v>
      </c>
      <c r="AF9" s="4" t="s">
        <v>105</v>
      </c>
      <c r="AG9" s="4" t="s">
        <v>106</v>
      </c>
      <c r="AH9" s="4" t="s">
        <v>107</v>
      </c>
      <c r="AI9" s="4">
        <f ca="1">ROUND(T_Tiktok_ads[[#This Row],[impressions]]*RANDBETWEEN(8,12)/10,0)</f>
        <v>123580</v>
      </c>
      <c r="AJ9" s="4">
        <f ca="1">ROUND(T_Tiktok_ads[[#This Row],[clicks]]*RANDBETWEEN(8,12)/10,0)</f>
        <v>1911</v>
      </c>
      <c r="AK9" s="4">
        <v>623.4</v>
      </c>
      <c r="AL9" s="4">
        <f ca="1">ROUND(T_Tiktok_ads[[#This Row],[conversions]]*RANDBETWEEN(8,12)/10,0)</f>
        <v>68</v>
      </c>
      <c r="AM9" s="4">
        <f ca="1">ROUND(T_Tiktok_ads[[#This Row],[video_views]]*RANDBETWEEN(8,12)/10,0)</f>
        <v>90580</v>
      </c>
      <c r="AN9" s="4">
        <f ca="1">ROUND(T_Tiktok_ads[[#This Row],[video_watch_25]]*RANDBETWEEN(8,12)/10,0)</f>
        <v>73481</v>
      </c>
      <c r="AO9" s="4">
        <f ca="1">ROUND(T_Tiktok_ads[[#This Row],[video_watch_50]]*RANDBETWEEN(8,12)/10,0)</f>
        <v>45357</v>
      </c>
      <c r="AP9" s="4">
        <f ca="1">ROUND(T_Tiktok_ads[[#This Row],[video_watch_75]]*RANDBETWEEN(8,12)/10,0)</f>
        <v>24987</v>
      </c>
      <c r="AQ9" s="4">
        <f ca="1">ROUND(T_Tiktok_ads[[#This Row],[video_watch_100]]*RANDBETWEEN(8,12)/10,0)</f>
        <v>21234</v>
      </c>
      <c r="AR9" s="4">
        <f ca="1">ROUND(T_Tiktok_ads[[#This Row],[likes]]*RANDBETWEEN(8,12)/10,0)</f>
        <v>4234</v>
      </c>
      <c r="AS9" s="4">
        <f ca="1">ROUND(T_Tiktok_ads[[#This Row],[shares]]*RANDBETWEEN(8,12)/10,0)</f>
        <v>1235</v>
      </c>
      <c r="AT9" s="4">
        <f ca="1">ROUND(T_Tiktok_ads[[#This Row],[comments]]*RANDBETWEEN(8,12)/10,0)</f>
        <v>170</v>
      </c>
      <c r="AV9" s="5">
        <f t="shared" ca="1" si="3"/>
        <v>45277</v>
      </c>
      <c r="AW9">
        <f t="shared" ca="1" si="4"/>
        <v>6</v>
      </c>
      <c r="AX9">
        <f ca="1">ROUND(T_Facebook_Ads115963677175798387919599[[#This Row],[impressions]]*RANDBETWEEN(8,12)/10,0)</f>
        <v>8089</v>
      </c>
      <c r="AY9">
        <f ca="1">ROUND(T_Facebook_Ads115963677175798387919599[[#This Row],[clicks]]*RANDBETWEEN(8,12)/10,0)</f>
        <v>587</v>
      </c>
      <c r="AZ9">
        <f ca="1">T_Facebook_Ads115963677175798387919599[[#This Row],[spend]]*RANDBETWEEN(8,12)/10</f>
        <v>238.43999999999997</v>
      </c>
      <c r="BA9">
        <f ca="1">ROUND(T_Facebook_Ads115963677175798387919599[[#This Row],[conversions]]*RANDBETWEEN(8,12)/10,0)</f>
        <v>37</v>
      </c>
      <c r="BB9">
        <f ca="1">ROUND(T_Facebook_Ads115963677175798387919599[[#This Row],[video_views]]*RANDBETWEEN(8,12)/10,0)</f>
        <v>1618</v>
      </c>
    </row>
    <row r="10" spans="1:54" ht="15.75" thickBot="1" x14ac:dyDescent="0.3">
      <c r="A10" s="3">
        <f t="shared" ca="1" si="0"/>
        <v>45288</v>
      </c>
      <c r="B10" s="4" t="s">
        <v>60</v>
      </c>
      <c r="C10" s="4" t="s">
        <v>61</v>
      </c>
      <c r="D10" s="4" t="s">
        <v>62</v>
      </c>
      <c r="E10" s="4" t="s">
        <v>63</v>
      </c>
      <c r="F10" s="4">
        <f ca="1">ROUND(T_Facebook_Ads[[#This Row],[impressions]]*RANDBETWEEN(8,12)/10,0)</f>
        <v>31121</v>
      </c>
      <c r="G10" s="4">
        <v>1456</v>
      </c>
      <c r="H10" s="4">
        <f ca="1">T_Facebook_Ads[[#This Row],[spend]]*RANDBETWEEN(8,12)/10</f>
        <v>192.06</v>
      </c>
      <c r="I10" s="4">
        <f ca="1">ROUND(T_Facebook_Ads[[#This Row],[conversions]]*RANDBETWEEN(8,12)/10,0)</f>
        <v>22</v>
      </c>
      <c r="J10" s="4">
        <f ca="1">ROUND(T_Facebook_Ads[[#This Row],[video_views]]*RANDBETWEEN(8,12)/10,0)</f>
        <v>4187</v>
      </c>
      <c r="K10" s="4">
        <f ca="1">T_Facebook_Ads[[#This Row],[engagement_rate]]*RANDBETWEEN(8,12)/10</f>
        <v>4.1249999999999995E-2</v>
      </c>
      <c r="L10" s="4">
        <f ca="1">ROUND(T_Facebook_Ads[[#This Row],[reach]]*RANDBETWEEN(8,12)/10,0)</f>
        <v>37747</v>
      </c>
      <c r="M10" s="4">
        <f ca="1">T_Facebook_Ads[[#This Row],[frequency]]*RANDBETWEEN(8,12)/10</f>
        <v>1.3640000000000001</v>
      </c>
      <c r="O10" s="3">
        <f t="shared" ca="1" si="1"/>
        <v>45283</v>
      </c>
      <c r="P10" s="4" t="s">
        <v>88</v>
      </c>
      <c r="Q10" s="4" t="s">
        <v>89</v>
      </c>
      <c r="R10" s="4" t="s">
        <v>90</v>
      </c>
      <c r="S10" s="4" t="s">
        <v>59</v>
      </c>
      <c r="T10" s="4">
        <f ca="1">ROUND(_Google_ads[[#This Row],[impressions]]*RANDBETWEEN(8,12)/10,0)</f>
        <v>135802</v>
      </c>
      <c r="U10" s="4">
        <f ca="1">ROUND(_Google_ads[[#This Row],[clicks]]*RANDBETWEEN(8,12)/10,0)</f>
        <v>547</v>
      </c>
      <c r="V10" s="4">
        <f ca="1">_Google_ads[[#This Row],[cost]]*RANDBETWEEN(8,12)/10</f>
        <v>148.08000000000001</v>
      </c>
      <c r="W10" s="4">
        <f ca="1">ROUND(_Google_ads[[#This Row],[conversions]]*RANDBETWEEN(8,12)/10,0)</f>
        <v>12</v>
      </c>
      <c r="X10" s="4">
        <f ca="1">ROUND(_Google_ads[[#This Row],[conversion_value]]*RANDBETWEEN(8,12)/10,0)</f>
        <v>540</v>
      </c>
      <c r="Y10" s="4">
        <f ca="1">_Google_ads[[#This Row],[ctr]]*RANDBETWEEN(8,12)/10</f>
        <v>2.96E-3</v>
      </c>
      <c r="Z10" s="4">
        <f ca="1">_Google_ads[[#This Row],[avg_cpc]]*RANDBETWEEN(8,12)/10</f>
        <v>0.29700000000000004</v>
      </c>
      <c r="AA10" s="4">
        <f ca="1">ROUND(_Google_ads[[#This Row],[quality_score]]*RANDBETWEEN(8,12)/10,0)</f>
        <v>6</v>
      </c>
      <c r="AB10" s="4">
        <f ca="1">_Google_ads[[#This Row],[search_impression_share]]*RANDBETWEEN(8,12)/10</f>
        <v>0.38499999999999995</v>
      </c>
      <c r="AD10" s="3">
        <f t="shared" ca="1" si="2"/>
        <v>45283</v>
      </c>
      <c r="AE10" s="4" t="s">
        <v>112</v>
      </c>
      <c r="AF10" s="4" t="s">
        <v>113</v>
      </c>
      <c r="AG10" s="4" t="s">
        <v>114</v>
      </c>
      <c r="AH10" s="4" t="s">
        <v>115</v>
      </c>
      <c r="AI10" s="4">
        <f ca="1">ROUND(T_Tiktok_ads[[#This Row],[impressions]]*RANDBETWEEN(8,12)/10,0)</f>
        <v>276542</v>
      </c>
      <c r="AJ10" s="4">
        <f ca="1">ROUND(T_Tiktok_ads[[#This Row],[clicks]]*RANDBETWEEN(8,12)/10,0)</f>
        <v>5110</v>
      </c>
      <c r="AK10" s="4">
        <v>890.1</v>
      </c>
      <c r="AL10" s="4">
        <f ca="1">ROUND(T_Tiktok_ads[[#This Row],[conversions]]*RANDBETWEEN(8,12)/10,0)</f>
        <v>98</v>
      </c>
      <c r="AM10" s="4">
        <f ca="1">ROUND(T_Tiktok_ads[[#This Row],[video_views]]*RANDBETWEEN(8,12)/10,0)</f>
        <v>318157</v>
      </c>
      <c r="AN10" s="4">
        <f ca="1">ROUND(T_Tiktok_ads[[#This Row],[video_watch_25]]*RANDBETWEEN(8,12)/10,0)</f>
        <v>187654</v>
      </c>
      <c r="AO10" s="4">
        <f ca="1">ROUND(T_Tiktok_ads[[#This Row],[video_watch_50]]*RANDBETWEEN(8,12)/10,0)</f>
        <v>208157</v>
      </c>
      <c r="AP10" s="4">
        <f ca="1">ROUND(T_Tiktok_ads[[#This Row],[video_watch_75]]*RANDBETWEEN(8,12)/10,0)</f>
        <v>148024</v>
      </c>
      <c r="AQ10" s="4">
        <f ca="1">ROUND(T_Tiktok_ads[[#This Row],[video_watch_100]]*RANDBETWEEN(8,12)/10,0)</f>
        <v>80311</v>
      </c>
      <c r="AR10" s="4">
        <f ca="1">ROUND(T_Tiktok_ads[[#This Row],[likes]]*RANDBETWEEN(8,12)/10,0)</f>
        <v>14110</v>
      </c>
      <c r="AS10" s="4">
        <f ca="1">ROUND(T_Tiktok_ads[[#This Row],[shares]]*RANDBETWEEN(8,12)/10,0)</f>
        <v>4567</v>
      </c>
      <c r="AT10" s="4">
        <f ca="1">ROUND(T_Tiktok_ads[[#This Row],[comments]]*RANDBETWEEN(8,12)/10,0)</f>
        <v>1111</v>
      </c>
      <c r="AV10" s="5">
        <f t="shared" ca="1" si="3"/>
        <v>45284</v>
      </c>
      <c r="AW10">
        <f t="shared" ca="1" si="4"/>
        <v>2</v>
      </c>
      <c r="AX10">
        <f ca="1">ROUND(T_Facebook_Ads115963677175798387919599[[#This Row],[impressions]]*RANDBETWEEN(8,12)/10,0)</f>
        <v>34233</v>
      </c>
      <c r="AY10">
        <f ca="1">ROUND(T_Facebook_Ads115963677175798387919599[[#This Row],[clicks]]*RANDBETWEEN(8,12)/10,0)</f>
        <v>1310</v>
      </c>
      <c r="AZ10">
        <f ca="1">T_Facebook_Ads115963677175798387919599[[#This Row],[spend]]*RANDBETWEEN(8,12)/10</f>
        <v>153.648</v>
      </c>
      <c r="BA10">
        <f ca="1">ROUND(T_Facebook_Ads115963677175798387919599[[#This Row],[conversions]]*RANDBETWEEN(8,12)/10,0)</f>
        <v>22</v>
      </c>
      <c r="BB10">
        <f ca="1">ROUND(T_Facebook_Ads115963677175798387919599[[#This Row],[video_views]]*RANDBETWEEN(8,12)/10,0)</f>
        <v>3768</v>
      </c>
    </row>
    <row r="11" spans="1:54" ht="15.75" thickBot="1" x14ac:dyDescent="0.3">
      <c r="A11" s="3">
        <f t="shared" ca="1" si="0"/>
        <v>45264</v>
      </c>
      <c r="B11" s="4" t="s">
        <v>52</v>
      </c>
      <c r="C11" s="4" t="s">
        <v>53</v>
      </c>
      <c r="D11" s="4" t="s">
        <v>54</v>
      </c>
      <c r="E11" s="4" t="s">
        <v>55</v>
      </c>
      <c r="F11" s="4">
        <f ca="1">ROUND(T_Facebook_Ads[[#This Row],[impressions]]*RANDBETWEEN(8,12)/10,0)</f>
        <v>46111</v>
      </c>
      <c r="G11" s="4">
        <v>1023</v>
      </c>
      <c r="H11" s="4">
        <f ca="1">T_Facebook_Ads[[#This Row],[spend]]*RANDBETWEEN(8,12)/10</f>
        <v>156.53000000000003</v>
      </c>
      <c r="I11" s="4">
        <f ca="1">ROUND(T_Facebook_Ads[[#This Row],[conversions]]*RANDBETWEEN(8,12)/10,0)</f>
        <v>18</v>
      </c>
      <c r="J11" s="4">
        <f ca="1">ROUND(T_Facebook_Ads[[#This Row],[video_views]]*RANDBETWEEN(8,12)/10,0)</f>
        <v>8311</v>
      </c>
      <c r="K11" s="4">
        <f ca="1">T_Facebook_Ads[[#This Row],[engagement_rate]]*RANDBETWEEN(8,12)/10</f>
        <v>0.02</v>
      </c>
      <c r="L11" s="4">
        <f ca="1">ROUND(T_Facebook_Ads[[#This Row],[reach]]*RANDBETWEEN(8,12)/10,0)</f>
        <v>51080</v>
      </c>
      <c r="M11" s="4">
        <f ca="1">T_Facebook_Ads[[#This Row],[frequency]]*RANDBETWEEN(8,12)/10</f>
        <v>1.3199999999999998</v>
      </c>
      <c r="O11" s="3">
        <f t="shared" ca="1" si="1"/>
        <v>45286</v>
      </c>
      <c r="P11" s="4" t="s">
        <v>76</v>
      </c>
      <c r="Q11" s="4" t="s">
        <v>77</v>
      </c>
      <c r="R11" s="4" t="s">
        <v>78</v>
      </c>
      <c r="S11" s="4" t="s">
        <v>79</v>
      </c>
      <c r="T11" s="4">
        <f ca="1">ROUND(_Google_ads[[#This Row],[impressions]]*RANDBETWEEN(8,12)/10,0)</f>
        <v>28246</v>
      </c>
      <c r="U11" s="4">
        <f ca="1">ROUND(_Google_ads[[#This Row],[clicks]]*RANDBETWEEN(8,12)/10,0)</f>
        <v>1345</v>
      </c>
      <c r="V11" s="4">
        <f ca="1">_Google_ads[[#This Row],[cost]]*RANDBETWEEN(8,12)/10</f>
        <v>205.35999999999999</v>
      </c>
      <c r="W11" s="4">
        <f ca="1">ROUND(_Google_ads[[#This Row],[conversions]]*RANDBETWEEN(8,12)/10,0)</f>
        <v>45</v>
      </c>
      <c r="X11" s="4">
        <f ca="1">ROUND(_Google_ads[[#This Row],[conversion_value]]*RANDBETWEEN(8,12)/10,0)</f>
        <v>2750</v>
      </c>
      <c r="Y11" s="4">
        <f ca="1">_Google_ads[[#This Row],[ctr]]*RANDBETWEEN(8,12)/10</f>
        <v>5.2400000000000002E-2</v>
      </c>
      <c r="Z11" s="4">
        <f ca="1">_Google_ads[[#This Row],[avg_cpc]]*RANDBETWEEN(8,12)/10</f>
        <v>0.17099999999999999</v>
      </c>
      <c r="AA11" s="4">
        <f ca="1">ROUND(_Google_ads[[#This Row],[quality_score]]*RANDBETWEEN(8,12)/10,0)</f>
        <v>7</v>
      </c>
      <c r="AB11" s="4">
        <f ca="1">_Google_ads[[#This Row],[search_impression_share]]*RANDBETWEEN(8,12)/10</f>
        <v>0.82800000000000007</v>
      </c>
      <c r="AD11" s="3">
        <f t="shared" ca="1" si="2"/>
        <v>45288</v>
      </c>
      <c r="AE11" s="4" t="s">
        <v>100</v>
      </c>
      <c r="AF11" s="4" t="s">
        <v>101</v>
      </c>
      <c r="AG11" s="4" t="s">
        <v>102</v>
      </c>
      <c r="AH11" s="4" t="s">
        <v>103</v>
      </c>
      <c r="AI11" s="4">
        <f ca="1">ROUND(T_Tiktok_ads[[#This Row],[impressions]]*RANDBETWEEN(8,12)/10,0)</f>
        <v>205431</v>
      </c>
      <c r="AJ11" s="4">
        <f ca="1">ROUND(T_Tiktok_ads[[#This Row],[clicks]]*RANDBETWEEN(8,12)/10,0)</f>
        <v>4668</v>
      </c>
      <c r="AK11" s="4">
        <v>512.29999999999995</v>
      </c>
      <c r="AL11" s="4">
        <f ca="1">ROUND(T_Tiktok_ads[[#This Row],[conversions]]*RANDBETWEEN(8,12)/10,0)</f>
        <v>43</v>
      </c>
      <c r="AM11" s="4">
        <f ca="1">ROUND(T_Tiktok_ads[[#This Row],[video_views]]*RANDBETWEEN(8,12)/10,0)</f>
        <v>173965</v>
      </c>
      <c r="AN11" s="4">
        <f ca="1">ROUND(T_Tiktok_ads[[#This Row],[video_watch_25]]*RANDBETWEEN(8,12)/10,0)</f>
        <v>136187</v>
      </c>
      <c r="AO11" s="4">
        <f ca="1">ROUND(T_Tiktok_ads[[#This Row],[video_watch_50]]*RANDBETWEEN(8,12)/10,0)</f>
        <v>107234</v>
      </c>
      <c r="AP11" s="4">
        <f ca="1">ROUND(T_Tiktok_ads[[#This Row],[video_watch_75]]*RANDBETWEEN(8,12)/10,0)</f>
        <v>79702</v>
      </c>
      <c r="AQ11" s="4">
        <f ca="1">ROUND(T_Tiktok_ads[[#This Row],[video_watch_100]]*RANDBETWEEN(8,12)/10,0)</f>
        <v>58147</v>
      </c>
      <c r="AR11" s="4">
        <f ca="1">ROUND(T_Tiktok_ads[[#This Row],[likes]]*RANDBETWEEN(8,12)/10,0)</f>
        <v>11480</v>
      </c>
      <c r="AS11" s="4">
        <f ca="1">ROUND(T_Tiktok_ads[[#This Row],[shares]]*RANDBETWEEN(8,12)/10,0)</f>
        <v>2054</v>
      </c>
      <c r="AT11" s="4">
        <f ca="1">ROUND(T_Tiktok_ads[[#This Row],[comments]]*RANDBETWEEN(8,12)/10,0)</f>
        <v>490</v>
      </c>
      <c r="AV11" s="5">
        <f t="shared" ca="1" si="3"/>
        <v>45287</v>
      </c>
      <c r="AW11">
        <f t="shared" ca="1" si="4"/>
        <v>8</v>
      </c>
      <c r="AX11">
        <f ca="1">ROUND(T_Facebook_Ads115963677175798387919599[[#This Row],[impressions]]*RANDBETWEEN(8,12)/10,0)</f>
        <v>55333</v>
      </c>
      <c r="AY11">
        <f ca="1">ROUND(T_Facebook_Ads115963677175798387919599[[#This Row],[clicks]]*RANDBETWEEN(8,12)/10,0)</f>
        <v>1023</v>
      </c>
      <c r="AZ11">
        <f ca="1">T_Facebook_Ads115963677175798387919599[[#This Row],[spend]]*RANDBETWEEN(8,12)/10</f>
        <v>156.53000000000003</v>
      </c>
      <c r="BA11">
        <f ca="1">ROUND(T_Facebook_Ads115963677175798387919599[[#This Row],[conversions]]*RANDBETWEEN(8,12)/10,0)</f>
        <v>14</v>
      </c>
      <c r="BB11">
        <f ca="1">ROUND(T_Facebook_Ads115963677175798387919599[[#This Row],[video_views]]*RANDBETWEEN(8,12)/10,0)</f>
        <v>6649</v>
      </c>
    </row>
    <row r="12" spans="1:54" ht="15.75" thickBot="1" x14ac:dyDescent="0.3">
      <c r="A12" s="3">
        <f t="shared" ca="1" si="0"/>
        <v>45271</v>
      </c>
      <c r="B12" s="4" t="s">
        <v>56</v>
      </c>
      <c r="C12" s="4" t="s">
        <v>57</v>
      </c>
      <c r="D12" s="4" t="s">
        <v>58</v>
      </c>
      <c r="E12" s="4" t="s">
        <v>59</v>
      </c>
      <c r="F12" s="4">
        <f ca="1">ROUND(T_Facebook_Ads[[#This Row],[impressions]]*RANDBETWEEN(8,12)/10,0)</f>
        <v>16024</v>
      </c>
      <c r="G12" s="4">
        <v>678</v>
      </c>
      <c r="H12" s="4">
        <f ca="1">T_Facebook_Ads[[#This Row],[spend]]*RANDBETWEEN(8,12)/10</f>
        <v>270.15999999999997</v>
      </c>
      <c r="I12" s="4">
        <f ca="1">ROUND(T_Facebook_Ads[[#This Row],[conversions]]*RANDBETWEEN(8,12)/10,0)</f>
        <v>46</v>
      </c>
      <c r="J12" s="4">
        <f ca="1">ROUND(T_Facebook_Ads[[#This Row],[video_views]]*RANDBETWEEN(8,12)/10,0)</f>
        <v>1567</v>
      </c>
      <c r="K12" s="4">
        <f ca="1">T_Facebook_Ads[[#This Row],[engagement_rate]]*RANDBETWEEN(8,12)/10</f>
        <v>5.1149999999999994E-2</v>
      </c>
      <c r="L12" s="4">
        <f ca="1">ROUND(T_Facebook_Ads[[#This Row],[reach]]*RANDBETWEEN(8,12)/10,0)</f>
        <v>11234</v>
      </c>
      <c r="M12" s="4">
        <f ca="1">T_Facebook_Ads[[#This Row],[frequency]]*RANDBETWEEN(8,12)/10</f>
        <v>1.1700000000000002</v>
      </c>
      <c r="O12" s="3">
        <f t="shared" ca="1" si="1"/>
        <v>45285</v>
      </c>
      <c r="P12" s="4" t="s">
        <v>84</v>
      </c>
      <c r="Q12" s="4" t="s">
        <v>85</v>
      </c>
      <c r="R12" s="4" t="s">
        <v>86</v>
      </c>
      <c r="S12" s="4" t="s">
        <v>87</v>
      </c>
      <c r="T12" s="4">
        <f ca="1">ROUND(_Google_ads[[#This Row],[impressions]]*RANDBETWEEN(8,12)/10,0)</f>
        <v>62510</v>
      </c>
      <c r="U12" s="4">
        <f ca="1">ROUND(_Google_ads[[#This Row],[clicks]]*RANDBETWEEN(8,12)/10,0)</f>
        <v>2011</v>
      </c>
      <c r="V12" s="4">
        <f ca="1">_Google_ads[[#This Row],[cost]]*RANDBETWEEN(8,12)/10</f>
        <v>453.53000000000003</v>
      </c>
      <c r="W12" s="4">
        <f ca="1">ROUND(_Google_ads[[#This Row],[conversions]]*RANDBETWEEN(8,12)/10,0)</f>
        <v>72</v>
      </c>
      <c r="X12" s="4">
        <f ca="1">ROUND(_Google_ads[[#This Row],[conversion_value]]*RANDBETWEEN(8,12)/10,0)</f>
        <v>3900</v>
      </c>
      <c r="Y12" s="4">
        <f ca="1">_Google_ads[[#This Row],[ctr]]*RANDBETWEEN(8,12)/10</f>
        <v>3.542E-2</v>
      </c>
      <c r="Z12" s="4">
        <f ca="1">_Google_ads[[#This Row],[avg_cpc]]*RANDBETWEEN(8,12)/10</f>
        <v>0.21600000000000003</v>
      </c>
      <c r="AA12" s="4">
        <f ca="1">ROUND(_Google_ads[[#This Row],[quality_score]]*RANDBETWEEN(8,12)/10,0)</f>
        <v>7</v>
      </c>
      <c r="AB12" s="4">
        <f ca="1">_Google_ads[[#This Row],[search_impression_share]]*RANDBETWEEN(8,12)/10</f>
        <v>0.66</v>
      </c>
      <c r="AD12" s="3">
        <f t="shared" ca="1" si="2"/>
        <v>45275</v>
      </c>
      <c r="AE12" s="4" t="s">
        <v>108</v>
      </c>
      <c r="AF12" s="4" t="s">
        <v>109</v>
      </c>
      <c r="AG12" s="4" t="s">
        <v>110</v>
      </c>
      <c r="AH12" s="4" t="s">
        <v>111</v>
      </c>
      <c r="AI12" s="4">
        <f ca="1">ROUND(T_Tiktok_ads[[#This Row],[impressions]]*RANDBETWEEN(8,12)/10,0)</f>
        <v>201234</v>
      </c>
      <c r="AJ12" s="4">
        <f ca="1">ROUND(T_Tiktok_ads[[#This Row],[clicks]]*RANDBETWEEN(8,12)/10,0)</f>
        <v>2811</v>
      </c>
      <c r="AK12" s="4">
        <v>374.5</v>
      </c>
      <c r="AL12" s="4">
        <f ca="1">ROUND(T_Tiktok_ads[[#This Row],[conversions]]*RANDBETWEEN(8,12)/10,0)</f>
        <v>23</v>
      </c>
      <c r="AM12" s="4">
        <f ca="1">ROUND(T_Tiktok_ads[[#This Row],[video_views]]*RANDBETWEEN(8,12)/10,0)</f>
        <v>173679</v>
      </c>
      <c r="AN12" s="4">
        <f ca="1">ROUND(T_Tiktok_ads[[#This Row],[video_watch_25]]*RANDBETWEEN(8,12)/10,0)</f>
        <v>121234</v>
      </c>
      <c r="AO12" s="4">
        <f ca="1">ROUND(T_Tiktok_ads[[#This Row],[video_watch_50]]*RANDBETWEEN(8,12)/10,0)</f>
        <v>115481</v>
      </c>
      <c r="AP12" s="4">
        <f ca="1">ROUND(T_Tiktok_ads[[#This Row],[video_watch_75]]*RANDBETWEEN(8,12)/10,0)</f>
        <v>55111</v>
      </c>
      <c r="AQ12" s="4">
        <f ca="1">ROUND(T_Tiktok_ads[[#This Row],[video_watch_100]]*RANDBETWEEN(8,12)/10,0)</f>
        <v>37456</v>
      </c>
      <c r="AR12" s="4">
        <f ca="1">ROUND(T_Tiktok_ads[[#This Row],[likes]]*RANDBETWEEN(8,12)/10,0)</f>
        <v>8080</v>
      </c>
      <c r="AS12" s="4">
        <f ca="1">ROUND(T_Tiktok_ads[[#This Row],[shares]]*RANDBETWEEN(8,12)/10,0)</f>
        <v>2237</v>
      </c>
      <c r="AT12" s="4">
        <f ca="1">ROUND(T_Tiktok_ads[[#This Row],[comments]]*RANDBETWEEN(8,12)/10,0)</f>
        <v>587</v>
      </c>
      <c r="AV12" s="5">
        <f t="shared" ca="1" si="3"/>
        <v>45268</v>
      </c>
      <c r="AW12">
        <f t="shared" ca="1" si="4"/>
        <v>3</v>
      </c>
      <c r="AX12">
        <f ca="1">ROUND(T_Facebook_Ads115963677175798387919599[[#This Row],[impressions]]*RANDBETWEEN(8,12)/10,0)</f>
        <v>14422</v>
      </c>
      <c r="AY12">
        <f ca="1">ROUND(T_Facebook_Ads115963677175798387919599[[#This Row],[clicks]]*RANDBETWEEN(8,12)/10,0)</f>
        <v>610</v>
      </c>
      <c r="AZ12">
        <f ca="1">T_Facebook_Ads115963677175798387919599[[#This Row],[spend]]*RANDBETWEEN(8,12)/10</f>
        <v>270.15999999999997</v>
      </c>
      <c r="BA12">
        <f ca="1">ROUND(T_Facebook_Ads115963677175798387919599[[#This Row],[conversions]]*RANDBETWEEN(8,12)/10,0)</f>
        <v>37</v>
      </c>
      <c r="BB12">
        <f ca="1">ROUND(T_Facebook_Ads115963677175798387919599[[#This Row],[video_views]]*RANDBETWEEN(8,12)/10,0)</f>
        <v>1724</v>
      </c>
    </row>
    <row r="13" spans="1:54" ht="15.75" thickBot="1" x14ac:dyDescent="0.3">
      <c r="A13" s="3">
        <f t="shared" ca="1" si="0"/>
        <v>45261</v>
      </c>
      <c r="B13" s="4" t="s">
        <v>64</v>
      </c>
      <c r="C13" s="4" t="s">
        <v>65</v>
      </c>
      <c r="D13" s="4" t="s">
        <v>66</v>
      </c>
      <c r="E13" s="4" t="s">
        <v>67</v>
      </c>
      <c r="F13" s="4">
        <f ca="1">ROUND(T_Facebook_Ads[[#This Row],[impressions]]*RANDBETWEEN(8,12)/10,0)</f>
        <v>81468</v>
      </c>
      <c r="G13" s="4">
        <v>234</v>
      </c>
      <c r="H13" s="4">
        <f ca="1">T_Facebook_Ads[[#This Row],[spend]]*RANDBETWEEN(8,12)/10</f>
        <v>89.5</v>
      </c>
      <c r="I13" s="4">
        <f ca="1">ROUND(T_Facebook_Ads[[#This Row],[conversions]]*RANDBETWEEN(8,12)/10,0)</f>
        <v>6</v>
      </c>
      <c r="J13" s="4">
        <f ca="1">ROUND(T_Facebook_Ads[[#This Row],[video_views]]*RANDBETWEEN(8,12)/10,0)</f>
        <v>50246</v>
      </c>
      <c r="K13" s="4">
        <f ca="1">T_Facebook_Ads[[#This Row],[engagement_rate]]*RANDBETWEEN(8,12)/10</f>
        <v>3.7399999999999994E-3</v>
      </c>
      <c r="L13" s="4">
        <f ca="1">ROUND(T_Facebook_Ads[[#This Row],[reach]]*RANDBETWEEN(8,12)/10,0)</f>
        <v>45431</v>
      </c>
      <c r="M13" s="4">
        <f ca="1">T_Facebook_Ads[[#This Row],[frequency]]*RANDBETWEEN(8,12)/10</f>
        <v>0.96</v>
      </c>
      <c r="O13" s="3">
        <f t="shared" ca="1" si="1"/>
        <v>45270</v>
      </c>
      <c r="P13" s="4" t="s">
        <v>88</v>
      </c>
      <c r="Q13" s="4" t="s">
        <v>89</v>
      </c>
      <c r="R13" s="4" t="s">
        <v>90</v>
      </c>
      <c r="S13" s="4" t="s">
        <v>59</v>
      </c>
      <c r="T13" s="4">
        <f ca="1">ROUND(_Google_ads[[#This Row],[impressions]]*RANDBETWEEN(8,12)/10,0)</f>
        <v>134567</v>
      </c>
      <c r="U13" s="4">
        <f ca="1">ROUND(_Google_ads[[#This Row],[clicks]]*RANDBETWEEN(8,12)/10,0)</f>
        <v>587</v>
      </c>
      <c r="V13" s="4">
        <f ca="1">_Google_ads[[#This Row],[cost]]*RANDBETWEEN(8,12)/10</f>
        <v>121.05</v>
      </c>
      <c r="W13" s="4">
        <f ca="1">ROUND(_Google_ads[[#This Row],[conversions]]*RANDBETWEEN(8,12)/10,0)</f>
        <v>15</v>
      </c>
      <c r="X13" s="4">
        <f ca="1">ROUND(_Google_ads[[#This Row],[conversion_value]]*RANDBETWEEN(8,12)/10,0)</f>
        <v>560</v>
      </c>
      <c r="Y13" s="4">
        <f ca="1">_Google_ads[[#This Row],[ctr]]*RANDBETWEEN(8,12)/10</f>
        <v>3.96E-3</v>
      </c>
      <c r="Z13" s="4">
        <f ca="1">_Google_ads[[#This Row],[avg_cpc]]*RANDBETWEEN(8,12)/10</f>
        <v>0.25200000000000006</v>
      </c>
      <c r="AA13" s="4">
        <f ca="1">ROUND(_Google_ads[[#This Row],[quality_score]]*RANDBETWEEN(8,12)/10,0)</f>
        <v>8</v>
      </c>
      <c r="AB13" s="4">
        <f ca="1">_Google_ads[[#This Row],[search_impression_share]]*RANDBETWEEN(8,12)/10</f>
        <v>0.28799999999999998</v>
      </c>
      <c r="AD13" s="3">
        <f t="shared" ca="1" si="2"/>
        <v>45287</v>
      </c>
      <c r="AE13" s="4" t="s">
        <v>112</v>
      </c>
      <c r="AF13" s="4" t="s">
        <v>113</v>
      </c>
      <c r="AG13" s="4" t="s">
        <v>114</v>
      </c>
      <c r="AH13" s="4" t="s">
        <v>115</v>
      </c>
      <c r="AI13" s="4">
        <f ca="1">ROUND(T_Tiktok_ads[[#This Row],[impressions]]*RANDBETWEEN(8,12)/10,0)</f>
        <v>294312</v>
      </c>
      <c r="AJ13" s="4">
        <f ca="1">ROUND(T_Tiktok_ads[[#This Row],[clicks]]*RANDBETWEEN(8,12)/10,0)</f>
        <v>4810</v>
      </c>
      <c r="AK13" s="4">
        <v>923.4</v>
      </c>
      <c r="AL13" s="4">
        <f ca="1">ROUND(T_Tiktok_ads[[#This Row],[conversions]]*RANDBETWEEN(8,12)/10,0)</f>
        <v>94</v>
      </c>
      <c r="AM13" s="4">
        <f ca="1">ROUND(T_Tiktok_ads[[#This Row],[video_views]]*RANDBETWEEN(8,12)/10,0)</f>
        <v>331357</v>
      </c>
      <c r="AN13" s="4">
        <f ca="1">ROUND(T_Tiktok_ads[[#This Row],[video_watch_25]]*RANDBETWEEN(8,12)/10,0)</f>
        <v>221110</v>
      </c>
      <c r="AO13" s="4">
        <f ca="1">ROUND(T_Tiktok_ads[[#This Row],[video_watch_50]]*RANDBETWEEN(8,12)/10,0)</f>
        <v>216468</v>
      </c>
      <c r="AP13" s="4">
        <f ca="1">ROUND(T_Tiktok_ads[[#This Row],[video_watch_75]]*RANDBETWEEN(8,12)/10,0)</f>
        <v>168281</v>
      </c>
      <c r="AQ13" s="4">
        <f ca="1">ROUND(T_Tiktok_ads[[#This Row],[video_watch_100]]*RANDBETWEEN(8,12)/10,0)</f>
        <v>74765</v>
      </c>
      <c r="AR13" s="4">
        <f ca="1">ROUND(T_Tiktok_ads[[#This Row],[likes]]*RANDBETWEEN(8,12)/10,0)</f>
        <v>16234</v>
      </c>
      <c r="AS13" s="4">
        <f ca="1">ROUND(T_Tiktok_ads[[#This Row],[shares]]*RANDBETWEEN(8,12)/10,0)</f>
        <v>4310</v>
      </c>
      <c r="AT13" s="4">
        <f ca="1">ROUND(T_Tiktok_ads[[#This Row],[comments]]*RANDBETWEEN(8,12)/10,0)</f>
        <v>1418</v>
      </c>
      <c r="AV13" s="5">
        <f t="shared" ca="1" si="3"/>
        <v>45290</v>
      </c>
      <c r="AW13">
        <f t="shared" ca="1" si="4"/>
        <v>5</v>
      </c>
      <c r="AX13">
        <f ca="1">ROUND(T_Facebook_Ads115963677175798387919599[[#This Row],[impressions]]*RANDBETWEEN(8,12)/10,0)</f>
        <v>65174</v>
      </c>
      <c r="AY13">
        <f ca="1">ROUND(T_Facebook_Ads115963677175798387919599[[#This Row],[clicks]]*RANDBETWEEN(8,12)/10,0)</f>
        <v>281</v>
      </c>
      <c r="AZ13">
        <f ca="1">T_Facebook_Ads115963677175798387919599[[#This Row],[spend]]*RANDBETWEEN(8,12)/10</f>
        <v>89.5</v>
      </c>
      <c r="BA13">
        <f ca="1">ROUND(T_Facebook_Ads115963677175798387919599[[#This Row],[conversions]]*RANDBETWEEN(8,12)/10,0)</f>
        <v>6</v>
      </c>
      <c r="BB13">
        <f ca="1">ROUND(T_Facebook_Ads115963677175798387919599[[#This Row],[video_views]]*RANDBETWEEN(8,12)/10,0)</f>
        <v>40197</v>
      </c>
    </row>
    <row r="14" spans="1:54" ht="15.75" thickBot="1" x14ac:dyDescent="0.3">
      <c r="A14" s="3">
        <f t="shared" ca="1" si="0"/>
        <v>45274</v>
      </c>
      <c r="B14" s="4" t="s">
        <v>52</v>
      </c>
      <c r="C14" s="4" t="s">
        <v>53</v>
      </c>
      <c r="D14" s="4" t="s">
        <v>54</v>
      </c>
      <c r="E14" s="4" t="s">
        <v>55</v>
      </c>
      <c r="F14" s="4">
        <f ca="1">ROUND(T_Facebook_Ads[[#This Row],[impressions]]*RANDBETWEEN(8,12)/10,0)</f>
        <v>51468</v>
      </c>
      <c r="G14" s="4">
        <v>934</v>
      </c>
      <c r="H14" s="4">
        <f ca="1">T_Facebook_Ads[[#This Row],[spend]]*RANDBETWEEN(8,12)/10</f>
        <v>118.08</v>
      </c>
      <c r="I14" s="4">
        <f ca="1">ROUND(T_Facebook_Ads[[#This Row],[conversions]]*RANDBETWEEN(8,12)/10,0)</f>
        <v>16</v>
      </c>
      <c r="J14" s="4">
        <f ca="1">ROUND(T_Facebook_Ads[[#This Row],[video_views]]*RANDBETWEEN(8,12)/10,0)</f>
        <v>7710</v>
      </c>
      <c r="K14" s="4">
        <f ca="1">T_Facebook_Ads[[#This Row],[engagement_rate]]*RANDBETWEEN(8,12)/10</f>
        <v>2.1999999999999999E-2</v>
      </c>
      <c r="L14" s="4">
        <f ca="1">ROUND(T_Facebook_Ads[[#This Row],[reach]]*RANDBETWEEN(8,12)/10,0)</f>
        <v>39234</v>
      </c>
      <c r="M14" s="4">
        <f ca="1">T_Facebook_Ads[[#This Row],[frequency]]*RANDBETWEEN(8,12)/10</f>
        <v>1.071</v>
      </c>
      <c r="O14" s="3">
        <f t="shared" ca="1" si="1"/>
        <v>45261</v>
      </c>
      <c r="P14" s="4" t="s">
        <v>76</v>
      </c>
      <c r="Q14" s="4" t="s">
        <v>77</v>
      </c>
      <c r="R14" s="4" t="s">
        <v>78</v>
      </c>
      <c r="S14" s="4" t="s">
        <v>79</v>
      </c>
      <c r="T14" s="4">
        <f ca="1">ROUND(_Google_ads[[#This Row],[impressions]]*RANDBETWEEN(8,12)/10,0)</f>
        <v>23890</v>
      </c>
      <c r="U14" s="4">
        <f ca="1">ROUND(_Google_ads[[#This Row],[clicks]]*RANDBETWEEN(8,12)/10,0)</f>
        <v>1234</v>
      </c>
      <c r="V14" s="4">
        <f ca="1">_Google_ads[[#This Row],[cost]]*RANDBETWEEN(8,12)/10</f>
        <v>187.92000000000002</v>
      </c>
      <c r="W14" s="4">
        <f ca="1">ROUND(_Google_ads[[#This Row],[conversions]]*RANDBETWEEN(8,12)/10,0)</f>
        <v>37</v>
      </c>
      <c r="X14" s="4">
        <f ca="1">ROUND(_Google_ads[[#This Row],[conversion_value]]*RANDBETWEEN(8,12)/10,0)</f>
        <v>2760</v>
      </c>
      <c r="Y14" s="4">
        <f ca="1">_Google_ads[[#This Row],[ctr]]*RANDBETWEEN(8,12)/10</f>
        <v>5.1700000000000003E-2</v>
      </c>
      <c r="Z14" s="4">
        <f ca="1">_Google_ads[[#This Row],[avg_cpc]]*RANDBETWEEN(8,12)/10</f>
        <v>0.19</v>
      </c>
      <c r="AA14" s="4">
        <f ca="1">ROUND(_Google_ads[[#This Row],[quality_score]]*RANDBETWEEN(8,12)/10,0)</f>
        <v>9</v>
      </c>
      <c r="AB14" s="4">
        <f ca="1">_Google_ads[[#This Row],[search_impression_share]]*RANDBETWEEN(8,12)/10</f>
        <v>0.72799999999999998</v>
      </c>
      <c r="AD14" s="3">
        <f t="shared" ca="1" si="2"/>
        <v>45261</v>
      </c>
      <c r="AE14" s="4" t="s">
        <v>100</v>
      </c>
      <c r="AF14" s="4" t="s">
        <v>101</v>
      </c>
      <c r="AG14" s="4" t="s">
        <v>102</v>
      </c>
      <c r="AH14" s="4" t="s">
        <v>103</v>
      </c>
      <c r="AI14" s="4">
        <f ca="1">ROUND(T_Tiktok_ads[[#This Row],[impressions]]*RANDBETWEEN(8,12)/10,0)</f>
        <v>187387</v>
      </c>
      <c r="AJ14" s="4">
        <f ca="1">ROUND(T_Tiktok_ads[[#This Row],[clicks]]*RANDBETWEEN(8,12)/10,0)</f>
        <v>3120</v>
      </c>
      <c r="AK14" s="4">
        <v>460.2</v>
      </c>
      <c r="AL14" s="4">
        <f ca="1">ROUND(T_Tiktok_ads[[#This Row],[conversions]]*RANDBETWEEN(8,12)/10,0)</f>
        <v>32</v>
      </c>
      <c r="AM14" s="4">
        <f ca="1">ROUND(T_Tiktok_ads[[#This Row],[video_views]]*RANDBETWEEN(8,12)/10,0)</f>
        <v>219157</v>
      </c>
      <c r="AN14" s="4">
        <f ca="1">ROUND(T_Tiktok_ads[[#This Row],[video_watch_25]]*RANDBETWEEN(8,12)/10,0)</f>
        <v>125431</v>
      </c>
      <c r="AO14" s="4">
        <f ca="1">ROUND(T_Tiktok_ads[[#This Row],[video_watch_50]]*RANDBETWEEN(8,12)/10,0)</f>
        <v>88910</v>
      </c>
      <c r="AP14" s="4">
        <f ca="1">ROUND(T_Tiktok_ads[[#This Row],[video_watch_75]]*RANDBETWEEN(8,12)/10,0)</f>
        <v>74568</v>
      </c>
      <c r="AQ14" s="4">
        <f ca="1">ROUND(T_Tiktok_ads[[#This Row],[video_watch_100]]*RANDBETWEEN(8,12)/10,0)</f>
        <v>40910</v>
      </c>
      <c r="AR14" s="4">
        <f ca="1">ROUND(T_Tiktok_ads[[#This Row],[likes]]*RANDBETWEEN(8,12)/10,0)</f>
        <v>10734</v>
      </c>
      <c r="AS14" s="4">
        <f ca="1">ROUND(T_Tiktok_ads[[#This Row],[shares]]*RANDBETWEEN(8,12)/10,0)</f>
        <v>2604</v>
      </c>
      <c r="AT14" s="4">
        <f ca="1">ROUND(T_Tiktok_ads[[#This Row],[comments]]*RANDBETWEEN(8,12)/10,0)</f>
        <v>694</v>
      </c>
      <c r="AV14" s="5">
        <f t="shared" ca="1" si="3"/>
        <v>45270</v>
      </c>
      <c r="AW14">
        <f t="shared" ca="1" si="4"/>
        <v>5</v>
      </c>
      <c r="AX14">
        <f ca="1">ROUND(T_Facebook_Ads115963677175798387919599[[#This Row],[impressions]]*RANDBETWEEN(8,12)/10,0)</f>
        <v>51468</v>
      </c>
      <c r="AY14">
        <f ca="1">ROUND(T_Facebook_Ads115963677175798387919599[[#This Row],[clicks]]*RANDBETWEEN(8,12)/10,0)</f>
        <v>934</v>
      </c>
      <c r="AZ14">
        <f ca="1">T_Facebook_Ads115963677175798387919599[[#This Row],[spend]]*RANDBETWEEN(8,12)/10</f>
        <v>129.88799999999998</v>
      </c>
      <c r="BA14">
        <f ca="1">ROUND(T_Facebook_Ads115963677175798387919599[[#This Row],[conversions]]*RANDBETWEEN(8,12)/10,0)</f>
        <v>16</v>
      </c>
      <c r="BB14">
        <f ca="1">ROUND(T_Facebook_Ads115963677175798387919599[[#This Row],[video_views]]*RANDBETWEEN(8,12)/10,0)</f>
        <v>7710</v>
      </c>
    </row>
    <row r="15" spans="1:54" ht="15.75" thickBot="1" x14ac:dyDescent="0.3">
      <c r="A15" s="3">
        <f t="shared" ca="1" si="0"/>
        <v>45275</v>
      </c>
      <c r="B15" s="4" t="s">
        <v>56</v>
      </c>
      <c r="C15" s="4" t="s">
        <v>57</v>
      </c>
      <c r="D15" s="4" t="s">
        <v>58</v>
      </c>
      <c r="E15" s="4" t="s">
        <v>59</v>
      </c>
      <c r="F15" s="4">
        <f ca="1">ROUND(T_Facebook_Ads[[#This Row],[impressions]]*RANDBETWEEN(8,12)/10,0)</f>
        <v>12890</v>
      </c>
      <c r="G15" s="4">
        <v>567</v>
      </c>
      <c r="H15" s="4">
        <f ca="1">T_Facebook_Ads[[#This Row],[spend]]*RANDBETWEEN(8,12)/10</f>
        <v>220.3</v>
      </c>
      <c r="I15" s="4">
        <f ca="1">ROUND(T_Facebook_Ads[[#This Row],[conversions]]*RANDBETWEEN(8,12)/10,0)</f>
        <v>43</v>
      </c>
      <c r="J15" s="4">
        <f ca="1">ROUND(T_Facebook_Ads[[#This Row],[video_views]]*RANDBETWEEN(8,12)/10,0)</f>
        <v>1480</v>
      </c>
      <c r="K15" s="4">
        <f ca="1">T_Facebook_Ads[[#This Row],[engagement_rate]]*RANDBETWEEN(8,12)/10</f>
        <v>4.3999999999999997E-2</v>
      </c>
      <c r="L15" s="4">
        <f ca="1">ROUND(T_Facebook_Ads[[#This Row],[reach]]*RANDBETWEEN(8,12)/10,0)</f>
        <v>11135</v>
      </c>
      <c r="M15" s="4">
        <f ca="1">T_Facebook_Ads[[#This Row],[frequency]]*RANDBETWEEN(8,12)/10</f>
        <v>1.016</v>
      </c>
      <c r="O15" s="3">
        <f t="shared" ca="1" si="1"/>
        <v>45273</v>
      </c>
      <c r="P15" s="4" t="s">
        <v>80</v>
      </c>
      <c r="Q15" s="4" t="s">
        <v>81</v>
      </c>
      <c r="R15" s="4" t="s">
        <v>82</v>
      </c>
      <c r="S15" s="4" t="s">
        <v>83</v>
      </c>
      <c r="T15" s="4">
        <f ca="1">ROUND(_Google_ads[[#This Row],[impressions]]*RANDBETWEEN(8,12)/10,0)</f>
        <v>55481</v>
      </c>
      <c r="U15" s="4">
        <f ca="1">ROUND(_Google_ads[[#This Row],[clicks]]*RANDBETWEEN(8,12)/10,0)</f>
        <v>821</v>
      </c>
      <c r="V15" s="4">
        <f ca="1">_Google_ads[[#This Row],[cost]]*RANDBETWEEN(8,12)/10</f>
        <v>471.43999999999994</v>
      </c>
      <c r="W15" s="4">
        <f ca="1">ROUND(_Google_ads[[#This Row],[conversions]]*RANDBETWEEN(8,12)/10,0)</f>
        <v>29</v>
      </c>
      <c r="X15" s="4">
        <f ca="1">ROUND(_Google_ads[[#This Row],[conversion_value]]*RANDBETWEEN(8,12)/10,0)</f>
        <v>1440</v>
      </c>
      <c r="Y15" s="4">
        <f ca="1">_Google_ads[[#This Row],[ctr]]*RANDBETWEEN(8,12)/10</f>
        <v>2.3640000000000001E-2</v>
      </c>
      <c r="Z15" s="4">
        <f ca="1">_Google_ads[[#This Row],[avg_cpc]]*RANDBETWEEN(8,12)/10</f>
        <v>0.65</v>
      </c>
      <c r="AA15" s="4">
        <f ca="1">ROUND(_Google_ads[[#This Row],[quality_score]]*RANDBETWEEN(8,12)/10,0)</f>
        <v>6</v>
      </c>
      <c r="AB15" s="4">
        <f ca="1">_Google_ads[[#This Row],[search_impression_share]]*RANDBETWEEN(8,12)/10</f>
        <v>0.40499999999999997</v>
      </c>
      <c r="AD15" s="3">
        <f t="shared" ca="1" si="2"/>
        <v>45267</v>
      </c>
      <c r="AE15" s="4" t="s">
        <v>104</v>
      </c>
      <c r="AF15" s="4" t="s">
        <v>105</v>
      </c>
      <c r="AG15" s="4" t="s">
        <v>106</v>
      </c>
      <c r="AH15" s="4" t="s">
        <v>107</v>
      </c>
      <c r="AI15" s="4">
        <f ca="1">ROUND(T_Tiktok_ads[[#This Row],[impressions]]*RANDBETWEEN(8,12)/10,0)</f>
        <v>154681</v>
      </c>
      <c r="AJ15" s="4">
        <f ca="1">ROUND(T_Tiktok_ads[[#This Row],[clicks]]*RANDBETWEEN(8,12)/10,0)</f>
        <v>2210</v>
      </c>
      <c r="AK15" s="4">
        <v>689.5</v>
      </c>
      <c r="AL15" s="4">
        <f ca="1">ROUND(T_Tiktok_ads[[#This Row],[conversions]]*RANDBETWEEN(8,12)/10,0)</f>
        <v>68</v>
      </c>
      <c r="AM15" s="4">
        <f ca="1">ROUND(T_Tiktok_ads[[#This Row],[video_views]]*RANDBETWEEN(8,12)/10,0)</f>
        <v>72987</v>
      </c>
      <c r="AN15" s="4">
        <f ca="1">ROUND(T_Tiktok_ads[[#This Row],[video_watch_25]]*RANDBETWEEN(8,12)/10,0)</f>
        <v>61411</v>
      </c>
      <c r="AO15" s="4">
        <f ca="1">ROUND(T_Tiktok_ads[[#This Row],[video_watch_50]]*RANDBETWEEN(8,12)/10,0)</f>
        <v>54947</v>
      </c>
      <c r="AP15" s="4">
        <f ca="1">ROUND(T_Tiktok_ads[[#This Row],[video_watch_75]]*RANDBETWEEN(8,12)/10,0)</f>
        <v>27654</v>
      </c>
      <c r="AQ15" s="4">
        <f ca="1">ROUND(T_Tiktok_ads[[#This Row],[video_watch_100]]*RANDBETWEEN(8,12)/10,0)</f>
        <v>28414</v>
      </c>
      <c r="AR15" s="4">
        <f ca="1">ROUND(T_Tiktok_ads[[#This Row],[likes]]*RANDBETWEEN(8,12)/10,0)</f>
        <v>5614</v>
      </c>
      <c r="AS15" s="4">
        <f ca="1">ROUND(T_Tiktok_ads[[#This Row],[shares]]*RANDBETWEEN(8,12)/10,0)</f>
        <v>1520</v>
      </c>
      <c r="AT15" s="4">
        <f ca="1">ROUND(T_Tiktok_ads[[#This Row],[comments]]*RANDBETWEEN(8,12)/10,0)</f>
        <v>213</v>
      </c>
      <c r="AV15" s="5">
        <f t="shared" ca="1" si="3"/>
        <v>45271</v>
      </c>
      <c r="AW15">
        <f t="shared" ca="1" si="4"/>
        <v>4</v>
      </c>
      <c r="AX15">
        <f ca="1">ROUND(T_Facebook_Ads115963677175798387919599[[#This Row],[impressions]]*RANDBETWEEN(8,12)/10,0)</f>
        <v>15468</v>
      </c>
      <c r="AY15">
        <f ca="1">ROUND(T_Facebook_Ads115963677175798387919599[[#This Row],[clicks]]*RANDBETWEEN(8,12)/10,0)</f>
        <v>510</v>
      </c>
      <c r="AZ15">
        <f ca="1">T_Facebook_Ads115963677175798387919599[[#This Row],[spend]]*RANDBETWEEN(8,12)/10</f>
        <v>264.36</v>
      </c>
      <c r="BA15">
        <f ca="1">ROUND(T_Facebook_Ads115963677175798387919599[[#This Row],[conversions]]*RANDBETWEEN(8,12)/10,0)</f>
        <v>52</v>
      </c>
      <c r="BB15">
        <f ca="1">ROUND(T_Facebook_Ads115963677175798387919599[[#This Row],[video_views]]*RANDBETWEEN(8,12)/10,0)</f>
        <v>1776</v>
      </c>
    </row>
    <row r="16" spans="1:54" ht="15.75" thickBot="1" x14ac:dyDescent="0.3">
      <c r="A16" s="3">
        <f t="shared" ca="1" si="0"/>
        <v>45261</v>
      </c>
      <c r="B16" s="4" t="s">
        <v>64</v>
      </c>
      <c r="C16" s="4" t="s">
        <v>65</v>
      </c>
      <c r="D16" s="4" t="s">
        <v>66</v>
      </c>
      <c r="E16" s="4" t="s">
        <v>67</v>
      </c>
      <c r="F16" s="4">
        <f ca="1">ROUND(T_Facebook_Ads[[#This Row],[impressions]]*RANDBETWEEN(8,12)/10,0)</f>
        <v>64111</v>
      </c>
      <c r="G16" s="4">
        <v>256</v>
      </c>
      <c r="H16" s="4">
        <f ca="1">T_Facebook_Ads[[#This Row],[spend]]*RANDBETWEEN(8,12)/10</f>
        <v>75.84</v>
      </c>
      <c r="I16" s="4">
        <f ca="1">ROUND(T_Facebook_Ads[[#This Row],[conversions]]*RANDBETWEEN(8,12)/10,0)</f>
        <v>7</v>
      </c>
      <c r="J16" s="4">
        <f ca="1">ROUND(T_Facebook_Ads[[#This Row],[video_views]]*RANDBETWEEN(8,12)/10,0)</f>
        <v>58681</v>
      </c>
      <c r="K16" s="4">
        <f ca="1">T_Facebook_Ads[[#This Row],[engagement_rate]]*RANDBETWEEN(8,12)/10</f>
        <v>3.5999999999999999E-3</v>
      </c>
      <c r="L16" s="4">
        <f ca="1">ROUND(T_Facebook_Ads[[#This Row],[reach]]*RANDBETWEEN(8,12)/10,0)</f>
        <v>47387</v>
      </c>
      <c r="M16" s="4">
        <f ca="1">T_Facebook_Ads[[#This Row],[frequency]]*RANDBETWEEN(8,12)/10</f>
        <v>1.2</v>
      </c>
      <c r="O16" s="3">
        <f t="shared" ca="1" si="1"/>
        <v>45279</v>
      </c>
      <c r="P16" s="4" t="s">
        <v>88</v>
      </c>
      <c r="Q16" s="4" t="s">
        <v>89</v>
      </c>
      <c r="R16" s="4" t="s">
        <v>90</v>
      </c>
      <c r="S16" s="4" t="s">
        <v>59</v>
      </c>
      <c r="T16" s="4">
        <f ca="1">ROUND(_Google_ads[[#This Row],[impressions]]*RANDBETWEEN(8,12)/10,0)</f>
        <v>103121</v>
      </c>
      <c r="U16" s="4">
        <f ca="1">ROUND(_Google_ads[[#This Row],[clicks]]*RANDBETWEEN(8,12)/10,0)</f>
        <v>467</v>
      </c>
      <c r="V16" s="4">
        <f ca="1">_Google_ads[[#This Row],[cost]]*RANDBETWEEN(8,12)/10</f>
        <v>154.68</v>
      </c>
      <c r="W16" s="4">
        <f ca="1">ROUND(_Google_ads[[#This Row],[conversions]]*RANDBETWEEN(8,12)/10,0)</f>
        <v>10</v>
      </c>
      <c r="X16" s="4">
        <f ca="1">ROUND(_Google_ads[[#This Row],[conversion_value]]*RANDBETWEEN(8,12)/10,0)</f>
        <v>715</v>
      </c>
      <c r="Y16" s="4">
        <f ca="1">_Google_ads[[#This Row],[ctr]]*RANDBETWEEN(8,12)/10</f>
        <v>2.8799999999999997E-3</v>
      </c>
      <c r="Z16" s="4">
        <f ca="1">_Google_ads[[#This Row],[avg_cpc]]*RANDBETWEEN(8,12)/10</f>
        <v>0.25200000000000006</v>
      </c>
      <c r="AA16" s="4">
        <f ca="1">ROUND(_Google_ads[[#This Row],[quality_score]]*RANDBETWEEN(8,12)/10,0)</f>
        <v>8</v>
      </c>
      <c r="AB16" s="4">
        <f ca="1">_Google_ads[[#This Row],[search_impression_share]]*RANDBETWEEN(8,12)/10</f>
        <v>0.374</v>
      </c>
      <c r="AD16" s="3">
        <f t="shared" ca="1" si="2"/>
        <v>45284</v>
      </c>
      <c r="AE16" s="4" t="s">
        <v>112</v>
      </c>
      <c r="AF16" s="4" t="s">
        <v>113</v>
      </c>
      <c r="AG16" s="4" t="s">
        <v>114</v>
      </c>
      <c r="AH16" s="4" t="s">
        <v>115</v>
      </c>
      <c r="AI16" s="4">
        <f ca="1">ROUND(T_Tiktok_ads[[#This Row],[impressions]]*RANDBETWEEN(8,12)/10,0)</f>
        <v>285431</v>
      </c>
      <c r="AJ16" s="4">
        <f ca="1">ROUND(T_Tiktok_ads[[#This Row],[clicks]]*RANDBETWEEN(8,12)/10,0)</f>
        <v>5251</v>
      </c>
      <c r="AK16" s="4">
        <v>901.2</v>
      </c>
      <c r="AL16" s="4">
        <f ca="1">ROUND(T_Tiktok_ads[[#This Row],[conversions]]*RANDBETWEEN(8,12)/10,0)</f>
        <v>100</v>
      </c>
      <c r="AM16" s="4">
        <f ca="1">ROUND(T_Tiktok_ads[[#This Row],[video_views]]*RANDBETWEEN(8,12)/10,0)</f>
        <v>293456</v>
      </c>
      <c r="AN16" s="4">
        <f ca="1">ROUND(T_Tiktok_ads[[#This Row],[video_watch_25]]*RANDBETWEEN(8,12)/10,0)</f>
        <v>239234</v>
      </c>
      <c r="AO16" s="4">
        <f ca="1">ROUND(T_Tiktok_ads[[#This Row],[video_watch_50]]*RANDBETWEEN(8,12)/10,0)</f>
        <v>229481</v>
      </c>
      <c r="AP16" s="4">
        <f ca="1">ROUND(T_Tiktok_ads[[#This Row],[video_watch_75]]*RANDBETWEEN(8,12)/10,0)</f>
        <v>108987</v>
      </c>
      <c r="AQ16" s="4">
        <f ca="1">ROUND(T_Tiktok_ads[[#This Row],[video_watch_100]]*RANDBETWEEN(8,12)/10,0)</f>
        <v>90234</v>
      </c>
      <c r="AR16" s="4">
        <f ca="1">ROUND(T_Tiktok_ads[[#This Row],[likes]]*RANDBETWEEN(8,12)/10,0)</f>
        <v>15890</v>
      </c>
      <c r="AS16" s="4">
        <f ca="1">ROUND(T_Tiktok_ads[[#This Row],[shares]]*RANDBETWEEN(8,12)/10,0)</f>
        <v>4171</v>
      </c>
      <c r="AT16" s="4">
        <f ca="1">ROUND(T_Tiktok_ads[[#This Row],[comments]]*RANDBETWEEN(8,12)/10,0)</f>
        <v>1005</v>
      </c>
      <c r="AV16" s="5">
        <f t="shared" ca="1" si="3"/>
        <v>45274</v>
      </c>
      <c r="AW16">
        <f t="shared" ca="1" si="4"/>
        <v>4</v>
      </c>
      <c r="AX16">
        <f ca="1">ROUND(T_Facebook_Ads115963677175798387919599[[#This Row],[impressions]]*RANDBETWEEN(8,12)/10,0)</f>
        <v>57700</v>
      </c>
      <c r="AY16">
        <f ca="1">ROUND(T_Facebook_Ads115963677175798387919599[[#This Row],[clicks]]*RANDBETWEEN(8,12)/10,0)</f>
        <v>307</v>
      </c>
      <c r="AZ16">
        <f ca="1">T_Facebook_Ads115963677175798387919599[[#This Row],[spend]]*RANDBETWEEN(8,12)/10</f>
        <v>75.84</v>
      </c>
      <c r="BA16">
        <f ca="1">ROUND(T_Facebook_Ads115963677175798387919599[[#This Row],[conversions]]*RANDBETWEEN(8,12)/10,0)</f>
        <v>8</v>
      </c>
      <c r="BB16">
        <f ca="1">ROUND(T_Facebook_Ads115963677175798387919599[[#This Row],[video_views]]*RANDBETWEEN(8,12)/10,0)</f>
        <v>64549</v>
      </c>
    </row>
    <row r="17" spans="1:54" ht="15.75" thickBot="1" x14ac:dyDescent="0.3">
      <c r="A17" s="3">
        <f t="shared" ca="1" si="0"/>
        <v>45265</v>
      </c>
      <c r="B17" s="4" t="s">
        <v>52</v>
      </c>
      <c r="C17" s="4" t="s">
        <v>53</v>
      </c>
      <c r="D17" s="4" t="s">
        <v>54</v>
      </c>
      <c r="E17" s="4" t="s">
        <v>55</v>
      </c>
      <c r="F17" s="4">
        <f ca="1">ROUND(T_Facebook_Ads[[#This Row],[impressions]]*RANDBETWEEN(8,12)/10,0)</f>
        <v>49024</v>
      </c>
      <c r="G17" s="4">
        <v>878</v>
      </c>
      <c r="H17" s="4">
        <f ca="1">T_Facebook_Ads[[#This Row],[spend]]*RANDBETWEEN(8,12)/10</f>
        <v>113.03999999999999</v>
      </c>
      <c r="I17" s="4">
        <f ca="1">ROUND(T_Facebook_Ads[[#This Row],[conversions]]*RANDBETWEEN(8,12)/10,0)</f>
        <v>10</v>
      </c>
      <c r="J17" s="4">
        <f ca="1">ROUND(T_Facebook_Ads[[#This Row],[video_views]]*RANDBETWEEN(8,12)/10,0)</f>
        <v>8123</v>
      </c>
      <c r="K17" s="4">
        <f ca="1">T_Facebook_Ads[[#This Row],[engagement_rate]]*RANDBETWEEN(8,12)/10</f>
        <v>1.7729999999999999E-2</v>
      </c>
      <c r="L17" s="4">
        <f ca="1">ROUND(T_Facebook_Ads[[#This Row],[reach]]*RANDBETWEEN(8,12)/10,0)</f>
        <v>37456</v>
      </c>
      <c r="M17" s="4">
        <f ca="1">T_Facebook_Ads[[#This Row],[frequency]]*RANDBETWEEN(8,12)/10</f>
        <v>0.95199999999999996</v>
      </c>
      <c r="O17" s="3">
        <f t="shared" ca="1" si="1"/>
        <v>45275</v>
      </c>
      <c r="P17" s="4" t="s">
        <v>76</v>
      </c>
      <c r="Q17" s="4" t="s">
        <v>77</v>
      </c>
      <c r="R17" s="4" t="s">
        <v>78</v>
      </c>
      <c r="S17" s="4" t="s">
        <v>79</v>
      </c>
      <c r="T17" s="4">
        <f ca="1">ROUND(_Google_ads[[#This Row],[impressions]]*RANDBETWEEN(8,12)/10,0)</f>
        <v>29081</v>
      </c>
      <c r="U17" s="4">
        <f ca="1">ROUND(_Google_ads[[#This Row],[clicks]]*RANDBETWEEN(8,12)/10,0)</f>
        <v>1014</v>
      </c>
      <c r="V17" s="4">
        <f ca="1">_Google_ads[[#This Row],[cost]]*RANDBETWEEN(8,12)/10</f>
        <v>289.43999999999994</v>
      </c>
      <c r="W17" s="4">
        <f ca="1">ROUND(_Google_ads[[#This Row],[conversions]]*RANDBETWEEN(8,12)/10,0)</f>
        <v>52</v>
      </c>
      <c r="X17" s="4">
        <f ca="1">ROUND(_Google_ads[[#This Row],[conversion_value]]*RANDBETWEEN(8,12)/10,0)</f>
        <v>2115</v>
      </c>
      <c r="Y17" s="4">
        <f ca="1">_Google_ads[[#This Row],[ctr]]*RANDBETWEEN(8,12)/10</f>
        <v>5.2299999999999999E-2</v>
      </c>
      <c r="Z17" s="4">
        <f ca="1">_Google_ads[[#This Row],[avg_cpc]]*RANDBETWEEN(8,12)/10</f>
        <v>0.19</v>
      </c>
      <c r="AA17" s="4">
        <f ca="1">ROUND(_Google_ads[[#This Row],[quality_score]]*RANDBETWEEN(8,12)/10,0)</f>
        <v>10</v>
      </c>
      <c r="AB17" s="4">
        <f ca="1">_Google_ads[[#This Row],[search_impression_share]]*RANDBETWEEN(8,12)/10</f>
        <v>0.92000000000000015</v>
      </c>
      <c r="AD17" s="3">
        <f t="shared" ca="1" si="2"/>
        <v>45269</v>
      </c>
      <c r="AE17" s="4" t="s">
        <v>100</v>
      </c>
      <c r="AF17" s="4" t="s">
        <v>101</v>
      </c>
      <c r="AG17" s="4" t="s">
        <v>102</v>
      </c>
      <c r="AH17" s="4" t="s">
        <v>103</v>
      </c>
      <c r="AI17" s="4">
        <f ca="1">ROUND(T_Tiktok_ads[[#This Row],[impressions]]*RANDBETWEEN(8,12)/10,0)</f>
        <v>267890</v>
      </c>
      <c r="AJ17" s="4">
        <f ca="1">ROUND(T_Tiktok_ads[[#This Row],[clicks]]*RANDBETWEEN(8,12)/10,0)</f>
        <v>4340</v>
      </c>
      <c r="AK17" s="4">
        <v>523.4</v>
      </c>
      <c r="AL17" s="4">
        <f ca="1">ROUND(T_Tiktok_ads[[#This Row],[conversions]]*RANDBETWEEN(8,12)/10,0)</f>
        <v>48</v>
      </c>
      <c r="AM17" s="4">
        <f ca="1">ROUND(T_Tiktok_ads[[#This Row],[video_views]]*RANDBETWEEN(8,12)/10,0)</f>
        <v>265481</v>
      </c>
      <c r="AN17" s="4">
        <f ca="1">ROUND(T_Tiktok_ads[[#This Row],[video_watch_25]]*RANDBETWEEN(8,12)/10,0)</f>
        <v>208147</v>
      </c>
      <c r="AO17" s="4">
        <f ca="1">ROUND(T_Tiktok_ads[[#This Row],[video_watch_50]]*RANDBETWEEN(8,12)/10,0)</f>
        <v>109234</v>
      </c>
      <c r="AP17" s="4">
        <f ca="1">ROUND(T_Tiktok_ads[[#This Row],[video_watch_75]]*RANDBETWEEN(8,12)/10,0)</f>
        <v>88280</v>
      </c>
      <c r="AQ17" s="4">
        <f ca="1">ROUND(T_Tiktok_ads[[#This Row],[video_watch_100]]*RANDBETWEEN(8,12)/10,0)</f>
        <v>54157</v>
      </c>
      <c r="AR17" s="4">
        <f ca="1">ROUND(T_Tiktok_ads[[#This Row],[likes]]*RANDBETWEEN(8,12)/10,0)</f>
        <v>9789</v>
      </c>
      <c r="AS17" s="4">
        <f ca="1">ROUND(T_Tiktok_ads[[#This Row],[shares]]*RANDBETWEEN(8,12)/10,0)</f>
        <v>2897</v>
      </c>
      <c r="AT17" s="4">
        <f ca="1">ROUND(T_Tiktok_ads[[#This Row],[comments]]*RANDBETWEEN(8,12)/10,0)</f>
        <v>561</v>
      </c>
      <c r="AV17" s="5">
        <f t="shared" ca="1" si="3"/>
        <v>45284</v>
      </c>
      <c r="AW17">
        <f t="shared" ca="1" si="4"/>
        <v>3</v>
      </c>
      <c r="AX17">
        <f ca="1">ROUND(T_Facebook_Ads115963677175798387919599[[#This Row],[impressions]]*RANDBETWEEN(8,12)/10,0)</f>
        <v>44122</v>
      </c>
      <c r="AY17">
        <f ca="1">ROUND(T_Facebook_Ads115963677175798387919599[[#This Row],[clicks]]*RANDBETWEEN(8,12)/10,0)</f>
        <v>878</v>
      </c>
      <c r="AZ17">
        <f ca="1">T_Facebook_Ads115963677175798387919599[[#This Row],[spend]]*RANDBETWEEN(8,12)/10</f>
        <v>135.648</v>
      </c>
      <c r="BA17">
        <f ca="1">ROUND(T_Facebook_Ads115963677175798387919599[[#This Row],[conversions]]*RANDBETWEEN(8,12)/10,0)</f>
        <v>9</v>
      </c>
      <c r="BB17">
        <f ca="1">ROUND(T_Facebook_Ads115963677175798387919599[[#This Row],[video_views]]*RANDBETWEEN(8,12)/10,0)</f>
        <v>8935</v>
      </c>
    </row>
    <row r="18" spans="1:54" ht="15.75" thickBot="1" x14ac:dyDescent="0.3">
      <c r="A18" s="3">
        <f t="shared" ca="1" si="0"/>
        <v>45284</v>
      </c>
      <c r="B18" s="4" t="s">
        <v>60</v>
      </c>
      <c r="C18" s="4" t="s">
        <v>61</v>
      </c>
      <c r="D18" s="4" t="s">
        <v>62</v>
      </c>
      <c r="E18" s="4" t="s">
        <v>63</v>
      </c>
      <c r="F18" s="4">
        <f ca="1">ROUND(T_Facebook_Ads[[#This Row],[impressions]]*RANDBETWEEN(8,12)/10,0)</f>
        <v>28542</v>
      </c>
      <c r="G18" s="4">
        <v>1289</v>
      </c>
      <c r="H18" s="4">
        <f ca="1">T_Facebook_Ads[[#This Row],[spend]]*RANDBETWEEN(8,12)/10</f>
        <v>234.71999999999997</v>
      </c>
      <c r="I18" s="4">
        <f ca="1">ROUND(T_Facebook_Ads[[#This Row],[conversions]]*RANDBETWEEN(8,12)/10,0)</f>
        <v>26</v>
      </c>
      <c r="J18" s="4">
        <f ca="1">ROUND(T_Facebook_Ads[[#This Row],[video_views]]*RANDBETWEEN(8,12)/10,0)</f>
        <v>3742</v>
      </c>
      <c r="K18" s="4">
        <f ca="1">T_Facebook_Ads[[#This Row],[engagement_rate]]*RANDBETWEEN(8,12)/10</f>
        <v>3.2490000000000005E-2</v>
      </c>
      <c r="L18" s="4">
        <f ca="1">ROUND(T_Facebook_Ads[[#This Row],[reach]]*RANDBETWEEN(8,12)/10,0)</f>
        <v>32280</v>
      </c>
      <c r="M18" s="4">
        <f ca="1">T_Facebook_Ads[[#This Row],[frequency]]*RANDBETWEEN(8,12)/10</f>
        <v>1.22</v>
      </c>
      <c r="O18" s="3">
        <f t="shared" ca="1" si="1"/>
        <v>45269</v>
      </c>
      <c r="P18" s="4" t="s">
        <v>84</v>
      </c>
      <c r="Q18" s="4" t="s">
        <v>85</v>
      </c>
      <c r="R18" s="4" t="s">
        <v>86</v>
      </c>
      <c r="S18" s="4" t="s">
        <v>87</v>
      </c>
      <c r="T18" s="4">
        <f ca="1">ROUND(_Google_ads[[#This Row],[impressions]]*RANDBETWEEN(8,12)/10,0)</f>
        <v>79580</v>
      </c>
      <c r="U18" s="4">
        <f ca="1">ROUND(_Google_ads[[#This Row],[clicks]]*RANDBETWEEN(8,12)/10,0)</f>
        <v>2854</v>
      </c>
      <c r="V18" s="4">
        <f ca="1">_Google_ads[[#This Row],[cost]]*RANDBETWEEN(8,12)/10</f>
        <v>476.18999999999994</v>
      </c>
      <c r="W18" s="4">
        <f ca="1">ROUND(_Google_ads[[#This Row],[conversions]]*RANDBETWEEN(8,12)/10,0)</f>
        <v>55</v>
      </c>
      <c r="X18" s="4">
        <f ca="1">ROUND(_Google_ads[[#This Row],[conversion_value]]*RANDBETWEEN(8,12)/10,0)</f>
        <v>3450</v>
      </c>
      <c r="Y18" s="4">
        <f ca="1">_Google_ads[[#This Row],[ctr]]*RANDBETWEEN(8,12)/10</f>
        <v>3.2899999999999999E-2</v>
      </c>
      <c r="Z18" s="4">
        <f ca="1">_Google_ads[[#This Row],[avg_cpc]]*RANDBETWEEN(8,12)/10</f>
        <v>0.19800000000000001</v>
      </c>
      <c r="AA18" s="4">
        <f ca="1">ROUND(_Google_ads[[#This Row],[quality_score]]*RANDBETWEEN(8,12)/10,0)</f>
        <v>10</v>
      </c>
      <c r="AB18" s="4">
        <f ca="1">_Google_ads[[#This Row],[search_impression_share]]*RANDBETWEEN(8,12)/10</f>
        <v>0.53600000000000003</v>
      </c>
      <c r="AD18" s="3">
        <f t="shared" ca="1" si="2"/>
        <v>45272</v>
      </c>
      <c r="AE18" s="4" t="s">
        <v>108</v>
      </c>
      <c r="AF18" s="4" t="s">
        <v>109</v>
      </c>
      <c r="AG18" s="4" t="s">
        <v>110</v>
      </c>
      <c r="AH18" s="4" t="s">
        <v>111</v>
      </c>
      <c r="AI18" s="4">
        <f ca="1">ROUND(T_Tiktok_ads[[#This Row],[impressions]]*RANDBETWEEN(8,12)/10,0)</f>
        <v>226246</v>
      </c>
      <c r="AJ18" s="4">
        <f ca="1">ROUND(T_Tiktok_ads[[#This Row],[clicks]]*RANDBETWEEN(8,12)/10,0)</f>
        <v>3557</v>
      </c>
      <c r="AK18" s="4">
        <v>387.8</v>
      </c>
      <c r="AL18" s="4">
        <f ca="1">ROUND(T_Tiktok_ads[[#This Row],[conversions]]*RANDBETWEEN(8,12)/10,0)</f>
        <v>27</v>
      </c>
      <c r="AM18" s="4">
        <f ca="1">ROUND(T_Tiktok_ads[[#This Row],[video_views]]*RANDBETWEEN(8,12)/10,0)</f>
        <v>194814</v>
      </c>
      <c r="AN18" s="4">
        <f ca="1">ROUND(T_Tiktok_ads[[#This Row],[video_watch_25]]*RANDBETWEEN(8,12)/10,0)</f>
        <v>149480</v>
      </c>
      <c r="AO18" s="4">
        <f ca="1">ROUND(T_Tiktok_ads[[#This Row],[video_watch_50]]*RANDBETWEEN(8,12)/10,0)</f>
        <v>89011</v>
      </c>
      <c r="AP18" s="4">
        <f ca="1">ROUND(T_Tiktok_ads[[#This Row],[video_watch_75]]*RANDBETWEEN(8,12)/10,0)</f>
        <v>56911</v>
      </c>
      <c r="AQ18" s="4">
        <f ca="1">ROUND(T_Tiktok_ads[[#This Row],[video_watch_100]]*RANDBETWEEN(8,12)/10,0)</f>
        <v>45881</v>
      </c>
      <c r="AR18" s="4">
        <f ca="1">ROUND(T_Tiktok_ads[[#This Row],[likes]]*RANDBETWEEN(8,12)/10,0)</f>
        <v>6054</v>
      </c>
      <c r="AS18" s="4">
        <f ca="1">ROUND(T_Tiktok_ads[[#This Row],[shares]]*RANDBETWEEN(8,12)/10,0)</f>
        <v>1880</v>
      </c>
      <c r="AT18" s="4">
        <f ca="1">ROUND(T_Tiktok_ads[[#This Row],[comments]]*RANDBETWEEN(8,12)/10,0)</f>
        <v>551</v>
      </c>
      <c r="AV18" s="5">
        <f t="shared" ca="1" si="3"/>
        <v>45284</v>
      </c>
      <c r="AW18">
        <f t="shared" ca="1" si="4"/>
        <v>7</v>
      </c>
      <c r="AX18">
        <f ca="1">ROUND(T_Facebook_Ads115963677175798387919599[[#This Row],[impressions]]*RANDBETWEEN(8,12)/10,0)</f>
        <v>31396</v>
      </c>
      <c r="AY18">
        <f ca="1">ROUND(T_Facebook_Ads115963677175798387919599[[#This Row],[clicks]]*RANDBETWEEN(8,12)/10,0)</f>
        <v>1547</v>
      </c>
      <c r="AZ18">
        <f ca="1">T_Facebook_Ads115963677175798387919599[[#This Row],[spend]]*RANDBETWEEN(8,12)/10</f>
        <v>281.66399999999993</v>
      </c>
      <c r="BA18">
        <f ca="1">ROUND(T_Facebook_Ads115963677175798387919599[[#This Row],[conversions]]*RANDBETWEEN(8,12)/10,0)</f>
        <v>21</v>
      </c>
      <c r="BB18">
        <f ca="1">ROUND(T_Facebook_Ads115963677175798387919599[[#This Row],[video_views]]*RANDBETWEEN(8,12)/10,0)</f>
        <v>4490</v>
      </c>
    </row>
    <row r="19" spans="1:54" ht="15.75" thickBot="1" x14ac:dyDescent="0.3">
      <c r="A19" s="3">
        <f t="shared" ca="1" si="0"/>
        <v>45288</v>
      </c>
      <c r="B19" s="4" t="s">
        <v>64</v>
      </c>
      <c r="C19" s="4" t="s">
        <v>65</v>
      </c>
      <c r="D19" s="4" t="s">
        <v>66</v>
      </c>
      <c r="E19" s="4" t="s">
        <v>67</v>
      </c>
      <c r="F19" s="4">
        <f ca="1">ROUND(T_Facebook_Ads[[#This Row],[impressions]]*RANDBETWEEN(8,12)/10,0)</f>
        <v>76402</v>
      </c>
      <c r="G19" s="4">
        <v>245</v>
      </c>
      <c r="H19" s="4">
        <f ca="1">T_Facebook_Ads[[#This Row],[spend]]*RANDBETWEEN(8,12)/10</f>
        <v>109.44000000000001</v>
      </c>
      <c r="I19" s="4">
        <f ca="1">ROUND(T_Facebook_Ads[[#This Row],[conversions]]*RANDBETWEEN(8,12)/10,0)</f>
        <v>6</v>
      </c>
      <c r="J19" s="4">
        <f ca="1">ROUND(T_Facebook_Ads[[#This Row],[video_views]]*RANDBETWEEN(8,12)/10,0)</f>
        <v>51957</v>
      </c>
      <c r="K19" s="4">
        <f ca="1">T_Facebook_Ads[[#This Row],[engagement_rate]]*RANDBETWEEN(8,12)/10</f>
        <v>3.5000000000000005E-3</v>
      </c>
      <c r="L19" s="4">
        <f ca="1">ROUND(T_Facebook_Ads[[#This Row],[reach]]*RANDBETWEEN(8,12)/10,0)</f>
        <v>69468</v>
      </c>
      <c r="M19" s="4">
        <f ca="1">T_Facebook_Ads[[#This Row],[frequency]]*RANDBETWEEN(8,12)/10</f>
        <v>1.44</v>
      </c>
      <c r="O19" s="3">
        <f t="shared" ca="1" si="1"/>
        <v>45263</v>
      </c>
      <c r="P19" s="4" t="s">
        <v>88</v>
      </c>
      <c r="Q19" s="4" t="s">
        <v>89</v>
      </c>
      <c r="R19" s="4" t="s">
        <v>90</v>
      </c>
      <c r="S19" s="4" t="s">
        <v>59</v>
      </c>
      <c r="T19" s="4">
        <f ca="1">ROUND(_Google_ads[[#This Row],[impressions]]*RANDBETWEEN(8,12)/10,0)</f>
        <v>157481</v>
      </c>
      <c r="U19" s="4">
        <f ca="1">ROUND(_Google_ads[[#This Row],[clicks]]*RANDBETWEEN(8,12)/10,0)</f>
        <v>526</v>
      </c>
      <c r="V19" s="4">
        <f ca="1">_Google_ads[[#This Row],[cost]]*RANDBETWEEN(8,12)/10</f>
        <v>158.88000000000002</v>
      </c>
      <c r="W19" s="4">
        <f ca="1">ROUND(_Google_ads[[#This Row],[conversions]]*RANDBETWEEN(8,12)/10,0)</f>
        <v>10</v>
      </c>
      <c r="X19" s="4">
        <f ca="1">ROUND(_Google_ads[[#This Row],[conversion_value]]*RANDBETWEEN(8,12)/10,0)</f>
        <v>585</v>
      </c>
      <c r="Y19" s="4">
        <f ca="1">_Google_ads[[#This Row],[ctr]]*RANDBETWEEN(8,12)/10</f>
        <v>3.5999999999999999E-3</v>
      </c>
      <c r="Z19" s="4">
        <f ca="1">_Google_ads[[#This Row],[avg_cpc]]*RANDBETWEEN(8,12)/10</f>
        <v>0.308</v>
      </c>
      <c r="AA19" s="4">
        <f ca="1">ROUND(_Google_ads[[#This Row],[quality_score]]*RANDBETWEEN(8,12)/10,0)</f>
        <v>6</v>
      </c>
      <c r="AB19" s="4">
        <f ca="1">_Google_ads[[#This Row],[search_impression_share]]*RANDBETWEEN(8,12)/10</f>
        <v>0.27999999999999997</v>
      </c>
      <c r="AD19" s="3">
        <f t="shared" ca="1" si="2"/>
        <v>45264</v>
      </c>
      <c r="AE19" s="4" t="s">
        <v>112</v>
      </c>
      <c r="AF19" s="4" t="s">
        <v>113</v>
      </c>
      <c r="AG19" s="4" t="s">
        <v>114</v>
      </c>
      <c r="AH19" s="4" t="s">
        <v>115</v>
      </c>
      <c r="AI19" s="4">
        <f ca="1">ROUND(T_Tiktok_ads[[#This Row],[impressions]]*RANDBETWEEN(8,12)/10,0)</f>
        <v>378901</v>
      </c>
      <c r="AJ19" s="4">
        <f ca="1">ROUND(T_Tiktok_ads[[#This Row],[clicks]]*RANDBETWEEN(8,12)/10,0)</f>
        <v>7348</v>
      </c>
      <c r="AK19" s="4">
        <v>945.6</v>
      </c>
      <c r="AL19" s="4">
        <f ca="1">ROUND(T_Tiktok_ads[[#This Row],[conversions]]*RANDBETWEEN(8,12)/10,0)</f>
        <v>86</v>
      </c>
      <c r="AM19" s="4">
        <f ca="1">ROUND(T_Tiktok_ads[[#This Row],[video_views]]*RANDBETWEEN(8,12)/10,0)</f>
        <v>312345</v>
      </c>
      <c r="AN19" s="4">
        <f ca="1">ROUND(T_Tiktok_ads[[#This Row],[video_watch_25]]*RANDBETWEEN(8,12)/10,0)</f>
        <v>251234</v>
      </c>
      <c r="AO19" s="4">
        <f ca="1">ROUND(T_Tiktok_ads[[#This Row],[video_watch_50]]*RANDBETWEEN(8,12)/10,0)</f>
        <v>241481</v>
      </c>
      <c r="AP19" s="4">
        <f ca="1">ROUND(T_Tiktok_ads[[#This Row],[video_watch_75]]*RANDBETWEEN(8,12)/10,0)</f>
        <v>143456</v>
      </c>
      <c r="AQ19" s="4">
        <f ca="1">ROUND(T_Tiktok_ads[[#This Row],[video_watch_100]]*RANDBETWEEN(8,12)/10,0)</f>
        <v>95234</v>
      </c>
      <c r="AR19" s="4">
        <f ca="1">ROUND(T_Tiktok_ads[[#This Row],[likes]]*RANDBETWEEN(8,12)/10,0)</f>
        <v>13254</v>
      </c>
      <c r="AS19" s="4">
        <f ca="1">ROUND(T_Tiktok_ads[[#This Row],[shares]]*RANDBETWEEN(8,12)/10,0)</f>
        <v>5305</v>
      </c>
      <c r="AT19" s="4">
        <f ca="1">ROUND(T_Tiktok_ads[[#This Row],[comments]]*RANDBETWEEN(8,12)/10,0)</f>
        <v>1181</v>
      </c>
      <c r="AV19" s="5">
        <f t="shared" ca="1" si="3"/>
        <v>45284</v>
      </c>
      <c r="AW19">
        <f t="shared" ca="1" si="4"/>
        <v>1</v>
      </c>
      <c r="AX19">
        <f ca="1">ROUND(T_Facebook_Ads115963677175798387919599[[#This Row],[impressions]]*RANDBETWEEN(8,12)/10,0)</f>
        <v>84042</v>
      </c>
      <c r="AY19">
        <f ca="1">ROUND(T_Facebook_Ads115963677175798387919599[[#This Row],[clicks]]*RANDBETWEEN(8,12)/10,0)</f>
        <v>221</v>
      </c>
      <c r="AZ19">
        <f ca="1">T_Facebook_Ads115963677175798387919599[[#This Row],[spend]]*RANDBETWEEN(8,12)/10</f>
        <v>131.32800000000003</v>
      </c>
      <c r="BA19">
        <f ca="1">ROUND(T_Facebook_Ads115963677175798387919599[[#This Row],[conversions]]*RANDBETWEEN(8,12)/10,0)</f>
        <v>7</v>
      </c>
      <c r="BB19">
        <f ca="1">ROUND(T_Facebook_Ads115963677175798387919599[[#This Row],[video_views]]*RANDBETWEEN(8,12)/10,0)</f>
        <v>62348</v>
      </c>
    </row>
    <row r="20" spans="1:54" ht="15.75" thickBot="1" x14ac:dyDescent="0.3">
      <c r="A20" s="3">
        <f t="shared" ca="1" si="0"/>
        <v>45289</v>
      </c>
      <c r="B20" s="4" t="s">
        <v>52</v>
      </c>
      <c r="C20" s="4" t="s">
        <v>53</v>
      </c>
      <c r="D20" s="4" t="s">
        <v>54</v>
      </c>
      <c r="E20" s="4" t="s">
        <v>55</v>
      </c>
      <c r="F20" s="4">
        <f ca="1">ROUND(T_Facebook_Ads[[#This Row],[impressions]]*RANDBETWEEN(8,12)/10,0)</f>
        <v>59851</v>
      </c>
      <c r="G20" s="4">
        <v>1067</v>
      </c>
      <c r="H20" s="4">
        <f ca="1">T_Facebook_Ads[[#This Row],[spend]]*RANDBETWEEN(8,12)/10</f>
        <v>131.31</v>
      </c>
      <c r="I20" s="4">
        <f ca="1">ROUND(T_Facebook_Ads[[#This Row],[conversions]]*RANDBETWEEN(8,12)/10,0)</f>
        <v>18</v>
      </c>
      <c r="J20" s="4">
        <f ca="1">ROUND(T_Facebook_Ads[[#This Row],[video_views]]*RANDBETWEEN(8,12)/10,0)</f>
        <v>8610</v>
      </c>
      <c r="K20" s="4">
        <f ca="1">T_Facebook_Ads[[#This Row],[engagement_rate]]*RANDBETWEEN(8,12)/10</f>
        <v>1.712E-2</v>
      </c>
      <c r="L20" s="4">
        <f ca="1">ROUND(T_Facebook_Ads[[#This Row],[reach]]*RANDBETWEEN(8,12)/10,0)</f>
        <v>37111</v>
      </c>
      <c r="M20" s="4">
        <f ca="1">T_Facebook_Ads[[#This Row],[frequency]]*RANDBETWEEN(8,12)/10</f>
        <v>1.452</v>
      </c>
      <c r="O20" s="3">
        <f t="shared" ca="1" si="1"/>
        <v>45274</v>
      </c>
      <c r="P20" s="4" t="s">
        <v>76</v>
      </c>
      <c r="Q20" s="4" t="s">
        <v>77</v>
      </c>
      <c r="R20" s="4" t="s">
        <v>78</v>
      </c>
      <c r="S20" s="4" t="s">
        <v>79</v>
      </c>
      <c r="T20" s="4">
        <f ca="1">ROUND(_Google_ads[[#This Row],[impressions]]*RANDBETWEEN(8,12)/10,0)</f>
        <v>32147</v>
      </c>
      <c r="U20" s="4">
        <f ca="1">ROUND(_Google_ads[[#This Row],[clicks]]*RANDBETWEEN(8,12)/10,0)</f>
        <v>1165</v>
      </c>
      <c r="V20" s="4">
        <f ca="1">_Google_ads[[#This Row],[cost]]*RANDBETWEEN(8,12)/10</f>
        <v>278.89999999999998</v>
      </c>
      <c r="W20" s="4">
        <f ca="1">ROUND(_Google_ads[[#This Row],[conversions]]*RANDBETWEEN(8,12)/10,0)</f>
        <v>49</v>
      </c>
      <c r="X20" s="4">
        <f ca="1">ROUND(_Google_ads[[#This Row],[conversion_value]]*RANDBETWEEN(8,12)/10,0)</f>
        <v>2160</v>
      </c>
      <c r="Y20" s="4">
        <f ca="1">_Google_ads[[#This Row],[ctr]]*RANDBETWEEN(8,12)/10</f>
        <v>5.983999999999999E-2</v>
      </c>
      <c r="Z20" s="4">
        <f ca="1">_Google_ads[[#This Row],[avg_cpc]]*RANDBETWEEN(8,12)/10</f>
        <v>0.152</v>
      </c>
      <c r="AA20" s="4">
        <f ca="1">ROUND(_Google_ads[[#This Row],[quality_score]]*RANDBETWEEN(8,12)/10,0)</f>
        <v>10</v>
      </c>
      <c r="AB20" s="4">
        <f ca="1">_Google_ads[[#This Row],[search_impression_share]]*RANDBETWEEN(8,12)/10</f>
        <v>0.93</v>
      </c>
      <c r="AD20" s="3">
        <f t="shared" ca="1" si="2"/>
        <v>45266</v>
      </c>
      <c r="AE20" s="4" t="s">
        <v>100</v>
      </c>
      <c r="AF20" s="4" t="s">
        <v>101</v>
      </c>
      <c r="AG20" s="4" t="s">
        <v>102</v>
      </c>
      <c r="AH20" s="4" t="s">
        <v>103</v>
      </c>
      <c r="AI20" s="4">
        <f ca="1">ROUND(T_Tiktok_ads[[#This Row],[impressions]]*RANDBETWEEN(8,12)/10,0)</f>
        <v>251011</v>
      </c>
      <c r="AJ20" s="4">
        <f ca="1">ROUND(T_Tiktok_ads[[#This Row],[clicks]]*RANDBETWEEN(8,12)/10,0)</f>
        <v>4948</v>
      </c>
      <c r="AK20" s="4">
        <v>545.6</v>
      </c>
      <c r="AL20" s="4">
        <f ca="1">ROUND(T_Tiktok_ads[[#This Row],[conversions]]*RANDBETWEEN(8,12)/10,0)</f>
        <v>50</v>
      </c>
      <c r="AM20" s="4">
        <f ca="1">ROUND(T_Tiktok_ads[[#This Row],[video_views]]*RANDBETWEEN(8,12)/10,0)</f>
        <v>183387</v>
      </c>
      <c r="AN20" s="4">
        <f ca="1">ROUND(T_Tiktok_ads[[#This Row],[video_watch_25]]*RANDBETWEEN(8,12)/10,0)</f>
        <v>197157</v>
      </c>
      <c r="AO20" s="4">
        <f ca="1">ROUND(T_Tiktok_ads[[#This Row],[video_watch_50]]*RANDBETWEEN(8,12)/10,0)</f>
        <v>89787</v>
      </c>
      <c r="AP20" s="4">
        <f ca="1">ROUND(T_Tiktok_ads[[#This Row],[video_watch_75]]*RANDBETWEEN(8,12)/10,0)</f>
        <v>90814</v>
      </c>
      <c r="AQ20" s="4">
        <f ca="1">ROUND(T_Tiktok_ads[[#This Row],[video_watch_100]]*RANDBETWEEN(8,12)/10,0)</f>
        <v>55257</v>
      </c>
      <c r="AR20" s="4">
        <f ca="1">ROUND(T_Tiktok_ads[[#This Row],[likes]]*RANDBETWEEN(8,12)/10,0)</f>
        <v>10123</v>
      </c>
      <c r="AS20" s="4">
        <f ca="1">ROUND(T_Tiktok_ads[[#This Row],[shares]]*RANDBETWEEN(8,12)/10,0)</f>
        <v>2712</v>
      </c>
      <c r="AT20" s="4">
        <f ca="1">ROUND(T_Tiktok_ads[[#This Row],[comments]]*RANDBETWEEN(8,12)/10,0)</f>
        <v>516</v>
      </c>
      <c r="AV20" s="5">
        <f t="shared" ca="1" si="3"/>
        <v>45262</v>
      </c>
      <c r="AW20">
        <f t="shared" ca="1" si="4"/>
        <v>8</v>
      </c>
      <c r="AX20">
        <f ca="1">ROUND(T_Facebook_Ads115963677175798387919599[[#This Row],[impressions]]*RANDBETWEEN(8,12)/10,0)</f>
        <v>47881</v>
      </c>
      <c r="AY20">
        <f ca="1">ROUND(T_Facebook_Ads115963677175798387919599[[#This Row],[clicks]]*RANDBETWEEN(8,12)/10,0)</f>
        <v>960</v>
      </c>
      <c r="AZ20">
        <f ca="1">T_Facebook_Ads115963677175798387919599[[#This Row],[spend]]*RANDBETWEEN(8,12)/10</f>
        <v>157.572</v>
      </c>
      <c r="BA20">
        <f ca="1">ROUND(T_Facebook_Ads115963677175798387919599[[#This Row],[conversions]]*RANDBETWEEN(8,12)/10,0)</f>
        <v>18</v>
      </c>
      <c r="BB20">
        <f ca="1">ROUND(T_Facebook_Ads115963677175798387919599[[#This Row],[video_views]]*RANDBETWEEN(8,12)/10,0)</f>
        <v>7749</v>
      </c>
    </row>
    <row r="21" spans="1:54" ht="15.75" thickBot="1" x14ac:dyDescent="0.3">
      <c r="A21" s="3">
        <f t="shared" ca="1" si="0"/>
        <v>45276</v>
      </c>
      <c r="B21" s="4" t="s">
        <v>56</v>
      </c>
      <c r="C21" s="4" t="s">
        <v>57</v>
      </c>
      <c r="D21" s="4" t="s">
        <v>58</v>
      </c>
      <c r="E21" s="4" t="s">
        <v>59</v>
      </c>
      <c r="F21" s="4">
        <f ca="1">ROUND(T_Facebook_Ads[[#This Row],[impressions]]*RANDBETWEEN(8,12)/10,0)</f>
        <v>16147</v>
      </c>
      <c r="G21" s="4">
        <v>623</v>
      </c>
      <c r="H21" s="4">
        <f ca="1">T_Facebook_Ads[[#This Row],[spend]]*RANDBETWEEN(8,12)/10</f>
        <v>214.02000000000004</v>
      </c>
      <c r="I21" s="4">
        <f ca="1">ROUND(T_Facebook_Ads[[#This Row],[conversions]]*RANDBETWEEN(8,12)/10,0)</f>
        <v>48</v>
      </c>
      <c r="J21" s="4">
        <f ca="1">ROUND(T_Facebook_Ads[[#This Row],[video_views]]*RANDBETWEEN(8,12)/10,0)</f>
        <v>1165</v>
      </c>
      <c r="K21" s="4">
        <f ca="1">T_Facebook_Ads[[#This Row],[engagement_rate]]*RANDBETWEEN(8,12)/10</f>
        <v>4.1669999999999999E-2</v>
      </c>
      <c r="L21" s="4">
        <f ca="1">ROUND(T_Facebook_Ads[[#This Row],[reach]]*RANDBETWEEN(8,12)/10,0)</f>
        <v>9510</v>
      </c>
      <c r="M21" s="4">
        <f ca="1">T_Facebook_Ads[[#This Row],[frequency]]*RANDBETWEEN(8,12)/10</f>
        <v>1.016</v>
      </c>
      <c r="O21" s="3">
        <f t="shared" ca="1" si="1"/>
        <v>45273</v>
      </c>
      <c r="P21" s="4" t="s">
        <v>80</v>
      </c>
      <c r="Q21" s="4" t="s">
        <v>81</v>
      </c>
      <c r="R21" s="4" t="s">
        <v>82</v>
      </c>
      <c r="S21" s="4" t="s">
        <v>83</v>
      </c>
      <c r="T21" s="4">
        <f ca="1">ROUND(_Google_ads[[#This Row],[impressions]]*RANDBETWEEN(8,12)/10,0)</f>
        <v>44567</v>
      </c>
      <c r="U21" s="4">
        <f ca="1">ROUND(_Google_ads[[#This Row],[clicks]]*RANDBETWEEN(8,12)/10,0)</f>
        <v>966</v>
      </c>
      <c r="V21" s="4">
        <f ca="1">_Google_ads[[#This Row],[cost]]*RANDBETWEEN(8,12)/10</f>
        <v>623.92000000000007</v>
      </c>
      <c r="W21" s="4">
        <f ca="1">ROUND(_Google_ads[[#This Row],[conversions]]*RANDBETWEEN(8,12)/10,0)</f>
        <v>26</v>
      </c>
      <c r="X21" s="4">
        <f ca="1">ROUND(_Google_ads[[#This Row],[conversion_value]]*RANDBETWEEN(8,12)/10,0)</f>
        <v>1100</v>
      </c>
      <c r="Y21" s="4">
        <f ca="1">_Google_ads[[#This Row],[ctr]]*RANDBETWEEN(8,12)/10</f>
        <v>1.9699999999999999E-2</v>
      </c>
      <c r="Z21" s="4">
        <f ca="1">_Google_ads[[#This Row],[avg_cpc]]*RANDBETWEEN(8,12)/10</f>
        <v>0.71500000000000008</v>
      </c>
      <c r="AA21" s="4">
        <f ca="1">ROUND(_Google_ads[[#This Row],[quality_score]]*RANDBETWEEN(8,12)/10,0)</f>
        <v>7</v>
      </c>
      <c r="AB21" s="4">
        <f ca="1">_Google_ads[[#This Row],[search_impression_share]]*RANDBETWEEN(8,12)/10</f>
        <v>0.52800000000000002</v>
      </c>
      <c r="AD21" s="3">
        <f t="shared" ca="1" si="2"/>
        <v>45277</v>
      </c>
      <c r="AE21" s="4" t="s">
        <v>104</v>
      </c>
      <c r="AF21" s="4" t="s">
        <v>105</v>
      </c>
      <c r="AG21" s="4" t="s">
        <v>106</v>
      </c>
      <c r="AH21" s="4" t="s">
        <v>107</v>
      </c>
      <c r="AI21" s="4">
        <f ca="1">ROUND(T_Tiktok_ads[[#This Row],[impressions]]*RANDBETWEEN(8,12)/10,0)</f>
        <v>111121</v>
      </c>
      <c r="AJ21" s="4">
        <f ca="1">ROUND(T_Tiktok_ads[[#This Row],[clicks]]*RANDBETWEEN(8,12)/10,0)</f>
        <v>2678</v>
      </c>
      <c r="AK21" s="4">
        <v>734.5</v>
      </c>
      <c r="AL21" s="4">
        <f ca="1">ROUND(T_Tiktok_ads[[#This Row],[conversions]]*RANDBETWEEN(8,12)/10,0)</f>
        <v>80</v>
      </c>
      <c r="AM21" s="4">
        <f ca="1">ROUND(T_Tiktok_ads[[#This Row],[video_views]]*RANDBETWEEN(8,12)/10,0)</f>
        <v>88101</v>
      </c>
      <c r="AN21" s="4">
        <f ca="1">ROUND(T_Tiktok_ads[[#This Row],[video_watch_25]]*RANDBETWEEN(8,12)/10,0)</f>
        <v>57876</v>
      </c>
      <c r="AO21" s="4">
        <f ca="1">ROUND(T_Tiktok_ads[[#This Row],[video_watch_50]]*RANDBETWEEN(8,12)/10,0)</f>
        <v>44011</v>
      </c>
      <c r="AP21" s="4">
        <f ca="1">ROUND(T_Tiktok_ads[[#This Row],[video_watch_75]]*RANDBETWEEN(8,12)/10,0)</f>
        <v>40468</v>
      </c>
      <c r="AQ21" s="4">
        <f ca="1">ROUND(T_Tiktok_ads[[#This Row],[video_watch_100]]*RANDBETWEEN(8,12)/10,0)</f>
        <v>22401</v>
      </c>
      <c r="AR21" s="4">
        <f ca="1">ROUND(T_Tiktok_ads[[#This Row],[likes]]*RANDBETWEEN(8,12)/10,0)</f>
        <v>4901</v>
      </c>
      <c r="AS21" s="4">
        <f ca="1">ROUND(T_Tiktok_ads[[#This Row],[shares]]*RANDBETWEEN(8,12)/10,0)</f>
        <v>1085</v>
      </c>
      <c r="AT21" s="4">
        <f ca="1">ROUND(T_Tiktok_ads[[#This Row],[comments]]*RANDBETWEEN(8,12)/10,0)</f>
        <v>230</v>
      </c>
      <c r="AV21" s="5">
        <f t="shared" ca="1" si="3"/>
        <v>45261</v>
      </c>
      <c r="AW21">
        <f t="shared" ca="1" si="4"/>
        <v>4</v>
      </c>
      <c r="AX21">
        <f ca="1">ROUND(T_Facebook_Ads115963677175798387919599[[#This Row],[impressions]]*RANDBETWEEN(8,12)/10,0)</f>
        <v>14532</v>
      </c>
      <c r="AY21">
        <f ca="1">ROUND(T_Facebook_Ads115963677175798387919599[[#This Row],[clicks]]*RANDBETWEEN(8,12)/10,0)</f>
        <v>748</v>
      </c>
      <c r="AZ21">
        <f ca="1">T_Facebook_Ads115963677175798387919599[[#This Row],[spend]]*RANDBETWEEN(8,12)/10</f>
        <v>192.61800000000002</v>
      </c>
      <c r="BA21">
        <f ca="1">ROUND(T_Facebook_Ads115963677175798387919599[[#This Row],[conversions]]*RANDBETWEEN(8,12)/10,0)</f>
        <v>48</v>
      </c>
      <c r="BB21">
        <f ca="1">ROUND(T_Facebook_Ads115963677175798387919599[[#This Row],[video_views]]*RANDBETWEEN(8,12)/10,0)</f>
        <v>932</v>
      </c>
    </row>
    <row r="22" spans="1:54" ht="15.75" thickBot="1" x14ac:dyDescent="0.3">
      <c r="A22" s="3">
        <f t="shared" ca="1" si="0"/>
        <v>45284</v>
      </c>
      <c r="B22" s="4" t="s">
        <v>60</v>
      </c>
      <c r="C22" s="4" t="s">
        <v>61</v>
      </c>
      <c r="D22" s="4" t="s">
        <v>62</v>
      </c>
      <c r="E22" s="4" t="s">
        <v>63</v>
      </c>
      <c r="F22" s="4">
        <f ca="1">ROUND(T_Facebook_Ads[[#This Row],[impressions]]*RANDBETWEEN(8,12)/10,0)</f>
        <v>29787</v>
      </c>
      <c r="G22" s="4">
        <v>1367</v>
      </c>
      <c r="H22" s="4">
        <f ca="1">T_Facebook_Ads[[#This Row],[spend]]*RANDBETWEEN(8,12)/10</f>
        <v>207.9</v>
      </c>
      <c r="I22" s="4">
        <f ca="1">ROUND(T_Facebook_Ads[[#This Row],[conversions]]*RANDBETWEEN(8,12)/10,0)</f>
        <v>22</v>
      </c>
      <c r="J22" s="4">
        <f ca="1">ROUND(T_Facebook_Ads[[#This Row],[video_views]]*RANDBETWEEN(8,12)/10,0)</f>
        <v>5513</v>
      </c>
      <c r="K22" s="4">
        <f ca="1">T_Facebook_Ads[[#This Row],[engagement_rate]]*RANDBETWEEN(8,12)/10</f>
        <v>2.9360000000000004E-2</v>
      </c>
      <c r="L22" s="4">
        <f ca="1">ROUND(T_Facebook_Ads[[#This Row],[reach]]*RANDBETWEEN(8,12)/10,0)</f>
        <v>30678</v>
      </c>
      <c r="M22" s="4">
        <f ca="1">T_Facebook_Ads[[#This Row],[frequency]]*RANDBETWEEN(8,12)/10</f>
        <v>1.452</v>
      </c>
      <c r="O22" s="3">
        <f t="shared" ca="1" si="1"/>
        <v>45272</v>
      </c>
      <c r="P22" s="4" t="s">
        <v>84</v>
      </c>
      <c r="Q22" s="4" t="s">
        <v>85</v>
      </c>
      <c r="R22" s="4" t="s">
        <v>86</v>
      </c>
      <c r="S22" s="4" t="s">
        <v>87</v>
      </c>
      <c r="T22" s="4">
        <f ca="1">ROUND(_Google_ads[[#This Row],[impressions]]*RANDBETWEEN(8,12)/10,0)</f>
        <v>63211</v>
      </c>
      <c r="U22" s="4">
        <f ca="1">ROUND(_Google_ads[[#This Row],[clicks]]*RANDBETWEEN(8,12)/10,0)</f>
        <v>1831</v>
      </c>
      <c r="V22" s="4">
        <f ca="1">_Google_ads[[#This Row],[cost]]*RANDBETWEEN(8,12)/10</f>
        <v>503.4</v>
      </c>
      <c r="W22" s="4">
        <f ca="1">ROUND(_Google_ads[[#This Row],[conversions]]*RANDBETWEEN(8,12)/10,0)</f>
        <v>79</v>
      </c>
      <c r="X22" s="4">
        <f ca="1">ROUND(_Google_ads[[#This Row],[conversion_value]]*RANDBETWEEN(8,12)/10,0)</f>
        <v>3630</v>
      </c>
      <c r="Y22" s="4">
        <f ca="1">_Google_ads[[#This Row],[ctr]]*RANDBETWEEN(8,12)/10</f>
        <v>2.6079999999999999E-2</v>
      </c>
      <c r="Z22" s="4">
        <f ca="1">_Google_ads[[#This Row],[avg_cpc]]*RANDBETWEEN(8,12)/10</f>
        <v>0.18</v>
      </c>
      <c r="AA22" s="4">
        <f ca="1">ROUND(_Google_ads[[#This Row],[quality_score]]*RANDBETWEEN(8,12)/10,0)</f>
        <v>8</v>
      </c>
      <c r="AB22" s="4">
        <f ca="1">_Google_ads[[#This Row],[search_impression_share]]*RANDBETWEEN(8,12)/10</f>
        <v>0.66</v>
      </c>
      <c r="AD22" s="3">
        <f t="shared" ca="1" si="2"/>
        <v>45283</v>
      </c>
      <c r="AE22" s="4" t="s">
        <v>108</v>
      </c>
      <c r="AF22" s="4" t="s">
        <v>109</v>
      </c>
      <c r="AG22" s="4" t="s">
        <v>110</v>
      </c>
      <c r="AH22" s="4" t="s">
        <v>111</v>
      </c>
      <c r="AI22" s="4">
        <f ca="1">ROUND(T_Tiktok_ads[[#This Row],[impressions]]*RANDBETWEEN(8,12)/10,0)</f>
        <v>233580</v>
      </c>
      <c r="AJ22" s="4">
        <f ca="1">ROUND(T_Tiktok_ads[[#This Row],[clicks]]*RANDBETWEEN(8,12)/10,0)</f>
        <v>3011</v>
      </c>
      <c r="AK22" s="4">
        <v>401.1</v>
      </c>
      <c r="AL22" s="4">
        <f ca="1">ROUND(T_Tiktok_ads[[#This Row],[conversions]]*RANDBETWEEN(8,12)/10,0)</f>
        <v>31</v>
      </c>
      <c r="AM22" s="4">
        <f ca="1">ROUND(T_Tiktok_ads[[#This Row],[video_views]]*RANDBETWEEN(8,12)/10,0)</f>
        <v>134312</v>
      </c>
      <c r="AN22" s="4">
        <f ca="1">ROUND(T_Tiktok_ads[[#This Row],[video_watch_25]]*RANDBETWEEN(8,12)/10,0)</f>
        <v>102587</v>
      </c>
      <c r="AO22" s="4">
        <f ca="1">ROUND(T_Tiktok_ads[[#This Row],[video_watch_50]]*RANDBETWEEN(8,12)/10,0)</f>
        <v>101234</v>
      </c>
      <c r="AP22" s="4">
        <f ca="1">ROUND(T_Tiktok_ads[[#This Row],[video_watch_75]]*RANDBETWEEN(8,12)/10,0)</f>
        <v>78281</v>
      </c>
      <c r="AQ22" s="4">
        <f ca="1">ROUND(T_Tiktok_ads[[#This Row],[video_watch_100]]*RANDBETWEEN(8,12)/10,0)</f>
        <v>43402</v>
      </c>
      <c r="AR22" s="4">
        <f ca="1">ROUND(T_Tiktok_ads[[#This Row],[likes]]*RANDBETWEEN(8,12)/10,0)</f>
        <v>8568</v>
      </c>
      <c r="AS22" s="4">
        <f ca="1">ROUND(T_Tiktok_ads[[#This Row],[shares]]*RANDBETWEEN(8,12)/10,0)</f>
        <v>2145</v>
      </c>
      <c r="AT22" s="4">
        <f ca="1">ROUND(T_Tiktok_ads[[#This Row],[comments]]*RANDBETWEEN(8,12)/10,0)</f>
        <v>461</v>
      </c>
      <c r="AV22" s="5">
        <f t="shared" ca="1" si="3"/>
        <v>45266</v>
      </c>
      <c r="AW22">
        <f t="shared" ca="1" si="4"/>
        <v>2</v>
      </c>
      <c r="AX22">
        <f ca="1">ROUND(T_Facebook_Ads115963677175798387919599[[#This Row],[impressions]]*RANDBETWEEN(8,12)/10,0)</f>
        <v>29787</v>
      </c>
      <c r="AY22">
        <f ca="1">ROUND(T_Facebook_Ads115963677175798387919599[[#This Row],[clicks]]*RANDBETWEEN(8,12)/10,0)</f>
        <v>1230</v>
      </c>
      <c r="AZ22">
        <f ca="1">T_Facebook_Ads115963677175798387919599[[#This Row],[spend]]*RANDBETWEEN(8,12)/10</f>
        <v>249.48000000000002</v>
      </c>
      <c r="BA22">
        <f ca="1">ROUND(T_Facebook_Ads115963677175798387919599[[#This Row],[conversions]]*RANDBETWEEN(8,12)/10,0)</f>
        <v>26</v>
      </c>
      <c r="BB22">
        <f ca="1">ROUND(T_Facebook_Ads115963677175798387919599[[#This Row],[video_views]]*RANDBETWEEN(8,12)/10,0)</f>
        <v>4962</v>
      </c>
    </row>
    <row r="23" spans="1:54" ht="15.75" thickBot="1" x14ac:dyDescent="0.3">
      <c r="A23" s="3">
        <f t="shared" ca="1" si="0"/>
        <v>45285</v>
      </c>
      <c r="B23" s="4" t="s">
        <v>52</v>
      </c>
      <c r="C23" s="4" t="s">
        <v>53</v>
      </c>
      <c r="D23" s="4" t="s">
        <v>54</v>
      </c>
      <c r="E23" s="4" t="s">
        <v>55</v>
      </c>
      <c r="F23" s="4">
        <f ca="1">ROUND(T_Facebook_Ads[[#This Row],[impressions]]*RANDBETWEEN(8,12)/10,0)</f>
        <v>47234</v>
      </c>
      <c r="G23" s="4">
        <v>945</v>
      </c>
      <c r="H23" s="4">
        <f ca="1">T_Facebook_Ads[[#This Row],[spend]]*RANDBETWEEN(8,12)/10</f>
        <v>162.48000000000002</v>
      </c>
      <c r="I23" s="4">
        <f ca="1">ROUND(T_Facebook_Ads[[#This Row],[conversions]]*RANDBETWEEN(8,12)/10,0)</f>
        <v>15</v>
      </c>
      <c r="J23" s="4">
        <f ca="1">ROUND(T_Facebook_Ads[[#This Row],[video_views]]*RANDBETWEEN(8,12)/10,0)</f>
        <v>9668</v>
      </c>
      <c r="K23" s="4">
        <f ca="1">T_Facebook_Ads[[#This Row],[engagement_rate]]*RANDBETWEEN(8,12)/10</f>
        <v>1.6E-2</v>
      </c>
      <c r="L23" s="4">
        <f ca="1">ROUND(T_Facebook_Ads[[#This Row],[reach]]*RANDBETWEEN(8,12)/10,0)</f>
        <v>43524</v>
      </c>
      <c r="M23" s="4">
        <f ca="1">T_Facebook_Ads[[#This Row],[frequency]]*RANDBETWEEN(8,12)/10</f>
        <v>1.3089999999999999</v>
      </c>
      <c r="O23" s="3">
        <f t="shared" ca="1" si="1"/>
        <v>45289</v>
      </c>
      <c r="P23" s="4" t="s">
        <v>76</v>
      </c>
      <c r="Q23" s="4" t="s">
        <v>77</v>
      </c>
      <c r="R23" s="4" t="s">
        <v>78</v>
      </c>
      <c r="S23" s="4" t="s">
        <v>79</v>
      </c>
      <c r="T23" s="4">
        <f ca="1">ROUND(_Google_ads[[#This Row],[impressions]]*RANDBETWEEN(8,12)/10,0)</f>
        <v>18054</v>
      </c>
      <c r="U23" s="4">
        <f ca="1">ROUND(_Google_ads[[#This Row],[clicks]]*RANDBETWEEN(8,12)/10,0)</f>
        <v>1361</v>
      </c>
      <c r="V23" s="4">
        <f ca="1">_Google_ads[[#This Row],[cost]]*RANDBETWEEN(8,12)/10</f>
        <v>216.8</v>
      </c>
      <c r="W23" s="4">
        <f ca="1">ROUND(_Google_ads[[#This Row],[conversions]]*RANDBETWEEN(8,12)/10,0)</f>
        <v>47</v>
      </c>
      <c r="X23" s="4">
        <f ca="1">ROUND(_Google_ads[[#This Row],[conversion_value]]*RANDBETWEEN(8,12)/10,0)</f>
        <v>2150</v>
      </c>
      <c r="Y23" s="4">
        <f ca="1">_Google_ads[[#This Row],[ctr]]*RANDBETWEEN(8,12)/10</f>
        <v>5.5330000000000004E-2</v>
      </c>
      <c r="Z23" s="4">
        <f ca="1">_Google_ads[[#This Row],[avg_cpc]]*RANDBETWEEN(8,12)/10</f>
        <v>0.152</v>
      </c>
      <c r="AA23" s="4">
        <f ca="1">ROUND(_Google_ads[[#This Row],[quality_score]]*RANDBETWEEN(8,12)/10,0)</f>
        <v>7</v>
      </c>
      <c r="AB23" s="4">
        <f ca="1">_Google_ads[[#This Row],[search_impression_share]]*RANDBETWEEN(8,12)/10</f>
        <v>0.81899999999999995</v>
      </c>
      <c r="AD23" s="3">
        <f t="shared" ca="1" si="2"/>
        <v>45286</v>
      </c>
      <c r="AE23" s="4" t="s">
        <v>100</v>
      </c>
      <c r="AF23" s="4" t="s">
        <v>101</v>
      </c>
      <c r="AG23" s="4" t="s">
        <v>102</v>
      </c>
      <c r="AH23" s="4" t="s">
        <v>103</v>
      </c>
      <c r="AI23" s="4">
        <f ca="1">ROUND(T_Tiktok_ads[[#This Row],[impressions]]*RANDBETWEEN(8,12)/10,0)</f>
        <v>245234</v>
      </c>
      <c r="AJ23" s="4">
        <f ca="1">ROUND(T_Tiktok_ads[[#This Row],[clicks]]*RANDBETWEEN(8,12)/10,0)</f>
        <v>3936</v>
      </c>
      <c r="AK23" s="4">
        <v>474.3</v>
      </c>
      <c r="AL23" s="4">
        <f ca="1">ROUND(T_Tiktok_ads[[#This Row],[conversions]]*RANDBETWEEN(8,12)/10,0)</f>
        <v>41</v>
      </c>
      <c r="AM23" s="4">
        <f ca="1">ROUND(T_Tiktok_ads[[#This Row],[video_views]]*RANDBETWEEN(8,12)/10,0)</f>
        <v>203456</v>
      </c>
      <c r="AN23" s="4">
        <f ca="1">ROUND(T_Tiktok_ads[[#This Row],[video_watch_25]]*RANDBETWEEN(8,12)/10,0)</f>
        <v>174791</v>
      </c>
      <c r="AO23" s="4">
        <f ca="1">ROUND(T_Tiktok_ads[[#This Row],[video_watch_50]]*RANDBETWEEN(8,12)/10,0)</f>
        <v>99567</v>
      </c>
      <c r="AP23" s="4">
        <f ca="1">ROUND(T_Tiktok_ads[[#This Row],[video_watch_75]]*RANDBETWEEN(8,12)/10,0)</f>
        <v>68234</v>
      </c>
      <c r="AQ23" s="4">
        <f ca="1">ROUND(T_Tiktok_ads[[#This Row],[video_watch_100]]*RANDBETWEEN(8,12)/10,0)</f>
        <v>50368</v>
      </c>
      <c r="AR23" s="4">
        <f ca="1">ROUND(T_Tiktok_ads[[#This Row],[likes]]*RANDBETWEEN(8,12)/10,0)</f>
        <v>10774</v>
      </c>
      <c r="AS23" s="4">
        <f ca="1">ROUND(T_Tiktok_ads[[#This Row],[shares]]*RANDBETWEEN(8,12)/10,0)</f>
        <v>2628</v>
      </c>
      <c r="AT23" s="4">
        <f ca="1">ROUND(T_Tiktok_ads[[#This Row],[comments]]*RANDBETWEEN(8,12)/10,0)</f>
        <v>472</v>
      </c>
      <c r="AV23" s="5">
        <f t="shared" ca="1" si="3"/>
        <v>45264</v>
      </c>
      <c r="AW23">
        <f t="shared" ca="1" si="4"/>
        <v>6</v>
      </c>
      <c r="AX23">
        <f ca="1">ROUND(T_Facebook_Ads115963677175798387919599[[#This Row],[impressions]]*RANDBETWEEN(8,12)/10,0)</f>
        <v>56681</v>
      </c>
      <c r="AY23">
        <f ca="1">ROUND(T_Facebook_Ads115963677175798387919599[[#This Row],[clicks]]*RANDBETWEEN(8,12)/10,0)</f>
        <v>756</v>
      </c>
      <c r="AZ23">
        <f ca="1">T_Facebook_Ads115963677175798387919599[[#This Row],[spend]]*RANDBETWEEN(8,12)/10</f>
        <v>162.48000000000002</v>
      </c>
      <c r="BA23">
        <f ca="1">ROUND(T_Facebook_Ads115963677175798387919599[[#This Row],[conversions]]*RANDBETWEEN(8,12)/10,0)</f>
        <v>18</v>
      </c>
      <c r="BB23">
        <f ca="1">ROUND(T_Facebook_Ads115963677175798387919599[[#This Row],[video_views]]*RANDBETWEEN(8,12)/10,0)</f>
        <v>7734</v>
      </c>
    </row>
    <row r="24" spans="1:54" ht="15.75" thickBot="1" x14ac:dyDescent="0.3">
      <c r="A24" s="3">
        <f t="shared" ca="1" si="0"/>
        <v>45291</v>
      </c>
      <c r="B24" s="4" t="s">
        <v>56</v>
      </c>
      <c r="C24" s="4" t="s">
        <v>57</v>
      </c>
      <c r="D24" s="4" t="s">
        <v>58</v>
      </c>
      <c r="E24" s="4" t="s">
        <v>59</v>
      </c>
      <c r="F24" s="4">
        <f ca="1">ROUND(T_Facebook_Ads[[#This Row],[impressions]]*RANDBETWEEN(8,12)/10,0)</f>
        <v>14548</v>
      </c>
      <c r="G24" s="4">
        <v>534</v>
      </c>
      <c r="H24" s="4">
        <f ca="1">T_Facebook_Ads[[#This Row],[spend]]*RANDBETWEEN(8,12)/10</f>
        <v>212.4</v>
      </c>
      <c r="I24" s="4">
        <f ca="1">ROUND(T_Facebook_Ads[[#This Row],[conversions]]*RANDBETWEEN(8,12)/10,0)</f>
        <v>32</v>
      </c>
      <c r="J24" s="4">
        <f ca="1">ROUND(T_Facebook_Ads[[#This Row],[video_views]]*RANDBETWEEN(8,12)/10,0)</f>
        <v>1234</v>
      </c>
      <c r="K24" s="4">
        <f ca="1">T_Facebook_Ads[[#This Row],[engagement_rate]]*RANDBETWEEN(8,12)/10</f>
        <v>4.41E-2</v>
      </c>
      <c r="L24" s="4">
        <f ca="1">ROUND(T_Facebook_Ads[[#This Row],[reach]]*RANDBETWEEN(8,12)/10,0)</f>
        <v>7654</v>
      </c>
      <c r="M24" s="4">
        <f ca="1">T_Facebook_Ads[[#This Row],[frequency]]*RANDBETWEEN(8,12)/10</f>
        <v>1.397</v>
      </c>
      <c r="O24" s="3">
        <f t="shared" ca="1" si="1"/>
        <v>45263</v>
      </c>
      <c r="P24" s="4" t="s">
        <v>80</v>
      </c>
      <c r="Q24" s="4" t="s">
        <v>81</v>
      </c>
      <c r="R24" s="4" t="s">
        <v>82</v>
      </c>
      <c r="S24" s="4" t="s">
        <v>83</v>
      </c>
      <c r="T24" s="4">
        <f ca="1">ROUND(_Google_ads[[#This Row],[impressions]]*RANDBETWEEN(8,12)/10,0)</f>
        <v>48234</v>
      </c>
      <c r="U24" s="4">
        <f ca="1">ROUND(_Google_ads[[#This Row],[clicks]]*RANDBETWEEN(8,12)/10,0)</f>
        <v>890</v>
      </c>
      <c r="V24" s="4">
        <f ca="1">_Google_ads[[#This Row],[cost]]*RANDBETWEEN(8,12)/10</f>
        <v>634.70000000000005</v>
      </c>
      <c r="W24" s="4">
        <f ca="1">ROUND(_Google_ads[[#This Row],[conversions]]*RANDBETWEEN(8,12)/10,0)</f>
        <v>21</v>
      </c>
      <c r="X24" s="4">
        <f ca="1">ROUND(_Google_ads[[#This Row],[conversion_value]]*RANDBETWEEN(8,12)/10,0)</f>
        <v>1430</v>
      </c>
      <c r="Y24" s="4">
        <f ca="1">_Google_ads[[#This Row],[ctr]]*RANDBETWEEN(8,12)/10</f>
        <v>1.6400000000000001E-2</v>
      </c>
      <c r="Z24" s="4">
        <f ca="1">_Google_ads[[#This Row],[avg_cpc]]*RANDBETWEEN(8,12)/10</f>
        <v>0.64</v>
      </c>
      <c r="AA24" s="4">
        <f ca="1">ROUND(_Google_ads[[#This Row],[quality_score]]*RANDBETWEEN(8,12)/10,0)</f>
        <v>8</v>
      </c>
      <c r="AB24" s="4">
        <f ca="1">_Google_ads[[#This Row],[search_impression_share]]*RANDBETWEEN(8,12)/10</f>
        <v>0.36799999999999999</v>
      </c>
      <c r="AD24" s="3">
        <f t="shared" ca="1" si="2"/>
        <v>45282</v>
      </c>
      <c r="AE24" s="4" t="s">
        <v>104</v>
      </c>
      <c r="AF24" s="4" t="s">
        <v>105</v>
      </c>
      <c r="AG24" s="4" t="s">
        <v>106</v>
      </c>
      <c r="AH24" s="4" t="s">
        <v>107</v>
      </c>
      <c r="AI24" s="4">
        <f ca="1">ROUND(T_Tiktok_ads[[#This Row],[impressions]]*RANDBETWEEN(8,12)/10,0)</f>
        <v>95387</v>
      </c>
      <c r="AJ24" s="4">
        <f ca="1">ROUND(T_Tiktok_ads[[#This Row],[clicks]]*RANDBETWEEN(8,12)/10,0)</f>
        <v>2011</v>
      </c>
      <c r="AK24" s="4">
        <v>645.6</v>
      </c>
      <c r="AL24" s="4">
        <f ca="1">ROUND(T_Tiktok_ads[[#This Row],[conversions]]*RANDBETWEEN(8,12)/10,0)</f>
        <v>77</v>
      </c>
      <c r="AM24" s="4">
        <f ca="1">ROUND(T_Tiktok_ads[[#This Row],[video_views]]*RANDBETWEEN(8,12)/10,0)</f>
        <v>68542</v>
      </c>
      <c r="AN24" s="4">
        <f ca="1">ROUND(T_Tiktok_ads[[#This Row],[video_watch_25]]*RANDBETWEEN(8,12)/10,0)</f>
        <v>76147</v>
      </c>
      <c r="AO24" s="4">
        <f ca="1">ROUND(T_Tiktok_ads[[#This Row],[video_watch_50]]*RANDBETWEEN(8,12)/10,0)</f>
        <v>50814</v>
      </c>
      <c r="AP24" s="4">
        <f ca="1">ROUND(T_Tiktok_ads[[#This Row],[video_watch_75]]*RANDBETWEEN(8,12)/10,0)</f>
        <v>35457</v>
      </c>
      <c r="AQ24" s="4">
        <f ca="1">ROUND(T_Tiktok_ads[[#This Row],[video_watch_100]]*RANDBETWEEN(8,12)/10,0)</f>
        <v>20011</v>
      </c>
      <c r="AR24" s="4">
        <f ca="1">ROUND(T_Tiktok_ads[[#This Row],[likes]]*RANDBETWEEN(8,12)/10,0)</f>
        <v>4345</v>
      </c>
      <c r="AS24" s="4">
        <f ca="1">ROUND(T_Tiktok_ads[[#This Row],[shares]]*RANDBETWEEN(8,12)/10,0)</f>
        <v>1308</v>
      </c>
      <c r="AT24" s="4">
        <f ca="1">ROUND(T_Tiktok_ads[[#This Row],[comments]]*RANDBETWEEN(8,12)/10,0)</f>
        <v>268</v>
      </c>
      <c r="AV24" s="5">
        <f t="shared" ca="1" si="3"/>
        <v>45275</v>
      </c>
      <c r="AW24">
        <f t="shared" ca="1" si="4"/>
        <v>8</v>
      </c>
      <c r="AX24">
        <f ca="1">ROUND(T_Facebook_Ads115963677175798387919599[[#This Row],[impressions]]*RANDBETWEEN(8,12)/10,0)</f>
        <v>16003</v>
      </c>
      <c r="AY24">
        <f ca="1">ROUND(T_Facebook_Ads115963677175798387919599[[#This Row],[clicks]]*RANDBETWEEN(8,12)/10,0)</f>
        <v>534</v>
      </c>
      <c r="AZ24">
        <f ca="1">T_Facebook_Ads115963677175798387919599[[#This Row],[spend]]*RANDBETWEEN(8,12)/10</f>
        <v>169.92000000000002</v>
      </c>
      <c r="BA24">
        <f ca="1">ROUND(T_Facebook_Ads115963677175798387919599[[#This Row],[conversions]]*RANDBETWEEN(8,12)/10,0)</f>
        <v>35</v>
      </c>
      <c r="BB24">
        <f ca="1">ROUND(T_Facebook_Ads115963677175798387919599[[#This Row],[video_views]]*RANDBETWEEN(8,12)/10,0)</f>
        <v>1481</v>
      </c>
    </row>
    <row r="25" spans="1:54" ht="15.75" thickBot="1" x14ac:dyDescent="0.3">
      <c r="A25" s="3">
        <f t="shared" ca="1" si="0"/>
        <v>45266</v>
      </c>
      <c r="B25" s="4" t="s">
        <v>64</v>
      </c>
      <c r="C25" s="4" t="s">
        <v>65</v>
      </c>
      <c r="D25" s="4" t="s">
        <v>66</v>
      </c>
      <c r="E25" s="4" t="s">
        <v>67</v>
      </c>
      <c r="F25" s="4">
        <f ca="1">ROUND(T_Facebook_Ads[[#This Row],[impressions]]*RANDBETWEEN(8,12)/10,0)</f>
        <v>58765</v>
      </c>
      <c r="G25" s="4">
        <v>267</v>
      </c>
      <c r="H25" s="4">
        <f ca="1">T_Facebook_Ads[[#This Row],[spend]]*RANDBETWEEN(8,12)/10</f>
        <v>108.13</v>
      </c>
      <c r="I25" s="4">
        <f ca="1">ROUND(T_Facebook_Ads[[#This Row],[conversions]]*RANDBETWEEN(8,12)/10,0)</f>
        <v>8</v>
      </c>
      <c r="J25" s="4">
        <f ca="1">ROUND(T_Facebook_Ads[[#This Row],[video_views]]*RANDBETWEEN(8,12)/10,0)</f>
        <v>40098</v>
      </c>
      <c r="K25" s="4">
        <f ca="1">T_Facebook_Ads[[#This Row],[engagement_rate]]*RANDBETWEEN(8,12)/10</f>
        <v>3.5999999999999999E-3</v>
      </c>
      <c r="L25" s="4">
        <f ca="1">ROUND(T_Facebook_Ads[[#This Row],[reach]]*RANDBETWEEN(8,12)/10,0)</f>
        <v>48187</v>
      </c>
      <c r="M25" s="4">
        <f ca="1">T_Facebook_Ads[[#This Row],[frequency]]*RANDBETWEEN(8,12)/10</f>
        <v>1.464</v>
      </c>
      <c r="O25" s="3">
        <f t="shared" ca="1" si="1"/>
        <v>45271</v>
      </c>
      <c r="P25" s="4" t="s">
        <v>88</v>
      </c>
      <c r="Q25" s="4" t="s">
        <v>89</v>
      </c>
      <c r="R25" s="4" t="s">
        <v>90</v>
      </c>
      <c r="S25" s="4" t="s">
        <v>59</v>
      </c>
      <c r="T25" s="4">
        <f ca="1">ROUND(_Google_ads[[#This Row],[impressions]]*RANDBETWEEN(8,12)/10,0)</f>
        <v>125678</v>
      </c>
      <c r="U25" s="4">
        <f ca="1">ROUND(_Google_ads[[#This Row],[clicks]]*RANDBETWEEN(8,12)/10,0)</f>
        <v>401</v>
      </c>
      <c r="V25" s="4">
        <f ca="1">_Google_ads[[#This Row],[cost]]*RANDBETWEEN(8,12)/10</f>
        <v>97.039999999999992</v>
      </c>
      <c r="W25" s="4">
        <f ca="1">ROUND(_Google_ads[[#This Row],[conversions]]*RANDBETWEEN(8,12)/10,0)</f>
        <v>12</v>
      </c>
      <c r="X25" s="4">
        <f ca="1">ROUND(_Google_ads[[#This Row],[conversion_value]]*RANDBETWEEN(8,12)/10,0)</f>
        <v>440</v>
      </c>
      <c r="Y25" s="4">
        <f ca="1">_Google_ads[[#This Row],[ctr]]*RANDBETWEEN(8,12)/10</f>
        <v>3.8500000000000001E-3</v>
      </c>
      <c r="Z25" s="4">
        <f ca="1">_Google_ads[[#This Row],[avg_cpc]]*RANDBETWEEN(8,12)/10</f>
        <v>0.21600000000000003</v>
      </c>
      <c r="AA25" s="4">
        <f ca="1">ROUND(_Google_ads[[#This Row],[quality_score]]*RANDBETWEEN(8,12)/10,0)</f>
        <v>7</v>
      </c>
      <c r="AB25" s="4">
        <f ca="1">_Google_ads[[#This Row],[search_impression_share]]*RANDBETWEEN(8,12)/10</f>
        <v>0.374</v>
      </c>
      <c r="AD25" s="3">
        <f t="shared" ca="1" si="2"/>
        <v>45278</v>
      </c>
      <c r="AE25" s="4" t="s">
        <v>112</v>
      </c>
      <c r="AF25" s="4" t="s">
        <v>113</v>
      </c>
      <c r="AG25" s="4" t="s">
        <v>114</v>
      </c>
      <c r="AH25" s="4" t="s">
        <v>115</v>
      </c>
      <c r="AI25" s="4">
        <f ca="1">ROUND(T_Tiktok_ads[[#This Row],[impressions]]*RANDBETWEEN(8,12)/10,0)</f>
        <v>311210</v>
      </c>
      <c r="AJ25" s="4">
        <f ca="1">ROUND(T_Tiktok_ads[[#This Row],[clicks]]*RANDBETWEEN(8,12)/10,0)</f>
        <v>5611</v>
      </c>
      <c r="AK25" s="4">
        <v>967.8</v>
      </c>
      <c r="AL25" s="4">
        <f ca="1">ROUND(T_Tiktok_ads[[#This Row],[conversions]]*RANDBETWEEN(8,12)/10,0)</f>
        <v>88</v>
      </c>
      <c r="AM25" s="4">
        <f ca="1">ROUND(T_Tiktok_ads[[#This Row],[video_views]]*RANDBETWEEN(8,12)/10,0)</f>
        <v>353357</v>
      </c>
      <c r="AN25" s="4">
        <f ca="1">ROUND(T_Tiktok_ads[[#This Row],[video_watch_25]]*RANDBETWEEN(8,12)/10,0)</f>
        <v>207121</v>
      </c>
      <c r="AO25" s="4">
        <f ca="1">ROUND(T_Tiktok_ads[[#This Row],[video_watch_50]]*RANDBETWEEN(8,12)/10,0)</f>
        <v>207890</v>
      </c>
      <c r="AP25" s="4">
        <f ca="1">ROUND(T_Tiktok_ads[[#This Row],[video_watch_75]]*RANDBETWEEN(8,12)/10,0)</f>
        <v>176681</v>
      </c>
      <c r="AQ25" s="4">
        <f ca="1">ROUND(T_Tiktok_ads[[#This Row],[video_watch_100]]*RANDBETWEEN(8,12)/10,0)</f>
        <v>107202</v>
      </c>
      <c r="AR25" s="4">
        <f ca="1">ROUND(T_Tiktok_ads[[#This Row],[likes]]*RANDBETWEEN(8,12)/10,0)</f>
        <v>16901</v>
      </c>
      <c r="AS25" s="4">
        <f ca="1">ROUND(T_Tiktok_ads[[#This Row],[shares]]*RANDBETWEEN(8,12)/10,0)</f>
        <v>4912</v>
      </c>
      <c r="AT25" s="4">
        <f ca="1">ROUND(T_Tiktok_ads[[#This Row],[comments]]*RANDBETWEEN(8,12)/10,0)</f>
        <v>1480</v>
      </c>
      <c r="AV25" s="5">
        <f t="shared" ca="1" si="3"/>
        <v>45284</v>
      </c>
      <c r="AW25">
        <f t="shared" ca="1" si="4"/>
        <v>8</v>
      </c>
      <c r="AX25">
        <f ca="1">ROUND(T_Facebook_Ads115963677175798387919599[[#This Row],[impressions]]*RANDBETWEEN(8,12)/10,0)</f>
        <v>58765</v>
      </c>
      <c r="AY25">
        <f ca="1">ROUND(T_Facebook_Ads115963677175798387919599[[#This Row],[clicks]]*RANDBETWEEN(8,12)/10,0)</f>
        <v>214</v>
      </c>
      <c r="AZ25">
        <f ca="1">T_Facebook_Ads115963677175798387919599[[#This Row],[spend]]*RANDBETWEEN(8,12)/10</f>
        <v>86.503999999999991</v>
      </c>
      <c r="BA25">
        <f ca="1">ROUND(T_Facebook_Ads115963677175798387919599[[#This Row],[conversions]]*RANDBETWEEN(8,12)/10,0)</f>
        <v>10</v>
      </c>
      <c r="BB25">
        <f ca="1">ROUND(T_Facebook_Ads115963677175798387919599[[#This Row],[video_views]]*RANDBETWEEN(8,12)/10,0)</f>
        <v>48118</v>
      </c>
    </row>
    <row r="26" spans="1:54" ht="15.75" thickBot="1" x14ac:dyDescent="0.3">
      <c r="A26" s="3">
        <f t="shared" ca="1" si="0"/>
        <v>45268</v>
      </c>
      <c r="B26" s="4" t="s">
        <v>52</v>
      </c>
      <c r="C26" s="4" t="s">
        <v>53</v>
      </c>
      <c r="D26" s="4" t="s">
        <v>54</v>
      </c>
      <c r="E26" s="4" t="s">
        <v>55</v>
      </c>
      <c r="F26" s="4">
        <f ca="1">ROUND(T_Facebook_Ads[[#This Row],[impressions]]*RANDBETWEEN(8,12)/10,0)</f>
        <v>45111</v>
      </c>
      <c r="G26" s="4">
        <v>1012</v>
      </c>
      <c r="H26" s="4">
        <f ca="1">T_Facebook_Ads[[#This Row],[spend]]*RANDBETWEEN(8,12)/10</f>
        <v>113.35999999999999</v>
      </c>
      <c r="I26" s="4">
        <f ca="1">ROUND(T_Facebook_Ads[[#This Row],[conversions]]*RANDBETWEEN(8,12)/10,0)</f>
        <v>15</v>
      </c>
      <c r="J26" s="4">
        <f ca="1">ROUND(T_Facebook_Ads[[#This Row],[video_views]]*RANDBETWEEN(8,12)/10,0)</f>
        <v>9345</v>
      </c>
      <c r="K26" s="4">
        <f ca="1">T_Facebook_Ads[[#This Row],[engagement_rate]]*RANDBETWEEN(8,12)/10</f>
        <v>2.0199999999999999E-2</v>
      </c>
      <c r="L26" s="4">
        <f ca="1">ROUND(T_Facebook_Ads[[#This Row],[reach]]*RANDBETWEEN(8,12)/10,0)</f>
        <v>46079</v>
      </c>
      <c r="M26" s="4">
        <f ca="1">T_Facebook_Ads[[#This Row],[frequency]]*RANDBETWEEN(8,12)/10</f>
        <v>1.3199999999999998</v>
      </c>
      <c r="O26" s="3">
        <f t="shared" ca="1" si="1"/>
        <v>45283</v>
      </c>
      <c r="P26" s="4" t="s">
        <v>76</v>
      </c>
      <c r="Q26" s="4" t="s">
        <v>77</v>
      </c>
      <c r="R26" s="4" t="s">
        <v>78</v>
      </c>
      <c r="S26" s="4" t="s">
        <v>79</v>
      </c>
      <c r="T26" s="4">
        <f ca="1">ROUND(_Google_ads[[#This Row],[impressions]]*RANDBETWEEN(8,12)/10,0)</f>
        <v>22711</v>
      </c>
      <c r="U26" s="4">
        <f ca="1">ROUND(_Google_ads[[#This Row],[clicks]]*RANDBETWEEN(8,12)/10,0)</f>
        <v>1181</v>
      </c>
      <c r="V26" s="4">
        <f ca="1">_Google_ads[[#This Row],[cost]]*RANDBETWEEN(8,12)/10</f>
        <v>225.27000000000004</v>
      </c>
      <c r="W26" s="4">
        <f ca="1">ROUND(_Google_ads[[#This Row],[conversions]]*RANDBETWEEN(8,12)/10,0)</f>
        <v>59</v>
      </c>
      <c r="X26" s="4">
        <f ca="1">ROUND(_Google_ads[[#This Row],[conversion_value]]*RANDBETWEEN(8,12)/10,0)</f>
        <v>2450</v>
      </c>
      <c r="Y26" s="4">
        <f ca="1">_Google_ads[[#This Row],[ctr]]*RANDBETWEEN(8,12)/10</f>
        <v>4.6799999999999994E-2</v>
      </c>
      <c r="Z26" s="4">
        <f ca="1">_Google_ads[[#This Row],[avg_cpc]]*RANDBETWEEN(8,12)/10</f>
        <v>0.20899999999999999</v>
      </c>
      <c r="AA26" s="4">
        <f ca="1">ROUND(_Google_ads[[#This Row],[quality_score]]*RANDBETWEEN(8,12)/10,0)</f>
        <v>7</v>
      </c>
      <c r="AB26" s="4">
        <f ca="1">_Google_ads[[#This Row],[search_impression_share]]*RANDBETWEEN(8,12)/10</f>
        <v>1.012</v>
      </c>
      <c r="AD26" s="3">
        <f t="shared" ca="1" si="2"/>
        <v>45261</v>
      </c>
      <c r="AE26" s="4" t="s">
        <v>100</v>
      </c>
      <c r="AF26" s="4" t="s">
        <v>101</v>
      </c>
      <c r="AG26" s="4" t="s">
        <v>102</v>
      </c>
      <c r="AH26" s="4" t="s">
        <v>103</v>
      </c>
      <c r="AI26" s="4">
        <f ca="1">ROUND(T_Tiktok_ads[[#This Row],[impressions]]*RANDBETWEEN(8,12)/10,0)</f>
        <v>260111</v>
      </c>
      <c r="AJ26" s="4">
        <f ca="1">ROUND(T_Tiktok_ads[[#This Row],[clicks]]*RANDBETWEEN(8,12)/10,0)</f>
        <v>3387</v>
      </c>
      <c r="AK26" s="4">
        <v>556.70000000000005</v>
      </c>
      <c r="AL26" s="4">
        <f ca="1">ROUND(T_Tiktok_ads[[#This Row],[conversions]]*RANDBETWEEN(8,12)/10,0)</f>
        <v>43</v>
      </c>
      <c r="AM26" s="4">
        <f ca="1">ROUND(T_Tiktok_ads[[#This Row],[video_views]]*RANDBETWEEN(8,12)/10,0)</f>
        <v>258024</v>
      </c>
      <c r="AN26" s="4">
        <f ca="1">ROUND(T_Tiktok_ads[[#This Row],[video_watch_25]]*RANDBETWEEN(8,12)/10,0)</f>
        <v>218814</v>
      </c>
      <c r="AO26" s="4">
        <f ca="1">ROUND(T_Tiktok_ads[[#This Row],[video_watch_50]]*RANDBETWEEN(8,12)/10,0)</f>
        <v>114567</v>
      </c>
      <c r="AP26" s="4">
        <f ca="1">ROUND(T_Tiktok_ads[[#This Row],[video_watch_75]]*RANDBETWEEN(8,12)/10,0)</f>
        <v>92681</v>
      </c>
      <c r="AQ26" s="4">
        <f ca="1">ROUND(T_Tiktok_ads[[#This Row],[video_watch_100]]*RANDBETWEEN(8,12)/10,0)</f>
        <v>46111</v>
      </c>
      <c r="AR26" s="4">
        <f ca="1">ROUND(T_Tiktok_ads[[#This Row],[likes]]*RANDBETWEEN(8,12)/10,0)</f>
        <v>8276</v>
      </c>
      <c r="AS26" s="4">
        <f ca="1">ROUND(T_Tiktok_ads[[#This Row],[shares]]*RANDBETWEEN(8,12)/10,0)</f>
        <v>3068</v>
      </c>
      <c r="AT26" s="4">
        <f ca="1">ROUND(T_Tiktok_ads[[#This Row],[comments]]*RANDBETWEEN(8,12)/10,0)</f>
        <v>590</v>
      </c>
      <c r="AV26" s="5">
        <f t="shared" ca="1" si="3"/>
        <v>45267</v>
      </c>
      <c r="AW26">
        <f t="shared" ca="1" si="4"/>
        <v>8</v>
      </c>
      <c r="AX26">
        <f ca="1">ROUND(T_Facebook_Ads115963677175798387919599[[#This Row],[impressions]]*RANDBETWEEN(8,12)/10,0)</f>
        <v>54133</v>
      </c>
      <c r="AY26">
        <f ca="1">ROUND(T_Facebook_Ads115963677175798387919599[[#This Row],[clicks]]*RANDBETWEEN(8,12)/10,0)</f>
        <v>810</v>
      </c>
      <c r="AZ26">
        <f ca="1">T_Facebook_Ads115963677175798387919599[[#This Row],[spend]]*RANDBETWEEN(8,12)/10</f>
        <v>136.03199999999998</v>
      </c>
      <c r="BA26">
        <f ca="1">ROUND(T_Facebook_Ads115963677175798387919599[[#This Row],[conversions]]*RANDBETWEEN(8,12)/10,0)</f>
        <v>12</v>
      </c>
      <c r="BB26">
        <f ca="1">ROUND(T_Facebook_Ads115963677175798387919599[[#This Row],[video_views]]*RANDBETWEEN(8,12)/10,0)</f>
        <v>10280</v>
      </c>
    </row>
    <row r="27" spans="1:54" ht="15.75" thickBot="1" x14ac:dyDescent="0.3">
      <c r="A27" s="3">
        <f t="shared" ca="1" si="0"/>
        <v>45271</v>
      </c>
      <c r="B27" s="4" t="s">
        <v>60</v>
      </c>
      <c r="C27" s="4" t="s">
        <v>61</v>
      </c>
      <c r="D27" s="4" t="s">
        <v>62</v>
      </c>
      <c r="E27" s="4" t="s">
        <v>63</v>
      </c>
      <c r="F27" s="4">
        <f ca="1">ROUND(T_Facebook_Ads[[#This Row],[impressions]]*RANDBETWEEN(8,12)/10,0)</f>
        <v>36456</v>
      </c>
      <c r="G27" s="4">
        <v>1312</v>
      </c>
      <c r="H27" s="4">
        <f ca="1">T_Facebook_Ads[[#This Row],[spend]]*RANDBETWEEN(8,12)/10</f>
        <v>159.84</v>
      </c>
      <c r="I27" s="4">
        <f ca="1">ROUND(T_Facebook_Ads[[#This Row],[conversions]]*RANDBETWEEN(8,12)/10,0)</f>
        <v>29</v>
      </c>
      <c r="J27" s="4">
        <f ca="1">ROUND(T_Facebook_Ads[[#This Row],[video_views]]*RANDBETWEEN(8,12)/10,0)</f>
        <v>4823</v>
      </c>
      <c r="K27" s="4">
        <f ca="1">T_Facebook_Ads[[#This Row],[engagement_rate]]*RANDBETWEEN(8,12)/10</f>
        <v>3.2399999999999998E-2</v>
      </c>
      <c r="L27" s="4">
        <f ca="1">ROUND(T_Facebook_Ads[[#This Row],[reach]]*RANDBETWEEN(8,12)/10,0)</f>
        <v>36281</v>
      </c>
      <c r="M27" s="4">
        <f ca="1">T_Facebook_Ads[[#This Row],[frequency]]*RANDBETWEEN(8,12)/10</f>
        <v>1.21</v>
      </c>
      <c r="O27" s="3">
        <f t="shared" ca="1" si="1"/>
        <v>45277</v>
      </c>
      <c r="P27" s="4" t="s">
        <v>84</v>
      </c>
      <c r="Q27" s="4" t="s">
        <v>85</v>
      </c>
      <c r="R27" s="4" t="s">
        <v>86</v>
      </c>
      <c r="S27" s="4" t="s">
        <v>87</v>
      </c>
      <c r="T27" s="4">
        <f ca="1">ROUND(_Google_ads[[#This Row],[impressions]]*RANDBETWEEN(8,12)/10,0)</f>
        <v>58765</v>
      </c>
      <c r="U27" s="4">
        <f ca="1">ROUND(_Google_ads[[#This Row],[clicks]]*RANDBETWEEN(8,12)/10,0)</f>
        <v>2665</v>
      </c>
      <c r="V27" s="4">
        <f ca="1">_Google_ads[[#This Row],[cost]]*RANDBETWEEN(8,12)/10</f>
        <v>530.16000000000008</v>
      </c>
      <c r="W27" s="4">
        <f ca="1">ROUND(_Google_ads[[#This Row],[conversions]]*RANDBETWEEN(8,12)/10,0)</f>
        <v>77</v>
      </c>
      <c r="X27" s="4">
        <f ca="1">ROUND(_Google_ads[[#This Row],[conversion_value]]*RANDBETWEEN(8,12)/10,0)</f>
        <v>2800</v>
      </c>
      <c r="Y27" s="4">
        <f ca="1">_Google_ads[[#This Row],[ctr]]*RANDBETWEEN(8,12)/10</f>
        <v>2.64E-2</v>
      </c>
      <c r="Z27" s="4">
        <f ca="1">_Google_ads[[#This Row],[avg_cpc]]*RANDBETWEEN(8,12)/10</f>
        <v>0.14399999999999999</v>
      </c>
      <c r="AA27" s="4">
        <f ca="1">ROUND(_Google_ads[[#This Row],[quality_score]]*RANDBETWEEN(8,12)/10,0)</f>
        <v>8</v>
      </c>
      <c r="AB27" s="4">
        <f ca="1">_Google_ads[[#This Row],[search_impression_share]]*RANDBETWEEN(8,12)/10</f>
        <v>0.748</v>
      </c>
      <c r="AD27" s="3">
        <f t="shared" ca="1" si="2"/>
        <v>45269</v>
      </c>
      <c r="AE27" s="4" t="s">
        <v>108</v>
      </c>
      <c r="AF27" s="4" t="s">
        <v>109</v>
      </c>
      <c r="AG27" s="4" t="s">
        <v>110</v>
      </c>
      <c r="AH27" s="4" t="s">
        <v>111</v>
      </c>
      <c r="AI27" s="4">
        <f ca="1">ROUND(T_Tiktok_ads[[#This Row],[impressions]]*RANDBETWEEN(8,12)/10,0)</f>
        <v>218901</v>
      </c>
      <c r="AJ27" s="4">
        <f ca="1">ROUND(T_Tiktok_ads[[#This Row],[clicks]]*RANDBETWEEN(8,12)/10,0)</f>
        <v>4147</v>
      </c>
      <c r="AK27" s="4">
        <v>414.4</v>
      </c>
      <c r="AL27" s="4">
        <f ca="1">ROUND(T_Tiktok_ads[[#This Row],[conversions]]*RANDBETWEEN(8,12)/10,0)</f>
        <v>26</v>
      </c>
      <c r="AM27" s="4">
        <f ca="1">ROUND(T_Tiktok_ads[[#This Row],[video_views]]*RANDBETWEEN(8,12)/10,0)</f>
        <v>138765</v>
      </c>
      <c r="AN27" s="4">
        <f ca="1">ROUND(T_Tiktok_ads[[#This Row],[video_watch_25]]*RANDBETWEEN(8,12)/10,0)</f>
        <v>131567</v>
      </c>
      <c r="AO27" s="4">
        <f ca="1">ROUND(T_Tiktok_ads[[#This Row],[video_watch_50]]*RANDBETWEEN(8,12)/10,0)</f>
        <v>124280</v>
      </c>
      <c r="AP27" s="4">
        <f ca="1">ROUND(T_Tiktok_ads[[#This Row],[video_watch_75]]*RANDBETWEEN(8,12)/10,0)</f>
        <v>67234</v>
      </c>
      <c r="AQ27" s="4">
        <f ca="1">ROUND(T_Tiktok_ads[[#This Row],[video_watch_100]]*RANDBETWEEN(8,12)/10,0)</f>
        <v>32454</v>
      </c>
      <c r="AR27" s="4">
        <f ca="1">ROUND(T_Tiktok_ads[[#This Row],[likes]]*RANDBETWEEN(8,12)/10,0)</f>
        <v>9614</v>
      </c>
      <c r="AS27" s="4">
        <f ca="1">ROUND(T_Tiktok_ads[[#This Row],[shares]]*RANDBETWEEN(8,12)/10,0)</f>
        <v>2201</v>
      </c>
      <c r="AT27" s="4">
        <f ca="1">ROUND(T_Tiktok_ads[[#This Row],[comments]]*RANDBETWEEN(8,12)/10,0)</f>
        <v>471</v>
      </c>
      <c r="AV27" s="5">
        <f t="shared" ca="1" si="3"/>
        <v>45275</v>
      </c>
      <c r="AW27">
        <f t="shared" ca="1" si="4"/>
        <v>2</v>
      </c>
      <c r="AX27">
        <f ca="1">ROUND(T_Facebook_Ads115963677175798387919599[[#This Row],[impressions]]*RANDBETWEEN(8,12)/10,0)</f>
        <v>43747</v>
      </c>
      <c r="AY27">
        <f ca="1">ROUND(T_Facebook_Ads115963677175798387919599[[#This Row],[clicks]]*RANDBETWEEN(8,12)/10,0)</f>
        <v>1443</v>
      </c>
      <c r="AZ27">
        <f ca="1">T_Facebook_Ads115963677175798387919599[[#This Row],[spend]]*RANDBETWEEN(8,12)/10</f>
        <v>159.84</v>
      </c>
      <c r="BA27">
        <f ca="1">ROUND(T_Facebook_Ads115963677175798387919599[[#This Row],[conversions]]*RANDBETWEEN(8,12)/10,0)</f>
        <v>29</v>
      </c>
      <c r="BB27">
        <f ca="1">ROUND(T_Facebook_Ads115963677175798387919599[[#This Row],[video_views]]*RANDBETWEEN(8,12)/10,0)</f>
        <v>3858</v>
      </c>
    </row>
    <row r="28" spans="1:54" ht="15.75" thickBot="1" x14ac:dyDescent="0.3">
      <c r="A28" s="3">
        <f t="shared" ca="1" si="0"/>
        <v>45270</v>
      </c>
      <c r="B28" s="4" t="s">
        <v>64</v>
      </c>
      <c r="C28" s="4" t="s">
        <v>65</v>
      </c>
      <c r="D28" s="4" t="s">
        <v>66</v>
      </c>
      <c r="E28" s="4" t="s">
        <v>67</v>
      </c>
      <c r="F28" s="4">
        <f ca="1">ROUND(T_Facebook_Ads[[#This Row],[impressions]]*RANDBETWEEN(8,12)/10,0)</f>
        <v>77135</v>
      </c>
      <c r="G28" s="4">
        <v>253</v>
      </c>
      <c r="H28" s="4">
        <f ca="1">T_Facebook_Ads[[#This Row],[spend]]*RANDBETWEEN(8,12)/10</f>
        <v>84.24</v>
      </c>
      <c r="I28" s="4">
        <f ca="1">ROUND(T_Facebook_Ads[[#This Row],[conversions]]*RANDBETWEEN(8,12)/10,0)</f>
        <v>7</v>
      </c>
      <c r="J28" s="4">
        <f ca="1">ROUND(T_Facebook_Ads[[#This Row],[video_views]]*RANDBETWEEN(8,12)/10,0)</f>
        <v>38587</v>
      </c>
      <c r="K28" s="4">
        <f ca="1">T_Facebook_Ads[[#This Row],[engagement_rate]]*RANDBETWEEN(8,12)/10</f>
        <v>3.5999999999999999E-3</v>
      </c>
      <c r="L28" s="4">
        <f ca="1">ROUND(T_Facebook_Ads[[#This Row],[reach]]*RANDBETWEEN(8,12)/10,0)</f>
        <v>52610</v>
      </c>
      <c r="M28" s="4">
        <f ca="1">T_Facebook_Ads[[#This Row],[frequency]]*RANDBETWEEN(8,12)/10</f>
        <v>1.3199999999999998</v>
      </c>
      <c r="O28" s="3">
        <f t="shared" ca="1" si="1"/>
        <v>45284</v>
      </c>
      <c r="P28" s="4" t="s">
        <v>88</v>
      </c>
      <c r="Q28" s="4" t="s">
        <v>89</v>
      </c>
      <c r="R28" s="4" t="s">
        <v>90</v>
      </c>
      <c r="S28" s="4" t="s">
        <v>59</v>
      </c>
      <c r="T28" s="4">
        <f ca="1">ROUND(_Google_ads[[#This Row],[impressions]]*RANDBETWEEN(8,12)/10,0)</f>
        <v>103476</v>
      </c>
      <c r="U28" s="4">
        <f ca="1">ROUND(_Google_ads[[#This Row],[clicks]]*RANDBETWEEN(8,12)/10,0)</f>
        <v>456</v>
      </c>
      <c r="V28" s="4">
        <f ca="1">_Google_ads[[#This Row],[cost]]*RANDBETWEEN(8,12)/10</f>
        <v>138.16</v>
      </c>
      <c r="W28" s="4">
        <f ca="1">ROUND(_Google_ads[[#This Row],[conversions]]*RANDBETWEEN(8,12)/10,0)</f>
        <v>10</v>
      </c>
      <c r="X28" s="4">
        <f ca="1">ROUND(_Google_ads[[#This Row],[conversion_value]]*RANDBETWEEN(8,12)/10,0)</f>
        <v>660</v>
      </c>
      <c r="Y28" s="4">
        <f ca="1">_Google_ads[[#This Row],[ctr]]*RANDBETWEEN(8,12)/10</f>
        <v>3.5000000000000005E-3</v>
      </c>
      <c r="Z28" s="4">
        <f ca="1">_Google_ads[[#This Row],[avg_cpc]]*RANDBETWEEN(8,12)/10</f>
        <v>0.33600000000000002</v>
      </c>
      <c r="AA28" s="4">
        <f ca="1">ROUND(_Google_ads[[#This Row],[quality_score]]*RANDBETWEEN(8,12)/10,0)</f>
        <v>7</v>
      </c>
      <c r="AB28" s="4">
        <f ca="1">_Google_ads[[#This Row],[search_impression_share]]*RANDBETWEEN(8,12)/10</f>
        <v>0.41999999999999993</v>
      </c>
      <c r="AD28" s="3">
        <f t="shared" ca="1" si="2"/>
        <v>45281</v>
      </c>
      <c r="AE28" s="4" t="s">
        <v>112</v>
      </c>
      <c r="AF28" s="4" t="s">
        <v>113</v>
      </c>
      <c r="AG28" s="4" t="s">
        <v>114</v>
      </c>
      <c r="AH28" s="4" t="s">
        <v>115</v>
      </c>
      <c r="AI28" s="4">
        <f ca="1">ROUND(T_Tiktok_ads[[#This Row],[impressions]]*RANDBETWEEN(8,12)/10,0)</f>
        <v>441357</v>
      </c>
      <c r="AJ28" s="4">
        <f ca="1">ROUND(T_Tiktok_ads[[#This Row],[clicks]]*RANDBETWEEN(8,12)/10,0)</f>
        <v>5810</v>
      </c>
      <c r="AK28" s="4">
        <v>989.9</v>
      </c>
      <c r="AL28" s="4">
        <f ca="1">ROUND(T_Tiktok_ads[[#This Row],[conversions]]*RANDBETWEEN(8,12)/10,0)</f>
        <v>111</v>
      </c>
      <c r="AM28" s="4">
        <f ca="1">ROUND(T_Tiktok_ads[[#This Row],[video_views]]*RANDBETWEEN(8,12)/10,0)</f>
        <v>299111</v>
      </c>
      <c r="AN28" s="4">
        <f ca="1">ROUND(T_Tiktok_ads[[#This Row],[video_watch_25]]*RANDBETWEEN(8,12)/10,0)</f>
        <v>241101</v>
      </c>
      <c r="AO28" s="4">
        <f ca="1">ROUND(T_Tiktok_ads[[#This Row],[video_watch_50]]*RANDBETWEEN(8,12)/10,0)</f>
        <v>193110</v>
      </c>
      <c r="AP28" s="4">
        <f ca="1">ROUND(T_Tiktok_ads[[#This Row],[video_watch_75]]*RANDBETWEEN(8,12)/10,0)</f>
        <v>181481</v>
      </c>
      <c r="AQ28" s="4">
        <f ca="1">ROUND(T_Tiktok_ads[[#This Row],[video_watch_100]]*RANDBETWEEN(8,12)/10,0)</f>
        <v>89610</v>
      </c>
      <c r="AR28" s="4">
        <f ca="1">ROUND(T_Tiktok_ads[[#This Row],[likes]]*RANDBETWEEN(8,12)/10,0)</f>
        <v>20681</v>
      </c>
      <c r="AS28" s="4">
        <f ca="1">ROUND(T_Tiktok_ads[[#This Row],[shares]]*RANDBETWEEN(8,12)/10,0)</f>
        <v>5513</v>
      </c>
      <c r="AT28" s="4">
        <f ca="1">ROUND(T_Tiktok_ads[[#This Row],[comments]]*RANDBETWEEN(8,12)/10,0)</f>
        <v>1516</v>
      </c>
      <c r="AV28" s="5">
        <f t="shared" ca="1" si="3"/>
        <v>45278</v>
      </c>
      <c r="AW28">
        <f t="shared" ca="1" si="4"/>
        <v>2</v>
      </c>
      <c r="AX28">
        <f ca="1">ROUND(T_Facebook_Ads115963677175798387919599[[#This Row],[impressions]]*RANDBETWEEN(8,12)/10,0)</f>
        <v>84849</v>
      </c>
      <c r="AY28">
        <f ca="1">ROUND(T_Facebook_Ads115963677175798387919599[[#This Row],[clicks]]*RANDBETWEEN(8,12)/10,0)</f>
        <v>304</v>
      </c>
      <c r="AZ28">
        <f ca="1">T_Facebook_Ads115963677175798387919599[[#This Row],[spend]]*RANDBETWEEN(8,12)/10</f>
        <v>101.08799999999999</v>
      </c>
      <c r="BA28">
        <f ca="1">ROUND(T_Facebook_Ads115963677175798387919599[[#This Row],[conversions]]*RANDBETWEEN(8,12)/10,0)</f>
        <v>7</v>
      </c>
      <c r="BB28">
        <f ca="1">ROUND(T_Facebook_Ads115963677175798387919599[[#This Row],[video_views]]*RANDBETWEEN(8,12)/10,0)</f>
        <v>38587</v>
      </c>
    </row>
    <row r="29" spans="1:54" ht="15.75" thickBot="1" x14ac:dyDescent="0.3">
      <c r="A29" s="3">
        <f t="shared" ca="1" si="0"/>
        <v>45262</v>
      </c>
      <c r="B29" s="4" t="s">
        <v>52</v>
      </c>
      <c r="C29" s="4" t="s">
        <v>53</v>
      </c>
      <c r="D29" s="4" t="s">
        <v>54</v>
      </c>
      <c r="E29" s="4" t="s">
        <v>55</v>
      </c>
      <c r="F29" s="4">
        <f ca="1">ROUND(T_Facebook_Ads[[#This Row],[impressions]]*RANDBETWEEN(8,12)/10,0)</f>
        <v>48567</v>
      </c>
      <c r="G29" s="4">
        <v>978</v>
      </c>
      <c r="H29" s="4">
        <f ca="1">T_Facebook_Ads[[#This Row],[spend]]*RANDBETWEEN(8,12)/10</f>
        <v>151.58000000000001</v>
      </c>
      <c r="I29" s="4">
        <f ca="1">ROUND(T_Facebook_Ads[[#This Row],[conversions]]*RANDBETWEEN(8,12)/10,0)</f>
        <v>15</v>
      </c>
      <c r="J29" s="4">
        <f ca="1">ROUND(T_Facebook_Ads[[#This Row],[video_views]]*RANDBETWEEN(8,12)/10,0)</f>
        <v>8945</v>
      </c>
      <c r="K29" s="4">
        <f ca="1">T_Facebook_Ads[[#This Row],[engagement_rate]]*RANDBETWEEN(8,12)/10</f>
        <v>2.01E-2</v>
      </c>
      <c r="L29" s="4">
        <f ca="1">ROUND(T_Facebook_Ads[[#This Row],[reach]]*RANDBETWEEN(8,12)/10,0)</f>
        <v>32365</v>
      </c>
      <c r="M29" s="4">
        <f ca="1">T_Facebook_Ads[[#This Row],[frequency]]*RANDBETWEEN(8,12)/10</f>
        <v>1.2</v>
      </c>
      <c r="O29" s="3">
        <f t="shared" ca="1" si="1"/>
        <v>45290</v>
      </c>
      <c r="P29" s="4" t="s">
        <v>76</v>
      </c>
      <c r="Q29" s="4" t="s">
        <v>77</v>
      </c>
      <c r="R29" s="4" t="s">
        <v>78</v>
      </c>
      <c r="S29" s="4" t="s">
        <v>79</v>
      </c>
      <c r="T29" s="4">
        <f ca="1">ROUND(_Google_ads[[#This Row],[impressions]]*RANDBETWEEN(8,12)/10,0)</f>
        <v>27146</v>
      </c>
      <c r="U29" s="4">
        <f ca="1">ROUND(_Google_ads[[#This Row],[clicks]]*RANDBETWEEN(8,12)/10,0)</f>
        <v>1160</v>
      </c>
      <c r="V29" s="4">
        <f ca="1">_Google_ads[[#This Row],[cost]]*RANDBETWEEN(8,12)/10</f>
        <v>245.9</v>
      </c>
      <c r="W29" s="4">
        <f ca="1">ROUND(_Google_ads[[#This Row],[conversions]]*RANDBETWEEN(8,12)/10,0)</f>
        <v>43</v>
      </c>
      <c r="X29" s="4">
        <f ca="1">ROUND(_Google_ads[[#This Row],[conversion_value]]*RANDBETWEEN(8,12)/10,0)</f>
        <v>1920</v>
      </c>
      <c r="Y29" s="4">
        <f ca="1">_Google_ads[[#This Row],[ctr]]*RANDBETWEEN(8,12)/10</f>
        <v>5.7420000000000006E-2</v>
      </c>
      <c r="Z29" s="4">
        <f ca="1">_Google_ads[[#This Row],[avg_cpc]]*RANDBETWEEN(8,12)/10</f>
        <v>0.20899999999999999</v>
      </c>
      <c r="AA29" s="4">
        <f ca="1">ROUND(_Google_ads[[#This Row],[quality_score]]*RANDBETWEEN(8,12)/10,0)</f>
        <v>8</v>
      </c>
      <c r="AB29" s="4">
        <f ca="1">_Google_ads[[#This Row],[search_impression_share]]*RANDBETWEEN(8,12)/10</f>
        <v>0.72799999999999998</v>
      </c>
      <c r="AD29" s="3">
        <f t="shared" ca="1" si="2"/>
        <v>45284</v>
      </c>
      <c r="AE29" s="4" t="s">
        <v>100</v>
      </c>
      <c r="AF29" s="4" t="s">
        <v>101</v>
      </c>
      <c r="AG29" s="4" t="s">
        <v>102</v>
      </c>
      <c r="AH29" s="4" t="s">
        <v>103</v>
      </c>
      <c r="AI29" s="4">
        <f ca="1">ROUND(T_Tiktok_ads[[#This Row],[impressions]]*RANDBETWEEN(8,12)/10,0)</f>
        <v>307481</v>
      </c>
      <c r="AJ29" s="4">
        <f ca="1">ROUND(T_Tiktok_ads[[#This Row],[clicks]]*RANDBETWEEN(8,12)/10,0)</f>
        <v>4441</v>
      </c>
      <c r="AK29" s="4">
        <v>490.5</v>
      </c>
      <c r="AL29" s="4">
        <f ca="1">ROUND(T_Tiktok_ads[[#This Row],[conversions]]*RANDBETWEEN(8,12)/10,0)</f>
        <v>30</v>
      </c>
      <c r="AM29" s="4">
        <f ca="1">ROUND(T_Tiktok_ads[[#This Row],[video_views]]*RANDBETWEEN(8,12)/10,0)</f>
        <v>167387</v>
      </c>
      <c r="AN29" s="4">
        <f ca="1">ROUND(T_Tiktok_ads[[#This Row],[video_watch_25]]*RANDBETWEEN(8,12)/10,0)</f>
        <v>196280</v>
      </c>
      <c r="AO29" s="4">
        <f ca="1">ROUND(T_Tiktok_ads[[#This Row],[video_watch_50]]*RANDBETWEEN(8,12)/10,0)</f>
        <v>102567</v>
      </c>
      <c r="AP29" s="4">
        <f ca="1">ROUND(T_Tiktok_ads[[#This Row],[video_watch_75]]*RANDBETWEEN(8,12)/10,0)</f>
        <v>83480</v>
      </c>
      <c r="AQ29" s="4">
        <f ca="1">ROUND(T_Tiktok_ads[[#This Row],[video_watch_100]]*RANDBETWEEN(8,12)/10,0)</f>
        <v>51224</v>
      </c>
      <c r="AR29" s="4">
        <f ca="1">ROUND(T_Tiktok_ads[[#This Row],[likes]]*RANDBETWEEN(8,12)/10,0)</f>
        <v>7298</v>
      </c>
      <c r="AS29" s="4">
        <f ca="1">ROUND(T_Tiktok_ads[[#This Row],[shares]]*RANDBETWEEN(8,12)/10,0)</f>
        <v>2181</v>
      </c>
      <c r="AT29" s="4">
        <f ca="1">ROUND(T_Tiktok_ads[[#This Row],[comments]]*RANDBETWEEN(8,12)/10,0)</f>
        <v>541</v>
      </c>
      <c r="AV29" s="5">
        <f t="shared" ca="1" si="3"/>
        <v>45265</v>
      </c>
      <c r="AW29">
        <f t="shared" ca="1" si="4"/>
        <v>7</v>
      </c>
      <c r="AX29">
        <f ca="1">ROUND(T_Facebook_Ads115963677175798387919599[[#This Row],[impressions]]*RANDBETWEEN(8,12)/10,0)</f>
        <v>48567</v>
      </c>
      <c r="AY29">
        <f ca="1">ROUND(T_Facebook_Ads115963677175798387919599[[#This Row],[clicks]]*RANDBETWEEN(8,12)/10,0)</f>
        <v>782</v>
      </c>
      <c r="AZ29">
        <f ca="1">T_Facebook_Ads115963677175798387919599[[#This Row],[spend]]*RANDBETWEEN(8,12)/10</f>
        <v>181.89600000000002</v>
      </c>
      <c r="BA29">
        <f ca="1">ROUND(T_Facebook_Ads115963677175798387919599[[#This Row],[conversions]]*RANDBETWEEN(8,12)/10,0)</f>
        <v>18</v>
      </c>
      <c r="BB29">
        <f ca="1">ROUND(T_Facebook_Ads115963677175798387919599[[#This Row],[video_views]]*RANDBETWEEN(8,12)/10,0)</f>
        <v>9840</v>
      </c>
    </row>
    <row r="30" spans="1:54" ht="15.75" thickBot="1" x14ac:dyDescent="0.3">
      <c r="A30" s="3">
        <f t="shared" ca="1" si="0"/>
        <v>45263</v>
      </c>
      <c r="B30" s="4" t="s">
        <v>56</v>
      </c>
      <c r="C30" s="4" t="s">
        <v>57</v>
      </c>
      <c r="D30" s="4" t="s">
        <v>58</v>
      </c>
      <c r="E30" s="4" t="s">
        <v>59</v>
      </c>
      <c r="F30" s="4">
        <f ca="1">ROUND(T_Facebook_Ads[[#This Row],[impressions]]*RANDBETWEEN(8,12)/10,0)</f>
        <v>16547</v>
      </c>
      <c r="G30" s="4">
        <v>645</v>
      </c>
      <c r="H30" s="4">
        <f ca="1">T_Facebook_Ads[[#This Row],[spend]]*RANDBETWEEN(8,12)/10</f>
        <v>192.95999999999998</v>
      </c>
      <c r="I30" s="4">
        <f ca="1">ROUND(T_Facebook_Ads[[#This Row],[conversions]]*RANDBETWEEN(8,12)/10,0)</f>
        <v>41</v>
      </c>
      <c r="J30" s="4">
        <f ca="1">ROUND(T_Facebook_Ads[[#This Row],[video_views]]*RANDBETWEEN(8,12)/10,0)</f>
        <v>1638</v>
      </c>
      <c r="K30" s="4">
        <f ca="1">T_Facebook_Ads[[#This Row],[engagement_rate]]*RANDBETWEEN(8,12)/10</f>
        <v>3.7440000000000001E-2</v>
      </c>
      <c r="L30" s="4">
        <f ca="1">ROUND(T_Facebook_Ads[[#This Row],[reach]]*RANDBETWEEN(8,12)/10,0)</f>
        <v>12947</v>
      </c>
      <c r="M30" s="4">
        <f ca="1">T_Facebook_Ads[[#This Row],[frequency]]*RANDBETWEEN(8,12)/10</f>
        <v>1.28</v>
      </c>
      <c r="O30" s="3">
        <f t="shared" ca="1" si="1"/>
        <v>45282</v>
      </c>
      <c r="P30" s="4" t="s">
        <v>80</v>
      </c>
      <c r="Q30" s="4" t="s">
        <v>81</v>
      </c>
      <c r="R30" s="4" t="s">
        <v>82</v>
      </c>
      <c r="S30" s="4" t="s">
        <v>83</v>
      </c>
      <c r="T30" s="4">
        <f ca="1">ROUND(_Google_ads[[#This Row],[impressions]]*RANDBETWEEN(8,12)/10,0)</f>
        <v>54281</v>
      </c>
      <c r="U30" s="4">
        <f ca="1">ROUND(_Google_ads[[#This Row],[clicks]]*RANDBETWEEN(8,12)/10,0)</f>
        <v>721</v>
      </c>
      <c r="V30" s="4">
        <f ca="1">_Google_ads[[#This Row],[cost]]*RANDBETWEEN(8,12)/10</f>
        <v>694.68</v>
      </c>
      <c r="W30" s="4">
        <f ca="1">ROUND(_Google_ads[[#This Row],[conversions]]*RANDBETWEEN(8,12)/10,0)</f>
        <v>28</v>
      </c>
      <c r="X30" s="4">
        <f ca="1">ROUND(_Google_ads[[#This Row],[conversion_value]]*RANDBETWEEN(8,12)/10,0)</f>
        <v>920</v>
      </c>
      <c r="Y30" s="4">
        <f ca="1">_Google_ads[[#This Row],[ctr]]*RANDBETWEEN(8,12)/10</f>
        <v>2.189E-2</v>
      </c>
      <c r="Z30" s="4">
        <f ca="1">_Google_ads[[#This Row],[avg_cpc]]*RANDBETWEEN(8,12)/10</f>
        <v>0.70399999999999996</v>
      </c>
      <c r="AA30" s="4">
        <f ca="1">ROUND(_Google_ads[[#This Row],[quality_score]]*RANDBETWEEN(8,12)/10,0)</f>
        <v>7</v>
      </c>
      <c r="AB30" s="4">
        <f ca="1">_Google_ads[[#This Row],[search_impression_share]]*RANDBETWEEN(8,12)/10</f>
        <v>0.495</v>
      </c>
      <c r="AD30" s="3">
        <f t="shared" ca="1" si="2"/>
        <v>45264</v>
      </c>
      <c r="AE30" s="4" t="s">
        <v>104</v>
      </c>
      <c r="AF30" s="4" t="s">
        <v>105</v>
      </c>
      <c r="AG30" s="4" t="s">
        <v>106</v>
      </c>
      <c r="AH30" s="4" t="s">
        <v>107</v>
      </c>
      <c r="AI30" s="4">
        <f ca="1">ROUND(T_Tiktok_ads[[#This Row],[impressions]]*RANDBETWEEN(8,12)/10,0)</f>
        <v>131110</v>
      </c>
      <c r="AJ30" s="4">
        <f ca="1">ROUND(T_Tiktok_ads[[#This Row],[clicks]]*RANDBETWEEN(8,12)/10,0)</f>
        <v>3347</v>
      </c>
      <c r="AK30" s="4">
        <v>756.7</v>
      </c>
      <c r="AL30" s="4">
        <f ca="1">ROUND(T_Tiktok_ads[[#This Row],[conversions]]*RANDBETWEEN(8,12)/10,0)</f>
        <v>84</v>
      </c>
      <c r="AM30" s="4">
        <f ca="1">ROUND(T_Tiktok_ads[[#This Row],[video_views]]*RANDBETWEEN(8,12)/10,0)</f>
        <v>80987</v>
      </c>
      <c r="AN30" s="4">
        <f ca="1">ROUND(T_Tiktok_ads[[#This Row],[video_watch_25]]*RANDBETWEEN(8,12)/10,0)</f>
        <v>74567</v>
      </c>
      <c r="AO30" s="4">
        <f ca="1">ROUND(T_Tiktok_ads[[#This Row],[video_watch_50]]*RANDBETWEEN(8,12)/10,0)</f>
        <v>50234</v>
      </c>
      <c r="AP30" s="4">
        <f ca="1">ROUND(T_Tiktok_ads[[#This Row],[video_watch_75]]*RANDBETWEEN(8,12)/10,0)</f>
        <v>45468</v>
      </c>
      <c r="AQ30" s="4">
        <f ca="1">ROUND(T_Tiktok_ads[[#This Row],[video_watch_100]]*RANDBETWEEN(8,12)/10,0)</f>
        <v>30281</v>
      </c>
      <c r="AR30" s="4">
        <f ca="1">ROUND(T_Tiktok_ads[[#This Row],[likes]]*RANDBETWEEN(8,12)/10,0)</f>
        <v>5012</v>
      </c>
      <c r="AS30" s="4">
        <f ca="1">ROUND(T_Tiktok_ads[[#This Row],[shares]]*RANDBETWEEN(8,12)/10,0)</f>
        <v>1565</v>
      </c>
      <c r="AT30" s="4">
        <f ca="1">ROUND(T_Tiktok_ads[[#This Row],[comments]]*RANDBETWEEN(8,12)/10,0)</f>
        <v>320</v>
      </c>
      <c r="AV30" s="5">
        <f t="shared" ca="1" si="3"/>
        <v>45272</v>
      </c>
      <c r="AW30">
        <f t="shared" ca="1" si="4"/>
        <v>8</v>
      </c>
      <c r="AX30">
        <f ca="1">ROUND(T_Facebook_Ads115963677175798387919599[[#This Row],[impressions]]*RANDBETWEEN(8,12)/10,0)</f>
        <v>18202</v>
      </c>
      <c r="AY30">
        <f ca="1">ROUND(T_Facebook_Ads115963677175798387919599[[#This Row],[clicks]]*RANDBETWEEN(8,12)/10,0)</f>
        <v>645</v>
      </c>
      <c r="AZ30">
        <f ca="1">T_Facebook_Ads115963677175798387919599[[#This Row],[spend]]*RANDBETWEEN(8,12)/10</f>
        <v>212.256</v>
      </c>
      <c r="BA30">
        <f ca="1">ROUND(T_Facebook_Ads115963677175798387919599[[#This Row],[conversions]]*RANDBETWEEN(8,12)/10,0)</f>
        <v>45</v>
      </c>
      <c r="BB30">
        <f ca="1">ROUND(T_Facebook_Ads115963677175798387919599[[#This Row],[video_views]]*RANDBETWEEN(8,12)/10,0)</f>
        <v>1638</v>
      </c>
    </row>
    <row r="31" spans="1:54" ht="15.75" thickBot="1" x14ac:dyDescent="0.3">
      <c r="A31" s="3">
        <f t="shared" ca="1" si="0"/>
        <v>45279</v>
      </c>
      <c r="B31" s="4" t="s">
        <v>60</v>
      </c>
      <c r="C31" s="4" t="s">
        <v>61</v>
      </c>
      <c r="D31" s="4" t="s">
        <v>62</v>
      </c>
      <c r="E31" s="4" t="s">
        <v>63</v>
      </c>
      <c r="F31" s="4">
        <f ca="1">ROUND(T_Facebook_Ads[[#This Row],[impressions]]*RANDBETWEEN(8,12)/10,0)</f>
        <v>34610</v>
      </c>
      <c r="G31" s="4">
        <v>1423</v>
      </c>
      <c r="H31" s="4">
        <f ca="1">T_Facebook_Ads[[#This Row],[spend]]*RANDBETWEEN(8,12)/10</f>
        <v>261</v>
      </c>
      <c r="I31" s="4">
        <f ca="1">ROUND(T_Facebook_Ads[[#This Row],[conversions]]*RANDBETWEEN(8,12)/10,0)</f>
        <v>29</v>
      </c>
      <c r="J31" s="4">
        <f ca="1">ROUND(T_Facebook_Ads[[#This Row],[video_views]]*RANDBETWEEN(8,12)/10,0)</f>
        <v>5635</v>
      </c>
      <c r="K31" s="4">
        <f ca="1">T_Facebook_Ads[[#This Row],[engagement_rate]]*RANDBETWEEN(8,12)/10</f>
        <v>3.3299999999999996E-2</v>
      </c>
      <c r="L31" s="4">
        <f ca="1">ROUND(T_Facebook_Ads[[#This Row],[reach]]*RANDBETWEEN(8,12)/10,0)</f>
        <v>24987</v>
      </c>
      <c r="M31" s="4">
        <f ca="1">T_Facebook_Ads[[#This Row],[frequency]]*RANDBETWEEN(8,12)/10</f>
        <v>1.476</v>
      </c>
      <c r="O31" s="3">
        <f t="shared" ca="1" si="1"/>
        <v>45277</v>
      </c>
      <c r="P31" s="4" t="s">
        <v>84</v>
      </c>
      <c r="Q31" s="4" t="s">
        <v>85</v>
      </c>
      <c r="R31" s="4" t="s">
        <v>86</v>
      </c>
      <c r="S31" s="4" t="s">
        <v>87</v>
      </c>
      <c r="T31" s="4">
        <f ca="1">ROUND(_Google_ads[[#This Row],[impressions]]*RANDBETWEEN(8,12)/10,0)</f>
        <v>75791</v>
      </c>
      <c r="U31" s="4">
        <f ca="1">ROUND(_Google_ads[[#This Row],[clicks]]*RANDBETWEEN(8,12)/10,0)</f>
        <v>2494</v>
      </c>
      <c r="V31" s="4">
        <f ca="1">_Google_ads[[#This Row],[cost]]*RANDBETWEEN(8,12)/10</f>
        <v>497.03999999999996</v>
      </c>
      <c r="W31" s="4">
        <f ca="1">ROUND(_Google_ads[[#This Row],[conversions]]*RANDBETWEEN(8,12)/10,0)</f>
        <v>77</v>
      </c>
      <c r="X31" s="4">
        <f ca="1">ROUND(_Google_ads[[#This Row],[conversion_value]]*RANDBETWEEN(8,12)/10,0)</f>
        <v>2560</v>
      </c>
      <c r="Y31" s="4">
        <f ca="1">_Google_ads[[#This Row],[ctr]]*RANDBETWEEN(8,12)/10</f>
        <v>3.2899999999999999E-2</v>
      </c>
      <c r="Z31" s="4">
        <f ca="1">_Google_ads[[#This Row],[avg_cpc]]*RANDBETWEEN(8,12)/10</f>
        <v>0.16199999999999998</v>
      </c>
      <c r="AA31" s="4">
        <f ca="1">ROUND(_Google_ads[[#This Row],[quality_score]]*RANDBETWEEN(8,12)/10,0)</f>
        <v>7</v>
      </c>
      <c r="AB31" s="4">
        <f ca="1">_Google_ads[[#This Row],[search_impression_share]]*RANDBETWEEN(8,12)/10</f>
        <v>0.73699999999999999</v>
      </c>
      <c r="AD31" s="3">
        <f t="shared" ca="1" si="2"/>
        <v>45275</v>
      </c>
      <c r="AE31" s="4" t="s">
        <v>108</v>
      </c>
      <c r="AF31" s="4" t="s">
        <v>109</v>
      </c>
      <c r="AG31" s="4" t="s">
        <v>110</v>
      </c>
      <c r="AH31" s="4" t="s">
        <v>111</v>
      </c>
      <c r="AI31" s="4">
        <f ca="1">ROUND(T_Tiktok_ads[[#This Row],[impressions]]*RANDBETWEEN(8,12)/10,0)</f>
        <v>268147</v>
      </c>
      <c r="AJ31" s="4">
        <f ca="1">ROUND(T_Tiktok_ads[[#This Row],[clicks]]*RANDBETWEEN(8,12)/10,0)</f>
        <v>3924</v>
      </c>
      <c r="AK31" s="4">
        <v>427.7</v>
      </c>
      <c r="AL31" s="4">
        <f ca="1">ROUND(T_Tiktok_ads[[#This Row],[conversions]]*RANDBETWEEN(8,12)/10,0)</f>
        <v>24</v>
      </c>
      <c r="AM31" s="4">
        <f ca="1">ROUND(T_Tiktok_ads[[#This Row],[video_views]]*RANDBETWEEN(8,12)/10,0)</f>
        <v>161011</v>
      </c>
      <c r="AN31" s="4">
        <f ca="1">ROUND(T_Tiktok_ads[[#This Row],[video_watch_25]]*RANDBETWEEN(8,12)/10,0)</f>
        <v>121711</v>
      </c>
      <c r="AO31" s="4">
        <f ca="1">ROUND(T_Tiktok_ads[[#This Row],[video_watch_50]]*RANDBETWEEN(8,12)/10,0)</f>
        <v>106789</v>
      </c>
      <c r="AP31" s="4">
        <f ca="1">ROUND(T_Tiktok_ads[[#This Row],[video_watch_75]]*RANDBETWEEN(8,12)/10,0)</f>
        <v>83081</v>
      </c>
      <c r="AQ31" s="4">
        <f ca="1">ROUND(T_Tiktok_ads[[#This Row],[video_watch_100]]*RANDBETWEEN(8,12)/10,0)</f>
        <v>41789</v>
      </c>
      <c r="AR31" s="4">
        <f ca="1">ROUND(T_Tiktok_ads[[#This Row],[likes]]*RANDBETWEEN(8,12)/10,0)</f>
        <v>9057</v>
      </c>
      <c r="AS31" s="4">
        <f ca="1">ROUND(T_Tiktok_ads[[#This Row],[shares]]*RANDBETWEEN(8,12)/10,0)</f>
        <v>2040</v>
      </c>
      <c r="AT31" s="4">
        <f ca="1">ROUND(T_Tiktok_ads[[#This Row],[comments]]*RANDBETWEEN(8,12)/10,0)</f>
        <v>587</v>
      </c>
      <c r="AV31" s="5">
        <f t="shared" ca="1" si="3"/>
        <v>45268</v>
      </c>
      <c r="AW31">
        <f t="shared" ca="1" si="4"/>
        <v>3</v>
      </c>
      <c r="AX31">
        <f ca="1">ROUND(T_Facebook_Ads115963677175798387919599[[#This Row],[impressions]]*RANDBETWEEN(8,12)/10,0)</f>
        <v>41532</v>
      </c>
      <c r="AY31">
        <f ca="1">ROUND(T_Facebook_Ads115963677175798387919599[[#This Row],[clicks]]*RANDBETWEEN(8,12)/10,0)</f>
        <v>1708</v>
      </c>
      <c r="AZ31">
        <f ca="1">T_Facebook_Ads115963677175798387919599[[#This Row],[spend]]*RANDBETWEEN(8,12)/10</f>
        <v>208.8</v>
      </c>
      <c r="BA31">
        <f ca="1">ROUND(T_Facebook_Ads115963677175798387919599[[#This Row],[conversions]]*RANDBETWEEN(8,12)/10,0)</f>
        <v>32</v>
      </c>
      <c r="BB31">
        <f ca="1">ROUND(T_Facebook_Ads115963677175798387919599[[#This Row],[video_views]]*RANDBETWEEN(8,12)/10,0)</f>
        <v>6762</v>
      </c>
    </row>
    <row r="32" spans="1:54" ht="15.75" thickBot="1" x14ac:dyDescent="0.3">
      <c r="A32" s="3">
        <f t="shared" ca="1" si="0"/>
        <v>45275</v>
      </c>
      <c r="B32" s="4" t="s">
        <v>52</v>
      </c>
      <c r="C32" s="4" t="s">
        <v>53</v>
      </c>
      <c r="D32" s="4" t="s">
        <v>54</v>
      </c>
      <c r="E32" s="4" t="s">
        <v>55</v>
      </c>
      <c r="F32" s="4">
        <f ca="1">ROUND(T_Facebook_Ads[[#This Row],[impressions]]*RANDBETWEEN(8,12)/10,0)</f>
        <v>62548</v>
      </c>
      <c r="G32" s="4">
        <v>1089</v>
      </c>
      <c r="H32" s="4">
        <f ca="1">T_Facebook_Ads[[#This Row],[spend]]*RANDBETWEEN(8,12)/10</f>
        <v>163.45999999999998</v>
      </c>
      <c r="I32" s="4">
        <f ca="1">ROUND(T_Facebook_Ads[[#This Row],[conversions]]*RANDBETWEEN(8,12)/10,0)</f>
        <v>20</v>
      </c>
      <c r="J32" s="4">
        <f ca="1">ROUND(T_Facebook_Ads[[#This Row],[video_views]]*RANDBETWEEN(8,12)/10,0)</f>
        <v>9567</v>
      </c>
      <c r="K32" s="4">
        <f ca="1">T_Facebook_Ads[[#This Row],[engagement_rate]]*RANDBETWEEN(8,12)/10</f>
        <v>1.881E-2</v>
      </c>
      <c r="L32" s="4">
        <f ca="1">ROUND(T_Facebook_Ads[[#This Row],[reach]]*RANDBETWEEN(8,12)/10,0)</f>
        <v>51881</v>
      </c>
      <c r="M32" s="4">
        <f ca="1">T_Facebook_Ads[[#This Row],[frequency]]*RANDBETWEEN(8,12)/10</f>
        <v>1.452</v>
      </c>
      <c r="O32" s="3">
        <f t="shared" ca="1" si="1"/>
        <v>45266</v>
      </c>
      <c r="P32" s="4" t="s">
        <v>76</v>
      </c>
      <c r="Q32" s="4" t="s">
        <v>77</v>
      </c>
      <c r="R32" s="4" t="s">
        <v>78</v>
      </c>
      <c r="S32" s="4" t="s">
        <v>79</v>
      </c>
      <c r="T32" s="4">
        <f ca="1">ROUND(_Google_ads[[#This Row],[impressions]]*RANDBETWEEN(8,12)/10,0)</f>
        <v>20987</v>
      </c>
      <c r="U32" s="4">
        <f ca="1">ROUND(_Google_ads[[#This Row],[clicks]]*RANDBETWEEN(8,12)/10,0)</f>
        <v>1516</v>
      </c>
      <c r="V32" s="4">
        <f ca="1">_Google_ads[[#This Row],[cost]]*RANDBETWEEN(8,12)/10</f>
        <v>210.71999999999997</v>
      </c>
      <c r="W32" s="4">
        <f ca="1">ROUND(_Google_ads[[#This Row],[conversions]]*RANDBETWEEN(8,12)/10,0)</f>
        <v>52</v>
      </c>
      <c r="X32" s="4">
        <f ca="1">ROUND(_Google_ads[[#This Row],[conversion_value]]*RANDBETWEEN(8,12)/10,0)</f>
        <v>3120</v>
      </c>
      <c r="Y32" s="4">
        <f ca="1">_Google_ads[[#This Row],[ctr]]*RANDBETWEEN(8,12)/10</f>
        <v>6.3E-2</v>
      </c>
      <c r="Z32" s="4">
        <f ca="1">_Google_ads[[#This Row],[avg_cpc]]*RANDBETWEEN(8,12)/10</f>
        <v>0.22800000000000004</v>
      </c>
      <c r="AA32" s="4">
        <f ca="1">ROUND(_Google_ads[[#This Row],[quality_score]]*RANDBETWEEN(8,12)/10,0)</f>
        <v>9</v>
      </c>
      <c r="AB32" s="4">
        <f ca="1">_Google_ads[[#This Row],[search_impression_share]]*RANDBETWEEN(8,12)/10</f>
        <v>1.1040000000000001</v>
      </c>
      <c r="AD32" s="3">
        <f t="shared" ca="1" si="2"/>
        <v>45278</v>
      </c>
      <c r="AE32" s="4" t="s">
        <v>100</v>
      </c>
      <c r="AF32" s="4" t="s">
        <v>101</v>
      </c>
      <c r="AG32" s="4" t="s">
        <v>102</v>
      </c>
      <c r="AH32" s="4" t="s">
        <v>103</v>
      </c>
      <c r="AI32" s="4">
        <f ca="1">ROUND(T_Tiktok_ads[[#This Row],[impressions]]*RANDBETWEEN(8,12)/10,0)</f>
        <v>278901</v>
      </c>
      <c r="AJ32" s="4">
        <f ca="1">ROUND(T_Tiktok_ads[[#This Row],[clicks]]*RANDBETWEEN(8,12)/10,0)</f>
        <v>4535</v>
      </c>
      <c r="AK32" s="4">
        <v>523.6</v>
      </c>
      <c r="AL32" s="4">
        <f ca="1">ROUND(T_Tiktok_ads[[#This Row],[conversions]]*RANDBETWEEN(8,12)/10,0)</f>
        <v>38</v>
      </c>
      <c r="AM32" s="4">
        <f ca="1">ROUND(T_Tiktok_ads[[#This Row],[video_views]]*RANDBETWEEN(8,12)/10,0)</f>
        <v>234567</v>
      </c>
      <c r="AN32" s="4">
        <f ca="1">ROUND(T_Tiktok_ads[[#This Row],[video_watch_25]]*RANDBETWEEN(8,12)/10,0)</f>
        <v>164111</v>
      </c>
      <c r="AO32" s="4">
        <f ca="1">ROUND(T_Tiktok_ads[[#This Row],[video_watch_50]]*RANDBETWEEN(8,12)/10,0)</f>
        <v>126024</v>
      </c>
      <c r="AP32" s="4">
        <f ca="1">ROUND(T_Tiktok_ads[[#This Row],[video_watch_75]]*RANDBETWEEN(8,12)/10,0)</f>
        <v>77234</v>
      </c>
      <c r="AQ32" s="4">
        <f ca="1">ROUND(T_Tiktok_ads[[#This Row],[video_watch_100]]*RANDBETWEEN(8,12)/10,0)</f>
        <v>40987</v>
      </c>
      <c r="AR32" s="4">
        <f ca="1">ROUND(T_Tiktok_ads[[#This Row],[likes]]*RANDBETWEEN(8,12)/10,0)</f>
        <v>9311</v>
      </c>
      <c r="AS32" s="4">
        <f ca="1">ROUND(T_Tiktok_ads[[#This Row],[shares]]*RANDBETWEEN(8,12)/10,0)</f>
        <v>3347</v>
      </c>
      <c r="AT32" s="4">
        <f ca="1">ROUND(T_Tiktok_ads[[#This Row],[comments]]*RANDBETWEEN(8,12)/10,0)</f>
        <v>525</v>
      </c>
      <c r="AV32" s="5">
        <f t="shared" ca="1" si="3"/>
        <v>45282</v>
      </c>
      <c r="AW32">
        <f t="shared" ca="1" si="4"/>
        <v>3</v>
      </c>
      <c r="AX32">
        <f ca="1">ROUND(T_Facebook_Ads115963677175798387919599[[#This Row],[impressions]]*RANDBETWEEN(8,12)/10,0)</f>
        <v>68803</v>
      </c>
      <c r="AY32">
        <f ca="1">ROUND(T_Facebook_Ads115963677175798387919599[[#This Row],[clicks]]*RANDBETWEEN(8,12)/10,0)</f>
        <v>1089</v>
      </c>
      <c r="AZ32">
        <f ca="1">T_Facebook_Ads115963677175798387919599[[#This Row],[spend]]*RANDBETWEEN(8,12)/10</f>
        <v>147.11399999999998</v>
      </c>
      <c r="BA32">
        <f ca="1">ROUND(T_Facebook_Ads115963677175798387919599[[#This Row],[conversions]]*RANDBETWEEN(8,12)/10,0)</f>
        <v>20</v>
      </c>
      <c r="BB32">
        <f ca="1">ROUND(T_Facebook_Ads115963677175798387919599[[#This Row],[video_views]]*RANDBETWEEN(8,12)/10,0)</f>
        <v>9567</v>
      </c>
    </row>
    <row r="33" spans="1:54" ht="15.75" thickBot="1" x14ac:dyDescent="0.3">
      <c r="A33" s="3">
        <f t="shared" ca="1" si="0"/>
        <v>45265</v>
      </c>
      <c r="B33" s="4" t="s">
        <v>56</v>
      </c>
      <c r="C33" s="4" t="s">
        <v>57</v>
      </c>
      <c r="D33" s="4" t="s">
        <v>58</v>
      </c>
      <c r="E33" s="4" t="s">
        <v>59</v>
      </c>
      <c r="F33" s="4">
        <f ca="1">ROUND(T_Facebook_Ads[[#This Row],[impressions]]*RANDBETWEEN(8,12)/10,0)</f>
        <v>16024</v>
      </c>
      <c r="G33" s="4">
        <v>723</v>
      </c>
      <c r="H33" s="4">
        <f ca="1">T_Facebook_Ads[[#This Row],[spend]]*RANDBETWEEN(8,12)/10</f>
        <v>205.11999999999998</v>
      </c>
      <c r="I33" s="4">
        <f ca="1">ROUND(T_Facebook_Ads[[#This Row],[conversions]]*RANDBETWEEN(8,12)/10,0)</f>
        <v>40</v>
      </c>
      <c r="J33" s="4">
        <f ca="1">ROUND(T_Facebook_Ads[[#This Row],[video_views]]*RANDBETWEEN(8,12)/10,0)</f>
        <v>1934</v>
      </c>
      <c r="K33" s="4">
        <f ca="1">T_Facebook_Ads[[#This Row],[engagement_rate]]*RANDBETWEEN(8,12)/10</f>
        <v>5.9519999999999997E-2</v>
      </c>
      <c r="L33" s="4">
        <f ca="1">ROUND(T_Facebook_Ads[[#This Row],[reach]]*RANDBETWEEN(8,12)/10,0)</f>
        <v>11456</v>
      </c>
      <c r="M33" s="4">
        <f ca="1">T_Facebook_Ads[[#This Row],[frequency]]*RANDBETWEEN(8,12)/10</f>
        <v>1.397</v>
      </c>
      <c r="O33" s="3">
        <f t="shared" ca="1" si="1"/>
        <v>45263</v>
      </c>
      <c r="P33" s="4" t="s">
        <v>80</v>
      </c>
      <c r="Q33" s="4" t="s">
        <v>81</v>
      </c>
      <c r="R33" s="4" t="s">
        <v>82</v>
      </c>
      <c r="S33" s="4" t="s">
        <v>83</v>
      </c>
      <c r="T33" s="4">
        <f ca="1">ROUND(_Google_ads[[#This Row],[impressions]]*RANDBETWEEN(8,12)/10,0)</f>
        <v>57468</v>
      </c>
      <c r="U33" s="4">
        <f ca="1">ROUND(_Google_ads[[#This Row],[clicks]]*RANDBETWEEN(8,12)/10,0)</f>
        <v>747</v>
      </c>
      <c r="V33" s="4">
        <f ca="1">_Google_ads[[#This Row],[cost]]*RANDBETWEEN(8,12)/10</f>
        <v>673.75</v>
      </c>
      <c r="W33" s="4">
        <f ca="1">ROUND(_Google_ads[[#This Row],[conversions]]*RANDBETWEEN(8,12)/10,0)</f>
        <v>31</v>
      </c>
      <c r="X33" s="4">
        <f ca="1">ROUND(_Google_ads[[#This Row],[conversion_value]]*RANDBETWEEN(8,12)/10,0)</f>
        <v>1170</v>
      </c>
      <c r="Y33" s="4">
        <f ca="1">_Google_ads[[#This Row],[ctr]]*RANDBETWEEN(8,12)/10</f>
        <v>2.145E-2</v>
      </c>
      <c r="Z33" s="4">
        <f ca="1">_Google_ads[[#This Row],[avg_cpc]]*RANDBETWEEN(8,12)/10</f>
        <v>0.59400000000000008</v>
      </c>
      <c r="AA33" s="4">
        <f ca="1">ROUND(_Google_ads[[#This Row],[quality_score]]*RANDBETWEEN(8,12)/10,0)</f>
        <v>8</v>
      </c>
      <c r="AB33" s="4">
        <f ca="1">_Google_ads[[#This Row],[search_impression_share]]*RANDBETWEEN(8,12)/10</f>
        <v>0.55200000000000005</v>
      </c>
      <c r="AD33" s="3">
        <f t="shared" ca="1" si="2"/>
        <v>45279</v>
      </c>
      <c r="AE33" s="4" t="s">
        <v>104</v>
      </c>
      <c r="AF33" s="4" t="s">
        <v>105</v>
      </c>
      <c r="AG33" s="4" t="s">
        <v>106</v>
      </c>
      <c r="AH33" s="4" t="s">
        <v>107</v>
      </c>
      <c r="AI33" s="4">
        <f ca="1">ROUND(T_Tiktok_ads[[#This Row],[impressions]]*RANDBETWEEN(8,12)/10,0)</f>
        <v>141110</v>
      </c>
      <c r="AJ33" s="4">
        <f ca="1">ROUND(T_Tiktok_ads[[#This Row],[clicks]]*RANDBETWEEN(8,12)/10,0)</f>
        <v>2410</v>
      </c>
      <c r="AK33" s="4">
        <v>812.3</v>
      </c>
      <c r="AL33" s="4">
        <f ca="1">ROUND(T_Tiktok_ads[[#This Row],[conversions]]*RANDBETWEEN(8,12)/10,0)</f>
        <v>98</v>
      </c>
      <c r="AM33" s="4">
        <f ca="1">ROUND(T_Tiktok_ads[[#This Row],[video_views]]*RANDBETWEEN(8,12)/10,0)</f>
        <v>87901</v>
      </c>
      <c r="AN33" s="4">
        <f ca="1">ROUND(T_Tiktok_ads[[#This Row],[video_watch_25]]*RANDBETWEEN(8,12)/10,0)</f>
        <v>81234</v>
      </c>
      <c r="AO33" s="4">
        <f ca="1">ROUND(T_Tiktok_ads[[#This Row],[video_watch_50]]*RANDBETWEEN(8,12)/10,0)</f>
        <v>65614</v>
      </c>
      <c r="AP33" s="4">
        <f ca="1">ROUND(T_Tiktok_ads[[#This Row],[video_watch_75]]*RANDBETWEEN(8,12)/10,0)</f>
        <v>37111</v>
      </c>
      <c r="AQ33" s="4">
        <f ca="1">ROUND(T_Tiktok_ads[[#This Row],[video_watch_100]]*RANDBETWEEN(8,12)/10,0)</f>
        <v>30324</v>
      </c>
      <c r="AR33" s="4">
        <f ca="1">ROUND(T_Tiktok_ads[[#This Row],[likes]]*RANDBETWEEN(8,12)/10,0)</f>
        <v>5456</v>
      </c>
      <c r="AS33" s="4">
        <f ca="1">ROUND(T_Tiktok_ads[[#This Row],[shares]]*RANDBETWEEN(8,12)/10,0)</f>
        <v>1567</v>
      </c>
      <c r="AT33" s="4">
        <f ca="1">ROUND(T_Tiktok_ads[[#This Row],[comments]]*RANDBETWEEN(8,12)/10,0)</f>
        <v>289</v>
      </c>
      <c r="AV33" s="5">
        <f t="shared" ca="1" si="3"/>
        <v>45262</v>
      </c>
      <c r="AW33">
        <f t="shared" ca="1" si="4"/>
        <v>3</v>
      </c>
      <c r="AX33">
        <f ca="1">ROUND(T_Facebook_Ads115963677175798387919599[[#This Row],[impressions]]*RANDBETWEEN(8,12)/10,0)</f>
        <v>12819</v>
      </c>
      <c r="AY33">
        <f ca="1">ROUND(T_Facebook_Ads115963677175798387919599[[#This Row],[clicks]]*RANDBETWEEN(8,12)/10,0)</f>
        <v>723</v>
      </c>
      <c r="AZ33">
        <f ca="1">T_Facebook_Ads115963677175798387919599[[#This Row],[spend]]*RANDBETWEEN(8,12)/10</f>
        <v>205.11999999999998</v>
      </c>
      <c r="BA33">
        <f ca="1">ROUND(T_Facebook_Ads115963677175798387919599[[#This Row],[conversions]]*RANDBETWEEN(8,12)/10,0)</f>
        <v>44</v>
      </c>
      <c r="BB33">
        <f ca="1">ROUND(T_Facebook_Ads115963677175798387919599[[#This Row],[video_views]]*RANDBETWEEN(8,12)/10,0)</f>
        <v>2127</v>
      </c>
    </row>
    <row r="34" spans="1:54" ht="15.75" thickBot="1" x14ac:dyDescent="0.3">
      <c r="A34" s="3">
        <f t="shared" ref="A34:A65" ca="1" si="5">DATE(2023,12,RANDBETWEEN(1,31))</f>
        <v>45291</v>
      </c>
      <c r="B34" s="4" t="s">
        <v>60</v>
      </c>
      <c r="C34" s="4" t="s">
        <v>61</v>
      </c>
      <c r="D34" s="4" t="s">
        <v>62</v>
      </c>
      <c r="E34" s="4" t="s">
        <v>63</v>
      </c>
      <c r="F34" s="4">
        <f ca="1">ROUND(T_Facebook_Ads[[#This Row],[impressions]]*RANDBETWEEN(8,12)/10,0)</f>
        <v>35810</v>
      </c>
      <c r="G34" s="4">
        <v>1534</v>
      </c>
      <c r="H34" s="4">
        <f ca="1">T_Facebook_Ads[[#This Row],[spend]]*RANDBETWEEN(8,12)/10</f>
        <v>225.8</v>
      </c>
      <c r="I34" s="4">
        <f ca="1">ROUND(T_Facebook_Ads[[#This Row],[conversions]]*RANDBETWEEN(8,12)/10,0)</f>
        <v>31</v>
      </c>
      <c r="J34" s="4">
        <f ca="1">ROUND(T_Facebook_Ads[[#This Row],[video_views]]*RANDBETWEEN(8,12)/10,0)</f>
        <v>4365</v>
      </c>
      <c r="K34" s="4">
        <f ca="1">T_Facebook_Ads[[#This Row],[engagement_rate]]*RANDBETWEEN(8,12)/10</f>
        <v>3.8600000000000002E-2</v>
      </c>
      <c r="L34" s="4">
        <f ca="1">ROUND(T_Facebook_Ads[[#This Row],[reach]]*RANDBETWEEN(8,12)/10,0)</f>
        <v>26054</v>
      </c>
      <c r="M34" s="4">
        <f ca="1">T_Facebook_Ads[[#This Row],[frequency]]*RANDBETWEEN(8,12)/10</f>
        <v>1.22</v>
      </c>
      <c r="O34" s="3">
        <f t="shared" ref="O34:O65" ca="1" si="6">DATE(2023,12,RANDBETWEEN(1,31))</f>
        <v>45266</v>
      </c>
      <c r="P34" s="4" t="s">
        <v>84</v>
      </c>
      <c r="Q34" s="4" t="s">
        <v>85</v>
      </c>
      <c r="R34" s="4" t="s">
        <v>86</v>
      </c>
      <c r="S34" s="4" t="s">
        <v>87</v>
      </c>
      <c r="T34" s="4">
        <f ca="1">ROUND(_Google_ads[[#This Row],[impressions]]*RANDBETWEEN(8,12)/10,0)</f>
        <v>56987</v>
      </c>
      <c r="U34" s="4">
        <f ca="1">ROUND(_Google_ads[[#This Row],[clicks]]*RANDBETWEEN(8,12)/10,0)</f>
        <v>2702</v>
      </c>
      <c r="V34" s="4">
        <f ca="1">_Google_ads[[#This Row],[cost]]*RANDBETWEEN(8,12)/10</f>
        <v>356.64</v>
      </c>
      <c r="W34" s="4">
        <f ca="1">ROUND(_Google_ads[[#This Row],[conversions]]*RANDBETWEEN(8,12)/10,0)</f>
        <v>78</v>
      </c>
      <c r="X34" s="4">
        <f ca="1">ROUND(_Google_ads[[#This Row],[conversion_value]]*RANDBETWEEN(8,12)/10,0)</f>
        <v>3195</v>
      </c>
      <c r="Y34" s="4">
        <f ca="1">_Google_ads[[#This Row],[ctr]]*RANDBETWEEN(8,12)/10</f>
        <v>2.7600000000000003E-2</v>
      </c>
      <c r="Z34" s="4">
        <f ca="1">_Google_ads[[#This Row],[avg_cpc]]*RANDBETWEEN(8,12)/10</f>
        <v>0.18</v>
      </c>
      <c r="AA34" s="4">
        <f ca="1">ROUND(_Google_ads[[#This Row],[quality_score]]*RANDBETWEEN(8,12)/10,0)</f>
        <v>9</v>
      </c>
      <c r="AB34" s="4">
        <f ca="1">_Google_ads[[#This Row],[search_impression_share]]*RANDBETWEEN(8,12)/10</f>
        <v>0.61199999999999999</v>
      </c>
      <c r="AD34" s="3">
        <f t="shared" ref="AD34:AD65" ca="1" si="7">DATE(2023,12,RANDBETWEEN(1,31))</f>
        <v>45282</v>
      </c>
      <c r="AE34" s="4" t="s">
        <v>108</v>
      </c>
      <c r="AF34" s="4" t="s">
        <v>109</v>
      </c>
      <c r="AG34" s="4" t="s">
        <v>110</v>
      </c>
      <c r="AH34" s="4" t="s">
        <v>111</v>
      </c>
      <c r="AI34" s="4">
        <f ca="1">ROUND(T_Tiktok_ads[[#This Row],[impressions]]*RANDBETWEEN(8,12)/10,0)</f>
        <v>211110</v>
      </c>
      <c r="AJ34" s="4">
        <f ca="1">ROUND(T_Tiktok_ads[[#This Row],[clicks]]*RANDBETWEEN(8,12)/10,0)</f>
        <v>4547</v>
      </c>
      <c r="AK34" s="4">
        <v>456.8</v>
      </c>
      <c r="AL34" s="4">
        <f ca="1">ROUND(T_Tiktok_ads[[#This Row],[conversions]]*RANDBETWEEN(8,12)/10,0)</f>
        <v>26</v>
      </c>
      <c r="AM34" s="4">
        <f ca="1">ROUND(T_Tiktok_ads[[#This Row],[video_views]]*RANDBETWEEN(8,12)/10,0)</f>
        <v>227081</v>
      </c>
      <c r="AN34" s="4">
        <f ca="1">ROUND(T_Tiktok_ads[[#This Row],[video_watch_25]]*RANDBETWEEN(8,12)/10,0)</f>
        <v>143567</v>
      </c>
      <c r="AO34" s="4">
        <f ca="1">ROUND(T_Tiktok_ads[[#This Row],[video_watch_50]]*RANDBETWEEN(8,12)/10,0)</f>
        <v>102110</v>
      </c>
      <c r="AP34" s="4">
        <f ca="1">ROUND(T_Tiktok_ads[[#This Row],[video_watch_75]]*RANDBETWEEN(8,12)/10,0)</f>
        <v>58765</v>
      </c>
      <c r="AQ34" s="4">
        <f ca="1">ROUND(T_Tiktok_ads[[#This Row],[video_watch_100]]*RANDBETWEEN(8,12)/10,0)</f>
        <v>35654</v>
      </c>
      <c r="AR34" s="4">
        <f ca="1">ROUND(T_Tiktok_ads[[#This Row],[likes]]*RANDBETWEEN(8,12)/10,0)</f>
        <v>7031</v>
      </c>
      <c r="AS34" s="4">
        <f ca="1">ROUND(T_Tiktok_ads[[#This Row],[shares]]*RANDBETWEEN(8,12)/10,0)</f>
        <v>2677</v>
      </c>
      <c r="AT34" s="4">
        <f ca="1">ROUND(T_Tiktok_ads[[#This Row],[comments]]*RANDBETWEEN(8,12)/10,0)</f>
        <v>680</v>
      </c>
      <c r="AV34" s="5">
        <f t="shared" ref="AV34:AV65" ca="1" si="8">DATE(2023,12,RANDBETWEEN(1,31))</f>
        <v>45269</v>
      </c>
      <c r="AW34">
        <f t="shared" ca="1" si="4"/>
        <v>3</v>
      </c>
      <c r="AX34">
        <f ca="1">ROUND(T_Facebook_Ads115963677175798387919599[[#This Row],[impressions]]*RANDBETWEEN(8,12)/10,0)</f>
        <v>39391</v>
      </c>
      <c r="AY34">
        <f ca="1">ROUND(T_Facebook_Ads115963677175798387919599[[#This Row],[clicks]]*RANDBETWEEN(8,12)/10,0)</f>
        <v>1841</v>
      </c>
      <c r="AZ34">
        <f ca="1">T_Facebook_Ads115963677175798387919599[[#This Row],[spend]]*RANDBETWEEN(8,12)/10</f>
        <v>225.8</v>
      </c>
      <c r="BA34">
        <f ca="1">ROUND(T_Facebook_Ads115963677175798387919599[[#This Row],[conversions]]*RANDBETWEEN(8,12)/10,0)</f>
        <v>34</v>
      </c>
      <c r="BB34">
        <f ca="1">ROUND(T_Facebook_Ads115963677175798387919599[[#This Row],[video_views]]*RANDBETWEEN(8,12)/10,0)</f>
        <v>4365</v>
      </c>
    </row>
    <row r="35" spans="1:54" ht="15.75" thickBot="1" x14ac:dyDescent="0.3">
      <c r="A35" s="3">
        <f t="shared" ca="1" si="5"/>
        <v>45291</v>
      </c>
      <c r="B35" s="4" t="s">
        <v>64</v>
      </c>
      <c r="C35" s="4" t="s">
        <v>65</v>
      </c>
      <c r="D35" s="4" t="s">
        <v>66</v>
      </c>
      <c r="E35" s="4" t="s">
        <v>67</v>
      </c>
      <c r="F35" s="4">
        <f ca="1">ROUND(T_Facebook_Ads[[#This Row],[impressions]]*RANDBETWEEN(8,12)/10,0)</f>
        <v>60987</v>
      </c>
      <c r="G35" s="4">
        <v>278</v>
      </c>
      <c r="H35" s="4">
        <f ca="1">T_Facebook_Ads[[#This Row],[spend]]*RANDBETWEEN(8,12)/10</f>
        <v>81.2</v>
      </c>
      <c r="I35" s="4">
        <f ca="1">ROUND(T_Facebook_Ads[[#This Row],[conversions]]*RANDBETWEEN(8,12)/10,0)</f>
        <v>6</v>
      </c>
      <c r="J35" s="4">
        <f ca="1">ROUND(T_Facebook_Ads[[#This Row],[video_views]]*RANDBETWEEN(8,12)/10,0)</f>
        <v>62814</v>
      </c>
      <c r="K35" s="4">
        <f ca="1">T_Facebook_Ads[[#This Row],[engagement_rate]]*RANDBETWEEN(8,12)/10</f>
        <v>3.3300000000000005E-3</v>
      </c>
      <c r="L35" s="4">
        <f ca="1">ROUND(T_Facebook_Ads[[#This Row],[reach]]*RANDBETWEEN(8,12)/10,0)</f>
        <v>74947</v>
      </c>
      <c r="M35" s="4">
        <f ca="1">T_Facebook_Ads[[#This Row],[frequency]]*RANDBETWEEN(8,12)/10</f>
        <v>1.3420000000000001</v>
      </c>
      <c r="O35" s="3">
        <f t="shared" ca="1" si="6"/>
        <v>45277</v>
      </c>
      <c r="P35" s="4" t="s">
        <v>88</v>
      </c>
      <c r="Q35" s="4" t="s">
        <v>89</v>
      </c>
      <c r="R35" s="4" t="s">
        <v>90</v>
      </c>
      <c r="S35" s="4" t="s">
        <v>59</v>
      </c>
      <c r="T35" s="4">
        <f ca="1">ROUND(_Google_ads[[#This Row],[impressions]]*RANDBETWEEN(8,12)/10,0)</f>
        <v>164147</v>
      </c>
      <c r="U35" s="4">
        <f ca="1">ROUND(_Google_ads[[#This Row],[clicks]]*RANDBETWEEN(8,12)/10,0)</f>
        <v>410</v>
      </c>
      <c r="V35" s="4">
        <f ca="1">_Google_ads[[#This Row],[cost]]*RANDBETWEEN(8,12)/10</f>
        <v>128.07</v>
      </c>
      <c r="W35" s="4">
        <f ca="1">ROUND(_Google_ads[[#This Row],[conversions]]*RANDBETWEEN(8,12)/10,0)</f>
        <v>15</v>
      </c>
      <c r="X35" s="4">
        <f ca="1">ROUND(_Google_ads[[#This Row],[conversion_value]]*RANDBETWEEN(8,12)/10,0)</f>
        <v>825</v>
      </c>
      <c r="Y35" s="4">
        <f ca="1">_Google_ads[[#This Row],[ctr]]*RANDBETWEEN(8,12)/10</f>
        <v>3.3300000000000005E-3</v>
      </c>
      <c r="Z35" s="4">
        <f ca="1">_Google_ads[[#This Row],[avg_cpc]]*RANDBETWEEN(8,12)/10</f>
        <v>0.33600000000000002</v>
      </c>
      <c r="AA35" s="4">
        <f ca="1">ROUND(_Google_ads[[#This Row],[quality_score]]*RANDBETWEEN(8,12)/10,0)</f>
        <v>6</v>
      </c>
      <c r="AB35" s="4">
        <f ca="1">_Google_ads[[#This Row],[search_impression_share]]*RANDBETWEEN(8,12)/10</f>
        <v>0.32399999999999995</v>
      </c>
      <c r="AD35" s="3">
        <f t="shared" ca="1" si="7"/>
        <v>45279</v>
      </c>
      <c r="AE35" s="4" t="s">
        <v>112</v>
      </c>
      <c r="AF35" s="4" t="s">
        <v>113</v>
      </c>
      <c r="AG35" s="4" t="s">
        <v>114</v>
      </c>
      <c r="AH35" s="4" t="s">
        <v>115</v>
      </c>
      <c r="AI35" s="4">
        <f ca="1">ROUND(T_Tiktok_ads[[#This Row],[impressions]]*RANDBETWEEN(8,12)/10,0)</f>
        <v>329876</v>
      </c>
      <c r="AJ35" s="4">
        <f ca="1">ROUND(T_Tiktok_ads[[#This Row],[clicks]]*RANDBETWEEN(8,12)/10,0)</f>
        <v>7468</v>
      </c>
      <c r="AK35" s="4">
        <v>1023.4</v>
      </c>
      <c r="AL35" s="4">
        <f ca="1">ROUND(T_Tiktok_ads[[#This Row],[conversions]]*RANDBETWEEN(8,12)/10,0)</f>
        <v>93</v>
      </c>
      <c r="AM35" s="4">
        <f ca="1">ROUND(T_Tiktok_ads[[#This Row],[video_views]]*RANDBETWEEN(8,12)/10,0)</f>
        <v>311110</v>
      </c>
      <c r="AN35" s="4">
        <f ca="1">ROUND(T_Tiktok_ads[[#This Row],[video_watch_25]]*RANDBETWEEN(8,12)/10,0)</f>
        <v>278901</v>
      </c>
      <c r="AO35" s="4">
        <f ca="1">ROUND(T_Tiktok_ads[[#This Row],[video_watch_50]]*RANDBETWEEN(8,12)/10,0)</f>
        <v>178765</v>
      </c>
      <c r="AP35" s="4">
        <f ca="1">ROUND(T_Tiktok_ads[[#This Row],[video_watch_75]]*RANDBETWEEN(8,12)/10,0)</f>
        <v>191081</v>
      </c>
      <c r="AQ35" s="4">
        <f ca="1">ROUND(T_Tiktok_ads[[#This Row],[video_watch_100]]*RANDBETWEEN(8,12)/10,0)</f>
        <v>105678</v>
      </c>
      <c r="AR35" s="4">
        <f ca="1">ROUND(T_Tiktok_ads[[#This Row],[likes]]*RANDBETWEEN(8,12)/10,0)</f>
        <v>20057</v>
      </c>
      <c r="AS35" s="4">
        <f ca="1">ROUND(T_Tiktok_ads[[#This Row],[shares]]*RANDBETWEEN(8,12)/10,0)</f>
        <v>5234</v>
      </c>
      <c r="AT35" s="4">
        <f ca="1">ROUND(T_Tiktok_ads[[#This Row],[comments]]*RANDBETWEEN(8,12)/10,0)</f>
        <v>1747</v>
      </c>
      <c r="AV35" s="5">
        <f t="shared" ca="1" si="8"/>
        <v>45273</v>
      </c>
      <c r="AW35">
        <f t="shared" ca="1" si="4"/>
        <v>4</v>
      </c>
      <c r="AX35">
        <f ca="1">ROUND(T_Facebook_Ads115963677175798387919599[[#This Row],[impressions]]*RANDBETWEEN(8,12)/10,0)</f>
        <v>54888</v>
      </c>
      <c r="AY35">
        <f ca="1">ROUND(T_Facebook_Ads115963677175798387919599[[#This Row],[clicks]]*RANDBETWEEN(8,12)/10,0)</f>
        <v>222</v>
      </c>
      <c r="AZ35">
        <f ca="1">T_Facebook_Ads115963677175798387919599[[#This Row],[spend]]*RANDBETWEEN(8,12)/10</f>
        <v>81.2</v>
      </c>
      <c r="BA35">
        <f ca="1">ROUND(T_Facebook_Ads115963677175798387919599[[#This Row],[conversions]]*RANDBETWEEN(8,12)/10,0)</f>
        <v>5</v>
      </c>
      <c r="BB35">
        <f ca="1">ROUND(T_Facebook_Ads115963677175798387919599[[#This Row],[video_views]]*RANDBETWEEN(8,12)/10,0)</f>
        <v>62814</v>
      </c>
    </row>
    <row r="36" spans="1:54" ht="15.75" thickBot="1" x14ac:dyDescent="0.3">
      <c r="A36" s="3">
        <f t="shared" ca="1" si="5"/>
        <v>45283</v>
      </c>
      <c r="B36" s="4" t="s">
        <v>52</v>
      </c>
      <c r="C36" s="4" t="s">
        <v>53</v>
      </c>
      <c r="D36" s="4" t="s">
        <v>54</v>
      </c>
      <c r="E36" s="4" t="s">
        <v>55</v>
      </c>
      <c r="F36" s="4">
        <f ca="1">ROUND(T_Facebook_Ads[[#This Row],[impressions]]*RANDBETWEEN(8,12)/10,0)</f>
        <v>44311</v>
      </c>
      <c r="G36" s="4">
        <v>1012</v>
      </c>
      <c r="H36" s="4">
        <f ca="1">T_Facebook_Ads[[#This Row],[spend]]*RANDBETWEEN(8,12)/10</f>
        <v>168.36</v>
      </c>
      <c r="I36" s="4">
        <f ca="1">ROUND(T_Facebook_Ads[[#This Row],[conversions]]*RANDBETWEEN(8,12)/10,0)</f>
        <v>15</v>
      </c>
      <c r="J36" s="4">
        <f ca="1">ROUND(T_Facebook_Ads[[#This Row],[video_views]]*RANDBETWEEN(8,12)/10,0)</f>
        <v>10035</v>
      </c>
      <c r="K36" s="4">
        <f ca="1">T_Facebook_Ads[[#This Row],[engagement_rate]]*RANDBETWEEN(8,12)/10</f>
        <v>2.4719999999999999E-2</v>
      </c>
      <c r="L36" s="4">
        <f ca="1">ROUND(T_Facebook_Ads[[#This Row],[reach]]*RANDBETWEEN(8,12)/10,0)</f>
        <v>45724</v>
      </c>
      <c r="M36" s="4">
        <f ca="1">T_Facebook_Ads[[#This Row],[frequency]]*RANDBETWEEN(8,12)/10</f>
        <v>0.94399999999999995</v>
      </c>
      <c r="O36" s="3">
        <f t="shared" ca="1" si="6"/>
        <v>45275</v>
      </c>
      <c r="P36" s="4" t="s">
        <v>76</v>
      </c>
      <c r="Q36" s="4" t="s">
        <v>77</v>
      </c>
      <c r="R36" s="4" t="s">
        <v>78</v>
      </c>
      <c r="S36" s="4" t="s">
        <v>79</v>
      </c>
      <c r="T36" s="4">
        <f ca="1">ROUND(_Google_ads[[#This Row],[impressions]]*RANDBETWEEN(8,12)/10,0)</f>
        <v>20098</v>
      </c>
      <c r="U36" s="4">
        <f ca="1">ROUND(_Google_ads[[#This Row],[clicks]]*RANDBETWEEN(8,12)/10,0)</f>
        <v>1181</v>
      </c>
      <c r="V36" s="4">
        <f ca="1">_Google_ads[[#This Row],[cost]]*RANDBETWEEN(8,12)/10</f>
        <v>275.44</v>
      </c>
      <c r="W36" s="4">
        <f ca="1">ROUND(_Google_ads[[#This Row],[conversions]]*RANDBETWEEN(8,12)/10,0)</f>
        <v>44</v>
      </c>
      <c r="X36" s="4">
        <f ca="1">ROUND(_Google_ads[[#This Row],[conversion_value]]*RANDBETWEEN(8,12)/10,0)</f>
        <v>1960</v>
      </c>
      <c r="Y36" s="4">
        <f ca="1">_Google_ads[[#This Row],[ctr]]*RANDBETWEEN(8,12)/10</f>
        <v>5.2200000000000003E-2</v>
      </c>
      <c r="Z36" s="4">
        <f ca="1">_Google_ads[[#This Row],[avg_cpc]]*RANDBETWEEN(8,12)/10</f>
        <v>0.22800000000000004</v>
      </c>
      <c r="AA36" s="4">
        <f ca="1">ROUND(_Google_ads[[#This Row],[quality_score]]*RANDBETWEEN(8,12)/10,0)</f>
        <v>11</v>
      </c>
      <c r="AB36" s="4">
        <f ca="1">_Google_ads[[#This Row],[search_impression_share]]*RANDBETWEEN(8,12)/10</f>
        <v>0.81899999999999995</v>
      </c>
      <c r="AD36" s="3">
        <f t="shared" ca="1" si="7"/>
        <v>45271</v>
      </c>
      <c r="AE36" s="4" t="s">
        <v>100</v>
      </c>
      <c r="AF36" s="4" t="s">
        <v>101</v>
      </c>
      <c r="AG36" s="4" t="s">
        <v>102</v>
      </c>
      <c r="AH36" s="4" t="s">
        <v>103</v>
      </c>
      <c r="AI36" s="4">
        <f ca="1">ROUND(T_Tiktok_ads[[#This Row],[impressions]]*RANDBETWEEN(8,12)/10,0)</f>
        <v>241101</v>
      </c>
      <c r="AJ36" s="4">
        <f ca="1">ROUND(T_Tiktok_ads[[#This Row],[clicks]]*RANDBETWEEN(8,12)/10,0)</f>
        <v>3551</v>
      </c>
      <c r="AK36" s="4">
        <v>501.2</v>
      </c>
      <c r="AL36" s="4">
        <f ca="1">ROUND(T_Tiktok_ads[[#This Row],[conversions]]*RANDBETWEEN(8,12)/10,0)</f>
        <v>40</v>
      </c>
      <c r="AM36" s="4">
        <f ca="1">ROUND(T_Tiktok_ads[[#This Row],[video_views]]*RANDBETWEEN(8,12)/10,0)</f>
        <v>243357</v>
      </c>
      <c r="AN36" s="4">
        <f ca="1">ROUND(T_Tiktok_ads[[#This Row],[video_watch_25]]*RANDBETWEEN(8,12)/10,0)</f>
        <v>156110</v>
      </c>
      <c r="AO36" s="4">
        <f ca="1">ROUND(T_Tiktok_ads[[#This Row],[video_watch_50]]*RANDBETWEEN(8,12)/10,0)</f>
        <v>109234</v>
      </c>
      <c r="AP36" s="4">
        <f ca="1">ROUND(T_Tiktok_ads[[#This Row],[video_watch_75]]*RANDBETWEEN(8,12)/10,0)</f>
        <v>88280</v>
      </c>
      <c r="AQ36" s="4">
        <f ca="1">ROUND(T_Tiktok_ads[[#This Row],[video_watch_100]]*RANDBETWEEN(8,12)/10,0)</f>
        <v>54157</v>
      </c>
      <c r="AR36" s="4">
        <f ca="1">ROUND(T_Tiktok_ads[[#This Row],[likes]]*RANDBETWEEN(8,12)/10,0)</f>
        <v>7831</v>
      </c>
      <c r="AS36" s="4">
        <f ca="1">ROUND(T_Tiktok_ads[[#This Row],[shares]]*RANDBETWEEN(8,12)/10,0)</f>
        <v>2897</v>
      </c>
      <c r="AT36" s="4">
        <f ca="1">ROUND(T_Tiktok_ads[[#This Row],[comments]]*RANDBETWEEN(8,12)/10,0)</f>
        <v>561</v>
      </c>
      <c r="AV36" s="5">
        <f t="shared" ca="1" si="8"/>
        <v>45264</v>
      </c>
      <c r="AW36">
        <f t="shared" ca="1" si="4"/>
        <v>5</v>
      </c>
      <c r="AX36">
        <f ca="1">ROUND(T_Facebook_Ads115963677175798387919599[[#This Row],[impressions]]*RANDBETWEEN(8,12)/10,0)</f>
        <v>53173</v>
      </c>
      <c r="AY36">
        <f ca="1">ROUND(T_Facebook_Ads115963677175798387919599[[#This Row],[clicks]]*RANDBETWEEN(8,12)/10,0)</f>
        <v>810</v>
      </c>
      <c r="AZ36">
        <f ca="1">T_Facebook_Ads115963677175798387919599[[#This Row],[spend]]*RANDBETWEEN(8,12)/10</f>
        <v>168.36</v>
      </c>
      <c r="BA36">
        <f ca="1">ROUND(T_Facebook_Ads115963677175798387919599[[#This Row],[conversions]]*RANDBETWEEN(8,12)/10,0)</f>
        <v>18</v>
      </c>
      <c r="BB36">
        <f ca="1">ROUND(T_Facebook_Ads115963677175798387919599[[#This Row],[video_views]]*RANDBETWEEN(8,12)/10,0)</f>
        <v>12042</v>
      </c>
    </row>
    <row r="37" spans="1:54" ht="15.75" thickBot="1" x14ac:dyDescent="0.3">
      <c r="A37" s="3">
        <f t="shared" ca="1" si="5"/>
        <v>45268</v>
      </c>
      <c r="B37" s="4" t="s">
        <v>56</v>
      </c>
      <c r="C37" s="4" t="s">
        <v>57</v>
      </c>
      <c r="D37" s="4" t="s">
        <v>58</v>
      </c>
      <c r="E37" s="4" t="s">
        <v>59</v>
      </c>
      <c r="F37" s="4">
        <f ca="1">ROUND(T_Facebook_Ads[[#This Row],[impressions]]*RANDBETWEEN(8,12)/10,0)</f>
        <v>16147</v>
      </c>
      <c r="G37" s="4">
        <v>634</v>
      </c>
      <c r="H37" s="4">
        <f ca="1">T_Facebook_Ads[[#This Row],[spend]]*RANDBETWEEN(8,12)/10</f>
        <v>287.64</v>
      </c>
      <c r="I37" s="4">
        <f ca="1">ROUND(T_Facebook_Ads[[#This Row],[conversions]]*RANDBETWEEN(8,12)/10,0)</f>
        <v>31</v>
      </c>
      <c r="J37" s="4">
        <f ca="1">ROUND(T_Facebook_Ads[[#This Row],[video_views]]*RANDBETWEEN(8,12)/10,0)</f>
        <v>1240</v>
      </c>
      <c r="K37" s="4">
        <f ca="1">T_Facebook_Ads[[#This Row],[engagement_rate]]*RANDBETWEEN(8,12)/10</f>
        <v>4.7100000000000003E-2</v>
      </c>
      <c r="L37" s="4">
        <f ca="1">ROUND(T_Facebook_Ads[[#This Row],[reach]]*RANDBETWEEN(8,12)/10,0)</f>
        <v>11624</v>
      </c>
      <c r="M37" s="4">
        <f ca="1">T_Facebook_Ads[[#This Row],[frequency]]*RANDBETWEEN(8,12)/10</f>
        <v>1.143</v>
      </c>
      <c r="O37" s="3">
        <f t="shared" ca="1" si="6"/>
        <v>45290</v>
      </c>
      <c r="P37" s="4" t="s">
        <v>80</v>
      </c>
      <c r="Q37" s="4" t="s">
        <v>81</v>
      </c>
      <c r="R37" s="4" t="s">
        <v>82</v>
      </c>
      <c r="S37" s="4" t="s">
        <v>83</v>
      </c>
      <c r="T37" s="4">
        <f ca="1">ROUND(_Google_ads[[#This Row],[impressions]]*RANDBETWEEN(8,12)/10,0)</f>
        <v>51224</v>
      </c>
      <c r="U37" s="4">
        <f ca="1">ROUND(_Google_ads[[#This Row],[clicks]]*RANDBETWEEN(8,12)/10,0)</f>
        <v>1094</v>
      </c>
      <c r="V37" s="4">
        <f ca="1">_Google_ads[[#This Row],[cost]]*RANDBETWEEN(8,12)/10</f>
        <v>656.37000000000012</v>
      </c>
      <c r="W37" s="4">
        <f ca="1">ROUND(_Google_ads[[#This Row],[conversions]]*RANDBETWEEN(8,12)/10,0)</f>
        <v>19</v>
      </c>
      <c r="X37" s="4">
        <f ca="1">ROUND(_Google_ads[[#This Row],[conversion_value]]*RANDBETWEEN(8,12)/10,0)</f>
        <v>1200</v>
      </c>
      <c r="Y37" s="4">
        <f ca="1">_Google_ads[[#This Row],[ctr]]*RANDBETWEEN(8,12)/10</f>
        <v>1.5679999999999999E-2</v>
      </c>
      <c r="Z37" s="4">
        <f ca="1">_Google_ads[[#This Row],[avg_cpc]]*RANDBETWEEN(8,12)/10</f>
        <v>0.78</v>
      </c>
      <c r="AA37" s="4">
        <f ca="1">ROUND(_Google_ads[[#This Row],[quality_score]]*RANDBETWEEN(8,12)/10,0)</f>
        <v>6</v>
      </c>
      <c r="AB37" s="4">
        <f ca="1">_Google_ads[[#This Row],[search_impression_share]]*RANDBETWEEN(8,12)/10</f>
        <v>0.54</v>
      </c>
      <c r="AD37" s="3">
        <f t="shared" ca="1" si="7"/>
        <v>45286</v>
      </c>
      <c r="AE37" s="4" t="s">
        <v>104</v>
      </c>
      <c r="AF37" s="4" t="s">
        <v>105</v>
      </c>
      <c r="AG37" s="4" t="s">
        <v>106</v>
      </c>
      <c r="AH37" s="4" t="s">
        <v>107</v>
      </c>
      <c r="AI37" s="4">
        <f ca="1">ROUND(T_Tiktok_ads[[#This Row],[impressions]]*RANDBETWEEN(8,12)/10,0)</f>
        <v>134011</v>
      </c>
      <c r="AJ37" s="4">
        <f ca="1">ROUND(T_Tiktok_ads[[#This Row],[clicks]]*RANDBETWEEN(8,12)/10,0)</f>
        <v>2834</v>
      </c>
      <c r="AK37" s="4">
        <v>767.5</v>
      </c>
      <c r="AL37" s="4">
        <f ca="1">ROUND(T_Tiktok_ads[[#This Row],[conversions]]*RANDBETWEEN(8,12)/10,0)</f>
        <v>85</v>
      </c>
      <c r="AM37" s="4">
        <f ca="1">ROUND(T_Tiktok_ads[[#This Row],[video_views]]*RANDBETWEEN(8,12)/10,0)</f>
        <v>93110</v>
      </c>
      <c r="AN37" s="4">
        <f ca="1">ROUND(T_Tiktok_ads[[#This Row],[video_watch_25]]*RANDBETWEEN(8,12)/10,0)</f>
        <v>76234</v>
      </c>
      <c r="AO37" s="4">
        <f ca="1">ROUND(T_Tiktok_ads[[#This Row],[video_watch_50]]*RANDBETWEEN(8,12)/10,0)</f>
        <v>40987</v>
      </c>
      <c r="AP37" s="4">
        <f ca="1">ROUND(T_Tiktok_ads[[#This Row],[video_watch_75]]*RANDBETWEEN(8,12)/10,0)</f>
        <v>42424</v>
      </c>
      <c r="AQ37" s="4">
        <f ca="1">ROUND(T_Tiktok_ads[[#This Row],[video_watch_100]]*RANDBETWEEN(8,12)/10,0)</f>
        <v>23210</v>
      </c>
      <c r="AR37" s="4">
        <f ca="1">ROUND(T_Tiktok_ads[[#This Row],[likes]]*RANDBETWEEN(8,12)/10,0)</f>
        <v>4098</v>
      </c>
      <c r="AS37" s="4">
        <f ca="1">ROUND(T_Tiktok_ads[[#This Row],[shares]]*RANDBETWEEN(8,12)/10,0)</f>
        <v>1747</v>
      </c>
      <c r="AT37" s="4">
        <f ca="1">ROUND(T_Tiktok_ads[[#This Row],[comments]]*RANDBETWEEN(8,12)/10,0)</f>
        <v>250</v>
      </c>
      <c r="AV37" s="5">
        <f t="shared" ca="1" si="8"/>
        <v>45286</v>
      </c>
      <c r="AW37">
        <f t="shared" ca="1" si="4"/>
        <v>7</v>
      </c>
      <c r="AX37">
        <f ca="1">ROUND(T_Facebook_Ads115963677175798387919599[[#This Row],[impressions]]*RANDBETWEEN(8,12)/10,0)</f>
        <v>19376</v>
      </c>
      <c r="AY37">
        <f ca="1">ROUND(T_Facebook_Ads115963677175798387919599[[#This Row],[clicks]]*RANDBETWEEN(8,12)/10,0)</f>
        <v>697</v>
      </c>
      <c r="AZ37">
        <f ca="1">T_Facebook_Ads115963677175798387919599[[#This Row],[spend]]*RANDBETWEEN(8,12)/10</f>
        <v>316.404</v>
      </c>
      <c r="BA37">
        <f ca="1">ROUND(T_Facebook_Ads115963677175798387919599[[#This Row],[conversions]]*RANDBETWEEN(8,12)/10,0)</f>
        <v>25</v>
      </c>
      <c r="BB37">
        <f ca="1">ROUND(T_Facebook_Ads115963677175798387919599[[#This Row],[video_views]]*RANDBETWEEN(8,12)/10,0)</f>
        <v>1116</v>
      </c>
    </row>
    <row r="38" spans="1:54" ht="15.75" thickBot="1" x14ac:dyDescent="0.3">
      <c r="A38" s="3">
        <f t="shared" ca="1" si="5"/>
        <v>45272</v>
      </c>
      <c r="B38" s="4" t="s">
        <v>60</v>
      </c>
      <c r="C38" s="4" t="s">
        <v>61</v>
      </c>
      <c r="D38" s="4" t="s">
        <v>62</v>
      </c>
      <c r="E38" s="4" t="s">
        <v>63</v>
      </c>
      <c r="F38" s="4">
        <f ca="1">ROUND(T_Facebook_Ads[[#This Row],[impressions]]*RANDBETWEEN(8,12)/10,0)</f>
        <v>45468</v>
      </c>
      <c r="G38" s="4">
        <v>1398</v>
      </c>
      <c r="H38" s="4">
        <f ca="1">T_Facebook_Ads[[#This Row],[spend]]*RANDBETWEEN(8,12)/10</f>
        <v>191.16000000000003</v>
      </c>
      <c r="I38" s="4">
        <f ca="1">ROUND(T_Facebook_Ads[[#This Row],[conversions]]*RANDBETWEEN(8,12)/10,0)</f>
        <v>31</v>
      </c>
      <c r="J38" s="4">
        <f ca="1">ROUND(T_Facebook_Ads[[#This Row],[video_views]]*RANDBETWEEN(8,12)/10,0)</f>
        <v>4511</v>
      </c>
      <c r="K38" s="4">
        <f ca="1">T_Facebook_Ads[[#This Row],[engagement_rate]]*RANDBETWEEN(8,12)/10</f>
        <v>4.0590000000000001E-2</v>
      </c>
      <c r="L38" s="4">
        <f ca="1">ROUND(T_Facebook_Ads[[#This Row],[reach]]*RANDBETWEEN(8,12)/10,0)</f>
        <v>37068</v>
      </c>
      <c r="M38" s="4">
        <f ca="1">T_Facebook_Ads[[#This Row],[frequency]]*RANDBETWEEN(8,12)/10</f>
        <v>1.476</v>
      </c>
      <c r="O38" s="3">
        <f t="shared" ca="1" si="6"/>
        <v>45266</v>
      </c>
      <c r="P38" s="4" t="s">
        <v>84</v>
      </c>
      <c r="Q38" s="4" t="s">
        <v>85</v>
      </c>
      <c r="R38" s="4" t="s">
        <v>86</v>
      </c>
      <c r="S38" s="4" t="s">
        <v>87</v>
      </c>
      <c r="T38" s="4">
        <f ca="1">ROUND(_Google_ads[[#This Row],[impressions]]*RANDBETWEEN(8,12)/10,0)</f>
        <v>55912</v>
      </c>
      <c r="U38" s="4">
        <f ca="1">ROUND(_Google_ads[[#This Row],[clicks]]*RANDBETWEEN(8,12)/10,0)</f>
        <v>2567</v>
      </c>
      <c r="V38" s="4">
        <f ca="1">_Google_ads[[#This Row],[cost]]*RANDBETWEEN(8,12)/10</f>
        <v>343.12</v>
      </c>
      <c r="W38" s="4">
        <f ca="1">ROUND(_Google_ads[[#This Row],[conversions]]*RANDBETWEEN(8,12)/10,0)</f>
        <v>53</v>
      </c>
      <c r="X38" s="4">
        <f ca="1">ROUND(_Google_ads[[#This Row],[conversion_value]]*RANDBETWEEN(8,12)/10,0)</f>
        <v>2640</v>
      </c>
      <c r="Y38" s="4">
        <f ca="1">_Google_ads[[#This Row],[ctr]]*RANDBETWEEN(8,12)/10</f>
        <v>3.6740000000000002E-2</v>
      </c>
      <c r="Z38" s="4">
        <f ca="1">_Google_ads[[#This Row],[avg_cpc]]*RANDBETWEEN(8,12)/10</f>
        <v>0.18</v>
      </c>
      <c r="AA38" s="4">
        <f ca="1">ROUND(_Google_ads[[#This Row],[quality_score]]*RANDBETWEEN(8,12)/10,0)</f>
        <v>10</v>
      </c>
      <c r="AB38" s="4">
        <f ca="1">_Google_ads[[#This Row],[search_impression_share]]*RANDBETWEEN(8,12)/10</f>
        <v>0.53600000000000003</v>
      </c>
      <c r="AD38" s="3">
        <f t="shared" ca="1" si="7"/>
        <v>45265</v>
      </c>
      <c r="AE38" s="4" t="s">
        <v>108</v>
      </c>
      <c r="AF38" s="4" t="s">
        <v>109</v>
      </c>
      <c r="AG38" s="4" t="s">
        <v>110</v>
      </c>
      <c r="AH38" s="4" t="s">
        <v>111</v>
      </c>
      <c r="AI38" s="4">
        <f ca="1">ROUND(T_Tiktok_ads[[#This Row],[impressions]]*RANDBETWEEN(8,12)/10,0)</f>
        <v>251791</v>
      </c>
      <c r="AJ38" s="4">
        <f ca="1">ROUND(T_Tiktok_ads[[#This Row],[clicks]]*RANDBETWEEN(8,12)/10,0)</f>
        <v>3634</v>
      </c>
      <c r="AK38" s="4">
        <v>441.9</v>
      </c>
      <c r="AL38" s="4">
        <f ca="1">ROUND(T_Tiktok_ads[[#This Row],[conversions]]*RANDBETWEEN(8,12)/10,0)</f>
        <v>37</v>
      </c>
      <c r="AM38" s="4">
        <f ca="1">ROUND(T_Tiktok_ads[[#This Row],[video_views]]*RANDBETWEEN(8,12)/10,0)</f>
        <v>164111</v>
      </c>
      <c r="AN38" s="4">
        <f ca="1">ROUND(T_Tiktok_ads[[#This Row],[video_watch_25]]*RANDBETWEEN(8,12)/10,0)</f>
        <v>110312</v>
      </c>
      <c r="AO38" s="4">
        <f ca="1">ROUND(T_Tiktok_ads[[#This Row],[video_watch_50]]*RANDBETWEEN(8,12)/10,0)</f>
        <v>108901</v>
      </c>
      <c r="AP38" s="4">
        <f ca="1">ROUND(T_Tiktok_ads[[#This Row],[video_watch_75]]*RANDBETWEEN(8,12)/10,0)</f>
        <v>56454</v>
      </c>
      <c r="AQ38" s="4">
        <f ca="1">ROUND(T_Tiktok_ads[[#This Row],[video_watch_100]]*RANDBETWEEN(8,12)/10,0)</f>
        <v>38510</v>
      </c>
      <c r="AR38" s="4">
        <f ca="1">ROUND(T_Tiktok_ads[[#This Row],[likes]]*RANDBETWEEN(8,12)/10,0)</f>
        <v>6765</v>
      </c>
      <c r="AS38" s="4">
        <f ca="1">ROUND(T_Tiktok_ads[[#This Row],[shares]]*RANDBETWEEN(8,12)/10,0)</f>
        <v>2071</v>
      </c>
      <c r="AT38" s="4">
        <f ca="1">ROUND(T_Tiktok_ads[[#This Row],[comments]]*RANDBETWEEN(8,12)/10,0)</f>
        <v>600</v>
      </c>
      <c r="AV38" s="5">
        <f t="shared" ca="1" si="8"/>
        <v>45269</v>
      </c>
      <c r="AW38">
        <f t="shared" ca="1" si="4"/>
        <v>8</v>
      </c>
      <c r="AX38">
        <f ca="1">ROUND(T_Facebook_Ads115963677175798387919599[[#This Row],[impressions]]*RANDBETWEEN(8,12)/10,0)</f>
        <v>36374</v>
      </c>
      <c r="AY38">
        <f ca="1">ROUND(T_Facebook_Ads115963677175798387919599[[#This Row],[clicks]]*RANDBETWEEN(8,12)/10,0)</f>
        <v>1118</v>
      </c>
      <c r="AZ38">
        <f ca="1">T_Facebook_Ads115963677175798387919599[[#This Row],[spend]]*RANDBETWEEN(8,12)/10</f>
        <v>210.27600000000001</v>
      </c>
      <c r="BA38">
        <f ca="1">ROUND(T_Facebook_Ads115963677175798387919599[[#This Row],[conversions]]*RANDBETWEEN(8,12)/10,0)</f>
        <v>31</v>
      </c>
      <c r="BB38">
        <f ca="1">ROUND(T_Facebook_Ads115963677175798387919599[[#This Row],[video_views]]*RANDBETWEEN(8,12)/10,0)</f>
        <v>3609</v>
      </c>
    </row>
    <row r="39" spans="1:54" ht="15.75" thickBot="1" x14ac:dyDescent="0.3">
      <c r="A39" s="3">
        <f t="shared" ca="1" si="5"/>
        <v>45283</v>
      </c>
      <c r="B39" s="4" t="s">
        <v>64</v>
      </c>
      <c r="C39" s="4" t="s">
        <v>65</v>
      </c>
      <c r="D39" s="4" t="s">
        <v>66</v>
      </c>
      <c r="E39" s="4" t="s">
        <v>67</v>
      </c>
      <c r="F39" s="4">
        <f ca="1">ROUND(T_Facebook_Ads[[#This Row],[impressions]]*RANDBETWEEN(8,12)/10,0)</f>
        <v>72890</v>
      </c>
      <c r="G39" s="4">
        <v>261</v>
      </c>
      <c r="H39" s="4">
        <f ca="1">T_Facebook_Ads[[#This Row],[spend]]*RANDBETWEEN(8,12)/10</f>
        <v>116.16</v>
      </c>
      <c r="I39" s="4">
        <f ca="1">ROUND(T_Facebook_Ads[[#This Row],[conversions]]*RANDBETWEEN(8,12)/10,0)</f>
        <v>8</v>
      </c>
      <c r="J39" s="4">
        <f ca="1">ROUND(T_Facebook_Ads[[#This Row],[video_views]]*RANDBETWEEN(8,12)/10,0)</f>
        <v>54524</v>
      </c>
      <c r="K39" s="4">
        <f ca="1">T_Facebook_Ads[[#This Row],[engagement_rate]]*RANDBETWEEN(8,12)/10</f>
        <v>2.8799999999999997E-3</v>
      </c>
      <c r="L39" s="4">
        <f ca="1">ROUND(T_Facebook_Ads[[#This Row],[reach]]*RANDBETWEEN(8,12)/10,0)</f>
        <v>47298</v>
      </c>
      <c r="M39" s="4">
        <f ca="1">T_Facebook_Ads[[#This Row],[frequency]]*RANDBETWEEN(8,12)/10</f>
        <v>1.23</v>
      </c>
      <c r="O39" s="3">
        <f t="shared" ca="1" si="6"/>
        <v>45262</v>
      </c>
      <c r="P39" s="4" t="s">
        <v>88</v>
      </c>
      <c r="Q39" s="4" t="s">
        <v>89</v>
      </c>
      <c r="R39" s="4" t="s">
        <v>90</v>
      </c>
      <c r="S39" s="4" t="s">
        <v>59</v>
      </c>
      <c r="T39" s="4">
        <f ca="1">ROUND(_Google_ads[[#This Row],[impressions]]*RANDBETWEEN(8,12)/10,0)</f>
        <v>120110</v>
      </c>
      <c r="U39" s="4">
        <f ca="1">ROUND(_Google_ads[[#This Row],[clicks]]*RANDBETWEEN(8,12)/10,0)</f>
        <v>391</v>
      </c>
      <c r="V39" s="4">
        <f ca="1">_Google_ads[[#This Row],[cost]]*RANDBETWEEN(8,12)/10</f>
        <v>118.08</v>
      </c>
      <c r="W39" s="4">
        <f ca="1">ROUND(_Google_ads[[#This Row],[conversions]]*RANDBETWEEN(8,12)/10,0)</f>
        <v>14</v>
      </c>
      <c r="X39" s="4">
        <f ca="1">ROUND(_Google_ads[[#This Row],[conversion_value]]*RANDBETWEEN(8,12)/10,0)</f>
        <v>770</v>
      </c>
      <c r="Y39" s="4">
        <f ca="1">_Google_ads[[#This Row],[ctr]]*RANDBETWEEN(8,12)/10</f>
        <v>4.0699999999999998E-3</v>
      </c>
      <c r="Z39" s="4">
        <f ca="1">_Google_ads[[#This Row],[avg_cpc]]*RANDBETWEEN(8,12)/10</f>
        <v>0.24300000000000002</v>
      </c>
      <c r="AA39" s="4">
        <f ca="1">ROUND(_Google_ads[[#This Row],[quality_score]]*RANDBETWEEN(8,12)/10,0)</f>
        <v>6</v>
      </c>
      <c r="AB39" s="4">
        <f ca="1">_Google_ads[[#This Row],[search_impression_share]]*RANDBETWEEN(8,12)/10</f>
        <v>0.27999999999999997</v>
      </c>
      <c r="AD39" s="3">
        <f t="shared" ca="1" si="7"/>
        <v>45273</v>
      </c>
      <c r="AE39" s="4" t="s">
        <v>112</v>
      </c>
      <c r="AF39" s="4" t="s">
        <v>113</v>
      </c>
      <c r="AG39" s="4" t="s">
        <v>114</v>
      </c>
      <c r="AH39" s="4" t="s">
        <v>115</v>
      </c>
      <c r="AI39" s="4">
        <f ca="1">ROUND(T_Tiktok_ads[[#This Row],[impressions]]*RANDBETWEEN(8,12)/10,0)</f>
        <v>438424</v>
      </c>
      <c r="AJ39" s="4">
        <f ca="1">ROUND(T_Tiktok_ads[[#This Row],[clicks]]*RANDBETWEEN(8,12)/10,0)</f>
        <v>6534</v>
      </c>
      <c r="AK39" s="4">
        <v>998.7</v>
      </c>
      <c r="AL39" s="4">
        <f ca="1">ROUND(T_Tiktok_ads[[#This Row],[conversions]]*RANDBETWEEN(8,12)/10,0)</f>
        <v>118</v>
      </c>
      <c r="AM39" s="4">
        <f ca="1">ROUND(T_Tiktok_ads[[#This Row],[video_views]]*RANDBETWEEN(8,12)/10,0)</f>
        <v>299111</v>
      </c>
      <c r="AN39" s="4">
        <f ca="1">ROUND(T_Tiktok_ads[[#This Row],[video_watch_25]]*RANDBETWEEN(8,12)/10,0)</f>
        <v>294679</v>
      </c>
      <c r="AO39" s="4">
        <f ca="1">ROUND(T_Tiktok_ads[[#This Row],[video_watch_50]]*RANDBETWEEN(8,12)/10,0)</f>
        <v>257480</v>
      </c>
      <c r="AP39" s="4">
        <f ca="1">ROUND(T_Tiktok_ads[[#This Row],[video_watch_75]]*RANDBETWEEN(8,12)/10,0)</f>
        <v>120987</v>
      </c>
      <c r="AQ39" s="4">
        <f ca="1">ROUND(T_Tiktok_ads[[#This Row],[video_watch_100]]*RANDBETWEEN(8,12)/10,0)</f>
        <v>109524</v>
      </c>
      <c r="AR39" s="4">
        <f ca="1">ROUND(T_Tiktok_ads[[#This Row],[likes]]*RANDBETWEEN(8,12)/10,0)</f>
        <v>19532</v>
      </c>
      <c r="AS39" s="4">
        <f ca="1">ROUND(T_Tiktok_ads[[#This Row],[shares]]*RANDBETWEEN(8,12)/10,0)</f>
        <v>6014</v>
      </c>
      <c r="AT39" s="4">
        <f ca="1">ROUND(T_Tiktok_ads[[#This Row],[comments]]*RANDBETWEEN(8,12)/10,0)</f>
        <v>1250</v>
      </c>
      <c r="AV39" s="5">
        <f t="shared" ca="1" si="8"/>
        <v>45288</v>
      </c>
      <c r="AW39">
        <f t="shared" ca="1" si="4"/>
        <v>7</v>
      </c>
      <c r="AX39">
        <f ca="1">ROUND(T_Facebook_Ads115963677175798387919599[[#This Row],[impressions]]*RANDBETWEEN(8,12)/10,0)</f>
        <v>87468</v>
      </c>
      <c r="AY39">
        <f ca="1">ROUND(T_Facebook_Ads115963677175798387919599[[#This Row],[clicks]]*RANDBETWEEN(8,12)/10,0)</f>
        <v>261</v>
      </c>
      <c r="AZ39">
        <f ca="1">T_Facebook_Ads115963677175798387919599[[#This Row],[spend]]*RANDBETWEEN(8,12)/10</f>
        <v>92.927999999999997</v>
      </c>
      <c r="BA39">
        <f ca="1">ROUND(T_Facebook_Ads115963677175798387919599[[#This Row],[conversions]]*RANDBETWEEN(8,12)/10,0)</f>
        <v>6</v>
      </c>
      <c r="BB39">
        <f ca="1">ROUND(T_Facebook_Ads115963677175798387919599[[#This Row],[video_views]]*RANDBETWEEN(8,12)/10,0)</f>
        <v>54524</v>
      </c>
    </row>
    <row r="40" spans="1:54" ht="15.75" thickBot="1" x14ac:dyDescent="0.3">
      <c r="A40" s="3">
        <f t="shared" ca="1" si="5"/>
        <v>45281</v>
      </c>
      <c r="B40" s="4" t="s">
        <v>52</v>
      </c>
      <c r="C40" s="4" t="s">
        <v>53</v>
      </c>
      <c r="D40" s="4" t="s">
        <v>54</v>
      </c>
      <c r="E40" s="4" t="s">
        <v>55</v>
      </c>
      <c r="F40" s="4">
        <f ca="1">ROUND(T_Facebook_Ads[[#This Row],[impressions]]*RANDBETWEEN(8,12)/10,0)</f>
        <v>33876</v>
      </c>
      <c r="G40" s="4">
        <v>856</v>
      </c>
      <c r="H40" s="4">
        <f ca="1">T_Facebook_Ads[[#This Row],[spend]]*RANDBETWEEN(8,12)/10</f>
        <v>145.80000000000001</v>
      </c>
      <c r="I40" s="4">
        <f ca="1">ROUND(T_Facebook_Ads[[#This Row],[conversions]]*RANDBETWEEN(8,12)/10,0)</f>
        <v>14</v>
      </c>
      <c r="J40" s="4">
        <f ca="1">ROUND(T_Facebook_Ads[[#This Row],[video_views]]*RANDBETWEEN(8,12)/10,0)</f>
        <v>7101</v>
      </c>
      <c r="K40" s="4">
        <f ca="1">T_Facebook_Ads[[#This Row],[engagement_rate]]*RANDBETWEEN(8,12)/10</f>
        <v>2.0199999999999999E-2</v>
      </c>
      <c r="L40" s="4">
        <f ca="1">ROUND(T_Facebook_Ads[[#This Row],[reach]]*RANDBETWEEN(8,12)/10,0)</f>
        <v>42814</v>
      </c>
      <c r="M40" s="4">
        <f ca="1">T_Facebook_Ads[[#This Row],[frequency]]*RANDBETWEEN(8,12)/10</f>
        <v>1.19</v>
      </c>
      <c r="O40" s="3">
        <f t="shared" ca="1" si="6"/>
        <v>45268</v>
      </c>
      <c r="P40" s="4" t="s">
        <v>76</v>
      </c>
      <c r="Q40" s="4" t="s">
        <v>77</v>
      </c>
      <c r="R40" s="4" t="s">
        <v>78</v>
      </c>
      <c r="S40" s="4" t="s">
        <v>79</v>
      </c>
      <c r="T40" s="4">
        <f ca="1">ROUND(_Google_ads[[#This Row],[impressions]]*RANDBETWEEN(8,12)/10,0)</f>
        <v>26947</v>
      </c>
      <c r="U40" s="4">
        <f ca="1">ROUND(_Google_ads[[#This Row],[clicks]]*RANDBETWEEN(8,12)/10,0)</f>
        <v>1040</v>
      </c>
      <c r="V40" s="4">
        <f ca="1">_Google_ads[[#This Row],[cost]]*RANDBETWEEN(8,12)/10</f>
        <v>220.4</v>
      </c>
      <c r="W40" s="4">
        <f ca="1">ROUND(_Google_ads[[#This Row],[conversions]]*RANDBETWEEN(8,12)/10,0)</f>
        <v>43</v>
      </c>
      <c r="X40" s="4">
        <f ca="1">ROUND(_Google_ads[[#This Row],[conversion_value]]*RANDBETWEEN(8,12)/10,0)</f>
        <v>2365</v>
      </c>
      <c r="Y40" s="4">
        <f ca="1">_Google_ads[[#This Row],[ctr]]*RANDBETWEEN(8,12)/10</f>
        <v>4.1200000000000001E-2</v>
      </c>
      <c r="Z40" s="4">
        <f ca="1">_Google_ads[[#This Row],[avg_cpc]]*RANDBETWEEN(8,12)/10</f>
        <v>0.19</v>
      </c>
      <c r="AA40" s="4">
        <f ca="1">ROUND(_Google_ads[[#This Row],[quality_score]]*RANDBETWEEN(8,12)/10,0)</f>
        <v>7</v>
      </c>
      <c r="AB40" s="4">
        <f ca="1">_Google_ads[[#This Row],[search_impression_share]]*RANDBETWEEN(8,12)/10</f>
        <v>0.72</v>
      </c>
      <c r="AD40" s="3">
        <f t="shared" ca="1" si="7"/>
        <v>45286</v>
      </c>
      <c r="AE40" s="4" t="s">
        <v>100</v>
      </c>
      <c r="AF40" s="4" t="s">
        <v>101</v>
      </c>
      <c r="AG40" s="4" t="s">
        <v>102</v>
      </c>
      <c r="AH40" s="4" t="s">
        <v>103</v>
      </c>
      <c r="AI40" s="4">
        <f ca="1">ROUND(T_Tiktok_ads[[#This Row],[impressions]]*RANDBETWEEN(8,12)/10,0)</f>
        <v>234567</v>
      </c>
      <c r="AJ40" s="4">
        <f ca="1">ROUND(T_Tiktok_ads[[#This Row],[clicks]]*RANDBETWEEN(8,12)/10,0)</f>
        <v>3110</v>
      </c>
      <c r="AK40" s="4">
        <v>456.7</v>
      </c>
      <c r="AL40" s="4">
        <f ca="1">ROUND(T_Tiktok_ads[[#This Row],[conversions]]*RANDBETWEEN(8,12)/10,0)</f>
        <v>41</v>
      </c>
      <c r="AM40" s="4">
        <f ca="1">ROUND(T_Tiktok_ads[[#This Row],[video_views]]*RANDBETWEEN(8,12)/10,0)</f>
        <v>237881</v>
      </c>
      <c r="AN40" s="4">
        <f ca="1">ROUND(T_Tiktok_ads[[#This Row],[video_watch_25]]*RANDBETWEEN(8,12)/10,0)</f>
        <v>156234</v>
      </c>
      <c r="AO40" s="4">
        <f ca="1">ROUND(T_Tiktok_ads[[#This Row],[video_watch_50]]*RANDBETWEEN(8,12)/10,0)</f>
        <v>117881</v>
      </c>
      <c r="AP40" s="4">
        <f ca="1">ROUND(T_Tiktok_ads[[#This Row],[video_watch_75]]*RANDBETWEEN(8,12)/10,0)</f>
        <v>60511</v>
      </c>
      <c r="AQ40" s="4">
        <f ca="1">ROUND(T_Tiktok_ads[[#This Row],[video_watch_100]]*RANDBETWEEN(8,12)/10,0)</f>
        <v>49757</v>
      </c>
      <c r="AR40" s="4">
        <f ca="1">ROUND(T_Tiktok_ads[[#This Row],[likes]]*RANDBETWEEN(8,12)/10,0)</f>
        <v>8031</v>
      </c>
      <c r="AS40" s="4">
        <f ca="1">ROUND(T_Tiktok_ads[[#This Row],[shares]]*RANDBETWEEN(8,12)/10,0)</f>
        <v>2345</v>
      </c>
      <c r="AT40" s="4">
        <f ca="1">ROUND(T_Tiktok_ads[[#This Row],[comments]]*RANDBETWEEN(8,12)/10,0)</f>
        <v>454</v>
      </c>
      <c r="AV40" s="5">
        <f t="shared" ca="1" si="8"/>
        <v>45282</v>
      </c>
      <c r="AW40">
        <f t="shared" ca="1" si="4"/>
        <v>3</v>
      </c>
      <c r="AX40">
        <f ca="1">ROUND(T_Facebook_Ads115963677175798387919599[[#This Row],[impressions]]*RANDBETWEEN(8,12)/10,0)</f>
        <v>33876</v>
      </c>
      <c r="AY40">
        <f ca="1">ROUND(T_Facebook_Ads115963677175798387919599[[#This Row],[clicks]]*RANDBETWEEN(8,12)/10,0)</f>
        <v>685</v>
      </c>
      <c r="AZ40">
        <f ca="1">T_Facebook_Ads115963677175798387919599[[#This Row],[spend]]*RANDBETWEEN(8,12)/10</f>
        <v>174.96</v>
      </c>
      <c r="BA40">
        <f ca="1">ROUND(T_Facebook_Ads115963677175798387919599[[#This Row],[conversions]]*RANDBETWEEN(8,12)/10,0)</f>
        <v>11</v>
      </c>
      <c r="BB40">
        <f ca="1">ROUND(T_Facebook_Ads115963677175798387919599[[#This Row],[video_views]]*RANDBETWEEN(8,12)/10,0)</f>
        <v>6391</v>
      </c>
    </row>
    <row r="41" spans="1:54" ht="15.75" thickBot="1" x14ac:dyDescent="0.3">
      <c r="A41" s="3">
        <f t="shared" ca="1" si="5"/>
        <v>45276</v>
      </c>
      <c r="B41" s="4" t="s">
        <v>56</v>
      </c>
      <c r="C41" s="4" t="s">
        <v>57</v>
      </c>
      <c r="D41" s="4" t="s">
        <v>58</v>
      </c>
      <c r="E41" s="4" t="s">
        <v>59</v>
      </c>
      <c r="F41" s="4">
        <f ca="1">ROUND(T_Facebook_Ads[[#This Row],[impressions]]*RANDBETWEEN(8,12)/10,0)</f>
        <v>11234</v>
      </c>
      <c r="G41" s="4">
        <v>523</v>
      </c>
      <c r="H41" s="4">
        <f ca="1">T_Facebook_Ads[[#This Row],[spend]]*RANDBETWEEN(8,12)/10</f>
        <v>178.73999999999998</v>
      </c>
      <c r="I41" s="4">
        <f ca="1">ROUND(T_Facebook_Ads[[#This Row],[conversions]]*RANDBETWEEN(8,12)/10,0)</f>
        <v>38</v>
      </c>
      <c r="J41" s="4">
        <f ca="1">ROUND(T_Facebook_Ads[[#This Row],[video_views]]*RANDBETWEEN(8,12)/10,0)</f>
        <v>898</v>
      </c>
      <c r="K41" s="4">
        <f ca="1">T_Facebook_Ads[[#This Row],[engagement_rate]]*RANDBETWEEN(8,12)/10</f>
        <v>4.6600000000000003E-2</v>
      </c>
      <c r="L41" s="4">
        <f ca="1">ROUND(T_Facebook_Ads[[#This Row],[reach]]*RANDBETWEEN(8,12)/10,0)</f>
        <v>8901</v>
      </c>
      <c r="M41" s="4">
        <f ca="1">T_Facebook_Ads[[#This Row],[frequency]]*RANDBETWEEN(8,12)/10</f>
        <v>1.397</v>
      </c>
      <c r="O41" s="3">
        <f t="shared" ca="1" si="6"/>
        <v>45274</v>
      </c>
      <c r="P41" s="4" t="s">
        <v>80</v>
      </c>
      <c r="Q41" s="4" t="s">
        <v>81</v>
      </c>
      <c r="R41" s="4" t="s">
        <v>82</v>
      </c>
      <c r="S41" s="4" t="s">
        <v>83</v>
      </c>
      <c r="T41" s="4">
        <f ca="1">ROUND(_Google_ads[[#This Row],[impressions]]*RANDBETWEEN(8,12)/10,0)</f>
        <v>49481</v>
      </c>
      <c r="U41" s="4">
        <f ca="1">ROUND(_Google_ads[[#This Row],[clicks]]*RANDBETWEEN(8,12)/10,0)</f>
        <v>905</v>
      </c>
      <c r="V41" s="4">
        <f ca="1">_Google_ads[[#This Row],[cost]]*RANDBETWEEN(8,12)/10</f>
        <v>634.67999999999995</v>
      </c>
      <c r="W41" s="4">
        <f ca="1">ROUND(_Google_ads[[#This Row],[conversions]]*RANDBETWEEN(8,12)/10,0)</f>
        <v>19</v>
      </c>
      <c r="X41" s="4">
        <f ca="1">ROUND(_Google_ads[[#This Row],[conversion_value]]*RANDBETWEEN(8,12)/10,0)</f>
        <v>1050</v>
      </c>
      <c r="Y41" s="4">
        <f ca="1">_Google_ads[[#This Row],[ctr]]*RANDBETWEEN(8,12)/10</f>
        <v>1.7999999999999999E-2</v>
      </c>
      <c r="Z41" s="4">
        <f ca="1">_Google_ads[[#This Row],[avg_cpc]]*RANDBETWEEN(8,12)/10</f>
        <v>0.76800000000000002</v>
      </c>
      <c r="AA41" s="4">
        <f ca="1">ROUND(_Google_ads[[#This Row],[quality_score]]*RANDBETWEEN(8,12)/10,0)</f>
        <v>7</v>
      </c>
      <c r="AB41" s="4">
        <f ca="1">_Google_ads[[#This Row],[search_impression_share]]*RANDBETWEEN(8,12)/10</f>
        <v>0.43</v>
      </c>
      <c r="AD41" s="3">
        <f t="shared" ca="1" si="7"/>
        <v>45263</v>
      </c>
      <c r="AE41" s="4" t="s">
        <v>104</v>
      </c>
      <c r="AF41" s="4" t="s">
        <v>105</v>
      </c>
      <c r="AG41" s="4" t="s">
        <v>106</v>
      </c>
      <c r="AH41" s="4" t="s">
        <v>107</v>
      </c>
      <c r="AI41" s="4">
        <f ca="1">ROUND(T_Tiktok_ads[[#This Row],[impressions]]*RANDBETWEEN(8,12)/10,0)</f>
        <v>107654</v>
      </c>
      <c r="AJ41" s="4">
        <f ca="1">ROUND(T_Tiktok_ads[[#This Row],[clicks]]*RANDBETWEEN(8,12)/10,0)</f>
        <v>2824</v>
      </c>
      <c r="AK41" s="4">
        <v>712.3</v>
      </c>
      <c r="AL41" s="4">
        <f ca="1">ROUND(T_Tiktok_ads[[#This Row],[conversions]]*RANDBETWEEN(8,12)/10,0)</f>
        <v>64</v>
      </c>
      <c r="AM41" s="4">
        <f ca="1">ROUND(T_Tiktok_ads[[#This Row],[video_views]]*RANDBETWEEN(8,12)/10,0)</f>
        <v>76542</v>
      </c>
      <c r="AN41" s="4">
        <f ca="1">ROUND(T_Tiktok_ads[[#This Row],[video_watch_25]]*RANDBETWEEN(8,12)/10,0)</f>
        <v>56987</v>
      </c>
      <c r="AO41" s="4">
        <f ca="1">ROUND(T_Tiktok_ads[[#This Row],[video_watch_50]]*RANDBETWEEN(8,12)/10,0)</f>
        <v>38587</v>
      </c>
      <c r="AP41" s="4">
        <f ca="1">ROUND(T_Tiktok_ads[[#This Row],[video_watch_75]]*RANDBETWEEN(8,12)/10,0)</f>
        <v>32611</v>
      </c>
      <c r="AQ41" s="4">
        <f ca="1">ROUND(T_Tiktok_ads[[#This Row],[video_watch_100]]*RANDBETWEEN(8,12)/10,0)</f>
        <v>24567</v>
      </c>
      <c r="AR41" s="4">
        <f ca="1">ROUND(T_Tiktok_ads[[#This Row],[likes]]*RANDBETWEEN(8,12)/10,0)</f>
        <v>4789</v>
      </c>
      <c r="AS41" s="4">
        <f ca="1">ROUND(T_Tiktok_ads[[#This Row],[shares]]*RANDBETWEEN(8,12)/10,0)</f>
        <v>1480</v>
      </c>
      <c r="AT41" s="4">
        <f ca="1">ROUND(T_Tiktok_ads[[#This Row],[comments]]*RANDBETWEEN(8,12)/10,0)</f>
        <v>221</v>
      </c>
      <c r="AV41" s="5">
        <f t="shared" ca="1" si="8"/>
        <v>45265</v>
      </c>
      <c r="AW41">
        <f t="shared" ca="1" si="4"/>
        <v>8</v>
      </c>
      <c r="AX41">
        <f ca="1">ROUND(T_Facebook_Ads115963677175798387919599[[#This Row],[impressions]]*RANDBETWEEN(8,12)/10,0)</f>
        <v>13481</v>
      </c>
      <c r="AY41">
        <f ca="1">ROUND(T_Facebook_Ads115963677175798387919599[[#This Row],[clicks]]*RANDBETWEEN(8,12)/10,0)</f>
        <v>471</v>
      </c>
      <c r="AZ41">
        <f ca="1">T_Facebook_Ads115963677175798387919599[[#This Row],[spend]]*RANDBETWEEN(8,12)/10</f>
        <v>178.73999999999998</v>
      </c>
      <c r="BA41">
        <f ca="1">ROUND(T_Facebook_Ads115963677175798387919599[[#This Row],[conversions]]*RANDBETWEEN(8,12)/10,0)</f>
        <v>42</v>
      </c>
      <c r="BB41">
        <f ca="1">ROUND(T_Facebook_Ads115963677175798387919599[[#This Row],[video_views]]*RANDBETWEEN(8,12)/10,0)</f>
        <v>898</v>
      </c>
    </row>
    <row r="42" spans="1:54" ht="15.75" thickBot="1" x14ac:dyDescent="0.3">
      <c r="A42" s="3">
        <f t="shared" ca="1" si="5"/>
        <v>45279</v>
      </c>
      <c r="B42" s="4" t="s">
        <v>60</v>
      </c>
      <c r="C42" s="4" t="s">
        <v>61</v>
      </c>
      <c r="D42" s="4" t="s">
        <v>62</v>
      </c>
      <c r="E42" s="4" t="s">
        <v>63</v>
      </c>
      <c r="F42" s="4">
        <f ca="1">ROUND(T_Facebook_Ads[[#This Row],[impressions]]*RANDBETWEEN(8,12)/10,0)</f>
        <v>36802</v>
      </c>
      <c r="G42" s="4">
        <v>1203</v>
      </c>
      <c r="H42" s="4">
        <f ca="1">T_Facebook_Ads[[#This Row],[spend]]*RANDBETWEEN(8,12)/10</f>
        <v>203.83</v>
      </c>
      <c r="I42" s="4">
        <f ca="1">ROUND(T_Facebook_Ads[[#This Row],[conversions]]*RANDBETWEEN(8,12)/10,0)</f>
        <v>23</v>
      </c>
      <c r="J42" s="4">
        <f ca="1">ROUND(T_Facebook_Ads[[#This Row],[video_views]]*RANDBETWEEN(8,12)/10,0)</f>
        <v>4234</v>
      </c>
      <c r="K42" s="4">
        <f ca="1">T_Facebook_Ads[[#This Row],[engagement_rate]]*RANDBETWEEN(8,12)/10</f>
        <v>2.8799999999999999E-2</v>
      </c>
      <c r="L42" s="4">
        <f ca="1">ROUND(T_Facebook_Ads[[#This Row],[reach]]*RANDBETWEEN(8,12)/10,0)</f>
        <v>27890</v>
      </c>
      <c r="M42" s="4">
        <f ca="1">T_Facebook_Ads[[#This Row],[frequency]]*RANDBETWEEN(8,12)/10</f>
        <v>1.3199999999999998</v>
      </c>
      <c r="O42" s="3">
        <f t="shared" ca="1" si="6"/>
        <v>45282</v>
      </c>
      <c r="P42" s="4" t="s">
        <v>84</v>
      </c>
      <c r="Q42" s="4" t="s">
        <v>85</v>
      </c>
      <c r="R42" s="4" t="s">
        <v>86</v>
      </c>
      <c r="S42" s="4" t="s">
        <v>87</v>
      </c>
      <c r="T42" s="4">
        <f ca="1">ROUND(_Google_ads[[#This Row],[impressions]]*RANDBETWEEN(8,12)/10,0)</f>
        <v>63456</v>
      </c>
      <c r="U42" s="4">
        <f ca="1">ROUND(_Google_ads[[#This Row],[clicks]]*RANDBETWEEN(8,12)/10,0)</f>
        <v>1880</v>
      </c>
      <c r="V42" s="4">
        <f ca="1">_Google_ads[[#This Row],[cost]]*RANDBETWEEN(8,12)/10</f>
        <v>344.34000000000003</v>
      </c>
      <c r="W42" s="4">
        <f ca="1">ROUND(_Google_ads[[#This Row],[conversions]]*RANDBETWEEN(8,12)/10,0)</f>
        <v>48</v>
      </c>
      <c r="X42" s="4">
        <f ca="1">ROUND(_Google_ads[[#This Row],[conversion_value]]*RANDBETWEEN(8,12)/10,0)</f>
        <v>3600</v>
      </c>
      <c r="Y42" s="4">
        <f ca="1">_Google_ads[[#This Row],[ctr]]*RANDBETWEEN(8,12)/10</f>
        <v>3.9480000000000001E-2</v>
      </c>
      <c r="Z42" s="4">
        <f ca="1">_Google_ads[[#This Row],[avg_cpc]]*RANDBETWEEN(8,12)/10</f>
        <v>0.19800000000000001</v>
      </c>
      <c r="AA42" s="4">
        <f ca="1">ROUND(_Google_ads[[#This Row],[quality_score]]*RANDBETWEEN(8,12)/10,0)</f>
        <v>7</v>
      </c>
      <c r="AB42" s="4">
        <f ca="1">_Google_ads[[#This Row],[search_impression_share]]*RANDBETWEEN(8,12)/10</f>
        <v>0.71500000000000008</v>
      </c>
      <c r="AD42" s="3">
        <f t="shared" ca="1" si="7"/>
        <v>45277</v>
      </c>
      <c r="AE42" s="4" t="s">
        <v>108</v>
      </c>
      <c r="AF42" s="4" t="s">
        <v>109</v>
      </c>
      <c r="AG42" s="4" t="s">
        <v>110</v>
      </c>
      <c r="AH42" s="4" t="s">
        <v>111</v>
      </c>
      <c r="AI42" s="4">
        <f ca="1">ROUND(T_Tiktok_ads[[#This Row],[impressions]]*RANDBETWEEN(8,12)/10,0)</f>
        <v>181111</v>
      </c>
      <c r="AJ42" s="4">
        <f ca="1">ROUND(T_Tiktok_ads[[#This Row],[clicks]]*RANDBETWEEN(8,12)/10,0)</f>
        <v>2811</v>
      </c>
      <c r="AK42" s="4">
        <v>374.5</v>
      </c>
      <c r="AL42" s="4">
        <f ca="1">ROUND(T_Tiktok_ads[[#This Row],[conversions]]*RANDBETWEEN(8,12)/10,0)</f>
        <v>26</v>
      </c>
      <c r="AM42" s="4">
        <f ca="1">ROUND(T_Tiktok_ads[[#This Row],[video_views]]*RANDBETWEEN(8,12)/10,0)</f>
        <v>142101</v>
      </c>
      <c r="AN42" s="4">
        <f ca="1">ROUND(T_Tiktok_ads[[#This Row],[video_watch_25]]*RANDBETWEEN(8,12)/10,0)</f>
        <v>133357</v>
      </c>
      <c r="AO42" s="4">
        <f ca="1">ROUND(T_Tiktok_ads[[#This Row],[video_watch_50]]*RANDBETWEEN(8,12)/10,0)</f>
        <v>86611</v>
      </c>
      <c r="AP42" s="4">
        <f ca="1">ROUND(T_Tiktok_ads[[#This Row],[video_watch_75]]*RANDBETWEEN(8,12)/10,0)</f>
        <v>55111</v>
      </c>
      <c r="AQ42" s="4">
        <f ca="1">ROUND(T_Tiktok_ads[[#This Row],[video_watch_100]]*RANDBETWEEN(8,12)/10,0)</f>
        <v>44947</v>
      </c>
      <c r="AR42" s="4">
        <f ca="1">ROUND(T_Tiktok_ads[[#This Row],[likes]]*RANDBETWEEN(8,12)/10,0)</f>
        <v>7345</v>
      </c>
      <c r="AS42" s="4">
        <f ca="1">ROUND(T_Tiktok_ads[[#This Row],[shares]]*RANDBETWEEN(8,12)/10,0)</f>
        <v>2034</v>
      </c>
      <c r="AT42" s="4">
        <f ca="1">ROUND(T_Tiktok_ads[[#This Row],[comments]]*RANDBETWEEN(8,12)/10,0)</f>
        <v>587</v>
      </c>
      <c r="AV42" s="5">
        <f t="shared" ca="1" si="8"/>
        <v>45284</v>
      </c>
      <c r="AW42">
        <f t="shared" ca="1" si="4"/>
        <v>6</v>
      </c>
      <c r="AX42">
        <f ca="1">ROUND(T_Facebook_Ads115963677175798387919599[[#This Row],[impressions]]*RANDBETWEEN(8,12)/10,0)</f>
        <v>29442</v>
      </c>
      <c r="AY42">
        <f ca="1">ROUND(T_Facebook_Ads115963677175798387919599[[#This Row],[clicks]]*RANDBETWEEN(8,12)/10,0)</f>
        <v>1444</v>
      </c>
      <c r="AZ42">
        <f ca="1">T_Facebook_Ads115963677175798387919599[[#This Row],[spend]]*RANDBETWEEN(8,12)/10</f>
        <v>163.06400000000002</v>
      </c>
      <c r="BA42">
        <f ca="1">ROUND(T_Facebook_Ads115963677175798387919599[[#This Row],[conversions]]*RANDBETWEEN(8,12)/10,0)</f>
        <v>21</v>
      </c>
      <c r="BB42">
        <f ca="1">ROUND(T_Facebook_Ads115963677175798387919599[[#This Row],[video_views]]*RANDBETWEEN(8,12)/10,0)</f>
        <v>3811</v>
      </c>
    </row>
    <row r="43" spans="1:54" ht="15.75" thickBot="1" x14ac:dyDescent="0.3">
      <c r="A43" s="3">
        <f t="shared" ca="1" si="5"/>
        <v>45277</v>
      </c>
      <c r="B43" s="4" t="s">
        <v>64</v>
      </c>
      <c r="C43" s="4" t="s">
        <v>65</v>
      </c>
      <c r="D43" s="4" t="s">
        <v>66</v>
      </c>
      <c r="E43" s="4" t="s">
        <v>67</v>
      </c>
      <c r="F43" s="4">
        <f ca="1">ROUND(T_Facebook_Ads[[#This Row],[impressions]]*RANDBETWEEN(8,12)/10,0)</f>
        <v>58110</v>
      </c>
      <c r="G43" s="4">
        <v>238</v>
      </c>
      <c r="H43" s="4">
        <f ca="1">T_Facebook_Ads[[#This Row],[spend]]*RANDBETWEEN(8,12)/10</f>
        <v>66.72</v>
      </c>
      <c r="I43" s="4">
        <f ca="1">ROUND(T_Facebook_Ads[[#This Row],[conversions]]*RANDBETWEEN(8,12)/10,0)</f>
        <v>4</v>
      </c>
      <c r="J43" s="4">
        <f ca="1">ROUND(T_Facebook_Ads[[#This Row],[video_views]]*RANDBETWEEN(8,12)/10,0)</f>
        <v>43234</v>
      </c>
      <c r="K43" s="4">
        <f ca="1">T_Facebook_Ads[[#This Row],[engagement_rate]]*RANDBETWEEN(8,12)/10</f>
        <v>3.3300000000000005E-3</v>
      </c>
      <c r="L43" s="4">
        <f ca="1">ROUND(T_Facebook_Ads[[#This Row],[reach]]*RANDBETWEEN(8,12)/10,0)</f>
        <v>42312</v>
      </c>
      <c r="M43" s="4">
        <f ca="1">T_Facebook_Ads[[#This Row],[frequency]]*RANDBETWEEN(8,12)/10</f>
        <v>1.3420000000000001</v>
      </c>
      <c r="O43" s="3">
        <f t="shared" ca="1" si="6"/>
        <v>45283</v>
      </c>
      <c r="P43" s="4" t="s">
        <v>88</v>
      </c>
      <c r="Q43" s="4" t="s">
        <v>89</v>
      </c>
      <c r="R43" s="4" t="s">
        <v>90</v>
      </c>
      <c r="S43" s="4" t="s">
        <v>59</v>
      </c>
      <c r="T43" s="4">
        <f ca="1">ROUND(_Google_ads[[#This Row],[impressions]]*RANDBETWEEN(8,12)/10,0)</f>
        <v>107311</v>
      </c>
      <c r="U43" s="4">
        <f ca="1">ROUND(_Google_ads[[#This Row],[clicks]]*RANDBETWEEN(8,12)/10,0)</f>
        <v>477</v>
      </c>
      <c r="V43" s="4">
        <f ca="1">_Google_ads[[#This Row],[cost]]*RANDBETWEEN(8,12)/10</f>
        <v>140.16</v>
      </c>
      <c r="W43" s="4">
        <f ca="1">ROUND(_Google_ads[[#This Row],[conversions]]*RANDBETWEEN(8,12)/10,0)</f>
        <v>10</v>
      </c>
      <c r="X43" s="4">
        <f ca="1">ROUND(_Google_ads[[#This Row],[conversion_value]]*RANDBETWEEN(8,12)/10,0)</f>
        <v>540</v>
      </c>
      <c r="Y43" s="4">
        <f ca="1">_Google_ads[[#This Row],[ctr]]*RANDBETWEEN(8,12)/10</f>
        <v>4.3200000000000001E-3</v>
      </c>
      <c r="Z43" s="4">
        <f ca="1">_Google_ads[[#This Row],[avg_cpc]]*RANDBETWEEN(8,12)/10</f>
        <v>0.21600000000000003</v>
      </c>
      <c r="AA43" s="4">
        <f ca="1">ROUND(_Google_ads[[#This Row],[quality_score]]*RANDBETWEEN(8,12)/10,0)</f>
        <v>8</v>
      </c>
      <c r="AB43" s="4">
        <f ca="1">_Google_ads[[#This Row],[search_impression_share]]*RANDBETWEEN(8,12)/10</f>
        <v>0.36300000000000004</v>
      </c>
      <c r="AD43" s="3">
        <f t="shared" ca="1" si="7"/>
        <v>45281</v>
      </c>
      <c r="AE43" s="4" t="s">
        <v>112</v>
      </c>
      <c r="AF43" s="4" t="s">
        <v>113</v>
      </c>
      <c r="AG43" s="4" t="s">
        <v>114</v>
      </c>
      <c r="AH43" s="4" t="s">
        <v>115</v>
      </c>
      <c r="AI43" s="4">
        <f ca="1">ROUND(T_Tiktok_ads[[#This Row],[impressions]]*RANDBETWEEN(8,12)/10,0)</f>
        <v>294312</v>
      </c>
      <c r="AJ43" s="4">
        <f ca="1">ROUND(T_Tiktok_ads[[#This Row],[clicks]]*RANDBETWEEN(8,12)/10,0)</f>
        <v>6012</v>
      </c>
      <c r="AK43" s="4">
        <v>923.4</v>
      </c>
      <c r="AL43" s="4">
        <f ca="1">ROUND(T_Tiktok_ads[[#This Row],[conversions]]*RANDBETWEEN(8,12)/10,0)</f>
        <v>103</v>
      </c>
      <c r="AM43" s="4">
        <f ca="1">ROUND(T_Tiktok_ads[[#This Row],[video_views]]*RANDBETWEEN(8,12)/10,0)</f>
        <v>271111</v>
      </c>
      <c r="AN43" s="4">
        <f ca="1">ROUND(T_Tiktok_ads[[#This Row],[video_watch_25]]*RANDBETWEEN(8,12)/10,0)</f>
        <v>221110</v>
      </c>
      <c r="AO43" s="4">
        <f ca="1">ROUND(T_Tiktok_ads[[#This Row],[video_watch_50]]*RANDBETWEEN(8,12)/10,0)</f>
        <v>196789</v>
      </c>
      <c r="AP43" s="4">
        <f ca="1">ROUND(T_Tiktok_ads[[#This Row],[video_watch_75]]*RANDBETWEEN(8,12)/10,0)</f>
        <v>112187</v>
      </c>
      <c r="AQ43" s="4">
        <f ca="1">ROUND(T_Tiktok_ads[[#This Row],[video_watch_100]]*RANDBETWEEN(8,12)/10,0)</f>
        <v>93456</v>
      </c>
      <c r="AR43" s="4">
        <f ca="1">ROUND(T_Tiktok_ads[[#This Row],[likes]]*RANDBETWEEN(8,12)/10,0)</f>
        <v>16234</v>
      </c>
      <c r="AS43" s="4">
        <f ca="1">ROUND(T_Tiktok_ads[[#This Row],[shares]]*RANDBETWEEN(8,12)/10,0)</f>
        <v>5747</v>
      </c>
      <c r="AT43" s="4">
        <f ca="1">ROUND(T_Tiktok_ads[[#This Row],[comments]]*RANDBETWEEN(8,12)/10,0)</f>
        <v>1547</v>
      </c>
      <c r="AV43" s="5">
        <f t="shared" ca="1" si="8"/>
        <v>45285</v>
      </c>
      <c r="AW43">
        <f t="shared" ca="1" si="4"/>
        <v>8</v>
      </c>
      <c r="AX43">
        <f ca="1">ROUND(T_Facebook_Ads115963677175798387919599[[#This Row],[impressions]]*RANDBETWEEN(8,12)/10,0)</f>
        <v>52299</v>
      </c>
      <c r="AY43">
        <f ca="1">ROUND(T_Facebook_Ads115963677175798387919599[[#This Row],[clicks]]*RANDBETWEEN(8,12)/10,0)</f>
        <v>286</v>
      </c>
      <c r="AZ43">
        <f ca="1">T_Facebook_Ads115963677175798387919599[[#This Row],[spend]]*RANDBETWEEN(8,12)/10</f>
        <v>53.375999999999998</v>
      </c>
      <c r="BA43">
        <f ca="1">ROUND(T_Facebook_Ads115963677175798387919599[[#This Row],[conversions]]*RANDBETWEEN(8,12)/10,0)</f>
        <v>4</v>
      </c>
      <c r="BB43">
        <f ca="1">ROUND(T_Facebook_Ads115963677175798387919599[[#This Row],[video_views]]*RANDBETWEEN(8,12)/10,0)</f>
        <v>47557</v>
      </c>
    </row>
    <row r="44" spans="1:54" ht="15.75" thickBot="1" x14ac:dyDescent="0.3">
      <c r="A44" s="3">
        <f t="shared" ca="1" si="5"/>
        <v>45265</v>
      </c>
      <c r="B44" s="4" t="s">
        <v>52</v>
      </c>
      <c r="C44" s="4" t="s">
        <v>53</v>
      </c>
      <c r="D44" s="4" t="s">
        <v>54</v>
      </c>
      <c r="E44" s="4" t="s">
        <v>55</v>
      </c>
      <c r="F44" s="4">
        <f ca="1">ROUND(T_Facebook_Ads[[#This Row],[impressions]]*RANDBETWEEN(8,12)/10,0)</f>
        <v>48148</v>
      </c>
      <c r="G44" s="4">
        <v>798</v>
      </c>
      <c r="H44" s="4">
        <f ca="1">T_Facebook_Ads[[#This Row],[spend]]*RANDBETWEEN(8,12)/10</f>
        <v>126.17</v>
      </c>
      <c r="I44" s="4">
        <f ca="1">ROUND(T_Facebook_Ads[[#This Row],[conversions]]*RANDBETWEEN(8,12)/10,0)</f>
        <v>12</v>
      </c>
      <c r="J44" s="4">
        <f ca="1">ROUND(T_Facebook_Ads[[#This Row],[video_views]]*RANDBETWEEN(8,12)/10,0)</f>
        <v>5876</v>
      </c>
      <c r="K44" s="4">
        <f ca="1">T_Facebook_Ads[[#This Row],[engagement_rate]]*RANDBETWEEN(8,12)/10</f>
        <v>1.592E-2</v>
      </c>
      <c r="L44" s="4">
        <f ca="1">ROUND(T_Facebook_Ads[[#This Row],[reach]]*RANDBETWEEN(8,12)/10,0)</f>
        <v>33456</v>
      </c>
      <c r="M44" s="4">
        <f ca="1">T_Facebook_Ads[[#This Row],[frequency]]*RANDBETWEEN(8,12)/10</f>
        <v>1.3199999999999998</v>
      </c>
      <c r="O44" s="3">
        <f t="shared" ca="1" si="6"/>
        <v>45291</v>
      </c>
      <c r="P44" s="4" t="s">
        <v>76</v>
      </c>
      <c r="Q44" s="4" t="s">
        <v>77</v>
      </c>
      <c r="R44" s="4" t="s">
        <v>78</v>
      </c>
      <c r="S44" s="4" t="s">
        <v>79</v>
      </c>
      <c r="T44" s="4">
        <f ca="1">ROUND(_Google_ads[[#This Row],[impressions]]*RANDBETWEEN(8,12)/10,0)</f>
        <v>21234</v>
      </c>
      <c r="U44" s="4">
        <f ca="1">ROUND(_Google_ads[[#This Row],[clicks]]*RANDBETWEEN(8,12)/10,0)</f>
        <v>1307</v>
      </c>
      <c r="V44" s="4">
        <f ca="1">_Google_ads[[#This Row],[cost]]*RANDBETWEEN(8,12)/10</f>
        <v>166.24</v>
      </c>
      <c r="W44" s="4">
        <f ca="1">ROUND(_Google_ads[[#This Row],[conversions]]*RANDBETWEEN(8,12)/10,0)</f>
        <v>45</v>
      </c>
      <c r="X44" s="4">
        <f ca="1">ROUND(_Google_ads[[#This Row],[conversion_value]]*RANDBETWEEN(8,12)/10,0)</f>
        <v>2460</v>
      </c>
      <c r="Y44" s="4">
        <f ca="1">_Google_ads[[#This Row],[ctr]]*RANDBETWEEN(8,12)/10</f>
        <v>5.1299999999999998E-2</v>
      </c>
      <c r="Z44" s="4">
        <f ca="1">_Google_ads[[#This Row],[avg_cpc]]*RANDBETWEEN(8,12)/10</f>
        <v>0.17099999999999999</v>
      </c>
      <c r="AA44" s="4">
        <f ca="1">ROUND(_Google_ads[[#This Row],[quality_score]]*RANDBETWEEN(8,12)/10,0)</f>
        <v>10</v>
      </c>
      <c r="AB44" s="4">
        <f ca="1">_Google_ads[[#This Row],[search_impression_share]]*RANDBETWEEN(8,12)/10</f>
        <v>0.89</v>
      </c>
      <c r="AD44" s="3">
        <f t="shared" ca="1" si="7"/>
        <v>45287</v>
      </c>
      <c r="AE44" s="4" t="s">
        <v>100</v>
      </c>
      <c r="AF44" s="4" t="s">
        <v>101</v>
      </c>
      <c r="AG44" s="4" t="s">
        <v>102</v>
      </c>
      <c r="AH44" s="4" t="s">
        <v>103</v>
      </c>
      <c r="AI44" s="4">
        <f ca="1">ROUND(T_Tiktok_ads[[#This Row],[impressions]]*RANDBETWEEN(8,12)/10,0)</f>
        <v>223456</v>
      </c>
      <c r="AJ44" s="4">
        <f ca="1">ROUND(T_Tiktok_ads[[#This Row],[clicks]]*RANDBETWEEN(8,12)/10,0)</f>
        <v>3557</v>
      </c>
      <c r="AK44" s="4">
        <v>434.5</v>
      </c>
      <c r="AL44" s="4">
        <f ca="1">ROUND(T_Tiktok_ads[[#This Row],[conversions]]*RANDBETWEEN(8,12)/10,0)</f>
        <v>29</v>
      </c>
      <c r="AM44" s="4">
        <f ca="1">ROUND(T_Tiktok_ads[[#This Row],[video_views]]*RANDBETWEEN(8,12)/10,0)</f>
        <v>151387</v>
      </c>
      <c r="AN44" s="4">
        <f ca="1">ROUND(T_Tiktok_ads[[#This Row],[video_watch_25]]*RANDBETWEEN(8,12)/10,0)</f>
        <v>133411</v>
      </c>
      <c r="AO44" s="4">
        <f ca="1">ROUND(T_Tiktok_ads[[#This Row],[video_watch_50]]*RANDBETWEEN(8,12)/10,0)</f>
        <v>111881</v>
      </c>
      <c r="AP44" s="4">
        <f ca="1">ROUND(T_Tiktok_ads[[#This Row],[video_watch_75]]*RANDBETWEEN(8,12)/10,0)</f>
        <v>76147</v>
      </c>
      <c r="AQ44" s="4">
        <f ca="1">ROUND(T_Tiktok_ads[[#This Row],[video_watch_100]]*RANDBETWEEN(8,12)/10,0)</f>
        <v>34587</v>
      </c>
      <c r="AR44" s="4">
        <f ca="1">ROUND(T_Tiktok_ads[[#This Row],[likes]]*RANDBETWEEN(8,12)/10,0)</f>
        <v>9424</v>
      </c>
      <c r="AS44" s="4">
        <f ca="1">ROUND(T_Tiktok_ads[[#This Row],[shares]]*RANDBETWEEN(8,12)/10,0)</f>
        <v>2011</v>
      </c>
      <c r="AT44" s="4">
        <f ca="1">ROUND(T_Tiktok_ads[[#This Row],[comments]]*RANDBETWEEN(8,12)/10,0)</f>
        <v>534</v>
      </c>
      <c r="AV44" s="5">
        <f t="shared" ca="1" si="8"/>
        <v>45290</v>
      </c>
      <c r="AW44">
        <f t="shared" ca="1" si="4"/>
        <v>3</v>
      </c>
      <c r="AX44">
        <f ca="1">ROUND(T_Facebook_Ads115963677175798387919599[[#This Row],[impressions]]*RANDBETWEEN(8,12)/10,0)</f>
        <v>38518</v>
      </c>
      <c r="AY44">
        <f ca="1">ROUND(T_Facebook_Ads115963677175798387919599[[#This Row],[clicks]]*RANDBETWEEN(8,12)/10,0)</f>
        <v>638</v>
      </c>
      <c r="AZ44">
        <f ca="1">T_Facebook_Ads115963677175798387919599[[#This Row],[spend]]*RANDBETWEEN(8,12)/10</f>
        <v>113.553</v>
      </c>
      <c r="BA44">
        <f ca="1">ROUND(T_Facebook_Ads115963677175798387919599[[#This Row],[conversions]]*RANDBETWEEN(8,12)/10,0)</f>
        <v>13</v>
      </c>
      <c r="BB44">
        <f ca="1">ROUND(T_Facebook_Ads115963677175798387919599[[#This Row],[video_views]]*RANDBETWEEN(8,12)/10,0)</f>
        <v>6464</v>
      </c>
    </row>
    <row r="45" spans="1:54" ht="15.75" thickBot="1" x14ac:dyDescent="0.3">
      <c r="A45" s="3">
        <f t="shared" ca="1" si="5"/>
        <v>45286</v>
      </c>
      <c r="B45" s="4" t="s">
        <v>56</v>
      </c>
      <c r="C45" s="4" t="s">
        <v>57</v>
      </c>
      <c r="D45" s="4" t="s">
        <v>58</v>
      </c>
      <c r="E45" s="4" t="s">
        <v>59</v>
      </c>
      <c r="F45" s="4">
        <f ca="1">ROUND(T_Facebook_Ads[[#This Row],[impressions]]*RANDBETWEEN(8,12)/10,0)</f>
        <v>8454</v>
      </c>
      <c r="G45" s="4">
        <v>489</v>
      </c>
      <c r="H45" s="4">
        <f ca="1">T_Facebook_Ads[[#This Row],[spend]]*RANDBETWEEN(8,12)/10</f>
        <v>167.31</v>
      </c>
      <c r="I45" s="4">
        <f ca="1">ROUND(T_Facebook_Ads[[#This Row],[conversions]]*RANDBETWEEN(8,12)/10,0)</f>
        <v>26</v>
      </c>
      <c r="J45" s="4">
        <f ca="1">ROUND(T_Facebook_Ads[[#This Row],[video_views]]*RANDBETWEEN(8,12)/10,0)</f>
        <v>1098</v>
      </c>
      <c r="K45" s="4">
        <f ca="1">T_Facebook_Ads[[#This Row],[engagement_rate]]*RANDBETWEEN(8,12)/10</f>
        <v>4.1669999999999999E-2</v>
      </c>
      <c r="L45" s="4">
        <f ca="1">ROUND(T_Facebook_Ads[[#This Row],[reach]]*RANDBETWEEN(8,12)/10,0)</f>
        <v>9057</v>
      </c>
      <c r="M45" s="4">
        <f ca="1">T_Facebook_Ads[[#This Row],[frequency]]*RANDBETWEEN(8,12)/10</f>
        <v>1.4079999999999999</v>
      </c>
      <c r="O45" s="3">
        <f t="shared" ca="1" si="6"/>
        <v>45285</v>
      </c>
      <c r="P45" s="4" t="s">
        <v>80</v>
      </c>
      <c r="Q45" s="4" t="s">
        <v>81</v>
      </c>
      <c r="R45" s="4" t="s">
        <v>82</v>
      </c>
      <c r="S45" s="4" t="s">
        <v>83</v>
      </c>
      <c r="T45" s="4">
        <f ca="1">ROUND(_Google_ads[[#This Row],[impressions]]*RANDBETWEEN(8,12)/10,0)</f>
        <v>35610</v>
      </c>
      <c r="U45" s="4">
        <f ca="1">ROUND(_Google_ads[[#This Row],[clicks]]*RANDBETWEEN(8,12)/10,0)</f>
        <v>631</v>
      </c>
      <c r="V45" s="4">
        <f ca="1">_Google_ads[[#This Row],[cost]]*RANDBETWEEN(8,12)/10</f>
        <v>558.14</v>
      </c>
      <c r="W45" s="4">
        <f ca="1">ROUND(_Google_ads[[#This Row],[conversions]]*RANDBETWEEN(8,12)/10,0)</f>
        <v>15</v>
      </c>
      <c r="X45" s="4">
        <f ca="1">ROUND(_Google_ads[[#This Row],[conversion_value]]*RANDBETWEEN(8,12)/10,0)</f>
        <v>1045</v>
      </c>
      <c r="Y45" s="4">
        <f ca="1">_Google_ads[[#This Row],[ctr]]*RANDBETWEEN(8,12)/10</f>
        <v>1.7910000000000002E-2</v>
      </c>
      <c r="Z45" s="4">
        <f ca="1">_Google_ads[[#This Row],[avg_cpc]]*RANDBETWEEN(8,12)/10</f>
        <v>0.64</v>
      </c>
      <c r="AA45" s="4">
        <f ca="1">ROUND(_Google_ads[[#This Row],[quality_score]]*RANDBETWEEN(8,12)/10,0)</f>
        <v>5</v>
      </c>
      <c r="AB45" s="4">
        <f ca="1">_Google_ads[[#This Row],[search_impression_share]]*RANDBETWEEN(8,12)/10</f>
        <v>0.378</v>
      </c>
      <c r="AD45" s="3">
        <f t="shared" ca="1" si="7"/>
        <v>45268</v>
      </c>
      <c r="AE45" s="4" t="s">
        <v>104</v>
      </c>
      <c r="AF45" s="4" t="s">
        <v>105</v>
      </c>
      <c r="AG45" s="4" t="s">
        <v>106</v>
      </c>
      <c r="AH45" s="4" t="s">
        <v>107</v>
      </c>
      <c r="AI45" s="4">
        <f ca="1">ROUND(T_Tiktok_ads[[#This Row],[impressions]]*RANDBETWEEN(8,12)/10,0)</f>
        <v>154681</v>
      </c>
      <c r="AJ45" s="4">
        <f ca="1">ROUND(T_Tiktok_ads[[#This Row],[clicks]]*RANDBETWEEN(8,12)/10,0)</f>
        <v>2456</v>
      </c>
      <c r="AK45" s="4">
        <v>689.5</v>
      </c>
      <c r="AL45" s="4">
        <f ca="1">ROUND(T_Tiktok_ads[[#This Row],[conversions]]*RANDBETWEEN(8,12)/10,0)</f>
        <v>75</v>
      </c>
      <c r="AM45" s="4">
        <f ca="1">ROUND(T_Tiktok_ads[[#This Row],[video_views]]*RANDBETWEEN(8,12)/10,0)</f>
        <v>109481</v>
      </c>
      <c r="AN45" s="4">
        <f ca="1">ROUND(T_Tiktok_ads[[#This Row],[video_watch_25]]*RANDBETWEEN(8,12)/10,0)</f>
        <v>68234</v>
      </c>
      <c r="AO45" s="4">
        <f ca="1">ROUND(T_Tiktok_ads[[#This Row],[video_watch_50]]*RANDBETWEEN(8,12)/10,0)</f>
        <v>45789</v>
      </c>
      <c r="AP45" s="4">
        <f ca="1">ROUND(T_Tiktok_ads[[#This Row],[video_watch_75]]*RANDBETWEEN(8,12)/10,0)</f>
        <v>41480</v>
      </c>
      <c r="AQ45" s="4">
        <f ca="1">ROUND(T_Tiktok_ads[[#This Row],[video_watch_100]]*RANDBETWEEN(8,12)/10,0)</f>
        <v>23678</v>
      </c>
      <c r="AR45" s="4">
        <f ca="1">ROUND(T_Tiktok_ads[[#This Row],[likes]]*RANDBETWEEN(8,12)/10,0)</f>
        <v>5614</v>
      </c>
      <c r="AS45" s="4">
        <f ca="1">ROUND(T_Tiktok_ads[[#This Row],[shares]]*RANDBETWEEN(8,12)/10,0)</f>
        <v>1267</v>
      </c>
      <c r="AT45" s="4">
        <f ca="1">ROUND(T_Tiktok_ads[[#This Row],[comments]]*RANDBETWEEN(8,12)/10,0)</f>
        <v>284</v>
      </c>
      <c r="AV45" s="5">
        <f t="shared" ca="1" si="8"/>
        <v>45288</v>
      </c>
      <c r="AW45">
        <f t="shared" ca="1" si="4"/>
        <v>6</v>
      </c>
      <c r="AX45">
        <f ca="1">ROUND(T_Facebook_Ads115963677175798387919599[[#This Row],[impressions]]*RANDBETWEEN(8,12)/10,0)</f>
        <v>10145</v>
      </c>
      <c r="AY45">
        <f ca="1">ROUND(T_Facebook_Ads115963677175798387919599[[#This Row],[clicks]]*RANDBETWEEN(8,12)/10,0)</f>
        <v>489</v>
      </c>
      <c r="AZ45">
        <f ca="1">T_Facebook_Ads115963677175798387919599[[#This Row],[spend]]*RANDBETWEEN(8,12)/10</f>
        <v>200.77199999999999</v>
      </c>
      <c r="BA45">
        <f ca="1">ROUND(T_Facebook_Ads115963677175798387919599[[#This Row],[conversions]]*RANDBETWEEN(8,12)/10,0)</f>
        <v>26</v>
      </c>
      <c r="BB45">
        <f ca="1">ROUND(T_Facebook_Ads115963677175798387919599[[#This Row],[video_views]]*RANDBETWEEN(8,12)/10,0)</f>
        <v>1208</v>
      </c>
    </row>
    <row r="46" spans="1:54" ht="15.75" thickBot="1" x14ac:dyDescent="0.3">
      <c r="A46" s="3">
        <f t="shared" ca="1" si="5"/>
        <v>45276</v>
      </c>
      <c r="B46" s="4" t="s">
        <v>60</v>
      </c>
      <c r="C46" s="4" t="s">
        <v>61</v>
      </c>
      <c r="D46" s="4" t="s">
        <v>62</v>
      </c>
      <c r="E46" s="4" t="s">
        <v>63</v>
      </c>
      <c r="F46" s="4">
        <f ca="1">ROUND(T_Facebook_Ads[[#This Row],[impressions]]*RANDBETWEEN(8,12)/10,0)</f>
        <v>34357</v>
      </c>
      <c r="G46" s="4">
        <v>1123</v>
      </c>
      <c r="H46" s="4">
        <f ca="1">T_Facebook_Ads[[#This Row],[spend]]*RANDBETWEEN(8,12)/10</f>
        <v>173.8</v>
      </c>
      <c r="I46" s="4">
        <f ca="1">ROUND(T_Facebook_Ads[[#This Row],[conversions]]*RANDBETWEEN(8,12)/10,0)</f>
        <v>17</v>
      </c>
      <c r="J46" s="4">
        <f ca="1">ROUND(T_Facebook_Ads[[#This Row],[video_views]]*RANDBETWEEN(8,12)/10,0)</f>
        <v>3112</v>
      </c>
      <c r="K46" s="4">
        <f ca="1">T_Facebook_Ads[[#This Row],[engagement_rate]]*RANDBETWEEN(8,12)/10</f>
        <v>3.9599999999999996E-2</v>
      </c>
      <c r="L46" s="4">
        <f ca="1">ROUND(T_Facebook_Ads[[#This Row],[reach]]*RANDBETWEEN(8,12)/10,0)</f>
        <v>31348</v>
      </c>
      <c r="M46" s="4">
        <f ca="1">T_Facebook_Ads[[#This Row],[frequency]]*RANDBETWEEN(8,12)/10</f>
        <v>1.2</v>
      </c>
      <c r="O46" s="3">
        <f t="shared" ca="1" si="6"/>
        <v>45265</v>
      </c>
      <c r="P46" s="4" t="s">
        <v>84</v>
      </c>
      <c r="Q46" s="4" t="s">
        <v>85</v>
      </c>
      <c r="R46" s="4" t="s">
        <v>86</v>
      </c>
      <c r="S46" s="4" t="s">
        <v>87</v>
      </c>
      <c r="T46" s="4">
        <f ca="1">ROUND(_Google_ads[[#This Row],[impressions]]*RANDBETWEEN(8,12)/10,0)</f>
        <v>61890</v>
      </c>
      <c r="U46" s="4">
        <f ca="1">ROUND(_Google_ads[[#This Row],[clicks]]*RANDBETWEEN(8,12)/10,0)</f>
        <v>2213</v>
      </c>
      <c r="V46" s="4">
        <f ca="1">_Google_ads[[#This Row],[cost]]*RANDBETWEEN(8,12)/10</f>
        <v>295.44</v>
      </c>
      <c r="W46" s="4">
        <f ca="1">ROUND(_Google_ads[[#This Row],[conversions]]*RANDBETWEEN(8,12)/10,0)</f>
        <v>58</v>
      </c>
      <c r="X46" s="4">
        <f ca="1">ROUND(_Google_ads[[#This Row],[conversion_value]]*RANDBETWEEN(8,12)/10,0)</f>
        <v>3190</v>
      </c>
      <c r="Y46" s="4">
        <f ca="1">_Google_ads[[#This Row],[ctr]]*RANDBETWEEN(8,12)/10</f>
        <v>2.9249999999999998E-2</v>
      </c>
      <c r="Z46" s="4">
        <f ca="1">_Google_ads[[#This Row],[avg_cpc]]*RANDBETWEEN(8,12)/10</f>
        <v>0.19800000000000001</v>
      </c>
      <c r="AA46" s="4">
        <f ca="1">ROUND(_Google_ads[[#This Row],[quality_score]]*RANDBETWEEN(8,12)/10,0)</f>
        <v>6</v>
      </c>
      <c r="AB46" s="4">
        <f ca="1">_Google_ads[[#This Row],[search_impression_share]]*RANDBETWEEN(8,12)/10</f>
        <v>0.51200000000000001</v>
      </c>
      <c r="AD46" s="3">
        <f t="shared" ca="1" si="7"/>
        <v>45272</v>
      </c>
      <c r="AE46" s="4" t="s">
        <v>108</v>
      </c>
      <c r="AF46" s="4" t="s">
        <v>109</v>
      </c>
      <c r="AG46" s="4" t="s">
        <v>110</v>
      </c>
      <c r="AH46" s="4" t="s">
        <v>111</v>
      </c>
      <c r="AI46" s="4">
        <f ca="1">ROUND(T_Tiktok_ads[[#This Row],[impressions]]*RANDBETWEEN(8,12)/10,0)</f>
        <v>215246</v>
      </c>
      <c r="AJ46" s="4">
        <f ca="1">ROUND(T_Tiktok_ads[[#This Row],[clicks]]*RANDBETWEEN(8,12)/10,0)</f>
        <v>2690</v>
      </c>
      <c r="AK46" s="4">
        <v>361.2</v>
      </c>
      <c r="AL46" s="4">
        <f ca="1">ROUND(T_Tiktok_ads[[#This Row],[conversions]]*RANDBETWEEN(8,12)/10,0)</f>
        <v>25</v>
      </c>
      <c r="AM46" s="4">
        <f ca="1">ROUND(T_Tiktok_ads[[#This Row],[video_views]]*RANDBETWEEN(8,12)/10,0)</f>
        <v>152345</v>
      </c>
      <c r="AN46" s="4">
        <f ca="1">ROUND(T_Tiktok_ads[[#This Row],[video_watch_25]]*RANDBETWEEN(8,12)/10,0)</f>
        <v>128957</v>
      </c>
      <c r="AO46" s="4">
        <f ca="1">ROUND(T_Tiktok_ads[[#This Row],[video_watch_50]]*RANDBETWEEN(8,12)/10,0)</f>
        <v>111881</v>
      </c>
      <c r="AP46" s="4">
        <f ca="1">ROUND(T_Tiktok_ads[[#This Row],[video_watch_75]]*RANDBETWEEN(8,12)/10,0)</f>
        <v>47387</v>
      </c>
      <c r="AQ46" s="4">
        <f ca="1">ROUND(T_Tiktok_ads[[#This Row],[video_watch_100]]*RANDBETWEEN(8,12)/10,0)</f>
        <v>36234</v>
      </c>
      <c r="AR46" s="4">
        <f ca="1">ROUND(T_Tiktok_ads[[#This Row],[likes]]*RANDBETWEEN(8,12)/10,0)</f>
        <v>6411</v>
      </c>
      <c r="AS46" s="4">
        <f ca="1">ROUND(T_Tiktok_ads[[#This Row],[shares]]*RANDBETWEEN(8,12)/10,0)</f>
        <v>1967</v>
      </c>
      <c r="AT46" s="4">
        <f ca="1">ROUND(T_Tiktok_ads[[#This Row],[comments]]*RANDBETWEEN(8,12)/10,0)</f>
        <v>526</v>
      </c>
      <c r="AV46" s="5">
        <f t="shared" ca="1" si="8"/>
        <v>45270</v>
      </c>
      <c r="AW46">
        <f t="shared" ca="1" si="4"/>
        <v>5</v>
      </c>
      <c r="AX46">
        <f ca="1">ROUND(T_Facebook_Ads115963677175798387919599[[#This Row],[impressions]]*RANDBETWEEN(8,12)/10,0)</f>
        <v>37793</v>
      </c>
      <c r="AY46">
        <f ca="1">ROUND(T_Facebook_Ads115963677175798387919599[[#This Row],[clicks]]*RANDBETWEEN(8,12)/10,0)</f>
        <v>1123</v>
      </c>
      <c r="AZ46">
        <f ca="1">T_Facebook_Ads115963677175798387919599[[#This Row],[spend]]*RANDBETWEEN(8,12)/10</f>
        <v>173.8</v>
      </c>
      <c r="BA46">
        <f ca="1">ROUND(T_Facebook_Ads115963677175798387919599[[#This Row],[conversions]]*RANDBETWEEN(8,12)/10,0)</f>
        <v>15</v>
      </c>
      <c r="BB46">
        <f ca="1">ROUND(T_Facebook_Ads115963677175798387919599[[#This Row],[video_views]]*RANDBETWEEN(8,12)/10,0)</f>
        <v>3423</v>
      </c>
    </row>
    <row r="47" spans="1:54" ht="15.75" thickBot="1" x14ac:dyDescent="0.3">
      <c r="A47" s="3">
        <f t="shared" ca="1" si="5"/>
        <v>45284</v>
      </c>
      <c r="B47" s="4" t="s">
        <v>64</v>
      </c>
      <c r="C47" s="4" t="s">
        <v>65</v>
      </c>
      <c r="D47" s="4" t="s">
        <v>66</v>
      </c>
      <c r="E47" s="4" t="s">
        <v>67</v>
      </c>
      <c r="F47" s="4">
        <f ca="1">ROUND(T_Facebook_Ads[[#This Row],[impressions]]*RANDBETWEEN(8,12)/10,0)</f>
        <v>55111</v>
      </c>
      <c r="G47" s="4">
        <v>223</v>
      </c>
      <c r="H47" s="4">
        <f ca="1">T_Facebook_Ads[[#This Row],[spend]]*RANDBETWEEN(8,12)/10</f>
        <v>71.010000000000005</v>
      </c>
      <c r="I47" s="4">
        <f ca="1">ROUND(T_Facebook_Ads[[#This Row],[conversions]]*RANDBETWEEN(8,12)/10,0)</f>
        <v>4</v>
      </c>
      <c r="J47" s="4">
        <f ca="1">ROUND(T_Facebook_Ads[[#This Row],[video_views]]*RANDBETWEEN(8,12)/10,0)</f>
        <v>40567</v>
      </c>
      <c r="K47" s="4">
        <f ca="1">T_Facebook_Ads[[#This Row],[engagement_rate]]*RANDBETWEEN(8,12)/10</f>
        <v>3.2399999999999998E-3</v>
      </c>
      <c r="L47" s="4">
        <f ca="1">ROUND(T_Facebook_Ads[[#This Row],[reach]]*RANDBETWEEN(8,12)/10,0)</f>
        <v>50123</v>
      </c>
      <c r="M47" s="4">
        <f ca="1">T_Facebook_Ads[[#This Row],[frequency]]*RANDBETWEEN(8,12)/10</f>
        <v>1.22</v>
      </c>
      <c r="O47" s="3">
        <f t="shared" ca="1" si="6"/>
        <v>45287</v>
      </c>
      <c r="P47" s="4" t="s">
        <v>88</v>
      </c>
      <c r="Q47" s="4" t="s">
        <v>89</v>
      </c>
      <c r="R47" s="4" t="s">
        <v>90</v>
      </c>
      <c r="S47" s="4" t="s">
        <v>59</v>
      </c>
      <c r="T47" s="4">
        <f ca="1">ROUND(_Google_ads[[#This Row],[impressions]]*RANDBETWEEN(8,12)/10,0)</f>
        <v>104110</v>
      </c>
      <c r="U47" s="4">
        <f ca="1">ROUND(_Google_ads[[#This Row],[clicks]]*RANDBETWEEN(8,12)/10,0)</f>
        <v>412</v>
      </c>
      <c r="V47" s="4">
        <f ca="1">_Google_ads[[#This Row],[cost]]*RANDBETWEEN(8,12)/10</f>
        <v>113.4</v>
      </c>
      <c r="W47" s="4">
        <f ca="1">ROUND(_Google_ads[[#This Row],[conversions]]*RANDBETWEEN(8,12)/10,0)</f>
        <v>11</v>
      </c>
      <c r="X47" s="4">
        <f ca="1">ROUND(_Google_ads[[#This Row],[conversion_value]]*RANDBETWEEN(8,12)/10,0)</f>
        <v>495</v>
      </c>
      <c r="Y47" s="4">
        <f ca="1">_Google_ads[[#This Row],[ctr]]*RANDBETWEEN(8,12)/10</f>
        <v>3.2399999999999998E-3</v>
      </c>
      <c r="Z47" s="4">
        <f ca="1">_Google_ads[[#This Row],[avg_cpc]]*RANDBETWEEN(8,12)/10</f>
        <v>0.308</v>
      </c>
      <c r="AA47" s="4">
        <f ca="1">ROUND(_Google_ads[[#This Row],[quality_score]]*RANDBETWEEN(8,12)/10,0)</f>
        <v>8</v>
      </c>
      <c r="AB47" s="4">
        <f ca="1">_Google_ads[[#This Row],[search_impression_share]]*RANDBETWEEN(8,12)/10</f>
        <v>0.38400000000000001</v>
      </c>
      <c r="AD47" s="3">
        <f t="shared" ca="1" si="7"/>
        <v>45278</v>
      </c>
      <c r="AE47" s="4" t="s">
        <v>112</v>
      </c>
      <c r="AF47" s="4" t="s">
        <v>113</v>
      </c>
      <c r="AG47" s="4" t="s">
        <v>114</v>
      </c>
      <c r="AH47" s="4" t="s">
        <v>115</v>
      </c>
      <c r="AI47" s="4">
        <f ca="1">ROUND(T_Tiktok_ads[[#This Row],[impressions]]*RANDBETWEEN(8,12)/10,0)</f>
        <v>428147</v>
      </c>
      <c r="AJ47" s="4">
        <f ca="1">ROUND(T_Tiktok_ads[[#This Row],[clicks]]*RANDBETWEEN(8,12)/10,0)</f>
        <v>5251</v>
      </c>
      <c r="AK47" s="4">
        <v>901.2</v>
      </c>
      <c r="AL47" s="4">
        <f ca="1">ROUND(T_Tiktok_ads[[#This Row],[conversions]]*RANDBETWEEN(8,12)/10,0)</f>
        <v>100</v>
      </c>
      <c r="AM47" s="4">
        <f ca="1">ROUND(T_Tiktok_ads[[#This Row],[video_views]]*RANDBETWEEN(8,12)/10,0)</f>
        <v>293456</v>
      </c>
      <c r="AN47" s="4">
        <f ca="1">ROUND(T_Tiktok_ads[[#This Row],[video_watch_25]]*RANDBETWEEN(8,12)/10,0)</f>
        <v>239234</v>
      </c>
      <c r="AO47" s="4">
        <f ca="1">ROUND(T_Tiktok_ads[[#This Row],[video_watch_50]]*RANDBETWEEN(8,12)/10,0)</f>
        <v>210357</v>
      </c>
      <c r="AP47" s="4">
        <f ca="1">ROUND(T_Tiktok_ads[[#This Row],[video_watch_75]]*RANDBETWEEN(8,12)/10,0)</f>
        <v>163481</v>
      </c>
      <c r="AQ47" s="4">
        <f ca="1">ROUND(T_Tiktok_ads[[#This Row],[video_watch_100]]*RANDBETWEEN(8,12)/10,0)</f>
        <v>90234</v>
      </c>
      <c r="AR47" s="4">
        <f ca="1">ROUND(T_Tiktok_ads[[#This Row],[likes]]*RANDBETWEEN(8,12)/10,0)</f>
        <v>17479</v>
      </c>
      <c r="AS47" s="4">
        <f ca="1">ROUND(T_Tiktok_ads[[#This Row],[shares]]*RANDBETWEEN(8,12)/10,0)</f>
        <v>5561</v>
      </c>
      <c r="AT47" s="4">
        <f ca="1">ROUND(T_Tiktok_ads[[#This Row],[comments]]*RANDBETWEEN(8,12)/10,0)</f>
        <v>1130</v>
      </c>
      <c r="AV47" s="5">
        <f t="shared" ca="1" si="8"/>
        <v>45274</v>
      </c>
      <c r="AW47">
        <f t="shared" ca="1" si="4"/>
        <v>4</v>
      </c>
      <c r="AX47">
        <f ca="1">ROUND(T_Facebook_Ads115963677175798387919599[[#This Row],[impressions]]*RANDBETWEEN(8,12)/10,0)</f>
        <v>55111</v>
      </c>
      <c r="AY47">
        <f ca="1">ROUND(T_Facebook_Ads115963677175798387919599[[#This Row],[clicks]]*RANDBETWEEN(8,12)/10,0)</f>
        <v>223</v>
      </c>
      <c r="AZ47">
        <f ca="1">T_Facebook_Ads115963677175798387919599[[#This Row],[spend]]*RANDBETWEEN(8,12)/10</f>
        <v>85.212000000000018</v>
      </c>
      <c r="BA47">
        <f ca="1">ROUND(T_Facebook_Ads115963677175798387919599[[#This Row],[conversions]]*RANDBETWEEN(8,12)/10,0)</f>
        <v>4</v>
      </c>
      <c r="BB47">
        <f ca="1">ROUND(T_Facebook_Ads115963677175798387919599[[#This Row],[video_views]]*RANDBETWEEN(8,12)/10,0)</f>
        <v>36510</v>
      </c>
    </row>
    <row r="48" spans="1:54" ht="15.75" thickBot="1" x14ac:dyDescent="0.3">
      <c r="A48" s="3">
        <f t="shared" ca="1" si="5"/>
        <v>45273</v>
      </c>
      <c r="B48" s="4" t="s">
        <v>52</v>
      </c>
      <c r="C48" s="4" t="s">
        <v>53</v>
      </c>
      <c r="D48" s="4" t="s">
        <v>54</v>
      </c>
      <c r="E48" s="4" t="s">
        <v>55</v>
      </c>
      <c r="F48" s="4">
        <f ca="1">ROUND(T_Facebook_Ads[[#This Row],[impressions]]*RANDBETWEEN(8,12)/10,0)</f>
        <v>46789</v>
      </c>
      <c r="G48" s="4">
        <v>934</v>
      </c>
      <c r="H48" s="4">
        <f ca="1">T_Facebook_Ads[[#This Row],[spend]]*RANDBETWEEN(8,12)/10</f>
        <v>132.4</v>
      </c>
      <c r="I48" s="4">
        <f ca="1">ROUND(T_Facebook_Ads[[#This Row],[conversions]]*RANDBETWEEN(8,12)/10,0)</f>
        <v>11</v>
      </c>
      <c r="J48" s="4">
        <f ca="1">ROUND(T_Facebook_Ads[[#This Row],[video_views]]*RANDBETWEEN(8,12)/10,0)</f>
        <v>6854</v>
      </c>
      <c r="K48" s="4">
        <f ca="1">T_Facebook_Ads[[#This Row],[engagement_rate]]*RANDBETWEEN(8,12)/10</f>
        <v>2.1999999999999999E-2</v>
      </c>
      <c r="L48" s="4">
        <f ca="1">ROUND(T_Facebook_Ads[[#This Row],[reach]]*RANDBETWEEN(8,12)/10,0)</f>
        <v>31387</v>
      </c>
      <c r="M48" s="4">
        <f ca="1">T_Facebook_Ads[[#This Row],[frequency]]*RANDBETWEEN(8,12)/10</f>
        <v>0.95199999999999996</v>
      </c>
      <c r="O48" s="3">
        <f t="shared" ca="1" si="6"/>
        <v>45280</v>
      </c>
      <c r="P48" s="4" t="s">
        <v>76</v>
      </c>
      <c r="Q48" s="4" t="s">
        <v>77</v>
      </c>
      <c r="R48" s="4" t="s">
        <v>78</v>
      </c>
      <c r="S48" s="4" t="s">
        <v>79</v>
      </c>
      <c r="T48" s="4">
        <f ca="1">ROUND(_Google_ads[[#This Row],[impressions]]*RANDBETWEEN(8,12)/10,0)</f>
        <v>21501</v>
      </c>
      <c r="U48" s="4">
        <f ca="1">ROUND(_Google_ads[[#This Row],[clicks]]*RANDBETWEEN(8,12)/10,0)</f>
        <v>1111</v>
      </c>
      <c r="V48" s="4">
        <f ca="1">_Google_ads[[#This Row],[cost]]*RANDBETWEEN(8,12)/10</f>
        <v>282.71999999999997</v>
      </c>
      <c r="W48" s="4">
        <f ca="1">ROUND(_Google_ads[[#This Row],[conversions]]*RANDBETWEEN(8,12)/10,0)</f>
        <v>46</v>
      </c>
      <c r="X48" s="4">
        <f ca="1">ROUND(_Google_ads[[#This Row],[conversion_value]]*RANDBETWEEN(8,12)/10,0)</f>
        <v>2300</v>
      </c>
      <c r="Y48" s="4">
        <f ca="1">_Google_ads[[#This Row],[ctr]]*RANDBETWEEN(8,12)/10</f>
        <v>5.1700000000000003E-2</v>
      </c>
      <c r="Z48" s="4">
        <f ca="1">_Google_ads[[#This Row],[avg_cpc]]*RANDBETWEEN(8,12)/10</f>
        <v>0.20899999999999999</v>
      </c>
      <c r="AA48" s="4">
        <f ca="1">ROUND(_Google_ads[[#This Row],[quality_score]]*RANDBETWEEN(8,12)/10,0)</f>
        <v>8</v>
      </c>
      <c r="AB48" s="4">
        <f ca="1">_Google_ads[[#This Row],[search_impression_share]]*RANDBETWEEN(8,12)/10</f>
        <v>1.0920000000000001</v>
      </c>
      <c r="AD48" s="3">
        <f t="shared" ca="1" si="7"/>
        <v>45262</v>
      </c>
      <c r="AE48" s="4" t="s">
        <v>100</v>
      </c>
      <c r="AF48" s="4" t="s">
        <v>101</v>
      </c>
      <c r="AG48" s="4" t="s">
        <v>102</v>
      </c>
      <c r="AH48" s="4" t="s">
        <v>103</v>
      </c>
      <c r="AI48" s="4">
        <f ca="1">ROUND(T_Tiktok_ads[[#This Row],[impressions]]*RANDBETWEEN(8,12)/10,0)</f>
        <v>197431</v>
      </c>
      <c r="AJ48" s="4">
        <f ca="1">ROUND(T_Tiktok_ads[[#This Row],[clicks]]*RANDBETWEEN(8,12)/10,0)</f>
        <v>4046</v>
      </c>
      <c r="AK48" s="4">
        <v>478.9</v>
      </c>
      <c r="AL48" s="4">
        <f ca="1">ROUND(T_Tiktok_ads[[#This Row],[conversions]]*RANDBETWEEN(8,12)/10,0)</f>
        <v>29</v>
      </c>
      <c r="AM48" s="4">
        <f ca="1">ROUND(T_Tiktok_ads[[#This Row],[video_views]]*RANDBETWEEN(8,12)/10,0)</f>
        <v>248814</v>
      </c>
      <c r="AN48" s="4">
        <f ca="1">ROUND(T_Tiktok_ads[[#This Row],[video_watch_25]]*RANDBETWEEN(8,12)/10,0)</f>
        <v>179802</v>
      </c>
      <c r="AO48" s="4">
        <f ca="1">ROUND(T_Tiktok_ads[[#This Row],[video_watch_50]]*RANDBETWEEN(8,12)/10,0)</f>
        <v>122814</v>
      </c>
      <c r="AP48" s="4">
        <f ca="1">ROUND(T_Tiktok_ads[[#This Row],[video_watch_75]]*RANDBETWEEN(8,12)/10,0)</f>
        <v>77257</v>
      </c>
      <c r="AQ48" s="4">
        <f ca="1">ROUND(T_Tiktok_ads[[#This Row],[video_watch_100]]*RANDBETWEEN(8,12)/10,0)</f>
        <v>56681</v>
      </c>
      <c r="AR48" s="4">
        <f ca="1">ROUND(T_Tiktok_ads[[#This Row],[likes]]*RANDBETWEEN(8,12)/10,0)</f>
        <v>7387</v>
      </c>
      <c r="AS48" s="4">
        <f ca="1">ROUND(T_Tiktok_ads[[#This Row],[shares]]*RANDBETWEEN(8,12)/10,0)</f>
        <v>2947</v>
      </c>
      <c r="AT48" s="4">
        <f ca="1">ROUND(T_Tiktok_ads[[#This Row],[comments]]*RANDBETWEEN(8,12)/10,0)</f>
        <v>589</v>
      </c>
      <c r="AV48" s="5">
        <f t="shared" ca="1" si="8"/>
        <v>45271</v>
      </c>
      <c r="AW48">
        <f t="shared" ca="1" si="4"/>
        <v>6</v>
      </c>
      <c r="AX48">
        <f ca="1">ROUND(T_Facebook_Ads115963677175798387919599[[#This Row],[impressions]]*RANDBETWEEN(8,12)/10,0)</f>
        <v>37431</v>
      </c>
      <c r="AY48">
        <f ca="1">ROUND(T_Facebook_Ads115963677175798387919599[[#This Row],[clicks]]*RANDBETWEEN(8,12)/10,0)</f>
        <v>841</v>
      </c>
      <c r="AZ48">
        <f ca="1">T_Facebook_Ads115963677175798387919599[[#This Row],[spend]]*RANDBETWEEN(8,12)/10</f>
        <v>158.88000000000002</v>
      </c>
      <c r="BA48">
        <f ca="1">ROUND(T_Facebook_Ads115963677175798387919599[[#This Row],[conversions]]*RANDBETWEEN(8,12)/10,0)</f>
        <v>10</v>
      </c>
      <c r="BB48">
        <f ca="1">ROUND(T_Facebook_Ads115963677175798387919599[[#This Row],[video_views]]*RANDBETWEEN(8,12)/10,0)</f>
        <v>8225</v>
      </c>
    </row>
    <row r="49" spans="1:54" ht="15.75" thickBot="1" x14ac:dyDescent="0.3">
      <c r="A49" s="3">
        <f t="shared" ca="1" si="5"/>
        <v>45285</v>
      </c>
      <c r="B49" s="4" t="s">
        <v>56</v>
      </c>
      <c r="C49" s="4" t="s">
        <v>57</v>
      </c>
      <c r="D49" s="4" t="s">
        <v>58</v>
      </c>
      <c r="E49" s="4" t="s">
        <v>59</v>
      </c>
      <c r="F49" s="4">
        <f ca="1">ROUND(T_Facebook_Ads[[#This Row],[impressions]]*RANDBETWEEN(8,12)/10,0)</f>
        <v>15468</v>
      </c>
      <c r="G49" s="4">
        <v>567</v>
      </c>
      <c r="H49" s="4">
        <f ca="1">T_Facebook_Ads[[#This Row],[spend]]*RANDBETWEEN(8,12)/10</f>
        <v>199.17000000000002</v>
      </c>
      <c r="I49" s="4">
        <f ca="1">ROUND(T_Facebook_Ads[[#This Row],[conversions]]*RANDBETWEEN(8,12)/10,0)</f>
        <v>30</v>
      </c>
      <c r="J49" s="4">
        <f ca="1">ROUND(T_Facebook_Ads[[#This Row],[video_views]]*RANDBETWEEN(8,12)/10,0)</f>
        <v>1076</v>
      </c>
      <c r="K49" s="4">
        <f ca="1">T_Facebook_Ads[[#This Row],[engagement_rate]]*RANDBETWEEN(8,12)/10</f>
        <v>3.5199999999999995E-2</v>
      </c>
      <c r="L49" s="4">
        <f ca="1">ROUND(T_Facebook_Ads[[#This Row],[reach]]*RANDBETWEEN(8,12)/10,0)</f>
        <v>11135</v>
      </c>
      <c r="M49" s="4">
        <f ca="1">T_Facebook_Ads[[#This Row],[frequency]]*RANDBETWEEN(8,12)/10</f>
        <v>1.016</v>
      </c>
      <c r="O49" s="3">
        <f t="shared" ca="1" si="6"/>
        <v>45274</v>
      </c>
      <c r="P49" s="4" t="s">
        <v>80</v>
      </c>
      <c r="Q49" s="4" t="s">
        <v>81</v>
      </c>
      <c r="R49" s="4" t="s">
        <v>82</v>
      </c>
      <c r="S49" s="4" t="s">
        <v>83</v>
      </c>
      <c r="T49" s="4">
        <f ca="1">ROUND(_Google_ads[[#This Row],[impressions]]*RANDBETWEEN(8,12)/10,0)</f>
        <v>43789</v>
      </c>
      <c r="U49" s="4">
        <f ca="1">ROUND(_Google_ads[[#This Row],[clicks]]*RANDBETWEEN(8,12)/10,0)</f>
        <v>856</v>
      </c>
      <c r="V49" s="4">
        <f ca="1">_Google_ads[[#This Row],[cost]]*RANDBETWEEN(8,12)/10</f>
        <v>616.99</v>
      </c>
      <c r="W49" s="4">
        <f ca="1">ROUND(_Google_ads[[#This Row],[conversions]]*RANDBETWEEN(8,12)/10,0)</f>
        <v>20</v>
      </c>
      <c r="X49" s="4">
        <f ca="1">ROUND(_Google_ads[[#This Row],[conversion_value]]*RANDBETWEEN(8,12)/10,0)</f>
        <v>1100</v>
      </c>
      <c r="Y49" s="4">
        <f ca="1">_Google_ads[[#This Row],[ctr]]*RANDBETWEEN(8,12)/10</f>
        <v>1.95E-2</v>
      </c>
      <c r="Z49" s="4">
        <f ca="1">_Google_ads[[#This Row],[avg_cpc]]*RANDBETWEEN(8,12)/10</f>
        <v>0.79200000000000004</v>
      </c>
      <c r="AA49" s="4">
        <f ca="1">ROUND(_Google_ads[[#This Row],[quality_score]]*RANDBETWEEN(8,12)/10,0)</f>
        <v>8</v>
      </c>
      <c r="AB49" s="4">
        <f ca="1">_Google_ads[[#This Row],[search_impression_share]]*RANDBETWEEN(8,12)/10</f>
        <v>0.39600000000000002</v>
      </c>
      <c r="AD49" s="3">
        <f t="shared" ca="1" si="7"/>
        <v>45287</v>
      </c>
      <c r="AE49" s="4" t="s">
        <v>104</v>
      </c>
      <c r="AF49" s="4" t="s">
        <v>105</v>
      </c>
      <c r="AG49" s="4" t="s">
        <v>106</v>
      </c>
      <c r="AH49" s="4" t="s">
        <v>107</v>
      </c>
      <c r="AI49" s="4">
        <f ca="1">ROUND(T_Tiktok_ads[[#This Row],[impressions]]*RANDBETWEEN(8,12)/10,0)</f>
        <v>170814</v>
      </c>
      <c r="AJ49" s="4">
        <f ca="1">ROUND(T_Tiktok_ads[[#This Row],[clicks]]*RANDBETWEEN(8,12)/10,0)</f>
        <v>2142</v>
      </c>
      <c r="AK49" s="4">
        <v>734.5</v>
      </c>
      <c r="AL49" s="4">
        <f ca="1">ROUND(T_Tiktok_ads[[#This Row],[conversions]]*RANDBETWEEN(8,12)/10,0)</f>
        <v>66</v>
      </c>
      <c r="AM49" s="4">
        <f ca="1">ROUND(T_Tiktok_ads[[#This Row],[video_views]]*RANDBETWEEN(8,12)/10,0)</f>
        <v>107679</v>
      </c>
      <c r="AN49" s="4">
        <f ca="1">ROUND(T_Tiktok_ads[[#This Row],[video_watch_25]]*RANDBETWEEN(8,12)/10,0)</f>
        <v>72345</v>
      </c>
      <c r="AO49" s="4">
        <f ca="1">ROUND(T_Tiktok_ads[[#This Row],[video_watch_50]]*RANDBETWEEN(8,12)/10,0)</f>
        <v>44011</v>
      </c>
      <c r="AP49" s="4">
        <f ca="1">ROUND(T_Tiktok_ads[[#This Row],[video_watch_75]]*RANDBETWEEN(8,12)/10,0)</f>
        <v>44147</v>
      </c>
      <c r="AQ49" s="4">
        <f ca="1">ROUND(T_Tiktok_ads[[#This Row],[video_watch_100]]*RANDBETWEEN(8,12)/10,0)</f>
        <v>19912</v>
      </c>
      <c r="AR49" s="4">
        <f ca="1">ROUND(T_Tiktok_ads[[#This Row],[likes]]*RANDBETWEEN(8,12)/10,0)</f>
        <v>5391</v>
      </c>
      <c r="AS49" s="4">
        <f ca="1">ROUND(T_Tiktok_ads[[#This Row],[shares]]*RANDBETWEEN(8,12)/10,0)</f>
        <v>1492</v>
      </c>
      <c r="AT49" s="4">
        <f ca="1">ROUND(T_Tiktok_ads[[#This Row],[comments]]*RANDBETWEEN(8,12)/10,0)</f>
        <v>282</v>
      </c>
      <c r="AV49" s="5">
        <f t="shared" ca="1" si="8"/>
        <v>45273</v>
      </c>
      <c r="AW49">
        <f t="shared" ca="1" si="4"/>
        <v>6</v>
      </c>
      <c r="AX49">
        <f ca="1">ROUND(T_Facebook_Ads115963677175798387919599[[#This Row],[impressions]]*RANDBETWEEN(8,12)/10,0)</f>
        <v>13921</v>
      </c>
      <c r="AY49">
        <f ca="1">ROUND(T_Facebook_Ads115963677175798387919599[[#This Row],[clicks]]*RANDBETWEEN(8,12)/10,0)</f>
        <v>454</v>
      </c>
      <c r="AZ49">
        <f ca="1">T_Facebook_Ads115963677175798387919599[[#This Row],[spend]]*RANDBETWEEN(8,12)/10</f>
        <v>219.08700000000005</v>
      </c>
      <c r="BA49">
        <f ca="1">ROUND(T_Facebook_Ads115963677175798387919599[[#This Row],[conversions]]*RANDBETWEEN(8,12)/10,0)</f>
        <v>27</v>
      </c>
      <c r="BB49">
        <f ca="1">ROUND(T_Facebook_Ads115963677175798387919599[[#This Row],[video_views]]*RANDBETWEEN(8,12)/10,0)</f>
        <v>1184</v>
      </c>
    </row>
    <row r="50" spans="1:54" ht="15.75" thickBot="1" x14ac:dyDescent="0.3">
      <c r="A50" s="3">
        <f t="shared" ca="1" si="5"/>
        <v>45271</v>
      </c>
      <c r="B50" s="4" t="s">
        <v>60</v>
      </c>
      <c r="C50" s="4" t="s">
        <v>61</v>
      </c>
      <c r="D50" s="4" t="s">
        <v>62</v>
      </c>
      <c r="E50" s="4" t="s">
        <v>63</v>
      </c>
      <c r="F50" s="4">
        <f ca="1">ROUND(T_Facebook_Ads[[#This Row],[impressions]]*RANDBETWEEN(8,12)/10,0)</f>
        <v>35678</v>
      </c>
      <c r="G50" s="4">
        <v>1289</v>
      </c>
      <c r="H50" s="4">
        <f ca="1">T_Facebook_Ads[[#This Row],[spend]]*RANDBETWEEN(8,12)/10</f>
        <v>216.26</v>
      </c>
      <c r="I50" s="4">
        <f ca="1">ROUND(T_Facebook_Ads[[#This Row],[conversions]]*RANDBETWEEN(8,12)/10,0)</f>
        <v>25</v>
      </c>
      <c r="J50" s="4">
        <f ca="1">ROUND(T_Facebook_Ads[[#This Row],[video_views]]*RANDBETWEEN(8,12)/10,0)</f>
        <v>3742</v>
      </c>
      <c r="K50" s="4">
        <f ca="1">T_Facebook_Ads[[#This Row],[engagement_rate]]*RANDBETWEEN(8,12)/10</f>
        <v>2.8879999999999999E-2</v>
      </c>
      <c r="L50" s="4">
        <f ca="1">ROUND(T_Facebook_Ads[[#This Row],[reach]]*RANDBETWEEN(8,12)/10,0)</f>
        <v>26411</v>
      </c>
      <c r="M50" s="4">
        <f ca="1">T_Facebook_Ads[[#This Row],[frequency]]*RANDBETWEEN(8,12)/10</f>
        <v>1.22</v>
      </c>
      <c r="O50" s="3">
        <f t="shared" ca="1" si="6"/>
        <v>45263</v>
      </c>
      <c r="P50" s="4" t="s">
        <v>84</v>
      </c>
      <c r="Q50" s="4" t="s">
        <v>85</v>
      </c>
      <c r="R50" s="4" t="s">
        <v>86</v>
      </c>
      <c r="S50" s="4" t="s">
        <v>87</v>
      </c>
      <c r="T50" s="4">
        <f ca="1">ROUND(_Google_ads[[#This Row],[impressions]]*RANDBETWEEN(8,12)/10,0)</f>
        <v>67234</v>
      </c>
      <c r="U50" s="4">
        <f ca="1">ROUND(_Google_ads[[#This Row],[clicks]]*RANDBETWEEN(8,12)/10,0)</f>
        <v>2681</v>
      </c>
      <c r="V50" s="4">
        <f ca="1">_Google_ads[[#This Row],[cost]]*RANDBETWEEN(8,12)/10</f>
        <v>329.36</v>
      </c>
      <c r="W50" s="4">
        <f ca="1">ROUND(_Google_ads[[#This Row],[conversions]]*RANDBETWEEN(8,12)/10,0)</f>
        <v>52</v>
      </c>
      <c r="X50" s="4">
        <f ca="1">ROUND(_Google_ads[[#This Row],[conversion_value]]*RANDBETWEEN(8,12)/10,0)</f>
        <v>2600</v>
      </c>
      <c r="Y50" s="4">
        <f ca="1">_Google_ads[[#This Row],[ctr]]*RANDBETWEEN(8,12)/10</f>
        <v>3.6520000000000004E-2</v>
      </c>
      <c r="Z50" s="4">
        <f ca="1">_Google_ads[[#This Row],[avg_cpc]]*RANDBETWEEN(8,12)/10</f>
        <v>0.21600000000000003</v>
      </c>
      <c r="AA50" s="4">
        <f ca="1">ROUND(_Google_ads[[#This Row],[quality_score]]*RANDBETWEEN(8,12)/10,0)</f>
        <v>9</v>
      </c>
      <c r="AB50" s="4">
        <f ca="1">_Google_ads[[#This Row],[search_impression_share]]*RANDBETWEEN(8,12)/10</f>
        <v>0.79200000000000004</v>
      </c>
      <c r="AD50" s="3">
        <f t="shared" ca="1" si="7"/>
        <v>45284</v>
      </c>
      <c r="AE50" s="4" t="s">
        <v>108</v>
      </c>
      <c r="AF50" s="4" t="s">
        <v>109</v>
      </c>
      <c r="AG50" s="4" t="s">
        <v>110</v>
      </c>
      <c r="AH50" s="4" t="s">
        <v>111</v>
      </c>
      <c r="AI50" s="4">
        <f ca="1">ROUND(T_Tiktok_ads[[#This Row],[impressions]]*RANDBETWEEN(8,12)/10,0)</f>
        <v>254814</v>
      </c>
      <c r="AJ50" s="4">
        <f ca="1">ROUND(T_Tiktok_ads[[#This Row],[clicks]]*RANDBETWEEN(8,12)/10,0)</f>
        <v>2676</v>
      </c>
      <c r="AK50" s="4">
        <v>401.1</v>
      </c>
      <c r="AL50" s="4">
        <f ca="1">ROUND(T_Tiktok_ads[[#This Row],[conversions]]*RANDBETWEEN(8,12)/10,0)</f>
        <v>31</v>
      </c>
      <c r="AM50" s="4">
        <f ca="1">ROUND(T_Tiktok_ads[[#This Row],[video_views]]*RANDBETWEEN(8,12)/10,0)</f>
        <v>201468</v>
      </c>
      <c r="AN50" s="4">
        <f ca="1">ROUND(T_Tiktok_ads[[#This Row],[video_watch_25]]*RANDBETWEEN(8,12)/10,0)</f>
        <v>102587</v>
      </c>
      <c r="AO50" s="4">
        <f ca="1">ROUND(T_Tiktok_ads[[#This Row],[video_watch_50]]*RANDBETWEEN(8,12)/10,0)</f>
        <v>101234</v>
      </c>
      <c r="AP50" s="4">
        <f ca="1">ROUND(T_Tiktok_ads[[#This Row],[video_watch_75]]*RANDBETWEEN(8,12)/10,0)</f>
        <v>52187</v>
      </c>
      <c r="AQ50" s="4">
        <f ca="1">ROUND(T_Tiktok_ads[[#This Row],[video_watch_100]]*RANDBETWEEN(8,12)/10,0)</f>
        <v>43402</v>
      </c>
      <c r="AR50" s="4">
        <f ca="1">ROUND(T_Tiktok_ads[[#This Row],[likes]]*RANDBETWEEN(8,12)/10,0)</f>
        <v>9347</v>
      </c>
      <c r="AS50" s="4">
        <f ca="1">ROUND(T_Tiktok_ads[[#This Row],[shares]]*RANDBETWEEN(8,12)/10,0)</f>
        <v>1931</v>
      </c>
      <c r="AT50" s="4">
        <f ca="1">ROUND(T_Tiktok_ads[[#This Row],[comments]]*RANDBETWEEN(8,12)/10,0)</f>
        <v>512</v>
      </c>
      <c r="AV50" s="5">
        <f t="shared" ca="1" si="8"/>
        <v>45269</v>
      </c>
      <c r="AW50">
        <f t="shared" ca="1" si="4"/>
        <v>6</v>
      </c>
      <c r="AX50">
        <f ca="1">ROUND(T_Facebook_Ads115963677175798387919599[[#This Row],[impressions]]*RANDBETWEEN(8,12)/10,0)</f>
        <v>39246</v>
      </c>
      <c r="AY50">
        <f ca="1">ROUND(T_Facebook_Ads115963677175798387919599[[#This Row],[clicks]]*RANDBETWEEN(8,12)/10,0)</f>
        <v>1418</v>
      </c>
      <c r="AZ50">
        <f ca="1">T_Facebook_Ads115963677175798387919599[[#This Row],[spend]]*RANDBETWEEN(8,12)/10</f>
        <v>173.00799999999998</v>
      </c>
      <c r="BA50">
        <f ca="1">ROUND(T_Facebook_Ads115963677175798387919599[[#This Row],[conversions]]*RANDBETWEEN(8,12)/10,0)</f>
        <v>25</v>
      </c>
      <c r="BB50">
        <f ca="1">ROUND(T_Facebook_Ads115963677175798387919599[[#This Row],[video_views]]*RANDBETWEEN(8,12)/10,0)</f>
        <v>4490</v>
      </c>
    </row>
    <row r="51" spans="1:54" ht="15.75" thickBot="1" x14ac:dyDescent="0.3">
      <c r="A51" s="3">
        <f t="shared" ca="1" si="5"/>
        <v>45274</v>
      </c>
      <c r="B51" s="4" t="s">
        <v>64</v>
      </c>
      <c r="C51" s="4" t="s">
        <v>65</v>
      </c>
      <c r="D51" s="4" t="s">
        <v>66</v>
      </c>
      <c r="E51" s="4" t="s">
        <v>67</v>
      </c>
      <c r="F51" s="4">
        <f ca="1">ROUND(T_Facebook_Ads[[#This Row],[impressions]]*RANDBETWEEN(8,12)/10,0)</f>
        <v>61610</v>
      </c>
      <c r="G51" s="4">
        <v>248</v>
      </c>
      <c r="H51" s="4">
        <f ca="1">T_Facebook_Ads[[#This Row],[spend]]*RANDBETWEEN(8,12)/10</f>
        <v>105.11999999999998</v>
      </c>
      <c r="I51" s="4">
        <f ca="1">ROUND(T_Facebook_Ads[[#This Row],[conversions]]*RANDBETWEEN(8,12)/10,0)</f>
        <v>7</v>
      </c>
      <c r="J51" s="4">
        <f ca="1">ROUND(T_Facebook_Ads[[#This Row],[video_views]]*RANDBETWEEN(8,12)/10,0)</f>
        <v>36987</v>
      </c>
      <c r="K51" s="4">
        <f ca="1">T_Facebook_Ads[[#This Row],[engagement_rate]]*RANDBETWEEN(8,12)/10</f>
        <v>3.5999999999999999E-3</v>
      </c>
      <c r="L51" s="4">
        <f ca="1">ROUND(T_Facebook_Ads[[#This Row],[reach]]*RANDBETWEEN(8,12)/10,0)</f>
        <v>51110</v>
      </c>
      <c r="M51" s="4">
        <f ca="1">T_Facebook_Ads[[#This Row],[frequency]]*RANDBETWEEN(8,12)/10</f>
        <v>1.21</v>
      </c>
      <c r="O51" s="3">
        <f t="shared" ca="1" si="6"/>
        <v>45270</v>
      </c>
      <c r="P51" s="4" t="s">
        <v>88</v>
      </c>
      <c r="Q51" s="4" t="s">
        <v>89</v>
      </c>
      <c r="R51" s="4" t="s">
        <v>90</v>
      </c>
      <c r="S51" s="4" t="s">
        <v>59</v>
      </c>
      <c r="T51" s="4">
        <f ca="1">ROUND(_Google_ads[[#This Row],[impressions]]*RANDBETWEEN(8,12)/10,0)</f>
        <v>128901</v>
      </c>
      <c r="U51" s="4">
        <f ca="1">ROUND(_Google_ads[[#This Row],[clicks]]*RANDBETWEEN(8,12)/10,0)</f>
        <v>420</v>
      </c>
      <c r="V51" s="4">
        <f ca="1">_Google_ads[[#This Row],[cost]]*RANDBETWEEN(8,12)/10</f>
        <v>139.37</v>
      </c>
      <c r="W51" s="4">
        <f ca="1">ROUND(_Google_ads[[#This Row],[conversions]]*RANDBETWEEN(8,12)/10,0)</f>
        <v>16</v>
      </c>
      <c r="X51" s="4">
        <f ca="1">ROUND(_Google_ads[[#This Row],[conversion_value]]*RANDBETWEEN(8,12)/10,0)</f>
        <v>585</v>
      </c>
      <c r="Y51" s="4">
        <f ca="1">_Google_ads[[#This Row],[ctr]]*RANDBETWEEN(8,12)/10</f>
        <v>4.3200000000000001E-3</v>
      </c>
      <c r="Z51" s="4">
        <f ca="1">_Google_ads[[#This Row],[avg_cpc]]*RANDBETWEEN(8,12)/10</f>
        <v>0.29700000000000004</v>
      </c>
      <c r="AA51" s="4">
        <f ca="1">ROUND(_Google_ads[[#This Row],[quality_score]]*RANDBETWEEN(8,12)/10,0)</f>
        <v>6</v>
      </c>
      <c r="AB51" s="4">
        <f ca="1">_Google_ads[[#This Row],[search_impression_share]]*RANDBETWEEN(8,12)/10</f>
        <v>0.34</v>
      </c>
      <c r="AD51" s="3">
        <f t="shared" ca="1" si="7"/>
        <v>45266</v>
      </c>
      <c r="AE51" s="4" t="s">
        <v>112</v>
      </c>
      <c r="AF51" s="4" t="s">
        <v>113</v>
      </c>
      <c r="AG51" s="4" t="s">
        <v>114</v>
      </c>
      <c r="AH51" s="4" t="s">
        <v>115</v>
      </c>
      <c r="AI51" s="4">
        <f ca="1">ROUND(T_Tiktok_ads[[#This Row],[impressions]]*RANDBETWEEN(8,12)/10,0)</f>
        <v>303121</v>
      </c>
      <c r="AJ51" s="4">
        <f ca="1">ROUND(T_Tiktok_ads[[#This Row],[clicks]]*RANDBETWEEN(8,12)/10,0)</f>
        <v>6123</v>
      </c>
      <c r="AK51" s="4">
        <v>945.6</v>
      </c>
      <c r="AL51" s="4">
        <f ca="1">ROUND(T_Tiktok_ads[[#This Row],[conversions]]*RANDBETWEEN(8,12)/10,0)</f>
        <v>106</v>
      </c>
      <c r="AM51" s="4">
        <f ca="1">ROUND(T_Tiktok_ads[[#This Row],[video_views]]*RANDBETWEEN(8,12)/10,0)</f>
        <v>281111</v>
      </c>
      <c r="AN51" s="4">
        <f ca="1">ROUND(T_Tiktok_ads[[#This Row],[video_watch_25]]*RANDBETWEEN(8,12)/10,0)</f>
        <v>226111</v>
      </c>
      <c r="AO51" s="4">
        <f ca="1">ROUND(T_Tiktok_ads[[#This Row],[video_watch_50]]*RANDBETWEEN(8,12)/10,0)</f>
        <v>160987</v>
      </c>
      <c r="AP51" s="4">
        <f ca="1">ROUND(T_Tiktok_ads[[#This Row],[video_watch_75]]*RANDBETWEEN(8,12)/10,0)</f>
        <v>143456</v>
      </c>
      <c r="AQ51" s="4">
        <f ca="1">ROUND(T_Tiktok_ads[[#This Row],[video_watch_100]]*RANDBETWEEN(8,12)/10,0)</f>
        <v>114281</v>
      </c>
      <c r="AR51" s="4">
        <f ca="1">ROUND(T_Tiktok_ads[[#This Row],[likes]]*RANDBETWEEN(8,12)/10,0)</f>
        <v>19880</v>
      </c>
      <c r="AS51" s="4">
        <f ca="1">ROUND(T_Tiktok_ads[[#This Row],[shares]]*RANDBETWEEN(8,12)/10,0)</f>
        <v>4823</v>
      </c>
      <c r="AT51" s="4">
        <f ca="1">ROUND(T_Tiktok_ads[[#This Row],[comments]]*RANDBETWEEN(8,12)/10,0)</f>
        <v>1312</v>
      </c>
      <c r="AV51" s="5">
        <f t="shared" ca="1" si="8"/>
        <v>45263</v>
      </c>
      <c r="AW51">
        <f t="shared" ca="1" si="4"/>
        <v>2</v>
      </c>
      <c r="AX51">
        <f ca="1">ROUND(T_Facebook_Ads115963677175798387919599[[#This Row],[impressions]]*RANDBETWEEN(8,12)/10,0)</f>
        <v>49288</v>
      </c>
      <c r="AY51">
        <f ca="1">ROUND(T_Facebook_Ads115963677175798387919599[[#This Row],[clicks]]*RANDBETWEEN(8,12)/10,0)</f>
        <v>298</v>
      </c>
      <c r="AZ51">
        <f ca="1">T_Facebook_Ads115963677175798387919599[[#This Row],[spend]]*RANDBETWEEN(8,12)/10</f>
        <v>84.095999999999975</v>
      </c>
      <c r="BA51">
        <f ca="1">ROUND(T_Facebook_Ads115963677175798387919599[[#This Row],[conversions]]*RANDBETWEEN(8,12)/10,0)</f>
        <v>8</v>
      </c>
      <c r="BB51">
        <f ca="1">ROUND(T_Facebook_Ads115963677175798387919599[[#This Row],[video_views]]*RANDBETWEEN(8,12)/10,0)</f>
        <v>33288</v>
      </c>
    </row>
    <row r="52" spans="1:54" ht="15.75" thickBot="1" x14ac:dyDescent="0.3">
      <c r="A52" s="3">
        <f t="shared" ca="1" si="5"/>
        <v>45272</v>
      </c>
      <c r="B52" s="4" t="s">
        <v>52</v>
      </c>
      <c r="C52" s="4" t="s">
        <v>53</v>
      </c>
      <c r="D52" s="4" t="s">
        <v>54</v>
      </c>
      <c r="E52" s="4" t="s">
        <v>55</v>
      </c>
      <c r="F52" s="4">
        <f ca="1">ROUND(T_Facebook_Ads[[#This Row],[impressions]]*RANDBETWEEN(8,12)/10,0)</f>
        <v>40187</v>
      </c>
      <c r="G52" s="4">
        <v>1023</v>
      </c>
      <c r="H52" s="4">
        <f ca="1">T_Facebook_Ads[[#This Row],[spend]]*RANDBETWEEN(8,12)/10</f>
        <v>143.80000000000001</v>
      </c>
      <c r="I52" s="4">
        <f ca="1">ROUND(T_Facebook_Ads[[#This Row],[conversions]]*RANDBETWEEN(8,12)/10,0)</f>
        <v>13</v>
      </c>
      <c r="J52" s="4">
        <f ca="1">ROUND(T_Facebook_Ads[[#This Row],[video_views]]*RANDBETWEEN(8,12)/10,0)</f>
        <v>8311</v>
      </c>
      <c r="K52" s="4">
        <f ca="1">T_Facebook_Ads[[#This Row],[engagement_rate]]*RANDBETWEEN(8,12)/10</f>
        <v>1.6320000000000001E-2</v>
      </c>
      <c r="L52" s="4">
        <f ca="1">ROUND(T_Facebook_Ads[[#This Row],[reach]]*RANDBETWEEN(8,12)/10,0)</f>
        <v>46580</v>
      </c>
      <c r="M52" s="4">
        <f ca="1">T_Facebook_Ads[[#This Row],[frequency]]*RANDBETWEEN(8,12)/10</f>
        <v>1.19</v>
      </c>
      <c r="O52" s="3">
        <f t="shared" ca="1" si="6"/>
        <v>45283</v>
      </c>
      <c r="P52" s="4" t="s">
        <v>76</v>
      </c>
      <c r="Q52" s="4" t="s">
        <v>77</v>
      </c>
      <c r="R52" s="4" t="s">
        <v>78</v>
      </c>
      <c r="S52" s="4" t="s">
        <v>79</v>
      </c>
      <c r="T52" s="4">
        <f ca="1">ROUND(_Google_ads[[#This Row],[impressions]]*RANDBETWEEN(8,12)/10,0)</f>
        <v>28002</v>
      </c>
      <c r="U52" s="4">
        <f ca="1">ROUND(_Google_ads[[#This Row],[clicks]]*RANDBETWEEN(8,12)/10,0)</f>
        <v>1211</v>
      </c>
      <c r="V52" s="4">
        <f ca="1">_Google_ads[[#This Row],[cost]]*RANDBETWEEN(8,12)/10</f>
        <v>308.76000000000005</v>
      </c>
      <c r="W52" s="4">
        <f ca="1">ROUND(_Google_ads[[#This Row],[conversions]]*RANDBETWEEN(8,12)/10,0)</f>
        <v>46</v>
      </c>
      <c r="X52" s="4">
        <f ca="1">ROUND(_Google_ads[[#This Row],[conversion_value]]*RANDBETWEEN(8,12)/10,0)</f>
        <v>2295</v>
      </c>
      <c r="Y52" s="4">
        <f ca="1">_Google_ads[[#This Row],[ctr]]*RANDBETWEEN(8,12)/10</f>
        <v>5.28E-2</v>
      </c>
      <c r="Z52" s="4">
        <f ca="1">_Google_ads[[#This Row],[avg_cpc]]*RANDBETWEEN(8,12)/10</f>
        <v>0.22800000000000004</v>
      </c>
      <c r="AA52" s="4">
        <f ca="1">ROUND(_Google_ads[[#This Row],[quality_score]]*RANDBETWEEN(8,12)/10,0)</f>
        <v>8</v>
      </c>
      <c r="AB52" s="4">
        <f ca="1">_Google_ads[[#This Row],[search_impression_share]]*RANDBETWEEN(8,12)/10</f>
        <v>0.82800000000000007</v>
      </c>
      <c r="AD52" s="3">
        <f t="shared" ca="1" si="7"/>
        <v>45286</v>
      </c>
      <c r="AE52" s="4" t="s">
        <v>100</v>
      </c>
      <c r="AF52" s="4" t="s">
        <v>101</v>
      </c>
      <c r="AG52" s="4" t="s">
        <v>102</v>
      </c>
      <c r="AH52" s="4" t="s">
        <v>103</v>
      </c>
      <c r="AI52" s="4">
        <f ca="1">ROUND(T_Tiktok_ads[[#This Row],[impressions]]*RANDBETWEEN(8,12)/10,0)</f>
        <v>231210</v>
      </c>
      <c r="AJ52" s="4">
        <f ca="1">ROUND(T_Tiktok_ads[[#This Row],[clicks]]*RANDBETWEEN(8,12)/10,0)</f>
        <v>3387</v>
      </c>
      <c r="AK52" s="4">
        <v>556.70000000000005</v>
      </c>
      <c r="AL52" s="4">
        <f ca="1">ROUND(T_Tiktok_ads[[#This Row],[conversions]]*RANDBETWEEN(8,12)/10,0)</f>
        <v>52</v>
      </c>
      <c r="AM52" s="4">
        <f ca="1">ROUND(T_Tiktok_ads[[#This Row],[video_views]]*RANDBETWEEN(8,12)/10,0)</f>
        <v>211110</v>
      </c>
      <c r="AN52" s="4">
        <f ca="1">ROUND(T_Tiktok_ads[[#This Row],[video_watch_25]]*RANDBETWEEN(8,12)/10,0)</f>
        <v>145876</v>
      </c>
      <c r="AO52" s="4">
        <f ca="1">ROUND(T_Tiktok_ads[[#This Row],[video_watch_50]]*RANDBETWEEN(8,12)/10,0)</f>
        <v>114567</v>
      </c>
      <c r="AP52" s="4">
        <f ca="1">ROUND(T_Tiktok_ads[[#This Row],[video_watch_75]]*RANDBETWEEN(8,12)/10,0)</f>
        <v>92681</v>
      </c>
      <c r="AQ52" s="4">
        <f ca="1">ROUND(T_Tiktok_ads[[#This Row],[video_watch_100]]*RANDBETWEEN(8,12)/10,0)</f>
        <v>56357</v>
      </c>
      <c r="AR52" s="4">
        <f ca="1">ROUND(T_Tiktok_ads[[#This Row],[likes]]*RANDBETWEEN(8,12)/10,0)</f>
        <v>11380</v>
      </c>
      <c r="AS52" s="4">
        <f ca="1">ROUND(T_Tiktok_ads[[#This Row],[shares]]*RANDBETWEEN(8,12)/10,0)</f>
        <v>3068</v>
      </c>
      <c r="AT52" s="4">
        <f ca="1">ROUND(T_Tiktok_ads[[#This Row],[comments]]*RANDBETWEEN(8,12)/10,0)</f>
        <v>525</v>
      </c>
      <c r="AV52" s="5">
        <f t="shared" ca="1" si="8"/>
        <v>45272</v>
      </c>
      <c r="AW52">
        <f t="shared" ca="1" si="4"/>
        <v>6</v>
      </c>
      <c r="AX52">
        <f ca="1">ROUND(T_Facebook_Ads115963677175798387919599[[#This Row],[impressions]]*RANDBETWEEN(8,12)/10,0)</f>
        <v>48224</v>
      </c>
      <c r="AY52">
        <f ca="1">ROUND(T_Facebook_Ads115963677175798387919599[[#This Row],[clicks]]*RANDBETWEEN(8,12)/10,0)</f>
        <v>921</v>
      </c>
      <c r="AZ52">
        <f ca="1">T_Facebook_Ads115963677175798387919599[[#This Row],[spend]]*RANDBETWEEN(8,12)/10</f>
        <v>172.56</v>
      </c>
      <c r="BA52">
        <f ca="1">ROUND(T_Facebook_Ads115963677175798387919599[[#This Row],[conversions]]*RANDBETWEEN(8,12)/10,0)</f>
        <v>13</v>
      </c>
      <c r="BB52">
        <f ca="1">ROUND(T_Facebook_Ads115963677175798387919599[[#This Row],[video_views]]*RANDBETWEEN(8,12)/10,0)</f>
        <v>7480</v>
      </c>
    </row>
    <row r="53" spans="1:54" ht="15.75" thickBot="1" x14ac:dyDescent="0.3">
      <c r="A53" s="3">
        <f t="shared" ca="1" si="5"/>
        <v>45288</v>
      </c>
      <c r="B53" s="4" t="s">
        <v>56</v>
      </c>
      <c r="C53" s="4" t="s">
        <v>57</v>
      </c>
      <c r="D53" s="4" t="s">
        <v>58</v>
      </c>
      <c r="E53" s="4" t="s">
        <v>59</v>
      </c>
      <c r="F53" s="4">
        <f ca="1">ROUND(T_Facebook_Ads[[#This Row],[impressions]]*RANDBETWEEN(8,12)/10,0)</f>
        <v>14234</v>
      </c>
      <c r="G53" s="4">
        <v>678</v>
      </c>
      <c r="H53" s="4">
        <f ca="1">T_Facebook_Ads[[#This Row],[spend]]*RANDBETWEEN(8,12)/10</f>
        <v>298.2</v>
      </c>
      <c r="I53" s="4">
        <f ca="1">ROUND(T_Facebook_Ads[[#This Row],[conversions]]*RANDBETWEEN(8,12)/10,0)</f>
        <v>42</v>
      </c>
      <c r="J53" s="4">
        <f ca="1">ROUND(T_Facebook_Ads[[#This Row],[video_views]]*RANDBETWEEN(8,12)/10,0)</f>
        <v>1567</v>
      </c>
      <c r="K53" s="4">
        <f ca="1">T_Facebook_Ads[[#This Row],[engagement_rate]]*RANDBETWEEN(8,12)/10</f>
        <v>5.7239999999999999E-2</v>
      </c>
      <c r="L53" s="4">
        <f ca="1">ROUND(T_Facebook_Ads[[#This Row],[reach]]*RANDBETWEEN(8,12)/10,0)</f>
        <v>11234</v>
      </c>
      <c r="M53" s="4">
        <f ca="1">T_Facebook_Ads[[#This Row],[frequency]]*RANDBETWEEN(8,12)/10</f>
        <v>1.27</v>
      </c>
      <c r="O53" s="3">
        <f t="shared" ca="1" si="6"/>
        <v>45279</v>
      </c>
      <c r="P53" s="4" t="s">
        <v>80</v>
      </c>
      <c r="Q53" s="4" t="s">
        <v>81</v>
      </c>
      <c r="R53" s="4" t="s">
        <v>82</v>
      </c>
      <c r="S53" s="4" t="s">
        <v>83</v>
      </c>
      <c r="T53" s="4">
        <f ca="1">ROUND(_Google_ads[[#This Row],[impressions]]*RANDBETWEEN(8,12)/10,0)</f>
        <v>36542</v>
      </c>
      <c r="U53" s="4">
        <f ca="1">ROUND(_Google_ads[[#This Row],[clicks]]*RANDBETWEEN(8,12)/10,0)</f>
        <v>721</v>
      </c>
      <c r="V53" s="4">
        <f ca="1">_Google_ads[[#This Row],[cost]]*RANDBETWEEN(8,12)/10</f>
        <v>642.95000000000005</v>
      </c>
      <c r="W53" s="4">
        <f ca="1">ROUND(_Google_ads[[#This Row],[conversions]]*RANDBETWEEN(8,12)/10,0)</f>
        <v>24</v>
      </c>
      <c r="X53" s="4">
        <f ca="1">ROUND(_Google_ads[[#This Row],[conversion_value]]*RANDBETWEEN(8,12)/10,0)</f>
        <v>1320</v>
      </c>
      <c r="Y53" s="4">
        <f ca="1">_Google_ads[[#This Row],[ctr]]*RANDBETWEEN(8,12)/10</f>
        <v>2.1669999999999998E-2</v>
      </c>
      <c r="Z53" s="4">
        <f ca="1">_Google_ads[[#This Row],[avg_cpc]]*RANDBETWEEN(8,12)/10</f>
        <v>0.65</v>
      </c>
      <c r="AA53" s="4">
        <f ca="1">ROUND(_Google_ads[[#This Row],[quality_score]]*RANDBETWEEN(8,12)/10,0)</f>
        <v>6</v>
      </c>
      <c r="AB53" s="4">
        <f ca="1">_Google_ads[[#This Row],[search_impression_share]]*RANDBETWEEN(8,12)/10</f>
        <v>0.36</v>
      </c>
      <c r="AD53" s="3">
        <f t="shared" ca="1" si="7"/>
        <v>45285</v>
      </c>
      <c r="AE53" s="4" t="s">
        <v>104</v>
      </c>
      <c r="AF53" s="4" t="s">
        <v>105</v>
      </c>
      <c r="AG53" s="4" t="s">
        <v>106</v>
      </c>
      <c r="AH53" s="4" t="s">
        <v>107</v>
      </c>
      <c r="AI53" s="4">
        <f ca="1">ROUND(T_Tiktok_ads[[#This Row],[impressions]]*RANDBETWEEN(8,12)/10,0)</f>
        <v>156789</v>
      </c>
      <c r="AJ53" s="4">
        <f ca="1">ROUND(T_Tiktok_ads[[#This Row],[clicks]]*RANDBETWEEN(8,12)/10,0)</f>
        <v>2410</v>
      </c>
      <c r="AK53" s="4">
        <v>812.3</v>
      </c>
      <c r="AL53" s="4">
        <f ca="1">ROUND(T_Tiktok_ads[[#This Row],[conversions]]*RANDBETWEEN(8,12)/10,0)</f>
        <v>66</v>
      </c>
      <c r="AM53" s="4">
        <f ca="1">ROUND(T_Tiktok_ads[[#This Row],[video_views]]*RANDBETWEEN(8,12)/10,0)</f>
        <v>98888</v>
      </c>
      <c r="AN53" s="4">
        <f ca="1">ROUND(T_Tiktok_ads[[#This Row],[video_watch_25]]*RANDBETWEEN(8,12)/10,0)</f>
        <v>73111</v>
      </c>
      <c r="AO53" s="4">
        <f ca="1">ROUND(T_Tiktok_ads[[#This Row],[video_watch_50]]*RANDBETWEEN(8,12)/10,0)</f>
        <v>49210</v>
      </c>
      <c r="AP53" s="4">
        <f ca="1">ROUND(T_Tiktok_ads[[#This Row],[video_watch_75]]*RANDBETWEEN(8,12)/10,0)</f>
        <v>41234</v>
      </c>
      <c r="AQ53" s="4">
        <f ca="1">ROUND(T_Tiktok_ads[[#This Row],[video_watch_100]]*RANDBETWEEN(8,12)/10,0)</f>
        <v>27567</v>
      </c>
      <c r="AR53" s="4">
        <f ca="1">ROUND(T_Tiktok_ads[[#This Row],[likes]]*RANDBETWEEN(8,12)/10,0)</f>
        <v>4910</v>
      </c>
      <c r="AS53" s="4">
        <f ca="1">ROUND(T_Tiktok_ads[[#This Row],[shares]]*RANDBETWEEN(8,12)/10,0)</f>
        <v>1254</v>
      </c>
      <c r="AT53" s="4">
        <f ca="1">ROUND(T_Tiktok_ads[[#This Row],[comments]]*RANDBETWEEN(8,12)/10,0)</f>
        <v>347</v>
      </c>
      <c r="AV53" s="5">
        <f t="shared" ca="1" si="8"/>
        <v>45271</v>
      </c>
      <c r="AW53">
        <f t="shared" ca="1" si="4"/>
        <v>5</v>
      </c>
      <c r="AX53">
        <f ca="1">ROUND(T_Facebook_Ads115963677175798387919599[[#This Row],[impressions]]*RANDBETWEEN(8,12)/10,0)</f>
        <v>15657</v>
      </c>
      <c r="AY53">
        <f ca="1">ROUND(T_Facebook_Ads115963677175798387919599[[#This Row],[clicks]]*RANDBETWEEN(8,12)/10,0)</f>
        <v>678</v>
      </c>
      <c r="AZ53">
        <f ca="1">T_Facebook_Ads115963677175798387919599[[#This Row],[spend]]*RANDBETWEEN(8,12)/10</f>
        <v>298.2</v>
      </c>
      <c r="BA53">
        <f ca="1">ROUND(T_Facebook_Ads115963677175798387919599[[#This Row],[conversions]]*RANDBETWEEN(8,12)/10,0)</f>
        <v>34</v>
      </c>
      <c r="BB53">
        <f ca="1">ROUND(T_Facebook_Ads115963677175798387919599[[#This Row],[video_views]]*RANDBETWEEN(8,12)/10,0)</f>
        <v>1410</v>
      </c>
    </row>
    <row r="54" spans="1:54" ht="15.75" thickBot="1" x14ac:dyDescent="0.3">
      <c r="A54" s="3">
        <f t="shared" ca="1" si="5"/>
        <v>45279</v>
      </c>
      <c r="B54" s="4" t="s">
        <v>60</v>
      </c>
      <c r="C54" s="4" t="s">
        <v>61</v>
      </c>
      <c r="D54" s="4" t="s">
        <v>62</v>
      </c>
      <c r="E54" s="4" t="s">
        <v>63</v>
      </c>
      <c r="F54" s="4">
        <f ca="1">ROUND(T_Facebook_Ads[[#This Row],[impressions]]*RANDBETWEEN(8,12)/10,0)</f>
        <v>46147</v>
      </c>
      <c r="G54" s="4">
        <v>1423</v>
      </c>
      <c r="H54" s="4">
        <f ca="1">T_Facebook_Ads[[#This Row],[spend]]*RANDBETWEEN(8,12)/10</f>
        <v>262.43999999999994</v>
      </c>
      <c r="I54" s="4">
        <f ca="1">ROUND(T_Facebook_Ads[[#This Row],[conversions]]*RANDBETWEEN(8,12)/10,0)</f>
        <v>27</v>
      </c>
      <c r="J54" s="4">
        <f ca="1">ROUND(T_Facebook_Ads[[#This Row],[video_views]]*RANDBETWEEN(8,12)/10,0)</f>
        <v>6148</v>
      </c>
      <c r="K54" s="4">
        <f ca="1">T_Facebook_Ads[[#This Row],[engagement_rate]]*RANDBETWEEN(8,12)/10</f>
        <v>2.9599999999999998E-2</v>
      </c>
      <c r="L54" s="4">
        <f ca="1">ROUND(T_Facebook_Ads[[#This Row],[reach]]*RANDBETWEEN(8,12)/10,0)</f>
        <v>37481</v>
      </c>
      <c r="M54" s="4">
        <f ca="1">T_Facebook_Ads[[#This Row],[frequency]]*RANDBETWEEN(8,12)/10</f>
        <v>1.353</v>
      </c>
      <c r="O54" s="3">
        <f t="shared" ca="1" si="6"/>
        <v>45290</v>
      </c>
      <c r="P54" s="4" t="s">
        <v>84</v>
      </c>
      <c r="Q54" s="4" t="s">
        <v>85</v>
      </c>
      <c r="R54" s="4" t="s">
        <v>86</v>
      </c>
      <c r="S54" s="4" t="s">
        <v>87</v>
      </c>
      <c r="T54" s="4">
        <f ca="1">ROUND(_Google_ads[[#This Row],[impressions]]*RANDBETWEEN(8,12)/10,0)</f>
        <v>63111</v>
      </c>
      <c r="U54" s="4">
        <f ca="1">ROUND(_Google_ads[[#This Row],[clicks]]*RANDBETWEEN(8,12)/10,0)</f>
        <v>2378</v>
      </c>
      <c r="V54" s="4">
        <f ca="1">_Google_ads[[#This Row],[cost]]*RANDBETWEEN(8,12)/10</f>
        <v>522.96</v>
      </c>
      <c r="W54" s="4">
        <f ca="1">ROUND(_Google_ads[[#This Row],[conversions]]*RANDBETWEEN(8,12)/10,0)</f>
        <v>76</v>
      </c>
      <c r="X54" s="4">
        <f ca="1">ROUND(_Google_ads[[#This Row],[conversion_value]]*RANDBETWEEN(8,12)/10,0)</f>
        <v>4140</v>
      </c>
      <c r="Y54" s="4">
        <f ca="1">_Google_ads[[#This Row],[ctr]]*RANDBETWEEN(8,12)/10</f>
        <v>3.39E-2</v>
      </c>
      <c r="Z54" s="4">
        <f ca="1">_Google_ads[[#This Row],[avg_cpc]]*RANDBETWEEN(8,12)/10</f>
        <v>0.14399999999999999</v>
      </c>
      <c r="AA54" s="4">
        <f ca="1">ROUND(_Google_ads[[#This Row],[quality_score]]*RANDBETWEEN(8,12)/10,0)</f>
        <v>7</v>
      </c>
      <c r="AB54" s="4">
        <f ca="1">_Google_ads[[#This Row],[search_impression_share]]*RANDBETWEEN(8,12)/10</f>
        <v>0.80400000000000005</v>
      </c>
      <c r="AD54" s="3">
        <f t="shared" ca="1" si="7"/>
        <v>45282</v>
      </c>
      <c r="AE54" s="4" t="s">
        <v>108</v>
      </c>
      <c r="AF54" s="4" t="s">
        <v>109</v>
      </c>
      <c r="AG54" s="4" t="s">
        <v>110</v>
      </c>
      <c r="AH54" s="4" t="s">
        <v>111</v>
      </c>
      <c r="AI54" s="4">
        <f ca="1">ROUND(T_Tiktok_ads[[#This Row],[impressions]]*RANDBETWEEN(8,12)/10,0)</f>
        <v>196542</v>
      </c>
      <c r="AJ54" s="4">
        <f ca="1">ROUND(T_Tiktok_ads[[#This Row],[clicks]]*RANDBETWEEN(8,12)/10,0)</f>
        <v>3112</v>
      </c>
      <c r="AK54" s="4">
        <v>467.8</v>
      </c>
      <c r="AL54" s="4">
        <f ca="1">ROUND(T_Tiktok_ads[[#This Row],[conversions]]*RANDBETWEEN(8,12)/10,0)</f>
        <v>41</v>
      </c>
      <c r="AM54" s="4">
        <f ca="1">ROUND(T_Tiktok_ads[[#This Row],[video_views]]*RANDBETWEEN(8,12)/10,0)</f>
        <v>215246</v>
      </c>
      <c r="AN54" s="4">
        <f ca="1">ROUND(T_Tiktok_ads[[#This Row],[video_watch_25]]*RANDBETWEEN(8,12)/10,0)</f>
        <v>118587</v>
      </c>
      <c r="AO54" s="4">
        <f ca="1">ROUND(T_Tiktok_ads[[#This Row],[video_watch_50]]*RANDBETWEEN(8,12)/10,0)</f>
        <v>93787</v>
      </c>
      <c r="AP54" s="4">
        <f ca="1">ROUND(T_Tiktok_ads[[#This Row],[video_watch_75]]*RANDBETWEEN(8,12)/10,0)</f>
        <v>60187</v>
      </c>
      <c r="AQ54" s="4">
        <f ca="1">ROUND(T_Tiktok_ads[[#This Row],[video_watch_100]]*RANDBETWEEN(8,12)/10,0)</f>
        <v>50368</v>
      </c>
      <c r="AR54" s="4">
        <f ca="1">ROUND(T_Tiktok_ads[[#This Row],[likes]]*RANDBETWEEN(8,12)/10,0)</f>
        <v>7710</v>
      </c>
      <c r="AS54" s="4">
        <f ca="1">ROUND(T_Tiktok_ads[[#This Row],[shares]]*RANDBETWEEN(8,12)/10,0)</f>
        <v>1876</v>
      </c>
      <c r="AT54" s="4">
        <f ca="1">ROUND(T_Tiktok_ads[[#This Row],[comments]]*RANDBETWEEN(8,12)/10,0)</f>
        <v>624</v>
      </c>
      <c r="AV54" s="5">
        <f t="shared" ca="1" si="8"/>
        <v>45265</v>
      </c>
      <c r="AW54">
        <f t="shared" ca="1" si="4"/>
        <v>2</v>
      </c>
      <c r="AX54">
        <f ca="1">ROUND(T_Facebook_Ads115963677175798387919599[[#This Row],[impressions]]*RANDBETWEEN(8,12)/10,0)</f>
        <v>50762</v>
      </c>
      <c r="AY54">
        <f ca="1">ROUND(T_Facebook_Ads115963677175798387919599[[#This Row],[clicks]]*RANDBETWEEN(8,12)/10,0)</f>
        <v>1138</v>
      </c>
      <c r="AZ54">
        <f ca="1">T_Facebook_Ads115963677175798387919599[[#This Row],[spend]]*RANDBETWEEN(8,12)/10</f>
        <v>314.92799999999994</v>
      </c>
      <c r="BA54">
        <f ca="1">ROUND(T_Facebook_Ads115963677175798387919599[[#This Row],[conversions]]*RANDBETWEEN(8,12)/10,0)</f>
        <v>22</v>
      </c>
      <c r="BB54">
        <f ca="1">ROUND(T_Facebook_Ads115963677175798387919599[[#This Row],[video_views]]*RANDBETWEEN(8,12)/10,0)</f>
        <v>7378</v>
      </c>
    </row>
    <row r="55" spans="1:54" ht="15.75" thickBot="1" x14ac:dyDescent="0.3">
      <c r="A55" s="3">
        <f t="shared" ca="1" si="5"/>
        <v>45288</v>
      </c>
      <c r="B55" s="4" t="s">
        <v>64</v>
      </c>
      <c r="C55" s="4" t="s">
        <v>65</v>
      </c>
      <c r="D55" s="4" t="s">
        <v>66</v>
      </c>
      <c r="E55" s="4" t="s">
        <v>67</v>
      </c>
      <c r="F55" s="4">
        <f ca="1">ROUND(T_Facebook_Ads[[#This Row],[impressions]]*RANDBETWEEN(8,12)/10,0)</f>
        <v>66110</v>
      </c>
      <c r="G55" s="4">
        <v>267</v>
      </c>
      <c r="H55" s="4">
        <f ca="1">T_Facebook_Ads[[#This Row],[spend]]*RANDBETWEEN(8,12)/10</f>
        <v>113.04</v>
      </c>
      <c r="I55" s="4">
        <f ca="1">ROUND(T_Facebook_Ads[[#This Row],[conversions]]*RANDBETWEEN(8,12)/10,0)</f>
        <v>8</v>
      </c>
      <c r="J55" s="4">
        <f ca="1">ROUND(T_Facebook_Ads[[#This Row],[video_views]]*RANDBETWEEN(8,12)/10,0)</f>
        <v>54879</v>
      </c>
      <c r="K55" s="4">
        <f ca="1">T_Facebook_Ads[[#This Row],[engagement_rate]]*RANDBETWEEN(8,12)/10</f>
        <v>4.3200000000000001E-3</v>
      </c>
      <c r="L55" s="4">
        <f ca="1">ROUND(T_Facebook_Ads[[#This Row],[reach]]*RANDBETWEEN(8,12)/10,0)</f>
        <v>65524</v>
      </c>
      <c r="M55" s="4">
        <f ca="1">T_Facebook_Ads[[#This Row],[frequency]]*RANDBETWEEN(8,12)/10</f>
        <v>1.3640000000000001</v>
      </c>
      <c r="O55" s="3">
        <f t="shared" ca="1" si="6"/>
        <v>45285</v>
      </c>
      <c r="P55" s="4" t="s">
        <v>88</v>
      </c>
      <c r="Q55" s="4" t="s">
        <v>89</v>
      </c>
      <c r="R55" s="4" t="s">
        <v>90</v>
      </c>
      <c r="S55" s="4" t="s">
        <v>59</v>
      </c>
      <c r="T55" s="4">
        <f ca="1">ROUND(_Google_ads[[#This Row],[impressions]]*RANDBETWEEN(8,12)/10,0)</f>
        <v>106054</v>
      </c>
      <c r="U55" s="4">
        <f ca="1">ROUND(_Google_ads[[#This Row],[clicks]]*RANDBETWEEN(8,12)/10,0)</f>
        <v>538</v>
      </c>
      <c r="V55" s="4">
        <f ca="1">_Google_ads[[#This Row],[cost]]*RANDBETWEEN(8,12)/10</f>
        <v>117.45</v>
      </c>
      <c r="W55" s="4">
        <f ca="1">ROUND(_Google_ads[[#This Row],[conversions]]*RANDBETWEEN(8,12)/10,0)</f>
        <v>13</v>
      </c>
      <c r="X55" s="4">
        <f ca="1">ROUND(_Google_ads[[#This Row],[conversion_value]]*RANDBETWEEN(8,12)/10,0)</f>
        <v>700</v>
      </c>
      <c r="Y55" s="4">
        <f ca="1">_Google_ads[[#This Row],[ctr]]*RANDBETWEEN(8,12)/10</f>
        <v>4.4400000000000004E-3</v>
      </c>
      <c r="Z55" s="4">
        <f ca="1">_Google_ads[[#This Row],[avg_cpc]]*RANDBETWEEN(8,12)/10</f>
        <v>0.27</v>
      </c>
      <c r="AA55" s="4">
        <f ca="1">ROUND(_Google_ads[[#This Row],[quality_score]]*RANDBETWEEN(8,12)/10,0)</f>
        <v>6</v>
      </c>
      <c r="AB55" s="4">
        <f ca="1">_Google_ads[[#This Row],[search_impression_share]]*RANDBETWEEN(8,12)/10</f>
        <v>0.315</v>
      </c>
      <c r="AD55" s="3">
        <f t="shared" ca="1" si="7"/>
        <v>45281</v>
      </c>
      <c r="AE55" s="4" t="s">
        <v>112</v>
      </c>
      <c r="AF55" s="4" t="s">
        <v>113</v>
      </c>
      <c r="AG55" s="4" t="s">
        <v>114</v>
      </c>
      <c r="AH55" s="4" t="s">
        <v>115</v>
      </c>
      <c r="AI55" s="4">
        <f ca="1">ROUND(T_Tiktok_ads[[#This Row],[impressions]]*RANDBETWEEN(8,12)/10,0)</f>
        <v>508147</v>
      </c>
      <c r="AJ55" s="4">
        <f ca="1">ROUND(T_Tiktok_ads[[#This Row],[clicks]]*RANDBETWEEN(8,12)/10,0)</f>
        <v>7579</v>
      </c>
      <c r="AK55" s="4">
        <v>1056.8</v>
      </c>
      <c r="AL55" s="4">
        <f ca="1">ROUND(T_Tiktok_ads[[#This Row],[conversions]]*RANDBETWEEN(8,12)/10,0)</f>
        <v>107</v>
      </c>
      <c r="AM55" s="4">
        <f ca="1">ROUND(T_Tiktok_ads[[#This Row],[video_views]]*RANDBETWEEN(8,12)/10,0)</f>
        <v>392468</v>
      </c>
      <c r="AN55" s="4">
        <f ca="1">ROUND(T_Tiktok_ads[[#This Row],[video_watch_25]]*RANDBETWEEN(8,12)/10,0)</f>
        <v>260311</v>
      </c>
      <c r="AO55" s="4">
        <f ca="1">ROUND(T_Tiktok_ads[[#This Row],[video_watch_50]]*RANDBETWEEN(8,12)/10,0)</f>
        <v>208310</v>
      </c>
      <c r="AP55" s="4">
        <f ca="1">ROUND(T_Tiktok_ads[[#This Row],[video_watch_75]]*RANDBETWEEN(8,12)/10,0)</f>
        <v>164567</v>
      </c>
      <c r="AQ55" s="4">
        <f ca="1">ROUND(T_Tiktok_ads[[#This Row],[video_watch_100]]*RANDBETWEEN(8,12)/10,0)</f>
        <v>87387</v>
      </c>
      <c r="AR55" s="4">
        <f ca="1">ROUND(T_Tiktok_ads[[#This Row],[likes]]*RANDBETWEEN(8,12)/10,0)</f>
        <v>17001</v>
      </c>
      <c r="AS55" s="4">
        <f ca="1">ROUND(T_Tiktok_ads[[#This Row],[shares]]*RANDBETWEEN(8,12)/10,0)</f>
        <v>5456</v>
      </c>
      <c r="AT55" s="4">
        <f ca="1">ROUND(T_Tiktok_ads[[#This Row],[comments]]*RANDBETWEEN(8,12)/10,0)</f>
        <v>1787</v>
      </c>
      <c r="AV55" s="5">
        <f t="shared" ca="1" si="8"/>
        <v>45273</v>
      </c>
      <c r="AW55">
        <f t="shared" ca="1" si="4"/>
        <v>5</v>
      </c>
      <c r="AX55">
        <f ca="1">ROUND(T_Facebook_Ads115963677175798387919599[[#This Row],[impressions]]*RANDBETWEEN(8,12)/10,0)</f>
        <v>66110</v>
      </c>
      <c r="AY55">
        <f ca="1">ROUND(T_Facebook_Ads115963677175798387919599[[#This Row],[clicks]]*RANDBETWEEN(8,12)/10,0)</f>
        <v>320</v>
      </c>
      <c r="AZ55">
        <f ca="1">T_Facebook_Ads115963677175798387919599[[#This Row],[spend]]*RANDBETWEEN(8,12)/10</f>
        <v>113.04</v>
      </c>
      <c r="BA55">
        <f ca="1">ROUND(T_Facebook_Ads115963677175798387919599[[#This Row],[conversions]]*RANDBETWEEN(8,12)/10,0)</f>
        <v>8</v>
      </c>
      <c r="BB55">
        <f ca="1">ROUND(T_Facebook_Ads115963677175798387919599[[#This Row],[video_views]]*RANDBETWEEN(8,12)/10,0)</f>
        <v>54879</v>
      </c>
    </row>
    <row r="56" spans="1:54" ht="15.75" thickBot="1" x14ac:dyDescent="0.3">
      <c r="A56" s="3">
        <f t="shared" ca="1" si="5"/>
        <v>45277</v>
      </c>
      <c r="B56" s="4" t="s">
        <v>52</v>
      </c>
      <c r="C56" s="4" t="s">
        <v>53</v>
      </c>
      <c r="D56" s="4" t="s">
        <v>54</v>
      </c>
      <c r="E56" s="4" t="s">
        <v>55</v>
      </c>
      <c r="F56" s="4">
        <f ca="1">ROUND(T_Facebook_Ads[[#This Row],[impressions]]*RANDBETWEEN(8,12)/10,0)</f>
        <v>46610</v>
      </c>
      <c r="G56" s="4">
        <v>1089</v>
      </c>
      <c r="H56" s="4">
        <f ca="1">T_Facebook_Ads[[#This Row],[spend]]*RANDBETWEEN(8,12)/10</f>
        <v>167.53000000000003</v>
      </c>
      <c r="I56" s="4">
        <f ca="1">ROUND(T_Facebook_Ads[[#This Row],[conversions]]*RANDBETWEEN(8,12)/10,0)</f>
        <v>16</v>
      </c>
      <c r="J56" s="4">
        <f ca="1">ROUND(T_Facebook_Ads[[#This Row],[video_views]]*RANDBETWEEN(8,12)/10,0)</f>
        <v>8610</v>
      </c>
      <c r="K56" s="4">
        <f ca="1">T_Facebook_Ads[[#This Row],[engagement_rate]]*RANDBETWEEN(8,12)/10</f>
        <v>1.89E-2</v>
      </c>
      <c r="L56" s="4">
        <f ca="1">ROUND(T_Facebook_Ads[[#This Row],[reach]]*RANDBETWEEN(8,12)/10,0)</f>
        <v>52280</v>
      </c>
      <c r="M56" s="4">
        <f ca="1">T_Facebook_Ads[[#This Row],[frequency]]*RANDBETWEEN(8,12)/10</f>
        <v>0.95199999999999996</v>
      </c>
      <c r="O56" s="3">
        <f t="shared" ca="1" si="6"/>
        <v>45272</v>
      </c>
      <c r="P56" s="4" t="s">
        <v>76</v>
      </c>
      <c r="Q56" s="4" t="s">
        <v>77</v>
      </c>
      <c r="R56" s="4" t="s">
        <v>78</v>
      </c>
      <c r="S56" s="4" t="s">
        <v>79</v>
      </c>
      <c r="T56" s="4">
        <f ca="1">ROUND(_Google_ads[[#This Row],[impressions]]*RANDBETWEEN(8,12)/10,0)</f>
        <v>29468</v>
      </c>
      <c r="U56" s="4">
        <f ca="1">ROUND(_Google_ads[[#This Row],[clicks]]*RANDBETWEEN(8,12)/10,0)</f>
        <v>1747</v>
      </c>
      <c r="V56" s="4">
        <f ca="1">_Google_ads[[#This Row],[cost]]*RANDBETWEEN(8,12)/10</f>
        <v>251.01</v>
      </c>
      <c r="W56" s="4">
        <f ca="1">ROUND(_Google_ads[[#This Row],[conversions]]*RANDBETWEEN(8,12)/10,0)</f>
        <v>49</v>
      </c>
      <c r="X56" s="4">
        <f ca="1">ROUND(_Google_ads[[#This Row],[conversion_value]]*RANDBETWEEN(8,12)/10,0)</f>
        <v>2700</v>
      </c>
      <c r="Y56" s="4">
        <f ca="1">_Google_ads[[#This Row],[ctr]]*RANDBETWEEN(8,12)/10</f>
        <v>6.5279999999999991E-2</v>
      </c>
      <c r="Z56" s="4">
        <f ca="1">_Google_ads[[#This Row],[avg_cpc]]*RANDBETWEEN(8,12)/10</f>
        <v>0.22800000000000004</v>
      </c>
      <c r="AA56" s="4">
        <f ca="1">ROUND(_Google_ads[[#This Row],[quality_score]]*RANDBETWEEN(8,12)/10,0)</f>
        <v>11</v>
      </c>
      <c r="AB56" s="4">
        <f ca="1">_Google_ads[[#This Row],[search_impression_share]]*RANDBETWEEN(8,12)/10</f>
        <v>1.0230000000000001</v>
      </c>
      <c r="AD56" s="3">
        <f t="shared" ca="1" si="7"/>
        <v>45286</v>
      </c>
      <c r="AE56" s="4" t="s">
        <v>100</v>
      </c>
      <c r="AF56" s="4" t="s">
        <v>101</v>
      </c>
      <c r="AG56" s="4" t="s">
        <v>102</v>
      </c>
      <c r="AH56" s="4" t="s">
        <v>103</v>
      </c>
      <c r="AI56" s="4">
        <f ca="1">ROUND(T_Tiktok_ads[[#This Row],[impressions]]*RANDBETWEEN(8,12)/10,0)</f>
        <v>361481</v>
      </c>
      <c r="AJ56" s="4">
        <f ca="1">ROUND(T_Tiktok_ads[[#This Row],[clicks]]*RANDBETWEEN(8,12)/10,0)</f>
        <v>5347</v>
      </c>
      <c r="AK56" s="4">
        <v>589.9</v>
      </c>
      <c r="AL56" s="4">
        <f ca="1">ROUND(T_Tiktok_ads[[#This Row],[conversions]]*RANDBETWEEN(8,12)/10,0)</f>
        <v>51</v>
      </c>
      <c r="AM56" s="4">
        <f ca="1">ROUND(T_Tiktok_ads[[#This Row],[video_views]]*RANDBETWEEN(8,12)/10,0)</f>
        <v>245678</v>
      </c>
      <c r="AN56" s="4">
        <f ca="1">ROUND(T_Tiktok_ads[[#This Row],[video_watch_25]]*RANDBETWEEN(8,12)/10,0)</f>
        <v>191234</v>
      </c>
      <c r="AO56" s="4">
        <f ca="1">ROUND(T_Tiktok_ads[[#This Row],[video_watch_50]]*RANDBETWEEN(8,12)/10,0)</f>
        <v>107311</v>
      </c>
      <c r="AP56" s="4">
        <f ca="1">ROUND(T_Tiktok_ads[[#This Row],[video_watch_75]]*RANDBETWEEN(8,12)/10,0)</f>
        <v>96281</v>
      </c>
      <c r="AQ56" s="4">
        <f ca="1">ROUND(T_Tiktok_ads[[#This Row],[video_watch_100]]*RANDBETWEEN(8,12)/10,0)</f>
        <v>48110</v>
      </c>
      <c r="AR56" s="4">
        <f ca="1">ROUND(T_Tiktok_ads[[#This Row],[likes]]*RANDBETWEEN(8,12)/10,0)</f>
        <v>11868</v>
      </c>
      <c r="AS56" s="4">
        <f ca="1">ROUND(T_Tiktok_ads[[#This Row],[shares]]*RANDBETWEEN(8,12)/10,0)</f>
        <v>3191</v>
      </c>
      <c r="AT56" s="4">
        <f ca="1">ROUND(T_Tiktok_ads[[#This Row],[comments]]*RANDBETWEEN(8,12)/10,0)</f>
        <v>827</v>
      </c>
      <c r="AV56" s="5">
        <f t="shared" ca="1" si="8"/>
        <v>45268</v>
      </c>
      <c r="AW56">
        <f t="shared" ca="1" si="4"/>
        <v>7</v>
      </c>
      <c r="AX56">
        <f ca="1">ROUND(T_Facebook_Ads115963677175798387919599[[#This Row],[impressions]]*RANDBETWEEN(8,12)/10,0)</f>
        <v>41949</v>
      </c>
      <c r="AY56">
        <f ca="1">ROUND(T_Facebook_Ads115963677175798387919599[[#This Row],[clicks]]*RANDBETWEEN(8,12)/10,0)</f>
        <v>871</v>
      </c>
      <c r="AZ56">
        <f ca="1">T_Facebook_Ads115963677175798387919599[[#This Row],[spend]]*RANDBETWEEN(8,12)/10</f>
        <v>167.53000000000003</v>
      </c>
      <c r="BA56">
        <f ca="1">ROUND(T_Facebook_Ads115963677175798387919599[[#This Row],[conversions]]*RANDBETWEEN(8,12)/10,0)</f>
        <v>13</v>
      </c>
      <c r="BB56">
        <f ca="1">ROUND(T_Facebook_Ads115963677175798387919599[[#This Row],[video_views]]*RANDBETWEEN(8,12)/10,0)</f>
        <v>6888</v>
      </c>
    </row>
    <row r="57" spans="1:54" ht="15.75" thickBot="1" x14ac:dyDescent="0.3">
      <c r="A57" s="3">
        <f t="shared" ca="1" si="5"/>
        <v>45267</v>
      </c>
      <c r="B57" s="4" t="s">
        <v>56</v>
      </c>
      <c r="C57" s="4" t="s">
        <v>57</v>
      </c>
      <c r="D57" s="4" t="s">
        <v>58</v>
      </c>
      <c r="E57" s="4" t="s">
        <v>59</v>
      </c>
      <c r="F57" s="4">
        <f ca="1">ROUND(T_Facebook_Ads[[#This Row],[impressions]]*RANDBETWEEN(8,12)/10,0)</f>
        <v>13711</v>
      </c>
      <c r="G57" s="4">
        <v>734</v>
      </c>
      <c r="H57" s="4">
        <f ca="1">T_Facebook_Ads[[#This Row],[spend]]*RANDBETWEEN(8,12)/10</f>
        <v>238.22999999999996</v>
      </c>
      <c r="I57" s="4">
        <f ca="1">ROUND(T_Facebook_Ads[[#This Row],[conversions]]*RANDBETWEEN(8,12)/10,0)</f>
        <v>51</v>
      </c>
      <c r="J57" s="4">
        <f ca="1">ROUND(T_Facebook_Ads[[#This Row],[video_views]]*RANDBETWEEN(8,12)/10,0)</f>
        <v>2014</v>
      </c>
      <c r="K57" s="4">
        <f ca="1">T_Facebook_Ads[[#This Row],[engagement_rate]]*RANDBETWEEN(8,12)/10</f>
        <v>4.82E-2</v>
      </c>
      <c r="L57" s="4">
        <f ca="1">ROUND(T_Facebook_Ads[[#This Row],[reach]]*RANDBETWEEN(8,12)/10,0)</f>
        <v>9698</v>
      </c>
      <c r="M57" s="4">
        <f ca="1">T_Facebook_Ads[[#This Row],[frequency]]*RANDBETWEEN(8,12)/10</f>
        <v>1.008</v>
      </c>
      <c r="O57" s="3">
        <f t="shared" ca="1" si="6"/>
        <v>45270</v>
      </c>
      <c r="P57" s="4" t="s">
        <v>80</v>
      </c>
      <c r="Q57" s="4" t="s">
        <v>81</v>
      </c>
      <c r="R57" s="4" t="s">
        <v>82</v>
      </c>
      <c r="S57" s="4" t="s">
        <v>83</v>
      </c>
      <c r="T57" s="4">
        <f ca="1">ROUND(_Google_ads[[#This Row],[impressions]]*RANDBETWEEN(8,12)/10,0)</f>
        <v>51957</v>
      </c>
      <c r="U57" s="4">
        <f ca="1">ROUND(_Google_ads[[#This Row],[clicks]]*RANDBETWEEN(8,12)/10,0)</f>
        <v>1160</v>
      </c>
      <c r="V57" s="4">
        <f ca="1">_Google_ads[[#This Row],[cost]]*RANDBETWEEN(8,12)/10</f>
        <v>545.04000000000008</v>
      </c>
      <c r="W57" s="4">
        <f ca="1">ROUND(_Google_ads[[#This Row],[conversions]]*RANDBETWEEN(8,12)/10,0)</f>
        <v>25</v>
      </c>
      <c r="X57" s="4">
        <f ca="1">ROUND(_Google_ads[[#This Row],[conversion_value]]*RANDBETWEEN(8,12)/10,0)</f>
        <v>1250</v>
      </c>
      <c r="Y57" s="4">
        <f ca="1">_Google_ads[[#This Row],[ctr]]*RANDBETWEEN(8,12)/10</f>
        <v>2.2550000000000001E-2</v>
      </c>
      <c r="Z57" s="4">
        <f ca="1">_Google_ads[[#This Row],[avg_cpc]]*RANDBETWEEN(8,12)/10</f>
        <v>0.75600000000000001</v>
      </c>
      <c r="AA57" s="4">
        <f ca="1">ROUND(_Google_ads[[#This Row],[quality_score]]*RANDBETWEEN(8,12)/10,0)</f>
        <v>8</v>
      </c>
      <c r="AB57" s="4">
        <f ca="1">_Google_ads[[#This Row],[search_impression_share]]*RANDBETWEEN(8,12)/10</f>
        <v>0.55200000000000005</v>
      </c>
      <c r="AD57" s="3">
        <f t="shared" ca="1" si="7"/>
        <v>45281</v>
      </c>
      <c r="AE57" s="4" t="s">
        <v>104</v>
      </c>
      <c r="AF57" s="4" t="s">
        <v>105</v>
      </c>
      <c r="AG57" s="4" t="s">
        <v>106</v>
      </c>
      <c r="AH57" s="4" t="s">
        <v>107</v>
      </c>
      <c r="AI57" s="4">
        <f ca="1">ROUND(T_Tiktok_ads[[#This Row],[impressions]]*RANDBETWEEN(8,12)/10,0)</f>
        <v>167890</v>
      </c>
      <c r="AJ57" s="4">
        <f ca="1">ROUND(T_Tiktok_ads[[#This Row],[clicks]]*RANDBETWEEN(8,12)/10,0)</f>
        <v>3234</v>
      </c>
      <c r="AK57" s="4">
        <v>845.6</v>
      </c>
      <c r="AL57" s="4">
        <f ca="1">ROUND(T_Tiktok_ads[[#This Row],[conversions]]*RANDBETWEEN(8,12)/10,0)</f>
        <v>68</v>
      </c>
      <c r="AM57" s="4">
        <f ca="1">ROUND(T_Tiktok_ads[[#This Row],[video_views]]*RANDBETWEEN(8,12)/10,0)</f>
        <v>117890</v>
      </c>
      <c r="AN57" s="4">
        <f ca="1">ROUND(T_Tiktok_ads[[#This Row],[video_watch_25]]*RANDBETWEEN(8,12)/10,0)</f>
        <v>78511</v>
      </c>
      <c r="AO57" s="4">
        <f ca="1">ROUND(T_Tiktok_ads[[#This Row],[video_watch_50]]*RANDBETWEEN(8,12)/10,0)</f>
        <v>70681</v>
      </c>
      <c r="AP57" s="4">
        <f ca="1">ROUND(T_Tiktok_ads[[#This Row],[video_watch_75]]*RANDBETWEEN(8,12)/10,0)</f>
        <v>48657</v>
      </c>
      <c r="AQ57" s="4">
        <f ca="1">ROUND(T_Tiktok_ads[[#This Row],[video_watch_100]]*RANDBETWEEN(8,12)/10,0)</f>
        <v>32524</v>
      </c>
      <c r="AR57" s="4">
        <f ca="1">ROUND(T_Tiktok_ads[[#This Row],[likes]]*RANDBETWEEN(8,12)/10,0)</f>
        <v>5678</v>
      </c>
      <c r="AS57" s="4">
        <f ca="1">ROUND(T_Tiktok_ads[[#This Row],[shares]]*RANDBETWEEN(8,12)/10,0)</f>
        <v>1797</v>
      </c>
      <c r="AT57" s="4">
        <f ca="1">ROUND(T_Tiktok_ads[[#This Row],[comments]]*RANDBETWEEN(8,12)/10,0)</f>
        <v>312</v>
      </c>
      <c r="AV57" s="5">
        <f t="shared" ca="1" si="8"/>
        <v>45291</v>
      </c>
      <c r="AW57">
        <f t="shared" ca="1" si="4"/>
        <v>6</v>
      </c>
      <c r="AX57">
        <f ca="1">ROUND(T_Facebook_Ads115963677175798387919599[[#This Row],[impressions]]*RANDBETWEEN(8,12)/10,0)</f>
        <v>13711</v>
      </c>
      <c r="AY57">
        <f ca="1">ROUND(T_Facebook_Ads115963677175798387919599[[#This Row],[clicks]]*RANDBETWEEN(8,12)/10,0)</f>
        <v>661</v>
      </c>
      <c r="AZ57">
        <f ca="1">T_Facebook_Ads115963677175798387919599[[#This Row],[spend]]*RANDBETWEEN(8,12)/10</f>
        <v>262.053</v>
      </c>
      <c r="BA57">
        <f ca="1">ROUND(T_Facebook_Ads115963677175798387919599[[#This Row],[conversions]]*RANDBETWEEN(8,12)/10,0)</f>
        <v>61</v>
      </c>
      <c r="BB57">
        <f ca="1">ROUND(T_Facebook_Ads115963677175798387919599[[#This Row],[video_views]]*RANDBETWEEN(8,12)/10,0)</f>
        <v>1813</v>
      </c>
    </row>
    <row r="58" spans="1:54" ht="15.75" thickBot="1" x14ac:dyDescent="0.3">
      <c r="A58" s="3">
        <f t="shared" ca="1" si="5"/>
        <v>45291</v>
      </c>
      <c r="B58" s="4" t="s">
        <v>60</v>
      </c>
      <c r="C58" s="4" t="s">
        <v>61</v>
      </c>
      <c r="D58" s="4" t="s">
        <v>62</v>
      </c>
      <c r="E58" s="4" t="s">
        <v>63</v>
      </c>
      <c r="F58" s="4">
        <f ca="1">ROUND(T_Facebook_Ads[[#This Row],[impressions]]*RANDBETWEEN(8,12)/10,0)</f>
        <v>36111</v>
      </c>
      <c r="G58" s="4">
        <v>1534</v>
      </c>
      <c r="H58" s="4">
        <f ca="1">T_Facebook_Ads[[#This Row],[spend]]*RANDBETWEEN(8,12)/10</f>
        <v>279.36</v>
      </c>
      <c r="I58" s="4">
        <f ca="1">ROUND(T_Facebook_Ads[[#This Row],[conversions]]*RANDBETWEEN(8,12)/10,0)</f>
        <v>33</v>
      </c>
      <c r="J58" s="4">
        <f ca="1">ROUND(T_Facebook_Ads[[#This Row],[video_views]]*RANDBETWEEN(8,12)/10,0)</f>
        <v>4910</v>
      </c>
      <c r="K58" s="4">
        <f ca="1">T_Facebook_Ads[[#This Row],[engagement_rate]]*RANDBETWEEN(8,12)/10</f>
        <v>4.5839999999999999E-2</v>
      </c>
      <c r="L58" s="4">
        <f ca="1">ROUND(T_Facebook_Ads[[#This Row],[reach]]*RANDBETWEEN(8,12)/10,0)</f>
        <v>32890</v>
      </c>
      <c r="M58" s="4">
        <f ca="1">T_Facebook_Ads[[#This Row],[frequency]]*RANDBETWEEN(8,12)/10</f>
        <v>0.97599999999999998</v>
      </c>
      <c r="O58" s="3">
        <f t="shared" ca="1" si="6"/>
        <v>45288</v>
      </c>
      <c r="P58" s="4" t="s">
        <v>84</v>
      </c>
      <c r="Q58" s="4" t="s">
        <v>85</v>
      </c>
      <c r="R58" s="4" t="s">
        <v>86</v>
      </c>
      <c r="S58" s="4" t="s">
        <v>87</v>
      </c>
      <c r="T58" s="4">
        <f ca="1">ROUND(_Google_ads[[#This Row],[impressions]]*RANDBETWEEN(8,12)/10,0)</f>
        <v>86947</v>
      </c>
      <c r="U58" s="4">
        <f ca="1">ROUND(_Google_ads[[#This Row],[clicks]]*RANDBETWEEN(8,12)/10,0)</f>
        <v>2489</v>
      </c>
      <c r="V58" s="4">
        <f ca="1">_Google_ads[[#This Row],[cost]]*RANDBETWEEN(8,12)/10</f>
        <v>450.7</v>
      </c>
      <c r="W58" s="4">
        <f ca="1">ROUND(_Google_ads[[#This Row],[conversions]]*RANDBETWEEN(8,12)/10,0)</f>
        <v>86</v>
      </c>
      <c r="X58" s="4">
        <f ca="1">ROUND(_Google_ads[[#This Row],[conversion_value]]*RANDBETWEEN(8,12)/10,0)</f>
        <v>2880</v>
      </c>
      <c r="Y58" s="4">
        <f ca="1">_Google_ads[[#This Row],[ctr]]*RANDBETWEEN(8,12)/10</f>
        <v>2.7519999999999999E-2</v>
      </c>
      <c r="Z58" s="4">
        <f ca="1">_Google_ads[[#This Row],[avg_cpc]]*RANDBETWEEN(8,12)/10</f>
        <v>0.14399999999999999</v>
      </c>
      <c r="AA58" s="4">
        <f ca="1">ROUND(_Google_ads[[#This Row],[quality_score]]*RANDBETWEEN(8,12)/10,0)</f>
        <v>8</v>
      </c>
      <c r="AB58" s="4">
        <f ca="1">_Google_ads[[#This Row],[search_impression_share]]*RANDBETWEEN(8,12)/10</f>
        <v>0.54400000000000004</v>
      </c>
      <c r="AD58" s="3">
        <f t="shared" ca="1" si="7"/>
        <v>45273</v>
      </c>
      <c r="AE58" s="4" t="s">
        <v>108</v>
      </c>
      <c r="AF58" s="4" t="s">
        <v>109</v>
      </c>
      <c r="AG58" s="4" t="s">
        <v>110</v>
      </c>
      <c r="AH58" s="4" t="s">
        <v>111</v>
      </c>
      <c r="AI58" s="4">
        <f ca="1">ROUND(T_Tiktok_ads[[#This Row],[impressions]]*RANDBETWEEN(8,12)/10,0)</f>
        <v>205431</v>
      </c>
      <c r="AJ58" s="4">
        <f ca="1">ROUND(T_Tiktok_ads[[#This Row],[clicks]]*RANDBETWEEN(8,12)/10,0)</f>
        <v>3210</v>
      </c>
      <c r="AK58" s="4">
        <v>489.2</v>
      </c>
      <c r="AL58" s="4">
        <f ca="1">ROUND(T_Tiktok_ads[[#This Row],[conversions]]*RANDBETWEEN(8,12)/10,0)</f>
        <v>43</v>
      </c>
      <c r="AM58" s="4">
        <f ca="1">ROUND(T_Tiktok_ads[[#This Row],[video_views]]*RANDBETWEEN(8,12)/10,0)</f>
        <v>221357</v>
      </c>
      <c r="AN58" s="4">
        <f ca="1">ROUND(T_Tiktok_ads[[#This Row],[video_watch_25]]*RANDBETWEEN(8,12)/10,0)</f>
        <v>137111</v>
      </c>
      <c r="AO58" s="4">
        <f ca="1">ROUND(T_Tiktok_ads[[#This Row],[video_watch_50]]*RANDBETWEEN(8,12)/10,0)</f>
        <v>144547</v>
      </c>
      <c r="AP58" s="4">
        <f ca="1">ROUND(T_Tiktok_ads[[#This Row],[video_watch_75]]*RANDBETWEEN(8,12)/10,0)</f>
        <v>62312</v>
      </c>
      <c r="AQ58" s="4">
        <f ca="1">ROUND(T_Tiktok_ads[[#This Row],[video_watch_100]]*RANDBETWEEN(8,12)/10,0)</f>
        <v>42511</v>
      </c>
      <c r="AR58" s="4">
        <f ca="1">ROUND(T_Tiktok_ads[[#This Row],[likes]]*RANDBETWEEN(8,12)/10,0)</f>
        <v>10681</v>
      </c>
      <c r="AS58" s="4">
        <f ca="1">ROUND(T_Tiktok_ads[[#This Row],[shares]]*RANDBETWEEN(8,12)/10,0)</f>
        <v>2210</v>
      </c>
      <c r="AT58" s="4">
        <f ca="1">ROUND(T_Tiktok_ads[[#This Row],[comments]]*RANDBETWEEN(8,12)/10,0)</f>
        <v>707</v>
      </c>
      <c r="AV58" s="5">
        <f t="shared" ca="1" si="8"/>
        <v>45262</v>
      </c>
      <c r="AW58">
        <f t="shared" ca="1" si="4"/>
        <v>2</v>
      </c>
      <c r="AX58">
        <f ca="1">ROUND(T_Facebook_Ads115963677175798387919599[[#This Row],[impressions]]*RANDBETWEEN(8,12)/10,0)</f>
        <v>32500</v>
      </c>
      <c r="AY58">
        <f ca="1">ROUND(T_Facebook_Ads115963677175798387919599[[#This Row],[clicks]]*RANDBETWEEN(8,12)/10,0)</f>
        <v>1841</v>
      </c>
      <c r="AZ58">
        <f ca="1">T_Facebook_Ads115963677175798387919599[[#This Row],[spend]]*RANDBETWEEN(8,12)/10</f>
        <v>251.42400000000004</v>
      </c>
      <c r="BA58">
        <f ca="1">ROUND(T_Facebook_Ads115963677175798387919599[[#This Row],[conversions]]*RANDBETWEEN(8,12)/10,0)</f>
        <v>30</v>
      </c>
      <c r="BB58">
        <f ca="1">ROUND(T_Facebook_Ads115963677175798387919599[[#This Row],[video_views]]*RANDBETWEEN(8,12)/10,0)</f>
        <v>4910</v>
      </c>
    </row>
    <row r="59" spans="1:54" ht="15.75" thickBot="1" x14ac:dyDescent="0.3">
      <c r="A59" s="3">
        <f t="shared" ca="1" si="5"/>
        <v>45267</v>
      </c>
      <c r="B59" s="4" t="s">
        <v>64</v>
      </c>
      <c r="C59" s="4" t="s">
        <v>65</v>
      </c>
      <c r="D59" s="4" t="s">
        <v>66</v>
      </c>
      <c r="E59" s="4" t="s">
        <v>67</v>
      </c>
      <c r="F59" s="4">
        <f ca="1">ROUND(T_Facebook_Ads[[#This Row],[impressions]]*RANDBETWEEN(8,12)/10,0)</f>
        <v>91068</v>
      </c>
      <c r="G59" s="4">
        <v>278</v>
      </c>
      <c r="H59" s="4">
        <f ca="1">T_Facebook_Ads[[#This Row],[spend]]*RANDBETWEEN(8,12)/10</f>
        <v>118.2</v>
      </c>
      <c r="I59" s="4">
        <f ca="1">ROUND(T_Facebook_Ads[[#This Row],[conversions]]*RANDBETWEEN(8,12)/10,0)</f>
        <v>7</v>
      </c>
      <c r="J59" s="4">
        <f ca="1">ROUND(T_Facebook_Ads[[#This Row],[video_views]]*RANDBETWEEN(8,12)/10,0)</f>
        <v>61481</v>
      </c>
      <c r="K59" s="4">
        <f ca="1">T_Facebook_Ads[[#This Row],[engagement_rate]]*RANDBETWEEN(8,12)/10</f>
        <v>2.96E-3</v>
      </c>
      <c r="L59" s="4">
        <f ca="1">ROUND(T_Facebook_Ads[[#This Row],[reach]]*RANDBETWEEN(8,12)/10,0)</f>
        <v>73880</v>
      </c>
      <c r="M59" s="4">
        <f ca="1">T_Facebook_Ads[[#This Row],[frequency]]*RANDBETWEEN(8,12)/10</f>
        <v>0.98399999999999999</v>
      </c>
      <c r="O59" s="3">
        <f t="shared" ca="1" si="6"/>
        <v>45277</v>
      </c>
      <c r="P59" s="4" t="s">
        <v>88</v>
      </c>
      <c r="Q59" s="4" t="s">
        <v>89</v>
      </c>
      <c r="R59" s="4" t="s">
        <v>90</v>
      </c>
      <c r="S59" s="4" t="s">
        <v>59</v>
      </c>
      <c r="T59" s="4">
        <f ca="1">ROUND(_Google_ads[[#This Row],[impressions]]*RANDBETWEEN(8,12)/10,0)</f>
        <v>166681</v>
      </c>
      <c r="U59" s="4">
        <f ca="1">ROUND(_Google_ads[[#This Row],[clicks]]*RANDBETWEEN(8,12)/10,0)</f>
        <v>534</v>
      </c>
      <c r="V59" s="4">
        <f ca="1">_Google_ads[[#This Row],[cost]]*RANDBETWEEN(8,12)/10</f>
        <v>109.12</v>
      </c>
      <c r="W59" s="4">
        <f ca="1">ROUND(_Google_ads[[#This Row],[conversions]]*RANDBETWEEN(8,12)/10,0)</f>
        <v>18</v>
      </c>
      <c r="X59" s="4">
        <f ca="1">ROUND(_Google_ads[[#This Row],[conversion_value]]*RANDBETWEEN(8,12)/10,0)</f>
        <v>825</v>
      </c>
      <c r="Y59" s="4">
        <f ca="1">_Google_ads[[#This Row],[ctr]]*RANDBETWEEN(8,12)/10</f>
        <v>3.4200000000000003E-3</v>
      </c>
      <c r="Z59" s="4">
        <f ca="1">_Google_ads[[#This Row],[avg_cpc]]*RANDBETWEEN(8,12)/10</f>
        <v>0.312</v>
      </c>
      <c r="AA59" s="4">
        <f ca="1">ROUND(_Google_ads[[#This Row],[quality_score]]*RANDBETWEEN(8,12)/10,0)</f>
        <v>8</v>
      </c>
      <c r="AB59" s="4">
        <f ca="1">_Google_ads[[#This Row],[search_impression_share]]*RANDBETWEEN(8,12)/10</f>
        <v>0.43200000000000005</v>
      </c>
      <c r="AD59" s="3">
        <f t="shared" ca="1" si="7"/>
        <v>45263</v>
      </c>
      <c r="AE59" s="4" t="s">
        <v>112</v>
      </c>
      <c r="AF59" s="4" t="s">
        <v>113</v>
      </c>
      <c r="AG59" s="4" t="s">
        <v>114</v>
      </c>
      <c r="AH59" s="4" t="s">
        <v>115</v>
      </c>
      <c r="AI59" s="4">
        <f ca="1">ROUND(T_Tiktok_ads[[#This Row],[impressions]]*RANDBETWEEN(8,12)/10,0)</f>
        <v>401110</v>
      </c>
      <c r="AJ59" s="4">
        <f ca="1">ROUND(T_Tiktok_ads[[#This Row],[clicks]]*RANDBETWEEN(8,12)/10,0)</f>
        <v>6511</v>
      </c>
      <c r="AK59" s="4">
        <v>1123.5</v>
      </c>
      <c r="AL59" s="4">
        <f ca="1">ROUND(T_Tiktok_ads[[#This Row],[conversions]]*RANDBETWEEN(8,12)/10,0)</f>
        <v>124</v>
      </c>
      <c r="AM59" s="4">
        <f ca="1">ROUND(T_Tiktok_ads[[#This Row],[video_views]]*RANDBETWEEN(8,12)/10,0)</f>
        <v>416791</v>
      </c>
      <c r="AN59" s="4">
        <f ca="1">ROUND(T_Tiktok_ads[[#This Row],[video_watch_25]]*RANDBETWEEN(8,12)/10,0)</f>
        <v>365480</v>
      </c>
      <c r="AO59" s="4">
        <f ca="1">ROUND(T_Tiktok_ads[[#This Row],[video_watch_50]]*RANDBETWEEN(8,12)/10,0)</f>
        <v>267802</v>
      </c>
      <c r="AP59" s="4">
        <f ca="1">ROUND(T_Tiktok_ads[[#This Row],[video_watch_75]]*RANDBETWEEN(8,12)/10,0)</f>
        <v>172345</v>
      </c>
      <c r="AQ59" s="4">
        <f ca="1">ROUND(T_Tiktok_ads[[#This Row],[video_watch_100]]*RANDBETWEEN(8,12)/10,0)</f>
        <v>114567</v>
      </c>
      <c r="AR59" s="4">
        <f ca="1">ROUND(T_Tiktok_ads[[#This Row],[likes]]*RANDBETWEEN(8,12)/10,0)</f>
        <v>23480</v>
      </c>
      <c r="AS59" s="4">
        <f ca="1">ROUND(T_Tiktok_ads[[#This Row],[shares]]*RANDBETWEEN(8,12)/10,0)</f>
        <v>6246</v>
      </c>
      <c r="AT59" s="4">
        <f ca="1">ROUND(T_Tiktok_ads[[#This Row],[comments]]*RANDBETWEEN(8,12)/10,0)</f>
        <v>1410</v>
      </c>
      <c r="AV59" s="5">
        <f t="shared" ca="1" si="8"/>
        <v>45272</v>
      </c>
      <c r="AW59">
        <f t="shared" ca="1" si="4"/>
        <v>6</v>
      </c>
      <c r="AX59">
        <f ca="1">ROUND(T_Facebook_Ads115963677175798387919599[[#This Row],[impressions]]*RANDBETWEEN(8,12)/10,0)</f>
        <v>81961</v>
      </c>
      <c r="AY59">
        <f ca="1">ROUND(T_Facebook_Ads115963677175798387919599[[#This Row],[clicks]]*RANDBETWEEN(8,12)/10,0)</f>
        <v>306</v>
      </c>
      <c r="AZ59">
        <f ca="1">T_Facebook_Ads115963677175798387919599[[#This Row],[spend]]*RANDBETWEEN(8,12)/10</f>
        <v>118.2</v>
      </c>
      <c r="BA59">
        <f ca="1">ROUND(T_Facebook_Ads115963677175798387919599[[#This Row],[conversions]]*RANDBETWEEN(8,12)/10,0)</f>
        <v>6</v>
      </c>
      <c r="BB59">
        <f ca="1">ROUND(T_Facebook_Ads115963677175798387919599[[#This Row],[video_views]]*RANDBETWEEN(8,12)/10,0)</f>
        <v>73777</v>
      </c>
    </row>
    <row r="60" spans="1:54" ht="15.75" thickBot="1" x14ac:dyDescent="0.3">
      <c r="A60" s="3">
        <f t="shared" ca="1" si="5"/>
        <v>45265</v>
      </c>
      <c r="B60" s="4" t="s">
        <v>52</v>
      </c>
      <c r="C60" s="4" t="s">
        <v>53</v>
      </c>
      <c r="D60" s="4" t="s">
        <v>54</v>
      </c>
      <c r="E60" s="4" t="s">
        <v>55</v>
      </c>
      <c r="F60" s="4">
        <f ca="1">ROUND(T_Facebook_Ads[[#This Row],[impressions]]*RANDBETWEEN(8,12)/10,0)</f>
        <v>44610</v>
      </c>
      <c r="G60" s="4">
        <v>1012</v>
      </c>
      <c r="H60" s="4">
        <f ca="1">T_Facebook_Ads[[#This Row],[spend]]*RANDBETWEEN(8,12)/10</f>
        <v>144.6</v>
      </c>
      <c r="I60" s="4">
        <f ca="1">ROUND(T_Facebook_Ads[[#This Row],[conversions]]*RANDBETWEEN(8,12)/10,0)</f>
        <v>19</v>
      </c>
      <c r="J60" s="4">
        <f ca="1">ROUND(T_Facebook_Ads[[#This Row],[video_views]]*RANDBETWEEN(8,12)/10,0)</f>
        <v>7298</v>
      </c>
      <c r="K60" s="4">
        <f ca="1">T_Facebook_Ads[[#This Row],[engagement_rate]]*RANDBETWEEN(8,12)/10</f>
        <v>2.0400000000000001E-2</v>
      </c>
      <c r="L60" s="4">
        <f ca="1">ROUND(T_Facebook_Ads[[#This Row],[reach]]*RANDBETWEEN(8,12)/10,0)</f>
        <v>46079</v>
      </c>
      <c r="M60" s="4">
        <f ca="1">T_Facebook_Ads[[#This Row],[frequency]]*RANDBETWEEN(8,12)/10</f>
        <v>0.94399999999999995</v>
      </c>
      <c r="O60" s="3">
        <f t="shared" ca="1" si="6"/>
        <v>45270</v>
      </c>
      <c r="P60" s="4" t="s">
        <v>76</v>
      </c>
      <c r="Q60" s="4" t="s">
        <v>77</v>
      </c>
      <c r="R60" s="4" t="s">
        <v>78</v>
      </c>
      <c r="S60" s="4" t="s">
        <v>79</v>
      </c>
      <c r="T60" s="4">
        <f ca="1">ROUND(_Google_ads[[#This Row],[impressions]]*RANDBETWEEN(8,12)/10,0)</f>
        <v>28368</v>
      </c>
      <c r="U60" s="4">
        <f ca="1">ROUND(_Google_ads[[#This Row],[clicks]]*RANDBETWEEN(8,12)/10,0)</f>
        <v>1667</v>
      </c>
      <c r="V60" s="4">
        <f ca="1">_Google_ads[[#This Row],[cost]]*RANDBETWEEN(8,12)/10</f>
        <v>318.23999999999995</v>
      </c>
      <c r="W60" s="4">
        <f ca="1">ROUND(_Google_ads[[#This Row],[conversions]]*RANDBETWEEN(8,12)/10,0)</f>
        <v>62</v>
      </c>
      <c r="X60" s="4">
        <f ca="1">ROUND(_Google_ads[[#This Row],[conversion_value]]*RANDBETWEEN(8,12)/10,0)</f>
        <v>2600</v>
      </c>
      <c r="Y60" s="4">
        <f ca="1">_Google_ads[[#This Row],[ctr]]*RANDBETWEEN(8,12)/10</f>
        <v>4.3040000000000002E-2</v>
      </c>
      <c r="Z60" s="4">
        <f ca="1">_Google_ads[[#This Row],[avg_cpc]]*RANDBETWEEN(8,12)/10</f>
        <v>0.19</v>
      </c>
      <c r="AA60" s="4">
        <f ca="1">ROUND(_Google_ads[[#This Row],[quality_score]]*RANDBETWEEN(8,12)/10,0)</f>
        <v>7</v>
      </c>
      <c r="AB60" s="4">
        <f ca="1">_Google_ads[[#This Row],[search_impression_share]]*RANDBETWEEN(8,12)/10</f>
        <v>1.1040000000000001</v>
      </c>
      <c r="AD60" s="3">
        <f t="shared" ca="1" si="7"/>
        <v>45275</v>
      </c>
      <c r="AE60" s="4" t="s">
        <v>100</v>
      </c>
      <c r="AF60" s="4" t="s">
        <v>101</v>
      </c>
      <c r="AG60" s="4" t="s">
        <v>102</v>
      </c>
      <c r="AH60" s="4" t="s">
        <v>103</v>
      </c>
      <c r="AI60" s="4">
        <f ca="1">ROUND(T_Tiktok_ads[[#This Row],[impressions]]*RANDBETWEEN(8,12)/10,0)</f>
        <v>261111</v>
      </c>
      <c r="AJ60" s="4">
        <f ca="1">ROUND(T_Tiktok_ads[[#This Row],[clicks]]*RANDBETWEEN(8,12)/10,0)</f>
        <v>4608</v>
      </c>
      <c r="AK60" s="4">
        <v>567.79999999999995</v>
      </c>
      <c r="AL60" s="4">
        <f ca="1">ROUND(T_Tiktok_ads[[#This Row],[conversions]]*RANDBETWEEN(8,12)/10,0)</f>
        <v>48</v>
      </c>
      <c r="AM60" s="4">
        <f ca="1">ROUND(T_Tiktok_ads[[#This Row],[video_views]]*RANDBETWEEN(8,12)/10,0)</f>
        <v>236789</v>
      </c>
      <c r="AN60" s="4">
        <f ca="1">ROUND(T_Tiktok_ads[[#This Row],[video_watch_25]]*RANDBETWEEN(8,12)/10,0)</f>
        <v>221480</v>
      </c>
      <c r="AO60" s="4">
        <f ca="1">ROUND(T_Tiktok_ads[[#This Row],[video_watch_50]]*RANDBETWEEN(8,12)/10,0)</f>
        <v>115678</v>
      </c>
      <c r="AP60" s="4">
        <f ca="1">ROUND(T_Tiktok_ads[[#This Row],[video_watch_75]]*RANDBETWEEN(8,12)/10,0)</f>
        <v>62587</v>
      </c>
      <c r="AQ60" s="4">
        <f ca="1">ROUND(T_Tiktok_ads[[#This Row],[video_watch_100]]*RANDBETWEEN(8,12)/10,0)</f>
        <v>41876</v>
      </c>
      <c r="AR60" s="4">
        <f ca="1">ROUND(T_Tiktok_ads[[#This Row],[likes]]*RANDBETWEEN(8,12)/10,0)</f>
        <v>11502</v>
      </c>
      <c r="AS60" s="4">
        <f ca="1">ROUND(T_Tiktok_ads[[#This Row],[shares]]*RANDBETWEEN(8,12)/10,0)</f>
        <v>3374</v>
      </c>
      <c r="AT60" s="4">
        <f ca="1">ROUND(T_Tiktok_ads[[#This Row],[comments]]*RANDBETWEEN(8,12)/10,0)</f>
        <v>610</v>
      </c>
      <c r="AV60" s="5">
        <f t="shared" ca="1" si="8"/>
        <v>45272</v>
      </c>
      <c r="AW60">
        <f t="shared" ca="1" si="4"/>
        <v>2</v>
      </c>
      <c r="AX60">
        <f ca="1">ROUND(T_Facebook_Ads115963677175798387919599[[#This Row],[impressions]]*RANDBETWEEN(8,12)/10,0)</f>
        <v>40149</v>
      </c>
      <c r="AY60">
        <f ca="1">ROUND(T_Facebook_Ads115963677175798387919599[[#This Row],[clicks]]*RANDBETWEEN(8,12)/10,0)</f>
        <v>1012</v>
      </c>
      <c r="AZ60">
        <f ca="1">T_Facebook_Ads115963677175798387919599[[#This Row],[spend]]*RANDBETWEEN(8,12)/10</f>
        <v>173.51999999999998</v>
      </c>
      <c r="BA60">
        <f ca="1">ROUND(T_Facebook_Ads115963677175798387919599[[#This Row],[conversions]]*RANDBETWEEN(8,12)/10,0)</f>
        <v>23</v>
      </c>
      <c r="BB60">
        <f ca="1">ROUND(T_Facebook_Ads115963677175798387919599[[#This Row],[video_views]]*RANDBETWEEN(8,12)/10,0)</f>
        <v>8758</v>
      </c>
    </row>
    <row r="61" spans="1:54" ht="15.75" thickBot="1" x14ac:dyDescent="0.3">
      <c r="A61" s="3">
        <f t="shared" ca="1" si="5"/>
        <v>45287</v>
      </c>
      <c r="B61" s="4" t="s">
        <v>56</v>
      </c>
      <c r="C61" s="4" t="s">
        <v>57</v>
      </c>
      <c r="D61" s="4" t="s">
        <v>58</v>
      </c>
      <c r="E61" s="4" t="s">
        <v>59</v>
      </c>
      <c r="F61" s="4">
        <f ca="1">ROUND(T_Facebook_Ads[[#This Row],[impressions]]*RANDBETWEEN(8,12)/10,0)</f>
        <v>13110</v>
      </c>
      <c r="G61" s="4">
        <v>689</v>
      </c>
      <c r="H61" s="4">
        <f ca="1">T_Facebook_Ads[[#This Row],[spend]]*RANDBETWEEN(8,12)/10</f>
        <v>228.06</v>
      </c>
      <c r="I61" s="4">
        <f ca="1">ROUND(T_Facebook_Ads[[#This Row],[conversions]]*RANDBETWEEN(8,12)/10,0)</f>
        <v>43</v>
      </c>
      <c r="J61" s="4">
        <f ca="1">ROUND(T_Facebook_Ads[[#This Row],[video_views]]*RANDBETWEEN(8,12)/10,0)</f>
        <v>1489</v>
      </c>
      <c r="K61" s="4">
        <f ca="1">T_Facebook_Ads[[#This Row],[engagement_rate]]*RANDBETWEEN(8,12)/10</f>
        <v>4.2570000000000004E-2</v>
      </c>
      <c r="L61" s="4">
        <f ca="1">ROUND(T_Facebook_Ads[[#This Row],[reach]]*RANDBETWEEN(8,12)/10,0)</f>
        <v>9254</v>
      </c>
      <c r="M61" s="4">
        <f ca="1">T_Facebook_Ads[[#This Row],[frequency]]*RANDBETWEEN(8,12)/10</f>
        <v>1.008</v>
      </c>
      <c r="O61" s="3">
        <f t="shared" ca="1" si="6"/>
        <v>45264</v>
      </c>
      <c r="P61" s="4" t="s">
        <v>80</v>
      </c>
      <c r="Q61" s="4" t="s">
        <v>81</v>
      </c>
      <c r="R61" s="4" t="s">
        <v>82</v>
      </c>
      <c r="S61" s="4" t="s">
        <v>83</v>
      </c>
      <c r="T61" s="4">
        <f ca="1">ROUND(_Google_ads[[#This Row],[impressions]]*RANDBETWEEN(8,12)/10,0)</f>
        <v>41511</v>
      </c>
      <c r="U61" s="4">
        <f ca="1">ROUND(_Google_ads[[#This Row],[clicks]]*RANDBETWEEN(8,12)/10,0)</f>
        <v>1108</v>
      </c>
      <c r="V61" s="4">
        <f ca="1">_Google_ads[[#This Row],[cost]]*RANDBETWEEN(8,12)/10</f>
        <v>708.3599999999999</v>
      </c>
      <c r="W61" s="4">
        <f ca="1">ROUND(_Google_ads[[#This Row],[conversions]]*RANDBETWEEN(8,12)/10,0)</f>
        <v>24</v>
      </c>
      <c r="X61" s="4">
        <f ca="1">ROUND(_Google_ads[[#This Row],[conversion_value]]*RANDBETWEEN(8,12)/10,0)</f>
        <v>1080</v>
      </c>
      <c r="Y61" s="4">
        <f ca="1">_Google_ads[[#This Row],[ctr]]*RANDBETWEEN(8,12)/10</f>
        <v>1.7999999999999999E-2</v>
      </c>
      <c r="Z61" s="4">
        <f ca="1">_Google_ads[[#This Row],[avg_cpc]]*RANDBETWEEN(8,12)/10</f>
        <v>0.70399999999999996</v>
      </c>
      <c r="AA61" s="4">
        <f ca="1">ROUND(_Google_ads[[#This Row],[quality_score]]*RANDBETWEEN(8,12)/10,0)</f>
        <v>6</v>
      </c>
      <c r="AB61" s="4">
        <f ca="1">_Google_ads[[#This Row],[search_impression_share]]*RANDBETWEEN(8,12)/10</f>
        <v>0.36</v>
      </c>
      <c r="AD61" s="3">
        <f t="shared" ca="1" si="7"/>
        <v>45267</v>
      </c>
      <c r="AE61" s="4" t="s">
        <v>104</v>
      </c>
      <c r="AF61" s="4" t="s">
        <v>105</v>
      </c>
      <c r="AG61" s="4" t="s">
        <v>106</v>
      </c>
      <c r="AH61" s="4" t="s">
        <v>107</v>
      </c>
      <c r="AI61" s="4">
        <f ca="1">ROUND(T_Tiktok_ads[[#This Row],[impressions]]*RANDBETWEEN(8,12)/10,0)</f>
        <v>128987</v>
      </c>
      <c r="AJ61" s="4">
        <f ca="1">ROUND(T_Tiktok_ads[[#This Row],[clicks]]*RANDBETWEEN(8,12)/10,0)</f>
        <v>3707</v>
      </c>
      <c r="AK61" s="4">
        <v>823.7</v>
      </c>
      <c r="AL61" s="4">
        <f ca="1">ROUND(T_Tiktok_ads[[#This Row],[conversions]]*RANDBETWEEN(8,12)/10,0)</f>
        <v>91</v>
      </c>
      <c r="AM61" s="4">
        <f ca="1">ROUND(T_Tiktok_ads[[#This Row],[video_views]]*RANDBETWEEN(8,12)/10,0)</f>
        <v>136147</v>
      </c>
      <c r="AN61" s="4">
        <f ca="1">ROUND(T_Tiktok_ads[[#This Row],[video_watch_25]]*RANDBETWEEN(8,12)/10,0)</f>
        <v>91924</v>
      </c>
      <c r="AO61" s="4">
        <f ca="1">ROUND(T_Tiktok_ads[[#This Row],[video_watch_50]]*RANDBETWEEN(8,12)/10,0)</f>
        <v>56234</v>
      </c>
      <c r="AP61" s="4">
        <f ca="1">ROUND(T_Tiktok_ads[[#This Row],[video_watch_75]]*RANDBETWEEN(8,12)/10,0)</f>
        <v>50814</v>
      </c>
      <c r="AQ61" s="4">
        <f ca="1">ROUND(T_Tiktok_ads[[#This Row],[video_watch_100]]*RANDBETWEEN(8,12)/10,0)</f>
        <v>31057</v>
      </c>
      <c r="AR61" s="4">
        <f ca="1">ROUND(T_Tiktok_ads[[#This Row],[likes]]*RANDBETWEEN(8,12)/10,0)</f>
        <v>6075</v>
      </c>
      <c r="AS61" s="4">
        <f ca="1">ROUND(T_Tiktok_ads[[#This Row],[shares]]*RANDBETWEEN(8,12)/10,0)</f>
        <v>1589</v>
      </c>
      <c r="AT61" s="4">
        <f ca="1">ROUND(T_Tiktok_ads[[#This Row],[comments]]*RANDBETWEEN(8,12)/10,0)</f>
        <v>271</v>
      </c>
      <c r="AV61" s="5">
        <f t="shared" ca="1" si="8"/>
        <v>45273</v>
      </c>
      <c r="AW61">
        <f t="shared" ca="1" si="4"/>
        <v>6</v>
      </c>
      <c r="AX61">
        <f ca="1">ROUND(T_Facebook_Ads115963677175798387919599[[#This Row],[impressions]]*RANDBETWEEN(8,12)/10,0)</f>
        <v>11799</v>
      </c>
      <c r="AY61">
        <f ca="1">ROUND(T_Facebook_Ads115963677175798387919599[[#This Row],[clicks]]*RANDBETWEEN(8,12)/10,0)</f>
        <v>551</v>
      </c>
      <c r="AZ61">
        <f ca="1">T_Facebook_Ads115963677175798387919599[[#This Row],[spend]]*RANDBETWEEN(8,12)/10</f>
        <v>250.86599999999999</v>
      </c>
      <c r="BA61">
        <f ca="1">ROUND(T_Facebook_Ads115963677175798387919599[[#This Row],[conversions]]*RANDBETWEEN(8,12)/10,0)</f>
        <v>34</v>
      </c>
      <c r="BB61">
        <f ca="1">ROUND(T_Facebook_Ads115963677175798387919599[[#This Row],[video_views]]*RANDBETWEEN(8,12)/10,0)</f>
        <v>1489</v>
      </c>
    </row>
    <row r="62" spans="1:54" ht="15.75" thickBot="1" x14ac:dyDescent="0.3">
      <c r="A62" s="3">
        <f t="shared" ca="1" si="5"/>
        <v>45268</v>
      </c>
      <c r="B62" s="4" t="s">
        <v>60</v>
      </c>
      <c r="C62" s="4" t="s">
        <v>61</v>
      </c>
      <c r="D62" s="4" t="s">
        <v>62</v>
      </c>
      <c r="E62" s="4" t="s">
        <v>63</v>
      </c>
      <c r="F62" s="4">
        <f ca="1">ROUND(T_Facebook_Ads[[#This Row],[impressions]]*RANDBETWEEN(8,12)/10,0)</f>
        <v>38901</v>
      </c>
      <c r="G62" s="4">
        <v>1456</v>
      </c>
      <c r="H62" s="4">
        <f ca="1">T_Facebook_Ads[[#This Row],[spend]]*RANDBETWEEN(8,12)/10</f>
        <v>246.95</v>
      </c>
      <c r="I62" s="4">
        <f ca="1">ROUND(T_Facebook_Ads[[#This Row],[conversions]]*RANDBETWEEN(8,12)/10,0)</f>
        <v>25</v>
      </c>
      <c r="J62" s="4">
        <f ca="1">ROUND(T_Facebook_Ads[[#This Row],[video_views]]*RANDBETWEEN(8,12)/10,0)</f>
        <v>4711</v>
      </c>
      <c r="K62" s="4">
        <f ca="1">T_Facebook_Ads[[#This Row],[engagement_rate]]*RANDBETWEEN(8,12)/10</f>
        <v>3.7400000000000003E-2</v>
      </c>
      <c r="L62" s="4">
        <f ca="1">ROUND(T_Facebook_Ads[[#This Row],[reach]]*RANDBETWEEN(8,12)/10,0)</f>
        <v>37747</v>
      </c>
      <c r="M62" s="4">
        <f ca="1">T_Facebook_Ads[[#This Row],[frequency]]*RANDBETWEEN(8,12)/10</f>
        <v>1.488</v>
      </c>
      <c r="O62" s="3">
        <f t="shared" ca="1" si="6"/>
        <v>45267</v>
      </c>
      <c r="P62" s="4" t="s">
        <v>84</v>
      </c>
      <c r="Q62" s="4" t="s">
        <v>85</v>
      </c>
      <c r="R62" s="4" t="s">
        <v>86</v>
      </c>
      <c r="S62" s="4" t="s">
        <v>87</v>
      </c>
      <c r="T62" s="4">
        <f ca="1">ROUND(_Google_ads[[#This Row],[impressions]]*RANDBETWEEN(8,12)/10,0)</f>
        <v>78724</v>
      </c>
      <c r="U62" s="4">
        <f ca="1">ROUND(_Google_ads[[#This Row],[clicks]]*RANDBETWEEN(8,12)/10,0)</f>
        <v>2653</v>
      </c>
      <c r="V62" s="4">
        <f ca="1">_Google_ads[[#This Row],[cost]]*RANDBETWEEN(8,12)/10</f>
        <v>486.53000000000003</v>
      </c>
      <c r="W62" s="4">
        <f ca="1">ROUND(_Google_ads[[#This Row],[conversions]]*RANDBETWEEN(8,12)/10,0)</f>
        <v>77</v>
      </c>
      <c r="X62" s="4">
        <f ca="1">ROUND(_Google_ads[[#This Row],[conversion_value]]*RANDBETWEEN(8,12)/10,0)</f>
        <v>3850</v>
      </c>
      <c r="Y62" s="4">
        <f ca="1">_Google_ads[[#This Row],[ctr]]*RANDBETWEEN(8,12)/10</f>
        <v>3.7070000000000006E-2</v>
      </c>
      <c r="Z62" s="4">
        <f ca="1">_Google_ads[[#This Row],[avg_cpc]]*RANDBETWEEN(8,12)/10</f>
        <v>0.14399999999999999</v>
      </c>
      <c r="AA62" s="4">
        <f ca="1">ROUND(_Google_ads[[#This Row],[quality_score]]*RANDBETWEEN(8,12)/10,0)</f>
        <v>7</v>
      </c>
      <c r="AB62" s="4">
        <f ca="1">_Google_ads[[#This Row],[search_impression_share]]*RANDBETWEEN(8,12)/10</f>
        <v>0.81600000000000006</v>
      </c>
      <c r="AD62" s="3">
        <f t="shared" ca="1" si="7"/>
        <v>45273</v>
      </c>
      <c r="AE62" s="4" t="s">
        <v>108</v>
      </c>
      <c r="AF62" s="4" t="s">
        <v>109</v>
      </c>
      <c r="AG62" s="4" t="s">
        <v>110</v>
      </c>
      <c r="AH62" s="4" t="s">
        <v>111</v>
      </c>
      <c r="AI62" s="4">
        <f ca="1">ROUND(T_Tiktok_ads[[#This Row],[impressions]]*RANDBETWEEN(8,12)/10,0)</f>
        <v>273791</v>
      </c>
      <c r="AJ62" s="4">
        <f ca="1">ROUND(T_Tiktok_ads[[#This Row],[clicks]]*RANDBETWEEN(8,12)/10,0)</f>
        <v>4721</v>
      </c>
      <c r="AK62" s="4">
        <v>478.5</v>
      </c>
      <c r="AL62" s="4">
        <f ca="1">ROUND(T_Tiktok_ads[[#This Row],[conversions]]*RANDBETWEEN(8,12)/10,0)</f>
        <v>28</v>
      </c>
      <c r="AM62" s="4">
        <f ca="1">ROUND(T_Tiktok_ads[[#This Row],[video_views]]*RANDBETWEEN(8,12)/10,0)</f>
        <v>234281</v>
      </c>
      <c r="AN62" s="4">
        <f ca="1">ROUND(T_Tiktok_ads[[#This Row],[video_watch_25]]*RANDBETWEEN(8,12)/10,0)</f>
        <v>163791</v>
      </c>
      <c r="AO62" s="4">
        <f ca="1">ROUND(T_Tiktok_ads[[#This Row],[video_watch_50]]*RANDBETWEEN(8,12)/10,0)</f>
        <v>94312</v>
      </c>
      <c r="AP62" s="4">
        <f ca="1">ROUND(T_Tiktok_ads[[#This Row],[video_watch_75]]*RANDBETWEEN(8,12)/10,0)</f>
        <v>76234</v>
      </c>
      <c r="AQ62" s="4">
        <f ca="1">ROUND(T_Tiktok_ads[[#This Row],[video_watch_100]]*RANDBETWEEN(8,12)/10,0)</f>
        <v>55481</v>
      </c>
      <c r="AR62" s="4">
        <f ca="1">ROUND(T_Tiktok_ads[[#This Row],[likes]]*RANDBETWEEN(8,12)/10,0)</f>
        <v>8734</v>
      </c>
      <c r="AS62" s="4">
        <f ca="1">ROUND(T_Tiktok_ads[[#This Row],[shares]]*RANDBETWEEN(8,12)/10,0)</f>
        <v>1921</v>
      </c>
      <c r="AT62" s="4">
        <f ca="1">ROUND(T_Tiktok_ads[[#This Row],[comments]]*RANDBETWEEN(8,12)/10,0)</f>
        <v>578</v>
      </c>
      <c r="AV62" s="5">
        <f t="shared" ca="1" si="8"/>
        <v>45280</v>
      </c>
      <c r="AW62">
        <f t="shared" ca="1" si="4"/>
        <v>4</v>
      </c>
      <c r="AX62">
        <f ca="1">ROUND(T_Facebook_Ads115963677175798387919599[[#This Row],[impressions]]*RANDBETWEEN(8,12)/10,0)</f>
        <v>46681</v>
      </c>
      <c r="AY62">
        <f ca="1">ROUND(T_Facebook_Ads115963677175798387919599[[#This Row],[clicks]]*RANDBETWEEN(8,12)/10,0)</f>
        <v>1310</v>
      </c>
      <c r="AZ62">
        <f ca="1">T_Facebook_Ads115963677175798387919599[[#This Row],[spend]]*RANDBETWEEN(8,12)/10</f>
        <v>246.95</v>
      </c>
      <c r="BA62">
        <f ca="1">ROUND(T_Facebook_Ads115963677175798387919599[[#This Row],[conversions]]*RANDBETWEEN(8,12)/10,0)</f>
        <v>25</v>
      </c>
      <c r="BB62">
        <f ca="1">ROUND(T_Facebook_Ads115963677175798387919599[[#This Row],[video_views]]*RANDBETWEEN(8,12)/10,0)</f>
        <v>4711</v>
      </c>
    </row>
    <row r="63" spans="1:54" ht="15.75" thickBot="1" x14ac:dyDescent="0.3">
      <c r="A63" s="3">
        <f t="shared" ca="1" si="5"/>
        <v>45264</v>
      </c>
      <c r="B63" s="4" t="s">
        <v>64</v>
      </c>
      <c r="C63" s="4" t="s">
        <v>65</v>
      </c>
      <c r="D63" s="4" t="s">
        <v>66</v>
      </c>
      <c r="E63" s="4" t="s">
        <v>67</v>
      </c>
      <c r="F63" s="4">
        <f ca="1">ROUND(T_Facebook_Ads[[#This Row],[impressions]]*RANDBETWEEN(8,12)/10,0)</f>
        <v>65111</v>
      </c>
      <c r="G63" s="4">
        <v>261</v>
      </c>
      <c r="H63" s="4">
        <f ca="1">T_Facebook_Ads[[#This Row],[spend]]*RANDBETWEEN(8,12)/10</f>
        <v>92.7</v>
      </c>
      <c r="I63" s="4">
        <f ca="1">ROUND(T_Facebook_Ads[[#This Row],[conversions]]*RANDBETWEEN(8,12)/10,0)</f>
        <v>8</v>
      </c>
      <c r="J63" s="4">
        <f ca="1">ROUND(T_Facebook_Ads[[#This Row],[video_views]]*RANDBETWEEN(8,12)/10,0)</f>
        <v>58280</v>
      </c>
      <c r="K63" s="4">
        <f ca="1">T_Facebook_Ads[[#This Row],[engagement_rate]]*RANDBETWEEN(8,12)/10</f>
        <v>4.3200000000000001E-3</v>
      </c>
      <c r="L63" s="4">
        <f ca="1">ROUND(T_Facebook_Ads[[#This Row],[reach]]*RANDBETWEEN(8,12)/10,0)</f>
        <v>69881</v>
      </c>
      <c r="M63" s="4">
        <f ca="1">T_Facebook_Ads[[#This Row],[frequency]]*RANDBETWEEN(8,12)/10</f>
        <v>1.488</v>
      </c>
      <c r="O63" s="3">
        <f t="shared" ca="1" si="6"/>
        <v>45279</v>
      </c>
      <c r="P63" s="4" t="s">
        <v>88</v>
      </c>
      <c r="Q63" s="4" t="s">
        <v>89</v>
      </c>
      <c r="R63" s="4" t="s">
        <v>90</v>
      </c>
      <c r="S63" s="4" t="s">
        <v>59</v>
      </c>
      <c r="T63" s="4">
        <f ca="1">ROUND(_Google_ads[[#This Row],[impressions]]*RANDBETWEEN(8,12)/10,0)</f>
        <v>135234</v>
      </c>
      <c r="U63" s="4">
        <f ca="1">ROUND(_Google_ads[[#This Row],[clicks]]*RANDBETWEEN(8,12)/10,0)</f>
        <v>551</v>
      </c>
      <c r="V63" s="4">
        <f ca="1">_Google_ads[[#This Row],[cost]]*RANDBETWEEN(8,12)/10</f>
        <v>106.88</v>
      </c>
      <c r="W63" s="4">
        <f ca="1">ROUND(_Google_ads[[#This Row],[conversions]]*RANDBETWEEN(8,12)/10,0)</f>
        <v>13</v>
      </c>
      <c r="X63" s="4">
        <f ca="1">ROUND(_Google_ads[[#This Row],[conversion_value]]*RANDBETWEEN(8,12)/10,0)</f>
        <v>630</v>
      </c>
      <c r="Y63" s="4">
        <f ca="1">_Google_ads[[#This Row],[ctr]]*RANDBETWEEN(8,12)/10</f>
        <v>3.7000000000000006E-3</v>
      </c>
      <c r="Z63" s="4">
        <f ca="1">_Google_ads[[#This Row],[avg_cpc]]*RANDBETWEEN(8,12)/10</f>
        <v>0.32400000000000001</v>
      </c>
      <c r="AA63" s="4">
        <f ca="1">ROUND(_Google_ads[[#This Row],[quality_score]]*RANDBETWEEN(8,12)/10,0)</f>
        <v>8</v>
      </c>
      <c r="AB63" s="4">
        <f ca="1">_Google_ads[[#This Row],[search_impression_share]]*RANDBETWEEN(8,12)/10</f>
        <v>0.41999999999999993</v>
      </c>
      <c r="AD63" s="3">
        <f t="shared" ca="1" si="7"/>
        <v>45286</v>
      </c>
      <c r="AE63" s="4" t="s">
        <v>112</v>
      </c>
      <c r="AF63" s="4" t="s">
        <v>113</v>
      </c>
      <c r="AG63" s="4" t="s">
        <v>114</v>
      </c>
      <c r="AH63" s="4" t="s">
        <v>115</v>
      </c>
      <c r="AI63" s="4">
        <f ca="1">ROUND(T_Tiktok_ads[[#This Row],[impressions]]*RANDBETWEEN(8,12)/10,0)</f>
        <v>521480</v>
      </c>
      <c r="AJ63" s="4">
        <f ca="1">ROUND(T_Tiktok_ads[[#This Row],[clicks]]*RANDBETWEEN(8,12)/10,0)</f>
        <v>7012</v>
      </c>
      <c r="AK63" s="4">
        <v>1089.3</v>
      </c>
      <c r="AL63" s="4">
        <f ca="1">ROUND(T_Tiktok_ads[[#This Row],[conversions]]*RANDBETWEEN(8,12)/10,0)</f>
        <v>109</v>
      </c>
      <c r="AM63" s="4">
        <f ca="1">ROUND(T_Tiktok_ads[[#This Row],[video_views]]*RANDBETWEEN(8,12)/10,0)</f>
        <v>294312</v>
      </c>
      <c r="AN63" s="4">
        <f ca="1">ROUND(T_Tiktok_ads[[#This Row],[video_watch_25]]*RANDBETWEEN(8,12)/10,0)</f>
        <v>325857</v>
      </c>
      <c r="AO63" s="4">
        <f ca="1">ROUND(T_Tiktok_ads[[#This Row],[video_watch_50]]*RANDBETWEEN(8,12)/10,0)</f>
        <v>214101</v>
      </c>
      <c r="AP63" s="4">
        <f ca="1">ROUND(T_Tiktok_ads[[#This Row],[video_watch_75]]*RANDBETWEEN(8,12)/10,0)</f>
        <v>168234</v>
      </c>
      <c r="AQ63" s="4">
        <f ca="1">ROUND(T_Tiktok_ads[[#This Row],[video_watch_100]]*RANDBETWEEN(8,12)/10,0)</f>
        <v>133481</v>
      </c>
      <c r="AR63" s="4">
        <f ca="1">ROUND(T_Tiktok_ads[[#This Row],[likes]]*RANDBETWEEN(8,12)/10,0)</f>
        <v>15387</v>
      </c>
      <c r="AS63" s="4">
        <f ca="1">ROUND(T_Tiktok_ads[[#This Row],[shares]]*RANDBETWEEN(8,12)/10,0)</f>
        <v>5534</v>
      </c>
      <c r="AT63" s="4">
        <f ca="1">ROUND(T_Tiktok_ads[[#This Row],[comments]]*RANDBETWEEN(8,12)/10,0)</f>
        <v>1523</v>
      </c>
      <c r="AV63" s="5">
        <f t="shared" ca="1" si="8"/>
        <v>45279</v>
      </c>
      <c r="AW63">
        <f t="shared" ca="1" si="4"/>
        <v>8</v>
      </c>
      <c r="AX63">
        <f ca="1">ROUND(T_Facebook_Ads115963677175798387919599[[#This Row],[impressions]]*RANDBETWEEN(8,12)/10,0)</f>
        <v>58600</v>
      </c>
      <c r="AY63">
        <f ca="1">ROUND(T_Facebook_Ads115963677175798387919599[[#This Row],[clicks]]*RANDBETWEEN(8,12)/10,0)</f>
        <v>313</v>
      </c>
      <c r="AZ63">
        <f ca="1">T_Facebook_Ads115963677175798387919599[[#This Row],[spend]]*RANDBETWEEN(8,12)/10</f>
        <v>92.7</v>
      </c>
      <c r="BA63">
        <f ca="1">ROUND(T_Facebook_Ads115963677175798387919599[[#This Row],[conversions]]*RANDBETWEEN(8,12)/10,0)</f>
        <v>8</v>
      </c>
      <c r="BB63">
        <f ca="1">ROUND(T_Facebook_Ads115963677175798387919599[[#This Row],[video_views]]*RANDBETWEEN(8,12)/10,0)</f>
        <v>52452</v>
      </c>
    </row>
    <row r="64" spans="1:54" ht="15.75" thickBot="1" x14ac:dyDescent="0.3">
      <c r="A64" s="3">
        <f t="shared" ca="1" si="5"/>
        <v>45269</v>
      </c>
      <c r="B64" s="4" t="s">
        <v>52</v>
      </c>
      <c r="C64" s="4" t="s">
        <v>53</v>
      </c>
      <c r="D64" s="4" t="s">
        <v>54</v>
      </c>
      <c r="E64" s="4" t="s">
        <v>55</v>
      </c>
      <c r="F64" s="4">
        <f ca="1">ROUND(T_Facebook_Ads[[#This Row],[impressions]]*RANDBETWEEN(8,12)/10,0)</f>
        <v>57468</v>
      </c>
      <c r="G64" s="4">
        <v>967</v>
      </c>
      <c r="H64" s="4">
        <f ca="1">T_Facebook_Ads[[#This Row],[spend]]*RANDBETWEEN(8,12)/10</f>
        <v>124.56000000000002</v>
      </c>
      <c r="I64" s="4">
        <f ca="1">ROUND(T_Facebook_Ads[[#This Row],[conversions]]*RANDBETWEEN(8,12)/10,0)</f>
        <v>12</v>
      </c>
      <c r="J64" s="4">
        <f ca="1">ROUND(T_Facebook_Ads[[#This Row],[video_views]]*RANDBETWEEN(8,12)/10,0)</f>
        <v>9668</v>
      </c>
      <c r="K64" s="4">
        <f ca="1">T_Facebook_Ads[[#This Row],[engagement_rate]]*RANDBETWEEN(8,12)/10</f>
        <v>2.4240000000000001E-2</v>
      </c>
      <c r="L64" s="4">
        <f ca="1">ROUND(T_Facebook_Ads[[#This Row],[reach]]*RANDBETWEEN(8,12)/10,0)</f>
        <v>40234</v>
      </c>
      <c r="M64" s="4">
        <f ca="1">T_Facebook_Ads[[#This Row],[frequency]]*RANDBETWEEN(8,12)/10</f>
        <v>0.95199999999999996</v>
      </c>
      <c r="O64" s="3">
        <f t="shared" ca="1" si="6"/>
        <v>45268</v>
      </c>
      <c r="P64" s="4" t="s">
        <v>76</v>
      </c>
      <c r="Q64" s="4" t="s">
        <v>77</v>
      </c>
      <c r="R64" s="4" t="s">
        <v>78</v>
      </c>
      <c r="S64" s="4" t="s">
        <v>79</v>
      </c>
      <c r="T64" s="4">
        <f ca="1">ROUND(_Google_ads[[#This Row],[impressions]]*RANDBETWEEN(8,12)/10,0)</f>
        <v>27024</v>
      </c>
      <c r="U64" s="4">
        <f ca="1">ROUND(_Google_ads[[#This Row],[clicks]]*RANDBETWEEN(8,12)/10,0)</f>
        <v>1031</v>
      </c>
      <c r="V64" s="4">
        <f ca="1">_Google_ads[[#This Row],[cost]]*RANDBETWEEN(8,12)/10</f>
        <v>296.16000000000003</v>
      </c>
      <c r="W64" s="4">
        <f ca="1">ROUND(_Google_ads[[#This Row],[conversions]]*RANDBETWEEN(8,12)/10,0)</f>
        <v>58</v>
      </c>
      <c r="X64" s="4">
        <f ca="1">ROUND(_Google_ads[[#This Row],[conversion_value]]*RANDBETWEEN(8,12)/10,0)</f>
        <v>1920</v>
      </c>
      <c r="Y64" s="4">
        <f ca="1">_Google_ads[[#This Row],[ctr]]*RANDBETWEEN(8,12)/10</f>
        <v>5.7750000000000003E-2</v>
      </c>
      <c r="Z64" s="4">
        <f ca="1">_Google_ads[[#This Row],[avg_cpc]]*RANDBETWEEN(8,12)/10</f>
        <v>0.152</v>
      </c>
      <c r="AA64" s="4">
        <f ca="1">ROUND(_Google_ads[[#This Row],[quality_score]]*RANDBETWEEN(8,12)/10,0)</f>
        <v>7</v>
      </c>
      <c r="AB64" s="4">
        <f ca="1">_Google_ads[[#This Row],[search_impression_share]]*RANDBETWEEN(8,12)/10</f>
        <v>0.90999999999999992</v>
      </c>
      <c r="AD64" s="3">
        <f t="shared" ca="1" si="7"/>
        <v>45283</v>
      </c>
      <c r="AE64" s="4" t="s">
        <v>100</v>
      </c>
      <c r="AF64" s="4" t="s">
        <v>101</v>
      </c>
      <c r="AG64" s="4" t="s">
        <v>102</v>
      </c>
      <c r="AH64" s="4" t="s">
        <v>103</v>
      </c>
      <c r="AI64" s="4">
        <f ca="1">ROUND(T_Tiktok_ads[[#This Row],[impressions]]*RANDBETWEEN(8,12)/10,0)</f>
        <v>223121</v>
      </c>
      <c r="AJ64" s="4">
        <f ca="1">ROUND(T_Tiktok_ads[[#This Row],[clicks]]*RANDBETWEEN(8,12)/10,0)</f>
        <v>4535</v>
      </c>
      <c r="AK64" s="4">
        <v>545.6</v>
      </c>
      <c r="AL64" s="4">
        <f ca="1">ROUND(T_Tiktok_ads[[#This Row],[conversions]]*RANDBETWEEN(8,12)/10,0)</f>
        <v>38</v>
      </c>
      <c r="AM64" s="4">
        <f ca="1">ROUND(T_Tiktok_ads[[#This Row],[video_views]]*RANDBETWEEN(8,12)/10,0)</f>
        <v>206311</v>
      </c>
      <c r="AN64" s="4">
        <f ca="1">ROUND(T_Tiktok_ads[[#This Row],[video_watch_25]]*RANDBETWEEN(8,12)/10,0)</f>
        <v>215081</v>
      </c>
      <c r="AO64" s="4">
        <f ca="1">ROUND(T_Tiktok_ads[[#This Row],[video_watch_50]]*RANDBETWEEN(8,12)/10,0)</f>
        <v>123457</v>
      </c>
      <c r="AP64" s="4">
        <f ca="1">ROUND(T_Tiktok_ads[[#This Row],[video_watch_75]]*RANDBETWEEN(8,12)/10,0)</f>
        <v>83246</v>
      </c>
      <c r="AQ64" s="4">
        <f ca="1">ROUND(T_Tiktok_ads[[#This Row],[video_watch_100]]*RANDBETWEEN(8,12)/10,0)</f>
        <v>55257</v>
      </c>
      <c r="AR64" s="4">
        <f ca="1">ROUND(T_Tiktok_ads[[#This Row],[likes]]*RANDBETWEEN(8,12)/10,0)</f>
        <v>9111</v>
      </c>
      <c r="AS64" s="4">
        <f ca="1">ROUND(T_Tiktok_ads[[#This Row],[shares]]*RANDBETWEEN(8,12)/10,0)</f>
        <v>3254</v>
      </c>
      <c r="AT64" s="4">
        <f ca="1">ROUND(T_Tiktok_ads[[#This Row],[comments]]*RANDBETWEEN(8,12)/10,0)</f>
        <v>516</v>
      </c>
      <c r="AV64" s="5">
        <f t="shared" ca="1" si="8"/>
        <v>45269</v>
      </c>
      <c r="AW64">
        <f t="shared" ca="1" si="4"/>
        <v>3</v>
      </c>
      <c r="AX64">
        <f ca="1">ROUND(T_Facebook_Ads115963677175798387919599[[#This Row],[impressions]]*RANDBETWEEN(8,12)/10,0)</f>
        <v>68962</v>
      </c>
      <c r="AY64">
        <f ca="1">ROUND(T_Facebook_Ads115963677175798387919599[[#This Row],[clicks]]*RANDBETWEEN(8,12)/10,0)</f>
        <v>967</v>
      </c>
      <c r="AZ64">
        <f ca="1">T_Facebook_Ads115963677175798387919599[[#This Row],[spend]]*RANDBETWEEN(8,12)/10</f>
        <v>124.56000000000002</v>
      </c>
      <c r="BA64">
        <f ca="1">ROUND(T_Facebook_Ads115963677175798387919599[[#This Row],[conversions]]*RANDBETWEEN(8,12)/10,0)</f>
        <v>12</v>
      </c>
      <c r="BB64">
        <f ca="1">ROUND(T_Facebook_Ads115963677175798387919599[[#This Row],[video_views]]*RANDBETWEEN(8,12)/10,0)</f>
        <v>9668</v>
      </c>
    </row>
    <row r="65" spans="1:54" ht="15.75" thickBot="1" x14ac:dyDescent="0.3">
      <c r="A65" s="3">
        <f t="shared" ca="1" si="5"/>
        <v>45262</v>
      </c>
      <c r="B65" s="4" t="s">
        <v>56</v>
      </c>
      <c r="C65" s="4" t="s">
        <v>57</v>
      </c>
      <c r="D65" s="4" t="s">
        <v>58</v>
      </c>
      <c r="E65" s="4" t="s">
        <v>59</v>
      </c>
      <c r="F65" s="4">
        <f ca="1">ROUND(T_Facebook_Ads[[#This Row],[impressions]]*RANDBETWEEN(8,12)/10,0)</f>
        <v>11112</v>
      </c>
      <c r="G65" s="4">
        <v>634</v>
      </c>
      <c r="H65" s="4">
        <f ca="1">T_Facebook_Ads[[#This Row],[spend]]*RANDBETWEEN(8,12)/10</f>
        <v>188.64000000000001</v>
      </c>
      <c r="I65" s="4">
        <f ca="1">ROUND(T_Facebook_Ads[[#This Row],[conversions]]*RANDBETWEEN(8,12)/10,0)</f>
        <v>36</v>
      </c>
      <c r="J65" s="4">
        <f ca="1">ROUND(T_Facebook_Ads[[#This Row],[video_views]]*RANDBETWEEN(8,12)/10,0)</f>
        <v>1654</v>
      </c>
      <c r="K65" s="4">
        <f ca="1">T_Facebook_Ads[[#This Row],[engagement_rate]]*RANDBETWEEN(8,12)/10</f>
        <v>5.484E-2</v>
      </c>
      <c r="L65" s="4">
        <f ca="1">ROUND(T_Facebook_Ads[[#This Row],[reach]]*RANDBETWEEN(8,12)/10,0)</f>
        <v>10890</v>
      </c>
      <c r="M65" s="4">
        <f ca="1">T_Facebook_Ads[[#This Row],[frequency]]*RANDBETWEEN(8,12)/10</f>
        <v>1.143</v>
      </c>
      <c r="O65" s="3">
        <f t="shared" ca="1" si="6"/>
        <v>45265</v>
      </c>
      <c r="P65" s="4" t="s">
        <v>80</v>
      </c>
      <c r="Q65" s="4" t="s">
        <v>81</v>
      </c>
      <c r="R65" s="4" t="s">
        <v>82</v>
      </c>
      <c r="S65" s="4" t="s">
        <v>83</v>
      </c>
      <c r="T65" s="4">
        <f ca="1">ROUND(_Google_ads[[#This Row],[impressions]]*RANDBETWEEN(8,12)/10,0)</f>
        <v>35912</v>
      </c>
      <c r="U65" s="4">
        <f ca="1">ROUND(_Google_ads[[#This Row],[clicks]]*RANDBETWEEN(8,12)/10,0)</f>
        <v>1068</v>
      </c>
      <c r="V65" s="4">
        <f ca="1">_Google_ads[[#This Row],[cost]]*RANDBETWEEN(8,12)/10</f>
        <v>632.17000000000007</v>
      </c>
      <c r="W65" s="4">
        <f ca="1">ROUND(_Google_ads[[#This Row],[conversions]]*RANDBETWEEN(8,12)/10,0)</f>
        <v>28</v>
      </c>
      <c r="X65" s="4">
        <f ca="1">ROUND(_Google_ads[[#This Row],[conversion_value]]*RANDBETWEEN(8,12)/10,0)</f>
        <v>1380</v>
      </c>
      <c r="Y65" s="4">
        <f ca="1">_Google_ads[[#This Row],[ctr]]*RANDBETWEEN(8,12)/10</f>
        <v>2.3760000000000003E-2</v>
      </c>
      <c r="Z65" s="4">
        <f ca="1">_Google_ads[[#This Row],[avg_cpc]]*RANDBETWEEN(8,12)/10</f>
        <v>0.58500000000000008</v>
      </c>
      <c r="AA65" s="4">
        <f ca="1">ROUND(_Google_ads[[#This Row],[quality_score]]*RANDBETWEEN(8,12)/10,0)</f>
        <v>6</v>
      </c>
      <c r="AB65" s="4">
        <f ca="1">_Google_ads[[#This Row],[search_impression_share]]*RANDBETWEEN(8,12)/10</f>
        <v>0.44000000000000006</v>
      </c>
      <c r="AD65" s="3">
        <f t="shared" ca="1" si="7"/>
        <v>45261</v>
      </c>
      <c r="AE65" s="4" t="s">
        <v>104</v>
      </c>
      <c r="AF65" s="4" t="s">
        <v>105</v>
      </c>
      <c r="AG65" s="4" t="s">
        <v>106</v>
      </c>
      <c r="AH65" s="4" t="s">
        <v>107</v>
      </c>
      <c r="AI65" s="4">
        <f ca="1">ROUND(T_Tiktok_ads[[#This Row],[impressions]]*RANDBETWEEN(8,12)/10,0)</f>
        <v>138110</v>
      </c>
      <c r="AJ65" s="4">
        <f ca="1">ROUND(T_Tiktok_ads[[#This Row],[clicks]]*RANDBETWEEN(8,12)/10,0)</f>
        <v>2356</v>
      </c>
      <c r="AK65" s="4">
        <v>789.2</v>
      </c>
      <c r="AL65" s="4">
        <f ca="1">ROUND(T_Tiktok_ads[[#This Row],[conversions]]*RANDBETWEEN(8,12)/10,0)</f>
        <v>87</v>
      </c>
      <c r="AM65" s="4">
        <f ca="1">ROUND(T_Tiktok_ads[[#This Row],[video_views]]*RANDBETWEEN(8,12)/10,0)</f>
        <v>86312</v>
      </c>
      <c r="AN65" s="4">
        <f ca="1">ROUND(T_Tiktok_ads[[#This Row],[video_watch_25]]*RANDBETWEEN(8,12)/10,0)</f>
        <v>79567</v>
      </c>
      <c r="AO65" s="4">
        <f ca="1">ROUND(T_Tiktok_ads[[#This Row],[video_watch_50]]*RANDBETWEEN(8,12)/10,0)</f>
        <v>42942</v>
      </c>
      <c r="AP65" s="4">
        <f ca="1">ROUND(T_Tiktok_ads[[#This Row],[video_watch_75]]*RANDBETWEEN(8,12)/10,0)</f>
        <v>40234</v>
      </c>
      <c r="AQ65" s="4">
        <f ca="1">ROUND(T_Tiktok_ads[[#This Row],[video_watch_100]]*RANDBETWEEN(8,12)/10,0)</f>
        <v>26890</v>
      </c>
      <c r="AR65" s="4">
        <f ca="1">ROUND(T_Tiktok_ads[[#This Row],[likes]]*RANDBETWEEN(8,12)/10,0)</f>
        <v>4187</v>
      </c>
      <c r="AS65" s="4">
        <f ca="1">ROUND(T_Tiktok_ads[[#This Row],[shares]]*RANDBETWEEN(8,12)/10,0)</f>
        <v>1165</v>
      </c>
      <c r="AT65" s="4">
        <f ca="1">ROUND(T_Tiktok_ads[[#This Row],[comments]]*RANDBETWEEN(8,12)/10,0)</f>
        <v>222</v>
      </c>
      <c r="AV65" s="5">
        <f t="shared" ca="1" si="8"/>
        <v>45273</v>
      </c>
      <c r="AW65">
        <f t="shared" ca="1" si="4"/>
        <v>5</v>
      </c>
      <c r="AX65">
        <f ca="1">ROUND(T_Facebook_Ads115963677175798387919599[[#This Row],[impressions]]*RANDBETWEEN(8,12)/10,0)</f>
        <v>11112</v>
      </c>
      <c r="AY65">
        <f ca="1">ROUND(T_Facebook_Ads115963677175798387919599[[#This Row],[clicks]]*RANDBETWEEN(8,12)/10,0)</f>
        <v>634</v>
      </c>
      <c r="AZ65">
        <f ca="1">T_Facebook_Ads115963677175798387919599[[#This Row],[spend]]*RANDBETWEEN(8,12)/10</f>
        <v>207.50399999999999</v>
      </c>
      <c r="BA65">
        <f ca="1">ROUND(T_Facebook_Ads115963677175798387919599[[#This Row],[conversions]]*RANDBETWEEN(8,12)/10,0)</f>
        <v>32</v>
      </c>
      <c r="BB65">
        <f ca="1">ROUND(T_Facebook_Ads115963677175798387919599[[#This Row],[video_views]]*RANDBETWEEN(8,12)/10,0)</f>
        <v>1489</v>
      </c>
    </row>
    <row r="66" spans="1:54" ht="15.75" thickBot="1" x14ac:dyDescent="0.3">
      <c r="A66" s="3">
        <f t="shared" ref="A66:A97" ca="1" si="9">DATE(2023,12,RANDBETWEEN(1,31))</f>
        <v>45283</v>
      </c>
      <c r="B66" s="4" t="s">
        <v>60</v>
      </c>
      <c r="C66" s="4" t="s">
        <v>61</v>
      </c>
      <c r="D66" s="4" t="s">
        <v>62</v>
      </c>
      <c r="E66" s="4" t="s">
        <v>63</v>
      </c>
      <c r="F66" s="4">
        <f ca="1">ROUND(T_Facebook_Ads[[#This Row],[impressions]]*RANDBETWEEN(8,12)/10,0)</f>
        <v>37234</v>
      </c>
      <c r="G66" s="4">
        <v>1367</v>
      </c>
      <c r="H66" s="4">
        <f ca="1">T_Facebook_Ads[[#This Row],[spend]]*RANDBETWEEN(8,12)/10</f>
        <v>251.88000000000002</v>
      </c>
      <c r="I66" s="4">
        <f ca="1">ROUND(T_Facebook_Ads[[#This Row],[conversions]]*RANDBETWEEN(8,12)/10,0)</f>
        <v>31</v>
      </c>
      <c r="J66" s="4">
        <f ca="1">ROUND(T_Facebook_Ads[[#This Row],[video_views]]*RANDBETWEEN(8,12)/10,0)</f>
        <v>6014</v>
      </c>
      <c r="K66" s="4">
        <f ca="1">T_Facebook_Ads[[#This Row],[engagement_rate]]*RANDBETWEEN(8,12)/10</f>
        <v>3.6700000000000003E-2</v>
      </c>
      <c r="L66" s="4">
        <f ca="1">ROUND(T_Facebook_Ads[[#This Row],[reach]]*RANDBETWEEN(8,12)/10,0)</f>
        <v>24542</v>
      </c>
      <c r="M66" s="4">
        <f ca="1">T_Facebook_Ads[[#This Row],[frequency]]*RANDBETWEEN(8,12)/10</f>
        <v>0.96799999999999997</v>
      </c>
      <c r="O66" s="3">
        <f t="shared" ref="O66:O97" ca="1" si="10">DATE(2023,12,RANDBETWEEN(1,31))</f>
        <v>45272</v>
      </c>
      <c r="P66" s="4" t="s">
        <v>84</v>
      </c>
      <c r="Q66" s="4" t="s">
        <v>85</v>
      </c>
      <c r="R66" s="4" t="s">
        <v>86</v>
      </c>
      <c r="S66" s="4" t="s">
        <v>87</v>
      </c>
      <c r="T66" s="4">
        <f ca="1">ROUND(_Google_ads[[#This Row],[impressions]]*RANDBETWEEN(8,12)/10,0)</f>
        <v>69234</v>
      </c>
      <c r="U66" s="4">
        <f ca="1">ROUND(_Google_ads[[#This Row],[clicks]]*RANDBETWEEN(8,12)/10,0)</f>
        <v>2301</v>
      </c>
      <c r="V66" s="4">
        <f ca="1">_Google_ads[[#This Row],[cost]]*RANDBETWEEN(8,12)/10</f>
        <v>423.5</v>
      </c>
      <c r="W66" s="4">
        <f ca="1">ROUND(_Google_ads[[#This Row],[conversions]]*RANDBETWEEN(8,12)/10,0)</f>
        <v>80</v>
      </c>
      <c r="X66" s="4">
        <f ca="1">ROUND(_Google_ads[[#This Row],[conversion_value]]*RANDBETWEEN(8,12)/10,0)</f>
        <v>4020</v>
      </c>
      <c r="Y66" s="4">
        <f ca="1">_Google_ads[[#This Row],[ctr]]*RANDBETWEEN(8,12)/10</f>
        <v>3.984E-2</v>
      </c>
      <c r="Z66" s="4">
        <f ca="1">_Google_ads[[#This Row],[avg_cpc]]*RANDBETWEEN(8,12)/10</f>
        <v>0.19800000000000001</v>
      </c>
      <c r="AA66" s="4">
        <f ca="1">ROUND(_Google_ads[[#This Row],[quality_score]]*RANDBETWEEN(8,12)/10,0)</f>
        <v>10</v>
      </c>
      <c r="AB66" s="4">
        <f ca="1">_Google_ads[[#This Row],[search_impression_share]]*RANDBETWEEN(8,12)/10</f>
        <v>0.67</v>
      </c>
      <c r="AD66" s="3">
        <f t="shared" ref="AD66:AD97" ca="1" si="11">DATE(2023,12,RANDBETWEEN(1,31))</f>
        <v>45264</v>
      </c>
      <c r="AE66" s="4" t="s">
        <v>108</v>
      </c>
      <c r="AF66" s="4" t="s">
        <v>109</v>
      </c>
      <c r="AG66" s="4" t="s">
        <v>110</v>
      </c>
      <c r="AH66" s="4" t="s">
        <v>111</v>
      </c>
      <c r="AI66" s="4">
        <f ca="1">ROUND(T_Tiktok_ads[[#This Row],[impressions]]*RANDBETWEEN(8,12)/10,0)</f>
        <v>284147</v>
      </c>
      <c r="AJ66" s="4">
        <f ca="1">ROUND(T_Tiktok_ads[[#This Row],[clicks]]*RANDBETWEEN(8,12)/10,0)</f>
        <v>4481</v>
      </c>
      <c r="AK66" s="4">
        <v>456.8</v>
      </c>
      <c r="AL66" s="4">
        <f ca="1">ROUND(T_Tiktok_ads[[#This Row],[conversions]]*RANDBETWEEN(8,12)/10,0)</f>
        <v>26</v>
      </c>
      <c r="AM66" s="4">
        <f ca="1">ROUND(T_Tiktok_ads[[#This Row],[video_views]]*RANDBETWEEN(8,12)/10,0)</f>
        <v>187890</v>
      </c>
      <c r="AN66" s="4">
        <f ca="1">ROUND(T_Tiktok_ads[[#This Row],[video_watch_25]]*RANDBETWEEN(8,12)/10,0)</f>
        <v>142345</v>
      </c>
      <c r="AO66" s="4">
        <f ca="1">ROUND(T_Tiktok_ads[[#This Row],[video_watch_50]]*RANDBETWEEN(8,12)/10,0)</f>
        <v>134814</v>
      </c>
      <c r="AP66" s="4">
        <f ca="1">ROUND(T_Tiktok_ads[[#This Row],[video_watch_75]]*RANDBETWEEN(8,12)/10,0)</f>
        <v>65111</v>
      </c>
      <c r="AQ66" s="4">
        <f ca="1">ROUND(T_Tiktok_ads[[#This Row],[video_watch_100]]*RANDBETWEEN(8,12)/10,0)</f>
        <v>48168</v>
      </c>
      <c r="AR66" s="4">
        <f ca="1">ROUND(T_Tiktok_ads[[#This Row],[likes]]*RANDBETWEEN(8,12)/10,0)</f>
        <v>6765</v>
      </c>
      <c r="AS66" s="4">
        <f ca="1">ROUND(T_Tiktok_ads[[#This Row],[shares]]*RANDBETWEEN(8,12)/10,0)</f>
        <v>2494</v>
      </c>
      <c r="AT66" s="4">
        <f ca="1">ROUND(T_Tiktok_ads[[#This Row],[comments]]*RANDBETWEEN(8,12)/10,0)</f>
        <v>545</v>
      </c>
      <c r="AV66" s="5">
        <f t="shared" ref="AV66:AV97" ca="1" si="12">DATE(2023,12,RANDBETWEEN(1,31))</f>
        <v>45282</v>
      </c>
      <c r="AW66">
        <f t="shared" ca="1" si="4"/>
        <v>8</v>
      </c>
      <c r="AX66">
        <f ca="1">ROUND(T_Facebook_Ads115963677175798387919599[[#This Row],[impressions]]*RANDBETWEEN(8,12)/10,0)</f>
        <v>40957</v>
      </c>
      <c r="AY66">
        <f ca="1">ROUND(T_Facebook_Ads115963677175798387919599[[#This Row],[clicks]]*RANDBETWEEN(8,12)/10,0)</f>
        <v>1230</v>
      </c>
      <c r="AZ66">
        <f ca="1">T_Facebook_Ads115963677175798387919599[[#This Row],[spend]]*RANDBETWEEN(8,12)/10</f>
        <v>302.25600000000003</v>
      </c>
      <c r="BA66">
        <f ca="1">ROUND(T_Facebook_Ads115963677175798387919599[[#This Row],[conversions]]*RANDBETWEEN(8,12)/10,0)</f>
        <v>37</v>
      </c>
      <c r="BB66">
        <f ca="1">ROUND(T_Facebook_Ads115963677175798387919599[[#This Row],[video_views]]*RANDBETWEEN(8,12)/10,0)</f>
        <v>6014</v>
      </c>
    </row>
    <row r="67" spans="1:54" ht="15.75" thickBot="1" x14ac:dyDescent="0.3">
      <c r="A67" s="3">
        <f t="shared" ca="1" si="9"/>
        <v>45273</v>
      </c>
      <c r="B67" s="4" t="s">
        <v>64</v>
      </c>
      <c r="C67" s="4" t="s">
        <v>65</v>
      </c>
      <c r="D67" s="4" t="s">
        <v>66</v>
      </c>
      <c r="E67" s="4" t="s">
        <v>67</v>
      </c>
      <c r="F67" s="4">
        <f ca="1">ROUND(T_Facebook_Ads[[#This Row],[impressions]]*RANDBETWEEN(8,12)/10,0)</f>
        <v>70123</v>
      </c>
      <c r="G67" s="4">
        <v>253</v>
      </c>
      <c r="H67" s="4">
        <f ca="1">T_Facebook_Ads[[#This Row],[spend]]*RANDBETWEEN(8,12)/10</f>
        <v>107.28000000000002</v>
      </c>
      <c r="I67" s="4">
        <f ca="1">ROUND(T_Facebook_Ads[[#This Row],[conversions]]*RANDBETWEEN(8,12)/10,0)</f>
        <v>6</v>
      </c>
      <c r="J67" s="4">
        <f ca="1">ROUND(T_Facebook_Ads[[#This Row],[video_views]]*RANDBETWEEN(8,12)/10,0)</f>
        <v>47234</v>
      </c>
      <c r="K67" s="4">
        <f ca="1">T_Facebook_Ads[[#This Row],[engagement_rate]]*RANDBETWEEN(8,12)/10</f>
        <v>3.2399999999999998E-3</v>
      </c>
      <c r="L67" s="4">
        <f ca="1">ROUND(T_Facebook_Ads[[#This Row],[reach]]*RANDBETWEEN(8,12)/10,0)</f>
        <v>52101</v>
      </c>
      <c r="M67" s="4">
        <f ca="1">T_Facebook_Ads[[#This Row],[frequency]]*RANDBETWEEN(8,12)/10</f>
        <v>0.96799999999999997</v>
      </c>
      <c r="O67" s="3">
        <f t="shared" ca="1" si="10"/>
        <v>45287</v>
      </c>
      <c r="P67" s="4" t="s">
        <v>88</v>
      </c>
      <c r="Q67" s="4" t="s">
        <v>89</v>
      </c>
      <c r="R67" s="4" t="s">
        <v>90</v>
      </c>
      <c r="S67" s="4" t="s">
        <v>59</v>
      </c>
      <c r="T67" s="4">
        <f ca="1">ROUND(_Google_ads[[#This Row],[impressions]]*RANDBETWEEN(8,12)/10,0)</f>
        <v>105254</v>
      </c>
      <c r="U67" s="4">
        <f ca="1">ROUND(_Google_ads[[#This Row],[clicks]]*RANDBETWEEN(8,12)/10,0)</f>
        <v>478</v>
      </c>
      <c r="V67" s="4">
        <f ca="1">_Google_ads[[#This Row],[cost]]*RANDBETWEEN(8,12)/10</f>
        <v>129.4</v>
      </c>
      <c r="W67" s="4">
        <f ca="1">ROUND(_Google_ads[[#This Row],[conversions]]*RANDBETWEEN(8,12)/10,0)</f>
        <v>10</v>
      </c>
      <c r="X67" s="4">
        <f ca="1">ROUND(_Google_ads[[#This Row],[conversion_value]]*RANDBETWEEN(8,12)/10,0)</f>
        <v>520</v>
      </c>
      <c r="Y67" s="4">
        <f ca="1">_Google_ads[[#This Row],[ctr]]*RANDBETWEEN(8,12)/10</f>
        <v>3.5999999999999999E-3</v>
      </c>
      <c r="Z67" s="4">
        <f ca="1">_Google_ads[[#This Row],[avg_cpc]]*RANDBETWEEN(8,12)/10</f>
        <v>0.29700000000000004</v>
      </c>
      <c r="AA67" s="4">
        <f ca="1">ROUND(_Google_ads[[#This Row],[quality_score]]*RANDBETWEEN(8,12)/10,0)</f>
        <v>6</v>
      </c>
      <c r="AB67" s="4">
        <f ca="1">_Google_ads[[#This Row],[search_impression_share]]*RANDBETWEEN(8,12)/10</f>
        <v>0.374</v>
      </c>
      <c r="AD67" s="3">
        <f t="shared" ca="1" si="11"/>
        <v>45272</v>
      </c>
      <c r="AE67" s="4" t="s">
        <v>112</v>
      </c>
      <c r="AF67" s="4" t="s">
        <v>113</v>
      </c>
      <c r="AG67" s="4" t="s">
        <v>114</v>
      </c>
      <c r="AH67" s="4" t="s">
        <v>115</v>
      </c>
      <c r="AI67" s="4">
        <f ca="1">ROUND(T_Tiktok_ads[[#This Row],[impressions]]*RANDBETWEEN(8,12)/10,0)</f>
        <v>465802</v>
      </c>
      <c r="AJ67" s="4">
        <f ca="1">ROUND(T_Tiktok_ads[[#This Row],[clicks]]*RANDBETWEEN(8,12)/10,0)</f>
        <v>7468</v>
      </c>
      <c r="AK67" s="4">
        <v>1034.5</v>
      </c>
      <c r="AL67" s="4">
        <f ca="1">ROUND(T_Tiktok_ads[[#This Row],[conversions]]*RANDBETWEEN(8,12)/10,0)</f>
        <v>104</v>
      </c>
      <c r="AM67" s="4">
        <f ca="1">ROUND(T_Tiktok_ads[[#This Row],[video_views]]*RANDBETWEEN(8,12)/10,0)</f>
        <v>428147</v>
      </c>
      <c r="AN67" s="4">
        <f ca="1">ROUND(T_Tiktok_ads[[#This Row],[video_watch_25]]*RANDBETWEEN(8,12)/10,0)</f>
        <v>229787</v>
      </c>
      <c r="AO67" s="4">
        <f ca="1">ROUND(T_Tiktok_ads[[#This Row],[video_watch_50]]*RANDBETWEEN(8,12)/10,0)</f>
        <v>229234</v>
      </c>
      <c r="AP67" s="4">
        <f ca="1">ROUND(T_Tiktok_ads[[#This Row],[video_watch_75]]*RANDBETWEEN(8,12)/10,0)</f>
        <v>129876</v>
      </c>
      <c r="AQ67" s="4">
        <f ca="1">ROUND(T_Tiktok_ads[[#This Row],[video_watch_100]]*RANDBETWEEN(8,12)/10,0)</f>
        <v>129468</v>
      </c>
      <c r="AR67" s="4">
        <f ca="1">ROUND(T_Tiktok_ads[[#This Row],[likes]]*RANDBETWEEN(8,12)/10,0)</f>
        <v>15005</v>
      </c>
      <c r="AS67" s="4">
        <f ca="1">ROUND(T_Tiktok_ads[[#This Row],[shares]]*RANDBETWEEN(8,12)/10,0)</f>
        <v>4811</v>
      </c>
      <c r="AT67" s="4">
        <f ca="1">ROUND(T_Tiktok_ads[[#This Row],[comments]]*RANDBETWEEN(8,12)/10,0)</f>
        <v>1747</v>
      </c>
      <c r="AV67" s="5">
        <f t="shared" ca="1" si="12"/>
        <v>45286</v>
      </c>
      <c r="AW67">
        <f t="shared" ref="AW67:AW111" ca="1" si="13">RANDBETWEEN(1,8)</f>
        <v>8</v>
      </c>
      <c r="AX67">
        <f ca="1">ROUND(T_Facebook_Ads115963677175798387919599[[#This Row],[impressions]]*RANDBETWEEN(8,12)/10,0)</f>
        <v>77135</v>
      </c>
      <c r="AY67">
        <f ca="1">ROUND(T_Facebook_Ads115963677175798387919599[[#This Row],[clicks]]*RANDBETWEEN(8,12)/10,0)</f>
        <v>278</v>
      </c>
      <c r="AZ67">
        <f ca="1">T_Facebook_Ads115963677175798387919599[[#This Row],[spend]]*RANDBETWEEN(8,12)/10</f>
        <v>96.552000000000007</v>
      </c>
      <c r="BA67">
        <f ca="1">ROUND(T_Facebook_Ads115963677175798387919599[[#This Row],[conversions]]*RANDBETWEEN(8,12)/10,0)</f>
        <v>7</v>
      </c>
      <c r="BB67">
        <f ca="1">ROUND(T_Facebook_Ads115963677175798387919599[[#This Row],[video_views]]*RANDBETWEEN(8,12)/10,0)</f>
        <v>42511</v>
      </c>
    </row>
    <row r="68" spans="1:54" ht="15.75" thickBot="1" x14ac:dyDescent="0.3">
      <c r="A68" s="3">
        <f t="shared" ca="1" si="9"/>
        <v>45268</v>
      </c>
      <c r="B68" s="4" t="s">
        <v>52</v>
      </c>
      <c r="C68" s="4" t="s">
        <v>53</v>
      </c>
      <c r="D68" s="4" t="s">
        <v>54</v>
      </c>
      <c r="E68" s="4" t="s">
        <v>55</v>
      </c>
      <c r="F68" s="4">
        <f ca="1">ROUND(T_Facebook_Ads[[#This Row],[impressions]]*RANDBETWEEN(8,12)/10,0)</f>
        <v>51881</v>
      </c>
      <c r="G68" s="4">
        <v>878</v>
      </c>
      <c r="H68" s="4">
        <f ca="1">T_Facebook_Ads[[#This Row],[spend]]*RANDBETWEEN(8,12)/10</f>
        <v>150.84</v>
      </c>
      <c r="I68" s="4">
        <f ca="1">ROUND(T_Facebook_Ads[[#This Row],[conversions]]*RANDBETWEEN(8,12)/10,0)</f>
        <v>16</v>
      </c>
      <c r="J68" s="4">
        <f ca="1">ROUND(T_Facebook_Ads[[#This Row],[video_views]]*RANDBETWEEN(8,12)/10,0)</f>
        <v>7890</v>
      </c>
      <c r="K68" s="4">
        <f ca="1">T_Facebook_Ads[[#This Row],[engagement_rate]]*RANDBETWEEN(8,12)/10</f>
        <v>1.8269999999999998E-2</v>
      </c>
      <c r="L68" s="4">
        <f ca="1">ROUND(T_Facebook_Ads[[#This Row],[reach]]*RANDBETWEEN(8,12)/10,0)</f>
        <v>29254</v>
      </c>
      <c r="M68" s="4">
        <f ca="1">T_Facebook_Ads[[#This Row],[frequency]]*RANDBETWEEN(8,12)/10</f>
        <v>1.4159999999999999</v>
      </c>
      <c r="O68" s="3">
        <f t="shared" ca="1" si="10"/>
        <v>45265</v>
      </c>
      <c r="P68" s="4" t="s">
        <v>76</v>
      </c>
      <c r="Q68" s="4" t="s">
        <v>77</v>
      </c>
      <c r="R68" s="4" t="s">
        <v>78</v>
      </c>
      <c r="S68" s="4" t="s">
        <v>79</v>
      </c>
      <c r="T68" s="4">
        <f ca="1">ROUND(_Google_ads[[#This Row],[impressions]]*RANDBETWEEN(8,12)/10,0)</f>
        <v>24580</v>
      </c>
      <c r="U68" s="4">
        <f ca="1">ROUND(_Google_ads[[#This Row],[clicks]]*RANDBETWEEN(8,12)/10,0)</f>
        <v>1123</v>
      </c>
      <c r="V68" s="4">
        <f ca="1">_Google_ads[[#This Row],[cost]]*RANDBETWEEN(8,12)/10</f>
        <v>171.6</v>
      </c>
      <c r="W68" s="4">
        <f ca="1">ROUND(_Google_ads[[#This Row],[conversions]]*RANDBETWEEN(8,12)/10,0)</f>
        <v>46</v>
      </c>
      <c r="X68" s="4">
        <f ca="1">ROUND(_Google_ads[[#This Row],[conversion_value]]*RANDBETWEEN(8,12)/10,0)</f>
        <v>2520</v>
      </c>
      <c r="Y68" s="4">
        <f ca="1">_Google_ads[[#This Row],[ctr]]*RANDBETWEEN(8,12)/10</f>
        <v>5.0299999999999997E-2</v>
      </c>
      <c r="Z68" s="4">
        <f ca="1">_Google_ads[[#This Row],[avg_cpc]]*RANDBETWEEN(8,12)/10</f>
        <v>0.152</v>
      </c>
      <c r="AA68" s="4">
        <f ca="1">ROUND(_Google_ads[[#This Row],[quality_score]]*RANDBETWEEN(8,12)/10,0)</f>
        <v>11</v>
      </c>
      <c r="AB68" s="4">
        <f ca="1">_Google_ads[[#This Row],[search_impression_share]]*RANDBETWEEN(8,12)/10</f>
        <v>1.0680000000000001</v>
      </c>
      <c r="AD68" s="3">
        <f t="shared" ca="1" si="11"/>
        <v>45273</v>
      </c>
      <c r="AE68" s="4" t="s">
        <v>100</v>
      </c>
      <c r="AF68" s="4" t="s">
        <v>101</v>
      </c>
      <c r="AG68" s="4" t="s">
        <v>102</v>
      </c>
      <c r="AH68" s="4" t="s">
        <v>103</v>
      </c>
      <c r="AI68" s="4">
        <f ca="1">ROUND(T_Tiktok_ads[[#This Row],[impressions]]*RANDBETWEEN(8,12)/10,0)</f>
        <v>307481</v>
      </c>
      <c r="AJ68" s="4">
        <f ca="1">ROUND(T_Tiktok_ads[[#This Row],[clicks]]*RANDBETWEEN(8,12)/10,0)</f>
        <v>4071</v>
      </c>
      <c r="AK68" s="4">
        <v>490.5</v>
      </c>
      <c r="AL68" s="4">
        <f ca="1">ROUND(T_Tiktok_ads[[#This Row],[conversions]]*RANDBETWEEN(8,12)/10,0)</f>
        <v>42</v>
      </c>
      <c r="AM68" s="4">
        <f ca="1">ROUND(T_Tiktok_ads[[#This Row],[video_views]]*RANDBETWEEN(8,12)/10,0)</f>
        <v>167387</v>
      </c>
      <c r="AN68" s="4">
        <f ca="1">ROUND(T_Tiktok_ads[[#This Row],[video_watch_25]]*RANDBETWEEN(8,12)/10,0)</f>
        <v>147210</v>
      </c>
      <c r="AO68" s="4">
        <f ca="1">ROUND(T_Tiktok_ads[[#This Row],[video_watch_50]]*RANDBETWEEN(8,12)/10,0)</f>
        <v>102567</v>
      </c>
      <c r="AP68" s="4">
        <f ca="1">ROUND(T_Tiktok_ads[[#This Row],[video_watch_75]]*RANDBETWEEN(8,12)/10,0)</f>
        <v>76524</v>
      </c>
      <c r="AQ68" s="4">
        <f ca="1">ROUND(T_Tiktok_ads[[#This Row],[video_watch_100]]*RANDBETWEEN(8,12)/10,0)</f>
        <v>46567</v>
      </c>
      <c r="AR68" s="4">
        <f ca="1">ROUND(T_Tiktok_ads[[#This Row],[likes]]*RANDBETWEEN(8,12)/10,0)</f>
        <v>10035</v>
      </c>
      <c r="AS68" s="4">
        <f ca="1">ROUND(T_Tiktok_ads[[#This Row],[shares]]*RANDBETWEEN(8,12)/10,0)</f>
        <v>2908</v>
      </c>
      <c r="AT68" s="4">
        <f ca="1">ROUND(T_Tiktok_ads[[#This Row],[comments]]*RANDBETWEEN(8,12)/10,0)</f>
        <v>541</v>
      </c>
      <c r="AV68" s="5">
        <f t="shared" ca="1" si="12"/>
        <v>45265</v>
      </c>
      <c r="AW68">
        <f t="shared" ca="1" si="13"/>
        <v>6</v>
      </c>
      <c r="AX68">
        <f ca="1">ROUND(T_Facebook_Ads115963677175798387919599[[#This Row],[impressions]]*RANDBETWEEN(8,12)/10,0)</f>
        <v>57069</v>
      </c>
      <c r="AY68">
        <f ca="1">ROUND(T_Facebook_Ads115963677175798387919599[[#This Row],[clicks]]*RANDBETWEEN(8,12)/10,0)</f>
        <v>790</v>
      </c>
      <c r="AZ68">
        <f ca="1">T_Facebook_Ads115963677175798387919599[[#This Row],[spend]]*RANDBETWEEN(8,12)/10</f>
        <v>135.756</v>
      </c>
      <c r="BA68">
        <f ca="1">ROUND(T_Facebook_Ads115963677175798387919599[[#This Row],[conversions]]*RANDBETWEEN(8,12)/10,0)</f>
        <v>19</v>
      </c>
      <c r="BB68">
        <f ca="1">ROUND(T_Facebook_Ads115963677175798387919599[[#This Row],[video_views]]*RANDBETWEEN(8,12)/10,0)</f>
        <v>7890</v>
      </c>
    </row>
    <row r="69" spans="1:54" ht="15.75" thickBot="1" x14ac:dyDescent="0.3">
      <c r="A69" s="3">
        <f t="shared" ca="1" si="9"/>
        <v>45285</v>
      </c>
      <c r="B69" s="4" t="s">
        <v>56</v>
      </c>
      <c r="C69" s="4" t="s">
        <v>57</v>
      </c>
      <c r="D69" s="4" t="s">
        <v>58</v>
      </c>
      <c r="E69" s="4" t="s">
        <v>59</v>
      </c>
      <c r="F69" s="4">
        <f ca="1">ROUND(T_Facebook_Ads[[#This Row],[impressions]]*RANDBETWEEN(8,12)/10,0)</f>
        <v>14268</v>
      </c>
      <c r="G69" s="4">
        <v>545</v>
      </c>
      <c r="H69" s="4">
        <f ca="1">T_Facebook_Ads[[#This Row],[spend]]*RANDBETWEEN(8,12)/10</f>
        <v>202.3</v>
      </c>
      <c r="I69" s="4">
        <f ca="1">ROUND(T_Facebook_Ads[[#This Row],[conversions]]*RANDBETWEEN(8,12)/10,0)</f>
        <v>34</v>
      </c>
      <c r="J69" s="4">
        <f ca="1">ROUND(T_Facebook_Ads[[#This Row],[video_views]]*RANDBETWEEN(8,12)/10,0)</f>
        <v>925</v>
      </c>
      <c r="K69" s="4">
        <f ca="1">T_Facebook_Ads[[#This Row],[engagement_rate]]*RANDBETWEEN(8,12)/10</f>
        <v>3.6639999999999999E-2</v>
      </c>
      <c r="L69" s="4">
        <f ca="1">ROUND(T_Facebook_Ads[[#This Row],[reach]]*RANDBETWEEN(8,12)/10,0)</f>
        <v>10524</v>
      </c>
      <c r="M69" s="4">
        <f ca="1">T_Facebook_Ads[[#This Row],[frequency]]*RANDBETWEEN(8,12)/10</f>
        <v>1.024</v>
      </c>
      <c r="O69" s="3">
        <f t="shared" ca="1" si="10"/>
        <v>45274</v>
      </c>
      <c r="P69" s="4" t="s">
        <v>80</v>
      </c>
      <c r="Q69" s="4" t="s">
        <v>81</v>
      </c>
      <c r="R69" s="4" t="s">
        <v>82</v>
      </c>
      <c r="S69" s="4" t="s">
        <v>83</v>
      </c>
      <c r="T69" s="4">
        <f ca="1">ROUND(_Google_ads[[#This Row],[impressions]]*RANDBETWEEN(8,12)/10,0)</f>
        <v>36510</v>
      </c>
      <c r="U69" s="4">
        <f ca="1">ROUND(_Google_ads[[#This Row],[clicks]]*RANDBETWEEN(8,12)/10,0)</f>
        <v>812</v>
      </c>
      <c r="V69" s="4">
        <f ca="1">_Google_ads[[#This Row],[cost]]*RANDBETWEEN(8,12)/10</f>
        <v>572.43999999999994</v>
      </c>
      <c r="W69" s="4">
        <f ca="1">ROUND(_Google_ads[[#This Row],[conversions]]*RANDBETWEEN(8,12)/10,0)</f>
        <v>24</v>
      </c>
      <c r="X69" s="4">
        <f ca="1">ROUND(_Google_ads[[#This Row],[conversion_value]]*RANDBETWEEN(8,12)/10,0)</f>
        <v>1100</v>
      </c>
      <c r="Y69" s="4">
        <f ca="1">_Google_ads[[#This Row],[ctr]]*RANDBETWEEN(8,12)/10</f>
        <v>2.1999999999999999E-2</v>
      </c>
      <c r="Z69" s="4">
        <f ca="1">_Google_ads[[#This Row],[avg_cpc]]*RANDBETWEEN(8,12)/10</f>
        <v>0.64</v>
      </c>
      <c r="AA69" s="4">
        <f ca="1">ROUND(_Google_ads[[#This Row],[quality_score]]*RANDBETWEEN(8,12)/10,0)</f>
        <v>5</v>
      </c>
      <c r="AB69" s="4">
        <f ca="1">_Google_ads[[#This Row],[search_impression_share]]*RANDBETWEEN(8,12)/10</f>
        <v>0.42000000000000004</v>
      </c>
      <c r="AD69" s="3">
        <f t="shared" ca="1" si="11"/>
        <v>45282</v>
      </c>
      <c r="AE69" s="4" t="s">
        <v>104</v>
      </c>
      <c r="AF69" s="4" t="s">
        <v>105</v>
      </c>
      <c r="AG69" s="4" t="s">
        <v>106</v>
      </c>
      <c r="AH69" s="4" t="s">
        <v>107</v>
      </c>
      <c r="AI69" s="4">
        <f ca="1">ROUND(T_Tiktok_ads[[#This Row],[impressions]]*RANDBETWEEN(8,12)/10,0)</f>
        <v>128111</v>
      </c>
      <c r="AJ69" s="4">
        <f ca="1">ROUND(T_Tiktok_ads[[#This Row],[clicks]]*RANDBETWEEN(8,12)/10,0)</f>
        <v>2678</v>
      </c>
      <c r="AK69" s="4">
        <v>734.5</v>
      </c>
      <c r="AL69" s="4">
        <f ca="1">ROUND(T_Tiktok_ads[[#This Row],[conversions]]*RANDBETWEEN(8,12)/10,0)</f>
        <v>80</v>
      </c>
      <c r="AM69" s="4">
        <f ca="1">ROUND(T_Tiktok_ads[[#This Row],[video_views]]*RANDBETWEEN(8,12)/10,0)</f>
        <v>117468</v>
      </c>
      <c r="AN69" s="4">
        <f ca="1">ROUND(T_Tiktok_ads[[#This Row],[video_watch_25]]*RANDBETWEEN(8,12)/10,0)</f>
        <v>57876</v>
      </c>
      <c r="AO69" s="4">
        <f ca="1">ROUND(T_Tiktok_ads[[#This Row],[video_watch_50]]*RANDBETWEEN(8,12)/10,0)</f>
        <v>58681</v>
      </c>
      <c r="AP69" s="4">
        <f ca="1">ROUND(T_Tiktok_ads[[#This Row],[video_watch_75]]*RANDBETWEEN(8,12)/10,0)</f>
        <v>33110</v>
      </c>
      <c r="AQ69" s="4">
        <f ca="1">ROUND(T_Tiktok_ads[[#This Row],[video_watch_100]]*RANDBETWEEN(8,12)/10,0)</f>
        <v>27379</v>
      </c>
      <c r="AR69" s="4">
        <f ca="1">ROUND(T_Tiktok_ads[[#This Row],[likes]]*RANDBETWEEN(8,12)/10,0)</f>
        <v>5881</v>
      </c>
      <c r="AS69" s="4">
        <f ca="1">ROUND(T_Tiktok_ads[[#This Row],[shares]]*RANDBETWEEN(8,12)/10,0)</f>
        <v>1492</v>
      </c>
      <c r="AT69" s="4">
        <f ca="1">ROUND(T_Tiktok_ads[[#This Row],[comments]]*RANDBETWEEN(8,12)/10,0)</f>
        <v>230</v>
      </c>
      <c r="AV69" s="5">
        <f t="shared" ca="1" si="12"/>
        <v>45281</v>
      </c>
      <c r="AW69">
        <f t="shared" ca="1" si="13"/>
        <v>6</v>
      </c>
      <c r="AX69">
        <f ca="1">ROUND(T_Facebook_Ads115963677175798387919599[[#This Row],[impressions]]*RANDBETWEEN(8,12)/10,0)</f>
        <v>12841</v>
      </c>
      <c r="AY69">
        <f ca="1">ROUND(T_Facebook_Ads115963677175798387919599[[#This Row],[clicks]]*RANDBETWEEN(8,12)/10,0)</f>
        <v>436</v>
      </c>
      <c r="AZ69">
        <f ca="1">T_Facebook_Ads115963677175798387919599[[#This Row],[spend]]*RANDBETWEEN(8,12)/10</f>
        <v>161.84</v>
      </c>
      <c r="BA69">
        <f ca="1">ROUND(T_Facebook_Ads115963677175798387919599[[#This Row],[conversions]]*RANDBETWEEN(8,12)/10,0)</f>
        <v>41</v>
      </c>
      <c r="BB69">
        <f ca="1">ROUND(T_Facebook_Ads115963677175798387919599[[#This Row],[video_views]]*RANDBETWEEN(8,12)/10,0)</f>
        <v>1018</v>
      </c>
    </row>
    <row r="70" spans="1:54" ht="15.75" thickBot="1" x14ac:dyDescent="0.3">
      <c r="A70" s="3">
        <f t="shared" ca="1" si="9"/>
        <v>45268</v>
      </c>
      <c r="B70" s="4" t="s">
        <v>60</v>
      </c>
      <c r="C70" s="4" t="s">
        <v>61</v>
      </c>
      <c r="D70" s="4" t="s">
        <v>62</v>
      </c>
      <c r="E70" s="4" t="s">
        <v>63</v>
      </c>
      <c r="F70" s="4">
        <f ca="1">ROUND(T_Facebook_Ads[[#This Row],[impressions]]*RANDBETWEEN(8,12)/10,0)</f>
        <v>34567</v>
      </c>
      <c r="G70" s="4">
        <v>1234</v>
      </c>
      <c r="H70" s="4">
        <f ca="1">T_Facebook_Ads[[#This Row],[spend]]*RANDBETWEEN(8,12)/10</f>
        <v>227.51999999999998</v>
      </c>
      <c r="I70" s="4">
        <f ca="1">ROUND(T_Facebook_Ads[[#This Row],[conversions]]*RANDBETWEEN(8,12)/10,0)</f>
        <v>26</v>
      </c>
      <c r="J70" s="4">
        <f ca="1">ROUND(T_Facebook_Ads[[#This Row],[video_views]]*RANDBETWEEN(8,12)/10,0)</f>
        <v>5024</v>
      </c>
      <c r="K70" s="4">
        <f ca="1">T_Facebook_Ads[[#This Row],[engagement_rate]]*RANDBETWEEN(8,12)/10</f>
        <v>3.2130000000000006E-2</v>
      </c>
      <c r="L70" s="4">
        <f ca="1">ROUND(T_Facebook_Ads[[#This Row],[reach]]*RANDBETWEEN(8,12)/10,0)</f>
        <v>34721</v>
      </c>
      <c r="M70" s="4">
        <f ca="1">T_Facebook_Ads[[#This Row],[frequency]]*RANDBETWEEN(8,12)/10</f>
        <v>1.071</v>
      </c>
      <c r="O70" s="3">
        <f t="shared" ca="1" si="10"/>
        <v>45274</v>
      </c>
      <c r="P70" s="4" t="s">
        <v>84</v>
      </c>
      <c r="Q70" s="4" t="s">
        <v>85</v>
      </c>
      <c r="R70" s="4" t="s">
        <v>86</v>
      </c>
      <c r="S70" s="4" t="s">
        <v>87</v>
      </c>
      <c r="T70" s="4">
        <f ca="1">ROUND(_Google_ads[[#This Row],[impressions]]*RANDBETWEEN(8,12)/10,0)</f>
        <v>77868</v>
      </c>
      <c r="U70" s="4">
        <f ca="1">ROUND(_Google_ads[[#This Row],[clicks]]*RANDBETWEEN(8,12)/10,0)</f>
        <v>2480</v>
      </c>
      <c r="V70" s="4">
        <f ca="1">_Google_ads[[#This Row],[cost]]*RANDBETWEEN(8,12)/10</f>
        <v>452.16</v>
      </c>
      <c r="W70" s="4">
        <f ca="1">ROUND(_Google_ads[[#This Row],[conversions]]*RANDBETWEEN(8,12)/10,0)</f>
        <v>59</v>
      </c>
      <c r="X70" s="4">
        <f ca="1">ROUND(_Google_ads[[#This Row],[conversion_value]]*RANDBETWEEN(8,12)/10,0)</f>
        <v>2360</v>
      </c>
      <c r="Y70" s="4">
        <f ca="1">_Google_ads[[#This Row],[ctr]]*RANDBETWEEN(8,12)/10</f>
        <v>3.5089999999999996E-2</v>
      </c>
      <c r="Z70" s="4">
        <f ca="1">_Google_ads[[#This Row],[avg_cpc]]*RANDBETWEEN(8,12)/10</f>
        <v>0.19800000000000001</v>
      </c>
      <c r="AA70" s="4">
        <f ca="1">ROUND(_Google_ads[[#This Row],[quality_score]]*RANDBETWEEN(8,12)/10,0)</f>
        <v>8</v>
      </c>
      <c r="AB70" s="4">
        <f ca="1">_Google_ads[[#This Row],[search_impression_share]]*RANDBETWEEN(8,12)/10</f>
        <v>0.65</v>
      </c>
      <c r="AD70" s="3">
        <f t="shared" ca="1" si="11"/>
        <v>45278</v>
      </c>
      <c r="AE70" s="4" t="s">
        <v>108</v>
      </c>
      <c r="AF70" s="4" t="s">
        <v>109</v>
      </c>
      <c r="AG70" s="4" t="s">
        <v>110</v>
      </c>
      <c r="AH70" s="4" t="s">
        <v>111</v>
      </c>
      <c r="AI70" s="4">
        <f ca="1">ROUND(T_Tiktok_ads[[#This Row],[impressions]]*RANDBETWEEN(8,12)/10,0)</f>
        <v>197011</v>
      </c>
      <c r="AJ70" s="4">
        <f ca="1">ROUND(T_Tiktok_ads[[#This Row],[clicks]]*RANDBETWEEN(8,12)/10,0)</f>
        <v>3456</v>
      </c>
      <c r="AK70" s="4">
        <v>414.4</v>
      </c>
      <c r="AL70" s="4">
        <f ca="1">ROUND(T_Tiktok_ads[[#This Row],[conversions]]*RANDBETWEEN(8,12)/10,0)</f>
        <v>35</v>
      </c>
      <c r="AM70" s="4">
        <f ca="1">ROUND(T_Tiktok_ads[[#This Row],[video_views]]*RANDBETWEEN(8,12)/10,0)</f>
        <v>208147</v>
      </c>
      <c r="AN70" s="4">
        <f ca="1">ROUND(T_Tiktok_ads[[#This Row],[video_watch_25]]*RANDBETWEEN(8,12)/10,0)</f>
        <v>144724</v>
      </c>
      <c r="AO70" s="4">
        <f ca="1">ROUND(T_Tiktok_ads[[#This Row],[video_watch_50]]*RANDBETWEEN(8,12)/10,0)</f>
        <v>113924</v>
      </c>
      <c r="AP70" s="4">
        <f ca="1">ROUND(T_Tiktok_ads[[#This Row],[video_watch_75]]*RANDBETWEEN(8,12)/10,0)</f>
        <v>53787</v>
      </c>
      <c r="AQ70" s="4">
        <f ca="1">ROUND(T_Tiktok_ads[[#This Row],[video_watch_100]]*RANDBETWEEN(8,12)/10,0)</f>
        <v>48680</v>
      </c>
      <c r="AR70" s="4">
        <f ca="1">ROUND(T_Tiktok_ads[[#This Row],[likes]]*RANDBETWEEN(8,12)/10,0)</f>
        <v>8813</v>
      </c>
      <c r="AS70" s="4">
        <f ca="1">ROUND(T_Tiktok_ads[[#This Row],[shares]]*RANDBETWEEN(8,12)/10,0)</f>
        <v>2201</v>
      </c>
      <c r="AT70" s="4">
        <f ca="1">ROUND(T_Tiktok_ads[[#This Row],[comments]]*RANDBETWEEN(8,12)/10,0)</f>
        <v>523</v>
      </c>
      <c r="AV70" s="5">
        <f t="shared" ca="1" si="12"/>
        <v>45262</v>
      </c>
      <c r="AW70">
        <f t="shared" ca="1" si="13"/>
        <v>4</v>
      </c>
      <c r="AX70">
        <f ca="1">ROUND(T_Facebook_Ads115963677175798387919599[[#This Row],[impressions]]*RANDBETWEEN(8,12)/10,0)</f>
        <v>41480</v>
      </c>
      <c r="AY70">
        <f ca="1">ROUND(T_Facebook_Ads115963677175798387919599[[#This Row],[clicks]]*RANDBETWEEN(8,12)/10,0)</f>
        <v>1357</v>
      </c>
      <c r="AZ70">
        <f ca="1">T_Facebook_Ads115963677175798387919599[[#This Row],[spend]]*RANDBETWEEN(8,12)/10</f>
        <v>227.51999999999998</v>
      </c>
      <c r="BA70">
        <f ca="1">ROUND(T_Facebook_Ads115963677175798387919599[[#This Row],[conversions]]*RANDBETWEEN(8,12)/10,0)</f>
        <v>23</v>
      </c>
      <c r="BB70">
        <f ca="1">ROUND(T_Facebook_Ads115963677175798387919599[[#This Row],[video_views]]*RANDBETWEEN(8,12)/10,0)</f>
        <v>4019</v>
      </c>
    </row>
    <row r="71" spans="1:54" ht="15.75" thickBot="1" x14ac:dyDescent="0.3">
      <c r="A71" s="3">
        <f t="shared" ca="1" si="9"/>
        <v>45284</v>
      </c>
      <c r="B71" s="4" t="s">
        <v>64</v>
      </c>
      <c r="C71" s="4" t="s">
        <v>65</v>
      </c>
      <c r="D71" s="4" t="s">
        <v>66</v>
      </c>
      <c r="E71" s="4" t="s">
        <v>67</v>
      </c>
      <c r="F71" s="4">
        <f ca="1">ROUND(T_Facebook_Ads[[#This Row],[impressions]]*RANDBETWEEN(8,12)/10,0)</f>
        <v>58711</v>
      </c>
      <c r="G71" s="4">
        <v>234</v>
      </c>
      <c r="H71" s="4">
        <f ca="1">T_Facebook_Ads[[#This Row],[spend]]*RANDBETWEEN(8,12)/10</f>
        <v>81.2</v>
      </c>
      <c r="I71" s="4">
        <f ca="1">ROUND(T_Facebook_Ads[[#This Row],[conversions]]*RANDBETWEEN(8,12)/10,0)</f>
        <v>5</v>
      </c>
      <c r="J71" s="4">
        <f ca="1">ROUND(T_Facebook_Ads[[#This Row],[video_views]]*RANDBETWEEN(8,12)/10,0)</f>
        <v>39210</v>
      </c>
      <c r="K71" s="4">
        <f ca="1">T_Facebook_Ads[[#This Row],[engagement_rate]]*RANDBETWEEN(8,12)/10</f>
        <v>3.2399999999999998E-3</v>
      </c>
      <c r="L71" s="4">
        <f ca="1">ROUND(T_Facebook_Ads[[#This Row],[reach]]*RANDBETWEEN(8,12)/10,0)</f>
        <v>48110</v>
      </c>
      <c r="M71" s="4">
        <f ca="1">T_Facebook_Ads[[#This Row],[frequency]]*RANDBETWEEN(8,12)/10</f>
        <v>1.4279999999999999</v>
      </c>
      <c r="O71" s="3">
        <f t="shared" ca="1" si="10"/>
        <v>45266</v>
      </c>
      <c r="P71" s="4" t="s">
        <v>88</v>
      </c>
      <c r="Q71" s="4" t="s">
        <v>89</v>
      </c>
      <c r="R71" s="4" t="s">
        <v>90</v>
      </c>
      <c r="S71" s="4" t="s">
        <v>59</v>
      </c>
      <c r="T71" s="4">
        <f ca="1">ROUND(_Google_ads[[#This Row],[impressions]]*RANDBETWEEN(8,12)/10,0)</f>
        <v>149480</v>
      </c>
      <c r="U71" s="4">
        <f ca="1">ROUND(_Google_ads[[#This Row],[clicks]]*RANDBETWEEN(8,12)/10,0)</f>
        <v>356</v>
      </c>
      <c r="V71" s="4">
        <f ca="1">_Google_ads[[#This Row],[cost]]*RANDBETWEEN(8,12)/10</f>
        <v>122.3</v>
      </c>
      <c r="W71" s="4">
        <f ca="1">ROUND(_Google_ads[[#This Row],[conversions]]*RANDBETWEEN(8,12)/10,0)</f>
        <v>13</v>
      </c>
      <c r="X71" s="4">
        <f ca="1">ROUND(_Google_ads[[#This Row],[conversion_value]]*RANDBETWEEN(8,12)/10,0)</f>
        <v>480</v>
      </c>
      <c r="Y71" s="4">
        <f ca="1">_Google_ads[[#This Row],[ctr]]*RANDBETWEEN(8,12)/10</f>
        <v>3.5999999999999999E-3</v>
      </c>
      <c r="Z71" s="4">
        <f ca="1">_Google_ads[[#This Row],[avg_cpc]]*RANDBETWEEN(8,12)/10</f>
        <v>0.29700000000000004</v>
      </c>
      <c r="AA71" s="4">
        <f ca="1">ROUND(_Google_ads[[#This Row],[quality_score]]*RANDBETWEEN(8,12)/10,0)</f>
        <v>6</v>
      </c>
      <c r="AB71" s="4">
        <f ca="1">_Google_ads[[#This Row],[search_impression_share]]*RANDBETWEEN(8,12)/10</f>
        <v>0.29700000000000004</v>
      </c>
      <c r="AD71" s="3">
        <f t="shared" ca="1" si="11"/>
        <v>45289</v>
      </c>
      <c r="AE71" s="4" t="s">
        <v>112</v>
      </c>
      <c r="AF71" s="4" t="s">
        <v>113</v>
      </c>
      <c r="AG71" s="4" t="s">
        <v>114</v>
      </c>
      <c r="AH71" s="4" t="s">
        <v>115</v>
      </c>
      <c r="AI71" s="4">
        <f ca="1">ROUND(T_Tiktok_ads[[#This Row],[impressions]]*RANDBETWEEN(8,12)/10,0)</f>
        <v>466814</v>
      </c>
      <c r="AJ71" s="4">
        <f ca="1">ROUND(T_Tiktok_ads[[#This Row],[clicks]]*RANDBETWEEN(8,12)/10,0)</f>
        <v>6857</v>
      </c>
      <c r="AK71" s="4">
        <v>967.8</v>
      </c>
      <c r="AL71" s="4">
        <f ca="1">ROUND(T_Tiktok_ads[[#This Row],[conversions]]*RANDBETWEEN(8,12)/10,0)</f>
        <v>98</v>
      </c>
      <c r="AM71" s="4">
        <f ca="1">ROUND(T_Tiktok_ads[[#This Row],[video_views]]*RANDBETWEEN(8,12)/10,0)</f>
        <v>321234</v>
      </c>
      <c r="AN71" s="4">
        <f ca="1">ROUND(T_Tiktok_ads[[#This Row],[video_watch_25]]*RANDBETWEEN(8,12)/10,0)</f>
        <v>207121</v>
      </c>
      <c r="AO71" s="4">
        <f ca="1">ROUND(T_Tiktok_ads[[#This Row],[video_watch_50]]*RANDBETWEEN(8,12)/10,0)</f>
        <v>249468</v>
      </c>
      <c r="AP71" s="4">
        <f ca="1">ROUND(T_Tiktok_ads[[#This Row],[video_watch_75]]*RANDBETWEEN(8,12)/10,0)</f>
        <v>117787</v>
      </c>
      <c r="AQ71" s="4">
        <f ca="1">ROUND(T_Tiktok_ads[[#This Row],[video_watch_100]]*RANDBETWEEN(8,12)/10,0)</f>
        <v>77965</v>
      </c>
      <c r="AR71" s="4">
        <f ca="1">ROUND(T_Tiktok_ads[[#This Row],[likes]]*RANDBETWEEN(8,12)/10,0)</f>
        <v>18591</v>
      </c>
      <c r="AS71" s="4">
        <f ca="1">ROUND(T_Tiktok_ads[[#This Row],[shares]]*RANDBETWEEN(8,12)/10,0)</f>
        <v>5894</v>
      </c>
      <c r="AT71" s="4">
        <f ca="1">ROUND(T_Tiktok_ads[[#This Row],[comments]]*RANDBETWEEN(8,12)/10,0)</f>
        <v>1211</v>
      </c>
      <c r="AV71" s="5">
        <f t="shared" ca="1" si="12"/>
        <v>45267</v>
      </c>
      <c r="AW71">
        <f t="shared" ca="1" si="13"/>
        <v>7</v>
      </c>
      <c r="AX71">
        <f ca="1">ROUND(T_Facebook_Ads115963677175798387919599[[#This Row],[impressions]]*RANDBETWEEN(8,12)/10,0)</f>
        <v>70453</v>
      </c>
      <c r="AY71">
        <f ca="1">ROUND(T_Facebook_Ads115963677175798387919599[[#This Row],[clicks]]*RANDBETWEEN(8,12)/10,0)</f>
        <v>281</v>
      </c>
      <c r="AZ71">
        <f ca="1">T_Facebook_Ads115963677175798387919599[[#This Row],[spend]]*RANDBETWEEN(8,12)/10</f>
        <v>81.2</v>
      </c>
      <c r="BA71">
        <f ca="1">ROUND(T_Facebook_Ads115963677175798387919599[[#This Row],[conversions]]*RANDBETWEEN(8,12)/10,0)</f>
        <v>6</v>
      </c>
      <c r="BB71">
        <f ca="1">ROUND(T_Facebook_Ads115963677175798387919599[[#This Row],[video_views]]*RANDBETWEEN(8,12)/10,0)</f>
        <v>31368</v>
      </c>
    </row>
    <row r="72" spans="1:54" ht="15.75" thickBot="1" x14ac:dyDescent="0.3">
      <c r="A72" s="3">
        <f t="shared" ca="1" si="9"/>
        <v>45289</v>
      </c>
      <c r="B72" s="4" t="s">
        <v>52</v>
      </c>
      <c r="C72" s="4" t="s">
        <v>53</v>
      </c>
      <c r="D72" s="4" t="s">
        <v>54</v>
      </c>
      <c r="E72" s="4" t="s">
        <v>55</v>
      </c>
      <c r="F72" s="4">
        <f ca="1">ROUND(T_Facebook_Ads[[#This Row],[impressions]]*RANDBETWEEN(8,12)/10,0)</f>
        <v>33254</v>
      </c>
      <c r="G72" s="4">
        <v>823</v>
      </c>
      <c r="H72" s="4">
        <f ca="1">T_Facebook_Ads[[#This Row],[spend]]*RANDBETWEEN(8,12)/10</f>
        <v>107.01000000000002</v>
      </c>
      <c r="I72" s="4">
        <f ca="1">ROUND(T_Facebook_Ads[[#This Row],[conversions]]*RANDBETWEEN(8,12)/10,0)</f>
        <v>12</v>
      </c>
      <c r="J72" s="4">
        <f ca="1">ROUND(T_Facebook_Ads[[#This Row],[video_views]]*RANDBETWEEN(8,12)/10,0)</f>
        <v>7456</v>
      </c>
      <c r="K72" s="4">
        <f ca="1">T_Facebook_Ads[[#This Row],[engagement_rate]]*RANDBETWEEN(8,12)/10</f>
        <v>1.584E-2</v>
      </c>
      <c r="L72" s="4">
        <f ca="1">ROUND(T_Facebook_Ads[[#This Row],[reach]]*RANDBETWEEN(8,12)/10,0)</f>
        <v>38635</v>
      </c>
      <c r="M72" s="4">
        <f ca="1">T_Facebook_Ads[[#This Row],[frequency]]*RANDBETWEEN(8,12)/10</f>
        <v>1.18</v>
      </c>
      <c r="O72" s="3">
        <f t="shared" ca="1" si="10"/>
        <v>45268</v>
      </c>
      <c r="P72" s="4" t="s">
        <v>76</v>
      </c>
      <c r="Q72" s="4" t="s">
        <v>77</v>
      </c>
      <c r="R72" s="4" t="s">
        <v>78</v>
      </c>
      <c r="S72" s="4" t="s">
        <v>79</v>
      </c>
      <c r="T72" s="4">
        <f ca="1">ROUND(_Google_ads[[#This Row],[impressions]]*RANDBETWEEN(8,12)/10,0)</f>
        <v>23724</v>
      </c>
      <c r="U72" s="4">
        <f ca="1">ROUND(_Google_ads[[#This Row],[clicks]]*RANDBETWEEN(8,12)/10,0)</f>
        <v>1198</v>
      </c>
      <c r="V72" s="4">
        <f ca="1">_Google_ads[[#This Row],[cost]]*RANDBETWEEN(8,12)/10</f>
        <v>187.02</v>
      </c>
      <c r="W72" s="4">
        <f ca="1">ROUND(_Google_ads[[#This Row],[conversions]]*RANDBETWEEN(8,12)/10,0)</f>
        <v>41</v>
      </c>
      <c r="X72" s="4">
        <f ca="1">ROUND(_Google_ads[[#This Row],[conversion_value]]*RANDBETWEEN(8,12)/10,0)</f>
        <v>1640</v>
      </c>
      <c r="Y72" s="4">
        <f ca="1">_Google_ads[[#This Row],[ctr]]*RANDBETWEEN(8,12)/10</f>
        <v>5.5550000000000002E-2</v>
      </c>
      <c r="Z72" s="4">
        <f ca="1">_Google_ads[[#This Row],[avg_cpc]]*RANDBETWEEN(8,12)/10</f>
        <v>0.152</v>
      </c>
      <c r="AA72" s="4">
        <f ca="1">ROUND(_Google_ads[[#This Row],[quality_score]]*RANDBETWEEN(8,12)/10,0)</f>
        <v>8</v>
      </c>
      <c r="AB72" s="4">
        <f ca="1">_Google_ads[[#This Row],[search_impression_share]]*RANDBETWEEN(8,12)/10</f>
        <v>0.88000000000000012</v>
      </c>
      <c r="AD72" s="3">
        <f t="shared" ca="1" si="11"/>
        <v>45274</v>
      </c>
      <c r="AE72" s="4" t="s">
        <v>100</v>
      </c>
      <c r="AF72" s="4" t="s">
        <v>101</v>
      </c>
      <c r="AG72" s="4" t="s">
        <v>102</v>
      </c>
      <c r="AH72" s="4" t="s">
        <v>103</v>
      </c>
      <c r="AI72" s="4">
        <f ca="1">ROUND(T_Tiktok_ads[[#This Row],[impressions]]*RANDBETWEEN(8,12)/10,0)</f>
        <v>211110</v>
      </c>
      <c r="AJ72" s="4">
        <f ca="1">ROUND(T_Tiktok_ads[[#This Row],[clicks]]*RANDBETWEEN(8,12)/10,0)</f>
        <v>2765</v>
      </c>
      <c r="AK72" s="4">
        <v>445.7</v>
      </c>
      <c r="AL72" s="4">
        <f ca="1">ROUND(T_Tiktok_ads[[#This Row],[conversions]]*RANDBETWEEN(8,12)/10,0)</f>
        <v>27</v>
      </c>
      <c r="AM72" s="4">
        <f ca="1">ROUND(T_Tiktok_ads[[#This Row],[video_views]]*RANDBETWEEN(8,12)/10,0)</f>
        <v>175711</v>
      </c>
      <c r="AN72" s="4">
        <f ca="1">ROUND(T_Tiktok_ads[[#This Row],[video_watch_25]]*RANDBETWEEN(8,12)/10,0)</f>
        <v>168802</v>
      </c>
      <c r="AO72" s="4">
        <f ca="1">ROUND(T_Tiktok_ads[[#This Row],[video_watch_50]]*RANDBETWEEN(8,12)/10,0)</f>
        <v>76987</v>
      </c>
      <c r="AP72" s="4">
        <f ca="1">ROUND(T_Tiktok_ads[[#This Row],[video_watch_75]]*RANDBETWEEN(8,12)/10,0)</f>
        <v>78281</v>
      </c>
      <c r="AQ72" s="4">
        <f ca="1">ROUND(T_Tiktok_ads[[#This Row],[video_watch_100]]*RANDBETWEEN(8,12)/10,0)</f>
        <v>47924</v>
      </c>
      <c r="AR72" s="4">
        <f ca="1">ROUND(T_Tiktok_ads[[#This Row],[likes]]*RANDBETWEEN(8,12)/10,0)</f>
        <v>10507</v>
      </c>
      <c r="AS72" s="4">
        <f ca="1">ROUND(T_Tiktok_ads[[#This Row],[shares]]*RANDBETWEEN(8,12)/10,0)</f>
        <v>2234</v>
      </c>
      <c r="AT72" s="4">
        <f ca="1">ROUND(T_Tiktok_ads[[#This Row],[comments]]*RANDBETWEEN(8,12)/10,0)</f>
        <v>427</v>
      </c>
      <c r="AV72" s="5">
        <f t="shared" ca="1" si="12"/>
        <v>45265</v>
      </c>
      <c r="AW72">
        <f t="shared" ca="1" si="13"/>
        <v>6</v>
      </c>
      <c r="AX72">
        <f ca="1">ROUND(T_Facebook_Ads115963677175798387919599[[#This Row],[impressions]]*RANDBETWEEN(8,12)/10,0)</f>
        <v>39905</v>
      </c>
      <c r="AY72">
        <f ca="1">ROUND(T_Facebook_Ads115963677175798387919599[[#This Row],[clicks]]*RANDBETWEEN(8,12)/10,0)</f>
        <v>988</v>
      </c>
      <c r="AZ72">
        <f ca="1">T_Facebook_Ads115963677175798387919599[[#This Row],[spend]]*RANDBETWEEN(8,12)/10</f>
        <v>96.309000000000012</v>
      </c>
      <c r="BA72">
        <f ca="1">ROUND(T_Facebook_Ads115963677175798387919599[[#This Row],[conversions]]*RANDBETWEEN(8,12)/10,0)</f>
        <v>10</v>
      </c>
      <c r="BB72">
        <f ca="1">ROUND(T_Facebook_Ads115963677175798387919599[[#This Row],[video_views]]*RANDBETWEEN(8,12)/10,0)</f>
        <v>8947</v>
      </c>
    </row>
    <row r="73" spans="1:54" ht="15.75" thickBot="1" x14ac:dyDescent="0.3">
      <c r="A73" s="3">
        <f t="shared" ca="1" si="9"/>
        <v>45267</v>
      </c>
      <c r="B73" s="4" t="s">
        <v>56</v>
      </c>
      <c r="C73" s="4" t="s">
        <v>57</v>
      </c>
      <c r="D73" s="4" t="s">
        <v>58</v>
      </c>
      <c r="E73" s="4" t="s">
        <v>59</v>
      </c>
      <c r="F73" s="4">
        <f ca="1">ROUND(T_Facebook_Ads[[#This Row],[impressions]]*RANDBETWEEN(8,12)/10,0)</f>
        <v>10234</v>
      </c>
      <c r="G73" s="4">
        <v>467</v>
      </c>
      <c r="H73" s="4">
        <f ca="1">T_Facebook_Ads[[#This Row],[spend]]*RANDBETWEEN(8,12)/10</f>
        <v>142.72</v>
      </c>
      <c r="I73" s="4">
        <f ca="1">ROUND(T_Facebook_Ads[[#This Row],[conversions]]*RANDBETWEEN(8,12)/10,0)</f>
        <v>30</v>
      </c>
      <c r="J73" s="4">
        <f ca="1">ROUND(T_Facebook_Ads[[#This Row],[video_views]]*RANDBETWEEN(8,12)/10,0)</f>
        <v>945</v>
      </c>
      <c r="K73" s="4">
        <f ca="1">T_Facebook_Ads[[#This Row],[engagement_rate]]*RANDBETWEEN(8,12)/10</f>
        <v>5.4720000000000005E-2</v>
      </c>
      <c r="L73" s="4">
        <f ca="1">ROUND(T_Facebook_Ads[[#This Row],[reach]]*RANDBETWEEN(8,12)/10,0)</f>
        <v>9302</v>
      </c>
      <c r="M73" s="4">
        <f ca="1">T_Facebook_Ads[[#This Row],[frequency]]*RANDBETWEEN(8,12)/10</f>
        <v>1.089</v>
      </c>
      <c r="O73" s="3">
        <f t="shared" ca="1" si="10"/>
        <v>45275</v>
      </c>
      <c r="P73" s="4" t="s">
        <v>80</v>
      </c>
      <c r="Q73" s="4" t="s">
        <v>81</v>
      </c>
      <c r="R73" s="4" t="s">
        <v>82</v>
      </c>
      <c r="S73" s="4" t="s">
        <v>83</v>
      </c>
      <c r="T73" s="4">
        <f ca="1">ROUND(_Google_ads[[#This Row],[impressions]]*RANDBETWEEN(8,12)/10,0)</f>
        <v>31121</v>
      </c>
      <c r="U73" s="4">
        <f ca="1">ROUND(_Google_ads[[#This Row],[clicks]]*RANDBETWEEN(8,12)/10,0)</f>
        <v>856</v>
      </c>
      <c r="V73" s="4">
        <f ca="1">_Google_ads[[#This Row],[cost]]*RANDBETWEEN(8,12)/10</f>
        <v>598.43999999999994</v>
      </c>
      <c r="W73" s="4">
        <f ca="1">ROUND(_Google_ads[[#This Row],[conversions]]*RANDBETWEEN(8,12)/10,0)</f>
        <v>17</v>
      </c>
      <c r="X73" s="4">
        <f ca="1">ROUND(_Google_ads[[#This Row],[conversion_value]]*RANDBETWEEN(8,12)/10,0)</f>
        <v>1140</v>
      </c>
      <c r="Y73" s="4">
        <f ca="1">_Google_ads[[#This Row],[ctr]]*RANDBETWEEN(8,12)/10</f>
        <v>0.02</v>
      </c>
      <c r="Z73" s="4">
        <f ca="1">_Google_ads[[#This Row],[avg_cpc]]*RANDBETWEEN(8,12)/10</f>
        <v>0.64</v>
      </c>
      <c r="AA73" s="4">
        <f ca="1">ROUND(_Google_ads[[#This Row],[quality_score]]*RANDBETWEEN(8,12)/10,0)</f>
        <v>6</v>
      </c>
      <c r="AB73" s="4">
        <f ca="1">_Google_ads[[#This Row],[search_impression_share]]*RANDBETWEEN(8,12)/10</f>
        <v>0.41</v>
      </c>
      <c r="AD73" s="3">
        <f t="shared" ca="1" si="11"/>
        <v>45277</v>
      </c>
      <c r="AE73" s="4" t="s">
        <v>104</v>
      </c>
      <c r="AF73" s="4" t="s">
        <v>105</v>
      </c>
      <c r="AG73" s="4" t="s">
        <v>106</v>
      </c>
      <c r="AH73" s="4" t="s">
        <v>107</v>
      </c>
      <c r="AI73" s="4">
        <f ca="1">ROUND(T_Tiktok_ads[[#This Row],[impressions]]*RANDBETWEEN(8,12)/10,0)</f>
        <v>141791</v>
      </c>
      <c r="AJ73" s="4">
        <f ca="1">ROUND(T_Tiktok_ads[[#This Row],[clicks]]*RANDBETWEEN(8,12)/10,0)</f>
        <v>2210</v>
      </c>
      <c r="AK73" s="4">
        <v>678.9</v>
      </c>
      <c r="AL73" s="4">
        <f ca="1">ROUND(T_Tiktok_ads[[#This Row],[conversions]]*RANDBETWEEN(8,12)/10,0)</f>
        <v>80</v>
      </c>
      <c r="AM73" s="4">
        <f ca="1">ROUND(T_Tiktok_ads[[#This Row],[video_views]]*RANDBETWEEN(8,12)/10,0)</f>
        <v>107081</v>
      </c>
      <c r="AN73" s="4">
        <f ca="1">ROUND(T_Tiktok_ads[[#This Row],[video_watch_25]]*RANDBETWEEN(8,12)/10,0)</f>
        <v>67234</v>
      </c>
      <c r="AO73" s="4">
        <f ca="1">ROUND(T_Tiktok_ads[[#This Row],[video_watch_50]]*RANDBETWEEN(8,12)/10,0)</f>
        <v>54281</v>
      </c>
      <c r="AP73" s="4">
        <f ca="1">ROUND(T_Tiktok_ads[[#This Row],[video_watch_75]]*RANDBETWEEN(8,12)/10,0)</f>
        <v>30811</v>
      </c>
      <c r="AQ73" s="4">
        <f ca="1">ROUND(T_Tiktok_ads[[#This Row],[video_watch_100]]*RANDBETWEEN(8,12)/10,0)</f>
        <v>28147</v>
      </c>
      <c r="AR73" s="4">
        <f ca="1">ROUND(T_Tiktok_ads[[#This Row],[likes]]*RANDBETWEEN(8,12)/10,0)</f>
        <v>5024</v>
      </c>
      <c r="AS73" s="4">
        <f ca="1">ROUND(T_Tiktok_ads[[#This Row],[shares]]*RANDBETWEEN(8,12)/10,0)</f>
        <v>1234</v>
      </c>
      <c r="AT73" s="4">
        <f ca="1">ROUND(T_Tiktok_ads[[#This Row],[comments]]*RANDBETWEEN(8,12)/10,0)</f>
        <v>187</v>
      </c>
      <c r="AV73" s="5">
        <f t="shared" ca="1" si="12"/>
        <v>45277</v>
      </c>
      <c r="AW73">
        <f t="shared" ca="1" si="13"/>
        <v>1</v>
      </c>
      <c r="AX73">
        <f ca="1">ROUND(T_Facebook_Ads115963677175798387919599[[#This Row],[impressions]]*RANDBETWEEN(8,12)/10,0)</f>
        <v>12281</v>
      </c>
      <c r="AY73">
        <f ca="1">ROUND(T_Facebook_Ads115963677175798387919599[[#This Row],[clicks]]*RANDBETWEEN(8,12)/10,0)</f>
        <v>514</v>
      </c>
      <c r="AZ73">
        <f ca="1">T_Facebook_Ads115963677175798387919599[[#This Row],[spend]]*RANDBETWEEN(8,12)/10</f>
        <v>114.176</v>
      </c>
      <c r="BA73">
        <f ca="1">ROUND(T_Facebook_Ads115963677175798387919599[[#This Row],[conversions]]*RANDBETWEEN(8,12)/10,0)</f>
        <v>30</v>
      </c>
      <c r="BB73">
        <f ca="1">ROUND(T_Facebook_Ads115963677175798387919599[[#This Row],[video_views]]*RANDBETWEEN(8,12)/10,0)</f>
        <v>1040</v>
      </c>
    </row>
    <row r="74" spans="1:54" ht="15.75" thickBot="1" x14ac:dyDescent="0.3">
      <c r="A74" s="3">
        <f t="shared" ca="1" si="9"/>
        <v>45264</v>
      </c>
      <c r="B74" s="4" t="s">
        <v>60</v>
      </c>
      <c r="C74" s="4" t="s">
        <v>61</v>
      </c>
      <c r="D74" s="4" t="s">
        <v>62</v>
      </c>
      <c r="E74" s="4" t="s">
        <v>63</v>
      </c>
      <c r="F74" s="4">
        <f ca="1">ROUND(T_Facebook_Ads[[#This Row],[impressions]]*RANDBETWEEN(8,12)/10,0)</f>
        <v>32890</v>
      </c>
      <c r="G74" s="4">
        <v>1178</v>
      </c>
      <c r="H74" s="4">
        <f ca="1">T_Facebook_Ads[[#This Row],[spend]]*RANDBETWEEN(8,12)/10</f>
        <v>154.07999999999998</v>
      </c>
      <c r="I74" s="4">
        <f ca="1">ROUND(T_Facebook_Ads[[#This Row],[conversions]]*RANDBETWEEN(8,12)/10,0)</f>
        <v>22</v>
      </c>
      <c r="J74" s="4">
        <f ca="1">ROUND(T_Facebook_Ads[[#This Row],[video_views]]*RANDBETWEEN(8,12)/10,0)</f>
        <v>4547</v>
      </c>
      <c r="K74" s="4">
        <f ca="1">T_Facebook_Ads[[#This Row],[engagement_rate]]*RANDBETWEEN(8,12)/10</f>
        <v>4.2959999999999998E-2</v>
      </c>
      <c r="L74" s="4">
        <f ca="1">ROUND(T_Facebook_Ads[[#This Row],[reach]]*RANDBETWEEN(8,12)/10,0)</f>
        <v>24511</v>
      </c>
      <c r="M74" s="4">
        <f ca="1">T_Facebook_Ads[[#This Row],[frequency]]*RANDBETWEEN(8,12)/10</f>
        <v>1.331</v>
      </c>
      <c r="O74" s="3">
        <f t="shared" ca="1" si="10"/>
        <v>45283</v>
      </c>
      <c r="P74" s="4" t="s">
        <v>84</v>
      </c>
      <c r="Q74" s="4" t="s">
        <v>85</v>
      </c>
      <c r="R74" s="4" t="s">
        <v>86</v>
      </c>
      <c r="S74" s="4" t="s">
        <v>87</v>
      </c>
      <c r="T74" s="4">
        <f ca="1">ROUND(_Google_ads[[#This Row],[impressions]]*RANDBETWEEN(8,12)/10,0)</f>
        <v>56111</v>
      </c>
      <c r="U74" s="4">
        <f ca="1">ROUND(_Google_ads[[#This Row],[clicks]]*RANDBETWEEN(8,12)/10,0)</f>
        <v>1790</v>
      </c>
      <c r="V74" s="4">
        <f ca="1">_Google_ads[[#This Row],[cost]]*RANDBETWEEN(8,12)/10</f>
        <v>438.4799999999999</v>
      </c>
      <c r="W74" s="4">
        <f ca="1">ROUND(_Google_ads[[#This Row],[conversions]]*RANDBETWEEN(8,12)/10,0)</f>
        <v>57</v>
      </c>
      <c r="X74" s="4">
        <f ca="1">ROUND(_Google_ads[[#This Row],[conversion_value]]*RANDBETWEEN(8,12)/10,0)</f>
        <v>3420</v>
      </c>
      <c r="Y74" s="4">
        <f ca="1">_Google_ads[[#This Row],[ctr]]*RANDBETWEEN(8,12)/10</f>
        <v>2.5519999999999998E-2</v>
      </c>
      <c r="Z74" s="4">
        <f ca="1">_Google_ads[[#This Row],[avg_cpc]]*RANDBETWEEN(8,12)/10</f>
        <v>0.19800000000000001</v>
      </c>
      <c r="AA74" s="4">
        <f ca="1">ROUND(_Google_ads[[#This Row],[quality_score]]*RANDBETWEEN(8,12)/10,0)</f>
        <v>7</v>
      </c>
      <c r="AB74" s="4">
        <f ca="1">_Google_ads[[#This Row],[search_impression_share]]*RANDBETWEEN(8,12)/10</f>
        <v>0.69299999999999995</v>
      </c>
      <c r="AD74" s="3">
        <f t="shared" ca="1" si="11"/>
        <v>45274</v>
      </c>
      <c r="AE74" s="4" t="s">
        <v>108</v>
      </c>
      <c r="AF74" s="4" t="s">
        <v>109</v>
      </c>
      <c r="AG74" s="4" t="s">
        <v>110</v>
      </c>
      <c r="AH74" s="4" t="s">
        <v>111</v>
      </c>
      <c r="AI74" s="4">
        <f ca="1">ROUND(T_Tiktok_ads[[#This Row],[impressions]]*RANDBETWEEN(8,12)/10,0)</f>
        <v>201234</v>
      </c>
      <c r="AJ74" s="4">
        <f ca="1">ROUND(T_Tiktok_ads[[#This Row],[clicks]]*RANDBETWEEN(8,12)/10,0)</f>
        <v>3748</v>
      </c>
      <c r="AK74" s="4">
        <v>374.5</v>
      </c>
      <c r="AL74" s="4">
        <f ca="1">ROUND(T_Tiktok_ads[[#This Row],[conversions]]*RANDBETWEEN(8,12)/10,0)</f>
        <v>29</v>
      </c>
      <c r="AM74" s="4">
        <f ca="1">ROUND(T_Tiktok_ads[[#This Row],[video_views]]*RANDBETWEEN(8,12)/10,0)</f>
        <v>126312</v>
      </c>
      <c r="AN74" s="4">
        <f ca="1">ROUND(T_Tiktok_ads[[#This Row],[video_watch_25]]*RANDBETWEEN(8,12)/10,0)</f>
        <v>96987</v>
      </c>
      <c r="AO74" s="4">
        <f ca="1">ROUND(T_Tiktok_ads[[#This Row],[video_watch_50]]*RANDBETWEEN(8,12)/10,0)</f>
        <v>96234</v>
      </c>
      <c r="AP74" s="4">
        <f ca="1">ROUND(T_Tiktok_ads[[#This Row],[video_watch_75]]*RANDBETWEEN(8,12)/10,0)</f>
        <v>67357</v>
      </c>
      <c r="AQ74" s="4">
        <f ca="1">ROUND(T_Tiktok_ads[[#This Row],[video_watch_100]]*RANDBETWEEN(8,12)/10,0)</f>
        <v>29965</v>
      </c>
      <c r="AR74" s="4">
        <f ca="1">ROUND(T_Tiktok_ads[[#This Row],[likes]]*RANDBETWEEN(8,12)/10,0)</f>
        <v>8080</v>
      </c>
      <c r="AS74" s="4">
        <f ca="1">ROUND(T_Tiktok_ads[[#This Row],[shares]]*RANDBETWEEN(8,12)/10,0)</f>
        <v>1831</v>
      </c>
      <c r="AT74" s="4">
        <f ca="1">ROUND(T_Tiktok_ads[[#This Row],[comments]]*RANDBETWEEN(8,12)/10,0)</f>
        <v>489</v>
      </c>
      <c r="AV74" s="5">
        <f t="shared" ca="1" si="12"/>
        <v>45290</v>
      </c>
      <c r="AW74">
        <f t="shared" ca="1" si="13"/>
        <v>1</v>
      </c>
      <c r="AX74">
        <f ca="1">ROUND(T_Facebook_Ads115963677175798387919599[[#This Row],[impressions]]*RANDBETWEEN(8,12)/10,0)</f>
        <v>39468</v>
      </c>
      <c r="AY74">
        <f ca="1">ROUND(T_Facebook_Ads115963677175798387919599[[#This Row],[clicks]]*RANDBETWEEN(8,12)/10,0)</f>
        <v>1060</v>
      </c>
      <c r="AZ74">
        <f ca="1">T_Facebook_Ads115963677175798387919599[[#This Row],[spend]]*RANDBETWEEN(8,12)/10</f>
        <v>138.67199999999997</v>
      </c>
      <c r="BA74">
        <f ca="1">ROUND(T_Facebook_Ads115963677175798387919599[[#This Row],[conversions]]*RANDBETWEEN(8,12)/10,0)</f>
        <v>24</v>
      </c>
      <c r="BB74">
        <f ca="1">ROUND(T_Facebook_Ads115963677175798387919599[[#This Row],[video_views]]*RANDBETWEEN(8,12)/10,0)</f>
        <v>5456</v>
      </c>
    </row>
    <row r="75" spans="1:54" ht="15.75" thickBot="1" x14ac:dyDescent="0.3">
      <c r="A75" s="3">
        <f t="shared" ca="1" si="9"/>
        <v>45274</v>
      </c>
      <c r="B75" s="4" t="s">
        <v>64</v>
      </c>
      <c r="C75" s="4" t="s">
        <v>65</v>
      </c>
      <c r="D75" s="4" t="s">
        <v>66</v>
      </c>
      <c r="E75" s="4" t="s">
        <v>67</v>
      </c>
      <c r="F75" s="4">
        <f ca="1">ROUND(T_Facebook_Ads[[#This Row],[impressions]]*RANDBETWEEN(8,12)/10,0)</f>
        <v>68580</v>
      </c>
      <c r="G75" s="4">
        <v>223</v>
      </c>
      <c r="H75" s="4">
        <f ca="1">T_Facebook_Ads[[#This Row],[spend]]*RANDBETWEEN(8,12)/10</f>
        <v>91.559999999999988</v>
      </c>
      <c r="I75" s="4">
        <f ca="1">ROUND(T_Facebook_Ads[[#This Row],[conversions]]*RANDBETWEEN(8,12)/10,0)</f>
        <v>4</v>
      </c>
      <c r="J75" s="4">
        <f ca="1">ROUND(T_Facebook_Ads[[#This Row],[video_views]]*RANDBETWEEN(8,12)/10,0)</f>
        <v>49481</v>
      </c>
      <c r="K75" s="4">
        <f ca="1">T_Facebook_Ads[[#This Row],[engagement_rate]]*RANDBETWEEN(8,12)/10</f>
        <v>4.3200000000000001E-3</v>
      </c>
      <c r="L75" s="4">
        <f ca="1">ROUND(T_Facebook_Ads[[#This Row],[reach]]*RANDBETWEEN(8,12)/10,0)</f>
        <v>51567</v>
      </c>
      <c r="M75" s="4">
        <f ca="1">T_Facebook_Ads[[#This Row],[frequency]]*RANDBETWEEN(8,12)/10</f>
        <v>1.3199999999999998</v>
      </c>
      <c r="O75" s="3">
        <f t="shared" ca="1" si="10"/>
        <v>45268</v>
      </c>
      <c r="P75" s="4" t="s">
        <v>88</v>
      </c>
      <c r="Q75" s="4" t="s">
        <v>89</v>
      </c>
      <c r="R75" s="4" t="s">
        <v>90</v>
      </c>
      <c r="S75" s="4" t="s">
        <v>59</v>
      </c>
      <c r="T75" s="4">
        <f ca="1">ROUND(_Google_ads[[#This Row],[impressions]]*RANDBETWEEN(8,12)/10,0)</f>
        <v>118234</v>
      </c>
      <c r="U75" s="4">
        <f ca="1">ROUND(_Google_ads[[#This Row],[clicks]]*RANDBETWEEN(8,12)/10,0)</f>
        <v>423</v>
      </c>
      <c r="V75" s="4">
        <f ca="1">_Google_ads[[#This Row],[cost]]*RANDBETWEEN(8,12)/10</f>
        <v>92.960000000000008</v>
      </c>
      <c r="W75" s="4">
        <f ca="1">ROUND(_Google_ads[[#This Row],[conversions]]*RANDBETWEEN(8,12)/10,0)</f>
        <v>13</v>
      </c>
      <c r="X75" s="4">
        <f ca="1">ROUND(_Google_ads[[#This Row],[conversion_value]]*RANDBETWEEN(8,12)/10,0)</f>
        <v>440</v>
      </c>
      <c r="Y75" s="4">
        <f ca="1">_Google_ads[[#This Row],[ctr]]*RANDBETWEEN(8,12)/10</f>
        <v>2.8799999999999997E-3</v>
      </c>
      <c r="Z75" s="4">
        <f ca="1">_Google_ads[[#This Row],[avg_cpc]]*RANDBETWEEN(8,12)/10</f>
        <v>0.24300000000000002</v>
      </c>
      <c r="AA75" s="4">
        <f ca="1">ROUND(_Google_ads[[#This Row],[quality_score]]*RANDBETWEEN(8,12)/10,0)</f>
        <v>8</v>
      </c>
      <c r="AB75" s="4">
        <f ca="1">_Google_ads[[#This Row],[search_impression_share]]*RANDBETWEEN(8,12)/10</f>
        <v>0.25600000000000001</v>
      </c>
      <c r="AD75" s="3">
        <f t="shared" ca="1" si="11"/>
        <v>45282</v>
      </c>
      <c r="AE75" s="4" t="s">
        <v>112</v>
      </c>
      <c r="AF75" s="4" t="s">
        <v>113</v>
      </c>
      <c r="AG75" s="4" t="s">
        <v>114</v>
      </c>
      <c r="AH75" s="4" t="s">
        <v>115</v>
      </c>
      <c r="AI75" s="4">
        <f ca="1">ROUND(T_Tiktok_ads[[#This Row],[impressions]]*RANDBETWEEN(8,12)/10,0)</f>
        <v>294312</v>
      </c>
      <c r="AJ75" s="4">
        <f ca="1">ROUND(T_Tiktok_ads[[#This Row],[clicks]]*RANDBETWEEN(8,12)/10,0)</f>
        <v>7214</v>
      </c>
      <c r="AK75" s="4">
        <v>923.4</v>
      </c>
      <c r="AL75" s="4">
        <f ca="1">ROUND(T_Tiktok_ads[[#This Row],[conversions]]*RANDBETWEEN(8,12)/10,0)</f>
        <v>113</v>
      </c>
      <c r="AM75" s="4">
        <f ca="1">ROUND(T_Tiktok_ads[[#This Row],[video_views]]*RANDBETWEEN(8,12)/10,0)</f>
        <v>361481</v>
      </c>
      <c r="AN75" s="4">
        <f ca="1">ROUND(T_Tiktok_ads[[#This Row],[video_watch_25]]*RANDBETWEEN(8,12)/10,0)</f>
        <v>221110</v>
      </c>
      <c r="AO75" s="4">
        <f ca="1">ROUND(T_Tiktok_ads[[#This Row],[video_watch_50]]*RANDBETWEEN(8,12)/10,0)</f>
        <v>157431</v>
      </c>
      <c r="AP75" s="4">
        <f ca="1">ROUND(T_Tiktok_ads[[#This Row],[video_watch_75]]*RANDBETWEEN(8,12)/10,0)</f>
        <v>168281</v>
      </c>
      <c r="AQ75" s="4">
        <f ca="1">ROUND(T_Tiktok_ads[[#This Row],[video_watch_100]]*RANDBETWEEN(8,12)/10,0)</f>
        <v>93456</v>
      </c>
      <c r="AR75" s="4">
        <f ca="1">ROUND(T_Tiktok_ads[[#This Row],[likes]]*RANDBETWEEN(8,12)/10,0)</f>
        <v>12987</v>
      </c>
      <c r="AS75" s="4">
        <f ca="1">ROUND(T_Tiktok_ads[[#This Row],[shares]]*RANDBETWEEN(8,12)/10,0)</f>
        <v>4789</v>
      </c>
      <c r="AT75" s="4">
        <f ca="1">ROUND(T_Tiktok_ads[[#This Row],[comments]]*RANDBETWEEN(8,12)/10,0)</f>
        <v>1160</v>
      </c>
      <c r="AV75" s="5">
        <f t="shared" ca="1" si="12"/>
        <v>45268</v>
      </c>
      <c r="AW75">
        <f t="shared" ca="1" si="13"/>
        <v>4</v>
      </c>
      <c r="AX75">
        <f ca="1">ROUND(T_Facebook_Ads115963677175798387919599[[#This Row],[impressions]]*RANDBETWEEN(8,12)/10,0)</f>
        <v>68580</v>
      </c>
      <c r="AY75">
        <f ca="1">ROUND(T_Facebook_Ads115963677175798387919599[[#This Row],[clicks]]*RANDBETWEEN(8,12)/10,0)</f>
        <v>268</v>
      </c>
      <c r="AZ75">
        <f ca="1">T_Facebook_Ads115963677175798387919599[[#This Row],[spend]]*RANDBETWEEN(8,12)/10</f>
        <v>91.559999999999988</v>
      </c>
      <c r="BA75">
        <f ca="1">ROUND(T_Facebook_Ads115963677175798387919599[[#This Row],[conversions]]*RANDBETWEEN(8,12)/10,0)</f>
        <v>5</v>
      </c>
      <c r="BB75">
        <f ca="1">ROUND(T_Facebook_Ads115963677175798387919599[[#This Row],[video_views]]*RANDBETWEEN(8,12)/10,0)</f>
        <v>49481</v>
      </c>
    </row>
    <row r="76" spans="1:54" ht="15.75" thickBot="1" x14ac:dyDescent="0.3">
      <c r="A76" s="3">
        <f t="shared" ca="1" si="9"/>
        <v>45261</v>
      </c>
      <c r="B76" s="4" t="s">
        <v>52</v>
      </c>
      <c r="C76" s="4" t="s">
        <v>53</v>
      </c>
      <c r="D76" s="4" t="s">
        <v>54</v>
      </c>
      <c r="E76" s="4" t="s">
        <v>55</v>
      </c>
      <c r="F76" s="4">
        <f ca="1">ROUND(T_Facebook_Ads[[#This Row],[impressions]]*RANDBETWEEN(8,12)/10,0)</f>
        <v>36187</v>
      </c>
      <c r="G76" s="4">
        <v>912</v>
      </c>
      <c r="H76" s="4">
        <f ca="1">T_Facebook_Ads[[#This Row],[spend]]*RANDBETWEEN(8,12)/10</f>
        <v>103.84</v>
      </c>
      <c r="I76" s="4">
        <f ca="1">ROUND(T_Facebook_Ads[[#This Row],[conversions]]*RANDBETWEEN(8,12)/10,0)</f>
        <v>17</v>
      </c>
      <c r="J76" s="4">
        <f ca="1">ROUND(T_Facebook_Ads[[#This Row],[video_views]]*RANDBETWEEN(8,12)/10,0)</f>
        <v>9057</v>
      </c>
      <c r="K76" s="4">
        <f ca="1">T_Facebook_Ads[[#This Row],[engagement_rate]]*RANDBETWEEN(8,12)/10</f>
        <v>2.4240000000000001E-2</v>
      </c>
      <c r="L76" s="4">
        <f ca="1">ROUND(T_Facebook_Ads[[#This Row],[reach]]*RANDBETWEEN(8,12)/10,0)</f>
        <v>34710</v>
      </c>
      <c r="M76" s="4">
        <f ca="1">T_Facebook_Ads[[#This Row],[frequency]]*RANDBETWEEN(8,12)/10</f>
        <v>1.17</v>
      </c>
      <c r="O76" s="3">
        <f t="shared" ca="1" si="10"/>
        <v>45264</v>
      </c>
      <c r="P76" s="4" t="s">
        <v>76</v>
      </c>
      <c r="Q76" s="4" t="s">
        <v>77</v>
      </c>
      <c r="R76" s="4" t="s">
        <v>78</v>
      </c>
      <c r="S76" s="4" t="s">
        <v>79</v>
      </c>
      <c r="T76" s="4">
        <f ca="1">ROUND(_Google_ads[[#This Row],[impressions]]*RANDBETWEEN(8,12)/10,0)</f>
        <v>26657</v>
      </c>
      <c r="U76" s="4">
        <f ca="1">ROUND(_Google_ads[[#This Row],[clicks]]*RANDBETWEEN(8,12)/10,0)</f>
        <v>1267</v>
      </c>
      <c r="V76" s="4">
        <f ca="1">_Google_ads[[#This Row],[cost]]*RANDBETWEEN(8,12)/10</f>
        <v>192.95999999999998</v>
      </c>
      <c r="W76" s="4">
        <f ca="1">ROUND(_Google_ads[[#This Row],[conversions]]*RANDBETWEEN(8,12)/10,0)</f>
        <v>38</v>
      </c>
      <c r="X76" s="4">
        <f ca="1">ROUND(_Google_ads[[#This Row],[conversion_value]]*RANDBETWEEN(8,12)/10,0)</f>
        <v>2350</v>
      </c>
      <c r="Y76" s="4">
        <f ca="1">_Google_ads[[#This Row],[ctr]]*RANDBETWEEN(8,12)/10</f>
        <v>5.7530000000000005E-2</v>
      </c>
      <c r="Z76" s="4">
        <f ca="1">_Google_ads[[#This Row],[avg_cpc]]*RANDBETWEEN(8,12)/10</f>
        <v>0.17099999999999999</v>
      </c>
      <c r="AA76" s="4">
        <f ca="1">ROUND(_Google_ads[[#This Row],[quality_score]]*RANDBETWEEN(8,12)/10,0)</f>
        <v>10</v>
      </c>
      <c r="AB76" s="4">
        <f ca="1">_Google_ads[[#This Row],[search_impression_share]]*RANDBETWEEN(8,12)/10</f>
        <v>0.72799999999999998</v>
      </c>
      <c r="AD76" s="3">
        <f t="shared" ca="1" si="11"/>
        <v>45273</v>
      </c>
      <c r="AE76" s="4" t="s">
        <v>100</v>
      </c>
      <c r="AF76" s="4" t="s">
        <v>101</v>
      </c>
      <c r="AG76" s="4" t="s">
        <v>102</v>
      </c>
      <c r="AH76" s="4" t="s">
        <v>103</v>
      </c>
      <c r="AI76" s="4">
        <f ca="1">ROUND(T_Tiktok_ads[[#This Row],[impressions]]*RANDBETWEEN(8,12)/10,0)</f>
        <v>294679</v>
      </c>
      <c r="AJ76" s="4">
        <f ca="1">ROUND(T_Tiktok_ads[[#This Row],[clicks]]*RANDBETWEEN(8,12)/10,0)</f>
        <v>4340</v>
      </c>
      <c r="AK76" s="4">
        <v>523.4</v>
      </c>
      <c r="AL76" s="4">
        <f ca="1">ROUND(T_Tiktok_ads[[#This Row],[conversions]]*RANDBETWEEN(8,12)/10,0)</f>
        <v>40</v>
      </c>
      <c r="AM76" s="4">
        <f ca="1">ROUND(T_Tiktok_ads[[#This Row],[video_views]]*RANDBETWEEN(8,12)/10,0)</f>
        <v>265481</v>
      </c>
      <c r="AN76" s="4">
        <f ca="1">ROUND(T_Tiktok_ads[[#This Row],[video_watch_25]]*RANDBETWEEN(8,12)/10,0)</f>
        <v>173456</v>
      </c>
      <c r="AO76" s="4">
        <f ca="1">ROUND(T_Tiktok_ads[[#This Row],[video_watch_50]]*RANDBETWEEN(8,12)/10,0)</f>
        <v>98311</v>
      </c>
      <c r="AP76" s="4">
        <f ca="1">ROUND(T_Tiktok_ads[[#This Row],[video_watch_75]]*RANDBETWEEN(8,12)/10,0)</f>
        <v>88280</v>
      </c>
      <c r="AQ76" s="4">
        <f ca="1">ROUND(T_Tiktok_ads[[#This Row],[video_watch_100]]*RANDBETWEEN(8,12)/10,0)</f>
        <v>49234</v>
      </c>
      <c r="AR76" s="4">
        <f ca="1">ROUND(T_Tiktok_ads[[#This Row],[likes]]*RANDBETWEEN(8,12)/10,0)</f>
        <v>9789</v>
      </c>
      <c r="AS76" s="4">
        <f ca="1">ROUND(T_Tiktok_ads[[#This Row],[shares]]*RANDBETWEEN(8,12)/10,0)</f>
        <v>2107</v>
      </c>
      <c r="AT76" s="4">
        <f ca="1">ROUND(T_Tiktok_ads[[#This Row],[comments]]*RANDBETWEEN(8,12)/10,0)</f>
        <v>685</v>
      </c>
      <c r="AV76" s="5">
        <f t="shared" ca="1" si="12"/>
        <v>45263</v>
      </c>
      <c r="AW76">
        <f t="shared" ca="1" si="13"/>
        <v>4</v>
      </c>
      <c r="AX76">
        <f ca="1">ROUND(T_Facebook_Ads115963677175798387919599[[#This Row],[impressions]]*RANDBETWEEN(8,12)/10,0)</f>
        <v>28950</v>
      </c>
      <c r="AY76">
        <f ca="1">ROUND(T_Facebook_Ads115963677175798387919599[[#This Row],[clicks]]*RANDBETWEEN(8,12)/10,0)</f>
        <v>912</v>
      </c>
      <c r="AZ76">
        <f ca="1">T_Facebook_Ads115963677175798387919599[[#This Row],[spend]]*RANDBETWEEN(8,12)/10</f>
        <v>93.456000000000003</v>
      </c>
      <c r="BA76">
        <f ca="1">ROUND(T_Facebook_Ads115963677175798387919599[[#This Row],[conversions]]*RANDBETWEEN(8,12)/10,0)</f>
        <v>14</v>
      </c>
      <c r="BB76">
        <f ca="1">ROUND(T_Facebook_Ads115963677175798387919599[[#This Row],[video_views]]*RANDBETWEEN(8,12)/10,0)</f>
        <v>9057</v>
      </c>
    </row>
    <row r="77" spans="1:54" ht="15.75" thickBot="1" x14ac:dyDescent="0.3">
      <c r="A77" s="3">
        <f t="shared" ca="1" si="9"/>
        <v>45263</v>
      </c>
      <c r="B77" s="4" t="s">
        <v>56</v>
      </c>
      <c r="C77" s="4" t="s">
        <v>57</v>
      </c>
      <c r="D77" s="4" t="s">
        <v>58</v>
      </c>
      <c r="E77" s="4" t="s">
        <v>59</v>
      </c>
      <c r="F77" s="4">
        <f ca="1">ROUND(T_Facebook_Ads[[#This Row],[impressions]]*RANDBETWEEN(8,12)/10,0)</f>
        <v>12456</v>
      </c>
      <c r="G77" s="4">
        <v>567</v>
      </c>
      <c r="H77" s="4">
        <f ca="1">T_Facebook_Ads[[#This Row],[spend]]*RANDBETWEEN(8,12)/10</f>
        <v>209.6</v>
      </c>
      <c r="I77" s="4">
        <f ca="1">ROUND(T_Facebook_Ads[[#This Row],[conversions]]*RANDBETWEEN(8,12)/10,0)</f>
        <v>29</v>
      </c>
      <c r="J77" s="4">
        <f ca="1">ROUND(T_Facebook_Ads[[#This Row],[video_views]]*RANDBETWEEN(8,12)/10,0)</f>
        <v>1234</v>
      </c>
      <c r="K77" s="4">
        <f ca="1">T_Facebook_Ads[[#This Row],[engagement_rate]]*RANDBETWEEN(8,12)/10</f>
        <v>5.0049999999999997E-2</v>
      </c>
      <c r="L77" s="4">
        <f ca="1">ROUND(T_Facebook_Ads[[#This Row],[reach]]*RANDBETWEEN(8,12)/10,0)</f>
        <v>9876</v>
      </c>
      <c r="M77" s="4">
        <f ca="1">T_Facebook_Ads[[#This Row],[frequency]]*RANDBETWEEN(8,12)/10</f>
        <v>1.26</v>
      </c>
      <c r="O77" s="3">
        <f t="shared" ca="1" si="10"/>
        <v>45268</v>
      </c>
      <c r="P77" s="4" t="s">
        <v>80</v>
      </c>
      <c r="Q77" s="4" t="s">
        <v>81</v>
      </c>
      <c r="R77" s="4" t="s">
        <v>82</v>
      </c>
      <c r="S77" s="4" t="s">
        <v>83</v>
      </c>
      <c r="T77" s="4">
        <f ca="1">ROUND(_Google_ads[[#This Row],[impressions]]*RANDBETWEEN(8,12)/10,0)</f>
        <v>42890</v>
      </c>
      <c r="U77" s="4">
        <f ca="1">ROUND(_Google_ads[[#This Row],[clicks]]*RANDBETWEEN(8,12)/10,0)</f>
        <v>930</v>
      </c>
      <c r="V77" s="4">
        <f ca="1">_Google_ads[[#This Row],[cost]]*RANDBETWEEN(8,12)/10</f>
        <v>494.37</v>
      </c>
      <c r="W77" s="4">
        <f ca="1">ROUND(_Google_ads[[#This Row],[conversions]]*RANDBETWEEN(8,12)/10,0)</f>
        <v>22</v>
      </c>
      <c r="X77" s="4">
        <f ca="1">ROUND(_Google_ads[[#This Row],[conversion_value]]*RANDBETWEEN(8,12)/10,0)</f>
        <v>880</v>
      </c>
      <c r="Y77" s="4">
        <f ca="1">_Google_ads[[#This Row],[ctr]]*RANDBETWEEN(8,12)/10</f>
        <v>1.9699999999999999E-2</v>
      </c>
      <c r="Z77" s="4">
        <f ca="1">_Google_ads[[#This Row],[avg_cpc]]*RANDBETWEEN(8,12)/10</f>
        <v>0.78</v>
      </c>
      <c r="AA77" s="4">
        <f ca="1">ROUND(_Google_ads[[#This Row],[quality_score]]*RANDBETWEEN(8,12)/10,0)</f>
        <v>6</v>
      </c>
      <c r="AB77" s="4">
        <f ca="1">_Google_ads[[#This Row],[search_impression_share]]*RANDBETWEEN(8,12)/10</f>
        <v>0.39600000000000002</v>
      </c>
      <c r="AD77" s="3">
        <f t="shared" ca="1" si="11"/>
        <v>45281</v>
      </c>
      <c r="AE77" s="4" t="s">
        <v>104</v>
      </c>
      <c r="AF77" s="4" t="s">
        <v>105</v>
      </c>
      <c r="AG77" s="4" t="s">
        <v>106</v>
      </c>
      <c r="AH77" s="4" t="s">
        <v>107</v>
      </c>
      <c r="AI77" s="4">
        <f ca="1">ROUND(T_Tiktok_ads[[#This Row],[impressions]]*RANDBETWEEN(8,12)/10,0)</f>
        <v>134011</v>
      </c>
      <c r="AJ77" s="4">
        <f ca="1">ROUND(T_Tiktok_ads[[#This Row],[clicks]]*RANDBETWEEN(8,12)/10,0)</f>
        <v>2834</v>
      </c>
      <c r="AK77" s="4">
        <v>767.5</v>
      </c>
      <c r="AL77" s="4">
        <f ca="1">ROUND(T_Tiktok_ads[[#This Row],[conversions]]*RANDBETWEEN(8,12)/10,0)</f>
        <v>62</v>
      </c>
      <c r="AM77" s="4">
        <f ca="1">ROUND(T_Tiktok_ads[[#This Row],[video_views]]*RANDBETWEEN(8,12)/10,0)</f>
        <v>93110</v>
      </c>
      <c r="AN77" s="4">
        <f ca="1">ROUND(T_Tiktok_ads[[#This Row],[video_watch_25]]*RANDBETWEEN(8,12)/10,0)</f>
        <v>83857</v>
      </c>
      <c r="AO77" s="4">
        <f ca="1">ROUND(T_Tiktok_ads[[#This Row],[video_watch_50]]*RANDBETWEEN(8,12)/10,0)</f>
        <v>51234</v>
      </c>
      <c r="AP77" s="4">
        <f ca="1">ROUND(T_Tiktok_ads[[#This Row],[video_watch_75]]*RANDBETWEEN(8,12)/10,0)</f>
        <v>46280</v>
      </c>
      <c r="AQ77" s="4">
        <f ca="1">ROUND(T_Tiktok_ads[[#This Row],[video_watch_100]]*RANDBETWEEN(8,12)/10,0)</f>
        <v>28368</v>
      </c>
      <c r="AR77" s="4">
        <f ca="1">ROUND(T_Tiktok_ads[[#This Row],[likes]]*RANDBETWEEN(8,12)/10,0)</f>
        <v>6148</v>
      </c>
      <c r="AS77" s="4">
        <f ca="1">ROUND(T_Tiktok_ads[[#This Row],[shares]]*RANDBETWEEN(8,12)/10,0)</f>
        <v>1747</v>
      </c>
      <c r="AT77" s="4">
        <f ca="1">ROUND(T_Tiktok_ads[[#This Row],[comments]]*RANDBETWEEN(8,12)/10,0)</f>
        <v>306</v>
      </c>
      <c r="AV77" s="5">
        <f t="shared" ca="1" si="12"/>
        <v>45268</v>
      </c>
      <c r="AW77">
        <f t="shared" ca="1" si="13"/>
        <v>4</v>
      </c>
      <c r="AX77">
        <f ca="1">ROUND(T_Facebook_Ads115963677175798387919599[[#This Row],[impressions]]*RANDBETWEEN(8,12)/10,0)</f>
        <v>12456</v>
      </c>
      <c r="AY77">
        <f ca="1">ROUND(T_Facebook_Ads115963677175798387919599[[#This Row],[clicks]]*RANDBETWEEN(8,12)/10,0)</f>
        <v>567</v>
      </c>
      <c r="AZ77">
        <f ca="1">T_Facebook_Ads115963677175798387919599[[#This Row],[spend]]*RANDBETWEEN(8,12)/10</f>
        <v>209.6</v>
      </c>
      <c r="BA77">
        <f ca="1">ROUND(T_Facebook_Ads115963677175798387919599[[#This Row],[conversions]]*RANDBETWEEN(8,12)/10,0)</f>
        <v>29</v>
      </c>
      <c r="BB77">
        <f ca="1">ROUND(T_Facebook_Ads115963677175798387919599[[#This Row],[video_views]]*RANDBETWEEN(8,12)/10,0)</f>
        <v>1481</v>
      </c>
    </row>
    <row r="78" spans="1:54" ht="15.75" thickBot="1" x14ac:dyDescent="0.3">
      <c r="A78" s="3">
        <f t="shared" ca="1" si="9"/>
        <v>45272</v>
      </c>
      <c r="B78" s="4" t="s">
        <v>60</v>
      </c>
      <c r="C78" s="4" t="s">
        <v>61</v>
      </c>
      <c r="D78" s="4" t="s">
        <v>62</v>
      </c>
      <c r="E78" s="4" t="s">
        <v>63</v>
      </c>
      <c r="F78" s="4">
        <f ca="1">ROUND(T_Facebook_Ads[[#This Row],[impressions]]*RANDBETWEEN(8,12)/10,0)</f>
        <v>42148</v>
      </c>
      <c r="G78" s="4">
        <v>1267</v>
      </c>
      <c r="H78" s="4">
        <f ca="1">T_Facebook_Ads[[#This Row],[spend]]*RANDBETWEEN(8,12)/10</f>
        <v>213.95</v>
      </c>
      <c r="I78" s="4">
        <f ca="1">ROUND(T_Facebook_Ads[[#This Row],[conversions]]*RANDBETWEEN(8,12)/10,0)</f>
        <v>29</v>
      </c>
      <c r="J78" s="4">
        <f ca="1">ROUND(T_Facebook_Ads[[#This Row],[video_views]]*RANDBETWEEN(8,12)/10,0)</f>
        <v>5214</v>
      </c>
      <c r="K78" s="4">
        <f ca="1">T_Facebook_Ads[[#This Row],[engagement_rate]]*RANDBETWEEN(8,12)/10</f>
        <v>2.8879999999999999E-2</v>
      </c>
      <c r="L78" s="4">
        <f ca="1">ROUND(T_Facebook_Ads[[#This Row],[reach]]*RANDBETWEEN(8,12)/10,0)</f>
        <v>29123</v>
      </c>
      <c r="M78" s="4">
        <f ca="1">T_Facebook_Ads[[#This Row],[frequency]]*RANDBETWEEN(8,12)/10</f>
        <v>1.452</v>
      </c>
      <c r="O78" s="3">
        <f t="shared" ca="1" si="10"/>
        <v>45271</v>
      </c>
      <c r="P78" s="4" t="s">
        <v>84</v>
      </c>
      <c r="Q78" s="4" t="s">
        <v>85</v>
      </c>
      <c r="R78" s="4" t="s">
        <v>86</v>
      </c>
      <c r="S78" s="4" t="s">
        <v>87</v>
      </c>
      <c r="T78" s="4">
        <f ca="1">ROUND(_Google_ads[[#This Row],[impressions]]*RANDBETWEEN(8,12)/10,0)</f>
        <v>66789</v>
      </c>
      <c r="U78" s="4">
        <f ca="1">ROUND(_Google_ads[[#This Row],[clicks]]*RANDBETWEEN(8,12)/10,0)</f>
        <v>1778</v>
      </c>
      <c r="V78" s="4">
        <f ca="1">_Google_ads[[#This Row],[cost]]*RANDBETWEEN(8,12)/10</f>
        <v>448.68999999999994</v>
      </c>
      <c r="W78" s="4">
        <f ca="1">ROUND(_Google_ads[[#This Row],[conversions]]*RANDBETWEEN(8,12)/10,0)</f>
        <v>70</v>
      </c>
      <c r="X78" s="4">
        <f ca="1">ROUND(_Google_ads[[#This Row],[conversion_value]]*RANDBETWEEN(8,12)/10,0)</f>
        <v>3200</v>
      </c>
      <c r="Y78" s="4">
        <f ca="1">_Google_ads[[#This Row],[ctr]]*RANDBETWEEN(8,12)/10</f>
        <v>3.6630000000000003E-2</v>
      </c>
      <c r="Z78" s="4">
        <f ca="1">_Google_ads[[#This Row],[avg_cpc]]*RANDBETWEEN(8,12)/10</f>
        <v>0.14399999999999999</v>
      </c>
      <c r="AA78" s="4">
        <f ca="1">ROUND(_Google_ads[[#This Row],[quality_score]]*RANDBETWEEN(8,12)/10,0)</f>
        <v>6</v>
      </c>
      <c r="AB78" s="4">
        <f ca="1">_Google_ads[[#This Row],[search_impression_share]]*RANDBETWEEN(8,12)/10</f>
        <v>0.79200000000000004</v>
      </c>
      <c r="AD78" s="3">
        <f t="shared" ca="1" si="11"/>
        <v>45286</v>
      </c>
      <c r="AE78" s="4" t="s">
        <v>108</v>
      </c>
      <c r="AF78" s="4" t="s">
        <v>109</v>
      </c>
      <c r="AG78" s="4" t="s">
        <v>110</v>
      </c>
      <c r="AH78" s="4" t="s">
        <v>111</v>
      </c>
      <c r="AI78" s="4">
        <f ca="1">ROUND(T_Tiktok_ads[[#This Row],[impressions]]*RANDBETWEEN(8,12)/10,0)</f>
        <v>228901</v>
      </c>
      <c r="AJ78" s="4">
        <f ca="1">ROUND(T_Tiktok_ads[[#This Row],[clicks]]*RANDBETWEEN(8,12)/10,0)</f>
        <v>3634</v>
      </c>
      <c r="AK78" s="4">
        <v>441.9</v>
      </c>
      <c r="AL78" s="4">
        <f ca="1">ROUND(T_Tiktok_ads[[#This Row],[conversions]]*RANDBETWEEN(8,12)/10,0)</f>
        <v>25</v>
      </c>
      <c r="AM78" s="4">
        <f ca="1">ROUND(T_Tiktok_ads[[#This Row],[video_views]]*RANDBETWEEN(8,12)/10,0)</f>
        <v>200580</v>
      </c>
      <c r="AN78" s="4">
        <f ca="1">ROUND(T_Tiktok_ads[[#This Row],[video_watch_25]]*RANDBETWEEN(8,12)/10,0)</f>
        <v>137890</v>
      </c>
      <c r="AO78" s="4">
        <f ca="1">ROUND(T_Tiktok_ads[[#This Row],[video_watch_50]]*RANDBETWEEN(8,12)/10,0)</f>
        <v>119791</v>
      </c>
      <c r="AP78" s="4">
        <f ca="1">ROUND(T_Tiktok_ads[[#This Row],[video_watch_75]]*RANDBETWEEN(8,12)/10,0)</f>
        <v>70567</v>
      </c>
      <c r="AQ78" s="4">
        <f ca="1">ROUND(T_Tiktok_ads[[#This Row],[video_watch_100]]*RANDBETWEEN(8,12)/10,0)</f>
        <v>38510</v>
      </c>
      <c r="AR78" s="4">
        <f ca="1">ROUND(T_Tiktok_ads[[#This Row],[likes]]*RANDBETWEEN(8,12)/10,0)</f>
        <v>7610</v>
      </c>
      <c r="AS78" s="4">
        <f ca="1">ROUND(T_Tiktok_ads[[#This Row],[shares]]*RANDBETWEEN(8,12)/10,0)</f>
        <v>2531</v>
      </c>
      <c r="AT78" s="4">
        <f ca="1">ROUND(T_Tiktok_ads[[#This Row],[comments]]*RANDBETWEEN(8,12)/10,0)</f>
        <v>491</v>
      </c>
      <c r="AV78" s="5">
        <f t="shared" ca="1" si="12"/>
        <v>45289</v>
      </c>
      <c r="AW78">
        <f t="shared" ca="1" si="13"/>
        <v>4</v>
      </c>
      <c r="AX78">
        <f ca="1">ROUND(T_Facebook_Ads115963677175798387919599[[#This Row],[impressions]]*RANDBETWEEN(8,12)/10,0)</f>
        <v>50578</v>
      </c>
      <c r="AY78">
        <f ca="1">ROUND(T_Facebook_Ads115963677175798387919599[[#This Row],[clicks]]*RANDBETWEEN(8,12)/10,0)</f>
        <v>1140</v>
      </c>
      <c r="AZ78">
        <f ca="1">T_Facebook_Ads115963677175798387919599[[#This Row],[spend]]*RANDBETWEEN(8,12)/10</f>
        <v>256.73999999999995</v>
      </c>
      <c r="BA78">
        <f ca="1">ROUND(T_Facebook_Ads115963677175798387919599[[#This Row],[conversions]]*RANDBETWEEN(8,12)/10,0)</f>
        <v>23</v>
      </c>
      <c r="BB78">
        <f ca="1">ROUND(T_Facebook_Ads115963677175798387919599[[#This Row],[video_views]]*RANDBETWEEN(8,12)/10,0)</f>
        <v>4693</v>
      </c>
    </row>
    <row r="79" spans="1:54" ht="15.75" thickBot="1" x14ac:dyDescent="0.3">
      <c r="A79" s="3">
        <f t="shared" ca="1" si="9"/>
        <v>45267</v>
      </c>
      <c r="B79" s="4" t="s">
        <v>64</v>
      </c>
      <c r="C79" s="4" t="s">
        <v>65</v>
      </c>
      <c r="D79" s="4" t="s">
        <v>66</v>
      </c>
      <c r="E79" s="4" t="s">
        <v>67</v>
      </c>
      <c r="F79" s="4">
        <f ca="1">ROUND(T_Facebook_Ads[[#This Row],[impressions]]*RANDBETWEEN(8,12)/10,0)</f>
        <v>66789</v>
      </c>
      <c r="G79" s="4">
        <v>245</v>
      </c>
      <c r="H79" s="4">
        <f ca="1">T_Facebook_Ads[[#This Row],[spend]]*RANDBETWEEN(8,12)/10</f>
        <v>67.760000000000005</v>
      </c>
      <c r="I79" s="4">
        <f ca="1">ROUND(T_Facebook_Ads[[#This Row],[conversions]]*RANDBETWEEN(8,12)/10,0)</f>
        <v>5</v>
      </c>
      <c r="J79" s="4">
        <f ca="1">ROUND(T_Facebook_Ads[[#This Row],[video_views]]*RANDBETWEEN(8,12)/10,0)</f>
        <v>35654</v>
      </c>
      <c r="K79" s="4">
        <f ca="1">T_Facebook_Ads[[#This Row],[engagement_rate]]*RANDBETWEEN(8,12)/10</f>
        <v>4.4400000000000004E-3</v>
      </c>
      <c r="L79" s="4">
        <f ca="1">ROUND(T_Facebook_Ads[[#This Row],[reach]]*RANDBETWEEN(8,12)/10,0)</f>
        <v>60379</v>
      </c>
      <c r="M79" s="4">
        <f ca="1">T_Facebook_Ads[[#This Row],[frequency]]*RANDBETWEEN(8,12)/10</f>
        <v>1.464</v>
      </c>
      <c r="O79" s="3">
        <f t="shared" ca="1" si="10"/>
        <v>45278</v>
      </c>
      <c r="P79" s="4" t="s">
        <v>88</v>
      </c>
      <c r="Q79" s="4" t="s">
        <v>89</v>
      </c>
      <c r="R79" s="4" t="s">
        <v>90</v>
      </c>
      <c r="S79" s="4" t="s">
        <v>59</v>
      </c>
      <c r="T79" s="4">
        <f ca="1">ROUND(_Google_ads[[#This Row],[impressions]]*RANDBETWEEN(8,12)/10,0)</f>
        <v>140679</v>
      </c>
      <c r="U79" s="4">
        <f ca="1">ROUND(_Google_ads[[#This Row],[clicks]]*RANDBETWEEN(8,12)/10,0)</f>
        <v>365</v>
      </c>
      <c r="V79" s="4">
        <f ca="1">_Google_ads[[#This Row],[cost]]*RANDBETWEEN(8,12)/10</f>
        <v>100.47999999999999</v>
      </c>
      <c r="W79" s="4">
        <f ca="1">ROUND(_Google_ads[[#This Row],[conversions]]*RANDBETWEEN(8,12)/10,0)</f>
        <v>13</v>
      </c>
      <c r="X79" s="4">
        <f ca="1">ROUND(_Google_ads[[#This Row],[conversion_value]]*RANDBETWEEN(8,12)/10,0)</f>
        <v>650</v>
      </c>
      <c r="Y79" s="4">
        <f ca="1">_Google_ads[[#This Row],[ctr]]*RANDBETWEEN(8,12)/10</f>
        <v>3.96E-3</v>
      </c>
      <c r="Z79" s="4">
        <f ca="1">_Google_ads[[#This Row],[avg_cpc]]*RANDBETWEEN(8,12)/10</f>
        <v>0.308</v>
      </c>
      <c r="AA79" s="4">
        <f ca="1">ROUND(_Google_ads[[#This Row],[quality_score]]*RANDBETWEEN(8,12)/10,0)</f>
        <v>6</v>
      </c>
      <c r="AB79" s="4">
        <f ca="1">_Google_ads[[#This Row],[search_impression_share]]*RANDBETWEEN(8,12)/10</f>
        <v>0.40800000000000003</v>
      </c>
      <c r="AD79" s="3">
        <f t="shared" ca="1" si="11"/>
        <v>45275</v>
      </c>
      <c r="AE79" s="4" t="s">
        <v>112</v>
      </c>
      <c r="AF79" s="4" t="s">
        <v>113</v>
      </c>
      <c r="AG79" s="4" t="s">
        <v>114</v>
      </c>
      <c r="AH79" s="4" t="s">
        <v>115</v>
      </c>
      <c r="AI79" s="4">
        <f ca="1">ROUND(T_Tiktok_ads[[#This Row],[impressions]]*RANDBETWEEN(8,12)/10,0)</f>
        <v>478280</v>
      </c>
      <c r="AJ79" s="4">
        <f ca="1">ROUND(T_Tiktok_ads[[#This Row],[clicks]]*RANDBETWEEN(8,12)/10,0)</f>
        <v>7841</v>
      </c>
      <c r="AK79" s="4">
        <v>998.7</v>
      </c>
      <c r="AL79" s="4">
        <f ca="1">ROUND(T_Tiktok_ads[[#This Row],[conversions]]*RANDBETWEEN(8,12)/10,0)</f>
        <v>118</v>
      </c>
      <c r="AM79" s="4">
        <f ca="1">ROUND(T_Tiktok_ads[[#This Row],[video_views]]*RANDBETWEEN(8,12)/10,0)</f>
        <v>299111</v>
      </c>
      <c r="AN79" s="4">
        <f ca="1">ROUND(T_Tiktok_ads[[#This Row],[video_watch_25]]*RANDBETWEEN(8,12)/10,0)</f>
        <v>267890</v>
      </c>
      <c r="AO79" s="4">
        <f ca="1">ROUND(T_Tiktok_ads[[#This Row],[video_watch_50]]*RANDBETWEEN(8,12)/10,0)</f>
        <v>214567</v>
      </c>
      <c r="AP79" s="4">
        <f ca="1">ROUND(T_Tiktok_ads[[#This Row],[video_watch_75]]*RANDBETWEEN(8,12)/10,0)</f>
        <v>181481</v>
      </c>
      <c r="AQ79" s="4">
        <f ca="1">ROUND(T_Tiktok_ads[[#This Row],[video_watch_100]]*RANDBETWEEN(8,12)/10,0)</f>
        <v>89610</v>
      </c>
      <c r="AR79" s="4">
        <f ca="1">ROUND(T_Tiktok_ads[[#This Row],[likes]]*RANDBETWEEN(8,12)/10,0)</f>
        <v>15980</v>
      </c>
      <c r="AS79" s="4">
        <f ca="1">ROUND(T_Tiktok_ads[[#This Row],[shares]]*RANDBETWEEN(8,12)/10,0)</f>
        <v>4010</v>
      </c>
      <c r="AT79" s="4">
        <f ca="1">ROUND(T_Tiktok_ads[[#This Row],[comments]]*RANDBETWEEN(8,12)/10,0)</f>
        <v>1111</v>
      </c>
      <c r="AV79" s="5">
        <f t="shared" ca="1" si="12"/>
        <v>45286</v>
      </c>
      <c r="AW79">
        <f t="shared" ca="1" si="13"/>
        <v>6</v>
      </c>
      <c r="AX79">
        <f ca="1">ROUND(T_Facebook_Ads115963677175798387919599[[#This Row],[impressions]]*RANDBETWEEN(8,12)/10,0)</f>
        <v>73468</v>
      </c>
      <c r="AY79">
        <f ca="1">ROUND(T_Facebook_Ads115963677175798387919599[[#This Row],[clicks]]*RANDBETWEEN(8,12)/10,0)</f>
        <v>245</v>
      </c>
      <c r="AZ79">
        <f ca="1">T_Facebook_Ads115963677175798387919599[[#This Row],[spend]]*RANDBETWEEN(8,12)/10</f>
        <v>81.312000000000012</v>
      </c>
      <c r="BA79">
        <f ca="1">ROUND(T_Facebook_Ads115963677175798387919599[[#This Row],[conversions]]*RANDBETWEEN(8,12)/10,0)</f>
        <v>4</v>
      </c>
      <c r="BB79">
        <f ca="1">ROUND(T_Facebook_Ads115963677175798387919599[[#This Row],[video_views]]*RANDBETWEEN(8,12)/10,0)</f>
        <v>32089</v>
      </c>
    </row>
    <row r="80" spans="1:54" ht="15.75" thickBot="1" x14ac:dyDescent="0.3">
      <c r="A80" s="3">
        <f t="shared" ca="1" si="9"/>
        <v>45264</v>
      </c>
      <c r="B80" s="4" t="s">
        <v>52</v>
      </c>
      <c r="C80" s="4" t="s">
        <v>53</v>
      </c>
      <c r="D80" s="4" t="s">
        <v>54</v>
      </c>
      <c r="E80" s="4" t="s">
        <v>55</v>
      </c>
      <c r="F80" s="4">
        <f ca="1">ROUND(T_Facebook_Ads[[#This Row],[impressions]]*RANDBETWEEN(8,12)/10,0)</f>
        <v>53424</v>
      </c>
      <c r="G80" s="4">
        <v>989</v>
      </c>
      <c r="H80" s="4">
        <f ca="1">T_Facebook_Ads[[#This Row],[spend]]*RANDBETWEEN(8,12)/10</f>
        <v>154.33000000000001</v>
      </c>
      <c r="I80" s="4">
        <f ca="1">ROUND(T_Facebook_Ads[[#This Row],[conversions]]*RANDBETWEEN(8,12)/10,0)</f>
        <v>15</v>
      </c>
      <c r="J80" s="4">
        <f ca="1">ROUND(T_Facebook_Ads[[#This Row],[video_views]]*RANDBETWEEN(8,12)/10,0)</f>
        <v>10734</v>
      </c>
      <c r="K80" s="4">
        <f ca="1">T_Facebook_Ads[[#This Row],[engagement_rate]]*RANDBETWEEN(8,12)/10</f>
        <v>2.0400000000000001E-2</v>
      </c>
      <c r="L80" s="4">
        <f ca="1">ROUND(T_Facebook_Ads[[#This Row],[reach]]*RANDBETWEEN(8,12)/10,0)</f>
        <v>40456</v>
      </c>
      <c r="M80" s="4">
        <f ca="1">T_Facebook_Ads[[#This Row],[frequency]]*RANDBETWEEN(8,12)/10</f>
        <v>1.3199999999999998</v>
      </c>
      <c r="O80" s="3">
        <f t="shared" ca="1" si="10"/>
        <v>45265</v>
      </c>
      <c r="P80" s="4" t="s">
        <v>76</v>
      </c>
      <c r="Q80" s="4" t="s">
        <v>77</v>
      </c>
      <c r="R80" s="4" t="s">
        <v>78</v>
      </c>
      <c r="S80" s="4" t="s">
        <v>79</v>
      </c>
      <c r="T80" s="4">
        <f ca="1">ROUND(_Google_ads[[#This Row],[impressions]]*RANDBETWEEN(8,12)/10,0)</f>
        <v>30814</v>
      </c>
      <c r="U80" s="4">
        <f ca="1">ROUND(_Google_ads[[#This Row],[clicks]]*RANDBETWEEN(8,12)/10,0)</f>
        <v>1356</v>
      </c>
      <c r="V80" s="4">
        <f ca="1">_Google_ads[[#This Row],[cost]]*RANDBETWEEN(8,12)/10</f>
        <v>259.39999999999998</v>
      </c>
      <c r="W80" s="4">
        <f ca="1">ROUND(_Google_ads[[#This Row],[conversions]]*RANDBETWEEN(8,12)/10,0)</f>
        <v>41</v>
      </c>
      <c r="X80" s="4">
        <f ca="1">ROUND(_Google_ads[[#This Row],[conversion_value]]*RANDBETWEEN(8,12)/10,0)</f>
        <v>2550</v>
      </c>
      <c r="Y80" s="4">
        <f ca="1">_Google_ads[[#This Row],[ctr]]*RANDBETWEEN(8,12)/10</f>
        <v>5.28E-2</v>
      </c>
      <c r="Z80" s="4">
        <f ca="1">_Google_ads[[#This Row],[avg_cpc]]*RANDBETWEEN(8,12)/10</f>
        <v>0.19</v>
      </c>
      <c r="AA80" s="4">
        <f ca="1">ROUND(_Google_ads[[#This Row],[quality_score]]*RANDBETWEEN(8,12)/10,0)</f>
        <v>8</v>
      </c>
      <c r="AB80" s="4">
        <f ca="1">_Google_ads[[#This Row],[search_impression_share]]*RANDBETWEEN(8,12)/10</f>
        <v>1.1040000000000001</v>
      </c>
      <c r="AD80" s="3">
        <f t="shared" ca="1" si="11"/>
        <v>45262</v>
      </c>
      <c r="AE80" s="4" t="s">
        <v>100</v>
      </c>
      <c r="AF80" s="4" t="s">
        <v>101</v>
      </c>
      <c r="AG80" s="4" t="s">
        <v>102</v>
      </c>
      <c r="AH80" s="4" t="s">
        <v>103</v>
      </c>
      <c r="AI80" s="4">
        <f ca="1">ROUND(T_Tiktok_ads[[#This Row],[impressions]]*RANDBETWEEN(8,12)/10,0)</f>
        <v>289012</v>
      </c>
      <c r="AJ80" s="4">
        <f ca="1">ROUND(T_Tiktok_ads[[#This Row],[clicks]]*RANDBETWEEN(8,12)/10,0)</f>
        <v>4234</v>
      </c>
      <c r="AK80" s="4">
        <v>556.70000000000005</v>
      </c>
      <c r="AL80" s="4">
        <f ca="1">ROUND(T_Tiktok_ads[[#This Row],[conversions]]*RANDBETWEEN(8,12)/10,0)</f>
        <v>47</v>
      </c>
      <c r="AM80" s="4">
        <f ca="1">ROUND(T_Tiktok_ads[[#This Row],[video_views]]*RANDBETWEEN(8,12)/10,0)</f>
        <v>211110</v>
      </c>
      <c r="AN80" s="4">
        <f ca="1">ROUND(T_Tiktok_ads[[#This Row],[video_watch_25]]*RANDBETWEEN(8,12)/10,0)</f>
        <v>200580</v>
      </c>
      <c r="AO80" s="4">
        <f ca="1">ROUND(T_Tiktok_ads[[#This Row],[video_watch_50]]*RANDBETWEEN(8,12)/10,0)</f>
        <v>103110</v>
      </c>
      <c r="AP80" s="4">
        <f ca="1">ROUND(T_Tiktok_ads[[#This Row],[video_watch_75]]*RANDBETWEEN(8,12)/10,0)</f>
        <v>61787</v>
      </c>
      <c r="AQ80" s="4">
        <f ca="1">ROUND(T_Tiktok_ads[[#This Row],[video_watch_100]]*RANDBETWEEN(8,12)/10,0)</f>
        <v>46111</v>
      </c>
      <c r="AR80" s="4">
        <f ca="1">ROUND(T_Tiktok_ads[[#This Row],[likes]]*RANDBETWEEN(8,12)/10,0)</f>
        <v>10345</v>
      </c>
      <c r="AS80" s="4">
        <f ca="1">ROUND(T_Tiktok_ads[[#This Row],[shares]]*RANDBETWEEN(8,12)/10,0)</f>
        <v>3068</v>
      </c>
      <c r="AT80" s="4">
        <f ca="1">ROUND(T_Tiktok_ads[[#This Row],[comments]]*RANDBETWEEN(8,12)/10,0)</f>
        <v>525</v>
      </c>
      <c r="AV80" s="5">
        <f t="shared" ca="1" si="12"/>
        <v>45264</v>
      </c>
      <c r="AW80">
        <f t="shared" ca="1" si="13"/>
        <v>3</v>
      </c>
      <c r="AX80">
        <f ca="1">ROUND(T_Facebook_Ads115963677175798387919599[[#This Row],[impressions]]*RANDBETWEEN(8,12)/10,0)</f>
        <v>64109</v>
      </c>
      <c r="AY80">
        <f ca="1">ROUND(T_Facebook_Ads115963677175798387919599[[#This Row],[clicks]]*RANDBETWEEN(8,12)/10,0)</f>
        <v>791</v>
      </c>
      <c r="AZ80">
        <f ca="1">T_Facebook_Ads115963677175798387919599[[#This Row],[spend]]*RANDBETWEEN(8,12)/10</f>
        <v>169.76300000000001</v>
      </c>
      <c r="BA80">
        <f ca="1">ROUND(T_Facebook_Ads115963677175798387919599[[#This Row],[conversions]]*RANDBETWEEN(8,12)/10,0)</f>
        <v>14</v>
      </c>
      <c r="BB80">
        <f ca="1">ROUND(T_Facebook_Ads115963677175798387919599[[#This Row],[video_views]]*RANDBETWEEN(8,12)/10,0)</f>
        <v>8587</v>
      </c>
    </row>
    <row r="81" spans="1:54" ht="15.75" thickBot="1" x14ac:dyDescent="0.3">
      <c r="A81" s="3">
        <f t="shared" ca="1" si="9"/>
        <v>45270</v>
      </c>
      <c r="B81" s="4" t="s">
        <v>56</v>
      </c>
      <c r="C81" s="4" t="s">
        <v>57</v>
      </c>
      <c r="D81" s="4" t="s">
        <v>58</v>
      </c>
      <c r="E81" s="4" t="s">
        <v>59</v>
      </c>
      <c r="F81" s="4">
        <f ca="1">ROUND(T_Facebook_Ads[[#This Row],[impressions]]*RANDBETWEEN(8,12)/10,0)</f>
        <v>15168</v>
      </c>
      <c r="G81" s="4">
        <v>623</v>
      </c>
      <c r="H81" s="4">
        <f ca="1">T_Facebook_Ads[[#This Row],[spend]]*RANDBETWEEN(8,12)/10</f>
        <v>275.76000000000005</v>
      </c>
      <c r="I81" s="4">
        <f ca="1">ROUND(T_Facebook_Ads[[#This Row],[conversions]]*RANDBETWEEN(8,12)/10,0)</f>
        <v>30</v>
      </c>
      <c r="J81" s="4">
        <f ca="1">ROUND(T_Facebook_Ads[[#This Row],[video_views]]*RANDBETWEEN(8,12)/10,0)</f>
        <v>1638</v>
      </c>
      <c r="K81" s="4">
        <f ca="1">T_Facebook_Ads[[#This Row],[engagement_rate]]*RANDBETWEEN(8,12)/10</f>
        <v>4.0680000000000001E-2</v>
      </c>
      <c r="L81" s="4">
        <f ca="1">ROUND(T_Facebook_Ads[[#This Row],[reach]]*RANDBETWEEN(8,12)/10,0)</f>
        <v>12947</v>
      </c>
      <c r="M81" s="4">
        <f ca="1">T_Facebook_Ads[[#This Row],[frequency]]*RANDBETWEEN(8,12)/10</f>
        <v>1.1519999999999999</v>
      </c>
      <c r="O81" s="3">
        <f t="shared" ca="1" si="10"/>
        <v>45291</v>
      </c>
      <c r="P81" s="4" t="s">
        <v>80</v>
      </c>
      <c r="Q81" s="4" t="s">
        <v>81</v>
      </c>
      <c r="R81" s="4" t="s">
        <v>82</v>
      </c>
      <c r="S81" s="4" t="s">
        <v>83</v>
      </c>
      <c r="T81" s="4">
        <f ca="1">ROUND(_Google_ads[[#This Row],[impressions]]*RANDBETWEEN(8,12)/10,0)</f>
        <v>40611</v>
      </c>
      <c r="U81" s="4">
        <f ca="1">ROUND(_Google_ads[[#This Row],[clicks]]*RANDBETWEEN(8,12)/10,0)</f>
        <v>821</v>
      </c>
      <c r="V81" s="4">
        <f ca="1">_Google_ads[[#This Row],[cost]]*RANDBETWEEN(8,12)/10</f>
        <v>577.79999999999995</v>
      </c>
      <c r="W81" s="4">
        <f ca="1">ROUND(_Google_ads[[#This Row],[conversions]]*RANDBETWEEN(8,12)/10,0)</f>
        <v>24</v>
      </c>
      <c r="X81" s="4">
        <f ca="1">ROUND(_Google_ads[[#This Row],[conversion_value]]*RANDBETWEEN(8,12)/10,0)</f>
        <v>1440</v>
      </c>
      <c r="Y81" s="4">
        <f ca="1">_Google_ads[[#This Row],[ctr]]*RANDBETWEEN(8,12)/10</f>
        <v>2.4240000000000001E-2</v>
      </c>
      <c r="Z81" s="4">
        <f ca="1">_Google_ads[[#This Row],[avg_cpc]]*RANDBETWEEN(8,12)/10</f>
        <v>0.63</v>
      </c>
      <c r="AA81" s="4">
        <f ca="1">ROUND(_Google_ads[[#This Row],[quality_score]]*RANDBETWEEN(8,12)/10,0)</f>
        <v>6</v>
      </c>
      <c r="AB81" s="4">
        <f ca="1">_Google_ads[[#This Row],[search_impression_share]]*RANDBETWEEN(8,12)/10</f>
        <v>0.40499999999999997</v>
      </c>
      <c r="AD81" s="3">
        <f t="shared" ca="1" si="11"/>
        <v>45277</v>
      </c>
      <c r="AE81" s="4" t="s">
        <v>104</v>
      </c>
      <c r="AF81" s="4" t="s">
        <v>105</v>
      </c>
      <c r="AG81" s="4" t="s">
        <v>106</v>
      </c>
      <c r="AH81" s="4" t="s">
        <v>107</v>
      </c>
      <c r="AI81" s="4">
        <f ca="1">ROUND(T_Tiktok_ads[[#This Row],[impressions]]*RANDBETWEEN(8,12)/10,0)</f>
        <v>141110</v>
      </c>
      <c r="AJ81" s="4">
        <f ca="1">ROUND(T_Tiktok_ads[[#This Row],[clicks]]*RANDBETWEEN(8,12)/10,0)</f>
        <v>3012</v>
      </c>
      <c r="AK81" s="4">
        <v>812.3</v>
      </c>
      <c r="AL81" s="4">
        <f ca="1">ROUND(T_Tiktok_ads[[#This Row],[conversions]]*RANDBETWEEN(8,12)/10,0)</f>
        <v>90</v>
      </c>
      <c r="AM81" s="4">
        <f ca="1">ROUND(T_Tiktok_ads[[#This Row],[video_views]]*RANDBETWEEN(8,12)/10,0)</f>
        <v>131851</v>
      </c>
      <c r="AN81" s="4">
        <f ca="1">ROUND(T_Tiktok_ads[[#This Row],[video_watch_25]]*RANDBETWEEN(8,12)/10,0)</f>
        <v>97481</v>
      </c>
      <c r="AO81" s="4">
        <f ca="1">ROUND(T_Tiktok_ads[[#This Row],[video_watch_50]]*RANDBETWEEN(8,12)/10,0)</f>
        <v>60146</v>
      </c>
      <c r="AP81" s="4">
        <f ca="1">ROUND(T_Tiktok_ads[[#This Row],[video_watch_75]]*RANDBETWEEN(8,12)/10,0)</f>
        <v>49481</v>
      </c>
      <c r="AQ81" s="4">
        <f ca="1">ROUND(T_Tiktok_ads[[#This Row],[video_watch_100]]*RANDBETWEEN(8,12)/10,0)</f>
        <v>24810</v>
      </c>
      <c r="AR81" s="4">
        <f ca="1">ROUND(T_Tiktok_ads[[#This Row],[likes]]*RANDBETWEEN(8,12)/10,0)</f>
        <v>6002</v>
      </c>
      <c r="AS81" s="4">
        <f ca="1">ROUND(T_Tiktok_ads[[#This Row],[shares]]*RANDBETWEEN(8,12)/10,0)</f>
        <v>1567</v>
      </c>
      <c r="AT81" s="4">
        <f ca="1">ROUND(T_Tiktok_ads[[#This Row],[comments]]*RANDBETWEEN(8,12)/10,0)</f>
        <v>231</v>
      </c>
      <c r="AV81" s="5">
        <f t="shared" ca="1" si="12"/>
        <v>45280</v>
      </c>
      <c r="AW81">
        <f t="shared" ca="1" si="13"/>
        <v>4</v>
      </c>
      <c r="AX81">
        <f ca="1">ROUND(T_Facebook_Ads115963677175798387919599[[#This Row],[impressions]]*RANDBETWEEN(8,12)/10,0)</f>
        <v>13651</v>
      </c>
      <c r="AY81">
        <f ca="1">ROUND(T_Facebook_Ads115963677175798387919599[[#This Row],[clicks]]*RANDBETWEEN(8,12)/10,0)</f>
        <v>623</v>
      </c>
      <c r="AZ81">
        <f ca="1">T_Facebook_Ads115963677175798387919599[[#This Row],[spend]]*RANDBETWEEN(8,12)/10</f>
        <v>248.18400000000005</v>
      </c>
      <c r="BA81">
        <f ca="1">ROUND(T_Facebook_Ads115963677175798387919599[[#This Row],[conversions]]*RANDBETWEEN(8,12)/10,0)</f>
        <v>27</v>
      </c>
      <c r="BB81">
        <f ca="1">ROUND(T_Facebook_Ads115963677175798387919599[[#This Row],[video_views]]*RANDBETWEEN(8,12)/10,0)</f>
        <v>1966</v>
      </c>
    </row>
    <row r="82" spans="1:54" ht="15.75" thickBot="1" x14ac:dyDescent="0.3">
      <c r="A82" s="3">
        <f t="shared" ca="1" si="9"/>
        <v>45287</v>
      </c>
      <c r="B82" s="4" t="s">
        <v>60</v>
      </c>
      <c r="C82" s="4" t="s">
        <v>61</v>
      </c>
      <c r="D82" s="4" t="s">
        <v>62</v>
      </c>
      <c r="E82" s="4" t="s">
        <v>63</v>
      </c>
      <c r="F82" s="4">
        <f ca="1">ROUND(T_Facebook_Ads[[#This Row],[impressions]]*RANDBETWEEN(8,12)/10,0)</f>
        <v>41202</v>
      </c>
      <c r="G82" s="4">
        <v>1389</v>
      </c>
      <c r="H82" s="4">
        <f ca="1">T_Facebook_Ads[[#This Row],[spend]]*RANDBETWEEN(8,12)/10</f>
        <v>213.4</v>
      </c>
      <c r="I82" s="4">
        <f ca="1">ROUND(T_Facebook_Ads[[#This Row],[conversions]]*RANDBETWEEN(8,12)/10,0)</f>
        <v>29</v>
      </c>
      <c r="J82" s="4">
        <f ca="1">ROUND(T_Facebook_Ads[[#This Row],[video_views]]*RANDBETWEEN(8,12)/10,0)</f>
        <v>3912</v>
      </c>
      <c r="K82" s="4">
        <f ca="1">T_Facebook_Ads[[#This Row],[engagement_rate]]*RANDBETWEEN(8,12)/10</f>
        <v>4.0809999999999999E-2</v>
      </c>
      <c r="L82" s="4">
        <f ca="1">ROUND(T_Facebook_Ads[[#This Row],[reach]]*RANDBETWEEN(8,12)/10,0)</f>
        <v>33624</v>
      </c>
      <c r="M82" s="4">
        <f ca="1">T_Facebook_Ads[[#This Row],[frequency]]*RANDBETWEEN(8,12)/10</f>
        <v>0.97599999999999998</v>
      </c>
      <c r="O82" s="3">
        <f t="shared" ca="1" si="10"/>
        <v>45273</v>
      </c>
      <c r="P82" s="4" t="s">
        <v>84</v>
      </c>
      <c r="Q82" s="4" t="s">
        <v>85</v>
      </c>
      <c r="R82" s="4" t="s">
        <v>86</v>
      </c>
      <c r="S82" s="4" t="s">
        <v>87</v>
      </c>
      <c r="T82" s="4">
        <f ca="1">ROUND(_Google_ads[[#This Row],[impressions]]*RANDBETWEEN(8,12)/10,0)</f>
        <v>70234</v>
      </c>
      <c r="U82" s="4">
        <f ca="1">ROUND(_Google_ads[[#This Row],[clicks]]*RANDBETWEEN(8,12)/10,0)</f>
        <v>2150</v>
      </c>
      <c r="V82" s="4">
        <f ca="1">_Google_ads[[#This Row],[cost]]*RANDBETWEEN(8,12)/10</f>
        <v>389.34000000000003</v>
      </c>
      <c r="W82" s="4">
        <f ca="1">ROUND(_Google_ads[[#This Row],[conversions]]*RANDBETWEEN(8,12)/10,0)</f>
        <v>55</v>
      </c>
      <c r="X82" s="4">
        <f ca="1">ROUND(_Google_ads[[#This Row],[conversion_value]]*RANDBETWEEN(8,12)/10,0)</f>
        <v>4140</v>
      </c>
      <c r="Y82" s="4">
        <f ca="1">_Google_ads[[#This Row],[ctr]]*RANDBETWEEN(8,12)/10</f>
        <v>3.4000000000000002E-2</v>
      </c>
      <c r="Z82" s="4">
        <f ca="1">_Google_ads[[#This Row],[avg_cpc]]*RANDBETWEEN(8,12)/10</f>
        <v>0.19800000000000001</v>
      </c>
      <c r="AA82" s="4">
        <f ca="1">ROUND(_Google_ads[[#This Row],[quality_score]]*RANDBETWEEN(8,12)/10,0)</f>
        <v>10</v>
      </c>
      <c r="AB82" s="4">
        <f ca="1">_Google_ads[[#This Row],[search_impression_share]]*RANDBETWEEN(8,12)/10</f>
        <v>0.67</v>
      </c>
      <c r="AD82" s="3">
        <f t="shared" ca="1" si="11"/>
        <v>45261</v>
      </c>
      <c r="AE82" s="4" t="s">
        <v>108</v>
      </c>
      <c r="AF82" s="4" t="s">
        <v>109</v>
      </c>
      <c r="AG82" s="4" t="s">
        <v>110</v>
      </c>
      <c r="AH82" s="4" t="s">
        <v>111</v>
      </c>
      <c r="AI82" s="4">
        <f ca="1">ROUND(T_Tiktok_ads[[#This Row],[impressions]]*RANDBETWEEN(8,12)/10,0)</f>
        <v>294814</v>
      </c>
      <c r="AJ82" s="4">
        <f ca="1">ROUND(T_Tiktok_ads[[#This Row],[clicks]]*RANDBETWEEN(8,12)/10,0)</f>
        <v>4668</v>
      </c>
      <c r="AK82" s="4">
        <v>467.8</v>
      </c>
      <c r="AL82" s="4">
        <f ca="1">ROUND(T_Tiktok_ads[[#This Row],[conversions]]*RANDBETWEEN(8,12)/10,0)</f>
        <v>31</v>
      </c>
      <c r="AM82" s="4">
        <f ca="1">ROUND(T_Tiktok_ads[[#This Row],[video_views]]*RANDBETWEEN(8,12)/10,0)</f>
        <v>195678</v>
      </c>
      <c r="AN82" s="4">
        <f ca="1">ROUND(T_Tiktok_ads[[#This Row],[video_watch_25]]*RANDBETWEEN(8,12)/10,0)</f>
        <v>163057</v>
      </c>
      <c r="AO82" s="4">
        <f ca="1">ROUND(T_Tiktok_ads[[#This Row],[video_watch_50]]*RANDBETWEEN(8,12)/10,0)</f>
        <v>105511</v>
      </c>
      <c r="AP82" s="4">
        <f ca="1">ROUND(T_Tiktok_ads[[#This Row],[video_watch_75]]*RANDBETWEEN(8,12)/10,0)</f>
        <v>90281</v>
      </c>
      <c r="AQ82" s="4">
        <f ca="1">ROUND(T_Tiktok_ads[[#This Row],[video_watch_100]]*RANDBETWEEN(8,12)/10,0)</f>
        <v>50368</v>
      </c>
      <c r="AR82" s="4">
        <f ca="1">ROUND(T_Tiktok_ads[[#This Row],[likes]]*RANDBETWEEN(8,12)/10,0)</f>
        <v>6854</v>
      </c>
      <c r="AS82" s="4">
        <f ca="1">ROUND(T_Tiktok_ads[[#This Row],[shares]]*RANDBETWEEN(8,12)/10,0)</f>
        <v>2345</v>
      </c>
      <c r="AT82" s="4">
        <f ca="1">ROUND(T_Tiktok_ads[[#This Row],[comments]]*RANDBETWEEN(8,12)/10,0)</f>
        <v>624</v>
      </c>
      <c r="AV82" s="5">
        <f t="shared" ca="1" si="12"/>
        <v>45276</v>
      </c>
      <c r="AW82">
        <f t="shared" ca="1" si="13"/>
        <v>4</v>
      </c>
      <c r="AX82">
        <f ca="1">ROUND(T_Facebook_Ads115963677175798387919599[[#This Row],[impressions]]*RANDBETWEEN(8,12)/10,0)</f>
        <v>37082</v>
      </c>
      <c r="AY82">
        <f ca="1">ROUND(T_Facebook_Ads115963677175798387919599[[#This Row],[clicks]]*RANDBETWEEN(8,12)/10,0)</f>
        <v>1667</v>
      </c>
      <c r="AZ82">
        <f ca="1">T_Facebook_Ads115963677175798387919599[[#This Row],[spend]]*RANDBETWEEN(8,12)/10</f>
        <v>192.06</v>
      </c>
      <c r="BA82">
        <f ca="1">ROUND(T_Facebook_Ads115963677175798387919599[[#This Row],[conversions]]*RANDBETWEEN(8,12)/10,0)</f>
        <v>23</v>
      </c>
      <c r="BB82">
        <f ca="1">ROUND(T_Facebook_Ads115963677175798387919599[[#This Row],[video_views]]*RANDBETWEEN(8,12)/10,0)</f>
        <v>3521</v>
      </c>
    </row>
    <row r="83" spans="1:54" ht="15.75" thickBot="1" x14ac:dyDescent="0.3">
      <c r="A83" s="3">
        <f t="shared" ca="1" si="9"/>
        <v>45281</v>
      </c>
      <c r="B83" s="4" t="s">
        <v>64</v>
      </c>
      <c r="C83" s="4" t="s">
        <v>65</v>
      </c>
      <c r="D83" s="4" t="s">
        <v>66</v>
      </c>
      <c r="E83" s="4" t="s">
        <v>67</v>
      </c>
      <c r="F83" s="4">
        <f ca="1">ROUND(T_Facebook_Ads[[#This Row],[impressions]]*RANDBETWEEN(8,12)/10,0)</f>
        <v>78357</v>
      </c>
      <c r="G83" s="4">
        <v>256</v>
      </c>
      <c r="H83" s="4">
        <f ca="1">T_Facebook_Ads[[#This Row],[spend]]*RANDBETWEEN(8,12)/10</f>
        <v>72.400000000000006</v>
      </c>
      <c r="I83" s="4">
        <f ca="1">ROUND(T_Facebook_Ads[[#This Row],[conversions]]*RANDBETWEEN(8,12)/10,0)</f>
        <v>7</v>
      </c>
      <c r="J83" s="4">
        <f ca="1">ROUND(T_Facebook_Ads[[#This Row],[video_views]]*RANDBETWEEN(8,12)/10,0)</f>
        <v>57748</v>
      </c>
      <c r="K83" s="4">
        <f ca="1">T_Facebook_Ads[[#This Row],[engagement_rate]]*RANDBETWEEN(8,12)/10</f>
        <v>3.5999999999999999E-3</v>
      </c>
      <c r="L83" s="4">
        <f ca="1">ROUND(T_Facebook_Ads[[#This Row],[reach]]*RANDBETWEEN(8,12)/10,0)</f>
        <v>52710</v>
      </c>
      <c r="M83" s="4">
        <f ca="1">T_Facebook_Ads[[#This Row],[frequency]]*RANDBETWEEN(8,12)/10</f>
        <v>1.464</v>
      </c>
      <c r="O83" s="3">
        <f t="shared" ca="1" si="10"/>
        <v>45266</v>
      </c>
      <c r="P83" s="4" t="s">
        <v>88</v>
      </c>
      <c r="Q83" s="4" t="s">
        <v>89</v>
      </c>
      <c r="R83" s="4" t="s">
        <v>90</v>
      </c>
      <c r="S83" s="4" t="s">
        <v>59</v>
      </c>
      <c r="T83" s="4">
        <f ca="1">ROUND(_Google_ads[[#This Row],[impressions]]*RANDBETWEEN(8,12)/10,0)</f>
        <v>160147</v>
      </c>
      <c r="U83" s="4">
        <f ca="1">ROUND(_Google_ads[[#This Row],[clicks]]*RANDBETWEEN(8,12)/10,0)</f>
        <v>391</v>
      </c>
      <c r="V83" s="4">
        <f ca="1">_Google_ads[[#This Row],[cost]]*RANDBETWEEN(8,12)/10</f>
        <v>118.08</v>
      </c>
      <c r="W83" s="4">
        <f ca="1">ROUND(_Google_ads[[#This Row],[conversions]]*RANDBETWEEN(8,12)/10,0)</f>
        <v>15</v>
      </c>
      <c r="X83" s="4">
        <f ca="1">ROUND(_Google_ads[[#This Row],[conversion_value]]*RANDBETWEEN(8,12)/10,0)</f>
        <v>630</v>
      </c>
      <c r="Y83" s="4">
        <f ca="1">_Google_ads[[#This Row],[ctr]]*RANDBETWEEN(8,12)/10</f>
        <v>4.0699999999999998E-3</v>
      </c>
      <c r="Z83" s="4">
        <f ca="1">_Google_ads[[#This Row],[avg_cpc]]*RANDBETWEEN(8,12)/10</f>
        <v>0.32400000000000001</v>
      </c>
      <c r="AA83" s="4">
        <f ca="1">ROUND(_Google_ads[[#This Row],[quality_score]]*RANDBETWEEN(8,12)/10,0)</f>
        <v>8</v>
      </c>
      <c r="AB83" s="4">
        <f ca="1">_Google_ads[[#This Row],[search_impression_share]]*RANDBETWEEN(8,12)/10</f>
        <v>0.41999999999999993</v>
      </c>
      <c r="AD83" s="3">
        <f t="shared" ca="1" si="11"/>
        <v>45275</v>
      </c>
      <c r="AE83" s="4" t="s">
        <v>112</v>
      </c>
      <c r="AF83" s="4" t="s">
        <v>113</v>
      </c>
      <c r="AG83" s="4" t="s">
        <v>114</v>
      </c>
      <c r="AH83" s="4" t="s">
        <v>115</v>
      </c>
      <c r="AI83" s="4">
        <f ca="1">ROUND(T_Tiktok_ads[[#This Row],[impressions]]*RANDBETWEEN(8,12)/10,0)</f>
        <v>508147</v>
      </c>
      <c r="AJ83" s="4">
        <f ca="1">ROUND(T_Tiktok_ads[[#This Row],[clicks]]*RANDBETWEEN(8,12)/10,0)</f>
        <v>5512</v>
      </c>
      <c r="AK83" s="4">
        <v>1056.8</v>
      </c>
      <c r="AL83" s="4">
        <f ca="1">ROUND(T_Tiktok_ads[[#This Row],[conversions]]*RANDBETWEEN(8,12)/10,0)</f>
        <v>86</v>
      </c>
      <c r="AM83" s="4">
        <f ca="1">ROUND(T_Tiktok_ads[[#This Row],[video_views]]*RANDBETWEEN(8,12)/10,0)</f>
        <v>285431</v>
      </c>
      <c r="AN83" s="4">
        <f ca="1">ROUND(T_Tiktok_ads[[#This Row],[video_watch_25]]*RANDBETWEEN(8,12)/10,0)</f>
        <v>289234</v>
      </c>
      <c r="AO83" s="4">
        <f ca="1">ROUND(T_Tiktok_ads[[#This Row],[video_watch_50]]*RANDBETWEEN(8,12)/10,0)</f>
        <v>231456</v>
      </c>
      <c r="AP83" s="4">
        <f ca="1">ROUND(T_Tiktok_ads[[#This Row],[video_watch_75]]*RANDBETWEEN(8,12)/10,0)</f>
        <v>148110</v>
      </c>
      <c r="AQ83" s="4">
        <f ca="1">ROUND(T_Tiktok_ads[[#This Row],[video_watch_100]]*RANDBETWEEN(8,12)/10,0)</f>
        <v>87387</v>
      </c>
      <c r="AR83" s="4">
        <f ca="1">ROUND(T_Tiktok_ads[[#This Row],[likes]]*RANDBETWEEN(8,12)/10,0)</f>
        <v>22668</v>
      </c>
      <c r="AS83" s="4">
        <f ca="1">ROUND(T_Tiktok_ads[[#This Row],[shares]]*RANDBETWEEN(8,12)/10,0)</f>
        <v>4365</v>
      </c>
      <c r="AT83" s="4">
        <f ca="1">ROUND(T_Tiktok_ads[[#This Row],[comments]]*RANDBETWEEN(8,12)/10,0)</f>
        <v>1489</v>
      </c>
      <c r="AV83" s="5">
        <f t="shared" ca="1" si="12"/>
        <v>45284</v>
      </c>
      <c r="AW83">
        <f t="shared" ca="1" si="13"/>
        <v>7</v>
      </c>
      <c r="AX83">
        <f ca="1">ROUND(T_Facebook_Ads115963677175798387919599[[#This Row],[impressions]]*RANDBETWEEN(8,12)/10,0)</f>
        <v>86193</v>
      </c>
      <c r="AY83">
        <f ca="1">ROUND(T_Facebook_Ads115963677175798387919599[[#This Row],[clicks]]*RANDBETWEEN(8,12)/10,0)</f>
        <v>256</v>
      </c>
      <c r="AZ83">
        <f ca="1">T_Facebook_Ads115963677175798387919599[[#This Row],[spend]]*RANDBETWEEN(8,12)/10</f>
        <v>57.92</v>
      </c>
      <c r="BA83">
        <f ca="1">ROUND(T_Facebook_Ads115963677175798387919599[[#This Row],[conversions]]*RANDBETWEEN(8,12)/10,0)</f>
        <v>6</v>
      </c>
      <c r="BB83">
        <f ca="1">ROUND(T_Facebook_Ads115963677175798387919599[[#This Row],[video_views]]*RANDBETWEEN(8,12)/10,0)</f>
        <v>51973</v>
      </c>
    </row>
    <row r="84" spans="1:54" ht="15.75" thickBot="1" x14ac:dyDescent="0.3">
      <c r="A84" s="3">
        <f t="shared" ca="1" si="9"/>
        <v>45282</v>
      </c>
      <c r="B84" s="4" t="s">
        <v>52</v>
      </c>
      <c r="C84" s="4" t="s">
        <v>53</v>
      </c>
      <c r="D84" s="4" t="s">
        <v>54</v>
      </c>
      <c r="E84" s="4" t="s">
        <v>55</v>
      </c>
      <c r="F84" s="4">
        <f ca="1">ROUND(T_Facebook_Ads[[#This Row],[impressions]]*RANDBETWEEN(8,12)/10,0)</f>
        <v>46111</v>
      </c>
      <c r="G84" s="4">
        <v>1067</v>
      </c>
      <c r="H84" s="4">
        <f ca="1">T_Facebook_Ads[[#This Row],[spend]]*RANDBETWEEN(8,12)/10</f>
        <v>149.69999999999999</v>
      </c>
      <c r="I84" s="4">
        <f ca="1">ROUND(T_Facebook_Ads[[#This Row],[conversions]]*RANDBETWEEN(8,12)/10,0)</f>
        <v>15</v>
      </c>
      <c r="J84" s="4">
        <f ca="1">ROUND(T_Facebook_Ads[[#This Row],[video_views]]*RANDBETWEEN(8,12)/10,0)</f>
        <v>11081</v>
      </c>
      <c r="K84" s="4">
        <f ca="1">T_Facebook_Ads[[#This Row],[engagement_rate]]*RANDBETWEEN(8,12)/10</f>
        <v>1.6639999999999999E-2</v>
      </c>
      <c r="L84" s="4">
        <f ca="1">ROUND(T_Facebook_Ads[[#This Row],[reach]]*RANDBETWEEN(8,12)/10,0)</f>
        <v>42567</v>
      </c>
      <c r="M84" s="4">
        <f ca="1">T_Facebook_Ads[[#This Row],[frequency]]*RANDBETWEEN(8,12)/10</f>
        <v>1.44</v>
      </c>
      <c r="O84" s="3">
        <f t="shared" ca="1" si="10"/>
        <v>45267</v>
      </c>
      <c r="P84" s="4" t="s">
        <v>76</v>
      </c>
      <c r="Q84" s="4" t="s">
        <v>77</v>
      </c>
      <c r="R84" s="4" t="s">
        <v>78</v>
      </c>
      <c r="S84" s="4" t="s">
        <v>79</v>
      </c>
      <c r="T84" s="4">
        <f ca="1">ROUND(_Google_ads[[#This Row],[impressions]]*RANDBETWEEN(8,12)/10,0)</f>
        <v>21698</v>
      </c>
      <c r="U84" s="4">
        <f ca="1">ROUND(_Google_ads[[#This Row],[clicks]]*RANDBETWEEN(8,12)/10,0)</f>
        <v>1577</v>
      </c>
      <c r="V84" s="4">
        <f ca="1">_Google_ads[[#This Row],[cost]]*RANDBETWEEN(8,12)/10</f>
        <v>301.73</v>
      </c>
      <c r="W84" s="4">
        <f ca="1">ROUND(_Google_ads[[#This Row],[conversions]]*RANDBETWEEN(8,12)/10,0)</f>
        <v>44</v>
      </c>
      <c r="X84" s="4">
        <f ca="1">ROUND(_Google_ads[[#This Row],[conversion_value]]*RANDBETWEEN(8,12)/10,0)</f>
        <v>2750</v>
      </c>
      <c r="Y84" s="4">
        <f ca="1">_Google_ads[[#This Row],[ctr]]*RANDBETWEEN(8,12)/10</f>
        <v>4.2320000000000003E-2</v>
      </c>
      <c r="Z84" s="4">
        <f ca="1">_Google_ads[[#This Row],[avg_cpc]]*RANDBETWEEN(8,12)/10</f>
        <v>0.20899999999999999</v>
      </c>
      <c r="AA84" s="4">
        <f ca="1">ROUND(_Google_ads[[#This Row],[quality_score]]*RANDBETWEEN(8,12)/10,0)</f>
        <v>10</v>
      </c>
      <c r="AB84" s="4">
        <f ca="1">_Google_ads[[#This Row],[search_impression_share]]*RANDBETWEEN(8,12)/10</f>
        <v>1.1160000000000001</v>
      </c>
      <c r="AD84" s="3">
        <f t="shared" ca="1" si="11"/>
        <v>45275</v>
      </c>
      <c r="AE84" s="4" t="s">
        <v>100</v>
      </c>
      <c r="AF84" s="4" t="s">
        <v>101</v>
      </c>
      <c r="AG84" s="4" t="s">
        <v>102</v>
      </c>
      <c r="AH84" s="4" t="s">
        <v>103</v>
      </c>
      <c r="AI84" s="4">
        <f ca="1">ROUND(T_Tiktok_ads[[#This Row],[impressions]]*RANDBETWEEN(8,12)/10,0)</f>
        <v>312345</v>
      </c>
      <c r="AJ84" s="4">
        <f ca="1">ROUND(T_Tiktok_ads[[#This Row],[clicks]]*RANDBETWEEN(8,12)/10,0)</f>
        <v>3654</v>
      </c>
      <c r="AK84" s="4">
        <v>623.4</v>
      </c>
      <c r="AL84" s="4">
        <f ca="1">ROUND(T_Tiktok_ads[[#This Row],[conversions]]*RANDBETWEEN(8,12)/10,0)</f>
        <v>43</v>
      </c>
      <c r="AM84" s="4">
        <f ca="1">ROUND(T_Tiktok_ads[[#This Row],[video_views]]*RANDBETWEEN(8,12)/10,0)</f>
        <v>282468</v>
      </c>
      <c r="AN84" s="4">
        <f ca="1">ROUND(T_Tiktok_ads[[#This Row],[video_watch_25]]*RANDBETWEEN(8,12)/10,0)</f>
        <v>200234</v>
      </c>
      <c r="AO84" s="4">
        <f ca="1">ROUND(T_Tiktok_ads[[#This Row],[video_watch_50]]*RANDBETWEEN(8,12)/10,0)</f>
        <v>113110</v>
      </c>
      <c r="AP84" s="4">
        <f ca="1">ROUND(T_Tiktok_ads[[#This Row],[video_watch_75]]*RANDBETWEEN(8,12)/10,0)</f>
        <v>67654</v>
      </c>
      <c r="AQ84" s="4">
        <f ca="1">ROUND(T_Tiktok_ads[[#This Row],[video_watch_100]]*RANDBETWEEN(8,12)/10,0)</f>
        <v>61857</v>
      </c>
      <c r="AR84" s="4">
        <f ca="1">ROUND(T_Tiktok_ads[[#This Row],[likes]]*RANDBETWEEN(8,12)/10,0)</f>
        <v>13481</v>
      </c>
      <c r="AS84" s="4">
        <f ca="1">ROUND(T_Tiktok_ads[[#This Row],[shares]]*RANDBETWEEN(8,12)/10,0)</f>
        <v>3313</v>
      </c>
      <c r="AT84" s="4">
        <f ca="1">ROUND(T_Tiktok_ads[[#This Row],[comments]]*RANDBETWEEN(8,12)/10,0)</f>
        <v>651</v>
      </c>
      <c r="AV84" s="5">
        <f t="shared" ca="1" si="12"/>
        <v>45268</v>
      </c>
      <c r="AW84">
        <f t="shared" ca="1" si="13"/>
        <v>5</v>
      </c>
      <c r="AX84">
        <f ca="1">ROUND(T_Facebook_Ads115963677175798387919599[[#This Row],[impressions]]*RANDBETWEEN(8,12)/10,0)</f>
        <v>41500</v>
      </c>
      <c r="AY84">
        <f ca="1">ROUND(T_Facebook_Ads115963677175798387919599[[#This Row],[clicks]]*RANDBETWEEN(8,12)/10,0)</f>
        <v>1067</v>
      </c>
      <c r="AZ84">
        <f ca="1">T_Facebook_Ads115963677175798387919599[[#This Row],[spend]]*RANDBETWEEN(8,12)/10</f>
        <v>179.64</v>
      </c>
      <c r="BA84">
        <f ca="1">ROUND(T_Facebook_Ads115963677175798387919599[[#This Row],[conversions]]*RANDBETWEEN(8,12)/10,0)</f>
        <v>14</v>
      </c>
      <c r="BB84">
        <f ca="1">ROUND(T_Facebook_Ads115963677175798387919599[[#This Row],[video_views]]*RANDBETWEEN(8,12)/10,0)</f>
        <v>13297</v>
      </c>
    </row>
    <row r="85" spans="1:54" ht="15.75" thickBot="1" x14ac:dyDescent="0.3">
      <c r="A85" s="3">
        <f t="shared" ca="1" si="9"/>
        <v>45270</v>
      </c>
      <c r="B85" s="4" t="s">
        <v>56</v>
      </c>
      <c r="C85" s="4" t="s">
        <v>57</v>
      </c>
      <c r="D85" s="4" t="s">
        <v>58</v>
      </c>
      <c r="E85" s="4" t="s">
        <v>59</v>
      </c>
      <c r="F85" s="4">
        <f ca="1">ROUND(T_Facebook_Ads[[#This Row],[impressions]]*RANDBETWEEN(8,12)/10,0)</f>
        <v>13401</v>
      </c>
      <c r="G85" s="4">
        <v>712</v>
      </c>
      <c r="H85" s="4">
        <f ca="1">T_Facebook_Ads[[#This Row],[spend]]*RANDBETWEEN(8,12)/10</f>
        <v>276.76</v>
      </c>
      <c r="I85" s="4">
        <f ca="1">ROUND(T_Facebook_Ads[[#This Row],[conversions]]*RANDBETWEEN(8,12)/10,0)</f>
        <v>52</v>
      </c>
      <c r="J85" s="4">
        <f ca="1">ROUND(T_Facebook_Ads[[#This Row],[video_views]]*RANDBETWEEN(8,12)/10,0)</f>
        <v>1894</v>
      </c>
      <c r="K85" s="4">
        <f ca="1">T_Facebook_Ads[[#This Row],[engagement_rate]]*RANDBETWEEN(8,12)/10</f>
        <v>5.2580000000000002E-2</v>
      </c>
      <c r="L85" s="4">
        <f ca="1">ROUND(T_Facebook_Ads[[#This Row],[reach]]*RANDBETWEEN(8,12)/10,0)</f>
        <v>12969</v>
      </c>
      <c r="M85" s="4">
        <f ca="1">T_Facebook_Ads[[#This Row],[frequency]]*RANDBETWEEN(8,12)/10</f>
        <v>1.3859999999999999</v>
      </c>
      <c r="O85" s="3">
        <f t="shared" ca="1" si="10"/>
        <v>45278</v>
      </c>
      <c r="P85" s="4" t="s">
        <v>80</v>
      </c>
      <c r="Q85" s="4" t="s">
        <v>81</v>
      </c>
      <c r="R85" s="4" t="s">
        <v>82</v>
      </c>
      <c r="S85" s="4" t="s">
        <v>83</v>
      </c>
      <c r="T85" s="4">
        <f ca="1">ROUND(_Google_ads[[#This Row],[impressions]]*RANDBETWEEN(8,12)/10,0)</f>
        <v>52679</v>
      </c>
      <c r="U85" s="4">
        <f ca="1">ROUND(_Google_ads[[#This Row],[clicks]]*RANDBETWEEN(8,12)/10,0)</f>
        <v>978</v>
      </c>
      <c r="V85" s="4">
        <f ca="1">_Google_ads[[#This Row],[cost]]*RANDBETWEEN(8,12)/10</f>
        <v>674.85</v>
      </c>
      <c r="W85" s="4">
        <f ca="1">ROUND(_Google_ads[[#This Row],[conversions]]*RANDBETWEEN(8,12)/10,0)</f>
        <v>26</v>
      </c>
      <c r="X85" s="4">
        <f ca="1">ROUND(_Google_ads[[#This Row],[conversion_value]]*RANDBETWEEN(8,12)/10,0)</f>
        <v>1430</v>
      </c>
      <c r="Y85" s="4">
        <f ca="1">_Google_ads[[#This Row],[ctr]]*RANDBETWEEN(8,12)/10</f>
        <v>1.6320000000000001E-2</v>
      </c>
      <c r="Z85" s="4">
        <f ca="1">_Google_ads[[#This Row],[avg_cpc]]*RANDBETWEEN(8,12)/10</f>
        <v>0.56699999999999995</v>
      </c>
      <c r="AA85" s="4">
        <f ca="1">ROUND(_Google_ads[[#This Row],[quality_score]]*RANDBETWEEN(8,12)/10,0)</f>
        <v>8</v>
      </c>
      <c r="AB85" s="4">
        <f ca="1">_Google_ads[[#This Row],[search_impression_share]]*RANDBETWEEN(8,12)/10</f>
        <v>0.46000000000000008</v>
      </c>
      <c r="AD85" s="3">
        <f t="shared" ca="1" si="11"/>
        <v>45264</v>
      </c>
      <c r="AE85" s="4" t="s">
        <v>104</v>
      </c>
      <c r="AF85" s="4" t="s">
        <v>105</v>
      </c>
      <c r="AG85" s="4" t="s">
        <v>106</v>
      </c>
      <c r="AH85" s="4" t="s">
        <v>107</v>
      </c>
      <c r="AI85" s="4">
        <f ca="1">ROUND(T_Tiktok_ads[[#This Row],[impressions]]*RANDBETWEEN(8,12)/10,0)</f>
        <v>189580</v>
      </c>
      <c r="AJ85" s="4">
        <f ca="1">ROUND(T_Tiktok_ads[[#This Row],[clicks]]*RANDBETWEEN(8,12)/10,0)</f>
        <v>3345</v>
      </c>
      <c r="AK85" s="4">
        <v>867.9</v>
      </c>
      <c r="AL85" s="4">
        <f ca="1">ROUND(T_Tiktok_ads[[#This Row],[conversions]]*RANDBETWEEN(8,12)/10,0)</f>
        <v>96</v>
      </c>
      <c r="AM85" s="4">
        <f ca="1">ROUND(T_Tiktok_ads[[#This Row],[video_views]]*RANDBETWEEN(8,12)/10,0)</f>
        <v>123456</v>
      </c>
      <c r="AN85" s="4">
        <f ca="1">ROUND(T_Tiktok_ads[[#This Row],[video_watch_25]]*RANDBETWEEN(8,12)/10,0)</f>
        <v>72987</v>
      </c>
      <c r="AO85" s="4">
        <f ca="1">ROUND(T_Tiktok_ads[[#This Row],[video_watch_50]]*RANDBETWEEN(8,12)/10,0)</f>
        <v>61567</v>
      </c>
      <c r="AP85" s="4">
        <f ca="1">ROUND(T_Tiktok_ads[[#This Row],[video_watch_75]]*RANDBETWEEN(8,12)/10,0)</f>
        <v>41611</v>
      </c>
      <c r="AQ85" s="4">
        <f ca="1">ROUND(T_Tiktok_ads[[#This Row],[video_watch_100]]*RANDBETWEEN(8,12)/10,0)</f>
        <v>30789</v>
      </c>
      <c r="AR85" s="4">
        <f ca="1">ROUND(T_Tiktok_ads[[#This Row],[likes]]*RANDBETWEEN(8,12)/10,0)</f>
        <v>4712</v>
      </c>
      <c r="AS85" s="4">
        <f ca="1">ROUND(T_Tiktok_ads[[#This Row],[shares]]*RANDBETWEEN(8,12)/10,0)</f>
        <v>1846</v>
      </c>
      <c r="AT85" s="4">
        <f ca="1">ROUND(T_Tiktok_ads[[#This Row],[comments]]*RANDBETWEEN(8,12)/10,0)</f>
        <v>367</v>
      </c>
      <c r="AV85" s="5">
        <f t="shared" ca="1" si="12"/>
        <v>45268</v>
      </c>
      <c r="AW85">
        <f t="shared" ca="1" si="13"/>
        <v>8</v>
      </c>
      <c r="AX85">
        <f ca="1">ROUND(T_Facebook_Ads115963677175798387919599[[#This Row],[impressions]]*RANDBETWEEN(8,12)/10,0)</f>
        <v>13401</v>
      </c>
      <c r="AY85">
        <f ca="1">ROUND(T_Facebook_Ads115963677175798387919599[[#This Row],[clicks]]*RANDBETWEEN(8,12)/10,0)</f>
        <v>570</v>
      </c>
      <c r="AZ85">
        <f ca="1">T_Facebook_Ads115963677175798387919599[[#This Row],[spend]]*RANDBETWEEN(8,12)/10</f>
        <v>249.084</v>
      </c>
      <c r="BA85">
        <f ca="1">ROUND(T_Facebook_Ads115963677175798387919599[[#This Row],[conversions]]*RANDBETWEEN(8,12)/10,0)</f>
        <v>62</v>
      </c>
      <c r="BB85">
        <f ca="1">ROUND(T_Facebook_Ads115963677175798387919599[[#This Row],[video_views]]*RANDBETWEEN(8,12)/10,0)</f>
        <v>1894</v>
      </c>
    </row>
    <row r="86" spans="1:54" ht="15.75" thickBot="1" x14ac:dyDescent="0.3">
      <c r="A86" s="3">
        <f t="shared" ca="1" si="9"/>
        <v>45263</v>
      </c>
      <c r="B86" s="4" t="s">
        <v>60</v>
      </c>
      <c r="C86" s="4" t="s">
        <v>61</v>
      </c>
      <c r="D86" s="4" t="s">
        <v>62</v>
      </c>
      <c r="E86" s="4" t="s">
        <v>63</v>
      </c>
      <c r="F86" s="4">
        <f ca="1">ROUND(T_Facebook_Ads[[#This Row],[impressions]]*RANDBETWEEN(8,12)/10,0)</f>
        <v>31387</v>
      </c>
      <c r="G86" s="4">
        <v>1489</v>
      </c>
      <c r="H86" s="4">
        <f ca="1">T_Facebook_Ads[[#This Row],[spend]]*RANDBETWEEN(8,12)/10</f>
        <v>205.10999999999999</v>
      </c>
      <c r="I86" s="4">
        <f ca="1">ROUND(T_Facebook_Ads[[#This Row],[conversions]]*RANDBETWEEN(8,12)/10,0)</f>
        <v>38</v>
      </c>
      <c r="J86" s="4">
        <f ca="1">ROUND(T_Facebook_Ads[[#This Row],[video_views]]*RANDBETWEEN(8,12)/10,0)</f>
        <v>4711</v>
      </c>
      <c r="K86" s="4">
        <f ca="1">T_Facebook_Ads[[#This Row],[engagement_rate]]*RANDBETWEEN(8,12)/10</f>
        <v>3.7900000000000003E-2</v>
      </c>
      <c r="L86" s="4">
        <f ca="1">ROUND(T_Facebook_Ads[[#This Row],[reach]]*RANDBETWEEN(8,12)/10,0)</f>
        <v>38548</v>
      </c>
      <c r="M86" s="4">
        <f ca="1">T_Facebook_Ads[[#This Row],[frequency]]*RANDBETWEEN(8,12)/10</f>
        <v>1.22</v>
      </c>
      <c r="O86" s="3">
        <f t="shared" ca="1" si="10"/>
        <v>45264</v>
      </c>
      <c r="P86" s="4" t="s">
        <v>84</v>
      </c>
      <c r="Q86" s="4" t="s">
        <v>85</v>
      </c>
      <c r="R86" s="4" t="s">
        <v>86</v>
      </c>
      <c r="S86" s="4" t="s">
        <v>87</v>
      </c>
      <c r="T86" s="4">
        <f ca="1">ROUND(_Google_ads[[#This Row],[impressions]]*RANDBETWEEN(8,12)/10,0)</f>
        <v>88147</v>
      </c>
      <c r="U86" s="4">
        <f ca="1">ROUND(_Google_ads[[#This Row],[clicks]]*RANDBETWEEN(8,12)/10,0)</f>
        <v>2001</v>
      </c>
      <c r="V86" s="4">
        <f ca="1">_Google_ads[[#This Row],[cost]]*RANDBETWEEN(8,12)/10</f>
        <v>502.37</v>
      </c>
      <c r="W86" s="4">
        <f ca="1">ROUND(_Google_ads[[#This Row],[conversions]]*RANDBETWEEN(8,12)/10,0)</f>
        <v>88</v>
      </c>
      <c r="X86" s="4">
        <f ca="1">ROUND(_Google_ads[[#This Row],[conversion_value]]*RANDBETWEEN(8,12)/10,0)</f>
        <v>3285</v>
      </c>
      <c r="Y86" s="4">
        <f ca="1">_Google_ads[[#This Row],[ctr]]*RANDBETWEEN(8,12)/10</f>
        <v>3.4000000000000002E-2</v>
      </c>
      <c r="Z86" s="4">
        <f ca="1">_Google_ads[[#This Row],[avg_cpc]]*RANDBETWEEN(8,12)/10</f>
        <v>0.18</v>
      </c>
      <c r="AA86" s="4">
        <f ca="1">ROUND(_Google_ads[[#This Row],[quality_score]]*RANDBETWEEN(8,12)/10,0)</f>
        <v>7</v>
      </c>
      <c r="AB86" s="4">
        <f ca="1">_Google_ads[[#This Row],[search_impression_share]]*RANDBETWEEN(8,12)/10</f>
        <v>0.82799999999999996</v>
      </c>
      <c r="AD86" s="3">
        <f t="shared" ca="1" si="11"/>
        <v>45275</v>
      </c>
      <c r="AE86" s="4" t="s">
        <v>108</v>
      </c>
      <c r="AF86" s="4" t="s">
        <v>109</v>
      </c>
      <c r="AG86" s="4" t="s">
        <v>110</v>
      </c>
      <c r="AH86" s="4" t="s">
        <v>111</v>
      </c>
      <c r="AI86" s="4">
        <f ca="1">ROUND(T_Tiktok_ads[[#This Row],[impressions]]*RANDBETWEEN(8,12)/10,0)</f>
        <v>267890</v>
      </c>
      <c r="AJ86" s="4">
        <f ca="1">ROUND(T_Tiktok_ads[[#This Row],[clicks]]*RANDBETWEEN(8,12)/10,0)</f>
        <v>3711</v>
      </c>
      <c r="AK86" s="4">
        <v>512.6</v>
      </c>
      <c r="AL86" s="4">
        <f ca="1">ROUND(T_Tiktok_ads[[#This Row],[conversions]]*RANDBETWEEN(8,12)/10,0)</f>
        <v>33</v>
      </c>
      <c r="AM86" s="4">
        <f ca="1">ROUND(T_Tiktok_ads[[#This Row],[video_views]]*RANDBETWEEN(8,12)/10,0)</f>
        <v>191111</v>
      </c>
      <c r="AN86" s="4">
        <f ca="1">ROUND(T_Tiktok_ads[[#This Row],[video_watch_25]]*RANDBETWEEN(8,12)/10,0)</f>
        <v>192281</v>
      </c>
      <c r="AO86" s="4">
        <f ca="1">ROUND(T_Tiktok_ads[[#This Row],[video_watch_50]]*RANDBETWEEN(8,12)/10,0)</f>
        <v>101431</v>
      </c>
      <c r="AP86" s="4">
        <f ca="1">ROUND(T_Tiktok_ads[[#This Row],[video_watch_75]]*RANDBETWEEN(8,12)/10,0)</f>
        <v>64987</v>
      </c>
      <c r="AQ86" s="4">
        <f ca="1">ROUND(T_Tiktok_ads[[#This Row],[video_watch_100]]*RANDBETWEEN(8,12)/10,0)</f>
        <v>44311</v>
      </c>
      <c r="AR86" s="4">
        <f ca="1">ROUND(T_Tiktok_ads[[#This Row],[likes]]*RANDBETWEEN(8,12)/10,0)</f>
        <v>7298</v>
      </c>
      <c r="AS86" s="4">
        <f ca="1">ROUND(T_Tiktok_ads[[#This Row],[shares]]*RANDBETWEEN(8,12)/10,0)</f>
        <v>2824</v>
      </c>
      <c r="AT86" s="4">
        <f ca="1">ROUND(T_Tiktok_ads[[#This Row],[comments]]*RANDBETWEEN(8,12)/10,0)</f>
        <v>551</v>
      </c>
      <c r="AV86" s="5">
        <f t="shared" ca="1" si="12"/>
        <v>45267</v>
      </c>
      <c r="AW86">
        <f t="shared" ca="1" si="13"/>
        <v>2</v>
      </c>
      <c r="AX86">
        <f ca="1">ROUND(T_Facebook_Ads115963677175798387919599[[#This Row],[impressions]]*RANDBETWEEN(8,12)/10,0)</f>
        <v>25110</v>
      </c>
      <c r="AY86">
        <f ca="1">ROUND(T_Facebook_Ads115963677175798387919599[[#This Row],[clicks]]*RANDBETWEEN(8,12)/10,0)</f>
        <v>1787</v>
      </c>
      <c r="AZ86">
        <f ca="1">T_Facebook_Ads115963677175798387919599[[#This Row],[spend]]*RANDBETWEEN(8,12)/10</f>
        <v>205.10999999999999</v>
      </c>
      <c r="BA86">
        <f ca="1">ROUND(T_Facebook_Ads115963677175798387919599[[#This Row],[conversions]]*RANDBETWEEN(8,12)/10,0)</f>
        <v>30</v>
      </c>
      <c r="BB86">
        <f ca="1">ROUND(T_Facebook_Ads115963677175798387919599[[#This Row],[video_views]]*RANDBETWEEN(8,12)/10,0)</f>
        <v>5653</v>
      </c>
    </row>
    <row r="87" spans="1:54" ht="15.75" thickBot="1" x14ac:dyDescent="0.3">
      <c r="A87" s="3">
        <f t="shared" ca="1" si="9"/>
        <v>45278</v>
      </c>
      <c r="B87" s="4" t="s">
        <v>64</v>
      </c>
      <c r="C87" s="4" t="s">
        <v>65</v>
      </c>
      <c r="D87" s="4" t="s">
        <v>66</v>
      </c>
      <c r="E87" s="4" t="s">
        <v>67</v>
      </c>
      <c r="F87" s="4">
        <f ca="1">ROUND(T_Facebook_Ads[[#This Row],[impressions]]*RANDBETWEEN(8,12)/10,0)</f>
        <v>74567</v>
      </c>
      <c r="G87" s="4">
        <v>267</v>
      </c>
      <c r="H87" s="4">
        <f ca="1">T_Facebook_Ads[[#This Row],[spend]]*RANDBETWEEN(8,12)/10</f>
        <v>114.96</v>
      </c>
      <c r="I87" s="4">
        <f ca="1">ROUND(T_Facebook_Ads[[#This Row],[conversions]]*RANDBETWEEN(8,12)/10,0)</f>
        <v>7</v>
      </c>
      <c r="J87" s="4">
        <f ca="1">ROUND(T_Facebook_Ads[[#This Row],[video_views]]*RANDBETWEEN(8,12)/10,0)</f>
        <v>45211</v>
      </c>
      <c r="K87" s="4">
        <f ca="1">T_Facebook_Ads[[#This Row],[engagement_rate]]*RANDBETWEEN(8,12)/10</f>
        <v>3.2399999999999998E-3</v>
      </c>
      <c r="L87" s="4">
        <f ca="1">ROUND(T_Facebook_Ads[[#This Row],[reach]]*RANDBETWEEN(8,12)/10,0)</f>
        <v>72947</v>
      </c>
      <c r="M87" s="4">
        <f ca="1">T_Facebook_Ads[[#This Row],[frequency]]*RANDBETWEEN(8,12)/10</f>
        <v>1.23</v>
      </c>
      <c r="O87" s="3">
        <f t="shared" ca="1" si="10"/>
        <v>45261</v>
      </c>
      <c r="P87" s="4" t="s">
        <v>88</v>
      </c>
      <c r="Q87" s="4" t="s">
        <v>89</v>
      </c>
      <c r="R87" s="4" t="s">
        <v>90</v>
      </c>
      <c r="S87" s="4" t="s">
        <v>59</v>
      </c>
      <c r="T87" s="4">
        <f ca="1">ROUND(_Google_ads[[#This Row],[impressions]]*RANDBETWEEN(8,12)/10,0)</f>
        <v>167081</v>
      </c>
      <c r="U87" s="4">
        <f ca="1">ROUND(_Google_ads[[#This Row],[clicks]]*RANDBETWEEN(8,12)/10,0)</f>
        <v>575</v>
      </c>
      <c r="V87" s="4">
        <f ca="1">_Google_ads[[#This Row],[cost]]*RANDBETWEEN(8,12)/10</f>
        <v>150.48000000000002</v>
      </c>
      <c r="W87" s="4">
        <f ca="1">ROUND(_Google_ads[[#This Row],[conversions]]*RANDBETWEEN(8,12)/10,0)</f>
        <v>18</v>
      </c>
      <c r="X87" s="4">
        <f ca="1">ROUND(_Google_ads[[#This Row],[conversion_value]]*RANDBETWEEN(8,12)/10,0)</f>
        <v>675</v>
      </c>
      <c r="Y87" s="4">
        <f ca="1">_Google_ads[[#This Row],[ctr]]*RANDBETWEEN(8,12)/10</f>
        <v>4.5599999999999998E-3</v>
      </c>
      <c r="Z87" s="4">
        <f ca="1">_Google_ads[[#This Row],[avg_cpc]]*RANDBETWEEN(8,12)/10</f>
        <v>0.23399999999999999</v>
      </c>
      <c r="AA87" s="4">
        <f ca="1">ROUND(_Google_ads[[#This Row],[quality_score]]*RANDBETWEEN(8,12)/10,0)</f>
        <v>7</v>
      </c>
      <c r="AB87" s="4">
        <f ca="1">_Google_ads[[#This Row],[search_impression_share]]*RANDBETWEEN(8,12)/10</f>
        <v>0.28799999999999998</v>
      </c>
      <c r="AD87" s="3">
        <f t="shared" ca="1" si="11"/>
        <v>45283</v>
      </c>
      <c r="AE87" s="4" t="s">
        <v>112</v>
      </c>
      <c r="AF87" s="4" t="s">
        <v>113</v>
      </c>
      <c r="AG87" s="4" t="s">
        <v>114</v>
      </c>
      <c r="AH87" s="4" t="s">
        <v>115</v>
      </c>
      <c r="AI87" s="4">
        <f ca="1">ROUND(T_Tiktok_ads[[#This Row],[impressions]]*RANDBETWEEN(8,12)/10,0)</f>
        <v>456789</v>
      </c>
      <c r="AJ87" s="4">
        <f ca="1">ROUND(T_Tiktok_ads[[#This Row],[clicks]]*RANDBETWEEN(8,12)/10,0)</f>
        <v>8947</v>
      </c>
      <c r="AK87" s="4">
        <v>1167.8</v>
      </c>
      <c r="AL87" s="4">
        <f ca="1">ROUND(T_Tiktok_ads[[#This Row],[conversions]]*RANDBETWEEN(8,12)/10,0)</f>
        <v>94</v>
      </c>
      <c r="AM87" s="4">
        <f ca="1">ROUND(T_Tiktok_ads[[#This Row],[video_views]]*RANDBETWEEN(8,12)/10,0)</f>
        <v>389012</v>
      </c>
      <c r="AN87" s="4">
        <f ca="1">ROUND(T_Tiktok_ads[[#This Row],[video_watch_25]]*RANDBETWEEN(8,12)/10,0)</f>
        <v>249876</v>
      </c>
      <c r="AO87" s="4">
        <f ca="1">ROUND(T_Tiktok_ads[[#This Row],[video_watch_50]]*RANDBETWEEN(8,12)/10,0)</f>
        <v>249234</v>
      </c>
      <c r="AP87" s="4">
        <f ca="1">ROUND(T_Tiktok_ads[[#This Row],[video_watch_75]]*RANDBETWEEN(8,12)/10,0)</f>
        <v>160101</v>
      </c>
      <c r="AQ87" s="4">
        <f ca="1">ROUND(T_Tiktok_ads[[#This Row],[video_watch_100]]*RANDBETWEEN(8,12)/10,0)</f>
        <v>118234</v>
      </c>
      <c r="AR87" s="4">
        <f ca="1">ROUND(T_Tiktok_ads[[#This Row],[likes]]*RANDBETWEEN(8,12)/10,0)</f>
        <v>20234</v>
      </c>
      <c r="AS87" s="4">
        <f ca="1">ROUND(T_Tiktok_ads[[#This Row],[shares]]*RANDBETWEEN(8,12)/10,0)</f>
        <v>5321</v>
      </c>
      <c r="AT87" s="4">
        <f ca="1">ROUND(T_Tiktok_ads[[#This Row],[comments]]*RANDBETWEEN(8,12)/10,0)</f>
        <v>1623</v>
      </c>
      <c r="AV87" s="5">
        <f t="shared" ca="1" si="12"/>
        <v>45286</v>
      </c>
      <c r="AW87">
        <f t="shared" ca="1" si="13"/>
        <v>5</v>
      </c>
      <c r="AX87">
        <f ca="1">ROUND(T_Facebook_Ads115963677175798387919599[[#This Row],[impressions]]*RANDBETWEEN(8,12)/10,0)</f>
        <v>59654</v>
      </c>
      <c r="AY87">
        <f ca="1">ROUND(T_Facebook_Ads115963677175798387919599[[#This Row],[clicks]]*RANDBETWEEN(8,12)/10,0)</f>
        <v>320</v>
      </c>
      <c r="AZ87">
        <f ca="1">T_Facebook_Ads115963677175798387919599[[#This Row],[spend]]*RANDBETWEEN(8,12)/10</f>
        <v>126.45599999999999</v>
      </c>
      <c r="BA87">
        <f ca="1">ROUND(T_Facebook_Ads115963677175798387919599[[#This Row],[conversions]]*RANDBETWEEN(8,12)/10,0)</f>
        <v>6</v>
      </c>
      <c r="BB87">
        <f ca="1">ROUND(T_Facebook_Ads115963677175798387919599[[#This Row],[video_views]]*RANDBETWEEN(8,12)/10,0)</f>
        <v>54253</v>
      </c>
    </row>
    <row r="88" spans="1:54" ht="15.75" thickBot="1" x14ac:dyDescent="0.3">
      <c r="A88" s="3">
        <f t="shared" ca="1" si="9"/>
        <v>45280</v>
      </c>
      <c r="B88" s="4" t="s">
        <v>52</v>
      </c>
      <c r="C88" s="4" t="s">
        <v>53</v>
      </c>
      <c r="D88" s="4" t="s">
        <v>54</v>
      </c>
      <c r="E88" s="4" t="s">
        <v>55</v>
      </c>
      <c r="F88" s="4">
        <f ca="1">ROUND(T_Facebook_Ads[[#This Row],[impressions]]*RANDBETWEEN(8,12)/10,0)</f>
        <v>47510</v>
      </c>
      <c r="G88" s="4">
        <v>1123</v>
      </c>
      <c r="H88" s="4">
        <f ca="1">T_Facebook_Ads[[#This Row],[spend]]*RANDBETWEEN(8,12)/10</f>
        <v>156.4</v>
      </c>
      <c r="I88" s="4">
        <f ca="1">ROUND(T_Facebook_Ads[[#This Row],[conversions]]*RANDBETWEEN(8,12)/10,0)</f>
        <v>20</v>
      </c>
      <c r="J88" s="4">
        <f ca="1">ROUND(T_Facebook_Ads[[#This Row],[video_views]]*RANDBETWEEN(8,12)/10,0)</f>
        <v>11480</v>
      </c>
      <c r="K88" s="4">
        <f ca="1">T_Facebook_Ads[[#This Row],[engagement_rate]]*RANDBETWEEN(8,12)/10</f>
        <v>1.917E-2</v>
      </c>
      <c r="L88" s="4">
        <f ca="1">ROUND(T_Facebook_Ads[[#This Row],[reach]]*RANDBETWEEN(8,12)/10,0)</f>
        <v>52668</v>
      </c>
      <c r="M88" s="4">
        <f ca="1">T_Facebook_Ads[[#This Row],[frequency]]*RANDBETWEEN(8,12)/10</f>
        <v>1.0799999999999998</v>
      </c>
      <c r="O88" s="3">
        <f t="shared" ca="1" si="10"/>
        <v>45278</v>
      </c>
      <c r="P88" s="4" t="s">
        <v>76</v>
      </c>
      <c r="Q88" s="4" t="s">
        <v>77</v>
      </c>
      <c r="R88" s="4" t="s">
        <v>78</v>
      </c>
      <c r="S88" s="4" t="s">
        <v>79</v>
      </c>
      <c r="T88" s="4">
        <f ca="1">ROUND(_Google_ads[[#This Row],[impressions]]*RANDBETWEEN(8,12)/10,0)</f>
        <v>28234</v>
      </c>
      <c r="U88" s="4">
        <f ca="1">ROUND(_Google_ads[[#This Row],[clicks]]*RANDBETWEEN(8,12)/10,0)</f>
        <v>1210</v>
      </c>
      <c r="V88" s="4">
        <f ca="1">_Google_ads[[#This Row],[cost]]*RANDBETWEEN(8,12)/10</f>
        <v>230.08</v>
      </c>
      <c r="W88" s="4">
        <f ca="1">ROUND(_Google_ads[[#This Row],[conversions]]*RANDBETWEEN(8,12)/10,0)</f>
        <v>64</v>
      </c>
      <c r="X88" s="4">
        <f ca="1">ROUND(_Google_ads[[#This Row],[conversion_value]]*RANDBETWEEN(8,12)/10,0)</f>
        <v>2320</v>
      </c>
      <c r="Y88" s="4">
        <f ca="1">_Google_ads[[#This Row],[ctr]]*RANDBETWEEN(8,12)/10</f>
        <v>4.8149999999999998E-2</v>
      </c>
      <c r="Z88" s="4">
        <f ca="1">_Google_ads[[#This Row],[avg_cpc]]*RANDBETWEEN(8,12)/10</f>
        <v>0.20899999999999999</v>
      </c>
      <c r="AA88" s="4">
        <f ca="1">ROUND(_Google_ads[[#This Row],[quality_score]]*RANDBETWEEN(8,12)/10,0)</f>
        <v>11</v>
      </c>
      <c r="AB88" s="4">
        <f ca="1">_Google_ads[[#This Row],[search_impression_share]]*RANDBETWEEN(8,12)/10</f>
        <v>0.84599999999999986</v>
      </c>
      <c r="AD88" s="3">
        <f t="shared" ca="1" si="11"/>
        <v>45290</v>
      </c>
      <c r="AE88" s="4" t="s">
        <v>100</v>
      </c>
      <c r="AF88" s="4" t="s">
        <v>101</v>
      </c>
      <c r="AG88" s="4" t="s">
        <v>102</v>
      </c>
      <c r="AH88" s="4" t="s">
        <v>103</v>
      </c>
      <c r="AI88" s="4">
        <f ca="1">ROUND(T_Tiktok_ads[[#This Row],[impressions]]*RANDBETWEEN(8,12)/10,0)</f>
        <v>388147</v>
      </c>
      <c r="AJ88" s="4">
        <f ca="1">ROUND(T_Tiktok_ads[[#This Row],[clicks]]*RANDBETWEEN(8,12)/10,0)</f>
        <v>3831</v>
      </c>
      <c r="AK88" s="4">
        <v>645.70000000000005</v>
      </c>
      <c r="AL88" s="4">
        <f ca="1">ROUND(T_Tiktok_ads[[#This Row],[conversions]]*RANDBETWEEN(8,12)/10,0)</f>
        <v>55</v>
      </c>
      <c r="AM88" s="4">
        <f ca="1">ROUND(T_Tiktok_ads[[#This Row],[video_views]]*RANDBETWEEN(8,12)/10,0)</f>
        <v>267890</v>
      </c>
      <c r="AN88" s="4">
        <f ca="1">ROUND(T_Tiktok_ads[[#This Row],[video_watch_25]]*RANDBETWEEN(8,12)/10,0)</f>
        <v>188011</v>
      </c>
      <c r="AO88" s="4">
        <f ca="1">ROUND(T_Tiktok_ads[[#This Row],[video_watch_50]]*RANDBETWEEN(8,12)/10,0)</f>
        <v>157481</v>
      </c>
      <c r="AP88" s="4">
        <f ca="1">ROUND(T_Tiktok_ads[[#This Row],[video_watch_75]]*RANDBETWEEN(8,12)/10,0)</f>
        <v>88234</v>
      </c>
      <c r="AQ88" s="4">
        <f ca="1">ROUND(T_Tiktok_ads[[#This Row],[video_watch_100]]*RANDBETWEEN(8,12)/10,0)</f>
        <v>70681</v>
      </c>
      <c r="AR88" s="4">
        <f ca="1">ROUND(T_Tiktok_ads[[#This Row],[likes]]*RANDBETWEEN(8,12)/10,0)</f>
        <v>11567</v>
      </c>
      <c r="AS88" s="4">
        <f ca="1">ROUND(T_Tiktok_ads[[#This Row],[shares]]*RANDBETWEEN(8,12)/10,0)</f>
        <v>2821</v>
      </c>
      <c r="AT88" s="4">
        <f ca="1">ROUND(T_Tiktok_ads[[#This Row],[comments]]*RANDBETWEEN(8,12)/10,0)</f>
        <v>881</v>
      </c>
      <c r="AV88" s="5">
        <f t="shared" ca="1" si="12"/>
        <v>45282</v>
      </c>
      <c r="AW88">
        <f t="shared" ca="1" si="13"/>
        <v>8</v>
      </c>
      <c r="AX88">
        <f ca="1">ROUND(T_Facebook_Ads115963677175798387919599[[#This Row],[impressions]]*RANDBETWEEN(8,12)/10,0)</f>
        <v>52261</v>
      </c>
      <c r="AY88">
        <f ca="1">ROUND(T_Facebook_Ads115963677175798387919599[[#This Row],[clicks]]*RANDBETWEEN(8,12)/10,0)</f>
        <v>1235</v>
      </c>
      <c r="AZ88">
        <f ca="1">T_Facebook_Ads115963677175798387919599[[#This Row],[spend]]*RANDBETWEEN(8,12)/10</f>
        <v>187.68</v>
      </c>
      <c r="BA88">
        <f ca="1">ROUND(T_Facebook_Ads115963677175798387919599[[#This Row],[conversions]]*RANDBETWEEN(8,12)/10,0)</f>
        <v>22</v>
      </c>
      <c r="BB88">
        <f ca="1">ROUND(T_Facebook_Ads115963677175798387919599[[#This Row],[video_views]]*RANDBETWEEN(8,12)/10,0)</f>
        <v>11480</v>
      </c>
    </row>
    <row r="89" spans="1:54" ht="15.75" thickBot="1" x14ac:dyDescent="0.3">
      <c r="A89" s="3">
        <f t="shared" ca="1" si="9"/>
        <v>45272</v>
      </c>
      <c r="B89" s="4" t="s">
        <v>56</v>
      </c>
      <c r="C89" s="4" t="s">
        <v>57</v>
      </c>
      <c r="D89" s="4" t="s">
        <v>58</v>
      </c>
      <c r="E89" s="4" t="s">
        <v>59</v>
      </c>
      <c r="F89" s="4">
        <f ca="1">ROUND(T_Facebook_Ads[[#This Row],[impressions]]*RANDBETWEEN(8,12)/10,0)</f>
        <v>14110</v>
      </c>
      <c r="G89" s="4">
        <v>756</v>
      </c>
      <c r="H89" s="4">
        <f ca="1">T_Facebook_Ads[[#This Row],[spend]]*RANDBETWEEN(8,12)/10</f>
        <v>215.11999999999998</v>
      </c>
      <c r="I89" s="4">
        <f ca="1">ROUND(T_Facebook_Ads[[#This Row],[conversions]]*RANDBETWEEN(8,12)/10,0)</f>
        <v>47</v>
      </c>
      <c r="J89" s="4">
        <f ca="1">ROUND(T_Facebook_Ads[[#This Row],[video_views]]*RANDBETWEEN(8,12)/10,0)</f>
        <v>1846</v>
      </c>
      <c r="K89" s="4">
        <f ca="1">T_Facebook_Ads[[#This Row],[engagement_rate]]*RANDBETWEEN(8,12)/10</f>
        <v>4.3380000000000002E-2</v>
      </c>
      <c r="L89" s="4">
        <f ca="1">ROUND(T_Facebook_Ads[[#This Row],[reach]]*RANDBETWEEN(8,12)/10,0)</f>
        <v>11111</v>
      </c>
      <c r="M89" s="4">
        <f ca="1">T_Facebook_Ads[[#This Row],[frequency]]*RANDBETWEEN(8,12)/10</f>
        <v>1.016</v>
      </c>
      <c r="O89" s="3">
        <f t="shared" ca="1" si="10"/>
        <v>45284</v>
      </c>
      <c r="P89" s="4" t="s">
        <v>80</v>
      </c>
      <c r="Q89" s="4" t="s">
        <v>81</v>
      </c>
      <c r="R89" s="4" t="s">
        <v>82</v>
      </c>
      <c r="S89" s="4" t="s">
        <v>83</v>
      </c>
      <c r="T89" s="4">
        <f ca="1">ROUND(_Google_ads[[#This Row],[impressions]]*RANDBETWEEN(8,12)/10,0)</f>
        <v>39654</v>
      </c>
      <c r="U89" s="4">
        <f ca="1">ROUND(_Google_ads[[#This Row],[clicks]]*RANDBETWEEN(8,12)/10,0)</f>
        <v>810</v>
      </c>
      <c r="V89" s="4">
        <f ca="1">_Google_ads[[#This Row],[cost]]*RANDBETWEEN(8,12)/10</f>
        <v>761.04000000000008</v>
      </c>
      <c r="W89" s="4">
        <f ca="1">ROUND(_Google_ads[[#This Row],[conversions]]*RANDBETWEEN(8,12)/10,0)</f>
        <v>24</v>
      </c>
      <c r="X89" s="4">
        <f ca="1">ROUND(_Google_ads[[#This Row],[conversion_value]]*RANDBETWEEN(8,12)/10,0)</f>
        <v>1215</v>
      </c>
      <c r="Y89" s="4">
        <f ca="1">_Google_ads[[#This Row],[ctr]]*RANDBETWEEN(8,12)/10</f>
        <v>2.4480000000000002E-2</v>
      </c>
      <c r="Z89" s="4">
        <f ca="1">_Google_ads[[#This Row],[avg_cpc]]*RANDBETWEEN(8,12)/10</f>
        <v>0.75600000000000001</v>
      </c>
      <c r="AA89" s="4">
        <f ca="1">ROUND(_Google_ads[[#This Row],[quality_score]]*RANDBETWEEN(8,12)/10,0)</f>
        <v>8</v>
      </c>
      <c r="AB89" s="4">
        <f ca="1">_Google_ads[[#This Row],[search_impression_share]]*RANDBETWEEN(8,12)/10</f>
        <v>0.42299999999999993</v>
      </c>
      <c r="AD89" s="3">
        <f t="shared" ca="1" si="11"/>
        <v>45265</v>
      </c>
      <c r="AE89" s="4" t="s">
        <v>104</v>
      </c>
      <c r="AF89" s="4" t="s">
        <v>105</v>
      </c>
      <c r="AG89" s="4" t="s">
        <v>106</v>
      </c>
      <c r="AH89" s="4" t="s">
        <v>107</v>
      </c>
      <c r="AI89" s="4">
        <f ca="1">ROUND(T_Tiktok_ads[[#This Row],[impressions]]*RANDBETWEEN(8,12)/10,0)</f>
        <v>161011</v>
      </c>
      <c r="AJ89" s="4">
        <f ca="1">ROUND(T_Tiktok_ads[[#This Row],[clicks]]*RANDBETWEEN(8,12)/10,0)</f>
        <v>3110</v>
      </c>
      <c r="AK89" s="4">
        <v>889.5</v>
      </c>
      <c r="AL89" s="4">
        <f ca="1">ROUND(T_Tiktok_ads[[#This Row],[conversions]]*RANDBETWEEN(8,12)/10,0)</f>
        <v>80</v>
      </c>
      <c r="AM89" s="4">
        <f ca="1">ROUND(T_Tiktok_ads[[#This Row],[video_views]]*RANDBETWEEN(8,12)/10,0)</f>
        <v>116011</v>
      </c>
      <c r="AN89" s="4">
        <f ca="1">ROUND(T_Tiktok_ads[[#This Row],[video_watch_25]]*RANDBETWEEN(8,12)/10,0)</f>
        <v>105246</v>
      </c>
      <c r="AO89" s="4">
        <f ca="1">ROUND(T_Tiktok_ads[[#This Row],[video_watch_50]]*RANDBETWEEN(8,12)/10,0)</f>
        <v>64567</v>
      </c>
      <c r="AP89" s="4">
        <f ca="1">ROUND(T_Tiktok_ads[[#This Row],[video_watch_75]]*RANDBETWEEN(8,12)/10,0)</f>
        <v>38854</v>
      </c>
      <c r="AQ89" s="4">
        <f ca="1">ROUND(T_Tiktok_ads[[#This Row],[video_watch_100]]*RANDBETWEEN(8,12)/10,0)</f>
        <v>38814</v>
      </c>
      <c r="AR89" s="4">
        <f ca="1">ROUND(T_Tiktok_ads[[#This Row],[likes]]*RANDBETWEEN(8,12)/10,0)</f>
        <v>6735</v>
      </c>
      <c r="AS89" s="4">
        <f ca="1">ROUND(T_Tiktok_ads[[#This Row],[shares]]*RANDBETWEEN(8,12)/10,0)</f>
        <v>1387</v>
      </c>
      <c r="AT89" s="4">
        <f ca="1">ROUND(T_Tiktok_ads[[#This Row],[comments]]*RANDBETWEEN(8,12)/10,0)</f>
        <v>276</v>
      </c>
      <c r="AV89" s="5">
        <f t="shared" ca="1" si="12"/>
        <v>45289</v>
      </c>
      <c r="AW89">
        <f t="shared" ca="1" si="13"/>
        <v>3</v>
      </c>
      <c r="AX89">
        <f ca="1">ROUND(T_Facebook_Ads115963677175798387919599[[#This Row],[impressions]]*RANDBETWEEN(8,12)/10,0)</f>
        <v>12699</v>
      </c>
      <c r="AY89">
        <f ca="1">ROUND(T_Facebook_Ads115963677175798387919599[[#This Row],[clicks]]*RANDBETWEEN(8,12)/10,0)</f>
        <v>680</v>
      </c>
      <c r="AZ89">
        <f ca="1">T_Facebook_Ads115963677175798387919599[[#This Row],[spend]]*RANDBETWEEN(8,12)/10</f>
        <v>258.14399999999995</v>
      </c>
      <c r="BA89">
        <f ca="1">ROUND(T_Facebook_Ads115963677175798387919599[[#This Row],[conversions]]*RANDBETWEEN(8,12)/10,0)</f>
        <v>42</v>
      </c>
      <c r="BB89">
        <f ca="1">ROUND(T_Facebook_Ads115963677175798387919599[[#This Row],[video_views]]*RANDBETWEEN(8,12)/10,0)</f>
        <v>1661</v>
      </c>
    </row>
    <row r="90" spans="1:54" ht="15.75" thickBot="1" x14ac:dyDescent="0.3">
      <c r="A90" s="3">
        <f t="shared" ca="1" si="9"/>
        <v>45263</v>
      </c>
      <c r="B90" s="4" t="s">
        <v>60</v>
      </c>
      <c r="C90" s="4" t="s">
        <v>61</v>
      </c>
      <c r="D90" s="4" t="s">
        <v>62</v>
      </c>
      <c r="E90" s="4" t="s">
        <v>63</v>
      </c>
      <c r="F90" s="4">
        <f ca="1">ROUND(T_Facebook_Ads[[#This Row],[impressions]]*RANDBETWEEN(8,12)/10,0)</f>
        <v>32454</v>
      </c>
      <c r="G90" s="4">
        <v>1567</v>
      </c>
      <c r="H90" s="4">
        <f ca="1">T_Facebook_Ads[[#This Row],[spend]]*RANDBETWEEN(8,12)/10</f>
        <v>262.45999999999998</v>
      </c>
      <c r="I90" s="4">
        <f ca="1">ROUND(T_Facebook_Ads[[#This Row],[conversions]]*RANDBETWEEN(8,12)/10,0)</f>
        <v>41</v>
      </c>
      <c r="J90" s="4">
        <f ca="1">ROUND(T_Facebook_Ads[[#This Row],[video_views]]*RANDBETWEEN(8,12)/10,0)</f>
        <v>6547</v>
      </c>
      <c r="K90" s="4">
        <f ca="1">T_Facebook_Ads[[#This Row],[engagement_rate]]*RANDBETWEEN(8,12)/10</f>
        <v>3.0880000000000001E-2</v>
      </c>
      <c r="L90" s="4">
        <f ca="1">ROUND(T_Facebook_Ads[[#This Row],[reach]]*RANDBETWEEN(8,12)/10,0)</f>
        <v>33234</v>
      </c>
      <c r="M90" s="4">
        <f ca="1">T_Facebook_Ads[[#This Row],[frequency]]*RANDBETWEEN(8,12)/10</f>
        <v>1.22</v>
      </c>
      <c r="O90" s="3">
        <f t="shared" ca="1" si="10"/>
        <v>45280</v>
      </c>
      <c r="P90" s="4" t="s">
        <v>84</v>
      </c>
      <c r="Q90" s="4" t="s">
        <v>85</v>
      </c>
      <c r="R90" s="4" t="s">
        <v>86</v>
      </c>
      <c r="S90" s="4" t="s">
        <v>87</v>
      </c>
      <c r="T90" s="4">
        <f ca="1">ROUND(_Google_ads[[#This Row],[impressions]]*RANDBETWEEN(8,12)/10,0)</f>
        <v>67711</v>
      </c>
      <c r="U90" s="4">
        <f ca="1">ROUND(_Google_ads[[#This Row],[clicks]]*RANDBETWEEN(8,12)/10,0)</f>
        <v>2310</v>
      </c>
      <c r="V90" s="4">
        <f ca="1">_Google_ads[[#This Row],[cost]]*RANDBETWEEN(8,12)/10</f>
        <v>514.58000000000004</v>
      </c>
      <c r="W90" s="4">
        <f ca="1">ROUND(_Google_ads[[#This Row],[conversions]]*RANDBETWEEN(8,12)/10,0)</f>
        <v>83</v>
      </c>
      <c r="X90" s="4">
        <f ca="1">ROUND(_Google_ads[[#This Row],[conversion_value]]*RANDBETWEEN(8,12)/10,0)</f>
        <v>4125</v>
      </c>
      <c r="Y90" s="4">
        <f ca="1">_Google_ads[[#This Row],[ctr]]*RANDBETWEEN(8,12)/10</f>
        <v>3.0690000000000002E-2</v>
      </c>
      <c r="Z90" s="4">
        <f ca="1">_Google_ads[[#This Row],[avg_cpc]]*RANDBETWEEN(8,12)/10</f>
        <v>0.14399999999999999</v>
      </c>
      <c r="AA90" s="4">
        <f ca="1">ROUND(_Google_ads[[#This Row],[quality_score]]*RANDBETWEEN(8,12)/10,0)</f>
        <v>10</v>
      </c>
      <c r="AB90" s="4">
        <f ca="1">_Google_ads[[#This Row],[search_impression_share]]*RANDBETWEEN(8,12)/10</f>
        <v>0.76999999999999991</v>
      </c>
      <c r="AD90" s="3">
        <f t="shared" ca="1" si="11"/>
        <v>45289</v>
      </c>
      <c r="AE90" s="4" t="s">
        <v>108</v>
      </c>
      <c r="AF90" s="4" t="s">
        <v>109</v>
      </c>
      <c r="AG90" s="4" t="s">
        <v>110</v>
      </c>
      <c r="AH90" s="4" t="s">
        <v>111</v>
      </c>
      <c r="AI90" s="4">
        <f ca="1">ROUND(T_Tiktok_ads[[#This Row],[impressions]]*RANDBETWEEN(8,12)/10,0)</f>
        <v>306791</v>
      </c>
      <c r="AJ90" s="4">
        <f ca="1">ROUND(T_Tiktok_ads[[#This Row],[clicks]]*RANDBETWEEN(8,12)/10,0)</f>
        <v>3811</v>
      </c>
      <c r="AK90" s="4">
        <v>534.20000000000005</v>
      </c>
      <c r="AL90" s="4">
        <f ca="1">ROUND(T_Tiktok_ads[[#This Row],[conversions]]*RANDBETWEEN(8,12)/10,0)</f>
        <v>39</v>
      </c>
      <c r="AM90" s="4">
        <f ca="1">ROUND(T_Tiktok_ads[[#This Row],[video_views]]*RANDBETWEEN(8,12)/10,0)</f>
        <v>268147</v>
      </c>
      <c r="AN90" s="4">
        <f ca="1">ROUND(T_Tiktok_ads[[#This Row],[video_watch_25]]*RANDBETWEEN(8,12)/10,0)</f>
        <v>202681</v>
      </c>
      <c r="AO90" s="4">
        <f ca="1">ROUND(T_Tiktok_ads[[#This Row],[video_watch_50]]*RANDBETWEEN(8,12)/10,0)</f>
        <v>160147</v>
      </c>
      <c r="AP90" s="4">
        <f ca="1">ROUND(T_Tiktok_ads[[#This Row],[video_watch_75]]*RANDBETWEEN(8,12)/10,0)</f>
        <v>85678</v>
      </c>
      <c r="AQ90" s="4">
        <f ca="1">ROUND(T_Tiktok_ads[[#This Row],[video_watch_100]]*RANDBETWEEN(8,12)/10,0)</f>
        <v>51789</v>
      </c>
      <c r="AR90" s="4">
        <f ca="1">ROUND(T_Tiktok_ads[[#This Row],[likes]]*RANDBETWEEN(8,12)/10,0)</f>
        <v>8510</v>
      </c>
      <c r="AS90" s="4">
        <f ca="1">ROUND(T_Tiktok_ads[[#This Row],[shares]]*RANDBETWEEN(8,12)/10,0)</f>
        <v>2634</v>
      </c>
      <c r="AT90" s="4">
        <f ca="1">ROUND(T_Tiktok_ads[[#This Row],[comments]]*RANDBETWEEN(8,12)/10,0)</f>
        <v>623</v>
      </c>
      <c r="AV90" s="5">
        <f t="shared" ca="1" si="12"/>
        <v>45264</v>
      </c>
      <c r="AW90">
        <f t="shared" ca="1" si="13"/>
        <v>7</v>
      </c>
      <c r="AX90">
        <f ca="1">ROUND(T_Facebook_Ads115963677175798387919599[[#This Row],[impressions]]*RANDBETWEEN(8,12)/10,0)</f>
        <v>35699</v>
      </c>
      <c r="AY90">
        <f ca="1">ROUND(T_Facebook_Ads115963677175798387919599[[#This Row],[clicks]]*RANDBETWEEN(8,12)/10,0)</f>
        <v>1567</v>
      </c>
      <c r="AZ90">
        <f ca="1">T_Facebook_Ads115963677175798387919599[[#This Row],[spend]]*RANDBETWEEN(8,12)/10</f>
        <v>209.96799999999999</v>
      </c>
      <c r="BA90">
        <f ca="1">ROUND(T_Facebook_Ads115963677175798387919599[[#This Row],[conversions]]*RANDBETWEEN(8,12)/10,0)</f>
        <v>49</v>
      </c>
      <c r="BB90">
        <f ca="1">ROUND(T_Facebook_Ads115963677175798387919599[[#This Row],[video_views]]*RANDBETWEEN(8,12)/10,0)</f>
        <v>5238</v>
      </c>
    </row>
    <row r="91" spans="1:54" ht="15.75" thickBot="1" x14ac:dyDescent="0.3">
      <c r="A91" s="3">
        <f t="shared" ca="1" si="9"/>
        <v>45270</v>
      </c>
      <c r="B91" s="4" t="s">
        <v>64</v>
      </c>
      <c r="C91" s="4" t="s">
        <v>65</v>
      </c>
      <c r="D91" s="4" t="s">
        <v>66</v>
      </c>
      <c r="E91" s="4" t="s">
        <v>67</v>
      </c>
      <c r="F91" s="4">
        <f ca="1">ROUND(T_Facebook_Ads[[#This Row],[impressions]]*RANDBETWEEN(8,12)/10,0)</f>
        <v>69201</v>
      </c>
      <c r="G91" s="4">
        <v>278</v>
      </c>
      <c r="H91" s="4">
        <f ca="1">T_Facebook_Ads[[#This Row],[spend]]*RANDBETWEEN(8,12)/10</f>
        <v>119.04</v>
      </c>
      <c r="I91" s="4">
        <f ca="1">ROUND(T_Facebook_Ads[[#This Row],[conversions]]*RANDBETWEEN(8,12)/10,0)</f>
        <v>8</v>
      </c>
      <c r="J91" s="4">
        <f ca="1">ROUND(T_Facebook_Ads[[#This Row],[video_views]]*RANDBETWEEN(8,12)/10,0)</f>
        <v>61880</v>
      </c>
      <c r="K91" s="4">
        <f ca="1">T_Facebook_Ads[[#This Row],[engagement_rate]]*RANDBETWEEN(8,12)/10</f>
        <v>2.8799999999999997E-3</v>
      </c>
      <c r="L91" s="4">
        <f ca="1">ROUND(T_Facebook_Ads[[#This Row],[reach]]*RANDBETWEEN(8,12)/10,0)</f>
        <v>56601</v>
      </c>
      <c r="M91" s="4">
        <f ca="1">T_Facebook_Ads[[#This Row],[frequency]]*RANDBETWEEN(8,12)/10</f>
        <v>1.107</v>
      </c>
      <c r="O91" s="3">
        <f t="shared" ca="1" si="10"/>
        <v>45268</v>
      </c>
      <c r="P91" s="4" t="s">
        <v>88</v>
      </c>
      <c r="Q91" s="4" t="s">
        <v>89</v>
      </c>
      <c r="R91" s="4" t="s">
        <v>90</v>
      </c>
      <c r="S91" s="4" t="s">
        <v>59</v>
      </c>
      <c r="T91" s="4">
        <f ca="1">ROUND(_Google_ads[[#This Row],[impressions]]*RANDBETWEEN(8,12)/10,0)</f>
        <v>156580</v>
      </c>
      <c r="U91" s="4">
        <f ca="1">ROUND(_Google_ads[[#This Row],[clicks]]*RANDBETWEEN(8,12)/10,0)</f>
        <v>600</v>
      </c>
      <c r="V91" s="4">
        <f ca="1">_Google_ads[[#This Row],[cost]]*RANDBETWEEN(8,12)/10</f>
        <v>167.88000000000002</v>
      </c>
      <c r="W91" s="4">
        <f ca="1">ROUND(_Google_ads[[#This Row],[conversions]]*RANDBETWEEN(8,12)/10,0)</f>
        <v>18</v>
      </c>
      <c r="X91" s="4">
        <f ca="1">ROUND(_Google_ads[[#This Row],[conversion_value]]*RANDBETWEEN(8,12)/10,0)</f>
        <v>640</v>
      </c>
      <c r="Y91" s="4">
        <f ca="1">_Google_ads[[#This Row],[ctr]]*RANDBETWEEN(8,12)/10</f>
        <v>3.4200000000000003E-3</v>
      </c>
      <c r="Z91" s="4">
        <f ca="1">_Google_ads[[#This Row],[avg_cpc]]*RANDBETWEEN(8,12)/10</f>
        <v>0.312</v>
      </c>
      <c r="AA91" s="4">
        <f ca="1">ROUND(_Google_ads[[#This Row],[quality_score]]*RANDBETWEEN(8,12)/10,0)</f>
        <v>6</v>
      </c>
      <c r="AB91" s="4">
        <f ca="1">_Google_ads[[#This Row],[search_impression_share]]*RANDBETWEEN(8,12)/10</f>
        <v>0.44399999999999995</v>
      </c>
      <c r="AD91" s="3">
        <f t="shared" ca="1" si="11"/>
        <v>45278</v>
      </c>
      <c r="AE91" s="4" t="s">
        <v>112</v>
      </c>
      <c r="AF91" s="4" t="s">
        <v>113</v>
      </c>
      <c r="AG91" s="4" t="s">
        <v>114</v>
      </c>
      <c r="AH91" s="4" t="s">
        <v>115</v>
      </c>
      <c r="AI91" s="4">
        <f ca="1">ROUND(T_Tiktok_ads[[#This Row],[impressions]]*RANDBETWEEN(8,12)/10,0)</f>
        <v>374312</v>
      </c>
      <c r="AJ91" s="4">
        <f ca="1">ROUND(T_Tiktok_ads[[#This Row],[clicks]]*RANDBETWEEN(8,12)/10,0)</f>
        <v>8385</v>
      </c>
      <c r="AK91" s="4">
        <v>1189.4000000000001</v>
      </c>
      <c r="AL91" s="4">
        <f ca="1">ROUND(T_Tiktok_ads[[#This Row],[conversions]]*RANDBETWEEN(8,12)/10,0)</f>
        <v>108</v>
      </c>
      <c r="AM91" s="4">
        <f ca="1">ROUND(T_Tiktok_ads[[#This Row],[video_views]]*RANDBETWEEN(8,12)/10,0)</f>
        <v>441357</v>
      </c>
      <c r="AN91" s="4">
        <f ca="1">ROUND(T_Tiktok_ads[[#This Row],[video_watch_25]]*RANDBETWEEN(8,12)/10,0)</f>
        <v>323456</v>
      </c>
      <c r="AO91" s="4">
        <f ca="1">ROUND(T_Tiktok_ads[[#This Row],[video_watch_50]]*RANDBETWEEN(8,12)/10,0)</f>
        <v>233011</v>
      </c>
      <c r="AP91" s="4">
        <f ca="1">ROUND(T_Tiktok_ads[[#This Row],[video_watch_75]]*RANDBETWEEN(8,12)/10,0)</f>
        <v>221480</v>
      </c>
      <c r="AQ91" s="4">
        <f ca="1">ROUND(T_Tiktok_ads[[#This Row],[video_watch_100]]*RANDBETWEEN(8,12)/10,0)</f>
        <v>134580</v>
      </c>
      <c r="AR91" s="4">
        <f ca="1">ROUND(T_Tiktok_ads[[#This Row],[likes]]*RANDBETWEEN(8,12)/10,0)</f>
        <v>20789</v>
      </c>
      <c r="AS91" s="4">
        <f ca="1">ROUND(T_Tiktok_ads[[#This Row],[shares]]*RANDBETWEEN(8,12)/10,0)</f>
        <v>7241</v>
      </c>
      <c r="AT91" s="4">
        <f ca="1">ROUND(T_Tiktok_ads[[#This Row],[comments]]*RANDBETWEEN(8,12)/10,0)</f>
        <v>2014</v>
      </c>
      <c r="AV91" s="5">
        <f t="shared" ca="1" si="12"/>
        <v>45289</v>
      </c>
      <c r="AW91">
        <f t="shared" ca="1" si="13"/>
        <v>6</v>
      </c>
      <c r="AX91">
        <f ca="1">ROUND(T_Facebook_Ads115963677175798387919599[[#This Row],[impressions]]*RANDBETWEEN(8,12)/10,0)</f>
        <v>62281</v>
      </c>
      <c r="AY91">
        <f ca="1">ROUND(T_Facebook_Ads115963677175798387919599[[#This Row],[clicks]]*RANDBETWEEN(8,12)/10,0)</f>
        <v>306</v>
      </c>
      <c r="AZ91">
        <f ca="1">T_Facebook_Ads115963677175798387919599[[#This Row],[spend]]*RANDBETWEEN(8,12)/10</f>
        <v>95.231999999999999</v>
      </c>
      <c r="BA91">
        <f ca="1">ROUND(T_Facebook_Ads115963677175798387919599[[#This Row],[conversions]]*RANDBETWEEN(8,12)/10,0)</f>
        <v>10</v>
      </c>
      <c r="BB91">
        <f ca="1">ROUND(T_Facebook_Ads115963677175798387919599[[#This Row],[video_views]]*RANDBETWEEN(8,12)/10,0)</f>
        <v>49504</v>
      </c>
    </row>
    <row r="92" spans="1:54" ht="15.75" thickBot="1" x14ac:dyDescent="0.3">
      <c r="A92" s="3">
        <f t="shared" ca="1" si="9"/>
        <v>45287</v>
      </c>
      <c r="B92" s="4" t="s">
        <v>52</v>
      </c>
      <c r="C92" s="4" t="s">
        <v>53</v>
      </c>
      <c r="D92" s="4" t="s">
        <v>54</v>
      </c>
      <c r="E92" s="4" t="s">
        <v>55</v>
      </c>
      <c r="F92" s="4">
        <f ca="1">ROUND(T_Facebook_Ads[[#This Row],[impressions]]*RANDBETWEEN(8,12)/10,0)</f>
        <v>50123</v>
      </c>
      <c r="G92" s="4">
        <v>1034</v>
      </c>
      <c r="H92" s="4">
        <f ca="1">T_Facebook_Ads[[#This Row],[spend]]*RANDBETWEEN(8,12)/10</f>
        <v>132.75</v>
      </c>
      <c r="I92" s="4">
        <f ca="1">ROUND(T_Facebook_Ads[[#This Row],[conversions]]*RANDBETWEEN(8,12)/10,0)</f>
        <v>15</v>
      </c>
      <c r="J92" s="4">
        <f ca="1">ROUND(T_Facebook_Ads[[#This Row],[video_views]]*RANDBETWEEN(8,12)/10,0)</f>
        <v>10035</v>
      </c>
      <c r="K92" s="4">
        <f ca="1">T_Facebook_Ads[[#This Row],[engagement_rate]]*RANDBETWEEN(8,12)/10</f>
        <v>2.4719999999999999E-2</v>
      </c>
      <c r="L92" s="4">
        <f ca="1">ROUND(T_Facebook_Ads[[#This Row],[reach]]*RANDBETWEEN(8,12)/10,0)</f>
        <v>41890</v>
      </c>
      <c r="M92" s="4">
        <f ca="1">T_Facebook_Ads[[#This Row],[frequency]]*RANDBETWEEN(8,12)/10</f>
        <v>1.2</v>
      </c>
      <c r="O92" s="3">
        <f t="shared" ca="1" si="10"/>
        <v>45286</v>
      </c>
      <c r="P92" s="4" t="s">
        <v>76</v>
      </c>
      <c r="Q92" s="4" t="s">
        <v>77</v>
      </c>
      <c r="R92" s="4" t="s">
        <v>78</v>
      </c>
      <c r="S92" s="4" t="s">
        <v>79</v>
      </c>
      <c r="T92" s="4">
        <f ca="1">ROUND(_Google_ads[[#This Row],[impressions]]*RANDBETWEEN(8,12)/10,0)</f>
        <v>29468</v>
      </c>
      <c r="U92" s="4">
        <f ca="1">ROUND(_Google_ads[[#This Row],[clicks]]*RANDBETWEEN(8,12)/10,0)</f>
        <v>1378</v>
      </c>
      <c r="V92" s="4">
        <f ca="1">_Google_ads[[#This Row],[cost]]*RANDBETWEEN(8,12)/10</f>
        <v>316.08</v>
      </c>
      <c r="W92" s="4">
        <f ca="1">ROUND(_Google_ads[[#This Row],[conversions]]*RANDBETWEEN(8,12)/10,0)</f>
        <v>42</v>
      </c>
      <c r="X92" s="4">
        <f ca="1">ROUND(_Google_ads[[#This Row],[conversion_value]]*RANDBETWEEN(8,12)/10,0)</f>
        <v>2915</v>
      </c>
      <c r="Y92" s="4">
        <f ca="1">_Google_ads[[#This Row],[ctr]]*RANDBETWEEN(8,12)/10</f>
        <v>4.1200000000000001E-2</v>
      </c>
      <c r="Z92" s="4">
        <f ca="1">_Google_ads[[#This Row],[avg_cpc]]*RANDBETWEEN(8,12)/10</f>
        <v>0.17099999999999999</v>
      </c>
      <c r="AA92" s="4">
        <f ca="1">ROUND(_Google_ads[[#This Row],[quality_score]]*RANDBETWEEN(8,12)/10,0)</f>
        <v>9</v>
      </c>
      <c r="AB92" s="4">
        <f ca="1">_Google_ads[[#This Row],[search_impression_share]]*RANDBETWEEN(8,12)/10</f>
        <v>1.012</v>
      </c>
      <c r="AD92" s="3">
        <f t="shared" ca="1" si="11"/>
        <v>45272</v>
      </c>
      <c r="AE92" s="4" t="s">
        <v>100</v>
      </c>
      <c r="AF92" s="4" t="s">
        <v>101</v>
      </c>
      <c r="AG92" s="4" t="s">
        <v>102</v>
      </c>
      <c r="AH92" s="4" t="s">
        <v>103</v>
      </c>
      <c r="AI92" s="4">
        <f ca="1">ROUND(T_Tiktok_ads[[#This Row],[impressions]]*RANDBETWEEN(8,12)/10,0)</f>
        <v>361481</v>
      </c>
      <c r="AJ92" s="4">
        <f ca="1">ROUND(T_Tiktok_ads[[#This Row],[clicks]]*RANDBETWEEN(8,12)/10,0)</f>
        <v>4456</v>
      </c>
      <c r="AK92" s="4">
        <v>589.9</v>
      </c>
      <c r="AL92" s="4">
        <f ca="1">ROUND(T_Tiktok_ads[[#This Row],[conversions]]*RANDBETWEEN(8,12)/10,0)</f>
        <v>37</v>
      </c>
      <c r="AM92" s="4">
        <f ca="1">ROUND(T_Tiktok_ads[[#This Row],[video_views]]*RANDBETWEEN(8,12)/10,0)</f>
        <v>196542</v>
      </c>
      <c r="AN92" s="4">
        <f ca="1">ROUND(T_Tiktok_ads[[#This Row],[video_watch_25]]*RANDBETWEEN(8,12)/10,0)</f>
        <v>191234</v>
      </c>
      <c r="AO92" s="4">
        <f ca="1">ROUND(T_Tiktok_ads[[#This Row],[video_watch_50]]*RANDBETWEEN(8,12)/10,0)</f>
        <v>107311</v>
      </c>
      <c r="AP92" s="4">
        <f ca="1">ROUND(T_Tiktok_ads[[#This Row],[video_watch_75]]*RANDBETWEEN(8,12)/10,0)</f>
        <v>96281</v>
      </c>
      <c r="AQ92" s="4">
        <f ca="1">ROUND(T_Tiktok_ads[[#This Row],[video_watch_100]]*RANDBETWEEN(8,12)/10,0)</f>
        <v>64147</v>
      </c>
      <c r="AR92" s="4">
        <f ca="1">ROUND(T_Tiktok_ads[[#This Row],[likes]]*RANDBETWEEN(8,12)/10,0)</f>
        <v>9710</v>
      </c>
      <c r="AS92" s="4">
        <f ca="1">ROUND(T_Tiktok_ads[[#This Row],[shares]]*RANDBETWEEN(8,12)/10,0)</f>
        <v>2611</v>
      </c>
      <c r="AT92" s="4">
        <f ca="1">ROUND(T_Tiktok_ads[[#This Row],[comments]]*RANDBETWEEN(8,12)/10,0)</f>
        <v>827</v>
      </c>
      <c r="AV92" s="5">
        <f t="shared" ca="1" si="12"/>
        <v>45269</v>
      </c>
      <c r="AW92">
        <f t="shared" ca="1" si="13"/>
        <v>5</v>
      </c>
      <c r="AX92">
        <f ca="1">ROUND(T_Facebook_Ads115963677175798387919599[[#This Row],[impressions]]*RANDBETWEEN(8,12)/10,0)</f>
        <v>55135</v>
      </c>
      <c r="AY92">
        <f ca="1">ROUND(T_Facebook_Ads115963677175798387919599[[#This Row],[clicks]]*RANDBETWEEN(8,12)/10,0)</f>
        <v>1137</v>
      </c>
      <c r="AZ92">
        <f ca="1">T_Facebook_Ads115963677175798387919599[[#This Row],[spend]]*RANDBETWEEN(8,12)/10</f>
        <v>119.47499999999999</v>
      </c>
      <c r="BA92">
        <f ca="1">ROUND(T_Facebook_Ads115963677175798387919599[[#This Row],[conversions]]*RANDBETWEEN(8,12)/10,0)</f>
        <v>17</v>
      </c>
      <c r="BB92">
        <f ca="1">ROUND(T_Facebook_Ads115963677175798387919599[[#This Row],[video_views]]*RANDBETWEEN(8,12)/10,0)</f>
        <v>12042</v>
      </c>
    </row>
    <row r="93" spans="1:54" ht="15.75" thickBot="1" x14ac:dyDescent="0.3">
      <c r="A93" s="3">
        <f t="shared" ca="1" si="9"/>
        <v>45286</v>
      </c>
      <c r="B93" s="4" t="s">
        <v>56</v>
      </c>
      <c r="C93" s="4" t="s">
        <v>57</v>
      </c>
      <c r="D93" s="4" t="s">
        <v>58</v>
      </c>
      <c r="E93" s="4" t="s">
        <v>59</v>
      </c>
      <c r="F93" s="4">
        <f ca="1">ROUND(T_Facebook_Ads[[#This Row],[impressions]]*RANDBETWEEN(8,12)/10,0)</f>
        <v>15657</v>
      </c>
      <c r="G93" s="4">
        <v>689</v>
      </c>
      <c r="H93" s="4">
        <f ca="1">T_Facebook_Ads[[#This Row],[spend]]*RANDBETWEEN(8,12)/10</f>
        <v>305.64</v>
      </c>
      <c r="I93" s="4">
        <f ca="1">ROUND(T_Facebook_Ads[[#This Row],[conversions]]*RANDBETWEEN(8,12)/10,0)</f>
        <v>44</v>
      </c>
      <c r="J93" s="4">
        <f ca="1">ROUND(T_Facebook_Ads[[#This Row],[video_views]]*RANDBETWEEN(8,12)/10,0)</f>
        <v>1747</v>
      </c>
      <c r="K93" s="4">
        <f ca="1">T_Facebook_Ads[[#This Row],[engagement_rate]]*RANDBETWEEN(8,12)/10</f>
        <v>5.3239999999999996E-2</v>
      </c>
      <c r="L93" s="4">
        <f ca="1">ROUND(T_Facebook_Ads[[#This Row],[reach]]*RANDBETWEEN(8,12)/10,0)</f>
        <v>11234</v>
      </c>
      <c r="M93" s="4">
        <f ca="1">T_Facebook_Ads[[#This Row],[frequency]]*RANDBETWEEN(8,12)/10</f>
        <v>1.524</v>
      </c>
      <c r="O93" s="3">
        <f t="shared" ca="1" si="10"/>
        <v>45278</v>
      </c>
      <c r="P93" s="4" t="s">
        <v>80</v>
      </c>
      <c r="Q93" s="4" t="s">
        <v>81</v>
      </c>
      <c r="R93" s="4" t="s">
        <v>82</v>
      </c>
      <c r="S93" s="4" t="s">
        <v>83</v>
      </c>
      <c r="T93" s="4">
        <f ca="1">ROUND(_Google_ads[[#This Row],[impressions]]*RANDBETWEEN(8,12)/10,0)</f>
        <v>47234</v>
      </c>
      <c r="U93" s="4">
        <f ca="1">ROUND(_Google_ads[[#This Row],[clicks]]*RANDBETWEEN(8,12)/10,0)</f>
        <v>851</v>
      </c>
      <c r="V93" s="4">
        <f ca="1">_Google_ads[[#This Row],[cost]]*RANDBETWEEN(8,12)/10</f>
        <v>726.72</v>
      </c>
      <c r="W93" s="4">
        <f ca="1">ROUND(_Google_ads[[#This Row],[conversions]]*RANDBETWEEN(8,12)/10,0)</f>
        <v>30</v>
      </c>
      <c r="X93" s="4">
        <f ca="1">ROUND(_Google_ads[[#This Row],[conversion_value]]*RANDBETWEEN(8,12)/10,0)</f>
        <v>1375</v>
      </c>
      <c r="Y93" s="4">
        <f ca="1">_Google_ads[[#This Row],[ctr]]*RANDBETWEEN(8,12)/10</f>
        <v>2.4E-2</v>
      </c>
      <c r="Z93" s="4">
        <f ca="1">_Google_ads[[#This Row],[avg_cpc]]*RANDBETWEEN(8,12)/10</f>
        <v>0.76800000000000002</v>
      </c>
      <c r="AA93" s="4">
        <f ca="1">ROUND(_Google_ads[[#This Row],[quality_score]]*RANDBETWEEN(8,12)/10,0)</f>
        <v>7</v>
      </c>
      <c r="AB93" s="4">
        <f ca="1">_Google_ads[[#This Row],[search_impression_share]]*RANDBETWEEN(8,12)/10</f>
        <v>0.55200000000000005</v>
      </c>
      <c r="AD93" s="3">
        <f t="shared" ca="1" si="11"/>
        <v>45266</v>
      </c>
      <c r="AE93" s="4" t="s">
        <v>104</v>
      </c>
      <c r="AF93" s="4" t="s">
        <v>105</v>
      </c>
      <c r="AG93" s="4" t="s">
        <v>106</v>
      </c>
      <c r="AH93" s="4" t="s">
        <v>107</v>
      </c>
      <c r="AI93" s="4">
        <f ca="1">ROUND(T_Tiktok_ads[[#This Row],[impressions]]*RANDBETWEEN(8,12)/10,0)</f>
        <v>184679</v>
      </c>
      <c r="AJ93" s="4">
        <f ca="1">ROUND(T_Tiktok_ads[[#This Row],[clicks]]*RANDBETWEEN(8,12)/10,0)</f>
        <v>3557</v>
      </c>
      <c r="AK93" s="4">
        <v>845.6</v>
      </c>
      <c r="AL93" s="4">
        <f ca="1">ROUND(T_Tiktok_ads[[#This Row],[conversions]]*RANDBETWEEN(8,12)/10,0)</f>
        <v>85</v>
      </c>
      <c r="AM93" s="4">
        <f ca="1">ROUND(T_Tiktok_ads[[#This Row],[video_views]]*RANDBETWEEN(8,12)/10,0)</f>
        <v>129679</v>
      </c>
      <c r="AN93" s="4">
        <f ca="1">ROUND(T_Tiktok_ads[[#This Row],[video_watch_25]]*RANDBETWEEN(8,12)/10,0)</f>
        <v>95957</v>
      </c>
      <c r="AO93" s="4">
        <f ca="1">ROUND(T_Tiktok_ads[[#This Row],[video_watch_50]]*RANDBETWEEN(8,12)/10,0)</f>
        <v>70681</v>
      </c>
      <c r="AP93" s="4">
        <f ca="1">ROUND(T_Tiktok_ads[[#This Row],[video_watch_75]]*RANDBETWEEN(8,12)/10,0)</f>
        <v>35387</v>
      </c>
      <c r="AQ93" s="4">
        <f ca="1">ROUND(T_Tiktok_ads[[#This Row],[video_watch_100]]*RANDBETWEEN(8,12)/10,0)</f>
        <v>29567</v>
      </c>
      <c r="AR93" s="4">
        <f ca="1">ROUND(T_Tiktok_ads[[#This Row],[likes]]*RANDBETWEEN(8,12)/10,0)</f>
        <v>5110</v>
      </c>
      <c r="AS93" s="4">
        <f ca="1">ROUND(T_Tiktok_ads[[#This Row],[shares]]*RANDBETWEEN(8,12)/10,0)</f>
        <v>1961</v>
      </c>
      <c r="AT93" s="4">
        <f ca="1">ROUND(T_Tiktok_ads[[#This Row],[comments]]*RANDBETWEEN(8,12)/10,0)</f>
        <v>374</v>
      </c>
      <c r="AV93" s="5">
        <f t="shared" ca="1" si="12"/>
        <v>45274</v>
      </c>
      <c r="AW93">
        <f t="shared" ca="1" si="13"/>
        <v>1</v>
      </c>
      <c r="AX93">
        <f ca="1">ROUND(T_Facebook_Ads115963677175798387919599[[#This Row],[impressions]]*RANDBETWEEN(8,12)/10,0)</f>
        <v>17223</v>
      </c>
      <c r="AY93">
        <f ca="1">ROUND(T_Facebook_Ads115963677175798387919599[[#This Row],[clicks]]*RANDBETWEEN(8,12)/10,0)</f>
        <v>827</v>
      </c>
      <c r="AZ93">
        <f ca="1">T_Facebook_Ads115963677175798387919599[[#This Row],[spend]]*RANDBETWEEN(8,12)/10</f>
        <v>275.07599999999996</v>
      </c>
      <c r="BA93">
        <f ca="1">ROUND(T_Facebook_Ads115963677175798387919599[[#This Row],[conversions]]*RANDBETWEEN(8,12)/10,0)</f>
        <v>44</v>
      </c>
      <c r="BB93">
        <f ca="1">ROUND(T_Facebook_Ads115963677175798387919599[[#This Row],[video_views]]*RANDBETWEEN(8,12)/10,0)</f>
        <v>1572</v>
      </c>
    </row>
    <row r="94" spans="1:54" ht="15.75" thickBot="1" x14ac:dyDescent="0.3">
      <c r="A94" s="3">
        <f t="shared" ca="1" si="9"/>
        <v>45266</v>
      </c>
      <c r="B94" s="4" t="s">
        <v>60</v>
      </c>
      <c r="C94" s="4" t="s">
        <v>61</v>
      </c>
      <c r="D94" s="4" t="s">
        <v>62</v>
      </c>
      <c r="E94" s="4" t="s">
        <v>63</v>
      </c>
      <c r="F94" s="4">
        <f ca="1">ROUND(T_Facebook_Ads[[#This Row],[impressions]]*RANDBETWEEN(8,12)/10,0)</f>
        <v>42779</v>
      </c>
      <c r="G94" s="4">
        <v>1445</v>
      </c>
      <c r="H94" s="4">
        <f ca="1">T_Facebook_Ads[[#This Row],[spend]]*RANDBETWEEN(8,12)/10</f>
        <v>254.32</v>
      </c>
      <c r="I94" s="4">
        <f ca="1">ROUND(T_Facebook_Ads[[#This Row],[conversions]]*RANDBETWEEN(8,12)/10,0)</f>
        <v>29</v>
      </c>
      <c r="J94" s="4">
        <f ca="1">ROUND(T_Facebook_Ads[[#This Row],[video_views]]*RANDBETWEEN(8,12)/10,0)</f>
        <v>4098</v>
      </c>
      <c r="K94" s="4">
        <f ca="1">T_Facebook_Ads[[#This Row],[engagement_rate]]*RANDBETWEEN(8,12)/10</f>
        <v>3.7199999999999997E-2</v>
      </c>
      <c r="L94" s="4">
        <f ca="1">ROUND(T_Facebook_Ads[[#This Row],[reach]]*RANDBETWEEN(8,12)/10,0)</f>
        <v>37880</v>
      </c>
      <c r="M94" s="4">
        <f ca="1">T_Facebook_Ads[[#This Row],[frequency]]*RANDBETWEEN(8,12)/10</f>
        <v>1.476</v>
      </c>
      <c r="O94" s="3">
        <f t="shared" ca="1" si="10"/>
        <v>45266</v>
      </c>
      <c r="P94" s="4" t="s">
        <v>84</v>
      </c>
      <c r="Q94" s="4" t="s">
        <v>85</v>
      </c>
      <c r="R94" s="4" t="s">
        <v>86</v>
      </c>
      <c r="S94" s="4" t="s">
        <v>87</v>
      </c>
      <c r="T94" s="4">
        <f ca="1">ROUND(_Google_ads[[#This Row],[impressions]]*RANDBETWEEN(8,12)/10,0)</f>
        <v>65601</v>
      </c>
      <c r="U94" s="4">
        <f ca="1">ROUND(_Google_ads[[#This Row],[clicks]]*RANDBETWEEN(8,12)/10,0)</f>
        <v>2921</v>
      </c>
      <c r="V94" s="4">
        <f ca="1">_Google_ads[[#This Row],[cost]]*RANDBETWEEN(8,12)/10</f>
        <v>405.17999999999995</v>
      </c>
      <c r="W94" s="4">
        <f ca="1">ROUND(_Google_ads[[#This Row],[conversions]]*RANDBETWEEN(8,12)/10,0)</f>
        <v>64</v>
      </c>
      <c r="X94" s="4">
        <f ca="1">ROUND(_Google_ads[[#This Row],[conversion_value]]*RANDBETWEEN(8,12)/10,0)</f>
        <v>3905</v>
      </c>
      <c r="Y94" s="4">
        <f ca="1">_Google_ads[[#This Row],[ctr]]*RANDBETWEEN(8,12)/10</f>
        <v>3.0059999999999996E-2</v>
      </c>
      <c r="Z94" s="4">
        <f ca="1">_Google_ads[[#This Row],[avg_cpc]]*RANDBETWEEN(8,12)/10</f>
        <v>0.16199999999999998</v>
      </c>
      <c r="AA94" s="4">
        <f ca="1">ROUND(_Google_ads[[#This Row],[quality_score]]*RANDBETWEEN(8,12)/10,0)</f>
        <v>7</v>
      </c>
      <c r="AB94" s="4">
        <f ca="1">_Google_ads[[#This Row],[search_impression_share]]*RANDBETWEEN(8,12)/10</f>
        <v>0.75900000000000001</v>
      </c>
      <c r="AD94" s="3">
        <f t="shared" ca="1" si="11"/>
        <v>45277</v>
      </c>
      <c r="AE94" s="4" t="s">
        <v>108</v>
      </c>
      <c r="AF94" s="4" t="s">
        <v>109</v>
      </c>
      <c r="AG94" s="4" t="s">
        <v>110</v>
      </c>
      <c r="AH94" s="4" t="s">
        <v>111</v>
      </c>
      <c r="AI94" s="4">
        <f ca="1">ROUND(T_Tiktok_ads[[#This Row],[impressions]]*RANDBETWEEN(8,12)/10,0)</f>
        <v>256789</v>
      </c>
      <c r="AJ94" s="4">
        <f ca="1">ROUND(T_Tiktok_ads[[#This Row],[clicks]]*RANDBETWEEN(8,12)/10,0)</f>
        <v>4413</v>
      </c>
      <c r="AK94" s="4">
        <v>489.2</v>
      </c>
      <c r="AL94" s="4">
        <f ca="1">ROUND(T_Tiktok_ads[[#This Row],[conversions]]*RANDBETWEEN(8,12)/10,0)</f>
        <v>32</v>
      </c>
      <c r="AM94" s="4">
        <f ca="1">ROUND(T_Tiktok_ads[[#This Row],[video_views]]*RANDBETWEEN(8,12)/10,0)</f>
        <v>201234</v>
      </c>
      <c r="AN94" s="4">
        <f ca="1">ROUND(T_Tiktok_ads[[#This Row],[video_watch_25]]*RANDBETWEEN(8,12)/10,0)</f>
        <v>137111</v>
      </c>
      <c r="AO94" s="4">
        <f ca="1">ROUND(T_Tiktok_ads[[#This Row],[video_watch_50]]*RANDBETWEEN(8,12)/10,0)</f>
        <v>108410</v>
      </c>
      <c r="AP94" s="4">
        <f ca="1">ROUND(T_Tiktok_ads[[#This Row],[video_watch_75]]*RANDBETWEEN(8,12)/10,0)</f>
        <v>77890</v>
      </c>
      <c r="AQ94" s="4">
        <f ca="1">ROUND(T_Tiktok_ads[[#This Row],[video_watch_100]]*RANDBETWEEN(8,12)/10,0)</f>
        <v>47234</v>
      </c>
      <c r="AR94" s="4">
        <f ca="1">ROUND(T_Tiktok_ads[[#This Row],[likes]]*RANDBETWEEN(8,12)/10,0)</f>
        <v>9791</v>
      </c>
      <c r="AS94" s="4">
        <f ca="1">ROUND(T_Tiktok_ads[[#This Row],[shares]]*RANDBETWEEN(8,12)/10,0)</f>
        <v>1965</v>
      </c>
      <c r="AT94" s="4">
        <f ca="1">ROUND(T_Tiktok_ads[[#This Row],[comments]]*RANDBETWEEN(8,12)/10,0)</f>
        <v>707</v>
      </c>
      <c r="AV94" s="5">
        <f t="shared" ca="1" si="12"/>
        <v>45279</v>
      </c>
      <c r="AW94">
        <f t="shared" ca="1" si="13"/>
        <v>2</v>
      </c>
      <c r="AX94">
        <f ca="1">ROUND(T_Facebook_Ads115963677175798387919599[[#This Row],[impressions]]*RANDBETWEEN(8,12)/10,0)</f>
        <v>47057</v>
      </c>
      <c r="AY94">
        <f ca="1">ROUND(T_Facebook_Ads115963677175798387919599[[#This Row],[clicks]]*RANDBETWEEN(8,12)/10,0)</f>
        <v>1734</v>
      </c>
      <c r="AZ94">
        <f ca="1">T_Facebook_Ads115963677175798387919599[[#This Row],[spend]]*RANDBETWEEN(8,12)/10</f>
        <v>203.45599999999999</v>
      </c>
      <c r="BA94">
        <f ca="1">ROUND(T_Facebook_Ads115963677175798387919599[[#This Row],[conversions]]*RANDBETWEEN(8,12)/10,0)</f>
        <v>26</v>
      </c>
      <c r="BB94">
        <f ca="1">ROUND(T_Facebook_Ads115963677175798387919599[[#This Row],[video_views]]*RANDBETWEEN(8,12)/10,0)</f>
        <v>4918</v>
      </c>
    </row>
    <row r="95" spans="1:54" ht="15.75" thickBot="1" x14ac:dyDescent="0.3">
      <c r="A95" s="3">
        <f t="shared" ca="1" si="9"/>
        <v>45290</v>
      </c>
      <c r="B95" s="4" t="s">
        <v>64</v>
      </c>
      <c r="C95" s="4" t="s">
        <v>65</v>
      </c>
      <c r="D95" s="4" t="s">
        <v>66</v>
      </c>
      <c r="E95" s="4" t="s">
        <v>67</v>
      </c>
      <c r="F95" s="4">
        <f ca="1">ROUND(T_Facebook_Ads[[#This Row],[impressions]]*RANDBETWEEN(8,12)/10,0)</f>
        <v>88147</v>
      </c>
      <c r="G95" s="4">
        <v>261</v>
      </c>
      <c r="H95" s="4">
        <f ca="1">T_Facebook_Ads[[#This Row],[spend]]*RANDBETWEEN(8,12)/10</f>
        <v>85.14</v>
      </c>
      <c r="I95" s="4">
        <f ca="1">ROUND(T_Facebook_Ads[[#This Row],[conversions]]*RANDBETWEEN(8,12)/10,0)</f>
        <v>6</v>
      </c>
      <c r="J95" s="4">
        <f ca="1">ROUND(T_Facebook_Ads[[#This Row],[video_views]]*RANDBETWEEN(8,12)/10,0)</f>
        <v>39387</v>
      </c>
      <c r="K95" s="4">
        <f ca="1">T_Facebook_Ads[[#This Row],[engagement_rate]]*RANDBETWEEN(8,12)/10</f>
        <v>3.96E-3</v>
      </c>
      <c r="L95" s="4">
        <f ca="1">ROUND(T_Facebook_Ads[[#This Row],[reach]]*RANDBETWEEN(8,12)/10,0)</f>
        <v>71480</v>
      </c>
      <c r="M95" s="4">
        <f ca="1">T_Facebook_Ads[[#This Row],[frequency]]*RANDBETWEEN(8,12)/10</f>
        <v>0.98399999999999999</v>
      </c>
      <c r="O95" s="3">
        <f t="shared" ca="1" si="10"/>
        <v>45280</v>
      </c>
      <c r="P95" s="4" t="s">
        <v>88</v>
      </c>
      <c r="Q95" s="4" t="s">
        <v>89</v>
      </c>
      <c r="R95" s="4" t="s">
        <v>90</v>
      </c>
      <c r="S95" s="4" t="s">
        <v>59</v>
      </c>
      <c r="T95" s="4">
        <f ca="1">ROUND(_Google_ads[[#This Row],[impressions]]*RANDBETWEEN(8,12)/10,0)</f>
        <v>152424</v>
      </c>
      <c r="U95" s="4">
        <f ca="1">ROUND(_Google_ads[[#This Row],[clicks]]*RANDBETWEEN(8,12)/10,0)</f>
        <v>461</v>
      </c>
      <c r="V95" s="4">
        <f ca="1">_Google_ads[[#This Row],[cost]]*RANDBETWEEN(8,12)/10</f>
        <v>136.19999999999999</v>
      </c>
      <c r="W95" s="4">
        <f ca="1">ROUND(_Google_ads[[#This Row],[conversions]]*RANDBETWEEN(8,12)/10,0)</f>
        <v>18</v>
      </c>
      <c r="X95" s="4">
        <f ca="1">ROUND(_Google_ads[[#This Row],[conversion_value]]*RANDBETWEEN(8,12)/10,0)</f>
        <v>825</v>
      </c>
      <c r="Y95" s="4">
        <f ca="1">_Google_ads[[#This Row],[ctr]]*RANDBETWEEN(8,12)/10</f>
        <v>2.96E-3</v>
      </c>
      <c r="Z95" s="4">
        <f ca="1">_Google_ads[[#This Row],[avg_cpc]]*RANDBETWEEN(8,12)/10</f>
        <v>0.32400000000000001</v>
      </c>
      <c r="AA95" s="4">
        <f ca="1">ROUND(_Google_ads[[#This Row],[quality_score]]*RANDBETWEEN(8,12)/10,0)</f>
        <v>6</v>
      </c>
      <c r="AB95" s="4">
        <f ca="1">_Google_ads[[#This Row],[search_impression_share]]*RANDBETWEEN(8,12)/10</f>
        <v>0.28799999999999998</v>
      </c>
      <c r="AD95" s="3">
        <f t="shared" ca="1" si="11"/>
        <v>45276</v>
      </c>
      <c r="AE95" s="4" t="s">
        <v>112</v>
      </c>
      <c r="AF95" s="4" t="s">
        <v>113</v>
      </c>
      <c r="AG95" s="4" t="s">
        <v>114</v>
      </c>
      <c r="AH95" s="4" t="s">
        <v>115</v>
      </c>
      <c r="AI95" s="4">
        <f ca="1">ROUND(T_Tiktok_ads[[#This Row],[impressions]]*RANDBETWEEN(8,12)/10,0)</f>
        <v>401110</v>
      </c>
      <c r="AJ95" s="4">
        <f ca="1">ROUND(T_Tiktok_ads[[#This Row],[clicks]]*RANDBETWEEN(8,12)/10,0)</f>
        <v>6511</v>
      </c>
      <c r="AK95" s="4">
        <v>1123.5</v>
      </c>
      <c r="AL95" s="4">
        <f ca="1">ROUND(T_Tiktok_ads[[#This Row],[conversions]]*RANDBETWEEN(8,12)/10,0)</f>
        <v>102</v>
      </c>
      <c r="AM95" s="4">
        <f ca="1">ROUND(T_Tiktok_ads[[#This Row],[video_views]]*RANDBETWEEN(8,12)/10,0)</f>
        <v>416791</v>
      </c>
      <c r="AN95" s="4">
        <f ca="1">ROUND(T_Tiktok_ads[[#This Row],[video_watch_25]]*RANDBETWEEN(8,12)/10,0)</f>
        <v>335024</v>
      </c>
      <c r="AO95" s="4">
        <f ca="1">ROUND(T_Tiktok_ads[[#This Row],[video_watch_50]]*RANDBETWEEN(8,12)/10,0)</f>
        <v>194765</v>
      </c>
      <c r="AP95" s="4">
        <f ca="1">ROUND(T_Tiktok_ads[[#This Row],[video_watch_75]]*RANDBETWEEN(8,12)/10,0)</f>
        <v>155111</v>
      </c>
      <c r="AQ95" s="4">
        <f ca="1">ROUND(T_Tiktok_ads[[#This Row],[video_watch_100]]*RANDBETWEEN(8,12)/10,0)</f>
        <v>91654</v>
      </c>
      <c r="AR95" s="4">
        <f ca="1">ROUND(T_Tiktok_ads[[#This Row],[likes]]*RANDBETWEEN(8,12)/10,0)</f>
        <v>15654</v>
      </c>
      <c r="AS95" s="4">
        <f ca="1">ROUND(T_Tiktok_ads[[#This Row],[shares]]*RANDBETWEEN(8,12)/10,0)</f>
        <v>6246</v>
      </c>
      <c r="AT95" s="4">
        <f ca="1">ROUND(T_Tiktok_ads[[#This Row],[comments]]*RANDBETWEEN(8,12)/10,0)</f>
        <v>1880</v>
      </c>
      <c r="AV95" s="5">
        <f t="shared" ca="1" si="12"/>
        <v>45284</v>
      </c>
      <c r="AW95">
        <f t="shared" ca="1" si="13"/>
        <v>8</v>
      </c>
      <c r="AX95">
        <f ca="1">ROUND(T_Facebook_Ads115963677175798387919599[[#This Row],[impressions]]*RANDBETWEEN(8,12)/10,0)</f>
        <v>70518</v>
      </c>
      <c r="AY95">
        <f ca="1">ROUND(T_Facebook_Ads115963677175798387919599[[#This Row],[clicks]]*RANDBETWEEN(8,12)/10,0)</f>
        <v>287</v>
      </c>
      <c r="AZ95">
        <f ca="1">T_Facebook_Ads115963677175798387919599[[#This Row],[spend]]*RANDBETWEEN(8,12)/10</f>
        <v>102.16800000000001</v>
      </c>
      <c r="BA95">
        <f ca="1">ROUND(T_Facebook_Ads115963677175798387919599[[#This Row],[conversions]]*RANDBETWEEN(8,12)/10,0)</f>
        <v>5</v>
      </c>
      <c r="BB95">
        <f ca="1">ROUND(T_Facebook_Ads115963677175798387919599[[#This Row],[video_views]]*RANDBETWEEN(8,12)/10,0)</f>
        <v>47264</v>
      </c>
    </row>
    <row r="96" spans="1:54" ht="15.75" thickBot="1" x14ac:dyDescent="0.3">
      <c r="A96" s="3">
        <f t="shared" ca="1" si="9"/>
        <v>45265</v>
      </c>
      <c r="B96" s="4" t="s">
        <v>52</v>
      </c>
      <c r="C96" s="4" t="s">
        <v>53</v>
      </c>
      <c r="D96" s="4" t="s">
        <v>54</v>
      </c>
      <c r="E96" s="4" t="s">
        <v>55</v>
      </c>
      <c r="F96" s="4">
        <f ca="1">ROUND(T_Facebook_Ads[[#This Row],[impressions]]*RANDBETWEEN(8,12)/10,0)</f>
        <v>36987</v>
      </c>
      <c r="G96" s="4">
        <v>934</v>
      </c>
      <c r="H96" s="4">
        <f ca="1">T_Facebook_Ads[[#This Row],[spend]]*RANDBETWEEN(8,12)/10</f>
        <v>120.42</v>
      </c>
      <c r="I96" s="4">
        <f ca="1">ROUND(T_Facebook_Ads[[#This Row],[conversions]]*RANDBETWEEN(8,12)/10,0)</f>
        <v>14</v>
      </c>
      <c r="J96" s="4">
        <f ca="1">ROUND(T_Facebook_Ads[[#This Row],[video_views]]*RANDBETWEEN(8,12)/10,0)</f>
        <v>6765</v>
      </c>
      <c r="K96" s="4">
        <f ca="1">T_Facebook_Ads[[#This Row],[engagement_rate]]*RANDBETWEEN(8,12)/10</f>
        <v>2.4240000000000001E-2</v>
      </c>
      <c r="L96" s="4">
        <f ca="1">ROUND(T_Facebook_Ads[[#This Row],[reach]]*RANDBETWEEN(8,12)/10,0)</f>
        <v>46668</v>
      </c>
      <c r="M96" s="4">
        <f ca="1">T_Facebook_Ads[[#This Row],[frequency]]*RANDBETWEEN(8,12)/10</f>
        <v>1.071</v>
      </c>
      <c r="O96" s="3">
        <f t="shared" ca="1" si="10"/>
        <v>45266</v>
      </c>
      <c r="P96" s="4" t="s">
        <v>76</v>
      </c>
      <c r="Q96" s="4" t="s">
        <v>77</v>
      </c>
      <c r="R96" s="4" t="s">
        <v>78</v>
      </c>
      <c r="S96" s="4" t="s">
        <v>79</v>
      </c>
      <c r="T96" s="4">
        <f ca="1">ROUND(_Google_ads[[#This Row],[impressions]]*RANDBETWEEN(8,12)/10,0)</f>
        <v>20187</v>
      </c>
      <c r="U96" s="4">
        <f ca="1">ROUND(_Google_ads[[#This Row],[clicks]]*RANDBETWEEN(8,12)/10,0)</f>
        <v>1443</v>
      </c>
      <c r="V96" s="4">
        <f ca="1">_Google_ads[[#This Row],[cost]]*RANDBETWEEN(8,12)/10</f>
        <v>250.3</v>
      </c>
      <c r="W96" s="4">
        <f ca="1">ROUND(_Google_ads[[#This Row],[conversions]]*RANDBETWEEN(8,12)/10,0)</f>
        <v>54</v>
      </c>
      <c r="X96" s="4">
        <f ca="1">ROUND(_Google_ads[[#This Row],[conversion_value]]*RANDBETWEEN(8,12)/10,0)</f>
        <v>1960</v>
      </c>
      <c r="Y96" s="4">
        <f ca="1">_Google_ads[[#This Row],[ctr]]*RANDBETWEEN(8,12)/10</f>
        <v>6.2399999999999997E-2</v>
      </c>
      <c r="Z96" s="4">
        <f ca="1">_Google_ads[[#This Row],[avg_cpc]]*RANDBETWEEN(8,12)/10</f>
        <v>0.152</v>
      </c>
      <c r="AA96" s="4">
        <f ca="1">ROUND(_Google_ads[[#This Row],[quality_score]]*RANDBETWEEN(8,12)/10,0)</f>
        <v>11</v>
      </c>
      <c r="AB96" s="4">
        <f ca="1">_Google_ads[[#This Row],[search_impression_share]]*RANDBETWEEN(8,12)/10</f>
        <v>0.72799999999999998</v>
      </c>
      <c r="AD96" s="3">
        <f t="shared" ca="1" si="11"/>
        <v>45277</v>
      </c>
      <c r="AE96" s="4" t="s">
        <v>100</v>
      </c>
      <c r="AF96" s="4" t="s">
        <v>101</v>
      </c>
      <c r="AG96" s="4" t="s">
        <v>102</v>
      </c>
      <c r="AH96" s="4" t="s">
        <v>103</v>
      </c>
      <c r="AI96" s="4">
        <f ca="1">ROUND(T_Tiktok_ads[[#This Row],[impressions]]*RANDBETWEEN(8,12)/10,0)</f>
        <v>306791</v>
      </c>
      <c r="AJ96" s="4">
        <f ca="1">ROUND(T_Tiktok_ads[[#This Row],[clicks]]*RANDBETWEEN(8,12)/10,0)</f>
        <v>3298</v>
      </c>
      <c r="AK96" s="4">
        <v>545.6</v>
      </c>
      <c r="AL96" s="4">
        <f ca="1">ROUND(T_Tiktok_ads[[#This Row],[conversions]]*RANDBETWEEN(8,12)/10,0)</f>
        <v>38</v>
      </c>
      <c r="AM96" s="4">
        <f ca="1">ROUND(T_Tiktok_ads[[#This Row],[video_views]]*RANDBETWEEN(8,12)/10,0)</f>
        <v>252157</v>
      </c>
      <c r="AN96" s="4">
        <f ca="1">ROUND(T_Tiktok_ads[[#This Row],[video_watch_25]]*RANDBETWEEN(8,12)/10,0)</f>
        <v>215081</v>
      </c>
      <c r="AO96" s="4">
        <f ca="1">ROUND(T_Tiktok_ads[[#This Row],[video_watch_50]]*RANDBETWEEN(8,12)/10,0)</f>
        <v>89787</v>
      </c>
      <c r="AP96" s="4">
        <f ca="1">ROUND(T_Tiktok_ads[[#This Row],[video_watch_75]]*RANDBETWEEN(8,12)/10,0)</f>
        <v>90814</v>
      </c>
      <c r="AQ96" s="4">
        <f ca="1">ROUND(T_Tiktok_ads[[#This Row],[video_watch_100]]*RANDBETWEEN(8,12)/10,0)</f>
        <v>40187</v>
      </c>
      <c r="AR96" s="4">
        <f ca="1">ROUND(T_Tiktok_ads[[#This Row],[likes]]*RANDBETWEEN(8,12)/10,0)</f>
        <v>9111</v>
      </c>
      <c r="AS96" s="4">
        <f ca="1">ROUND(T_Tiktok_ads[[#This Row],[shares]]*RANDBETWEEN(8,12)/10,0)</f>
        <v>2441</v>
      </c>
      <c r="AT96" s="4">
        <f ca="1">ROUND(T_Tiktok_ads[[#This Row],[comments]]*RANDBETWEEN(8,12)/10,0)</f>
        <v>516</v>
      </c>
      <c r="AV96" s="5">
        <f t="shared" ca="1" si="12"/>
        <v>45285</v>
      </c>
      <c r="AW96">
        <f t="shared" ca="1" si="13"/>
        <v>4</v>
      </c>
      <c r="AX96">
        <f ca="1">ROUND(T_Facebook_Ads115963677175798387919599[[#This Row],[impressions]]*RANDBETWEEN(8,12)/10,0)</f>
        <v>44384</v>
      </c>
      <c r="AY96">
        <f ca="1">ROUND(T_Facebook_Ads115963677175798387919599[[#This Row],[clicks]]*RANDBETWEEN(8,12)/10,0)</f>
        <v>1027</v>
      </c>
      <c r="AZ96">
        <f ca="1">T_Facebook_Ads115963677175798387919599[[#This Row],[spend]]*RANDBETWEEN(8,12)/10</f>
        <v>120.42</v>
      </c>
      <c r="BA96">
        <f ca="1">ROUND(T_Facebook_Ads115963677175798387919599[[#This Row],[conversions]]*RANDBETWEEN(8,12)/10,0)</f>
        <v>14</v>
      </c>
      <c r="BB96">
        <f ca="1">ROUND(T_Facebook_Ads115963677175798387919599[[#This Row],[video_views]]*RANDBETWEEN(8,12)/10,0)</f>
        <v>6089</v>
      </c>
    </row>
    <row r="97" spans="1:54" ht="15.75" thickBot="1" x14ac:dyDescent="0.3">
      <c r="A97" s="3">
        <f t="shared" ca="1" si="9"/>
        <v>45279</v>
      </c>
      <c r="B97" s="4" t="s">
        <v>56</v>
      </c>
      <c r="C97" s="4" t="s">
        <v>57</v>
      </c>
      <c r="D97" s="4" t="s">
        <v>58</v>
      </c>
      <c r="E97" s="4" t="s">
        <v>59</v>
      </c>
      <c r="F97" s="4">
        <f ca="1">ROUND(T_Facebook_Ads[[#This Row],[impressions]]*RANDBETWEEN(8,12)/10,0)</f>
        <v>13824</v>
      </c>
      <c r="G97" s="4">
        <v>567</v>
      </c>
      <c r="H97" s="4">
        <f ca="1">T_Facebook_Ads[[#This Row],[spend]]*RANDBETWEEN(8,12)/10</f>
        <v>188.46</v>
      </c>
      <c r="I97" s="4">
        <f ca="1">ROUND(T_Facebook_Ads[[#This Row],[conversions]]*RANDBETWEEN(8,12)/10,0)</f>
        <v>32</v>
      </c>
      <c r="J97" s="4">
        <f ca="1">ROUND(T_Facebook_Ads[[#This Row],[video_views]]*RANDBETWEEN(8,12)/10,0)</f>
        <v>1140</v>
      </c>
      <c r="K97" s="4">
        <f ca="1">T_Facebook_Ads[[#This Row],[engagement_rate]]*RANDBETWEEN(8,12)/10</f>
        <v>3.6080000000000001E-2</v>
      </c>
      <c r="L97" s="4">
        <f ca="1">ROUND(T_Facebook_Ads[[#This Row],[reach]]*RANDBETWEEN(8,12)/10,0)</f>
        <v>10879</v>
      </c>
      <c r="M97" s="4">
        <f ca="1">T_Facebook_Ads[[#This Row],[frequency]]*RANDBETWEEN(8,12)/10</f>
        <v>1.397</v>
      </c>
      <c r="O97" s="3">
        <f t="shared" ca="1" si="10"/>
        <v>45263</v>
      </c>
      <c r="P97" s="4" t="s">
        <v>80</v>
      </c>
      <c r="Q97" s="4" t="s">
        <v>81</v>
      </c>
      <c r="R97" s="4" t="s">
        <v>82</v>
      </c>
      <c r="S97" s="4" t="s">
        <v>83</v>
      </c>
      <c r="T97" s="4">
        <f ca="1">ROUND(_Google_ads[[#This Row],[impressions]]*RANDBETWEEN(8,12)/10,0)</f>
        <v>54814</v>
      </c>
      <c r="U97" s="4">
        <f ca="1">ROUND(_Google_ads[[#This Row],[clicks]]*RANDBETWEEN(8,12)/10,0)</f>
        <v>721</v>
      </c>
      <c r="V97" s="4">
        <f ca="1">_Google_ads[[#This Row],[cost]]*RANDBETWEEN(8,12)/10</f>
        <v>526.04999999999995</v>
      </c>
      <c r="W97" s="4">
        <f ca="1">ROUND(_Google_ads[[#This Row],[conversions]]*RANDBETWEEN(8,12)/10,0)</f>
        <v>19</v>
      </c>
      <c r="X97" s="4">
        <f ca="1">ROUND(_Google_ads[[#This Row],[conversion_value]]*RANDBETWEEN(8,12)/10,0)</f>
        <v>1440</v>
      </c>
      <c r="Y97" s="4">
        <f ca="1">_Google_ads[[#This Row],[ctr]]*RANDBETWEEN(8,12)/10</f>
        <v>2.1669999999999998E-2</v>
      </c>
      <c r="Z97" s="4">
        <f ca="1">_Google_ads[[#This Row],[avg_cpc]]*RANDBETWEEN(8,12)/10</f>
        <v>0.71500000000000008</v>
      </c>
      <c r="AA97" s="4">
        <f ca="1">ROUND(_Google_ads[[#This Row],[quality_score]]*RANDBETWEEN(8,12)/10,0)</f>
        <v>6</v>
      </c>
      <c r="AB97" s="4">
        <f ca="1">_Google_ads[[#This Row],[search_impression_share]]*RANDBETWEEN(8,12)/10</f>
        <v>0.40499999999999997</v>
      </c>
      <c r="AD97" s="3">
        <f t="shared" ca="1" si="11"/>
        <v>45287</v>
      </c>
      <c r="AE97" s="4" t="s">
        <v>104</v>
      </c>
      <c r="AF97" s="4" t="s">
        <v>105</v>
      </c>
      <c r="AG97" s="4" t="s">
        <v>106</v>
      </c>
      <c r="AH97" s="4" t="s">
        <v>107</v>
      </c>
      <c r="AI97" s="4">
        <f ca="1">ROUND(T_Tiktok_ads[[#This Row],[impressions]]*RANDBETWEEN(8,12)/10,0)</f>
        <v>168802</v>
      </c>
      <c r="AJ97" s="4">
        <f ca="1">ROUND(T_Tiktok_ads[[#This Row],[clicks]]*RANDBETWEEN(8,12)/10,0)</f>
        <v>2356</v>
      </c>
      <c r="AK97" s="4">
        <v>789.2</v>
      </c>
      <c r="AL97" s="4">
        <f ca="1">ROUND(T_Tiktok_ads[[#This Row],[conversions]]*RANDBETWEEN(8,12)/10,0)</f>
        <v>87</v>
      </c>
      <c r="AM97" s="4">
        <f ca="1">ROUND(T_Tiktok_ads[[#This Row],[video_views]]*RANDBETWEEN(8,12)/10,0)</f>
        <v>129468</v>
      </c>
      <c r="AN97" s="4">
        <f ca="1">ROUND(T_Tiktok_ads[[#This Row],[video_watch_25]]*RANDBETWEEN(8,12)/10,0)</f>
        <v>63654</v>
      </c>
      <c r="AO97" s="4">
        <f ca="1">ROUND(T_Tiktok_ads[[#This Row],[video_watch_50]]*RANDBETWEEN(8,12)/10,0)</f>
        <v>42942</v>
      </c>
      <c r="AP97" s="4">
        <f ca="1">ROUND(T_Tiktok_ads[[#This Row],[video_watch_75]]*RANDBETWEEN(8,12)/10,0)</f>
        <v>44257</v>
      </c>
      <c r="AQ97" s="4">
        <f ca="1">ROUND(T_Tiktok_ads[[#This Row],[video_watch_100]]*RANDBETWEEN(8,12)/10,0)</f>
        <v>26890</v>
      </c>
      <c r="AR97" s="4">
        <f ca="1">ROUND(T_Tiktok_ads[[#This Row],[likes]]*RANDBETWEEN(8,12)/10,0)</f>
        <v>4187</v>
      </c>
      <c r="AS97" s="4">
        <f ca="1">ROUND(T_Tiktok_ads[[#This Row],[shares]]*RANDBETWEEN(8,12)/10,0)</f>
        <v>1456</v>
      </c>
      <c r="AT97" s="4">
        <f ca="1">ROUND(T_Tiktok_ads[[#This Row],[comments]]*RANDBETWEEN(8,12)/10,0)</f>
        <v>222</v>
      </c>
      <c r="AV97" s="5">
        <f t="shared" ca="1" si="12"/>
        <v>45276</v>
      </c>
      <c r="AW97">
        <f t="shared" ca="1" si="13"/>
        <v>4</v>
      </c>
      <c r="AX97">
        <f ca="1">ROUND(T_Facebook_Ads115963677175798387919599[[#This Row],[impressions]]*RANDBETWEEN(8,12)/10,0)</f>
        <v>11059</v>
      </c>
      <c r="AY97">
        <f ca="1">ROUND(T_Facebook_Ads115963677175798387919599[[#This Row],[clicks]]*RANDBETWEEN(8,12)/10,0)</f>
        <v>454</v>
      </c>
      <c r="AZ97">
        <f ca="1">T_Facebook_Ads115963677175798387919599[[#This Row],[spend]]*RANDBETWEEN(8,12)/10</f>
        <v>226.15199999999999</v>
      </c>
      <c r="BA97">
        <f ca="1">ROUND(T_Facebook_Ads115963677175798387919599[[#This Row],[conversions]]*RANDBETWEEN(8,12)/10,0)</f>
        <v>35</v>
      </c>
      <c r="BB97">
        <f ca="1">ROUND(T_Facebook_Ads115963677175798387919599[[#This Row],[video_views]]*RANDBETWEEN(8,12)/10,0)</f>
        <v>1368</v>
      </c>
    </row>
    <row r="98" spans="1:54" ht="15.75" thickBot="1" x14ac:dyDescent="0.3">
      <c r="A98" s="3">
        <f t="shared" ref="A98:A111" ca="1" si="14">DATE(2023,12,RANDBETWEEN(1,31))</f>
        <v>45287</v>
      </c>
      <c r="B98" s="4" t="s">
        <v>60</v>
      </c>
      <c r="C98" s="4" t="s">
        <v>61</v>
      </c>
      <c r="D98" s="4" t="s">
        <v>62</v>
      </c>
      <c r="E98" s="4" t="s">
        <v>63</v>
      </c>
      <c r="F98" s="4">
        <f ca="1">ROUND(T_Facebook_Ads[[#This Row],[impressions]]*RANDBETWEEN(8,12)/10,0)</f>
        <v>39479</v>
      </c>
      <c r="G98" s="4">
        <v>1289</v>
      </c>
      <c r="H98" s="4">
        <f ca="1">T_Facebook_Ads[[#This Row],[spend]]*RANDBETWEEN(8,12)/10</f>
        <v>237.36000000000004</v>
      </c>
      <c r="I98" s="4">
        <f ca="1">ROUND(T_Facebook_Ads[[#This Row],[conversions]]*RANDBETWEEN(8,12)/10,0)</f>
        <v>27</v>
      </c>
      <c r="J98" s="4">
        <f ca="1">ROUND(T_Facebook_Ads[[#This Row],[video_views]]*RANDBETWEEN(8,12)/10,0)</f>
        <v>4567</v>
      </c>
      <c r="K98" s="4">
        <f ca="1">T_Facebook_Ads[[#This Row],[engagement_rate]]*RANDBETWEEN(8,12)/10</f>
        <v>4.308E-2</v>
      </c>
      <c r="L98" s="4">
        <f ca="1">ROUND(T_Facebook_Ads[[#This Row],[reach]]*RANDBETWEEN(8,12)/10,0)</f>
        <v>26610</v>
      </c>
      <c r="M98" s="4">
        <f ca="1">T_Facebook_Ads[[#This Row],[frequency]]*RANDBETWEEN(8,12)/10</f>
        <v>1.21</v>
      </c>
      <c r="O98" s="3">
        <f t="shared" ref="O98:O111" ca="1" si="15">DATE(2023,12,RANDBETWEEN(1,31))</f>
        <v>45266</v>
      </c>
      <c r="P98" s="4" t="s">
        <v>84</v>
      </c>
      <c r="Q98" s="4" t="s">
        <v>85</v>
      </c>
      <c r="R98" s="4" t="s">
        <v>86</v>
      </c>
      <c r="S98" s="4" t="s">
        <v>87</v>
      </c>
      <c r="T98" s="4">
        <f ca="1">ROUND(_Google_ads[[#This Row],[impressions]]*RANDBETWEEN(8,12)/10,0)</f>
        <v>63111</v>
      </c>
      <c r="U98" s="4">
        <f ca="1">ROUND(_Google_ads[[#This Row],[clicks]]*RANDBETWEEN(8,12)/10,0)</f>
        <v>1885</v>
      </c>
      <c r="V98" s="4">
        <f ca="1">_Google_ads[[#This Row],[cost]]*RANDBETWEEN(8,12)/10</f>
        <v>474.32</v>
      </c>
      <c r="W98" s="4">
        <f ca="1">ROUND(_Google_ads[[#This Row],[conversions]]*RANDBETWEEN(8,12)/10,0)</f>
        <v>68</v>
      </c>
      <c r="X98" s="4">
        <f ca="1">ROUND(_Google_ads[[#This Row],[conversion_value]]*RANDBETWEEN(8,12)/10,0)</f>
        <v>3400</v>
      </c>
      <c r="Y98" s="4">
        <f ca="1">_Google_ads[[#This Row],[ctr]]*RANDBETWEEN(8,12)/10</f>
        <v>2.6879999999999998E-2</v>
      </c>
      <c r="Z98" s="4">
        <f ca="1">_Google_ads[[#This Row],[avg_cpc]]*RANDBETWEEN(8,12)/10</f>
        <v>0.21600000000000003</v>
      </c>
      <c r="AA98" s="4">
        <f ca="1">ROUND(_Google_ads[[#This Row],[quality_score]]*RANDBETWEEN(8,12)/10,0)</f>
        <v>10</v>
      </c>
      <c r="AB98" s="4">
        <f ca="1">_Google_ads[[#This Row],[search_impression_share]]*RANDBETWEEN(8,12)/10</f>
        <v>0.748</v>
      </c>
      <c r="AD98" s="3">
        <f t="shared" ref="AD98:AD111" ca="1" si="16">DATE(2023,12,RANDBETWEEN(1,31))</f>
        <v>45287</v>
      </c>
      <c r="AE98" s="4" t="s">
        <v>108</v>
      </c>
      <c r="AF98" s="4" t="s">
        <v>109</v>
      </c>
      <c r="AG98" s="4" t="s">
        <v>110</v>
      </c>
      <c r="AH98" s="4" t="s">
        <v>111</v>
      </c>
      <c r="AI98" s="4">
        <f ca="1">ROUND(T_Tiktok_ads[[#This Row],[impressions]]*RANDBETWEEN(8,12)/10,0)</f>
        <v>236789</v>
      </c>
      <c r="AJ98" s="4">
        <f ca="1">ROUND(T_Tiktok_ads[[#This Row],[clicks]]*RANDBETWEEN(8,12)/10,0)</f>
        <v>3361</v>
      </c>
      <c r="AK98" s="4">
        <v>456.8</v>
      </c>
      <c r="AL98" s="4">
        <f ca="1">ROUND(T_Tiktok_ads[[#This Row],[conversions]]*RANDBETWEEN(8,12)/10,0)</f>
        <v>30</v>
      </c>
      <c r="AM98" s="4">
        <f ca="1">ROUND(T_Tiktok_ads[[#This Row],[video_views]]*RANDBETWEEN(8,12)/10,0)</f>
        <v>206679</v>
      </c>
      <c r="AN98" s="4">
        <f ca="1">ROUND(T_Tiktok_ads[[#This Row],[video_watch_25]]*RANDBETWEEN(8,12)/10,0)</f>
        <v>113876</v>
      </c>
      <c r="AO98" s="4">
        <f ca="1">ROUND(T_Tiktok_ads[[#This Row],[video_watch_50]]*RANDBETWEEN(8,12)/10,0)</f>
        <v>112345</v>
      </c>
      <c r="AP98" s="4">
        <f ca="1">ROUND(T_Tiktok_ads[[#This Row],[video_watch_75]]*RANDBETWEEN(8,12)/10,0)</f>
        <v>57876</v>
      </c>
      <c r="AQ98" s="4">
        <f ca="1">ROUND(T_Tiktok_ads[[#This Row],[video_watch_100]]*RANDBETWEEN(8,12)/10,0)</f>
        <v>43789</v>
      </c>
      <c r="AR98" s="4">
        <f ca="1">ROUND(T_Tiktok_ads[[#This Row],[likes]]*RANDBETWEEN(8,12)/10,0)</f>
        <v>8456</v>
      </c>
      <c r="AS98" s="4">
        <f ca="1">ROUND(T_Tiktok_ads[[#This Row],[shares]]*RANDBETWEEN(8,12)/10,0)</f>
        <v>2494</v>
      </c>
      <c r="AT98" s="4">
        <f ca="1">ROUND(T_Tiktok_ads[[#This Row],[comments]]*RANDBETWEEN(8,12)/10,0)</f>
        <v>654</v>
      </c>
      <c r="AV98" s="5">
        <f t="shared" ref="AV98:AV111" ca="1" si="17">DATE(2023,12,RANDBETWEEN(1,31))</f>
        <v>45289</v>
      </c>
      <c r="AW98">
        <f t="shared" ca="1" si="13"/>
        <v>5</v>
      </c>
      <c r="AX98">
        <f ca="1">ROUND(T_Facebook_Ads115963677175798387919599[[#This Row],[impressions]]*RANDBETWEEN(8,12)/10,0)</f>
        <v>35531</v>
      </c>
      <c r="AY98">
        <f ca="1">ROUND(T_Facebook_Ads115963677175798387919599[[#This Row],[clicks]]*RANDBETWEEN(8,12)/10,0)</f>
        <v>1289</v>
      </c>
      <c r="AZ98">
        <f ca="1">T_Facebook_Ads115963677175798387919599[[#This Row],[spend]]*RANDBETWEEN(8,12)/10</f>
        <v>284.83200000000005</v>
      </c>
      <c r="BA98">
        <f ca="1">ROUND(T_Facebook_Ads115963677175798387919599[[#This Row],[conversions]]*RANDBETWEEN(8,12)/10,0)</f>
        <v>32</v>
      </c>
      <c r="BB98">
        <f ca="1">ROUND(T_Facebook_Ads115963677175798387919599[[#This Row],[video_views]]*RANDBETWEEN(8,12)/10,0)</f>
        <v>5480</v>
      </c>
    </row>
    <row r="99" spans="1:54" ht="15.75" thickBot="1" x14ac:dyDescent="0.3">
      <c r="A99" s="3">
        <f t="shared" ca="1" si="14"/>
        <v>45277</v>
      </c>
      <c r="B99" s="4" t="s">
        <v>64</v>
      </c>
      <c r="C99" s="4" t="s">
        <v>65</v>
      </c>
      <c r="D99" s="4" t="s">
        <v>66</v>
      </c>
      <c r="E99" s="4" t="s">
        <v>67</v>
      </c>
      <c r="F99" s="4">
        <f ca="1">ROUND(T_Facebook_Ads[[#This Row],[impressions]]*RANDBETWEEN(8,12)/10,0)</f>
        <v>68234</v>
      </c>
      <c r="G99" s="4">
        <v>245</v>
      </c>
      <c r="H99" s="4">
        <f ca="1">T_Facebook_Ads[[#This Row],[spend]]*RANDBETWEEN(8,12)/10</f>
        <v>94.490000000000009</v>
      </c>
      <c r="I99" s="4">
        <f ca="1">ROUND(T_Facebook_Ads[[#This Row],[conversions]]*RANDBETWEEN(8,12)/10,0)</f>
        <v>4</v>
      </c>
      <c r="J99" s="4">
        <f ca="1">ROUND(T_Facebook_Ads[[#This Row],[video_views]]*RANDBETWEEN(8,12)/10,0)</f>
        <v>41110</v>
      </c>
      <c r="K99" s="4">
        <f ca="1">T_Facebook_Ads[[#This Row],[engagement_rate]]*RANDBETWEEN(8,12)/10</f>
        <v>3.96E-3</v>
      </c>
      <c r="L99" s="4">
        <f ca="1">ROUND(T_Facebook_Ads[[#This Row],[reach]]*RANDBETWEEN(8,12)/10,0)</f>
        <v>44712</v>
      </c>
      <c r="M99" s="4">
        <f ca="1">T_Facebook_Ads[[#This Row],[frequency]]*RANDBETWEEN(8,12)/10</f>
        <v>1.3420000000000001</v>
      </c>
      <c r="O99" s="3">
        <f t="shared" ca="1" si="15"/>
        <v>45279</v>
      </c>
      <c r="P99" s="4" t="s">
        <v>88</v>
      </c>
      <c r="Q99" s="4" t="s">
        <v>89</v>
      </c>
      <c r="R99" s="4" t="s">
        <v>90</v>
      </c>
      <c r="S99" s="4" t="s">
        <v>59</v>
      </c>
      <c r="T99" s="4">
        <f ca="1">ROUND(_Google_ads[[#This Row],[impressions]]*RANDBETWEEN(8,12)/10,0)</f>
        <v>161868</v>
      </c>
      <c r="U99" s="4">
        <f ca="1">ROUND(_Google_ads[[#This Row],[clicks]]*RANDBETWEEN(8,12)/10,0)</f>
        <v>440</v>
      </c>
      <c r="V99" s="4">
        <f ca="1">_Google_ads[[#This Row],[cost]]*RANDBETWEEN(8,12)/10</f>
        <v>145.96999999999997</v>
      </c>
      <c r="W99" s="4">
        <f ca="1">ROUND(_Google_ads[[#This Row],[conversions]]*RANDBETWEEN(8,12)/10,0)</f>
        <v>11</v>
      </c>
      <c r="X99" s="4">
        <f ca="1">ROUND(_Google_ads[[#This Row],[conversion_value]]*RANDBETWEEN(8,12)/10,0)</f>
        <v>560</v>
      </c>
      <c r="Y99" s="4">
        <f ca="1">_Google_ads[[#This Row],[ctr]]*RANDBETWEEN(8,12)/10</f>
        <v>3.2399999999999998E-3</v>
      </c>
      <c r="Z99" s="4">
        <f ca="1">_Google_ads[[#This Row],[avg_cpc]]*RANDBETWEEN(8,12)/10</f>
        <v>0.32400000000000001</v>
      </c>
      <c r="AA99" s="4">
        <f ca="1">ROUND(_Google_ads[[#This Row],[quality_score]]*RANDBETWEEN(8,12)/10,0)</f>
        <v>6</v>
      </c>
      <c r="AB99" s="4">
        <f ca="1">_Google_ads[[#This Row],[search_impression_share]]*RANDBETWEEN(8,12)/10</f>
        <v>0.35</v>
      </c>
      <c r="AD99" s="3">
        <f t="shared" ca="1" si="16"/>
        <v>45263</v>
      </c>
      <c r="AE99" s="4" t="s">
        <v>112</v>
      </c>
      <c r="AF99" s="4" t="s">
        <v>113</v>
      </c>
      <c r="AG99" s="4" t="s">
        <v>114</v>
      </c>
      <c r="AH99" s="4" t="s">
        <v>115</v>
      </c>
      <c r="AI99" s="4">
        <f ca="1">ROUND(T_Tiktok_ads[[#This Row],[impressions]]*RANDBETWEEN(8,12)/10,0)</f>
        <v>508147</v>
      </c>
      <c r="AJ99" s="4">
        <f ca="1">ROUND(T_Tiktok_ads[[#This Row],[clicks]]*RANDBETWEEN(8,12)/10,0)</f>
        <v>5431</v>
      </c>
      <c r="AK99" s="4">
        <v>1034.5</v>
      </c>
      <c r="AL99" s="4">
        <f ca="1">ROUND(T_Tiktok_ads[[#This Row],[conversions]]*RANDBETWEEN(8,12)/10,0)</f>
        <v>83</v>
      </c>
      <c r="AM99" s="4">
        <f ca="1">ROUND(T_Tiktok_ads[[#This Row],[video_views]]*RANDBETWEEN(8,12)/10,0)</f>
        <v>356789</v>
      </c>
      <c r="AN99" s="4">
        <f ca="1">ROUND(T_Tiktok_ads[[#This Row],[video_watch_25]]*RANDBETWEEN(8,12)/10,0)</f>
        <v>287234</v>
      </c>
      <c r="AO99" s="4">
        <f ca="1">ROUND(T_Tiktok_ads[[#This Row],[video_watch_50]]*RANDBETWEEN(8,12)/10,0)</f>
        <v>206311</v>
      </c>
      <c r="AP99" s="4">
        <f ca="1">ROUND(T_Tiktok_ads[[#This Row],[video_watch_75]]*RANDBETWEEN(8,12)/10,0)</f>
        <v>194814</v>
      </c>
      <c r="AQ99" s="4">
        <f ca="1">ROUND(T_Tiktok_ads[[#This Row],[video_watch_100]]*RANDBETWEEN(8,12)/10,0)</f>
        <v>97101</v>
      </c>
      <c r="AR99" s="4">
        <f ca="1">ROUND(T_Tiktok_ads[[#This Row],[likes]]*RANDBETWEEN(8,12)/10,0)</f>
        <v>18756</v>
      </c>
      <c r="AS99" s="4">
        <f ca="1">ROUND(T_Tiktok_ads[[#This Row],[shares]]*RANDBETWEEN(8,12)/10,0)</f>
        <v>5345</v>
      </c>
      <c r="AT99" s="4">
        <f ca="1">ROUND(T_Tiktok_ads[[#This Row],[comments]]*RANDBETWEEN(8,12)/10,0)</f>
        <v>1165</v>
      </c>
      <c r="AV99" s="5">
        <f t="shared" ca="1" si="17"/>
        <v>45289</v>
      </c>
      <c r="AW99">
        <f t="shared" ca="1" si="13"/>
        <v>2</v>
      </c>
      <c r="AX99">
        <f ca="1">ROUND(T_Facebook_Ads115963677175798387919599[[#This Row],[impressions]]*RANDBETWEEN(8,12)/10,0)</f>
        <v>75057</v>
      </c>
      <c r="AY99">
        <f ca="1">ROUND(T_Facebook_Ads115963677175798387919599[[#This Row],[clicks]]*RANDBETWEEN(8,12)/10,0)</f>
        <v>294</v>
      </c>
      <c r="AZ99">
        <f ca="1">T_Facebook_Ads115963677175798387919599[[#This Row],[spend]]*RANDBETWEEN(8,12)/10</f>
        <v>75.592000000000013</v>
      </c>
      <c r="BA99">
        <f ca="1">ROUND(T_Facebook_Ads115963677175798387919599[[#This Row],[conversions]]*RANDBETWEEN(8,12)/10,0)</f>
        <v>3</v>
      </c>
      <c r="BB99">
        <f ca="1">ROUND(T_Facebook_Ads115963677175798387919599[[#This Row],[video_views]]*RANDBETWEEN(8,12)/10,0)</f>
        <v>36999</v>
      </c>
    </row>
    <row r="100" spans="1:54" ht="15.75" thickBot="1" x14ac:dyDescent="0.3">
      <c r="A100" s="3">
        <f t="shared" ca="1" si="14"/>
        <v>45274</v>
      </c>
      <c r="B100" s="4" t="s">
        <v>52</v>
      </c>
      <c r="C100" s="4" t="s">
        <v>53</v>
      </c>
      <c r="D100" s="4" t="s">
        <v>54</v>
      </c>
      <c r="E100" s="4" t="s">
        <v>55</v>
      </c>
      <c r="F100" s="4">
        <f ca="1">ROUND(T_Facebook_Ads[[#This Row],[impressions]]*RANDBETWEEN(8,12)/10,0)</f>
        <v>49024</v>
      </c>
      <c r="G100" s="4">
        <v>890</v>
      </c>
      <c r="H100" s="4">
        <f ca="1">T_Facebook_Ads[[#This Row],[spend]]*RANDBETWEEN(8,12)/10</f>
        <v>127.6</v>
      </c>
      <c r="I100" s="4">
        <f ca="1">ROUND(T_Facebook_Ads[[#This Row],[conversions]]*RANDBETWEEN(8,12)/10,0)</f>
        <v>12</v>
      </c>
      <c r="J100" s="4">
        <f ca="1">ROUND(T_Facebook_Ads[[#This Row],[video_views]]*RANDBETWEEN(8,12)/10,0)</f>
        <v>9748</v>
      </c>
      <c r="K100" s="4">
        <f ca="1">T_Facebook_Ads[[#This Row],[engagement_rate]]*RANDBETWEEN(8,12)/10</f>
        <v>1.7999999999999999E-2</v>
      </c>
      <c r="L100" s="4">
        <f ca="1">ROUND(T_Facebook_Ads[[#This Row],[reach]]*RANDBETWEEN(8,12)/10,0)</f>
        <v>44947</v>
      </c>
      <c r="M100" s="4">
        <f ca="1">T_Facebook_Ads[[#This Row],[frequency]]*RANDBETWEEN(8,12)/10</f>
        <v>1.19</v>
      </c>
      <c r="O100" s="3">
        <f t="shared" ca="1" si="15"/>
        <v>45282</v>
      </c>
      <c r="P100" s="4" t="s">
        <v>76</v>
      </c>
      <c r="Q100" s="4" t="s">
        <v>77</v>
      </c>
      <c r="R100" s="4" t="s">
        <v>78</v>
      </c>
      <c r="S100" s="4" t="s">
        <v>79</v>
      </c>
      <c r="T100" s="4">
        <f ca="1">ROUND(_Google_ads[[#This Row],[impressions]]*RANDBETWEEN(8,12)/10,0)</f>
        <v>23567</v>
      </c>
      <c r="U100" s="4">
        <f ca="1">ROUND(_Google_ads[[#This Row],[clicks]]*RANDBETWEEN(8,12)/10,0)</f>
        <v>951</v>
      </c>
      <c r="V100" s="4">
        <f ca="1">_Google_ads[[#This Row],[cost]]*RANDBETWEEN(8,12)/10</f>
        <v>272.16000000000003</v>
      </c>
      <c r="W100" s="4">
        <f ca="1">ROUND(_Google_ads[[#This Row],[conversions]]*RANDBETWEEN(8,12)/10,0)</f>
        <v>48</v>
      </c>
      <c r="X100" s="4">
        <f ca="1">ROUND(_Google_ads[[#This Row],[conversion_value]]*RANDBETWEEN(8,12)/10,0)</f>
        <v>1760</v>
      </c>
      <c r="Y100" s="4">
        <f ca="1">_Google_ads[[#This Row],[ctr]]*RANDBETWEEN(8,12)/10</f>
        <v>5.0500000000000003E-2</v>
      </c>
      <c r="Z100" s="4">
        <f ca="1">_Google_ads[[#This Row],[avg_cpc]]*RANDBETWEEN(8,12)/10</f>
        <v>0.17099999999999999</v>
      </c>
      <c r="AA100" s="4">
        <f ca="1">ROUND(_Google_ads[[#This Row],[quality_score]]*RANDBETWEEN(8,12)/10,0)</f>
        <v>9</v>
      </c>
      <c r="AB100" s="4">
        <f ca="1">_Google_ads[[#This Row],[search_impression_share]]*RANDBETWEEN(8,12)/10</f>
        <v>0.9</v>
      </c>
      <c r="AD100" s="3">
        <f t="shared" ca="1" si="16"/>
        <v>45278</v>
      </c>
      <c r="AE100" s="4" t="s">
        <v>100</v>
      </c>
      <c r="AF100" s="4" t="s">
        <v>101</v>
      </c>
      <c r="AG100" s="4" t="s">
        <v>102</v>
      </c>
      <c r="AH100" s="4" t="s">
        <v>103</v>
      </c>
      <c r="AI100" s="4">
        <f ca="1">ROUND(T_Tiktok_ads[[#This Row],[impressions]]*RANDBETWEEN(8,12)/10,0)</f>
        <v>214312</v>
      </c>
      <c r="AJ100" s="4">
        <f ca="1">ROUND(T_Tiktok_ads[[#This Row],[clicks]]*RANDBETWEEN(8,12)/10,0)</f>
        <v>3945</v>
      </c>
      <c r="AK100" s="4">
        <v>501.2</v>
      </c>
      <c r="AL100" s="4">
        <f ca="1">ROUND(T_Tiktok_ads[[#This Row],[conversions]]*RANDBETWEEN(8,12)/10,0)</f>
        <v>40</v>
      </c>
      <c r="AM100" s="4">
        <f ca="1">ROUND(T_Tiktok_ads[[#This Row],[video_views]]*RANDBETWEEN(8,12)/10,0)</f>
        <v>176987</v>
      </c>
      <c r="AN100" s="4">
        <f ca="1">ROUND(T_Tiktok_ads[[#This Row],[video_watch_25]]*RANDBETWEEN(8,12)/10,0)</f>
        <v>156110</v>
      </c>
      <c r="AO100" s="4">
        <f ca="1">ROUND(T_Tiktok_ads[[#This Row],[video_watch_50]]*RANDBETWEEN(8,12)/10,0)</f>
        <v>131081</v>
      </c>
      <c r="AP100" s="4">
        <f ca="1">ROUND(T_Tiktok_ads[[#This Row],[video_watch_75]]*RANDBETWEEN(8,12)/10,0)</f>
        <v>73567</v>
      </c>
      <c r="AQ100" s="4">
        <f ca="1">ROUND(T_Tiktok_ads[[#This Row],[video_watch_100]]*RANDBETWEEN(8,12)/10,0)</f>
        <v>39387</v>
      </c>
      <c r="AR100" s="4">
        <f ca="1">ROUND(T_Tiktok_ads[[#This Row],[likes]]*RANDBETWEEN(8,12)/10,0)</f>
        <v>10768</v>
      </c>
      <c r="AS100" s="4">
        <f ca="1">ROUND(T_Tiktok_ads[[#This Row],[shares]]*RANDBETWEEN(8,12)/10,0)</f>
        <v>2107</v>
      </c>
      <c r="AT100" s="4">
        <f ca="1">ROUND(T_Tiktok_ads[[#This Row],[comments]]*RANDBETWEEN(8,12)/10,0)</f>
        <v>748</v>
      </c>
      <c r="AV100" s="5">
        <f t="shared" ca="1" si="17"/>
        <v>45262</v>
      </c>
      <c r="AW100">
        <f t="shared" ca="1" si="13"/>
        <v>8</v>
      </c>
      <c r="AX100">
        <f ca="1">ROUND(T_Facebook_Ads115963677175798387919599[[#This Row],[impressions]]*RANDBETWEEN(8,12)/10,0)</f>
        <v>49024</v>
      </c>
      <c r="AY100">
        <f ca="1">ROUND(T_Facebook_Ads115963677175798387919599[[#This Row],[clicks]]*RANDBETWEEN(8,12)/10,0)</f>
        <v>890</v>
      </c>
      <c r="AZ100">
        <f ca="1">T_Facebook_Ads115963677175798387919599[[#This Row],[spend]]*RANDBETWEEN(8,12)/10</f>
        <v>102.08</v>
      </c>
      <c r="BA100">
        <f ca="1">ROUND(T_Facebook_Ads115963677175798387919599[[#This Row],[conversions]]*RANDBETWEEN(8,12)/10,0)</f>
        <v>12</v>
      </c>
      <c r="BB100">
        <f ca="1">ROUND(T_Facebook_Ads115963677175798387919599[[#This Row],[video_views]]*RANDBETWEEN(8,12)/10,0)</f>
        <v>11698</v>
      </c>
    </row>
    <row r="101" spans="1:54" ht="15.75" thickBot="1" x14ac:dyDescent="0.3">
      <c r="A101" s="3">
        <f t="shared" ca="1" si="14"/>
        <v>45286</v>
      </c>
      <c r="B101" s="4" t="s">
        <v>56</v>
      </c>
      <c r="C101" s="4" t="s">
        <v>57</v>
      </c>
      <c r="D101" s="4" t="s">
        <v>58</v>
      </c>
      <c r="E101" s="4" t="s">
        <v>59</v>
      </c>
      <c r="F101" s="4">
        <f ca="1">ROUND(T_Facebook_Ads[[#This Row],[impressions]]*RANDBETWEEN(8,12)/10,0)</f>
        <v>11456</v>
      </c>
      <c r="G101" s="4">
        <v>523</v>
      </c>
      <c r="H101" s="4">
        <f ca="1">T_Facebook_Ads[[#This Row],[spend]]*RANDBETWEEN(8,12)/10</f>
        <v>192.3</v>
      </c>
      <c r="I101" s="4">
        <f ca="1">ROUND(T_Facebook_Ads[[#This Row],[conversions]]*RANDBETWEEN(8,12)/10,0)</f>
        <v>33</v>
      </c>
      <c r="J101" s="4">
        <f ca="1">ROUND(T_Facebook_Ads[[#This Row],[video_views]]*RANDBETWEEN(8,12)/10,0)</f>
        <v>1307</v>
      </c>
      <c r="K101" s="4">
        <f ca="1">T_Facebook_Ads[[#This Row],[engagement_rate]]*RANDBETWEEN(8,12)/10</f>
        <v>5.0269999999999995E-2</v>
      </c>
      <c r="L101" s="4">
        <f ca="1">ROUND(T_Facebook_Ads[[#This Row],[reach]]*RANDBETWEEN(8,12)/10,0)</f>
        <v>9864</v>
      </c>
      <c r="M101" s="4">
        <f ca="1">T_Facebook_Ads[[#This Row],[frequency]]*RANDBETWEEN(8,12)/10</f>
        <v>1.4079999999999999</v>
      </c>
      <c r="O101" s="3">
        <f t="shared" ca="1" si="15"/>
        <v>45262</v>
      </c>
      <c r="P101" s="4" t="s">
        <v>80</v>
      </c>
      <c r="Q101" s="4" t="s">
        <v>81</v>
      </c>
      <c r="R101" s="4" t="s">
        <v>82</v>
      </c>
      <c r="S101" s="4" t="s">
        <v>83</v>
      </c>
      <c r="T101" s="4">
        <f ca="1">ROUND(_Google_ads[[#This Row],[impressions]]*RANDBETWEEN(8,12)/10,0)</f>
        <v>42890</v>
      </c>
      <c r="U101" s="4">
        <f ca="1">ROUND(_Google_ads[[#This Row],[clicks]]*RANDBETWEEN(8,12)/10,0)</f>
        <v>917</v>
      </c>
      <c r="V101" s="4">
        <f ca="1">_Google_ads[[#This Row],[cost]]*RANDBETWEEN(8,12)/10</f>
        <v>659.16</v>
      </c>
      <c r="W101" s="4">
        <f ca="1">ROUND(_Google_ads[[#This Row],[conversions]]*RANDBETWEEN(8,12)/10,0)</f>
        <v>19</v>
      </c>
      <c r="X101" s="4">
        <f ca="1">ROUND(_Google_ads[[#This Row],[conversion_value]]*RANDBETWEEN(8,12)/10,0)</f>
        <v>1155</v>
      </c>
      <c r="Y101" s="4">
        <f ca="1">_Google_ads[[#This Row],[ctr]]*RANDBETWEEN(8,12)/10</f>
        <v>2.145E-2</v>
      </c>
      <c r="Z101" s="4">
        <f ca="1">_Google_ads[[#This Row],[avg_cpc]]*RANDBETWEEN(8,12)/10</f>
        <v>0.79200000000000004</v>
      </c>
      <c r="AA101" s="4">
        <f ca="1">ROUND(_Google_ads[[#This Row],[quality_score]]*RANDBETWEEN(8,12)/10,0)</f>
        <v>8</v>
      </c>
      <c r="AB101" s="4">
        <f ca="1">_Google_ads[[#This Row],[search_impression_share]]*RANDBETWEEN(8,12)/10</f>
        <v>0.43</v>
      </c>
      <c r="AD101" s="3">
        <f t="shared" ca="1" si="16"/>
        <v>45270</v>
      </c>
      <c r="AE101" s="4" t="s">
        <v>104</v>
      </c>
      <c r="AF101" s="4" t="s">
        <v>105</v>
      </c>
      <c r="AG101" s="4" t="s">
        <v>106</v>
      </c>
      <c r="AH101" s="4" t="s">
        <v>107</v>
      </c>
      <c r="AI101" s="4">
        <f ca="1">ROUND(T_Tiktok_ads[[#This Row],[impressions]]*RANDBETWEEN(8,12)/10,0)</f>
        <v>148901</v>
      </c>
      <c r="AJ101" s="4">
        <f ca="1">ROUND(T_Tiktok_ads[[#This Row],[clicks]]*RANDBETWEEN(8,12)/10,0)</f>
        <v>3401</v>
      </c>
      <c r="AK101" s="4">
        <v>756.7</v>
      </c>
      <c r="AL101" s="4">
        <f ca="1">ROUND(T_Tiktok_ads[[#This Row],[conversions]]*RANDBETWEEN(8,12)/10,0)</f>
        <v>91</v>
      </c>
      <c r="AM101" s="4">
        <f ca="1">ROUND(T_Tiktok_ads[[#This Row],[video_views]]*RANDBETWEEN(8,12)/10,0)</f>
        <v>80987</v>
      </c>
      <c r="AN101" s="4">
        <f ca="1">ROUND(T_Tiktok_ads[[#This Row],[video_watch_25]]*RANDBETWEEN(8,12)/10,0)</f>
        <v>82024</v>
      </c>
      <c r="AO101" s="4">
        <f ca="1">ROUND(T_Tiktok_ads[[#This Row],[video_watch_50]]*RANDBETWEEN(8,12)/10,0)</f>
        <v>55257</v>
      </c>
      <c r="AP101" s="4">
        <f ca="1">ROUND(T_Tiktok_ads[[#This Row],[video_watch_75]]*RANDBETWEEN(8,12)/10,0)</f>
        <v>30312</v>
      </c>
      <c r="AQ101" s="4">
        <f ca="1">ROUND(T_Tiktok_ads[[#This Row],[video_watch_100]]*RANDBETWEEN(8,12)/10,0)</f>
        <v>27757</v>
      </c>
      <c r="AR101" s="4">
        <f ca="1">ROUND(T_Tiktok_ads[[#This Row],[likes]]*RANDBETWEEN(8,12)/10,0)</f>
        <v>5513</v>
      </c>
      <c r="AS101" s="4">
        <f ca="1">ROUND(T_Tiktok_ads[[#This Row],[shares]]*RANDBETWEEN(8,12)/10,0)</f>
        <v>1423</v>
      </c>
      <c r="AT101" s="4">
        <f ca="1">ROUND(T_Tiktok_ads[[#This Row],[comments]]*RANDBETWEEN(8,12)/10,0)</f>
        <v>214</v>
      </c>
      <c r="AV101" s="5">
        <f t="shared" ca="1" si="17"/>
        <v>45266</v>
      </c>
      <c r="AW101">
        <f t="shared" ca="1" si="13"/>
        <v>7</v>
      </c>
      <c r="AX101">
        <f ca="1">ROUND(T_Facebook_Ads115963677175798387919599[[#This Row],[impressions]]*RANDBETWEEN(8,12)/10,0)</f>
        <v>13747</v>
      </c>
      <c r="AY101">
        <f ca="1">ROUND(T_Facebook_Ads115963677175798387919599[[#This Row],[clicks]]*RANDBETWEEN(8,12)/10,0)</f>
        <v>471</v>
      </c>
      <c r="AZ101">
        <f ca="1">T_Facebook_Ads115963677175798387919599[[#This Row],[spend]]*RANDBETWEEN(8,12)/10</f>
        <v>192.3</v>
      </c>
      <c r="BA101">
        <f ca="1">ROUND(T_Facebook_Ads115963677175798387919599[[#This Row],[conversions]]*RANDBETWEEN(8,12)/10,0)</f>
        <v>33</v>
      </c>
      <c r="BB101">
        <f ca="1">ROUND(T_Facebook_Ads115963677175798387919599[[#This Row],[video_views]]*RANDBETWEEN(8,12)/10,0)</f>
        <v>1568</v>
      </c>
    </row>
    <row r="102" spans="1:54" ht="15.75" thickBot="1" x14ac:dyDescent="0.3">
      <c r="A102" s="3">
        <f t="shared" ca="1" si="14"/>
        <v>45270</v>
      </c>
      <c r="B102" s="4" t="s">
        <v>60</v>
      </c>
      <c r="C102" s="4" t="s">
        <v>61</v>
      </c>
      <c r="D102" s="4" t="s">
        <v>62</v>
      </c>
      <c r="E102" s="4" t="s">
        <v>63</v>
      </c>
      <c r="F102" s="4">
        <f ca="1">ROUND(T_Facebook_Ads[[#This Row],[impressions]]*RANDBETWEEN(8,12)/10,0)</f>
        <v>36924</v>
      </c>
      <c r="G102" s="4">
        <v>1203</v>
      </c>
      <c r="H102" s="4">
        <f ca="1">T_Facebook_Ads[[#This Row],[spend]]*RANDBETWEEN(8,12)/10</f>
        <v>184.5</v>
      </c>
      <c r="I102" s="4">
        <f ca="1">ROUND(T_Facebook_Ads[[#This Row],[conversions]]*RANDBETWEEN(8,12)/10,0)</f>
        <v>20</v>
      </c>
      <c r="J102" s="4">
        <f ca="1">ROUND(T_Facebook_Ads[[#This Row],[video_views]]*RANDBETWEEN(8,12)/10,0)</f>
        <v>3711</v>
      </c>
      <c r="K102" s="4">
        <f ca="1">T_Facebook_Ads[[#This Row],[engagement_rate]]*RANDBETWEEN(8,12)/10</f>
        <v>4.2959999999999998E-2</v>
      </c>
      <c r="L102" s="4">
        <f ca="1">ROUND(T_Facebook_Ads[[#This Row],[reach]]*RANDBETWEEN(8,12)/10,0)</f>
        <v>33468</v>
      </c>
      <c r="M102" s="4">
        <f ca="1">T_Facebook_Ads[[#This Row],[frequency]]*RANDBETWEEN(8,12)/10</f>
        <v>1.3199999999999998</v>
      </c>
      <c r="O102" s="3">
        <f t="shared" ca="1" si="15"/>
        <v>45271</v>
      </c>
      <c r="P102" s="4" t="s">
        <v>84</v>
      </c>
      <c r="Q102" s="4" t="s">
        <v>85</v>
      </c>
      <c r="R102" s="4" t="s">
        <v>86</v>
      </c>
      <c r="S102" s="4" t="s">
        <v>87</v>
      </c>
      <c r="T102" s="4">
        <f ca="1">ROUND(_Google_ads[[#This Row],[impressions]]*RANDBETWEEN(8,12)/10,0)</f>
        <v>66234</v>
      </c>
      <c r="U102" s="4">
        <f ca="1">ROUND(_Google_ads[[#This Row],[clicks]]*RANDBETWEEN(8,12)/10,0)</f>
        <v>1734</v>
      </c>
      <c r="V102" s="4">
        <f ca="1">_Google_ads[[#This Row],[cost]]*RANDBETWEEN(8,12)/10</f>
        <v>316.64</v>
      </c>
      <c r="W102" s="4">
        <f ca="1">ROUND(_Google_ads[[#This Row],[conversions]]*RANDBETWEEN(8,12)/10,0)</f>
        <v>67</v>
      </c>
      <c r="X102" s="4">
        <f ca="1">ROUND(_Google_ads[[#This Row],[conversion_value]]*RANDBETWEEN(8,12)/10,0)</f>
        <v>3355</v>
      </c>
      <c r="Y102" s="4">
        <f ca="1">_Google_ads[[#This Row],[ctr]]*RANDBETWEEN(8,12)/10</f>
        <v>2.6159999999999999E-2</v>
      </c>
      <c r="Z102" s="4">
        <f ca="1">_Google_ads[[#This Row],[avg_cpc]]*RANDBETWEEN(8,12)/10</f>
        <v>0.19800000000000001</v>
      </c>
      <c r="AA102" s="4">
        <f ca="1">ROUND(_Google_ads[[#This Row],[quality_score]]*RANDBETWEEN(8,12)/10,0)</f>
        <v>8</v>
      </c>
      <c r="AB102" s="4">
        <f ca="1">_Google_ads[[#This Row],[search_impression_share]]*RANDBETWEEN(8,12)/10</f>
        <v>0.59400000000000008</v>
      </c>
      <c r="AD102" s="3">
        <f t="shared" ca="1" si="16"/>
        <v>45286</v>
      </c>
      <c r="AE102" s="4" t="s">
        <v>108</v>
      </c>
      <c r="AF102" s="4" t="s">
        <v>109</v>
      </c>
      <c r="AG102" s="4" t="s">
        <v>110</v>
      </c>
      <c r="AH102" s="4" t="s">
        <v>111</v>
      </c>
      <c r="AI102" s="4">
        <f ca="1">ROUND(T_Tiktok_ads[[#This Row],[impressions]]*RANDBETWEEN(8,12)/10,0)</f>
        <v>178765</v>
      </c>
      <c r="AJ102" s="4">
        <f ca="1">ROUND(T_Tiktok_ads[[#This Row],[clicks]]*RANDBETWEEN(8,12)/10,0)</f>
        <v>2854</v>
      </c>
      <c r="AK102" s="4">
        <v>427.7</v>
      </c>
      <c r="AL102" s="4">
        <f ca="1">ROUND(T_Tiktok_ads[[#This Row],[conversions]]*RANDBETWEEN(8,12)/10,0)</f>
        <v>24</v>
      </c>
      <c r="AM102" s="4">
        <f ca="1">ROUND(T_Tiktok_ads[[#This Row],[video_views]]*RANDBETWEEN(8,12)/10,0)</f>
        <v>196791</v>
      </c>
      <c r="AN102" s="4">
        <f ca="1">ROUND(T_Tiktok_ads[[#This Row],[video_watch_25]]*RANDBETWEEN(8,12)/10,0)</f>
        <v>108187</v>
      </c>
      <c r="AO102" s="4">
        <f ca="1">ROUND(T_Tiktok_ads[[#This Row],[video_watch_50]]*RANDBETWEEN(8,12)/10,0)</f>
        <v>106789</v>
      </c>
      <c r="AP102" s="4">
        <f ca="1">ROUND(T_Tiktok_ads[[#This Row],[video_watch_75]]*RANDBETWEEN(8,12)/10,0)</f>
        <v>55387</v>
      </c>
      <c r="AQ102" s="4">
        <f ca="1">ROUND(T_Tiktok_ads[[#This Row],[video_watch_100]]*RANDBETWEEN(8,12)/10,0)</f>
        <v>33431</v>
      </c>
      <c r="AR102" s="4">
        <f ca="1">ROUND(T_Tiktok_ads[[#This Row],[likes]]*RANDBETWEEN(8,12)/10,0)</f>
        <v>9057</v>
      </c>
      <c r="AS102" s="4">
        <f ca="1">ROUND(T_Tiktok_ads[[#This Row],[shares]]*RANDBETWEEN(8,12)/10,0)</f>
        <v>2720</v>
      </c>
      <c r="AT102" s="4">
        <f ca="1">ROUND(T_Tiktok_ads[[#This Row],[comments]]*RANDBETWEEN(8,12)/10,0)</f>
        <v>481</v>
      </c>
      <c r="AV102" s="5">
        <f t="shared" ca="1" si="17"/>
        <v>45261</v>
      </c>
      <c r="AW102">
        <f t="shared" ca="1" si="13"/>
        <v>3</v>
      </c>
      <c r="AX102">
        <f ca="1">ROUND(T_Facebook_Ads115963677175798387919599[[#This Row],[impressions]]*RANDBETWEEN(8,12)/10,0)</f>
        <v>44309</v>
      </c>
      <c r="AY102">
        <f ca="1">ROUND(T_Facebook_Ads115963677175798387919599[[#This Row],[clicks]]*RANDBETWEEN(8,12)/10,0)</f>
        <v>1444</v>
      </c>
      <c r="AZ102">
        <f ca="1">T_Facebook_Ads115963677175798387919599[[#This Row],[spend]]*RANDBETWEEN(8,12)/10</f>
        <v>166.05</v>
      </c>
      <c r="BA102">
        <f ca="1">ROUND(T_Facebook_Ads115963677175798387919599[[#This Row],[conversions]]*RANDBETWEEN(8,12)/10,0)</f>
        <v>16</v>
      </c>
      <c r="BB102">
        <f ca="1">ROUND(T_Facebook_Ads115963677175798387919599[[#This Row],[video_views]]*RANDBETWEEN(8,12)/10,0)</f>
        <v>2969</v>
      </c>
    </row>
    <row r="103" spans="1:54" ht="15.75" thickBot="1" x14ac:dyDescent="0.3">
      <c r="A103" s="3">
        <f t="shared" ca="1" si="14"/>
        <v>45267</v>
      </c>
      <c r="B103" s="4" t="s">
        <v>64</v>
      </c>
      <c r="C103" s="4" t="s">
        <v>65</v>
      </c>
      <c r="D103" s="4" t="s">
        <v>66</v>
      </c>
      <c r="E103" s="4" t="s">
        <v>67</v>
      </c>
      <c r="F103" s="4">
        <f ca="1">ROUND(T_Facebook_Ads[[#This Row],[impressions]]*RANDBETWEEN(8,12)/10,0)</f>
        <v>65789</v>
      </c>
      <c r="G103" s="4">
        <v>234</v>
      </c>
      <c r="H103" s="4">
        <f ca="1">T_Facebook_Ads[[#This Row],[spend]]*RANDBETWEEN(8,12)/10</f>
        <v>88.440000000000012</v>
      </c>
      <c r="I103" s="4">
        <f ca="1">ROUND(T_Facebook_Ads[[#This Row],[conversions]]*RANDBETWEEN(8,12)/10,0)</f>
        <v>5</v>
      </c>
      <c r="J103" s="4">
        <f ca="1">ROUND(T_Facebook_Ads[[#This Row],[video_views]]*RANDBETWEEN(8,12)/10,0)</f>
        <v>39501</v>
      </c>
      <c r="K103" s="4">
        <f ca="1">T_Facebook_Ads[[#This Row],[engagement_rate]]*RANDBETWEEN(8,12)/10</f>
        <v>3.5999999999999999E-3</v>
      </c>
      <c r="L103" s="4">
        <f ca="1">ROUND(T_Facebook_Ads[[#This Row],[reach]]*RANDBETWEEN(8,12)/10,0)</f>
        <v>48711</v>
      </c>
      <c r="M103" s="4">
        <f ca="1">T_Facebook_Ads[[#This Row],[frequency]]*RANDBETWEEN(8,12)/10</f>
        <v>0.96799999999999997</v>
      </c>
      <c r="O103" s="3">
        <f t="shared" ca="1" si="15"/>
        <v>45284</v>
      </c>
      <c r="P103" s="4" t="s">
        <v>88</v>
      </c>
      <c r="Q103" s="4" t="s">
        <v>89</v>
      </c>
      <c r="R103" s="4" t="s">
        <v>90</v>
      </c>
      <c r="S103" s="4" t="s">
        <v>59</v>
      </c>
      <c r="T103" s="4">
        <f ca="1">ROUND(_Google_ads[[#This Row],[impressions]]*RANDBETWEEN(8,12)/10,0)</f>
        <v>152814</v>
      </c>
      <c r="U103" s="4">
        <f ca="1">ROUND(_Google_ads[[#This Row],[clicks]]*RANDBETWEEN(8,12)/10,0)</f>
        <v>401</v>
      </c>
      <c r="V103" s="4">
        <f ca="1">_Google_ads[[#This Row],[cost]]*RANDBETWEEN(8,12)/10</f>
        <v>150.11999999999998</v>
      </c>
      <c r="W103" s="4">
        <f ca="1">ROUND(_Google_ads[[#This Row],[conversions]]*RANDBETWEEN(8,12)/10,0)</f>
        <v>12</v>
      </c>
      <c r="X103" s="4">
        <f ca="1">ROUND(_Google_ads[[#This Row],[conversion_value]]*RANDBETWEEN(8,12)/10,0)</f>
        <v>660</v>
      </c>
      <c r="Y103" s="4">
        <f ca="1">_Google_ads[[#This Row],[ctr]]*RANDBETWEEN(8,12)/10</f>
        <v>3.5000000000000005E-3</v>
      </c>
      <c r="Z103" s="4">
        <f ca="1">_Google_ads[[#This Row],[avg_cpc]]*RANDBETWEEN(8,12)/10</f>
        <v>0.22400000000000003</v>
      </c>
      <c r="AA103" s="4">
        <f ca="1">ROUND(_Google_ads[[#This Row],[quality_score]]*RANDBETWEEN(8,12)/10,0)</f>
        <v>6</v>
      </c>
      <c r="AB103" s="4">
        <f ca="1">_Google_ads[[#This Row],[search_impression_share]]*RANDBETWEEN(8,12)/10</f>
        <v>0.26400000000000001</v>
      </c>
      <c r="AD103" s="3">
        <f t="shared" ca="1" si="16"/>
        <v>45283</v>
      </c>
      <c r="AE103" s="4" t="s">
        <v>112</v>
      </c>
      <c r="AF103" s="4" t="s">
        <v>113</v>
      </c>
      <c r="AG103" s="4" t="s">
        <v>114</v>
      </c>
      <c r="AH103" s="4" t="s">
        <v>115</v>
      </c>
      <c r="AI103" s="4">
        <f ca="1">ROUND(T_Tiktok_ads[[#This Row],[impressions]]*RANDBETWEEN(8,12)/10,0)</f>
        <v>441357</v>
      </c>
      <c r="AJ103" s="4">
        <f ca="1">ROUND(T_Tiktok_ads[[#This Row],[clicks]]*RANDBETWEEN(8,12)/10,0)</f>
        <v>7747</v>
      </c>
      <c r="AK103" s="4">
        <v>989.9</v>
      </c>
      <c r="AL103" s="4">
        <f ca="1">ROUND(T_Tiktok_ads[[#This Row],[conversions]]*RANDBETWEEN(8,12)/10,0)</f>
        <v>111</v>
      </c>
      <c r="AM103" s="4">
        <f ca="1">ROUND(T_Tiktok_ads[[#This Row],[video_views]]*RANDBETWEEN(8,12)/10,0)</f>
        <v>398814</v>
      </c>
      <c r="AN103" s="4">
        <f ca="1">ROUND(T_Tiktok_ads[[#This Row],[video_watch_25]]*RANDBETWEEN(8,12)/10,0)</f>
        <v>294679</v>
      </c>
      <c r="AO103" s="4">
        <f ca="1">ROUND(T_Tiktok_ads[[#This Row],[video_watch_50]]*RANDBETWEEN(8,12)/10,0)</f>
        <v>171654</v>
      </c>
      <c r="AP103" s="4">
        <f ca="1">ROUND(T_Tiktok_ads[[#This Row],[video_watch_75]]*RANDBETWEEN(8,12)/10,0)</f>
        <v>120987</v>
      </c>
      <c r="AQ103" s="4">
        <f ca="1">ROUND(T_Tiktok_ads[[#This Row],[video_watch_100]]*RANDBETWEEN(8,12)/10,0)</f>
        <v>119480</v>
      </c>
      <c r="AR103" s="4">
        <f ca="1">ROUND(T_Tiktok_ads[[#This Row],[likes]]*RANDBETWEEN(8,12)/10,0)</f>
        <v>15511</v>
      </c>
      <c r="AS103" s="4">
        <f ca="1">ROUND(T_Tiktok_ads[[#This Row],[shares]]*RANDBETWEEN(8,12)/10,0)</f>
        <v>4511</v>
      </c>
      <c r="AT103" s="4">
        <f ca="1">ROUND(T_Tiktok_ads[[#This Row],[comments]]*RANDBETWEEN(8,12)/10,0)</f>
        <v>1240</v>
      </c>
      <c r="AV103" s="5">
        <f t="shared" ca="1" si="17"/>
        <v>45277</v>
      </c>
      <c r="AW103">
        <f t="shared" ca="1" si="13"/>
        <v>2</v>
      </c>
      <c r="AX103">
        <f ca="1">ROUND(T_Facebook_Ads115963677175798387919599[[#This Row],[impressions]]*RANDBETWEEN(8,12)/10,0)</f>
        <v>78947</v>
      </c>
      <c r="AY103">
        <f ca="1">ROUND(T_Facebook_Ads115963677175798387919599[[#This Row],[clicks]]*RANDBETWEEN(8,12)/10,0)</f>
        <v>234</v>
      </c>
      <c r="AZ103">
        <f ca="1">T_Facebook_Ads115963677175798387919599[[#This Row],[spend]]*RANDBETWEEN(8,12)/10</f>
        <v>79.596000000000018</v>
      </c>
      <c r="BA103">
        <f ca="1">ROUND(T_Facebook_Ads115963677175798387919599[[#This Row],[conversions]]*RANDBETWEEN(8,12)/10,0)</f>
        <v>6</v>
      </c>
      <c r="BB103">
        <f ca="1">ROUND(T_Facebook_Ads115963677175798387919599[[#This Row],[video_views]]*RANDBETWEEN(8,12)/10,0)</f>
        <v>35551</v>
      </c>
    </row>
    <row r="104" spans="1:54" ht="15.75" thickBot="1" x14ac:dyDescent="0.3">
      <c r="A104" s="3">
        <f t="shared" ca="1" si="14"/>
        <v>45261</v>
      </c>
      <c r="B104" s="4" t="s">
        <v>52</v>
      </c>
      <c r="C104" s="4" t="s">
        <v>53</v>
      </c>
      <c r="D104" s="4" t="s">
        <v>54</v>
      </c>
      <c r="E104" s="4" t="s">
        <v>55</v>
      </c>
      <c r="F104" s="4">
        <f ca="1">ROUND(T_Facebook_Ads[[#This Row],[impressions]]*RANDBETWEEN(8,12)/10,0)</f>
        <v>52679</v>
      </c>
      <c r="G104" s="4">
        <v>967</v>
      </c>
      <c r="H104" s="4">
        <f ca="1">T_Facebook_Ads[[#This Row],[spend]]*RANDBETWEEN(8,12)/10</f>
        <v>138.4</v>
      </c>
      <c r="I104" s="4">
        <f ca="1">ROUND(T_Facebook_Ads[[#This Row],[conversions]]*RANDBETWEEN(8,12)/10,0)</f>
        <v>15</v>
      </c>
      <c r="J104" s="4">
        <f ca="1">ROUND(T_Facebook_Ads[[#This Row],[video_views]]*RANDBETWEEN(8,12)/10,0)</f>
        <v>7031</v>
      </c>
      <c r="K104" s="4">
        <f ca="1">T_Facebook_Ads[[#This Row],[engagement_rate]]*RANDBETWEEN(8,12)/10</f>
        <v>1.8179999999999998E-2</v>
      </c>
      <c r="L104" s="4">
        <f ca="1">ROUND(T_Facebook_Ads[[#This Row],[reach]]*RANDBETWEEN(8,12)/10,0)</f>
        <v>40234</v>
      </c>
      <c r="M104" s="4">
        <f ca="1">T_Facebook_Ads[[#This Row],[frequency]]*RANDBETWEEN(8,12)/10</f>
        <v>1.19</v>
      </c>
      <c r="O104" s="3">
        <f t="shared" ca="1" si="15"/>
        <v>45272</v>
      </c>
      <c r="P104" s="4" t="s">
        <v>76</v>
      </c>
      <c r="Q104" s="4" t="s">
        <v>77</v>
      </c>
      <c r="R104" s="4" t="s">
        <v>78</v>
      </c>
      <c r="S104" s="4" t="s">
        <v>79</v>
      </c>
      <c r="T104" s="4">
        <f ca="1">ROUND(_Google_ads[[#This Row],[impressions]]*RANDBETWEEN(8,12)/10,0)</f>
        <v>22401</v>
      </c>
      <c r="U104" s="4">
        <f ca="1">ROUND(_Google_ads[[#This Row],[clicks]]*RANDBETWEEN(8,12)/10,0)</f>
        <v>1022</v>
      </c>
      <c r="V104" s="4">
        <f ca="1">_Google_ads[[#This Row],[cost]]*RANDBETWEEN(8,12)/10</f>
        <v>244.2</v>
      </c>
      <c r="W104" s="4">
        <f ca="1">ROUND(_Google_ads[[#This Row],[conversions]]*RANDBETWEEN(8,12)/10,0)</f>
        <v>52</v>
      </c>
      <c r="X104" s="4">
        <f ca="1">ROUND(_Google_ads[[#This Row],[conversion_value]]*RANDBETWEEN(8,12)/10,0)</f>
        <v>2350</v>
      </c>
      <c r="Y104" s="4">
        <f ca="1">_Google_ads[[#This Row],[ctr]]*RANDBETWEEN(8,12)/10</f>
        <v>5.1299999999999998E-2</v>
      </c>
      <c r="Z104" s="4">
        <f ca="1">_Google_ads[[#This Row],[avg_cpc]]*RANDBETWEEN(8,12)/10</f>
        <v>0.22800000000000004</v>
      </c>
      <c r="AA104" s="4">
        <f ca="1">ROUND(_Google_ads[[#This Row],[quality_score]]*RANDBETWEEN(8,12)/10,0)</f>
        <v>9</v>
      </c>
      <c r="AB104" s="4">
        <f ca="1">_Google_ads[[#This Row],[search_impression_share]]*RANDBETWEEN(8,12)/10</f>
        <v>0.72799999999999998</v>
      </c>
      <c r="AD104" s="3">
        <f t="shared" ca="1" si="16"/>
        <v>45283</v>
      </c>
      <c r="AE104" s="4" t="s">
        <v>100</v>
      </c>
      <c r="AF104" s="4" t="s">
        <v>101</v>
      </c>
      <c r="AG104" s="4" t="s">
        <v>102</v>
      </c>
      <c r="AH104" s="4" t="s">
        <v>103</v>
      </c>
      <c r="AI104" s="4">
        <f ca="1">ROUND(T_Tiktok_ads[[#This Row],[impressions]]*RANDBETWEEN(8,12)/10,0)</f>
        <v>289012</v>
      </c>
      <c r="AJ104" s="4">
        <f ca="1">ROUND(T_Tiktok_ads[[#This Row],[clicks]]*RANDBETWEEN(8,12)/10,0)</f>
        <v>3387</v>
      </c>
      <c r="AK104" s="4">
        <v>556.70000000000005</v>
      </c>
      <c r="AL104" s="4">
        <f ca="1">ROUND(T_Tiktok_ads[[#This Row],[conversions]]*RANDBETWEEN(8,12)/10,0)</f>
        <v>43</v>
      </c>
      <c r="AM104" s="4">
        <f ca="1">ROUND(T_Tiktok_ads[[#This Row],[video_views]]*RANDBETWEEN(8,12)/10,0)</f>
        <v>234567</v>
      </c>
      <c r="AN104" s="4">
        <f ca="1">ROUND(T_Tiktok_ads[[#This Row],[video_watch_25]]*RANDBETWEEN(8,12)/10,0)</f>
        <v>182345</v>
      </c>
      <c r="AO104" s="4">
        <f ca="1">ROUND(T_Tiktok_ads[[#This Row],[video_watch_50]]*RANDBETWEEN(8,12)/10,0)</f>
        <v>91654</v>
      </c>
      <c r="AP104" s="4">
        <f ca="1">ROUND(T_Tiktok_ads[[#This Row],[video_watch_75]]*RANDBETWEEN(8,12)/10,0)</f>
        <v>77234</v>
      </c>
      <c r="AQ104" s="4">
        <f ca="1">ROUND(T_Tiktok_ads[[#This Row],[video_watch_100]]*RANDBETWEEN(8,12)/10,0)</f>
        <v>51234</v>
      </c>
      <c r="AR104" s="4">
        <f ca="1">ROUND(T_Tiktok_ads[[#This Row],[likes]]*RANDBETWEEN(8,12)/10,0)</f>
        <v>10345</v>
      </c>
      <c r="AS104" s="4">
        <f ca="1">ROUND(T_Tiktok_ads[[#This Row],[shares]]*RANDBETWEEN(8,12)/10,0)</f>
        <v>2510</v>
      </c>
      <c r="AT104" s="4">
        <f ca="1">ROUND(T_Tiktok_ads[[#This Row],[comments]]*RANDBETWEEN(8,12)/10,0)</f>
        <v>590</v>
      </c>
      <c r="AV104" s="5">
        <f t="shared" ca="1" si="17"/>
        <v>45285</v>
      </c>
      <c r="AW104">
        <f t="shared" ca="1" si="13"/>
        <v>2</v>
      </c>
      <c r="AX104">
        <f ca="1">ROUND(T_Facebook_Ads115963677175798387919599[[#This Row],[impressions]]*RANDBETWEEN(8,12)/10,0)</f>
        <v>42143</v>
      </c>
      <c r="AY104">
        <f ca="1">ROUND(T_Facebook_Ads115963677175798387919599[[#This Row],[clicks]]*RANDBETWEEN(8,12)/10,0)</f>
        <v>870</v>
      </c>
      <c r="AZ104">
        <f ca="1">T_Facebook_Ads115963677175798387919599[[#This Row],[spend]]*RANDBETWEEN(8,12)/10</f>
        <v>110.72</v>
      </c>
      <c r="BA104">
        <f ca="1">ROUND(T_Facebook_Ads115963677175798387919599[[#This Row],[conversions]]*RANDBETWEEN(8,12)/10,0)</f>
        <v>12</v>
      </c>
      <c r="BB104">
        <f ca="1">ROUND(T_Facebook_Ads115963677175798387919599[[#This Row],[video_views]]*RANDBETWEEN(8,12)/10,0)</f>
        <v>5625</v>
      </c>
    </row>
    <row r="105" spans="1:54" ht="15.75" thickBot="1" x14ac:dyDescent="0.3">
      <c r="A105" s="3">
        <f t="shared" ca="1" si="14"/>
        <v>45276</v>
      </c>
      <c r="B105" s="4" t="s">
        <v>56</v>
      </c>
      <c r="C105" s="4" t="s">
        <v>57</v>
      </c>
      <c r="D105" s="4" t="s">
        <v>58</v>
      </c>
      <c r="E105" s="4" t="s">
        <v>59</v>
      </c>
      <c r="F105" s="4">
        <f ca="1">ROUND(T_Facebook_Ads[[#This Row],[impressions]]*RANDBETWEEN(8,12)/10,0)</f>
        <v>11911</v>
      </c>
      <c r="G105" s="4">
        <v>612</v>
      </c>
      <c r="H105" s="4">
        <f ca="1">T_Facebook_Ads[[#This Row],[spend]]*RANDBETWEEN(8,12)/10</f>
        <v>226.5</v>
      </c>
      <c r="I105" s="4">
        <f ca="1">ROUND(T_Facebook_Ads[[#This Row],[conversions]]*RANDBETWEEN(8,12)/10,0)</f>
        <v>35</v>
      </c>
      <c r="J105" s="4">
        <f ca="1">ROUND(T_Facebook_Ads[[#This Row],[video_views]]*RANDBETWEEN(8,12)/10,0)</f>
        <v>1076</v>
      </c>
      <c r="K105" s="4">
        <f ca="1">T_Facebook_Ads[[#This Row],[engagement_rate]]*RANDBETWEEN(8,12)/10</f>
        <v>3.7040000000000003E-2</v>
      </c>
      <c r="L105" s="4">
        <f ca="1">ROUND(T_Facebook_Ads[[#This Row],[reach]]*RANDBETWEEN(8,12)/10,0)</f>
        <v>12547</v>
      </c>
      <c r="M105" s="4">
        <f ca="1">T_Facebook_Ads[[#This Row],[frequency]]*RANDBETWEEN(8,12)/10</f>
        <v>1.016</v>
      </c>
      <c r="O105" s="3">
        <f t="shared" ca="1" si="15"/>
        <v>45264</v>
      </c>
      <c r="P105" s="4" t="s">
        <v>80</v>
      </c>
      <c r="Q105" s="4" t="s">
        <v>81</v>
      </c>
      <c r="R105" s="4" t="s">
        <v>82</v>
      </c>
      <c r="S105" s="4" t="s">
        <v>83</v>
      </c>
      <c r="T105" s="4">
        <f ca="1">ROUND(_Google_ads[[#This Row],[impressions]]*RANDBETWEEN(8,12)/10,0)</f>
        <v>44567</v>
      </c>
      <c r="U105" s="4">
        <f ca="1">ROUND(_Google_ads[[#This Row],[clicks]]*RANDBETWEEN(8,12)/10,0)</f>
        <v>702</v>
      </c>
      <c r="V105" s="4">
        <f ca="1">_Google_ads[[#This Row],[cost]]*RANDBETWEEN(8,12)/10</f>
        <v>456.64</v>
      </c>
      <c r="W105" s="4">
        <f ca="1">ROUND(_Google_ads[[#This Row],[conversions]]*RANDBETWEEN(8,12)/10,0)</f>
        <v>25</v>
      </c>
      <c r="X105" s="4">
        <f ca="1">ROUND(_Google_ads[[#This Row],[conversion_value]]*RANDBETWEEN(8,12)/10,0)</f>
        <v>1035</v>
      </c>
      <c r="Y105" s="4">
        <f ca="1">_Google_ads[[#This Row],[ctr]]*RANDBETWEEN(8,12)/10</f>
        <v>1.7729999999999999E-2</v>
      </c>
      <c r="Z105" s="4">
        <f ca="1">_Google_ads[[#This Row],[avg_cpc]]*RANDBETWEEN(8,12)/10</f>
        <v>0.58500000000000008</v>
      </c>
      <c r="AA105" s="4">
        <f ca="1">ROUND(_Google_ads[[#This Row],[quality_score]]*RANDBETWEEN(8,12)/10,0)</f>
        <v>8</v>
      </c>
      <c r="AB105" s="4">
        <f ca="1">_Google_ads[[#This Row],[search_impression_share]]*RANDBETWEEN(8,12)/10</f>
        <v>0.52800000000000002</v>
      </c>
      <c r="AD105" s="3">
        <f t="shared" ca="1" si="16"/>
        <v>45261</v>
      </c>
      <c r="AE105" s="4" t="s">
        <v>104</v>
      </c>
      <c r="AF105" s="4" t="s">
        <v>105</v>
      </c>
      <c r="AG105" s="4" t="s">
        <v>106</v>
      </c>
      <c r="AH105" s="4" t="s">
        <v>107</v>
      </c>
      <c r="AI105" s="4">
        <f ca="1">ROUND(T_Tiktok_ads[[#This Row],[impressions]]*RANDBETWEEN(8,12)/10,0)</f>
        <v>172468</v>
      </c>
      <c r="AJ105" s="4">
        <f ca="1">ROUND(T_Tiktok_ads[[#This Row],[clicks]]*RANDBETWEEN(8,12)/10,0)</f>
        <v>3012</v>
      </c>
      <c r="AK105" s="4">
        <v>812.3</v>
      </c>
      <c r="AL105" s="4">
        <f ca="1">ROUND(T_Tiktok_ads[[#This Row],[conversions]]*RANDBETWEEN(8,12)/10,0)</f>
        <v>74</v>
      </c>
      <c r="AM105" s="4">
        <f ca="1">ROUND(T_Tiktok_ads[[#This Row],[video_views]]*RANDBETWEEN(8,12)/10,0)</f>
        <v>131851</v>
      </c>
      <c r="AN105" s="4">
        <f ca="1">ROUND(T_Tiktok_ads[[#This Row],[video_watch_25]]*RANDBETWEEN(8,12)/10,0)</f>
        <v>89357</v>
      </c>
      <c r="AO105" s="4">
        <f ca="1">ROUND(T_Tiktok_ads[[#This Row],[video_watch_50]]*RANDBETWEEN(8,12)/10,0)</f>
        <v>43742</v>
      </c>
      <c r="AP105" s="4">
        <f ca="1">ROUND(T_Tiktok_ads[[#This Row],[video_watch_75]]*RANDBETWEEN(8,12)/10,0)</f>
        <v>49481</v>
      </c>
      <c r="AQ105" s="4">
        <f ca="1">ROUND(T_Tiktok_ads[[#This Row],[video_watch_100]]*RANDBETWEEN(8,12)/10,0)</f>
        <v>33080</v>
      </c>
      <c r="AR105" s="4">
        <f ca="1">ROUND(T_Tiktok_ads[[#This Row],[likes]]*RANDBETWEEN(8,12)/10,0)</f>
        <v>6002</v>
      </c>
      <c r="AS105" s="4">
        <f ca="1">ROUND(T_Tiktok_ads[[#This Row],[shares]]*RANDBETWEEN(8,12)/10,0)</f>
        <v>1567</v>
      </c>
      <c r="AT105" s="4">
        <f ca="1">ROUND(T_Tiktok_ads[[#This Row],[comments]]*RANDBETWEEN(8,12)/10,0)</f>
        <v>231</v>
      </c>
      <c r="AV105" s="5">
        <f t="shared" ca="1" si="17"/>
        <v>45261</v>
      </c>
      <c r="AW105">
        <f t="shared" ca="1" si="13"/>
        <v>6</v>
      </c>
      <c r="AX105">
        <f ca="1">ROUND(T_Facebook_Ads115963677175798387919599[[#This Row],[impressions]]*RANDBETWEEN(8,12)/10,0)</f>
        <v>9529</v>
      </c>
      <c r="AY105">
        <f ca="1">ROUND(T_Facebook_Ads115963677175798387919599[[#This Row],[clicks]]*RANDBETWEEN(8,12)/10,0)</f>
        <v>734</v>
      </c>
      <c r="AZ105">
        <f ca="1">T_Facebook_Ads115963677175798387919599[[#This Row],[spend]]*RANDBETWEEN(8,12)/10</f>
        <v>203.85</v>
      </c>
      <c r="BA105">
        <f ca="1">ROUND(T_Facebook_Ads115963677175798387919599[[#This Row],[conversions]]*RANDBETWEEN(8,12)/10,0)</f>
        <v>39</v>
      </c>
      <c r="BB105">
        <f ca="1">ROUND(T_Facebook_Ads115963677175798387919599[[#This Row],[video_views]]*RANDBETWEEN(8,12)/10,0)</f>
        <v>861</v>
      </c>
    </row>
    <row r="106" spans="1:54" ht="15.75" thickBot="1" x14ac:dyDescent="0.3">
      <c r="A106" s="3">
        <f t="shared" ca="1" si="14"/>
        <v>45286</v>
      </c>
      <c r="B106" s="4" t="s">
        <v>60</v>
      </c>
      <c r="C106" s="4" t="s">
        <v>61</v>
      </c>
      <c r="D106" s="4" t="s">
        <v>62</v>
      </c>
      <c r="E106" s="4" t="s">
        <v>63</v>
      </c>
      <c r="F106" s="4">
        <f ca="1">ROUND(T_Facebook_Ads[[#This Row],[impressions]]*RANDBETWEEN(8,12)/10,0)</f>
        <v>39857</v>
      </c>
      <c r="G106" s="4">
        <v>1334</v>
      </c>
      <c r="H106" s="4">
        <f ca="1">T_Facebook_Ads[[#This Row],[spend]]*RANDBETWEEN(8,12)/10</f>
        <v>183.32999999999998</v>
      </c>
      <c r="I106" s="4">
        <f ca="1">ROUND(T_Facebook_Ads[[#This Row],[conversions]]*RANDBETWEEN(8,12)/10,0)</f>
        <v>22</v>
      </c>
      <c r="J106" s="4">
        <f ca="1">ROUND(T_Facebook_Ads[[#This Row],[video_views]]*RANDBETWEEN(8,12)/10,0)</f>
        <v>5146</v>
      </c>
      <c r="K106" s="4">
        <f ca="1">T_Facebook_Ads[[#This Row],[engagement_rate]]*RANDBETWEEN(8,12)/10</f>
        <v>3.6799999999999999E-2</v>
      </c>
      <c r="L106" s="4">
        <f ca="1">ROUND(T_Facebook_Ads[[#This Row],[reach]]*RANDBETWEEN(8,12)/10,0)</f>
        <v>30123</v>
      </c>
      <c r="M106" s="4">
        <f ca="1">T_Facebook_Ads[[#This Row],[frequency]]*RANDBETWEEN(8,12)/10</f>
        <v>1.3199999999999998</v>
      </c>
      <c r="O106" s="3">
        <f t="shared" ca="1" si="15"/>
        <v>45288</v>
      </c>
      <c r="P106" s="4" t="s">
        <v>84</v>
      </c>
      <c r="Q106" s="4" t="s">
        <v>85</v>
      </c>
      <c r="R106" s="4" t="s">
        <v>86</v>
      </c>
      <c r="S106" s="4" t="s">
        <v>87</v>
      </c>
      <c r="T106" s="4">
        <f ca="1">ROUND(_Google_ads[[#This Row],[impressions]]*RANDBETWEEN(8,12)/10,0)</f>
        <v>54765</v>
      </c>
      <c r="U106" s="4">
        <f ca="1">ROUND(_Google_ads[[#This Row],[clicks]]*RANDBETWEEN(8,12)/10,0)</f>
        <v>1831</v>
      </c>
      <c r="V106" s="4">
        <f ca="1">_Google_ads[[#This Row],[cost]]*RANDBETWEEN(8,12)/10</f>
        <v>335.6</v>
      </c>
      <c r="W106" s="4">
        <f ca="1">ROUND(_Google_ads[[#This Row],[conversions]]*RANDBETWEEN(8,12)/10,0)</f>
        <v>79</v>
      </c>
      <c r="X106" s="4">
        <f ca="1">ROUND(_Google_ads[[#This Row],[conversion_value]]*RANDBETWEEN(8,12)/10,0)</f>
        <v>3960</v>
      </c>
      <c r="Y106" s="4">
        <f ca="1">_Google_ads[[#This Row],[ctr]]*RANDBETWEEN(8,12)/10</f>
        <v>4.0079999999999998E-2</v>
      </c>
      <c r="Z106" s="4">
        <f ca="1">_Google_ads[[#This Row],[avg_cpc]]*RANDBETWEEN(8,12)/10</f>
        <v>0.16199999999999998</v>
      </c>
      <c r="AA106" s="4">
        <f ca="1">ROUND(_Google_ads[[#This Row],[quality_score]]*RANDBETWEEN(8,12)/10,0)</f>
        <v>10</v>
      </c>
      <c r="AB106" s="4">
        <f ca="1">_Google_ads[[#This Row],[search_impression_share]]*RANDBETWEEN(8,12)/10</f>
        <v>0.60299999999999998</v>
      </c>
      <c r="AD106" s="3">
        <f t="shared" ca="1" si="16"/>
        <v>45261</v>
      </c>
      <c r="AE106" s="4" t="s">
        <v>108</v>
      </c>
      <c r="AF106" s="4" t="s">
        <v>109</v>
      </c>
      <c r="AG106" s="4" t="s">
        <v>110</v>
      </c>
      <c r="AH106" s="4" t="s">
        <v>111</v>
      </c>
      <c r="AI106" s="4">
        <f ca="1">ROUND(T_Tiktok_ads[[#This Row],[impressions]]*RANDBETWEEN(8,12)/10,0)</f>
        <v>245678</v>
      </c>
      <c r="AJ106" s="4">
        <f ca="1">ROUND(T_Tiktok_ads[[#This Row],[clicks]]*RANDBETWEEN(8,12)/10,0)</f>
        <v>3890</v>
      </c>
      <c r="AK106" s="4">
        <v>467.8</v>
      </c>
      <c r="AL106" s="4">
        <f ca="1">ROUND(T_Tiktok_ads[[#This Row],[conversions]]*RANDBETWEEN(8,12)/10,0)</f>
        <v>34</v>
      </c>
      <c r="AM106" s="4">
        <f ca="1">ROUND(T_Tiktok_ads[[#This Row],[video_views]]*RANDBETWEEN(8,12)/10,0)</f>
        <v>156542</v>
      </c>
      <c r="AN106" s="4">
        <f ca="1">ROUND(T_Tiktok_ads[[#This Row],[video_watch_25]]*RANDBETWEEN(8,12)/10,0)</f>
        <v>133411</v>
      </c>
      <c r="AO106" s="4">
        <f ca="1">ROUND(T_Tiktok_ads[[#This Row],[video_watch_50]]*RANDBETWEEN(8,12)/10,0)</f>
        <v>128957</v>
      </c>
      <c r="AP106" s="4">
        <f ca="1">ROUND(T_Tiktok_ads[[#This Row],[video_watch_75]]*RANDBETWEEN(8,12)/10,0)</f>
        <v>67711</v>
      </c>
      <c r="AQ106" s="4">
        <f ca="1">ROUND(T_Tiktok_ads[[#This Row],[video_watch_100]]*RANDBETWEEN(8,12)/10,0)</f>
        <v>45789</v>
      </c>
      <c r="AR106" s="4">
        <f ca="1">ROUND(T_Tiktok_ads[[#This Row],[likes]]*RANDBETWEEN(8,12)/10,0)</f>
        <v>9424</v>
      </c>
      <c r="AS106" s="4">
        <f ca="1">ROUND(T_Tiktok_ads[[#This Row],[shares]]*RANDBETWEEN(8,12)/10,0)</f>
        <v>2814</v>
      </c>
      <c r="AT106" s="4">
        <f ca="1">ROUND(T_Tiktok_ads[[#This Row],[comments]]*RANDBETWEEN(8,12)/10,0)</f>
        <v>680</v>
      </c>
      <c r="AV106" s="5">
        <f t="shared" ca="1" si="17"/>
        <v>45285</v>
      </c>
      <c r="AW106">
        <f t="shared" ca="1" si="13"/>
        <v>8</v>
      </c>
      <c r="AX106">
        <f ca="1">ROUND(T_Facebook_Ads115963677175798387919599[[#This Row],[impressions]]*RANDBETWEEN(8,12)/10,0)</f>
        <v>43843</v>
      </c>
      <c r="AY106">
        <f ca="1">ROUND(T_Facebook_Ads115963677175798387919599[[#This Row],[clicks]]*RANDBETWEEN(8,12)/10,0)</f>
        <v>1067</v>
      </c>
      <c r="AZ106">
        <f ca="1">T_Facebook_Ads115963677175798387919599[[#This Row],[spend]]*RANDBETWEEN(8,12)/10</f>
        <v>219.99600000000001</v>
      </c>
      <c r="BA106">
        <f ca="1">ROUND(T_Facebook_Ads115963677175798387919599[[#This Row],[conversions]]*RANDBETWEEN(8,12)/10,0)</f>
        <v>26</v>
      </c>
      <c r="BB106">
        <f ca="1">ROUND(T_Facebook_Ads115963677175798387919599[[#This Row],[video_views]]*RANDBETWEEN(8,12)/10,0)</f>
        <v>5146</v>
      </c>
    </row>
    <row r="107" spans="1:54" ht="15.75" thickBot="1" x14ac:dyDescent="0.3">
      <c r="A107" s="3">
        <f t="shared" ca="1" si="14"/>
        <v>45274</v>
      </c>
      <c r="B107" s="4" t="s">
        <v>64</v>
      </c>
      <c r="C107" s="4" t="s">
        <v>65</v>
      </c>
      <c r="D107" s="4" t="s">
        <v>66</v>
      </c>
      <c r="E107" s="4" t="s">
        <v>67</v>
      </c>
      <c r="F107" s="4">
        <f ca="1">ROUND(T_Facebook_Ads[[#This Row],[impressions]]*RANDBETWEEN(8,12)/10,0)</f>
        <v>83480</v>
      </c>
      <c r="G107" s="4">
        <v>253</v>
      </c>
      <c r="H107" s="4">
        <f ca="1">T_Facebook_Ads[[#This Row],[spend]]*RANDBETWEEN(8,12)/10</f>
        <v>106.44000000000001</v>
      </c>
      <c r="I107" s="4">
        <f ca="1">ROUND(T_Facebook_Ads[[#This Row],[conversions]]*RANDBETWEEN(8,12)/10,0)</f>
        <v>6</v>
      </c>
      <c r="J107" s="4">
        <f ca="1">ROUND(T_Facebook_Ads[[#This Row],[video_views]]*RANDBETWEEN(8,12)/10,0)</f>
        <v>56268</v>
      </c>
      <c r="K107" s="4">
        <f ca="1">T_Facebook_Ads[[#This Row],[engagement_rate]]*RANDBETWEEN(8,12)/10</f>
        <v>3.2399999999999998E-3</v>
      </c>
      <c r="L107" s="4">
        <f ca="1">ROUND(T_Facebook_Ads[[#This Row],[reach]]*RANDBETWEEN(8,12)/10,0)</f>
        <v>68548</v>
      </c>
      <c r="M107" s="4">
        <f ca="1">T_Facebook_Ads[[#This Row],[frequency]]*RANDBETWEEN(8,12)/10</f>
        <v>1.0980000000000001</v>
      </c>
      <c r="O107" s="3">
        <f t="shared" ca="1" si="15"/>
        <v>45283</v>
      </c>
      <c r="P107" s="4" t="s">
        <v>88</v>
      </c>
      <c r="Q107" s="4" t="s">
        <v>89</v>
      </c>
      <c r="R107" s="4" t="s">
        <v>90</v>
      </c>
      <c r="S107" s="4" t="s">
        <v>59</v>
      </c>
      <c r="T107" s="4">
        <f ca="1">ROUND(_Google_ads[[#This Row],[impressions]]*RANDBETWEEN(8,12)/10,0)</f>
        <v>157481</v>
      </c>
      <c r="U107" s="4">
        <f ca="1">ROUND(_Google_ads[[#This Row],[clicks]]*RANDBETWEEN(8,12)/10,0)</f>
        <v>514</v>
      </c>
      <c r="V107" s="4">
        <f ca="1">_Google_ads[[#This Row],[cost]]*RANDBETWEEN(8,12)/10</f>
        <v>141.79000000000002</v>
      </c>
      <c r="W107" s="4">
        <f ca="1">ROUND(_Google_ads[[#This Row],[conversions]]*RANDBETWEEN(8,12)/10,0)</f>
        <v>13</v>
      </c>
      <c r="X107" s="4">
        <f ca="1">ROUND(_Google_ads[[#This Row],[conversion_value]]*RANDBETWEEN(8,12)/10,0)</f>
        <v>780</v>
      </c>
      <c r="Y107" s="4">
        <f ca="1">_Google_ads[[#This Row],[ctr]]*RANDBETWEEN(8,12)/10</f>
        <v>4.3200000000000001E-3</v>
      </c>
      <c r="Z107" s="4">
        <f ca="1">_Google_ads[[#This Row],[avg_cpc]]*RANDBETWEEN(8,12)/10</f>
        <v>0.308</v>
      </c>
      <c r="AA107" s="4">
        <f ca="1">ROUND(_Google_ads[[#This Row],[quality_score]]*RANDBETWEEN(8,12)/10,0)</f>
        <v>8</v>
      </c>
      <c r="AB107" s="4">
        <f ca="1">_Google_ads[[#This Row],[search_impression_share]]*RANDBETWEEN(8,12)/10</f>
        <v>0.27200000000000002</v>
      </c>
      <c r="AD107" s="3">
        <f t="shared" ca="1" si="16"/>
        <v>45275</v>
      </c>
      <c r="AE107" s="4" t="s">
        <v>112</v>
      </c>
      <c r="AF107" s="4" t="s">
        <v>113</v>
      </c>
      <c r="AG107" s="4" t="s">
        <v>114</v>
      </c>
      <c r="AH107" s="4" t="s">
        <v>115</v>
      </c>
      <c r="AI107" s="4">
        <f ca="1">ROUND(T_Tiktok_ads[[#This Row],[impressions]]*RANDBETWEEN(8,12)/10,0)</f>
        <v>381110</v>
      </c>
      <c r="AJ107" s="4">
        <f ca="1">ROUND(T_Tiktok_ads[[#This Row],[clicks]]*RANDBETWEEN(8,12)/10,0)</f>
        <v>7579</v>
      </c>
      <c r="AK107" s="4">
        <v>1056.8</v>
      </c>
      <c r="AL107" s="4">
        <f ca="1">ROUND(T_Tiktok_ads[[#This Row],[conversions]]*RANDBETWEEN(8,12)/10,0)</f>
        <v>96</v>
      </c>
      <c r="AM107" s="4">
        <f ca="1">ROUND(T_Tiktok_ads[[#This Row],[video_views]]*RANDBETWEEN(8,12)/10,0)</f>
        <v>392468</v>
      </c>
      <c r="AN107" s="4">
        <f ca="1">ROUND(T_Tiktok_ads[[#This Row],[video_watch_25]]*RANDBETWEEN(8,12)/10,0)</f>
        <v>347081</v>
      </c>
      <c r="AO107" s="4">
        <f ca="1">ROUND(T_Tiktok_ads[[#This Row],[video_watch_50]]*RANDBETWEEN(8,12)/10,0)</f>
        <v>277747</v>
      </c>
      <c r="AP107" s="4">
        <f ca="1">ROUND(T_Tiktok_ads[[#This Row],[video_watch_75]]*RANDBETWEEN(8,12)/10,0)</f>
        <v>148110</v>
      </c>
      <c r="AQ107" s="4">
        <f ca="1">ROUND(T_Tiktok_ads[[#This Row],[video_watch_100]]*RANDBETWEEN(8,12)/10,0)</f>
        <v>109234</v>
      </c>
      <c r="AR107" s="4">
        <f ca="1">ROUND(T_Tiktok_ads[[#This Row],[likes]]*RANDBETWEEN(8,12)/10,0)</f>
        <v>15112</v>
      </c>
      <c r="AS107" s="4">
        <f ca="1">ROUND(T_Tiktok_ads[[#This Row],[shares]]*RANDBETWEEN(8,12)/10,0)</f>
        <v>6002</v>
      </c>
      <c r="AT107" s="4">
        <f ca="1">ROUND(T_Tiktok_ads[[#This Row],[comments]]*RANDBETWEEN(8,12)/10,0)</f>
        <v>1191</v>
      </c>
      <c r="AV107" s="5">
        <f t="shared" ca="1" si="17"/>
        <v>45270</v>
      </c>
      <c r="AW107">
        <f t="shared" ca="1" si="13"/>
        <v>1</v>
      </c>
      <c r="AX107">
        <f ca="1">ROUND(T_Facebook_Ads115963677175798387919599[[#This Row],[impressions]]*RANDBETWEEN(8,12)/10,0)</f>
        <v>75132</v>
      </c>
      <c r="AY107">
        <f ca="1">ROUND(T_Facebook_Ads115963677175798387919599[[#This Row],[clicks]]*RANDBETWEEN(8,12)/10,0)</f>
        <v>278</v>
      </c>
      <c r="AZ107">
        <f ca="1">T_Facebook_Ads115963677175798387919599[[#This Row],[spend]]*RANDBETWEEN(8,12)/10</f>
        <v>117.08400000000002</v>
      </c>
      <c r="BA107">
        <f ca="1">ROUND(T_Facebook_Ads115963677175798387919599[[#This Row],[conversions]]*RANDBETWEEN(8,12)/10,0)</f>
        <v>7</v>
      </c>
      <c r="BB107">
        <f ca="1">ROUND(T_Facebook_Ads115963677175798387919599[[#This Row],[video_views]]*RANDBETWEEN(8,12)/10,0)</f>
        <v>56268</v>
      </c>
    </row>
    <row r="108" spans="1:54" ht="15.75" thickBot="1" x14ac:dyDescent="0.3">
      <c r="A108" s="3">
        <f t="shared" ca="1" si="14"/>
        <v>45263</v>
      </c>
      <c r="B108" s="4" t="s">
        <v>52</v>
      </c>
      <c r="C108" s="4" t="s">
        <v>53</v>
      </c>
      <c r="D108" s="4" t="s">
        <v>54</v>
      </c>
      <c r="E108" s="4" t="s">
        <v>55</v>
      </c>
      <c r="F108" s="4">
        <f ca="1">ROUND(T_Facebook_Ads[[#This Row],[impressions]]*RANDBETWEEN(8,12)/10,0)</f>
        <v>54157</v>
      </c>
      <c r="G108" s="4">
        <v>1001</v>
      </c>
      <c r="H108" s="4">
        <f ca="1">T_Facebook_Ads[[#This Row],[spend]]*RANDBETWEEN(8,12)/10</f>
        <v>157.08000000000001</v>
      </c>
      <c r="I108" s="4">
        <f ca="1">ROUND(T_Facebook_Ads[[#This Row],[conversions]]*RANDBETWEEN(8,12)/10,0)</f>
        <v>14</v>
      </c>
      <c r="J108" s="4">
        <f ca="1">ROUND(T_Facebook_Ads[[#This Row],[video_views]]*RANDBETWEEN(8,12)/10,0)</f>
        <v>8111</v>
      </c>
      <c r="K108" s="4">
        <f ca="1">T_Facebook_Ads[[#This Row],[engagement_rate]]*RANDBETWEEN(8,12)/10</f>
        <v>2.436E-2</v>
      </c>
      <c r="L108" s="4">
        <f ca="1">ROUND(T_Facebook_Ads[[#This Row],[reach]]*RANDBETWEEN(8,12)/10,0)</f>
        <v>41567</v>
      </c>
      <c r="M108" s="4">
        <f ca="1">T_Facebook_Ads[[#This Row],[frequency]]*RANDBETWEEN(8,12)/10</f>
        <v>1.18</v>
      </c>
      <c r="O108" s="3">
        <f t="shared" ca="1" si="15"/>
        <v>45288</v>
      </c>
      <c r="P108" s="4" t="s">
        <v>76</v>
      </c>
      <c r="Q108" s="4" t="s">
        <v>77</v>
      </c>
      <c r="R108" s="4" t="s">
        <v>78</v>
      </c>
      <c r="S108" s="4" t="s">
        <v>79</v>
      </c>
      <c r="T108" s="4">
        <f ca="1">ROUND(_Google_ads[[#This Row],[impressions]]*RANDBETWEEN(8,12)/10,0)</f>
        <v>20365</v>
      </c>
      <c r="U108" s="4">
        <f ca="1">ROUND(_Google_ads[[#This Row],[clicks]]*RANDBETWEEN(8,12)/10,0)</f>
        <v>1601</v>
      </c>
      <c r="V108" s="4">
        <f ca="1">_Google_ads[[#This Row],[cost]]*RANDBETWEEN(8,12)/10</f>
        <v>229.14000000000001</v>
      </c>
      <c r="W108" s="4">
        <f ca="1">ROUND(_Google_ads[[#This Row],[conversions]]*RANDBETWEEN(8,12)/10,0)</f>
        <v>50</v>
      </c>
      <c r="X108" s="4">
        <f ca="1">ROUND(_Google_ads[[#This Row],[conversion_value]]*RANDBETWEEN(8,12)/10,0)</f>
        <v>2750</v>
      </c>
      <c r="Y108" s="4">
        <f ca="1">_Google_ads[[#This Row],[ctr]]*RANDBETWEEN(8,12)/10</f>
        <v>6.2880000000000005E-2</v>
      </c>
      <c r="Z108" s="4">
        <f ca="1">_Google_ads[[#This Row],[avg_cpc]]*RANDBETWEEN(8,12)/10</f>
        <v>0.20899999999999999</v>
      </c>
      <c r="AA108" s="4">
        <f ca="1">ROUND(_Google_ads[[#This Row],[quality_score]]*RANDBETWEEN(8,12)/10,0)</f>
        <v>7</v>
      </c>
      <c r="AB108" s="4">
        <f ca="1">_Google_ads[[#This Row],[search_impression_share]]*RANDBETWEEN(8,12)/10</f>
        <v>0.73599999999999999</v>
      </c>
      <c r="AD108" s="3">
        <f t="shared" ca="1" si="16"/>
        <v>45288</v>
      </c>
      <c r="AE108" s="4" t="s">
        <v>100</v>
      </c>
      <c r="AF108" s="4" t="s">
        <v>101</v>
      </c>
      <c r="AG108" s="4" t="s">
        <v>102</v>
      </c>
      <c r="AH108" s="4" t="s">
        <v>103</v>
      </c>
      <c r="AI108" s="4">
        <f ca="1">ROUND(T_Tiktok_ads[[#This Row],[impressions]]*RANDBETWEEN(8,12)/10,0)</f>
        <v>236542</v>
      </c>
      <c r="AJ108" s="4">
        <f ca="1">ROUND(T_Tiktok_ads[[#This Row],[clicks]]*RANDBETWEEN(8,12)/10,0)</f>
        <v>4780</v>
      </c>
      <c r="AK108" s="4">
        <v>573.20000000000005</v>
      </c>
      <c r="AL108" s="4">
        <f ca="1">ROUND(T_Tiktok_ads[[#This Row],[conversions]]*RANDBETWEEN(8,12)/10,0)</f>
        <v>35</v>
      </c>
      <c r="AM108" s="4">
        <f ca="1">ROUND(T_Tiktok_ads[[#This Row],[video_views]]*RANDBETWEEN(8,12)/10,0)</f>
        <v>265357</v>
      </c>
      <c r="AN108" s="4">
        <f ca="1">ROUND(T_Tiktok_ads[[#This Row],[video_watch_25]]*RANDBETWEEN(8,12)/10,0)</f>
        <v>150587</v>
      </c>
      <c r="AO108" s="4">
        <f ca="1">ROUND(T_Tiktok_ads[[#This Row],[video_watch_50]]*RANDBETWEEN(8,12)/10,0)</f>
        <v>141468</v>
      </c>
      <c r="AP108" s="4">
        <f ca="1">ROUND(T_Tiktok_ads[[#This Row],[video_watch_75]]*RANDBETWEEN(8,12)/10,0)</f>
        <v>63387</v>
      </c>
      <c r="AQ108" s="4">
        <f ca="1">ROUND(T_Tiktok_ads[[#This Row],[video_watch_100]]*RANDBETWEEN(8,12)/10,0)</f>
        <v>47510</v>
      </c>
      <c r="AR108" s="4">
        <f ca="1">ROUND(T_Tiktok_ads[[#This Row],[likes]]*RANDBETWEEN(8,12)/10,0)</f>
        <v>12680</v>
      </c>
      <c r="AS108" s="4">
        <f ca="1">ROUND(T_Tiktok_ads[[#This Row],[shares]]*RANDBETWEEN(8,12)/10,0)</f>
        <v>3427</v>
      </c>
      <c r="AT108" s="4">
        <f ca="1">ROUND(T_Tiktok_ads[[#This Row],[comments]]*RANDBETWEEN(8,12)/10,0)</f>
        <v>800</v>
      </c>
      <c r="AV108" s="5">
        <f t="shared" ca="1" si="17"/>
        <v>45268</v>
      </c>
      <c r="AW108">
        <f t="shared" ca="1" si="13"/>
        <v>7</v>
      </c>
      <c r="AX108">
        <f ca="1">ROUND(T_Facebook_Ads115963677175798387919599[[#This Row],[impressions]]*RANDBETWEEN(8,12)/10,0)</f>
        <v>64988</v>
      </c>
      <c r="AY108">
        <f ca="1">ROUND(T_Facebook_Ads115963677175798387919599[[#This Row],[clicks]]*RANDBETWEEN(8,12)/10,0)</f>
        <v>1201</v>
      </c>
      <c r="AZ108">
        <f ca="1">T_Facebook_Ads115963677175798387919599[[#This Row],[spend]]*RANDBETWEEN(8,12)/10</f>
        <v>188.49600000000001</v>
      </c>
      <c r="BA108">
        <f ca="1">ROUND(T_Facebook_Ads115963677175798387919599[[#This Row],[conversions]]*RANDBETWEEN(8,12)/10,0)</f>
        <v>11</v>
      </c>
      <c r="BB108">
        <f ca="1">ROUND(T_Facebook_Ads115963677175798387919599[[#This Row],[video_views]]*RANDBETWEEN(8,12)/10,0)</f>
        <v>7300</v>
      </c>
    </row>
    <row r="109" spans="1:54" ht="15.75" thickBot="1" x14ac:dyDescent="0.3">
      <c r="A109" s="3">
        <f t="shared" ca="1" si="14"/>
        <v>45284</v>
      </c>
      <c r="B109" s="4" t="s">
        <v>56</v>
      </c>
      <c r="C109" s="4" t="s">
        <v>57</v>
      </c>
      <c r="D109" s="4" t="s">
        <v>58</v>
      </c>
      <c r="E109" s="4" t="s">
        <v>59</v>
      </c>
      <c r="F109" s="4">
        <f ca="1">ROUND(T_Facebook_Ads[[#This Row],[impressions]]*RANDBETWEEN(8,12)/10,0)</f>
        <v>11298</v>
      </c>
      <c r="G109" s="4">
        <v>645</v>
      </c>
      <c r="H109" s="4">
        <f ca="1">T_Facebook_Ads[[#This Row],[spend]]*RANDBETWEEN(8,12)/10</f>
        <v>189.52</v>
      </c>
      <c r="I109" s="4">
        <f ca="1">ROUND(T_Facebook_Ads[[#This Row],[conversions]]*RANDBETWEEN(8,12)/10,0)</f>
        <v>41</v>
      </c>
      <c r="J109" s="4">
        <f ca="1">ROUND(T_Facebook_Ads[[#This Row],[video_views]]*RANDBETWEEN(8,12)/10,0)</f>
        <v>1281</v>
      </c>
      <c r="K109" s="4">
        <f ca="1">T_Facebook_Ads[[#This Row],[engagement_rate]]*RANDBETWEEN(8,12)/10</f>
        <v>3.6559999999999995E-2</v>
      </c>
      <c r="L109" s="4">
        <f ca="1">ROUND(T_Facebook_Ads[[#This Row],[reach]]*RANDBETWEEN(8,12)/10,0)</f>
        <v>12235</v>
      </c>
      <c r="M109" s="4">
        <f ca="1">T_Facebook_Ads[[#This Row],[frequency]]*RANDBETWEEN(8,12)/10</f>
        <v>1.143</v>
      </c>
      <c r="O109" s="3">
        <f t="shared" ca="1" si="15"/>
        <v>45275</v>
      </c>
      <c r="P109" s="4" t="s">
        <v>80</v>
      </c>
      <c r="Q109" s="4" t="s">
        <v>81</v>
      </c>
      <c r="R109" s="4" t="s">
        <v>82</v>
      </c>
      <c r="S109" s="4" t="s">
        <v>83</v>
      </c>
      <c r="T109" s="4">
        <f ca="1">ROUND(_Google_ads[[#This Row],[impressions]]*RANDBETWEEN(8,12)/10,0)</f>
        <v>55068</v>
      </c>
      <c r="U109" s="4">
        <f ca="1">ROUND(_Google_ads[[#This Row],[clicks]]*RANDBETWEEN(8,12)/10,0)</f>
        <v>1003</v>
      </c>
      <c r="V109" s="4">
        <f ca="1">_Google_ads[[#This Row],[cost]]*RANDBETWEEN(8,12)/10</f>
        <v>470.16</v>
      </c>
      <c r="W109" s="4">
        <f ca="1">ROUND(_Google_ads[[#This Row],[conversions]]*RANDBETWEEN(8,12)/10,0)</f>
        <v>22</v>
      </c>
      <c r="X109" s="4">
        <f ca="1">ROUND(_Google_ads[[#This Row],[conversion_value]]*RANDBETWEEN(8,12)/10,0)</f>
        <v>960</v>
      </c>
      <c r="Y109" s="4">
        <f ca="1">_Google_ads[[#This Row],[ctr]]*RANDBETWEEN(8,12)/10</f>
        <v>1.9900000000000001E-2</v>
      </c>
      <c r="Z109" s="4">
        <f ca="1">_Google_ads[[#This Row],[avg_cpc]]*RANDBETWEEN(8,12)/10</f>
        <v>0.51200000000000001</v>
      </c>
      <c r="AA109" s="4">
        <f ca="1">ROUND(_Google_ads[[#This Row],[quality_score]]*RANDBETWEEN(8,12)/10,0)</f>
        <v>8</v>
      </c>
      <c r="AB109" s="4">
        <f ca="1">_Google_ads[[#This Row],[search_impression_share]]*RANDBETWEEN(8,12)/10</f>
        <v>0.40499999999999997</v>
      </c>
      <c r="AD109" s="3">
        <f t="shared" ca="1" si="16"/>
        <v>45269</v>
      </c>
      <c r="AE109" s="4" t="s">
        <v>104</v>
      </c>
      <c r="AF109" s="4" t="s">
        <v>105</v>
      </c>
      <c r="AG109" s="4" t="s">
        <v>106</v>
      </c>
      <c r="AH109" s="4" t="s">
        <v>107</v>
      </c>
      <c r="AI109" s="4">
        <f ca="1">ROUND(T_Tiktok_ads[[#This Row],[impressions]]*RANDBETWEEN(8,12)/10,0)</f>
        <v>177357</v>
      </c>
      <c r="AJ109" s="4">
        <f ca="1">ROUND(T_Tiktok_ads[[#This Row],[clicks]]*RANDBETWEEN(8,12)/10,0)</f>
        <v>2471</v>
      </c>
      <c r="AK109" s="4">
        <v>823.7</v>
      </c>
      <c r="AL109" s="4">
        <f ca="1">ROUND(T_Tiktok_ads[[#This Row],[conversions]]*RANDBETWEEN(8,12)/10,0)</f>
        <v>75</v>
      </c>
      <c r="AM109" s="4">
        <f ca="1">ROUND(T_Tiktok_ads[[#This Row],[video_views]]*RANDBETWEEN(8,12)/10,0)</f>
        <v>113456</v>
      </c>
      <c r="AN109" s="4">
        <f ca="1">ROUND(T_Tiktok_ads[[#This Row],[video_watch_25]]*RANDBETWEEN(8,12)/10,0)</f>
        <v>75210</v>
      </c>
      <c r="AO109" s="4">
        <f ca="1">ROUND(T_Tiktok_ads[[#This Row],[video_watch_50]]*RANDBETWEEN(8,12)/10,0)</f>
        <v>61857</v>
      </c>
      <c r="AP109" s="4">
        <f ca="1">ROUND(T_Tiktok_ads[[#This Row],[video_watch_75]]*RANDBETWEEN(8,12)/10,0)</f>
        <v>38111</v>
      </c>
      <c r="AQ109" s="4">
        <f ca="1">ROUND(T_Tiktok_ads[[#This Row],[video_watch_100]]*RANDBETWEEN(8,12)/10,0)</f>
        <v>28234</v>
      </c>
      <c r="AR109" s="4">
        <f ca="1">ROUND(T_Tiktok_ads[[#This Row],[likes]]*RANDBETWEEN(8,12)/10,0)</f>
        <v>4418</v>
      </c>
      <c r="AS109" s="4">
        <f ca="1">ROUND(T_Tiktok_ads[[#This Row],[shares]]*RANDBETWEEN(8,12)/10,0)</f>
        <v>1907</v>
      </c>
      <c r="AT109" s="4">
        <f ca="1">ROUND(T_Tiktok_ads[[#This Row],[comments]]*RANDBETWEEN(8,12)/10,0)</f>
        <v>331</v>
      </c>
      <c r="AV109" s="5">
        <f t="shared" ca="1" si="17"/>
        <v>45284</v>
      </c>
      <c r="AW109">
        <f t="shared" ca="1" si="13"/>
        <v>8</v>
      </c>
      <c r="AX109">
        <f ca="1">ROUND(T_Facebook_Ads115963677175798387919599[[#This Row],[impressions]]*RANDBETWEEN(8,12)/10,0)</f>
        <v>11298</v>
      </c>
      <c r="AY109">
        <f ca="1">ROUND(T_Facebook_Ads115963677175798387919599[[#This Row],[clicks]]*RANDBETWEEN(8,12)/10,0)</f>
        <v>581</v>
      </c>
      <c r="AZ109">
        <f ca="1">T_Facebook_Ads115963677175798387919599[[#This Row],[spend]]*RANDBETWEEN(8,12)/10</f>
        <v>208.47200000000004</v>
      </c>
      <c r="BA109">
        <f ca="1">ROUND(T_Facebook_Ads115963677175798387919599[[#This Row],[conversions]]*RANDBETWEEN(8,12)/10,0)</f>
        <v>49</v>
      </c>
      <c r="BB109">
        <f ca="1">ROUND(T_Facebook_Ads115963677175798387919599[[#This Row],[video_views]]*RANDBETWEEN(8,12)/10,0)</f>
        <v>1281</v>
      </c>
    </row>
    <row r="110" spans="1:54" ht="15.75" thickBot="1" x14ac:dyDescent="0.3">
      <c r="A110" s="3">
        <f t="shared" ca="1" si="14"/>
        <v>45290</v>
      </c>
      <c r="B110" s="4" t="s">
        <v>60</v>
      </c>
      <c r="C110" s="4" t="s">
        <v>61</v>
      </c>
      <c r="D110" s="4" t="s">
        <v>62</v>
      </c>
      <c r="E110" s="4" t="s">
        <v>63</v>
      </c>
      <c r="F110" s="4">
        <f ca="1">ROUND(T_Facebook_Ads[[#This Row],[impressions]]*RANDBETWEEN(8,12)/10,0)</f>
        <v>30312</v>
      </c>
      <c r="G110" s="4">
        <v>1412</v>
      </c>
      <c r="H110" s="4">
        <f ca="1">T_Facebook_Ads[[#This Row],[spend]]*RANDBETWEEN(8,12)/10</f>
        <v>173.2</v>
      </c>
      <c r="I110" s="4">
        <f ca="1">ROUND(T_Facebook_Ads[[#This Row],[conversions]]*RANDBETWEEN(8,12)/10,0)</f>
        <v>27</v>
      </c>
      <c r="J110" s="4">
        <f ca="1">ROUND(T_Facebook_Ads[[#This Row],[video_views]]*RANDBETWEEN(8,12)/10,0)</f>
        <v>5452</v>
      </c>
      <c r="K110" s="4">
        <f ca="1">T_Facebook_Ads[[#This Row],[engagement_rate]]*RANDBETWEEN(8,12)/10</f>
        <v>4.1029999999999997E-2</v>
      </c>
      <c r="L110" s="4">
        <f ca="1">ROUND(T_Facebook_Ads[[#This Row],[reach]]*RANDBETWEEN(8,12)/10,0)</f>
        <v>24712</v>
      </c>
      <c r="M110" s="4">
        <f ca="1">T_Facebook_Ads[[#This Row],[frequency]]*RANDBETWEEN(8,12)/10</f>
        <v>0.98399999999999999</v>
      </c>
      <c r="O110" s="3">
        <f t="shared" ca="1" si="15"/>
        <v>45269</v>
      </c>
      <c r="P110" s="4" t="s">
        <v>84</v>
      </c>
      <c r="Q110" s="4" t="s">
        <v>85</v>
      </c>
      <c r="R110" s="4" t="s">
        <v>86</v>
      </c>
      <c r="S110" s="4" t="s">
        <v>87</v>
      </c>
      <c r="T110" s="4">
        <f ca="1">ROUND(_Google_ads[[#This Row],[impressions]]*RANDBETWEEN(8,12)/10,0)</f>
        <v>63211</v>
      </c>
      <c r="U110" s="4">
        <f ca="1">ROUND(_Google_ads[[#This Row],[clicks]]*RANDBETWEEN(8,12)/10,0)</f>
        <v>1894</v>
      </c>
      <c r="V110" s="4">
        <f ca="1">_Google_ads[[#This Row],[cost]]*RANDBETWEEN(8,12)/10</f>
        <v>518.5200000000001</v>
      </c>
      <c r="W110" s="4">
        <f ca="1">ROUND(_Google_ads[[#This Row],[conversions]]*RANDBETWEEN(8,12)/10,0)</f>
        <v>68</v>
      </c>
      <c r="X110" s="4">
        <f ca="1">ROUND(_Google_ads[[#This Row],[conversion_value]]*RANDBETWEEN(8,12)/10,0)</f>
        <v>2720</v>
      </c>
      <c r="Y110" s="4">
        <f ca="1">_Google_ads[[#This Row],[ctr]]*RANDBETWEEN(8,12)/10</f>
        <v>4.0439999999999997E-2</v>
      </c>
      <c r="Z110" s="4">
        <f ca="1">_Google_ads[[#This Row],[avg_cpc]]*RANDBETWEEN(8,12)/10</f>
        <v>0.19800000000000001</v>
      </c>
      <c r="AA110" s="4">
        <f ca="1">ROUND(_Google_ads[[#This Row],[quality_score]]*RANDBETWEEN(8,12)/10,0)</f>
        <v>10</v>
      </c>
      <c r="AB110" s="4">
        <f ca="1">_Google_ads[[#This Row],[search_impression_share]]*RANDBETWEEN(8,12)/10</f>
        <v>0.53600000000000003</v>
      </c>
      <c r="AD110" s="3">
        <f t="shared" ca="1" si="16"/>
        <v>45281</v>
      </c>
      <c r="AE110" s="4" t="s">
        <v>108</v>
      </c>
      <c r="AF110" s="4" t="s">
        <v>109</v>
      </c>
      <c r="AG110" s="4" t="s">
        <v>110</v>
      </c>
      <c r="AH110" s="4" t="s">
        <v>111</v>
      </c>
      <c r="AI110" s="4">
        <f ca="1">ROUND(T_Tiktok_ads[[#This Row],[impressions]]*RANDBETWEEN(8,12)/10,0)</f>
        <v>226111</v>
      </c>
      <c r="AJ110" s="4">
        <f ca="1">ROUND(T_Tiktok_ads[[#This Row],[clicks]]*RANDBETWEEN(8,12)/10,0)</f>
        <v>4364</v>
      </c>
      <c r="AK110" s="4">
        <v>481.5</v>
      </c>
      <c r="AL110" s="4">
        <f ca="1">ROUND(T_Tiktok_ads[[#This Row],[conversions]]*RANDBETWEEN(8,12)/10,0)</f>
        <v>39</v>
      </c>
      <c r="AM110" s="4">
        <f ca="1">ROUND(T_Tiktok_ads[[#This Row],[video_views]]*RANDBETWEEN(8,12)/10,0)</f>
        <v>218791</v>
      </c>
      <c r="AN110" s="4">
        <f ca="1">ROUND(T_Tiktok_ads[[#This Row],[video_watch_25]]*RANDBETWEEN(8,12)/10,0)</f>
        <v>165624</v>
      </c>
      <c r="AO110" s="4">
        <f ca="1">ROUND(T_Tiktok_ads[[#This Row],[video_watch_50]]*RANDBETWEEN(8,12)/10,0)</f>
        <v>107311</v>
      </c>
      <c r="AP110" s="4">
        <f ca="1">ROUND(T_Tiktok_ads[[#This Row],[video_watch_75]]*RANDBETWEEN(8,12)/10,0)</f>
        <v>92268</v>
      </c>
      <c r="AQ110" s="4">
        <f ca="1">ROUND(T_Tiktok_ads[[#This Row],[video_watch_100]]*RANDBETWEEN(8,12)/10,0)</f>
        <v>46567</v>
      </c>
      <c r="AR110" s="4">
        <f ca="1">ROUND(T_Tiktok_ads[[#This Row],[likes]]*RANDBETWEEN(8,12)/10,0)</f>
        <v>9546</v>
      </c>
      <c r="AS110" s="4">
        <f ca="1">ROUND(T_Tiktok_ads[[#This Row],[shares]]*RANDBETWEEN(8,12)/10,0)</f>
        <v>2616</v>
      </c>
      <c r="AT110" s="4">
        <f ca="1">ROUND(T_Tiktok_ads[[#This Row],[comments]]*RANDBETWEEN(8,12)/10,0)</f>
        <v>667</v>
      </c>
      <c r="AV110" s="5">
        <f t="shared" ca="1" si="17"/>
        <v>45282</v>
      </c>
      <c r="AW110">
        <f t="shared" ca="1" si="13"/>
        <v>6</v>
      </c>
      <c r="AX110">
        <f ca="1">ROUND(T_Facebook_Ads115963677175798387919599[[#This Row],[impressions]]*RANDBETWEEN(8,12)/10,0)</f>
        <v>36374</v>
      </c>
      <c r="AY110">
        <f ca="1">ROUND(T_Facebook_Ads115963677175798387919599[[#This Row],[clicks]]*RANDBETWEEN(8,12)/10,0)</f>
        <v>1271</v>
      </c>
      <c r="AZ110">
        <f ca="1">T_Facebook_Ads115963677175798387919599[[#This Row],[spend]]*RANDBETWEEN(8,12)/10</f>
        <v>155.88</v>
      </c>
      <c r="BA110">
        <f ca="1">ROUND(T_Facebook_Ads115963677175798387919599[[#This Row],[conversions]]*RANDBETWEEN(8,12)/10,0)</f>
        <v>24</v>
      </c>
      <c r="BB110">
        <f ca="1">ROUND(T_Facebook_Ads115963677175798387919599[[#This Row],[video_views]]*RANDBETWEEN(8,12)/10,0)</f>
        <v>5997</v>
      </c>
    </row>
    <row r="111" spans="1:54" x14ac:dyDescent="0.25">
      <c r="A111" s="3">
        <f t="shared" ca="1" si="14"/>
        <v>45267</v>
      </c>
      <c r="B111" s="4" t="s">
        <v>64</v>
      </c>
      <c r="C111" s="4" t="s">
        <v>65</v>
      </c>
      <c r="D111" s="4" t="s">
        <v>66</v>
      </c>
      <c r="E111" s="4" t="s">
        <v>67</v>
      </c>
      <c r="F111" s="4">
        <f ca="1">ROUND(T_Facebook_Ads[[#This Row],[impressions]]*RANDBETWEEN(8,12)/10,0)</f>
        <v>57698</v>
      </c>
      <c r="G111" s="4">
        <v>261</v>
      </c>
      <c r="H111" s="4">
        <f ca="1">T_Facebook_Ads[[#This Row],[spend]]*RANDBETWEEN(8,12)/10</f>
        <v>82.169999999999987</v>
      </c>
      <c r="I111" s="4">
        <f ca="1">ROUND(T_Facebook_Ads[[#This Row],[conversions]]*RANDBETWEEN(8,12)/10,0)</f>
        <v>8</v>
      </c>
      <c r="J111" s="4">
        <f ca="1">ROUND(T_Facebook_Ads[[#This Row],[video_views]]*RANDBETWEEN(8,12)/10,0)</f>
        <v>38854</v>
      </c>
      <c r="K111" s="4">
        <f ca="1">T_Facebook_Ads[[#This Row],[engagement_rate]]*RANDBETWEEN(8,12)/10</f>
        <v>3.2399999999999998E-3</v>
      </c>
      <c r="L111" s="4">
        <f ca="1">ROUND(T_Facebook_Ads[[#This Row],[reach]]*RANDBETWEEN(8,12)/10,0)</f>
        <v>70668</v>
      </c>
      <c r="M111" s="4">
        <f ca="1">T_Facebook_Ads[[#This Row],[frequency]]*RANDBETWEEN(8,12)/10</f>
        <v>1.22</v>
      </c>
      <c r="O111" s="3">
        <f t="shared" ca="1" si="15"/>
        <v>45265</v>
      </c>
      <c r="P111" s="4" t="s">
        <v>88</v>
      </c>
      <c r="Q111" s="4" t="s">
        <v>89</v>
      </c>
      <c r="R111" s="4" t="s">
        <v>90</v>
      </c>
      <c r="S111" s="4" t="s">
        <v>59</v>
      </c>
      <c r="T111" s="4">
        <f ca="1">ROUND(_Google_ads[[#This Row],[impressions]]*RANDBETWEEN(8,12)/10,0)</f>
        <v>133456</v>
      </c>
      <c r="U111" s="4">
        <f ca="1">ROUND(_Google_ads[[#This Row],[clicks]]*RANDBETWEEN(8,12)/10,0)</f>
        <v>478</v>
      </c>
      <c r="V111" s="4">
        <f ca="1">_Google_ads[[#This Row],[cost]]*RANDBETWEEN(8,12)/10</f>
        <v>144.32</v>
      </c>
      <c r="W111" s="4">
        <f ca="1">ROUND(_Google_ads[[#This Row],[conversions]]*RANDBETWEEN(8,12)/10,0)</f>
        <v>17</v>
      </c>
      <c r="X111" s="4">
        <f ca="1">ROUND(_Google_ads[[#This Row],[conversion_value]]*RANDBETWEEN(8,12)/10,0)</f>
        <v>840</v>
      </c>
      <c r="Y111" s="4">
        <f ca="1">_Google_ads[[#This Row],[ctr]]*RANDBETWEEN(8,12)/10</f>
        <v>3.96E-3</v>
      </c>
      <c r="Z111" s="4">
        <f ca="1">_Google_ads[[#This Row],[avg_cpc]]*RANDBETWEEN(8,12)/10</f>
        <v>0.27</v>
      </c>
      <c r="AA111" s="4">
        <f ca="1">ROUND(_Google_ads[[#This Row],[quality_score]]*RANDBETWEEN(8,12)/10,0)</f>
        <v>7</v>
      </c>
      <c r="AB111" s="4">
        <f ca="1">_Google_ads[[#This Row],[search_impression_share]]*RANDBETWEEN(8,12)/10</f>
        <v>0.315</v>
      </c>
      <c r="AD111" s="3">
        <f t="shared" ca="1" si="16"/>
        <v>45268</v>
      </c>
      <c r="AE111" s="4" t="s">
        <v>112</v>
      </c>
      <c r="AF111" s="4" t="s">
        <v>113</v>
      </c>
      <c r="AG111" s="4" t="s">
        <v>114</v>
      </c>
      <c r="AH111" s="4" t="s">
        <v>115</v>
      </c>
      <c r="AI111" s="4">
        <f ca="1">ROUND(T_Tiktok_ads[[#This Row],[impressions]]*RANDBETWEEN(8,12)/10,0)</f>
        <v>478024</v>
      </c>
      <c r="AJ111" s="4">
        <f ca="1">ROUND(T_Tiktok_ads[[#This Row],[clicks]]*RANDBETWEEN(8,12)/10,0)</f>
        <v>5610</v>
      </c>
      <c r="AK111" s="4">
        <v>1089.3</v>
      </c>
      <c r="AL111" s="4">
        <f ca="1">ROUND(T_Tiktok_ads[[#This Row],[conversions]]*RANDBETWEEN(8,12)/10,0)</f>
        <v>98</v>
      </c>
      <c r="AM111" s="4">
        <f ca="1">ROUND(T_Tiktok_ads[[#This Row],[video_views]]*RANDBETWEEN(8,12)/10,0)</f>
        <v>294312</v>
      </c>
      <c r="AN111" s="4">
        <f ca="1">ROUND(T_Tiktok_ads[[#This Row],[video_watch_25]]*RANDBETWEEN(8,12)/10,0)</f>
        <v>236987</v>
      </c>
      <c r="AO111" s="4">
        <f ca="1">ROUND(T_Tiktok_ads[[#This Row],[video_watch_50]]*RANDBETWEEN(8,12)/10,0)</f>
        <v>237890</v>
      </c>
      <c r="AP111" s="4">
        <f ca="1">ROUND(T_Tiktok_ads[[#This Row],[video_watch_75]]*RANDBETWEEN(8,12)/10,0)</f>
        <v>201881</v>
      </c>
      <c r="AQ111" s="4">
        <f ca="1">ROUND(T_Tiktok_ads[[#This Row],[video_watch_100]]*RANDBETWEEN(8,12)/10,0)</f>
        <v>122357</v>
      </c>
      <c r="AR111" s="4">
        <f ca="1">ROUND(T_Tiktok_ads[[#This Row],[likes]]*RANDBETWEEN(8,12)/10,0)</f>
        <v>21157</v>
      </c>
      <c r="AS111" s="4">
        <f ca="1">ROUND(T_Tiktok_ads[[#This Row],[shares]]*RANDBETWEEN(8,12)/10,0)</f>
        <v>4981</v>
      </c>
      <c r="AT111" s="4">
        <f ca="1">ROUND(T_Tiktok_ads[[#This Row],[comments]]*RANDBETWEEN(8,12)/10,0)</f>
        <v>1828</v>
      </c>
      <c r="AV111" s="5">
        <f t="shared" ca="1" si="17"/>
        <v>45278</v>
      </c>
      <c r="AW111">
        <f t="shared" ca="1" si="13"/>
        <v>8</v>
      </c>
      <c r="AX111">
        <f ca="1">ROUND(T_Facebook_Ads115963677175798387919599[[#This Row],[impressions]]*RANDBETWEEN(8,12)/10,0)</f>
        <v>46158</v>
      </c>
      <c r="AY111">
        <f ca="1">ROUND(T_Facebook_Ads115963677175798387919599[[#This Row],[clicks]]*RANDBETWEEN(8,12)/10,0)</f>
        <v>287</v>
      </c>
      <c r="AZ111">
        <f ca="1">T_Facebook_Ads115963677175798387919599[[#This Row],[spend]]*RANDBETWEEN(8,12)/10</f>
        <v>65.73599999999999</v>
      </c>
      <c r="BA111">
        <f ca="1">ROUND(T_Facebook_Ads115963677175798387919599[[#This Row],[conversions]]*RANDBETWEEN(8,12)/10,0)</f>
        <v>6</v>
      </c>
      <c r="BB111">
        <f ca="1">ROUND(T_Facebook_Ads115963677175798387919599[[#This Row],[video_views]]*RANDBETWEEN(8,12)/10,0)</f>
        <v>34969</v>
      </c>
    </row>
  </sheetData>
  <pageMargins left="0.7" right="0.7" top="0.75" bottom="0.75" header="0.3" footer="0.3"/>
  <pageSetup orientation="portrait" r:id="rId1"/>
  <tableParts count="4"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Dimentions</vt:lpstr>
      <vt:lpstr>Facts 2024-01</vt:lpstr>
      <vt:lpstr>Facts 2023-01</vt:lpstr>
      <vt:lpstr>Facts 2023-02</vt:lpstr>
      <vt:lpstr>Facts 2023-03</vt:lpstr>
      <vt:lpstr>Facts 2023-04</vt:lpstr>
      <vt:lpstr>Facts 2023-05</vt:lpstr>
      <vt:lpstr>Facts 2023-06</vt:lpstr>
      <vt:lpstr>Facts 2023-07</vt:lpstr>
      <vt:lpstr>Facts 2023-08</vt:lpstr>
      <vt:lpstr>Facts 2023-09</vt:lpstr>
      <vt:lpstr>Facts 2023-10</vt:lpstr>
      <vt:lpstr>Facts 2023-11</vt:lpstr>
      <vt:lpstr>Facts 2023-12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saúl zavala</dc:creator>
  <cp:lastModifiedBy>saúl zavala</cp:lastModifiedBy>
  <dcterms:created xsi:type="dcterms:W3CDTF">2026-05-05T13:57:17Z</dcterms:created>
  <dcterms:modified xsi:type="dcterms:W3CDTF">2026-05-07T01:11:33Z</dcterms:modified>
</cp:coreProperties>
</file>